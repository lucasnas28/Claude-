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29040" windowHeight="15720" tabRatio="600" firstSheet="0" activeTab="2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Inputs (2)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>
    <definedName name="_Fill" hidden="1">#REF!</definedName>
    <definedName name="aaa" hidden="1">{#N/A,#N/A,FALSE,"Aging Summary";#N/A,#N/A,FALSE,"Ratio Analysis";#N/A,#N/A,FALSE,"Test 120 Day Accts";#N/A,#N/A,FALSE,"Tickmarks"}</definedName>
    <definedName name="AAAA" hidden="1">{#N/A,#N/A,FALSE,"Aging Summary";#N/A,#N/A,FALSE,"Ratio Analysis";#N/A,#N/A,FALSE,"Test 120 Day Accts";#N/A,#N/A,FALSE,"Tickmarks"}</definedName>
    <definedName name="AS2DocOpenMode" hidden="1">"AS2DocumentEdit"</definedName>
    <definedName name="AS2NamedRange" hidden="1">15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BalType" hidden="1">TRUE</definedName>
    <definedName name="beta_observed">Valuation!$D$93</definedName>
    <definedName name="beta_observed_unlevered">#REF!</definedName>
    <definedName name="beta_unlev_comps">#REF!</definedName>
    <definedName name="BG_Del" hidden="1">15</definedName>
    <definedName name="BG_Ins" hidden="1">4</definedName>
    <definedName name="BG_Mod" hidden="1">6</definedName>
    <definedName name="cirkbreak">#REF!</definedName>
    <definedName name="costdebtfirm">#REF!</definedName>
    <definedName name="costequity">#REF!</definedName>
    <definedName name="Debt">#REF!</definedName>
    <definedName name="debt_weight">#REF!</definedName>
    <definedName name="GrpAcct1" hidden="1">"5611"</definedName>
    <definedName name="GrpAcct2" hidden="1">"5612"</definedName>
    <definedName name="GrpLevel" hidden="1">2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"c2108"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CAP" hidden="1">"c712"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LOW" hidden="1">"c1338"</definedName>
    <definedName name="IQ_YTD" hidden="1">3000</definedName>
    <definedName name="IQ_Z_SCORE" hidden="1">"c1339"</definedName>
    <definedName name="last_close">Valuation!$G$7</definedName>
    <definedName name="Market_Equity">#REF!</definedName>
    <definedName name="midyear">#REF!</definedName>
    <definedName name="Net_Debt">#REF!</definedName>
    <definedName name="NumofGrpAccts" hidden="1">2</definedName>
    <definedName name="nvnvnvnv" hidden="1">{#N/A,#N/A,FALSE,"Aging Summary";#N/A,#N/A,FALSE,"Ratio Analysis";#N/A,#N/A,FALSE,"Test 120 Day Accts";#N/A,#N/A,FALSE,"Tickmarks"}</definedName>
    <definedName name="range">#REF!</definedName>
    <definedName name="RowLevel" hidden="1">1</definedName>
    <definedName name="Stub_year_fraction">#REF!</definedName>
    <definedName name="TBdbName" hidden="1">"88D5BF544BE111D2B8C5006097494125.mdb"</definedName>
    <definedName name="TextRefCopyRangeCount" hidden="1">68</definedName>
    <definedName name="ticker">Valuation!$D$7</definedName>
    <definedName name="Useful_Life_of_Depreciable_PP_E">"PPElife"</definedName>
    <definedName name="wrn.Aging._.and._.Trend._.Analysis." hidden="1">{#N/A,#N/A,FALSE,"Aging Summary";#N/A,#N/A,FALSE,"Ratio Analysis";#N/A,#N/A,FALSE,"Test 120 Day Accts";#N/A,#N/A,FALSE,"Tickmarks"}</definedName>
    <definedName name="wrn.EXPENSES._.98._.US." hidden="1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9._.REAL." hidden="1">{"Reais 99 MKT",#N/A,TRUE,"MKT";"Reais 99 BUSS",#N/A,TRUE,"BusOper";"Reais 99 TECH",#N/A,TRUE,"Tech";"Reais 99 LOCAL",#N/A,TRUE,"LocalProg";"Reais 99 GA",#N/A,TRUE,"G&amp;A";"Reais 99 CONSOL",#N/A,TRUE,"Consolidate"}</definedName>
    <definedName name="wrn.FINANCIAL._.MONTH." hidden="1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S." hidden="1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US._.MONTH." hidden="1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S." hidden="1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grafico." hidden="1">{#N/A,#N/A,FALSE,"Graficos    ( 9 )"}</definedName>
    <definedName name="wrn.WORK._.PAPER." hidden="1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_.99." hidden="1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XREF_COLUMN_1" hidden="1">#REF!</definedName>
    <definedName name="XREF_COLUMN_10" hidden="1">#REF!</definedName>
    <definedName name="XREF_COLUMN_11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9" hidden="1">#REF!</definedName>
    <definedName name="XREF_COLUMN_2" hidden="1">#REF!</definedName>
    <definedName name="XREF_COLUMN_20" hidden="1">#REF!</definedName>
    <definedName name="XREF_COLUMN_21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ColumnsCount" hidden="1">2</definedName>
    <definedName name="XRefCopy1" hidden="1">#REF!</definedName>
    <definedName name="XRefCopy10" hidden="1">#REF!</definedName>
    <definedName name="XRefCopy10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5" hidden="1">#REF!</definedName>
    <definedName name="XRefCopy15Row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3" hidden="1">#REF!</definedName>
    <definedName name="XRefCopy30Row" hidden="1">#REF!</definedName>
    <definedName name="XRefCopy31" hidden="1">#REF!</definedName>
    <definedName name="XRefCopy31Row" hidden="1">#REF!</definedName>
    <definedName name="XRefCopy33Row" hidden="1">#REF!</definedName>
    <definedName name="XRefCopy39" hidden="1">#REF!</definedName>
    <definedName name="XRefCopy4" hidden="1">#REF!</definedName>
    <definedName name="XRefCopy40Row" hidden="1">#REF!</definedName>
    <definedName name="XRefCopy43Row" hidden="1">#REF!</definedName>
    <definedName name="XRefCopy44Row" hidden="1">#REF!</definedName>
    <definedName name="XRefCopy49Row" hidden="1">#REF!</definedName>
    <definedName name="XRefCopy4Row" hidden="1">#REF!</definedName>
    <definedName name="XRefCopy5" hidden="1">#REF!</definedName>
    <definedName name="XRefCopy50Row" hidden="1">#REF!</definedName>
    <definedName name="XRefCopy51Row" hidden="1">#REF!</definedName>
    <definedName name="XRefCopy52Row" hidden="1">#REF!</definedName>
    <definedName name="XRefCopy53Row" hidden="1">#REF!</definedName>
    <definedName name="XRefCopy55Row" hidden="1">#REF!</definedName>
    <definedName name="XRefCopy56" hidden="1">#REF!</definedName>
    <definedName name="XRefCopy56Row" hidden="1">#REF!</definedName>
    <definedName name="XRefCopy5Row" hidden="1">#REF!</definedName>
    <definedName name="XRefCopy6" hidden="1">#REF!</definedName>
    <definedName name="XRefCopy61" hidden="1">#REF!</definedName>
    <definedName name="XRefCopy61Row" hidden="1">#REF!</definedName>
    <definedName name="XRefCopy63Row" hidden="1">#REF!</definedName>
    <definedName name="XRefCopy64Row" hidden="1">#REF!</definedName>
    <definedName name="XRefCopy65Row" hidden="1">#REF!</definedName>
    <definedName name="XRefCopy66" hidden="1">#REF!</definedName>
    <definedName name="XRefCopy66Row" hidden="1">#REF!</definedName>
    <definedName name="XRefCopy67Row" hidden="1">#REF!</definedName>
    <definedName name="XRefCopy68Row" hidden="1">#REF!</definedName>
    <definedName name="XRefCopy69Row" hidden="1">#REF!</definedName>
    <definedName name="XRefCopy6Row" hidden="1">#REF!</definedName>
    <definedName name="XRefCopy7" hidden="1">#REF!</definedName>
    <definedName name="XRefCopy70Row" hidden="1">#REF!</definedName>
    <definedName name="XRefCopy71Row" hidden="1">#REF!</definedName>
    <definedName name="XRefCopy72Row" hidden="1">#REF!</definedName>
    <definedName name="XRefCopy73Row" hidden="1">#REF!</definedName>
    <definedName name="XRefCopy74Row" hidden="1">#REF!</definedName>
    <definedName name="XRefCopy75Row" hidden="1">#REF!</definedName>
    <definedName name="XRefCopy76Row" hidden="1">#REF!</definedName>
    <definedName name="XRefCopy77Row" hidden="1">#REF!</definedName>
    <definedName name="XRefCopy78Row" hidden="1">#REF!</definedName>
    <definedName name="XRefCopy7Row" hidden="1">#REF!</definedName>
    <definedName name="XRefCopy8" hidden="1">#REF!</definedName>
    <definedName name="XRefCopy80Row" hidden="1">#REF!</definedName>
    <definedName name="XRefCopy81" hidden="1">#REF!</definedName>
    <definedName name="XRefCopy81Row" hidden="1">#REF!</definedName>
    <definedName name="XRefCopy82Row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</definedName>
    <definedName name="XRefPaste1" hidden="1">#REF!</definedName>
    <definedName name="XRefPaste10" hidden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3" hidden="1">#REF!</definedName>
    <definedName name="XRefPaste103Row" hidden="1">#REF!</definedName>
    <definedName name="XRefPaste104Row" hidden="1">#REF!</definedName>
    <definedName name="XRefPaste105Row" hidden="1">#REF!</definedName>
    <definedName name="XRefPaste106" hidden="1">#REF!</definedName>
    <definedName name="XRefPaste106Row" hidden="1">#REF!</definedName>
    <definedName name="XRefPaste107Row" hidden="1">#REF!</definedName>
    <definedName name="XRefPaste108Row" hidden="1">#REF!</definedName>
    <definedName name="XRefPaste11" hidden="1">#REF!</definedName>
    <definedName name="XRefPaste111Row" hidden="1">#REF!</definedName>
    <definedName name="XRefPaste112Row" hidden="1">#REF!</definedName>
    <definedName name="XRefPaste117" hidden="1">#REF!</definedName>
    <definedName name="XRefPaste117Row" hidden="1">#REF!</definedName>
    <definedName name="XRefPaste118" hidden="1">#REF!</definedName>
    <definedName name="XRefPaste118Row" hidden="1">#REF!</definedName>
    <definedName name="XRefPaste119" hidden="1">#REF!</definedName>
    <definedName name="XRefPaste119Row" hidden="1">#REF!</definedName>
    <definedName name="XRefPaste12" hidden="1">#REF!</definedName>
    <definedName name="XRefPaste120" hidden="1">#REF!</definedName>
    <definedName name="XRefPaste120Row" hidden="1">#REF!</definedName>
    <definedName name="XRefPaste121Row" hidden="1">#REF!</definedName>
    <definedName name="XRefPaste122Row" hidden="1">#REF!</definedName>
    <definedName name="XRefPaste123Row" hidden="1">#REF!</definedName>
    <definedName name="XRefPaste124Row" hidden="1">#REF!</definedName>
    <definedName name="XRefPaste126Row" hidden="1">#REF!</definedName>
    <definedName name="XRefPaste127Row" hidden="1">#REF!</definedName>
    <definedName name="XRefPaste128Row" hidden="1">#REF!</definedName>
    <definedName name="XRefPaste129Row" hidden="1">#REF!</definedName>
    <definedName name="XRefPaste13" hidden="1">#REF!</definedName>
    <definedName name="XRefPaste130Row" hidden="1">#REF!</definedName>
    <definedName name="XRefPaste131Row" hidden="1">#REF!</definedName>
    <definedName name="XRefPaste132Row" hidden="1">#REF!</definedName>
    <definedName name="XRefPaste133Row" hidden="1">#REF!</definedName>
    <definedName name="XRefPaste134Row" hidden="1">#REF!</definedName>
    <definedName name="XRefPaste135Row" hidden="1">#REF!</definedName>
    <definedName name="XRefPaste136Row" hidden="1">#REF!</definedName>
    <definedName name="XRefPaste137Row" hidden="1">#REF!</definedName>
    <definedName name="XRefPaste138Row" hidden="1">#REF!</definedName>
    <definedName name="XRefPaste139" hidden="1">#REF!</definedName>
    <definedName name="XRefPaste139Row" hidden="1">#REF!</definedName>
    <definedName name="XRefPaste14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6" hidden="1">#REF!</definedName>
    <definedName name="XRefPaste26Row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5" hidden="1">#REF!</definedName>
    <definedName name="XRefPaste35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Row" hidden="1">#REF!</definedName>
    <definedName name="XRefPaste5" hidden="1">#REF!</definedName>
    <definedName name="XRefPaste56Row" hidden="1">#REF!</definedName>
    <definedName name="XRefPaste57Row" hidden="1">#REF!</definedName>
    <definedName name="XRefPaste59Row" hidden="1">#REF!</definedName>
    <definedName name="XRefPaste5Row" hidden="1">#REF!</definedName>
    <definedName name="XRefPaste6" hidden="1">#REF!</definedName>
    <definedName name="XRefPaste62Row" hidden="1">#REF!</definedName>
    <definedName name="XRefPaste63Row" hidden="1">#REF!</definedName>
    <definedName name="XRefPaste64Row" hidden="1">#REF!</definedName>
    <definedName name="XRefPaste65Row" hidden="1">#REF!</definedName>
    <definedName name="XRefPaste67Row" hidden="1">#REF!</definedName>
    <definedName name="XRefPaste68Row" hidden="1">#REF!</definedName>
    <definedName name="XRefPaste69Row" hidden="1">#REF!</definedName>
    <definedName name="XRefPaste6Row" hidden="1">#REF!</definedName>
    <definedName name="XRefPaste7" hidden="1">#REF!</definedName>
    <definedName name="XRefPaste70Row" hidden="1">#REF!</definedName>
    <definedName name="XRefPaste71Row" hidden="1">#REF!</definedName>
    <definedName name="XRefPaste75Row" hidden="1">#REF!</definedName>
    <definedName name="XRefPaste7Row" hidden="1">#REF!</definedName>
    <definedName name="XRefPaste8" hidden="1">#REF!</definedName>
    <definedName name="XRefPaste9" hidden="1">#REF!</definedName>
    <definedName name="XRefPaste99Row" hidden="1">#REF!</definedName>
    <definedName name="XRefPasteRangeCount" hidden="1">35</definedName>
    <definedName name="beta_observed" localSheetId="1">#REF!</definedName>
    <definedName name="ticker" localSheetId="1">#REF!</definedName>
    <definedName name="costdebtfirm" localSheetId="3">Valuation!$D$86</definedName>
    <definedName name="costequity" localSheetId="3">Valuation!$D$94</definedName>
    <definedName name="debt" localSheetId="3">Valuation!$G$88</definedName>
    <definedName name="debt_weight" localSheetId="3">Valuation!$J$88</definedName>
    <definedName name="g" localSheetId="3">Valuation!$D$63</definedName>
    <definedName name="market_equity" localSheetId="3">Valuation!$G$89</definedName>
    <definedName name="noplat_t1" localSheetId="3">Valuation!$D$65</definedName>
    <definedName name="relevered_beta" localSheetId="3">Valuation!$M$102</definedName>
    <definedName name="risk_free_rate" localSheetId="3">Valuation!$D$91</definedName>
    <definedName name="risk_premium" localSheetId="3">Valuation!$D$92</definedName>
    <definedName name="ronic" localSheetId="3">Valuation!$D$64</definedName>
    <definedName name="stub_year_fraction" localSheetId="3">Valuation!$D$11</definedName>
    <definedName name="totalcap" localSheetId="3">Valuation!$G$90</definedName>
    <definedName name="wacc" localSheetId="3">Valuation!$D$12</definedName>
    <definedName name="scenario" localSheetId="3">Valuation!$E$8</definedName>
  </definedNames>
  <calcPr calcId="191029" fullCalcOnLoad="1"/>
</workbook>
</file>

<file path=xl/styles.xml><?xml version="1.0" encoding="utf-8"?>
<styleSheet xmlns="http://schemas.openxmlformats.org/spreadsheetml/2006/main">
  <numFmts count="27">
    <numFmt numFmtId="164" formatCode="#,##0.0_);[Red]\(#,##0.0\)"/>
    <numFmt numFmtId="165" formatCode="[$-409]d\-mmm;@"/>
    <numFmt numFmtId="166" formatCode="[$-416]d\-mmm"/>
    <numFmt numFmtId="167" formatCode="[$-409]d\-mmm"/>
    <numFmt numFmtId="168" formatCode="#,##0_ ;[Red]\-#,##0\ "/>
    <numFmt numFmtId="169" formatCode="#,##0.0_ ;[Red]\-#,##0.0\ "/>
    <numFmt numFmtId="170" formatCode="0.0%"/>
    <numFmt numFmtId="171" formatCode="#,##0.0;[Red]#,##0.0"/>
    <numFmt numFmtId="172" formatCode="[$-409]d\-mmm\-yy;@"/>
    <numFmt numFmtId="173" formatCode="[$BRL]\ #,##0.00_);[Red]\([$BRL]\ #,##0.00\)"/>
    <numFmt numFmtId="174" formatCode="#,##0.0_);\(#,##0.0\)"/>
    <numFmt numFmtId="175" formatCode="#,##0.000_);\(#,##0.000\)"/>
    <numFmt numFmtId="176" formatCode="&quot;R$&quot;\ #,##0.00"/>
    <numFmt numFmtId="177" formatCode="#,##0.0\x"/>
    <numFmt numFmtId="178" formatCode="&quot;$&quot;#,##0.00_);\(&quot;$&quot;#,##0.00\)"/>
    <numFmt numFmtId="179" formatCode="#,##0.000_);[Red]\(#,##0.000\)"/>
    <numFmt numFmtId="180" formatCode="0.0\x"/>
    <numFmt numFmtId="181" formatCode="&quot;$&quot;#,##0.00_);[Red]\(&quot;$&quot;#,##0.00\)"/>
    <numFmt numFmtId="182" formatCode="&quot;$&quot;#,##0.0_);\(&quot;$&quot;#,##0.0\)"/>
    <numFmt numFmtId="183" formatCode="0.0%;\(0.0%\)"/>
    <numFmt numFmtId="184" formatCode="0.000"/>
    <numFmt numFmtId="185" formatCode="0.0"/>
    <numFmt numFmtId="186" formatCode="#,##0.0;(#,##0.0)"/>
    <numFmt numFmtId="187" formatCode="#,##0;(#,##0)"/>
    <numFmt numFmtId="188" formatCode="_(&quot;$&quot;* #,##0.00_);_(&quot;$&quot;* \(#,##0.00\);_(&quot;$&quot;* &quot;-&quot;??_);_(@_)"/>
    <numFmt numFmtId="189" formatCode="0_);\(0\)"/>
    <numFmt numFmtId="190" formatCode="#,##0.0"/>
  </numFmts>
  <fonts count="2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Verdana"/>
      <family val="2"/>
      <color theme="1"/>
      <sz val="10"/>
    </font>
    <font>
      <name val="Arial"/>
      <family val="2"/>
      <sz val="10"/>
    </font>
    <font>
      <name val="Verdana"/>
      <family val="2"/>
      <b val="1"/>
      <color theme="1"/>
      <sz val="10"/>
    </font>
    <font>
      <name val="Verdana"/>
      <family val="2"/>
      <color rgb="FF0000FF"/>
      <sz val="10"/>
    </font>
    <font>
      <name val="Verdana"/>
      <family val="2"/>
      <b val="1"/>
      <color rgb="FFFFFFFF"/>
      <sz val="10"/>
    </font>
    <font>
      <name val="Calibri"/>
      <family val="2"/>
      <color indexed="8"/>
      <sz val="11"/>
    </font>
    <font>
      <name val="Verdana"/>
      <family val="2"/>
      <sz val="10"/>
    </font>
    <font>
      <name val="Verdana"/>
      <family val="2"/>
      <b val="1"/>
      <color theme="0"/>
      <sz val="10"/>
    </font>
    <font>
      <name val="Verdana"/>
      <family val="2"/>
      <color theme="0"/>
      <sz val="10"/>
    </font>
    <font>
      <name val="Verdana"/>
      <family val="2"/>
      <b val="1"/>
      <color indexed="9"/>
      <sz val="10"/>
    </font>
    <font>
      <name val="Arial"/>
      <family val="2"/>
      <b val="1"/>
      <sz val="8"/>
    </font>
    <font>
      <name val="Verdana"/>
      <family val="2"/>
      <color indexed="12"/>
      <sz val="10"/>
    </font>
    <font>
      <name val="Verdana"/>
      <family val="2"/>
      <b val="1"/>
      <sz val="10"/>
    </font>
    <font>
      <name val="Verdana"/>
      <family val="2"/>
      <b val="1"/>
      <color theme="0" tint="-0.0499893185216834"/>
      <sz val="10"/>
    </font>
    <font>
      <name val="Arial"/>
      <family val="2"/>
      <b val="1"/>
      <color indexed="63"/>
      <sz val="10"/>
    </font>
    <font>
      <name val="Verdana"/>
      <family val="2"/>
      <b val="1"/>
      <color indexed="63"/>
      <sz val="10"/>
    </font>
    <font>
      <name val="Verdana"/>
      <family val="2"/>
      <b val="1"/>
      <color indexed="12"/>
      <sz val="10"/>
    </font>
    <font>
      <name val="Verdana"/>
      <family val="2"/>
      <sz val="10"/>
      <u val="single"/>
    </font>
    <font>
      <name val="Verdana"/>
      <family val="2"/>
      <color indexed="17"/>
      <sz val="10"/>
    </font>
    <font>
      <name val="Arial"/>
      <family val="2"/>
      <sz val="8"/>
    </font>
    <font>
      <name val="Verdana"/>
      <family val="2"/>
      <i val="1"/>
      <color theme="1"/>
      <sz val="10"/>
    </font>
    <font>
      <color rgb="FF808080"/>
    </font>
    <font>
      <b val="1"/>
    </font>
    <font>
      <name val="Verdana"/>
      <color rgb="FF808080"/>
      <sz val="10"/>
    </font>
    <font>
      <name val="Verdana"/>
      <b val="1"/>
      <sz val="10"/>
    </font>
  </fonts>
  <fills count="17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FFFFCC"/>
        <bgColor rgb="FFFFFFCC"/>
      </patternFill>
    </fill>
    <fill>
      <patternFill patternType="solid">
        <fgColor rgb="FFD8D8D8"/>
        <bgColor rgb="FFD8D8D8"/>
      </patternFill>
    </fill>
    <fill>
      <patternFill patternType="solid">
        <fgColor rgb="FF00B050"/>
        <bgColor rgb="FF00B050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indexed="22"/>
      </patternFill>
    </fill>
    <fill>
      <patternFill patternType="solid">
        <fgColor rgb="FFFFF2CC"/>
      </patternFill>
    </fill>
  </fills>
  <borders count="3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rgb="FF0000FF"/>
      </left>
      <right style="hair">
        <color rgb="FF0000FF"/>
      </right>
      <top style="thin">
        <color auto="1"/>
      </top>
      <bottom style="hair">
        <color rgb="FF0000FF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thin">
        <color indexed="13"/>
      </right>
      <top/>
      <bottom style="thin">
        <color indexed="13"/>
      </bottom>
      <diagonal/>
    </border>
    <border>
      <left style="thin">
        <color indexed="13"/>
      </left>
      <right/>
      <top/>
      <bottom style="thin">
        <color indexed="13"/>
      </bottom>
      <diagonal/>
    </border>
    <border>
      <left/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/>
      <top style="thin">
        <color indexed="13"/>
      </top>
      <bottom style="thin">
        <color indexed="13"/>
      </bottom>
      <diagonal/>
    </border>
    <border>
      <left/>
      <right style="thin">
        <color indexed="13"/>
      </right>
      <top/>
      <bottom style="thin">
        <color indexed="64"/>
      </bottom>
      <diagonal/>
    </border>
    <border>
      <left style="thin">
        <color indexed="13"/>
      </left>
      <right/>
      <top/>
      <bottom style="thin">
        <color indexed="64"/>
      </bottom>
      <diagonal/>
    </border>
    <border>
      <left style="medium">
        <color rgb="FF00B050"/>
      </left>
      <right style="thin">
        <color indexed="64"/>
      </right>
      <top style="medium">
        <color rgb="FF00B050"/>
      </top>
      <bottom style="medium">
        <color rgb="FF00B050"/>
      </bottom>
      <diagonal/>
    </border>
    <border>
      <left/>
      <right style="thin">
        <color indexed="64"/>
      </right>
      <top style="thin">
        <color indexed="13"/>
      </top>
      <bottom style="thin">
        <color indexed="13"/>
      </bottom>
      <diagonal/>
    </border>
    <border>
      <left/>
      <right style="thin">
        <color indexed="64"/>
      </right>
      <top style="thin">
        <color indexed="1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1" fillId="0" borderId="0"/>
    <xf numFmtId="0" fontId="3" fillId="0" borderId="0"/>
    <xf numFmtId="0" fontId="1" fillId="0" borderId="0"/>
    <xf numFmtId="9" fontId="1" fillId="0" borderId="0"/>
    <xf numFmtId="43" fontId="7" fillId="0" borderId="0"/>
    <xf numFmtId="0" fontId="3" fillId="0" borderId="0"/>
    <xf numFmtId="14" fontId="12" fillId="0" borderId="3"/>
    <xf numFmtId="0" fontId="2" fillId="0" borderId="0"/>
    <xf numFmtId="9" fontId="2" fillId="0" borderId="0"/>
    <xf numFmtId="0" fontId="16" fillId="15" borderId="16"/>
    <xf numFmtId="188" fontId="3" fillId="0" borderId="0"/>
    <xf numFmtId="189" fontId="21" fillId="0" borderId="0"/>
  </cellStyleXfs>
  <cellXfs count="270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4" fillId="0" borderId="0" pivotButton="0" quotePrefix="0" xfId="1"/>
    <xf numFmtId="164" fontId="2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pivotButton="0" quotePrefix="0" xfId="1"/>
    <xf numFmtId="164" fontId="5" fillId="2" borderId="0" applyAlignment="1" pivotButton="0" quotePrefix="0" xfId="0">
      <alignment horizontal="center"/>
    </xf>
    <xf numFmtId="165" fontId="5" fillId="2" borderId="0" applyAlignment="1" pivotButton="0" quotePrefix="0" xfId="0">
      <alignment horizontal="center"/>
    </xf>
    <xf numFmtId="166" fontId="4" fillId="3" borderId="0" applyAlignment="1" pivotButton="0" quotePrefix="0" xfId="2">
      <alignment horizontal="center"/>
    </xf>
    <xf numFmtId="167" fontId="5" fillId="4" borderId="0" applyAlignment="1" pivotButton="0" quotePrefix="0" xfId="2">
      <alignment horizontal="center"/>
    </xf>
    <xf numFmtId="166" fontId="2" fillId="3" borderId="0" applyAlignment="1" pivotButton="0" quotePrefix="0" xfId="2">
      <alignment horizontal="center"/>
    </xf>
    <xf numFmtId="168" fontId="2" fillId="0" borderId="0" applyAlignment="1" pivotButton="0" quotePrefix="0" xfId="2">
      <alignment horizontal="center"/>
    </xf>
    <xf numFmtId="0" fontId="6" fillId="6" borderId="0" applyAlignment="1" pivotButton="0" quotePrefix="0" xfId="1">
      <alignment horizontal="left"/>
    </xf>
    <xf numFmtId="0" fontId="4" fillId="0" borderId="0" applyAlignment="1" pivotButton="0" quotePrefix="0" xfId="0">
      <alignment horizontal="center"/>
    </xf>
    <xf numFmtId="0" fontId="4" fillId="3" borderId="0" pivotButton="0" quotePrefix="0" xfId="1"/>
    <xf numFmtId="164" fontId="4" fillId="7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8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4" fillId="9" borderId="0" pivotButton="0" quotePrefix="0" xfId="1"/>
    <xf numFmtId="164" fontId="4" fillId="8" borderId="0" applyAlignment="1" pivotButton="0" quotePrefix="0" xfId="0">
      <alignment horizontal="center"/>
    </xf>
    <xf numFmtId="164" fontId="2" fillId="8" borderId="0" applyAlignment="1" pivotButton="0" quotePrefix="0" xfId="0">
      <alignment horizontal="center"/>
    </xf>
    <xf numFmtId="0" fontId="4" fillId="8" borderId="0" pivotButton="0" quotePrefix="0" xfId="0"/>
    <xf numFmtId="169" fontId="2" fillId="3" borderId="0" applyAlignment="1" pivotButton="0" quotePrefix="0" xfId="1">
      <alignment horizontal="left"/>
    </xf>
    <xf numFmtId="164" fontId="2" fillId="7" borderId="0" applyAlignment="1" pivotButton="0" quotePrefix="0" xfId="0">
      <alignment horizontal="center"/>
    </xf>
    <xf numFmtId="0" fontId="2" fillId="3" borderId="0" applyAlignment="1" pivotButton="0" quotePrefix="0" xfId="1">
      <alignment horizontal="left"/>
    </xf>
    <xf numFmtId="0" fontId="4" fillId="3" borderId="0" applyAlignment="1" pivotButton="0" quotePrefix="0" xfId="1">
      <alignment horizontal="left"/>
    </xf>
    <xf numFmtId="0" fontId="2" fillId="3" borderId="1" applyAlignment="1" pivotButton="0" quotePrefix="0" xfId="1">
      <alignment horizontal="left"/>
    </xf>
    <xf numFmtId="0" fontId="2" fillId="3" borderId="0" pivotButton="0" quotePrefix="0" xfId="1"/>
    <xf numFmtId="0" fontId="2" fillId="3" borderId="1" pivotButton="0" quotePrefix="0" xfId="1"/>
    <xf numFmtId="0" fontId="4" fillId="5" borderId="0" applyAlignment="1" pivotButton="0" quotePrefix="0" xfId="2">
      <alignment horizontal="center"/>
    </xf>
    <xf numFmtId="169" fontId="2" fillId="0" borderId="0" applyAlignment="1" pivotButton="0" quotePrefix="0" xfId="1">
      <alignment horizontal="left"/>
    </xf>
    <xf numFmtId="170" fontId="2" fillId="9" borderId="0" pivotButton="0" quotePrefix="0" xfId="1"/>
    <xf numFmtId="0" fontId="2" fillId="0" borderId="0" applyAlignment="1" pivotButton="0" quotePrefix="0" xfId="1">
      <alignment horizontal="left"/>
    </xf>
    <xf numFmtId="168" fontId="5" fillId="4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 vertical="center"/>
    </xf>
    <xf numFmtId="171" fontId="2" fillId="0" borderId="0" applyAlignment="1" pivotButton="0" quotePrefix="0" xfId="0">
      <alignment horizontal="center"/>
    </xf>
    <xf numFmtId="0" fontId="2" fillId="9" borderId="0" applyAlignment="1" pivotButton="0" quotePrefix="0" xfId="1">
      <alignment horizontal="left"/>
    </xf>
    <xf numFmtId="0" fontId="2" fillId="8" borderId="0" pivotButton="0" quotePrefix="0" xfId="0"/>
    <xf numFmtId="170" fontId="2" fillId="0" borderId="0" applyAlignment="1" pivotButton="0" quotePrefix="0" xfId="0">
      <alignment horizontal="center"/>
    </xf>
    <xf numFmtId="169" fontId="2" fillId="9" borderId="0" applyAlignment="1" pivotButton="0" quotePrefix="0" xfId="1">
      <alignment horizontal="left"/>
    </xf>
    <xf numFmtId="40" fontId="2" fillId="0" borderId="0" applyAlignment="1" pivotButton="0" quotePrefix="0" xfId="0">
      <alignment horizontal="center"/>
    </xf>
    <xf numFmtId="38" fontId="2" fillId="0" borderId="0" applyAlignment="1" pivotButton="0" quotePrefix="0" xfId="0">
      <alignment horizontal="center"/>
    </xf>
    <xf numFmtId="10" fontId="5" fillId="4" borderId="0" applyAlignment="1" pivotButton="0" quotePrefix="0" xfId="0">
      <alignment horizontal="center"/>
    </xf>
    <xf numFmtId="170" fontId="5" fillId="4" borderId="0" applyAlignment="1" pivotButton="0" quotePrefix="0" xfId="0">
      <alignment horizontal="center"/>
    </xf>
    <xf numFmtId="38" fontId="5" fillId="2" borderId="0" applyAlignment="1" pivotButton="0" quotePrefix="0" xfId="0">
      <alignment horizontal="center"/>
    </xf>
    <xf numFmtId="9" fontId="2" fillId="8" borderId="0" applyAlignment="1" pivotButton="0" quotePrefix="0" xfId="3">
      <alignment horizontal="center"/>
    </xf>
    <xf numFmtId="9" fontId="2" fillId="0" borderId="0" applyAlignment="1" pivotButton="0" quotePrefix="0" xfId="3">
      <alignment horizontal="center"/>
    </xf>
    <xf numFmtId="165" fontId="5" fillId="0" borderId="0" applyAlignment="1" pivotButton="0" quotePrefix="0" xfId="0">
      <alignment horizontal="center"/>
    </xf>
    <xf numFmtId="0" fontId="2" fillId="0" borderId="0" applyAlignment="1" pivotButton="0" quotePrefix="0" xfId="2">
      <alignment horizontal="center"/>
    </xf>
    <xf numFmtId="171" fontId="2" fillId="0" borderId="0" pivotButton="0" quotePrefix="0" xfId="0"/>
    <xf numFmtId="0" fontId="8" fillId="9" borderId="0" applyAlignment="1" pivotButton="0" quotePrefix="0" xfId="1">
      <alignment horizontal="left"/>
    </xf>
    <xf numFmtId="0" fontId="9" fillId="10" borderId="0" pivotButton="0" quotePrefix="0" xfId="0"/>
    <xf numFmtId="170" fontId="2" fillId="8" borderId="0" applyAlignment="1" pivotButton="0" quotePrefix="0" xfId="3">
      <alignment horizontal="center"/>
    </xf>
    <xf numFmtId="170" fontId="5" fillId="4" borderId="0" applyAlignment="1" pivotButton="0" quotePrefix="0" xfId="3">
      <alignment horizontal="center"/>
    </xf>
    <xf numFmtId="170" fontId="2" fillId="0" borderId="0" applyAlignment="1" pivotButton="0" quotePrefix="0" xfId="3">
      <alignment horizontal="center"/>
    </xf>
    <xf numFmtId="170" fontId="2" fillId="9" borderId="0" applyAlignment="1" pivotButton="0" quotePrefix="0" xfId="1">
      <alignment horizontal="left"/>
    </xf>
    <xf numFmtId="0" fontId="11" fillId="0" borderId="0" pivotButton="0" quotePrefix="0" xfId="5"/>
    <xf numFmtId="0" fontId="8" fillId="0" borderId="0" pivotButton="0" quotePrefix="0" xfId="5"/>
    <xf numFmtId="0" fontId="8" fillId="0" borderId="2" pivotButton="0" quotePrefix="0" xfId="5"/>
    <xf numFmtId="172" fontId="13" fillId="2" borderId="4" applyAlignment="1" pivotButton="0" quotePrefix="0" xfId="6">
      <alignment horizontal="center"/>
    </xf>
    <xf numFmtId="173" fontId="5" fillId="2" borderId="0" applyAlignment="1" pivotButton="0" quotePrefix="0" xfId="5">
      <alignment horizontal="center"/>
    </xf>
    <xf numFmtId="170" fontId="8" fillId="0" borderId="0" applyAlignment="1" pivotButton="0" quotePrefix="0" xfId="5">
      <alignment horizontal="right"/>
    </xf>
    <xf numFmtId="172" fontId="13" fillId="2" borderId="4" applyAlignment="1" pivotButton="0" quotePrefix="0" xfId="6">
      <alignment horizontal="right"/>
    </xf>
    <xf numFmtId="170" fontId="8" fillId="0" borderId="0" applyAlignment="1" pivotButton="0" quotePrefix="0" xfId="5">
      <alignment horizontal="center"/>
    </xf>
    <xf numFmtId="174" fontId="13" fillId="0" borderId="0" applyAlignment="1" pivotButton="0" quotePrefix="0" xfId="5">
      <alignment horizontal="center"/>
    </xf>
    <xf numFmtId="175" fontId="8" fillId="0" borderId="0" applyAlignment="1" pivotButton="0" quotePrefix="0" xfId="5">
      <alignment horizontal="center"/>
    </xf>
    <xf numFmtId="0" fontId="14" fillId="0" borderId="0" pivotButton="0" quotePrefix="0" xfId="5"/>
    <xf numFmtId="176" fontId="8" fillId="0" borderId="0" pivotButton="0" quotePrefix="0" xfId="5"/>
    <xf numFmtId="0" fontId="4" fillId="11" borderId="0" pivotButton="0" quotePrefix="0" xfId="5"/>
    <xf numFmtId="0" fontId="4" fillId="11" borderId="3" pivotButton="0" quotePrefix="0" xfId="5"/>
    <xf numFmtId="0" fontId="9" fillId="12" borderId="3" applyAlignment="1" pivotButton="0" quotePrefix="0" xfId="5">
      <alignment horizontal="centerContinuous"/>
    </xf>
    <xf numFmtId="0" fontId="10" fillId="12" borderId="3" applyAlignment="1" pivotButton="0" quotePrefix="0" xfId="5">
      <alignment horizontal="centerContinuous"/>
    </xf>
    <xf numFmtId="0" fontId="9" fillId="13" borderId="3" applyAlignment="1" pivotButton="0" quotePrefix="0" xfId="5">
      <alignment horizontal="centerContinuous"/>
    </xf>
    <xf numFmtId="0" fontId="10" fillId="13" borderId="3" applyAlignment="1" pivotButton="0" quotePrefix="0" xfId="5">
      <alignment horizontal="centerContinuous"/>
    </xf>
    <xf numFmtId="0" fontId="14" fillId="0" borderId="0" applyAlignment="1" pivotButton="0" quotePrefix="0" xfId="5">
      <alignment horizontal="center"/>
    </xf>
    <xf numFmtId="0" fontId="8" fillId="0" borderId="0" applyAlignment="1" pivotButton="0" quotePrefix="0" xfId="5">
      <alignment horizontal="center"/>
    </xf>
    <xf numFmtId="1" fontId="14" fillId="0" borderId="0" applyAlignment="1" pivotButton="0" quotePrefix="0" xfId="5">
      <alignment horizontal="center"/>
    </xf>
    <xf numFmtId="0" fontId="8" fillId="0" borderId="3" pivotButton="0" quotePrefix="0" xfId="5"/>
    <xf numFmtId="165" fontId="8" fillId="0" borderId="3" applyAlignment="1" pivotButton="0" quotePrefix="0" xfId="5">
      <alignment horizontal="center"/>
    </xf>
    <xf numFmtId="165" fontId="8" fillId="0" borderId="0" applyAlignment="1" pivotButton="0" quotePrefix="0" xfId="5">
      <alignment horizontal="center"/>
    </xf>
    <xf numFmtId="0" fontId="8" fillId="0" borderId="5" pivotButton="0" quotePrefix="0" xfId="5"/>
    <xf numFmtId="174" fontId="8" fillId="14" borderId="6" applyAlignment="1" pivotButton="0" quotePrefix="0" xfId="5">
      <alignment horizontal="center"/>
    </xf>
    <xf numFmtId="174" fontId="8" fillId="14" borderId="7" applyAlignment="1" pivotButton="0" quotePrefix="0" xfId="5">
      <alignment horizontal="center"/>
    </xf>
    <xf numFmtId="170" fontId="14" fillId="0" borderId="0" applyAlignment="1" pivotButton="0" quotePrefix="0" xfId="8">
      <alignment horizontal="center"/>
    </xf>
    <xf numFmtId="0" fontId="8" fillId="0" borderId="8" pivotButton="0" quotePrefix="0" xfId="5"/>
    <xf numFmtId="170" fontId="14" fillId="0" borderId="3" applyAlignment="1" pivotButton="0" quotePrefix="0" xfId="8">
      <alignment horizontal="center"/>
    </xf>
    <xf numFmtId="170" fontId="14" fillId="0" borderId="9" applyAlignment="1" pivotButton="0" quotePrefix="0" xfId="8">
      <alignment horizontal="center"/>
    </xf>
    <xf numFmtId="174" fontId="8" fillId="0" borderId="5" pivotButton="0" quotePrefix="0" xfId="5"/>
    <xf numFmtId="0" fontId="8" fillId="0" borderId="6" pivotButton="0" quotePrefix="0" xfId="5"/>
    <xf numFmtId="0" fontId="8" fillId="0" borderId="7" pivotButton="0" quotePrefix="0" xfId="5"/>
    <xf numFmtId="170" fontId="8" fillId="0" borderId="3" applyAlignment="1" pivotButton="0" quotePrefix="0" xfId="8">
      <alignment horizontal="center"/>
    </xf>
    <xf numFmtId="0" fontId="8" fillId="0" borderId="9" pivotButton="0" quotePrefix="0" xfId="5"/>
    <xf numFmtId="170" fontId="8" fillId="0" borderId="9" applyAlignment="1" pivotButton="0" quotePrefix="0" xfId="8">
      <alignment horizontal="center"/>
    </xf>
    <xf numFmtId="170" fontId="8" fillId="14" borderId="6" applyAlignment="1" pivotButton="0" quotePrefix="0" xfId="5">
      <alignment horizontal="center"/>
    </xf>
    <xf numFmtId="170" fontId="8" fillId="14" borderId="7" applyAlignment="1" pivotButton="0" quotePrefix="0" xfId="5">
      <alignment horizontal="center"/>
    </xf>
    <xf numFmtId="174" fontId="8" fillId="0" borderId="3" applyAlignment="1" pivotButton="0" quotePrefix="0" xfId="5">
      <alignment horizontal="center"/>
    </xf>
    <xf numFmtId="174" fontId="8" fillId="0" borderId="9" applyAlignment="1" pivotButton="0" quotePrefix="0" xfId="5">
      <alignment horizontal="center"/>
    </xf>
    <xf numFmtId="174" fontId="8" fillId="0" borderId="10" applyAlignment="1" pivotButton="0" quotePrefix="0" xfId="5">
      <alignment horizontal="left"/>
    </xf>
    <xf numFmtId="174" fontId="8" fillId="14" borderId="11" applyAlignment="1" pivotButton="0" quotePrefix="0" xfId="5">
      <alignment horizontal="center"/>
    </xf>
    <xf numFmtId="174" fontId="8" fillId="14" borderId="12" applyAlignment="1" pivotButton="0" quotePrefix="0" xfId="5">
      <alignment horizontal="center"/>
    </xf>
    <xf numFmtId="174" fontId="8" fillId="0" borderId="5" applyAlignment="1" pivotButton="0" quotePrefix="0" xfId="5">
      <alignment horizontal="left"/>
    </xf>
    <xf numFmtId="174" fontId="8" fillId="0" borderId="6" applyAlignment="1" pivotButton="0" quotePrefix="0" xfId="5">
      <alignment horizontal="center"/>
    </xf>
    <xf numFmtId="174" fontId="8" fillId="0" borderId="7" applyAlignment="1" pivotButton="0" quotePrefix="0" xfId="5">
      <alignment horizontal="center"/>
    </xf>
    <xf numFmtId="174" fontId="8" fillId="0" borderId="13" applyAlignment="1" pivotButton="0" quotePrefix="0" xfId="5">
      <alignment horizontal="left"/>
    </xf>
    <xf numFmtId="174" fontId="8" fillId="14" borderId="0" applyAlignment="1" pivotButton="0" quotePrefix="0" xfId="5">
      <alignment horizontal="center"/>
    </xf>
    <xf numFmtId="174" fontId="8" fillId="14" borderId="14" applyAlignment="1" pivotButton="0" quotePrefix="0" xfId="5">
      <alignment horizontal="center"/>
    </xf>
    <xf numFmtId="174" fontId="8" fillId="0" borderId="8" applyAlignment="1" pivotButton="0" quotePrefix="0" xfId="5">
      <alignment horizontal="left"/>
    </xf>
    <xf numFmtId="174" fontId="8" fillId="14" borderId="3" applyAlignment="1" pivotButton="0" quotePrefix="0" xfId="5">
      <alignment horizontal="center"/>
    </xf>
    <xf numFmtId="174" fontId="8" fillId="14" borderId="9" applyAlignment="1" pivotButton="0" quotePrefix="0" xfId="5">
      <alignment horizontal="center"/>
    </xf>
    <xf numFmtId="174" fontId="8" fillId="0" borderId="0" applyAlignment="1" pivotButton="0" quotePrefix="0" xfId="5">
      <alignment horizontal="center"/>
    </xf>
    <xf numFmtId="174" fontId="8" fillId="0" borderId="15" applyAlignment="1" pivotButton="0" quotePrefix="0" xfId="5">
      <alignment horizontal="center"/>
    </xf>
    <xf numFmtId="0" fontId="8" fillId="0" borderId="13" pivotButton="0" quotePrefix="0" xfId="5"/>
    <xf numFmtId="0" fontId="8" fillId="0" borderId="14" pivotButton="0" quotePrefix="0" xfId="5"/>
    <xf numFmtId="174" fontId="2" fillId="0" borderId="0" applyAlignment="1" pivotButton="0" quotePrefix="0" xfId="5">
      <alignment horizontal="center"/>
    </xf>
    <xf numFmtId="174" fontId="2" fillId="0" borderId="14" applyAlignment="1" pivotButton="0" quotePrefix="0" xfId="5">
      <alignment horizontal="center"/>
    </xf>
    <xf numFmtId="170" fontId="5" fillId="2" borderId="3" applyAlignment="1" pivotButton="0" quotePrefix="0" xfId="8">
      <alignment horizontal="center"/>
    </xf>
    <xf numFmtId="170" fontId="5" fillId="2" borderId="9" applyAlignment="1" pivotButton="0" quotePrefix="0" xfId="8">
      <alignment horizontal="center"/>
    </xf>
    <xf numFmtId="0" fontId="14" fillId="0" borderId="10" pivotButton="0" quotePrefix="0" xfId="5"/>
    <xf numFmtId="170" fontId="14" fillId="14" borderId="11" applyAlignment="1" pivotButton="0" quotePrefix="0" xfId="5">
      <alignment horizontal="center"/>
    </xf>
    <xf numFmtId="170" fontId="14" fillId="0" borderId="11" applyAlignment="1" pivotButton="0" quotePrefix="0" xfId="8">
      <alignment horizontal="center"/>
    </xf>
    <xf numFmtId="170" fontId="14" fillId="0" borderId="12" applyAlignment="1" pivotButton="0" quotePrefix="0" xfId="8">
      <alignment horizontal="center"/>
    </xf>
    <xf numFmtId="170" fontId="14" fillId="0" borderId="0" applyAlignment="1" pivotButton="0" quotePrefix="0" xfId="5">
      <alignment horizontal="center"/>
    </xf>
    <xf numFmtId="177" fontId="8" fillId="0" borderId="0" applyAlignment="1" pivotButton="0" quotePrefix="0" xfId="7">
      <alignment horizontal="center" vertical="center"/>
    </xf>
    <xf numFmtId="174" fontId="14" fillId="0" borderId="0" applyAlignment="1" pivotButton="0" quotePrefix="0" xfId="5">
      <alignment horizontal="center"/>
    </xf>
    <xf numFmtId="174" fontId="17" fillId="0" borderId="16" applyAlignment="1" pivotButton="0" quotePrefix="0" xfId="9">
      <alignment horizontal="center"/>
    </xf>
    <xf numFmtId="0" fontId="8" fillId="0" borderId="0" applyAlignment="1" pivotButton="0" quotePrefix="0" xfId="5">
      <alignment horizontal="left" indent="1"/>
    </xf>
    <xf numFmtId="40" fontId="8" fillId="0" borderId="0" applyAlignment="1" pivotButton="0" quotePrefix="0" xfId="5">
      <alignment horizontal="center"/>
    </xf>
    <xf numFmtId="40" fontId="17" fillId="0" borderId="16" applyAlignment="1" pivotButton="0" quotePrefix="0" xfId="9">
      <alignment horizontal="center"/>
    </xf>
    <xf numFmtId="10" fontId="8" fillId="0" borderId="0" pivotButton="0" quotePrefix="0" xfId="5"/>
    <xf numFmtId="174" fontId="14" fillId="0" borderId="0" pivotButton="0" quotePrefix="0" xfId="5"/>
    <xf numFmtId="175" fontId="8" fillId="0" borderId="0" pivotButton="0" quotePrefix="0" xfId="5"/>
    <xf numFmtId="0" fontId="4" fillId="11" borderId="5" pivotButton="0" quotePrefix="0" xfId="5"/>
    <xf numFmtId="170" fontId="2" fillId="11" borderId="7" applyAlignment="1" pivotButton="0" quotePrefix="0" xfId="5">
      <alignment horizontal="center"/>
    </xf>
    <xf numFmtId="0" fontId="4" fillId="11" borderId="6" pivotButton="0" quotePrefix="0" xfId="5"/>
    <xf numFmtId="0" fontId="2" fillId="11" borderId="6" pivotButton="0" quotePrefix="0" xfId="5"/>
    <xf numFmtId="0" fontId="4" fillId="11" borderId="17" pivotButton="0" quotePrefix="0" xfId="5"/>
    <xf numFmtId="170" fontId="2" fillId="11" borderId="18" applyAlignment="1" pivotButton="0" quotePrefix="0" xfId="5">
      <alignment horizontal="center"/>
    </xf>
    <xf numFmtId="0" fontId="2" fillId="11" borderId="18" pivotButton="0" quotePrefix="0" xfId="5"/>
    <xf numFmtId="0" fontId="2" fillId="11" borderId="19" pivotButton="0" quotePrefix="0" xfId="5"/>
    <xf numFmtId="0" fontId="14" fillId="0" borderId="13" applyAlignment="1" pivotButton="0" quotePrefix="0" xfId="5">
      <alignment horizontal="left" indent="1"/>
    </xf>
    <xf numFmtId="174" fontId="8" fillId="0" borderId="14" applyAlignment="1" pivotButton="0" quotePrefix="0" xfId="5">
      <alignment horizontal="right" indent="1"/>
    </xf>
    <xf numFmtId="0" fontId="14" fillId="0" borderId="0" applyAlignment="1" pivotButton="0" quotePrefix="0" xfId="5">
      <alignment horizontal="left" indent="1"/>
    </xf>
    <xf numFmtId="0" fontId="8" fillId="0" borderId="13" applyAlignment="1" pivotButton="0" quotePrefix="0" xfId="5">
      <alignment horizontal="left" indent="1"/>
    </xf>
    <xf numFmtId="174" fontId="2" fillId="14" borderId="14" applyAlignment="1" pivotButton="0" quotePrefix="0" xfId="5">
      <alignment horizontal="center"/>
    </xf>
    <xf numFmtId="170" fontId="18" fillId="2" borderId="14" applyAlignment="1" pivotButton="0" quotePrefix="0" xfId="5">
      <alignment horizontal="center"/>
    </xf>
    <xf numFmtId="0" fontId="19" fillId="0" borderId="0" applyAlignment="1" pivotButton="0" quotePrefix="0" xfId="5">
      <alignment horizontal="left" indent="1"/>
    </xf>
    <xf numFmtId="178" fontId="2" fillId="14" borderId="14" applyAlignment="1" pivotButton="0" quotePrefix="0" xfId="6">
      <alignment horizontal="center"/>
    </xf>
    <xf numFmtId="170" fontId="4" fillId="0" borderId="20" applyAlignment="1" pivotButton="0" quotePrefix="0" xfId="0">
      <alignment horizontal="center"/>
    </xf>
    <xf numFmtId="0" fontId="8" fillId="0" borderId="3" applyAlignment="1" pivotButton="0" quotePrefix="0" xfId="5">
      <alignment horizontal="left" indent="1"/>
    </xf>
    <xf numFmtId="0" fontId="8" fillId="0" borderId="9" applyAlignment="1" pivotButton="0" quotePrefix="0" xfId="5">
      <alignment horizontal="right" indent="1"/>
    </xf>
    <xf numFmtId="174" fontId="14" fillId="0" borderId="14" applyAlignment="1" pivotButton="0" quotePrefix="0" xfId="5">
      <alignment horizontal="center"/>
    </xf>
    <xf numFmtId="0" fontId="8" fillId="0" borderId="3" applyAlignment="1" pivotButton="0" quotePrefix="0" xfId="5">
      <alignment horizontal="right"/>
    </xf>
    <xf numFmtId="179" fontId="13" fillId="2" borderId="21" pivotButton="0" quotePrefix="0" xfId="5"/>
    <xf numFmtId="178" fontId="13" fillId="2" borderId="22" pivotButton="0" quotePrefix="0" xfId="10"/>
    <xf numFmtId="175" fontId="8" fillId="0" borderId="14" applyAlignment="1" pivotButton="0" quotePrefix="0" xfId="5">
      <alignment horizontal="right" indent="1"/>
    </xf>
    <xf numFmtId="179" fontId="13" fillId="2" borderId="23" pivotButton="0" quotePrefix="0" xfId="5"/>
    <xf numFmtId="178" fontId="13" fillId="2" borderId="24" pivotButton="0" quotePrefix="0" xfId="10"/>
    <xf numFmtId="174" fontId="8" fillId="0" borderId="14" applyAlignment="1" pivotButton="0" quotePrefix="0" xfId="5">
      <alignment horizontal="center"/>
    </xf>
    <xf numFmtId="179" fontId="13" fillId="2" borderId="25" pivotButton="0" quotePrefix="0" xfId="5"/>
    <xf numFmtId="178" fontId="13" fillId="2" borderId="26" pivotButton="0" quotePrefix="0" xfId="10"/>
    <xf numFmtId="175" fontId="8" fillId="0" borderId="9" applyAlignment="1" pivotButton="0" quotePrefix="0" xfId="5">
      <alignment horizontal="right" indent="1"/>
    </xf>
    <xf numFmtId="180" fontId="13" fillId="2" borderId="14" applyAlignment="1" pivotButton="0" quotePrefix="0" xfId="5">
      <alignment horizontal="center"/>
    </xf>
    <xf numFmtId="181" fontId="8" fillId="0" borderId="0" applyAlignment="1" pivotButton="0" quotePrefix="0" xfId="5">
      <alignment horizontal="right"/>
    </xf>
    <xf numFmtId="182" fontId="8" fillId="0" borderId="14" applyAlignment="1" pivotButton="0" quotePrefix="0" xfId="5">
      <alignment horizontal="right" indent="1"/>
    </xf>
    <xf numFmtId="0" fontId="8" fillId="0" borderId="0" applyAlignment="1" pivotButton="0" quotePrefix="0" xfId="5">
      <alignment horizontal="right"/>
    </xf>
    <xf numFmtId="174" fontId="20" fillId="0" borderId="0" pivotButton="0" quotePrefix="0" xfId="5"/>
    <xf numFmtId="174" fontId="8" fillId="0" borderId="14" pivotButton="0" quotePrefix="0" xfId="5"/>
    <xf numFmtId="178" fontId="14" fillId="0" borderId="27" applyAlignment="1" pivotButton="0" quotePrefix="0" xfId="5">
      <alignment horizontal="center"/>
    </xf>
    <xf numFmtId="179" fontId="13" fillId="2" borderId="28" applyAlignment="1" pivotButton="0" quotePrefix="0" xfId="5">
      <alignment horizontal="right" indent="1"/>
    </xf>
    <xf numFmtId="0" fontId="8" fillId="0" borderId="14" applyAlignment="1" pivotButton="0" quotePrefix="0" xfId="5">
      <alignment horizontal="right" indent="1"/>
    </xf>
    <xf numFmtId="178" fontId="14" fillId="0" borderId="14" applyAlignment="1" pivotButton="0" quotePrefix="0" xfId="5">
      <alignment horizontal="center"/>
    </xf>
    <xf numFmtId="179" fontId="13" fillId="2" borderId="29" applyAlignment="1" pivotButton="0" quotePrefix="0" xfId="5">
      <alignment horizontal="right" indent="1"/>
    </xf>
    <xf numFmtId="37" fontId="13" fillId="2" borderId="14" applyAlignment="1" pivotButton="0" quotePrefix="0" xfId="5">
      <alignment horizontal="right" indent="1"/>
    </xf>
    <xf numFmtId="0" fontId="14" fillId="0" borderId="0" applyAlignment="1" pivotButton="0" quotePrefix="0" xfId="5">
      <alignment horizontal="right"/>
    </xf>
    <xf numFmtId="174" fontId="14" fillId="0" borderId="14" applyAlignment="1" pivotButton="0" quotePrefix="0" xfId="11">
      <alignment horizontal="right" indent="1"/>
    </xf>
    <xf numFmtId="0" fontId="8" fillId="0" borderId="8" applyAlignment="1" pivotButton="0" quotePrefix="0" xfId="5">
      <alignment horizontal="left" indent="1"/>
    </xf>
    <xf numFmtId="170" fontId="8" fillId="0" borderId="9" applyAlignment="1" pivotButton="0" quotePrefix="0" xfId="5">
      <alignment horizontal="right" indent="1"/>
    </xf>
    <xf numFmtId="0" fontId="4" fillId="11" borderId="2" pivotButton="0" quotePrefix="0" xfId="5"/>
    <xf numFmtId="170" fontId="2" fillId="11" borderId="2" applyAlignment="1" pivotButton="0" quotePrefix="0" xfId="5">
      <alignment horizontal="center"/>
    </xf>
    <xf numFmtId="0" fontId="2" fillId="11" borderId="2" pivotButton="0" quotePrefix="0" xfId="5"/>
    <xf numFmtId="0" fontId="14" fillId="0" borderId="3" pivotButton="0" quotePrefix="0" xfId="5"/>
    <xf numFmtId="170" fontId="13" fillId="2" borderId="0" applyAlignment="1" pivotButton="0" quotePrefix="0" xfId="5">
      <alignment horizontal="center"/>
    </xf>
    <xf numFmtId="0" fontId="14" fillId="0" borderId="3" applyAlignment="1" pivotButton="0" quotePrefix="0" xfId="5">
      <alignment horizontal="centerContinuous"/>
    </xf>
    <xf numFmtId="0" fontId="14" fillId="0" borderId="10" applyAlignment="1" pivotButton="0" quotePrefix="0" xfId="5">
      <alignment horizontal="centerContinuous"/>
    </xf>
    <xf numFmtId="0" fontId="14" fillId="0" borderId="11" applyAlignment="1" pivotButton="0" quotePrefix="0" xfId="5">
      <alignment horizontal="centerContinuous"/>
    </xf>
    <xf numFmtId="0" fontId="8" fillId="0" borderId="11" applyAlignment="1" pivotButton="0" quotePrefix="0" xfId="5">
      <alignment horizontal="right"/>
    </xf>
    <xf numFmtId="174" fontId="8" fillId="0" borderId="0" pivotButton="0" quotePrefix="0" xfId="5"/>
    <xf numFmtId="9" fontId="8" fillId="0" borderId="0" pivotButton="0" quotePrefix="0" xfId="5"/>
    <xf numFmtId="183" fontId="8" fillId="0" borderId="0" applyAlignment="1" pivotButton="0" quotePrefix="0" xfId="5">
      <alignment horizontal="center"/>
    </xf>
    <xf numFmtId="174" fontId="8" fillId="0" borderId="0" applyAlignment="1" pivotButton="0" quotePrefix="0" xfId="5">
      <alignment horizontal="right"/>
    </xf>
    <xf numFmtId="184" fontId="8" fillId="0" borderId="0" pivotButton="0" quotePrefix="0" xfId="5"/>
    <xf numFmtId="174" fontId="19" fillId="0" borderId="0" applyAlignment="1" pivotButton="0" quotePrefix="0" xfId="5">
      <alignment horizontal="right"/>
    </xf>
    <xf numFmtId="0" fontId="19" fillId="0" borderId="0" applyAlignment="1" pivotButton="0" quotePrefix="0" xfId="5">
      <alignment horizontal="right"/>
    </xf>
    <xf numFmtId="39" fontId="13" fillId="2" borderId="0" applyAlignment="1" pivotButton="0" quotePrefix="0" xfId="5">
      <alignment horizontal="center"/>
    </xf>
    <xf numFmtId="0" fontId="14" fillId="0" borderId="0" pivotButton="0" quotePrefix="1" xfId="5"/>
    <xf numFmtId="0" fontId="14" fillId="0" borderId="3" applyAlignment="1" pivotButton="0" quotePrefix="0" xfId="5">
      <alignment horizontal="left" wrapText="1"/>
    </xf>
    <xf numFmtId="0" fontId="14" fillId="0" borderId="3" applyAlignment="1" pivotButton="0" quotePrefix="0" xfId="5">
      <alignment horizontal="center" wrapText="1"/>
    </xf>
    <xf numFmtId="39" fontId="8" fillId="0" borderId="0" applyAlignment="1" pivotButton="0" quotePrefix="0" xfId="5">
      <alignment horizontal="center"/>
    </xf>
    <xf numFmtId="178" fontId="8" fillId="0" borderId="0" applyAlignment="1" pivotButton="0" quotePrefix="0" xfId="5">
      <alignment horizontal="center"/>
    </xf>
    <xf numFmtId="10" fontId="8" fillId="0" borderId="0" applyAlignment="1" pivotButton="0" quotePrefix="0" xfId="5">
      <alignment horizontal="center"/>
    </xf>
    <xf numFmtId="2" fontId="8" fillId="0" borderId="0" applyAlignment="1" pivotButton="0" quotePrefix="0" xfId="5">
      <alignment horizontal="center"/>
    </xf>
    <xf numFmtId="39" fontId="13" fillId="2" borderId="0" applyAlignment="1" pivotButton="0" quotePrefix="0" xfId="5">
      <alignment horizontal="left"/>
    </xf>
    <xf numFmtId="178" fontId="13" fillId="2" borderId="0" applyAlignment="1" pivotButton="0" quotePrefix="0" xfId="5">
      <alignment horizontal="center"/>
    </xf>
    <xf numFmtId="174" fontId="13" fillId="2" borderId="0" applyAlignment="1" pivotButton="0" quotePrefix="0" xfId="5">
      <alignment horizontal="center"/>
    </xf>
    <xf numFmtId="10" fontId="13" fillId="2" borderId="0" applyAlignment="1" pivotButton="0" quotePrefix="0" xfId="5">
      <alignment horizontal="center"/>
    </xf>
    <xf numFmtId="39" fontId="13" fillId="2" borderId="3" applyAlignment="1" pivotButton="0" quotePrefix="0" xfId="5">
      <alignment horizontal="left"/>
    </xf>
    <xf numFmtId="39" fontId="13" fillId="2" borderId="3" applyAlignment="1" pivotButton="0" quotePrefix="0" xfId="5">
      <alignment horizontal="center"/>
    </xf>
    <xf numFmtId="178" fontId="13" fillId="2" borderId="3" applyAlignment="1" pivotButton="0" quotePrefix="0" xfId="5">
      <alignment horizontal="center"/>
    </xf>
    <xf numFmtId="174" fontId="13" fillId="2" borderId="3" applyAlignment="1" pivotButton="0" quotePrefix="0" xfId="5">
      <alignment horizontal="center"/>
    </xf>
    <xf numFmtId="10" fontId="8" fillId="0" borderId="3" applyAlignment="1" pivotButton="0" quotePrefix="0" xfId="5">
      <alignment horizontal="center"/>
    </xf>
    <xf numFmtId="10" fontId="13" fillId="2" borderId="3" applyAlignment="1" pivotButton="0" quotePrefix="0" xfId="5">
      <alignment horizontal="center"/>
    </xf>
    <xf numFmtId="39" fontId="8" fillId="0" borderId="3" applyAlignment="1" pivotButton="0" quotePrefix="0" xfId="5">
      <alignment horizontal="center"/>
    </xf>
    <xf numFmtId="39" fontId="14" fillId="0" borderId="0" applyAlignment="1" pivotButton="0" quotePrefix="0" xfId="5">
      <alignment horizontal="right"/>
    </xf>
    <xf numFmtId="39" fontId="14" fillId="0" borderId="30" applyAlignment="1" pivotButton="0" quotePrefix="0" xfId="5">
      <alignment horizontal="center"/>
    </xf>
    <xf numFmtId="164" fontId="8" fillId="8" borderId="0" applyAlignment="1" pivotButton="0" quotePrefix="0" xfId="0">
      <alignment horizontal="center"/>
    </xf>
    <xf numFmtId="0" fontId="4" fillId="0" borderId="0" applyAlignment="1" pivotButton="0" quotePrefix="0" xfId="2">
      <alignment horizontal="center"/>
    </xf>
    <xf numFmtId="9" fontId="5" fillId="2" borderId="0" applyAlignment="1" pivotButton="0" quotePrefix="0" xfId="3">
      <alignment horizontal="center"/>
    </xf>
    <xf numFmtId="180" fontId="2" fillId="0" borderId="0" applyAlignment="1" pivotButton="0" quotePrefix="0" xfId="0">
      <alignment horizontal="center" vertical="center"/>
    </xf>
    <xf numFmtId="9" fontId="2" fillId="0" borderId="0" applyAlignment="1" pivotButton="0" quotePrefix="0" xfId="3">
      <alignment horizontal="center" vertical="center"/>
    </xf>
    <xf numFmtId="170" fontId="2" fillId="0" borderId="0" applyAlignment="1" pivotButton="0" quotePrefix="0" xfId="0">
      <alignment horizontal="center" vertical="center"/>
    </xf>
    <xf numFmtId="170" fontId="2" fillId="0" borderId="0" applyAlignment="1" pivotButton="0" quotePrefix="0" xfId="3">
      <alignment horizontal="center" vertical="center"/>
    </xf>
    <xf numFmtId="185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9" fontId="2" fillId="0" borderId="0" applyAlignment="1" pivotButton="0" quotePrefix="0" xfId="0">
      <alignment horizontal="center" vertical="center"/>
    </xf>
    <xf numFmtId="171" fontId="2" fillId="0" borderId="0" applyAlignment="1" pivotButton="0" quotePrefix="0" xfId="0">
      <alignment horizontal="center" vertical="center"/>
    </xf>
    <xf numFmtId="10" fontId="4" fillId="0" borderId="0" applyAlignment="1" pivotButton="0" quotePrefix="0" xfId="3">
      <alignment horizontal="center"/>
    </xf>
    <xf numFmtId="10" fontId="4" fillId="0" borderId="0" applyAlignment="1" pivotButton="0" quotePrefix="0" xfId="2">
      <alignment horizontal="center"/>
    </xf>
    <xf numFmtId="170" fontId="22" fillId="9" borderId="0" pivotButton="0" quotePrefix="0" xfId="1"/>
    <xf numFmtId="10" fontId="5" fillId="2" borderId="0" applyAlignment="1" pivotButton="0" quotePrefix="0" xfId="0">
      <alignment horizontal="center"/>
    </xf>
    <xf numFmtId="9" fontId="5" fillId="4" borderId="0" applyAlignment="1" pivotButton="0" quotePrefix="0" xfId="3">
      <alignment horizontal="center"/>
    </xf>
    <xf numFmtId="0" fontId="6" fillId="6" borderId="0" applyAlignment="1" pivotButton="0" quotePrefix="0" xfId="1">
      <alignment horizont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9" fontId="2" fillId="0" borderId="0" applyAlignment="1" pivotButton="0" quotePrefix="0" xfId="3">
      <alignment vertical="center"/>
    </xf>
    <xf numFmtId="180" fontId="2" fillId="0" borderId="0" applyAlignment="1" pivotButton="0" quotePrefix="0" xfId="0">
      <alignment vertical="center"/>
    </xf>
    <xf numFmtId="170" fontId="2" fillId="0" borderId="0" applyAlignment="1" pivotButton="0" quotePrefix="0" xfId="3">
      <alignment vertical="center"/>
    </xf>
    <xf numFmtId="164" fontId="2" fillId="0" borderId="0" applyAlignment="1" pivotButton="0" quotePrefix="0" xfId="0">
      <alignment vertical="center"/>
    </xf>
    <xf numFmtId="9" fontId="2" fillId="0" borderId="0" applyAlignment="1" pivotButton="0" quotePrefix="0" xfId="0">
      <alignment vertical="center"/>
    </xf>
    <xf numFmtId="171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right" vertical="center"/>
    </xf>
    <xf numFmtId="0" fontId="2" fillId="0" borderId="0" applyAlignment="1" pivotButton="0" quotePrefix="1" xfId="0">
      <alignment horizontal="center"/>
    </xf>
    <xf numFmtId="168" fontId="2" fillId="5" borderId="0" applyAlignment="1" pivotButton="0" quotePrefix="0" xfId="2">
      <alignment horizontal="center"/>
    </xf>
    <xf numFmtId="164" fontId="2" fillId="0" borderId="0" pivotButton="0" quotePrefix="0" xfId="0"/>
    <xf numFmtId="9" fontId="2" fillId="0" borderId="0" applyAlignment="1" pivotButton="0" quotePrefix="0" xfId="3">
      <alignment horizontal="left"/>
    </xf>
    <xf numFmtId="9" fontId="2" fillId="0" borderId="0" pivotButton="0" quotePrefix="0" xfId="3"/>
    <xf numFmtId="0" fontId="15" fillId="12" borderId="0" applyAlignment="1" pivotButton="0" quotePrefix="0" xfId="5">
      <alignment horizontal="center" wrapText="1"/>
    </xf>
    <xf numFmtId="0" fontId="8" fillId="0" borderId="0" pivotButton="0" quotePrefix="0" xfId="5"/>
    <xf numFmtId="170" fontId="5" fillId="16" borderId="0" applyAlignment="1" pivotButton="0" quotePrefix="0" xfId="0">
      <alignment horizontal="center"/>
    </xf>
    <xf numFmtId="164" fontId="2" fillId="16" borderId="0" applyAlignment="1" pivotButton="0" quotePrefix="0" xfId="0">
      <alignment horizontal="center"/>
    </xf>
    <xf numFmtId="0" fontId="23" fillId="13" borderId="3" applyAlignment="1" pivotButton="0" quotePrefix="0" xfId="5">
      <alignment horizontal="centerContinuous"/>
    </xf>
    <xf numFmtId="1" fontId="23" fillId="0" borderId="0" applyAlignment="1" pivotButton="0" quotePrefix="0" xfId="5">
      <alignment horizontal="center"/>
    </xf>
    <xf numFmtId="0" fontId="24" fillId="0" borderId="0" pivotButton="0" quotePrefix="0" xfId="0"/>
    <xf numFmtId="186" fontId="0" fillId="0" borderId="0" pivotButton="0" quotePrefix="0" xfId="0"/>
    <xf numFmtId="187" fontId="0" fillId="0" borderId="0" pivotButton="0" quotePrefix="0" xfId="0"/>
    <xf numFmtId="0" fontId="25" fillId="0" borderId="0" applyAlignment="1" pivotButton="0" quotePrefix="0" xfId="2">
      <alignment horizontal="center"/>
    </xf>
    <xf numFmtId="168" fontId="25" fillId="5" borderId="0" applyAlignment="1" pivotButton="0" quotePrefix="0" xfId="2">
      <alignment horizontal="center"/>
    </xf>
    <xf numFmtId="186" fontId="0" fillId="0" borderId="0" pivotButton="0" quotePrefix="0" xfId="0"/>
    <xf numFmtId="187" fontId="0" fillId="0" borderId="0" pivotButton="0" quotePrefix="0" xfId="0"/>
    <xf numFmtId="0" fontId="0" fillId="16" borderId="0" pivotButton="0" quotePrefix="0" xfId="0"/>
    <xf numFmtId="3" fontId="0" fillId="0" borderId="0" pivotButton="0" quotePrefix="0" xfId="0"/>
    <xf numFmtId="190" fontId="5" fillId="2" borderId="0" applyAlignment="1" pivotButton="0" quotePrefix="0" xfId="0">
      <alignment horizontal="center"/>
    </xf>
    <xf numFmtId="190" fontId="2" fillId="0" borderId="0" applyAlignment="1" pivotButton="0" quotePrefix="0" xfId="0">
      <alignment horizontal="center"/>
    </xf>
    <xf numFmtId="3" fontId="4" fillId="7" borderId="0" applyAlignment="1" pivotButton="0" quotePrefix="0" xfId="0">
      <alignment horizontal="center"/>
    </xf>
    <xf numFmtId="3" fontId="4" fillId="0" borderId="0" applyAlignment="1" pivotButton="0" quotePrefix="0" xfId="0">
      <alignment horizontal="center"/>
    </xf>
    <xf numFmtId="0" fontId="26" fillId="3" borderId="0" pivotButton="0" quotePrefix="0" xfId="1"/>
    <xf numFmtId="170" fontId="4" fillId="7" borderId="0" applyAlignment="1" pivotButton="0" quotePrefix="0" xfId="0">
      <alignment horizontal="center"/>
    </xf>
    <xf numFmtId="170" fontId="4" fillId="0" borderId="0" applyAlignment="1" pivotButton="0" quotePrefix="0" xfId="0">
      <alignment horizontal="center"/>
    </xf>
  </cellXfs>
  <cellStyles count="12">
    <cellStyle name="Normal" xfId="0" builtinId="0"/>
    <cellStyle name="Normal 2" xfId="1"/>
    <cellStyle name="Normal 2 2" xfId="2"/>
    <cellStyle name="Porcentagem" xfId="3" builtinId="5"/>
    <cellStyle name="Separador de milhares 2 17" xfId="4"/>
    <cellStyle name="Normal 2 3" xfId="5"/>
    <cellStyle name="m/d/yy" xfId="6"/>
    <cellStyle name="Normal 4" xfId="7"/>
    <cellStyle name="Porcentagem 3" xfId="8"/>
    <cellStyle name="Output_dcfmodel" xfId="9"/>
    <cellStyle name="Currency 2" xfId="10"/>
    <cellStyle name="Normal [3] 2" xfId="11"/>
  </cellStyles>
  <dxfs count="24"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</font>
      <fill>
        <patternFill patternType="solid">
          <fgColor rgb="FF00B050"/>
          <bgColor rgb="FF00B05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</font>
      <fill>
        <patternFill patternType="solid">
          <fgColor rgb="FF00B050"/>
          <bgColor rgb="FF00B05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None</author>
  </authors>
  <commentList>
    <comment ref="D64" authorId="0" shapeId="0">
      <text>
        <t>MG: 
- expected rate of return on new invested capital</t>
      </text>
    </comment>
  </commentList>
</comment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4"/>
  <sheetViews>
    <sheetView workbookViewId="0">
      <pane xSplit="10" ySplit="4" topLeftCell="K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6" customWidth="1" min="3" max="3"/>
    <col width="7" customWidth="1" min="4" max="4"/>
    <col width="6" customWidth="1" min="5" max="5"/>
    <col width="7" customWidth="1" min="6" max="6"/>
    <col width="8" customWidth="1" min="7" max="7"/>
    <col width="95" customWidth="1" min="8" max="8"/>
    <col width="20" customWidth="1" min="9" max="9"/>
    <col width="10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</cols>
  <sheetData>
    <row r="1">
      <c r="A1" t="inlineStr">
        <is>
          <t>Fator p/ milhões:</t>
        </is>
      </c>
      <c r="B1" t="n">
        <v>1e-06</v>
      </c>
      <c r="D1" t="inlineStr">
        <is>
          <t>Tesla Inc. (TSLA, CIK 1318605) - fonte: SEC EDGAR XBRL (instâncias dos 10-Q/10-K). Moeda: USD. Brutos em USD unidades (fator 0,000001 -&gt; milhões). Colunas = trimestres-CALENDÁRIO (cada fechamento vai para o fim de trimestre mais próximo); ano fiscal termina no trimestre-calendário de dez. Trimestre fiscal 4 (e qualquer trimestre sem 3M publicado) = acumulado do ano menos o acumulado anterior, calculado na extração.</t>
        </is>
      </c>
    </row>
    <row r="2">
      <c r="J2" t="inlineStr">
        <is>
          <t>Trimestre fiscal</t>
        </is>
      </c>
      <c r="K2" t="inlineStr">
        <is>
          <t>FQ1</t>
        </is>
      </c>
      <c r="L2" t="inlineStr">
        <is>
          <t>FQ2</t>
        </is>
      </c>
      <c r="M2" t="inlineStr">
        <is>
          <t>FQ3</t>
        </is>
      </c>
      <c r="N2" t="inlineStr">
        <is>
          <t>FQ4</t>
        </is>
      </c>
      <c r="O2" t="inlineStr">
        <is>
          <t>FQ1</t>
        </is>
      </c>
      <c r="P2" t="inlineStr">
        <is>
          <t>FQ2</t>
        </is>
      </c>
      <c r="Q2" t="inlineStr">
        <is>
          <t>FQ3</t>
        </is>
      </c>
      <c r="R2" t="inlineStr">
        <is>
          <t>FQ4</t>
        </is>
      </c>
      <c r="S2" t="inlineStr">
        <is>
          <t>FQ1</t>
        </is>
      </c>
      <c r="T2" t="inlineStr">
        <is>
          <t>FQ2</t>
        </is>
      </c>
      <c r="U2" t="inlineStr">
        <is>
          <t>FQ3</t>
        </is>
      </c>
      <c r="V2" t="inlineStr">
        <is>
          <t>FQ4</t>
        </is>
      </c>
      <c r="W2" t="inlineStr">
        <is>
          <t>FQ1</t>
        </is>
      </c>
      <c r="X2" t="inlineStr">
        <is>
          <t>FQ2</t>
        </is>
      </c>
      <c r="Y2" t="inlineStr">
        <is>
          <t>FQ3</t>
        </is>
      </c>
      <c r="Z2" t="inlineStr">
        <is>
          <t>FQ4</t>
        </is>
      </c>
      <c r="AA2" t="inlineStr">
        <is>
          <t>FQ1</t>
        </is>
      </c>
      <c r="AB2" t="inlineStr">
        <is>
          <t>FQ2</t>
        </is>
      </c>
      <c r="AC2" t="inlineStr">
        <is>
          <t>FQ3</t>
        </is>
      </c>
      <c r="AD2" t="inlineStr">
        <is>
          <t>FQ4</t>
        </is>
      </c>
      <c r="AE2" t="inlineStr">
        <is>
          <t>FQ1</t>
        </is>
      </c>
      <c r="AF2" t="inlineStr">
        <is>
          <t>FQ2</t>
        </is>
      </c>
      <c r="AG2" t="inlineStr">
        <is>
          <t>FQ3</t>
        </is>
      </c>
      <c r="AH2" t="inlineStr">
        <is>
          <t>FQ4</t>
        </is>
      </c>
      <c r="AI2" t="inlineStr">
        <is>
          <t>FQ1</t>
        </is>
      </c>
      <c r="AJ2" t="inlineStr">
        <is>
          <t>FQ2</t>
        </is>
      </c>
    </row>
    <row r="4">
      <c r="A4" s="254" t="inlineStr">
        <is>
          <t>COD1</t>
        </is>
      </c>
      <c r="B4" s="254" t="inlineStr">
        <is>
          <t>SINAL1</t>
        </is>
      </c>
      <c r="C4" s="254" t="inlineStr">
        <is>
          <t>COD2</t>
        </is>
      </c>
      <c r="D4" s="254" t="inlineStr">
        <is>
          <t>SINAL2</t>
        </is>
      </c>
      <c r="E4" s="254" t="inlineStr">
        <is>
          <t>COD3</t>
        </is>
      </c>
      <c r="F4" s="254" t="inlineStr">
        <is>
          <t>SINAL3</t>
        </is>
      </c>
      <c r="G4" s="254" t="inlineStr">
        <is>
          <t>UNID</t>
        </is>
      </c>
      <c r="H4" s="254" t="inlineStr">
        <is>
          <t>Conta (PT) / origem</t>
        </is>
      </c>
      <c r="I4" s="254" t="inlineStr">
        <is>
          <t>Account (EN)</t>
        </is>
      </c>
      <c r="J4" s="254" t="inlineStr">
        <is>
          <t>ORIGEM</t>
        </is>
      </c>
      <c r="K4" s="254" t="inlineStr">
        <is>
          <t>1Q20</t>
        </is>
      </c>
      <c r="L4" s="254" t="inlineStr">
        <is>
          <t>2Q20</t>
        </is>
      </c>
      <c r="M4" s="254" t="inlineStr">
        <is>
          <t>3Q20</t>
        </is>
      </c>
      <c r="N4" s="254" t="inlineStr">
        <is>
          <t>4Q20</t>
        </is>
      </c>
      <c r="O4" s="254" t="inlineStr">
        <is>
          <t>1Q21</t>
        </is>
      </c>
      <c r="P4" s="254" t="inlineStr">
        <is>
          <t>2Q21</t>
        </is>
      </c>
      <c r="Q4" s="254" t="inlineStr">
        <is>
          <t>3Q21</t>
        </is>
      </c>
      <c r="R4" s="254" t="inlineStr">
        <is>
          <t>4Q21</t>
        </is>
      </c>
      <c r="S4" s="254" t="inlineStr">
        <is>
          <t>1Q22</t>
        </is>
      </c>
      <c r="T4" s="254" t="inlineStr">
        <is>
          <t>2Q22</t>
        </is>
      </c>
      <c r="U4" s="254" t="inlineStr">
        <is>
          <t>3Q22</t>
        </is>
      </c>
      <c r="V4" s="254" t="inlineStr">
        <is>
          <t>4Q22</t>
        </is>
      </c>
      <c r="W4" s="254" t="inlineStr">
        <is>
          <t>1Q23</t>
        </is>
      </c>
      <c r="X4" s="254" t="inlineStr">
        <is>
          <t>2Q23</t>
        </is>
      </c>
      <c r="Y4" s="254" t="inlineStr">
        <is>
          <t>3Q23</t>
        </is>
      </c>
      <c r="Z4" s="254" t="inlineStr">
        <is>
          <t>4Q23</t>
        </is>
      </c>
      <c r="AA4" s="254" t="inlineStr">
        <is>
          <t>1Q24</t>
        </is>
      </c>
      <c r="AB4" s="254" t="inlineStr">
        <is>
          <t>2Q24</t>
        </is>
      </c>
      <c r="AC4" s="254" t="inlineStr">
        <is>
          <t>3Q24</t>
        </is>
      </c>
      <c r="AD4" s="254" t="inlineStr">
        <is>
          <t>4Q24</t>
        </is>
      </c>
      <c r="AE4" s="254" t="inlineStr">
        <is>
          <t>1Q25</t>
        </is>
      </c>
      <c r="AF4" s="254" t="inlineStr">
        <is>
          <t>2Q25</t>
        </is>
      </c>
      <c r="AG4" s="254" t="inlineStr">
        <is>
          <t>3Q25</t>
        </is>
      </c>
      <c r="AH4" s="254" t="inlineStr">
        <is>
          <t>4Q25</t>
        </is>
      </c>
      <c r="AI4" s="254" t="inlineStr">
        <is>
          <t>1Q26</t>
        </is>
      </c>
      <c r="AJ4" s="254" t="inlineStr">
        <is>
          <t>2Q26</t>
        </is>
      </c>
    </row>
    <row r="5">
      <c r="H5" s="254" t="inlineStr">
        <is>
          <t>DRE - trimestre isolado (USD). Brutos SEC XBRL; linhas "derivada" são fórmulas nesta aba</t>
        </is>
      </c>
    </row>
    <row r="6">
      <c r="A6" t="n">
        <v>1</v>
      </c>
      <c r="B6" t="n">
        <v>1</v>
      </c>
      <c r="G6" t="inlineStr">
        <is>
          <t>moeda</t>
        </is>
      </c>
      <c r="H6" t="inlineStr">
        <is>
          <t>Receita [us-gaap:Revenues/RevenueFromContractWithCustomerExcludingAssessedTax]</t>
        </is>
      </c>
      <c r="J6" t="inlineStr">
        <is>
          <t>fonte</t>
        </is>
      </c>
      <c r="K6" s="259" t="n">
        <v>5985000000</v>
      </c>
      <c r="L6" s="259" t="n">
        <v>6036000000</v>
      </c>
      <c r="M6" s="259" t="n">
        <v>8771000000</v>
      </c>
      <c r="N6" s="259" t="n">
        <v>10744000000</v>
      </c>
      <c r="O6" s="259" t="n">
        <v>10389000000</v>
      </c>
      <c r="P6" s="259" t="n">
        <v>11958000000</v>
      </c>
      <c r="Q6" s="259" t="n">
        <v>13757000000</v>
      </c>
      <c r="R6" s="259" t="n">
        <v>17719000000</v>
      </c>
      <c r="S6" s="259" t="n">
        <v>18756000000</v>
      </c>
      <c r="T6" s="259" t="n">
        <v>16934000000</v>
      </c>
      <c r="U6" s="259" t="n">
        <v>21454000000</v>
      </c>
      <c r="V6" s="259" t="n">
        <v>24318000000</v>
      </c>
      <c r="W6" s="259" t="n">
        <v>23329000000</v>
      </c>
      <c r="X6" s="259" t="n">
        <v>24927000000</v>
      </c>
      <c r="Y6" s="259" t="n">
        <v>23350000000</v>
      </c>
      <c r="Z6" s="259" t="n">
        <v>25167000000</v>
      </c>
      <c r="AA6" s="259" t="n">
        <v>21301000000</v>
      </c>
      <c r="AB6" s="259" t="n">
        <v>25500000000</v>
      </c>
      <c r="AC6" s="259" t="n">
        <v>25182000000</v>
      </c>
      <c r="AD6" s="259" t="n">
        <v>25707000000</v>
      </c>
      <c r="AE6" s="259" t="n">
        <v>19335000000</v>
      </c>
      <c r="AF6" s="259" t="n">
        <v>22496000000</v>
      </c>
      <c r="AG6" s="259" t="n">
        <v>28095000000</v>
      </c>
      <c r="AH6" s="259" t="n">
        <v>24901000000</v>
      </c>
      <c r="AI6" s="259" t="n">
        <v>22387000000</v>
      </c>
      <c r="AJ6" s="259" t="n">
        <v>28236000000</v>
      </c>
    </row>
    <row r="7">
      <c r="A7" t="n">
        <v>2</v>
      </c>
      <c r="B7" t="n">
        <v>-1</v>
      </c>
      <c r="G7" t="inlineStr">
        <is>
          <t>moeda</t>
        </is>
      </c>
      <c r="H7" t="inlineStr">
        <is>
          <t>Custo da receita (divulgado positivo) [us-gaap:CostOfRevenue/CostOfGoodsAndServicesSold]</t>
        </is>
      </c>
      <c r="J7" t="inlineStr">
        <is>
          <t>fonte</t>
        </is>
      </c>
      <c r="K7" s="259" t="n">
        <v>4751000000</v>
      </c>
      <c r="L7" s="259" t="n">
        <v>4769000000</v>
      </c>
      <c r="M7" s="259" t="n">
        <v>6708000000</v>
      </c>
      <c r="N7" s="259" t="n">
        <v>8678000000</v>
      </c>
      <c r="O7" s="259" t="n">
        <v>8174000000</v>
      </c>
      <c r="P7" s="259" t="n">
        <v>9074000000</v>
      </c>
      <c r="Q7" s="259" t="n">
        <v>10097000000</v>
      </c>
      <c r="R7" s="259" t="n">
        <v>12872000000</v>
      </c>
      <c r="S7" s="259" t="n">
        <v>13296000000</v>
      </c>
      <c r="T7" s="259" t="n">
        <v>12700000000</v>
      </c>
      <c r="U7" s="259" t="n">
        <v>16072000000</v>
      </c>
      <c r="V7" s="259" t="n">
        <v>18541000000</v>
      </c>
      <c r="W7" s="259" t="n">
        <v>18818000000</v>
      </c>
      <c r="X7" s="259" t="n">
        <v>20394000000</v>
      </c>
      <c r="Y7" s="259" t="n">
        <v>19172000000</v>
      </c>
      <c r="Z7" s="259" t="n">
        <v>20729000000</v>
      </c>
      <c r="AA7" s="259" t="n">
        <v>17605000000</v>
      </c>
      <c r="AB7" s="259" t="n">
        <v>20922000000</v>
      </c>
      <c r="AC7" s="259" t="n">
        <v>20185000000</v>
      </c>
      <c r="AD7" s="259" t="n">
        <v>21528000000</v>
      </c>
      <c r="AE7" s="259" t="n">
        <v>16182000000</v>
      </c>
      <c r="AF7" s="259" t="n">
        <v>18618000000</v>
      </c>
      <c r="AG7" s="259" t="n">
        <v>23041000000</v>
      </c>
      <c r="AH7" s="259" t="n">
        <v>19892000000</v>
      </c>
      <c r="AI7" s="259" t="n">
        <v>17667000000</v>
      </c>
      <c r="AJ7" s="259" t="n">
        <v>23485000000</v>
      </c>
    </row>
    <row r="8">
      <c r="G8" t="inlineStr">
        <is>
          <t>moeda</t>
        </is>
      </c>
      <c r="H8" t="inlineStr">
        <is>
          <t>Lucro operacional [us-gaap:OperatingIncomeLoss]</t>
        </is>
      </c>
      <c r="J8" t="inlineStr">
        <is>
          <t>memoria</t>
        </is>
      </c>
      <c r="K8" s="259" t="n">
        <v>283000000</v>
      </c>
      <c r="L8" s="259" t="n">
        <v>327000000</v>
      </c>
      <c r="M8" s="259" t="n">
        <v>809000000</v>
      </c>
      <c r="N8" s="259" t="n">
        <v>575000000</v>
      </c>
      <c r="O8" s="259" t="n">
        <v>594000000</v>
      </c>
      <c r="P8" s="259" t="n">
        <v>1312000000</v>
      </c>
      <c r="Q8" s="259" t="n">
        <v>2004000000</v>
      </c>
      <c r="R8" s="259" t="n">
        <v>2613000000</v>
      </c>
      <c r="S8" s="259" t="n">
        <v>3603000000</v>
      </c>
      <c r="T8" s="259" t="n">
        <v>2464000000</v>
      </c>
      <c r="U8" s="259" t="n">
        <v>3688000000</v>
      </c>
      <c r="V8" s="259" t="n">
        <v>3901000000</v>
      </c>
      <c r="W8" s="259" t="n">
        <v>2664000000</v>
      </c>
      <c r="X8" s="259" t="n">
        <v>2399000000</v>
      </c>
      <c r="Y8" s="259" t="n">
        <v>1764000000</v>
      </c>
      <c r="Z8" s="259" t="n">
        <v>2064000000</v>
      </c>
      <c r="AA8" s="259" t="n">
        <v>1171000000</v>
      </c>
      <c r="AB8" s="259" t="n">
        <v>1605000000</v>
      </c>
      <c r="AC8" s="259" t="n">
        <v>2717000000</v>
      </c>
      <c r="AD8" s="259" t="n">
        <v>1583000000</v>
      </c>
      <c r="AE8" s="259" t="n">
        <v>399000000</v>
      </c>
      <c r="AF8" s="259" t="n">
        <v>923000000</v>
      </c>
      <c r="AG8" s="259" t="n">
        <v>1624000000</v>
      </c>
      <c r="AH8" s="259" t="n">
        <v>1409000000</v>
      </c>
      <c r="AI8" s="259" t="n">
        <v>941000000</v>
      </c>
      <c r="AJ8" s="259" t="n">
        <v>398000000</v>
      </c>
    </row>
    <row r="9">
      <c r="A9" t="n">
        <v>3</v>
      </c>
      <c r="B9" t="n">
        <v>-1</v>
      </c>
      <c r="G9" t="inlineStr">
        <is>
          <t>moeda</t>
        </is>
      </c>
      <c r="H9" t="inlineStr">
        <is>
          <t>Despesas operacionais = receita - custo - lucro operacional (P&amp;D + SG&amp;A + outras operacionais)</t>
        </is>
      </c>
      <c r="J9" t="inlineStr">
        <is>
          <t>derivada</t>
        </is>
      </c>
      <c r="K9" s="259">
        <f>N(K6)-N(K7)-N(K8)</f>
        <v>951000000</v>
      </c>
      <c r="L9" s="259">
        <f>N(L6)-N(L7)-N(L8)</f>
        <v>940000000</v>
      </c>
      <c r="M9" s="259">
        <f>N(M6)-N(M7)-N(M8)</f>
        <v>1254000000</v>
      </c>
      <c r="N9" s="259">
        <f>N(N6)-N(N7)-N(N8)</f>
        <v>1491000000</v>
      </c>
      <c r="O9" s="259">
        <f>N(O6)-N(O7)-N(O8)</f>
        <v>1621000000</v>
      </c>
      <c r="P9" s="259">
        <f>N(P6)-N(P7)-N(P8)</f>
        <v>1572000000</v>
      </c>
      <c r="Q9" s="259">
        <f>N(Q6)-N(Q7)-N(Q8)</f>
        <v>1656000000</v>
      </c>
      <c r="R9" s="259">
        <f>N(R6)-N(R7)-N(R8)</f>
        <v>2234000000</v>
      </c>
      <c r="S9" s="259">
        <f>N(S6)-N(S7)-N(S8)</f>
        <v>1857000000</v>
      </c>
      <c r="T9" s="259">
        <f>N(T6)-N(T7)-N(T8)</f>
        <v>1770000000</v>
      </c>
      <c r="U9" s="259">
        <f>N(U6)-N(U7)-N(U8)</f>
        <v>1694000000</v>
      </c>
      <c r="V9" s="259">
        <f>N(V6)-N(V7)-N(V8)</f>
        <v>1876000000</v>
      </c>
      <c r="W9" s="259">
        <f>N(W6)-N(W7)-N(W8)</f>
        <v>1847000000</v>
      </c>
      <c r="X9" s="259">
        <f>N(X6)-N(X7)-N(X8)</f>
        <v>2134000000</v>
      </c>
      <c r="Y9" s="259">
        <f>N(Y6)-N(Y7)-N(Y8)</f>
        <v>2414000000</v>
      </c>
      <c r="Z9" s="259">
        <f>N(Z6)-N(Z7)-N(Z8)</f>
        <v>2374000000</v>
      </c>
      <c r="AA9" s="259">
        <f>N(AA6)-N(AA7)-N(AA8)</f>
        <v>2525000000</v>
      </c>
      <c r="AB9" s="259">
        <f>N(AB6)-N(AB7)-N(AB8)</f>
        <v>2973000000</v>
      </c>
      <c r="AC9" s="259">
        <f>N(AC6)-N(AC7)-N(AC8)</f>
        <v>2280000000</v>
      </c>
      <c r="AD9" s="259">
        <f>N(AD6)-N(AD7)-N(AD8)</f>
        <v>2596000000</v>
      </c>
      <c r="AE9" s="259">
        <f>N(AE6)-N(AE7)-N(AE8)</f>
        <v>2754000000</v>
      </c>
      <c r="AF9" s="259">
        <f>N(AF6)-N(AF7)-N(AF8)</f>
        <v>2955000000</v>
      </c>
      <c r="AG9" s="259">
        <f>N(AG6)-N(AG7)-N(AG8)</f>
        <v>3430000000</v>
      </c>
      <c r="AH9" s="259">
        <f>N(AH6)-N(AH7)-N(AH8)</f>
        <v>3600000000</v>
      </c>
      <c r="AI9" s="259">
        <f>N(AI6)-N(AI7)-N(AI8)</f>
        <v>3779000000</v>
      </c>
      <c r="AJ9" s="259">
        <f>N(AJ6)-N(AJ7)-N(AJ8)</f>
        <v>4353000000</v>
      </c>
    </row>
    <row r="10">
      <c r="G10" t="inlineStr">
        <is>
          <t>moeda</t>
        </is>
      </c>
      <c r="H10" t="inlineStr">
        <is>
          <t>Lucro antes do IR [us-gaap:IncomeLossFromContinuingOperationsBeforeIncomeTaxesExtraordi]</t>
        </is>
      </c>
      <c r="J10" t="inlineStr">
        <is>
          <t>memoria</t>
        </is>
      </c>
      <c r="K10" s="259" t="n">
        <v>70000000</v>
      </c>
      <c r="L10" s="259" t="n">
        <v>150000000</v>
      </c>
      <c r="M10" s="259" t="n">
        <v>555000000</v>
      </c>
      <c r="N10" s="259" t="n">
        <v>379000000</v>
      </c>
      <c r="O10" s="259" t="n">
        <v>533000000</v>
      </c>
      <c r="P10" s="259" t="n">
        <v>1293000000</v>
      </c>
      <c r="Q10" s="259" t="n">
        <v>1882000000</v>
      </c>
      <c r="R10" s="259" t="n">
        <v>2635000000</v>
      </c>
      <c r="S10" s="259" t="n">
        <v>3626000000</v>
      </c>
      <c r="T10" s="259" t="n">
        <v>2474000000</v>
      </c>
      <c r="U10" s="259" t="n">
        <v>3636000000</v>
      </c>
      <c r="V10" s="259" t="n">
        <v>3983000000</v>
      </c>
      <c r="W10" s="259" t="n">
        <v>2800000000</v>
      </c>
      <c r="X10" s="259" t="n">
        <v>2937000000</v>
      </c>
      <c r="Y10" s="259" t="n">
        <v>2045000000</v>
      </c>
      <c r="Z10" s="259" t="n">
        <v>2191000000</v>
      </c>
      <c r="AA10" s="259" t="n">
        <v>1888000000</v>
      </c>
      <c r="AB10" s="259" t="n">
        <v>1787000000</v>
      </c>
      <c r="AC10" s="259" t="n">
        <v>2791000000</v>
      </c>
      <c r="AD10" s="259" t="n">
        <v>2524000000</v>
      </c>
      <c r="AE10" s="259" t="n">
        <v>589000000</v>
      </c>
      <c r="AF10" s="259" t="n">
        <v>1549000000</v>
      </c>
      <c r="AG10" s="259" t="n">
        <v>1959000000</v>
      </c>
      <c r="AH10" s="259" t="n">
        <v>1181000000</v>
      </c>
      <c r="AI10" s="259" t="n">
        <v>748000000</v>
      </c>
      <c r="AJ10" s="259" t="n">
        <v>1329000000</v>
      </c>
    </row>
    <row r="11">
      <c r="A11" t="n">
        <v>6</v>
      </c>
      <c r="B11" t="n">
        <v>1</v>
      </c>
      <c r="G11" t="inlineStr">
        <is>
          <t>moeda</t>
        </is>
      </c>
      <c r="H11" t="inlineStr">
        <is>
          <t>Resultado não operacional total = lucro antes do IR - lucro operacional</t>
        </is>
      </c>
      <c r="J11" t="inlineStr">
        <is>
          <t>derivada</t>
        </is>
      </c>
      <c r="K11" s="259">
        <f>N(K10)-N(K8)</f>
        <v>-213000000</v>
      </c>
      <c r="L11" s="259">
        <f>N(L10)-N(L8)</f>
        <v>-177000000</v>
      </c>
      <c r="M11" s="259">
        <f>N(M10)-N(M8)</f>
        <v>-254000000</v>
      </c>
      <c r="N11" s="259">
        <f>N(N10)-N(N8)</f>
        <v>-196000000</v>
      </c>
      <c r="O11" s="259">
        <f>N(O10)-N(O8)</f>
        <v>-61000000</v>
      </c>
      <c r="P11" s="259">
        <f>N(P10)-N(P8)</f>
        <v>-19000000</v>
      </c>
      <c r="Q11" s="259">
        <f>N(Q10)-N(Q8)</f>
        <v>-122000000</v>
      </c>
      <c r="R11" s="259">
        <f>N(R10)-N(R8)</f>
        <v>22000000</v>
      </c>
      <c r="S11" s="259">
        <f>N(S10)-N(S8)</f>
        <v>23000000</v>
      </c>
      <c r="T11" s="259">
        <f>N(T10)-N(T8)</f>
        <v>10000000</v>
      </c>
      <c r="U11" s="259">
        <f>N(U10)-N(U8)</f>
        <v>-52000000</v>
      </c>
      <c r="V11" s="259">
        <f>N(V10)-N(V8)</f>
        <v>82000000</v>
      </c>
      <c r="W11" s="259">
        <f>N(W10)-N(W8)</f>
        <v>136000000</v>
      </c>
      <c r="X11" s="259">
        <f>N(X10)-N(X8)</f>
        <v>538000000</v>
      </c>
      <c r="Y11" s="259">
        <f>N(Y10)-N(Y8)</f>
        <v>281000000</v>
      </c>
      <c r="Z11" s="259">
        <f>N(Z10)-N(Z8)</f>
        <v>127000000</v>
      </c>
      <c r="AA11" s="259">
        <f>N(AA10)-N(AA8)</f>
        <v>717000000</v>
      </c>
      <c r="AB11" s="259">
        <f>N(AB10)-N(AB8)</f>
        <v>182000000</v>
      </c>
      <c r="AC11" s="259">
        <f>N(AC10)-N(AC8)</f>
        <v>74000000</v>
      </c>
      <c r="AD11" s="259">
        <f>N(AD10)-N(AD8)</f>
        <v>941000000</v>
      </c>
      <c r="AE11" s="259">
        <f>N(AE10)-N(AE8)</f>
        <v>190000000</v>
      </c>
      <c r="AF11" s="259">
        <f>N(AF10)-N(AF8)</f>
        <v>626000000</v>
      </c>
      <c r="AG11" s="259">
        <f>N(AG10)-N(AG8)</f>
        <v>335000000</v>
      </c>
      <c r="AH11" s="259">
        <f>N(AH10)-N(AH8)</f>
        <v>-228000000</v>
      </c>
      <c r="AI11" s="259">
        <f>N(AI10)-N(AI8)</f>
        <v>-193000000</v>
      </c>
      <c r="AJ11" s="259">
        <f>N(AJ10)-N(AJ8)</f>
        <v>931000000</v>
      </c>
    </row>
    <row r="12">
      <c r="A12" t="n">
        <v>5</v>
      </c>
      <c r="B12" t="n">
        <v>-1</v>
      </c>
      <c r="C12" t="n">
        <v>6</v>
      </c>
      <c r="D12" t="n">
        <v>1</v>
      </c>
      <c r="G12" t="inlineStr">
        <is>
          <t>moeda</t>
        </is>
      </c>
      <c r="H12" t="inlineStr">
        <is>
          <t>Despesa de juros (divulgado positivo): COD1=5 lança; COD2=6 devolve ao não operacional, que já a contém [us-gaap:InterestExpense/InterestExpenseNonoperating]</t>
        </is>
      </c>
      <c r="J12" t="inlineStr">
        <is>
          <t>fonte</t>
        </is>
      </c>
      <c r="K12" s="259" t="n">
        <v>169000000</v>
      </c>
      <c r="L12" s="259" t="n">
        <v>170000000</v>
      </c>
      <c r="M12" s="259" t="n">
        <v>163000000</v>
      </c>
      <c r="N12" s="259" t="n">
        <v>246000000</v>
      </c>
      <c r="O12" s="259" t="n">
        <v>99000000</v>
      </c>
      <c r="P12" s="259" t="n">
        <v>75000000</v>
      </c>
      <c r="Q12" s="259" t="n">
        <v>126000000</v>
      </c>
      <c r="R12" s="259" t="n">
        <v>71000000</v>
      </c>
      <c r="S12" s="259" t="n">
        <v>61000000</v>
      </c>
      <c r="T12" s="259" t="n">
        <v>44000000</v>
      </c>
      <c r="U12" s="259" t="n">
        <v>53000000</v>
      </c>
      <c r="V12" s="259" t="n">
        <v>33000000</v>
      </c>
      <c r="W12" s="259" t="n">
        <v>29000000</v>
      </c>
      <c r="X12" s="259" t="n">
        <v>28000000</v>
      </c>
      <c r="Y12" s="259" t="n">
        <v>38000000</v>
      </c>
      <c r="Z12" s="259" t="n">
        <v>61000000</v>
      </c>
      <c r="AA12" s="259" t="n">
        <v>76000000</v>
      </c>
      <c r="AB12" s="259" t="n">
        <v>86000000</v>
      </c>
      <c r="AC12" s="259" t="n">
        <v>92000000</v>
      </c>
      <c r="AD12" s="259" t="n">
        <v>96000000</v>
      </c>
      <c r="AE12" s="259" t="n">
        <v>91000000</v>
      </c>
      <c r="AF12" s="259" t="n">
        <v>86000000</v>
      </c>
      <c r="AG12" s="259" t="n">
        <v>76000000</v>
      </c>
      <c r="AH12" s="259" t="n">
        <v>85000000</v>
      </c>
      <c r="AI12" s="259" t="n">
        <v>92000000</v>
      </c>
      <c r="AJ12" s="259" t="n">
        <v>81000000</v>
      </c>
    </row>
    <row r="13">
      <c r="A13" t="n">
        <v>7</v>
      </c>
      <c r="B13" t="n">
        <v>-1</v>
      </c>
      <c r="G13" t="inlineStr">
        <is>
          <t>moeda</t>
        </is>
      </c>
      <c r="H13" t="inlineStr">
        <is>
          <t>Imposto de renda (divulgado positivo) [us-gaap:IncomeTaxExpenseBenefit]</t>
        </is>
      </c>
      <c r="J13" t="inlineStr">
        <is>
          <t>fonte</t>
        </is>
      </c>
      <c r="K13" s="259" t="n">
        <v>2000000</v>
      </c>
      <c r="L13" s="259" t="n">
        <v>21000000</v>
      </c>
      <c r="M13" s="259" t="n">
        <v>186000000</v>
      </c>
      <c r="N13" s="259" t="n">
        <v>83000000</v>
      </c>
      <c r="O13" s="259" t="n">
        <v>69000000</v>
      </c>
      <c r="P13" s="259" t="n">
        <v>115000000</v>
      </c>
      <c r="Q13" s="259" t="n">
        <v>223000000</v>
      </c>
      <c r="R13" s="259" t="n">
        <v>292000000</v>
      </c>
      <c r="S13" s="259" t="n">
        <v>346000000</v>
      </c>
      <c r="T13" s="259" t="n">
        <v>205000000</v>
      </c>
      <c r="U13" s="259" t="n">
        <v>305000000</v>
      </c>
      <c r="V13" s="259" t="n">
        <v>276000000</v>
      </c>
      <c r="W13" s="259" t="n">
        <v>261000000</v>
      </c>
      <c r="X13" s="259" t="n">
        <v>323000000</v>
      </c>
      <c r="Y13" s="259" t="n">
        <v>167000000</v>
      </c>
      <c r="Z13" s="259" t="n">
        <v>-5752000000</v>
      </c>
      <c r="AA13" s="259" t="n">
        <v>483000000</v>
      </c>
      <c r="AB13" s="259" t="n">
        <v>371000000</v>
      </c>
      <c r="AC13" s="259" t="n">
        <v>602000000</v>
      </c>
      <c r="AD13" s="259" t="n">
        <v>381000000</v>
      </c>
      <c r="AE13" s="259" t="n">
        <v>169000000</v>
      </c>
      <c r="AF13" s="259" t="n">
        <v>359000000</v>
      </c>
      <c r="AG13" s="259" t="n">
        <v>570000000</v>
      </c>
      <c r="AH13" s="259" t="n">
        <v>325000000</v>
      </c>
      <c r="AI13" s="259" t="n">
        <v>257000000</v>
      </c>
      <c r="AJ13" s="259" t="n">
        <v>201000000</v>
      </c>
    </row>
    <row r="14">
      <c r="A14" t="n">
        <v>9</v>
      </c>
      <c r="B14" t="n">
        <v>-1</v>
      </c>
      <c r="G14" t="inlineStr">
        <is>
          <t>moeda</t>
        </is>
      </c>
      <c r="H14" t="inlineStr">
        <is>
          <t>Lucro atribuído a não controladores (divulgado positivo) [us-gaap:NetIncomeLossAttributableToNoncontrollingInterest]</t>
        </is>
      </c>
      <c r="J14" t="inlineStr">
        <is>
          <t>fonte</t>
        </is>
      </c>
      <c r="K14" s="259" t="n">
        <v>52000000</v>
      </c>
      <c r="L14" s="259" t="n">
        <v>25000000</v>
      </c>
      <c r="M14" s="259" t="n">
        <v>38000000</v>
      </c>
      <c r="N14" s="259" t="n">
        <v>26000000</v>
      </c>
      <c r="O14" s="259" t="n">
        <v>26000000</v>
      </c>
      <c r="P14" s="259" t="n">
        <v>36000000</v>
      </c>
      <c r="Q14" s="259" t="n">
        <v>41000000</v>
      </c>
      <c r="R14" s="259" t="n">
        <v>22000000</v>
      </c>
      <c r="S14" s="259" t="n">
        <v>-38000000</v>
      </c>
      <c r="T14" s="259" t="n">
        <v>10000000</v>
      </c>
      <c r="U14" s="259" t="n">
        <v>39000000</v>
      </c>
      <c r="V14" s="259" t="n">
        <v>20000000</v>
      </c>
      <c r="W14" s="259" t="n">
        <v>26000000</v>
      </c>
      <c r="X14" s="259" t="n">
        <v>-89000000</v>
      </c>
      <c r="Y14" s="259" t="n">
        <v>25000000</v>
      </c>
      <c r="Z14" s="259" t="n">
        <v>15000000</v>
      </c>
      <c r="AA14" s="259" t="n">
        <v>15000000</v>
      </c>
      <c r="AB14" s="259" t="n">
        <v>16000000</v>
      </c>
      <c r="AC14" s="259" t="n">
        <v>16000000</v>
      </c>
      <c r="AD14" s="259" t="n">
        <v>15000000</v>
      </c>
      <c r="AE14" s="259" t="n">
        <v>11000000</v>
      </c>
      <c r="AF14" s="259" t="n">
        <v>18000000</v>
      </c>
      <c r="AG14" s="259" t="n">
        <v>16000000</v>
      </c>
      <c r="AH14" s="259" t="n">
        <v>16000000</v>
      </c>
      <c r="AI14" s="259" t="n">
        <v>14000000</v>
      </c>
      <c r="AJ14" s="259" t="n">
        <v>14000000</v>
      </c>
    </row>
    <row r="15">
      <c r="G15" t="inlineStr">
        <is>
          <t>moeda</t>
        </is>
      </c>
      <c r="H15" t="inlineStr">
        <is>
          <t>Lucro líquido atribuído à companhia [us-gaap:NetIncomeLoss]</t>
        </is>
      </c>
      <c r="J15" t="inlineStr">
        <is>
          <t>memoria</t>
        </is>
      </c>
      <c r="K15" s="259" t="n">
        <v>16000000</v>
      </c>
      <c r="L15" s="259" t="n">
        <v>104000000</v>
      </c>
      <c r="M15" s="259" t="n">
        <v>331000000</v>
      </c>
      <c r="N15" s="259" t="n">
        <v>270000000</v>
      </c>
      <c r="O15" s="259" t="n">
        <v>438000000</v>
      </c>
      <c r="P15" s="259" t="n">
        <v>1142000000</v>
      </c>
      <c r="Q15" s="259" t="n">
        <v>1618000000</v>
      </c>
      <c r="R15" s="259" t="n">
        <v>2321000000</v>
      </c>
      <c r="S15" s="259" t="n">
        <v>3318000000</v>
      </c>
      <c r="T15" s="259" t="n">
        <v>2259000000</v>
      </c>
      <c r="U15" s="259" t="n">
        <v>3292000000</v>
      </c>
      <c r="V15" s="259" t="n">
        <v>3687000000</v>
      </c>
      <c r="W15" s="259" t="n">
        <v>2513000000</v>
      </c>
      <c r="X15" s="259" t="n">
        <v>2703000000</v>
      </c>
      <c r="Y15" s="259" t="n">
        <v>1853000000</v>
      </c>
      <c r="Z15" s="259" t="n">
        <v>7928000000</v>
      </c>
      <c r="AA15" s="259" t="n">
        <v>1390000000</v>
      </c>
      <c r="AB15" s="259" t="n">
        <v>1400000000</v>
      </c>
      <c r="AC15" s="259" t="n">
        <v>2173000000</v>
      </c>
      <c r="AD15" s="259" t="n">
        <v>2128000000</v>
      </c>
      <c r="AE15" s="259" t="n">
        <v>409000000</v>
      </c>
      <c r="AF15" s="259" t="n">
        <v>1172000000</v>
      </c>
      <c r="AG15" s="259" t="n">
        <v>1373000000</v>
      </c>
      <c r="AH15" s="259" t="n">
        <v>840000000</v>
      </c>
      <c r="AI15" s="259" t="n">
        <v>477000000</v>
      </c>
      <c r="AJ15" s="259" t="n">
        <v>1114000000</v>
      </c>
    </row>
    <row r="16">
      <c r="A16" t="n">
        <v>8</v>
      </c>
      <c r="B16" t="n">
        <v>1</v>
      </c>
      <c r="G16" t="inlineStr">
        <is>
          <t>moeda</t>
        </is>
      </c>
      <c r="H16" t="inlineStr">
        <is>
          <t>Resultado após IR não classificado acima (equivalência patrimonial, operações descontinuadas): lucro - (LAIR - IR - minoritários); zero quando não há</t>
        </is>
      </c>
      <c r="J16" t="inlineStr">
        <is>
          <t>derivada</t>
        </is>
      </c>
      <c r="K16" s="259">
        <f>N(K15)-(N(K10)-N(K13)-N(K14))</f>
        <v>0</v>
      </c>
      <c r="L16" s="259">
        <f>N(L15)-(N(L10)-N(L13)-N(L14))</f>
        <v>0</v>
      </c>
      <c r="M16" s="259">
        <f>N(M15)-(N(M10)-N(M13)-N(M14))</f>
        <v>0</v>
      </c>
      <c r="N16" s="259">
        <f>N(N15)-(N(N10)-N(N13)-N(N14))</f>
        <v>0</v>
      </c>
      <c r="O16" s="259">
        <f>N(O15)-(N(O10)-N(O13)-N(O14))</f>
        <v>0</v>
      </c>
      <c r="P16" s="259">
        <f>N(P15)-(N(P10)-N(P13)-N(P14))</f>
        <v>0</v>
      </c>
      <c r="Q16" s="259">
        <f>N(Q15)-(N(Q10)-N(Q13)-N(Q14))</f>
        <v>0</v>
      </c>
      <c r="R16" s="259">
        <f>N(R15)-(N(R10)-N(R13)-N(R14))</f>
        <v>0</v>
      </c>
      <c r="S16" s="259">
        <f>N(S15)-(N(S10)-N(S13)-N(S14))</f>
        <v>0</v>
      </c>
      <c r="T16" s="259">
        <f>N(T15)-(N(T10)-N(T13)-N(T14))</f>
        <v>0</v>
      </c>
      <c r="U16" s="259">
        <f>N(U15)-(N(U10)-N(U13)-N(U14))</f>
        <v>0</v>
      </c>
      <c r="V16" s="259">
        <f>N(V15)-(N(V10)-N(V13)-N(V14))</f>
        <v>0</v>
      </c>
      <c r="W16" s="259">
        <f>N(W15)-(N(W10)-N(W13)-N(W14))</f>
        <v>0</v>
      </c>
      <c r="X16" s="259">
        <f>N(X15)-(N(X10)-N(X13)-N(X14))</f>
        <v>0</v>
      </c>
      <c r="Y16" s="259">
        <f>N(Y15)-(N(Y10)-N(Y13)-N(Y14))</f>
        <v>0</v>
      </c>
      <c r="Z16" s="259">
        <f>N(Z15)-(N(Z10)-N(Z13)-N(Z14))</f>
        <v>0</v>
      </c>
      <c r="AA16" s="259">
        <f>N(AA15)-(N(AA10)-N(AA13)-N(AA14))</f>
        <v>0</v>
      </c>
      <c r="AB16" s="259">
        <f>N(AB15)-(N(AB10)-N(AB13)-N(AB14))</f>
        <v>0</v>
      </c>
      <c r="AC16" s="259">
        <f>N(AC15)-(N(AC10)-N(AC13)-N(AC14))</f>
        <v>0</v>
      </c>
      <c r="AD16" s="259">
        <f>N(AD15)-(N(AD10)-N(AD13)-N(AD14))</f>
        <v>0</v>
      </c>
      <c r="AE16" s="259">
        <f>N(AE15)-(N(AE10)-N(AE13)-N(AE14))</f>
        <v>0</v>
      </c>
      <c r="AF16" s="259">
        <f>N(AF15)-(N(AF10)-N(AF13)-N(AF14))</f>
        <v>0</v>
      </c>
      <c r="AG16" s="259">
        <f>N(AG15)-(N(AG10)-N(AG13)-N(AG14))</f>
        <v>0</v>
      </c>
      <c r="AH16" s="259">
        <f>N(AH15)-(N(AH10)-N(AH13)-N(AH14))</f>
        <v>0</v>
      </c>
      <c r="AI16" s="259">
        <f>N(AI15)-(N(AI10)-N(AI13)-N(AI14))</f>
        <v>0</v>
      </c>
      <c r="AJ16" s="259">
        <f>N(AJ15)-(N(AJ10)-N(AJ13)-N(AJ14))</f>
        <v>0</v>
      </c>
    </row>
    <row r="17">
      <c r="A17" t="n">
        <v>44</v>
      </c>
      <c r="B17" t="n">
        <v>1</v>
      </c>
      <c r="G17" t="inlineStr">
        <is>
          <t>moeda</t>
        </is>
      </c>
      <c r="H17" t="inlineStr">
        <is>
          <t>Lucro líquido (check IS, código 44)</t>
        </is>
      </c>
      <c r="J17" t="inlineStr">
        <is>
          <t>derivada</t>
        </is>
      </c>
      <c r="K17" s="259">
        <f>N(K15)</f>
        <v>16000000</v>
      </c>
      <c r="L17" s="259">
        <f>N(L15)</f>
        <v>104000000</v>
      </c>
      <c r="M17" s="259">
        <f>N(M15)</f>
        <v>331000000</v>
      </c>
      <c r="N17" s="259">
        <f>N(N15)</f>
        <v>270000000</v>
      </c>
      <c r="O17" s="259">
        <f>N(O15)</f>
        <v>438000000</v>
      </c>
      <c r="P17" s="259">
        <f>N(P15)</f>
        <v>1142000000</v>
      </c>
      <c r="Q17" s="259">
        <f>N(Q15)</f>
        <v>1618000000</v>
      </c>
      <c r="R17" s="259">
        <f>N(R15)</f>
        <v>2321000000</v>
      </c>
      <c r="S17" s="259">
        <f>N(S15)</f>
        <v>3318000000</v>
      </c>
      <c r="T17" s="259">
        <f>N(T15)</f>
        <v>2259000000</v>
      </c>
      <c r="U17" s="259">
        <f>N(U15)</f>
        <v>3292000000</v>
      </c>
      <c r="V17" s="259">
        <f>N(V15)</f>
        <v>3687000000</v>
      </c>
      <c r="W17" s="259">
        <f>N(W15)</f>
        <v>2513000000</v>
      </c>
      <c r="X17" s="259">
        <f>N(X15)</f>
        <v>2703000000</v>
      </c>
      <c r="Y17" s="259">
        <f>N(Y15)</f>
        <v>1853000000</v>
      </c>
      <c r="Z17" s="259">
        <f>N(Z15)</f>
        <v>7928000000</v>
      </c>
      <c r="AA17" s="259">
        <f>N(AA15)</f>
        <v>1390000000</v>
      </c>
      <c r="AB17" s="259">
        <f>N(AB15)</f>
        <v>1400000000</v>
      </c>
      <c r="AC17" s="259">
        <f>N(AC15)</f>
        <v>2173000000</v>
      </c>
      <c r="AD17" s="259">
        <f>N(AD15)</f>
        <v>2128000000</v>
      </c>
      <c r="AE17" s="259">
        <f>N(AE15)</f>
        <v>409000000</v>
      </c>
      <c r="AF17" s="259">
        <f>N(AF15)</f>
        <v>1172000000</v>
      </c>
      <c r="AG17" s="259">
        <f>N(AG15)</f>
        <v>1373000000</v>
      </c>
      <c r="AH17" s="259">
        <f>N(AH15)</f>
        <v>840000000</v>
      </c>
      <c r="AI17" s="259">
        <f>N(AI15)</f>
        <v>477000000</v>
      </c>
      <c r="AJ17" s="259">
        <f>N(AJ15)</f>
        <v>1114000000</v>
      </c>
    </row>
    <row r="18">
      <c r="H18" s="254" t="inlineStr">
        <is>
          <t>DFC - trimestre isolado (desacumulado na extração)</t>
        </is>
      </c>
    </row>
    <row r="19">
      <c r="A19" t="n">
        <v>4</v>
      </c>
      <c r="B19" t="n">
        <v>-1</v>
      </c>
      <c r="C19" t="n">
        <v>3</v>
      </c>
      <c r="D19" t="n">
        <v>1</v>
      </c>
      <c r="G19" t="inlineStr">
        <is>
          <t>moeda</t>
        </is>
      </c>
      <c r="H19" t="inlineStr">
        <is>
          <t>D&amp;A (fluxo de caixa). COD1=4 lança (positivo -&gt; -1); COD2=3 devolve às despesas operacionais (a companhia não abre D&amp;A entre custo e despesa) [us-gaap:DepreciationDepletionAndAmortization/DepreciationAmortizationAndImpairment]</t>
        </is>
      </c>
      <c r="J19" t="inlineStr">
        <is>
          <t>fonte</t>
        </is>
      </c>
      <c r="K19" s="259" t="n">
        <v>553000000</v>
      </c>
      <c r="L19" s="259" t="n">
        <v>567000000</v>
      </c>
      <c r="M19" s="259" t="n">
        <v>584000000</v>
      </c>
      <c r="N19" s="259" t="n">
        <v>618000000</v>
      </c>
      <c r="O19" s="259" t="n">
        <v>621000000</v>
      </c>
      <c r="P19" s="259" t="n">
        <v>681000000</v>
      </c>
      <c r="Q19" s="259" t="n">
        <v>761000000</v>
      </c>
      <c r="R19" s="259" t="n">
        <v>848000000</v>
      </c>
      <c r="S19" s="259" t="n">
        <v>880000000</v>
      </c>
      <c r="T19" s="259" t="n">
        <v>922000000</v>
      </c>
      <c r="U19" s="259" t="n">
        <v>956000000</v>
      </c>
      <c r="V19" s="259" t="n">
        <v>989000000</v>
      </c>
      <c r="W19" s="259" t="n">
        <v>1046000000</v>
      </c>
      <c r="X19" s="259" t="n">
        <v>1154000000</v>
      </c>
      <c r="Y19" s="259" t="n">
        <v>1235000000</v>
      </c>
      <c r="Z19" s="259" t="n">
        <v>1232000000</v>
      </c>
      <c r="AA19" s="259" t="n">
        <v>1246000000</v>
      </c>
      <c r="AB19" s="259" t="n">
        <v>1278000000</v>
      </c>
      <c r="AC19" s="259" t="n">
        <v>1348000000</v>
      </c>
      <c r="AD19" s="259" t="n">
        <v>1496000000</v>
      </c>
      <c r="AE19" s="259" t="n">
        <v>1447000000</v>
      </c>
      <c r="AF19" s="259" t="n">
        <v>1433000000</v>
      </c>
      <c r="AG19" s="259" t="n">
        <v>1625000000</v>
      </c>
      <c r="AH19" s="259" t="n">
        <v>1643000000</v>
      </c>
      <c r="AI19" s="259" t="n">
        <v>1590000000</v>
      </c>
      <c r="AJ19" s="259" t="n">
        <v>1619000000</v>
      </c>
    </row>
    <row r="20">
      <c r="A20" t="n">
        <v>10</v>
      </c>
      <c r="B20" t="n">
        <v>-1</v>
      </c>
      <c r="G20" t="inlineStr">
        <is>
          <t>moeda</t>
        </is>
      </c>
      <c r="H20" t="inlineStr">
        <is>
          <t>Dividendos pagos [us-gaap:PaymentsOfDividends]</t>
        </is>
      </c>
      <c r="J20" t="inlineStr">
        <is>
          <t>fonte</t>
        </is>
      </c>
      <c r="K20" s="259" t="n">
        <v>0</v>
      </c>
      <c r="L20" s="259" t="n">
        <v>0</v>
      </c>
      <c r="M20" s="259" t="n">
        <v>0</v>
      </c>
      <c r="N20" s="259" t="n">
        <v>0</v>
      </c>
      <c r="O20" s="259" t="n">
        <v>0</v>
      </c>
      <c r="P20" s="259" t="n">
        <v>0</v>
      </c>
      <c r="Q20" s="259" t="n">
        <v>0</v>
      </c>
      <c r="R20" s="259" t="n">
        <v>0</v>
      </c>
      <c r="S20" s="259" t="n">
        <v>0</v>
      </c>
      <c r="T20" s="259" t="n">
        <v>0</v>
      </c>
      <c r="U20" s="259" t="n">
        <v>0</v>
      </c>
      <c r="V20" s="259" t="n">
        <v>0</v>
      </c>
      <c r="W20" s="259" t="n">
        <v>0</v>
      </c>
      <c r="X20" s="259" t="n">
        <v>0</v>
      </c>
      <c r="Y20" s="259" t="n">
        <v>0</v>
      </c>
      <c r="Z20" s="259" t="n">
        <v>0</v>
      </c>
      <c r="AA20" s="259" t="n">
        <v>0</v>
      </c>
      <c r="AB20" s="259" t="n">
        <v>0</v>
      </c>
      <c r="AC20" s="259" t="n">
        <v>0</v>
      </c>
      <c r="AD20" s="259" t="n">
        <v>0</v>
      </c>
      <c r="AE20" s="259" t="n">
        <v>0</v>
      </c>
      <c r="AF20" s="259" t="n">
        <v>0</v>
      </c>
      <c r="AG20" s="259" t="n">
        <v>0</v>
      </c>
      <c r="AH20" s="259" t="n">
        <v>0</v>
      </c>
      <c r="AI20" s="259" t="n">
        <v>0</v>
      </c>
      <c r="AJ20" s="259" t="n">
        <v>0</v>
      </c>
    </row>
    <row r="21">
      <c r="H21" s="254" t="inlineStr">
        <is>
          <t>BALANÇO DE FACE (USD, saldo no fim do trimestre; cada trimestre lido da instância do próprio 10-Q/10-K)</t>
        </is>
      </c>
    </row>
    <row r="22">
      <c r="A22" t="n">
        <v>11</v>
      </c>
      <c r="B22" t="n">
        <v>1</v>
      </c>
      <c r="G22" t="inlineStr">
        <is>
          <t>moeda</t>
        </is>
      </c>
      <c r="H22" t="inlineStr">
        <is>
          <t>CashAndCashEquivalentsAtCarryingValue</t>
        </is>
      </c>
      <c r="J22" t="inlineStr">
        <is>
          <t>fonte</t>
        </is>
      </c>
      <c r="K22" s="259" t="n">
        <v>8080000000</v>
      </c>
      <c r="L22" s="259" t="n">
        <v>8615000000</v>
      </c>
      <c r="M22" s="259" t="n">
        <v>14531000000</v>
      </c>
      <c r="N22" s="259" t="n">
        <v>19384000000</v>
      </c>
      <c r="O22" s="259" t="n">
        <v>17141000000</v>
      </c>
      <c r="P22" s="259" t="n">
        <v>16229000000</v>
      </c>
      <c r="Q22" s="259" t="n">
        <v>16065000000</v>
      </c>
      <c r="R22" s="259" t="n">
        <v>17576000000</v>
      </c>
      <c r="S22" s="259" t="n">
        <v>17505000000</v>
      </c>
      <c r="T22" s="259" t="n">
        <v>18324000000</v>
      </c>
      <c r="U22" s="259" t="n">
        <v>19532000000</v>
      </c>
      <c r="V22" s="259" t="n">
        <v>16253000000</v>
      </c>
      <c r="W22" s="259" t="n">
        <v>16048000000</v>
      </c>
      <c r="X22" s="259" t="n">
        <v>15296000000</v>
      </c>
      <c r="Y22" s="259" t="n">
        <v>15932000000</v>
      </c>
      <c r="Z22" s="259" t="n">
        <v>16398000000</v>
      </c>
      <c r="AA22" s="259" t="n">
        <v>11805000000</v>
      </c>
      <c r="AB22" s="259" t="n">
        <v>14635000000</v>
      </c>
      <c r="AC22" s="259" t="n">
        <v>18111000000</v>
      </c>
      <c r="AD22" s="259" t="n">
        <v>16139000000</v>
      </c>
      <c r="AE22" s="259" t="n">
        <v>16352000000</v>
      </c>
      <c r="AF22" s="259" t="n">
        <v>15587000000</v>
      </c>
      <c r="AG22" s="259" t="n">
        <v>18289000000</v>
      </c>
      <c r="AH22" s="259" t="n">
        <v>16513000000</v>
      </c>
      <c r="AI22" s="259" t="n">
        <v>16603000000</v>
      </c>
      <c r="AJ22" s="259" t="n">
        <v>15219000000</v>
      </c>
    </row>
    <row r="23">
      <c r="A23" t="n">
        <v>11</v>
      </c>
      <c r="B23" t="n">
        <v>1</v>
      </c>
      <c r="G23" t="inlineStr">
        <is>
          <t>moeda</t>
        </is>
      </c>
      <c r="H23" t="inlineStr">
        <is>
          <t>MarketableSecuritiesCurrent</t>
        </is>
      </c>
      <c r="J23" t="inlineStr">
        <is>
          <t>fonte</t>
        </is>
      </c>
      <c r="K23" s="259" t="n">
        <v>0</v>
      </c>
      <c r="L23" s="259" t="n">
        <v>0</v>
      </c>
      <c r="M23" s="259" t="n">
        <v>0</v>
      </c>
      <c r="N23" s="259" t="n">
        <v>0</v>
      </c>
      <c r="O23" s="259" t="n">
        <v>0</v>
      </c>
      <c r="P23" s="259" t="n">
        <v>0</v>
      </c>
      <c r="Q23" s="259" t="n">
        <v>30000000</v>
      </c>
      <c r="R23" s="259" t="n">
        <v>131000000</v>
      </c>
      <c r="S23" s="259" t="n">
        <v>508000000</v>
      </c>
      <c r="T23" s="259" t="n">
        <v>591000000</v>
      </c>
      <c r="U23" s="259" t="n">
        <v>1575000000</v>
      </c>
      <c r="V23" s="259" t="n">
        <v>0</v>
      </c>
      <c r="W23" s="259" t="n">
        <v>0</v>
      </c>
      <c r="X23" s="259" t="n">
        <v>0</v>
      </c>
      <c r="Y23" s="259" t="n">
        <v>0</v>
      </c>
      <c r="Z23" s="259" t="n">
        <v>0</v>
      </c>
      <c r="AA23" s="259" t="n">
        <v>0</v>
      </c>
      <c r="AB23" s="259" t="n">
        <v>0</v>
      </c>
      <c r="AC23" s="259" t="n">
        <v>0</v>
      </c>
      <c r="AD23" s="259" t="n">
        <v>0</v>
      </c>
      <c r="AE23" s="259" t="n">
        <v>0</v>
      </c>
      <c r="AF23" s="259" t="n">
        <v>0</v>
      </c>
      <c r="AG23" s="259" t="n">
        <v>0</v>
      </c>
      <c r="AH23" s="259" t="n">
        <v>0</v>
      </c>
      <c r="AI23" s="259" t="n">
        <v>0</v>
      </c>
      <c r="AJ23" s="259" t="n">
        <v>0</v>
      </c>
    </row>
    <row r="24">
      <c r="A24" t="n">
        <v>11</v>
      </c>
      <c r="B24" t="n">
        <v>1</v>
      </c>
      <c r="G24" t="inlineStr">
        <is>
          <t>moeda</t>
        </is>
      </c>
      <c r="H24" t="inlineStr">
        <is>
          <t>ShortTermInvestments</t>
        </is>
      </c>
      <c r="J24" t="inlineStr">
        <is>
          <t>fonte</t>
        </is>
      </c>
      <c r="K24" s="259" t="n">
        <v>0</v>
      </c>
      <c r="L24" s="259" t="n">
        <v>0</v>
      </c>
      <c r="M24" s="259" t="n">
        <v>0</v>
      </c>
      <c r="N24" s="259" t="n">
        <v>0</v>
      </c>
      <c r="O24" s="259" t="n">
        <v>0</v>
      </c>
      <c r="P24" s="259" t="n">
        <v>0</v>
      </c>
      <c r="Q24" s="259" t="n">
        <v>0</v>
      </c>
      <c r="R24" s="259" t="n">
        <v>0</v>
      </c>
      <c r="S24" s="259" t="n">
        <v>0</v>
      </c>
      <c r="T24" s="259" t="n">
        <v>0</v>
      </c>
      <c r="U24" s="259" t="n">
        <v>0</v>
      </c>
      <c r="V24" s="259" t="n">
        <v>5932000000</v>
      </c>
      <c r="W24" s="259" t="n">
        <v>6354000000</v>
      </c>
      <c r="X24" s="259" t="n">
        <v>7779000000</v>
      </c>
      <c r="Y24" s="259" t="n">
        <v>10145000000</v>
      </c>
      <c r="Z24" s="259" t="n">
        <v>12696000000</v>
      </c>
      <c r="AA24" s="259" t="n">
        <v>15058000000</v>
      </c>
      <c r="AB24" s="259" t="n">
        <v>16085000000</v>
      </c>
      <c r="AC24" s="259" t="n">
        <v>15537000000</v>
      </c>
      <c r="AD24" s="259" t="n">
        <v>20424000000</v>
      </c>
      <c r="AE24" s="259" t="n">
        <v>20644000000</v>
      </c>
      <c r="AF24" s="259" t="n">
        <v>21195000000</v>
      </c>
      <c r="AG24" s="259" t="n">
        <v>23358000000</v>
      </c>
      <c r="AH24" s="259" t="n">
        <v>27546000000</v>
      </c>
      <c r="AI24" s="259" t="n">
        <v>28140000000</v>
      </c>
      <c r="AJ24" s="259" t="n">
        <v>28305000000</v>
      </c>
    </row>
    <row r="25">
      <c r="A25" t="n">
        <v>12</v>
      </c>
      <c r="B25" t="n">
        <v>1</v>
      </c>
      <c r="G25" t="inlineStr">
        <is>
          <t>moeda</t>
        </is>
      </c>
      <c r="H25" t="inlineStr">
        <is>
          <t>AccountsReceivableNetCurrent</t>
        </is>
      </c>
      <c r="J25" t="inlineStr">
        <is>
          <t>fonte</t>
        </is>
      </c>
      <c r="K25" s="259" t="n">
        <v>1274000000</v>
      </c>
      <c r="L25" s="259" t="n">
        <v>1485000000</v>
      </c>
      <c r="M25" s="259" t="n">
        <v>1757000000</v>
      </c>
      <c r="N25" s="259" t="n">
        <v>1886000000</v>
      </c>
      <c r="O25" s="259" t="n">
        <v>1890000000</v>
      </c>
      <c r="P25" s="259" t="n">
        <v>2129000000</v>
      </c>
      <c r="Q25" s="259" t="n">
        <v>1962000000</v>
      </c>
      <c r="R25" s="259" t="n">
        <v>1913000000</v>
      </c>
      <c r="S25" s="259" t="n">
        <v>2311000000</v>
      </c>
      <c r="T25" s="259" t="n">
        <v>2081000000</v>
      </c>
      <c r="U25" s="259" t="n">
        <v>2192000000</v>
      </c>
      <c r="V25" s="259" t="n">
        <v>2952000000</v>
      </c>
      <c r="W25" s="259" t="n">
        <v>2993000000</v>
      </c>
      <c r="X25" s="259" t="n">
        <v>3447000000</v>
      </c>
      <c r="Y25" s="259" t="n">
        <v>2520000000</v>
      </c>
      <c r="Z25" s="259" t="n">
        <v>3508000000</v>
      </c>
      <c r="AA25" s="259" t="n">
        <v>3887000000</v>
      </c>
      <c r="AB25" s="259" t="n">
        <v>3737000000</v>
      </c>
      <c r="AC25" s="259" t="n">
        <v>3313000000</v>
      </c>
      <c r="AD25" s="259" t="n">
        <v>4418000000</v>
      </c>
      <c r="AE25" s="259" t="n">
        <v>3782000000</v>
      </c>
      <c r="AF25" s="259" t="n">
        <v>3838000000</v>
      </c>
      <c r="AG25" s="259" t="n">
        <v>4703000000</v>
      </c>
      <c r="AH25" s="259" t="n">
        <v>4576000000</v>
      </c>
      <c r="AI25" s="259" t="n">
        <v>3959000000</v>
      </c>
      <c r="AJ25" s="259" t="n">
        <v>4087000000</v>
      </c>
    </row>
    <row r="26">
      <c r="A26" t="n">
        <v>13</v>
      </c>
      <c r="B26" t="n">
        <v>1</v>
      </c>
      <c r="G26" t="inlineStr">
        <is>
          <t>moeda</t>
        </is>
      </c>
      <c r="H26" t="inlineStr">
        <is>
          <t>InventoryNet</t>
        </is>
      </c>
      <c r="J26" t="inlineStr">
        <is>
          <t>fonte</t>
        </is>
      </c>
      <c r="K26" s="259" t="n">
        <v>4494000000</v>
      </c>
      <c r="L26" s="259" t="n">
        <v>4018000000</v>
      </c>
      <c r="M26" s="259" t="n">
        <v>4218000000</v>
      </c>
      <c r="N26" s="259" t="n">
        <v>4101000000</v>
      </c>
      <c r="O26" s="259" t="n">
        <v>4132000000</v>
      </c>
      <c r="P26" s="259" t="n">
        <v>4733000000</v>
      </c>
      <c r="Q26" s="259" t="n">
        <v>5199000000</v>
      </c>
      <c r="R26" s="259" t="n">
        <v>5757000000</v>
      </c>
      <c r="S26" s="259" t="n">
        <v>6691000000</v>
      </c>
      <c r="T26" s="259" t="n">
        <v>8108000000</v>
      </c>
      <c r="U26" s="259" t="n">
        <v>10327000000</v>
      </c>
      <c r="V26" s="259" t="n">
        <v>12839000000</v>
      </c>
      <c r="W26" s="259" t="n">
        <v>14375000000</v>
      </c>
      <c r="X26" s="259" t="n">
        <v>14356000000</v>
      </c>
      <c r="Y26" s="259" t="n">
        <v>13721000000</v>
      </c>
      <c r="Z26" s="259" t="n">
        <v>13626000000</v>
      </c>
      <c r="AA26" s="259" t="n">
        <v>16033000000</v>
      </c>
      <c r="AB26" s="259" t="n">
        <v>14195000000</v>
      </c>
      <c r="AC26" s="259" t="n">
        <v>14530000000</v>
      </c>
      <c r="AD26" s="259" t="n">
        <v>12017000000</v>
      </c>
      <c r="AE26" s="259" t="n">
        <v>13706000000</v>
      </c>
      <c r="AF26" s="259" t="n">
        <v>14570000000</v>
      </c>
      <c r="AG26" s="259" t="n">
        <v>12276000000</v>
      </c>
      <c r="AH26" s="259" t="n">
        <v>12392000000</v>
      </c>
      <c r="AI26" s="259" t="n">
        <v>14434000000</v>
      </c>
      <c r="AJ26" s="259" t="n">
        <v>13752000000</v>
      </c>
    </row>
    <row r="27">
      <c r="A27" t="n">
        <v>14</v>
      </c>
      <c r="B27" t="n">
        <v>1</v>
      </c>
      <c r="G27" t="inlineStr">
        <is>
          <t>moeda</t>
        </is>
      </c>
      <c r="H27" t="inlineStr">
        <is>
          <t>DeferredIncomeTaxAssetsNet</t>
        </is>
      </c>
      <c r="J27" t="inlineStr">
        <is>
          <t>fonte</t>
        </is>
      </c>
      <c r="K27" s="259" t="n">
        <v>0</v>
      </c>
      <c r="L27" s="259" t="n">
        <v>0</v>
      </c>
      <c r="M27" s="259" t="n">
        <v>0</v>
      </c>
      <c r="N27" s="259" t="n">
        <v>0</v>
      </c>
      <c r="O27" s="259" t="n">
        <v>0</v>
      </c>
      <c r="P27" s="259" t="n">
        <v>0</v>
      </c>
      <c r="Q27" s="259" t="n">
        <v>0</v>
      </c>
      <c r="R27" s="259" t="n">
        <v>0</v>
      </c>
      <c r="S27" s="259" t="n">
        <v>0</v>
      </c>
      <c r="T27" s="259" t="n">
        <v>0</v>
      </c>
      <c r="U27" s="259" t="n">
        <v>0</v>
      </c>
      <c r="V27" s="259" t="n">
        <v>0</v>
      </c>
      <c r="W27" s="259" t="n">
        <v>0</v>
      </c>
      <c r="X27" s="259" t="n">
        <v>0</v>
      </c>
      <c r="Y27" s="259" t="n">
        <v>0</v>
      </c>
      <c r="Z27" s="259" t="n">
        <v>6733000000</v>
      </c>
      <c r="AA27" s="259" t="n">
        <v>6769000000</v>
      </c>
      <c r="AB27" s="259" t="n">
        <v>6692000000</v>
      </c>
      <c r="AC27" s="259" t="n">
        <v>6486000000</v>
      </c>
      <c r="AD27" s="259" t="n">
        <v>6524000000</v>
      </c>
      <c r="AE27" s="259" t="n">
        <v>6687000000</v>
      </c>
      <c r="AF27" s="259" t="n">
        <v>6721000000</v>
      </c>
      <c r="AG27" s="259" t="n">
        <v>6637000000</v>
      </c>
      <c r="AH27" s="259" t="n">
        <v>6925000000</v>
      </c>
      <c r="AI27" s="259" t="n">
        <v>7060000000</v>
      </c>
      <c r="AJ27" s="259" t="n">
        <v>7235000000</v>
      </c>
    </row>
    <row r="28">
      <c r="A28" t="n">
        <v>16</v>
      </c>
      <c r="B28" t="n">
        <v>1</v>
      </c>
      <c r="G28" t="inlineStr">
        <is>
          <t>moeda</t>
        </is>
      </c>
      <c r="H28" t="inlineStr">
        <is>
          <t>PrepaidExpenseAndOtherAssetsCurrent</t>
        </is>
      </c>
      <c r="J28" t="inlineStr">
        <is>
          <t>fonte</t>
        </is>
      </c>
      <c r="K28" s="259" t="n">
        <v>1045000000</v>
      </c>
      <c r="L28" s="259" t="n">
        <v>1218000000</v>
      </c>
      <c r="M28" s="259" t="n">
        <v>1238000000</v>
      </c>
      <c r="N28" s="259" t="n">
        <v>1346000000</v>
      </c>
      <c r="O28" s="259" t="n">
        <v>1542000000</v>
      </c>
      <c r="P28" s="259" t="n">
        <v>1602000000</v>
      </c>
      <c r="Q28" s="259" t="n">
        <v>1746000000</v>
      </c>
      <c r="R28" s="259" t="n">
        <v>1723000000</v>
      </c>
      <c r="S28" s="259" t="n">
        <v>2035000000</v>
      </c>
      <c r="T28" s="259" t="n">
        <v>2118000000</v>
      </c>
      <c r="U28" s="259" t="n">
        <v>2364000000</v>
      </c>
      <c r="V28" s="259" t="n">
        <v>2941000000</v>
      </c>
      <c r="W28" s="259" t="n">
        <v>3227000000</v>
      </c>
      <c r="X28" s="259" t="n">
        <v>2997000000</v>
      </c>
      <c r="Y28" s="259" t="n">
        <v>2708000000</v>
      </c>
      <c r="Z28" s="259" t="n">
        <v>3388000000</v>
      </c>
      <c r="AA28" s="259" t="n">
        <v>3752000000</v>
      </c>
      <c r="AB28" s="259" t="n">
        <v>4325000000</v>
      </c>
      <c r="AC28" s="259" t="n">
        <v>4888000000</v>
      </c>
      <c r="AD28" s="259" t="n">
        <v>5362000000</v>
      </c>
      <c r="AE28" s="259" t="n">
        <v>4905000000</v>
      </c>
      <c r="AF28" s="259" t="n">
        <v>5943000000</v>
      </c>
      <c r="AG28" s="259" t="n">
        <v>6027000000</v>
      </c>
      <c r="AH28" s="259" t="n">
        <v>7615000000</v>
      </c>
      <c r="AI28" s="259" t="n">
        <v>6612000000</v>
      </c>
      <c r="AJ28" s="259" t="n">
        <v>7395000000</v>
      </c>
    </row>
    <row r="29">
      <c r="A29" t="n">
        <v>18</v>
      </c>
      <c r="B29" t="n">
        <v>1</v>
      </c>
      <c r="G29" t="inlineStr">
        <is>
          <t>moeda</t>
        </is>
      </c>
      <c r="H29" t="inlineStr">
        <is>
          <t>PropertyPlantAndEquipmentNet</t>
        </is>
      </c>
      <c r="J29" t="inlineStr">
        <is>
          <t>fonte</t>
        </is>
      </c>
      <c r="K29" s="259" t="n">
        <v>10638000000</v>
      </c>
      <c r="L29" s="259" t="n">
        <v>11009000000</v>
      </c>
      <c r="M29" s="259" t="n">
        <v>11848000000</v>
      </c>
      <c r="N29" s="259" t="n">
        <v>12747000000</v>
      </c>
      <c r="O29" s="259" t="n">
        <v>13868000000</v>
      </c>
      <c r="P29" s="259" t="n">
        <v>15665000000</v>
      </c>
      <c r="Q29" s="259" t="n">
        <v>17298000000</v>
      </c>
      <c r="R29" s="259" t="n">
        <v>18884000000</v>
      </c>
      <c r="S29" s="259" t="n">
        <v>20027000000</v>
      </c>
      <c r="T29" s="259" t="n">
        <v>21093000000</v>
      </c>
      <c r="U29" s="259" t="n">
        <v>21926000000</v>
      </c>
      <c r="V29" s="259" t="n">
        <v>23548000000</v>
      </c>
      <c r="W29" s="259" t="n">
        <v>24969000000</v>
      </c>
      <c r="X29" s="259" t="n">
        <v>26389000000</v>
      </c>
      <c r="Y29" s="259" t="n">
        <v>27744000000</v>
      </c>
      <c r="Z29" s="259" t="n">
        <v>29725000000</v>
      </c>
      <c r="AA29" s="259" t="n">
        <v>31436000000</v>
      </c>
      <c r="AB29" s="259" t="n">
        <v>32902000000</v>
      </c>
      <c r="AC29" s="259" t="n">
        <v>36116000000</v>
      </c>
      <c r="AD29" s="259" t="n">
        <v>35836000000</v>
      </c>
      <c r="AE29" s="259" t="n">
        <v>37088000000</v>
      </c>
      <c r="AF29" s="259" t="n">
        <v>38574000000</v>
      </c>
      <c r="AG29" s="259" t="n">
        <v>39407000000</v>
      </c>
      <c r="AH29" s="259" t="n">
        <v>0</v>
      </c>
      <c r="AI29" s="259" t="n">
        <v>0</v>
      </c>
      <c r="AJ29" s="259" t="n">
        <v>0</v>
      </c>
    </row>
    <row r="30">
      <c r="A30" t="n">
        <v>18</v>
      </c>
      <c r="B30" t="n">
        <v>1</v>
      </c>
      <c r="G30" t="inlineStr">
        <is>
          <t>moeda</t>
        </is>
      </c>
      <c r="H30" t="inlineStr">
        <is>
          <t>PropertyPlantAndEquipmentAndFinanceLeaseRightOfUseAssetAfterAccumulatedDepreciationAndAmortization</t>
        </is>
      </c>
      <c r="J30" t="inlineStr">
        <is>
          <t>fonte</t>
        </is>
      </c>
      <c r="K30" s="259" t="n">
        <v>0</v>
      </c>
      <c r="L30" s="259" t="n">
        <v>0</v>
      </c>
      <c r="M30" s="259" t="n">
        <v>0</v>
      </c>
      <c r="N30" s="259" t="n">
        <v>0</v>
      </c>
      <c r="O30" s="259" t="n">
        <v>0</v>
      </c>
      <c r="P30" s="259" t="n">
        <v>0</v>
      </c>
      <c r="Q30" s="259" t="n">
        <v>0</v>
      </c>
      <c r="R30" s="259" t="n">
        <v>0</v>
      </c>
      <c r="S30" s="259" t="n">
        <v>0</v>
      </c>
      <c r="T30" s="259" t="n">
        <v>0</v>
      </c>
      <c r="U30" s="259" t="n">
        <v>0</v>
      </c>
      <c r="V30" s="259" t="n">
        <v>0</v>
      </c>
      <c r="W30" s="259" t="n">
        <v>0</v>
      </c>
      <c r="X30" s="259" t="n">
        <v>0</v>
      </c>
      <c r="Y30" s="259" t="n">
        <v>0</v>
      </c>
      <c r="Z30" s="259" t="n">
        <v>0</v>
      </c>
      <c r="AA30" s="259" t="n">
        <v>0</v>
      </c>
      <c r="AB30" s="259" t="n">
        <v>0</v>
      </c>
      <c r="AC30" s="259" t="n">
        <v>0</v>
      </c>
      <c r="AD30" s="259" t="n">
        <v>0</v>
      </c>
      <c r="AE30" s="259" t="n">
        <v>0</v>
      </c>
      <c r="AF30" s="259" t="n">
        <v>0</v>
      </c>
      <c r="AG30" s="259" t="n">
        <v>0</v>
      </c>
      <c r="AH30" s="259" t="n">
        <v>40643000000</v>
      </c>
      <c r="AI30" s="259" t="n">
        <v>43213000000</v>
      </c>
      <c r="AJ30" s="259" t="n">
        <v>47255000000</v>
      </c>
    </row>
    <row r="31">
      <c r="A31" t="n">
        <v>19</v>
      </c>
      <c r="B31" t="n">
        <v>1</v>
      </c>
      <c r="G31" t="inlineStr">
        <is>
          <t>moeda</t>
        </is>
      </c>
      <c r="H31" t="inlineStr">
        <is>
          <t>OperatingLeaseRightOfUseAsset</t>
        </is>
      </c>
      <c r="J31" t="inlineStr">
        <is>
          <t>fonte</t>
        </is>
      </c>
      <c r="K31" s="259" t="n">
        <v>1197000000</v>
      </c>
      <c r="L31" s="259" t="n">
        <v>1274000000</v>
      </c>
      <c r="M31" s="259" t="n">
        <v>1375000000</v>
      </c>
      <c r="N31" s="259" t="n">
        <v>1558000000</v>
      </c>
      <c r="O31" s="259" t="n">
        <v>1647000000</v>
      </c>
      <c r="P31" s="259" t="n">
        <v>1734000000</v>
      </c>
      <c r="Q31" s="259" t="n">
        <v>1962000000</v>
      </c>
      <c r="R31" s="259" t="n">
        <v>2016000000</v>
      </c>
      <c r="S31" s="259" t="n">
        <v>2181000000</v>
      </c>
      <c r="T31" s="259" t="n">
        <v>2185000000</v>
      </c>
      <c r="U31" s="259" t="n">
        <v>2251000000</v>
      </c>
      <c r="V31" s="259" t="n">
        <v>2563000000</v>
      </c>
      <c r="W31" s="259" t="n">
        <v>2800000000</v>
      </c>
      <c r="X31" s="259" t="n">
        <v>3352000000</v>
      </c>
      <c r="Y31" s="259" t="n">
        <v>3637000000</v>
      </c>
      <c r="Z31" s="259" t="n">
        <v>4180000000</v>
      </c>
      <c r="AA31" s="259" t="n">
        <v>4367000000</v>
      </c>
      <c r="AB31" s="259" t="n">
        <v>4563000000</v>
      </c>
      <c r="AC31" s="259" t="n">
        <v>4867000000</v>
      </c>
      <c r="AD31" s="259" t="n">
        <v>5160000000</v>
      </c>
      <c r="AE31" s="259" t="n">
        <v>5330000000</v>
      </c>
      <c r="AF31" s="259" t="n">
        <v>5633000000</v>
      </c>
      <c r="AG31" s="259" t="n">
        <v>5783000000</v>
      </c>
      <c r="AH31" s="259" t="n">
        <v>6027000000</v>
      </c>
      <c r="AI31" s="259" t="n">
        <v>6332000000</v>
      </c>
      <c r="AJ31" s="259" t="n">
        <v>6386000000</v>
      </c>
    </row>
    <row r="32">
      <c r="A32" t="n">
        <v>20</v>
      </c>
      <c r="B32" t="n">
        <v>1</v>
      </c>
      <c r="G32" t="inlineStr">
        <is>
          <t>moeda</t>
        </is>
      </c>
      <c r="H32" t="inlineStr">
        <is>
          <t>Goodwill</t>
        </is>
      </c>
      <c r="J32" t="inlineStr">
        <is>
          <t>fonte</t>
        </is>
      </c>
      <c r="K32" s="259" t="n">
        <v>193000000</v>
      </c>
      <c r="L32" s="259" t="n">
        <v>196000000</v>
      </c>
      <c r="M32" s="259" t="n">
        <v>203000000</v>
      </c>
      <c r="N32" s="259" t="n">
        <v>207000000</v>
      </c>
      <c r="O32" s="259" t="n">
        <v>206000000</v>
      </c>
      <c r="P32" s="259" t="n">
        <v>203000000</v>
      </c>
      <c r="Q32" s="259" t="n">
        <v>201000000</v>
      </c>
      <c r="R32" s="259" t="n">
        <v>200000000</v>
      </c>
      <c r="S32" s="259" t="n">
        <v>200000000</v>
      </c>
      <c r="T32" s="259" t="n">
        <v>196000000</v>
      </c>
      <c r="U32" s="259" t="n">
        <v>191000000</v>
      </c>
      <c r="V32" s="259" t="n">
        <v>194000000</v>
      </c>
      <c r="W32" s="259" t="n">
        <v>195000000</v>
      </c>
      <c r="X32" s="259" t="n">
        <v>263000000</v>
      </c>
      <c r="Y32" s="259" t="n">
        <v>250000000</v>
      </c>
      <c r="Z32" s="259" t="n">
        <v>253000000</v>
      </c>
      <c r="AA32" s="259" t="n">
        <v>250000000</v>
      </c>
      <c r="AB32" s="259" t="n">
        <v>249000000</v>
      </c>
      <c r="AC32" s="259" t="n">
        <v>253000000</v>
      </c>
      <c r="AD32" s="259" t="n">
        <v>244000000</v>
      </c>
      <c r="AE32" s="259" t="n">
        <v>248000000</v>
      </c>
      <c r="AF32" s="259" t="n">
        <v>258000000</v>
      </c>
      <c r="AG32" s="259" t="n">
        <v>257000000</v>
      </c>
      <c r="AH32" s="259" t="n">
        <v>0</v>
      </c>
      <c r="AI32" s="259" t="n">
        <v>0</v>
      </c>
      <c r="AJ32" s="259" t="n">
        <v>0</v>
      </c>
    </row>
    <row r="33">
      <c r="A33" t="n">
        <v>21</v>
      </c>
      <c r="B33" t="n">
        <v>1</v>
      </c>
      <c r="G33" t="inlineStr">
        <is>
          <t>moeda</t>
        </is>
      </c>
      <c r="H33" t="inlineStr">
        <is>
          <t>IntangibleAssetsNetExcludingGoodwill</t>
        </is>
      </c>
      <c r="J33" t="inlineStr">
        <is>
          <t>fonte</t>
        </is>
      </c>
      <c r="K33" s="259" t="n">
        <v>323000000</v>
      </c>
      <c r="L33" s="259" t="n">
        <v>312000000</v>
      </c>
      <c r="M33" s="259" t="n">
        <v>318000000</v>
      </c>
      <c r="N33" s="259" t="n">
        <v>313000000</v>
      </c>
      <c r="O33" s="259" t="n">
        <v>299000000</v>
      </c>
      <c r="P33" s="259" t="n">
        <v>283000000</v>
      </c>
      <c r="Q33" s="259" t="n">
        <v>269000000</v>
      </c>
      <c r="R33" s="259" t="n">
        <v>257000000</v>
      </c>
      <c r="S33" s="259" t="n">
        <v>254000000</v>
      </c>
      <c r="T33" s="259" t="n">
        <v>241000000</v>
      </c>
      <c r="U33" s="259" t="n">
        <v>228000000</v>
      </c>
      <c r="V33" s="259" t="n">
        <v>215000000</v>
      </c>
      <c r="W33" s="259" t="n">
        <v>204000000</v>
      </c>
      <c r="X33" s="259" t="n">
        <v>202000000</v>
      </c>
      <c r="Y33" s="259" t="n">
        <v>191000000</v>
      </c>
      <c r="Z33" s="259" t="n">
        <v>178000000</v>
      </c>
      <c r="AA33" s="259" t="n">
        <v>171000000</v>
      </c>
      <c r="AB33" s="259" t="n">
        <v>164000000</v>
      </c>
      <c r="AC33" s="259" t="n">
        <v>158000000</v>
      </c>
      <c r="AD33" s="259" t="n">
        <v>150000000</v>
      </c>
      <c r="AE33" s="259" t="n">
        <v>144000000</v>
      </c>
      <c r="AF33" s="259" t="n">
        <v>138000000</v>
      </c>
      <c r="AG33" s="259" t="n">
        <v>131000000</v>
      </c>
      <c r="AH33" s="259" t="n">
        <v>0</v>
      </c>
      <c r="AI33" s="259" t="n">
        <v>0</v>
      </c>
      <c r="AJ33" s="259" t="n">
        <v>0</v>
      </c>
    </row>
    <row r="34">
      <c r="A34" t="n">
        <v>22</v>
      </c>
      <c r="B34" t="n">
        <v>1</v>
      </c>
      <c r="G34" t="inlineStr">
        <is>
          <t>moeda</t>
        </is>
      </c>
      <c r="H34" t="inlineStr">
        <is>
          <t>DeferredCostsLeasingNetNoncurrent[OperatingLeaseVehiclesMember]</t>
        </is>
      </c>
      <c r="J34" t="inlineStr">
        <is>
          <t>fonte</t>
        </is>
      </c>
      <c r="K34" s="259" t="n">
        <v>2527000000</v>
      </c>
      <c r="L34" s="259" t="n">
        <v>2524000000</v>
      </c>
      <c r="M34" s="259" t="n">
        <v>2742000000</v>
      </c>
      <c r="N34" s="259" t="n">
        <v>3091000000</v>
      </c>
      <c r="O34" s="259" t="n">
        <v>3396000000</v>
      </c>
      <c r="P34" s="259" t="n">
        <v>3748000000</v>
      </c>
      <c r="Q34" s="259" t="n">
        <v>4167000000</v>
      </c>
      <c r="R34" s="259" t="n">
        <v>4511000000</v>
      </c>
      <c r="S34" s="259" t="n">
        <v>4745000000</v>
      </c>
      <c r="T34" s="259" t="n">
        <v>4782000000</v>
      </c>
      <c r="U34" s="259" t="n">
        <v>4824000000</v>
      </c>
      <c r="V34" s="259" t="n">
        <v>5035000000</v>
      </c>
      <c r="W34" s="259" t="n">
        <v>5473000000</v>
      </c>
      <c r="X34" s="259" t="n">
        <v>5935000000</v>
      </c>
      <c r="Y34" s="259" t="n">
        <v>6119000000</v>
      </c>
      <c r="Z34" s="259" t="n">
        <v>5989000000</v>
      </c>
      <c r="AA34" s="259" t="n">
        <v>5736000000</v>
      </c>
      <c r="AB34" s="259" t="n">
        <v>5541000000</v>
      </c>
      <c r="AC34" s="259" t="n">
        <v>5380000000</v>
      </c>
      <c r="AD34" s="259" t="n">
        <v>5581000000</v>
      </c>
      <c r="AE34" s="259" t="n">
        <v>5477000000</v>
      </c>
      <c r="AF34" s="259" t="n">
        <v>5230000000</v>
      </c>
      <c r="AG34" s="259" t="n">
        <v>5019000000</v>
      </c>
      <c r="AH34" s="259" t="n">
        <v>4912000000</v>
      </c>
      <c r="AI34" s="259" t="n">
        <v>4530000000</v>
      </c>
      <c r="AJ34" s="259" t="n">
        <v>4253000000</v>
      </c>
    </row>
    <row r="35">
      <c r="A35" t="n">
        <v>22</v>
      </c>
      <c r="B35" t="n">
        <v>1</v>
      </c>
      <c r="G35" t="inlineStr">
        <is>
          <t>moeda</t>
        </is>
      </c>
      <c r="H35" t="inlineStr">
        <is>
          <t>LeasedAssetsNet[SolarEnergySystemsMember]</t>
        </is>
      </c>
      <c r="J35" t="inlineStr">
        <is>
          <t>fonte</t>
        </is>
      </c>
      <c r="K35" s="259" t="n">
        <v>6106000000</v>
      </c>
      <c r="L35" s="259" t="n">
        <v>6069000000</v>
      </c>
      <c r="M35" s="259" t="n">
        <v>6025000000</v>
      </c>
      <c r="N35" s="259" t="n">
        <v>5979000000</v>
      </c>
      <c r="O35" s="259" t="n">
        <v>5933000000</v>
      </c>
      <c r="P35" s="259" t="n">
        <v>5883000000</v>
      </c>
      <c r="Q35" s="259" t="n">
        <v>5821000000</v>
      </c>
      <c r="R35" s="259" t="n">
        <v>5765000000</v>
      </c>
      <c r="S35" s="259" t="n">
        <v>5686000000</v>
      </c>
      <c r="T35" s="259" t="n">
        <v>5624000000</v>
      </c>
      <c r="U35" s="259" t="n">
        <v>5562000000</v>
      </c>
      <c r="V35" s="259" t="n">
        <v>5489000000</v>
      </c>
      <c r="W35" s="259" t="n">
        <v>5427000000</v>
      </c>
      <c r="X35" s="259" t="n">
        <v>5365000000</v>
      </c>
      <c r="Y35" s="259" t="n">
        <v>5293000000</v>
      </c>
      <c r="Z35" s="259" t="n">
        <v>5229000000</v>
      </c>
      <c r="AA35" s="259" t="n">
        <v>5162000000</v>
      </c>
      <c r="AB35" s="259" t="n">
        <v>5102000000</v>
      </c>
      <c r="AC35" s="259" t="n">
        <v>5040000000</v>
      </c>
      <c r="AD35" s="259" t="n">
        <v>4924000000</v>
      </c>
      <c r="AE35" s="259" t="n">
        <v>4855000000</v>
      </c>
      <c r="AF35" s="259" t="n">
        <v>4788000000</v>
      </c>
      <c r="AG35" s="259" t="n">
        <v>4673000000</v>
      </c>
      <c r="AH35" s="259" t="n">
        <v>0</v>
      </c>
      <c r="AI35" s="259" t="n">
        <v>0</v>
      </c>
      <c r="AJ35" s="259" t="n">
        <v>0</v>
      </c>
    </row>
    <row r="36">
      <c r="A36" t="n">
        <v>22</v>
      </c>
      <c r="B36" t="n">
        <v>1</v>
      </c>
      <c r="G36" t="inlineStr">
        <is>
          <t>moeda</t>
        </is>
      </c>
      <c r="H36" t="inlineStr">
        <is>
          <t>OtherAssetsNoncurrent</t>
        </is>
      </c>
      <c r="J36" t="inlineStr">
        <is>
          <t>fonte</t>
        </is>
      </c>
      <c r="K36" s="259" t="n">
        <v>1373000000</v>
      </c>
      <c r="L36" s="259" t="n">
        <v>1415000000</v>
      </c>
      <c r="M36" s="259" t="n">
        <v>1436000000</v>
      </c>
      <c r="N36" s="259" t="n">
        <v>1536000000</v>
      </c>
      <c r="O36" s="259" t="n">
        <v>1587000000</v>
      </c>
      <c r="P36" s="259" t="n">
        <v>1626000000</v>
      </c>
      <c r="Q36" s="259" t="n">
        <v>1854000000</v>
      </c>
      <c r="R36" s="259" t="n">
        <v>2138000000</v>
      </c>
      <c r="S36" s="259" t="n">
        <v>2634000000</v>
      </c>
      <c r="T36" s="259" t="n">
        <v>2952000000</v>
      </c>
      <c r="U36" s="259" t="n">
        <v>3236000000</v>
      </c>
      <c r="V36" s="259" t="n">
        <v>4193000000</v>
      </c>
      <c r="W36" s="259" t="n">
        <v>4584000000</v>
      </c>
      <c r="X36" s="259" t="n">
        <v>5026000000</v>
      </c>
      <c r="Y36" s="259" t="n">
        <v>5497000000</v>
      </c>
      <c r="Z36" s="259" t="n">
        <v>4531000000</v>
      </c>
      <c r="AA36" s="259" t="n">
        <v>4616000000</v>
      </c>
      <c r="AB36" s="259" t="n">
        <v>4458000000</v>
      </c>
      <c r="AC36" s="259" t="n">
        <v>4989000000</v>
      </c>
      <c r="AD36" s="259" t="n">
        <v>4215000000</v>
      </c>
      <c r="AE36" s="259" t="n">
        <v>4942000000</v>
      </c>
      <c r="AF36" s="259" t="n">
        <v>4857000000</v>
      </c>
      <c r="AG36" s="259" t="n">
        <v>5860000000</v>
      </c>
      <c r="AH36" s="259" t="n">
        <v>5045000000</v>
      </c>
      <c r="AI36" s="259" t="n">
        <v>7490000000</v>
      </c>
      <c r="AJ36" s="259" t="n">
        <v>9453000000</v>
      </c>
    </row>
    <row r="37">
      <c r="A37" t="n">
        <v>22</v>
      </c>
      <c r="B37" t="n">
        <v>1</v>
      </c>
      <c r="G37" t="inlineStr">
        <is>
          <t>moeda</t>
        </is>
      </c>
      <c r="H37" t="inlineStr">
        <is>
          <t>DigitalAssetsNetNonCurrent</t>
        </is>
      </c>
      <c r="J37" t="inlineStr">
        <is>
          <t>fonte</t>
        </is>
      </c>
      <c r="K37" s="259" t="n">
        <v>0</v>
      </c>
      <c r="L37" s="259" t="n">
        <v>0</v>
      </c>
      <c r="M37" s="259" t="n">
        <v>0</v>
      </c>
      <c r="N37" s="259" t="n">
        <v>0</v>
      </c>
      <c r="O37" s="259" t="n">
        <v>1331000000</v>
      </c>
      <c r="P37" s="259" t="n">
        <v>1311000000</v>
      </c>
      <c r="Q37" s="259" t="n">
        <v>1260000000</v>
      </c>
      <c r="R37" s="259" t="n">
        <v>1260000000</v>
      </c>
      <c r="S37" s="259" t="n">
        <v>1261000000</v>
      </c>
      <c r="T37" s="259" t="n">
        <v>218000000</v>
      </c>
      <c r="U37" s="259" t="n">
        <v>218000000</v>
      </c>
      <c r="V37" s="259" t="n">
        <v>184000000</v>
      </c>
      <c r="W37" s="259" t="n">
        <v>184000000</v>
      </c>
      <c r="X37" s="259" t="n">
        <v>184000000</v>
      </c>
      <c r="Y37" s="259" t="n">
        <v>184000000</v>
      </c>
      <c r="Z37" s="259" t="n">
        <v>184000000</v>
      </c>
      <c r="AA37" s="259" t="n">
        <v>184000000</v>
      </c>
      <c r="AB37" s="259" t="n">
        <v>184000000</v>
      </c>
      <c r="AC37" s="259" t="n">
        <v>184000000</v>
      </c>
      <c r="AD37" s="259" t="n">
        <v>1076000000</v>
      </c>
      <c r="AE37" s="259" t="n">
        <v>0</v>
      </c>
      <c r="AF37" s="259" t="n">
        <v>0</v>
      </c>
      <c r="AG37" s="259" t="n">
        <v>0</v>
      </c>
      <c r="AH37" s="259" t="n">
        <v>0</v>
      </c>
      <c r="AI37" s="259" t="n">
        <v>0</v>
      </c>
      <c r="AJ37" s="259" t="n">
        <v>0</v>
      </c>
    </row>
    <row r="38">
      <c r="A38" t="n">
        <v>22</v>
      </c>
      <c r="B38" t="n">
        <v>1</v>
      </c>
      <c r="G38" t="inlineStr">
        <is>
          <t>moeda</t>
        </is>
      </c>
      <c r="H38" t="inlineStr">
        <is>
          <t>CryptoAssetFairValueNoncurrent</t>
        </is>
      </c>
      <c r="J38" t="inlineStr">
        <is>
          <t>fonte</t>
        </is>
      </c>
      <c r="K38" s="259" t="n">
        <v>0</v>
      </c>
      <c r="L38" s="259" t="n">
        <v>0</v>
      </c>
      <c r="M38" s="259" t="n">
        <v>0</v>
      </c>
      <c r="N38" s="259" t="n">
        <v>0</v>
      </c>
      <c r="O38" s="259" t="n">
        <v>0</v>
      </c>
      <c r="P38" s="259" t="n">
        <v>0</v>
      </c>
      <c r="Q38" s="259" t="n">
        <v>0</v>
      </c>
      <c r="R38" s="259" t="n">
        <v>0</v>
      </c>
      <c r="S38" s="259" t="n">
        <v>0</v>
      </c>
      <c r="T38" s="259" t="n">
        <v>0</v>
      </c>
      <c r="U38" s="259" t="n">
        <v>0</v>
      </c>
      <c r="V38" s="259" t="n">
        <v>0</v>
      </c>
      <c r="W38" s="259" t="n">
        <v>0</v>
      </c>
      <c r="X38" s="259" t="n">
        <v>0</v>
      </c>
      <c r="Y38" s="259" t="n">
        <v>0</v>
      </c>
      <c r="Z38" s="259" t="n">
        <v>0</v>
      </c>
      <c r="AA38" s="259" t="n">
        <v>0</v>
      </c>
      <c r="AB38" s="259" t="n">
        <v>0</v>
      </c>
      <c r="AC38" s="259" t="n">
        <v>0</v>
      </c>
      <c r="AD38" s="259" t="n">
        <v>0</v>
      </c>
      <c r="AE38" s="259" t="n">
        <v>951000000</v>
      </c>
      <c r="AF38" s="259" t="n">
        <v>1235000000</v>
      </c>
      <c r="AG38" s="259" t="n">
        <v>1315000000</v>
      </c>
      <c r="AH38" s="259" t="n">
        <v>1008000000</v>
      </c>
      <c r="AI38" s="259" t="n">
        <v>786000000</v>
      </c>
      <c r="AJ38" s="259" t="n">
        <v>674000000</v>
      </c>
    </row>
    <row r="39">
      <c r="A39" t="n">
        <v>22</v>
      </c>
      <c r="B39" t="n">
        <v>1</v>
      </c>
      <c r="G39" t="inlineStr">
        <is>
          <t>moeda</t>
        </is>
      </c>
      <c r="H39" t="inlineStr">
        <is>
          <t>LeasedAssetsNet[EnergyGenerationAndStorageSystemsMember]</t>
        </is>
      </c>
      <c r="J39" t="inlineStr">
        <is>
          <t>fonte</t>
        </is>
      </c>
      <c r="K39" s="259" t="n">
        <v>0</v>
      </c>
      <c r="L39" s="259" t="n">
        <v>0</v>
      </c>
      <c r="M39" s="259" t="n">
        <v>0</v>
      </c>
      <c r="N39" s="259" t="n">
        <v>0</v>
      </c>
      <c r="O39" s="259" t="n">
        <v>0</v>
      </c>
      <c r="P39" s="259" t="n">
        <v>0</v>
      </c>
      <c r="Q39" s="259" t="n">
        <v>0</v>
      </c>
      <c r="R39" s="259" t="n">
        <v>0</v>
      </c>
      <c r="S39" s="259" t="n">
        <v>0</v>
      </c>
      <c r="T39" s="259" t="n">
        <v>0</v>
      </c>
      <c r="U39" s="259" t="n">
        <v>0</v>
      </c>
      <c r="V39" s="259" t="n">
        <v>0</v>
      </c>
      <c r="W39" s="259" t="n">
        <v>0</v>
      </c>
      <c r="X39" s="259" t="n">
        <v>0</v>
      </c>
      <c r="Y39" s="259" t="n">
        <v>0</v>
      </c>
      <c r="Z39" s="259" t="n">
        <v>0</v>
      </c>
      <c r="AA39" s="259" t="n">
        <v>0</v>
      </c>
      <c r="AB39" s="259" t="n">
        <v>0</v>
      </c>
      <c r="AC39" s="259" t="n">
        <v>0</v>
      </c>
      <c r="AD39" s="259" t="n">
        <v>0</v>
      </c>
      <c r="AE39" s="259" t="n">
        <v>0</v>
      </c>
      <c r="AF39" s="259" t="n">
        <v>0</v>
      </c>
      <c r="AG39" s="259" t="n">
        <v>0</v>
      </c>
      <c r="AH39" s="259" t="n">
        <v>4604000000</v>
      </c>
      <c r="AI39" s="259" t="n">
        <v>4565000000</v>
      </c>
      <c r="AJ39" s="259" t="n">
        <v>4510000000</v>
      </c>
    </row>
    <row r="40">
      <c r="A40" t="n">
        <v>23</v>
      </c>
      <c r="B40" t="n">
        <v>1</v>
      </c>
      <c r="G40" t="inlineStr">
        <is>
          <t>moeda</t>
        </is>
      </c>
      <c r="H40" t="inlineStr">
        <is>
          <t>AccountsPayableCurrent</t>
        </is>
      </c>
      <c r="J40" t="inlineStr">
        <is>
          <t>fonte</t>
        </is>
      </c>
      <c r="K40" s="259" t="n">
        <v>3970000000</v>
      </c>
      <c r="L40" s="259" t="n">
        <v>3638000000</v>
      </c>
      <c r="M40" s="259" t="n">
        <v>4958000000</v>
      </c>
      <c r="N40" s="259" t="n">
        <v>6051000000</v>
      </c>
      <c r="O40" s="259" t="n">
        <v>6648000000</v>
      </c>
      <c r="P40" s="259" t="n">
        <v>7558000000</v>
      </c>
      <c r="Q40" s="259" t="n">
        <v>8260000000</v>
      </c>
      <c r="R40" s="259" t="n">
        <v>10025000000</v>
      </c>
      <c r="S40" s="259" t="n">
        <v>11171000000</v>
      </c>
      <c r="T40" s="259" t="n">
        <v>11212000000</v>
      </c>
      <c r="U40" s="259" t="n">
        <v>13897000000</v>
      </c>
      <c r="V40" s="259" t="n">
        <v>15255000000</v>
      </c>
      <c r="W40" s="259" t="n">
        <v>15904000000</v>
      </c>
      <c r="X40" s="259" t="n">
        <v>15273000000</v>
      </c>
      <c r="Y40" s="259" t="n">
        <v>13937000000</v>
      </c>
      <c r="Z40" s="259" t="n">
        <v>14431000000</v>
      </c>
      <c r="AA40" s="259" t="n">
        <v>14725000000</v>
      </c>
      <c r="AB40" s="259" t="n">
        <v>13056000000</v>
      </c>
      <c r="AC40" s="259" t="n">
        <v>14654000000</v>
      </c>
      <c r="AD40" s="259" t="n">
        <v>12474000000</v>
      </c>
      <c r="AE40" s="259" t="n">
        <v>13471000000</v>
      </c>
      <c r="AF40" s="259" t="n">
        <v>13212000000</v>
      </c>
      <c r="AG40" s="259" t="n">
        <v>12819000000</v>
      </c>
      <c r="AH40" s="259" t="n">
        <v>13371000000</v>
      </c>
      <c r="AI40" s="259" t="n">
        <v>14696000000</v>
      </c>
      <c r="AJ40" s="259" t="n">
        <v>15324000000</v>
      </c>
    </row>
    <row r="41">
      <c r="A41" t="n">
        <v>26</v>
      </c>
      <c r="B41" t="n">
        <v>1</v>
      </c>
      <c r="G41" t="inlineStr">
        <is>
          <t>moeda</t>
        </is>
      </c>
      <c r="H41" t="inlineStr">
        <is>
          <t>AccruedAndOtherCurrentLiabilities</t>
        </is>
      </c>
      <c r="J41" t="inlineStr">
        <is>
          <t>fonte</t>
        </is>
      </c>
      <c r="K41" s="259" t="n">
        <v>2825000000</v>
      </c>
      <c r="L41" s="259" t="n">
        <v>3110000000</v>
      </c>
      <c r="M41" s="259" t="n">
        <v>3252000000</v>
      </c>
      <c r="N41" s="259" t="n">
        <v>3855000000</v>
      </c>
      <c r="O41" s="259" t="n">
        <v>4073000000</v>
      </c>
      <c r="P41" s="259" t="n">
        <v>4778000000</v>
      </c>
      <c r="Q41" s="259" t="n">
        <v>5443000000</v>
      </c>
      <c r="R41" s="259" t="n">
        <v>5719000000</v>
      </c>
      <c r="S41" s="259" t="n">
        <v>5906000000</v>
      </c>
      <c r="T41" s="259" t="n">
        <v>6037000000</v>
      </c>
      <c r="U41" s="259" t="n">
        <v>6246000000</v>
      </c>
      <c r="V41" s="259" t="n">
        <v>7142000000</v>
      </c>
      <c r="W41" s="259" t="n">
        <v>7321000000</v>
      </c>
      <c r="X41" s="259" t="n">
        <v>7658000000</v>
      </c>
      <c r="Y41" s="259" t="n">
        <v>7636000000</v>
      </c>
      <c r="Z41" s="259" t="n">
        <v>9080000000</v>
      </c>
      <c r="AA41" s="259" t="n">
        <v>9243000000</v>
      </c>
      <c r="AB41" s="259" t="n">
        <v>9616000000</v>
      </c>
      <c r="AC41" s="259" t="n">
        <v>10601000000</v>
      </c>
      <c r="AD41" s="259" t="n">
        <v>10723000000</v>
      </c>
      <c r="AE41" s="259" t="n">
        <v>10802000000</v>
      </c>
      <c r="AF41" s="259" t="n">
        <v>11519000000</v>
      </c>
      <c r="AG41" s="259" t="n">
        <v>12791000000</v>
      </c>
      <c r="AH41" s="259" t="n">
        <v>13279000000</v>
      </c>
      <c r="AI41" s="259" t="n">
        <v>14554000000</v>
      </c>
      <c r="AJ41" s="259" t="n">
        <v>15256000000</v>
      </c>
    </row>
    <row r="42">
      <c r="A42" t="n">
        <v>26</v>
      </c>
      <c r="B42" t="n">
        <v>1</v>
      </c>
      <c r="G42" t="inlineStr">
        <is>
          <t>moeda</t>
        </is>
      </c>
      <c r="H42" t="inlineStr">
        <is>
          <t>ContractWithCustomerLiabilityCurrent</t>
        </is>
      </c>
      <c r="J42" t="inlineStr">
        <is>
          <t>fonte</t>
        </is>
      </c>
      <c r="K42" s="259" t="n">
        <v>1186000000</v>
      </c>
      <c r="L42" s="259" t="n">
        <v>1130000000</v>
      </c>
      <c r="M42" s="259" t="n">
        <v>1258000000</v>
      </c>
      <c r="N42" s="259" t="n">
        <v>1458000000</v>
      </c>
      <c r="O42" s="259" t="n">
        <v>1592000000</v>
      </c>
      <c r="P42" s="259" t="n">
        <v>1693000000</v>
      </c>
      <c r="Q42" s="259" t="n">
        <v>1801000000</v>
      </c>
      <c r="R42" s="259" t="n">
        <v>1447000000</v>
      </c>
      <c r="S42" s="259" t="n">
        <v>1594000000</v>
      </c>
      <c r="T42" s="259" t="n">
        <v>1858000000</v>
      </c>
      <c r="U42" s="259" t="n">
        <v>1928000000</v>
      </c>
      <c r="V42" s="259" t="n">
        <v>1747000000</v>
      </c>
      <c r="W42" s="259" t="n">
        <v>1750000000</v>
      </c>
      <c r="X42" s="259" t="n">
        <v>2176000000</v>
      </c>
      <c r="Y42" s="259" t="n">
        <v>2206000000</v>
      </c>
      <c r="Z42" s="259" t="n">
        <v>2864000000</v>
      </c>
      <c r="AA42" s="259" t="n">
        <v>3024000000</v>
      </c>
      <c r="AB42" s="259" t="n">
        <v>2793000000</v>
      </c>
      <c r="AC42" s="259" t="n">
        <v>3031000000</v>
      </c>
      <c r="AD42" s="259" t="n">
        <v>3168000000</v>
      </c>
      <c r="AE42" s="259" t="n">
        <v>3243000000</v>
      </c>
      <c r="AF42" s="259" t="n">
        <v>3237000000</v>
      </c>
      <c r="AG42" s="259" t="n">
        <v>3756000000</v>
      </c>
      <c r="AH42" s="259" t="n">
        <v>3424000000</v>
      </c>
      <c r="AI42" s="259" t="n">
        <v>3441000000</v>
      </c>
      <c r="AJ42" s="259" t="n">
        <v>3427000000</v>
      </c>
    </row>
    <row r="43">
      <c r="A43" t="n">
        <v>26</v>
      </c>
      <c r="B43" t="n">
        <v>1</v>
      </c>
      <c r="G43" t="inlineStr">
        <is>
          <t>moeda</t>
        </is>
      </c>
      <c r="H43" t="inlineStr">
        <is>
          <t>CustomerDepositsLiabilitiesCurrent</t>
        </is>
      </c>
      <c r="J43" t="inlineStr">
        <is>
          <t>fonte</t>
        </is>
      </c>
      <c r="K43" s="259" t="n">
        <v>788000000</v>
      </c>
      <c r="L43" s="259" t="n">
        <v>713000000</v>
      </c>
      <c r="M43" s="259" t="n">
        <v>708000000</v>
      </c>
      <c r="N43" s="259" t="n">
        <v>752000000</v>
      </c>
      <c r="O43" s="259" t="n">
        <v>745000000</v>
      </c>
      <c r="P43" s="259" t="n">
        <v>812000000</v>
      </c>
      <c r="Q43" s="259" t="n">
        <v>831000000</v>
      </c>
      <c r="R43" s="259" t="n">
        <v>925000000</v>
      </c>
      <c r="S43" s="259" t="n">
        <v>1125000000</v>
      </c>
      <c r="T43" s="259" t="n">
        <v>1182000000</v>
      </c>
      <c r="U43" s="259" t="n">
        <v>1083000000</v>
      </c>
      <c r="V43" s="259" t="n">
        <v>1063000000</v>
      </c>
      <c r="W43" s="259" t="n">
        <v>1057000000</v>
      </c>
      <c r="X43" s="259" t="n">
        <v>1026000000</v>
      </c>
      <c r="Y43" s="259" t="n">
        <v>894000000</v>
      </c>
      <c r="Z43" s="259" t="n">
        <v>0</v>
      </c>
      <c r="AA43" s="259" t="n">
        <v>0</v>
      </c>
      <c r="AB43" s="259" t="n">
        <v>0</v>
      </c>
      <c r="AC43" s="259" t="n">
        <v>0</v>
      </c>
      <c r="AD43" s="259" t="n">
        <v>0</v>
      </c>
      <c r="AE43" s="259" t="n">
        <v>0</v>
      </c>
      <c r="AF43" s="259" t="n">
        <v>0</v>
      </c>
      <c r="AG43" s="259" t="n">
        <v>0</v>
      </c>
      <c r="AH43" s="259" t="n">
        <v>0</v>
      </c>
      <c r="AI43" s="259" t="n">
        <v>0</v>
      </c>
      <c r="AJ43" s="259" t="n">
        <v>0</v>
      </c>
    </row>
    <row r="44">
      <c r="A44" t="n">
        <v>26</v>
      </c>
      <c r="B44" t="n">
        <v>1</v>
      </c>
      <c r="G44" t="inlineStr">
        <is>
          <t>moeda</t>
        </is>
      </c>
      <c r="H44" t="inlineStr">
        <is>
          <t>LongTermDebtAndFinanceLeasesCurrent</t>
        </is>
      </c>
      <c r="J44" t="inlineStr">
        <is>
          <t>fonte</t>
        </is>
      </c>
      <c r="K44" s="259" t="n">
        <v>3217000000</v>
      </c>
      <c r="L44" s="259" t="n">
        <v>3679000000</v>
      </c>
      <c r="M44" s="259" t="n">
        <v>3126000000</v>
      </c>
      <c r="N44" s="259" t="n">
        <v>2132000000</v>
      </c>
      <c r="O44" s="259" t="n">
        <v>1819000000</v>
      </c>
      <c r="P44" s="259" t="n">
        <v>1530000000</v>
      </c>
      <c r="Q44" s="259" t="n">
        <v>1716000000</v>
      </c>
      <c r="R44" s="259" t="n">
        <v>1589000000</v>
      </c>
      <c r="S44" s="259" t="n">
        <v>1659000000</v>
      </c>
      <c r="T44" s="259" t="n">
        <v>1532000000</v>
      </c>
      <c r="U44" s="259" t="n">
        <v>1457000000</v>
      </c>
      <c r="V44" s="259" t="n">
        <v>1502000000</v>
      </c>
      <c r="W44" s="259" t="n">
        <v>1404000000</v>
      </c>
      <c r="X44" s="259" t="n">
        <v>1459000000</v>
      </c>
      <c r="Y44" s="259" t="n">
        <v>1967000000</v>
      </c>
      <c r="Z44" s="259" t="n">
        <v>2373000000</v>
      </c>
      <c r="AA44" s="259" t="n">
        <v>2461000000</v>
      </c>
      <c r="AB44" s="259" t="n">
        <v>2264000000</v>
      </c>
      <c r="AC44" s="259" t="n">
        <v>2291000000</v>
      </c>
      <c r="AD44" s="259" t="n">
        <v>2456000000</v>
      </c>
      <c r="AE44" s="259" t="n">
        <v>2237000000</v>
      </c>
      <c r="AF44" s="259" t="n">
        <v>2040000000</v>
      </c>
      <c r="AG44" s="259" t="n">
        <v>1924000000</v>
      </c>
      <c r="AH44" s="259" t="n">
        <v>1640000000</v>
      </c>
      <c r="AI44" s="259" t="n">
        <v>1447000000</v>
      </c>
      <c r="AJ44" s="259" t="n">
        <v>1418000000</v>
      </c>
    </row>
    <row r="45">
      <c r="A45" t="n">
        <v>34</v>
      </c>
      <c r="B45" t="n">
        <v>1</v>
      </c>
      <c r="G45" t="inlineStr">
        <is>
          <t>moeda</t>
        </is>
      </c>
      <c r="H45" t="inlineStr">
        <is>
          <t>LongTermDebtAndFinanceLeasesNoncurrent</t>
        </is>
      </c>
      <c r="J45" t="inlineStr">
        <is>
          <t>fonte</t>
        </is>
      </c>
      <c r="K45" s="259" t="n">
        <v>10666000000</v>
      </c>
      <c r="L45" s="259" t="n">
        <v>10416000000</v>
      </c>
      <c r="M45" s="259" t="n">
        <v>10559000000</v>
      </c>
      <c r="N45" s="259" t="n">
        <v>9556000000</v>
      </c>
      <c r="O45" s="259" t="n">
        <v>9053000000</v>
      </c>
      <c r="P45" s="259" t="n">
        <v>7871000000</v>
      </c>
      <c r="Q45" s="259" t="n">
        <v>6438000000</v>
      </c>
      <c r="R45" s="259" t="n">
        <v>5245000000</v>
      </c>
      <c r="S45" s="259" t="n">
        <v>3153000000</v>
      </c>
      <c r="T45" s="259" t="n">
        <v>2898000000</v>
      </c>
      <c r="U45" s="259" t="n">
        <v>2096000000</v>
      </c>
      <c r="V45" s="259" t="n">
        <v>1597000000</v>
      </c>
      <c r="W45" s="259" t="n">
        <v>1272000000</v>
      </c>
      <c r="X45" s="259" t="n">
        <v>872000000</v>
      </c>
      <c r="Y45" s="259" t="n">
        <v>2426000000</v>
      </c>
      <c r="Z45" s="259" t="n">
        <v>2857000000</v>
      </c>
      <c r="AA45" s="259" t="n">
        <v>2899000000</v>
      </c>
      <c r="AB45" s="259" t="n">
        <v>5481000000</v>
      </c>
      <c r="AC45" s="259" t="n">
        <v>5405000000</v>
      </c>
      <c r="AD45" s="259" t="n">
        <v>5757000000</v>
      </c>
      <c r="AE45" s="259" t="n">
        <v>5292000000</v>
      </c>
      <c r="AF45" s="259" t="n">
        <v>5180000000</v>
      </c>
      <c r="AG45" s="259" t="n">
        <v>5778000000</v>
      </c>
      <c r="AH45" s="259" t="n">
        <v>6736000000</v>
      </c>
      <c r="AI45" s="259" t="n">
        <v>7782000000</v>
      </c>
      <c r="AJ45" s="259" t="n">
        <v>7924000000</v>
      </c>
    </row>
    <row r="46">
      <c r="A46" t="n">
        <v>34</v>
      </c>
      <c r="B46" t="n">
        <v>1</v>
      </c>
      <c r="G46" t="inlineStr">
        <is>
          <t>moeda</t>
        </is>
      </c>
      <c r="H46" t="inlineStr">
        <is>
          <t>ContractWithCustomerLiabilityNoncurrent</t>
        </is>
      </c>
      <c r="J46" t="inlineStr">
        <is>
          <t>fonte</t>
        </is>
      </c>
      <c r="K46" s="259" t="n">
        <v>1199000000</v>
      </c>
      <c r="L46" s="259" t="n">
        <v>1198000000</v>
      </c>
      <c r="M46" s="259" t="n">
        <v>1233000000</v>
      </c>
      <c r="N46" s="259" t="n">
        <v>1284000000</v>
      </c>
      <c r="O46" s="259" t="n">
        <v>1294000000</v>
      </c>
      <c r="P46" s="259" t="n">
        <v>1318000000</v>
      </c>
      <c r="Q46" s="259" t="n">
        <v>1365000000</v>
      </c>
      <c r="R46" s="259" t="n">
        <v>2052000000</v>
      </c>
      <c r="S46" s="259" t="n">
        <v>2185000000</v>
      </c>
      <c r="T46" s="259" t="n">
        <v>2210000000</v>
      </c>
      <c r="U46" s="259" t="n">
        <v>2265000000</v>
      </c>
      <c r="V46" s="259" t="n">
        <v>2804000000</v>
      </c>
      <c r="W46" s="259" t="n">
        <v>2911000000</v>
      </c>
      <c r="X46" s="259" t="n">
        <v>3021000000</v>
      </c>
      <c r="Y46" s="259" t="n">
        <v>3059000000</v>
      </c>
      <c r="Z46" s="259" t="n">
        <v>3251000000</v>
      </c>
      <c r="AA46" s="259" t="n">
        <v>3214000000</v>
      </c>
      <c r="AB46" s="259" t="n">
        <v>3357000000</v>
      </c>
      <c r="AC46" s="259" t="n">
        <v>3350000000</v>
      </c>
      <c r="AD46" s="259" t="n">
        <v>3317000000</v>
      </c>
      <c r="AE46" s="259" t="n">
        <v>3610000000</v>
      </c>
      <c r="AF46" s="259" t="n">
        <v>3764000000</v>
      </c>
      <c r="AG46" s="259" t="n">
        <v>3746000000</v>
      </c>
      <c r="AH46" s="259" t="n">
        <v>3631000000</v>
      </c>
      <c r="AI46" s="259" t="n">
        <v>3847000000</v>
      </c>
      <c r="AJ46" s="259" t="n">
        <v>4073000000</v>
      </c>
    </row>
    <row r="47">
      <c r="A47" t="n">
        <v>34</v>
      </c>
      <c r="B47" t="n">
        <v>1</v>
      </c>
      <c r="G47" t="inlineStr">
        <is>
          <t>moeda</t>
        </is>
      </c>
      <c r="H47" t="inlineStr">
        <is>
          <t>OtherLiabilitiesNoncurrent</t>
        </is>
      </c>
      <c r="J47" t="inlineStr">
        <is>
          <t>fonte</t>
        </is>
      </c>
      <c r="K47" s="259" t="n">
        <v>2667000000</v>
      </c>
      <c r="L47" s="259" t="n">
        <v>2870000000</v>
      </c>
      <c r="M47" s="259" t="n">
        <v>3049000000</v>
      </c>
      <c r="N47" s="259" t="n">
        <v>3330000000</v>
      </c>
      <c r="O47" s="259" t="n">
        <v>3283000000</v>
      </c>
      <c r="P47" s="259" t="n">
        <v>3336000000</v>
      </c>
      <c r="Q47" s="259" t="n">
        <v>3486000000</v>
      </c>
      <c r="R47" s="259" t="n">
        <v>3546000000</v>
      </c>
      <c r="S47" s="259" t="n">
        <v>3839000000</v>
      </c>
      <c r="T47" s="259" t="n">
        <v>3926000000</v>
      </c>
      <c r="U47" s="259" t="n">
        <v>4330000000</v>
      </c>
      <c r="V47" s="259" t="n">
        <v>5330000000</v>
      </c>
      <c r="W47" s="259" t="n">
        <v>5979000000</v>
      </c>
      <c r="X47" s="259" t="n">
        <v>6924000000</v>
      </c>
      <c r="Y47" s="259" t="n">
        <v>7321000000</v>
      </c>
      <c r="Z47" s="259" t="n">
        <v>8153000000</v>
      </c>
      <c r="AA47" s="259" t="n">
        <v>8480000000</v>
      </c>
      <c r="AB47" s="259" t="n">
        <v>9002000000</v>
      </c>
      <c r="AC47" s="259" t="n">
        <v>9810000000</v>
      </c>
      <c r="AD47" s="259" t="n">
        <v>10495000000</v>
      </c>
      <c r="AE47" s="259" t="n">
        <v>11038000000</v>
      </c>
      <c r="AF47" s="259" t="n">
        <v>11543000000</v>
      </c>
      <c r="AG47" s="259" t="n">
        <v>12205000000</v>
      </c>
      <c r="AH47" s="259" t="n">
        <v>12860000000</v>
      </c>
      <c r="AI47" s="259" t="n">
        <v>13155000000</v>
      </c>
      <c r="AJ47" s="259" t="n">
        <v>13583000000</v>
      </c>
    </row>
    <row r="48">
      <c r="A48" t="n">
        <v>35</v>
      </c>
      <c r="B48" t="n">
        <v>1</v>
      </c>
      <c r="G48" t="inlineStr">
        <is>
          <t>moeda</t>
        </is>
      </c>
      <c r="H48" t="inlineStr">
        <is>
          <t>RedeemableNoncontrollingInterestEquityCarryingAmount</t>
        </is>
      </c>
      <c r="J48" t="inlineStr">
        <is>
          <t>fonte</t>
        </is>
      </c>
      <c r="K48" s="259" t="n">
        <v>632000000</v>
      </c>
      <c r="L48" s="259" t="n">
        <v>613000000</v>
      </c>
      <c r="M48" s="259" t="n">
        <v>608000000</v>
      </c>
      <c r="N48" s="259" t="n">
        <v>604000000</v>
      </c>
      <c r="O48" s="259" t="n">
        <v>601000000</v>
      </c>
      <c r="P48" s="259" t="n">
        <v>605000000</v>
      </c>
      <c r="Q48" s="259" t="n">
        <v>605000000</v>
      </c>
      <c r="R48" s="259" t="n">
        <v>568000000</v>
      </c>
      <c r="S48" s="259" t="n">
        <v>459000000</v>
      </c>
      <c r="T48" s="259" t="n">
        <v>421000000</v>
      </c>
      <c r="U48" s="259" t="n">
        <v>421000000</v>
      </c>
      <c r="V48" s="259" t="n">
        <v>409000000</v>
      </c>
      <c r="W48" s="259" t="n">
        <v>407000000</v>
      </c>
      <c r="X48" s="259" t="n">
        <v>288000000</v>
      </c>
      <c r="Y48" s="259" t="n">
        <v>277000000</v>
      </c>
      <c r="Z48" s="259" t="n">
        <v>242000000</v>
      </c>
      <c r="AA48" s="259" t="n">
        <v>73000000</v>
      </c>
      <c r="AB48" s="259" t="n">
        <v>72000000</v>
      </c>
      <c r="AC48" s="259" t="n">
        <v>70000000</v>
      </c>
      <c r="AD48" s="259" t="n">
        <v>63000000</v>
      </c>
      <c r="AE48" s="259" t="n">
        <v>62000000</v>
      </c>
      <c r="AF48" s="259" t="n">
        <v>61000000</v>
      </c>
      <c r="AG48" s="259" t="n">
        <v>59000000</v>
      </c>
      <c r="AH48" s="259" t="n">
        <v>58000000</v>
      </c>
      <c r="AI48" s="259" t="n">
        <v>57000000</v>
      </c>
      <c r="AJ48" s="259" t="n">
        <v>54000000</v>
      </c>
    </row>
    <row r="49">
      <c r="A49" t="n">
        <v>35</v>
      </c>
      <c r="B49" t="n">
        <v>1</v>
      </c>
      <c r="G49" t="inlineStr">
        <is>
          <t>moeda</t>
        </is>
      </c>
      <c r="H49" t="inlineStr">
        <is>
          <t>MinorityInterest</t>
        </is>
      </c>
      <c r="J49" t="inlineStr">
        <is>
          <t>fonte</t>
        </is>
      </c>
      <c r="K49" s="259" t="n">
        <v>867000000</v>
      </c>
      <c r="L49" s="259" t="n">
        <v>869000000</v>
      </c>
      <c r="M49" s="259" t="n">
        <v>861000000</v>
      </c>
      <c r="N49" s="259" t="n">
        <v>850000000</v>
      </c>
      <c r="O49" s="259" t="n">
        <v>847000000</v>
      </c>
      <c r="P49" s="259" t="n">
        <v>841000000</v>
      </c>
      <c r="Q49" s="259" t="n">
        <v>836000000</v>
      </c>
      <c r="R49" s="259" t="n">
        <v>826000000</v>
      </c>
      <c r="S49" s="259" t="n">
        <v>862000000</v>
      </c>
      <c r="T49" s="259" t="n">
        <v>861000000</v>
      </c>
      <c r="U49" s="259" t="n">
        <v>852000000</v>
      </c>
      <c r="V49" s="259" t="n">
        <v>785000000</v>
      </c>
      <c r="W49" s="259" t="n">
        <v>774000000</v>
      </c>
      <c r="X49" s="259" t="n">
        <v>764000000</v>
      </c>
      <c r="Y49" s="259" t="n">
        <v>752000000</v>
      </c>
      <c r="Z49" s="259" t="n">
        <v>733000000</v>
      </c>
      <c r="AA49" s="259" t="n">
        <v>729000000</v>
      </c>
      <c r="AB49" s="259" t="n">
        <v>723000000</v>
      </c>
      <c r="AC49" s="259" t="n">
        <v>709000000</v>
      </c>
      <c r="AD49" s="259" t="n">
        <v>704000000</v>
      </c>
      <c r="AE49" s="259" t="n">
        <v>703000000</v>
      </c>
      <c r="AF49" s="259" t="n">
        <v>697000000</v>
      </c>
      <c r="AG49" s="259" t="n">
        <v>687000000</v>
      </c>
      <c r="AH49" s="259" t="n">
        <v>670000000</v>
      </c>
      <c r="AI49" s="259" t="n">
        <v>629000000</v>
      </c>
      <c r="AJ49" s="259" t="n">
        <v>607000000</v>
      </c>
    </row>
    <row r="50">
      <c r="A50" t="n">
        <v>37</v>
      </c>
      <c r="B50" t="n">
        <v>1</v>
      </c>
      <c r="G50" t="inlineStr">
        <is>
          <t>moeda</t>
        </is>
      </c>
      <c r="H50" t="inlineStr">
        <is>
          <t>CommonStockValue</t>
        </is>
      </c>
      <c r="J50" t="inlineStr">
        <is>
          <t>fonte</t>
        </is>
      </c>
      <c r="K50" s="259" t="n">
        <v>0</v>
      </c>
      <c r="L50" s="259" t="n">
        <v>0</v>
      </c>
      <c r="M50" s="259" t="n">
        <v>1000000</v>
      </c>
      <c r="N50" s="259" t="n">
        <v>1000000</v>
      </c>
      <c r="O50" s="259" t="n">
        <v>1000000</v>
      </c>
      <c r="P50" s="259" t="n">
        <v>1000000</v>
      </c>
      <c r="Q50" s="259" t="n">
        <v>1000000</v>
      </c>
      <c r="R50" s="259" t="n">
        <v>1000000</v>
      </c>
      <c r="S50" s="259" t="n">
        <v>1000000</v>
      </c>
      <c r="T50" s="259" t="n">
        <v>1000000</v>
      </c>
      <c r="U50" s="259" t="n">
        <v>3000000</v>
      </c>
      <c r="V50" s="259" t="n">
        <v>3000000</v>
      </c>
      <c r="W50" s="259" t="n">
        <v>3000000</v>
      </c>
      <c r="X50" s="259" t="n">
        <v>3000000</v>
      </c>
      <c r="Y50" s="259" t="n">
        <v>3000000</v>
      </c>
      <c r="Z50" s="259" t="n">
        <v>3000000</v>
      </c>
      <c r="AA50" s="259" t="n">
        <v>3000000</v>
      </c>
      <c r="AB50" s="259" t="n">
        <v>3000000</v>
      </c>
      <c r="AC50" s="259" t="n">
        <v>3000000</v>
      </c>
      <c r="AD50" s="259" t="n">
        <v>3000000</v>
      </c>
      <c r="AE50" s="259" t="n">
        <v>3000000</v>
      </c>
      <c r="AF50" s="259" t="n">
        <v>3000000</v>
      </c>
      <c r="AG50" s="259" t="n">
        <v>3000000</v>
      </c>
      <c r="AH50" s="259" t="n">
        <v>3000000</v>
      </c>
      <c r="AI50" s="259" t="n">
        <v>3000000</v>
      </c>
      <c r="AJ50" s="259" t="n">
        <v>4000000</v>
      </c>
    </row>
    <row r="51">
      <c r="A51" t="n">
        <v>37</v>
      </c>
      <c r="B51" t="n">
        <v>1</v>
      </c>
      <c r="G51" t="inlineStr">
        <is>
          <t>moeda</t>
        </is>
      </c>
      <c r="H51" t="inlineStr">
        <is>
          <t>AdditionalPaidInCapitalCommonStock</t>
        </is>
      </c>
      <c r="J51" t="inlineStr">
        <is>
          <t>fonte</t>
        </is>
      </c>
      <c r="K51" s="259" t="n">
        <v>15390000000</v>
      </c>
      <c r="L51" s="259" t="n">
        <v>15895000000</v>
      </c>
      <c r="M51" s="259" t="n">
        <v>21574000000</v>
      </c>
      <c r="N51" s="259" t="n">
        <v>27260000000</v>
      </c>
      <c r="O51" s="259" t="n">
        <v>27623000000</v>
      </c>
      <c r="P51" s="259" t="n">
        <v>28205000000</v>
      </c>
      <c r="Q51" s="259" t="n">
        <v>28922000000</v>
      </c>
      <c r="R51" s="259" t="n">
        <v>29803000000</v>
      </c>
      <c r="S51" s="259" t="n">
        <v>30485000000</v>
      </c>
      <c r="T51" s="259" t="n">
        <v>30944000000</v>
      </c>
      <c r="U51" s="259" t="n">
        <v>31592000000</v>
      </c>
      <c r="V51" s="259" t="n">
        <v>32177000000</v>
      </c>
      <c r="W51" s="259" t="n">
        <v>32878000000</v>
      </c>
      <c r="X51" s="259" t="n">
        <v>33436000000</v>
      </c>
      <c r="Y51" s="259" t="n">
        <v>34201000000</v>
      </c>
      <c r="Z51" s="259" t="n">
        <v>34892000000</v>
      </c>
      <c r="AA51" s="259" t="n">
        <v>35763000000</v>
      </c>
      <c r="AB51" s="259" t="n">
        <v>36443000000</v>
      </c>
      <c r="AC51" s="259" t="n">
        <v>37286000000</v>
      </c>
      <c r="AD51" s="259" t="n">
        <v>38371000000</v>
      </c>
      <c r="AE51" s="259" t="n">
        <v>39456000000</v>
      </c>
      <c r="AF51" s="259" t="n">
        <v>40363000000</v>
      </c>
      <c r="AG51" s="259" t="n">
        <v>41597000000</v>
      </c>
      <c r="AH51" s="259" t="n">
        <v>42770000000</v>
      </c>
      <c r="AI51" s="259" t="n">
        <v>44299000000</v>
      </c>
      <c r="AJ51" s="259" t="n">
        <v>45859000000</v>
      </c>
    </row>
    <row r="52">
      <c r="A52" t="n">
        <v>39</v>
      </c>
      <c r="B52" t="n">
        <v>1</v>
      </c>
      <c r="G52" t="inlineStr">
        <is>
          <t>moeda</t>
        </is>
      </c>
      <c r="H52" t="inlineStr">
        <is>
          <t>AccumulatedOtherComprehensiveIncomeLossNetOfTax</t>
        </is>
      </c>
      <c r="J52" t="inlineStr">
        <is>
          <t>fonte</t>
        </is>
      </c>
      <c r="K52" s="259" t="n">
        <v>-113000000</v>
      </c>
      <c r="L52" s="259" t="n">
        <v>-40000000</v>
      </c>
      <c r="M52" s="259" t="n">
        <v>125000000</v>
      </c>
      <c r="N52" s="259" t="n">
        <v>363000000</v>
      </c>
      <c r="O52" s="259" t="n">
        <v>143000000</v>
      </c>
      <c r="P52" s="259" t="n">
        <v>206000000</v>
      </c>
      <c r="Q52" s="259" t="n">
        <v>120000000</v>
      </c>
      <c r="R52" s="259" t="n">
        <v>54000000</v>
      </c>
      <c r="S52" s="259" t="n">
        <v>-50000000</v>
      </c>
      <c r="T52" s="259" t="n">
        <v>-477000000</v>
      </c>
      <c r="U52" s="259" t="n">
        <v>-942000000</v>
      </c>
      <c r="V52" s="259" t="n">
        <v>-361000000</v>
      </c>
      <c r="W52" s="259" t="n">
        <v>-225000000</v>
      </c>
      <c r="X52" s="259" t="n">
        <v>-410000000</v>
      </c>
      <c r="Y52" s="259" t="n">
        <v>-692000000</v>
      </c>
      <c r="Z52" s="259" t="n">
        <v>-143000000</v>
      </c>
      <c r="AA52" s="259" t="n">
        <v>-399000000</v>
      </c>
      <c r="AB52" s="259" t="n">
        <v>-467000000</v>
      </c>
      <c r="AC52" s="259" t="n">
        <v>-14000000</v>
      </c>
      <c r="AD52" s="259" t="n">
        <v>-670000000</v>
      </c>
      <c r="AE52" s="259" t="n">
        <v>-424000000</v>
      </c>
      <c r="AF52" s="259" t="n">
        <v>158000000</v>
      </c>
      <c r="AG52" s="259" t="n">
        <v>207000000</v>
      </c>
      <c r="AH52" s="259" t="n">
        <v>361000000</v>
      </c>
      <c r="AI52" s="259" t="n">
        <v>334000000</v>
      </c>
      <c r="AJ52" s="259" t="n">
        <v>401000000</v>
      </c>
    </row>
    <row r="53">
      <c r="A53" t="n">
        <v>40</v>
      </c>
      <c r="B53" t="n">
        <v>1</v>
      </c>
      <c r="G53" t="inlineStr">
        <is>
          <t>moeda</t>
        </is>
      </c>
      <c r="H53" t="inlineStr">
        <is>
          <t>TemporaryEquityCarryingAmountAttributableToParent</t>
        </is>
      </c>
      <c r="J53" t="inlineStr">
        <is>
          <t>fonte</t>
        </is>
      </c>
      <c r="K53" s="259" t="n">
        <v>60000000</v>
      </c>
      <c r="L53" s="259" t="n">
        <v>44000000</v>
      </c>
      <c r="M53" s="259" t="n">
        <v>48000000</v>
      </c>
      <c r="N53" s="259" t="n">
        <v>51000000</v>
      </c>
      <c r="O53" s="259" t="n">
        <v>0</v>
      </c>
      <c r="P53" s="259" t="n">
        <v>0</v>
      </c>
      <c r="Q53" s="259" t="n">
        <v>0</v>
      </c>
      <c r="R53" s="259" t="n">
        <v>0</v>
      </c>
      <c r="S53" s="259" t="n">
        <v>0</v>
      </c>
      <c r="T53" s="259" t="n">
        <v>0</v>
      </c>
      <c r="U53" s="259" t="n">
        <v>0</v>
      </c>
      <c r="V53" s="259" t="n">
        <v>0</v>
      </c>
      <c r="W53" s="259" t="n">
        <v>0</v>
      </c>
      <c r="X53" s="259" t="n">
        <v>0</v>
      </c>
      <c r="Y53" s="259" t="n">
        <v>0</v>
      </c>
      <c r="Z53" s="259" t="n">
        <v>0</v>
      </c>
      <c r="AA53" s="259" t="n">
        <v>0</v>
      </c>
      <c r="AB53" s="259" t="n">
        <v>0</v>
      </c>
      <c r="AC53" s="259" t="n">
        <v>0</v>
      </c>
      <c r="AD53" s="259" t="n">
        <v>0</v>
      </c>
      <c r="AE53" s="259" t="n">
        <v>0</v>
      </c>
      <c r="AF53" s="259" t="n">
        <v>0</v>
      </c>
      <c r="AG53" s="259" t="n">
        <v>0</v>
      </c>
      <c r="AH53" s="259" t="n">
        <v>0</v>
      </c>
      <c r="AI53" s="259" t="n">
        <v>0</v>
      </c>
      <c r="AJ53" s="259" t="n">
        <v>0</v>
      </c>
    </row>
    <row r="54">
      <c r="A54" t="n">
        <v>41</v>
      </c>
      <c r="B54" t="n">
        <v>1</v>
      </c>
      <c r="G54" t="inlineStr">
        <is>
          <t>moeda</t>
        </is>
      </c>
      <c r="H54" t="inlineStr">
        <is>
          <t>RetainedEarningsAccumulatedDeficit</t>
        </is>
      </c>
      <c r="J54" t="inlineStr">
        <is>
          <t>fonte</t>
        </is>
      </c>
      <c r="K54" s="259" t="n">
        <v>-6104000000</v>
      </c>
      <c r="L54" s="259" t="n">
        <v>-6000000000</v>
      </c>
      <c r="M54" s="259" t="n">
        <v>-5669000000</v>
      </c>
      <c r="N54" s="259" t="n">
        <v>-5399000000</v>
      </c>
      <c r="O54" s="259" t="n">
        <v>-4750000000</v>
      </c>
      <c r="P54" s="259" t="n">
        <v>-3608000000</v>
      </c>
      <c r="Q54" s="259" t="n">
        <v>-1990000000</v>
      </c>
      <c r="R54" s="259" t="n">
        <v>331000000</v>
      </c>
      <c r="S54" s="259" t="n">
        <v>3649000000</v>
      </c>
      <c r="T54" s="259" t="n">
        <v>5908000000</v>
      </c>
      <c r="U54" s="259" t="n">
        <v>9198000000</v>
      </c>
      <c r="V54" s="259" t="n">
        <v>12885000000</v>
      </c>
      <c r="W54" s="259" t="n">
        <v>15398000000</v>
      </c>
      <c r="X54" s="259" t="n">
        <v>18101000000</v>
      </c>
      <c r="Y54" s="259" t="n">
        <v>19954000000</v>
      </c>
      <c r="Z54" s="259" t="n">
        <v>27882000000</v>
      </c>
      <c r="AA54" s="259" t="n">
        <v>29011000000</v>
      </c>
      <c r="AB54" s="259" t="n">
        <v>30489000000</v>
      </c>
      <c r="AC54" s="259" t="n">
        <v>32656000000</v>
      </c>
      <c r="AD54" s="259" t="n">
        <v>35209000000</v>
      </c>
      <c r="AE54" s="259" t="n">
        <v>35618000000</v>
      </c>
      <c r="AF54" s="259" t="n">
        <v>36790000000</v>
      </c>
      <c r="AG54" s="259" t="n">
        <v>38163000000</v>
      </c>
      <c r="AH54" s="259" t="n">
        <v>39003000000</v>
      </c>
      <c r="AI54" s="259" t="n">
        <v>39480000000</v>
      </c>
      <c r="AJ54" s="259" t="n">
        <v>40594000000</v>
      </c>
    </row>
    <row r="55">
      <c r="A55" t="n">
        <v>15</v>
      </c>
      <c r="B55" t="n">
        <v>1</v>
      </c>
      <c r="G55" t="inlineStr">
        <is>
          <t>moeda</t>
        </is>
      </c>
      <c r="H55" t="inlineStr">
        <is>
          <t>[vazio] Despesas antecipadas: não aparece como linha própria nas demonstrações (zero)</t>
        </is>
      </c>
      <c r="J55" t="inlineStr">
        <is>
          <t>derivada</t>
        </is>
      </c>
      <c r="K55" s="259" t="n">
        <v>0</v>
      </c>
      <c r="L55" s="259" t="n">
        <v>0</v>
      </c>
      <c r="M55" s="259" t="n">
        <v>0</v>
      </c>
      <c r="N55" s="259" t="n">
        <v>0</v>
      </c>
      <c r="O55" s="259" t="n">
        <v>0</v>
      </c>
      <c r="P55" s="259" t="n">
        <v>0</v>
      </c>
      <c r="Q55" s="259" t="n">
        <v>0</v>
      </c>
      <c r="R55" s="259" t="n">
        <v>0</v>
      </c>
      <c r="S55" s="259" t="n">
        <v>0</v>
      </c>
      <c r="T55" s="259" t="n">
        <v>0</v>
      </c>
      <c r="U55" s="259" t="n">
        <v>0</v>
      </c>
      <c r="V55" s="259" t="n">
        <v>0</v>
      </c>
      <c r="W55" s="259" t="n">
        <v>0</v>
      </c>
      <c r="X55" s="259" t="n">
        <v>0</v>
      </c>
      <c r="Y55" s="259" t="n">
        <v>0</v>
      </c>
      <c r="Z55" s="259" t="n">
        <v>0</v>
      </c>
      <c r="AA55" s="259" t="n">
        <v>0</v>
      </c>
      <c r="AB55" s="259" t="n">
        <v>0</v>
      </c>
      <c r="AC55" s="259" t="n">
        <v>0</v>
      </c>
      <c r="AD55" s="259" t="n">
        <v>0</v>
      </c>
      <c r="AE55" s="259" t="n">
        <v>0</v>
      </c>
      <c r="AF55" s="259" t="n">
        <v>0</v>
      </c>
      <c r="AG55" s="259" t="n">
        <v>0</v>
      </c>
      <c r="AH55" s="259" t="n">
        <v>0</v>
      </c>
      <c r="AI55" s="259" t="n">
        <v>0</v>
      </c>
      <c r="AJ55" s="259" t="n">
        <v>0</v>
      </c>
    </row>
    <row r="56">
      <c r="A56" t="n">
        <v>17</v>
      </c>
      <c r="B56" t="n">
        <v>1</v>
      </c>
      <c r="G56" t="inlineStr">
        <is>
          <t>moeda</t>
        </is>
      </c>
      <c r="H56" t="inlineStr">
        <is>
          <t>[vazio] Investimentos em coligadas: não aparece como linha própria nas demonstrações (zero)</t>
        </is>
      </c>
      <c r="J56" t="inlineStr">
        <is>
          <t>derivada</t>
        </is>
      </c>
      <c r="K56" s="259" t="n">
        <v>0</v>
      </c>
      <c r="L56" s="259" t="n">
        <v>0</v>
      </c>
      <c r="M56" s="259" t="n">
        <v>0</v>
      </c>
      <c r="N56" s="259" t="n">
        <v>0</v>
      </c>
      <c r="O56" s="259" t="n">
        <v>0</v>
      </c>
      <c r="P56" s="259" t="n">
        <v>0</v>
      </c>
      <c r="Q56" s="259" t="n">
        <v>0</v>
      </c>
      <c r="R56" s="259" t="n">
        <v>0</v>
      </c>
      <c r="S56" s="259" t="n">
        <v>0</v>
      </c>
      <c r="T56" s="259" t="n">
        <v>0</v>
      </c>
      <c r="U56" s="259" t="n">
        <v>0</v>
      </c>
      <c r="V56" s="259" t="n">
        <v>0</v>
      </c>
      <c r="W56" s="259" t="n">
        <v>0</v>
      </c>
      <c r="X56" s="259" t="n">
        <v>0</v>
      </c>
      <c r="Y56" s="259" t="n">
        <v>0</v>
      </c>
      <c r="Z56" s="259" t="n">
        <v>0</v>
      </c>
      <c r="AA56" s="259" t="n">
        <v>0</v>
      </c>
      <c r="AB56" s="259" t="n">
        <v>0</v>
      </c>
      <c r="AC56" s="259" t="n">
        <v>0</v>
      </c>
      <c r="AD56" s="259" t="n">
        <v>0</v>
      </c>
      <c r="AE56" s="259" t="n">
        <v>0</v>
      </c>
      <c r="AF56" s="259" t="n">
        <v>0</v>
      </c>
      <c r="AG56" s="259" t="n">
        <v>0</v>
      </c>
      <c r="AH56" s="259" t="n">
        <v>0</v>
      </c>
      <c r="AI56" s="259" t="n">
        <v>0</v>
      </c>
      <c r="AJ56" s="259" t="n">
        <v>0</v>
      </c>
    </row>
    <row r="57">
      <c r="A57" t="n">
        <v>24</v>
      </c>
      <c r="B57" t="n">
        <v>1</v>
      </c>
      <c r="G57" t="inlineStr">
        <is>
          <t>moeda</t>
        </is>
      </c>
      <c r="H57" t="inlineStr">
        <is>
          <t>[vazio] Despesas provisionadas: não aparece como linha própria nas demonstrações (zero)</t>
        </is>
      </c>
      <c r="J57" t="inlineStr">
        <is>
          <t>derivada</t>
        </is>
      </c>
      <c r="K57" s="259" t="n">
        <v>0</v>
      </c>
      <c r="L57" s="259" t="n">
        <v>0</v>
      </c>
      <c r="M57" s="259" t="n">
        <v>0</v>
      </c>
      <c r="N57" s="259" t="n">
        <v>0</v>
      </c>
      <c r="O57" s="259" t="n">
        <v>0</v>
      </c>
      <c r="P57" s="259" t="n">
        <v>0</v>
      </c>
      <c r="Q57" s="259" t="n">
        <v>0</v>
      </c>
      <c r="R57" s="259" t="n">
        <v>0</v>
      </c>
      <c r="S57" s="259" t="n">
        <v>0</v>
      </c>
      <c r="T57" s="259" t="n">
        <v>0</v>
      </c>
      <c r="U57" s="259" t="n">
        <v>0</v>
      </c>
      <c r="V57" s="259" t="n">
        <v>0</v>
      </c>
      <c r="W57" s="259" t="n">
        <v>0</v>
      </c>
      <c r="X57" s="259" t="n">
        <v>0</v>
      </c>
      <c r="Y57" s="259" t="n">
        <v>0</v>
      </c>
      <c r="Z57" s="259" t="n">
        <v>0</v>
      </c>
      <c r="AA57" s="259" t="n">
        <v>0</v>
      </c>
      <c r="AB57" s="259" t="n">
        <v>0</v>
      </c>
      <c r="AC57" s="259" t="n">
        <v>0</v>
      </c>
      <c r="AD57" s="259" t="n">
        <v>0</v>
      </c>
      <c r="AE57" s="259" t="n">
        <v>0</v>
      </c>
      <c r="AF57" s="259" t="n">
        <v>0</v>
      </c>
      <c r="AG57" s="259" t="n">
        <v>0</v>
      </c>
      <c r="AH57" s="259" t="n">
        <v>0</v>
      </c>
      <c r="AI57" s="259" t="n">
        <v>0</v>
      </c>
      <c r="AJ57" s="259" t="n">
        <v>0</v>
      </c>
    </row>
    <row r="58">
      <c r="A58" t="n">
        <v>25</v>
      </c>
      <c r="B58" t="n">
        <v>1</v>
      </c>
      <c r="G58" t="inlineStr">
        <is>
          <t>moeda</t>
        </is>
      </c>
      <c r="H58" t="inlineStr">
        <is>
          <t>[vazio] Impostos a pagar: não aparece como linha própria nas demonstrações (zero)</t>
        </is>
      </c>
      <c r="J58" t="inlineStr">
        <is>
          <t>derivada</t>
        </is>
      </c>
      <c r="K58" s="259" t="n">
        <v>0</v>
      </c>
      <c r="L58" s="259" t="n">
        <v>0</v>
      </c>
      <c r="M58" s="259" t="n">
        <v>0</v>
      </c>
      <c r="N58" s="259" t="n">
        <v>0</v>
      </c>
      <c r="O58" s="259" t="n">
        <v>0</v>
      </c>
      <c r="P58" s="259" t="n">
        <v>0</v>
      </c>
      <c r="Q58" s="259" t="n">
        <v>0</v>
      </c>
      <c r="R58" s="259" t="n">
        <v>0</v>
      </c>
      <c r="S58" s="259" t="n">
        <v>0</v>
      </c>
      <c r="T58" s="259" t="n">
        <v>0</v>
      </c>
      <c r="U58" s="259" t="n">
        <v>0</v>
      </c>
      <c r="V58" s="259" t="n">
        <v>0</v>
      </c>
      <c r="W58" s="259" t="n">
        <v>0</v>
      </c>
      <c r="X58" s="259" t="n">
        <v>0</v>
      </c>
      <c r="Y58" s="259" t="n">
        <v>0</v>
      </c>
      <c r="Z58" s="259" t="n">
        <v>0</v>
      </c>
      <c r="AA58" s="259" t="n">
        <v>0</v>
      </c>
      <c r="AB58" s="259" t="n">
        <v>0</v>
      </c>
      <c r="AC58" s="259" t="n">
        <v>0</v>
      </c>
      <c r="AD58" s="259" t="n">
        <v>0</v>
      </c>
      <c r="AE58" s="259" t="n">
        <v>0</v>
      </c>
      <c r="AF58" s="259" t="n">
        <v>0</v>
      </c>
      <c r="AG58" s="259" t="n">
        <v>0</v>
      </c>
      <c r="AH58" s="259" t="n">
        <v>0</v>
      </c>
      <c r="AI58" s="259" t="n">
        <v>0</v>
      </c>
      <c r="AJ58" s="259" t="n">
        <v>0</v>
      </c>
    </row>
    <row r="59">
      <c r="A59" t="n">
        <v>27</v>
      </c>
      <c r="B59" t="n">
        <v>1</v>
      </c>
      <c r="G59" t="inlineStr">
        <is>
          <t>moeda</t>
        </is>
      </c>
      <c r="H59" t="inlineStr">
        <is>
          <t>[vazio] Dívida CP: não aparece como linha própria nas demonstrações (zero)</t>
        </is>
      </c>
      <c r="J59" t="inlineStr">
        <is>
          <t>derivada</t>
        </is>
      </c>
      <c r="K59" s="259" t="n">
        <v>0</v>
      </c>
      <c r="L59" s="259" t="n">
        <v>0</v>
      </c>
      <c r="M59" s="259" t="n">
        <v>0</v>
      </c>
      <c r="N59" s="259" t="n">
        <v>0</v>
      </c>
      <c r="O59" s="259" t="n">
        <v>0</v>
      </c>
      <c r="P59" s="259" t="n">
        <v>0</v>
      </c>
      <c r="Q59" s="259" t="n">
        <v>0</v>
      </c>
      <c r="R59" s="259" t="n">
        <v>0</v>
      </c>
      <c r="S59" s="259" t="n">
        <v>0</v>
      </c>
      <c r="T59" s="259" t="n">
        <v>0</v>
      </c>
      <c r="U59" s="259" t="n">
        <v>0</v>
      </c>
      <c r="V59" s="259" t="n">
        <v>0</v>
      </c>
      <c r="W59" s="259" t="n">
        <v>0</v>
      </c>
      <c r="X59" s="259" t="n">
        <v>0</v>
      </c>
      <c r="Y59" s="259" t="n">
        <v>0</v>
      </c>
      <c r="Z59" s="259" t="n">
        <v>0</v>
      </c>
      <c r="AA59" s="259" t="n">
        <v>0</v>
      </c>
      <c r="AB59" s="259" t="n">
        <v>0</v>
      </c>
      <c r="AC59" s="259" t="n">
        <v>0</v>
      </c>
      <c r="AD59" s="259" t="n">
        <v>0</v>
      </c>
      <c r="AE59" s="259" t="n">
        <v>0</v>
      </c>
      <c r="AF59" s="259" t="n">
        <v>0</v>
      </c>
      <c r="AG59" s="259" t="n">
        <v>0</v>
      </c>
      <c r="AH59" s="259" t="n">
        <v>0</v>
      </c>
      <c r="AI59" s="259" t="n">
        <v>0</v>
      </c>
      <c r="AJ59" s="259" t="n">
        <v>0</v>
      </c>
    </row>
    <row r="60">
      <c r="A60" t="n">
        <v>28</v>
      </c>
      <c r="B60" t="n">
        <v>1</v>
      </c>
      <c r="G60" t="inlineStr">
        <is>
          <t>moeda</t>
        </is>
      </c>
      <c r="H60" t="inlineStr">
        <is>
          <t>[vazio] Revolving: não aparece como linha própria nas demonstrações (zero)</t>
        </is>
      </c>
      <c r="J60" t="inlineStr">
        <is>
          <t>derivada</t>
        </is>
      </c>
      <c r="K60" s="259" t="n">
        <v>0</v>
      </c>
      <c r="L60" s="259" t="n">
        <v>0</v>
      </c>
      <c r="M60" s="259" t="n">
        <v>0</v>
      </c>
      <c r="N60" s="259" t="n">
        <v>0</v>
      </c>
      <c r="O60" s="259" t="n">
        <v>0</v>
      </c>
      <c r="P60" s="259" t="n">
        <v>0</v>
      </c>
      <c r="Q60" s="259" t="n">
        <v>0</v>
      </c>
      <c r="R60" s="259" t="n">
        <v>0</v>
      </c>
      <c r="S60" s="259" t="n">
        <v>0</v>
      </c>
      <c r="T60" s="259" t="n">
        <v>0</v>
      </c>
      <c r="U60" s="259" t="n">
        <v>0</v>
      </c>
      <c r="V60" s="259" t="n">
        <v>0</v>
      </c>
      <c r="W60" s="259" t="n">
        <v>0</v>
      </c>
      <c r="X60" s="259" t="n">
        <v>0</v>
      </c>
      <c r="Y60" s="259" t="n">
        <v>0</v>
      </c>
      <c r="Z60" s="259" t="n">
        <v>0</v>
      </c>
      <c r="AA60" s="259" t="n">
        <v>0</v>
      </c>
      <c r="AB60" s="259" t="n">
        <v>0</v>
      </c>
      <c r="AC60" s="259" t="n">
        <v>0</v>
      </c>
      <c r="AD60" s="259" t="n">
        <v>0</v>
      </c>
      <c r="AE60" s="259" t="n">
        <v>0</v>
      </c>
      <c r="AF60" s="259" t="n">
        <v>0</v>
      </c>
      <c r="AG60" s="259" t="n">
        <v>0</v>
      </c>
      <c r="AH60" s="259" t="n">
        <v>0</v>
      </c>
      <c r="AI60" s="259" t="n">
        <v>0</v>
      </c>
      <c r="AJ60" s="259" t="n">
        <v>0</v>
      </c>
    </row>
    <row r="61">
      <c r="A61" t="n">
        <v>29</v>
      </c>
      <c r="B61" t="n">
        <v>1</v>
      </c>
      <c r="G61" t="inlineStr">
        <is>
          <t>moeda</t>
        </is>
      </c>
      <c r="H61" t="inlineStr">
        <is>
          <t>[vazio] Arrendamento CP: não aparece como linha própria nas demonstrações (zero)</t>
        </is>
      </c>
      <c r="J61" t="inlineStr">
        <is>
          <t>derivada</t>
        </is>
      </c>
      <c r="K61" s="259" t="n">
        <v>0</v>
      </c>
      <c r="L61" s="259" t="n">
        <v>0</v>
      </c>
      <c r="M61" s="259" t="n">
        <v>0</v>
      </c>
      <c r="N61" s="259" t="n">
        <v>0</v>
      </c>
      <c r="O61" s="259" t="n">
        <v>0</v>
      </c>
      <c r="P61" s="259" t="n">
        <v>0</v>
      </c>
      <c r="Q61" s="259" t="n">
        <v>0</v>
      </c>
      <c r="R61" s="259" t="n">
        <v>0</v>
      </c>
      <c r="S61" s="259" t="n">
        <v>0</v>
      </c>
      <c r="T61" s="259" t="n">
        <v>0</v>
      </c>
      <c r="U61" s="259" t="n">
        <v>0</v>
      </c>
      <c r="V61" s="259" t="n">
        <v>0</v>
      </c>
      <c r="W61" s="259" t="n">
        <v>0</v>
      </c>
      <c r="X61" s="259" t="n">
        <v>0</v>
      </c>
      <c r="Y61" s="259" t="n">
        <v>0</v>
      </c>
      <c r="Z61" s="259" t="n">
        <v>0</v>
      </c>
      <c r="AA61" s="259" t="n">
        <v>0</v>
      </c>
      <c r="AB61" s="259" t="n">
        <v>0</v>
      </c>
      <c r="AC61" s="259" t="n">
        <v>0</v>
      </c>
      <c r="AD61" s="259" t="n">
        <v>0</v>
      </c>
      <c r="AE61" s="259" t="n">
        <v>0</v>
      </c>
      <c r="AF61" s="259" t="n">
        <v>0</v>
      </c>
      <c r="AG61" s="259" t="n">
        <v>0</v>
      </c>
      <c r="AH61" s="259" t="n">
        <v>0</v>
      </c>
      <c r="AI61" s="259" t="n">
        <v>0</v>
      </c>
      <c r="AJ61" s="259" t="n">
        <v>0</v>
      </c>
    </row>
    <row r="62">
      <c r="A62" t="n">
        <v>30</v>
      </c>
      <c r="B62" t="n">
        <v>1</v>
      </c>
      <c r="G62" t="inlineStr">
        <is>
          <t>moeda</t>
        </is>
      </c>
      <c r="H62" t="inlineStr">
        <is>
          <t>[vazio] Dívida LP: não aparece como linha própria nas demonstrações (zero)</t>
        </is>
      </c>
      <c r="J62" t="inlineStr">
        <is>
          <t>derivada</t>
        </is>
      </c>
      <c r="K62" s="259" t="n">
        <v>0</v>
      </c>
      <c r="L62" s="259" t="n">
        <v>0</v>
      </c>
      <c r="M62" s="259" t="n">
        <v>0</v>
      </c>
      <c r="N62" s="259" t="n">
        <v>0</v>
      </c>
      <c r="O62" s="259" t="n">
        <v>0</v>
      </c>
      <c r="P62" s="259" t="n">
        <v>0</v>
      </c>
      <c r="Q62" s="259" t="n">
        <v>0</v>
      </c>
      <c r="R62" s="259" t="n">
        <v>0</v>
      </c>
      <c r="S62" s="259" t="n">
        <v>0</v>
      </c>
      <c r="T62" s="259" t="n">
        <v>0</v>
      </c>
      <c r="U62" s="259" t="n">
        <v>0</v>
      </c>
      <c r="V62" s="259" t="n">
        <v>0</v>
      </c>
      <c r="W62" s="259" t="n">
        <v>0</v>
      </c>
      <c r="X62" s="259" t="n">
        <v>0</v>
      </c>
      <c r="Y62" s="259" t="n">
        <v>0</v>
      </c>
      <c r="Z62" s="259" t="n">
        <v>0</v>
      </c>
      <c r="AA62" s="259" t="n">
        <v>0</v>
      </c>
      <c r="AB62" s="259" t="n">
        <v>0</v>
      </c>
      <c r="AC62" s="259" t="n">
        <v>0</v>
      </c>
      <c r="AD62" s="259" t="n">
        <v>0</v>
      </c>
      <c r="AE62" s="259" t="n">
        <v>0</v>
      </c>
      <c r="AF62" s="259" t="n">
        <v>0</v>
      </c>
      <c r="AG62" s="259" t="n">
        <v>0</v>
      </c>
      <c r="AH62" s="259" t="n">
        <v>0</v>
      </c>
      <c r="AI62" s="259" t="n">
        <v>0</v>
      </c>
      <c r="AJ62" s="259" t="n">
        <v>0</v>
      </c>
    </row>
    <row r="63">
      <c r="A63" t="n">
        <v>31</v>
      </c>
      <c r="B63" t="n">
        <v>1</v>
      </c>
      <c r="G63" t="inlineStr">
        <is>
          <t>moeda</t>
        </is>
      </c>
      <c r="H63" t="inlineStr">
        <is>
          <t>[vazio] Arrendamento LP: não aparece como linha própria nas demonstrações (zero)</t>
        </is>
      </c>
      <c r="J63" t="inlineStr">
        <is>
          <t>derivada</t>
        </is>
      </c>
      <c r="K63" s="259" t="n">
        <v>0</v>
      </c>
      <c r="L63" s="259" t="n">
        <v>0</v>
      </c>
      <c r="M63" s="259" t="n">
        <v>0</v>
      </c>
      <c r="N63" s="259" t="n">
        <v>0</v>
      </c>
      <c r="O63" s="259" t="n">
        <v>0</v>
      </c>
      <c r="P63" s="259" t="n">
        <v>0</v>
      </c>
      <c r="Q63" s="259" t="n">
        <v>0</v>
      </c>
      <c r="R63" s="259" t="n">
        <v>0</v>
      </c>
      <c r="S63" s="259" t="n">
        <v>0</v>
      </c>
      <c r="T63" s="259" t="n">
        <v>0</v>
      </c>
      <c r="U63" s="259" t="n">
        <v>0</v>
      </c>
      <c r="V63" s="259" t="n">
        <v>0</v>
      </c>
      <c r="W63" s="259" t="n">
        <v>0</v>
      </c>
      <c r="X63" s="259" t="n">
        <v>0</v>
      </c>
      <c r="Y63" s="259" t="n">
        <v>0</v>
      </c>
      <c r="Z63" s="259" t="n">
        <v>0</v>
      </c>
      <c r="AA63" s="259" t="n">
        <v>0</v>
      </c>
      <c r="AB63" s="259" t="n">
        <v>0</v>
      </c>
      <c r="AC63" s="259" t="n">
        <v>0</v>
      </c>
      <c r="AD63" s="259" t="n">
        <v>0</v>
      </c>
      <c r="AE63" s="259" t="n">
        <v>0</v>
      </c>
      <c r="AF63" s="259" t="n">
        <v>0</v>
      </c>
      <c r="AG63" s="259" t="n">
        <v>0</v>
      </c>
      <c r="AH63" s="259" t="n">
        <v>0</v>
      </c>
      <c r="AI63" s="259" t="n">
        <v>0</v>
      </c>
      <c r="AJ63" s="259" t="n">
        <v>0</v>
      </c>
    </row>
    <row r="64">
      <c r="A64" t="n">
        <v>32</v>
      </c>
      <c r="B64" t="n">
        <v>1</v>
      </c>
      <c r="G64" t="inlineStr">
        <is>
          <t>moeda</t>
        </is>
      </c>
      <c r="H64" t="inlineStr">
        <is>
          <t>[vazio] Dívida conversível: não aparece como linha própria nas demonstrações (zero)</t>
        </is>
      </c>
      <c r="J64" t="inlineStr">
        <is>
          <t>derivada</t>
        </is>
      </c>
      <c r="K64" s="259" t="n">
        <v>0</v>
      </c>
      <c r="L64" s="259" t="n">
        <v>0</v>
      </c>
      <c r="M64" s="259" t="n">
        <v>0</v>
      </c>
      <c r="N64" s="259" t="n">
        <v>0</v>
      </c>
      <c r="O64" s="259" t="n">
        <v>0</v>
      </c>
      <c r="P64" s="259" t="n">
        <v>0</v>
      </c>
      <c r="Q64" s="259" t="n">
        <v>0</v>
      </c>
      <c r="R64" s="259" t="n">
        <v>0</v>
      </c>
      <c r="S64" s="259" t="n">
        <v>0</v>
      </c>
      <c r="T64" s="259" t="n">
        <v>0</v>
      </c>
      <c r="U64" s="259" t="n">
        <v>0</v>
      </c>
      <c r="V64" s="259" t="n">
        <v>0</v>
      </c>
      <c r="W64" s="259" t="n">
        <v>0</v>
      </c>
      <c r="X64" s="259" t="n">
        <v>0</v>
      </c>
      <c r="Y64" s="259" t="n">
        <v>0</v>
      </c>
      <c r="Z64" s="259" t="n">
        <v>0</v>
      </c>
      <c r="AA64" s="259" t="n">
        <v>0</v>
      </c>
      <c r="AB64" s="259" t="n">
        <v>0</v>
      </c>
      <c r="AC64" s="259" t="n">
        <v>0</v>
      </c>
      <c r="AD64" s="259" t="n">
        <v>0</v>
      </c>
      <c r="AE64" s="259" t="n">
        <v>0</v>
      </c>
      <c r="AF64" s="259" t="n">
        <v>0</v>
      </c>
      <c r="AG64" s="259" t="n">
        <v>0</v>
      </c>
      <c r="AH64" s="259" t="n">
        <v>0</v>
      </c>
      <c r="AI64" s="259" t="n">
        <v>0</v>
      </c>
      <c r="AJ64" s="259" t="n">
        <v>0</v>
      </c>
    </row>
    <row r="65">
      <c r="A65" t="n">
        <v>33</v>
      </c>
      <c r="B65" t="n">
        <v>1</v>
      </c>
      <c r="G65" t="inlineStr">
        <is>
          <t>moeda</t>
        </is>
      </c>
      <c r="H65" t="inlineStr">
        <is>
          <t>[vazio] IR diferido passivo: não aparece como linha própria nas demonstrações (zero)</t>
        </is>
      </c>
      <c r="J65" t="inlineStr">
        <is>
          <t>derivada</t>
        </is>
      </c>
      <c r="K65" s="259" t="n">
        <v>0</v>
      </c>
      <c r="L65" s="259" t="n">
        <v>0</v>
      </c>
      <c r="M65" s="259" t="n">
        <v>0</v>
      </c>
      <c r="N65" s="259" t="n">
        <v>0</v>
      </c>
      <c r="O65" s="259" t="n">
        <v>0</v>
      </c>
      <c r="P65" s="259" t="n">
        <v>0</v>
      </c>
      <c r="Q65" s="259" t="n">
        <v>0</v>
      </c>
      <c r="R65" s="259" t="n">
        <v>0</v>
      </c>
      <c r="S65" s="259" t="n">
        <v>0</v>
      </c>
      <c r="T65" s="259" t="n">
        <v>0</v>
      </c>
      <c r="U65" s="259" t="n">
        <v>0</v>
      </c>
      <c r="V65" s="259" t="n">
        <v>0</v>
      </c>
      <c r="W65" s="259" t="n">
        <v>0</v>
      </c>
      <c r="X65" s="259" t="n">
        <v>0</v>
      </c>
      <c r="Y65" s="259" t="n">
        <v>0</v>
      </c>
      <c r="Z65" s="259" t="n">
        <v>0</v>
      </c>
      <c r="AA65" s="259" t="n">
        <v>0</v>
      </c>
      <c r="AB65" s="259" t="n">
        <v>0</v>
      </c>
      <c r="AC65" s="259" t="n">
        <v>0</v>
      </c>
      <c r="AD65" s="259" t="n">
        <v>0</v>
      </c>
      <c r="AE65" s="259" t="n">
        <v>0</v>
      </c>
      <c r="AF65" s="259" t="n">
        <v>0</v>
      </c>
      <c r="AG65" s="259" t="n">
        <v>0</v>
      </c>
      <c r="AH65" s="259" t="n">
        <v>0</v>
      </c>
      <c r="AI65" s="259" t="n">
        <v>0</v>
      </c>
      <c r="AJ65" s="259" t="n">
        <v>0</v>
      </c>
    </row>
    <row r="66">
      <c r="A66" t="n">
        <v>38</v>
      </c>
      <c r="B66" t="n">
        <v>1</v>
      </c>
      <c r="G66" t="inlineStr">
        <is>
          <t>moeda</t>
        </is>
      </c>
      <c r="H66" t="inlineStr">
        <is>
          <t>[vazio] Tesouraria: não aparece como linha própria nas demonstrações (zero)</t>
        </is>
      </c>
      <c r="J66" t="inlineStr">
        <is>
          <t>derivada</t>
        </is>
      </c>
      <c r="K66" s="259" t="n">
        <v>0</v>
      </c>
      <c r="L66" s="259" t="n">
        <v>0</v>
      </c>
      <c r="M66" s="259" t="n">
        <v>0</v>
      </c>
      <c r="N66" s="259" t="n">
        <v>0</v>
      </c>
      <c r="O66" s="259" t="n">
        <v>0</v>
      </c>
      <c r="P66" s="259" t="n">
        <v>0</v>
      </c>
      <c r="Q66" s="259" t="n">
        <v>0</v>
      </c>
      <c r="R66" s="259" t="n">
        <v>0</v>
      </c>
      <c r="S66" s="259" t="n">
        <v>0</v>
      </c>
      <c r="T66" s="259" t="n">
        <v>0</v>
      </c>
      <c r="U66" s="259" t="n">
        <v>0</v>
      </c>
      <c r="V66" s="259" t="n">
        <v>0</v>
      </c>
      <c r="W66" s="259" t="n">
        <v>0</v>
      </c>
      <c r="X66" s="259" t="n">
        <v>0</v>
      </c>
      <c r="Y66" s="259" t="n">
        <v>0</v>
      </c>
      <c r="Z66" s="259" t="n">
        <v>0</v>
      </c>
      <c r="AA66" s="259" t="n">
        <v>0</v>
      </c>
      <c r="AB66" s="259" t="n">
        <v>0</v>
      </c>
      <c r="AC66" s="259" t="n">
        <v>0</v>
      </c>
      <c r="AD66" s="259" t="n">
        <v>0</v>
      </c>
      <c r="AE66" s="259" t="n">
        <v>0</v>
      </c>
      <c r="AF66" s="259" t="n">
        <v>0</v>
      </c>
      <c r="AG66" s="259" t="n">
        <v>0</v>
      </c>
      <c r="AH66" s="259" t="n">
        <v>0</v>
      </c>
      <c r="AI66" s="259" t="n">
        <v>0</v>
      </c>
      <c r="AJ66" s="259" t="n">
        <v>0</v>
      </c>
    </row>
    <row r="67">
      <c r="H67" s="254" t="inlineStr">
        <is>
          <t>BALANÇO - totais divulgados (memória)</t>
        </is>
      </c>
    </row>
    <row r="68">
      <c r="G68" t="inlineStr">
        <is>
          <t>moeda</t>
        </is>
      </c>
      <c r="H68" t="inlineStr">
        <is>
          <t>Total do ativo [us-gaap:Assets]</t>
        </is>
      </c>
      <c r="J68" t="inlineStr">
        <is>
          <t>memoria</t>
        </is>
      </c>
      <c r="K68" s="259" t="n">
        <v>37250000000</v>
      </c>
      <c r="L68" s="259" t="n">
        <v>38135000000</v>
      </c>
      <c r="M68" s="259" t="n">
        <v>45691000000</v>
      </c>
      <c r="N68" s="259" t="n">
        <v>52148000000</v>
      </c>
      <c r="O68" s="259" t="n">
        <v>52972000000</v>
      </c>
      <c r="P68" s="259" t="n">
        <v>55146000000</v>
      </c>
      <c r="Q68" s="259" t="n">
        <v>57834000000</v>
      </c>
      <c r="R68" s="259" t="n">
        <v>62131000000</v>
      </c>
      <c r="S68" s="259" t="n">
        <v>66038000000</v>
      </c>
      <c r="T68" s="259" t="n">
        <v>68513000000</v>
      </c>
      <c r="U68" s="259" t="n">
        <v>74426000000</v>
      </c>
      <c r="V68" s="259" t="n">
        <v>82338000000</v>
      </c>
      <c r="W68" s="259" t="n">
        <v>86833000000</v>
      </c>
      <c r="X68" s="259" t="n">
        <v>90591000000</v>
      </c>
      <c r="Y68" s="259" t="n">
        <v>93941000000</v>
      </c>
      <c r="Z68" s="259" t="n">
        <v>106618000000</v>
      </c>
      <c r="AA68" s="259" t="n">
        <v>109226000000</v>
      </c>
      <c r="AB68" s="259" t="n">
        <v>112832000000</v>
      </c>
      <c r="AC68" s="259" t="n">
        <v>119852000000</v>
      </c>
      <c r="AD68" s="259" t="n">
        <v>122070000000</v>
      </c>
      <c r="AE68" s="259" t="n">
        <v>125111000000</v>
      </c>
      <c r="AF68" s="259" t="n">
        <v>128567000000</v>
      </c>
      <c r="AG68" s="259" t="n">
        <v>133735000000</v>
      </c>
      <c r="AH68" s="259" t="n">
        <v>137806000000</v>
      </c>
      <c r="AI68" s="259" t="n">
        <v>143724000000</v>
      </c>
      <c r="AJ68" s="259" t="n">
        <v>148524000000</v>
      </c>
    </row>
    <row r="69">
      <c r="G69" t="inlineStr">
        <is>
          <t>moeda</t>
        </is>
      </c>
      <c r="H69" t="inlineStr">
        <is>
          <t>Total do passivo + PL [us-gaap:LiabilitiesAndStockholdersEquity]</t>
        </is>
      </c>
      <c r="J69" t="inlineStr">
        <is>
          <t>memoria</t>
        </is>
      </c>
      <c r="K69" s="259" t="n">
        <v>37250000000</v>
      </c>
      <c r="L69" s="259" t="n">
        <v>38135000000</v>
      </c>
      <c r="M69" s="259" t="n">
        <v>45691000000</v>
      </c>
      <c r="N69" s="259" t="n">
        <v>52148000000</v>
      </c>
      <c r="O69" s="259" t="n">
        <v>52972000000</v>
      </c>
      <c r="P69" s="259" t="n">
        <v>55146000000</v>
      </c>
      <c r="Q69" s="259" t="n">
        <v>57834000000</v>
      </c>
      <c r="R69" s="259" t="n">
        <v>62131000000</v>
      </c>
      <c r="S69" s="259" t="n">
        <v>66038000000</v>
      </c>
      <c r="T69" s="259" t="n">
        <v>68513000000</v>
      </c>
      <c r="U69" s="259" t="n">
        <v>74426000000</v>
      </c>
      <c r="V69" s="259" t="n">
        <v>82338000000</v>
      </c>
      <c r="W69" s="259" t="n">
        <v>86833000000</v>
      </c>
      <c r="X69" s="259" t="n">
        <v>90591000000</v>
      </c>
      <c r="Y69" s="259" t="n">
        <v>93941000000</v>
      </c>
      <c r="Z69" s="259" t="n">
        <v>106618000000</v>
      </c>
      <c r="AA69" s="259" t="n">
        <v>109226000000</v>
      </c>
      <c r="AB69" s="259" t="n">
        <v>112832000000</v>
      </c>
      <c r="AC69" s="259" t="n">
        <v>119852000000</v>
      </c>
      <c r="AD69" s="259" t="n">
        <v>122070000000</v>
      </c>
      <c r="AE69" s="259" t="n">
        <v>125111000000</v>
      </c>
      <c r="AF69" s="259" t="n">
        <v>128567000000</v>
      </c>
      <c r="AG69" s="259" t="n">
        <v>133735000000</v>
      </c>
      <c r="AH69" s="259" t="n">
        <v>137806000000</v>
      </c>
      <c r="AI69" s="259" t="n">
        <v>143724000000</v>
      </c>
      <c r="AJ69" s="259" t="n">
        <v>148524000000</v>
      </c>
    </row>
    <row r="70">
      <c r="H70" s="254" t="inlineStr">
        <is>
          <t>CHECKS (devem ser 0)</t>
        </is>
      </c>
    </row>
    <row r="71">
      <c r="G71" t="inlineStr">
        <is>
          <t>moeda</t>
        </is>
      </c>
      <c r="H71" t="inlineStr">
        <is>
          <t>CHECK: contas de ativo - ativo total (USD, arredondado a 100 mil)</t>
        </is>
      </c>
      <c r="J71" t="inlineStr">
        <is>
          <t>derivada</t>
        </is>
      </c>
      <c r="K71" s="260">
        <f>ROUND(N(K22)+N(K23)+N(K24)+N(K25)+N(K26)+N(K27)+N(K28)+N(K29)+N(K30)+N(K31)+N(K32)+N(K33)+N(K34)+N(K35)+N(K36)+N(K37)+N(K38)+N(K39)-N(K68),-5)</f>
        <v>0</v>
      </c>
      <c r="L71" s="260">
        <f>ROUND(N(L22)+N(L23)+N(L24)+N(L25)+N(L26)+N(L27)+N(L28)+N(L29)+N(L30)+N(L31)+N(L32)+N(L33)+N(L34)+N(L35)+N(L36)+N(L37)+N(L38)+N(L39)-N(L68),-5)</f>
        <v>0</v>
      </c>
      <c r="M71" s="260">
        <f>ROUND(N(M22)+N(M23)+N(M24)+N(M25)+N(M26)+N(M27)+N(M28)+N(M29)+N(M30)+N(M31)+N(M32)+N(M33)+N(M34)+N(M35)+N(M36)+N(M37)+N(M38)+N(M39)-N(M68),-5)</f>
        <v>0</v>
      </c>
      <c r="N71" s="260">
        <f>ROUND(N(N22)+N(N23)+N(N24)+N(N25)+N(N26)+N(N27)+N(N28)+N(N29)+N(N30)+N(N31)+N(N32)+N(N33)+N(N34)+N(N35)+N(N36)+N(N37)+N(N38)+N(N39)-N(N68),-5)</f>
        <v>0</v>
      </c>
      <c r="O71" s="260">
        <f>ROUND(N(O22)+N(O23)+N(O24)+N(O25)+N(O26)+N(O27)+N(O28)+N(O29)+N(O30)+N(O31)+N(O32)+N(O33)+N(O34)+N(O35)+N(O36)+N(O37)+N(O38)+N(O39)-N(O68),-5)</f>
        <v>0</v>
      </c>
      <c r="P71" s="260">
        <f>ROUND(N(P22)+N(P23)+N(P24)+N(P25)+N(P26)+N(P27)+N(P28)+N(P29)+N(P30)+N(P31)+N(P32)+N(P33)+N(P34)+N(P35)+N(P36)+N(P37)+N(P38)+N(P39)-N(P68),-5)</f>
        <v>0</v>
      </c>
      <c r="Q71" s="260">
        <f>ROUND(N(Q22)+N(Q23)+N(Q24)+N(Q25)+N(Q26)+N(Q27)+N(Q28)+N(Q29)+N(Q30)+N(Q31)+N(Q32)+N(Q33)+N(Q34)+N(Q35)+N(Q36)+N(Q37)+N(Q38)+N(Q39)-N(Q68),-5)</f>
        <v>0</v>
      </c>
      <c r="R71" s="260">
        <f>ROUND(N(R22)+N(R23)+N(R24)+N(R25)+N(R26)+N(R27)+N(R28)+N(R29)+N(R30)+N(R31)+N(R32)+N(R33)+N(R34)+N(R35)+N(R36)+N(R37)+N(R38)+N(R39)-N(R68),-5)</f>
        <v>0</v>
      </c>
      <c r="S71" s="260">
        <f>ROUND(N(S22)+N(S23)+N(S24)+N(S25)+N(S26)+N(S27)+N(S28)+N(S29)+N(S30)+N(S31)+N(S32)+N(S33)+N(S34)+N(S35)+N(S36)+N(S37)+N(S38)+N(S39)-N(S68),-5)</f>
        <v>0</v>
      </c>
      <c r="T71" s="260">
        <f>ROUND(N(T22)+N(T23)+N(T24)+N(T25)+N(T26)+N(T27)+N(T28)+N(T29)+N(T30)+N(T31)+N(T32)+N(T33)+N(T34)+N(T35)+N(T36)+N(T37)+N(T38)+N(T39)-N(T68),-5)</f>
        <v>0</v>
      </c>
      <c r="U71" s="260">
        <f>ROUND(N(U22)+N(U23)+N(U24)+N(U25)+N(U26)+N(U27)+N(U28)+N(U29)+N(U30)+N(U31)+N(U32)+N(U33)+N(U34)+N(U35)+N(U36)+N(U37)+N(U38)+N(U39)-N(U68),-5)</f>
        <v>0</v>
      </c>
      <c r="V71" s="260">
        <f>ROUND(N(V22)+N(V23)+N(V24)+N(V25)+N(V26)+N(V27)+N(V28)+N(V29)+N(V30)+N(V31)+N(V32)+N(V33)+N(V34)+N(V35)+N(V36)+N(V37)+N(V38)+N(V39)-N(V68),-5)</f>
        <v>0</v>
      </c>
      <c r="W71" s="260">
        <f>ROUND(N(W22)+N(W23)+N(W24)+N(W25)+N(W26)+N(W27)+N(W28)+N(W29)+N(W30)+N(W31)+N(W32)+N(W33)+N(W34)+N(W35)+N(W36)+N(W37)+N(W38)+N(W39)-N(W68),-5)</f>
        <v>0</v>
      </c>
      <c r="X71" s="260">
        <f>ROUND(N(X22)+N(X23)+N(X24)+N(X25)+N(X26)+N(X27)+N(X28)+N(X29)+N(X30)+N(X31)+N(X32)+N(X33)+N(X34)+N(X35)+N(X36)+N(X37)+N(X38)+N(X39)-N(X68),-5)</f>
        <v>0</v>
      </c>
      <c r="Y71" s="260">
        <f>ROUND(N(Y22)+N(Y23)+N(Y24)+N(Y25)+N(Y26)+N(Y27)+N(Y28)+N(Y29)+N(Y30)+N(Y31)+N(Y32)+N(Y33)+N(Y34)+N(Y35)+N(Y36)+N(Y37)+N(Y38)+N(Y39)-N(Y68),-5)</f>
        <v>0</v>
      </c>
      <c r="Z71" s="260">
        <f>ROUND(N(Z22)+N(Z23)+N(Z24)+N(Z25)+N(Z26)+N(Z27)+N(Z28)+N(Z29)+N(Z30)+N(Z31)+N(Z32)+N(Z33)+N(Z34)+N(Z35)+N(Z36)+N(Z37)+N(Z38)+N(Z39)-N(Z68),-5)</f>
        <v>0</v>
      </c>
      <c r="AA71" s="260">
        <f>ROUND(N(AA22)+N(AA23)+N(AA24)+N(AA25)+N(AA26)+N(AA27)+N(AA28)+N(AA29)+N(AA30)+N(AA31)+N(AA32)+N(AA33)+N(AA34)+N(AA35)+N(AA36)+N(AA37)+N(AA38)+N(AA39)-N(AA68),-5)</f>
        <v>0</v>
      </c>
      <c r="AB71" s="260">
        <f>ROUND(N(AB22)+N(AB23)+N(AB24)+N(AB25)+N(AB26)+N(AB27)+N(AB28)+N(AB29)+N(AB30)+N(AB31)+N(AB32)+N(AB33)+N(AB34)+N(AB35)+N(AB36)+N(AB37)+N(AB38)+N(AB39)-N(AB68),-5)</f>
        <v>0</v>
      </c>
      <c r="AC71" s="260">
        <f>ROUND(N(AC22)+N(AC23)+N(AC24)+N(AC25)+N(AC26)+N(AC27)+N(AC28)+N(AC29)+N(AC30)+N(AC31)+N(AC32)+N(AC33)+N(AC34)+N(AC35)+N(AC36)+N(AC37)+N(AC38)+N(AC39)-N(AC68),-5)</f>
        <v>0</v>
      </c>
      <c r="AD71" s="260">
        <f>ROUND(N(AD22)+N(AD23)+N(AD24)+N(AD25)+N(AD26)+N(AD27)+N(AD28)+N(AD29)+N(AD30)+N(AD31)+N(AD32)+N(AD33)+N(AD34)+N(AD35)+N(AD36)+N(AD37)+N(AD38)+N(AD39)-N(AD68),-5)</f>
        <v>0</v>
      </c>
      <c r="AE71" s="260">
        <f>ROUND(N(AE22)+N(AE23)+N(AE24)+N(AE25)+N(AE26)+N(AE27)+N(AE28)+N(AE29)+N(AE30)+N(AE31)+N(AE32)+N(AE33)+N(AE34)+N(AE35)+N(AE36)+N(AE37)+N(AE38)+N(AE39)-N(AE68),-5)</f>
        <v>0</v>
      </c>
      <c r="AF71" s="260">
        <f>ROUND(N(AF22)+N(AF23)+N(AF24)+N(AF25)+N(AF26)+N(AF27)+N(AF28)+N(AF29)+N(AF30)+N(AF31)+N(AF32)+N(AF33)+N(AF34)+N(AF35)+N(AF36)+N(AF37)+N(AF38)+N(AF39)-N(AF68),-5)</f>
        <v>0</v>
      </c>
      <c r="AG71" s="260">
        <f>ROUND(N(AG22)+N(AG23)+N(AG24)+N(AG25)+N(AG26)+N(AG27)+N(AG28)+N(AG29)+N(AG30)+N(AG31)+N(AG32)+N(AG33)+N(AG34)+N(AG35)+N(AG36)+N(AG37)+N(AG38)+N(AG39)-N(AG68),-5)</f>
        <v>0</v>
      </c>
      <c r="AH71" s="260">
        <f>ROUND(N(AH22)+N(AH23)+N(AH24)+N(AH25)+N(AH26)+N(AH27)+N(AH28)+N(AH29)+N(AH30)+N(AH31)+N(AH32)+N(AH33)+N(AH34)+N(AH35)+N(AH36)+N(AH37)+N(AH38)+N(AH39)-N(AH68),-5)</f>
        <v>0</v>
      </c>
      <c r="AI71" s="260">
        <f>ROUND(N(AI22)+N(AI23)+N(AI24)+N(AI25)+N(AI26)+N(AI27)+N(AI28)+N(AI29)+N(AI30)+N(AI31)+N(AI32)+N(AI33)+N(AI34)+N(AI35)+N(AI36)+N(AI37)+N(AI38)+N(AI39)-N(AI68),-5)</f>
        <v>0</v>
      </c>
      <c r="AJ71" s="260">
        <f>ROUND(N(AJ22)+N(AJ23)+N(AJ24)+N(AJ25)+N(AJ26)+N(AJ27)+N(AJ28)+N(AJ29)+N(AJ30)+N(AJ31)+N(AJ32)+N(AJ33)+N(AJ34)+N(AJ35)+N(AJ36)+N(AJ37)+N(AJ38)+N(AJ39)-N(AJ68),-5)</f>
        <v>0</v>
      </c>
    </row>
    <row r="72">
      <c r="G72" t="inlineStr">
        <is>
          <t>moeda</t>
        </is>
      </c>
      <c r="H72" t="inlineStr">
        <is>
          <t>CHECK: passivo + PL (contas) - passivo + PL total</t>
        </is>
      </c>
      <c r="J72" t="inlineStr">
        <is>
          <t>derivada</t>
        </is>
      </c>
      <c r="K72" s="260">
        <f>ROUND(N(K40)+N(K41)+N(K42)+N(K43)+N(K44)+N(K45)+N(K46)+N(K47)+N(K48)+N(K49)+N(K50)+N(K51)+N(K52)+N(K53)+N(K54)-N(K69),-5)</f>
        <v>0</v>
      </c>
      <c r="L72" s="260">
        <f>ROUND(N(L40)+N(L41)+N(L42)+N(L43)+N(L44)+N(L45)+N(L46)+N(L47)+N(L48)+N(L49)+N(L50)+N(L51)+N(L52)+N(L53)+N(L54)-N(L69),-5)</f>
        <v>0</v>
      </c>
      <c r="M72" s="260">
        <f>ROUND(N(M40)+N(M41)+N(M42)+N(M43)+N(M44)+N(M45)+N(M46)+N(M47)+N(M48)+N(M49)+N(M50)+N(M51)+N(M52)+N(M53)+N(M54)-N(M69),-5)</f>
        <v>0</v>
      </c>
      <c r="N72" s="260">
        <f>ROUND(N(N40)+N(N41)+N(N42)+N(N43)+N(N44)+N(N45)+N(N46)+N(N47)+N(N48)+N(N49)+N(N50)+N(N51)+N(N52)+N(N53)+N(N54)-N(N69),-5)</f>
        <v>0</v>
      </c>
      <c r="O72" s="260">
        <f>ROUND(N(O40)+N(O41)+N(O42)+N(O43)+N(O44)+N(O45)+N(O46)+N(O47)+N(O48)+N(O49)+N(O50)+N(O51)+N(O52)+N(O53)+N(O54)-N(O69),-5)</f>
        <v>0</v>
      </c>
      <c r="P72" s="260">
        <f>ROUND(N(P40)+N(P41)+N(P42)+N(P43)+N(P44)+N(P45)+N(P46)+N(P47)+N(P48)+N(P49)+N(P50)+N(P51)+N(P52)+N(P53)+N(P54)-N(P69),-5)</f>
        <v>0</v>
      </c>
      <c r="Q72" s="260">
        <f>ROUND(N(Q40)+N(Q41)+N(Q42)+N(Q43)+N(Q44)+N(Q45)+N(Q46)+N(Q47)+N(Q48)+N(Q49)+N(Q50)+N(Q51)+N(Q52)+N(Q53)+N(Q54)-N(Q69),-5)</f>
        <v>0</v>
      </c>
      <c r="R72" s="260">
        <f>ROUND(N(R40)+N(R41)+N(R42)+N(R43)+N(R44)+N(R45)+N(R46)+N(R47)+N(R48)+N(R49)+N(R50)+N(R51)+N(R52)+N(R53)+N(R54)-N(R69),-5)</f>
        <v>0</v>
      </c>
      <c r="S72" s="260">
        <f>ROUND(N(S40)+N(S41)+N(S42)+N(S43)+N(S44)+N(S45)+N(S46)+N(S47)+N(S48)+N(S49)+N(S50)+N(S51)+N(S52)+N(S53)+N(S54)-N(S69),-5)</f>
        <v>0</v>
      </c>
      <c r="T72" s="260">
        <f>ROUND(N(T40)+N(T41)+N(T42)+N(T43)+N(T44)+N(T45)+N(T46)+N(T47)+N(T48)+N(T49)+N(T50)+N(T51)+N(T52)+N(T53)+N(T54)-N(T69),-5)</f>
        <v>0</v>
      </c>
      <c r="U72" s="260">
        <f>ROUND(N(U40)+N(U41)+N(U42)+N(U43)+N(U44)+N(U45)+N(U46)+N(U47)+N(U48)+N(U49)+N(U50)+N(U51)+N(U52)+N(U53)+N(U54)-N(U69),-5)</f>
        <v>0</v>
      </c>
      <c r="V72" s="260">
        <f>ROUND(N(V40)+N(V41)+N(V42)+N(V43)+N(V44)+N(V45)+N(V46)+N(V47)+N(V48)+N(V49)+N(V50)+N(V51)+N(V52)+N(V53)+N(V54)-N(V69),-5)</f>
        <v>0</v>
      </c>
      <c r="W72" s="260">
        <f>ROUND(N(W40)+N(W41)+N(W42)+N(W43)+N(W44)+N(W45)+N(W46)+N(W47)+N(W48)+N(W49)+N(W50)+N(W51)+N(W52)+N(W53)+N(W54)-N(W69),-5)</f>
        <v>0</v>
      </c>
      <c r="X72" s="260">
        <f>ROUND(N(X40)+N(X41)+N(X42)+N(X43)+N(X44)+N(X45)+N(X46)+N(X47)+N(X48)+N(X49)+N(X50)+N(X51)+N(X52)+N(X53)+N(X54)-N(X69),-5)</f>
        <v>0</v>
      </c>
      <c r="Y72" s="260">
        <f>ROUND(N(Y40)+N(Y41)+N(Y42)+N(Y43)+N(Y44)+N(Y45)+N(Y46)+N(Y47)+N(Y48)+N(Y49)+N(Y50)+N(Y51)+N(Y52)+N(Y53)+N(Y54)-N(Y69),-5)</f>
        <v>0</v>
      </c>
      <c r="Z72" s="260">
        <f>ROUND(N(Z40)+N(Z41)+N(Z42)+N(Z43)+N(Z44)+N(Z45)+N(Z46)+N(Z47)+N(Z48)+N(Z49)+N(Z50)+N(Z51)+N(Z52)+N(Z53)+N(Z54)-N(Z69),-5)</f>
        <v>0</v>
      </c>
      <c r="AA72" s="260">
        <f>ROUND(N(AA40)+N(AA41)+N(AA42)+N(AA43)+N(AA44)+N(AA45)+N(AA46)+N(AA47)+N(AA48)+N(AA49)+N(AA50)+N(AA51)+N(AA52)+N(AA53)+N(AA54)-N(AA69),-5)</f>
        <v>0</v>
      </c>
      <c r="AB72" s="260">
        <f>ROUND(N(AB40)+N(AB41)+N(AB42)+N(AB43)+N(AB44)+N(AB45)+N(AB46)+N(AB47)+N(AB48)+N(AB49)+N(AB50)+N(AB51)+N(AB52)+N(AB53)+N(AB54)-N(AB69),-5)</f>
        <v>0</v>
      </c>
      <c r="AC72" s="260">
        <f>ROUND(N(AC40)+N(AC41)+N(AC42)+N(AC43)+N(AC44)+N(AC45)+N(AC46)+N(AC47)+N(AC48)+N(AC49)+N(AC50)+N(AC51)+N(AC52)+N(AC53)+N(AC54)-N(AC69),-5)</f>
        <v>0</v>
      </c>
      <c r="AD72" s="260">
        <f>ROUND(N(AD40)+N(AD41)+N(AD42)+N(AD43)+N(AD44)+N(AD45)+N(AD46)+N(AD47)+N(AD48)+N(AD49)+N(AD50)+N(AD51)+N(AD52)+N(AD53)+N(AD54)-N(AD69),-5)</f>
        <v>0</v>
      </c>
      <c r="AE72" s="260">
        <f>ROUND(N(AE40)+N(AE41)+N(AE42)+N(AE43)+N(AE44)+N(AE45)+N(AE46)+N(AE47)+N(AE48)+N(AE49)+N(AE50)+N(AE51)+N(AE52)+N(AE53)+N(AE54)-N(AE69),-5)</f>
        <v>0</v>
      </c>
      <c r="AF72" s="260">
        <f>ROUND(N(AF40)+N(AF41)+N(AF42)+N(AF43)+N(AF44)+N(AF45)+N(AF46)+N(AF47)+N(AF48)+N(AF49)+N(AF50)+N(AF51)+N(AF52)+N(AF53)+N(AF54)-N(AF69),-5)</f>
        <v>0</v>
      </c>
      <c r="AG72" s="260">
        <f>ROUND(N(AG40)+N(AG41)+N(AG42)+N(AG43)+N(AG44)+N(AG45)+N(AG46)+N(AG47)+N(AG48)+N(AG49)+N(AG50)+N(AG51)+N(AG52)+N(AG53)+N(AG54)-N(AG69),-5)</f>
        <v>0</v>
      </c>
      <c r="AH72" s="260">
        <f>ROUND(N(AH40)+N(AH41)+N(AH42)+N(AH43)+N(AH44)+N(AH45)+N(AH46)+N(AH47)+N(AH48)+N(AH49)+N(AH50)+N(AH51)+N(AH52)+N(AH53)+N(AH54)-N(AH69),-5)</f>
        <v>0</v>
      </c>
      <c r="AI72" s="260">
        <f>ROUND(N(AI40)+N(AI41)+N(AI42)+N(AI43)+N(AI44)+N(AI45)+N(AI46)+N(AI47)+N(AI48)+N(AI49)+N(AI50)+N(AI51)+N(AI52)+N(AI53)+N(AI54)-N(AI69),-5)</f>
        <v>0</v>
      </c>
      <c r="AJ72" s="260">
        <f>ROUND(N(AJ40)+N(AJ41)+N(AJ42)+N(AJ43)+N(AJ44)+N(AJ45)+N(AJ46)+N(AJ47)+N(AJ48)+N(AJ49)+N(AJ50)+N(AJ51)+N(AJ52)+N(AJ53)+N(AJ54)-N(AJ69),-5)</f>
        <v>0</v>
      </c>
    </row>
    <row r="73">
      <c r="H73" t="inlineStr">
        <is>
          <t>CHECK: receita - custo - despesas + não operacional - IR - minoritários + outros após IR - lucro (deve ser 0)</t>
        </is>
      </c>
      <c r="J73" t="inlineStr">
        <is>
          <t>derivada</t>
        </is>
      </c>
      <c r="K73">
        <f>ROUND(N(K6)-N(K7)-N(K9)+N(K11)-N(K13)-N(K14)+N(K16)-N(K17),-5)</f>
        <v>0</v>
      </c>
      <c r="L73">
        <f>ROUND(N(L6)-N(L7)-N(L9)+N(L11)-N(L13)-N(L14)+N(L16)-N(L17),-5)</f>
        <v>0</v>
      </c>
      <c r="M73">
        <f>ROUND(N(M6)-N(M7)-N(M9)+N(M11)-N(M13)-N(M14)+N(M16)-N(M17),-5)</f>
        <v>0</v>
      </c>
      <c r="N73">
        <f>ROUND(N(N6)-N(N7)-N(N9)+N(N11)-N(N13)-N(N14)+N(N16)-N(N17),-5)</f>
        <v>0</v>
      </c>
      <c r="O73">
        <f>ROUND(N(O6)-N(O7)-N(O9)+N(O11)-N(O13)-N(O14)+N(O16)-N(O17),-5)</f>
        <v>0</v>
      </c>
      <c r="P73">
        <f>ROUND(N(P6)-N(P7)-N(P9)+N(P11)-N(P13)-N(P14)+N(P16)-N(P17),-5)</f>
        <v>0</v>
      </c>
      <c r="Q73">
        <f>ROUND(N(Q6)-N(Q7)-N(Q9)+N(Q11)-N(Q13)-N(Q14)+N(Q16)-N(Q17),-5)</f>
        <v>0</v>
      </c>
      <c r="R73">
        <f>ROUND(N(R6)-N(R7)-N(R9)+N(R11)-N(R13)-N(R14)+N(R16)-N(R17),-5)</f>
        <v>0</v>
      </c>
      <c r="S73">
        <f>ROUND(N(S6)-N(S7)-N(S9)+N(S11)-N(S13)-N(S14)+N(S16)-N(S17),-5)</f>
        <v>0</v>
      </c>
      <c r="T73">
        <f>ROUND(N(T6)-N(T7)-N(T9)+N(T11)-N(T13)-N(T14)+N(T16)-N(T17),-5)</f>
        <v>0</v>
      </c>
      <c r="U73">
        <f>ROUND(N(U6)-N(U7)-N(U9)+N(U11)-N(U13)-N(U14)+N(U16)-N(U17),-5)</f>
        <v>0</v>
      </c>
      <c r="V73">
        <f>ROUND(N(V6)-N(V7)-N(V9)+N(V11)-N(V13)-N(V14)+N(V16)-N(V17),-5)</f>
        <v>0</v>
      </c>
      <c r="W73">
        <f>ROUND(N(W6)-N(W7)-N(W9)+N(W11)-N(W13)-N(W14)+N(W16)-N(W17),-5)</f>
        <v>0</v>
      </c>
      <c r="X73">
        <f>ROUND(N(X6)-N(X7)-N(X9)+N(X11)-N(X13)-N(X14)+N(X16)-N(X17),-5)</f>
        <v>0</v>
      </c>
      <c r="Y73">
        <f>ROUND(N(Y6)-N(Y7)-N(Y9)+N(Y11)-N(Y13)-N(Y14)+N(Y16)-N(Y17),-5)</f>
        <v>0</v>
      </c>
      <c r="Z73">
        <f>ROUND(N(Z6)-N(Z7)-N(Z9)+N(Z11)-N(Z13)-N(Z14)+N(Z16)-N(Z17),-5)</f>
        <v>0</v>
      </c>
      <c r="AA73">
        <f>ROUND(N(AA6)-N(AA7)-N(AA9)+N(AA11)-N(AA13)-N(AA14)+N(AA16)-N(AA17),-5)</f>
        <v>0</v>
      </c>
      <c r="AB73">
        <f>ROUND(N(AB6)-N(AB7)-N(AB9)+N(AB11)-N(AB13)-N(AB14)+N(AB16)-N(AB17),-5)</f>
        <v>0</v>
      </c>
      <c r="AC73">
        <f>ROUND(N(AC6)-N(AC7)-N(AC9)+N(AC11)-N(AC13)-N(AC14)+N(AC16)-N(AC17),-5)</f>
        <v>0</v>
      </c>
      <c r="AD73">
        <f>ROUND(N(AD6)-N(AD7)-N(AD9)+N(AD11)-N(AD13)-N(AD14)+N(AD16)-N(AD17),-5)</f>
        <v>0</v>
      </c>
      <c r="AE73">
        <f>ROUND(N(AE6)-N(AE7)-N(AE9)+N(AE11)-N(AE13)-N(AE14)+N(AE16)-N(AE17),-5)</f>
        <v>0</v>
      </c>
      <c r="AF73">
        <f>ROUND(N(AF6)-N(AF7)-N(AF9)+N(AF11)-N(AF13)-N(AF14)+N(AF16)-N(AF17),-5)</f>
        <v>0</v>
      </c>
      <c r="AG73">
        <f>ROUND(N(AG6)-N(AG7)-N(AG9)+N(AG11)-N(AG13)-N(AG14)+N(AG16)-N(AG17),-5)</f>
        <v>0</v>
      </c>
      <c r="AH73">
        <f>ROUND(N(AH6)-N(AH7)-N(AH9)+N(AH11)-N(AH13)-N(AH14)+N(AH16)-N(AH17),-5)</f>
        <v>0</v>
      </c>
      <c r="AI73">
        <f>ROUND(N(AI6)-N(AI7)-N(AI9)+N(AI11)-N(AI13)-N(AI14)+N(AI16)-N(AI17),-5)</f>
        <v>0</v>
      </c>
      <c r="AJ73">
        <f>ROUND(N(AJ6)-N(AJ7)-N(AJ9)+N(AJ11)-N(AJ13)-N(AJ14)+N(AJ16)-N(AJ17),-5)</f>
        <v>0</v>
      </c>
    </row>
    <row r="75">
      <c r="H75" s="254" t="inlineStr">
        <is>
          <t>DRIVERS DE RECEITA (codigos 45+): receita e lucro bruto por segmento (Automotivo x Energia), linhas de receita automotiva e regiões - SEC XBRL (USD, fator 0,000001).</t>
        </is>
      </c>
    </row>
    <row r="76">
      <c r="A76" t="n">
        <v>45</v>
      </c>
      <c r="B76" t="n">
        <v>1</v>
      </c>
      <c r="G76" t="inlineStr">
        <is>
          <t>moeda</t>
        </is>
      </c>
      <c r="H76" t="inlineStr">
        <is>
          <t>Segmento Automotivo - receita (USD)</t>
        </is>
      </c>
      <c r="J76" t="inlineStr">
        <is>
          <t>fonte</t>
        </is>
      </c>
      <c r="K76" s="262" t="n">
        <v>5692000000</v>
      </c>
      <c r="L76" s="262" t="n">
        <v>5666000000</v>
      </c>
      <c r="M76" s="262" t="n">
        <v>8192000000</v>
      </c>
      <c r="N76" s="262" t="n">
        <v>9992000000</v>
      </c>
      <c r="O76" s="262" t="n">
        <v>9895000000</v>
      </c>
      <c r="P76" s="262" t="n">
        <v>11157000000</v>
      </c>
      <c r="Q76" s="262" t="n">
        <v>12951000000</v>
      </c>
      <c r="R76" s="262" t="n">
        <v>17031000000</v>
      </c>
      <c r="S76" s="262" t="n">
        <v>18140000000</v>
      </c>
      <c r="T76" s="262" t="n">
        <v>16068000000</v>
      </c>
      <c r="U76" s="262" t="n">
        <v>20337000000</v>
      </c>
      <c r="V76" s="262" t="n">
        <v>23008000000</v>
      </c>
      <c r="W76" s="262" t="n">
        <v>21800000000</v>
      </c>
      <c r="X76" s="262" t="n">
        <v>23418000000</v>
      </c>
      <c r="Y76" s="262" t="n">
        <v>21791000000</v>
      </c>
      <c r="Z76" s="262" t="n">
        <v>23729000000</v>
      </c>
      <c r="AA76" s="262" t="n">
        <v>19666000000</v>
      </c>
      <c r="AB76" s="262" t="n">
        <v>22486000000</v>
      </c>
      <c r="AC76" s="262" t="n">
        <v>22806000000</v>
      </c>
      <c r="AD76" s="262" t="n">
        <v>22646000000</v>
      </c>
      <c r="AE76" s="262" t="n">
        <v>16605000000</v>
      </c>
      <c r="AF76" s="262" t="n">
        <v>19707000000</v>
      </c>
      <c r="AG76" s="262" t="n">
        <v>24680000000</v>
      </c>
      <c r="AH76" s="262" t="n">
        <v>21064000000</v>
      </c>
      <c r="AI76" s="262" t="n">
        <v>19979000000</v>
      </c>
      <c r="AJ76" s="262" t="n">
        <v>25097000000</v>
      </c>
    </row>
    <row r="77">
      <c r="A77" t="n">
        <v>46</v>
      </c>
      <c r="B77" t="n">
        <v>1</v>
      </c>
      <c r="G77" t="inlineStr">
        <is>
          <t>moeda</t>
        </is>
      </c>
      <c r="H77" t="inlineStr">
        <is>
          <t>Segmento Geração e Armazenamento de Energia - receita (USD)</t>
        </is>
      </c>
      <c r="J77" t="inlineStr">
        <is>
          <t>fonte</t>
        </is>
      </c>
      <c r="K77" s="262" t="n">
        <v>293000000</v>
      </c>
      <c r="L77" s="262" t="n">
        <v>370000000</v>
      </c>
      <c r="M77" s="262" t="n">
        <v>579000000</v>
      </c>
      <c r="N77" s="262" t="n">
        <v>752000000</v>
      </c>
      <c r="O77" s="262" t="n">
        <v>494000000</v>
      </c>
      <c r="P77" s="262" t="n">
        <v>801000000</v>
      </c>
      <c r="Q77" s="262" t="n">
        <v>806000000</v>
      </c>
      <c r="R77" s="262" t="n">
        <v>688000000</v>
      </c>
      <c r="S77" s="262" t="n">
        <v>616000000</v>
      </c>
      <c r="T77" s="262" t="n">
        <v>866000000</v>
      </c>
      <c r="U77" s="262" t="n">
        <v>1117000000</v>
      </c>
      <c r="V77" s="262" t="n">
        <v>1310000000</v>
      </c>
      <c r="W77" s="262" t="n">
        <v>1529000000</v>
      </c>
      <c r="X77" s="262" t="n">
        <v>1509000000</v>
      </c>
      <c r="Y77" s="262" t="n">
        <v>1559000000</v>
      </c>
      <c r="Z77" s="262" t="n">
        <v>1438000000</v>
      </c>
      <c r="AA77" s="262" t="n">
        <v>1635000000</v>
      </c>
      <c r="AB77" s="262" t="n">
        <v>3014000000</v>
      </c>
      <c r="AC77" s="262" t="n">
        <v>2376000000</v>
      </c>
      <c r="AD77" s="262" t="n">
        <v>3061000000</v>
      </c>
      <c r="AE77" s="262" t="n">
        <v>2730000000</v>
      </c>
      <c r="AF77" s="262" t="n">
        <v>2789000000</v>
      </c>
      <c r="AG77" s="262" t="n">
        <v>3415000000</v>
      </c>
      <c r="AH77" s="262" t="n">
        <v>3837000000</v>
      </c>
      <c r="AI77" s="262" t="n">
        <v>2408000000</v>
      </c>
      <c r="AJ77" s="262" t="n">
        <v>3139000000</v>
      </c>
    </row>
    <row r="78">
      <c r="A78" t="n">
        <v>47</v>
      </c>
      <c r="B78" t="n">
        <v>1</v>
      </c>
      <c r="G78" t="inlineStr">
        <is>
          <t>moeda</t>
        </is>
      </c>
      <c r="H78" t="inlineStr">
        <is>
          <t>Segmento Automotivo - lucro bruto (USD)</t>
        </is>
      </c>
      <c r="J78" t="inlineStr">
        <is>
          <t>fonte</t>
        </is>
      </c>
      <c r="K78" s="262" t="n">
        <v>1223000000</v>
      </c>
      <c r="L78" s="262" t="n">
        <v>1246000000</v>
      </c>
      <c r="M78" s="262" t="n">
        <v>2042000000</v>
      </c>
      <c r="N78" s="262" t="n">
        <v>2101000000</v>
      </c>
      <c r="O78" s="262" t="n">
        <v>2316000000</v>
      </c>
      <c r="P78" s="262" t="n">
        <v>2864000000</v>
      </c>
      <c r="Q78" s="262" t="n">
        <v>3657000000</v>
      </c>
      <c r="R78" s="262" t="n">
        <v>4898000000</v>
      </c>
      <c r="S78" s="262" t="n">
        <v>5532000000</v>
      </c>
      <c r="T78" s="262" t="n">
        <v>4137000000</v>
      </c>
      <c r="U78" s="262" t="n">
        <v>5278000000</v>
      </c>
      <c r="V78" s="262" t="n">
        <v>5618000000</v>
      </c>
      <c r="W78" s="262" t="n">
        <v>4343000000</v>
      </c>
      <c r="X78" s="262" t="n">
        <v>4255000000</v>
      </c>
      <c r="Y78" s="262" t="n">
        <v>3797000000</v>
      </c>
      <c r="Z78" s="262" t="n">
        <v>4124000000</v>
      </c>
      <c r="AA78" s="262" t="n">
        <v>3293000000</v>
      </c>
      <c r="AB78" s="262" t="n">
        <v>3838000000</v>
      </c>
      <c r="AC78" s="262" t="n">
        <v>4272000000</v>
      </c>
      <c r="AD78" s="262" t="n">
        <v>3407000000</v>
      </c>
      <c r="AE78" s="262" t="n">
        <v>2368000000</v>
      </c>
      <c r="AF78" s="262" t="n">
        <v>3032000000</v>
      </c>
      <c r="AG78" s="262" t="n">
        <v>3981000000</v>
      </c>
      <c r="AH78" s="262" t="n">
        <v>3911000000</v>
      </c>
      <c r="AI78" s="262" t="n">
        <v>3768000000</v>
      </c>
      <c r="AJ78" s="262" t="n">
        <v>4111000000</v>
      </c>
    </row>
    <row r="79">
      <c r="A79" t="n">
        <v>48</v>
      </c>
      <c r="B79" t="n">
        <v>1</v>
      </c>
      <c r="G79" t="inlineStr">
        <is>
          <t>moeda</t>
        </is>
      </c>
      <c r="H79" t="inlineStr">
        <is>
          <t>Segmento Energia - lucro bruto (USD)</t>
        </is>
      </c>
      <c r="J79" t="inlineStr">
        <is>
          <t>fonte</t>
        </is>
      </c>
      <c r="K79" s="262" t="n">
        <v>11000000</v>
      </c>
      <c r="L79" s="262" t="n">
        <v>21000000</v>
      </c>
      <c r="M79" s="262" t="n">
        <v>21000000</v>
      </c>
      <c r="N79" s="262" t="n">
        <v>-35000000</v>
      </c>
      <c r="O79" s="262" t="n">
        <v>-101000000</v>
      </c>
      <c r="P79" s="262" t="n">
        <v>20000000</v>
      </c>
      <c r="Q79" s="262" t="n">
        <v>3000000</v>
      </c>
      <c r="R79" s="262" t="n">
        <v>-51000000</v>
      </c>
      <c r="S79" s="262" t="n">
        <v>-72000000</v>
      </c>
      <c r="T79" s="262" t="n">
        <v>97000000</v>
      </c>
      <c r="U79" s="262" t="n">
        <v>104000000</v>
      </c>
      <c r="V79" s="262" t="n">
        <v>159000000</v>
      </c>
      <c r="W79" s="262" t="n">
        <v>168000000</v>
      </c>
      <c r="X79" s="262" t="n">
        <v>278000000</v>
      </c>
      <c r="Y79" s="262" t="n">
        <v>381000000</v>
      </c>
      <c r="Z79" s="262" t="n">
        <v>314000000</v>
      </c>
      <c r="AA79" s="262" t="n">
        <v>403000000</v>
      </c>
      <c r="AB79" s="262" t="n">
        <v>740000000</v>
      </c>
      <c r="AC79" s="262" t="n">
        <v>725000000</v>
      </c>
      <c r="AD79" s="262" t="n">
        <v>772000000</v>
      </c>
      <c r="AE79" s="262" t="n">
        <v>785000000</v>
      </c>
      <c r="AF79" s="262" t="n">
        <v>846000000</v>
      </c>
      <c r="AG79" s="262" t="n">
        <v>1073000000</v>
      </c>
      <c r="AH79" s="262" t="n">
        <v>1098000000</v>
      </c>
      <c r="AI79" s="262" t="n">
        <v>952000000</v>
      </c>
      <c r="AJ79" s="262" t="n">
        <v>640000000</v>
      </c>
    </row>
    <row r="80">
      <c r="A80" t="n">
        <v>49</v>
      </c>
      <c r="B80" t="n">
        <v>1</v>
      </c>
      <c r="G80" t="inlineStr">
        <is>
          <t>moeda</t>
        </is>
      </c>
      <c r="H80" t="inlineStr">
        <is>
          <t>Vendas de veículos (USD; até 2021 com + sem garantia de recompra)</t>
        </is>
      </c>
      <c r="J80" t="inlineStr">
        <is>
          <t>fonte</t>
        </is>
      </c>
      <c r="K80" s="262" t="n">
        <v>4539000000</v>
      </c>
      <c r="L80" s="262" t="n">
        <v>4483000000</v>
      </c>
      <c r="M80" s="262" t="n">
        <v>6949000000</v>
      </c>
      <c r="N80" s="262" t="n">
        <v>8633000000</v>
      </c>
      <c r="O80" s="262" t="n">
        <v>8187000000</v>
      </c>
      <c r="P80" s="262" t="n">
        <v>9520000000</v>
      </c>
      <c r="Q80" s="262" t="n">
        <v>11393000000</v>
      </c>
      <c r="R80" s="262" t="n">
        <v>15025000000</v>
      </c>
      <c r="S80" s="262" t="n">
        <v>15514000000</v>
      </c>
      <c r="T80" s="262" t="n">
        <v>13670000000</v>
      </c>
      <c r="U80" s="262" t="n">
        <v>17785000000</v>
      </c>
      <c r="V80" s="262" t="n">
        <v>20241000000</v>
      </c>
      <c r="W80" s="262" t="n">
        <v>18878000000</v>
      </c>
      <c r="X80" s="262" t="n">
        <v>20419000000</v>
      </c>
      <c r="Y80" s="262" t="n">
        <v>18582000000</v>
      </c>
      <c r="Z80" s="262" t="n">
        <v>20630000000</v>
      </c>
      <c r="AA80" s="262" t="n">
        <v>16460000000</v>
      </c>
      <c r="AB80" s="262" t="n">
        <v>18530000000</v>
      </c>
      <c r="AC80" s="262" t="n">
        <v>18831000000</v>
      </c>
      <c r="AD80" s="262" t="n">
        <v>18659000000</v>
      </c>
      <c r="AE80" s="262" t="n">
        <v>12925000000</v>
      </c>
      <c r="AF80" s="262" t="n">
        <v>15787000000</v>
      </c>
      <c r="AG80" s="262" t="n">
        <v>20359000000</v>
      </c>
      <c r="AH80" s="262" t="n">
        <v>16750000000</v>
      </c>
      <c r="AI80" s="262" t="n">
        <v>15473000000</v>
      </c>
      <c r="AJ80" s="262" t="n">
        <v>20006000000</v>
      </c>
    </row>
    <row r="81">
      <c r="A81" t="n">
        <v>50</v>
      </c>
      <c r="B81" t="n">
        <v>1</v>
      </c>
      <c r="G81" t="inlineStr">
        <is>
          <t>moeda</t>
        </is>
      </c>
      <c r="H81" t="inlineStr">
        <is>
          <t>Créditos regulatórios (USD)</t>
        </is>
      </c>
      <c r="J81" t="inlineStr">
        <is>
          <t>fonte</t>
        </is>
      </c>
      <c r="K81" s="262" t="n">
        <v>354000000</v>
      </c>
      <c r="L81" s="262" t="n">
        <v>428000000</v>
      </c>
      <c r="M81" s="262" t="n">
        <v>397000000</v>
      </c>
      <c r="N81" s="262" t="n">
        <v>401000000</v>
      </c>
      <c r="O81" s="262" t="n">
        <v>518000000</v>
      </c>
      <c r="P81" s="262" t="n">
        <v>354000000</v>
      </c>
      <c r="Q81" s="262" t="n">
        <v>279000000</v>
      </c>
      <c r="R81" s="262" t="n">
        <v>314000000</v>
      </c>
      <c r="S81" s="262" t="n">
        <v>679000000</v>
      </c>
      <c r="T81" s="262" t="n">
        <v>344000000</v>
      </c>
      <c r="U81" s="262" t="n">
        <v>286000000</v>
      </c>
      <c r="V81" s="262" t="n">
        <v>467000000</v>
      </c>
      <c r="W81" s="262" t="n">
        <v>521000000</v>
      </c>
      <c r="X81" s="262" t="n">
        <v>282000000</v>
      </c>
      <c r="Y81" s="262" t="n">
        <v>554000000</v>
      </c>
      <c r="Z81" s="262" t="n">
        <v>433000000</v>
      </c>
      <c r="AA81" s="262" t="n">
        <v>442000000</v>
      </c>
      <c r="AB81" s="262" t="n">
        <v>890000000</v>
      </c>
      <c r="AC81" s="262" t="n">
        <v>739000000</v>
      </c>
      <c r="AD81" s="262" t="n">
        <v>692000000</v>
      </c>
      <c r="AE81" s="262" t="n">
        <v>595000000</v>
      </c>
      <c r="AF81" s="262" t="n">
        <v>439000000</v>
      </c>
      <c r="AG81" s="262" t="n">
        <v>417000000</v>
      </c>
      <c r="AH81" s="262" t="n">
        <v>542000000</v>
      </c>
      <c r="AI81" s="262" t="n">
        <v>380000000</v>
      </c>
      <c r="AJ81" s="262" t="n">
        <v>146000000</v>
      </c>
    </row>
    <row r="82">
      <c r="A82" t="n">
        <v>51</v>
      </c>
      <c r="B82" t="n">
        <v>1</v>
      </c>
      <c r="G82" t="inlineStr">
        <is>
          <t>moeda</t>
        </is>
      </c>
      <c r="H82" t="inlineStr">
        <is>
          <t>Leasing automotivo (USD)</t>
        </is>
      </c>
      <c r="J82" t="inlineStr">
        <is>
          <t>fonte</t>
        </is>
      </c>
      <c r="K82" s="262" t="n"/>
      <c r="L82" s="262" t="n"/>
      <c r="M82" s="262" t="n"/>
      <c r="N82" s="262" t="n"/>
      <c r="O82" s="262" t="n">
        <v>297000000</v>
      </c>
      <c r="P82" s="262" t="n">
        <v>332000000</v>
      </c>
      <c r="Q82" s="262" t="n">
        <v>385000000</v>
      </c>
      <c r="R82" s="262" t="n">
        <v>628000000</v>
      </c>
      <c r="S82" s="262" t="n">
        <v>668000000</v>
      </c>
      <c r="T82" s="262" t="n">
        <v>588000000</v>
      </c>
      <c r="U82" s="262" t="n">
        <v>621000000</v>
      </c>
      <c r="V82" s="262" t="n">
        <v>599000000</v>
      </c>
      <c r="W82" s="262" t="n">
        <v>564000000</v>
      </c>
      <c r="X82" s="262" t="n">
        <v>567000000</v>
      </c>
      <c r="Y82" s="262" t="n">
        <v>489000000</v>
      </c>
      <c r="Z82" s="262" t="n">
        <v>500000000</v>
      </c>
      <c r="AA82" s="262" t="n">
        <v>476000000</v>
      </c>
      <c r="AB82" s="262" t="n">
        <v>458000000</v>
      </c>
      <c r="AC82" s="262" t="n">
        <v>446000000</v>
      </c>
      <c r="AD82" s="262" t="n">
        <v>447000000</v>
      </c>
      <c r="AE82" s="262" t="n">
        <v>447000000</v>
      </c>
      <c r="AF82" s="262" t="n">
        <v>435000000</v>
      </c>
      <c r="AG82" s="262" t="n">
        <v>429000000</v>
      </c>
      <c r="AH82" s="262" t="n">
        <v>401000000</v>
      </c>
      <c r="AI82" s="262" t="n">
        <v>381000000</v>
      </c>
      <c r="AJ82" s="262" t="n">
        <v>364000000</v>
      </c>
    </row>
    <row r="83">
      <c r="A83" t="n">
        <v>52</v>
      </c>
      <c r="B83" t="n">
        <v>1</v>
      </c>
      <c r="G83" t="inlineStr">
        <is>
          <t>moeda</t>
        </is>
      </c>
      <c r="H83" t="inlineStr">
        <is>
          <t>Serviços e outros (USD)</t>
        </is>
      </c>
      <c r="J83" t="inlineStr">
        <is>
          <t>fonte</t>
        </is>
      </c>
      <c r="K83" s="262" t="n">
        <v>560000000</v>
      </c>
      <c r="L83" s="262" t="n">
        <v>487000000</v>
      </c>
      <c r="M83" s="262" t="n">
        <v>581000000</v>
      </c>
      <c r="N83" s="262" t="n">
        <v>678000000</v>
      </c>
      <c r="O83" s="262" t="n">
        <v>893000000</v>
      </c>
      <c r="P83" s="262" t="n">
        <v>951000000</v>
      </c>
      <c r="Q83" s="262" t="n">
        <v>894000000</v>
      </c>
      <c r="R83" s="262" t="n">
        <v>1064000000</v>
      </c>
      <c r="S83" s="262" t="n">
        <v>1279000000</v>
      </c>
      <c r="T83" s="262" t="n">
        <v>1466000000</v>
      </c>
      <c r="U83" s="262" t="n">
        <v>1645000000</v>
      </c>
      <c r="V83" s="262" t="n">
        <v>1701000000</v>
      </c>
      <c r="W83" s="262" t="n">
        <v>1837000000</v>
      </c>
      <c r="X83" s="262" t="n">
        <v>2150000000</v>
      </c>
      <c r="Y83" s="262" t="n">
        <v>2166000000</v>
      </c>
      <c r="Z83" s="262" t="n">
        <v>2166000000</v>
      </c>
      <c r="AA83" s="262" t="n">
        <v>2288000000</v>
      </c>
      <c r="AB83" s="262" t="n">
        <v>2608000000</v>
      </c>
      <c r="AC83" s="262" t="n">
        <v>2790000000</v>
      </c>
      <c r="AD83" s="262" t="n">
        <v>2848000000</v>
      </c>
      <c r="AE83" s="262" t="n">
        <v>2638000000</v>
      </c>
      <c r="AF83" s="262" t="n">
        <v>3046000000</v>
      </c>
      <c r="AG83" s="262" t="n">
        <v>3475000000</v>
      </c>
      <c r="AH83" s="262" t="n">
        <v>3371000000</v>
      </c>
      <c r="AI83" s="262" t="n">
        <v>3745000000</v>
      </c>
      <c r="AJ83" s="262" t="n">
        <v>4581000000</v>
      </c>
    </row>
    <row r="84">
      <c r="A84" t="n">
        <v>53</v>
      </c>
      <c r="B84" t="n">
        <v>1</v>
      </c>
      <c r="G84" t="inlineStr">
        <is>
          <t>moeda</t>
        </is>
      </c>
      <c r="H84" t="inlineStr">
        <is>
          <t>Receita Estados Unidos (USD)</t>
        </is>
      </c>
      <c r="J84" t="inlineStr">
        <is>
          <t>fonte</t>
        </is>
      </c>
      <c r="K84" s="262" t="n">
        <v>2768000000</v>
      </c>
      <c r="L84" s="262" t="n">
        <v>3090000000</v>
      </c>
      <c r="M84" s="262" t="n">
        <v>4215000000</v>
      </c>
      <c r="N84" s="262" t="n">
        <v>5134000000</v>
      </c>
      <c r="O84" s="262" t="n">
        <v>4424000000</v>
      </c>
      <c r="P84" s="262" t="n">
        <v>5205000000</v>
      </c>
      <c r="Q84" s="262" t="n">
        <v>6414000000</v>
      </c>
      <c r="R84" s="262" t="n">
        <v>7930000000</v>
      </c>
      <c r="S84" s="262" t="n">
        <v>8734000000</v>
      </c>
      <c r="T84" s="262" t="n">
        <v>9614000000</v>
      </c>
      <c r="U84" s="262" t="n">
        <v>10236000000</v>
      </c>
      <c r="V84" s="262" t="n">
        <v>11969000000</v>
      </c>
      <c r="W84" s="262" t="n">
        <v>11247000000</v>
      </c>
      <c r="X84" s="262" t="n">
        <v>11332000000</v>
      </c>
      <c r="Y84" s="262" t="n">
        <v>10893000000</v>
      </c>
      <c r="Z84" s="262" t="n">
        <v>11763000000</v>
      </c>
      <c r="AA84" s="262" t="n">
        <v>9762000000</v>
      </c>
      <c r="AB84" s="262" t="n">
        <v>13256000000</v>
      </c>
      <c r="AC84" s="262" t="n">
        <v>12584000000</v>
      </c>
      <c r="AD84" s="262" t="n">
        <v>12123000000</v>
      </c>
      <c r="AE84" s="262" t="n">
        <v>10333000000</v>
      </c>
      <c r="AF84" s="262" t="n">
        <v>11809000000</v>
      </c>
      <c r="AG84" s="262" t="n">
        <v>14598000000</v>
      </c>
      <c r="AH84" s="262" t="n">
        <v>10887000000</v>
      </c>
      <c r="AI84" s="262" t="n">
        <v>10677000000</v>
      </c>
      <c r="AJ84" s="262" t="n">
        <v>13208000000</v>
      </c>
    </row>
    <row r="85">
      <c r="A85" t="n">
        <v>54</v>
      </c>
      <c r="B85" t="n">
        <v>1</v>
      </c>
      <c r="G85" t="inlineStr">
        <is>
          <t>moeda</t>
        </is>
      </c>
      <c r="H85" t="inlineStr">
        <is>
          <t>Receita China (USD)</t>
        </is>
      </c>
      <c r="J85" t="inlineStr">
        <is>
          <t>fonte</t>
        </is>
      </c>
      <c r="K85" s="262" t="n">
        <v>900000000</v>
      </c>
      <c r="L85" s="262" t="n">
        <v>1400000000</v>
      </c>
      <c r="M85" s="262" t="n">
        <v>1744000000</v>
      </c>
      <c r="N85" s="262" t="n">
        <v>2618000000</v>
      </c>
      <c r="O85" s="262" t="n">
        <v>3043000000</v>
      </c>
      <c r="P85" s="262" t="n">
        <v>2859000000</v>
      </c>
      <c r="Q85" s="262" t="n">
        <v>3113000000</v>
      </c>
      <c r="R85" s="262" t="n">
        <v>4829000000</v>
      </c>
      <c r="S85" s="262" t="n">
        <v>4650000000</v>
      </c>
      <c r="T85" s="262" t="n">
        <v>3787000000</v>
      </c>
      <c r="U85" s="262" t="n">
        <v>5131000000</v>
      </c>
      <c r="V85" s="262" t="n">
        <v>4577000000</v>
      </c>
      <c r="W85" s="262" t="n">
        <v>4891000000</v>
      </c>
      <c r="X85" s="262" t="n">
        <v>5731000000</v>
      </c>
      <c r="Y85" s="262" t="n">
        <v>5020000000</v>
      </c>
      <c r="Z85" s="262" t="n">
        <v>6103000000</v>
      </c>
      <c r="AA85" s="262" t="n">
        <v>4592000000</v>
      </c>
      <c r="AB85" s="262" t="n">
        <v>4636000000</v>
      </c>
      <c r="AC85" s="262" t="n">
        <v>5665000000</v>
      </c>
      <c r="AD85" s="262" t="n">
        <v>6051000000</v>
      </c>
      <c r="AE85" s="262" t="n">
        <v>4303000000</v>
      </c>
      <c r="AF85" s="262" t="n">
        <v>4305000000</v>
      </c>
      <c r="AG85" s="262" t="n">
        <v>5653000000</v>
      </c>
      <c r="AH85" s="262" t="n">
        <v>6701000000</v>
      </c>
      <c r="AI85" s="262" t="n">
        <v>4184000000</v>
      </c>
      <c r="AJ85" s="262" t="n">
        <v>4675000000</v>
      </c>
    </row>
    <row r="86">
      <c r="H86" t="inlineStr">
        <is>
          <t>Notas: valores dimensionais das instâncias XBRL. A abertura da receita automotiva mudou em 2021-22 (vendas com e sem garantia de recompra -&gt; vendas; créditos regulatórios separados); os membros foram costurados. O 10-Q do 1T23 trocou as etiquetas de Automotivo e Energia (1T23 e coluna comparativa do 1T22); os valores foram destrocados.</t>
        </is>
      </c>
    </row>
    <row r="123">
      <c r="H123" s="254" t="inlineStr">
        <is>
          <t>CONVENCOES</t>
        </is>
      </c>
    </row>
    <row r="124">
      <c r="H124" t="inlineStr">
        <is>
          <t>Linhas de origem: 5 a 86. As formulas da Inputs (2) varrem as linhas 5 a 120; as linhas 87 a 120 estao livres para novas contas.</t>
        </is>
      </c>
    </row>
    <row r="125">
      <c r="H125" t="inlineStr">
        <is>
          <t>Periodos: colunas K a AJ = trimestres-calendário 1Q20 a 2Q26 (linha 2: trimestre fiscal correspondente).</t>
        </is>
      </c>
    </row>
    <row r="126">
      <c r="H126" t="inlineStr">
        <is>
          <t>Brutos em USD unidades: fator da célula B1 = 0,000001 converte para USD milhões nas linhas UNID = moeda.</t>
        </is>
      </c>
    </row>
    <row r="127">
      <c r="H127" t="inlineStr">
        <is>
          <t>ORIGEM: fonte = copiado da SEC; memoria = como divulgado, sem codigo; derivada = formula nesta aba ou desacumulado na extração.</t>
        </is>
      </c>
    </row>
    <row r="128">
      <c r="H128" t="inlineStr">
        <is>
          <t>Balanço: contas de face sem mapeamento específico vão para "outros" do seu bloco (ativo circulante 16, não circulante 22, passivo circulante 26, não circulante 34, PL 40).</t>
        </is>
      </c>
    </row>
    <row r="129">
      <c r="H129" t="inlineStr">
        <is>
          <t>Codigos 45 a 54: drivers de receita (memoria); alimentam o bloco logo abaixo da receita liquida no Model.</t>
        </is>
      </c>
    </row>
    <row r="143">
      <c r="H143" s="254" t="n"/>
    </row>
    <row r="144"/>
    <row r="145"/>
    <row r="146"/>
    <row r="147"/>
    <row r="148"/>
    <row r="149"/>
    <row r="150"/>
    <row r="151"/>
    <row r="152"/>
    <row r="153"/>
    <row r="154"/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62"/>
  <sheetViews>
    <sheetView showGridLines="0" zoomScale="85" zoomScaleNormal="85" workbookViewId="0">
      <pane xSplit="3" ySplit="2" topLeftCell="E3" activePane="bottomRight" state="frozen"/>
      <selection activeCell="D24" sqref="D24"/>
      <selection pane="topRight" activeCell="D24" sqref="D24"/>
      <selection pane="bottomLeft" activeCell="D24" sqref="D24"/>
      <selection pane="bottomRight" activeCell="G24" sqref="G24:G34"/>
    </sheetView>
  </sheetViews>
  <sheetFormatPr baseColWidth="8" defaultColWidth="9.140625" defaultRowHeight="12.75"/>
  <cols>
    <col width="2.28515625" bestFit="1" customWidth="1" style="1" min="1" max="1"/>
    <col width="4.42578125" bestFit="1" customWidth="1" style="1" min="2" max="2"/>
    <col width="53.140625" bestFit="1" customWidth="1" style="4" min="3" max="3"/>
    <col width="8.140625" bestFit="1" customWidth="1" style="1" min="4" max="4"/>
    <col width="9.28515625" bestFit="1" customWidth="1" style="1" min="5" max="7"/>
    <col width="10" bestFit="1" customWidth="1" style="1" min="8" max="8"/>
    <col width="8.140625" bestFit="1" customWidth="1" style="1" min="9" max="9"/>
    <col width="9.28515625" bestFit="1" customWidth="1" style="1" min="10" max="12"/>
    <col width="10" bestFit="1" customWidth="1" style="1" min="13" max="13"/>
    <col width="8.140625" bestFit="1" customWidth="1" style="1" min="14" max="14"/>
    <col width="9.28515625" bestFit="1" customWidth="1" style="1" min="15" max="16"/>
    <col width="10" bestFit="1" customWidth="1" style="1" min="17" max="18"/>
    <col width="8.140625" bestFit="1" customWidth="1" style="1" min="19" max="19"/>
    <col width="9.28515625" bestFit="1" customWidth="1" style="1" min="20" max="20"/>
    <col width="10" bestFit="1" customWidth="1" style="1" min="21" max="23"/>
    <col width="8.140625" bestFit="1" customWidth="1" style="1" min="24" max="24"/>
    <col width="10" bestFit="1" customWidth="1" style="1" min="25" max="27"/>
    <col width="10.42578125" bestFit="1" customWidth="1" style="1" min="28" max="28"/>
    <col width="9.28515625" bestFit="1" customWidth="1" style="1" min="29" max="29"/>
    <col width="11.7109375" bestFit="1" customWidth="1" style="1" min="30" max="31"/>
    <col width="12.7109375" bestFit="1" customWidth="1" style="1" min="32" max="32"/>
    <col width="10.28515625" customWidth="1" style="1" min="33" max="33"/>
    <col width="9.28515625" customWidth="1" style="4" min="34" max="54"/>
    <col width="9.28515625" customWidth="1" min="35" max="35"/>
    <col width="9.28515625" customWidth="1" min="36" max="36"/>
    <col width="9.28515625" customWidth="1" min="37" max="37"/>
    <col width="9.28515625" customWidth="1" min="38" max="38"/>
    <col width="9.7109375" bestFit="1" customWidth="1" style="4" min="55" max="55"/>
    <col width="9.140625" customWidth="1" style="4" min="56" max="56"/>
    <col width="9.140625" customWidth="1" style="4" min="57" max="16384"/>
  </cols>
  <sheetData>
    <row r="1" customFormat="1" s="1">
      <c r="A1" s="1">
        <f>COUNTIF($B$3:$B$1048576,$B$1)</f>
        <v>1</v>
      </c>
      <c r="B1" s="1">
        <f>MAX($B$3:$B$1048576)</f>
        <v>54</v>
      </c>
    </row>
    <row r="2">
      <c r="A2" s="4" t="n"/>
      <c r="B2" s="4" t="n"/>
      <c r="D2" s="50" t="inlineStr">
        <is>
          <t>1Q21</t>
        </is>
      </c>
      <c r="E2" s="50" t="inlineStr">
        <is>
          <t>2Q21</t>
        </is>
      </c>
      <c r="F2" s="50" t="inlineStr">
        <is>
          <t>3Q21</t>
        </is>
      </c>
      <c r="G2" s="50" t="inlineStr">
        <is>
          <t>4Q21</t>
        </is>
      </c>
      <c r="H2" s="244" t="n">
        <v>2021</v>
      </c>
      <c r="I2" s="50" t="inlineStr">
        <is>
          <t>1Q22</t>
        </is>
      </c>
      <c r="J2" s="50" t="inlineStr">
        <is>
          <t>2Q22</t>
        </is>
      </c>
      <c r="K2" s="50" t="inlineStr">
        <is>
          <t>3Q22</t>
        </is>
      </c>
      <c r="L2" s="50" t="inlineStr">
        <is>
          <t>4Q22</t>
        </is>
      </c>
      <c r="M2" s="244" t="n">
        <v>2022</v>
      </c>
      <c r="N2" s="50" t="inlineStr">
        <is>
          <t>1Q23</t>
        </is>
      </c>
      <c r="O2" s="50" t="inlineStr">
        <is>
          <t>2Q23</t>
        </is>
      </c>
      <c r="P2" s="50" t="inlineStr">
        <is>
          <t>3Q23</t>
        </is>
      </c>
      <c r="Q2" s="50" t="inlineStr">
        <is>
          <t>4Q23</t>
        </is>
      </c>
      <c r="R2" s="244" t="n">
        <v>2023</v>
      </c>
      <c r="S2" s="50" t="inlineStr">
        <is>
          <t>1Q24</t>
        </is>
      </c>
      <c r="T2" s="50" t="inlineStr">
        <is>
          <t>2Q24</t>
        </is>
      </c>
      <c r="U2" s="50" t="inlineStr">
        <is>
          <t>3Q24</t>
        </is>
      </c>
      <c r="V2" s="50" t="inlineStr">
        <is>
          <t>4Q24</t>
        </is>
      </c>
      <c r="W2" s="244" t="n">
        <v>2024</v>
      </c>
      <c r="X2" s="50" t="inlineStr">
        <is>
          <t>1Q25</t>
        </is>
      </c>
      <c r="Y2" s="50" t="inlineStr">
        <is>
          <t>2Q25</t>
        </is>
      </c>
      <c r="Z2" s="50" t="inlineStr">
        <is>
          <t>3Q25</t>
        </is>
      </c>
      <c r="AA2" s="50" t="inlineStr">
        <is>
          <t>4Q25</t>
        </is>
      </c>
      <c r="AB2" s="244" t="n">
        <v>2025</v>
      </c>
      <c r="AC2" s="50" t="inlineStr">
        <is>
          <t>1Q26</t>
        </is>
      </c>
      <c r="AD2" s="50" t="inlineStr">
        <is>
          <t>2Q26</t>
        </is>
      </c>
      <c r="AE2" s="257" t="inlineStr">
        <is>
          <t>3Q26</t>
        </is>
      </c>
      <c r="AF2" s="257" t="inlineStr">
        <is>
          <t>4Q26</t>
        </is>
      </c>
      <c r="AG2" s="258" t="n">
        <v>2026</v>
      </c>
      <c r="AH2" s="50" t="inlineStr">
        <is>
          <t>1Q20</t>
        </is>
      </c>
      <c r="AI2" s="50" t="inlineStr">
        <is>
          <t>2Q20</t>
        </is>
      </c>
      <c r="AJ2" s="50" t="inlineStr">
        <is>
          <t>3Q20</t>
        </is>
      </c>
      <c r="AK2" s="50" t="inlineStr">
        <is>
          <t>4Q20</t>
        </is>
      </c>
      <c r="AL2" s="244" t="n">
        <v>2020</v>
      </c>
      <c r="AN2" t="inlineStr">
        <is>
          <t>Sem dado na fonte: 3Q26, 4Q26 e 2026 (rotulo em cinza). 2020 fica nas colunas AH-AL.</t>
        </is>
      </c>
    </row>
    <row r="3"/>
    <row r="4">
      <c r="B4" s="46" t="n">
        <v>1</v>
      </c>
      <c r="C4" s="29" t="inlineStr">
        <is>
          <t>Net Revenues</t>
        </is>
      </c>
      <c r="D4" s="6">
        <f>IF(ISNA(MATCH(D$2,Inputs!$K$4:$AJ$4,0)),NA(),IF(SUMPRODUCT((Inputs!$A$5:$A$120=$B4)*ISNUMBER(INDEX(Inputs!$K$5:$AJ$120,0,MATCH(D$2,Inputs!$K$4:$AJ$4,0))))+SUMPRODUCT((Inputs!$C$5:$C$120=$B4)*ISNUMBER(INDEX(Inputs!$K$5:$AJ$120,0,MATCH(D$2,Inputs!$K$4:$AJ$4,0))))+SUMPRODUCT((Inputs!$E$5:$E$120=$B4)*ISNUMBER(INDEX(Inputs!$K$5:$AJ$120,0,MATCH(D$2,Inputs!$K$4:$AJ$4,0))))=0,NA(),SUMPRODUCT((Inputs!$A$5:$A$120=$B4)*Inputs!$B$5:$B$120*(((Inputs!$G$5:$G$120="moeda")+(Inputs!$G$5:$G$120="acoes"))*Inputs!$B$1+((Inputs!$G$5:$G$120&lt;&gt;"moeda")*(Inputs!$G$5:$G$120&lt;&gt;"acoes")))*INDEX(Inputs!$K$5:$AJ$120,0,MATCH(D$2,Inputs!$K$4:$AJ$4,0)))+SUMPRODUCT((Inputs!$C$5:$C$120=$B4)*Inputs!$D$5:$D$120*(((Inputs!$G$5:$G$120="moeda")+(Inputs!$G$5:$G$120="acoes"))*Inputs!$B$1+((Inputs!$G$5:$G$120&lt;&gt;"moeda")*(Inputs!$G$5:$G$120&lt;&gt;"acoes")))*INDEX(Inputs!$K$5:$AJ$120,0,MATCH(D$2,Inputs!$K$4:$AJ$4,0)))+SUMPRODUCT((Inputs!$E$5:$E$120=$B4)*Inputs!$F$5:$F$120*(((Inputs!$G$5:$G$120="moeda")+(Inputs!$G$5:$G$120="acoes"))*Inputs!$B$1+((Inputs!$G$5:$G$120&lt;&gt;"moeda")*(Inputs!$G$5:$G$120&lt;&gt;"acoes")))*INDEX(Inputs!$K$5:$AJ$120,0,MATCH(D$2,Inputs!$K$4:$AJ$4,0)))))</f>
        <v>10389</v>
      </c>
      <c r="E4" s="6">
        <f>IF(ISNA(MATCH(E$2,Inputs!$K$4:$AJ$4,0)),NA(),IF(SUMPRODUCT((Inputs!$A$5:$A$120=$B4)*ISNUMBER(INDEX(Inputs!$K$5:$AJ$120,0,MATCH(E$2,Inputs!$K$4:$AJ$4,0))))+SUMPRODUCT((Inputs!$C$5:$C$120=$B4)*ISNUMBER(INDEX(Inputs!$K$5:$AJ$120,0,MATCH(E$2,Inputs!$K$4:$AJ$4,0))))+SUMPRODUCT((Inputs!$E$5:$E$120=$B4)*ISNUMBER(INDEX(Inputs!$K$5:$AJ$120,0,MATCH(E$2,Inputs!$K$4:$AJ$4,0))))=0,NA(),SUMPRODUCT((Inputs!$A$5:$A$120=$B4)*Inputs!$B$5:$B$120*(((Inputs!$G$5:$G$120="moeda")+(Inputs!$G$5:$G$120="acoes"))*Inputs!$B$1+((Inputs!$G$5:$G$120&lt;&gt;"moeda")*(Inputs!$G$5:$G$120&lt;&gt;"acoes")))*INDEX(Inputs!$K$5:$AJ$120,0,MATCH(E$2,Inputs!$K$4:$AJ$4,0)))+SUMPRODUCT((Inputs!$C$5:$C$120=$B4)*Inputs!$D$5:$D$120*(((Inputs!$G$5:$G$120="moeda")+(Inputs!$G$5:$G$120="acoes"))*Inputs!$B$1+((Inputs!$G$5:$G$120&lt;&gt;"moeda")*(Inputs!$G$5:$G$120&lt;&gt;"acoes")))*INDEX(Inputs!$K$5:$AJ$120,0,MATCH(E$2,Inputs!$K$4:$AJ$4,0)))+SUMPRODUCT((Inputs!$E$5:$E$120=$B4)*Inputs!$F$5:$F$120*(((Inputs!$G$5:$G$120="moeda")+(Inputs!$G$5:$G$120="acoes"))*Inputs!$B$1+((Inputs!$G$5:$G$120&lt;&gt;"moeda")*(Inputs!$G$5:$G$120&lt;&gt;"acoes")))*INDEX(Inputs!$K$5:$AJ$120,0,MATCH(E$2,Inputs!$K$4:$AJ$4,0)))))</f>
        <v>11958</v>
      </c>
      <c r="F4" s="6">
        <f>IF(ISNA(MATCH(F$2,Inputs!$K$4:$AJ$4,0)),NA(),IF(SUMPRODUCT((Inputs!$A$5:$A$120=$B4)*ISNUMBER(INDEX(Inputs!$K$5:$AJ$120,0,MATCH(F$2,Inputs!$K$4:$AJ$4,0))))+SUMPRODUCT((Inputs!$C$5:$C$120=$B4)*ISNUMBER(INDEX(Inputs!$K$5:$AJ$120,0,MATCH(F$2,Inputs!$K$4:$AJ$4,0))))+SUMPRODUCT((Inputs!$E$5:$E$120=$B4)*ISNUMBER(INDEX(Inputs!$K$5:$AJ$120,0,MATCH(F$2,Inputs!$K$4:$AJ$4,0))))=0,NA(),SUMPRODUCT((Inputs!$A$5:$A$120=$B4)*Inputs!$B$5:$B$120*(((Inputs!$G$5:$G$120="moeda")+(Inputs!$G$5:$G$120="acoes"))*Inputs!$B$1+((Inputs!$G$5:$G$120&lt;&gt;"moeda")*(Inputs!$G$5:$G$120&lt;&gt;"acoes")))*INDEX(Inputs!$K$5:$AJ$120,0,MATCH(F$2,Inputs!$K$4:$AJ$4,0)))+SUMPRODUCT((Inputs!$C$5:$C$120=$B4)*Inputs!$D$5:$D$120*(((Inputs!$G$5:$G$120="moeda")+(Inputs!$G$5:$G$120="acoes"))*Inputs!$B$1+((Inputs!$G$5:$G$120&lt;&gt;"moeda")*(Inputs!$G$5:$G$120&lt;&gt;"acoes")))*INDEX(Inputs!$K$5:$AJ$120,0,MATCH(F$2,Inputs!$K$4:$AJ$4,0)))+SUMPRODUCT((Inputs!$E$5:$E$120=$B4)*Inputs!$F$5:$F$120*(((Inputs!$G$5:$G$120="moeda")+(Inputs!$G$5:$G$120="acoes"))*Inputs!$B$1+((Inputs!$G$5:$G$120&lt;&gt;"moeda")*(Inputs!$G$5:$G$120&lt;&gt;"acoes")))*INDEX(Inputs!$K$5:$AJ$120,0,MATCH(F$2,Inputs!$K$4:$AJ$4,0)))))</f>
        <v>13757</v>
      </c>
      <c r="G4" s="6">
        <f>IF(ISNA(MATCH(G$2,Inputs!$K$4:$AJ$4,0)),NA(),IF(SUMPRODUCT((Inputs!$A$5:$A$120=$B4)*ISNUMBER(INDEX(Inputs!$K$5:$AJ$120,0,MATCH(G$2,Inputs!$K$4:$AJ$4,0))))+SUMPRODUCT((Inputs!$C$5:$C$120=$B4)*ISNUMBER(INDEX(Inputs!$K$5:$AJ$120,0,MATCH(G$2,Inputs!$K$4:$AJ$4,0))))+SUMPRODUCT((Inputs!$E$5:$E$120=$B4)*ISNUMBER(INDEX(Inputs!$K$5:$AJ$120,0,MATCH(G$2,Inputs!$K$4:$AJ$4,0))))=0,NA(),SUMPRODUCT((Inputs!$A$5:$A$120=$B4)*Inputs!$B$5:$B$120*(((Inputs!$G$5:$G$120="moeda")+(Inputs!$G$5:$G$120="acoes"))*Inputs!$B$1+((Inputs!$G$5:$G$120&lt;&gt;"moeda")*(Inputs!$G$5:$G$120&lt;&gt;"acoes")))*INDEX(Inputs!$K$5:$AJ$120,0,MATCH(G$2,Inputs!$K$4:$AJ$4,0)))+SUMPRODUCT((Inputs!$C$5:$C$120=$B4)*Inputs!$D$5:$D$120*(((Inputs!$G$5:$G$120="moeda")+(Inputs!$G$5:$G$120="acoes"))*Inputs!$B$1+((Inputs!$G$5:$G$120&lt;&gt;"moeda")*(Inputs!$G$5:$G$120&lt;&gt;"acoes")))*INDEX(Inputs!$K$5:$AJ$120,0,MATCH(G$2,Inputs!$K$4:$AJ$4,0)))+SUMPRODUCT((Inputs!$E$5:$E$120=$B4)*Inputs!$F$5:$F$120*(((Inputs!$G$5:$G$120="moeda")+(Inputs!$G$5:$G$120="acoes"))*Inputs!$B$1+((Inputs!$G$5:$G$120&lt;&gt;"moeda")*(Inputs!$G$5:$G$120&lt;&gt;"acoes")))*INDEX(Inputs!$K$5:$AJ$120,0,MATCH(G$2,Inputs!$K$4:$AJ$4,0)))))</f>
        <v>17719</v>
      </c>
      <c r="H4" s="3">
        <f>SUM(D4:G4)</f>
        <v>53823</v>
      </c>
      <c r="I4" s="6">
        <f>IF(ISNA(MATCH(I$2,Inputs!$K$4:$AJ$4,0)),NA(),IF(SUMPRODUCT((Inputs!$A$5:$A$120=$B4)*ISNUMBER(INDEX(Inputs!$K$5:$AJ$120,0,MATCH(I$2,Inputs!$K$4:$AJ$4,0))))+SUMPRODUCT((Inputs!$C$5:$C$120=$B4)*ISNUMBER(INDEX(Inputs!$K$5:$AJ$120,0,MATCH(I$2,Inputs!$K$4:$AJ$4,0))))+SUMPRODUCT((Inputs!$E$5:$E$120=$B4)*ISNUMBER(INDEX(Inputs!$K$5:$AJ$120,0,MATCH(I$2,Inputs!$K$4:$AJ$4,0))))=0,NA(),SUMPRODUCT((Inputs!$A$5:$A$120=$B4)*Inputs!$B$5:$B$120*(((Inputs!$G$5:$G$120="moeda")+(Inputs!$G$5:$G$120="acoes"))*Inputs!$B$1+((Inputs!$G$5:$G$120&lt;&gt;"moeda")*(Inputs!$G$5:$G$120&lt;&gt;"acoes")))*INDEX(Inputs!$K$5:$AJ$120,0,MATCH(I$2,Inputs!$K$4:$AJ$4,0)))+SUMPRODUCT((Inputs!$C$5:$C$120=$B4)*Inputs!$D$5:$D$120*(((Inputs!$G$5:$G$120="moeda")+(Inputs!$G$5:$G$120="acoes"))*Inputs!$B$1+((Inputs!$G$5:$G$120&lt;&gt;"moeda")*(Inputs!$G$5:$G$120&lt;&gt;"acoes")))*INDEX(Inputs!$K$5:$AJ$120,0,MATCH(I$2,Inputs!$K$4:$AJ$4,0)))+SUMPRODUCT((Inputs!$E$5:$E$120=$B4)*Inputs!$F$5:$F$120*(((Inputs!$G$5:$G$120="moeda")+(Inputs!$G$5:$G$120="acoes"))*Inputs!$B$1+((Inputs!$G$5:$G$120&lt;&gt;"moeda")*(Inputs!$G$5:$G$120&lt;&gt;"acoes")))*INDEX(Inputs!$K$5:$AJ$120,0,MATCH(I$2,Inputs!$K$4:$AJ$4,0)))))</f>
        <v>18756</v>
      </c>
      <c r="J4" s="6">
        <f>IF(ISNA(MATCH(J$2,Inputs!$K$4:$AJ$4,0)),NA(),IF(SUMPRODUCT((Inputs!$A$5:$A$120=$B4)*ISNUMBER(INDEX(Inputs!$K$5:$AJ$120,0,MATCH(J$2,Inputs!$K$4:$AJ$4,0))))+SUMPRODUCT((Inputs!$C$5:$C$120=$B4)*ISNUMBER(INDEX(Inputs!$K$5:$AJ$120,0,MATCH(J$2,Inputs!$K$4:$AJ$4,0))))+SUMPRODUCT((Inputs!$E$5:$E$120=$B4)*ISNUMBER(INDEX(Inputs!$K$5:$AJ$120,0,MATCH(J$2,Inputs!$K$4:$AJ$4,0))))=0,NA(),SUMPRODUCT((Inputs!$A$5:$A$120=$B4)*Inputs!$B$5:$B$120*(((Inputs!$G$5:$G$120="moeda")+(Inputs!$G$5:$G$120="acoes"))*Inputs!$B$1+((Inputs!$G$5:$G$120&lt;&gt;"moeda")*(Inputs!$G$5:$G$120&lt;&gt;"acoes")))*INDEX(Inputs!$K$5:$AJ$120,0,MATCH(J$2,Inputs!$K$4:$AJ$4,0)))+SUMPRODUCT((Inputs!$C$5:$C$120=$B4)*Inputs!$D$5:$D$120*(((Inputs!$G$5:$G$120="moeda")+(Inputs!$G$5:$G$120="acoes"))*Inputs!$B$1+((Inputs!$G$5:$G$120&lt;&gt;"moeda")*(Inputs!$G$5:$G$120&lt;&gt;"acoes")))*INDEX(Inputs!$K$5:$AJ$120,0,MATCH(J$2,Inputs!$K$4:$AJ$4,0)))+SUMPRODUCT((Inputs!$E$5:$E$120=$B4)*Inputs!$F$5:$F$120*(((Inputs!$G$5:$G$120="moeda")+(Inputs!$G$5:$G$120="acoes"))*Inputs!$B$1+((Inputs!$G$5:$G$120&lt;&gt;"moeda")*(Inputs!$G$5:$G$120&lt;&gt;"acoes")))*INDEX(Inputs!$K$5:$AJ$120,0,MATCH(J$2,Inputs!$K$4:$AJ$4,0)))))</f>
        <v>16934</v>
      </c>
      <c r="K4" s="6">
        <f>IF(ISNA(MATCH(K$2,Inputs!$K$4:$AJ$4,0)),NA(),IF(SUMPRODUCT((Inputs!$A$5:$A$120=$B4)*ISNUMBER(INDEX(Inputs!$K$5:$AJ$120,0,MATCH(K$2,Inputs!$K$4:$AJ$4,0))))+SUMPRODUCT((Inputs!$C$5:$C$120=$B4)*ISNUMBER(INDEX(Inputs!$K$5:$AJ$120,0,MATCH(K$2,Inputs!$K$4:$AJ$4,0))))+SUMPRODUCT((Inputs!$E$5:$E$120=$B4)*ISNUMBER(INDEX(Inputs!$K$5:$AJ$120,0,MATCH(K$2,Inputs!$K$4:$AJ$4,0))))=0,NA(),SUMPRODUCT((Inputs!$A$5:$A$120=$B4)*Inputs!$B$5:$B$120*(((Inputs!$G$5:$G$120="moeda")+(Inputs!$G$5:$G$120="acoes"))*Inputs!$B$1+((Inputs!$G$5:$G$120&lt;&gt;"moeda")*(Inputs!$G$5:$G$120&lt;&gt;"acoes")))*INDEX(Inputs!$K$5:$AJ$120,0,MATCH(K$2,Inputs!$K$4:$AJ$4,0)))+SUMPRODUCT((Inputs!$C$5:$C$120=$B4)*Inputs!$D$5:$D$120*(((Inputs!$G$5:$G$120="moeda")+(Inputs!$G$5:$G$120="acoes"))*Inputs!$B$1+((Inputs!$G$5:$G$120&lt;&gt;"moeda")*(Inputs!$G$5:$G$120&lt;&gt;"acoes")))*INDEX(Inputs!$K$5:$AJ$120,0,MATCH(K$2,Inputs!$K$4:$AJ$4,0)))+SUMPRODUCT((Inputs!$E$5:$E$120=$B4)*Inputs!$F$5:$F$120*(((Inputs!$G$5:$G$120="moeda")+(Inputs!$G$5:$G$120="acoes"))*Inputs!$B$1+((Inputs!$G$5:$G$120&lt;&gt;"moeda")*(Inputs!$G$5:$G$120&lt;&gt;"acoes")))*INDEX(Inputs!$K$5:$AJ$120,0,MATCH(K$2,Inputs!$K$4:$AJ$4,0)))))</f>
        <v>21454</v>
      </c>
      <c r="L4" s="6">
        <f>IF(ISNA(MATCH(L$2,Inputs!$K$4:$AJ$4,0)),NA(),IF(SUMPRODUCT((Inputs!$A$5:$A$120=$B4)*ISNUMBER(INDEX(Inputs!$K$5:$AJ$120,0,MATCH(L$2,Inputs!$K$4:$AJ$4,0))))+SUMPRODUCT((Inputs!$C$5:$C$120=$B4)*ISNUMBER(INDEX(Inputs!$K$5:$AJ$120,0,MATCH(L$2,Inputs!$K$4:$AJ$4,0))))+SUMPRODUCT((Inputs!$E$5:$E$120=$B4)*ISNUMBER(INDEX(Inputs!$K$5:$AJ$120,0,MATCH(L$2,Inputs!$K$4:$AJ$4,0))))=0,NA(),SUMPRODUCT((Inputs!$A$5:$A$120=$B4)*Inputs!$B$5:$B$120*(((Inputs!$G$5:$G$120="moeda")+(Inputs!$G$5:$G$120="acoes"))*Inputs!$B$1+((Inputs!$G$5:$G$120&lt;&gt;"moeda")*(Inputs!$G$5:$G$120&lt;&gt;"acoes")))*INDEX(Inputs!$K$5:$AJ$120,0,MATCH(L$2,Inputs!$K$4:$AJ$4,0)))+SUMPRODUCT((Inputs!$C$5:$C$120=$B4)*Inputs!$D$5:$D$120*(((Inputs!$G$5:$G$120="moeda")+(Inputs!$G$5:$G$120="acoes"))*Inputs!$B$1+((Inputs!$G$5:$G$120&lt;&gt;"moeda")*(Inputs!$G$5:$G$120&lt;&gt;"acoes")))*INDEX(Inputs!$K$5:$AJ$120,0,MATCH(L$2,Inputs!$K$4:$AJ$4,0)))+SUMPRODUCT((Inputs!$E$5:$E$120=$B4)*Inputs!$F$5:$F$120*(((Inputs!$G$5:$G$120="moeda")+(Inputs!$G$5:$G$120="acoes"))*Inputs!$B$1+((Inputs!$G$5:$G$120&lt;&gt;"moeda")*(Inputs!$G$5:$G$120&lt;&gt;"acoes")))*INDEX(Inputs!$K$5:$AJ$120,0,MATCH(L$2,Inputs!$K$4:$AJ$4,0)))))</f>
        <v>24318</v>
      </c>
      <c r="M4" s="3">
        <f>SUM(I4:L4)</f>
        <v>81462</v>
      </c>
      <c r="N4" s="6">
        <f>IF(ISNA(MATCH(N$2,Inputs!$K$4:$AJ$4,0)),NA(),IF(SUMPRODUCT((Inputs!$A$5:$A$120=$B4)*ISNUMBER(INDEX(Inputs!$K$5:$AJ$120,0,MATCH(N$2,Inputs!$K$4:$AJ$4,0))))+SUMPRODUCT((Inputs!$C$5:$C$120=$B4)*ISNUMBER(INDEX(Inputs!$K$5:$AJ$120,0,MATCH(N$2,Inputs!$K$4:$AJ$4,0))))+SUMPRODUCT((Inputs!$E$5:$E$120=$B4)*ISNUMBER(INDEX(Inputs!$K$5:$AJ$120,0,MATCH(N$2,Inputs!$K$4:$AJ$4,0))))=0,NA(),SUMPRODUCT((Inputs!$A$5:$A$120=$B4)*Inputs!$B$5:$B$120*(((Inputs!$G$5:$G$120="moeda")+(Inputs!$G$5:$G$120="acoes"))*Inputs!$B$1+((Inputs!$G$5:$G$120&lt;&gt;"moeda")*(Inputs!$G$5:$G$120&lt;&gt;"acoes")))*INDEX(Inputs!$K$5:$AJ$120,0,MATCH(N$2,Inputs!$K$4:$AJ$4,0)))+SUMPRODUCT((Inputs!$C$5:$C$120=$B4)*Inputs!$D$5:$D$120*(((Inputs!$G$5:$G$120="moeda")+(Inputs!$G$5:$G$120="acoes"))*Inputs!$B$1+((Inputs!$G$5:$G$120&lt;&gt;"moeda")*(Inputs!$G$5:$G$120&lt;&gt;"acoes")))*INDEX(Inputs!$K$5:$AJ$120,0,MATCH(N$2,Inputs!$K$4:$AJ$4,0)))+SUMPRODUCT((Inputs!$E$5:$E$120=$B4)*Inputs!$F$5:$F$120*(((Inputs!$G$5:$G$120="moeda")+(Inputs!$G$5:$G$120="acoes"))*Inputs!$B$1+((Inputs!$G$5:$G$120&lt;&gt;"moeda")*(Inputs!$G$5:$G$120&lt;&gt;"acoes")))*INDEX(Inputs!$K$5:$AJ$120,0,MATCH(N$2,Inputs!$K$4:$AJ$4,0)))))</f>
        <v>23329</v>
      </c>
      <c r="O4" s="6">
        <f>IF(ISNA(MATCH(O$2,Inputs!$K$4:$AJ$4,0)),NA(),IF(SUMPRODUCT((Inputs!$A$5:$A$120=$B4)*ISNUMBER(INDEX(Inputs!$K$5:$AJ$120,0,MATCH(O$2,Inputs!$K$4:$AJ$4,0))))+SUMPRODUCT((Inputs!$C$5:$C$120=$B4)*ISNUMBER(INDEX(Inputs!$K$5:$AJ$120,0,MATCH(O$2,Inputs!$K$4:$AJ$4,0))))+SUMPRODUCT((Inputs!$E$5:$E$120=$B4)*ISNUMBER(INDEX(Inputs!$K$5:$AJ$120,0,MATCH(O$2,Inputs!$K$4:$AJ$4,0))))=0,NA(),SUMPRODUCT((Inputs!$A$5:$A$120=$B4)*Inputs!$B$5:$B$120*(((Inputs!$G$5:$G$120="moeda")+(Inputs!$G$5:$G$120="acoes"))*Inputs!$B$1+((Inputs!$G$5:$G$120&lt;&gt;"moeda")*(Inputs!$G$5:$G$120&lt;&gt;"acoes")))*INDEX(Inputs!$K$5:$AJ$120,0,MATCH(O$2,Inputs!$K$4:$AJ$4,0)))+SUMPRODUCT((Inputs!$C$5:$C$120=$B4)*Inputs!$D$5:$D$120*(((Inputs!$G$5:$G$120="moeda")+(Inputs!$G$5:$G$120="acoes"))*Inputs!$B$1+((Inputs!$G$5:$G$120&lt;&gt;"moeda")*(Inputs!$G$5:$G$120&lt;&gt;"acoes")))*INDEX(Inputs!$K$5:$AJ$120,0,MATCH(O$2,Inputs!$K$4:$AJ$4,0)))+SUMPRODUCT((Inputs!$E$5:$E$120=$B4)*Inputs!$F$5:$F$120*(((Inputs!$G$5:$G$120="moeda")+(Inputs!$G$5:$G$120="acoes"))*Inputs!$B$1+((Inputs!$G$5:$G$120&lt;&gt;"moeda")*(Inputs!$G$5:$G$120&lt;&gt;"acoes")))*INDEX(Inputs!$K$5:$AJ$120,0,MATCH(O$2,Inputs!$K$4:$AJ$4,0)))))</f>
        <v>24927</v>
      </c>
      <c r="P4" s="6">
        <f>IF(ISNA(MATCH(P$2,Inputs!$K$4:$AJ$4,0)),NA(),IF(SUMPRODUCT((Inputs!$A$5:$A$120=$B4)*ISNUMBER(INDEX(Inputs!$K$5:$AJ$120,0,MATCH(P$2,Inputs!$K$4:$AJ$4,0))))+SUMPRODUCT((Inputs!$C$5:$C$120=$B4)*ISNUMBER(INDEX(Inputs!$K$5:$AJ$120,0,MATCH(P$2,Inputs!$K$4:$AJ$4,0))))+SUMPRODUCT((Inputs!$E$5:$E$120=$B4)*ISNUMBER(INDEX(Inputs!$K$5:$AJ$120,0,MATCH(P$2,Inputs!$K$4:$AJ$4,0))))=0,NA(),SUMPRODUCT((Inputs!$A$5:$A$120=$B4)*Inputs!$B$5:$B$120*(((Inputs!$G$5:$G$120="moeda")+(Inputs!$G$5:$G$120="acoes"))*Inputs!$B$1+((Inputs!$G$5:$G$120&lt;&gt;"moeda")*(Inputs!$G$5:$G$120&lt;&gt;"acoes")))*INDEX(Inputs!$K$5:$AJ$120,0,MATCH(P$2,Inputs!$K$4:$AJ$4,0)))+SUMPRODUCT((Inputs!$C$5:$C$120=$B4)*Inputs!$D$5:$D$120*(((Inputs!$G$5:$G$120="moeda")+(Inputs!$G$5:$G$120="acoes"))*Inputs!$B$1+((Inputs!$G$5:$G$120&lt;&gt;"moeda")*(Inputs!$G$5:$G$120&lt;&gt;"acoes")))*INDEX(Inputs!$K$5:$AJ$120,0,MATCH(P$2,Inputs!$K$4:$AJ$4,0)))+SUMPRODUCT((Inputs!$E$5:$E$120=$B4)*Inputs!$F$5:$F$120*(((Inputs!$G$5:$G$120="moeda")+(Inputs!$G$5:$G$120="acoes"))*Inputs!$B$1+((Inputs!$G$5:$G$120&lt;&gt;"moeda")*(Inputs!$G$5:$G$120&lt;&gt;"acoes")))*INDEX(Inputs!$K$5:$AJ$120,0,MATCH(P$2,Inputs!$K$4:$AJ$4,0)))))</f>
        <v>23350</v>
      </c>
      <c r="Q4" s="6">
        <f>IF(ISNA(MATCH(Q$2,Inputs!$K$4:$AJ$4,0)),NA(),IF(SUMPRODUCT((Inputs!$A$5:$A$120=$B4)*ISNUMBER(INDEX(Inputs!$K$5:$AJ$120,0,MATCH(Q$2,Inputs!$K$4:$AJ$4,0))))+SUMPRODUCT((Inputs!$C$5:$C$120=$B4)*ISNUMBER(INDEX(Inputs!$K$5:$AJ$120,0,MATCH(Q$2,Inputs!$K$4:$AJ$4,0))))+SUMPRODUCT((Inputs!$E$5:$E$120=$B4)*ISNUMBER(INDEX(Inputs!$K$5:$AJ$120,0,MATCH(Q$2,Inputs!$K$4:$AJ$4,0))))=0,NA(),SUMPRODUCT((Inputs!$A$5:$A$120=$B4)*Inputs!$B$5:$B$120*(((Inputs!$G$5:$G$120="moeda")+(Inputs!$G$5:$G$120="acoes"))*Inputs!$B$1+((Inputs!$G$5:$G$120&lt;&gt;"moeda")*(Inputs!$G$5:$G$120&lt;&gt;"acoes")))*INDEX(Inputs!$K$5:$AJ$120,0,MATCH(Q$2,Inputs!$K$4:$AJ$4,0)))+SUMPRODUCT((Inputs!$C$5:$C$120=$B4)*Inputs!$D$5:$D$120*(((Inputs!$G$5:$G$120="moeda")+(Inputs!$G$5:$G$120="acoes"))*Inputs!$B$1+((Inputs!$G$5:$G$120&lt;&gt;"moeda")*(Inputs!$G$5:$G$120&lt;&gt;"acoes")))*INDEX(Inputs!$K$5:$AJ$120,0,MATCH(Q$2,Inputs!$K$4:$AJ$4,0)))+SUMPRODUCT((Inputs!$E$5:$E$120=$B4)*Inputs!$F$5:$F$120*(((Inputs!$G$5:$G$120="moeda")+(Inputs!$G$5:$G$120="acoes"))*Inputs!$B$1+((Inputs!$G$5:$G$120&lt;&gt;"moeda")*(Inputs!$G$5:$G$120&lt;&gt;"acoes")))*INDEX(Inputs!$K$5:$AJ$120,0,MATCH(Q$2,Inputs!$K$4:$AJ$4,0)))))</f>
        <v>25167</v>
      </c>
      <c r="R4" s="3">
        <f>SUM(N4:Q4)</f>
        <v>96773</v>
      </c>
      <c r="S4" s="6">
        <f>IF(ISNA(MATCH(S$2,Inputs!$K$4:$AJ$4,0)),NA(),IF(SUMPRODUCT((Inputs!$A$5:$A$120=$B4)*ISNUMBER(INDEX(Inputs!$K$5:$AJ$120,0,MATCH(S$2,Inputs!$K$4:$AJ$4,0))))+SUMPRODUCT((Inputs!$C$5:$C$120=$B4)*ISNUMBER(INDEX(Inputs!$K$5:$AJ$120,0,MATCH(S$2,Inputs!$K$4:$AJ$4,0))))+SUMPRODUCT((Inputs!$E$5:$E$120=$B4)*ISNUMBER(INDEX(Inputs!$K$5:$AJ$120,0,MATCH(S$2,Inputs!$K$4:$AJ$4,0))))=0,NA(),SUMPRODUCT((Inputs!$A$5:$A$120=$B4)*Inputs!$B$5:$B$120*(((Inputs!$G$5:$G$120="moeda")+(Inputs!$G$5:$G$120="acoes"))*Inputs!$B$1+((Inputs!$G$5:$G$120&lt;&gt;"moeda")*(Inputs!$G$5:$G$120&lt;&gt;"acoes")))*INDEX(Inputs!$K$5:$AJ$120,0,MATCH(S$2,Inputs!$K$4:$AJ$4,0)))+SUMPRODUCT((Inputs!$C$5:$C$120=$B4)*Inputs!$D$5:$D$120*(((Inputs!$G$5:$G$120="moeda")+(Inputs!$G$5:$G$120="acoes"))*Inputs!$B$1+((Inputs!$G$5:$G$120&lt;&gt;"moeda")*(Inputs!$G$5:$G$120&lt;&gt;"acoes")))*INDEX(Inputs!$K$5:$AJ$120,0,MATCH(S$2,Inputs!$K$4:$AJ$4,0)))+SUMPRODUCT((Inputs!$E$5:$E$120=$B4)*Inputs!$F$5:$F$120*(((Inputs!$G$5:$G$120="moeda")+(Inputs!$G$5:$G$120="acoes"))*Inputs!$B$1+((Inputs!$G$5:$G$120&lt;&gt;"moeda")*(Inputs!$G$5:$G$120&lt;&gt;"acoes")))*INDEX(Inputs!$K$5:$AJ$120,0,MATCH(S$2,Inputs!$K$4:$AJ$4,0)))))</f>
        <v>21301</v>
      </c>
      <c r="T4" s="6">
        <f>IF(ISNA(MATCH(T$2,Inputs!$K$4:$AJ$4,0)),NA(),IF(SUMPRODUCT((Inputs!$A$5:$A$120=$B4)*ISNUMBER(INDEX(Inputs!$K$5:$AJ$120,0,MATCH(T$2,Inputs!$K$4:$AJ$4,0))))+SUMPRODUCT((Inputs!$C$5:$C$120=$B4)*ISNUMBER(INDEX(Inputs!$K$5:$AJ$120,0,MATCH(T$2,Inputs!$K$4:$AJ$4,0))))+SUMPRODUCT((Inputs!$E$5:$E$120=$B4)*ISNUMBER(INDEX(Inputs!$K$5:$AJ$120,0,MATCH(T$2,Inputs!$K$4:$AJ$4,0))))=0,NA(),SUMPRODUCT((Inputs!$A$5:$A$120=$B4)*Inputs!$B$5:$B$120*(((Inputs!$G$5:$G$120="moeda")+(Inputs!$G$5:$G$120="acoes"))*Inputs!$B$1+((Inputs!$G$5:$G$120&lt;&gt;"moeda")*(Inputs!$G$5:$G$120&lt;&gt;"acoes")))*INDEX(Inputs!$K$5:$AJ$120,0,MATCH(T$2,Inputs!$K$4:$AJ$4,0)))+SUMPRODUCT((Inputs!$C$5:$C$120=$B4)*Inputs!$D$5:$D$120*(((Inputs!$G$5:$G$120="moeda")+(Inputs!$G$5:$G$120="acoes"))*Inputs!$B$1+((Inputs!$G$5:$G$120&lt;&gt;"moeda")*(Inputs!$G$5:$G$120&lt;&gt;"acoes")))*INDEX(Inputs!$K$5:$AJ$120,0,MATCH(T$2,Inputs!$K$4:$AJ$4,0)))+SUMPRODUCT((Inputs!$E$5:$E$120=$B4)*Inputs!$F$5:$F$120*(((Inputs!$G$5:$G$120="moeda")+(Inputs!$G$5:$G$120="acoes"))*Inputs!$B$1+((Inputs!$G$5:$G$120&lt;&gt;"moeda")*(Inputs!$G$5:$G$120&lt;&gt;"acoes")))*INDEX(Inputs!$K$5:$AJ$120,0,MATCH(T$2,Inputs!$K$4:$AJ$4,0)))))</f>
        <v>25500</v>
      </c>
      <c r="U4" s="6">
        <f>IF(ISNA(MATCH(U$2,Inputs!$K$4:$AJ$4,0)),NA(),IF(SUMPRODUCT((Inputs!$A$5:$A$120=$B4)*ISNUMBER(INDEX(Inputs!$K$5:$AJ$120,0,MATCH(U$2,Inputs!$K$4:$AJ$4,0))))+SUMPRODUCT((Inputs!$C$5:$C$120=$B4)*ISNUMBER(INDEX(Inputs!$K$5:$AJ$120,0,MATCH(U$2,Inputs!$K$4:$AJ$4,0))))+SUMPRODUCT((Inputs!$E$5:$E$120=$B4)*ISNUMBER(INDEX(Inputs!$K$5:$AJ$120,0,MATCH(U$2,Inputs!$K$4:$AJ$4,0))))=0,NA(),SUMPRODUCT((Inputs!$A$5:$A$120=$B4)*Inputs!$B$5:$B$120*(((Inputs!$G$5:$G$120="moeda")+(Inputs!$G$5:$G$120="acoes"))*Inputs!$B$1+((Inputs!$G$5:$G$120&lt;&gt;"moeda")*(Inputs!$G$5:$G$120&lt;&gt;"acoes")))*INDEX(Inputs!$K$5:$AJ$120,0,MATCH(U$2,Inputs!$K$4:$AJ$4,0)))+SUMPRODUCT((Inputs!$C$5:$C$120=$B4)*Inputs!$D$5:$D$120*(((Inputs!$G$5:$G$120="moeda")+(Inputs!$G$5:$G$120="acoes"))*Inputs!$B$1+((Inputs!$G$5:$G$120&lt;&gt;"moeda")*(Inputs!$G$5:$G$120&lt;&gt;"acoes")))*INDEX(Inputs!$K$5:$AJ$120,0,MATCH(U$2,Inputs!$K$4:$AJ$4,0)))+SUMPRODUCT((Inputs!$E$5:$E$120=$B4)*Inputs!$F$5:$F$120*(((Inputs!$G$5:$G$120="moeda")+(Inputs!$G$5:$G$120="acoes"))*Inputs!$B$1+((Inputs!$G$5:$G$120&lt;&gt;"moeda")*(Inputs!$G$5:$G$120&lt;&gt;"acoes")))*INDEX(Inputs!$K$5:$AJ$120,0,MATCH(U$2,Inputs!$K$4:$AJ$4,0)))))</f>
        <v>25182</v>
      </c>
      <c r="V4" s="6">
        <f>IF(ISNA(MATCH(V$2,Inputs!$K$4:$AJ$4,0)),NA(),IF(SUMPRODUCT((Inputs!$A$5:$A$120=$B4)*ISNUMBER(INDEX(Inputs!$K$5:$AJ$120,0,MATCH(V$2,Inputs!$K$4:$AJ$4,0))))+SUMPRODUCT((Inputs!$C$5:$C$120=$B4)*ISNUMBER(INDEX(Inputs!$K$5:$AJ$120,0,MATCH(V$2,Inputs!$K$4:$AJ$4,0))))+SUMPRODUCT((Inputs!$E$5:$E$120=$B4)*ISNUMBER(INDEX(Inputs!$K$5:$AJ$120,0,MATCH(V$2,Inputs!$K$4:$AJ$4,0))))=0,NA(),SUMPRODUCT((Inputs!$A$5:$A$120=$B4)*Inputs!$B$5:$B$120*(((Inputs!$G$5:$G$120="moeda")+(Inputs!$G$5:$G$120="acoes"))*Inputs!$B$1+((Inputs!$G$5:$G$120&lt;&gt;"moeda")*(Inputs!$G$5:$G$120&lt;&gt;"acoes")))*INDEX(Inputs!$K$5:$AJ$120,0,MATCH(V$2,Inputs!$K$4:$AJ$4,0)))+SUMPRODUCT((Inputs!$C$5:$C$120=$B4)*Inputs!$D$5:$D$120*(((Inputs!$G$5:$G$120="moeda")+(Inputs!$G$5:$G$120="acoes"))*Inputs!$B$1+((Inputs!$G$5:$G$120&lt;&gt;"moeda")*(Inputs!$G$5:$G$120&lt;&gt;"acoes")))*INDEX(Inputs!$K$5:$AJ$120,0,MATCH(V$2,Inputs!$K$4:$AJ$4,0)))+SUMPRODUCT((Inputs!$E$5:$E$120=$B4)*Inputs!$F$5:$F$120*(((Inputs!$G$5:$G$120="moeda")+(Inputs!$G$5:$G$120="acoes"))*Inputs!$B$1+((Inputs!$G$5:$G$120&lt;&gt;"moeda")*(Inputs!$G$5:$G$120&lt;&gt;"acoes")))*INDEX(Inputs!$K$5:$AJ$120,0,MATCH(V$2,Inputs!$K$4:$AJ$4,0)))))</f>
        <v>25707</v>
      </c>
      <c r="W4" s="3">
        <f>SUM(S4:V4)</f>
        <v>97690</v>
      </c>
      <c r="X4" s="6">
        <f>IF(ISNA(MATCH(X$2,Inputs!$K$4:$AJ$4,0)),NA(),IF(SUMPRODUCT((Inputs!$A$5:$A$120=$B4)*ISNUMBER(INDEX(Inputs!$K$5:$AJ$120,0,MATCH(X$2,Inputs!$K$4:$AJ$4,0))))+SUMPRODUCT((Inputs!$C$5:$C$120=$B4)*ISNUMBER(INDEX(Inputs!$K$5:$AJ$120,0,MATCH(X$2,Inputs!$K$4:$AJ$4,0))))+SUMPRODUCT((Inputs!$E$5:$E$120=$B4)*ISNUMBER(INDEX(Inputs!$K$5:$AJ$120,0,MATCH(X$2,Inputs!$K$4:$AJ$4,0))))=0,NA(),SUMPRODUCT((Inputs!$A$5:$A$120=$B4)*Inputs!$B$5:$B$120*(((Inputs!$G$5:$G$120="moeda")+(Inputs!$G$5:$G$120="acoes"))*Inputs!$B$1+((Inputs!$G$5:$G$120&lt;&gt;"moeda")*(Inputs!$G$5:$G$120&lt;&gt;"acoes")))*INDEX(Inputs!$K$5:$AJ$120,0,MATCH(X$2,Inputs!$K$4:$AJ$4,0)))+SUMPRODUCT((Inputs!$C$5:$C$120=$B4)*Inputs!$D$5:$D$120*(((Inputs!$G$5:$G$120="moeda")+(Inputs!$G$5:$G$120="acoes"))*Inputs!$B$1+((Inputs!$G$5:$G$120&lt;&gt;"moeda")*(Inputs!$G$5:$G$120&lt;&gt;"acoes")))*INDEX(Inputs!$K$5:$AJ$120,0,MATCH(X$2,Inputs!$K$4:$AJ$4,0)))+SUMPRODUCT((Inputs!$E$5:$E$120=$B4)*Inputs!$F$5:$F$120*(((Inputs!$G$5:$G$120="moeda")+(Inputs!$G$5:$G$120="acoes"))*Inputs!$B$1+((Inputs!$G$5:$G$120&lt;&gt;"moeda")*(Inputs!$G$5:$G$120&lt;&gt;"acoes")))*INDEX(Inputs!$K$5:$AJ$120,0,MATCH(X$2,Inputs!$K$4:$AJ$4,0)))))</f>
        <v>19335</v>
      </c>
      <c r="Y4" s="6">
        <f>IF(ISNA(MATCH(Y$2,Inputs!$K$4:$AJ$4,0)),NA(),IF(SUMPRODUCT((Inputs!$A$5:$A$120=$B4)*ISNUMBER(INDEX(Inputs!$K$5:$AJ$120,0,MATCH(Y$2,Inputs!$K$4:$AJ$4,0))))+SUMPRODUCT((Inputs!$C$5:$C$120=$B4)*ISNUMBER(INDEX(Inputs!$K$5:$AJ$120,0,MATCH(Y$2,Inputs!$K$4:$AJ$4,0))))+SUMPRODUCT((Inputs!$E$5:$E$120=$B4)*ISNUMBER(INDEX(Inputs!$K$5:$AJ$120,0,MATCH(Y$2,Inputs!$K$4:$AJ$4,0))))=0,NA(),SUMPRODUCT((Inputs!$A$5:$A$120=$B4)*Inputs!$B$5:$B$120*(((Inputs!$G$5:$G$120="moeda")+(Inputs!$G$5:$G$120="acoes"))*Inputs!$B$1+((Inputs!$G$5:$G$120&lt;&gt;"moeda")*(Inputs!$G$5:$G$120&lt;&gt;"acoes")))*INDEX(Inputs!$K$5:$AJ$120,0,MATCH(Y$2,Inputs!$K$4:$AJ$4,0)))+SUMPRODUCT((Inputs!$C$5:$C$120=$B4)*Inputs!$D$5:$D$120*(((Inputs!$G$5:$G$120="moeda")+(Inputs!$G$5:$G$120="acoes"))*Inputs!$B$1+((Inputs!$G$5:$G$120&lt;&gt;"moeda")*(Inputs!$G$5:$G$120&lt;&gt;"acoes")))*INDEX(Inputs!$K$5:$AJ$120,0,MATCH(Y$2,Inputs!$K$4:$AJ$4,0)))+SUMPRODUCT((Inputs!$E$5:$E$120=$B4)*Inputs!$F$5:$F$120*(((Inputs!$G$5:$G$120="moeda")+(Inputs!$G$5:$G$120="acoes"))*Inputs!$B$1+((Inputs!$G$5:$G$120&lt;&gt;"moeda")*(Inputs!$G$5:$G$120&lt;&gt;"acoes")))*INDEX(Inputs!$K$5:$AJ$120,0,MATCH(Y$2,Inputs!$K$4:$AJ$4,0)))))</f>
        <v>22496</v>
      </c>
      <c r="Z4" s="6">
        <f>IF(ISNA(MATCH(Z$2,Inputs!$K$4:$AJ$4,0)),NA(),IF(SUMPRODUCT((Inputs!$A$5:$A$120=$B4)*ISNUMBER(INDEX(Inputs!$K$5:$AJ$120,0,MATCH(Z$2,Inputs!$K$4:$AJ$4,0))))+SUMPRODUCT((Inputs!$C$5:$C$120=$B4)*ISNUMBER(INDEX(Inputs!$K$5:$AJ$120,0,MATCH(Z$2,Inputs!$K$4:$AJ$4,0))))+SUMPRODUCT((Inputs!$E$5:$E$120=$B4)*ISNUMBER(INDEX(Inputs!$K$5:$AJ$120,0,MATCH(Z$2,Inputs!$K$4:$AJ$4,0))))=0,NA(),SUMPRODUCT((Inputs!$A$5:$A$120=$B4)*Inputs!$B$5:$B$120*(((Inputs!$G$5:$G$120="moeda")+(Inputs!$G$5:$G$120="acoes"))*Inputs!$B$1+((Inputs!$G$5:$G$120&lt;&gt;"moeda")*(Inputs!$G$5:$G$120&lt;&gt;"acoes")))*INDEX(Inputs!$K$5:$AJ$120,0,MATCH(Z$2,Inputs!$K$4:$AJ$4,0)))+SUMPRODUCT((Inputs!$C$5:$C$120=$B4)*Inputs!$D$5:$D$120*(((Inputs!$G$5:$G$120="moeda")+(Inputs!$G$5:$G$120="acoes"))*Inputs!$B$1+((Inputs!$G$5:$G$120&lt;&gt;"moeda")*(Inputs!$G$5:$G$120&lt;&gt;"acoes")))*INDEX(Inputs!$K$5:$AJ$120,0,MATCH(Z$2,Inputs!$K$4:$AJ$4,0)))+SUMPRODUCT((Inputs!$E$5:$E$120=$B4)*Inputs!$F$5:$F$120*(((Inputs!$G$5:$G$120="moeda")+(Inputs!$G$5:$G$120="acoes"))*Inputs!$B$1+((Inputs!$G$5:$G$120&lt;&gt;"moeda")*(Inputs!$G$5:$G$120&lt;&gt;"acoes")))*INDEX(Inputs!$K$5:$AJ$120,0,MATCH(Z$2,Inputs!$K$4:$AJ$4,0)))))</f>
        <v>28095</v>
      </c>
      <c r="AA4" s="6">
        <f>IF(ISNA(MATCH(AA$2,Inputs!$K$4:$AJ$4,0)),NA(),IF(SUMPRODUCT((Inputs!$A$5:$A$120=$B4)*ISNUMBER(INDEX(Inputs!$K$5:$AJ$120,0,MATCH(AA$2,Inputs!$K$4:$AJ$4,0))))+SUMPRODUCT((Inputs!$C$5:$C$120=$B4)*ISNUMBER(INDEX(Inputs!$K$5:$AJ$120,0,MATCH(AA$2,Inputs!$K$4:$AJ$4,0))))+SUMPRODUCT((Inputs!$E$5:$E$120=$B4)*ISNUMBER(INDEX(Inputs!$K$5:$AJ$120,0,MATCH(AA$2,Inputs!$K$4:$AJ$4,0))))=0,NA(),SUMPRODUCT((Inputs!$A$5:$A$120=$B4)*Inputs!$B$5:$B$120*(((Inputs!$G$5:$G$120="moeda")+(Inputs!$G$5:$G$120="acoes"))*Inputs!$B$1+((Inputs!$G$5:$G$120&lt;&gt;"moeda")*(Inputs!$G$5:$G$120&lt;&gt;"acoes")))*INDEX(Inputs!$K$5:$AJ$120,0,MATCH(AA$2,Inputs!$K$4:$AJ$4,0)))+SUMPRODUCT((Inputs!$C$5:$C$120=$B4)*Inputs!$D$5:$D$120*(((Inputs!$G$5:$G$120="moeda")+(Inputs!$G$5:$G$120="acoes"))*Inputs!$B$1+((Inputs!$G$5:$G$120&lt;&gt;"moeda")*(Inputs!$G$5:$G$120&lt;&gt;"acoes")))*INDEX(Inputs!$K$5:$AJ$120,0,MATCH(AA$2,Inputs!$K$4:$AJ$4,0)))+SUMPRODUCT((Inputs!$E$5:$E$120=$B4)*Inputs!$F$5:$F$120*(((Inputs!$G$5:$G$120="moeda")+(Inputs!$G$5:$G$120="acoes"))*Inputs!$B$1+((Inputs!$G$5:$G$120&lt;&gt;"moeda")*(Inputs!$G$5:$G$120&lt;&gt;"acoes")))*INDEX(Inputs!$K$5:$AJ$120,0,MATCH(AA$2,Inputs!$K$4:$AJ$4,0)))))</f>
        <v>24901</v>
      </c>
      <c r="AB4" s="3">
        <f>SUM(X4:AA4)</f>
        <v>94827</v>
      </c>
      <c r="AC4" s="6">
        <f>IF(ISNA(MATCH(AC$2,Inputs!$K$4:$AJ$4,0)),NA(),IF(SUMPRODUCT((Inputs!$A$5:$A$120=$B4)*ISNUMBER(INDEX(Inputs!$K$5:$AJ$120,0,MATCH(AC$2,Inputs!$K$4:$AJ$4,0))))+SUMPRODUCT((Inputs!$C$5:$C$120=$B4)*ISNUMBER(INDEX(Inputs!$K$5:$AJ$120,0,MATCH(AC$2,Inputs!$K$4:$AJ$4,0))))+SUMPRODUCT((Inputs!$E$5:$E$120=$B4)*ISNUMBER(INDEX(Inputs!$K$5:$AJ$120,0,MATCH(AC$2,Inputs!$K$4:$AJ$4,0))))=0,NA(),SUMPRODUCT((Inputs!$A$5:$A$120=$B4)*Inputs!$B$5:$B$120*(((Inputs!$G$5:$G$120="moeda")+(Inputs!$G$5:$G$120="acoes"))*Inputs!$B$1+((Inputs!$G$5:$G$120&lt;&gt;"moeda")*(Inputs!$G$5:$G$120&lt;&gt;"acoes")))*INDEX(Inputs!$K$5:$AJ$120,0,MATCH(AC$2,Inputs!$K$4:$AJ$4,0)))+SUMPRODUCT((Inputs!$C$5:$C$120=$B4)*Inputs!$D$5:$D$120*(((Inputs!$G$5:$G$120="moeda")+(Inputs!$G$5:$G$120="acoes"))*Inputs!$B$1+((Inputs!$G$5:$G$120&lt;&gt;"moeda")*(Inputs!$G$5:$G$120&lt;&gt;"acoes")))*INDEX(Inputs!$K$5:$AJ$120,0,MATCH(AC$2,Inputs!$K$4:$AJ$4,0)))+SUMPRODUCT((Inputs!$E$5:$E$120=$B4)*Inputs!$F$5:$F$120*(((Inputs!$G$5:$G$120="moeda")+(Inputs!$G$5:$G$120="acoes"))*Inputs!$B$1+((Inputs!$G$5:$G$120&lt;&gt;"moeda")*(Inputs!$G$5:$G$120&lt;&gt;"acoes")))*INDEX(Inputs!$K$5:$AJ$120,0,MATCH(AC$2,Inputs!$K$4:$AJ$4,0)))))</f>
        <v>22387</v>
      </c>
      <c r="AD4" s="6">
        <f>IF(ISNA(MATCH(AD$2,Inputs!$K$4:$AJ$4,0)),NA(),IF(SUMPRODUCT((Inputs!$A$5:$A$120=$B4)*ISNUMBER(INDEX(Inputs!$K$5:$AJ$120,0,MATCH(AD$2,Inputs!$K$4:$AJ$4,0))))+SUMPRODUCT((Inputs!$C$5:$C$120=$B4)*ISNUMBER(INDEX(Inputs!$K$5:$AJ$120,0,MATCH(AD$2,Inputs!$K$4:$AJ$4,0))))+SUMPRODUCT((Inputs!$E$5:$E$120=$B4)*ISNUMBER(INDEX(Inputs!$K$5:$AJ$120,0,MATCH(AD$2,Inputs!$K$4:$AJ$4,0))))=0,NA(),SUMPRODUCT((Inputs!$A$5:$A$120=$B4)*Inputs!$B$5:$B$120*(((Inputs!$G$5:$G$120="moeda")+(Inputs!$G$5:$G$120="acoes"))*Inputs!$B$1+((Inputs!$G$5:$G$120&lt;&gt;"moeda")*(Inputs!$G$5:$G$120&lt;&gt;"acoes")))*INDEX(Inputs!$K$5:$AJ$120,0,MATCH(AD$2,Inputs!$K$4:$AJ$4,0)))+SUMPRODUCT((Inputs!$C$5:$C$120=$B4)*Inputs!$D$5:$D$120*(((Inputs!$G$5:$G$120="moeda")+(Inputs!$G$5:$G$120="acoes"))*Inputs!$B$1+((Inputs!$G$5:$G$120&lt;&gt;"moeda")*(Inputs!$G$5:$G$120&lt;&gt;"acoes")))*INDEX(Inputs!$K$5:$AJ$120,0,MATCH(AD$2,Inputs!$K$4:$AJ$4,0)))+SUMPRODUCT((Inputs!$E$5:$E$120=$B4)*Inputs!$F$5:$F$120*(((Inputs!$G$5:$G$120="moeda")+(Inputs!$G$5:$G$120="acoes"))*Inputs!$B$1+((Inputs!$G$5:$G$120&lt;&gt;"moeda")*(Inputs!$G$5:$G$120&lt;&gt;"acoes")))*INDEX(Inputs!$K$5:$AJ$120,0,MATCH(AD$2,Inputs!$K$4:$AJ$4,0)))))</f>
        <v>28236</v>
      </c>
      <c r="AE4" s="6" t="e">
        <f>IF(ISNA(MATCH(AE$2,Inputs!$K$4:$AJ$4,0)),NA(),IF(SUMPRODUCT((Inputs!$A$5:$A$120=$B4)*ISNUMBER(INDEX(Inputs!$K$5:$AJ$120,0,MATCH(AE$2,Inputs!$K$4:$AJ$4,0))))+SUMPRODUCT((Inputs!$C$5:$C$120=$B4)*ISNUMBER(INDEX(Inputs!$K$5:$AJ$120,0,MATCH(AE$2,Inputs!$K$4:$AJ$4,0))))+SUMPRODUCT((Inputs!$E$5:$E$120=$B4)*ISNUMBER(INDEX(Inputs!$K$5:$AJ$120,0,MATCH(AE$2,Inputs!$K$4:$AJ$4,0))))=0,NA(),SUMPRODUCT((Inputs!$A$5:$A$120=$B4)*Inputs!$B$5:$B$120*(((Inputs!$G$5:$G$120="moeda")+(Inputs!$G$5:$G$120="acoes"))*Inputs!$B$1+((Inputs!$G$5:$G$120&lt;&gt;"moeda")*(Inputs!$G$5:$G$120&lt;&gt;"acoes")))*INDEX(Inputs!$K$5:$AJ$120,0,MATCH(AE$2,Inputs!$K$4:$AJ$4,0)))+SUMPRODUCT((Inputs!$C$5:$C$120=$B4)*Inputs!$D$5:$D$120*(((Inputs!$G$5:$G$120="moeda")+(Inputs!$G$5:$G$120="acoes"))*Inputs!$B$1+((Inputs!$G$5:$G$120&lt;&gt;"moeda")*(Inputs!$G$5:$G$120&lt;&gt;"acoes")))*INDEX(Inputs!$K$5:$AJ$120,0,MATCH(AE$2,Inputs!$K$4:$AJ$4,0)))+SUMPRODUCT((Inputs!$E$5:$E$120=$B4)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4" s="6" t="e">
        <f>IF(ISNA(MATCH(AF$2,Inputs!$K$4:$AJ$4,0)),NA(),IF(SUMPRODUCT((Inputs!$A$5:$A$120=$B4)*ISNUMBER(INDEX(Inputs!$K$5:$AJ$120,0,MATCH(AF$2,Inputs!$K$4:$AJ$4,0))))+SUMPRODUCT((Inputs!$C$5:$C$120=$B4)*ISNUMBER(INDEX(Inputs!$K$5:$AJ$120,0,MATCH(AF$2,Inputs!$K$4:$AJ$4,0))))+SUMPRODUCT((Inputs!$E$5:$E$120=$B4)*ISNUMBER(INDEX(Inputs!$K$5:$AJ$120,0,MATCH(AF$2,Inputs!$K$4:$AJ$4,0))))=0,NA(),SUMPRODUCT((Inputs!$A$5:$A$120=$B4)*Inputs!$B$5:$B$120*(((Inputs!$G$5:$G$120="moeda")+(Inputs!$G$5:$G$120="acoes"))*Inputs!$B$1+((Inputs!$G$5:$G$120&lt;&gt;"moeda")*(Inputs!$G$5:$G$120&lt;&gt;"acoes")))*INDEX(Inputs!$K$5:$AJ$120,0,MATCH(AF$2,Inputs!$K$4:$AJ$4,0)))+SUMPRODUCT((Inputs!$C$5:$C$120=$B4)*Inputs!$D$5:$D$120*(((Inputs!$G$5:$G$120="moeda")+(Inputs!$G$5:$G$120="acoes"))*Inputs!$B$1+((Inputs!$G$5:$G$120&lt;&gt;"moeda")*(Inputs!$G$5:$G$120&lt;&gt;"acoes")))*INDEX(Inputs!$K$5:$AJ$120,0,MATCH(AF$2,Inputs!$K$4:$AJ$4,0)))+SUMPRODUCT((Inputs!$E$5:$E$120=$B4)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4" s="3" t="e">
        <f>SUM(AC4:AF4)</f>
        <v>#N/A</v>
      </c>
      <c r="AH4" s="6">
        <f>IF(ISNA(MATCH(AH$2,Inputs!$K$4:$AJ$4,0)),NA(),IF(SUMPRODUCT((Inputs!$A$5:$A$120=$B4)*ISNUMBER(INDEX(Inputs!$K$5:$AJ$120,0,MATCH(AH$2,Inputs!$K$4:$AJ$4,0))))+SUMPRODUCT((Inputs!$C$5:$C$120=$B4)*ISNUMBER(INDEX(Inputs!$K$5:$AJ$120,0,MATCH(AH$2,Inputs!$K$4:$AJ$4,0))))+SUMPRODUCT((Inputs!$E$5:$E$120=$B4)*ISNUMBER(INDEX(Inputs!$K$5:$AJ$120,0,MATCH(AH$2,Inputs!$K$4:$AJ$4,0))))=0,NA(),SUMPRODUCT((Inputs!$A$5:$A$120=$B4)*Inputs!$B$5:$B$120*(((Inputs!$G$5:$G$120="moeda")+(Inputs!$G$5:$G$120="acoes"))*Inputs!$B$1+((Inputs!$G$5:$G$120&lt;&gt;"moeda")*(Inputs!$G$5:$G$120&lt;&gt;"acoes")))*INDEX(Inputs!$K$5:$AJ$120,0,MATCH(AH$2,Inputs!$K$4:$AJ$4,0)))+SUMPRODUCT((Inputs!$C$5:$C$120=$B4)*Inputs!$D$5:$D$120*(((Inputs!$G$5:$G$120="moeda")+(Inputs!$G$5:$G$120="acoes"))*Inputs!$B$1+((Inputs!$G$5:$G$120&lt;&gt;"moeda")*(Inputs!$G$5:$G$120&lt;&gt;"acoes")))*INDEX(Inputs!$K$5:$AJ$120,0,MATCH(AH$2,Inputs!$K$4:$AJ$4,0)))+SUMPRODUCT((Inputs!$E$5:$E$120=$B4)*Inputs!$F$5:$F$120*(((Inputs!$G$5:$G$120="moeda")+(Inputs!$G$5:$G$120="acoes"))*Inputs!$B$1+((Inputs!$G$5:$G$120&lt;&gt;"moeda")*(Inputs!$G$5:$G$120&lt;&gt;"acoes")))*INDEX(Inputs!$K$5:$AJ$120,0,MATCH(AH$2,Inputs!$K$4:$AJ$4,0)))))</f>
        <v>5985</v>
      </c>
      <c r="AI4" s="6">
        <f>IF(ISNA(MATCH(AI$2,Inputs!$K$4:$AJ$4,0)),NA(),IF(SUMPRODUCT((Inputs!$A$5:$A$120=$B4)*ISNUMBER(INDEX(Inputs!$K$5:$AJ$120,0,MATCH(AI$2,Inputs!$K$4:$AJ$4,0))))+SUMPRODUCT((Inputs!$C$5:$C$120=$B4)*ISNUMBER(INDEX(Inputs!$K$5:$AJ$120,0,MATCH(AI$2,Inputs!$K$4:$AJ$4,0))))+SUMPRODUCT((Inputs!$E$5:$E$120=$B4)*ISNUMBER(INDEX(Inputs!$K$5:$AJ$120,0,MATCH(AI$2,Inputs!$K$4:$AJ$4,0))))=0,NA(),SUMPRODUCT((Inputs!$A$5:$A$120=$B4)*Inputs!$B$5:$B$120*(((Inputs!$G$5:$G$120="moeda")+(Inputs!$G$5:$G$120="acoes"))*Inputs!$B$1+((Inputs!$G$5:$G$120&lt;&gt;"moeda")*(Inputs!$G$5:$G$120&lt;&gt;"acoes")))*INDEX(Inputs!$K$5:$AJ$120,0,MATCH(AI$2,Inputs!$K$4:$AJ$4,0)))+SUMPRODUCT((Inputs!$C$5:$C$120=$B4)*Inputs!$D$5:$D$120*(((Inputs!$G$5:$G$120="moeda")+(Inputs!$G$5:$G$120="acoes"))*Inputs!$B$1+((Inputs!$G$5:$G$120&lt;&gt;"moeda")*(Inputs!$G$5:$G$120&lt;&gt;"acoes")))*INDEX(Inputs!$K$5:$AJ$120,0,MATCH(AI$2,Inputs!$K$4:$AJ$4,0)))+SUMPRODUCT((Inputs!$E$5:$E$120=$B4)*Inputs!$F$5:$F$120*(((Inputs!$G$5:$G$120="moeda")+(Inputs!$G$5:$G$120="acoes"))*Inputs!$B$1+((Inputs!$G$5:$G$120&lt;&gt;"moeda")*(Inputs!$G$5:$G$120&lt;&gt;"acoes")))*INDEX(Inputs!$K$5:$AJ$120,0,MATCH(AI$2,Inputs!$K$4:$AJ$4,0)))))</f>
        <v>6036</v>
      </c>
      <c r="AJ4" s="6">
        <f>IF(ISNA(MATCH(AJ$2,Inputs!$K$4:$AJ$4,0)),NA(),IF(SUMPRODUCT((Inputs!$A$5:$A$120=$B4)*ISNUMBER(INDEX(Inputs!$K$5:$AJ$120,0,MATCH(AJ$2,Inputs!$K$4:$AJ$4,0))))+SUMPRODUCT((Inputs!$C$5:$C$120=$B4)*ISNUMBER(INDEX(Inputs!$K$5:$AJ$120,0,MATCH(AJ$2,Inputs!$K$4:$AJ$4,0))))+SUMPRODUCT((Inputs!$E$5:$E$120=$B4)*ISNUMBER(INDEX(Inputs!$K$5:$AJ$120,0,MATCH(AJ$2,Inputs!$K$4:$AJ$4,0))))=0,NA(),SUMPRODUCT((Inputs!$A$5:$A$120=$B4)*Inputs!$B$5:$B$120*(((Inputs!$G$5:$G$120="moeda")+(Inputs!$G$5:$G$120="acoes"))*Inputs!$B$1+((Inputs!$G$5:$G$120&lt;&gt;"moeda")*(Inputs!$G$5:$G$120&lt;&gt;"acoes")))*INDEX(Inputs!$K$5:$AJ$120,0,MATCH(AJ$2,Inputs!$K$4:$AJ$4,0)))+SUMPRODUCT((Inputs!$C$5:$C$120=$B4)*Inputs!$D$5:$D$120*(((Inputs!$G$5:$G$120="moeda")+(Inputs!$G$5:$G$120="acoes"))*Inputs!$B$1+((Inputs!$G$5:$G$120&lt;&gt;"moeda")*(Inputs!$G$5:$G$120&lt;&gt;"acoes")))*INDEX(Inputs!$K$5:$AJ$120,0,MATCH(AJ$2,Inputs!$K$4:$AJ$4,0)))+SUMPRODUCT((Inputs!$E$5:$E$120=$B4)*Inputs!$F$5:$F$120*(((Inputs!$G$5:$G$120="moeda")+(Inputs!$G$5:$G$120="acoes"))*Inputs!$B$1+((Inputs!$G$5:$G$120&lt;&gt;"moeda")*(Inputs!$G$5:$G$120&lt;&gt;"acoes")))*INDEX(Inputs!$K$5:$AJ$120,0,MATCH(AJ$2,Inputs!$K$4:$AJ$4,0)))))</f>
        <v>8771</v>
      </c>
      <c r="AK4" s="6">
        <f>IF(ISNA(MATCH(AK$2,Inputs!$K$4:$AJ$4,0)),NA(),IF(SUMPRODUCT((Inputs!$A$5:$A$120=$B4)*ISNUMBER(INDEX(Inputs!$K$5:$AJ$120,0,MATCH(AK$2,Inputs!$K$4:$AJ$4,0))))+SUMPRODUCT((Inputs!$C$5:$C$120=$B4)*ISNUMBER(INDEX(Inputs!$K$5:$AJ$120,0,MATCH(AK$2,Inputs!$K$4:$AJ$4,0))))+SUMPRODUCT((Inputs!$E$5:$E$120=$B4)*ISNUMBER(INDEX(Inputs!$K$5:$AJ$120,0,MATCH(AK$2,Inputs!$K$4:$AJ$4,0))))=0,NA(),SUMPRODUCT((Inputs!$A$5:$A$120=$B4)*Inputs!$B$5:$B$120*(((Inputs!$G$5:$G$120="moeda")+(Inputs!$G$5:$G$120="acoes"))*Inputs!$B$1+((Inputs!$G$5:$G$120&lt;&gt;"moeda")*(Inputs!$G$5:$G$120&lt;&gt;"acoes")))*INDEX(Inputs!$K$5:$AJ$120,0,MATCH(AK$2,Inputs!$K$4:$AJ$4,0)))+SUMPRODUCT((Inputs!$C$5:$C$120=$B4)*Inputs!$D$5:$D$120*(((Inputs!$G$5:$G$120="moeda")+(Inputs!$G$5:$G$120="acoes"))*Inputs!$B$1+((Inputs!$G$5:$G$120&lt;&gt;"moeda")*(Inputs!$G$5:$G$120&lt;&gt;"acoes")))*INDEX(Inputs!$K$5:$AJ$120,0,MATCH(AK$2,Inputs!$K$4:$AJ$4,0)))+SUMPRODUCT((Inputs!$E$5:$E$120=$B4)*Inputs!$F$5:$F$120*(((Inputs!$G$5:$G$120="moeda")+(Inputs!$G$5:$G$120="acoes"))*Inputs!$B$1+((Inputs!$G$5:$G$120&lt;&gt;"moeda")*(Inputs!$G$5:$G$120&lt;&gt;"acoes")))*INDEX(Inputs!$K$5:$AJ$120,0,MATCH(AK$2,Inputs!$K$4:$AJ$4,0)))))</f>
        <v>10744</v>
      </c>
      <c r="AL4" s="3">
        <f>SUM(AH4:AK4)</f>
        <v>31536</v>
      </c>
    </row>
    <row r="5">
      <c r="B5" s="46" t="n">
        <v>2</v>
      </c>
      <c r="C5" s="24" t="inlineStr">
        <is>
          <t>COGS (cash)</t>
        </is>
      </c>
      <c r="D5" s="6">
        <f>IF(ISNA(MATCH(D$2,Inputs!$K$4:$AJ$4,0)),NA(),IF(SUMPRODUCT((Inputs!$A$5:$A$120=$B5)*ISNUMBER(INDEX(Inputs!$K$5:$AJ$120,0,MATCH(D$2,Inputs!$K$4:$AJ$4,0))))+SUMPRODUCT((Inputs!$C$5:$C$120=$B5)*ISNUMBER(INDEX(Inputs!$K$5:$AJ$120,0,MATCH(D$2,Inputs!$K$4:$AJ$4,0))))+SUMPRODUCT((Inputs!$E$5:$E$120=$B5)*ISNUMBER(INDEX(Inputs!$K$5:$AJ$120,0,MATCH(D$2,Inputs!$K$4:$AJ$4,0))))=0,NA(),SUMPRODUCT((Inputs!$A$5:$A$120=$B5)*Inputs!$B$5:$B$120*(((Inputs!$G$5:$G$120="moeda")+(Inputs!$G$5:$G$120="acoes"))*Inputs!$B$1+((Inputs!$G$5:$G$120&lt;&gt;"moeda")*(Inputs!$G$5:$G$120&lt;&gt;"acoes")))*INDEX(Inputs!$K$5:$AJ$120,0,MATCH(D$2,Inputs!$K$4:$AJ$4,0)))+SUMPRODUCT((Inputs!$C$5:$C$120=$B5)*Inputs!$D$5:$D$120*(((Inputs!$G$5:$G$120="moeda")+(Inputs!$G$5:$G$120="acoes"))*Inputs!$B$1+((Inputs!$G$5:$G$120&lt;&gt;"moeda")*(Inputs!$G$5:$G$120&lt;&gt;"acoes")))*INDEX(Inputs!$K$5:$AJ$120,0,MATCH(D$2,Inputs!$K$4:$AJ$4,0)))+SUMPRODUCT((Inputs!$E$5:$E$120=$B5)*Inputs!$F$5:$F$120*(((Inputs!$G$5:$G$120="moeda")+(Inputs!$G$5:$G$120="acoes"))*Inputs!$B$1+((Inputs!$G$5:$G$120&lt;&gt;"moeda")*(Inputs!$G$5:$G$120&lt;&gt;"acoes")))*INDEX(Inputs!$K$5:$AJ$120,0,MATCH(D$2,Inputs!$K$4:$AJ$4,0)))))</f>
        <v>-8174</v>
      </c>
      <c r="E5" s="6">
        <f>IF(ISNA(MATCH(E$2,Inputs!$K$4:$AJ$4,0)),NA(),IF(SUMPRODUCT((Inputs!$A$5:$A$120=$B5)*ISNUMBER(INDEX(Inputs!$K$5:$AJ$120,0,MATCH(E$2,Inputs!$K$4:$AJ$4,0))))+SUMPRODUCT((Inputs!$C$5:$C$120=$B5)*ISNUMBER(INDEX(Inputs!$K$5:$AJ$120,0,MATCH(E$2,Inputs!$K$4:$AJ$4,0))))+SUMPRODUCT((Inputs!$E$5:$E$120=$B5)*ISNUMBER(INDEX(Inputs!$K$5:$AJ$120,0,MATCH(E$2,Inputs!$K$4:$AJ$4,0))))=0,NA(),SUMPRODUCT((Inputs!$A$5:$A$120=$B5)*Inputs!$B$5:$B$120*(((Inputs!$G$5:$G$120="moeda")+(Inputs!$G$5:$G$120="acoes"))*Inputs!$B$1+((Inputs!$G$5:$G$120&lt;&gt;"moeda")*(Inputs!$G$5:$G$120&lt;&gt;"acoes")))*INDEX(Inputs!$K$5:$AJ$120,0,MATCH(E$2,Inputs!$K$4:$AJ$4,0)))+SUMPRODUCT((Inputs!$C$5:$C$120=$B5)*Inputs!$D$5:$D$120*(((Inputs!$G$5:$G$120="moeda")+(Inputs!$G$5:$G$120="acoes"))*Inputs!$B$1+((Inputs!$G$5:$G$120&lt;&gt;"moeda")*(Inputs!$G$5:$G$120&lt;&gt;"acoes")))*INDEX(Inputs!$K$5:$AJ$120,0,MATCH(E$2,Inputs!$K$4:$AJ$4,0)))+SUMPRODUCT((Inputs!$E$5:$E$120=$B5)*Inputs!$F$5:$F$120*(((Inputs!$G$5:$G$120="moeda")+(Inputs!$G$5:$G$120="acoes"))*Inputs!$B$1+((Inputs!$G$5:$G$120&lt;&gt;"moeda")*(Inputs!$G$5:$G$120&lt;&gt;"acoes")))*INDEX(Inputs!$K$5:$AJ$120,0,MATCH(E$2,Inputs!$K$4:$AJ$4,0)))))</f>
        <v>-9074</v>
      </c>
      <c r="F5" s="6">
        <f>IF(ISNA(MATCH(F$2,Inputs!$K$4:$AJ$4,0)),NA(),IF(SUMPRODUCT((Inputs!$A$5:$A$120=$B5)*ISNUMBER(INDEX(Inputs!$K$5:$AJ$120,0,MATCH(F$2,Inputs!$K$4:$AJ$4,0))))+SUMPRODUCT((Inputs!$C$5:$C$120=$B5)*ISNUMBER(INDEX(Inputs!$K$5:$AJ$120,0,MATCH(F$2,Inputs!$K$4:$AJ$4,0))))+SUMPRODUCT((Inputs!$E$5:$E$120=$B5)*ISNUMBER(INDEX(Inputs!$K$5:$AJ$120,0,MATCH(F$2,Inputs!$K$4:$AJ$4,0))))=0,NA(),SUMPRODUCT((Inputs!$A$5:$A$120=$B5)*Inputs!$B$5:$B$120*(((Inputs!$G$5:$G$120="moeda")+(Inputs!$G$5:$G$120="acoes"))*Inputs!$B$1+((Inputs!$G$5:$G$120&lt;&gt;"moeda")*(Inputs!$G$5:$G$120&lt;&gt;"acoes")))*INDEX(Inputs!$K$5:$AJ$120,0,MATCH(F$2,Inputs!$K$4:$AJ$4,0)))+SUMPRODUCT((Inputs!$C$5:$C$120=$B5)*Inputs!$D$5:$D$120*(((Inputs!$G$5:$G$120="moeda")+(Inputs!$G$5:$G$120="acoes"))*Inputs!$B$1+((Inputs!$G$5:$G$120&lt;&gt;"moeda")*(Inputs!$G$5:$G$120&lt;&gt;"acoes")))*INDEX(Inputs!$K$5:$AJ$120,0,MATCH(F$2,Inputs!$K$4:$AJ$4,0)))+SUMPRODUCT((Inputs!$E$5:$E$120=$B5)*Inputs!$F$5:$F$120*(((Inputs!$G$5:$G$120="moeda")+(Inputs!$G$5:$G$120="acoes"))*Inputs!$B$1+((Inputs!$G$5:$G$120&lt;&gt;"moeda")*(Inputs!$G$5:$G$120&lt;&gt;"acoes")))*INDEX(Inputs!$K$5:$AJ$120,0,MATCH(F$2,Inputs!$K$4:$AJ$4,0)))))</f>
        <v>-10097</v>
      </c>
      <c r="G5" s="6">
        <f>IF(ISNA(MATCH(G$2,Inputs!$K$4:$AJ$4,0)),NA(),IF(SUMPRODUCT((Inputs!$A$5:$A$120=$B5)*ISNUMBER(INDEX(Inputs!$K$5:$AJ$120,0,MATCH(G$2,Inputs!$K$4:$AJ$4,0))))+SUMPRODUCT((Inputs!$C$5:$C$120=$B5)*ISNUMBER(INDEX(Inputs!$K$5:$AJ$120,0,MATCH(G$2,Inputs!$K$4:$AJ$4,0))))+SUMPRODUCT((Inputs!$E$5:$E$120=$B5)*ISNUMBER(INDEX(Inputs!$K$5:$AJ$120,0,MATCH(G$2,Inputs!$K$4:$AJ$4,0))))=0,NA(),SUMPRODUCT((Inputs!$A$5:$A$120=$B5)*Inputs!$B$5:$B$120*(((Inputs!$G$5:$G$120="moeda")+(Inputs!$G$5:$G$120="acoes"))*Inputs!$B$1+((Inputs!$G$5:$G$120&lt;&gt;"moeda")*(Inputs!$G$5:$G$120&lt;&gt;"acoes")))*INDEX(Inputs!$K$5:$AJ$120,0,MATCH(G$2,Inputs!$K$4:$AJ$4,0)))+SUMPRODUCT((Inputs!$C$5:$C$120=$B5)*Inputs!$D$5:$D$120*(((Inputs!$G$5:$G$120="moeda")+(Inputs!$G$5:$G$120="acoes"))*Inputs!$B$1+((Inputs!$G$5:$G$120&lt;&gt;"moeda")*(Inputs!$G$5:$G$120&lt;&gt;"acoes")))*INDEX(Inputs!$K$5:$AJ$120,0,MATCH(G$2,Inputs!$K$4:$AJ$4,0)))+SUMPRODUCT((Inputs!$E$5:$E$120=$B5)*Inputs!$F$5:$F$120*(((Inputs!$G$5:$G$120="moeda")+(Inputs!$G$5:$G$120="acoes"))*Inputs!$B$1+((Inputs!$G$5:$G$120&lt;&gt;"moeda")*(Inputs!$G$5:$G$120&lt;&gt;"acoes")))*INDEX(Inputs!$K$5:$AJ$120,0,MATCH(G$2,Inputs!$K$4:$AJ$4,0)))))</f>
        <v>-12872</v>
      </c>
      <c r="H5" s="3">
        <f>SUM(D5:G5)</f>
        <v>-40217</v>
      </c>
      <c r="I5" s="6">
        <f>IF(ISNA(MATCH(I$2,Inputs!$K$4:$AJ$4,0)),NA(),IF(SUMPRODUCT((Inputs!$A$5:$A$120=$B5)*ISNUMBER(INDEX(Inputs!$K$5:$AJ$120,0,MATCH(I$2,Inputs!$K$4:$AJ$4,0))))+SUMPRODUCT((Inputs!$C$5:$C$120=$B5)*ISNUMBER(INDEX(Inputs!$K$5:$AJ$120,0,MATCH(I$2,Inputs!$K$4:$AJ$4,0))))+SUMPRODUCT((Inputs!$E$5:$E$120=$B5)*ISNUMBER(INDEX(Inputs!$K$5:$AJ$120,0,MATCH(I$2,Inputs!$K$4:$AJ$4,0))))=0,NA(),SUMPRODUCT((Inputs!$A$5:$A$120=$B5)*Inputs!$B$5:$B$120*(((Inputs!$G$5:$G$120="moeda")+(Inputs!$G$5:$G$120="acoes"))*Inputs!$B$1+((Inputs!$G$5:$G$120&lt;&gt;"moeda")*(Inputs!$G$5:$G$120&lt;&gt;"acoes")))*INDEX(Inputs!$K$5:$AJ$120,0,MATCH(I$2,Inputs!$K$4:$AJ$4,0)))+SUMPRODUCT((Inputs!$C$5:$C$120=$B5)*Inputs!$D$5:$D$120*(((Inputs!$G$5:$G$120="moeda")+(Inputs!$G$5:$G$120="acoes"))*Inputs!$B$1+((Inputs!$G$5:$G$120&lt;&gt;"moeda")*(Inputs!$G$5:$G$120&lt;&gt;"acoes")))*INDEX(Inputs!$K$5:$AJ$120,0,MATCH(I$2,Inputs!$K$4:$AJ$4,0)))+SUMPRODUCT((Inputs!$E$5:$E$120=$B5)*Inputs!$F$5:$F$120*(((Inputs!$G$5:$G$120="moeda")+(Inputs!$G$5:$G$120="acoes"))*Inputs!$B$1+((Inputs!$G$5:$G$120&lt;&gt;"moeda")*(Inputs!$G$5:$G$120&lt;&gt;"acoes")))*INDEX(Inputs!$K$5:$AJ$120,0,MATCH(I$2,Inputs!$K$4:$AJ$4,0)))))</f>
        <v>-13296</v>
      </c>
      <c r="J5" s="6">
        <f>IF(ISNA(MATCH(J$2,Inputs!$K$4:$AJ$4,0)),NA(),IF(SUMPRODUCT((Inputs!$A$5:$A$120=$B5)*ISNUMBER(INDEX(Inputs!$K$5:$AJ$120,0,MATCH(J$2,Inputs!$K$4:$AJ$4,0))))+SUMPRODUCT((Inputs!$C$5:$C$120=$B5)*ISNUMBER(INDEX(Inputs!$K$5:$AJ$120,0,MATCH(J$2,Inputs!$K$4:$AJ$4,0))))+SUMPRODUCT((Inputs!$E$5:$E$120=$B5)*ISNUMBER(INDEX(Inputs!$K$5:$AJ$120,0,MATCH(J$2,Inputs!$K$4:$AJ$4,0))))=0,NA(),SUMPRODUCT((Inputs!$A$5:$A$120=$B5)*Inputs!$B$5:$B$120*(((Inputs!$G$5:$G$120="moeda")+(Inputs!$G$5:$G$120="acoes"))*Inputs!$B$1+((Inputs!$G$5:$G$120&lt;&gt;"moeda")*(Inputs!$G$5:$G$120&lt;&gt;"acoes")))*INDEX(Inputs!$K$5:$AJ$120,0,MATCH(J$2,Inputs!$K$4:$AJ$4,0)))+SUMPRODUCT((Inputs!$C$5:$C$120=$B5)*Inputs!$D$5:$D$120*(((Inputs!$G$5:$G$120="moeda")+(Inputs!$G$5:$G$120="acoes"))*Inputs!$B$1+((Inputs!$G$5:$G$120&lt;&gt;"moeda")*(Inputs!$G$5:$G$120&lt;&gt;"acoes")))*INDEX(Inputs!$K$5:$AJ$120,0,MATCH(J$2,Inputs!$K$4:$AJ$4,0)))+SUMPRODUCT((Inputs!$E$5:$E$120=$B5)*Inputs!$F$5:$F$120*(((Inputs!$G$5:$G$120="moeda")+(Inputs!$G$5:$G$120="acoes"))*Inputs!$B$1+((Inputs!$G$5:$G$120&lt;&gt;"moeda")*(Inputs!$G$5:$G$120&lt;&gt;"acoes")))*INDEX(Inputs!$K$5:$AJ$120,0,MATCH(J$2,Inputs!$K$4:$AJ$4,0)))))</f>
        <v>-12700</v>
      </c>
      <c r="K5" s="6">
        <f>IF(ISNA(MATCH(K$2,Inputs!$K$4:$AJ$4,0)),NA(),IF(SUMPRODUCT((Inputs!$A$5:$A$120=$B5)*ISNUMBER(INDEX(Inputs!$K$5:$AJ$120,0,MATCH(K$2,Inputs!$K$4:$AJ$4,0))))+SUMPRODUCT((Inputs!$C$5:$C$120=$B5)*ISNUMBER(INDEX(Inputs!$K$5:$AJ$120,0,MATCH(K$2,Inputs!$K$4:$AJ$4,0))))+SUMPRODUCT((Inputs!$E$5:$E$120=$B5)*ISNUMBER(INDEX(Inputs!$K$5:$AJ$120,0,MATCH(K$2,Inputs!$K$4:$AJ$4,0))))=0,NA(),SUMPRODUCT((Inputs!$A$5:$A$120=$B5)*Inputs!$B$5:$B$120*(((Inputs!$G$5:$G$120="moeda")+(Inputs!$G$5:$G$120="acoes"))*Inputs!$B$1+((Inputs!$G$5:$G$120&lt;&gt;"moeda")*(Inputs!$G$5:$G$120&lt;&gt;"acoes")))*INDEX(Inputs!$K$5:$AJ$120,0,MATCH(K$2,Inputs!$K$4:$AJ$4,0)))+SUMPRODUCT((Inputs!$C$5:$C$120=$B5)*Inputs!$D$5:$D$120*(((Inputs!$G$5:$G$120="moeda")+(Inputs!$G$5:$G$120="acoes"))*Inputs!$B$1+((Inputs!$G$5:$G$120&lt;&gt;"moeda")*(Inputs!$G$5:$G$120&lt;&gt;"acoes")))*INDEX(Inputs!$K$5:$AJ$120,0,MATCH(K$2,Inputs!$K$4:$AJ$4,0)))+SUMPRODUCT((Inputs!$E$5:$E$120=$B5)*Inputs!$F$5:$F$120*(((Inputs!$G$5:$G$120="moeda")+(Inputs!$G$5:$G$120="acoes"))*Inputs!$B$1+((Inputs!$G$5:$G$120&lt;&gt;"moeda")*(Inputs!$G$5:$G$120&lt;&gt;"acoes")))*INDEX(Inputs!$K$5:$AJ$120,0,MATCH(K$2,Inputs!$K$4:$AJ$4,0)))))</f>
        <v>-16072</v>
      </c>
      <c r="L5" s="6">
        <f>IF(ISNA(MATCH(L$2,Inputs!$K$4:$AJ$4,0)),NA(),IF(SUMPRODUCT((Inputs!$A$5:$A$120=$B5)*ISNUMBER(INDEX(Inputs!$K$5:$AJ$120,0,MATCH(L$2,Inputs!$K$4:$AJ$4,0))))+SUMPRODUCT((Inputs!$C$5:$C$120=$B5)*ISNUMBER(INDEX(Inputs!$K$5:$AJ$120,0,MATCH(L$2,Inputs!$K$4:$AJ$4,0))))+SUMPRODUCT((Inputs!$E$5:$E$120=$B5)*ISNUMBER(INDEX(Inputs!$K$5:$AJ$120,0,MATCH(L$2,Inputs!$K$4:$AJ$4,0))))=0,NA(),SUMPRODUCT((Inputs!$A$5:$A$120=$B5)*Inputs!$B$5:$B$120*(((Inputs!$G$5:$G$120="moeda")+(Inputs!$G$5:$G$120="acoes"))*Inputs!$B$1+((Inputs!$G$5:$G$120&lt;&gt;"moeda")*(Inputs!$G$5:$G$120&lt;&gt;"acoes")))*INDEX(Inputs!$K$5:$AJ$120,0,MATCH(L$2,Inputs!$K$4:$AJ$4,0)))+SUMPRODUCT((Inputs!$C$5:$C$120=$B5)*Inputs!$D$5:$D$120*(((Inputs!$G$5:$G$120="moeda")+(Inputs!$G$5:$G$120="acoes"))*Inputs!$B$1+((Inputs!$G$5:$G$120&lt;&gt;"moeda")*(Inputs!$G$5:$G$120&lt;&gt;"acoes")))*INDEX(Inputs!$K$5:$AJ$120,0,MATCH(L$2,Inputs!$K$4:$AJ$4,0)))+SUMPRODUCT((Inputs!$E$5:$E$120=$B5)*Inputs!$F$5:$F$120*(((Inputs!$G$5:$G$120="moeda")+(Inputs!$G$5:$G$120="acoes"))*Inputs!$B$1+((Inputs!$G$5:$G$120&lt;&gt;"moeda")*(Inputs!$G$5:$G$120&lt;&gt;"acoes")))*INDEX(Inputs!$K$5:$AJ$120,0,MATCH(L$2,Inputs!$K$4:$AJ$4,0)))))</f>
        <v>-18541</v>
      </c>
      <c r="M5" s="3">
        <f>SUM(I5:L5)</f>
        <v>-60609</v>
      </c>
      <c r="N5" s="6">
        <f>IF(ISNA(MATCH(N$2,Inputs!$K$4:$AJ$4,0)),NA(),IF(SUMPRODUCT((Inputs!$A$5:$A$120=$B5)*ISNUMBER(INDEX(Inputs!$K$5:$AJ$120,0,MATCH(N$2,Inputs!$K$4:$AJ$4,0))))+SUMPRODUCT((Inputs!$C$5:$C$120=$B5)*ISNUMBER(INDEX(Inputs!$K$5:$AJ$120,0,MATCH(N$2,Inputs!$K$4:$AJ$4,0))))+SUMPRODUCT((Inputs!$E$5:$E$120=$B5)*ISNUMBER(INDEX(Inputs!$K$5:$AJ$120,0,MATCH(N$2,Inputs!$K$4:$AJ$4,0))))=0,NA(),SUMPRODUCT((Inputs!$A$5:$A$120=$B5)*Inputs!$B$5:$B$120*(((Inputs!$G$5:$G$120="moeda")+(Inputs!$G$5:$G$120="acoes"))*Inputs!$B$1+((Inputs!$G$5:$G$120&lt;&gt;"moeda")*(Inputs!$G$5:$G$120&lt;&gt;"acoes")))*INDEX(Inputs!$K$5:$AJ$120,0,MATCH(N$2,Inputs!$K$4:$AJ$4,0)))+SUMPRODUCT((Inputs!$C$5:$C$120=$B5)*Inputs!$D$5:$D$120*(((Inputs!$G$5:$G$120="moeda")+(Inputs!$G$5:$G$120="acoes"))*Inputs!$B$1+((Inputs!$G$5:$G$120&lt;&gt;"moeda")*(Inputs!$G$5:$G$120&lt;&gt;"acoes")))*INDEX(Inputs!$K$5:$AJ$120,0,MATCH(N$2,Inputs!$K$4:$AJ$4,0)))+SUMPRODUCT((Inputs!$E$5:$E$120=$B5)*Inputs!$F$5:$F$120*(((Inputs!$G$5:$G$120="moeda")+(Inputs!$G$5:$G$120="acoes"))*Inputs!$B$1+((Inputs!$G$5:$G$120&lt;&gt;"moeda")*(Inputs!$G$5:$G$120&lt;&gt;"acoes")))*INDEX(Inputs!$K$5:$AJ$120,0,MATCH(N$2,Inputs!$K$4:$AJ$4,0)))))</f>
        <v>-18818</v>
      </c>
      <c r="O5" s="6">
        <f>IF(ISNA(MATCH(O$2,Inputs!$K$4:$AJ$4,0)),NA(),IF(SUMPRODUCT((Inputs!$A$5:$A$120=$B5)*ISNUMBER(INDEX(Inputs!$K$5:$AJ$120,0,MATCH(O$2,Inputs!$K$4:$AJ$4,0))))+SUMPRODUCT((Inputs!$C$5:$C$120=$B5)*ISNUMBER(INDEX(Inputs!$K$5:$AJ$120,0,MATCH(O$2,Inputs!$K$4:$AJ$4,0))))+SUMPRODUCT((Inputs!$E$5:$E$120=$B5)*ISNUMBER(INDEX(Inputs!$K$5:$AJ$120,0,MATCH(O$2,Inputs!$K$4:$AJ$4,0))))=0,NA(),SUMPRODUCT((Inputs!$A$5:$A$120=$B5)*Inputs!$B$5:$B$120*(((Inputs!$G$5:$G$120="moeda")+(Inputs!$G$5:$G$120="acoes"))*Inputs!$B$1+((Inputs!$G$5:$G$120&lt;&gt;"moeda")*(Inputs!$G$5:$G$120&lt;&gt;"acoes")))*INDEX(Inputs!$K$5:$AJ$120,0,MATCH(O$2,Inputs!$K$4:$AJ$4,0)))+SUMPRODUCT((Inputs!$C$5:$C$120=$B5)*Inputs!$D$5:$D$120*(((Inputs!$G$5:$G$120="moeda")+(Inputs!$G$5:$G$120="acoes"))*Inputs!$B$1+((Inputs!$G$5:$G$120&lt;&gt;"moeda")*(Inputs!$G$5:$G$120&lt;&gt;"acoes")))*INDEX(Inputs!$K$5:$AJ$120,0,MATCH(O$2,Inputs!$K$4:$AJ$4,0)))+SUMPRODUCT((Inputs!$E$5:$E$120=$B5)*Inputs!$F$5:$F$120*(((Inputs!$G$5:$G$120="moeda")+(Inputs!$G$5:$G$120="acoes"))*Inputs!$B$1+((Inputs!$G$5:$G$120&lt;&gt;"moeda")*(Inputs!$G$5:$G$120&lt;&gt;"acoes")))*INDEX(Inputs!$K$5:$AJ$120,0,MATCH(O$2,Inputs!$K$4:$AJ$4,0)))))</f>
        <v>-20394</v>
      </c>
      <c r="P5" s="6">
        <f>IF(ISNA(MATCH(P$2,Inputs!$K$4:$AJ$4,0)),NA(),IF(SUMPRODUCT((Inputs!$A$5:$A$120=$B5)*ISNUMBER(INDEX(Inputs!$K$5:$AJ$120,0,MATCH(P$2,Inputs!$K$4:$AJ$4,0))))+SUMPRODUCT((Inputs!$C$5:$C$120=$B5)*ISNUMBER(INDEX(Inputs!$K$5:$AJ$120,0,MATCH(P$2,Inputs!$K$4:$AJ$4,0))))+SUMPRODUCT((Inputs!$E$5:$E$120=$B5)*ISNUMBER(INDEX(Inputs!$K$5:$AJ$120,0,MATCH(P$2,Inputs!$K$4:$AJ$4,0))))=0,NA(),SUMPRODUCT((Inputs!$A$5:$A$120=$B5)*Inputs!$B$5:$B$120*(((Inputs!$G$5:$G$120="moeda")+(Inputs!$G$5:$G$120="acoes"))*Inputs!$B$1+((Inputs!$G$5:$G$120&lt;&gt;"moeda")*(Inputs!$G$5:$G$120&lt;&gt;"acoes")))*INDEX(Inputs!$K$5:$AJ$120,0,MATCH(P$2,Inputs!$K$4:$AJ$4,0)))+SUMPRODUCT((Inputs!$C$5:$C$120=$B5)*Inputs!$D$5:$D$120*(((Inputs!$G$5:$G$120="moeda")+(Inputs!$G$5:$G$120="acoes"))*Inputs!$B$1+((Inputs!$G$5:$G$120&lt;&gt;"moeda")*(Inputs!$G$5:$G$120&lt;&gt;"acoes")))*INDEX(Inputs!$K$5:$AJ$120,0,MATCH(P$2,Inputs!$K$4:$AJ$4,0)))+SUMPRODUCT((Inputs!$E$5:$E$120=$B5)*Inputs!$F$5:$F$120*(((Inputs!$G$5:$G$120="moeda")+(Inputs!$G$5:$G$120="acoes"))*Inputs!$B$1+((Inputs!$G$5:$G$120&lt;&gt;"moeda")*(Inputs!$G$5:$G$120&lt;&gt;"acoes")))*INDEX(Inputs!$K$5:$AJ$120,0,MATCH(P$2,Inputs!$K$4:$AJ$4,0)))))</f>
        <v>-19172</v>
      </c>
      <c r="Q5" s="6">
        <f>IF(ISNA(MATCH(Q$2,Inputs!$K$4:$AJ$4,0)),NA(),IF(SUMPRODUCT((Inputs!$A$5:$A$120=$B5)*ISNUMBER(INDEX(Inputs!$K$5:$AJ$120,0,MATCH(Q$2,Inputs!$K$4:$AJ$4,0))))+SUMPRODUCT((Inputs!$C$5:$C$120=$B5)*ISNUMBER(INDEX(Inputs!$K$5:$AJ$120,0,MATCH(Q$2,Inputs!$K$4:$AJ$4,0))))+SUMPRODUCT((Inputs!$E$5:$E$120=$B5)*ISNUMBER(INDEX(Inputs!$K$5:$AJ$120,0,MATCH(Q$2,Inputs!$K$4:$AJ$4,0))))=0,NA(),SUMPRODUCT((Inputs!$A$5:$A$120=$B5)*Inputs!$B$5:$B$120*(((Inputs!$G$5:$G$120="moeda")+(Inputs!$G$5:$G$120="acoes"))*Inputs!$B$1+((Inputs!$G$5:$G$120&lt;&gt;"moeda")*(Inputs!$G$5:$G$120&lt;&gt;"acoes")))*INDEX(Inputs!$K$5:$AJ$120,0,MATCH(Q$2,Inputs!$K$4:$AJ$4,0)))+SUMPRODUCT((Inputs!$C$5:$C$120=$B5)*Inputs!$D$5:$D$120*(((Inputs!$G$5:$G$120="moeda")+(Inputs!$G$5:$G$120="acoes"))*Inputs!$B$1+((Inputs!$G$5:$G$120&lt;&gt;"moeda")*(Inputs!$G$5:$G$120&lt;&gt;"acoes")))*INDEX(Inputs!$K$5:$AJ$120,0,MATCH(Q$2,Inputs!$K$4:$AJ$4,0)))+SUMPRODUCT((Inputs!$E$5:$E$120=$B5)*Inputs!$F$5:$F$120*(((Inputs!$G$5:$G$120="moeda")+(Inputs!$G$5:$G$120="acoes"))*Inputs!$B$1+((Inputs!$G$5:$G$120&lt;&gt;"moeda")*(Inputs!$G$5:$G$120&lt;&gt;"acoes")))*INDEX(Inputs!$K$5:$AJ$120,0,MATCH(Q$2,Inputs!$K$4:$AJ$4,0)))))</f>
        <v>-20729</v>
      </c>
      <c r="R5" s="3">
        <f>SUM(N5:Q5)</f>
        <v>-79113</v>
      </c>
      <c r="S5" s="6">
        <f>IF(ISNA(MATCH(S$2,Inputs!$K$4:$AJ$4,0)),NA(),IF(SUMPRODUCT((Inputs!$A$5:$A$120=$B5)*ISNUMBER(INDEX(Inputs!$K$5:$AJ$120,0,MATCH(S$2,Inputs!$K$4:$AJ$4,0))))+SUMPRODUCT((Inputs!$C$5:$C$120=$B5)*ISNUMBER(INDEX(Inputs!$K$5:$AJ$120,0,MATCH(S$2,Inputs!$K$4:$AJ$4,0))))+SUMPRODUCT((Inputs!$E$5:$E$120=$B5)*ISNUMBER(INDEX(Inputs!$K$5:$AJ$120,0,MATCH(S$2,Inputs!$K$4:$AJ$4,0))))=0,NA(),SUMPRODUCT((Inputs!$A$5:$A$120=$B5)*Inputs!$B$5:$B$120*(((Inputs!$G$5:$G$120="moeda")+(Inputs!$G$5:$G$120="acoes"))*Inputs!$B$1+((Inputs!$G$5:$G$120&lt;&gt;"moeda")*(Inputs!$G$5:$G$120&lt;&gt;"acoes")))*INDEX(Inputs!$K$5:$AJ$120,0,MATCH(S$2,Inputs!$K$4:$AJ$4,0)))+SUMPRODUCT((Inputs!$C$5:$C$120=$B5)*Inputs!$D$5:$D$120*(((Inputs!$G$5:$G$120="moeda")+(Inputs!$G$5:$G$120="acoes"))*Inputs!$B$1+((Inputs!$G$5:$G$120&lt;&gt;"moeda")*(Inputs!$G$5:$G$120&lt;&gt;"acoes")))*INDEX(Inputs!$K$5:$AJ$120,0,MATCH(S$2,Inputs!$K$4:$AJ$4,0)))+SUMPRODUCT((Inputs!$E$5:$E$120=$B5)*Inputs!$F$5:$F$120*(((Inputs!$G$5:$G$120="moeda")+(Inputs!$G$5:$G$120="acoes"))*Inputs!$B$1+((Inputs!$G$5:$G$120&lt;&gt;"moeda")*(Inputs!$G$5:$G$120&lt;&gt;"acoes")))*INDEX(Inputs!$K$5:$AJ$120,0,MATCH(S$2,Inputs!$K$4:$AJ$4,0)))))</f>
        <v>-17605</v>
      </c>
      <c r="T5" s="6">
        <f>IF(ISNA(MATCH(T$2,Inputs!$K$4:$AJ$4,0)),NA(),IF(SUMPRODUCT((Inputs!$A$5:$A$120=$B5)*ISNUMBER(INDEX(Inputs!$K$5:$AJ$120,0,MATCH(T$2,Inputs!$K$4:$AJ$4,0))))+SUMPRODUCT((Inputs!$C$5:$C$120=$B5)*ISNUMBER(INDEX(Inputs!$K$5:$AJ$120,0,MATCH(T$2,Inputs!$K$4:$AJ$4,0))))+SUMPRODUCT((Inputs!$E$5:$E$120=$B5)*ISNUMBER(INDEX(Inputs!$K$5:$AJ$120,0,MATCH(T$2,Inputs!$K$4:$AJ$4,0))))=0,NA(),SUMPRODUCT((Inputs!$A$5:$A$120=$B5)*Inputs!$B$5:$B$120*(((Inputs!$G$5:$G$120="moeda")+(Inputs!$G$5:$G$120="acoes"))*Inputs!$B$1+((Inputs!$G$5:$G$120&lt;&gt;"moeda")*(Inputs!$G$5:$G$120&lt;&gt;"acoes")))*INDEX(Inputs!$K$5:$AJ$120,0,MATCH(T$2,Inputs!$K$4:$AJ$4,0)))+SUMPRODUCT((Inputs!$C$5:$C$120=$B5)*Inputs!$D$5:$D$120*(((Inputs!$G$5:$G$120="moeda")+(Inputs!$G$5:$G$120="acoes"))*Inputs!$B$1+((Inputs!$G$5:$G$120&lt;&gt;"moeda")*(Inputs!$G$5:$G$120&lt;&gt;"acoes")))*INDEX(Inputs!$K$5:$AJ$120,0,MATCH(T$2,Inputs!$K$4:$AJ$4,0)))+SUMPRODUCT((Inputs!$E$5:$E$120=$B5)*Inputs!$F$5:$F$120*(((Inputs!$G$5:$G$120="moeda")+(Inputs!$G$5:$G$120="acoes"))*Inputs!$B$1+((Inputs!$G$5:$G$120&lt;&gt;"moeda")*(Inputs!$G$5:$G$120&lt;&gt;"acoes")))*INDEX(Inputs!$K$5:$AJ$120,0,MATCH(T$2,Inputs!$K$4:$AJ$4,0)))))</f>
        <v>-20922</v>
      </c>
      <c r="U5" s="6">
        <f>IF(ISNA(MATCH(U$2,Inputs!$K$4:$AJ$4,0)),NA(),IF(SUMPRODUCT((Inputs!$A$5:$A$120=$B5)*ISNUMBER(INDEX(Inputs!$K$5:$AJ$120,0,MATCH(U$2,Inputs!$K$4:$AJ$4,0))))+SUMPRODUCT((Inputs!$C$5:$C$120=$B5)*ISNUMBER(INDEX(Inputs!$K$5:$AJ$120,0,MATCH(U$2,Inputs!$K$4:$AJ$4,0))))+SUMPRODUCT((Inputs!$E$5:$E$120=$B5)*ISNUMBER(INDEX(Inputs!$K$5:$AJ$120,0,MATCH(U$2,Inputs!$K$4:$AJ$4,0))))=0,NA(),SUMPRODUCT((Inputs!$A$5:$A$120=$B5)*Inputs!$B$5:$B$120*(((Inputs!$G$5:$G$120="moeda")+(Inputs!$G$5:$G$120="acoes"))*Inputs!$B$1+((Inputs!$G$5:$G$120&lt;&gt;"moeda")*(Inputs!$G$5:$G$120&lt;&gt;"acoes")))*INDEX(Inputs!$K$5:$AJ$120,0,MATCH(U$2,Inputs!$K$4:$AJ$4,0)))+SUMPRODUCT((Inputs!$C$5:$C$120=$B5)*Inputs!$D$5:$D$120*(((Inputs!$G$5:$G$120="moeda")+(Inputs!$G$5:$G$120="acoes"))*Inputs!$B$1+((Inputs!$G$5:$G$120&lt;&gt;"moeda")*(Inputs!$G$5:$G$120&lt;&gt;"acoes")))*INDEX(Inputs!$K$5:$AJ$120,0,MATCH(U$2,Inputs!$K$4:$AJ$4,0)))+SUMPRODUCT((Inputs!$E$5:$E$120=$B5)*Inputs!$F$5:$F$120*(((Inputs!$G$5:$G$120="moeda")+(Inputs!$G$5:$G$120="acoes"))*Inputs!$B$1+((Inputs!$G$5:$G$120&lt;&gt;"moeda")*(Inputs!$G$5:$G$120&lt;&gt;"acoes")))*INDEX(Inputs!$K$5:$AJ$120,0,MATCH(U$2,Inputs!$K$4:$AJ$4,0)))))</f>
        <v>-20185</v>
      </c>
      <c r="V5" s="6">
        <f>IF(ISNA(MATCH(V$2,Inputs!$K$4:$AJ$4,0)),NA(),IF(SUMPRODUCT((Inputs!$A$5:$A$120=$B5)*ISNUMBER(INDEX(Inputs!$K$5:$AJ$120,0,MATCH(V$2,Inputs!$K$4:$AJ$4,0))))+SUMPRODUCT((Inputs!$C$5:$C$120=$B5)*ISNUMBER(INDEX(Inputs!$K$5:$AJ$120,0,MATCH(V$2,Inputs!$K$4:$AJ$4,0))))+SUMPRODUCT((Inputs!$E$5:$E$120=$B5)*ISNUMBER(INDEX(Inputs!$K$5:$AJ$120,0,MATCH(V$2,Inputs!$K$4:$AJ$4,0))))=0,NA(),SUMPRODUCT((Inputs!$A$5:$A$120=$B5)*Inputs!$B$5:$B$120*(((Inputs!$G$5:$G$120="moeda")+(Inputs!$G$5:$G$120="acoes"))*Inputs!$B$1+((Inputs!$G$5:$G$120&lt;&gt;"moeda")*(Inputs!$G$5:$G$120&lt;&gt;"acoes")))*INDEX(Inputs!$K$5:$AJ$120,0,MATCH(V$2,Inputs!$K$4:$AJ$4,0)))+SUMPRODUCT((Inputs!$C$5:$C$120=$B5)*Inputs!$D$5:$D$120*(((Inputs!$G$5:$G$120="moeda")+(Inputs!$G$5:$G$120="acoes"))*Inputs!$B$1+((Inputs!$G$5:$G$120&lt;&gt;"moeda")*(Inputs!$G$5:$G$120&lt;&gt;"acoes")))*INDEX(Inputs!$K$5:$AJ$120,0,MATCH(V$2,Inputs!$K$4:$AJ$4,0)))+SUMPRODUCT((Inputs!$E$5:$E$120=$B5)*Inputs!$F$5:$F$120*(((Inputs!$G$5:$G$120="moeda")+(Inputs!$G$5:$G$120="acoes"))*Inputs!$B$1+((Inputs!$G$5:$G$120&lt;&gt;"moeda")*(Inputs!$G$5:$G$120&lt;&gt;"acoes")))*INDEX(Inputs!$K$5:$AJ$120,0,MATCH(V$2,Inputs!$K$4:$AJ$4,0)))))</f>
        <v>-21528</v>
      </c>
      <c r="W5" s="3">
        <f>SUM(S5:V5)</f>
        <v>-80240</v>
      </c>
      <c r="X5" s="6">
        <f>IF(ISNA(MATCH(X$2,Inputs!$K$4:$AJ$4,0)),NA(),IF(SUMPRODUCT((Inputs!$A$5:$A$120=$B5)*ISNUMBER(INDEX(Inputs!$K$5:$AJ$120,0,MATCH(X$2,Inputs!$K$4:$AJ$4,0))))+SUMPRODUCT((Inputs!$C$5:$C$120=$B5)*ISNUMBER(INDEX(Inputs!$K$5:$AJ$120,0,MATCH(X$2,Inputs!$K$4:$AJ$4,0))))+SUMPRODUCT((Inputs!$E$5:$E$120=$B5)*ISNUMBER(INDEX(Inputs!$K$5:$AJ$120,0,MATCH(X$2,Inputs!$K$4:$AJ$4,0))))=0,NA(),SUMPRODUCT((Inputs!$A$5:$A$120=$B5)*Inputs!$B$5:$B$120*(((Inputs!$G$5:$G$120="moeda")+(Inputs!$G$5:$G$120="acoes"))*Inputs!$B$1+((Inputs!$G$5:$G$120&lt;&gt;"moeda")*(Inputs!$G$5:$G$120&lt;&gt;"acoes")))*INDEX(Inputs!$K$5:$AJ$120,0,MATCH(X$2,Inputs!$K$4:$AJ$4,0)))+SUMPRODUCT((Inputs!$C$5:$C$120=$B5)*Inputs!$D$5:$D$120*(((Inputs!$G$5:$G$120="moeda")+(Inputs!$G$5:$G$120="acoes"))*Inputs!$B$1+((Inputs!$G$5:$G$120&lt;&gt;"moeda")*(Inputs!$G$5:$G$120&lt;&gt;"acoes")))*INDEX(Inputs!$K$5:$AJ$120,0,MATCH(X$2,Inputs!$K$4:$AJ$4,0)))+SUMPRODUCT((Inputs!$E$5:$E$120=$B5)*Inputs!$F$5:$F$120*(((Inputs!$G$5:$G$120="moeda")+(Inputs!$G$5:$G$120="acoes"))*Inputs!$B$1+((Inputs!$G$5:$G$120&lt;&gt;"moeda")*(Inputs!$G$5:$G$120&lt;&gt;"acoes")))*INDEX(Inputs!$K$5:$AJ$120,0,MATCH(X$2,Inputs!$K$4:$AJ$4,0)))))</f>
        <v>-16182</v>
      </c>
      <c r="Y5" s="6">
        <f>IF(ISNA(MATCH(Y$2,Inputs!$K$4:$AJ$4,0)),NA(),IF(SUMPRODUCT((Inputs!$A$5:$A$120=$B5)*ISNUMBER(INDEX(Inputs!$K$5:$AJ$120,0,MATCH(Y$2,Inputs!$K$4:$AJ$4,0))))+SUMPRODUCT((Inputs!$C$5:$C$120=$B5)*ISNUMBER(INDEX(Inputs!$K$5:$AJ$120,0,MATCH(Y$2,Inputs!$K$4:$AJ$4,0))))+SUMPRODUCT((Inputs!$E$5:$E$120=$B5)*ISNUMBER(INDEX(Inputs!$K$5:$AJ$120,0,MATCH(Y$2,Inputs!$K$4:$AJ$4,0))))=0,NA(),SUMPRODUCT((Inputs!$A$5:$A$120=$B5)*Inputs!$B$5:$B$120*(((Inputs!$G$5:$G$120="moeda")+(Inputs!$G$5:$G$120="acoes"))*Inputs!$B$1+((Inputs!$G$5:$G$120&lt;&gt;"moeda")*(Inputs!$G$5:$G$120&lt;&gt;"acoes")))*INDEX(Inputs!$K$5:$AJ$120,0,MATCH(Y$2,Inputs!$K$4:$AJ$4,0)))+SUMPRODUCT((Inputs!$C$5:$C$120=$B5)*Inputs!$D$5:$D$120*(((Inputs!$G$5:$G$120="moeda")+(Inputs!$G$5:$G$120="acoes"))*Inputs!$B$1+((Inputs!$G$5:$G$120&lt;&gt;"moeda")*(Inputs!$G$5:$G$120&lt;&gt;"acoes")))*INDEX(Inputs!$K$5:$AJ$120,0,MATCH(Y$2,Inputs!$K$4:$AJ$4,0)))+SUMPRODUCT((Inputs!$E$5:$E$120=$B5)*Inputs!$F$5:$F$120*(((Inputs!$G$5:$G$120="moeda")+(Inputs!$G$5:$G$120="acoes"))*Inputs!$B$1+((Inputs!$G$5:$G$120&lt;&gt;"moeda")*(Inputs!$G$5:$G$120&lt;&gt;"acoes")))*INDEX(Inputs!$K$5:$AJ$120,0,MATCH(Y$2,Inputs!$K$4:$AJ$4,0)))))</f>
        <v>-18618</v>
      </c>
      <c r="Z5" s="6">
        <f>IF(ISNA(MATCH(Z$2,Inputs!$K$4:$AJ$4,0)),NA(),IF(SUMPRODUCT((Inputs!$A$5:$A$120=$B5)*ISNUMBER(INDEX(Inputs!$K$5:$AJ$120,0,MATCH(Z$2,Inputs!$K$4:$AJ$4,0))))+SUMPRODUCT((Inputs!$C$5:$C$120=$B5)*ISNUMBER(INDEX(Inputs!$K$5:$AJ$120,0,MATCH(Z$2,Inputs!$K$4:$AJ$4,0))))+SUMPRODUCT((Inputs!$E$5:$E$120=$B5)*ISNUMBER(INDEX(Inputs!$K$5:$AJ$120,0,MATCH(Z$2,Inputs!$K$4:$AJ$4,0))))=0,NA(),SUMPRODUCT((Inputs!$A$5:$A$120=$B5)*Inputs!$B$5:$B$120*(((Inputs!$G$5:$G$120="moeda")+(Inputs!$G$5:$G$120="acoes"))*Inputs!$B$1+((Inputs!$G$5:$G$120&lt;&gt;"moeda")*(Inputs!$G$5:$G$120&lt;&gt;"acoes")))*INDEX(Inputs!$K$5:$AJ$120,0,MATCH(Z$2,Inputs!$K$4:$AJ$4,0)))+SUMPRODUCT((Inputs!$C$5:$C$120=$B5)*Inputs!$D$5:$D$120*(((Inputs!$G$5:$G$120="moeda")+(Inputs!$G$5:$G$120="acoes"))*Inputs!$B$1+((Inputs!$G$5:$G$120&lt;&gt;"moeda")*(Inputs!$G$5:$G$120&lt;&gt;"acoes")))*INDEX(Inputs!$K$5:$AJ$120,0,MATCH(Z$2,Inputs!$K$4:$AJ$4,0)))+SUMPRODUCT((Inputs!$E$5:$E$120=$B5)*Inputs!$F$5:$F$120*(((Inputs!$G$5:$G$120="moeda")+(Inputs!$G$5:$G$120="acoes"))*Inputs!$B$1+((Inputs!$G$5:$G$120&lt;&gt;"moeda")*(Inputs!$G$5:$G$120&lt;&gt;"acoes")))*INDEX(Inputs!$K$5:$AJ$120,0,MATCH(Z$2,Inputs!$K$4:$AJ$4,0)))))</f>
        <v>-23041</v>
      </c>
      <c r="AA5" s="6">
        <f>IF(ISNA(MATCH(AA$2,Inputs!$K$4:$AJ$4,0)),NA(),IF(SUMPRODUCT((Inputs!$A$5:$A$120=$B5)*ISNUMBER(INDEX(Inputs!$K$5:$AJ$120,0,MATCH(AA$2,Inputs!$K$4:$AJ$4,0))))+SUMPRODUCT((Inputs!$C$5:$C$120=$B5)*ISNUMBER(INDEX(Inputs!$K$5:$AJ$120,0,MATCH(AA$2,Inputs!$K$4:$AJ$4,0))))+SUMPRODUCT((Inputs!$E$5:$E$120=$B5)*ISNUMBER(INDEX(Inputs!$K$5:$AJ$120,0,MATCH(AA$2,Inputs!$K$4:$AJ$4,0))))=0,NA(),SUMPRODUCT((Inputs!$A$5:$A$120=$B5)*Inputs!$B$5:$B$120*(((Inputs!$G$5:$G$120="moeda")+(Inputs!$G$5:$G$120="acoes"))*Inputs!$B$1+((Inputs!$G$5:$G$120&lt;&gt;"moeda")*(Inputs!$G$5:$G$120&lt;&gt;"acoes")))*INDEX(Inputs!$K$5:$AJ$120,0,MATCH(AA$2,Inputs!$K$4:$AJ$4,0)))+SUMPRODUCT((Inputs!$C$5:$C$120=$B5)*Inputs!$D$5:$D$120*(((Inputs!$G$5:$G$120="moeda")+(Inputs!$G$5:$G$120="acoes"))*Inputs!$B$1+((Inputs!$G$5:$G$120&lt;&gt;"moeda")*(Inputs!$G$5:$G$120&lt;&gt;"acoes")))*INDEX(Inputs!$K$5:$AJ$120,0,MATCH(AA$2,Inputs!$K$4:$AJ$4,0)))+SUMPRODUCT((Inputs!$E$5:$E$120=$B5)*Inputs!$F$5:$F$120*(((Inputs!$G$5:$G$120="moeda")+(Inputs!$G$5:$G$120="acoes"))*Inputs!$B$1+((Inputs!$G$5:$G$120&lt;&gt;"moeda")*(Inputs!$G$5:$G$120&lt;&gt;"acoes")))*INDEX(Inputs!$K$5:$AJ$120,0,MATCH(AA$2,Inputs!$K$4:$AJ$4,0)))))</f>
        <v>-19892</v>
      </c>
      <c r="AB5" s="3">
        <f>SUM(X5:AA5)</f>
        <v>-77733</v>
      </c>
      <c r="AC5" s="6">
        <f>IF(ISNA(MATCH(AC$2,Inputs!$K$4:$AJ$4,0)),NA(),IF(SUMPRODUCT((Inputs!$A$5:$A$120=$B5)*ISNUMBER(INDEX(Inputs!$K$5:$AJ$120,0,MATCH(AC$2,Inputs!$K$4:$AJ$4,0))))+SUMPRODUCT((Inputs!$C$5:$C$120=$B5)*ISNUMBER(INDEX(Inputs!$K$5:$AJ$120,0,MATCH(AC$2,Inputs!$K$4:$AJ$4,0))))+SUMPRODUCT((Inputs!$E$5:$E$120=$B5)*ISNUMBER(INDEX(Inputs!$K$5:$AJ$120,0,MATCH(AC$2,Inputs!$K$4:$AJ$4,0))))=0,NA(),SUMPRODUCT((Inputs!$A$5:$A$120=$B5)*Inputs!$B$5:$B$120*(((Inputs!$G$5:$G$120="moeda")+(Inputs!$G$5:$G$120="acoes"))*Inputs!$B$1+((Inputs!$G$5:$G$120&lt;&gt;"moeda")*(Inputs!$G$5:$G$120&lt;&gt;"acoes")))*INDEX(Inputs!$K$5:$AJ$120,0,MATCH(AC$2,Inputs!$K$4:$AJ$4,0)))+SUMPRODUCT((Inputs!$C$5:$C$120=$B5)*Inputs!$D$5:$D$120*(((Inputs!$G$5:$G$120="moeda")+(Inputs!$G$5:$G$120="acoes"))*Inputs!$B$1+((Inputs!$G$5:$G$120&lt;&gt;"moeda")*(Inputs!$G$5:$G$120&lt;&gt;"acoes")))*INDEX(Inputs!$K$5:$AJ$120,0,MATCH(AC$2,Inputs!$K$4:$AJ$4,0)))+SUMPRODUCT((Inputs!$E$5:$E$120=$B5)*Inputs!$F$5:$F$120*(((Inputs!$G$5:$G$120="moeda")+(Inputs!$G$5:$G$120="acoes"))*Inputs!$B$1+((Inputs!$G$5:$G$120&lt;&gt;"moeda")*(Inputs!$G$5:$G$120&lt;&gt;"acoes")))*INDEX(Inputs!$K$5:$AJ$120,0,MATCH(AC$2,Inputs!$K$4:$AJ$4,0)))))</f>
        <v>-17667</v>
      </c>
      <c r="AD5" s="6">
        <f>IF(ISNA(MATCH(AD$2,Inputs!$K$4:$AJ$4,0)),NA(),IF(SUMPRODUCT((Inputs!$A$5:$A$120=$B5)*ISNUMBER(INDEX(Inputs!$K$5:$AJ$120,0,MATCH(AD$2,Inputs!$K$4:$AJ$4,0))))+SUMPRODUCT((Inputs!$C$5:$C$120=$B5)*ISNUMBER(INDEX(Inputs!$K$5:$AJ$120,0,MATCH(AD$2,Inputs!$K$4:$AJ$4,0))))+SUMPRODUCT((Inputs!$E$5:$E$120=$B5)*ISNUMBER(INDEX(Inputs!$K$5:$AJ$120,0,MATCH(AD$2,Inputs!$K$4:$AJ$4,0))))=0,NA(),SUMPRODUCT((Inputs!$A$5:$A$120=$B5)*Inputs!$B$5:$B$120*(((Inputs!$G$5:$G$120="moeda")+(Inputs!$G$5:$G$120="acoes"))*Inputs!$B$1+((Inputs!$G$5:$G$120&lt;&gt;"moeda")*(Inputs!$G$5:$G$120&lt;&gt;"acoes")))*INDEX(Inputs!$K$5:$AJ$120,0,MATCH(AD$2,Inputs!$K$4:$AJ$4,0)))+SUMPRODUCT((Inputs!$C$5:$C$120=$B5)*Inputs!$D$5:$D$120*(((Inputs!$G$5:$G$120="moeda")+(Inputs!$G$5:$G$120="acoes"))*Inputs!$B$1+((Inputs!$G$5:$G$120&lt;&gt;"moeda")*(Inputs!$G$5:$G$120&lt;&gt;"acoes")))*INDEX(Inputs!$K$5:$AJ$120,0,MATCH(AD$2,Inputs!$K$4:$AJ$4,0)))+SUMPRODUCT((Inputs!$E$5:$E$120=$B5)*Inputs!$F$5:$F$120*(((Inputs!$G$5:$G$120="moeda")+(Inputs!$G$5:$G$120="acoes"))*Inputs!$B$1+((Inputs!$G$5:$G$120&lt;&gt;"moeda")*(Inputs!$G$5:$G$120&lt;&gt;"acoes")))*INDEX(Inputs!$K$5:$AJ$120,0,MATCH(AD$2,Inputs!$K$4:$AJ$4,0)))))</f>
        <v>-23485</v>
      </c>
      <c r="AE5" s="6" t="e">
        <f>IF(ISNA(MATCH(AE$2,Inputs!$K$4:$AJ$4,0)),NA(),IF(SUMPRODUCT((Inputs!$A$5:$A$120=$B5)*ISNUMBER(INDEX(Inputs!$K$5:$AJ$120,0,MATCH(AE$2,Inputs!$K$4:$AJ$4,0))))+SUMPRODUCT((Inputs!$C$5:$C$120=$B5)*ISNUMBER(INDEX(Inputs!$K$5:$AJ$120,0,MATCH(AE$2,Inputs!$K$4:$AJ$4,0))))+SUMPRODUCT((Inputs!$E$5:$E$120=$B5)*ISNUMBER(INDEX(Inputs!$K$5:$AJ$120,0,MATCH(AE$2,Inputs!$K$4:$AJ$4,0))))=0,NA(),SUMPRODUCT((Inputs!$A$5:$A$120=$B5)*Inputs!$B$5:$B$120*(((Inputs!$G$5:$G$120="moeda")+(Inputs!$G$5:$G$120="acoes"))*Inputs!$B$1+((Inputs!$G$5:$G$120&lt;&gt;"moeda")*(Inputs!$G$5:$G$120&lt;&gt;"acoes")))*INDEX(Inputs!$K$5:$AJ$120,0,MATCH(AE$2,Inputs!$K$4:$AJ$4,0)))+SUMPRODUCT((Inputs!$C$5:$C$120=$B5)*Inputs!$D$5:$D$120*(((Inputs!$G$5:$G$120="moeda")+(Inputs!$G$5:$G$120="acoes"))*Inputs!$B$1+((Inputs!$G$5:$G$120&lt;&gt;"moeda")*(Inputs!$G$5:$G$120&lt;&gt;"acoes")))*INDEX(Inputs!$K$5:$AJ$120,0,MATCH(AE$2,Inputs!$K$4:$AJ$4,0)))+SUMPRODUCT((Inputs!$E$5:$E$120=$B5)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5" s="6" t="e">
        <f>IF(ISNA(MATCH(AF$2,Inputs!$K$4:$AJ$4,0)),NA(),IF(SUMPRODUCT((Inputs!$A$5:$A$120=$B5)*ISNUMBER(INDEX(Inputs!$K$5:$AJ$120,0,MATCH(AF$2,Inputs!$K$4:$AJ$4,0))))+SUMPRODUCT((Inputs!$C$5:$C$120=$B5)*ISNUMBER(INDEX(Inputs!$K$5:$AJ$120,0,MATCH(AF$2,Inputs!$K$4:$AJ$4,0))))+SUMPRODUCT((Inputs!$E$5:$E$120=$B5)*ISNUMBER(INDEX(Inputs!$K$5:$AJ$120,0,MATCH(AF$2,Inputs!$K$4:$AJ$4,0))))=0,NA(),SUMPRODUCT((Inputs!$A$5:$A$120=$B5)*Inputs!$B$5:$B$120*(((Inputs!$G$5:$G$120="moeda")+(Inputs!$G$5:$G$120="acoes"))*Inputs!$B$1+((Inputs!$G$5:$G$120&lt;&gt;"moeda")*(Inputs!$G$5:$G$120&lt;&gt;"acoes")))*INDEX(Inputs!$K$5:$AJ$120,0,MATCH(AF$2,Inputs!$K$4:$AJ$4,0)))+SUMPRODUCT((Inputs!$C$5:$C$120=$B5)*Inputs!$D$5:$D$120*(((Inputs!$G$5:$G$120="moeda")+(Inputs!$G$5:$G$120="acoes"))*Inputs!$B$1+((Inputs!$G$5:$G$120&lt;&gt;"moeda")*(Inputs!$G$5:$G$120&lt;&gt;"acoes")))*INDEX(Inputs!$K$5:$AJ$120,0,MATCH(AF$2,Inputs!$K$4:$AJ$4,0)))+SUMPRODUCT((Inputs!$E$5:$E$120=$B5)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5" s="3" t="e">
        <f>SUM(AC5:AF5)</f>
        <v>#N/A</v>
      </c>
      <c r="AH5" s="6">
        <f>IF(ISNA(MATCH(AH$2,Inputs!$K$4:$AJ$4,0)),NA(),IF(SUMPRODUCT((Inputs!$A$5:$A$120=$B5)*ISNUMBER(INDEX(Inputs!$K$5:$AJ$120,0,MATCH(AH$2,Inputs!$K$4:$AJ$4,0))))+SUMPRODUCT((Inputs!$C$5:$C$120=$B5)*ISNUMBER(INDEX(Inputs!$K$5:$AJ$120,0,MATCH(AH$2,Inputs!$K$4:$AJ$4,0))))+SUMPRODUCT((Inputs!$E$5:$E$120=$B5)*ISNUMBER(INDEX(Inputs!$K$5:$AJ$120,0,MATCH(AH$2,Inputs!$K$4:$AJ$4,0))))=0,NA(),SUMPRODUCT((Inputs!$A$5:$A$120=$B5)*Inputs!$B$5:$B$120*(((Inputs!$G$5:$G$120="moeda")+(Inputs!$G$5:$G$120="acoes"))*Inputs!$B$1+((Inputs!$G$5:$G$120&lt;&gt;"moeda")*(Inputs!$G$5:$G$120&lt;&gt;"acoes")))*INDEX(Inputs!$K$5:$AJ$120,0,MATCH(AH$2,Inputs!$K$4:$AJ$4,0)))+SUMPRODUCT((Inputs!$C$5:$C$120=$B5)*Inputs!$D$5:$D$120*(((Inputs!$G$5:$G$120="moeda")+(Inputs!$G$5:$G$120="acoes"))*Inputs!$B$1+((Inputs!$G$5:$G$120&lt;&gt;"moeda")*(Inputs!$G$5:$G$120&lt;&gt;"acoes")))*INDEX(Inputs!$K$5:$AJ$120,0,MATCH(AH$2,Inputs!$K$4:$AJ$4,0)))+SUMPRODUCT((Inputs!$E$5:$E$120=$B5)*Inputs!$F$5:$F$120*(((Inputs!$G$5:$G$120="moeda")+(Inputs!$G$5:$G$120="acoes"))*Inputs!$B$1+((Inputs!$G$5:$G$120&lt;&gt;"moeda")*(Inputs!$G$5:$G$120&lt;&gt;"acoes")))*INDEX(Inputs!$K$5:$AJ$120,0,MATCH(AH$2,Inputs!$K$4:$AJ$4,0)))))</f>
        <v>-4751</v>
      </c>
      <c r="AI5" s="6">
        <f>IF(ISNA(MATCH(AI$2,Inputs!$K$4:$AJ$4,0)),NA(),IF(SUMPRODUCT((Inputs!$A$5:$A$120=$B5)*ISNUMBER(INDEX(Inputs!$K$5:$AJ$120,0,MATCH(AI$2,Inputs!$K$4:$AJ$4,0))))+SUMPRODUCT((Inputs!$C$5:$C$120=$B5)*ISNUMBER(INDEX(Inputs!$K$5:$AJ$120,0,MATCH(AI$2,Inputs!$K$4:$AJ$4,0))))+SUMPRODUCT((Inputs!$E$5:$E$120=$B5)*ISNUMBER(INDEX(Inputs!$K$5:$AJ$120,0,MATCH(AI$2,Inputs!$K$4:$AJ$4,0))))=0,NA(),SUMPRODUCT((Inputs!$A$5:$A$120=$B5)*Inputs!$B$5:$B$120*(((Inputs!$G$5:$G$120="moeda")+(Inputs!$G$5:$G$120="acoes"))*Inputs!$B$1+((Inputs!$G$5:$G$120&lt;&gt;"moeda")*(Inputs!$G$5:$G$120&lt;&gt;"acoes")))*INDEX(Inputs!$K$5:$AJ$120,0,MATCH(AI$2,Inputs!$K$4:$AJ$4,0)))+SUMPRODUCT((Inputs!$C$5:$C$120=$B5)*Inputs!$D$5:$D$120*(((Inputs!$G$5:$G$120="moeda")+(Inputs!$G$5:$G$120="acoes"))*Inputs!$B$1+((Inputs!$G$5:$G$120&lt;&gt;"moeda")*(Inputs!$G$5:$G$120&lt;&gt;"acoes")))*INDEX(Inputs!$K$5:$AJ$120,0,MATCH(AI$2,Inputs!$K$4:$AJ$4,0)))+SUMPRODUCT((Inputs!$E$5:$E$120=$B5)*Inputs!$F$5:$F$120*(((Inputs!$G$5:$G$120="moeda")+(Inputs!$G$5:$G$120="acoes"))*Inputs!$B$1+((Inputs!$G$5:$G$120&lt;&gt;"moeda")*(Inputs!$G$5:$G$120&lt;&gt;"acoes")))*INDEX(Inputs!$K$5:$AJ$120,0,MATCH(AI$2,Inputs!$K$4:$AJ$4,0)))))</f>
        <v>-4769</v>
      </c>
      <c r="AJ5" s="6">
        <f>IF(ISNA(MATCH(AJ$2,Inputs!$K$4:$AJ$4,0)),NA(),IF(SUMPRODUCT((Inputs!$A$5:$A$120=$B5)*ISNUMBER(INDEX(Inputs!$K$5:$AJ$120,0,MATCH(AJ$2,Inputs!$K$4:$AJ$4,0))))+SUMPRODUCT((Inputs!$C$5:$C$120=$B5)*ISNUMBER(INDEX(Inputs!$K$5:$AJ$120,0,MATCH(AJ$2,Inputs!$K$4:$AJ$4,0))))+SUMPRODUCT((Inputs!$E$5:$E$120=$B5)*ISNUMBER(INDEX(Inputs!$K$5:$AJ$120,0,MATCH(AJ$2,Inputs!$K$4:$AJ$4,0))))=0,NA(),SUMPRODUCT((Inputs!$A$5:$A$120=$B5)*Inputs!$B$5:$B$120*(((Inputs!$G$5:$G$120="moeda")+(Inputs!$G$5:$G$120="acoes"))*Inputs!$B$1+((Inputs!$G$5:$G$120&lt;&gt;"moeda")*(Inputs!$G$5:$G$120&lt;&gt;"acoes")))*INDEX(Inputs!$K$5:$AJ$120,0,MATCH(AJ$2,Inputs!$K$4:$AJ$4,0)))+SUMPRODUCT((Inputs!$C$5:$C$120=$B5)*Inputs!$D$5:$D$120*(((Inputs!$G$5:$G$120="moeda")+(Inputs!$G$5:$G$120="acoes"))*Inputs!$B$1+((Inputs!$G$5:$G$120&lt;&gt;"moeda")*(Inputs!$G$5:$G$120&lt;&gt;"acoes")))*INDEX(Inputs!$K$5:$AJ$120,0,MATCH(AJ$2,Inputs!$K$4:$AJ$4,0)))+SUMPRODUCT((Inputs!$E$5:$E$120=$B5)*Inputs!$F$5:$F$120*(((Inputs!$G$5:$G$120="moeda")+(Inputs!$G$5:$G$120="acoes"))*Inputs!$B$1+((Inputs!$G$5:$G$120&lt;&gt;"moeda")*(Inputs!$G$5:$G$120&lt;&gt;"acoes")))*INDEX(Inputs!$K$5:$AJ$120,0,MATCH(AJ$2,Inputs!$K$4:$AJ$4,0)))))</f>
        <v>-6708</v>
      </c>
      <c r="AK5" s="6">
        <f>IF(ISNA(MATCH(AK$2,Inputs!$K$4:$AJ$4,0)),NA(),IF(SUMPRODUCT((Inputs!$A$5:$A$120=$B5)*ISNUMBER(INDEX(Inputs!$K$5:$AJ$120,0,MATCH(AK$2,Inputs!$K$4:$AJ$4,0))))+SUMPRODUCT((Inputs!$C$5:$C$120=$B5)*ISNUMBER(INDEX(Inputs!$K$5:$AJ$120,0,MATCH(AK$2,Inputs!$K$4:$AJ$4,0))))+SUMPRODUCT((Inputs!$E$5:$E$120=$B5)*ISNUMBER(INDEX(Inputs!$K$5:$AJ$120,0,MATCH(AK$2,Inputs!$K$4:$AJ$4,0))))=0,NA(),SUMPRODUCT((Inputs!$A$5:$A$120=$B5)*Inputs!$B$5:$B$120*(((Inputs!$G$5:$G$120="moeda")+(Inputs!$G$5:$G$120="acoes"))*Inputs!$B$1+((Inputs!$G$5:$G$120&lt;&gt;"moeda")*(Inputs!$G$5:$G$120&lt;&gt;"acoes")))*INDEX(Inputs!$K$5:$AJ$120,0,MATCH(AK$2,Inputs!$K$4:$AJ$4,0)))+SUMPRODUCT((Inputs!$C$5:$C$120=$B5)*Inputs!$D$5:$D$120*(((Inputs!$G$5:$G$120="moeda")+(Inputs!$G$5:$G$120="acoes"))*Inputs!$B$1+((Inputs!$G$5:$G$120&lt;&gt;"moeda")*(Inputs!$G$5:$G$120&lt;&gt;"acoes")))*INDEX(Inputs!$K$5:$AJ$120,0,MATCH(AK$2,Inputs!$K$4:$AJ$4,0)))+SUMPRODUCT((Inputs!$E$5:$E$120=$B5)*Inputs!$F$5:$F$120*(((Inputs!$G$5:$G$120="moeda")+(Inputs!$G$5:$G$120="acoes"))*Inputs!$B$1+((Inputs!$G$5:$G$120&lt;&gt;"moeda")*(Inputs!$G$5:$G$120&lt;&gt;"acoes")))*INDEX(Inputs!$K$5:$AJ$120,0,MATCH(AK$2,Inputs!$K$4:$AJ$4,0)))))</f>
        <v>-8678</v>
      </c>
      <c r="AL5" s="3">
        <f>SUM(AH5:AK5)</f>
        <v>-24906</v>
      </c>
    </row>
    <row r="6">
      <c r="B6" s="46" t="n">
        <v>3</v>
      </c>
      <c r="C6" s="24" t="inlineStr">
        <is>
          <t>SG&amp;A and Other (cash)</t>
        </is>
      </c>
      <c r="D6" s="6">
        <f>IF(ISNA(MATCH(D$2,Inputs!$K$4:$AJ$4,0)),NA(),IF(SUMPRODUCT((Inputs!$A$5:$A$120=$B6)*ISNUMBER(INDEX(Inputs!$K$5:$AJ$120,0,MATCH(D$2,Inputs!$K$4:$AJ$4,0))))+SUMPRODUCT((Inputs!$C$5:$C$120=$B6)*ISNUMBER(INDEX(Inputs!$K$5:$AJ$120,0,MATCH(D$2,Inputs!$K$4:$AJ$4,0))))+SUMPRODUCT((Inputs!$E$5:$E$120=$B6)*ISNUMBER(INDEX(Inputs!$K$5:$AJ$120,0,MATCH(D$2,Inputs!$K$4:$AJ$4,0))))=0,NA(),SUMPRODUCT((Inputs!$A$5:$A$120=$B6)*Inputs!$B$5:$B$120*(((Inputs!$G$5:$G$120="moeda")+(Inputs!$G$5:$G$120="acoes"))*Inputs!$B$1+((Inputs!$G$5:$G$120&lt;&gt;"moeda")*(Inputs!$G$5:$G$120&lt;&gt;"acoes")))*INDEX(Inputs!$K$5:$AJ$120,0,MATCH(D$2,Inputs!$K$4:$AJ$4,0)))+SUMPRODUCT((Inputs!$C$5:$C$120=$B6)*Inputs!$D$5:$D$120*(((Inputs!$G$5:$G$120="moeda")+(Inputs!$G$5:$G$120="acoes"))*Inputs!$B$1+((Inputs!$G$5:$G$120&lt;&gt;"moeda")*(Inputs!$G$5:$G$120&lt;&gt;"acoes")))*INDEX(Inputs!$K$5:$AJ$120,0,MATCH(D$2,Inputs!$K$4:$AJ$4,0)))+SUMPRODUCT((Inputs!$E$5:$E$120=$B6)*Inputs!$F$5:$F$120*(((Inputs!$G$5:$G$120="moeda")+(Inputs!$G$5:$G$120="acoes"))*Inputs!$B$1+((Inputs!$G$5:$G$120&lt;&gt;"moeda")*(Inputs!$G$5:$G$120&lt;&gt;"acoes")))*INDEX(Inputs!$K$5:$AJ$120,0,MATCH(D$2,Inputs!$K$4:$AJ$4,0)))))</f>
        <v>-1000</v>
      </c>
      <c r="E6" s="6">
        <f>IF(ISNA(MATCH(E$2,Inputs!$K$4:$AJ$4,0)),NA(),IF(SUMPRODUCT((Inputs!$A$5:$A$120=$B6)*ISNUMBER(INDEX(Inputs!$K$5:$AJ$120,0,MATCH(E$2,Inputs!$K$4:$AJ$4,0))))+SUMPRODUCT((Inputs!$C$5:$C$120=$B6)*ISNUMBER(INDEX(Inputs!$K$5:$AJ$120,0,MATCH(E$2,Inputs!$K$4:$AJ$4,0))))+SUMPRODUCT((Inputs!$E$5:$E$120=$B6)*ISNUMBER(INDEX(Inputs!$K$5:$AJ$120,0,MATCH(E$2,Inputs!$K$4:$AJ$4,0))))=0,NA(),SUMPRODUCT((Inputs!$A$5:$A$120=$B6)*Inputs!$B$5:$B$120*(((Inputs!$G$5:$G$120="moeda")+(Inputs!$G$5:$G$120="acoes"))*Inputs!$B$1+((Inputs!$G$5:$G$120&lt;&gt;"moeda")*(Inputs!$G$5:$G$120&lt;&gt;"acoes")))*INDEX(Inputs!$K$5:$AJ$120,0,MATCH(E$2,Inputs!$K$4:$AJ$4,0)))+SUMPRODUCT((Inputs!$C$5:$C$120=$B6)*Inputs!$D$5:$D$120*(((Inputs!$G$5:$G$120="moeda")+(Inputs!$G$5:$G$120="acoes"))*Inputs!$B$1+((Inputs!$G$5:$G$120&lt;&gt;"moeda")*(Inputs!$G$5:$G$120&lt;&gt;"acoes")))*INDEX(Inputs!$K$5:$AJ$120,0,MATCH(E$2,Inputs!$K$4:$AJ$4,0)))+SUMPRODUCT((Inputs!$E$5:$E$120=$B6)*Inputs!$F$5:$F$120*(((Inputs!$G$5:$G$120="moeda")+(Inputs!$G$5:$G$120="acoes"))*Inputs!$B$1+((Inputs!$G$5:$G$120&lt;&gt;"moeda")*(Inputs!$G$5:$G$120&lt;&gt;"acoes")))*INDEX(Inputs!$K$5:$AJ$120,0,MATCH(E$2,Inputs!$K$4:$AJ$4,0)))))</f>
        <v>-891</v>
      </c>
      <c r="F6" s="6">
        <f>IF(ISNA(MATCH(F$2,Inputs!$K$4:$AJ$4,0)),NA(),IF(SUMPRODUCT((Inputs!$A$5:$A$120=$B6)*ISNUMBER(INDEX(Inputs!$K$5:$AJ$120,0,MATCH(F$2,Inputs!$K$4:$AJ$4,0))))+SUMPRODUCT((Inputs!$C$5:$C$120=$B6)*ISNUMBER(INDEX(Inputs!$K$5:$AJ$120,0,MATCH(F$2,Inputs!$K$4:$AJ$4,0))))+SUMPRODUCT((Inputs!$E$5:$E$120=$B6)*ISNUMBER(INDEX(Inputs!$K$5:$AJ$120,0,MATCH(F$2,Inputs!$K$4:$AJ$4,0))))=0,NA(),SUMPRODUCT((Inputs!$A$5:$A$120=$B6)*Inputs!$B$5:$B$120*(((Inputs!$G$5:$G$120="moeda")+(Inputs!$G$5:$G$120="acoes"))*Inputs!$B$1+((Inputs!$G$5:$G$120&lt;&gt;"moeda")*(Inputs!$G$5:$G$120&lt;&gt;"acoes")))*INDEX(Inputs!$K$5:$AJ$120,0,MATCH(F$2,Inputs!$K$4:$AJ$4,0)))+SUMPRODUCT((Inputs!$C$5:$C$120=$B6)*Inputs!$D$5:$D$120*(((Inputs!$G$5:$G$120="moeda")+(Inputs!$G$5:$G$120="acoes"))*Inputs!$B$1+((Inputs!$G$5:$G$120&lt;&gt;"moeda")*(Inputs!$G$5:$G$120&lt;&gt;"acoes")))*INDEX(Inputs!$K$5:$AJ$120,0,MATCH(F$2,Inputs!$K$4:$AJ$4,0)))+SUMPRODUCT((Inputs!$E$5:$E$120=$B6)*Inputs!$F$5:$F$120*(((Inputs!$G$5:$G$120="moeda")+(Inputs!$G$5:$G$120="acoes"))*Inputs!$B$1+((Inputs!$G$5:$G$120&lt;&gt;"moeda")*(Inputs!$G$5:$G$120&lt;&gt;"acoes")))*INDEX(Inputs!$K$5:$AJ$120,0,MATCH(F$2,Inputs!$K$4:$AJ$4,0)))))</f>
        <v>-895</v>
      </c>
      <c r="G6" s="6">
        <f>IF(ISNA(MATCH(G$2,Inputs!$K$4:$AJ$4,0)),NA(),IF(SUMPRODUCT((Inputs!$A$5:$A$120=$B6)*ISNUMBER(INDEX(Inputs!$K$5:$AJ$120,0,MATCH(G$2,Inputs!$K$4:$AJ$4,0))))+SUMPRODUCT((Inputs!$C$5:$C$120=$B6)*ISNUMBER(INDEX(Inputs!$K$5:$AJ$120,0,MATCH(G$2,Inputs!$K$4:$AJ$4,0))))+SUMPRODUCT((Inputs!$E$5:$E$120=$B6)*ISNUMBER(INDEX(Inputs!$K$5:$AJ$120,0,MATCH(G$2,Inputs!$K$4:$AJ$4,0))))=0,NA(),SUMPRODUCT((Inputs!$A$5:$A$120=$B6)*Inputs!$B$5:$B$120*(((Inputs!$G$5:$G$120="moeda")+(Inputs!$G$5:$G$120="acoes"))*Inputs!$B$1+((Inputs!$G$5:$G$120&lt;&gt;"moeda")*(Inputs!$G$5:$G$120&lt;&gt;"acoes")))*INDEX(Inputs!$K$5:$AJ$120,0,MATCH(G$2,Inputs!$K$4:$AJ$4,0)))+SUMPRODUCT((Inputs!$C$5:$C$120=$B6)*Inputs!$D$5:$D$120*(((Inputs!$G$5:$G$120="moeda")+(Inputs!$G$5:$G$120="acoes"))*Inputs!$B$1+((Inputs!$G$5:$G$120&lt;&gt;"moeda")*(Inputs!$G$5:$G$120&lt;&gt;"acoes")))*INDEX(Inputs!$K$5:$AJ$120,0,MATCH(G$2,Inputs!$K$4:$AJ$4,0)))+SUMPRODUCT((Inputs!$E$5:$E$120=$B6)*Inputs!$F$5:$F$120*(((Inputs!$G$5:$G$120="moeda")+(Inputs!$G$5:$G$120="acoes"))*Inputs!$B$1+((Inputs!$G$5:$G$120&lt;&gt;"moeda")*(Inputs!$G$5:$G$120&lt;&gt;"acoes")))*INDEX(Inputs!$K$5:$AJ$120,0,MATCH(G$2,Inputs!$K$4:$AJ$4,0)))))</f>
        <v>-1386</v>
      </c>
      <c r="H6" s="3">
        <f>SUM(D6:G6)</f>
        <v>-4172</v>
      </c>
      <c r="I6" s="6">
        <f>IF(ISNA(MATCH(I$2,Inputs!$K$4:$AJ$4,0)),NA(),IF(SUMPRODUCT((Inputs!$A$5:$A$120=$B6)*ISNUMBER(INDEX(Inputs!$K$5:$AJ$120,0,MATCH(I$2,Inputs!$K$4:$AJ$4,0))))+SUMPRODUCT((Inputs!$C$5:$C$120=$B6)*ISNUMBER(INDEX(Inputs!$K$5:$AJ$120,0,MATCH(I$2,Inputs!$K$4:$AJ$4,0))))+SUMPRODUCT((Inputs!$E$5:$E$120=$B6)*ISNUMBER(INDEX(Inputs!$K$5:$AJ$120,0,MATCH(I$2,Inputs!$K$4:$AJ$4,0))))=0,NA(),SUMPRODUCT((Inputs!$A$5:$A$120=$B6)*Inputs!$B$5:$B$120*(((Inputs!$G$5:$G$120="moeda")+(Inputs!$G$5:$G$120="acoes"))*Inputs!$B$1+((Inputs!$G$5:$G$120&lt;&gt;"moeda")*(Inputs!$G$5:$G$120&lt;&gt;"acoes")))*INDEX(Inputs!$K$5:$AJ$120,0,MATCH(I$2,Inputs!$K$4:$AJ$4,0)))+SUMPRODUCT((Inputs!$C$5:$C$120=$B6)*Inputs!$D$5:$D$120*(((Inputs!$G$5:$G$120="moeda")+(Inputs!$G$5:$G$120="acoes"))*Inputs!$B$1+((Inputs!$G$5:$G$120&lt;&gt;"moeda")*(Inputs!$G$5:$G$120&lt;&gt;"acoes")))*INDEX(Inputs!$K$5:$AJ$120,0,MATCH(I$2,Inputs!$K$4:$AJ$4,0)))+SUMPRODUCT((Inputs!$E$5:$E$120=$B6)*Inputs!$F$5:$F$120*(((Inputs!$G$5:$G$120="moeda")+(Inputs!$G$5:$G$120="acoes"))*Inputs!$B$1+((Inputs!$G$5:$G$120&lt;&gt;"moeda")*(Inputs!$G$5:$G$120&lt;&gt;"acoes")))*INDEX(Inputs!$K$5:$AJ$120,0,MATCH(I$2,Inputs!$K$4:$AJ$4,0)))))</f>
        <v>-977</v>
      </c>
      <c r="J6" s="6">
        <f>IF(ISNA(MATCH(J$2,Inputs!$K$4:$AJ$4,0)),NA(),IF(SUMPRODUCT((Inputs!$A$5:$A$120=$B6)*ISNUMBER(INDEX(Inputs!$K$5:$AJ$120,0,MATCH(J$2,Inputs!$K$4:$AJ$4,0))))+SUMPRODUCT((Inputs!$C$5:$C$120=$B6)*ISNUMBER(INDEX(Inputs!$K$5:$AJ$120,0,MATCH(J$2,Inputs!$K$4:$AJ$4,0))))+SUMPRODUCT((Inputs!$E$5:$E$120=$B6)*ISNUMBER(INDEX(Inputs!$K$5:$AJ$120,0,MATCH(J$2,Inputs!$K$4:$AJ$4,0))))=0,NA(),SUMPRODUCT((Inputs!$A$5:$A$120=$B6)*Inputs!$B$5:$B$120*(((Inputs!$G$5:$G$120="moeda")+(Inputs!$G$5:$G$120="acoes"))*Inputs!$B$1+((Inputs!$G$5:$G$120&lt;&gt;"moeda")*(Inputs!$G$5:$G$120&lt;&gt;"acoes")))*INDEX(Inputs!$K$5:$AJ$120,0,MATCH(J$2,Inputs!$K$4:$AJ$4,0)))+SUMPRODUCT((Inputs!$C$5:$C$120=$B6)*Inputs!$D$5:$D$120*(((Inputs!$G$5:$G$120="moeda")+(Inputs!$G$5:$G$120="acoes"))*Inputs!$B$1+((Inputs!$G$5:$G$120&lt;&gt;"moeda")*(Inputs!$G$5:$G$120&lt;&gt;"acoes")))*INDEX(Inputs!$K$5:$AJ$120,0,MATCH(J$2,Inputs!$K$4:$AJ$4,0)))+SUMPRODUCT((Inputs!$E$5:$E$120=$B6)*Inputs!$F$5:$F$120*(((Inputs!$G$5:$G$120="moeda")+(Inputs!$G$5:$G$120="acoes"))*Inputs!$B$1+((Inputs!$G$5:$G$120&lt;&gt;"moeda")*(Inputs!$G$5:$G$120&lt;&gt;"acoes")))*INDEX(Inputs!$K$5:$AJ$120,0,MATCH(J$2,Inputs!$K$4:$AJ$4,0)))))</f>
        <v>-848</v>
      </c>
      <c r="K6" s="6">
        <f>IF(ISNA(MATCH(K$2,Inputs!$K$4:$AJ$4,0)),NA(),IF(SUMPRODUCT((Inputs!$A$5:$A$120=$B6)*ISNUMBER(INDEX(Inputs!$K$5:$AJ$120,0,MATCH(K$2,Inputs!$K$4:$AJ$4,0))))+SUMPRODUCT((Inputs!$C$5:$C$120=$B6)*ISNUMBER(INDEX(Inputs!$K$5:$AJ$120,0,MATCH(K$2,Inputs!$K$4:$AJ$4,0))))+SUMPRODUCT((Inputs!$E$5:$E$120=$B6)*ISNUMBER(INDEX(Inputs!$K$5:$AJ$120,0,MATCH(K$2,Inputs!$K$4:$AJ$4,0))))=0,NA(),SUMPRODUCT((Inputs!$A$5:$A$120=$B6)*Inputs!$B$5:$B$120*(((Inputs!$G$5:$G$120="moeda")+(Inputs!$G$5:$G$120="acoes"))*Inputs!$B$1+((Inputs!$G$5:$G$120&lt;&gt;"moeda")*(Inputs!$G$5:$G$120&lt;&gt;"acoes")))*INDEX(Inputs!$K$5:$AJ$120,0,MATCH(K$2,Inputs!$K$4:$AJ$4,0)))+SUMPRODUCT((Inputs!$C$5:$C$120=$B6)*Inputs!$D$5:$D$120*(((Inputs!$G$5:$G$120="moeda")+(Inputs!$G$5:$G$120="acoes"))*Inputs!$B$1+((Inputs!$G$5:$G$120&lt;&gt;"moeda")*(Inputs!$G$5:$G$120&lt;&gt;"acoes")))*INDEX(Inputs!$K$5:$AJ$120,0,MATCH(K$2,Inputs!$K$4:$AJ$4,0)))+SUMPRODUCT((Inputs!$E$5:$E$120=$B6)*Inputs!$F$5:$F$120*(((Inputs!$G$5:$G$120="moeda")+(Inputs!$G$5:$G$120="acoes"))*Inputs!$B$1+((Inputs!$G$5:$G$120&lt;&gt;"moeda")*(Inputs!$G$5:$G$120&lt;&gt;"acoes")))*INDEX(Inputs!$K$5:$AJ$120,0,MATCH(K$2,Inputs!$K$4:$AJ$4,0)))))</f>
        <v>-738</v>
      </c>
      <c r="L6" s="6">
        <f>IF(ISNA(MATCH(L$2,Inputs!$K$4:$AJ$4,0)),NA(),IF(SUMPRODUCT((Inputs!$A$5:$A$120=$B6)*ISNUMBER(INDEX(Inputs!$K$5:$AJ$120,0,MATCH(L$2,Inputs!$K$4:$AJ$4,0))))+SUMPRODUCT((Inputs!$C$5:$C$120=$B6)*ISNUMBER(INDEX(Inputs!$K$5:$AJ$120,0,MATCH(L$2,Inputs!$K$4:$AJ$4,0))))+SUMPRODUCT((Inputs!$E$5:$E$120=$B6)*ISNUMBER(INDEX(Inputs!$K$5:$AJ$120,0,MATCH(L$2,Inputs!$K$4:$AJ$4,0))))=0,NA(),SUMPRODUCT((Inputs!$A$5:$A$120=$B6)*Inputs!$B$5:$B$120*(((Inputs!$G$5:$G$120="moeda")+(Inputs!$G$5:$G$120="acoes"))*Inputs!$B$1+((Inputs!$G$5:$G$120&lt;&gt;"moeda")*(Inputs!$G$5:$G$120&lt;&gt;"acoes")))*INDEX(Inputs!$K$5:$AJ$120,0,MATCH(L$2,Inputs!$K$4:$AJ$4,0)))+SUMPRODUCT((Inputs!$C$5:$C$120=$B6)*Inputs!$D$5:$D$120*(((Inputs!$G$5:$G$120="moeda")+(Inputs!$G$5:$G$120="acoes"))*Inputs!$B$1+((Inputs!$G$5:$G$120&lt;&gt;"moeda")*(Inputs!$G$5:$G$120&lt;&gt;"acoes")))*INDEX(Inputs!$K$5:$AJ$120,0,MATCH(L$2,Inputs!$K$4:$AJ$4,0)))+SUMPRODUCT((Inputs!$E$5:$E$120=$B6)*Inputs!$F$5:$F$120*(((Inputs!$G$5:$G$120="moeda")+(Inputs!$G$5:$G$120="acoes"))*Inputs!$B$1+((Inputs!$G$5:$G$120&lt;&gt;"moeda")*(Inputs!$G$5:$G$120&lt;&gt;"acoes")))*INDEX(Inputs!$K$5:$AJ$120,0,MATCH(L$2,Inputs!$K$4:$AJ$4,0)))))</f>
        <v>-887</v>
      </c>
      <c r="M6" s="3">
        <f>SUM(I6:L6)</f>
        <v>-3450</v>
      </c>
      <c r="N6" s="6">
        <f>IF(ISNA(MATCH(N$2,Inputs!$K$4:$AJ$4,0)),NA(),IF(SUMPRODUCT((Inputs!$A$5:$A$120=$B6)*ISNUMBER(INDEX(Inputs!$K$5:$AJ$120,0,MATCH(N$2,Inputs!$K$4:$AJ$4,0))))+SUMPRODUCT((Inputs!$C$5:$C$120=$B6)*ISNUMBER(INDEX(Inputs!$K$5:$AJ$120,0,MATCH(N$2,Inputs!$K$4:$AJ$4,0))))+SUMPRODUCT((Inputs!$E$5:$E$120=$B6)*ISNUMBER(INDEX(Inputs!$K$5:$AJ$120,0,MATCH(N$2,Inputs!$K$4:$AJ$4,0))))=0,NA(),SUMPRODUCT((Inputs!$A$5:$A$120=$B6)*Inputs!$B$5:$B$120*(((Inputs!$G$5:$G$120="moeda")+(Inputs!$G$5:$G$120="acoes"))*Inputs!$B$1+((Inputs!$G$5:$G$120&lt;&gt;"moeda")*(Inputs!$G$5:$G$120&lt;&gt;"acoes")))*INDEX(Inputs!$K$5:$AJ$120,0,MATCH(N$2,Inputs!$K$4:$AJ$4,0)))+SUMPRODUCT((Inputs!$C$5:$C$120=$B6)*Inputs!$D$5:$D$120*(((Inputs!$G$5:$G$120="moeda")+(Inputs!$G$5:$G$120="acoes"))*Inputs!$B$1+((Inputs!$G$5:$G$120&lt;&gt;"moeda")*(Inputs!$G$5:$G$120&lt;&gt;"acoes")))*INDEX(Inputs!$K$5:$AJ$120,0,MATCH(N$2,Inputs!$K$4:$AJ$4,0)))+SUMPRODUCT((Inputs!$E$5:$E$120=$B6)*Inputs!$F$5:$F$120*(((Inputs!$G$5:$G$120="moeda")+(Inputs!$G$5:$G$120="acoes"))*Inputs!$B$1+((Inputs!$G$5:$G$120&lt;&gt;"moeda")*(Inputs!$G$5:$G$120&lt;&gt;"acoes")))*INDEX(Inputs!$K$5:$AJ$120,0,MATCH(N$2,Inputs!$K$4:$AJ$4,0)))))</f>
        <v>-801</v>
      </c>
      <c r="O6" s="6">
        <f>IF(ISNA(MATCH(O$2,Inputs!$K$4:$AJ$4,0)),NA(),IF(SUMPRODUCT((Inputs!$A$5:$A$120=$B6)*ISNUMBER(INDEX(Inputs!$K$5:$AJ$120,0,MATCH(O$2,Inputs!$K$4:$AJ$4,0))))+SUMPRODUCT((Inputs!$C$5:$C$120=$B6)*ISNUMBER(INDEX(Inputs!$K$5:$AJ$120,0,MATCH(O$2,Inputs!$K$4:$AJ$4,0))))+SUMPRODUCT((Inputs!$E$5:$E$120=$B6)*ISNUMBER(INDEX(Inputs!$K$5:$AJ$120,0,MATCH(O$2,Inputs!$K$4:$AJ$4,0))))=0,NA(),SUMPRODUCT((Inputs!$A$5:$A$120=$B6)*Inputs!$B$5:$B$120*(((Inputs!$G$5:$G$120="moeda")+(Inputs!$G$5:$G$120="acoes"))*Inputs!$B$1+((Inputs!$G$5:$G$120&lt;&gt;"moeda")*(Inputs!$G$5:$G$120&lt;&gt;"acoes")))*INDEX(Inputs!$K$5:$AJ$120,0,MATCH(O$2,Inputs!$K$4:$AJ$4,0)))+SUMPRODUCT((Inputs!$C$5:$C$120=$B6)*Inputs!$D$5:$D$120*(((Inputs!$G$5:$G$120="moeda")+(Inputs!$G$5:$G$120="acoes"))*Inputs!$B$1+((Inputs!$G$5:$G$120&lt;&gt;"moeda")*(Inputs!$G$5:$G$120&lt;&gt;"acoes")))*INDEX(Inputs!$K$5:$AJ$120,0,MATCH(O$2,Inputs!$K$4:$AJ$4,0)))+SUMPRODUCT((Inputs!$E$5:$E$120=$B6)*Inputs!$F$5:$F$120*(((Inputs!$G$5:$G$120="moeda")+(Inputs!$G$5:$G$120="acoes"))*Inputs!$B$1+((Inputs!$G$5:$G$120&lt;&gt;"moeda")*(Inputs!$G$5:$G$120&lt;&gt;"acoes")))*INDEX(Inputs!$K$5:$AJ$120,0,MATCH(O$2,Inputs!$K$4:$AJ$4,0)))))</f>
        <v>-980</v>
      </c>
      <c r="P6" s="6">
        <f>IF(ISNA(MATCH(P$2,Inputs!$K$4:$AJ$4,0)),NA(),IF(SUMPRODUCT((Inputs!$A$5:$A$120=$B6)*ISNUMBER(INDEX(Inputs!$K$5:$AJ$120,0,MATCH(P$2,Inputs!$K$4:$AJ$4,0))))+SUMPRODUCT((Inputs!$C$5:$C$120=$B6)*ISNUMBER(INDEX(Inputs!$K$5:$AJ$120,0,MATCH(P$2,Inputs!$K$4:$AJ$4,0))))+SUMPRODUCT((Inputs!$E$5:$E$120=$B6)*ISNUMBER(INDEX(Inputs!$K$5:$AJ$120,0,MATCH(P$2,Inputs!$K$4:$AJ$4,0))))=0,NA(),SUMPRODUCT((Inputs!$A$5:$A$120=$B6)*Inputs!$B$5:$B$120*(((Inputs!$G$5:$G$120="moeda")+(Inputs!$G$5:$G$120="acoes"))*Inputs!$B$1+((Inputs!$G$5:$G$120&lt;&gt;"moeda")*(Inputs!$G$5:$G$120&lt;&gt;"acoes")))*INDEX(Inputs!$K$5:$AJ$120,0,MATCH(P$2,Inputs!$K$4:$AJ$4,0)))+SUMPRODUCT((Inputs!$C$5:$C$120=$B6)*Inputs!$D$5:$D$120*(((Inputs!$G$5:$G$120="moeda")+(Inputs!$G$5:$G$120="acoes"))*Inputs!$B$1+((Inputs!$G$5:$G$120&lt;&gt;"moeda")*(Inputs!$G$5:$G$120&lt;&gt;"acoes")))*INDEX(Inputs!$K$5:$AJ$120,0,MATCH(P$2,Inputs!$K$4:$AJ$4,0)))+SUMPRODUCT((Inputs!$E$5:$E$120=$B6)*Inputs!$F$5:$F$120*(((Inputs!$G$5:$G$120="moeda")+(Inputs!$G$5:$G$120="acoes"))*Inputs!$B$1+((Inputs!$G$5:$G$120&lt;&gt;"moeda")*(Inputs!$G$5:$G$120&lt;&gt;"acoes")))*INDEX(Inputs!$K$5:$AJ$120,0,MATCH(P$2,Inputs!$K$4:$AJ$4,0)))))</f>
        <v>-1179</v>
      </c>
      <c r="Q6" s="6">
        <f>IF(ISNA(MATCH(Q$2,Inputs!$K$4:$AJ$4,0)),NA(),IF(SUMPRODUCT((Inputs!$A$5:$A$120=$B6)*ISNUMBER(INDEX(Inputs!$K$5:$AJ$120,0,MATCH(Q$2,Inputs!$K$4:$AJ$4,0))))+SUMPRODUCT((Inputs!$C$5:$C$120=$B6)*ISNUMBER(INDEX(Inputs!$K$5:$AJ$120,0,MATCH(Q$2,Inputs!$K$4:$AJ$4,0))))+SUMPRODUCT((Inputs!$E$5:$E$120=$B6)*ISNUMBER(INDEX(Inputs!$K$5:$AJ$120,0,MATCH(Q$2,Inputs!$K$4:$AJ$4,0))))=0,NA(),SUMPRODUCT((Inputs!$A$5:$A$120=$B6)*Inputs!$B$5:$B$120*(((Inputs!$G$5:$G$120="moeda")+(Inputs!$G$5:$G$120="acoes"))*Inputs!$B$1+((Inputs!$G$5:$G$120&lt;&gt;"moeda")*(Inputs!$G$5:$G$120&lt;&gt;"acoes")))*INDEX(Inputs!$K$5:$AJ$120,0,MATCH(Q$2,Inputs!$K$4:$AJ$4,0)))+SUMPRODUCT((Inputs!$C$5:$C$120=$B6)*Inputs!$D$5:$D$120*(((Inputs!$G$5:$G$120="moeda")+(Inputs!$G$5:$G$120="acoes"))*Inputs!$B$1+((Inputs!$G$5:$G$120&lt;&gt;"moeda")*(Inputs!$G$5:$G$120&lt;&gt;"acoes")))*INDEX(Inputs!$K$5:$AJ$120,0,MATCH(Q$2,Inputs!$K$4:$AJ$4,0)))+SUMPRODUCT((Inputs!$E$5:$E$120=$B6)*Inputs!$F$5:$F$120*(((Inputs!$G$5:$G$120="moeda")+(Inputs!$G$5:$G$120="acoes"))*Inputs!$B$1+((Inputs!$G$5:$G$120&lt;&gt;"moeda")*(Inputs!$G$5:$G$120&lt;&gt;"acoes")))*INDEX(Inputs!$K$5:$AJ$120,0,MATCH(Q$2,Inputs!$K$4:$AJ$4,0)))))</f>
        <v>-1142</v>
      </c>
      <c r="R6" s="3">
        <f>SUM(N6:Q6)</f>
        <v>-4102</v>
      </c>
      <c r="S6" s="6">
        <f>IF(ISNA(MATCH(S$2,Inputs!$K$4:$AJ$4,0)),NA(),IF(SUMPRODUCT((Inputs!$A$5:$A$120=$B6)*ISNUMBER(INDEX(Inputs!$K$5:$AJ$120,0,MATCH(S$2,Inputs!$K$4:$AJ$4,0))))+SUMPRODUCT((Inputs!$C$5:$C$120=$B6)*ISNUMBER(INDEX(Inputs!$K$5:$AJ$120,0,MATCH(S$2,Inputs!$K$4:$AJ$4,0))))+SUMPRODUCT((Inputs!$E$5:$E$120=$B6)*ISNUMBER(INDEX(Inputs!$K$5:$AJ$120,0,MATCH(S$2,Inputs!$K$4:$AJ$4,0))))=0,NA(),SUMPRODUCT((Inputs!$A$5:$A$120=$B6)*Inputs!$B$5:$B$120*(((Inputs!$G$5:$G$120="moeda")+(Inputs!$G$5:$G$120="acoes"))*Inputs!$B$1+((Inputs!$G$5:$G$120&lt;&gt;"moeda")*(Inputs!$G$5:$G$120&lt;&gt;"acoes")))*INDEX(Inputs!$K$5:$AJ$120,0,MATCH(S$2,Inputs!$K$4:$AJ$4,0)))+SUMPRODUCT((Inputs!$C$5:$C$120=$B6)*Inputs!$D$5:$D$120*(((Inputs!$G$5:$G$120="moeda")+(Inputs!$G$5:$G$120="acoes"))*Inputs!$B$1+((Inputs!$G$5:$G$120&lt;&gt;"moeda")*(Inputs!$G$5:$G$120&lt;&gt;"acoes")))*INDEX(Inputs!$K$5:$AJ$120,0,MATCH(S$2,Inputs!$K$4:$AJ$4,0)))+SUMPRODUCT((Inputs!$E$5:$E$120=$B6)*Inputs!$F$5:$F$120*(((Inputs!$G$5:$G$120="moeda")+(Inputs!$G$5:$G$120="acoes"))*Inputs!$B$1+((Inputs!$G$5:$G$120&lt;&gt;"moeda")*(Inputs!$G$5:$G$120&lt;&gt;"acoes")))*INDEX(Inputs!$K$5:$AJ$120,0,MATCH(S$2,Inputs!$K$4:$AJ$4,0)))))</f>
        <v>-1279</v>
      </c>
      <c r="T6" s="6">
        <f>IF(ISNA(MATCH(T$2,Inputs!$K$4:$AJ$4,0)),NA(),IF(SUMPRODUCT((Inputs!$A$5:$A$120=$B6)*ISNUMBER(INDEX(Inputs!$K$5:$AJ$120,0,MATCH(T$2,Inputs!$K$4:$AJ$4,0))))+SUMPRODUCT((Inputs!$C$5:$C$120=$B6)*ISNUMBER(INDEX(Inputs!$K$5:$AJ$120,0,MATCH(T$2,Inputs!$K$4:$AJ$4,0))))+SUMPRODUCT((Inputs!$E$5:$E$120=$B6)*ISNUMBER(INDEX(Inputs!$K$5:$AJ$120,0,MATCH(T$2,Inputs!$K$4:$AJ$4,0))))=0,NA(),SUMPRODUCT((Inputs!$A$5:$A$120=$B6)*Inputs!$B$5:$B$120*(((Inputs!$G$5:$G$120="moeda")+(Inputs!$G$5:$G$120="acoes"))*Inputs!$B$1+((Inputs!$G$5:$G$120&lt;&gt;"moeda")*(Inputs!$G$5:$G$120&lt;&gt;"acoes")))*INDEX(Inputs!$K$5:$AJ$120,0,MATCH(T$2,Inputs!$K$4:$AJ$4,0)))+SUMPRODUCT((Inputs!$C$5:$C$120=$B6)*Inputs!$D$5:$D$120*(((Inputs!$G$5:$G$120="moeda")+(Inputs!$G$5:$G$120="acoes"))*Inputs!$B$1+((Inputs!$G$5:$G$120&lt;&gt;"moeda")*(Inputs!$G$5:$G$120&lt;&gt;"acoes")))*INDEX(Inputs!$K$5:$AJ$120,0,MATCH(T$2,Inputs!$K$4:$AJ$4,0)))+SUMPRODUCT((Inputs!$E$5:$E$120=$B6)*Inputs!$F$5:$F$120*(((Inputs!$G$5:$G$120="moeda")+(Inputs!$G$5:$G$120="acoes"))*Inputs!$B$1+((Inputs!$G$5:$G$120&lt;&gt;"moeda")*(Inputs!$G$5:$G$120&lt;&gt;"acoes")))*INDEX(Inputs!$K$5:$AJ$120,0,MATCH(T$2,Inputs!$K$4:$AJ$4,0)))))</f>
        <v>-1695</v>
      </c>
      <c r="U6" s="6">
        <f>IF(ISNA(MATCH(U$2,Inputs!$K$4:$AJ$4,0)),NA(),IF(SUMPRODUCT((Inputs!$A$5:$A$120=$B6)*ISNUMBER(INDEX(Inputs!$K$5:$AJ$120,0,MATCH(U$2,Inputs!$K$4:$AJ$4,0))))+SUMPRODUCT((Inputs!$C$5:$C$120=$B6)*ISNUMBER(INDEX(Inputs!$K$5:$AJ$120,0,MATCH(U$2,Inputs!$K$4:$AJ$4,0))))+SUMPRODUCT((Inputs!$E$5:$E$120=$B6)*ISNUMBER(INDEX(Inputs!$K$5:$AJ$120,0,MATCH(U$2,Inputs!$K$4:$AJ$4,0))))=0,NA(),SUMPRODUCT((Inputs!$A$5:$A$120=$B6)*Inputs!$B$5:$B$120*(((Inputs!$G$5:$G$120="moeda")+(Inputs!$G$5:$G$120="acoes"))*Inputs!$B$1+((Inputs!$G$5:$G$120&lt;&gt;"moeda")*(Inputs!$G$5:$G$120&lt;&gt;"acoes")))*INDEX(Inputs!$K$5:$AJ$120,0,MATCH(U$2,Inputs!$K$4:$AJ$4,0)))+SUMPRODUCT((Inputs!$C$5:$C$120=$B6)*Inputs!$D$5:$D$120*(((Inputs!$G$5:$G$120="moeda")+(Inputs!$G$5:$G$120="acoes"))*Inputs!$B$1+((Inputs!$G$5:$G$120&lt;&gt;"moeda")*(Inputs!$G$5:$G$120&lt;&gt;"acoes")))*INDEX(Inputs!$K$5:$AJ$120,0,MATCH(U$2,Inputs!$K$4:$AJ$4,0)))+SUMPRODUCT((Inputs!$E$5:$E$120=$B6)*Inputs!$F$5:$F$120*(((Inputs!$G$5:$G$120="moeda")+(Inputs!$G$5:$G$120="acoes"))*Inputs!$B$1+((Inputs!$G$5:$G$120&lt;&gt;"moeda")*(Inputs!$G$5:$G$120&lt;&gt;"acoes")))*INDEX(Inputs!$K$5:$AJ$120,0,MATCH(U$2,Inputs!$K$4:$AJ$4,0)))))</f>
        <v>-932</v>
      </c>
      <c r="V6" s="6">
        <f>IF(ISNA(MATCH(V$2,Inputs!$K$4:$AJ$4,0)),NA(),IF(SUMPRODUCT((Inputs!$A$5:$A$120=$B6)*ISNUMBER(INDEX(Inputs!$K$5:$AJ$120,0,MATCH(V$2,Inputs!$K$4:$AJ$4,0))))+SUMPRODUCT((Inputs!$C$5:$C$120=$B6)*ISNUMBER(INDEX(Inputs!$K$5:$AJ$120,0,MATCH(V$2,Inputs!$K$4:$AJ$4,0))))+SUMPRODUCT((Inputs!$E$5:$E$120=$B6)*ISNUMBER(INDEX(Inputs!$K$5:$AJ$120,0,MATCH(V$2,Inputs!$K$4:$AJ$4,0))))=0,NA(),SUMPRODUCT((Inputs!$A$5:$A$120=$B6)*Inputs!$B$5:$B$120*(((Inputs!$G$5:$G$120="moeda")+(Inputs!$G$5:$G$120="acoes"))*Inputs!$B$1+((Inputs!$G$5:$G$120&lt;&gt;"moeda")*(Inputs!$G$5:$G$120&lt;&gt;"acoes")))*INDEX(Inputs!$K$5:$AJ$120,0,MATCH(V$2,Inputs!$K$4:$AJ$4,0)))+SUMPRODUCT((Inputs!$C$5:$C$120=$B6)*Inputs!$D$5:$D$120*(((Inputs!$G$5:$G$120="moeda")+(Inputs!$G$5:$G$120="acoes"))*Inputs!$B$1+((Inputs!$G$5:$G$120&lt;&gt;"moeda")*(Inputs!$G$5:$G$120&lt;&gt;"acoes")))*INDEX(Inputs!$K$5:$AJ$120,0,MATCH(V$2,Inputs!$K$4:$AJ$4,0)))+SUMPRODUCT((Inputs!$E$5:$E$120=$B6)*Inputs!$F$5:$F$120*(((Inputs!$G$5:$G$120="moeda")+(Inputs!$G$5:$G$120="acoes"))*Inputs!$B$1+((Inputs!$G$5:$G$120&lt;&gt;"moeda")*(Inputs!$G$5:$G$120&lt;&gt;"acoes")))*INDEX(Inputs!$K$5:$AJ$120,0,MATCH(V$2,Inputs!$K$4:$AJ$4,0)))))</f>
        <v>-1100</v>
      </c>
      <c r="W6" s="3">
        <f>SUM(S6:V6)</f>
        <v>-5006</v>
      </c>
      <c r="X6" s="6">
        <f>IF(ISNA(MATCH(X$2,Inputs!$K$4:$AJ$4,0)),NA(),IF(SUMPRODUCT((Inputs!$A$5:$A$120=$B6)*ISNUMBER(INDEX(Inputs!$K$5:$AJ$120,0,MATCH(X$2,Inputs!$K$4:$AJ$4,0))))+SUMPRODUCT((Inputs!$C$5:$C$120=$B6)*ISNUMBER(INDEX(Inputs!$K$5:$AJ$120,0,MATCH(X$2,Inputs!$K$4:$AJ$4,0))))+SUMPRODUCT((Inputs!$E$5:$E$120=$B6)*ISNUMBER(INDEX(Inputs!$K$5:$AJ$120,0,MATCH(X$2,Inputs!$K$4:$AJ$4,0))))=0,NA(),SUMPRODUCT((Inputs!$A$5:$A$120=$B6)*Inputs!$B$5:$B$120*(((Inputs!$G$5:$G$120="moeda")+(Inputs!$G$5:$G$120="acoes"))*Inputs!$B$1+((Inputs!$G$5:$G$120&lt;&gt;"moeda")*(Inputs!$G$5:$G$120&lt;&gt;"acoes")))*INDEX(Inputs!$K$5:$AJ$120,0,MATCH(X$2,Inputs!$K$4:$AJ$4,0)))+SUMPRODUCT((Inputs!$C$5:$C$120=$B6)*Inputs!$D$5:$D$120*(((Inputs!$G$5:$G$120="moeda")+(Inputs!$G$5:$G$120="acoes"))*Inputs!$B$1+((Inputs!$G$5:$G$120&lt;&gt;"moeda")*(Inputs!$G$5:$G$120&lt;&gt;"acoes")))*INDEX(Inputs!$K$5:$AJ$120,0,MATCH(X$2,Inputs!$K$4:$AJ$4,0)))+SUMPRODUCT((Inputs!$E$5:$E$120=$B6)*Inputs!$F$5:$F$120*(((Inputs!$G$5:$G$120="moeda")+(Inputs!$G$5:$G$120="acoes"))*Inputs!$B$1+((Inputs!$G$5:$G$120&lt;&gt;"moeda")*(Inputs!$G$5:$G$120&lt;&gt;"acoes")))*INDEX(Inputs!$K$5:$AJ$120,0,MATCH(X$2,Inputs!$K$4:$AJ$4,0)))))</f>
        <v>-1307</v>
      </c>
      <c r="Y6" s="6">
        <f>IF(ISNA(MATCH(Y$2,Inputs!$K$4:$AJ$4,0)),NA(),IF(SUMPRODUCT((Inputs!$A$5:$A$120=$B6)*ISNUMBER(INDEX(Inputs!$K$5:$AJ$120,0,MATCH(Y$2,Inputs!$K$4:$AJ$4,0))))+SUMPRODUCT((Inputs!$C$5:$C$120=$B6)*ISNUMBER(INDEX(Inputs!$K$5:$AJ$120,0,MATCH(Y$2,Inputs!$K$4:$AJ$4,0))))+SUMPRODUCT((Inputs!$E$5:$E$120=$B6)*ISNUMBER(INDEX(Inputs!$K$5:$AJ$120,0,MATCH(Y$2,Inputs!$K$4:$AJ$4,0))))=0,NA(),SUMPRODUCT((Inputs!$A$5:$A$120=$B6)*Inputs!$B$5:$B$120*(((Inputs!$G$5:$G$120="moeda")+(Inputs!$G$5:$G$120="acoes"))*Inputs!$B$1+((Inputs!$G$5:$G$120&lt;&gt;"moeda")*(Inputs!$G$5:$G$120&lt;&gt;"acoes")))*INDEX(Inputs!$K$5:$AJ$120,0,MATCH(Y$2,Inputs!$K$4:$AJ$4,0)))+SUMPRODUCT((Inputs!$C$5:$C$120=$B6)*Inputs!$D$5:$D$120*(((Inputs!$G$5:$G$120="moeda")+(Inputs!$G$5:$G$120="acoes"))*Inputs!$B$1+((Inputs!$G$5:$G$120&lt;&gt;"moeda")*(Inputs!$G$5:$G$120&lt;&gt;"acoes")))*INDEX(Inputs!$K$5:$AJ$120,0,MATCH(Y$2,Inputs!$K$4:$AJ$4,0)))+SUMPRODUCT((Inputs!$E$5:$E$120=$B6)*Inputs!$F$5:$F$120*(((Inputs!$G$5:$G$120="moeda")+(Inputs!$G$5:$G$120="acoes"))*Inputs!$B$1+((Inputs!$G$5:$G$120&lt;&gt;"moeda")*(Inputs!$G$5:$G$120&lt;&gt;"acoes")))*INDEX(Inputs!$K$5:$AJ$120,0,MATCH(Y$2,Inputs!$K$4:$AJ$4,0)))))</f>
        <v>-1522</v>
      </c>
      <c r="Z6" s="6">
        <f>IF(ISNA(MATCH(Z$2,Inputs!$K$4:$AJ$4,0)),NA(),IF(SUMPRODUCT((Inputs!$A$5:$A$120=$B6)*ISNUMBER(INDEX(Inputs!$K$5:$AJ$120,0,MATCH(Z$2,Inputs!$K$4:$AJ$4,0))))+SUMPRODUCT((Inputs!$C$5:$C$120=$B6)*ISNUMBER(INDEX(Inputs!$K$5:$AJ$120,0,MATCH(Z$2,Inputs!$K$4:$AJ$4,0))))+SUMPRODUCT((Inputs!$E$5:$E$120=$B6)*ISNUMBER(INDEX(Inputs!$K$5:$AJ$120,0,MATCH(Z$2,Inputs!$K$4:$AJ$4,0))))=0,NA(),SUMPRODUCT((Inputs!$A$5:$A$120=$B6)*Inputs!$B$5:$B$120*(((Inputs!$G$5:$G$120="moeda")+(Inputs!$G$5:$G$120="acoes"))*Inputs!$B$1+((Inputs!$G$5:$G$120&lt;&gt;"moeda")*(Inputs!$G$5:$G$120&lt;&gt;"acoes")))*INDEX(Inputs!$K$5:$AJ$120,0,MATCH(Z$2,Inputs!$K$4:$AJ$4,0)))+SUMPRODUCT((Inputs!$C$5:$C$120=$B6)*Inputs!$D$5:$D$120*(((Inputs!$G$5:$G$120="moeda")+(Inputs!$G$5:$G$120="acoes"))*Inputs!$B$1+((Inputs!$G$5:$G$120&lt;&gt;"moeda")*(Inputs!$G$5:$G$120&lt;&gt;"acoes")))*INDEX(Inputs!$K$5:$AJ$120,0,MATCH(Z$2,Inputs!$K$4:$AJ$4,0)))+SUMPRODUCT((Inputs!$E$5:$E$120=$B6)*Inputs!$F$5:$F$120*(((Inputs!$G$5:$G$120="moeda")+(Inputs!$G$5:$G$120="acoes"))*Inputs!$B$1+((Inputs!$G$5:$G$120&lt;&gt;"moeda")*(Inputs!$G$5:$G$120&lt;&gt;"acoes")))*INDEX(Inputs!$K$5:$AJ$120,0,MATCH(Z$2,Inputs!$K$4:$AJ$4,0)))))</f>
        <v>-1805</v>
      </c>
      <c r="AA6" s="6">
        <f>IF(ISNA(MATCH(AA$2,Inputs!$K$4:$AJ$4,0)),NA(),IF(SUMPRODUCT((Inputs!$A$5:$A$120=$B6)*ISNUMBER(INDEX(Inputs!$K$5:$AJ$120,0,MATCH(AA$2,Inputs!$K$4:$AJ$4,0))))+SUMPRODUCT((Inputs!$C$5:$C$120=$B6)*ISNUMBER(INDEX(Inputs!$K$5:$AJ$120,0,MATCH(AA$2,Inputs!$K$4:$AJ$4,0))))+SUMPRODUCT((Inputs!$E$5:$E$120=$B6)*ISNUMBER(INDEX(Inputs!$K$5:$AJ$120,0,MATCH(AA$2,Inputs!$K$4:$AJ$4,0))))=0,NA(),SUMPRODUCT((Inputs!$A$5:$A$120=$B6)*Inputs!$B$5:$B$120*(((Inputs!$G$5:$G$120="moeda")+(Inputs!$G$5:$G$120="acoes"))*Inputs!$B$1+((Inputs!$G$5:$G$120&lt;&gt;"moeda")*(Inputs!$G$5:$G$120&lt;&gt;"acoes")))*INDEX(Inputs!$K$5:$AJ$120,0,MATCH(AA$2,Inputs!$K$4:$AJ$4,0)))+SUMPRODUCT((Inputs!$C$5:$C$120=$B6)*Inputs!$D$5:$D$120*(((Inputs!$G$5:$G$120="moeda")+(Inputs!$G$5:$G$120="acoes"))*Inputs!$B$1+((Inputs!$G$5:$G$120&lt;&gt;"moeda")*(Inputs!$G$5:$G$120&lt;&gt;"acoes")))*INDEX(Inputs!$K$5:$AJ$120,0,MATCH(AA$2,Inputs!$K$4:$AJ$4,0)))+SUMPRODUCT((Inputs!$E$5:$E$120=$B6)*Inputs!$F$5:$F$120*(((Inputs!$G$5:$G$120="moeda")+(Inputs!$G$5:$G$120="acoes"))*Inputs!$B$1+((Inputs!$G$5:$G$120&lt;&gt;"moeda")*(Inputs!$G$5:$G$120&lt;&gt;"acoes")))*INDEX(Inputs!$K$5:$AJ$120,0,MATCH(AA$2,Inputs!$K$4:$AJ$4,0)))))</f>
        <v>-1957</v>
      </c>
      <c r="AB6" s="3">
        <f>SUM(X6:AA6)</f>
        <v>-6591</v>
      </c>
      <c r="AC6" s="6">
        <f>IF(ISNA(MATCH(AC$2,Inputs!$K$4:$AJ$4,0)),NA(),IF(SUMPRODUCT((Inputs!$A$5:$A$120=$B6)*ISNUMBER(INDEX(Inputs!$K$5:$AJ$120,0,MATCH(AC$2,Inputs!$K$4:$AJ$4,0))))+SUMPRODUCT((Inputs!$C$5:$C$120=$B6)*ISNUMBER(INDEX(Inputs!$K$5:$AJ$120,0,MATCH(AC$2,Inputs!$K$4:$AJ$4,0))))+SUMPRODUCT((Inputs!$E$5:$E$120=$B6)*ISNUMBER(INDEX(Inputs!$K$5:$AJ$120,0,MATCH(AC$2,Inputs!$K$4:$AJ$4,0))))=0,NA(),SUMPRODUCT((Inputs!$A$5:$A$120=$B6)*Inputs!$B$5:$B$120*(((Inputs!$G$5:$G$120="moeda")+(Inputs!$G$5:$G$120="acoes"))*Inputs!$B$1+((Inputs!$G$5:$G$120&lt;&gt;"moeda")*(Inputs!$G$5:$G$120&lt;&gt;"acoes")))*INDEX(Inputs!$K$5:$AJ$120,0,MATCH(AC$2,Inputs!$K$4:$AJ$4,0)))+SUMPRODUCT((Inputs!$C$5:$C$120=$B6)*Inputs!$D$5:$D$120*(((Inputs!$G$5:$G$120="moeda")+(Inputs!$G$5:$G$120="acoes"))*Inputs!$B$1+((Inputs!$G$5:$G$120&lt;&gt;"moeda")*(Inputs!$G$5:$G$120&lt;&gt;"acoes")))*INDEX(Inputs!$K$5:$AJ$120,0,MATCH(AC$2,Inputs!$K$4:$AJ$4,0)))+SUMPRODUCT((Inputs!$E$5:$E$120=$B6)*Inputs!$F$5:$F$120*(((Inputs!$G$5:$G$120="moeda")+(Inputs!$G$5:$G$120="acoes"))*Inputs!$B$1+((Inputs!$G$5:$G$120&lt;&gt;"moeda")*(Inputs!$G$5:$G$120&lt;&gt;"acoes")))*INDEX(Inputs!$K$5:$AJ$120,0,MATCH(AC$2,Inputs!$K$4:$AJ$4,0)))))</f>
        <v>-2189</v>
      </c>
      <c r="AD6" s="6">
        <f>IF(ISNA(MATCH(AD$2,Inputs!$K$4:$AJ$4,0)),NA(),IF(SUMPRODUCT((Inputs!$A$5:$A$120=$B6)*ISNUMBER(INDEX(Inputs!$K$5:$AJ$120,0,MATCH(AD$2,Inputs!$K$4:$AJ$4,0))))+SUMPRODUCT((Inputs!$C$5:$C$120=$B6)*ISNUMBER(INDEX(Inputs!$K$5:$AJ$120,0,MATCH(AD$2,Inputs!$K$4:$AJ$4,0))))+SUMPRODUCT((Inputs!$E$5:$E$120=$B6)*ISNUMBER(INDEX(Inputs!$K$5:$AJ$120,0,MATCH(AD$2,Inputs!$K$4:$AJ$4,0))))=0,NA(),SUMPRODUCT((Inputs!$A$5:$A$120=$B6)*Inputs!$B$5:$B$120*(((Inputs!$G$5:$G$120="moeda")+(Inputs!$G$5:$G$120="acoes"))*Inputs!$B$1+((Inputs!$G$5:$G$120&lt;&gt;"moeda")*(Inputs!$G$5:$G$120&lt;&gt;"acoes")))*INDEX(Inputs!$K$5:$AJ$120,0,MATCH(AD$2,Inputs!$K$4:$AJ$4,0)))+SUMPRODUCT((Inputs!$C$5:$C$120=$B6)*Inputs!$D$5:$D$120*(((Inputs!$G$5:$G$120="moeda")+(Inputs!$G$5:$G$120="acoes"))*Inputs!$B$1+((Inputs!$G$5:$G$120&lt;&gt;"moeda")*(Inputs!$G$5:$G$120&lt;&gt;"acoes")))*INDEX(Inputs!$K$5:$AJ$120,0,MATCH(AD$2,Inputs!$K$4:$AJ$4,0)))+SUMPRODUCT((Inputs!$E$5:$E$120=$B6)*Inputs!$F$5:$F$120*(((Inputs!$G$5:$G$120="moeda")+(Inputs!$G$5:$G$120="acoes"))*Inputs!$B$1+((Inputs!$G$5:$G$120&lt;&gt;"moeda")*(Inputs!$G$5:$G$120&lt;&gt;"acoes")))*INDEX(Inputs!$K$5:$AJ$120,0,MATCH(AD$2,Inputs!$K$4:$AJ$4,0)))))</f>
        <v>-2734</v>
      </c>
      <c r="AE6" s="6" t="e">
        <f>IF(ISNA(MATCH(AE$2,Inputs!$K$4:$AJ$4,0)),NA(),IF(SUMPRODUCT((Inputs!$A$5:$A$120=$B6)*ISNUMBER(INDEX(Inputs!$K$5:$AJ$120,0,MATCH(AE$2,Inputs!$K$4:$AJ$4,0))))+SUMPRODUCT((Inputs!$C$5:$C$120=$B6)*ISNUMBER(INDEX(Inputs!$K$5:$AJ$120,0,MATCH(AE$2,Inputs!$K$4:$AJ$4,0))))+SUMPRODUCT((Inputs!$E$5:$E$120=$B6)*ISNUMBER(INDEX(Inputs!$K$5:$AJ$120,0,MATCH(AE$2,Inputs!$K$4:$AJ$4,0))))=0,NA(),SUMPRODUCT((Inputs!$A$5:$A$120=$B6)*Inputs!$B$5:$B$120*(((Inputs!$G$5:$G$120="moeda")+(Inputs!$G$5:$G$120="acoes"))*Inputs!$B$1+((Inputs!$G$5:$G$120&lt;&gt;"moeda")*(Inputs!$G$5:$G$120&lt;&gt;"acoes")))*INDEX(Inputs!$K$5:$AJ$120,0,MATCH(AE$2,Inputs!$K$4:$AJ$4,0)))+SUMPRODUCT((Inputs!$C$5:$C$120=$B6)*Inputs!$D$5:$D$120*(((Inputs!$G$5:$G$120="moeda")+(Inputs!$G$5:$G$120="acoes"))*Inputs!$B$1+((Inputs!$G$5:$G$120&lt;&gt;"moeda")*(Inputs!$G$5:$G$120&lt;&gt;"acoes")))*INDEX(Inputs!$K$5:$AJ$120,0,MATCH(AE$2,Inputs!$K$4:$AJ$4,0)))+SUMPRODUCT((Inputs!$E$5:$E$120=$B6)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6" s="6" t="e">
        <f>IF(ISNA(MATCH(AF$2,Inputs!$K$4:$AJ$4,0)),NA(),IF(SUMPRODUCT((Inputs!$A$5:$A$120=$B6)*ISNUMBER(INDEX(Inputs!$K$5:$AJ$120,0,MATCH(AF$2,Inputs!$K$4:$AJ$4,0))))+SUMPRODUCT((Inputs!$C$5:$C$120=$B6)*ISNUMBER(INDEX(Inputs!$K$5:$AJ$120,0,MATCH(AF$2,Inputs!$K$4:$AJ$4,0))))+SUMPRODUCT((Inputs!$E$5:$E$120=$B6)*ISNUMBER(INDEX(Inputs!$K$5:$AJ$120,0,MATCH(AF$2,Inputs!$K$4:$AJ$4,0))))=0,NA(),SUMPRODUCT((Inputs!$A$5:$A$120=$B6)*Inputs!$B$5:$B$120*(((Inputs!$G$5:$G$120="moeda")+(Inputs!$G$5:$G$120="acoes"))*Inputs!$B$1+((Inputs!$G$5:$G$120&lt;&gt;"moeda")*(Inputs!$G$5:$G$120&lt;&gt;"acoes")))*INDEX(Inputs!$K$5:$AJ$120,0,MATCH(AF$2,Inputs!$K$4:$AJ$4,0)))+SUMPRODUCT((Inputs!$C$5:$C$120=$B6)*Inputs!$D$5:$D$120*(((Inputs!$G$5:$G$120="moeda")+(Inputs!$G$5:$G$120="acoes"))*Inputs!$B$1+((Inputs!$G$5:$G$120&lt;&gt;"moeda")*(Inputs!$G$5:$G$120&lt;&gt;"acoes")))*INDEX(Inputs!$K$5:$AJ$120,0,MATCH(AF$2,Inputs!$K$4:$AJ$4,0)))+SUMPRODUCT((Inputs!$E$5:$E$120=$B6)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6" s="3" t="e">
        <f>SUM(AC6:AF6)</f>
        <v>#N/A</v>
      </c>
      <c r="AH6" s="6">
        <f>IF(ISNA(MATCH(AH$2,Inputs!$K$4:$AJ$4,0)),NA(),IF(SUMPRODUCT((Inputs!$A$5:$A$120=$B6)*ISNUMBER(INDEX(Inputs!$K$5:$AJ$120,0,MATCH(AH$2,Inputs!$K$4:$AJ$4,0))))+SUMPRODUCT((Inputs!$C$5:$C$120=$B6)*ISNUMBER(INDEX(Inputs!$K$5:$AJ$120,0,MATCH(AH$2,Inputs!$K$4:$AJ$4,0))))+SUMPRODUCT((Inputs!$E$5:$E$120=$B6)*ISNUMBER(INDEX(Inputs!$K$5:$AJ$120,0,MATCH(AH$2,Inputs!$K$4:$AJ$4,0))))=0,NA(),SUMPRODUCT((Inputs!$A$5:$A$120=$B6)*Inputs!$B$5:$B$120*(((Inputs!$G$5:$G$120="moeda")+(Inputs!$G$5:$G$120="acoes"))*Inputs!$B$1+((Inputs!$G$5:$G$120&lt;&gt;"moeda")*(Inputs!$G$5:$G$120&lt;&gt;"acoes")))*INDEX(Inputs!$K$5:$AJ$120,0,MATCH(AH$2,Inputs!$K$4:$AJ$4,0)))+SUMPRODUCT((Inputs!$C$5:$C$120=$B6)*Inputs!$D$5:$D$120*(((Inputs!$G$5:$G$120="moeda")+(Inputs!$G$5:$G$120="acoes"))*Inputs!$B$1+((Inputs!$G$5:$G$120&lt;&gt;"moeda")*(Inputs!$G$5:$G$120&lt;&gt;"acoes")))*INDEX(Inputs!$K$5:$AJ$120,0,MATCH(AH$2,Inputs!$K$4:$AJ$4,0)))+SUMPRODUCT((Inputs!$E$5:$E$120=$B6)*Inputs!$F$5:$F$120*(((Inputs!$G$5:$G$120="moeda")+(Inputs!$G$5:$G$120="acoes"))*Inputs!$B$1+((Inputs!$G$5:$G$120&lt;&gt;"moeda")*(Inputs!$G$5:$G$120&lt;&gt;"acoes")))*INDEX(Inputs!$K$5:$AJ$120,0,MATCH(AH$2,Inputs!$K$4:$AJ$4,0)))))</f>
        <v>-398</v>
      </c>
      <c r="AI6" s="6">
        <f>IF(ISNA(MATCH(AI$2,Inputs!$K$4:$AJ$4,0)),NA(),IF(SUMPRODUCT((Inputs!$A$5:$A$120=$B6)*ISNUMBER(INDEX(Inputs!$K$5:$AJ$120,0,MATCH(AI$2,Inputs!$K$4:$AJ$4,0))))+SUMPRODUCT((Inputs!$C$5:$C$120=$B6)*ISNUMBER(INDEX(Inputs!$K$5:$AJ$120,0,MATCH(AI$2,Inputs!$K$4:$AJ$4,0))))+SUMPRODUCT((Inputs!$E$5:$E$120=$B6)*ISNUMBER(INDEX(Inputs!$K$5:$AJ$120,0,MATCH(AI$2,Inputs!$K$4:$AJ$4,0))))=0,NA(),SUMPRODUCT((Inputs!$A$5:$A$120=$B6)*Inputs!$B$5:$B$120*(((Inputs!$G$5:$G$120="moeda")+(Inputs!$G$5:$G$120="acoes"))*Inputs!$B$1+((Inputs!$G$5:$G$120&lt;&gt;"moeda")*(Inputs!$G$5:$G$120&lt;&gt;"acoes")))*INDEX(Inputs!$K$5:$AJ$120,0,MATCH(AI$2,Inputs!$K$4:$AJ$4,0)))+SUMPRODUCT((Inputs!$C$5:$C$120=$B6)*Inputs!$D$5:$D$120*(((Inputs!$G$5:$G$120="moeda")+(Inputs!$G$5:$G$120="acoes"))*Inputs!$B$1+((Inputs!$G$5:$G$120&lt;&gt;"moeda")*(Inputs!$G$5:$G$120&lt;&gt;"acoes")))*INDEX(Inputs!$K$5:$AJ$120,0,MATCH(AI$2,Inputs!$K$4:$AJ$4,0)))+SUMPRODUCT((Inputs!$E$5:$E$120=$B6)*Inputs!$F$5:$F$120*(((Inputs!$G$5:$G$120="moeda")+(Inputs!$G$5:$G$120="acoes"))*Inputs!$B$1+((Inputs!$G$5:$G$120&lt;&gt;"moeda")*(Inputs!$G$5:$G$120&lt;&gt;"acoes")))*INDEX(Inputs!$K$5:$AJ$120,0,MATCH(AI$2,Inputs!$K$4:$AJ$4,0)))))</f>
        <v>-373</v>
      </c>
      <c r="AJ6" s="6">
        <f>IF(ISNA(MATCH(AJ$2,Inputs!$K$4:$AJ$4,0)),NA(),IF(SUMPRODUCT((Inputs!$A$5:$A$120=$B6)*ISNUMBER(INDEX(Inputs!$K$5:$AJ$120,0,MATCH(AJ$2,Inputs!$K$4:$AJ$4,0))))+SUMPRODUCT((Inputs!$C$5:$C$120=$B6)*ISNUMBER(INDEX(Inputs!$K$5:$AJ$120,0,MATCH(AJ$2,Inputs!$K$4:$AJ$4,0))))+SUMPRODUCT((Inputs!$E$5:$E$120=$B6)*ISNUMBER(INDEX(Inputs!$K$5:$AJ$120,0,MATCH(AJ$2,Inputs!$K$4:$AJ$4,0))))=0,NA(),SUMPRODUCT((Inputs!$A$5:$A$120=$B6)*Inputs!$B$5:$B$120*(((Inputs!$G$5:$G$120="moeda")+(Inputs!$G$5:$G$120="acoes"))*Inputs!$B$1+((Inputs!$G$5:$G$120&lt;&gt;"moeda")*(Inputs!$G$5:$G$120&lt;&gt;"acoes")))*INDEX(Inputs!$K$5:$AJ$120,0,MATCH(AJ$2,Inputs!$K$4:$AJ$4,0)))+SUMPRODUCT((Inputs!$C$5:$C$120=$B6)*Inputs!$D$5:$D$120*(((Inputs!$G$5:$G$120="moeda")+(Inputs!$G$5:$G$120="acoes"))*Inputs!$B$1+((Inputs!$G$5:$G$120&lt;&gt;"moeda")*(Inputs!$G$5:$G$120&lt;&gt;"acoes")))*INDEX(Inputs!$K$5:$AJ$120,0,MATCH(AJ$2,Inputs!$K$4:$AJ$4,0)))+SUMPRODUCT((Inputs!$E$5:$E$120=$B6)*Inputs!$F$5:$F$120*(((Inputs!$G$5:$G$120="moeda")+(Inputs!$G$5:$G$120="acoes"))*Inputs!$B$1+((Inputs!$G$5:$G$120&lt;&gt;"moeda")*(Inputs!$G$5:$G$120&lt;&gt;"acoes")))*INDEX(Inputs!$K$5:$AJ$120,0,MATCH(AJ$2,Inputs!$K$4:$AJ$4,0)))))</f>
        <v>-670</v>
      </c>
      <c r="AK6" s="6">
        <f>IF(ISNA(MATCH(AK$2,Inputs!$K$4:$AJ$4,0)),NA(),IF(SUMPRODUCT((Inputs!$A$5:$A$120=$B6)*ISNUMBER(INDEX(Inputs!$K$5:$AJ$120,0,MATCH(AK$2,Inputs!$K$4:$AJ$4,0))))+SUMPRODUCT((Inputs!$C$5:$C$120=$B6)*ISNUMBER(INDEX(Inputs!$K$5:$AJ$120,0,MATCH(AK$2,Inputs!$K$4:$AJ$4,0))))+SUMPRODUCT((Inputs!$E$5:$E$120=$B6)*ISNUMBER(INDEX(Inputs!$K$5:$AJ$120,0,MATCH(AK$2,Inputs!$K$4:$AJ$4,0))))=0,NA(),SUMPRODUCT((Inputs!$A$5:$A$120=$B6)*Inputs!$B$5:$B$120*(((Inputs!$G$5:$G$120="moeda")+(Inputs!$G$5:$G$120="acoes"))*Inputs!$B$1+((Inputs!$G$5:$G$120&lt;&gt;"moeda")*(Inputs!$G$5:$G$120&lt;&gt;"acoes")))*INDEX(Inputs!$K$5:$AJ$120,0,MATCH(AK$2,Inputs!$K$4:$AJ$4,0)))+SUMPRODUCT((Inputs!$C$5:$C$120=$B6)*Inputs!$D$5:$D$120*(((Inputs!$G$5:$G$120="moeda")+(Inputs!$G$5:$G$120="acoes"))*Inputs!$B$1+((Inputs!$G$5:$G$120&lt;&gt;"moeda")*(Inputs!$G$5:$G$120&lt;&gt;"acoes")))*INDEX(Inputs!$K$5:$AJ$120,0,MATCH(AK$2,Inputs!$K$4:$AJ$4,0)))+SUMPRODUCT((Inputs!$E$5:$E$120=$B6)*Inputs!$F$5:$F$120*(((Inputs!$G$5:$G$120="moeda")+(Inputs!$G$5:$G$120="acoes"))*Inputs!$B$1+((Inputs!$G$5:$G$120&lt;&gt;"moeda")*(Inputs!$G$5:$G$120&lt;&gt;"acoes")))*INDEX(Inputs!$K$5:$AJ$120,0,MATCH(AK$2,Inputs!$K$4:$AJ$4,0)))))</f>
        <v>-873</v>
      </c>
      <c r="AL6" s="3">
        <f>SUM(AH6:AK6)</f>
        <v>-2314</v>
      </c>
    </row>
    <row r="7">
      <c r="B7" s="46" t="n">
        <v>4</v>
      </c>
      <c r="C7" s="24" t="inlineStr">
        <is>
          <t>D&amp;A</t>
        </is>
      </c>
      <c r="D7" s="6">
        <f>IF(ISNA(MATCH(D$2,Inputs!$K$4:$AJ$4,0)),NA(),IF(SUMPRODUCT((Inputs!$A$5:$A$120=$B7)*ISNUMBER(INDEX(Inputs!$K$5:$AJ$120,0,MATCH(D$2,Inputs!$K$4:$AJ$4,0))))+SUMPRODUCT((Inputs!$C$5:$C$120=$B7)*ISNUMBER(INDEX(Inputs!$K$5:$AJ$120,0,MATCH(D$2,Inputs!$K$4:$AJ$4,0))))+SUMPRODUCT((Inputs!$E$5:$E$120=$B7)*ISNUMBER(INDEX(Inputs!$K$5:$AJ$120,0,MATCH(D$2,Inputs!$K$4:$AJ$4,0))))=0,NA(),SUMPRODUCT((Inputs!$A$5:$A$120=$B7)*Inputs!$B$5:$B$120*(((Inputs!$G$5:$G$120="moeda")+(Inputs!$G$5:$G$120="acoes"))*Inputs!$B$1+((Inputs!$G$5:$G$120&lt;&gt;"moeda")*(Inputs!$G$5:$G$120&lt;&gt;"acoes")))*INDEX(Inputs!$K$5:$AJ$120,0,MATCH(D$2,Inputs!$K$4:$AJ$4,0)))+SUMPRODUCT((Inputs!$C$5:$C$120=$B7)*Inputs!$D$5:$D$120*(((Inputs!$G$5:$G$120="moeda")+(Inputs!$G$5:$G$120="acoes"))*Inputs!$B$1+((Inputs!$G$5:$G$120&lt;&gt;"moeda")*(Inputs!$G$5:$G$120&lt;&gt;"acoes")))*INDEX(Inputs!$K$5:$AJ$120,0,MATCH(D$2,Inputs!$K$4:$AJ$4,0)))+SUMPRODUCT((Inputs!$E$5:$E$120=$B7)*Inputs!$F$5:$F$120*(((Inputs!$G$5:$G$120="moeda")+(Inputs!$G$5:$G$120="acoes"))*Inputs!$B$1+((Inputs!$G$5:$G$120&lt;&gt;"moeda")*(Inputs!$G$5:$G$120&lt;&gt;"acoes")))*INDEX(Inputs!$K$5:$AJ$120,0,MATCH(D$2,Inputs!$K$4:$AJ$4,0)))))</f>
        <v>-621</v>
      </c>
      <c r="E7" s="6">
        <f>IF(ISNA(MATCH(E$2,Inputs!$K$4:$AJ$4,0)),NA(),IF(SUMPRODUCT((Inputs!$A$5:$A$120=$B7)*ISNUMBER(INDEX(Inputs!$K$5:$AJ$120,0,MATCH(E$2,Inputs!$K$4:$AJ$4,0))))+SUMPRODUCT((Inputs!$C$5:$C$120=$B7)*ISNUMBER(INDEX(Inputs!$K$5:$AJ$120,0,MATCH(E$2,Inputs!$K$4:$AJ$4,0))))+SUMPRODUCT((Inputs!$E$5:$E$120=$B7)*ISNUMBER(INDEX(Inputs!$K$5:$AJ$120,0,MATCH(E$2,Inputs!$K$4:$AJ$4,0))))=0,NA(),SUMPRODUCT((Inputs!$A$5:$A$120=$B7)*Inputs!$B$5:$B$120*(((Inputs!$G$5:$G$120="moeda")+(Inputs!$G$5:$G$120="acoes"))*Inputs!$B$1+((Inputs!$G$5:$G$120&lt;&gt;"moeda")*(Inputs!$G$5:$G$120&lt;&gt;"acoes")))*INDEX(Inputs!$K$5:$AJ$120,0,MATCH(E$2,Inputs!$K$4:$AJ$4,0)))+SUMPRODUCT((Inputs!$C$5:$C$120=$B7)*Inputs!$D$5:$D$120*(((Inputs!$G$5:$G$120="moeda")+(Inputs!$G$5:$G$120="acoes"))*Inputs!$B$1+((Inputs!$G$5:$G$120&lt;&gt;"moeda")*(Inputs!$G$5:$G$120&lt;&gt;"acoes")))*INDEX(Inputs!$K$5:$AJ$120,0,MATCH(E$2,Inputs!$K$4:$AJ$4,0)))+SUMPRODUCT((Inputs!$E$5:$E$120=$B7)*Inputs!$F$5:$F$120*(((Inputs!$G$5:$G$120="moeda")+(Inputs!$G$5:$G$120="acoes"))*Inputs!$B$1+((Inputs!$G$5:$G$120&lt;&gt;"moeda")*(Inputs!$G$5:$G$120&lt;&gt;"acoes")))*INDEX(Inputs!$K$5:$AJ$120,0,MATCH(E$2,Inputs!$K$4:$AJ$4,0)))))</f>
        <v>-681</v>
      </c>
      <c r="F7" s="6">
        <f>IF(ISNA(MATCH(F$2,Inputs!$K$4:$AJ$4,0)),NA(),IF(SUMPRODUCT((Inputs!$A$5:$A$120=$B7)*ISNUMBER(INDEX(Inputs!$K$5:$AJ$120,0,MATCH(F$2,Inputs!$K$4:$AJ$4,0))))+SUMPRODUCT((Inputs!$C$5:$C$120=$B7)*ISNUMBER(INDEX(Inputs!$K$5:$AJ$120,0,MATCH(F$2,Inputs!$K$4:$AJ$4,0))))+SUMPRODUCT((Inputs!$E$5:$E$120=$B7)*ISNUMBER(INDEX(Inputs!$K$5:$AJ$120,0,MATCH(F$2,Inputs!$K$4:$AJ$4,0))))=0,NA(),SUMPRODUCT((Inputs!$A$5:$A$120=$B7)*Inputs!$B$5:$B$120*(((Inputs!$G$5:$G$120="moeda")+(Inputs!$G$5:$G$120="acoes"))*Inputs!$B$1+((Inputs!$G$5:$G$120&lt;&gt;"moeda")*(Inputs!$G$5:$G$120&lt;&gt;"acoes")))*INDEX(Inputs!$K$5:$AJ$120,0,MATCH(F$2,Inputs!$K$4:$AJ$4,0)))+SUMPRODUCT((Inputs!$C$5:$C$120=$B7)*Inputs!$D$5:$D$120*(((Inputs!$G$5:$G$120="moeda")+(Inputs!$G$5:$G$120="acoes"))*Inputs!$B$1+((Inputs!$G$5:$G$120&lt;&gt;"moeda")*(Inputs!$G$5:$G$120&lt;&gt;"acoes")))*INDEX(Inputs!$K$5:$AJ$120,0,MATCH(F$2,Inputs!$K$4:$AJ$4,0)))+SUMPRODUCT((Inputs!$E$5:$E$120=$B7)*Inputs!$F$5:$F$120*(((Inputs!$G$5:$G$120="moeda")+(Inputs!$G$5:$G$120="acoes"))*Inputs!$B$1+((Inputs!$G$5:$G$120&lt;&gt;"moeda")*(Inputs!$G$5:$G$120&lt;&gt;"acoes")))*INDEX(Inputs!$K$5:$AJ$120,0,MATCH(F$2,Inputs!$K$4:$AJ$4,0)))))</f>
        <v>-761</v>
      </c>
      <c r="G7" s="6">
        <f>IF(ISNA(MATCH(G$2,Inputs!$K$4:$AJ$4,0)),NA(),IF(SUMPRODUCT((Inputs!$A$5:$A$120=$B7)*ISNUMBER(INDEX(Inputs!$K$5:$AJ$120,0,MATCH(G$2,Inputs!$K$4:$AJ$4,0))))+SUMPRODUCT((Inputs!$C$5:$C$120=$B7)*ISNUMBER(INDEX(Inputs!$K$5:$AJ$120,0,MATCH(G$2,Inputs!$K$4:$AJ$4,0))))+SUMPRODUCT((Inputs!$E$5:$E$120=$B7)*ISNUMBER(INDEX(Inputs!$K$5:$AJ$120,0,MATCH(G$2,Inputs!$K$4:$AJ$4,0))))=0,NA(),SUMPRODUCT((Inputs!$A$5:$A$120=$B7)*Inputs!$B$5:$B$120*(((Inputs!$G$5:$G$120="moeda")+(Inputs!$G$5:$G$120="acoes"))*Inputs!$B$1+((Inputs!$G$5:$G$120&lt;&gt;"moeda")*(Inputs!$G$5:$G$120&lt;&gt;"acoes")))*INDEX(Inputs!$K$5:$AJ$120,0,MATCH(G$2,Inputs!$K$4:$AJ$4,0)))+SUMPRODUCT((Inputs!$C$5:$C$120=$B7)*Inputs!$D$5:$D$120*(((Inputs!$G$5:$G$120="moeda")+(Inputs!$G$5:$G$120="acoes"))*Inputs!$B$1+((Inputs!$G$5:$G$120&lt;&gt;"moeda")*(Inputs!$G$5:$G$120&lt;&gt;"acoes")))*INDEX(Inputs!$K$5:$AJ$120,0,MATCH(G$2,Inputs!$K$4:$AJ$4,0)))+SUMPRODUCT((Inputs!$E$5:$E$120=$B7)*Inputs!$F$5:$F$120*(((Inputs!$G$5:$G$120="moeda")+(Inputs!$G$5:$G$120="acoes"))*Inputs!$B$1+((Inputs!$G$5:$G$120&lt;&gt;"moeda")*(Inputs!$G$5:$G$120&lt;&gt;"acoes")))*INDEX(Inputs!$K$5:$AJ$120,0,MATCH(G$2,Inputs!$K$4:$AJ$4,0)))))</f>
        <v>-848</v>
      </c>
      <c r="H7" s="3">
        <f>SUM(D7:G7)</f>
        <v>-2911</v>
      </c>
      <c r="I7" s="6">
        <f>IF(ISNA(MATCH(I$2,Inputs!$K$4:$AJ$4,0)),NA(),IF(SUMPRODUCT((Inputs!$A$5:$A$120=$B7)*ISNUMBER(INDEX(Inputs!$K$5:$AJ$120,0,MATCH(I$2,Inputs!$K$4:$AJ$4,0))))+SUMPRODUCT((Inputs!$C$5:$C$120=$B7)*ISNUMBER(INDEX(Inputs!$K$5:$AJ$120,0,MATCH(I$2,Inputs!$K$4:$AJ$4,0))))+SUMPRODUCT((Inputs!$E$5:$E$120=$B7)*ISNUMBER(INDEX(Inputs!$K$5:$AJ$120,0,MATCH(I$2,Inputs!$K$4:$AJ$4,0))))=0,NA(),SUMPRODUCT((Inputs!$A$5:$A$120=$B7)*Inputs!$B$5:$B$120*(((Inputs!$G$5:$G$120="moeda")+(Inputs!$G$5:$G$120="acoes"))*Inputs!$B$1+((Inputs!$G$5:$G$120&lt;&gt;"moeda")*(Inputs!$G$5:$G$120&lt;&gt;"acoes")))*INDEX(Inputs!$K$5:$AJ$120,0,MATCH(I$2,Inputs!$K$4:$AJ$4,0)))+SUMPRODUCT((Inputs!$C$5:$C$120=$B7)*Inputs!$D$5:$D$120*(((Inputs!$G$5:$G$120="moeda")+(Inputs!$G$5:$G$120="acoes"))*Inputs!$B$1+((Inputs!$G$5:$G$120&lt;&gt;"moeda")*(Inputs!$G$5:$G$120&lt;&gt;"acoes")))*INDEX(Inputs!$K$5:$AJ$120,0,MATCH(I$2,Inputs!$K$4:$AJ$4,0)))+SUMPRODUCT((Inputs!$E$5:$E$120=$B7)*Inputs!$F$5:$F$120*(((Inputs!$G$5:$G$120="moeda")+(Inputs!$G$5:$G$120="acoes"))*Inputs!$B$1+((Inputs!$G$5:$G$120&lt;&gt;"moeda")*(Inputs!$G$5:$G$120&lt;&gt;"acoes")))*INDEX(Inputs!$K$5:$AJ$120,0,MATCH(I$2,Inputs!$K$4:$AJ$4,0)))))</f>
        <v>-880</v>
      </c>
      <c r="J7" s="6">
        <f>IF(ISNA(MATCH(J$2,Inputs!$K$4:$AJ$4,0)),NA(),IF(SUMPRODUCT((Inputs!$A$5:$A$120=$B7)*ISNUMBER(INDEX(Inputs!$K$5:$AJ$120,0,MATCH(J$2,Inputs!$K$4:$AJ$4,0))))+SUMPRODUCT((Inputs!$C$5:$C$120=$B7)*ISNUMBER(INDEX(Inputs!$K$5:$AJ$120,0,MATCH(J$2,Inputs!$K$4:$AJ$4,0))))+SUMPRODUCT((Inputs!$E$5:$E$120=$B7)*ISNUMBER(INDEX(Inputs!$K$5:$AJ$120,0,MATCH(J$2,Inputs!$K$4:$AJ$4,0))))=0,NA(),SUMPRODUCT((Inputs!$A$5:$A$120=$B7)*Inputs!$B$5:$B$120*(((Inputs!$G$5:$G$120="moeda")+(Inputs!$G$5:$G$120="acoes"))*Inputs!$B$1+((Inputs!$G$5:$G$120&lt;&gt;"moeda")*(Inputs!$G$5:$G$120&lt;&gt;"acoes")))*INDEX(Inputs!$K$5:$AJ$120,0,MATCH(J$2,Inputs!$K$4:$AJ$4,0)))+SUMPRODUCT((Inputs!$C$5:$C$120=$B7)*Inputs!$D$5:$D$120*(((Inputs!$G$5:$G$120="moeda")+(Inputs!$G$5:$G$120="acoes"))*Inputs!$B$1+((Inputs!$G$5:$G$120&lt;&gt;"moeda")*(Inputs!$G$5:$G$120&lt;&gt;"acoes")))*INDEX(Inputs!$K$5:$AJ$120,0,MATCH(J$2,Inputs!$K$4:$AJ$4,0)))+SUMPRODUCT((Inputs!$E$5:$E$120=$B7)*Inputs!$F$5:$F$120*(((Inputs!$G$5:$G$120="moeda")+(Inputs!$G$5:$G$120="acoes"))*Inputs!$B$1+((Inputs!$G$5:$G$120&lt;&gt;"moeda")*(Inputs!$G$5:$G$120&lt;&gt;"acoes")))*INDEX(Inputs!$K$5:$AJ$120,0,MATCH(J$2,Inputs!$K$4:$AJ$4,0)))))</f>
        <v>-922</v>
      </c>
      <c r="K7" s="6">
        <f>IF(ISNA(MATCH(K$2,Inputs!$K$4:$AJ$4,0)),NA(),IF(SUMPRODUCT((Inputs!$A$5:$A$120=$B7)*ISNUMBER(INDEX(Inputs!$K$5:$AJ$120,0,MATCH(K$2,Inputs!$K$4:$AJ$4,0))))+SUMPRODUCT((Inputs!$C$5:$C$120=$B7)*ISNUMBER(INDEX(Inputs!$K$5:$AJ$120,0,MATCH(K$2,Inputs!$K$4:$AJ$4,0))))+SUMPRODUCT((Inputs!$E$5:$E$120=$B7)*ISNUMBER(INDEX(Inputs!$K$5:$AJ$120,0,MATCH(K$2,Inputs!$K$4:$AJ$4,0))))=0,NA(),SUMPRODUCT((Inputs!$A$5:$A$120=$B7)*Inputs!$B$5:$B$120*(((Inputs!$G$5:$G$120="moeda")+(Inputs!$G$5:$G$120="acoes"))*Inputs!$B$1+((Inputs!$G$5:$G$120&lt;&gt;"moeda")*(Inputs!$G$5:$G$120&lt;&gt;"acoes")))*INDEX(Inputs!$K$5:$AJ$120,0,MATCH(K$2,Inputs!$K$4:$AJ$4,0)))+SUMPRODUCT((Inputs!$C$5:$C$120=$B7)*Inputs!$D$5:$D$120*(((Inputs!$G$5:$G$120="moeda")+(Inputs!$G$5:$G$120="acoes"))*Inputs!$B$1+((Inputs!$G$5:$G$120&lt;&gt;"moeda")*(Inputs!$G$5:$G$120&lt;&gt;"acoes")))*INDEX(Inputs!$K$5:$AJ$120,0,MATCH(K$2,Inputs!$K$4:$AJ$4,0)))+SUMPRODUCT((Inputs!$E$5:$E$120=$B7)*Inputs!$F$5:$F$120*(((Inputs!$G$5:$G$120="moeda")+(Inputs!$G$5:$G$120="acoes"))*Inputs!$B$1+((Inputs!$G$5:$G$120&lt;&gt;"moeda")*(Inputs!$G$5:$G$120&lt;&gt;"acoes")))*INDEX(Inputs!$K$5:$AJ$120,0,MATCH(K$2,Inputs!$K$4:$AJ$4,0)))))</f>
        <v>-956</v>
      </c>
      <c r="L7" s="6">
        <f>IF(ISNA(MATCH(L$2,Inputs!$K$4:$AJ$4,0)),NA(),IF(SUMPRODUCT((Inputs!$A$5:$A$120=$B7)*ISNUMBER(INDEX(Inputs!$K$5:$AJ$120,0,MATCH(L$2,Inputs!$K$4:$AJ$4,0))))+SUMPRODUCT((Inputs!$C$5:$C$120=$B7)*ISNUMBER(INDEX(Inputs!$K$5:$AJ$120,0,MATCH(L$2,Inputs!$K$4:$AJ$4,0))))+SUMPRODUCT((Inputs!$E$5:$E$120=$B7)*ISNUMBER(INDEX(Inputs!$K$5:$AJ$120,0,MATCH(L$2,Inputs!$K$4:$AJ$4,0))))=0,NA(),SUMPRODUCT((Inputs!$A$5:$A$120=$B7)*Inputs!$B$5:$B$120*(((Inputs!$G$5:$G$120="moeda")+(Inputs!$G$5:$G$120="acoes"))*Inputs!$B$1+((Inputs!$G$5:$G$120&lt;&gt;"moeda")*(Inputs!$G$5:$G$120&lt;&gt;"acoes")))*INDEX(Inputs!$K$5:$AJ$120,0,MATCH(L$2,Inputs!$K$4:$AJ$4,0)))+SUMPRODUCT((Inputs!$C$5:$C$120=$B7)*Inputs!$D$5:$D$120*(((Inputs!$G$5:$G$120="moeda")+(Inputs!$G$5:$G$120="acoes"))*Inputs!$B$1+((Inputs!$G$5:$G$120&lt;&gt;"moeda")*(Inputs!$G$5:$G$120&lt;&gt;"acoes")))*INDEX(Inputs!$K$5:$AJ$120,0,MATCH(L$2,Inputs!$K$4:$AJ$4,0)))+SUMPRODUCT((Inputs!$E$5:$E$120=$B7)*Inputs!$F$5:$F$120*(((Inputs!$G$5:$G$120="moeda")+(Inputs!$G$5:$G$120="acoes"))*Inputs!$B$1+((Inputs!$G$5:$G$120&lt;&gt;"moeda")*(Inputs!$G$5:$G$120&lt;&gt;"acoes")))*INDEX(Inputs!$K$5:$AJ$120,0,MATCH(L$2,Inputs!$K$4:$AJ$4,0)))))</f>
        <v>-989</v>
      </c>
      <c r="M7" s="3">
        <f>SUM(I7:L7)</f>
        <v>-3747</v>
      </c>
      <c r="N7" s="6">
        <f>IF(ISNA(MATCH(N$2,Inputs!$K$4:$AJ$4,0)),NA(),IF(SUMPRODUCT((Inputs!$A$5:$A$120=$B7)*ISNUMBER(INDEX(Inputs!$K$5:$AJ$120,0,MATCH(N$2,Inputs!$K$4:$AJ$4,0))))+SUMPRODUCT((Inputs!$C$5:$C$120=$B7)*ISNUMBER(INDEX(Inputs!$K$5:$AJ$120,0,MATCH(N$2,Inputs!$K$4:$AJ$4,0))))+SUMPRODUCT((Inputs!$E$5:$E$120=$B7)*ISNUMBER(INDEX(Inputs!$K$5:$AJ$120,0,MATCH(N$2,Inputs!$K$4:$AJ$4,0))))=0,NA(),SUMPRODUCT((Inputs!$A$5:$A$120=$B7)*Inputs!$B$5:$B$120*(((Inputs!$G$5:$G$120="moeda")+(Inputs!$G$5:$G$120="acoes"))*Inputs!$B$1+((Inputs!$G$5:$G$120&lt;&gt;"moeda")*(Inputs!$G$5:$G$120&lt;&gt;"acoes")))*INDEX(Inputs!$K$5:$AJ$120,0,MATCH(N$2,Inputs!$K$4:$AJ$4,0)))+SUMPRODUCT((Inputs!$C$5:$C$120=$B7)*Inputs!$D$5:$D$120*(((Inputs!$G$5:$G$120="moeda")+(Inputs!$G$5:$G$120="acoes"))*Inputs!$B$1+((Inputs!$G$5:$G$120&lt;&gt;"moeda")*(Inputs!$G$5:$G$120&lt;&gt;"acoes")))*INDEX(Inputs!$K$5:$AJ$120,0,MATCH(N$2,Inputs!$K$4:$AJ$4,0)))+SUMPRODUCT((Inputs!$E$5:$E$120=$B7)*Inputs!$F$5:$F$120*(((Inputs!$G$5:$G$120="moeda")+(Inputs!$G$5:$G$120="acoes"))*Inputs!$B$1+((Inputs!$G$5:$G$120&lt;&gt;"moeda")*(Inputs!$G$5:$G$120&lt;&gt;"acoes")))*INDEX(Inputs!$K$5:$AJ$120,0,MATCH(N$2,Inputs!$K$4:$AJ$4,0)))))</f>
        <v>-1046</v>
      </c>
      <c r="O7" s="6">
        <f>IF(ISNA(MATCH(O$2,Inputs!$K$4:$AJ$4,0)),NA(),IF(SUMPRODUCT((Inputs!$A$5:$A$120=$B7)*ISNUMBER(INDEX(Inputs!$K$5:$AJ$120,0,MATCH(O$2,Inputs!$K$4:$AJ$4,0))))+SUMPRODUCT((Inputs!$C$5:$C$120=$B7)*ISNUMBER(INDEX(Inputs!$K$5:$AJ$120,0,MATCH(O$2,Inputs!$K$4:$AJ$4,0))))+SUMPRODUCT((Inputs!$E$5:$E$120=$B7)*ISNUMBER(INDEX(Inputs!$K$5:$AJ$120,0,MATCH(O$2,Inputs!$K$4:$AJ$4,0))))=0,NA(),SUMPRODUCT((Inputs!$A$5:$A$120=$B7)*Inputs!$B$5:$B$120*(((Inputs!$G$5:$G$120="moeda")+(Inputs!$G$5:$G$120="acoes"))*Inputs!$B$1+((Inputs!$G$5:$G$120&lt;&gt;"moeda")*(Inputs!$G$5:$G$120&lt;&gt;"acoes")))*INDEX(Inputs!$K$5:$AJ$120,0,MATCH(O$2,Inputs!$K$4:$AJ$4,0)))+SUMPRODUCT((Inputs!$C$5:$C$120=$B7)*Inputs!$D$5:$D$120*(((Inputs!$G$5:$G$120="moeda")+(Inputs!$G$5:$G$120="acoes"))*Inputs!$B$1+((Inputs!$G$5:$G$120&lt;&gt;"moeda")*(Inputs!$G$5:$G$120&lt;&gt;"acoes")))*INDEX(Inputs!$K$5:$AJ$120,0,MATCH(O$2,Inputs!$K$4:$AJ$4,0)))+SUMPRODUCT((Inputs!$E$5:$E$120=$B7)*Inputs!$F$5:$F$120*(((Inputs!$G$5:$G$120="moeda")+(Inputs!$G$5:$G$120="acoes"))*Inputs!$B$1+((Inputs!$G$5:$G$120&lt;&gt;"moeda")*(Inputs!$G$5:$G$120&lt;&gt;"acoes")))*INDEX(Inputs!$K$5:$AJ$120,0,MATCH(O$2,Inputs!$K$4:$AJ$4,0)))))</f>
        <v>-1154</v>
      </c>
      <c r="P7" s="6">
        <f>IF(ISNA(MATCH(P$2,Inputs!$K$4:$AJ$4,0)),NA(),IF(SUMPRODUCT((Inputs!$A$5:$A$120=$B7)*ISNUMBER(INDEX(Inputs!$K$5:$AJ$120,0,MATCH(P$2,Inputs!$K$4:$AJ$4,0))))+SUMPRODUCT((Inputs!$C$5:$C$120=$B7)*ISNUMBER(INDEX(Inputs!$K$5:$AJ$120,0,MATCH(P$2,Inputs!$K$4:$AJ$4,0))))+SUMPRODUCT((Inputs!$E$5:$E$120=$B7)*ISNUMBER(INDEX(Inputs!$K$5:$AJ$120,0,MATCH(P$2,Inputs!$K$4:$AJ$4,0))))=0,NA(),SUMPRODUCT((Inputs!$A$5:$A$120=$B7)*Inputs!$B$5:$B$120*(((Inputs!$G$5:$G$120="moeda")+(Inputs!$G$5:$G$120="acoes"))*Inputs!$B$1+((Inputs!$G$5:$G$120&lt;&gt;"moeda")*(Inputs!$G$5:$G$120&lt;&gt;"acoes")))*INDEX(Inputs!$K$5:$AJ$120,0,MATCH(P$2,Inputs!$K$4:$AJ$4,0)))+SUMPRODUCT((Inputs!$C$5:$C$120=$B7)*Inputs!$D$5:$D$120*(((Inputs!$G$5:$G$120="moeda")+(Inputs!$G$5:$G$120="acoes"))*Inputs!$B$1+((Inputs!$G$5:$G$120&lt;&gt;"moeda")*(Inputs!$G$5:$G$120&lt;&gt;"acoes")))*INDEX(Inputs!$K$5:$AJ$120,0,MATCH(P$2,Inputs!$K$4:$AJ$4,0)))+SUMPRODUCT((Inputs!$E$5:$E$120=$B7)*Inputs!$F$5:$F$120*(((Inputs!$G$5:$G$120="moeda")+(Inputs!$G$5:$G$120="acoes"))*Inputs!$B$1+((Inputs!$G$5:$G$120&lt;&gt;"moeda")*(Inputs!$G$5:$G$120&lt;&gt;"acoes")))*INDEX(Inputs!$K$5:$AJ$120,0,MATCH(P$2,Inputs!$K$4:$AJ$4,0)))))</f>
        <v>-1235</v>
      </c>
      <c r="Q7" s="6">
        <f>IF(ISNA(MATCH(Q$2,Inputs!$K$4:$AJ$4,0)),NA(),IF(SUMPRODUCT((Inputs!$A$5:$A$120=$B7)*ISNUMBER(INDEX(Inputs!$K$5:$AJ$120,0,MATCH(Q$2,Inputs!$K$4:$AJ$4,0))))+SUMPRODUCT((Inputs!$C$5:$C$120=$B7)*ISNUMBER(INDEX(Inputs!$K$5:$AJ$120,0,MATCH(Q$2,Inputs!$K$4:$AJ$4,0))))+SUMPRODUCT((Inputs!$E$5:$E$120=$B7)*ISNUMBER(INDEX(Inputs!$K$5:$AJ$120,0,MATCH(Q$2,Inputs!$K$4:$AJ$4,0))))=0,NA(),SUMPRODUCT((Inputs!$A$5:$A$120=$B7)*Inputs!$B$5:$B$120*(((Inputs!$G$5:$G$120="moeda")+(Inputs!$G$5:$G$120="acoes"))*Inputs!$B$1+((Inputs!$G$5:$G$120&lt;&gt;"moeda")*(Inputs!$G$5:$G$120&lt;&gt;"acoes")))*INDEX(Inputs!$K$5:$AJ$120,0,MATCH(Q$2,Inputs!$K$4:$AJ$4,0)))+SUMPRODUCT((Inputs!$C$5:$C$120=$B7)*Inputs!$D$5:$D$120*(((Inputs!$G$5:$G$120="moeda")+(Inputs!$G$5:$G$120="acoes"))*Inputs!$B$1+((Inputs!$G$5:$G$120&lt;&gt;"moeda")*(Inputs!$G$5:$G$120&lt;&gt;"acoes")))*INDEX(Inputs!$K$5:$AJ$120,0,MATCH(Q$2,Inputs!$K$4:$AJ$4,0)))+SUMPRODUCT((Inputs!$E$5:$E$120=$B7)*Inputs!$F$5:$F$120*(((Inputs!$G$5:$G$120="moeda")+(Inputs!$G$5:$G$120="acoes"))*Inputs!$B$1+((Inputs!$G$5:$G$120&lt;&gt;"moeda")*(Inputs!$G$5:$G$120&lt;&gt;"acoes")))*INDEX(Inputs!$K$5:$AJ$120,0,MATCH(Q$2,Inputs!$K$4:$AJ$4,0)))))</f>
        <v>-1232</v>
      </c>
      <c r="R7" s="3">
        <f>SUM(N7:Q7)</f>
        <v>-4667</v>
      </c>
      <c r="S7" s="6">
        <f>IF(ISNA(MATCH(S$2,Inputs!$K$4:$AJ$4,0)),NA(),IF(SUMPRODUCT((Inputs!$A$5:$A$120=$B7)*ISNUMBER(INDEX(Inputs!$K$5:$AJ$120,0,MATCH(S$2,Inputs!$K$4:$AJ$4,0))))+SUMPRODUCT((Inputs!$C$5:$C$120=$B7)*ISNUMBER(INDEX(Inputs!$K$5:$AJ$120,0,MATCH(S$2,Inputs!$K$4:$AJ$4,0))))+SUMPRODUCT((Inputs!$E$5:$E$120=$B7)*ISNUMBER(INDEX(Inputs!$K$5:$AJ$120,0,MATCH(S$2,Inputs!$K$4:$AJ$4,0))))=0,NA(),SUMPRODUCT((Inputs!$A$5:$A$120=$B7)*Inputs!$B$5:$B$120*(((Inputs!$G$5:$G$120="moeda")+(Inputs!$G$5:$G$120="acoes"))*Inputs!$B$1+((Inputs!$G$5:$G$120&lt;&gt;"moeda")*(Inputs!$G$5:$G$120&lt;&gt;"acoes")))*INDEX(Inputs!$K$5:$AJ$120,0,MATCH(S$2,Inputs!$K$4:$AJ$4,0)))+SUMPRODUCT((Inputs!$C$5:$C$120=$B7)*Inputs!$D$5:$D$120*(((Inputs!$G$5:$G$120="moeda")+(Inputs!$G$5:$G$120="acoes"))*Inputs!$B$1+((Inputs!$G$5:$G$120&lt;&gt;"moeda")*(Inputs!$G$5:$G$120&lt;&gt;"acoes")))*INDEX(Inputs!$K$5:$AJ$120,0,MATCH(S$2,Inputs!$K$4:$AJ$4,0)))+SUMPRODUCT((Inputs!$E$5:$E$120=$B7)*Inputs!$F$5:$F$120*(((Inputs!$G$5:$G$120="moeda")+(Inputs!$G$5:$G$120="acoes"))*Inputs!$B$1+((Inputs!$G$5:$G$120&lt;&gt;"moeda")*(Inputs!$G$5:$G$120&lt;&gt;"acoes")))*INDEX(Inputs!$K$5:$AJ$120,0,MATCH(S$2,Inputs!$K$4:$AJ$4,0)))))</f>
        <v>-1246</v>
      </c>
      <c r="T7" s="6">
        <f>IF(ISNA(MATCH(T$2,Inputs!$K$4:$AJ$4,0)),NA(),IF(SUMPRODUCT((Inputs!$A$5:$A$120=$B7)*ISNUMBER(INDEX(Inputs!$K$5:$AJ$120,0,MATCH(T$2,Inputs!$K$4:$AJ$4,0))))+SUMPRODUCT((Inputs!$C$5:$C$120=$B7)*ISNUMBER(INDEX(Inputs!$K$5:$AJ$120,0,MATCH(T$2,Inputs!$K$4:$AJ$4,0))))+SUMPRODUCT((Inputs!$E$5:$E$120=$B7)*ISNUMBER(INDEX(Inputs!$K$5:$AJ$120,0,MATCH(T$2,Inputs!$K$4:$AJ$4,0))))=0,NA(),SUMPRODUCT((Inputs!$A$5:$A$120=$B7)*Inputs!$B$5:$B$120*(((Inputs!$G$5:$G$120="moeda")+(Inputs!$G$5:$G$120="acoes"))*Inputs!$B$1+((Inputs!$G$5:$G$120&lt;&gt;"moeda")*(Inputs!$G$5:$G$120&lt;&gt;"acoes")))*INDEX(Inputs!$K$5:$AJ$120,0,MATCH(T$2,Inputs!$K$4:$AJ$4,0)))+SUMPRODUCT((Inputs!$C$5:$C$120=$B7)*Inputs!$D$5:$D$120*(((Inputs!$G$5:$G$120="moeda")+(Inputs!$G$5:$G$120="acoes"))*Inputs!$B$1+((Inputs!$G$5:$G$120&lt;&gt;"moeda")*(Inputs!$G$5:$G$120&lt;&gt;"acoes")))*INDEX(Inputs!$K$5:$AJ$120,0,MATCH(T$2,Inputs!$K$4:$AJ$4,0)))+SUMPRODUCT((Inputs!$E$5:$E$120=$B7)*Inputs!$F$5:$F$120*(((Inputs!$G$5:$G$120="moeda")+(Inputs!$G$5:$G$120="acoes"))*Inputs!$B$1+((Inputs!$G$5:$G$120&lt;&gt;"moeda")*(Inputs!$G$5:$G$120&lt;&gt;"acoes")))*INDEX(Inputs!$K$5:$AJ$120,0,MATCH(T$2,Inputs!$K$4:$AJ$4,0)))))</f>
        <v>-1278</v>
      </c>
      <c r="U7" s="6">
        <f>IF(ISNA(MATCH(U$2,Inputs!$K$4:$AJ$4,0)),NA(),IF(SUMPRODUCT((Inputs!$A$5:$A$120=$B7)*ISNUMBER(INDEX(Inputs!$K$5:$AJ$120,0,MATCH(U$2,Inputs!$K$4:$AJ$4,0))))+SUMPRODUCT((Inputs!$C$5:$C$120=$B7)*ISNUMBER(INDEX(Inputs!$K$5:$AJ$120,0,MATCH(U$2,Inputs!$K$4:$AJ$4,0))))+SUMPRODUCT((Inputs!$E$5:$E$120=$B7)*ISNUMBER(INDEX(Inputs!$K$5:$AJ$120,0,MATCH(U$2,Inputs!$K$4:$AJ$4,0))))=0,NA(),SUMPRODUCT((Inputs!$A$5:$A$120=$B7)*Inputs!$B$5:$B$120*(((Inputs!$G$5:$G$120="moeda")+(Inputs!$G$5:$G$120="acoes"))*Inputs!$B$1+((Inputs!$G$5:$G$120&lt;&gt;"moeda")*(Inputs!$G$5:$G$120&lt;&gt;"acoes")))*INDEX(Inputs!$K$5:$AJ$120,0,MATCH(U$2,Inputs!$K$4:$AJ$4,0)))+SUMPRODUCT((Inputs!$C$5:$C$120=$B7)*Inputs!$D$5:$D$120*(((Inputs!$G$5:$G$120="moeda")+(Inputs!$G$5:$G$120="acoes"))*Inputs!$B$1+((Inputs!$G$5:$G$120&lt;&gt;"moeda")*(Inputs!$G$5:$G$120&lt;&gt;"acoes")))*INDEX(Inputs!$K$5:$AJ$120,0,MATCH(U$2,Inputs!$K$4:$AJ$4,0)))+SUMPRODUCT((Inputs!$E$5:$E$120=$B7)*Inputs!$F$5:$F$120*(((Inputs!$G$5:$G$120="moeda")+(Inputs!$G$5:$G$120="acoes"))*Inputs!$B$1+((Inputs!$G$5:$G$120&lt;&gt;"moeda")*(Inputs!$G$5:$G$120&lt;&gt;"acoes")))*INDEX(Inputs!$K$5:$AJ$120,0,MATCH(U$2,Inputs!$K$4:$AJ$4,0)))))</f>
        <v>-1348</v>
      </c>
      <c r="V7" s="6">
        <f>IF(ISNA(MATCH(V$2,Inputs!$K$4:$AJ$4,0)),NA(),IF(SUMPRODUCT((Inputs!$A$5:$A$120=$B7)*ISNUMBER(INDEX(Inputs!$K$5:$AJ$120,0,MATCH(V$2,Inputs!$K$4:$AJ$4,0))))+SUMPRODUCT((Inputs!$C$5:$C$120=$B7)*ISNUMBER(INDEX(Inputs!$K$5:$AJ$120,0,MATCH(V$2,Inputs!$K$4:$AJ$4,0))))+SUMPRODUCT((Inputs!$E$5:$E$120=$B7)*ISNUMBER(INDEX(Inputs!$K$5:$AJ$120,0,MATCH(V$2,Inputs!$K$4:$AJ$4,0))))=0,NA(),SUMPRODUCT((Inputs!$A$5:$A$120=$B7)*Inputs!$B$5:$B$120*(((Inputs!$G$5:$G$120="moeda")+(Inputs!$G$5:$G$120="acoes"))*Inputs!$B$1+((Inputs!$G$5:$G$120&lt;&gt;"moeda")*(Inputs!$G$5:$G$120&lt;&gt;"acoes")))*INDEX(Inputs!$K$5:$AJ$120,0,MATCH(V$2,Inputs!$K$4:$AJ$4,0)))+SUMPRODUCT((Inputs!$C$5:$C$120=$B7)*Inputs!$D$5:$D$120*(((Inputs!$G$5:$G$120="moeda")+(Inputs!$G$5:$G$120="acoes"))*Inputs!$B$1+((Inputs!$G$5:$G$120&lt;&gt;"moeda")*(Inputs!$G$5:$G$120&lt;&gt;"acoes")))*INDEX(Inputs!$K$5:$AJ$120,0,MATCH(V$2,Inputs!$K$4:$AJ$4,0)))+SUMPRODUCT((Inputs!$E$5:$E$120=$B7)*Inputs!$F$5:$F$120*(((Inputs!$G$5:$G$120="moeda")+(Inputs!$G$5:$G$120="acoes"))*Inputs!$B$1+((Inputs!$G$5:$G$120&lt;&gt;"moeda")*(Inputs!$G$5:$G$120&lt;&gt;"acoes")))*INDEX(Inputs!$K$5:$AJ$120,0,MATCH(V$2,Inputs!$K$4:$AJ$4,0)))))</f>
        <v>-1496</v>
      </c>
      <c r="W7" s="3">
        <f>SUM(S7:V7)</f>
        <v>-5368</v>
      </c>
      <c r="X7" s="6">
        <f>IF(ISNA(MATCH(X$2,Inputs!$K$4:$AJ$4,0)),NA(),IF(SUMPRODUCT((Inputs!$A$5:$A$120=$B7)*ISNUMBER(INDEX(Inputs!$K$5:$AJ$120,0,MATCH(X$2,Inputs!$K$4:$AJ$4,0))))+SUMPRODUCT((Inputs!$C$5:$C$120=$B7)*ISNUMBER(INDEX(Inputs!$K$5:$AJ$120,0,MATCH(X$2,Inputs!$K$4:$AJ$4,0))))+SUMPRODUCT((Inputs!$E$5:$E$120=$B7)*ISNUMBER(INDEX(Inputs!$K$5:$AJ$120,0,MATCH(X$2,Inputs!$K$4:$AJ$4,0))))=0,NA(),SUMPRODUCT((Inputs!$A$5:$A$120=$B7)*Inputs!$B$5:$B$120*(((Inputs!$G$5:$G$120="moeda")+(Inputs!$G$5:$G$120="acoes"))*Inputs!$B$1+((Inputs!$G$5:$G$120&lt;&gt;"moeda")*(Inputs!$G$5:$G$120&lt;&gt;"acoes")))*INDEX(Inputs!$K$5:$AJ$120,0,MATCH(X$2,Inputs!$K$4:$AJ$4,0)))+SUMPRODUCT((Inputs!$C$5:$C$120=$B7)*Inputs!$D$5:$D$120*(((Inputs!$G$5:$G$120="moeda")+(Inputs!$G$5:$G$120="acoes"))*Inputs!$B$1+((Inputs!$G$5:$G$120&lt;&gt;"moeda")*(Inputs!$G$5:$G$120&lt;&gt;"acoes")))*INDEX(Inputs!$K$5:$AJ$120,0,MATCH(X$2,Inputs!$K$4:$AJ$4,0)))+SUMPRODUCT((Inputs!$E$5:$E$120=$B7)*Inputs!$F$5:$F$120*(((Inputs!$G$5:$G$120="moeda")+(Inputs!$G$5:$G$120="acoes"))*Inputs!$B$1+((Inputs!$G$5:$G$120&lt;&gt;"moeda")*(Inputs!$G$5:$G$120&lt;&gt;"acoes")))*INDEX(Inputs!$K$5:$AJ$120,0,MATCH(X$2,Inputs!$K$4:$AJ$4,0)))))</f>
        <v>-1447</v>
      </c>
      <c r="Y7" s="6">
        <f>IF(ISNA(MATCH(Y$2,Inputs!$K$4:$AJ$4,0)),NA(),IF(SUMPRODUCT((Inputs!$A$5:$A$120=$B7)*ISNUMBER(INDEX(Inputs!$K$5:$AJ$120,0,MATCH(Y$2,Inputs!$K$4:$AJ$4,0))))+SUMPRODUCT((Inputs!$C$5:$C$120=$B7)*ISNUMBER(INDEX(Inputs!$K$5:$AJ$120,0,MATCH(Y$2,Inputs!$K$4:$AJ$4,0))))+SUMPRODUCT((Inputs!$E$5:$E$120=$B7)*ISNUMBER(INDEX(Inputs!$K$5:$AJ$120,0,MATCH(Y$2,Inputs!$K$4:$AJ$4,0))))=0,NA(),SUMPRODUCT((Inputs!$A$5:$A$120=$B7)*Inputs!$B$5:$B$120*(((Inputs!$G$5:$G$120="moeda")+(Inputs!$G$5:$G$120="acoes"))*Inputs!$B$1+((Inputs!$G$5:$G$120&lt;&gt;"moeda")*(Inputs!$G$5:$G$120&lt;&gt;"acoes")))*INDEX(Inputs!$K$5:$AJ$120,0,MATCH(Y$2,Inputs!$K$4:$AJ$4,0)))+SUMPRODUCT((Inputs!$C$5:$C$120=$B7)*Inputs!$D$5:$D$120*(((Inputs!$G$5:$G$120="moeda")+(Inputs!$G$5:$G$120="acoes"))*Inputs!$B$1+((Inputs!$G$5:$G$120&lt;&gt;"moeda")*(Inputs!$G$5:$G$120&lt;&gt;"acoes")))*INDEX(Inputs!$K$5:$AJ$120,0,MATCH(Y$2,Inputs!$K$4:$AJ$4,0)))+SUMPRODUCT((Inputs!$E$5:$E$120=$B7)*Inputs!$F$5:$F$120*(((Inputs!$G$5:$G$120="moeda")+(Inputs!$G$5:$G$120="acoes"))*Inputs!$B$1+((Inputs!$G$5:$G$120&lt;&gt;"moeda")*(Inputs!$G$5:$G$120&lt;&gt;"acoes")))*INDEX(Inputs!$K$5:$AJ$120,0,MATCH(Y$2,Inputs!$K$4:$AJ$4,0)))))</f>
        <v>-1433</v>
      </c>
      <c r="Z7" s="6">
        <f>IF(ISNA(MATCH(Z$2,Inputs!$K$4:$AJ$4,0)),NA(),IF(SUMPRODUCT((Inputs!$A$5:$A$120=$B7)*ISNUMBER(INDEX(Inputs!$K$5:$AJ$120,0,MATCH(Z$2,Inputs!$K$4:$AJ$4,0))))+SUMPRODUCT((Inputs!$C$5:$C$120=$B7)*ISNUMBER(INDEX(Inputs!$K$5:$AJ$120,0,MATCH(Z$2,Inputs!$K$4:$AJ$4,0))))+SUMPRODUCT((Inputs!$E$5:$E$120=$B7)*ISNUMBER(INDEX(Inputs!$K$5:$AJ$120,0,MATCH(Z$2,Inputs!$K$4:$AJ$4,0))))=0,NA(),SUMPRODUCT((Inputs!$A$5:$A$120=$B7)*Inputs!$B$5:$B$120*(((Inputs!$G$5:$G$120="moeda")+(Inputs!$G$5:$G$120="acoes"))*Inputs!$B$1+((Inputs!$G$5:$G$120&lt;&gt;"moeda")*(Inputs!$G$5:$G$120&lt;&gt;"acoes")))*INDEX(Inputs!$K$5:$AJ$120,0,MATCH(Z$2,Inputs!$K$4:$AJ$4,0)))+SUMPRODUCT((Inputs!$C$5:$C$120=$B7)*Inputs!$D$5:$D$120*(((Inputs!$G$5:$G$120="moeda")+(Inputs!$G$5:$G$120="acoes"))*Inputs!$B$1+((Inputs!$G$5:$G$120&lt;&gt;"moeda")*(Inputs!$G$5:$G$120&lt;&gt;"acoes")))*INDEX(Inputs!$K$5:$AJ$120,0,MATCH(Z$2,Inputs!$K$4:$AJ$4,0)))+SUMPRODUCT((Inputs!$E$5:$E$120=$B7)*Inputs!$F$5:$F$120*(((Inputs!$G$5:$G$120="moeda")+(Inputs!$G$5:$G$120="acoes"))*Inputs!$B$1+((Inputs!$G$5:$G$120&lt;&gt;"moeda")*(Inputs!$G$5:$G$120&lt;&gt;"acoes")))*INDEX(Inputs!$K$5:$AJ$120,0,MATCH(Z$2,Inputs!$K$4:$AJ$4,0)))))</f>
        <v>-1625</v>
      </c>
      <c r="AA7" s="6">
        <f>IF(ISNA(MATCH(AA$2,Inputs!$K$4:$AJ$4,0)),NA(),IF(SUMPRODUCT((Inputs!$A$5:$A$120=$B7)*ISNUMBER(INDEX(Inputs!$K$5:$AJ$120,0,MATCH(AA$2,Inputs!$K$4:$AJ$4,0))))+SUMPRODUCT((Inputs!$C$5:$C$120=$B7)*ISNUMBER(INDEX(Inputs!$K$5:$AJ$120,0,MATCH(AA$2,Inputs!$K$4:$AJ$4,0))))+SUMPRODUCT((Inputs!$E$5:$E$120=$B7)*ISNUMBER(INDEX(Inputs!$K$5:$AJ$120,0,MATCH(AA$2,Inputs!$K$4:$AJ$4,0))))=0,NA(),SUMPRODUCT((Inputs!$A$5:$A$120=$B7)*Inputs!$B$5:$B$120*(((Inputs!$G$5:$G$120="moeda")+(Inputs!$G$5:$G$120="acoes"))*Inputs!$B$1+((Inputs!$G$5:$G$120&lt;&gt;"moeda")*(Inputs!$G$5:$G$120&lt;&gt;"acoes")))*INDEX(Inputs!$K$5:$AJ$120,0,MATCH(AA$2,Inputs!$K$4:$AJ$4,0)))+SUMPRODUCT((Inputs!$C$5:$C$120=$B7)*Inputs!$D$5:$D$120*(((Inputs!$G$5:$G$120="moeda")+(Inputs!$G$5:$G$120="acoes"))*Inputs!$B$1+((Inputs!$G$5:$G$120&lt;&gt;"moeda")*(Inputs!$G$5:$G$120&lt;&gt;"acoes")))*INDEX(Inputs!$K$5:$AJ$120,0,MATCH(AA$2,Inputs!$K$4:$AJ$4,0)))+SUMPRODUCT((Inputs!$E$5:$E$120=$B7)*Inputs!$F$5:$F$120*(((Inputs!$G$5:$G$120="moeda")+(Inputs!$G$5:$G$120="acoes"))*Inputs!$B$1+((Inputs!$G$5:$G$120&lt;&gt;"moeda")*(Inputs!$G$5:$G$120&lt;&gt;"acoes")))*INDEX(Inputs!$K$5:$AJ$120,0,MATCH(AA$2,Inputs!$K$4:$AJ$4,0)))))</f>
        <v>-1643</v>
      </c>
      <c r="AB7" s="3">
        <f>SUM(X7:AA7)</f>
        <v>-6148</v>
      </c>
      <c r="AC7" s="6">
        <f>IF(ISNA(MATCH(AC$2,Inputs!$K$4:$AJ$4,0)),NA(),IF(SUMPRODUCT((Inputs!$A$5:$A$120=$B7)*ISNUMBER(INDEX(Inputs!$K$5:$AJ$120,0,MATCH(AC$2,Inputs!$K$4:$AJ$4,0))))+SUMPRODUCT((Inputs!$C$5:$C$120=$B7)*ISNUMBER(INDEX(Inputs!$K$5:$AJ$120,0,MATCH(AC$2,Inputs!$K$4:$AJ$4,0))))+SUMPRODUCT((Inputs!$E$5:$E$120=$B7)*ISNUMBER(INDEX(Inputs!$K$5:$AJ$120,0,MATCH(AC$2,Inputs!$K$4:$AJ$4,0))))=0,NA(),SUMPRODUCT((Inputs!$A$5:$A$120=$B7)*Inputs!$B$5:$B$120*(((Inputs!$G$5:$G$120="moeda")+(Inputs!$G$5:$G$120="acoes"))*Inputs!$B$1+((Inputs!$G$5:$G$120&lt;&gt;"moeda")*(Inputs!$G$5:$G$120&lt;&gt;"acoes")))*INDEX(Inputs!$K$5:$AJ$120,0,MATCH(AC$2,Inputs!$K$4:$AJ$4,0)))+SUMPRODUCT((Inputs!$C$5:$C$120=$B7)*Inputs!$D$5:$D$120*(((Inputs!$G$5:$G$120="moeda")+(Inputs!$G$5:$G$120="acoes"))*Inputs!$B$1+((Inputs!$G$5:$G$120&lt;&gt;"moeda")*(Inputs!$G$5:$G$120&lt;&gt;"acoes")))*INDEX(Inputs!$K$5:$AJ$120,0,MATCH(AC$2,Inputs!$K$4:$AJ$4,0)))+SUMPRODUCT((Inputs!$E$5:$E$120=$B7)*Inputs!$F$5:$F$120*(((Inputs!$G$5:$G$120="moeda")+(Inputs!$G$5:$G$120="acoes"))*Inputs!$B$1+((Inputs!$G$5:$G$120&lt;&gt;"moeda")*(Inputs!$G$5:$G$120&lt;&gt;"acoes")))*INDEX(Inputs!$K$5:$AJ$120,0,MATCH(AC$2,Inputs!$K$4:$AJ$4,0)))))</f>
        <v>-1590</v>
      </c>
      <c r="AD7" s="6">
        <f>IF(ISNA(MATCH(AD$2,Inputs!$K$4:$AJ$4,0)),NA(),IF(SUMPRODUCT((Inputs!$A$5:$A$120=$B7)*ISNUMBER(INDEX(Inputs!$K$5:$AJ$120,0,MATCH(AD$2,Inputs!$K$4:$AJ$4,0))))+SUMPRODUCT((Inputs!$C$5:$C$120=$B7)*ISNUMBER(INDEX(Inputs!$K$5:$AJ$120,0,MATCH(AD$2,Inputs!$K$4:$AJ$4,0))))+SUMPRODUCT((Inputs!$E$5:$E$120=$B7)*ISNUMBER(INDEX(Inputs!$K$5:$AJ$120,0,MATCH(AD$2,Inputs!$K$4:$AJ$4,0))))=0,NA(),SUMPRODUCT((Inputs!$A$5:$A$120=$B7)*Inputs!$B$5:$B$120*(((Inputs!$G$5:$G$120="moeda")+(Inputs!$G$5:$G$120="acoes"))*Inputs!$B$1+((Inputs!$G$5:$G$120&lt;&gt;"moeda")*(Inputs!$G$5:$G$120&lt;&gt;"acoes")))*INDEX(Inputs!$K$5:$AJ$120,0,MATCH(AD$2,Inputs!$K$4:$AJ$4,0)))+SUMPRODUCT((Inputs!$C$5:$C$120=$B7)*Inputs!$D$5:$D$120*(((Inputs!$G$5:$G$120="moeda")+(Inputs!$G$5:$G$120="acoes"))*Inputs!$B$1+((Inputs!$G$5:$G$120&lt;&gt;"moeda")*(Inputs!$G$5:$G$120&lt;&gt;"acoes")))*INDEX(Inputs!$K$5:$AJ$120,0,MATCH(AD$2,Inputs!$K$4:$AJ$4,0)))+SUMPRODUCT((Inputs!$E$5:$E$120=$B7)*Inputs!$F$5:$F$120*(((Inputs!$G$5:$G$120="moeda")+(Inputs!$G$5:$G$120="acoes"))*Inputs!$B$1+((Inputs!$G$5:$G$120&lt;&gt;"moeda")*(Inputs!$G$5:$G$120&lt;&gt;"acoes")))*INDEX(Inputs!$K$5:$AJ$120,0,MATCH(AD$2,Inputs!$K$4:$AJ$4,0)))))</f>
        <v>-1619</v>
      </c>
      <c r="AE7" s="6" t="e">
        <f>IF(ISNA(MATCH(AE$2,Inputs!$K$4:$AJ$4,0)),NA(),IF(SUMPRODUCT((Inputs!$A$5:$A$120=$B7)*ISNUMBER(INDEX(Inputs!$K$5:$AJ$120,0,MATCH(AE$2,Inputs!$K$4:$AJ$4,0))))+SUMPRODUCT((Inputs!$C$5:$C$120=$B7)*ISNUMBER(INDEX(Inputs!$K$5:$AJ$120,0,MATCH(AE$2,Inputs!$K$4:$AJ$4,0))))+SUMPRODUCT((Inputs!$E$5:$E$120=$B7)*ISNUMBER(INDEX(Inputs!$K$5:$AJ$120,0,MATCH(AE$2,Inputs!$K$4:$AJ$4,0))))=0,NA(),SUMPRODUCT((Inputs!$A$5:$A$120=$B7)*Inputs!$B$5:$B$120*(((Inputs!$G$5:$G$120="moeda")+(Inputs!$G$5:$G$120="acoes"))*Inputs!$B$1+((Inputs!$G$5:$G$120&lt;&gt;"moeda")*(Inputs!$G$5:$G$120&lt;&gt;"acoes")))*INDEX(Inputs!$K$5:$AJ$120,0,MATCH(AE$2,Inputs!$K$4:$AJ$4,0)))+SUMPRODUCT((Inputs!$C$5:$C$120=$B7)*Inputs!$D$5:$D$120*(((Inputs!$G$5:$G$120="moeda")+(Inputs!$G$5:$G$120="acoes"))*Inputs!$B$1+((Inputs!$G$5:$G$120&lt;&gt;"moeda")*(Inputs!$G$5:$G$120&lt;&gt;"acoes")))*INDEX(Inputs!$K$5:$AJ$120,0,MATCH(AE$2,Inputs!$K$4:$AJ$4,0)))+SUMPRODUCT((Inputs!$E$5:$E$120=$B7)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7" s="6" t="e">
        <f>IF(ISNA(MATCH(AF$2,Inputs!$K$4:$AJ$4,0)),NA(),IF(SUMPRODUCT((Inputs!$A$5:$A$120=$B7)*ISNUMBER(INDEX(Inputs!$K$5:$AJ$120,0,MATCH(AF$2,Inputs!$K$4:$AJ$4,0))))+SUMPRODUCT((Inputs!$C$5:$C$120=$B7)*ISNUMBER(INDEX(Inputs!$K$5:$AJ$120,0,MATCH(AF$2,Inputs!$K$4:$AJ$4,0))))+SUMPRODUCT((Inputs!$E$5:$E$120=$B7)*ISNUMBER(INDEX(Inputs!$K$5:$AJ$120,0,MATCH(AF$2,Inputs!$K$4:$AJ$4,0))))=0,NA(),SUMPRODUCT((Inputs!$A$5:$A$120=$B7)*Inputs!$B$5:$B$120*(((Inputs!$G$5:$G$120="moeda")+(Inputs!$G$5:$G$120="acoes"))*Inputs!$B$1+((Inputs!$G$5:$G$120&lt;&gt;"moeda")*(Inputs!$G$5:$G$120&lt;&gt;"acoes")))*INDEX(Inputs!$K$5:$AJ$120,0,MATCH(AF$2,Inputs!$K$4:$AJ$4,0)))+SUMPRODUCT((Inputs!$C$5:$C$120=$B7)*Inputs!$D$5:$D$120*(((Inputs!$G$5:$G$120="moeda")+(Inputs!$G$5:$G$120="acoes"))*Inputs!$B$1+((Inputs!$G$5:$G$120&lt;&gt;"moeda")*(Inputs!$G$5:$G$120&lt;&gt;"acoes")))*INDEX(Inputs!$K$5:$AJ$120,0,MATCH(AF$2,Inputs!$K$4:$AJ$4,0)))+SUMPRODUCT((Inputs!$E$5:$E$120=$B7)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7" s="3" t="e">
        <f>SUM(AC7:AF7)</f>
        <v>#N/A</v>
      </c>
      <c r="AH7" s="6">
        <f>IF(ISNA(MATCH(AH$2,Inputs!$K$4:$AJ$4,0)),NA(),IF(SUMPRODUCT((Inputs!$A$5:$A$120=$B7)*ISNUMBER(INDEX(Inputs!$K$5:$AJ$120,0,MATCH(AH$2,Inputs!$K$4:$AJ$4,0))))+SUMPRODUCT((Inputs!$C$5:$C$120=$B7)*ISNUMBER(INDEX(Inputs!$K$5:$AJ$120,0,MATCH(AH$2,Inputs!$K$4:$AJ$4,0))))+SUMPRODUCT((Inputs!$E$5:$E$120=$B7)*ISNUMBER(INDEX(Inputs!$K$5:$AJ$120,0,MATCH(AH$2,Inputs!$K$4:$AJ$4,0))))=0,NA(),SUMPRODUCT((Inputs!$A$5:$A$120=$B7)*Inputs!$B$5:$B$120*(((Inputs!$G$5:$G$120="moeda")+(Inputs!$G$5:$G$120="acoes"))*Inputs!$B$1+((Inputs!$G$5:$G$120&lt;&gt;"moeda")*(Inputs!$G$5:$G$120&lt;&gt;"acoes")))*INDEX(Inputs!$K$5:$AJ$120,0,MATCH(AH$2,Inputs!$K$4:$AJ$4,0)))+SUMPRODUCT((Inputs!$C$5:$C$120=$B7)*Inputs!$D$5:$D$120*(((Inputs!$G$5:$G$120="moeda")+(Inputs!$G$5:$G$120="acoes"))*Inputs!$B$1+((Inputs!$G$5:$G$120&lt;&gt;"moeda")*(Inputs!$G$5:$G$120&lt;&gt;"acoes")))*INDEX(Inputs!$K$5:$AJ$120,0,MATCH(AH$2,Inputs!$K$4:$AJ$4,0)))+SUMPRODUCT((Inputs!$E$5:$E$120=$B7)*Inputs!$F$5:$F$120*(((Inputs!$G$5:$G$120="moeda")+(Inputs!$G$5:$G$120="acoes"))*Inputs!$B$1+((Inputs!$G$5:$G$120&lt;&gt;"moeda")*(Inputs!$G$5:$G$120&lt;&gt;"acoes")))*INDEX(Inputs!$K$5:$AJ$120,0,MATCH(AH$2,Inputs!$K$4:$AJ$4,0)))))</f>
        <v>-553</v>
      </c>
      <c r="AI7" s="6">
        <f>IF(ISNA(MATCH(AI$2,Inputs!$K$4:$AJ$4,0)),NA(),IF(SUMPRODUCT((Inputs!$A$5:$A$120=$B7)*ISNUMBER(INDEX(Inputs!$K$5:$AJ$120,0,MATCH(AI$2,Inputs!$K$4:$AJ$4,0))))+SUMPRODUCT((Inputs!$C$5:$C$120=$B7)*ISNUMBER(INDEX(Inputs!$K$5:$AJ$120,0,MATCH(AI$2,Inputs!$K$4:$AJ$4,0))))+SUMPRODUCT((Inputs!$E$5:$E$120=$B7)*ISNUMBER(INDEX(Inputs!$K$5:$AJ$120,0,MATCH(AI$2,Inputs!$K$4:$AJ$4,0))))=0,NA(),SUMPRODUCT((Inputs!$A$5:$A$120=$B7)*Inputs!$B$5:$B$120*(((Inputs!$G$5:$G$120="moeda")+(Inputs!$G$5:$G$120="acoes"))*Inputs!$B$1+((Inputs!$G$5:$G$120&lt;&gt;"moeda")*(Inputs!$G$5:$G$120&lt;&gt;"acoes")))*INDEX(Inputs!$K$5:$AJ$120,0,MATCH(AI$2,Inputs!$K$4:$AJ$4,0)))+SUMPRODUCT((Inputs!$C$5:$C$120=$B7)*Inputs!$D$5:$D$120*(((Inputs!$G$5:$G$120="moeda")+(Inputs!$G$5:$G$120="acoes"))*Inputs!$B$1+((Inputs!$G$5:$G$120&lt;&gt;"moeda")*(Inputs!$G$5:$G$120&lt;&gt;"acoes")))*INDEX(Inputs!$K$5:$AJ$120,0,MATCH(AI$2,Inputs!$K$4:$AJ$4,0)))+SUMPRODUCT((Inputs!$E$5:$E$120=$B7)*Inputs!$F$5:$F$120*(((Inputs!$G$5:$G$120="moeda")+(Inputs!$G$5:$G$120="acoes"))*Inputs!$B$1+((Inputs!$G$5:$G$120&lt;&gt;"moeda")*(Inputs!$G$5:$G$120&lt;&gt;"acoes")))*INDEX(Inputs!$K$5:$AJ$120,0,MATCH(AI$2,Inputs!$K$4:$AJ$4,0)))))</f>
        <v>-567</v>
      </c>
      <c r="AJ7" s="6">
        <f>IF(ISNA(MATCH(AJ$2,Inputs!$K$4:$AJ$4,0)),NA(),IF(SUMPRODUCT((Inputs!$A$5:$A$120=$B7)*ISNUMBER(INDEX(Inputs!$K$5:$AJ$120,0,MATCH(AJ$2,Inputs!$K$4:$AJ$4,0))))+SUMPRODUCT((Inputs!$C$5:$C$120=$B7)*ISNUMBER(INDEX(Inputs!$K$5:$AJ$120,0,MATCH(AJ$2,Inputs!$K$4:$AJ$4,0))))+SUMPRODUCT((Inputs!$E$5:$E$120=$B7)*ISNUMBER(INDEX(Inputs!$K$5:$AJ$120,0,MATCH(AJ$2,Inputs!$K$4:$AJ$4,0))))=0,NA(),SUMPRODUCT((Inputs!$A$5:$A$120=$B7)*Inputs!$B$5:$B$120*(((Inputs!$G$5:$G$120="moeda")+(Inputs!$G$5:$G$120="acoes"))*Inputs!$B$1+((Inputs!$G$5:$G$120&lt;&gt;"moeda")*(Inputs!$G$5:$G$120&lt;&gt;"acoes")))*INDEX(Inputs!$K$5:$AJ$120,0,MATCH(AJ$2,Inputs!$K$4:$AJ$4,0)))+SUMPRODUCT((Inputs!$C$5:$C$120=$B7)*Inputs!$D$5:$D$120*(((Inputs!$G$5:$G$120="moeda")+(Inputs!$G$5:$G$120="acoes"))*Inputs!$B$1+((Inputs!$G$5:$G$120&lt;&gt;"moeda")*(Inputs!$G$5:$G$120&lt;&gt;"acoes")))*INDEX(Inputs!$K$5:$AJ$120,0,MATCH(AJ$2,Inputs!$K$4:$AJ$4,0)))+SUMPRODUCT((Inputs!$E$5:$E$120=$B7)*Inputs!$F$5:$F$120*(((Inputs!$G$5:$G$120="moeda")+(Inputs!$G$5:$G$120="acoes"))*Inputs!$B$1+((Inputs!$G$5:$G$120&lt;&gt;"moeda")*(Inputs!$G$5:$G$120&lt;&gt;"acoes")))*INDEX(Inputs!$K$5:$AJ$120,0,MATCH(AJ$2,Inputs!$K$4:$AJ$4,0)))))</f>
        <v>-584</v>
      </c>
      <c r="AK7" s="6">
        <f>IF(ISNA(MATCH(AK$2,Inputs!$K$4:$AJ$4,0)),NA(),IF(SUMPRODUCT((Inputs!$A$5:$A$120=$B7)*ISNUMBER(INDEX(Inputs!$K$5:$AJ$120,0,MATCH(AK$2,Inputs!$K$4:$AJ$4,0))))+SUMPRODUCT((Inputs!$C$5:$C$120=$B7)*ISNUMBER(INDEX(Inputs!$K$5:$AJ$120,0,MATCH(AK$2,Inputs!$K$4:$AJ$4,0))))+SUMPRODUCT((Inputs!$E$5:$E$120=$B7)*ISNUMBER(INDEX(Inputs!$K$5:$AJ$120,0,MATCH(AK$2,Inputs!$K$4:$AJ$4,0))))=0,NA(),SUMPRODUCT((Inputs!$A$5:$A$120=$B7)*Inputs!$B$5:$B$120*(((Inputs!$G$5:$G$120="moeda")+(Inputs!$G$5:$G$120="acoes"))*Inputs!$B$1+((Inputs!$G$5:$G$120&lt;&gt;"moeda")*(Inputs!$G$5:$G$120&lt;&gt;"acoes")))*INDEX(Inputs!$K$5:$AJ$120,0,MATCH(AK$2,Inputs!$K$4:$AJ$4,0)))+SUMPRODUCT((Inputs!$C$5:$C$120=$B7)*Inputs!$D$5:$D$120*(((Inputs!$G$5:$G$120="moeda")+(Inputs!$G$5:$G$120="acoes"))*Inputs!$B$1+((Inputs!$G$5:$G$120&lt;&gt;"moeda")*(Inputs!$G$5:$G$120&lt;&gt;"acoes")))*INDEX(Inputs!$K$5:$AJ$120,0,MATCH(AK$2,Inputs!$K$4:$AJ$4,0)))+SUMPRODUCT((Inputs!$E$5:$E$120=$B7)*Inputs!$F$5:$F$120*(((Inputs!$G$5:$G$120="moeda")+(Inputs!$G$5:$G$120="acoes"))*Inputs!$B$1+((Inputs!$G$5:$G$120&lt;&gt;"moeda")*(Inputs!$G$5:$G$120&lt;&gt;"acoes")))*INDEX(Inputs!$K$5:$AJ$120,0,MATCH(AK$2,Inputs!$K$4:$AJ$4,0)))))</f>
        <v>-618</v>
      </c>
      <c r="AL7" s="3">
        <f>SUM(AH7:AK7)</f>
        <v>-2322</v>
      </c>
    </row>
    <row r="8">
      <c r="B8" s="46" t="n">
        <v>5</v>
      </c>
      <c r="C8" s="26" t="inlineStr">
        <is>
          <t>Interest Expense</t>
        </is>
      </c>
      <c r="D8" s="6">
        <f>IF(ISNA(MATCH(D$2,Inputs!$K$4:$AJ$4,0)),NA(),IF(SUMPRODUCT((Inputs!$A$5:$A$120=$B8)*ISNUMBER(INDEX(Inputs!$K$5:$AJ$120,0,MATCH(D$2,Inputs!$K$4:$AJ$4,0))))+SUMPRODUCT((Inputs!$C$5:$C$120=$B8)*ISNUMBER(INDEX(Inputs!$K$5:$AJ$120,0,MATCH(D$2,Inputs!$K$4:$AJ$4,0))))+SUMPRODUCT((Inputs!$E$5:$E$120=$B8)*ISNUMBER(INDEX(Inputs!$K$5:$AJ$120,0,MATCH(D$2,Inputs!$K$4:$AJ$4,0))))=0,NA(),SUMPRODUCT((Inputs!$A$5:$A$120=$B8)*Inputs!$B$5:$B$120*(((Inputs!$G$5:$G$120="moeda")+(Inputs!$G$5:$G$120="acoes"))*Inputs!$B$1+((Inputs!$G$5:$G$120&lt;&gt;"moeda")*(Inputs!$G$5:$G$120&lt;&gt;"acoes")))*INDEX(Inputs!$K$5:$AJ$120,0,MATCH(D$2,Inputs!$K$4:$AJ$4,0)))+SUMPRODUCT((Inputs!$C$5:$C$120=$B8)*Inputs!$D$5:$D$120*(((Inputs!$G$5:$G$120="moeda")+(Inputs!$G$5:$G$120="acoes"))*Inputs!$B$1+((Inputs!$G$5:$G$120&lt;&gt;"moeda")*(Inputs!$G$5:$G$120&lt;&gt;"acoes")))*INDEX(Inputs!$K$5:$AJ$120,0,MATCH(D$2,Inputs!$K$4:$AJ$4,0)))+SUMPRODUCT((Inputs!$E$5:$E$120=$B8)*Inputs!$F$5:$F$120*(((Inputs!$G$5:$G$120="moeda")+(Inputs!$G$5:$G$120="acoes"))*Inputs!$B$1+((Inputs!$G$5:$G$120&lt;&gt;"moeda")*(Inputs!$G$5:$G$120&lt;&gt;"acoes")))*INDEX(Inputs!$K$5:$AJ$120,0,MATCH(D$2,Inputs!$K$4:$AJ$4,0)))))</f>
        <v>-99</v>
      </c>
      <c r="E8" s="6">
        <f>IF(ISNA(MATCH(E$2,Inputs!$K$4:$AJ$4,0)),NA(),IF(SUMPRODUCT((Inputs!$A$5:$A$120=$B8)*ISNUMBER(INDEX(Inputs!$K$5:$AJ$120,0,MATCH(E$2,Inputs!$K$4:$AJ$4,0))))+SUMPRODUCT((Inputs!$C$5:$C$120=$B8)*ISNUMBER(INDEX(Inputs!$K$5:$AJ$120,0,MATCH(E$2,Inputs!$K$4:$AJ$4,0))))+SUMPRODUCT((Inputs!$E$5:$E$120=$B8)*ISNUMBER(INDEX(Inputs!$K$5:$AJ$120,0,MATCH(E$2,Inputs!$K$4:$AJ$4,0))))=0,NA(),SUMPRODUCT((Inputs!$A$5:$A$120=$B8)*Inputs!$B$5:$B$120*(((Inputs!$G$5:$G$120="moeda")+(Inputs!$G$5:$G$120="acoes"))*Inputs!$B$1+((Inputs!$G$5:$G$120&lt;&gt;"moeda")*(Inputs!$G$5:$G$120&lt;&gt;"acoes")))*INDEX(Inputs!$K$5:$AJ$120,0,MATCH(E$2,Inputs!$K$4:$AJ$4,0)))+SUMPRODUCT((Inputs!$C$5:$C$120=$B8)*Inputs!$D$5:$D$120*(((Inputs!$G$5:$G$120="moeda")+(Inputs!$G$5:$G$120="acoes"))*Inputs!$B$1+((Inputs!$G$5:$G$120&lt;&gt;"moeda")*(Inputs!$G$5:$G$120&lt;&gt;"acoes")))*INDEX(Inputs!$K$5:$AJ$120,0,MATCH(E$2,Inputs!$K$4:$AJ$4,0)))+SUMPRODUCT((Inputs!$E$5:$E$120=$B8)*Inputs!$F$5:$F$120*(((Inputs!$G$5:$G$120="moeda")+(Inputs!$G$5:$G$120="acoes"))*Inputs!$B$1+((Inputs!$G$5:$G$120&lt;&gt;"moeda")*(Inputs!$G$5:$G$120&lt;&gt;"acoes")))*INDEX(Inputs!$K$5:$AJ$120,0,MATCH(E$2,Inputs!$K$4:$AJ$4,0)))))</f>
        <v>-75</v>
      </c>
      <c r="F8" s="6">
        <f>IF(ISNA(MATCH(F$2,Inputs!$K$4:$AJ$4,0)),NA(),IF(SUMPRODUCT((Inputs!$A$5:$A$120=$B8)*ISNUMBER(INDEX(Inputs!$K$5:$AJ$120,0,MATCH(F$2,Inputs!$K$4:$AJ$4,0))))+SUMPRODUCT((Inputs!$C$5:$C$120=$B8)*ISNUMBER(INDEX(Inputs!$K$5:$AJ$120,0,MATCH(F$2,Inputs!$K$4:$AJ$4,0))))+SUMPRODUCT((Inputs!$E$5:$E$120=$B8)*ISNUMBER(INDEX(Inputs!$K$5:$AJ$120,0,MATCH(F$2,Inputs!$K$4:$AJ$4,0))))=0,NA(),SUMPRODUCT((Inputs!$A$5:$A$120=$B8)*Inputs!$B$5:$B$120*(((Inputs!$G$5:$G$120="moeda")+(Inputs!$G$5:$G$120="acoes"))*Inputs!$B$1+((Inputs!$G$5:$G$120&lt;&gt;"moeda")*(Inputs!$G$5:$G$120&lt;&gt;"acoes")))*INDEX(Inputs!$K$5:$AJ$120,0,MATCH(F$2,Inputs!$K$4:$AJ$4,0)))+SUMPRODUCT((Inputs!$C$5:$C$120=$B8)*Inputs!$D$5:$D$120*(((Inputs!$G$5:$G$120="moeda")+(Inputs!$G$5:$G$120="acoes"))*Inputs!$B$1+((Inputs!$G$5:$G$120&lt;&gt;"moeda")*(Inputs!$G$5:$G$120&lt;&gt;"acoes")))*INDEX(Inputs!$K$5:$AJ$120,0,MATCH(F$2,Inputs!$K$4:$AJ$4,0)))+SUMPRODUCT((Inputs!$E$5:$E$120=$B8)*Inputs!$F$5:$F$120*(((Inputs!$G$5:$G$120="moeda")+(Inputs!$G$5:$G$120="acoes"))*Inputs!$B$1+((Inputs!$G$5:$G$120&lt;&gt;"moeda")*(Inputs!$G$5:$G$120&lt;&gt;"acoes")))*INDEX(Inputs!$K$5:$AJ$120,0,MATCH(F$2,Inputs!$K$4:$AJ$4,0)))))</f>
        <v>-126</v>
      </c>
      <c r="G8" s="6">
        <f>IF(ISNA(MATCH(G$2,Inputs!$K$4:$AJ$4,0)),NA(),IF(SUMPRODUCT((Inputs!$A$5:$A$120=$B8)*ISNUMBER(INDEX(Inputs!$K$5:$AJ$120,0,MATCH(G$2,Inputs!$K$4:$AJ$4,0))))+SUMPRODUCT((Inputs!$C$5:$C$120=$B8)*ISNUMBER(INDEX(Inputs!$K$5:$AJ$120,0,MATCH(G$2,Inputs!$K$4:$AJ$4,0))))+SUMPRODUCT((Inputs!$E$5:$E$120=$B8)*ISNUMBER(INDEX(Inputs!$K$5:$AJ$120,0,MATCH(G$2,Inputs!$K$4:$AJ$4,0))))=0,NA(),SUMPRODUCT((Inputs!$A$5:$A$120=$B8)*Inputs!$B$5:$B$120*(((Inputs!$G$5:$G$120="moeda")+(Inputs!$G$5:$G$120="acoes"))*Inputs!$B$1+((Inputs!$G$5:$G$120&lt;&gt;"moeda")*(Inputs!$G$5:$G$120&lt;&gt;"acoes")))*INDEX(Inputs!$K$5:$AJ$120,0,MATCH(G$2,Inputs!$K$4:$AJ$4,0)))+SUMPRODUCT((Inputs!$C$5:$C$120=$B8)*Inputs!$D$5:$D$120*(((Inputs!$G$5:$G$120="moeda")+(Inputs!$G$5:$G$120="acoes"))*Inputs!$B$1+((Inputs!$G$5:$G$120&lt;&gt;"moeda")*(Inputs!$G$5:$G$120&lt;&gt;"acoes")))*INDEX(Inputs!$K$5:$AJ$120,0,MATCH(G$2,Inputs!$K$4:$AJ$4,0)))+SUMPRODUCT((Inputs!$E$5:$E$120=$B8)*Inputs!$F$5:$F$120*(((Inputs!$G$5:$G$120="moeda")+(Inputs!$G$5:$G$120="acoes"))*Inputs!$B$1+((Inputs!$G$5:$G$120&lt;&gt;"moeda")*(Inputs!$G$5:$G$120&lt;&gt;"acoes")))*INDEX(Inputs!$K$5:$AJ$120,0,MATCH(G$2,Inputs!$K$4:$AJ$4,0)))))</f>
        <v>-71</v>
      </c>
      <c r="H8" s="3">
        <f>SUM(D8:G8)</f>
        <v>-371</v>
      </c>
      <c r="I8" s="6">
        <f>IF(ISNA(MATCH(I$2,Inputs!$K$4:$AJ$4,0)),NA(),IF(SUMPRODUCT((Inputs!$A$5:$A$120=$B8)*ISNUMBER(INDEX(Inputs!$K$5:$AJ$120,0,MATCH(I$2,Inputs!$K$4:$AJ$4,0))))+SUMPRODUCT((Inputs!$C$5:$C$120=$B8)*ISNUMBER(INDEX(Inputs!$K$5:$AJ$120,0,MATCH(I$2,Inputs!$K$4:$AJ$4,0))))+SUMPRODUCT((Inputs!$E$5:$E$120=$B8)*ISNUMBER(INDEX(Inputs!$K$5:$AJ$120,0,MATCH(I$2,Inputs!$K$4:$AJ$4,0))))=0,NA(),SUMPRODUCT((Inputs!$A$5:$A$120=$B8)*Inputs!$B$5:$B$120*(((Inputs!$G$5:$G$120="moeda")+(Inputs!$G$5:$G$120="acoes"))*Inputs!$B$1+((Inputs!$G$5:$G$120&lt;&gt;"moeda")*(Inputs!$G$5:$G$120&lt;&gt;"acoes")))*INDEX(Inputs!$K$5:$AJ$120,0,MATCH(I$2,Inputs!$K$4:$AJ$4,0)))+SUMPRODUCT((Inputs!$C$5:$C$120=$B8)*Inputs!$D$5:$D$120*(((Inputs!$G$5:$G$120="moeda")+(Inputs!$G$5:$G$120="acoes"))*Inputs!$B$1+((Inputs!$G$5:$G$120&lt;&gt;"moeda")*(Inputs!$G$5:$G$120&lt;&gt;"acoes")))*INDEX(Inputs!$K$5:$AJ$120,0,MATCH(I$2,Inputs!$K$4:$AJ$4,0)))+SUMPRODUCT((Inputs!$E$5:$E$120=$B8)*Inputs!$F$5:$F$120*(((Inputs!$G$5:$G$120="moeda")+(Inputs!$G$5:$G$120="acoes"))*Inputs!$B$1+((Inputs!$G$5:$G$120&lt;&gt;"moeda")*(Inputs!$G$5:$G$120&lt;&gt;"acoes")))*INDEX(Inputs!$K$5:$AJ$120,0,MATCH(I$2,Inputs!$K$4:$AJ$4,0)))))</f>
        <v>-61</v>
      </c>
      <c r="J8" s="6">
        <f>IF(ISNA(MATCH(J$2,Inputs!$K$4:$AJ$4,0)),NA(),IF(SUMPRODUCT((Inputs!$A$5:$A$120=$B8)*ISNUMBER(INDEX(Inputs!$K$5:$AJ$120,0,MATCH(J$2,Inputs!$K$4:$AJ$4,0))))+SUMPRODUCT((Inputs!$C$5:$C$120=$B8)*ISNUMBER(INDEX(Inputs!$K$5:$AJ$120,0,MATCH(J$2,Inputs!$K$4:$AJ$4,0))))+SUMPRODUCT((Inputs!$E$5:$E$120=$B8)*ISNUMBER(INDEX(Inputs!$K$5:$AJ$120,0,MATCH(J$2,Inputs!$K$4:$AJ$4,0))))=0,NA(),SUMPRODUCT((Inputs!$A$5:$A$120=$B8)*Inputs!$B$5:$B$120*(((Inputs!$G$5:$G$120="moeda")+(Inputs!$G$5:$G$120="acoes"))*Inputs!$B$1+((Inputs!$G$5:$G$120&lt;&gt;"moeda")*(Inputs!$G$5:$G$120&lt;&gt;"acoes")))*INDEX(Inputs!$K$5:$AJ$120,0,MATCH(J$2,Inputs!$K$4:$AJ$4,0)))+SUMPRODUCT((Inputs!$C$5:$C$120=$B8)*Inputs!$D$5:$D$120*(((Inputs!$G$5:$G$120="moeda")+(Inputs!$G$5:$G$120="acoes"))*Inputs!$B$1+((Inputs!$G$5:$G$120&lt;&gt;"moeda")*(Inputs!$G$5:$G$120&lt;&gt;"acoes")))*INDEX(Inputs!$K$5:$AJ$120,0,MATCH(J$2,Inputs!$K$4:$AJ$4,0)))+SUMPRODUCT((Inputs!$E$5:$E$120=$B8)*Inputs!$F$5:$F$120*(((Inputs!$G$5:$G$120="moeda")+(Inputs!$G$5:$G$120="acoes"))*Inputs!$B$1+((Inputs!$G$5:$G$120&lt;&gt;"moeda")*(Inputs!$G$5:$G$120&lt;&gt;"acoes")))*INDEX(Inputs!$K$5:$AJ$120,0,MATCH(J$2,Inputs!$K$4:$AJ$4,0)))))</f>
        <v>-44</v>
      </c>
      <c r="K8" s="6">
        <f>IF(ISNA(MATCH(K$2,Inputs!$K$4:$AJ$4,0)),NA(),IF(SUMPRODUCT((Inputs!$A$5:$A$120=$B8)*ISNUMBER(INDEX(Inputs!$K$5:$AJ$120,0,MATCH(K$2,Inputs!$K$4:$AJ$4,0))))+SUMPRODUCT((Inputs!$C$5:$C$120=$B8)*ISNUMBER(INDEX(Inputs!$K$5:$AJ$120,0,MATCH(K$2,Inputs!$K$4:$AJ$4,0))))+SUMPRODUCT((Inputs!$E$5:$E$120=$B8)*ISNUMBER(INDEX(Inputs!$K$5:$AJ$120,0,MATCH(K$2,Inputs!$K$4:$AJ$4,0))))=0,NA(),SUMPRODUCT((Inputs!$A$5:$A$120=$B8)*Inputs!$B$5:$B$120*(((Inputs!$G$5:$G$120="moeda")+(Inputs!$G$5:$G$120="acoes"))*Inputs!$B$1+((Inputs!$G$5:$G$120&lt;&gt;"moeda")*(Inputs!$G$5:$G$120&lt;&gt;"acoes")))*INDEX(Inputs!$K$5:$AJ$120,0,MATCH(K$2,Inputs!$K$4:$AJ$4,0)))+SUMPRODUCT((Inputs!$C$5:$C$120=$B8)*Inputs!$D$5:$D$120*(((Inputs!$G$5:$G$120="moeda")+(Inputs!$G$5:$G$120="acoes"))*Inputs!$B$1+((Inputs!$G$5:$G$120&lt;&gt;"moeda")*(Inputs!$G$5:$G$120&lt;&gt;"acoes")))*INDEX(Inputs!$K$5:$AJ$120,0,MATCH(K$2,Inputs!$K$4:$AJ$4,0)))+SUMPRODUCT((Inputs!$E$5:$E$120=$B8)*Inputs!$F$5:$F$120*(((Inputs!$G$5:$G$120="moeda")+(Inputs!$G$5:$G$120="acoes"))*Inputs!$B$1+((Inputs!$G$5:$G$120&lt;&gt;"moeda")*(Inputs!$G$5:$G$120&lt;&gt;"acoes")))*INDEX(Inputs!$K$5:$AJ$120,0,MATCH(K$2,Inputs!$K$4:$AJ$4,0)))))</f>
        <v>-53</v>
      </c>
      <c r="L8" s="6">
        <f>IF(ISNA(MATCH(L$2,Inputs!$K$4:$AJ$4,0)),NA(),IF(SUMPRODUCT((Inputs!$A$5:$A$120=$B8)*ISNUMBER(INDEX(Inputs!$K$5:$AJ$120,0,MATCH(L$2,Inputs!$K$4:$AJ$4,0))))+SUMPRODUCT((Inputs!$C$5:$C$120=$B8)*ISNUMBER(INDEX(Inputs!$K$5:$AJ$120,0,MATCH(L$2,Inputs!$K$4:$AJ$4,0))))+SUMPRODUCT((Inputs!$E$5:$E$120=$B8)*ISNUMBER(INDEX(Inputs!$K$5:$AJ$120,0,MATCH(L$2,Inputs!$K$4:$AJ$4,0))))=0,NA(),SUMPRODUCT((Inputs!$A$5:$A$120=$B8)*Inputs!$B$5:$B$120*(((Inputs!$G$5:$G$120="moeda")+(Inputs!$G$5:$G$120="acoes"))*Inputs!$B$1+((Inputs!$G$5:$G$120&lt;&gt;"moeda")*(Inputs!$G$5:$G$120&lt;&gt;"acoes")))*INDEX(Inputs!$K$5:$AJ$120,0,MATCH(L$2,Inputs!$K$4:$AJ$4,0)))+SUMPRODUCT((Inputs!$C$5:$C$120=$B8)*Inputs!$D$5:$D$120*(((Inputs!$G$5:$G$120="moeda")+(Inputs!$G$5:$G$120="acoes"))*Inputs!$B$1+((Inputs!$G$5:$G$120&lt;&gt;"moeda")*(Inputs!$G$5:$G$120&lt;&gt;"acoes")))*INDEX(Inputs!$K$5:$AJ$120,0,MATCH(L$2,Inputs!$K$4:$AJ$4,0)))+SUMPRODUCT((Inputs!$E$5:$E$120=$B8)*Inputs!$F$5:$F$120*(((Inputs!$G$5:$G$120="moeda")+(Inputs!$G$5:$G$120="acoes"))*Inputs!$B$1+((Inputs!$G$5:$G$120&lt;&gt;"moeda")*(Inputs!$G$5:$G$120&lt;&gt;"acoes")))*INDEX(Inputs!$K$5:$AJ$120,0,MATCH(L$2,Inputs!$K$4:$AJ$4,0)))))</f>
        <v>-33</v>
      </c>
      <c r="M8" s="3">
        <f>SUM(I8:L8)</f>
        <v>-191</v>
      </c>
      <c r="N8" s="6">
        <f>IF(ISNA(MATCH(N$2,Inputs!$K$4:$AJ$4,0)),NA(),IF(SUMPRODUCT((Inputs!$A$5:$A$120=$B8)*ISNUMBER(INDEX(Inputs!$K$5:$AJ$120,0,MATCH(N$2,Inputs!$K$4:$AJ$4,0))))+SUMPRODUCT((Inputs!$C$5:$C$120=$B8)*ISNUMBER(INDEX(Inputs!$K$5:$AJ$120,0,MATCH(N$2,Inputs!$K$4:$AJ$4,0))))+SUMPRODUCT((Inputs!$E$5:$E$120=$B8)*ISNUMBER(INDEX(Inputs!$K$5:$AJ$120,0,MATCH(N$2,Inputs!$K$4:$AJ$4,0))))=0,NA(),SUMPRODUCT((Inputs!$A$5:$A$120=$B8)*Inputs!$B$5:$B$120*(((Inputs!$G$5:$G$120="moeda")+(Inputs!$G$5:$G$120="acoes"))*Inputs!$B$1+((Inputs!$G$5:$G$120&lt;&gt;"moeda")*(Inputs!$G$5:$G$120&lt;&gt;"acoes")))*INDEX(Inputs!$K$5:$AJ$120,0,MATCH(N$2,Inputs!$K$4:$AJ$4,0)))+SUMPRODUCT((Inputs!$C$5:$C$120=$B8)*Inputs!$D$5:$D$120*(((Inputs!$G$5:$G$120="moeda")+(Inputs!$G$5:$G$120="acoes"))*Inputs!$B$1+((Inputs!$G$5:$G$120&lt;&gt;"moeda")*(Inputs!$G$5:$G$120&lt;&gt;"acoes")))*INDEX(Inputs!$K$5:$AJ$120,0,MATCH(N$2,Inputs!$K$4:$AJ$4,0)))+SUMPRODUCT((Inputs!$E$5:$E$120=$B8)*Inputs!$F$5:$F$120*(((Inputs!$G$5:$G$120="moeda")+(Inputs!$G$5:$G$120="acoes"))*Inputs!$B$1+((Inputs!$G$5:$G$120&lt;&gt;"moeda")*(Inputs!$G$5:$G$120&lt;&gt;"acoes")))*INDEX(Inputs!$K$5:$AJ$120,0,MATCH(N$2,Inputs!$K$4:$AJ$4,0)))))</f>
        <v>-29</v>
      </c>
      <c r="O8" s="6">
        <f>IF(ISNA(MATCH(O$2,Inputs!$K$4:$AJ$4,0)),NA(),IF(SUMPRODUCT((Inputs!$A$5:$A$120=$B8)*ISNUMBER(INDEX(Inputs!$K$5:$AJ$120,0,MATCH(O$2,Inputs!$K$4:$AJ$4,0))))+SUMPRODUCT((Inputs!$C$5:$C$120=$B8)*ISNUMBER(INDEX(Inputs!$K$5:$AJ$120,0,MATCH(O$2,Inputs!$K$4:$AJ$4,0))))+SUMPRODUCT((Inputs!$E$5:$E$120=$B8)*ISNUMBER(INDEX(Inputs!$K$5:$AJ$120,0,MATCH(O$2,Inputs!$K$4:$AJ$4,0))))=0,NA(),SUMPRODUCT((Inputs!$A$5:$A$120=$B8)*Inputs!$B$5:$B$120*(((Inputs!$G$5:$G$120="moeda")+(Inputs!$G$5:$G$120="acoes"))*Inputs!$B$1+((Inputs!$G$5:$G$120&lt;&gt;"moeda")*(Inputs!$G$5:$G$120&lt;&gt;"acoes")))*INDEX(Inputs!$K$5:$AJ$120,0,MATCH(O$2,Inputs!$K$4:$AJ$4,0)))+SUMPRODUCT((Inputs!$C$5:$C$120=$B8)*Inputs!$D$5:$D$120*(((Inputs!$G$5:$G$120="moeda")+(Inputs!$G$5:$G$120="acoes"))*Inputs!$B$1+((Inputs!$G$5:$G$120&lt;&gt;"moeda")*(Inputs!$G$5:$G$120&lt;&gt;"acoes")))*INDEX(Inputs!$K$5:$AJ$120,0,MATCH(O$2,Inputs!$K$4:$AJ$4,0)))+SUMPRODUCT((Inputs!$E$5:$E$120=$B8)*Inputs!$F$5:$F$120*(((Inputs!$G$5:$G$120="moeda")+(Inputs!$G$5:$G$120="acoes"))*Inputs!$B$1+((Inputs!$G$5:$G$120&lt;&gt;"moeda")*(Inputs!$G$5:$G$120&lt;&gt;"acoes")))*INDEX(Inputs!$K$5:$AJ$120,0,MATCH(O$2,Inputs!$K$4:$AJ$4,0)))))</f>
        <v>-28</v>
      </c>
      <c r="P8" s="6">
        <f>IF(ISNA(MATCH(P$2,Inputs!$K$4:$AJ$4,0)),NA(),IF(SUMPRODUCT((Inputs!$A$5:$A$120=$B8)*ISNUMBER(INDEX(Inputs!$K$5:$AJ$120,0,MATCH(P$2,Inputs!$K$4:$AJ$4,0))))+SUMPRODUCT((Inputs!$C$5:$C$120=$B8)*ISNUMBER(INDEX(Inputs!$K$5:$AJ$120,0,MATCH(P$2,Inputs!$K$4:$AJ$4,0))))+SUMPRODUCT((Inputs!$E$5:$E$120=$B8)*ISNUMBER(INDEX(Inputs!$K$5:$AJ$120,0,MATCH(P$2,Inputs!$K$4:$AJ$4,0))))=0,NA(),SUMPRODUCT((Inputs!$A$5:$A$120=$B8)*Inputs!$B$5:$B$120*(((Inputs!$G$5:$G$120="moeda")+(Inputs!$G$5:$G$120="acoes"))*Inputs!$B$1+((Inputs!$G$5:$G$120&lt;&gt;"moeda")*(Inputs!$G$5:$G$120&lt;&gt;"acoes")))*INDEX(Inputs!$K$5:$AJ$120,0,MATCH(P$2,Inputs!$K$4:$AJ$4,0)))+SUMPRODUCT((Inputs!$C$5:$C$120=$B8)*Inputs!$D$5:$D$120*(((Inputs!$G$5:$G$120="moeda")+(Inputs!$G$5:$G$120="acoes"))*Inputs!$B$1+((Inputs!$G$5:$G$120&lt;&gt;"moeda")*(Inputs!$G$5:$G$120&lt;&gt;"acoes")))*INDEX(Inputs!$K$5:$AJ$120,0,MATCH(P$2,Inputs!$K$4:$AJ$4,0)))+SUMPRODUCT((Inputs!$E$5:$E$120=$B8)*Inputs!$F$5:$F$120*(((Inputs!$G$5:$G$120="moeda")+(Inputs!$G$5:$G$120="acoes"))*Inputs!$B$1+((Inputs!$G$5:$G$120&lt;&gt;"moeda")*(Inputs!$G$5:$G$120&lt;&gt;"acoes")))*INDEX(Inputs!$K$5:$AJ$120,0,MATCH(P$2,Inputs!$K$4:$AJ$4,0)))))</f>
        <v>-38</v>
      </c>
      <c r="Q8" s="6">
        <f>IF(ISNA(MATCH(Q$2,Inputs!$K$4:$AJ$4,0)),NA(),IF(SUMPRODUCT((Inputs!$A$5:$A$120=$B8)*ISNUMBER(INDEX(Inputs!$K$5:$AJ$120,0,MATCH(Q$2,Inputs!$K$4:$AJ$4,0))))+SUMPRODUCT((Inputs!$C$5:$C$120=$B8)*ISNUMBER(INDEX(Inputs!$K$5:$AJ$120,0,MATCH(Q$2,Inputs!$K$4:$AJ$4,0))))+SUMPRODUCT((Inputs!$E$5:$E$120=$B8)*ISNUMBER(INDEX(Inputs!$K$5:$AJ$120,0,MATCH(Q$2,Inputs!$K$4:$AJ$4,0))))=0,NA(),SUMPRODUCT((Inputs!$A$5:$A$120=$B8)*Inputs!$B$5:$B$120*(((Inputs!$G$5:$G$120="moeda")+(Inputs!$G$5:$G$120="acoes"))*Inputs!$B$1+((Inputs!$G$5:$G$120&lt;&gt;"moeda")*(Inputs!$G$5:$G$120&lt;&gt;"acoes")))*INDEX(Inputs!$K$5:$AJ$120,0,MATCH(Q$2,Inputs!$K$4:$AJ$4,0)))+SUMPRODUCT((Inputs!$C$5:$C$120=$B8)*Inputs!$D$5:$D$120*(((Inputs!$G$5:$G$120="moeda")+(Inputs!$G$5:$G$120="acoes"))*Inputs!$B$1+((Inputs!$G$5:$G$120&lt;&gt;"moeda")*(Inputs!$G$5:$G$120&lt;&gt;"acoes")))*INDEX(Inputs!$K$5:$AJ$120,0,MATCH(Q$2,Inputs!$K$4:$AJ$4,0)))+SUMPRODUCT((Inputs!$E$5:$E$120=$B8)*Inputs!$F$5:$F$120*(((Inputs!$G$5:$G$120="moeda")+(Inputs!$G$5:$G$120="acoes"))*Inputs!$B$1+((Inputs!$G$5:$G$120&lt;&gt;"moeda")*(Inputs!$G$5:$G$120&lt;&gt;"acoes")))*INDEX(Inputs!$K$5:$AJ$120,0,MATCH(Q$2,Inputs!$K$4:$AJ$4,0)))))</f>
        <v>-61</v>
      </c>
      <c r="R8" s="3">
        <f>SUM(N8:Q8)</f>
        <v>-156</v>
      </c>
      <c r="S8" s="6">
        <f>IF(ISNA(MATCH(S$2,Inputs!$K$4:$AJ$4,0)),NA(),IF(SUMPRODUCT((Inputs!$A$5:$A$120=$B8)*ISNUMBER(INDEX(Inputs!$K$5:$AJ$120,0,MATCH(S$2,Inputs!$K$4:$AJ$4,0))))+SUMPRODUCT((Inputs!$C$5:$C$120=$B8)*ISNUMBER(INDEX(Inputs!$K$5:$AJ$120,0,MATCH(S$2,Inputs!$K$4:$AJ$4,0))))+SUMPRODUCT((Inputs!$E$5:$E$120=$B8)*ISNUMBER(INDEX(Inputs!$K$5:$AJ$120,0,MATCH(S$2,Inputs!$K$4:$AJ$4,0))))=0,NA(),SUMPRODUCT((Inputs!$A$5:$A$120=$B8)*Inputs!$B$5:$B$120*(((Inputs!$G$5:$G$120="moeda")+(Inputs!$G$5:$G$120="acoes"))*Inputs!$B$1+((Inputs!$G$5:$G$120&lt;&gt;"moeda")*(Inputs!$G$5:$G$120&lt;&gt;"acoes")))*INDEX(Inputs!$K$5:$AJ$120,0,MATCH(S$2,Inputs!$K$4:$AJ$4,0)))+SUMPRODUCT((Inputs!$C$5:$C$120=$B8)*Inputs!$D$5:$D$120*(((Inputs!$G$5:$G$120="moeda")+(Inputs!$G$5:$G$120="acoes"))*Inputs!$B$1+((Inputs!$G$5:$G$120&lt;&gt;"moeda")*(Inputs!$G$5:$G$120&lt;&gt;"acoes")))*INDEX(Inputs!$K$5:$AJ$120,0,MATCH(S$2,Inputs!$K$4:$AJ$4,0)))+SUMPRODUCT((Inputs!$E$5:$E$120=$B8)*Inputs!$F$5:$F$120*(((Inputs!$G$5:$G$120="moeda")+(Inputs!$G$5:$G$120="acoes"))*Inputs!$B$1+((Inputs!$G$5:$G$120&lt;&gt;"moeda")*(Inputs!$G$5:$G$120&lt;&gt;"acoes")))*INDEX(Inputs!$K$5:$AJ$120,0,MATCH(S$2,Inputs!$K$4:$AJ$4,0)))))</f>
        <v>-76</v>
      </c>
      <c r="T8" s="6">
        <f>IF(ISNA(MATCH(T$2,Inputs!$K$4:$AJ$4,0)),NA(),IF(SUMPRODUCT((Inputs!$A$5:$A$120=$B8)*ISNUMBER(INDEX(Inputs!$K$5:$AJ$120,0,MATCH(T$2,Inputs!$K$4:$AJ$4,0))))+SUMPRODUCT((Inputs!$C$5:$C$120=$B8)*ISNUMBER(INDEX(Inputs!$K$5:$AJ$120,0,MATCH(T$2,Inputs!$K$4:$AJ$4,0))))+SUMPRODUCT((Inputs!$E$5:$E$120=$B8)*ISNUMBER(INDEX(Inputs!$K$5:$AJ$120,0,MATCH(T$2,Inputs!$K$4:$AJ$4,0))))=0,NA(),SUMPRODUCT((Inputs!$A$5:$A$120=$B8)*Inputs!$B$5:$B$120*(((Inputs!$G$5:$G$120="moeda")+(Inputs!$G$5:$G$120="acoes"))*Inputs!$B$1+((Inputs!$G$5:$G$120&lt;&gt;"moeda")*(Inputs!$G$5:$G$120&lt;&gt;"acoes")))*INDEX(Inputs!$K$5:$AJ$120,0,MATCH(T$2,Inputs!$K$4:$AJ$4,0)))+SUMPRODUCT((Inputs!$C$5:$C$120=$B8)*Inputs!$D$5:$D$120*(((Inputs!$G$5:$G$120="moeda")+(Inputs!$G$5:$G$120="acoes"))*Inputs!$B$1+((Inputs!$G$5:$G$120&lt;&gt;"moeda")*(Inputs!$G$5:$G$120&lt;&gt;"acoes")))*INDEX(Inputs!$K$5:$AJ$120,0,MATCH(T$2,Inputs!$K$4:$AJ$4,0)))+SUMPRODUCT((Inputs!$E$5:$E$120=$B8)*Inputs!$F$5:$F$120*(((Inputs!$G$5:$G$120="moeda")+(Inputs!$G$5:$G$120="acoes"))*Inputs!$B$1+((Inputs!$G$5:$G$120&lt;&gt;"moeda")*(Inputs!$G$5:$G$120&lt;&gt;"acoes")))*INDEX(Inputs!$K$5:$AJ$120,0,MATCH(T$2,Inputs!$K$4:$AJ$4,0)))))</f>
        <v>-86</v>
      </c>
      <c r="U8" s="6">
        <f>IF(ISNA(MATCH(U$2,Inputs!$K$4:$AJ$4,0)),NA(),IF(SUMPRODUCT((Inputs!$A$5:$A$120=$B8)*ISNUMBER(INDEX(Inputs!$K$5:$AJ$120,0,MATCH(U$2,Inputs!$K$4:$AJ$4,0))))+SUMPRODUCT((Inputs!$C$5:$C$120=$B8)*ISNUMBER(INDEX(Inputs!$K$5:$AJ$120,0,MATCH(U$2,Inputs!$K$4:$AJ$4,0))))+SUMPRODUCT((Inputs!$E$5:$E$120=$B8)*ISNUMBER(INDEX(Inputs!$K$5:$AJ$120,0,MATCH(U$2,Inputs!$K$4:$AJ$4,0))))=0,NA(),SUMPRODUCT((Inputs!$A$5:$A$120=$B8)*Inputs!$B$5:$B$120*(((Inputs!$G$5:$G$120="moeda")+(Inputs!$G$5:$G$120="acoes"))*Inputs!$B$1+((Inputs!$G$5:$G$120&lt;&gt;"moeda")*(Inputs!$G$5:$G$120&lt;&gt;"acoes")))*INDEX(Inputs!$K$5:$AJ$120,0,MATCH(U$2,Inputs!$K$4:$AJ$4,0)))+SUMPRODUCT((Inputs!$C$5:$C$120=$B8)*Inputs!$D$5:$D$120*(((Inputs!$G$5:$G$120="moeda")+(Inputs!$G$5:$G$120="acoes"))*Inputs!$B$1+((Inputs!$G$5:$G$120&lt;&gt;"moeda")*(Inputs!$G$5:$G$120&lt;&gt;"acoes")))*INDEX(Inputs!$K$5:$AJ$120,0,MATCH(U$2,Inputs!$K$4:$AJ$4,0)))+SUMPRODUCT((Inputs!$E$5:$E$120=$B8)*Inputs!$F$5:$F$120*(((Inputs!$G$5:$G$120="moeda")+(Inputs!$G$5:$G$120="acoes"))*Inputs!$B$1+((Inputs!$G$5:$G$120&lt;&gt;"moeda")*(Inputs!$G$5:$G$120&lt;&gt;"acoes")))*INDEX(Inputs!$K$5:$AJ$120,0,MATCH(U$2,Inputs!$K$4:$AJ$4,0)))))</f>
        <v>-92</v>
      </c>
      <c r="V8" s="6">
        <f>IF(ISNA(MATCH(V$2,Inputs!$K$4:$AJ$4,0)),NA(),IF(SUMPRODUCT((Inputs!$A$5:$A$120=$B8)*ISNUMBER(INDEX(Inputs!$K$5:$AJ$120,0,MATCH(V$2,Inputs!$K$4:$AJ$4,0))))+SUMPRODUCT((Inputs!$C$5:$C$120=$B8)*ISNUMBER(INDEX(Inputs!$K$5:$AJ$120,0,MATCH(V$2,Inputs!$K$4:$AJ$4,0))))+SUMPRODUCT((Inputs!$E$5:$E$120=$B8)*ISNUMBER(INDEX(Inputs!$K$5:$AJ$120,0,MATCH(V$2,Inputs!$K$4:$AJ$4,0))))=0,NA(),SUMPRODUCT((Inputs!$A$5:$A$120=$B8)*Inputs!$B$5:$B$120*(((Inputs!$G$5:$G$120="moeda")+(Inputs!$G$5:$G$120="acoes"))*Inputs!$B$1+((Inputs!$G$5:$G$120&lt;&gt;"moeda")*(Inputs!$G$5:$G$120&lt;&gt;"acoes")))*INDEX(Inputs!$K$5:$AJ$120,0,MATCH(V$2,Inputs!$K$4:$AJ$4,0)))+SUMPRODUCT((Inputs!$C$5:$C$120=$B8)*Inputs!$D$5:$D$120*(((Inputs!$G$5:$G$120="moeda")+(Inputs!$G$5:$G$120="acoes"))*Inputs!$B$1+((Inputs!$G$5:$G$120&lt;&gt;"moeda")*(Inputs!$G$5:$G$120&lt;&gt;"acoes")))*INDEX(Inputs!$K$5:$AJ$120,0,MATCH(V$2,Inputs!$K$4:$AJ$4,0)))+SUMPRODUCT((Inputs!$E$5:$E$120=$B8)*Inputs!$F$5:$F$120*(((Inputs!$G$5:$G$120="moeda")+(Inputs!$G$5:$G$120="acoes"))*Inputs!$B$1+((Inputs!$G$5:$G$120&lt;&gt;"moeda")*(Inputs!$G$5:$G$120&lt;&gt;"acoes")))*INDEX(Inputs!$K$5:$AJ$120,0,MATCH(V$2,Inputs!$K$4:$AJ$4,0)))))</f>
        <v>-96</v>
      </c>
      <c r="W8" s="3">
        <f>SUM(S8:V8)</f>
        <v>-350</v>
      </c>
      <c r="X8" s="6">
        <f>IF(ISNA(MATCH(X$2,Inputs!$K$4:$AJ$4,0)),NA(),IF(SUMPRODUCT((Inputs!$A$5:$A$120=$B8)*ISNUMBER(INDEX(Inputs!$K$5:$AJ$120,0,MATCH(X$2,Inputs!$K$4:$AJ$4,0))))+SUMPRODUCT((Inputs!$C$5:$C$120=$B8)*ISNUMBER(INDEX(Inputs!$K$5:$AJ$120,0,MATCH(X$2,Inputs!$K$4:$AJ$4,0))))+SUMPRODUCT((Inputs!$E$5:$E$120=$B8)*ISNUMBER(INDEX(Inputs!$K$5:$AJ$120,0,MATCH(X$2,Inputs!$K$4:$AJ$4,0))))=0,NA(),SUMPRODUCT((Inputs!$A$5:$A$120=$B8)*Inputs!$B$5:$B$120*(((Inputs!$G$5:$G$120="moeda")+(Inputs!$G$5:$G$120="acoes"))*Inputs!$B$1+((Inputs!$G$5:$G$120&lt;&gt;"moeda")*(Inputs!$G$5:$G$120&lt;&gt;"acoes")))*INDEX(Inputs!$K$5:$AJ$120,0,MATCH(X$2,Inputs!$K$4:$AJ$4,0)))+SUMPRODUCT((Inputs!$C$5:$C$120=$B8)*Inputs!$D$5:$D$120*(((Inputs!$G$5:$G$120="moeda")+(Inputs!$G$5:$G$120="acoes"))*Inputs!$B$1+((Inputs!$G$5:$G$120&lt;&gt;"moeda")*(Inputs!$G$5:$G$120&lt;&gt;"acoes")))*INDEX(Inputs!$K$5:$AJ$120,0,MATCH(X$2,Inputs!$K$4:$AJ$4,0)))+SUMPRODUCT((Inputs!$E$5:$E$120=$B8)*Inputs!$F$5:$F$120*(((Inputs!$G$5:$G$120="moeda")+(Inputs!$G$5:$G$120="acoes"))*Inputs!$B$1+((Inputs!$G$5:$G$120&lt;&gt;"moeda")*(Inputs!$G$5:$G$120&lt;&gt;"acoes")))*INDEX(Inputs!$K$5:$AJ$120,0,MATCH(X$2,Inputs!$K$4:$AJ$4,0)))))</f>
        <v>-91</v>
      </c>
      <c r="Y8" s="6">
        <f>IF(ISNA(MATCH(Y$2,Inputs!$K$4:$AJ$4,0)),NA(),IF(SUMPRODUCT((Inputs!$A$5:$A$120=$B8)*ISNUMBER(INDEX(Inputs!$K$5:$AJ$120,0,MATCH(Y$2,Inputs!$K$4:$AJ$4,0))))+SUMPRODUCT((Inputs!$C$5:$C$120=$B8)*ISNUMBER(INDEX(Inputs!$K$5:$AJ$120,0,MATCH(Y$2,Inputs!$K$4:$AJ$4,0))))+SUMPRODUCT((Inputs!$E$5:$E$120=$B8)*ISNUMBER(INDEX(Inputs!$K$5:$AJ$120,0,MATCH(Y$2,Inputs!$K$4:$AJ$4,0))))=0,NA(),SUMPRODUCT((Inputs!$A$5:$A$120=$B8)*Inputs!$B$5:$B$120*(((Inputs!$G$5:$G$120="moeda")+(Inputs!$G$5:$G$120="acoes"))*Inputs!$B$1+((Inputs!$G$5:$G$120&lt;&gt;"moeda")*(Inputs!$G$5:$G$120&lt;&gt;"acoes")))*INDEX(Inputs!$K$5:$AJ$120,0,MATCH(Y$2,Inputs!$K$4:$AJ$4,0)))+SUMPRODUCT((Inputs!$C$5:$C$120=$B8)*Inputs!$D$5:$D$120*(((Inputs!$G$5:$G$120="moeda")+(Inputs!$G$5:$G$120="acoes"))*Inputs!$B$1+((Inputs!$G$5:$G$120&lt;&gt;"moeda")*(Inputs!$G$5:$G$120&lt;&gt;"acoes")))*INDEX(Inputs!$K$5:$AJ$120,0,MATCH(Y$2,Inputs!$K$4:$AJ$4,0)))+SUMPRODUCT((Inputs!$E$5:$E$120=$B8)*Inputs!$F$5:$F$120*(((Inputs!$G$5:$G$120="moeda")+(Inputs!$G$5:$G$120="acoes"))*Inputs!$B$1+((Inputs!$G$5:$G$120&lt;&gt;"moeda")*(Inputs!$G$5:$G$120&lt;&gt;"acoes")))*INDEX(Inputs!$K$5:$AJ$120,0,MATCH(Y$2,Inputs!$K$4:$AJ$4,0)))))</f>
        <v>-86</v>
      </c>
      <c r="Z8" s="6">
        <f>IF(ISNA(MATCH(Z$2,Inputs!$K$4:$AJ$4,0)),NA(),IF(SUMPRODUCT((Inputs!$A$5:$A$120=$B8)*ISNUMBER(INDEX(Inputs!$K$5:$AJ$120,0,MATCH(Z$2,Inputs!$K$4:$AJ$4,0))))+SUMPRODUCT((Inputs!$C$5:$C$120=$B8)*ISNUMBER(INDEX(Inputs!$K$5:$AJ$120,0,MATCH(Z$2,Inputs!$K$4:$AJ$4,0))))+SUMPRODUCT((Inputs!$E$5:$E$120=$B8)*ISNUMBER(INDEX(Inputs!$K$5:$AJ$120,0,MATCH(Z$2,Inputs!$K$4:$AJ$4,0))))=0,NA(),SUMPRODUCT((Inputs!$A$5:$A$120=$B8)*Inputs!$B$5:$B$120*(((Inputs!$G$5:$G$120="moeda")+(Inputs!$G$5:$G$120="acoes"))*Inputs!$B$1+((Inputs!$G$5:$G$120&lt;&gt;"moeda")*(Inputs!$G$5:$G$120&lt;&gt;"acoes")))*INDEX(Inputs!$K$5:$AJ$120,0,MATCH(Z$2,Inputs!$K$4:$AJ$4,0)))+SUMPRODUCT((Inputs!$C$5:$C$120=$B8)*Inputs!$D$5:$D$120*(((Inputs!$G$5:$G$120="moeda")+(Inputs!$G$5:$G$120="acoes"))*Inputs!$B$1+((Inputs!$G$5:$G$120&lt;&gt;"moeda")*(Inputs!$G$5:$G$120&lt;&gt;"acoes")))*INDEX(Inputs!$K$5:$AJ$120,0,MATCH(Z$2,Inputs!$K$4:$AJ$4,0)))+SUMPRODUCT((Inputs!$E$5:$E$120=$B8)*Inputs!$F$5:$F$120*(((Inputs!$G$5:$G$120="moeda")+(Inputs!$G$5:$G$120="acoes"))*Inputs!$B$1+((Inputs!$G$5:$G$120&lt;&gt;"moeda")*(Inputs!$G$5:$G$120&lt;&gt;"acoes")))*INDEX(Inputs!$K$5:$AJ$120,0,MATCH(Z$2,Inputs!$K$4:$AJ$4,0)))))</f>
        <v>-76</v>
      </c>
      <c r="AA8" s="6">
        <f>IF(ISNA(MATCH(AA$2,Inputs!$K$4:$AJ$4,0)),NA(),IF(SUMPRODUCT((Inputs!$A$5:$A$120=$B8)*ISNUMBER(INDEX(Inputs!$K$5:$AJ$120,0,MATCH(AA$2,Inputs!$K$4:$AJ$4,0))))+SUMPRODUCT((Inputs!$C$5:$C$120=$B8)*ISNUMBER(INDEX(Inputs!$K$5:$AJ$120,0,MATCH(AA$2,Inputs!$K$4:$AJ$4,0))))+SUMPRODUCT((Inputs!$E$5:$E$120=$B8)*ISNUMBER(INDEX(Inputs!$K$5:$AJ$120,0,MATCH(AA$2,Inputs!$K$4:$AJ$4,0))))=0,NA(),SUMPRODUCT((Inputs!$A$5:$A$120=$B8)*Inputs!$B$5:$B$120*(((Inputs!$G$5:$G$120="moeda")+(Inputs!$G$5:$G$120="acoes"))*Inputs!$B$1+((Inputs!$G$5:$G$120&lt;&gt;"moeda")*(Inputs!$G$5:$G$120&lt;&gt;"acoes")))*INDEX(Inputs!$K$5:$AJ$120,0,MATCH(AA$2,Inputs!$K$4:$AJ$4,0)))+SUMPRODUCT((Inputs!$C$5:$C$120=$B8)*Inputs!$D$5:$D$120*(((Inputs!$G$5:$G$120="moeda")+(Inputs!$G$5:$G$120="acoes"))*Inputs!$B$1+((Inputs!$G$5:$G$120&lt;&gt;"moeda")*(Inputs!$G$5:$G$120&lt;&gt;"acoes")))*INDEX(Inputs!$K$5:$AJ$120,0,MATCH(AA$2,Inputs!$K$4:$AJ$4,0)))+SUMPRODUCT((Inputs!$E$5:$E$120=$B8)*Inputs!$F$5:$F$120*(((Inputs!$G$5:$G$120="moeda")+(Inputs!$G$5:$G$120="acoes"))*Inputs!$B$1+((Inputs!$G$5:$G$120&lt;&gt;"moeda")*(Inputs!$G$5:$G$120&lt;&gt;"acoes")))*INDEX(Inputs!$K$5:$AJ$120,0,MATCH(AA$2,Inputs!$K$4:$AJ$4,0)))))</f>
        <v>-85</v>
      </c>
      <c r="AB8" s="3">
        <f>SUM(X8:AA8)</f>
        <v>-338</v>
      </c>
      <c r="AC8" s="6">
        <f>IF(ISNA(MATCH(AC$2,Inputs!$K$4:$AJ$4,0)),NA(),IF(SUMPRODUCT((Inputs!$A$5:$A$120=$B8)*ISNUMBER(INDEX(Inputs!$K$5:$AJ$120,0,MATCH(AC$2,Inputs!$K$4:$AJ$4,0))))+SUMPRODUCT((Inputs!$C$5:$C$120=$B8)*ISNUMBER(INDEX(Inputs!$K$5:$AJ$120,0,MATCH(AC$2,Inputs!$K$4:$AJ$4,0))))+SUMPRODUCT((Inputs!$E$5:$E$120=$B8)*ISNUMBER(INDEX(Inputs!$K$5:$AJ$120,0,MATCH(AC$2,Inputs!$K$4:$AJ$4,0))))=0,NA(),SUMPRODUCT((Inputs!$A$5:$A$120=$B8)*Inputs!$B$5:$B$120*(((Inputs!$G$5:$G$120="moeda")+(Inputs!$G$5:$G$120="acoes"))*Inputs!$B$1+((Inputs!$G$5:$G$120&lt;&gt;"moeda")*(Inputs!$G$5:$G$120&lt;&gt;"acoes")))*INDEX(Inputs!$K$5:$AJ$120,0,MATCH(AC$2,Inputs!$K$4:$AJ$4,0)))+SUMPRODUCT((Inputs!$C$5:$C$120=$B8)*Inputs!$D$5:$D$120*(((Inputs!$G$5:$G$120="moeda")+(Inputs!$G$5:$G$120="acoes"))*Inputs!$B$1+((Inputs!$G$5:$G$120&lt;&gt;"moeda")*(Inputs!$G$5:$G$120&lt;&gt;"acoes")))*INDEX(Inputs!$K$5:$AJ$120,0,MATCH(AC$2,Inputs!$K$4:$AJ$4,0)))+SUMPRODUCT((Inputs!$E$5:$E$120=$B8)*Inputs!$F$5:$F$120*(((Inputs!$G$5:$G$120="moeda")+(Inputs!$G$5:$G$120="acoes"))*Inputs!$B$1+((Inputs!$G$5:$G$120&lt;&gt;"moeda")*(Inputs!$G$5:$G$120&lt;&gt;"acoes")))*INDEX(Inputs!$K$5:$AJ$120,0,MATCH(AC$2,Inputs!$K$4:$AJ$4,0)))))</f>
        <v>-92</v>
      </c>
      <c r="AD8" s="6">
        <f>IF(ISNA(MATCH(AD$2,Inputs!$K$4:$AJ$4,0)),NA(),IF(SUMPRODUCT((Inputs!$A$5:$A$120=$B8)*ISNUMBER(INDEX(Inputs!$K$5:$AJ$120,0,MATCH(AD$2,Inputs!$K$4:$AJ$4,0))))+SUMPRODUCT((Inputs!$C$5:$C$120=$B8)*ISNUMBER(INDEX(Inputs!$K$5:$AJ$120,0,MATCH(AD$2,Inputs!$K$4:$AJ$4,0))))+SUMPRODUCT((Inputs!$E$5:$E$120=$B8)*ISNUMBER(INDEX(Inputs!$K$5:$AJ$120,0,MATCH(AD$2,Inputs!$K$4:$AJ$4,0))))=0,NA(),SUMPRODUCT((Inputs!$A$5:$A$120=$B8)*Inputs!$B$5:$B$120*(((Inputs!$G$5:$G$120="moeda")+(Inputs!$G$5:$G$120="acoes"))*Inputs!$B$1+((Inputs!$G$5:$G$120&lt;&gt;"moeda")*(Inputs!$G$5:$G$120&lt;&gt;"acoes")))*INDEX(Inputs!$K$5:$AJ$120,0,MATCH(AD$2,Inputs!$K$4:$AJ$4,0)))+SUMPRODUCT((Inputs!$C$5:$C$120=$B8)*Inputs!$D$5:$D$120*(((Inputs!$G$5:$G$120="moeda")+(Inputs!$G$5:$G$120="acoes"))*Inputs!$B$1+((Inputs!$G$5:$G$120&lt;&gt;"moeda")*(Inputs!$G$5:$G$120&lt;&gt;"acoes")))*INDEX(Inputs!$K$5:$AJ$120,0,MATCH(AD$2,Inputs!$K$4:$AJ$4,0)))+SUMPRODUCT((Inputs!$E$5:$E$120=$B8)*Inputs!$F$5:$F$120*(((Inputs!$G$5:$G$120="moeda")+(Inputs!$G$5:$G$120="acoes"))*Inputs!$B$1+((Inputs!$G$5:$G$120&lt;&gt;"moeda")*(Inputs!$G$5:$G$120&lt;&gt;"acoes")))*INDEX(Inputs!$K$5:$AJ$120,0,MATCH(AD$2,Inputs!$K$4:$AJ$4,0)))))</f>
        <v>-81</v>
      </c>
      <c r="AE8" s="6" t="e">
        <f>IF(ISNA(MATCH(AE$2,Inputs!$K$4:$AJ$4,0)),NA(),IF(SUMPRODUCT((Inputs!$A$5:$A$120=$B8)*ISNUMBER(INDEX(Inputs!$K$5:$AJ$120,0,MATCH(AE$2,Inputs!$K$4:$AJ$4,0))))+SUMPRODUCT((Inputs!$C$5:$C$120=$B8)*ISNUMBER(INDEX(Inputs!$K$5:$AJ$120,0,MATCH(AE$2,Inputs!$K$4:$AJ$4,0))))+SUMPRODUCT((Inputs!$E$5:$E$120=$B8)*ISNUMBER(INDEX(Inputs!$K$5:$AJ$120,0,MATCH(AE$2,Inputs!$K$4:$AJ$4,0))))=0,NA(),SUMPRODUCT((Inputs!$A$5:$A$120=$B8)*Inputs!$B$5:$B$120*(((Inputs!$G$5:$G$120="moeda")+(Inputs!$G$5:$G$120="acoes"))*Inputs!$B$1+((Inputs!$G$5:$G$120&lt;&gt;"moeda")*(Inputs!$G$5:$G$120&lt;&gt;"acoes")))*INDEX(Inputs!$K$5:$AJ$120,0,MATCH(AE$2,Inputs!$K$4:$AJ$4,0)))+SUMPRODUCT((Inputs!$C$5:$C$120=$B8)*Inputs!$D$5:$D$120*(((Inputs!$G$5:$G$120="moeda")+(Inputs!$G$5:$G$120="acoes"))*Inputs!$B$1+((Inputs!$G$5:$G$120&lt;&gt;"moeda")*(Inputs!$G$5:$G$120&lt;&gt;"acoes")))*INDEX(Inputs!$K$5:$AJ$120,0,MATCH(AE$2,Inputs!$K$4:$AJ$4,0)))+SUMPRODUCT((Inputs!$E$5:$E$120=$B8)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8" s="6" t="e">
        <f>IF(ISNA(MATCH(AF$2,Inputs!$K$4:$AJ$4,0)),NA(),IF(SUMPRODUCT((Inputs!$A$5:$A$120=$B8)*ISNUMBER(INDEX(Inputs!$K$5:$AJ$120,0,MATCH(AF$2,Inputs!$K$4:$AJ$4,0))))+SUMPRODUCT((Inputs!$C$5:$C$120=$B8)*ISNUMBER(INDEX(Inputs!$K$5:$AJ$120,0,MATCH(AF$2,Inputs!$K$4:$AJ$4,0))))+SUMPRODUCT((Inputs!$E$5:$E$120=$B8)*ISNUMBER(INDEX(Inputs!$K$5:$AJ$120,0,MATCH(AF$2,Inputs!$K$4:$AJ$4,0))))=0,NA(),SUMPRODUCT((Inputs!$A$5:$A$120=$B8)*Inputs!$B$5:$B$120*(((Inputs!$G$5:$G$120="moeda")+(Inputs!$G$5:$G$120="acoes"))*Inputs!$B$1+((Inputs!$G$5:$G$120&lt;&gt;"moeda")*(Inputs!$G$5:$G$120&lt;&gt;"acoes")))*INDEX(Inputs!$K$5:$AJ$120,0,MATCH(AF$2,Inputs!$K$4:$AJ$4,0)))+SUMPRODUCT((Inputs!$C$5:$C$120=$B8)*Inputs!$D$5:$D$120*(((Inputs!$G$5:$G$120="moeda")+(Inputs!$G$5:$G$120="acoes"))*Inputs!$B$1+((Inputs!$G$5:$G$120&lt;&gt;"moeda")*(Inputs!$G$5:$G$120&lt;&gt;"acoes")))*INDEX(Inputs!$K$5:$AJ$120,0,MATCH(AF$2,Inputs!$K$4:$AJ$4,0)))+SUMPRODUCT((Inputs!$E$5:$E$120=$B8)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8" s="3" t="e">
        <f>SUM(AC8:AF8)</f>
        <v>#N/A</v>
      </c>
      <c r="AH8" s="6">
        <f>IF(ISNA(MATCH(AH$2,Inputs!$K$4:$AJ$4,0)),NA(),IF(SUMPRODUCT((Inputs!$A$5:$A$120=$B8)*ISNUMBER(INDEX(Inputs!$K$5:$AJ$120,0,MATCH(AH$2,Inputs!$K$4:$AJ$4,0))))+SUMPRODUCT((Inputs!$C$5:$C$120=$B8)*ISNUMBER(INDEX(Inputs!$K$5:$AJ$120,0,MATCH(AH$2,Inputs!$K$4:$AJ$4,0))))+SUMPRODUCT((Inputs!$E$5:$E$120=$B8)*ISNUMBER(INDEX(Inputs!$K$5:$AJ$120,0,MATCH(AH$2,Inputs!$K$4:$AJ$4,0))))=0,NA(),SUMPRODUCT((Inputs!$A$5:$A$120=$B8)*Inputs!$B$5:$B$120*(((Inputs!$G$5:$G$120="moeda")+(Inputs!$G$5:$G$120="acoes"))*Inputs!$B$1+((Inputs!$G$5:$G$120&lt;&gt;"moeda")*(Inputs!$G$5:$G$120&lt;&gt;"acoes")))*INDEX(Inputs!$K$5:$AJ$120,0,MATCH(AH$2,Inputs!$K$4:$AJ$4,0)))+SUMPRODUCT((Inputs!$C$5:$C$120=$B8)*Inputs!$D$5:$D$120*(((Inputs!$G$5:$G$120="moeda")+(Inputs!$G$5:$G$120="acoes"))*Inputs!$B$1+((Inputs!$G$5:$G$120&lt;&gt;"moeda")*(Inputs!$G$5:$G$120&lt;&gt;"acoes")))*INDEX(Inputs!$K$5:$AJ$120,0,MATCH(AH$2,Inputs!$K$4:$AJ$4,0)))+SUMPRODUCT((Inputs!$E$5:$E$120=$B8)*Inputs!$F$5:$F$120*(((Inputs!$G$5:$G$120="moeda")+(Inputs!$G$5:$G$120="acoes"))*Inputs!$B$1+((Inputs!$G$5:$G$120&lt;&gt;"moeda")*(Inputs!$G$5:$G$120&lt;&gt;"acoes")))*INDEX(Inputs!$K$5:$AJ$120,0,MATCH(AH$2,Inputs!$K$4:$AJ$4,0)))))</f>
        <v>-169</v>
      </c>
      <c r="AI8" s="6">
        <f>IF(ISNA(MATCH(AI$2,Inputs!$K$4:$AJ$4,0)),NA(),IF(SUMPRODUCT((Inputs!$A$5:$A$120=$B8)*ISNUMBER(INDEX(Inputs!$K$5:$AJ$120,0,MATCH(AI$2,Inputs!$K$4:$AJ$4,0))))+SUMPRODUCT((Inputs!$C$5:$C$120=$B8)*ISNUMBER(INDEX(Inputs!$K$5:$AJ$120,0,MATCH(AI$2,Inputs!$K$4:$AJ$4,0))))+SUMPRODUCT((Inputs!$E$5:$E$120=$B8)*ISNUMBER(INDEX(Inputs!$K$5:$AJ$120,0,MATCH(AI$2,Inputs!$K$4:$AJ$4,0))))=0,NA(),SUMPRODUCT((Inputs!$A$5:$A$120=$B8)*Inputs!$B$5:$B$120*(((Inputs!$G$5:$G$120="moeda")+(Inputs!$G$5:$G$120="acoes"))*Inputs!$B$1+((Inputs!$G$5:$G$120&lt;&gt;"moeda")*(Inputs!$G$5:$G$120&lt;&gt;"acoes")))*INDEX(Inputs!$K$5:$AJ$120,0,MATCH(AI$2,Inputs!$K$4:$AJ$4,0)))+SUMPRODUCT((Inputs!$C$5:$C$120=$B8)*Inputs!$D$5:$D$120*(((Inputs!$G$5:$G$120="moeda")+(Inputs!$G$5:$G$120="acoes"))*Inputs!$B$1+((Inputs!$G$5:$G$120&lt;&gt;"moeda")*(Inputs!$G$5:$G$120&lt;&gt;"acoes")))*INDEX(Inputs!$K$5:$AJ$120,0,MATCH(AI$2,Inputs!$K$4:$AJ$4,0)))+SUMPRODUCT((Inputs!$E$5:$E$120=$B8)*Inputs!$F$5:$F$120*(((Inputs!$G$5:$G$120="moeda")+(Inputs!$G$5:$G$120="acoes"))*Inputs!$B$1+((Inputs!$G$5:$G$120&lt;&gt;"moeda")*(Inputs!$G$5:$G$120&lt;&gt;"acoes")))*INDEX(Inputs!$K$5:$AJ$120,0,MATCH(AI$2,Inputs!$K$4:$AJ$4,0)))))</f>
        <v>-170</v>
      </c>
      <c r="AJ8" s="6">
        <f>IF(ISNA(MATCH(AJ$2,Inputs!$K$4:$AJ$4,0)),NA(),IF(SUMPRODUCT((Inputs!$A$5:$A$120=$B8)*ISNUMBER(INDEX(Inputs!$K$5:$AJ$120,0,MATCH(AJ$2,Inputs!$K$4:$AJ$4,0))))+SUMPRODUCT((Inputs!$C$5:$C$120=$B8)*ISNUMBER(INDEX(Inputs!$K$5:$AJ$120,0,MATCH(AJ$2,Inputs!$K$4:$AJ$4,0))))+SUMPRODUCT((Inputs!$E$5:$E$120=$B8)*ISNUMBER(INDEX(Inputs!$K$5:$AJ$120,0,MATCH(AJ$2,Inputs!$K$4:$AJ$4,0))))=0,NA(),SUMPRODUCT((Inputs!$A$5:$A$120=$B8)*Inputs!$B$5:$B$120*(((Inputs!$G$5:$G$120="moeda")+(Inputs!$G$5:$G$120="acoes"))*Inputs!$B$1+((Inputs!$G$5:$G$120&lt;&gt;"moeda")*(Inputs!$G$5:$G$120&lt;&gt;"acoes")))*INDEX(Inputs!$K$5:$AJ$120,0,MATCH(AJ$2,Inputs!$K$4:$AJ$4,0)))+SUMPRODUCT((Inputs!$C$5:$C$120=$B8)*Inputs!$D$5:$D$120*(((Inputs!$G$5:$G$120="moeda")+(Inputs!$G$5:$G$120="acoes"))*Inputs!$B$1+((Inputs!$G$5:$G$120&lt;&gt;"moeda")*(Inputs!$G$5:$G$120&lt;&gt;"acoes")))*INDEX(Inputs!$K$5:$AJ$120,0,MATCH(AJ$2,Inputs!$K$4:$AJ$4,0)))+SUMPRODUCT((Inputs!$E$5:$E$120=$B8)*Inputs!$F$5:$F$120*(((Inputs!$G$5:$G$120="moeda")+(Inputs!$G$5:$G$120="acoes"))*Inputs!$B$1+((Inputs!$G$5:$G$120&lt;&gt;"moeda")*(Inputs!$G$5:$G$120&lt;&gt;"acoes")))*INDEX(Inputs!$K$5:$AJ$120,0,MATCH(AJ$2,Inputs!$K$4:$AJ$4,0)))))</f>
        <v>-163</v>
      </c>
      <c r="AK8" s="6">
        <f>IF(ISNA(MATCH(AK$2,Inputs!$K$4:$AJ$4,0)),NA(),IF(SUMPRODUCT((Inputs!$A$5:$A$120=$B8)*ISNUMBER(INDEX(Inputs!$K$5:$AJ$120,0,MATCH(AK$2,Inputs!$K$4:$AJ$4,0))))+SUMPRODUCT((Inputs!$C$5:$C$120=$B8)*ISNUMBER(INDEX(Inputs!$K$5:$AJ$120,0,MATCH(AK$2,Inputs!$K$4:$AJ$4,0))))+SUMPRODUCT((Inputs!$E$5:$E$120=$B8)*ISNUMBER(INDEX(Inputs!$K$5:$AJ$120,0,MATCH(AK$2,Inputs!$K$4:$AJ$4,0))))=0,NA(),SUMPRODUCT((Inputs!$A$5:$A$120=$B8)*Inputs!$B$5:$B$120*(((Inputs!$G$5:$G$120="moeda")+(Inputs!$G$5:$G$120="acoes"))*Inputs!$B$1+((Inputs!$G$5:$G$120&lt;&gt;"moeda")*(Inputs!$G$5:$G$120&lt;&gt;"acoes")))*INDEX(Inputs!$K$5:$AJ$120,0,MATCH(AK$2,Inputs!$K$4:$AJ$4,0)))+SUMPRODUCT((Inputs!$C$5:$C$120=$B8)*Inputs!$D$5:$D$120*(((Inputs!$G$5:$G$120="moeda")+(Inputs!$G$5:$G$120="acoes"))*Inputs!$B$1+((Inputs!$G$5:$G$120&lt;&gt;"moeda")*(Inputs!$G$5:$G$120&lt;&gt;"acoes")))*INDEX(Inputs!$K$5:$AJ$120,0,MATCH(AK$2,Inputs!$K$4:$AJ$4,0)))+SUMPRODUCT((Inputs!$E$5:$E$120=$B8)*Inputs!$F$5:$F$120*(((Inputs!$G$5:$G$120="moeda")+(Inputs!$G$5:$G$120="acoes"))*Inputs!$B$1+((Inputs!$G$5:$G$120&lt;&gt;"moeda")*(Inputs!$G$5:$G$120&lt;&gt;"acoes")))*INDEX(Inputs!$K$5:$AJ$120,0,MATCH(AK$2,Inputs!$K$4:$AJ$4,0)))))</f>
        <v>-246</v>
      </c>
      <c r="AL8" s="3">
        <f>SUM(AH8:AK8)</f>
        <v>-748</v>
      </c>
    </row>
    <row r="9">
      <c r="B9" s="46" t="n">
        <v>6</v>
      </c>
      <c r="C9" s="26" t="inlineStr">
        <is>
          <t>Nonoperating Income / (Loss)</t>
        </is>
      </c>
      <c r="D9" s="6">
        <f>IF(ISNA(MATCH(D$2,Inputs!$K$4:$AJ$4,0)),NA(),IF(SUMPRODUCT((Inputs!$A$5:$A$120=$B9)*ISNUMBER(INDEX(Inputs!$K$5:$AJ$120,0,MATCH(D$2,Inputs!$K$4:$AJ$4,0))))+SUMPRODUCT((Inputs!$C$5:$C$120=$B9)*ISNUMBER(INDEX(Inputs!$K$5:$AJ$120,0,MATCH(D$2,Inputs!$K$4:$AJ$4,0))))+SUMPRODUCT((Inputs!$E$5:$E$120=$B9)*ISNUMBER(INDEX(Inputs!$K$5:$AJ$120,0,MATCH(D$2,Inputs!$K$4:$AJ$4,0))))=0,NA(),SUMPRODUCT((Inputs!$A$5:$A$120=$B9)*Inputs!$B$5:$B$120*(((Inputs!$G$5:$G$120="moeda")+(Inputs!$G$5:$G$120="acoes"))*Inputs!$B$1+((Inputs!$G$5:$G$120&lt;&gt;"moeda")*(Inputs!$G$5:$G$120&lt;&gt;"acoes")))*INDEX(Inputs!$K$5:$AJ$120,0,MATCH(D$2,Inputs!$K$4:$AJ$4,0)))+SUMPRODUCT((Inputs!$C$5:$C$120=$B9)*Inputs!$D$5:$D$120*(((Inputs!$G$5:$G$120="moeda")+(Inputs!$G$5:$G$120="acoes"))*Inputs!$B$1+((Inputs!$G$5:$G$120&lt;&gt;"moeda")*(Inputs!$G$5:$G$120&lt;&gt;"acoes")))*INDEX(Inputs!$K$5:$AJ$120,0,MATCH(D$2,Inputs!$K$4:$AJ$4,0)))+SUMPRODUCT((Inputs!$E$5:$E$120=$B9)*Inputs!$F$5:$F$120*(((Inputs!$G$5:$G$120="moeda")+(Inputs!$G$5:$G$120="acoes"))*Inputs!$B$1+((Inputs!$G$5:$G$120&lt;&gt;"moeda")*(Inputs!$G$5:$G$120&lt;&gt;"acoes")))*INDEX(Inputs!$K$5:$AJ$120,0,MATCH(D$2,Inputs!$K$4:$AJ$4,0)))))</f>
        <v>38</v>
      </c>
      <c r="E9" s="6">
        <f>IF(ISNA(MATCH(E$2,Inputs!$K$4:$AJ$4,0)),NA(),IF(SUMPRODUCT((Inputs!$A$5:$A$120=$B9)*ISNUMBER(INDEX(Inputs!$K$5:$AJ$120,0,MATCH(E$2,Inputs!$K$4:$AJ$4,0))))+SUMPRODUCT((Inputs!$C$5:$C$120=$B9)*ISNUMBER(INDEX(Inputs!$K$5:$AJ$120,0,MATCH(E$2,Inputs!$K$4:$AJ$4,0))))+SUMPRODUCT((Inputs!$E$5:$E$120=$B9)*ISNUMBER(INDEX(Inputs!$K$5:$AJ$120,0,MATCH(E$2,Inputs!$K$4:$AJ$4,0))))=0,NA(),SUMPRODUCT((Inputs!$A$5:$A$120=$B9)*Inputs!$B$5:$B$120*(((Inputs!$G$5:$G$120="moeda")+(Inputs!$G$5:$G$120="acoes"))*Inputs!$B$1+((Inputs!$G$5:$G$120&lt;&gt;"moeda")*(Inputs!$G$5:$G$120&lt;&gt;"acoes")))*INDEX(Inputs!$K$5:$AJ$120,0,MATCH(E$2,Inputs!$K$4:$AJ$4,0)))+SUMPRODUCT((Inputs!$C$5:$C$120=$B9)*Inputs!$D$5:$D$120*(((Inputs!$G$5:$G$120="moeda")+(Inputs!$G$5:$G$120="acoes"))*Inputs!$B$1+((Inputs!$G$5:$G$120&lt;&gt;"moeda")*(Inputs!$G$5:$G$120&lt;&gt;"acoes")))*INDEX(Inputs!$K$5:$AJ$120,0,MATCH(E$2,Inputs!$K$4:$AJ$4,0)))+SUMPRODUCT((Inputs!$E$5:$E$120=$B9)*Inputs!$F$5:$F$120*(((Inputs!$G$5:$G$120="moeda")+(Inputs!$G$5:$G$120="acoes"))*Inputs!$B$1+((Inputs!$G$5:$G$120&lt;&gt;"moeda")*(Inputs!$G$5:$G$120&lt;&gt;"acoes")))*INDEX(Inputs!$K$5:$AJ$120,0,MATCH(E$2,Inputs!$K$4:$AJ$4,0)))))</f>
        <v>56</v>
      </c>
      <c r="F9" s="6">
        <f>IF(ISNA(MATCH(F$2,Inputs!$K$4:$AJ$4,0)),NA(),IF(SUMPRODUCT((Inputs!$A$5:$A$120=$B9)*ISNUMBER(INDEX(Inputs!$K$5:$AJ$120,0,MATCH(F$2,Inputs!$K$4:$AJ$4,0))))+SUMPRODUCT((Inputs!$C$5:$C$120=$B9)*ISNUMBER(INDEX(Inputs!$K$5:$AJ$120,0,MATCH(F$2,Inputs!$K$4:$AJ$4,0))))+SUMPRODUCT((Inputs!$E$5:$E$120=$B9)*ISNUMBER(INDEX(Inputs!$K$5:$AJ$120,0,MATCH(F$2,Inputs!$K$4:$AJ$4,0))))=0,NA(),SUMPRODUCT((Inputs!$A$5:$A$120=$B9)*Inputs!$B$5:$B$120*(((Inputs!$G$5:$G$120="moeda")+(Inputs!$G$5:$G$120="acoes"))*Inputs!$B$1+((Inputs!$G$5:$G$120&lt;&gt;"moeda")*(Inputs!$G$5:$G$120&lt;&gt;"acoes")))*INDEX(Inputs!$K$5:$AJ$120,0,MATCH(F$2,Inputs!$K$4:$AJ$4,0)))+SUMPRODUCT((Inputs!$C$5:$C$120=$B9)*Inputs!$D$5:$D$120*(((Inputs!$G$5:$G$120="moeda")+(Inputs!$G$5:$G$120="acoes"))*Inputs!$B$1+((Inputs!$G$5:$G$120&lt;&gt;"moeda")*(Inputs!$G$5:$G$120&lt;&gt;"acoes")))*INDEX(Inputs!$K$5:$AJ$120,0,MATCH(F$2,Inputs!$K$4:$AJ$4,0)))+SUMPRODUCT((Inputs!$E$5:$E$120=$B9)*Inputs!$F$5:$F$120*(((Inputs!$G$5:$G$120="moeda")+(Inputs!$G$5:$G$120="acoes"))*Inputs!$B$1+((Inputs!$G$5:$G$120&lt;&gt;"moeda")*(Inputs!$G$5:$G$120&lt;&gt;"acoes")))*INDEX(Inputs!$K$5:$AJ$120,0,MATCH(F$2,Inputs!$K$4:$AJ$4,0)))))</f>
        <v>4</v>
      </c>
      <c r="G9" s="6">
        <f>IF(ISNA(MATCH(G$2,Inputs!$K$4:$AJ$4,0)),NA(),IF(SUMPRODUCT((Inputs!$A$5:$A$120=$B9)*ISNUMBER(INDEX(Inputs!$K$5:$AJ$120,0,MATCH(G$2,Inputs!$K$4:$AJ$4,0))))+SUMPRODUCT((Inputs!$C$5:$C$120=$B9)*ISNUMBER(INDEX(Inputs!$K$5:$AJ$120,0,MATCH(G$2,Inputs!$K$4:$AJ$4,0))))+SUMPRODUCT((Inputs!$E$5:$E$120=$B9)*ISNUMBER(INDEX(Inputs!$K$5:$AJ$120,0,MATCH(G$2,Inputs!$K$4:$AJ$4,0))))=0,NA(),SUMPRODUCT((Inputs!$A$5:$A$120=$B9)*Inputs!$B$5:$B$120*(((Inputs!$G$5:$G$120="moeda")+(Inputs!$G$5:$G$120="acoes"))*Inputs!$B$1+((Inputs!$G$5:$G$120&lt;&gt;"moeda")*(Inputs!$G$5:$G$120&lt;&gt;"acoes")))*INDEX(Inputs!$K$5:$AJ$120,0,MATCH(G$2,Inputs!$K$4:$AJ$4,0)))+SUMPRODUCT((Inputs!$C$5:$C$120=$B9)*Inputs!$D$5:$D$120*(((Inputs!$G$5:$G$120="moeda")+(Inputs!$G$5:$G$120="acoes"))*Inputs!$B$1+((Inputs!$G$5:$G$120&lt;&gt;"moeda")*(Inputs!$G$5:$G$120&lt;&gt;"acoes")))*INDEX(Inputs!$K$5:$AJ$120,0,MATCH(G$2,Inputs!$K$4:$AJ$4,0)))+SUMPRODUCT((Inputs!$E$5:$E$120=$B9)*Inputs!$F$5:$F$120*(((Inputs!$G$5:$G$120="moeda")+(Inputs!$G$5:$G$120="acoes"))*Inputs!$B$1+((Inputs!$G$5:$G$120&lt;&gt;"moeda")*(Inputs!$G$5:$G$120&lt;&gt;"acoes")))*INDEX(Inputs!$K$5:$AJ$120,0,MATCH(G$2,Inputs!$K$4:$AJ$4,0)))))</f>
        <v>93</v>
      </c>
      <c r="H9" s="3">
        <f>SUM(D9:G9)</f>
        <v>191</v>
      </c>
      <c r="I9" s="6">
        <f>IF(ISNA(MATCH(I$2,Inputs!$K$4:$AJ$4,0)),NA(),IF(SUMPRODUCT((Inputs!$A$5:$A$120=$B9)*ISNUMBER(INDEX(Inputs!$K$5:$AJ$120,0,MATCH(I$2,Inputs!$K$4:$AJ$4,0))))+SUMPRODUCT((Inputs!$C$5:$C$120=$B9)*ISNUMBER(INDEX(Inputs!$K$5:$AJ$120,0,MATCH(I$2,Inputs!$K$4:$AJ$4,0))))+SUMPRODUCT((Inputs!$E$5:$E$120=$B9)*ISNUMBER(INDEX(Inputs!$K$5:$AJ$120,0,MATCH(I$2,Inputs!$K$4:$AJ$4,0))))=0,NA(),SUMPRODUCT((Inputs!$A$5:$A$120=$B9)*Inputs!$B$5:$B$120*(((Inputs!$G$5:$G$120="moeda")+(Inputs!$G$5:$G$120="acoes"))*Inputs!$B$1+((Inputs!$G$5:$G$120&lt;&gt;"moeda")*(Inputs!$G$5:$G$120&lt;&gt;"acoes")))*INDEX(Inputs!$K$5:$AJ$120,0,MATCH(I$2,Inputs!$K$4:$AJ$4,0)))+SUMPRODUCT((Inputs!$C$5:$C$120=$B9)*Inputs!$D$5:$D$120*(((Inputs!$G$5:$G$120="moeda")+(Inputs!$G$5:$G$120="acoes"))*Inputs!$B$1+((Inputs!$G$5:$G$120&lt;&gt;"moeda")*(Inputs!$G$5:$G$120&lt;&gt;"acoes")))*INDEX(Inputs!$K$5:$AJ$120,0,MATCH(I$2,Inputs!$K$4:$AJ$4,0)))+SUMPRODUCT((Inputs!$E$5:$E$120=$B9)*Inputs!$F$5:$F$120*(((Inputs!$G$5:$G$120="moeda")+(Inputs!$G$5:$G$120="acoes"))*Inputs!$B$1+((Inputs!$G$5:$G$120&lt;&gt;"moeda")*(Inputs!$G$5:$G$120&lt;&gt;"acoes")))*INDEX(Inputs!$K$5:$AJ$120,0,MATCH(I$2,Inputs!$K$4:$AJ$4,0)))))</f>
        <v>84</v>
      </c>
      <c r="J9" s="6">
        <f>IF(ISNA(MATCH(J$2,Inputs!$K$4:$AJ$4,0)),NA(),IF(SUMPRODUCT((Inputs!$A$5:$A$120=$B9)*ISNUMBER(INDEX(Inputs!$K$5:$AJ$120,0,MATCH(J$2,Inputs!$K$4:$AJ$4,0))))+SUMPRODUCT((Inputs!$C$5:$C$120=$B9)*ISNUMBER(INDEX(Inputs!$K$5:$AJ$120,0,MATCH(J$2,Inputs!$K$4:$AJ$4,0))))+SUMPRODUCT((Inputs!$E$5:$E$120=$B9)*ISNUMBER(INDEX(Inputs!$K$5:$AJ$120,0,MATCH(J$2,Inputs!$K$4:$AJ$4,0))))=0,NA(),SUMPRODUCT((Inputs!$A$5:$A$120=$B9)*Inputs!$B$5:$B$120*(((Inputs!$G$5:$G$120="moeda")+(Inputs!$G$5:$G$120="acoes"))*Inputs!$B$1+((Inputs!$G$5:$G$120&lt;&gt;"moeda")*(Inputs!$G$5:$G$120&lt;&gt;"acoes")))*INDEX(Inputs!$K$5:$AJ$120,0,MATCH(J$2,Inputs!$K$4:$AJ$4,0)))+SUMPRODUCT((Inputs!$C$5:$C$120=$B9)*Inputs!$D$5:$D$120*(((Inputs!$G$5:$G$120="moeda")+(Inputs!$G$5:$G$120="acoes"))*Inputs!$B$1+((Inputs!$G$5:$G$120&lt;&gt;"moeda")*(Inputs!$G$5:$G$120&lt;&gt;"acoes")))*INDEX(Inputs!$K$5:$AJ$120,0,MATCH(J$2,Inputs!$K$4:$AJ$4,0)))+SUMPRODUCT((Inputs!$E$5:$E$120=$B9)*Inputs!$F$5:$F$120*(((Inputs!$G$5:$G$120="moeda")+(Inputs!$G$5:$G$120="acoes"))*Inputs!$B$1+((Inputs!$G$5:$G$120&lt;&gt;"moeda")*(Inputs!$G$5:$G$120&lt;&gt;"acoes")))*INDEX(Inputs!$K$5:$AJ$120,0,MATCH(J$2,Inputs!$K$4:$AJ$4,0)))))</f>
        <v>54</v>
      </c>
      <c r="K9" s="6">
        <f>IF(ISNA(MATCH(K$2,Inputs!$K$4:$AJ$4,0)),NA(),IF(SUMPRODUCT((Inputs!$A$5:$A$120=$B9)*ISNUMBER(INDEX(Inputs!$K$5:$AJ$120,0,MATCH(K$2,Inputs!$K$4:$AJ$4,0))))+SUMPRODUCT((Inputs!$C$5:$C$120=$B9)*ISNUMBER(INDEX(Inputs!$K$5:$AJ$120,0,MATCH(K$2,Inputs!$K$4:$AJ$4,0))))+SUMPRODUCT((Inputs!$E$5:$E$120=$B9)*ISNUMBER(INDEX(Inputs!$K$5:$AJ$120,0,MATCH(K$2,Inputs!$K$4:$AJ$4,0))))=0,NA(),SUMPRODUCT((Inputs!$A$5:$A$120=$B9)*Inputs!$B$5:$B$120*(((Inputs!$G$5:$G$120="moeda")+(Inputs!$G$5:$G$120="acoes"))*Inputs!$B$1+((Inputs!$G$5:$G$120&lt;&gt;"moeda")*(Inputs!$G$5:$G$120&lt;&gt;"acoes")))*INDEX(Inputs!$K$5:$AJ$120,0,MATCH(K$2,Inputs!$K$4:$AJ$4,0)))+SUMPRODUCT((Inputs!$C$5:$C$120=$B9)*Inputs!$D$5:$D$120*(((Inputs!$G$5:$G$120="moeda")+(Inputs!$G$5:$G$120="acoes"))*Inputs!$B$1+((Inputs!$G$5:$G$120&lt;&gt;"moeda")*(Inputs!$G$5:$G$120&lt;&gt;"acoes")))*INDEX(Inputs!$K$5:$AJ$120,0,MATCH(K$2,Inputs!$K$4:$AJ$4,0)))+SUMPRODUCT((Inputs!$E$5:$E$120=$B9)*Inputs!$F$5:$F$120*(((Inputs!$G$5:$G$120="moeda")+(Inputs!$G$5:$G$120="acoes"))*Inputs!$B$1+((Inputs!$G$5:$G$120&lt;&gt;"moeda")*(Inputs!$G$5:$G$120&lt;&gt;"acoes")))*INDEX(Inputs!$K$5:$AJ$120,0,MATCH(K$2,Inputs!$K$4:$AJ$4,0)))))</f>
        <v>1</v>
      </c>
      <c r="L9" s="6">
        <f>IF(ISNA(MATCH(L$2,Inputs!$K$4:$AJ$4,0)),NA(),IF(SUMPRODUCT((Inputs!$A$5:$A$120=$B9)*ISNUMBER(INDEX(Inputs!$K$5:$AJ$120,0,MATCH(L$2,Inputs!$K$4:$AJ$4,0))))+SUMPRODUCT((Inputs!$C$5:$C$120=$B9)*ISNUMBER(INDEX(Inputs!$K$5:$AJ$120,0,MATCH(L$2,Inputs!$K$4:$AJ$4,0))))+SUMPRODUCT((Inputs!$E$5:$E$120=$B9)*ISNUMBER(INDEX(Inputs!$K$5:$AJ$120,0,MATCH(L$2,Inputs!$K$4:$AJ$4,0))))=0,NA(),SUMPRODUCT((Inputs!$A$5:$A$120=$B9)*Inputs!$B$5:$B$120*(((Inputs!$G$5:$G$120="moeda")+(Inputs!$G$5:$G$120="acoes"))*Inputs!$B$1+((Inputs!$G$5:$G$120&lt;&gt;"moeda")*(Inputs!$G$5:$G$120&lt;&gt;"acoes")))*INDEX(Inputs!$K$5:$AJ$120,0,MATCH(L$2,Inputs!$K$4:$AJ$4,0)))+SUMPRODUCT((Inputs!$C$5:$C$120=$B9)*Inputs!$D$5:$D$120*(((Inputs!$G$5:$G$120="moeda")+(Inputs!$G$5:$G$120="acoes"))*Inputs!$B$1+((Inputs!$G$5:$G$120&lt;&gt;"moeda")*(Inputs!$G$5:$G$120&lt;&gt;"acoes")))*INDEX(Inputs!$K$5:$AJ$120,0,MATCH(L$2,Inputs!$K$4:$AJ$4,0)))+SUMPRODUCT((Inputs!$E$5:$E$120=$B9)*Inputs!$F$5:$F$120*(((Inputs!$G$5:$G$120="moeda")+(Inputs!$G$5:$G$120="acoes"))*Inputs!$B$1+((Inputs!$G$5:$G$120&lt;&gt;"moeda")*(Inputs!$G$5:$G$120&lt;&gt;"acoes")))*INDEX(Inputs!$K$5:$AJ$120,0,MATCH(L$2,Inputs!$K$4:$AJ$4,0)))))</f>
        <v>115</v>
      </c>
      <c r="M9" s="3">
        <f>SUM(I9:L9)</f>
        <v>254</v>
      </c>
      <c r="N9" s="6">
        <f>IF(ISNA(MATCH(N$2,Inputs!$K$4:$AJ$4,0)),NA(),IF(SUMPRODUCT((Inputs!$A$5:$A$120=$B9)*ISNUMBER(INDEX(Inputs!$K$5:$AJ$120,0,MATCH(N$2,Inputs!$K$4:$AJ$4,0))))+SUMPRODUCT((Inputs!$C$5:$C$120=$B9)*ISNUMBER(INDEX(Inputs!$K$5:$AJ$120,0,MATCH(N$2,Inputs!$K$4:$AJ$4,0))))+SUMPRODUCT((Inputs!$E$5:$E$120=$B9)*ISNUMBER(INDEX(Inputs!$K$5:$AJ$120,0,MATCH(N$2,Inputs!$K$4:$AJ$4,0))))=0,NA(),SUMPRODUCT((Inputs!$A$5:$A$120=$B9)*Inputs!$B$5:$B$120*(((Inputs!$G$5:$G$120="moeda")+(Inputs!$G$5:$G$120="acoes"))*Inputs!$B$1+((Inputs!$G$5:$G$120&lt;&gt;"moeda")*(Inputs!$G$5:$G$120&lt;&gt;"acoes")))*INDEX(Inputs!$K$5:$AJ$120,0,MATCH(N$2,Inputs!$K$4:$AJ$4,0)))+SUMPRODUCT((Inputs!$C$5:$C$120=$B9)*Inputs!$D$5:$D$120*(((Inputs!$G$5:$G$120="moeda")+(Inputs!$G$5:$G$120="acoes"))*Inputs!$B$1+((Inputs!$G$5:$G$120&lt;&gt;"moeda")*(Inputs!$G$5:$G$120&lt;&gt;"acoes")))*INDEX(Inputs!$K$5:$AJ$120,0,MATCH(N$2,Inputs!$K$4:$AJ$4,0)))+SUMPRODUCT((Inputs!$E$5:$E$120=$B9)*Inputs!$F$5:$F$120*(((Inputs!$G$5:$G$120="moeda")+(Inputs!$G$5:$G$120="acoes"))*Inputs!$B$1+((Inputs!$G$5:$G$120&lt;&gt;"moeda")*(Inputs!$G$5:$G$120&lt;&gt;"acoes")))*INDEX(Inputs!$K$5:$AJ$120,0,MATCH(N$2,Inputs!$K$4:$AJ$4,0)))))</f>
        <v>165</v>
      </c>
      <c r="O9" s="6">
        <f>IF(ISNA(MATCH(O$2,Inputs!$K$4:$AJ$4,0)),NA(),IF(SUMPRODUCT((Inputs!$A$5:$A$120=$B9)*ISNUMBER(INDEX(Inputs!$K$5:$AJ$120,0,MATCH(O$2,Inputs!$K$4:$AJ$4,0))))+SUMPRODUCT((Inputs!$C$5:$C$120=$B9)*ISNUMBER(INDEX(Inputs!$K$5:$AJ$120,0,MATCH(O$2,Inputs!$K$4:$AJ$4,0))))+SUMPRODUCT((Inputs!$E$5:$E$120=$B9)*ISNUMBER(INDEX(Inputs!$K$5:$AJ$120,0,MATCH(O$2,Inputs!$K$4:$AJ$4,0))))=0,NA(),SUMPRODUCT((Inputs!$A$5:$A$120=$B9)*Inputs!$B$5:$B$120*(((Inputs!$G$5:$G$120="moeda")+(Inputs!$G$5:$G$120="acoes"))*Inputs!$B$1+((Inputs!$G$5:$G$120&lt;&gt;"moeda")*(Inputs!$G$5:$G$120&lt;&gt;"acoes")))*INDEX(Inputs!$K$5:$AJ$120,0,MATCH(O$2,Inputs!$K$4:$AJ$4,0)))+SUMPRODUCT((Inputs!$C$5:$C$120=$B9)*Inputs!$D$5:$D$120*(((Inputs!$G$5:$G$120="moeda")+(Inputs!$G$5:$G$120="acoes"))*Inputs!$B$1+((Inputs!$G$5:$G$120&lt;&gt;"moeda")*(Inputs!$G$5:$G$120&lt;&gt;"acoes")))*INDEX(Inputs!$K$5:$AJ$120,0,MATCH(O$2,Inputs!$K$4:$AJ$4,0)))+SUMPRODUCT((Inputs!$E$5:$E$120=$B9)*Inputs!$F$5:$F$120*(((Inputs!$G$5:$G$120="moeda")+(Inputs!$G$5:$G$120="acoes"))*Inputs!$B$1+((Inputs!$G$5:$G$120&lt;&gt;"moeda")*(Inputs!$G$5:$G$120&lt;&gt;"acoes")))*INDEX(Inputs!$K$5:$AJ$120,0,MATCH(O$2,Inputs!$K$4:$AJ$4,0)))))</f>
        <v>566</v>
      </c>
      <c r="P9" s="6">
        <f>IF(ISNA(MATCH(P$2,Inputs!$K$4:$AJ$4,0)),NA(),IF(SUMPRODUCT((Inputs!$A$5:$A$120=$B9)*ISNUMBER(INDEX(Inputs!$K$5:$AJ$120,0,MATCH(P$2,Inputs!$K$4:$AJ$4,0))))+SUMPRODUCT((Inputs!$C$5:$C$120=$B9)*ISNUMBER(INDEX(Inputs!$K$5:$AJ$120,0,MATCH(P$2,Inputs!$K$4:$AJ$4,0))))+SUMPRODUCT((Inputs!$E$5:$E$120=$B9)*ISNUMBER(INDEX(Inputs!$K$5:$AJ$120,0,MATCH(P$2,Inputs!$K$4:$AJ$4,0))))=0,NA(),SUMPRODUCT((Inputs!$A$5:$A$120=$B9)*Inputs!$B$5:$B$120*(((Inputs!$G$5:$G$120="moeda")+(Inputs!$G$5:$G$120="acoes"))*Inputs!$B$1+((Inputs!$G$5:$G$120&lt;&gt;"moeda")*(Inputs!$G$5:$G$120&lt;&gt;"acoes")))*INDEX(Inputs!$K$5:$AJ$120,0,MATCH(P$2,Inputs!$K$4:$AJ$4,0)))+SUMPRODUCT((Inputs!$C$5:$C$120=$B9)*Inputs!$D$5:$D$120*(((Inputs!$G$5:$G$120="moeda")+(Inputs!$G$5:$G$120="acoes"))*Inputs!$B$1+((Inputs!$G$5:$G$120&lt;&gt;"moeda")*(Inputs!$G$5:$G$120&lt;&gt;"acoes")))*INDEX(Inputs!$K$5:$AJ$120,0,MATCH(P$2,Inputs!$K$4:$AJ$4,0)))+SUMPRODUCT((Inputs!$E$5:$E$120=$B9)*Inputs!$F$5:$F$120*(((Inputs!$G$5:$G$120="moeda")+(Inputs!$G$5:$G$120="acoes"))*Inputs!$B$1+((Inputs!$G$5:$G$120&lt;&gt;"moeda")*(Inputs!$G$5:$G$120&lt;&gt;"acoes")))*INDEX(Inputs!$K$5:$AJ$120,0,MATCH(P$2,Inputs!$K$4:$AJ$4,0)))))</f>
        <v>319</v>
      </c>
      <c r="Q9" s="6">
        <f>IF(ISNA(MATCH(Q$2,Inputs!$K$4:$AJ$4,0)),NA(),IF(SUMPRODUCT((Inputs!$A$5:$A$120=$B9)*ISNUMBER(INDEX(Inputs!$K$5:$AJ$120,0,MATCH(Q$2,Inputs!$K$4:$AJ$4,0))))+SUMPRODUCT((Inputs!$C$5:$C$120=$B9)*ISNUMBER(INDEX(Inputs!$K$5:$AJ$120,0,MATCH(Q$2,Inputs!$K$4:$AJ$4,0))))+SUMPRODUCT((Inputs!$E$5:$E$120=$B9)*ISNUMBER(INDEX(Inputs!$K$5:$AJ$120,0,MATCH(Q$2,Inputs!$K$4:$AJ$4,0))))=0,NA(),SUMPRODUCT((Inputs!$A$5:$A$120=$B9)*Inputs!$B$5:$B$120*(((Inputs!$G$5:$G$120="moeda")+(Inputs!$G$5:$G$120="acoes"))*Inputs!$B$1+((Inputs!$G$5:$G$120&lt;&gt;"moeda")*(Inputs!$G$5:$G$120&lt;&gt;"acoes")))*INDEX(Inputs!$K$5:$AJ$120,0,MATCH(Q$2,Inputs!$K$4:$AJ$4,0)))+SUMPRODUCT((Inputs!$C$5:$C$120=$B9)*Inputs!$D$5:$D$120*(((Inputs!$G$5:$G$120="moeda")+(Inputs!$G$5:$G$120="acoes"))*Inputs!$B$1+((Inputs!$G$5:$G$120&lt;&gt;"moeda")*(Inputs!$G$5:$G$120&lt;&gt;"acoes")))*INDEX(Inputs!$K$5:$AJ$120,0,MATCH(Q$2,Inputs!$K$4:$AJ$4,0)))+SUMPRODUCT((Inputs!$E$5:$E$120=$B9)*Inputs!$F$5:$F$120*(((Inputs!$G$5:$G$120="moeda")+(Inputs!$G$5:$G$120="acoes"))*Inputs!$B$1+((Inputs!$G$5:$G$120&lt;&gt;"moeda")*(Inputs!$G$5:$G$120&lt;&gt;"acoes")))*INDEX(Inputs!$K$5:$AJ$120,0,MATCH(Q$2,Inputs!$K$4:$AJ$4,0)))))</f>
        <v>188</v>
      </c>
      <c r="R9" s="3">
        <f>SUM(N9:Q9)</f>
        <v>1238</v>
      </c>
      <c r="S9" s="6">
        <f>IF(ISNA(MATCH(S$2,Inputs!$K$4:$AJ$4,0)),NA(),IF(SUMPRODUCT((Inputs!$A$5:$A$120=$B9)*ISNUMBER(INDEX(Inputs!$K$5:$AJ$120,0,MATCH(S$2,Inputs!$K$4:$AJ$4,0))))+SUMPRODUCT((Inputs!$C$5:$C$120=$B9)*ISNUMBER(INDEX(Inputs!$K$5:$AJ$120,0,MATCH(S$2,Inputs!$K$4:$AJ$4,0))))+SUMPRODUCT((Inputs!$E$5:$E$120=$B9)*ISNUMBER(INDEX(Inputs!$K$5:$AJ$120,0,MATCH(S$2,Inputs!$K$4:$AJ$4,0))))=0,NA(),SUMPRODUCT((Inputs!$A$5:$A$120=$B9)*Inputs!$B$5:$B$120*(((Inputs!$G$5:$G$120="moeda")+(Inputs!$G$5:$G$120="acoes"))*Inputs!$B$1+((Inputs!$G$5:$G$120&lt;&gt;"moeda")*(Inputs!$G$5:$G$120&lt;&gt;"acoes")))*INDEX(Inputs!$K$5:$AJ$120,0,MATCH(S$2,Inputs!$K$4:$AJ$4,0)))+SUMPRODUCT((Inputs!$C$5:$C$120=$B9)*Inputs!$D$5:$D$120*(((Inputs!$G$5:$G$120="moeda")+(Inputs!$G$5:$G$120="acoes"))*Inputs!$B$1+((Inputs!$G$5:$G$120&lt;&gt;"moeda")*(Inputs!$G$5:$G$120&lt;&gt;"acoes")))*INDEX(Inputs!$K$5:$AJ$120,0,MATCH(S$2,Inputs!$K$4:$AJ$4,0)))+SUMPRODUCT((Inputs!$E$5:$E$120=$B9)*Inputs!$F$5:$F$120*(((Inputs!$G$5:$G$120="moeda")+(Inputs!$G$5:$G$120="acoes"))*Inputs!$B$1+((Inputs!$G$5:$G$120&lt;&gt;"moeda")*(Inputs!$G$5:$G$120&lt;&gt;"acoes")))*INDEX(Inputs!$K$5:$AJ$120,0,MATCH(S$2,Inputs!$K$4:$AJ$4,0)))))</f>
        <v>793</v>
      </c>
      <c r="T9" s="6">
        <f>IF(ISNA(MATCH(T$2,Inputs!$K$4:$AJ$4,0)),NA(),IF(SUMPRODUCT((Inputs!$A$5:$A$120=$B9)*ISNUMBER(INDEX(Inputs!$K$5:$AJ$120,0,MATCH(T$2,Inputs!$K$4:$AJ$4,0))))+SUMPRODUCT((Inputs!$C$5:$C$120=$B9)*ISNUMBER(INDEX(Inputs!$K$5:$AJ$120,0,MATCH(T$2,Inputs!$K$4:$AJ$4,0))))+SUMPRODUCT((Inputs!$E$5:$E$120=$B9)*ISNUMBER(INDEX(Inputs!$K$5:$AJ$120,0,MATCH(T$2,Inputs!$K$4:$AJ$4,0))))=0,NA(),SUMPRODUCT((Inputs!$A$5:$A$120=$B9)*Inputs!$B$5:$B$120*(((Inputs!$G$5:$G$120="moeda")+(Inputs!$G$5:$G$120="acoes"))*Inputs!$B$1+((Inputs!$G$5:$G$120&lt;&gt;"moeda")*(Inputs!$G$5:$G$120&lt;&gt;"acoes")))*INDEX(Inputs!$K$5:$AJ$120,0,MATCH(T$2,Inputs!$K$4:$AJ$4,0)))+SUMPRODUCT((Inputs!$C$5:$C$120=$B9)*Inputs!$D$5:$D$120*(((Inputs!$G$5:$G$120="moeda")+(Inputs!$G$5:$G$120="acoes"))*Inputs!$B$1+((Inputs!$G$5:$G$120&lt;&gt;"moeda")*(Inputs!$G$5:$G$120&lt;&gt;"acoes")))*INDEX(Inputs!$K$5:$AJ$120,0,MATCH(T$2,Inputs!$K$4:$AJ$4,0)))+SUMPRODUCT((Inputs!$E$5:$E$120=$B9)*Inputs!$F$5:$F$120*(((Inputs!$G$5:$G$120="moeda")+(Inputs!$G$5:$G$120="acoes"))*Inputs!$B$1+((Inputs!$G$5:$G$120&lt;&gt;"moeda")*(Inputs!$G$5:$G$120&lt;&gt;"acoes")))*INDEX(Inputs!$K$5:$AJ$120,0,MATCH(T$2,Inputs!$K$4:$AJ$4,0)))))</f>
        <v>268</v>
      </c>
      <c r="U9" s="6">
        <f>IF(ISNA(MATCH(U$2,Inputs!$K$4:$AJ$4,0)),NA(),IF(SUMPRODUCT((Inputs!$A$5:$A$120=$B9)*ISNUMBER(INDEX(Inputs!$K$5:$AJ$120,0,MATCH(U$2,Inputs!$K$4:$AJ$4,0))))+SUMPRODUCT((Inputs!$C$5:$C$120=$B9)*ISNUMBER(INDEX(Inputs!$K$5:$AJ$120,0,MATCH(U$2,Inputs!$K$4:$AJ$4,0))))+SUMPRODUCT((Inputs!$E$5:$E$120=$B9)*ISNUMBER(INDEX(Inputs!$K$5:$AJ$120,0,MATCH(U$2,Inputs!$K$4:$AJ$4,0))))=0,NA(),SUMPRODUCT((Inputs!$A$5:$A$120=$B9)*Inputs!$B$5:$B$120*(((Inputs!$G$5:$G$120="moeda")+(Inputs!$G$5:$G$120="acoes"))*Inputs!$B$1+((Inputs!$G$5:$G$120&lt;&gt;"moeda")*(Inputs!$G$5:$G$120&lt;&gt;"acoes")))*INDEX(Inputs!$K$5:$AJ$120,0,MATCH(U$2,Inputs!$K$4:$AJ$4,0)))+SUMPRODUCT((Inputs!$C$5:$C$120=$B9)*Inputs!$D$5:$D$120*(((Inputs!$G$5:$G$120="moeda")+(Inputs!$G$5:$G$120="acoes"))*Inputs!$B$1+((Inputs!$G$5:$G$120&lt;&gt;"moeda")*(Inputs!$G$5:$G$120&lt;&gt;"acoes")))*INDEX(Inputs!$K$5:$AJ$120,0,MATCH(U$2,Inputs!$K$4:$AJ$4,0)))+SUMPRODUCT((Inputs!$E$5:$E$120=$B9)*Inputs!$F$5:$F$120*(((Inputs!$G$5:$G$120="moeda")+(Inputs!$G$5:$G$120="acoes"))*Inputs!$B$1+((Inputs!$G$5:$G$120&lt;&gt;"moeda")*(Inputs!$G$5:$G$120&lt;&gt;"acoes")))*INDEX(Inputs!$K$5:$AJ$120,0,MATCH(U$2,Inputs!$K$4:$AJ$4,0)))))</f>
        <v>166</v>
      </c>
      <c r="V9" s="6">
        <f>IF(ISNA(MATCH(V$2,Inputs!$K$4:$AJ$4,0)),NA(),IF(SUMPRODUCT((Inputs!$A$5:$A$120=$B9)*ISNUMBER(INDEX(Inputs!$K$5:$AJ$120,0,MATCH(V$2,Inputs!$K$4:$AJ$4,0))))+SUMPRODUCT((Inputs!$C$5:$C$120=$B9)*ISNUMBER(INDEX(Inputs!$K$5:$AJ$120,0,MATCH(V$2,Inputs!$K$4:$AJ$4,0))))+SUMPRODUCT((Inputs!$E$5:$E$120=$B9)*ISNUMBER(INDEX(Inputs!$K$5:$AJ$120,0,MATCH(V$2,Inputs!$K$4:$AJ$4,0))))=0,NA(),SUMPRODUCT((Inputs!$A$5:$A$120=$B9)*Inputs!$B$5:$B$120*(((Inputs!$G$5:$G$120="moeda")+(Inputs!$G$5:$G$120="acoes"))*Inputs!$B$1+((Inputs!$G$5:$G$120&lt;&gt;"moeda")*(Inputs!$G$5:$G$120&lt;&gt;"acoes")))*INDEX(Inputs!$K$5:$AJ$120,0,MATCH(V$2,Inputs!$K$4:$AJ$4,0)))+SUMPRODUCT((Inputs!$C$5:$C$120=$B9)*Inputs!$D$5:$D$120*(((Inputs!$G$5:$G$120="moeda")+(Inputs!$G$5:$G$120="acoes"))*Inputs!$B$1+((Inputs!$G$5:$G$120&lt;&gt;"moeda")*(Inputs!$G$5:$G$120&lt;&gt;"acoes")))*INDEX(Inputs!$K$5:$AJ$120,0,MATCH(V$2,Inputs!$K$4:$AJ$4,0)))+SUMPRODUCT((Inputs!$E$5:$E$120=$B9)*Inputs!$F$5:$F$120*(((Inputs!$G$5:$G$120="moeda")+(Inputs!$G$5:$G$120="acoes"))*Inputs!$B$1+((Inputs!$G$5:$G$120&lt;&gt;"moeda")*(Inputs!$G$5:$G$120&lt;&gt;"acoes")))*INDEX(Inputs!$K$5:$AJ$120,0,MATCH(V$2,Inputs!$K$4:$AJ$4,0)))))</f>
        <v>1037</v>
      </c>
      <c r="W9" s="3">
        <f>SUM(S9:V9)</f>
        <v>2264</v>
      </c>
      <c r="X9" s="6">
        <f>IF(ISNA(MATCH(X$2,Inputs!$K$4:$AJ$4,0)),NA(),IF(SUMPRODUCT((Inputs!$A$5:$A$120=$B9)*ISNUMBER(INDEX(Inputs!$K$5:$AJ$120,0,MATCH(X$2,Inputs!$K$4:$AJ$4,0))))+SUMPRODUCT((Inputs!$C$5:$C$120=$B9)*ISNUMBER(INDEX(Inputs!$K$5:$AJ$120,0,MATCH(X$2,Inputs!$K$4:$AJ$4,0))))+SUMPRODUCT((Inputs!$E$5:$E$120=$B9)*ISNUMBER(INDEX(Inputs!$K$5:$AJ$120,0,MATCH(X$2,Inputs!$K$4:$AJ$4,0))))=0,NA(),SUMPRODUCT((Inputs!$A$5:$A$120=$B9)*Inputs!$B$5:$B$120*(((Inputs!$G$5:$G$120="moeda")+(Inputs!$G$5:$G$120="acoes"))*Inputs!$B$1+((Inputs!$G$5:$G$120&lt;&gt;"moeda")*(Inputs!$G$5:$G$120&lt;&gt;"acoes")))*INDEX(Inputs!$K$5:$AJ$120,0,MATCH(X$2,Inputs!$K$4:$AJ$4,0)))+SUMPRODUCT((Inputs!$C$5:$C$120=$B9)*Inputs!$D$5:$D$120*(((Inputs!$G$5:$G$120="moeda")+(Inputs!$G$5:$G$120="acoes"))*Inputs!$B$1+((Inputs!$G$5:$G$120&lt;&gt;"moeda")*(Inputs!$G$5:$G$120&lt;&gt;"acoes")))*INDEX(Inputs!$K$5:$AJ$120,0,MATCH(X$2,Inputs!$K$4:$AJ$4,0)))+SUMPRODUCT((Inputs!$E$5:$E$120=$B9)*Inputs!$F$5:$F$120*(((Inputs!$G$5:$G$120="moeda")+(Inputs!$G$5:$G$120="acoes"))*Inputs!$B$1+((Inputs!$G$5:$G$120&lt;&gt;"moeda")*(Inputs!$G$5:$G$120&lt;&gt;"acoes")))*INDEX(Inputs!$K$5:$AJ$120,0,MATCH(X$2,Inputs!$K$4:$AJ$4,0)))))</f>
        <v>281</v>
      </c>
      <c r="Y9" s="6">
        <f>IF(ISNA(MATCH(Y$2,Inputs!$K$4:$AJ$4,0)),NA(),IF(SUMPRODUCT((Inputs!$A$5:$A$120=$B9)*ISNUMBER(INDEX(Inputs!$K$5:$AJ$120,0,MATCH(Y$2,Inputs!$K$4:$AJ$4,0))))+SUMPRODUCT((Inputs!$C$5:$C$120=$B9)*ISNUMBER(INDEX(Inputs!$K$5:$AJ$120,0,MATCH(Y$2,Inputs!$K$4:$AJ$4,0))))+SUMPRODUCT((Inputs!$E$5:$E$120=$B9)*ISNUMBER(INDEX(Inputs!$K$5:$AJ$120,0,MATCH(Y$2,Inputs!$K$4:$AJ$4,0))))=0,NA(),SUMPRODUCT((Inputs!$A$5:$A$120=$B9)*Inputs!$B$5:$B$120*(((Inputs!$G$5:$G$120="moeda")+(Inputs!$G$5:$G$120="acoes"))*Inputs!$B$1+((Inputs!$G$5:$G$120&lt;&gt;"moeda")*(Inputs!$G$5:$G$120&lt;&gt;"acoes")))*INDEX(Inputs!$K$5:$AJ$120,0,MATCH(Y$2,Inputs!$K$4:$AJ$4,0)))+SUMPRODUCT((Inputs!$C$5:$C$120=$B9)*Inputs!$D$5:$D$120*(((Inputs!$G$5:$G$120="moeda")+(Inputs!$G$5:$G$120="acoes"))*Inputs!$B$1+((Inputs!$G$5:$G$120&lt;&gt;"moeda")*(Inputs!$G$5:$G$120&lt;&gt;"acoes")))*INDEX(Inputs!$K$5:$AJ$120,0,MATCH(Y$2,Inputs!$K$4:$AJ$4,0)))+SUMPRODUCT((Inputs!$E$5:$E$120=$B9)*Inputs!$F$5:$F$120*(((Inputs!$G$5:$G$120="moeda")+(Inputs!$G$5:$G$120="acoes"))*Inputs!$B$1+((Inputs!$G$5:$G$120&lt;&gt;"moeda")*(Inputs!$G$5:$G$120&lt;&gt;"acoes")))*INDEX(Inputs!$K$5:$AJ$120,0,MATCH(Y$2,Inputs!$K$4:$AJ$4,0)))))</f>
        <v>712</v>
      </c>
      <c r="Z9" s="6">
        <f>IF(ISNA(MATCH(Z$2,Inputs!$K$4:$AJ$4,0)),NA(),IF(SUMPRODUCT((Inputs!$A$5:$A$120=$B9)*ISNUMBER(INDEX(Inputs!$K$5:$AJ$120,0,MATCH(Z$2,Inputs!$K$4:$AJ$4,0))))+SUMPRODUCT((Inputs!$C$5:$C$120=$B9)*ISNUMBER(INDEX(Inputs!$K$5:$AJ$120,0,MATCH(Z$2,Inputs!$K$4:$AJ$4,0))))+SUMPRODUCT((Inputs!$E$5:$E$120=$B9)*ISNUMBER(INDEX(Inputs!$K$5:$AJ$120,0,MATCH(Z$2,Inputs!$K$4:$AJ$4,0))))=0,NA(),SUMPRODUCT((Inputs!$A$5:$A$120=$B9)*Inputs!$B$5:$B$120*(((Inputs!$G$5:$G$120="moeda")+(Inputs!$G$5:$G$120="acoes"))*Inputs!$B$1+((Inputs!$G$5:$G$120&lt;&gt;"moeda")*(Inputs!$G$5:$G$120&lt;&gt;"acoes")))*INDEX(Inputs!$K$5:$AJ$120,0,MATCH(Z$2,Inputs!$K$4:$AJ$4,0)))+SUMPRODUCT((Inputs!$C$5:$C$120=$B9)*Inputs!$D$5:$D$120*(((Inputs!$G$5:$G$120="moeda")+(Inputs!$G$5:$G$120="acoes"))*Inputs!$B$1+((Inputs!$G$5:$G$120&lt;&gt;"moeda")*(Inputs!$G$5:$G$120&lt;&gt;"acoes")))*INDEX(Inputs!$K$5:$AJ$120,0,MATCH(Z$2,Inputs!$K$4:$AJ$4,0)))+SUMPRODUCT((Inputs!$E$5:$E$120=$B9)*Inputs!$F$5:$F$120*(((Inputs!$G$5:$G$120="moeda")+(Inputs!$G$5:$G$120="acoes"))*Inputs!$B$1+((Inputs!$G$5:$G$120&lt;&gt;"moeda")*(Inputs!$G$5:$G$120&lt;&gt;"acoes")))*INDEX(Inputs!$K$5:$AJ$120,0,MATCH(Z$2,Inputs!$K$4:$AJ$4,0)))))</f>
        <v>411</v>
      </c>
      <c r="AA9" s="6">
        <f>IF(ISNA(MATCH(AA$2,Inputs!$K$4:$AJ$4,0)),NA(),IF(SUMPRODUCT((Inputs!$A$5:$A$120=$B9)*ISNUMBER(INDEX(Inputs!$K$5:$AJ$120,0,MATCH(AA$2,Inputs!$K$4:$AJ$4,0))))+SUMPRODUCT((Inputs!$C$5:$C$120=$B9)*ISNUMBER(INDEX(Inputs!$K$5:$AJ$120,0,MATCH(AA$2,Inputs!$K$4:$AJ$4,0))))+SUMPRODUCT((Inputs!$E$5:$E$120=$B9)*ISNUMBER(INDEX(Inputs!$K$5:$AJ$120,0,MATCH(AA$2,Inputs!$K$4:$AJ$4,0))))=0,NA(),SUMPRODUCT((Inputs!$A$5:$A$120=$B9)*Inputs!$B$5:$B$120*(((Inputs!$G$5:$G$120="moeda")+(Inputs!$G$5:$G$120="acoes"))*Inputs!$B$1+((Inputs!$G$5:$G$120&lt;&gt;"moeda")*(Inputs!$G$5:$G$120&lt;&gt;"acoes")))*INDEX(Inputs!$K$5:$AJ$120,0,MATCH(AA$2,Inputs!$K$4:$AJ$4,0)))+SUMPRODUCT((Inputs!$C$5:$C$120=$B9)*Inputs!$D$5:$D$120*(((Inputs!$G$5:$G$120="moeda")+(Inputs!$G$5:$G$120="acoes"))*Inputs!$B$1+((Inputs!$G$5:$G$120&lt;&gt;"moeda")*(Inputs!$G$5:$G$120&lt;&gt;"acoes")))*INDEX(Inputs!$K$5:$AJ$120,0,MATCH(AA$2,Inputs!$K$4:$AJ$4,0)))+SUMPRODUCT((Inputs!$E$5:$E$120=$B9)*Inputs!$F$5:$F$120*(((Inputs!$G$5:$G$120="moeda")+(Inputs!$G$5:$G$120="acoes"))*Inputs!$B$1+((Inputs!$G$5:$G$120&lt;&gt;"moeda")*(Inputs!$G$5:$G$120&lt;&gt;"acoes")))*INDEX(Inputs!$K$5:$AJ$120,0,MATCH(AA$2,Inputs!$K$4:$AJ$4,0)))))</f>
        <v>-143</v>
      </c>
      <c r="AB9" s="3">
        <f>SUM(X9:AA9)</f>
        <v>1261</v>
      </c>
      <c r="AC9" s="6">
        <f>IF(ISNA(MATCH(AC$2,Inputs!$K$4:$AJ$4,0)),NA(),IF(SUMPRODUCT((Inputs!$A$5:$A$120=$B9)*ISNUMBER(INDEX(Inputs!$K$5:$AJ$120,0,MATCH(AC$2,Inputs!$K$4:$AJ$4,0))))+SUMPRODUCT((Inputs!$C$5:$C$120=$B9)*ISNUMBER(INDEX(Inputs!$K$5:$AJ$120,0,MATCH(AC$2,Inputs!$K$4:$AJ$4,0))))+SUMPRODUCT((Inputs!$E$5:$E$120=$B9)*ISNUMBER(INDEX(Inputs!$K$5:$AJ$120,0,MATCH(AC$2,Inputs!$K$4:$AJ$4,0))))=0,NA(),SUMPRODUCT((Inputs!$A$5:$A$120=$B9)*Inputs!$B$5:$B$120*(((Inputs!$G$5:$G$120="moeda")+(Inputs!$G$5:$G$120="acoes"))*Inputs!$B$1+((Inputs!$G$5:$G$120&lt;&gt;"moeda")*(Inputs!$G$5:$G$120&lt;&gt;"acoes")))*INDEX(Inputs!$K$5:$AJ$120,0,MATCH(AC$2,Inputs!$K$4:$AJ$4,0)))+SUMPRODUCT((Inputs!$C$5:$C$120=$B9)*Inputs!$D$5:$D$120*(((Inputs!$G$5:$G$120="moeda")+(Inputs!$G$5:$G$120="acoes"))*Inputs!$B$1+((Inputs!$G$5:$G$120&lt;&gt;"moeda")*(Inputs!$G$5:$G$120&lt;&gt;"acoes")))*INDEX(Inputs!$K$5:$AJ$120,0,MATCH(AC$2,Inputs!$K$4:$AJ$4,0)))+SUMPRODUCT((Inputs!$E$5:$E$120=$B9)*Inputs!$F$5:$F$120*(((Inputs!$G$5:$G$120="moeda")+(Inputs!$G$5:$G$120="acoes"))*Inputs!$B$1+((Inputs!$G$5:$G$120&lt;&gt;"moeda")*(Inputs!$G$5:$G$120&lt;&gt;"acoes")))*INDEX(Inputs!$K$5:$AJ$120,0,MATCH(AC$2,Inputs!$K$4:$AJ$4,0)))))</f>
        <v>-101</v>
      </c>
      <c r="AD9" s="6">
        <f>IF(ISNA(MATCH(AD$2,Inputs!$K$4:$AJ$4,0)),NA(),IF(SUMPRODUCT((Inputs!$A$5:$A$120=$B9)*ISNUMBER(INDEX(Inputs!$K$5:$AJ$120,0,MATCH(AD$2,Inputs!$K$4:$AJ$4,0))))+SUMPRODUCT((Inputs!$C$5:$C$120=$B9)*ISNUMBER(INDEX(Inputs!$K$5:$AJ$120,0,MATCH(AD$2,Inputs!$K$4:$AJ$4,0))))+SUMPRODUCT((Inputs!$E$5:$E$120=$B9)*ISNUMBER(INDEX(Inputs!$K$5:$AJ$120,0,MATCH(AD$2,Inputs!$K$4:$AJ$4,0))))=0,NA(),SUMPRODUCT((Inputs!$A$5:$A$120=$B9)*Inputs!$B$5:$B$120*(((Inputs!$G$5:$G$120="moeda")+(Inputs!$G$5:$G$120="acoes"))*Inputs!$B$1+((Inputs!$G$5:$G$120&lt;&gt;"moeda")*(Inputs!$G$5:$G$120&lt;&gt;"acoes")))*INDEX(Inputs!$K$5:$AJ$120,0,MATCH(AD$2,Inputs!$K$4:$AJ$4,0)))+SUMPRODUCT((Inputs!$C$5:$C$120=$B9)*Inputs!$D$5:$D$120*(((Inputs!$G$5:$G$120="moeda")+(Inputs!$G$5:$G$120="acoes"))*Inputs!$B$1+((Inputs!$G$5:$G$120&lt;&gt;"moeda")*(Inputs!$G$5:$G$120&lt;&gt;"acoes")))*INDEX(Inputs!$K$5:$AJ$120,0,MATCH(AD$2,Inputs!$K$4:$AJ$4,0)))+SUMPRODUCT((Inputs!$E$5:$E$120=$B9)*Inputs!$F$5:$F$120*(((Inputs!$G$5:$G$120="moeda")+(Inputs!$G$5:$G$120="acoes"))*Inputs!$B$1+((Inputs!$G$5:$G$120&lt;&gt;"moeda")*(Inputs!$G$5:$G$120&lt;&gt;"acoes")))*INDEX(Inputs!$K$5:$AJ$120,0,MATCH(AD$2,Inputs!$K$4:$AJ$4,0)))))</f>
        <v>1012</v>
      </c>
      <c r="AE9" s="6" t="e">
        <f>IF(ISNA(MATCH(AE$2,Inputs!$K$4:$AJ$4,0)),NA(),IF(SUMPRODUCT((Inputs!$A$5:$A$120=$B9)*ISNUMBER(INDEX(Inputs!$K$5:$AJ$120,0,MATCH(AE$2,Inputs!$K$4:$AJ$4,0))))+SUMPRODUCT((Inputs!$C$5:$C$120=$B9)*ISNUMBER(INDEX(Inputs!$K$5:$AJ$120,0,MATCH(AE$2,Inputs!$K$4:$AJ$4,0))))+SUMPRODUCT((Inputs!$E$5:$E$120=$B9)*ISNUMBER(INDEX(Inputs!$K$5:$AJ$120,0,MATCH(AE$2,Inputs!$K$4:$AJ$4,0))))=0,NA(),SUMPRODUCT((Inputs!$A$5:$A$120=$B9)*Inputs!$B$5:$B$120*(((Inputs!$G$5:$G$120="moeda")+(Inputs!$G$5:$G$120="acoes"))*Inputs!$B$1+((Inputs!$G$5:$G$120&lt;&gt;"moeda")*(Inputs!$G$5:$G$120&lt;&gt;"acoes")))*INDEX(Inputs!$K$5:$AJ$120,0,MATCH(AE$2,Inputs!$K$4:$AJ$4,0)))+SUMPRODUCT((Inputs!$C$5:$C$120=$B9)*Inputs!$D$5:$D$120*(((Inputs!$G$5:$G$120="moeda")+(Inputs!$G$5:$G$120="acoes"))*Inputs!$B$1+((Inputs!$G$5:$G$120&lt;&gt;"moeda")*(Inputs!$G$5:$G$120&lt;&gt;"acoes")))*INDEX(Inputs!$K$5:$AJ$120,0,MATCH(AE$2,Inputs!$K$4:$AJ$4,0)))+SUMPRODUCT((Inputs!$E$5:$E$120=$B9)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9" s="6" t="e">
        <f>IF(ISNA(MATCH(AF$2,Inputs!$K$4:$AJ$4,0)),NA(),IF(SUMPRODUCT((Inputs!$A$5:$A$120=$B9)*ISNUMBER(INDEX(Inputs!$K$5:$AJ$120,0,MATCH(AF$2,Inputs!$K$4:$AJ$4,0))))+SUMPRODUCT((Inputs!$C$5:$C$120=$B9)*ISNUMBER(INDEX(Inputs!$K$5:$AJ$120,0,MATCH(AF$2,Inputs!$K$4:$AJ$4,0))))+SUMPRODUCT((Inputs!$E$5:$E$120=$B9)*ISNUMBER(INDEX(Inputs!$K$5:$AJ$120,0,MATCH(AF$2,Inputs!$K$4:$AJ$4,0))))=0,NA(),SUMPRODUCT((Inputs!$A$5:$A$120=$B9)*Inputs!$B$5:$B$120*(((Inputs!$G$5:$G$120="moeda")+(Inputs!$G$5:$G$120="acoes"))*Inputs!$B$1+((Inputs!$G$5:$G$120&lt;&gt;"moeda")*(Inputs!$G$5:$G$120&lt;&gt;"acoes")))*INDEX(Inputs!$K$5:$AJ$120,0,MATCH(AF$2,Inputs!$K$4:$AJ$4,0)))+SUMPRODUCT((Inputs!$C$5:$C$120=$B9)*Inputs!$D$5:$D$120*(((Inputs!$G$5:$G$120="moeda")+(Inputs!$G$5:$G$120="acoes"))*Inputs!$B$1+((Inputs!$G$5:$G$120&lt;&gt;"moeda")*(Inputs!$G$5:$G$120&lt;&gt;"acoes")))*INDEX(Inputs!$K$5:$AJ$120,0,MATCH(AF$2,Inputs!$K$4:$AJ$4,0)))+SUMPRODUCT((Inputs!$E$5:$E$120=$B9)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9" s="3" t="e">
        <f>SUM(AC9:AF9)</f>
        <v>#N/A</v>
      </c>
      <c r="AH9" s="6">
        <f>IF(ISNA(MATCH(AH$2,Inputs!$K$4:$AJ$4,0)),NA(),IF(SUMPRODUCT((Inputs!$A$5:$A$120=$B9)*ISNUMBER(INDEX(Inputs!$K$5:$AJ$120,0,MATCH(AH$2,Inputs!$K$4:$AJ$4,0))))+SUMPRODUCT((Inputs!$C$5:$C$120=$B9)*ISNUMBER(INDEX(Inputs!$K$5:$AJ$120,0,MATCH(AH$2,Inputs!$K$4:$AJ$4,0))))+SUMPRODUCT((Inputs!$E$5:$E$120=$B9)*ISNUMBER(INDEX(Inputs!$K$5:$AJ$120,0,MATCH(AH$2,Inputs!$K$4:$AJ$4,0))))=0,NA(),SUMPRODUCT((Inputs!$A$5:$A$120=$B9)*Inputs!$B$5:$B$120*(((Inputs!$G$5:$G$120="moeda")+(Inputs!$G$5:$G$120="acoes"))*Inputs!$B$1+((Inputs!$G$5:$G$120&lt;&gt;"moeda")*(Inputs!$G$5:$G$120&lt;&gt;"acoes")))*INDEX(Inputs!$K$5:$AJ$120,0,MATCH(AH$2,Inputs!$K$4:$AJ$4,0)))+SUMPRODUCT((Inputs!$C$5:$C$120=$B9)*Inputs!$D$5:$D$120*(((Inputs!$G$5:$G$120="moeda")+(Inputs!$G$5:$G$120="acoes"))*Inputs!$B$1+((Inputs!$G$5:$G$120&lt;&gt;"moeda")*(Inputs!$G$5:$G$120&lt;&gt;"acoes")))*INDEX(Inputs!$K$5:$AJ$120,0,MATCH(AH$2,Inputs!$K$4:$AJ$4,0)))+SUMPRODUCT((Inputs!$E$5:$E$120=$B9)*Inputs!$F$5:$F$120*(((Inputs!$G$5:$G$120="moeda")+(Inputs!$G$5:$G$120="acoes"))*Inputs!$B$1+((Inputs!$G$5:$G$120&lt;&gt;"moeda")*(Inputs!$G$5:$G$120&lt;&gt;"acoes")))*INDEX(Inputs!$K$5:$AJ$120,0,MATCH(AH$2,Inputs!$K$4:$AJ$4,0)))))</f>
        <v>-44</v>
      </c>
      <c r="AI9" s="6">
        <f>IF(ISNA(MATCH(AI$2,Inputs!$K$4:$AJ$4,0)),NA(),IF(SUMPRODUCT((Inputs!$A$5:$A$120=$B9)*ISNUMBER(INDEX(Inputs!$K$5:$AJ$120,0,MATCH(AI$2,Inputs!$K$4:$AJ$4,0))))+SUMPRODUCT((Inputs!$C$5:$C$120=$B9)*ISNUMBER(INDEX(Inputs!$K$5:$AJ$120,0,MATCH(AI$2,Inputs!$K$4:$AJ$4,0))))+SUMPRODUCT((Inputs!$E$5:$E$120=$B9)*ISNUMBER(INDEX(Inputs!$K$5:$AJ$120,0,MATCH(AI$2,Inputs!$K$4:$AJ$4,0))))=0,NA(),SUMPRODUCT((Inputs!$A$5:$A$120=$B9)*Inputs!$B$5:$B$120*(((Inputs!$G$5:$G$120="moeda")+(Inputs!$G$5:$G$120="acoes"))*Inputs!$B$1+((Inputs!$G$5:$G$120&lt;&gt;"moeda")*(Inputs!$G$5:$G$120&lt;&gt;"acoes")))*INDEX(Inputs!$K$5:$AJ$120,0,MATCH(AI$2,Inputs!$K$4:$AJ$4,0)))+SUMPRODUCT((Inputs!$C$5:$C$120=$B9)*Inputs!$D$5:$D$120*(((Inputs!$G$5:$G$120="moeda")+(Inputs!$G$5:$G$120="acoes"))*Inputs!$B$1+((Inputs!$G$5:$G$120&lt;&gt;"moeda")*(Inputs!$G$5:$G$120&lt;&gt;"acoes")))*INDEX(Inputs!$K$5:$AJ$120,0,MATCH(AI$2,Inputs!$K$4:$AJ$4,0)))+SUMPRODUCT((Inputs!$E$5:$E$120=$B9)*Inputs!$F$5:$F$120*(((Inputs!$G$5:$G$120="moeda")+(Inputs!$G$5:$G$120="acoes"))*Inputs!$B$1+((Inputs!$G$5:$G$120&lt;&gt;"moeda")*(Inputs!$G$5:$G$120&lt;&gt;"acoes")))*INDEX(Inputs!$K$5:$AJ$120,0,MATCH(AI$2,Inputs!$K$4:$AJ$4,0)))))</f>
        <v>-7</v>
      </c>
      <c r="AJ9" s="6">
        <f>IF(ISNA(MATCH(AJ$2,Inputs!$K$4:$AJ$4,0)),NA(),IF(SUMPRODUCT((Inputs!$A$5:$A$120=$B9)*ISNUMBER(INDEX(Inputs!$K$5:$AJ$120,0,MATCH(AJ$2,Inputs!$K$4:$AJ$4,0))))+SUMPRODUCT((Inputs!$C$5:$C$120=$B9)*ISNUMBER(INDEX(Inputs!$K$5:$AJ$120,0,MATCH(AJ$2,Inputs!$K$4:$AJ$4,0))))+SUMPRODUCT((Inputs!$E$5:$E$120=$B9)*ISNUMBER(INDEX(Inputs!$K$5:$AJ$120,0,MATCH(AJ$2,Inputs!$K$4:$AJ$4,0))))=0,NA(),SUMPRODUCT((Inputs!$A$5:$A$120=$B9)*Inputs!$B$5:$B$120*(((Inputs!$G$5:$G$120="moeda")+(Inputs!$G$5:$G$120="acoes"))*Inputs!$B$1+((Inputs!$G$5:$G$120&lt;&gt;"moeda")*(Inputs!$G$5:$G$120&lt;&gt;"acoes")))*INDEX(Inputs!$K$5:$AJ$120,0,MATCH(AJ$2,Inputs!$K$4:$AJ$4,0)))+SUMPRODUCT((Inputs!$C$5:$C$120=$B9)*Inputs!$D$5:$D$120*(((Inputs!$G$5:$G$120="moeda")+(Inputs!$G$5:$G$120="acoes"))*Inputs!$B$1+((Inputs!$G$5:$G$120&lt;&gt;"moeda")*(Inputs!$G$5:$G$120&lt;&gt;"acoes")))*INDEX(Inputs!$K$5:$AJ$120,0,MATCH(AJ$2,Inputs!$K$4:$AJ$4,0)))+SUMPRODUCT((Inputs!$E$5:$E$120=$B9)*Inputs!$F$5:$F$120*(((Inputs!$G$5:$G$120="moeda")+(Inputs!$G$5:$G$120="acoes"))*Inputs!$B$1+((Inputs!$G$5:$G$120&lt;&gt;"moeda")*(Inputs!$G$5:$G$120&lt;&gt;"acoes")))*INDEX(Inputs!$K$5:$AJ$120,0,MATCH(AJ$2,Inputs!$K$4:$AJ$4,0)))))</f>
        <v>-91</v>
      </c>
      <c r="AK9" s="6">
        <f>IF(ISNA(MATCH(AK$2,Inputs!$K$4:$AJ$4,0)),NA(),IF(SUMPRODUCT((Inputs!$A$5:$A$120=$B9)*ISNUMBER(INDEX(Inputs!$K$5:$AJ$120,0,MATCH(AK$2,Inputs!$K$4:$AJ$4,0))))+SUMPRODUCT((Inputs!$C$5:$C$120=$B9)*ISNUMBER(INDEX(Inputs!$K$5:$AJ$120,0,MATCH(AK$2,Inputs!$K$4:$AJ$4,0))))+SUMPRODUCT((Inputs!$E$5:$E$120=$B9)*ISNUMBER(INDEX(Inputs!$K$5:$AJ$120,0,MATCH(AK$2,Inputs!$K$4:$AJ$4,0))))=0,NA(),SUMPRODUCT((Inputs!$A$5:$A$120=$B9)*Inputs!$B$5:$B$120*(((Inputs!$G$5:$G$120="moeda")+(Inputs!$G$5:$G$120="acoes"))*Inputs!$B$1+((Inputs!$G$5:$G$120&lt;&gt;"moeda")*(Inputs!$G$5:$G$120&lt;&gt;"acoes")))*INDEX(Inputs!$K$5:$AJ$120,0,MATCH(AK$2,Inputs!$K$4:$AJ$4,0)))+SUMPRODUCT((Inputs!$C$5:$C$120=$B9)*Inputs!$D$5:$D$120*(((Inputs!$G$5:$G$120="moeda")+(Inputs!$G$5:$G$120="acoes"))*Inputs!$B$1+((Inputs!$G$5:$G$120&lt;&gt;"moeda")*(Inputs!$G$5:$G$120&lt;&gt;"acoes")))*INDEX(Inputs!$K$5:$AJ$120,0,MATCH(AK$2,Inputs!$K$4:$AJ$4,0)))+SUMPRODUCT((Inputs!$E$5:$E$120=$B9)*Inputs!$F$5:$F$120*(((Inputs!$G$5:$G$120="moeda")+(Inputs!$G$5:$G$120="acoes"))*Inputs!$B$1+((Inputs!$G$5:$G$120&lt;&gt;"moeda")*(Inputs!$G$5:$G$120&lt;&gt;"acoes")))*INDEX(Inputs!$K$5:$AJ$120,0,MATCH(AK$2,Inputs!$K$4:$AJ$4,0)))))</f>
        <v>50</v>
      </c>
      <c r="AL9" s="3">
        <f>SUM(AH9:AK9)</f>
        <v>-92</v>
      </c>
    </row>
    <row r="10">
      <c r="B10" s="46" t="n">
        <v>7</v>
      </c>
      <c r="C10" s="26" t="inlineStr">
        <is>
          <t>Taxes</t>
        </is>
      </c>
      <c r="D10" s="6">
        <f>IF(ISNA(MATCH(D$2,Inputs!$K$4:$AJ$4,0)),NA(),IF(SUMPRODUCT((Inputs!$A$5:$A$120=$B10)*ISNUMBER(INDEX(Inputs!$K$5:$AJ$120,0,MATCH(D$2,Inputs!$K$4:$AJ$4,0))))+SUMPRODUCT((Inputs!$C$5:$C$120=$B10)*ISNUMBER(INDEX(Inputs!$K$5:$AJ$120,0,MATCH(D$2,Inputs!$K$4:$AJ$4,0))))+SUMPRODUCT((Inputs!$E$5:$E$120=$B10)*ISNUMBER(INDEX(Inputs!$K$5:$AJ$120,0,MATCH(D$2,Inputs!$K$4:$AJ$4,0))))=0,NA(),SUMPRODUCT((Inputs!$A$5:$A$120=$B10)*Inputs!$B$5:$B$120*(((Inputs!$G$5:$G$120="moeda")+(Inputs!$G$5:$G$120="acoes"))*Inputs!$B$1+((Inputs!$G$5:$G$120&lt;&gt;"moeda")*(Inputs!$G$5:$G$120&lt;&gt;"acoes")))*INDEX(Inputs!$K$5:$AJ$120,0,MATCH(D$2,Inputs!$K$4:$AJ$4,0)))+SUMPRODUCT((Inputs!$C$5:$C$120=$B10)*Inputs!$D$5:$D$120*(((Inputs!$G$5:$G$120="moeda")+(Inputs!$G$5:$G$120="acoes"))*Inputs!$B$1+((Inputs!$G$5:$G$120&lt;&gt;"moeda")*(Inputs!$G$5:$G$120&lt;&gt;"acoes")))*INDEX(Inputs!$K$5:$AJ$120,0,MATCH(D$2,Inputs!$K$4:$AJ$4,0)))+SUMPRODUCT((Inputs!$E$5:$E$120=$B10)*Inputs!$F$5:$F$120*(((Inputs!$G$5:$G$120="moeda")+(Inputs!$G$5:$G$120="acoes"))*Inputs!$B$1+((Inputs!$G$5:$G$120&lt;&gt;"moeda")*(Inputs!$G$5:$G$120&lt;&gt;"acoes")))*INDEX(Inputs!$K$5:$AJ$120,0,MATCH(D$2,Inputs!$K$4:$AJ$4,0)))))</f>
        <v>-69</v>
      </c>
      <c r="E10" s="6">
        <f>IF(ISNA(MATCH(E$2,Inputs!$K$4:$AJ$4,0)),NA(),IF(SUMPRODUCT((Inputs!$A$5:$A$120=$B10)*ISNUMBER(INDEX(Inputs!$K$5:$AJ$120,0,MATCH(E$2,Inputs!$K$4:$AJ$4,0))))+SUMPRODUCT((Inputs!$C$5:$C$120=$B10)*ISNUMBER(INDEX(Inputs!$K$5:$AJ$120,0,MATCH(E$2,Inputs!$K$4:$AJ$4,0))))+SUMPRODUCT((Inputs!$E$5:$E$120=$B10)*ISNUMBER(INDEX(Inputs!$K$5:$AJ$120,0,MATCH(E$2,Inputs!$K$4:$AJ$4,0))))=0,NA(),SUMPRODUCT((Inputs!$A$5:$A$120=$B10)*Inputs!$B$5:$B$120*(((Inputs!$G$5:$G$120="moeda")+(Inputs!$G$5:$G$120="acoes"))*Inputs!$B$1+((Inputs!$G$5:$G$120&lt;&gt;"moeda")*(Inputs!$G$5:$G$120&lt;&gt;"acoes")))*INDEX(Inputs!$K$5:$AJ$120,0,MATCH(E$2,Inputs!$K$4:$AJ$4,0)))+SUMPRODUCT((Inputs!$C$5:$C$120=$B10)*Inputs!$D$5:$D$120*(((Inputs!$G$5:$G$120="moeda")+(Inputs!$G$5:$G$120="acoes"))*Inputs!$B$1+((Inputs!$G$5:$G$120&lt;&gt;"moeda")*(Inputs!$G$5:$G$120&lt;&gt;"acoes")))*INDEX(Inputs!$K$5:$AJ$120,0,MATCH(E$2,Inputs!$K$4:$AJ$4,0)))+SUMPRODUCT((Inputs!$E$5:$E$120=$B10)*Inputs!$F$5:$F$120*(((Inputs!$G$5:$G$120="moeda")+(Inputs!$G$5:$G$120="acoes"))*Inputs!$B$1+((Inputs!$G$5:$G$120&lt;&gt;"moeda")*(Inputs!$G$5:$G$120&lt;&gt;"acoes")))*INDEX(Inputs!$K$5:$AJ$120,0,MATCH(E$2,Inputs!$K$4:$AJ$4,0)))))</f>
        <v>-115</v>
      </c>
      <c r="F10" s="6">
        <f>IF(ISNA(MATCH(F$2,Inputs!$K$4:$AJ$4,0)),NA(),IF(SUMPRODUCT((Inputs!$A$5:$A$120=$B10)*ISNUMBER(INDEX(Inputs!$K$5:$AJ$120,0,MATCH(F$2,Inputs!$K$4:$AJ$4,0))))+SUMPRODUCT((Inputs!$C$5:$C$120=$B10)*ISNUMBER(INDEX(Inputs!$K$5:$AJ$120,0,MATCH(F$2,Inputs!$K$4:$AJ$4,0))))+SUMPRODUCT((Inputs!$E$5:$E$120=$B10)*ISNUMBER(INDEX(Inputs!$K$5:$AJ$120,0,MATCH(F$2,Inputs!$K$4:$AJ$4,0))))=0,NA(),SUMPRODUCT((Inputs!$A$5:$A$120=$B10)*Inputs!$B$5:$B$120*(((Inputs!$G$5:$G$120="moeda")+(Inputs!$G$5:$G$120="acoes"))*Inputs!$B$1+((Inputs!$G$5:$G$120&lt;&gt;"moeda")*(Inputs!$G$5:$G$120&lt;&gt;"acoes")))*INDEX(Inputs!$K$5:$AJ$120,0,MATCH(F$2,Inputs!$K$4:$AJ$4,0)))+SUMPRODUCT((Inputs!$C$5:$C$120=$B10)*Inputs!$D$5:$D$120*(((Inputs!$G$5:$G$120="moeda")+(Inputs!$G$5:$G$120="acoes"))*Inputs!$B$1+((Inputs!$G$5:$G$120&lt;&gt;"moeda")*(Inputs!$G$5:$G$120&lt;&gt;"acoes")))*INDEX(Inputs!$K$5:$AJ$120,0,MATCH(F$2,Inputs!$K$4:$AJ$4,0)))+SUMPRODUCT((Inputs!$E$5:$E$120=$B10)*Inputs!$F$5:$F$120*(((Inputs!$G$5:$G$120="moeda")+(Inputs!$G$5:$G$120="acoes"))*Inputs!$B$1+((Inputs!$G$5:$G$120&lt;&gt;"moeda")*(Inputs!$G$5:$G$120&lt;&gt;"acoes")))*INDEX(Inputs!$K$5:$AJ$120,0,MATCH(F$2,Inputs!$K$4:$AJ$4,0)))))</f>
        <v>-223</v>
      </c>
      <c r="G10" s="6">
        <f>IF(ISNA(MATCH(G$2,Inputs!$K$4:$AJ$4,0)),NA(),IF(SUMPRODUCT((Inputs!$A$5:$A$120=$B10)*ISNUMBER(INDEX(Inputs!$K$5:$AJ$120,0,MATCH(G$2,Inputs!$K$4:$AJ$4,0))))+SUMPRODUCT((Inputs!$C$5:$C$120=$B10)*ISNUMBER(INDEX(Inputs!$K$5:$AJ$120,0,MATCH(G$2,Inputs!$K$4:$AJ$4,0))))+SUMPRODUCT((Inputs!$E$5:$E$120=$B10)*ISNUMBER(INDEX(Inputs!$K$5:$AJ$120,0,MATCH(G$2,Inputs!$K$4:$AJ$4,0))))=0,NA(),SUMPRODUCT((Inputs!$A$5:$A$120=$B10)*Inputs!$B$5:$B$120*(((Inputs!$G$5:$G$120="moeda")+(Inputs!$G$5:$G$120="acoes"))*Inputs!$B$1+((Inputs!$G$5:$G$120&lt;&gt;"moeda")*(Inputs!$G$5:$G$120&lt;&gt;"acoes")))*INDEX(Inputs!$K$5:$AJ$120,0,MATCH(G$2,Inputs!$K$4:$AJ$4,0)))+SUMPRODUCT((Inputs!$C$5:$C$120=$B10)*Inputs!$D$5:$D$120*(((Inputs!$G$5:$G$120="moeda")+(Inputs!$G$5:$G$120="acoes"))*Inputs!$B$1+((Inputs!$G$5:$G$120&lt;&gt;"moeda")*(Inputs!$G$5:$G$120&lt;&gt;"acoes")))*INDEX(Inputs!$K$5:$AJ$120,0,MATCH(G$2,Inputs!$K$4:$AJ$4,0)))+SUMPRODUCT((Inputs!$E$5:$E$120=$B10)*Inputs!$F$5:$F$120*(((Inputs!$G$5:$G$120="moeda")+(Inputs!$G$5:$G$120="acoes"))*Inputs!$B$1+((Inputs!$G$5:$G$120&lt;&gt;"moeda")*(Inputs!$G$5:$G$120&lt;&gt;"acoes")))*INDEX(Inputs!$K$5:$AJ$120,0,MATCH(G$2,Inputs!$K$4:$AJ$4,0)))))</f>
        <v>-292</v>
      </c>
      <c r="H10" s="3">
        <f>SUM(D10:G10)</f>
        <v>-699</v>
      </c>
      <c r="I10" s="6">
        <f>IF(ISNA(MATCH(I$2,Inputs!$K$4:$AJ$4,0)),NA(),IF(SUMPRODUCT((Inputs!$A$5:$A$120=$B10)*ISNUMBER(INDEX(Inputs!$K$5:$AJ$120,0,MATCH(I$2,Inputs!$K$4:$AJ$4,0))))+SUMPRODUCT((Inputs!$C$5:$C$120=$B10)*ISNUMBER(INDEX(Inputs!$K$5:$AJ$120,0,MATCH(I$2,Inputs!$K$4:$AJ$4,0))))+SUMPRODUCT((Inputs!$E$5:$E$120=$B10)*ISNUMBER(INDEX(Inputs!$K$5:$AJ$120,0,MATCH(I$2,Inputs!$K$4:$AJ$4,0))))=0,NA(),SUMPRODUCT((Inputs!$A$5:$A$120=$B10)*Inputs!$B$5:$B$120*(((Inputs!$G$5:$G$120="moeda")+(Inputs!$G$5:$G$120="acoes"))*Inputs!$B$1+((Inputs!$G$5:$G$120&lt;&gt;"moeda")*(Inputs!$G$5:$G$120&lt;&gt;"acoes")))*INDEX(Inputs!$K$5:$AJ$120,0,MATCH(I$2,Inputs!$K$4:$AJ$4,0)))+SUMPRODUCT((Inputs!$C$5:$C$120=$B10)*Inputs!$D$5:$D$120*(((Inputs!$G$5:$G$120="moeda")+(Inputs!$G$5:$G$120="acoes"))*Inputs!$B$1+((Inputs!$G$5:$G$120&lt;&gt;"moeda")*(Inputs!$G$5:$G$120&lt;&gt;"acoes")))*INDEX(Inputs!$K$5:$AJ$120,0,MATCH(I$2,Inputs!$K$4:$AJ$4,0)))+SUMPRODUCT((Inputs!$E$5:$E$120=$B10)*Inputs!$F$5:$F$120*(((Inputs!$G$5:$G$120="moeda")+(Inputs!$G$5:$G$120="acoes"))*Inputs!$B$1+((Inputs!$G$5:$G$120&lt;&gt;"moeda")*(Inputs!$G$5:$G$120&lt;&gt;"acoes")))*INDEX(Inputs!$K$5:$AJ$120,0,MATCH(I$2,Inputs!$K$4:$AJ$4,0)))))</f>
        <v>-346</v>
      </c>
      <c r="J10" s="6">
        <f>IF(ISNA(MATCH(J$2,Inputs!$K$4:$AJ$4,0)),NA(),IF(SUMPRODUCT((Inputs!$A$5:$A$120=$B10)*ISNUMBER(INDEX(Inputs!$K$5:$AJ$120,0,MATCH(J$2,Inputs!$K$4:$AJ$4,0))))+SUMPRODUCT((Inputs!$C$5:$C$120=$B10)*ISNUMBER(INDEX(Inputs!$K$5:$AJ$120,0,MATCH(J$2,Inputs!$K$4:$AJ$4,0))))+SUMPRODUCT((Inputs!$E$5:$E$120=$B10)*ISNUMBER(INDEX(Inputs!$K$5:$AJ$120,0,MATCH(J$2,Inputs!$K$4:$AJ$4,0))))=0,NA(),SUMPRODUCT((Inputs!$A$5:$A$120=$B10)*Inputs!$B$5:$B$120*(((Inputs!$G$5:$G$120="moeda")+(Inputs!$G$5:$G$120="acoes"))*Inputs!$B$1+((Inputs!$G$5:$G$120&lt;&gt;"moeda")*(Inputs!$G$5:$G$120&lt;&gt;"acoes")))*INDEX(Inputs!$K$5:$AJ$120,0,MATCH(J$2,Inputs!$K$4:$AJ$4,0)))+SUMPRODUCT((Inputs!$C$5:$C$120=$B10)*Inputs!$D$5:$D$120*(((Inputs!$G$5:$G$120="moeda")+(Inputs!$G$5:$G$120="acoes"))*Inputs!$B$1+((Inputs!$G$5:$G$120&lt;&gt;"moeda")*(Inputs!$G$5:$G$120&lt;&gt;"acoes")))*INDEX(Inputs!$K$5:$AJ$120,0,MATCH(J$2,Inputs!$K$4:$AJ$4,0)))+SUMPRODUCT((Inputs!$E$5:$E$120=$B10)*Inputs!$F$5:$F$120*(((Inputs!$G$5:$G$120="moeda")+(Inputs!$G$5:$G$120="acoes"))*Inputs!$B$1+((Inputs!$G$5:$G$120&lt;&gt;"moeda")*(Inputs!$G$5:$G$120&lt;&gt;"acoes")))*INDEX(Inputs!$K$5:$AJ$120,0,MATCH(J$2,Inputs!$K$4:$AJ$4,0)))))</f>
        <v>-205</v>
      </c>
      <c r="K10" s="6">
        <f>IF(ISNA(MATCH(K$2,Inputs!$K$4:$AJ$4,0)),NA(),IF(SUMPRODUCT((Inputs!$A$5:$A$120=$B10)*ISNUMBER(INDEX(Inputs!$K$5:$AJ$120,0,MATCH(K$2,Inputs!$K$4:$AJ$4,0))))+SUMPRODUCT((Inputs!$C$5:$C$120=$B10)*ISNUMBER(INDEX(Inputs!$K$5:$AJ$120,0,MATCH(K$2,Inputs!$K$4:$AJ$4,0))))+SUMPRODUCT((Inputs!$E$5:$E$120=$B10)*ISNUMBER(INDEX(Inputs!$K$5:$AJ$120,0,MATCH(K$2,Inputs!$K$4:$AJ$4,0))))=0,NA(),SUMPRODUCT((Inputs!$A$5:$A$120=$B10)*Inputs!$B$5:$B$120*(((Inputs!$G$5:$G$120="moeda")+(Inputs!$G$5:$G$120="acoes"))*Inputs!$B$1+((Inputs!$G$5:$G$120&lt;&gt;"moeda")*(Inputs!$G$5:$G$120&lt;&gt;"acoes")))*INDEX(Inputs!$K$5:$AJ$120,0,MATCH(K$2,Inputs!$K$4:$AJ$4,0)))+SUMPRODUCT((Inputs!$C$5:$C$120=$B10)*Inputs!$D$5:$D$120*(((Inputs!$G$5:$G$120="moeda")+(Inputs!$G$5:$G$120="acoes"))*Inputs!$B$1+((Inputs!$G$5:$G$120&lt;&gt;"moeda")*(Inputs!$G$5:$G$120&lt;&gt;"acoes")))*INDEX(Inputs!$K$5:$AJ$120,0,MATCH(K$2,Inputs!$K$4:$AJ$4,0)))+SUMPRODUCT((Inputs!$E$5:$E$120=$B10)*Inputs!$F$5:$F$120*(((Inputs!$G$5:$G$120="moeda")+(Inputs!$G$5:$G$120="acoes"))*Inputs!$B$1+((Inputs!$G$5:$G$120&lt;&gt;"moeda")*(Inputs!$G$5:$G$120&lt;&gt;"acoes")))*INDEX(Inputs!$K$5:$AJ$120,0,MATCH(K$2,Inputs!$K$4:$AJ$4,0)))))</f>
        <v>-305</v>
      </c>
      <c r="L10" s="6">
        <f>IF(ISNA(MATCH(L$2,Inputs!$K$4:$AJ$4,0)),NA(),IF(SUMPRODUCT((Inputs!$A$5:$A$120=$B10)*ISNUMBER(INDEX(Inputs!$K$5:$AJ$120,0,MATCH(L$2,Inputs!$K$4:$AJ$4,0))))+SUMPRODUCT((Inputs!$C$5:$C$120=$B10)*ISNUMBER(INDEX(Inputs!$K$5:$AJ$120,0,MATCH(L$2,Inputs!$K$4:$AJ$4,0))))+SUMPRODUCT((Inputs!$E$5:$E$120=$B10)*ISNUMBER(INDEX(Inputs!$K$5:$AJ$120,0,MATCH(L$2,Inputs!$K$4:$AJ$4,0))))=0,NA(),SUMPRODUCT((Inputs!$A$5:$A$120=$B10)*Inputs!$B$5:$B$120*(((Inputs!$G$5:$G$120="moeda")+(Inputs!$G$5:$G$120="acoes"))*Inputs!$B$1+((Inputs!$G$5:$G$120&lt;&gt;"moeda")*(Inputs!$G$5:$G$120&lt;&gt;"acoes")))*INDEX(Inputs!$K$5:$AJ$120,0,MATCH(L$2,Inputs!$K$4:$AJ$4,0)))+SUMPRODUCT((Inputs!$C$5:$C$120=$B10)*Inputs!$D$5:$D$120*(((Inputs!$G$5:$G$120="moeda")+(Inputs!$G$5:$G$120="acoes"))*Inputs!$B$1+((Inputs!$G$5:$G$120&lt;&gt;"moeda")*(Inputs!$G$5:$G$120&lt;&gt;"acoes")))*INDEX(Inputs!$K$5:$AJ$120,0,MATCH(L$2,Inputs!$K$4:$AJ$4,0)))+SUMPRODUCT((Inputs!$E$5:$E$120=$B10)*Inputs!$F$5:$F$120*(((Inputs!$G$5:$G$120="moeda")+(Inputs!$G$5:$G$120="acoes"))*Inputs!$B$1+((Inputs!$G$5:$G$120&lt;&gt;"moeda")*(Inputs!$G$5:$G$120&lt;&gt;"acoes")))*INDEX(Inputs!$K$5:$AJ$120,0,MATCH(L$2,Inputs!$K$4:$AJ$4,0)))))</f>
        <v>-276</v>
      </c>
      <c r="M10" s="3">
        <f>SUM(I10:L10)</f>
        <v>-1132</v>
      </c>
      <c r="N10" s="6">
        <f>IF(ISNA(MATCH(N$2,Inputs!$K$4:$AJ$4,0)),NA(),IF(SUMPRODUCT((Inputs!$A$5:$A$120=$B10)*ISNUMBER(INDEX(Inputs!$K$5:$AJ$120,0,MATCH(N$2,Inputs!$K$4:$AJ$4,0))))+SUMPRODUCT((Inputs!$C$5:$C$120=$B10)*ISNUMBER(INDEX(Inputs!$K$5:$AJ$120,0,MATCH(N$2,Inputs!$K$4:$AJ$4,0))))+SUMPRODUCT((Inputs!$E$5:$E$120=$B10)*ISNUMBER(INDEX(Inputs!$K$5:$AJ$120,0,MATCH(N$2,Inputs!$K$4:$AJ$4,0))))=0,NA(),SUMPRODUCT((Inputs!$A$5:$A$120=$B10)*Inputs!$B$5:$B$120*(((Inputs!$G$5:$G$120="moeda")+(Inputs!$G$5:$G$120="acoes"))*Inputs!$B$1+((Inputs!$G$5:$G$120&lt;&gt;"moeda")*(Inputs!$G$5:$G$120&lt;&gt;"acoes")))*INDEX(Inputs!$K$5:$AJ$120,0,MATCH(N$2,Inputs!$K$4:$AJ$4,0)))+SUMPRODUCT((Inputs!$C$5:$C$120=$B10)*Inputs!$D$5:$D$120*(((Inputs!$G$5:$G$120="moeda")+(Inputs!$G$5:$G$120="acoes"))*Inputs!$B$1+((Inputs!$G$5:$G$120&lt;&gt;"moeda")*(Inputs!$G$5:$G$120&lt;&gt;"acoes")))*INDEX(Inputs!$K$5:$AJ$120,0,MATCH(N$2,Inputs!$K$4:$AJ$4,0)))+SUMPRODUCT((Inputs!$E$5:$E$120=$B10)*Inputs!$F$5:$F$120*(((Inputs!$G$5:$G$120="moeda")+(Inputs!$G$5:$G$120="acoes"))*Inputs!$B$1+((Inputs!$G$5:$G$120&lt;&gt;"moeda")*(Inputs!$G$5:$G$120&lt;&gt;"acoes")))*INDEX(Inputs!$K$5:$AJ$120,0,MATCH(N$2,Inputs!$K$4:$AJ$4,0)))))</f>
        <v>-261</v>
      </c>
      <c r="O10" s="6">
        <f>IF(ISNA(MATCH(O$2,Inputs!$K$4:$AJ$4,0)),NA(),IF(SUMPRODUCT((Inputs!$A$5:$A$120=$B10)*ISNUMBER(INDEX(Inputs!$K$5:$AJ$120,0,MATCH(O$2,Inputs!$K$4:$AJ$4,0))))+SUMPRODUCT((Inputs!$C$5:$C$120=$B10)*ISNUMBER(INDEX(Inputs!$K$5:$AJ$120,0,MATCH(O$2,Inputs!$K$4:$AJ$4,0))))+SUMPRODUCT((Inputs!$E$5:$E$120=$B10)*ISNUMBER(INDEX(Inputs!$K$5:$AJ$120,0,MATCH(O$2,Inputs!$K$4:$AJ$4,0))))=0,NA(),SUMPRODUCT((Inputs!$A$5:$A$120=$B10)*Inputs!$B$5:$B$120*(((Inputs!$G$5:$G$120="moeda")+(Inputs!$G$5:$G$120="acoes"))*Inputs!$B$1+((Inputs!$G$5:$G$120&lt;&gt;"moeda")*(Inputs!$G$5:$G$120&lt;&gt;"acoes")))*INDEX(Inputs!$K$5:$AJ$120,0,MATCH(O$2,Inputs!$K$4:$AJ$4,0)))+SUMPRODUCT((Inputs!$C$5:$C$120=$B10)*Inputs!$D$5:$D$120*(((Inputs!$G$5:$G$120="moeda")+(Inputs!$G$5:$G$120="acoes"))*Inputs!$B$1+((Inputs!$G$5:$G$120&lt;&gt;"moeda")*(Inputs!$G$5:$G$120&lt;&gt;"acoes")))*INDEX(Inputs!$K$5:$AJ$120,0,MATCH(O$2,Inputs!$K$4:$AJ$4,0)))+SUMPRODUCT((Inputs!$E$5:$E$120=$B10)*Inputs!$F$5:$F$120*(((Inputs!$G$5:$G$120="moeda")+(Inputs!$G$5:$G$120="acoes"))*Inputs!$B$1+((Inputs!$G$5:$G$120&lt;&gt;"moeda")*(Inputs!$G$5:$G$120&lt;&gt;"acoes")))*INDEX(Inputs!$K$5:$AJ$120,0,MATCH(O$2,Inputs!$K$4:$AJ$4,0)))))</f>
        <v>-323</v>
      </c>
      <c r="P10" s="6">
        <f>IF(ISNA(MATCH(P$2,Inputs!$K$4:$AJ$4,0)),NA(),IF(SUMPRODUCT((Inputs!$A$5:$A$120=$B10)*ISNUMBER(INDEX(Inputs!$K$5:$AJ$120,0,MATCH(P$2,Inputs!$K$4:$AJ$4,0))))+SUMPRODUCT((Inputs!$C$5:$C$120=$B10)*ISNUMBER(INDEX(Inputs!$K$5:$AJ$120,0,MATCH(P$2,Inputs!$K$4:$AJ$4,0))))+SUMPRODUCT((Inputs!$E$5:$E$120=$B10)*ISNUMBER(INDEX(Inputs!$K$5:$AJ$120,0,MATCH(P$2,Inputs!$K$4:$AJ$4,0))))=0,NA(),SUMPRODUCT((Inputs!$A$5:$A$120=$B10)*Inputs!$B$5:$B$120*(((Inputs!$G$5:$G$120="moeda")+(Inputs!$G$5:$G$120="acoes"))*Inputs!$B$1+((Inputs!$G$5:$G$120&lt;&gt;"moeda")*(Inputs!$G$5:$G$120&lt;&gt;"acoes")))*INDEX(Inputs!$K$5:$AJ$120,0,MATCH(P$2,Inputs!$K$4:$AJ$4,0)))+SUMPRODUCT((Inputs!$C$5:$C$120=$B10)*Inputs!$D$5:$D$120*(((Inputs!$G$5:$G$120="moeda")+(Inputs!$G$5:$G$120="acoes"))*Inputs!$B$1+((Inputs!$G$5:$G$120&lt;&gt;"moeda")*(Inputs!$G$5:$G$120&lt;&gt;"acoes")))*INDEX(Inputs!$K$5:$AJ$120,0,MATCH(P$2,Inputs!$K$4:$AJ$4,0)))+SUMPRODUCT((Inputs!$E$5:$E$120=$B10)*Inputs!$F$5:$F$120*(((Inputs!$G$5:$G$120="moeda")+(Inputs!$G$5:$G$120="acoes"))*Inputs!$B$1+((Inputs!$G$5:$G$120&lt;&gt;"moeda")*(Inputs!$G$5:$G$120&lt;&gt;"acoes")))*INDEX(Inputs!$K$5:$AJ$120,0,MATCH(P$2,Inputs!$K$4:$AJ$4,0)))))</f>
        <v>-167</v>
      </c>
      <c r="Q10" s="6">
        <f>IF(ISNA(MATCH(Q$2,Inputs!$K$4:$AJ$4,0)),NA(),IF(SUMPRODUCT((Inputs!$A$5:$A$120=$B10)*ISNUMBER(INDEX(Inputs!$K$5:$AJ$120,0,MATCH(Q$2,Inputs!$K$4:$AJ$4,0))))+SUMPRODUCT((Inputs!$C$5:$C$120=$B10)*ISNUMBER(INDEX(Inputs!$K$5:$AJ$120,0,MATCH(Q$2,Inputs!$K$4:$AJ$4,0))))+SUMPRODUCT((Inputs!$E$5:$E$120=$B10)*ISNUMBER(INDEX(Inputs!$K$5:$AJ$120,0,MATCH(Q$2,Inputs!$K$4:$AJ$4,0))))=0,NA(),SUMPRODUCT((Inputs!$A$5:$A$120=$B10)*Inputs!$B$5:$B$120*(((Inputs!$G$5:$G$120="moeda")+(Inputs!$G$5:$G$120="acoes"))*Inputs!$B$1+((Inputs!$G$5:$G$120&lt;&gt;"moeda")*(Inputs!$G$5:$G$120&lt;&gt;"acoes")))*INDEX(Inputs!$K$5:$AJ$120,0,MATCH(Q$2,Inputs!$K$4:$AJ$4,0)))+SUMPRODUCT((Inputs!$C$5:$C$120=$B10)*Inputs!$D$5:$D$120*(((Inputs!$G$5:$G$120="moeda")+(Inputs!$G$5:$G$120="acoes"))*Inputs!$B$1+((Inputs!$G$5:$G$120&lt;&gt;"moeda")*(Inputs!$G$5:$G$120&lt;&gt;"acoes")))*INDEX(Inputs!$K$5:$AJ$120,0,MATCH(Q$2,Inputs!$K$4:$AJ$4,0)))+SUMPRODUCT((Inputs!$E$5:$E$120=$B10)*Inputs!$F$5:$F$120*(((Inputs!$G$5:$G$120="moeda")+(Inputs!$G$5:$G$120="acoes"))*Inputs!$B$1+((Inputs!$G$5:$G$120&lt;&gt;"moeda")*(Inputs!$G$5:$G$120&lt;&gt;"acoes")))*INDEX(Inputs!$K$5:$AJ$120,0,MATCH(Q$2,Inputs!$K$4:$AJ$4,0)))))</f>
        <v>5752</v>
      </c>
      <c r="R10" s="3">
        <f>SUM(N10:Q10)</f>
        <v>5001</v>
      </c>
      <c r="S10" s="6">
        <f>IF(ISNA(MATCH(S$2,Inputs!$K$4:$AJ$4,0)),NA(),IF(SUMPRODUCT((Inputs!$A$5:$A$120=$B10)*ISNUMBER(INDEX(Inputs!$K$5:$AJ$120,0,MATCH(S$2,Inputs!$K$4:$AJ$4,0))))+SUMPRODUCT((Inputs!$C$5:$C$120=$B10)*ISNUMBER(INDEX(Inputs!$K$5:$AJ$120,0,MATCH(S$2,Inputs!$K$4:$AJ$4,0))))+SUMPRODUCT((Inputs!$E$5:$E$120=$B10)*ISNUMBER(INDEX(Inputs!$K$5:$AJ$120,0,MATCH(S$2,Inputs!$K$4:$AJ$4,0))))=0,NA(),SUMPRODUCT((Inputs!$A$5:$A$120=$B10)*Inputs!$B$5:$B$120*(((Inputs!$G$5:$G$120="moeda")+(Inputs!$G$5:$G$120="acoes"))*Inputs!$B$1+((Inputs!$G$5:$G$120&lt;&gt;"moeda")*(Inputs!$G$5:$G$120&lt;&gt;"acoes")))*INDEX(Inputs!$K$5:$AJ$120,0,MATCH(S$2,Inputs!$K$4:$AJ$4,0)))+SUMPRODUCT((Inputs!$C$5:$C$120=$B10)*Inputs!$D$5:$D$120*(((Inputs!$G$5:$G$120="moeda")+(Inputs!$G$5:$G$120="acoes"))*Inputs!$B$1+((Inputs!$G$5:$G$120&lt;&gt;"moeda")*(Inputs!$G$5:$G$120&lt;&gt;"acoes")))*INDEX(Inputs!$K$5:$AJ$120,0,MATCH(S$2,Inputs!$K$4:$AJ$4,0)))+SUMPRODUCT((Inputs!$E$5:$E$120=$B10)*Inputs!$F$5:$F$120*(((Inputs!$G$5:$G$120="moeda")+(Inputs!$G$5:$G$120="acoes"))*Inputs!$B$1+((Inputs!$G$5:$G$120&lt;&gt;"moeda")*(Inputs!$G$5:$G$120&lt;&gt;"acoes")))*INDEX(Inputs!$K$5:$AJ$120,0,MATCH(S$2,Inputs!$K$4:$AJ$4,0)))))</f>
        <v>-483</v>
      </c>
      <c r="T10" s="6">
        <f>IF(ISNA(MATCH(T$2,Inputs!$K$4:$AJ$4,0)),NA(),IF(SUMPRODUCT((Inputs!$A$5:$A$120=$B10)*ISNUMBER(INDEX(Inputs!$K$5:$AJ$120,0,MATCH(T$2,Inputs!$K$4:$AJ$4,0))))+SUMPRODUCT((Inputs!$C$5:$C$120=$B10)*ISNUMBER(INDEX(Inputs!$K$5:$AJ$120,0,MATCH(T$2,Inputs!$K$4:$AJ$4,0))))+SUMPRODUCT((Inputs!$E$5:$E$120=$B10)*ISNUMBER(INDEX(Inputs!$K$5:$AJ$120,0,MATCH(T$2,Inputs!$K$4:$AJ$4,0))))=0,NA(),SUMPRODUCT((Inputs!$A$5:$A$120=$B10)*Inputs!$B$5:$B$120*(((Inputs!$G$5:$G$120="moeda")+(Inputs!$G$5:$G$120="acoes"))*Inputs!$B$1+((Inputs!$G$5:$G$120&lt;&gt;"moeda")*(Inputs!$G$5:$G$120&lt;&gt;"acoes")))*INDEX(Inputs!$K$5:$AJ$120,0,MATCH(T$2,Inputs!$K$4:$AJ$4,0)))+SUMPRODUCT((Inputs!$C$5:$C$120=$B10)*Inputs!$D$5:$D$120*(((Inputs!$G$5:$G$120="moeda")+(Inputs!$G$5:$G$120="acoes"))*Inputs!$B$1+((Inputs!$G$5:$G$120&lt;&gt;"moeda")*(Inputs!$G$5:$G$120&lt;&gt;"acoes")))*INDEX(Inputs!$K$5:$AJ$120,0,MATCH(T$2,Inputs!$K$4:$AJ$4,0)))+SUMPRODUCT((Inputs!$E$5:$E$120=$B10)*Inputs!$F$5:$F$120*(((Inputs!$G$5:$G$120="moeda")+(Inputs!$G$5:$G$120="acoes"))*Inputs!$B$1+((Inputs!$G$5:$G$120&lt;&gt;"moeda")*(Inputs!$G$5:$G$120&lt;&gt;"acoes")))*INDEX(Inputs!$K$5:$AJ$120,0,MATCH(T$2,Inputs!$K$4:$AJ$4,0)))))</f>
        <v>-371</v>
      </c>
      <c r="U10" s="6">
        <f>IF(ISNA(MATCH(U$2,Inputs!$K$4:$AJ$4,0)),NA(),IF(SUMPRODUCT((Inputs!$A$5:$A$120=$B10)*ISNUMBER(INDEX(Inputs!$K$5:$AJ$120,0,MATCH(U$2,Inputs!$K$4:$AJ$4,0))))+SUMPRODUCT((Inputs!$C$5:$C$120=$B10)*ISNUMBER(INDEX(Inputs!$K$5:$AJ$120,0,MATCH(U$2,Inputs!$K$4:$AJ$4,0))))+SUMPRODUCT((Inputs!$E$5:$E$120=$B10)*ISNUMBER(INDEX(Inputs!$K$5:$AJ$120,0,MATCH(U$2,Inputs!$K$4:$AJ$4,0))))=0,NA(),SUMPRODUCT((Inputs!$A$5:$A$120=$B10)*Inputs!$B$5:$B$120*(((Inputs!$G$5:$G$120="moeda")+(Inputs!$G$5:$G$120="acoes"))*Inputs!$B$1+((Inputs!$G$5:$G$120&lt;&gt;"moeda")*(Inputs!$G$5:$G$120&lt;&gt;"acoes")))*INDEX(Inputs!$K$5:$AJ$120,0,MATCH(U$2,Inputs!$K$4:$AJ$4,0)))+SUMPRODUCT((Inputs!$C$5:$C$120=$B10)*Inputs!$D$5:$D$120*(((Inputs!$G$5:$G$120="moeda")+(Inputs!$G$5:$G$120="acoes"))*Inputs!$B$1+((Inputs!$G$5:$G$120&lt;&gt;"moeda")*(Inputs!$G$5:$G$120&lt;&gt;"acoes")))*INDEX(Inputs!$K$5:$AJ$120,0,MATCH(U$2,Inputs!$K$4:$AJ$4,0)))+SUMPRODUCT((Inputs!$E$5:$E$120=$B10)*Inputs!$F$5:$F$120*(((Inputs!$G$5:$G$120="moeda")+(Inputs!$G$5:$G$120="acoes"))*Inputs!$B$1+((Inputs!$G$5:$G$120&lt;&gt;"moeda")*(Inputs!$G$5:$G$120&lt;&gt;"acoes")))*INDEX(Inputs!$K$5:$AJ$120,0,MATCH(U$2,Inputs!$K$4:$AJ$4,0)))))</f>
        <v>-602</v>
      </c>
      <c r="V10" s="6">
        <f>IF(ISNA(MATCH(V$2,Inputs!$K$4:$AJ$4,0)),NA(),IF(SUMPRODUCT((Inputs!$A$5:$A$120=$B10)*ISNUMBER(INDEX(Inputs!$K$5:$AJ$120,0,MATCH(V$2,Inputs!$K$4:$AJ$4,0))))+SUMPRODUCT((Inputs!$C$5:$C$120=$B10)*ISNUMBER(INDEX(Inputs!$K$5:$AJ$120,0,MATCH(V$2,Inputs!$K$4:$AJ$4,0))))+SUMPRODUCT((Inputs!$E$5:$E$120=$B10)*ISNUMBER(INDEX(Inputs!$K$5:$AJ$120,0,MATCH(V$2,Inputs!$K$4:$AJ$4,0))))=0,NA(),SUMPRODUCT((Inputs!$A$5:$A$120=$B10)*Inputs!$B$5:$B$120*(((Inputs!$G$5:$G$120="moeda")+(Inputs!$G$5:$G$120="acoes"))*Inputs!$B$1+((Inputs!$G$5:$G$120&lt;&gt;"moeda")*(Inputs!$G$5:$G$120&lt;&gt;"acoes")))*INDEX(Inputs!$K$5:$AJ$120,0,MATCH(V$2,Inputs!$K$4:$AJ$4,0)))+SUMPRODUCT((Inputs!$C$5:$C$120=$B10)*Inputs!$D$5:$D$120*(((Inputs!$G$5:$G$120="moeda")+(Inputs!$G$5:$G$120="acoes"))*Inputs!$B$1+((Inputs!$G$5:$G$120&lt;&gt;"moeda")*(Inputs!$G$5:$G$120&lt;&gt;"acoes")))*INDEX(Inputs!$K$5:$AJ$120,0,MATCH(V$2,Inputs!$K$4:$AJ$4,0)))+SUMPRODUCT((Inputs!$E$5:$E$120=$B10)*Inputs!$F$5:$F$120*(((Inputs!$G$5:$G$120="moeda")+(Inputs!$G$5:$G$120="acoes"))*Inputs!$B$1+((Inputs!$G$5:$G$120&lt;&gt;"moeda")*(Inputs!$G$5:$G$120&lt;&gt;"acoes")))*INDEX(Inputs!$K$5:$AJ$120,0,MATCH(V$2,Inputs!$K$4:$AJ$4,0)))))</f>
        <v>-381</v>
      </c>
      <c r="W10" s="3">
        <f>SUM(S10:V10)</f>
        <v>-1837</v>
      </c>
      <c r="X10" s="6">
        <f>IF(ISNA(MATCH(X$2,Inputs!$K$4:$AJ$4,0)),NA(),IF(SUMPRODUCT((Inputs!$A$5:$A$120=$B10)*ISNUMBER(INDEX(Inputs!$K$5:$AJ$120,0,MATCH(X$2,Inputs!$K$4:$AJ$4,0))))+SUMPRODUCT((Inputs!$C$5:$C$120=$B10)*ISNUMBER(INDEX(Inputs!$K$5:$AJ$120,0,MATCH(X$2,Inputs!$K$4:$AJ$4,0))))+SUMPRODUCT((Inputs!$E$5:$E$120=$B10)*ISNUMBER(INDEX(Inputs!$K$5:$AJ$120,0,MATCH(X$2,Inputs!$K$4:$AJ$4,0))))=0,NA(),SUMPRODUCT((Inputs!$A$5:$A$120=$B10)*Inputs!$B$5:$B$120*(((Inputs!$G$5:$G$120="moeda")+(Inputs!$G$5:$G$120="acoes"))*Inputs!$B$1+((Inputs!$G$5:$G$120&lt;&gt;"moeda")*(Inputs!$G$5:$G$120&lt;&gt;"acoes")))*INDEX(Inputs!$K$5:$AJ$120,0,MATCH(X$2,Inputs!$K$4:$AJ$4,0)))+SUMPRODUCT((Inputs!$C$5:$C$120=$B10)*Inputs!$D$5:$D$120*(((Inputs!$G$5:$G$120="moeda")+(Inputs!$G$5:$G$120="acoes"))*Inputs!$B$1+((Inputs!$G$5:$G$120&lt;&gt;"moeda")*(Inputs!$G$5:$G$120&lt;&gt;"acoes")))*INDEX(Inputs!$K$5:$AJ$120,0,MATCH(X$2,Inputs!$K$4:$AJ$4,0)))+SUMPRODUCT((Inputs!$E$5:$E$120=$B10)*Inputs!$F$5:$F$120*(((Inputs!$G$5:$G$120="moeda")+(Inputs!$G$5:$G$120="acoes"))*Inputs!$B$1+((Inputs!$G$5:$G$120&lt;&gt;"moeda")*(Inputs!$G$5:$G$120&lt;&gt;"acoes")))*INDEX(Inputs!$K$5:$AJ$120,0,MATCH(X$2,Inputs!$K$4:$AJ$4,0)))))</f>
        <v>-169</v>
      </c>
      <c r="Y10" s="6">
        <f>IF(ISNA(MATCH(Y$2,Inputs!$K$4:$AJ$4,0)),NA(),IF(SUMPRODUCT((Inputs!$A$5:$A$120=$B10)*ISNUMBER(INDEX(Inputs!$K$5:$AJ$120,0,MATCH(Y$2,Inputs!$K$4:$AJ$4,0))))+SUMPRODUCT((Inputs!$C$5:$C$120=$B10)*ISNUMBER(INDEX(Inputs!$K$5:$AJ$120,0,MATCH(Y$2,Inputs!$K$4:$AJ$4,0))))+SUMPRODUCT((Inputs!$E$5:$E$120=$B10)*ISNUMBER(INDEX(Inputs!$K$5:$AJ$120,0,MATCH(Y$2,Inputs!$K$4:$AJ$4,0))))=0,NA(),SUMPRODUCT((Inputs!$A$5:$A$120=$B10)*Inputs!$B$5:$B$120*(((Inputs!$G$5:$G$120="moeda")+(Inputs!$G$5:$G$120="acoes"))*Inputs!$B$1+((Inputs!$G$5:$G$120&lt;&gt;"moeda")*(Inputs!$G$5:$G$120&lt;&gt;"acoes")))*INDEX(Inputs!$K$5:$AJ$120,0,MATCH(Y$2,Inputs!$K$4:$AJ$4,0)))+SUMPRODUCT((Inputs!$C$5:$C$120=$B10)*Inputs!$D$5:$D$120*(((Inputs!$G$5:$G$120="moeda")+(Inputs!$G$5:$G$120="acoes"))*Inputs!$B$1+((Inputs!$G$5:$G$120&lt;&gt;"moeda")*(Inputs!$G$5:$G$120&lt;&gt;"acoes")))*INDEX(Inputs!$K$5:$AJ$120,0,MATCH(Y$2,Inputs!$K$4:$AJ$4,0)))+SUMPRODUCT((Inputs!$E$5:$E$120=$B10)*Inputs!$F$5:$F$120*(((Inputs!$G$5:$G$120="moeda")+(Inputs!$G$5:$G$120="acoes"))*Inputs!$B$1+((Inputs!$G$5:$G$120&lt;&gt;"moeda")*(Inputs!$G$5:$G$120&lt;&gt;"acoes")))*INDEX(Inputs!$K$5:$AJ$120,0,MATCH(Y$2,Inputs!$K$4:$AJ$4,0)))))</f>
        <v>-359</v>
      </c>
      <c r="Z10" s="6">
        <f>IF(ISNA(MATCH(Z$2,Inputs!$K$4:$AJ$4,0)),NA(),IF(SUMPRODUCT((Inputs!$A$5:$A$120=$B10)*ISNUMBER(INDEX(Inputs!$K$5:$AJ$120,0,MATCH(Z$2,Inputs!$K$4:$AJ$4,0))))+SUMPRODUCT((Inputs!$C$5:$C$120=$B10)*ISNUMBER(INDEX(Inputs!$K$5:$AJ$120,0,MATCH(Z$2,Inputs!$K$4:$AJ$4,0))))+SUMPRODUCT((Inputs!$E$5:$E$120=$B10)*ISNUMBER(INDEX(Inputs!$K$5:$AJ$120,0,MATCH(Z$2,Inputs!$K$4:$AJ$4,0))))=0,NA(),SUMPRODUCT((Inputs!$A$5:$A$120=$B10)*Inputs!$B$5:$B$120*(((Inputs!$G$5:$G$120="moeda")+(Inputs!$G$5:$G$120="acoes"))*Inputs!$B$1+((Inputs!$G$5:$G$120&lt;&gt;"moeda")*(Inputs!$G$5:$G$120&lt;&gt;"acoes")))*INDEX(Inputs!$K$5:$AJ$120,0,MATCH(Z$2,Inputs!$K$4:$AJ$4,0)))+SUMPRODUCT((Inputs!$C$5:$C$120=$B10)*Inputs!$D$5:$D$120*(((Inputs!$G$5:$G$120="moeda")+(Inputs!$G$5:$G$120="acoes"))*Inputs!$B$1+((Inputs!$G$5:$G$120&lt;&gt;"moeda")*(Inputs!$G$5:$G$120&lt;&gt;"acoes")))*INDEX(Inputs!$K$5:$AJ$120,0,MATCH(Z$2,Inputs!$K$4:$AJ$4,0)))+SUMPRODUCT((Inputs!$E$5:$E$120=$B10)*Inputs!$F$5:$F$120*(((Inputs!$G$5:$G$120="moeda")+(Inputs!$G$5:$G$120="acoes"))*Inputs!$B$1+((Inputs!$G$5:$G$120&lt;&gt;"moeda")*(Inputs!$G$5:$G$120&lt;&gt;"acoes")))*INDEX(Inputs!$K$5:$AJ$120,0,MATCH(Z$2,Inputs!$K$4:$AJ$4,0)))))</f>
        <v>-570</v>
      </c>
      <c r="AA10" s="6">
        <f>IF(ISNA(MATCH(AA$2,Inputs!$K$4:$AJ$4,0)),NA(),IF(SUMPRODUCT((Inputs!$A$5:$A$120=$B10)*ISNUMBER(INDEX(Inputs!$K$5:$AJ$120,0,MATCH(AA$2,Inputs!$K$4:$AJ$4,0))))+SUMPRODUCT((Inputs!$C$5:$C$120=$B10)*ISNUMBER(INDEX(Inputs!$K$5:$AJ$120,0,MATCH(AA$2,Inputs!$K$4:$AJ$4,0))))+SUMPRODUCT((Inputs!$E$5:$E$120=$B10)*ISNUMBER(INDEX(Inputs!$K$5:$AJ$120,0,MATCH(AA$2,Inputs!$K$4:$AJ$4,0))))=0,NA(),SUMPRODUCT((Inputs!$A$5:$A$120=$B10)*Inputs!$B$5:$B$120*(((Inputs!$G$5:$G$120="moeda")+(Inputs!$G$5:$G$120="acoes"))*Inputs!$B$1+((Inputs!$G$5:$G$120&lt;&gt;"moeda")*(Inputs!$G$5:$G$120&lt;&gt;"acoes")))*INDEX(Inputs!$K$5:$AJ$120,0,MATCH(AA$2,Inputs!$K$4:$AJ$4,0)))+SUMPRODUCT((Inputs!$C$5:$C$120=$B10)*Inputs!$D$5:$D$120*(((Inputs!$G$5:$G$120="moeda")+(Inputs!$G$5:$G$120="acoes"))*Inputs!$B$1+((Inputs!$G$5:$G$120&lt;&gt;"moeda")*(Inputs!$G$5:$G$120&lt;&gt;"acoes")))*INDEX(Inputs!$K$5:$AJ$120,0,MATCH(AA$2,Inputs!$K$4:$AJ$4,0)))+SUMPRODUCT((Inputs!$E$5:$E$120=$B10)*Inputs!$F$5:$F$120*(((Inputs!$G$5:$G$120="moeda")+(Inputs!$G$5:$G$120="acoes"))*Inputs!$B$1+((Inputs!$G$5:$G$120&lt;&gt;"moeda")*(Inputs!$G$5:$G$120&lt;&gt;"acoes")))*INDEX(Inputs!$K$5:$AJ$120,0,MATCH(AA$2,Inputs!$K$4:$AJ$4,0)))))</f>
        <v>-325</v>
      </c>
      <c r="AB10" s="3">
        <f>SUM(X10:AA10)</f>
        <v>-1423</v>
      </c>
      <c r="AC10" s="6">
        <f>IF(ISNA(MATCH(AC$2,Inputs!$K$4:$AJ$4,0)),NA(),IF(SUMPRODUCT((Inputs!$A$5:$A$120=$B10)*ISNUMBER(INDEX(Inputs!$K$5:$AJ$120,0,MATCH(AC$2,Inputs!$K$4:$AJ$4,0))))+SUMPRODUCT((Inputs!$C$5:$C$120=$B10)*ISNUMBER(INDEX(Inputs!$K$5:$AJ$120,0,MATCH(AC$2,Inputs!$K$4:$AJ$4,0))))+SUMPRODUCT((Inputs!$E$5:$E$120=$B10)*ISNUMBER(INDEX(Inputs!$K$5:$AJ$120,0,MATCH(AC$2,Inputs!$K$4:$AJ$4,0))))=0,NA(),SUMPRODUCT((Inputs!$A$5:$A$120=$B10)*Inputs!$B$5:$B$120*(((Inputs!$G$5:$G$120="moeda")+(Inputs!$G$5:$G$120="acoes"))*Inputs!$B$1+((Inputs!$G$5:$G$120&lt;&gt;"moeda")*(Inputs!$G$5:$G$120&lt;&gt;"acoes")))*INDEX(Inputs!$K$5:$AJ$120,0,MATCH(AC$2,Inputs!$K$4:$AJ$4,0)))+SUMPRODUCT((Inputs!$C$5:$C$120=$B10)*Inputs!$D$5:$D$120*(((Inputs!$G$5:$G$120="moeda")+(Inputs!$G$5:$G$120="acoes"))*Inputs!$B$1+((Inputs!$G$5:$G$120&lt;&gt;"moeda")*(Inputs!$G$5:$G$120&lt;&gt;"acoes")))*INDEX(Inputs!$K$5:$AJ$120,0,MATCH(AC$2,Inputs!$K$4:$AJ$4,0)))+SUMPRODUCT((Inputs!$E$5:$E$120=$B10)*Inputs!$F$5:$F$120*(((Inputs!$G$5:$G$120="moeda")+(Inputs!$G$5:$G$120="acoes"))*Inputs!$B$1+((Inputs!$G$5:$G$120&lt;&gt;"moeda")*(Inputs!$G$5:$G$120&lt;&gt;"acoes")))*INDEX(Inputs!$K$5:$AJ$120,0,MATCH(AC$2,Inputs!$K$4:$AJ$4,0)))))</f>
        <v>-257</v>
      </c>
      <c r="AD10" s="6">
        <f>IF(ISNA(MATCH(AD$2,Inputs!$K$4:$AJ$4,0)),NA(),IF(SUMPRODUCT((Inputs!$A$5:$A$120=$B10)*ISNUMBER(INDEX(Inputs!$K$5:$AJ$120,0,MATCH(AD$2,Inputs!$K$4:$AJ$4,0))))+SUMPRODUCT((Inputs!$C$5:$C$120=$B10)*ISNUMBER(INDEX(Inputs!$K$5:$AJ$120,0,MATCH(AD$2,Inputs!$K$4:$AJ$4,0))))+SUMPRODUCT((Inputs!$E$5:$E$120=$B10)*ISNUMBER(INDEX(Inputs!$K$5:$AJ$120,0,MATCH(AD$2,Inputs!$K$4:$AJ$4,0))))=0,NA(),SUMPRODUCT((Inputs!$A$5:$A$120=$B10)*Inputs!$B$5:$B$120*(((Inputs!$G$5:$G$120="moeda")+(Inputs!$G$5:$G$120="acoes"))*Inputs!$B$1+((Inputs!$G$5:$G$120&lt;&gt;"moeda")*(Inputs!$G$5:$G$120&lt;&gt;"acoes")))*INDEX(Inputs!$K$5:$AJ$120,0,MATCH(AD$2,Inputs!$K$4:$AJ$4,0)))+SUMPRODUCT((Inputs!$C$5:$C$120=$B10)*Inputs!$D$5:$D$120*(((Inputs!$G$5:$G$120="moeda")+(Inputs!$G$5:$G$120="acoes"))*Inputs!$B$1+((Inputs!$G$5:$G$120&lt;&gt;"moeda")*(Inputs!$G$5:$G$120&lt;&gt;"acoes")))*INDEX(Inputs!$K$5:$AJ$120,0,MATCH(AD$2,Inputs!$K$4:$AJ$4,0)))+SUMPRODUCT((Inputs!$E$5:$E$120=$B10)*Inputs!$F$5:$F$120*(((Inputs!$G$5:$G$120="moeda")+(Inputs!$G$5:$G$120="acoes"))*Inputs!$B$1+((Inputs!$G$5:$G$120&lt;&gt;"moeda")*(Inputs!$G$5:$G$120&lt;&gt;"acoes")))*INDEX(Inputs!$K$5:$AJ$120,0,MATCH(AD$2,Inputs!$K$4:$AJ$4,0)))))</f>
        <v>-201</v>
      </c>
      <c r="AE10" s="6" t="e">
        <f>IF(ISNA(MATCH(AE$2,Inputs!$K$4:$AJ$4,0)),NA(),IF(SUMPRODUCT((Inputs!$A$5:$A$120=$B10)*ISNUMBER(INDEX(Inputs!$K$5:$AJ$120,0,MATCH(AE$2,Inputs!$K$4:$AJ$4,0))))+SUMPRODUCT((Inputs!$C$5:$C$120=$B10)*ISNUMBER(INDEX(Inputs!$K$5:$AJ$120,0,MATCH(AE$2,Inputs!$K$4:$AJ$4,0))))+SUMPRODUCT((Inputs!$E$5:$E$120=$B10)*ISNUMBER(INDEX(Inputs!$K$5:$AJ$120,0,MATCH(AE$2,Inputs!$K$4:$AJ$4,0))))=0,NA(),SUMPRODUCT((Inputs!$A$5:$A$120=$B10)*Inputs!$B$5:$B$120*(((Inputs!$G$5:$G$120="moeda")+(Inputs!$G$5:$G$120="acoes"))*Inputs!$B$1+((Inputs!$G$5:$G$120&lt;&gt;"moeda")*(Inputs!$G$5:$G$120&lt;&gt;"acoes")))*INDEX(Inputs!$K$5:$AJ$120,0,MATCH(AE$2,Inputs!$K$4:$AJ$4,0)))+SUMPRODUCT((Inputs!$C$5:$C$120=$B10)*Inputs!$D$5:$D$120*(((Inputs!$G$5:$G$120="moeda")+(Inputs!$G$5:$G$120="acoes"))*Inputs!$B$1+((Inputs!$G$5:$G$120&lt;&gt;"moeda")*(Inputs!$G$5:$G$120&lt;&gt;"acoes")))*INDEX(Inputs!$K$5:$AJ$120,0,MATCH(AE$2,Inputs!$K$4:$AJ$4,0)))+SUMPRODUCT((Inputs!$E$5:$E$120=$B10)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10" s="6" t="e">
        <f>IF(ISNA(MATCH(AF$2,Inputs!$K$4:$AJ$4,0)),NA(),IF(SUMPRODUCT((Inputs!$A$5:$A$120=$B10)*ISNUMBER(INDEX(Inputs!$K$5:$AJ$120,0,MATCH(AF$2,Inputs!$K$4:$AJ$4,0))))+SUMPRODUCT((Inputs!$C$5:$C$120=$B10)*ISNUMBER(INDEX(Inputs!$K$5:$AJ$120,0,MATCH(AF$2,Inputs!$K$4:$AJ$4,0))))+SUMPRODUCT((Inputs!$E$5:$E$120=$B10)*ISNUMBER(INDEX(Inputs!$K$5:$AJ$120,0,MATCH(AF$2,Inputs!$K$4:$AJ$4,0))))=0,NA(),SUMPRODUCT((Inputs!$A$5:$A$120=$B10)*Inputs!$B$5:$B$120*(((Inputs!$G$5:$G$120="moeda")+(Inputs!$G$5:$G$120="acoes"))*Inputs!$B$1+((Inputs!$G$5:$G$120&lt;&gt;"moeda")*(Inputs!$G$5:$G$120&lt;&gt;"acoes")))*INDEX(Inputs!$K$5:$AJ$120,0,MATCH(AF$2,Inputs!$K$4:$AJ$4,0)))+SUMPRODUCT((Inputs!$C$5:$C$120=$B10)*Inputs!$D$5:$D$120*(((Inputs!$G$5:$G$120="moeda")+(Inputs!$G$5:$G$120="acoes"))*Inputs!$B$1+((Inputs!$G$5:$G$120&lt;&gt;"moeda")*(Inputs!$G$5:$G$120&lt;&gt;"acoes")))*INDEX(Inputs!$K$5:$AJ$120,0,MATCH(AF$2,Inputs!$K$4:$AJ$4,0)))+SUMPRODUCT((Inputs!$E$5:$E$120=$B10)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10" s="3" t="e">
        <f>SUM(AC10:AF10)</f>
        <v>#N/A</v>
      </c>
      <c r="AH10" s="6">
        <f>IF(ISNA(MATCH(AH$2,Inputs!$K$4:$AJ$4,0)),NA(),IF(SUMPRODUCT((Inputs!$A$5:$A$120=$B10)*ISNUMBER(INDEX(Inputs!$K$5:$AJ$120,0,MATCH(AH$2,Inputs!$K$4:$AJ$4,0))))+SUMPRODUCT((Inputs!$C$5:$C$120=$B10)*ISNUMBER(INDEX(Inputs!$K$5:$AJ$120,0,MATCH(AH$2,Inputs!$K$4:$AJ$4,0))))+SUMPRODUCT((Inputs!$E$5:$E$120=$B10)*ISNUMBER(INDEX(Inputs!$K$5:$AJ$120,0,MATCH(AH$2,Inputs!$K$4:$AJ$4,0))))=0,NA(),SUMPRODUCT((Inputs!$A$5:$A$120=$B10)*Inputs!$B$5:$B$120*(((Inputs!$G$5:$G$120="moeda")+(Inputs!$G$5:$G$120="acoes"))*Inputs!$B$1+((Inputs!$G$5:$G$120&lt;&gt;"moeda")*(Inputs!$G$5:$G$120&lt;&gt;"acoes")))*INDEX(Inputs!$K$5:$AJ$120,0,MATCH(AH$2,Inputs!$K$4:$AJ$4,0)))+SUMPRODUCT((Inputs!$C$5:$C$120=$B10)*Inputs!$D$5:$D$120*(((Inputs!$G$5:$G$120="moeda")+(Inputs!$G$5:$G$120="acoes"))*Inputs!$B$1+((Inputs!$G$5:$G$120&lt;&gt;"moeda")*(Inputs!$G$5:$G$120&lt;&gt;"acoes")))*INDEX(Inputs!$K$5:$AJ$120,0,MATCH(AH$2,Inputs!$K$4:$AJ$4,0)))+SUMPRODUCT((Inputs!$E$5:$E$120=$B10)*Inputs!$F$5:$F$120*(((Inputs!$G$5:$G$120="moeda")+(Inputs!$G$5:$G$120="acoes"))*Inputs!$B$1+((Inputs!$G$5:$G$120&lt;&gt;"moeda")*(Inputs!$G$5:$G$120&lt;&gt;"acoes")))*INDEX(Inputs!$K$5:$AJ$120,0,MATCH(AH$2,Inputs!$K$4:$AJ$4,0)))))</f>
        <v>-2</v>
      </c>
      <c r="AI10" s="6">
        <f>IF(ISNA(MATCH(AI$2,Inputs!$K$4:$AJ$4,0)),NA(),IF(SUMPRODUCT((Inputs!$A$5:$A$120=$B10)*ISNUMBER(INDEX(Inputs!$K$5:$AJ$120,0,MATCH(AI$2,Inputs!$K$4:$AJ$4,0))))+SUMPRODUCT((Inputs!$C$5:$C$120=$B10)*ISNUMBER(INDEX(Inputs!$K$5:$AJ$120,0,MATCH(AI$2,Inputs!$K$4:$AJ$4,0))))+SUMPRODUCT((Inputs!$E$5:$E$120=$B10)*ISNUMBER(INDEX(Inputs!$K$5:$AJ$120,0,MATCH(AI$2,Inputs!$K$4:$AJ$4,0))))=0,NA(),SUMPRODUCT((Inputs!$A$5:$A$120=$B10)*Inputs!$B$5:$B$120*(((Inputs!$G$5:$G$120="moeda")+(Inputs!$G$5:$G$120="acoes"))*Inputs!$B$1+((Inputs!$G$5:$G$120&lt;&gt;"moeda")*(Inputs!$G$5:$G$120&lt;&gt;"acoes")))*INDEX(Inputs!$K$5:$AJ$120,0,MATCH(AI$2,Inputs!$K$4:$AJ$4,0)))+SUMPRODUCT((Inputs!$C$5:$C$120=$B10)*Inputs!$D$5:$D$120*(((Inputs!$G$5:$G$120="moeda")+(Inputs!$G$5:$G$120="acoes"))*Inputs!$B$1+((Inputs!$G$5:$G$120&lt;&gt;"moeda")*(Inputs!$G$5:$G$120&lt;&gt;"acoes")))*INDEX(Inputs!$K$5:$AJ$120,0,MATCH(AI$2,Inputs!$K$4:$AJ$4,0)))+SUMPRODUCT((Inputs!$E$5:$E$120=$B10)*Inputs!$F$5:$F$120*(((Inputs!$G$5:$G$120="moeda")+(Inputs!$G$5:$G$120="acoes"))*Inputs!$B$1+((Inputs!$G$5:$G$120&lt;&gt;"moeda")*(Inputs!$G$5:$G$120&lt;&gt;"acoes")))*INDEX(Inputs!$K$5:$AJ$120,0,MATCH(AI$2,Inputs!$K$4:$AJ$4,0)))))</f>
        <v>-21</v>
      </c>
      <c r="AJ10" s="6">
        <f>IF(ISNA(MATCH(AJ$2,Inputs!$K$4:$AJ$4,0)),NA(),IF(SUMPRODUCT((Inputs!$A$5:$A$120=$B10)*ISNUMBER(INDEX(Inputs!$K$5:$AJ$120,0,MATCH(AJ$2,Inputs!$K$4:$AJ$4,0))))+SUMPRODUCT((Inputs!$C$5:$C$120=$B10)*ISNUMBER(INDEX(Inputs!$K$5:$AJ$120,0,MATCH(AJ$2,Inputs!$K$4:$AJ$4,0))))+SUMPRODUCT((Inputs!$E$5:$E$120=$B10)*ISNUMBER(INDEX(Inputs!$K$5:$AJ$120,0,MATCH(AJ$2,Inputs!$K$4:$AJ$4,0))))=0,NA(),SUMPRODUCT((Inputs!$A$5:$A$120=$B10)*Inputs!$B$5:$B$120*(((Inputs!$G$5:$G$120="moeda")+(Inputs!$G$5:$G$120="acoes"))*Inputs!$B$1+((Inputs!$G$5:$G$120&lt;&gt;"moeda")*(Inputs!$G$5:$G$120&lt;&gt;"acoes")))*INDEX(Inputs!$K$5:$AJ$120,0,MATCH(AJ$2,Inputs!$K$4:$AJ$4,0)))+SUMPRODUCT((Inputs!$C$5:$C$120=$B10)*Inputs!$D$5:$D$120*(((Inputs!$G$5:$G$120="moeda")+(Inputs!$G$5:$G$120="acoes"))*Inputs!$B$1+((Inputs!$G$5:$G$120&lt;&gt;"moeda")*(Inputs!$G$5:$G$120&lt;&gt;"acoes")))*INDEX(Inputs!$K$5:$AJ$120,0,MATCH(AJ$2,Inputs!$K$4:$AJ$4,0)))+SUMPRODUCT((Inputs!$E$5:$E$120=$B10)*Inputs!$F$5:$F$120*(((Inputs!$G$5:$G$120="moeda")+(Inputs!$G$5:$G$120="acoes"))*Inputs!$B$1+((Inputs!$G$5:$G$120&lt;&gt;"moeda")*(Inputs!$G$5:$G$120&lt;&gt;"acoes")))*INDEX(Inputs!$K$5:$AJ$120,0,MATCH(AJ$2,Inputs!$K$4:$AJ$4,0)))))</f>
        <v>-186</v>
      </c>
      <c r="AK10" s="6">
        <f>IF(ISNA(MATCH(AK$2,Inputs!$K$4:$AJ$4,0)),NA(),IF(SUMPRODUCT((Inputs!$A$5:$A$120=$B10)*ISNUMBER(INDEX(Inputs!$K$5:$AJ$120,0,MATCH(AK$2,Inputs!$K$4:$AJ$4,0))))+SUMPRODUCT((Inputs!$C$5:$C$120=$B10)*ISNUMBER(INDEX(Inputs!$K$5:$AJ$120,0,MATCH(AK$2,Inputs!$K$4:$AJ$4,0))))+SUMPRODUCT((Inputs!$E$5:$E$120=$B10)*ISNUMBER(INDEX(Inputs!$K$5:$AJ$120,0,MATCH(AK$2,Inputs!$K$4:$AJ$4,0))))=0,NA(),SUMPRODUCT((Inputs!$A$5:$A$120=$B10)*Inputs!$B$5:$B$120*(((Inputs!$G$5:$G$120="moeda")+(Inputs!$G$5:$G$120="acoes"))*Inputs!$B$1+((Inputs!$G$5:$G$120&lt;&gt;"moeda")*(Inputs!$G$5:$G$120&lt;&gt;"acoes")))*INDEX(Inputs!$K$5:$AJ$120,0,MATCH(AK$2,Inputs!$K$4:$AJ$4,0)))+SUMPRODUCT((Inputs!$C$5:$C$120=$B10)*Inputs!$D$5:$D$120*(((Inputs!$G$5:$G$120="moeda")+(Inputs!$G$5:$G$120="acoes"))*Inputs!$B$1+((Inputs!$G$5:$G$120&lt;&gt;"moeda")*(Inputs!$G$5:$G$120&lt;&gt;"acoes")))*INDEX(Inputs!$K$5:$AJ$120,0,MATCH(AK$2,Inputs!$K$4:$AJ$4,0)))+SUMPRODUCT((Inputs!$E$5:$E$120=$B10)*Inputs!$F$5:$F$120*(((Inputs!$G$5:$G$120="moeda")+(Inputs!$G$5:$G$120="acoes"))*Inputs!$B$1+((Inputs!$G$5:$G$120&lt;&gt;"moeda")*(Inputs!$G$5:$G$120&lt;&gt;"acoes")))*INDEX(Inputs!$K$5:$AJ$120,0,MATCH(AK$2,Inputs!$K$4:$AJ$4,0)))))</f>
        <v>-83</v>
      </c>
      <c r="AL10" s="3">
        <f>SUM(AH10:AK10)</f>
        <v>-292</v>
      </c>
    </row>
    <row r="11">
      <c r="B11" s="46" t="n">
        <v>8</v>
      </c>
      <c r="C11" s="26" t="inlineStr">
        <is>
          <t>Equity in Income of Affiliates, after tax (enter as +)</t>
        </is>
      </c>
      <c r="D11" s="6">
        <f>IF(ISNA(MATCH(D$2,Inputs!$K$4:$AJ$4,0)),NA(),IF(SUMPRODUCT((Inputs!$A$5:$A$120=$B11)*ISNUMBER(INDEX(Inputs!$K$5:$AJ$120,0,MATCH(D$2,Inputs!$K$4:$AJ$4,0))))+SUMPRODUCT((Inputs!$C$5:$C$120=$B11)*ISNUMBER(INDEX(Inputs!$K$5:$AJ$120,0,MATCH(D$2,Inputs!$K$4:$AJ$4,0))))+SUMPRODUCT((Inputs!$E$5:$E$120=$B11)*ISNUMBER(INDEX(Inputs!$K$5:$AJ$120,0,MATCH(D$2,Inputs!$K$4:$AJ$4,0))))=0,NA(),SUMPRODUCT((Inputs!$A$5:$A$120=$B11)*Inputs!$B$5:$B$120*(((Inputs!$G$5:$G$120="moeda")+(Inputs!$G$5:$G$120="acoes"))*Inputs!$B$1+((Inputs!$G$5:$G$120&lt;&gt;"moeda")*(Inputs!$G$5:$G$120&lt;&gt;"acoes")))*INDEX(Inputs!$K$5:$AJ$120,0,MATCH(D$2,Inputs!$K$4:$AJ$4,0)))+SUMPRODUCT((Inputs!$C$5:$C$120=$B11)*Inputs!$D$5:$D$120*(((Inputs!$G$5:$G$120="moeda")+(Inputs!$G$5:$G$120="acoes"))*Inputs!$B$1+((Inputs!$G$5:$G$120&lt;&gt;"moeda")*(Inputs!$G$5:$G$120&lt;&gt;"acoes")))*INDEX(Inputs!$K$5:$AJ$120,0,MATCH(D$2,Inputs!$K$4:$AJ$4,0)))+SUMPRODUCT((Inputs!$E$5:$E$120=$B11)*Inputs!$F$5:$F$120*(((Inputs!$G$5:$G$120="moeda")+(Inputs!$G$5:$G$120="acoes"))*Inputs!$B$1+((Inputs!$G$5:$G$120&lt;&gt;"moeda")*(Inputs!$G$5:$G$120&lt;&gt;"acoes")))*INDEX(Inputs!$K$5:$AJ$120,0,MATCH(D$2,Inputs!$K$4:$AJ$4,0)))))</f>
        <v>0</v>
      </c>
      <c r="E11" s="6">
        <f>IF(ISNA(MATCH(E$2,Inputs!$K$4:$AJ$4,0)),NA(),IF(SUMPRODUCT((Inputs!$A$5:$A$120=$B11)*ISNUMBER(INDEX(Inputs!$K$5:$AJ$120,0,MATCH(E$2,Inputs!$K$4:$AJ$4,0))))+SUMPRODUCT((Inputs!$C$5:$C$120=$B11)*ISNUMBER(INDEX(Inputs!$K$5:$AJ$120,0,MATCH(E$2,Inputs!$K$4:$AJ$4,0))))+SUMPRODUCT((Inputs!$E$5:$E$120=$B11)*ISNUMBER(INDEX(Inputs!$K$5:$AJ$120,0,MATCH(E$2,Inputs!$K$4:$AJ$4,0))))=0,NA(),SUMPRODUCT((Inputs!$A$5:$A$120=$B11)*Inputs!$B$5:$B$120*(((Inputs!$G$5:$G$120="moeda")+(Inputs!$G$5:$G$120="acoes"))*Inputs!$B$1+((Inputs!$G$5:$G$120&lt;&gt;"moeda")*(Inputs!$G$5:$G$120&lt;&gt;"acoes")))*INDEX(Inputs!$K$5:$AJ$120,0,MATCH(E$2,Inputs!$K$4:$AJ$4,0)))+SUMPRODUCT((Inputs!$C$5:$C$120=$B11)*Inputs!$D$5:$D$120*(((Inputs!$G$5:$G$120="moeda")+(Inputs!$G$5:$G$120="acoes"))*Inputs!$B$1+((Inputs!$G$5:$G$120&lt;&gt;"moeda")*(Inputs!$G$5:$G$120&lt;&gt;"acoes")))*INDEX(Inputs!$K$5:$AJ$120,0,MATCH(E$2,Inputs!$K$4:$AJ$4,0)))+SUMPRODUCT((Inputs!$E$5:$E$120=$B11)*Inputs!$F$5:$F$120*(((Inputs!$G$5:$G$120="moeda")+(Inputs!$G$5:$G$120="acoes"))*Inputs!$B$1+((Inputs!$G$5:$G$120&lt;&gt;"moeda")*(Inputs!$G$5:$G$120&lt;&gt;"acoes")))*INDEX(Inputs!$K$5:$AJ$120,0,MATCH(E$2,Inputs!$K$4:$AJ$4,0)))))</f>
        <v>0</v>
      </c>
      <c r="F11" s="6">
        <f>IF(ISNA(MATCH(F$2,Inputs!$K$4:$AJ$4,0)),NA(),IF(SUMPRODUCT((Inputs!$A$5:$A$120=$B11)*ISNUMBER(INDEX(Inputs!$K$5:$AJ$120,0,MATCH(F$2,Inputs!$K$4:$AJ$4,0))))+SUMPRODUCT((Inputs!$C$5:$C$120=$B11)*ISNUMBER(INDEX(Inputs!$K$5:$AJ$120,0,MATCH(F$2,Inputs!$K$4:$AJ$4,0))))+SUMPRODUCT((Inputs!$E$5:$E$120=$B11)*ISNUMBER(INDEX(Inputs!$K$5:$AJ$120,0,MATCH(F$2,Inputs!$K$4:$AJ$4,0))))=0,NA(),SUMPRODUCT((Inputs!$A$5:$A$120=$B11)*Inputs!$B$5:$B$120*(((Inputs!$G$5:$G$120="moeda")+(Inputs!$G$5:$G$120="acoes"))*Inputs!$B$1+((Inputs!$G$5:$G$120&lt;&gt;"moeda")*(Inputs!$G$5:$G$120&lt;&gt;"acoes")))*INDEX(Inputs!$K$5:$AJ$120,0,MATCH(F$2,Inputs!$K$4:$AJ$4,0)))+SUMPRODUCT((Inputs!$C$5:$C$120=$B11)*Inputs!$D$5:$D$120*(((Inputs!$G$5:$G$120="moeda")+(Inputs!$G$5:$G$120="acoes"))*Inputs!$B$1+((Inputs!$G$5:$G$120&lt;&gt;"moeda")*(Inputs!$G$5:$G$120&lt;&gt;"acoes")))*INDEX(Inputs!$K$5:$AJ$120,0,MATCH(F$2,Inputs!$K$4:$AJ$4,0)))+SUMPRODUCT((Inputs!$E$5:$E$120=$B11)*Inputs!$F$5:$F$120*(((Inputs!$G$5:$G$120="moeda")+(Inputs!$G$5:$G$120="acoes"))*Inputs!$B$1+((Inputs!$G$5:$G$120&lt;&gt;"moeda")*(Inputs!$G$5:$G$120&lt;&gt;"acoes")))*INDEX(Inputs!$K$5:$AJ$120,0,MATCH(F$2,Inputs!$K$4:$AJ$4,0)))))</f>
        <v>0</v>
      </c>
      <c r="G11" s="6">
        <f>IF(ISNA(MATCH(G$2,Inputs!$K$4:$AJ$4,0)),NA(),IF(SUMPRODUCT((Inputs!$A$5:$A$120=$B11)*ISNUMBER(INDEX(Inputs!$K$5:$AJ$120,0,MATCH(G$2,Inputs!$K$4:$AJ$4,0))))+SUMPRODUCT((Inputs!$C$5:$C$120=$B11)*ISNUMBER(INDEX(Inputs!$K$5:$AJ$120,0,MATCH(G$2,Inputs!$K$4:$AJ$4,0))))+SUMPRODUCT((Inputs!$E$5:$E$120=$B11)*ISNUMBER(INDEX(Inputs!$K$5:$AJ$120,0,MATCH(G$2,Inputs!$K$4:$AJ$4,0))))=0,NA(),SUMPRODUCT((Inputs!$A$5:$A$120=$B11)*Inputs!$B$5:$B$120*(((Inputs!$G$5:$G$120="moeda")+(Inputs!$G$5:$G$120="acoes"))*Inputs!$B$1+((Inputs!$G$5:$G$120&lt;&gt;"moeda")*(Inputs!$G$5:$G$120&lt;&gt;"acoes")))*INDEX(Inputs!$K$5:$AJ$120,0,MATCH(G$2,Inputs!$K$4:$AJ$4,0)))+SUMPRODUCT((Inputs!$C$5:$C$120=$B11)*Inputs!$D$5:$D$120*(((Inputs!$G$5:$G$120="moeda")+(Inputs!$G$5:$G$120="acoes"))*Inputs!$B$1+((Inputs!$G$5:$G$120&lt;&gt;"moeda")*(Inputs!$G$5:$G$120&lt;&gt;"acoes")))*INDEX(Inputs!$K$5:$AJ$120,0,MATCH(G$2,Inputs!$K$4:$AJ$4,0)))+SUMPRODUCT((Inputs!$E$5:$E$120=$B11)*Inputs!$F$5:$F$120*(((Inputs!$G$5:$G$120="moeda")+(Inputs!$G$5:$G$120="acoes"))*Inputs!$B$1+((Inputs!$G$5:$G$120&lt;&gt;"moeda")*(Inputs!$G$5:$G$120&lt;&gt;"acoes")))*INDEX(Inputs!$K$5:$AJ$120,0,MATCH(G$2,Inputs!$K$4:$AJ$4,0)))))</f>
        <v>0</v>
      </c>
      <c r="H11" s="3">
        <f>SUM(D11:G11)</f>
        <v>0</v>
      </c>
      <c r="I11" s="6">
        <f>IF(ISNA(MATCH(I$2,Inputs!$K$4:$AJ$4,0)),NA(),IF(SUMPRODUCT((Inputs!$A$5:$A$120=$B11)*ISNUMBER(INDEX(Inputs!$K$5:$AJ$120,0,MATCH(I$2,Inputs!$K$4:$AJ$4,0))))+SUMPRODUCT((Inputs!$C$5:$C$120=$B11)*ISNUMBER(INDEX(Inputs!$K$5:$AJ$120,0,MATCH(I$2,Inputs!$K$4:$AJ$4,0))))+SUMPRODUCT((Inputs!$E$5:$E$120=$B11)*ISNUMBER(INDEX(Inputs!$K$5:$AJ$120,0,MATCH(I$2,Inputs!$K$4:$AJ$4,0))))=0,NA(),SUMPRODUCT((Inputs!$A$5:$A$120=$B11)*Inputs!$B$5:$B$120*(((Inputs!$G$5:$G$120="moeda")+(Inputs!$G$5:$G$120="acoes"))*Inputs!$B$1+((Inputs!$G$5:$G$120&lt;&gt;"moeda")*(Inputs!$G$5:$G$120&lt;&gt;"acoes")))*INDEX(Inputs!$K$5:$AJ$120,0,MATCH(I$2,Inputs!$K$4:$AJ$4,0)))+SUMPRODUCT((Inputs!$C$5:$C$120=$B11)*Inputs!$D$5:$D$120*(((Inputs!$G$5:$G$120="moeda")+(Inputs!$G$5:$G$120="acoes"))*Inputs!$B$1+((Inputs!$G$5:$G$120&lt;&gt;"moeda")*(Inputs!$G$5:$G$120&lt;&gt;"acoes")))*INDEX(Inputs!$K$5:$AJ$120,0,MATCH(I$2,Inputs!$K$4:$AJ$4,0)))+SUMPRODUCT((Inputs!$E$5:$E$120=$B11)*Inputs!$F$5:$F$120*(((Inputs!$G$5:$G$120="moeda")+(Inputs!$G$5:$G$120="acoes"))*Inputs!$B$1+((Inputs!$G$5:$G$120&lt;&gt;"moeda")*(Inputs!$G$5:$G$120&lt;&gt;"acoes")))*INDEX(Inputs!$K$5:$AJ$120,0,MATCH(I$2,Inputs!$K$4:$AJ$4,0)))))</f>
        <v>0</v>
      </c>
      <c r="J11" s="6">
        <f>IF(ISNA(MATCH(J$2,Inputs!$K$4:$AJ$4,0)),NA(),IF(SUMPRODUCT((Inputs!$A$5:$A$120=$B11)*ISNUMBER(INDEX(Inputs!$K$5:$AJ$120,0,MATCH(J$2,Inputs!$K$4:$AJ$4,0))))+SUMPRODUCT((Inputs!$C$5:$C$120=$B11)*ISNUMBER(INDEX(Inputs!$K$5:$AJ$120,0,MATCH(J$2,Inputs!$K$4:$AJ$4,0))))+SUMPRODUCT((Inputs!$E$5:$E$120=$B11)*ISNUMBER(INDEX(Inputs!$K$5:$AJ$120,0,MATCH(J$2,Inputs!$K$4:$AJ$4,0))))=0,NA(),SUMPRODUCT((Inputs!$A$5:$A$120=$B11)*Inputs!$B$5:$B$120*(((Inputs!$G$5:$G$120="moeda")+(Inputs!$G$5:$G$120="acoes"))*Inputs!$B$1+((Inputs!$G$5:$G$120&lt;&gt;"moeda")*(Inputs!$G$5:$G$120&lt;&gt;"acoes")))*INDEX(Inputs!$K$5:$AJ$120,0,MATCH(J$2,Inputs!$K$4:$AJ$4,0)))+SUMPRODUCT((Inputs!$C$5:$C$120=$B11)*Inputs!$D$5:$D$120*(((Inputs!$G$5:$G$120="moeda")+(Inputs!$G$5:$G$120="acoes"))*Inputs!$B$1+((Inputs!$G$5:$G$120&lt;&gt;"moeda")*(Inputs!$G$5:$G$120&lt;&gt;"acoes")))*INDEX(Inputs!$K$5:$AJ$120,0,MATCH(J$2,Inputs!$K$4:$AJ$4,0)))+SUMPRODUCT((Inputs!$E$5:$E$120=$B11)*Inputs!$F$5:$F$120*(((Inputs!$G$5:$G$120="moeda")+(Inputs!$G$5:$G$120="acoes"))*Inputs!$B$1+((Inputs!$G$5:$G$120&lt;&gt;"moeda")*(Inputs!$G$5:$G$120&lt;&gt;"acoes")))*INDEX(Inputs!$K$5:$AJ$120,0,MATCH(J$2,Inputs!$K$4:$AJ$4,0)))))</f>
        <v>0</v>
      </c>
      <c r="K11" s="6">
        <f>IF(ISNA(MATCH(K$2,Inputs!$K$4:$AJ$4,0)),NA(),IF(SUMPRODUCT((Inputs!$A$5:$A$120=$B11)*ISNUMBER(INDEX(Inputs!$K$5:$AJ$120,0,MATCH(K$2,Inputs!$K$4:$AJ$4,0))))+SUMPRODUCT((Inputs!$C$5:$C$120=$B11)*ISNUMBER(INDEX(Inputs!$K$5:$AJ$120,0,MATCH(K$2,Inputs!$K$4:$AJ$4,0))))+SUMPRODUCT((Inputs!$E$5:$E$120=$B11)*ISNUMBER(INDEX(Inputs!$K$5:$AJ$120,0,MATCH(K$2,Inputs!$K$4:$AJ$4,0))))=0,NA(),SUMPRODUCT((Inputs!$A$5:$A$120=$B11)*Inputs!$B$5:$B$120*(((Inputs!$G$5:$G$120="moeda")+(Inputs!$G$5:$G$120="acoes"))*Inputs!$B$1+((Inputs!$G$5:$G$120&lt;&gt;"moeda")*(Inputs!$G$5:$G$120&lt;&gt;"acoes")))*INDEX(Inputs!$K$5:$AJ$120,0,MATCH(K$2,Inputs!$K$4:$AJ$4,0)))+SUMPRODUCT((Inputs!$C$5:$C$120=$B11)*Inputs!$D$5:$D$120*(((Inputs!$G$5:$G$120="moeda")+(Inputs!$G$5:$G$120="acoes"))*Inputs!$B$1+((Inputs!$G$5:$G$120&lt;&gt;"moeda")*(Inputs!$G$5:$G$120&lt;&gt;"acoes")))*INDEX(Inputs!$K$5:$AJ$120,0,MATCH(K$2,Inputs!$K$4:$AJ$4,0)))+SUMPRODUCT((Inputs!$E$5:$E$120=$B11)*Inputs!$F$5:$F$120*(((Inputs!$G$5:$G$120="moeda")+(Inputs!$G$5:$G$120="acoes"))*Inputs!$B$1+((Inputs!$G$5:$G$120&lt;&gt;"moeda")*(Inputs!$G$5:$G$120&lt;&gt;"acoes")))*INDEX(Inputs!$K$5:$AJ$120,0,MATCH(K$2,Inputs!$K$4:$AJ$4,0)))))</f>
        <v>0</v>
      </c>
      <c r="L11" s="6">
        <f>IF(ISNA(MATCH(L$2,Inputs!$K$4:$AJ$4,0)),NA(),IF(SUMPRODUCT((Inputs!$A$5:$A$120=$B11)*ISNUMBER(INDEX(Inputs!$K$5:$AJ$120,0,MATCH(L$2,Inputs!$K$4:$AJ$4,0))))+SUMPRODUCT((Inputs!$C$5:$C$120=$B11)*ISNUMBER(INDEX(Inputs!$K$5:$AJ$120,0,MATCH(L$2,Inputs!$K$4:$AJ$4,0))))+SUMPRODUCT((Inputs!$E$5:$E$120=$B11)*ISNUMBER(INDEX(Inputs!$K$5:$AJ$120,0,MATCH(L$2,Inputs!$K$4:$AJ$4,0))))=0,NA(),SUMPRODUCT((Inputs!$A$5:$A$120=$B11)*Inputs!$B$5:$B$120*(((Inputs!$G$5:$G$120="moeda")+(Inputs!$G$5:$G$120="acoes"))*Inputs!$B$1+((Inputs!$G$5:$G$120&lt;&gt;"moeda")*(Inputs!$G$5:$G$120&lt;&gt;"acoes")))*INDEX(Inputs!$K$5:$AJ$120,0,MATCH(L$2,Inputs!$K$4:$AJ$4,0)))+SUMPRODUCT((Inputs!$C$5:$C$120=$B11)*Inputs!$D$5:$D$120*(((Inputs!$G$5:$G$120="moeda")+(Inputs!$G$5:$G$120="acoes"))*Inputs!$B$1+((Inputs!$G$5:$G$120&lt;&gt;"moeda")*(Inputs!$G$5:$G$120&lt;&gt;"acoes")))*INDEX(Inputs!$K$5:$AJ$120,0,MATCH(L$2,Inputs!$K$4:$AJ$4,0)))+SUMPRODUCT((Inputs!$E$5:$E$120=$B11)*Inputs!$F$5:$F$120*(((Inputs!$G$5:$G$120="moeda")+(Inputs!$G$5:$G$120="acoes"))*Inputs!$B$1+((Inputs!$G$5:$G$120&lt;&gt;"moeda")*(Inputs!$G$5:$G$120&lt;&gt;"acoes")))*INDEX(Inputs!$K$5:$AJ$120,0,MATCH(L$2,Inputs!$K$4:$AJ$4,0)))))</f>
        <v>0</v>
      </c>
      <c r="M11" s="3">
        <f>SUM(I11:L11)</f>
        <v>0</v>
      </c>
      <c r="N11" s="6">
        <f>IF(ISNA(MATCH(N$2,Inputs!$K$4:$AJ$4,0)),NA(),IF(SUMPRODUCT((Inputs!$A$5:$A$120=$B11)*ISNUMBER(INDEX(Inputs!$K$5:$AJ$120,0,MATCH(N$2,Inputs!$K$4:$AJ$4,0))))+SUMPRODUCT((Inputs!$C$5:$C$120=$B11)*ISNUMBER(INDEX(Inputs!$K$5:$AJ$120,0,MATCH(N$2,Inputs!$K$4:$AJ$4,0))))+SUMPRODUCT((Inputs!$E$5:$E$120=$B11)*ISNUMBER(INDEX(Inputs!$K$5:$AJ$120,0,MATCH(N$2,Inputs!$K$4:$AJ$4,0))))=0,NA(),SUMPRODUCT((Inputs!$A$5:$A$120=$B11)*Inputs!$B$5:$B$120*(((Inputs!$G$5:$G$120="moeda")+(Inputs!$G$5:$G$120="acoes"))*Inputs!$B$1+((Inputs!$G$5:$G$120&lt;&gt;"moeda")*(Inputs!$G$5:$G$120&lt;&gt;"acoes")))*INDEX(Inputs!$K$5:$AJ$120,0,MATCH(N$2,Inputs!$K$4:$AJ$4,0)))+SUMPRODUCT((Inputs!$C$5:$C$120=$B11)*Inputs!$D$5:$D$120*(((Inputs!$G$5:$G$120="moeda")+(Inputs!$G$5:$G$120="acoes"))*Inputs!$B$1+((Inputs!$G$5:$G$120&lt;&gt;"moeda")*(Inputs!$G$5:$G$120&lt;&gt;"acoes")))*INDEX(Inputs!$K$5:$AJ$120,0,MATCH(N$2,Inputs!$K$4:$AJ$4,0)))+SUMPRODUCT((Inputs!$E$5:$E$120=$B11)*Inputs!$F$5:$F$120*(((Inputs!$G$5:$G$120="moeda")+(Inputs!$G$5:$G$120="acoes"))*Inputs!$B$1+((Inputs!$G$5:$G$120&lt;&gt;"moeda")*(Inputs!$G$5:$G$120&lt;&gt;"acoes")))*INDEX(Inputs!$K$5:$AJ$120,0,MATCH(N$2,Inputs!$K$4:$AJ$4,0)))))</f>
        <v>0</v>
      </c>
      <c r="O11" s="6">
        <f>IF(ISNA(MATCH(O$2,Inputs!$K$4:$AJ$4,0)),NA(),IF(SUMPRODUCT((Inputs!$A$5:$A$120=$B11)*ISNUMBER(INDEX(Inputs!$K$5:$AJ$120,0,MATCH(O$2,Inputs!$K$4:$AJ$4,0))))+SUMPRODUCT((Inputs!$C$5:$C$120=$B11)*ISNUMBER(INDEX(Inputs!$K$5:$AJ$120,0,MATCH(O$2,Inputs!$K$4:$AJ$4,0))))+SUMPRODUCT((Inputs!$E$5:$E$120=$B11)*ISNUMBER(INDEX(Inputs!$K$5:$AJ$120,0,MATCH(O$2,Inputs!$K$4:$AJ$4,0))))=0,NA(),SUMPRODUCT((Inputs!$A$5:$A$120=$B11)*Inputs!$B$5:$B$120*(((Inputs!$G$5:$G$120="moeda")+(Inputs!$G$5:$G$120="acoes"))*Inputs!$B$1+((Inputs!$G$5:$G$120&lt;&gt;"moeda")*(Inputs!$G$5:$G$120&lt;&gt;"acoes")))*INDEX(Inputs!$K$5:$AJ$120,0,MATCH(O$2,Inputs!$K$4:$AJ$4,0)))+SUMPRODUCT((Inputs!$C$5:$C$120=$B11)*Inputs!$D$5:$D$120*(((Inputs!$G$5:$G$120="moeda")+(Inputs!$G$5:$G$120="acoes"))*Inputs!$B$1+((Inputs!$G$5:$G$120&lt;&gt;"moeda")*(Inputs!$G$5:$G$120&lt;&gt;"acoes")))*INDEX(Inputs!$K$5:$AJ$120,0,MATCH(O$2,Inputs!$K$4:$AJ$4,0)))+SUMPRODUCT((Inputs!$E$5:$E$120=$B11)*Inputs!$F$5:$F$120*(((Inputs!$G$5:$G$120="moeda")+(Inputs!$G$5:$G$120="acoes"))*Inputs!$B$1+((Inputs!$G$5:$G$120&lt;&gt;"moeda")*(Inputs!$G$5:$G$120&lt;&gt;"acoes")))*INDEX(Inputs!$K$5:$AJ$120,0,MATCH(O$2,Inputs!$K$4:$AJ$4,0)))))</f>
        <v>0</v>
      </c>
      <c r="P11" s="6">
        <f>IF(ISNA(MATCH(P$2,Inputs!$K$4:$AJ$4,0)),NA(),IF(SUMPRODUCT((Inputs!$A$5:$A$120=$B11)*ISNUMBER(INDEX(Inputs!$K$5:$AJ$120,0,MATCH(P$2,Inputs!$K$4:$AJ$4,0))))+SUMPRODUCT((Inputs!$C$5:$C$120=$B11)*ISNUMBER(INDEX(Inputs!$K$5:$AJ$120,0,MATCH(P$2,Inputs!$K$4:$AJ$4,0))))+SUMPRODUCT((Inputs!$E$5:$E$120=$B11)*ISNUMBER(INDEX(Inputs!$K$5:$AJ$120,0,MATCH(P$2,Inputs!$K$4:$AJ$4,0))))=0,NA(),SUMPRODUCT((Inputs!$A$5:$A$120=$B11)*Inputs!$B$5:$B$120*(((Inputs!$G$5:$G$120="moeda")+(Inputs!$G$5:$G$120="acoes"))*Inputs!$B$1+((Inputs!$G$5:$G$120&lt;&gt;"moeda")*(Inputs!$G$5:$G$120&lt;&gt;"acoes")))*INDEX(Inputs!$K$5:$AJ$120,0,MATCH(P$2,Inputs!$K$4:$AJ$4,0)))+SUMPRODUCT((Inputs!$C$5:$C$120=$B11)*Inputs!$D$5:$D$120*(((Inputs!$G$5:$G$120="moeda")+(Inputs!$G$5:$G$120="acoes"))*Inputs!$B$1+((Inputs!$G$5:$G$120&lt;&gt;"moeda")*(Inputs!$G$5:$G$120&lt;&gt;"acoes")))*INDEX(Inputs!$K$5:$AJ$120,0,MATCH(P$2,Inputs!$K$4:$AJ$4,0)))+SUMPRODUCT((Inputs!$E$5:$E$120=$B11)*Inputs!$F$5:$F$120*(((Inputs!$G$5:$G$120="moeda")+(Inputs!$G$5:$G$120="acoes"))*Inputs!$B$1+((Inputs!$G$5:$G$120&lt;&gt;"moeda")*(Inputs!$G$5:$G$120&lt;&gt;"acoes")))*INDEX(Inputs!$K$5:$AJ$120,0,MATCH(P$2,Inputs!$K$4:$AJ$4,0)))))</f>
        <v>0</v>
      </c>
      <c r="Q11" s="6">
        <f>IF(ISNA(MATCH(Q$2,Inputs!$K$4:$AJ$4,0)),NA(),IF(SUMPRODUCT((Inputs!$A$5:$A$120=$B11)*ISNUMBER(INDEX(Inputs!$K$5:$AJ$120,0,MATCH(Q$2,Inputs!$K$4:$AJ$4,0))))+SUMPRODUCT((Inputs!$C$5:$C$120=$B11)*ISNUMBER(INDEX(Inputs!$K$5:$AJ$120,0,MATCH(Q$2,Inputs!$K$4:$AJ$4,0))))+SUMPRODUCT((Inputs!$E$5:$E$120=$B11)*ISNUMBER(INDEX(Inputs!$K$5:$AJ$120,0,MATCH(Q$2,Inputs!$K$4:$AJ$4,0))))=0,NA(),SUMPRODUCT((Inputs!$A$5:$A$120=$B11)*Inputs!$B$5:$B$120*(((Inputs!$G$5:$G$120="moeda")+(Inputs!$G$5:$G$120="acoes"))*Inputs!$B$1+((Inputs!$G$5:$G$120&lt;&gt;"moeda")*(Inputs!$G$5:$G$120&lt;&gt;"acoes")))*INDEX(Inputs!$K$5:$AJ$120,0,MATCH(Q$2,Inputs!$K$4:$AJ$4,0)))+SUMPRODUCT((Inputs!$C$5:$C$120=$B11)*Inputs!$D$5:$D$120*(((Inputs!$G$5:$G$120="moeda")+(Inputs!$G$5:$G$120="acoes"))*Inputs!$B$1+((Inputs!$G$5:$G$120&lt;&gt;"moeda")*(Inputs!$G$5:$G$120&lt;&gt;"acoes")))*INDEX(Inputs!$K$5:$AJ$120,0,MATCH(Q$2,Inputs!$K$4:$AJ$4,0)))+SUMPRODUCT((Inputs!$E$5:$E$120=$B11)*Inputs!$F$5:$F$120*(((Inputs!$G$5:$G$120="moeda")+(Inputs!$G$5:$G$120="acoes"))*Inputs!$B$1+((Inputs!$G$5:$G$120&lt;&gt;"moeda")*(Inputs!$G$5:$G$120&lt;&gt;"acoes")))*INDEX(Inputs!$K$5:$AJ$120,0,MATCH(Q$2,Inputs!$K$4:$AJ$4,0)))))</f>
        <v>0</v>
      </c>
      <c r="R11" s="3">
        <f>SUM(N11:Q11)</f>
        <v>0</v>
      </c>
      <c r="S11" s="6">
        <f>IF(ISNA(MATCH(S$2,Inputs!$K$4:$AJ$4,0)),NA(),IF(SUMPRODUCT((Inputs!$A$5:$A$120=$B11)*ISNUMBER(INDEX(Inputs!$K$5:$AJ$120,0,MATCH(S$2,Inputs!$K$4:$AJ$4,0))))+SUMPRODUCT((Inputs!$C$5:$C$120=$B11)*ISNUMBER(INDEX(Inputs!$K$5:$AJ$120,0,MATCH(S$2,Inputs!$K$4:$AJ$4,0))))+SUMPRODUCT((Inputs!$E$5:$E$120=$B11)*ISNUMBER(INDEX(Inputs!$K$5:$AJ$120,0,MATCH(S$2,Inputs!$K$4:$AJ$4,0))))=0,NA(),SUMPRODUCT((Inputs!$A$5:$A$120=$B11)*Inputs!$B$5:$B$120*(((Inputs!$G$5:$G$120="moeda")+(Inputs!$G$5:$G$120="acoes"))*Inputs!$B$1+((Inputs!$G$5:$G$120&lt;&gt;"moeda")*(Inputs!$G$5:$G$120&lt;&gt;"acoes")))*INDEX(Inputs!$K$5:$AJ$120,0,MATCH(S$2,Inputs!$K$4:$AJ$4,0)))+SUMPRODUCT((Inputs!$C$5:$C$120=$B11)*Inputs!$D$5:$D$120*(((Inputs!$G$5:$G$120="moeda")+(Inputs!$G$5:$G$120="acoes"))*Inputs!$B$1+((Inputs!$G$5:$G$120&lt;&gt;"moeda")*(Inputs!$G$5:$G$120&lt;&gt;"acoes")))*INDEX(Inputs!$K$5:$AJ$120,0,MATCH(S$2,Inputs!$K$4:$AJ$4,0)))+SUMPRODUCT((Inputs!$E$5:$E$120=$B11)*Inputs!$F$5:$F$120*(((Inputs!$G$5:$G$120="moeda")+(Inputs!$G$5:$G$120="acoes"))*Inputs!$B$1+((Inputs!$G$5:$G$120&lt;&gt;"moeda")*(Inputs!$G$5:$G$120&lt;&gt;"acoes")))*INDEX(Inputs!$K$5:$AJ$120,0,MATCH(S$2,Inputs!$K$4:$AJ$4,0)))))</f>
        <v>0</v>
      </c>
      <c r="T11" s="6">
        <f>IF(ISNA(MATCH(T$2,Inputs!$K$4:$AJ$4,0)),NA(),IF(SUMPRODUCT((Inputs!$A$5:$A$120=$B11)*ISNUMBER(INDEX(Inputs!$K$5:$AJ$120,0,MATCH(T$2,Inputs!$K$4:$AJ$4,0))))+SUMPRODUCT((Inputs!$C$5:$C$120=$B11)*ISNUMBER(INDEX(Inputs!$K$5:$AJ$120,0,MATCH(T$2,Inputs!$K$4:$AJ$4,0))))+SUMPRODUCT((Inputs!$E$5:$E$120=$B11)*ISNUMBER(INDEX(Inputs!$K$5:$AJ$120,0,MATCH(T$2,Inputs!$K$4:$AJ$4,0))))=0,NA(),SUMPRODUCT((Inputs!$A$5:$A$120=$B11)*Inputs!$B$5:$B$120*(((Inputs!$G$5:$G$120="moeda")+(Inputs!$G$5:$G$120="acoes"))*Inputs!$B$1+((Inputs!$G$5:$G$120&lt;&gt;"moeda")*(Inputs!$G$5:$G$120&lt;&gt;"acoes")))*INDEX(Inputs!$K$5:$AJ$120,0,MATCH(T$2,Inputs!$K$4:$AJ$4,0)))+SUMPRODUCT((Inputs!$C$5:$C$120=$B11)*Inputs!$D$5:$D$120*(((Inputs!$G$5:$G$120="moeda")+(Inputs!$G$5:$G$120="acoes"))*Inputs!$B$1+((Inputs!$G$5:$G$120&lt;&gt;"moeda")*(Inputs!$G$5:$G$120&lt;&gt;"acoes")))*INDEX(Inputs!$K$5:$AJ$120,0,MATCH(T$2,Inputs!$K$4:$AJ$4,0)))+SUMPRODUCT((Inputs!$E$5:$E$120=$B11)*Inputs!$F$5:$F$120*(((Inputs!$G$5:$G$120="moeda")+(Inputs!$G$5:$G$120="acoes"))*Inputs!$B$1+((Inputs!$G$5:$G$120&lt;&gt;"moeda")*(Inputs!$G$5:$G$120&lt;&gt;"acoes")))*INDEX(Inputs!$K$5:$AJ$120,0,MATCH(T$2,Inputs!$K$4:$AJ$4,0)))))</f>
        <v>0</v>
      </c>
      <c r="U11" s="6">
        <f>IF(ISNA(MATCH(U$2,Inputs!$K$4:$AJ$4,0)),NA(),IF(SUMPRODUCT((Inputs!$A$5:$A$120=$B11)*ISNUMBER(INDEX(Inputs!$K$5:$AJ$120,0,MATCH(U$2,Inputs!$K$4:$AJ$4,0))))+SUMPRODUCT((Inputs!$C$5:$C$120=$B11)*ISNUMBER(INDEX(Inputs!$K$5:$AJ$120,0,MATCH(U$2,Inputs!$K$4:$AJ$4,0))))+SUMPRODUCT((Inputs!$E$5:$E$120=$B11)*ISNUMBER(INDEX(Inputs!$K$5:$AJ$120,0,MATCH(U$2,Inputs!$K$4:$AJ$4,0))))=0,NA(),SUMPRODUCT((Inputs!$A$5:$A$120=$B11)*Inputs!$B$5:$B$120*(((Inputs!$G$5:$G$120="moeda")+(Inputs!$G$5:$G$120="acoes"))*Inputs!$B$1+((Inputs!$G$5:$G$120&lt;&gt;"moeda")*(Inputs!$G$5:$G$120&lt;&gt;"acoes")))*INDEX(Inputs!$K$5:$AJ$120,0,MATCH(U$2,Inputs!$K$4:$AJ$4,0)))+SUMPRODUCT((Inputs!$C$5:$C$120=$B11)*Inputs!$D$5:$D$120*(((Inputs!$G$5:$G$120="moeda")+(Inputs!$G$5:$G$120="acoes"))*Inputs!$B$1+((Inputs!$G$5:$G$120&lt;&gt;"moeda")*(Inputs!$G$5:$G$120&lt;&gt;"acoes")))*INDEX(Inputs!$K$5:$AJ$120,0,MATCH(U$2,Inputs!$K$4:$AJ$4,0)))+SUMPRODUCT((Inputs!$E$5:$E$120=$B11)*Inputs!$F$5:$F$120*(((Inputs!$G$5:$G$120="moeda")+(Inputs!$G$5:$G$120="acoes"))*Inputs!$B$1+((Inputs!$G$5:$G$120&lt;&gt;"moeda")*(Inputs!$G$5:$G$120&lt;&gt;"acoes")))*INDEX(Inputs!$K$5:$AJ$120,0,MATCH(U$2,Inputs!$K$4:$AJ$4,0)))))</f>
        <v>0</v>
      </c>
      <c r="V11" s="6">
        <f>IF(ISNA(MATCH(V$2,Inputs!$K$4:$AJ$4,0)),NA(),IF(SUMPRODUCT((Inputs!$A$5:$A$120=$B11)*ISNUMBER(INDEX(Inputs!$K$5:$AJ$120,0,MATCH(V$2,Inputs!$K$4:$AJ$4,0))))+SUMPRODUCT((Inputs!$C$5:$C$120=$B11)*ISNUMBER(INDEX(Inputs!$K$5:$AJ$120,0,MATCH(V$2,Inputs!$K$4:$AJ$4,0))))+SUMPRODUCT((Inputs!$E$5:$E$120=$B11)*ISNUMBER(INDEX(Inputs!$K$5:$AJ$120,0,MATCH(V$2,Inputs!$K$4:$AJ$4,0))))=0,NA(),SUMPRODUCT((Inputs!$A$5:$A$120=$B11)*Inputs!$B$5:$B$120*(((Inputs!$G$5:$G$120="moeda")+(Inputs!$G$5:$G$120="acoes"))*Inputs!$B$1+((Inputs!$G$5:$G$120&lt;&gt;"moeda")*(Inputs!$G$5:$G$120&lt;&gt;"acoes")))*INDEX(Inputs!$K$5:$AJ$120,0,MATCH(V$2,Inputs!$K$4:$AJ$4,0)))+SUMPRODUCT((Inputs!$C$5:$C$120=$B11)*Inputs!$D$5:$D$120*(((Inputs!$G$5:$G$120="moeda")+(Inputs!$G$5:$G$120="acoes"))*Inputs!$B$1+((Inputs!$G$5:$G$120&lt;&gt;"moeda")*(Inputs!$G$5:$G$120&lt;&gt;"acoes")))*INDEX(Inputs!$K$5:$AJ$120,0,MATCH(V$2,Inputs!$K$4:$AJ$4,0)))+SUMPRODUCT((Inputs!$E$5:$E$120=$B11)*Inputs!$F$5:$F$120*(((Inputs!$G$5:$G$120="moeda")+(Inputs!$G$5:$G$120="acoes"))*Inputs!$B$1+((Inputs!$G$5:$G$120&lt;&gt;"moeda")*(Inputs!$G$5:$G$120&lt;&gt;"acoes")))*INDEX(Inputs!$K$5:$AJ$120,0,MATCH(V$2,Inputs!$K$4:$AJ$4,0)))))</f>
        <v>0</v>
      </c>
      <c r="W11" s="3">
        <f>SUM(S11:V11)</f>
        <v>0</v>
      </c>
      <c r="X11" s="6">
        <f>IF(ISNA(MATCH(X$2,Inputs!$K$4:$AJ$4,0)),NA(),IF(SUMPRODUCT((Inputs!$A$5:$A$120=$B11)*ISNUMBER(INDEX(Inputs!$K$5:$AJ$120,0,MATCH(X$2,Inputs!$K$4:$AJ$4,0))))+SUMPRODUCT((Inputs!$C$5:$C$120=$B11)*ISNUMBER(INDEX(Inputs!$K$5:$AJ$120,0,MATCH(X$2,Inputs!$K$4:$AJ$4,0))))+SUMPRODUCT((Inputs!$E$5:$E$120=$B11)*ISNUMBER(INDEX(Inputs!$K$5:$AJ$120,0,MATCH(X$2,Inputs!$K$4:$AJ$4,0))))=0,NA(),SUMPRODUCT((Inputs!$A$5:$A$120=$B11)*Inputs!$B$5:$B$120*(((Inputs!$G$5:$G$120="moeda")+(Inputs!$G$5:$G$120="acoes"))*Inputs!$B$1+((Inputs!$G$5:$G$120&lt;&gt;"moeda")*(Inputs!$G$5:$G$120&lt;&gt;"acoes")))*INDEX(Inputs!$K$5:$AJ$120,0,MATCH(X$2,Inputs!$K$4:$AJ$4,0)))+SUMPRODUCT((Inputs!$C$5:$C$120=$B11)*Inputs!$D$5:$D$120*(((Inputs!$G$5:$G$120="moeda")+(Inputs!$G$5:$G$120="acoes"))*Inputs!$B$1+((Inputs!$G$5:$G$120&lt;&gt;"moeda")*(Inputs!$G$5:$G$120&lt;&gt;"acoes")))*INDEX(Inputs!$K$5:$AJ$120,0,MATCH(X$2,Inputs!$K$4:$AJ$4,0)))+SUMPRODUCT((Inputs!$E$5:$E$120=$B11)*Inputs!$F$5:$F$120*(((Inputs!$G$5:$G$120="moeda")+(Inputs!$G$5:$G$120="acoes"))*Inputs!$B$1+((Inputs!$G$5:$G$120&lt;&gt;"moeda")*(Inputs!$G$5:$G$120&lt;&gt;"acoes")))*INDEX(Inputs!$K$5:$AJ$120,0,MATCH(X$2,Inputs!$K$4:$AJ$4,0)))))</f>
        <v>0</v>
      </c>
      <c r="Y11" s="6">
        <f>IF(ISNA(MATCH(Y$2,Inputs!$K$4:$AJ$4,0)),NA(),IF(SUMPRODUCT((Inputs!$A$5:$A$120=$B11)*ISNUMBER(INDEX(Inputs!$K$5:$AJ$120,0,MATCH(Y$2,Inputs!$K$4:$AJ$4,0))))+SUMPRODUCT((Inputs!$C$5:$C$120=$B11)*ISNUMBER(INDEX(Inputs!$K$5:$AJ$120,0,MATCH(Y$2,Inputs!$K$4:$AJ$4,0))))+SUMPRODUCT((Inputs!$E$5:$E$120=$B11)*ISNUMBER(INDEX(Inputs!$K$5:$AJ$120,0,MATCH(Y$2,Inputs!$K$4:$AJ$4,0))))=0,NA(),SUMPRODUCT((Inputs!$A$5:$A$120=$B11)*Inputs!$B$5:$B$120*(((Inputs!$G$5:$G$120="moeda")+(Inputs!$G$5:$G$120="acoes"))*Inputs!$B$1+((Inputs!$G$5:$G$120&lt;&gt;"moeda")*(Inputs!$G$5:$G$120&lt;&gt;"acoes")))*INDEX(Inputs!$K$5:$AJ$120,0,MATCH(Y$2,Inputs!$K$4:$AJ$4,0)))+SUMPRODUCT((Inputs!$C$5:$C$120=$B11)*Inputs!$D$5:$D$120*(((Inputs!$G$5:$G$120="moeda")+(Inputs!$G$5:$G$120="acoes"))*Inputs!$B$1+((Inputs!$G$5:$G$120&lt;&gt;"moeda")*(Inputs!$G$5:$G$120&lt;&gt;"acoes")))*INDEX(Inputs!$K$5:$AJ$120,0,MATCH(Y$2,Inputs!$K$4:$AJ$4,0)))+SUMPRODUCT((Inputs!$E$5:$E$120=$B11)*Inputs!$F$5:$F$120*(((Inputs!$G$5:$G$120="moeda")+(Inputs!$G$5:$G$120="acoes"))*Inputs!$B$1+((Inputs!$G$5:$G$120&lt;&gt;"moeda")*(Inputs!$G$5:$G$120&lt;&gt;"acoes")))*INDEX(Inputs!$K$5:$AJ$120,0,MATCH(Y$2,Inputs!$K$4:$AJ$4,0)))))</f>
        <v>0</v>
      </c>
      <c r="Z11" s="6">
        <f>IF(ISNA(MATCH(Z$2,Inputs!$K$4:$AJ$4,0)),NA(),IF(SUMPRODUCT((Inputs!$A$5:$A$120=$B11)*ISNUMBER(INDEX(Inputs!$K$5:$AJ$120,0,MATCH(Z$2,Inputs!$K$4:$AJ$4,0))))+SUMPRODUCT((Inputs!$C$5:$C$120=$B11)*ISNUMBER(INDEX(Inputs!$K$5:$AJ$120,0,MATCH(Z$2,Inputs!$K$4:$AJ$4,0))))+SUMPRODUCT((Inputs!$E$5:$E$120=$B11)*ISNUMBER(INDEX(Inputs!$K$5:$AJ$120,0,MATCH(Z$2,Inputs!$K$4:$AJ$4,0))))=0,NA(),SUMPRODUCT((Inputs!$A$5:$A$120=$B11)*Inputs!$B$5:$B$120*(((Inputs!$G$5:$G$120="moeda")+(Inputs!$G$5:$G$120="acoes"))*Inputs!$B$1+((Inputs!$G$5:$G$120&lt;&gt;"moeda")*(Inputs!$G$5:$G$120&lt;&gt;"acoes")))*INDEX(Inputs!$K$5:$AJ$120,0,MATCH(Z$2,Inputs!$K$4:$AJ$4,0)))+SUMPRODUCT((Inputs!$C$5:$C$120=$B11)*Inputs!$D$5:$D$120*(((Inputs!$G$5:$G$120="moeda")+(Inputs!$G$5:$G$120="acoes"))*Inputs!$B$1+((Inputs!$G$5:$G$120&lt;&gt;"moeda")*(Inputs!$G$5:$G$120&lt;&gt;"acoes")))*INDEX(Inputs!$K$5:$AJ$120,0,MATCH(Z$2,Inputs!$K$4:$AJ$4,0)))+SUMPRODUCT((Inputs!$E$5:$E$120=$B11)*Inputs!$F$5:$F$120*(((Inputs!$G$5:$G$120="moeda")+(Inputs!$G$5:$G$120="acoes"))*Inputs!$B$1+((Inputs!$G$5:$G$120&lt;&gt;"moeda")*(Inputs!$G$5:$G$120&lt;&gt;"acoes")))*INDEX(Inputs!$K$5:$AJ$120,0,MATCH(Z$2,Inputs!$K$4:$AJ$4,0)))))</f>
        <v>0</v>
      </c>
      <c r="AA11" s="6">
        <f>IF(ISNA(MATCH(AA$2,Inputs!$K$4:$AJ$4,0)),NA(),IF(SUMPRODUCT((Inputs!$A$5:$A$120=$B11)*ISNUMBER(INDEX(Inputs!$K$5:$AJ$120,0,MATCH(AA$2,Inputs!$K$4:$AJ$4,0))))+SUMPRODUCT((Inputs!$C$5:$C$120=$B11)*ISNUMBER(INDEX(Inputs!$K$5:$AJ$120,0,MATCH(AA$2,Inputs!$K$4:$AJ$4,0))))+SUMPRODUCT((Inputs!$E$5:$E$120=$B11)*ISNUMBER(INDEX(Inputs!$K$5:$AJ$120,0,MATCH(AA$2,Inputs!$K$4:$AJ$4,0))))=0,NA(),SUMPRODUCT((Inputs!$A$5:$A$120=$B11)*Inputs!$B$5:$B$120*(((Inputs!$G$5:$G$120="moeda")+(Inputs!$G$5:$G$120="acoes"))*Inputs!$B$1+((Inputs!$G$5:$G$120&lt;&gt;"moeda")*(Inputs!$G$5:$G$120&lt;&gt;"acoes")))*INDEX(Inputs!$K$5:$AJ$120,0,MATCH(AA$2,Inputs!$K$4:$AJ$4,0)))+SUMPRODUCT((Inputs!$C$5:$C$120=$B11)*Inputs!$D$5:$D$120*(((Inputs!$G$5:$G$120="moeda")+(Inputs!$G$5:$G$120="acoes"))*Inputs!$B$1+((Inputs!$G$5:$G$120&lt;&gt;"moeda")*(Inputs!$G$5:$G$120&lt;&gt;"acoes")))*INDEX(Inputs!$K$5:$AJ$120,0,MATCH(AA$2,Inputs!$K$4:$AJ$4,0)))+SUMPRODUCT((Inputs!$E$5:$E$120=$B11)*Inputs!$F$5:$F$120*(((Inputs!$G$5:$G$120="moeda")+(Inputs!$G$5:$G$120="acoes"))*Inputs!$B$1+((Inputs!$G$5:$G$120&lt;&gt;"moeda")*(Inputs!$G$5:$G$120&lt;&gt;"acoes")))*INDEX(Inputs!$K$5:$AJ$120,0,MATCH(AA$2,Inputs!$K$4:$AJ$4,0)))))</f>
        <v>0</v>
      </c>
      <c r="AB11" s="3">
        <f>SUM(X11:AA11)</f>
        <v>0</v>
      </c>
      <c r="AC11" s="6">
        <f>IF(ISNA(MATCH(AC$2,Inputs!$K$4:$AJ$4,0)),NA(),IF(SUMPRODUCT((Inputs!$A$5:$A$120=$B11)*ISNUMBER(INDEX(Inputs!$K$5:$AJ$120,0,MATCH(AC$2,Inputs!$K$4:$AJ$4,0))))+SUMPRODUCT((Inputs!$C$5:$C$120=$B11)*ISNUMBER(INDEX(Inputs!$K$5:$AJ$120,0,MATCH(AC$2,Inputs!$K$4:$AJ$4,0))))+SUMPRODUCT((Inputs!$E$5:$E$120=$B11)*ISNUMBER(INDEX(Inputs!$K$5:$AJ$120,0,MATCH(AC$2,Inputs!$K$4:$AJ$4,0))))=0,NA(),SUMPRODUCT((Inputs!$A$5:$A$120=$B11)*Inputs!$B$5:$B$120*(((Inputs!$G$5:$G$120="moeda")+(Inputs!$G$5:$G$120="acoes"))*Inputs!$B$1+((Inputs!$G$5:$G$120&lt;&gt;"moeda")*(Inputs!$G$5:$G$120&lt;&gt;"acoes")))*INDEX(Inputs!$K$5:$AJ$120,0,MATCH(AC$2,Inputs!$K$4:$AJ$4,0)))+SUMPRODUCT((Inputs!$C$5:$C$120=$B11)*Inputs!$D$5:$D$120*(((Inputs!$G$5:$G$120="moeda")+(Inputs!$G$5:$G$120="acoes"))*Inputs!$B$1+((Inputs!$G$5:$G$120&lt;&gt;"moeda")*(Inputs!$G$5:$G$120&lt;&gt;"acoes")))*INDEX(Inputs!$K$5:$AJ$120,0,MATCH(AC$2,Inputs!$K$4:$AJ$4,0)))+SUMPRODUCT((Inputs!$E$5:$E$120=$B11)*Inputs!$F$5:$F$120*(((Inputs!$G$5:$G$120="moeda")+(Inputs!$G$5:$G$120="acoes"))*Inputs!$B$1+((Inputs!$G$5:$G$120&lt;&gt;"moeda")*(Inputs!$G$5:$G$120&lt;&gt;"acoes")))*INDEX(Inputs!$K$5:$AJ$120,0,MATCH(AC$2,Inputs!$K$4:$AJ$4,0)))))</f>
        <v>0</v>
      </c>
      <c r="AD11" s="6">
        <f>IF(ISNA(MATCH(AD$2,Inputs!$K$4:$AJ$4,0)),NA(),IF(SUMPRODUCT((Inputs!$A$5:$A$120=$B11)*ISNUMBER(INDEX(Inputs!$K$5:$AJ$120,0,MATCH(AD$2,Inputs!$K$4:$AJ$4,0))))+SUMPRODUCT((Inputs!$C$5:$C$120=$B11)*ISNUMBER(INDEX(Inputs!$K$5:$AJ$120,0,MATCH(AD$2,Inputs!$K$4:$AJ$4,0))))+SUMPRODUCT((Inputs!$E$5:$E$120=$B11)*ISNUMBER(INDEX(Inputs!$K$5:$AJ$120,0,MATCH(AD$2,Inputs!$K$4:$AJ$4,0))))=0,NA(),SUMPRODUCT((Inputs!$A$5:$A$120=$B11)*Inputs!$B$5:$B$120*(((Inputs!$G$5:$G$120="moeda")+(Inputs!$G$5:$G$120="acoes"))*Inputs!$B$1+((Inputs!$G$5:$G$120&lt;&gt;"moeda")*(Inputs!$G$5:$G$120&lt;&gt;"acoes")))*INDEX(Inputs!$K$5:$AJ$120,0,MATCH(AD$2,Inputs!$K$4:$AJ$4,0)))+SUMPRODUCT((Inputs!$C$5:$C$120=$B11)*Inputs!$D$5:$D$120*(((Inputs!$G$5:$G$120="moeda")+(Inputs!$G$5:$G$120="acoes"))*Inputs!$B$1+((Inputs!$G$5:$G$120&lt;&gt;"moeda")*(Inputs!$G$5:$G$120&lt;&gt;"acoes")))*INDEX(Inputs!$K$5:$AJ$120,0,MATCH(AD$2,Inputs!$K$4:$AJ$4,0)))+SUMPRODUCT((Inputs!$E$5:$E$120=$B11)*Inputs!$F$5:$F$120*(((Inputs!$G$5:$G$120="moeda")+(Inputs!$G$5:$G$120="acoes"))*Inputs!$B$1+((Inputs!$G$5:$G$120&lt;&gt;"moeda")*(Inputs!$G$5:$G$120&lt;&gt;"acoes")))*INDEX(Inputs!$K$5:$AJ$120,0,MATCH(AD$2,Inputs!$K$4:$AJ$4,0)))))</f>
        <v>0</v>
      </c>
      <c r="AE11" s="6" t="e">
        <f>IF(ISNA(MATCH(AE$2,Inputs!$K$4:$AJ$4,0)),NA(),IF(SUMPRODUCT((Inputs!$A$5:$A$120=$B11)*ISNUMBER(INDEX(Inputs!$K$5:$AJ$120,0,MATCH(AE$2,Inputs!$K$4:$AJ$4,0))))+SUMPRODUCT((Inputs!$C$5:$C$120=$B11)*ISNUMBER(INDEX(Inputs!$K$5:$AJ$120,0,MATCH(AE$2,Inputs!$K$4:$AJ$4,0))))+SUMPRODUCT((Inputs!$E$5:$E$120=$B11)*ISNUMBER(INDEX(Inputs!$K$5:$AJ$120,0,MATCH(AE$2,Inputs!$K$4:$AJ$4,0))))=0,NA(),SUMPRODUCT((Inputs!$A$5:$A$120=$B11)*Inputs!$B$5:$B$120*(((Inputs!$G$5:$G$120="moeda")+(Inputs!$G$5:$G$120="acoes"))*Inputs!$B$1+((Inputs!$G$5:$G$120&lt;&gt;"moeda")*(Inputs!$G$5:$G$120&lt;&gt;"acoes")))*INDEX(Inputs!$K$5:$AJ$120,0,MATCH(AE$2,Inputs!$K$4:$AJ$4,0)))+SUMPRODUCT((Inputs!$C$5:$C$120=$B11)*Inputs!$D$5:$D$120*(((Inputs!$G$5:$G$120="moeda")+(Inputs!$G$5:$G$120="acoes"))*Inputs!$B$1+((Inputs!$G$5:$G$120&lt;&gt;"moeda")*(Inputs!$G$5:$G$120&lt;&gt;"acoes")))*INDEX(Inputs!$K$5:$AJ$120,0,MATCH(AE$2,Inputs!$K$4:$AJ$4,0)))+SUMPRODUCT((Inputs!$E$5:$E$120=$B11)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11" s="6" t="e">
        <f>IF(ISNA(MATCH(AF$2,Inputs!$K$4:$AJ$4,0)),NA(),IF(SUMPRODUCT((Inputs!$A$5:$A$120=$B11)*ISNUMBER(INDEX(Inputs!$K$5:$AJ$120,0,MATCH(AF$2,Inputs!$K$4:$AJ$4,0))))+SUMPRODUCT((Inputs!$C$5:$C$120=$B11)*ISNUMBER(INDEX(Inputs!$K$5:$AJ$120,0,MATCH(AF$2,Inputs!$K$4:$AJ$4,0))))+SUMPRODUCT((Inputs!$E$5:$E$120=$B11)*ISNUMBER(INDEX(Inputs!$K$5:$AJ$120,0,MATCH(AF$2,Inputs!$K$4:$AJ$4,0))))=0,NA(),SUMPRODUCT((Inputs!$A$5:$A$120=$B11)*Inputs!$B$5:$B$120*(((Inputs!$G$5:$G$120="moeda")+(Inputs!$G$5:$G$120="acoes"))*Inputs!$B$1+((Inputs!$G$5:$G$120&lt;&gt;"moeda")*(Inputs!$G$5:$G$120&lt;&gt;"acoes")))*INDEX(Inputs!$K$5:$AJ$120,0,MATCH(AF$2,Inputs!$K$4:$AJ$4,0)))+SUMPRODUCT((Inputs!$C$5:$C$120=$B11)*Inputs!$D$5:$D$120*(((Inputs!$G$5:$G$120="moeda")+(Inputs!$G$5:$G$120="acoes"))*Inputs!$B$1+((Inputs!$G$5:$G$120&lt;&gt;"moeda")*(Inputs!$G$5:$G$120&lt;&gt;"acoes")))*INDEX(Inputs!$K$5:$AJ$120,0,MATCH(AF$2,Inputs!$K$4:$AJ$4,0)))+SUMPRODUCT((Inputs!$E$5:$E$120=$B11)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11" s="3" t="e">
        <f>SUM(AC11:AF11)</f>
        <v>#N/A</v>
      </c>
      <c r="AH11" s="6">
        <f>IF(ISNA(MATCH(AH$2,Inputs!$K$4:$AJ$4,0)),NA(),IF(SUMPRODUCT((Inputs!$A$5:$A$120=$B11)*ISNUMBER(INDEX(Inputs!$K$5:$AJ$120,0,MATCH(AH$2,Inputs!$K$4:$AJ$4,0))))+SUMPRODUCT((Inputs!$C$5:$C$120=$B11)*ISNUMBER(INDEX(Inputs!$K$5:$AJ$120,0,MATCH(AH$2,Inputs!$K$4:$AJ$4,0))))+SUMPRODUCT((Inputs!$E$5:$E$120=$B11)*ISNUMBER(INDEX(Inputs!$K$5:$AJ$120,0,MATCH(AH$2,Inputs!$K$4:$AJ$4,0))))=0,NA(),SUMPRODUCT((Inputs!$A$5:$A$120=$B11)*Inputs!$B$5:$B$120*(((Inputs!$G$5:$G$120="moeda")+(Inputs!$G$5:$G$120="acoes"))*Inputs!$B$1+((Inputs!$G$5:$G$120&lt;&gt;"moeda")*(Inputs!$G$5:$G$120&lt;&gt;"acoes")))*INDEX(Inputs!$K$5:$AJ$120,0,MATCH(AH$2,Inputs!$K$4:$AJ$4,0)))+SUMPRODUCT((Inputs!$C$5:$C$120=$B11)*Inputs!$D$5:$D$120*(((Inputs!$G$5:$G$120="moeda")+(Inputs!$G$5:$G$120="acoes"))*Inputs!$B$1+((Inputs!$G$5:$G$120&lt;&gt;"moeda")*(Inputs!$G$5:$G$120&lt;&gt;"acoes")))*INDEX(Inputs!$K$5:$AJ$120,0,MATCH(AH$2,Inputs!$K$4:$AJ$4,0)))+SUMPRODUCT((Inputs!$E$5:$E$120=$B11)*Inputs!$F$5:$F$120*(((Inputs!$G$5:$G$120="moeda")+(Inputs!$G$5:$G$120="acoes"))*Inputs!$B$1+((Inputs!$G$5:$G$120&lt;&gt;"moeda")*(Inputs!$G$5:$G$120&lt;&gt;"acoes")))*INDEX(Inputs!$K$5:$AJ$120,0,MATCH(AH$2,Inputs!$K$4:$AJ$4,0)))))</f>
        <v>0</v>
      </c>
      <c r="AI11" s="6">
        <f>IF(ISNA(MATCH(AI$2,Inputs!$K$4:$AJ$4,0)),NA(),IF(SUMPRODUCT((Inputs!$A$5:$A$120=$B11)*ISNUMBER(INDEX(Inputs!$K$5:$AJ$120,0,MATCH(AI$2,Inputs!$K$4:$AJ$4,0))))+SUMPRODUCT((Inputs!$C$5:$C$120=$B11)*ISNUMBER(INDEX(Inputs!$K$5:$AJ$120,0,MATCH(AI$2,Inputs!$K$4:$AJ$4,0))))+SUMPRODUCT((Inputs!$E$5:$E$120=$B11)*ISNUMBER(INDEX(Inputs!$K$5:$AJ$120,0,MATCH(AI$2,Inputs!$K$4:$AJ$4,0))))=0,NA(),SUMPRODUCT((Inputs!$A$5:$A$120=$B11)*Inputs!$B$5:$B$120*(((Inputs!$G$5:$G$120="moeda")+(Inputs!$G$5:$G$120="acoes"))*Inputs!$B$1+((Inputs!$G$5:$G$120&lt;&gt;"moeda")*(Inputs!$G$5:$G$120&lt;&gt;"acoes")))*INDEX(Inputs!$K$5:$AJ$120,0,MATCH(AI$2,Inputs!$K$4:$AJ$4,0)))+SUMPRODUCT((Inputs!$C$5:$C$120=$B11)*Inputs!$D$5:$D$120*(((Inputs!$G$5:$G$120="moeda")+(Inputs!$G$5:$G$120="acoes"))*Inputs!$B$1+((Inputs!$G$5:$G$120&lt;&gt;"moeda")*(Inputs!$G$5:$G$120&lt;&gt;"acoes")))*INDEX(Inputs!$K$5:$AJ$120,0,MATCH(AI$2,Inputs!$K$4:$AJ$4,0)))+SUMPRODUCT((Inputs!$E$5:$E$120=$B11)*Inputs!$F$5:$F$120*(((Inputs!$G$5:$G$120="moeda")+(Inputs!$G$5:$G$120="acoes"))*Inputs!$B$1+((Inputs!$G$5:$G$120&lt;&gt;"moeda")*(Inputs!$G$5:$G$120&lt;&gt;"acoes")))*INDEX(Inputs!$K$5:$AJ$120,0,MATCH(AI$2,Inputs!$K$4:$AJ$4,0)))))</f>
        <v>0</v>
      </c>
      <c r="AJ11" s="6">
        <f>IF(ISNA(MATCH(AJ$2,Inputs!$K$4:$AJ$4,0)),NA(),IF(SUMPRODUCT((Inputs!$A$5:$A$120=$B11)*ISNUMBER(INDEX(Inputs!$K$5:$AJ$120,0,MATCH(AJ$2,Inputs!$K$4:$AJ$4,0))))+SUMPRODUCT((Inputs!$C$5:$C$120=$B11)*ISNUMBER(INDEX(Inputs!$K$5:$AJ$120,0,MATCH(AJ$2,Inputs!$K$4:$AJ$4,0))))+SUMPRODUCT((Inputs!$E$5:$E$120=$B11)*ISNUMBER(INDEX(Inputs!$K$5:$AJ$120,0,MATCH(AJ$2,Inputs!$K$4:$AJ$4,0))))=0,NA(),SUMPRODUCT((Inputs!$A$5:$A$120=$B11)*Inputs!$B$5:$B$120*(((Inputs!$G$5:$G$120="moeda")+(Inputs!$G$5:$G$120="acoes"))*Inputs!$B$1+((Inputs!$G$5:$G$120&lt;&gt;"moeda")*(Inputs!$G$5:$G$120&lt;&gt;"acoes")))*INDEX(Inputs!$K$5:$AJ$120,0,MATCH(AJ$2,Inputs!$K$4:$AJ$4,0)))+SUMPRODUCT((Inputs!$C$5:$C$120=$B11)*Inputs!$D$5:$D$120*(((Inputs!$G$5:$G$120="moeda")+(Inputs!$G$5:$G$120="acoes"))*Inputs!$B$1+((Inputs!$G$5:$G$120&lt;&gt;"moeda")*(Inputs!$G$5:$G$120&lt;&gt;"acoes")))*INDEX(Inputs!$K$5:$AJ$120,0,MATCH(AJ$2,Inputs!$K$4:$AJ$4,0)))+SUMPRODUCT((Inputs!$E$5:$E$120=$B11)*Inputs!$F$5:$F$120*(((Inputs!$G$5:$G$120="moeda")+(Inputs!$G$5:$G$120="acoes"))*Inputs!$B$1+((Inputs!$G$5:$G$120&lt;&gt;"moeda")*(Inputs!$G$5:$G$120&lt;&gt;"acoes")))*INDEX(Inputs!$K$5:$AJ$120,0,MATCH(AJ$2,Inputs!$K$4:$AJ$4,0)))))</f>
        <v>0</v>
      </c>
      <c r="AK11" s="6">
        <f>IF(ISNA(MATCH(AK$2,Inputs!$K$4:$AJ$4,0)),NA(),IF(SUMPRODUCT((Inputs!$A$5:$A$120=$B11)*ISNUMBER(INDEX(Inputs!$K$5:$AJ$120,0,MATCH(AK$2,Inputs!$K$4:$AJ$4,0))))+SUMPRODUCT((Inputs!$C$5:$C$120=$B11)*ISNUMBER(INDEX(Inputs!$K$5:$AJ$120,0,MATCH(AK$2,Inputs!$K$4:$AJ$4,0))))+SUMPRODUCT((Inputs!$E$5:$E$120=$B11)*ISNUMBER(INDEX(Inputs!$K$5:$AJ$120,0,MATCH(AK$2,Inputs!$K$4:$AJ$4,0))))=0,NA(),SUMPRODUCT((Inputs!$A$5:$A$120=$B11)*Inputs!$B$5:$B$120*(((Inputs!$G$5:$G$120="moeda")+(Inputs!$G$5:$G$120="acoes"))*Inputs!$B$1+((Inputs!$G$5:$G$120&lt;&gt;"moeda")*(Inputs!$G$5:$G$120&lt;&gt;"acoes")))*INDEX(Inputs!$K$5:$AJ$120,0,MATCH(AK$2,Inputs!$K$4:$AJ$4,0)))+SUMPRODUCT((Inputs!$C$5:$C$120=$B11)*Inputs!$D$5:$D$120*(((Inputs!$G$5:$G$120="moeda")+(Inputs!$G$5:$G$120="acoes"))*Inputs!$B$1+((Inputs!$G$5:$G$120&lt;&gt;"moeda")*(Inputs!$G$5:$G$120&lt;&gt;"acoes")))*INDEX(Inputs!$K$5:$AJ$120,0,MATCH(AK$2,Inputs!$K$4:$AJ$4,0)))+SUMPRODUCT((Inputs!$E$5:$E$120=$B11)*Inputs!$F$5:$F$120*(((Inputs!$G$5:$G$120="moeda")+(Inputs!$G$5:$G$120="acoes"))*Inputs!$B$1+((Inputs!$G$5:$G$120&lt;&gt;"moeda")*(Inputs!$G$5:$G$120&lt;&gt;"acoes")))*INDEX(Inputs!$K$5:$AJ$120,0,MATCH(AK$2,Inputs!$K$4:$AJ$4,0)))))</f>
        <v>0</v>
      </c>
      <c r="AL11" s="3">
        <f>SUM(AH11:AK11)</f>
        <v>0</v>
      </c>
    </row>
    <row r="12">
      <c r="B12" s="46" t="n">
        <v>9</v>
      </c>
      <c r="C12" s="26" t="inlineStr">
        <is>
          <t>Minority Interest Expense, after tax (enter as - )</t>
        </is>
      </c>
      <c r="D12" s="6">
        <f>IF(ISNA(MATCH(D$2,Inputs!$K$4:$AJ$4,0)),NA(),IF(SUMPRODUCT((Inputs!$A$5:$A$120=$B12)*ISNUMBER(INDEX(Inputs!$K$5:$AJ$120,0,MATCH(D$2,Inputs!$K$4:$AJ$4,0))))+SUMPRODUCT((Inputs!$C$5:$C$120=$B12)*ISNUMBER(INDEX(Inputs!$K$5:$AJ$120,0,MATCH(D$2,Inputs!$K$4:$AJ$4,0))))+SUMPRODUCT((Inputs!$E$5:$E$120=$B12)*ISNUMBER(INDEX(Inputs!$K$5:$AJ$120,0,MATCH(D$2,Inputs!$K$4:$AJ$4,0))))=0,NA(),SUMPRODUCT((Inputs!$A$5:$A$120=$B12)*Inputs!$B$5:$B$120*(((Inputs!$G$5:$G$120="moeda")+(Inputs!$G$5:$G$120="acoes"))*Inputs!$B$1+((Inputs!$G$5:$G$120&lt;&gt;"moeda")*(Inputs!$G$5:$G$120&lt;&gt;"acoes")))*INDEX(Inputs!$K$5:$AJ$120,0,MATCH(D$2,Inputs!$K$4:$AJ$4,0)))+SUMPRODUCT((Inputs!$C$5:$C$120=$B12)*Inputs!$D$5:$D$120*(((Inputs!$G$5:$G$120="moeda")+(Inputs!$G$5:$G$120="acoes"))*Inputs!$B$1+((Inputs!$G$5:$G$120&lt;&gt;"moeda")*(Inputs!$G$5:$G$120&lt;&gt;"acoes")))*INDEX(Inputs!$K$5:$AJ$120,0,MATCH(D$2,Inputs!$K$4:$AJ$4,0)))+SUMPRODUCT((Inputs!$E$5:$E$120=$B12)*Inputs!$F$5:$F$120*(((Inputs!$G$5:$G$120="moeda")+(Inputs!$G$5:$G$120="acoes"))*Inputs!$B$1+((Inputs!$G$5:$G$120&lt;&gt;"moeda")*(Inputs!$G$5:$G$120&lt;&gt;"acoes")))*INDEX(Inputs!$K$5:$AJ$120,0,MATCH(D$2,Inputs!$K$4:$AJ$4,0)))))</f>
        <v>-26</v>
      </c>
      <c r="E12" s="6">
        <f>IF(ISNA(MATCH(E$2,Inputs!$K$4:$AJ$4,0)),NA(),IF(SUMPRODUCT((Inputs!$A$5:$A$120=$B12)*ISNUMBER(INDEX(Inputs!$K$5:$AJ$120,0,MATCH(E$2,Inputs!$K$4:$AJ$4,0))))+SUMPRODUCT((Inputs!$C$5:$C$120=$B12)*ISNUMBER(INDEX(Inputs!$K$5:$AJ$120,0,MATCH(E$2,Inputs!$K$4:$AJ$4,0))))+SUMPRODUCT((Inputs!$E$5:$E$120=$B12)*ISNUMBER(INDEX(Inputs!$K$5:$AJ$120,0,MATCH(E$2,Inputs!$K$4:$AJ$4,0))))=0,NA(),SUMPRODUCT((Inputs!$A$5:$A$120=$B12)*Inputs!$B$5:$B$120*(((Inputs!$G$5:$G$120="moeda")+(Inputs!$G$5:$G$120="acoes"))*Inputs!$B$1+((Inputs!$G$5:$G$120&lt;&gt;"moeda")*(Inputs!$G$5:$G$120&lt;&gt;"acoes")))*INDEX(Inputs!$K$5:$AJ$120,0,MATCH(E$2,Inputs!$K$4:$AJ$4,0)))+SUMPRODUCT((Inputs!$C$5:$C$120=$B12)*Inputs!$D$5:$D$120*(((Inputs!$G$5:$G$120="moeda")+(Inputs!$G$5:$G$120="acoes"))*Inputs!$B$1+((Inputs!$G$5:$G$120&lt;&gt;"moeda")*(Inputs!$G$5:$G$120&lt;&gt;"acoes")))*INDEX(Inputs!$K$5:$AJ$120,0,MATCH(E$2,Inputs!$K$4:$AJ$4,0)))+SUMPRODUCT((Inputs!$E$5:$E$120=$B12)*Inputs!$F$5:$F$120*(((Inputs!$G$5:$G$120="moeda")+(Inputs!$G$5:$G$120="acoes"))*Inputs!$B$1+((Inputs!$G$5:$G$120&lt;&gt;"moeda")*(Inputs!$G$5:$G$120&lt;&gt;"acoes")))*INDEX(Inputs!$K$5:$AJ$120,0,MATCH(E$2,Inputs!$K$4:$AJ$4,0)))))</f>
        <v>-36</v>
      </c>
      <c r="F12" s="6">
        <f>IF(ISNA(MATCH(F$2,Inputs!$K$4:$AJ$4,0)),NA(),IF(SUMPRODUCT((Inputs!$A$5:$A$120=$B12)*ISNUMBER(INDEX(Inputs!$K$5:$AJ$120,0,MATCH(F$2,Inputs!$K$4:$AJ$4,0))))+SUMPRODUCT((Inputs!$C$5:$C$120=$B12)*ISNUMBER(INDEX(Inputs!$K$5:$AJ$120,0,MATCH(F$2,Inputs!$K$4:$AJ$4,0))))+SUMPRODUCT((Inputs!$E$5:$E$120=$B12)*ISNUMBER(INDEX(Inputs!$K$5:$AJ$120,0,MATCH(F$2,Inputs!$K$4:$AJ$4,0))))=0,NA(),SUMPRODUCT((Inputs!$A$5:$A$120=$B12)*Inputs!$B$5:$B$120*(((Inputs!$G$5:$G$120="moeda")+(Inputs!$G$5:$G$120="acoes"))*Inputs!$B$1+((Inputs!$G$5:$G$120&lt;&gt;"moeda")*(Inputs!$G$5:$G$120&lt;&gt;"acoes")))*INDEX(Inputs!$K$5:$AJ$120,0,MATCH(F$2,Inputs!$K$4:$AJ$4,0)))+SUMPRODUCT((Inputs!$C$5:$C$120=$B12)*Inputs!$D$5:$D$120*(((Inputs!$G$5:$G$120="moeda")+(Inputs!$G$5:$G$120="acoes"))*Inputs!$B$1+((Inputs!$G$5:$G$120&lt;&gt;"moeda")*(Inputs!$G$5:$G$120&lt;&gt;"acoes")))*INDEX(Inputs!$K$5:$AJ$120,0,MATCH(F$2,Inputs!$K$4:$AJ$4,0)))+SUMPRODUCT((Inputs!$E$5:$E$120=$B12)*Inputs!$F$5:$F$120*(((Inputs!$G$5:$G$120="moeda")+(Inputs!$G$5:$G$120="acoes"))*Inputs!$B$1+((Inputs!$G$5:$G$120&lt;&gt;"moeda")*(Inputs!$G$5:$G$120&lt;&gt;"acoes")))*INDEX(Inputs!$K$5:$AJ$120,0,MATCH(F$2,Inputs!$K$4:$AJ$4,0)))))</f>
        <v>-41</v>
      </c>
      <c r="G12" s="6">
        <f>IF(ISNA(MATCH(G$2,Inputs!$K$4:$AJ$4,0)),NA(),IF(SUMPRODUCT((Inputs!$A$5:$A$120=$B12)*ISNUMBER(INDEX(Inputs!$K$5:$AJ$120,0,MATCH(G$2,Inputs!$K$4:$AJ$4,0))))+SUMPRODUCT((Inputs!$C$5:$C$120=$B12)*ISNUMBER(INDEX(Inputs!$K$5:$AJ$120,0,MATCH(G$2,Inputs!$K$4:$AJ$4,0))))+SUMPRODUCT((Inputs!$E$5:$E$120=$B12)*ISNUMBER(INDEX(Inputs!$K$5:$AJ$120,0,MATCH(G$2,Inputs!$K$4:$AJ$4,0))))=0,NA(),SUMPRODUCT((Inputs!$A$5:$A$120=$B12)*Inputs!$B$5:$B$120*(((Inputs!$G$5:$G$120="moeda")+(Inputs!$G$5:$G$120="acoes"))*Inputs!$B$1+((Inputs!$G$5:$G$120&lt;&gt;"moeda")*(Inputs!$G$5:$G$120&lt;&gt;"acoes")))*INDEX(Inputs!$K$5:$AJ$120,0,MATCH(G$2,Inputs!$K$4:$AJ$4,0)))+SUMPRODUCT((Inputs!$C$5:$C$120=$B12)*Inputs!$D$5:$D$120*(((Inputs!$G$5:$G$120="moeda")+(Inputs!$G$5:$G$120="acoes"))*Inputs!$B$1+((Inputs!$G$5:$G$120&lt;&gt;"moeda")*(Inputs!$G$5:$G$120&lt;&gt;"acoes")))*INDEX(Inputs!$K$5:$AJ$120,0,MATCH(G$2,Inputs!$K$4:$AJ$4,0)))+SUMPRODUCT((Inputs!$E$5:$E$120=$B12)*Inputs!$F$5:$F$120*(((Inputs!$G$5:$G$120="moeda")+(Inputs!$G$5:$G$120="acoes"))*Inputs!$B$1+((Inputs!$G$5:$G$120&lt;&gt;"moeda")*(Inputs!$G$5:$G$120&lt;&gt;"acoes")))*INDEX(Inputs!$K$5:$AJ$120,0,MATCH(G$2,Inputs!$K$4:$AJ$4,0)))))</f>
        <v>-22</v>
      </c>
      <c r="H12" s="3">
        <f>SUM(D12:G12)</f>
        <v>-125</v>
      </c>
      <c r="I12" s="6">
        <f>IF(ISNA(MATCH(I$2,Inputs!$K$4:$AJ$4,0)),NA(),IF(SUMPRODUCT((Inputs!$A$5:$A$120=$B12)*ISNUMBER(INDEX(Inputs!$K$5:$AJ$120,0,MATCH(I$2,Inputs!$K$4:$AJ$4,0))))+SUMPRODUCT((Inputs!$C$5:$C$120=$B12)*ISNUMBER(INDEX(Inputs!$K$5:$AJ$120,0,MATCH(I$2,Inputs!$K$4:$AJ$4,0))))+SUMPRODUCT((Inputs!$E$5:$E$120=$B12)*ISNUMBER(INDEX(Inputs!$K$5:$AJ$120,0,MATCH(I$2,Inputs!$K$4:$AJ$4,0))))=0,NA(),SUMPRODUCT((Inputs!$A$5:$A$120=$B12)*Inputs!$B$5:$B$120*(((Inputs!$G$5:$G$120="moeda")+(Inputs!$G$5:$G$120="acoes"))*Inputs!$B$1+((Inputs!$G$5:$G$120&lt;&gt;"moeda")*(Inputs!$G$5:$G$120&lt;&gt;"acoes")))*INDEX(Inputs!$K$5:$AJ$120,0,MATCH(I$2,Inputs!$K$4:$AJ$4,0)))+SUMPRODUCT((Inputs!$C$5:$C$120=$B12)*Inputs!$D$5:$D$120*(((Inputs!$G$5:$G$120="moeda")+(Inputs!$G$5:$G$120="acoes"))*Inputs!$B$1+((Inputs!$G$5:$G$120&lt;&gt;"moeda")*(Inputs!$G$5:$G$120&lt;&gt;"acoes")))*INDEX(Inputs!$K$5:$AJ$120,0,MATCH(I$2,Inputs!$K$4:$AJ$4,0)))+SUMPRODUCT((Inputs!$E$5:$E$120=$B12)*Inputs!$F$5:$F$120*(((Inputs!$G$5:$G$120="moeda")+(Inputs!$G$5:$G$120="acoes"))*Inputs!$B$1+((Inputs!$G$5:$G$120&lt;&gt;"moeda")*(Inputs!$G$5:$G$120&lt;&gt;"acoes")))*INDEX(Inputs!$K$5:$AJ$120,0,MATCH(I$2,Inputs!$K$4:$AJ$4,0)))))</f>
        <v>38</v>
      </c>
      <c r="J12" s="6">
        <f>IF(ISNA(MATCH(J$2,Inputs!$K$4:$AJ$4,0)),NA(),IF(SUMPRODUCT((Inputs!$A$5:$A$120=$B12)*ISNUMBER(INDEX(Inputs!$K$5:$AJ$120,0,MATCH(J$2,Inputs!$K$4:$AJ$4,0))))+SUMPRODUCT((Inputs!$C$5:$C$120=$B12)*ISNUMBER(INDEX(Inputs!$K$5:$AJ$120,0,MATCH(J$2,Inputs!$K$4:$AJ$4,0))))+SUMPRODUCT((Inputs!$E$5:$E$120=$B12)*ISNUMBER(INDEX(Inputs!$K$5:$AJ$120,0,MATCH(J$2,Inputs!$K$4:$AJ$4,0))))=0,NA(),SUMPRODUCT((Inputs!$A$5:$A$120=$B12)*Inputs!$B$5:$B$120*(((Inputs!$G$5:$G$120="moeda")+(Inputs!$G$5:$G$120="acoes"))*Inputs!$B$1+((Inputs!$G$5:$G$120&lt;&gt;"moeda")*(Inputs!$G$5:$G$120&lt;&gt;"acoes")))*INDEX(Inputs!$K$5:$AJ$120,0,MATCH(J$2,Inputs!$K$4:$AJ$4,0)))+SUMPRODUCT((Inputs!$C$5:$C$120=$B12)*Inputs!$D$5:$D$120*(((Inputs!$G$5:$G$120="moeda")+(Inputs!$G$5:$G$120="acoes"))*Inputs!$B$1+((Inputs!$G$5:$G$120&lt;&gt;"moeda")*(Inputs!$G$5:$G$120&lt;&gt;"acoes")))*INDEX(Inputs!$K$5:$AJ$120,0,MATCH(J$2,Inputs!$K$4:$AJ$4,0)))+SUMPRODUCT((Inputs!$E$5:$E$120=$B12)*Inputs!$F$5:$F$120*(((Inputs!$G$5:$G$120="moeda")+(Inputs!$G$5:$G$120="acoes"))*Inputs!$B$1+((Inputs!$G$5:$G$120&lt;&gt;"moeda")*(Inputs!$G$5:$G$120&lt;&gt;"acoes")))*INDEX(Inputs!$K$5:$AJ$120,0,MATCH(J$2,Inputs!$K$4:$AJ$4,0)))))</f>
        <v>-10</v>
      </c>
      <c r="K12" s="6">
        <f>IF(ISNA(MATCH(K$2,Inputs!$K$4:$AJ$4,0)),NA(),IF(SUMPRODUCT((Inputs!$A$5:$A$120=$B12)*ISNUMBER(INDEX(Inputs!$K$5:$AJ$120,0,MATCH(K$2,Inputs!$K$4:$AJ$4,0))))+SUMPRODUCT((Inputs!$C$5:$C$120=$B12)*ISNUMBER(INDEX(Inputs!$K$5:$AJ$120,0,MATCH(K$2,Inputs!$K$4:$AJ$4,0))))+SUMPRODUCT((Inputs!$E$5:$E$120=$B12)*ISNUMBER(INDEX(Inputs!$K$5:$AJ$120,0,MATCH(K$2,Inputs!$K$4:$AJ$4,0))))=0,NA(),SUMPRODUCT((Inputs!$A$5:$A$120=$B12)*Inputs!$B$5:$B$120*(((Inputs!$G$5:$G$120="moeda")+(Inputs!$G$5:$G$120="acoes"))*Inputs!$B$1+((Inputs!$G$5:$G$120&lt;&gt;"moeda")*(Inputs!$G$5:$G$120&lt;&gt;"acoes")))*INDEX(Inputs!$K$5:$AJ$120,0,MATCH(K$2,Inputs!$K$4:$AJ$4,0)))+SUMPRODUCT((Inputs!$C$5:$C$120=$B12)*Inputs!$D$5:$D$120*(((Inputs!$G$5:$G$120="moeda")+(Inputs!$G$5:$G$120="acoes"))*Inputs!$B$1+((Inputs!$G$5:$G$120&lt;&gt;"moeda")*(Inputs!$G$5:$G$120&lt;&gt;"acoes")))*INDEX(Inputs!$K$5:$AJ$120,0,MATCH(K$2,Inputs!$K$4:$AJ$4,0)))+SUMPRODUCT((Inputs!$E$5:$E$120=$B12)*Inputs!$F$5:$F$120*(((Inputs!$G$5:$G$120="moeda")+(Inputs!$G$5:$G$120="acoes"))*Inputs!$B$1+((Inputs!$G$5:$G$120&lt;&gt;"moeda")*(Inputs!$G$5:$G$120&lt;&gt;"acoes")))*INDEX(Inputs!$K$5:$AJ$120,0,MATCH(K$2,Inputs!$K$4:$AJ$4,0)))))</f>
        <v>-39</v>
      </c>
      <c r="L12" s="6">
        <f>IF(ISNA(MATCH(L$2,Inputs!$K$4:$AJ$4,0)),NA(),IF(SUMPRODUCT((Inputs!$A$5:$A$120=$B12)*ISNUMBER(INDEX(Inputs!$K$5:$AJ$120,0,MATCH(L$2,Inputs!$K$4:$AJ$4,0))))+SUMPRODUCT((Inputs!$C$5:$C$120=$B12)*ISNUMBER(INDEX(Inputs!$K$5:$AJ$120,0,MATCH(L$2,Inputs!$K$4:$AJ$4,0))))+SUMPRODUCT((Inputs!$E$5:$E$120=$B12)*ISNUMBER(INDEX(Inputs!$K$5:$AJ$120,0,MATCH(L$2,Inputs!$K$4:$AJ$4,0))))=0,NA(),SUMPRODUCT((Inputs!$A$5:$A$120=$B12)*Inputs!$B$5:$B$120*(((Inputs!$G$5:$G$120="moeda")+(Inputs!$G$5:$G$120="acoes"))*Inputs!$B$1+((Inputs!$G$5:$G$120&lt;&gt;"moeda")*(Inputs!$G$5:$G$120&lt;&gt;"acoes")))*INDEX(Inputs!$K$5:$AJ$120,0,MATCH(L$2,Inputs!$K$4:$AJ$4,0)))+SUMPRODUCT((Inputs!$C$5:$C$120=$B12)*Inputs!$D$5:$D$120*(((Inputs!$G$5:$G$120="moeda")+(Inputs!$G$5:$G$120="acoes"))*Inputs!$B$1+((Inputs!$G$5:$G$120&lt;&gt;"moeda")*(Inputs!$G$5:$G$120&lt;&gt;"acoes")))*INDEX(Inputs!$K$5:$AJ$120,0,MATCH(L$2,Inputs!$K$4:$AJ$4,0)))+SUMPRODUCT((Inputs!$E$5:$E$120=$B12)*Inputs!$F$5:$F$120*(((Inputs!$G$5:$G$120="moeda")+(Inputs!$G$5:$G$120="acoes"))*Inputs!$B$1+((Inputs!$G$5:$G$120&lt;&gt;"moeda")*(Inputs!$G$5:$G$120&lt;&gt;"acoes")))*INDEX(Inputs!$K$5:$AJ$120,0,MATCH(L$2,Inputs!$K$4:$AJ$4,0)))))</f>
        <v>-20</v>
      </c>
      <c r="M12" s="3">
        <f>SUM(I12:L12)</f>
        <v>-31</v>
      </c>
      <c r="N12" s="6">
        <f>IF(ISNA(MATCH(N$2,Inputs!$K$4:$AJ$4,0)),NA(),IF(SUMPRODUCT((Inputs!$A$5:$A$120=$B12)*ISNUMBER(INDEX(Inputs!$K$5:$AJ$120,0,MATCH(N$2,Inputs!$K$4:$AJ$4,0))))+SUMPRODUCT((Inputs!$C$5:$C$120=$B12)*ISNUMBER(INDEX(Inputs!$K$5:$AJ$120,0,MATCH(N$2,Inputs!$K$4:$AJ$4,0))))+SUMPRODUCT((Inputs!$E$5:$E$120=$B12)*ISNUMBER(INDEX(Inputs!$K$5:$AJ$120,0,MATCH(N$2,Inputs!$K$4:$AJ$4,0))))=0,NA(),SUMPRODUCT((Inputs!$A$5:$A$120=$B12)*Inputs!$B$5:$B$120*(((Inputs!$G$5:$G$120="moeda")+(Inputs!$G$5:$G$120="acoes"))*Inputs!$B$1+((Inputs!$G$5:$G$120&lt;&gt;"moeda")*(Inputs!$G$5:$G$120&lt;&gt;"acoes")))*INDEX(Inputs!$K$5:$AJ$120,0,MATCH(N$2,Inputs!$K$4:$AJ$4,0)))+SUMPRODUCT((Inputs!$C$5:$C$120=$B12)*Inputs!$D$5:$D$120*(((Inputs!$G$5:$G$120="moeda")+(Inputs!$G$5:$G$120="acoes"))*Inputs!$B$1+((Inputs!$G$5:$G$120&lt;&gt;"moeda")*(Inputs!$G$5:$G$120&lt;&gt;"acoes")))*INDEX(Inputs!$K$5:$AJ$120,0,MATCH(N$2,Inputs!$K$4:$AJ$4,0)))+SUMPRODUCT((Inputs!$E$5:$E$120=$B12)*Inputs!$F$5:$F$120*(((Inputs!$G$5:$G$120="moeda")+(Inputs!$G$5:$G$120="acoes"))*Inputs!$B$1+((Inputs!$G$5:$G$120&lt;&gt;"moeda")*(Inputs!$G$5:$G$120&lt;&gt;"acoes")))*INDEX(Inputs!$K$5:$AJ$120,0,MATCH(N$2,Inputs!$K$4:$AJ$4,0)))))</f>
        <v>-26</v>
      </c>
      <c r="O12" s="6">
        <f>IF(ISNA(MATCH(O$2,Inputs!$K$4:$AJ$4,0)),NA(),IF(SUMPRODUCT((Inputs!$A$5:$A$120=$B12)*ISNUMBER(INDEX(Inputs!$K$5:$AJ$120,0,MATCH(O$2,Inputs!$K$4:$AJ$4,0))))+SUMPRODUCT((Inputs!$C$5:$C$120=$B12)*ISNUMBER(INDEX(Inputs!$K$5:$AJ$120,0,MATCH(O$2,Inputs!$K$4:$AJ$4,0))))+SUMPRODUCT((Inputs!$E$5:$E$120=$B12)*ISNUMBER(INDEX(Inputs!$K$5:$AJ$120,0,MATCH(O$2,Inputs!$K$4:$AJ$4,0))))=0,NA(),SUMPRODUCT((Inputs!$A$5:$A$120=$B12)*Inputs!$B$5:$B$120*(((Inputs!$G$5:$G$120="moeda")+(Inputs!$G$5:$G$120="acoes"))*Inputs!$B$1+((Inputs!$G$5:$G$120&lt;&gt;"moeda")*(Inputs!$G$5:$G$120&lt;&gt;"acoes")))*INDEX(Inputs!$K$5:$AJ$120,0,MATCH(O$2,Inputs!$K$4:$AJ$4,0)))+SUMPRODUCT((Inputs!$C$5:$C$120=$B12)*Inputs!$D$5:$D$120*(((Inputs!$G$5:$G$120="moeda")+(Inputs!$G$5:$G$120="acoes"))*Inputs!$B$1+((Inputs!$G$5:$G$120&lt;&gt;"moeda")*(Inputs!$G$5:$G$120&lt;&gt;"acoes")))*INDEX(Inputs!$K$5:$AJ$120,0,MATCH(O$2,Inputs!$K$4:$AJ$4,0)))+SUMPRODUCT((Inputs!$E$5:$E$120=$B12)*Inputs!$F$5:$F$120*(((Inputs!$G$5:$G$120="moeda")+(Inputs!$G$5:$G$120="acoes"))*Inputs!$B$1+((Inputs!$G$5:$G$120&lt;&gt;"moeda")*(Inputs!$G$5:$G$120&lt;&gt;"acoes")))*INDEX(Inputs!$K$5:$AJ$120,0,MATCH(O$2,Inputs!$K$4:$AJ$4,0)))))</f>
        <v>89</v>
      </c>
      <c r="P12" s="6">
        <f>IF(ISNA(MATCH(P$2,Inputs!$K$4:$AJ$4,0)),NA(),IF(SUMPRODUCT((Inputs!$A$5:$A$120=$B12)*ISNUMBER(INDEX(Inputs!$K$5:$AJ$120,0,MATCH(P$2,Inputs!$K$4:$AJ$4,0))))+SUMPRODUCT((Inputs!$C$5:$C$120=$B12)*ISNUMBER(INDEX(Inputs!$K$5:$AJ$120,0,MATCH(P$2,Inputs!$K$4:$AJ$4,0))))+SUMPRODUCT((Inputs!$E$5:$E$120=$B12)*ISNUMBER(INDEX(Inputs!$K$5:$AJ$120,0,MATCH(P$2,Inputs!$K$4:$AJ$4,0))))=0,NA(),SUMPRODUCT((Inputs!$A$5:$A$120=$B12)*Inputs!$B$5:$B$120*(((Inputs!$G$5:$G$120="moeda")+(Inputs!$G$5:$G$120="acoes"))*Inputs!$B$1+((Inputs!$G$5:$G$120&lt;&gt;"moeda")*(Inputs!$G$5:$G$120&lt;&gt;"acoes")))*INDEX(Inputs!$K$5:$AJ$120,0,MATCH(P$2,Inputs!$K$4:$AJ$4,0)))+SUMPRODUCT((Inputs!$C$5:$C$120=$B12)*Inputs!$D$5:$D$120*(((Inputs!$G$5:$G$120="moeda")+(Inputs!$G$5:$G$120="acoes"))*Inputs!$B$1+((Inputs!$G$5:$G$120&lt;&gt;"moeda")*(Inputs!$G$5:$G$120&lt;&gt;"acoes")))*INDEX(Inputs!$K$5:$AJ$120,0,MATCH(P$2,Inputs!$K$4:$AJ$4,0)))+SUMPRODUCT((Inputs!$E$5:$E$120=$B12)*Inputs!$F$5:$F$120*(((Inputs!$G$5:$G$120="moeda")+(Inputs!$G$5:$G$120="acoes"))*Inputs!$B$1+((Inputs!$G$5:$G$120&lt;&gt;"moeda")*(Inputs!$G$5:$G$120&lt;&gt;"acoes")))*INDEX(Inputs!$K$5:$AJ$120,0,MATCH(P$2,Inputs!$K$4:$AJ$4,0)))))</f>
        <v>-25</v>
      </c>
      <c r="Q12" s="6">
        <f>IF(ISNA(MATCH(Q$2,Inputs!$K$4:$AJ$4,0)),NA(),IF(SUMPRODUCT((Inputs!$A$5:$A$120=$B12)*ISNUMBER(INDEX(Inputs!$K$5:$AJ$120,0,MATCH(Q$2,Inputs!$K$4:$AJ$4,0))))+SUMPRODUCT((Inputs!$C$5:$C$120=$B12)*ISNUMBER(INDEX(Inputs!$K$5:$AJ$120,0,MATCH(Q$2,Inputs!$K$4:$AJ$4,0))))+SUMPRODUCT((Inputs!$E$5:$E$120=$B12)*ISNUMBER(INDEX(Inputs!$K$5:$AJ$120,0,MATCH(Q$2,Inputs!$K$4:$AJ$4,0))))=0,NA(),SUMPRODUCT((Inputs!$A$5:$A$120=$B12)*Inputs!$B$5:$B$120*(((Inputs!$G$5:$G$120="moeda")+(Inputs!$G$5:$G$120="acoes"))*Inputs!$B$1+((Inputs!$G$5:$G$120&lt;&gt;"moeda")*(Inputs!$G$5:$G$120&lt;&gt;"acoes")))*INDEX(Inputs!$K$5:$AJ$120,0,MATCH(Q$2,Inputs!$K$4:$AJ$4,0)))+SUMPRODUCT((Inputs!$C$5:$C$120=$B12)*Inputs!$D$5:$D$120*(((Inputs!$G$5:$G$120="moeda")+(Inputs!$G$5:$G$120="acoes"))*Inputs!$B$1+((Inputs!$G$5:$G$120&lt;&gt;"moeda")*(Inputs!$G$5:$G$120&lt;&gt;"acoes")))*INDEX(Inputs!$K$5:$AJ$120,0,MATCH(Q$2,Inputs!$K$4:$AJ$4,0)))+SUMPRODUCT((Inputs!$E$5:$E$120=$B12)*Inputs!$F$5:$F$120*(((Inputs!$G$5:$G$120="moeda")+(Inputs!$G$5:$G$120="acoes"))*Inputs!$B$1+((Inputs!$G$5:$G$120&lt;&gt;"moeda")*(Inputs!$G$5:$G$120&lt;&gt;"acoes")))*INDEX(Inputs!$K$5:$AJ$120,0,MATCH(Q$2,Inputs!$K$4:$AJ$4,0)))))</f>
        <v>-15</v>
      </c>
      <c r="R12" s="3">
        <f>SUM(N12:Q12)</f>
        <v>23</v>
      </c>
      <c r="S12" s="6">
        <f>IF(ISNA(MATCH(S$2,Inputs!$K$4:$AJ$4,0)),NA(),IF(SUMPRODUCT((Inputs!$A$5:$A$120=$B12)*ISNUMBER(INDEX(Inputs!$K$5:$AJ$120,0,MATCH(S$2,Inputs!$K$4:$AJ$4,0))))+SUMPRODUCT((Inputs!$C$5:$C$120=$B12)*ISNUMBER(INDEX(Inputs!$K$5:$AJ$120,0,MATCH(S$2,Inputs!$K$4:$AJ$4,0))))+SUMPRODUCT((Inputs!$E$5:$E$120=$B12)*ISNUMBER(INDEX(Inputs!$K$5:$AJ$120,0,MATCH(S$2,Inputs!$K$4:$AJ$4,0))))=0,NA(),SUMPRODUCT((Inputs!$A$5:$A$120=$B12)*Inputs!$B$5:$B$120*(((Inputs!$G$5:$G$120="moeda")+(Inputs!$G$5:$G$120="acoes"))*Inputs!$B$1+((Inputs!$G$5:$G$120&lt;&gt;"moeda")*(Inputs!$G$5:$G$120&lt;&gt;"acoes")))*INDEX(Inputs!$K$5:$AJ$120,0,MATCH(S$2,Inputs!$K$4:$AJ$4,0)))+SUMPRODUCT((Inputs!$C$5:$C$120=$B12)*Inputs!$D$5:$D$120*(((Inputs!$G$5:$G$120="moeda")+(Inputs!$G$5:$G$120="acoes"))*Inputs!$B$1+((Inputs!$G$5:$G$120&lt;&gt;"moeda")*(Inputs!$G$5:$G$120&lt;&gt;"acoes")))*INDEX(Inputs!$K$5:$AJ$120,0,MATCH(S$2,Inputs!$K$4:$AJ$4,0)))+SUMPRODUCT((Inputs!$E$5:$E$120=$B12)*Inputs!$F$5:$F$120*(((Inputs!$G$5:$G$120="moeda")+(Inputs!$G$5:$G$120="acoes"))*Inputs!$B$1+((Inputs!$G$5:$G$120&lt;&gt;"moeda")*(Inputs!$G$5:$G$120&lt;&gt;"acoes")))*INDEX(Inputs!$K$5:$AJ$120,0,MATCH(S$2,Inputs!$K$4:$AJ$4,0)))))</f>
        <v>-15</v>
      </c>
      <c r="T12" s="6">
        <f>IF(ISNA(MATCH(T$2,Inputs!$K$4:$AJ$4,0)),NA(),IF(SUMPRODUCT((Inputs!$A$5:$A$120=$B12)*ISNUMBER(INDEX(Inputs!$K$5:$AJ$120,0,MATCH(T$2,Inputs!$K$4:$AJ$4,0))))+SUMPRODUCT((Inputs!$C$5:$C$120=$B12)*ISNUMBER(INDEX(Inputs!$K$5:$AJ$120,0,MATCH(T$2,Inputs!$K$4:$AJ$4,0))))+SUMPRODUCT((Inputs!$E$5:$E$120=$B12)*ISNUMBER(INDEX(Inputs!$K$5:$AJ$120,0,MATCH(T$2,Inputs!$K$4:$AJ$4,0))))=0,NA(),SUMPRODUCT((Inputs!$A$5:$A$120=$B12)*Inputs!$B$5:$B$120*(((Inputs!$G$5:$G$120="moeda")+(Inputs!$G$5:$G$120="acoes"))*Inputs!$B$1+((Inputs!$G$5:$G$120&lt;&gt;"moeda")*(Inputs!$G$5:$G$120&lt;&gt;"acoes")))*INDEX(Inputs!$K$5:$AJ$120,0,MATCH(T$2,Inputs!$K$4:$AJ$4,0)))+SUMPRODUCT((Inputs!$C$5:$C$120=$B12)*Inputs!$D$5:$D$120*(((Inputs!$G$5:$G$120="moeda")+(Inputs!$G$5:$G$120="acoes"))*Inputs!$B$1+((Inputs!$G$5:$G$120&lt;&gt;"moeda")*(Inputs!$G$5:$G$120&lt;&gt;"acoes")))*INDEX(Inputs!$K$5:$AJ$120,0,MATCH(T$2,Inputs!$K$4:$AJ$4,0)))+SUMPRODUCT((Inputs!$E$5:$E$120=$B12)*Inputs!$F$5:$F$120*(((Inputs!$G$5:$G$120="moeda")+(Inputs!$G$5:$G$120="acoes"))*Inputs!$B$1+((Inputs!$G$5:$G$120&lt;&gt;"moeda")*(Inputs!$G$5:$G$120&lt;&gt;"acoes")))*INDEX(Inputs!$K$5:$AJ$120,0,MATCH(T$2,Inputs!$K$4:$AJ$4,0)))))</f>
        <v>-16</v>
      </c>
      <c r="U12" s="6">
        <f>IF(ISNA(MATCH(U$2,Inputs!$K$4:$AJ$4,0)),NA(),IF(SUMPRODUCT((Inputs!$A$5:$A$120=$B12)*ISNUMBER(INDEX(Inputs!$K$5:$AJ$120,0,MATCH(U$2,Inputs!$K$4:$AJ$4,0))))+SUMPRODUCT((Inputs!$C$5:$C$120=$B12)*ISNUMBER(INDEX(Inputs!$K$5:$AJ$120,0,MATCH(U$2,Inputs!$K$4:$AJ$4,0))))+SUMPRODUCT((Inputs!$E$5:$E$120=$B12)*ISNUMBER(INDEX(Inputs!$K$5:$AJ$120,0,MATCH(U$2,Inputs!$K$4:$AJ$4,0))))=0,NA(),SUMPRODUCT((Inputs!$A$5:$A$120=$B12)*Inputs!$B$5:$B$120*(((Inputs!$G$5:$G$120="moeda")+(Inputs!$G$5:$G$120="acoes"))*Inputs!$B$1+((Inputs!$G$5:$G$120&lt;&gt;"moeda")*(Inputs!$G$5:$G$120&lt;&gt;"acoes")))*INDEX(Inputs!$K$5:$AJ$120,0,MATCH(U$2,Inputs!$K$4:$AJ$4,0)))+SUMPRODUCT((Inputs!$C$5:$C$120=$B12)*Inputs!$D$5:$D$120*(((Inputs!$G$5:$G$120="moeda")+(Inputs!$G$5:$G$120="acoes"))*Inputs!$B$1+((Inputs!$G$5:$G$120&lt;&gt;"moeda")*(Inputs!$G$5:$G$120&lt;&gt;"acoes")))*INDEX(Inputs!$K$5:$AJ$120,0,MATCH(U$2,Inputs!$K$4:$AJ$4,0)))+SUMPRODUCT((Inputs!$E$5:$E$120=$B12)*Inputs!$F$5:$F$120*(((Inputs!$G$5:$G$120="moeda")+(Inputs!$G$5:$G$120="acoes"))*Inputs!$B$1+((Inputs!$G$5:$G$120&lt;&gt;"moeda")*(Inputs!$G$5:$G$120&lt;&gt;"acoes")))*INDEX(Inputs!$K$5:$AJ$120,0,MATCH(U$2,Inputs!$K$4:$AJ$4,0)))))</f>
        <v>-16</v>
      </c>
      <c r="V12" s="6">
        <f>IF(ISNA(MATCH(V$2,Inputs!$K$4:$AJ$4,0)),NA(),IF(SUMPRODUCT((Inputs!$A$5:$A$120=$B12)*ISNUMBER(INDEX(Inputs!$K$5:$AJ$120,0,MATCH(V$2,Inputs!$K$4:$AJ$4,0))))+SUMPRODUCT((Inputs!$C$5:$C$120=$B12)*ISNUMBER(INDEX(Inputs!$K$5:$AJ$120,0,MATCH(V$2,Inputs!$K$4:$AJ$4,0))))+SUMPRODUCT((Inputs!$E$5:$E$120=$B12)*ISNUMBER(INDEX(Inputs!$K$5:$AJ$120,0,MATCH(V$2,Inputs!$K$4:$AJ$4,0))))=0,NA(),SUMPRODUCT((Inputs!$A$5:$A$120=$B12)*Inputs!$B$5:$B$120*(((Inputs!$G$5:$G$120="moeda")+(Inputs!$G$5:$G$120="acoes"))*Inputs!$B$1+((Inputs!$G$5:$G$120&lt;&gt;"moeda")*(Inputs!$G$5:$G$120&lt;&gt;"acoes")))*INDEX(Inputs!$K$5:$AJ$120,0,MATCH(V$2,Inputs!$K$4:$AJ$4,0)))+SUMPRODUCT((Inputs!$C$5:$C$120=$B12)*Inputs!$D$5:$D$120*(((Inputs!$G$5:$G$120="moeda")+(Inputs!$G$5:$G$120="acoes"))*Inputs!$B$1+((Inputs!$G$5:$G$120&lt;&gt;"moeda")*(Inputs!$G$5:$G$120&lt;&gt;"acoes")))*INDEX(Inputs!$K$5:$AJ$120,0,MATCH(V$2,Inputs!$K$4:$AJ$4,0)))+SUMPRODUCT((Inputs!$E$5:$E$120=$B12)*Inputs!$F$5:$F$120*(((Inputs!$G$5:$G$120="moeda")+(Inputs!$G$5:$G$120="acoes"))*Inputs!$B$1+((Inputs!$G$5:$G$120&lt;&gt;"moeda")*(Inputs!$G$5:$G$120&lt;&gt;"acoes")))*INDEX(Inputs!$K$5:$AJ$120,0,MATCH(V$2,Inputs!$K$4:$AJ$4,0)))))</f>
        <v>-15</v>
      </c>
      <c r="W12" s="3">
        <f>SUM(S12:V12)</f>
        <v>-62</v>
      </c>
      <c r="X12" s="6">
        <f>IF(ISNA(MATCH(X$2,Inputs!$K$4:$AJ$4,0)),NA(),IF(SUMPRODUCT((Inputs!$A$5:$A$120=$B12)*ISNUMBER(INDEX(Inputs!$K$5:$AJ$120,0,MATCH(X$2,Inputs!$K$4:$AJ$4,0))))+SUMPRODUCT((Inputs!$C$5:$C$120=$B12)*ISNUMBER(INDEX(Inputs!$K$5:$AJ$120,0,MATCH(X$2,Inputs!$K$4:$AJ$4,0))))+SUMPRODUCT((Inputs!$E$5:$E$120=$B12)*ISNUMBER(INDEX(Inputs!$K$5:$AJ$120,0,MATCH(X$2,Inputs!$K$4:$AJ$4,0))))=0,NA(),SUMPRODUCT((Inputs!$A$5:$A$120=$B12)*Inputs!$B$5:$B$120*(((Inputs!$G$5:$G$120="moeda")+(Inputs!$G$5:$G$120="acoes"))*Inputs!$B$1+((Inputs!$G$5:$G$120&lt;&gt;"moeda")*(Inputs!$G$5:$G$120&lt;&gt;"acoes")))*INDEX(Inputs!$K$5:$AJ$120,0,MATCH(X$2,Inputs!$K$4:$AJ$4,0)))+SUMPRODUCT((Inputs!$C$5:$C$120=$B12)*Inputs!$D$5:$D$120*(((Inputs!$G$5:$G$120="moeda")+(Inputs!$G$5:$G$120="acoes"))*Inputs!$B$1+((Inputs!$G$5:$G$120&lt;&gt;"moeda")*(Inputs!$G$5:$G$120&lt;&gt;"acoes")))*INDEX(Inputs!$K$5:$AJ$120,0,MATCH(X$2,Inputs!$K$4:$AJ$4,0)))+SUMPRODUCT((Inputs!$E$5:$E$120=$B12)*Inputs!$F$5:$F$120*(((Inputs!$G$5:$G$120="moeda")+(Inputs!$G$5:$G$120="acoes"))*Inputs!$B$1+((Inputs!$G$5:$G$120&lt;&gt;"moeda")*(Inputs!$G$5:$G$120&lt;&gt;"acoes")))*INDEX(Inputs!$K$5:$AJ$120,0,MATCH(X$2,Inputs!$K$4:$AJ$4,0)))))</f>
        <v>-11</v>
      </c>
      <c r="Y12" s="6">
        <f>IF(ISNA(MATCH(Y$2,Inputs!$K$4:$AJ$4,0)),NA(),IF(SUMPRODUCT((Inputs!$A$5:$A$120=$B12)*ISNUMBER(INDEX(Inputs!$K$5:$AJ$120,0,MATCH(Y$2,Inputs!$K$4:$AJ$4,0))))+SUMPRODUCT((Inputs!$C$5:$C$120=$B12)*ISNUMBER(INDEX(Inputs!$K$5:$AJ$120,0,MATCH(Y$2,Inputs!$K$4:$AJ$4,0))))+SUMPRODUCT((Inputs!$E$5:$E$120=$B12)*ISNUMBER(INDEX(Inputs!$K$5:$AJ$120,0,MATCH(Y$2,Inputs!$K$4:$AJ$4,0))))=0,NA(),SUMPRODUCT((Inputs!$A$5:$A$120=$B12)*Inputs!$B$5:$B$120*(((Inputs!$G$5:$G$120="moeda")+(Inputs!$G$5:$G$120="acoes"))*Inputs!$B$1+((Inputs!$G$5:$G$120&lt;&gt;"moeda")*(Inputs!$G$5:$G$120&lt;&gt;"acoes")))*INDEX(Inputs!$K$5:$AJ$120,0,MATCH(Y$2,Inputs!$K$4:$AJ$4,0)))+SUMPRODUCT((Inputs!$C$5:$C$120=$B12)*Inputs!$D$5:$D$120*(((Inputs!$G$5:$G$120="moeda")+(Inputs!$G$5:$G$120="acoes"))*Inputs!$B$1+((Inputs!$G$5:$G$120&lt;&gt;"moeda")*(Inputs!$G$5:$G$120&lt;&gt;"acoes")))*INDEX(Inputs!$K$5:$AJ$120,0,MATCH(Y$2,Inputs!$K$4:$AJ$4,0)))+SUMPRODUCT((Inputs!$E$5:$E$120=$B12)*Inputs!$F$5:$F$120*(((Inputs!$G$5:$G$120="moeda")+(Inputs!$G$5:$G$120="acoes"))*Inputs!$B$1+((Inputs!$G$5:$G$120&lt;&gt;"moeda")*(Inputs!$G$5:$G$120&lt;&gt;"acoes")))*INDEX(Inputs!$K$5:$AJ$120,0,MATCH(Y$2,Inputs!$K$4:$AJ$4,0)))))</f>
        <v>-18</v>
      </c>
      <c r="Z12" s="6">
        <f>IF(ISNA(MATCH(Z$2,Inputs!$K$4:$AJ$4,0)),NA(),IF(SUMPRODUCT((Inputs!$A$5:$A$120=$B12)*ISNUMBER(INDEX(Inputs!$K$5:$AJ$120,0,MATCH(Z$2,Inputs!$K$4:$AJ$4,0))))+SUMPRODUCT((Inputs!$C$5:$C$120=$B12)*ISNUMBER(INDEX(Inputs!$K$5:$AJ$120,0,MATCH(Z$2,Inputs!$K$4:$AJ$4,0))))+SUMPRODUCT((Inputs!$E$5:$E$120=$B12)*ISNUMBER(INDEX(Inputs!$K$5:$AJ$120,0,MATCH(Z$2,Inputs!$K$4:$AJ$4,0))))=0,NA(),SUMPRODUCT((Inputs!$A$5:$A$120=$B12)*Inputs!$B$5:$B$120*(((Inputs!$G$5:$G$120="moeda")+(Inputs!$G$5:$G$120="acoes"))*Inputs!$B$1+((Inputs!$G$5:$G$120&lt;&gt;"moeda")*(Inputs!$G$5:$G$120&lt;&gt;"acoes")))*INDEX(Inputs!$K$5:$AJ$120,0,MATCH(Z$2,Inputs!$K$4:$AJ$4,0)))+SUMPRODUCT((Inputs!$C$5:$C$120=$B12)*Inputs!$D$5:$D$120*(((Inputs!$G$5:$G$120="moeda")+(Inputs!$G$5:$G$120="acoes"))*Inputs!$B$1+((Inputs!$G$5:$G$120&lt;&gt;"moeda")*(Inputs!$G$5:$G$120&lt;&gt;"acoes")))*INDEX(Inputs!$K$5:$AJ$120,0,MATCH(Z$2,Inputs!$K$4:$AJ$4,0)))+SUMPRODUCT((Inputs!$E$5:$E$120=$B12)*Inputs!$F$5:$F$120*(((Inputs!$G$5:$G$120="moeda")+(Inputs!$G$5:$G$120="acoes"))*Inputs!$B$1+((Inputs!$G$5:$G$120&lt;&gt;"moeda")*(Inputs!$G$5:$G$120&lt;&gt;"acoes")))*INDEX(Inputs!$K$5:$AJ$120,0,MATCH(Z$2,Inputs!$K$4:$AJ$4,0)))))</f>
        <v>-16</v>
      </c>
      <c r="AA12" s="6">
        <f>IF(ISNA(MATCH(AA$2,Inputs!$K$4:$AJ$4,0)),NA(),IF(SUMPRODUCT((Inputs!$A$5:$A$120=$B12)*ISNUMBER(INDEX(Inputs!$K$5:$AJ$120,0,MATCH(AA$2,Inputs!$K$4:$AJ$4,0))))+SUMPRODUCT((Inputs!$C$5:$C$120=$B12)*ISNUMBER(INDEX(Inputs!$K$5:$AJ$120,0,MATCH(AA$2,Inputs!$K$4:$AJ$4,0))))+SUMPRODUCT((Inputs!$E$5:$E$120=$B12)*ISNUMBER(INDEX(Inputs!$K$5:$AJ$120,0,MATCH(AA$2,Inputs!$K$4:$AJ$4,0))))=0,NA(),SUMPRODUCT((Inputs!$A$5:$A$120=$B12)*Inputs!$B$5:$B$120*(((Inputs!$G$5:$G$120="moeda")+(Inputs!$G$5:$G$120="acoes"))*Inputs!$B$1+((Inputs!$G$5:$G$120&lt;&gt;"moeda")*(Inputs!$G$5:$G$120&lt;&gt;"acoes")))*INDEX(Inputs!$K$5:$AJ$120,0,MATCH(AA$2,Inputs!$K$4:$AJ$4,0)))+SUMPRODUCT((Inputs!$C$5:$C$120=$B12)*Inputs!$D$5:$D$120*(((Inputs!$G$5:$G$120="moeda")+(Inputs!$G$5:$G$120="acoes"))*Inputs!$B$1+((Inputs!$G$5:$G$120&lt;&gt;"moeda")*(Inputs!$G$5:$G$120&lt;&gt;"acoes")))*INDEX(Inputs!$K$5:$AJ$120,0,MATCH(AA$2,Inputs!$K$4:$AJ$4,0)))+SUMPRODUCT((Inputs!$E$5:$E$120=$B12)*Inputs!$F$5:$F$120*(((Inputs!$G$5:$G$120="moeda")+(Inputs!$G$5:$G$120="acoes"))*Inputs!$B$1+((Inputs!$G$5:$G$120&lt;&gt;"moeda")*(Inputs!$G$5:$G$120&lt;&gt;"acoes")))*INDEX(Inputs!$K$5:$AJ$120,0,MATCH(AA$2,Inputs!$K$4:$AJ$4,0)))))</f>
        <v>-16</v>
      </c>
      <c r="AB12" s="3">
        <f>SUM(X12:AA12)</f>
        <v>-61</v>
      </c>
      <c r="AC12" s="6">
        <f>IF(ISNA(MATCH(AC$2,Inputs!$K$4:$AJ$4,0)),NA(),IF(SUMPRODUCT((Inputs!$A$5:$A$120=$B12)*ISNUMBER(INDEX(Inputs!$K$5:$AJ$120,0,MATCH(AC$2,Inputs!$K$4:$AJ$4,0))))+SUMPRODUCT((Inputs!$C$5:$C$120=$B12)*ISNUMBER(INDEX(Inputs!$K$5:$AJ$120,0,MATCH(AC$2,Inputs!$K$4:$AJ$4,0))))+SUMPRODUCT((Inputs!$E$5:$E$120=$B12)*ISNUMBER(INDEX(Inputs!$K$5:$AJ$120,0,MATCH(AC$2,Inputs!$K$4:$AJ$4,0))))=0,NA(),SUMPRODUCT((Inputs!$A$5:$A$120=$B12)*Inputs!$B$5:$B$120*(((Inputs!$G$5:$G$120="moeda")+(Inputs!$G$5:$G$120="acoes"))*Inputs!$B$1+((Inputs!$G$5:$G$120&lt;&gt;"moeda")*(Inputs!$G$5:$G$120&lt;&gt;"acoes")))*INDEX(Inputs!$K$5:$AJ$120,0,MATCH(AC$2,Inputs!$K$4:$AJ$4,0)))+SUMPRODUCT((Inputs!$C$5:$C$120=$B12)*Inputs!$D$5:$D$120*(((Inputs!$G$5:$G$120="moeda")+(Inputs!$G$5:$G$120="acoes"))*Inputs!$B$1+((Inputs!$G$5:$G$120&lt;&gt;"moeda")*(Inputs!$G$5:$G$120&lt;&gt;"acoes")))*INDEX(Inputs!$K$5:$AJ$120,0,MATCH(AC$2,Inputs!$K$4:$AJ$4,0)))+SUMPRODUCT((Inputs!$E$5:$E$120=$B12)*Inputs!$F$5:$F$120*(((Inputs!$G$5:$G$120="moeda")+(Inputs!$G$5:$G$120="acoes"))*Inputs!$B$1+((Inputs!$G$5:$G$120&lt;&gt;"moeda")*(Inputs!$G$5:$G$120&lt;&gt;"acoes")))*INDEX(Inputs!$K$5:$AJ$120,0,MATCH(AC$2,Inputs!$K$4:$AJ$4,0)))))</f>
        <v>-14</v>
      </c>
      <c r="AD12" s="6">
        <f>IF(ISNA(MATCH(AD$2,Inputs!$K$4:$AJ$4,0)),NA(),IF(SUMPRODUCT((Inputs!$A$5:$A$120=$B12)*ISNUMBER(INDEX(Inputs!$K$5:$AJ$120,0,MATCH(AD$2,Inputs!$K$4:$AJ$4,0))))+SUMPRODUCT((Inputs!$C$5:$C$120=$B12)*ISNUMBER(INDEX(Inputs!$K$5:$AJ$120,0,MATCH(AD$2,Inputs!$K$4:$AJ$4,0))))+SUMPRODUCT((Inputs!$E$5:$E$120=$B12)*ISNUMBER(INDEX(Inputs!$K$5:$AJ$120,0,MATCH(AD$2,Inputs!$K$4:$AJ$4,0))))=0,NA(),SUMPRODUCT((Inputs!$A$5:$A$120=$B12)*Inputs!$B$5:$B$120*(((Inputs!$G$5:$G$120="moeda")+(Inputs!$G$5:$G$120="acoes"))*Inputs!$B$1+((Inputs!$G$5:$G$120&lt;&gt;"moeda")*(Inputs!$G$5:$G$120&lt;&gt;"acoes")))*INDEX(Inputs!$K$5:$AJ$120,0,MATCH(AD$2,Inputs!$K$4:$AJ$4,0)))+SUMPRODUCT((Inputs!$C$5:$C$120=$B12)*Inputs!$D$5:$D$120*(((Inputs!$G$5:$G$120="moeda")+(Inputs!$G$5:$G$120="acoes"))*Inputs!$B$1+((Inputs!$G$5:$G$120&lt;&gt;"moeda")*(Inputs!$G$5:$G$120&lt;&gt;"acoes")))*INDEX(Inputs!$K$5:$AJ$120,0,MATCH(AD$2,Inputs!$K$4:$AJ$4,0)))+SUMPRODUCT((Inputs!$E$5:$E$120=$B12)*Inputs!$F$5:$F$120*(((Inputs!$G$5:$G$120="moeda")+(Inputs!$G$5:$G$120="acoes"))*Inputs!$B$1+((Inputs!$G$5:$G$120&lt;&gt;"moeda")*(Inputs!$G$5:$G$120&lt;&gt;"acoes")))*INDEX(Inputs!$K$5:$AJ$120,0,MATCH(AD$2,Inputs!$K$4:$AJ$4,0)))))</f>
        <v>-14</v>
      </c>
      <c r="AE12" s="6" t="e">
        <f>IF(ISNA(MATCH(AE$2,Inputs!$K$4:$AJ$4,0)),NA(),IF(SUMPRODUCT((Inputs!$A$5:$A$120=$B12)*ISNUMBER(INDEX(Inputs!$K$5:$AJ$120,0,MATCH(AE$2,Inputs!$K$4:$AJ$4,0))))+SUMPRODUCT((Inputs!$C$5:$C$120=$B12)*ISNUMBER(INDEX(Inputs!$K$5:$AJ$120,0,MATCH(AE$2,Inputs!$K$4:$AJ$4,0))))+SUMPRODUCT((Inputs!$E$5:$E$120=$B12)*ISNUMBER(INDEX(Inputs!$K$5:$AJ$120,0,MATCH(AE$2,Inputs!$K$4:$AJ$4,0))))=0,NA(),SUMPRODUCT((Inputs!$A$5:$A$120=$B12)*Inputs!$B$5:$B$120*(((Inputs!$G$5:$G$120="moeda")+(Inputs!$G$5:$G$120="acoes"))*Inputs!$B$1+((Inputs!$G$5:$G$120&lt;&gt;"moeda")*(Inputs!$G$5:$G$120&lt;&gt;"acoes")))*INDEX(Inputs!$K$5:$AJ$120,0,MATCH(AE$2,Inputs!$K$4:$AJ$4,0)))+SUMPRODUCT((Inputs!$C$5:$C$120=$B12)*Inputs!$D$5:$D$120*(((Inputs!$G$5:$G$120="moeda")+(Inputs!$G$5:$G$120="acoes"))*Inputs!$B$1+((Inputs!$G$5:$G$120&lt;&gt;"moeda")*(Inputs!$G$5:$G$120&lt;&gt;"acoes")))*INDEX(Inputs!$K$5:$AJ$120,0,MATCH(AE$2,Inputs!$K$4:$AJ$4,0)))+SUMPRODUCT((Inputs!$E$5:$E$120=$B12)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12" s="6" t="e">
        <f>IF(ISNA(MATCH(AF$2,Inputs!$K$4:$AJ$4,0)),NA(),IF(SUMPRODUCT((Inputs!$A$5:$A$120=$B12)*ISNUMBER(INDEX(Inputs!$K$5:$AJ$120,0,MATCH(AF$2,Inputs!$K$4:$AJ$4,0))))+SUMPRODUCT((Inputs!$C$5:$C$120=$B12)*ISNUMBER(INDEX(Inputs!$K$5:$AJ$120,0,MATCH(AF$2,Inputs!$K$4:$AJ$4,0))))+SUMPRODUCT((Inputs!$E$5:$E$120=$B12)*ISNUMBER(INDEX(Inputs!$K$5:$AJ$120,0,MATCH(AF$2,Inputs!$K$4:$AJ$4,0))))=0,NA(),SUMPRODUCT((Inputs!$A$5:$A$120=$B12)*Inputs!$B$5:$B$120*(((Inputs!$G$5:$G$120="moeda")+(Inputs!$G$5:$G$120="acoes"))*Inputs!$B$1+((Inputs!$G$5:$G$120&lt;&gt;"moeda")*(Inputs!$G$5:$G$120&lt;&gt;"acoes")))*INDEX(Inputs!$K$5:$AJ$120,0,MATCH(AF$2,Inputs!$K$4:$AJ$4,0)))+SUMPRODUCT((Inputs!$C$5:$C$120=$B12)*Inputs!$D$5:$D$120*(((Inputs!$G$5:$G$120="moeda")+(Inputs!$G$5:$G$120="acoes"))*Inputs!$B$1+((Inputs!$G$5:$G$120&lt;&gt;"moeda")*(Inputs!$G$5:$G$120&lt;&gt;"acoes")))*INDEX(Inputs!$K$5:$AJ$120,0,MATCH(AF$2,Inputs!$K$4:$AJ$4,0)))+SUMPRODUCT((Inputs!$E$5:$E$120=$B12)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12" s="3" t="e">
        <f>SUM(AC12:AF12)</f>
        <v>#N/A</v>
      </c>
      <c r="AH12" s="6">
        <f>IF(ISNA(MATCH(AH$2,Inputs!$K$4:$AJ$4,0)),NA(),IF(SUMPRODUCT((Inputs!$A$5:$A$120=$B12)*ISNUMBER(INDEX(Inputs!$K$5:$AJ$120,0,MATCH(AH$2,Inputs!$K$4:$AJ$4,0))))+SUMPRODUCT((Inputs!$C$5:$C$120=$B12)*ISNUMBER(INDEX(Inputs!$K$5:$AJ$120,0,MATCH(AH$2,Inputs!$K$4:$AJ$4,0))))+SUMPRODUCT((Inputs!$E$5:$E$120=$B12)*ISNUMBER(INDEX(Inputs!$K$5:$AJ$120,0,MATCH(AH$2,Inputs!$K$4:$AJ$4,0))))=0,NA(),SUMPRODUCT((Inputs!$A$5:$A$120=$B12)*Inputs!$B$5:$B$120*(((Inputs!$G$5:$G$120="moeda")+(Inputs!$G$5:$G$120="acoes"))*Inputs!$B$1+((Inputs!$G$5:$G$120&lt;&gt;"moeda")*(Inputs!$G$5:$G$120&lt;&gt;"acoes")))*INDEX(Inputs!$K$5:$AJ$120,0,MATCH(AH$2,Inputs!$K$4:$AJ$4,0)))+SUMPRODUCT((Inputs!$C$5:$C$120=$B12)*Inputs!$D$5:$D$120*(((Inputs!$G$5:$G$120="moeda")+(Inputs!$G$5:$G$120="acoes"))*Inputs!$B$1+((Inputs!$G$5:$G$120&lt;&gt;"moeda")*(Inputs!$G$5:$G$120&lt;&gt;"acoes")))*INDEX(Inputs!$K$5:$AJ$120,0,MATCH(AH$2,Inputs!$K$4:$AJ$4,0)))+SUMPRODUCT((Inputs!$E$5:$E$120=$B12)*Inputs!$F$5:$F$120*(((Inputs!$G$5:$G$120="moeda")+(Inputs!$G$5:$G$120="acoes"))*Inputs!$B$1+((Inputs!$G$5:$G$120&lt;&gt;"moeda")*(Inputs!$G$5:$G$120&lt;&gt;"acoes")))*INDEX(Inputs!$K$5:$AJ$120,0,MATCH(AH$2,Inputs!$K$4:$AJ$4,0)))))</f>
        <v>-52</v>
      </c>
      <c r="AI12" s="6">
        <f>IF(ISNA(MATCH(AI$2,Inputs!$K$4:$AJ$4,0)),NA(),IF(SUMPRODUCT((Inputs!$A$5:$A$120=$B12)*ISNUMBER(INDEX(Inputs!$K$5:$AJ$120,0,MATCH(AI$2,Inputs!$K$4:$AJ$4,0))))+SUMPRODUCT((Inputs!$C$5:$C$120=$B12)*ISNUMBER(INDEX(Inputs!$K$5:$AJ$120,0,MATCH(AI$2,Inputs!$K$4:$AJ$4,0))))+SUMPRODUCT((Inputs!$E$5:$E$120=$B12)*ISNUMBER(INDEX(Inputs!$K$5:$AJ$120,0,MATCH(AI$2,Inputs!$K$4:$AJ$4,0))))=0,NA(),SUMPRODUCT((Inputs!$A$5:$A$120=$B12)*Inputs!$B$5:$B$120*(((Inputs!$G$5:$G$120="moeda")+(Inputs!$G$5:$G$120="acoes"))*Inputs!$B$1+((Inputs!$G$5:$G$120&lt;&gt;"moeda")*(Inputs!$G$5:$G$120&lt;&gt;"acoes")))*INDEX(Inputs!$K$5:$AJ$120,0,MATCH(AI$2,Inputs!$K$4:$AJ$4,0)))+SUMPRODUCT((Inputs!$C$5:$C$120=$B12)*Inputs!$D$5:$D$120*(((Inputs!$G$5:$G$120="moeda")+(Inputs!$G$5:$G$120="acoes"))*Inputs!$B$1+((Inputs!$G$5:$G$120&lt;&gt;"moeda")*(Inputs!$G$5:$G$120&lt;&gt;"acoes")))*INDEX(Inputs!$K$5:$AJ$120,0,MATCH(AI$2,Inputs!$K$4:$AJ$4,0)))+SUMPRODUCT((Inputs!$E$5:$E$120=$B12)*Inputs!$F$5:$F$120*(((Inputs!$G$5:$G$120="moeda")+(Inputs!$G$5:$G$120="acoes"))*Inputs!$B$1+((Inputs!$G$5:$G$120&lt;&gt;"moeda")*(Inputs!$G$5:$G$120&lt;&gt;"acoes")))*INDEX(Inputs!$K$5:$AJ$120,0,MATCH(AI$2,Inputs!$K$4:$AJ$4,0)))))</f>
        <v>-25</v>
      </c>
      <c r="AJ12" s="6">
        <f>IF(ISNA(MATCH(AJ$2,Inputs!$K$4:$AJ$4,0)),NA(),IF(SUMPRODUCT((Inputs!$A$5:$A$120=$B12)*ISNUMBER(INDEX(Inputs!$K$5:$AJ$120,0,MATCH(AJ$2,Inputs!$K$4:$AJ$4,0))))+SUMPRODUCT((Inputs!$C$5:$C$120=$B12)*ISNUMBER(INDEX(Inputs!$K$5:$AJ$120,0,MATCH(AJ$2,Inputs!$K$4:$AJ$4,0))))+SUMPRODUCT((Inputs!$E$5:$E$120=$B12)*ISNUMBER(INDEX(Inputs!$K$5:$AJ$120,0,MATCH(AJ$2,Inputs!$K$4:$AJ$4,0))))=0,NA(),SUMPRODUCT((Inputs!$A$5:$A$120=$B12)*Inputs!$B$5:$B$120*(((Inputs!$G$5:$G$120="moeda")+(Inputs!$G$5:$G$120="acoes"))*Inputs!$B$1+((Inputs!$G$5:$G$120&lt;&gt;"moeda")*(Inputs!$G$5:$G$120&lt;&gt;"acoes")))*INDEX(Inputs!$K$5:$AJ$120,0,MATCH(AJ$2,Inputs!$K$4:$AJ$4,0)))+SUMPRODUCT((Inputs!$C$5:$C$120=$B12)*Inputs!$D$5:$D$120*(((Inputs!$G$5:$G$120="moeda")+(Inputs!$G$5:$G$120="acoes"))*Inputs!$B$1+((Inputs!$G$5:$G$120&lt;&gt;"moeda")*(Inputs!$G$5:$G$120&lt;&gt;"acoes")))*INDEX(Inputs!$K$5:$AJ$120,0,MATCH(AJ$2,Inputs!$K$4:$AJ$4,0)))+SUMPRODUCT((Inputs!$E$5:$E$120=$B12)*Inputs!$F$5:$F$120*(((Inputs!$G$5:$G$120="moeda")+(Inputs!$G$5:$G$120="acoes"))*Inputs!$B$1+((Inputs!$G$5:$G$120&lt;&gt;"moeda")*(Inputs!$G$5:$G$120&lt;&gt;"acoes")))*INDEX(Inputs!$K$5:$AJ$120,0,MATCH(AJ$2,Inputs!$K$4:$AJ$4,0)))))</f>
        <v>-38</v>
      </c>
      <c r="AK12" s="6">
        <f>IF(ISNA(MATCH(AK$2,Inputs!$K$4:$AJ$4,0)),NA(),IF(SUMPRODUCT((Inputs!$A$5:$A$120=$B12)*ISNUMBER(INDEX(Inputs!$K$5:$AJ$120,0,MATCH(AK$2,Inputs!$K$4:$AJ$4,0))))+SUMPRODUCT((Inputs!$C$5:$C$120=$B12)*ISNUMBER(INDEX(Inputs!$K$5:$AJ$120,0,MATCH(AK$2,Inputs!$K$4:$AJ$4,0))))+SUMPRODUCT((Inputs!$E$5:$E$120=$B12)*ISNUMBER(INDEX(Inputs!$K$5:$AJ$120,0,MATCH(AK$2,Inputs!$K$4:$AJ$4,0))))=0,NA(),SUMPRODUCT((Inputs!$A$5:$A$120=$B12)*Inputs!$B$5:$B$120*(((Inputs!$G$5:$G$120="moeda")+(Inputs!$G$5:$G$120="acoes"))*Inputs!$B$1+((Inputs!$G$5:$G$120&lt;&gt;"moeda")*(Inputs!$G$5:$G$120&lt;&gt;"acoes")))*INDEX(Inputs!$K$5:$AJ$120,0,MATCH(AK$2,Inputs!$K$4:$AJ$4,0)))+SUMPRODUCT((Inputs!$C$5:$C$120=$B12)*Inputs!$D$5:$D$120*(((Inputs!$G$5:$G$120="moeda")+(Inputs!$G$5:$G$120="acoes"))*Inputs!$B$1+((Inputs!$G$5:$G$120&lt;&gt;"moeda")*(Inputs!$G$5:$G$120&lt;&gt;"acoes")))*INDEX(Inputs!$K$5:$AJ$120,0,MATCH(AK$2,Inputs!$K$4:$AJ$4,0)))+SUMPRODUCT((Inputs!$E$5:$E$120=$B12)*Inputs!$F$5:$F$120*(((Inputs!$G$5:$G$120="moeda")+(Inputs!$G$5:$G$120="acoes"))*Inputs!$B$1+((Inputs!$G$5:$G$120&lt;&gt;"moeda")*(Inputs!$G$5:$G$120&lt;&gt;"acoes")))*INDEX(Inputs!$K$5:$AJ$120,0,MATCH(AK$2,Inputs!$K$4:$AJ$4,0)))))</f>
        <v>-26</v>
      </c>
      <c r="AL12" s="3">
        <f>SUM(AH12:AK12)</f>
        <v>-141</v>
      </c>
    </row>
    <row r="13">
      <c r="B13" s="46" t="n">
        <v>10</v>
      </c>
      <c r="C13" s="24" t="inlineStr">
        <is>
          <t>Common Dividends</t>
        </is>
      </c>
      <c r="D13" s="6">
        <f>IF(ISNA(MATCH(D$2,Inputs!$K$4:$AJ$4,0)),NA(),IF(SUMPRODUCT((Inputs!$A$5:$A$120=$B13)*ISNUMBER(INDEX(Inputs!$K$5:$AJ$120,0,MATCH(D$2,Inputs!$K$4:$AJ$4,0))))+SUMPRODUCT((Inputs!$C$5:$C$120=$B13)*ISNUMBER(INDEX(Inputs!$K$5:$AJ$120,0,MATCH(D$2,Inputs!$K$4:$AJ$4,0))))+SUMPRODUCT((Inputs!$E$5:$E$120=$B13)*ISNUMBER(INDEX(Inputs!$K$5:$AJ$120,0,MATCH(D$2,Inputs!$K$4:$AJ$4,0))))=0,NA(),SUMPRODUCT((Inputs!$A$5:$A$120=$B13)*Inputs!$B$5:$B$120*(((Inputs!$G$5:$G$120="moeda")+(Inputs!$G$5:$G$120="acoes"))*Inputs!$B$1+((Inputs!$G$5:$G$120&lt;&gt;"moeda")*(Inputs!$G$5:$G$120&lt;&gt;"acoes")))*INDEX(Inputs!$K$5:$AJ$120,0,MATCH(D$2,Inputs!$K$4:$AJ$4,0)))+SUMPRODUCT((Inputs!$C$5:$C$120=$B13)*Inputs!$D$5:$D$120*(((Inputs!$G$5:$G$120="moeda")+(Inputs!$G$5:$G$120="acoes"))*Inputs!$B$1+((Inputs!$G$5:$G$120&lt;&gt;"moeda")*(Inputs!$G$5:$G$120&lt;&gt;"acoes")))*INDEX(Inputs!$K$5:$AJ$120,0,MATCH(D$2,Inputs!$K$4:$AJ$4,0)))+SUMPRODUCT((Inputs!$E$5:$E$120=$B13)*Inputs!$F$5:$F$120*(((Inputs!$G$5:$G$120="moeda")+(Inputs!$G$5:$G$120="acoes"))*Inputs!$B$1+((Inputs!$G$5:$G$120&lt;&gt;"moeda")*(Inputs!$G$5:$G$120&lt;&gt;"acoes")))*INDEX(Inputs!$K$5:$AJ$120,0,MATCH(D$2,Inputs!$K$4:$AJ$4,0)))))</f>
        <v>0</v>
      </c>
      <c r="E13" s="6">
        <f>IF(ISNA(MATCH(E$2,Inputs!$K$4:$AJ$4,0)),NA(),IF(SUMPRODUCT((Inputs!$A$5:$A$120=$B13)*ISNUMBER(INDEX(Inputs!$K$5:$AJ$120,0,MATCH(E$2,Inputs!$K$4:$AJ$4,0))))+SUMPRODUCT((Inputs!$C$5:$C$120=$B13)*ISNUMBER(INDEX(Inputs!$K$5:$AJ$120,0,MATCH(E$2,Inputs!$K$4:$AJ$4,0))))+SUMPRODUCT((Inputs!$E$5:$E$120=$B13)*ISNUMBER(INDEX(Inputs!$K$5:$AJ$120,0,MATCH(E$2,Inputs!$K$4:$AJ$4,0))))=0,NA(),SUMPRODUCT((Inputs!$A$5:$A$120=$B13)*Inputs!$B$5:$B$120*(((Inputs!$G$5:$G$120="moeda")+(Inputs!$G$5:$G$120="acoes"))*Inputs!$B$1+((Inputs!$G$5:$G$120&lt;&gt;"moeda")*(Inputs!$G$5:$G$120&lt;&gt;"acoes")))*INDEX(Inputs!$K$5:$AJ$120,0,MATCH(E$2,Inputs!$K$4:$AJ$4,0)))+SUMPRODUCT((Inputs!$C$5:$C$120=$B13)*Inputs!$D$5:$D$120*(((Inputs!$G$5:$G$120="moeda")+(Inputs!$G$5:$G$120="acoes"))*Inputs!$B$1+((Inputs!$G$5:$G$120&lt;&gt;"moeda")*(Inputs!$G$5:$G$120&lt;&gt;"acoes")))*INDEX(Inputs!$K$5:$AJ$120,0,MATCH(E$2,Inputs!$K$4:$AJ$4,0)))+SUMPRODUCT((Inputs!$E$5:$E$120=$B13)*Inputs!$F$5:$F$120*(((Inputs!$G$5:$G$120="moeda")+(Inputs!$G$5:$G$120="acoes"))*Inputs!$B$1+((Inputs!$G$5:$G$120&lt;&gt;"moeda")*(Inputs!$G$5:$G$120&lt;&gt;"acoes")))*INDEX(Inputs!$K$5:$AJ$120,0,MATCH(E$2,Inputs!$K$4:$AJ$4,0)))))</f>
        <v>0</v>
      </c>
      <c r="F13" s="6">
        <f>IF(ISNA(MATCH(F$2,Inputs!$K$4:$AJ$4,0)),NA(),IF(SUMPRODUCT((Inputs!$A$5:$A$120=$B13)*ISNUMBER(INDEX(Inputs!$K$5:$AJ$120,0,MATCH(F$2,Inputs!$K$4:$AJ$4,0))))+SUMPRODUCT((Inputs!$C$5:$C$120=$B13)*ISNUMBER(INDEX(Inputs!$K$5:$AJ$120,0,MATCH(F$2,Inputs!$K$4:$AJ$4,0))))+SUMPRODUCT((Inputs!$E$5:$E$120=$B13)*ISNUMBER(INDEX(Inputs!$K$5:$AJ$120,0,MATCH(F$2,Inputs!$K$4:$AJ$4,0))))=0,NA(),SUMPRODUCT((Inputs!$A$5:$A$120=$B13)*Inputs!$B$5:$B$120*(((Inputs!$G$5:$G$120="moeda")+(Inputs!$G$5:$G$120="acoes"))*Inputs!$B$1+((Inputs!$G$5:$G$120&lt;&gt;"moeda")*(Inputs!$G$5:$G$120&lt;&gt;"acoes")))*INDEX(Inputs!$K$5:$AJ$120,0,MATCH(F$2,Inputs!$K$4:$AJ$4,0)))+SUMPRODUCT((Inputs!$C$5:$C$120=$B13)*Inputs!$D$5:$D$120*(((Inputs!$G$5:$G$120="moeda")+(Inputs!$G$5:$G$120="acoes"))*Inputs!$B$1+((Inputs!$G$5:$G$120&lt;&gt;"moeda")*(Inputs!$G$5:$G$120&lt;&gt;"acoes")))*INDEX(Inputs!$K$5:$AJ$120,0,MATCH(F$2,Inputs!$K$4:$AJ$4,0)))+SUMPRODUCT((Inputs!$E$5:$E$120=$B13)*Inputs!$F$5:$F$120*(((Inputs!$G$5:$G$120="moeda")+(Inputs!$G$5:$G$120="acoes"))*Inputs!$B$1+((Inputs!$G$5:$G$120&lt;&gt;"moeda")*(Inputs!$G$5:$G$120&lt;&gt;"acoes")))*INDEX(Inputs!$K$5:$AJ$120,0,MATCH(F$2,Inputs!$K$4:$AJ$4,0)))))</f>
        <v>0</v>
      </c>
      <c r="G13" s="6">
        <f>IF(ISNA(MATCH(G$2,Inputs!$K$4:$AJ$4,0)),NA(),IF(SUMPRODUCT((Inputs!$A$5:$A$120=$B13)*ISNUMBER(INDEX(Inputs!$K$5:$AJ$120,0,MATCH(G$2,Inputs!$K$4:$AJ$4,0))))+SUMPRODUCT((Inputs!$C$5:$C$120=$B13)*ISNUMBER(INDEX(Inputs!$K$5:$AJ$120,0,MATCH(G$2,Inputs!$K$4:$AJ$4,0))))+SUMPRODUCT((Inputs!$E$5:$E$120=$B13)*ISNUMBER(INDEX(Inputs!$K$5:$AJ$120,0,MATCH(G$2,Inputs!$K$4:$AJ$4,0))))=0,NA(),SUMPRODUCT((Inputs!$A$5:$A$120=$B13)*Inputs!$B$5:$B$120*(((Inputs!$G$5:$G$120="moeda")+(Inputs!$G$5:$G$120="acoes"))*Inputs!$B$1+((Inputs!$G$5:$G$120&lt;&gt;"moeda")*(Inputs!$G$5:$G$120&lt;&gt;"acoes")))*INDEX(Inputs!$K$5:$AJ$120,0,MATCH(G$2,Inputs!$K$4:$AJ$4,0)))+SUMPRODUCT((Inputs!$C$5:$C$120=$B13)*Inputs!$D$5:$D$120*(((Inputs!$G$5:$G$120="moeda")+(Inputs!$G$5:$G$120="acoes"))*Inputs!$B$1+((Inputs!$G$5:$G$120&lt;&gt;"moeda")*(Inputs!$G$5:$G$120&lt;&gt;"acoes")))*INDEX(Inputs!$K$5:$AJ$120,0,MATCH(G$2,Inputs!$K$4:$AJ$4,0)))+SUMPRODUCT((Inputs!$E$5:$E$120=$B13)*Inputs!$F$5:$F$120*(((Inputs!$G$5:$G$120="moeda")+(Inputs!$G$5:$G$120="acoes"))*Inputs!$B$1+((Inputs!$G$5:$G$120&lt;&gt;"moeda")*(Inputs!$G$5:$G$120&lt;&gt;"acoes")))*INDEX(Inputs!$K$5:$AJ$120,0,MATCH(G$2,Inputs!$K$4:$AJ$4,0)))))</f>
        <v>0</v>
      </c>
      <c r="H13" s="3">
        <f>SUM(D13:G13)</f>
        <v>0</v>
      </c>
      <c r="I13" s="6">
        <f>IF(ISNA(MATCH(I$2,Inputs!$K$4:$AJ$4,0)),NA(),IF(SUMPRODUCT((Inputs!$A$5:$A$120=$B13)*ISNUMBER(INDEX(Inputs!$K$5:$AJ$120,0,MATCH(I$2,Inputs!$K$4:$AJ$4,0))))+SUMPRODUCT((Inputs!$C$5:$C$120=$B13)*ISNUMBER(INDEX(Inputs!$K$5:$AJ$120,0,MATCH(I$2,Inputs!$K$4:$AJ$4,0))))+SUMPRODUCT((Inputs!$E$5:$E$120=$B13)*ISNUMBER(INDEX(Inputs!$K$5:$AJ$120,0,MATCH(I$2,Inputs!$K$4:$AJ$4,0))))=0,NA(),SUMPRODUCT((Inputs!$A$5:$A$120=$B13)*Inputs!$B$5:$B$120*(((Inputs!$G$5:$G$120="moeda")+(Inputs!$G$5:$G$120="acoes"))*Inputs!$B$1+((Inputs!$G$5:$G$120&lt;&gt;"moeda")*(Inputs!$G$5:$G$120&lt;&gt;"acoes")))*INDEX(Inputs!$K$5:$AJ$120,0,MATCH(I$2,Inputs!$K$4:$AJ$4,0)))+SUMPRODUCT((Inputs!$C$5:$C$120=$B13)*Inputs!$D$5:$D$120*(((Inputs!$G$5:$G$120="moeda")+(Inputs!$G$5:$G$120="acoes"))*Inputs!$B$1+((Inputs!$G$5:$G$120&lt;&gt;"moeda")*(Inputs!$G$5:$G$120&lt;&gt;"acoes")))*INDEX(Inputs!$K$5:$AJ$120,0,MATCH(I$2,Inputs!$K$4:$AJ$4,0)))+SUMPRODUCT((Inputs!$E$5:$E$120=$B13)*Inputs!$F$5:$F$120*(((Inputs!$G$5:$G$120="moeda")+(Inputs!$G$5:$G$120="acoes"))*Inputs!$B$1+((Inputs!$G$5:$G$120&lt;&gt;"moeda")*(Inputs!$G$5:$G$120&lt;&gt;"acoes")))*INDEX(Inputs!$K$5:$AJ$120,0,MATCH(I$2,Inputs!$K$4:$AJ$4,0)))))</f>
        <v>0</v>
      </c>
      <c r="J13" s="6">
        <f>IF(ISNA(MATCH(J$2,Inputs!$K$4:$AJ$4,0)),NA(),IF(SUMPRODUCT((Inputs!$A$5:$A$120=$B13)*ISNUMBER(INDEX(Inputs!$K$5:$AJ$120,0,MATCH(J$2,Inputs!$K$4:$AJ$4,0))))+SUMPRODUCT((Inputs!$C$5:$C$120=$B13)*ISNUMBER(INDEX(Inputs!$K$5:$AJ$120,0,MATCH(J$2,Inputs!$K$4:$AJ$4,0))))+SUMPRODUCT((Inputs!$E$5:$E$120=$B13)*ISNUMBER(INDEX(Inputs!$K$5:$AJ$120,0,MATCH(J$2,Inputs!$K$4:$AJ$4,0))))=0,NA(),SUMPRODUCT((Inputs!$A$5:$A$120=$B13)*Inputs!$B$5:$B$120*(((Inputs!$G$5:$G$120="moeda")+(Inputs!$G$5:$G$120="acoes"))*Inputs!$B$1+((Inputs!$G$5:$G$120&lt;&gt;"moeda")*(Inputs!$G$5:$G$120&lt;&gt;"acoes")))*INDEX(Inputs!$K$5:$AJ$120,0,MATCH(J$2,Inputs!$K$4:$AJ$4,0)))+SUMPRODUCT((Inputs!$C$5:$C$120=$B13)*Inputs!$D$5:$D$120*(((Inputs!$G$5:$G$120="moeda")+(Inputs!$G$5:$G$120="acoes"))*Inputs!$B$1+((Inputs!$G$5:$G$120&lt;&gt;"moeda")*(Inputs!$G$5:$G$120&lt;&gt;"acoes")))*INDEX(Inputs!$K$5:$AJ$120,0,MATCH(J$2,Inputs!$K$4:$AJ$4,0)))+SUMPRODUCT((Inputs!$E$5:$E$120=$B13)*Inputs!$F$5:$F$120*(((Inputs!$G$5:$G$120="moeda")+(Inputs!$G$5:$G$120="acoes"))*Inputs!$B$1+((Inputs!$G$5:$G$120&lt;&gt;"moeda")*(Inputs!$G$5:$G$120&lt;&gt;"acoes")))*INDEX(Inputs!$K$5:$AJ$120,0,MATCH(J$2,Inputs!$K$4:$AJ$4,0)))))</f>
        <v>0</v>
      </c>
      <c r="K13" s="6">
        <f>IF(ISNA(MATCH(K$2,Inputs!$K$4:$AJ$4,0)),NA(),IF(SUMPRODUCT((Inputs!$A$5:$A$120=$B13)*ISNUMBER(INDEX(Inputs!$K$5:$AJ$120,0,MATCH(K$2,Inputs!$K$4:$AJ$4,0))))+SUMPRODUCT((Inputs!$C$5:$C$120=$B13)*ISNUMBER(INDEX(Inputs!$K$5:$AJ$120,0,MATCH(K$2,Inputs!$K$4:$AJ$4,0))))+SUMPRODUCT((Inputs!$E$5:$E$120=$B13)*ISNUMBER(INDEX(Inputs!$K$5:$AJ$120,0,MATCH(K$2,Inputs!$K$4:$AJ$4,0))))=0,NA(),SUMPRODUCT((Inputs!$A$5:$A$120=$B13)*Inputs!$B$5:$B$120*(((Inputs!$G$5:$G$120="moeda")+(Inputs!$G$5:$G$120="acoes"))*Inputs!$B$1+((Inputs!$G$5:$G$120&lt;&gt;"moeda")*(Inputs!$G$5:$G$120&lt;&gt;"acoes")))*INDEX(Inputs!$K$5:$AJ$120,0,MATCH(K$2,Inputs!$K$4:$AJ$4,0)))+SUMPRODUCT((Inputs!$C$5:$C$120=$B13)*Inputs!$D$5:$D$120*(((Inputs!$G$5:$G$120="moeda")+(Inputs!$G$5:$G$120="acoes"))*Inputs!$B$1+((Inputs!$G$5:$G$120&lt;&gt;"moeda")*(Inputs!$G$5:$G$120&lt;&gt;"acoes")))*INDEX(Inputs!$K$5:$AJ$120,0,MATCH(K$2,Inputs!$K$4:$AJ$4,0)))+SUMPRODUCT((Inputs!$E$5:$E$120=$B13)*Inputs!$F$5:$F$120*(((Inputs!$G$5:$G$120="moeda")+(Inputs!$G$5:$G$120="acoes"))*Inputs!$B$1+((Inputs!$G$5:$G$120&lt;&gt;"moeda")*(Inputs!$G$5:$G$120&lt;&gt;"acoes")))*INDEX(Inputs!$K$5:$AJ$120,0,MATCH(K$2,Inputs!$K$4:$AJ$4,0)))))</f>
        <v>0</v>
      </c>
      <c r="L13" s="6">
        <f>IF(ISNA(MATCH(L$2,Inputs!$K$4:$AJ$4,0)),NA(),IF(SUMPRODUCT((Inputs!$A$5:$A$120=$B13)*ISNUMBER(INDEX(Inputs!$K$5:$AJ$120,0,MATCH(L$2,Inputs!$K$4:$AJ$4,0))))+SUMPRODUCT((Inputs!$C$5:$C$120=$B13)*ISNUMBER(INDEX(Inputs!$K$5:$AJ$120,0,MATCH(L$2,Inputs!$K$4:$AJ$4,0))))+SUMPRODUCT((Inputs!$E$5:$E$120=$B13)*ISNUMBER(INDEX(Inputs!$K$5:$AJ$120,0,MATCH(L$2,Inputs!$K$4:$AJ$4,0))))=0,NA(),SUMPRODUCT((Inputs!$A$5:$A$120=$B13)*Inputs!$B$5:$B$120*(((Inputs!$G$5:$G$120="moeda")+(Inputs!$G$5:$G$120="acoes"))*Inputs!$B$1+((Inputs!$G$5:$G$120&lt;&gt;"moeda")*(Inputs!$G$5:$G$120&lt;&gt;"acoes")))*INDEX(Inputs!$K$5:$AJ$120,0,MATCH(L$2,Inputs!$K$4:$AJ$4,0)))+SUMPRODUCT((Inputs!$C$5:$C$120=$B13)*Inputs!$D$5:$D$120*(((Inputs!$G$5:$G$120="moeda")+(Inputs!$G$5:$G$120="acoes"))*Inputs!$B$1+((Inputs!$G$5:$G$120&lt;&gt;"moeda")*(Inputs!$G$5:$G$120&lt;&gt;"acoes")))*INDEX(Inputs!$K$5:$AJ$120,0,MATCH(L$2,Inputs!$K$4:$AJ$4,0)))+SUMPRODUCT((Inputs!$E$5:$E$120=$B13)*Inputs!$F$5:$F$120*(((Inputs!$G$5:$G$120="moeda")+(Inputs!$G$5:$G$120="acoes"))*Inputs!$B$1+((Inputs!$G$5:$G$120&lt;&gt;"moeda")*(Inputs!$G$5:$G$120&lt;&gt;"acoes")))*INDEX(Inputs!$K$5:$AJ$120,0,MATCH(L$2,Inputs!$K$4:$AJ$4,0)))))</f>
        <v>0</v>
      </c>
      <c r="M13" s="3">
        <f>SUM(I13:L13)</f>
        <v>0</v>
      </c>
      <c r="N13" s="6">
        <f>IF(ISNA(MATCH(N$2,Inputs!$K$4:$AJ$4,0)),NA(),IF(SUMPRODUCT((Inputs!$A$5:$A$120=$B13)*ISNUMBER(INDEX(Inputs!$K$5:$AJ$120,0,MATCH(N$2,Inputs!$K$4:$AJ$4,0))))+SUMPRODUCT((Inputs!$C$5:$C$120=$B13)*ISNUMBER(INDEX(Inputs!$K$5:$AJ$120,0,MATCH(N$2,Inputs!$K$4:$AJ$4,0))))+SUMPRODUCT((Inputs!$E$5:$E$120=$B13)*ISNUMBER(INDEX(Inputs!$K$5:$AJ$120,0,MATCH(N$2,Inputs!$K$4:$AJ$4,0))))=0,NA(),SUMPRODUCT((Inputs!$A$5:$A$120=$B13)*Inputs!$B$5:$B$120*(((Inputs!$G$5:$G$120="moeda")+(Inputs!$G$5:$G$120="acoes"))*Inputs!$B$1+((Inputs!$G$5:$G$120&lt;&gt;"moeda")*(Inputs!$G$5:$G$120&lt;&gt;"acoes")))*INDEX(Inputs!$K$5:$AJ$120,0,MATCH(N$2,Inputs!$K$4:$AJ$4,0)))+SUMPRODUCT((Inputs!$C$5:$C$120=$B13)*Inputs!$D$5:$D$120*(((Inputs!$G$5:$G$120="moeda")+(Inputs!$G$5:$G$120="acoes"))*Inputs!$B$1+((Inputs!$G$5:$G$120&lt;&gt;"moeda")*(Inputs!$G$5:$G$120&lt;&gt;"acoes")))*INDEX(Inputs!$K$5:$AJ$120,0,MATCH(N$2,Inputs!$K$4:$AJ$4,0)))+SUMPRODUCT((Inputs!$E$5:$E$120=$B13)*Inputs!$F$5:$F$120*(((Inputs!$G$5:$G$120="moeda")+(Inputs!$G$5:$G$120="acoes"))*Inputs!$B$1+((Inputs!$G$5:$G$120&lt;&gt;"moeda")*(Inputs!$G$5:$G$120&lt;&gt;"acoes")))*INDEX(Inputs!$K$5:$AJ$120,0,MATCH(N$2,Inputs!$K$4:$AJ$4,0)))))</f>
        <v>0</v>
      </c>
      <c r="O13" s="6">
        <f>IF(ISNA(MATCH(O$2,Inputs!$K$4:$AJ$4,0)),NA(),IF(SUMPRODUCT((Inputs!$A$5:$A$120=$B13)*ISNUMBER(INDEX(Inputs!$K$5:$AJ$120,0,MATCH(O$2,Inputs!$K$4:$AJ$4,0))))+SUMPRODUCT((Inputs!$C$5:$C$120=$B13)*ISNUMBER(INDEX(Inputs!$K$5:$AJ$120,0,MATCH(O$2,Inputs!$K$4:$AJ$4,0))))+SUMPRODUCT((Inputs!$E$5:$E$120=$B13)*ISNUMBER(INDEX(Inputs!$K$5:$AJ$120,0,MATCH(O$2,Inputs!$K$4:$AJ$4,0))))=0,NA(),SUMPRODUCT((Inputs!$A$5:$A$120=$B13)*Inputs!$B$5:$B$120*(((Inputs!$G$5:$G$120="moeda")+(Inputs!$G$5:$G$120="acoes"))*Inputs!$B$1+((Inputs!$G$5:$G$120&lt;&gt;"moeda")*(Inputs!$G$5:$G$120&lt;&gt;"acoes")))*INDEX(Inputs!$K$5:$AJ$120,0,MATCH(O$2,Inputs!$K$4:$AJ$4,0)))+SUMPRODUCT((Inputs!$C$5:$C$120=$B13)*Inputs!$D$5:$D$120*(((Inputs!$G$5:$G$120="moeda")+(Inputs!$G$5:$G$120="acoes"))*Inputs!$B$1+((Inputs!$G$5:$G$120&lt;&gt;"moeda")*(Inputs!$G$5:$G$120&lt;&gt;"acoes")))*INDEX(Inputs!$K$5:$AJ$120,0,MATCH(O$2,Inputs!$K$4:$AJ$4,0)))+SUMPRODUCT((Inputs!$E$5:$E$120=$B13)*Inputs!$F$5:$F$120*(((Inputs!$G$5:$G$120="moeda")+(Inputs!$G$5:$G$120="acoes"))*Inputs!$B$1+((Inputs!$G$5:$G$120&lt;&gt;"moeda")*(Inputs!$G$5:$G$120&lt;&gt;"acoes")))*INDEX(Inputs!$K$5:$AJ$120,0,MATCH(O$2,Inputs!$K$4:$AJ$4,0)))))</f>
        <v>0</v>
      </c>
      <c r="P13" s="6">
        <f>IF(ISNA(MATCH(P$2,Inputs!$K$4:$AJ$4,0)),NA(),IF(SUMPRODUCT((Inputs!$A$5:$A$120=$B13)*ISNUMBER(INDEX(Inputs!$K$5:$AJ$120,0,MATCH(P$2,Inputs!$K$4:$AJ$4,0))))+SUMPRODUCT((Inputs!$C$5:$C$120=$B13)*ISNUMBER(INDEX(Inputs!$K$5:$AJ$120,0,MATCH(P$2,Inputs!$K$4:$AJ$4,0))))+SUMPRODUCT((Inputs!$E$5:$E$120=$B13)*ISNUMBER(INDEX(Inputs!$K$5:$AJ$120,0,MATCH(P$2,Inputs!$K$4:$AJ$4,0))))=0,NA(),SUMPRODUCT((Inputs!$A$5:$A$120=$B13)*Inputs!$B$5:$B$120*(((Inputs!$G$5:$G$120="moeda")+(Inputs!$G$5:$G$120="acoes"))*Inputs!$B$1+((Inputs!$G$5:$G$120&lt;&gt;"moeda")*(Inputs!$G$5:$G$120&lt;&gt;"acoes")))*INDEX(Inputs!$K$5:$AJ$120,0,MATCH(P$2,Inputs!$K$4:$AJ$4,0)))+SUMPRODUCT((Inputs!$C$5:$C$120=$B13)*Inputs!$D$5:$D$120*(((Inputs!$G$5:$G$120="moeda")+(Inputs!$G$5:$G$120="acoes"))*Inputs!$B$1+((Inputs!$G$5:$G$120&lt;&gt;"moeda")*(Inputs!$G$5:$G$120&lt;&gt;"acoes")))*INDEX(Inputs!$K$5:$AJ$120,0,MATCH(P$2,Inputs!$K$4:$AJ$4,0)))+SUMPRODUCT((Inputs!$E$5:$E$120=$B13)*Inputs!$F$5:$F$120*(((Inputs!$G$5:$G$120="moeda")+(Inputs!$G$5:$G$120="acoes"))*Inputs!$B$1+((Inputs!$G$5:$G$120&lt;&gt;"moeda")*(Inputs!$G$5:$G$120&lt;&gt;"acoes")))*INDEX(Inputs!$K$5:$AJ$120,0,MATCH(P$2,Inputs!$K$4:$AJ$4,0)))))</f>
        <v>0</v>
      </c>
      <c r="Q13" s="6">
        <f>IF(ISNA(MATCH(Q$2,Inputs!$K$4:$AJ$4,0)),NA(),IF(SUMPRODUCT((Inputs!$A$5:$A$120=$B13)*ISNUMBER(INDEX(Inputs!$K$5:$AJ$120,0,MATCH(Q$2,Inputs!$K$4:$AJ$4,0))))+SUMPRODUCT((Inputs!$C$5:$C$120=$B13)*ISNUMBER(INDEX(Inputs!$K$5:$AJ$120,0,MATCH(Q$2,Inputs!$K$4:$AJ$4,0))))+SUMPRODUCT((Inputs!$E$5:$E$120=$B13)*ISNUMBER(INDEX(Inputs!$K$5:$AJ$120,0,MATCH(Q$2,Inputs!$K$4:$AJ$4,0))))=0,NA(),SUMPRODUCT((Inputs!$A$5:$A$120=$B13)*Inputs!$B$5:$B$120*(((Inputs!$G$5:$G$120="moeda")+(Inputs!$G$5:$G$120="acoes"))*Inputs!$B$1+((Inputs!$G$5:$G$120&lt;&gt;"moeda")*(Inputs!$G$5:$G$120&lt;&gt;"acoes")))*INDEX(Inputs!$K$5:$AJ$120,0,MATCH(Q$2,Inputs!$K$4:$AJ$4,0)))+SUMPRODUCT((Inputs!$C$5:$C$120=$B13)*Inputs!$D$5:$D$120*(((Inputs!$G$5:$G$120="moeda")+(Inputs!$G$5:$G$120="acoes"))*Inputs!$B$1+((Inputs!$G$5:$G$120&lt;&gt;"moeda")*(Inputs!$G$5:$G$120&lt;&gt;"acoes")))*INDEX(Inputs!$K$5:$AJ$120,0,MATCH(Q$2,Inputs!$K$4:$AJ$4,0)))+SUMPRODUCT((Inputs!$E$5:$E$120=$B13)*Inputs!$F$5:$F$120*(((Inputs!$G$5:$G$120="moeda")+(Inputs!$G$5:$G$120="acoes"))*Inputs!$B$1+((Inputs!$G$5:$G$120&lt;&gt;"moeda")*(Inputs!$G$5:$G$120&lt;&gt;"acoes")))*INDEX(Inputs!$K$5:$AJ$120,0,MATCH(Q$2,Inputs!$K$4:$AJ$4,0)))))</f>
        <v>0</v>
      </c>
      <c r="R13" s="3">
        <f>SUM(N13:Q13)</f>
        <v>0</v>
      </c>
      <c r="S13" s="6">
        <f>IF(ISNA(MATCH(S$2,Inputs!$K$4:$AJ$4,0)),NA(),IF(SUMPRODUCT((Inputs!$A$5:$A$120=$B13)*ISNUMBER(INDEX(Inputs!$K$5:$AJ$120,0,MATCH(S$2,Inputs!$K$4:$AJ$4,0))))+SUMPRODUCT((Inputs!$C$5:$C$120=$B13)*ISNUMBER(INDEX(Inputs!$K$5:$AJ$120,0,MATCH(S$2,Inputs!$K$4:$AJ$4,0))))+SUMPRODUCT((Inputs!$E$5:$E$120=$B13)*ISNUMBER(INDEX(Inputs!$K$5:$AJ$120,0,MATCH(S$2,Inputs!$K$4:$AJ$4,0))))=0,NA(),SUMPRODUCT((Inputs!$A$5:$A$120=$B13)*Inputs!$B$5:$B$120*(((Inputs!$G$5:$G$120="moeda")+(Inputs!$G$5:$G$120="acoes"))*Inputs!$B$1+((Inputs!$G$5:$G$120&lt;&gt;"moeda")*(Inputs!$G$5:$G$120&lt;&gt;"acoes")))*INDEX(Inputs!$K$5:$AJ$120,0,MATCH(S$2,Inputs!$K$4:$AJ$4,0)))+SUMPRODUCT((Inputs!$C$5:$C$120=$B13)*Inputs!$D$5:$D$120*(((Inputs!$G$5:$G$120="moeda")+(Inputs!$G$5:$G$120="acoes"))*Inputs!$B$1+((Inputs!$G$5:$G$120&lt;&gt;"moeda")*(Inputs!$G$5:$G$120&lt;&gt;"acoes")))*INDEX(Inputs!$K$5:$AJ$120,0,MATCH(S$2,Inputs!$K$4:$AJ$4,0)))+SUMPRODUCT((Inputs!$E$5:$E$120=$B13)*Inputs!$F$5:$F$120*(((Inputs!$G$5:$G$120="moeda")+(Inputs!$G$5:$G$120="acoes"))*Inputs!$B$1+((Inputs!$G$5:$G$120&lt;&gt;"moeda")*(Inputs!$G$5:$G$120&lt;&gt;"acoes")))*INDEX(Inputs!$K$5:$AJ$120,0,MATCH(S$2,Inputs!$K$4:$AJ$4,0)))))</f>
        <v>0</v>
      </c>
      <c r="T13" s="6">
        <f>IF(ISNA(MATCH(T$2,Inputs!$K$4:$AJ$4,0)),NA(),IF(SUMPRODUCT((Inputs!$A$5:$A$120=$B13)*ISNUMBER(INDEX(Inputs!$K$5:$AJ$120,0,MATCH(T$2,Inputs!$K$4:$AJ$4,0))))+SUMPRODUCT((Inputs!$C$5:$C$120=$B13)*ISNUMBER(INDEX(Inputs!$K$5:$AJ$120,0,MATCH(T$2,Inputs!$K$4:$AJ$4,0))))+SUMPRODUCT((Inputs!$E$5:$E$120=$B13)*ISNUMBER(INDEX(Inputs!$K$5:$AJ$120,0,MATCH(T$2,Inputs!$K$4:$AJ$4,0))))=0,NA(),SUMPRODUCT((Inputs!$A$5:$A$120=$B13)*Inputs!$B$5:$B$120*(((Inputs!$G$5:$G$120="moeda")+(Inputs!$G$5:$G$120="acoes"))*Inputs!$B$1+((Inputs!$G$5:$G$120&lt;&gt;"moeda")*(Inputs!$G$5:$G$120&lt;&gt;"acoes")))*INDEX(Inputs!$K$5:$AJ$120,0,MATCH(T$2,Inputs!$K$4:$AJ$4,0)))+SUMPRODUCT((Inputs!$C$5:$C$120=$B13)*Inputs!$D$5:$D$120*(((Inputs!$G$5:$G$120="moeda")+(Inputs!$G$5:$G$120="acoes"))*Inputs!$B$1+((Inputs!$G$5:$G$120&lt;&gt;"moeda")*(Inputs!$G$5:$G$120&lt;&gt;"acoes")))*INDEX(Inputs!$K$5:$AJ$120,0,MATCH(T$2,Inputs!$K$4:$AJ$4,0)))+SUMPRODUCT((Inputs!$E$5:$E$120=$B13)*Inputs!$F$5:$F$120*(((Inputs!$G$5:$G$120="moeda")+(Inputs!$G$5:$G$120="acoes"))*Inputs!$B$1+((Inputs!$G$5:$G$120&lt;&gt;"moeda")*(Inputs!$G$5:$G$120&lt;&gt;"acoes")))*INDEX(Inputs!$K$5:$AJ$120,0,MATCH(T$2,Inputs!$K$4:$AJ$4,0)))))</f>
        <v>0</v>
      </c>
      <c r="U13" s="6">
        <f>IF(ISNA(MATCH(U$2,Inputs!$K$4:$AJ$4,0)),NA(),IF(SUMPRODUCT((Inputs!$A$5:$A$120=$B13)*ISNUMBER(INDEX(Inputs!$K$5:$AJ$120,0,MATCH(U$2,Inputs!$K$4:$AJ$4,0))))+SUMPRODUCT((Inputs!$C$5:$C$120=$B13)*ISNUMBER(INDEX(Inputs!$K$5:$AJ$120,0,MATCH(U$2,Inputs!$K$4:$AJ$4,0))))+SUMPRODUCT((Inputs!$E$5:$E$120=$B13)*ISNUMBER(INDEX(Inputs!$K$5:$AJ$120,0,MATCH(U$2,Inputs!$K$4:$AJ$4,0))))=0,NA(),SUMPRODUCT((Inputs!$A$5:$A$120=$B13)*Inputs!$B$5:$B$120*(((Inputs!$G$5:$G$120="moeda")+(Inputs!$G$5:$G$120="acoes"))*Inputs!$B$1+((Inputs!$G$5:$G$120&lt;&gt;"moeda")*(Inputs!$G$5:$G$120&lt;&gt;"acoes")))*INDEX(Inputs!$K$5:$AJ$120,0,MATCH(U$2,Inputs!$K$4:$AJ$4,0)))+SUMPRODUCT((Inputs!$C$5:$C$120=$B13)*Inputs!$D$5:$D$120*(((Inputs!$G$5:$G$120="moeda")+(Inputs!$G$5:$G$120="acoes"))*Inputs!$B$1+((Inputs!$G$5:$G$120&lt;&gt;"moeda")*(Inputs!$G$5:$G$120&lt;&gt;"acoes")))*INDEX(Inputs!$K$5:$AJ$120,0,MATCH(U$2,Inputs!$K$4:$AJ$4,0)))+SUMPRODUCT((Inputs!$E$5:$E$120=$B13)*Inputs!$F$5:$F$120*(((Inputs!$G$5:$G$120="moeda")+(Inputs!$G$5:$G$120="acoes"))*Inputs!$B$1+((Inputs!$G$5:$G$120&lt;&gt;"moeda")*(Inputs!$G$5:$G$120&lt;&gt;"acoes")))*INDEX(Inputs!$K$5:$AJ$120,0,MATCH(U$2,Inputs!$K$4:$AJ$4,0)))))</f>
        <v>0</v>
      </c>
      <c r="V13" s="6">
        <f>IF(ISNA(MATCH(V$2,Inputs!$K$4:$AJ$4,0)),NA(),IF(SUMPRODUCT((Inputs!$A$5:$A$120=$B13)*ISNUMBER(INDEX(Inputs!$K$5:$AJ$120,0,MATCH(V$2,Inputs!$K$4:$AJ$4,0))))+SUMPRODUCT((Inputs!$C$5:$C$120=$B13)*ISNUMBER(INDEX(Inputs!$K$5:$AJ$120,0,MATCH(V$2,Inputs!$K$4:$AJ$4,0))))+SUMPRODUCT((Inputs!$E$5:$E$120=$B13)*ISNUMBER(INDEX(Inputs!$K$5:$AJ$120,0,MATCH(V$2,Inputs!$K$4:$AJ$4,0))))=0,NA(),SUMPRODUCT((Inputs!$A$5:$A$120=$B13)*Inputs!$B$5:$B$120*(((Inputs!$G$5:$G$120="moeda")+(Inputs!$G$5:$G$120="acoes"))*Inputs!$B$1+((Inputs!$G$5:$G$120&lt;&gt;"moeda")*(Inputs!$G$5:$G$120&lt;&gt;"acoes")))*INDEX(Inputs!$K$5:$AJ$120,0,MATCH(V$2,Inputs!$K$4:$AJ$4,0)))+SUMPRODUCT((Inputs!$C$5:$C$120=$B13)*Inputs!$D$5:$D$120*(((Inputs!$G$5:$G$120="moeda")+(Inputs!$G$5:$G$120="acoes"))*Inputs!$B$1+((Inputs!$G$5:$G$120&lt;&gt;"moeda")*(Inputs!$G$5:$G$120&lt;&gt;"acoes")))*INDEX(Inputs!$K$5:$AJ$120,0,MATCH(V$2,Inputs!$K$4:$AJ$4,0)))+SUMPRODUCT((Inputs!$E$5:$E$120=$B13)*Inputs!$F$5:$F$120*(((Inputs!$G$5:$G$120="moeda")+(Inputs!$G$5:$G$120="acoes"))*Inputs!$B$1+((Inputs!$G$5:$G$120&lt;&gt;"moeda")*(Inputs!$G$5:$G$120&lt;&gt;"acoes")))*INDEX(Inputs!$K$5:$AJ$120,0,MATCH(V$2,Inputs!$K$4:$AJ$4,0)))))</f>
        <v>0</v>
      </c>
      <c r="W13" s="3">
        <f>SUM(S13:V13)</f>
        <v>0</v>
      </c>
      <c r="X13" s="6">
        <f>IF(ISNA(MATCH(X$2,Inputs!$K$4:$AJ$4,0)),NA(),IF(SUMPRODUCT((Inputs!$A$5:$A$120=$B13)*ISNUMBER(INDEX(Inputs!$K$5:$AJ$120,0,MATCH(X$2,Inputs!$K$4:$AJ$4,0))))+SUMPRODUCT((Inputs!$C$5:$C$120=$B13)*ISNUMBER(INDEX(Inputs!$K$5:$AJ$120,0,MATCH(X$2,Inputs!$K$4:$AJ$4,0))))+SUMPRODUCT((Inputs!$E$5:$E$120=$B13)*ISNUMBER(INDEX(Inputs!$K$5:$AJ$120,0,MATCH(X$2,Inputs!$K$4:$AJ$4,0))))=0,NA(),SUMPRODUCT((Inputs!$A$5:$A$120=$B13)*Inputs!$B$5:$B$120*(((Inputs!$G$5:$G$120="moeda")+(Inputs!$G$5:$G$120="acoes"))*Inputs!$B$1+((Inputs!$G$5:$G$120&lt;&gt;"moeda")*(Inputs!$G$5:$G$120&lt;&gt;"acoes")))*INDEX(Inputs!$K$5:$AJ$120,0,MATCH(X$2,Inputs!$K$4:$AJ$4,0)))+SUMPRODUCT((Inputs!$C$5:$C$120=$B13)*Inputs!$D$5:$D$120*(((Inputs!$G$5:$G$120="moeda")+(Inputs!$G$5:$G$120="acoes"))*Inputs!$B$1+((Inputs!$G$5:$G$120&lt;&gt;"moeda")*(Inputs!$G$5:$G$120&lt;&gt;"acoes")))*INDEX(Inputs!$K$5:$AJ$120,0,MATCH(X$2,Inputs!$K$4:$AJ$4,0)))+SUMPRODUCT((Inputs!$E$5:$E$120=$B13)*Inputs!$F$5:$F$120*(((Inputs!$G$5:$G$120="moeda")+(Inputs!$G$5:$G$120="acoes"))*Inputs!$B$1+((Inputs!$G$5:$G$120&lt;&gt;"moeda")*(Inputs!$G$5:$G$120&lt;&gt;"acoes")))*INDEX(Inputs!$K$5:$AJ$120,0,MATCH(X$2,Inputs!$K$4:$AJ$4,0)))))</f>
        <v>0</v>
      </c>
      <c r="Y13" s="6">
        <f>IF(ISNA(MATCH(Y$2,Inputs!$K$4:$AJ$4,0)),NA(),IF(SUMPRODUCT((Inputs!$A$5:$A$120=$B13)*ISNUMBER(INDEX(Inputs!$K$5:$AJ$120,0,MATCH(Y$2,Inputs!$K$4:$AJ$4,0))))+SUMPRODUCT((Inputs!$C$5:$C$120=$B13)*ISNUMBER(INDEX(Inputs!$K$5:$AJ$120,0,MATCH(Y$2,Inputs!$K$4:$AJ$4,0))))+SUMPRODUCT((Inputs!$E$5:$E$120=$B13)*ISNUMBER(INDEX(Inputs!$K$5:$AJ$120,0,MATCH(Y$2,Inputs!$K$4:$AJ$4,0))))=0,NA(),SUMPRODUCT((Inputs!$A$5:$A$120=$B13)*Inputs!$B$5:$B$120*(((Inputs!$G$5:$G$120="moeda")+(Inputs!$G$5:$G$120="acoes"))*Inputs!$B$1+((Inputs!$G$5:$G$120&lt;&gt;"moeda")*(Inputs!$G$5:$G$120&lt;&gt;"acoes")))*INDEX(Inputs!$K$5:$AJ$120,0,MATCH(Y$2,Inputs!$K$4:$AJ$4,0)))+SUMPRODUCT((Inputs!$C$5:$C$120=$B13)*Inputs!$D$5:$D$120*(((Inputs!$G$5:$G$120="moeda")+(Inputs!$G$5:$G$120="acoes"))*Inputs!$B$1+((Inputs!$G$5:$G$120&lt;&gt;"moeda")*(Inputs!$G$5:$G$120&lt;&gt;"acoes")))*INDEX(Inputs!$K$5:$AJ$120,0,MATCH(Y$2,Inputs!$K$4:$AJ$4,0)))+SUMPRODUCT((Inputs!$E$5:$E$120=$B13)*Inputs!$F$5:$F$120*(((Inputs!$G$5:$G$120="moeda")+(Inputs!$G$5:$G$120="acoes"))*Inputs!$B$1+((Inputs!$G$5:$G$120&lt;&gt;"moeda")*(Inputs!$G$5:$G$120&lt;&gt;"acoes")))*INDEX(Inputs!$K$5:$AJ$120,0,MATCH(Y$2,Inputs!$K$4:$AJ$4,0)))))</f>
        <v>0</v>
      </c>
      <c r="Z13" s="6">
        <f>IF(ISNA(MATCH(Z$2,Inputs!$K$4:$AJ$4,0)),NA(),IF(SUMPRODUCT((Inputs!$A$5:$A$120=$B13)*ISNUMBER(INDEX(Inputs!$K$5:$AJ$120,0,MATCH(Z$2,Inputs!$K$4:$AJ$4,0))))+SUMPRODUCT((Inputs!$C$5:$C$120=$B13)*ISNUMBER(INDEX(Inputs!$K$5:$AJ$120,0,MATCH(Z$2,Inputs!$K$4:$AJ$4,0))))+SUMPRODUCT((Inputs!$E$5:$E$120=$B13)*ISNUMBER(INDEX(Inputs!$K$5:$AJ$120,0,MATCH(Z$2,Inputs!$K$4:$AJ$4,0))))=0,NA(),SUMPRODUCT((Inputs!$A$5:$A$120=$B13)*Inputs!$B$5:$B$120*(((Inputs!$G$5:$G$120="moeda")+(Inputs!$G$5:$G$120="acoes"))*Inputs!$B$1+((Inputs!$G$5:$G$120&lt;&gt;"moeda")*(Inputs!$G$5:$G$120&lt;&gt;"acoes")))*INDEX(Inputs!$K$5:$AJ$120,0,MATCH(Z$2,Inputs!$K$4:$AJ$4,0)))+SUMPRODUCT((Inputs!$C$5:$C$120=$B13)*Inputs!$D$5:$D$120*(((Inputs!$G$5:$G$120="moeda")+(Inputs!$G$5:$G$120="acoes"))*Inputs!$B$1+((Inputs!$G$5:$G$120&lt;&gt;"moeda")*(Inputs!$G$5:$G$120&lt;&gt;"acoes")))*INDEX(Inputs!$K$5:$AJ$120,0,MATCH(Z$2,Inputs!$K$4:$AJ$4,0)))+SUMPRODUCT((Inputs!$E$5:$E$120=$B13)*Inputs!$F$5:$F$120*(((Inputs!$G$5:$G$120="moeda")+(Inputs!$G$5:$G$120="acoes"))*Inputs!$B$1+((Inputs!$G$5:$G$120&lt;&gt;"moeda")*(Inputs!$G$5:$G$120&lt;&gt;"acoes")))*INDEX(Inputs!$K$5:$AJ$120,0,MATCH(Z$2,Inputs!$K$4:$AJ$4,0)))))</f>
        <v>0</v>
      </c>
      <c r="AA13" s="6">
        <f>IF(ISNA(MATCH(AA$2,Inputs!$K$4:$AJ$4,0)),NA(),IF(SUMPRODUCT((Inputs!$A$5:$A$120=$B13)*ISNUMBER(INDEX(Inputs!$K$5:$AJ$120,0,MATCH(AA$2,Inputs!$K$4:$AJ$4,0))))+SUMPRODUCT((Inputs!$C$5:$C$120=$B13)*ISNUMBER(INDEX(Inputs!$K$5:$AJ$120,0,MATCH(AA$2,Inputs!$K$4:$AJ$4,0))))+SUMPRODUCT((Inputs!$E$5:$E$120=$B13)*ISNUMBER(INDEX(Inputs!$K$5:$AJ$120,0,MATCH(AA$2,Inputs!$K$4:$AJ$4,0))))=0,NA(),SUMPRODUCT((Inputs!$A$5:$A$120=$B13)*Inputs!$B$5:$B$120*(((Inputs!$G$5:$G$120="moeda")+(Inputs!$G$5:$G$120="acoes"))*Inputs!$B$1+((Inputs!$G$5:$G$120&lt;&gt;"moeda")*(Inputs!$G$5:$G$120&lt;&gt;"acoes")))*INDEX(Inputs!$K$5:$AJ$120,0,MATCH(AA$2,Inputs!$K$4:$AJ$4,0)))+SUMPRODUCT((Inputs!$C$5:$C$120=$B13)*Inputs!$D$5:$D$120*(((Inputs!$G$5:$G$120="moeda")+(Inputs!$G$5:$G$120="acoes"))*Inputs!$B$1+((Inputs!$G$5:$G$120&lt;&gt;"moeda")*(Inputs!$G$5:$G$120&lt;&gt;"acoes")))*INDEX(Inputs!$K$5:$AJ$120,0,MATCH(AA$2,Inputs!$K$4:$AJ$4,0)))+SUMPRODUCT((Inputs!$E$5:$E$120=$B13)*Inputs!$F$5:$F$120*(((Inputs!$G$5:$G$120="moeda")+(Inputs!$G$5:$G$120="acoes"))*Inputs!$B$1+((Inputs!$G$5:$G$120&lt;&gt;"moeda")*(Inputs!$G$5:$G$120&lt;&gt;"acoes")))*INDEX(Inputs!$K$5:$AJ$120,0,MATCH(AA$2,Inputs!$K$4:$AJ$4,0)))))</f>
        <v>0</v>
      </c>
      <c r="AB13" s="3">
        <f>SUM(X13:AA13)</f>
        <v>0</v>
      </c>
      <c r="AC13" s="6">
        <f>IF(ISNA(MATCH(AC$2,Inputs!$K$4:$AJ$4,0)),NA(),IF(SUMPRODUCT((Inputs!$A$5:$A$120=$B13)*ISNUMBER(INDEX(Inputs!$K$5:$AJ$120,0,MATCH(AC$2,Inputs!$K$4:$AJ$4,0))))+SUMPRODUCT((Inputs!$C$5:$C$120=$B13)*ISNUMBER(INDEX(Inputs!$K$5:$AJ$120,0,MATCH(AC$2,Inputs!$K$4:$AJ$4,0))))+SUMPRODUCT((Inputs!$E$5:$E$120=$B13)*ISNUMBER(INDEX(Inputs!$K$5:$AJ$120,0,MATCH(AC$2,Inputs!$K$4:$AJ$4,0))))=0,NA(),SUMPRODUCT((Inputs!$A$5:$A$120=$B13)*Inputs!$B$5:$B$120*(((Inputs!$G$5:$G$120="moeda")+(Inputs!$G$5:$G$120="acoes"))*Inputs!$B$1+((Inputs!$G$5:$G$120&lt;&gt;"moeda")*(Inputs!$G$5:$G$120&lt;&gt;"acoes")))*INDEX(Inputs!$K$5:$AJ$120,0,MATCH(AC$2,Inputs!$K$4:$AJ$4,0)))+SUMPRODUCT((Inputs!$C$5:$C$120=$B13)*Inputs!$D$5:$D$120*(((Inputs!$G$5:$G$120="moeda")+(Inputs!$G$5:$G$120="acoes"))*Inputs!$B$1+((Inputs!$G$5:$G$120&lt;&gt;"moeda")*(Inputs!$G$5:$G$120&lt;&gt;"acoes")))*INDEX(Inputs!$K$5:$AJ$120,0,MATCH(AC$2,Inputs!$K$4:$AJ$4,0)))+SUMPRODUCT((Inputs!$E$5:$E$120=$B13)*Inputs!$F$5:$F$120*(((Inputs!$G$5:$G$120="moeda")+(Inputs!$G$5:$G$120="acoes"))*Inputs!$B$1+((Inputs!$G$5:$G$120&lt;&gt;"moeda")*(Inputs!$G$5:$G$120&lt;&gt;"acoes")))*INDEX(Inputs!$K$5:$AJ$120,0,MATCH(AC$2,Inputs!$K$4:$AJ$4,0)))))</f>
        <v>0</v>
      </c>
      <c r="AD13" s="6">
        <f>IF(ISNA(MATCH(AD$2,Inputs!$K$4:$AJ$4,0)),NA(),IF(SUMPRODUCT((Inputs!$A$5:$A$120=$B13)*ISNUMBER(INDEX(Inputs!$K$5:$AJ$120,0,MATCH(AD$2,Inputs!$K$4:$AJ$4,0))))+SUMPRODUCT((Inputs!$C$5:$C$120=$B13)*ISNUMBER(INDEX(Inputs!$K$5:$AJ$120,0,MATCH(AD$2,Inputs!$K$4:$AJ$4,0))))+SUMPRODUCT((Inputs!$E$5:$E$120=$B13)*ISNUMBER(INDEX(Inputs!$K$5:$AJ$120,0,MATCH(AD$2,Inputs!$K$4:$AJ$4,0))))=0,NA(),SUMPRODUCT((Inputs!$A$5:$A$120=$B13)*Inputs!$B$5:$B$120*(((Inputs!$G$5:$G$120="moeda")+(Inputs!$G$5:$G$120="acoes"))*Inputs!$B$1+((Inputs!$G$5:$G$120&lt;&gt;"moeda")*(Inputs!$G$5:$G$120&lt;&gt;"acoes")))*INDEX(Inputs!$K$5:$AJ$120,0,MATCH(AD$2,Inputs!$K$4:$AJ$4,0)))+SUMPRODUCT((Inputs!$C$5:$C$120=$B13)*Inputs!$D$5:$D$120*(((Inputs!$G$5:$G$120="moeda")+(Inputs!$G$5:$G$120="acoes"))*Inputs!$B$1+((Inputs!$G$5:$G$120&lt;&gt;"moeda")*(Inputs!$G$5:$G$120&lt;&gt;"acoes")))*INDEX(Inputs!$K$5:$AJ$120,0,MATCH(AD$2,Inputs!$K$4:$AJ$4,0)))+SUMPRODUCT((Inputs!$E$5:$E$120=$B13)*Inputs!$F$5:$F$120*(((Inputs!$G$5:$G$120="moeda")+(Inputs!$G$5:$G$120="acoes"))*Inputs!$B$1+((Inputs!$G$5:$G$120&lt;&gt;"moeda")*(Inputs!$G$5:$G$120&lt;&gt;"acoes")))*INDEX(Inputs!$K$5:$AJ$120,0,MATCH(AD$2,Inputs!$K$4:$AJ$4,0)))))</f>
        <v>0</v>
      </c>
      <c r="AE13" s="6" t="e">
        <f>IF(ISNA(MATCH(AE$2,Inputs!$K$4:$AJ$4,0)),NA(),IF(SUMPRODUCT((Inputs!$A$5:$A$120=$B13)*ISNUMBER(INDEX(Inputs!$K$5:$AJ$120,0,MATCH(AE$2,Inputs!$K$4:$AJ$4,0))))+SUMPRODUCT((Inputs!$C$5:$C$120=$B13)*ISNUMBER(INDEX(Inputs!$K$5:$AJ$120,0,MATCH(AE$2,Inputs!$K$4:$AJ$4,0))))+SUMPRODUCT((Inputs!$E$5:$E$120=$B13)*ISNUMBER(INDEX(Inputs!$K$5:$AJ$120,0,MATCH(AE$2,Inputs!$K$4:$AJ$4,0))))=0,NA(),SUMPRODUCT((Inputs!$A$5:$A$120=$B13)*Inputs!$B$5:$B$120*(((Inputs!$G$5:$G$120="moeda")+(Inputs!$G$5:$G$120="acoes"))*Inputs!$B$1+((Inputs!$G$5:$G$120&lt;&gt;"moeda")*(Inputs!$G$5:$G$120&lt;&gt;"acoes")))*INDEX(Inputs!$K$5:$AJ$120,0,MATCH(AE$2,Inputs!$K$4:$AJ$4,0)))+SUMPRODUCT((Inputs!$C$5:$C$120=$B13)*Inputs!$D$5:$D$120*(((Inputs!$G$5:$G$120="moeda")+(Inputs!$G$5:$G$120="acoes"))*Inputs!$B$1+((Inputs!$G$5:$G$120&lt;&gt;"moeda")*(Inputs!$G$5:$G$120&lt;&gt;"acoes")))*INDEX(Inputs!$K$5:$AJ$120,0,MATCH(AE$2,Inputs!$K$4:$AJ$4,0)))+SUMPRODUCT((Inputs!$E$5:$E$120=$B13)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13" s="6" t="e">
        <f>IF(ISNA(MATCH(AF$2,Inputs!$K$4:$AJ$4,0)),NA(),IF(SUMPRODUCT((Inputs!$A$5:$A$120=$B13)*ISNUMBER(INDEX(Inputs!$K$5:$AJ$120,0,MATCH(AF$2,Inputs!$K$4:$AJ$4,0))))+SUMPRODUCT((Inputs!$C$5:$C$120=$B13)*ISNUMBER(INDEX(Inputs!$K$5:$AJ$120,0,MATCH(AF$2,Inputs!$K$4:$AJ$4,0))))+SUMPRODUCT((Inputs!$E$5:$E$120=$B13)*ISNUMBER(INDEX(Inputs!$K$5:$AJ$120,0,MATCH(AF$2,Inputs!$K$4:$AJ$4,0))))=0,NA(),SUMPRODUCT((Inputs!$A$5:$A$120=$B13)*Inputs!$B$5:$B$120*(((Inputs!$G$5:$G$120="moeda")+(Inputs!$G$5:$G$120="acoes"))*Inputs!$B$1+((Inputs!$G$5:$G$120&lt;&gt;"moeda")*(Inputs!$G$5:$G$120&lt;&gt;"acoes")))*INDEX(Inputs!$K$5:$AJ$120,0,MATCH(AF$2,Inputs!$K$4:$AJ$4,0)))+SUMPRODUCT((Inputs!$C$5:$C$120=$B13)*Inputs!$D$5:$D$120*(((Inputs!$G$5:$G$120="moeda")+(Inputs!$G$5:$G$120="acoes"))*Inputs!$B$1+((Inputs!$G$5:$G$120&lt;&gt;"moeda")*(Inputs!$G$5:$G$120&lt;&gt;"acoes")))*INDEX(Inputs!$K$5:$AJ$120,0,MATCH(AF$2,Inputs!$K$4:$AJ$4,0)))+SUMPRODUCT((Inputs!$E$5:$E$120=$B13)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13" s="3" t="e">
        <f>SUM(AC13:AF13)</f>
        <v>#N/A</v>
      </c>
      <c r="AH13" s="6">
        <f>IF(ISNA(MATCH(AH$2,Inputs!$K$4:$AJ$4,0)),NA(),IF(SUMPRODUCT((Inputs!$A$5:$A$120=$B13)*ISNUMBER(INDEX(Inputs!$K$5:$AJ$120,0,MATCH(AH$2,Inputs!$K$4:$AJ$4,0))))+SUMPRODUCT((Inputs!$C$5:$C$120=$B13)*ISNUMBER(INDEX(Inputs!$K$5:$AJ$120,0,MATCH(AH$2,Inputs!$K$4:$AJ$4,0))))+SUMPRODUCT((Inputs!$E$5:$E$120=$B13)*ISNUMBER(INDEX(Inputs!$K$5:$AJ$120,0,MATCH(AH$2,Inputs!$K$4:$AJ$4,0))))=0,NA(),SUMPRODUCT((Inputs!$A$5:$A$120=$B13)*Inputs!$B$5:$B$120*(((Inputs!$G$5:$G$120="moeda")+(Inputs!$G$5:$G$120="acoes"))*Inputs!$B$1+((Inputs!$G$5:$G$120&lt;&gt;"moeda")*(Inputs!$G$5:$G$120&lt;&gt;"acoes")))*INDEX(Inputs!$K$5:$AJ$120,0,MATCH(AH$2,Inputs!$K$4:$AJ$4,0)))+SUMPRODUCT((Inputs!$C$5:$C$120=$B13)*Inputs!$D$5:$D$120*(((Inputs!$G$5:$G$120="moeda")+(Inputs!$G$5:$G$120="acoes"))*Inputs!$B$1+((Inputs!$G$5:$G$120&lt;&gt;"moeda")*(Inputs!$G$5:$G$120&lt;&gt;"acoes")))*INDEX(Inputs!$K$5:$AJ$120,0,MATCH(AH$2,Inputs!$K$4:$AJ$4,0)))+SUMPRODUCT((Inputs!$E$5:$E$120=$B13)*Inputs!$F$5:$F$120*(((Inputs!$G$5:$G$120="moeda")+(Inputs!$G$5:$G$120="acoes"))*Inputs!$B$1+((Inputs!$G$5:$G$120&lt;&gt;"moeda")*(Inputs!$G$5:$G$120&lt;&gt;"acoes")))*INDEX(Inputs!$K$5:$AJ$120,0,MATCH(AH$2,Inputs!$K$4:$AJ$4,0)))))</f>
        <v>0</v>
      </c>
      <c r="AI13" s="6">
        <f>IF(ISNA(MATCH(AI$2,Inputs!$K$4:$AJ$4,0)),NA(),IF(SUMPRODUCT((Inputs!$A$5:$A$120=$B13)*ISNUMBER(INDEX(Inputs!$K$5:$AJ$120,0,MATCH(AI$2,Inputs!$K$4:$AJ$4,0))))+SUMPRODUCT((Inputs!$C$5:$C$120=$B13)*ISNUMBER(INDEX(Inputs!$K$5:$AJ$120,0,MATCH(AI$2,Inputs!$K$4:$AJ$4,0))))+SUMPRODUCT((Inputs!$E$5:$E$120=$B13)*ISNUMBER(INDEX(Inputs!$K$5:$AJ$120,0,MATCH(AI$2,Inputs!$K$4:$AJ$4,0))))=0,NA(),SUMPRODUCT((Inputs!$A$5:$A$120=$B13)*Inputs!$B$5:$B$120*(((Inputs!$G$5:$G$120="moeda")+(Inputs!$G$5:$G$120="acoes"))*Inputs!$B$1+((Inputs!$G$5:$G$120&lt;&gt;"moeda")*(Inputs!$G$5:$G$120&lt;&gt;"acoes")))*INDEX(Inputs!$K$5:$AJ$120,0,MATCH(AI$2,Inputs!$K$4:$AJ$4,0)))+SUMPRODUCT((Inputs!$C$5:$C$120=$B13)*Inputs!$D$5:$D$120*(((Inputs!$G$5:$G$120="moeda")+(Inputs!$G$5:$G$120="acoes"))*Inputs!$B$1+((Inputs!$G$5:$G$120&lt;&gt;"moeda")*(Inputs!$G$5:$G$120&lt;&gt;"acoes")))*INDEX(Inputs!$K$5:$AJ$120,0,MATCH(AI$2,Inputs!$K$4:$AJ$4,0)))+SUMPRODUCT((Inputs!$E$5:$E$120=$B13)*Inputs!$F$5:$F$120*(((Inputs!$G$5:$G$120="moeda")+(Inputs!$G$5:$G$120="acoes"))*Inputs!$B$1+((Inputs!$G$5:$G$120&lt;&gt;"moeda")*(Inputs!$G$5:$G$120&lt;&gt;"acoes")))*INDEX(Inputs!$K$5:$AJ$120,0,MATCH(AI$2,Inputs!$K$4:$AJ$4,0)))))</f>
        <v>0</v>
      </c>
      <c r="AJ13" s="6">
        <f>IF(ISNA(MATCH(AJ$2,Inputs!$K$4:$AJ$4,0)),NA(),IF(SUMPRODUCT((Inputs!$A$5:$A$120=$B13)*ISNUMBER(INDEX(Inputs!$K$5:$AJ$120,0,MATCH(AJ$2,Inputs!$K$4:$AJ$4,0))))+SUMPRODUCT((Inputs!$C$5:$C$120=$B13)*ISNUMBER(INDEX(Inputs!$K$5:$AJ$120,0,MATCH(AJ$2,Inputs!$K$4:$AJ$4,0))))+SUMPRODUCT((Inputs!$E$5:$E$120=$B13)*ISNUMBER(INDEX(Inputs!$K$5:$AJ$120,0,MATCH(AJ$2,Inputs!$K$4:$AJ$4,0))))=0,NA(),SUMPRODUCT((Inputs!$A$5:$A$120=$B13)*Inputs!$B$5:$B$120*(((Inputs!$G$5:$G$120="moeda")+(Inputs!$G$5:$G$120="acoes"))*Inputs!$B$1+((Inputs!$G$5:$G$120&lt;&gt;"moeda")*(Inputs!$G$5:$G$120&lt;&gt;"acoes")))*INDEX(Inputs!$K$5:$AJ$120,0,MATCH(AJ$2,Inputs!$K$4:$AJ$4,0)))+SUMPRODUCT((Inputs!$C$5:$C$120=$B13)*Inputs!$D$5:$D$120*(((Inputs!$G$5:$G$120="moeda")+(Inputs!$G$5:$G$120="acoes"))*Inputs!$B$1+((Inputs!$G$5:$G$120&lt;&gt;"moeda")*(Inputs!$G$5:$G$120&lt;&gt;"acoes")))*INDEX(Inputs!$K$5:$AJ$120,0,MATCH(AJ$2,Inputs!$K$4:$AJ$4,0)))+SUMPRODUCT((Inputs!$E$5:$E$120=$B13)*Inputs!$F$5:$F$120*(((Inputs!$G$5:$G$120="moeda")+(Inputs!$G$5:$G$120="acoes"))*Inputs!$B$1+((Inputs!$G$5:$G$120&lt;&gt;"moeda")*(Inputs!$G$5:$G$120&lt;&gt;"acoes")))*INDEX(Inputs!$K$5:$AJ$120,0,MATCH(AJ$2,Inputs!$K$4:$AJ$4,0)))))</f>
        <v>0</v>
      </c>
      <c r="AK13" s="6">
        <f>IF(ISNA(MATCH(AK$2,Inputs!$K$4:$AJ$4,0)),NA(),IF(SUMPRODUCT((Inputs!$A$5:$A$120=$B13)*ISNUMBER(INDEX(Inputs!$K$5:$AJ$120,0,MATCH(AK$2,Inputs!$K$4:$AJ$4,0))))+SUMPRODUCT((Inputs!$C$5:$C$120=$B13)*ISNUMBER(INDEX(Inputs!$K$5:$AJ$120,0,MATCH(AK$2,Inputs!$K$4:$AJ$4,0))))+SUMPRODUCT((Inputs!$E$5:$E$120=$B13)*ISNUMBER(INDEX(Inputs!$K$5:$AJ$120,0,MATCH(AK$2,Inputs!$K$4:$AJ$4,0))))=0,NA(),SUMPRODUCT((Inputs!$A$5:$A$120=$B13)*Inputs!$B$5:$B$120*(((Inputs!$G$5:$G$120="moeda")+(Inputs!$G$5:$G$120="acoes"))*Inputs!$B$1+((Inputs!$G$5:$G$120&lt;&gt;"moeda")*(Inputs!$G$5:$G$120&lt;&gt;"acoes")))*INDEX(Inputs!$K$5:$AJ$120,0,MATCH(AK$2,Inputs!$K$4:$AJ$4,0)))+SUMPRODUCT((Inputs!$C$5:$C$120=$B13)*Inputs!$D$5:$D$120*(((Inputs!$G$5:$G$120="moeda")+(Inputs!$G$5:$G$120="acoes"))*Inputs!$B$1+((Inputs!$G$5:$G$120&lt;&gt;"moeda")*(Inputs!$G$5:$G$120&lt;&gt;"acoes")))*INDEX(Inputs!$K$5:$AJ$120,0,MATCH(AK$2,Inputs!$K$4:$AJ$4,0)))+SUMPRODUCT((Inputs!$E$5:$E$120=$B13)*Inputs!$F$5:$F$120*(((Inputs!$G$5:$G$120="moeda")+(Inputs!$G$5:$G$120="acoes"))*Inputs!$B$1+((Inputs!$G$5:$G$120&lt;&gt;"moeda")*(Inputs!$G$5:$G$120&lt;&gt;"acoes")))*INDEX(Inputs!$K$5:$AJ$120,0,MATCH(AK$2,Inputs!$K$4:$AJ$4,0)))))</f>
        <v>0</v>
      </c>
      <c r="AL13" s="3">
        <f>SUM(AH13:AK13)</f>
        <v>0</v>
      </c>
    </row>
    <row r="14">
      <c r="D14" s="3" t="n"/>
    </row>
    <row r="15">
      <c r="B15" s="46" t="n">
        <v>11</v>
      </c>
      <c r="C15" s="24" t="inlineStr">
        <is>
          <t>Cash and equivalents (inc. investment securities)</t>
        </is>
      </c>
      <c r="D15" s="6">
        <f>IF(ISNA(MATCH(D$2,Inputs!$K$4:$AJ$4,0)),NA(),IF(SUMPRODUCT((Inputs!$A$5:$A$120=$B15)*ISNUMBER(INDEX(Inputs!$K$5:$AJ$120,0,MATCH(D$2,Inputs!$K$4:$AJ$4,0))))+SUMPRODUCT((Inputs!$C$5:$C$120=$B15)*ISNUMBER(INDEX(Inputs!$K$5:$AJ$120,0,MATCH(D$2,Inputs!$K$4:$AJ$4,0))))+SUMPRODUCT((Inputs!$E$5:$E$120=$B15)*ISNUMBER(INDEX(Inputs!$K$5:$AJ$120,0,MATCH(D$2,Inputs!$K$4:$AJ$4,0))))=0,NA(),SUMPRODUCT((Inputs!$A$5:$A$120=$B15)*Inputs!$B$5:$B$120*(((Inputs!$G$5:$G$120="moeda")+(Inputs!$G$5:$G$120="acoes"))*Inputs!$B$1+((Inputs!$G$5:$G$120&lt;&gt;"moeda")*(Inputs!$G$5:$G$120&lt;&gt;"acoes")))*INDEX(Inputs!$K$5:$AJ$120,0,MATCH(D$2,Inputs!$K$4:$AJ$4,0)))+SUMPRODUCT((Inputs!$C$5:$C$120=$B15)*Inputs!$D$5:$D$120*(((Inputs!$G$5:$G$120="moeda")+(Inputs!$G$5:$G$120="acoes"))*Inputs!$B$1+((Inputs!$G$5:$G$120&lt;&gt;"moeda")*(Inputs!$G$5:$G$120&lt;&gt;"acoes")))*INDEX(Inputs!$K$5:$AJ$120,0,MATCH(D$2,Inputs!$K$4:$AJ$4,0)))+SUMPRODUCT((Inputs!$E$5:$E$120=$B15)*Inputs!$F$5:$F$120*(((Inputs!$G$5:$G$120="moeda")+(Inputs!$G$5:$G$120="acoes"))*Inputs!$B$1+((Inputs!$G$5:$G$120&lt;&gt;"moeda")*(Inputs!$G$5:$G$120&lt;&gt;"acoes")))*INDEX(Inputs!$K$5:$AJ$120,0,MATCH(D$2,Inputs!$K$4:$AJ$4,0)))))</f>
        <v>17141</v>
      </c>
      <c r="E15" s="6">
        <f>IF(ISNA(MATCH(E$2,Inputs!$K$4:$AJ$4,0)),NA(),IF(SUMPRODUCT((Inputs!$A$5:$A$120=$B15)*ISNUMBER(INDEX(Inputs!$K$5:$AJ$120,0,MATCH(E$2,Inputs!$K$4:$AJ$4,0))))+SUMPRODUCT((Inputs!$C$5:$C$120=$B15)*ISNUMBER(INDEX(Inputs!$K$5:$AJ$120,0,MATCH(E$2,Inputs!$K$4:$AJ$4,0))))+SUMPRODUCT((Inputs!$E$5:$E$120=$B15)*ISNUMBER(INDEX(Inputs!$K$5:$AJ$120,0,MATCH(E$2,Inputs!$K$4:$AJ$4,0))))=0,NA(),SUMPRODUCT((Inputs!$A$5:$A$120=$B15)*Inputs!$B$5:$B$120*(((Inputs!$G$5:$G$120="moeda")+(Inputs!$G$5:$G$120="acoes"))*Inputs!$B$1+((Inputs!$G$5:$G$120&lt;&gt;"moeda")*(Inputs!$G$5:$G$120&lt;&gt;"acoes")))*INDEX(Inputs!$K$5:$AJ$120,0,MATCH(E$2,Inputs!$K$4:$AJ$4,0)))+SUMPRODUCT((Inputs!$C$5:$C$120=$B15)*Inputs!$D$5:$D$120*(((Inputs!$G$5:$G$120="moeda")+(Inputs!$G$5:$G$120="acoes"))*Inputs!$B$1+((Inputs!$G$5:$G$120&lt;&gt;"moeda")*(Inputs!$G$5:$G$120&lt;&gt;"acoes")))*INDEX(Inputs!$K$5:$AJ$120,0,MATCH(E$2,Inputs!$K$4:$AJ$4,0)))+SUMPRODUCT((Inputs!$E$5:$E$120=$B15)*Inputs!$F$5:$F$120*(((Inputs!$G$5:$G$120="moeda")+(Inputs!$G$5:$G$120="acoes"))*Inputs!$B$1+((Inputs!$G$5:$G$120&lt;&gt;"moeda")*(Inputs!$G$5:$G$120&lt;&gt;"acoes")))*INDEX(Inputs!$K$5:$AJ$120,0,MATCH(E$2,Inputs!$K$4:$AJ$4,0)))))</f>
        <v>16229</v>
      </c>
      <c r="F15" s="6">
        <f>IF(ISNA(MATCH(F$2,Inputs!$K$4:$AJ$4,0)),NA(),IF(SUMPRODUCT((Inputs!$A$5:$A$120=$B15)*ISNUMBER(INDEX(Inputs!$K$5:$AJ$120,0,MATCH(F$2,Inputs!$K$4:$AJ$4,0))))+SUMPRODUCT((Inputs!$C$5:$C$120=$B15)*ISNUMBER(INDEX(Inputs!$K$5:$AJ$120,0,MATCH(F$2,Inputs!$K$4:$AJ$4,0))))+SUMPRODUCT((Inputs!$E$5:$E$120=$B15)*ISNUMBER(INDEX(Inputs!$K$5:$AJ$120,0,MATCH(F$2,Inputs!$K$4:$AJ$4,0))))=0,NA(),SUMPRODUCT((Inputs!$A$5:$A$120=$B15)*Inputs!$B$5:$B$120*(((Inputs!$G$5:$G$120="moeda")+(Inputs!$G$5:$G$120="acoes"))*Inputs!$B$1+((Inputs!$G$5:$G$120&lt;&gt;"moeda")*(Inputs!$G$5:$G$120&lt;&gt;"acoes")))*INDEX(Inputs!$K$5:$AJ$120,0,MATCH(F$2,Inputs!$K$4:$AJ$4,0)))+SUMPRODUCT((Inputs!$C$5:$C$120=$B15)*Inputs!$D$5:$D$120*(((Inputs!$G$5:$G$120="moeda")+(Inputs!$G$5:$G$120="acoes"))*Inputs!$B$1+((Inputs!$G$5:$G$120&lt;&gt;"moeda")*(Inputs!$G$5:$G$120&lt;&gt;"acoes")))*INDEX(Inputs!$K$5:$AJ$120,0,MATCH(F$2,Inputs!$K$4:$AJ$4,0)))+SUMPRODUCT((Inputs!$E$5:$E$120=$B15)*Inputs!$F$5:$F$120*(((Inputs!$G$5:$G$120="moeda")+(Inputs!$G$5:$G$120="acoes"))*Inputs!$B$1+((Inputs!$G$5:$G$120&lt;&gt;"moeda")*(Inputs!$G$5:$G$120&lt;&gt;"acoes")))*INDEX(Inputs!$K$5:$AJ$120,0,MATCH(F$2,Inputs!$K$4:$AJ$4,0)))))</f>
        <v>16095</v>
      </c>
      <c r="G15" s="6">
        <f>IF(ISNA(MATCH(G$2,Inputs!$K$4:$AJ$4,0)),NA(),IF(SUMPRODUCT((Inputs!$A$5:$A$120=$B15)*ISNUMBER(INDEX(Inputs!$K$5:$AJ$120,0,MATCH(G$2,Inputs!$K$4:$AJ$4,0))))+SUMPRODUCT((Inputs!$C$5:$C$120=$B15)*ISNUMBER(INDEX(Inputs!$K$5:$AJ$120,0,MATCH(G$2,Inputs!$K$4:$AJ$4,0))))+SUMPRODUCT((Inputs!$E$5:$E$120=$B15)*ISNUMBER(INDEX(Inputs!$K$5:$AJ$120,0,MATCH(G$2,Inputs!$K$4:$AJ$4,0))))=0,NA(),SUMPRODUCT((Inputs!$A$5:$A$120=$B15)*Inputs!$B$5:$B$120*(((Inputs!$G$5:$G$120="moeda")+(Inputs!$G$5:$G$120="acoes"))*Inputs!$B$1+((Inputs!$G$5:$G$120&lt;&gt;"moeda")*(Inputs!$G$5:$G$120&lt;&gt;"acoes")))*INDEX(Inputs!$K$5:$AJ$120,0,MATCH(G$2,Inputs!$K$4:$AJ$4,0)))+SUMPRODUCT((Inputs!$C$5:$C$120=$B15)*Inputs!$D$5:$D$120*(((Inputs!$G$5:$G$120="moeda")+(Inputs!$G$5:$G$120="acoes"))*Inputs!$B$1+((Inputs!$G$5:$G$120&lt;&gt;"moeda")*(Inputs!$G$5:$G$120&lt;&gt;"acoes")))*INDEX(Inputs!$K$5:$AJ$120,0,MATCH(G$2,Inputs!$K$4:$AJ$4,0)))+SUMPRODUCT((Inputs!$E$5:$E$120=$B15)*Inputs!$F$5:$F$120*(((Inputs!$G$5:$G$120="moeda")+(Inputs!$G$5:$G$120="acoes"))*Inputs!$B$1+((Inputs!$G$5:$G$120&lt;&gt;"moeda")*(Inputs!$G$5:$G$120&lt;&gt;"acoes")))*INDEX(Inputs!$K$5:$AJ$120,0,MATCH(G$2,Inputs!$K$4:$AJ$4,0)))))</f>
        <v>17707</v>
      </c>
      <c r="H15" s="3">
        <f>G15</f>
        <v>17707</v>
      </c>
      <c r="I15" s="6">
        <f>IF(ISNA(MATCH(I$2,Inputs!$K$4:$AJ$4,0)),NA(),IF(SUMPRODUCT((Inputs!$A$5:$A$120=$B15)*ISNUMBER(INDEX(Inputs!$K$5:$AJ$120,0,MATCH(I$2,Inputs!$K$4:$AJ$4,0))))+SUMPRODUCT((Inputs!$C$5:$C$120=$B15)*ISNUMBER(INDEX(Inputs!$K$5:$AJ$120,0,MATCH(I$2,Inputs!$K$4:$AJ$4,0))))+SUMPRODUCT((Inputs!$E$5:$E$120=$B15)*ISNUMBER(INDEX(Inputs!$K$5:$AJ$120,0,MATCH(I$2,Inputs!$K$4:$AJ$4,0))))=0,NA(),SUMPRODUCT((Inputs!$A$5:$A$120=$B15)*Inputs!$B$5:$B$120*(((Inputs!$G$5:$G$120="moeda")+(Inputs!$G$5:$G$120="acoes"))*Inputs!$B$1+((Inputs!$G$5:$G$120&lt;&gt;"moeda")*(Inputs!$G$5:$G$120&lt;&gt;"acoes")))*INDEX(Inputs!$K$5:$AJ$120,0,MATCH(I$2,Inputs!$K$4:$AJ$4,0)))+SUMPRODUCT((Inputs!$C$5:$C$120=$B15)*Inputs!$D$5:$D$120*(((Inputs!$G$5:$G$120="moeda")+(Inputs!$G$5:$G$120="acoes"))*Inputs!$B$1+((Inputs!$G$5:$G$120&lt;&gt;"moeda")*(Inputs!$G$5:$G$120&lt;&gt;"acoes")))*INDEX(Inputs!$K$5:$AJ$120,0,MATCH(I$2,Inputs!$K$4:$AJ$4,0)))+SUMPRODUCT((Inputs!$E$5:$E$120=$B15)*Inputs!$F$5:$F$120*(((Inputs!$G$5:$G$120="moeda")+(Inputs!$G$5:$G$120="acoes"))*Inputs!$B$1+((Inputs!$G$5:$G$120&lt;&gt;"moeda")*(Inputs!$G$5:$G$120&lt;&gt;"acoes")))*INDEX(Inputs!$K$5:$AJ$120,0,MATCH(I$2,Inputs!$K$4:$AJ$4,0)))))</f>
        <v>18013</v>
      </c>
      <c r="J15" s="6">
        <f>IF(ISNA(MATCH(J$2,Inputs!$K$4:$AJ$4,0)),NA(),IF(SUMPRODUCT((Inputs!$A$5:$A$120=$B15)*ISNUMBER(INDEX(Inputs!$K$5:$AJ$120,0,MATCH(J$2,Inputs!$K$4:$AJ$4,0))))+SUMPRODUCT((Inputs!$C$5:$C$120=$B15)*ISNUMBER(INDEX(Inputs!$K$5:$AJ$120,0,MATCH(J$2,Inputs!$K$4:$AJ$4,0))))+SUMPRODUCT((Inputs!$E$5:$E$120=$B15)*ISNUMBER(INDEX(Inputs!$K$5:$AJ$120,0,MATCH(J$2,Inputs!$K$4:$AJ$4,0))))=0,NA(),SUMPRODUCT((Inputs!$A$5:$A$120=$B15)*Inputs!$B$5:$B$120*(((Inputs!$G$5:$G$120="moeda")+(Inputs!$G$5:$G$120="acoes"))*Inputs!$B$1+((Inputs!$G$5:$G$120&lt;&gt;"moeda")*(Inputs!$G$5:$G$120&lt;&gt;"acoes")))*INDEX(Inputs!$K$5:$AJ$120,0,MATCH(J$2,Inputs!$K$4:$AJ$4,0)))+SUMPRODUCT((Inputs!$C$5:$C$120=$B15)*Inputs!$D$5:$D$120*(((Inputs!$G$5:$G$120="moeda")+(Inputs!$G$5:$G$120="acoes"))*Inputs!$B$1+((Inputs!$G$5:$G$120&lt;&gt;"moeda")*(Inputs!$G$5:$G$120&lt;&gt;"acoes")))*INDEX(Inputs!$K$5:$AJ$120,0,MATCH(J$2,Inputs!$K$4:$AJ$4,0)))+SUMPRODUCT((Inputs!$E$5:$E$120=$B15)*Inputs!$F$5:$F$120*(((Inputs!$G$5:$G$120="moeda")+(Inputs!$G$5:$G$120="acoes"))*Inputs!$B$1+((Inputs!$G$5:$G$120&lt;&gt;"moeda")*(Inputs!$G$5:$G$120&lt;&gt;"acoes")))*INDEX(Inputs!$K$5:$AJ$120,0,MATCH(J$2,Inputs!$K$4:$AJ$4,0)))))</f>
        <v>18915</v>
      </c>
      <c r="K15" s="6">
        <f>IF(ISNA(MATCH(K$2,Inputs!$K$4:$AJ$4,0)),NA(),IF(SUMPRODUCT((Inputs!$A$5:$A$120=$B15)*ISNUMBER(INDEX(Inputs!$K$5:$AJ$120,0,MATCH(K$2,Inputs!$K$4:$AJ$4,0))))+SUMPRODUCT((Inputs!$C$5:$C$120=$B15)*ISNUMBER(INDEX(Inputs!$K$5:$AJ$120,0,MATCH(K$2,Inputs!$K$4:$AJ$4,0))))+SUMPRODUCT((Inputs!$E$5:$E$120=$B15)*ISNUMBER(INDEX(Inputs!$K$5:$AJ$120,0,MATCH(K$2,Inputs!$K$4:$AJ$4,0))))=0,NA(),SUMPRODUCT((Inputs!$A$5:$A$120=$B15)*Inputs!$B$5:$B$120*(((Inputs!$G$5:$G$120="moeda")+(Inputs!$G$5:$G$120="acoes"))*Inputs!$B$1+((Inputs!$G$5:$G$120&lt;&gt;"moeda")*(Inputs!$G$5:$G$120&lt;&gt;"acoes")))*INDEX(Inputs!$K$5:$AJ$120,0,MATCH(K$2,Inputs!$K$4:$AJ$4,0)))+SUMPRODUCT((Inputs!$C$5:$C$120=$B15)*Inputs!$D$5:$D$120*(((Inputs!$G$5:$G$120="moeda")+(Inputs!$G$5:$G$120="acoes"))*Inputs!$B$1+((Inputs!$G$5:$G$120&lt;&gt;"moeda")*(Inputs!$G$5:$G$120&lt;&gt;"acoes")))*INDEX(Inputs!$K$5:$AJ$120,0,MATCH(K$2,Inputs!$K$4:$AJ$4,0)))+SUMPRODUCT((Inputs!$E$5:$E$120=$B15)*Inputs!$F$5:$F$120*(((Inputs!$G$5:$G$120="moeda")+(Inputs!$G$5:$G$120="acoes"))*Inputs!$B$1+((Inputs!$G$5:$G$120&lt;&gt;"moeda")*(Inputs!$G$5:$G$120&lt;&gt;"acoes")))*INDEX(Inputs!$K$5:$AJ$120,0,MATCH(K$2,Inputs!$K$4:$AJ$4,0)))))</f>
        <v>21107</v>
      </c>
      <c r="L15" s="6">
        <f>IF(ISNA(MATCH(L$2,Inputs!$K$4:$AJ$4,0)),NA(),IF(SUMPRODUCT((Inputs!$A$5:$A$120=$B15)*ISNUMBER(INDEX(Inputs!$K$5:$AJ$120,0,MATCH(L$2,Inputs!$K$4:$AJ$4,0))))+SUMPRODUCT((Inputs!$C$5:$C$120=$B15)*ISNUMBER(INDEX(Inputs!$K$5:$AJ$120,0,MATCH(L$2,Inputs!$K$4:$AJ$4,0))))+SUMPRODUCT((Inputs!$E$5:$E$120=$B15)*ISNUMBER(INDEX(Inputs!$K$5:$AJ$120,0,MATCH(L$2,Inputs!$K$4:$AJ$4,0))))=0,NA(),SUMPRODUCT((Inputs!$A$5:$A$120=$B15)*Inputs!$B$5:$B$120*(((Inputs!$G$5:$G$120="moeda")+(Inputs!$G$5:$G$120="acoes"))*Inputs!$B$1+((Inputs!$G$5:$G$120&lt;&gt;"moeda")*(Inputs!$G$5:$G$120&lt;&gt;"acoes")))*INDEX(Inputs!$K$5:$AJ$120,0,MATCH(L$2,Inputs!$K$4:$AJ$4,0)))+SUMPRODUCT((Inputs!$C$5:$C$120=$B15)*Inputs!$D$5:$D$120*(((Inputs!$G$5:$G$120="moeda")+(Inputs!$G$5:$G$120="acoes"))*Inputs!$B$1+((Inputs!$G$5:$G$120&lt;&gt;"moeda")*(Inputs!$G$5:$G$120&lt;&gt;"acoes")))*INDEX(Inputs!$K$5:$AJ$120,0,MATCH(L$2,Inputs!$K$4:$AJ$4,0)))+SUMPRODUCT((Inputs!$E$5:$E$120=$B15)*Inputs!$F$5:$F$120*(((Inputs!$G$5:$G$120="moeda")+(Inputs!$G$5:$G$120="acoes"))*Inputs!$B$1+((Inputs!$G$5:$G$120&lt;&gt;"moeda")*(Inputs!$G$5:$G$120&lt;&gt;"acoes")))*INDEX(Inputs!$K$5:$AJ$120,0,MATCH(L$2,Inputs!$K$4:$AJ$4,0)))))</f>
        <v>22185</v>
      </c>
      <c r="M15" s="3">
        <f>L15</f>
        <v>22185</v>
      </c>
      <c r="N15" s="6">
        <f>IF(ISNA(MATCH(N$2,Inputs!$K$4:$AJ$4,0)),NA(),IF(SUMPRODUCT((Inputs!$A$5:$A$120=$B15)*ISNUMBER(INDEX(Inputs!$K$5:$AJ$120,0,MATCH(N$2,Inputs!$K$4:$AJ$4,0))))+SUMPRODUCT((Inputs!$C$5:$C$120=$B15)*ISNUMBER(INDEX(Inputs!$K$5:$AJ$120,0,MATCH(N$2,Inputs!$K$4:$AJ$4,0))))+SUMPRODUCT((Inputs!$E$5:$E$120=$B15)*ISNUMBER(INDEX(Inputs!$K$5:$AJ$120,0,MATCH(N$2,Inputs!$K$4:$AJ$4,0))))=0,NA(),SUMPRODUCT((Inputs!$A$5:$A$120=$B15)*Inputs!$B$5:$B$120*(((Inputs!$G$5:$G$120="moeda")+(Inputs!$G$5:$G$120="acoes"))*Inputs!$B$1+((Inputs!$G$5:$G$120&lt;&gt;"moeda")*(Inputs!$G$5:$G$120&lt;&gt;"acoes")))*INDEX(Inputs!$K$5:$AJ$120,0,MATCH(N$2,Inputs!$K$4:$AJ$4,0)))+SUMPRODUCT((Inputs!$C$5:$C$120=$B15)*Inputs!$D$5:$D$120*(((Inputs!$G$5:$G$120="moeda")+(Inputs!$G$5:$G$120="acoes"))*Inputs!$B$1+((Inputs!$G$5:$G$120&lt;&gt;"moeda")*(Inputs!$G$5:$G$120&lt;&gt;"acoes")))*INDEX(Inputs!$K$5:$AJ$120,0,MATCH(N$2,Inputs!$K$4:$AJ$4,0)))+SUMPRODUCT((Inputs!$E$5:$E$120=$B15)*Inputs!$F$5:$F$120*(((Inputs!$G$5:$G$120="moeda")+(Inputs!$G$5:$G$120="acoes"))*Inputs!$B$1+((Inputs!$G$5:$G$120&lt;&gt;"moeda")*(Inputs!$G$5:$G$120&lt;&gt;"acoes")))*INDEX(Inputs!$K$5:$AJ$120,0,MATCH(N$2,Inputs!$K$4:$AJ$4,0)))))</f>
        <v>22402</v>
      </c>
      <c r="O15" s="6">
        <f>IF(ISNA(MATCH(O$2,Inputs!$K$4:$AJ$4,0)),NA(),IF(SUMPRODUCT((Inputs!$A$5:$A$120=$B15)*ISNUMBER(INDEX(Inputs!$K$5:$AJ$120,0,MATCH(O$2,Inputs!$K$4:$AJ$4,0))))+SUMPRODUCT((Inputs!$C$5:$C$120=$B15)*ISNUMBER(INDEX(Inputs!$K$5:$AJ$120,0,MATCH(O$2,Inputs!$K$4:$AJ$4,0))))+SUMPRODUCT((Inputs!$E$5:$E$120=$B15)*ISNUMBER(INDEX(Inputs!$K$5:$AJ$120,0,MATCH(O$2,Inputs!$K$4:$AJ$4,0))))=0,NA(),SUMPRODUCT((Inputs!$A$5:$A$120=$B15)*Inputs!$B$5:$B$120*(((Inputs!$G$5:$G$120="moeda")+(Inputs!$G$5:$G$120="acoes"))*Inputs!$B$1+((Inputs!$G$5:$G$120&lt;&gt;"moeda")*(Inputs!$G$5:$G$120&lt;&gt;"acoes")))*INDEX(Inputs!$K$5:$AJ$120,0,MATCH(O$2,Inputs!$K$4:$AJ$4,0)))+SUMPRODUCT((Inputs!$C$5:$C$120=$B15)*Inputs!$D$5:$D$120*(((Inputs!$G$5:$G$120="moeda")+(Inputs!$G$5:$G$120="acoes"))*Inputs!$B$1+((Inputs!$G$5:$G$120&lt;&gt;"moeda")*(Inputs!$G$5:$G$120&lt;&gt;"acoes")))*INDEX(Inputs!$K$5:$AJ$120,0,MATCH(O$2,Inputs!$K$4:$AJ$4,0)))+SUMPRODUCT((Inputs!$E$5:$E$120=$B15)*Inputs!$F$5:$F$120*(((Inputs!$G$5:$G$120="moeda")+(Inputs!$G$5:$G$120="acoes"))*Inputs!$B$1+((Inputs!$G$5:$G$120&lt;&gt;"moeda")*(Inputs!$G$5:$G$120&lt;&gt;"acoes")))*INDEX(Inputs!$K$5:$AJ$120,0,MATCH(O$2,Inputs!$K$4:$AJ$4,0)))))</f>
        <v>23075</v>
      </c>
      <c r="P15" s="6">
        <f>IF(ISNA(MATCH(P$2,Inputs!$K$4:$AJ$4,0)),NA(),IF(SUMPRODUCT((Inputs!$A$5:$A$120=$B15)*ISNUMBER(INDEX(Inputs!$K$5:$AJ$120,0,MATCH(P$2,Inputs!$K$4:$AJ$4,0))))+SUMPRODUCT((Inputs!$C$5:$C$120=$B15)*ISNUMBER(INDEX(Inputs!$K$5:$AJ$120,0,MATCH(P$2,Inputs!$K$4:$AJ$4,0))))+SUMPRODUCT((Inputs!$E$5:$E$120=$B15)*ISNUMBER(INDEX(Inputs!$K$5:$AJ$120,0,MATCH(P$2,Inputs!$K$4:$AJ$4,0))))=0,NA(),SUMPRODUCT((Inputs!$A$5:$A$120=$B15)*Inputs!$B$5:$B$120*(((Inputs!$G$5:$G$120="moeda")+(Inputs!$G$5:$G$120="acoes"))*Inputs!$B$1+((Inputs!$G$5:$G$120&lt;&gt;"moeda")*(Inputs!$G$5:$G$120&lt;&gt;"acoes")))*INDEX(Inputs!$K$5:$AJ$120,0,MATCH(P$2,Inputs!$K$4:$AJ$4,0)))+SUMPRODUCT((Inputs!$C$5:$C$120=$B15)*Inputs!$D$5:$D$120*(((Inputs!$G$5:$G$120="moeda")+(Inputs!$G$5:$G$120="acoes"))*Inputs!$B$1+((Inputs!$G$5:$G$120&lt;&gt;"moeda")*(Inputs!$G$5:$G$120&lt;&gt;"acoes")))*INDEX(Inputs!$K$5:$AJ$120,0,MATCH(P$2,Inputs!$K$4:$AJ$4,0)))+SUMPRODUCT((Inputs!$E$5:$E$120=$B15)*Inputs!$F$5:$F$120*(((Inputs!$G$5:$G$120="moeda")+(Inputs!$G$5:$G$120="acoes"))*Inputs!$B$1+((Inputs!$G$5:$G$120&lt;&gt;"moeda")*(Inputs!$G$5:$G$120&lt;&gt;"acoes")))*INDEX(Inputs!$K$5:$AJ$120,0,MATCH(P$2,Inputs!$K$4:$AJ$4,0)))))</f>
        <v>26077</v>
      </c>
      <c r="Q15" s="6">
        <f>IF(ISNA(MATCH(Q$2,Inputs!$K$4:$AJ$4,0)),NA(),IF(SUMPRODUCT((Inputs!$A$5:$A$120=$B15)*ISNUMBER(INDEX(Inputs!$K$5:$AJ$120,0,MATCH(Q$2,Inputs!$K$4:$AJ$4,0))))+SUMPRODUCT((Inputs!$C$5:$C$120=$B15)*ISNUMBER(INDEX(Inputs!$K$5:$AJ$120,0,MATCH(Q$2,Inputs!$K$4:$AJ$4,0))))+SUMPRODUCT((Inputs!$E$5:$E$120=$B15)*ISNUMBER(INDEX(Inputs!$K$5:$AJ$120,0,MATCH(Q$2,Inputs!$K$4:$AJ$4,0))))=0,NA(),SUMPRODUCT((Inputs!$A$5:$A$120=$B15)*Inputs!$B$5:$B$120*(((Inputs!$G$5:$G$120="moeda")+(Inputs!$G$5:$G$120="acoes"))*Inputs!$B$1+((Inputs!$G$5:$G$120&lt;&gt;"moeda")*(Inputs!$G$5:$G$120&lt;&gt;"acoes")))*INDEX(Inputs!$K$5:$AJ$120,0,MATCH(Q$2,Inputs!$K$4:$AJ$4,0)))+SUMPRODUCT((Inputs!$C$5:$C$120=$B15)*Inputs!$D$5:$D$120*(((Inputs!$G$5:$G$120="moeda")+(Inputs!$G$5:$G$120="acoes"))*Inputs!$B$1+((Inputs!$G$5:$G$120&lt;&gt;"moeda")*(Inputs!$G$5:$G$120&lt;&gt;"acoes")))*INDEX(Inputs!$K$5:$AJ$120,0,MATCH(Q$2,Inputs!$K$4:$AJ$4,0)))+SUMPRODUCT((Inputs!$E$5:$E$120=$B15)*Inputs!$F$5:$F$120*(((Inputs!$G$5:$G$120="moeda")+(Inputs!$G$5:$G$120="acoes"))*Inputs!$B$1+((Inputs!$G$5:$G$120&lt;&gt;"moeda")*(Inputs!$G$5:$G$120&lt;&gt;"acoes")))*INDEX(Inputs!$K$5:$AJ$120,0,MATCH(Q$2,Inputs!$K$4:$AJ$4,0)))))</f>
        <v>29094</v>
      </c>
      <c r="R15" s="3">
        <f>Q15</f>
        <v>29094</v>
      </c>
      <c r="S15" s="6">
        <f>IF(ISNA(MATCH(S$2,Inputs!$K$4:$AJ$4,0)),NA(),IF(SUMPRODUCT((Inputs!$A$5:$A$120=$B15)*ISNUMBER(INDEX(Inputs!$K$5:$AJ$120,0,MATCH(S$2,Inputs!$K$4:$AJ$4,0))))+SUMPRODUCT((Inputs!$C$5:$C$120=$B15)*ISNUMBER(INDEX(Inputs!$K$5:$AJ$120,0,MATCH(S$2,Inputs!$K$4:$AJ$4,0))))+SUMPRODUCT((Inputs!$E$5:$E$120=$B15)*ISNUMBER(INDEX(Inputs!$K$5:$AJ$120,0,MATCH(S$2,Inputs!$K$4:$AJ$4,0))))=0,NA(),SUMPRODUCT((Inputs!$A$5:$A$120=$B15)*Inputs!$B$5:$B$120*(((Inputs!$G$5:$G$120="moeda")+(Inputs!$G$5:$G$120="acoes"))*Inputs!$B$1+((Inputs!$G$5:$G$120&lt;&gt;"moeda")*(Inputs!$G$5:$G$120&lt;&gt;"acoes")))*INDEX(Inputs!$K$5:$AJ$120,0,MATCH(S$2,Inputs!$K$4:$AJ$4,0)))+SUMPRODUCT((Inputs!$C$5:$C$120=$B15)*Inputs!$D$5:$D$120*(((Inputs!$G$5:$G$120="moeda")+(Inputs!$G$5:$G$120="acoes"))*Inputs!$B$1+((Inputs!$G$5:$G$120&lt;&gt;"moeda")*(Inputs!$G$5:$G$120&lt;&gt;"acoes")))*INDEX(Inputs!$K$5:$AJ$120,0,MATCH(S$2,Inputs!$K$4:$AJ$4,0)))+SUMPRODUCT((Inputs!$E$5:$E$120=$B15)*Inputs!$F$5:$F$120*(((Inputs!$G$5:$G$120="moeda")+(Inputs!$G$5:$G$120="acoes"))*Inputs!$B$1+((Inputs!$G$5:$G$120&lt;&gt;"moeda")*(Inputs!$G$5:$G$120&lt;&gt;"acoes")))*INDEX(Inputs!$K$5:$AJ$120,0,MATCH(S$2,Inputs!$K$4:$AJ$4,0)))))</f>
        <v>26863</v>
      </c>
      <c r="T15" s="6">
        <f>IF(ISNA(MATCH(T$2,Inputs!$K$4:$AJ$4,0)),NA(),IF(SUMPRODUCT((Inputs!$A$5:$A$120=$B15)*ISNUMBER(INDEX(Inputs!$K$5:$AJ$120,0,MATCH(T$2,Inputs!$K$4:$AJ$4,0))))+SUMPRODUCT((Inputs!$C$5:$C$120=$B15)*ISNUMBER(INDEX(Inputs!$K$5:$AJ$120,0,MATCH(T$2,Inputs!$K$4:$AJ$4,0))))+SUMPRODUCT((Inputs!$E$5:$E$120=$B15)*ISNUMBER(INDEX(Inputs!$K$5:$AJ$120,0,MATCH(T$2,Inputs!$K$4:$AJ$4,0))))=0,NA(),SUMPRODUCT((Inputs!$A$5:$A$120=$B15)*Inputs!$B$5:$B$120*(((Inputs!$G$5:$G$120="moeda")+(Inputs!$G$5:$G$120="acoes"))*Inputs!$B$1+((Inputs!$G$5:$G$120&lt;&gt;"moeda")*(Inputs!$G$5:$G$120&lt;&gt;"acoes")))*INDEX(Inputs!$K$5:$AJ$120,0,MATCH(T$2,Inputs!$K$4:$AJ$4,0)))+SUMPRODUCT((Inputs!$C$5:$C$120=$B15)*Inputs!$D$5:$D$120*(((Inputs!$G$5:$G$120="moeda")+(Inputs!$G$5:$G$120="acoes"))*Inputs!$B$1+((Inputs!$G$5:$G$120&lt;&gt;"moeda")*(Inputs!$G$5:$G$120&lt;&gt;"acoes")))*INDEX(Inputs!$K$5:$AJ$120,0,MATCH(T$2,Inputs!$K$4:$AJ$4,0)))+SUMPRODUCT((Inputs!$E$5:$E$120=$B15)*Inputs!$F$5:$F$120*(((Inputs!$G$5:$G$120="moeda")+(Inputs!$G$5:$G$120="acoes"))*Inputs!$B$1+((Inputs!$G$5:$G$120&lt;&gt;"moeda")*(Inputs!$G$5:$G$120&lt;&gt;"acoes")))*INDEX(Inputs!$K$5:$AJ$120,0,MATCH(T$2,Inputs!$K$4:$AJ$4,0)))))</f>
        <v>30720</v>
      </c>
      <c r="U15" s="6">
        <f>IF(ISNA(MATCH(U$2,Inputs!$K$4:$AJ$4,0)),NA(),IF(SUMPRODUCT((Inputs!$A$5:$A$120=$B15)*ISNUMBER(INDEX(Inputs!$K$5:$AJ$120,0,MATCH(U$2,Inputs!$K$4:$AJ$4,0))))+SUMPRODUCT((Inputs!$C$5:$C$120=$B15)*ISNUMBER(INDEX(Inputs!$K$5:$AJ$120,0,MATCH(U$2,Inputs!$K$4:$AJ$4,0))))+SUMPRODUCT((Inputs!$E$5:$E$120=$B15)*ISNUMBER(INDEX(Inputs!$K$5:$AJ$120,0,MATCH(U$2,Inputs!$K$4:$AJ$4,0))))=0,NA(),SUMPRODUCT((Inputs!$A$5:$A$120=$B15)*Inputs!$B$5:$B$120*(((Inputs!$G$5:$G$120="moeda")+(Inputs!$G$5:$G$120="acoes"))*Inputs!$B$1+((Inputs!$G$5:$G$120&lt;&gt;"moeda")*(Inputs!$G$5:$G$120&lt;&gt;"acoes")))*INDEX(Inputs!$K$5:$AJ$120,0,MATCH(U$2,Inputs!$K$4:$AJ$4,0)))+SUMPRODUCT((Inputs!$C$5:$C$120=$B15)*Inputs!$D$5:$D$120*(((Inputs!$G$5:$G$120="moeda")+(Inputs!$G$5:$G$120="acoes"))*Inputs!$B$1+((Inputs!$G$5:$G$120&lt;&gt;"moeda")*(Inputs!$G$5:$G$120&lt;&gt;"acoes")))*INDEX(Inputs!$K$5:$AJ$120,0,MATCH(U$2,Inputs!$K$4:$AJ$4,0)))+SUMPRODUCT((Inputs!$E$5:$E$120=$B15)*Inputs!$F$5:$F$120*(((Inputs!$G$5:$G$120="moeda")+(Inputs!$G$5:$G$120="acoes"))*Inputs!$B$1+((Inputs!$G$5:$G$120&lt;&gt;"moeda")*(Inputs!$G$5:$G$120&lt;&gt;"acoes")))*INDEX(Inputs!$K$5:$AJ$120,0,MATCH(U$2,Inputs!$K$4:$AJ$4,0)))))</f>
        <v>33648</v>
      </c>
      <c r="V15" s="6">
        <f>IF(ISNA(MATCH(V$2,Inputs!$K$4:$AJ$4,0)),NA(),IF(SUMPRODUCT((Inputs!$A$5:$A$120=$B15)*ISNUMBER(INDEX(Inputs!$K$5:$AJ$120,0,MATCH(V$2,Inputs!$K$4:$AJ$4,0))))+SUMPRODUCT((Inputs!$C$5:$C$120=$B15)*ISNUMBER(INDEX(Inputs!$K$5:$AJ$120,0,MATCH(V$2,Inputs!$K$4:$AJ$4,0))))+SUMPRODUCT((Inputs!$E$5:$E$120=$B15)*ISNUMBER(INDEX(Inputs!$K$5:$AJ$120,0,MATCH(V$2,Inputs!$K$4:$AJ$4,0))))=0,NA(),SUMPRODUCT((Inputs!$A$5:$A$120=$B15)*Inputs!$B$5:$B$120*(((Inputs!$G$5:$G$120="moeda")+(Inputs!$G$5:$G$120="acoes"))*Inputs!$B$1+((Inputs!$G$5:$G$120&lt;&gt;"moeda")*(Inputs!$G$5:$G$120&lt;&gt;"acoes")))*INDEX(Inputs!$K$5:$AJ$120,0,MATCH(V$2,Inputs!$K$4:$AJ$4,0)))+SUMPRODUCT((Inputs!$C$5:$C$120=$B15)*Inputs!$D$5:$D$120*(((Inputs!$G$5:$G$120="moeda")+(Inputs!$G$5:$G$120="acoes"))*Inputs!$B$1+((Inputs!$G$5:$G$120&lt;&gt;"moeda")*(Inputs!$G$5:$G$120&lt;&gt;"acoes")))*INDEX(Inputs!$K$5:$AJ$120,0,MATCH(V$2,Inputs!$K$4:$AJ$4,0)))+SUMPRODUCT((Inputs!$E$5:$E$120=$B15)*Inputs!$F$5:$F$120*(((Inputs!$G$5:$G$120="moeda")+(Inputs!$G$5:$G$120="acoes"))*Inputs!$B$1+((Inputs!$G$5:$G$120&lt;&gt;"moeda")*(Inputs!$G$5:$G$120&lt;&gt;"acoes")))*INDEX(Inputs!$K$5:$AJ$120,0,MATCH(V$2,Inputs!$K$4:$AJ$4,0)))))</f>
        <v>36563</v>
      </c>
      <c r="W15" s="3">
        <f>V15</f>
        <v>36563</v>
      </c>
      <c r="X15" s="6">
        <f>IF(ISNA(MATCH(X$2,Inputs!$K$4:$AJ$4,0)),NA(),IF(SUMPRODUCT((Inputs!$A$5:$A$120=$B15)*ISNUMBER(INDEX(Inputs!$K$5:$AJ$120,0,MATCH(X$2,Inputs!$K$4:$AJ$4,0))))+SUMPRODUCT((Inputs!$C$5:$C$120=$B15)*ISNUMBER(INDEX(Inputs!$K$5:$AJ$120,0,MATCH(X$2,Inputs!$K$4:$AJ$4,0))))+SUMPRODUCT((Inputs!$E$5:$E$120=$B15)*ISNUMBER(INDEX(Inputs!$K$5:$AJ$120,0,MATCH(X$2,Inputs!$K$4:$AJ$4,0))))=0,NA(),SUMPRODUCT((Inputs!$A$5:$A$120=$B15)*Inputs!$B$5:$B$120*(((Inputs!$G$5:$G$120="moeda")+(Inputs!$G$5:$G$120="acoes"))*Inputs!$B$1+((Inputs!$G$5:$G$120&lt;&gt;"moeda")*(Inputs!$G$5:$G$120&lt;&gt;"acoes")))*INDEX(Inputs!$K$5:$AJ$120,0,MATCH(X$2,Inputs!$K$4:$AJ$4,0)))+SUMPRODUCT((Inputs!$C$5:$C$120=$B15)*Inputs!$D$5:$D$120*(((Inputs!$G$5:$G$120="moeda")+(Inputs!$G$5:$G$120="acoes"))*Inputs!$B$1+((Inputs!$G$5:$G$120&lt;&gt;"moeda")*(Inputs!$G$5:$G$120&lt;&gt;"acoes")))*INDEX(Inputs!$K$5:$AJ$120,0,MATCH(X$2,Inputs!$K$4:$AJ$4,0)))+SUMPRODUCT((Inputs!$E$5:$E$120=$B15)*Inputs!$F$5:$F$120*(((Inputs!$G$5:$G$120="moeda")+(Inputs!$G$5:$G$120="acoes"))*Inputs!$B$1+((Inputs!$G$5:$G$120&lt;&gt;"moeda")*(Inputs!$G$5:$G$120&lt;&gt;"acoes")))*INDEX(Inputs!$K$5:$AJ$120,0,MATCH(X$2,Inputs!$K$4:$AJ$4,0)))))</f>
        <v>36996</v>
      </c>
      <c r="Y15" s="6">
        <f>IF(ISNA(MATCH(Y$2,Inputs!$K$4:$AJ$4,0)),NA(),IF(SUMPRODUCT((Inputs!$A$5:$A$120=$B15)*ISNUMBER(INDEX(Inputs!$K$5:$AJ$120,0,MATCH(Y$2,Inputs!$K$4:$AJ$4,0))))+SUMPRODUCT((Inputs!$C$5:$C$120=$B15)*ISNUMBER(INDEX(Inputs!$K$5:$AJ$120,0,MATCH(Y$2,Inputs!$K$4:$AJ$4,0))))+SUMPRODUCT((Inputs!$E$5:$E$120=$B15)*ISNUMBER(INDEX(Inputs!$K$5:$AJ$120,0,MATCH(Y$2,Inputs!$K$4:$AJ$4,0))))=0,NA(),SUMPRODUCT((Inputs!$A$5:$A$120=$B15)*Inputs!$B$5:$B$120*(((Inputs!$G$5:$G$120="moeda")+(Inputs!$G$5:$G$120="acoes"))*Inputs!$B$1+((Inputs!$G$5:$G$120&lt;&gt;"moeda")*(Inputs!$G$5:$G$120&lt;&gt;"acoes")))*INDEX(Inputs!$K$5:$AJ$120,0,MATCH(Y$2,Inputs!$K$4:$AJ$4,0)))+SUMPRODUCT((Inputs!$C$5:$C$120=$B15)*Inputs!$D$5:$D$120*(((Inputs!$G$5:$G$120="moeda")+(Inputs!$G$5:$G$120="acoes"))*Inputs!$B$1+((Inputs!$G$5:$G$120&lt;&gt;"moeda")*(Inputs!$G$5:$G$120&lt;&gt;"acoes")))*INDEX(Inputs!$K$5:$AJ$120,0,MATCH(Y$2,Inputs!$K$4:$AJ$4,0)))+SUMPRODUCT((Inputs!$E$5:$E$120=$B15)*Inputs!$F$5:$F$120*(((Inputs!$G$5:$G$120="moeda")+(Inputs!$G$5:$G$120="acoes"))*Inputs!$B$1+((Inputs!$G$5:$G$120&lt;&gt;"moeda")*(Inputs!$G$5:$G$120&lt;&gt;"acoes")))*INDEX(Inputs!$K$5:$AJ$120,0,MATCH(Y$2,Inputs!$K$4:$AJ$4,0)))))</f>
        <v>36782</v>
      </c>
      <c r="Z15" s="6">
        <f>IF(ISNA(MATCH(Z$2,Inputs!$K$4:$AJ$4,0)),NA(),IF(SUMPRODUCT((Inputs!$A$5:$A$120=$B15)*ISNUMBER(INDEX(Inputs!$K$5:$AJ$120,0,MATCH(Z$2,Inputs!$K$4:$AJ$4,0))))+SUMPRODUCT((Inputs!$C$5:$C$120=$B15)*ISNUMBER(INDEX(Inputs!$K$5:$AJ$120,0,MATCH(Z$2,Inputs!$K$4:$AJ$4,0))))+SUMPRODUCT((Inputs!$E$5:$E$120=$B15)*ISNUMBER(INDEX(Inputs!$K$5:$AJ$120,0,MATCH(Z$2,Inputs!$K$4:$AJ$4,0))))=0,NA(),SUMPRODUCT((Inputs!$A$5:$A$120=$B15)*Inputs!$B$5:$B$120*(((Inputs!$G$5:$G$120="moeda")+(Inputs!$G$5:$G$120="acoes"))*Inputs!$B$1+((Inputs!$G$5:$G$120&lt;&gt;"moeda")*(Inputs!$G$5:$G$120&lt;&gt;"acoes")))*INDEX(Inputs!$K$5:$AJ$120,0,MATCH(Z$2,Inputs!$K$4:$AJ$4,0)))+SUMPRODUCT((Inputs!$C$5:$C$120=$B15)*Inputs!$D$5:$D$120*(((Inputs!$G$5:$G$120="moeda")+(Inputs!$G$5:$G$120="acoes"))*Inputs!$B$1+((Inputs!$G$5:$G$120&lt;&gt;"moeda")*(Inputs!$G$5:$G$120&lt;&gt;"acoes")))*INDEX(Inputs!$K$5:$AJ$120,0,MATCH(Z$2,Inputs!$K$4:$AJ$4,0)))+SUMPRODUCT((Inputs!$E$5:$E$120=$B15)*Inputs!$F$5:$F$120*(((Inputs!$G$5:$G$120="moeda")+(Inputs!$G$5:$G$120="acoes"))*Inputs!$B$1+((Inputs!$G$5:$G$120&lt;&gt;"moeda")*(Inputs!$G$5:$G$120&lt;&gt;"acoes")))*INDEX(Inputs!$K$5:$AJ$120,0,MATCH(Z$2,Inputs!$K$4:$AJ$4,0)))))</f>
        <v>41647</v>
      </c>
      <c r="AA15" s="6">
        <f>IF(ISNA(MATCH(AA$2,Inputs!$K$4:$AJ$4,0)),NA(),IF(SUMPRODUCT((Inputs!$A$5:$A$120=$B15)*ISNUMBER(INDEX(Inputs!$K$5:$AJ$120,0,MATCH(AA$2,Inputs!$K$4:$AJ$4,0))))+SUMPRODUCT((Inputs!$C$5:$C$120=$B15)*ISNUMBER(INDEX(Inputs!$K$5:$AJ$120,0,MATCH(AA$2,Inputs!$K$4:$AJ$4,0))))+SUMPRODUCT((Inputs!$E$5:$E$120=$B15)*ISNUMBER(INDEX(Inputs!$K$5:$AJ$120,0,MATCH(AA$2,Inputs!$K$4:$AJ$4,0))))=0,NA(),SUMPRODUCT((Inputs!$A$5:$A$120=$B15)*Inputs!$B$5:$B$120*(((Inputs!$G$5:$G$120="moeda")+(Inputs!$G$5:$G$120="acoes"))*Inputs!$B$1+((Inputs!$G$5:$G$120&lt;&gt;"moeda")*(Inputs!$G$5:$G$120&lt;&gt;"acoes")))*INDEX(Inputs!$K$5:$AJ$120,0,MATCH(AA$2,Inputs!$K$4:$AJ$4,0)))+SUMPRODUCT((Inputs!$C$5:$C$120=$B15)*Inputs!$D$5:$D$120*(((Inputs!$G$5:$G$120="moeda")+(Inputs!$G$5:$G$120="acoes"))*Inputs!$B$1+((Inputs!$G$5:$G$120&lt;&gt;"moeda")*(Inputs!$G$5:$G$120&lt;&gt;"acoes")))*INDEX(Inputs!$K$5:$AJ$120,0,MATCH(AA$2,Inputs!$K$4:$AJ$4,0)))+SUMPRODUCT((Inputs!$E$5:$E$120=$B15)*Inputs!$F$5:$F$120*(((Inputs!$G$5:$G$120="moeda")+(Inputs!$G$5:$G$120="acoes"))*Inputs!$B$1+((Inputs!$G$5:$G$120&lt;&gt;"moeda")*(Inputs!$G$5:$G$120&lt;&gt;"acoes")))*INDEX(Inputs!$K$5:$AJ$120,0,MATCH(AA$2,Inputs!$K$4:$AJ$4,0)))))</f>
        <v>44059</v>
      </c>
      <c r="AB15" s="3">
        <f>AA15</f>
        <v>44059</v>
      </c>
      <c r="AC15" s="6">
        <f>IF(ISNA(MATCH(AC$2,Inputs!$K$4:$AJ$4,0)),NA(),IF(SUMPRODUCT((Inputs!$A$5:$A$120=$B15)*ISNUMBER(INDEX(Inputs!$K$5:$AJ$120,0,MATCH(AC$2,Inputs!$K$4:$AJ$4,0))))+SUMPRODUCT((Inputs!$C$5:$C$120=$B15)*ISNUMBER(INDEX(Inputs!$K$5:$AJ$120,0,MATCH(AC$2,Inputs!$K$4:$AJ$4,0))))+SUMPRODUCT((Inputs!$E$5:$E$120=$B15)*ISNUMBER(INDEX(Inputs!$K$5:$AJ$120,0,MATCH(AC$2,Inputs!$K$4:$AJ$4,0))))=0,NA(),SUMPRODUCT((Inputs!$A$5:$A$120=$B15)*Inputs!$B$5:$B$120*(((Inputs!$G$5:$G$120="moeda")+(Inputs!$G$5:$G$120="acoes"))*Inputs!$B$1+((Inputs!$G$5:$G$120&lt;&gt;"moeda")*(Inputs!$G$5:$G$120&lt;&gt;"acoes")))*INDEX(Inputs!$K$5:$AJ$120,0,MATCH(AC$2,Inputs!$K$4:$AJ$4,0)))+SUMPRODUCT((Inputs!$C$5:$C$120=$B15)*Inputs!$D$5:$D$120*(((Inputs!$G$5:$G$120="moeda")+(Inputs!$G$5:$G$120="acoes"))*Inputs!$B$1+((Inputs!$G$5:$G$120&lt;&gt;"moeda")*(Inputs!$G$5:$G$120&lt;&gt;"acoes")))*INDEX(Inputs!$K$5:$AJ$120,0,MATCH(AC$2,Inputs!$K$4:$AJ$4,0)))+SUMPRODUCT((Inputs!$E$5:$E$120=$B15)*Inputs!$F$5:$F$120*(((Inputs!$G$5:$G$120="moeda")+(Inputs!$G$5:$G$120="acoes"))*Inputs!$B$1+((Inputs!$G$5:$G$120&lt;&gt;"moeda")*(Inputs!$G$5:$G$120&lt;&gt;"acoes")))*INDEX(Inputs!$K$5:$AJ$120,0,MATCH(AC$2,Inputs!$K$4:$AJ$4,0)))))</f>
        <v>44743</v>
      </c>
      <c r="AD15" s="6">
        <f>IF(ISNA(MATCH(AD$2,Inputs!$K$4:$AJ$4,0)),NA(),IF(SUMPRODUCT((Inputs!$A$5:$A$120=$B15)*ISNUMBER(INDEX(Inputs!$K$5:$AJ$120,0,MATCH(AD$2,Inputs!$K$4:$AJ$4,0))))+SUMPRODUCT((Inputs!$C$5:$C$120=$B15)*ISNUMBER(INDEX(Inputs!$K$5:$AJ$120,0,MATCH(AD$2,Inputs!$K$4:$AJ$4,0))))+SUMPRODUCT((Inputs!$E$5:$E$120=$B15)*ISNUMBER(INDEX(Inputs!$K$5:$AJ$120,0,MATCH(AD$2,Inputs!$K$4:$AJ$4,0))))=0,NA(),SUMPRODUCT((Inputs!$A$5:$A$120=$B15)*Inputs!$B$5:$B$120*(((Inputs!$G$5:$G$120="moeda")+(Inputs!$G$5:$G$120="acoes"))*Inputs!$B$1+((Inputs!$G$5:$G$120&lt;&gt;"moeda")*(Inputs!$G$5:$G$120&lt;&gt;"acoes")))*INDEX(Inputs!$K$5:$AJ$120,0,MATCH(AD$2,Inputs!$K$4:$AJ$4,0)))+SUMPRODUCT((Inputs!$C$5:$C$120=$B15)*Inputs!$D$5:$D$120*(((Inputs!$G$5:$G$120="moeda")+(Inputs!$G$5:$G$120="acoes"))*Inputs!$B$1+((Inputs!$G$5:$G$120&lt;&gt;"moeda")*(Inputs!$G$5:$G$120&lt;&gt;"acoes")))*INDEX(Inputs!$K$5:$AJ$120,0,MATCH(AD$2,Inputs!$K$4:$AJ$4,0)))+SUMPRODUCT((Inputs!$E$5:$E$120=$B15)*Inputs!$F$5:$F$120*(((Inputs!$G$5:$G$120="moeda")+(Inputs!$G$5:$G$120="acoes"))*Inputs!$B$1+((Inputs!$G$5:$G$120&lt;&gt;"moeda")*(Inputs!$G$5:$G$120&lt;&gt;"acoes")))*INDEX(Inputs!$K$5:$AJ$120,0,MATCH(AD$2,Inputs!$K$4:$AJ$4,0)))))</f>
        <v>43524</v>
      </c>
      <c r="AE15" s="6" t="e">
        <f>IF(ISNA(MATCH(AE$2,Inputs!$K$4:$AJ$4,0)),NA(),IF(SUMPRODUCT((Inputs!$A$5:$A$120=$B15)*ISNUMBER(INDEX(Inputs!$K$5:$AJ$120,0,MATCH(AE$2,Inputs!$K$4:$AJ$4,0))))+SUMPRODUCT((Inputs!$C$5:$C$120=$B15)*ISNUMBER(INDEX(Inputs!$K$5:$AJ$120,0,MATCH(AE$2,Inputs!$K$4:$AJ$4,0))))+SUMPRODUCT((Inputs!$E$5:$E$120=$B15)*ISNUMBER(INDEX(Inputs!$K$5:$AJ$120,0,MATCH(AE$2,Inputs!$K$4:$AJ$4,0))))=0,NA(),SUMPRODUCT((Inputs!$A$5:$A$120=$B15)*Inputs!$B$5:$B$120*(((Inputs!$G$5:$G$120="moeda")+(Inputs!$G$5:$G$120="acoes"))*Inputs!$B$1+((Inputs!$G$5:$G$120&lt;&gt;"moeda")*(Inputs!$G$5:$G$120&lt;&gt;"acoes")))*INDEX(Inputs!$K$5:$AJ$120,0,MATCH(AE$2,Inputs!$K$4:$AJ$4,0)))+SUMPRODUCT((Inputs!$C$5:$C$120=$B15)*Inputs!$D$5:$D$120*(((Inputs!$G$5:$G$120="moeda")+(Inputs!$G$5:$G$120="acoes"))*Inputs!$B$1+((Inputs!$G$5:$G$120&lt;&gt;"moeda")*(Inputs!$G$5:$G$120&lt;&gt;"acoes")))*INDEX(Inputs!$K$5:$AJ$120,0,MATCH(AE$2,Inputs!$K$4:$AJ$4,0)))+SUMPRODUCT((Inputs!$E$5:$E$120=$B15)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15" s="6" t="e">
        <f>IF(ISNA(MATCH(AF$2,Inputs!$K$4:$AJ$4,0)),NA(),IF(SUMPRODUCT((Inputs!$A$5:$A$120=$B15)*ISNUMBER(INDEX(Inputs!$K$5:$AJ$120,0,MATCH(AF$2,Inputs!$K$4:$AJ$4,0))))+SUMPRODUCT((Inputs!$C$5:$C$120=$B15)*ISNUMBER(INDEX(Inputs!$K$5:$AJ$120,0,MATCH(AF$2,Inputs!$K$4:$AJ$4,0))))+SUMPRODUCT((Inputs!$E$5:$E$120=$B15)*ISNUMBER(INDEX(Inputs!$K$5:$AJ$120,0,MATCH(AF$2,Inputs!$K$4:$AJ$4,0))))=0,NA(),SUMPRODUCT((Inputs!$A$5:$A$120=$B15)*Inputs!$B$5:$B$120*(((Inputs!$G$5:$G$120="moeda")+(Inputs!$G$5:$G$120="acoes"))*Inputs!$B$1+((Inputs!$G$5:$G$120&lt;&gt;"moeda")*(Inputs!$G$5:$G$120&lt;&gt;"acoes")))*INDEX(Inputs!$K$5:$AJ$120,0,MATCH(AF$2,Inputs!$K$4:$AJ$4,0)))+SUMPRODUCT((Inputs!$C$5:$C$120=$B15)*Inputs!$D$5:$D$120*(((Inputs!$G$5:$G$120="moeda")+(Inputs!$G$5:$G$120="acoes"))*Inputs!$B$1+((Inputs!$G$5:$G$120&lt;&gt;"moeda")*(Inputs!$G$5:$G$120&lt;&gt;"acoes")))*INDEX(Inputs!$K$5:$AJ$120,0,MATCH(AF$2,Inputs!$K$4:$AJ$4,0)))+SUMPRODUCT((Inputs!$E$5:$E$120=$B15)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15" s="3" t="e">
        <f>AF15</f>
        <v>#N/A</v>
      </c>
      <c r="AH15" s="6">
        <f>IF(ISNA(MATCH(AH$2,Inputs!$K$4:$AJ$4,0)),NA(),IF(SUMPRODUCT((Inputs!$A$5:$A$120=$B15)*ISNUMBER(INDEX(Inputs!$K$5:$AJ$120,0,MATCH(AH$2,Inputs!$K$4:$AJ$4,0))))+SUMPRODUCT((Inputs!$C$5:$C$120=$B15)*ISNUMBER(INDEX(Inputs!$K$5:$AJ$120,0,MATCH(AH$2,Inputs!$K$4:$AJ$4,0))))+SUMPRODUCT((Inputs!$E$5:$E$120=$B15)*ISNUMBER(INDEX(Inputs!$K$5:$AJ$120,0,MATCH(AH$2,Inputs!$K$4:$AJ$4,0))))=0,NA(),SUMPRODUCT((Inputs!$A$5:$A$120=$B15)*Inputs!$B$5:$B$120*(((Inputs!$G$5:$G$120="moeda")+(Inputs!$G$5:$G$120="acoes"))*Inputs!$B$1+((Inputs!$G$5:$G$120&lt;&gt;"moeda")*(Inputs!$G$5:$G$120&lt;&gt;"acoes")))*INDEX(Inputs!$K$5:$AJ$120,0,MATCH(AH$2,Inputs!$K$4:$AJ$4,0)))+SUMPRODUCT((Inputs!$C$5:$C$120=$B15)*Inputs!$D$5:$D$120*(((Inputs!$G$5:$G$120="moeda")+(Inputs!$G$5:$G$120="acoes"))*Inputs!$B$1+((Inputs!$G$5:$G$120&lt;&gt;"moeda")*(Inputs!$G$5:$G$120&lt;&gt;"acoes")))*INDEX(Inputs!$K$5:$AJ$120,0,MATCH(AH$2,Inputs!$K$4:$AJ$4,0)))+SUMPRODUCT((Inputs!$E$5:$E$120=$B15)*Inputs!$F$5:$F$120*(((Inputs!$G$5:$G$120="moeda")+(Inputs!$G$5:$G$120="acoes"))*Inputs!$B$1+((Inputs!$G$5:$G$120&lt;&gt;"moeda")*(Inputs!$G$5:$G$120&lt;&gt;"acoes")))*INDEX(Inputs!$K$5:$AJ$120,0,MATCH(AH$2,Inputs!$K$4:$AJ$4,0)))))</f>
        <v>8080</v>
      </c>
      <c r="AI15" s="6">
        <f>IF(ISNA(MATCH(AI$2,Inputs!$K$4:$AJ$4,0)),NA(),IF(SUMPRODUCT((Inputs!$A$5:$A$120=$B15)*ISNUMBER(INDEX(Inputs!$K$5:$AJ$120,0,MATCH(AI$2,Inputs!$K$4:$AJ$4,0))))+SUMPRODUCT((Inputs!$C$5:$C$120=$B15)*ISNUMBER(INDEX(Inputs!$K$5:$AJ$120,0,MATCH(AI$2,Inputs!$K$4:$AJ$4,0))))+SUMPRODUCT((Inputs!$E$5:$E$120=$B15)*ISNUMBER(INDEX(Inputs!$K$5:$AJ$120,0,MATCH(AI$2,Inputs!$K$4:$AJ$4,0))))=0,NA(),SUMPRODUCT((Inputs!$A$5:$A$120=$B15)*Inputs!$B$5:$B$120*(((Inputs!$G$5:$G$120="moeda")+(Inputs!$G$5:$G$120="acoes"))*Inputs!$B$1+((Inputs!$G$5:$G$120&lt;&gt;"moeda")*(Inputs!$G$5:$G$120&lt;&gt;"acoes")))*INDEX(Inputs!$K$5:$AJ$120,0,MATCH(AI$2,Inputs!$K$4:$AJ$4,0)))+SUMPRODUCT((Inputs!$C$5:$C$120=$B15)*Inputs!$D$5:$D$120*(((Inputs!$G$5:$G$120="moeda")+(Inputs!$G$5:$G$120="acoes"))*Inputs!$B$1+((Inputs!$G$5:$G$120&lt;&gt;"moeda")*(Inputs!$G$5:$G$120&lt;&gt;"acoes")))*INDEX(Inputs!$K$5:$AJ$120,0,MATCH(AI$2,Inputs!$K$4:$AJ$4,0)))+SUMPRODUCT((Inputs!$E$5:$E$120=$B15)*Inputs!$F$5:$F$120*(((Inputs!$G$5:$G$120="moeda")+(Inputs!$G$5:$G$120="acoes"))*Inputs!$B$1+((Inputs!$G$5:$G$120&lt;&gt;"moeda")*(Inputs!$G$5:$G$120&lt;&gt;"acoes")))*INDEX(Inputs!$K$5:$AJ$120,0,MATCH(AI$2,Inputs!$K$4:$AJ$4,0)))))</f>
        <v>8615</v>
      </c>
      <c r="AJ15" s="6">
        <f>IF(ISNA(MATCH(AJ$2,Inputs!$K$4:$AJ$4,0)),NA(),IF(SUMPRODUCT((Inputs!$A$5:$A$120=$B15)*ISNUMBER(INDEX(Inputs!$K$5:$AJ$120,0,MATCH(AJ$2,Inputs!$K$4:$AJ$4,0))))+SUMPRODUCT((Inputs!$C$5:$C$120=$B15)*ISNUMBER(INDEX(Inputs!$K$5:$AJ$120,0,MATCH(AJ$2,Inputs!$K$4:$AJ$4,0))))+SUMPRODUCT((Inputs!$E$5:$E$120=$B15)*ISNUMBER(INDEX(Inputs!$K$5:$AJ$120,0,MATCH(AJ$2,Inputs!$K$4:$AJ$4,0))))=0,NA(),SUMPRODUCT((Inputs!$A$5:$A$120=$B15)*Inputs!$B$5:$B$120*(((Inputs!$G$5:$G$120="moeda")+(Inputs!$G$5:$G$120="acoes"))*Inputs!$B$1+((Inputs!$G$5:$G$120&lt;&gt;"moeda")*(Inputs!$G$5:$G$120&lt;&gt;"acoes")))*INDEX(Inputs!$K$5:$AJ$120,0,MATCH(AJ$2,Inputs!$K$4:$AJ$4,0)))+SUMPRODUCT((Inputs!$C$5:$C$120=$B15)*Inputs!$D$5:$D$120*(((Inputs!$G$5:$G$120="moeda")+(Inputs!$G$5:$G$120="acoes"))*Inputs!$B$1+((Inputs!$G$5:$G$120&lt;&gt;"moeda")*(Inputs!$G$5:$G$120&lt;&gt;"acoes")))*INDEX(Inputs!$K$5:$AJ$120,0,MATCH(AJ$2,Inputs!$K$4:$AJ$4,0)))+SUMPRODUCT((Inputs!$E$5:$E$120=$B15)*Inputs!$F$5:$F$120*(((Inputs!$G$5:$G$120="moeda")+(Inputs!$G$5:$G$120="acoes"))*Inputs!$B$1+((Inputs!$G$5:$G$120&lt;&gt;"moeda")*(Inputs!$G$5:$G$120&lt;&gt;"acoes")))*INDEX(Inputs!$K$5:$AJ$120,0,MATCH(AJ$2,Inputs!$K$4:$AJ$4,0)))))</f>
        <v>14531</v>
      </c>
      <c r="AK15" s="6">
        <f>IF(ISNA(MATCH(AK$2,Inputs!$K$4:$AJ$4,0)),NA(),IF(SUMPRODUCT((Inputs!$A$5:$A$120=$B15)*ISNUMBER(INDEX(Inputs!$K$5:$AJ$120,0,MATCH(AK$2,Inputs!$K$4:$AJ$4,0))))+SUMPRODUCT((Inputs!$C$5:$C$120=$B15)*ISNUMBER(INDEX(Inputs!$K$5:$AJ$120,0,MATCH(AK$2,Inputs!$K$4:$AJ$4,0))))+SUMPRODUCT((Inputs!$E$5:$E$120=$B15)*ISNUMBER(INDEX(Inputs!$K$5:$AJ$120,0,MATCH(AK$2,Inputs!$K$4:$AJ$4,0))))=0,NA(),SUMPRODUCT((Inputs!$A$5:$A$120=$B15)*Inputs!$B$5:$B$120*(((Inputs!$G$5:$G$120="moeda")+(Inputs!$G$5:$G$120="acoes"))*Inputs!$B$1+((Inputs!$G$5:$G$120&lt;&gt;"moeda")*(Inputs!$G$5:$G$120&lt;&gt;"acoes")))*INDEX(Inputs!$K$5:$AJ$120,0,MATCH(AK$2,Inputs!$K$4:$AJ$4,0)))+SUMPRODUCT((Inputs!$C$5:$C$120=$B15)*Inputs!$D$5:$D$120*(((Inputs!$G$5:$G$120="moeda")+(Inputs!$G$5:$G$120="acoes"))*Inputs!$B$1+((Inputs!$G$5:$G$120&lt;&gt;"moeda")*(Inputs!$G$5:$G$120&lt;&gt;"acoes")))*INDEX(Inputs!$K$5:$AJ$120,0,MATCH(AK$2,Inputs!$K$4:$AJ$4,0)))+SUMPRODUCT((Inputs!$E$5:$E$120=$B15)*Inputs!$F$5:$F$120*(((Inputs!$G$5:$G$120="moeda")+(Inputs!$G$5:$G$120="acoes"))*Inputs!$B$1+((Inputs!$G$5:$G$120&lt;&gt;"moeda")*(Inputs!$G$5:$G$120&lt;&gt;"acoes")))*INDEX(Inputs!$K$5:$AJ$120,0,MATCH(AK$2,Inputs!$K$4:$AJ$4,0)))))</f>
        <v>19384</v>
      </c>
      <c r="AL15" s="3">
        <f>AK15</f>
        <v>19384</v>
      </c>
    </row>
    <row r="16">
      <c r="B16" s="46" t="n">
        <v>12</v>
      </c>
      <c r="C16" s="26" t="inlineStr">
        <is>
          <t>Accounts receivable</t>
        </is>
      </c>
      <c r="D16" s="6">
        <f>IF(ISNA(MATCH(D$2,Inputs!$K$4:$AJ$4,0)),NA(),IF(SUMPRODUCT((Inputs!$A$5:$A$120=$B16)*ISNUMBER(INDEX(Inputs!$K$5:$AJ$120,0,MATCH(D$2,Inputs!$K$4:$AJ$4,0))))+SUMPRODUCT((Inputs!$C$5:$C$120=$B16)*ISNUMBER(INDEX(Inputs!$K$5:$AJ$120,0,MATCH(D$2,Inputs!$K$4:$AJ$4,0))))+SUMPRODUCT((Inputs!$E$5:$E$120=$B16)*ISNUMBER(INDEX(Inputs!$K$5:$AJ$120,0,MATCH(D$2,Inputs!$K$4:$AJ$4,0))))=0,NA(),SUMPRODUCT((Inputs!$A$5:$A$120=$B16)*Inputs!$B$5:$B$120*(((Inputs!$G$5:$G$120="moeda")+(Inputs!$G$5:$G$120="acoes"))*Inputs!$B$1+((Inputs!$G$5:$G$120&lt;&gt;"moeda")*(Inputs!$G$5:$G$120&lt;&gt;"acoes")))*INDEX(Inputs!$K$5:$AJ$120,0,MATCH(D$2,Inputs!$K$4:$AJ$4,0)))+SUMPRODUCT((Inputs!$C$5:$C$120=$B16)*Inputs!$D$5:$D$120*(((Inputs!$G$5:$G$120="moeda")+(Inputs!$G$5:$G$120="acoes"))*Inputs!$B$1+((Inputs!$G$5:$G$120&lt;&gt;"moeda")*(Inputs!$G$5:$G$120&lt;&gt;"acoes")))*INDEX(Inputs!$K$5:$AJ$120,0,MATCH(D$2,Inputs!$K$4:$AJ$4,0)))+SUMPRODUCT((Inputs!$E$5:$E$120=$B16)*Inputs!$F$5:$F$120*(((Inputs!$G$5:$G$120="moeda")+(Inputs!$G$5:$G$120="acoes"))*Inputs!$B$1+((Inputs!$G$5:$G$120&lt;&gt;"moeda")*(Inputs!$G$5:$G$120&lt;&gt;"acoes")))*INDEX(Inputs!$K$5:$AJ$120,0,MATCH(D$2,Inputs!$K$4:$AJ$4,0)))))</f>
        <v>1890</v>
      </c>
      <c r="E16" s="6">
        <f>IF(ISNA(MATCH(E$2,Inputs!$K$4:$AJ$4,0)),NA(),IF(SUMPRODUCT((Inputs!$A$5:$A$120=$B16)*ISNUMBER(INDEX(Inputs!$K$5:$AJ$120,0,MATCH(E$2,Inputs!$K$4:$AJ$4,0))))+SUMPRODUCT((Inputs!$C$5:$C$120=$B16)*ISNUMBER(INDEX(Inputs!$K$5:$AJ$120,0,MATCH(E$2,Inputs!$K$4:$AJ$4,0))))+SUMPRODUCT((Inputs!$E$5:$E$120=$B16)*ISNUMBER(INDEX(Inputs!$K$5:$AJ$120,0,MATCH(E$2,Inputs!$K$4:$AJ$4,0))))=0,NA(),SUMPRODUCT((Inputs!$A$5:$A$120=$B16)*Inputs!$B$5:$B$120*(((Inputs!$G$5:$G$120="moeda")+(Inputs!$G$5:$G$120="acoes"))*Inputs!$B$1+((Inputs!$G$5:$G$120&lt;&gt;"moeda")*(Inputs!$G$5:$G$120&lt;&gt;"acoes")))*INDEX(Inputs!$K$5:$AJ$120,0,MATCH(E$2,Inputs!$K$4:$AJ$4,0)))+SUMPRODUCT((Inputs!$C$5:$C$120=$B16)*Inputs!$D$5:$D$120*(((Inputs!$G$5:$G$120="moeda")+(Inputs!$G$5:$G$120="acoes"))*Inputs!$B$1+((Inputs!$G$5:$G$120&lt;&gt;"moeda")*(Inputs!$G$5:$G$120&lt;&gt;"acoes")))*INDEX(Inputs!$K$5:$AJ$120,0,MATCH(E$2,Inputs!$K$4:$AJ$4,0)))+SUMPRODUCT((Inputs!$E$5:$E$120=$B16)*Inputs!$F$5:$F$120*(((Inputs!$G$5:$G$120="moeda")+(Inputs!$G$5:$G$120="acoes"))*Inputs!$B$1+((Inputs!$G$5:$G$120&lt;&gt;"moeda")*(Inputs!$G$5:$G$120&lt;&gt;"acoes")))*INDEX(Inputs!$K$5:$AJ$120,0,MATCH(E$2,Inputs!$K$4:$AJ$4,0)))))</f>
        <v>2129</v>
      </c>
      <c r="F16" s="6">
        <f>IF(ISNA(MATCH(F$2,Inputs!$K$4:$AJ$4,0)),NA(),IF(SUMPRODUCT((Inputs!$A$5:$A$120=$B16)*ISNUMBER(INDEX(Inputs!$K$5:$AJ$120,0,MATCH(F$2,Inputs!$K$4:$AJ$4,0))))+SUMPRODUCT((Inputs!$C$5:$C$120=$B16)*ISNUMBER(INDEX(Inputs!$K$5:$AJ$120,0,MATCH(F$2,Inputs!$K$4:$AJ$4,0))))+SUMPRODUCT((Inputs!$E$5:$E$120=$B16)*ISNUMBER(INDEX(Inputs!$K$5:$AJ$120,0,MATCH(F$2,Inputs!$K$4:$AJ$4,0))))=0,NA(),SUMPRODUCT((Inputs!$A$5:$A$120=$B16)*Inputs!$B$5:$B$120*(((Inputs!$G$5:$G$120="moeda")+(Inputs!$G$5:$G$120="acoes"))*Inputs!$B$1+((Inputs!$G$5:$G$120&lt;&gt;"moeda")*(Inputs!$G$5:$G$120&lt;&gt;"acoes")))*INDEX(Inputs!$K$5:$AJ$120,0,MATCH(F$2,Inputs!$K$4:$AJ$4,0)))+SUMPRODUCT((Inputs!$C$5:$C$120=$B16)*Inputs!$D$5:$D$120*(((Inputs!$G$5:$G$120="moeda")+(Inputs!$G$5:$G$120="acoes"))*Inputs!$B$1+((Inputs!$G$5:$G$120&lt;&gt;"moeda")*(Inputs!$G$5:$G$120&lt;&gt;"acoes")))*INDEX(Inputs!$K$5:$AJ$120,0,MATCH(F$2,Inputs!$K$4:$AJ$4,0)))+SUMPRODUCT((Inputs!$E$5:$E$120=$B16)*Inputs!$F$5:$F$120*(((Inputs!$G$5:$G$120="moeda")+(Inputs!$G$5:$G$120="acoes"))*Inputs!$B$1+((Inputs!$G$5:$G$120&lt;&gt;"moeda")*(Inputs!$G$5:$G$120&lt;&gt;"acoes")))*INDEX(Inputs!$K$5:$AJ$120,0,MATCH(F$2,Inputs!$K$4:$AJ$4,0)))))</f>
        <v>1962</v>
      </c>
      <c r="G16" s="6">
        <f>IF(ISNA(MATCH(G$2,Inputs!$K$4:$AJ$4,0)),NA(),IF(SUMPRODUCT((Inputs!$A$5:$A$120=$B16)*ISNUMBER(INDEX(Inputs!$K$5:$AJ$120,0,MATCH(G$2,Inputs!$K$4:$AJ$4,0))))+SUMPRODUCT((Inputs!$C$5:$C$120=$B16)*ISNUMBER(INDEX(Inputs!$K$5:$AJ$120,0,MATCH(G$2,Inputs!$K$4:$AJ$4,0))))+SUMPRODUCT((Inputs!$E$5:$E$120=$B16)*ISNUMBER(INDEX(Inputs!$K$5:$AJ$120,0,MATCH(G$2,Inputs!$K$4:$AJ$4,0))))=0,NA(),SUMPRODUCT((Inputs!$A$5:$A$120=$B16)*Inputs!$B$5:$B$120*(((Inputs!$G$5:$G$120="moeda")+(Inputs!$G$5:$G$120="acoes"))*Inputs!$B$1+((Inputs!$G$5:$G$120&lt;&gt;"moeda")*(Inputs!$G$5:$G$120&lt;&gt;"acoes")))*INDEX(Inputs!$K$5:$AJ$120,0,MATCH(G$2,Inputs!$K$4:$AJ$4,0)))+SUMPRODUCT((Inputs!$C$5:$C$120=$B16)*Inputs!$D$5:$D$120*(((Inputs!$G$5:$G$120="moeda")+(Inputs!$G$5:$G$120="acoes"))*Inputs!$B$1+((Inputs!$G$5:$G$120&lt;&gt;"moeda")*(Inputs!$G$5:$G$120&lt;&gt;"acoes")))*INDEX(Inputs!$K$5:$AJ$120,0,MATCH(G$2,Inputs!$K$4:$AJ$4,0)))+SUMPRODUCT((Inputs!$E$5:$E$120=$B16)*Inputs!$F$5:$F$120*(((Inputs!$G$5:$G$120="moeda")+(Inputs!$G$5:$G$120="acoes"))*Inputs!$B$1+((Inputs!$G$5:$G$120&lt;&gt;"moeda")*(Inputs!$G$5:$G$120&lt;&gt;"acoes")))*INDEX(Inputs!$K$5:$AJ$120,0,MATCH(G$2,Inputs!$K$4:$AJ$4,0)))))</f>
        <v>1913</v>
      </c>
      <c r="H16" s="3">
        <f>G16</f>
        <v>1913</v>
      </c>
      <c r="I16" s="6">
        <f>IF(ISNA(MATCH(I$2,Inputs!$K$4:$AJ$4,0)),NA(),IF(SUMPRODUCT((Inputs!$A$5:$A$120=$B16)*ISNUMBER(INDEX(Inputs!$K$5:$AJ$120,0,MATCH(I$2,Inputs!$K$4:$AJ$4,0))))+SUMPRODUCT((Inputs!$C$5:$C$120=$B16)*ISNUMBER(INDEX(Inputs!$K$5:$AJ$120,0,MATCH(I$2,Inputs!$K$4:$AJ$4,0))))+SUMPRODUCT((Inputs!$E$5:$E$120=$B16)*ISNUMBER(INDEX(Inputs!$K$5:$AJ$120,0,MATCH(I$2,Inputs!$K$4:$AJ$4,0))))=0,NA(),SUMPRODUCT((Inputs!$A$5:$A$120=$B16)*Inputs!$B$5:$B$120*(((Inputs!$G$5:$G$120="moeda")+(Inputs!$G$5:$G$120="acoes"))*Inputs!$B$1+((Inputs!$G$5:$G$120&lt;&gt;"moeda")*(Inputs!$G$5:$G$120&lt;&gt;"acoes")))*INDEX(Inputs!$K$5:$AJ$120,0,MATCH(I$2,Inputs!$K$4:$AJ$4,0)))+SUMPRODUCT((Inputs!$C$5:$C$120=$B16)*Inputs!$D$5:$D$120*(((Inputs!$G$5:$G$120="moeda")+(Inputs!$G$5:$G$120="acoes"))*Inputs!$B$1+((Inputs!$G$5:$G$120&lt;&gt;"moeda")*(Inputs!$G$5:$G$120&lt;&gt;"acoes")))*INDEX(Inputs!$K$5:$AJ$120,0,MATCH(I$2,Inputs!$K$4:$AJ$4,0)))+SUMPRODUCT((Inputs!$E$5:$E$120=$B16)*Inputs!$F$5:$F$120*(((Inputs!$G$5:$G$120="moeda")+(Inputs!$G$5:$G$120="acoes"))*Inputs!$B$1+((Inputs!$G$5:$G$120&lt;&gt;"moeda")*(Inputs!$G$5:$G$120&lt;&gt;"acoes")))*INDEX(Inputs!$K$5:$AJ$120,0,MATCH(I$2,Inputs!$K$4:$AJ$4,0)))))</f>
        <v>2311</v>
      </c>
      <c r="J16" s="6">
        <f>IF(ISNA(MATCH(J$2,Inputs!$K$4:$AJ$4,0)),NA(),IF(SUMPRODUCT((Inputs!$A$5:$A$120=$B16)*ISNUMBER(INDEX(Inputs!$K$5:$AJ$120,0,MATCH(J$2,Inputs!$K$4:$AJ$4,0))))+SUMPRODUCT((Inputs!$C$5:$C$120=$B16)*ISNUMBER(INDEX(Inputs!$K$5:$AJ$120,0,MATCH(J$2,Inputs!$K$4:$AJ$4,0))))+SUMPRODUCT((Inputs!$E$5:$E$120=$B16)*ISNUMBER(INDEX(Inputs!$K$5:$AJ$120,0,MATCH(J$2,Inputs!$K$4:$AJ$4,0))))=0,NA(),SUMPRODUCT((Inputs!$A$5:$A$120=$B16)*Inputs!$B$5:$B$120*(((Inputs!$G$5:$G$120="moeda")+(Inputs!$G$5:$G$120="acoes"))*Inputs!$B$1+((Inputs!$G$5:$G$120&lt;&gt;"moeda")*(Inputs!$G$5:$G$120&lt;&gt;"acoes")))*INDEX(Inputs!$K$5:$AJ$120,0,MATCH(J$2,Inputs!$K$4:$AJ$4,0)))+SUMPRODUCT((Inputs!$C$5:$C$120=$B16)*Inputs!$D$5:$D$120*(((Inputs!$G$5:$G$120="moeda")+(Inputs!$G$5:$G$120="acoes"))*Inputs!$B$1+((Inputs!$G$5:$G$120&lt;&gt;"moeda")*(Inputs!$G$5:$G$120&lt;&gt;"acoes")))*INDEX(Inputs!$K$5:$AJ$120,0,MATCH(J$2,Inputs!$K$4:$AJ$4,0)))+SUMPRODUCT((Inputs!$E$5:$E$120=$B16)*Inputs!$F$5:$F$120*(((Inputs!$G$5:$G$120="moeda")+(Inputs!$G$5:$G$120="acoes"))*Inputs!$B$1+((Inputs!$G$5:$G$120&lt;&gt;"moeda")*(Inputs!$G$5:$G$120&lt;&gt;"acoes")))*INDEX(Inputs!$K$5:$AJ$120,0,MATCH(J$2,Inputs!$K$4:$AJ$4,0)))))</f>
        <v>2081</v>
      </c>
      <c r="K16" s="6">
        <f>IF(ISNA(MATCH(K$2,Inputs!$K$4:$AJ$4,0)),NA(),IF(SUMPRODUCT((Inputs!$A$5:$A$120=$B16)*ISNUMBER(INDEX(Inputs!$K$5:$AJ$120,0,MATCH(K$2,Inputs!$K$4:$AJ$4,0))))+SUMPRODUCT((Inputs!$C$5:$C$120=$B16)*ISNUMBER(INDEX(Inputs!$K$5:$AJ$120,0,MATCH(K$2,Inputs!$K$4:$AJ$4,0))))+SUMPRODUCT((Inputs!$E$5:$E$120=$B16)*ISNUMBER(INDEX(Inputs!$K$5:$AJ$120,0,MATCH(K$2,Inputs!$K$4:$AJ$4,0))))=0,NA(),SUMPRODUCT((Inputs!$A$5:$A$120=$B16)*Inputs!$B$5:$B$120*(((Inputs!$G$5:$G$120="moeda")+(Inputs!$G$5:$G$120="acoes"))*Inputs!$B$1+((Inputs!$G$5:$G$120&lt;&gt;"moeda")*(Inputs!$G$5:$G$120&lt;&gt;"acoes")))*INDEX(Inputs!$K$5:$AJ$120,0,MATCH(K$2,Inputs!$K$4:$AJ$4,0)))+SUMPRODUCT((Inputs!$C$5:$C$120=$B16)*Inputs!$D$5:$D$120*(((Inputs!$G$5:$G$120="moeda")+(Inputs!$G$5:$G$120="acoes"))*Inputs!$B$1+((Inputs!$G$5:$G$120&lt;&gt;"moeda")*(Inputs!$G$5:$G$120&lt;&gt;"acoes")))*INDEX(Inputs!$K$5:$AJ$120,0,MATCH(K$2,Inputs!$K$4:$AJ$4,0)))+SUMPRODUCT((Inputs!$E$5:$E$120=$B16)*Inputs!$F$5:$F$120*(((Inputs!$G$5:$G$120="moeda")+(Inputs!$G$5:$G$120="acoes"))*Inputs!$B$1+((Inputs!$G$5:$G$120&lt;&gt;"moeda")*(Inputs!$G$5:$G$120&lt;&gt;"acoes")))*INDEX(Inputs!$K$5:$AJ$120,0,MATCH(K$2,Inputs!$K$4:$AJ$4,0)))))</f>
        <v>2192</v>
      </c>
      <c r="L16" s="6">
        <f>IF(ISNA(MATCH(L$2,Inputs!$K$4:$AJ$4,0)),NA(),IF(SUMPRODUCT((Inputs!$A$5:$A$120=$B16)*ISNUMBER(INDEX(Inputs!$K$5:$AJ$120,0,MATCH(L$2,Inputs!$K$4:$AJ$4,0))))+SUMPRODUCT((Inputs!$C$5:$C$120=$B16)*ISNUMBER(INDEX(Inputs!$K$5:$AJ$120,0,MATCH(L$2,Inputs!$K$4:$AJ$4,0))))+SUMPRODUCT((Inputs!$E$5:$E$120=$B16)*ISNUMBER(INDEX(Inputs!$K$5:$AJ$120,0,MATCH(L$2,Inputs!$K$4:$AJ$4,0))))=0,NA(),SUMPRODUCT((Inputs!$A$5:$A$120=$B16)*Inputs!$B$5:$B$120*(((Inputs!$G$5:$G$120="moeda")+(Inputs!$G$5:$G$120="acoes"))*Inputs!$B$1+((Inputs!$G$5:$G$120&lt;&gt;"moeda")*(Inputs!$G$5:$G$120&lt;&gt;"acoes")))*INDEX(Inputs!$K$5:$AJ$120,0,MATCH(L$2,Inputs!$K$4:$AJ$4,0)))+SUMPRODUCT((Inputs!$C$5:$C$120=$B16)*Inputs!$D$5:$D$120*(((Inputs!$G$5:$G$120="moeda")+(Inputs!$G$5:$G$120="acoes"))*Inputs!$B$1+((Inputs!$G$5:$G$120&lt;&gt;"moeda")*(Inputs!$G$5:$G$120&lt;&gt;"acoes")))*INDEX(Inputs!$K$5:$AJ$120,0,MATCH(L$2,Inputs!$K$4:$AJ$4,0)))+SUMPRODUCT((Inputs!$E$5:$E$120=$B16)*Inputs!$F$5:$F$120*(((Inputs!$G$5:$G$120="moeda")+(Inputs!$G$5:$G$120="acoes"))*Inputs!$B$1+((Inputs!$G$5:$G$120&lt;&gt;"moeda")*(Inputs!$G$5:$G$120&lt;&gt;"acoes")))*INDEX(Inputs!$K$5:$AJ$120,0,MATCH(L$2,Inputs!$K$4:$AJ$4,0)))))</f>
        <v>2952</v>
      </c>
      <c r="M16" s="3">
        <f>L16</f>
        <v>2952</v>
      </c>
      <c r="N16" s="6">
        <f>IF(ISNA(MATCH(N$2,Inputs!$K$4:$AJ$4,0)),NA(),IF(SUMPRODUCT((Inputs!$A$5:$A$120=$B16)*ISNUMBER(INDEX(Inputs!$K$5:$AJ$120,0,MATCH(N$2,Inputs!$K$4:$AJ$4,0))))+SUMPRODUCT((Inputs!$C$5:$C$120=$B16)*ISNUMBER(INDEX(Inputs!$K$5:$AJ$120,0,MATCH(N$2,Inputs!$K$4:$AJ$4,0))))+SUMPRODUCT((Inputs!$E$5:$E$120=$B16)*ISNUMBER(INDEX(Inputs!$K$5:$AJ$120,0,MATCH(N$2,Inputs!$K$4:$AJ$4,0))))=0,NA(),SUMPRODUCT((Inputs!$A$5:$A$120=$B16)*Inputs!$B$5:$B$120*(((Inputs!$G$5:$G$120="moeda")+(Inputs!$G$5:$G$120="acoes"))*Inputs!$B$1+((Inputs!$G$5:$G$120&lt;&gt;"moeda")*(Inputs!$G$5:$G$120&lt;&gt;"acoes")))*INDEX(Inputs!$K$5:$AJ$120,0,MATCH(N$2,Inputs!$K$4:$AJ$4,0)))+SUMPRODUCT((Inputs!$C$5:$C$120=$B16)*Inputs!$D$5:$D$120*(((Inputs!$G$5:$G$120="moeda")+(Inputs!$G$5:$G$120="acoes"))*Inputs!$B$1+((Inputs!$G$5:$G$120&lt;&gt;"moeda")*(Inputs!$G$5:$G$120&lt;&gt;"acoes")))*INDEX(Inputs!$K$5:$AJ$120,0,MATCH(N$2,Inputs!$K$4:$AJ$4,0)))+SUMPRODUCT((Inputs!$E$5:$E$120=$B16)*Inputs!$F$5:$F$120*(((Inputs!$G$5:$G$120="moeda")+(Inputs!$G$5:$G$120="acoes"))*Inputs!$B$1+((Inputs!$G$5:$G$120&lt;&gt;"moeda")*(Inputs!$G$5:$G$120&lt;&gt;"acoes")))*INDEX(Inputs!$K$5:$AJ$120,0,MATCH(N$2,Inputs!$K$4:$AJ$4,0)))))</f>
        <v>2993</v>
      </c>
      <c r="O16" s="6">
        <f>IF(ISNA(MATCH(O$2,Inputs!$K$4:$AJ$4,0)),NA(),IF(SUMPRODUCT((Inputs!$A$5:$A$120=$B16)*ISNUMBER(INDEX(Inputs!$K$5:$AJ$120,0,MATCH(O$2,Inputs!$K$4:$AJ$4,0))))+SUMPRODUCT((Inputs!$C$5:$C$120=$B16)*ISNUMBER(INDEX(Inputs!$K$5:$AJ$120,0,MATCH(O$2,Inputs!$K$4:$AJ$4,0))))+SUMPRODUCT((Inputs!$E$5:$E$120=$B16)*ISNUMBER(INDEX(Inputs!$K$5:$AJ$120,0,MATCH(O$2,Inputs!$K$4:$AJ$4,0))))=0,NA(),SUMPRODUCT((Inputs!$A$5:$A$120=$B16)*Inputs!$B$5:$B$120*(((Inputs!$G$5:$G$120="moeda")+(Inputs!$G$5:$G$120="acoes"))*Inputs!$B$1+((Inputs!$G$5:$G$120&lt;&gt;"moeda")*(Inputs!$G$5:$G$120&lt;&gt;"acoes")))*INDEX(Inputs!$K$5:$AJ$120,0,MATCH(O$2,Inputs!$K$4:$AJ$4,0)))+SUMPRODUCT((Inputs!$C$5:$C$120=$B16)*Inputs!$D$5:$D$120*(((Inputs!$G$5:$G$120="moeda")+(Inputs!$G$5:$G$120="acoes"))*Inputs!$B$1+((Inputs!$G$5:$G$120&lt;&gt;"moeda")*(Inputs!$G$5:$G$120&lt;&gt;"acoes")))*INDEX(Inputs!$K$5:$AJ$120,0,MATCH(O$2,Inputs!$K$4:$AJ$4,0)))+SUMPRODUCT((Inputs!$E$5:$E$120=$B16)*Inputs!$F$5:$F$120*(((Inputs!$G$5:$G$120="moeda")+(Inputs!$G$5:$G$120="acoes"))*Inputs!$B$1+((Inputs!$G$5:$G$120&lt;&gt;"moeda")*(Inputs!$G$5:$G$120&lt;&gt;"acoes")))*INDEX(Inputs!$K$5:$AJ$120,0,MATCH(O$2,Inputs!$K$4:$AJ$4,0)))))</f>
        <v>3447</v>
      </c>
      <c r="P16" s="6">
        <f>IF(ISNA(MATCH(P$2,Inputs!$K$4:$AJ$4,0)),NA(),IF(SUMPRODUCT((Inputs!$A$5:$A$120=$B16)*ISNUMBER(INDEX(Inputs!$K$5:$AJ$120,0,MATCH(P$2,Inputs!$K$4:$AJ$4,0))))+SUMPRODUCT((Inputs!$C$5:$C$120=$B16)*ISNUMBER(INDEX(Inputs!$K$5:$AJ$120,0,MATCH(P$2,Inputs!$K$4:$AJ$4,0))))+SUMPRODUCT((Inputs!$E$5:$E$120=$B16)*ISNUMBER(INDEX(Inputs!$K$5:$AJ$120,0,MATCH(P$2,Inputs!$K$4:$AJ$4,0))))=0,NA(),SUMPRODUCT((Inputs!$A$5:$A$120=$B16)*Inputs!$B$5:$B$120*(((Inputs!$G$5:$G$120="moeda")+(Inputs!$G$5:$G$120="acoes"))*Inputs!$B$1+((Inputs!$G$5:$G$120&lt;&gt;"moeda")*(Inputs!$G$5:$G$120&lt;&gt;"acoes")))*INDEX(Inputs!$K$5:$AJ$120,0,MATCH(P$2,Inputs!$K$4:$AJ$4,0)))+SUMPRODUCT((Inputs!$C$5:$C$120=$B16)*Inputs!$D$5:$D$120*(((Inputs!$G$5:$G$120="moeda")+(Inputs!$G$5:$G$120="acoes"))*Inputs!$B$1+((Inputs!$G$5:$G$120&lt;&gt;"moeda")*(Inputs!$G$5:$G$120&lt;&gt;"acoes")))*INDEX(Inputs!$K$5:$AJ$120,0,MATCH(P$2,Inputs!$K$4:$AJ$4,0)))+SUMPRODUCT((Inputs!$E$5:$E$120=$B16)*Inputs!$F$5:$F$120*(((Inputs!$G$5:$G$120="moeda")+(Inputs!$G$5:$G$120="acoes"))*Inputs!$B$1+((Inputs!$G$5:$G$120&lt;&gt;"moeda")*(Inputs!$G$5:$G$120&lt;&gt;"acoes")))*INDEX(Inputs!$K$5:$AJ$120,0,MATCH(P$2,Inputs!$K$4:$AJ$4,0)))))</f>
        <v>2520</v>
      </c>
      <c r="Q16" s="6">
        <f>IF(ISNA(MATCH(Q$2,Inputs!$K$4:$AJ$4,0)),NA(),IF(SUMPRODUCT((Inputs!$A$5:$A$120=$B16)*ISNUMBER(INDEX(Inputs!$K$5:$AJ$120,0,MATCH(Q$2,Inputs!$K$4:$AJ$4,0))))+SUMPRODUCT((Inputs!$C$5:$C$120=$B16)*ISNUMBER(INDEX(Inputs!$K$5:$AJ$120,0,MATCH(Q$2,Inputs!$K$4:$AJ$4,0))))+SUMPRODUCT((Inputs!$E$5:$E$120=$B16)*ISNUMBER(INDEX(Inputs!$K$5:$AJ$120,0,MATCH(Q$2,Inputs!$K$4:$AJ$4,0))))=0,NA(),SUMPRODUCT((Inputs!$A$5:$A$120=$B16)*Inputs!$B$5:$B$120*(((Inputs!$G$5:$G$120="moeda")+(Inputs!$G$5:$G$120="acoes"))*Inputs!$B$1+((Inputs!$G$5:$G$120&lt;&gt;"moeda")*(Inputs!$G$5:$G$120&lt;&gt;"acoes")))*INDEX(Inputs!$K$5:$AJ$120,0,MATCH(Q$2,Inputs!$K$4:$AJ$4,0)))+SUMPRODUCT((Inputs!$C$5:$C$120=$B16)*Inputs!$D$5:$D$120*(((Inputs!$G$5:$G$120="moeda")+(Inputs!$G$5:$G$120="acoes"))*Inputs!$B$1+((Inputs!$G$5:$G$120&lt;&gt;"moeda")*(Inputs!$G$5:$G$120&lt;&gt;"acoes")))*INDEX(Inputs!$K$5:$AJ$120,0,MATCH(Q$2,Inputs!$K$4:$AJ$4,0)))+SUMPRODUCT((Inputs!$E$5:$E$120=$B16)*Inputs!$F$5:$F$120*(((Inputs!$G$5:$G$120="moeda")+(Inputs!$G$5:$G$120="acoes"))*Inputs!$B$1+((Inputs!$G$5:$G$120&lt;&gt;"moeda")*(Inputs!$G$5:$G$120&lt;&gt;"acoes")))*INDEX(Inputs!$K$5:$AJ$120,0,MATCH(Q$2,Inputs!$K$4:$AJ$4,0)))))</f>
        <v>3508</v>
      </c>
      <c r="R16" s="3">
        <f>Q16</f>
        <v>3508</v>
      </c>
      <c r="S16" s="6">
        <f>IF(ISNA(MATCH(S$2,Inputs!$K$4:$AJ$4,0)),NA(),IF(SUMPRODUCT((Inputs!$A$5:$A$120=$B16)*ISNUMBER(INDEX(Inputs!$K$5:$AJ$120,0,MATCH(S$2,Inputs!$K$4:$AJ$4,0))))+SUMPRODUCT((Inputs!$C$5:$C$120=$B16)*ISNUMBER(INDEX(Inputs!$K$5:$AJ$120,0,MATCH(S$2,Inputs!$K$4:$AJ$4,0))))+SUMPRODUCT((Inputs!$E$5:$E$120=$B16)*ISNUMBER(INDEX(Inputs!$K$5:$AJ$120,0,MATCH(S$2,Inputs!$K$4:$AJ$4,0))))=0,NA(),SUMPRODUCT((Inputs!$A$5:$A$120=$B16)*Inputs!$B$5:$B$120*(((Inputs!$G$5:$G$120="moeda")+(Inputs!$G$5:$G$120="acoes"))*Inputs!$B$1+((Inputs!$G$5:$G$120&lt;&gt;"moeda")*(Inputs!$G$5:$G$120&lt;&gt;"acoes")))*INDEX(Inputs!$K$5:$AJ$120,0,MATCH(S$2,Inputs!$K$4:$AJ$4,0)))+SUMPRODUCT((Inputs!$C$5:$C$120=$B16)*Inputs!$D$5:$D$120*(((Inputs!$G$5:$G$120="moeda")+(Inputs!$G$5:$G$120="acoes"))*Inputs!$B$1+((Inputs!$G$5:$G$120&lt;&gt;"moeda")*(Inputs!$G$5:$G$120&lt;&gt;"acoes")))*INDEX(Inputs!$K$5:$AJ$120,0,MATCH(S$2,Inputs!$K$4:$AJ$4,0)))+SUMPRODUCT((Inputs!$E$5:$E$120=$B16)*Inputs!$F$5:$F$120*(((Inputs!$G$5:$G$120="moeda")+(Inputs!$G$5:$G$120="acoes"))*Inputs!$B$1+((Inputs!$G$5:$G$120&lt;&gt;"moeda")*(Inputs!$G$5:$G$120&lt;&gt;"acoes")))*INDEX(Inputs!$K$5:$AJ$120,0,MATCH(S$2,Inputs!$K$4:$AJ$4,0)))))</f>
        <v>3887</v>
      </c>
      <c r="T16" s="6">
        <f>IF(ISNA(MATCH(T$2,Inputs!$K$4:$AJ$4,0)),NA(),IF(SUMPRODUCT((Inputs!$A$5:$A$120=$B16)*ISNUMBER(INDEX(Inputs!$K$5:$AJ$120,0,MATCH(T$2,Inputs!$K$4:$AJ$4,0))))+SUMPRODUCT((Inputs!$C$5:$C$120=$B16)*ISNUMBER(INDEX(Inputs!$K$5:$AJ$120,0,MATCH(T$2,Inputs!$K$4:$AJ$4,0))))+SUMPRODUCT((Inputs!$E$5:$E$120=$B16)*ISNUMBER(INDEX(Inputs!$K$5:$AJ$120,0,MATCH(T$2,Inputs!$K$4:$AJ$4,0))))=0,NA(),SUMPRODUCT((Inputs!$A$5:$A$120=$B16)*Inputs!$B$5:$B$120*(((Inputs!$G$5:$G$120="moeda")+(Inputs!$G$5:$G$120="acoes"))*Inputs!$B$1+((Inputs!$G$5:$G$120&lt;&gt;"moeda")*(Inputs!$G$5:$G$120&lt;&gt;"acoes")))*INDEX(Inputs!$K$5:$AJ$120,0,MATCH(T$2,Inputs!$K$4:$AJ$4,0)))+SUMPRODUCT((Inputs!$C$5:$C$120=$B16)*Inputs!$D$5:$D$120*(((Inputs!$G$5:$G$120="moeda")+(Inputs!$G$5:$G$120="acoes"))*Inputs!$B$1+((Inputs!$G$5:$G$120&lt;&gt;"moeda")*(Inputs!$G$5:$G$120&lt;&gt;"acoes")))*INDEX(Inputs!$K$5:$AJ$120,0,MATCH(T$2,Inputs!$K$4:$AJ$4,0)))+SUMPRODUCT((Inputs!$E$5:$E$120=$B16)*Inputs!$F$5:$F$120*(((Inputs!$G$5:$G$120="moeda")+(Inputs!$G$5:$G$120="acoes"))*Inputs!$B$1+((Inputs!$G$5:$G$120&lt;&gt;"moeda")*(Inputs!$G$5:$G$120&lt;&gt;"acoes")))*INDEX(Inputs!$K$5:$AJ$120,0,MATCH(T$2,Inputs!$K$4:$AJ$4,0)))))</f>
        <v>3737</v>
      </c>
      <c r="U16" s="6">
        <f>IF(ISNA(MATCH(U$2,Inputs!$K$4:$AJ$4,0)),NA(),IF(SUMPRODUCT((Inputs!$A$5:$A$120=$B16)*ISNUMBER(INDEX(Inputs!$K$5:$AJ$120,0,MATCH(U$2,Inputs!$K$4:$AJ$4,0))))+SUMPRODUCT((Inputs!$C$5:$C$120=$B16)*ISNUMBER(INDEX(Inputs!$K$5:$AJ$120,0,MATCH(U$2,Inputs!$K$4:$AJ$4,0))))+SUMPRODUCT((Inputs!$E$5:$E$120=$B16)*ISNUMBER(INDEX(Inputs!$K$5:$AJ$120,0,MATCH(U$2,Inputs!$K$4:$AJ$4,0))))=0,NA(),SUMPRODUCT((Inputs!$A$5:$A$120=$B16)*Inputs!$B$5:$B$120*(((Inputs!$G$5:$G$120="moeda")+(Inputs!$G$5:$G$120="acoes"))*Inputs!$B$1+((Inputs!$G$5:$G$120&lt;&gt;"moeda")*(Inputs!$G$5:$G$120&lt;&gt;"acoes")))*INDEX(Inputs!$K$5:$AJ$120,0,MATCH(U$2,Inputs!$K$4:$AJ$4,0)))+SUMPRODUCT((Inputs!$C$5:$C$120=$B16)*Inputs!$D$5:$D$120*(((Inputs!$G$5:$G$120="moeda")+(Inputs!$G$5:$G$120="acoes"))*Inputs!$B$1+((Inputs!$G$5:$G$120&lt;&gt;"moeda")*(Inputs!$G$5:$G$120&lt;&gt;"acoes")))*INDEX(Inputs!$K$5:$AJ$120,0,MATCH(U$2,Inputs!$K$4:$AJ$4,0)))+SUMPRODUCT((Inputs!$E$5:$E$120=$B16)*Inputs!$F$5:$F$120*(((Inputs!$G$5:$G$120="moeda")+(Inputs!$G$5:$G$120="acoes"))*Inputs!$B$1+((Inputs!$G$5:$G$120&lt;&gt;"moeda")*(Inputs!$G$5:$G$120&lt;&gt;"acoes")))*INDEX(Inputs!$K$5:$AJ$120,0,MATCH(U$2,Inputs!$K$4:$AJ$4,0)))))</f>
        <v>3313</v>
      </c>
      <c r="V16" s="6">
        <f>IF(ISNA(MATCH(V$2,Inputs!$K$4:$AJ$4,0)),NA(),IF(SUMPRODUCT((Inputs!$A$5:$A$120=$B16)*ISNUMBER(INDEX(Inputs!$K$5:$AJ$120,0,MATCH(V$2,Inputs!$K$4:$AJ$4,0))))+SUMPRODUCT((Inputs!$C$5:$C$120=$B16)*ISNUMBER(INDEX(Inputs!$K$5:$AJ$120,0,MATCH(V$2,Inputs!$K$4:$AJ$4,0))))+SUMPRODUCT((Inputs!$E$5:$E$120=$B16)*ISNUMBER(INDEX(Inputs!$K$5:$AJ$120,0,MATCH(V$2,Inputs!$K$4:$AJ$4,0))))=0,NA(),SUMPRODUCT((Inputs!$A$5:$A$120=$B16)*Inputs!$B$5:$B$120*(((Inputs!$G$5:$G$120="moeda")+(Inputs!$G$5:$G$120="acoes"))*Inputs!$B$1+((Inputs!$G$5:$G$120&lt;&gt;"moeda")*(Inputs!$G$5:$G$120&lt;&gt;"acoes")))*INDEX(Inputs!$K$5:$AJ$120,0,MATCH(V$2,Inputs!$K$4:$AJ$4,0)))+SUMPRODUCT((Inputs!$C$5:$C$120=$B16)*Inputs!$D$5:$D$120*(((Inputs!$G$5:$G$120="moeda")+(Inputs!$G$5:$G$120="acoes"))*Inputs!$B$1+((Inputs!$G$5:$G$120&lt;&gt;"moeda")*(Inputs!$G$5:$G$120&lt;&gt;"acoes")))*INDEX(Inputs!$K$5:$AJ$120,0,MATCH(V$2,Inputs!$K$4:$AJ$4,0)))+SUMPRODUCT((Inputs!$E$5:$E$120=$B16)*Inputs!$F$5:$F$120*(((Inputs!$G$5:$G$120="moeda")+(Inputs!$G$5:$G$120="acoes"))*Inputs!$B$1+((Inputs!$G$5:$G$120&lt;&gt;"moeda")*(Inputs!$G$5:$G$120&lt;&gt;"acoes")))*INDEX(Inputs!$K$5:$AJ$120,0,MATCH(V$2,Inputs!$K$4:$AJ$4,0)))))</f>
        <v>4418</v>
      </c>
      <c r="W16" s="3">
        <f>V16</f>
        <v>4418</v>
      </c>
      <c r="X16" s="6">
        <f>IF(ISNA(MATCH(X$2,Inputs!$K$4:$AJ$4,0)),NA(),IF(SUMPRODUCT((Inputs!$A$5:$A$120=$B16)*ISNUMBER(INDEX(Inputs!$K$5:$AJ$120,0,MATCH(X$2,Inputs!$K$4:$AJ$4,0))))+SUMPRODUCT((Inputs!$C$5:$C$120=$B16)*ISNUMBER(INDEX(Inputs!$K$5:$AJ$120,0,MATCH(X$2,Inputs!$K$4:$AJ$4,0))))+SUMPRODUCT((Inputs!$E$5:$E$120=$B16)*ISNUMBER(INDEX(Inputs!$K$5:$AJ$120,0,MATCH(X$2,Inputs!$K$4:$AJ$4,0))))=0,NA(),SUMPRODUCT((Inputs!$A$5:$A$120=$B16)*Inputs!$B$5:$B$120*(((Inputs!$G$5:$G$120="moeda")+(Inputs!$G$5:$G$120="acoes"))*Inputs!$B$1+((Inputs!$G$5:$G$120&lt;&gt;"moeda")*(Inputs!$G$5:$G$120&lt;&gt;"acoes")))*INDEX(Inputs!$K$5:$AJ$120,0,MATCH(X$2,Inputs!$K$4:$AJ$4,0)))+SUMPRODUCT((Inputs!$C$5:$C$120=$B16)*Inputs!$D$5:$D$120*(((Inputs!$G$5:$G$120="moeda")+(Inputs!$G$5:$G$120="acoes"))*Inputs!$B$1+((Inputs!$G$5:$G$120&lt;&gt;"moeda")*(Inputs!$G$5:$G$120&lt;&gt;"acoes")))*INDEX(Inputs!$K$5:$AJ$120,0,MATCH(X$2,Inputs!$K$4:$AJ$4,0)))+SUMPRODUCT((Inputs!$E$5:$E$120=$B16)*Inputs!$F$5:$F$120*(((Inputs!$G$5:$G$120="moeda")+(Inputs!$G$5:$G$120="acoes"))*Inputs!$B$1+((Inputs!$G$5:$G$120&lt;&gt;"moeda")*(Inputs!$G$5:$G$120&lt;&gt;"acoes")))*INDEX(Inputs!$K$5:$AJ$120,0,MATCH(X$2,Inputs!$K$4:$AJ$4,0)))))</f>
        <v>3782</v>
      </c>
      <c r="Y16" s="6">
        <f>IF(ISNA(MATCH(Y$2,Inputs!$K$4:$AJ$4,0)),NA(),IF(SUMPRODUCT((Inputs!$A$5:$A$120=$B16)*ISNUMBER(INDEX(Inputs!$K$5:$AJ$120,0,MATCH(Y$2,Inputs!$K$4:$AJ$4,0))))+SUMPRODUCT((Inputs!$C$5:$C$120=$B16)*ISNUMBER(INDEX(Inputs!$K$5:$AJ$120,0,MATCH(Y$2,Inputs!$K$4:$AJ$4,0))))+SUMPRODUCT((Inputs!$E$5:$E$120=$B16)*ISNUMBER(INDEX(Inputs!$K$5:$AJ$120,0,MATCH(Y$2,Inputs!$K$4:$AJ$4,0))))=0,NA(),SUMPRODUCT((Inputs!$A$5:$A$120=$B16)*Inputs!$B$5:$B$120*(((Inputs!$G$5:$G$120="moeda")+(Inputs!$G$5:$G$120="acoes"))*Inputs!$B$1+((Inputs!$G$5:$G$120&lt;&gt;"moeda")*(Inputs!$G$5:$G$120&lt;&gt;"acoes")))*INDEX(Inputs!$K$5:$AJ$120,0,MATCH(Y$2,Inputs!$K$4:$AJ$4,0)))+SUMPRODUCT((Inputs!$C$5:$C$120=$B16)*Inputs!$D$5:$D$120*(((Inputs!$G$5:$G$120="moeda")+(Inputs!$G$5:$G$120="acoes"))*Inputs!$B$1+((Inputs!$G$5:$G$120&lt;&gt;"moeda")*(Inputs!$G$5:$G$120&lt;&gt;"acoes")))*INDEX(Inputs!$K$5:$AJ$120,0,MATCH(Y$2,Inputs!$K$4:$AJ$4,0)))+SUMPRODUCT((Inputs!$E$5:$E$120=$B16)*Inputs!$F$5:$F$120*(((Inputs!$G$5:$G$120="moeda")+(Inputs!$G$5:$G$120="acoes"))*Inputs!$B$1+((Inputs!$G$5:$G$120&lt;&gt;"moeda")*(Inputs!$G$5:$G$120&lt;&gt;"acoes")))*INDEX(Inputs!$K$5:$AJ$120,0,MATCH(Y$2,Inputs!$K$4:$AJ$4,0)))))</f>
        <v>3838</v>
      </c>
      <c r="Z16" s="6">
        <f>IF(ISNA(MATCH(Z$2,Inputs!$K$4:$AJ$4,0)),NA(),IF(SUMPRODUCT((Inputs!$A$5:$A$120=$B16)*ISNUMBER(INDEX(Inputs!$K$5:$AJ$120,0,MATCH(Z$2,Inputs!$K$4:$AJ$4,0))))+SUMPRODUCT((Inputs!$C$5:$C$120=$B16)*ISNUMBER(INDEX(Inputs!$K$5:$AJ$120,0,MATCH(Z$2,Inputs!$K$4:$AJ$4,0))))+SUMPRODUCT((Inputs!$E$5:$E$120=$B16)*ISNUMBER(INDEX(Inputs!$K$5:$AJ$120,0,MATCH(Z$2,Inputs!$K$4:$AJ$4,0))))=0,NA(),SUMPRODUCT((Inputs!$A$5:$A$120=$B16)*Inputs!$B$5:$B$120*(((Inputs!$G$5:$G$120="moeda")+(Inputs!$G$5:$G$120="acoes"))*Inputs!$B$1+((Inputs!$G$5:$G$120&lt;&gt;"moeda")*(Inputs!$G$5:$G$120&lt;&gt;"acoes")))*INDEX(Inputs!$K$5:$AJ$120,0,MATCH(Z$2,Inputs!$K$4:$AJ$4,0)))+SUMPRODUCT((Inputs!$C$5:$C$120=$B16)*Inputs!$D$5:$D$120*(((Inputs!$G$5:$G$120="moeda")+(Inputs!$G$5:$G$120="acoes"))*Inputs!$B$1+((Inputs!$G$5:$G$120&lt;&gt;"moeda")*(Inputs!$G$5:$G$120&lt;&gt;"acoes")))*INDEX(Inputs!$K$5:$AJ$120,0,MATCH(Z$2,Inputs!$K$4:$AJ$4,0)))+SUMPRODUCT((Inputs!$E$5:$E$120=$B16)*Inputs!$F$5:$F$120*(((Inputs!$G$5:$G$120="moeda")+(Inputs!$G$5:$G$120="acoes"))*Inputs!$B$1+((Inputs!$G$5:$G$120&lt;&gt;"moeda")*(Inputs!$G$5:$G$120&lt;&gt;"acoes")))*INDEX(Inputs!$K$5:$AJ$120,0,MATCH(Z$2,Inputs!$K$4:$AJ$4,0)))))</f>
        <v>4703</v>
      </c>
      <c r="AA16" s="6">
        <f>IF(ISNA(MATCH(AA$2,Inputs!$K$4:$AJ$4,0)),NA(),IF(SUMPRODUCT((Inputs!$A$5:$A$120=$B16)*ISNUMBER(INDEX(Inputs!$K$5:$AJ$120,0,MATCH(AA$2,Inputs!$K$4:$AJ$4,0))))+SUMPRODUCT((Inputs!$C$5:$C$120=$B16)*ISNUMBER(INDEX(Inputs!$K$5:$AJ$120,0,MATCH(AA$2,Inputs!$K$4:$AJ$4,0))))+SUMPRODUCT((Inputs!$E$5:$E$120=$B16)*ISNUMBER(INDEX(Inputs!$K$5:$AJ$120,0,MATCH(AA$2,Inputs!$K$4:$AJ$4,0))))=0,NA(),SUMPRODUCT((Inputs!$A$5:$A$120=$B16)*Inputs!$B$5:$B$120*(((Inputs!$G$5:$G$120="moeda")+(Inputs!$G$5:$G$120="acoes"))*Inputs!$B$1+((Inputs!$G$5:$G$120&lt;&gt;"moeda")*(Inputs!$G$5:$G$120&lt;&gt;"acoes")))*INDEX(Inputs!$K$5:$AJ$120,0,MATCH(AA$2,Inputs!$K$4:$AJ$4,0)))+SUMPRODUCT((Inputs!$C$5:$C$120=$B16)*Inputs!$D$5:$D$120*(((Inputs!$G$5:$G$120="moeda")+(Inputs!$G$5:$G$120="acoes"))*Inputs!$B$1+((Inputs!$G$5:$G$120&lt;&gt;"moeda")*(Inputs!$G$5:$G$120&lt;&gt;"acoes")))*INDEX(Inputs!$K$5:$AJ$120,0,MATCH(AA$2,Inputs!$K$4:$AJ$4,0)))+SUMPRODUCT((Inputs!$E$5:$E$120=$B16)*Inputs!$F$5:$F$120*(((Inputs!$G$5:$G$120="moeda")+(Inputs!$G$5:$G$120="acoes"))*Inputs!$B$1+((Inputs!$G$5:$G$120&lt;&gt;"moeda")*(Inputs!$G$5:$G$120&lt;&gt;"acoes")))*INDEX(Inputs!$K$5:$AJ$120,0,MATCH(AA$2,Inputs!$K$4:$AJ$4,0)))))</f>
        <v>4576</v>
      </c>
      <c r="AB16" s="3">
        <f>AA16</f>
        <v>4576</v>
      </c>
      <c r="AC16" s="6">
        <f>IF(ISNA(MATCH(AC$2,Inputs!$K$4:$AJ$4,0)),NA(),IF(SUMPRODUCT((Inputs!$A$5:$A$120=$B16)*ISNUMBER(INDEX(Inputs!$K$5:$AJ$120,0,MATCH(AC$2,Inputs!$K$4:$AJ$4,0))))+SUMPRODUCT((Inputs!$C$5:$C$120=$B16)*ISNUMBER(INDEX(Inputs!$K$5:$AJ$120,0,MATCH(AC$2,Inputs!$K$4:$AJ$4,0))))+SUMPRODUCT((Inputs!$E$5:$E$120=$B16)*ISNUMBER(INDEX(Inputs!$K$5:$AJ$120,0,MATCH(AC$2,Inputs!$K$4:$AJ$4,0))))=0,NA(),SUMPRODUCT((Inputs!$A$5:$A$120=$B16)*Inputs!$B$5:$B$120*(((Inputs!$G$5:$G$120="moeda")+(Inputs!$G$5:$G$120="acoes"))*Inputs!$B$1+((Inputs!$G$5:$G$120&lt;&gt;"moeda")*(Inputs!$G$5:$G$120&lt;&gt;"acoes")))*INDEX(Inputs!$K$5:$AJ$120,0,MATCH(AC$2,Inputs!$K$4:$AJ$4,0)))+SUMPRODUCT((Inputs!$C$5:$C$120=$B16)*Inputs!$D$5:$D$120*(((Inputs!$G$5:$G$120="moeda")+(Inputs!$G$5:$G$120="acoes"))*Inputs!$B$1+((Inputs!$G$5:$G$120&lt;&gt;"moeda")*(Inputs!$G$5:$G$120&lt;&gt;"acoes")))*INDEX(Inputs!$K$5:$AJ$120,0,MATCH(AC$2,Inputs!$K$4:$AJ$4,0)))+SUMPRODUCT((Inputs!$E$5:$E$120=$B16)*Inputs!$F$5:$F$120*(((Inputs!$G$5:$G$120="moeda")+(Inputs!$G$5:$G$120="acoes"))*Inputs!$B$1+((Inputs!$G$5:$G$120&lt;&gt;"moeda")*(Inputs!$G$5:$G$120&lt;&gt;"acoes")))*INDEX(Inputs!$K$5:$AJ$120,0,MATCH(AC$2,Inputs!$K$4:$AJ$4,0)))))</f>
        <v>3959</v>
      </c>
      <c r="AD16" s="6">
        <f>IF(ISNA(MATCH(AD$2,Inputs!$K$4:$AJ$4,0)),NA(),IF(SUMPRODUCT((Inputs!$A$5:$A$120=$B16)*ISNUMBER(INDEX(Inputs!$K$5:$AJ$120,0,MATCH(AD$2,Inputs!$K$4:$AJ$4,0))))+SUMPRODUCT((Inputs!$C$5:$C$120=$B16)*ISNUMBER(INDEX(Inputs!$K$5:$AJ$120,0,MATCH(AD$2,Inputs!$K$4:$AJ$4,0))))+SUMPRODUCT((Inputs!$E$5:$E$120=$B16)*ISNUMBER(INDEX(Inputs!$K$5:$AJ$120,0,MATCH(AD$2,Inputs!$K$4:$AJ$4,0))))=0,NA(),SUMPRODUCT((Inputs!$A$5:$A$120=$B16)*Inputs!$B$5:$B$120*(((Inputs!$G$5:$G$120="moeda")+(Inputs!$G$5:$G$120="acoes"))*Inputs!$B$1+((Inputs!$G$5:$G$120&lt;&gt;"moeda")*(Inputs!$G$5:$G$120&lt;&gt;"acoes")))*INDEX(Inputs!$K$5:$AJ$120,0,MATCH(AD$2,Inputs!$K$4:$AJ$4,0)))+SUMPRODUCT((Inputs!$C$5:$C$120=$B16)*Inputs!$D$5:$D$120*(((Inputs!$G$5:$G$120="moeda")+(Inputs!$G$5:$G$120="acoes"))*Inputs!$B$1+((Inputs!$G$5:$G$120&lt;&gt;"moeda")*(Inputs!$G$5:$G$120&lt;&gt;"acoes")))*INDEX(Inputs!$K$5:$AJ$120,0,MATCH(AD$2,Inputs!$K$4:$AJ$4,0)))+SUMPRODUCT((Inputs!$E$5:$E$120=$B16)*Inputs!$F$5:$F$120*(((Inputs!$G$5:$G$120="moeda")+(Inputs!$G$5:$G$120="acoes"))*Inputs!$B$1+((Inputs!$G$5:$G$120&lt;&gt;"moeda")*(Inputs!$G$5:$G$120&lt;&gt;"acoes")))*INDEX(Inputs!$K$5:$AJ$120,0,MATCH(AD$2,Inputs!$K$4:$AJ$4,0)))))</f>
        <v>4087</v>
      </c>
      <c r="AE16" s="6" t="e">
        <f>IF(ISNA(MATCH(AE$2,Inputs!$K$4:$AJ$4,0)),NA(),IF(SUMPRODUCT((Inputs!$A$5:$A$120=$B16)*ISNUMBER(INDEX(Inputs!$K$5:$AJ$120,0,MATCH(AE$2,Inputs!$K$4:$AJ$4,0))))+SUMPRODUCT((Inputs!$C$5:$C$120=$B16)*ISNUMBER(INDEX(Inputs!$K$5:$AJ$120,0,MATCH(AE$2,Inputs!$K$4:$AJ$4,0))))+SUMPRODUCT((Inputs!$E$5:$E$120=$B16)*ISNUMBER(INDEX(Inputs!$K$5:$AJ$120,0,MATCH(AE$2,Inputs!$K$4:$AJ$4,0))))=0,NA(),SUMPRODUCT((Inputs!$A$5:$A$120=$B16)*Inputs!$B$5:$B$120*(((Inputs!$G$5:$G$120="moeda")+(Inputs!$G$5:$G$120="acoes"))*Inputs!$B$1+((Inputs!$G$5:$G$120&lt;&gt;"moeda")*(Inputs!$G$5:$G$120&lt;&gt;"acoes")))*INDEX(Inputs!$K$5:$AJ$120,0,MATCH(AE$2,Inputs!$K$4:$AJ$4,0)))+SUMPRODUCT((Inputs!$C$5:$C$120=$B16)*Inputs!$D$5:$D$120*(((Inputs!$G$5:$G$120="moeda")+(Inputs!$G$5:$G$120="acoes"))*Inputs!$B$1+((Inputs!$G$5:$G$120&lt;&gt;"moeda")*(Inputs!$G$5:$G$120&lt;&gt;"acoes")))*INDEX(Inputs!$K$5:$AJ$120,0,MATCH(AE$2,Inputs!$K$4:$AJ$4,0)))+SUMPRODUCT((Inputs!$E$5:$E$120=$B16)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16" s="6" t="e">
        <f>IF(ISNA(MATCH(AF$2,Inputs!$K$4:$AJ$4,0)),NA(),IF(SUMPRODUCT((Inputs!$A$5:$A$120=$B16)*ISNUMBER(INDEX(Inputs!$K$5:$AJ$120,0,MATCH(AF$2,Inputs!$K$4:$AJ$4,0))))+SUMPRODUCT((Inputs!$C$5:$C$120=$B16)*ISNUMBER(INDEX(Inputs!$K$5:$AJ$120,0,MATCH(AF$2,Inputs!$K$4:$AJ$4,0))))+SUMPRODUCT((Inputs!$E$5:$E$120=$B16)*ISNUMBER(INDEX(Inputs!$K$5:$AJ$120,0,MATCH(AF$2,Inputs!$K$4:$AJ$4,0))))=0,NA(),SUMPRODUCT((Inputs!$A$5:$A$120=$B16)*Inputs!$B$5:$B$120*(((Inputs!$G$5:$G$120="moeda")+(Inputs!$G$5:$G$120="acoes"))*Inputs!$B$1+((Inputs!$G$5:$G$120&lt;&gt;"moeda")*(Inputs!$G$5:$G$120&lt;&gt;"acoes")))*INDEX(Inputs!$K$5:$AJ$120,0,MATCH(AF$2,Inputs!$K$4:$AJ$4,0)))+SUMPRODUCT((Inputs!$C$5:$C$120=$B16)*Inputs!$D$5:$D$120*(((Inputs!$G$5:$G$120="moeda")+(Inputs!$G$5:$G$120="acoes"))*Inputs!$B$1+((Inputs!$G$5:$G$120&lt;&gt;"moeda")*(Inputs!$G$5:$G$120&lt;&gt;"acoes")))*INDEX(Inputs!$K$5:$AJ$120,0,MATCH(AF$2,Inputs!$K$4:$AJ$4,0)))+SUMPRODUCT((Inputs!$E$5:$E$120=$B16)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16" s="3" t="e">
        <f>AF16</f>
        <v>#N/A</v>
      </c>
      <c r="AH16" s="6">
        <f>IF(ISNA(MATCH(AH$2,Inputs!$K$4:$AJ$4,0)),NA(),IF(SUMPRODUCT((Inputs!$A$5:$A$120=$B16)*ISNUMBER(INDEX(Inputs!$K$5:$AJ$120,0,MATCH(AH$2,Inputs!$K$4:$AJ$4,0))))+SUMPRODUCT((Inputs!$C$5:$C$120=$B16)*ISNUMBER(INDEX(Inputs!$K$5:$AJ$120,0,MATCH(AH$2,Inputs!$K$4:$AJ$4,0))))+SUMPRODUCT((Inputs!$E$5:$E$120=$B16)*ISNUMBER(INDEX(Inputs!$K$5:$AJ$120,0,MATCH(AH$2,Inputs!$K$4:$AJ$4,0))))=0,NA(),SUMPRODUCT((Inputs!$A$5:$A$120=$B16)*Inputs!$B$5:$B$120*(((Inputs!$G$5:$G$120="moeda")+(Inputs!$G$5:$G$120="acoes"))*Inputs!$B$1+((Inputs!$G$5:$G$120&lt;&gt;"moeda")*(Inputs!$G$5:$G$120&lt;&gt;"acoes")))*INDEX(Inputs!$K$5:$AJ$120,0,MATCH(AH$2,Inputs!$K$4:$AJ$4,0)))+SUMPRODUCT((Inputs!$C$5:$C$120=$B16)*Inputs!$D$5:$D$120*(((Inputs!$G$5:$G$120="moeda")+(Inputs!$G$5:$G$120="acoes"))*Inputs!$B$1+((Inputs!$G$5:$G$120&lt;&gt;"moeda")*(Inputs!$G$5:$G$120&lt;&gt;"acoes")))*INDEX(Inputs!$K$5:$AJ$120,0,MATCH(AH$2,Inputs!$K$4:$AJ$4,0)))+SUMPRODUCT((Inputs!$E$5:$E$120=$B16)*Inputs!$F$5:$F$120*(((Inputs!$G$5:$G$120="moeda")+(Inputs!$G$5:$G$120="acoes"))*Inputs!$B$1+((Inputs!$G$5:$G$120&lt;&gt;"moeda")*(Inputs!$G$5:$G$120&lt;&gt;"acoes")))*INDEX(Inputs!$K$5:$AJ$120,0,MATCH(AH$2,Inputs!$K$4:$AJ$4,0)))))</f>
        <v>1274</v>
      </c>
      <c r="AI16" s="6">
        <f>IF(ISNA(MATCH(AI$2,Inputs!$K$4:$AJ$4,0)),NA(),IF(SUMPRODUCT((Inputs!$A$5:$A$120=$B16)*ISNUMBER(INDEX(Inputs!$K$5:$AJ$120,0,MATCH(AI$2,Inputs!$K$4:$AJ$4,0))))+SUMPRODUCT((Inputs!$C$5:$C$120=$B16)*ISNUMBER(INDEX(Inputs!$K$5:$AJ$120,0,MATCH(AI$2,Inputs!$K$4:$AJ$4,0))))+SUMPRODUCT((Inputs!$E$5:$E$120=$B16)*ISNUMBER(INDEX(Inputs!$K$5:$AJ$120,0,MATCH(AI$2,Inputs!$K$4:$AJ$4,0))))=0,NA(),SUMPRODUCT((Inputs!$A$5:$A$120=$B16)*Inputs!$B$5:$B$120*(((Inputs!$G$5:$G$120="moeda")+(Inputs!$G$5:$G$120="acoes"))*Inputs!$B$1+((Inputs!$G$5:$G$120&lt;&gt;"moeda")*(Inputs!$G$5:$G$120&lt;&gt;"acoes")))*INDEX(Inputs!$K$5:$AJ$120,0,MATCH(AI$2,Inputs!$K$4:$AJ$4,0)))+SUMPRODUCT((Inputs!$C$5:$C$120=$B16)*Inputs!$D$5:$D$120*(((Inputs!$G$5:$G$120="moeda")+(Inputs!$G$5:$G$120="acoes"))*Inputs!$B$1+((Inputs!$G$5:$G$120&lt;&gt;"moeda")*(Inputs!$G$5:$G$120&lt;&gt;"acoes")))*INDEX(Inputs!$K$5:$AJ$120,0,MATCH(AI$2,Inputs!$K$4:$AJ$4,0)))+SUMPRODUCT((Inputs!$E$5:$E$120=$B16)*Inputs!$F$5:$F$120*(((Inputs!$G$5:$G$120="moeda")+(Inputs!$G$5:$G$120="acoes"))*Inputs!$B$1+((Inputs!$G$5:$G$120&lt;&gt;"moeda")*(Inputs!$G$5:$G$120&lt;&gt;"acoes")))*INDEX(Inputs!$K$5:$AJ$120,0,MATCH(AI$2,Inputs!$K$4:$AJ$4,0)))))</f>
        <v>1485</v>
      </c>
      <c r="AJ16" s="6">
        <f>IF(ISNA(MATCH(AJ$2,Inputs!$K$4:$AJ$4,0)),NA(),IF(SUMPRODUCT((Inputs!$A$5:$A$120=$B16)*ISNUMBER(INDEX(Inputs!$K$5:$AJ$120,0,MATCH(AJ$2,Inputs!$K$4:$AJ$4,0))))+SUMPRODUCT((Inputs!$C$5:$C$120=$B16)*ISNUMBER(INDEX(Inputs!$K$5:$AJ$120,0,MATCH(AJ$2,Inputs!$K$4:$AJ$4,0))))+SUMPRODUCT((Inputs!$E$5:$E$120=$B16)*ISNUMBER(INDEX(Inputs!$K$5:$AJ$120,0,MATCH(AJ$2,Inputs!$K$4:$AJ$4,0))))=0,NA(),SUMPRODUCT((Inputs!$A$5:$A$120=$B16)*Inputs!$B$5:$B$120*(((Inputs!$G$5:$G$120="moeda")+(Inputs!$G$5:$G$120="acoes"))*Inputs!$B$1+((Inputs!$G$5:$G$120&lt;&gt;"moeda")*(Inputs!$G$5:$G$120&lt;&gt;"acoes")))*INDEX(Inputs!$K$5:$AJ$120,0,MATCH(AJ$2,Inputs!$K$4:$AJ$4,0)))+SUMPRODUCT((Inputs!$C$5:$C$120=$B16)*Inputs!$D$5:$D$120*(((Inputs!$G$5:$G$120="moeda")+(Inputs!$G$5:$G$120="acoes"))*Inputs!$B$1+((Inputs!$G$5:$G$120&lt;&gt;"moeda")*(Inputs!$G$5:$G$120&lt;&gt;"acoes")))*INDEX(Inputs!$K$5:$AJ$120,0,MATCH(AJ$2,Inputs!$K$4:$AJ$4,0)))+SUMPRODUCT((Inputs!$E$5:$E$120=$B16)*Inputs!$F$5:$F$120*(((Inputs!$G$5:$G$120="moeda")+(Inputs!$G$5:$G$120="acoes"))*Inputs!$B$1+((Inputs!$G$5:$G$120&lt;&gt;"moeda")*(Inputs!$G$5:$G$120&lt;&gt;"acoes")))*INDEX(Inputs!$K$5:$AJ$120,0,MATCH(AJ$2,Inputs!$K$4:$AJ$4,0)))))</f>
        <v>1757</v>
      </c>
      <c r="AK16" s="6">
        <f>IF(ISNA(MATCH(AK$2,Inputs!$K$4:$AJ$4,0)),NA(),IF(SUMPRODUCT((Inputs!$A$5:$A$120=$B16)*ISNUMBER(INDEX(Inputs!$K$5:$AJ$120,0,MATCH(AK$2,Inputs!$K$4:$AJ$4,0))))+SUMPRODUCT((Inputs!$C$5:$C$120=$B16)*ISNUMBER(INDEX(Inputs!$K$5:$AJ$120,0,MATCH(AK$2,Inputs!$K$4:$AJ$4,0))))+SUMPRODUCT((Inputs!$E$5:$E$120=$B16)*ISNUMBER(INDEX(Inputs!$K$5:$AJ$120,0,MATCH(AK$2,Inputs!$K$4:$AJ$4,0))))=0,NA(),SUMPRODUCT((Inputs!$A$5:$A$120=$B16)*Inputs!$B$5:$B$120*(((Inputs!$G$5:$G$120="moeda")+(Inputs!$G$5:$G$120="acoes"))*Inputs!$B$1+((Inputs!$G$5:$G$120&lt;&gt;"moeda")*(Inputs!$G$5:$G$120&lt;&gt;"acoes")))*INDEX(Inputs!$K$5:$AJ$120,0,MATCH(AK$2,Inputs!$K$4:$AJ$4,0)))+SUMPRODUCT((Inputs!$C$5:$C$120=$B16)*Inputs!$D$5:$D$120*(((Inputs!$G$5:$G$120="moeda")+(Inputs!$G$5:$G$120="acoes"))*Inputs!$B$1+((Inputs!$G$5:$G$120&lt;&gt;"moeda")*(Inputs!$G$5:$G$120&lt;&gt;"acoes")))*INDEX(Inputs!$K$5:$AJ$120,0,MATCH(AK$2,Inputs!$K$4:$AJ$4,0)))+SUMPRODUCT((Inputs!$E$5:$E$120=$B16)*Inputs!$F$5:$F$120*(((Inputs!$G$5:$G$120="moeda")+(Inputs!$G$5:$G$120="acoes"))*Inputs!$B$1+((Inputs!$G$5:$G$120&lt;&gt;"moeda")*(Inputs!$G$5:$G$120&lt;&gt;"acoes")))*INDEX(Inputs!$K$5:$AJ$120,0,MATCH(AK$2,Inputs!$K$4:$AJ$4,0)))))</f>
        <v>1886</v>
      </c>
      <c r="AL16" s="3">
        <f>AK16</f>
        <v>1886</v>
      </c>
    </row>
    <row r="17">
      <c r="B17" s="46" t="n">
        <v>13</v>
      </c>
      <c r="C17" s="26" t="inlineStr">
        <is>
          <t>Inventories</t>
        </is>
      </c>
      <c r="D17" s="6">
        <f>IF(ISNA(MATCH(D$2,Inputs!$K$4:$AJ$4,0)),NA(),IF(SUMPRODUCT((Inputs!$A$5:$A$120=$B17)*ISNUMBER(INDEX(Inputs!$K$5:$AJ$120,0,MATCH(D$2,Inputs!$K$4:$AJ$4,0))))+SUMPRODUCT((Inputs!$C$5:$C$120=$B17)*ISNUMBER(INDEX(Inputs!$K$5:$AJ$120,0,MATCH(D$2,Inputs!$K$4:$AJ$4,0))))+SUMPRODUCT((Inputs!$E$5:$E$120=$B17)*ISNUMBER(INDEX(Inputs!$K$5:$AJ$120,0,MATCH(D$2,Inputs!$K$4:$AJ$4,0))))=0,NA(),SUMPRODUCT((Inputs!$A$5:$A$120=$B17)*Inputs!$B$5:$B$120*(((Inputs!$G$5:$G$120="moeda")+(Inputs!$G$5:$G$120="acoes"))*Inputs!$B$1+((Inputs!$G$5:$G$120&lt;&gt;"moeda")*(Inputs!$G$5:$G$120&lt;&gt;"acoes")))*INDEX(Inputs!$K$5:$AJ$120,0,MATCH(D$2,Inputs!$K$4:$AJ$4,0)))+SUMPRODUCT((Inputs!$C$5:$C$120=$B17)*Inputs!$D$5:$D$120*(((Inputs!$G$5:$G$120="moeda")+(Inputs!$G$5:$G$120="acoes"))*Inputs!$B$1+((Inputs!$G$5:$G$120&lt;&gt;"moeda")*(Inputs!$G$5:$G$120&lt;&gt;"acoes")))*INDEX(Inputs!$K$5:$AJ$120,0,MATCH(D$2,Inputs!$K$4:$AJ$4,0)))+SUMPRODUCT((Inputs!$E$5:$E$120=$B17)*Inputs!$F$5:$F$120*(((Inputs!$G$5:$G$120="moeda")+(Inputs!$G$5:$G$120="acoes"))*Inputs!$B$1+((Inputs!$G$5:$G$120&lt;&gt;"moeda")*(Inputs!$G$5:$G$120&lt;&gt;"acoes")))*INDEX(Inputs!$K$5:$AJ$120,0,MATCH(D$2,Inputs!$K$4:$AJ$4,0)))))</f>
        <v>4132</v>
      </c>
      <c r="E17" s="6">
        <f>IF(ISNA(MATCH(E$2,Inputs!$K$4:$AJ$4,0)),NA(),IF(SUMPRODUCT((Inputs!$A$5:$A$120=$B17)*ISNUMBER(INDEX(Inputs!$K$5:$AJ$120,0,MATCH(E$2,Inputs!$K$4:$AJ$4,0))))+SUMPRODUCT((Inputs!$C$5:$C$120=$B17)*ISNUMBER(INDEX(Inputs!$K$5:$AJ$120,0,MATCH(E$2,Inputs!$K$4:$AJ$4,0))))+SUMPRODUCT((Inputs!$E$5:$E$120=$B17)*ISNUMBER(INDEX(Inputs!$K$5:$AJ$120,0,MATCH(E$2,Inputs!$K$4:$AJ$4,0))))=0,NA(),SUMPRODUCT((Inputs!$A$5:$A$120=$B17)*Inputs!$B$5:$B$120*(((Inputs!$G$5:$G$120="moeda")+(Inputs!$G$5:$G$120="acoes"))*Inputs!$B$1+((Inputs!$G$5:$G$120&lt;&gt;"moeda")*(Inputs!$G$5:$G$120&lt;&gt;"acoes")))*INDEX(Inputs!$K$5:$AJ$120,0,MATCH(E$2,Inputs!$K$4:$AJ$4,0)))+SUMPRODUCT((Inputs!$C$5:$C$120=$B17)*Inputs!$D$5:$D$120*(((Inputs!$G$5:$G$120="moeda")+(Inputs!$G$5:$G$120="acoes"))*Inputs!$B$1+((Inputs!$G$5:$G$120&lt;&gt;"moeda")*(Inputs!$G$5:$G$120&lt;&gt;"acoes")))*INDEX(Inputs!$K$5:$AJ$120,0,MATCH(E$2,Inputs!$K$4:$AJ$4,0)))+SUMPRODUCT((Inputs!$E$5:$E$120=$B17)*Inputs!$F$5:$F$120*(((Inputs!$G$5:$G$120="moeda")+(Inputs!$G$5:$G$120="acoes"))*Inputs!$B$1+((Inputs!$G$5:$G$120&lt;&gt;"moeda")*(Inputs!$G$5:$G$120&lt;&gt;"acoes")))*INDEX(Inputs!$K$5:$AJ$120,0,MATCH(E$2,Inputs!$K$4:$AJ$4,0)))))</f>
        <v>4733</v>
      </c>
      <c r="F17" s="6">
        <f>IF(ISNA(MATCH(F$2,Inputs!$K$4:$AJ$4,0)),NA(),IF(SUMPRODUCT((Inputs!$A$5:$A$120=$B17)*ISNUMBER(INDEX(Inputs!$K$5:$AJ$120,0,MATCH(F$2,Inputs!$K$4:$AJ$4,0))))+SUMPRODUCT((Inputs!$C$5:$C$120=$B17)*ISNUMBER(INDEX(Inputs!$K$5:$AJ$120,0,MATCH(F$2,Inputs!$K$4:$AJ$4,0))))+SUMPRODUCT((Inputs!$E$5:$E$120=$B17)*ISNUMBER(INDEX(Inputs!$K$5:$AJ$120,0,MATCH(F$2,Inputs!$K$4:$AJ$4,0))))=0,NA(),SUMPRODUCT((Inputs!$A$5:$A$120=$B17)*Inputs!$B$5:$B$120*(((Inputs!$G$5:$G$120="moeda")+(Inputs!$G$5:$G$120="acoes"))*Inputs!$B$1+((Inputs!$G$5:$G$120&lt;&gt;"moeda")*(Inputs!$G$5:$G$120&lt;&gt;"acoes")))*INDEX(Inputs!$K$5:$AJ$120,0,MATCH(F$2,Inputs!$K$4:$AJ$4,0)))+SUMPRODUCT((Inputs!$C$5:$C$120=$B17)*Inputs!$D$5:$D$120*(((Inputs!$G$5:$G$120="moeda")+(Inputs!$G$5:$G$120="acoes"))*Inputs!$B$1+((Inputs!$G$5:$G$120&lt;&gt;"moeda")*(Inputs!$G$5:$G$120&lt;&gt;"acoes")))*INDEX(Inputs!$K$5:$AJ$120,0,MATCH(F$2,Inputs!$K$4:$AJ$4,0)))+SUMPRODUCT((Inputs!$E$5:$E$120=$B17)*Inputs!$F$5:$F$120*(((Inputs!$G$5:$G$120="moeda")+(Inputs!$G$5:$G$120="acoes"))*Inputs!$B$1+((Inputs!$G$5:$G$120&lt;&gt;"moeda")*(Inputs!$G$5:$G$120&lt;&gt;"acoes")))*INDEX(Inputs!$K$5:$AJ$120,0,MATCH(F$2,Inputs!$K$4:$AJ$4,0)))))</f>
        <v>5199</v>
      </c>
      <c r="G17" s="6">
        <f>IF(ISNA(MATCH(G$2,Inputs!$K$4:$AJ$4,0)),NA(),IF(SUMPRODUCT((Inputs!$A$5:$A$120=$B17)*ISNUMBER(INDEX(Inputs!$K$5:$AJ$120,0,MATCH(G$2,Inputs!$K$4:$AJ$4,0))))+SUMPRODUCT((Inputs!$C$5:$C$120=$B17)*ISNUMBER(INDEX(Inputs!$K$5:$AJ$120,0,MATCH(G$2,Inputs!$K$4:$AJ$4,0))))+SUMPRODUCT((Inputs!$E$5:$E$120=$B17)*ISNUMBER(INDEX(Inputs!$K$5:$AJ$120,0,MATCH(G$2,Inputs!$K$4:$AJ$4,0))))=0,NA(),SUMPRODUCT((Inputs!$A$5:$A$120=$B17)*Inputs!$B$5:$B$120*(((Inputs!$G$5:$G$120="moeda")+(Inputs!$G$5:$G$120="acoes"))*Inputs!$B$1+((Inputs!$G$5:$G$120&lt;&gt;"moeda")*(Inputs!$G$5:$G$120&lt;&gt;"acoes")))*INDEX(Inputs!$K$5:$AJ$120,0,MATCH(G$2,Inputs!$K$4:$AJ$4,0)))+SUMPRODUCT((Inputs!$C$5:$C$120=$B17)*Inputs!$D$5:$D$120*(((Inputs!$G$5:$G$120="moeda")+(Inputs!$G$5:$G$120="acoes"))*Inputs!$B$1+((Inputs!$G$5:$G$120&lt;&gt;"moeda")*(Inputs!$G$5:$G$120&lt;&gt;"acoes")))*INDEX(Inputs!$K$5:$AJ$120,0,MATCH(G$2,Inputs!$K$4:$AJ$4,0)))+SUMPRODUCT((Inputs!$E$5:$E$120=$B17)*Inputs!$F$5:$F$120*(((Inputs!$G$5:$G$120="moeda")+(Inputs!$G$5:$G$120="acoes"))*Inputs!$B$1+((Inputs!$G$5:$G$120&lt;&gt;"moeda")*(Inputs!$G$5:$G$120&lt;&gt;"acoes")))*INDEX(Inputs!$K$5:$AJ$120,0,MATCH(G$2,Inputs!$K$4:$AJ$4,0)))))</f>
        <v>5757</v>
      </c>
      <c r="H17" s="3">
        <f>G17</f>
        <v>5757</v>
      </c>
      <c r="I17" s="6">
        <f>IF(ISNA(MATCH(I$2,Inputs!$K$4:$AJ$4,0)),NA(),IF(SUMPRODUCT((Inputs!$A$5:$A$120=$B17)*ISNUMBER(INDEX(Inputs!$K$5:$AJ$120,0,MATCH(I$2,Inputs!$K$4:$AJ$4,0))))+SUMPRODUCT((Inputs!$C$5:$C$120=$B17)*ISNUMBER(INDEX(Inputs!$K$5:$AJ$120,0,MATCH(I$2,Inputs!$K$4:$AJ$4,0))))+SUMPRODUCT((Inputs!$E$5:$E$120=$B17)*ISNUMBER(INDEX(Inputs!$K$5:$AJ$120,0,MATCH(I$2,Inputs!$K$4:$AJ$4,0))))=0,NA(),SUMPRODUCT((Inputs!$A$5:$A$120=$B17)*Inputs!$B$5:$B$120*(((Inputs!$G$5:$G$120="moeda")+(Inputs!$G$5:$G$120="acoes"))*Inputs!$B$1+((Inputs!$G$5:$G$120&lt;&gt;"moeda")*(Inputs!$G$5:$G$120&lt;&gt;"acoes")))*INDEX(Inputs!$K$5:$AJ$120,0,MATCH(I$2,Inputs!$K$4:$AJ$4,0)))+SUMPRODUCT((Inputs!$C$5:$C$120=$B17)*Inputs!$D$5:$D$120*(((Inputs!$G$5:$G$120="moeda")+(Inputs!$G$5:$G$120="acoes"))*Inputs!$B$1+((Inputs!$G$5:$G$120&lt;&gt;"moeda")*(Inputs!$G$5:$G$120&lt;&gt;"acoes")))*INDEX(Inputs!$K$5:$AJ$120,0,MATCH(I$2,Inputs!$K$4:$AJ$4,0)))+SUMPRODUCT((Inputs!$E$5:$E$120=$B17)*Inputs!$F$5:$F$120*(((Inputs!$G$5:$G$120="moeda")+(Inputs!$G$5:$G$120="acoes"))*Inputs!$B$1+((Inputs!$G$5:$G$120&lt;&gt;"moeda")*(Inputs!$G$5:$G$120&lt;&gt;"acoes")))*INDEX(Inputs!$K$5:$AJ$120,0,MATCH(I$2,Inputs!$K$4:$AJ$4,0)))))</f>
        <v>6691</v>
      </c>
      <c r="J17" s="6">
        <f>IF(ISNA(MATCH(J$2,Inputs!$K$4:$AJ$4,0)),NA(),IF(SUMPRODUCT((Inputs!$A$5:$A$120=$B17)*ISNUMBER(INDEX(Inputs!$K$5:$AJ$120,0,MATCH(J$2,Inputs!$K$4:$AJ$4,0))))+SUMPRODUCT((Inputs!$C$5:$C$120=$B17)*ISNUMBER(INDEX(Inputs!$K$5:$AJ$120,0,MATCH(J$2,Inputs!$K$4:$AJ$4,0))))+SUMPRODUCT((Inputs!$E$5:$E$120=$B17)*ISNUMBER(INDEX(Inputs!$K$5:$AJ$120,0,MATCH(J$2,Inputs!$K$4:$AJ$4,0))))=0,NA(),SUMPRODUCT((Inputs!$A$5:$A$120=$B17)*Inputs!$B$5:$B$120*(((Inputs!$G$5:$G$120="moeda")+(Inputs!$G$5:$G$120="acoes"))*Inputs!$B$1+((Inputs!$G$5:$G$120&lt;&gt;"moeda")*(Inputs!$G$5:$G$120&lt;&gt;"acoes")))*INDEX(Inputs!$K$5:$AJ$120,0,MATCH(J$2,Inputs!$K$4:$AJ$4,0)))+SUMPRODUCT((Inputs!$C$5:$C$120=$B17)*Inputs!$D$5:$D$120*(((Inputs!$G$5:$G$120="moeda")+(Inputs!$G$5:$G$120="acoes"))*Inputs!$B$1+((Inputs!$G$5:$G$120&lt;&gt;"moeda")*(Inputs!$G$5:$G$120&lt;&gt;"acoes")))*INDEX(Inputs!$K$5:$AJ$120,0,MATCH(J$2,Inputs!$K$4:$AJ$4,0)))+SUMPRODUCT((Inputs!$E$5:$E$120=$B17)*Inputs!$F$5:$F$120*(((Inputs!$G$5:$G$120="moeda")+(Inputs!$G$5:$G$120="acoes"))*Inputs!$B$1+((Inputs!$G$5:$G$120&lt;&gt;"moeda")*(Inputs!$G$5:$G$120&lt;&gt;"acoes")))*INDEX(Inputs!$K$5:$AJ$120,0,MATCH(J$2,Inputs!$K$4:$AJ$4,0)))))</f>
        <v>8108</v>
      </c>
      <c r="K17" s="6">
        <f>IF(ISNA(MATCH(K$2,Inputs!$K$4:$AJ$4,0)),NA(),IF(SUMPRODUCT((Inputs!$A$5:$A$120=$B17)*ISNUMBER(INDEX(Inputs!$K$5:$AJ$120,0,MATCH(K$2,Inputs!$K$4:$AJ$4,0))))+SUMPRODUCT((Inputs!$C$5:$C$120=$B17)*ISNUMBER(INDEX(Inputs!$K$5:$AJ$120,0,MATCH(K$2,Inputs!$K$4:$AJ$4,0))))+SUMPRODUCT((Inputs!$E$5:$E$120=$B17)*ISNUMBER(INDEX(Inputs!$K$5:$AJ$120,0,MATCH(K$2,Inputs!$K$4:$AJ$4,0))))=0,NA(),SUMPRODUCT((Inputs!$A$5:$A$120=$B17)*Inputs!$B$5:$B$120*(((Inputs!$G$5:$G$120="moeda")+(Inputs!$G$5:$G$120="acoes"))*Inputs!$B$1+((Inputs!$G$5:$G$120&lt;&gt;"moeda")*(Inputs!$G$5:$G$120&lt;&gt;"acoes")))*INDEX(Inputs!$K$5:$AJ$120,0,MATCH(K$2,Inputs!$K$4:$AJ$4,0)))+SUMPRODUCT((Inputs!$C$5:$C$120=$B17)*Inputs!$D$5:$D$120*(((Inputs!$G$5:$G$120="moeda")+(Inputs!$G$5:$G$120="acoes"))*Inputs!$B$1+((Inputs!$G$5:$G$120&lt;&gt;"moeda")*(Inputs!$G$5:$G$120&lt;&gt;"acoes")))*INDEX(Inputs!$K$5:$AJ$120,0,MATCH(K$2,Inputs!$K$4:$AJ$4,0)))+SUMPRODUCT((Inputs!$E$5:$E$120=$B17)*Inputs!$F$5:$F$120*(((Inputs!$G$5:$G$120="moeda")+(Inputs!$G$5:$G$120="acoes"))*Inputs!$B$1+((Inputs!$G$5:$G$120&lt;&gt;"moeda")*(Inputs!$G$5:$G$120&lt;&gt;"acoes")))*INDEX(Inputs!$K$5:$AJ$120,0,MATCH(K$2,Inputs!$K$4:$AJ$4,0)))))</f>
        <v>10327</v>
      </c>
      <c r="L17" s="6">
        <f>IF(ISNA(MATCH(L$2,Inputs!$K$4:$AJ$4,0)),NA(),IF(SUMPRODUCT((Inputs!$A$5:$A$120=$B17)*ISNUMBER(INDEX(Inputs!$K$5:$AJ$120,0,MATCH(L$2,Inputs!$K$4:$AJ$4,0))))+SUMPRODUCT((Inputs!$C$5:$C$120=$B17)*ISNUMBER(INDEX(Inputs!$K$5:$AJ$120,0,MATCH(L$2,Inputs!$K$4:$AJ$4,0))))+SUMPRODUCT((Inputs!$E$5:$E$120=$B17)*ISNUMBER(INDEX(Inputs!$K$5:$AJ$120,0,MATCH(L$2,Inputs!$K$4:$AJ$4,0))))=0,NA(),SUMPRODUCT((Inputs!$A$5:$A$120=$B17)*Inputs!$B$5:$B$120*(((Inputs!$G$5:$G$120="moeda")+(Inputs!$G$5:$G$120="acoes"))*Inputs!$B$1+((Inputs!$G$5:$G$120&lt;&gt;"moeda")*(Inputs!$G$5:$G$120&lt;&gt;"acoes")))*INDEX(Inputs!$K$5:$AJ$120,0,MATCH(L$2,Inputs!$K$4:$AJ$4,0)))+SUMPRODUCT((Inputs!$C$5:$C$120=$B17)*Inputs!$D$5:$D$120*(((Inputs!$G$5:$G$120="moeda")+(Inputs!$G$5:$G$120="acoes"))*Inputs!$B$1+((Inputs!$G$5:$G$120&lt;&gt;"moeda")*(Inputs!$G$5:$G$120&lt;&gt;"acoes")))*INDEX(Inputs!$K$5:$AJ$120,0,MATCH(L$2,Inputs!$K$4:$AJ$4,0)))+SUMPRODUCT((Inputs!$E$5:$E$120=$B17)*Inputs!$F$5:$F$120*(((Inputs!$G$5:$G$120="moeda")+(Inputs!$G$5:$G$120="acoes"))*Inputs!$B$1+((Inputs!$G$5:$G$120&lt;&gt;"moeda")*(Inputs!$G$5:$G$120&lt;&gt;"acoes")))*INDEX(Inputs!$K$5:$AJ$120,0,MATCH(L$2,Inputs!$K$4:$AJ$4,0)))))</f>
        <v>12839</v>
      </c>
      <c r="M17" s="3">
        <f>L17</f>
        <v>12839</v>
      </c>
      <c r="N17" s="6">
        <f>IF(ISNA(MATCH(N$2,Inputs!$K$4:$AJ$4,0)),NA(),IF(SUMPRODUCT((Inputs!$A$5:$A$120=$B17)*ISNUMBER(INDEX(Inputs!$K$5:$AJ$120,0,MATCH(N$2,Inputs!$K$4:$AJ$4,0))))+SUMPRODUCT((Inputs!$C$5:$C$120=$B17)*ISNUMBER(INDEX(Inputs!$K$5:$AJ$120,0,MATCH(N$2,Inputs!$K$4:$AJ$4,0))))+SUMPRODUCT((Inputs!$E$5:$E$120=$B17)*ISNUMBER(INDEX(Inputs!$K$5:$AJ$120,0,MATCH(N$2,Inputs!$K$4:$AJ$4,0))))=0,NA(),SUMPRODUCT((Inputs!$A$5:$A$120=$B17)*Inputs!$B$5:$B$120*(((Inputs!$G$5:$G$120="moeda")+(Inputs!$G$5:$G$120="acoes"))*Inputs!$B$1+((Inputs!$G$5:$G$120&lt;&gt;"moeda")*(Inputs!$G$5:$G$120&lt;&gt;"acoes")))*INDEX(Inputs!$K$5:$AJ$120,0,MATCH(N$2,Inputs!$K$4:$AJ$4,0)))+SUMPRODUCT((Inputs!$C$5:$C$120=$B17)*Inputs!$D$5:$D$120*(((Inputs!$G$5:$G$120="moeda")+(Inputs!$G$5:$G$120="acoes"))*Inputs!$B$1+((Inputs!$G$5:$G$120&lt;&gt;"moeda")*(Inputs!$G$5:$G$120&lt;&gt;"acoes")))*INDEX(Inputs!$K$5:$AJ$120,0,MATCH(N$2,Inputs!$K$4:$AJ$4,0)))+SUMPRODUCT((Inputs!$E$5:$E$120=$B17)*Inputs!$F$5:$F$120*(((Inputs!$G$5:$G$120="moeda")+(Inputs!$G$5:$G$120="acoes"))*Inputs!$B$1+((Inputs!$G$5:$G$120&lt;&gt;"moeda")*(Inputs!$G$5:$G$120&lt;&gt;"acoes")))*INDEX(Inputs!$K$5:$AJ$120,0,MATCH(N$2,Inputs!$K$4:$AJ$4,0)))))</f>
        <v>14375</v>
      </c>
      <c r="O17" s="6">
        <f>IF(ISNA(MATCH(O$2,Inputs!$K$4:$AJ$4,0)),NA(),IF(SUMPRODUCT((Inputs!$A$5:$A$120=$B17)*ISNUMBER(INDEX(Inputs!$K$5:$AJ$120,0,MATCH(O$2,Inputs!$K$4:$AJ$4,0))))+SUMPRODUCT((Inputs!$C$5:$C$120=$B17)*ISNUMBER(INDEX(Inputs!$K$5:$AJ$120,0,MATCH(O$2,Inputs!$K$4:$AJ$4,0))))+SUMPRODUCT((Inputs!$E$5:$E$120=$B17)*ISNUMBER(INDEX(Inputs!$K$5:$AJ$120,0,MATCH(O$2,Inputs!$K$4:$AJ$4,0))))=0,NA(),SUMPRODUCT((Inputs!$A$5:$A$120=$B17)*Inputs!$B$5:$B$120*(((Inputs!$G$5:$G$120="moeda")+(Inputs!$G$5:$G$120="acoes"))*Inputs!$B$1+((Inputs!$G$5:$G$120&lt;&gt;"moeda")*(Inputs!$G$5:$G$120&lt;&gt;"acoes")))*INDEX(Inputs!$K$5:$AJ$120,0,MATCH(O$2,Inputs!$K$4:$AJ$4,0)))+SUMPRODUCT((Inputs!$C$5:$C$120=$B17)*Inputs!$D$5:$D$120*(((Inputs!$G$5:$G$120="moeda")+(Inputs!$G$5:$G$120="acoes"))*Inputs!$B$1+((Inputs!$G$5:$G$120&lt;&gt;"moeda")*(Inputs!$G$5:$G$120&lt;&gt;"acoes")))*INDEX(Inputs!$K$5:$AJ$120,0,MATCH(O$2,Inputs!$K$4:$AJ$4,0)))+SUMPRODUCT((Inputs!$E$5:$E$120=$B17)*Inputs!$F$5:$F$120*(((Inputs!$G$5:$G$120="moeda")+(Inputs!$G$5:$G$120="acoes"))*Inputs!$B$1+((Inputs!$G$5:$G$120&lt;&gt;"moeda")*(Inputs!$G$5:$G$120&lt;&gt;"acoes")))*INDEX(Inputs!$K$5:$AJ$120,0,MATCH(O$2,Inputs!$K$4:$AJ$4,0)))))</f>
        <v>14356</v>
      </c>
      <c r="P17" s="6">
        <f>IF(ISNA(MATCH(P$2,Inputs!$K$4:$AJ$4,0)),NA(),IF(SUMPRODUCT((Inputs!$A$5:$A$120=$B17)*ISNUMBER(INDEX(Inputs!$K$5:$AJ$120,0,MATCH(P$2,Inputs!$K$4:$AJ$4,0))))+SUMPRODUCT((Inputs!$C$5:$C$120=$B17)*ISNUMBER(INDEX(Inputs!$K$5:$AJ$120,0,MATCH(P$2,Inputs!$K$4:$AJ$4,0))))+SUMPRODUCT((Inputs!$E$5:$E$120=$B17)*ISNUMBER(INDEX(Inputs!$K$5:$AJ$120,0,MATCH(P$2,Inputs!$K$4:$AJ$4,0))))=0,NA(),SUMPRODUCT((Inputs!$A$5:$A$120=$B17)*Inputs!$B$5:$B$120*(((Inputs!$G$5:$G$120="moeda")+(Inputs!$G$5:$G$120="acoes"))*Inputs!$B$1+((Inputs!$G$5:$G$120&lt;&gt;"moeda")*(Inputs!$G$5:$G$120&lt;&gt;"acoes")))*INDEX(Inputs!$K$5:$AJ$120,0,MATCH(P$2,Inputs!$K$4:$AJ$4,0)))+SUMPRODUCT((Inputs!$C$5:$C$120=$B17)*Inputs!$D$5:$D$120*(((Inputs!$G$5:$G$120="moeda")+(Inputs!$G$5:$G$120="acoes"))*Inputs!$B$1+((Inputs!$G$5:$G$120&lt;&gt;"moeda")*(Inputs!$G$5:$G$120&lt;&gt;"acoes")))*INDEX(Inputs!$K$5:$AJ$120,0,MATCH(P$2,Inputs!$K$4:$AJ$4,0)))+SUMPRODUCT((Inputs!$E$5:$E$120=$B17)*Inputs!$F$5:$F$120*(((Inputs!$G$5:$G$120="moeda")+(Inputs!$G$5:$G$120="acoes"))*Inputs!$B$1+((Inputs!$G$5:$G$120&lt;&gt;"moeda")*(Inputs!$G$5:$G$120&lt;&gt;"acoes")))*INDEX(Inputs!$K$5:$AJ$120,0,MATCH(P$2,Inputs!$K$4:$AJ$4,0)))))</f>
        <v>13721</v>
      </c>
      <c r="Q17" s="6">
        <f>IF(ISNA(MATCH(Q$2,Inputs!$K$4:$AJ$4,0)),NA(),IF(SUMPRODUCT((Inputs!$A$5:$A$120=$B17)*ISNUMBER(INDEX(Inputs!$K$5:$AJ$120,0,MATCH(Q$2,Inputs!$K$4:$AJ$4,0))))+SUMPRODUCT((Inputs!$C$5:$C$120=$B17)*ISNUMBER(INDEX(Inputs!$K$5:$AJ$120,0,MATCH(Q$2,Inputs!$K$4:$AJ$4,0))))+SUMPRODUCT((Inputs!$E$5:$E$120=$B17)*ISNUMBER(INDEX(Inputs!$K$5:$AJ$120,0,MATCH(Q$2,Inputs!$K$4:$AJ$4,0))))=0,NA(),SUMPRODUCT((Inputs!$A$5:$A$120=$B17)*Inputs!$B$5:$B$120*(((Inputs!$G$5:$G$120="moeda")+(Inputs!$G$5:$G$120="acoes"))*Inputs!$B$1+((Inputs!$G$5:$G$120&lt;&gt;"moeda")*(Inputs!$G$5:$G$120&lt;&gt;"acoes")))*INDEX(Inputs!$K$5:$AJ$120,0,MATCH(Q$2,Inputs!$K$4:$AJ$4,0)))+SUMPRODUCT((Inputs!$C$5:$C$120=$B17)*Inputs!$D$5:$D$120*(((Inputs!$G$5:$G$120="moeda")+(Inputs!$G$5:$G$120="acoes"))*Inputs!$B$1+((Inputs!$G$5:$G$120&lt;&gt;"moeda")*(Inputs!$G$5:$G$120&lt;&gt;"acoes")))*INDEX(Inputs!$K$5:$AJ$120,0,MATCH(Q$2,Inputs!$K$4:$AJ$4,0)))+SUMPRODUCT((Inputs!$E$5:$E$120=$B17)*Inputs!$F$5:$F$120*(((Inputs!$G$5:$G$120="moeda")+(Inputs!$G$5:$G$120="acoes"))*Inputs!$B$1+((Inputs!$G$5:$G$120&lt;&gt;"moeda")*(Inputs!$G$5:$G$120&lt;&gt;"acoes")))*INDEX(Inputs!$K$5:$AJ$120,0,MATCH(Q$2,Inputs!$K$4:$AJ$4,0)))))</f>
        <v>13626</v>
      </c>
      <c r="R17" s="3">
        <f>Q17</f>
        <v>13626</v>
      </c>
      <c r="S17" s="6">
        <f>IF(ISNA(MATCH(S$2,Inputs!$K$4:$AJ$4,0)),NA(),IF(SUMPRODUCT((Inputs!$A$5:$A$120=$B17)*ISNUMBER(INDEX(Inputs!$K$5:$AJ$120,0,MATCH(S$2,Inputs!$K$4:$AJ$4,0))))+SUMPRODUCT((Inputs!$C$5:$C$120=$B17)*ISNUMBER(INDEX(Inputs!$K$5:$AJ$120,0,MATCH(S$2,Inputs!$K$4:$AJ$4,0))))+SUMPRODUCT((Inputs!$E$5:$E$120=$B17)*ISNUMBER(INDEX(Inputs!$K$5:$AJ$120,0,MATCH(S$2,Inputs!$K$4:$AJ$4,0))))=0,NA(),SUMPRODUCT((Inputs!$A$5:$A$120=$B17)*Inputs!$B$5:$B$120*(((Inputs!$G$5:$G$120="moeda")+(Inputs!$G$5:$G$120="acoes"))*Inputs!$B$1+((Inputs!$G$5:$G$120&lt;&gt;"moeda")*(Inputs!$G$5:$G$120&lt;&gt;"acoes")))*INDEX(Inputs!$K$5:$AJ$120,0,MATCH(S$2,Inputs!$K$4:$AJ$4,0)))+SUMPRODUCT((Inputs!$C$5:$C$120=$B17)*Inputs!$D$5:$D$120*(((Inputs!$G$5:$G$120="moeda")+(Inputs!$G$5:$G$120="acoes"))*Inputs!$B$1+((Inputs!$G$5:$G$120&lt;&gt;"moeda")*(Inputs!$G$5:$G$120&lt;&gt;"acoes")))*INDEX(Inputs!$K$5:$AJ$120,0,MATCH(S$2,Inputs!$K$4:$AJ$4,0)))+SUMPRODUCT((Inputs!$E$5:$E$120=$B17)*Inputs!$F$5:$F$120*(((Inputs!$G$5:$G$120="moeda")+(Inputs!$G$5:$G$120="acoes"))*Inputs!$B$1+((Inputs!$G$5:$G$120&lt;&gt;"moeda")*(Inputs!$G$5:$G$120&lt;&gt;"acoes")))*INDEX(Inputs!$K$5:$AJ$120,0,MATCH(S$2,Inputs!$K$4:$AJ$4,0)))))</f>
        <v>16033</v>
      </c>
      <c r="T17" s="6">
        <f>IF(ISNA(MATCH(T$2,Inputs!$K$4:$AJ$4,0)),NA(),IF(SUMPRODUCT((Inputs!$A$5:$A$120=$B17)*ISNUMBER(INDEX(Inputs!$K$5:$AJ$120,0,MATCH(T$2,Inputs!$K$4:$AJ$4,0))))+SUMPRODUCT((Inputs!$C$5:$C$120=$B17)*ISNUMBER(INDEX(Inputs!$K$5:$AJ$120,0,MATCH(T$2,Inputs!$K$4:$AJ$4,0))))+SUMPRODUCT((Inputs!$E$5:$E$120=$B17)*ISNUMBER(INDEX(Inputs!$K$5:$AJ$120,0,MATCH(T$2,Inputs!$K$4:$AJ$4,0))))=0,NA(),SUMPRODUCT((Inputs!$A$5:$A$120=$B17)*Inputs!$B$5:$B$120*(((Inputs!$G$5:$G$120="moeda")+(Inputs!$G$5:$G$120="acoes"))*Inputs!$B$1+((Inputs!$G$5:$G$120&lt;&gt;"moeda")*(Inputs!$G$5:$G$120&lt;&gt;"acoes")))*INDEX(Inputs!$K$5:$AJ$120,0,MATCH(T$2,Inputs!$K$4:$AJ$4,0)))+SUMPRODUCT((Inputs!$C$5:$C$120=$B17)*Inputs!$D$5:$D$120*(((Inputs!$G$5:$G$120="moeda")+(Inputs!$G$5:$G$120="acoes"))*Inputs!$B$1+((Inputs!$G$5:$G$120&lt;&gt;"moeda")*(Inputs!$G$5:$G$120&lt;&gt;"acoes")))*INDEX(Inputs!$K$5:$AJ$120,0,MATCH(T$2,Inputs!$K$4:$AJ$4,0)))+SUMPRODUCT((Inputs!$E$5:$E$120=$B17)*Inputs!$F$5:$F$120*(((Inputs!$G$5:$G$120="moeda")+(Inputs!$G$5:$G$120="acoes"))*Inputs!$B$1+((Inputs!$G$5:$G$120&lt;&gt;"moeda")*(Inputs!$G$5:$G$120&lt;&gt;"acoes")))*INDEX(Inputs!$K$5:$AJ$120,0,MATCH(T$2,Inputs!$K$4:$AJ$4,0)))))</f>
        <v>14195</v>
      </c>
      <c r="U17" s="6">
        <f>IF(ISNA(MATCH(U$2,Inputs!$K$4:$AJ$4,0)),NA(),IF(SUMPRODUCT((Inputs!$A$5:$A$120=$B17)*ISNUMBER(INDEX(Inputs!$K$5:$AJ$120,0,MATCH(U$2,Inputs!$K$4:$AJ$4,0))))+SUMPRODUCT((Inputs!$C$5:$C$120=$B17)*ISNUMBER(INDEX(Inputs!$K$5:$AJ$120,0,MATCH(U$2,Inputs!$K$4:$AJ$4,0))))+SUMPRODUCT((Inputs!$E$5:$E$120=$B17)*ISNUMBER(INDEX(Inputs!$K$5:$AJ$120,0,MATCH(U$2,Inputs!$K$4:$AJ$4,0))))=0,NA(),SUMPRODUCT((Inputs!$A$5:$A$120=$B17)*Inputs!$B$5:$B$120*(((Inputs!$G$5:$G$120="moeda")+(Inputs!$G$5:$G$120="acoes"))*Inputs!$B$1+((Inputs!$G$5:$G$120&lt;&gt;"moeda")*(Inputs!$G$5:$G$120&lt;&gt;"acoes")))*INDEX(Inputs!$K$5:$AJ$120,0,MATCH(U$2,Inputs!$K$4:$AJ$4,0)))+SUMPRODUCT((Inputs!$C$5:$C$120=$B17)*Inputs!$D$5:$D$120*(((Inputs!$G$5:$G$120="moeda")+(Inputs!$G$5:$G$120="acoes"))*Inputs!$B$1+((Inputs!$G$5:$G$120&lt;&gt;"moeda")*(Inputs!$G$5:$G$120&lt;&gt;"acoes")))*INDEX(Inputs!$K$5:$AJ$120,0,MATCH(U$2,Inputs!$K$4:$AJ$4,0)))+SUMPRODUCT((Inputs!$E$5:$E$120=$B17)*Inputs!$F$5:$F$120*(((Inputs!$G$5:$G$120="moeda")+(Inputs!$G$5:$G$120="acoes"))*Inputs!$B$1+((Inputs!$G$5:$G$120&lt;&gt;"moeda")*(Inputs!$G$5:$G$120&lt;&gt;"acoes")))*INDEX(Inputs!$K$5:$AJ$120,0,MATCH(U$2,Inputs!$K$4:$AJ$4,0)))))</f>
        <v>14530</v>
      </c>
      <c r="V17" s="6">
        <f>IF(ISNA(MATCH(V$2,Inputs!$K$4:$AJ$4,0)),NA(),IF(SUMPRODUCT((Inputs!$A$5:$A$120=$B17)*ISNUMBER(INDEX(Inputs!$K$5:$AJ$120,0,MATCH(V$2,Inputs!$K$4:$AJ$4,0))))+SUMPRODUCT((Inputs!$C$5:$C$120=$B17)*ISNUMBER(INDEX(Inputs!$K$5:$AJ$120,0,MATCH(V$2,Inputs!$K$4:$AJ$4,0))))+SUMPRODUCT((Inputs!$E$5:$E$120=$B17)*ISNUMBER(INDEX(Inputs!$K$5:$AJ$120,0,MATCH(V$2,Inputs!$K$4:$AJ$4,0))))=0,NA(),SUMPRODUCT((Inputs!$A$5:$A$120=$B17)*Inputs!$B$5:$B$120*(((Inputs!$G$5:$G$120="moeda")+(Inputs!$G$5:$G$120="acoes"))*Inputs!$B$1+((Inputs!$G$5:$G$120&lt;&gt;"moeda")*(Inputs!$G$5:$G$120&lt;&gt;"acoes")))*INDEX(Inputs!$K$5:$AJ$120,0,MATCH(V$2,Inputs!$K$4:$AJ$4,0)))+SUMPRODUCT((Inputs!$C$5:$C$120=$B17)*Inputs!$D$5:$D$120*(((Inputs!$G$5:$G$120="moeda")+(Inputs!$G$5:$G$120="acoes"))*Inputs!$B$1+((Inputs!$G$5:$G$120&lt;&gt;"moeda")*(Inputs!$G$5:$G$120&lt;&gt;"acoes")))*INDEX(Inputs!$K$5:$AJ$120,0,MATCH(V$2,Inputs!$K$4:$AJ$4,0)))+SUMPRODUCT((Inputs!$E$5:$E$120=$B17)*Inputs!$F$5:$F$120*(((Inputs!$G$5:$G$120="moeda")+(Inputs!$G$5:$G$120="acoes"))*Inputs!$B$1+((Inputs!$G$5:$G$120&lt;&gt;"moeda")*(Inputs!$G$5:$G$120&lt;&gt;"acoes")))*INDEX(Inputs!$K$5:$AJ$120,0,MATCH(V$2,Inputs!$K$4:$AJ$4,0)))))</f>
        <v>12017</v>
      </c>
      <c r="W17" s="3">
        <f>V17</f>
        <v>12017</v>
      </c>
      <c r="X17" s="6">
        <f>IF(ISNA(MATCH(X$2,Inputs!$K$4:$AJ$4,0)),NA(),IF(SUMPRODUCT((Inputs!$A$5:$A$120=$B17)*ISNUMBER(INDEX(Inputs!$K$5:$AJ$120,0,MATCH(X$2,Inputs!$K$4:$AJ$4,0))))+SUMPRODUCT((Inputs!$C$5:$C$120=$B17)*ISNUMBER(INDEX(Inputs!$K$5:$AJ$120,0,MATCH(X$2,Inputs!$K$4:$AJ$4,0))))+SUMPRODUCT((Inputs!$E$5:$E$120=$B17)*ISNUMBER(INDEX(Inputs!$K$5:$AJ$120,0,MATCH(X$2,Inputs!$K$4:$AJ$4,0))))=0,NA(),SUMPRODUCT((Inputs!$A$5:$A$120=$B17)*Inputs!$B$5:$B$120*(((Inputs!$G$5:$G$120="moeda")+(Inputs!$G$5:$G$120="acoes"))*Inputs!$B$1+((Inputs!$G$5:$G$120&lt;&gt;"moeda")*(Inputs!$G$5:$G$120&lt;&gt;"acoes")))*INDEX(Inputs!$K$5:$AJ$120,0,MATCH(X$2,Inputs!$K$4:$AJ$4,0)))+SUMPRODUCT((Inputs!$C$5:$C$120=$B17)*Inputs!$D$5:$D$120*(((Inputs!$G$5:$G$120="moeda")+(Inputs!$G$5:$G$120="acoes"))*Inputs!$B$1+((Inputs!$G$5:$G$120&lt;&gt;"moeda")*(Inputs!$G$5:$G$120&lt;&gt;"acoes")))*INDEX(Inputs!$K$5:$AJ$120,0,MATCH(X$2,Inputs!$K$4:$AJ$4,0)))+SUMPRODUCT((Inputs!$E$5:$E$120=$B17)*Inputs!$F$5:$F$120*(((Inputs!$G$5:$G$120="moeda")+(Inputs!$G$5:$G$120="acoes"))*Inputs!$B$1+((Inputs!$G$5:$G$120&lt;&gt;"moeda")*(Inputs!$G$5:$G$120&lt;&gt;"acoes")))*INDEX(Inputs!$K$5:$AJ$120,0,MATCH(X$2,Inputs!$K$4:$AJ$4,0)))))</f>
        <v>13706</v>
      </c>
      <c r="Y17" s="6">
        <f>IF(ISNA(MATCH(Y$2,Inputs!$K$4:$AJ$4,0)),NA(),IF(SUMPRODUCT((Inputs!$A$5:$A$120=$B17)*ISNUMBER(INDEX(Inputs!$K$5:$AJ$120,0,MATCH(Y$2,Inputs!$K$4:$AJ$4,0))))+SUMPRODUCT((Inputs!$C$5:$C$120=$B17)*ISNUMBER(INDEX(Inputs!$K$5:$AJ$120,0,MATCH(Y$2,Inputs!$K$4:$AJ$4,0))))+SUMPRODUCT((Inputs!$E$5:$E$120=$B17)*ISNUMBER(INDEX(Inputs!$K$5:$AJ$120,0,MATCH(Y$2,Inputs!$K$4:$AJ$4,0))))=0,NA(),SUMPRODUCT((Inputs!$A$5:$A$120=$B17)*Inputs!$B$5:$B$120*(((Inputs!$G$5:$G$120="moeda")+(Inputs!$G$5:$G$120="acoes"))*Inputs!$B$1+((Inputs!$G$5:$G$120&lt;&gt;"moeda")*(Inputs!$G$5:$G$120&lt;&gt;"acoes")))*INDEX(Inputs!$K$5:$AJ$120,0,MATCH(Y$2,Inputs!$K$4:$AJ$4,0)))+SUMPRODUCT((Inputs!$C$5:$C$120=$B17)*Inputs!$D$5:$D$120*(((Inputs!$G$5:$G$120="moeda")+(Inputs!$G$5:$G$120="acoes"))*Inputs!$B$1+((Inputs!$G$5:$G$120&lt;&gt;"moeda")*(Inputs!$G$5:$G$120&lt;&gt;"acoes")))*INDEX(Inputs!$K$5:$AJ$120,0,MATCH(Y$2,Inputs!$K$4:$AJ$4,0)))+SUMPRODUCT((Inputs!$E$5:$E$120=$B17)*Inputs!$F$5:$F$120*(((Inputs!$G$5:$G$120="moeda")+(Inputs!$G$5:$G$120="acoes"))*Inputs!$B$1+((Inputs!$G$5:$G$120&lt;&gt;"moeda")*(Inputs!$G$5:$G$120&lt;&gt;"acoes")))*INDEX(Inputs!$K$5:$AJ$120,0,MATCH(Y$2,Inputs!$K$4:$AJ$4,0)))))</f>
        <v>14570</v>
      </c>
      <c r="Z17" s="6">
        <f>IF(ISNA(MATCH(Z$2,Inputs!$K$4:$AJ$4,0)),NA(),IF(SUMPRODUCT((Inputs!$A$5:$A$120=$B17)*ISNUMBER(INDEX(Inputs!$K$5:$AJ$120,0,MATCH(Z$2,Inputs!$K$4:$AJ$4,0))))+SUMPRODUCT((Inputs!$C$5:$C$120=$B17)*ISNUMBER(INDEX(Inputs!$K$5:$AJ$120,0,MATCH(Z$2,Inputs!$K$4:$AJ$4,0))))+SUMPRODUCT((Inputs!$E$5:$E$120=$B17)*ISNUMBER(INDEX(Inputs!$K$5:$AJ$120,0,MATCH(Z$2,Inputs!$K$4:$AJ$4,0))))=0,NA(),SUMPRODUCT((Inputs!$A$5:$A$120=$B17)*Inputs!$B$5:$B$120*(((Inputs!$G$5:$G$120="moeda")+(Inputs!$G$5:$G$120="acoes"))*Inputs!$B$1+((Inputs!$G$5:$G$120&lt;&gt;"moeda")*(Inputs!$G$5:$G$120&lt;&gt;"acoes")))*INDEX(Inputs!$K$5:$AJ$120,0,MATCH(Z$2,Inputs!$K$4:$AJ$4,0)))+SUMPRODUCT((Inputs!$C$5:$C$120=$B17)*Inputs!$D$5:$D$120*(((Inputs!$G$5:$G$120="moeda")+(Inputs!$G$5:$G$120="acoes"))*Inputs!$B$1+((Inputs!$G$5:$G$120&lt;&gt;"moeda")*(Inputs!$G$5:$G$120&lt;&gt;"acoes")))*INDEX(Inputs!$K$5:$AJ$120,0,MATCH(Z$2,Inputs!$K$4:$AJ$4,0)))+SUMPRODUCT((Inputs!$E$5:$E$120=$B17)*Inputs!$F$5:$F$120*(((Inputs!$G$5:$G$120="moeda")+(Inputs!$G$5:$G$120="acoes"))*Inputs!$B$1+((Inputs!$G$5:$G$120&lt;&gt;"moeda")*(Inputs!$G$5:$G$120&lt;&gt;"acoes")))*INDEX(Inputs!$K$5:$AJ$120,0,MATCH(Z$2,Inputs!$K$4:$AJ$4,0)))))</f>
        <v>12276</v>
      </c>
      <c r="AA17" s="6">
        <f>IF(ISNA(MATCH(AA$2,Inputs!$K$4:$AJ$4,0)),NA(),IF(SUMPRODUCT((Inputs!$A$5:$A$120=$B17)*ISNUMBER(INDEX(Inputs!$K$5:$AJ$120,0,MATCH(AA$2,Inputs!$K$4:$AJ$4,0))))+SUMPRODUCT((Inputs!$C$5:$C$120=$B17)*ISNUMBER(INDEX(Inputs!$K$5:$AJ$120,0,MATCH(AA$2,Inputs!$K$4:$AJ$4,0))))+SUMPRODUCT((Inputs!$E$5:$E$120=$B17)*ISNUMBER(INDEX(Inputs!$K$5:$AJ$120,0,MATCH(AA$2,Inputs!$K$4:$AJ$4,0))))=0,NA(),SUMPRODUCT((Inputs!$A$5:$A$120=$B17)*Inputs!$B$5:$B$120*(((Inputs!$G$5:$G$120="moeda")+(Inputs!$G$5:$G$120="acoes"))*Inputs!$B$1+((Inputs!$G$5:$G$120&lt;&gt;"moeda")*(Inputs!$G$5:$G$120&lt;&gt;"acoes")))*INDEX(Inputs!$K$5:$AJ$120,0,MATCH(AA$2,Inputs!$K$4:$AJ$4,0)))+SUMPRODUCT((Inputs!$C$5:$C$120=$B17)*Inputs!$D$5:$D$120*(((Inputs!$G$5:$G$120="moeda")+(Inputs!$G$5:$G$120="acoes"))*Inputs!$B$1+((Inputs!$G$5:$G$120&lt;&gt;"moeda")*(Inputs!$G$5:$G$120&lt;&gt;"acoes")))*INDEX(Inputs!$K$5:$AJ$120,0,MATCH(AA$2,Inputs!$K$4:$AJ$4,0)))+SUMPRODUCT((Inputs!$E$5:$E$120=$B17)*Inputs!$F$5:$F$120*(((Inputs!$G$5:$G$120="moeda")+(Inputs!$G$5:$G$120="acoes"))*Inputs!$B$1+((Inputs!$G$5:$G$120&lt;&gt;"moeda")*(Inputs!$G$5:$G$120&lt;&gt;"acoes")))*INDEX(Inputs!$K$5:$AJ$120,0,MATCH(AA$2,Inputs!$K$4:$AJ$4,0)))))</f>
        <v>12392</v>
      </c>
      <c r="AB17" s="3">
        <f>AA17</f>
        <v>12392</v>
      </c>
      <c r="AC17" s="6">
        <f>IF(ISNA(MATCH(AC$2,Inputs!$K$4:$AJ$4,0)),NA(),IF(SUMPRODUCT((Inputs!$A$5:$A$120=$B17)*ISNUMBER(INDEX(Inputs!$K$5:$AJ$120,0,MATCH(AC$2,Inputs!$K$4:$AJ$4,0))))+SUMPRODUCT((Inputs!$C$5:$C$120=$B17)*ISNUMBER(INDEX(Inputs!$K$5:$AJ$120,0,MATCH(AC$2,Inputs!$K$4:$AJ$4,0))))+SUMPRODUCT((Inputs!$E$5:$E$120=$B17)*ISNUMBER(INDEX(Inputs!$K$5:$AJ$120,0,MATCH(AC$2,Inputs!$K$4:$AJ$4,0))))=0,NA(),SUMPRODUCT((Inputs!$A$5:$A$120=$B17)*Inputs!$B$5:$B$120*(((Inputs!$G$5:$G$120="moeda")+(Inputs!$G$5:$G$120="acoes"))*Inputs!$B$1+((Inputs!$G$5:$G$120&lt;&gt;"moeda")*(Inputs!$G$5:$G$120&lt;&gt;"acoes")))*INDEX(Inputs!$K$5:$AJ$120,0,MATCH(AC$2,Inputs!$K$4:$AJ$4,0)))+SUMPRODUCT((Inputs!$C$5:$C$120=$B17)*Inputs!$D$5:$D$120*(((Inputs!$G$5:$G$120="moeda")+(Inputs!$G$5:$G$120="acoes"))*Inputs!$B$1+((Inputs!$G$5:$G$120&lt;&gt;"moeda")*(Inputs!$G$5:$G$120&lt;&gt;"acoes")))*INDEX(Inputs!$K$5:$AJ$120,0,MATCH(AC$2,Inputs!$K$4:$AJ$4,0)))+SUMPRODUCT((Inputs!$E$5:$E$120=$B17)*Inputs!$F$5:$F$120*(((Inputs!$G$5:$G$120="moeda")+(Inputs!$G$5:$G$120="acoes"))*Inputs!$B$1+((Inputs!$G$5:$G$120&lt;&gt;"moeda")*(Inputs!$G$5:$G$120&lt;&gt;"acoes")))*INDEX(Inputs!$K$5:$AJ$120,0,MATCH(AC$2,Inputs!$K$4:$AJ$4,0)))))</f>
        <v>14434</v>
      </c>
      <c r="AD17" s="6">
        <f>IF(ISNA(MATCH(AD$2,Inputs!$K$4:$AJ$4,0)),NA(),IF(SUMPRODUCT((Inputs!$A$5:$A$120=$B17)*ISNUMBER(INDEX(Inputs!$K$5:$AJ$120,0,MATCH(AD$2,Inputs!$K$4:$AJ$4,0))))+SUMPRODUCT((Inputs!$C$5:$C$120=$B17)*ISNUMBER(INDEX(Inputs!$K$5:$AJ$120,0,MATCH(AD$2,Inputs!$K$4:$AJ$4,0))))+SUMPRODUCT((Inputs!$E$5:$E$120=$B17)*ISNUMBER(INDEX(Inputs!$K$5:$AJ$120,0,MATCH(AD$2,Inputs!$K$4:$AJ$4,0))))=0,NA(),SUMPRODUCT((Inputs!$A$5:$A$120=$B17)*Inputs!$B$5:$B$120*(((Inputs!$G$5:$G$120="moeda")+(Inputs!$G$5:$G$120="acoes"))*Inputs!$B$1+((Inputs!$G$5:$G$120&lt;&gt;"moeda")*(Inputs!$G$5:$G$120&lt;&gt;"acoes")))*INDEX(Inputs!$K$5:$AJ$120,0,MATCH(AD$2,Inputs!$K$4:$AJ$4,0)))+SUMPRODUCT((Inputs!$C$5:$C$120=$B17)*Inputs!$D$5:$D$120*(((Inputs!$G$5:$G$120="moeda")+(Inputs!$G$5:$G$120="acoes"))*Inputs!$B$1+((Inputs!$G$5:$G$120&lt;&gt;"moeda")*(Inputs!$G$5:$G$120&lt;&gt;"acoes")))*INDEX(Inputs!$K$5:$AJ$120,0,MATCH(AD$2,Inputs!$K$4:$AJ$4,0)))+SUMPRODUCT((Inputs!$E$5:$E$120=$B17)*Inputs!$F$5:$F$120*(((Inputs!$G$5:$G$120="moeda")+(Inputs!$G$5:$G$120="acoes"))*Inputs!$B$1+((Inputs!$G$5:$G$120&lt;&gt;"moeda")*(Inputs!$G$5:$G$120&lt;&gt;"acoes")))*INDEX(Inputs!$K$5:$AJ$120,0,MATCH(AD$2,Inputs!$K$4:$AJ$4,0)))))</f>
        <v>13752</v>
      </c>
      <c r="AE17" s="6" t="e">
        <f>IF(ISNA(MATCH(AE$2,Inputs!$K$4:$AJ$4,0)),NA(),IF(SUMPRODUCT((Inputs!$A$5:$A$120=$B17)*ISNUMBER(INDEX(Inputs!$K$5:$AJ$120,0,MATCH(AE$2,Inputs!$K$4:$AJ$4,0))))+SUMPRODUCT((Inputs!$C$5:$C$120=$B17)*ISNUMBER(INDEX(Inputs!$K$5:$AJ$120,0,MATCH(AE$2,Inputs!$K$4:$AJ$4,0))))+SUMPRODUCT((Inputs!$E$5:$E$120=$B17)*ISNUMBER(INDEX(Inputs!$K$5:$AJ$120,0,MATCH(AE$2,Inputs!$K$4:$AJ$4,0))))=0,NA(),SUMPRODUCT((Inputs!$A$5:$A$120=$B17)*Inputs!$B$5:$B$120*(((Inputs!$G$5:$G$120="moeda")+(Inputs!$G$5:$G$120="acoes"))*Inputs!$B$1+((Inputs!$G$5:$G$120&lt;&gt;"moeda")*(Inputs!$G$5:$G$120&lt;&gt;"acoes")))*INDEX(Inputs!$K$5:$AJ$120,0,MATCH(AE$2,Inputs!$K$4:$AJ$4,0)))+SUMPRODUCT((Inputs!$C$5:$C$120=$B17)*Inputs!$D$5:$D$120*(((Inputs!$G$5:$G$120="moeda")+(Inputs!$G$5:$G$120="acoes"))*Inputs!$B$1+((Inputs!$G$5:$G$120&lt;&gt;"moeda")*(Inputs!$G$5:$G$120&lt;&gt;"acoes")))*INDEX(Inputs!$K$5:$AJ$120,0,MATCH(AE$2,Inputs!$K$4:$AJ$4,0)))+SUMPRODUCT((Inputs!$E$5:$E$120=$B17)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17" s="6" t="e">
        <f>IF(ISNA(MATCH(AF$2,Inputs!$K$4:$AJ$4,0)),NA(),IF(SUMPRODUCT((Inputs!$A$5:$A$120=$B17)*ISNUMBER(INDEX(Inputs!$K$5:$AJ$120,0,MATCH(AF$2,Inputs!$K$4:$AJ$4,0))))+SUMPRODUCT((Inputs!$C$5:$C$120=$B17)*ISNUMBER(INDEX(Inputs!$K$5:$AJ$120,0,MATCH(AF$2,Inputs!$K$4:$AJ$4,0))))+SUMPRODUCT((Inputs!$E$5:$E$120=$B17)*ISNUMBER(INDEX(Inputs!$K$5:$AJ$120,0,MATCH(AF$2,Inputs!$K$4:$AJ$4,0))))=0,NA(),SUMPRODUCT((Inputs!$A$5:$A$120=$B17)*Inputs!$B$5:$B$120*(((Inputs!$G$5:$G$120="moeda")+(Inputs!$G$5:$G$120="acoes"))*Inputs!$B$1+((Inputs!$G$5:$G$120&lt;&gt;"moeda")*(Inputs!$G$5:$G$120&lt;&gt;"acoes")))*INDEX(Inputs!$K$5:$AJ$120,0,MATCH(AF$2,Inputs!$K$4:$AJ$4,0)))+SUMPRODUCT((Inputs!$C$5:$C$120=$B17)*Inputs!$D$5:$D$120*(((Inputs!$G$5:$G$120="moeda")+(Inputs!$G$5:$G$120="acoes"))*Inputs!$B$1+((Inputs!$G$5:$G$120&lt;&gt;"moeda")*(Inputs!$G$5:$G$120&lt;&gt;"acoes")))*INDEX(Inputs!$K$5:$AJ$120,0,MATCH(AF$2,Inputs!$K$4:$AJ$4,0)))+SUMPRODUCT((Inputs!$E$5:$E$120=$B17)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17" s="3" t="e">
        <f>AF17</f>
        <v>#N/A</v>
      </c>
      <c r="AH17" s="6">
        <f>IF(ISNA(MATCH(AH$2,Inputs!$K$4:$AJ$4,0)),NA(),IF(SUMPRODUCT((Inputs!$A$5:$A$120=$B17)*ISNUMBER(INDEX(Inputs!$K$5:$AJ$120,0,MATCH(AH$2,Inputs!$K$4:$AJ$4,0))))+SUMPRODUCT((Inputs!$C$5:$C$120=$B17)*ISNUMBER(INDEX(Inputs!$K$5:$AJ$120,0,MATCH(AH$2,Inputs!$K$4:$AJ$4,0))))+SUMPRODUCT((Inputs!$E$5:$E$120=$B17)*ISNUMBER(INDEX(Inputs!$K$5:$AJ$120,0,MATCH(AH$2,Inputs!$K$4:$AJ$4,0))))=0,NA(),SUMPRODUCT((Inputs!$A$5:$A$120=$B17)*Inputs!$B$5:$B$120*(((Inputs!$G$5:$G$120="moeda")+(Inputs!$G$5:$G$120="acoes"))*Inputs!$B$1+((Inputs!$G$5:$G$120&lt;&gt;"moeda")*(Inputs!$G$5:$G$120&lt;&gt;"acoes")))*INDEX(Inputs!$K$5:$AJ$120,0,MATCH(AH$2,Inputs!$K$4:$AJ$4,0)))+SUMPRODUCT((Inputs!$C$5:$C$120=$B17)*Inputs!$D$5:$D$120*(((Inputs!$G$5:$G$120="moeda")+(Inputs!$G$5:$G$120="acoes"))*Inputs!$B$1+((Inputs!$G$5:$G$120&lt;&gt;"moeda")*(Inputs!$G$5:$G$120&lt;&gt;"acoes")))*INDEX(Inputs!$K$5:$AJ$120,0,MATCH(AH$2,Inputs!$K$4:$AJ$4,0)))+SUMPRODUCT((Inputs!$E$5:$E$120=$B17)*Inputs!$F$5:$F$120*(((Inputs!$G$5:$G$120="moeda")+(Inputs!$G$5:$G$120="acoes"))*Inputs!$B$1+((Inputs!$G$5:$G$120&lt;&gt;"moeda")*(Inputs!$G$5:$G$120&lt;&gt;"acoes")))*INDEX(Inputs!$K$5:$AJ$120,0,MATCH(AH$2,Inputs!$K$4:$AJ$4,0)))))</f>
        <v>4494</v>
      </c>
      <c r="AI17" s="6">
        <f>IF(ISNA(MATCH(AI$2,Inputs!$K$4:$AJ$4,0)),NA(),IF(SUMPRODUCT((Inputs!$A$5:$A$120=$B17)*ISNUMBER(INDEX(Inputs!$K$5:$AJ$120,0,MATCH(AI$2,Inputs!$K$4:$AJ$4,0))))+SUMPRODUCT((Inputs!$C$5:$C$120=$B17)*ISNUMBER(INDEX(Inputs!$K$5:$AJ$120,0,MATCH(AI$2,Inputs!$K$4:$AJ$4,0))))+SUMPRODUCT((Inputs!$E$5:$E$120=$B17)*ISNUMBER(INDEX(Inputs!$K$5:$AJ$120,0,MATCH(AI$2,Inputs!$K$4:$AJ$4,0))))=0,NA(),SUMPRODUCT((Inputs!$A$5:$A$120=$B17)*Inputs!$B$5:$B$120*(((Inputs!$G$5:$G$120="moeda")+(Inputs!$G$5:$G$120="acoes"))*Inputs!$B$1+((Inputs!$G$5:$G$120&lt;&gt;"moeda")*(Inputs!$G$5:$G$120&lt;&gt;"acoes")))*INDEX(Inputs!$K$5:$AJ$120,0,MATCH(AI$2,Inputs!$K$4:$AJ$4,0)))+SUMPRODUCT((Inputs!$C$5:$C$120=$B17)*Inputs!$D$5:$D$120*(((Inputs!$G$5:$G$120="moeda")+(Inputs!$G$5:$G$120="acoes"))*Inputs!$B$1+((Inputs!$G$5:$G$120&lt;&gt;"moeda")*(Inputs!$G$5:$G$120&lt;&gt;"acoes")))*INDEX(Inputs!$K$5:$AJ$120,0,MATCH(AI$2,Inputs!$K$4:$AJ$4,0)))+SUMPRODUCT((Inputs!$E$5:$E$120=$B17)*Inputs!$F$5:$F$120*(((Inputs!$G$5:$G$120="moeda")+(Inputs!$G$5:$G$120="acoes"))*Inputs!$B$1+((Inputs!$G$5:$G$120&lt;&gt;"moeda")*(Inputs!$G$5:$G$120&lt;&gt;"acoes")))*INDEX(Inputs!$K$5:$AJ$120,0,MATCH(AI$2,Inputs!$K$4:$AJ$4,0)))))</f>
        <v>4018</v>
      </c>
      <c r="AJ17" s="6">
        <f>IF(ISNA(MATCH(AJ$2,Inputs!$K$4:$AJ$4,0)),NA(),IF(SUMPRODUCT((Inputs!$A$5:$A$120=$B17)*ISNUMBER(INDEX(Inputs!$K$5:$AJ$120,0,MATCH(AJ$2,Inputs!$K$4:$AJ$4,0))))+SUMPRODUCT((Inputs!$C$5:$C$120=$B17)*ISNUMBER(INDEX(Inputs!$K$5:$AJ$120,0,MATCH(AJ$2,Inputs!$K$4:$AJ$4,0))))+SUMPRODUCT((Inputs!$E$5:$E$120=$B17)*ISNUMBER(INDEX(Inputs!$K$5:$AJ$120,0,MATCH(AJ$2,Inputs!$K$4:$AJ$4,0))))=0,NA(),SUMPRODUCT((Inputs!$A$5:$A$120=$B17)*Inputs!$B$5:$B$120*(((Inputs!$G$5:$G$120="moeda")+(Inputs!$G$5:$G$120="acoes"))*Inputs!$B$1+((Inputs!$G$5:$G$120&lt;&gt;"moeda")*(Inputs!$G$5:$G$120&lt;&gt;"acoes")))*INDEX(Inputs!$K$5:$AJ$120,0,MATCH(AJ$2,Inputs!$K$4:$AJ$4,0)))+SUMPRODUCT((Inputs!$C$5:$C$120=$B17)*Inputs!$D$5:$D$120*(((Inputs!$G$5:$G$120="moeda")+(Inputs!$G$5:$G$120="acoes"))*Inputs!$B$1+((Inputs!$G$5:$G$120&lt;&gt;"moeda")*(Inputs!$G$5:$G$120&lt;&gt;"acoes")))*INDEX(Inputs!$K$5:$AJ$120,0,MATCH(AJ$2,Inputs!$K$4:$AJ$4,0)))+SUMPRODUCT((Inputs!$E$5:$E$120=$B17)*Inputs!$F$5:$F$120*(((Inputs!$G$5:$G$120="moeda")+(Inputs!$G$5:$G$120="acoes"))*Inputs!$B$1+((Inputs!$G$5:$G$120&lt;&gt;"moeda")*(Inputs!$G$5:$G$120&lt;&gt;"acoes")))*INDEX(Inputs!$K$5:$AJ$120,0,MATCH(AJ$2,Inputs!$K$4:$AJ$4,0)))))</f>
        <v>4218</v>
      </c>
      <c r="AK17" s="6">
        <f>IF(ISNA(MATCH(AK$2,Inputs!$K$4:$AJ$4,0)),NA(),IF(SUMPRODUCT((Inputs!$A$5:$A$120=$B17)*ISNUMBER(INDEX(Inputs!$K$5:$AJ$120,0,MATCH(AK$2,Inputs!$K$4:$AJ$4,0))))+SUMPRODUCT((Inputs!$C$5:$C$120=$B17)*ISNUMBER(INDEX(Inputs!$K$5:$AJ$120,0,MATCH(AK$2,Inputs!$K$4:$AJ$4,0))))+SUMPRODUCT((Inputs!$E$5:$E$120=$B17)*ISNUMBER(INDEX(Inputs!$K$5:$AJ$120,0,MATCH(AK$2,Inputs!$K$4:$AJ$4,0))))=0,NA(),SUMPRODUCT((Inputs!$A$5:$A$120=$B17)*Inputs!$B$5:$B$120*(((Inputs!$G$5:$G$120="moeda")+(Inputs!$G$5:$G$120="acoes"))*Inputs!$B$1+((Inputs!$G$5:$G$120&lt;&gt;"moeda")*(Inputs!$G$5:$G$120&lt;&gt;"acoes")))*INDEX(Inputs!$K$5:$AJ$120,0,MATCH(AK$2,Inputs!$K$4:$AJ$4,0)))+SUMPRODUCT((Inputs!$C$5:$C$120=$B17)*Inputs!$D$5:$D$120*(((Inputs!$G$5:$G$120="moeda")+(Inputs!$G$5:$G$120="acoes"))*Inputs!$B$1+((Inputs!$G$5:$G$120&lt;&gt;"moeda")*(Inputs!$G$5:$G$120&lt;&gt;"acoes")))*INDEX(Inputs!$K$5:$AJ$120,0,MATCH(AK$2,Inputs!$K$4:$AJ$4,0)))+SUMPRODUCT((Inputs!$E$5:$E$120=$B17)*Inputs!$F$5:$F$120*(((Inputs!$G$5:$G$120="moeda")+(Inputs!$G$5:$G$120="acoes"))*Inputs!$B$1+((Inputs!$G$5:$G$120&lt;&gt;"moeda")*(Inputs!$G$5:$G$120&lt;&gt;"acoes")))*INDEX(Inputs!$K$5:$AJ$120,0,MATCH(AK$2,Inputs!$K$4:$AJ$4,0)))))</f>
        <v>4101</v>
      </c>
      <c r="AL17" s="3">
        <f>AK17</f>
        <v>4101</v>
      </c>
    </row>
    <row r="18">
      <c r="B18" s="46" t="n">
        <v>14</v>
      </c>
      <c r="C18" s="26" t="inlineStr">
        <is>
          <t>Deferred income taxes</t>
        </is>
      </c>
      <c r="D18" s="6">
        <f>IF(ISNA(MATCH(D$2,Inputs!$K$4:$AJ$4,0)),NA(),IF(SUMPRODUCT((Inputs!$A$5:$A$120=$B18)*ISNUMBER(INDEX(Inputs!$K$5:$AJ$120,0,MATCH(D$2,Inputs!$K$4:$AJ$4,0))))+SUMPRODUCT((Inputs!$C$5:$C$120=$B18)*ISNUMBER(INDEX(Inputs!$K$5:$AJ$120,0,MATCH(D$2,Inputs!$K$4:$AJ$4,0))))+SUMPRODUCT((Inputs!$E$5:$E$120=$B18)*ISNUMBER(INDEX(Inputs!$K$5:$AJ$120,0,MATCH(D$2,Inputs!$K$4:$AJ$4,0))))=0,NA(),SUMPRODUCT((Inputs!$A$5:$A$120=$B18)*Inputs!$B$5:$B$120*(((Inputs!$G$5:$G$120="moeda")+(Inputs!$G$5:$G$120="acoes"))*Inputs!$B$1+((Inputs!$G$5:$G$120&lt;&gt;"moeda")*(Inputs!$G$5:$G$120&lt;&gt;"acoes")))*INDEX(Inputs!$K$5:$AJ$120,0,MATCH(D$2,Inputs!$K$4:$AJ$4,0)))+SUMPRODUCT((Inputs!$C$5:$C$120=$B18)*Inputs!$D$5:$D$120*(((Inputs!$G$5:$G$120="moeda")+(Inputs!$G$5:$G$120="acoes"))*Inputs!$B$1+((Inputs!$G$5:$G$120&lt;&gt;"moeda")*(Inputs!$G$5:$G$120&lt;&gt;"acoes")))*INDEX(Inputs!$K$5:$AJ$120,0,MATCH(D$2,Inputs!$K$4:$AJ$4,0)))+SUMPRODUCT((Inputs!$E$5:$E$120=$B18)*Inputs!$F$5:$F$120*(((Inputs!$G$5:$G$120="moeda")+(Inputs!$G$5:$G$120="acoes"))*Inputs!$B$1+((Inputs!$G$5:$G$120&lt;&gt;"moeda")*(Inputs!$G$5:$G$120&lt;&gt;"acoes")))*INDEX(Inputs!$K$5:$AJ$120,0,MATCH(D$2,Inputs!$K$4:$AJ$4,0)))))</f>
        <v>0</v>
      </c>
      <c r="E18" s="6">
        <f>IF(ISNA(MATCH(E$2,Inputs!$K$4:$AJ$4,0)),NA(),IF(SUMPRODUCT((Inputs!$A$5:$A$120=$B18)*ISNUMBER(INDEX(Inputs!$K$5:$AJ$120,0,MATCH(E$2,Inputs!$K$4:$AJ$4,0))))+SUMPRODUCT((Inputs!$C$5:$C$120=$B18)*ISNUMBER(INDEX(Inputs!$K$5:$AJ$120,0,MATCH(E$2,Inputs!$K$4:$AJ$4,0))))+SUMPRODUCT((Inputs!$E$5:$E$120=$B18)*ISNUMBER(INDEX(Inputs!$K$5:$AJ$120,0,MATCH(E$2,Inputs!$K$4:$AJ$4,0))))=0,NA(),SUMPRODUCT((Inputs!$A$5:$A$120=$B18)*Inputs!$B$5:$B$120*(((Inputs!$G$5:$G$120="moeda")+(Inputs!$G$5:$G$120="acoes"))*Inputs!$B$1+((Inputs!$G$5:$G$120&lt;&gt;"moeda")*(Inputs!$G$5:$G$120&lt;&gt;"acoes")))*INDEX(Inputs!$K$5:$AJ$120,0,MATCH(E$2,Inputs!$K$4:$AJ$4,0)))+SUMPRODUCT((Inputs!$C$5:$C$120=$B18)*Inputs!$D$5:$D$120*(((Inputs!$G$5:$G$120="moeda")+(Inputs!$G$5:$G$120="acoes"))*Inputs!$B$1+((Inputs!$G$5:$G$120&lt;&gt;"moeda")*(Inputs!$G$5:$G$120&lt;&gt;"acoes")))*INDEX(Inputs!$K$5:$AJ$120,0,MATCH(E$2,Inputs!$K$4:$AJ$4,0)))+SUMPRODUCT((Inputs!$E$5:$E$120=$B18)*Inputs!$F$5:$F$120*(((Inputs!$G$5:$G$120="moeda")+(Inputs!$G$5:$G$120="acoes"))*Inputs!$B$1+((Inputs!$G$5:$G$120&lt;&gt;"moeda")*(Inputs!$G$5:$G$120&lt;&gt;"acoes")))*INDEX(Inputs!$K$5:$AJ$120,0,MATCH(E$2,Inputs!$K$4:$AJ$4,0)))))</f>
        <v>0</v>
      </c>
      <c r="F18" s="6">
        <f>IF(ISNA(MATCH(F$2,Inputs!$K$4:$AJ$4,0)),NA(),IF(SUMPRODUCT((Inputs!$A$5:$A$120=$B18)*ISNUMBER(INDEX(Inputs!$K$5:$AJ$120,0,MATCH(F$2,Inputs!$K$4:$AJ$4,0))))+SUMPRODUCT((Inputs!$C$5:$C$120=$B18)*ISNUMBER(INDEX(Inputs!$K$5:$AJ$120,0,MATCH(F$2,Inputs!$K$4:$AJ$4,0))))+SUMPRODUCT((Inputs!$E$5:$E$120=$B18)*ISNUMBER(INDEX(Inputs!$K$5:$AJ$120,0,MATCH(F$2,Inputs!$K$4:$AJ$4,0))))=0,NA(),SUMPRODUCT((Inputs!$A$5:$A$120=$B18)*Inputs!$B$5:$B$120*(((Inputs!$G$5:$G$120="moeda")+(Inputs!$G$5:$G$120="acoes"))*Inputs!$B$1+((Inputs!$G$5:$G$120&lt;&gt;"moeda")*(Inputs!$G$5:$G$120&lt;&gt;"acoes")))*INDEX(Inputs!$K$5:$AJ$120,0,MATCH(F$2,Inputs!$K$4:$AJ$4,0)))+SUMPRODUCT((Inputs!$C$5:$C$120=$B18)*Inputs!$D$5:$D$120*(((Inputs!$G$5:$G$120="moeda")+(Inputs!$G$5:$G$120="acoes"))*Inputs!$B$1+((Inputs!$G$5:$G$120&lt;&gt;"moeda")*(Inputs!$G$5:$G$120&lt;&gt;"acoes")))*INDEX(Inputs!$K$5:$AJ$120,0,MATCH(F$2,Inputs!$K$4:$AJ$4,0)))+SUMPRODUCT((Inputs!$E$5:$E$120=$B18)*Inputs!$F$5:$F$120*(((Inputs!$G$5:$G$120="moeda")+(Inputs!$G$5:$G$120="acoes"))*Inputs!$B$1+((Inputs!$G$5:$G$120&lt;&gt;"moeda")*(Inputs!$G$5:$G$120&lt;&gt;"acoes")))*INDEX(Inputs!$K$5:$AJ$120,0,MATCH(F$2,Inputs!$K$4:$AJ$4,0)))))</f>
        <v>0</v>
      </c>
      <c r="G18" s="6">
        <f>IF(ISNA(MATCH(G$2,Inputs!$K$4:$AJ$4,0)),NA(),IF(SUMPRODUCT((Inputs!$A$5:$A$120=$B18)*ISNUMBER(INDEX(Inputs!$K$5:$AJ$120,0,MATCH(G$2,Inputs!$K$4:$AJ$4,0))))+SUMPRODUCT((Inputs!$C$5:$C$120=$B18)*ISNUMBER(INDEX(Inputs!$K$5:$AJ$120,0,MATCH(G$2,Inputs!$K$4:$AJ$4,0))))+SUMPRODUCT((Inputs!$E$5:$E$120=$B18)*ISNUMBER(INDEX(Inputs!$K$5:$AJ$120,0,MATCH(G$2,Inputs!$K$4:$AJ$4,0))))=0,NA(),SUMPRODUCT((Inputs!$A$5:$A$120=$B18)*Inputs!$B$5:$B$120*(((Inputs!$G$5:$G$120="moeda")+(Inputs!$G$5:$G$120="acoes"))*Inputs!$B$1+((Inputs!$G$5:$G$120&lt;&gt;"moeda")*(Inputs!$G$5:$G$120&lt;&gt;"acoes")))*INDEX(Inputs!$K$5:$AJ$120,0,MATCH(G$2,Inputs!$K$4:$AJ$4,0)))+SUMPRODUCT((Inputs!$C$5:$C$120=$B18)*Inputs!$D$5:$D$120*(((Inputs!$G$5:$G$120="moeda")+(Inputs!$G$5:$G$120="acoes"))*Inputs!$B$1+((Inputs!$G$5:$G$120&lt;&gt;"moeda")*(Inputs!$G$5:$G$120&lt;&gt;"acoes")))*INDEX(Inputs!$K$5:$AJ$120,0,MATCH(G$2,Inputs!$K$4:$AJ$4,0)))+SUMPRODUCT((Inputs!$E$5:$E$120=$B18)*Inputs!$F$5:$F$120*(((Inputs!$G$5:$G$120="moeda")+(Inputs!$G$5:$G$120="acoes"))*Inputs!$B$1+((Inputs!$G$5:$G$120&lt;&gt;"moeda")*(Inputs!$G$5:$G$120&lt;&gt;"acoes")))*INDEX(Inputs!$K$5:$AJ$120,0,MATCH(G$2,Inputs!$K$4:$AJ$4,0)))))</f>
        <v>0</v>
      </c>
      <c r="H18" s="3">
        <f>G18</f>
        <v>0</v>
      </c>
      <c r="I18" s="6">
        <f>IF(ISNA(MATCH(I$2,Inputs!$K$4:$AJ$4,0)),NA(),IF(SUMPRODUCT((Inputs!$A$5:$A$120=$B18)*ISNUMBER(INDEX(Inputs!$K$5:$AJ$120,0,MATCH(I$2,Inputs!$K$4:$AJ$4,0))))+SUMPRODUCT((Inputs!$C$5:$C$120=$B18)*ISNUMBER(INDEX(Inputs!$K$5:$AJ$120,0,MATCH(I$2,Inputs!$K$4:$AJ$4,0))))+SUMPRODUCT((Inputs!$E$5:$E$120=$B18)*ISNUMBER(INDEX(Inputs!$K$5:$AJ$120,0,MATCH(I$2,Inputs!$K$4:$AJ$4,0))))=0,NA(),SUMPRODUCT((Inputs!$A$5:$A$120=$B18)*Inputs!$B$5:$B$120*(((Inputs!$G$5:$G$120="moeda")+(Inputs!$G$5:$G$120="acoes"))*Inputs!$B$1+((Inputs!$G$5:$G$120&lt;&gt;"moeda")*(Inputs!$G$5:$G$120&lt;&gt;"acoes")))*INDEX(Inputs!$K$5:$AJ$120,0,MATCH(I$2,Inputs!$K$4:$AJ$4,0)))+SUMPRODUCT((Inputs!$C$5:$C$120=$B18)*Inputs!$D$5:$D$120*(((Inputs!$G$5:$G$120="moeda")+(Inputs!$G$5:$G$120="acoes"))*Inputs!$B$1+((Inputs!$G$5:$G$120&lt;&gt;"moeda")*(Inputs!$G$5:$G$120&lt;&gt;"acoes")))*INDEX(Inputs!$K$5:$AJ$120,0,MATCH(I$2,Inputs!$K$4:$AJ$4,0)))+SUMPRODUCT((Inputs!$E$5:$E$120=$B18)*Inputs!$F$5:$F$120*(((Inputs!$G$5:$G$120="moeda")+(Inputs!$G$5:$G$120="acoes"))*Inputs!$B$1+((Inputs!$G$5:$G$120&lt;&gt;"moeda")*(Inputs!$G$5:$G$120&lt;&gt;"acoes")))*INDEX(Inputs!$K$5:$AJ$120,0,MATCH(I$2,Inputs!$K$4:$AJ$4,0)))))</f>
        <v>0</v>
      </c>
      <c r="J18" s="6">
        <f>IF(ISNA(MATCH(J$2,Inputs!$K$4:$AJ$4,0)),NA(),IF(SUMPRODUCT((Inputs!$A$5:$A$120=$B18)*ISNUMBER(INDEX(Inputs!$K$5:$AJ$120,0,MATCH(J$2,Inputs!$K$4:$AJ$4,0))))+SUMPRODUCT((Inputs!$C$5:$C$120=$B18)*ISNUMBER(INDEX(Inputs!$K$5:$AJ$120,0,MATCH(J$2,Inputs!$K$4:$AJ$4,0))))+SUMPRODUCT((Inputs!$E$5:$E$120=$B18)*ISNUMBER(INDEX(Inputs!$K$5:$AJ$120,0,MATCH(J$2,Inputs!$K$4:$AJ$4,0))))=0,NA(),SUMPRODUCT((Inputs!$A$5:$A$120=$B18)*Inputs!$B$5:$B$120*(((Inputs!$G$5:$G$120="moeda")+(Inputs!$G$5:$G$120="acoes"))*Inputs!$B$1+((Inputs!$G$5:$G$120&lt;&gt;"moeda")*(Inputs!$G$5:$G$120&lt;&gt;"acoes")))*INDEX(Inputs!$K$5:$AJ$120,0,MATCH(J$2,Inputs!$K$4:$AJ$4,0)))+SUMPRODUCT((Inputs!$C$5:$C$120=$B18)*Inputs!$D$5:$D$120*(((Inputs!$G$5:$G$120="moeda")+(Inputs!$G$5:$G$120="acoes"))*Inputs!$B$1+((Inputs!$G$5:$G$120&lt;&gt;"moeda")*(Inputs!$G$5:$G$120&lt;&gt;"acoes")))*INDEX(Inputs!$K$5:$AJ$120,0,MATCH(J$2,Inputs!$K$4:$AJ$4,0)))+SUMPRODUCT((Inputs!$E$5:$E$120=$B18)*Inputs!$F$5:$F$120*(((Inputs!$G$5:$G$120="moeda")+(Inputs!$G$5:$G$120="acoes"))*Inputs!$B$1+((Inputs!$G$5:$G$120&lt;&gt;"moeda")*(Inputs!$G$5:$G$120&lt;&gt;"acoes")))*INDEX(Inputs!$K$5:$AJ$120,0,MATCH(J$2,Inputs!$K$4:$AJ$4,0)))))</f>
        <v>0</v>
      </c>
      <c r="K18" s="6">
        <f>IF(ISNA(MATCH(K$2,Inputs!$K$4:$AJ$4,0)),NA(),IF(SUMPRODUCT((Inputs!$A$5:$A$120=$B18)*ISNUMBER(INDEX(Inputs!$K$5:$AJ$120,0,MATCH(K$2,Inputs!$K$4:$AJ$4,0))))+SUMPRODUCT((Inputs!$C$5:$C$120=$B18)*ISNUMBER(INDEX(Inputs!$K$5:$AJ$120,0,MATCH(K$2,Inputs!$K$4:$AJ$4,0))))+SUMPRODUCT((Inputs!$E$5:$E$120=$B18)*ISNUMBER(INDEX(Inputs!$K$5:$AJ$120,0,MATCH(K$2,Inputs!$K$4:$AJ$4,0))))=0,NA(),SUMPRODUCT((Inputs!$A$5:$A$120=$B18)*Inputs!$B$5:$B$120*(((Inputs!$G$5:$G$120="moeda")+(Inputs!$G$5:$G$120="acoes"))*Inputs!$B$1+((Inputs!$G$5:$G$120&lt;&gt;"moeda")*(Inputs!$G$5:$G$120&lt;&gt;"acoes")))*INDEX(Inputs!$K$5:$AJ$120,0,MATCH(K$2,Inputs!$K$4:$AJ$4,0)))+SUMPRODUCT((Inputs!$C$5:$C$120=$B18)*Inputs!$D$5:$D$120*(((Inputs!$G$5:$G$120="moeda")+(Inputs!$G$5:$G$120="acoes"))*Inputs!$B$1+((Inputs!$G$5:$G$120&lt;&gt;"moeda")*(Inputs!$G$5:$G$120&lt;&gt;"acoes")))*INDEX(Inputs!$K$5:$AJ$120,0,MATCH(K$2,Inputs!$K$4:$AJ$4,0)))+SUMPRODUCT((Inputs!$E$5:$E$120=$B18)*Inputs!$F$5:$F$120*(((Inputs!$G$5:$G$120="moeda")+(Inputs!$G$5:$G$120="acoes"))*Inputs!$B$1+((Inputs!$G$5:$G$120&lt;&gt;"moeda")*(Inputs!$G$5:$G$120&lt;&gt;"acoes")))*INDEX(Inputs!$K$5:$AJ$120,0,MATCH(K$2,Inputs!$K$4:$AJ$4,0)))))</f>
        <v>0</v>
      </c>
      <c r="L18" s="6">
        <f>IF(ISNA(MATCH(L$2,Inputs!$K$4:$AJ$4,0)),NA(),IF(SUMPRODUCT((Inputs!$A$5:$A$120=$B18)*ISNUMBER(INDEX(Inputs!$K$5:$AJ$120,0,MATCH(L$2,Inputs!$K$4:$AJ$4,0))))+SUMPRODUCT((Inputs!$C$5:$C$120=$B18)*ISNUMBER(INDEX(Inputs!$K$5:$AJ$120,0,MATCH(L$2,Inputs!$K$4:$AJ$4,0))))+SUMPRODUCT((Inputs!$E$5:$E$120=$B18)*ISNUMBER(INDEX(Inputs!$K$5:$AJ$120,0,MATCH(L$2,Inputs!$K$4:$AJ$4,0))))=0,NA(),SUMPRODUCT((Inputs!$A$5:$A$120=$B18)*Inputs!$B$5:$B$120*(((Inputs!$G$5:$G$120="moeda")+(Inputs!$G$5:$G$120="acoes"))*Inputs!$B$1+((Inputs!$G$5:$G$120&lt;&gt;"moeda")*(Inputs!$G$5:$G$120&lt;&gt;"acoes")))*INDEX(Inputs!$K$5:$AJ$120,0,MATCH(L$2,Inputs!$K$4:$AJ$4,0)))+SUMPRODUCT((Inputs!$C$5:$C$120=$B18)*Inputs!$D$5:$D$120*(((Inputs!$G$5:$G$120="moeda")+(Inputs!$G$5:$G$120="acoes"))*Inputs!$B$1+((Inputs!$G$5:$G$120&lt;&gt;"moeda")*(Inputs!$G$5:$G$120&lt;&gt;"acoes")))*INDEX(Inputs!$K$5:$AJ$120,0,MATCH(L$2,Inputs!$K$4:$AJ$4,0)))+SUMPRODUCT((Inputs!$E$5:$E$120=$B18)*Inputs!$F$5:$F$120*(((Inputs!$G$5:$G$120="moeda")+(Inputs!$G$5:$G$120="acoes"))*Inputs!$B$1+((Inputs!$G$5:$G$120&lt;&gt;"moeda")*(Inputs!$G$5:$G$120&lt;&gt;"acoes")))*INDEX(Inputs!$K$5:$AJ$120,0,MATCH(L$2,Inputs!$K$4:$AJ$4,0)))))</f>
        <v>0</v>
      </c>
      <c r="M18" s="3">
        <f>L18</f>
        <v>0</v>
      </c>
      <c r="N18" s="6">
        <f>IF(ISNA(MATCH(N$2,Inputs!$K$4:$AJ$4,0)),NA(),IF(SUMPRODUCT((Inputs!$A$5:$A$120=$B18)*ISNUMBER(INDEX(Inputs!$K$5:$AJ$120,0,MATCH(N$2,Inputs!$K$4:$AJ$4,0))))+SUMPRODUCT((Inputs!$C$5:$C$120=$B18)*ISNUMBER(INDEX(Inputs!$K$5:$AJ$120,0,MATCH(N$2,Inputs!$K$4:$AJ$4,0))))+SUMPRODUCT((Inputs!$E$5:$E$120=$B18)*ISNUMBER(INDEX(Inputs!$K$5:$AJ$120,0,MATCH(N$2,Inputs!$K$4:$AJ$4,0))))=0,NA(),SUMPRODUCT((Inputs!$A$5:$A$120=$B18)*Inputs!$B$5:$B$120*(((Inputs!$G$5:$G$120="moeda")+(Inputs!$G$5:$G$120="acoes"))*Inputs!$B$1+((Inputs!$G$5:$G$120&lt;&gt;"moeda")*(Inputs!$G$5:$G$120&lt;&gt;"acoes")))*INDEX(Inputs!$K$5:$AJ$120,0,MATCH(N$2,Inputs!$K$4:$AJ$4,0)))+SUMPRODUCT((Inputs!$C$5:$C$120=$B18)*Inputs!$D$5:$D$120*(((Inputs!$G$5:$G$120="moeda")+(Inputs!$G$5:$G$120="acoes"))*Inputs!$B$1+((Inputs!$G$5:$G$120&lt;&gt;"moeda")*(Inputs!$G$5:$G$120&lt;&gt;"acoes")))*INDEX(Inputs!$K$5:$AJ$120,0,MATCH(N$2,Inputs!$K$4:$AJ$4,0)))+SUMPRODUCT((Inputs!$E$5:$E$120=$B18)*Inputs!$F$5:$F$120*(((Inputs!$G$5:$G$120="moeda")+(Inputs!$G$5:$G$120="acoes"))*Inputs!$B$1+((Inputs!$G$5:$G$120&lt;&gt;"moeda")*(Inputs!$G$5:$G$120&lt;&gt;"acoes")))*INDEX(Inputs!$K$5:$AJ$120,0,MATCH(N$2,Inputs!$K$4:$AJ$4,0)))))</f>
        <v>0</v>
      </c>
      <c r="O18" s="6">
        <f>IF(ISNA(MATCH(O$2,Inputs!$K$4:$AJ$4,0)),NA(),IF(SUMPRODUCT((Inputs!$A$5:$A$120=$B18)*ISNUMBER(INDEX(Inputs!$K$5:$AJ$120,0,MATCH(O$2,Inputs!$K$4:$AJ$4,0))))+SUMPRODUCT((Inputs!$C$5:$C$120=$B18)*ISNUMBER(INDEX(Inputs!$K$5:$AJ$120,0,MATCH(O$2,Inputs!$K$4:$AJ$4,0))))+SUMPRODUCT((Inputs!$E$5:$E$120=$B18)*ISNUMBER(INDEX(Inputs!$K$5:$AJ$120,0,MATCH(O$2,Inputs!$K$4:$AJ$4,0))))=0,NA(),SUMPRODUCT((Inputs!$A$5:$A$120=$B18)*Inputs!$B$5:$B$120*(((Inputs!$G$5:$G$120="moeda")+(Inputs!$G$5:$G$120="acoes"))*Inputs!$B$1+((Inputs!$G$5:$G$120&lt;&gt;"moeda")*(Inputs!$G$5:$G$120&lt;&gt;"acoes")))*INDEX(Inputs!$K$5:$AJ$120,0,MATCH(O$2,Inputs!$K$4:$AJ$4,0)))+SUMPRODUCT((Inputs!$C$5:$C$120=$B18)*Inputs!$D$5:$D$120*(((Inputs!$G$5:$G$120="moeda")+(Inputs!$G$5:$G$120="acoes"))*Inputs!$B$1+((Inputs!$G$5:$G$120&lt;&gt;"moeda")*(Inputs!$G$5:$G$120&lt;&gt;"acoes")))*INDEX(Inputs!$K$5:$AJ$120,0,MATCH(O$2,Inputs!$K$4:$AJ$4,0)))+SUMPRODUCT((Inputs!$E$5:$E$120=$B18)*Inputs!$F$5:$F$120*(((Inputs!$G$5:$G$120="moeda")+(Inputs!$G$5:$G$120="acoes"))*Inputs!$B$1+((Inputs!$G$5:$G$120&lt;&gt;"moeda")*(Inputs!$G$5:$G$120&lt;&gt;"acoes")))*INDEX(Inputs!$K$5:$AJ$120,0,MATCH(O$2,Inputs!$K$4:$AJ$4,0)))))</f>
        <v>0</v>
      </c>
      <c r="P18" s="6">
        <f>IF(ISNA(MATCH(P$2,Inputs!$K$4:$AJ$4,0)),NA(),IF(SUMPRODUCT((Inputs!$A$5:$A$120=$B18)*ISNUMBER(INDEX(Inputs!$K$5:$AJ$120,0,MATCH(P$2,Inputs!$K$4:$AJ$4,0))))+SUMPRODUCT((Inputs!$C$5:$C$120=$B18)*ISNUMBER(INDEX(Inputs!$K$5:$AJ$120,0,MATCH(P$2,Inputs!$K$4:$AJ$4,0))))+SUMPRODUCT((Inputs!$E$5:$E$120=$B18)*ISNUMBER(INDEX(Inputs!$K$5:$AJ$120,0,MATCH(P$2,Inputs!$K$4:$AJ$4,0))))=0,NA(),SUMPRODUCT((Inputs!$A$5:$A$120=$B18)*Inputs!$B$5:$B$120*(((Inputs!$G$5:$G$120="moeda")+(Inputs!$G$5:$G$120="acoes"))*Inputs!$B$1+((Inputs!$G$5:$G$120&lt;&gt;"moeda")*(Inputs!$G$5:$G$120&lt;&gt;"acoes")))*INDEX(Inputs!$K$5:$AJ$120,0,MATCH(P$2,Inputs!$K$4:$AJ$4,0)))+SUMPRODUCT((Inputs!$C$5:$C$120=$B18)*Inputs!$D$5:$D$120*(((Inputs!$G$5:$G$120="moeda")+(Inputs!$G$5:$G$120="acoes"))*Inputs!$B$1+((Inputs!$G$5:$G$120&lt;&gt;"moeda")*(Inputs!$G$5:$G$120&lt;&gt;"acoes")))*INDEX(Inputs!$K$5:$AJ$120,0,MATCH(P$2,Inputs!$K$4:$AJ$4,0)))+SUMPRODUCT((Inputs!$E$5:$E$120=$B18)*Inputs!$F$5:$F$120*(((Inputs!$G$5:$G$120="moeda")+(Inputs!$G$5:$G$120="acoes"))*Inputs!$B$1+((Inputs!$G$5:$G$120&lt;&gt;"moeda")*(Inputs!$G$5:$G$120&lt;&gt;"acoes")))*INDEX(Inputs!$K$5:$AJ$120,0,MATCH(P$2,Inputs!$K$4:$AJ$4,0)))))</f>
        <v>0</v>
      </c>
      <c r="Q18" s="6">
        <f>IF(ISNA(MATCH(Q$2,Inputs!$K$4:$AJ$4,0)),NA(),IF(SUMPRODUCT((Inputs!$A$5:$A$120=$B18)*ISNUMBER(INDEX(Inputs!$K$5:$AJ$120,0,MATCH(Q$2,Inputs!$K$4:$AJ$4,0))))+SUMPRODUCT((Inputs!$C$5:$C$120=$B18)*ISNUMBER(INDEX(Inputs!$K$5:$AJ$120,0,MATCH(Q$2,Inputs!$K$4:$AJ$4,0))))+SUMPRODUCT((Inputs!$E$5:$E$120=$B18)*ISNUMBER(INDEX(Inputs!$K$5:$AJ$120,0,MATCH(Q$2,Inputs!$K$4:$AJ$4,0))))=0,NA(),SUMPRODUCT((Inputs!$A$5:$A$120=$B18)*Inputs!$B$5:$B$120*(((Inputs!$G$5:$G$120="moeda")+(Inputs!$G$5:$G$120="acoes"))*Inputs!$B$1+((Inputs!$G$5:$G$120&lt;&gt;"moeda")*(Inputs!$G$5:$G$120&lt;&gt;"acoes")))*INDEX(Inputs!$K$5:$AJ$120,0,MATCH(Q$2,Inputs!$K$4:$AJ$4,0)))+SUMPRODUCT((Inputs!$C$5:$C$120=$B18)*Inputs!$D$5:$D$120*(((Inputs!$G$5:$G$120="moeda")+(Inputs!$G$5:$G$120="acoes"))*Inputs!$B$1+((Inputs!$G$5:$G$120&lt;&gt;"moeda")*(Inputs!$G$5:$G$120&lt;&gt;"acoes")))*INDEX(Inputs!$K$5:$AJ$120,0,MATCH(Q$2,Inputs!$K$4:$AJ$4,0)))+SUMPRODUCT((Inputs!$E$5:$E$120=$B18)*Inputs!$F$5:$F$120*(((Inputs!$G$5:$G$120="moeda")+(Inputs!$G$5:$G$120="acoes"))*Inputs!$B$1+((Inputs!$G$5:$G$120&lt;&gt;"moeda")*(Inputs!$G$5:$G$120&lt;&gt;"acoes")))*INDEX(Inputs!$K$5:$AJ$120,0,MATCH(Q$2,Inputs!$K$4:$AJ$4,0)))))</f>
        <v>6733</v>
      </c>
      <c r="R18" s="3">
        <f>Q18</f>
        <v>6733</v>
      </c>
      <c r="S18" s="6">
        <f>IF(ISNA(MATCH(S$2,Inputs!$K$4:$AJ$4,0)),NA(),IF(SUMPRODUCT((Inputs!$A$5:$A$120=$B18)*ISNUMBER(INDEX(Inputs!$K$5:$AJ$120,0,MATCH(S$2,Inputs!$K$4:$AJ$4,0))))+SUMPRODUCT((Inputs!$C$5:$C$120=$B18)*ISNUMBER(INDEX(Inputs!$K$5:$AJ$120,0,MATCH(S$2,Inputs!$K$4:$AJ$4,0))))+SUMPRODUCT((Inputs!$E$5:$E$120=$B18)*ISNUMBER(INDEX(Inputs!$K$5:$AJ$120,0,MATCH(S$2,Inputs!$K$4:$AJ$4,0))))=0,NA(),SUMPRODUCT((Inputs!$A$5:$A$120=$B18)*Inputs!$B$5:$B$120*(((Inputs!$G$5:$G$120="moeda")+(Inputs!$G$5:$G$120="acoes"))*Inputs!$B$1+((Inputs!$G$5:$G$120&lt;&gt;"moeda")*(Inputs!$G$5:$G$120&lt;&gt;"acoes")))*INDEX(Inputs!$K$5:$AJ$120,0,MATCH(S$2,Inputs!$K$4:$AJ$4,0)))+SUMPRODUCT((Inputs!$C$5:$C$120=$B18)*Inputs!$D$5:$D$120*(((Inputs!$G$5:$G$120="moeda")+(Inputs!$G$5:$G$120="acoes"))*Inputs!$B$1+((Inputs!$G$5:$G$120&lt;&gt;"moeda")*(Inputs!$G$5:$G$120&lt;&gt;"acoes")))*INDEX(Inputs!$K$5:$AJ$120,0,MATCH(S$2,Inputs!$K$4:$AJ$4,0)))+SUMPRODUCT((Inputs!$E$5:$E$120=$B18)*Inputs!$F$5:$F$120*(((Inputs!$G$5:$G$120="moeda")+(Inputs!$G$5:$G$120="acoes"))*Inputs!$B$1+((Inputs!$G$5:$G$120&lt;&gt;"moeda")*(Inputs!$G$5:$G$120&lt;&gt;"acoes")))*INDEX(Inputs!$K$5:$AJ$120,0,MATCH(S$2,Inputs!$K$4:$AJ$4,0)))))</f>
        <v>6769</v>
      </c>
      <c r="T18" s="6">
        <f>IF(ISNA(MATCH(T$2,Inputs!$K$4:$AJ$4,0)),NA(),IF(SUMPRODUCT((Inputs!$A$5:$A$120=$B18)*ISNUMBER(INDEX(Inputs!$K$5:$AJ$120,0,MATCH(T$2,Inputs!$K$4:$AJ$4,0))))+SUMPRODUCT((Inputs!$C$5:$C$120=$B18)*ISNUMBER(INDEX(Inputs!$K$5:$AJ$120,0,MATCH(T$2,Inputs!$K$4:$AJ$4,0))))+SUMPRODUCT((Inputs!$E$5:$E$120=$B18)*ISNUMBER(INDEX(Inputs!$K$5:$AJ$120,0,MATCH(T$2,Inputs!$K$4:$AJ$4,0))))=0,NA(),SUMPRODUCT((Inputs!$A$5:$A$120=$B18)*Inputs!$B$5:$B$120*(((Inputs!$G$5:$G$120="moeda")+(Inputs!$G$5:$G$120="acoes"))*Inputs!$B$1+((Inputs!$G$5:$G$120&lt;&gt;"moeda")*(Inputs!$G$5:$G$120&lt;&gt;"acoes")))*INDEX(Inputs!$K$5:$AJ$120,0,MATCH(T$2,Inputs!$K$4:$AJ$4,0)))+SUMPRODUCT((Inputs!$C$5:$C$120=$B18)*Inputs!$D$5:$D$120*(((Inputs!$G$5:$G$120="moeda")+(Inputs!$G$5:$G$120="acoes"))*Inputs!$B$1+((Inputs!$G$5:$G$120&lt;&gt;"moeda")*(Inputs!$G$5:$G$120&lt;&gt;"acoes")))*INDEX(Inputs!$K$5:$AJ$120,0,MATCH(T$2,Inputs!$K$4:$AJ$4,0)))+SUMPRODUCT((Inputs!$E$5:$E$120=$B18)*Inputs!$F$5:$F$120*(((Inputs!$G$5:$G$120="moeda")+(Inputs!$G$5:$G$120="acoes"))*Inputs!$B$1+((Inputs!$G$5:$G$120&lt;&gt;"moeda")*(Inputs!$G$5:$G$120&lt;&gt;"acoes")))*INDEX(Inputs!$K$5:$AJ$120,0,MATCH(T$2,Inputs!$K$4:$AJ$4,0)))))</f>
        <v>6692</v>
      </c>
      <c r="U18" s="6">
        <f>IF(ISNA(MATCH(U$2,Inputs!$K$4:$AJ$4,0)),NA(),IF(SUMPRODUCT((Inputs!$A$5:$A$120=$B18)*ISNUMBER(INDEX(Inputs!$K$5:$AJ$120,0,MATCH(U$2,Inputs!$K$4:$AJ$4,0))))+SUMPRODUCT((Inputs!$C$5:$C$120=$B18)*ISNUMBER(INDEX(Inputs!$K$5:$AJ$120,0,MATCH(U$2,Inputs!$K$4:$AJ$4,0))))+SUMPRODUCT((Inputs!$E$5:$E$120=$B18)*ISNUMBER(INDEX(Inputs!$K$5:$AJ$120,0,MATCH(U$2,Inputs!$K$4:$AJ$4,0))))=0,NA(),SUMPRODUCT((Inputs!$A$5:$A$120=$B18)*Inputs!$B$5:$B$120*(((Inputs!$G$5:$G$120="moeda")+(Inputs!$G$5:$G$120="acoes"))*Inputs!$B$1+((Inputs!$G$5:$G$120&lt;&gt;"moeda")*(Inputs!$G$5:$G$120&lt;&gt;"acoes")))*INDEX(Inputs!$K$5:$AJ$120,0,MATCH(U$2,Inputs!$K$4:$AJ$4,0)))+SUMPRODUCT((Inputs!$C$5:$C$120=$B18)*Inputs!$D$5:$D$120*(((Inputs!$G$5:$G$120="moeda")+(Inputs!$G$5:$G$120="acoes"))*Inputs!$B$1+((Inputs!$G$5:$G$120&lt;&gt;"moeda")*(Inputs!$G$5:$G$120&lt;&gt;"acoes")))*INDEX(Inputs!$K$5:$AJ$120,0,MATCH(U$2,Inputs!$K$4:$AJ$4,0)))+SUMPRODUCT((Inputs!$E$5:$E$120=$B18)*Inputs!$F$5:$F$120*(((Inputs!$G$5:$G$120="moeda")+(Inputs!$G$5:$G$120="acoes"))*Inputs!$B$1+((Inputs!$G$5:$G$120&lt;&gt;"moeda")*(Inputs!$G$5:$G$120&lt;&gt;"acoes")))*INDEX(Inputs!$K$5:$AJ$120,0,MATCH(U$2,Inputs!$K$4:$AJ$4,0)))))</f>
        <v>6486</v>
      </c>
      <c r="V18" s="6">
        <f>IF(ISNA(MATCH(V$2,Inputs!$K$4:$AJ$4,0)),NA(),IF(SUMPRODUCT((Inputs!$A$5:$A$120=$B18)*ISNUMBER(INDEX(Inputs!$K$5:$AJ$120,0,MATCH(V$2,Inputs!$K$4:$AJ$4,0))))+SUMPRODUCT((Inputs!$C$5:$C$120=$B18)*ISNUMBER(INDEX(Inputs!$K$5:$AJ$120,0,MATCH(V$2,Inputs!$K$4:$AJ$4,0))))+SUMPRODUCT((Inputs!$E$5:$E$120=$B18)*ISNUMBER(INDEX(Inputs!$K$5:$AJ$120,0,MATCH(V$2,Inputs!$K$4:$AJ$4,0))))=0,NA(),SUMPRODUCT((Inputs!$A$5:$A$120=$B18)*Inputs!$B$5:$B$120*(((Inputs!$G$5:$G$120="moeda")+(Inputs!$G$5:$G$120="acoes"))*Inputs!$B$1+((Inputs!$G$5:$G$120&lt;&gt;"moeda")*(Inputs!$G$5:$G$120&lt;&gt;"acoes")))*INDEX(Inputs!$K$5:$AJ$120,0,MATCH(V$2,Inputs!$K$4:$AJ$4,0)))+SUMPRODUCT((Inputs!$C$5:$C$120=$B18)*Inputs!$D$5:$D$120*(((Inputs!$G$5:$G$120="moeda")+(Inputs!$G$5:$G$120="acoes"))*Inputs!$B$1+((Inputs!$G$5:$G$120&lt;&gt;"moeda")*(Inputs!$G$5:$G$120&lt;&gt;"acoes")))*INDEX(Inputs!$K$5:$AJ$120,0,MATCH(V$2,Inputs!$K$4:$AJ$4,0)))+SUMPRODUCT((Inputs!$E$5:$E$120=$B18)*Inputs!$F$5:$F$120*(((Inputs!$G$5:$G$120="moeda")+(Inputs!$G$5:$G$120="acoes"))*Inputs!$B$1+((Inputs!$G$5:$G$120&lt;&gt;"moeda")*(Inputs!$G$5:$G$120&lt;&gt;"acoes")))*INDEX(Inputs!$K$5:$AJ$120,0,MATCH(V$2,Inputs!$K$4:$AJ$4,0)))))</f>
        <v>6524</v>
      </c>
      <c r="W18" s="3">
        <f>V18</f>
        <v>6524</v>
      </c>
      <c r="X18" s="6">
        <f>IF(ISNA(MATCH(X$2,Inputs!$K$4:$AJ$4,0)),NA(),IF(SUMPRODUCT((Inputs!$A$5:$A$120=$B18)*ISNUMBER(INDEX(Inputs!$K$5:$AJ$120,0,MATCH(X$2,Inputs!$K$4:$AJ$4,0))))+SUMPRODUCT((Inputs!$C$5:$C$120=$B18)*ISNUMBER(INDEX(Inputs!$K$5:$AJ$120,0,MATCH(X$2,Inputs!$K$4:$AJ$4,0))))+SUMPRODUCT((Inputs!$E$5:$E$120=$B18)*ISNUMBER(INDEX(Inputs!$K$5:$AJ$120,0,MATCH(X$2,Inputs!$K$4:$AJ$4,0))))=0,NA(),SUMPRODUCT((Inputs!$A$5:$A$120=$B18)*Inputs!$B$5:$B$120*(((Inputs!$G$5:$G$120="moeda")+(Inputs!$G$5:$G$120="acoes"))*Inputs!$B$1+((Inputs!$G$5:$G$120&lt;&gt;"moeda")*(Inputs!$G$5:$G$120&lt;&gt;"acoes")))*INDEX(Inputs!$K$5:$AJ$120,0,MATCH(X$2,Inputs!$K$4:$AJ$4,0)))+SUMPRODUCT((Inputs!$C$5:$C$120=$B18)*Inputs!$D$5:$D$120*(((Inputs!$G$5:$G$120="moeda")+(Inputs!$G$5:$G$120="acoes"))*Inputs!$B$1+((Inputs!$G$5:$G$120&lt;&gt;"moeda")*(Inputs!$G$5:$G$120&lt;&gt;"acoes")))*INDEX(Inputs!$K$5:$AJ$120,0,MATCH(X$2,Inputs!$K$4:$AJ$4,0)))+SUMPRODUCT((Inputs!$E$5:$E$120=$B18)*Inputs!$F$5:$F$120*(((Inputs!$G$5:$G$120="moeda")+(Inputs!$G$5:$G$120="acoes"))*Inputs!$B$1+((Inputs!$G$5:$G$120&lt;&gt;"moeda")*(Inputs!$G$5:$G$120&lt;&gt;"acoes")))*INDEX(Inputs!$K$5:$AJ$120,0,MATCH(X$2,Inputs!$K$4:$AJ$4,0)))))</f>
        <v>6687</v>
      </c>
      <c r="Y18" s="6">
        <f>IF(ISNA(MATCH(Y$2,Inputs!$K$4:$AJ$4,0)),NA(),IF(SUMPRODUCT((Inputs!$A$5:$A$120=$B18)*ISNUMBER(INDEX(Inputs!$K$5:$AJ$120,0,MATCH(Y$2,Inputs!$K$4:$AJ$4,0))))+SUMPRODUCT((Inputs!$C$5:$C$120=$B18)*ISNUMBER(INDEX(Inputs!$K$5:$AJ$120,0,MATCH(Y$2,Inputs!$K$4:$AJ$4,0))))+SUMPRODUCT((Inputs!$E$5:$E$120=$B18)*ISNUMBER(INDEX(Inputs!$K$5:$AJ$120,0,MATCH(Y$2,Inputs!$K$4:$AJ$4,0))))=0,NA(),SUMPRODUCT((Inputs!$A$5:$A$120=$B18)*Inputs!$B$5:$B$120*(((Inputs!$G$5:$G$120="moeda")+(Inputs!$G$5:$G$120="acoes"))*Inputs!$B$1+((Inputs!$G$5:$G$120&lt;&gt;"moeda")*(Inputs!$G$5:$G$120&lt;&gt;"acoes")))*INDEX(Inputs!$K$5:$AJ$120,0,MATCH(Y$2,Inputs!$K$4:$AJ$4,0)))+SUMPRODUCT((Inputs!$C$5:$C$120=$B18)*Inputs!$D$5:$D$120*(((Inputs!$G$5:$G$120="moeda")+(Inputs!$G$5:$G$120="acoes"))*Inputs!$B$1+((Inputs!$G$5:$G$120&lt;&gt;"moeda")*(Inputs!$G$5:$G$120&lt;&gt;"acoes")))*INDEX(Inputs!$K$5:$AJ$120,0,MATCH(Y$2,Inputs!$K$4:$AJ$4,0)))+SUMPRODUCT((Inputs!$E$5:$E$120=$B18)*Inputs!$F$5:$F$120*(((Inputs!$G$5:$G$120="moeda")+(Inputs!$G$5:$G$120="acoes"))*Inputs!$B$1+((Inputs!$G$5:$G$120&lt;&gt;"moeda")*(Inputs!$G$5:$G$120&lt;&gt;"acoes")))*INDEX(Inputs!$K$5:$AJ$120,0,MATCH(Y$2,Inputs!$K$4:$AJ$4,0)))))</f>
        <v>6721</v>
      </c>
      <c r="Z18" s="6">
        <f>IF(ISNA(MATCH(Z$2,Inputs!$K$4:$AJ$4,0)),NA(),IF(SUMPRODUCT((Inputs!$A$5:$A$120=$B18)*ISNUMBER(INDEX(Inputs!$K$5:$AJ$120,0,MATCH(Z$2,Inputs!$K$4:$AJ$4,0))))+SUMPRODUCT((Inputs!$C$5:$C$120=$B18)*ISNUMBER(INDEX(Inputs!$K$5:$AJ$120,0,MATCH(Z$2,Inputs!$K$4:$AJ$4,0))))+SUMPRODUCT((Inputs!$E$5:$E$120=$B18)*ISNUMBER(INDEX(Inputs!$K$5:$AJ$120,0,MATCH(Z$2,Inputs!$K$4:$AJ$4,0))))=0,NA(),SUMPRODUCT((Inputs!$A$5:$A$120=$B18)*Inputs!$B$5:$B$120*(((Inputs!$G$5:$G$120="moeda")+(Inputs!$G$5:$G$120="acoes"))*Inputs!$B$1+((Inputs!$G$5:$G$120&lt;&gt;"moeda")*(Inputs!$G$5:$G$120&lt;&gt;"acoes")))*INDEX(Inputs!$K$5:$AJ$120,0,MATCH(Z$2,Inputs!$K$4:$AJ$4,0)))+SUMPRODUCT((Inputs!$C$5:$C$120=$B18)*Inputs!$D$5:$D$120*(((Inputs!$G$5:$G$120="moeda")+(Inputs!$G$5:$G$120="acoes"))*Inputs!$B$1+((Inputs!$G$5:$G$120&lt;&gt;"moeda")*(Inputs!$G$5:$G$120&lt;&gt;"acoes")))*INDEX(Inputs!$K$5:$AJ$120,0,MATCH(Z$2,Inputs!$K$4:$AJ$4,0)))+SUMPRODUCT((Inputs!$E$5:$E$120=$B18)*Inputs!$F$5:$F$120*(((Inputs!$G$5:$G$120="moeda")+(Inputs!$G$5:$G$120="acoes"))*Inputs!$B$1+((Inputs!$G$5:$G$120&lt;&gt;"moeda")*(Inputs!$G$5:$G$120&lt;&gt;"acoes")))*INDEX(Inputs!$K$5:$AJ$120,0,MATCH(Z$2,Inputs!$K$4:$AJ$4,0)))))</f>
        <v>6637</v>
      </c>
      <c r="AA18" s="6">
        <f>IF(ISNA(MATCH(AA$2,Inputs!$K$4:$AJ$4,0)),NA(),IF(SUMPRODUCT((Inputs!$A$5:$A$120=$B18)*ISNUMBER(INDEX(Inputs!$K$5:$AJ$120,0,MATCH(AA$2,Inputs!$K$4:$AJ$4,0))))+SUMPRODUCT((Inputs!$C$5:$C$120=$B18)*ISNUMBER(INDEX(Inputs!$K$5:$AJ$120,0,MATCH(AA$2,Inputs!$K$4:$AJ$4,0))))+SUMPRODUCT((Inputs!$E$5:$E$120=$B18)*ISNUMBER(INDEX(Inputs!$K$5:$AJ$120,0,MATCH(AA$2,Inputs!$K$4:$AJ$4,0))))=0,NA(),SUMPRODUCT((Inputs!$A$5:$A$120=$B18)*Inputs!$B$5:$B$120*(((Inputs!$G$5:$G$120="moeda")+(Inputs!$G$5:$G$120="acoes"))*Inputs!$B$1+((Inputs!$G$5:$G$120&lt;&gt;"moeda")*(Inputs!$G$5:$G$120&lt;&gt;"acoes")))*INDEX(Inputs!$K$5:$AJ$120,0,MATCH(AA$2,Inputs!$K$4:$AJ$4,0)))+SUMPRODUCT((Inputs!$C$5:$C$120=$B18)*Inputs!$D$5:$D$120*(((Inputs!$G$5:$G$120="moeda")+(Inputs!$G$5:$G$120="acoes"))*Inputs!$B$1+((Inputs!$G$5:$G$120&lt;&gt;"moeda")*(Inputs!$G$5:$G$120&lt;&gt;"acoes")))*INDEX(Inputs!$K$5:$AJ$120,0,MATCH(AA$2,Inputs!$K$4:$AJ$4,0)))+SUMPRODUCT((Inputs!$E$5:$E$120=$B18)*Inputs!$F$5:$F$120*(((Inputs!$G$5:$G$120="moeda")+(Inputs!$G$5:$G$120="acoes"))*Inputs!$B$1+((Inputs!$G$5:$G$120&lt;&gt;"moeda")*(Inputs!$G$5:$G$120&lt;&gt;"acoes")))*INDEX(Inputs!$K$5:$AJ$120,0,MATCH(AA$2,Inputs!$K$4:$AJ$4,0)))))</f>
        <v>6925</v>
      </c>
      <c r="AB18" s="3">
        <f>AA18</f>
        <v>6925</v>
      </c>
      <c r="AC18" s="6">
        <f>IF(ISNA(MATCH(AC$2,Inputs!$K$4:$AJ$4,0)),NA(),IF(SUMPRODUCT((Inputs!$A$5:$A$120=$B18)*ISNUMBER(INDEX(Inputs!$K$5:$AJ$120,0,MATCH(AC$2,Inputs!$K$4:$AJ$4,0))))+SUMPRODUCT((Inputs!$C$5:$C$120=$B18)*ISNUMBER(INDEX(Inputs!$K$5:$AJ$120,0,MATCH(AC$2,Inputs!$K$4:$AJ$4,0))))+SUMPRODUCT((Inputs!$E$5:$E$120=$B18)*ISNUMBER(INDEX(Inputs!$K$5:$AJ$120,0,MATCH(AC$2,Inputs!$K$4:$AJ$4,0))))=0,NA(),SUMPRODUCT((Inputs!$A$5:$A$120=$B18)*Inputs!$B$5:$B$120*(((Inputs!$G$5:$G$120="moeda")+(Inputs!$G$5:$G$120="acoes"))*Inputs!$B$1+((Inputs!$G$5:$G$120&lt;&gt;"moeda")*(Inputs!$G$5:$G$120&lt;&gt;"acoes")))*INDEX(Inputs!$K$5:$AJ$120,0,MATCH(AC$2,Inputs!$K$4:$AJ$4,0)))+SUMPRODUCT((Inputs!$C$5:$C$120=$B18)*Inputs!$D$5:$D$120*(((Inputs!$G$5:$G$120="moeda")+(Inputs!$G$5:$G$120="acoes"))*Inputs!$B$1+((Inputs!$G$5:$G$120&lt;&gt;"moeda")*(Inputs!$G$5:$G$120&lt;&gt;"acoes")))*INDEX(Inputs!$K$5:$AJ$120,0,MATCH(AC$2,Inputs!$K$4:$AJ$4,0)))+SUMPRODUCT((Inputs!$E$5:$E$120=$B18)*Inputs!$F$5:$F$120*(((Inputs!$G$5:$G$120="moeda")+(Inputs!$G$5:$G$120="acoes"))*Inputs!$B$1+((Inputs!$G$5:$G$120&lt;&gt;"moeda")*(Inputs!$G$5:$G$120&lt;&gt;"acoes")))*INDEX(Inputs!$K$5:$AJ$120,0,MATCH(AC$2,Inputs!$K$4:$AJ$4,0)))))</f>
        <v>7060</v>
      </c>
      <c r="AD18" s="6">
        <f>IF(ISNA(MATCH(AD$2,Inputs!$K$4:$AJ$4,0)),NA(),IF(SUMPRODUCT((Inputs!$A$5:$A$120=$B18)*ISNUMBER(INDEX(Inputs!$K$5:$AJ$120,0,MATCH(AD$2,Inputs!$K$4:$AJ$4,0))))+SUMPRODUCT((Inputs!$C$5:$C$120=$B18)*ISNUMBER(INDEX(Inputs!$K$5:$AJ$120,0,MATCH(AD$2,Inputs!$K$4:$AJ$4,0))))+SUMPRODUCT((Inputs!$E$5:$E$120=$B18)*ISNUMBER(INDEX(Inputs!$K$5:$AJ$120,0,MATCH(AD$2,Inputs!$K$4:$AJ$4,0))))=0,NA(),SUMPRODUCT((Inputs!$A$5:$A$120=$B18)*Inputs!$B$5:$B$120*(((Inputs!$G$5:$G$120="moeda")+(Inputs!$G$5:$G$120="acoes"))*Inputs!$B$1+((Inputs!$G$5:$G$120&lt;&gt;"moeda")*(Inputs!$G$5:$G$120&lt;&gt;"acoes")))*INDEX(Inputs!$K$5:$AJ$120,0,MATCH(AD$2,Inputs!$K$4:$AJ$4,0)))+SUMPRODUCT((Inputs!$C$5:$C$120=$B18)*Inputs!$D$5:$D$120*(((Inputs!$G$5:$G$120="moeda")+(Inputs!$G$5:$G$120="acoes"))*Inputs!$B$1+((Inputs!$G$5:$G$120&lt;&gt;"moeda")*(Inputs!$G$5:$G$120&lt;&gt;"acoes")))*INDEX(Inputs!$K$5:$AJ$120,0,MATCH(AD$2,Inputs!$K$4:$AJ$4,0)))+SUMPRODUCT((Inputs!$E$5:$E$120=$B18)*Inputs!$F$5:$F$120*(((Inputs!$G$5:$G$120="moeda")+(Inputs!$G$5:$G$120="acoes"))*Inputs!$B$1+((Inputs!$G$5:$G$120&lt;&gt;"moeda")*(Inputs!$G$5:$G$120&lt;&gt;"acoes")))*INDEX(Inputs!$K$5:$AJ$120,0,MATCH(AD$2,Inputs!$K$4:$AJ$4,0)))))</f>
        <v>7235</v>
      </c>
      <c r="AE18" s="6" t="e">
        <f>IF(ISNA(MATCH(AE$2,Inputs!$K$4:$AJ$4,0)),NA(),IF(SUMPRODUCT((Inputs!$A$5:$A$120=$B18)*ISNUMBER(INDEX(Inputs!$K$5:$AJ$120,0,MATCH(AE$2,Inputs!$K$4:$AJ$4,0))))+SUMPRODUCT((Inputs!$C$5:$C$120=$B18)*ISNUMBER(INDEX(Inputs!$K$5:$AJ$120,0,MATCH(AE$2,Inputs!$K$4:$AJ$4,0))))+SUMPRODUCT((Inputs!$E$5:$E$120=$B18)*ISNUMBER(INDEX(Inputs!$K$5:$AJ$120,0,MATCH(AE$2,Inputs!$K$4:$AJ$4,0))))=0,NA(),SUMPRODUCT((Inputs!$A$5:$A$120=$B18)*Inputs!$B$5:$B$120*(((Inputs!$G$5:$G$120="moeda")+(Inputs!$G$5:$G$120="acoes"))*Inputs!$B$1+((Inputs!$G$5:$G$120&lt;&gt;"moeda")*(Inputs!$G$5:$G$120&lt;&gt;"acoes")))*INDEX(Inputs!$K$5:$AJ$120,0,MATCH(AE$2,Inputs!$K$4:$AJ$4,0)))+SUMPRODUCT((Inputs!$C$5:$C$120=$B18)*Inputs!$D$5:$D$120*(((Inputs!$G$5:$G$120="moeda")+(Inputs!$G$5:$G$120="acoes"))*Inputs!$B$1+((Inputs!$G$5:$G$120&lt;&gt;"moeda")*(Inputs!$G$5:$G$120&lt;&gt;"acoes")))*INDEX(Inputs!$K$5:$AJ$120,0,MATCH(AE$2,Inputs!$K$4:$AJ$4,0)))+SUMPRODUCT((Inputs!$E$5:$E$120=$B18)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18" s="6" t="e">
        <f>IF(ISNA(MATCH(AF$2,Inputs!$K$4:$AJ$4,0)),NA(),IF(SUMPRODUCT((Inputs!$A$5:$A$120=$B18)*ISNUMBER(INDEX(Inputs!$K$5:$AJ$120,0,MATCH(AF$2,Inputs!$K$4:$AJ$4,0))))+SUMPRODUCT((Inputs!$C$5:$C$120=$B18)*ISNUMBER(INDEX(Inputs!$K$5:$AJ$120,0,MATCH(AF$2,Inputs!$K$4:$AJ$4,0))))+SUMPRODUCT((Inputs!$E$5:$E$120=$B18)*ISNUMBER(INDEX(Inputs!$K$5:$AJ$120,0,MATCH(AF$2,Inputs!$K$4:$AJ$4,0))))=0,NA(),SUMPRODUCT((Inputs!$A$5:$A$120=$B18)*Inputs!$B$5:$B$120*(((Inputs!$G$5:$G$120="moeda")+(Inputs!$G$5:$G$120="acoes"))*Inputs!$B$1+((Inputs!$G$5:$G$120&lt;&gt;"moeda")*(Inputs!$G$5:$G$120&lt;&gt;"acoes")))*INDEX(Inputs!$K$5:$AJ$120,0,MATCH(AF$2,Inputs!$K$4:$AJ$4,0)))+SUMPRODUCT((Inputs!$C$5:$C$120=$B18)*Inputs!$D$5:$D$120*(((Inputs!$G$5:$G$120="moeda")+(Inputs!$G$5:$G$120="acoes"))*Inputs!$B$1+((Inputs!$G$5:$G$120&lt;&gt;"moeda")*(Inputs!$G$5:$G$120&lt;&gt;"acoes")))*INDEX(Inputs!$K$5:$AJ$120,0,MATCH(AF$2,Inputs!$K$4:$AJ$4,0)))+SUMPRODUCT((Inputs!$E$5:$E$120=$B18)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18" s="3" t="e">
        <f>AF18</f>
        <v>#N/A</v>
      </c>
      <c r="AH18" s="6">
        <f>IF(ISNA(MATCH(AH$2,Inputs!$K$4:$AJ$4,0)),NA(),IF(SUMPRODUCT((Inputs!$A$5:$A$120=$B18)*ISNUMBER(INDEX(Inputs!$K$5:$AJ$120,0,MATCH(AH$2,Inputs!$K$4:$AJ$4,0))))+SUMPRODUCT((Inputs!$C$5:$C$120=$B18)*ISNUMBER(INDEX(Inputs!$K$5:$AJ$120,0,MATCH(AH$2,Inputs!$K$4:$AJ$4,0))))+SUMPRODUCT((Inputs!$E$5:$E$120=$B18)*ISNUMBER(INDEX(Inputs!$K$5:$AJ$120,0,MATCH(AH$2,Inputs!$K$4:$AJ$4,0))))=0,NA(),SUMPRODUCT((Inputs!$A$5:$A$120=$B18)*Inputs!$B$5:$B$120*(((Inputs!$G$5:$G$120="moeda")+(Inputs!$G$5:$G$120="acoes"))*Inputs!$B$1+((Inputs!$G$5:$G$120&lt;&gt;"moeda")*(Inputs!$G$5:$G$120&lt;&gt;"acoes")))*INDEX(Inputs!$K$5:$AJ$120,0,MATCH(AH$2,Inputs!$K$4:$AJ$4,0)))+SUMPRODUCT((Inputs!$C$5:$C$120=$B18)*Inputs!$D$5:$D$120*(((Inputs!$G$5:$G$120="moeda")+(Inputs!$G$5:$G$120="acoes"))*Inputs!$B$1+((Inputs!$G$5:$G$120&lt;&gt;"moeda")*(Inputs!$G$5:$G$120&lt;&gt;"acoes")))*INDEX(Inputs!$K$5:$AJ$120,0,MATCH(AH$2,Inputs!$K$4:$AJ$4,0)))+SUMPRODUCT((Inputs!$E$5:$E$120=$B18)*Inputs!$F$5:$F$120*(((Inputs!$G$5:$G$120="moeda")+(Inputs!$G$5:$G$120="acoes"))*Inputs!$B$1+((Inputs!$G$5:$G$120&lt;&gt;"moeda")*(Inputs!$G$5:$G$120&lt;&gt;"acoes")))*INDEX(Inputs!$K$5:$AJ$120,0,MATCH(AH$2,Inputs!$K$4:$AJ$4,0)))))</f>
        <v>0</v>
      </c>
      <c r="AI18" s="6">
        <f>IF(ISNA(MATCH(AI$2,Inputs!$K$4:$AJ$4,0)),NA(),IF(SUMPRODUCT((Inputs!$A$5:$A$120=$B18)*ISNUMBER(INDEX(Inputs!$K$5:$AJ$120,0,MATCH(AI$2,Inputs!$K$4:$AJ$4,0))))+SUMPRODUCT((Inputs!$C$5:$C$120=$B18)*ISNUMBER(INDEX(Inputs!$K$5:$AJ$120,0,MATCH(AI$2,Inputs!$K$4:$AJ$4,0))))+SUMPRODUCT((Inputs!$E$5:$E$120=$B18)*ISNUMBER(INDEX(Inputs!$K$5:$AJ$120,0,MATCH(AI$2,Inputs!$K$4:$AJ$4,0))))=0,NA(),SUMPRODUCT((Inputs!$A$5:$A$120=$B18)*Inputs!$B$5:$B$120*(((Inputs!$G$5:$G$120="moeda")+(Inputs!$G$5:$G$120="acoes"))*Inputs!$B$1+((Inputs!$G$5:$G$120&lt;&gt;"moeda")*(Inputs!$G$5:$G$120&lt;&gt;"acoes")))*INDEX(Inputs!$K$5:$AJ$120,0,MATCH(AI$2,Inputs!$K$4:$AJ$4,0)))+SUMPRODUCT((Inputs!$C$5:$C$120=$B18)*Inputs!$D$5:$D$120*(((Inputs!$G$5:$G$120="moeda")+(Inputs!$G$5:$G$120="acoes"))*Inputs!$B$1+((Inputs!$G$5:$G$120&lt;&gt;"moeda")*(Inputs!$G$5:$G$120&lt;&gt;"acoes")))*INDEX(Inputs!$K$5:$AJ$120,0,MATCH(AI$2,Inputs!$K$4:$AJ$4,0)))+SUMPRODUCT((Inputs!$E$5:$E$120=$B18)*Inputs!$F$5:$F$120*(((Inputs!$G$5:$G$120="moeda")+(Inputs!$G$5:$G$120="acoes"))*Inputs!$B$1+((Inputs!$G$5:$G$120&lt;&gt;"moeda")*(Inputs!$G$5:$G$120&lt;&gt;"acoes")))*INDEX(Inputs!$K$5:$AJ$120,0,MATCH(AI$2,Inputs!$K$4:$AJ$4,0)))))</f>
        <v>0</v>
      </c>
      <c r="AJ18" s="6">
        <f>IF(ISNA(MATCH(AJ$2,Inputs!$K$4:$AJ$4,0)),NA(),IF(SUMPRODUCT((Inputs!$A$5:$A$120=$B18)*ISNUMBER(INDEX(Inputs!$K$5:$AJ$120,0,MATCH(AJ$2,Inputs!$K$4:$AJ$4,0))))+SUMPRODUCT((Inputs!$C$5:$C$120=$B18)*ISNUMBER(INDEX(Inputs!$K$5:$AJ$120,0,MATCH(AJ$2,Inputs!$K$4:$AJ$4,0))))+SUMPRODUCT((Inputs!$E$5:$E$120=$B18)*ISNUMBER(INDEX(Inputs!$K$5:$AJ$120,0,MATCH(AJ$2,Inputs!$K$4:$AJ$4,0))))=0,NA(),SUMPRODUCT((Inputs!$A$5:$A$120=$B18)*Inputs!$B$5:$B$120*(((Inputs!$G$5:$G$120="moeda")+(Inputs!$G$5:$G$120="acoes"))*Inputs!$B$1+((Inputs!$G$5:$G$120&lt;&gt;"moeda")*(Inputs!$G$5:$G$120&lt;&gt;"acoes")))*INDEX(Inputs!$K$5:$AJ$120,0,MATCH(AJ$2,Inputs!$K$4:$AJ$4,0)))+SUMPRODUCT((Inputs!$C$5:$C$120=$B18)*Inputs!$D$5:$D$120*(((Inputs!$G$5:$G$120="moeda")+(Inputs!$G$5:$G$120="acoes"))*Inputs!$B$1+((Inputs!$G$5:$G$120&lt;&gt;"moeda")*(Inputs!$G$5:$G$120&lt;&gt;"acoes")))*INDEX(Inputs!$K$5:$AJ$120,0,MATCH(AJ$2,Inputs!$K$4:$AJ$4,0)))+SUMPRODUCT((Inputs!$E$5:$E$120=$B18)*Inputs!$F$5:$F$120*(((Inputs!$G$5:$G$120="moeda")+(Inputs!$G$5:$G$120="acoes"))*Inputs!$B$1+((Inputs!$G$5:$G$120&lt;&gt;"moeda")*(Inputs!$G$5:$G$120&lt;&gt;"acoes")))*INDEX(Inputs!$K$5:$AJ$120,0,MATCH(AJ$2,Inputs!$K$4:$AJ$4,0)))))</f>
        <v>0</v>
      </c>
      <c r="AK18" s="6">
        <f>IF(ISNA(MATCH(AK$2,Inputs!$K$4:$AJ$4,0)),NA(),IF(SUMPRODUCT((Inputs!$A$5:$A$120=$B18)*ISNUMBER(INDEX(Inputs!$K$5:$AJ$120,0,MATCH(AK$2,Inputs!$K$4:$AJ$4,0))))+SUMPRODUCT((Inputs!$C$5:$C$120=$B18)*ISNUMBER(INDEX(Inputs!$K$5:$AJ$120,0,MATCH(AK$2,Inputs!$K$4:$AJ$4,0))))+SUMPRODUCT((Inputs!$E$5:$E$120=$B18)*ISNUMBER(INDEX(Inputs!$K$5:$AJ$120,0,MATCH(AK$2,Inputs!$K$4:$AJ$4,0))))=0,NA(),SUMPRODUCT((Inputs!$A$5:$A$120=$B18)*Inputs!$B$5:$B$120*(((Inputs!$G$5:$G$120="moeda")+(Inputs!$G$5:$G$120="acoes"))*Inputs!$B$1+((Inputs!$G$5:$G$120&lt;&gt;"moeda")*(Inputs!$G$5:$G$120&lt;&gt;"acoes")))*INDEX(Inputs!$K$5:$AJ$120,0,MATCH(AK$2,Inputs!$K$4:$AJ$4,0)))+SUMPRODUCT((Inputs!$C$5:$C$120=$B18)*Inputs!$D$5:$D$120*(((Inputs!$G$5:$G$120="moeda")+(Inputs!$G$5:$G$120="acoes"))*Inputs!$B$1+((Inputs!$G$5:$G$120&lt;&gt;"moeda")*(Inputs!$G$5:$G$120&lt;&gt;"acoes")))*INDEX(Inputs!$K$5:$AJ$120,0,MATCH(AK$2,Inputs!$K$4:$AJ$4,0)))+SUMPRODUCT((Inputs!$E$5:$E$120=$B18)*Inputs!$F$5:$F$120*(((Inputs!$G$5:$G$120="moeda")+(Inputs!$G$5:$G$120="acoes"))*Inputs!$B$1+((Inputs!$G$5:$G$120&lt;&gt;"moeda")*(Inputs!$G$5:$G$120&lt;&gt;"acoes")))*INDEX(Inputs!$K$5:$AJ$120,0,MATCH(AK$2,Inputs!$K$4:$AJ$4,0)))))</f>
        <v>0</v>
      </c>
      <c r="AL18" s="3">
        <f>AK18</f>
        <v>0</v>
      </c>
    </row>
    <row r="19">
      <c r="B19" s="46" t="n">
        <v>15</v>
      </c>
      <c r="C19" s="26" t="inlineStr">
        <is>
          <t>Prepaid expenses</t>
        </is>
      </c>
      <c r="D19" s="6">
        <f>IF(ISNA(MATCH(D$2,Inputs!$K$4:$AJ$4,0)),NA(),IF(SUMPRODUCT((Inputs!$A$5:$A$120=$B19)*ISNUMBER(INDEX(Inputs!$K$5:$AJ$120,0,MATCH(D$2,Inputs!$K$4:$AJ$4,0))))+SUMPRODUCT((Inputs!$C$5:$C$120=$B19)*ISNUMBER(INDEX(Inputs!$K$5:$AJ$120,0,MATCH(D$2,Inputs!$K$4:$AJ$4,0))))+SUMPRODUCT((Inputs!$E$5:$E$120=$B19)*ISNUMBER(INDEX(Inputs!$K$5:$AJ$120,0,MATCH(D$2,Inputs!$K$4:$AJ$4,0))))=0,NA(),SUMPRODUCT((Inputs!$A$5:$A$120=$B19)*Inputs!$B$5:$B$120*(((Inputs!$G$5:$G$120="moeda")+(Inputs!$G$5:$G$120="acoes"))*Inputs!$B$1+((Inputs!$G$5:$G$120&lt;&gt;"moeda")*(Inputs!$G$5:$G$120&lt;&gt;"acoes")))*INDEX(Inputs!$K$5:$AJ$120,0,MATCH(D$2,Inputs!$K$4:$AJ$4,0)))+SUMPRODUCT((Inputs!$C$5:$C$120=$B19)*Inputs!$D$5:$D$120*(((Inputs!$G$5:$G$120="moeda")+(Inputs!$G$5:$G$120="acoes"))*Inputs!$B$1+((Inputs!$G$5:$G$120&lt;&gt;"moeda")*(Inputs!$G$5:$G$120&lt;&gt;"acoes")))*INDEX(Inputs!$K$5:$AJ$120,0,MATCH(D$2,Inputs!$K$4:$AJ$4,0)))+SUMPRODUCT((Inputs!$E$5:$E$120=$B19)*Inputs!$F$5:$F$120*(((Inputs!$G$5:$G$120="moeda")+(Inputs!$G$5:$G$120="acoes"))*Inputs!$B$1+((Inputs!$G$5:$G$120&lt;&gt;"moeda")*(Inputs!$G$5:$G$120&lt;&gt;"acoes")))*INDEX(Inputs!$K$5:$AJ$120,0,MATCH(D$2,Inputs!$K$4:$AJ$4,0)))))</f>
        <v>0</v>
      </c>
      <c r="E19" s="6">
        <f>IF(ISNA(MATCH(E$2,Inputs!$K$4:$AJ$4,0)),NA(),IF(SUMPRODUCT((Inputs!$A$5:$A$120=$B19)*ISNUMBER(INDEX(Inputs!$K$5:$AJ$120,0,MATCH(E$2,Inputs!$K$4:$AJ$4,0))))+SUMPRODUCT((Inputs!$C$5:$C$120=$B19)*ISNUMBER(INDEX(Inputs!$K$5:$AJ$120,0,MATCH(E$2,Inputs!$K$4:$AJ$4,0))))+SUMPRODUCT((Inputs!$E$5:$E$120=$B19)*ISNUMBER(INDEX(Inputs!$K$5:$AJ$120,0,MATCH(E$2,Inputs!$K$4:$AJ$4,0))))=0,NA(),SUMPRODUCT((Inputs!$A$5:$A$120=$B19)*Inputs!$B$5:$B$120*(((Inputs!$G$5:$G$120="moeda")+(Inputs!$G$5:$G$120="acoes"))*Inputs!$B$1+((Inputs!$G$5:$G$120&lt;&gt;"moeda")*(Inputs!$G$5:$G$120&lt;&gt;"acoes")))*INDEX(Inputs!$K$5:$AJ$120,0,MATCH(E$2,Inputs!$K$4:$AJ$4,0)))+SUMPRODUCT((Inputs!$C$5:$C$120=$B19)*Inputs!$D$5:$D$120*(((Inputs!$G$5:$G$120="moeda")+(Inputs!$G$5:$G$120="acoes"))*Inputs!$B$1+((Inputs!$G$5:$G$120&lt;&gt;"moeda")*(Inputs!$G$5:$G$120&lt;&gt;"acoes")))*INDEX(Inputs!$K$5:$AJ$120,0,MATCH(E$2,Inputs!$K$4:$AJ$4,0)))+SUMPRODUCT((Inputs!$E$5:$E$120=$B19)*Inputs!$F$5:$F$120*(((Inputs!$G$5:$G$120="moeda")+(Inputs!$G$5:$G$120="acoes"))*Inputs!$B$1+((Inputs!$G$5:$G$120&lt;&gt;"moeda")*(Inputs!$G$5:$G$120&lt;&gt;"acoes")))*INDEX(Inputs!$K$5:$AJ$120,0,MATCH(E$2,Inputs!$K$4:$AJ$4,0)))))</f>
        <v>0</v>
      </c>
      <c r="F19" s="6">
        <f>IF(ISNA(MATCH(F$2,Inputs!$K$4:$AJ$4,0)),NA(),IF(SUMPRODUCT((Inputs!$A$5:$A$120=$B19)*ISNUMBER(INDEX(Inputs!$K$5:$AJ$120,0,MATCH(F$2,Inputs!$K$4:$AJ$4,0))))+SUMPRODUCT((Inputs!$C$5:$C$120=$B19)*ISNUMBER(INDEX(Inputs!$K$5:$AJ$120,0,MATCH(F$2,Inputs!$K$4:$AJ$4,0))))+SUMPRODUCT((Inputs!$E$5:$E$120=$B19)*ISNUMBER(INDEX(Inputs!$K$5:$AJ$120,0,MATCH(F$2,Inputs!$K$4:$AJ$4,0))))=0,NA(),SUMPRODUCT((Inputs!$A$5:$A$120=$B19)*Inputs!$B$5:$B$120*(((Inputs!$G$5:$G$120="moeda")+(Inputs!$G$5:$G$120="acoes"))*Inputs!$B$1+((Inputs!$G$5:$G$120&lt;&gt;"moeda")*(Inputs!$G$5:$G$120&lt;&gt;"acoes")))*INDEX(Inputs!$K$5:$AJ$120,0,MATCH(F$2,Inputs!$K$4:$AJ$4,0)))+SUMPRODUCT((Inputs!$C$5:$C$120=$B19)*Inputs!$D$5:$D$120*(((Inputs!$G$5:$G$120="moeda")+(Inputs!$G$5:$G$120="acoes"))*Inputs!$B$1+((Inputs!$G$5:$G$120&lt;&gt;"moeda")*(Inputs!$G$5:$G$120&lt;&gt;"acoes")))*INDEX(Inputs!$K$5:$AJ$120,0,MATCH(F$2,Inputs!$K$4:$AJ$4,0)))+SUMPRODUCT((Inputs!$E$5:$E$120=$B19)*Inputs!$F$5:$F$120*(((Inputs!$G$5:$G$120="moeda")+(Inputs!$G$5:$G$120="acoes"))*Inputs!$B$1+((Inputs!$G$5:$G$120&lt;&gt;"moeda")*(Inputs!$G$5:$G$120&lt;&gt;"acoes")))*INDEX(Inputs!$K$5:$AJ$120,0,MATCH(F$2,Inputs!$K$4:$AJ$4,0)))))</f>
        <v>0</v>
      </c>
      <c r="G19" s="6">
        <f>IF(ISNA(MATCH(G$2,Inputs!$K$4:$AJ$4,0)),NA(),IF(SUMPRODUCT((Inputs!$A$5:$A$120=$B19)*ISNUMBER(INDEX(Inputs!$K$5:$AJ$120,0,MATCH(G$2,Inputs!$K$4:$AJ$4,0))))+SUMPRODUCT((Inputs!$C$5:$C$120=$B19)*ISNUMBER(INDEX(Inputs!$K$5:$AJ$120,0,MATCH(G$2,Inputs!$K$4:$AJ$4,0))))+SUMPRODUCT((Inputs!$E$5:$E$120=$B19)*ISNUMBER(INDEX(Inputs!$K$5:$AJ$120,0,MATCH(G$2,Inputs!$K$4:$AJ$4,0))))=0,NA(),SUMPRODUCT((Inputs!$A$5:$A$120=$B19)*Inputs!$B$5:$B$120*(((Inputs!$G$5:$G$120="moeda")+(Inputs!$G$5:$G$120="acoes"))*Inputs!$B$1+((Inputs!$G$5:$G$120&lt;&gt;"moeda")*(Inputs!$G$5:$G$120&lt;&gt;"acoes")))*INDEX(Inputs!$K$5:$AJ$120,0,MATCH(G$2,Inputs!$K$4:$AJ$4,0)))+SUMPRODUCT((Inputs!$C$5:$C$120=$B19)*Inputs!$D$5:$D$120*(((Inputs!$G$5:$G$120="moeda")+(Inputs!$G$5:$G$120="acoes"))*Inputs!$B$1+((Inputs!$G$5:$G$120&lt;&gt;"moeda")*(Inputs!$G$5:$G$120&lt;&gt;"acoes")))*INDEX(Inputs!$K$5:$AJ$120,0,MATCH(G$2,Inputs!$K$4:$AJ$4,0)))+SUMPRODUCT((Inputs!$E$5:$E$120=$B19)*Inputs!$F$5:$F$120*(((Inputs!$G$5:$G$120="moeda")+(Inputs!$G$5:$G$120="acoes"))*Inputs!$B$1+((Inputs!$G$5:$G$120&lt;&gt;"moeda")*(Inputs!$G$5:$G$120&lt;&gt;"acoes")))*INDEX(Inputs!$K$5:$AJ$120,0,MATCH(G$2,Inputs!$K$4:$AJ$4,0)))))</f>
        <v>0</v>
      </c>
      <c r="H19" s="3">
        <f>G19</f>
        <v>0</v>
      </c>
      <c r="I19" s="6">
        <f>IF(ISNA(MATCH(I$2,Inputs!$K$4:$AJ$4,0)),NA(),IF(SUMPRODUCT((Inputs!$A$5:$A$120=$B19)*ISNUMBER(INDEX(Inputs!$K$5:$AJ$120,0,MATCH(I$2,Inputs!$K$4:$AJ$4,0))))+SUMPRODUCT((Inputs!$C$5:$C$120=$B19)*ISNUMBER(INDEX(Inputs!$K$5:$AJ$120,0,MATCH(I$2,Inputs!$K$4:$AJ$4,0))))+SUMPRODUCT((Inputs!$E$5:$E$120=$B19)*ISNUMBER(INDEX(Inputs!$K$5:$AJ$120,0,MATCH(I$2,Inputs!$K$4:$AJ$4,0))))=0,NA(),SUMPRODUCT((Inputs!$A$5:$A$120=$B19)*Inputs!$B$5:$B$120*(((Inputs!$G$5:$G$120="moeda")+(Inputs!$G$5:$G$120="acoes"))*Inputs!$B$1+((Inputs!$G$5:$G$120&lt;&gt;"moeda")*(Inputs!$G$5:$G$120&lt;&gt;"acoes")))*INDEX(Inputs!$K$5:$AJ$120,0,MATCH(I$2,Inputs!$K$4:$AJ$4,0)))+SUMPRODUCT((Inputs!$C$5:$C$120=$B19)*Inputs!$D$5:$D$120*(((Inputs!$G$5:$G$120="moeda")+(Inputs!$G$5:$G$120="acoes"))*Inputs!$B$1+((Inputs!$G$5:$G$120&lt;&gt;"moeda")*(Inputs!$G$5:$G$120&lt;&gt;"acoes")))*INDEX(Inputs!$K$5:$AJ$120,0,MATCH(I$2,Inputs!$K$4:$AJ$4,0)))+SUMPRODUCT((Inputs!$E$5:$E$120=$B19)*Inputs!$F$5:$F$120*(((Inputs!$G$5:$G$120="moeda")+(Inputs!$G$5:$G$120="acoes"))*Inputs!$B$1+((Inputs!$G$5:$G$120&lt;&gt;"moeda")*(Inputs!$G$5:$G$120&lt;&gt;"acoes")))*INDEX(Inputs!$K$5:$AJ$120,0,MATCH(I$2,Inputs!$K$4:$AJ$4,0)))))</f>
        <v>0</v>
      </c>
      <c r="J19" s="6">
        <f>IF(ISNA(MATCH(J$2,Inputs!$K$4:$AJ$4,0)),NA(),IF(SUMPRODUCT((Inputs!$A$5:$A$120=$B19)*ISNUMBER(INDEX(Inputs!$K$5:$AJ$120,0,MATCH(J$2,Inputs!$K$4:$AJ$4,0))))+SUMPRODUCT((Inputs!$C$5:$C$120=$B19)*ISNUMBER(INDEX(Inputs!$K$5:$AJ$120,0,MATCH(J$2,Inputs!$K$4:$AJ$4,0))))+SUMPRODUCT((Inputs!$E$5:$E$120=$B19)*ISNUMBER(INDEX(Inputs!$K$5:$AJ$120,0,MATCH(J$2,Inputs!$K$4:$AJ$4,0))))=0,NA(),SUMPRODUCT((Inputs!$A$5:$A$120=$B19)*Inputs!$B$5:$B$120*(((Inputs!$G$5:$G$120="moeda")+(Inputs!$G$5:$G$120="acoes"))*Inputs!$B$1+((Inputs!$G$5:$G$120&lt;&gt;"moeda")*(Inputs!$G$5:$G$120&lt;&gt;"acoes")))*INDEX(Inputs!$K$5:$AJ$120,0,MATCH(J$2,Inputs!$K$4:$AJ$4,0)))+SUMPRODUCT((Inputs!$C$5:$C$120=$B19)*Inputs!$D$5:$D$120*(((Inputs!$G$5:$G$120="moeda")+(Inputs!$G$5:$G$120="acoes"))*Inputs!$B$1+((Inputs!$G$5:$G$120&lt;&gt;"moeda")*(Inputs!$G$5:$G$120&lt;&gt;"acoes")))*INDEX(Inputs!$K$5:$AJ$120,0,MATCH(J$2,Inputs!$K$4:$AJ$4,0)))+SUMPRODUCT((Inputs!$E$5:$E$120=$B19)*Inputs!$F$5:$F$120*(((Inputs!$G$5:$G$120="moeda")+(Inputs!$G$5:$G$120="acoes"))*Inputs!$B$1+((Inputs!$G$5:$G$120&lt;&gt;"moeda")*(Inputs!$G$5:$G$120&lt;&gt;"acoes")))*INDEX(Inputs!$K$5:$AJ$120,0,MATCH(J$2,Inputs!$K$4:$AJ$4,0)))))</f>
        <v>0</v>
      </c>
      <c r="K19" s="6">
        <f>IF(ISNA(MATCH(K$2,Inputs!$K$4:$AJ$4,0)),NA(),IF(SUMPRODUCT((Inputs!$A$5:$A$120=$B19)*ISNUMBER(INDEX(Inputs!$K$5:$AJ$120,0,MATCH(K$2,Inputs!$K$4:$AJ$4,0))))+SUMPRODUCT((Inputs!$C$5:$C$120=$B19)*ISNUMBER(INDEX(Inputs!$K$5:$AJ$120,0,MATCH(K$2,Inputs!$K$4:$AJ$4,0))))+SUMPRODUCT((Inputs!$E$5:$E$120=$B19)*ISNUMBER(INDEX(Inputs!$K$5:$AJ$120,0,MATCH(K$2,Inputs!$K$4:$AJ$4,0))))=0,NA(),SUMPRODUCT((Inputs!$A$5:$A$120=$B19)*Inputs!$B$5:$B$120*(((Inputs!$G$5:$G$120="moeda")+(Inputs!$G$5:$G$120="acoes"))*Inputs!$B$1+((Inputs!$G$5:$G$120&lt;&gt;"moeda")*(Inputs!$G$5:$G$120&lt;&gt;"acoes")))*INDEX(Inputs!$K$5:$AJ$120,0,MATCH(K$2,Inputs!$K$4:$AJ$4,0)))+SUMPRODUCT((Inputs!$C$5:$C$120=$B19)*Inputs!$D$5:$D$120*(((Inputs!$G$5:$G$120="moeda")+(Inputs!$G$5:$G$120="acoes"))*Inputs!$B$1+((Inputs!$G$5:$G$120&lt;&gt;"moeda")*(Inputs!$G$5:$G$120&lt;&gt;"acoes")))*INDEX(Inputs!$K$5:$AJ$120,0,MATCH(K$2,Inputs!$K$4:$AJ$4,0)))+SUMPRODUCT((Inputs!$E$5:$E$120=$B19)*Inputs!$F$5:$F$120*(((Inputs!$G$5:$G$120="moeda")+(Inputs!$G$5:$G$120="acoes"))*Inputs!$B$1+((Inputs!$G$5:$G$120&lt;&gt;"moeda")*(Inputs!$G$5:$G$120&lt;&gt;"acoes")))*INDEX(Inputs!$K$5:$AJ$120,0,MATCH(K$2,Inputs!$K$4:$AJ$4,0)))))</f>
        <v>0</v>
      </c>
      <c r="L19" s="6">
        <f>IF(ISNA(MATCH(L$2,Inputs!$K$4:$AJ$4,0)),NA(),IF(SUMPRODUCT((Inputs!$A$5:$A$120=$B19)*ISNUMBER(INDEX(Inputs!$K$5:$AJ$120,0,MATCH(L$2,Inputs!$K$4:$AJ$4,0))))+SUMPRODUCT((Inputs!$C$5:$C$120=$B19)*ISNUMBER(INDEX(Inputs!$K$5:$AJ$120,0,MATCH(L$2,Inputs!$K$4:$AJ$4,0))))+SUMPRODUCT((Inputs!$E$5:$E$120=$B19)*ISNUMBER(INDEX(Inputs!$K$5:$AJ$120,0,MATCH(L$2,Inputs!$K$4:$AJ$4,0))))=0,NA(),SUMPRODUCT((Inputs!$A$5:$A$120=$B19)*Inputs!$B$5:$B$120*(((Inputs!$G$5:$G$120="moeda")+(Inputs!$G$5:$G$120="acoes"))*Inputs!$B$1+((Inputs!$G$5:$G$120&lt;&gt;"moeda")*(Inputs!$G$5:$G$120&lt;&gt;"acoes")))*INDEX(Inputs!$K$5:$AJ$120,0,MATCH(L$2,Inputs!$K$4:$AJ$4,0)))+SUMPRODUCT((Inputs!$C$5:$C$120=$B19)*Inputs!$D$5:$D$120*(((Inputs!$G$5:$G$120="moeda")+(Inputs!$G$5:$G$120="acoes"))*Inputs!$B$1+((Inputs!$G$5:$G$120&lt;&gt;"moeda")*(Inputs!$G$5:$G$120&lt;&gt;"acoes")))*INDEX(Inputs!$K$5:$AJ$120,0,MATCH(L$2,Inputs!$K$4:$AJ$4,0)))+SUMPRODUCT((Inputs!$E$5:$E$120=$B19)*Inputs!$F$5:$F$120*(((Inputs!$G$5:$G$120="moeda")+(Inputs!$G$5:$G$120="acoes"))*Inputs!$B$1+((Inputs!$G$5:$G$120&lt;&gt;"moeda")*(Inputs!$G$5:$G$120&lt;&gt;"acoes")))*INDEX(Inputs!$K$5:$AJ$120,0,MATCH(L$2,Inputs!$K$4:$AJ$4,0)))))</f>
        <v>0</v>
      </c>
      <c r="M19" s="3">
        <f>L19</f>
        <v>0</v>
      </c>
      <c r="N19" s="6">
        <f>IF(ISNA(MATCH(N$2,Inputs!$K$4:$AJ$4,0)),NA(),IF(SUMPRODUCT((Inputs!$A$5:$A$120=$B19)*ISNUMBER(INDEX(Inputs!$K$5:$AJ$120,0,MATCH(N$2,Inputs!$K$4:$AJ$4,0))))+SUMPRODUCT((Inputs!$C$5:$C$120=$B19)*ISNUMBER(INDEX(Inputs!$K$5:$AJ$120,0,MATCH(N$2,Inputs!$K$4:$AJ$4,0))))+SUMPRODUCT((Inputs!$E$5:$E$120=$B19)*ISNUMBER(INDEX(Inputs!$K$5:$AJ$120,0,MATCH(N$2,Inputs!$K$4:$AJ$4,0))))=0,NA(),SUMPRODUCT((Inputs!$A$5:$A$120=$B19)*Inputs!$B$5:$B$120*(((Inputs!$G$5:$G$120="moeda")+(Inputs!$G$5:$G$120="acoes"))*Inputs!$B$1+((Inputs!$G$5:$G$120&lt;&gt;"moeda")*(Inputs!$G$5:$G$120&lt;&gt;"acoes")))*INDEX(Inputs!$K$5:$AJ$120,0,MATCH(N$2,Inputs!$K$4:$AJ$4,0)))+SUMPRODUCT((Inputs!$C$5:$C$120=$B19)*Inputs!$D$5:$D$120*(((Inputs!$G$5:$G$120="moeda")+(Inputs!$G$5:$G$120="acoes"))*Inputs!$B$1+((Inputs!$G$5:$G$120&lt;&gt;"moeda")*(Inputs!$G$5:$G$120&lt;&gt;"acoes")))*INDEX(Inputs!$K$5:$AJ$120,0,MATCH(N$2,Inputs!$K$4:$AJ$4,0)))+SUMPRODUCT((Inputs!$E$5:$E$120=$B19)*Inputs!$F$5:$F$120*(((Inputs!$G$5:$G$120="moeda")+(Inputs!$G$5:$G$120="acoes"))*Inputs!$B$1+((Inputs!$G$5:$G$120&lt;&gt;"moeda")*(Inputs!$G$5:$G$120&lt;&gt;"acoes")))*INDEX(Inputs!$K$5:$AJ$120,0,MATCH(N$2,Inputs!$K$4:$AJ$4,0)))))</f>
        <v>0</v>
      </c>
      <c r="O19" s="6">
        <f>IF(ISNA(MATCH(O$2,Inputs!$K$4:$AJ$4,0)),NA(),IF(SUMPRODUCT((Inputs!$A$5:$A$120=$B19)*ISNUMBER(INDEX(Inputs!$K$5:$AJ$120,0,MATCH(O$2,Inputs!$K$4:$AJ$4,0))))+SUMPRODUCT((Inputs!$C$5:$C$120=$B19)*ISNUMBER(INDEX(Inputs!$K$5:$AJ$120,0,MATCH(O$2,Inputs!$K$4:$AJ$4,0))))+SUMPRODUCT((Inputs!$E$5:$E$120=$B19)*ISNUMBER(INDEX(Inputs!$K$5:$AJ$120,0,MATCH(O$2,Inputs!$K$4:$AJ$4,0))))=0,NA(),SUMPRODUCT((Inputs!$A$5:$A$120=$B19)*Inputs!$B$5:$B$120*(((Inputs!$G$5:$G$120="moeda")+(Inputs!$G$5:$G$120="acoes"))*Inputs!$B$1+((Inputs!$G$5:$G$120&lt;&gt;"moeda")*(Inputs!$G$5:$G$120&lt;&gt;"acoes")))*INDEX(Inputs!$K$5:$AJ$120,0,MATCH(O$2,Inputs!$K$4:$AJ$4,0)))+SUMPRODUCT((Inputs!$C$5:$C$120=$B19)*Inputs!$D$5:$D$120*(((Inputs!$G$5:$G$120="moeda")+(Inputs!$G$5:$G$120="acoes"))*Inputs!$B$1+((Inputs!$G$5:$G$120&lt;&gt;"moeda")*(Inputs!$G$5:$G$120&lt;&gt;"acoes")))*INDEX(Inputs!$K$5:$AJ$120,0,MATCH(O$2,Inputs!$K$4:$AJ$4,0)))+SUMPRODUCT((Inputs!$E$5:$E$120=$B19)*Inputs!$F$5:$F$120*(((Inputs!$G$5:$G$120="moeda")+(Inputs!$G$5:$G$120="acoes"))*Inputs!$B$1+((Inputs!$G$5:$G$120&lt;&gt;"moeda")*(Inputs!$G$5:$G$120&lt;&gt;"acoes")))*INDEX(Inputs!$K$5:$AJ$120,0,MATCH(O$2,Inputs!$K$4:$AJ$4,0)))))</f>
        <v>0</v>
      </c>
      <c r="P19" s="6">
        <f>IF(ISNA(MATCH(P$2,Inputs!$K$4:$AJ$4,0)),NA(),IF(SUMPRODUCT((Inputs!$A$5:$A$120=$B19)*ISNUMBER(INDEX(Inputs!$K$5:$AJ$120,0,MATCH(P$2,Inputs!$K$4:$AJ$4,0))))+SUMPRODUCT((Inputs!$C$5:$C$120=$B19)*ISNUMBER(INDEX(Inputs!$K$5:$AJ$120,0,MATCH(P$2,Inputs!$K$4:$AJ$4,0))))+SUMPRODUCT((Inputs!$E$5:$E$120=$B19)*ISNUMBER(INDEX(Inputs!$K$5:$AJ$120,0,MATCH(P$2,Inputs!$K$4:$AJ$4,0))))=0,NA(),SUMPRODUCT((Inputs!$A$5:$A$120=$B19)*Inputs!$B$5:$B$120*(((Inputs!$G$5:$G$120="moeda")+(Inputs!$G$5:$G$120="acoes"))*Inputs!$B$1+((Inputs!$G$5:$G$120&lt;&gt;"moeda")*(Inputs!$G$5:$G$120&lt;&gt;"acoes")))*INDEX(Inputs!$K$5:$AJ$120,0,MATCH(P$2,Inputs!$K$4:$AJ$4,0)))+SUMPRODUCT((Inputs!$C$5:$C$120=$B19)*Inputs!$D$5:$D$120*(((Inputs!$G$5:$G$120="moeda")+(Inputs!$G$5:$G$120="acoes"))*Inputs!$B$1+((Inputs!$G$5:$G$120&lt;&gt;"moeda")*(Inputs!$G$5:$G$120&lt;&gt;"acoes")))*INDEX(Inputs!$K$5:$AJ$120,0,MATCH(P$2,Inputs!$K$4:$AJ$4,0)))+SUMPRODUCT((Inputs!$E$5:$E$120=$B19)*Inputs!$F$5:$F$120*(((Inputs!$G$5:$G$120="moeda")+(Inputs!$G$5:$G$120="acoes"))*Inputs!$B$1+((Inputs!$G$5:$G$120&lt;&gt;"moeda")*(Inputs!$G$5:$G$120&lt;&gt;"acoes")))*INDEX(Inputs!$K$5:$AJ$120,0,MATCH(P$2,Inputs!$K$4:$AJ$4,0)))))</f>
        <v>0</v>
      </c>
      <c r="Q19" s="6">
        <f>IF(ISNA(MATCH(Q$2,Inputs!$K$4:$AJ$4,0)),NA(),IF(SUMPRODUCT((Inputs!$A$5:$A$120=$B19)*ISNUMBER(INDEX(Inputs!$K$5:$AJ$120,0,MATCH(Q$2,Inputs!$K$4:$AJ$4,0))))+SUMPRODUCT((Inputs!$C$5:$C$120=$B19)*ISNUMBER(INDEX(Inputs!$K$5:$AJ$120,0,MATCH(Q$2,Inputs!$K$4:$AJ$4,0))))+SUMPRODUCT((Inputs!$E$5:$E$120=$B19)*ISNUMBER(INDEX(Inputs!$K$5:$AJ$120,0,MATCH(Q$2,Inputs!$K$4:$AJ$4,0))))=0,NA(),SUMPRODUCT((Inputs!$A$5:$A$120=$B19)*Inputs!$B$5:$B$120*(((Inputs!$G$5:$G$120="moeda")+(Inputs!$G$5:$G$120="acoes"))*Inputs!$B$1+((Inputs!$G$5:$G$120&lt;&gt;"moeda")*(Inputs!$G$5:$G$120&lt;&gt;"acoes")))*INDEX(Inputs!$K$5:$AJ$120,0,MATCH(Q$2,Inputs!$K$4:$AJ$4,0)))+SUMPRODUCT((Inputs!$C$5:$C$120=$B19)*Inputs!$D$5:$D$120*(((Inputs!$G$5:$G$120="moeda")+(Inputs!$G$5:$G$120="acoes"))*Inputs!$B$1+((Inputs!$G$5:$G$120&lt;&gt;"moeda")*(Inputs!$G$5:$G$120&lt;&gt;"acoes")))*INDEX(Inputs!$K$5:$AJ$120,0,MATCH(Q$2,Inputs!$K$4:$AJ$4,0)))+SUMPRODUCT((Inputs!$E$5:$E$120=$B19)*Inputs!$F$5:$F$120*(((Inputs!$G$5:$G$120="moeda")+(Inputs!$G$5:$G$120="acoes"))*Inputs!$B$1+((Inputs!$G$5:$G$120&lt;&gt;"moeda")*(Inputs!$G$5:$G$120&lt;&gt;"acoes")))*INDEX(Inputs!$K$5:$AJ$120,0,MATCH(Q$2,Inputs!$K$4:$AJ$4,0)))))</f>
        <v>0</v>
      </c>
      <c r="R19" s="3">
        <f>Q19</f>
        <v>0</v>
      </c>
      <c r="S19" s="6">
        <f>IF(ISNA(MATCH(S$2,Inputs!$K$4:$AJ$4,0)),NA(),IF(SUMPRODUCT((Inputs!$A$5:$A$120=$B19)*ISNUMBER(INDEX(Inputs!$K$5:$AJ$120,0,MATCH(S$2,Inputs!$K$4:$AJ$4,0))))+SUMPRODUCT((Inputs!$C$5:$C$120=$B19)*ISNUMBER(INDEX(Inputs!$K$5:$AJ$120,0,MATCH(S$2,Inputs!$K$4:$AJ$4,0))))+SUMPRODUCT((Inputs!$E$5:$E$120=$B19)*ISNUMBER(INDEX(Inputs!$K$5:$AJ$120,0,MATCH(S$2,Inputs!$K$4:$AJ$4,0))))=0,NA(),SUMPRODUCT((Inputs!$A$5:$A$120=$B19)*Inputs!$B$5:$B$120*(((Inputs!$G$5:$G$120="moeda")+(Inputs!$G$5:$G$120="acoes"))*Inputs!$B$1+((Inputs!$G$5:$G$120&lt;&gt;"moeda")*(Inputs!$G$5:$G$120&lt;&gt;"acoes")))*INDEX(Inputs!$K$5:$AJ$120,0,MATCH(S$2,Inputs!$K$4:$AJ$4,0)))+SUMPRODUCT((Inputs!$C$5:$C$120=$B19)*Inputs!$D$5:$D$120*(((Inputs!$G$5:$G$120="moeda")+(Inputs!$G$5:$G$120="acoes"))*Inputs!$B$1+((Inputs!$G$5:$G$120&lt;&gt;"moeda")*(Inputs!$G$5:$G$120&lt;&gt;"acoes")))*INDEX(Inputs!$K$5:$AJ$120,0,MATCH(S$2,Inputs!$K$4:$AJ$4,0)))+SUMPRODUCT((Inputs!$E$5:$E$120=$B19)*Inputs!$F$5:$F$120*(((Inputs!$G$5:$G$120="moeda")+(Inputs!$G$5:$G$120="acoes"))*Inputs!$B$1+((Inputs!$G$5:$G$120&lt;&gt;"moeda")*(Inputs!$G$5:$G$120&lt;&gt;"acoes")))*INDEX(Inputs!$K$5:$AJ$120,0,MATCH(S$2,Inputs!$K$4:$AJ$4,0)))))</f>
        <v>0</v>
      </c>
      <c r="T19" s="6">
        <f>IF(ISNA(MATCH(T$2,Inputs!$K$4:$AJ$4,0)),NA(),IF(SUMPRODUCT((Inputs!$A$5:$A$120=$B19)*ISNUMBER(INDEX(Inputs!$K$5:$AJ$120,0,MATCH(T$2,Inputs!$K$4:$AJ$4,0))))+SUMPRODUCT((Inputs!$C$5:$C$120=$B19)*ISNUMBER(INDEX(Inputs!$K$5:$AJ$120,0,MATCH(T$2,Inputs!$K$4:$AJ$4,0))))+SUMPRODUCT((Inputs!$E$5:$E$120=$B19)*ISNUMBER(INDEX(Inputs!$K$5:$AJ$120,0,MATCH(T$2,Inputs!$K$4:$AJ$4,0))))=0,NA(),SUMPRODUCT((Inputs!$A$5:$A$120=$B19)*Inputs!$B$5:$B$120*(((Inputs!$G$5:$G$120="moeda")+(Inputs!$G$5:$G$120="acoes"))*Inputs!$B$1+((Inputs!$G$5:$G$120&lt;&gt;"moeda")*(Inputs!$G$5:$G$120&lt;&gt;"acoes")))*INDEX(Inputs!$K$5:$AJ$120,0,MATCH(T$2,Inputs!$K$4:$AJ$4,0)))+SUMPRODUCT((Inputs!$C$5:$C$120=$B19)*Inputs!$D$5:$D$120*(((Inputs!$G$5:$G$120="moeda")+(Inputs!$G$5:$G$120="acoes"))*Inputs!$B$1+((Inputs!$G$5:$G$120&lt;&gt;"moeda")*(Inputs!$G$5:$G$120&lt;&gt;"acoes")))*INDEX(Inputs!$K$5:$AJ$120,0,MATCH(T$2,Inputs!$K$4:$AJ$4,0)))+SUMPRODUCT((Inputs!$E$5:$E$120=$B19)*Inputs!$F$5:$F$120*(((Inputs!$G$5:$G$120="moeda")+(Inputs!$G$5:$G$120="acoes"))*Inputs!$B$1+((Inputs!$G$5:$G$120&lt;&gt;"moeda")*(Inputs!$G$5:$G$120&lt;&gt;"acoes")))*INDEX(Inputs!$K$5:$AJ$120,0,MATCH(T$2,Inputs!$K$4:$AJ$4,0)))))</f>
        <v>0</v>
      </c>
      <c r="U19" s="6">
        <f>IF(ISNA(MATCH(U$2,Inputs!$K$4:$AJ$4,0)),NA(),IF(SUMPRODUCT((Inputs!$A$5:$A$120=$B19)*ISNUMBER(INDEX(Inputs!$K$5:$AJ$120,0,MATCH(U$2,Inputs!$K$4:$AJ$4,0))))+SUMPRODUCT((Inputs!$C$5:$C$120=$B19)*ISNUMBER(INDEX(Inputs!$K$5:$AJ$120,0,MATCH(U$2,Inputs!$K$4:$AJ$4,0))))+SUMPRODUCT((Inputs!$E$5:$E$120=$B19)*ISNUMBER(INDEX(Inputs!$K$5:$AJ$120,0,MATCH(U$2,Inputs!$K$4:$AJ$4,0))))=0,NA(),SUMPRODUCT((Inputs!$A$5:$A$120=$B19)*Inputs!$B$5:$B$120*(((Inputs!$G$5:$G$120="moeda")+(Inputs!$G$5:$G$120="acoes"))*Inputs!$B$1+((Inputs!$G$5:$G$120&lt;&gt;"moeda")*(Inputs!$G$5:$G$120&lt;&gt;"acoes")))*INDEX(Inputs!$K$5:$AJ$120,0,MATCH(U$2,Inputs!$K$4:$AJ$4,0)))+SUMPRODUCT((Inputs!$C$5:$C$120=$B19)*Inputs!$D$5:$D$120*(((Inputs!$G$5:$G$120="moeda")+(Inputs!$G$5:$G$120="acoes"))*Inputs!$B$1+((Inputs!$G$5:$G$120&lt;&gt;"moeda")*(Inputs!$G$5:$G$120&lt;&gt;"acoes")))*INDEX(Inputs!$K$5:$AJ$120,0,MATCH(U$2,Inputs!$K$4:$AJ$4,0)))+SUMPRODUCT((Inputs!$E$5:$E$120=$B19)*Inputs!$F$5:$F$120*(((Inputs!$G$5:$G$120="moeda")+(Inputs!$G$5:$G$120="acoes"))*Inputs!$B$1+((Inputs!$G$5:$G$120&lt;&gt;"moeda")*(Inputs!$G$5:$G$120&lt;&gt;"acoes")))*INDEX(Inputs!$K$5:$AJ$120,0,MATCH(U$2,Inputs!$K$4:$AJ$4,0)))))</f>
        <v>0</v>
      </c>
      <c r="V19" s="6">
        <f>IF(ISNA(MATCH(V$2,Inputs!$K$4:$AJ$4,0)),NA(),IF(SUMPRODUCT((Inputs!$A$5:$A$120=$B19)*ISNUMBER(INDEX(Inputs!$K$5:$AJ$120,0,MATCH(V$2,Inputs!$K$4:$AJ$4,0))))+SUMPRODUCT((Inputs!$C$5:$C$120=$B19)*ISNUMBER(INDEX(Inputs!$K$5:$AJ$120,0,MATCH(V$2,Inputs!$K$4:$AJ$4,0))))+SUMPRODUCT((Inputs!$E$5:$E$120=$B19)*ISNUMBER(INDEX(Inputs!$K$5:$AJ$120,0,MATCH(V$2,Inputs!$K$4:$AJ$4,0))))=0,NA(),SUMPRODUCT((Inputs!$A$5:$A$120=$B19)*Inputs!$B$5:$B$120*(((Inputs!$G$5:$G$120="moeda")+(Inputs!$G$5:$G$120="acoes"))*Inputs!$B$1+((Inputs!$G$5:$G$120&lt;&gt;"moeda")*(Inputs!$G$5:$G$120&lt;&gt;"acoes")))*INDEX(Inputs!$K$5:$AJ$120,0,MATCH(V$2,Inputs!$K$4:$AJ$4,0)))+SUMPRODUCT((Inputs!$C$5:$C$120=$B19)*Inputs!$D$5:$D$120*(((Inputs!$G$5:$G$120="moeda")+(Inputs!$G$5:$G$120="acoes"))*Inputs!$B$1+((Inputs!$G$5:$G$120&lt;&gt;"moeda")*(Inputs!$G$5:$G$120&lt;&gt;"acoes")))*INDEX(Inputs!$K$5:$AJ$120,0,MATCH(V$2,Inputs!$K$4:$AJ$4,0)))+SUMPRODUCT((Inputs!$E$5:$E$120=$B19)*Inputs!$F$5:$F$120*(((Inputs!$G$5:$G$120="moeda")+(Inputs!$G$5:$G$120="acoes"))*Inputs!$B$1+((Inputs!$G$5:$G$120&lt;&gt;"moeda")*(Inputs!$G$5:$G$120&lt;&gt;"acoes")))*INDEX(Inputs!$K$5:$AJ$120,0,MATCH(V$2,Inputs!$K$4:$AJ$4,0)))))</f>
        <v>0</v>
      </c>
      <c r="W19" s="3">
        <f>V19</f>
        <v>0</v>
      </c>
      <c r="X19" s="6">
        <f>IF(ISNA(MATCH(X$2,Inputs!$K$4:$AJ$4,0)),NA(),IF(SUMPRODUCT((Inputs!$A$5:$A$120=$B19)*ISNUMBER(INDEX(Inputs!$K$5:$AJ$120,0,MATCH(X$2,Inputs!$K$4:$AJ$4,0))))+SUMPRODUCT((Inputs!$C$5:$C$120=$B19)*ISNUMBER(INDEX(Inputs!$K$5:$AJ$120,0,MATCH(X$2,Inputs!$K$4:$AJ$4,0))))+SUMPRODUCT((Inputs!$E$5:$E$120=$B19)*ISNUMBER(INDEX(Inputs!$K$5:$AJ$120,0,MATCH(X$2,Inputs!$K$4:$AJ$4,0))))=0,NA(),SUMPRODUCT((Inputs!$A$5:$A$120=$B19)*Inputs!$B$5:$B$120*(((Inputs!$G$5:$G$120="moeda")+(Inputs!$G$5:$G$120="acoes"))*Inputs!$B$1+((Inputs!$G$5:$G$120&lt;&gt;"moeda")*(Inputs!$G$5:$G$120&lt;&gt;"acoes")))*INDEX(Inputs!$K$5:$AJ$120,0,MATCH(X$2,Inputs!$K$4:$AJ$4,0)))+SUMPRODUCT((Inputs!$C$5:$C$120=$B19)*Inputs!$D$5:$D$120*(((Inputs!$G$5:$G$120="moeda")+(Inputs!$G$5:$G$120="acoes"))*Inputs!$B$1+((Inputs!$G$5:$G$120&lt;&gt;"moeda")*(Inputs!$G$5:$G$120&lt;&gt;"acoes")))*INDEX(Inputs!$K$5:$AJ$120,0,MATCH(X$2,Inputs!$K$4:$AJ$4,0)))+SUMPRODUCT((Inputs!$E$5:$E$120=$B19)*Inputs!$F$5:$F$120*(((Inputs!$G$5:$G$120="moeda")+(Inputs!$G$5:$G$120="acoes"))*Inputs!$B$1+((Inputs!$G$5:$G$120&lt;&gt;"moeda")*(Inputs!$G$5:$G$120&lt;&gt;"acoes")))*INDEX(Inputs!$K$5:$AJ$120,0,MATCH(X$2,Inputs!$K$4:$AJ$4,0)))))</f>
        <v>0</v>
      </c>
      <c r="Y19" s="6">
        <f>IF(ISNA(MATCH(Y$2,Inputs!$K$4:$AJ$4,0)),NA(),IF(SUMPRODUCT((Inputs!$A$5:$A$120=$B19)*ISNUMBER(INDEX(Inputs!$K$5:$AJ$120,0,MATCH(Y$2,Inputs!$K$4:$AJ$4,0))))+SUMPRODUCT((Inputs!$C$5:$C$120=$B19)*ISNUMBER(INDEX(Inputs!$K$5:$AJ$120,0,MATCH(Y$2,Inputs!$K$4:$AJ$4,0))))+SUMPRODUCT((Inputs!$E$5:$E$120=$B19)*ISNUMBER(INDEX(Inputs!$K$5:$AJ$120,0,MATCH(Y$2,Inputs!$K$4:$AJ$4,0))))=0,NA(),SUMPRODUCT((Inputs!$A$5:$A$120=$B19)*Inputs!$B$5:$B$120*(((Inputs!$G$5:$G$120="moeda")+(Inputs!$G$5:$G$120="acoes"))*Inputs!$B$1+((Inputs!$G$5:$G$120&lt;&gt;"moeda")*(Inputs!$G$5:$G$120&lt;&gt;"acoes")))*INDEX(Inputs!$K$5:$AJ$120,0,MATCH(Y$2,Inputs!$K$4:$AJ$4,0)))+SUMPRODUCT((Inputs!$C$5:$C$120=$B19)*Inputs!$D$5:$D$120*(((Inputs!$G$5:$G$120="moeda")+(Inputs!$G$5:$G$120="acoes"))*Inputs!$B$1+((Inputs!$G$5:$G$120&lt;&gt;"moeda")*(Inputs!$G$5:$G$120&lt;&gt;"acoes")))*INDEX(Inputs!$K$5:$AJ$120,0,MATCH(Y$2,Inputs!$K$4:$AJ$4,0)))+SUMPRODUCT((Inputs!$E$5:$E$120=$B19)*Inputs!$F$5:$F$120*(((Inputs!$G$5:$G$120="moeda")+(Inputs!$G$5:$G$120="acoes"))*Inputs!$B$1+((Inputs!$G$5:$G$120&lt;&gt;"moeda")*(Inputs!$G$5:$G$120&lt;&gt;"acoes")))*INDEX(Inputs!$K$5:$AJ$120,0,MATCH(Y$2,Inputs!$K$4:$AJ$4,0)))))</f>
        <v>0</v>
      </c>
      <c r="Z19" s="6">
        <f>IF(ISNA(MATCH(Z$2,Inputs!$K$4:$AJ$4,0)),NA(),IF(SUMPRODUCT((Inputs!$A$5:$A$120=$B19)*ISNUMBER(INDEX(Inputs!$K$5:$AJ$120,0,MATCH(Z$2,Inputs!$K$4:$AJ$4,0))))+SUMPRODUCT((Inputs!$C$5:$C$120=$B19)*ISNUMBER(INDEX(Inputs!$K$5:$AJ$120,0,MATCH(Z$2,Inputs!$K$4:$AJ$4,0))))+SUMPRODUCT((Inputs!$E$5:$E$120=$B19)*ISNUMBER(INDEX(Inputs!$K$5:$AJ$120,0,MATCH(Z$2,Inputs!$K$4:$AJ$4,0))))=0,NA(),SUMPRODUCT((Inputs!$A$5:$A$120=$B19)*Inputs!$B$5:$B$120*(((Inputs!$G$5:$G$120="moeda")+(Inputs!$G$5:$G$120="acoes"))*Inputs!$B$1+((Inputs!$G$5:$G$120&lt;&gt;"moeda")*(Inputs!$G$5:$G$120&lt;&gt;"acoes")))*INDEX(Inputs!$K$5:$AJ$120,0,MATCH(Z$2,Inputs!$K$4:$AJ$4,0)))+SUMPRODUCT((Inputs!$C$5:$C$120=$B19)*Inputs!$D$5:$D$120*(((Inputs!$G$5:$G$120="moeda")+(Inputs!$G$5:$G$120="acoes"))*Inputs!$B$1+((Inputs!$G$5:$G$120&lt;&gt;"moeda")*(Inputs!$G$5:$G$120&lt;&gt;"acoes")))*INDEX(Inputs!$K$5:$AJ$120,0,MATCH(Z$2,Inputs!$K$4:$AJ$4,0)))+SUMPRODUCT((Inputs!$E$5:$E$120=$B19)*Inputs!$F$5:$F$120*(((Inputs!$G$5:$G$120="moeda")+(Inputs!$G$5:$G$120="acoes"))*Inputs!$B$1+((Inputs!$G$5:$G$120&lt;&gt;"moeda")*(Inputs!$G$5:$G$120&lt;&gt;"acoes")))*INDEX(Inputs!$K$5:$AJ$120,0,MATCH(Z$2,Inputs!$K$4:$AJ$4,0)))))</f>
        <v>0</v>
      </c>
      <c r="AA19" s="6">
        <f>IF(ISNA(MATCH(AA$2,Inputs!$K$4:$AJ$4,0)),NA(),IF(SUMPRODUCT((Inputs!$A$5:$A$120=$B19)*ISNUMBER(INDEX(Inputs!$K$5:$AJ$120,0,MATCH(AA$2,Inputs!$K$4:$AJ$4,0))))+SUMPRODUCT((Inputs!$C$5:$C$120=$B19)*ISNUMBER(INDEX(Inputs!$K$5:$AJ$120,0,MATCH(AA$2,Inputs!$K$4:$AJ$4,0))))+SUMPRODUCT((Inputs!$E$5:$E$120=$B19)*ISNUMBER(INDEX(Inputs!$K$5:$AJ$120,0,MATCH(AA$2,Inputs!$K$4:$AJ$4,0))))=0,NA(),SUMPRODUCT((Inputs!$A$5:$A$120=$B19)*Inputs!$B$5:$B$120*(((Inputs!$G$5:$G$120="moeda")+(Inputs!$G$5:$G$120="acoes"))*Inputs!$B$1+((Inputs!$G$5:$G$120&lt;&gt;"moeda")*(Inputs!$G$5:$G$120&lt;&gt;"acoes")))*INDEX(Inputs!$K$5:$AJ$120,0,MATCH(AA$2,Inputs!$K$4:$AJ$4,0)))+SUMPRODUCT((Inputs!$C$5:$C$120=$B19)*Inputs!$D$5:$D$120*(((Inputs!$G$5:$G$120="moeda")+(Inputs!$G$5:$G$120="acoes"))*Inputs!$B$1+((Inputs!$G$5:$G$120&lt;&gt;"moeda")*(Inputs!$G$5:$G$120&lt;&gt;"acoes")))*INDEX(Inputs!$K$5:$AJ$120,0,MATCH(AA$2,Inputs!$K$4:$AJ$4,0)))+SUMPRODUCT((Inputs!$E$5:$E$120=$B19)*Inputs!$F$5:$F$120*(((Inputs!$G$5:$G$120="moeda")+(Inputs!$G$5:$G$120="acoes"))*Inputs!$B$1+((Inputs!$G$5:$G$120&lt;&gt;"moeda")*(Inputs!$G$5:$G$120&lt;&gt;"acoes")))*INDEX(Inputs!$K$5:$AJ$120,0,MATCH(AA$2,Inputs!$K$4:$AJ$4,0)))))</f>
        <v>0</v>
      </c>
      <c r="AB19" s="3">
        <f>AA19</f>
        <v>0</v>
      </c>
      <c r="AC19" s="6">
        <f>IF(ISNA(MATCH(AC$2,Inputs!$K$4:$AJ$4,0)),NA(),IF(SUMPRODUCT((Inputs!$A$5:$A$120=$B19)*ISNUMBER(INDEX(Inputs!$K$5:$AJ$120,0,MATCH(AC$2,Inputs!$K$4:$AJ$4,0))))+SUMPRODUCT((Inputs!$C$5:$C$120=$B19)*ISNUMBER(INDEX(Inputs!$K$5:$AJ$120,0,MATCH(AC$2,Inputs!$K$4:$AJ$4,0))))+SUMPRODUCT((Inputs!$E$5:$E$120=$B19)*ISNUMBER(INDEX(Inputs!$K$5:$AJ$120,0,MATCH(AC$2,Inputs!$K$4:$AJ$4,0))))=0,NA(),SUMPRODUCT((Inputs!$A$5:$A$120=$B19)*Inputs!$B$5:$B$120*(((Inputs!$G$5:$G$120="moeda")+(Inputs!$G$5:$G$120="acoes"))*Inputs!$B$1+((Inputs!$G$5:$G$120&lt;&gt;"moeda")*(Inputs!$G$5:$G$120&lt;&gt;"acoes")))*INDEX(Inputs!$K$5:$AJ$120,0,MATCH(AC$2,Inputs!$K$4:$AJ$4,0)))+SUMPRODUCT((Inputs!$C$5:$C$120=$B19)*Inputs!$D$5:$D$120*(((Inputs!$G$5:$G$120="moeda")+(Inputs!$G$5:$G$120="acoes"))*Inputs!$B$1+((Inputs!$G$5:$G$120&lt;&gt;"moeda")*(Inputs!$G$5:$G$120&lt;&gt;"acoes")))*INDEX(Inputs!$K$5:$AJ$120,0,MATCH(AC$2,Inputs!$K$4:$AJ$4,0)))+SUMPRODUCT((Inputs!$E$5:$E$120=$B19)*Inputs!$F$5:$F$120*(((Inputs!$G$5:$G$120="moeda")+(Inputs!$G$5:$G$120="acoes"))*Inputs!$B$1+((Inputs!$G$5:$G$120&lt;&gt;"moeda")*(Inputs!$G$5:$G$120&lt;&gt;"acoes")))*INDEX(Inputs!$K$5:$AJ$120,0,MATCH(AC$2,Inputs!$K$4:$AJ$4,0)))))</f>
        <v>0</v>
      </c>
      <c r="AD19" s="6">
        <f>IF(ISNA(MATCH(AD$2,Inputs!$K$4:$AJ$4,0)),NA(),IF(SUMPRODUCT((Inputs!$A$5:$A$120=$B19)*ISNUMBER(INDEX(Inputs!$K$5:$AJ$120,0,MATCH(AD$2,Inputs!$K$4:$AJ$4,0))))+SUMPRODUCT((Inputs!$C$5:$C$120=$B19)*ISNUMBER(INDEX(Inputs!$K$5:$AJ$120,0,MATCH(AD$2,Inputs!$K$4:$AJ$4,0))))+SUMPRODUCT((Inputs!$E$5:$E$120=$B19)*ISNUMBER(INDEX(Inputs!$K$5:$AJ$120,0,MATCH(AD$2,Inputs!$K$4:$AJ$4,0))))=0,NA(),SUMPRODUCT((Inputs!$A$5:$A$120=$B19)*Inputs!$B$5:$B$120*(((Inputs!$G$5:$G$120="moeda")+(Inputs!$G$5:$G$120="acoes"))*Inputs!$B$1+((Inputs!$G$5:$G$120&lt;&gt;"moeda")*(Inputs!$G$5:$G$120&lt;&gt;"acoes")))*INDEX(Inputs!$K$5:$AJ$120,0,MATCH(AD$2,Inputs!$K$4:$AJ$4,0)))+SUMPRODUCT((Inputs!$C$5:$C$120=$B19)*Inputs!$D$5:$D$120*(((Inputs!$G$5:$G$120="moeda")+(Inputs!$G$5:$G$120="acoes"))*Inputs!$B$1+((Inputs!$G$5:$G$120&lt;&gt;"moeda")*(Inputs!$G$5:$G$120&lt;&gt;"acoes")))*INDEX(Inputs!$K$5:$AJ$120,0,MATCH(AD$2,Inputs!$K$4:$AJ$4,0)))+SUMPRODUCT((Inputs!$E$5:$E$120=$B19)*Inputs!$F$5:$F$120*(((Inputs!$G$5:$G$120="moeda")+(Inputs!$G$5:$G$120="acoes"))*Inputs!$B$1+((Inputs!$G$5:$G$120&lt;&gt;"moeda")*(Inputs!$G$5:$G$120&lt;&gt;"acoes")))*INDEX(Inputs!$K$5:$AJ$120,0,MATCH(AD$2,Inputs!$K$4:$AJ$4,0)))))</f>
        <v>0</v>
      </c>
      <c r="AE19" s="6" t="e">
        <f>IF(ISNA(MATCH(AE$2,Inputs!$K$4:$AJ$4,0)),NA(),IF(SUMPRODUCT((Inputs!$A$5:$A$120=$B19)*ISNUMBER(INDEX(Inputs!$K$5:$AJ$120,0,MATCH(AE$2,Inputs!$K$4:$AJ$4,0))))+SUMPRODUCT((Inputs!$C$5:$C$120=$B19)*ISNUMBER(INDEX(Inputs!$K$5:$AJ$120,0,MATCH(AE$2,Inputs!$K$4:$AJ$4,0))))+SUMPRODUCT((Inputs!$E$5:$E$120=$B19)*ISNUMBER(INDEX(Inputs!$K$5:$AJ$120,0,MATCH(AE$2,Inputs!$K$4:$AJ$4,0))))=0,NA(),SUMPRODUCT((Inputs!$A$5:$A$120=$B19)*Inputs!$B$5:$B$120*(((Inputs!$G$5:$G$120="moeda")+(Inputs!$G$5:$G$120="acoes"))*Inputs!$B$1+((Inputs!$G$5:$G$120&lt;&gt;"moeda")*(Inputs!$G$5:$G$120&lt;&gt;"acoes")))*INDEX(Inputs!$K$5:$AJ$120,0,MATCH(AE$2,Inputs!$K$4:$AJ$4,0)))+SUMPRODUCT((Inputs!$C$5:$C$120=$B19)*Inputs!$D$5:$D$120*(((Inputs!$G$5:$G$120="moeda")+(Inputs!$G$5:$G$120="acoes"))*Inputs!$B$1+((Inputs!$G$5:$G$120&lt;&gt;"moeda")*(Inputs!$G$5:$G$120&lt;&gt;"acoes")))*INDEX(Inputs!$K$5:$AJ$120,0,MATCH(AE$2,Inputs!$K$4:$AJ$4,0)))+SUMPRODUCT((Inputs!$E$5:$E$120=$B19)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19" s="6" t="e">
        <f>IF(ISNA(MATCH(AF$2,Inputs!$K$4:$AJ$4,0)),NA(),IF(SUMPRODUCT((Inputs!$A$5:$A$120=$B19)*ISNUMBER(INDEX(Inputs!$K$5:$AJ$120,0,MATCH(AF$2,Inputs!$K$4:$AJ$4,0))))+SUMPRODUCT((Inputs!$C$5:$C$120=$B19)*ISNUMBER(INDEX(Inputs!$K$5:$AJ$120,0,MATCH(AF$2,Inputs!$K$4:$AJ$4,0))))+SUMPRODUCT((Inputs!$E$5:$E$120=$B19)*ISNUMBER(INDEX(Inputs!$K$5:$AJ$120,0,MATCH(AF$2,Inputs!$K$4:$AJ$4,0))))=0,NA(),SUMPRODUCT((Inputs!$A$5:$A$120=$B19)*Inputs!$B$5:$B$120*(((Inputs!$G$5:$G$120="moeda")+(Inputs!$G$5:$G$120="acoes"))*Inputs!$B$1+((Inputs!$G$5:$G$120&lt;&gt;"moeda")*(Inputs!$G$5:$G$120&lt;&gt;"acoes")))*INDEX(Inputs!$K$5:$AJ$120,0,MATCH(AF$2,Inputs!$K$4:$AJ$4,0)))+SUMPRODUCT((Inputs!$C$5:$C$120=$B19)*Inputs!$D$5:$D$120*(((Inputs!$G$5:$G$120="moeda")+(Inputs!$G$5:$G$120="acoes"))*Inputs!$B$1+((Inputs!$G$5:$G$120&lt;&gt;"moeda")*(Inputs!$G$5:$G$120&lt;&gt;"acoes")))*INDEX(Inputs!$K$5:$AJ$120,0,MATCH(AF$2,Inputs!$K$4:$AJ$4,0)))+SUMPRODUCT((Inputs!$E$5:$E$120=$B19)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19" s="3" t="e">
        <f>AF19</f>
        <v>#N/A</v>
      </c>
      <c r="AH19" s="6">
        <f>IF(ISNA(MATCH(AH$2,Inputs!$K$4:$AJ$4,0)),NA(),IF(SUMPRODUCT((Inputs!$A$5:$A$120=$B19)*ISNUMBER(INDEX(Inputs!$K$5:$AJ$120,0,MATCH(AH$2,Inputs!$K$4:$AJ$4,0))))+SUMPRODUCT((Inputs!$C$5:$C$120=$B19)*ISNUMBER(INDEX(Inputs!$K$5:$AJ$120,0,MATCH(AH$2,Inputs!$K$4:$AJ$4,0))))+SUMPRODUCT((Inputs!$E$5:$E$120=$B19)*ISNUMBER(INDEX(Inputs!$K$5:$AJ$120,0,MATCH(AH$2,Inputs!$K$4:$AJ$4,0))))=0,NA(),SUMPRODUCT((Inputs!$A$5:$A$120=$B19)*Inputs!$B$5:$B$120*(((Inputs!$G$5:$G$120="moeda")+(Inputs!$G$5:$G$120="acoes"))*Inputs!$B$1+((Inputs!$G$5:$G$120&lt;&gt;"moeda")*(Inputs!$G$5:$G$120&lt;&gt;"acoes")))*INDEX(Inputs!$K$5:$AJ$120,0,MATCH(AH$2,Inputs!$K$4:$AJ$4,0)))+SUMPRODUCT((Inputs!$C$5:$C$120=$B19)*Inputs!$D$5:$D$120*(((Inputs!$G$5:$G$120="moeda")+(Inputs!$G$5:$G$120="acoes"))*Inputs!$B$1+((Inputs!$G$5:$G$120&lt;&gt;"moeda")*(Inputs!$G$5:$G$120&lt;&gt;"acoes")))*INDEX(Inputs!$K$5:$AJ$120,0,MATCH(AH$2,Inputs!$K$4:$AJ$4,0)))+SUMPRODUCT((Inputs!$E$5:$E$120=$B19)*Inputs!$F$5:$F$120*(((Inputs!$G$5:$G$120="moeda")+(Inputs!$G$5:$G$120="acoes"))*Inputs!$B$1+((Inputs!$G$5:$G$120&lt;&gt;"moeda")*(Inputs!$G$5:$G$120&lt;&gt;"acoes")))*INDEX(Inputs!$K$5:$AJ$120,0,MATCH(AH$2,Inputs!$K$4:$AJ$4,0)))))</f>
        <v>0</v>
      </c>
      <c r="AI19" s="6">
        <f>IF(ISNA(MATCH(AI$2,Inputs!$K$4:$AJ$4,0)),NA(),IF(SUMPRODUCT((Inputs!$A$5:$A$120=$B19)*ISNUMBER(INDEX(Inputs!$K$5:$AJ$120,0,MATCH(AI$2,Inputs!$K$4:$AJ$4,0))))+SUMPRODUCT((Inputs!$C$5:$C$120=$B19)*ISNUMBER(INDEX(Inputs!$K$5:$AJ$120,0,MATCH(AI$2,Inputs!$K$4:$AJ$4,0))))+SUMPRODUCT((Inputs!$E$5:$E$120=$B19)*ISNUMBER(INDEX(Inputs!$K$5:$AJ$120,0,MATCH(AI$2,Inputs!$K$4:$AJ$4,0))))=0,NA(),SUMPRODUCT((Inputs!$A$5:$A$120=$B19)*Inputs!$B$5:$B$120*(((Inputs!$G$5:$G$120="moeda")+(Inputs!$G$5:$G$120="acoes"))*Inputs!$B$1+((Inputs!$G$5:$G$120&lt;&gt;"moeda")*(Inputs!$G$5:$G$120&lt;&gt;"acoes")))*INDEX(Inputs!$K$5:$AJ$120,0,MATCH(AI$2,Inputs!$K$4:$AJ$4,0)))+SUMPRODUCT((Inputs!$C$5:$C$120=$B19)*Inputs!$D$5:$D$120*(((Inputs!$G$5:$G$120="moeda")+(Inputs!$G$5:$G$120="acoes"))*Inputs!$B$1+((Inputs!$G$5:$G$120&lt;&gt;"moeda")*(Inputs!$G$5:$G$120&lt;&gt;"acoes")))*INDEX(Inputs!$K$5:$AJ$120,0,MATCH(AI$2,Inputs!$K$4:$AJ$4,0)))+SUMPRODUCT((Inputs!$E$5:$E$120=$B19)*Inputs!$F$5:$F$120*(((Inputs!$G$5:$G$120="moeda")+(Inputs!$G$5:$G$120="acoes"))*Inputs!$B$1+((Inputs!$G$5:$G$120&lt;&gt;"moeda")*(Inputs!$G$5:$G$120&lt;&gt;"acoes")))*INDEX(Inputs!$K$5:$AJ$120,0,MATCH(AI$2,Inputs!$K$4:$AJ$4,0)))))</f>
        <v>0</v>
      </c>
      <c r="AJ19" s="6">
        <f>IF(ISNA(MATCH(AJ$2,Inputs!$K$4:$AJ$4,0)),NA(),IF(SUMPRODUCT((Inputs!$A$5:$A$120=$B19)*ISNUMBER(INDEX(Inputs!$K$5:$AJ$120,0,MATCH(AJ$2,Inputs!$K$4:$AJ$4,0))))+SUMPRODUCT((Inputs!$C$5:$C$120=$B19)*ISNUMBER(INDEX(Inputs!$K$5:$AJ$120,0,MATCH(AJ$2,Inputs!$K$4:$AJ$4,0))))+SUMPRODUCT((Inputs!$E$5:$E$120=$B19)*ISNUMBER(INDEX(Inputs!$K$5:$AJ$120,0,MATCH(AJ$2,Inputs!$K$4:$AJ$4,0))))=0,NA(),SUMPRODUCT((Inputs!$A$5:$A$120=$B19)*Inputs!$B$5:$B$120*(((Inputs!$G$5:$G$120="moeda")+(Inputs!$G$5:$G$120="acoes"))*Inputs!$B$1+((Inputs!$G$5:$G$120&lt;&gt;"moeda")*(Inputs!$G$5:$G$120&lt;&gt;"acoes")))*INDEX(Inputs!$K$5:$AJ$120,0,MATCH(AJ$2,Inputs!$K$4:$AJ$4,0)))+SUMPRODUCT((Inputs!$C$5:$C$120=$B19)*Inputs!$D$5:$D$120*(((Inputs!$G$5:$G$120="moeda")+(Inputs!$G$5:$G$120="acoes"))*Inputs!$B$1+((Inputs!$G$5:$G$120&lt;&gt;"moeda")*(Inputs!$G$5:$G$120&lt;&gt;"acoes")))*INDEX(Inputs!$K$5:$AJ$120,0,MATCH(AJ$2,Inputs!$K$4:$AJ$4,0)))+SUMPRODUCT((Inputs!$E$5:$E$120=$B19)*Inputs!$F$5:$F$120*(((Inputs!$G$5:$G$120="moeda")+(Inputs!$G$5:$G$120="acoes"))*Inputs!$B$1+((Inputs!$G$5:$G$120&lt;&gt;"moeda")*(Inputs!$G$5:$G$120&lt;&gt;"acoes")))*INDEX(Inputs!$K$5:$AJ$120,0,MATCH(AJ$2,Inputs!$K$4:$AJ$4,0)))))</f>
        <v>0</v>
      </c>
      <c r="AK19" s="6">
        <f>IF(ISNA(MATCH(AK$2,Inputs!$K$4:$AJ$4,0)),NA(),IF(SUMPRODUCT((Inputs!$A$5:$A$120=$B19)*ISNUMBER(INDEX(Inputs!$K$5:$AJ$120,0,MATCH(AK$2,Inputs!$K$4:$AJ$4,0))))+SUMPRODUCT((Inputs!$C$5:$C$120=$B19)*ISNUMBER(INDEX(Inputs!$K$5:$AJ$120,0,MATCH(AK$2,Inputs!$K$4:$AJ$4,0))))+SUMPRODUCT((Inputs!$E$5:$E$120=$B19)*ISNUMBER(INDEX(Inputs!$K$5:$AJ$120,0,MATCH(AK$2,Inputs!$K$4:$AJ$4,0))))=0,NA(),SUMPRODUCT((Inputs!$A$5:$A$120=$B19)*Inputs!$B$5:$B$120*(((Inputs!$G$5:$G$120="moeda")+(Inputs!$G$5:$G$120="acoes"))*Inputs!$B$1+((Inputs!$G$5:$G$120&lt;&gt;"moeda")*(Inputs!$G$5:$G$120&lt;&gt;"acoes")))*INDEX(Inputs!$K$5:$AJ$120,0,MATCH(AK$2,Inputs!$K$4:$AJ$4,0)))+SUMPRODUCT((Inputs!$C$5:$C$120=$B19)*Inputs!$D$5:$D$120*(((Inputs!$G$5:$G$120="moeda")+(Inputs!$G$5:$G$120="acoes"))*Inputs!$B$1+((Inputs!$G$5:$G$120&lt;&gt;"moeda")*(Inputs!$G$5:$G$120&lt;&gt;"acoes")))*INDEX(Inputs!$K$5:$AJ$120,0,MATCH(AK$2,Inputs!$K$4:$AJ$4,0)))+SUMPRODUCT((Inputs!$E$5:$E$120=$B19)*Inputs!$F$5:$F$120*(((Inputs!$G$5:$G$120="moeda")+(Inputs!$G$5:$G$120="acoes"))*Inputs!$B$1+((Inputs!$G$5:$G$120&lt;&gt;"moeda")*(Inputs!$G$5:$G$120&lt;&gt;"acoes")))*INDEX(Inputs!$K$5:$AJ$120,0,MATCH(AK$2,Inputs!$K$4:$AJ$4,0)))))</f>
        <v>0</v>
      </c>
      <c r="AL19" s="3">
        <f>AK19</f>
        <v>0</v>
      </c>
    </row>
    <row r="20">
      <c r="B20" s="46" t="n">
        <v>16</v>
      </c>
      <c r="C20" s="26" t="inlineStr">
        <is>
          <t>Other current assets</t>
        </is>
      </c>
      <c r="D20" s="6">
        <f>IF(ISNA(MATCH(D$2,Inputs!$K$4:$AJ$4,0)),NA(),IF(SUMPRODUCT((Inputs!$A$5:$A$120=$B20)*ISNUMBER(INDEX(Inputs!$K$5:$AJ$120,0,MATCH(D$2,Inputs!$K$4:$AJ$4,0))))+SUMPRODUCT((Inputs!$C$5:$C$120=$B20)*ISNUMBER(INDEX(Inputs!$K$5:$AJ$120,0,MATCH(D$2,Inputs!$K$4:$AJ$4,0))))+SUMPRODUCT((Inputs!$E$5:$E$120=$B20)*ISNUMBER(INDEX(Inputs!$K$5:$AJ$120,0,MATCH(D$2,Inputs!$K$4:$AJ$4,0))))=0,NA(),SUMPRODUCT((Inputs!$A$5:$A$120=$B20)*Inputs!$B$5:$B$120*(((Inputs!$G$5:$G$120="moeda")+(Inputs!$G$5:$G$120="acoes"))*Inputs!$B$1+((Inputs!$G$5:$G$120&lt;&gt;"moeda")*(Inputs!$G$5:$G$120&lt;&gt;"acoes")))*INDEX(Inputs!$K$5:$AJ$120,0,MATCH(D$2,Inputs!$K$4:$AJ$4,0)))+SUMPRODUCT((Inputs!$C$5:$C$120=$B20)*Inputs!$D$5:$D$120*(((Inputs!$G$5:$G$120="moeda")+(Inputs!$G$5:$G$120="acoes"))*Inputs!$B$1+((Inputs!$G$5:$G$120&lt;&gt;"moeda")*(Inputs!$G$5:$G$120&lt;&gt;"acoes")))*INDEX(Inputs!$K$5:$AJ$120,0,MATCH(D$2,Inputs!$K$4:$AJ$4,0)))+SUMPRODUCT((Inputs!$E$5:$E$120=$B20)*Inputs!$F$5:$F$120*(((Inputs!$G$5:$G$120="moeda")+(Inputs!$G$5:$G$120="acoes"))*Inputs!$B$1+((Inputs!$G$5:$G$120&lt;&gt;"moeda")*(Inputs!$G$5:$G$120&lt;&gt;"acoes")))*INDEX(Inputs!$K$5:$AJ$120,0,MATCH(D$2,Inputs!$K$4:$AJ$4,0)))))</f>
        <v>1542</v>
      </c>
      <c r="E20" s="6">
        <f>IF(ISNA(MATCH(E$2,Inputs!$K$4:$AJ$4,0)),NA(),IF(SUMPRODUCT((Inputs!$A$5:$A$120=$B20)*ISNUMBER(INDEX(Inputs!$K$5:$AJ$120,0,MATCH(E$2,Inputs!$K$4:$AJ$4,0))))+SUMPRODUCT((Inputs!$C$5:$C$120=$B20)*ISNUMBER(INDEX(Inputs!$K$5:$AJ$120,0,MATCH(E$2,Inputs!$K$4:$AJ$4,0))))+SUMPRODUCT((Inputs!$E$5:$E$120=$B20)*ISNUMBER(INDEX(Inputs!$K$5:$AJ$120,0,MATCH(E$2,Inputs!$K$4:$AJ$4,0))))=0,NA(),SUMPRODUCT((Inputs!$A$5:$A$120=$B20)*Inputs!$B$5:$B$120*(((Inputs!$G$5:$G$120="moeda")+(Inputs!$G$5:$G$120="acoes"))*Inputs!$B$1+((Inputs!$G$5:$G$120&lt;&gt;"moeda")*(Inputs!$G$5:$G$120&lt;&gt;"acoes")))*INDEX(Inputs!$K$5:$AJ$120,0,MATCH(E$2,Inputs!$K$4:$AJ$4,0)))+SUMPRODUCT((Inputs!$C$5:$C$120=$B20)*Inputs!$D$5:$D$120*(((Inputs!$G$5:$G$120="moeda")+(Inputs!$G$5:$G$120="acoes"))*Inputs!$B$1+((Inputs!$G$5:$G$120&lt;&gt;"moeda")*(Inputs!$G$5:$G$120&lt;&gt;"acoes")))*INDEX(Inputs!$K$5:$AJ$120,0,MATCH(E$2,Inputs!$K$4:$AJ$4,0)))+SUMPRODUCT((Inputs!$E$5:$E$120=$B20)*Inputs!$F$5:$F$120*(((Inputs!$G$5:$G$120="moeda")+(Inputs!$G$5:$G$120="acoes"))*Inputs!$B$1+((Inputs!$G$5:$G$120&lt;&gt;"moeda")*(Inputs!$G$5:$G$120&lt;&gt;"acoes")))*INDEX(Inputs!$K$5:$AJ$120,0,MATCH(E$2,Inputs!$K$4:$AJ$4,0)))))</f>
        <v>1602</v>
      </c>
      <c r="F20" s="6">
        <f>IF(ISNA(MATCH(F$2,Inputs!$K$4:$AJ$4,0)),NA(),IF(SUMPRODUCT((Inputs!$A$5:$A$120=$B20)*ISNUMBER(INDEX(Inputs!$K$5:$AJ$120,0,MATCH(F$2,Inputs!$K$4:$AJ$4,0))))+SUMPRODUCT((Inputs!$C$5:$C$120=$B20)*ISNUMBER(INDEX(Inputs!$K$5:$AJ$120,0,MATCH(F$2,Inputs!$K$4:$AJ$4,0))))+SUMPRODUCT((Inputs!$E$5:$E$120=$B20)*ISNUMBER(INDEX(Inputs!$K$5:$AJ$120,0,MATCH(F$2,Inputs!$K$4:$AJ$4,0))))=0,NA(),SUMPRODUCT((Inputs!$A$5:$A$120=$B20)*Inputs!$B$5:$B$120*(((Inputs!$G$5:$G$120="moeda")+(Inputs!$G$5:$G$120="acoes"))*Inputs!$B$1+((Inputs!$G$5:$G$120&lt;&gt;"moeda")*(Inputs!$G$5:$G$120&lt;&gt;"acoes")))*INDEX(Inputs!$K$5:$AJ$120,0,MATCH(F$2,Inputs!$K$4:$AJ$4,0)))+SUMPRODUCT((Inputs!$C$5:$C$120=$B20)*Inputs!$D$5:$D$120*(((Inputs!$G$5:$G$120="moeda")+(Inputs!$G$5:$G$120="acoes"))*Inputs!$B$1+((Inputs!$G$5:$G$120&lt;&gt;"moeda")*(Inputs!$G$5:$G$120&lt;&gt;"acoes")))*INDEX(Inputs!$K$5:$AJ$120,0,MATCH(F$2,Inputs!$K$4:$AJ$4,0)))+SUMPRODUCT((Inputs!$E$5:$E$120=$B20)*Inputs!$F$5:$F$120*(((Inputs!$G$5:$G$120="moeda")+(Inputs!$G$5:$G$120="acoes"))*Inputs!$B$1+((Inputs!$G$5:$G$120&lt;&gt;"moeda")*(Inputs!$G$5:$G$120&lt;&gt;"acoes")))*INDEX(Inputs!$K$5:$AJ$120,0,MATCH(F$2,Inputs!$K$4:$AJ$4,0)))))</f>
        <v>1746</v>
      </c>
      <c r="G20" s="6">
        <f>IF(ISNA(MATCH(G$2,Inputs!$K$4:$AJ$4,0)),NA(),IF(SUMPRODUCT((Inputs!$A$5:$A$120=$B20)*ISNUMBER(INDEX(Inputs!$K$5:$AJ$120,0,MATCH(G$2,Inputs!$K$4:$AJ$4,0))))+SUMPRODUCT((Inputs!$C$5:$C$120=$B20)*ISNUMBER(INDEX(Inputs!$K$5:$AJ$120,0,MATCH(G$2,Inputs!$K$4:$AJ$4,0))))+SUMPRODUCT((Inputs!$E$5:$E$120=$B20)*ISNUMBER(INDEX(Inputs!$K$5:$AJ$120,0,MATCH(G$2,Inputs!$K$4:$AJ$4,0))))=0,NA(),SUMPRODUCT((Inputs!$A$5:$A$120=$B20)*Inputs!$B$5:$B$120*(((Inputs!$G$5:$G$120="moeda")+(Inputs!$G$5:$G$120="acoes"))*Inputs!$B$1+((Inputs!$G$5:$G$120&lt;&gt;"moeda")*(Inputs!$G$5:$G$120&lt;&gt;"acoes")))*INDEX(Inputs!$K$5:$AJ$120,0,MATCH(G$2,Inputs!$K$4:$AJ$4,0)))+SUMPRODUCT((Inputs!$C$5:$C$120=$B20)*Inputs!$D$5:$D$120*(((Inputs!$G$5:$G$120="moeda")+(Inputs!$G$5:$G$120="acoes"))*Inputs!$B$1+((Inputs!$G$5:$G$120&lt;&gt;"moeda")*(Inputs!$G$5:$G$120&lt;&gt;"acoes")))*INDEX(Inputs!$K$5:$AJ$120,0,MATCH(G$2,Inputs!$K$4:$AJ$4,0)))+SUMPRODUCT((Inputs!$E$5:$E$120=$B20)*Inputs!$F$5:$F$120*(((Inputs!$G$5:$G$120="moeda")+(Inputs!$G$5:$G$120="acoes"))*Inputs!$B$1+((Inputs!$G$5:$G$120&lt;&gt;"moeda")*(Inputs!$G$5:$G$120&lt;&gt;"acoes")))*INDEX(Inputs!$K$5:$AJ$120,0,MATCH(G$2,Inputs!$K$4:$AJ$4,0)))))</f>
        <v>1723</v>
      </c>
      <c r="H20" s="3">
        <f>G20</f>
        <v>1723</v>
      </c>
      <c r="I20" s="6">
        <f>IF(ISNA(MATCH(I$2,Inputs!$K$4:$AJ$4,0)),NA(),IF(SUMPRODUCT((Inputs!$A$5:$A$120=$B20)*ISNUMBER(INDEX(Inputs!$K$5:$AJ$120,0,MATCH(I$2,Inputs!$K$4:$AJ$4,0))))+SUMPRODUCT((Inputs!$C$5:$C$120=$B20)*ISNUMBER(INDEX(Inputs!$K$5:$AJ$120,0,MATCH(I$2,Inputs!$K$4:$AJ$4,0))))+SUMPRODUCT((Inputs!$E$5:$E$120=$B20)*ISNUMBER(INDEX(Inputs!$K$5:$AJ$120,0,MATCH(I$2,Inputs!$K$4:$AJ$4,0))))=0,NA(),SUMPRODUCT((Inputs!$A$5:$A$120=$B20)*Inputs!$B$5:$B$120*(((Inputs!$G$5:$G$120="moeda")+(Inputs!$G$5:$G$120="acoes"))*Inputs!$B$1+((Inputs!$G$5:$G$120&lt;&gt;"moeda")*(Inputs!$G$5:$G$120&lt;&gt;"acoes")))*INDEX(Inputs!$K$5:$AJ$120,0,MATCH(I$2,Inputs!$K$4:$AJ$4,0)))+SUMPRODUCT((Inputs!$C$5:$C$120=$B20)*Inputs!$D$5:$D$120*(((Inputs!$G$5:$G$120="moeda")+(Inputs!$G$5:$G$120="acoes"))*Inputs!$B$1+((Inputs!$G$5:$G$120&lt;&gt;"moeda")*(Inputs!$G$5:$G$120&lt;&gt;"acoes")))*INDEX(Inputs!$K$5:$AJ$120,0,MATCH(I$2,Inputs!$K$4:$AJ$4,0)))+SUMPRODUCT((Inputs!$E$5:$E$120=$B20)*Inputs!$F$5:$F$120*(((Inputs!$G$5:$G$120="moeda")+(Inputs!$G$5:$G$120="acoes"))*Inputs!$B$1+((Inputs!$G$5:$G$120&lt;&gt;"moeda")*(Inputs!$G$5:$G$120&lt;&gt;"acoes")))*INDEX(Inputs!$K$5:$AJ$120,0,MATCH(I$2,Inputs!$K$4:$AJ$4,0)))))</f>
        <v>2035</v>
      </c>
      <c r="J20" s="6">
        <f>IF(ISNA(MATCH(J$2,Inputs!$K$4:$AJ$4,0)),NA(),IF(SUMPRODUCT((Inputs!$A$5:$A$120=$B20)*ISNUMBER(INDEX(Inputs!$K$5:$AJ$120,0,MATCH(J$2,Inputs!$K$4:$AJ$4,0))))+SUMPRODUCT((Inputs!$C$5:$C$120=$B20)*ISNUMBER(INDEX(Inputs!$K$5:$AJ$120,0,MATCH(J$2,Inputs!$K$4:$AJ$4,0))))+SUMPRODUCT((Inputs!$E$5:$E$120=$B20)*ISNUMBER(INDEX(Inputs!$K$5:$AJ$120,0,MATCH(J$2,Inputs!$K$4:$AJ$4,0))))=0,NA(),SUMPRODUCT((Inputs!$A$5:$A$120=$B20)*Inputs!$B$5:$B$120*(((Inputs!$G$5:$G$120="moeda")+(Inputs!$G$5:$G$120="acoes"))*Inputs!$B$1+((Inputs!$G$5:$G$120&lt;&gt;"moeda")*(Inputs!$G$5:$G$120&lt;&gt;"acoes")))*INDEX(Inputs!$K$5:$AJ$120,0,MATCH(J$2,Inputs!$K$4:$AJ$4,0)))+SUMPRODUCT((Inputs!$C$5:$C$120=$B20)*Inputs!$D$5:$D$120*(((Inputs!$G$5:$G$120="moeda")+(Inputs!$G$5:$G$120="acoes"))*Inputs!$B$1+((Inputs!$G$5:$G$120&lt;&gt;"moeda")*(Inputs!$G$5:$G$120&lt;&gt;"acoes")))*INDEX(Inputs!$K$5:$AJ$120,0,MATCH(J$2,Inputs!$K$4:$AJ$4,0)))+SUMPRODUCT((Inputs!$E$5:$E$120=$B20)*Inputs!$F$5:$F$120*(((Inputs!$G$5:$G$120="moeda")+(Inputs!$G$5:$G$120="acoes"))*Inputs!$B$1+((Inputs!$G$5:$G$120&lt;&gt;"moeda")*(Inputs!$G$5:$G$120&lt;&gt;"acoes")))*INDEX(Inputs!$K$5:$AJ$120,0,MATCH(J$2,Inputs!$K$4:$AJ$4,0)))))</f>
        <v>2118</v>
      </c>
      <c r="K20" s="6">
        <f>IF(ISNA(MATCH(K$2,Inputs!$K$4:$AJ$4,0)),NA(),IF(SUMPRODUCT((Inputs!$A$5:$A$120=$B20)*ISNUMBER(INDEX(Inputs!$K$5:$AJ$120,0,MATCH(K$2,Inputs!$K$4:$AJ$4,0))))+SUMPRODUCT((Inputs!$C$5:$C$120=$B20)*ISNUMBER(INDEX(Inputs!$K$5:$AJ$120,0,MATCH(K$2,Inputs!$K$4:$AJ$4,0))))+SUMPRODUCT((Inputs!$E$5:$E$120=$B20)*ISNUMBER(INDEX(Inputs!$K$5:$AJ$120,0,MATCH(K$2,Inputs!$K$4:$AJ$4,0))))=0,NA(),SUMPRODUCT((Inputs!$A$5:$A$120=$B20)*Inputs!$B$5:$B$120*(((Inputs!$G$5:$G$120="moeda")+(Inputs!$G$5:$G$120="acoes"))*Inputs!$B$1+((Inputs!$G$5:$G$120&lt;&gt;"moeda")*(Inputs!$G$5:$G$120&lt;&gt;"acoes")))*INDEX(Inputs!$K$5:$AJ$120,0,MATCH(K$2,Inputs!$K$4:$AJ$4,0)))+SUMPRODUCT((Inputs!$C$5:$C$120=$B20)*Inputs!$D$5:$D$120*(((Inputs!$G$5:$G$120="moeda")+(Inputs!$G$5:$G$120="acoes"))*Inputs!$B$1+((Inputs!$G$5:$G$120&lt;&gt;"moeda")*(Inputs!$G$5:$G$120&lt;&gt;"acoes")))*INDEX(Inputs!$K$5:$AJ$120,0,MATCH(K$2,Inputs!$K$4:$AJ$4,0)))+SUMPRODUCT((Inputs!$E$5:$E$120=$B20)*Inputs!$F$5:$F$120*(((Inputs!$G$5:$G$120="moeda")+(Inputs!$G$5:$G$120="acoes"))*Inputs!$B$1+((Inputs!$G$5:$G$120&lt;&gt;"moeda")*(Inputs!$G$5:$G$120&lt;&gt;"acoes")))*INDEX(Inputs!$K$5:$AJ$120,0,MATCH(K$2,Inputs!$K$4:$AJ$4,0)))))</f>
        <v>2364</v>
      </c>
      <c r="L20" s="6">
        <f>IF(ISNA(MATCH(L$2,Inputs!$K$4:$AJ$4,0)),NA(),IF(SUMPRODUCT((Inputs!$A$5:$A$120=$B20)*ISNUMBER(INDEX(Inputs!$K$5:$AJ$120,0,MATCH(L$2,Inputs!$K$4:$AJ$4,0))))+SUMPRODUCT((Inputs!$C$5:$C$120=$B20)*ISNUMBER(INDEX(Inputs!$K$5:$AJ$120,0,MATCH(L$2,Inputs!$K$4:$AJ$4,0))))+SUMPRODUCT((Inputs!$E$5:$E$120=$B20)*ISNUMBER(INDEX(Inputs!$K$5:$AJ$120,0,MATCH(L$2,Inputs!$K$4:$AJ$4,0))))=0,NA(),SUMPRODUCT((Inputs!$A$5:$A$120=$B20)*Inputs!$B$5:$B$120*(((Inputs!$G$5:$G$120="moeda")+(Inputs!$G$5:$G$120="acoes"))*Inputs!$B$1+((Inputs!$G$5:$G$120&lt;&gt;"moeda")*(Inputs!$G$5:$G$120&lt;&gt;"acoes")))*INDEX(Inputs!$K$5:$AJ$120,0,MATCH(L$2,Inputs!$K$4:$AJ$4,0)))+SUMPRODUCT((Inputs!$C$5:$C$120=$B20)*Inputs!$D$5:$D$120*(((Inputs!$G$5:$G$120="moeda")+(Inputs!$G$5:$G$120="acoes"))*Inputs!$B$1+((Inputs!$G$5:$G$120&lt;&gt;"moeda")*(Inputs!$G$5:$G$120&lt;&gt;"acoes")))*INDEX(Inputs!$K$5:$AJ$120,0,MATCH(L$2,Inputs!$K$4:$AJ$4,0)))+SUMPRODUCT((Inputs!$E$5:$E$120=$B20)*Inputs!$F$5:$F$120*(((Inputs!$G$5:$G$120="moeda")+(Inputs!$G$5:$G$120="acoes"))*Inputs!$B$1+((Inputs!$G$5:$G$120&lt;&gt;"moeda")*(Inputs!$G$5:$G$120&lt;&gt;"acoes")))*INDEX(Inputs!$K$5:$AJ$120,0,MATCH(L$2,Inputs!$K$4:$AJ$4,0)))))</f>
        <v>2941</v>
      </c>
      <c r="M20" s="3">
        <f>L20</f>
        <v>2941</v>
      </c>
      <c r="N20" s="6">
        <f>IF(ISNA(MATCH(N$2,Inputs!$K$4:$AJ$4,0)),NA(),IF(SUMPRODUCT((Inputs!$A$5:$A$120=$B20)*ISNUMBER(INDEX(Inputs!$K$5:$AJ$120,0,MATCH(N$2,Inputs!$K$4:$AJ$4,0))))+SUMPRODUCT((Inputs!$C$5:$C$120=$B20)*ISNUMBER(INDEX(Inputs!$K$5:$AJ$120,0,MATCH(N$2,Inputs!$K$4:$AJ$4,0))))+SUMPRODUCT((Inputs!$E$5:$E$120=$B20)*ISNUMBER(INDEX(Inputs!$K$5:$AJ$120,0,MATCH(N$2,Inputs!$K$4:$AJ$4,0))))=0,NA(),SUMPRODUCT((Inputs!$A$5:$A$120=$B20)*Inputs!$B$5:$B$120*(((Inputs!$G$5:$G$120="moeda")+(Inputs!$G$5:$G$120="acoes"))*Inputs!$B$1+((Inputs!$G$5:$G$120&lt;&gt;"moeda")*(Inputs!$G$5:$G$120&lt;&gt;"acoes")))*INDEX(Inputs!$K$5:$AJ$120,0,MATCH(N$2,Inputs!$K$4:$AJ$4,0)))+SUMPRODUCT((Inputs!$C$5:$C$120=$B20)*Inputs!$D$5:$D$120*(((Inputs!$G$5:$G$120="moeda")+(Inputs!$G$5:$G$120="acoes"))*Inputs!$B$1+((Inputs!$G$5:$G$120&lt;&gt;"moeda")*(Inputs!$G$5:$G$120&lt;&gt;"acoes")))*INDEX(Inputs!$K$5:$AJ$120,0,MATCH(N$2,Inputs!$K$4:$AJ$4,0)))+SUMPRODUCT((Inputs!$E$5:$E$120=$B20)*Inputs!$F$5:$F$120*(((Inputs!$G$5:$G$120="moeda")+(Inputs!$G$5:$G$120="acoes"))*Inputs!$B$1+((Inputs!$G$5:$G$120&lt;&gt;"moeda")*(Inputs!$G$5:$G$120&lt;&gt;"acoes")))*INDEX(Inputs!$K$5:$AJ$120,0,MATCH(N$2,Inputs!$K$4:$AJ$4,0)))))</f>
        <v>3227</v>
      </c>
      <c r="O20" s="6">
        <f>IF(ISNA(MATCH(O$2,Inputs!$K$4:$AJ$4,0)),NA(),IF(SUMPRODUCT((Inputs!$A$5:$A$120=$B20)*ISNUMBER(INDEX(Inputs!$K$5:$AJ$120,0,MATCH(O$2,Inputs!$K$4:$AJ$4,0))))+SUMPRODUCT((Inputs!$C$5:$C$120=$B20)*ISNUMBER(INDEX(Inputs!$K$5:$AJ$120,0,MATCH(O$2,Inputs!$K$4:$AJ$4,0))))+SUMPRODUCT((Inputs!$E$5:$E$120=$B20)*ISNUMBER(INDEX(Inputs!$K$5:$AJ$120,0,MATCH(O$2,Inputs!$K$4:$AJ$4,0))))=0,NA(),SUMPRODUCT((Inputs!$A$5:$A$120=$B20)*Inputs!$B$5:$B$120*(((Inputs!$G$5:$G$120="moeda")+(Inputs!$G$5:$G$120="acoes"))*Inputs!$B$1+((Inputs!$G$5:$G$120&lt;&gt;"moeda")*(Inputs!$G$5:$G$120&lt;&gt;"acoes")))*INDEX(Inputs!$K$5:$AJ$120,0,MATCH(O$2,Inputs!$K$4:$AJ$4,0)))+SUMPRODUCT((Inputs!$C$5:$C$120=$B20)*Inputs!$D$5:$D$120*(((Inputs!$G$5:$G$120="moeda")+(Inputs!$G$5:$G$120="acoes"))*Inputs!$B$1+((Inputs!$G$5:$G$120&lt;&gt;"moeda")*(Inputs!$G$5:$G$120&lt;&gt;"acoes")))*INDEX(Inputs!$K$5:$AJ$120,0,MATCH(O$2,Inputs!$K$4:$AJ$4,0)))+SUMPRODUCT((Inputs!$E$5:$E$120=$B20)*Inputs!$F$5:$F$120*(((Inputs!$G$5:$G$120="moeda")+(Inputs!$G$5:$G$120="acoes"))*Inputs!$B$1+((Inputs!$G$5:$G$120&lt;&gt;"moeda")*(Inputs!$G$5:$G$120&lt;&gt;"acoes")))*INDEX(Inputs!$K$5:$AJ$120,0,MATCH(O$2,Inputs!$K$4:$AJ$4,0)))))</f>
        <v>2997</v>
      </c>
      <c r="P20" s="6">
        <f>IF(ISNA(MATCH(P$2,Inputs!$K$4:$AJ$4,0)),NA(),IF(SUMPRODUCT((Inputs!$A$5:$A$120=$B20)*ISNUMBER(INDEX(Inputs!$K$5:$AJ$120,0,MATCH(P$2,Inputs!$K$4:$AJ$4,0))))+SUMPRODUCT((Inputs!$C$5:$C$120=$B20)*ISNUMBER(INDEX(Inputs!$K$5:$AJ$120,0,MATCH(P$2,Inputs!$K$4:$AJ$4,0))))+SUMPRODUCT((Inputs!$E$5:$E$120=$B20)*ISNUMBER(INDEX(Inputs!$K$5:$AJ$120,0,MATCH(P$2,Inputs!$K$4:$AJ$4,0))))=0,NA(),SUMPRODUCT((Inputs!$A$5:$A$120=$B20)*Inputs!$B$5:$B$120*(((Inputs!$G$5:$G$120="moeda")+(Inputs!$G$5:$G$120="acoes"))*Inputs!$B$1+((Inputs!$G$5:$G$120&lt;&gt;"moeda")*(Inputs!$G$5:$G$120&lt;&gt;"acoes")))*INDEX(Inputs!$K$5:$AJ$120,0,MATCH(P$2,Inputs!$K$4:$AJ$4,0)))+SUMPRODUCT((Inputs!$C$5:$C$120=$B20)*Inputs!$D$5:$D$120*(((Inputs!$G$5:$G$120="moeda")+(Inputs!$G$5:$G$120="acoes"))*Inputs!$B$1+((Inputs!$G$5:$G$120&lt;&gt;"moeda")*(Inputs!$G$5:$G$120&lt;&gt;"acoes")))*INDEX(Inputs!$K$5:$AJ$120,0,MATCH(P$2,Inputs!$K$4:$AJ$4,0)))+SUMPRODUCT((Inputs!$E$5:$E$120=$B20)*Inputs!$F$5:$F$120*(((Inputs!$G$5:$G$120="moeda")+(Inputs!$G$5:$G$120="acoes"))*Inputs!$B$1+((Inputs!$G$5:$G$120&lt;&gt;"moeda")*(Inputs!$G$5:$G$120&lt;&gt;"acoes")))*INDEX(Inputs!$K$5:$AJ$120,0,MATCH(P$2,Inputs!$K$4:$AJ$4,0)))))</f>
        <v>2708</v>
      </c>
      <c r="Q20" s="6">
        <f>IF(ISNA(MATCH(Q$2,Inputs!$K$4:$AJ$4,0)),NA(),IF(SUMPRODUCT((Inputs!$A$5:$A$120=$B20)*ISNUMBER(INDEX(Inputs!$K$5:$AJ$120,0,MATCH(Q$2,Inputs!$K$4:$AJ$4,0))))+SUMPRODUCT((Inputs!$C$5:$C$120=$B20)*ISNUMBER(INDEX(Inputs!$K$5:$AJ$120,0,MATCH(Q$2,Inputs!$K$4:$AJ$4,0))))+SUMPRODUCT((Inputs!$E$5:$E$120=$B20)*ISNUMBER(INDEX(Inputs!$K$5:$AJ$120,0,MATCH(Q$2,Inputs!$K$4:$AJ$4,0))))=0,NA(),SUMPRODUCT((Inputs!$A$5:$A$120=$B20)*Inputs!$B$5:$B$120*(((Inputs!$G$5:$G$120="moeda")+(Inputs!$G$5:$G$120="acoes"))*Inputs!$B$1+((Inputs!$G$5:$G$120&lt;&gt;"moeda")*(Inputs!$G$5:$G$120&lt;&gt;"acoes")))*INDEX(Inputs!$K$5:$AJ$120,0,MATCH(Q$2,Inputs!$K$4:$AJ$4,0)))+SUMPRODUCT((Inputs!$C$5:$C$120=$B20)*Inputs!$D$5:$D$120*(((Inputs!$G$5:$G$120="moeda")+(Inputs!$G$5:$G$120="acoes"))*Inputs!$B$1+((Inputs!$G$5:$G$120&lt;&gt;"moeda")*(Inputs!$G$5:$G$120&lt;&gt;"acoes")))*INDEX(Inputs!$K$5:$AJ$120,0,MATCH(Q$2,Inputs!$K$4:$AJ$4,0)))+SUMPRODUCT((Inputs!$E$5:$E$120=$B20)*Inputs!$F$5:$F$120*(((Inputs!$G$5:$G$120="moeda")+(Inputs!$G$5:$G$120="acoes"))*Inputs!$B$1+((Inputs!$G$5:$G$120&lt;&gt;"moeda")*(Inputs!$G$5:$G$120&lt;&gt;"acoes")))*INDEX(Inputs!$K$5:$AJ$120,0,MATCH(Q$2,Inputs!$K$4:$AJ$4,0)))))</f>
        <v>3388</v>
      </c>
      <c r="R20" s="3">
        <f>Q20</f>
        <v>3388</v>
      </c>
      <c r="S20" s="6">
        <f>IF(ISNA(MATCH(S$2,Inputs!$K$4:$AJ$4,0)),NA(),IF(SUMPRODUCT((Inputs!$A$5:$A$120=$B20)*ISNUMBER(INDEX(Inputs!$K$5:$AJ$120,0,MATCH(S$2,Inputs!$K$4:$AJ$4,0))))+SUMPRODUCT((Inputs!$C$5:$C$120=$B20)*ISNUMBER(INDEX(Inputs!$K$5:$AJ$120,0,MATCH(S$2,Inputs!$K$4:$AJ$4,0))))+SUMPRODUCT((Inputs!$E$5:$E$120=$B20)*ISNUMBER(INDEX(Inputs!$K$5:$AJ$120,0,MATCH(S$2,Inputs!$K$4:$AJ$4,0))))=0,NA(),SUMPRODUCT((Inputs!$A$5:$A$120=$B20)*Inputs!$B$5:$B$120*(((Inputs!$G$5:$G$120="moeda")+(Inputs!$G$5:$G$120="acoes"))*Inputs!$B$1+((Inputs!$G$5:$G$120&lt;&gt;"moeda")*(Inputs!$G$5:$G$120&lt;&gt;"acoes")))*INDEX(Inputs!$K$5:$AJ$120,0,MATCH(S$2,Inputs!$K$4:$AJ$4,0)))+SUMPRODUCT((Inputs!$C$5:$C$120=$B20)*Inputs!$D$5:$D$120*(((Inputs!$G$5:$G$120="moeda")+(Inputs!$G$5:$G$120="acoes"))*Inputs!$B$1+((Inputs!$G$5:$G$120&lt;&gt;"moeda")*(Inputs!$G$5:$G$120&lt;&gt;"acoes")))*INDEX(Inputs!$K$5:$AJ$120,0,MATCH(S$2,Inputs!$K$4:$AJ$4,0)))+SUMPRODUCT((Inputs!$E$5:$E$120=$B20)*Inputs!$F$5:$F$120*(((Inputs!$G$5:$G$120="moeda")+(Inputs!$G$5:$G$120="acoes"))*Inputs!$B$1+((Inputs!$G$5:$G$120&lt;&gt;"moeda")*(Inputs!$G$5:$G$120&lt;&gt;"acoes")))*INDEX(Inputs!$K$5:$AJ$120,0,MATCH(S$2,Inputs!$K$4:$AJ$4,0)))))</f>
        <v>3752</v>
      </c>
      <c r="T20" s="6">
        <f>IF(ISNA(MATCH(T$2,Inputs!$K$4:$AJ$4,0)),NA(),IF(SUMPRODUCT((Inputs!$A$5:$A$120=$B20)*ISNUMBER(INDEX(Inputs!$K$5:$AJ$120,0,MATCH(T$2,Inputs!$K$4:$AJ$4,0))))+SUMPRODUCT((Inputs!$C$5:$C$120=$B20)*ISNUMBER(INDEX(Inputs!$K$5:$AJ$120,0,MATCH(T$2,Inputs!$K$4:$AJ$4,0))))+SUMPRODUCT((Inputs!$E$5:$E$120=$B20)*ISNUMBER(INDEX(Inputs!$K$5:$AJ$120,0,MATCH(T$2,Inputs!$K$4:$AJ$4,0))))=0,NA(),SUMPRODUCT((Inputs!$A$5:$A$120=$B20)*Inputs!$B$5:$B$120*(((Inputs!$G$5:$G$120="moeda")+(Inputs!$G$5:$G$120="acoes"))*Inputs!$B$1+((Inputs!$G$5:$G$120&lt;&gt;"moeda")*(Inputs!$G$5:$G$120&lt;&gt;"acoes")))*INDEX(Inputs!$K$5:$AJ$120,0,MATCH(T$2,Inputs!$K$4:$AJ$4,0)))+SUMPRODUCT((Inputs!$C$5:$C$120=$B20)*Inputs!$D$5:$D$120*(((Inputs!$G$5:$G$120="moeda")+(Inputs!$G$5:$G$120="acoes"))*Inputs!$B$1+((Inputs!$G$5:$G$120&lt;&gt;"moeda")*(Inputs!$G$5:$G$120&lt;&gt;"acoes")))*INDEX(Inputs!$K$5:$AJ$120,0,MATCH(T$2,Inputs!$K$4:$AJ$4,0)))+SUMPRODUCT((Inputs!$E$5:$E$120=$B20)*Inputs!$F$5:$F$120*(((Inputs!$G$5:$G$120="moeda")+(Inputs!$G$5:$G$120="acoes"))*Inputs!$B$1+((Inputs!$G$5:$G$120&lt;&gt;"moeda")*(Inputs!$G$5:$G$120&lt;&gt;"acoes")))*INDEX(Inputs!$K$5:$AJ$120,0,MATCH(T$2,Inputs!$K$4:$AJ$4,0)))))</f>
        <v>4325</v>
      </c>
      <c r="U20" s="6">
        <f>IF(ISNA(MATCH(U$2,Inputs!$K$4:$AJ$4,0)),NA(),IF(SUMPRODUCT((Inputs!$A$5:$A$120=$B20)*ISNUMBER(INDEX(Inputs!$K$5:$AJ$120,0,MATCH(U$2,Inputs!$K$4:$AJ$4,0))))+SUMPRODUCT((Inputs!$C$5:$C$120=$B20)*ISNUMBER(INDEX(Inputs!$K$5:$AJ$120,0,MATCH(U$2,Inputs!$K$4:$AJ$4,0))))+SUMPRODUCT((Inputs!$E$5:$E$120=$B20)*ISNUMBER(INDEX(Inputs!$K$5:$AJ$120,0,MATCH(U$2,Inputs!$K$4:$AJ$4,0))))=0,NA(),SUMPRODUCT((Inputs!$A$5:$A$120=$B20)*Inputs!$B$5:$B$120*(((Inputs!$G$5:$G$120="moeda")+(Inputs!$G$5:$G$120="acoes"))*Inputs!$B$1+((Inputs!$G$5:$G$120&lt;&gt;"moeda")*(Inputs!$G$5:$G$120&lt;&gt;"acoes")))*INDEX(Inputs!$K$5:$AJ$120,0,MATCH(U$2,Inputs!$K$4:$AJ$4,0)))+SUMPRODUCT((Inputs!$C$5:$C$120=$B20)*Inputs!$D$5:$D$120*(((Inputs!$G$5:$G$120="moeda")+(Inputs!$G$5:$G$120="acoes"))*Inputs!$B$1+((Inputs!$G$5:$G$120&lt;&gt;"moeda")*(Inputs!$G$5:$G$120&lt;&gt;"acoes")))*INDEX(Inputs!$K$5:$AJ$120,0,MATCH(U$2,Inputs!$K$4:$AJ$4,0)))+SUMPRODUCT((Inputs!$E$5:$E$120=$B20)*Inputs!$F$5:$F$120*(((Inputs!$G$5:$G$120="moeda")+(Inputs!$G$5:$G$120="acoes"))*Inputs!$B$1+((Inputs!$G$5:$G$120&lt;&gt;"moeda")*(Inputs!$G$5:$G$120&lt;&gt;"acoes")))*INDEX(Inputs!$K$5:$AJ$120,0,MATCH(U$2,Inputs!$K$4:$AJ$4,0)))))</f>
        <v>4888</v>
      </c>
      <c r="V20" s="6">
        <f>IF(ISNA(MATCH(V$2,Inputs!$K$4:$AJ$4,0)),NA(),IF(SUMPRODUCT((Inputs!$A$5:$A$120=$B20)*ISNUMBER(INDEX(Inputs!$K$5:$AJ$120,0,MATCH(V$2,Inputs!$K$4:$AJ$4,0))))+SUMPRODUCT((Inputs!$C$5:$C$120=$B20)*ISNUMBER(INDEX(Inputs!$K$5:$AJ$120,0,MATCH(V$2,Inputs!$K$4:$AJ$4,0))))+SUMPRODUCT((Inputs!$E$5:$E$120=$B20)*ISNUMBER(INDEX(Inputs!$K$5:$AJ$120,0,MATCH(V$2,Inputs!$K$4:$AJ$4,0))))=0,NA(),SUMPRODUCT((Inputs!$A$5:$A$120=$B20)*Inputs!$B$5:$B$120*(((Inputs!$G$5:$G$120="moeda")+(Inputs!$G$5:$G$120="acoes"))*Inputs!$B$1+((Inputs!$G$5:$G$120&lt;&gt;"moeda")*(Inputs!$G$5:$G$120&lt;&gt;"acoes")))*INDEX(Inputs!$K$5:$AJ$120,0,MATCH(V$2,Inputs!$K$4:$AJ$4,0)))+SUMPRODUCT((Inputs!$C$5:$C$120=$B20)*Inputs!$D$5:$D$120*(((Inputs!$G$5:$G$120="moeda")+(Inputs!$G$5:$G$120="acoes"))*Inputs!$B$1+((Inputs!$G$5:$G$120&lt;&gt;"moeda")*(Inputs!$G$5:$G$120&lt;&gt;"acoes")))*INDEX(Inputs!$K$5:$AJ$120,0,MATCH(V$2,Inputs!$K$4:$AJ$4,0)))+SUMPRODUCT((Inputs!$E$5:$E$120=$B20)*Inputs!$F$5:$F$120*(((Inputs!$G$5:$G$120="moeda")+(Inputs!$G$5:$G$120="acoes"))*Inputs!$B$1+((Inputs!$G$5:$G$120&lt;&gt;"moeda")*(Inputs!$G$5:$G$120&lt;&gt;"acoes")))*INDEX(Inputs!$K$5:$AJ$120,0,MATCH(V$2,Inputs!$K$4:$AJ$4,0)))))</f>
        <v>5362</v>
      </c>
      <c r="W20" s="3">
        <f>V20</f>
        <v>5362</v>
      </c>
      <c r="X20" s="6">
        <f>IF(ISNA(MATCH(X$2,Inputs!$K$4:$AJ$4,0)),NA(),IF(SUMPRODUCT((Inputs!$A$5:$A$120=$B20)*ISNUMBER(INDEX(Inputs!$K$5:$AJ$120,0,MATCH(X$2,Inputs!$K$4:$AJ$4,0))))+SUMPRODUCT((Inputs!$C$5:$C$120=$B20)*ISNUMBER(INDEX(Inputs!$K$5:$AJ$120,0,MATCH(X$2,Inputs!$K$4:$AJ$4,0))))+SUMPRODUCT((Inputs!$E$5:$E$120=$B20)*ISNUMBER(INDEX(Inputs!$K$5:$AJ$120,0,MATCH(X$2,Inputs!$K$4:$AJ$4,0))))=0,NA(),SUMPRODUCT((Inputs!$A$5:$A$120=$B20)*Inputs!$B$5:$B$120*(((Inputs!$G$5:$G$120="moeda")+(Inputs!$G$5:$G$120="acoes"))*Inputs!$B$1+((Inputs!$G$5:$G$120&lt;&gt;"moeda")*(Inputs!$G$5:$G$120&lt;&gt;"acoes")))*INDEX(Inputs!$K$5:$AJ$120,0,MATCH(X$2,Inputs!$K$4:$AJ$4,0)))+SUMPRODUCT((Inputs!$C$5:$C$120=$B20)*Inputs!$D$5:$D$120*(((Inputs!$G$5:$G$120="moeda")+(Inputs!$G$5:$G$120="acoes"))*Inputs!$B$1+((Inputs!$G$5:$G$120&lt;&gt;"moeda")*(Inputs!$G$5:$G$120&lt;&gt;"acoes")))*INDEX(Inputs!$K$5:$AJ$120,0,MATCH(X$2,Inputs!$K$4:$AJ$4,0)))+SUMPRODUCT((Inputs!$E$5:$E$120=$B20)*Inputs!$F$5:$F$120*(((Inputs!$G$5:$G$120="moeda")+(Inputs!$G$5:$G$120="acoes"))*Inputs!$B$1+((Inputs!$G$5:$G$120&lt;&gt;"moeda")*(Inputs!$G$5:$G$120&lt;&gt;"acoes")))*INDEX(Inputs!$K$5:$AJ$120,0,MATCH(X$2,Inputs!$K$4:$AJ$4,0)))))</f>
        <v>4905</v>
      </c>
      <c r="Y20" s="6">
        <f>IF(ISNA(MATCH(Y$2,Inputs!$K$4:$AJ$4,0)),NA(),IF(SUMPRODUCT((Inputs!$A$5:$A$120=$B20)*ISNUMBER(INDEX(Inputs!$K$5:$AJ$120,0,MATCH(Y$2,Inputs!$K$4:$AJ$4,0))))+SUMPRODUCT((Inputs!$C$5:$C$120=$B20)*ISNUMBER(INDEX(Inputs!$K$5:$AJ$120,0,MATCH(Y$2,Inputs!$K$4:$AJ$4,0))))+SUMPRODUCT((Inputs!$E$5:$E$120=$B20)*ISNUMBER(INDEX(Inputs!$K$5:$AJ$120,0,MATCH(Y$2,Inputs!$K$4:$AJ$4,0))))=0,NA(),SUMPRODUCT((Inputs!$A$5:$A$120=$B20)*Inputs!$B$5:$B$120*(((Inputs!$G$5:$G$120="moeda")+(Inputs!$G$5:$G$120="acoes"))*Inputs!$B$1+((Inputs!$G$5:$G$120&lt;&gt;"moeda")*(Inputs!$G$5:$G$120&lt;&gt;"acoes")))*INDEX(Inputs!$K$5:$AJ$120,0,MATCH(Y$2,Inputs!$K$4:$AJ$4,0)))+SUMPRODUCT((Inputs!$C$5:$C$120=$B20)*Inputs!$D$5:$D$120*(((Inputs!$G$5:$G$120="moeda")+(Inputs!$G$5:$G$120="acoes"))*Inputs!$B$1+((Inputs!$G$5:$G$120&lt;&gt;"moeda")*(Inputs!$G$5:$G$120&lt;&gt;"acoes")))*INDEX(Inputs!$K$5:$AJ$120,0,MATCH(Y$2,Inputs!$K$4:$AJ$4,0)))+SUMPRODUCT((Inputs!$E$5:$E$120=$B20)*Inputs!$F$5:$F$120*(((Inputs!$G$5:$G$120="moeda")+(Inputs!$G$5:$G$120="acoes"))*Inputs!$B$1+((Inputs!$G$5:$G$120&lt;&gt;"moeda")*(Inputs!$G$5:$G$120&lt;&gt;"acoes")))*INDEX(Inputs!$K$5:$AJ$120,0,MATCH(Y$2,Inputs!$K$4:$AJ$4,0)))))</f>
        <v>5943</v>
      </c>
      <c r="Z20" s="6">
        <f>IF(ISNA(MATCH(Z$2,Inputs!$K$4:$AJ$4,0)),NA(),IF(SUMPRODUCT((Inputs!$A$5:$A$120=$B20)*ISNUMBER(INDEX(Inputs!$K$5:$AJ$120,0,MATCH(Z$2,Inputs!$K$4:$AJ$4,0))))+SUMPRODUCT((Inputs!$C$5:$C$120=$B20)*ISNUMBER(INDEX(Inputs!$K$5:$AJ$120,0,MATCH(Z$2,Inputs!$K$4:$AJ$4,0))))+SUMPRODUCT((Inputs!$E$5:$E$120=$B20)*ISNUMBER(INDEX(Inputs!$K$5:$AJ$120,0,MATCH(Z$2,Inputs!$K$4:$AJ$4,0))))=0,NA(),SUMPRODUCT((Inputs!$A$5:$A$120=$B20)*Inputs!$B$5:$B$120*(((Inputs!$G$5:$G$120="moeda")+(Inputs!$G$5:$G$120="acoes"))*Inputs!$B$1+((Inputs!$G$5:$G$120&lt;&gt;"moeda")*(Inputs!$G$5:$G$120&lt;&gt;"acoes")))*INDEX(Inputs!$K$5:$AJ$120,0,MATCH(Z$2,Inputs!$K$4:$AJ$4,0)))+SUMPRODUCT((Inputs!$C$5:$C$120=$B20)*Inputs!$D$5:$D$120*(((Inputs!$G$5:$G$120="moeda")+(Inputs!$G$5:$G$120="acoes"))*Inputs!$B$1+((Inputs!$G$5:$G$120&lt;&gt;"moeda")*(Inputs!$G$5:$G$120&lt;&gt;"acoes")))*INDEX(Inputs!$K$5:$AJ$120,0,MATCH(Z$2,Inputs!$K$4:$AJ$4,0)))+SUMPRODUCT((Inputs!$E$5:$E$120=$B20)*Inputs!$F$5:$F$120*(((Inputs!$G$5:$G$120="moeda")+(Inputs!$G$5:$G$120="acoes"))*Inputs!$B$1+((Inputs!$G$5:$G$120&lt;&gt;"moeda")*(Inputs!$G$5:$G$120&lt;&gt;"acoes")))*INDEX(Inputs!$K$5:$AJ$120,0,MATCH(Z$2,Inputs!$K$4:$AJ$4,0)))))</f>
        <v>6027</v>
      </c>
      <c r="AA20" s="6">
        <f>IF(ISNA(MATCH(AA$2,Inputs!$K$4:$AJ$4,0)),NA(),IF(SUMPRODUCT((Inputs!$A$5:$A$120=$B20)*ISNUMBER(INDEX(Inputs!$K$5:$AJ$120,0,MATCH(AA$2,Inputs!$K$4:$AJ$4,0))))+SUMPRODUCT((Inputs!$C$5:$C$120=$B20)*ISNUMBER(INDEX(Inputs!$K$5:$AJ$120,0,MATCH(AA$2,Inputs!$K$4:$AJ$4,0))))+SUMPRODUCT((Inputs!$E$5:$E$120=$B20)*ISNUMBER(INDEX(Inputs!$K$5:$AJ$120,0,MATCH(AA$2,Inputs!$K$4:$AJ$4,0))))=0,NA(),SUMPRODUCT((Inputs!$A$5:$A$120=$B20)*Inputs!$B$5:$B$120*(((Inputs!$G$5:$G$120="moeda")+(Inputs!$G$5:$G$120="acoes"))*Inputs!$B$1+((Inputs!$G$5:$G$120&lt;&gt;"moeda")*(Inputs!$G$5:$G$120&lt;&gt;"acoes")))*INDEX(Inputs!$K$5:$AJ$120,0,MATCH(AA$2,Inputs!$K$4:$AJ$4,0)))+SUMPRODUCT((Inputs!$C$5:$C$120=$B20)*Inputs!$D$5:$D$120*(((Inputs!$G$5:$G$120="moeda")+(Inputs!$G$5:$G$120="acoes"))*Inputs!$B$1+((Inputs!$G$5:$G$120&lt;&gt;"moeda")*(Inputs!$G$5:$G$120&lt;&gt;"acoes")))*INDEX(Inputs!$K$5:$AJ$120,0,MATCH(AA$2,Inputs!$K$4:$AJ$4,0)))+SUMPRODUCT((Inputs!$E$5:$E$120=$B20)*Inputs!$F$5:$F$120*(((Inputs!$G$5:$G$120="moeda")+(Inputs!$G$5:$G$120="acoes"))*Inputs!$B$1+((Inputs!$G$5:$G$120&lt;&gt;"moeda")*(Inputs!$G$5:$G$120&lt;&gt;"acoes")))*INDEX(Inputs!$K$5:$AJ$120,0,MATCH(AA$2,Inputs!$K$4:$AJ$4,0)))))</f>
        <v>7615</v>
      </c>
      <c r="AB20" s="3">
        <f>AA20</f>
        <v>7615</v>
      </c>
      <c r="AC20" s="6">
        <f>IF(ISNA(MATCH(AC$2,Inputs!$K$4:$AJ$4,0)),NA(),IF(SUMPRODUCT((Inputs!$A$5:$A$120=$B20)*ISNUMBER(INDEX(Inputs!$K$5:$AJ$120,0,MATCH(AC$2,Inputs!$K$4:$AJ$4,0))))+SUMPRODUCT((Inputs!$C$5:$C$120=$B20)*ISNUMBER(INDEX(Inputs!$K$5:$AJ$120,0,MATCH(AC$2,Inputs!$K$4:$AJ$4,0))))+SUMPRODUCT((Inputs!$E$5:$E$120=$B20)*ISNUMBER(INDEX(Inputs!$K$5:$AJ$120,0,MATCH(AC$2,Inputs!$K$4:$AJ$4,0))))=0,NA(),SUMPRODUCT((Inputs!$A$5:$A$120=$B20)*Inputs!$B$5:$B$120*(((Inputs!$G$5:$G$120="moeda")+(Inputs!$G$5:$G$120="acoes"))*Inputs!$B$1+((Inputs!$G$5:$G$120&lt;&gt;"moeda")*(Inputs!$G$5:$G$120&lt;&gt;"acoes")))*INDEX(Inputs!$K$5:$AJ$120,0,MATCH(AC$2,Inputs!$K$4:$AJ$4,0)))+SUMPRODUCT((Inputs!$C$5:$C$120=$B20)*Inputs!$D$5:$D$120*(((Inputs!$G$5:$G$120="moeda")+(Inputs!$G$5:$G$120="acoes"))*Inputs!$B$1+((Inputs!$G$5:$G$120&lt;&gt;"moeda")*(Inputs!$G$5:$G$120&lt;&gt;"acoes")))*INDEX(Inputs!$K$5:$AJ$120,0,MATCH(AC$2,Inputs!$K$4:$AJ$4,0)))+SUMPRODUCT((Inputs!$E$5:$E$120=$B20)*Inputs!$F$5:$F$120*(((Inputs!$G$5:$G$120="moeda")+(Inputs!$G$5:$G$120="acoes"))*Inputs!$B$1+((Inputs!$G$5:$G$120&lt;&gt;"moeda")*(Inputs!$G$5:$G$120&lt;&gt;"acoes")))*INDEX(Inputs!$K$5:$AJ$120,0,MATCH(AC$2,Inputs!$K$4:$AJ$4,0)))))</f>
        <v>6612</v>
      </c>
      <c r="AD20" s="6">
        <f>IF(ISNA(MATCH(AD$2,Inputs!$K$4:$AJ$4,0)),NA(),IF(SUMPRODUCT((Inputs!$A$5:$A$120=$B20)*ISNUMBER(INDEX(Inputs!$K$5:$AJ$120,0,MATCH(AD$2,Inputs!$K$4:$AJ$4,0))))+SUMPRODUCT((Inputs!$C$5:$C$120=$B20)*ISNUMBER(INDEX(Inputs!$K$5:$AJ$120,0,MATCH(AD$2,Inputs!$K$4:$AJ$4,0))))+SUMPRODUCT((Inputs!$E$5:$E$120=$B20)*ISNUMBER(INDEX(Inputs!$K$5:$AJ$120,0,MATCH(AD$2,Inputs!$K$4:$AJ$4,0))))=0,NA(),SUMPRODUCT((Inputs!$A$5:$A$120=$B20)*Inputs!$B$5:$B$120*(((Inputs!$G$5:$G$120="moeda")+(Inputs!$G$5:$G$120="acoes"))*Inputs!$B$1+((Inputs!$G$5:$G$120&lt;&gt;"moeda")*(Inputs!$G$5:$G$120&lt;&gt;"acoes")))*INDEX(Inputs!$K$5:$AJ$120,0,MATCH(AD$2,Inputs!$K$4:$AJ$4,0)))+SUMPRODUCT((Inputs!$C$5:$C$120=$B20)*Inputs!$D$5:$D$120*(((Inputs!$G$5:$G$120="moeda")+(Inputs!$G$5:$G$120="acoes"))*Inputs!$B$1+((Inputs!$G$5:$G$120&lt;&gt;"moeda")*(Inputs!$G$5:$G$120&lt;&gt;"acoes")))*INDEX(Inputs!$K$5:$AJ$120,0,MATCH(AD$2,Inputs!$K$4:$AJ$4,0)))+SUMPRODUCT((Inputs!$E$5:$E$120=$B20)*Inputs!$F$5:$F$120*(((Inputs!$G$5:$G$120="moeda")+(Inputs!$G$5:$G$120="acoes"))*Inputs!$B$1+((Inputs!$G$5:$G$120&lt;&gt;"moeda")*(Inputs!$G$5:$G$120&lt;&gt;"acoes")))*INDEX(Inputs!$K$5:$AJ$120,0,MATCH(AD$2,Inputs!$K$4:$AJ$4,0)))))</f>
        <v>7395</v>
      </c>
      <c r="AE20" s="6" t="e">
        <f>IF(ISNA(MATCH(AE$2,Inputs!$K$4:$AJ$4,0)),NA(),IF(SUMPRODUCT((Inputs!$A$5:$A$120=$B20)*ISNUMBER(INDEX(Inputs!$K$5:$AJ$120,0,MATCH(AE$2,Inputs!$K$4:$AJ$4,0))))+SUMPRODUCT((Inputs!$C$5:$C$120=$B20)*ISNUMBER(INDEX(Inputs!$K$5:$AJ$120,0,MATCH(AE$2,Inputs!$K$4:$AJ$4,0))))+SUMPRODUCT((Inputs!$E$5:$E$120=$B20)*ISNUMBER(INDEX(Inputs!$K$5:$AJ$120,0,MATCH(AE$2,Inputs!$K$4:$AJ$4,0))))=0,NA(),SUMPRODUCT((Inputs!$A$5:$A$120=$B20)*Inputs!$B$5:$B$120*(((Inputs!$G$5:$G$120="moeda")+(Inputs!$G$5:$G$120="acoes"))*Inputs!$B$1+((Inputs!$G$5:$G$120&lt;&gt;"moeda")*(Inputs!$G$5:$G$120&lt;&gt;"acoes")))*INDEX(Inputs!$K$5:$AJ$120,0,MATCH(AE$2,Inputs!$K$4:$AJ$4,0)))+SUMPRODUCT((Inputs!$C$5:$C$120=$B20)*Inputs!$D$5:$D$120*(((Inputs!$G$5:$G$120="moeda")+(Inputs!$G$5:$G$120="acoes"))*Inputs!$B$1+((Inputs!$G$5:$G$120&lt;&gt;"moeda")*(Inputs!$G$5:$G$120&lt;&gt;"acoes")))*INDEX(Inputs!$K$5:$AJ$120,0,MATCH(AE$2,Inputs!$K$4:$AJ$4,0)))+SUMPRODUCT((Inputs!$E$5:$E$120=$B20)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20" s="6" t="e">
        <f>IF(ISNA(MATCH(AF$2,Inputs!$K$4:$AJ$4,0)),NA(),IF(SUMPRODUCT((Inputs!$A$5:$A$120=$B20)*ISNUMBER(INDEX(Inputs!$K$5:$AJ$120,0,MATCH(AF$2,Inputs!$K$4:$AJ$4,0))))+SUMPRODUCT((Inputs!$C$5:$C$120=$B20)*ISNUMBER(INDEX(Inputs!$K$5:$AJ$120,0,MATCH(AF$2,Inputs!$K$4:$AJ$4,0))))+SUMPRODUCT((Inputs!$E$5:$E$120=$B20)*ISNUMBER(INDEX(Inputs!$K$5:$AJ$120,0,MATCH(AF$2,Inputs!$K$4:$AJ$4,0))))=0,NA(),SUMPRODUCT((Inputs!$A$5:$A$120=$B20)*Inputs!$B$5:$B$120*(((Inputs!$G$5:$G$120="moeda")+(Inputs!$G$5:$G$120="acoes"))*Inputs!$B$1+((Inputs!$G$5:$G$120&lt;&gt;"moeda")*(Inputs!$G$5:$G$120&lt;&gt;"acoes")))*INDEX(Inputs!$K$5:$AJ$120,0,MATCH(AF$2,Inputs!$K$4:$AJ$4,0)))+SUMPRODUCT((Inputs!$C$5:$C$120=$B20)*Inputs!$D$5:$D$120*(((Inputs!$G$5:$G$120="moeda")+(Inputs!$G$5:$G$120="acoes"))*Inputs!$B$1+((Inputs!$G$5:$G$120&lt;&gt;"moeda")*(Inputs!$G$5:$G$120&lt;&gt;"acoes")))*INDEX(Inputs!$K$5:$AJ$120,0,MATCH(AF$2,Inputs!$K$4:$AJ$4,0)))+SUMPRODUCT((Inputs!$E$5:$E$120=$B20)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20" s="3" t="e">
        <f>AF20</f>
        <v>#N/A</v>
      </c>
      <c r="AH20" s="6">
        <f>IF(ISNA(MATCH(AH$2,Inputs!$K$4:$AJ$4,0)),NA(),IF(SUMPRODUCT((Inputs!$A$5:$A$120=$B20)*ISNUMBER(INDEX(Inputs!$K$5:$AJ$120,0,MATCH(AH$2,Inputs!$K$4:$AJ$4,0))))+SUMPRODUCT((Inputs!$C$5:$C$120=$B20)*ISNUMBER(INDEX(Inputs!$K$5:$AJ$120,0,MATCH(AH$2,Inputs!$K$4:$AJ$4,0))))+SUMPRODUCT((Inputs!$E$5:$E$120=$B20)*ISNUMBER(INDEX(Inputs!$K$5:$AJ$120,0,MATCH(AH$2,Inputs!$K$4:$AJ$4,0))))=0,NA(),SUMPRODUCT((Inputs!$A$5:$A$120=$B20)*Inputs!$B$5:$B$120*(((Inputs!$G$5:$G$120="moeda")+(Inputs!$G$5:$G$120="acoes"))*Inputs!$B$1+((Inputs!$G$5:$G$120&lt;&gt;"moeda")*(Inputs!$G$5:$G$120&lt;&gt;"acoes")))*INDEX(Inputs!$K$5:$AJ$120,0,MATCH(AH$2,Inputs!$K$4:$AJ$4,0)))+SUMPRODUCT((Inputs!$C$5:$C$120=$B20)*Inputs!$D$5:$D$120*(((Inputs!$G$5:$G$120="moeda")+(Inputs!$G$5:$G$120="acoes"))*Inputs!$B$1+((Inputs!$G$5:$G$120&lt;&gt;"moeda")*(Inputs!$G$5:$G$120&lt;&gt;"acoes")))*INDEX(Inputs!$K$5:$AJ$120,0,MATCH(AH$2,Inputs!$K$4:$AJ$4,0)))+SUMPRODUCT((Inputs!$E$5:$E$120=$B20)*Inputs!$F$5:$F$120*(((Inputs!$G$5:$G$120="moeda")+(Inputs!$G$5:$G$120="acoes"))*Inputs!$B$1+((Inputs!$G$5:$G$120&lt;&gt;"moeda")*(Inputs!$G$5:$G$120&lt;&gt;"acoes")))*INDEX(Inputs!$K$5:$AJ$120,0,MATCH(AH$2,Inputs!$K$4:$AJ$4,0)))))</f>
        <v>1045</v>
      </c>
      <c r="AI20" s="6">
        <f>IF(ISNA(MATCH(AI$2,Inputs!$K$4:$AJ$4,0)),NA(),IF(SUMPRODUCT((Inputs!$A$5:$A$120=$B20)*ISNUMBER(INDEX(Inputs!$K$5:$AJ$120,0,MATCH(AI$2,Inputs!$K$4:$AJ$4,0))))+SUMPRODUCT((Inputs!$C$5:$C$120=$B20)*ISNUMBER(INDEX(Inputs!$K$5:$AJ$120,0,MATCH(AI$2,Inputs!$K$4:$AJ$4,0))))+SUMPRODUCT((Inputs!$E$5:$E$120=$B20)*ISNUMBER(INDEX(Inputs!$K$5:$AJ$120,0,MATCH(AI$2,Inputs!$K$4:$AJ$4,0))))=0,NA(),SUMPRODUCT((Inputs!$A$5:$A$120=$B20)*Inputs!$B$5:$B$120*(((Inputs!$G$5:$G$120="moeda")+(Inputs!$G$5:$G$120="acoes"))*Inputs!$B$1+((Inputs!$G$5:$G$120&lt;&gt;"moeda")*(Inputs!$G$5:$G$120&lt;&gt;"acoes")))*INDEX(Inputs!$K$5:$AJ$120,0,MATCH(AI$2,Inputs!$K$4:$AJ$4,0)))+SUMPRODUCT((Inputs!$C$5:$C$120=$B20)*Inputs!$D$5:$D$120*(((Inputs!$G$5:$G$120="moeda")+(Inputs!$G$5:$G$120="acoes"))*Inputs!$B$1+((Inputs!$G$5:$G$120&lt;&gt;"moeda")*(Inputs!$G$5:$G$120&lt;&gt;"acoes")))*INDEX(Inputs!$K$5:$AJ$120,0,MATCH(AI$2,Inputs!$K$4:$AJ$4,0)))+SUMPRODUCT((Inputs!$E$5:$E$120=$B20)*Inputs!$F$5:$F$120*(((Inputs!$G$5:$G$120="moeda")+(Inputs!$G$5:$G$120="acoes"))*Inputs!$B$1+((Inputs!$G$5:$G$120&lt;&gt;"moeda")*(Inputs!$G$5:$G$120&lt;&gt;"acoes")))*INDEX(Inputs!$K$5:$AJ$120,0,MATCH(AI$2,Inputs!$K$4:$AJ$4,0)))))</f>
        <v>1218</v>
      </c>
      <c r="AJ20" s="6">
        <f>IF(ISNA(MATCH(AJ$2,Inputs!$K$4:$AJ$4,0)),NA(),IF(SUMPRODUCT((Inputs!$A$5:$A$120=$B20)*ISNUMBER(INDEX(Inputs!$K$5:$AJ$120,0,MATCH(AJ$2,Inputs!$K$4:$AJ$4,0))))+SUMPRODUCT((Inputs!$C$5:$C$120=$B20)*ISNUMBER(INDEX(Inputs!$K$5:$AJ$120,0,MATCH(AJ$2,Inputs!$K$4:$AJ$4,0))))+SUMPRODUCT((Inputs!$E$5:$E$120=$B20)*ISNUMBER(INDEX(Inputs!$K$5:$AJ$120,0,MATCH(AJ$2,Inputs!$K$4:$AJ$4,0))))=0,NA(),SUMPRODUCT((Inputs!$A$5:$A$120=$B20)*Inputs!$B$5:$B$120*(((Inputs!$G$5:$G$120="moeda")+(Inputs!$G$5:$G$120="acoes"))*Inputs!$B$1+((Inputs!$G$5:$G$120&lt;&gt;"moeda")*(Inputs!$G$5:$G$120&lt;&gt;"acoes")))*INDEX(Inputs!$K$5:$AJ$120,0,MATCH(AJ$2,Inputs!$K$4:$AJ$4,0)))+SUMPRODUCT((Inputs!$C$5:$C$120=$B20)*Inputs!$D$5:$D$120*(((Inputs!$G$5:$G$120="moeda")+(Inputs!$G$5:$G$120="acoes"))*Inputs!$B$1+((Inputs!$G$5:$G$120&lt;&gt;"moeda")*(Inputs!$G$5:$G$120&lt;&gt;"acoes")))*INDEX(Inputs!$K$5:$AJ$120,0,MATCH(AJ$2,Inputs!$K$4:$AJ$4,0)))+SUMPRODUCT((Inputs!$E$5:$E$120=$B20)*Inputs!$F$5:$F$120*(((Inputs!$G$5:$G$120="moeda")+(Inputs!$G$5:$G$120="acoes"))*Inputs!$B$1+((Inputs!$G$5:$G$120&lt;&gt;"moeda")*(Inputs!$G$5:$G$120&lt;&gt;"acoes")))*INDEX(Inputs!$K$5:$AJ$120,0,MATCH(AJ$2,Inputs!$K$4:$AJ$4,0)))))</f>
        <v>1238</v>
      </c>
      <c r="AK20" s="6">
        <f>IF(ISNA(MATCH(AK$2,Inputs!$K$4:$AJ$4,0)),NA(),IF(SUMPRODUCT((Inputs!$A$5:$A$120=$B20)*ISNUMBER(INDEX(Inputs!$K$5:$AJ$120,0,MATCH(AK$2,Inputs!$K$4:$AJ$4,0))))+SUMPRODUCT((Inputs!$C$5:$C$120=$B20)*ISNUMBER(INDEX(Inputs!$K$5:$AJ$120,0,MATCH(AK$2,Inputs!$K$4:$AJ$4,0))))+SUMPRODUCT((Inputs!$E$5:$E$120=$B20)*ISNUMBER(INDEX(Inputs!$K$5:$AJ$120,0,MATCH(AK$2,Inputs!$K$4:$AJ$4,0))))=0,NA(),SUMPRODUCT((Inputs!$A$5:$A$120=$B20)*Inputs!$B$5:$B$120*(((Inputs!$G$5:$G$120="moeda")+(Inputs!$G$5:$G$120="acoes"))*Inputs!$B$1+((Inputs!$G$5:$G$120&lt;&gt;"moeda")*(Inputs!$G$5:$G$120&lt;&gt;"acoes")))*INDEX(Inputs!$K$5:$AJ$120,0,MATCH(AK$2,Inputs!$K$4:$AJ$4,0)))+SUMPRODUCT((Inputs!$C$5:$C$120=$B20)*Inputs!$D$5:$D$120*(((Inputs!$G$5:$G$120="moeda")+(Inputs!$G$5:$G$120="acoes"))*Inputs!$B$1+((Inputs!$G$5:$G$120&lt;&gt;"moeda")*(Inputs!$G$5:$G$120&lt;&gt;"acoes")))*INDEX(Inputs!$K$5:$AJ$120,0,MATCH(AK$2,Inputs!$K$4:$AJ$4,0)))+SUMPRODUCT((Inputs!$E$5:$E$120=$B20)*Inputs!$F$5:$F$120*(((Inputs!$G$5:$G$120="moeda")+(Inputs!$G$5:$G$120="acoes"))*Inputs!$B$1+((Inputs!$G$5:$G$120&lt;&gt;"moeda")*(Inputs!$G$5:$G$120&lt;&gt;"acoes")))*INDEX(Inputs!$K$5:$AJ$120,0,MATCH(AK$2,Inputs!$K$4:$AJ$4,0)))))</f>
        <v>1346</v>
      </c>
      <c r="AL20" s="3">
        <f>AK20</f>
        <v>1346</v>
      </c>
    </row>
    <row r="21">
      <c r="B21" s="46" t="n">
        <v>17</v>
      </c>
      <c r="C21" s="26" t="inlineStr">
        <is>
          <t>Equity in affiliates</t>
        </is>
      </c>
      <c r="D21" s="6">
        <f>IF(ISNA(MATCH(D$2,Inputs!$K$4:$AJ$4,0)),NA(),IF(SUMPRODUCT((Inputs!$A$5:$A$120=$B21)*ISNUMBER(INDEX(Inputs!$K$5:$AJ$120,0,MATCH(D$2,Inputs!$K$4:$AJ$4,0))))+SUMPRODUCT((Inputs!$C$5:$C$120=$B21)*ISNUMBER(INDEX(Inputs!$K$5:$AJ$120,0,MATCH(D$2,Inputs!$K$4:$AJ$4,0))))+SUMPRODUCT((Inputs!$E$5:$E$120=$B21)*ISNUMBER(INDEX(Inputs!$K$5:$AJ$120,0,MATCH(D$2,Inputs!$K$4:$AJ$4,0))))=0,NA(),SUMPRODUCT((Inputs!$A$5:$A$120=$B21)*Inputs!$B$5:$B$120*(((Inputs!$G$5:$G$120="moeda")+(Inputs!$G$5:$G$120="acoes"))*Inputs!$B$1+((Inputs!$G$5:$G$120&lt;&gt;"moeda")*(Inputs!$G$5:$G$120&lt;&gt;"acoes")))*INDEX(Inputs!$K$5:$AJ$120,0,MATCH(D$2,Inputs!$K$4:$AJ$4,0)))+SUMPRODUCT((Inputs!$C$5:$C$120=$B21)*Inputs!$D$5:$D$120*(((Inputs!$G$5:$G$120="moeda")+(Inputs!$G$5:$G$120="acoes"))*Inputs!$B$1+((Inputs!$G$5:$G$120&lt;&gt;"moeda")*(Inputs!$G$5:$G$120&lt;&gt;"acoes")))*INDEX(Inputs!$K$5:$AJ$120,0,MATCH(D$2,Inputs!$K$4:$AJ$4,0)))+SUMPRODUCT((Inputs!$E$5:$E$120=$B21)*Inputs!$F$5:$F$120*(((Inputs!$G$5:$G$120="moeda")+(Inputs!$G$5:$G$120="acoes"))*Inputs!$B$1+((Inputs!$G$5:$G$120&lt;&gt;"moeda")*(Inputs!$G$5:$G$120&lt;&gt;"acoes")))*INDEX(Inputs!$K$5:$AJ$120,0,MATCH(D$2,Inputs!$K$4:$AJ$4,0)))))</f>
        <v>0</v>
      </c>
      <c r="E21" s="6">
        <f>IF(ISNA(MATCH(E$2,Inputs!$K$4:$AJ$4,0)),NA(),IF(SUMPRODUCT((Inputs!$A$5:$A$120=$B21)*ISNUMBER(INDEX(Inputs!$K$5:$AJ$120,0,MATCH(E$2,Inputs!$K$4:$AJ$4,0))))+SUMPRODUCT((Inputs!$C$5:$C$120=$B21)*ISNUMBER(INDEX(Inputs!$K$5:$AJ$120,0,MATCH(E$2,Inputs!$K$4:$AJ$4,0))))+SUMPRODUCT((Inputs!$E$5:$E$120=$B21)*ISNUMBER(INDEX(Inputs!$K$5:$AJ$120,0,MATCH(E$2,Inputs!$K$4:$AJ$4,0))))=0,NA(),SUMPRODUCT((Inputs!$A$5:$A$120=$B21)*Inputs!$B$5:$B$120*(((Inputs!$G$5:$G$120="moeda")+(Inputs!$G$5:$G$120="acoes"))*Inputs!$B$1+((Inputs!$G$5:$G$120&lt;&gt;"moeda")*(Inputs!$G$5:$G$120&lt;&gt;"acoes")))*INDEX(Inputs!$K$5:$AJ$120,0,MATCH(E$2,Inputs!$K$4:$AJ$4,0)))+SUMPRODUCT((Inputs!$C$5:$C$120=$B21)*Inputs!$D$5:$D$120*(((Inputs!$G$5:$G$120="moeda")+(Inputs!$G$5:$G$120="acoes"))*Inputs!$B$1+((Inputs!$G$5:$G$120&lt;&gt;"moeda")*(Inputs!$G$5:$G$120&lt;&gt;"acoes")))*INDEX(Inputs!$K$5:$AJ$120,0,MATCH(E$2,Inputs!$K$4:$AJ$4,0)))+SUMPRODUCT((Inputs!$E$5:$E$120=$B21)*Inputs!$F$5:$F$120*(((Inputs!$G$5:$G$120="moeda")+(Inputs!$G$5:$G$120="acoes"))*Inputs!$B$1+((Inputs!$G$5:$G$120&lt;&gt;"moeda")*(Inputs!$G$5:$G$120&lt;&gt;"acoes")))*INDEX(Inputs!$K$5:$AJ$120,0,MATCH(E$2,Inputs!$K$4:$AJ$4,0)))))</f>
        <v>0</v>
      </c>
      <c r="F21" s="6">
        <f>IF(ISNA(MATCH(F$2,Inputs!$K$4:$AJ$4,0)),NA(),IF(SUMPRODUCT((Inputs!$A$5:$A$120=$B21)*ISNUMBER(INDEX(Inputs!$K$5:$AJ$120,0,MATCH(F$2,Inputs!$K$4:$AJ$4,0))))+SUMPRODUCT((Inputs!$C$5:$C$120=$B21)*ISNUMBER(INDEX(Inputs!$K$5:$AJ$120,0,MATCH(F$2,Inputs!$K$4:$AJ$4,0))))+SUMPRODUCT((Inputs!$E$5:$E$120=$B21)*ISNUMBER(INDEX(Inputs!$K$5:$AJ$120,0,MATCH(F$2,Inputs!$K$4:$AJ$4,0))))=0,NA(),SUMPRODUCT((Inputs!$A$5:$A$120=$B21)*Inputs!$B$5:$B$120*(((Inputs!$G$5:$G$120="moeda")+(Inputs!$G$5:$G$120="acoes"))*Inputs!$B$1+((Inputs!$G$5:$G$120&lt;&gt;"moeda")*(Inputs!$G$5:$G$120&lt;&gt;"acoes")))*INDEX(Inputs!$K$5:$AJ$120,0,MATCH(F$2,Inputs!$K$4:$AJ$4,0)))+SUMPRODUCT((Inputs!$C$5:$C$120=$B21)*Inputs!$D$5:$D$120*(((Inputs!$G$5:$G$120="moeda")+(Inputs!$G$5:$G$120="acoes"))*Inputs!$B$1+((Inputs!$G$5:$G$120&lt;&gt;"moeda")*(Inputs!$G$5:$G$120&lt;&gt;"acoes")))*INDEX(Inputs!$K$5:$AJ$120,0,MATCH(F$2,Inputs!$K$4:$AJ$4,0)))+SUMPRODUCT((Inputs!$E$5:$E$120=$B21)*Inputs!$F$5:$F$120*(((Inputs!$G$5:$G$120="moeda")+(Inputs!$G$5:$G$120="acoes"))*Inputs!$B$1+((Inputs!$G$5:$G$120&lt;&gt;"moeda")*(Inputs!$G$5:$G$120&lt;&gt;"acoes")))*INDEX(Inputs!$K$5:$AJ$120,0,MATCH(F$2,Inputs!$K$4:$AJ$4,0)))))</f>
        <v>0</v>
      </c>
      <c r="G21" s="6">
        <f>IF(ISNA(MATCH(G$2,Inputs!$K$4:$AJ$4,0)),NA(),IF(SUMPRODUCT((Inputs!$A$5:$A$120=$B21)*ISNUMBER(INDEX(Inputs!$K$5:$AJ$120,0,MATCH(G$2,Inputs!$K$4:$AJ$4,0))))+SUMPRODUCT((Inputs!$C$5:$C$120=$B21)*ISNUMBER(INDEX(Inputs!$K$5:$AJ$120,0,MATCH(G$2,Inputs!$K$4:$AJ$4,0))))+SUMPRODUCT((Inputs!$E$5:$E$120=$B21)*ISNUMBER(INDEX(Inputs!$K$5:$AJ$120,0,MATCH(G$2,Inputs!$K$4:$AJ$4,0))))=0,NA(),SUMPRODUCT((Inputs!$A$5:$A$120=$B21)*Inputs!$B$5:$B$120*(((Inputs!$G$5:$G$120="moeda")+(Inputs!$G$5:$G$120="acoes"))*Inputs!$B$1+((Inputs!$G$5:$G$120&lt;&gt;"moeda")*(Inputs!$G$5:$G$120&lt;&gt;"acoes")))*INDEX(Inputs!$K$5:$AJ$120,0,MATCH(G$2,Inputs!$K$4:$AJ$4,0)))+SUMPRODUCT((Inputs!$C$5:$C$120=$B21)*Inputs!$D$5:$D$120*(((Inputs!$G$5:$G$120="moeda")+(Inputs!$G$5:$G$120="acoes"))*Inputs!$B$1+((Inputs!$G$5:$G$120&lt;&gt;"moeda")*(Inputs!$G$5:$G$120&lt;&gt;"acoes")))*INDEX(Inputs!$K$5:$AJ$120,0,MATCH(G$2,Inputs!$K$4:$AJ$4,0)))+SUMPRODUCT((Inputs!$E$5:$E$120=$B21)*Inputs!$F$5:$F$120*(((Inputs!$G$5:$G$120="moeda")+(Inputs!$G$5:$G$120="acoes"))*Inputs!$B$1+((Inputs!$G$5:$G$120&lt;&gt;"moeda")*(Inputs!$G$5:$G$120&lt;&gt;"acoes")))*INDEX(Inputs!$K$5:$AJ$120,0,MATCH(G$2,Inputs!$K$4:$AJ$4,0)))))</f>
        <v>0</v>
      </c>
      <c r="H21" s="3">
        <f>G21</f>
        <v>0</v>
      </c>
      <c r="I21" s="6">
        <f>IF(ISNA(MATCH(I$2,Inputs!$K$4:$AJ$4,0)),NA(),IF(SUMPRODUCT((Inputs!$A$5:$A$120=$B21)*ISNUMBER(INDEX(Inputs!$K$5:$AJ$120,0,MATCH(I$2,Inputs!$K$4:$AJ$4,0))))+SUMPRODUCT((Inputs!$C$5:$C$120=$B21)*ISNUMBER(INDEX(Inputs!$K$5:$AJ$120,0,MATCH(I$2,Inputs!$K$4:$AJ$4,0))))+SUMPRODUCT((Inputs!$E$5:$E$120=$B21)*ISNUMBER(INDEX(Inputs!$K$5:$AJ$120,0,MATCH(I$2,Inputs!$K$4:$AJ$4,0))))=0,NA(),SUMPRODUCT((Inputs!$A$5:$A$120=$B21)*Inputs!$B$5:$B$120*(((Inputs!$G$5:$G$120="moeda")+(Inputs!$G$5:$G$120="acoes"))*Inputs!$B$1+((Inputs!$G$5:$G$120&lt;&gt;"moeda")*(Inputs!$G$5:$G$120&lt;&gt;"acoes")))*INDEX(Inputs!$K$5:$AJ$120,0,MATCH(I$2,Inputs!$K$4:$AJ$4,0)))+SUMPRODUCT((Inputs!$C$5:$C$120=$B21)*Inputs!$D$5:$D$120*(((Inputs!$G$5:$G$120="moeda")+(Inputs!$G$5:$G$120="acoes"))*Inputs!$B$1+((Inputs!$G$5:$G$120&lt;&gt;"moeda")*(Inputs!$G$5:$G$120&lt;&gt;"acoes")))*INDEX(Inputs!$K$5:$AJ$120,0,MATCH(I$2,Inputs!$K$4:$AJ$4,0)))+SUMPRODUCT((Inputs!$E$5:$E$120=$B21)*Inputs!$F$5:$F$120*(((Inputs!$G$5:$G$120="moeda")+(Inputs!$G$5:$G$120="acoes"))*Inputs!$B$1+((Inputs!$G$5:$G$120&lt;&gt;"moeda")*(Inputs!$G$5:$G$120&lt;&gt;"acoes")))*INDEX(Inputs!$K$5:$AJ$120,0,MATCH(I$2,Inputs!$K$4:$AJ$4,0)))))</f>
        <v>0</v>
      </c>
      <c r="J21" s="6">
        <f>IF(ISNA(MATCH(J$2,Inputs!$K$4:$AJ$4,0)),NA(),IF(SUMPRODUCT((Inputs!$A$5:$A$120=$B21)*ISNUMBER(INDEX(Inputs!$K$5:$AJ$120,0,MATCH(J$2,Inputs!$K$4:$AJ$4,0))))+SUMPRODUCT((Inputs!$C$5:$C$120=$B21)*ISNUMBER(INDEX(Inputs!$K$5:$AJ$120,0,MATCH(J$2,Inputs!$K$4:$AJ$4,0))))+SUMPRODUCT((Inputs!$E$5:$E$120=$B21)*ISNUMBER(INDEX(Inputs!$K$5:$AJ$120,0,MATCH(J$2,Inputs!$K$4:$AJ$4,0))))=0,NA(),SUMPRODUCT((Inputs!$A$5:$A$120=$B21)*Inputs!$B$5:$B$120*(((Inputs!$G$5:$G$120="moeda")+(Inputs!$G$5:$G$120="acoes"))*Inputs!$B$1+((Inputs!$G$5:$G$120&lt;&gt;"moeda")*(Inputs!$G$5:$G$120&lt;&gt;"acoes")))*INDEX(Inputs!$K$5:$AJ$120,0,MATCH(J$2,Inputs!$K$4:$AJ$4,0)))+SUMPRODUCT((Inputs!$C$5:$C$120=$B21)*Inputs!$D$5:$D$120*(((Inputs!$G$5:$G$120="moeda")+(Inputs!$G$5:$G$120="acoes"))*Inputs!$B$1+((Inputs!$G$5:$G$120&lt;&gt;"moeda")*(Inputs!$G$5:$G$120&lt;&gt;"acoes")))*INDEX(Inputs!$K$5:$AJ$120,0,MATCH(J$2,Inputs!$K$4:$AJ$4,0)))+SUMPRODUCT((Inputs!$E$5:$E$120=$B21)*Inputs!$F$5:$F$120*(((Inputs!$G$5:$G$120="moeda")+(Inputs!$G$5:$G$120="acoes"))*Inputs!$B$1+((Inputs!$G$5:$G$120&lt;&gt;"moeda")*(Inputs!$G$5:$G$120&lt;&gt;"acoes")))*INDEX(Inputs!$K$5:$AJ$120,0,MATCH(J$2,Inputs!$K$4:$AJ$4,0)))))</f>
        <v>0</v>
      </c>
      <c r="K21" s="6">
        <f>IF(ISNA(MATCH(K$2,Inputs!$K$4:$AJ$4,0)),NA(),IF(SUMPRODUCT((Inputs!$A$5:$A$120=$B21)*ISNUMBER(INDEX(Inputs!$K$5:$AJ$120,0,MATCH(K$2,Inputs!$K$4:$AJ$4,0))))+SUMPRODUCT((Inputs!$C$5:$C$120=$B21)*ISNUMBER(INDEX(Inputs!$K$5:$AJ$120,0,MATCH(K$2,Inputs!$K$4:$AJ$4,0))))+SUMPRODUCT((Inputs!$E$5:$E$120=$B21)*ISNUMBER(INDEX(Inputs!$K$5:$AJ$120,0,MATCH(K$2,Inputs!$K$4:$AJ$4,0))))=0,NA(),SUMPRODUCT((Inputs!$A$5:$A$120=$B21)*Inputs!$B$5:$B$120*(((Inputs!$G$5:$G$120="moeda")+(Inputs!$G$5:$G$120="acoes"))*Inputs!$B$1+((Inputs!$G$5:$G$120&lt;&gt;"moeda")*(Inputs!$G$5:$G$120&lt;&gt;"acoes")))*INDEX(Inputs!$K$5:$AJ$120,0,MATCH(K$2,Inputs!$K$4:$AJ$4,0)))+SUMPRODUCT((Inputs!$C$5:$C$120=$B21)*Inputs!$D$5:$D$120*(((Inputs!$G$5:$G$120="moeda")+(Inputs!$G$5:$G$120="acoes"))*Inputs!$B$1+((Inputs!$G$5:$G$120&lt;&gt;"moeda")*(Inputs!$G$5:$G$120&lt;&gt;"acoes")))*INDEX(Inputs!$K$5:$AJ$120,0,MATCH(K$2,Inputs!$K$4:$AJ$4,0)))+SUMPRODUCT((Inputs!$E$5:$E$120=$B21)*Inputs!$F$5:$F$120*(((Inputs!$G$5:$G$120="moeda")+(Inputs!$G$5:$G$120="acoes"))*Inputs!$B$1+((Inputs!$G$5:$G$120&lt;&gt;"moeda")*(Inputs!$G$5:$G$120&lt;&gt;"acoes")))*INDEX(Inputs!$K$5:$AJ$120,0,MATCH(K$2,Inputs!$K$4:$AJ$4,0)))))</f>
        <v>0</v>
      </c>
      <c r="L21" s="6">
        <f>IF(ISNA(MATCH(L$2,Inputs!$K$4:$AJ$4,0)),NA(),IF(SUMPRODUCT((Inputs!$A$5:$A$120=$B21)*ISNUMBER(INDEX(Inputs!$K$5:$AJ$120,0,MATCH(L$2,Inputs!$K$4:$AJ$4,0))))+SUMPRODUCT((Inputs!$C$5:$C$120=$B21)*ISNUMBER(INDEX(Inputs!$K$5:$AJ$120,0,MATCH(L$2,Inputs!$K$4:$AJ$4,0))))+SUMPRODUCT((Inputs!$E$5:$E$120=$B21)*ISNUMBER(INDEX(Inputs!$K$5:$AJ$120,0,MATCH(L$2,Inputs!$K$4:$AJ$4,0))))=0,NA(),SUMPRODUCT((Inputs!$A$5:$A$120=$B21)*Inputs!$B$5:$B$120*(((Inputs!$G$5:$G$120="moeda")+(Inputs!$G$5:$G$120="acoes"))*Inputs!$B$1+((Inputs!$G$5:$G$120&lt;&gt;"moeda")*(Inputs!$G$5:$G$120&lt;&gt;"acoes")))*INDEX(Inputs!$K$5:$AJ$120,0,MATCH(L$2,Inputs!$K$4:$AJ$4,0)))+SUMPRODUCT((Inputs!$C$5:$C$120=$B21)*Inputs!$D$5:$D$120*(((Inputs!$G$5:$G$120="moeda")+(Inputs!$G$5:$G$120="acoes"))*Inputs!$B$1+((Inputs!$G$5:$G$120&lt;&gt;"moeda")*(Inputs!$G$5:$G$120&lt;&gt;"acoes")))*INDEX(Inputs!$K$5:$AJ$120,0,MATCH(L$2,Inputs!$K$4:$AJ$4,0)))+SUMPRODUCT((Inputs!$E$5:$E$120=$B21)*Inputs!$F$5:$F$120*(((Inputs!$G$5:$G$120="moeda")+(Inputs!$G$5:$G$120="acoes"))*Inputs!$B$1+((Inputs!$G$5:$G$120&lt;&gt;"moeda")*(Inputs!$G$5:$G$120&lt;&gt;"acoes")))*INDEX(Inputs!$K$5:$AJ$120,0,MATCH(L$2,Inputs!$K$4:$AJ$4,0)))))</f>
        <v>0</v>
      </c>
      <c r="M21" s="3">
        <f>L21</f>
        <v>0</v>
      </c>
      <c r="N21" s="6">
        <f>IF(ISNA(MATCH(N$2,Inputs!$K$4:$AJ$4,0)),NA(),IF(SUMPRODUCT((Inputs!$A$5:$A$120=$B21)*ISNUMBER(INDEX(Inputs!$K$5:$AJ$120,0,MATCH(N$2,Inputs!$K$4:$AJ$4,0))))+SUMPRODUCT((Inputs!$C$5:$C$120=$B21)*ISNUMBER(INDEX(Inputs!$K$5:$AJ$120,0,MATCH(N$2,Inputs!$K$4:$AJ$4,0))))+SUMPRODUCT((Inputs!$E$5:$E$120=$B21)*ISNUMBER(INDEX(Inputs!$K$5:$AJ$120,0,MATCH(N$2,Inputs!$K$4:$AJ$4,0))))=0,NA(),SUMPRODUCT((Inputs!$A$5:$A$120=$B21)*Inputs!$B$5:$B$120*(((Inputs!$G$5:$G$120="moeda")+(Inputs!$G$5:$G$120="acoes"))*Inputs!$B$1+((Inputs!$G$5:$G$120&lt;&gt;"moeda")*(Inputs!$G$5:$G$120&lt;&gt;"acoes")))*INDEX(Inputs!$K$5:$AJ$120,0,MATCH(N$2,Inputs!$K$4:$AJ$4,0)))+SUMPRODUCT((Inputs!$C$5:$C$120=$B21)*Inputs!$D$5:$D$120*(((Inputs!$G$5:$G$120="moeda")+(Inputs!$G$5:$G$120="acoes"))*Inputs!$B$1+((Inputs!$G$5:$G$120&lt;&gt;"moeda")*(Inputs!$G$5:$G$120&lt;&gt;"acoes")))*INDEX(Inputs!$K$5:$AJ$120,0,MATCH(N$2,Inputs!$K$4:$AJ$4,0)))+SUMPRODUCT((Inputs!$E$5:$E$120=$B21)*Inputs!$F$5:$F$120*(((Inputs!$G$5:$G$120="moeda")+(Inputs!$G$5:$G$120="acoes"))*Inputs!$B$1+((Inputs!$G$5:$G$120&lt;&gt;"moeda")*(Inputs!$G$5:$G$120&lt;&gt;"acoes")))*INDEX(Inputs!$K$5:$AJ$120,0,MATCH(N$2,Inputs!$K$4:$AJ$4,0)))))</f>
        <v>0</v>
      </c>
      <c r="O21" s="6">
        <f>IF(ISNA(MATCH(O$2,Inputs!$K$4:$AJ$4,0)),NA(),IF(SUMPRODUCT((Inputs!$A$5:$A$120=$B21)*ISNUMBER(INDEX(Inputs!$K$5:$AJ$120,0,MATCH(O$2,Inputs!$K$4:$AJ$4,0))))+SUMPRODUCT((Inputs!$C$5:$C$120=$B21)*ISNUMBER(INDEX(Inputs!$K$5:$AJ$120,0,MATCH(O$2,Inputs!$K$4:$AJ$4,0))))+SUMPRODUCT((Inputs!$E$5:$E$120=$B21)*ISNUMBER(INDEX(Inputs!$K$5:$AJ$120,0,MATCH(O$2,Inputs!$K$4:$AJ$4,0))))=0,NA(),SUMPRODUCT((Inputs!$A$5:$A$120=$B21)*Inputs!$B$5:$B$120*(((Inputs!$G$5:$G$120="moeda")+(Inputs!$G$5:$G$120="acoes"))*Inputs!$B$1+((Inputs!$G$5:$G$120&lt;&gt;"moeda")*(Inputs!$G$5:$G$120&lt;&gt;"acoes")))*INDEX(Inputs!$K$5:$AJ$120,0,MATCH(O$2,Inputs!$K$4:$AJ$4,0)))+SUMPRODUCT((Inputs!$C$5:$C$120=$B21)*Inputs!$D$5:$D$120*(((Inputs!$G$5:$G$120="moeda")+(Inputs!$G$5:$G$120="acoes"))*Inputs!$B$1+((Inputs!$G$5:$G$120&lt;&gt;"moeda")*(Inputs!$G$5:$G$120&lt;&gt;"acoes")))*INDEX(Inputs!$K$5:$AJ$120,0,MATCH(O$2,Inputs!$K$4:$AJ$4,0)))+SUMPRODUCT((Inputs!$E$5:$E$120=$B21)*Inputs!$F$5:$F$120*(((Inputs!$G$5:$G$120="moeda")+(Inputs!$G$5:$G$120="acoes"))*Inputs!$B$1+((Inputs!$G$5:$G$120&lt;&gt;"moeda")*(Inputs!$G$5:$G$120&lt;&gt;"acoes")))*INDEX(Inputs!$K$5:$AJ$120,0,MATCH(O$2,Inputs!$K$4:$AJ$4,0)))))</f>
        <v>0</v>
      </c>
      <c r="P21" s="6">
        <f>IF(ISNA(MATCH(P$2,Inputs!$K$4:$AJ$4,0)),NA(),IF(SUMPRODUCT((Inputs!$A$5:$A$120=$B21)*ISNUMBER(INDEX(Inputs!$K$5:$AJ$120,0,MATCH(P$2,Inputs!$K$4:$AJ$4,0))))+SUMPRODUCT((Inputs!$C$5:$C$120=$B21)*ISNUMBER(INDEX(Inputs!$K$5:$AJ$120,0,MATCH(P$2,Inputs!$K$4:$AJ$4,0))))+SUMPRODUCT((Inputs!$E$5:$E$120=$B21)*ISNUMBER(INDEX(Inputs!$K$5:$AJ$120,0,MATCH(P$2,Inputs!$K$4:$AJ$4,0))))=0,NA(),SUMPRODUCT((Inputs!$A$5:$A$120=$B21)*Inputs!$B$5:$B$120*(((Inputs!$G$5:$G$120="moeda")+(Inputs!$G$5:$G$120="acoes"))*Inputs!$B$1+((Inputs!$G$5:$G$120&lt;&gt;"moeda")*(Inputs!$G$5:$G$120&lt;&gt;"acoes")))*INDEX(Inputs!$K$5:$AJ$120,0,MATCH(P$2,Inputs!$K$4:$AJ$4,0)))+SUMPRODUCT((Inputs!$C$5:$C$120=$B21)*Inputs!$D$5:$D$120*(((Inputs!$G$5:$G$120="moeda")+(Inputs!$G$5:$G$120="acoes"))*Inputs!$B$1+((Inputs!$G$5:$G$120&lt;&gt;"moeda")*(Inputs!$G$5:$G$120&lt;&gt;"acoes")))*INDEX(Inputs!$K$5:$AJ$120,0,MATCH(P$2,Inputs!$K$4:$AJ$4,0)))+SUMPRODUCT((Inputs!$E$5:$E$120=$B21)*Inputs!$F$5:$F$120*(((Inputs!$G$5:$G$120="moeda")+(Inputs!$G$5:$G$120="acoes"))*Inputs!$B$1+((Inputs!$G$5:$G$120&lt;&gt;"moeda")*(Inputs!$G$5:$G$120&lt;&gt;"acoes")))*INDEX(Inputs!$K$5:$AJ$120,0,MATCH(P$2,Inputs!$K$4:$AJ$4,0)))))</f>
        <v>0</v>
      </c>
      <c r="Q21" s="6">
        <f>IF(ISNA(MATCH(Q$2,Inputs!$K$4:$AJ$4,0)),NA(),IF(SUMPRODUCT((Inputs!$A$5:$A$120=$B21)*ISNUMBER(INDEX(Inputs!$K$5:$AJ$120,0,MATCH(Q$2,Inputs!$K$4:$AJ$4,0))))+SUMPRODUCT((Inputs!$C$5:$C$120=$B21)*ISNUMBER(INDEX(Inputs!$K$5:$AJ$120,0,MATCH(Q$2,Inputs!$K$4:$AJ$4,0))))+SUMPRODUCT((Inputs!$E$5:$E$120=$B21)*ISNUMBER(INDEX(Inputs!$K$5:$AJ$120,0,MATCH(Q$2,Inputs!$K$4:$AJ$4,0))))=0,NA(),SUMPRODUCT((Inputs!$A$5:$A$120=$B21)*Inputs!$B$5:$B$120*(((Inputs!$G$5:$G$120="moeda")+(Inputs!$G$5:$G$120="acoes"))*Inputs!$B$1+((Inputs!$G$5:$G$120&lt;&gt;"moeda")*(Inputs!$G$5:$G$120&lt;&gt;"acoes")))*INDEX(Inputs!$K$5:$AJ$120,0,MATCH(Q$2,Inputs!$K$4:$AJ$4,0)))+SUMPRODUCT((Inputs!$C$5:$C$120=$B21)*Inputs!$D$5:$D$120*(((Inputs!$G$5:$G$120="moeda")+(Inputs!$G$5:$G$120="acoes"))*Inputs!$B$1+((Inputs!$G$5:$G$120&lt;&gt;"moeda")*(Inputs!$G$5:$G$120&lt;&gt;"acoes")))*INDEX(Inputs!$K$5:$AJ$120,0,MATCH(Q$2,Inputs!$K$4:$AJ$4,0)))+SUMPRODUCT((Inputs!$E$5:$E$120=$B21)*Inputs!$F$5:$F$120*(((Inputs!$G$5:$G$120="moeda")+(Inputs!$G$5:$G$120="acoes"))*Inputs!$B$1+((Inputs!$G$5:$G$120&lt;&gt;"moeda")*(Inputs!$G$5:$G$120&lt;&gt;"acoes")))*INDEX(Inputs!$K$5:$AJ$120,0,MATCH(Q$2,Inputs!$K$4:$AJ$4,0)))))</f>
        <v>0</v>
      </c>
      <c r="R21" s="3">
        <f>Q21</f>
        <v>0</v>
      </c>
      <c r="S21" s="6">
        <f>IF(ISNA(MATCH(S$2,Inputs!$K$4:$AJ$4,0)),NA(),IF(SUMPRODUCT((Inputs!$A$5:$A$120=$B21)*ISNUMBER(INDEX(Inputs!$K$5:$AJ$120,0,MATCH(S$2,Inputs!$K$4:$AJ$4,0))))+SUMPRODUCT((Inputs!$C$5:$C$120=$B21)*ISNUMBER(INDEX(Inputs!$K$5:$AJ$120,0,MATCH(S$2,Inputs!$K$4:$AJ$4,0))))+SUMPRODUCT((Inputs!$E$5:$E$120=$B21)*ISNUMBER(INDEX(Inputs!$K$5:$AJ$120,0,MATCH(S$2,Inputs!$K$4:$AJ$4,0))))=0,NA(),SUMPRODUCT((Inputs!$A$5:$A$120=$B21)*Inputs!$B$5:$B$120*(((Inputs!$G$5:$G$120="moeda")+(Inputs!$G$5:$G$120="acoes"))*Inputs!$B$1+((Inputs!$G$5:$G$120&lt;&gt;"moeda")*(Inputs!$G$5:$G$120&lt;&gt;"acoes")))*INDEX(Inputs!$K$5:$AJ$120,0,MATCH(S$2,Inputs!$K$4:$AJ$4,0)))+SUMPRODUCT((Inputs!$C$5:$C$120=$B21)*Inputs!$D$5:$D$120*(((Inputs!$G$5:$G$120="moeda")+(Inputs!$G$5:$G$120="acoes"))*Inputs!$B$1+((Inputs!$G$5:$G$120&lt;&gt;"moeda")*(Inputs!$G$5:$G$120&lt;&gt;"acoes")))*INDEX(Inputs!$K$5:$AJ$120,0,MATCH(S$2,Inputs!$K$4:$AJ$4,0)))+SUMPRODUCT((Inputs!$E$5:$E$120=$B21)*Inputs!$F$5:$F$120*(((Inputs!$G$5:$G$120="moeda")+(Inputs!$G$5:$G$120="acoes"))*Inputs!$B$1+((Inputs!$G$5:$G$120&lt;&gt;"moeda")*(Inputs!$G$5:$G$120&lt;&gt;"acoes")))*INDEX(Inputs!$K$5:$AJ$120,0,MATCH(S$2,Inputs!$K$4:$AJ$4,0)))))</f>
        <v>0</v>
      </c>
      <c r="T21" s="6">
        <f>IF(ISNA(MATCH(T$2,Inputs!$K$4:$AJ$4,0)),NA(),IF(SUMPRODUCT((Inputs!$A$5:$A$120=$B21)*ISNUMBER(INDEX(Inputs!$K$5:$AJ$120,0,MATCH(T$2,Inputs!$K$4:$AJ$4,0))))+SUMPRODUCT((Inputs!$C$5:$C$120=$B21)*ISNUMBER(INDEX(Inputs!$K$5:$AJ$120,0,MATCH(T$2,Inputs!$K$4:$AJ$4,0))))+SUMPRODUCT((Inputs!$E$5:$E$120=$B21)*ISNUMBER(INDEX(Inputs!$K$5:$AJ$120,0,MATCH(T$2,Inputs!$K$4:$AJ$4,0))))=0,NA(),SUMPRODUCT((Inputs!$A$5:$A$120=$B21)*Inputs!$B$5:$B$120*(((Inputs!$G$5:$G$120="moeda")+(Inputs!$G$5:$G$120="acoes"))*Inputs!$B$1+((Inputs!$G$5:$G$120&lt;&gt;"moeda")*(Inputs!$G$5:$G$120&lt;&gt;"acoes")))*INDEX(Inputs!$K$5:$AJ$120,0,MATCH(T$2,Inputs!$K$4:$AJ$4,0)))+SUMPRODUCT((Inputs!$C$5:$C$120=$B21)*Inputs!$D$5:$D$120*(((Inputs!$G$5:$G$120="moeda")+(Inputs!$G$5:$G$120="acoes"))*Inputs!$B$1+((Inputs!$G$5:$G$120&lt;&gt;"moeda")*(Inputs!$G$5:$G$120&lt;&gt;"acoes")))*INDEX(Inputs!$K$5:$AJ$120,0,MATCH(T$2,Inputs!$K$4:$AJ$4,0)))+SUMPRODUCT((Inputs!$E$5:$E$120=$B21)*Inputs!$F$5:$F$120*(((Inputs!$G$5:$G$120="moeda")+(Inputs!$G$5:$G$120="acoes"))*Inputs!$B$1+((Inputs!$G$5:$G$120&lt;&gt;"moeda")*(Inputs!$G$5:$G$120&lt;&gt;"acoes")))*INDEX(Inputs!$K$5:$AJ$120,0,MATCH(T$2,Inputs!$K$4:$AJ$4,0)))))</f>
        <v>0</v>
      </c>
      <c r="U21" s="6">
        <f>IF(ISNA(MATCH(U$2,Inputs!$K$4:$AJ$4,0)),NA(),IF(SUMPRODUCT((Inputs!$A$5:$A$120=$B21)*ISNUMBER(INDEX(Inputs!$K$5:$AJ$120,0,MATCH(U$2,Inputs!$K$4:$AJ$4,0))))+SUMPRODUCT((Inputs!$C$5:$C$120=$B21)*ISNUMBER(INDEX(Inputs!$K$5:$AJ$120,0,MATCH(U$2,Inputs!$K$4:$AJ$4,0))))+SUMPRODUCT((Inputs!$E$5:$E$120=$B21)*ISNUMBER(INDEX(Inputs!$K$5:$AJ$120,0,MATCH(U$2,Inputs!$K$4:$AJ$4,0))))=0,NA(),SUMPRODUCT((Inputs!$A$5:$A$120=$B21)*Inputs!$B$5:$B$120*(((Inputs!$G$5:$G$120="moeda")+(Inputs!$G$5:$G$120="acoes"))*Inputs!$B$1+((Inputs!$G$5:$G$120&lt;&gt;"moeda")*(Inputs!$G$5:$G$120&lt;&gt;"acoes")))*INDEX(Inputs!$K$5:$AJ$120,0,MATCH(U$2,Inputs!$K$4:$AJ$4,0)))+SUMPRODUCT((Inputs!$C$5:$C$120=$B21)*Inputs!$D$5:$D$120*(((Inputs!$G$5:$G$120="moeda")+(Inputs!$G$5:$G$120="acoes"))*Inputs!$B$1+((Inputs!$G$5:$G$120&lt;&gt;"moeda")*(Inputs!$G$5:$G$120&lt;&gt;"acoes")))*INDEX(Inputs!$K$5:$AJ$120,0,MATCH(U$2,Inputs!$K$4:$AJ$4,0)))+SUMPRODUCT((Inputs!$E$5:$E$120=$B21)*Inputs!$F$5:$F$120*(((Inputs!$G$5:$G$120="moeda")+(Inputs!$G$5:$G$120="acoes"))*Inputs!$B$1+((Inputs!$G$5:$G$120&lt;&gt;"moeda")*(Inputs!$G$5:$G$120&lt;&gt;"acoes")))*INDEX(Inputs!$K$5:$AJ$120,0,MATCH(U$2,Inputs!$K$4:$AJ$4,0)))))</f>
        <v>0</v>
      </c>
      <c r="V21" s="6">
        <f>IF(ISNA(MATCH(V$2,Inputs!$K$4:$AJ$4,0)),NA(),IF(SUMPRODUCT((Inputs!$A$5:$A$120=$B21)*ISNUMBER(INDEX(Inputs!$K$5:$AJ$120,0,MATCH(V$2,Inputs!$K$4:$AJ$4,0))))+SUMPRODUCT((Inputs!$C$5:$C$120=$B21)*ISNUMBER(INDEX(Inputs!$K$5:$AJ$120,0,MATCH(V$2,Inputs!$K$4:$AJ$4,0))))+SUMPRODUCT((Inputs!$E$5:$E$120=$B21)*ISNUMBER(INDEX(Inputs!$K$5:$AJ$120,0,MATCH(V$2,Inputs!$K$4:$AJ$4,0))))=0,NA(),SUMPRODUCT((Inputs!$A$5:$A$120=$B21)*Inputs!$B$5:$B$120*(((Inputs!$G$5:$G$120="moeda")+(Inputs!$G$5:$G$120="acoes"))*Inputs!$B$1+((Inputs!$G$5:$G$120&lt;&gt;"moeda")*(Inputs!$G$5:$G$120&lt;&gt;"acoes")))*INDEX(Inputs!$K$5:$AJ$120,0,MATCH(V$2,Inputs!$K$4:$AJ$4,0)))+SUMPRODUCT((Inputs!$C$5:$C$120=$B21)*Inputs!$D$5:$D$120*(((Inputs!$G$5:$G$120="moeda")+(Inputs!$G$5:$G$120="acoes"))*Inputs!$B$1+((Inputs!$G$5:$G$120&lt;&gt;"moeda")*(Inputs!$G$5:$G$120&lt;&gt;"acoes")))*INDEX(Inputs!$K$5:$AJ$120,0,MATCH(V$2,Inputs!$K$4:$AJ$4,0)))+SUMPRODUCT((Inputs!$E$5:$E$120=$B21)*Inputs!$F$5:$F$120*(((Inputs!$G$5:$G$120="moeda")+(Inputs!$G$5:$G$120="acoes"))*Inputs!$B$1+((Inputs!$G$5:$G$120&lt;&gt;"moeda")*(Inputs!$G$5:$G$120&lt;&gt;"acoes")))*INDEX(Inputs!$K$5:$AJ$120,0,MATCH(V$2,Inputs!$K$4:$AJ$4,0)))))</f>
        <v>0</v>
      </c>
      <c r="W21" s="3">
        <f>V21</f>
        <v>0</v>
      </c>
      <c r="X21" s="6">
        <f>IF(ISNA(MATCH(X$2,Inputs!$K$4:$AJ$4,0)),NA(),IF(SUMPRODUCT((Inputs!$A$5:$A$120=$B21)*ISNUMBER(INDEX(Inputs!$K$5:$AJ$120,0,MATCH(X$2,Inputs!$K$4:$AJ$4,0))))+SUMPRODUCT((Inputs!$C$5:$C$120=$B21)*ISNUMBER(INDEX(Inputs!$K$5:$AJ$120,0,MATCH(X$2,Inputs!$K$4:$AJ$4,0))))+SUMPRODUCT((Inputs!$E$5:$E$120=$B21)*ISNUMBER(INDEX(Inputs!$K$5:$AJ$120,0,MATCH(X$2,Inputs!$K$4:$AJ$4,0))))=0,NA(),SUMPRODUCT((Inputs!$A$5:$A$120=$B21)*Inputs!$B$5:$B$120*(((Inputs!$G$5:$G$120="moeda")+(Inputs!$G$5:$G$120="acoes"))*Inputs!$B$1+((Inputs!$G$5:$G$120&lt;&gt;"moeda")*(Inputs!$G$5:$G$120&lt;&gt;"acoes")))*INDEX(Inputs!$K$5:$AJ$120,0,MATCH(X$2,Inputs!$K$4:$AJ$4,0)))+SUMPRODUCT((Inputs!$C$5:$C$120=$B21)*Inputs!$D$5:$D$120*(((Inputs!$G$5:$G$120="moeda")+(Inputs!$G$5:$G$120="acoes"))*Inputs!$B$1+((Inputs!$G$5:$G$120&lt;&gt;"moeda")*(Inputs!$G$5:$G$120&lt;&gt;"acoes")))*INDEX(Inputs!$K$5:$AJ$120,0,MATCH(X$2,Inputs!$K$4:$AJ$4,0)))+SUMPRODUCT((Inputs!$E$5:$E$120=$B21)*Inputs!$F$5:$F$120*(((Inputs!$G$5:$G$120="moeda")+(Inputs!$G$5:$G$120="acoes"))*Inputs!$B$1+((Inputs!$G$5:$G$120&lt;&gt;"moeda")*(Inputs!$G$5:$G$120&lt;&gt;"acoes")))*INDEX(Inputs!$K$5:$AJ$120,0,MATCH(X$2,Inputs!$K$4:$AJ$4,0)))))</f>
        <v>0</v>
      </c>
      <c r="Y21" s="6">
        <f>IF(ISNA(MATCH(Y$2,Inputs!$K$4:$AJ$4,0)),NA(),IF(SUMPRODUCT((Inputs!$A$5:$A$120=$B21)*ISNUMBER(INDEX(Inputs!$K$5:$AJ$120,0,MATCH(Y$2,Inputs!$K$4:$AJ$4,0))))+SUMPRODUCT((Inputs!$C$5:$C$120=$B21)*ISNUMBER(INDEX(Inputs!$K$5:$AJ$120,0,MATCH(Y$2,Inputs!$K$4:$AJ$4,0))))+SUMPRODUCT((Inputs!$E$5:$E$120=$B21)*ISNUMBER(INDEX(Inputs!$K$5:$AJ$120,0,MATCH(Y$2,Inputs!$K$4:$AJ$4,0))))=0,NA(),SUMPRODUCT((Inputs!$A$5:$A$120=$B21)*Inputs!$B$5:$B$120*(((Inputs!$G$5:$G$120="moeda")+(Inputs!$G$5:$G$120="acoes"))*Inputs!$B$1+((Inputs!$G$5:$G$120&lt;&gt;"moeda")*(Inputs!$G$5:$G$120&lt;&gt;"acoes")))*INDEX(Inputs!$K$5:$AJ$120,0,MATCH(Y$2,Inputs!$K$4:$AJ$4,0)))+SUMPRODUCT((Inputs!$C$5:$C$120=$B21)*Inputs!$D$5:$D$120*(((Inputs!$G$5:$G$120="moeda")+(Inputs!$G$5:$G$120="acoes"))*Inputs!$B$1+((Inputs!$G$5:$G$120&lt;&gt;"moeda")*(Inputs!$G$5:$G$120&lt;&gt;"acoes")))*INDEX(Inputs!$K$5:$AJ$120,0,MATCH(Y$2,Inputs!$K$4:$AJ$4,0)))+SUMPRODUCT((Inputs!$E$5:$E$120=$B21)*Inputs!$F$5:$F$120*(((Inputs!$G$5:$G$120="moeda")+(Inputs!$G$5:$G$120="acoes"))*Inputs!$B$1+((Inputs!$G$5:$G$120&lt;&gt;"moeda")*(Inputs!$G$5:$G$120&lt;&gt;"acoes")))*INDEX(Inputs!$K$5:$AJ$120,0,MATCH(Y$2,Inputs!$K$4:$AJ$4,0)))))</f>
        <v>0</v>
      </c>
      <c r="Z21" s="6">
        <f>IF(ISNA(MATCH(Z$2,Inputs!$K$4:$AJ$4,0)),NA(),IF(SUMPRODUCT((Inputs!$A$5:$A$120=$B21)*ISNUMBER(INDEX(Inputs!$K$5:$AJ$120,0,MATCH(Z$2,Inputs!$K$4:$AJ$4,0))))+SUMPRODUCT((Inputs!$C$5:$C$120=$B21)*ISNUMBER(INDEX(Inputs!$K$5:$AJ$120,0,MATCH(Z$2,Inputs!$K$4:$AJ$4,0))))+SUMPRODUCT((Inputs!$E$5:$E$120=$B21)*ISNUMBER(INDEX(Inputs!$K$5:$AJ$120,0,MATCH(Z$2,Inputs!$K$4:$AJ$4,0))))=0,NA(),SUMPRODUCT((Inputs!$A$5:$A$120=$B21)*Inputs!$B$5:$B$120*(((Inputs!$G$5:$G$120="moeda")+(Inputs!$G$5:$G$120="acoes"))*Inputs!$B$1+((Inputs!$G$5:$G$120&lt;&gt;"moeda")*(Inputs!$G$5:$G$120&lt;&gt;"acoes")))*INDEX(Inputs!$K$5:$AJ$120,0,MATCH(Z$2,Inputs!$K$4:$AJ$4,0)))+SUMPRODUCT((Inputs!$C$5:$C$120=$B21)*Inputs!$D$5:$D$120*(((Inputs!$G$5:$G$120="moeda")+(Inputs!$G$5:$G$120="acoes"))*Inputs!$B$1+((Inputs!$G$5:$G$120&lt;&gt;"moeda")*(Inputs!$G$5:$G$120&lt;&gt;"acoes")))*INDEX(Inputs!$K$5:$AJ$120,0,MATCH(Z$2,Inputs!$K$4:$AJ$4,0)))+SUMPRODUCT((Inputs!$E$5:$E$120=$B21)*Inputs!$F$5:$F$120*(((Inputs!$G$5:$G$120="moeda")+(Inputs!$G$5:$G$120="acoes"))*Inputs!$B$1+((Inputs!$G$5:$G$120&lt;&gt;"moeda")*(Inputs!$G$5:$G$120&lt;&gt;"acoes")))*INDEX(Inputs!$K$5:$AJ$120,0,MATCH(Z$2,Inputs!$K$4:$AJ$4,0)))))</f>
        <v>0</v>
      </c>
      <c r="AA21" s="6">
        <f>IF(ISNA(MATCH(AA$2,Inputs!$K$4:$AJ$4,0)),NA(),IF(SUMPRODUCT((Inputs!$A$5:$A$120=$B21)*ISNUMBER(INDEX(Inputs!$K$5:$AJ$120,0,MATCH(AA$2,Inputs!$K$4:$AJ$4,0))))+SUMPRODUCT((Inputs!$C$5:$C$120=$B21)*ISNUMBER(INDEX(Inputs!$K$5:$AJ$120,0,MATCH(AA$2,Inputs!$K$4:$AJ$4,0))))+SUMPRODUCT((Inputs!$E$5:$E$120=$B21)*ISNUMBER(INDEX(Inputs!$K$5:$AJ$120,0,MATCH(AA$2,Inputs!$K$4:$AJ$4,0))))=0,NA(),SUMPRODUCT((Inputs!$A$5:$A$120=$B21)*Inputs!$B$5:$B$120*(((Inputs!$G$5:$G$120="moeda")+(Inputs!$G$5:$G$120="acoes"))*Inputs!$B$1+((Inputs!$G$5:$G$120&lt;&gt;"moeda")*(Inputs!$G$5:$G$120&lt;&gt;"acoes")))*INDEX(Inputs!$K$5:$AJ$120,0,MATCH(AA$2,Inputs!$K$4:$AJ$4,0)))+SUMPRODUCT((Inputs!$C$5:$C$120=$B21)*Inputs!$D$5:$D$120*(((Inputs!$G$5:$G$120="moeda")+(Inputs!$G$5:$G$120="acoes"))*Inputs!$B$1+((Inputs!$G$5:$G$120&lt;&gt;"moeda")*(Inputs!$G$5:$G$120&lt;&gt;"acoes")))*INDEX(Inputs!$K$5:$AJ$120,0,MATCH(AA$2,Inputs!$K$4:$AJ$4,0)))+SUMPRODUCT((Inputs!$E$5:$E$120=$B21)*Inputs!$F$5:$F$120*(((Inputs!$G$5:$G$120="moeda")+(Inputs!$G$5:$G$120="acoes"))*Inputs!$B$1+((Inputs!$G$5:$G$120&lt;&gt;"moeda")*(Inputs!$G$5:$G$120&lt;&gt;"acoes")))*INDEX(Inputs!$K$5:$AJ$120,0,MATCH(AA$2,Inputs!$K$4:$AJ$4,0)))))</f>
        <v>0</v>
      </c>
      <c r="AB21" s="3">
        <f>AA21</f>
        <v>0</v>
      </c>
      <c r="AC21" s="6">
        <f>IF(ISNA(MATCH(AC$2,Inputs!$K$4:$AJ$4,0)),NA(),IF(SUMPRODUCT((Inputs!$A$5:$A$120=$B21)*ISNUMBER(INDEX(Inputs!$K$5:$AJ$120,0,MATCH(AC$2,Inputs!$K$4:$AJ$4,0))))+SUMPRODUCT((Inputs!$C$5:$C$120=$B21)*ISNUMBER(INDEX(Inputs!$K$5:$AJ$120,0,MATCH(AC$2,Inputs!$K$4:$AJ$4,0))))+SUMPRODUCT((Inputs!$E$5:$E$120=$B21)*ISNUMBER(INDEX(Inputs!$K$5:$AJ$120,0,MATCH(AC$2,Inputs!$K$4:$AJ$4,0))))=0,NA(),SUMPRODUCT((Inputs!$A$5:$A$120=$B21)*Inputs!$B$5:$B$120*(((Inputs!$G$5:$G$120="moeda")+(Inputs!$G$5:$G$120="acoes"))*Inputs!$B$1+((Inputs!$G$5:$G$120&lt;&gt;"moeda")*(Inputs!$G$5:$G$120&lt;&gt;"acoes")))*INDEX(Inputs!$K$5:$AJ$120,0,MATCH(AC$2,Inputs!$K$4:$AJ$4,0)))+SUMPRODUCT((Inputs!$C$5:$C$120=$B21)*Inputs!$D$5:$D$120*(((Inputs!$G$5:$G$120="moeda")+(Inputs!$G$5:$G$120="acoes"))*Inputs!$B$1+((Inputs!$G$5:$G$120&lt;&gt;"moeda")*(Inputs!$G$5:$G$120&lt;&gt;"acoes")))*INDEX(Inputs!$K$5:$AJ$120,0,MATCH(AC$2,Inputs!$K$4:$AJ$4,0)))+SUMPRODUCT((Inputs!$E$5:$E$120=$B21)*Inputs!$F$5:$F$120*(((Inputs!$G$5:$G$120="moeda")+(Inputs!$G$5:$G$120="acoes"))*Inputs!$B$1+((Inputs!$G$5:$G$120&lt;&gt;"moeda")*(Inputs!$G$5:$G$120&lt;&gt;"acoes")))*INDEX(Inputs!$K$5:$AJ$120,0,MATCH(AC$2,Inputs!$K$4:$AJ$4,0)))))</f>
        <v>0</v>
      </c>
      <c r="AD21" s="6">
        <f>IF(ISNA(MATCH(AD$2,Inputs!$K$4:$AJ$4,0)),NA(),IF(SUMPRODUCT((Inputs!$A$5:$A$120=$B21)*ISNUMBER(INDEX(Inputs!$K$5:$AJ$120,0,MATCH(AD$2,Inputs!$K$4:$AJ$4,0))))+SUMPRODUCT((Inputs!$C$5:$C$120=$B21)*ISNUMBER(INDEX(Inputs!$K$5:$AJ$120,0,MATCH(AD$2,Inputs!$K$4:$AJ$4,0))))+SUMPRODUCT((Inputs!$E$5:$E$120=$B21)*ISNUMBER(INDEX(Inputs!$K$5:$AJ$120,0,MATCH(AD$2,Inputs!$K$4:$AJ$4,0))))=0,NA(),SUMPRODUCT((Inputs!$A$5:$A$120=$B21)*Inputs!$B$5:$B$120*(((Inputs!$G$5:$G$120="moeda")+(Inputs!$G$5:$G$120="acoes"))*Inputs!$B$1+((Inputs!$G$5:$G$120&lt;&gt;"moeda")*(Inputs!$G$5:$G$120&lt;&gt;"acoes")))*INDEX(Inputs!$K$5:$AJ$120,0,MATCH(AD$2,Inputs!$K$4:$AJ$4,0)))+SUMPRODUCT((Inputs!$C$5:$C$120=$B21)*Inputs!$D$5:$D$120*(((Inputs!$G$5:$G$120="moeda")+(Inputs!$G$5:$G$120="acoes"))*Inputs!$B$1+((Inputs!$G$5:$G$120&lt;&gt;"moeda")*(Inputs!$G$5:$G$120&lt;&gt;"acoes")))*INDEX(Inputs!$K$5:$AJ$120,0,MATCH(AD$2,Inputs!$K$4:$AJ$4,0)))+SUMPRODUCT((Inputs!$E$5:$E$120=$B21)*Inputs!$F$5:$F$120*(((Inputs!$G$5:$G$120="moeda")+(Inputs!$G$5:$G$120="acoes"))*Inputs!$B$1+((Inputs!$G$5:$G$120&lt;&gt;"moeda")*(Inputs!$G$5:$G$120&lt;&gt;"acoes")))*INDEX(Inputs!$K$5:$AJ$120,0,MATCH(AD$2,Inputs!$K$4:$AJ$4,0)))))</f>
        <v>0</v>
      </c>
      <c r="AE21" s="6" t="e">
        <f>IF(ISNA(MATCH(AE$2,Inputs!$K$4:$AJ$4,0)),NA(),IF(SUMPRODUCT((Inputs!$A$5:$A$120=$B21)*ISNUMBER(INDEX(Inputs!$K$5:$AJ$120,0,MATCH(AE$2,Inputs!$K$4:$AJ$4,0))))+SUMPRODUCT((Inputs!$C$5:$C$120=$B21)*ISNUMBER(INDEX(Inputs!$K$5:$AJ$120,0,MATCH(AE$2,Inputs!$K$4:$AJ$4,0))))+SUMPRODUCT((Inputs!$E$5:$E$120=$B21)*ISNUMBER(INDEX(Inputs!$K$5:$AJ$120,0,MATCH(AE$2,Inputs!$K$4:$AJ$4,0))))=0,NA(),SUMPRODUCT((Inputs!$A$5:$A$120=$B21)*Inputs!$B$5:$B$120*(((Inputs!$G$5:$G$120="moeda")+(Inputs!$G$5:$G$120="acoes"))*Inputs!$B$1+((Inputs!$G$5:$G$120&lt;&gt;"moeda")*(Inputs!$G$5:$G$120&lt;&gt;"acoes")))*INDEX(Inputs!$K$5:$AJ$120,0,MATCH(AE$2,Inputs!$K$4:$AJ$4,0)))+SUMPRODUCT((Inputs!$C$5:$C$120=$B21)*Inputs!$D$5:$D$120*(((Inputs!$G$5:$G$120="moeda")+(Inputs!$G$5:$G$120="acoes"))*Inputs!$B$1+((Inputs!$G$5:$G$120&lt;&gt;"moeda")*(Inputs!$G$5:$G$120&lt;&gt;"acoes")))*INDEX(Inputs!$K$5:$AJ$120,0,MATCH(AE$2,Inputs!$K$4:$AJ$4,0)))+SUMPRODUCT((Inputs!$E$5:$E$120=$B21)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21" s="6" t="e">
        <f>IF(ISNA(MATCH(AF$2,Inputs!$K$4:$AJ$4,0)),NA(),IF(SUMPRODUCT((Inputs!$A$5:$A$120=$B21)*ISNUMBER(INDEX(Inputs!$K$5:$AJ$120,0,MATCH(AF$2,Inputs!$K$4:$AJ$4,0))))+SUMPRODUCT((Inputs!$C$5:$C$120=$B21)*ISNUMBER(INDEX(Inputs!$K$5:$AJ$120,0,MATCH(AF$2,Inputs!$K$4:$AJ$4,0))))+SUMPRODUCT((Inputs!$E$5:$E$120=$B21)*ISNUMBER(INDEX(Inputs!$K$5:$AJ$120,0,MATCH(AF$2,Inputs!$K$4:$AJ$4,0))))=0,NA(),SUMPRODUCT((Inputs!$A$5:$A$120=$B21)*Inputs!$B$5:$B$120*(((Inputs!$G$5:$G$120="moeda")+(Inputs!$G$5:$G$120="acoes"))*Inputs!$B$1+((Inputs!$G$5:$G$120&lt;&gt;"moeda")*(Inputs!$G$5:$G$120&lt;&gt;"acoes")))*INDEX(Inputs!$K$5:$AJ$120,0,MATCH(AF$2,Inputs!$K$4:$AJ$4,0)))+SUMPRODUCT((Inputs!$C$5:$C$120=$B21)*Inputs!$D$5:$D$120*(((Inputs!$G$5:$G$120="moeda")+(Inputs!$G$5:$G$120="acoes"))*Inputs!$B$1+((Inputs!$G$5:$G$120&lt;&gt;"moeda")*(Inputs!$G$5:$G$120&lt;&gt;"acoes")))*INDEX(Inputs!$K$5:$AJ$120,0,MATCH(AF$2,Inputs!$K$4:$AJ$4,0)))+SUMPRODUCT((Inputs!$E$5:$E$120=$B21)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21" s="3" t="e">
        <f>AF21</f>
        <v>#N/A</v>
      </c>
      <c r="AH21" s="6">
        <f>IF(ISNA(MATCH(AH$2,Inputs!$K$4:$AJ$4,0)),NA(),IF(SUMPRODUCT((Inputs!$A$5:$A$120=$B21)*ISNUMBER(INDEX(Inputs!$K$5:$AJ$120,0,MATCH(AH$2,Inputs!$K$4:$AJ$4,0))))+SUMPRODUCT((Inputs!$C$5:$C$120=$B21)*ISNUMBER(INDEX(Inputs!$K$5:$AJ$120,0,MATCH(AH$2,Inputs!$K$4:$AJ$4,0))))+SUMPRODUCT((Inputs!$E$5:$E$120=$B21)*ISNUMBER(INDEX(Inputs!$K$5:$AJ$120,0,MATCH(AH$2,Inputs!$K$4:$AJ$4,0))))=0,NA(),SUMPRODUCT((Inputs!$A$5:$A$120=$B21)*Inputs!$B$5:$B$120*(((Inputs!$G$5:$G$120="moeda")+(Inputs!$G$5:$G$120="acoes"))*Inputs!$B$1+((Inputs!$G$5:$G$120&lt;&gt;"moeda")*(Inputs!$G$5:$G$120&lt;&gt;"acoes")))*INDEX(Inputs!$K$5:$AJ$120,0,MATCH(AH$2,Inputs!$K$4:$AJ$4,0)))+SUMPRODUCT((Inputs!$C$5:$C$120=$B21)*Inputs!$D$5:$D$120*(((Inputs!$G$5:$G$120="moeda")+(Inputs!$G$5:$G$120="acoes"))*Inputs!$B$1+((Inputs!$G$5:$G$120&lt;&gt;"moeda")*(Inputs!$G$5:$G$120&lt;&gt;"acoes")))*INDEX(Inputs!$K$5:$AJ$120,0,MATCH(AH$2,Inputs!$K$4:$AJ$4,0)))+SUMPRODUCT((Inputs!$E$5:$E$120=$B21)*Inputs!$F$5:$F$120*(((Inputs!$G$5:$G$120="moeda")+(Inputs!$G$5:$G$120="acoes"))*Inputs!$B$1+((Inputs!$G$5:$G$120&lt;&gt;"moeda")*(Inputs!$G$5:$G$120&lt;&gt;"acoes")))*INDEX(Inputs!$K$5:$AJ$120,0,MATCH(AH$2,Inputs!$K$4:$AJ$4,0)))))</f>
        <v>0</v>
      </c>
      <c r="AI21" s="6">
        <f>IF(ISNA(MATCH(AI$2,Inputs!$K$4:$AJ$4,0)),NA(),IF(SUMPRODUCT((Inputs!$A$5:$A$120=$B21)*ISNUMBER(INDEX(Inputs!$K$5:$AJ$120,0,MATCH(AI$2,Inputs!$K$4:$AJ$4,0))))+SUMPRODUCT((Inputs!$C$5:$C$120=$B21)*ISNUMBER(INDEX(Inputs!$K$5:$AJ$120,0,MATCH(AI$2,Inputs!$K$4:$AJ$4,0))))+SUMPRODUCT((Inputs!$E$5:$E$120=$B21)*ISNUMBER(INDEX(Inputs!$K$5:$AJ$120,0,MATCH(AI$2,Inputs!$K$4:$AJ$4,0))))=0,NA(),SUMPRODUCT((Inputs!$A$5:$A$120=$B21)*Inputs!$B$5:$B$120*(((Inputs!$G$5:$G$120="moeda")+(Inputs!$G$5:$G$120="acoes"))*Inputs!$B$1+((Inputs!$G$5:$G$120&lt;&gt;"moeda")*(Inputs!$G$5:$G$120&lt;&gt;"acoes")))*INDEX(Inputs!$K$5:$AJ$120,0,MATCH(AI$2,Inputs!$K$4:$AJ$4,0)))+SUMPRODUCT((Inputs!$C$5:$C$120=$B21)*Inputs!$D$5:$D$120*(((Inputs!$G$5:$G$120="moeda")+(Inputs!$G$5:$G$120="acoes"))*Inputs!$B$1+((Inputs!$G$5:$G$120&lt;&gt;"moeda")*(Inputs!$G$5:$G$120&lt;&gt;"acoes")))*INDEX(Inputs!$K$5:$AJ$120,0,MATCH(AI$2,Inputs!$K$4:$AJ$4,0)))+SUMPRODUCT((Inputs!$E$5:$E$120=$B21)*Inputs!$F$5:$F$120*(((Inputs!$G$5:$G$120="moeda")+(Inputs!$G$5:$G$120="acoes"))*Inputs!$B$1+((Inputs!$G$5:$G$120&lt;&gt;"moeda")*(Inputs!$G$5:$G$120&lt;&gt;"acoes")))*INDEX(Inputs!$K$5:$AJ$120,0,MATCH(AI$2,Inputs!$K$4:$AJ$4,0)))))</f>
        <v>0</v>
      </c>
      <c r="AJ21" s="6">
        <f>IF(ISNA(MATCH(AJ$2,Inputs!$K$4:$AJ$4,0)),NA(),IF(SUMPRODUCT((Inputs!$A$5:$A$120=$B21)*ISNUMBER(INDEX(Inputs!$K$5:$AJ$120,0,MATCH(AJ$2,Inputs!$K$4:$AJ$4,0))))+SUMPRODUCT((Inputs!$C$5:$C$120=$B21)*ISNUMBER(INDEX(Inputs!$K$5:$AJ$120,0,MATCH(AJ$2,Inputs!$K$4:$AJ$4,0))))+SUMPRODUCT((Inputs!$E$5:$E$120=$B21)*ISNUMBER(INDEX(Inputs!$K$5:$AJ$120,0,MATCH(AJ$2,Inputs!$K$4:$AJ$4,0))))=0,NA(),SUMPRODUCT((Inputs!$A$5:$A$120=$B21)*Inputs!$B$5:$B$120*(((Inputs!$G$5:$G$120="moeda")+(Inputs!$G$5:$G$120="acoes"))*Inputs!$B$1+((Inputs!$G$5:$G$120&lt;&gt;"moeda")*(Inputs!$G$5:$G$120&lt;&gt;"acoes")))*INDEX(Inputs!$K$5:$AJ$120,0,MATCH(AJ$2,Inputs!$K$4:$AJ$4,0)))+SUMPRODUCT((Inputs!$C$5:$C$120=$B21)*Inputs!$D$5:$D$120*(((Inputs!$G$5:$G$120="moeda")+(Inputs!$G$5:$G$120="acoes"))*Inputs!$B$1+((Inputs!$G$5:$G$120&lt;&gt;"moeda")*(Inputs!$G$5:$G$120&lt;&gt;"acoes")))*INDEX(Inputs!$K$5:$AJ$120,0,MATCH(AJ$2,Inputs!$K$4:$AJ$4,0)))+SUMPRODUCT((Inputs!$E$5:$E$120=$B21)*Inputs!$F$5:$F$120*(((Inputs!$G$5:$G$120="moeda")+(Inputs!$G$5:$G$120="acoes"))*Inputs!$B$1+((Inputs!$G$5:$G$120&lt;&gt;"moeda")*(Inputs!$G$5:$G$120&lt;&gt;"acoes")))*INDEX(Inputs!$K$5:$AJ$120,0,MATCH(AJ$2,Inputs!$K$4:$AJ$4,0)))))</f>
        <v>0</v>
      </c>
      <c r="AK21" s="6">
        <f>IF(ISNA(MATCH(AK$2,Inputs!$K$4:$AJ$4,0)),NA(),IF(SUMPRODUCT((Inputs!$A$5:$A$120=$B21)*ISNUMBER(INDEX(Inputs!$K$5:$AJ$120,0,MATCH(AK$2,Inputs!$K$4:$AJ$4,0))))+SUMPRODUCT((Inputs!$C$5:$C$120=$B21)*ISNUMBER(INDEX(Inputs!$K$5:$AJ$120,0,MATCH(AK$2,Inputs!$K$4:$AJ$4,0))))+SUMPRODUCT((Inputs!$E$5:$E$120=$B21)*ISNUMBER(INDEX(Inputs!$K$5:$AJ$120,0,MATCH(AK$2,Inputs!$K$4:$AJ$4,0))))=0,NA(),SUMPRODUCT((Inputs!$A$5:$A$120=$B21)*Inputs!$B$5:$B$120*(((Inputs!$G$5:$G$120="moeda")+(Inputs!$G$5:$G$120="acoes"))*Inputs!$B$1+((Inputs!$G$5:$G$120&lt;&gt;"moeda")*(Inputs!$G$5:$G$120&lt;&gt;"acoes")))*INDEX(Inputs!$K$5:$AJ$120,0,MATCH(AK$2,Inputs!$K$4:$AJ$4,0)))+SUMPRODUCT((Inputs!$C$5:$C$120=$B21)*Inputs!$D$5:$D$120*(((Inputs!$G$5:$G$120="moeda")+(Inputs!$G$5:$G$120="acoes"))*Inputs!$B$1+((Inputs!$G$5:$G$120&lt;&gt;"moeda")*(Inputs!$G$5:$G$120&lt;&gt;"acoes")))*INDEX(Inputs!$K$5:$AJ$120,0,MATCH(AK$2,Inputs!$K$4:$AJ$4,0)))+SUMPRODUCT((Inputs!$E$5:$E$120=$B21)*Inputs!$F$5:$F$120*(((Inputs!$G$5:$G$120="moeda")+(Inputs!$G$5:$G$120="acoes"))*Inputs!$B$1+((Inputs!$G$5:$G$120&lt;&gt;"moeda")*(Inputs!$G$5:$G$120&lt;&gt;"acoes")))*INDEX(Inputs!$K$5:$AJ$120,0,MATCH(AK$2,Inputs!$K$4:$AJ$4,0)))))</f>
        <v>0</v>
      </c>
      <c r="AL21" s="3">
        <f>AK21</f>
        <v>0</v>
      </c>
    </row>
    <row r="22">
      <c r="B22" s="46" t="n">
        <v>18</v>
      </c>
      <c r="C22" s="26" t="inlineStr">
        <is>
          <t>PP&amp;E</t>
        </is>
      </c>
      <c r="D22" s="6">
        <f>IF(ISNA(MATCH(D$2,Inputs!$K$4:$AJ$4,0)),NA(),IF(SUMPRODUCT((Inputs!$A$5:$A$120=$B22)*ISNUMBER(INDEX(Inputs!$K$5:$AJ$120,0,MATCH(D$2,Inputs!$K$4:$AJ$4,0))))+SUMPRODUCT((Inputs!$C$5:$C$120=$B22)*ISNUMBER(INDEX(Inputs!$K$5:$AJ$120,0,MATCH(D$2,Inputs!$K$4:$AJ$4,0))))+SUMPRODUCT((Inputs!$E$5:$E$120=$B22)*ISNUMBER(INDEX(Inputs!$K$5:$AJ$120,0,MATCH(D$2,Inputs!$K$4:$AJ$4,0))))=0,NA(),SUMPRODUCT((Inputs!$A$5:$A$120=$B22)*Inputs!$B$5:$B$120*(((Inputs!$G$5:$G$120="moeda")+(Inputs!$G$5:$G$120="acoes"))*Inputs!$B$1+((Inputs!$G$5:$G$120&lt;&gt;"moeda")*(Inputs!$G$5:$G$120&lt;&gt;"acoes")))*INDEX(Inputs!$K$5:$AJ$120,0,MATCH(D$2,Inputs!$K$4:$AJ$4,0)))+SUMPRODUCT((Inputs!$C$5:$C$120=$B22)*Inputs!$D$5:$D$120*(((Inputs!$G$5:$G$120="moeda")+(Inputs!$G$5:$G$120="acoes"))*Inputs!$B$1+((Inputs!$G$5:$G$120&lt;&gt;"moeda")*(Inputs!$G$5:$G$120&lt;&gt;"acoes")))*INDEX(Inputs!$K$5:$AJ$120,0,MATCH(D$2,Inputs!$K$4:$AJ$4,0)))+SUMPRODUCT((Inputs!$E$5:$E$120=$B22)*Inputs!$F$5:$F$120*(((Inputs!$G$5:$G$120="moeda")+(Inputs!$G$5:$G$120="acoes"))*Inputs!$B$1+((Inputs!$G$5:$G$120&lt;&gt;"moeda")*(Inputs!$G$5:$G$120&lt;&gt;"acoes")))*INDEX(Inputs!$K$5:$AJ$120,0,MATCH(D$2,Inputs!$K$4:$AJ$4,0)))))</f>
        <v>13868</v>
      </c>
      <c r="E22" s="6">
        <f>IF(ISNA(MATCH(E$2,Inputs!$K$4:$AJ$4,0)),NA(),IF(SUMPRODUCT((Inputs!$A$5:$A$120=$B22)*ISNUMBER(INDEX(Inputs!$K$5:$AJ$120,0,MATCH(E$2,Inputs!$K$4:$AJ$4,0))))+SUMPRODUCT((Inputs!$C$5:$C$120=$B22)*ISNUMBER(INDEX(Inputs!$K$5:$AJ$120,0,MATCH(E$2,Inputs!$K$4:$AJ$4,0))))+SUMPRODUCT((Inputs!$E$5:$E$120=$B22)*ISNUMBER(INDEX(Inputs!$K$5:$AJ$120,0,MATCH(E$2,Inputs!$K$4:$AJ$4,0))))=0,NA(),SUMPRODUCT((Inputs!$A$5:$A$120=$B22)*Inputs!$B$5:$B$120*(((Inputs!$G$5:$G$120="moeda")+(Inputs!$G$5:$G$120="acoes"))*Inputs!$B$1+((Inputs!$G$5:$G$120&lt;&gt;"moeda")*(Inputs!$G$5:$G$120&lt;&gt;"acoes")))*INDEX(Inputs!$K$5:$AJ$120,0,MATCH(E$2,Inputs!$K$4:$AJ$4,0)))+SUMPRODUCT((Inputs!$C$5:$C$120=$B22)*Inputs!$D$5:$D$120*(((Inputs!$G$5:$G$120="moeda")+(Inputs!$G$5:$G$120="acoes"))*Inputs!$B$1+((Inputs!$G$5:$G$120&lt;&gt;"moeda")*(Inputs!$G$5:$G$120&lt;&gt;"acoes")))*INDEX(Inputs!$K$5:$AJ$120,0,MATCH(E$2,Inputs!$K$4:$AJ$4,0)))+SUMPRODUCT((Inputs!$E$5:$E$120=$B22)*Inputs!$F$5:$F$120*(((Inputs!$G$5:$G$120="moeda")+(Inputs!$G$5:$G$120="acoes"))*Inputs!$B$1+((Inputs!$G$5:$G$120&lt;&gt;"moeda")*(Inputs!$G$5:$G$120&lt;&gt;"acoes")))*INDEX(Inputs!$K$5:$AJ$120,0,MATCH(E$2,Inputs!$K$4:$AJ$4,0)))))</f>
        <v>15665</v>
      </c>
      <c r="F22" s="6">
        <f>IF(ISNA(MATCH(F$2,Inputs!$K$4:$AJ$4,0)),NA(),IF(SUMPRODUCT((Inputs!$A$5:$A$120=$B22)*ISNUMBER(INDEX(Inputs!$K$5:$AJ$120,0,MATCH(F$2,Inputs!$K$4:$AJ$4,0))))+SUMPRODUCT((Inputs!$C$5:$C$120=$B22)*ISNUMBER(INDEX(Inputs!$K$5:$AJ$120,0,MATCH(F$2,Inputs!$K$4:$AJ$4,0))))+SUMPRODUCT((Inputs!$E$5:$E$120=$B22)*ISNUMBER(INDEX(Inputs!$K$5:$AJ$120,0,MATCH(F$2,Inputs!$K$4:$AJ$4,0))))=0,NA(),SUMPRODUCT((Inputs!$A$5:$A$120=$B22)*Inputs!$B$5:$B$120*(((Inputs!$G$5:$G$120="moeda")+(Inputs!$G$5:$G$120="acoes"))*Inputs!$B$1+((Inputs!$G$5:$G$120&lt;&gt;"moeda")*(Inputs!$G$5:$G$120&lt;&gt;"acoes")))*INDEX(Inputs!$K$5:$AJ$120,0,MATCH(F$2,Inputs!$K$4:$AJ$4,0)))+SUMPRODUCT((Inputs!$C$5:$C$120=$B22)*Inputs!$D$5:$D$120*(((Inputs!$G$5:$G$120="moeda")+(Inputs!$G$5:$G$120="acoes"))*Inputs!$B$1+((Inputs!$G$5:$G$120&lt;&gt;"moeda")*(Inputs!$G$5:$G$120&lt;&gt;"acoes")))*INDEX(Inputs!$K$5:$AJ$120,0,MATCH(F$2,Inputs!$K$4:$AJ$4,0)))+SUMPRODUCT((Inputs!$E$5:$E$120=$B22)*Inputs!$F$5:$F$120*(((Inputs!$G$5:$G$120="moeda")+(Inputs!$G$5:$G$120="acoes"))*Inputs!$B$1+((Inputs!$G$5:$G$120&lt;&gt;"moeda")*(Inputs!$G$5:$G$120&lt;&gt;"acoes")))*INDEX(Inputs!$K$5:$AJ$120,0,MATCH(F$2,Inputs!$K$4:$AJ$4,0)))))</f>
        <v>17298</v>
      </c>
      <c r="G22" s="6">
        <f>IF(ISNA(MATCH(G$2,Inputs!$K$4:$AJ$4,0)),NA(),IF(SUMPRODUCT((Inputs!$A$5:$A$120=$B22)*ISNUMBER(INDEX(Inputs!$K$5:$AJ$120,0,MATCH(G$2,Inputs!$K$4:$AJ$4,0))))+SUMPRODUCT((Inputs!$C$5:$C$120=$B22)*ISNUMBER(INDEX(Inputs!$K$5:$AJ$120,0,MATCH(G$2,Inputs!$K$4:$AJ$4,0))))+SUMPRODUCT((Inputs!$E$5:$E$120=$B22)*ISNUMBER(INDEX(Inputs!$K$5:$AJ$120,0,MATCH(G$2,Inputs!$K$4:$AJ$4,0))))=0,NA(),SUMPRODUCT((Inputs!$A$5:$A$120=$B22)*Inputs!$B$5:$B$120*(((Inputs!$G$5:$G$120="moeda")+(Inputs!$G$5:$G$120="acoes"))*Inputs!$B$1+((Inputs!$G$5:$G$120&lt;&gt;"moeda")*(Inputs!$G$5:$G$120&lt;&gt;"acoes")))*INDEX(Inputs!$K$5:$AJ$120,0,MATCH(G$2,Inputs!$K$4:$AJ$4,0)))+SUMPRODUCT((Inputs!$C$5:$C$120=$B22)*Inputs!$D$5:$D$120*(((Inputs!$G$5:$G$120="moeda")+(Inputs!$G$5:$G$120="acoes"))*Inputs!$B$1+((Inputs!$G$5:$G$120&lt;&gt;"moeda")*(Inputs!$G$5:$G$120&lt;&gt;"acoes")))*INDEX(Inputs!$K$5:$AJ$120,0,MATCH(G$2,Inputs!$K$4:$AJ$4,0)))+SUMPRODUCT((Inputs!$E$5:$E$120=$B22)*Inputs!$F$5:$F$120*(((Inputs!$G$5:$G$120="moeda")+(Inputs!$G$5:$G$120="acoes"))*Inputs!$B$1+((Inputs!$G$5:$G$120&lt;&gt;"moeda")*(Inputs!$G$5:$G$120&lt;&gt;"acoes")))*INDEX(Inputs!$K$5:$AJ$120,0,MATCH(G$2,Inputs!$K$4:$AJ$4,0)))))</f>
        <v>18884</v>
      </c>
      <c r="H22" s="3">
        <f>G22</f>
        <v>18884</v>
      </c>
      <c r="I22" s="6">
        <f>IF(ISNA(MATCH(I$2,Inputs!$K$4:$AJ$4,0)),NA(),IF(SUMPRODUCT((Inputs!$A$5:$A$120=$B22)*ISNUMBER(INDEX(Inputs!$K$5:$AJ$120,0,MATCH(I$2,Inputs!$K$4:$AJ$4,0))))+SUMPRODUCT((Inputs!$C$5:$C$120=$B22)*ISNUMBER(INDEX(Inputs!$K$5:$AJ$120,0,MATCH(I$2,Inputs!$K$4:$AJ$4,0))))+SUMPRODUCT((Inputs!$E$5:$E$120=$B22)*ISNUMBER(INDEX(Inputs!$K$5:$AJ$120,0,MATCH(I$2,Inputs!$K$4:$AJ$4,0))))=0,NA(),SUMPRODUCT((Inputs!$A$5:$A$120=$B22)*Inputs!$B$5:$B$120*(((Inputs!$G$5:$G$120="moeda")+(Inputs!$G$5:$G$120="acoes"))*Inputs!$B$1+((Inputs!$G$5:$G$120&lt;&gt;"moeda")*(Inputs!$G$5:$G$120&lt;&gt;"acoes")))*INDEX(Inputs!$K$5:$AJ$120,0,MATCH(I$2,Inputs!$K$4:$AJ$4,0)))+SUMPRODUCT((Inputs!$C$5:$C$120=$B22)*Inputs!$D$5:$D$120*(((Inputs!$G$5:$G$120="moeda")+(Inputs!$G$5:$G$120="acoes"))*Inputs!$B$1+((Inputs!$G$5:$G$120&lt;&gt;"moeda")*(Inputs!$G$5:$G$120&lt;&gt;"acoes")))*INDEX(Inputs!$K$5:$AJ$120,0,MATCH(I$2,Inputs!$K$4:$AJ$4,0)))+SUMPRODUCT((Inputs!$E$5:$E$120=$B22)*Inputs!$F$5:$F$120*(((Inputs!$G$5:$G$120="moeda")+(Inputs!$G$5:$G$120="acoes"))*Inputs!$B$1+((Inputs!$G$5:$G$120&lt;&gt;"moeda")*(Inputs!$G$5:$G$120&lt;&gt;"acoes")))*INDEX(Inputs!$K$5:$AJ$120,0,MATCH(I$2,Inputs!$K$4:$AJ$4,0)))))</f>
        <v>20027</v>
      </c>
      <c r="J22" s="6">
        <f>IF(ISNA(MATCH(J$2,Inputs!$K$4:$AJ$4,0)),NA(),IF(SUMPRODUCT((Inputs!$A$5:$A$120=$B22)*ISNUMBER(INDEX(Inputs!$K$5:$AJ$120,0,MATCH(J$2,Inputs!$K$4:$AJ$4,0))))+SUMPRODUCT((Inputs!$C$5:$C$120=$B22)*ISNUMBER(INDEX(Inputs!$K$5:$AJ$120,0,MATCH(J$2,Inputs!$K$4:$AJ$4,0))))+SUMPRODUCT((Inputs!$E$5:$E$120=$B22)*ISNUMBER(INDEX(Inputs!$K$5:$AJ$120,0,MATCH(J$2,Inputs!$K$4:$AJ$4,0))))=0,NA(),SUMPRODUCT((Inputs!$A$5:$A$120=$B22)*Inputs!$B$5:$B$120*(((Inputs!$G$5:$G$120="moeda")+(Inputs!$G$5:$G$120="acoes"))*Inputs!$B$1+((Inputs!$G$5:$G$120&lt;&gt;"moeda")*(Inputs!$G$5:$G$120&lt;&gt;"acoes")))*INDEX(Inputs!$K$5:$AJ$120,0,MATCH(J$2,Inputs!$K$4:$AJ$4,0)))+SUMPRODUCT((Inputs!$C$5:$C$120=$B22)*Inputs!$D$5:$D$120*(((Inputs!$G$5:$G$120="moeda")+(Inputs!$G$5:$G$120="acoes"))*Inputs!$B$1+((Inputs!$G$5:$G$120&lt;&gt;"moeda")*(Inputs!$G$5:$G$120&lt;&gt;"acoes")))*INDEX(Inputs!$K$5:$AJ$120,0,MATCH(J$2,Inputs!$K$4:$AJ$4,0)))+SUMPRODUCT((Inputs!$E$5:$E$120=$B22)*Inputs!$F$5:$F$120*(((Inputs!$G$5:$G$120="moeda")+(Inputs!$G$5:$G$120="acoes"))*Inputs!$B$1+((Inputs!$G$5:$G$120&lt;&gt;"moeda")*(Inputs!$G$5:$G$120&lt;&gt;"acoes")))*INDEX(Inputs!$K$5:$AJ$120,0,MATCH(J$2,Inputs!$K$4:$AJ$4,0)))))</f>
        <v>21093</v>
      </c>
      <c r="K22" s="6">
        <f>IF(ISNA(MATCH(K$2,Inputs!$K$4:$AJ$4,0)),NA(),IF(SUMPRODUCT((Inputs!$A$5:$A$120=$B22)*ISNUMBER(INDEX(Inputs!$K$5:$AJ$120,0,MATCH(K$2,Inputs!$K$4:$AJ$4,0))))+SUMPRODUCT((Inputs!$C$5:$C$120=$B22)*ISNUMBER(INDEX(Inputs!$K$5:$AJ$120,0,MATCH(K$2,Inputs!$K$4:$AJ$4,0))))+SUMPRODUCT((Inputs!$E$5:$E$120=$B22)*ISNUMBER(INDEX(Inputs!$K$5:$AJ$120,0,MATCH(K$2,Inputs!$K$4:$AJ$4,0))))=0,NA(),SUMPRODUCT((Inputs!$A$5:$A$120=$B22)*Inputs!$B$5:$B$120*(((Inputs!$G$5:$G$120="moeda")+(Inputs!$G$5:$G$120="acoes"))*Inputs!$B$1+((Inputs!$G$5:$G$120&lt;&gt;"moeda")*(Inputs!$G$5:$G$120&lt;&gt;"acoes")))*INDEX(Inputs!$K$5:$AJ$120,0,MATCH(K$2,Inputs!$K$4:$AJ$4,0)))+SUMPRODUCT((Inputs!$C$5:$C$120=$B22)*Inputs!$D$5:$D$120*(((Inputs!$G$5:$G$120="moeda")+(Inputs!$G$5:$G$120="acoes"))*Inputs!$B$1+((Inputs!$G$5:$G$120&lt;&gt;"moeda")*(Inputs!$G$5:$G$120&lt;&gt;"acoes")))*INDEX(Inputs!$K$5:$AJ$120,0,MATCH(K$2,Inputs!$K$4:$AJ$4,0)))+SUMPRODUCT((Inputs!$E$5:$E$120=$B22)*Inputs!$F$5:$F$120*(((Inputs!$G$5:$G$120="moeda")+(Inputs!$G$5:$G$120="acoes"))*Inputs!$B$1+((Inputs!$G$5:$G$120&lt;&gt;"moeda")*(Inputs!$G$5:$G$120&lt;&gt;"acoes")))*INDEX(Inputs!$K$5:$AJ$120,0,MATCH(K$2,Inputs!$K$4:$AJ$4,0)))))</f>
        <v>21926</v>
      </c>
      <c r="L22" s="6">
        <f>IF(ISNA(MATCH(L$2,Inputs!$K$4:$AJ$4,0)),NA(),IF(SUMPRODUCT((Inputs!$A$5:$A$120=$B22)*ISNUMBER(INDEX(Inputs!$K$5:$AJ$120,0,MATCH(L$2,Inputs!$K$4:$AJ$4,0))))+SUMPRODUCT((Inputs!$C$5:$C$120=$B22)*ISNUMBER(INDEX(Inputs!$K$5:$AJ$120,0,MATCH(L$2,Inputs!$K$4:$AJ$4,0))))+SUMPRODUCT((Inputs!$E$5:$E$120=$B22)*ISNUMBER(INDEX(Inputs!$K$5:$AJ$120,0,MATCH(L$2,Inputs!$K$4:$AJ$4,0))))=0,NA(),SUMPRODUCT((Inputs!$A$5:$A$120=$B22)*Inputs!$B$5:$B$120*(((Inputs!$G$5:$G$120="moeda")+(Inputs!$G$5:$G$120="acoes"))*Inputs!$B$1+((Inputs!$G$5:$G$120&lt;&gt;"moeda")*(Inputs!$G$5:$G$120&lt;&gt;"acoes")))*INDEX(Inputs!$K$5:$AJ$120,0,MATCH(L$2,Inputs!$K$4:$AJ$4,0)))+SUMPRODUCT((Inputs!$C$5:$C$120=$B22)*Inputs!$D$5:$D$120*(((Inputs!$G$5:$G$120="moeda")+(Inputs!$G$5:$G$120="acoes"))*Inputs!$B$1+((Inputs!$G$5:$G$120&lt;&gt;"moeda")*(Inputs!$G$5:$G$120&lt;&gt;"acoes")))*INDEX(Inputs!$K$5:$AJ$120,0,MATCH(L$2,Inputs!$K$4:$AJ$4,0)))+SUMPRODUCT((Inputs!$E$5:$E$120=$B22)*Inputs!$F$5:$F$120*(((Inputs!$G$5:$G$120="moeda")+(Inputs!$G$5:$G$120="acoes"))*Inputs!$B$1+((Inputs!$G$5:$G$120&lt;&gt;"moeda")*(Inputs!$G$5:$G$120&lt;&gt;"acoes")))*INDEX(Inputs!$K$5:$AJ$120,0,MATCH(L$2,Inputs!$K$4:$AJ$4,0)))))</f>
        <v>23548</v>
      </c>
      <c r="M22" s="3">
        <f>L22</f>
        <v>23548</v>
      </c>
      <c r="N22" s="6">
        <f>IF(ISNA(MATCH(N$2,Inputs!$K$4:$AJ$4,0)),NA(),IF(SUMPRODUCT((Inputs!$A$5:$A$120=$B22)*ISNUMBER(INDEX(Inputs!$K$5:$AJ$120,0,MATCH(N$2,Inputs!$K$4:$AJ$4,0))))+SUMPRODUCT((Inputs!$C$5:$C$120=$B22)*ISNUMBER(INDEX(Inputs!$K$5:$AJ$120,0,MATCH(N$2,Inputs!$K$4:$AJ$4,0))))+SUMPRODUCT((Inputs!$E$5:$E$120=$B22)*ISNUMBER(INDEX(Inputs!$K$5:$AJ$120,0,MATCH(N$2,Inputs!$K$4:$AJ$4,0))))=0,NA(),SUMPRODUCT((Inputs!$A$5:$A$120=$B22)*Inputs!$B$5:$B$120*(((Inputs!$G$5:$G$120="moeda")+(Inputs!$G$5:$G$120="acoes"))*Inputs!$B$1+((Inputs!$G$5:$G$120&lt;&gt;"moeda")*(Inputs!$G$5:$G$120&lt;&gt;"acoes")))*INDEX(Inputs!$K$5:$AJ$120,0,MATCH(N$2,Inputs!$K$4:$AJ$4,0)))+SUMPRODUCT((Inputs!$C$5:$C$120=$B22)*Inputs!$D$5:$D$120*(((Inputs!$G$5:$G$120="moeda")+(Inputs!$G$5:$G$120="acoes"))*Inputs!$B$1+((Inputs!$G$5:$G$120&lt;&gt;"moeda")*(Inputs!$G$5:$G$120&lt;&gt;"acoes")))*INDEX(Inputs!$K$5:$AJ$120,0,MATCH(N$2,Inputs!$K$4:$AJ$4,0)))+SUMPRODUCT((Inputs!$E$5:$E$120=$B22)*Inputs!$F$5:$F$120*(((Inputs!$G$5:$G$120="moeda")+(Inputs!$G$5:$G$120="acoes"))*Inputs!$B$1+((Inputs!$G$5:$G$120&lt;&gt;"moeda")*(Inputs!$G$5:$G$120&lt;&gt;"acoes")))*INDEX(Inputs!$K$5:$AJ$120,0,MATCH(N$2,Inputs!$K$4:$AJ$4,0)))))</f>
        <v>24969</v>
      </c>
      <c r="O22" s="6">
        <f>IF(ISNA(MATCH(O$2,Inputs!$K$4:$AJ$4,0)),NA(),IF(SUMPRODUCT((Inputs!$A$5:$A$120=$B22)*ISNUMBER(INDEX(Inputs!$K$5:$AJ$120,0,MATCH(O$2,Inputs!$K$4:$AJ$4,0))))+SUMPRODUCT((Inputs!$C$5:$C$120=$B22)*ISNUMBER(INDEX(Inputs!$K$5:$AJ$120,0,MATCH(O$2,Inputs!$K$4:$AJ$4,0))))+SUMPRODUCT((Inputs!$E$5:$E$120=$B22)*ISNUMBER(INDEX(Inputs!$K$5:$AJ$120,0,MATCH(O$2,Inputs!$K$4:$AJ$4,0))))=0,NA(),SUMPRODUCT((Inputs!$A$5:$A$120=$B22)*Inputs!$B$5:$B$120*(((Inputs!$G$5:$G$120="moeda")+(Inputs!$G$5:$G$120="acoes"))*Inputs!$B$1+((Inputs!$G$5:$G$120&lt;&gt;"moeda")*(Inputs!$G$5:$G$120&lt;&gt;"acoes")))*INDEX(Inputs!$K$5:$AJ$120,0,MATCH(O$2,Inputs!$K$4:$AJ$4,0)))+SUMPRODUCT((Inputs!$C$5:$C$120=$B22)*Inputs!$D$5:$D$120*(((Inputs!$G$5:$G$120="moeda")+(Inputs!$G$5:$G$120="acoes"))*Inputs!$B$1+((Inputs!$G$5:$G$120&lt;&gt;"moeda")*(Inputs!$G$5:$G$120&lt;&gt;"acoes")))*INDEX(Inputs!$K$5:$AJ$120,0,MATCH(O$2,Inputs!$K$4:$AJ$4,0)))+SUMPRODUCT((Inputs!$E$5:$E$120=$B22)*Inputs!$F$5:$F$120*(((Inputs!$G$5:$G$120="moeda")+(Inputs!$G$5:$G$120="acoes"))*Inputs!$B$1+((Inputs!$G$5:$G$120&lt;&gt;"moeda")*(Inputs!$G$5:$G$120&lt;&gt;"acoes")))*INDEX(Inputs!$K$5:$AJ$120,0,MATCH(O$2,Inputs!$K$4:$AJ$4,0)))))</f>
        <v>26389</v>
      </c>
      <c r="P22" s="6">
        <f>IF(ISNA(MATCH(P$2,Inputs!$K$4:$AJ$4,0)),NA(),IF(SUMPRODUCT((Inputs!$A$5:$A$120=$B22)*ISNUMBER(INDEX(Inputs!$K$5:$AJ$120,0,MATCH(P$2,Inputs!$K$4:$AJ$4,0))))+SUMPRODUCT((Inputs!$C$5:$C$120=$B22)*ISNUMBER(INDEX(Inputs!$K$5:$AJ$120,0,MATCH(P$2,Inputs!$K$4:$AJ$4,0))))+SUMPRODUCT((Inputs!$E$5:$E$120=$B22)*ISNUMBER(INDEX(Inputs!$K$5:$AJ$120,0,MATCH(P$2,Inputs!$K$4:$AJ$4,0))))=0,NA(),SUMPRODUCT((Inputs!$A$5:$A$120=$B22)*Inputs!$B$5:$B$120*(((Inputs!$G$5:$G$120="moeda")+(Inputs!$G$5:$G$120="acoes"))*Inputs!$B$1+((Inputs!$G$5:$G$120&lt;&gt;"moeda")*(Inputs!$G$5:$G$120&lt;&gt;"acoes")))*INDEX(Inputs!$K$5:$AJ$120,0,MATCH(P$2,Inputs!$K$4:$AJ$4,0)))+SUMPRODUCT((Inputs!$C$5:$C$120=$B22)*Inputs!$D$5:$D$120*(((Inputs!$G$5:$G$120="moeda")+(Inputs!$G$5:$G$120="acoes"))*Inputs!$B$1+((Inputs!$G$5:$G$120&lt;&gt;"moeda")*(Inputs!$G$5:$G$120&lt;&gt;"acoes")))*INDEX(Inputs!$K$5:$AJ$120,0,MATCH(P$2,Inputs!$K$4:$AJ$4,0)))+SUMPRODUCT((Inputs!$E$5:$E$120=$B22)*Inputs!$F$5:$F$120*(((Inputs!$G$5:$G$120="moeda")+(Inputs!$G$5:$G$120="acoes"))*Inputs!$B$1+((Inputs!$G$5:$G$120&lt;&gt;"moeda")*(Inputs!$G$5:$G$120&lt;&gt;"acoes")))*INDEX(Inputs!$K$5:$AJ$120,0,MATCH(P$2,Inputs!$K$4:$AJ$4,0)))))</f>
        <v>27744</v>
      </c>
      <c r="Q22" s="6">
        <f>IF(ISNA(MATCH(Q$2,Inputs!$K$4:$AJ$4,0)),NA(),IF(SUMPRODUCT((Inputs!$A$5:$A$120=$B22)*ISNUMBER(INDEX(Inputs!$K$5:$AJ$120,0,MATCH(Q$2,Inputs!$K$4:$AJ$4,0))))+SUMPRODUCT((Inputs!$C$5:$C$120=$B22)*ISNUMBER(INDEX(Inputs!$K$5:$AJ$120,0,MATCH(Q$2,Inputs!$K$4:$AJ$4,0))))+SUMPRODUCT((Inputs!$E$5:$E$120=$B22)*ISNUMBER(INDEX(Inputs!$K$5:$AJ$120,0,MATCH(Q$2,Inputs!$K$4:$AJ$4,0))))=0,NA(),SUMPRODUCT((Inputs!$A$5:$A$120=$B22)*Inputs!$B$5:$B$120*(((Inputs!$G$5:$G$120="moeda")+(Inputs!$G$5:$G$120="acoes"))*Inputs!$B$1+((Inputs!$G$5:$G$120&lt;&gt;"moeda")*(Inputs!$G$5:$G$120&lt;&gt;"acoes")))*INDEX(Inputs!$K$5:$AJ$120,0,MATCH(Q$2,Inputs!$K$4:$AJ$4,0)))+SUMPRODUCT((Inputs!$C$5:$C$120=$B22)*Inputs!$D$5:$D$120*(((Inputs!$G$5:$G$120="moeda")+(Inputs!$G$5:$G$120="acoes"))*Inputs!$B$1+((Inputs!$G$5:$G$120&lt;&gt;"moeda")*(Inputs!$G$5:$G$120&lt;&gt;"acoes")))*INDEX(Inputs!$K$5:$AJ$120,0,MATCH(Q$2,Inputs!$K$4:$AJ$4,0)))+SUMPRODUCT((Inputs!$E$5:$E$120=$B22)*Inputs!$F$5:$F$120*(((Inputs!$G$5:$G$120="moeda")+(Inputs!$G$5:$G$120="acoes"))*Inputs!$B$1+((Inputs!$G$5:$G$120&lt;&gt;"moeda")*(Inputs!$G$5:$G$120&lt;&gt;"acoes")))*INDEX(Inputs!$K$5:$AJ$120,0,MATCH(Q$2,Inputs!$K$4:$AJ$4,0)))))</f>
        <v>29725</v>
      </c>
      <c r="R22" s="3">
        <f>Q22</f>
        <v>29725</v>
      </c>
      <c r="S22" s="6">
        <f>IF(ISNA(MATCH(S$2,Inputs!$K$4:$AJ$4,0)),NA(),IF(SUMPRODUCT((Inputs!$A$5:$A$120=$B22)*ISNUMBER(INDEX(Inputs!$K$5:$AJ$120,0,MATCH(S$2,Inputs!$K$4:$AJ$4,0))))+SUMPRODUCT((Inputs!$C$5:$C$120=$B22)*ISNUMBER(INDEX(Inputs!$K$5:$AJ$120,0,MATCH(S$2,Inputs!$K$4:$AJ$4,0))))+SUMPRODUCT((Inputs!$E$5:$E$120=$B22)*ISNUMBER(INDEX(Inputs!$K$5:$AJ$120,0,MATCH(S$2,Inputs!$K$4:$AJ$4,0))))=0,NA(),SUMPRODUCT((Inputs!$A$5:$A$120=$B22)*Inputs!$B$5:$B$120*(((Inputs!$G$5:$G$120="moeda")+(Inputs!$G$5:$G$120="acoes"))*Inputs!$B$1+((Inputs!$G$5:$G$120&lt;&gt;"moeda")*(Inputs!$G$5:$G$120&lt;&gt;"acoes")))*INDEX(Inputs!$K$5:$AJ$120,0,MATCH(S$2,Inputs!$K$4:$AJ$4,0)))+SUMPRODUCT((Inputs!$C$5:$C$120=$B22)*Inputs!$D$5:$D$120*(((Inputs!$G$5:$G$120="moeda")+(Inputs!$G$5:$G$120="acoes"))*Inputs!$B$1+((Inputs!$G$5:$G$120&lt;&gt;"moeda")*(Inputs!$G$5:$G$120&lt;&gt;"acoes")))*INDEX(Inputs!$K$5:$AJ$120,0,MATCH(S$2,Inputs!$K$4:$AJ$4,0)))+SUMPRODUCT((Inputs!$E$5:$E$120=$B22)*Inputs!$F$5:$F$120*(((Inputs!$G$5:$G$120="moeda")+(Inputs!$G$5:$G$120="acoes"))*Inputs!$B$1+((Inputs!$G$5:$G$120&lt;&gt;"moeda")*(Inputs!$G$5:$G$120&lt;&gt;"acoes")))*INDEX(Inputs!$K$5:$AJ$120,0,MATCH(S$2,Inputs!$K$4:$AJ$4,0)))))</f>
        <v>31436</v>
      </c>
      <c r="T22" s="6">
        <f>IF(ISNA(MATCH(T$2,Inputs!$K$4:$AJ$4,0)),NA(),IF(SUMPRODUCT((Inputs!$A$5:$A$120=$B22)*ISNUMBER(INDEX(Inputs!$K$5:$AJ$120,0,MATCH(T$2,Inputs!$K$4:$AJ$4,0))))+SUMPRODUCT((Inputs!$C$5:$C$120=$B22)*ISNUMBER(INDEX(Inputs!$K$5:$AJ$120,0,MATCH(T$2,Inputs!$K$4:$AJ$4,0))))+SUMPRODUCT((Inputs!$E$5:$E$120=$B22)*ISNUMBER(INDEX(Inputs!$K$5:$AJ$120,0,MATCH(T$2,Inputs!$K$4:$AJ$4,0))))=0,NA(),SUMPRODUCT((Inputs!$A$5:$A$120=$B22)*Inputs!$B$5:$B$120*(((Inputs!$G$5:$G$120="moeda")+(Inputs!$G$5:$G$120="acoes"))*Inputs!$B$1+((Inputs!$G$5:$G$120&lt;&gt;"moeda")*(Inputs!$G$5:$G$120&lt;&gt;"acoes")))*INDEX(Inputs!$K$5:$AJ$120,0,MATCH(T$2,Inputs!$K$4:$AJ$4,0)))+SUMPRODUCT((Inputs!$C$5:$C$120=$B22)*Inputs!$D$5:$D$120*(((Inputs!$G$5:$G$120="moeda")+(Inputs!$G$5:$G$120="acoes"))*Inputs!$B$1+((Inputs!$G$5:$G$120&lt;&gt;"moeda")*(Inputs!$G$5:$G$120&lt;&gt;"acoes")))*INDEX(Inputs!$K$5:$AJ$120,0,MATCH(T$2,Inputs!$K$4:$AJ$4,0)))+SUMPRODUCT((Inputs!$E$5:$E$120=$B22)*Inputs!$F$5:$F$120*(((Inputs!$G$5:$G$120="moeda")+(Inputs!$G$5:$G$120="acoes"))*Inputs!$B$1+((Inputs!$G$5:$G$120&lt;&gt;"moeda")*(Inputs!$G$5:$G$120&lt;&gt;"acoes")))*INDEX(Inputs!$K$5:$AJ$120,0,MATCH(T$2,Inputs!$K$4:$AJ$4,0)))))</f>
        <v>32902</v>
      </c>
      <c r="U22" s="6">
        <f>IF(ISNA(MATCH(U$2,Inputs!$K$4:$AJ$4,0)),NA(),IF(SUMPRODUCT((Inputs!$A$5:$A$120=$B22)*ISNUMBER(INDEX(Inputs!$K$5:$AJ$120,0,MATCH(U$2,Inputs!$K$4:$AJ$4,0))))+SUMPRODUCT((Inputs!$C$5:$C$120=$B22)*ISNUMBER(INDEX(Inputs!$K$5:$AJ$120,0,MATCH(U$2,Inputs!$K$4:$AJ$4,0))))+SUMPRODUCT((Inputs!$E$5:$E$120=$B22)*ISNUMBER(INDEX(Inputs!$K$5:$AJ$120,0,MATCH(U$2,Inputs!$K$4:$AJ$4,0))))=0,NA(),SUMPRODUCT((Inputs!$A$5:$A$120=$B22)*Inputs!$B$5:$B$120*(((Inputs!$G$5:$G$120="moeda")+(Inputs!$G$5:$G$120="acoes"))*Inputs!$B$1+((Inputs!$G$5:$G$120&lt;&gt;"moeda")*(Inputs!$G$5:$G$120&lt;&gt;"acoes")))*INDEX(Inputs!$K$5:$AJ$120,0,MATCH(U$2,Inputs!$K$4:$AJ$4,0)))+SUMPRODUCT((Inputs!$C$5:$C$120=$B22)*Inputs!$D$5:$D$120*(((Inputs!$G$5:$G$120="moeda")+(Inputs!$G$5:$G$120="acoes"))*Inputs!$B$1+((Inputs!$G$5:$G$120&lt;&gt;"moeda")*(Inputs!$G$5:$G$120&lt;&gt;"acoes")))*INDEX(Inputs!$K$5:$AJ$120,0,MATCH(U$2,Inputs!$K$4:$AJ$4,0)))+SUMPRODUCT((Inputs!$E$5:$E$120=$B22)*Inputs!$F$5:$F$120*(((Inputs!$G$5:$G$120="moeda")+(Inputs!$G$5:$G$120="acoes"))*Inputs!$B$1+((Inputs!$G$5:$G$120&lt;&gt;"moeda")*(Inputs!$G$5:$G$120&lt;&gt;"acoes")))*INDEX(Inputs!$K$5:$AJ$120,0,MATCH(U$2,Inputs!$K$4:$AJ$4,0)))))</f>
        <v>36116</v>
      </c>
      <c r="V22" s="6">
        <f>IF(ISNA(MATCH(V$2,Inputs!$K$4:$AJ$4,0)),NA(),IF(SUMPRODUCT((Inputs!$A$5:$A$120=$B22)*ISNUMBER(INDEX(Inputs!$K$5:$AJ$120,0,MATCH(V$2,Inputs!$K$4:$AJ$4,0))))+SUMPRODUCT((Inputs!$C$5:$C$120=$B22)*ISNUMBER(INDEX(Inputs!$K$5:$AJ$120,0,MATCH(V$2,Inputs!$K$4:$AJ$4,0))))+SUMPRODUCT((Inputs!$E$5:$E$120=$B22)*ISNUMBER(INDEX(Inputs!$K$5:$AJ$120,0,MATCH(V$2,Inputs!$K$4:$AJ$4,0))))=0,NA(),SUMPRODUCT((Inputs!$A$5:$A$120=$B22)*Inputs!$B$5:$B$120*(((Inputs!$G$5:$G$120="moeda")+(Inputs!$G$5:$G$120="acoes"))*Inputs!$B$1+((Inputs!$G$5:$G$120&lt;&gt;"moeda")*(Inputs!$G$5:$G$120&lt;&gt;"acoes")))*INDEX(Inputs!$K$5:$AJ$120,0,MATCH(V$2,Inputs!$K$4:$AJ$4,0)))+SUMPRODUCT((Inputs!$C$5:$C$120=$B22)*Inputs!$D$5:$D$120*(((Inputs!$G$5:$G$120="moeda")+(Inputs!$G$5:$G$120="acoes"))*Inputs!$B$1+((Inputs!$G$5:$G$120&lt;&gt;"moeda")*(Inputs!$G$5:$G$120&lt;&gt;"acoes")))*INDEX(Inputs!$K$5:$AJ$120,0,MATCH(V$2,Inputs!$K$4:$AJ$4,0)))+SUMPRODUCT((Inputs!$E$5:$E$120=$B22)*Inputs!$F$5:$F$120*(((Inputs!$G$5:$G$120="moeda")+(Inputs!$G$5:$G$120="acoes"))*Inputs!$B$1+((Inputs!$G$5:$G$120&lt;&gt;"moeda")*(Inputs!$G$5:$G$120&lt;&gt;"acoes")))*INDEX(Inputs!$K$5:$AJ$120,0,MATCH(V$2,Inputs!$K$4:$AJ$4,0)))))</f>
        <v>35836</v>
      </c>
      <c r="W22" s="3">
        <f>V22</f>
        <v>35836</v>
      </c>
      <c r="X22" s="6">
        <f>IF(ISNA(MATCH(X$2,Inputs!$K$4:$AJ$4,0)),NA(),IF(SUMPRODUCT((Inputs!$A$5:$A$120=$B22)*ISNUMBER(INDEX(Inputs!$K$5:$AJ$120,0,MATCH(X$2,Inputs!$K$4:$AJ$4,0))))+SUMPRODUCT((Inputs!$C$5:$C$120=$B22)*ISNUMBER(INDEX(Inputs!$K$5:$AJ$120,0,MATCH(X$2,Inputs!$K$4:$AJ$4,0))))+SUMPRODUCT((Inputs!$E$5:$E$120=$B22)*ISNUMBER(INDEX(Inputs!$K$5:$AJ$120,0,MATCH(X$2,Inputs!$K$4:$AJ$4,0))))=0,NA(),SUMPRODUCT((Inputs!$A$5:$A$120=$B22)*Inputs!$B$5:$B$120*(((Inputs!$G$5:$G$120="moeda")+(Inputs!$G$5:$G$120="acoes"))*Inputs!$B$1+((Inputs!$G$5:$G$120&lt;&gt;"moeda")*(Inputs!$G$5:$G$120&lt;&gt;"acoes")))*INDEX(Inputs!$K$5:$AJ$120,0,MATCH(X$2,Inputs!$K$4:$AJ$4,0)))+SUMPRODUCT((Inputs!$C$5:$C$120=$B22)*Inputs!$D$5:$D$120*(((Inputs!$G$5:$G$120="moeda")+(Inputs!$G$5:$G$120="acoes"))*Inputs!$B$1+((Inputs!$G$5:$G$120&lt;&gt;"moeda")*(Inputs!$G$5:$G$120&lt;&gt;"acoes")))*INDEX(Inputs!$K$5:$AJ$120,0,MATCH(X$2,Inputs!$K$4:$AJ$4,0)))+SUMPRODUCT((Inputs!$E$5:$E$120=$B22)*Inputs!$F$5:$F$120*(((Inputs!$G$5:$G$120="moeda")+(Inputs!$G$5:$G$120="acoes"))*Inputs!$B$1+((Inputs!$G$5:$G$120&lt;&gt;"moeda")*(Inputs!$G$5:$G$120&lt;&gt;"acoes")))*INDEX(Inputs!$K$5:$AJ$120,0,MATCH(X$2,Inputs!$K$4:$AJ$4,0)))))</f>
        <v>37088</v>
      </c>
      <c r="Y22" s="6">
        <f>IF(ISNA(MATCH(Y$2,Inputs!$K$4:$AJ$4,0)),NA(),IF(SUMPRODUCT((Inputs!$A$5:$A$120=$B22)*ISNUMBER(INDEX(Inputs!$K$5:$AJ$120,0,MATCH(Y$2,Inputs!$K$4:$AJ$4,0))))+SUMPRODUCT((Inputs!$C$5:$C$120=$B22)*ISNUMBER(INDEX(Inputs!$K$5:$AJ$120,0,MATCH(Y$2,Inputs!$K$4:$AJ$4,0))))+SUMPRODUCT((Inputs!$E$5:$E$120=$B22)*ISNUMBER(INDEX(Inputs!$K$5:$AJ$120,0,MATCH(Y$2,Inputs!$K$4:$AJ$4,0))))=0,NA(),SUMPRODUCT((Inputs!$A$5:$A$120=$B22)*Inputs!$B$5:$B$120*(((Inputs!$G$5:$G$120="moeda")+(Inputs!$G$5:$G$120="acoes"))*Inputs!$B$1+((Inputs!$G$5:$G$120&lt;&gt;"moeda")*(Inputs!$G$5:$G$120&lt;&gt;"acoes")))*INDEX(Inputs!$K$5:$AJ$120,0,MATCH(Y$2,Inputs!$K$4:$AJ$4,0)))+SUMPRODUCT((Inputs!$C$5:$C$120=$B22)*Inputs!$D$5:$D$120*(((Inputs!$G$5:$G$120="moeda")+(Inputs!$G$5:$G$120="acoes"))*Inputs!$B$1+((Inputs!$G$5:$G$120&lt;&gt;"moeda")*(Inputs!$G$5:$G$120&lt;&gt;"acoes")))*INDEX(Inputs!$K$5:$AJ$120,0,MATCH(Y$2,Inputs!$K$4:$AJ$4,0)))+SUMPRODUCT((Inputs!$E$5:$E$120=$B22)*Inputs!$F$5:$F$120*(((Inputs!$G$5:$G$120="moeda")+(Inputs!$G$5:$G$120="acoes"))*Inputs!$B$1+((Inputs!$G$5:$G$120&lt;&gt;"moeda")*(Inputs!$G$5:$G$120&lt;&gt;"acoes")))*INDEX(Inputs!$K$5:$AJ$120,0,MATCH(Y$2,Inputs!$K$4:$AJ$4,0)))))</f>
        <v>38574</v>
      </c>
      <c r="Z22" s="6">
        <f>IF(ISNA(MATCH(Z$2,Inputs!$K$4:$AJ$4,0)),NA(),IF(SUMPRODUCT((Inputs!$A$5:$A$120=$B22)*ISNUMBER(INDEX(Inputs!$K$5:$AJ$120,0,MATCH(Z$2,Inputs!$K$4:$AJ$4,0))))+SUMPRODUCT((Inputs!$C$5:$C$120=$B22)*ISNUMBER(INDEX(Inputs!$K$5:$AJ$120,0,MATCH(Z$2,Inputs!$K$4:$AJ$4,0))))+SUMPRODUCT((Inputs!$E$5:$E$120=$B22)*ISNUMBER(INDEX(Inputs!$K$5:$AJ$120,0,MATCH(Z$2,Inputs!$K$4:$AJ$4,0))))=0,NA(),SUMPRODUCT((Inputs!$A$5:$A$120=$B22)*Inputs!$B$5:$B$120*(((Inputs!$G$5:$G$120="moeda")+(Inputs!$G$5:$G$120="acoes"))*Inputs!$B$1+((Inputs!$G$5:$G$120&lt;&gt;"moeda")*(Inputs!$G$5:$G$120&lt;&gt;"acoes")))*INDEX(Inputs!$K$5:$AJ$120,0,MATCH(Z$2,Inputs!$K$4:$AJ$4,0)))+SUMPRODUCT((Inputs!$C$5:$C$120=$B22)*Inputs!$D$5:$D$120*(((Inputs!$G$5:$G$120="moeda")+(Inputs!$G$5:$G$120="acoes"))*Inputs!$B$1+((Inputs!$G$5:$G$120&lt;&gt;"moeda")*(Inputs!$G$5:$G$120&lt;&gt;"acoes")))*INDEX(Inputs!$K$5:$AJ$120,0,MATCH(Z$2,Inputs!$K$4:$AJ$4,0)))+SUMPRODUCT((Inputs!$E$5:$E$120=$B22)*Inputs!$F$5:$F$120*(((Inputs!$G$5:$G$120="moeda")+(Inputs!$G$5:$G$120="acoes"))*Inputs!$B$1+((Inputs!$G$5:$G$120&lt;&gt;"moeda")*(Inputs!$G$5:$G$120&lt;&gt;"acoes")))*INDEX(Inputs!$K$5:$AJ$120,0,MATCH(Z$2,Inputs!$K$4:$AJ$4,0)))))</f>
        <v>39407</v>
      </c>
      <c r="AA22" s="6">
        <f>IF(ISNA(MATCH(AA$2,Inputs!$K$4:$AJ$4,0)),NA(),IF(SUMPRODUCT((Inputs!$A$5:$A$120=$B22)*ISNUMBER(INDEX(Inputs!$K$5:$AJ$120,0,MATCH(AA$2,Inputs!$K$4:$AJ$4,0))))+SUMPRODUCT((Inputs!$C$5:$C$120=$B22)*ISNUMBER(INDEX(Inputs!$K$5:$AJ$120,0,MATCH(AA$2,Inputs!$K$4:$AJ$4,0))))+SUMPRODUCT((Inputs!$E$5:$E$120=$B22)*ISNUMBER(INDEX(Inputs!$K$5:$AJ$120,0,MATCH(AA$2,Inputs!$K$4:$AJ$4,0))))=0,NA(),SUMPRODUCT((Inputs!$A$5:$A$120=$B22)*Inputs!$B$5:$B$120*(((Inputs!$G$5:$G$120="moeda")+(Inputs!$G$5:$G$120="acoes"))*Inputs!$B$1+((Inputs!$G$5:$G$120&lt;&gt;"moeda")*(Inputs!$G$5:$G$120&lt;&gt;"acoes")))*INDEX(Inputs!$K$5:$AJ$120,0,MATCH(AA$2,Inputs!$K$4:$AJ$4,0)))+SUMPRODUCT((Inputs!$C$5:$C$120=$B22)*Inputs!$D$5:$D$120*(((Inputs!$G$5:$G$120="moeda")+(Inputs!$G$5:$G$120="acoes"))*Inputs!$B$1+((Inputs!$G$5:$G$120&lt;&gt;"moeda")*(Inputs!$G$5:$G$120&lt;&gt;"acoes")))*INDEX(Inputs!$K$5:$AJ$120,0,MATCH(AA$2,Inputs!$K$4:$AJ$4,0)))+SUMPRODUCT((Inputs!$E$5:$E$120=$B22)*Inputs!$F$5:$F$120*(((Inputs!$G$5:$G$120="moeda")+(Inputs!$G$5:$G$120="acoes"))*Inputs!$B$1+((Inputs!$G$5:$G$120&lt;&gt;"moeda")*(Inputs!$G$5:$G$120&lt;&gt;"acoes")))*INDEX(Inputs!$K$5:$AJ$120,0,MATCH(AA$2,Inputs!$K$4:$AJ$4,0)))))</f>
        <v>40643</v>
      </c>
      <c r="AB22" s="3">
        <f>AA22</f>
        <v>40643</v>
      </c>
      <c r="AC22" s="6">
        <f>IF(ISNA(MATCH(AC$2,Inputs!$K$4:$AJ$4,0)),NA(),IF(SUMPRODUCT((Inputs!$A$5:$A$120=$B22)*ISNUMBER(INDEX(Inputs!$K$5:$AJ$120,0,MATCH(AC$2,Inputs!$K$4:$AJ$4,0))))+SUMPRODUCT((Inputs!$C$5:$C$120=$B22)*ISNUMBER(INDEX(Inputs!$K$5:$AJ$120,0,MATCH(AC$2,Inputs!$K$4:$AJ$4,0))))+SUMPRODUCT((Inputs!$E$5:$E$120=$B22)*ISNUMBER(INDEX(Inputs!$K$5:$AJ$120,0,MATCH(AC$2,Inputs!$K$4:$AJ$4,0))))=0,NA(),SUMPRODUCT((Inputs!$A$5:$A$120=$B22)*Inputs!$B$5:$B$120*(((Inputs!$G$5:$G$120="moeda")+(Inputs!$G$5:$G$120="acoes"))*Inputs!$B$1+((Inputs!$G$5:$G$120&lt;&gt;"moeda")*(Inputs!$G$5:$G$120&lt;&gt;"acoes")))*INDEX(Inputs!$K$5:$AJ$120,0,MATCH(AC$2,Inputs!$K$4:$AJ$4,0)))+SUMPRODUCT((Inputs!$C$5:$C$120=$B22)*Inputs!$D$5:$D$120*(((Inputs!$G$5:$G$120="moeda")+(Inputs!$G$5:$G$120="acoes"))*Inputs!$B$1+((Inputs!$G$5:$G$120&lt;&gt;"moeda")*(Inputs!$G$5:$G$120&lt;&gt;"acoes")))*INDEX(Inputs!$K$5:$AJ$120,0,MATCH(AC$2,Inputs!$K$4:$AJ$4,0)))+SUMPRODUCT((Inputs!$E$5:$E$120=$B22)*Inputs!$F$5:$F$120*(((Inputs!$G$5:$G$120="moeda")+(Inputs!$G$5:$G$120="acoes"))*Inputs!$B$1+((Inputs!$G$5:$G$120&lt;&gt;"moeda")*(Inputs!$G$5:$G$120&lt;&gt;"acoes")))*INDEX(Inputs!$K$5:$AJ$120,0,MATCH(AC$2,Inputs!$K$4:$AJ$4,0)))))</f>
        <v>43213</v>
      </c>
      <c r="AD22" s="6">
        <f>IF(ISNA(MATCH(AD$2,Inputs!$K$4:$AJ$4,0)),NA(),IF(SUMPRODUCT((Inputs!$A$5:$A$120=$B22)*ISNUMBER(INDEX(Inputs!$K$5:$AJ$120,0,MATCH(AD$2,Inputs!$K$4:$AJ$4,0))))+SUMPRODUCT((Inputs!$C$5:$C$120=$B22)*ISNUMBER(INDEX(Inputs!$K$5:$AJ$120,0,MATCH(AD$2,Inputs!$K$4:$AJ$4,0))))+SUMPRODUCT((Inputs!$E$5:$E$120=$B22)*ISNUMBER(INDEX(Inputs!$K$5:$AJ$120,0,MATCH(AD$2,Inputs!$K$4:$AJ$4,0))))=0,NA(),SUMPRODUCT((Inputs!$A$5:$A$120=$B22)*Inputs!$B$5:$B$120*(((Inputs!$G$5:$G$120="moeda")+(Inputs!$G$5:$G$120="acoes"))*Inputs!$B$1+((Inputs!$G$5:$G$120&lt;&gt;"moeda")*(Inputs!$G$5:$G$120&lt;&gt;"acoes")))*INDEX(Inputs!$K$5:$AJ$120,0,MATCH(AD$2,Inputs!$K$4:$AJ$4,0)))+SUMPRODUCT((Inputs!$C$5:$C$120=$B22)*Inputs!$D$5:$D$120*(((Inputs!$G$5:$G$120="moeda")+(Inputs!$G$5:$G$120="acoes"))*Inputs!$B$1+((Inputs!$G$5:$G$120&lt;&gt;"moeda")*(Inputs!$G$5:$G$120&lt;&gt;"acoes")))*INDEX(Inputs!$K$5:$AJ$120,0,MATCH(AD$2,Inputs!$K$4:$AJ$4,0)))+SUMPRODUCT((Inputs!$E$5:$E$120=$B22)*Inputs!$F$5:$F$120*(((Inputs!$G$5:$G$120="moeda")+(Inputs!$G$5:$G$120="acoes"))*Inputs!$B$1+((Inputs!$G$5:$G$120&lt;&gt;"moeda")*(Inputs!$G$5:$G$120&lt;&gt;"acoes")))*INDEX(Inputs!$K$5:$AJ$120,0,MATCH(AD$2,Inputs!$K$4:$AJ$4,0)))))</f>
        <v>47255</v>
      </c>
      <c r="AE22" s="6" t="e">
        <f>IF(ISNA(MATCH(AE$2,Inputs!$K$4:$AJ$4,0)),NA(),IF(SUMPRODUCT((Inputs!$A$5:$A$120=$B22)*ISNUMBER(INDEX(Inputs!$K$5:$AJ$120,0,MATCH(AE$2,Inputs!$K$4:$AJ$4,0))))+SUMPRODUCT((Inputs!$C$5:$C$120=$B22)*ISNUMBER(INDEX(Inputs!$K$5:$AJ$120,0,MATCH(AE$2,Inputs!$K$4:$AJ$4,0))))+SUMPRODUCT((Inputs!$E$5:$E$120=$B22)*ISNUMBER(INDEX(Inputs!$K$5:$AJ$120,0,MATCH(AE$2,Inputs!$K$4:$AJ$4,0))))=0,NA(),SUMPRODUCT((Inputs!$A$5:$A$120=$B22)*Inputs!$B$5:$B$120*(((Inputs!$G$5:$G$120="moeda")+(Inputs!$G$5:$G$120="acoes"))*Inputs!$B$1+((Inputs!$G$5:$G$120&lt;&gt;"moeda")*(Inputs!$G$5:$G$120&lt;&gt;"acoes")))*INDEX(Inputs!$K$5:$AJ$120,0,MATCH(AE$2,Inputs!$K$4:$AJ$4,0)))+SUMPRODUCT((Inputs!$C$5:$C$120=$B22)*Inputs!$D$5:$D$120*(((Inputs!$G$5:$G$120="moeda")+(Inputs!$G$5:$G$120="acoes"))*Inputs!$B$1+((Inputs!$G$5:$G$120&lt;&gt;"moeda")*(Inputs!$G$5:$G$120&lt;&gt;"acoes")))*INDEX(Inputs!$K$5:$AJ$120,0,MATCH(AE$2,Inputs!$K$4:$AJ$4,0)))+SUMPRODUCT((Inputs!$E$5:$E$120=$B22)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22" s="6" t="e">
        <f>IF(ISNA(MATCH(AF$2,Inputs!$K$4:$AJ$4,0)),NA(),IF(SUMPRODUCT((Inputs!$A$5:$A$120=$B22)*ISNUMBER(INDEX(Inputs!$K$5:$AJ$120,0,MATCH(AF$2,Inputs!$K$4:$AJ$4,0))))+SUMPRODUCT((Inputs!$C$5:$C$120=$B22)*ISNUMBER(INDEX(Inputs!$K$5:$AJ$120,0,MATCH(AF$2,Inputs!$K$4:$AJ$4,0))))+SUMPRODUCT((Inputs!$E$5:$E$120=$B22)*ISNUMBER(INDEX(Inputs!$K$5:$AJ$120,0,MATCH(AF$2,Inputs!$K$4:$AJ$4,0))))=0,NA(),SUMPRODUCT((Inputs!$A$5:$A$120=$B22)*Inputs!$B$5:$B$120*(((Inputs!$G$5:$G$120="moeda")+(Inputs!$G$5:$G$120="acoes"))*Inputs!$B$1+((Inputs!$G$5:$G$120&lt;&gt;"moeda")*(Inputs!$G$5:$G$120&lt;&gt;"acoes")))*INDEX(Inputs!$K$5:$AJ$120,0,MATCH(AF$2,Inputs!$K$4:$AJ$4,0)))+SUMPRODUCT((Inputs!$C$5:$C$120=$B22)*Inputs!$D$5:$D$120*(((Inputs!$G$5:$G$120="moeda")+(Inputs!$G$5:$G$120="acoes"))*Inputs!$B$1+((Inputs!$G$5:$G$120&lt;&gt;"moeda")*(Inputs!$G$5:$G$120&lt;&gt;"acoes")))*INDEX(Inputs!$K$5:$AJ$120,0,MATCH(AF$2,Inputs!$K$4:$AJ$4,0)))+SUMPRODUCT((Inputs!$E$5:$E$120=$B22)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22" s="3" t="e">
        <f>AF22</f>
        <v>#N/A</v>
      </c>
      <c r="AH22" s="6">
        <f>IF(ISNA(MATCH(AH$2,Inputs!$K$4:$AJ$4,0)),NA(),IF(SUMPRODUCT((Inputs!$A$5:$A$120=$B22)*ISNUMBER(INDEX(Inputs!$K$5:$AJ$120,0,MATCH(AH$2,Inputs!$K$4:$AJ$4,0))))+SUMPRODUCT((Inputs!$C$5:$C$120=$B22)*ISNUMBER(INDEX(Inputs!$K$5:$AJ$120,0,MATCH(AH$2,Inputs!$K$4:$AJ$4,0))))+SUMPRODUCT((Inputs!$E$5:$E$120=$B22)*ISNUMBER(INDEX(Inputs!$K$5:$AJ$120,0,MATCH(AH$2,Inputs!$K$4:$AJ$4,0))))=0,NA(),SUMPRODUCT((Inputs!$A$5:$A$120=$B22)*Inputs!$B$5:$B$120*(((Inputs!$G$5:$G$120="moeda")+(Inputs!$G$5:$G$120="acoes"))*Inputs!$B$1+((Inputs!$G$5:$G$120&lt;&gt;"moeda")*(Inputs!$G$5:$G$120&lt;&gt;"acoes")))*INDEX(Inputs!$K$5:$AJ$120,0,MATCH(AH$2,Inputs!$K$4:$AJ$4,0)))+SUMPRODUCT((Inputs!$C$5:$C$120=$B22)*Inputs!$D$5:$D$120*(((Inputs!$G$5:$G$120="moeda")+(Inputs!$G$5:$G$120="acoes"))*Inputs!$B$1+((Inputs!$G$5:$G$120&lt;&gt;"moeda")*(Inputs!$G$5:$G$120&lt;&gt;"acoes")))*INDEX(Inputs!$K$5:$AJ$120,0,MATCH(AH$2,Inputs!$K$4:$AJ$4,0)))+SUMPRODUCT((Inputs!$E$5:$E$120=$B22)*Inputs!$F$5:$F$120*(((Inputs!$G$5:$G$120="moeda")+(Inputs!$G$5:$G$120="acoes"))*Inputs!$B$1+((Inputs!$G$5:$G$120&lt;&gt;"moeda")*(Inputs!$G$5:$G$120&lt;&gt;"acoes")))*INDEX(Inputs!$K$5:$AJ$120,0,MATCH(AH$2,Inputs!$K$4:$AJ$4,0)))))</f>
        <v>10638</v>
      </c>
      <c r="AI22" s="6">
        <f>IF(ISNA(MATCH(AI$2,Inputs!$K$4:$AJ$4,0)),NA(),IF(SUMPRODUCT((Inputs!$A$5:$A$120=$B22)*ISNUMBER(INDEX(Inputs!$K$5:$AJ$120,0,MATCH(AI$2,Inputs!$K$4:$AJ$4,0))))+SUMPRODUCT((Inputs!$C$5:$C$120=$B22)*ISNUMBER(INDEX(Inputs!$K$5:$AJ$120,0,MATCH(AI$2,Inputs!$K$4:$AJ$4,0))))+SUMPRODUCT((Inputs!$E$5:$E$120=$B22)*ISNUMBER(INDEX(Inputs!$K$5:$AJ$120,0,MATCH(AI$2,Inputs!$K$4:$AJ$4,0))))=0,NA(),SUMPRODUCT((Inputs!$A$5:$A$120=$B22)*Inputs!$B$5:$B$120*(((Inputs!$G$5:$G$120="moeda")+(Inputs!$G$5:$G$120="acoes"))*Inputs!$B$1+((Inputs!$G$5:$G$120&lt;&gt;"moeda")*(Inputs!$G$5:$G$120&lt;&gt;"acoes")))*INDEX(Inputs!$K$5:$AJ$120,0,MATCH(AI$2,Inputs!$K$4:$AJ$4,0)))+SUMPRODUCT((Inputs!$C$5:$C$120=$B22)*Inputs!$D$5:$D$120*(((Inputs!$G$5:$G$120="moeda")+(Inputs!$G$5:$G$120="acoes"))*Inputs!$B$1+((Inputs!$G$5:$G$120&lt;&gt;"moeda")*(Inputs!$G$5:$G$120&lt;&gt;"acoes")))*INDEX(Inputs!$K$5:$AJ$120,0,MATCH(AI$2,Inputs!$K$4:$AJ$4,0)))+SUMPRODUCT((Inputs!$E$5:$E$120=$B22)*Inputs!$F$5:$F$120*(((Inputs!$G$5:$G$120="moeda")+(Inputs!$G$5:$G$120="acoes"))*Inputs!$B$1+((Inputs!$G$5:$G$120&lt;&gt;"moeda")*(Inputs!$G$5:$G$120&lt;&gt;"acoes")))*INDEX(Inputs!$K$5:$AJ$120,0,MATCH(AI$2,Inputs!$K$4:$AJ$4,0)))))</f>
        <v>11009</v>
      </c>
      <c r="AJ22" s="6">
        <f>IF(ISNA(MATCH(AJ$2,Inputs!$K$4:$AJ$4,0)),NA(),IF(SUMPRODUCT((Inputs!$A$5:$A$120=$B22)*ISNUMBER(INDEX(Inputs!$K$5:$AJ$120,0,MATCH(AJ$2,Inputs!$K$4:$AJ$4,0))))+SUMPRODUCT((Inputs!$C$5:$C$120=$B22)*ISNUMBER(INDEX(Inputs!$K$5:$AJ$120,0,MATCH(AJ$2,Inputs!$K$4:$AJ$4,0))))+SUMPRODUCT((Inputs!$E$5:$E$120=$B22)*ISNUMBER(INDEX(Inputs!$K$5:$AJ$120,0,MATCH(AJ$2,Inputs!$K$4:$AJ$4,0))))=0,NA(),SUMPRODUCT((Inputs!$A$5:$A$120=$B22)*Inputs!$B$5:$B$120*(((Inputs!$G$5:$G$120="moeda")+(Inputs!$G$5:$G$120="acoes"))*Inputs!$B$1+((Inputs!$G$5:$G$120&lt;&gt;"moeda")*(Inputs!$G$5:$G$120&lt;&gt;"acoes")))*INDEX(Inputs!$K$5:$AJ$120,0,MATCH(AJ$2,Inputs!$K$4:$AJ$4,0)))+SUMPRODUCT((Inputs!$C$5:$C$120=$B22)*Inputs!$D$5:$D$120*(((Inputs!$G$5:$G$120="moeda")+(Inputs!$G$5:$G$120="acoes"))*Inputs!$B$1+((Inputs!$G$5:$G$120&lt;&gt;"moeda")*(Inputs!$G$5:$G$120&lt;&gt;"acoes")))*INDEX(Inputs!$K$5:$AJ$120,0,MATCH(AJ$2,Inputs!$K$4:$AJ$4,0)))+SUMPRODUCT((Inputs!$E$5:$E$120=$B22)*Inputs!$F$5:$F$120*(((Inputs!$G$5:$G$120="moeda")+(Inputs!$G$5:$G$120="acoes"))*Inputs!$B$1+((Inputs!$G$5:$G$120&lt;&gt;"moeda")*(Inputs!$G$5:$G$120&lt;&gt;"acoes")))*INDEX(Inputs!$K$5:$AJ$120,0,MATCH(AJ$2,Inputs!$K$4:$AJ$4,0)))))</f>
        <v>11848</v>
      </c>
      <c r="AK22" s="6">
        <f>IF(ISNA(MATCH(AK$2,Inputs!$K$4:$AJ$4,0)),NA(),IF(SUMPRODUCT((Inputs!$A$5:$A$120=$B22)*ISNUMBER(INDEX(Inputs!$K$5:$AJ$120,0,MATCH(AK$2,Inputs!$K$4:$AJ$4,0))))+SUMPRODUCT((Inputs!$C$5:$C$120=$B22)*ISNUMBER(INDEX(Inputs!$K$5:$AJ$120,0,MATCH(AK$2,Inputs!$K$4:$AJ$4,0))))+SUMPRODUCT((Inputs!$E$5:$E$120=$B22)*ISNUMBER(INDEX(Inputs!$K$5:$AJ$120,0,MATCH(AK$2,Inputs!$K$4:$AJ$4,0))))=0,NA(),SUMPRODUCT((Inputs!$A$5:$A$120=$B22)*Inputs!$B$5:$B$120*(((Inputs!$G$5:$G$120="moeda")+(Inputs!$G$5:$G$120="acoes"))*Inputs!$B$1+((Inputs!$G$5:$G$120&lt;&gt;"moeda")*(Inputs!$G$5:$G$120&lt;&gt;"acoes")))*INDEX(Inputs!$K$5:$AJ$120,0,MATCH(AK$2,Inputs!$K$4:$AJ$4,0)))+SUMPRODUCT((Inputs!$C$5:$C$120=$B22)*Inputs!$D$5:$D$120*(((Inputs!$G$5:$G$120="moeda")+(Inputs!$G$5:$G$120="acoes"))*Inputs!$B$1+((Inputs!$G$5:$G$120&lt;&gt;"moeda")*(Inputs!$G$5:$G$120&lt;&gt;"acoes")))*INDEX(Inputs!$K$5:$AJ$120,0,MATCH(AK$2,Inputs!$K$4:$AJ$4,0)))+SUMPRODUCT((Inputs!$E$5:$E$120=$B22)*Inputs!$F$5:$F$120*(((Inputs!$G$5:$G$120="moeda")+(Inputs!$G$5:$G$120="acoes"))*Inputs!$B$1+((Inputs!$G$5:$G$120&lt;&gt;"moeda")*(Inputs!$G$5:$G$120&lt;&gt;"acoes")))*INDEX(Inputs!$K$5:$AJ$120,0,MATCH(AK$2,Inputs!$K$4:$AJ$4,0)))))</f>
        <v>12747</v>
      </c>
      <c r="AL22" s="3">
        <f>AK22</f>
        <v>12747</v>
      </c>
    </row>
    <row r="23">
      <c r="B23" s="46" t="n">
        <v>19</v>
      </c>
      <c r="C23" s="26" t="inlineStr">
        <is>
          <t>Right-of-use-assets</t>
        </is>
      </c>
      <c r="D23" s="6">
        <f>IF(ISNA(MATCH(D$2,Inputs!$K$4:$AJ$4,0)),NA(),IF(SUMPRODUCT((Inputs!$A$5:$A$120=$B23)*ISNUMBER(INDEX(Inputs!$K$5:$AJ$120,0,MATCH(D$2,Inputs!$K$4:$AJ$4,0))))+SUMPRODUCT((Inputs!$C$5:$C$120=$B23)*ISNUMBER(INDEX(Inputs!$K$5:$AJ$120,0,MATCH(D$2,Inputs!$K$4:$AJ$4,0))))+SUMPRODUCT((Inputs!$E$5:$E$120=$B23)*ISNUMBER(INDEX(Inputs!$K$5:$AJ$120,0,MATCH(D$2,Inputs!$K$4:$AJ$4,0))))=0,NA(),SUMPRODUCT((Inputs!$A$5:$A$120=$B23)*Inputs!$B$5:$B$120*(((Inputs!$G$5:$G$120="moeda")+(Inputs!$G$5:$G$120="acoes"))*Inputs!$B$1+((Inputs!$G$5:$G$120&lt;&gt;"moeda")*(Inputs!$G$5:$G$120&lt;&gt;"acoes")))*INDEX(Inputs!$K$5:$AJ$120,0,MATCH(D$2,Inputs!$K$4:$AJ$4,0)))+SUMPRODUCT((Inputs!$C$5:$C$120=$B23)*Inputs!$D$5:$D$120*(((Inputs!$G$5:$G$120="moeda")+(Inputs!$G$5:$G$120="acoes"))*Inputs!$B$1+((Inputs!$G$5:$G$120&lt;&gt;"moeda")*(Inputs!$G$5:$G$120&lt;&gt;"acoes")))*INDEX(Inputs!$K$5:$AJ$120,0,MATCH(D$2,Inputs!$K$4:$AJ$4,0)))+SUMPRODUCT((Inputs!$E$5:$E$120=$B23)*Inputs!$F$5:$F$120*(((Inputs!$G$5:$G$120="moeda")+(Inputs!$G$5:$G$120="acoes"))*Inputs!$B$1+((Inputs!$G$5:$G$120&lt;&gt;"moeda")*(Inputs!$G$5:$G$120&lt;&gt;"acoes")))*INDEX(Inputs!$K$5:$AJ$120,0,MATCH(D$2,Inputs!$K$4:$AJ$4,0)))))</f>
        <v>1647</v>
      </c>
      <c r="E23" s="6">
        <f>IF(ISNA(MATCH(E$2,Inputs!$K$4:$AJ$4,0)),NA(),IF(SUMPRODUCT((Inputs!$A$5:$A$120=$B23)*ISNUMBER(INDEX(Inputs!$K$5:$AJ$120,0,MATCH(E$2,Inputs!$K$4:$AJ$4,0))))+SUMPRODUCT((Inputs!$C$5:$C$120=$B23)*ISNUMBER(INDEX(Inputs!$K$5:$AJ$120,0,MATCH(E$2,Inputs!$K$4:$AJ$4,0))))+SUMPRODUCT((Inputs!$E$5:$E$120=$B23)*ISNUMBER(INDEX(Inputs!$K$5:$AJ$120,0,MATCH(E$2,Inputs!$K$4:$AJ$4,0))))=0,NA(),SUMPRODUCT((Inputs!$A$5:$A$120=$B23)*Inputs!$B$5:$B$120*(((Inputs!$G$5:$G$120="moeda")+(Inputs!$G$5:$G$120="acoes"))*Inputs!$B$1+((Inputs!$G$5:$G$120&lt;&gt;"moeda")*(Inputs!$G$5:$G$120&lt;&gt;"acoes")))*INDEX(Inputs!$K$5:$AJ$120,0,MATCH(E$2,Inputs!$K$4:$AJ$4,0)))+SUMPRODUCT((Inputs!$C$5:$C$120=$B23)*Inputs!$D$5:$D$120*(((Inputs!$G$5:$G$120="moeda")+(Inputs!$G$5:$G$120="acoes"))*Inputs!$B$1+((Inputs!$G$5:$G$120&lt;&gt;"moeda")*(Inputs!$G$5:$G$120&lt;&gt;"acoes")))*INDEX(Inputs!$K$5:$AJ$120,0,MATCH(E$2,Inputs!$K$4:$AJ$4,0)))+SUMPRODUCT((Inputs!$E$5:$E$120=$B23)*Inputs!$F$5:$F$120*(((Inputs!$G$5:$G$120="moeda")+(Inputs!$G$5:$G$120="acoes"))*Inputs!$B$1+((Inputs!$G$5:$G$120&lt;&gt;"moeda")*(Inputs!$G$5:$G$120&lt;&gt;"acoes")))*INDEX(Inputs!$K$5:$AJ$120,0,MATCH(E$2,Inputs!$K$4:$AJ$4,0)))))</f>
        <v>1734</v>
      </c>
      <c r="F23" s="6">
        <f>IF(ISNA(MATCH(F$2,Inputs!$K$4:$AJ$4,0)),NA(),IF(SUMPRODUCT((Inputs!$A$5:$A$120=$B23)*ISNUMBER(INDEX(Inputs!$K$5:$AJ$120,0,MATCH(F$2,Inputs!$K$4:$AJ$4,0))))+SUMPRODUCT((Inputs!$C$5:$C$120=$B23)*ISNUMBER(INDEX(Inputs!$K$5:$AJ$120,0,MATCH(F$2,Inputs!$K$4:$AJ$4,0))))+SUMPRODUCT((Inputs!$E$5:$E$120=$B23)*ISNUMBER(INDEX(Inputs!$K$5:$AJ$120,0,MATCH(F$2,Inputs!$K$4:$AJ$4,0))))=0,NA(),SUMPRODUCT((Inputs!$A$5:$A$120=$B23)*Inputs!$B$5:$B$120*(((Inputs!$G$5:$G$120="moeda")+(Inputs!$G$5:$G$120="acoes"))*Inputs!$B$1+((Inputs!$G$5:$G$120&lt;&gt;"moeda")*(Inputs!$G$5:$G$120&lt;&gt;"acoes")))*INDEX(Inputs!$K$5:$AJ$120,0,MATCH(F$2,Inputs!$K$4:$AJ$4,0)))+SUMPRODUCT((Inputs!$C$5:$C$120=$B23)*Inputs!$D$5:$D$120*(((Inputs!$G$5:$G$120="moeda")+(Inputs!$G$5:$G$120="acoes"))*Inputs!$B$1+((Inputs!$G$5:$G$120&lt;&gt;"moeda")*(Inputs!$G$5:$G$120&lt;&gt;"acoes")))*INDEX(Inputs!$K$5:$AJ$120,0,MATCH(F$2,Inputs!$K$4:$AJ$4,0)))+SUMPRODUCT((Inputs!$E$5:$E$120=$B23)*Inputs!$F$5:$F$120*(((Inputs!$G$5:$G$120="moeda")+(Inputs!$G$5:$G$120="acoes"))*Inputs!$B$1+((Inputs!$G$5:$G$120&lt;&gt;"moeda")*(Inputs!$G$5:$G$120&lt;&gt;"acoes")))*INDEX(Inputs!$K$5:$AJ$120,0,MATCH(F$2,Inputs!$K$4:$AJ$4,0)))))</f>
        <v>1962</v>
      </c>
      <c r="G23" s="6">
        <f>IF(ISNA(MATCH(G$2,Inputs!$K$4:$AJ$4,0)),NA(),IF(SUMPRODUCT((Inputs!$A$5:$A$120=$B23)*ISNUMBER(INDEX(Inputs!$K$5:$AJ$120,0,MATCH(G$2,Inputs!$K$4:$AJ$4,0))))+SUMPRODUCT((Inputs!$C$5:$C$120=$B23)*ISNUMBER(INDEX(Inputs!$K$5:$AJ$120,0,MATCH(G$2,Inputs!$K$4:$AJ$4,0))))+SUMPRODUCT((Inputs!$E$5:$E$120=$B23)*ISNUMBER(INDEX(Inputs!$K$5:$AJ$120,0,MATCH(G$2,Inputs!$K$4:$AJ$4,0))))=0,NA(),SUMPRODUCT((Inputs!$A$5:$A$120=$B23)*Inputs!$B$5:$B$120*(((Inputs!$G$5:$G$120="moeda")+(Inputs!$G$5:$G$120="acoes"))*Inputs!$B$1+((Inputs!$G$5:$G$120&lt;&gt;"moeda")*(Inputs!$G$5:$G$120&lt;&gt;"acoes")))*INDEX(Inputs!$K$5:$AJ$120,0,MATCH(G$2,Inputs!$K$4:$AJ$4,0)))+SUMPRODUCT((Inputs!$C$5:$C$120=$B23)*Inputs!$D$5:$D$120*(((Inputs!$G$5:$G$120="moeda")+(Inputs!$G$5:$G$120="acoes"))*Inputs!$B$1+((Inputs!$G$5:$G$120&lt;&gt;"moeda")*(Inputs!$G$5:$G$120&lt;&gt;"acoes")))*INDEX(Inputs!$K$5:$AJ$120,0,MATCH(G$2,Inputs!$K$4:$AJ$4,0)))+SUMPRODUCT((Inputs!$E$5:$E$120=$B23)*Inputs!$F$5:$F$120*(((Inputs!$G$5:$G$120="moeda")+(Inputs!$G$5:$G$120="acoes"))*Inputs!$B$1+((Inputs!$G$5:$G$120&lt;&gt;"moeda")*(Inputs!$G$5:$G$120&lt;&gt;"acoes")))*INDEX(Inputs!$K$5:$AJ$120,0,MATCH(G$2,Inputs!$K$4:$AJ$4,0)))))</f>
        <v>2016</v>
      </c>
      <c r="H23" s="3">
        <f>G23</f>
        <v>2016</v>
      </c>
      <c r="I23" s="6">
        <f>IF(ISNA(MATCH(I$2,Inputs!$K$4:$AJ$4,0)),NA(),IF(SUMPRODUCT((Inputs!$A$5:$A$120=$B23)*ISNUMBER(INDEX(Inputs!$K$5:$AJ$120,0,MATCH(I$2,Inputs!$K$4:$AJ$4,0))))+SUMPRODUCT((Inputs!$C$5:$C$120=$B23)*ISNUMBER(INDEX(Inputs!$K$5:$AJ$120,0,MATCH(I$2,Inputs!$K$4:$AJ$4,0))))+SUMPRODUCT((Inputs!$E$5:$E$120=$B23)*ISNUMBER(INDEX(Inputs!$K$5:$AJ$120,0,MATCH(I$2,Inputs!$K$4:$AJ$4,0))))=0,NA(),SUMPRODUCT((Inputs!$A$5:$A$120=$B23)*Inputs!$B$5:$B$120*(((Inputs!$G$5:$G$120="moeda")+(Inputs!$G$5:$G$120="acoes"))*Inputs!$B$1+((Inputs!$G$5:$G$120&lt;&gt;"moeda")*(Inputs!$G$5:$G$120&lt;&gt;"acoes")))*INDEX(Inputs!$K$5:$AJ$120,0,MATCH(I$2,Inputs!$K$4:$AJ$4,0)))+SUMPRODUCT((Inputs!$C$5:$C$120=$B23)*Inputs!$D$5:$D$120*(((Inputs!$G$5:$G$120="moeda")+(Inputs!$G$5:$G$120="acoes"))*Inputs!$B$1+((Inputs!$G$5:$G$120&lt;&gt;"moeda")*(Inputs!$G$5:$G$120&lt;&gt;"acoes")))*INDEX(Inputs!$K$5:$AJ$120,0,MATCH(I$2,Inputs!$K$4:$AJ$4,0)))+SUMPRODUCT((Inputs!$E$5:$E$120=$B23)*Inputs!$F$5:$F$120*(((Inputs!$G$5:$G$120="moeda")+(Inputs!$G$5:$G$120="acoes"))*Inputs!$B$1+((Inputs!$G$5:$G$120&lt;&gt;"moeda")*(Inputs!$G$5:$G$120&lt;&gt;"acoes")))*INDEX(Inputs!$K$5:$AJ$120,0,MATCH(I$2,Inputs!$K$4:$AJ$4,0)))))</f>
        <v>2181</v>
      </c>
      <c r="J23" s="6">
        <f>IF(ISNA(MATCH(J$2,Inputs!$K$4:$AJ$4,0)),NA(),IF(SUMPRODUCT((Inputs!$A$5:$A$120=$B23)*ISNUMBER(INDEX(Inputs!$K$5:$AJ$120,0,MATCH(J$2,Inputs!$K$4:$AJ$4,0))))+SUMPRODUCT((Inputs!$C$5:$C$120=$B23)*ISNUMBER(INDEX(Inputs!$K$5:$AJ$120,0,MATCH(J$2,Inputs!$K$4:$AJ$4,0))))+SUMPRODUCT((Inputs!$E$5:$E$120=$B23)*ISNUMBER(INDEX(Inputs!$K$5:$AJ$120,0,MATCH(J$2,Inputs!$K$4:$AJ$4,0))))=0,NA(),SUMPRODUCT((Inputs!$A$5:$A$120=$B23)*Inputs!$B$5:$B$120*(((Inputs!$G$5:$G$120="moeda")+(Inputs!$G$5:$G$120="acoes"))*Inputs!$B$1+((Inputs!$G$5:$G$120&lt;&gt;"moeda")*(Inputs!$G$5:$G$120&lt;&gt;"acoes")))*INDEX(Inputs!$K$5:$AJ$120,0,MATCH(J$2,Inputs!$K$4:$AJ$4,0)))+SUMPRODUCT((Inputs!$C$5:$C$120=$B23)*Inputs!$D$5:$D$120*(((Inputs!$G$5:$G$120="moeda")+(Inputs!$G$5:$G$120="acoes"))*Inputs!$B$1+((Inputs!$G$5:$G$120&lt;&gt;"moeda")*(Inputs!$G$5:$G$120&lt;&gt;"acoes")))*INDEX(Inputs!$K$5:$AJ$120,0,MATCH(J$2,Inputs!$K$4:$AJ$4,0)))+SUMPRODUCT((Inputs!$E$5:$E$120=$B23)*Inputs!$F$5:$F$120*(((Inputs!$G$5:$G$120="moeda")+(Inputs!$G$5:$G$120="acoes"))*Inputs!$B$1+((Inputs!$G$5:$G$120&lt;&gt;"moeda")*(Inputs!$G$5:$G$120&lt;&gt;"acoes")))*INDEX(Inputs!$K$5:$AJ$120,0,MATCH(J$2,Inputs!$K$4:$AJ$4,0)))))</f>
        <v>2185</v>
      </c>
      <c r="K23" s="6">
        <f>IF(ISNA(MATCH(K$2,Inputs!$K$4:$AJ$4,0)),NA(),IF(SUMPRODUCT((Inputs!$A$5:$A$120=$B23)*ISNUMBER(INDEX(Inputs!$K$5:$AJ$120,0,MATCH(K$2,Inputs!$K$4:$AJ$4,0))))+SUMPRODUCT((Inputs!$C$5:$C$120=$B23)*ISNUMBER(INDEX(Inputs!$K$5:$AJ$120,0,MATCH(K$2,Inputs!$K$4:$AJ$4,0))))+SUMPRODUCT((Inputs!$E$5:$E$120=$B23)*ISNUMBER(INDEX(Inputs!$K$5:$AJ$120,0,MATCH(K$2,Inputs!$K$4:$AJ$4,0))))=0,NA(),SUMPRODUCT((Inputs!$A$5:$A$120=$B23)*Inputs!$B$5:$B$120*(((Inputs!$G$5:$G$120="moeda")+(Inputs!$G$5:$G$120="acoes"))*Inputs!$B$1+((Inputs!$G$5:$G$120&lt;&gt;"moeda")*(Inputs!$G$5:$G$120&lt;&gt;"acoes")))*INDEX(Inputs!$K$5:$AJ$120,0,MATCH(K$2,Inputs!$K$4:$AJ$4,0)))+SUMPRODUCT((Inputs!$C$5:$C$120=$B23)*Inputs!$D$5:$D$120*(((Inputs!$G$5:$G$120="moeda")+(Inputs!$G$5:$G$120="acoes"))*Inputs!$B$1+((Inputs!$G$5:$G$120&lt;&gt;"moeda")*(Inputs!$G$5:$G$120&lt;&gt;"acoes")))*INDEX(Inputs!$K$5:$AJ$120,0,MATCH(K$2,Inputs!$K$4:$AJ$4,0)))+SUMPRODUCT((Inputs!$E$5:$E$120=$B23)*Inputs!$F$5:$F$120*(((Inputs!$G$5:$G$120="moeda")+(Inputs!$G$5:$G$120="acoes"))*Inputs!$B$1+((Inputs!$G$5:$G$120&lt;&gt;"moeda")*(Inputs!$G$5:$G$120&lt;&gt;"acoes")))*INDEX(Inputs!$K$5:$AJ$120,0,MATCH(K$2,Inputs!$K$4:$AJ$4,0)))))</f>
        <v>2251</v>
      </c>
      <c r="L23" s="6">
        <f>IF(ISNA(MATCH(L$2,Inputs!$K$4:$AJ$4,0)),NA(),IF(SUMPRODUCT((Inputs!$A$5:$A$120=$B23)*ISNUMBER(INDEX(Inputs!$K$5:$AJ$120,0,MATCH(L$2,Inputs!$K$4:$AJ$4,0))))+SUMPRODUCT((Inputs!$C$5:$C$120=$B23)*ISNUMBER(INDEX(Inputs!$K$5:$AJ$120,0,MATCH(L$2,Inputs!$K$4:$AJ$4,0))))+SUMPRODUCT((Inputs!$E$5:$E$120=$B23)*ISNUMBER(INDEX(Inputs!$K$5:$AJ$120,0,MATCH(L$2,Inputs!$K$4:$AJ$4,0))))=0,NA(),SUMPRODUCT((Inputs!$A$5:$A$120=$B23)*Inputs!$B$5:$B$120*(((Inputs!$G$5:$G$120="moeda")+(Inputs!$G$5:$G$120="acoes"))*Inputs!$B$1+((Inputs!$G$5:$G$120&lt;&gt;"moeda")*(Inputs!$G$5:$G$120&lt;&gt;"acoes")))*INDEX(Inputs!$K$5:$AJ$120,0,MATCH(L$2,Inputs!$K$4:$AJ$4,0)))+SUMPRODUCT((Inputs!$C$5:$C$120=$B23)*Inputs!$D$5:$D$120*(((Inputs!$G$5:$G$120="moeda")+(Inputs!$G$5:$G$120="acoes"))*Inputs!$B$1+((Inputs!$G$5:$G$120&lt;&gt;"moeda")*(Inputs!$G$5:$G$120&lt;&gt;"acoes")))*INDEX(Inputs!$K$5:$AJ$120,0,MATCH(L$2,Inputs!$K$4:$AJ$4,0)))+SUMPRODUCT((Inputs!$E$5:$E$120=$B23)*Inputs!$F$5:$F$120*(((Inputs!$G$5:$G$120="moeda")+(Inputs!$G$5:$G$120="acoes"))*Inputs!$B$1+((Inputs!$G$5:$G$120&lt;&gt;"moeda")*(Inputs!$G$5:$G$120&lt;&gt;"acoes")))*INDEX(Inputs!$K$5:$AJ$120,0,MATCH(L$2,Inputs!$K$4:$AJ$4,0)))))</f>
        <v>2563</v>
      </c>
      <c r="M23" s="3">
        <f>L23</f>
        <v>2563</v>
      </c>
      <c r="N23" s="6">
        <f>IF(ISNA(MATCH(N$2,Inputs!$K$4:$AJ$4,0)),NA(),IF(SUMPRODUCT((Inputs!$A$5:$A$120=$B23)*ISNUMBER(INDEX(Inputs!$K$5:$AJ$120,0,MATCH(N$2,Inputs!$K$4:$AJ$4,0))))+SUMPRODUCT((Inputs!$C$5:$C$120=$B23)*ISNUMBER(INDEX(Inputs!$K$5:$AJ$120,0,MATCH(N$2,Inputs!$K$4:$AJ$4,0))))+SUMPRODUCT((Inputs!$E$5:$E$120=$B23)*ISNUMBER(INDEX(Inputs!$K$5:$AJ$120,0,MATCH(N$2,Inputs!$K$4:$AJ$4,0))))=0,NA(),SUMPRODUCT((Inputs!$A$5:$A$120=$B23)*Inputs!$B$5:$B$120*(((Inputs!$G$5:$G$120="moeda")+(Inputs!$G$5:$G$120="acoes"))*Inputs!$B$1+((Inputs!$G$5:$G$120&lt;&gt;"moeda")*(Inputs!$G$5:$G$120&lt;&gt;"acoes")))*INDEX(Inputs!$K$5:$AJ$120,0,MATCH(N$2,Inputs!$K$4:$AJ$4,0)))+SUMPRODUCT((Inputs!$C$5:$C$120=$B23)*Inputs!$D$5:$D$120*(((Inputs!$G$5:$G$120="moeda")+(Inputs!$G$5:$G$120="acoes"))*Inputs!$B$1+((Inputs!$G$5:$G$120&lt;&gt;"moeda")*(Inputs!$G$5:$G$120&lt;&gt;"acoes")))*INDEX(Inputs!$K$5:$AJ$120,0,MATCH(N$2,Inputs!$K$4:$AJ$4,0)))+SUMPRODUCT((Inputs!$E$5:$E$120=$B23)*Inputs!$F$5:$F$120*(((Inputs!$G$5:$G$120="moeda")+(Inputs!$G$5:$G$120="acoes"))*Inputs!$B$1+((Inputs!$G$5:$G$120&lt;&gt;"moeda")*(Inputs!$G$5:$G$120&lt;&gt;"acoes")))*INDEX(Inputs!$K$5:$AJ$120,0,MATCH(N$2,Inputs!$K$4:$AJ$4,0)))))</f>
        <v>2800</v>
      </c>
      <c r="O23" s="6">
        <f>IF(ISNA(MATCH(O$2,Inputs!$K$4:$AJ$4,0)),NA(),IF(SUMPRODUCT((Inputs!$A$5:$A$120=$B23)*ISNUMBER(INDEX(Inputs!$K$5:$AJ$120,0,MATCH(O$2,Inputs!$K$4:$AJ$4,0))))+SUMPRODUCT((Inputs!$C$5:$C$120=$B23)*ISNUMBER(INDEX(Inputs!$K$5:$AJ$120,0,MATCH(O$2,Inputs!$K$4:$AJ$4,0))))+SUMPRODUCT((Inputs!$E$5:$E$120=$B23)*ISNUMBER(INDEX(Inputs!$K$5:$AJ$120,0,MATCH(O$2,Inputs!$K$4:$AJ$4,0))))=0,NA(),SUMPRODUCT((Inputs!$A$5:$A$120=$B23)*Inputs!$B$5:$B$120*(((Inputs!$G$5:$G$120="moeda")+(Inputs!$G$5:$G$120="acoes"))*Inputs!$B$1+((Inputs!$G$5:$G$120&lt;&gt;"moeda")*(Inputs!$G$5:$G$120&lt;&gt;"acoes")))*INDEX(Inputs!$K$5:$AJ$120,0,MATCH(O$2,Inputs!$K$4:$AJ$4,0)))+SUMPRODUCT((Inputs!$C$5:$C$120=$B23)*Inputs!$D$5:$D$120*(((Inputs!$G$5:$G$120="moeda")+(Inputs!$G$5:$G$120="acoes"))*Inputs!$B$1+((Inputs!$G$5:$G$120&lt;&gt;"moeda")*(Inputs!$G$5:$G$120&lt;&gt;"acoes")))*INDEX(Inputs!$K$5:$AJ$120,0,MATCH(O$2,Inputs!$K$4:$AJ$4,0)))+SUMPRODUCT((Inputs!$E$5:$E$120=$B23)*Inputs!$F$5:$F$120*(((Inputs!$G$5:$G$120="moeda")+(Inputs!$G$5:$G$120="acoes"))*Inputs!$B$1+((Inputs!$G$5:$G$120&lt;&gt;"moeda")*(Inputs!$G$5:$G$120&lt;&gt;"acoes")))*INDEX(Inputs!$K$5:$AJ$120,0,MATCH(O$2,Inputs!$K$4:$AJ$4,0)))))</f>
        <v>3352</v>
      </c>
      <c r="P23" s="6">
        <f>IF(ISNA(MATCH(P$2,Inputs!$K$4:$AJ$4,0)),NA(),IF(SUMPRODUCT((Inputs!$A$5:$A$120=$B23)*ISNUMBER(INDEX(Inputs!$K$5:$AJ$120,0,MATCH(P$2,Inputs!$K$4:$AJ$4,0))))+SUMPRODUCT((Inputs!$C$5:$C$120=$B23)*ISNUMBER(INDEX(Inputs!$K$5:$AJ$120,0,MATCH(P$2,Inputs!$K$4:$AJ$4,0))))+SUMPRODUCT((Inputs!$E$5:$E$120=$B23)*ISNUMBER(INDEX(Inputs!$K$5:$AJ$120,0,MATCH(P$2,Inputs!$K$4:$AJ$4,0))))=0,NA(),SUMPRODUCT((Inputs!$A$5:$A$120=$B23)*Inputs!$B$5:$B$120*(((Inputs!$G$5:$G$120="moeda")+(Inputs!$G$5:$G$120="acoes"))*Inputs!$B$1+((Inputs!$G$5:$G$120&lt;&gt;"moeda")*(Inputs!$G$5:$G$120&lt;&gt;"acoes")))*INDEX(Inputs!$K$5:$AJ$120,0,MATCH(P$2,Inputs!$K$4:$AJ$4,0)))+SUMPRODUCT((Inputs!$C$5:$C$120=$B23)*Inputs!$D$5:$D$120*(((Inputs!$G$5:$G$120="moeda")+(Inputs!$G$5:$G$120="acoes"))*Inputs!$B$1+((Inputs!$G$5:$G$120&lt;&gt;"moeda")*(Inputs!$G$5:$G$120&lt;&gt;"acoes")))*INDEX(Inputs!$K$5:$AJ$120,0,MATCH(P$2,Inputs!$K$4:$AJ$4,0)))+SUMPRODUCT((Inputs!$E$5:$E$120=$B23)*Inputs!$F$5:$F$120*(((Inputs!$G$5:$G$120="moeda")+(Inputs!$G$5:$G$120="acoes"))*Inputs!$B$1+((Inputs!$G$5:$G$120&lt;&gt;"moeda")*(Inputs!$G$5:$G$120&lt;&gt;"acoes")))*INDEX(Inputs!$K$5:$AJ$120,0,MATCH(P$2,Inputs!$K$4:$AJ$4,0)))))</f>
        <v>3637</v>
      </c>
      <c r="Q23" s="6">
        <f>IF(ISNA(MATCH(Q$2,Inputs!$K$4:$AJ$4,0)),NA(),IF(SUMPRODUCT((Inputs!$A$5:$A$120=$B23)*ISNUMBER(INDEX(Inputs!$K$5:$AJ$120,0,MATCH(Q$2,Inputs!$K$4:$AJ$4,0))))+SUMPRODUCT((Inputs!$C$5:$C$120=$B23)*ISNUMBER(INDEX(Inputs!$K$5:$AJ$120,0,MATCH(Q$2,Inputs!$K$4:$AJ$4,0))))+SUMPRODUCT((Inputs!$E$5:$E$120=$B23)*ISNUMBER(INDEX(Inputs!$K$5:$AJ$120,0,MATCH(Q$2,Inputs!$K$4:$AJ$4,0))))=0,NA(),SUMPRODUCT((Inputs!$A$5:$A$120=$B23)*Inputs!$B$5:$B$120*(((Inputs!$G$5:$G$120="moeda")+(Inputs!$G$5:$G$120="acoes"))*Inputs!$B$1+((Inputs!$G$5:$G$120&lt;&gt;"moeda")*(Inputs!$G$5:$G$120&lt;&gt;"acoes")))*INDEX(Inputs!$K$5:$AJ$120,0,MATCH(Q$2,Inputs!$K$4:$AJ$4,0)))+SUMPRODUCT((Inputs!$C$5:$C$120=$B23)*Inputs!$D$5:$D$120*(((Inputs!$G$5:$G$120="moeda")+(Inputs!$G$5:$G$120="acoes"))*Inputs!$B$1+((Inputs!$G$5:$G$120&lt;&gt;"moeda")*(Inputs!$G$5:$G$120&lt;&gt;"acoes")))*INDEX(Inputs!$K$5:$AJ$120,0,MATCH(Q$2,Inputs!$K$4:$AJ$4,0)))+SUMPRODUCT((Inputs!$E$5:$E$120=$B23)*Inputs!$F$5:$F$120*(((Inputs!$G$5:$G$120="moeda")+(Inputs!$G$5:$G$120="acoes"))*Inputs!$B$1+((Inputs!$G$5:$G$120&lt;&gt;"moeda")*(Inputs!$G$5:$G$120&lt;&gt;"acoes")))*INDEX(Inputs!$K$5:$AJ$120,0,MATCH(Q$2,Inputs!$K$4:$AJ$4,0)))))</f>
        <v>4180</v>
      </c>
      <c r="R23" s="3">
        <f>Q23</f>
        <v>4180</v>
      </c>
      <c r="S23" s="6">
        <f>IF(ISNA(MATCH(S$2,Inputs!$K$4:$AJ$4,0)),NA(),IF(SUMPRODUCT((Inputs!$A$5:$A$120=$B23)*ISNUMBER(INDEX(Inputs!$K$5:$AJ$120,0,MATCH(S$2,Inputs!$K$4:$AJ$4,0))))+SUMPRODUCT((Inputs!$C$5:$C$120=$B23)*ISNUMBER(INDEX(Inputs!$K$5:$AJ$120,0,MATCH(S$2,Inputs!$K$4:$AJ$4,0))))+SUMPRODUCT((Inputs!$E$5:$E$120=$B23)*ISNUMBER(INDEX(Inputs!$K$5:$AJ$120,0,MATCH(S$2,Inputs!$K$4:$AJ$4,0))))=0,NA(),SUMPRODUCT((Inputs!$A$5:$A$120=$B23)*Inputs!$B$5:$B$120*(((Inputs!$G$5:$G$120="moeda")+(Inputs!$G$5:$G$120="acoes"))*Inputs!$B$1+((Inputs!$G$5:$G$120&lt;&gt;"moeda")*(Inputs!$G$5:$G$120&lt;&gt;"acoes")))*INDEX(Inputs!$K$5:$AJ$120,0,MATCH(S$2,Inputs!$K$4:$AJ$4,0)))+SUMPRODUCT((Inputs!$C$5:$C$120=$B23)*Inputs!$D$5:$D$120*(((Inputs!$G$5:$G$120="moeda")+(Inputs!$G$5:$G$120="acoes"))*Inputs!$B$1+((Inputs!$G$5:$G$120&lt;&gt;"moeda")*(Inputs!$G$5:$G$120&lt;&gt;"acoes")))*INDEX(Inputs!$K$5:$AJ$120,0,MATCH(S$2,Inputs!$K$4:$AJ$4,0)))+SUMPRODUCT((Inputs!$E$5:$E$120=$B23)*Inputs!$F$5:$F$120*(((Inputs!$G$5:$G$120="moeda")+(Inputs!$G$5:$G$120="acoes"))*Inputs!$B$1+((Inputs!$G$5:$G$120&lt;&gt;"moeda")*(Inputs!$G$5:$G$120&lt;&gt;"acoes")))*INDEX(Inputs!$K$5:$AJ$120,0,MATCH(S$2,Inputs!$K$4:$AJ$4,0)))))</f>
        <v>4367</v>
      </c>
      <c r="T23" s="6">
        <f>IF(ISNA(MATCH(T$2,Inputs!$K$4:$AJ$4,0)),NA(),IF(SUMPRODUCT((Inputs!$A$5:$A$120=$B23)*ISNUMBER(INDEX(Inputs!$K$5:$AJ$120,0,MATCH(T$2,Inputs!$K$4:$AJ$4,0))))+SUMPRODUCT((Inputs!$C$5:$C$120=$B23)*ISNUMBER(INDEX(Inputs!$K$5:$AJ$120,0,MATCH(T$2,Inputs!$K$4:$AJ$4,0))))+SUMPRODUCT((Inputs!$E$5:$E$120=$B23)*ISNUMBER(INDEX(Inputs!$K$5:$AJ$120,0,MATCH(T$2,Inputs!$K$4:$AJ$4,0))))=0,NA(),SUMPRODUCT((Inputs!$A$5:$A$120=$B23)*Inputs!$B$5:$B$120*(((Inputs!$G$5:$G$120="moeda")+(Inputs!$G$5:$G$120="acoes"))*Inputs!$B$1+((Inputs!$G$5:$G$120&lt;&gt;"moeda")*(Inputs!$G$5:$G$120&lt;&gt;"acoes")))*INDEX(Inputs!$K$5:$AJ$120,0,MATCH(T$2,Inputs!$K$4:$AJ$4,0)))+SUMPRODUCT((Inputs!$C$5:$C$120=$B23)*Inputs!$D$5:$D$120*(((Inputs!$G$5:$G$120="moeda")+(Inputs!$G$5:$G$120="acoes"))*Inputs!$B$1+((Inputs!$G$5:$G$120&lt;&gt;"moeda")*(Inputs!$G$5:$G$120&lt;&gt;"acoes")))*INDEX(Inputs!$K$5:$AJ$120,0,MATCH(T$2,Inputs!$K$4:$AJ$4,0)))+SUMPRODUCT((Inputs!$E$5:$E$120=$B23)*Inputs!$F$5:$F$120*(((Inputs!$G$5:$G$120="moeda")+(Inputs!$G$5:$G$120="acoes"))*Inputs!$B$1+((Inputs!$G$5:$G$120&lt;&gt;"moeda")*(Inputs!$G$5:$G$120&lt;&gt;"acoes")))*INDEX(Inputs!$K$5:$AJ$120,0,MATCH(T$2,Inputs!$K$4:$AJ$4,0)))))</f>
        <v>4563</v>
      </c>
      <c r="U23" s="6">
        <f>IF(ISNA(MATCH(U$2,Inputs!$K$4:$AJ$4,0)),NA(),IF(SUMPRODUCT((Inputs!$A$5:$A$120=$B23)*ISNUMBER(INDEX(Inputs!$K$5:$AJ$120,0,MATCH(U$2,Inputs!$K$4:$AJ$4,0))))+SUMPRODUCT((Inputs!$C$5:$C$120=$B23)*ISNUMBER(INDEX(Inputs!$K$5:$AJ$120,0,MATCH(U$2,Inputs!$K$4:$AJ$4,0))))+SUMPRODUCT((Inputs!$E$5:$E$120=$B23)*ISNUMBER(INDEX(Inputs!$K$5:$AJ$120,0,MATCH(U$2,Inputs!$K$4:$AJ$4,0))))=0,NA(),SUMPRODUCT((Inputs!$A$5:$A$120=$B23)*Inputs!$B$5:$B$120*(((Inputs!$G$5:$G$120="moeda")+(Inputs!$G$5:$G$120="acoes"))*Inputs!$B$1+((Inputs!$G$5:$G$120&lt;&gt;"moeda")*(Inputs!$G$5:$G$120&lt;&gt;"acoes")))*INDEX(Inputs!$K$5:$AJ$120,0,MATCH(U$2,Inputs!$K$4:$AJ$4,0)))+SUMPRODUCT((Inputs!$C$5:$C$120=$B23)*Inputs!$D$5:$D$120*(((Inputs!$G$5:$G$120="moeda")+(Inputs!$G$5:$G$120="acoes"))*Inputs!$B$1+((Inputs!$G$5:$G$120&lt;&gt;"moeda")*(Inputs!$G$5:$G$120&lt;&gt;"acoes")))*INDEX(Inputs!$K$5:$AJ$120,0,MATCH(U$2,Inputs!$K$4:$AJ$4,0)))+SUMPRODUCT((Inputs!$E$5:$E$120=$B23)*Inputs!$F$5:$F$120*(((Inputs!$G$5:$G$120="moeda")+(Inputs!$G$5:$G$120="acoes"))*Inputs!$B$1+((Inputs!$G$5:$G$120&lt;&gt;"moeda")*(Inputs!$G$5:$G$120&lt;&gt;"acoes")))*INDEX(Inputs!$K$5:$AJ$120,0,MATCH(U$2,Inputs!$K$4:$AJ$4,0)))))</f>
        <v>4867</v>
      </c>
      <c r="V23" s="6">
        <f>IF(ISNA(MATCH(V$2,Inputs!$K$4:$AJ$4,0)),NA(),IF(SUMPRODUCT((Inputs!$A$5:$A$120=$B23)*ISNUMBER(INDEX(Inputs!$K$5:$AJ$120,0,MATCH(V$2,Inputs!$K$4:$AJ$4,0))))+SUMPRODUCT((Inputs!$C$5:$C$120=$B23)*ISNUMBER(INDEX(Inputs!$K$5:$AJ$120,0,MATCH(V$2,Inputs!$K$4:$AJ$4,0))))+SUMPRODUCT((Inputs!$E$5:$E$120=$B23)*ISNUMBER(INDEX(Inputs!$K$5:$AJ$120,0,MATCH(V$2,Inputs!$K$4:$AJ$4,0))))=0,NA(),SUMPRODUCT((Inputs!$A$5:$A$120=$B23)*Inputs!$B$5:$B$120*(((Inputs!$G$5:$G$120="moeda")+(Inputs!$G$5:$G$120="acoes"))*Inputs!$B$1+((Inputs!$G$5:$G$120&lt;&gt;"moeda")*(Inputs!$G$5:$G$120&lt;&gt;"acoes")))*INDEX(Inputs!$K$5:$AJ$120,0,MATCH(V$2,Inputs!$K$4:$AJ$4,0)))+SUMPRODUCT((Inputs!$C$5:$C$120=$B23)*Inputs!$D$5:$D$120*(((Inputs!$G$5:$G$120="moeda")+(Inputs!$G$5:$G$120="acoes"))*Inputs!$B$1+((Inputs!$G$5:$G$120&lt;&gt;"moeda")*(Inputs!$G$5:$G$120&lt;&gt;"acoes")))*INDEX(Inputs!$K$5:$AJ$120,0,MATCH(V$2,Inputs!$K$4:$AJ$4,0)))+SUMPRODUCT((Inputs!$E$5:$E$120=$B23)*Inputs!$F$5:$F$120*(((Inputs!$G$5:$G$120="moeda")+(Inputs!$G$5:$G$120="acoes"))*Inputs!$B$1+((Inputs!$G$5:$G$120&lt;&gt;"moeda")*(Inputs!$G$5:$G$120&lt;&gt;"acoes")))*INDEX(Inputs!$K$5:$AJ$120,0,MATCH(V$2,Inputs!$K$4:$AJ$4,0)))))</f>
        <v>5160</v>
      </c>
      <c r="W23" s="3">
        <f>V23</f>
        <v>5160</v>
      </c>
      <c r="X23" s="6">
        <f>IF(ISNA(MATCH(X$2,Inputs!$K$4:$AJ$4,0)),NA(),IF(SUMPRODUCT((Inputs!$A$5:$A$120=$B23)*ISNUMBER(INDEX(Inputs!$K$5:$AJ$120,0,MATCH(X$2,Inputs!$K$4:$AJ$4,0))))+SUMPRODUCT((Inputs!$C$5:$C$120=$B23)*ISNUMBER(INDEX(Inputs!$K$5:$AJ$120,0,MATCH(X$2,Inputs!$K$4:$AJ$4,0))))+SUMPRODUCT((Inputs!$E$5:$E$120=$B23)*ISNUMBER(INDEX(Inputs!$K$5:$AJ$120,0,MATCH(X$2,Inputs!$K$4:$AJ$4,0))))=0,NA(),SUMPRODUCT((Inputs!$A$5:$A$120=$B23)*Inputs!$B$5:$B$120*(((Inputs!$G$5:$G$120="moeda")+(Inputs!$G$5:$G$120="acoes"))*Inputs!$B$1+((Inputs!$G$5:$G$120&lt;&gt;"moeda")*(Inputs!$G$5:$G$120&lt;&gt;"acoes")))*INDEX(Inputs!$K$5:$AJ$120,0,MATCH(X$2,Inputs!$K$4:$AJ$4,0)))+SUMPRODUCT((Inputs!$C$5:$C$120=$B23)*Inputs!$D$5:$D$120*(((Inputs!$G$5:$G$120="moeda")+(Inputs!$G$5:$G$120="acoes"))*Inputs!$B$1+((Inputs!$G$5:$G$120&lt;&gt;"moeda")*(Inputs!$G$5:$G$120&lt;&gt;"acoes")))*INDEX(Inputs!$K$5:$AJ$120,0,MATCH(X$2,Inputs!$K$4:$AJ$4,0)))+SUMPRODUCT((Inputs!$E$5:$E$120=$B23)*Inputs!$F$5:$F$120*(((Inputs!$G$5:$G$120="moeda")+(Inputs!$G$5:$G$120="acoes"))*Inputs!$B$1+((Inputs!$G$5:$G$120&lt;&gt;"moeda")*(Inputs!$G$5:$G$120&lt;&gt;"acoes")))*INDEX(Inputs!$K$5:$AJ$120,0,MATCH(X$2,Inputs!$K$4:$AJ$4,0)))))</f>
        <v>5330</v>
      </c>
      <c r="Y23" s="6">
        <f>IF(ISNA(MATCH(Y$2,Inputs!$K$4:$AJ$4,0)),NA(),IF(SUMPRODUCT((Inputs!$A$5:$A$120=$B23)*ISNUMBER(INDEX(Inputs!$K$5:$AJ$120,0,MATCH(Y$2,Inputs!$K$4:$AJ$4,0))))+SUMPRODUCT((Inputs!$C$5:$C$120=$B23)*ISNUMBER(INDEX(Inputs!$K$5:$AJ$120,0,MATCH(Y$2,Inputs!$K$4:$AJ$4,0))))+SUMPRODUCT((Inputs!$E$5:$E$120=$B23)*ISNUMBER(INDEX(Inputs!$K$5:$AJ$120,0,MATCH(Y$2,Inputs!$K$4:$AJ$4,0))))=0,NA(),SUMPRODUCT((Inputs!$A$5:$A$120=$B23)*Inputs!$B$5:$B$120*(((Inputs!$G$5:$G$120="moeda")+(Inputs!$G$5:$G$120="acoes"))*Inputs!$B$1+((Inputs!$G$5:$G$120&lt;&gt;"moeda")*(Inputs!$G$5:$G$120&lt;&gt;"acoes")))*INDEX(Inputs!$K$5:$AJ$120,0,MATCH(Y$2,Inputs!$K$4:$AJ$4,0)))+SUMPRODUCT((Inputs!$C$5:$C$120=$B23)*Inputs!$D$5:$D$120*(((Inputs!$G$5:$G$120="moeda")+(Inputs!$G$5:$G$120="acoes"))*Inputs!$B$1+((Inputs!$G$5:$G$120&lt;&gt;"moeda")*(Inputs!$G$5:$G$120&lt;&gt;"acoes")))*INDEX(Inputs!$K$5:$AJ$120,0,MATCH(Y$2,Inputs!$K$4:$AJ$4,0)))+SUMPRODUCT((Inputs!$E$5:$E$120=$B23)*Inputs!$F$5:$F$120*(((Inputs!$G$5:$G$120="moeda")+(Inputs!$G$5:$G$120="acoes"))*Inputs!$B$1+((Inputs!$G$5:$G$120&lt;&gt;"moeda")*(Inputs!$G$5:$G$120&lt;&gt;"acoes")))*INDEX(Inputs!$K$5:$AJ$120,0,MATCH(Y$2,Inputs!$K$4:$AJ$4,0)))))</f>
        <v>5633</v>
      </c>
      <c r="Z23" s="6">
        <f>IF(ISNA(MATCH(Z$2,Inputs!$K$4:$AJ$4,0)),NA(),IF(SUMPRODUCT((Inputs!$A$5:$A$120=$B23)*ISNUMBER(INDEX(Inputs!$K$5:$AJ$120,0,MATCH(Z$2,Inputs!$K$4:$AJ$4,0))))+SUMPRODUCT((Inputs!$C$5:$C$120=$B23)*ISNUMBER(INDEX(Inputs!$K$5:$AJ$120,0,MATCH(Z$2,Inputs!$K$4:$AJ$4,0))))+SUMPRODUCT((Inputs!$E$5:$E$120=$B23)*ISNUMBER(INDEX(Inputs!$K$5:$AJ$120,0,MATCH(Z$2,Inputs!$K$4:$AJ$4,0))))=0,NA(),SUMPRODUCT((Inputs!$A$5:$A$120=$B23)*Inputs!$B$5:$B$120*(((Inputs!$G$5:$G$120="moeda")+(Inputs!$G$5:$G$120="acoes"))*Inputs!$B$1+((Inputs!$G$5:$G$120&lt;&gt;"moeda")*(Inputs!$G$5:$G$120&lt;&gt;"acoes")))*INDEX(Inputs!$K$5:$AJ$120,0,MATCH(Z$2,Inputs!$K$4:$AJ$4,0)))+SUMPRODUCT((Inputs!$C$5:$C$120=$B23)*Inputs!$D$5:$D$120*(((Inputs!$G$5:$G$120="moeda")+(Inputs!$G$5:$G$120="acoes"))*Inputs!$B$1+((Inputs!$G$5:$G$120&lt;&gt;"moeda")*(Inputs!$G$5:$G$120&lt;&gt;"acoes")))*INDEX(Inputs!$K$5:$AJ$120,0,MATCH(Z$2,Inputs!$K$4:$AJ$4,0)))+SUMPRODUCT((Inputs!$E$5:$E$120=$B23)*Inputs!$F$5:$F$120*(((Inputs!$G$5:$G$120="moeda")+(Inputs!$G$5:$G$120="acoes"))*Inputs!$B$1+((Inputs!$G$5:$G$120&lt;&gt;"moeda")*(Inputs!$G$5:$G$120&lt;&gt;"acoes")))*INDEX(Inputs!$K$5:$AJ$120,0,MATCH(Z$2,Inputs!$K$4:$AJ$4,0)))))</f>
        <v>5783</v>
      </c>
      <c r="AA23" s="6">
        <f>IF(ISNA(MATCH(AA$2,Inputs!$K$4:$AJ$4,0)),NA(),IF(SUMPRODUCT((Inputs!$A$5:$A$120=$B23)*ISNUMBER(INDEX(Inputs!$K$5:$AJ$120,0,MATCH(AA$2,Inputs!$K$4:$AJ$4,0))))+SUMPRODUCT((Inputs!$C$5:$C$120=$B23)*ISNUMBER(INDEX(Inputs!$K$5:$AJ$120,0,MATCH(AA$2,Inputs!$K$4:$AJ$4,0))))+SUMPRODUCT((Inputs!$E$5:$E$120=$B23)*ISNUMBER(INDEX(Inputs!$K$5:$AJ$120,0,MATCH(AA$2,Inputs!$K$4:$AJ$4,0))))=0,NA(),SUMPRODUCT((Inputs!$A$5:$A$120=$B23)*Inputs!$B$5:$B$120*(((Inputs!$G$5:$G$120="moeda")+(Inputs!$G$5:$G$120="acoes"))*Inputs!$B$1+((Inputs!$G$5:$G$120&lt;&gt;"moeda")*(Inputs!$G$5:$G$120&lt;&gt;"acoes")))*INDEX(Inputs!$K$5:$AJ$120,0,MATCH(AA$2,Inputs!$K$4:$AJ$4,0)))+SUMPRODUCT((Inputs!$C$5:$C$120=$B23)*Inputs!$D$5:$D$120*(((Inputs!$G$5:$G$120="moeda")+(Inputs!$G$5:$G$120="acoes"))*Inputs!$B$1+((Inputs!$G$5:$G$120&lt;&gt;"moeda")*(Inputs!$G$5:$G$120&lt;&gt;"acoes")))*INDEX(Inputs!$K$5:$AJ$120,0,MATCH(AA$2,Inputs!$K$4:$AJ$4,0)))+SUMPRODUCT((Inputs!$E$5:$E$120=$B23)*Inputs!$F$5:$F$120*(((Inputs!$G$5:$G$120="moeda")+(Inputs!$G$5:$G$120="acoes"))*Inputs!$B$1+((Inputs!$G$5:$G$120&lt;&gt;"moeda")*(Inputs!$G$5:$G$120&lt;&gt;"acoes")))*INDEX(Inputs!$K$5:$AJ$120,0,MATCH(AA$2,Inputs!$K$4:$AJ$4,0)))))</f>
        <v>6027</v>
      </c>
      <c r="AB23" s="3">
        <f>AA23</f>
        <v>6027</v>
      </c>
      <c r="AC23" s="6">
        <f>IF(ISNA(MATCH(AC$2,Inputs!$K$4:$AJ$4,0)),NA(),IF(SUMPRODUCT((Inputs!$A$5:$A$120=$B23)*ISNUMBER(INDEX(Inputs!$K$5:$AJ$120,0,MATCH(AC$2,Inputs!$K$4:$AJ$4,0))))+SUMPRODUCT((Inputs!$C$5:$C$120=$B23)*ISNUMBER(INDEX(Inputs!$K$5:$AJ$120,0,MATCH(AC$2,Inputs!$K$4:$AJ$4,0))))+SUMPRODUCT((Inputs!$E$5:$E$120=$B23)*ISNUMBER(INDEX(Inputs!$K$5:$AJ$120,0,MATCH(AC$2,Inputs!$K$4:$AJ$4,0))))=0,NA(),SUMPRODUCT((Inputs!$A$5:$A$120=$B23)*Inputs!$B$5:$B$120*(((Inputs!$G$5:$G$120="moeda")+(Inputs!$G$5:$G$120="acoes"))*Inputs!$B$1+((Inputs!$G$5:$G$120&lt;&gt;"moeda")*(Inputs!$G$5:$G$120&lt;&gt;"acoes")))*INDEX(Inputs!$K$5:$AJ$120,0,MATCH(AC$2,Inputs!$K$4:$AJ$4,0)))+SUMPRODUCT((Inputs!$C$5:$C$120=$B23)*Inputs!$D$5:$D$120*(((Inputs!$G$5:$G$120="moeda")+(Inputs!$G$5:$G$120="acoes"))*Inputs!$B$1+((Inputs!$G$5:$G$120&lt;&gt;"moeda")*(Inputs!$G$5:$G$120&lt;&gt;"acoes")))*INDEX(Inputs!$K$5:$AJ$120,0,MATCH(AC$2,Inputs!$K$4:$AJ$4,0)))+SUMPRODUCT((Inputs!$E$5:$E$120=$B23)*Inputs!$F$5:$F$120*(((Inputs!$G$5:$G$120="moeda")+(Inputs!$G$5:$G$120="acoes"))*Inputs!$B$1+((Inputs!$G$5:$G$120&lt;&gt;"moeda")*(Inputs!$G$5:$G$120&lt;&gt;"acoes")))*INDEX(Inputs!$K$5:$AJ$120,0,MATCH(AC$2,Inputs!$K$4:$AJ$4,0)))))</f>
        <v>6332</v>
      </c>
      <c r="AD23" s="6">
        <f>IF(ISNA(MATCH(AD$2,Inputs!$K$4:$AJ$4,0)),NA(),IF(SUMPRODUCT((Inputs!$A$5:$A$120=$B23)*ISNUMBER(INDEX(Inputs!$K$5:$AJ$120,0,MATCH(AD$2,Inputs!$K$4:$AJ$4,0))))+SUMPRODUCT((Inputs!$C$5:$C$120=$B23)*ISNUMBER(INDEX(Inputs!$K$5:$AJ$120,0,MATCH(AD$2,Inputs!$K$4:$AJ$4,0))))+SUMPRODUCT((Inputs!$E$5:$E$120=$B23)*ISNUMBER(INDEX(Inputs!$K$5:$AJ$120,0,MATCH(AD$2,Inputs!$K$4:$AJ$4,0))))=0,NA(),SUMPRODUCT((Inputs!$A$5:$A$120=$B23)*Inputs!$B$5:$B$120*(((Inputs!$G$5:$G$120="moeda")+(Inputs!$G$5:$G$120="acoes"))*Inputs!$B$1+((Inputs!$G$5:$G$120&lt;&gt;"moeda")*(Inputs!$G$5:$G$120&lt;&gt;"acoes")))*INDEX(Inputs!$K$5:$AJ$120,0,MATCH(AD$2,Inputs!$K$4:$AJ$4,0)))+SUMPRODUCT((Inputs!$C$5:$C$120=$B23)*Inputs!$D$5:$D$120*(((Inputs!$G$5:$G$120="moeda")+(Inputs!$G$5:$G$120="acoes"))*Inputs!$B$1+((Inputs!$G$5:$G$120&lt;&gt;"moeda")*(Inputs!$G$5:$G$120&lt;&gt;"acoes")))*INDEX(Inputs!$K$5:$AJ$120,0,MATCH(AD$2,Inputs!$K$4:$AJ$4,0)))+SUMPRODUCT((Inputs!$E$5:$E$120=$B23)*Inputs!$F$5:$F$120*(((Inputs!$G$5:$G$120="moeda")+(Inputs!$G$5:$G$120="acoes"))*Inputs!$B$1+((Inputs!$G$5:$G$120&lt;&gt;"moeda")*(Inputs!$G$5:$G$120&lt;&gt;"acoes")))*INDEX(Inputs!$K$5:$AJ$120,0,MATCH(AD$2,Inputs!$K$4:$AJ$4,0)))))</f>
        <v>6386</v>
      </c>
      <c r="AE23" s="6" t="e">
        <f>IF(ISNA(MATCH(AE$2,Inputs!$K$4:$AJ$4,0)),NA(),IF(SUMPRODUCT((Inputs!$A$5:$A$120=$B23)*ISNUMBER(INDEX(Inputs!$K$5:$AJ$120,0,MATCH(AE$2,Inputs!$K$4:$AJ$4,0))))+SUMPRODUCT((Inputs!$C$5:$C$120=$B23)*ISNUMBER(INDEX(Inputs!$K$5:$AJ$120,0,MATCH(AE$2,Inputs!$K$4:$AJ$4,0))))+SUMPRODUCT((Inputs!$E$5:$E$120=$B23)*ISNUMBER(INDEX(Inputs!$K$5:$AJ$120,0,MATCH(AE$2,Inputs!$K$4:$AJ$4,0))))=0,NA(),SUMPRODUCT((Inputs!$A$5:$A$120=$B23)*Inputs!$B$5:$B$120*(((Inputs!$G$5:$G$120="moeda")+(Inputs!$G$5:$G$120="acoes"))*Inputs!$B$1+((Inputs!$G$5:$G$120&lt;&gt;"moeda")*(Inputs!$G$5:$G$120&lt;&gt;"acoes")))*INDEX(Inputs!$K$5:$AJ$120,0,MATCH(AE$2,Inputs!$K$4:$AJ$4,0)))+SUMPRODUCT((Inputs!$C$5:$C$120=$B23)*Inputs!$D$5:$D$120*(((Inputs!$G$5:$G$120="moeda")+(Inputs!$G$5:$G$120="acoes"))*Inputs!$B$1+((Inputs!$G$5:$G$120&lt;&gt;"moeda")*(Inputs!$G$5:$G$120&lt;&gt;"acoes")))*INDEX(Inputs!$K$5:$AJ$120,0,MATCH(AE$2,Inputs!$K$4:$AJ$4,0)))+SUMPRODUCT((Inputs!$E$5:$E$120=$B23)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23" s="6" t="e">
        <f>IF(ISNA(MATCH(AF$2,Inputs!$K$4:$AJ$4,0)),NA(),IF(SUMPRODUCT((Inputs!$A$5:$A$120=$B23)*ISNUMBER(INDEX(Inputs!$K$5:$AJ$120,0,MATCH(AF$2,Inputs!$K$4:$AJ$4,0))))+SUMPRODUCT((Inputs!$C$5:$C$120=$B23)*ISNUMBER(INDEX(Inputs!$K$5:$AJ$120,0,MATCH(AF$2,Inputs!$K$4:$AJ$4,0))))+SUMPRODUCT((Inputs!$E$5:$E$120=$B23)*ISNUMBER(INDEX(Inputs!$K$5:$AJ$120,0,MATCH(AF$2,Inputs!$K$4:$AJ$4,0))))=0,NA(),SUMPRODUCT((Inputs!$A$5:$A$120=$B23)*Inputs!$B$5:$B$120*(((Inputs!$G$5:$G$120="moeda")+(Inputs!$G$5:$G$120="acoes"))*Inputs!$B$1+((Inputs!$G$5:$G$120&lt;&gt;"moeda")*(Inputs!$G$5:$G$120&lt;&gt;"acoes")))*INDEX(Inputs!$K$5:$AJ$120,0,MATCH(AF$2,Inputs!$K$4:$AJ$4,0)))+SUMPRODUCT((Inputs!$C$5:$C$120=$B23)*Inputs!$D$5:$D$120*(((Inputs!$G$5:$G$120="moeda")+(Inputs!$G$5:$G$120="acoes"))*Inputs!$B$1+((Inputs!$G$5:$G$120&lt;&gt;"moeda")*(Inputs!$G$5:$G$120&lt;&gt;"acoes")))*INDEX(Inputs!$K$5:$AJ$120,0,MATCH(AF$2,Inputs!$K$4:$AJ$4,0)))+SUMPRODUCT((Inputs!$E$5:$E$120=$B23)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23" s="3" t="e">
        <f>AF23</f>
        <v>#N/A</v>
      </c>
      <c r="AH23" s="6">
        <f>IF(ISNA(MATCH(AH$2,Inputs!$K$4:$AJ$4,0)),NA(),IF(SUMPRODUCT((Inputs!$A$5:$A$120=$B23)*ISNUMBER(INDEX(Inputs!$K$5:$AJ$120,0,MATCH(AH$2,Inputs!$K$4:$AJ$4,0))))+SUMPRODUCT((Inputs!$C$5:$C$120=$B23)*ISNUMBER(INDEX(Inputs!$K$5:$AJ$120,0,MATCH(AH$2,Inputs!$K$4:$AJ$4,0))))+SUMPRODUCT((Inputs!$E$5:$E$120=$B23)*ISNUMBER(INDEX(Inputs!$K$5:$AJ$120,0,MATCH(AH$2,Inputs!$K$4:$AJ$4,0))))=0,NA(),SUMPRODUCT((Inputs!$A$5:$A$120=$B23)*Inputs!$B$5:$B$120*(((Inputs!$G$5:$G$120="moeda")+(Inputs!$G$5:$G$120="acoes"))*Inputs!$B$1+((Inputs!$G$5:$G$120&lt;&gt;"moeda")*(Inputs!$G$5:$G$120&lt;&gt;"acoes")))*INDEX(Inputs!$K$5:$AJ$120,0,MATCH(AH$2,Inputs!$K$4:$AJ$4,0)))+SUMPRODUCT((Inputs!$C$5:$C$120=$B23)*Inputs!$D$5:$D$120*(((Inputs!$G$5:$G$120="moeda")+(Inputs!$G$5:$G$120="acoes"))*Inputs!$B$1+((Inputs!$G$5:$G$120&lt;&gt;"moeda")*(Inputs!$G$5:$G$120&lt;&gt;"acoes")))*INDEX(Inputs!$K$5:$AJ$120,0,MATCH(AH$2,Inputs!$K$4:$AJ$4,0)))+SUMPRODUCT((Inputs!$E$5:$E$120=$B23)*Inputs!$F$5:$F$120*(((Inputs!$G$5:$G$120="moeda")+(Inputs!$G$5:$G$120="acoes"))*Inputs!$B$1+((Inputs!$G$5:$G$120&lt;&gt;"moeda")*(Inputs!$G$5:$G$120&lt;&gt;"acoes")))*INDEX(Inputs!$K$5:$AJ$120,0,MATCH(AH$2,Inputs!$K$4:$AJ$4,0)))))</f>
        <v>1197</v>
      </c>
      <c r="AI23" s="6">
        <f>IF(ISNA(MATCH(AI$2,Inputs!$K$4:$AJ$4,0)),NA(),IF(SUMPRODUCT((Inputs!$A$5:$A$120=$B23)*ISNUMBER(INDEX(Inputs!$K$5:$AJ$120,0,MATCH(AI$2,Inputs!$K$4:$AJ$4,0))))+SUMPRODUCT((Inputs!$C$5:$C$120=$B23)*ISNUMBER(INDEX(Inputs!$K$5:$AJ$120,0,MATCH(AI$2,Inputs!$K$4:$AJ$4,0))))+SUMPRODUCT((Inputs!$E$5:$E$120=$B23)*ISNUMBER(INDEX(Inputs!$K$5:$AJ$120,0,MATCH(AI$2,Inputs!$K$4:$AJ$4,0))))=0,NA(),SUMPRODUCT((Inputs!$A$5:$A$120=$B23)*Inputs!$B$5:$B$120*(((Inputs!$G$5:$G$120="moeda")+(Inputs!$G$5:$G$120="acoes"))*Inputs!$B$1+((Inputs!$G$5:$G$120&lt;&gt;"moeda")*(Inputs!$G$5:$G$120&lt;&gt;"acoes")))*INDEX(Inputs!$K$5:$AJ$120,0,MATCH(AI$2,Inputs!$K$4:$AJ$4,0)))+SUMPRODUCT((Inputs!$C$5:$C$120=$B23)*Inputs!$D$5:$D$120*(((Inputs!$G$5:$G$120="moeda")+(Inputs!$G$5:$G$120="acoes"))*Inputs!$B$1+((Inputs!$G$5:$G$120&lt;&gt;"moeda")*(Inputs!$G$5:$G$120&lt;&gt;"acoes")))*INDEX(Inputs!$K$5:$AJ$120,0,MATCH(AI$2,Inputs!$K$4:$AJ$4,0)))+SUMPRODUCT((Inputs!$E$5:$E$120=$B23)*Inputs!$F$5:$F$120*(((Inputs!$G$5:$G$120="moeda")+(Inputs!$G$5:$G$120="acoes"))*Inputs!$B$1+((Inputs!$G$5:$G$120&lt;&gt;"moeda")*(Inputs!$G$5:$G$120&lt;&gt;"acoes")))*INDEX(Inputs!$K$5:$AJ$120,0,MATCH(AI$2,Inputs!$K$4:$AJ$4,0)))))</f>
        <v>1274</v>
      </c>
      <c r="AJ23" s="6">
        <f>IF(ISNA(MATCH(AJ$2,Inputs!$K$4:$AJ$4,0)),NA(),IF(SUMPRODUCT((Inputs!$A$5:$A$120=$B23)*ISNUMBER(INDEX(Inputs!$K$5:$AJ$120,0,MATCH(AJ$2,Inputs!$K$4:$AJ$4,0))))+SUMPRODUCT((Inputs!$C$5:$C$120=$B23)*ISNUMBER(INDEX(Inputs!$K$5:$AJ$120,0,MATCH(AJ$2,Inputs!$K$4:$AJ$4,0))))+SUMPRODUCT((Inputs!$E$5:$E$120=$B23)*ISNUMBER(INDEX(Inputs!$K$5:$AJ$120,0,MATCH(AJ$2,Inputs!$K$4:$AJ$4,0))))=0,NA(),SUMPRODUCT((Inputs!$A$5:$A$120=$B23)*Inputs!$B$5:$B$120*(((Inputs!$G$5:$G$120="moeda")+(Inputs!$G$5:$G$120="acoes"))*Inputs!$B$1+((Inputs!$G$5:$G$120&lt;&gt;"moeda")*(Inputs!$G$5:$G$120&lt;&gt;"acoes")))*INDEX(Inputs!$K$5:$AJ$120,0,MATCH(AJ$2,Inputs!$K$4:$AJ$4,0)))+SUMPRODUCT((Inputs!$C$5:$C$120=$B23)*Inputs!$D$5:$D$120*(((Inputs!$G$5:$G$120="moeda")+(Inputs!$G$5:$G$120="acoes"))*Inputs!$B$1+((Inputs!$G$5:$G$120&lt;&gt;"moeda")*(Inputs!$G$5:$G$120&lt;&gt;"acoes")))*INDEX(Inputs!$K$5:$AJ$120,0,MATCH(AJ$2,Inputs!$K$4:$AJ$4,0)))+SUMPRODUCT((Inputs!$E$5:$E$120=$B23)*Inputs!$F$5:$F$120*(((Inputs!$G$5:$G$120="moeda")+(Inputs!$G$5:$G$120="acoes"))*Inputs!$B$1+((Inputs!$G$5:$G$120&lt;&gt;"moeda")*(Inputs!$G$5:$G$120&lt;&gt;"acoes")))*INDEX(Inputs!$K$5:$AJ$120,0,MATCH(AJ$2,Inputs!$K$4:$AJ$4,0)))))</f>
        <v>1375</v>
      </c>
      <c r="AK23" s="6">
        <f>IF(ISNA(MATCH(AK$2,Inputs!$K$4:$AJ$4,0)),NA(),IF(SUMPRODUCT((Inputs!$A$5:$A$120=$B23)*ISNUMBER(INDEX(Inputs!$K$5:$AJ$120,0,MATCH(AK$2,Inputs!$K$4:$AJ$4,0))))+SUMPRODUCT((Inputs!$C$5:$C$120=$B23)*ISNUMBER(INDEX(Inputs!$K$5:$AJ$120,0,MATCH(AK$2,Inputs!$K$4:$AJ$4,0))))+SUMPRODUCT((Inputs!$E$5:$E$120=$B23)*ISNUMBER(INDEX(Inputs!$K$5:$AJ$120,0,MATCH(AK$2,Inputs!$K$4:$AJ$4,0))))=0,NA(),SUMPRODUCT((Inputs!$A$5:$A$120=$B23)*Inputs!$B$5:$B$120*(((Inputs!$G$5:$G$120="moeda")+(Inputs!$G$5:$G$120="acoes"))*Inputs!$B$1+((Inputs!$G$5:$G$120&lt;&gt;"moeda")*(Inputs!$G$5:$G$120&lt;&gt;"acoes")))*INDEX(Inputs!$K$5:$AJ$120,0,MATCH(AK$2,Inputs!$K$4:$AJ$4,0)))+SUMPRODUCT((Inputs!$C$5:$C$120=$B23)*Inputs!$D$5:$D$120*(((Inputs!$G$5:$G$120="moeda")+(Inputs!$G$5:$G$120="acoes"))*Inputs!$B$1+((Inputs!$G$5:$G$120&lt;&gt;"moeda")*(Inputs!$G$5:$G$120&lt;&gt;"acoes")))*INDEX(Inputs!$K$5:$AJ$120,0,MATCH(AK$2,Inputs!$K$4:$AJ$4,0)))+SUMPRODUCT((Inputs!$E$5:$E$120=$B23)*Inputs!$F$5:$F$120*(((Inputs!$G$5:$G$120="moeda")+(Inputs!$G$5:$G$120="acoes"))*Inputs!$B$1+((Inputs!$G$5:$G$120&lt;&gt;"moeda")*(Inputs!$G$5:$G$120&lt;&gt;"acoes")))*INDEX(Inputs!$K$5:$AJ$120,0,MATCH(AK$2,Inputs!$K$4:$AJ$4,0)))))</f>
        <v>1558</v>
      </c>
      <c r="AL23" s="3">
        <f>AK23</f>
        <v>1558</v>
      </c>
    </row>
    <row r="24">
      <c r="B24" s="46" t="n">
        <v>20</v>
      </c>
      <c r="C24" s="26" t="inlineStr">
        <is>
          <t>Goodwill</t>
        </is>
      </c>
      <c r="D24" s="6">
        <f>IF(ISNA(MATCH(D$2,Inputs!$K$4:$AJ$4,0)),NA(),IF(SUMPRODUCT((Inputs!$A$5:$A$120=$B24)*ISNUMBER(INDEX(Inputs!$K$5:$AJ$120,0,MATCH(D$2,Inputs!$K$4:$AJ$4,0))))+SUMPRODUCT((Inputs!$C$5:$C$120=$B24)*ISNUMBER(INDEX(Inputs!$K$5:$AJ$120,0,MATCH(D$2,Inputs!$K$4:$AJ$4,0))))+SUMPRODUCT((Inputs!$E$5:$E$120=$B24)*ISNUMBER(INDEX(Inputs!$K$5:$AJ$120,0,MATCH(D$2,Inputs!$K$4:$AJ$4,0))))=0,NA(),SUMPRODUCT((Inputs!$A$5:$A$120=$B24)*Inputs!$B$5:$B$120*(((Inputs!$G$5:$G$120="moeda")+(Inputs!$G$5:$G$120="acoes"))*Inputs!$B$1+((Inputs!$G$5:$G$120&lt;&gt;"moeda")*(Inputs!$G$5:$G$120&lt;&gt;"acoes")))*INDEX(Inputs!$K$5:$AJ$120,0,MATCH(D$2,Inputs!$K$4:$AJ$4,0)))+SUMPRODUCT((Inputs!$C$5:$C$120=$B24)*Inputs!$D$5:$D$120*(((Inputs!$G$5:$G$120="moeda")+(Inputs!$G$5:$G$120="acoes"))*Inputs!$B$1+((Inputs!$G$5:$G$120&lt;&gt;"moeda")*(Inputs!$G$5:$G$120&lt;&gt;"acoes")))*INDEX(Inputs!$K$5:$AJ$120,0,MATCH(D$2,Inputs!$K$4:$AJ$4,0)))+SUMPRODUCT((Inputs!$E$5:$E$120=$B24)*Inputs!$F$5:$F$120*(((Inputs!$G$5:$G$120="moeda")+(Inputs!$G$5:$G$120="acoes"))*Inputs!$B$1+((Inputs!$G$5:$G$120&lt;&gt;"moeda")*(Inputs!$G$5:$G$120&lt;&gt;"acoes")))*INDEX(Inputs!$K$5:$AJ$120,0,MATCH(D$2,Inputs!$K$4:$AJ$4,0)))))</f>
        <v>206</v>
      </c>
      <c r="E24" s="6">
        <f>IF(ISNA(MATCH(E$2,Inputs!$K$4:$AJ$4,0)),NA(),IF(SUMPRODUCT((Inputs!$A$5:$A$120=$B24)*ISNUMBER(INDEX(Inputs!$K$5:$AJ$120,0,MATCH(E$2,Inputs!$K$4:$AJ$4,0))))+SUMPRODUCT((Inputs!$C$5:$C$120=$B24)*ISNUMBER(INDEX(Inputs!$K$5:$AJ$120,0,MATCH(E$2,Inputs!$K$4:$AJ$4,0))))+SUMPRODUCT((Inputs!$E$5:$E$120=$B24)*ISNUMBER(INDEX(Inputs!$K$5:$AJ$120,0,MATCH(E$2,Inputs!$K$4:$AJ$4,0))))=0,NA(),SUMPRODUCT((Inputs!$A$5:$A$120=$B24)*Inputs!$B$5:$B$120*(((Inputs!$G$5:$G$120="moeda")+(Inputs!$G$5:$G$120="acoes"))*Inputs!$B$1+((Inputs!$G$5:$G$120&lt;&gt;"moeda")*(Inputs!$G$5:$G$120&lt;&gt;"acoes")))*INDEX(Inputs!$K$5:$AJ$120,0,MATCH(E$2,Inputs!$K$4:$AJ$4,0)))+SUMPRODUCT((Inputs!$C$5:$C$120=$B24)*Inputs!$D$5:$D$120*(((Inputs!$G$5:$G$120="moeda")+(Inputs!$G$5:$G$120="acoes"))*Inputs!$B$1+((Inputs!$G$5:$G$120&lt;&gt;"moeda")*(Inputs!$G$5:$G$120&lt;&gt;"acoes")))*INDEX(Inputs!$K$5:$AJ$120,0,MATCH(E$2,Inputs!$K$4:$AJ$4,0)))+SUMPRODUCT((Inputs!$E$5:$E$120=$B24)*Inputs!$F$5:$F$120*(((Inputs!$G$5:$G$120="moeda")+(Inputs!$G$5:$G$120="acoes"))*Inputs!$B$1+((Inputs!$G$5:$G$120&lt;&gt;"moeda")*(Inputs!$G$5:$G$120&lt;&gt;"acoes")))*INDEX(Inputs!$K$5:$AJ$120,0,MATCH(E$2,Inputs!$K$4:$AJ$4,0)))))</f>
        <v>203</v>
      </c>
      <c r="F24" s="6">
        <f>IF(ISNA(MATCH(F$2,Inputs!$K$4:$AJ$4,0)),NA(),IF(SUMPRODUCT((Inputs!$A$5:$A$120=$B24)*ISNUMBER(INDEX(Inputs!$K$5:$AJ$120,0,MATCH(F$2,Inputs!$K$4:$AJ$4,0))))+SUMPRODUCT((Inputs!$C$5:$C$120=$B24)*ISNUMBER(INDEX(Inputs!$K$5:$AJ$120,0,MATCH(F$2,Inputs!$K$4:$AJ$4,0))))+SUMPRODUCT((Inputs!$E$5:$E$120=$B24)*ISNUMBER(INDEX(Inputs!$K$5:$AJ$120,0,MATCH(F$2,Inputs!$K$4:$AJ$4,0))))=0,NA(),SUMPRODUCT((Inputs!$A$5:$A$120=$B24)*Inputs!$B$5:$B$120*(((Inputs!$G$5:$G$120="moeda")+(Inputs!$G$5:$G$120="acoes"))*Inputs!$B$1+((Inputs!$G$5:$G$120&lt;&gt;"moeda")*(Inputs!$G$5:$G$120&lt;&gt;"acoes")))*INDEX(Inputs!$K$5:$AJ$120,0,MATCH(F$2,Inputs!$K$4:$AJ$4,0)))+SUMPRODUCT((Inputs!$C$5:$C$120=$B24)*Inputs!$D$5:$D$120*(((Inputs!$G$5:$G$120="moeda")+(Inputs!$G$5:$G$120="acoes"))*Inputs!$B$1+((Inputs!$G$5:$G$120&lt;&gt;"moeda")*(Inputs!$G$5:$G$120&lt;&gt;"acoes")))*INDEX(Inputs!$K$5:$AJ$120,0,MATCH(F$2,Inputs!$K$4:$AJ$4,0)))+SUMPRODUCT((Inputs!$E$5:$E$120=$B24)*Inputs!$F$5:$F$120*(((Inputs!$G$5:$G$120="moeda")+(Inputs!$G$5:$G$120="acoes"))*Inputs!$B$1+((Inputs!$G$5:$G$120&lt;&gt;"moeda")*(Inputs!$G$5:$G$120&lt;&gt;"acoes")))*INDEX(Inputs!$K$5:$AJ$120,0,MATCH(F$2,Inputs!$K$4:$AJ$4,0)))))</f>
        <v>201</v>
      </c>
      <c r="G24" s="6">
        <f>IF(ISNA(MATCH(G$2,Inputs!$K$4:$AJ$4,0)),NA(),IF(SUMPRODUCT((Inputs!$A$5:$A$120=$B24)*ISNUMBER(INDEX(Inputs!$K$5:$AJ$120,0,MATCH(G$2,Inputs!$K$4:$AJ$4,0))))+SUMPRODUCT((Inputs!$C$5:$C$120=$B24)*ISNUMBER(INDEX(Inputs!$K$5:$AJ$120,0,MATCH(G$2,Inputs!$K$4:$AJ$4,0))))+SUMPRODUCT((Inputs!$E$5:$E$120=$B24)*ISNUMBER(INDEX(Inputs!$K$5:$AJ$120,0,MATCH(G$2,Inputs!$K$4:$AJ$4,0))))=0,NA(),SUMPRODUCT((Inputs!$A$5:$A$120=$B24)*Inputs!$B$5:$B$120*(((Inputs!$G$5:$G$120="moeda")+(Inputs!$G$5:$G$120="acoes"))*Inputs!$B$1+((Inputs!$G$5:$G$120&lt;&gt;"moeda")*(Inputs!$G$5:$G$120&lt;&gt;"acoes")))*INDEX(Inputs!$K$5:$AJ$120,0,MATCH(G$2,Inputs!$K$4:$AJ$4,0)))+SUMPRODUCT((Inputs!$C$5:$C$120=$B24)*Inputs!$D$5:$D$120*(((Inputs!$G$5:$G$120="moeda")+(Inputs!$G$5:$G$120="acoes"))*Inputs!$B$1+((Inputs!$G$5:$G$120&lt;&gt;"moeda")*(Inputs!$G$5:$G$120&lt;&gt;"acoes")))*INDEX(Inputs!$K$5:$AJ$120,0,MATCH(G$2,Inputs!$K$4:$AJ$4,0)))+SUMPRODUCT((Inputs!$E$5:$E$120=$B24)*Inputs!$F$5:$F$120*(((Inputs!$G$5:$G$120="moeda")+(Inputs!$G$5:$G$120="acoes"))*Inputs!$B$1+((Inputs!$G$5:$G$120&lt;&gt;"moeda")*(Inputs!$G$5:$G$120&lt;&gt;"acoes")))*INDEX(Inputs!$K$5:$AJ$120,0,MATCH(G$2,Inputs!$K$4:$AJ$4,0)))))</f>
        <v>200</v>
      </c>
      <c r="H24" s="3">
        <f>G24</f>
        <v>200</v>
      </c>
      <c r="I24" s="6">
        <f>IF(ISNA(MATCH(I$2,Inputs!$K$4:$AJ$4,0)),NA(),IF(SUMPRODUCT((Inputs!$A$5:$A$120=$B24)*ISNUMBER(INDEX(Inputs!$K$5:$AJ$120,0,MATCH(I$2,Inputs!$K$4:$AJ$4,0))))+SUMPRODUCT((Inputs!$C$5:$C$120=$B24)*ISNUMBER(INDEX(Inputs!$K$5:$AJ$120,0,MATCH(I$2,Inputs!$K$4:$AJ$4,0))))+SUMPRODUCT((Inputs!$E$5:$E$120=$B24)*ISNUMBER(INDEX(Inputs!$K$5:$AJ$120,0,MATCH(I$2,Inputs!$K$4:$AJ$4,0))))=0,NA(),SUMPRODUCT((Inputs!$A$5:$A$120=$B24)*Inputs!$B$5:$B$120*(((Inputs!$G$5:$G$120="moeda")+(Inputs!$G$5:$G$120="acoes"))*Inputs!$B$1+((Inputs!$G$5:$G$120&lt;&gt;"moeda")*(Inputs!$G$5:$G$120&lt;&gt;"acoes")))*INDEX(Inputs!$K$5:$AJ$120,0,MATCH(I$2,Inputs!$K$4:$AJ$4,0)))+SUMPRODUCT((Inputs!$C$5:$C$120=$B24)*Inputs!$D$5:$D$120*(((Inputs!$G$5:$G$120="moeda")+(Inputs!$G$5:$G$120="acoes"))*Inputs!$B$1+((Inputs!$G$5:$G$120&lt;&gt;"moeda")*(Inputs!$G$5:$G$120&lt;&gt;"acoes")))*INDEX(Inputs!$K$5:$AJ$120,0,MATCH(I$2,Inputs!$K$4:$AJ$4,0)))+SUMPRODUCT((Inputs!$E$5:$E$120=$B24)*Inputs!$F$5:$F$120*(((Inputs!$G$5:$G$120="moeda")+(Inputs!$G$5:$G$120="acoes"))*Inputs!$B$1+((Inputs!$G$5:$G$120&lt;&gt;"moeda")*(Inputs!$G$5:$G$120&lt;&gt;"acoes")))*INDEX(Inputs!$K$5:$AJ$120,0,MATCH(I$2,Inputs!$K$4:$AJ$4,0)))))</f>
        <v>200</v>
      </c>
      <c r="J24" s="6">
        <f>IF(ISNA(MATCH(J$2,Inputs!$K$4:$AJ$4,0)),NA(),IF(SUMPRODUCT((Inputs!$A$5:$A$120=$B24)*ISNUMBER(INDEX(Inputs!$K$5:$AJ$120,0,MATCH(J$2,Inputs!$K$4:$AJ$4,0))))+SUMPRODUCT((Inputs!$C$5:$C$120=$B24)*ISNUMBER(INDEX(Inputs!$K$5:$AJ$120,0,MATCH(J$2,Inputs!$K$4:$AJ$4,0))))+SUMPRODUCT((Inputs!$E$5:$E$120=$B24)*ISNUMBER(INDEX(Inputs!$K$5:$AJ$120,0,MATCH(J$2,Inputs!$K$4:$AJ$4,0))))=0,NA(),SUMPRODUCT((Inputs!$A$5:$A$120=$B24)*Inputs!$B$5:$B$120*(((Inputs!$G$5:$G$120="moeda")+(Inputs!$G$5:$G$120="acoes"))*Inputs!$B$1+((Inputs!$G$5:$G$120&lt;&gt;"moeda")*(Inputs!$G$5:$G$120&lt;&gt;"acoes")))*INDEX(Inputs!$K$5:$AJ$120,0,MATCH(J$2,Inputs!$K$4:$AJ$4,0)))+SUMPRODUCT((Inputs!$C$5:$C$120=$B24)*Inputs!$D$5:$D$120*(((Inputs!$G$5:$G$120="moeda")+(Inputs!$G$5:$G$120="acoes"))*Inputs!$B$1+((Inputs!$G$5:$G$120&lt;&gt;"moeda")*(Inputs!$G$5:$G$120&lt;&gt;"acoes")))*INDEX(Inputs!$K$5:$AJ$120,0,MATCH(J$2,Inputs!$K$4:$AJ$4,0)))+SUMPRODUCT((Inputs!$E$5:$E$120=$B24)*Inputs!$F$5:$F$120*(((Inputs!$G$5:$G$120="moeda")+(Inputs!$G$5:$G$120="acoes"))*Inputs!$B$1+((Inputs!$G$5:$G$120&lt;&gt;"moeda")*(Inputs!$G$5:$G$120&lt;&gt;"acoes")))*INDEX(Inputs!$K$5:$AJ$120,0,MATCH(J$2,Inputs!$K$4:$AJ$4,0)))))</f>
        <v>196</v>
      </c>
      <c r="K24" s="6">
        <f>IF(ISNA(MATCH(K$2,Inputs!$K$4:$AJ$4,0)),NA(),IF(SUMPRODUCT((Inputs!$A$5:$A$120=$B24)*ISNUMBER(INDEX(Inputs!$K$5:$AJ$120,0,MATCH(K$2,Inputs!$K$4:$AJ$4,0))))+SUMPRODUCT((Inputs!$C$5:$C$120=$B24)*ISNUMBER(INDEX(Inputs!$K$5:$AJ$120,0,MATCH(K$2,Inputs!$K$4:$AJ$4,0))))+SUMPRODUCT((Inputs!$E$5:$E$120=$B24)*ISNUMBER(INDEX(Inputs!$K$5:$AJ$120,0,MATCH(K$2,Inputs!$K$4:$AJ$4,0))))=0,NA(),SUMPRODUCT((Inputs!$A$5:$A$120=$B24)*Inputs!$B$5:$B$120*(((Inputs!$G$5:$G$120="moeda")+(Inputs!$G$5:$G$120="acoes"))*Inputs!$B$1+((Inputs!$G$5:$G$120&lt;&gt;"moeda")*(Inputs!$G$5:$G$120&lt;&gt;"acoes")))*INDEX(Inputs!$K$5:$AJ$120,0,MATCH(K$2,Inputs!$K$4:$AJ$4,0)))+SUMPRODUCT((Inputs!$C$5:$C$120=$B24)*Inputs!$D$5:$D$120*(((Inputs!$G$5:$G$120="moeda")+(Inputs!$G$5:$G$120="acoes"))*Inputs!$B$1+((Inputs!$G$5:$G$120&lt;&gt;"moeda")*(Inputs!$G$5:$G$120&lt;&gt;"acoes")))*INDEX(Inputs!$K$5:$AJ$120,0,MATCH(K$2,Inputs!$K$4:$AJ$4,0)))+SUMPRODUCT((Inputs!$E$5:$E$120=$B24)*Inputs!$F$5:$F$120*(((Inputs!$G$5:$G$120="moeda")+(Inputs!$G$5:$G$120="acoes"))*Inputs!$B$1+((Inputs!$G$5:$G$120&lt;&gt;"moeda")*(Inputs!$G$5:$G$120&lt;&gt;"acoes")))*INDEX(Inputs!$K$5:$AJ$120,0,MATCH(K$2,Inputs!$K$4:$AJ$4,0)))))</f>
        <v>191</v>
      </c>
      <c r="L24" s="6">
        <f>IF(ISNA(MATCH(L$2,Inputs!$K$4:$AJ$4,0)),NA(),IF(SUMPRODUCT((Inputs!$A$5:$A$120=$B24)*ISNUMBER(INDEX(Inputs!$K$5:$AJ$120,0,MATCH(L$2,Inputs!$K$4:$AJ$4,0))))+SUMPRODUCT((Inputs!$C$5:$C$120=$B24)*ISNUMBER(INDEX(Inputs!$K$5:$AJ$120,0,MATCH(L$2,Inputs!$K$4:$AJ$4,0))))+SUMPRODUCT((Inputs!$E$5:$E$120=$B24)*ISNUMBER(INDEX(Inputs!$K$5:$AJ$120,0,MATCH(L$2,Inputs!$K$4:$AJ$4,0))))=0,NA(),SUMPRODUCT((Inputs!$A$5:$A$120=$B24)*Inputs!$B$5:$B$120*(((Inputs!$G$5:$G$120="moeda")+(Inputs!$G$5:$G$120="acoes"))*Inputs!$B$1+((Inputs!$G$5:$G$120&lt;&gt;"moeda")*(Inputs!$G$5:$G$120&lt;&gt;"acoes")))*INDEX(Inputs!$K$5:$AJ$120,0,MATCH(L$2,Inputs!$K$4:$AJ$4,0)))+SUMPRODUCT((Inputs!$C$5:$C$120=$B24)*Inputs!$D$5:$D$120*(((Inputs!$G$5:$G$120="moeda")+(Inputs!$G$5:$G$120="acoes"))*Inputs!$B$1+((Inputs!$G$5:$G$120&lt;&gt;"moeda")*(Inputs!$G$5:$G$120&lt;&gt;"acoes")))*INDEX(Inputs!$K$5:$AJ$120,0,MATCH(L$2,Inputs!$K$4:$AJ$4,0)))+SUMPRODUCT((Inputs!$E$5:$E$120=$B24)*Inputs!$F$5:$F$120*(((Inputs!$G$5:$G$120="moeda")+(Inputs!$G$5:$G$120="acoes"))*Inputs!$B$1+((Inputs!$G$5:$G$120&lt;&gt;"moeda")*(Inputs!$G$5:$G$120&lt;&gt;"acoes")))*INDEX(Inputs!$K$5:$AJ$120,0,MATCH(L$2,Inputs!$K$4:$AJ$4,0)))))</f>
        <v>194</v>
      </c>
      <c r="M24" s="3">
        <f>L24</f>
        <v>194</v>
      </c>
      <c r="N24" s="6">
        <f>IF(ISNA(MATCH(N$2,Inputs!$K$4:$AJ$4,0)),NA(),IF(SUMPRODUCT((Inputs!$A$5:$A$120=$B24)*ISNUMBER(INDEX(Inputs!$K$5:$AJ$120,0,MATCH(N$2,Inputs!$K$4:$AJ$4,0))))+SUMPRODUCT((Inputs!$C$5:$C$120=$B24)*ISNUMBER(INDEX(Inputs!$K$5:$AJ$120,0,MATCH(N$2,Inputs!$K$4:$AJ$4,0))))+SUMPRODUCT((Inputs!$E$5:$E$120=$B24)*ISNUMBER(INDEX(Inputs!$K$5:$AJ$120,0,MATCH(N$2,Inputs!$K$4:$AJ$4,0))))=0,NA(),SUMPRODUCT((Inputs!$A$5:$A$120=$B24)*Inputs!$B$5:$B$120*(((Inputs!$G$5:$G$120="moeda")+(Inputs!$G$5:$G$120="acoes"))*Inputs!$B$1+((Inputs!$G$5:$G$120&lt;&gt;"moeda")*(Inputs!$G$5:$G$120&lt;&gt;"acoes")))*INDEX(Inputs!$K$5:$AJ$120,0,MATCH(N$2,Inputs!$K$4:$AJ$4,0)))+SUMPRODUCT((Inputs!$C$5:$C$120=$B24)*Inputs!$D$5:$D$120*(((Inputs!$G$5:$G$120="moeda")+(Inputs!$G$5:$G$120="acoes"))*Inputs!$B$1+((Inputs!$G$5:$G$120&lt;&gt;"moeda")*(Inputs!$G$5:$G$120&lt;&gt;"acoes")))*INDEX(Inputs!$K$5:$AJ$120,0,MATCH(N$2,Inputs!$K$4:$AJ$4,0)))+SUMPRODUCT((Inputs!$E$5:$E$120=$B24)*Inputs!$F$5:$F$120*(((Inputs!$G$5:$G$120="moeda")+(Inputs!$G$5:$G$120="acoes"))*Inputs!$B$1+((Inputs!$G$5:$G$120&lt;&gt;"moeda")*(Inputs!$G$5:$G$120&lt;&gt;"acoes")))*INDEX(Inputs!$K$5:$AJ$120,0,MATCH(N$2,Inputs!$K$4:$AJ$4,0)))))</f>
        <v>195</v>
      </c>
      <c r="O24" s="6">
        <f>IF(ISNA(MATCH(O$2,Inputs!$K$4:$AJ$4,0)),NA(),IF(SUMPRODUCT((Inputs!$A$5:$A$120=$B24)*ISNUMBER(INDEX(Inputs!$K$5:$AJ$120,0,MATCH(O$2,Inputs!$K$4:$AJ$4,0))))+SUMPRODUCT((Inputs!$C$5:$C$120=$B24)*ISNUMBER(INDEX(Inputs!$K$5:$AJ$120,0,MATCH(O$2,Inputs!$K$4:$AJ$4,0))))+SUMPRODUCT((Inputs!$E$5:$E$120=$B24)*ISNUMBER(INDEX(Inputs!$K$5:$AJ$120,0,MATCH(O$2,Inputs!$K$4:$AJ$4,0))))=0,NA(),SUMPRODUCT((Inputs!$A$5:$A$120=$B24)*Inputs!$B$5:$B$120*(((Inputs!$G$5:$G$120="moeda")+(Inputs!$G$5:$G$120="acoes"))*Inputs!$B$1+((Inputs!$G$5:$G$120&lt;&gt;"moeda")*(Inputs!$G$5:$G$120&lt;&gt;"acoes")))*INDEX(Inputs!$K$5:$AJ$120,0,MATCH(O$2,Inputs!$K$4:$AJ$4,0)))+SUMPRODUCT((Inputs!$C$5:$C$120=$B24)*Inputs!$D$5:$D$120*(((Inputs!$G$5:$G$120="moeda")+(Inputs!$G$5:$G$120="acoes"))*Inputs!$B$1+((Inputs!$G$5:$G$120&lt;&gt;"moeda")*(Inputs!$G$5:$G$120&lt;&gt;"acoes")))*INDEX(Inputs!$K$5:$AJ$120,0,MATCH(O$2,Inputs!$K$4:$AJ$4,0)))+SUMPRODUCT((Inputs!$E$5:$E$120=$B24)*Inputs!$F$5:$F$120*(((Inputs!$G$5:$G$120="moeda")+(Inputs!$G$5:$G$120="acoes"))*Inputs!$B$1+((Inputs!$G$5:$G$120&lt;&gt;"moeda")*(Inputs!$G$5:$G$120&lt;&gt;"acoes")))*INDEX(Inputs!$K$5:$AJ$120,0,MATCH(O$2,Inputs!$K$4:$AJ$4,0)))))</f>
        <v>263</v>
      </c>
      <c r="P24" s="6">
        <f>IF(ISNA(MATCH(P$2,Inputs!$K$4:$AJ$4,0)),NA(),IF(SUMPRODUCT((Inputs!$A$5:$A$120=$B24)*ISNUMBER(INDEX(Inputs!$K$5:$AJ$120,0,MATCH(P$2,Inputs!$K$4:$AJ$4,0))))+SUMPRODUCT((Inputs!$C$5:$C$120=$B24)*ISNUMBER(INDEX(Inputs!$K$5:$AJ$120,0,MATCH(P$2,Inputs!$K$4:$AJ$4,0))))+SUMPRODUCT((Inputs!$E$5:$E$120=$B24)*ISNUMBER(INDEX(Inputs!$K$5:$AJ$120,0,MATCH(P$2,Inputs!$K$4:$AJ$4,0))))=0,NA(),SUMPRODUCT((Inputs!$A$5:$A$120=$B24)*Inputs!$B$5:$B$120*(((Inputs!$G$5:$G$120="moeda")+(Inputs!$G$5:$G$120="acoes"))*Inputs!$B$1+((Inputs!$G$5:$G$120&lt;&gt;"moeda")*(Inputs!$G$5:$G$120&lt;&gt;"acoes")))*INDEX(Inputs!$K$5:$AJ$120,0,MATCH(P$2,Inputs!$K$4:$AJ$4,0)))+SUMPRODUCT((Inputs!$C$5:$C$120=$B24)*Inputs!$D$5:$D$120*(((Inputs!$G$5:$G$120="moeda")+(Inputs!$G$5:$G$120="acoes"))*Inputs!$B$1+((Inputs!$G$5:$G$120&lt;&gt;"moeda")*(Inputs!$G$5:$G$120&lt;&gt;"acoes")))*INDEX(Inputs!$K$5:$AJ$120,0,MATCH(P$2,Inputs!$K$4:$AJ$4,0)))+SUMPRODUCT((Inputs!$E$5:$E$120=$B24)*Inputs!$F$5:$F$120*(((Inputs!$G$5:$G$120="moeda")+(Inputs!$G$5:$G$120="acoes"))*Inputs!$B$1+((Inputs!$G$5:$G$120&lt;&gt;"moeda")*(Inputs!$G$5:$G$120&lt;&gt;"acoes")))*INDEX(Inputs!$K$5:$AJ$120,0,MATCH(P$2,Inputs!$K$4:$AJ$4,0)))))</f>
        <v>250</v>
      </c>
      <c r="Q24" s="6">
        <f>IF(ISNA(MATCH(Q$2,Inputs!$K$4:$AJ$4,0)),NA(),IF(SUMPRODUCT((Inputs!$A$5:$A$120=$B24)*ISNUMBER(INDEX(Inputs!$K$5:$AJ$120,0,MATCH(Q$2,Inputs!$K$4:$AJ$4,0))))+SUMPRODUCT((Inputs!$C$5:$C$120=$B24)*ISNUMBER(INDEX(Inputs!$K$5:$AJ$120,0,MATCH(Q$2,Inputs!$K$4:$AJ$4,0))))+SUMPRODUCT((Inputs!$E$5:$E$120=$B24)*ISNUMBER(INDEX(Inputs!$K$5:$AJ$120,0,MATCH(Q$2,Inputs!$K$4:$AJ$4,0))))=0,NA(),SUMPRODUCT((Inputs!$A$5:$A$120=$B24)*Inputs!$B$5:$B$120*(((Inputs!$G$5:$G$120="moeda")+(Inputs!$G$5:$G$120="acoes"))*Inputs!$B$1+((Inputs!$G$5:$G$120&lt;&gt;"moeda")*(Inputs!$G$5:$G$120&lt;&gt;"acoes")))*INDEX(Inputs!$K$5:$AJ$120,0,MATCH(Q$2,Inputs!$K$4:$AJ$4,0)))+SUMPRODUCT((Inputs!$C$5:$C$120=$B24)*Inputs!$D$5:$D$120*(((Inputs!$G$5:$G$120="moeda")+(Inputs!$G$5:$G$120="acoes"))*Inputs!$B$1+((Inputs!$G$5:$G$120&lt;&gt;"moeda")*(Inputs!$G$5:$G$120&lt;&gt;"acoes")))*INDEX(Inputs!$K$5:$AJ$120,0,MATCH(Q$2,Inputs!$K$4:$AJ$4,0)))+SUMPRODUCT((Inputs!$E$5:$E$120=$B24)*Inputs!$F$5:$F$120*(((Inputs!$G$5:$G$120="moeda")+(Inputs!$G$5:$G$120="acoes"))*Inputs!$B$1+((Inputs!$G$5:$G$120&lt;&gt;"moeda")*(Inputs!$G$5:$G$120&lt;&gt;"acoes")))*INDEX(Inputs!$K$5:$AJ$120,0,MATCH(Q$2,Inputs!$K$4:$AJ$4,0)))))</f>
        <v>253</v>
      </c>
      <c r="R24" s="3">
        <f>Q24</f>
        <v>253</v>
      </c>
      <c r="S24" s="6">
        <f>IF(ISNA(MATCH(S$2,Inputs!$K$4:$AJ$4,0)),NA(),IF(SUMPRODUCT((Inputs!$A$5:$A$120=$B24)*ISNUMBER(INDEX(Inputs!$K$5:$AJ$120,0,MATCH(S$2,Inputs!$K$4:$AJ$4,0))))+SUMPRODUCT((Inputs!$C$5:$C$120=$B24)*ISNUMBER(INDEX(Inputs!$K$5:$AJ$120,0,MATCH(S$2,Inputs!$K$4:$AJ$4,0))))+SUMPRODUCT((Inputs!$E$5:$E$120=$B24)*ISNUMBER(INDEX(Inputs!$K$5:$AJ$120,0,MATCH(S$2,Inputs!$K$4:$AJ$4,0))))=0,NA(),SUMPRODUCT((Inputs!$A$5:$A$120=$B24)*Inputs!$B$5:$B$120*(((Inputs!$G$5:$G$120="moeda")+(Inputs!$G$5:$G$120="acoes"))*Inputs!$B$1+((Inputs!$G$5:$G$120&lt;&gt;"moeda")*(Inputs!$G$5:$G$120&lt;&gt;"acoes")))*INDEX(Inputs!$K$5:$AJ$120,0,MATCH(S$2,Inputs!$K$4:$AJ$4,0)))+SUMPRODUCT((Inputs!$C$5:$C$120=$B24)*Inputs!$D$5:$D$120*(((Inputs!$G$5:$G$120="moeda")+(Inputs!$G$5:$G$120="acoes"))*Inputs!$B$1+((Inputs!$G$5:$G$120&lt;&gt;"moeda")*(Inputs!$G$5:$G$120&lt;&gt;"acoes")))*INDEX(Inputs!$K$5:$AJ$120,0,MATCH(S$2,Inputs!$K$4:$AJ$4,0)))+SUMPRODUCT((Inputs!$E$5:$E$120=$B24)*Inputs!$F$5:$F$120*(((Inputs!$G$5:$G$120="moeda")+(Inputs!$G$5:$G$120="acoes"))*Inputs!$B$1+((Inputs!$G$5:$G$120&lt;&gt;"moeda")*(Inputs!$G$5:$G$120&lt;&gt;"acoes")))*INDEX(Inputs!$K$5:$AJ$120,0,MATCH(S$2,Inputs!$K$4:$AJ$4,0)))))</f>
        <v>250</v>
      </c>
      <c r="T24" s="6">
        <f>IF(ISNA(MATCH(T$2,Inputs!$K$4:$AJ$4,0)),NA(),IF(SUMPRODUCT((Inputs!$A$5:$A$120=$B24)*ISNUMBER(INDEX(Inputs!$K$5:$AJ$120,0,MATCH(T$2,Inputs!$K$4:$AJ$4,0))))+SUMPRODUCT((Inputs!$C$5:$C$120=$B24)*ISNUMBER(INDEX(Inputs!$K$5:$AJ$120,0,MATCH(T$2,Inputs!$K$4:$AJ$4,0))))+SUMPRODUCT((Inputs!$E$5:$E$120=$B24)*ISNUMBER(INDEX(Inputs!$K$5:$AJ$120,0,MATCH(T$2,Inputs!$K$4:$AJ$4,0))))=0,NA(),SUMPRODUCT((Inputs!$A$5:$A$120=$B24)*Inputs!$B$5:$B$120*(((Inputs!$G$5:$G$120="moeda")+(Inputs!$G$5:$G$120="acoes"))*Inputs!$B$1+((Inputs!$G$5:$G$120&lt;&gt;"moeda")*(Inputs!$G$5:$G$120&lt;&gt;"acoes")))*INDEX(Inputs!$K$5:$AJ$120,0,MATCH(T$2,Inputs!$K$4:$AJ$4,0)))+SUMPRODUCT((Inputs!$C$5:$C$120=$B24)*Inputs!$D$5:$D$120*(((Inputs!$G$5:$G$120="moeda")+(Inputs!$G$5:$G$120="acoes"))*Inputs!$B$1+((Inputs!$G$5:$G$120&lt;&gt;"moeda")*(Inputs!$G$5:$G$120&lt;&gt;"acoes")))*INDEX(Inputs!$K$5:$AJ$120,0,MATCH(T$2,Inputs!$K$4:$AJ$4,0)))+SUMPRODUCT((Inputs!$E$5:$E$120=$B24)*Inputs!$F$5:$F$120*(((Inputs!$G$5:$G$120="moeda")+(Inputs!$G$5:$G$120="acoes"))*Inputs!$B$1+((Inputs!$G$5:$G$120&lt;&gt;"moeda")*(Inputs!$G$5:$G$120&lt;&gt;"acoes")))*INDEX(Inputs!$K$5:$AJ$120,0,MATCH(T$2,Inputs!$K$4:$AJ$4,0)))))</f>
        <v>249</v>
      </c>
      <c r="U24" s="6">
        <f>IF(ISNA(MATCH(U$2,Inputs!$K$4:$AJ$4,0)),NA(),IF(SUMPRODUCT((Inputs!$A$5:$A$120=$B24)*ISNUMBER(INDEX(Inputs!$K$5:$AJ$120,0,MATCH(U$2,Inputs!$K$4:$AJ$4,0))))+SUMPRODUCT((Inputs!$C$5:$C$120=$B24)*ISNUMBER(INDEX(Inputs!$K$5:$AJ$120,0,MATCH(U$2,Inputs!$K$4:$AJ$4,0))))+SUMPRODUCT((Inputs!$E$5:$E$120=$B24)*ISNUMBER(INDEX(Inputs!$K$5:$AJ$120,0,MATCH(U$2,Inputs!$K$4:$AJ$4,0))))=0,NA(),SUMPRODUCT((Inputs!$A$5:$A$120=$B24)*Inputs!$B$5:$B$120*(((Inputs!$G$5:$G$120="moeda")+(Inputs!$G$5:$G$120="acoes"))*Inputs!$B$1+((Inputs!$G$5:$G$120&lt;&gt;"moeda")*(Inputs!$G$5:$G$120&lt;&gt;"acoes")))*INDEX(Inputs!$K$5:$AJ$120,0,MATCH(U$2,Inputs!$K$4:$AJ$4,0)))+SUMPRODUCT((Inputs!$C$5:$C$120=$B24)*Inputs!$D$5:$D$120*(((Inputs!$G$5:$G$120="moeda")+(Inputs!$G$5:$G$120="acoes"))*Inputs!$B$1+((Inputs!$G$5:$G$120&lt;&gt;"moeda")*(Inputs!$G$5:$G$120&lt;&gt;"acoes")))*INDEX(Inputs!$K$5:$AJ$120,0,MATCH(U$2,Inputs!$K$4:$AJ$4,0)))+SUMPRODUCT((Inputs!$E$5:$E$120=$B24)*Inputs!$F$5:$F$120*(((Inputs!$G$5:$G$120="moeda")+(Inputs!$G$5:$G$120="acoes"))*Inputs!$B$1+((Inputs!$G$5:$G$120&lt;&gt;"moeda")*(Inputs!$G$5:$G$120&lt;&gt;"acoes")))*INDEX(Inputs!$K$5:$AJ$120,0,MATCH(U$2,Inputs!$K$4:$AJ$4,0)))))</f>
        <v>253</v>
      </c>
      <c r="V24" s="6">
        <f>IF(ISNA(MATCH(V$2,Inputs!$K$4:$AJ$4,0)),NA(),IF(SUMPRODUCT((Inputs!$A$5:$A$120=$B24)*ISNUMBER(INDEX(Inputs!$K$5:$AJ$120,0,MATCH(V$2,Inputs!$K$4:$AJ$4,0))))+SUMPRODUCT((Inputs!$C$5:$C$120=$B24)*ISNUMBER(INDEX(Inputs!$K$5:$AJ$120,0,MATCH(V$2,Inputs!$K$4:$AJ$4,0))))+SUMPRODUCT((Inputs!$E$5:$E$120=$B24)*ISNUMBER(INDEX(Inputs!$K$5:$AJ$120,0,MATCH(V$2,Inputs!$K$4:$AJ$4,0))))=0,NA(),SUMPRODUCT((Inputs!$A$5:$A$120=$B24)*Inputs!$B$5:$B$120*(((Inputs!$G$5:$G$120="moeda")+(Inputs!$G$5:$G$120="acoes"))*Inputs!$B$1+((Inputs!$G$5:$G$120&lt;&gt;"moeda")*(Inputs!$G$5:$G$120&lt;&gt;"acoes")))*INDEX(Inputs!$K$5:$AJ$120,0,MATCH(V$2,Inputs!$K$4:$AJ$4,0)))+SUMPRODUCT((Inputs!$C$5:$C$120=$B24)*Inputs!$D$5:$D$120*(((Inputs!$G$5:$G$120="moeda")+(Inputs!$G$5:$G$120="acoes"))*Inputs!$B$1+((Inputs!$G$5:$G$120&lt;&gt;"moeda")*(Inputs!$G$5:$G$120&lt;&gt;"acoes")))*INDEX(Inputs!$K$5:$AJ$120,0,MATCH(V$2,Inputs!$K$4:$AJ$4,0)))+SUMPRODUCT((Inputs!$E$5:$E$120=$B24)*Inputs!$F$5:$F$120*(((Inputs!$G$5:$G$120="moeda")+(Inputs!$G$5:$G$120="acoes"))*Inputs!$B$1+((Inputs!$G$5:$G$120&lt;&gt;"moeda")*(Inputs!$G$5:$G$120&lt;&gt;"acoes")))*INDEX(Inputs!$K$5:$AJ$120,0,MATCH(V$2,Inputs!$K$4:$AJ$4,0)))))</f>
        <v>244</v>
      </c>
      <c r="W24" s="3">
        <f>V24</f>
        <v>244</v>
      </c>
      <c r="X24" s="6">
        <f>IF(ISNA(MATCH(X$2,Inputs!$K$4:$AJ$4,0)),NA(),IF(SUMPRODUCT((Inputs!$A$5:$A$120=$B24)*ISNUMBER(INDEX(Inputs!$K$5:$AJ$120,0,MATCH(X$2,Inputs!$K$4:$AJ$4,0))))+SUMPRODUCT((Inputs!$C$5:$C$120=$B24)*ISNUMBER(INDEX(Inputs!$K$5:$AJ$120,0,MATCH(X$2,Inputs!$K$4:$AJ$4,0))))+SUMPRODUCT((Inputs!$E$5:$E$120=$B24)*ISNUMBER(INDEX(Inputs!$K$5:$AJ$120,0,MATCH(X$2,Inputs!$K$4:$AJ$4,0))))=0,NA(),SUMPRODUCT((Inputs!$A$5:$A$120=$B24)*Inputs!$B$5:$B$120*(((Inputs!$G$5:$G$120="moeda")+(Inputs!$G$5:$G$120="acoes"))*Inputs!$B$1+((Inputs!$G$5:$G$120&lt;&gt;"moeda")*(Inputs!$G$5:$G$120&lt;&gt;"acoes")))*INDEX(Inputs!$K$5:$AJ$120,0,MATCH(X$2,Inputs!$K$4:$AJ$4,0)))+SUMPRODUCT((Inputs!$C$5:$C$120=$B24)*Inputs!$D$5:$D$120*(((Inputs!$G$5:$G$120="moeda")+(Inputs!$G$5:$G$120="acoes"))*Inputs!$B$1+((Inputs!$G$5:$G$120&lt;&gt;"moeda")*(Inputs!$G$5:$G$120&lt;&gt;"acoes")))*INDEX(Inputs!$K$5:$AJ$120,0,MATCH(X$2,Inputs!$K$4:$AJ$4,0)))+SUMPRODUCT((Inputs!$E$5:$E$120=$B24)*Inputs!$F$5:$F$120*(((Inputs!$G$5:$G$120="moeda")+(Inputs!$G$5:$G$120="acoes"))*Inputs!$B$1+((Inputs!$G$5:$G$120&lt;&gt;"moeda")*(Inputs!$G$5:$G$120&lt;&gt;"acoes")))*INDEX(Inputs!$K$5:$AJ$120,0,MATCH(X$2,Inputs!$K$4:$AJ$4,0)))))</f>
        <v>248</v>
      </c>
      <c r="Y24" s="6">
        <f>IF(ISNA(MATCH(Y$2,Inputs!$K$4:$AJ$4,0)),NA(),IF(SUMPRODUCT((Inputs!$A$5:$A$120=$B24)*ISNUMBER(INDEX(Inputs!$K$5:$AJ$120,0,MATCH(Y$2,Inputs!$K$4:$AJ$4,0))))+SUMPRODUCT((Inputs!$C$5:$C$120=$B24)*ISNUMBER(INDEX(Inputs!$K$5:$AJ$120,0,MATCH(Y$2,Inputs!$K$4:$AJ$4,0))))+SUMPRODUCT((Inputs!$E$5:$E$120=$B24)*ISNUMBER(INDEX(Inputs!$K$5:$AJ$120,0,MATCH(Y$2,Inputs!$K$4:$AJ$4,0))))=0,NA(),SUMPRODUCT((Inputs!$A$5:$A$120=$B24)*Inputs!$B$5:$B$120*(((Inputs!$G$5:$G$120="moeda")+(Inputs!$G$5:$G$120="acoes"))*Inputs!$B$1+((Inputs!$G$5:$G$120&lt;&gt;"moeda")*(Inputs!$G$5:$G$120&lt;&gt;"acoes")))*INDEX(Inputs!$K$5:$AJ$120,0,MATCH(Y$2,Inputs!$K$4:$AJ$4,0)))+SUMPRODUCT((Inputs!$C$5:$C$120=$B24)*Inputs!$D$5:$D$120*(((Inputs!$G$5:$G$120="moeda")+(Inputs!$G$5:$G$120="acoes"))*Inputs!$B$1+((Inputs!$G$5:$G$120&lt;&gt;"moeda")*(Inputs!$G$5:$G$120&lt;&gt;"acoes")))*INDEX(Inputs!$K$5:$AJ$120,0,MATCH(Y$2,Inputs!$K$4:$AJ$4,0)))+SUMPRODUCT((Inputs!$E$5:$E$120=$B24)*Inputs!$F$5:$F$120*(((Inputs!$G$5:$G$120="moeda")+(Inputs!$G$5:$G$120="acoes"))*Inputs!$B$1+((Inputs!$G$5:$G$120&lt;&gt;"moeda")*(Inputs!$G$5:$G$120&lt;&gt;"acoes")))*INDEX(Inputs!$K$5:$AJ$120,0,MATCH(Y$2,Inputs!$K$4:$AJ$4,0)))))</f>
        <v>258</v>
      </c>
      <c r="Z24" s="6">
        <f>IF(ISNA(MATCH(Z$2,Inputs!$K$4:$AJ$4,0)),NA(),IF(SUMPRODUCT((Inputs!$A$5:$A$120=$B24)*ISNUMBER(INDEX(Inputs!$K$5:$AJ$120,0,MATCH(Z$2,Inputs!$K$4:$AJ$4,0))))+SUMPRODUCT((Inputs!$C$5:$C$120=$B24)*ISNUMBER(INDEX(Inputs!$K$5:$AJ$120,0,MATCH(Z$2,Inputs!$K$4:$AJ$4,0))))+SUMPRODUCT((Inputs!$E$5:$E$120=$B24)*ISNUMBER(INDEX(Inputs!$K$5:$AJ$120,0,MATCH(Z$2,Inputs!$K$4:$AJ$4,0))))=0,NA(),SUMPRODUCT((Inputs!$A$5:$A$120=$B24)*Inputs!$B$5:$B$120*(((Inputs!$G$5:$G$120="moeda")+(Inputs!$G$5:$G$120="acoes"))*Inputs!$B$1+((Inputs!$G$5:$G$120&lt;&gt;"moeda")*(Inputs!$G$5:$G$120&lt;&gt;"acoes")))*INDEX(Inputs!$K$5:$AJ$120,0,MATCH(Z$2,Inputs!$K$4:$AJ$4,0)))+SUMPRODUCT((Inputs!$C$5:$C$120=$B24)*Inputs!$D$5:$D$120*(((Inputs!$G$5:$G$120="moeda")+(Inputs!$G$5:$G$120="acoes"))*Inputs!$B$1+((Inputs!$G$5:$G$120&lt;&gt;"moeda")*(Inputs!$G$5:$G$120&lt;&gt;"acoes")))*INDEX(Inputs!$K$5:$AJ$120,0,MATCH(Z$2,Inputs!$K$4:$AJ$4,0)))+SUMPRODUCT((Inputs!$E$5:$E$120=$B24)*Inputs!$F$5:$F$120*(((Inputs!$G$5:$G$120="moeda")+(Inputs!$G$5:$G$120="acoes"))*Inputs!$B$1+((Inputs!$G$5:$G$120&lt;&gt;"moeda")*(Inputs!$G$5:$G$120&lt;&gt;"acoes")))*INDEX(Inputs!$K$5:$AJ$120,0,MATCH(Z$2,Inputs!$K$4:$AJ$4,0)))))</f>
        <v>257</v>
      </c>
      <c r="AA24" s="6">
        <f>IF(ISNA(MATCH(AA$2,Inputs!$K$4:$AJ$4,0)),NA(),IF(SUMPRODUCT((Inputs!$A$5:$A$120=$B24)*ISNUMBER(INDEX(Inputs!$K$5:$AJ$120,0,MATCH(AA$2,Inputs!$K$4:$AJ$4,0))))+SUMPRODUCT((Inputs!$C$5:$C$120=$B24)*ISNUMBER(INDEX(Inputs!$K$5:$AJ$120,0,MATCH(AA$2,Inputs!$K$4:$AJ$4,0))))+SUMPRODUCT((Inputs!$E$5:$E$120=$B24)*ISNUMBER(INDEX(Inputs!$K$5:$AJ$120,0,MATCH(AA$2,Inputs!$K$4:$AJ$4,0))))=0,NA(),SUMPRODUCT((Inputs!$A$5:$A$120=$B24)*Inputs!$B$5:$B$120*(((Inputs!$G$5:$G$120="moeda")+(Inputs!$G$5:$G$120="acoes"))*Inputs!$B$1+((Inputs!$G$5:$G$120&lt;&gt;"moeda")*(Inputs!$G$5:$G$120&lt;&gt;"acoes")))*INDEX(Inputs!$K$5:$AJ$120,0,MATCH(AA$2,Inputs!$K$4:$AJ$4,0)))+SUMPRODUCT((Inputs!$C$5:$C$120=$B24)*Inputs!$D$5:$D$120*(((Inputs!$G$5:$G$120="moeda")+(Inputs!$G$5:$G$120="acoes"))*Inputs!$B$1+((Inputs!$G$5:$G$120&lt;&gt;"moeda")*(Inputs!$G$5:$G$120&lt;&gt;"acoes")))*INDEX(Inputs!$K$5:$AJ$120,0,MATCH(AA$2,Inputs!$K$4:$AJ$4,0)))+SUMPRODUCT((Inputs!$E$5:$E$120=$B24)*Inputs!$F$5:$F$120*(((Inputs!$G$5:$G$120="moeda")+(Inputs!$G$5:$G$120="acoes"))*Inputs!$B$1+((Inputs!$G$5:$G$120&lt;&gt;"moeda")*(Inputs!$G$5:$G$120&lt;&gt;"acoes")))*INDEX(Inputs!$K$5:$AJ$120,0,MATCH(AA$2,Inputs!$K$4:$AJ$4,0)))))</f>
        <v>0</v>
      </c>
      <c r="AB24" s="3">
        <f>AA24</f>
        <v>0</v>
      </c>
      <c r="AC24" s="6">
        <f>IF(ISNA(MATCH(AC$2,Inputs!$K$4:$AJ$4,0)),NA(),IF(SUMPRODUCT((Inputs!$A$5:$A$120=$B24)*ISNUMBER(INDEX(Inputs!$K$5:$AJ$120,0,MATCH(AC$2,Inputs!$K$4:$AJ$4,0))))+SUMPRODUCT((Inputs!$C$5:$C$120=$B24)*ISNUMBER(INDEX(Inputs!$K$5:$AJ$120,0,MATCH(AC$2,Inputs!$K$4:$AJ$4,0))))+SUMPRODUCT((Inputs!$E$5:$E$120=$B24)*ISNUMBER(INDEX(Inputs!$K$5:$AJ$120,0,MATCH(AC$2,Inputs!$K$4:$AJ$4,0))))=0,NA(),SUMPRODUCT((Inputs!$A$5:$A$120=$B24)*Inputs!$B$5:$B$120*(((Inputs!$G$5:$G$120="moeda")+(Inputs!$G$5:$G$120="acoes"))*Inputs!$B$1+((Inputs!$G$5:$G$120&lt;&gt;"moeda")*(Inputs!$G$5:$G$120&lt;&gt;"acoes")))*INDEX(Inputs!$K$5:$AJ$120,0,MATCH(AC$2,Inputs!$K$4:$AJ$4,0)))+SUMPRODUCT((Inputs!$C$5:$C$120=$B24)*Inputs!$D$5:$D$120*(((Inputs!$G$5:$G$120="moeda")+(Inputs!$G$5:$G$120="acoes"))*Inputs!$B$1+((Inputs!$G$5:$G$120&lt;&gt;"moeda")*(Inputs!$G$5:$G$120&lt;&gt;"acoes")))*INDEX(Inputs!$K$5:$AJ$120,0,MATCH(AC$2,Inputs!$K$4:$AJ$4,0)))+SUMPRODUCT((Inputs!$E$5:$E$120=$B24)*Inputs!$F$5:$F$120*(((Inputs!$G$5:$G$120="moeda")+(Inputs!$G$5:$G$120="acoes"))*Inputs!$B$1+((Inputs!$G$5:$G$120&lt;&gt;"moeda")*(Inputs!$G$5:$G$120&lt;&gt;"acoes")))*INDEX(Inputs!$K$5:$AJ$120,0,MATCH(AC$2,Inputs!$K$4:$AJ$4,0)))))</f>
        <v>0</v>
      </c>
      <c r="AD24" s="6">
        <f>IF(ISNA(MATCH(AD$2,Inputs!$K$4:$AJ$4,0)),NA(),IF(SUMPRODUCT((Inputs!$A$5:$A$120=$B24)*ISNUMBER(INDEX(Inputs!$K$5:$AJ$120,0,MATCH(AD$2,Inputs!$K$4:$AJ$4,0))))+SUMPRODUCT((Inputs!$C$5:$C$120=$B24)*ISNUMBER(INDEX(Inputs!$K$5:$AJ$120,0,MATCH(AD$2,Inputs!$K$4:$AJ$4,0))))+SUMPRODUCT((Inputs!$E$5:$E$120=$B24)*ISNUMBER(INDEX(Inputs!$K$5:$AJ$120,0,MATCH(AD$2,Inputs!$K$4:$AJ$4,0))))=0,NA(),SUMPRODUCT((Inputs!$A$5:$A$120=$B24)*Inputs!$B$5:$B$120*(((Inputs!$G$5:$G$120="moeda")+(Inputs!$G$5:$G$120="acoes"))*Inputs!$B$1+((Inputs!$G$5:$G$120&lt;&gt;"moeda")*(Inputs!$G$5:$G$120&lt;&gt;"acoes")))*INDEX(Inputs!$K$5:$AJ$120,0,MATCH(AD$2,Inputs!$K$4:$AJ$4,0)))+SUMPRODUCT((Inputs!$C$5:$C$120=$B24)*Inputs!$D$5:$D$120*(((Inputs!$G$5:$G$120="moeda")+(Inputs!$G$5:$G$120="acoes"))*Inputs!$B$1+((Inputs!$G$5:$G$120&lt;&gt;"moeda")*(Inputs!$G$5:$G$120&lt;&gt;"acoes")))*INDEX(Inputs!$K$5:$AJ$120,0,MATCH(AD$2,Inputs!$K$4:$AJ$4,0)))+SUMPRODUCT((Inputs!$E$5:$E$120=$B24)*Inputs!$F$5:$F$120*(((Inputs!$G$5:$G$120="moeda")+(Inputs!$G$5:$G$120="acoes"))*Inputs!$B$1+((Inputs!$G$5:$G$120&lt;&gt;"moeda")*(Inputs!$G$5:$G$120&lt;&gt;"acoes")))*INDEX(Inputs!$K$5:$AJ$120,0,MATCH(AD$2,Inputs!$K$4:$AJ$4,0)))))</f>
        <v>0</v>
      </c>
      <c r="AE24" s="6" t="e">
        <f>IF(ISNA(MATCH(AE$2,Inputs!$K$4:$AJ$4,0)),NA(),IF(SUMPRODUCT((Inputs!$A$5:$A$120=$B24)*ISNUMBER(INDEX(Inputs!$K$5:$AJ$120,0,MATCH(AE$2,Inputs!$K$4:$AJ$4,0))))+SUMPRODUCT((Inputs!$C$5:$C$120=$B24)*ISNUMBER(INDEX(Inputs!$K$5:$AJ$120,0,MATCH(AE$2,Inputs!$K$4:$AJ$4,0))))+SUMPRODUCT((Inputs!$E$5:$E$120=$B24)*ISNUMBER(INDEX(Inputs!$K$5:$AJ$120,0,MATCH(AE$2,Inputs!$K$4:$AJ$4,0))))=0,NA(),SUMPRODUCT((Inputs!$A$5:$A$120=$B24)*Inputs!$B$5:$B$120*(((Inputs!$G$5:$G$120="moeda")+(Inputs!$G$5:$G$120="acoes"))*Inputs!$B$1+((Inputs!$G$5:$G$120&lt;&gt;"moeda")*(Inputs!$G$5:$G$120&lt;&gt;"acoes")))*INDEX(Inputs!$K$5:$AJ$120,0,MATCH(AE$2,Inputs!$K$4:$AJ$4,0)))+SUMPRODUCT((Inputs!$C$5:$C$120=$B24)*Inputs!$D$5:$D$120*(((Inputs!$G$5:$G$120="moeda")+(Inputs!$G$5:$G$120="acoes"))*Inputs!$B$1+((Inputs!$G$5:$G$120&lt;&gt;"moeda")*(Inputs!$G$5:$G$120&lt;&gt;"acoes")))*INDEX(Inputs!$K$5:$AJ$120,0,MATCH(AE$2,Inputs!$K$4:$AJ$4,0)))+SUMPRODUCT((Inputs!$E$5:$E$120=$B24)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24" s="6" t="e">
        <f>IF(ISNA(MATCH(AF$2,Inputs!$K$4:$AJ$4,0)),NA(),IF(SUMPRODUCT((Inputs!$A$5:$A$120=$B24)*ISNUMBER(INDEX(Inputs!$K$5:$AJ$120,0,MATCH(AF$2,Inputs!$K$4:$AJ$4,0))))+SUMPRODUCT((Inputs!$C$5:$C$120=$B24)*ISNUMBER(INDEX(Inputs!$K$5:$AJ$120,0,MATCH(AF$2,Inputs!$K$4:$AJ$4,0))))+SUMPRODUCT((Inputs!$E$5:$E$120=$B24)*ISNUMBER(INDEX(Inputs!$K$5:$AJ$120,0,MATCH(AF$2,Inputs!$K$4:$AJ$4,0))))=0,NA(),SUMPRODUCT((Inputs!$A$5:$A$120=$B24)*Inputs!$B$5:$B$120*(((Inputs!$G$5:$G$120="moeda")+(Inputs!$G$5:$G$120="acoes"))*Inputs!$B$1+((Inputs!$G$5:$G$120&lt;&gt;"moeda")*(Inputs!$G$5:$G$120&lt;&gt;"acoes")))*INDEX(Inputs!$K$5:$AJ$120,0,MATCH(AF$2,Inputs!$K$4:$AJ$4,0)))+SUMPRODUCT((Inputs!$C$5:$C$120=$B24)*Inputs!$D$5:$D$120*(((Inputs!$G$5:$G$120="moeda")+(Inputs!$G$5:$G$120="acoes"))*Inputs!$B$1+((Inputs!$G$5:$G$120&lt;&gt;"moeda")*(Inputs!$G$5:$G$120&lt;&gt;"acoes")))*INDEX(Inputs!$K$5:$AJ$120,0,MATCH(AF$2,Inputs!$K$4:$AJ$4,0)))+SUMPRODUCT((Inputs!$E$5:$E$120=$B24)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24" s="3" t="e">
        <f>AF24</f>
        <v>#N/A</v>
      </c>
      <c r="AH24" s="6">
        <f>IF(ISNA(MATCH(AH$2,Inputs!$K$4:$AJ$4,0)),NA(),IF(SUMPRODUCT((Inputs!$A$5:$A$120=$B24)*ISNUMBER(INDEX(Inputs!$K$5:$AJ$120,0,MATCH(AH$2,Inputs!$K$4:$AJ$4,0))))+SUMPRODUCT((Inputs!$C$5:$C$120=$B24)*ISNUMBER(INDEX(Inputs!$K$5:$AJ$120,0,MATCH(AH$2,Inputs!$K$4:$AJ$4,0))))+SUMPRODUCT((Inputs!$E$5:$E$120=$B24)*ISNUMBER(INDEX(Inputs!$K$5:$AJ$120,0,MATCH(AH$2,Inputs!$K$4:$AJ$4,0))))=0,NA(),SUMPRODUCT((Inputs!$A$5:$A$120=$B24)*Inputs!$B$5:$B$120*(((Inputs!$G$5:$G$120="moeda")+(Inputs!$G$5:$G$120="acoes"))*Inputs!$B$1+((Inputs!$G$5:$G$120&lt;&gt;"moeda")*(Inputs!$G$5:$G$120&lt;&gt;"acoes")))*INDEX(Inputs!$K$5:$AJ$120,0,MATCH(AH$2,Inputs!$K$4:$AJ$4,0)))+SUMPRODUCT((Inputs!$C$5:$C$120=$B24)*Inputs!$D$5:$D$120*(((Inputs!$G$5:$G$120="moeda")+(Inputs!$G$5:$G$120="acoes"))*Inputs!$B$1+((Inputs!$G$5:$G$120&lt;&gt;"moeda")*(Inputs!$G$5:$G$120&lt;&gt;"acoes")))*INDEX(Inputs!$K$5:$AJ$120,0,MATCH(AH$2,Inputs!$K$4:$AJ$4,0)))+SUMPRODUCT((Inputs!$E$5:$E$120=$B24)*Inputs!$F$5:$F$120*(((Inputs!$G$5:$G$120="moeda")+(Inputs!$G$5:$G$120="acoes"))*Inputs!$B$1+((Inputs!$G$5:$G$120&lt;&gt;"moeda")*(Inputs!$G$5:$G$120&lt;&gt;"acoes")))*INDEX(Inputs!$K$5:$AJ$120,0,MATCH(AH$2,Inputs!$K$4:$AJ$4,0)))))</f>
        <v>193</v>
      </c>
      <c r="AI24" s="6">
        <f>IF(ISNA(MATCH(AI$2,Inputs!$K$4:$AJ$4,0)),NA(),IF(SUMPRODUCT((Inputs!$A$5:$A$120=$B24)*ISNUMBER(INDEX(Inputs!$K$5:$AJ$120,0,MATCH(AI$2,Inputs!$K$4:$AJ$4,0))))+SUMPRODUCT((Inputs!$C$5:$C$120=$B24)*ISNUMBER(INDEX(Inputs!$K$5:$AJ$120,0,MATCH(AI$2,Inputs!$K$4:$AJ$4,0))))+SUMPRODUCT((Inputs!$E$5:$E$120=$B24)*ISNUMBER(INDEX(Inputs!$K$5:$AJ$120,0,MATCH(AI$2,Inputs!$K$4:$AJ$4,0))))=0,NA(),SUMPRODUCT((Inputs!$A$5:$A$120=$B24)*Inputs!$B$5:$B$120*(((Inputs!$G$5:$G$120="moeda")+(Inputs!$G$5:$G$120="acoes"))*Inputs!$B$1+((Inputs!$G$5:$G$120&lt;&gt;"moeda")*(Inputs!$G$5:$G$120&lt;&gt;"acoes")))*INDEX(Inputs!$K$5:$AJ$120,0,MATCH(AI$2,Inputs!$K$4:$AJ$4,0)))+SUMPRODUCT((Inputs!$C$5:$C$120=$B24)*Inputs!$D$5:$D$120*(((Inputs!$G$5:$G$120="moeda")+(Inputs!$G$5:$G$120="acoes"))*Inputs!$B$1+((Inputs!$G$5:$G$120&lt;&gt;"moeda")*(Inputs!$G$5:$G$120&lt;&gt;"acoes")))*INDEX(Inputs!$K$5:$AJ$120,0,MATCH(AI$2,Inputs!$K$4:$AJ$4,0)))+SUMPRODUCT((Inputs!$E$5:$E$120=$B24)*Inputs!$F$5:$F$120*(((Inputs!$G$5:$G$120="moeda")+(Inputs!$G$5:$G$120="acoes"))*Inputs!$B$1+((Inputs!$G$5:$G$120&lt;&gt;"moeda")*(Inputs!$G$5:$G$120&lt;&gt;"acoes")))*INDEX(Inputs!$K$5:$AJ$120,0,MATCH(AI$2,Inputs!$K$4:$AJ$4,0)))))</f>
        <v>196</v>
      </c>
      <c r="AJ24" s="6">
        <f>IF(ISNA(MATCH(AJ$2,Inputs!$K$4:$AJ$4,0)),NA(),IF(SUMPRODUCT((Inputs!$A$5:$A$120=$B24)*ISNUMBER(INDEX(Inputs!$K$5:$AJ$120,0,MATCH(AJ$2,Inputs!$K$4:$AJ$4,0))))+SUMPRODUCT((Inputs!$C$5:$C$120=$B24)*ISNUMBER(INDEX(Inputs!$K$5:$AJ$120,0,MATCH(AJ$2,Inputs!$K$4:$AJ$4,0))))+SUMPRODUCT((Inputs!$E$5:$E$120=$B24)*ISNUMBER(INDEX(Inputs!$K$5:$AJ$120,0,MATCH(AJ$2,Inputs!$K$4:$AJ$4,0))))=0,NA(),SUMPRODUCT((Inputs!$A$5:$A$120=$B24)*Inputs!$B$5:$B$120*(((Inputs!$G$5:$G$120="moeda")+(Inputs!$G$5:$G$120="acoes"))*Inputs!$B$1+((Inputs!$G$5:$G$120&lt;&gt;"moeda")*(Inputs!$G$5:$G$120&lt;&gt;"acoes")))*INDEX(Inputs!$K$5:$AJ$120,0,MATCH(AJ$2,Inputs!$K$4:$AJ$4,0)))+SUMPRODUCT((Inputs!$C$5:$C$120=$B24)*Inputs!$D$5:$D$120*(((Inputs!$G$5:$G$120="moeda")+(Inputs!$G$5:$G$120="acoes"))*Inputs!$B$1+((Inputs!$G$5:$G$120&lt;&gt;"moeda")*(Inputs!$G$5:$G$120&lt;&gt;"acoes")))*INDEX(Inputs!$K$5:$AJ$120,0,MATCH(AJ$2,Inputs!$K$4:$AJ$4,0)))+SUMPRODUCT((Inputs!$E$5:$E$120=$B24)*Inputs!$F$5:$F$120*(((Inputs!$G$5:$G$120="moeda")+(Inputs!$G$5:$G$120="acoes"))*Inputs!$B$1+((Inputs!$G$5:$G$120&lt;&gt;"moeda")*(Inputs!$G$5:$G$120&lt;&gt;"acoes")))*INDEX(Inputs!$K$5:$AJ$120,0,MATCH(AJ$2,Inputs!$K$4:$AJ$4,0)))))</f>
        <v>203</v>
      </c>
      <c r="AK24" s="6">
        <f>IF(ISNA(MATCH(AK$2,Inputs!$K$4:$AJ$4,0)),NA(),IF(SUMPRODUCT((Inputs!$A$5:$A$120=$B24)*ISNUMBER(INDEX(Inputs!$K$5:$AJ$120,0,MATCH(AK$2,Inputs!$K$4:$AJ$4,0))))+SUMPRODUCT((Inputs!$C$5:$C$120=$B24)*ISNUMBER(INDEX(Inputs!$K$5:$AJ$120,0,MATCH(AK$2,Inputs!$K$4:$AJ$4,0))))+SUMPRODUCT((Inputs!$E$5:$E$120=$B24)*ISNUMBER(INDEX(Inputs!$K$5:$AJ$120,0,MATCH(AK$2,Inputs!$K$4:$AJ$4,0))))=0,NA(),SUMPRODUCT((Inputs!$A$5:$A$120=$B24)*Inputs!$B$5:$B$120*(((Inputs!$G$5:$G$120="moeda")+(Inputs!$G$5:$G$120="acoes"))*Inputs!$B$1+((Inputs!$G$5:$G$120&lt;&gt;"moeda")*(Inputs!$G$5:$G$120&lt;&gt;"acoes")))*INDEX(Inputs!$K$5:$AJ$120,0,MATCH(AK$2,Inputs!$K$4:$AJ$4,0)))+SUMPRODUCT((Inputs!$C$5:$C$120=$B24)*Inputs!$D$5:$D$120*(((Inputs!$G$5:$G$120="moeda")+(Inputs!$G$5:$G$120="acoes"))*Inputs!$B$1+((Inputs!$G$5:$G$120&lt;&gt;"moeda")*(Inputs!$G$5:$G$120&lt;&gt;"acoes")))*INDEX(Inputs!$K$5:$AJ$120,0,MATCH(AK$2,Inputs!$K$4:$AJ$4,0)))+SUMPRODUCT((Inputs!$E$5:$E$120=$B24)*Inputs!$F$5:$F$120*(((Inputs!$G$5:$G$120="moeda")+(Inputs!$G$5:$G$120="acoes"))*Inputs!$B$1+((Inputs!$G$5:$G$120&lt;&gt;"moeda")*(Inputs!$G$5:$G$120&lt;&gt;"acoes")))*INDEX(Inputs!$K$5:$AJ$120,0,MATCH(AK$2,Inputs!$K$4:$AJ$4,0)))))</f>
        <v>207</v>
      </c>
      <c r="AL24" s="3">
        <f>AK24</f>
        <v>207</v>
      </c>
    </row>
    <row r="25">
      <c r="B25" s="46" t="n">
        <v>21</v>
      </c>
      <c r="C25" s="26" t="inlineStr">
        <is>
          <t>Intangibles</t>
        </is>
      </c>
      <c r="D25" s="6">
        <f>IF(ISNA(MATCH(D$2,Inputs!$K$4:$AJ$4,0)),NA(),IF(SUMPRODUCT((Inputs!$A$5:$A$120=$B25)*ISNUMBER(INDEX(Inputs!$K$5:$AJ$120,0,MATCH(D$2,Inputs!$K$4:$AJ$4,0))))+SUMPRODUCT((Inputs!$C$5:$C$120=$B25)*ISNUMBER(INDEX(Inputs!$K$5:$AJ$120,0,MATCH(D$2,Inputs!$K$4:$AJ$4,0))))+SUMPRODUCT((Inputs!$E$5:$E$120=$B25)*ISNUMBER(INDEX(Inputs!$K$5:$AJ$120,0,MATCH(D$2,Inputs!$K$4:$AJ$4,0))))=0,NA(),SUMPRODUCT((Inputs!$A$5:$A$120=$B25)*Inputs!$B$5:$B$120*(((Inputs!$G$5:$G$120="moeda")+(Inputs!$G$5:$G$120="acoes"))*Inputs!$B$1+((Inputs!$G$5:$G$120&lt;&gt;"moeda")*(Inputs!$G$5:$G$120&lt;&gt;"acoes")))*INDEX(Inputs!$K$5:$AJ$120,0,MATCH(D$2,Inputs!$K$4:$AJ$4,0)))+SUMPRODUCT((Inputs!$C$5:$C$120=$B25)*Inputs!$D$5:$D$120*(((Inputs!$G$5:$G$120="moeda")+(Inputs!$G$5:$G$120="acoes"))*Inputs!$B$1+((Inputs!$G$5:$G$120&lt;&gt;"moeda")*(Inputs!$G$5:$G$120&lt;&gt;"acoes")))*INDEX(Inputs!$K$5:$AJ$120,0,MATCH(D$2,Inputs!$K$4:$AJ$4,0)))+SUMPRODUCT((Inputs!$E$5:$E$120=$B25)*Inputs!$F$5:$F$120*(((Inputs!$G$5:$G$120="moeda")+(Inputs!$G$5:$G$120="acoes"))*Inputs!$B$1+((Inputs!$G$5:$G$120&lt;&gt;"moeda")*(Inputs!$G$5:$G$120&lt;&gt;"acoes")))*INDEX(Inputs!$K$5:$AJ$120,0,MATCH(D$2,Inputs!$K$4:$AJ$4,0)))))</f>
        <v>299</v>
      </c>
      <c r="E25" s="6">
        <f>IF(ISNA(MATCH(E$2,Inputs!$K$4:$AJ$4,0)),NA(),IF(SUMPRODUCT((Inputs!$A$5:$A$120=$B25)*ISNUMBER(INDEX(Inputs!$K$5:$AJ$120,0,MATCH(E$2,Inputs!$K$4:$AJ$4,0))))+SUMPRODUCT((Inputs!$C$5:$C$120=$B25)*ISNUMBER(INDEX(Inputs!$K$5:$AJ$120,0,MATCH(E$2,Inputs!$K$4:$AJ$4,0))))+SUMPRODUCT((Inputs!$E$5:$E$120=$B25)*ISNUMBER(INDEX(Inputs!$K$5:$AJ$120,0,MATCH(E$2,Inputs!$K$4:$AJ$4,0))))=0,NA(),SUMPRODUCT((Inputs!$A$5:$A$120=$B25)*Inputs!$B$5:$B$120*(((Inputs!$G$5:$G$120="moeda")+(Inputs!$G$5:$G$120="acoes"))*Inputs!$B$1+((Inputs!$G$5:$G$120&lt;&gt;"moeda")*(Inputs!$G$5:$G$120&lt;&gt;"acoes")))*INDEX(Inputs!$K$5:$AJ$120,0,MATCH(E$2,Inputs!$K$4:$AJ$4,0)))+SUMPRODUCT((Inputs!$C$5:$C$120=$B25)*Inputs!$D$5:$D$120*(((Inputs!$G$5:$G$120="moeda")+(Inputs!$G$5:$G$120="acoes"))*Inputs!$B$1+((Inputs!$G$5:$G$120&lt;&gt;"moeda")*(Inputs!$G$5:$G$120&lt;&gt;"acoes")))*INDEX(Inputs!$K$5:$AJ$120,0,MATCH(E$2,Inputs!$K$4:$AJ$4,0)))+SUMPRODUCT((Inputs!$E$5:$E$120=$B25)*Inputs!$F$5:$F$120*(((Inputs!$G$5:$G$120="moeda")+(Inputs!$G$5:$G$120="acoes"))*Inputs!$B$1+((Inputs!$G$5:$G$120&lt;&gt;"moeda")*(Inputs!$G$5:$G$120&lt;&gt;"acoes")))*INDEX(Inputs!$K$5:$AJ$120,0,MATCH(E$2,Inputs!$K$4:$AJ$4,0)))))</f>
        <v>283</v>
      </c>
      <c r="F25" s="6">
        <f>IF(ISNA(MATCH(F$2,Inputs!$K$4:$AJ$4,0)),NA(),IF(SUMPRODUCT((Inputs!$A$5:$A$120=$B25)*ISNUMBER(INDEX(Inputs!$K$5:$AJ$120,0,MATCH(F$2,Inputs!$K$4:$AJ$4,0))))+SUMPRODUCT((Inputs!$C$5:$C$120=$B25)*ISNUMBER(INDEX(Inputs!$K$5:$AJ$120,0,MATCH(F$2,Inputs!$K$4:$AJ$4,0))))+SUMPRODUCT((Inputs!$E$5:$E$120=$B25)*ISNUMBER(INDEX(Inputs!$K$5:$AJ$120,0,MATCH(F$2,Inputs!$K$4:$AJ$4,0))))=0,NA(),SUMPRODUCT((Inputs!$A$5:$A$120=$B25)*Inputs!$B$5:$B$120*(((Inputs!$G$5:$G$120="moeda")+(Inputs!$G$5:$G$120="acoes"))*Inputs!$B$1+((Inputs!$G$5:$G$120&lt;&gt;"moeda")*(Inputs!$G$5:$G$120&lt;&gt;"acoes")))*INDEX(Inputs!$K$5:$AJ$120,0,MATCH(F$2,Inputs!$K$4:$AJ$4,0)))+SUMPRODUCT((Inputs!$C$5:$C$120=$B25)*Inputs!$D$5:$D$120*(((Inputs!$G$5:$G$120="moeda")+(Inputs!$G$5:$G$120="acoes"))*Inputs!$B$1+((Inputs!$G$5:$G$120&lt;&gt;"moeda")*(Inputs!$G$5:$G$120&lt;&gt;"acoes")))*INDEX(Inputs!$K$5:$AJ$120,0,MATCH(F$2,Inputs!$K$4:$AJ$4,0)))+SUMPRODUCT((Inputs!$E$5:$E$120=$B25)*Inputs!$F$5:$F$120*(((Inputs!$G$5:$G$120="moeda")+(Inputs!$G$5:$G$120="acoes"))*Inputs!$B$1+((Inputs!$G$5:$G$120&lt;&gt;"moeda")*(Inputs!$G$5:$G$120&lt;&gt;"acoes")))*INDEX(Inputs!$K$5:$AJ$120,0,MATCH(F$2,Inputs!$K$4:$AJ$4,0)))))</f>
        <v>269</v>
      </c>
      <c r="G25" s="6">
        <f>IF(ISNA(MATCH(G$2,Inputs!$K$4:$AJ$4,0)),NA(),IF(SUMPRODUCT((Inputs!$A$5:$A$120=$B25)*ISNUMBER(INDEX(Inputs!$K$5:$AJ$120,0,MATCH(G$2,Inputs!$K$4:$AJ$4,0))))+SUMPRODUCT((Inputs!$C$5:$C$120=$B25)*ISNUMBER(INDEX(Inputs!$K$5:$AJ$120,0,MATCH(G$2,Inputs!$K$4:$AJ$4,0))))+SUMPRODUCT((Inputs!$E$5:$E$120=$B25)*ISNUMBER(INDEX(Inputs!$K$5:$AJ$120,0,MATCH(G$2,Inputs!$K$4:$AJ$4,0))))=0,NA(),SUMPRODUCT((Inputs!$A$5:$A$120=$B25)*Inputs!$B$5:$B$120*(((Inputs!$G$5:$G$120="moeda")+(Inputs!$G$5:$G$120="acoes"))*Inputs!$B$1+((Inputs!$G$5:$G$120&lt;&gt;"moeda")*(Inputs!$G$5:$G$120&lt;&gt;"acoes")))*INDEX(Inputs!$K$5:$AJ$120,0,MATCH(G$2,Inputs!$K$4:$AJ$4,0)))+SUMPRODUCT((Inputs!$C$5:$C$120=$B25)*Inputs!$D$5:$D$120*(((Inputs!$G$5:$G$120="moeda")+(Inputs!$G$5:$G$120="acoes"))*Inputs!$B$1+((Inputs!$G$5:$G$120&lt;&gt;"moeda")*(Inputs!$G$5:$G$120&lt;&gt;"acoes")))*INDEX(Inputs!$K$5:$AJ$120,0,MATCH(G$2,Inputs!$K$4:$AJ$4,0)))+SUMPRODUCT((Inputs!$E$5:$E$120=$B25)*Inputs!$F$5:$F$120*(((Inputs!$G$5:$G$120="moeda")+(Inputs!$G$5:$G$120="acoes"))*Inputs!$B$1+((Inputs!$G$5:$G$120&lt;&gt;"moeda")*(Inputs!$G$5:$G$120&lt;&gt;"acoes")))*INDEX(Inputs!$K$5:$AJ$120,0,MATCH(G$2,Inputs!$K$4:$AJ$4,0)))))</f>
        <v>257</v>
      </c>
      <c r="H25" s="3">
        <f>G25</f>
        <v>257</v>
      </c>
      <c r="I25" s="6">
        <f>IF(ISNA(MATCH(I$2,Inputs!$K$4:$AJ$4,0)),NA(),IF(SUMPRODUCT((Inputs!$A$5:$A$120=$B25)*ISNUMBER(INDEX(Inputs!$K$5:$AJ$120,0,MATCH(I$2,Inputs!$K$4:$AJ$4,0))))+SUMPRODUCT((Inputs!$C$5:$C$120=$B25)*ISNUMBER(INDEX(Inputs!$K$5:$AJ$120,0,MATCH(I$2,Inputs!$K$4:$AJ$4,0))))+SUMPRODUCT((Inputs!$E$5:$E$120=$B25)*ISNUMBER(INDEX(Inputs!$K$5:$AJ$120,0,MATCH(I$2,Inputs!$K$4:$AJ$4,0))))=0,NA(),SUMPRODUCT((Inputs!$A$5:$A$120=$B25)*Inputs!$B$5:$B$120*(((Inputs!$G$5:$G$120="moeda")+(Inputs!$G$5:$G$120="acoes"))*Inputs!$B$1+((Inputs!$G$5:$G$120&lt;&gt;"moeda")*(Inputs!$G$5:$G$120&lt;&gt;"acoes")))*INDEX(Inputs!$K$5:$AJ$120,0,MATCH(I$2,Inputs!$K$4:$AJ$4,0)))+SUMPRODUCT((Inputs!$C$5:$C$120=$B25)*Inputs!$D$5:$D$120*(((Inputs!$G$5:$G$120="moeda")+(Inputs!$G$5:$G$120="acoes"))*Inputs!$B$1+((Inputs!$G$5:$G$120&lt;&gt;"moeda")*(Inputs!$G$5:$G$120&lt;&gt;"acoes")))*INDEX(Inputs!$K$5:$AJ$120,0,MATCH(I$2,Inputs!$K$4:$AJ$4,0)))+SUMPRODUCT((Inputs!$E$5:$E$120=$B25)*Inputs!$F$5:$F$120*(((Inputs!$G$5:$G$120="moeda")+(Inputs!$G$5:$G$120="acoes"))*Inputs!$B$1+((Inputs!$G$5:$G$120&lt;&gt;"moeda")*(Inputs!$G$5:$G$120&lt;&gt;"acoes")))*INDEX(Inputs!$K$5:$AJ$120,0,MATCH(I$2,Inputs!$K$4:$AJ$4,0)))))</f>
        <v>254</v>
      </c>
      <c r="J25" s="6">
        <f>IF(ISNA(MATCH(J$2,Inputs!$K$4:$AJ$4,0)),NA(),IF(SUMPRODUCT((Inputs!$A$5:$A$120=$B25)*ISNUMBER(INDEX(Inputs!$K$5:$AJ$120,0,MATCH(J$2,Inputs!$K$4:$AJ$4,0))))+SUMPRODUCT((Inputs!$C$5:$C$120=$B25)*ISNUMBER(INDEX(Inputs!$K$5:$AJ$120,0,MATCH(J$2,Inputs!$K$4:$AJ$4,0))))+SUMPRODUCT((Inputs!$E$5:$E$120=$B25)*ISNUMBER(INDEX(Inputs!$K$5:$AJ$120,0,MATCH(J$2,Inputs!$K$4:$AJ$4,0))))=0,NA(),SUMPRODUCT((Inputs!$A$5:$A$120=$B25)*Inputs!$B$5:$B$120*(((Inputs!$G$5:$G$120="moeda")+(Inputs!$G$5:$G$120="acoes"))*Inputs!$B$1+((Inputs!$G$5:$G$120&lt;&gt;"moeda")*(Inputs!$G$5:$G$120&lt;&gt;"acoes")))*INDEX(Inputs!$K$5:$AJ$120,0,MATCH(J$2,Inputs!$K$4:$AJ$4,0)))+SUMPRODUCT((Inputs!$C$5:$C$120=$B25)*Inputs!$D$5:$D$120*(((Inputs!$G$5:$G$120="moeda")+(Inputs!$G$5:$G$120="acoes"))*Inputs!$B$1+((Inputs!$G$5:$G$120&lt;&gt;"moeda")*(Inputs!$G$5:$G$120&lt;&gt;"acoes")))*INDEX(Inputs!$K$5:$AJ$120,0,MATCH(J$2,Inputs!$K$4:$AJ$4,0)))+SUMPRODUCT((Inputs!$E$5:$E$120=$B25)*Inputs!$F$5:$F$120*(((Inputs!$G$5:$G$120="moeda")+(Inputs!$G$5:$G$120="acoes"))*Inputs!$B$1+((Inputs!$G$5:$G$120&lt;&gt;"moeda")*(Inputs!$G$5:$G$120&lt;&gt;"acoes")))*INDEX(Inputs!$K$5:$AJ$120,0,MATCH(J$2,Inputs!$K$4:$AJ$4,0)))))</f>
        <v>241</v>
      </c>
      <c r="K25" s="6">
        <f>IF(ISNA(MATCH(K$2,Inputs!$K$4:$AJ$4,0)),NA(),IF(SUMPRODUCT((Inputs!$A$5:$A$120=$B25)*ISNUMBER(INDEX(Inputs!$K$5:$AJ$120,0,MATCH(K$2,Inputs!$K$4:$AJ$4,0))))+SUMPRODUCT((Inputs!$C$5:$C$120=$B25)*ISNUMBER(INDEX(Inputs!$K$5:$AJ$120,0,MATCH(K$2,Inputs!$K$4:$AJ$4,0))))+SUMPRODUCT((Inputs!$E$5:$E$120=$B25)*ISNUMBER(INDEX(Inputs!$K$5:$AJ$120,0,MATCH(K$2,Inputs!$K$4:$AJ$4,0))))=0,NA(),SUMPRODUCT((Inputs!$A$5:$A$120=$B25)*Inputs!$B$5:$B$120*(((Inputs!$G$5:$G$120="moeda")+(Inputs!$G$5:$G$120="acoes"))*Inputs!$B$1+((Inputs!$G$5:$G$120&lt;&gt;"moeda")*(Inputs!$G$5:$G$120&lt;&gt;"acoes")))*INDEX(Inputs!$K$5:$AJ$120,0,MATCH(K$2,Inputs!$K$4:$AJ$4,0)))+SUMPRODUCT((Inputs!$C$5:$C$120=$B25)*Inputs!$D$5:$D$120*(((Inputs!$G$5:$G$120="moeda")+(Inputs!$G$5:$G$120="acoes"))*Inputs!$B$1+((Inputs!$G$5:$G$120&lt;&gt;"moeda")*(Inputs!$G$5:$G$120&lt;&gt;"acoes")))*INDEX(Inputs!$K$5:$AJ$120,0,MATCH(K$2,Inputs!$K$4:$AJ$4,0)))+SUMPRODUCT((Inputs!$E$5:$E$120=$B25)*Inputs!$F$5:$F$120*(((Inputs!$G$5:$G$120="moeda")+(Inputs!$G$5:$G$120="acoes"))*Inputs!$B$1+((Inputs!$G$5:$G$120&lt;&gt;"moeda")*(Inputs!$G$5:$G$120&lt;&gt;"acoes")))*INDEX(Inputs!$K$5:$AJ$120,0,MATCH(K$2,Inputs!$K$4:$AJ$4,0)))))</f>
        <v>228</v>
      </c>
      <c r="L25" s="6">
        <f>IF(ISNA(MATCH(L$2,Inputs!$K$4:$AJ$4,0)),NA(),IF(SUMPRODUCT((Inputs!$A$5:$A$120=$B25)*ISNUMBER(INDEX(Inputs!$K$5:$AJ$120,0,MATCH(L$2,Inputs!$K$4:$AJ$4,0))))+SUMPRODUCT((Inputs!$C$5:$C$120=$B25)*ISNUMBER(INDEX(Inputs!$K$5:$AJ$120,0,MATCH(L$2,Inputs!$K$4:$AJ$4,0))))+SUMPRODUCT((Inputs!$E$5:$E$120=$B25)*ISNUMBER(INDEX(Inputs!$K$5:$AJ$120,0,MATCH(L$2,Inputs!$K$4:$AJ$4,0))))=0,NA(),SUMPRODUCT((Inputs!$A$5:$A$120=$B25)*Inputs!$B$5:$B$120*(((Inputs!$G$5:$G$120="moeda")+(Inputs!$G$5:$G$120="acoes"))*Inputs!$B$1+((Inputs!$G$5:$G$120&lt;&gt;"moeda")*(Inputs!$G$5:$G$120&lt;&gt;"acoes")))*INDEX(Inputs!$K$5:$AJ$120,0,MATCH(L$2,Inputs!$K$4:$AJ$4,0)))+SUMPRODUCT((Inputs!$C$5:$C$120=$B25)*Inputs!$D$5:$D$120*(((Inputs!$G$5:$G$120="moeda")+(Inputs!$G$5:$G$120="acoes"))*Inputs!$B$1+((Inputs!$G$5:$G$120&lt;&gt;"moeda")*(Inputs!$G$5:$G$120&lt;&gt;"acoes")))*INDEX(Inputs!$K$5:$AJ$120,0,MATCH(L$2,Inputs!$K$4:$AJ$4,0)))+SUMPRODUCT((Inputs!$E$5:$E$120=$B25)*Inputs!$F$5:$F$120*(((Inputs!$G$5:$G$120="moeda")+(Inputs!$G$5:$G$120="acoes"))*Inputs!$B$1+((Inputs!$G$5:$G$120&lt;&gt;"moeda")*(Inputs!$G$5:$G$120&lt;&gt;"acoes")))*INDEX(Inputs!$K$5:$AJ$120,0,MATCH(L$2,Inputs!$K$4:$AJ$4,0)))))</f>
        <v>215</v>
      </c>
      <c r="M25" s="3">
        <f>L25</f>
        <v>215</v>
      </c>
      <c r="N25" s="6">
        <f>IF(ISNA(MATCH(N$2,Inputs!$K$4:$AJ$4,0)),NA(),IF(SUMPRODUCT((Inputs!$A$5:$A$120=$B25)*ISNUMBER(INDEX(Inputs!$K$5:$AJ$120,0,MATCH(N$2,Inputs!$K$4:$AJ$4,0))))+SUMPRODUCT((Inputs!$C$5:$C$120=$B25)*ISNUMBER(INDEX(Inputs!$K$5:$AJ$120,0,MATCH(N$2,Inputs!$K$4:$AJ$4,0))))+SUMPRODUCT((Inputs!$E$5:$E$120=$B25)*ISNUMBER(INDEX(Inputs!$K$5:$AJ$120,0,MATCH(N$2,Inputs!$K$4:$AJ$4,0))))=0,NA(),SUMPRODUCT((Inputs!$A$5:$A$120=$B25)*Inputs!$B$5:$B$120*(((Inputs!$G$5:$G$120="moeda")+(Inputs!$G$5:$G$120="acoes"))*Inputs!$B$1+((Inputs!$G$5:$G$120&lt;&gt;"moeda")*(Inputs!$G$5:$G$120&lt;&gt;"acoes")))*INDEX(Inputs!$K$5:$AJ$120,0,MATCH(N$2,Inputs!$K$4:$AJ$4,0)))+SUMPRODUCT((Inputs!$C$5:$C$120=$B25)*Inputs!$D$5:$D$120*(((Inputs!$G$5:$G$120="moeda")+(Inputs!$G$5:$G$120="acoes"))*Inputs!$B$1+((Inputs!$G$5:$G$120&lt;&gt;"moeda")*(Inputs!$G$5:$G$120&lt;&gt;"acoes")))*INDEX(Inputs!$K$5:$AJ$120,0,MATCH(N$2,Inputs!$K$4:$AJ$4,0)))+SUMPRODUCT((Inputs!$E$5:$E$120=$B25)*Inputs!$F$5:$F$120*(((Inputs!$G$5:$G$120="moeda")+(Inputs!$G$5:$G$120="acoes"))*Inputs!$B$1+((Inputs!$G$5:$G$120&lt;&gt;"moeda")*(Inputs!$G$5:$G$120&lt;&gt;"acoes")))*INDEX(Inputs!$K$5:$AJ$120,0,MATCH(N$2,Inputs!$K$4:$AJ$4,0)))))</f>
        <v>204</v>
      </c>
      <c r="O25" s="6">
        <f>IF(ISNA(MATCH(O$2,Inputs!$K$4:$AJ$4,0)),NA(),IF(SUMPRODUCT((Inputs!$A$5:$A$120=$B25)*ISNUMBER(INDEX(Inputs!$K$5:$AJ$120,0,MATCH(O$2,Inputs!$K$4:$AJ$4,0))))+SUMPRODUCT((Inputs!$C$5:$C$120=$B25)*ISNUMBER(INDEX(Inputs!$K$5:$AJ$120,0,MATCH(O$2,Inputs!$K$4:$AJ$4,0))))+SUMPRODUCT((Inputs!$E$5:$E$120=$B25)*ISNUMBER(INDEX(Inputs!$K$5:$AJ$120,0,MATCH(O$2,Inputs!$K$4:$AJ$4,0))))=0,NA(),SUMPRODUCT((Inputs!$A$5:$A$120=$B25)*Inputs!$B$5:$B$120*(((Inputs!$G$5:$G$120="moeda")+(Inputs!$G$5:$G$120="acoes"))*Inputs!$B$1+((Inputs!$G$5:$G$120&lt;&gt;"moeda")*(Inputs!$G$5:$G$120&lt;&gt;"acoes")))*INDEX(Inputs!$K$5:$AJ$120,0,MATCH(O$2,Inputs!$K$4:$AJ$4,0)))+SUMPRODUCT((Inputs!$C$5:$C$120=$B25)*Inputs!$D$5:$D$120*(((Inputs!$G$5:$G$120="moeda")+(Inputs!$G$5:$G$120="acoes"))*Inputs!$B$1+((Inputs!$G$5:$G$120&lt;&gt;"moeda")*(Inputs!$G$5:$G$120&lt;&gt;"acoes")))*INDEX(Inputs!$K$5:$AJ$120,0,MATCH(O$2,Inputs!$K$4:$AJ$4,0)))+SUMPRODUCT((Inputs!$E$5:$E$120=$B25)*Inputs!$F$5:$F$120*(((Inputs!$G$5:$G$120="moeda")+(Inputs!$G$5:$G$120="acoes"))*Inputs!$B$1+((Inputs!$G$5:$G$120&lt;&gt;"moeda")*(Inputs!$G$5:$G$120&lt;&gt;"acoes")))*INDEX(Inputs!$K$5:$AJ$120,0,MATCH(O$2,Inputs!$K$4:$AJ$4,0)))))</f>
        <v>202</v>
      </c>
      <c r="P25" s="6">
        <f>IF(ISNA(MATCH(P$2,Inputs!$K$4:$AJ$4,0)),NA(),IF(SUMPRODUCT((Inputs!$A$5:$A$120=$B25)*ISNUMBER(INDEX(Inputs!$K$5:$AJ$120,0,MATCH(P$2,Inputs!$K$4:$AJ$4,0))))+SUMPRODUCT((Inputs!$C$5:$C$120=$B25)*ISNUMBER(INDEX(Inputs!$K$5:$AJ$120,0,MATCH(P$2,Inputs!$K$4:$AJ$4,0))))+SUMPRODUCT((Inputs!$E$5:$E$120=$B25)*ISNUMBER(INDEX(Inputs!$K$5:$AJ$120,0,MATCH(P$2,Inputs!$K$4:$AJ$4,0))))=0,NA(),SUMPRODUCT((Inputs!$A$5:$A$120=$B25)*Inputs!$B$5:$B$120*(((Inputs!$G$5:$G$120="moeda")+(Inputs!$G$5:$G$120="acoes"))*Inputs!$B$1+((Inputs!$G$5:$G$120&lt;&gt;"moeda")*(Inputs!$G$5:$G$120&lt;&gt;"acoes")))*INDEX(Inputs!$K$5:$AJ$120,0,MATCH(P$2,Inputs!$K$4:$AJ$4,0)))+SUMPRODUCT((Inputs!$C$5:$C$120=$B25)*Inputs!$D$5:$D$120*(((Inputs!$G$5:$G$120="moeda")+(Inputs!$G$5:$G$120="acoes"))*Inputs!$B$1+((Inputs!$G$5:$G$120&lt;&gt;"moeda")*(Inputs!$G$5:$G$120&lt;&gt;"acoes")))*INDEX(Inputs!$K$5:$AJ$120,0,MATCH(P$2,Inputs!$K$4:$AJ$4,0)))+SUMPRODUCT((Inputs!$E$5:$E$120=$B25)*Inputs!$F$5:$F$120*(((Inputs!$G$5:$G$120="moeda")+(Inputs!$G$5:$G$120="acoes"))*Inputs!$B$1+((Inputs!$G$5:$G$120&lt;&gt;"moeda")*(Inputs!$G$5:$G$120&lt;&gt;"acoes")))*INDEX(Inputs!$K$5:$AJ$120,0,MATCH(P$2,Inputs!$K$4:$AJ$4,0)))))</f>
        <v>191</v>
      </c>
      <c r="Q25" s="6">
        <f>IF(ISNA(MATCH(Q$2,Inputs!$K$4:$AJ$4,0)),NA(),IF(SUMPRODUCT((Inputs!$A$5:$A$120=$B25)*ISNUMBER(INDEX(Inputs!$K$5:$AJ$120,0,MATCH(Q$2,Inputs!$K$4:$AJ$4,0))))+SUMPRODUCT((Inputs!$C$5:$C$120=$B25)*ISNUMBER(INDEX(Inputs!$K$5:$AJ$120,0,MATCH(Q$2,Inputs!$K$4:$AJ$4,0))))+SUMPRODUCT((Inputs!$E$5:$E$120=$B25)*ISNUMBER(INDEX(Inputs!$K$5:$AJ$120,0,MATCH(Q$2,Inputs!$K$4:$AJ$4,0))))=0,NA(),SUMPRODUCT((Inputs!$A$5:$A$120=$B25)*Inputs!$B$5:$B$120*(((Inputs!$G$5:$G$120="moeda")+(Inputs!$G$5:$G$120="acoes"))*Inputs!$B$1+((Inputs!$G$5:$G$120&lt;&gt;"moeda")*(Inputs!$G$5:$G$120&lt;&gt;"acoes")))*INDEX(Inputs!$K$5:$AJ$120,0,MATCH(Q$2,Inputs!$K$4:$AJ$4,0)))+SUMPRODUCT((Inputs!$C$5:$C$120=$B25)*Inputs!$D$5:$D$120*(((Inputs!$G$5:$G$120="moeda")+(Inputs!$G$5:$G$120="acoes"))*Inputs!$B$1+((Inputs!$G$5:$G$120&lt;&gt;"moeda")*(Inputs!$G$5:$G$120&lt;&gt;"acoes")))*INDEX(Inputs!$K$5:$AJ$120,0,MATCH(Q$2,Inputs!$K$4:$AJ$4,0)))+SUMPRODUCT((Inputs!$E$5:$E$120=$B25)*Inputs!$F$5:$F$120*(((Inputs!$G$5:$G$120="moeda")+(Inputs!$G$5:$G$120="acoes"))*Inputs!$B$1+((Inputs!$G$5:$G$120&lt;&gt;"moeda")*(Inputs!$G$5:$G$120&lt;&gt;"acoes")))*INDEX(Inputs!$K$5:$AJ$120,0,MATCH(Q$2,Inputs!$K$4:$AJ$4,0)))))</f>
        <v>178</v>
      </c>
      <c r="R25" s="3">
        <f>Q25</f>
        <v>178</v>
      </c>
      <c r="S25" s="6">
        <f>IF(ISNA(MATCH(S$2,Inputs!$K$4:$AJ$4,0)),NA(),IF(SUMPRODUCT((Inputs!$A$5:$A$120=$B25)*ISNUMBER(INDEX(Inputs!$K$5:$AJ$120,0,MATCH(S$2,Inputs!$K$4:$AJ$4,0))))+SUMPRODUCT((Inputs!$C$5:$C$120=$B25)*ISNUMBER(INDEX(Inputs!$K$5:$AJ$120,0,MATCH(S$2,Inputs!$K$4:$AJ$4,0))))+SUMPRODUCT((Inputs!$E$5:$E$120=$B25)*ISNUMBER(INDEX(Inputs!$K$5:$AJ$120,0,MATCH(S$2,Inputs!$K$4:$AJ$4,0))))=0,NA(),SUMPRODUCT((Inputs!$A$5:$A$120=$B25)*Inputs!$B$5:$B$120*(((Inputs!$G$5:$G$120="moeda")+(Inputs!$G$5:$G$120="acoes"))*Inputs!$B$1+((Inputs!$G$5:$G$120&lt;&gt;"moeda")*(Inputs!$G$5:$G$120&lt;&gt;"acoes")))*INDEX(Inputs!$K$5:$AJ$120,0,MATCH(S$2,Inputs!$K$4:$AJ$4,0)))+SUMPRODUCT((Inputs!$C$5:$C$120=$B25)*Inputs!$D$5:$D$120*(((Inputs!$G$5:$G$120="moeda")+(Inputs!$G$5:$G$120="acoes"))*Inputs!$B$1+((Inputs!$G$5:$G$120&lt;&gt;"moeda")*(Inputs!$G$5:$G$120&lt;&gt;"acoes")))*INDEX(Inputs!$K$5:$AJ$120,0,MATCH(S$2,Inputs!$K$4:$AJ$4,0)))+SUMPRODUCT((Inputs!$E$5:$E$120=$B25)*Inputs!$F$5:$F$120*(((Inputs!$G$5:$G$120="moeda")+(Inputs!$G$5:$G$120="acoes"))*Inputs!$B$1+((Inputs!$G$5:$G$120&lt;&gt;"moeda")*(Inputs!$G$5:$G$120&lt;&gt;"acoes")))*INDEX(Inputs!$K$5:$AJ$120,0,MATCH(S$2,Inputs!$K$4:$AJ$4,0)))))</f>
        <v>171</v>
      </c>
      <c r="T25" s="6">
        <f>IF(ISNA(MATCH(T$2,Inputs!$K$4:$AJ$4,0)),NA(),IF(SUMPRODUCT((Inputs!$A$5:$A$120=$B25)*ISNUMBER(INDEX(Inputs!$K$5:$AJ$120,0,MATCH(T$2,Inputs!$K$4:$AJ$4,0))))+SUMPRODUCT((Inputs!$C$5:$C$120=$B25)*ISNUMBER(INDEX(Inputs!$K$5:$AJ$120,0,MATCH(T$2,Inputs!$K$4:$AJ$4,0))))+SUMPRODUCT((Inputs!$E$5:$E$120=$B25)*ISNUMBER(INDEX(Inputs!$K$5:$AJ$120,0,MATCH(T$2,Inputs!$K$4:$AJ$4,0))))=0,NA(),SUMPRODUCT((Inputs!$A$5:$A$120=$B25)*Inputs!$B$5:$B$120*(((Inputs!$G$5:$G$120="moeda")+(Inputs!$G$5:$G$120="acoes"))*Inputs!$B$1+((Inputs!$G$5:$G$120&lt;&gt;"moeda")*(Inputs!$G$5:$G$120&lt;&gt;"acoes")))*INDEX(Inputs!$K$5:$AJ$120,0,MATCH(T$2,Inputs!$K$4:$AJ$4,0)))+SUMPRODUCT((Inputs!$C$5:$C$120=$B25)*Inputs!$D$5:$D$120*(((Inputs!$G$5:$G$120="moeda")+(Inputs!$G$5:$G$120="acoes"))*Inputs!$B$1+((Inputs!$G$5:$G$120&lt;&gt;"moeda")*(Inputs!$G$5:$G$120&lt;&gt;"acoes")))*INDEX(Inputs!$K$5:$AJ$120,0,MATCH(T$2,Inputs!$K$4:$AJ$4,0)))+SUMPRODUCT((Inputs!$E$5:$E$120=$B25)*Inputs!$F$5:$F$120*(((Inputs!$G$5:$G$120="moeda")+(Inputs!$G$5:$G$120="acoes"))*Inputs!$B$1+((Inputs!$G$5:$G$120&lt;&gt;"moeda")*(Inputs!$G$5:$G$120&lt;&gt;"acoes")))*INDEX(Inputs!$K$5:$AJ$120,0,MATCH(T$2,Inputs!$K$4:$AJ$4,0)))))</f>
        <v>164</v>
      </c>
      <c r="U25" s="6">
        <f>IF(ISNA(MATCH(U$2,Inputs!$K$4:$AJ$4,0)),NA(),IF(SUMPRODUCT((Inputs!$A$5:$A$120=$B25)*ISNUMBER(INDEX(Inputs!$K$5:$AJ$120,0,MATCH(U$2,Inputs!$K$4:$AJ$4,0))))+SUMPRODUCT((Inputs!$C$5:$C$120=$B25)*ISNUMBER(INDEX(Inputs!$K$5:$AJ$120,0,MATCH(U$2,Inputs!$K$4:$AJ$4,0))))+SUMPRODUCT((Inputs!$E$5:$E$120=$B25)*ISNUMBER(INDEX(Inputs!$K$5:$AJ$120,0,MATCH(U$2,Inputs!$K$4:$AJ$4,0))))=0,NA(),SUMPRODUCT((Inputs!$A$5:$A$120=$B25)*Inputs!$B$5:$B$120*(((Inputs!$G$5:$G$120="moeda")+(Inputs!$G$5:$G$120="acoes"))*Inputs!$B$1+((Inputs!$G$5:$G$120&lt;&gt;"moeda")*(Inputs!$G$5:$G$120&lt;&gt;"acoes")))*INDEX(Inputs!$K$5:$AJ$120,0,MATCH(U$2,Inputs!$K$4:$AJ$4,0)))+SUMPRODUCT((Inputs!$C$5:$C$120=$B25)*Inputs!$D$5:$D$120*(((Inputs!$G$5:$G$120="moeda")+(Inputs!$G$5:$G$120="acoes"))*Inputs!$B$1+((Inputs!$G$5:$G$120&lt;&gt;"moeda")*(Inputs!$G$5:$G$120&lt;&gt;"acoes")))*INDEX(Inputs!$K$5:$AJ$120,0,MATCH(U$2,Inputs!$K$4:$AJ$4,0)))+SUMPRODUCT((Inputs!$E$5:$E$120=$B25)*Inputs!$F$5:$F$120*(((Inputs!$G$5:$G$120="moeda")+(Inputs!$G$5:$G$120="acoes"))*Inputs!$B$1+((Inputs!$G$5:$G$120&lt;&gt;"moeda")*(Inputs!$G$5:$G$120&lt;&gt;"acoes")))*INDEX(Inputs!$K$5:$AJ$120,0,MATCH(U$2,Inputs!$K$4:$AJ$4,0)))))</f>
        <v>158</v>
      </c>
      <c r="V25" s="6">
        <f>IF(ISNA(MATCH(V$2,Inputs!$K$4:$AJ$4,0)),NA(),IF(SUMPRODUCT((Inputs!$A$5:$A$120=$B25)*ISNUMBER(INDEX(Inputs!$K$5:$AJ$120,0,MATCH(V$2,Inputs!$K$4:$AJ$4,0))))+SUMPRODUCT((Inputs!$C$5:$C$120=$B25)*ISNUMBER(INDEX(Inputs!$K$5:$AJ$120,0,MATCH(V$2,Inputs!$K$4:$AJ$4,0))))+SUMPRODUCT((Inputs!$E$5:$E$120=$B25)*ISNUMBER(INDEX(Inputs!$K$5:$AJ$120,0,MATCH(V$2,Inputs!$K$4:$AJ$4,0))))=0,NA(),SUMPRODUCT((Inputs!$A$5:$A$120=$B25)*Inputs!$B$5:$B$120*(((Inputs!$G$5:$G$120="moeda")+(Inputs!$G$5:$G$120="acoes"))*Inputs!$B$1+((Inputs!$G$5:$G$120&lt;&gt;"moeda")*(Inputs!$G$5:$G$120&lt;&gt;"acoes")))*INDEX(Inputs!$K$5:$AJ$120,0,MATCH(V$2,Inputs!$K$4:$AJ$4,0)))+SUMPRODUCT((Inputs!$C$5:$C$120=$B25)*Inputs!$D$5:$D$120*(((Inputs!$G$5:$G$120="moeda")+(Inputs!$G$5:$G$120="acoes"))*Inputs!$B$1+((Inputs!$G$5:$G$120&lt;&gt;"moeda")*(Inputs!$G$5:$G$120&lt;&gt;"acoes")))*INDEX(Inputs!$K$5:$AJ$120,0,MATCH(V$2,Inputs!$K$4:$AJ$4,0)))+SUMPRODUCT((Inputs!$E$5:$E$120=$B25)*Inputs!$F$5:$F$120*(((Inputs!$G$5:$G$120="moeda")+(Inputs!$G$5:$G$120="acoes"))*Inputs!$B$1+((Inputs!$G$5:$G$120&lt;&gt;"moeda")*(Inputs!$G$5:$G$120&lt;&gt;"acoes")))*INDEX(Inputs!$K$5:$AJ$120,0,MATCH(V$2,Inputs!$K$4:$AJ$4,0)))))</f>
        <v>150</v>
      </c>
      <c r="W25" s="3">
        <f>V25</f>
        <v>150</v>
      </c>
      <c r="X25" s="6">
        <f>IF(ISNA(MATCH(X$2,Inputs!$K$4:$AJ$4,0)),NA(),IF(SUMPRODUCT((Inputs!$A$5:$A$120=$B25)*ISNUMBER(INDEX(Inputs!$K$5:$AJ$120,0,MATCH(X$2,Inputs!$K$4:$AJ$4,0))))+SUMPRODUCT((Inputs!$C$5:$C$120=$B25)*ISNUMBER(INDEX(Inputs!$K$5:$AJ$120,0,MATCH(X$2,Inputs!$K$4:$AJ$4,0))))+SUMPRODUCT((Inputs!$E$5:$E$120=$B25)*ISNUMBER(INDEX(Inputs!$K$5:$AJ$120,0,MATCH(X$2,Inputs!$K$4:$AJ$4,0))))=0,NA(),SUMPRODUCT((Inputs!$A$5:$A$120=$B25)*Inputs!$B$5:$B$120*(((Inputs!$G$5:$G$120="moeda")+(Inputs!$G$5:$G$120="acoes"))*Inputs!$B$1+((Inputs!$G$5:$G$120&lt;&gt;"moeda")*(Inputs!$G$5:$G$120&lt;&gt;"acoes")))*INDEX(Inputs!$K$5:$AJ$120,0,MATCH(X$2,Inputs!$K$4:$AJ$4,0)))+SUMPRODUCT((Inputs!$C$5:$C$120=$B25)*Inputs!$D$5:$D$120*(((Inputs!$G$5:$G$120="moeda")+(Inputs!$G$5:$G$120="acoes"))*Inputs!$B$1+((Inputs!$G$5:$G$120&lt;&gt;"moeda")*(Inputs!$G$5:$G$120&lt;&gt;"acoes")))*INDEX(Inputs!$K$5:$AJ$120,0,MATCH(X$2,Inputs!$K$4:$AJ$4,0)))+SUMPRODUCT((Inputs!$E$5:$E$120=$B25)*Inputs!$F$5:$F$120*(((Inputs!$G$5:$G$120="moeda")+(Inputs!$G$5:$G$120="acoes"))*Inputs!$B$1+((Inputs!$G$5:$G$120&lt;&gt;"moeda")*(Inputs!$G$5:$G$120&lt;&gt;"acoes")))*INDEX(Inputs!$K$5:$AJ$120,0,MATCH(X$2,Inputs!$K$4:$AJ$4,0)))))</f>
        <v>144</v>
      </c>
      <c r="Y25" s="6">
        <f>IF(ISNA(MATCH(Y$2,Inputs!$K$4:$AJ$4,0)),NA(),IF(SUMPRODUCT((Inputs!$A$5:$A$120=$B25)*ISNUMBER(INDEX(Inputs!$K$5:$AJ$120,0,MATCH(Y$2,Inputs!$K$4:$AJ$4,0))))+SUMPRODUCT((Inputs!$C$5:$C$120=$B25)*ISNUMBER(INDEX(Inputs!$K$5:$AJ$120,0,MATCH(Y$2,Inputs!$K$4:$AJ$4,0))))+SUMPRODUCT((Inputs!$E$5:$E$120=$B25)*ISNUMBER(INDEX(Inputs!$K$5:$AJ$120,0,MATCH(Y$2,Inputs!$K$4:$AJ$4,0))))=0,NA(),SUMPRODUCT((Inputs!$A$5:$A$120=$B25)*Inputs!$B$5:$B$120*(((Inputs!$G$5:$G$120="moeda")+(Inputs!$G$5:$G$120="acoes"))*Inputs!$B$1+((Inputs!$G$5:$G$120&lt;&gt;"moeda")*(Inputs!$G$5:$G$120&lt;&gt;"acoes")))*INDEX(Inputs!$K$5:$AJ$120,0,MATCH(Y$2,Inputs!$K$4:$AJ$4,0)))+SUMPRODUCT((Inputs!$C$5:$C$120=$B25)*Inputs!$D$5:$D$120*(((Inputs!$G$5:$G$120="moeda")+(Inputs!$G$5:$G$120="acoes"))*Inputs!$B$1+((Inputs!$G$5:$G$120&lt;&gt;"moeda")*(Inputs!$G$5:$G$120&lt;&gt;"acoes")))*INDEX(Inputs!$K$5:$AJ$120,0,MATCH(Y$2,Inputs!$K$4:$AJ$4,0)))+SUMPRODUCT((Inputs!$E$5:$E$120=$B25)*Inputs!$F$5:$F$120*(((Inputs!$G$5:$G$120="moeda")+(Inputs!$G$5:$G$120="acoes"))*Inputs!$B$1+((Inputs!$G$5:$G$120&lt;&gt;"moeda")*(Inputs!$G$5:$G$120&lt;&gt;"acoes")))*INDEX(Inputs!$K$5:$AJ$120,0,MATCH(Y$2,Inputs!$K$4:$AJ$4,0)))))</f>
        <v>138</v>
      </c>
      <c r="Z25" s="6">
        <f>IF(ISNA(MATCH(Z$2,Inputs!$K$4:$AJ$4,0)),NA(),IF(SUMPRODUCT((Inputs!$A$5:$A$120=$B25)*ISNUMBER(INDEX(Inputs!$K$5:$AJ$120,0,MATCH(Z$2,Inputs!$K$4:$AJ$4,0))))+SUMPRODUCT((Inputs!$C$5:$C$120=$B25)*ISNUMBER(INDEX(Inputs!$K$5:$AJ$120,0,MATCH(Z$2,Inputs!$K$4:$AJ$4,0))))+SUMPRODUCT((Inputs!$E$5:$E$120=$B25)*ISNUMBER(INDEX(Inputs!$K$5:$AJ$120,0,MATCH(Z$2,Inputs!$K$4:$AJ$4,0))))=0,NA(),SUMPRODUCT((Inputs!$A$5:$A$120=$B25)*Inputs!$B$5:$B$120*(((Inputs!$G$5:$G$120="moeda")+(Inputs!$G$5:$G$120="acoes"))*Inputs!$B$1+((Inputs!$G$5:$G$120&lt;&gt;"moeda")*(Inputs!$G$5:$G$120&lt;&gt;"acoes")))*INDEX(Inputs!$K$5:$AJ$120,0,MATCH(Z$2,Inputs!$K$4:$AJ$4,0)))+SUMPRODUCT((Inputs!$C$5:$C$120=$B25)*Inputs!$D$5:$D$120*(((Inputs!$G$5:$G$120="moeda")+(Inputs!$G$5:$G$120="acoes"))*Inputs!$B$1+((Inputs!$G$5:$G$120&lt;&gt;"moeda")*(Inputs!$G$5:$G$120&lt;&gt;"acoes")))*INDEX(Inputs!$K$5:$AJ$120,0,MATCH(Z$2,Inputs!$K$4:$AJ$4,0)))+SUMPRODUCT((Inputs!$E$5:$E$120=$B25)*Inputs!$F$5:$F$120*(((Inputs!$G$5:$G$120="moeda")+(Inputs!$G$5:$G$120="acoes"))*Inputs!$B$1+((Inputs!$G$5:$G$120&lt;&gt;"moeda")*(Inputs!$G$5:$G$120&lt;&gt;"acoes")))*INDEX(Inputs!$K$5:$AJ$120,0,MATCH(Z$2,Inputs!$K$4:$AJ$4,0)))))</f>
        <v>131</v>
      </c>
      <c r="AA25" s="6">
        <f>IF(ISNA(MATCH(AA$2,Inputs!$K$4:$AJ$4,0)),NA(),IF(SUMPRODUCT((Inputs!$A$5:$A$120=$B25)*ISNUMBER(INDEX(Inputs!$K$5:$AJ$120,0,MATCH(AA$2,Inputs!$K$4:$AJ$4,0))))+SUMPRODUCT((Inputs!$C$5:$C$120=$B25)*ISNUMBER(INDEX(Inputs!$K$5:$AJ$120,0,MATCH(AA$2,Inputs!$K$4:$AJ$4,0))))+SUMPRODUCT((Inputs!$E$5:$E$120=$B25)*ISNUMBER(INDEX(Inputs!$K$5:$AJ$120,0,MATCH(AA$2,Inputs!$K$4:$AJ$4,0))))=0,NA(),SUMPRODUCT((Inputs!$A$5:$A$120=$B25)*Inputs!$B$5:$B$120*(((Inputs!$G$5:$G$120="moeda")+(Inputs!$G$5:$G$120="acoes"))*Inputs!$B$1+((Inputs!$G$5:$G$120&lt;&gt;"moeda")*(Inputs!$G$5:$G$120&lt;&gt;"acoes")))*INDEX(Inputs!$K$5:$AJ$120,0,MATCH(AA$2,Inputs!$K$4:$AJ$4,0)))+SUMPRODUCT((Inputs!$C$5:$C$120=$B25)*Inputs!$D$5:$D$120*(((Inputs!$G$5:$G$120="moeda")+(Inputs!$G$5:$G$120="acoes"))*Inputs!$B$1+((Inputs!$G$5:$G$120&lt;&gt;"moeda")*(Inputs!$G$5:$G$120&lt;&gt;"acoes")))*INDEX(Inputs!$K$5:$AJ$120,0,MATCH(AA$2,Inputs!$K$4:$AJ$4,0)))+SUMPRODUCT((Inputs!$E$5:$E$120=$B25)*Inputs!$F$5:$F$120*(((Inputs!$G$5:$G$120="moeda")+(Inputs!$G$5:$G$120="acoes"))*Inputs!$B$1+((Inputs!$G$5:$G$120&lt;&gt;"moeda")*(Inputs!$G$5:$G$120&lt;&gt;"acoes")))*INDEX(Inputs!$K$5:$AJ$120,0,MATCH(AA$2,Inputs!$K$4:$AJ$4,0)))))</f>
        <v>0</v>
      </c>
      <c r="AB25" s="3">
        <f>AA25</f>
        <v>0</v>
      </c>
      <c r="AC25" s="6">
        <f>IF(ISNA(MATCH(AC$2,Inputs!$K$4:$AJ$4,0)),NA(),IF(SUMPRODUCT((Inputs!$A$5:$A$120=$B25)*ISNUMBER(INDEX(Inputs!$K$5:$AJ$120,0,MATCH(AC$2,Inputs!$K$4:$AJ$4,0))))+SUMPRODUCT((Inputs!$C$5:$C$120=$B25)*ISNUMBER(INDEX(Inputs!$K$5:$AJ$120,0,MATCH(AC$2,Inputs!$K$4:$AJ$4,0))))+SUMPRODUCT((Inputs!$E$5:$E$120=$B25)*ISNUMBER(INDEX(Inputs!$K$5:$AJ$120,0,MATCH(AC$2,Inputs!$K$4:$AJ$4,0))))=0,NA(),SUMPRODUCT((Inputs!$A$5:$A$120=$B25)*Inputs!$B$5:$B$120*(((Inputs!$G$5:$G$120="moeda")+(Inputs!$G$5:$G$120="acoes"))*Inputs!$B$1+((Inputs!$G$5:$G$120&lt;&gt;"moeda")*(Inputs!$G$5:$G$120&lt;&gt;"acoes")))*INDEX(Inputs!$K$5:$AJ$120,0,MATCH(AC$2,Inputs!$K$4:$AJ$4,0)))+SUMPRODUCT((Inputs!$C$5:$C$120=$B25)*Inputs!$D$5:$D$120*(((Inputs!$G$5:$G$120="moeda")+(Inputs!$G$5:$G$120="acoes"))*Inputs!$B$1+((Inputs!$G$5:$G$120&lt;&gt;"moeda")*(Inputs!$G$5:$G$120&lt;&gt;"acoes")))*INDEX(Inputs!$K$5:$AJ$120,0,MATCH(AC$2,Inputs!$K$4:$AJ$4,0)))+SUMPRODUCT((Inputs!$E$5:$E$120=$B25)*Inputs!$F$5:$F$120*(((Inputs!$G$5:$G$120="moeda")+(Inputs!$G$5:$G$120="acoes"))*Inputs!$B$1+((Inputs!$G$5:$G$120&lt;&gt;"moeda")*(Inputs!$G$5:$G$120&lt;&gt;"acoes")))*INDEX(Inputs!$K$5:$AJ$120,0,MATCH(AC$2,Inputs!$K$4:$AJ$4,0)))))</f>
        <v>0</v>
      </c>
      <c r="AD25" s="6">
        <f>IF(ISNA(MATCH(AD$2,Inputs!$K$4:$AJ$4,0)),NA(),IF(SUMPRODUCT((Inputs!$A$5:$A$120=$B25)*ISNUMBER(INDEX(Inputs!$K$5:$AJ$120,0,MATCH(AD$2,Inputs!$K$4:$AJ$4,0))))+SUMPRODUCT((Inputs!$C$5:$C$120=$B25)*ISNUMBER(INDEX(Inputs!$K$5:$AJ$120,0,MATCH(AD$2,Inputs!$K$4:$AJ$4,0))))+SUMPRODUCT((Inputs!$E$5:$E$120=$B25)*ISNUMBER(INDEX(Inputs!$K$5:$AJ$120,0,MATCH(AD$2,Inputs!$K$4:$AJ$4,0))))=0,NA(),SUMPRODUCT((Inputs!$A$5:$A$120=$B25)*Inputs!$B$5:$B$120*(((Inputs!$G$5:$G$120="moeda")+(Inputs!$G$5:$G$120="acoes"))*Inputs!$B$1+((Inputs!$G$5:$G$120&lt;&gt;"moeda")*(Inputs!$G$5:$G$120&lt;&gt;"acoes")))*INDEX(Inputs!$K$5:$AJ$120,0,MATCH(AD$2,Inputs!$K$4:$AJ$4,0)))+SUMPRODUCT((Inputs!$C$5:$C$120=$B25)*Inputs!$D$5:$D$120*(((Inputs!$G$5:$G$120="moeda")+(Inputs!$G$5:$G$120="acoes"))*Inputs!$B$1+((Inputs!$G$5:$G$120&lt;&gt;"moeda")*(Inputs!$G$5:$G$120&lt;&gt;"acoes")))*INDEX(Inputs!$K$5:$AJ$120,0,MATCH(AD$2,Inputs!$K$4:$AJ$4,0)))+SUMPRODUCT((Inputs!$E$5:$E$120=$B25)*Inputs!$F$5:$F$120*(((Inputs!$G$5:$G$120="moeda")+(Inputs!$G$5:$G$120="acoes"))*Inputs!$B$1+((Inputs!$G$5:$G$120&lt;&gt;"moeda")*(Inputs!$G$5:$G$120&lt;&gt;"acoes")))*INDEX(Inputs!$K$5:$AJ$120,0,MATCH(AD$2,Inputs!$K$4:$AJ$4,0)))))</f>
        <v>0</v>
      </c>
      <c r="AE25" s="6" t="e">
        <f>IF(ISNA(MATCH(AE$2,Inputs!$K$4:$AJ$4,0)),NA(),IF(SUMPRODUCT((Inputs!$A$5:$A$120=$B25)*ISNUMBER(INDEX(Inputs!$K$5:$AJ$120,0,MATCH(AE$2,Inputs!$K$4:$AJ$4,0))))+SUMPRODUCT((Inputs!$C$5:$C$120=$B25)*ISNUMBER(INDEX(Inputs!$K$5:$AJ$120,0,MATCH(AE$2,Inputs!$K$4:$AJ$4,0))))+SUMPRODUCT((Inputs!$E$5:$E$120=$B25)*ISNUMBER(INDEX(Inputs!$K$5:$AJ$120,0,MATCH(AE$2,Inputs!$K$4:$AJ$4,0))))=0,NA(),SUMPRODUCT((Inputs!$A$5:$A$120=$B25)*Inputs!$B$5:$B$120*(((Inputs!$G$5:$G$120="moeda")+(Inputs!$G$5:$G$120="acoes"))*Inputs!$B$1+((Inputs!$G$5:$G$120&lt;&gt;"moeda")*(Inputs!$G$5:$G$120&lt;&gt;"acoes")))*INDEX(Inputs!$K$5:$AJ$120,0,MATCH(AE$2,Inputs!$K$4:$AJ$4,0)))+SUMPRODUCT((Inputs!$C$5:$C$120=$B25)*Inputs!$D$5:$D$120*(((Inputs!$G$5:$G$120="moeda")+(Inputs!$G$5:$G$120="acoes"))*Inputs!$B$1+((Inputs!$G$5:$G$120&lt;&gt;"moeda")*(Inputs!$G$5:$G$120&lt;&gt;"acoes")))*INDEX(Inputs!$K$5:$AJ$120,0,MATCH(AE$2,Inputs!$K$4:$AJ$4,0)))+SUMPRODUCT((Inputs!$E$5:$E$120=$B25)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25" s="6" t="e">
        <f>IF(ISNA(MATCH(AF$2,Inputs!$K$4:$AJ$4,0)),NA(),IF(SUMPRODUCT((Inputs!$A$5:$A$120=$B25)*ISNUMBER(INDEX(Inputs!$K$5:$AJ$120,0,MATCH(AF$2,Inputs!$K$4:$AJ$4,0))))+SUMPRODUCT((Inputs!$C$5:$C$120=$B25)*ISNUMBER(INDEX(Inputs!$K$5:$AJ$120,0,MATCH(AF$2,Inputs!$K$4:$AJ$4,0))))+SUMPRODUCT((Inputs!$E$5:$E$120=$B25)*ISNUMBER(INDEX(Inputs!$K$5:$AJ$120,0,MATCH(AF$2,Inputs!$K$4:$AJ$4,0))))=0,NA(),SUMPRODUCT((Inputs!$A$5:$A$120=$B25)*Inputs!$B$5:$B$120*(((Inputs!$G$5:$G$120="moeda")+(Inputs!$G$5:$G$120="acoes"))*Inputs!$B$1+((Inputs!$G$5:$G$120&lt;&gt;"moeda")*(Inputs!$G$5:$G$120&lt;&gt;"acoes")))*INDEX(Inputs!$K$5:$AJ$120,0,MATCH(AF$2,Inputs!$K$4:$AJ$4,0)))+SUMPRODUCT((Inputs!$C$5:$C$120=$B25)*Inputs!$D$5:$D$120*(((Inputs!$G$5:$G$120="moeda")+(Inputs!$G$5:$G$120="acoes"))*Inputs!$B$1+((Inputs!$G$5:$G$120&lt;&gt;"moeda")*(Inputs!$G$5:$G$120&lt;&gt;"acoes")))*INDEX(Inputs!$K$5:$AJ$120,0,MATCH(AF$2,Inputs!$K$4:$AJ$4,0)))+SUMPRODUCT((Inputs!$E$5:$E$120=$B25)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25" s="3" t="e">
        <f>AF25</f>
        <v>#N/A</v>
      </c>
      <c r="AH25" s="6">
        <f>IF(ISNA(MATCH(AH$2,Inputs!$K$4:$AJ$4,0)),NA(),IF(SUMPRODUCT((Inputs!$A$5:$A$120=$B25)*ISNUMBER(INDEX(Inputs!$K$5:$AJ$120,0,MATCH(AH$2,Inputs!$K$4:$AJ$4,0))))+SUMPRODUCT((Inputs!$C$5:$C$120=$B25)*ISNUMBER(INDEX(Inputs!$K$5:$AJ$120,0,MATCH(AH$2,Inputs!$K$4:$AJ$4,0))))+SUMPRODUCT((Inputs!$E$5:$E$120=$B25)*ISNUMBER(INDEX(Inputs!$K$5:$AJ$120,0,MATCH(AH$2,Inputs!$K$4:$AJ$4,0))))=0,NA(),SUMPRODUCT((Inputs!$A$5:$A$120=$B25)*Inputs!$B$5:$B$120*(((Inputs!$G$5:$G$120="moeda")+(Inputs!$G$5:$G$120="acoes"))*Inputs!$B$1+((Inputs!$G$5:$G$120&lt;&gt;"moeda")*(Inputs!$G$5:$G$120&lt;&gt;"acoes")))*INDEX(Inputs!$K$5:$AJ$120,0,MATCH(AH$2,Inputs!$K$4:$AJ$4,0)))+SUMPRODUCT((Inputs!$C$5:$C$120=$B25)*Inputs!$D$5:$D$120*(((Inputs!$G$5:$G$120="moeda")+(Inputs!$G$5:$G$120="acoes"))*Inputs!$B$1+((Inputs!$G$5:$G$120&lt;&gt;"moeda")*(Inputs!$G$5:$G$120&lt;&gt;"acoes")))*INDEX(Inputs!$K$5:$AJ$120,0,MATCH(AH$2,Inputs!$K$4:$AJ$4,0)))+SUMPRODUCT((Inputs!$E$5:$E$120=$B25)*Inputs!$F$5:$F$120*(((Inputs!$G$5:$G$120="moeda")+(Inputs!$G$5:$G$120="acoes"))*Inputs!$B$1+((Inputs!$G$5:$G$120&lt;&gt;"moeda")*(Inputs!$G$5:$G$120&lt;&gt;"acoes")))*INDEX(Inputs!$K$5:$AJ$120,0,MATCH(AH$2,Inputs!$K$4:$AJ$4,0)))))</f>
        <v>323</v>
      </c>
      <c r="AI25" s="6">
        <f>IF(ISNA(MATCH(AI$2,Inputs!$K$4:$AJ$4,0)),NA(),IF(SUMPRODUCT((Inputs!$A$5:$A$120=$B25)*ISNUMBER(INDEX(Inputs!$K$5:$AJ$120,0,MATCH(AI$2,Inputs!$K$4:$AJ$4,0))))+SUMPRODUCT((Inputs!$C$5:$C$120=$B25)*ISNUMBER(INDEX(Inputs!$K$5:$AJ$120,0,MATCH(AI$2,Inputs!$K$4:$AJ$4,0))))+SUMPRODUCT((Inputs!$E$5:$E$120=$B25)*ISNUMBER(INDEX(Inputs!$K$5:$AJ$120,0,MATCH(AI$2,Inputs!$K$4:$AJ$4,0))))=0,NA(),SUMPRODUCT((Inputs!$A$5:$A$120=$B25)*Inputs!$B$5:$B$120*(((Inputs!$G$5:$G$120="moeda")+(Inputs!$G$5:$G$120="acoes"))*Inputs!$B$1+((Inputs!$G$5:$G$120&lt;&gt;"moeda")*(Inputs!$G$5:$G$120&lt;&gt;"acoes")))*INDEX(Inputs!$K$5:$AJ$120,0,MATCH(AI$2,Inputs!$K$4:$AJ$4,0)))+SUMPRODUCT((Inputs!$C$5:$C$120=$B25)*Inputs!$D$5:$D$120*(((Inputs!$G$5:$G$120="moeda")+(Inputs!$G$5:$G$120="acoes"))*Inputs!$B$1+((Inputs!$G$5:$G$120&lt;&gt;"moeda")*(Inputs!$G$5:$G$120&lt;&gt;"acoes")))*INDEX(Inputs!$K$5:$AJ$120,0,MATCH(AI$2,Inputs!$K$4:$AJ$4,0)))+SUMPRODUCT((Inputs!$E$5:$E$120=$B25)*Inputs!$F$5:$F$120*(((Inputs!$G$5:$G$120="moeda")+(Inputs!$G$5:$G$120="acoes"))*Inputs!$B$1+((Inputs!$G$5:$G$120&lt;&gt;"moeda")*(Inputs!$G$5:$G$120&lt;&gt;"acoes")))*INDEX(Inputs!$K$5:$AJ$120,0,MATCH(AI$2,Inputs!$K$4:$AJ$4,0)))))</f>
        <v>312</v>
      </c>
      <c r="AJ25" s="6">
        <f>IF(ISNA(MATCH(AJ$2,Inputs!$K$4:$AJ$4,0)),NA(),IF(SUMPRODUCT((Inputs!$A$5:$A$120=$B25)*ISNUMBER(INDEX(Inputs!$K$5:$AJ$120,0,MATCH(AJ$2,Inputs!$K$4:$AJ$4,0))))+SUMPRODUCT((Inputs!$C$5:$C$120=$B25)*ISNUMBER(INDEX(Inputs!$K$5:$AJ$120,0,MATCH(AJ$2,Inputs!$K$4:$AJ$4,0))))+SUMPRODUCT((Inputs!$E$5:$E$120=$B25)*ISNUMBER(INDEX(Inputs!$K$5:$AJ$120,0,MATCH(AJ$2,Inputs!$K$4:$AJ$4,0))))=0,NA(),SUMPRODUCT((Inputs!$A$5:$A$120=$B25)*Inputs!$B$5:$B$120*(((Inputs!$G$5:$G$120="moeda")+(Inputs!$G$5:$G$120="acoes"))*Inputs!$B$1+((Inputs!$G$5:$G$120&lt;&gt;"moeda")*(Inputs!$G$5:$G$120&lt;&gt;"acoes")))*INDEX(Inputs!$K$5:$AJ$120,0,MATCH(AJ$2,Inputs!$K$4:$AJ$4,0)))+SUMPRODUCT((Inputs!$C$5:$C$120=$B25)*Inputs!$D$5:$D$120*(((Inputs!$G$5:$G$120="moeda")+(Inputs!$G$5:$G$120="acoes"))*Inputs!$B$1+((Inputs!$G$5:$G$120&lt;&gt;"moeda")*(Inputs!$G$5:$G$120&lt;&gt;"acoes")))*INDEX(Inputs!$K$5:$AJ$120,0,MATCH(AJ$2,Inputs!$K$4:$AJ$4,0)))+SUMPRODUCT((Inputs!$E$5:$E$120=$B25)*Inputs!$F$5:$F$120*(((Inputs!$G$5:$G$120="moeda")+(Inputs!$G$5:$G$120="acoes"))*Inputs!$B$1+((Inputs!$G$5:$G$120&lt;&gt;"moeda")*(Inputs!$G$5:$G$120&lt;&gt;"acoes")))*INDEX(Inputs!$K$5:$AJ$120,0,MATCH(AJ$2,Inputs!$K$4:$AJ$4,0)))))</f>
        <v>318</v>
      </c>
      <c r="AK25" s="6">
        <f>IF(ISNA(MATCH(AK$2,Inputs!$K$4:$AJ$4,0)),NA(),IF(SUMPRODUCT((Inputs!$A$5:$A$120=$B25)*ISNUMBER(INDEX(Inputs!$K$5:$AJ$120,0,MATCH(AK$2,Inputs!$K$4:$AJ$4,0))))+SUMPRODUCT((Inputs!$C$5:$C$120=$B25)*ISNUMBER(INDEX(Inputs!$K$5:$AJ$120,0,MATCH(AK$2,Inputs!$K$4:$AJ$4,0))))+SUMPRODUCT((Inputs!$E$5:$E$120=$B25)*ISNUMBER(INDEX(Inputs!$K$5:$AJ$120,0,MATCH(AK$2,Inputs!$K$4:$AJ$4,0))))=0,NA(),SUMPRODUCT((Inputs!$A$5:$A$120=$B25)*Inputs!$B$5:$B$120*(((Inputs!$G$5:$G$120="moeda")+(Inputs!$G$5:$G$120="acoes"))*Inputs!$B$1+((Inputs!$G$5:$G$120&lt;&gt;"moeda")*(Inputs!$G$5:$G$120&lt;&gt;"acoes")))*INDEX(Inputs!$K$5:$AJ$120,0,MATCH(AK$2,Inputs!$K$4:$AJ$4,0)))+SUMPRODUCT((Inputs!$C$5:$C$120=$B25)*Inputs!$D$5:$D$120*(((Inputs!$G$5:$G$120="moeda")+(Inputs!$G$5:$G$120="acoes"))*Inputs!$B$1+((Inputs!$G$5:$G$120&lt;&gt;"moeda")*(Inputs!$G$5:$G$120&lt;&gt;"acoes")))*INDEX(Inputs!$K$5:$AJ$120,0,MATCH(AK$2,Inputs!$K$4:$AJ$4,0)))+SUMPRODUCT((Inputs!$E$5:$E$120=$B25)*Inputs!$F$5:$F$120*(((Inputs!$G$5:$G$120="moeda")+(Inputs!$G$5:$G$120="acoes"))*Inputs!$B$1+((Inputs!$G$5:$G$120&lt;&gt;"moeda")*(Inputs!$G$5:$G$120&lt;&gt;"acoes")))*INDEX(Inputs!$K$5:$AJ$120,0,MATCH(AK$2,Inputs!$K$4:$AJ$4,0)))))</f>
        <v>313</v>
      </c>
      <c r="AL25" s="3">
        <f>AK25</f>
        <v>313</v>
      </c>
    </row>
    <row r="26">
      <c r="B26" s="46" t="n">
        <v>22</v>
      </c>
      <c r="C26" s="26" t="inlineStr">
        <is>
          <t>Other non-current assets</t>
        </is>
      </c>
      <c r="D26" s="6">
        <f>IF(ISNA(MATCH(D$2,Inputs!$K$4:$AJ$4,0)),NA(),IF(SUMPRODUCT((Inputs!$A$5:$A$120=$B26)*ISNUMBER(INDEX(Inputs!$K$5:$AJ$120,0,MATCH(D$2,Inputs!$K$4:$AJ$4,0))))+SUMPRODUCT((Inputs!$C$5:$C$120=$B26)*ISNUMBER(INDEX(Inputs!$K$5:$AJ$120,0,MATCH(D$2,Inputs!$K$4:$AJ$4,0))))+SUMPRODUCT((Inputs!$E$5:$E$120=$B26)*ISNUMBER(INDEX(Inputs!$K$5:$AJ$120,0,MATCH(D$2,Inputs!$K$4:$AJ$4,0))))=0,NA(),SUMPRODUCT((Inputs!$A$5:$A$120=$B26)*Inputs!$B$5:$B$120*(((Inputs!$G$5:$G$120="moeda")+(Inputs!$G$5:$G$120="acoes"))*Inputs!$B$1+((Inputs!$G$5:$G$120&lt;&gt;"moeda")*(Inputs!$G$5:$G$120&lt;&gt;"acoes")))*INDEX(Inputs!$K$5:$AJ$120,0,MATCH(D$2,Inputs!$K$4:$AJ$4,0)))+SUMPRODUCT((Inputs!$C$5:$C$120=$B26)*Inputs!$D$5:$D$120*(((Inputs!$G$5:$G$120="moeda")+(Inputs!$G$5:$G$120="acoes"))*Inputs!$B$1+((Inputs!$G$5:$G$120&lt;&gt;"moeda")*(Inputs!$G$5:$G$120&lt;&gt;"acoes")))*INDEX(Inputs!$K$5:$AJ$120,0,MATCH(D$2,Inputs!$K$4:$AJ$4,0)))+SUMPRODUCT((Inputs!$E$5:$E$120=$B26)*Inputs!$F$5:$F$120*(((Inputs!$G$5:$G$120="moeda")+(Inputs!$G$5:$G$120="acoes"))*Inputs!$B$1+((Inputs!$G$5:$G$120&lt;&gt;"moeda")*(Inputs!$G$5:$G$120&lt;&gt;"acoes")))*INDEX(Inputs!$K$5:$AJ$120,0,MATCH(D$2,Inputs!$K$4:$AJ$4,0)))))</f>
        <v>12247</v>
      </c>
      <c r="E26" s="6">
        <f>IF(ISNA(MATCH(E$2,Inputs!$K$4:$AJ$4,0)),NA(),IF(SUMPRODUCT((Inputs!$A$5:$A$120=$B26)*ISNUMBER(INDEX(Inputs!$K$5:$AJ$120,0,MATCH(E$2,Inputs!$K$4:$AJ$4,0))))+SUMPRODUCT((Inputs!$C$5:$C$120=$B26)*ISNUMBER(INDEX(Inputs!$K$5:$AJ$120,0,MATCH(E$2,Inputs!$K$4:$AJ$4,0))))+SUMPRODUCT((Inputs!$E$5:$E$120=$B26)*ISNUMBER(INDEX(Inputs!$K$5:$AJ$120,0,MATCH(E$2,Inputs!$K$4:$AJ$4,0))))=0,NA(),SUMPRODUCT((Inputs!$A$5:$A$120=$B26)*Inputs!$B$5:$B$120*(((Inputs!$G$5:$G$120="moeda")+(Inputs!$G$5:$G$120="acoes"))*Inputs!$B$1+((Inputs!$G$5:$G$120&lt;&gt;"moeda")*(Inputs!$G$5:$G$120&lt;&gt;"acoes")))*INDEX(Inputs!$K$5:$AJ$120,0,MATCH(E$2,Inputs!$K$4:$AJ$4,0)))+SUMPRODUCT((Inputs!$C$5:$C$120=$B26)*Inputs!$D$5:$D$120*(((Inputs!$G$5:$G$120="moeda")+(Inputs!$G$5:$G$120="acoes"))*Inputs!$B$1+((Inputs!$G$5:$G$120&lt;&gt;"moeda")*(Inputs!$G$5:$G$120&lt;&gt;"acoes")))*INDEX(Inputs!$K$5:$AJ$120,0,MATCH(E$2,Inputs!$K$4:$AJ$4,0)))+SUMPRODUCT((Inputs!$E$5:$E$120=$B26)*Inputs!$F$5:$F$120*(((Inputs!$G$5:$G$120="moeda")+(Inputs!$G$5:$G$120="acoes"))*Inputs!$B$1+((Inputs!$G$5:$G$120&lt;&gt;"moeda")*(Inputs!$G$5:$G$120&lt;&gt;"acoes")))*INDEX(Inputs!$K$5:$AJ$120,0,MATCH(E$2,Inputs!$K$4:$AJ$4,0)))))</f>
        <v>12568</v>
      </c>
      <c r="F26" s="6">
        <f>IF(ISNA(MATCH(F$2,Inputs!$K$4:$AJ$4,0)),NA(),IF(SUMPRODUCT((Inputs!$A$5:$A$120=$B26)*ISNUMBER(INDEX(Inputs!$K$5:$AJ$120,0,MATCH(F$2,Inputs!$K$4:$AJ$4,0))))+SUMPRODUCT((Inputs!$C$5:$C$120=$B26)*ISNUMBER(INDEX(Inputs!$K$5:$AJ$120,0,MATCH(F$2,Inputs!$K$4:$AJ$4,0))))+SUMPRODUCT((Inputs!$E$5:$E$120=$B26)*ISNUMBER(INDEX(Inputs!$K$5:$AJ$120,0,MATCH(F$2,Inputs!$K$4:$AJ$4,0))))=0,NA(),SUMPRODUCT((Inputs!$A$5:$A$120=$B26)*Inputs!$B$5:$B$120*(((Inputs!$G$5:$G$120="moeda")+(Inputs!$G$5:$G$120="acoes"))*Inputs!$B$1+((Inputs!$G$5:$G$120&lt;&gt;"moeda")*(Inputs!$G$5:$G$120&lt;&gt;"acoes")))*INDEX(Inputs!$K$5:$AJ$120,0,MATCH(F$2,Inputs!$K$4:$AJ$4,0)))+SUMPRODUCT((Inputs!$C$5:$C$120=$B26)*Inputs!$D$5:$D$120*(((Inputs!$G$5:$G$120="moeda")+(Inputs!$G$5:$G$120="acoes"))*Inputs!$B$1+((Inputs!$G$5:$G$120&lt;&gt;"moeda")*(Inputs!$G$5:$G$120&lt;&gt;"acoes")))*INDEX(Inputs!$K$5:$AJ$120,0,MATCH(F$2,Inputs!$K$4:$AJ$4,0)))+SUMPRODUCT((Inputs!$E$5:$E$120=$B26)*Inputs!$F$5:$F$120*(((Inputs!$G$5:$G$120="moeda")+(Inputs!$G$5:$G$120="acoes"))*Inputs!$B$1+((Inputs!$G$5:$G$120&lt;&gt;"moeda")*(Inputs!$G$5:$G$120&lt;&gt;"acoes")))*INDEX(Inputs!$K$5:$AJ$120,0,MATCH(F$2,Inputs!$K$4:$AJ$4,0)))))</f>
        <v>13102</v>
      </c>
      <c r="G26" s="6">
        <f>IF(ISNA(MATCH(G$2,Inputs!$K$4:$AJ$4,0)),NA(),IF(SUMPRODUCT((Inputs!$A$5:$A$120=$B26)*ISNUMBER(INDEX(Inputs!$K$5:$AJ$120,0,MATCH(G$2,Inputs!$K$4:$AJ$4,0))))+SUMPRODUCT((Inputs!$C$5:$C$120=$B26)*ISNUMBER(INDEX(Inputs!$K$5:$AJ$120,0,MATCH(G$2,Inputs!$K$4:$AJ$4,0))))+SUMPRODUCT((Inputs!$E$5:$E$120=$B26)*ISNUMBER(INDEX(Inputs!$K$5:$AJ$120,0,MATCH(G$2,Inputs!$K$4:$AJ$4,0))))=0,NA(),SUMPRODUCT((Inputs!$A$5:$A$120=$B26)*Inputs!$B$5:$B$120*(((Inputs!$G$5:$G$120="moeda")+(Inputs!$G$5:$G$120="acoes"))*Inputs!$B$1+((Inputs!$G$5:$G$120&lt;&gt;"moeda")*(Inputs!$G$5:$G$120&lt;&gt;"acoes")))*INDEX(Inputs!$K$5:$AJ$120,0,MATCH(G$2,Inputs!$K$4:$AJ$4,0)))+SUMPRODUCT((Inputs!$C$5:$C$120=$B26)*Inputs!$D$5:$D$120*(((Inputs!$G$5:$G$120="moeda")+(Inputs!$G$5:$G$120="acoes"))*Inputs!$B$1+((Inputs!$G$5:$G$120&lt;&gt;"moeda")*(Inputs!$G$5:$G$120&lt;&gt;"acoes")))*INDEX(Inputs!$K$5:$AJ$120,0,MATCH(G$2,Inputs!$K$4:$AJ$4,0)))+SUMPRODUCT((Inputs!$E$5:$E$120=$B26)*Inputs!$F$5:$F$120*(((Inputs!$G$5:$G$120="moeda")+(Inputs!$G$5:$G$120="acoes"))*Inputs!$B$1+((Inputs!$G$5:$G$120&lt;&gt;"moeda")*(Inputs!$G$5:$G$120&lt;&gt;"acoes")))*INDEX(Inputs!$K$5:$AJ$120,0,MATCH(G$2,Inputs!$K$4:$AJ$4,0)))))</f>
        <v>13674</v>
      </c>
      <c r="H26" s="3">
        <f>G26</f>
        <v>13674</v>
      </c>
      <c r="I26" s="6">
        <f>IF(ISNA(MATCH(I$2,Inputs!$K$4:$AJ$4,0)),NA(),IF(SUMPRODUCT((Inputs!$A$5:$A$120=$B26)*ISNUMBER(INDEX(Inputs!$K$5:$AJ$120,0,MATCH(I$2,Inputs!$K$4:$AJ$4,0))))+SUMPRODUCT((Inputs!$C$5:$C$120=$B26)*ISNUMBER(INDEX(Inputs!$K$5:$AJ$120,0,MATCH(I$2,Inputs!$K$4:$AJ$4,0))))+SUMPRODUCT((Inputs!$E$5:$E$120=$B26)*ISNUMBER(INDEX(Inputs!$K$5:$AJ$120,0,MATCH(I$2,Inputs!$K$4:$AJ$4,0))))=0,NA(),SUMPRODUCT((Inputs!$A$5:$A$120=$B26)*Inputs!$B$5:$B$120*(((Inputs!$G$5:$G$120="moeda")+(Inputs!$G$5:$G$120="acoes"))*Inputs!$B$1+((Inputs!$G$5:$G$120&lt;&gt;"moeda")*(Inputs!$G$5:$G$120&lt;&gt;"acoes")))*INDEX(Inputs!$K$5:$AJ$120,0,MATCH(I$2,Inputs!$K$4:$AJ$4,0)))+SUMPRODUCT((Inputs!$C$5:$C$120=$B26)*Inputs!$D$5:$D$120*(((Inputs!$G$5:$G$120="moeda")+(Inputs!$G$5:$G$120="acoes"))*Inputs!$B$1+((Inputs!$G$5:$G$120&lt;&gt;"moeda")*(Inputs!$G$5:$G$120&lt;&gt;"acoes")))*INDEX(Inputs!$K$5:$AJ$120,0,MATCH(I$2,Inputs!$K$4:$AJ$4,0)))+SUMPRODUCT((Inputs!$E$5:$E$120=$B26)*Inputs!$F$5:$F$120*(((Inputs!$G$5:$G$120="moeda")+(Inputs!$G$5:$G$120="acoes"))*Inputs!$B$1+((Inputs!$G$5:$G$120&lt;&gt;"moeda")*(Inputs!$G$5:$G$120&lt;&gt;"acoes")))*INDEX(Inputs!$K$5:$AJ$120,0,MATCH(I$2,Inputs!$K$4:$AJ$4,0)))))</f>
        <v>14326</v>
      </c>
      <c r="J26" s="6">
        <f>IF(ISNA(MATCH(J$2,Inputs!$K$4:$AJ$4,0)),NA(),IF(SUMPRODUCT((Inputs!$A$5:$A$120=$B26)*ISNUMBER(INDEX(Inputs!$K$5:$AJ$120,0,MATCH(J$2,Inputs!$K$4:$AJ$4,0))))+SUMPRODUCT((Inputs!$C$5:$C$120=$B26)*ISNUMBER(INDEX(Inputs!$K$5:$AJ$120,0,MATCH(J$2,Inputs!$K$4:$AJ$4,0))))+SUMPRODUCT((Inputs!$E$5:$E$120=$B26)*ISNUMBER(INDEX(Inputs!$K$5:$AJ$120,0,MATCH(J$2,Inputs!$K$4:$AJ$4,0))))=0,NA(),SUMPRODUCT((Inputs!$A$5:$A$120=$B26)*Inputs!$B$5:$B$120*(((Inputs!$G$5:$G$120="moeda")+(Inputs!$G$5:$G$120="acoes"))*Inputs!$B$1+((Inputs!$G$5:$G$120&lt;&gt;"moeda")*(Inputs!$G$5:$G$120&lt;&gt;"acoes")))*INDEX(Inputs!$K$5:$AJ$120,0,MATCH(J$2,Inputs!$K$4:$AJ$4,0)))+SUMPRODUCT((Inputs!$C$5:$C$120=$B26)*Inputs!$D$5:$D$120*(((Inputs!$G$5:$G$120="moeda")+(Inputs!$G$5:$G$120="acoes"))*Inputs!$B$1+((Inputs!$G$5:$G$120&lt;&gt;"moeda")*(Inputs!$G$5:$G$120&lt;&gt;"acoes")))*INDEX(Inputs!$K$5:$AJ$120,0,MATCH(J$2,Inputs!$K$4:$AJ$4,0)))+SUMPRODUCT((Inputs!$E$5:$E$120=$B26)*Inputs!$F$5:$F$120*(((Inputs!$G$5:$G$120="moeda")+(Inputs!$G$5:$G$120="acoes"))*Inputs!$B$1+((Inputs!$G$5:$G$120&lt;&gt;"moeda")*(Inputs!$G$5:$G$120&lt;&gt;"acoes")))*INDEX(Inputs!$K$5:$AJ$120,0,MATCH(J$2,Inputs!$K$4:$AJ$4,0)))))</f>
        <v>13576</v>
      </c>
      <c r="K26" s="6">
        <f>IF(ISNA(MATCH(K$2,Inputs!$K$4:$AJ$4,0)),NA(),IF(SUMPRODUCT((Inputs!$A$5:$A$120=$B26)*ISNUMBER(INDEX(Inputs!$K$5:$AJ$120,0,MATCH(K$2,Inputs!$K$4:$AJ$4,0))))+SUMPRODUCT((Inputs!$C$5:$C$120=$B26)*ISNUMBER(INDEX(Inputs!$K$5:$AJ$120,0,MATCH(K$2,Inputs!$K$4:$AJ$4,0))))+SUMPRODUCT((Inputs!$E$5:$E$120=$B26)*ISNUMBER(INDEX(Inputs!$K$5:$AJ$120,0,MATCH(K$2,Inputs!$K$4:$AJ$4,0))))=0,NA(),SUMPRODUCT((Inputs!$A$5:$A$120=$B26)*Inputs!$B$5:$B$120*(((Inputs!$G$5:$G$120="moeda")+(Inputs!$G$5:$G$120="acoes"))*Inputs!$B$1+((Inputs!$G$5:$G$120&lt;&gt;"moeda")*(Inputs!$G$5:$G$120&lt;&gt;"acoes")))*INDEX(Inputs!$K$5:$AJ$120,0,MATCH(K$2,Inputs!$K$4:$AJ$4,0)))+SUMPRODUCT((Inputs!$C$5:$C$120=$B26)*Inputs!$D$5:$D$120*(((Inputs!$G$5:$G$120="moeda")+(Inputs!$G$5:$G$120="acoes"))*Inputs!$B$1+((Inputs!$G$5:$G$120&lt;&gt;"moeda")*(Inputs!$G$5:$G$120&lt;&gt;"acoes")))*INDEX(Inputs!$K$5:$AJ$120,0,MATCH(K$2,Inputs!$K$4:$AJ$4,0)))+SUMPRODUCT((Inputs!$E$5:$E$120=$B26)*Inputs!$F$5:$F$120*(((Inputs!$G$5:$G$120="moeda")+(Inputs!$G$5:$G$120="acoes"))*Inputs!$B$1+((Inputs!$G$5:$G$120&lt;&gt;"moeda")*(Inputs!$G$5:$G$120&lt;&gt;"acoes")))*INDEX(Inputs!$K$5:$AJ$120,0,MATCH(K$2,Inputs!$K$4:$AJ$4,0)))))</f>
        <v>13840</v>
      </c>
      <c r="L26" s="6">
        <f>IF(ISNA(MATCH(L$2,Inputs!$K$4:$AJ$4,0)),NA(),IF(SUMPRODUCT((Inputs!$A$5:$A$120=$B26)*ISNUMBER(INDEX(Inputs!$K$5:$AJ$120,0,MATCH(L$2,Inputs!$K$4:$AJ$4,0))))+SUMPRODUCT((Inputs!$C$5:$C$120=$B26)*ISNUMBER(INDEX(Inputs!$K$5:$AJ$120,0,MATCH(L$2,Inputs!$K$4:$AJ$4,0))))+SUMPRODUCT((Inputs!$E$5:$E$120=$B26)*ISNUMBER(INDEX(Inputs!$K$5:$AJ$120,0,MATCH(L$2,Inputs!$K$4:$AJ$4,0))))=0,NA(),SUMPRODUCT((Inputs!$A$5:$A$120=$B26)*Inputs!$B$5:$B$120*(((Inputs!$G$5:$G$120="moeda")+(Inputs!$G$5:$G$120="acoes"))*Inputs!$B$1+((Inputs!$G$5:$G$120&lt;&gt;"moeda")*(Inputs!$G$5:$G$120&lt;&gt;"acoes")))*INDEX(Inputs!$K$5:$AJ$120,0,MATCH(L$2,Inputs!$K$4:$AJ$4,0)))+SUMPRODUCT((Inputs!$C$5:$C$120=$B26)*Inputs!$D$5:$D$120*(((Inputs!$G$5:$G$120="moeda")+(Inputs!$G$5:$G$120="acoes"))*Inputs!$B$1+((Inputs!$G$5:$G$120&lt;&gt;"moeda")*(Inputs!$G$5:$G$120&lt;&gt;"acoes")))*INDEX(Inputs!$K$5:$AJ$120,0,MATCH(L$2,Inputs!$K$4:$AJ$4,0)))+SUMPRODUCT((Inputs!$E$5:$E$120=$B26)*Inputs!$F$5:$F$120*(((Inputs!$G$5:$G$120="moeda")+(Inputs!$G$5:$G$120="acoes"))*Inputs!$B$1+((Inputs!$G$5:$G$120&lt;&gt;"moeda")*(Inputs!$G$5:$G$120&lt;&gt;"acoes")))*INDEX(Inputs!$K$5:$AJ$120,0,MATCH(L$2,Inputs!$K$4:$AJ$4,0)))))</f>
        <v>14901</v>
      </c>
      <c r="M26" s="3">
        <f>L26</f>
        <v>14901</v>
      </c>
      <c r="N26" s="6">
        <f>IF(ISNA(MATCH(N$2,Inputs!$K$4:$AJ$4,0)),NA(),IF(SUMPRODUCT((Inputs!$A$5:$A$120=$B26)*ISNUMBER(INDEX(Inputs!$K$5:$AJ$120,0,MATCH(N$2,Inputs!$K$4:$AJ$4,0))))+SUMPRODUCT((Inputs!$C$5:$C$120=$B26)*ISNUMBER(INDEX(Inputs!$K$5:$AJ$120,0,MATCH(N$2,Inputs!$K$4:$AJ$4,0))))+SUMPRODUCT((Inputs!$E$5:$E$120=$B26)*ISNUMBER(INDEX(Inputs!$K$5:$AJ$120,0,MATCH(N$2,Inputs!$K$4:$AJ$4,0))))=0,NA(),SUMPRODUCT((Inputs!$A$5:$A$120=$B26)*Inputs!$B$5:$B$120*(((Inputs!$G$5:$G$120="moeda")+(Inputs!$G$5:$G$120="acoes"))*Inputs!$B$1+((Inputs!$G$5:$G$120&lt;&gt;"moeda")*(Inputs!$G$5:$G$120&lt;&gt;"acoes")))*INDEX(Inputs!$K$5:$AJ$120,0,MATCH(N$2,Inputs!$K$4:$AJ$4,0)))+SUMPRODUCT((Inputs!$C$5:$C$120=$B26)*Inputs!$D$5:$D$120*(((Inputs!$G$5:$G$120="moeda")+(Inputs!$G$5:$G$120="acoes"))*Inputs!$B$1+((Inputs!$G$5:$G$120&lt;&gt;"moeda")*(Inputs!$G$5:$G$120&lt;&gt;"acoes")))*INDEX(Inputs!$K$5:$AJ$120,0,MATCH(N$2,Inputs!$K$4:$AJ$4,0)))+SUMPRODUCT((Inputs!$E$5:$E$120=$B26)*Inputs!$F$5:$F$120*(((Inputs!$G$5:$G$120="moeda")+(Inputs!$G$5:$G$120="acoes"))*Inputs!$B$1+((Inputs!$G$5:$G$120&lt;&gt;"moeda")*(Inputs!$G$5:$G$120&lt;&gt;"acoes")))*INDEX(Inputs!$K$5:$AJ$120,0,MATCH(N$2,Inputs!$K$4:$AJ$4,0)))))</f>
        <v>15668</v>
      </c>
      <c r="O26" s="6">
        <f>IF(ISNA(MATCH(O$2,Inputs!$K$4:$AJ$4,0)),NA(),IF(SUMPRODUCT((Inputs!$A$5:$A$120=$B26)*ISNUMBER(INDEX(Inputs!$K$5:$AJ$120,0,MATCH(O$2,Inputs!$K$4:$AJ$4,0))))+SUMPRODUCT((Inputs!$C$5:$C$120=$B26)*ISNUMBER(INDEX(Inputs!$K$5:$AJ$120,0,MATCH(O$2,Inputs!$K$4:$AJ$4,0))))+SUMPRODUCT((Inputs!$E$5:$E$120=$B26)*ISNUMBER(INDEX(Inputs!$K$5:$AJ$120,0,MATCH(O$2,Inputs!$K$4:$AJ$4,0))))=0,NA(),SUMPRODUCT((Inputs!$A$5:$A$120=$B26)*Inputs!$B$5:$B$120*(((Inputs!$G$5:$G$120="moeda")+(Inputs!$G$5:$G$120="acoes"))*Inputs!$B$1+((Inputs!$G$5:$G$120&lt;&gt;"moeda")*(Inputs!$G$5:$G$120&lt;&gt;"acoes")))*INDEX(Inputs!$K$5:$AJ$120,0,MATCH(O$2,Inputs!$K$4:$AJ$4,0)))+SUMPRODUCT((Inputs!$C$5:$C$120=$B26)*Inputs!$D$5:$D$120*(((Inputs!$G$5:$G$120="moeda")+(Inputs!$G$5:$G$120="acoes"))*Inputs!$B$1+((Inputs!$G$5:$G$120&lt;&gt;"moeda")*(Inputs!$G$5:$G$120&lt;&gt;"acoes")))*INDEX(Inputs!$K$5:$AJ$120,0,MATCH(O$2,Inputs!$K$4:$AJ$4,0)))+SUMPRODUCT((Inputs!$E$5:$E$120=$B26)*Inputs!$F$5:$F$120*(((Inputs!$G$5:$G$120="moeda")+(Inputs!$G$5:$G$120="acoes"))*Inputs!$B$1+((Inputs!$G$5:$G$120&lt;&gt;"moeda")*(Inputs!$G$5:$G$120&lt;&gt;"acoes")))*INDEX(Inputs!$K$5:$AJ$120,0,MATCH(O$2,Inputs!$K$4:$AJ$4,0)))))</f>
        <v>16510</v>
      </c>
      <c r="P26" s="6">
        <f>IF(ISNA(MATCH(P$2,Inputs!$K$4:$AJ$4,0)),NA(),IF(SUMPRODUCT((Inputs!$A$5:$A$120=$B26)*ISNUMBER(INDEX(Inputs!$K$5:$AJ$120,0,MATCH(P$2,Inputs!$K$4:$AJ$4,0))))+SUMPRODUCT((Inputs!$C$5:$C$120=$B26)*ISNUMBER(INDEX(Inputs!$K$5:$AJ$120,0,MATCH(P$2,Inputs!$K$4:$AJ$4,0))))+SUMPRODUCT((Inputs!$E$5:$E$120=$B26)*ISNUMBER(INDEX(Inputs!$K$5:$AJ$120,0,MATCH(P$2,Inputs!$K$4:$AJ$4,0))))=0,NA(),SUMPRODUCT((Inputs!$A$5:$A$120=$B26)*Inputs!$B$5:$B$120*(((Inputs!$G$5:$G$120="moeda")+(Inputs!$G$5:$G$120="acoes"))*Inputs!$B$1+((Inputs!$G$5:$G$120&lt;&gt;"moeda")*(Inputs!$G$5:$G$120&lt;&gt;"acoes")))*INDEX(Inputs!$K$5:$AJ$120,0,MATCH(P$2,Inputs!$K$4:$AJ$4,0)))+SUMPRODUCT((Inputs!$C$5:$C$120=$B26)*Inputs!$D$5:$D$120*(((Inputs!$G$5:$G$120="moeda")+(Inputs!$G$5:$G$120="acoes"))*Inputs!$B$1+((Inputs!$G$5:$G$120&lt;&gt;"moeda")*(Inputs!$G$5:$G$120&lt;&gt;"acoes")))*INDEX(Inputs!$K$5:$AJ$120,0,MATCH(P$2,Inputs!$K$4:$AJ$4,0)))+SUMPRODUCT((Inputs!$E$5:$E$120=$B26)*Inputs!$F$5:$F$120*(((Inputs!$G$5:$G$120="moeda")+(Inputs!$G$5:$G$120="acoes"))*Inputs!$B$1+((Inputs!$G$5:$G$120&lt;&gt;"moeda")*(Inputs!$G$5:$G$120&lt;&gt;"acoes")))*INDEX(Inputs!$K$5:$AJ$120,0,MATCH(P$2,Inputs!$K$4:$AJ$4,0)))))</f>
        <v>17093</v>
      </c>
      <c r="Q26" s="6">
        <f>IF(ISNA(MATCH(Q$2,Inputs!$K$4:$AJ$4,0)),NA(),IF(SUMPRODUCT((Inputs!$A$5:$A$120=$B26)*ISNUMBER(INDEX(Inputs!$K$5:$AJ$120,0,MATCH(Q$2,Inputs!$K$4:$AJ$4,0))))+SUMPRODUCT((Inputs!$C$5:$C$120=$B26)*ISNUMBER(INDEX(Inputs!$K$5:$AJ$120,0,MATCH(Q$2,Inputs!$K$4:$AJ$4,0))))+SUMPRODUCT((Inputs!$E$5:$E$120=$B26)*ISNUMBER(INDEX(Inputs!$K$5:$AJ$120,0,MATCH(Q$2,Inputs!$K$4:$AJ$4,0))))=0,NA(),SUMPRODUCT((Inputs!$A$5:$A$120=$B26)*Inputs!$B$5:$B$120*(((Inputs!$G$5:$G$120="moeda")+(Inputs!$G$5:$G$120="acoes"))*Inputs!$B$1+((Inputs!$G$5:$G$120&lt;&gt;"moeda")*(Inputs!$G$5:$G$120&lt;&gt;"acoes")))*INDEX(Inputs!$K$5:$AJ$120,0,MATCH(Q$2,Inputs!$K$4:$AJ$4,0)))+SUMPRODUCT((Inputs!$C$5:$C$120=$B26)*Inputs!$D$5:$D$120*(((Inputs!$G$5:$G$120="moeda")+(Inputs!$G$5:$G$120="acoes"))*Inputs!$B$1+((Inputs!$G$5:$G$120&lt;&gt;"moeda")*(Inputs!$G$5:$G$120&lt;&gt;"acoes")))*INDEX(Inputs!$K$5:$AJ$120,0,MATCH(Q$2,Inputs!$K$4:$AJ$4,0)))+SUMPRODUCT((Inputs!$E$5:$E$120=$B26)*Inputs!$F$5:$F$120*(((Inputs!$G$5:$G$120="moeda")+(Inputs!$G$5:$G$120="acoes"))*Inputs!$B$1+((Inputs!$G$5:$G$120&lt;&gt;"moeda")*(Inputs!$G$5:$G$120&lt;&gt;"acoes")))*INDEX(Inputs!$K$5:$AJ$120,0,MATCH(Q$2,Inputs!$K$4:$AJ$4,0)))))</f>
        <v>15933</v>
      </c>
      <c r="R26" s="3">
        <f>Q26</f>
        <v>15933</v>
      </c>
      <c r="S26" s="6">
        <f>IF(ISNA(MATCH(S$2,Inputs!$K$4:$AJ$4,0)),NA(),IF(SUMPRODUCT((Inputs!$A$5:$A$120=$B26)*ISNUMBER(INDEX(Inputs!$K$5:$AJ$120,0,MATCH(S$2,Inputs!$K$4:$AJ$4,0))))+SUMPRODUCT((Inputs!$C$5:$C$120=$B26)*ISNUMBER(INDEX(Inputs!$K$5:$AJ$120,0,MATCH(S$2,Inputs!$K$4:$AJ$4,0))))+SUMPRODUCT((Inputs!$E$5:$E$120=$B26)*ISNUMBER(INDEX(Inputs!$K$5:$AJ$120,0,MATCH(S$2,Inputs!$K$4:$AJ$4,0))))=0,NA(),SUMPRODUCT((Inputs!$A$5:$A$120=$B26)*Inputs!$B$5:$B$120*(((Inputs!$G$5:$G$120="moeda")+(Inputs!$G$5:$G$120="acoes"))*Inputs!$B$1+((Inputs!$G$5:$G$120&lt;&gt;"moeda")*(Inputs!$G$5:$G$120&lt;&gt;"acoes")))*INDEX(Inputs!$K$5:$AJ$120,0,MATCH(S$2,Inputs!$K$4:$AJ$4,0)))+SUMPRODUCT((Inputs!$C$5:$C$120=$B26)*Inputs!$D$5:$D$120*(((Inputs!$G$5:$G$120="moeda")+(Inputs!$G$5:$G$120="acoes"))*Inputs!$B$1+((Inputs!$G$5:$G$120&lt;&gt;"moeda")*(Inputs!$G$5:$G$120&lt;&gt;"acoes")))*INDEX(Inputs!$K$5:$AJ$120,0,MATCH(S$2,Inputs!$K$4:$AJ$4,0)))+SUMPRODUCT((Inputs!$E$5:$E$120=$B26)*Inputs!$F$5:$F$120*(((Inputs!$G$5:$G$120="moeda")+(Inputs!$G$5:$G$120="acoes"))*Inputs!$B$1+((Inputs!$G$5:$G$120&lt;&gt;"moeda")*(Inputs!$G$5:$G$120&lt;&gt;"acoes")))*INDEX(Inputs!$K$5:$AJ$120,0,MATCH(S$2,Inputs!$K$4:$AJ$4,0)))))</f>
        <v>15698</v>
      </c>
      <c r="T26" s="6">
        <f>IF(ISNA(MATCH(T$2,Inputs!$K$4:$AJ$4,0)),NA(),IF(SUMPRODUCT((Inputs!$A$5:$A$120=$B26)*ISNUMBER(INDEX(Inputs!$K$5:$AJ$120,0,MATCH(T$2,Inputs!$K$4:$AJ$4,0))))+SUMPRODUCT((Inputs!$C$5:$C$120=$B26)*ISNUMBER(INDEX(Inputs!$K$5:$AJ$120,0,MATCH(T$2,Inputs!$K$4:$AJ$4,0))))+SUMPRODUCT((Inputs!$E$5:$E$120=$B26)*ISNUMBER(INDEX(Inputs!$K$5:$AJ$120,0,MATCH(T$2,Inputs!$K$4:$AJ$4,0))))=0,NA(),SUMPRODUCT((Inputs!$A$5:$A$120=$B26)*Inputs!$B$5:$B$120*(((Inputs!$G$5:$G$120="moeda")+(Inputs!$G$5:$G$120="acoes"))*Inputs!$B$1+((Inputs!$G$5:$G$120&lt;&gt;"moeda")*(Inputs!$G$5:$G$120&lt;&gt;"acoes")))*INDEX(Inputs!$K$5:$AJ$120,0,MATCH(T$2,Inputs!$K$4:$AJ$4,0)))+SUMPRODUCT((Inputs!$C$5:$C$120=$B26)*Inputs!$D$5:$D$120*(((Inputs!$G$5:$G$120="moeda")+(Inputs!$G$5:$G$120="acoes"))*Inputs!$B$1+((Inputs!$G$5:$G$120&lt;&gt;"moeda")*(Inputs!$G$5:$G$120&lt;&gt;"acoes")))*INDEX(Inputs!$K$5:$AJ$120,0,MATCH(T$2,Inputs!$K$4:$AJ$4,0)))+SUMPRODUCT((Inputs!$E$5:$E$120=$B26)*Inputs!$F$5:$F$120*(((Inputs!$G$5:$G$120="moeda")+(Inputs!$G$5:$G$120="acoes"))*Inputs!$B$1+((Inputs!$G$5:$G$120&lt;&gt;"moeda")*(Inputs!$G$5:$G$120&lt;&gt;"acoes")))*INDEX(Inputs!$K$5:$AJ$120,0,MATCH(T$2,Inputs!$K$4:$AJ$4,0)))))</f>
        <v>15285</v>
      </c>
      <c r="U26" s="6">
        <f>IF(ISNA(MATCH(U$2,Inputs!$K$4:$AJ$4,0)),NA(),IF(SUMPRODUCT((Inputs!$A$5:$A$120=$B26)*ISNUMBER(INDEX(Inputs!$K$5:$AJ$120,0,MATCH(U$2,Inputs!$K$4:$AJ$4,0))))+SUMPRODUCT((Inputs!$C$5:$C$120=$B26)*ISNUMBER(INDEX(Inputs!$K$5:$AJ$120,0,MATCH(U$2,Inputs!$K$4:$AJ$4,0))))+SUMPRODUCT((Inputs!$E$5:$E$120=$B26)*ISNUMBER(INDEX(Inputs!$K$5:$AJ$120,0,MATCH(U$2,Inputs!$K$4:$AJ$4,0))))=0,NA(),SUMPRODUCT((Inputs!$A$5:$A$120=$B26)*Inputs!$B$5:$B$120*(((Inputs!$G$5:$G$120="moeda")+(Inputs!$G$5:$G$120="acoes"))*Inputs!$B$1+((Inputs!$G$5:$G$120&lt;&gt;"moeda")*(Inputs!$G$5:$G$120&lt;&gt;"acoes")))*INDEX(Inputs!$K$5:$AJ$120,0,MATCH(U$2,Inputs!$K$4:$AJ$4,0)))+SUMPRODUCT((Inputs!$C$5:$C$120=$B26)*Inputs!$D$5:$D$120*(((Inputs!$G$5:$G$120="moeda")+(Inputs!$G$5:$G$120="acoes"))*Inputs!$B$1+((Inputs!$G$5:$G$120&lt;&gt;"moeda")*(Inputs!$G$5:$G$120&lt;&gt;"acoes")))*INDEX(Inputs!$K$5:$AJ$120,0,MATCH(U$2,Inputs!$K$4:$AJ$4,0)))+SUMPRODUCT((Inputs!$E$5:$E$120=$B26)*Inputs!$F$5:$F$120*(((Inputs!$G$5:$G$120="moeda")+(Inputs!$G$5:$G$120="acoes"))*Inputs!$B$1+((Inputs!$G$5:$G$120&lt;&gt;"moeda")*(Inputs!$G$5:$G$120&lt;&gt;"acoes")))*INDEX(Inputs!$K$5:$AJ$120,0,MATCH(U$2,Inputs!$K$4:$AJ$4,0)))))</f>
        <v>15593</v>
      </c>
      <c r="V26" s="6">
        <f>IF(ISNA(MATCH(V$2,Inputs!$K$4:$AJ$4,0)),NA(),IF(SUMPRODUCT((Inputs!$A$5:$A$120=$B26)*ISNUMBER(INDEX(Inputs!$K$5:$AJ$120,0,MATCH(V$2,Inputs!$K$4:$AJ$4,0))))+SUMPRODUCT((Inputs!$C$5:$C$120=$B26)*ISNUMBER(INDEX(Inputs!$K$5:$AJ$120,0,MATCH(V$2,Inputs!$K$4:$AJ$4,0))))+SUMPRODUCT((Inputs!$E$5:$E$120=$B26)*ISNUMBER(INDEX(Inputs!$K$5:$AJ$120,0,MATCH(V$2,Inputs!$K$4:$AJ$4,0))))=0,NA(),SUMPRODUCT((Inputs!$A$5:$A$120=$B26)*Inputs!$B$5:$B$120*(((Inputs!$G$5:$G$120="moeda")+(Inputs!$G$5:$G$120="acoes"))*Inputs!$B$1+((Inputs!$G$5:$G$120&lt;&gt;"moeda")*(Inputs!$G$5:$G$120&lt;&gt;"acoes")))*INDEX(Inputs!$K$5:$AJ$120,0,MATCH(V$2,Inputs!$K$4:$AJ$4,0)))+SUMPRODUCT((Inputs!$C$5:$C$120=$B26)*Inputs!$D$5:$D$120*(((Inputs!$G$5:$G$120="moeda")+(Inputs!$G$5:$G$120="acoes"))*Inputs!$B$1+((Inputs!$G$5:$G$120&lt;&gt;"moeda")*(Inputs!$G$5:$G$120&lt;&gt;"acoes")))*INDEX(Inputs!$K$5:$AJ$120,0,MATCH(V$2,Inputs!$K$4:$AJ$4,0)))+SUMPRODUCT((Inputs!$E$5:$E$120=$B26)*Inputs!$F$5:$F$120*(((Inputs!$G$5:$G$120="moeda")+(Inputs!$G$5:$G$120="acoes"))*Inputs!$B$1+((Inputs!$G$5:$G$120&lt;&gt;"moeda")*(Inputs!$G$5:$G$120&lt;&gt;"acoes")))*INDEX(Inputs!$K$5:$AJ$120,0,MATCH(V$2,Inputs!$K$4:$AJ$4,0)))))</f>
        <v>15796</v>
      </c>
      <c r="W26" s="3">
        <f>V26</f>
        <v>15796</v>
      </c>
      <c r="X26" s="6">
        <f>IF(ISNA(MATCH(X$2,Inputs!$K$4:$AJ$4,0)),NA(),IF(SUMPRODUCT((Inputs!$A$5:$A$120=$B26)*ISNUMBER(INDEX(Inputs!$K$5:$AJ$120,0,MATCH(X$2,Inputs!$K$4:$AJ$4,0))))+SUMPRODUCT((Inputs!$C$5:$C$120=$B26)*ISNUMBER(INDEX(Inputs!$K$5:$AJ$120,0,MATCH(X$2,Inputs!$K$4:$AJ$4,0))))+SUMPRODUCT((Inputs!$E$5:$E$120=$B26)*ISNUMBER(INDEX(Inputs!$K$5:$AJ$120,0,MATCH(X$2,Inputs!$K$4:$AJ$4,0))))=0,NA(),SUMPRODUCT((Inputs!$A$5:$A$120=$B26)*Inputs!$B$5:$B$120*(((Inputs!$G$5:$G$120="moeda")+(Inputs!$G$5:$G$120="acoes"))*Inputs!$B$1+((Inputs!$G$5:$G$120&lt;&gt;"moeda")*(Inputs!$G$5:$G$120&lt;&gt;"acoes")))*INDEX(Inputs!$K$5:$AJ$120,0,MATCH(X$2,Inputs!$K$4:$AJ$4,0)))+SUMPRODUCT((Inputs!$C$5:$C$120=$B26)*Inputs!$D$5:$D$120*(((Inputs!$G$5:$G$120="moeda")+(Inputs!$G$5:$G$120="acoes"))*Inputs!$B$1+((Inputs!$G$5:$G$120&lt;&gt;"moeda")*(Inputs!$G$5:$G$120&lt;&gt;"acoes")))*INDEX(Inputs!$K$5:$AJ$120,0,MATCH(X$2,Inputs!$K$4:$AJ$4,0)))+SUMPRODUCT((Inputs!$E$5:$E$120=$B26)*Inputs!$F$5:$F$120*(((Inputs!$G$5:$G$120="moeda")+(Inputs!$G$5:$G$120="acoes"))*Inputs!$B$1+((Inputs!$G$5:$G$120&lt;&gt;"moeda")*(Inputs!$G$5:$G$120&lt;&gt;"acoes")))*INDEX(Inputs!$K$5:$AJ$120,0,MATCH(X$2,Inputs!$K$4:$AJ$4,0)))))</f>
        <v>16225</v>
      </c>
      <c r="Y26" s="6">
        <f>IF(ISNA(MATCH(Y$2,Inputs!$K$4:$AJ$4,0)),NA(),IF(SUMPRODUCT((Inputs!$A$5:$A$120=$B26)*ISNUMBER(INDEX(Inputs!$K$5:$AJ$120,0,MATCH(Y$2,Inputs!$K$4:$AJ$4,0))))+SUMPRODUCT((Inputs!$C$5:$C$120=$B26)*ISNUMBER(INDEX(Inputs!$K$5:$AJ$120,0,MATCH(Y$2,Inputs!$K$4:$AJ$4,0))))+SUMPRODUCT((Inputs!$E$5:$E$120=$B26)*ISNUMBER(INDEX(Inputs!$K$5:$AJ$120,0,MATCH(Y$2,Inputs!$K$4:$AJ$4,0))))=0,NA(),SUMPRODUCT((Inputs!$A$5:$A$120=$B26)*Inputs!$B$5:$B$120*(((Inputs!$G$5:$G$120="moeda")+(Inputs!$G$5:$G$120="acoes"))*Inputs!$B$1+((Inputs!$G$5:$G$120&lt;&gt;"moeda")*(Inputs!$G$5:$G$120&lt;&gt;"acoes")))*INDEX(Inputs!$K$5:$AJ$120,0,MATCH(Y$2,Inputs!$K$4:$AJ$4,0)))+SUMPRODUCT((Inputs!$C$5:$C$120=$B26)*Inputs!$D$5:$D$120*(((Inputs!$G$5:$G$120="moeda")+(Inputs!$G$5:$G$120="acoes"))*Inputs!$B$1+((Inputs!$G$5:$G$120&lt;&gt;"moeda")*(Inputs!$G$5:$G$120&lt;&gt;"acoes")))*INDEX(Inputs!$K$5:$AJ$120,0,MATCH(Y$2,Inputs!$K$4:$AJ$4,0)))+SUMPRODUCT((Inputs!$E$5:$E$120=$B26)*Inputs!$F$5:$F$120*(((Inputs!$G$5:$G$120="moeda")+(Inputs!$G$5:$G$120="acoes"))*Inputs!$B$1+((Inputs!$G$5:$G$120&lt;&gt;"moeda")*(Inputs!$G$5:$G$120&lt;&gt;"acoes")))*INDEX(Inputs!$K$5:$AJ$120,0,MATCH(Y$2,Inputs!$K$4:$AJ$4,0)))))</f>
        <v>16110</v>
      </c>
      <c r="Z26" s="6">
        <f>IF(ISNA(MATCH(Z$2,Inputs!$K$4:$AJ$4,0)),NA(),IF(SUMPRODUCT((Inputs!$A$5:$A$120=$B26)*ISNUMBER(INDEX(Inputs!$K$5:$AJ$120,0,MATCH(Z$2,Inputs!$K$4:$AJ$4,0))))+SUMPRODUCT((Inputs!$C$5:$C$120=$B26)*ISNUMBER(INDEX(Inputs!$K$5:$AJ$120,0,MATCH(Z$2,Inputs!$K$4:$AJ$4,0))))+SUMPRODUCT((Inputs!$E$5:$E$120=$B26)*ISNUMBER(INDEX(Inputs!$K$5:$AJ$120,0,MATCH(Z$2,Inputs!$K$4:$AJ$4,0))))=0,NA(),SUMPRODUCT((Inputs!$A$5:$A$120=$B26)*Inputs!$B$5:$B$120*(((Inputs!$G$5:$G$120="moeda")+(Inputs!$G$5:$G$120="acoes"))*Inputs!$B$1+((Inputs!$G$5:$G$120&lt;&gt;"moeda")*(Inputs!$G$5:$G$120&lt;&gt;"acoes")))*INDEX(Inputs!$K$5:$AJ$120,0,MATCH(Z$2,Inputs!$K$4:$AJ$4,0)))+SUMPRODUCT((Inputs!$C$5:$C$120=$B26)*Inputs!$D$5:$D$120*(((Inputs!$G$5:$G$120="moeda")+(Inputs!$G$5:$G$120="acoes"))*Inputs!$B$1+((Inputs!$G$5:$G$120&lt;&gt;"moeda")*(Inputs!$G$5:$G$120&lt;&gt;"acoes")))*INDEX(Inputs!$K$5:$AJ$120,0,MATCH(Z$2,Inputs!$K$4:$AJ$4,0)))+SUMPRODUCT((Inputs!$E$5:$E$120=$B26)*Inputs!$F$5:$F$120*(((Inputs!$G$5:$G$120="moeda")+(Inputs!$G$5:$G$120="acoes"))*Inputs!$B$1+((Inputs!$G$5:$G$120&lt;&gt;"moeda")*(Inputs!$G$5:$G$120&lt;&gt;"acoes")))*INDEX(Inputs!$K$5:$AJ$120,0,MATCH(Z$2,Inputs!$K$4:$AJ$4,0)))))</f>
        <v>16867</v>
      </c>
      <c r="AA26" s="6">
        <f>IF(ISNA(MATCH(AA$2,Inputs!$K$4:$AJ$4,0)),NA(),IF(SUMPRODUCT((Inputs!$A$5:$A$120=$B26)*ISNUMBER(INDEX(Inputs!$K$5:$AJ$120,0,MATCH(AA$2,Inputs!$K$4:$AJ$4,0))))+SUMPRODUCT((Inputs!$C$5:$C$120=$B26)*ISNUMBER(INDEX(Inputs!$K$5:$AJ$120,0,MATCH(AA$2,Inputs!$K$4:$AJ$4,0))))+SUMPRODUCT((Inputs!$E$5:$E$120=$B26)*ISNUMBER(INDEX(Inputs!$K$5:$AJ$120,0,MATCH(AA$2,Inputs!$K$4:$AJ$4,0))))=0,NA(),SUMPRODUCT((Inputs!$A$5:$A$120=$B26)*Inputs!$B$5:$B$120*(((Inputs!$G$5:$G$120="moeda")+(Inputs!$G$5:$G$120="acoes"))*Inputs!$B$1+((Inputs!$G$5:$G$120&lt;&gt;"moeda")*(Inputs!$G$5:$G$120&lt;&gt;"acoes")))*INDEX(Inputs!$K$5:$AJ$120,0,MATCH(AA$2,Inputs!$K$4:$AJ$4,0)))+SUMPRODUCT((Inputs!$C$5:$C$120=$B26)*Inputs!$D$5:$D$120*(((Inputs!$G$5:$G$120="moeda")+(Inputs!$G$5:$G$120="acoes"))*Inputs!$B$1+((Inputs!$G$5:$G$120&lt;&gt;"moeda")*(Inputs!$G$5:$G$120&lt;&gt;"acoes")))*INDEX(Inputs!$K$5:$AJ$120,0,MATCH(AA$2,Inputs!$K$4:$AJ$4,0)))+SUMPRODUCT((Inputs!$E$5:$E$120=$B26)*Inputs!$F$5:$F$120*(((Inputs!$G$5:$G$120="moeda")+(Inputs!$G$5:$G$120="acoes"))*Inputs!$B$1+((Inputs!$G$5:$G$120&lt;&gt;"moeda")*(Inputs!$G$5:$G$120&lt;&gt;"acoes")))*INDEX(Inputs!$K$5:$AJ$120,0,MATCH(AA$2,Inputs!$K$4:$AJ$4,0)))))</f>
        <v>15569</v>
      </c>
      <c r="AB26" s="3">
        <f>AA26</f>
        <v>15569</v>
      </c>
      <c r="AC26" s="6">
        <f>IF(ISNA(MATCH(AC$2,Inputs!$K$4:$AJ$4,0)),NA(),IF(SUMPRODUCT((Inputs!$A$5:$A$120=$B26)*ISNUMBER(INDEX(Inputs!$K$5:$AJ$120,0,MATCH(AC$2,Inputs!$K$4:$AJ$4,0))))+SUMPRODUCT((Inputs!$C$5:$C$120=$B26)*ISNUMBER(INDEX(Inputs!$K$5:$AJ$120,0,MATCH(AC$2,Inputs!$K$4:$AJ$4,0))))+SUMPRODUCT((Inputs!$E$5:$E$120=$B26)*ISNUMBER(INDEX(Inputs!$K$5:$AJ$120,0,MATCH(AC$2,Inputs!$K$4:$AJ$4,0))))=0,NA(),SUMPRODUCT((Inputs!$A$5:$A$120=$B26)*Inputs!$B$5:$B$120*(((Inputs!$G$5:$G$120="moeda")+(Inputs!$G$5:$G$120="acoes"))*Inputs!$B$1+((Inputs!$G$5:$G$120&lt;&gt;"moeda")*(Inputs!$G$5:$G$120&lt;&gt;"acoes")))*INDEX(Inputs!$K$5:$AJ$120,0,MATCH(AC$2,Inputs!$K$4:$AJ$4,0)))+SUMPRODUCT((Inputs!$C$5:$C$120=$B26)*Inputs!$D$5:$D$120*(((Inputs!$G$5:$G$120="moeda")+(Inputs!$G$5:$G$120="acoes"))*Inputs!$B$1+((Inputs!$G$5:$G$120&lt;&gt;"moeda")*(Inputs!$G$5:$G$120&lt;&gt;"acoes")))*INDEX(Inputs!$K$5:$AJ$120,0,MATCH(AC$2,Inputs!$K$4:$AJ$4,0)))+SUMPRODUCT((Inputs!$E$5:$E$120=$B26)*Inputs!$F$5:$F$120*(((Inputs!$G$5:$G$120="moeda")+(Inputs!$G$5:$G$120="acoes"))*Inputs!$B$1+((Inputs!$G$5:$G$120&lt;&gt;"moeda")*(Inputs!$G$5:$G$120&lt;&gt;"acoes")))*INDEX(Inputs!$K$5:$AJ$120,0,MATCH(AC$2,Inputs!$K$4:$AJ$4,0)))))</f>
        <v>17371</v>
      </c>
      <c r="AD26" s="6">
        <f>IF(ISNA(MATCH(AD$2,Inputs!$K$4:$AJ$4,0)),NA(),IF(SUMPRODUCT((Inputs!$A$5:$A$120=$B26)*ISNUMBER(INDEX(Inputs!$K$5:$AJ$120,0,MATCH(AD$2,Inputs!$K$4:$AJ$4,0))))+SUMPRODUCT((Inputs!$C$5:$C$120=$B26)*ISNUMBER(INDEX(Inputs!$K$5:$AJ$120,0,MATCH(AD$2,Inputs!$K$4:$AJ$4,0))))+SUMPRODUCT((Inputs!$E$5:$E$120=$B26)*ISNUMBER(INDEX(Inputs!$K$5:$AJ$120,0,MATCH(AD$2,Inputs!$K$4:$AJ$4,0))))=0,NA(),SUMPRODUCT((Inputs!$A$5:$A$120=$B26)*Inputs!$B$5:$B$120*(((Inputs!$G$5:$G$120="moeda")+(Inputs!$G$5:$G$120="acoes"))*Inputs!$B$1+((Inputs!$G$5:$G$120&lt;&gt;"moeda")*(Inputs!$G$5:$G$120&lt;&gt;"acoes")))*INDEX(Inputs!$K$5:$AJ$120,0,MATCH(AD$2,Inputs!$K$4:$AJ$4,0)))+SUMPRODUCT((Inputs!$C$5:$C$120=$B26)*Inputs!$D$5:$D$120*(((Inputs!$G$5:$G$120="moeda")+(Inputs!$G$5:$G$120="acoes"))*Inputs!$B$1+((Inputs!$G$5:$G$120&lt;&gt;"moeda")*(Inputs!$G$5:$G$120&lt;&gt;"acoes")))*INDEX(Inputs!$K$5:$AJ$120,0,MATCH(AD$2,Inputs!$K$4:$AJ$4,0)))+SUMPRODUCT((Inputs!$E$5:$E$120=$B26)*Inputs!$F$5:$F$120*(((Inputs!$G$5:$G$120="moeda")+(Inputs!$G$5:$G$120="acoes"))*Inputs!$B$1+((Inputs!$G$5:$G$120&lt;&gt;"moeda")*(Inputs!$G$5:$G$120&lt;&gt;"acoes")))*INDEX(Inputs!$K$5:$AJ$120,0,MATCH(AD$2,Inputs!$K$4:$AJ$4,0)))))</f>
        <v>18890</v>
      </c>
      <c r="AE26" s="6" t="e">
        <f>IF(ISNA(MATCH(AE$2,Inputs!$K$4:$AJ$4,0)),NA(),IF(SUMPRODUCT((Inputs!$A$5:$A$120=$B26)*ISNUMBER(INDEX(Inputs!$K$5:$AJ$120,0,MATCH(AE$2,Inputs!$K$4:$AJ$4,0))))+SUMPRODUCT((Inputs!$C$5:$C$120=$B26)*ISNUMBER(INDEX(Inputs!$K$5:$AJ$120,0,MATCH(AE$2,Inputs!$K$4:$AJ$4,0))))+SUMPRODUCT((Inputs!$E$5:$E$120=$B26)*ISNUMBER(INDEX(Inputs!$K$5:$AJ$120,0,MATCH(AE$2,Inputs!$K$4:$AJ$4,0))))=0,NA(),SUMPRODUCT((Inputs!$A$5:$A$120=$B26)*Inputs!$B$5:$B$120*(((Inputs!$G$5:$G$120="moeda")+(Inputs!$G$5:$G$120="acoes"))*Inputs!$B$1+((Inputs!$G$5:$G$120&lt;&gt;"moeda")*(Inputs!$G$5:$G$120&lt;&gt;"acoes")))*INDEX(Inputs!$K$5:$AJ$120,0,MATCH(AE$2,Inputs!$K$4:$AJ$4,0)))+SUMPRODUCT((Inputs!$C$5:$C$120=$B26)*Inputs!$D$5:$D$120*(((Inputs!$G$5:$G$120="moeda")+(Inputs!$G$5:$G$120="acoes"))*Inputs!$B$1+((Inputs!$G$5:$G$120&lt;&gt;"moeda")*(Inputs!$G$5:$G$120&lt;&gt;"acoes")))*INDEX(Inputs!$K$5:$AJ$120,0,MATCH(AE$2,Inputs!$K$4:$AJ$4,0)))+SUMPRODUCT((Inputs!$E$5:$E$120=$B26)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26" s="6" t="e">
        <f>IF(ISNA(MATCH(AF$2,Inputs!$K$4:$AJ$4,0)),NA(),IF(SUMPRODUCT((Inputs!$A$5:$A$120=$B26)*ISNUMBER(INDEX(Inputs!$K$5:$AJ$120,0,MATCH(AF$2,Inputs!$K$4:$AJ$4,0))))+SUMPRODUCT((Inputs!$C$5:$C$120=$B26)*ISNUMBER(INDEX(Inputs!$K$5:$AJ$120,0,MATCH(AF$2,Inputs!$K$4:$AJ$4,0))))+SUMPRODUCT((Inputs!$E$5:$E$120=$B26)*ISNUMBER(INDEX(Inputs!$K$5:$AJ$120,0,MATCH(AF$2,Inputs!$K$4:$AJ$4,0))))=0,NA(),SUMPRODUCT((Inputs!$A$5:$A$120=$B26)*Inputs!$B$5:$B$120*(((Inputs!$G$5:$G$120="moeda")+(Inputs!$G$5:$G$120="acoes"))*Inputs!$B$1+((Inputs!$G$5:$G$120&lt;&gt;"moeda")*(Inputs!$G$5:$G$120&lt;&gt;"acoes")))*INDEX(Inputs!$K$5:$AJ$120,0,MATCH(AF$2,Inputs!$K$4:$AJ$4,0)))+SUMPRODUCT((Inputs!$C$5:$C$120=$B26)*Inputs!$D$5:$D$120*(((Inputs!$G$5:$G$120="moeda")+(Inputs!$G$5:$G$120="acoes"))*Inputs!$B$1+((Inputs!$G$5:$G$120&lt;&gt;"moeda")*(Inputs!$G$5:$G$120&lt;&gt;"acoes")))*INDEX(Inputs!$K$5:$AJ$120,0,MATCH(AF$2,Inputs!$K$4:$AJ$4,0)))+SUMPRODUCT((Inputs!$E$5:$E$120=$B26)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26" s="3" t="e">
        <f>AF26</f>
        <v>#N/A</v>
      </c>
      <c r="AH26" s="6">
        <f>IF(ISNA(MATCH(AH$2,Inputs!$K$4:$AJ$4,0)),NA(),IF(SUMPRODUCT((Inputs!$A$5:$A$120=$B26)*ISNUMBER(INDEX(Inputs!$K$5:$AJ$120,0,MATCH(AH$2,Inputs!$K$4:$AJ$4,0))))+SUMPRODUCT((Inputs!$C$5:$C$120=$B26)*ISNUMBER(INDEX(Inputs!$K$5:$AJ$120,0,MATCH(AH$2,Inputs!$K$4:$AJ$4,0))))+SUMPRODUCT((Inputs!$E$5:$E$120=$B26)*ISNUMBER(INDEX(Inputs!$K$5:$AJ$120,0,MATCH(AH$2,Inputs!$K$4:$AJ$4,0))))=0,NA(),SUMPRODUCT((Inputs!$A$5:$A$120=$B26)*Inputs!$B$5:$B$120*(((Inputs!$G$5:$G$120="moeda")+(Inputs!$G$5:$G$120="acoes"))*Inputs!$B$1+((Inputs!$G$5:$G$120&lt;&gt;"moeda")*(Inputs!$G$5:$G$120&lt;&gt;"acoes")))*INDEX(Inputs!$K$5:$AJ$120,0,MATCH(AH$2,Inputs!$K$4:$AJ$4,0)))+SUMPRODUCT((Inputs!$C$5:$C$120=$B26)*Inputs!$D$5:$D$120*(((Inputs!$G$5:$G$120="moeda")+(Inputs!$G$5:$G$120="acoes"))*Inputs!$B$1+((Inputs!$G$5:$G$120&lt;&gt;"moeda")*(Inputs!$G$5:$G$120&lt;&gt;"acoes")))*INDEX(Inputs!$K$5:$AJ$120,0,MATCH(AH$2,Inputs!$K$4:$AJ$4,0)))+SUMPRODUCT((Inputs!$E$5:$E$120=$B26)*Inputs!$F$5:$F$120*(((Inputs!$G$5:$G$120="moeda")+(Inputs!$G$5:$G$120="acoes"))*Inputs!$B$1+((Inputs!$G$5:$G$120&lt;&gt;"moeda")*(Inputs!$G$5:$G$120&lt;&gt;"acoes")))*INDEX(Inputs!$K$5:$AJ$120,0,MATCH(AH$2,Inputs!$K$4:$AJ$4,0)))))</f>
        <v>10006</v>
      </c>
      <c r="AI26" s="6">
        <f>IF(ISNA(MATCH(AI$2,Inputs!$K$4:$AJ$4,0)),NA(),IF(SUMPRODUCT((Inputs!$A$5:$A$120=$B26)*ISNUMBER(INDEX(Inputs!$K$5:$AJ$120,0,MATCH(AI$2,Inputs!$K$4:$AJ$4,0))))+SUMPRODUCT((Inputs!$C$5:$C$120=$B26)*ISNUMBER(INDEX(Inputs!$K$5:$AJ$120,0,MATCH(AI$2,Inputs!$K$4:$AJ$4,0))))+SUMPRODUCT((Inputs!$E$5:$E$120=$B26)*ISNUMBER(INDEX(Inputs!$K$5:$AJ$120,0,MATCH(AI$2,Inputs!$K$4:$AJ$4,0))))=0,NA(),SUMPRODUCT((Inputs!$A$5:$A$120=$B26)*Inputs!$B$5:$B$120*(((Inputs!$G$5:$G$120="moeda")+(Inputs!$G$5:$G$120="acoes"))*Inputs!$B$1+((Inputs!$G$5:$G$120&lt;&gt;"moeda")*(Inputs!$G$5:$G$120&lt;&gt;"acoes")))*INDEX(Inputs!$K$5:$AJ$120,0,MATCH(AI$2,Inputs!$K$4:$AJ$4,0)))+SUMPRODUCT((Inputs!$C$5:$C$120=$B26)*Inputs!$D$5:$D$120*(((Inputs!$G$5:$G$120="moeda")+(Inputs!$G$5:$G$120="acoes"))*Inputs!$B$1+((Inputs!$G$5:$G$120&lt;&gt;"moeda")*(Inputs!$G$5:$G$120&lt;&gt;"acoes")))*INDEX(Inputs!$K$5:$AJ$120,0,MATCH(AI$2,Inputs!$K$4:$AJ$4,0)))+SUMPRODUCT((Inputs!$E$5:$E$120=$B26)*Inputs!$F$5:$F$120*(((Inputs!$G$5:$G$120="moeda")+(Inputs!$G$5:$G$120="acoes"))*Inputs!$B$1+((Inputs!$G$5:$G$120&lt;&gt;"moeda")*(Inputs!$G$5:$G$120&lt;&gt;"acoes")))*INDEX(Inputs!$K$5:$AJ$120,0,MATCH(AI$2,Inputs!$K$4:$AJ$4,0)))))</f>
        <v>10008</v>
      </c>
      <c r="AJ26" s="6">
        <f>IF(ISNA(MATCH(AJ$2,Inputs!$K$4:$AJ$4,0)),NA(),IF(SUMPRODUCT((Inputs!$A$5:$A$120=$B26)*ISNUMBER(INDEX(Inputs!$K$5:$AJ$120,0,MATCH(AJ$2,Inputs!$K$4:$AJ$4,0))))+SUMPRODUCT((Inputs!$C$5:$C$120=$B26)*ISNUMBER(INDEX(Inputs!$K$5:$AJ$120,0,MATCH(AJ$2,Inputs!$K$4:$AJ$4,0))))+SUMPRODUCT((Inputs!$E$5:$E$120=$B26)*ISNUMBER(INDEX(Inputs!$K$5:$AJ$120,0,MATCH(AJ$2,Inputs!$K$4:$AJ$4,0))))=0,NA(),SUMPRODUCT((Inputs!$A$5:$A$120=$B26)*Inputs!$B$5:$B$120*(((Inputs!$G$5:$G$120="moeda")+(Inputs!$G$5:$G$120="acoes"))*Inputs!$B$1+((Inputs!$G$5:$G$120&lt;&gt;"moeda")*(Inputs!$G$5:$G$120&lt;&gt;"acoes")))*INDEX(Inputs!$K$5:$AJ$120,0,MATCH(AJ$2,Inputs!$K$4:$AJ$4,0)))+SUMPRODUCT((Inputs!$C$5:$C$120=$B26)*Inputs!$D$5:$D$120*(((Inputs!$G$5:$G$120="moeda")+(Inputs!$G$5:$G$120="acoes"))*Inputs!$B$1+((Inputs!$G$5:$G$120&lt;&gt;"moeda")*(Inputs!$G$5:$G$120&lt;&gt;"acoes")))*INDEX(Inputs!$K$5:$AJ$120,0,MATCH(AJ$2,Inputs!$K$4:$AJ$4,0)))+SUMPRODUCT((Inputs!$E$5:$E$120=$B26)*Inputs!$F$5:$F$120*(((Inputs!$G$5:$G$120="moeda")+(Inputs!$G$5:$G$120="acoes"))*Inputs!$B$1+((Inputs!$G$5:$G$120&lt;&gt;"moeda")*(Inputs!$G$5:$G$120&lt;&gt;"acoes")))*INDEX(Inputs!$K$5:$AJ$120,0,MATCH(AJ$2,Inputs!$K$4:$AJ$4,0)))))</f>
        <v>10203</v>
      </c>
      <c r="AK26" s="6">
        <f>IF(ISNA(MATCH(AK$2,Inputs!$K$4:$AJ$4,0)),NA(),IF(SUMPRODUCT((Inputs!$A$5:$A$120=$B26)*ISNUMBER(INDEX(Inputs!$K$5:$AJ$120,0,MATCH(AK$2,Inputs!$K$4:$AJ$4,0))))+SUMPRODUCT((Inputs!$C$5:$C$120=$B26)*ISNUMBER(INDEX(Inputs!$K$5:$AJ$120,0,MATCH(AK$2,Inputs!$K$4:$AJ$4,0))))+SUMPRODUCT((Inputs!$E$5:$E$120=$B26)*ISNUMBER(INDEX(Inputs!$K$5:$AJ$120,0,MATCH(AK$2,Inputs!$K$4:$AJ$4,0))))=0,NA(),SUMPRODUCT((Inputs!$A$5:$A$120=$B26)*Inputs!$B$5:$B$120*(((Inputs!$G$5:$G$120="moeda")+(Inputs!$G$5:$G$120="acoes"))*Inputs!$B$1+((Inputs!$G$5:$G$120&lt;&gt;"moeda")*(Inputs!$G$5:$G$120&lt;&gt;"acoes")))*INDEX(Inputs!$K$5:$AJ$120,0,MATCH(AK$2,Inputs!$K$4:$AJ$4,0)))+SUMPRODUCT((Inputs!$C$5:$C$120=$B26)*Inputs!$D$5:$D$120*(((Inputs!$G$5:$G$120="moeda")+(Inputs!$G$5:$G$120="acoes"))*Inputs!$B$1+((Inputs!$G$5:$G$120&lt;&gt;"moeda")*(Inputs!$G$5:$G$120&lt;&gt;"acoes")))*INDEX(Inputs!$K$5:$AJ$120,0,MATCH(AK$2,Inputs!$K$4:$AJ$4,0)))+SUMPRODUCT((Inputs!$E$5:$E$120=$B26)*Inputs!$F$5:$F$120*(((Inputs!$G$5:$G$120="moeda")+(Inputs!$G$5:$G$120="acoes"))*Inputs!$B$1+((Inputs!$G$5:$G$120&lt;&gt;"moeda")*(Inputs!$G$5:$G$120&lt;&gt;"acoes")))*INDEX(Inputs!$K$5:$AJ$120,0,MATCH(AK$2,Inputs!$K$4:$AJ$4,0)))))</f>
        <v>10606</v>
      </c>
      <c r="AL26" s="3">
        <f>AK26</f>
        <v>10606</v>
      </c>
    </row>
    <row r="27">
      <c r="C27" s="1" t="n"/>
    </row>
    <row r="28">
      <c r="B28" s="46" t="n">
        <v>23</v>
      </c>
      <c r="C28" s="26" t="inlineStr">
        <is>
          <t>Accounts payable</t>
        </is>
      </c>
      <c r="D28" s="6">
        <f>IF(ISNA(MATCH(D$2,Inputs!$K$4:$AJ$4,0)),NA(),IF(SUMPRODUCT((Inputs!$A$5:$A$120=$B28)*ISNUMBER(INDEX(Inputs!$K$5:$AJ$120,0,MATCH(D$2,Inputs!$K$4:$AJ$4,0))))+SUMPRODUCT((Inputs!$C$5:$C$120=$B28)*ISNUMBER(INDEX(Inputs!$K$5:$AJ$120,0,MATCH(D$2,Inputs!$K$4:$AJ$4,0))))+SUMPRODUCT((Inputs!$E$5:$E$120=$B28)*ISNUMBER(INDEX(Inputs!$K$5:$AJ$120,0,MATCH(D$2,Inputs!$K$4:$AJ$4,0))))=0,NA(),SUMPRODUCT((Inputs!$A$5:$A$120=$B28)*Inputs!$B$5:$B$120*(((Inputs!$G$5:$G$120="moeda")+(Inputs!$G$5:$G$120="acoes"))*Inputs!$B$1+((Inputs!$G$5:$G$120&lt;&gt;"moeda")*(Inputs!$G$5:$G$120&lt;&gt;"acoes")))*INDEX(Inputs!$K$5:$AJ$120,0,MATCH(D$2,Inputs!$K$4:$AJ$4,0)))+SUMPRODUCT((Inputs!$C$5:$C$120=$B28)*Inputs!$D$5:$D$120*(((Inputs!$G$5:$G$120="moeda")+(Inputs!$G$5:$G$120="acoes"))*Inputs!$B$1+((Inputs!$G$5:$G$120&lt;&gt;"moeda")*(Inputs!$G$5:$G$120&lt;&gt;"acoes")))*INDEX(Inputs!$K$5:$AJ$120,0,MATCH(D$2,Inputs!$K$4:$AJ$4,0)))+SUMPRODUCT((Inputs!$E$5:$E$120=$B28)*Inputs!$F$5:$F$120*(((Inputs!$G$5:$G$120="moeda")+(Inputs!$G$5:$G$120="acoes"))*Inputs!$B$1+((Inputs!$G$5:$G$120&lt;&gt;"moeda")*(Inputs!$G$5:$G$120&lt;&gt;"acoes")))*INDEX(Inputs!$K$5:$AJ$120,0,MATCH(D$2,Inputs!$K$4:$AJ$4,0)))))</f>
        <v>6648</v>
      </c>
      <c r="E28" s="6">
        <f>IF(ISNA(MATCH(E$2,Inputs!$K$4:$AJ$4,0)),NA(),IF(SUMPRODUCT((Inputs!$A$5:$A$120=$B28)*ISNUMBER(INDEX(Inputs!$K$5:$AJ$120,0,MATCH(E$2,Inputs!$K$4:$AJ$4,0))))+SUMPRODUCT((Inputs!$C$5:$C$120=$B28)*ISNUMBER(INDEX(Inputs!$K$5:$AJ$120,0,MATCH(E$2,Inputs!$K$4:$AJ$4,0))))+SUMPRODUCT((Inputs!$E$5:$E$120=$B28)*ISNUMBER(INDEX(Inputs!$K$5:$AJ$120,0,MATCH(E$2,Inputs!$K$4:$AJ$4,0))))=0,NA(),SUMPRODUCT((Inputs!$A$5:$A$120=$B28)*Inputs!$B$5:$B$120*(((Inputs!$G$5:$G$120="moeda")+(Inputs!$G$5:$G$120="acoes"))*Inputs!$B$1+((Inputs!$G$5:$G$120&lt;&gt;"moeda")*(Inputs!$G$5:$G$120&lt;&gt;"acoes")))*INDEX(Inputs!$K$5:$AJ$120,0,MATCH(E$2,Inputs!$K$4:$AJ$4,0)))+SUMPRODUCT((Inputs!$C$5:$C$120=$B28)*Inputs!$D$5:$D$120*(((Inputs!$G$5:$G$120="moeda")+(Inputs!$G$5:$G$120="acoes"))*Inputs!$B$1+((Inputs!$G$5:$G$120&lt;&gt;"moeda")*(Inputs!$G$5:$G$120&lt;&gt;"acoes")))*INDEX(Inputs!$K$5:$AJ$120,0,MATCH(E$2,Inputs!$K$4:$AJ$4,0)))+SUMPRODUCT((Inputs!$E$5:$E$120=$B28)*Inputs!$F$5:$F$120*(((Inputs!$G$5:$G$120="moeda")+(Inputs!$G$5:$G$120="acoes"))*Inputs!$B$1+((Inputs!$G$5:$G$120&lt;&gt;"moeda")*(Inputs!$G$5:$G$120&lt;&gt;"acoes")))*INDEX(Inputs!$K$5:$AJ$120,0,MATCH(E$2,Inputs!$K$4:$AJ$4,0)))))</f>
        <v>7558</v>
      </c>
      <c r="F28" s="6">
        <f>IF(ISNA(MATCH(F$2,Inputs!$K$4:$AJ$4,0)),NA(),IF(SUMPRODUCT((Inputs!$A$5:$A$120=$B28)*ISNUMBER(INDEX(Inputs!$K$5:$AJ$120,0,MATCH(F$2,Inputs!$K$4:$AJ$4,0))))+SUMPRODUCT((Inputs!$C$5:$C$120=$B28)*ISNUMBER(INDEX(Inputs!$K$5:$AJ$120,0,MATCH(F$2,Inputs!$K$4:$AJ$4,0))))+SUMPRODUCT((Inputs!$E$5:$E$120=$B28)*ISNUMBER(INDEX(Inputs!$K$5:$AJ$120,0,MATCH(F$2,Inputs!$K$4:$AJ$4,0))))=0,NA(),SUMPRODUCT((Inputs!$A$5:$A$120=$B28)*Inputs!$B$5:$B$120*(((Inputs!$G$5:$G$120="moeda")+(Inputs!$G$5:$G$120="acoes"))*Inputs!$B$1+((Inputs!$G$5:$G$120&lt;&gt;"moeda")*(Inputs!$G$5:$G$120&lt;&gt;"acoes")))*INDEX(Inputs!$K$5:$AJ$120,0,MATCH(F$2,Inputs!$K$4:$AJ$4,0)))+SUMPRODUCT((Inputs!$C$5:$C$120=$B28)*Inputs!$D$5:$D$120*(((Inputs!$G$5:$G$120="moeda")+(Inputs!$G$5:$G$120="acoes"))*Inputs!$B$1+((Inputs!$G$5:$G$120&lt;&gt;"moeda")*(Inputs!$G$5:$G$120&lt;&gt;"acoes")))*INDEX(Inputs!$K$5:$AJ$120,0,MATCH(F$2,Inputs!$K$4:$AJ$4,0)))+SUMPRODUCT((Inputs!$E$5:$E$120=$B28)*Inputs!$F$5:$F$120*(((Inputs!$G$5:$G$120="moeda")+(Inputs!$G$5:$G$120="acoes"))*Inputs!$B$1+((Inputs!$G$5:$G$120&lt;&gt;"moeda")*(Inputs!$G$5:$G$120&lt;&gt;"acoes")))*INDEX(Inputs!$K$5:$AJ$120,0,MATCH(F$2,Inputs!$K$4:$AJ$4,0)))))</f>
        <v>8260</v>
      </c>
      <c r="G28" s="6">
        <f>IF(ISNA(MATCH(G$2,Inputs!$K$4:$AJ$4,0)),NA(),IF(SUMPRODUCT((Inputs!$A$5:$A$120=$B28)*ISNUMBER(INDEX(Inputs!$K$5:$AJ$120,0,MATCH(G$2,Inputs!$K$4:$AJ$4,0))))+SUMPRODUCT((Inputs!$C$5:$C$120=$B28)*ISNUMBER(INDEX(Inputs!$K$5:$AJ$120,0,MATCH(G$2,Inputs!$K$4:$AJ$4,0))))+SUMPRODUCT((Inputs!$E$5:$E$120=$B28)*ISNUMBER(INDEX(Inputs!$K$5:$AJ$120,0,MATCH(G$2,Inputs!$K$4:$AJ$4,0))))=0,NA(),SUMPRODUCT((Inputs!$A$5:$A$120=$B28)*Inputs!$B$5:$B$120*(((Inputs!$G$5:$G$120="moeda")+(Inputs!$G$5:$G$120="acoes"))*Inputs!$B$1+((Inputs!$G$5:$G$120&lt;&gt;"moeda")*(Inputs!$G$5:$G$120&lt;&gt;"acoes")))*INDEX(Inputs!$K$5:$AJ$120,0,MATCH(G$2,Inputs!$K$4:$AJ$4,0)))+SUMPRODUCT((Inputs!$C$5:$C$120=$B28)*Inputs!$D$5:$D$120*(((Inputs!$G$5:$G$120="moeda")+(Inputs!$G$5:$G$120="acoes"))*Inputs!$B$1+((Inputs!$G$5:$G$120&lt;&gt;"moeda")*(Inputs!$G$5:$G$120&lt;&gt;"acoes")))*INDEX(Inputs!$K$5:$AJ$120,0,MATCH(G$2,Inputs!$K$4:$AJ$4,0)))+SUMPRODUCT((Inputs!$E$5:$E$120=$B28)*Inputs!$F$5:$F$120*(((Inputs!$G$5:$G$120="moeda")+(Inputs!$G$5:$G$120="acoes"))*Inputs!$B$1+((Inputs!$G$5:$G$120&lt;&gt;"moeda")*(Inputs!$G$5:$G$120&lt;&gt;"acoes")))*INDEX(Inputs!$K$5:$AJ$120,0,MATCH(G$2,Inputs!$K$4:$AJ$4,0)))))</f>
        <v>10025</v>
      </c>
      <c r="H28" s="3">
        <f>G28</f>
        <v>10025</v>
      </c>
      <c r="I28" s="6">
        <f>IF(ISNA(MATCH(I$2,Inputs!$K$4:$AJ$4,0)),NA(),IF(SUMPRODUCT((Inputs!$A$5:$A$120=$B28)*ISNUMBER(INDEX(Inputs!$K$5:$AJ$120,0,MATCH(I$2,Inputs!$K$4:$AJ$4,0))))+SUMPRODUCT((Inputs!$C$5:$C$120=$B28)*ISNUMBER(INDEX(Inputs!$K$5:$AJ$120,0,MATCH(I$2,Inputs!$K$4:$AJ$4,0))))+SUMPRODUCT((Inputs!$E$5:$E$120=$B28)*ISNUMBER(INDEX(Inputs!$K$5:$AJ$120,0,MATCH(I$2,Inputs!$K$4:$AJ$4,0))))=0,NA(),SUMPRODUCT((Inputs!$A$5:$A$120=$B28)*Inputs!$B$5:$B$120*(((Inputs!$G$5:$G$120="moeda")+(Inputs!$G$5:$G$120="acoes"))*Inputs!$B$1+((Inputs!$G$5:$G$120&lt;&gt;"moeda")*(Inputs!$G$5:$G$120&lt;&gt;"acoes")))*INDEX(Inputs!$K$5:$AJ$120,0,MATCH(I$2,Inputs!$K$4:$AJ$4,0)))+SUMPRODUCT((Inputs!$C$5:$C$120=$B28)*Inputs!$D$5:$D$120*(((Inputs!$G$5:$G$120="moeda")+(Inputs!$G$5:$G$120="acoes"))*Inputs!$B$1+((Inputs!$G$5:$G$120&lt;&gt;"moeda")*(Inputs!$G$5:$G$120&lt;&gt;"acoes")))*INDEX(Inputs!$K$5:$AJ$120,0,MATCH(I$2,Inputs!$K$4:$AJ$4,0)))+SUMPRODUCT((Inputs!$E$5:$E$120=$B28)*Inputs!$F$5:$F$120*(((Inputs!$G$5:$G$120="moeda")+(Inputs!$G$5:$G$120="acoes"))*Inputs!$B$1+((Inputs!$G$5:$G$120&lt;&gt;"moeda")*(Inputs!$G$5:$G$120&lt;&gt;"acoes")))*INDEX(Inputs!$K$5:$AJ$120,0,MATCH(I$2,Inputs!$K$4:$AJ$4,0)))))</f>
        <v>11171</v>
      </c>
      <c r="J28" s="6">
        <f>IF(ISNA(MATCH(J$2,Inputs!$K$4:$AJ$4,0)),NA(),IF(SUMPRODUCT((Inputs!$A$5:$A$120=$B28)*ISNUMBER(INDEX(Inputs!$K$5:$AJ$120,0,MATCH(J$2,Inputs!$K$4:$AJ$4,0))))+SUMPRODUCT((Inputs!$C$5:$C$120=$B28)*ISNUMBER(INDEX(Inputs!$K$5:$AJ$120,0,MATCH(J$2,Inputs!$K$4:$AJ$4,0))))+SUMPRODUCT((Inputs!$E$5:$E$120=$B28)*ISNUMBER(INDEX(Inputs!$K$5:$AJ$120,0,MATCH(J$2,Inputs!$K$4:$AJ$4,0))))=0,NA(),SUMPRODUCT((Inputs!$A$5:$A$120=$B28)*Inputs!$B$5:$B$120*(((Inputs!$G$5:$G$120="moeda")+(Inputs!$G$5:$G$120="acoes"))*Inputs!$B$1+((Inputs!$G$5:$G$120&lt;&gt;"moeda")*(Inputs!$G$5:$G$120&lt;&gt;"acoes")))*INDEX(Inputs!$K$5:$AJ$120,0,MATCH(J$2,Inputs!$K$4:$AJ$4,0)))+SUMPRODUCT((Inputs!$C$5:$C$120=$B28)*Inputs!$D$5:$D$120*(((Inputs!$G$5:$G$120="moeda")+(Inputs!$G$5:$G$120="acoes"))*Inputs!$B$1+((Inputs!$G$5:$G$120&lt;&gt;"moeda")*(Inputs!$G$5:$G$120&lt;&gt;"acoes")))*INDEX(Inputs!$K$5:$AJ$120,0,MATCH(J$2,Inputs!$K$4:$AJ$4,0)))+SUMPRODUCT((Inputs!$E$5:$E$120=$B28)*Inputs!$F$5:$F$120*(((Inputs!$G$5:$G$120="moeda")+(Inputs!$G$5:$G$120="acoes"))*Inputs!$B$1+((Inputs!$G$5:$G$120&lt;&gt;"moeda")*(Inputs!$G$5:$G$120&lt;&gt;"acoes")))*INDEX(Inputs!$K$5:$AJ$120,0,MATCH(J$2,Inputs!$K$4:$AJ$4,0)))))</f>
        <v>11212</v>
      </c>
      <c r="K28" s="6">
        <f>IF(ISNA(MATCH(K$2,Inputs!$K$4:$AJ$4,0)),NA(),IF(SUMPRODUCT((Inputs!$A$5:$A$120=$B28)*ISNUMBER(INDEX(Inputs!$K$5:$AJ$120,0,MATCH(K$2,Inputs!$K$4:$AJ$4,0))))+SUMPRODUCT((Inputs!$C$5:$C$120=$B28)*ISNUMBER(INDEX(Inputs!$K$5:$AJ$120,0,MATCH(K$2,Inputs!$K$4:$AJ$4,0))))+SUMPRODUCT((Inputs!$E$5:$E$120=$B28)*ISNUMBER(INDEX(Inputs!$K$5:$AJ$120,0,MATCH(K$2,Inputs!$K$4:$AJ$4,0))))=0,NA(),SUMPRODUCT((Inputs!$A$5:$A$120=$B28)*Inputs!$B$5:$B$120*(((Inputs!$G$5:$G$120="moeda")+(Inputs!$G$5:$G$120="acoes"))*Inputs!$B$1+((Inputs!$G$5:$G$120&lt;&gt;"moeda")*(Inputs!$G$5:$G$120&lt;&gt;"acoes")))*INDEX(Inputs!$K$5:$AJ$120,0,MATCH(K$2,Inputs!$K$4:$AJ$4,0)))+SUMPRODUCT((Inputs!$C$5:$C$120=$B28)*Inputs!$D$5:$D$120*(((Inputs!$G$5:$G$120="moeda")+(Inputs!$G$5:$G$120="acoes"))*Inputs!$B$1+((Inputs!$G$5:$G$120&lt;&gt;"moeda")*(Inputs!$G$5:$G$120&lt;&gt;"acoes")))*INDEX(Inputs!$K$5:$AJ$120,0,MATCH(K$2,Inputs!$K$4:$AJ$4,0)))+SUMPRODUCT((Inputs!$E$5:$E$120=$B28)*Inputs!$F$5:$F$120*(((Inputs!$G$5:$G$120="moeda")+(Inputs!$G$5:$G$120="acoes"))*Inputs!$B$1+((Inputs!$G$5:$G$120&lt;&gt;"moeda")*(Inputs!$G$5:$G$120&lt;&gt;"acoes")))*INDEX(Inputs!$K$5:$AJ$120,0,MATCH(K$2,Inputs!$K$4:$AJ$4,0)))))</f>
        <v>13897</v>
      </c>
      <c r="L28" s="6">
        <f>IF(ISNA(MATCH(L$2,Inputs!$K$4:$AJ$4,0)),NA(),IF(SUMPRODUCT((Inputs!$A$5:$A$120=$B28)*ISNUMBER(INDEX(Inputs!$K$5:$AJ$120,0,MATCH(L$2,Inputs!$K$4:$AJ$4,0))))+SUMPRODUCT((Inputs!$C$5:$C$120=$B28)*ISNUMBER(INDEX(Inputs!$K$5:$AJ$120,0,MATCH(L$2,Inputs!$K$4:$AJ$4,0))))+SUMPRODUCT((Inputs!$E$5:$E$120=$B28)*ISNUMBER(INDEX(Inputs!$K$5:$AJ$120,0,MATCH(L$2,Inputs!$K$4:$AJ$4,0))))=0,NA(),SUMPRODUCT((Inputs!$A$5:$A$120=$B28)*Inputs!$B$5:$B$120*(((Inputs!$G$5:$G$120="moeda")+(Inputs!$G$5:$G$120="acoes"))*Inputs!$B$1+((Inputs!$G$5:$G$120&lt;&gt;"moeda")*(Inputs!$G$5:$G$120&lt;&gt;"acoes")))*INDEX(Inputs!$K$5:$AJ$120,0,MATCH(L$2,Inputs!$K$4:$AJ$4,0)))+SUMPRODUCT((Inputs!$C$5:$C$120=$B28)*Inputs!$D$5:$D$120*(((Inputs!$G$5:$G$120="moeda")+(Inputs!$G$5:$G$120="acoes"))*Inputs!$B$1+((Inputs!$G$5:$G$120&lt;&gt;"moeda")*(Inputs!$G$5:$G$120&lt;&gt;"acoes")))*INDEX(Inputs!$K$5:$AJ$120,0,MATCH(L$2,Inputs!$K$4:$AJ$4,0)))+SUMPRODUCT((Inputs!$E$5:$E$120=$B28)*Inputs!$F$5:$F$120*(((Inputs!$G$5:$G$120="moeda")+(Inputs!$G$5:$G$120="acoes"))*Inputs!$B$1+((Inputs!$G$5:$G$120&lt;&gt;"moeda")*(Inputs!$G$5:$G$120&lt;&gt;"acoes")))*INDEX(Inputs!$K$5:$AJ$120,0,MATCH(L$2,Inputs!$K$4:$AJ$4,0)))))</f>
        <v>15255</v>
      </c>
      <c r="M28" s="3">
        <f>L28</f>
        <v>15255</v>
      </c>
      <c r="N28" s="6">
        <f>IF(ISNA(MATCH(N$2,Inputs!$K$4:$AJ$4,0)),NA(),IF(SUMPRODUCT((Inputs!$A$5:$A$120=$B28)*ISNUMBER(INDEX(Inputs!$K$5:$AJ$120,0,MATCH(N$2,Inputs!$K$4:$AJ$4,0))))+SUMPRODUCT((Inputs!$C$5:$C$120=$B28)*ISNUMBER(INDEX(Inputs!$K$5:$AJ$120,0,MATCH(N$2,Inputs!$K$4:$AJ$4,0))))+SUMPRODUCT((Inputs!$E$5:$E$120=$B28)*ISNUMBER(INDEX(Inputs!$K$5:$AJ$120,0,MATCH(N$2,Inputs!$K$4:$AJ$4,0))))=0,NA(),SUMPRODUCT((Inputs!$A$5:$A$120=$B28)*Inputs!$B$5:$B$120*(((Inputs!$G$5:$G$120="moeda")+(Inputs!$G$5:$G$120="acoes"))*Inputs!$B$1+((Inputs!$G$5:$G$120&lt;&gt;"moeda")*(Inputs!$G$5:$G$120&lt;&gt;"acoes")))*INDEX(Inputs!$K$5:$AJ$120,0,MATCH(N$2,Inputs!$K$4:$AJ$4,0)))+SUMPRODUCT((Inputs!$C$5:$C$120=$B28)*Inputs!$D$5:$D$120*(((Inputs!$G$5:$G$120="moeda")+(Inputs!$G$5:$G$120="acoes"))*Inputs!$B$1+((Inputs!$G$5:$G$120&lt;&gt;"moeda")*(Inputs!$G$5:$G$120&lt;&gt;"acoes")))*INDEX(Inputs!$K$5:$AJ$120,0,MATCH(N$2,Inputs!$K$4:$AJ$4,0)))+SUMPRODUCT((Inputs!$E$5:$E$120=$B28)*Inputs!$F$5:$F$120*(((Inputs!$G$5:$G$120="moeda")+(Inputs!$G$5:$G$120="acoes"))*Inputs!$B$1+((Inputs!$G$5:$G$120&lt;&gt;"moeda")*(Inputs!$G$5:$G$120&lt;&gt;"acoes")))*INDEX(Inputs!$K$5:$AJ$120,0,MATCH(N$2,Inputs!$K$4:$AJ$4,0)))))</f>
        <v>15904</v>
      </c>
      <c r="O28" s="6">
        <f>IF(ISNA(MATCH(O$2,Inputs!$K$4:$AJ$4,0)),NA(),IF(SUMPRODUCT((Inputs!$A$5:$A$120=$B28)*ISNUMBER(INDEX(Inputs!$K$5:$AJ$120,0,MATCH(O$2,Inputs!$K$4:$AJ$4,0))))+SUMPRODUCT((Inputs!$C$5:$C$120=$B28)*ISNUMBER(INDEX(Inputs!$K$5:$AJ$120,0,MATCH(O$2,Inputs!$K$4:$AJ$4,0))))+SUMPRODUCT((Inputs!$E$5:$E$120=$B28)*ISNUMBER(INDEX(Inputs!$K$5:$AJ$120,0,MATCH(O$2,Inputs!$K$4:$AJ$4,0))))=0,NA(),SUMPRODUCT((Inputs!$A$5:$A$120=$B28)*Inputs!$B$5:$B$120*(((Inputs!$G$5:$G$120="moeda")+(Inputs!$G$5:$G$120="acoes"))*Inputs!$B$1+((Inputs!$G$5:$G$120&lt;&gt;"moeda")*(Inputs!$G$5:$G$120&lt;&gt;"acoes")))*INDEX(Inputs!$K$5:$AJ$120,0,MATCH(O$2,Inputs!$K$4:$AJ$4,0)))+SUMPRODUCT((Inputs!$C$5:$C$120=$B28)*Inputs!$D$5:$D$120*(((Inputs!$G$5:$G$120="moeda")+(Inputs!$G$5:$G$120="acoes"))*Inputs!$B$1+((Inputs!$G$5:$G$120&lt;&gt;"moeda")*(Inputs!$G$5:$G$120&lt;&gt;"acoes")))*INDEX(Inputs!$K$5:$AJ$120,0,MATCH(O$2,Inputs!$K$4:$AJ$4,0)))+SUMPRODUCT((Inputs!$E$5:$E$120=$B28)*Inputs!$F$5:$F$120*(((Inputs!$G$5:$G$120="moeda")+(Inputs!$G$5:$G$120="acoes"))*Inputs!$B$1+((Inputs!$G$5:$G$120&lt;&gt;"moeda")*(Inputs!$G$5:$G$120&lt;&gt;"acoes")))*INDEX(Inputs!$K$5:$AJ$120,0,MATCH(O$2,Inputs!$K$4:$AJ$4,0)))))</f>
        <v>15273</v>
      </c>
      <c r="P28" s="6">
        <f>IF(ISNA(MATCH(P$2,Inputs!$K$4:$AJ$4,0)),NA(),IF(SUMPRODUCT((Inputs!$A$5:$A$120=$B28)*ISNUMBER(INDEX(Inputs!$K$5:$AJ$120,0,MATCH(P$2,Inputs!$K$4:$AJ$4,0))))+SUMPRODUCT((Inputs!$C$5:$C$120=$B28)*ISNUMBER(INDEX(Inputs!$K$5:$AJ$120,0,MATCH(P$2,Inputs!$K$4:$AJ$4,0))))+SUMPRODUCT((Inputs!$E$5:$E$120=$B28)*ISNUMBER(INDEX(Inputs!$K$5:$AJ$120,0,MATCH(P$2,Inputs!$K$4:$AJ$4,0))))=0,NA(),SUMPRODUCT((Inputs!$A$5:$A$120=$B28)*Inputs!$B$5:$B$120*(((Inputs!$G$5:$G$120="moeda")+(Inputs!$G$5:$G$120="acoes"))*Inputs!$B$1+((Inputs!$G$5:$G$120&lt;&gt;"moeda")*(Inputs!$G$5:$G$120&lt;&gt;"acoes")))*INDEX(Inputs!$K$5:$AJ$120,0,MATCH(P$2,Inputs!$K$4:$AJ$4,0)))+SUMPRODUCT((Inputs!$C$5:$C$120=$B28)*Inputs!$D$5:$D$120*(((Inputs!$G$5:$G$120="moeda")+(Inputs!$G$5:$G$120="acoes"))*Inputs!$B$1+((Inputs!$G$5:$G$120&lt;&gt;"moeda")*(Inputs!$G$5:$G$120&lt;&gt;"acoes")))*INDEX(Inputs!$K$5:$AJ$120,0,MATCH(P$2,Inputs!$K$4:$AJ$4,0)))+SUMPRODUCT((Inputs!$E$5:$E$120=$B28)*Inputs!$F$5:$F$120*(((Inputs!$G$5:$G$120="moeda")+(Inputs!$G$5:$G$120="acoes"))*Inputs!$B$1+((Inputs!$G$5:$G$120&lt;&gt;"moeda")*(Inputs!$G$5:$G$120&lt;&gt;"acoes")))*INDEX(Inputs!$K$5:$AJ$120,0,MATCH(P$2,Inputs!$K$4:$AJ$4,0)))))</f>
        <v>13937</v>
      </c>
      <c r="Q28" s="6">
        <f>IF(ISNA(MATCH(Q$2,Inputs!$K$4:$AJ$4,0)),NA(),IF(SUMPRODUCT((Inputs!$A$5:$A$120=$B28)*ISNUMBER(INDEX(Inputs!$K$5:$AJ$120,0,MATCH(Q$2,Inputs!$K$4:$AJ$4,0))))+SUMPRODUCT((Inputs!$C$5:$C$120=$B28)*ISNUMBER(INDEX(Inputs!$K$5:$AJ$120,0,MATCH(Q$2,Inputs!$K$4:$AJ$4,0))))+SUMPRODUCT((Inputs!$E$5:$E$120=$B28)*ISNUMBER(INDEX(Inputs!$K$5:$AJ$120,0,MATCH(Q$2,Inputs!$K$4:$AJ$4,0))))=0,NA(),SUMPRODUCT((Inputs!$A$5:$A$120=$B28)*Inputs!$B$5:$B$120*(((Inputs!$G$5:$G$120="moeda")+(Inputs!$G$5:$G$120="acoes"))*Inputs!$B$1+((Inputs!$G$5:$G$120&lt;&gt;"moeda")*(Inputs!$G$5:$G$120&lt;&gt;"acoes")))*INDEX(Inputs!$K$5:$AJ$120,0,MATCH(Q$2,Inputs!$K$4:$AJ$4,0)))+SUMPRODUCT((Inputs!$C$5:$C$120=$B28)*Inputs!$D$5:$D$120*(((Inputs!$G$5:$G$120="moeda")+(Inputs!$G$5:$G$120="acoes"))*Inputs!$B$1+((Inputs!$G$5:$G$120&lt;&gt;"moeda")*(Inputs!$G$5:$G$120&lt;&gt;"acoes")))*INDEX(Inputs!$K$5:$AJ$120,0,MATCH(Q$2,Inputs!$K$4:$AJ$4,0)))+SUMPRODUCT((Inputs!$E$5:$E$120=$B28)*Inputs!$F$5:$F$120*(((Inputs!$G$5:$G$120="moeda")+(Inputs!$G$5:$G$120="acoes"))*Inputs!$B$1+((Inputs!$G$5:$G$120&lt;&gt;"moeda")*(Inputs!$G$5:$G$120&lt;&gt;"acoes")))*INDEX(Inputs!$K$5:$AJ$120,0,MATCH(Q$2,Inputs!$K$4:$AJ$4,0)))))</f>
        <v>14431</v>
      </c>
      <c r="R28" s="3">
        <f>Q28</f>
        <v>14431</v>
      </c>
      <c r="S28" s="6">
        <f>IF(ISNA(MATCH(S$2,Inputs!$K$4:$AJ$4,0)),NA(),IF(SUMPRODUCT((Inputs!$A$5:$A$120=$B28)*ISNUMBER(INDEX(Inputs!$K$5:$AJ$120,0,MATCH(S$2,Inputs!$K$4:$AJ$4,0))))+SUMPRODUCT((Inputs!$C$5:$C$120=$B28)*ISNUMBER(INDEX(Inputs!$K$5:$AJ$120,0,MATCH(S$2,Inputs!$K$4:$AJ$4,0))))+SUMPRODUCT((Inputs!$E$5:$E$120=$B28)*ISNUMBER(INDEX(Inputs!$K$5:$AJ$120,0,MATCH(S$2,Inputs!$K$4:$AJ$4,0))))=0,NA(),SUMPRODUCT((Inputs!$A$5:$A$120=$B28)*Inputs!$B$5:$B$120*(((Inputs!$G$5:$G$120="moeda")+(Inputs!$G$5:$G$120="acoes"))*Inputs!$B$1+((Inputs!$G$5:$G$120&lt;&gt;"moeda")*(Inputs!$G$5:$G$120&lt;&gt;"acoes")))*INDEX(Inputs!$K$5:$AJ$120,0,MATCH(S$2,Inputs!$K$4:$AJ$4,0)))+SUMPRODUCT((Inputs!$C$5:$C$120=$B28)*Inputs!$D$5:$D$120*(((Inputs!$G$5:$G$120="moeda")+(Inputs!$G$5:$G$120="acoes"))*Inputs!$B$1+((Inputs!$G$5:$G$120&lt;&gt;"moeda")*(Inputs!$G$5:$G$120&lt;&gt;"acoes")))*INDEX(Inputs!$K$5:$AJ$120,0,MATCH(S$2,Inputs!$K$4:$AJ$4,0)))+SUMPRODUCT((Inputs!$E$5:$E$120=$B28)*Inputs!$F$5:$F$120*(((Inputs!$G$5:$G$120="moeda")+(Inputs!$G$5:$G$120="acoes"))*Inputs!$B$1+((Inputs!$G$5:$G$120&lt;&gt;"moeda")*(Inputs!$G$5:$G$120&lt;&gt;"acoes")))*INDEX(Inputs!$K$5:$AJ$120,0,MATCH(S$2,Inputs!$K$4:$AJ$4,0)))))</f>
        <v>14725</v>
      </c>
      <c r="T28" s="6">
        <f>IF(ISNA(MATCH(T$2,Inputs!$K$4:$AJ$4,0)),NA(),IF(SUMPRODUCT((Inputs!$A$5:$A$120=$B28)*ISNUMBER(INDEX(Inputs!$K$5:$AJ$120,0,MATCH(T$2,Inputs!$K$4:$AJ$4,0))))+SUMPRODUCT((Inputs!$C$5:$C$120=$B28)*ISNUMBER(INDEX(Inputs!$K$5:$AJ$120,0,MATCH(T$2,Inputs!$K$4:$AJ$4,0))))+SUMPRODUCT((Inputs!$E$5:$E$120=$B28)*ISNUMBER(INDEX(Inputs!$K$5:$AJ$120,0,MATCH(T$2,Inputs!$K$4:$AJ$4,0))))=0,NA(),SUMPRODUCT((Inputs!$A$5:$A$120=$B28)*Inputs!$B$5:$B$120*(((Inputs!$G$5:$G$120="moeda")+(Inputs!$G$5:$G$120="acoes"))*Inputs!$B$1+((Inputs!$G$5:$G$120&lt;&gt;"moeda")*(Inputs!$G$5:$G$120&lt;&gt;"acoes")))*INDEX(Inputs!$K$5:$AJ$120,0,MATCH(T$2,Inputs!$K$4:$AJ$4,0)))+SUMPRODUCT((Inputs!$C$5:$C$120=$B28)*Inputs!$D$5:$D$120*(((Inputs!$G$5:$G$120="moeda")+(Inputs!$G$5:$G$120="acoes"))*Inputs!$B$1+((Inputs!$G$5:$G$120&lt;&gt;"moeda")*(Inputs!$G$5:$G$120&lt;&gt;"acoes")))*INDEX(Inputs!$K$5:$AJ$120,0,MATCH(T$2,Inputs!$K$4:$AJ$4,0)))+SUMPRODUCT((Inputs!$E$5:$E$120=$B28)*Inputs!$F$5:$F$120*(((Inputs!$G$5:$G$120="moeda")+(Inputs!$G$5:$G$120="acoes"))*Inputs!$B$1+((Inputs!$G$5:$G$120&lt;&gt;"moeda")*(Inputs!$G$5:$G$120&lt;&gt;"acoes")))*INDEX(Inputs!$K$5:$AJ$120,0,MATCH(T$2,Inputs!$K$4:$AJ$4,0)))))</f>
        <v>13056</v>
      </c>
      <c r="U28" s="6">
        <f>IF(ISNA(MATCH(U$2,Inputs!$K$4:$AJ$4,0)),NA(),IF(SUMPRODUCT((Inputs!$A$5:$A$120=$B28)*ISNUMBER(INDEX(Inputs!$K$5:$AJ$120,0,MATCH(U$2,Inputs!$K$4:$AJ$4,0))))+SUMPRODUCT((Inputs!$C$5:$C$120=$B28)*ISNUMBER(INDEX(Inputs!$K$5:$AJ$120,0,MATCH(U$2,Inputs!$K$4:$AJ$4,0))))+SUMPRODUCT((Inputs!$E$5:$E$120=$B28)*ISNUMBER(INDEX(Inputs!$K$5:$AJ$120,0,MATCH(U$2,Inputs!$K$4:$AJ$4,0))))=0,NA(),SUMPRODUCT((Inputs!$A$5:$A$120=$B28)*Inputs!$B$5:$B$120*(((Inputs!$G$5:$G$120="moeda")+(Inputs!$G$5:$G$120="acoes"))*Inputs!$B$1+((Inputs!$G$5:$G$120&lt;&gt;"moeda")*(Inputs!$G$5:$G$120&lt;&gt;"acoes")))*INDEX(Inputs!$K$5:$AJ$120,0,MATCH(U$2,Inputs!$K$4:$AJ$4,0)))+SUMPRODUCT((Inputs!$C$5:$C$120=$B28)*Inputs!$D$5:$D$120*(((Inputs!$G$5:$G$120="moeda")+(Inputs!$G$5:$G$120="acoes"))*Inputs!$B$1+((Inputs!$G$5:$G$120&lt;&gt;"moeda")*(Inputs!$G$5:$G$120&lt;&gt;"acoes")))*INDEX(Inputs!$K$5:$AJ$120,0,MATCH(U$2,Inputs!$K$4:$AJ$4,0)))+SUMPRODUCT((Inputs!$E$5:$E$120=$B28)*Inputs!$F$5:$F$120*(((Inputs!$G$5:$G$120="moeda")+(Inputs!$G$5:$G$120="acoes"))*Inputs!$B$1+((Inputs!$G$5:$G$120&lt;&gt;"moeda")*(Inputs!$G$5:$G$120&lt;&gt;"acoes")))*INDEX(Inputs!$K$5:$AJ$120,0,MATCH(U$2,Inputs!$K$4:$AJ$4,0)))))</f>
        <v>14654</v>
      </c>
      <c r="V28" s="6">
        <f>IF(ISNA(MATCH(V$2,Inputs!$K$4:$AJ$4,0)),NA(),IF(SUMPRODUCT((Inputs!$A$5:$A$120=$B28)*ISNUMBER(INDEX(Inputs!$K$5:$AJ$120,0,MATCH(V$2,Inputs!$K$4:$AJ$4,0))))+SUMPRODUCT((Inputs!$C$5:$C$120=$B28)*ISNUMBER(INDEX(Inputs!$K$5:$AJ$120,0,MATCH(V$2,Inputs!$K$4:$AJ$4,0))))+SUMPRODUCT((Inputs!$E$5:$E$120=$B28)*ISNUMBER(INDEX(Inputs!$K$5:$AJ$120,0,MATCH(V$2,Inputs!$K$4:$AJ$4,0))))=0,NA(),SUMPRODUCT((Inputs!$A$5:$A$120=$B28)*Inputs!$B$5:$B$120*(((Inputs!$G$5:$G$120="moeda")+(Inputs!$G$5:$G$120="acoes"))*Inputs!$B$1+((Inputs!$G$5:$G$120&lt;&gt;"moeda")*(Inputs!$G$5:$G$120&lt;&gt;"acoes")))*INDEX(Inputs!$K$5:$AJ$120,0,MATCH(V$2,Inputs!$K$4:$AJ$4,0)))+SUMPRODUCT((Inputs!$C$5:$C$120=$B28)*Inputs!$D$5:$D$120*(((Inputs!$G$5:$G$120="moeda")+(Inputs!$G$5:$G$120="acoes"))*Inputs!$B$1+((Inputs!$G$5:$G$120&lt;&gt;"moeda")*(Inputs!$G$5:$G$120&lt;&gt;"acoes")))*INDEX(Inputs!$K$5:$AJ$120,0,MATCH(V$2,Inputs!$K$4:$AJ$4,0)))+SUMPRODUCT((Inputs!$E$5:$E$120=$B28)*Inputs!$F$5:$F$120*(((Inputs!$G$5:$G$120="moeda")+(Inputs!$G$5:$G$120="acoes"))*Inputs!$B$1+((Inputs!$G$5:$G$120&lt;&gt;"moeda")*(Inputs!$G$5:$G$120&lt;&gt;"acoes")))*INDEX(Inputs!$K$5:$AJ$120,0,MATCH(V$2,Inputs!$K$4:$AJ$4,0)))))</f>
        <v>12474</v>
      </c>
      <c r="W28" s="3">
        <f>V28</f>
        <v>12474</v>
      </c>
      <c r="X28" s="6">
        <f>IF(ISNA(MATCH(X$2,Inputs!$K$4:$AJ$4,0)),NA(),IF(SUMPRODUCT((Inputs!$A$5:$A$120=$B28)*ISNUMBER(INDEX(Inputs!$K$5:$AJ$120,0,MATCH(X$2,Inputs!$K$4:$AJ$4,0))))+SUMPRODUCT((Inputs!$C$5:$C$120=$B28)*ISNUMBER(INDEX(Inputs!$K$5:$AJ$120,0,MATCH(X$2,Inputs!$K$4:$AJ$4,0))))+SUMPRODUCT((Inputs!$E$5:$E$120=$B28)*ISNUMBER(INDEX(Inputs!$K$5:$AJ$120,0,MATCH(X$2,Inputs!$K$4:$AJ$4,0))))=0,NA(),SUMPRODUCT((Inputs!$A$5:$A$120=$B28)*Inputs!$B$5:$B$120*(((Inputs!$G$5:$G$120="moeda")+(Inputs!$G$5:$G$120="acoes"))*Inputs!$B$1+((Inputs!$G$5:$G$120&lt;&gt;"moeda")*(Inputs!$G$5:$G$120&lt;&gt;"acoes")))*INDEX(Inputs!$K$5:$AJ$120,0,MATCH(X$2,Inputs!$K$4:$AJ$4,0)))+SUMPRODUCT((Inputs!$C$5:$C$120=$B28)*Inputs!$D$5:$D$120*(((Inputs!$G$5:$G$120="moeda")+(Inputs!$G$5:$G$120="acoes"))*Inputs!$B$1+((Inputs!$G$5:$G$120&lt;&gt;"moeda")*(Inputs!$G$5:$G$120&lt;&gt;"acoes")))*INDEX(Inputs!$K$5:$AJ$120,0,MATCH(X$2,Inputs!$K$4:$AJ$4,0)))+SUMPRODUCT((Inputs!$E$5:$E$120=$B28)*Inputs!$F$5:$F$120*(((Inputs!$G$5:$G$120="moeda")+(Inputs!$G$5:$G$120="acoes"))*Inputs!$B$1+((Inputs!$G$5:$G$120&lt;&gt;"moeda")*(Inputs!$G$5:$G$120&lt;&gt;"acoes")))*INDEX(Inputs!$K$5:$AJ$120,0,MATCH(X$2,Inputs!$K$4:$AJ$4,0)))))</f>
        <v>13471</v>
      </c>
      <c r="Y28" s="6">
        <f>IF(ISNA(MATCH(Y$2,Inputs!$K$4:$AJ$4,0)),NA(),IF(SUMPRODUCT((Inputs!$A$5:$A$120=$B28)*ISNUMBER(INDEX(Inputs!$K$5:$AJ$120,0,MATCH(Y$2,Inputs!$K$4:$AJ$4,0))))+SUMPRODUCT((Inputs!$C$5:$C$120=$B28)*ISNUMBER(INDEX(Inputs!$K$5:$AJ$120,0,MATCH(Y$2,Inputs!$K$4:$AJ$4,0))))+SUMPRODUCT((Inputs!$E$5:$E$120=$B28)*ISNUMBER(INDEX(Inputs!$K$5:$AJ$120,0,MATCH(Y$2,Inputs!$K$4:$AJ$4,0))))=0,NA(),SUMPRODUCT((Inputs!$A$5:$A$120=$B28)*Inputs!$B$5:$B$120*(((Inputs!$G$5:$G$120="moeda")+(Inputs!$G$5:$G$120="acoes"))*Inputs!$B$1+((Inputs!$G$5:$G$120&lt;&gt;"moeda")*(Inputs!$G$5:$G$120&lt;&gt;"acoes")))*INDEX(Inputs!$K$5:$AJ$120,0,MATCH(Y$2,Inputs!$K$4:$AJ$4,0)))+SUMPRODUCT((Inputs!$C$5:$C$120=$B28)*Inputs!$D$5:$D$120*(((Inputs!$G$5:$G$120="moeda")+(Inputs!$G$5:$G$120="acoes"))*Inputs!$B$1+((Inputs!$G$5:$G$120&lt;&gt;"moeda")*(Inputs!$G$5:$G$120&lt;&gt;"acoes")))*INDEX(Inputs!$K$5:$AJ$120,0,MATCH(Y$2,Inputs!$K$4:$AJ$4,0)))+SUMPRODUCT((Inputs!$E$5:$E$120=$B28)*Inputs!$F$5:$F$120*(((Inputs!$G$5:$G$120="moeda")+(Inputs!$G$5:$G$120="acoes"))*Inputs!$B$1+((Inputs!$G$5:$G$120&lt;&gt;"moeda")*(Inputs!$G$5:$G$120&lt;&gt;"acoes")))*INDEX(Inputs!$K$5:$AJ$120,0,MATCH(Y$2,Inputs!$K$4:$AJ$4,0)))))</f>
        <v>13212</v>
      </c>
      <c r="Z28" s="6">
        <f>IF(ISNA(MATCH(Z$2,Inputs!$K$4:$AJ$4,0)),NA(),IF(SUMPRODUCT((Inputs!$A$5:$A$120=$B28)*ISNUMBER(INDEX(Inputs!$K$5:$AJ$120,0,MATCH(Z$2,Inputs!$K$4:$AJ$4,0))))+SUMPRODUCT((Inputs!$C$5:$C$120=$B28)*ISNUMBER(INDEX(Inputs!$K$5:$AJ$120,0,MATCH(Z$2,Inputs!$K$4:$AJ$4,0))))+SUMPRODUCT((Inputs!$E$5:$E$120=$B28)*ISNUMBER(INDEX(Inputs!$K$5:$AJ$120,0,MATCH(Z$2,Inputs!$K$4:$AJ$4,0))))=0,NA(),SUMPRODUCT((Inputs!$A$5:$A$120=$B28)*Inputs!$B$5:$B$120*(((Inputs!$G$5:$G$120="moeda")+(Inputs!$G$5:$G$120="acoes"))*Inputs!$B$1+((Inputs!$G$5:$G$120&lt;&gt;"moeda")*(Inputs!$G$5:$G$120&lt;&gt;"acoes")))*INDEX(Inputs!$K$5:$AJ$120,0,MATCH(Z$2,Inputs!$K$4:$AJ$4,0)))+SUMPRODUCT((Inputs!$C$5:$C$120=$B28)*Inputs!$D$5:$D$120*(((Inputs!$G$5:$G$120="moeda")+(Inputs!$G$5:$G$120="acoes"))*Inputs!$B$1+((Inputs!$G$5:$G$120&lt;&gt;"moeda")*(Inputs!$G$5:$G$120&lt;&gt;"acoes")))*INDEX(Inputs!$K$5:$AJ$120,0,MATCH(Z$2,Inputs!$K$4:$AJ$4,0)))+SUMPRODUCT((Inputs!$E$5:$E$120=$B28)*Inputs!$F$5:$F$120*(((Inputs!$G$5:$G$120="moeda")+(Inputs!$G$5:$G$120="acoes"))*Inputs!$B$1+((Inputs!$G$5:$G$120&lt;&gt;"moeda")*(Inputs!$G$5:$G$120&lt;&gt;"acoes")))*INDEX(Inputs!$K$5:$AJ$120,0,MATCH(Z$2,Inputs!$K$4:$AJ$4,0)))))</f>
        <v>12819</v>
      </c>
      <c r="AA28" s="6">
        <f>IF(ISNA(MATCH(AA$2,Inputs!$K$4:$AJ$4,0)),NA(),IF(SUMPRODUCT((Inputs!$A$5:$A$120=$B28)*ISNUMBER(INDEX(Inputs!$K$5:$AJ$120,0,MATCH(AA$2,Inputs!$K$4:$AJ$4,0))))+SUMPRODUCT((Inputs!$C$5:$C$120=$B28)*ISNUMBER(INDEX(Inputs!$K$5:$AJ$120,0,MATCH(AA$2,Inputs!$K$4:$AJ$4,0))))+SUMPRODUCT((Inputs!$E$5:$E$120=$B28)*ISNUMBER(INDEX(Inputs!$K$5:$AJ$120,0,MATCH(AA$2,Inputs!$K$4:$AJ$4,0))))=0,NA(),SUMPRODUCT((Inputs!$A$5:$A$120=$B28)*Inputs!$B$5:$B$120*(((Inputs!$G$5:$G$120="moeda")+(Inputs!$G$5:$G$120="acoes"))*Inputs!$B$1+((Inputs!$G$5:$G$120&lt;&gt;"moeda")*(Inputs!$G$5:$G$120&lt;&gt;"acoes")))*INDEX(Inputs!$K$5:$AJ$120,0,MATCH(AA$2,Inputs!$K$4:$AJ$4,0)))+SUMPRODUCT((Inputs!$C$5:$C$120=$B28)*Inputs!$D$5:$D$120*(((Inputs!$G$5:$G$120="moeda")+(Inputs!$G$5:$G$120="acoes"))*Inputs!$B$1+((Inputs!$G$5:$G$120&lt;&gt;"moeda")*(Inputs!$G$5:$G$120&lt;&gt;"acoes")))*INDEX(Inputs!$K$5:$AJ$120,0,MATCH(AA$2,Inputs!$K$4:$AJ$4,0)))+SUMPRODUCT((Inputs!$E$5:$E$120=$B28)*Inputs!$F$5:$F$120*(((Inputs!$G$5:$G$120="moeda")+(Inputs!$G$5:$G$120="acoes"))*Inputs!$B$1+((Inputs!$G$5:$G$120&lt;&gt;"moeda")*(Inputs!$G$5:$G$120&lt;&gt;"acoes")))*INDEX(Inputs!$K$5:$AJ$120,0,MATCH(AA$2,Inputs!$K$4:$AJ$4,0)))))</f>
        <v>13371</v>
      </c>
      <c r="AB28" s="3">
        <f>AA28</f>
        <v>13371</v>
      </c>
      <c r="AC28" s="6">
        <f>IF(ISNA(MATCH(AC$2,Inputs!$K$4:$AJ$4,0)),NA(),IF(SUMPRODUCT((Inputs!$A$5:$A$120=$B28)*ISNUMBER(INDEX(Inputs!$K$5:$AJ$120,0,MATCH(AC$2,Inputs!$K$4:$AJ$4,0))))+SUMPRODUCT((Inputs!$C$5:$C$120=$B28)*ISNUMBER(INDEX(Inputs!$K$5:$AJ$120,0,MATCH(AC$2,Inputs!$K$4:$AJ$4,0))))+SUMPRODUCT((Inputs!$E$5:$E$120=$B28)*ISNUMBER(INDEX(Inputs!$K$5:$AJ$120,0,MATCH(AC$2,Inputs!$K$4:$AJ$4,0))))=0,NA(),SUMPRODUCT((Inputs!$A$5:$A$120=$B28)*Inputs!$B$5:$B$120*(((Inputs!$G$5:$G$120="moeda")+(Inputs!$G$5:$G$120="acoes"))*Inputs!$B$1+((Inputs!$G$5:$G$120&lt;&gt;"moeda")*(Inputs!$G$5:$G$120&lt;&gt;"acoes")))*INDEX(Inputs!$K$5:$AJ$120,0,MATCH(AC$2,Inputs!$K$4:$AJ$4,0)))+SUMPRODUCT((Inputs!$C$5:$C$120=$B28)*Inputs!$D$5:$D$120*(((Inputs!$G$5:$G$120="moeda")+(Inputs!$G$5:$G$120="acoes"))*Inputs!$B$1+((Inputs!$G$5:$G$120&lt;&gt;"moeda")*(Inputs!$G$5:$G$120&lt;&gt;"acoes")))*INDEX(Inputs!$K$5:$AJ$120,0,MATCH(AC$2,Inputs!$K$4:$AJ$4,0)))+SUMPRODUCT((Inputs!$E$5:$E$120=$B28)*Inputs!$F$5:$F$120*(((Inputs!$G$5:$G$120="moeda")+(Inputs!$G$5:$G$120="acoes"))*Inputs!$B$1+((Inputs!$G$5:$G$120&lt;&gt;"moeda")*(Inputs!$G$5:$G$120&lt;&gt;"acoes")))*INDEX(Inputs!$K$5:$AJ$120,0,MATCH(AC$2,Inputs!$K$4:$AJ$4,0)))))</f>
        <v>14696</v>
      </c>
      <c r="AD28" s="6">
        <f>IF(ISNA(MATCH(AD$2,Inputs!$K$4:$AJ$4,0)),NA(),IF(SUMPRODUCT((Inputs!$A$5:$A$120=$B28)*ISNUMBER(INDEX(Inputs!$K$5:$AJ$120,0,MATCH(AD$2,Inputs!$K$4:$AJ$4,0))))+SUMPRODUCT((Inputs!$C$5:$C$120=$B28)*ISNUMBER(INDEX(Inputs!$K$5:$AJ$120,0,MATCH(AD$2,Inputs!$K$4:$AJ$4,0))))+SUMPRODUCT((Inputs!$E$5:$E$120=$B28)*ISNUMBER(INDEX(Inputs!$K$5:$AJ$120,0,MATCH(AD$2,Inputs!$K$4:$AJ$4,0))))=0,NA(),SUMPRODUCT((Inputs!$A$5:$A$120=$B28)*Inputs!$B$5:$B$120*(((Inputs!$G$5:$G$120="moeda")+(Inputs!$G$5:$G$120="acoes"))*Inputs!$B$1+((Inputs!$G$5:$G$120&lt;&gt;"moeda")*(Inputs!$G$5:$G$120&lt;&gt;"acoes")))*INDEX(Inputs!$K$5:$AJ$120,0,MATCH(AD$2,Inputs!$K$4:$AJ$4,0)))+SUMPRODUCT((Inputs!$C$5:$C$120=$B28)*Inputs!$D$5:$D$120*(((Inputs!$G$5:$G$120="moeda")+(Inputs!$G$5:$G$120="acoes"))*Inputs!$B$1+((Inputs!$G$5:$G$120&lt;&gt;"moeda")*(Inputs!$G$5:$G$120&lt;&gt;"acoes")))*INDEX(Inputs!$K$5:$AJ$120,0,MATCH(AD$2,Inputs!$K$4:$AJ$4,0)))+SUMPRODUCT((Inputs!$E$5:$E$120=$B28)*Inputs!$F$5:$F$120*(((Inputs!$G$5:$G$120="moeda")+(Inputs!$G$5:$G$120="acoes"))*Inputs!$B$1+((Inputs!$G$5:$G$120&lt;&gt;"moeda")*(Inputs!$G$5:$G$120&lt;&gt;"acoes")))*INDEX(Inputs!$K$5:$AJ$120,0,MATCH(AD$2,Inputs!$K$4:$AJ$4,0)))))</f>
        <v>15324</v>
      </c>
      <c r="AE28" s="6" t="e">
        <f>IF(ISNA(MATCH(AE$2,Inputs!$K$4:$AJ$4,0)),NA(),IF(SUMPRODUCT((Inputs!$A$5:$A$120=$B28)*ISNUMBER(INDEX(Inputs!$K$5:$AJ$120,0,MATCH(AE$2,Inputs!$K$4:$AJ$4,0))))+SUMPRODUCT((Inputs!$C$5:$C$120=$B28)*ISNUMBER(INDEX(Inputs!$K$5:$AJ$120,0,MATCH(AE$2,Inputs!$K$4:$AJ$4,0))))+SUMPRODUCT((Inputs!$E$5:$E$120=$B28)*ISNUMBER(INDEX(Inputs!$K$5:$AJ$120,0,MATCH(AE$2,Inputs!$K$4:$AJ$4,0))))=0,NA(),SUMPRODUCT((Inputs!$A$5:$A$120=$B28)*Inputs!$B$5:$B$120*(((Inputs!$G$5:$G$120="moeda")+(Inputs!$G$5:$G$120="acoes"))*Inputs!$B$1+((Inputs!$G$5:$G$120&lt;&gt;"moeda")*(Inputs!$G$5:$G$120&lt;&gt;"acoes")))*INDEX(Inputs!$K$5:$AJ$120,0,MATCH(AE$2,Inputs!$K$4:$AJ$4,0)))+SUMPRODUCT((Inputs!$C$5:$C$120=$B28)*Inputs!$D$5:$D$120*(((Inputs!$G$5:$G$120="moeda")+(Inputs!$G$5:$G$120="acoes"))*Inputs!$B$1+((Inputs!$G$5:$G$120&lt;&gt;"moeda")*(Inputs!$G$5:$G$120&lt;&gt;"acoes")))*INDEX(Inputs!$K$5:$AJ$120,0,MATCH(AE$2,Inputs!$K$4:$AJ$4,0)))+SUMPRODUCT((Inputs!$E$5:$E$120=$B28)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28" s="6" t="e">
        <f>IF(ISNA(MATCH(AF$2,Inputs!$K$4:$AJ$4,0)),NA(),IF(SUMPRODUCT((Inputs!$A$5:$A$120=$B28)*ISNUMBER(INDEX(Inputs!$K$5:$AJ$120,0,MATCH(AF$2,Inputs!$K$4:$AJ$4,0))))+SUMPRODUCT((Inputs!$C$5:$C$120=$B28)*ISNUMBER(INDEX(Inputs!$K$5:$AJ$120,0,MATCH(AF$2,Inputs!$K$4:$AJ$4,0))))+SUMPRODUCT((Inputs!$E$5:$E$120=$B28)*ISNUMBER(INDEX(Inputs!$K$5:$AJ$120,0,MATCH(AF$2,Inputs!$K$4:$AJ$4,0))))=0,NA(),SUMPRODUCT((Inputs!$A$5:$A$120=$B28)*Inputs!$B$5:$B$120*(((Inputs!$G$5:$G$120="moeda")+(Inputs!$G$5:$G$120="acoes"))*Inputs!$B$1+((Inputs!$G$5:$G$120&lt;&gt;"moeda")*(Inputs!$G$5:$G$120&lt;&gt;"acoes")))*INDEX(Inputs!$K$5:$AJ$120,0,MATCH(AF$2,Inputs!$K$4:$AJ$4,0)))+SUMPRODUCT((Inputs!$C$5:$C$120=$B28)*Inputs!$D$5:$D$120*(((Inputs!$G$5:$G$120="moeda")+(Inputs!$G$5:$G$120="acoes"))*Inputs!$B$1+((Inputs!$G$5:$G$120&lt;&gt;"moeda")*(Inputs!$G$5:$G$120&lt;&gt;"acoes")))*INDEX(Inputs!$K$5:$AJ$120,0,MATCH(AF$2,Inputs!$K$4:$AJ$4,0)))+SUMPRODUCT((Inputs!$E$5:$E$120=$B28)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28" s="3" t="e">
        <f>AF28</f>
        <v>#N/A</v>
      </c>
      <c r="AH28" s="6">
        <f>IF(ISNA(MATCH(AH$2,Inputs!$K$4:$AJ$4,0)),NA(),IF(SUMPRODUCT((Inputs!$A$5:$A$120=$B28)*ISNUMBER(INDEX(Inputs!$K$5:$AJ$120,0,MATCH(AH$2,Inputs!$K$4:$AJ$4,0))))+SUMPRODUCT((Inputs!$C$5:$C$120=$B28)*ISNUMBER(INDEX(Inputs!$K$5:$AJ$120,0,MATCH(AH$2,Inputs!$K$4:$AJ$4,0))))+SUMPRODUCT((Inputs!$E$5:$E$120=$B28)*ISNUMBER(INDEX(Inputs!$K$5:$AJ$120,0,MATCH(AH$2,Inputs!$K$4:$AJ$4,0))))=0,NA(),SUMPRODUCT((Inputs!$A$5:$A$120=$B28)*Inputs!$B$5:$B$120*(((Inputs!$G$5:$G$120="moeda")+(Inputs!$G$5:$G$120="acoes"))*Inputs!$B$1+((Inputs!$G$5:$G$120&lt;&gt;"moeda")*(Inputs!$G$5:$G$120&lt;&gt;"acoes")))*INDEX(Inputs!$K$5:$AJ$120,0,MATCH(AH$2,Inputs!$K$4:$AJ$4,0)))+SUMPRODUCT((Inputs!$C$5:$C$120=$B28)*Inputs!$D$5:$D$120*(((Inputs!$G$5:$G$120="moeda")+(Inputs!$G$5:$G$120="acoes"))*Inputs!$B$1+((Inputs!$G$5:$G$120&lt;&gt;"moeda")*(Inputs!$G$5:$G$120&lt;&gt;"acoes")))*INDEX(Inputs!$K$5:$AJ$120,0,MATCH(AH$2,Inputs!$K$4:$AJ$4,0)))+SUMPRODUCT((Inputs!$E$5:$E$120=$B28)*Inputs!$F$5:$F$120*(((Inputs!$G$5:$G$120="moeda")+(Inputs!$G$5:$G$120="acoes"))*Inputs!$B$1+((Inputs!$G$5:$G$120&lt;&gt;"moeda")*(Inputs!$G$5:$G$120&lt;&gt;"acoes")))*INDEX(Inputs!$K$5:$AJ$120,0,MATCH(AH$2,Inputs!$K$4:$AJ$4,0)))))</f>
        <v>3970</v>
      </c>
      <c r="AI28" s="6">
        <f>IF(ISNA(MATCH(AI$2,Inputs!$K$4:$AJ$4,0)),NA(),IF(SUMPRODUCT((Inputs!$A$5:$A$120=$B28)*ISNUMBER(INDEX(Inputs!$K$5:$AJ$120,0,MATCH(AI$2,Inputs!$K$4:$AJ$4,0))))+SUMPRODUCT((Inputs!$C$5:$C$120=$B28)*ISNUMBER(INDEX(Inputs!$K$5:$AJ$120,0,MATCH(AI$2,Inputs!$K$4:$AJ$4,0))))+SUMPRODUCT((Inputs!$E$5:$E$120=$B28)*ISNUMBER(INDEX(Inputs!$K$5:$AJ$120,0,MATCH(AI$2,Inputs!$K$4:$AJ$4,0))))=0,NA(),SUMPRODUCT((Inputs!$A$5:$A$120=$B28)*Inputs!$B$5:$B$120*(((Inputs!$G$5:$G$120="moeda")+(Inputs!$G$5:$G$120="acoes"))*Inputs!$B$1+((Inputs!$G$5:$G$120&lt;&gt;"moeda")*(Inputs!$G$5:$G$120&lt;&gt;"acoes")))*INDEX(Inputs!$K$5:$AJ$120,0,MATCH(AI$2,Inputs!$K$4:$AJ$4,0)))+SUMPRODUCT((Inputs!$C$5:$C$120=$B28)*Inputs!$D$5:$D$120*(((Inputs!$G$5:$G$120="moeda")+(Inputs!$G$5:$G$120="acoes"))*Inputs!$B$1+((Inputs!$G$5:$G$120&lt;&gt;"moeda")*(Inputs!$G$5:$G$120&lt;&gt;"acoes")))*INDEX(Inputs!$K$5:$AJ$120,0,MATCH(AI$2,Inputs!$K$4:$AJ$4,0)))+SUMPRODUCT((Inputs!$E$5:$E$120=$B28)*Inputs!$F$5:$F$120*(((Inputs!$G$5:$G$120="moeda")+(Inputs!$G$5:$G$120="acoes"))*Inputs!$B$1+((Inputs!$G$5:$G$120&lt;&gt;"moeda")*(Inputs!$G$5:$G$120&lt;&gt;"acoes")))*INDEX(Inputs!$K$5:$AJ$120,0,MATCH(AI$2,Inputs!$K$4:$AJ$4,0)))))</f>
        <v>3638</v>
      </c>
      <c r="AJ28" s="6">
        <f>IF(ISNA(MATCH(AJ$2,Inputs!$K$4:$AJ$4,0)),NA(),IF(SUMPRODUCT((Inputs!$A$5:$A$120=$B28)*ISNUMBER(INDEX(Inputs!$K$5:$AJ$120,0,MATCH(AJ$2,Inputs!$K$4:$AJ$4,0))))+SUMPRODUCT((Inputs!$C$5:$C$120=$B28)*ISNUMBER(INDEX(Inputs!$K$5:$AJ$120,0,MATCH(AJ$2,Inputs!$K$4:$AJ$4,0))))+SUMPRODUCT((Inputs!$E$5:$E$120=$B28)*ISNUMBER(INDEX(Inputs!$K$5:$AJ$120,0,MATCH(AJ$2,Inputs!$K$4:$AJ$4,0))))=0,NA(),SUMPRODUCT((Inputs!$A$5:$A$120=$B28)*Inputs!$B$5:$B$120*(((Inputs!$G$5:$G$120="moeda")+(Inputs!$G$5:$G$120="acoes"))*Inputs!$B$1+((Inputs!$G$5:$G$120&lt;&gt;"moeda")*(Inputs!$G$5:$G$120&lt;&gt;"acoes")))*INDEX(Inputs!$K$5:$AJ$120,0,MATCH(AJ$2,Inputs!$K$4:$AJ$4,0)))+SUMPRODUCT((Inputs!$C$5:$C$120=$B28)*Inputs!$D$5:$D$120*(((Inputs!$G$5:$G$120="moeda")+(Inputs!$G$5:$G$120="acoes"))*Inputs!$B$1+((Inputs!$G$5:$G$120&lt;&gt;"moeda")*(Inputs!$G$5:$G$120&lt;&gt;"acoes")))*INDEX(Inputs!$K$5:$AJ$120,0,MATCH(AJ$2,Inputs!$K$4:$AJ$4,0)))+SUMPRODUCT((Inputs!$E$5:$E$120=$B28)*Inputs!$F$5:$F$120*(((Inputs!$G$5:$G$120="moeda")+(Inputs!$G$5:$G$120="acoes"))*Inputs!$B$1+((Inputs!$G$5:$G$120&lt;&gt;"moeda")*(Inputs!$G$5:$G$120&lt;&gt;"acoes")))*INDEX(Inputs!$K$5:$AJ$120,0,MATCH(AJ$2,Inputs!$K$4:$AJ$4,0)))))</f>
        <v>4958</v>
      </c>
      <c r="AK28" s="6">
        <f>IF(ISNA(MATCH(AK$2,Inputs!$K$4:$AJ$4,0)),NA(),IF(SUMPRODUCT((Inputs!$A$5:$A$120=$B28)*ISNUMBER(INDEX(Inputs!$K$5:$AJ$120,0,MATCH(AK$2,Inputs!$K$4:$AJ$4,0))))+SUMPRODUCT((Inputs!$C$5:$C$120=$B28)*ISNUMBER(INDEX(Inputs!$K$5:$AJ$120,0,MATCH(AK$2,Inputs!$K$4:$AJ$4,0))))+SUMPRODUCT((Inputs!$E$5:$E$120=$B28)*ISNUMBER(INDEX(Inputs!$K$5:$AJ$120,0,MATCH(AK$2,Inputs!$K$4:$AJ$4,0))))=0,NA(),SUMPRODUCT((Inputs!$A$5:$A$120=$B28)*Inputs!$B$5:$B$120*(((Inputs!$G$5:$G$120="moeda")+(Inputs!$G$5:$G$120="acoes"))*Inputs!$B$1+((Inputs!$G$5:$G$120&lt;&gt;"moeda")*(Inputs!$G$5:$G$120&lt;&gt;"acoes")))*INDEX(Inputs!$K$5:$AJ$120,0,MATCH(AK$2,Inputs!$K$4:$AJ$4,0)))+SUMPRODUCT((Inputs!$C$5:$C$120=$B28)*Inputs!$D$5:$D$120*(((Inputs!$G$5:$G$120="moeda")+(Inputs!$G$5:$G$120="acoes"))*Inputs!$B$1+((Inputs!$G$5:$G$120&lt;&gt;"moeda")*(Inputs!$G$5:$G$120&lt;&gt;"acoes")))*INDEX(Inputs!$K$5:$AJ$120,0,MATCH(AK$2,Inputs!$K$4:$AJ$4,0)))+SUMPRODUCT((Inputs!$E$5:$E$120=$B28)*Inputs!$F$5:$F$120*(((Inputs!$G$5:$G$120="moeda")+(Inputs!$G$5:$G$120="acoes"))*Inputs!$B$1+((Inputs!$G$5:$G$120&lt;&gt;"moeda")*(Inputs!$G$5:$G$120&lt;&gt;"acoes")))*INDEX(Inputs!$K$5:$AJ$120,0,MATCH(AK$2,Inputs!$K$4:$AJ$4,0)))))</f>
        <v>6051</v>
      </c>
      <c r="AL28" s="3">
        <f>AK28</f>
        <v>6051</v>
      </c>
    </row>
    <row r="29">
      <c r="B29" s="46" t="n">
        <v>24</v>
      </c>
      <c r="C29" s="26" t="inlineStr">
        <is>
          <t>Accrued expenses</t>
        </is>
      </c>
      <c r="D29" s="6">
        <f>IF(ISNA(MATCH(D$2,Inputs!$K$4:$AJ$4,0)),NA(),IF(SUMPRODUCT((Inputs!$A$5:$A$120=$B29)*ISNUMBER(INDEX(Inputs!$K$5:$AJ$120,0,MATCH(D$2,Inputs!$K$4:$AJ$4,0))))+SUMPRODUCT((Inputs!$C$5:$C$120=$B29)*ISNUMBER(INDEX(Inputs!$K$5:$AJ$120,0,MATCH(D$2,Inputs!$K$4:$AJ$4,0))))+SUMPRODUCT((Inputs!$E$5:$E$120=$B29)*ISNUMBER(INDEX(Inputs!$K$5:$AJ$120,0,MATCH(D$2,Inputs!$K$4:$AJ$4,0))))=0,NA(),SUMPRODUCT((Inputs!$A$5:$A$120=$B29)*Inputs!$B$5:$B$120*(((Inputs!$G$5:$G$120="moeda")+(Inputs!$G$5:$G$120="acoes"))*Inputs!$B$1+((Inputs!$G$5:$G$120&lt;&gt;"moeda")*(Inputs!$G$5:$G$120&lt;&gt;"acoes")))*INDEX(Inputs!$K$5:$AJ$120,0,MATCH(D$2,Inputs!$K$4:$AJ$4,0)))+SUMPRODUCT((Inputs!$C$5:$C$120=$B29)*Inputs!$D$5:$D$120*(((Inputs!$G$5:$G$120="moeda")+(Inputs!$G$5:$G$120="acoes"))*Inputs!$B$1+((Inputs!$G$5:$G$120&lt;&gt;"moeda")*(Inputs!$G$5:$G$120&lt;&gt;"acoes")))*INDEX(Inputs!$K$5:$AJ$120,0,MATCH(D$2,Inputs!$K$4:$AJ$4,0)))+SUMPRODUCT((Inputs!$E$5:$E$120=$B29)*Inputs!$F$5:$F$120*(((Inputs!$G$5:$G$120="moeda")+(Inputs!$G$5:$G$120="acoes"))*Inputs!$B$1+((Inputs!$G$5:$G$120&lt;&gt;"moeda")*(Inputs!$G$5:$G$120&lt;&gt;"acoes")))*INDEX(Inputs!$K$5:$AJ$120,0,MATCH(D$2,Inputs!$K$4:$AJ$4,0)))))</f>
        <v>0</v>
      </c>
      <c r="E29" s="6">
        <f>IF(ISNA(MATCH(E$2,Inputs!$K$4:$AJ$4,0)),NA(),IF(SUMPRODUCT((Inputs!$A$5:$A$120=$B29)*ISNUMBER(INDEX(Inputs!$K$5:$AJ$120,0,MATCH(E$2,Inputs!$K$4:$AJ$4,0))))+SUMPRODUCT((Inputs!$C$5:$C$120=$B29)*ISNUMBER(INDEX(Inputs!$K$5:$AJ$120,0,MATCH(E$2,Inputs!$K$4:$AJ$4,0))))+SUMPRODUCT((Inputs!$E$5:$E$120=$B29)*ISNUMBER(INDEX(Inputs!$K$5:$AJ$120,0,MATCH(E$2,Inputs!$K$4:$AJ$4,0))))=0,NA(),SUMPRODUCT((Inputs!$A$5:$A$120=$B29)*Inputs!$B$5:$B$120*(((Inputs!$G$5:$G$120="moeda")+(Inputs!$G$5:$G$120="acoes"))*Inputs!$B$1+((Inputs!$G$5:$G$120&lt;&gt;"moeda")*(Inputs!$G$5:$G$120&lt;&gt;"acoes")))*INDEX(Inputs!$K$5:$AJ$120,0,MATCH(E$2,Inputs!$K$4:$AJ$4,0)))+SUMPRODUCT((Inputs!$C$5:$C$120=$B29)*Inputs!$D$5:$D$120*(((Inputs!$G$5:$G$120="moeda")+(Inputs!$G$5:$G$120="acoes"))*Inputs!$B$1+((Inputs!$G$5:$G$120&lt;&gt;"moeda")*(Inputs!$G$5:$G$120&lt;&gt;"acoes")))*INDEX(Inputs!$K$5:$AJ$120,0,MATCH(E$2,Inputs!$K$4:$AJ$4,0)))+SUMPRODUCT((Inputs!$E$5:$E$120=$B29)*Inputs!$F$5:$F$120*(((Inputs!$G$5:$G$120="moeda")+(Inputs!$G$5:$G$120="acoes"))*Inputs!$B$1+((Inputs!$G$5:$G$120&lt;&gt;"moeda")*(Inputs!$G$5:$G$120&lt;&gt;"acoes")))*INDEX(Inputs!$K$5:$AJ$120,0,MATCH(E$2,Inputs!$K$4:$AJ$4,0)))))</f>
        <v>0</v>
      </c>
      <c r="F29" s="6">
        <f>IF(ISNA(MATCH(F$2,Inputs!$K$4:$AJ$4,0)),NA(),IF(SUMPRODUCT((Inputs!$A$5:$A$120=$B29)*ISNUMBER(INDEX(Inputs!$K$5:$AJ$120,0,MATCH(F$2,Inputs!$K$4:$AJ$4,0))))+SUMPRODUCT((Inputs!$C$5:$C$120=$B29)*ISNUMBER(INDEX(Inputs!$K$5:$AJ$120,0,MATCH(F$2,Inputs!$K$4:$AJ$4,0))))+SUMPRODUCT((Inputs!$E$5:$E$120=$B29)*ISNUMBER(INDEX(Inputs!$K$5:$AJ$120,0,MATCH(F$2,Inputs!$K$4:$AJ$4,0))))=0,NA(),SUMPRODUCT((Inputs!$A$5:$A$120=$B29)*Inputs!$B$5:$B$120*(((Inputs!$G$5:$G$120="moeda")+(Inputs!$G$5:$G$120="acoes"))*Inputs!$B$1+((Inputs!$G$5:$G$120&lt;&gt;"moeda")*(Inputs!$G$5:$G$120&lt;&gt;"acoes")))*INDEX(Inputs!$K$5:$AJ$120,0,MATCH(F$2,Inputs!$K$4:$AJ$4,0)))+SUMPRODUCT((Inputs!$C$5:$C$120=$B29)*Inputs!$D$5:$D$120*(((Inputs!$G$5:$G$120="moeda")+(Inputs!$G$5:$G$120="acoes"))*Inputs!$B$1+((Inputs!$G$5:$G$120&lt;&gt;"moeda")*(Inputs!$G$5:$G$120&lt;&gt;"acoes")))*INDEX(Inputs!$K$5:$AJ$120,0,MATCH(F$2,Inputs!$K$4:$AJ$4,0)))+SUMPRODUCT((Inputs!$E$5:$E$120=$B29)*Inputs!$F$5:$F$120*(((Inputs!$G$5:$G$120="moeda")+(Inputs!$G$5:$G$120="acoes"))*Inputs!$B$1+((Inputs!$G$5:$G$120&lt;&gt;"moeda")*(Inputs!$G$5:$G$120&lt;&gt;"acoes")))*INDEX(Inputs!$K$5:$AJ$120,0,MATCH(F$2,Inputs!$K$4:$AJ$4,0)))))</f>
        <v>0</v>
      </c>
      <c r="G29" s="6">
        <f>IF(ISNA(MATCH(G$2,Inputs!$K$4:$AJ$4,0)),NA(),IF(SUMPRODUCT((Inputs!$A$5:$A$120=$B29)*ISNUMBER(INDEX(Inputs!$K$5:$AJ$120,0,MATCH(G$2,Inputs!$K$4:$AJ$4,0))))+SUMPRODUCT((Inputs!$C$5:$C$120=$B29)*ISNUMBER(INDEX(Inputs!$K$5:$AJ$120,0,MATCH(G$2,Inputs!$K$4:$AJ$4,0))))+SUMPRODUCT((Inputs!$E$5:$E$120=$B29)*ISNUMBER(INDEX(Inputs!$K$5:$AJ$120,0,MATCH(G$2,Inputs!$K$4:$AJ$4,0))))=0,NA(),SUMPRODUCT((Inputs!$A$5:$A$120=$B29)*Inputs!$B$5:$B$120*(((Inputs!$G$5:$G$120="moeda")+(Inputs!$G$5:$G$120="acoes"))*Inputs!$B$1+((Inputs!$G$5:$G$120&lt;&gt;"moeda")*(Inputs!$G$5:$G$120&lt;&gt;"acoes")))*INDEX(Inputs!$K$5:$AJ$120,0,MATCH(G$2,Inputs!$K$4:$AJ$4,0)))+SUMPRODUCT((Inputs!$C$5:$C$120=$B29)*Inputs!$D$5:$D$120*(((Inputs!$G$5:$G$120="moeda")+(Inputs!$G$5:$G$120="acoes"))*Inputs!$B$1+((Inputs!$G$5:$G$120&lt;&gt;"moeda")*(Inputs!$G$5:$G$120&lt;&gt;"acoes")))*INDEX(Inputs!$K$5:$AJ$120,0,MATCH(G$2,Inputs!$K$4:$AJ$4,0)))+SUMPRODUCT((Inputs!$E$5:$E$120=$B29)*Inputs!$F$5:$F$120*(((Inputs!$G$5:$G$120="moeda")+(Inputs!$G$5:$G$120="acoes"))*Inputs!$B$1+((Inputs!$G$5:$G$120&lt;&gt;"moeda")*(Inputs!$G$5:$G$120&lt;&gt;"acoes")))*INDEX(Inputs!$K$5:$AJ$120,0,MATCH(G$2,Inputs!$K$4:$AJ$4,0)))))</f>
        <v>0</v>
      </c>
      <c r="H29" s="3">
        <f>G29</f>
        <v>0</v>
      </c>
      <c r="I29" s="6">
        <f>IF(ISNA(MATCH(I$2,Inputs!$K$4:$AJ$4,0)),NA(),IF(SUMPRODUCT((Inputs!$A$5:$A$120=$B29)*ISNUMBER(INDEX(Inputs!$K$5:$AJ$120,0,MATCH(I$2,Inputs!$K$4:$AJ$4,0))))+SUMPRODUCT((Inputs!$C$5:$C$120=$B29)*ISNUMBER(INDEX(Inputs!$K$5:$AJ$120,0,MATCH(I$2,Inputs!$K$4:$AJ$4,0))))+SUMPRODUCT((Inputs!$E$5:$E$120=$B29)*ISNUMBER(INDEX(Inputs!$K$5:$AJ$120,0,MATCH(I$2,Inputs!$K$4:$AJ$4,0))))=0,NA(),SUMPRODUCT((Inputs!$A$5:$A$120=$B29)*Inputs!$B$5:$B$120*(((Inputs!$G$5:$G$120="moeda")+(Inputs!$G$5:$G$120="acoes"))*Inputs!$B$1+((Inputs!$G$5:$G$120&lt;&gt;"moeda")*(Inputs!$G$5:$G$120&lt;&gt;"acoes")))*INDEX(Inputs!$K$5:$AJ$120,0,MATCH(I$2,Inputs!$K$4:$AJ$4,0)))+SUMPRODUCT((Inputs!$C$5:$C$120=$B29)*Inputs!$D$5:$D$120*(((Inputs!$G$5:$G$120="moeda")+(Inputs!$G$5:$G$120="acoes"))*Inputs!$B$1+((Inputs!$G$5:$G$120&lt;&gt;"moeda")*(Inputs!$G$5:$G$120&lt;&gt;"acoes")))*INDEX(Inputs!$K$5:$AJ$120,0,MATCH(I$2,Inputs!$K$4:$AJ$4,0)))+SUMPRODUCT((Inputs!$E$5:$E$120=$B29)*Inputs!$F$5:$F$120*(((Inputs!$G$5:$G$120="moeda")+(Inputs!$G$5:$G$120="acoes"))*Inputs!$B$1+((Inputs!$G$5:$G$120&lt;&gt;"moeda")*(Inputs!$G$5:$G$120&lt;&gt;"acoes")))*INDEX(Inputs!$K$5:$AJ$120,0,MATCH(I$2,Inputs!$K$4:$AJ$4,0)))))</f>
        <v>0</v>
      </c>
      <c r="J29" s="6">
        <f>IF(ISNA(MATCH(J$2,Inputs!$K$4:$AJ$4,0)),NA(),IF(SUMPRODUCT((Inputs!$A$5:$A$120=$B29)*ISNUMBER(INDEX(Inputs!$K$5:$AJ$120,0,MATCH(J$2,Inputs!$K$4:$AJ$4,0))))+SUMPRODUCT((Inputs!$C$5:$C$120=$B29)*ISNUMBER(INDEX(Inputs!$K$5:$AJ$120,0,MATCH(J$2,Inputs!$K$4:$AJ$4,0))))+SUMPRODUCT((Inputs!$E$5:$E$120=$B29)*ISNUMBER(INDEX(Inputs!$K$5:$AJ$120,0,MATCH(J$2,Inputs!$K$4:$AJ$4,0))))=0,NA(),SUMPRODUCT((Inputs!$A$5:$A$120=$B29)*Inputs!$B$5:$B$120*(((Inputs!$G$5:$G$120="moeda")+(Inputs!$G$5:$G$120="acoes"))*Inputs!$B$1+((Inputs!$G$5:$G$120&lt;&gt;"moeda")*(Inputs!$G$5:$G$120&lt;&gt;"acoes")))*INDEX(Inputs!$K$5:$AJ$120,0,MATCH(J$2,Inputs!$K$4:$AJ$4,0)))+SUMPRODUCT((Inputs!$C$5:$C$120=$B29)*Inputs!$D$5:$D$120*(((Inputs!$G$5:$G$120="moeda")+(Inputs!$G$5:$G$120="acoes"))*Inputs!$B$1+((Inputs!$G$5:$G$120&lt;&gt;"moeda")*(Inputs!$G$5:$G$120&lt;&gt;"acoes")))*INDEX(Inputs!$K$5:$AJ$120,0,MATCH(J$2,Inputs!$K$4:$AJ$4,0)))+SUMPRODUCT((Inputs!$E$5:$E$120=$B29)*Inputs!$F$5:$F$120*(((Inputs!$G$5:$G$120="moeda")+(Inputs!$G$5:$G$120="acoes"))*Inputs!$B$1+((Inputs!$G$5:$G$120&lt;&gt;"moeda")*(Inputs!$G$5:$G$120&lt;&gt;"acoes")))*INDEX(Inputs!$K$5:$AJ$120,0,MATCH(J$2,Inputs!$K$4:$AJ$4,0)))))</f>
        <v>0</v>
      </c>
      <c r="K29" s="6">
        <f>IF(ISNA(MATCH(K$2,Inputs!$K$4:$AJ$4,0)),NA(),IF(SUMPRODUCT((Inputs!$A$5:$A$120=$B29)*ISNUMBER(INDEX(Inputs!$K$5:$AJ$120,0,MATCH(K$2,Inputs!$K$4:$AJ$4,0))))+SUMPRODUCT((Inputs!$C$5:$C$120=$B29)*ISNUMBER(INDEX(Inputs!$K$5:$AJ$120,0,MATCH(K$2,Inputs!$K$4:$AJ$4,0))))+SUMPRODUCT((Inputs!$E$5:$E$120=$B29)*ISNUMBER(INDEX(Inputs!$K$5:$AJ$120,0,MATCH(K$2,Inputs!$K$4:$AJ$4,0))))=0,NA(),SUMPRODUCT((Inputs!$A$5:$A$120=$B29)*Inputs!$B$5:$B$120*(((Inputs!$G$5:$G$120="moeda")+(Inputs!$G$5:$G$120="acoes"))*Inputs!$B$1+((Inputs!$G$5:$G$120&lt;&gt;"moeda")*(Inputs!$G$5:$G$120&lt;&gt;"acoes")))*INDEX(Inputs!$K$5:$AJ$120,0,MATCH(K$2,Inputs!$K$4:$AJ$4,0)))+SUMPRODUCT((Inputs!$C$5:$C$120=$B29)*Inputs!$D$5:$D$120*(((Inputs!$G$5:$G$120="moeda")+(Inputs!$G$5:$G$120="acoes"))*Inputs!$B$1+((Inputs!$G$5:$G$120&lt;&gt;"moeda")*(Inputs!$G$5:$G$120&lt;&gt;"acoes")))*INDEX(Inputs!$K$5:$AJ$120,0,MATCH(K$2,Inputs!$K$4:$AJ$4,0)))+SUMPRODUCT((Inputs!$E$5:$E$120=$B29)*Inputs!$F$5:$F$120*(((Inputs!$G$5:$G$120="moeda")+(Inputs!$G$5:$G$120="acoes"))*Inputs!$B$1+((Inputs!$G$5:$G$120&lt;&gt;"moeda")*(Inputs!$G$5:$G$120&lt;&gt;"acoes")))*INDEX(Inputs!$K$5:$AJ$120,0,MATCH(K$2,Inputs!$K$4:$AJ$4,0)))))</f>
        <v>0</v>
      </c>
      <c r="L29" s="6">
        <f>IF(ISNA(MATCH(L$2,Inputs!$K$4:$AJ$4,0)),NA(),IF(SUMPRODUCT((Inputs!$A$5:$A$120=$B29)*ISNUMBER(INDEX(Inputs!$K$5:$AJ$120,0,MATCH(L$2,Inputs!$K$4:$AJ$4,0))))+SUMPRODUCT((Inputs!$C$5:$C$120=$B29)*ISNUMBER(INDEX(Inputs!$K$5:$AJ$120,0,MATCH(L$2,Inputs!$K$4:$AJ$4,0))))+SUMPRODUCT((Inputs!$E$5:$E$120=$B29)*ISNUMBER(INDEX(Inputs!$K$5:$AJ$120,0,MATCH(L$2,Inputs!$K$4:$AJ$4,0))))=0,NA(),SUMPRODUCT((Inputs!$A$5:$A$120=$B29)*Inputs!$B$5:$B$120*(((Inputs!$G$5:$G$120="moeda")+(Inputs!$G$5:$G$120="acoes"))*Inputs!$B$1+((Inputs!$G$5:$G$120&lt;&gt;"moeda")*(Inputs!$G$5:$G$120&lt;&gt;"acoes")))*INDEX(Inputs!$K$5:$AJ$120,0,MATCH(L$2,Inputs!$K$4:$AJ$4,0)))+SUMPRODUCT((Inputs!$C$5:$C$120=$B29)*Inputs!$D$5:$D$120*(((Inputs!$G$5:$G$120="moeda")+(Inputs!$G$5:$G$120="acoes"))*Inputs!$B$1+((Inputs!$G$5:$G$120&lt;&gt;"moeda")*(Inputs!$G$5:$G$120&lt;&gt;"acoes")))*INDEX(Inputs!$K$5:$AJ$120,0,MATCH(L$2,Inputs!$K$4:$AJ$4,0)))+SUMPRODUCT((Inputs!$E$5:$E$120=$B29)*Inputs!$F$5:$F$120*(((Inputs!$G$5:$G$120="moeda")+(Inputs!$G$5:$G$120="acoes"))*Inputs!$B$1+((Inputs!$G$5:$G$120&lt;&gt;"moeda")*(Inputs!$G$5:$G$120&lt;&gt;"acoes")))*INDEX(Inputs!$K$5:$AJ$120,0,MATCH(L$2,Inputs!$K$4:$AJ$4,0)))))</f>
        <v>0</v>
      </c>
      <c r="M29" s="3">
        <f>L29</f>
        <v>0</v>
      </c>
      <c r="N29" s="6">
        <f>IF(ISNA(MATCH(N$2,Inputs!$K$4:$AJ$4,0)),NA(),IF(SUMPRODUCT((Inputs!$A$5:$A$120=$B29)*ISNUMBER(INDEX(Inputs!$K$5:$AJ$120,0,MATCH(N$2,Inputs!$K$4:$AJ$4,0))))+SUMPRODUCT((Inputs!$C$5:$C$120=$B29)*ISNUMBER(INDEX(Inputs!$K$5:$AJ$120,0,MATCH(N$2,Inputs!$K$4:$AJ$4,0))))+SUMPRODUCT((Inputs!$E$5:$E$120=$B29)*ISNUMBER(INDEX(Inputs!$K$5:$AJ$120,0,MATCH(N$2,Inputs!$K$4:$AJ$4,0))))=0,NA(),SUMPRODUCT((Inputs!$A$5:$A$120=$B29)*Inputs!$B$5:$B$120*(((Inputs!$G$5:$G$120="moeda")+(Inputs!$G$5:$G$120="acoes"))*Inputs!$B$1+((Inputs!$G$5:$G$120&lt;&gt;"moeda")*(Inputs!$G$5:$G$120&lt;&gt;"acoes")))*INDEX(Inputs!$K$5:$AJ$120,0,MATCH(N$2,Inputs!$K$4:$AJ$4,0)))+SUMPRODUCT((Inputs!$C$5:$C$120=$B29)*Inputs!$D$5:$D$120*(((Inputs!$G$5:$G$120="moeda")+(Inputs!$G$5:$G$120="acoes"))*Inputs!$B$1+((Inputs!$G$5:$G$120&lt;&gt;"moeda")*(Inputs!$G$5:$G$120&lt;&gt;"acoes")))*INDEX(Inputs!$K$5:$AJ$120,0,MATCH(N$2,Inputs!$K$4:$AJ$4,0)))+SUMPRODUCT((Inputs!$E$5:$E$120=$B29)*Inputs!$F$5:$F$120*(((Inputs!$G$5:$G$120="moeda")+(Inputs!$G$5:$G$120="acoes"))*Inputs!$B$1+((Inputs!$G$5:$G$120&lt;&gt;"moeda")*(Inputs!$G$5:$G$120&lt;&gt;"acoes")))*INDEX(Inputs!$K$5:$AJ$120,0,MATCH(N$2,Inputs!$K$4:$AJ$4,0)))))</f>
        <v>0</v>
      </c>
      <c r="O29" s="6">
        <f>IF(ISNA(MATCH(O$2,Inputs!$K$4:$AJ$4,0)),NA(),IF(SUMPRODUCT((Inputs!$A$5:$A$120=$B29)*ISNUMBER(INDEX(Inputs!$K$5:$AJ$120,0,MATCH(O$2,Inputs!$K$4:$AJ$4,0))))+SUMPRODUCT((Inputs!$C$5:$C$120=$B29)*ISNUMBER(INDEX(Inputs!$K$5:$AJ$120,0,MATCH(O$2,Inputs!$K$4:$AJ$4,0))))+SUMPRODUCT((Inputs!$E$5:$E$120=$B29)*ISNUMBER(INDEX(Inputs!$K$5:$AJ$120,0,MATCH(O$2,Inputs!$K$4:$AJ$4,0))))=0,NA(),SUMPRODUCT((Inputs!$A$5:$A$120=$B29)*Inputs!$B$5:$B$120*(((Inputs!$G$5:$G$120="moeda")+(Inputs!$G$5:$G$120="acoes"))*Inputs!$B$1+((Inputs!$G$5:$G$120&lt;&gt;"moeda")*(Inputs!$G$5:$G$120&lt;&gt;"acoes")))*INDEX(Inputs!$K$5:$AJ$120,0,MATCH(O$2,Inputs!$K$4:$AJ$4,0)))+SUMPRODUCT((Inputs!$C$5:$C$120=$B29)*Inputs!$D$5:$D$120*(((Inputs!$G$5:$G$120="moeda")+(Inputs!$G$5:$G$120="acoes"))*Inputs!$B$1+((Inputs!$G$5:$G$120&lt;&gt;"moeda")*(Inputs!$G$5:$G$120&lt;&gt;"acoes")))*INDEX(Inputs!$K$5:$AJ$120,0,MATCH(O$2,Inputs!$K$4:$AJ$4,0)))+SUMPRODUCT((Inputs!$E$5:$E$120=$B29)*Inputs!$F$5:$F$120*(((Inputs!$G$5:$G$120="moeda")+(Inputs!$G$5:$G$120="acoes"))*Inputs!$B$1+((Inputs!$G$5:$G$120&lt;&gt;"moeda")*(Inputs!$G$5:$G$120&lt;&gt;"acoes")))*INDEX(Inputs!$K$5:$AJ$120,0,MATCH(O$2,Inputs!$K$4:$AJ$4,0)))))</f>
        <v>0</v>
      </c>
      <c r="P29" s="6">
        <f>IF(ISNA(MATCH(P$2,Inputs!$K$4:$AJ$4,0)),NA(),IF(SUMPRODUCT((Inputs!$A$5:$A$120=$B29)*ISNUMBER(INDEX(Inputs!$K$5:$AJ$120,0,MATCH(P$2,Inputs!$K$4:$AJ$4,0))))+SUMPRODUCT((Inputs!$C$5:$C$120=$B29)*ISNUMBER(INDEX(Inputs!$K$5:$AJ$120,0,MATCH(P$2,Inputs!$K$4:$AJ$4,0))))+SUMPRODUCT((Inputs!$E$5:$E$120=$B29)*ISNUMBER(INDEX(Inputs!$K$5:$AJ$120,0,MATCH(P$2,Inputs!$K$4:$AJ$4,0))))=0,NA(),SUMPRODUCT((Inputs!$A$5:$A$120=$B29)*Inputs!$B$5:$B$120*(((Inputs!$G$5:$G$120="moeda")+(Inputs!$G$5:$G$120="acoes"))*Inputs!$B$1+((Inputs!$G$5:$G$120&lt;&gt;"moeda")*(Inputs!$G$5:$G$120&lt;&gt;"acoes")))*INDEX(Inputs!$K$5:$AJ$120,0,MATCH(P$2,Inputs!$K$4:$AJ$4,0)))+SUMPRODUCT((Inputs!$C$5:$C$120=$B29)*Inputs!$D$5:$D$120*(((Inputs!$G$5:$G$120="moeda")+(Inputs!$G$5:$G$120="acoes"))*Inputs!$B$1+((Inputs!$G$5:$G$120&lt;&gt;"moeda")*(Inputs!$G$5:$G$120&lt;&gt;"acoes")))*INDEX(Inputs!$K$5:$AJ$120,0,MATCH(P$2,Inputs!$K$4:$AJ$4,0)))+SUMPRODUCT((Inputs!$E$5:$E$120=$B29)*Inputs!$F$5:$F$120*(((Inputs!$G$5:$G$120="moeda")+(Inputs!$G$5:$G$120="acoes"))*Inputs!$B$1+((Inputs!$G$5:$G$120&lt;&gt;"moeda")*(Inputs!$G$5:$G$120&lt;&gt;"acoes")))*INDEX(Inputs!$K$5:$AJ$120,0,MATCH(P$2,Inputs!$K$4:$AJ$4,0)))))</f>
        <v>0</v>
      </c>
      <c r="Q29" s="6">
        <f>IF(ISNA(MATCH(Q$2,Inputs!$K$4:$AJ$4,0)),NA(),IF(SUMPRODUCT((Inputs!$A$5:$A$120=$B29)*ISNUMBER(INDEX(Inputs!$K$5:$AJ$120,0,MATCH(Q$2,Inputs!$K$4:$AJ$4,0))))+SUMPRODUCT((Inputs!$C$5:$C$120=$B29)*ISNUMBER(INDEX(Inputs!$K$5:$AJ$120,0,MATCH(Q$2,Inputs!$K$4:$AJ$4,0))))+SUMPRODUCT((Inputs!$E$5:$E$120=$B29)*ISNUMBER(INDEX(Inputs!$K$5:$AJ$120,0,MATCH(Q$2,Inputs!$K$4:$AJ$4,0))))=0,NA(),SUMPRODUCT((Inputs!$A$5:$A$120=$B29)*Inputs!$B$5:$B$120*(((Inputs!$G$5:$G$120="moeda")+(Inputs!$G$5:$G$120="acoes"))*Inputs!$B$1+((Inputs!$G$5:$G$120&lt;&gt;"moeda")*(Inputs!$G$5:$G$120&lt;&gt;"acoes")))*INDEX(Inputs!$K$5:$AJ$120,0,MATCH(Q$2,Inputs!$K$4:$AJ$4,0)))+SUMPRODUCT((Inputs!$C$5:$C$120=$B29)*Inputs!$D$5:$D$120*(((Inputs!$G$5:$G$120="moeda")+(Inputs!$G$5:$G$120="acoes"))*Inputs!$B$1+((Inputs!$G$5:$G$120&lt;&gt;"moeda")*(Inputs!$G$5:$G$120&lt;&gt;"acoes")))*INDEX(Inputs!$K$5:$AJ$120,0,MATCH(Q$2,Inputs!$K$4:$AJ$4,0)))+SUMPRODUCT((Inputs!$E$5:$E$120=$B29)*Inputs!$F$5:$F$120*(((Inputs!$G$5:$G$120="moeda")+(Inputs!$G$5:$G$120="acoes"))*Inputs!$B$1+((Inputs!$G$5:$G$120&lt;&gt;"moeda")*(Inputs!$G$5:$G$120&lt;&gt;"acoes")))*INDEX(Inputs!$K$5:$AJ$120,0,MATCH(Q$2,Inputs!$K$4:$AJ$4,0)))))</f>
        <v>0</v>
      </c>
      <c r="R29" s="3">
        <f>Q29</f>
        <v>0</v>
      </c>
      <c r="S29" s="6">
        <f>IF(ISNA(MATCH(S$2,Inputs!$K$4:$AJ$4,0)),NA(),IF(SUMPRODUCT((Inputs!$A$5:$A$120=$B29)*ISNUMBER(INDEX(Inputs!$K$5:$AJ$120,0,MATCH(S$2,Inputs!$K$4:$AJ$4,0))))+SUMPRODUCT((Inputs!$C$5:$C$120=$B29)*ISNUMBER(INDEX(Inputs!$K$5:$AJ$120,0,MATCH(S$2,Inputs!$K$4:$AJ$4,0))))+SUMPRODUCT((Inputs!$E$5:$E$120=$B29)*ISNUMBER(INDEX(Inputs!$K$5:$AJ$120,0,MATCH(S$2,Inputs!$K$4:$AJ$4,0))))=0,NA(),SUMPRODUCT((Inputs!$A$5:$A$120=$B29)*Inputs!$B$5:$B$120*(((Inputs!$G$5:$G$120="moeda")+(Inputs!$G$5:$G$120="acoes"))*Inputs!$B$1+((Inputs!$G$5:$G$120&lt;&gt;"moeda")*(Inputs!$G$5:$G$120&lt;&gt;"acoes")))*INDEX(Inputs!$K$5:$AJ$120,0,MATCH(S$2,Inputs!$K$4:$AJ$4,0)))+SUMPRODUCT((Inputs!$C$5:$C$120=$B29)*Inputs!$D$5:$D$120*(((Inputs!$G$5:$G$120="moeda")+(Inputs!$G$5:$G$120="acoes"))*Inputs!$B$1+((Inputs!$G$5:$G$120&lt;&gt;"moeda")*(Inputs!$G$5:$G$120&lt;&gt;"acoes")))*INDEX(Inputs!$K$5:$AJ$120,0,MATCH(S$2,Inputs!$K$4:$AJ$4,0)))+SUMPRODUCT((Inputs!$E$5:$E$120=$B29)*Inputs!$F$5:$F$120*(((Inputs!$G$5:$G$120="moeda")+(Inputs!$G$5:$G$120="acoes"))*Inputs!$B$1+((Inputs!$G$5:$G$120&lt;&gt;"moeda")*(Inputs!$G$5:$G$120&lt;&gt;"acoes")))*INDEX(Inputs!$K$5:$AJ$120,0,MATCH(S$2,Inputs!$K$4:$AJ$4,0)))))</f>
        <v>0</v>
      </c>
      <c r="T29" s="6">
        <f>IF(ISNA(MATCH(T$2,Inputs!$K$4:$AJ$4,0)),NA(),IF(SUMPRODUCT((Inputs!$A$5:$A$120=$B29)*ISNUMBER(INDEX(Inputs!$K$5:$AJ$120,0,MATCH(T$2,Inputs!$K$4:$AJ$4,0))))+SUMPRODUCT((Inputs!$C$5:$C$120=$B29)*ISNUMBER(INDEX(Inputs!$K$5:$AJ$120,0,MATCH(T$2,Inputs!$K$4:$AJ$4,0))))+SUMPRODUCT((Inputs!$E$5:$E$120=$B29)*ISNUMBER(INDEX(Inputs!$K$5:$AJ$120,0,MATCH(T$2,Inputs!$K$4:$AJ$4,0))))=0,NA(),SUMPRODUCT((Inputs!$A$5:$A$120=$B29)*Inputs!$B$5:$B$120*(((Inputs!$G$5:$G$120="moeda")+(Inputs!$G$5:$G$120="acoes"))*Inputs!$B$1+((Inputs!$G$5:$G$120&lt;&gt;"moeda")*(Inputs!$G$5:$G$120&lt;&gt;"acoes")))*INDEX(Inputs!$K$5:$AJ$120,0,MATCH(T$2,Inputs!$K$4:$AJ$4,0)))+SUMPRODUCT((Inputs!$C$5:$C$120=$B29)*Inputs!$D$5:$D$120*(((Inputs!$G$5:$G$120="moeda")+(Inputs!$G$5:$G$120="acoes"))*Inputs!$B$1+((Inputs!$G$5:$G$120&lt;&gt;"moeda")*(Inputs!$G$5:$G$120&lt;&gt;"acoes")))*INDEX(Inputs!$K$5:$AJ$120,0,MATCH(T$2,Inputs!$K$4:$AJ$4,0)))+SUMPRODUCT((Inputs!$E$5:$E$120=$B29)*Inputs!$F$5:$F$120*(((Inputs!$G$5:$G$120="moeda")+(Inputs!$G$5:$G$120="acoes"))*Inputs!$B$1+((Inputs!$G$5:$G$120&lt;&gt;"moeda")*(Inputs!$G$5:$G$120&lt;&gt;"acoes")))*INDEX(Inputs!$K$5:$AJ$120,0,MATCH(T$2,Inputs!$K$4:$AJ$4,0)))))</f>
        <v>0</v>
      </c>
      <c r="U29" s="6">
        <f>IF(ISNA(MATCH(U$2,Inputs!$K$4:$AJ$4,0)),NA(),IF(SUMPRODUCT((Inputs!$A$5:$A$120=$B29)*ISNUMBER(INDEX(Inputs!$K$5:$AJ$120,0,MATCH(U$2,Inputs!$K$4:$AJ$4,0))))+SUMPRODUCT((Inputs!$C$5:$C$120=$B29)*ISNUMBER(INDEX(Inputs!$K$5:$AJ$120,0,MATCH(U$2,Inputs!$K$4:$AJ$4,0))))+SUMPRODUCT((Inputs!$E$5:$E$120=$B29)*ISNUMBER(INDEX(Inputs!$K$5:$AJ$120,0,MATCH(U$2,Inputs!$K$4:$AJ$4,0))))=0,NA(),SUMPRODUCT((Inputs!$A$5:$A$120=$B29)*Inputs!$B$5:$B$120*(((Inputs!$G$5:$G$120="moeda")+(Inputs!$G$5:$G$120="acoes"))*Inputs!$B$1+((Inputs!$G$5:$G$120&lt;&gt;"moeda")*(Inputs!$G$5:$G$120&lt;&gt;"acoes")))*INDEX(Inputs!$K$5:$AJ$120,0,MATCH(U$2,Inputs!$K$4:$AJ$4,0)))+SUMPRODUCT((Inputs!$C$5:$C$120=$B29)*Inputs!$D$5:$D$120*(((Inputs!$G$5:$G$120="moeda")+(Inputs!$G$5:$G$120="acoes"))*Inputs!$B$1+((Inputs!$G$5:$G$120&lt;&gt;"moeda")*(Inputs!$G$5:$G$120&lt;&gt;"acoes")))*INDEX(Inputs!$K$5:$AJ$120,0,MATCH(U$2,Inputs!$K$4:$AJ$4,0)))+SUMPRODUCT((Inputs!$E$5:$E$120=$B29)*Inputs!$F$5:$F$120*(((Inputs!$G$5:$G$120="moeda")+(Inputs!$G$5:$G$120="acoes"))*Inputs!$B$1+((Inputs!$G$5:$G$120&lt;&gt;"moeda")*(Inputs!$G$5:$G$120&lt;&gt;"acoes")))*INDEX(Inputs!$K$5:$AJ$120,0,MATCH(U$2,Inputs!$K$4:$AJ$4,0)))))</f>
        <v>0</v>
      </c>
      <c r="V29" s="6">
        <f>IF(ISNA(MATCH(V$2,Inputs!$K$4:$AJ$4,0)),NA(),IF(SUMPRODUCT((Inputs!$A$5:$A$120=$B29)*ISNUMBER(INDEX(Inputs!$K$5:$AJ$120,0,MATCH(V$2,Inputs!$K$4:$AJ$4,0))))+SUMPRODUCT((Inputs!$C$5:$C$120=$B29)*ISNUMBER(INDEX(Inputs!$K$5:$AJ$120,0,MATCH(V$2,Inputs!$K$4:$AJ$4,0))))+SUMPRODUCT((Inputs!$E$5:$E$120=$B29)*ISNUMBER(INDEX(Inputs!$K$5:$AJ$120,0,MATCH(V$2,Inputs!$K$4:$AJ$4,0))))=0,NA(),SUMPRODUCT((Inputs!$A$5:$A$120=$B29)*Inputs!$B$5:$B$120*(((Inputs!$G$5:$G$120="moeda")+(Inputs!$G$5:$G$120="acoes"))*Inputs!$B$1+((Inputs!$G$5:$G$120&lt;&gt;"moeda")*(Inputs!$G$5:$G$120&lt;&gt;"acoes")))*INDEX(Inputs!$K$5:$AJ$120,0,MATCH(V$2,Inputs!$K$4:$AJ$4,0)))+SUMPRODUCT((Inputs!$C$5:$C$120=$B29)*Inputs!$D$5:$D$120*(((Inputs!$G$5:$G$120="moeda")+(Inputs!$G$5:$G$120="acoes"))*Inputs!$B$1+((Inputs!$G$5:$G$120&lt;&gt;"moeda")*(Inputs!$G$5:$G$120&lt;&gt;"acoes")))*INDEX(Inputs!$K$5:$AJ$120,0,MATCH(V$2,Inputs!$K$4:$AJ$4,0)))+SUMPRODUCT((Inputs!$E$5:$E$120=$B29)*Inputs!$F$5:$F$120*(((Inputs!$G$5:$G$120="moeda")+(Inputs!$G$5:$G$120="acoes"))*Inputs!$B$1+((Inputs!$G$5:$G$120&lt;&gt;"moeda")*(Inputs!$G$5:$G$120&lt;&gt;"acoes")))*INDEX(Inputs!$K$5:$AJ$120,0,MATCH(V$2,Inputs!$K$4:$AJ$4,0)))))</f>
        <v>0</v>
      </c>
      <c r="W29" s="3">
        <f>V29</f>
        <v>0</v>
      </c>
      <c r="X29" s="6">
        <f>IF(ISNA(MATCH(X$2,Inputs!$K$4:$AJ$4,0)),NA(),IF(SUMPRODUCT((Inputs!$A$5:$A$120=$B29)*ISNUMBER(INDEX(Inputs!$K$5:$AJ$120,0,MATCH(X$2,Inputs!$K$4:$AJ$4,0))))+SUMPRODUCT((Inputs!$C$5:$C$120=$B29)*ISNUMBER(INDEX(Inputs!$K$5:$AJ$120,0,MATCH(X$2,Inputs!$K$4:$AJ$4,0))))+SUMPRODUCT((Inputs!$E$5:$E$120=$B29)*ISNUMBER(INDEX(Inputs!$K$5:$AJ$120,0,MATCH(X$2,Inputs!$K$4:$AJ$4,0))))=0,NA(),SUMPRODUCT((Inputs!$A$5:$A$120=$B29)*Inputs!$B$5:$B$120*(((Inputs!$G$5:$G$120="moeda")+(Inputs!$G$5:$G$120="acoes"))*Inputs!$B$1+((Inputs!$G$5:$G$120&lt;&gt;"moeda")*(Inputs!$G$5:$G$120&lt;&gt;"acoes")))*INDEX(Inputs!$K$5:$AJ$120,0,MATCH(X$2,Inputs!$K$4:$AJ$4,0)))+SUMPRODUCT((Inputs!$C$5:$C$120=$B29)*Inputs!$D$5:$D$120*(((Inputs!$G$5:$G$120="moeda")+(Inputs!$G$5:$G$120="acoes"))*Inputs!$B$1+((Inputs!$G$5:$G$120&lt;&gt;"moeda")*(Inputs!$G$5:$G$120&lt;&gt;"acoes")))*INDEX(Inputs!$K$5:$AJ$120,0,MATCH(X$2,Inputs!$K$4:$AJ$4,0)))+SUMPRODUCT((Inputs!$E$5:$E$120=$B29)*Inputs!$F$5:$F$120*(((Inputs!$G$5:$G$120="moeda")+(Inputs!$G$5:$G$120="acoes"))*Inputs!$B$1+((Inputs!$G$5:$G$120&lt;&gt;"moeda")*(Inputs!$G$5:$G$120&lt;&gt;"acoes")))*INDEX(Inputs!$K$5:$AJ$120,0,MATCH(X$2,Inputs!$K$4:$AJ$4,0)))))</f>
        <v>0</v>
      </c>
      <c r="Y29" s="6">
        <f>IF(ISNA(MATCH(Y$2,Inputs!$K$4:$AJ$4,0)),NA(),IF(SUMPRODUCT((Inputs!$A$5:$A$120=$B29)*ISNUMBER(INDEX(Inputs!$K$5:$AJ$120,0,MATCH(Y$2,Inputs!$K$4:$AJ$4,0))))+SUMPRODUCT((Inputs!$C$5:$C$120=$B29)*ISNUMBER(INDEX(Inputs!$K$5:$AJ$120,0,MATCH(Y$2,Inputs!$K$4:$AJ$4,0))))+SUMPRODUCT((Inputs!$E$5:$E$120=$B29)*ISNUMBER(INDEX(Inputs!$K$5:$AJ$120,0,MATCH(Y$2,Inputs!$K$4:$AJ$4,0))))=0,NA(),SUMPRODUCT((Inputs!$A$5:$A$120=$B29)*Inputs!$B$5:$B$120*(((Inputs!$G$5:$G$120="moeda")+(Inputs!$G$5:$G$120="acoes"))*Inputs!$B$1+((Inputs!$G$5:$G$120&lt;&gt;"moeda")*(Inputs!$G$5:$G$120&lt;&gt;"acoes")))*INDEX(Inputs!$K$5:$AJ$120,0,MATCH(Y$2,Inputs!$K$4:$AJ$4,0)))+SUMPRODUCT((Inputs!$C$5:$C$120=$B29)*Inputs!$D$5:$D$120*(((Inputs!$G$5:$G$120="moeda")+(Inputs!$G$5:$G$120="acoes"))*Inputs!$B$1+((Inputs!$G$5:$G$120&lt;&gt;"moeda")*(Inputs!$G$5:$G$120&lt;&gt;"acoes")))*INDEX(Inputs!$K$5:$AJ$120,0,MATCH(Y$2,Inputs!$K$4:$AJ$4,0)))+SUMPRODUCT((Inputs!$E$5:$E$120=$B29)*Inputs!$F$5:$F$120*(((Inputs!$G$5:$G$120="moeda")+(Inputs!$G$5:$G$120="acoes"))*Inputs!$B$1+((Inputs!$G$5:$G$120&lt;&gt;"moeda")*(Inputs!$G$5:$G$120&lt;&gt;"acoes")))*INDEX(Inputs!$K$5:$AJ$120,0,MATCH(Y$2,Inputs!$K$4:$AJ$4,0)))))</f>
        <v>0</v>
      </c>
      <c r="Z29" s="6">
        <f>IF(ISNA(MATCH(Z$2,Inputs!$K$4:$AJ$4,0)),NA(),IF(SUMPRODUCT((Inputs!$A$5:$A$120=$B29)*ISNUMBER(INDEX(Inputs!$K$5:$AJ$120,0,MATCH(Z$2,Inputs!$K$4:$AJ$4,0))))+SUMPRODUCT((Inputs!$C$5:$C$120=$B29)*ISNUMBER(INDEX(Inputs!$K$5:$AJ$120,0,MATCH(Z$2,Inputs!$K$4:$AJ$4,0))))+SUMPRODUCT((Inputs!$E$5:$E$120=$B29)*ISNUMBER(INDEX(Inputs!$K$5:$AJ$120,0,MATCH(Z$2,Inputs!$K$4:$AJ$4,0))))=0,NA(),SUMPRODUCT((Inputs!$A$5:$A$120=$B29)*Inputs!$B$5:$B$120*(((Inputs!$G$5:$G$120="moeda")+(Inputs!$G$5:$G$120="acoes"))*Inputs!$B$1+((Inputs!$G$5:$G$120&lt;&gt;"moeda")*(Inputs!$G$5:$G$120&lt;&gt;"acoes")))*INDEX(Inputs!$K$5:$AJ$120,0,MATCH(Z$2,Inputs!$K$4:$AJ$4,0)))+SUMPRODUCT((Inputs!$C$5:$C$120=$B29)*Inputs!$D$5:$D$120*(((Inputs!$G$5:$G$120="moeda")+(Inputs!$G$5:$G$120="acoes"))*Inputs!$B$1+((Inputs!$G$5:$G$120&lt;&gt;"moeda")*(Inputs!$G$5:$G$120&lt;&gt;"acoes")))*INDEX(Inputs!$K$5:$AJ$120,0,MATCH(Z$2,Inputs!$K$4:$AJ$4,0)))+SUMPRODUCT((Inputs!$E$5:$E$120=$B29)*Inputs!$F$5:$F$120*(((Inputs!$G$5:$G$120="moeda")+(Inputs!$G$5:$G$120="acoes"))*Inputs!$B$1+((Inputs!$G$5:$G$120&lt;&gt;"moeda")*(Inputs!$G$5:$G$120&lt;&gt;"acoes")))*INDEX(Inputs!$K$5:$AJ$120,0,MATCH(Z$2,Inputs!$K$4:$AJ$4,0)))))</f>
        <v>0</v>
      </c>
      <c r="AA29" s="6">
        <f>IF(ISNA(MATCH(AA$2,Inputs!$K$4:$AJ$4,0)),NA(),IF(SUMPRODUCT((Inputs!$A$5:$A$120=$B29)*ISNUMBER(INDEX(Inputs!$K$5:$AJ$120,0,MATCH(AA$2,Inputs!$K$4:$AJ$4,0))))+SUMPRODUCT((Inputs!$C$5:$C$120=$B29)*ISNUMBER(INDEX(Inputs!$K$5:$AJ$120,0,MATCH(AA$2,Inputs!$K$4:$AJ$4,0))))+SUMPRODUCT((Inputs!$E$5:$E$120=$B29)*ISNUMBER(INDEX(Inputs!$K$5:$AJ$120,0,MATCH(AA$2,Inputs!$K$4:$AJ$4,0))))=0,NA(),SUMPRODUCT((Inputs!$A$5:$A$120=$B29)*Inputs!$B$5:$B$120*(((Inputs!$G$5:$G$120="moeda")+(Inputs!$G$5:$G$120="acoes"))*Inputs!$B$1+((Inputs!$G$5:$G$120&lt;&gt;"moeda")*(Inputs!$G$5:$G$120&lt;&gt;"acoes")))*INDEX(Inputs!$K$5:$AJ$120,0,MATCH(AA$2,Inputs!$K$4:$AJ$4,0)))+SUMPRODUCT((Inputs!$C$5:$C$120=$B29)*Inputs!$D$5:$D$120*(((Inputs!$G$5:$G$120="moeda")+(Inputs!$G$5:$G$120="acoes"))*Inputs!$B$1+((Inputs!$G$5:$G$120&lt;&gt;"moeda")*(Inputs!$G$5:$G$120&lt;&gt;"acoes")))*INDEX(Inputs!$K$5:$AJ$120,0,MATCH(AA$2,Inputs!$K$4:$AJ$4,0)))+SUMPRODUCT((Inputs!$E$5:$E$120=$B29)*Inputs!$F$5:$F$120*(((Inputs!$G$5:$G$120="moeda")+(Inputs!$G$5:$G$120="acoes"))*Inputs!$B$1+((Inputs!$G$5:$G$120&lt;&gt;"moeda")*(Inputs!$G$5:$G$120&lt;&gt;"acoes")))*INDEX(Inputs!$K$5:$AJ$120,0,MATCH(AA$2,Inputs!$K$4:$AJ$4,0)))))</f>
        <v>0</v>
      </c>
      <c r="AB29" s="3">
        <f>AA29</f>
        <v>0</v>
      </c>
      <c r="AC29" s="6">
        <f>IF(ISNA(MATCH(AC$2,Inputs!$K$4:$AJ$4,0)),NA(),IF(SUMPRODUCT((Inputs!$A$5:$A$120=$B29)*ISNUMBER(INDEX(Inputs!$K$5:$AJ$120,0,MATCH(AC$2,Inputs!$K$4:$AJ$4,0))))+SUMPRODUCT((Inputs!$C$5:$C$120=$B29)*ISNUMBER(INDEX(Inputs!$K$5:$AJ$120,0,MATCH(AC$2,Inputs!$K$4:$AJ$4,0))))+SUMPRODUCT((Inputs!$E$5:$E$120=$B29)*ISNUMBER(INDEX(Inputs!$K$5:$AJ$120,0,MATCH(AC$2,Inputs!$K$4:$AJ$4,0))))=0,NA(),SUMPRODUCT((Inputs!$A$5:$A$120=$B29)*Inputs!$B$5:$B$120*(((Inputs!$G$5:$G$120="moeda")+(Inputs!$G$5:$G$120="acoes"))*Inputs!$B$1+((Inputs!$G$5:$G$120&lt;&gt;"moeda")*(Inputs!$G$5:$G$120&lt;&gt;"acoes")))*INDEX(Inputs!$K$5:$AJ$120,0,MATCH(AC$2,Inputs!$K$4:$AJ$4,0)))+SUMPRODUCT((Inputs!$C$5:$C$120=$B29)*Inputs!$D$5:$D$120*(((Inputs!$G$5:$G$120="moeda")+(Inputs!$G$5:$G$120="acoes"))*Inputs!$B$1+((Inputs!$G$5:$G$120&lt;&gt;"moeda")*(Inputs!$G$5:$G$120&lt;&gt;"acoes")))*INDEX(Inputs!$K$5:$AJ$120,0,MATCH(AC$2,Inputs!$K$4:$AJ$4,0)))+SUMPRODUCT((Inputs!$E$5:$E$120=$B29)*Inputs!$F$5:$F$120*(((Inputs!$G$5:$G$120="moeda")+(Inputs!$G$5:$G$120="acoes"))*Inputs!$B$1+((Inputs!$G$5:$G$120&lt;&gt;"moeda")*(Inputs!$G$5:$G$120&lt;&gt;"acoes")))*INDEX(Inputs!$K$5:$AJ$120,0,MATCH(AC$2,Inputs!$K$4:$AJ$4,0)))))</f>
        <v>0</v>
      </c>
      <c r="AD29" s="6">
        <f>IF(ISNA(MATCH(AD$2,Inputs!$K$4:$AJ$4,0)),NA(),IF(SUMPRODUCT((Inputs!$A$5:$A$120=$B29)*ISNUMBER(INDEX(Inputs!$K$5:$AJ$120,0,MATCH(AD$2,Inputs!$K$4:$AJ$4,0))))+SUMPRODUCT((Inputs!$C$5:$C$120=$B29)*ISNUMBER(INDEX(Inputs!$K$5:$AJ$120,0,MATCH(AD$2,Inputs!$K$4:$AJ$4,0))))+SUMPRODUCT((Inputs!$E$5:$E$120=$B29)*ISNUMBER(INDEX(Inputs!$K$5:$AJ$120,0,MATCH(AD$2,Inputs!$K$4:$AJ$4,0))))=0,NA(),SUMPRODUCT((Inputs!$A$5:$A$120=$B29)*Inputs!$B$5:$B$120*(((Inputs!$G$5:$G$120="moeda")+(Inputs!$G$5:$G$120="acoes"))*Inputs!$B$1+((Inputs!$G$5:$G$120&lt;&gt;"moeda")*(Inputs!$G$5:$G$120&lt;&gt;"acoes")))*INDEX(Inputs!$K$5:$AJ$120,0,MATCH(AD$2,Inputs!$K$4:$AJ$4,0)))+SUMPRODUCT((Inputs!$C$5:$C$120=$B29)*Inputs!$D$5:$D$120*(((Inputs!$G$5:$G$120="moeda")+(Inputs!$G$5:$G$120="acoes"))*Inputs!$B$1+((Inputs!$G$5:$G$120&lt;&gt;"moeda")*(Inputs!$G$5:$G$120&lt;&gt;"acoes")))*INDEX(Inputs!$K$5:$AJ$120,0,MATCH(AD$2,Inputs!$K$4:$AJ$4,0)))+SUMPRODUCT((Inputs!$E$5:$E$120=$B29)*Inputs!$F$5:$F$120*(((Inputs!$G$5:$G$120="moeda")+(Inputs!$G$5:$G$120="acoes"))*Inputs!$B$1+((Inputs!$G$5:$G$120&lt;&gt;"moeda")*(Inputs!$G$5:$G$120&lt;&gt;"acoes")))*INDEX(Inputs!$K$5:$AJ$120,0,MATCH(AD$2,Inputs!$K$4:$AJ$4,0)))))</f>
        <v>0</v>
      </c>
      <c r="AE29" s="6" t="e">
        <f>IF(ISNA(MATCH(AE$2,Inputs!$K$4:$AJ$4,0)),NA(),IF(SUMPRODUCT((Inputs!$A$5:$A$120=$B29)*ISNUMBER(INDEX(Inputs!$K$5:$AJ$120,0,MATCH(AE$2,Inputs!$K$4:$AJ$4,0))))+SUMPRODUCT((Inputs!$C$5:$C$120=$B29)*ISNUMBER(INDEX(Inputs!$K$5:$AJ$120,0,MATCH(AE$2,Inputs!$K$4:$AJ$4,0))))+SUMPRODUCT((Inputs!$E$5:$E$120=$B29)*ISNUMBER(INDEX(Inputs!$K$5:$AJ$120,0,MATCH(AE$2,Inputs!$K$4:$AJ$4,0))))=0,NA(),SUMPRODUCT((Inputs!$A$5:$A$120=$B29)*Inputs!$B$5:$B$120*(((Inputs!$G$5:$G$120="moeda")+(Inputs!$G$5:$G$120="acoes"))*Inputs!$B$1+((Inputs!$G$5:$G$120&lt;&gt;"moeda")*(Inputs!$G$5:$G$120&lt;&gt;"acoes")))*INDEX(Inputs!$K$5:$AJ$120,0,MATCH(AE$2,Inputs!$K$4:$AJ$4,0)))+SUMPRODUCT((Inputs!$C$5:$C$120=$B29)*Inputs!$D$5:$D$120*(((Inputs!$G$5:$G$120="moeda")+(Inputs!$G$5:$G$120="acoes"))*Inputs!$B$1+((Inputs!$G$5:$G$120&lt;&gt;"moeda")*(Inputs!$G$5:$G$120&lt;&gt;"acoes")))*INDEX(Inputs!$K$5:$AJ$120,0,MATCH(AE$2,Inputs!$K$4:$AJ$4,0)))+SUMPRODUCT((Inputs!$E$5:$E$120=$B29)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29" s="6" t="e">
        <f>IF(ISNA(MATCH(AF$2,Inputs!$K$4:$AJ$4,0)),NA(),IF(SUMPRODUCT((Inputs!$A$5:$A$120=$B29)*ISNUMBER(INDEX(Inputs!$K$5:$AJ$120,0,MATCH(AF$2,Inputs!$K$4:$AJ$4,0))))+SUMPRODUCT((Inputs!$C$5:$C$120=$B29)*ISNUMBER(INDEX(Inputs!$K$5:$AJ$120,0,MATCH(AF$2,Inputs!$K$4:$AJ$4,0))))+SUMPRODUCT((Inputs!$E$5:$E$120=$B29)*ISNUMBER(INDEX(Inputs!$K$5:$AJ$120,0,MATCH(AF$2,Inputs!$K$4:$AJ$4,0))))=0,NA(),SUMPRODUCT((Inputs!$A$5:$A$120=$B29)*Inputs!$B$5:$B$120*(((Inputs!$G$5:$G$120="moeda")+(Inputs!$G$5:$G$120="acoes"))*Inputs!$B$1+((Inputs!$G$5:$G$120&lt;&gt;"moeda")*(Inputs!$G$5:$G$120&lt;&gt;"acoes")))*INDEX(Inputs!$K$5:$AJ$120,0,MATCH(AF$2,Inputs!$K$4:$AJ$4,0)))+SUMPRODUCT((Inputs!$C$5:$C$120=$B29)*Inputs!$D$5:$D$120*(((Inputs!$G$5:$G$120="moeda")+(Inputs!$G$5:$G$120="acoes"))*Inputs!$B$1+((Inputs!$G$5:$G$120&lt;&gt;"moeda")*(Inputs!$G$5:$G$120&lt;&gt;"acoes")))*INDEX(Inputs!$K$5:$AJ$120,0,MATCH(AF$2,Inputs!$K$4:$AJ$4,0)))+SUMPRODUCT((Inputs!$E$5:$E$120=$B29)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29" s="3" t="e">
        <f>AF29</f>
        <v>#N/A</v>
      </c>
      <c r="AH29" s="6">
        <f>IF(ISNA(MATCH(AH$2,Inputs!$K$4:$AJ$4,0)),NA(),IF(SUMPRODUCT((Inputs!$A$5:$A$120=$B29)*ISNUMBER(INDEX(Inputs!$K$5:$AJ$120,0,MATCH(AH$2,Inputs!$K$4:$AJ$4,0))))+SUMPRODUCT((Inputs!$C$5:$C$120=$B29)*ISNUMBER(INDEX(Inputs!$K$5:$AJ$120,0,MATCH(AH$2,Inputs!$K$4:$AJ$4,0))))+SUMPRODUCT((Inputs!$E$5:$E$120=$B29)*ISNUMBER(INDEX(Inputs!$K$5:$AJ$120,0,MATCH(AH$2,Inputs!$K$4:$AJ$4,0))))=0,NA(),SUMPRODUCT((Inputs!$A$5:$A$120=$B29)*Inputs!$B$5:$B$120*(((Inputs!$G$5:$G$120="moeda")+(Inputs!$G$5:$G$120="acoes"))*Inputs!$B$1+((Inputs!$G$5:$G$120&lt;&gt;"moeda")*(Inputs!$G$5:$G$120&lt;&gt;"acoes")))*INDEX(Inputs!$K$5:$AJ$120,0,MATCH(AH$2,Inputs!$K$4:$AJ$4,0)))+SUMPRODUCT((Inputs!$C$5:$C$120=$B29)*Inputs!$D$5:$D$120*(((Inputs!$G$5:$G$120="moeda")+(Inputs!$G$5:$G$120="acoes"))*Inputs!$B$1+((Inputs!$G$5:$G$120&lt;&gt;"moeda")*(Inputs!$G$5:$G$120&lt;&gt;"acoes")))*INDEX(Inputs!$K$5:$AJ$120,0,MATCH(AH$2,Inputs!$K$4:$AJ$4,0)))+SUMPRODUCT((Inputs!$E$5:$E$120=$B29)*Inputs!$F$5:$F$120*(((Inputs!$G$5:$G$120="moeda")+(Inputs!$G$5:$G$120="acoes"))*Inputs!$B$1+((Inputs!$G$5:$G$120&lt;&gt;"moeda")*(Inputs!$G$5:$G$120&lt;&gt;"acoes")))*INDEX(Inputs!$K$5:$AJ$120,0,MATCH(AH$2,Inputs!$K$4:$AJ$4,0)))))</f>
        <v>0</v>
      </c>
      <c r="AI29" s="6">
        <f>IF(ISNA(MATCH(AI$2,Inputs!$K$4:$AJ$4,0)),NA(),IF(SUMPRODUCT((Inputs!$A$5:$A$120=$B29)*ISNUMBER(INDEX(Inputs!$K$5:$AJ$120,0,MATCH(AI$2,Inputs!$K$4:$AJ$4,0))))+SUMPRODUCT((Inputs!$C$5:$C$120=$B29)*ISNUMBER(INDEX(Inputs!$K$5:$AJ$120,0,MATCH(AI$2,Inputs!$K$4:$AJ$4,0))))+SUMPRODUCT((Inputs!$E$5:$E$120=$B29)*ISNUMBER(INDEX(Inputs!$K$5:$AJ$120,0,MATCH(AI$2,Inputs!$K$4:$AJ$4,0))))=0,NA(),SUMPRODUCT((Inputs!$A$5:$A$120=$B29)*Inputs!$B$5:$B$120*(((Inputs!$G$5:$G$120="moeda")+(Inputs!$G$5:$G$120="acoes"))*Inputs!$B$1+((Inputs!$G$5:$G$120&lt;&gt;"moeda")*(Inputs!$G$5:$G$120&lt;&gt;"acoes")))*INDEX(Inputs!$K$5:$AJ$120,0,MATCH(AI$2,Inputs!$K$4:$AJ$4,0)))+SUMPRODUCT((Inputs!$C$5:$C$120=$B29)*Inputs!$D$5:$D$120*(((Inputs!$G$5:$G$120="moeda")+(Inputs!$G$5:$G$120="acoes"))*Inputs!$B$1+((Inputs!$G$5:$G$120&lt;&gt;"moeda")*(Inputs!$G$5:$G$120&lt;&gt;"acoes")))*INDEX(Inputs!$K$5:$AJ$120,0,MATCH(AI$2,Inputs!$K$4:$AJ$4,0)))+SUMPRODUCT((Inputs!$E$5:$E$120=$B29)*Inputs!$F$5:$F$120*(((Inputs!$G$5:$G$120="moeda")+(Inputs!$G$5:$G$120="acoes"))*Inputs!$B$1+((Inputs!$G$5:$G$120&lt;&gt;"moeda")*(Inputs!$G$5:$G$120&lt;&gt;"acoes")))*INDEX(Inputs!$K$5:$AJ$120,0,MATCH(AI$2,Inputs!$K$4:$AJ$4,0)))))</f>
        <v>0</v>
      </c>
      <c r="AJ29" s="6">
        <f>IF(ISNA(MATCH(AJ$2,Inputs!$K$4:$AJ$4,0)),NA(),IF(SUMPRODUCT((Inputs!$A$5:$A$120=$B29)*ISNUMBER(INDEX(Inputs!$K$5:$AJ$120,0,MATCH(AJ$2,Inputs!$K$4:$AJ$4,0))))+SUMPRODUCT((Inputs!$C$5:$C$120=$B29)*ISNUMBER(INDEX(Inputs!$K$5:$AJ$120,0,MATCH(AJ$2,Inputs!$K$4:$AJ$4,0))))+SUMPRODUCT((Inputs!$E$5:$E$120=$B29)*ISNUMBER(INDEX(Inputs!$K$5:$AJ$120,0,MATCH(AJ$2,Inputs!$K$4:$AJ$4,0))))=0,NA(),SUMPRODUCT((Inputs!$A$5:$A$120=$B29)*Inputs!$B$5:$B$120*(((Inputs!$G$5:$G$120="moeda")+(Inputs!$G$5:$G$120="acoes"))*Inputs!$B$1+((Inputs!$G$5:$G$120&lt;&gt;"moeda")*(Inputs!$G$5:$G$120&lt;&gt;"acoes")))*INDEX(Inputs!$K$5:$AJ$120,0,MATCH(AJ$2,Inputs!$K$4:$AJ$4,0)))+SUMPRODUCT((Inputs!$C$5:$C$120=$B29)*Inputs!$D$5:$D$120*(((Inputs!$G$5:$G$120="moeda")+(Inputs!$G$5:$G$120="acoes"))*Inputs!$B$1+((Inputs!$G$5:$G$120&lt;&gt;"moeda")*(Inputs!$G$5:$G$120&lt;&gt;"acoes")))*INDEX(Inputs!$K$5:$AJ$120,0,MATCH(AJ$2,Inputs!$K$4:$AJ$4,0)))+SUMPRODUCT((Inputs!$E$5:$E$120=$B29)*Inputs!$F$5:$F$120*(((Inputs!$G$5:$G$120="moeda")+(Inputs!$G$5:$G$120="acoes"))*Inputs!$B$1+((Inputs!$G$5:$G$120&lt;&gt;"moeda")*(Inputs!$G$5:$G$120&lt;&gt;"acoes")))*INDEX(Inputs!$K$5:$AJ$120,0,MATCH(AJ$2,Inputs!$K$4:$AJ$4,0)))))</f>
        <v>0</v>
      </c>
      <c r="AK29" s="6">
        <f>IF(ISNA(MATCH(AK$2,Inputs!$K$4:$AJ$4,0)),NA(),IF(SUMPRODUCT((Inputs!$A$5:$A$120=$B29)*ISNUMBER(INDEX(Inputs!$K$5:$AJ$120,0,MATCH(AK$2,Inputs!$K$4:$AJ$4,0))))+SUMPRODUCT((Inputs!$C$5:$C$120=$B29)*ISNUMBER(INDEX(Inputs!$K$5:$AJ$120,0,MATCH(AK$2,Inputs!$K$4:$AJ$4,0))))+SUMPRODUCT((Inputs!$E$5:$E$120=$B29)*ISNUMBER(INDEX(Inputs!$K$5:$AJ$120,0,MATCH(AK$2,Inputs!$K$4:$AJ$4,0))))=0,NA(),SUMPRODUCT((Inputs!$A$5:$A$120=$B29)*Inputs!$B$5:$B$120*(((Inputs!$G$5:$G$120="moeda")+(Inputs!$G$5:$G$120="acoes"))*Inputs!$B$1+((Inputs!$G$5:$G$120&lt;&gt;"moeda")*(Inputs!$G$5:$G$120&lt;&gt;"acoes")))*INDEX(Inputs!$K$5:$AJ$120,0,MATCH(AK$2,Inputs!$K$4:$AJ$4,0)))+SUMPRODUCT((Inputs!$C$5:$C$120=$B29)*Inputs!$D$5:$D$120*(((Inputs!$G$5:$G$120="moeda")+(Inputs!$G$5:$G$120="acoes"))*Inputs!$B$1+((Inputs!$G$5:$G$120&lt;&gt;"moeda")*(Inputs!$G$5:$G$120&lt;&gt;"acoes")))*INDEX(Inputs!$K$5:$AJ$120,0,MATCH(AK$2,Inputs!$K$4:$AJ$4,0)))+SUMPRODUCT((Inputs!$E$5:$E$120=$B29)*Inputs!$F$5:$F$120*(((Inputs!$G$5:$G$120="moeda")+(Inputs!$G$5:$G$120="acoes"))*Inputs!$B$1+((Inputs!$G$5:$G$120&lt;&gt;"moeda")*(Inputs!$G$5:$G$120&lt;&gt;"acoes")))*INDEX(Inputs!$K$5:$AJ$120,0,MATCH(AK$2,Inputs!$K$4:$AJ$4,0)))))</f>
        <v>0</v>
      </c>
      <c r="AL29" s="3">
        <f>AK29</f>
        <v>0</v>
      </c>
    </row>
    <row r="30">
      <c r="B30" s="46" t="n">
        <v>25</v>
      </c>
      <c r="C30" s="26" t="inlineStr">
        <is>
          <t>Taxes payable</t>
        </is>
      </c>
      <c r="D30" s="6">
        <f>IF(ISNA(MATCH(D$2,Inputs!$K$4:$AJ$4,0)),NA(),IF(SUMPRODUCT((Inputs!$A$5:$A$120=$B30)*ISNUMBER(INDEX(Inputs!$K$5:$AJ$120,0,MATCH(D$2,Inputs!$K$4:$AJ$4,0))))+SUMPRODUCT((Inputs!$C$5:$C$120=$B30)*ISNUMBER(INDEX(Inputs!$K$5:$AJ$120,0,MATCH(D$2,Inputs!$K$4:$AJ$4,0))))+SUMPRODUCT((Inputs!$E$5:$E$120=$B30)*ISNUMBER(INDEX(Inputs!$K$5:$AJ$120,0,MATCH(D$2,Inputs!$K$4:$AJ$4,0))))=0,NA(),SUMPRODUCT((Inputs!$A$5:$A$120=$B30)*Inputs!$B$5:$B$120*(((Inputs!$G$5:$G$120="moeda")+(Inputs!$G$5:$G$120="acoes"))*Inputs!$B$1+((Inputs!$G$5:$G$120&lt;&gt;"moeda")*(Inputs!$G$5:$G$120&lt;&gt;"acoes")))*INDEX(Inputs!$K$5:$AJ$120,0,MATCH(D$2,Inputs!$K$4:$AJ$4,0)))+SUMPRODUCT((Inputs!$C$5:$C$120=$B30)*Inputs!$D$5:$D$120*(((Inputs!$G$5:$G$120="moeda")+(Inputs!$G$5:$G$120="acoes"))*Inputs!$B$1+((Inputs!$G$5:$G$120&lt;&gt;"moeda")*(Inputs!$G$5:$G$120&lt;&gt;"acoes")))*INDEX(Inputs!$K$5:$AJ$120,0,MATCH(D$2,Inputs!$K$4:$AJ$4,0)))+SUMPRODUCT((Inputs!$E$5:$E$120=$B30)*Inputs!$F$5:$F$120*(((Inputs!$G$5:$G$120="moeda")+(Inputs!$G$5:$G$120="acoes"))*Inputs!$B$1+((Inputs!$G$5:$G$120&lt;&gt;"moeda")*(Inputs!$G$5:$G$120&lt;&gt;"acoes")))*INDEX(Inputs!$K$5:$AJ$120,0,MATCH(D$2,Inputs!$K$4:$AJ$4,0)))))</f>
        <v>0</v>
      </c>
      <c r="E30" s="6">
        <f>IF(ISNA(MATCH(E$2,Inputs!$K$4:$AJ$4,0)),NA(),IF(SUMPRODUCT((Inputs!$A$5:$A$120=$B30)*ISNUMBER(INDEX(Inputs!$K$5:$AJ$120,0,MATCH(E$2,Inputs!$K$4:$AJ$4,0))))+SUMPRODUCT((Inputs!$C$5:$C$120=$B30)*ISNUMBER(INDEX(Inputs!$K$5:$AJ$120,0,MATCH(E$2,Inputs!$K$4:$AJ$4,0))))+SUMPRODUCT((Inputs!$E$5:$E$120=$B30)*ISNUMBER(INDEX(Inputs!$K$5:$AJ$120,0,MATCH(E$2,Inputs!$K$4:$AJ$4,0))))=0,NA(),SUMPRODUCT((Inputs!$A$5:$A$120=$B30)*Inputs!$B$5:$B$120*(((Inputs!$G$5:$G$120="moeda")+(Inputs!$G$5:$G$120="acoes"))*Inputs!$B$1+((Inputs!$G$5:$G$120&lt;&gt;"moeda")*(Inputs!$G$5:$G$120&lt;&gt;"acoes")))*INDEX(Inputs!$K$5:$AJ$120,0,MATCH(E$2,Inputs!$K$4:$AJ$4,0)))+SUMPRODUCT((Inputs!$C$5:$C$120=$B30)*Inputs!$D$5:$D$120*(((Inputs!$G$5:$G$120="moeda")+(Inputs!$G$5:$G$120="acoes"))*Inputs!$B$1+((Inputs!$G$5:$G$120&lt;&gt;"moeda")*(Inputs!$G$5:$G$120&lt;&gt;"acoes")))*INDEX(Inputs!$K$5:$AJ$120,0,MATCH(E$2,Inputs!$K$4:$AJ$4,0)))+SUMPRODUCT((Inputs!$E$5:$E$120=$B30)*Inputs!$F$5:$F$120*(((Inputs!$G$5:$G$120="moeda")+(Inputs!$G$5:$G$120="acoes"))*Inputs!$B$1+((Inputs!$G$5:$G$120&lt;&gt;"moeda")*(Inputs!$G$5:$G$120&lt;&gt;"acoes")))*INDEX(Inputs!$K$5:$AJ$120,0,MATCH(E$2,Inputs!$K$4:$AJ$4,0)))))</f>
        <v>0</v>
      </c>
      <c r="F30" s="6">
        <f>IF(ISNA(MATCH(F$2,Inputs!$K$4:$AJ$4,0)),NA(),IF(SUMPRODUCT((Inputs!$A$5:$A$120=$B30)*ISNUMBER(INDEX(Inputs!$K$5:$AJ$120,0,MATCH(F$2,Inputs!$K$4:$AJ$4,0))))+SUMPRODUCT((Inputs!$C$5:$C$120=$B30)*ISNUMBER(INDEX(Inputs!$K$5:$AJ$120,0,MATCH(F$2,Inputs!$K$4:$AJ$4,0))))+SUMPRODUCT((Inputs!$E$5:$E$120=$B30)*ISNUMBER(INDEX(Inputs!$K$5:$AJ$120,0,MATCH(F$2,Inputs!$K$4:$AJ$4,0))))=0,NA(),SUMPRODUCT((Inputs!$A$5:$A$120=$B30)*Inputs!$B$5:$B$120*(((Inputs!$G$5:$G$120="moeda")+(Inputs!$G$5:$G$120="acoes"))*Inputs!$B$1+((Inputs!$G$5:$G$120&lt;&gt;"moeda")*(Inputs!$G$5:$G$120&lt;&gt;"acoes")))*INDEX(Inputs!$K$5:$AJ$120,0,MATCH(F$2,Inputs!$K$4:$AJ$4,0)))+SUMPRODUCT((Inputs!$C$5:$C$120=$B30)*Inputs!$D$5:$D$120*(((Inputs!$G$5:$G$120="moeda")+(Inputs!$G$5:$G$120="acoes"))*Inputs!$B$1+((Inputs!$G$5:$G$120&lt;&gt;"moeda")*(Inputs!$G$5:$G$120&lt;&gt;"acoes")))*INDEX(Inputs!$K$5:$AJ$120,0,MATCH(F$2,Inputs!$K$4:$AJ$4,0)))+SUMPRODUCT((Inputs!$E$5:$E$120=$B30)*Inputs!$F$5:$F$120*(((Inputs!$G$5:$G$120="moeda")+(Inputs!$G$5:$G$120="acoes"))*Inputs!$B$1+((Inputs!$G$5:$G$120&lt;&gt;"moeda")*(Inputs!$G$5:$G$120&lt;&gt;"acoes")))*INDEX(Inputs!$K$5:$AJ$120,0,MATCH(F$2,Inputs!$K$4:$AJ$4,0)))))</f>
        <v>0</v>
      </c>
      <c r="G30" s="6">
        <f>IF(ISNA(MATCH(G$2,Inputs!$K$4:$AJ$4,0)),NA(),IF(SUMPRODUCT((Inputs!$A$5:$A$120=$B30)*ISNUMBER(INDEX(Inputs!$K$5:$AJ$120,0,MATCH(G$2,Inputs!$K$4:$AJ$4,0))))+SUMPRODUCT((Inputs!$C$5:$C$120=$B30)*ISNUMBER(INDEX(Inputs!$K$5:$AJ$120,0,MATCH(G$2,Inputs!$K$4:$AJ$4,0))))+SUMPRODUCT((Inputs!$E$5:$E$120=$B30)*ISNUMBER(INDEX(Inputs!$K$5:$AJ$120,0,MATCH(G$2,Inputs!$K$4:$AJ$4,0))))=0,NA(),SUMPRODUCT((Inputs!$A$5:$A$120=$B30)*Inputs!$B$5:$B$120*(((Inputs!$G$5:$G$120="moeda")+(Inputs!$G$5:$G$120="acoes"))*Inputs!$B$1+((Inputs!$G$5:$G$120&lt;&gt;"moeda")*(Inputs!$G$5:$G$120&lt;&gt;"acoes")))*INDEX(Inputs!$K$5:$AJ$120,0,MATCH(G$2,Inputs!$K$4:$AJ$4,0)))+SUMPRODUCT((Inputs!$C$5:$C$120=$B30)*Inputs!$D$5:$D$120*(((Inputs!$G$5:$G$120="moeda")+(Inputs!$G$5:$G$120="acoes"))*Inputs!$B$1+((Inputs!$G$5:$G$120&lt;&gt;"moeda")*(Inputs!$G$5:$G$120&lt;&gt;"acoes")))*INDEX(Inputs!$K$5:$AJ$120,0,MATCH(G$2,Inputs!$K$4:$AJ$4,0)))+SUMPRODUCT((Inputs!$E$5:$E$120=$B30)*Inputs!$F$5:$F$120*(((Inputs!$G$5:$G$120="moeda")+(Inputs!$G$5:$G$120="acoes"))*Inputs!$B$1+((Inputs!$G$5:$G$120&lt;&gt;"moeda")*(Inputs!$G$5:$G$120&lt;&gt;"acoes")))*INDEX(Inputs!$K$5:$AJ$120,0,MATCH(G$2,Inputs!$K$4:$AJ$4,0)))))</f>
        <v>0</v>
      </c>
      <c r="H30" s="3">
        <f>G30</f>
        <v>0</v>
      </c>
      <c r="I30" s="6">
        <f>IF(ISNA(MATCH(I$2,Inputs!$K$4:$AJ$4,0)),NA(),IF(SUMPRODUCT((Inputs!$A$5:$A$120=$B30)*ISNUMBER(INDEX(Inputs!$K$5:$AJ$120,0,MATCH(I$2,Inputs!$K$4:$AJ$4,0))))+SUMPRODUCT((Inputs!$C$5:$C$120=$B30)*ISNUMBER(INDEX(Inputs!$K$5:$AJ$120,0,MATCH(I$2,Inputs!$K$4:$AJ$4,0))))+SUMPRODUCT((Inputs!$E$5:$E$120=$B30)*ISNUMBER(INDEX(Inputs!$K$5:$AJ$120,0,MATCH(I$2,Inputs!$K$4:$AJ$4,0))))=0,NA(),SUMPRODUCT((Inputs!$A$5:$A$120=$B30)*Inputs!$B$5:$B$120*(((Inputs!$G$5:$G$120="moeda")+(Inputs!$G$5:$G$120="acoes"))*Inputs!$B$1+((Inputs!$G$5:$G$120&lt;&gt;"moeda")*(Inputs!$G$5:$G$120&lt;&gt;"acoes")))*INDEX(Inputs!$K$5:$AJ$120,0,MATCH(I$2,Inputs!$K$4:$AJ$4,0)))+SUMPRODUCT((Inputs!$C$5:$C$120=$B30)*Inputs!$D$5:$D$120*(((Inputs!$G$5:$G$120="moeda")+(Inputs!$G$5:$G$120="acoes"))*Inputs!$B$1+((Inputs!$G$5:$G$120&lt;&gt;"moeda")*(Inputs!$G$5:$G$120&lt;&gt;"acoes")))*INDEX(Inputs!$K$5:$AJ$120,0,MATCH(I$2,Inputs!$K$4:$AJ$4,0)))+SUMPRODUCT((Inputs!$E$5:$E$120=$B30)*Inputs!$F$5:$F$120*(((Inputs!$G$5:$G$120="moeda")+(Inputs!$G$5:$G$120="acoes"))*Inputs!$B$1+((Inputs!$G$5:$G$120&lt;&gt;"moeda")*(Inputs!$G$5:$G$120&lt;&gt;"acoes")))*INDEX(Inputs!$K$5:$AJ$120,0,MATCH(I$2,Inputs!$K$4:$AJ$4,0)))))</f>
        <v>0</v>
      </c>
      <c r="J30" s="6">
        <f>IF(ISNA(MATCH(J$2,Inputs!$K$4:$AJ$4,0)),NA(),IF(SUMPRODUCT((Inputs!$A$5:$A$120=$B30)*ISNUMBER(INDEX(Inputs!$K$5:$AJ$120,0,MATCH(J$2,Inputs!$K$4:$AJ$4,0))))+SUMPRODUCT((Inputs!$C$5:$C$120=$B30)*ISNUMBER(INDEX(Inputs!$K$5:$AJ$120,0,MATCH(J$2,Inputs!$K$4:$AJ$4,0))))+SUMPRODUCT((Inputs!$E$5:$E$120=$B30)*ISNUMBER(INDEX(Inputs!$K$5:$AJ$120,0,MATCH(J$2,Inputs!$K$4:$AJ$4,0))))=0,NA(),SUMPRODUCT((Inputs!$A$5:$A$120=$B30)*Inputs!$B$5:$B$120*(((Inputs!$G$5:$G$120="moeda")+(Inputs!$G$5:$G$120="acoes"))*Inputs!$B$1+((Inputs!$G$5:$G$120&lt;&gt;"moeda")*(Inputs!$G$5:$G$120&lt;&gt;"acoes")))*INDEX(Inputs!$K$5:$AJ$120,0,MATCH(J$2,Inputs!$K$4:$AJ$4,0)))+SUMPRODUCT((Inputs!$C$5:$C$120=$B30)*Inputs!$D$5:$D$120*(((Inputs!$G$5:$G$120="moeda")+(Inputs!$G$5:$G$120="acoes"))*Inputs!$B$1+((Inputs!$G$5:$G$120&lt;&gt;"moeda")*(Inputs!$G$5:$G$120&lt;&gt;"acoes")))*INDEX(Inputs!$K$5:$AJ$120,0,MATCH(J$2,Inputs!$K$4:$AJ$4,0)))+SUMPRODUCT((Inputs!$E$5:$E$120=$B30)*Inputs!$F$5:$F$120*(((Inputs!$G$5:$G$120="moeda")+(Inputs!$G$5:$G$120="acoes"))*Inputs!$B$1+((Inputs!$G$5:$G$120&lt;&gt;"moeda")*(Inputs!$G$5:$G$120&lt;&gt;"acoes")))*INDEX(Inputs!$K$5:$AJ$120,0,MATCH(J$2,Inputs!$K$4:$AJ$4,0)))))</f>
        <v>0</v>
      </c>
      <c r="K30" s="6">
        <f>IF(ISNA(MATCH(K$2,Inputs!$K$4:$AJ$4,0)),NA(),IF(SUMPRODUCT((Inputs!$A$5:$A$120=$B30)*ISNUMBER(INDEX(Inputs!$K$5:$AJ$120,0,MATCH(K$2,Inputs!$K$4:$AJ$4,0))))+SUMPRODUCT((Inputs!$C$5:$C$120=$B30)*ISNUMBER(INDEX(Inputs!$K$5:$AJ$120,0,MATCH(K$2,Inputs!$K$4:$AJ$4,0))))+SUMPRODUCT((Inputs!$E$5:$E$120=$B30)*ISNUMBER(INDEX(Inputs!$K$5:$AJ$120,0,MATCH(K$2,Inputs!$K$4:$AJ$4,0))))=0,NA(),SUMPRODUCT((Inputs!$A$5:$A$120=$B30)*Inputs!$B$5:$B$120*(((Inputs!$G$5:$G$120="moeda")+(Inputs!$G$5:$G$120="acoes"))*Inputs!$B$1+((Inputs!$G$5:$G$120&lt;&gt;"moeda")*(Inputs!$G$5:$G$120&lt;&gt;"acoes")))*INDEX(Inputs!$K$5:$AJ$120,0,MATCH(K$2,Inputs!$K$4:$AJ$4,0)))+SUMPRODUCT((Inputs!$C$5:$C$120=$B30)*Inputs!$D$5:$D$120*(((Inputs!$G$5:$G$120="moeda")+(Inputs!$G$5:$G$120="acoes"))*Inputs!$B$1+((Inputs!$G$5:$G$120&lt;&gt;"moeda")*(Inputs!$G$5:$G$120&lt;&gt;"acoes")))*INDEX(Inputs!$K$5:$AJ$120,0,MATCH(K$2,Inputs!$K$4:$AJ$4,0)))+SUMPRODUCT((Inputs!$E$5:$E$120=$B30)*Inputs!$F$5:$F$120*(((Inputs!$G$5:$G$120="moeda")+(Inputs!$G$5:$G$120="acoes"))*Inputs!$B$1+((Inputs!$G$5:$G$120&lt;&gt;"moeda")*(Inputs!$G$5:$G$120&lt;&gt;"acoes")))*INDEX(Inputs!$K$5:$AJ$120,0,MATCH(K$2,Inputs!$K$4:$AJ$4,0)))))</f>
        <v>0</v>
      </c>
      <c r="L30" s="6">
        <f>IF(ISNA(MATCH(L$2,Inputs!$K$4:$AJ$4,0)),NA(),IF(SUMPRODUCT((Inputs!$A$5:$A$120=$B30)*ISNUMBER(INDEX(Inputs!$K$5:$AJ$120,0,MATCH(L$2,Inputs!$K$4:$AJ$4,0))))+SUMPRODUCT((Inputs!$C$5:$C$120=$B30)*ISNUMBER(INDEX(Inputs!$K$5:$AJ$120,0,MATCH(L$2,Inputs!$K$4:$AJ$4,0))))+SUMPRODUCT((Inputs!$E$5:$E$120=$B30)*ISNUMBER(INDEX(Inputs!$K$5:$AJ$120,0,MATCH(L$2,Inputs!$K$4:$AJ$4,0))))=0,NA(),SUMPRODUCT((Inputs!$A$5:$A$120=$B30)*Inputs!$B$5:$B$120*(((Inputs!$G$5:$G$120="moeda")+(Inputs!$G$5:$G$120="acoes"))*Inputs!$B$1+((Inputs!$G$5:$G$120&lt;&gt;"moeda")*(Inputs!$G$5:$G$120&lt;&gt;"acoes")))*INDEX(Inputs!$K$5:$AJ$120,0,MATCH(L$2,Inputs!$K$4:$AJ$4,0)))+SUMPRODUCT((Inputs!$C$5:$C$120=$B30)*Inputs!$D$5:$D$120*(((Inputs!$G$5:$G$120="moeda")+(Inputs!$G$5:$G$120="acoes"))*Inputs!$B$1+((Inputs!$G$5:$G$120&lt;&gt;"moeda")*(Inputs!$G$5:$G$120&lt;&gt;"acoes")))*INDEX(Inputs!$K$5:$AJ$120,0,MATCH(L$2,Inputs!$K$4:$AJ$4,0)))+SUMPRODUCT((Inputs!$E$5:$E$120=$B30)*Inputs!$F$5:$F$120*(((Inputs!$G$5:$G$120="moeda")+(Inputs!$G$5:$G$120="acoes"))*Inputs!$B$1+((Inputs!$G$5:$G$120&lt;&gt;"moeda")*(Inputs!$G$5:$G$120&lt;&gt;"acoes")))*INDEX(Inputs!$K$5:$AJ$120,0,MATCH(L$2,Inputs!$K$4:$AJ$4,0)))))</f>
        <v>0</v>
      </c>
      <c r="M30" s="3">
        <f>L30</f>
        <v>0</v>
      </c>
      <c r="N30" s="6">
        <f>IF(ISNA(MATCH(N$2,Inputs!$K$4:$AJ$4,0)),NA(),IF(SUMPRODUCT((Inputs!$A$5:$A$120=$B30)*ISNUMBER(INDEX(Inputs!$K$5:$AJ$120,0,MATCH(N$2,Inputs!$K$4:$AJ$4,0))))+SUMPRODUCT((Inputs!$C$5:$C$120=$B30)*ISNUMBER(INDEX(Inputs!$K$5:$AJ$120,0,MATCH(N$2,Inputs!$K$4:$AJ$4,0))))+SUMPRODUCT((Inputs!$E$5:$E$120=$B30)*ISNUMBER(INDEX(Inputs!$K$5:$AJ$120,0,MATCH(N$2,Inputs!$K$4:$AJ$4,0))))=0,NA(),SUMPRODUCT((Inputs!$A$5:$A$120=$B30)*Inputs!$B$5:$B$120*(((Inputs!$G$5:$G$120="moeda")+(Inputs!$G$5:$G$120="acoes"))*Inputs!$B$1+((Inputs!$G$5:$G$120&lt;&gt;"moeda")*(Inputs!$G$5:$G$120&lt;&gt;"acoes")))*INDEX(Inputs!$K$5:$AJ$120,0,MATCH(N$2,Inputs!$K$4:$AJ$4,0)))+SUMPRODUCT((Inputs!$C$5:$C$120=$B30)*Inputs!$D$5:$D$120*(((Inputs!$G$5:$G$120="moeda")+(Inputs!$G$5:$G$120="acoes"))*Inputs!$B$1+((Inputs!$G$5:$G$120&lt;&gt;"moeda")*(Inputs!$G$5:$G$120&lt;&gt;"acoes")))*INDEX(Inputs!$K$5:$AJ$120,0,MATCH(N$2,Inputs!$K$4:$AJ$4,0)))+SUMPRODUCT((Inputs!$E$5:$E$120=$B30)*Inputs!$F$5:$F$120*(((Inputs!$G$5:$G$120="moeda")+(Inputs!$G$5:$G$120="acoes"))*Inputs!$B$1+((Inputs!$G$5:$G$120&lt;&gt;"moeda")*(Inputs!$G$5:$G$120&lt;&gt;"acoes")))*INDEX(Inputs!$K$5:$AJ$120,0,MATCH(N$2,Inputs!$K$4:$AJ$4,0)))))</f>
        <v>0</v>
      </c>
      <c r="O30" s="6">
        <f>IF(ISNA(MATCH(O$2,Inputs!$K$4:$AJ$4,0)),NA(),IF(SUMPRODUCT((Inputs!$A$5:$A$120=$B30)*ISNUMBER(INDEX(Inputs!$K$5:$AJ$120,0,MATCH(O$2,Inputs!$K$4:$AJ$4,0))))+SUMPRODUCT((Inputs!$C$5:$C$120=$B30)*ISNUMBER(INDEX(Inputs!$K$5:$AJ$120,0,MATCH(O$2,Inputs!$K$4:$AJ$4,0))))+SUMPRODUCT((Inputs!$E$5:$E$120=$B30)*ISNUMBER(INDEX(Inputs!$K$5:$AJ$120,0,MATCH(O$2,Inputs!$K$4:$AJ$4,0))))=0,NA(),SUMPRODUCT((Inputs!$A$5:$A$120=$B30)*Inputs!$B$5:$B$120*(((Inputs!$G$5:$G$120="moeda")+(Inputs!$G$5:$G$120="acoes"))*Inputs!$B$1+((Inputs!$G$5:$G$120&lt;&gt;"moeda")*(Inputs!$G$5:$G$120&lt;&gt;"acoes")))*INDEX(Inputs!$K$5:$AJ$120,0,MATCH(O$2,Inputs!$K$4:$AJ$4,0)))+SUMPRODUCT((Inputs!$C$5:$C$120=$B30)*Inputs!$D$5:$D$120*(((Inputs!$G$5:$G$120="moeda")+(Inputs!$G$5:$G$120="acoes"))*Inputs!$B$1+((Inputs!$G$5:$G$120&lt;&gt;"moeda")*(Inputs!$G$5:$G$120&lt;&gt;"acoes")))*INDEX(Inputs!$K$5:$AJ$120,0,MATCH(O$2,Inputs!$K$4:$AJ$4,0)))+SUMPRODUCT((Inputs!$E$5:$E$120=$B30)*Inputs!$F$5:$F$120*(((Inputs!$G$5:$G$120="moeda")+(Inputs!$G$5:$G$120="acoes"))*Inputs!$B$1+((Inputs!$G$5:$G$120&lt;&gt;"moeda")*(Inputs!$G$5:$G$120&lt;&gt;"acoes")))*INDEX(Inputs!$K$5:$AJ$120,0,MATCH(O$2,Inputs!$K$4:$AJ$4,0)))))</f>
        <v>0</v>
      </c>
      <c r="P30" s="6">
        <f>IF(ISNA(MATCH(P$2,Inputs!$K$4:$AJ$4,0)),NA(),IF(SUMPRODUCT((Inputs!$A$5:$A$120=$B30)*ISNUMBER(INDEX(Inputs!$K$5:$AJ$120,0,MATCH(P$2,Inputs!$K$4:$AJ$4,0))))+SUMPRODUCT((Inputs!$C$5:$C$120=$B30)*ISNUMBER(INDEX(Inputs!$K$5:$AJ$120,0,MATCH(P$2,Inputs!$K$4:$AJ$4,0))))+SUMPRODUCT((Inputs!$E$5:$E$120=$B30)*ISNUMBER(INDEX(Inputs!$K$5:$AJ$120,0,MATCH(P$2,Inputs!$K$4:$AJ$4,0))))=0,NA(),SUMPRODUCT((Inputs!$A$5:$A$120=$B30)*Inputs!$B$5:$B$120*(((Inputs!$G$5:$G$120="moeda")+(Inputs!$G$5:$G$120="acoes"))*Inputs!$B$1+((Inputs!$G$5:$G$120&lt;&gt;"moeda")*(Inputs!$G$5:$G$120&lt;&gt;"acoes")))*INDEX(Inputs!$K$5:$AJ$120,0,MATCH(P$2,Inputs!$K$4:$AJ$4,0)))+SUMPRODUCT((Inputs!$C$5:$C$120=$B30)*Inputs!$D$5:$D$120*(((Inputs!$G$5:$G$120="moeda")+(Inputs!$G$5:$G$120="acoes"))*Inputs!$B$1+((Inputs!$G$5:$G$120&lt;&gt;"moeda")*(Inputs!$G$5:$G$120&lt;&gt;"acoes")))*INDEX(Inputs!$K$5:$AJ$120,0,MATCH(P$2,Inputs!$K$4:$AJ$4,0)))+SUMPRODUCT((Inputs!$E$5:$E$120=$B30)*Inputs!$F$5:$F$120*(((Inputs!$G$5:$G$120="moeda")+(Inputs!$G$5:$G$120="acoes"))*Inputs!$B$1+((Inputs!$G$5:$G$120&lt;&gt;"moeda")*(Inputs!$G$5:$G$120&lt;&gt;"acoes")))*INDEX(Inputs!$K$5:$AJ$120,0,MATCH(P$2,Inputs!$K$4:$AJ$4,0)))))</f>
        <v>0</v>
      </c>
      <c r="Q30" s="6">
        <f>IF(ISNA(MATCH(Q$2,Inputs!$K$4:$AJ$4,0)),NA(),IF(SUMPRODUCT((Inputs!$A$5:$A$120=$B30)*ISNUMBER(INDEX(Inputs!$K$5:$AJ$120,0,MATCH(Q$2,Inputs!$K$4:$AJ$4,0))))+SUMPRODUCT((Inputs!$C$5:$C$120=$B30)*ISNUMBER(INDEX(Inputs!$K$5:$AJ$120,0,MATCH(Q$2,Inputs!$K$4:$AJ$4,0))))+SUMPRODUCT((Inputs!$E$5:$E$120=$B30)*ISNUMBER(INDEX(Inputs!$K$5:$AJ$120,0,MATCH(Q$2,Inputs!$K$4:$AJ$4,0))))=0,NA(),SUMPRODUCT((Inputs!$A$5:$A$120=$B30)*Inputs!$B$5:$B$120*(((Inputs!$G$5:$G$120="moeda")+(Inputs!$G$5:$G$120="acoes"))*Inputs!$B$1+((Inputs!$G$5:$G$120&lt;&gt;"moeda")*(Inputs!$G$5:$G$120&lt;&gt;"acoes")))*INDEX(Inputs!$K$5:$AJ$120,0,MATCH(Q$2,Inputs!$K$4:$AJ$4,0)))+SUMPRODUCT((Inputs!$C$5:$C$120=$B30)*Inputs!$D$5:$D$120*(((Inputs!$G$5:$G$120="moeda")+(Inputs!$G$5:$G$120="acoes"))*Inputs!$B$1+((Inputs!$G$5:$G$120&lt;&gt;"moeda")*(Inputs!$G$5:$G$120&lt;&gt;"acoes")))*INDEX(Inputs!$K$5:$AJ$120,0,MATCH(Q$2,Inputs!$K$4:$AJ$4,0)))+SUMPRODUCT((Inputs!$E$5:$E$120=$B30)*Inputs!$F$5:$F$120*(((Inputs!$G$5:$G$120="moeda")+(Inputs!$G$5:$G$120="acoes"))*Inputs!$B$1+((Inputs!$G$5:$G$120&lt;&gt;"moeda")*(Inputs!$G$5:$G$120&lt;&gt;"acoes")))*INDEX(Inputs!$K$5:$AJ$120,0,MATCH(Q$2,Inputs!$K$4:$AJ$4,0)))))</f>
        <v>0</v>
      </c>
      <c r="R30" s="3">
        <f>Q30</f>
        <v>0</v>
      </c>
      <c r="S30" s="6">
        <f>IF(ISNA(MATCH(S$2,Inputs!$K$4:$AJ$4,0)),NA(),IF(SUMPRODUCT((Inputs!$A$5:$A$120=$B30)*ISNUMBER(INDEX(Inputs!$K$5:$AJ$120,0,MATCH(S$2,Inputs!$K$4:$AJ$4,0))))+SUMPRODUCT((Inputs!$C$5:$C$120=$B30)*ISNUMBER(INDEX(Inputs!$K$5:$AJ$120,0,MATCH(S$2,Inputs!$K$4:$AJ$4,0))))+SUMPRODUCT((Inputs!$E$5:$E$120=$B30)*ISNUMBER(INDEX(Inputs!$K$5:$AJ$120,0,MATCH(S$2,Inputs!$K$4:$AJ$4,0))))=0,NA(),SUMPRODUCT((Inputs!$A$5:$A$120=$B30)*Inputs!$B$5:$B$120*(((Inputs!$G$5:$G$120="moeda")+(Inputs!$G$5:$G$120="acoes"))*Inputs!$B$1+((Inputs!$G$5:$G$120&lt;&gt;"moeda")*(Inputs!$G$5:$G$120&lt;&gt;"acoes")))*INDEX(Inputs!$K$5:$AJ$120,0,MATCH(S$2,Inputs!$K$4:$AJ$4,0)))+SUMPRODUCT((Inputs!$C$5:$C$120=$B30)*Inputs!$D$5:$D$120*(((Inputs!$G$5:$G$120="moeda")+(Inputs!$G$5:$G$120="acoes"))*Inputs!$B$1+((Inputs!$G$5:$G$120&lt;&gt;"moeda")*(Inputs!$G$5:$G$120&lt;&gt;"acoes")))*INDEX(Inputs!$K$5:$AJ$120,0,MATCH(S$2,Inputs!$K$4:$AJ$4,0)))+SUMPRODUCT((Inputs!$E$5:$E$120=$B30)*Inputs!$F$5:$F$120*(((Inputs!$G$5:$G$120="moeda")+(Inputs!$G$5:$G$120="acoes"))*Inputs!$B$1+((Inputs!$G$5:$G$120&lt;&gt;"moeda")*(Inputs!$G$5:$G$120&lt;&gt;"acoes")))*INDEX(Inputs!$K$5:$AJ$120,0,MATCH(S$2,Inputs!$K$4:$AJ$4,0)))))</f>
        <v>0</v>
      </c>
      <c r="T30" s="6">
        <f>IF(ISNA(MATCH(T$2,Inputs!$K$4:$AJ$4,0)),NA(),IF(SUMPRODUCT((Inputs!$A$5:$A$120=$B30)*ISNUMBER(INDEX(Inputs!$K$5:$AJ$120,0,MATCH(T$2,Inputs!$K$4:$AJ$4,0))))+SUMPRODUCT((Inputs!$C$5:$C$120=$B30)*ISNUMBER(INDEX(Inputs!$K$5:$AJ$120,0,MATCH(T$2,Inputs!$K$4:$AJ$4,0))))+SUMPRODUCT((Inputs!$E$5:$E$120=$B30)*ISNUMBER(INDEX(Inputs!$K$5:$AJ$120,0,MATCH(T$2,Inputs!$K$4:$AJ$4,0))))=0,NA(),SUMPRODUCT((Inputs!$A$5:$A$120=$B30)*Inputs!$B$5:$B$120*(((Inputs!$G$5:$G$120="moeda")+(Inputs!$G$5:$G$120="acoes"))*Inputs!$B$1+((Inputs!$G$5:$G$120&lt;&gt;"moeda")*(Inputs!$G$5:$G$120&lt;&gt;"acoes")))*INDEX(Inputs!$K$5:$AJ$120,0,MATCH(T$2,Inputs!$K$4:$AJ$4,0)))+SUMPRODUCT((Inputs!$C$5:$C$120=$B30)*Inputs!$D$5:$D$120*(((Inputs!$G$5:$G$120="moeda")+(Inputs!$G$5:$G$120="acoes"))*Inputs!$B$1+((Inputs!$G$5:$G$120&lt;&gt;"moeda")*(Inputs!$G$5:$G$120&lt;&gt;"acoes")))*INDEX(Inputs!$K$5:$AJ$120,0,MATCH(T$2,Inputs!$K$4:$AJ$4,0)))+SUMPRODUCT((Inputs!$E$5:$E$120=$B30)*Inputs!$F$5:$F$120*(((Inputs!$G$5:$G$120="moeda")+(Inputs!$G$5:$G$120="acoes"))*Inputs!$B$1+((Inputs!$G$5:$G$120&lt;&gt;"moeda")*(Inputs!$G$5:$G$120&lt;&gt;"acoes")))*INDEX(Inputs!$K$5:$AJ$120,0,MATCH(T$2,Inputs!$K$4:$AJ$4,0)))))</f>
        <v>0</v>
      </c>
      <c r="U30" s="6">
        <f>IF(ISNA(MATCH(U$2,Inputs!$K$4:$AJ$4,0)),NA(),IF(SUMPRODUCT((Inputs!$A$5:$A$120=$B30)*ISNUMBER(INDEX(Inputs!$K$5:$AJ$120,0,MATCH(U$2,Inputs!$K$4:$AJ$4,0))))+SUMPRODUCT((Inputs!$C$5:$C$120=$B30)*ISNUMBER(INDEX(Inputs!$K$5:$AJ$120,0,MATCH(U$2,Inputs!$K$4:$AJ$4,0))))+SUMPRODUCT((Inputs!$E$5:$E$120=$B30)*ISNUMBER(INDEX(Inputs!$K$5:$AJ$120,0,MATCH(U$2,Inputs!$K$4:$AJ$4,0))))=0,NA(),SUMPRODUCT((Inputs!$A$5:$A$120=$B30)*Inputs!$B$5:$B$120*(((Inputs!$G$5:$G$120="moeda")+(Inputs!$G$5:$G$120="acoes"))*Inputs!$B$1+((Inputs!$G$5:$G$120&lt;&gt;"moeda")*(Inputs!$G$5:$G$120&lt;&gt;"acoes")))*INDEX(Inputs!$K$5:$AJ$120,0,MATCH(U$2,Inputs!$K$4:$AJ$4,0)))+SUMPRODUCT((Inputs!$C$5:$C$120=$B30)*Inputs!$D$5:$D$120*(((Inputs!$G$5:$G$120="moeda")+(Inputs!$G$5:$G$120="acoes"))*Inputs!$B$1+((Inputs!$G$5:$G$120&lt;&gt;"moeda")*(Inputs!$G$5:$G$120&lt;&gt;"acoes")))*INDEX(Inputs!$K$5:$AJ$120,0,MATCH(U$2,Inputs!$K$4:$AJ$4,0)))+SUMPRODUCT((Inputs!$E$5:$E$120=$B30)*Inputs!$F$5:$F$120*(((Inputs!$G$5:$G$120="moeda")+(Inputs!$G$5:$G$120="acoes"))*Inputs!$B$1+((Inputs!$G$5:$G$120&lt;&gt;"moeda")*(Inputs!$G$5:$G$120&lt;&gt;"acoes")))*INDEX(Inputs!$K$5:$AJ$120,0,MATCH(U$2,Inputs!$K$4:$AJ$4,0)))))</f>
        <v>0</v>
      </c>
      <c r="V30" s="6">
        <f>IF(ISNA(MATCH(V$2,Inputs!$K$4:$AJ$4,0)),NA(),IF(SUMPRODUCT((Inputs!$A$5:$A$120=$B30)*ISNUMBER(INDEX(Inputs!$K$5:$AJ$120,0,MATCH(V$2,Inputs!$K$4:$AJ$4,0))))+SUMPRODUCT((Inputs!$C$5:$C$120=$B30)*ISNUMBER(INDEX(Inputs!$K$5:$AJ$120,0,MATCH(V$2,Inputs!$K$4:$AJ$4,0))))+SUMPRODUCT((Inputs!$E$5:$E$120=$B30)*ISNUMBER(INDEX(Inputs!$K$5:$AJ$120,0,MATCH(V$2,Inputs!$K$4:$AJ$4,0))))=0,NA(),SUMPRODUCT((Inputs!$A$5:$A$120=$B30)*Inputs!$B$5:$B$120*(((Inputs!$G$5:$G$120="moeda")+(Inputs!$G$5:$G$120="acoes"))*Inputs!$B$1+((Inputs!$G$5:$G$120&lt;&gt;"moeda")*(Inputs!$G$5:$G$120&lt;&gt;"acoes")))*INDEX(Inputs!$K$5:$AJ$120,0,MATCH(V$2,Inputs!$K$4:$AJ$4,0)))+SUMPRODUCT((Inputs!$C$5:$C$120=$B30)*Inputs!$D$5:$D$120*(((Inputs!$G$5:$G$120="moeda")+(Inputs!$G$5:$G$120="acoes"))*Inputs!$B$1+((Inputs!$G$5:$G$120&lt;&gt;"moeda")*(Inputs!$G$5:$G$120&lt;&gt;"acoes")))*INDEX(Inputs!$K$5:$AJ$120,0,MATCH(V$2,Inputs!$K$4:$AJ$4,0)))+SUMPRODUCT((Inputs!$E$5:$E$120=$B30)*Inputs!$F$5:$F$120*(((Inputs!$G$5:$G$120="moeda")+(Inputs!$G$5:$G$120="acoes"))*Inputs!$B$1+((Inputs!$G$5:$G$120&lt;&gt;"moeda")*(Inputs!$G$5:$G$120&lt;&gt;"acoes")))*INDEX(Inputs!$K$5:$AJ$120,0,MATCH(V$2,Inputs!$K$4:$AJ$4,0)))))</f>
        <v>0</v>
      </c>
      <c r="W30" s="3">
        <f>V30</f>
        <v>0</v>
      </c>
      <c r="X30" s="6">
        <f>IF(ISNA(MATCH(X$2,Inputs!$K$4:$AJ$4,0)),NA(),IF(SUMPRODUCT((Inputs!$A$5:$A$120=$B30)*ISNUMBER(INDEX(Inputs!$K$5:$AJ$120,0,MATCH(X$2,Inputs!$K$4:$AJ$4,0))))+SUMPRODUCT((Inputs!$C$5:$C$120=$B30)*ISNUMBER(INDEX(Inputs!$K$5:$AJ$120,0,MATCH(X$2,Inputs!$K$4:$AJ$4,0))))+SUMPRODUCT((Inputs!$E$5:$E$120=$B30)*ISNUMBER(INDEX(Inputs!$K$5:$AJ$120,0,MATCH(X$2,Inputs!$K$4:$AJ$4,0))))=0,NA(),SUMPRODUCT((Inputs!$A$5:$A$120=$B30)*Inputs!$B$5:$B$120*(((Inputs!$G$5:$G$120="moeda")+(Inputs!$G$5:$G$120="acoes"))*Inputs!$B$1+((Inputs!$G$5:$G$120&lt;&gt;"moeda")*(Inputs!$G$5:$G$120&lt;&gt;"acoes")))*INDEX(Inputs!$K$5:$AJ$120,0,MATCH(X$2,Inputs!$K$4:$AJ$4,0)))+SUMPRODUCT((Inputs!$C$5:$C$120=$B30)*Inputs!$D$5:$D$120*(((Inputs!$G$5:$G$120="moeda")+(Inputs!$G$5:$G$120="acoes"))*Inputs!$B$1+((Inputs!$G$5:$G$120&lt;&gt;"moeda")*(Inputs!$G$5:$G$120&lt;&gt;"acoes")))*INDEX(Inputs!$K$5:$AJ$120,0,MATCH(X$2,Inputs!$K$4:$AJ$4,0)))+SUMPRODUCT((Inputs!$E$5:$E$120=$B30)*Inputs!$F$5:$F$120*(((Inputs!$G$5:$G$120="moeda")+(Inputs!$G$5:$G$120="acoes"))*Inputs!$B$1+((Inputs!$G$5:$G$120&lt;&gt;"moeda")*(Inputs!$G$5:$G$120&lt;&gt;"acoes")))*INDEX(Inputs!$K$5:$AJ$120,0,MATCH(X$2,Inputs!$K$4:$AJ$4,0)))))</f>
        <v>0</v>
      </c>
      <c r="Y30" s="6">
        <f>IF(ISNA(MATCH(Y$2,Inputs!$K$4:$AJ$4,0)),NA(),IF(SUMPRODUCT((Inputs!$A$5:$A$120=$B30)*ISNUMBER(INDEX(Inputs!$K$5:$AJ$120,0,MATCH(Y$2,Inputs!$K$4:$AJ$4,0))))+SUMPRODUCT((Inputs!$C$5:$C$120=$B30)*ISNUMBER(INDEX(Inputs!$K$5:$AJ$120,0,MATCH(Y$2,Inputs!$K$4:$AJ$4,0))))+SUMPRODUCT((Inputs!$E$5:$E$120=$B30)*ISNUMBER(INDEX(Inputs!$K$5:$AJ$120,0,MATCH(Y$2,Inputs!$K$4:$AJ$4,0))))=0,NA(),SUMPRODUCT((Inputs!$A$5:$A$120=$B30)*Inputs!$B$5:$B$120*(((Inputs!$G$5:$G$120="moeda")+(Inputs!$G$5:$G$120="acoes"))*Inputs!$B$1+((Inputs!$G$5:$G$120&lt;&gt;"moeda")*(Inputs!$G$5:$G$120&lt;&gt;"acoes")))*INDEX(Inputs!$K$5:$AJ$120,0,MATCH(Y$2,Inputs!$K$4:$AJ$4,0)))+SUMPRODUCT((Inputs!$C$5:$C$120=$B30)*Inputs!$D$5:$D$120*(((Inputs!$G$5:$G$120="moeda")+(Inputs!$G$5:$G$120="acoes"))*Inputs!$B$1+((Inputs!$G$5:$G$120&lt;&gt;"moeda")*(Inputs!$G$5:$G$120&lt;&gt;"acoes")))*INDEX(Inputs!$K$5:$AJ$120,0,MATCH(Y$2,Inputs!$K$4:$AJ$4,0)))+SUMPRODUCT((Inputs!$E$5:$E$120=$B30)*Inputs!$F$5:$F$120*(((Inputs!$G$5:$G$120="moeda")+(Inputs!$G$5:$G$120="acoes"))*Inputs!$B$1+((Inputs!$G$5:$G$120&lt;&gt;"moeda")*(Inputs!$G$5:$G$120&lt;&gt;"acoes")))*INDEX(Inputs!$K$5:$AJ$120,0,MATCH(Y$2,Inputs!$K$4:$AJ$4,0)))))</f>
        <v>0</v>
      </c>
      <c r="Z30" s="6">
        <f>IF(ISNA(MATCH(Z$2,Inputs!$K$4:$AJ$4,0)),NA(),IF(SUMPRODUCT((Inputs!$A$5:$A$120=$B30)*ISNUMBER(INDEX(Inputs!$K$5:$AJ$120,0,MATCH(Z$2,Inputs!$K$4:$AJ$4,0))))+SUMPRODUCT((Inputs!$C$5:$C$120=$B30)*ISNUMBER(INDEX(Inputs!$K$5:$AJ$120,0,MATCH(Z$2,Inputs!$K$4:$AJ$4,0))))+SUMPRODUCT((Inputs!$E$5:$E$120=$B30)*ISNUMBER(INDEX(Inputs!$K$5:$AJ$120,0,MATCH(Z$2,Inputs!$K$4:$AJ$4,0))))=0,NA(),SUMPRODUCT((Inputs!$A$5:$A$120=$B30)*Inputs!$B$5:$B$120*(((Inputs!$G$5:$G$120="moeda")+(Inputs!$G$5:$G$120="acoes"))*Inputs!$B$1+((Inputs!$G$5:$G$120&lt;&gt;"moeda")*(Inputs!$G$5:$G$120&lt;&gt;"acoes")))*INDEX(Inputs!$K$5:$AJ$120,0,MATCH(Z$2,Inputs!$K$4:$AJ$4,0)))+SUMPRODUCT((Inputs!$C$5:$C$120=$B30)*Inputs!$D$5:$D$120*(((Inputs!$G$5:$G$120="moeda")+(Inputs!$G$5:$G$120="acoes"))*Inputs!$B$1+((Inputs!$G$5:$G$120&lt;&gt;"moeda")*(Inputs!$G$5:$G$120&lt;&gt;"acoes")))*INDEX(Inputs!$K$5:$AJ$120,0,MATCH(Z$2,Inputs!$K$4:$AJ$4,0)))+SUMPRODUCT((Inputs!$E$5:$E$120=$B30)*Inputs!$F$5:$F$120*(((Inputs!$G$5:$G$120="moeda")+(Inputs!$G$5:$G$120="acoes"))*Inputs!$B$1+((Inputs!$G$5:$G$120&lt;&gt;"moeda")*(Inputs!$G$5:$G$120&lt;&gt;"acoes")))*INDEX(Inputs!$K$5:$AJ$120,0,MATCH(Z$2,Inputs!$K$4:$AJ$4,0)))))</f>
        <v>0</v>
      </c>
      <c r="AA30" s="6">
        <f>IF(ISNA(MATCH(AA$2,Inputs!$K$4:$AJ$4,0)),NA(),IF(SUMPRODUCT((Inputs!$A$5:$A$120=$B30)*ISNUMBER(INDEX(Inputs!$K$5:$AJ$120,0,MATCH(AA$2,Inputs!$K$4:$AJ$4,0))))+SUMPRODUCT((Inputs!$C$5:$C$120=$B30)*ISNUMBER(INDEX(Inputs!$K$5:$AJ$120,0,MATCH(AA$2,Inputs!$K$4:$AJ$4,0))))+SUMPRODUCT((Inputs!$E$5:$E$120=$B30)*ISNUMBER(INDEX(Inputs!$K$5:$AJ$120,0,MATCH(AA$2,Inputs!$K$4:$AJ$4,0))))=0,NA(),SUMPRODUCT((Inputs!$A$5:$A$120=$B30)*Inputs!$B$5:$B$120*(((Inputs!$G$5:$G$120="moeda")+(Inputs!$G$5:$G$120="acoes"))*Inputs!$B$1+((Inputs!$G$5:$G$120&lt;&gt;"moeda")*(Inputs!$G$5:$G$120&lt;&gt;"acoes")))*INDEX(Inputs!$K$5:$AJ$120,0,MATCH(AA$2,Inputs!$K$4:$AJ$4,0)))+SUMPRODUCT((Inputs!$C$5:$C$120=$B30)*Inputs!$D$5:$D$120*(((Inputs!$G$5:$G$120="moeda")+(Inputs!$G$5:$G$120="acoes"))*Inputs!$B$1+((Inputs!$G$5:$G$120&lt;&gt;"moeda")*(Inputs!$G$5:$G$120&lt;&gt;"acoes")))*INDEX(Inputs!$K$5:$AJ$120,0,MATCH(AA$2,Inputs!$K$4:$AJ$4,0)))+SUMPRODUCT((Inputs!$E$5:$E$120=$B30)*Inputs!$F$5:$F$120*(((Inputs!$G$5:$G$120="moeda")+(Inputs!$G$5:$G$120="acoes"))*Inputs!$B$1+((Inputs!$G$5:$G$120&lt;&gt;"moeda")*(Inputs!$G$5:$G$120&lt;&gt;"acoes")))*INDEX(Inputs!$K$5:$AJ$120,0,MATCH(AA$2,Inputs!$K$4:$AJ$4,0)))))</f>
        <v>0</v>
      </c>
      <c r="AB30" s="3">
        <f>AA30</f>
        <v>0</v>
      </c>
      <c r="AC30" s="6">
        <f>IF(ISNA(MATCH(AC$2,Inputs!$K$4:$AJ$4,0)),NA(),IF(SUMPRODUCT((Inputs!$A$5:$A$120=$B30)*ISNUMBER(INDEX(Inputs!$K$5:$AJ$120,0,MATCH(AC$2,Inputs!$K$4:$AJ$4,0))))+SUMPRODUCT((Inputs!$C$5:$C$120=$B30)*ISNUMBER(INDEX(Inputs!$K$5:$AJ$120,0,MATCH(AC$2,Inputs!$K$4:$AJ$4,0))))+SUMPRODUCT((Inputs!$E$5:$E$120=$B30)*ISNUMBER(INDEX(Inputs!$K$5:$AJ$120,0,MATCH(AC$2,Inputs!$K$4:$AJ$4,0))))=0,NA(),SUMPRODUCT((Inputs!$A$5:$A$120=$B30)*Inputs!$B$5:$B$120*(((Inputs!$G$5:$G$120="moeda")+(Inputs!$G$5:$G$120="acoes"))*Inputs!$B$1+((Inputs!$G$5:$G$120&lt;&gt;"moeda")*(Inputs!$G$5:$G$120&lt;&gt;"acoes")))*INDEX(Inputs!$K$5:$AJ$120,0,MATCH(AC$2,Inputs!$K$4:$AJ$4,0)))+SUMPRODUCT((Inputs!$C$5:$C$120=$B30)*Inputs!$D$5:$D$120*(((Inputs!$G$5:$G$120="moeda")+(Inputs!$G$5:$G$120="acoes"))*Inputs!$B$1+((Inputs!$G$5:$G$120&lt;&gt;"moeda")*(Inputs!$G$5:$G$120&lt;&gt;"acoes")))*INDEX(Inputs!$K$5:$AJ$120,0,MATCH(AC$2,Inputs!$K$4:$AJ$4,0)))+SUMPRODUCT((Inputs!$E$5:$E$120=$B30)*Inputs!$F$5:$F$120*(((Inputs!$G$5:$G$120="moeda")+(Inputs!$G$5:$G$120="acoes"))*Inputs!$B$1+((Inputs!$G$5:$G$120&lt;&gt;"moeda")*(Inputs!$G$5:$G$120&lt;&gt;"acoes")))*INDEX(Inputs!$K$5:$AJ$120,0,MATCH(AC$2,Inputs!$K$4:$AJ$4,0)))))</f>
        <v>0</v>
      </c>
      <c r="AD30" s="6">
        <f>IF(ISNA(MATCH(AD$2,Inputs!$K$4:$AJ$4,0)),NA(),IF(SUMPRODUCT((Inputs!$A$5:$A$120=$B30)*ISNUMBER(INDEX(Inputs!$K$5:$AJ$120,0,MATCH(AD$2,Inputs!$K$4:$AJ$4,0))))+SUMPRODUCT((Inputs!$C$5:$C$120=$B30)*ISNUMBER(INDEX(Inputs!$K$5:$AJ$120,0,MATCH(AD$2,Inputs!$K$4:$AJ$4,0))))+SUMPRODUCT((Inputs!$E$5:$E$120=$B30)*ISNUMBER(INDEX(Inputs!$K$5:$AJ$120,0,MATCH(AD$2,Inputs!$K$4:$AJ$4,0))))=0,NA(),SUMPRODUCT((Inputs!$A$5:$A$120=$B30)*Inputs!$B$5:$B$120*(((Inputs!$G$5:$G$120="moeda")+(Inputs!$G$5:$G$120="acoes"))*Inputs!$B$1+((Inputs!$G$5:$G$120&lt;&gt;"moeda")*(Inputs!$G$5:$G$120&lt;&gt;"acoes")))*INDEX(Inputs!$K$5:$AJ$120,0,MATCH(AD$2,Inputs!$K$4:$AJ$4,0)))+SUMPRODUCT((Inputs!$C$5:$C$120=$B30)*Inputs!$D$5:$D$120*(((Inputs!$G$5:$G$120="moeda")+(Inputs!$G$5:$G$120="acoes"))*Inputs!$B$1+((Inputs!$G$5:$G$120&lt;&gt;"moeda")*(Inputs!$G$5:$G$120&lt;&gt;"acoes")))*INDEX(Inputs!$K$5:$AJ$120,0,MATCH(AD$2,Inputs!$K$4:$AJ$4,0)))+SUMPRODUCT((Inputs!$E$5:$E$120=$B30)*Inputs!$F$5:$F$120*(((Inputs!$G$5:$G$120="moeda")+(Inputs!$G$5:$G$120="acoes"))*Inputs!$B$1+((Inputs!$G$5:$G$120&lt;&gt;"moeda")*(Inputs!$G$5:$G$120&lt;&gt;"acoes")))*INDEX(Inputs!$K$5:$AJ$120,0,MATCH(AD$2,Inputs!$K$4:$AJ$4,0)))))</f>
        <v>0</v>
      </c>
      <c r="AE30" s="6" t="e">
        <f>IF(ISNA(MATCH(AE$2,Inputs!$K$4:$AJ$4,0)),NA(),IF(SUMPRODUCT((Inputs!$A$5:$A$120=$B30)*ISNUMBER(INDEX(Inputs!$K$5:$AJ$120,0,MATCH(AE$2,Inputs!$K$4:$AJ$4,0))))+SUMPRODUCT((Inputs!$C$5:$C$120=$B30)*ISNUMBER(INDEX(Inputs!$K$5:$AJ$120,0,MATCH(AE$2,Inputs!$K$4:$AJ$4,0))))+SUMPRODUCT((Inputs!$E$5:$E$120=$B30)*ISNUMBER(INDEX(Inputs!$K$5:$AJ$120,0,MATCH(AE$2,Inputs!$K$4:$AJ$4,0))))=0,NA(),SUMPRODUCT((Inputs!$A$5:$A$120=$B30)*Inputs!$B$5:$B$120*(((Inputs!$G$5:$G$120="moeda")+(Inputs!$G$5:$G$120="acoes"))*Inputs!$B$1+((Inputs!$G$5:$G$120&lt;&gt;"moeda")*(Inputs!$G$5:$G$120&lt;&gt;"acoes")))*INDEX(Inputs!$K$5:$AJ$120,0,MATCH(AE$2,Inputs!$K$4:$AJ$4,0)))+SUMPRODUCT((Inputs!$C$5:$C$120=$B30)*Inputs!$D$5:$D$120*(((Inputs!$G$5:$G$120="moeda")+(Inputs!$G$5:$G$120="acoes"))*Inputs!$B$1+((Inputs!$G$5:$G$120&lt;&gt;"moeda")*(Inputs!$G$5:$G$120&lt;&gt;"acoes")))*INDEX(Inputs!$K$5:$AJ$120,0,MATCH(AE$2,Inputs!$K$4:$AJ$4,0)))+SUMPRODUCT((Inputs!$E$5:$E$120=$B30)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30" s="6" t="e">
        <f>IF(ISNA(MATCH(AF$2,Inputs!$K$4:$AJ$4,0)),NA(),IF(SUMPRODUCT((Inputs!$A$5:$A$120=$B30)*ISNUMBER(INDEX(Inputs!$K$5:$AJ$120,0,MATCH(AF$2,Inputs!$K$4:$AJ$4,0))))+SUMPRODUCT((Inputs!$C$5:$C$120=$B30)*ISNUMBER(INDEX(Inputs!$K$5:$AJ$120,0,MATCH(AF$2,Inputs!$K$4:$AJ$4,0))))+SUMPRODUCT((Inputs!$E$5:$E$120=$B30)*ISNUMBER(INDEX(Inputs!$K$5:$AJ$120,0,MATCH(AF$2,Inputs!$K$4:$AJ$4,0))))=0,NA(),SUMPRODUCT((Inputs!$A$5:$A$120=$B30)*Inputs!$B$5:$B$120*(((Inputs!$G$5:$G$120="moeda")+(Inputs!$G$5:$G$120="acoes"))*Inputs!$B$1+((Inputs!$G$5:$G$120&lt;&gt;"moeda")*(Inputs!$G$5:$G$120&lt;&gt;"acoes")))*INDEX(Inputs!$K$5:$AJ$120,0,MATCH(AF$2,Inputs!$K$4:$AJ$4,0)))+SUMPRODUCT((Inputs!$C$5:$C$120=$B30)*Inputs!$D$5:$D$120*(((Inputs!$G$5:$G$120="moeda")+(Inputs!$G$5:$G$120="acoes"))*Inputs!$B$1+((Inputs!$G$5:$G$120&lt;&gt;"moeda")*(Inputs!$G$5:$G$120&lt;&gt;"acoes")))*INDEX(Inputs!$K$5:$AJ$120,0,MATCH(AF$2,Inputs!$K$4:$AJ$4,0)))+SUMPRODUCT((Inputs!$E$5:$E$120=$B30)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30" s="3" t="e">
        <f>AF30</f>
        <v>#N/A</v>
      </c>
      <c r="AH30" s="6">
        <f>IF(ISNA(MATCH(AH$2,Inputs!$K$4:$AJ$4,0)),NA(),IF(SUMPRODUCT((Inputs!$A$5:$A$120=$B30)*ISNUMBER(INDEX(Inputs!$K$5:$AJ$120,0,MATCH(AH$2,Inputs!$K$4:$AJ$4,0))))+SUMPRODUCT((Inputs!$C$5:$C$120=$B30)*ISNUMBER(INDEX(Inputs!$K$5:$AJ$120,0,MATCH(AH$2,Inputs!$K$4:$AJ$4,0))))+SUMPRODUCT((Inputs!$E$5:$E$120=$B30)*ISNUMBER(INDEX(Inputs!$K$5:$AJ$120,0,MATCH(AH$2,Inputs!$K$4:$AJ$4,0))))=0,NA(),SUMPRODUCT((Inputs!$A$5:$A$120=$B30)*Inputs!$B$5:$B$120*(((Inputs!$G$5:$G$120="moeda")+(Inputs!$G$5:$G$120="acoes"))*Inputs!$B$1+((Inputs!$G$5:$G$120&lt;&gt;"moeda")*(Inputs!$G$5:$G$120&lt;&gt;"acoes")))*INDEX(Inputs!$K$5:$AJ$120,0,MATCH(AH$2,Inputs!$K$4:$AJ$4,0)))+SUMPRODUCT((Inputs!$C$5:$C$120=$B30)*Inputs!$D$5:$D$120*(((Inputs!$G$5:$G$120="moeda")+(Inputs!$G$5:$G$120="acoes"))*Inputs!$B$1+((Inputs!$G$5:$G$120&lt;&gt;"moeda")*(Inputs!$G$5:$G$120&lt;&gt;"acoes")))*INDEX(Inputs!$K$5:$AJ$120,0,MATCH(AH$2,Inputs!$K$4:$AJ$4,0)))+SUMPRODUCT((Inputs!$E$5:$E$120=$B30)*Inputs!$F$5:$F$120*(((Inputs!$G$5:$G$120="moeda")+(Inputs!$G$5:$G$120="acoes"))*Inputs!$B$1+((Inputs!$G$5:$G$120&lt;&gt;"moeda")*(Inputs!$G$5:$G$120&lt;&gt;"acoes")))*INDEX(Inputs!$K$5:$AJ$120,0,MATCH(AH$2,Inputs!$K$4:$AJ$4,0)))))</f>
        <v>0</v>
      </c>
      <c r="AI30" s="6">
        <f>IF(ISNA(MATCH(AI$2,Inputs!$K$4:$AJ$4,0)),NA(),IF(SUMPRODUCT((Inputs!$A$5:$A$120=$B30)*ISNUMBER(INDEX(Inputs!$K$5:$AJ$120,0,MATCH(AI$2,Inputs!$K$4:$AJ$4,0))))+SUMPRODUCT((Inputs!$C$5:$C$120=$B30)*ISNUMBER(INDEX(Inputs!$K$5:$AJ$120,0,MATCH(AI$2,Inputs!$K$4:$AJ$4,0))))+SUMPRODUCT((Inputs!$E$5:$E$120=$B30)*ISNUMBER(INDEX(Inputs!$K$5:$AJ$120,0,MATCH(AI$2,Inputs!$K$4:$AJ$4,0))))=0,NA(),SUMPRODUCT((Inputs!$A$5:$A$120=$B30)*Inputs!$B$5:$B$120*(((Inputs!$G$5:$G$120="moeda")+(Inputs!$G$5:$G$120="acoes"))*Inputs!$B$1+((Inputs!$G$5:$G$120&lt;&gt;"moeda")*(Inputs!$G$5:$G$120&lt;&gt;"acoes")))*INDEX(Inputs!$K$5:$AJ$120,0,MATCH(AI$2,Inputs!$K$4:$AJ$4,0)))+SUMPRODUCT((Inputs!$C$5:$C$120=$B30)*Inputs!$D$5:$D$120*(((Inputs!$G$5:$G$120="moeda")+(Inputs!$G$5:$G$120="acoes"))*Inputs!$B$1+((Inputs!$G$5:$G$120&lt;&gt;"moeda")*(Inputs!$G$5:$G$120&lt;&gt;"acoes")))*INDEX(Inputs!$K$5:$AJ$120,0,MATCH(AI$2,Inputs!$K$4:$AJ$4,0)))+SUMPRODUCT((Inputs!$E$5:$E$120=$B30)*Inputs!$F$5:$F$120*(((Inputs!$G$5:$G$120="moeda")+(Inputs!$G$5:$G$120="acoes"))*Inputs!$B$1+((Inputs!$G$5:$G$120&lt;&gt;"moeda")*(Inputs!$G$5:$G$120&lt;&gt;"acoes")))*INDEX(Inputs!$K$5:$AJ$120,0,MATCH(AI$2,Inputs!$K$4:$AJ$4,0)))))</f>
        <v>0</v>
      </c>
      <c r="AJ30" s="6">
        <f>IF(ISNA(MATCH(AJ$2,Inputs!$K$4:$AJ$4,0)),NA(),IF(SUMPRODUCT((Inputs!$A$5:$A$120=$B30)*ISNUMBER(INDEX(Inputs!$K$5:$AJ$120,0,MATCH(AJ$2,Inputs!$K$4:$AJ$4,0))))+SUMPRODUCT((Inputs!$C$5:$C$120=$B30)*ISNUMBER(INDEX(Inputs!$K$5:$AJ$120,0,MATCH(AJ$2,Inputs!$K$4:$AJ$4,0))))+SUMPRODUCT((Inputs!$E$5:$E$120=$B30)*ISNUMBER(INDEX(Inputs!$K$5:$AJ$120,0,MATCH(AJ$2,Inputs!$K$4:$AJ$4,0))))=0,NA(),SUMPRODUCT((Inputs!$A$5:$A$120=$B30)*Inputs!$B$5:$B$120*(((Inputs!$G$5:$G$120="moeda")+(Inputs!$G$5:$G$120="acoes"))*Inputs!$B$1+((Inputs!$G$5:$G$120&lt;&gt;"moeda")*(Inputs!$G$5:$G$120&lt;&gt;"acoes")))*INDEX(Inputs!$K$5:$AJ$120,0,MATCH(AJ$2,Inputs!$K$4:$AJ$4,0)))+SUMPRODUCT((Inputs!$C$5:$C$120=$B30)*Inputs!$D$5:$D$120*(((Inputs!$G$5:$G$120="moeda")+(Inputs!$G$5:$G$120="acoes"))*Inputs!$B$1+((Inputs!$G$5:$G$120&lt;&gt;"moeda")*(Inputs!$G$5:$G$120&lt;&gt;"acoes")))*INDEX(Inputs!$K$5:$AJ$120,0,MATCH(AJ$2,Inputs!$K$4:$AJ$4,0)))+SUMPRODUCT((Inputs!$E$5:$E$120=$B30)*Inputs!$F$5:$F$120*(((Inputs!$G$5:$G$120="moeda")+(Inputs!$G$5:$G$120="acoes"))*Inputs!$B$1+((Inputs!$G$5:$G$120&lt;&gt;"moeda")*(Inputs!$G$5:$G$120&lt;&gt;"acoes")))*INDEX(Inputs!$K$5:$AJ$120,0,MATCH(AJ$2,Inputs!$K$4:$AJ$4,0)))))</f>
        <v>0</v>
      </c>
      <c r="AK30" s="6">
        <f>IF(ISNA(MATCH(AK$2,Inputs!$K$4:$AJ$4,0)),NA(),IF(SUMPRODUCT((Inputs!$A$5:$A$120=$B30)*ISNUMBER(INDEX(Inputs!$K$5:$AJ$120,0,MATCH(AK$2,Inputs!$K$4:$AJ$4,0))))+SUMPRODUCT((Inputs!$C$5:$C$120=$B30)*ISNUMBER(INDEX(Inputs!$K$5:$AJ$120,0,MATCH(AK$2,Inputs!$K$4:$AJ$4,0))))+SUMPRODUCT((Inputs!$E$5:$E$120=$B30)*ISNUMBER(INDEX(Inputs!$K$5:$AJ$120,0,MATCH(AK$2,Inputs!$K$4:$AJ$4,0))))=0,NA(),SUMPRODUCT((Inputs!$A$5:$A$120=$B30)*Inputs!$B$5:$B$120*(((Inputs!$G$5:$G$120="moeda")+(Inputs!$G$5:$G$120="acoes"))*Inputs!$B$1+((Inputs!$G$5:$G$120&lt;&gt;"moeda")*(Inputs!$G$5:$G$120&lt;&gt;"acoes")))*INDEX(Inputs!$K$5:$AJ$120,0,MATCH(AK$2,Inputs!$K$4:$AJ$4,0)))+SUMPRODUCT((Inputs!$C$5:$C$120=$B30)*Inputs!$D$5:$D$120*(((Inputs!$G$5:$G$120="moeda")+(Inputs!$G$5:$G$120="acoes"))*Inputs!$B$1+((Inputs!$G$5:$G$120&lt;&gt;"moeda")*(Inputs!$G$5:$G$120&lt;&gt;"acoes")))*INDEX(Inputs!$K$5:$AJ$120,0,MATCH(AK$2,Inputs!$K$4:$AJ$4,0)))+SUMPRODUCT((Inputs!$E$5:$E$120=$B30)*Inputs!$F$5:$F$120*(((Inputs!$G$5:$G$120="moeda")+(Inputs!$G$5:$G$120="acoes"))*Inputs!$B$1+((Inputs!$G$5:$G$120&lt;&gt;"moeda")*(Inputs!$G$5:$G$120&lt;&gt;"acoes")))*INDEX(Inputs!$K$5:$AJ$120,0,MATCH(AK$2,Inputs!$K$4:$AJ$4,0)))))</f>
        <v>0</v>
      </c>
      <c r="AL30" s="3">
        <f>AK30</f>
        <v>0</v>
      </c>
    </row>
    <row r="31">
      <c r="B31" s="46" t="n">
        <v>26</v>
      </c>
      <c r="C31" s="26" t="inlineStr">
        <is>
          <t>Other current liabilities (non-debt)</t>
        </is>
      </c>
      <c r="D31" s="6">
        <f>IF(ISNA(MATCH(D$2,Inputs!$K$4:$AJ$4,0)),NA(),IF(SUMPRODUCT((Inputs!$A$5:$A$120=$B31)*ISNUMBER(INDEX(Inputs!$K$5:$AJ$120,0,MATCH(D$2,Inputs!$K$4:$AJ$4,0))))+SUMPRODUCT((Inputs!$C$5:$C$120=$B31)*ISNUMBER(INDEX(Inputs!$K$5:$AJ$120,0,MATCH(D$2,Inputs!$K$4:$AJ$4,0))))+SUMPRODUCT((Inputs!$E$5:$E$120=$B31)*ISNUMBER(INDEX(Inputs!$K$5:$AJ$120,0,MATCH(D$2,Inputs!$K$4:$AJ$4,0))))=0,NA(),SUMPRODUCT((Inputs!$A$5:$A$120=$B31)*Inputs!$B$5:$B$120*(((Inputs!$G$5:$G$120="moeda")+(Inputs!$G$5:$G$120="acoes"))*Inputs!$B$1+((Inputs!$G$5:$G$120&lt;&gt;"moeda")*(Inputs!$G$5:$G$120&lt;&gt;"acoes")))*INDEX(Inputs!$K$5:$AJ$120,0,MATCH(D$2,Inputs!$K$4:$AJ$4,0)))+SUMPRODUCT((Inputs!$C$5:$C$120=$B31)*Inputs!$D$5:$D$120*(((Inputs!$G$5:$G$120="moeda")+(Inputs!$G$5:$G$120="acoes"))*Inputs!$B$1+((Inputs!$G$5:$G$120&lt;&gt;"moeda")*(Inputs!$G$5:$G$120&lt;&gt;"acoes")))*INDEX(Inputs!$K$5:$AJ$120,0,MATCH(D$2,Inputs!$K$4:$AJ$4,0)))+SUMPRODUCT((Inputs!$E$5:$E$120=$B31)*Inputs!$F$5:$F$120*(((Inputs!$G$5:$G$120="moeda")+(Inputs!$G$5:$G$120="acoes"))*Inputs!$B$1+((Inputs!$G$5:$G$120&lt;&gt;"moeda")*(Inputs!$G$5:$G$120&lt;&gt;"acoes")))*INDEX(Inputs!$K$5:$AJ$120,0,MATCH(D$2,Inputs!$K$4:$AJ$4,0)))))</f>
        <v>8229</v>
      </c>
      <c r="E31" s="6">
        <f>IF(ISNA(MATCH(E$2,Inputs!$K$4:$AJ$4,0)),NA(),IF(SUMPRODUCT((Inputs!$A$5:$A$120=$B31)*ISNUMBER(INDEX(Inputs!$K$5:$AJ$120,0,MATCH(E$2,Inputs!$K$4:$AJ$4,0))))+SUMPRODUCT((Inputs!$C$5:$C$120=$B31)*ISNUMBER(INDEX(Inputs!$K$5:$AJ$120,0,MATCH(E$2,Inputs!$K$4:$AJ$4,0))))+SUMPRODUCT((Inputs!$E$5:$E$120=$B31)*ISNUMBER(INDEX(Inputs!$K$5:$AJ$120,0,MATCH(E$2,Inputs!$K$4:$AJ$4,0))))=0,NA(),SUMPRODUCT((Inputs!$A$5:$A$120=$B31)*Inputs!$B$5:$B$120*(((Inputs!$G$5:$G$120="moeda")+(Inputs!$G$5:$G$120="acoes"))*Inputs!$B$1+((Inputs!$G$5:$G$120&lt;&gt;"moeda")*(Inputs!$G$5:$G$120&lt;&gt;"acoes")))*INDEX(Inputs!$K$5:$AJ$120,0,MATCH(E$2,Inputs!$K$4:$AJ$4,0)))+SUMPRODUCT((Inputs!$C$5:$C$120=$B31)*Inputs!$D$5:$D$120*(((Inputs!$G$5:$G$120="moeda")+(Inputs!$G$5:$G$120="acoes"))*Inputs!$B$1+((Inputs!$G$5:$G$120&lt;&gt;"moeda")*(Inputs!$G$5:$G$120&lt;&gt;"acoes")))*INDEX(Inputs!$K$5:$AJ$120,0,MATCH(E$2,Inputs!$K$4:$AJ$4,0)))+SUMPRODUCT((Inputs!$E$5:$E$120=$B31)*Inputs!$F$5:$F$120*(((Inputs!$G$5:$G$120="moeda")+(Inputs!$G$5:$G$120="acoes"))*Inputs!$B$1+((Inputs!$G$5:$G$120&lt;&gt;"moeda")*(Inputs!$G$5:$G$120&lt;&gt;"acoes")))*INDEX(Inputs!$K$5:$AJ$120,0,MATCH(E$2,Inputs!$K$4:$AJ$4,0)))))</f>
        <v>8813</v>
      </c>
      <c r="F31" s="6">
        <f>IF(ISNA(MATCH(F$2,Inputs!$K$4:$AJ$4,0)),NA(),IF(SUMPRODUCT((Inputs!$A$5:$A$120=$B31)*ISNUMBER(INDEX(Inputs!$K$5:$AJ$120,0,MATCH(F$2,Inputs!$K$4:$AJ$4,0))))+SUMPRODUCT((Inputs!$C$5:$C$120=$B31)*ISNUMBER(INDEX(Inputs!$K$5:$AJ$120,0,MATCH(F$2,Inputs!$K$4:$AJ$4,0))))+SUMPRODUCT((Inputs!$E$5:$E$120=$B31)*ISNUMBER(INDEX(Inputs!$K$5:$AJ$120,0,MATCH(F$2,Inputs!$K$4:$AJ$4,0))))=0,NA(),SUMPRODUCT((Inputs!$A$5:$A$120=$B31)*Inputs!$B$5:$B$120*(((Inputs!$G$5:$G$120="moeda")+(Inputs!$G$5:$G$120="acoes"))*Inputs!$B$1+((Inputs!$G$5:$G$120&lt;&gt;"moeda")*(Inputs!$G$5:$G$120&lt;&gt;"acoes")))*INDEX(Inputs!$K$5:$AJ$120,0,MATCH(F$2,Inputs!$K$4:$AJ$4,0)))+SUMPRODUCT((Inputs!$C$5:$C$120=$B31)*Inputs!$D$5:$D$120*(((Inputs!$G$5:$G$120="moeda")+(Inputs!$G$5:$G$120="acoes"))*Inputs!$B$1+((Inputs!$G$5:$G$120&lt;&gt;"moeda")*(Inputs!$G$5:$G$120&lt;&gt;"acoes")))*INDEX(Inputs!$K$5:$AJ$120,0,MATCH(F$2,Inputs!$K$4:$AJ$4,0)))+SUMPRODUCT((Inputs!$E$5:$E$120=$B31)*Inputs!$F$5:$F$120*(((Inputs!$G$5:$G$120="moeda")+(Inputs!$G$5:$G$120="acoes"))*Inputs!$B$1+((Inputs!$G$5:$G$120&lt;&gt;"moeda")*(Inputs!$G$5:$G$120&lt;&gt;"acoes")))*INDEX(Inputs!$K$5:$AJ$120,0,MATCH(F$2,Inputs!$K$4:$AJ$4,0)))))</f>
        <v>9791</v>
      </c>
      <c r="G31" s="6">
        <f>IF(ISNA(MATCH(G$2,Inputs!$K$4:$AJ$4,0)),NA(),IF(SUMPRODUCT((Inputs!$A$5:$A$120=$B31)*ISNUMBER(INDEX(Inputs!$K$5:$AJ$120,0,MATCH(G$2,Inputs!$K$4:$AJ$4,0))))+SUMPRODUCT((Inputs!$C$5:$C$120=$B31)*ISNUMBER(INDEX(Inputs!$K$5:$AJ$120,0,MATCH(G$2,Inputs!$K$4:$AJ$4,0))))+SUMPRODUCT((Inputs!$E$5:$E$120=$B31)*ISNUMBER(INDEX(Inputs!$K$5:$AJ$120,0,MATCH(G$2,Inputs!$K$4:$AJ$4,0))))=0,NA(),SUMPRODUCT((Inputs!$A$5:$A$120=$B31)*Inputs!$B$5:$B$120*(((Inputs!$G$5:$G$120="moeda")+(Inputs!$G$5:$G$120="acoes"))*Inputs!$B$1+((Inputs!$G$5:$G$120&lt;&gt;"moeda")*(Inputs!$G$5:$G$120&lt;&gt;"acoes")))*INDEX(Inputs!$K$5:$AJ$120,0,MATCH(G$2,Inputs!$K$4:$AJ$4,0)))+SUMPRODUCT((Inputs!$C$5:$C$120=$B31)*Inputs!$D$5:$D$120*(((Inputs!$G$5:$G$120="moeda")+(Inputs!$G$5:$G$120="acoes"))*Inputs!$B$1+((Inputs!$G$5:$G$120&lt;&gt;"moeda")*(Inputs!$G$5:$G$120&lt;&gt;"acoes")))*INDEX(Inputs!$K$5:$AJ$120,0,MATCH(G$2,Inputs!$K$4:$AJ$4,0)))+SUMPRODUCT((Inputs!$E$5:$E$120=$B31)*Inputs!$F$5:$F$120*(((Inputs!$G$5:$G$120="moeda")+(Inputs!$G$5:$G$120="acoes"))*Inputs!$B$1+((Inputs!$G$5:$G$120&lt;&gt;"moeda")*(Inputs!$G$5:$G$120&lt;&gt;"acoes")))*INDEX(Inputs!$K$5:$AJ$120,0,MATCH(G$2,Inputs!$K$4:$AJ$4,0)))))</f>
        <v>9680</v>
      </c>
      <c r="H31" s="3">
        <f>G31</f>
        <v>9680</v>
      </c>
      <c r="I31" s="6">
        <f>IF(ISNA(MATCH(I$2,Inputs!$K$4:$AJ$4,0)),NA(),IF(SUMPRODUCT((Inputs!$A$5:$A$120=$B31)*ISNUMBER(INDEX(Inputs!$K$5:$AJ$120,0,MATCH(I$2,Inputs!$K$4:$AJ$4,0))))+SUMPRODUCT((Inputs!$C$5:$C$120=$B31)*ISNUMBER(INDEX(Inputs!$K$5:$AJ$120,0,MATCH(I$2,Inputs!$K$4:$AJ$4,0))))+SUMPRODUCT((Inputs!$E$5:$E$120=$B31)*ISNUMBER(INDEX(Inputs!$K$5:$AJ$120,0,MATCH(I$2,Inputs!$K$4:$AJ$4,0))))=0,NA(),SUMPRODUCT((Inputs!$A$5:$A$120=$B31)*Inputs!$B$5:$B$120*(((Inputs!$G$5:$G$120="moeda")+(Inputs!$G$5:$G$120="acoes"))*Inputs!$B$1+((Inputs!$G$5:$G$120&lt;&gt;"moeda")*(Inputs!$G$5:$G$120&lt;&gt;"acoes")))*INDEX(Inputs!$K$5:$AJ$120,0,MATCH(I$2,Inputs!$K$4:$AJ$4,0)))+SUMPRODUCT((Inputs!$C$5:$C$120=$B31)*Inputs!$D$5:$D$120*(((Inputs!$G$5:$G$120="moeda")+(Inputs!$G$5:$G$120="acoes"))*Inputs!$B$1+((Inputs!$G$5:$G$120&lt;&gt;"moeda")*(Inputs!$G$5:$G$120&lt;&gt;"acoes")))*INDEX(Inputs!$K$5:$AJ$120,0,MATCH(I$2,Inputs!$K$4:$AJ$4,0)))+SUMPRODUCT((Inputs!$E$5:$E$120=$B31)*Inputs!$F$5:$F$120*(((Inputs!$G$5:$G$120="moeda")+(Inputs!$G$5:$G$120="acoes"))*Inputs!$B$1+((Inputs!$G$5:$G$120&lt;&gt;"moeda")*(Inputs!$G$5:$G$120&lt;&gt;"acoes")))*INDEX(Inputs!$K$5:$AJ$120,0,MATCH(I$2,Inputs!$K$4:$AJ$4,0)))))</f>
        <v>10284</v>
      </c>
      <c r="J31" s="6">
        <f>IF(ISNA(MATCH(J$2,Inputs!$K$4:$AJ$4,0)),NA(),IF(SUMPRODUCT((Inputs!$A$5:$A$120=$B31)*ISNUMBER(INDEX(Inputs!$K$5:$AJ$120,0,MATCH(J$2,Inputs!$K$4:$AJ$4,0))))+SUMPRODUCT((Inputs!$C$5:$C$120=$B31)*ISNUMBER(INDEX(Inputs!$K$5:$AJ$120,0,MATCH(J$2,Inputs!$K$4:$AJ$4,0))))+SUMPRODUCT((Inputs!$E$5:$E$120=$B31)*ISNUMBER(INDEX(Inputs!$K$5:$AJ$120,0,MATCH(J$2,Inputs!$K$4:$AJ$4,0))))=0,NA(),SUMPRODUCT((Inputs!$A$5:$A$120=$B31)*Inputs!$B$5:$B$120*(((Inputs!$G$5:$G$120="moeda")+(Inputs!$G$5:$G$120="acoes"))*Inputs!$B$1+((Inputs!$G$5:$G$120&lt;&gt;"moeda")*(Inputs!$G$5:$G$120&lt;&gt;"acoes")))*INDEX(Inputs!$K$5:$AJ$120,0,MATCH(J$2,Inputs!$K$4:$AJ$4,0)))+SUMPRODUCT((Inputs!$C$5:$C$120=$B31)*Inputs!$D$5:$D$120*(((Inputs!$G$5:$G$120="moeda")+(Inputs!$G$5:$G$120="acoes"))*Inputs!$B$1+((Inputs!$G$5:$G$120&lt;&gt;"moeda")*(Inputs!$G$5:$G$120&lt;&gt;"acoes")))*INDEX(Inputs!$K$5:$AJ$120,0,MATCH(J$2,Inputs!$K$4:$AJ$4,0)))+SUMPRODUCT((Inputs!$E$5:$E$120=$B31)*Inputs!$F$5:$F$120*(((Inputs!$G$5:$G$120="moeda")+(Inputs!$G$5:$G$120="acoes"))*Inputs!$B$1+((Inputs!$G$5:$G$120&lt;&gt;"moeda")*(Inputs!$G$5:$G$120&lt;&gt;"acoes")))*INDEX(Inputs!$K$5:$AJ$120,0,MATCH(J$2,Inputs!$K$4:$AJ$4,0)))))</f>
        <v>10609</v>
      </c>
      <c r="K31" s="6">
        <f>IF(ISNA(MATCH(K$2,Inputs!$K$4:$AJ$4,0)),NA(),IF(SUMPRODUCT((Inputs!$A$5:$A$120=$B31)*ISNUMBER(INDEX(Inputs!$K$5:$AJ$120,0,MATCH(K$2,Inputs!$K$4:$AJ$4,0))))+SUMPRODUCT((Inputs!$C$5:$C$120=$B31)*ISNUMBER(INDEX(Inputs!$K$5:$AJ$120,0,MATCH(K$2,Inputs!$K$4:$AJ$4,0))))+SUMPRODUCT((Inputs!$E$5:$E$120=$B31)*ISNUMBER(INDEX(Inputs!$K$5:$AJ$120,0,MATCH(K$2,Inputs!$K$4:$AJ$4,0))))=0,NA(),SUMPRODUCT((Inputs!$A$5:$A$120=$B31)*Inputs!$B$5:$B$120*(((Inputs!$G$5:$G$120="moeda")+(Inputs!$G$5:$G$120="acoes"))*Inputs!$B$1+((Inputs!$G$5:$G$120&lt;&gt;"moeda")*(Inputs!$G$5:$G$120&lt;&gt;"acoes")))*INDEX(Inputs!$K$5:$AJ$120,0,MATCH(K$2,Inputs!$K$4:$AJ$4,0)))+SUMPRODUCT((Inputs!$C$5:$C$120=$B31)*Inputs!$D$5:$D$120*(((Inputs!$G$5:$G$120="moeda")+(Inputs!$G$5:$G$120="acoes"))*Inputs!$B$1+((Inputs!$G$5:$G$120&lt;&gt;"moeda")*(Inputs!$G$5:$G$120&lt;&gt;"acoes")))*INDEX(Inputs!$K$5:$AJ$120,0,MATCH(K$2,Inputs!$K$4:$AJ$4,0)))+SUMPRODUCT((Inputs!$E$5:$E$120=$B31)*Inputs!$F$5:$F$120*(((Inputs!$G$5:$G$120="moeda")+(Inputs!$G$5:$G$120="acoes"))*Inputs!$B$1+((Inputs!$G$5:$G$120&lt;&gt;"moeda")*(Inputs!$G$5:$G$120&lt;&gt;"acoes")))*INDEX(Inputs!$K$5:$AJ$120,0,MATCH(K$2,Inputs!$K$4:$AJ$4,0)))))</f>
        <v>10714</v>
      </c>
      <c r="L31" s="6">
        <f>IF(ISNA(MATCH(L$2,Inputs!$K$4:$AJ$4,0)),NA(),IF(SUMPRODUCT((Inputs!$A$5:$A$120=$B31)*ISNUMBER(INDEX(Inputs!$K$5:$AJ$120,0,MATCH(L$2,Inputs!$K$4:$AJ$4,0))))+SUMPRODUCT((Inputs!$C$5:$C$120=$B31)*ISNUMBER(INDEX(Inputs!$K$5:$AJ$120,0,MATCH(L$2,Inputs!$K$4:$AJ$4,0))))+SUMPRODUCT((Inputs!$E$5:$E$120=$B31)*ISNUMBER(INDEX(Inputs!$K$5:$AJ$120,0,MATCH(L$2,Inputs!$K$4:$AJ$4,0))))=0,NA(),SUMPRODUCT((Inputs!$A$5:$A$120=$B31)*Inputs!$B$5:$B$120*(((Inputs!$G$5:$G$120="moeda")+(Inputs!$G$5:$G$120="acoes"))*Inputs!$B$1+((Inputs!$G$5:$G$120&lt;&gt;"moeda")*(Inputs!$G$5:$G$120&lt;&gt;"acoes")))*INDEX(Inputs!$K$5:$AJ$120,0,MATCH(L$2,Inputs!$K$4:$AJ$4,0)))+SUMPRODUCT((Inputs!$C$5:$C$120=$B31)*Inputs!$D$5:$D$120*(((Inputs!$G$5:$G$120="moeda")+(Inputs!$G$5:$G$120="acoes"))*Inputs!$B$1+((Inputs!$G$5:$G$120&lt;&gt;"moeda")*(Inputs!$G$5:$G$120&lt;&gt;"acoes")))*INDEX(Inputs!$K$5:$AJ$120,0,MATCH(L$2,Inputs!$K$4:$AJ$4,0)))+SUMPRODUCT((Inputs!$E$5:$E$120=$B31)*Inputs!$F$5:$F$120*(((Inputs!$G$5:$G$120="moeda")+(Inputs!$G$5:$G$120="acoes"))*Inputs!$B$1+((Inputs!$G$5:$G$120&lt;&gt;"moeda")*(Inputs!$G$5:$G$120&lt;&gt;"acoes")))*INDEX(Inputs!$K$5:$AJ$120,0,MATCH(L$2,Inputs!$K$4:$AJ$4,0)))))</f>
        <v>11454</v>
      </c>
      <c r="M31" s="3">
        <f>L31</f>
        <v>11454</v>
      </c>
      <c r="N31" s="6">
        <f>IF(ISNA(MATCH(N$2,Inputs!$K$4:$AJ$4,0)),NA(),IF(SUMPRODUCT((Inputs!$A$5:$A$120=$B31)*ISNUMBER(INDEX(Inputs!$K$5:$AJ$120,0,MATCH(N$2,Inputs!$K$4:$AJ$4,0))))+SUMPRODUCT((Inputs!$C$5:$C$120=$B31)*ISNUMBER(INDEX(Inputs!$K$5:$AJ$120,0,MATCH(N$2,Inputs!$K$4:$AJ$4,0))))+SUMPRODUCT((Inputs!$E$5:$E$120=$B31)*ISNUMBER(INDEX(Inputs!$K$5:$AJ$120,0,MATCH(N$2,Inputs!$K$4:$AJ$4,0))))=0,NA(),SUMPRODUCT((Inputs!$A$5:$A$120=$B31)*Inputs!$B$5:$B$120*(((Inputs!$G$5:$G$120="moeda")+(Inputs!$G$5:$G$120="acoes"))*Inputs!$B$1+((Inputs!$G$5:$G$120&lt;&gt;"moeda")*(Inputs!$G$5:$G$120&lt;&gt;"acoes")))*INDEX(Inputs!$K$5:$AJ$120,0,MATCH(N$2,Inputs!$K$4:$AJ$4,0)))+SUMPRODUCT((Inputs!$C$5:$C$120=$B31)*Inputs!$D$5:$D$120*(((Inputs!$G$5:$G$120="moeda")+(Inputs!$G$5:$G$120="acoes"))*Inputs!$B$1+((Inputs!$G$5:$G$120&lt;&gt;"moeda")*(Inputs!$G$5:$G$120&lt;&gt;"acoes")))*INDEX(Inputs!$K$5:$AJ$120,0,MATCH(N$2,Inputs!$K$4:$AJ$4,0)))+SUMPRODUCT((Inputs!$E$5:$E$120=$B31)*Inputs!$F$5:$F$120*(((Inputs!$G$5:$G$120="moeda")+(Inputs!$G$5:$G$120="acoes"))*Inputs!$B$1+((Inputs!$G$5:$G$120&lt;&gt;"moeda")*(Inputs!$G$5:$G$120&lt;&gt;"acoes")))*INDEX(Inputs!$K$5:$AJ$120,0,MATCH(N$2,Inputs!$K$4:$AJ$4,0)))))</f>
        <v>11532</v>
      </c>
      <c r="O31" s="6">
        <f>IF(ISNA(MATCH(O$2,Inputs!$K$4:$AJ$4,0)),NA(),IF(SUMPRODUCT((Inputs!$A$5:$A$120=$B31)*ISNUMBER(INDEX(Inputs!$K$5:$AJ$120,0,MATCH(O$2,Inputs!$K$4:$AJ$4,0))))+SUMPRODUCT((Inputs!$C$5:$C$120=$B31)*ISNUMBER(INDEX(Inputs!$K$5:$AJ$120,0,MATCH(O$2,Inputs!$K$4:$AJ$4,0))))+SUMPRODUCT((Inputs!$E$5:$E$120=$B31)*ISNUMBER(INDEX(Inputs!$K$5:$AJ$120,0,MATCH(O$2,Inputs!$K$4:$AJ$4,0))))=0,NA(),SUMPRODUCT((Inputs!$A$5:$A$120=$B31)*Inputs!$B$5:$B$120*(((Inputs!$G$5:$G$120="moeda")+(Inputs!$G$5:$G$120="acoes"))*Inputs!$B$1+((Inputs!$G$5:$G$120&lt;&gt;"moeda")*(Inputs!$G$5:$G$120&lt;&gt;"acoes")))*INDEX(Inputs!$K$5:$AJ$120,0,MATCH(O$2,Inputs!$K$4:$AJ$4,0)))+SUMPRODUCT((Inputs!$C$5:$C$120=$B31)*Inputs!$D$5:$D$120*(((Inputs!$G$5:$G$120="moeda")+(Inputs!$G$5:$G$120="acoes"))*Inputs!$B$1+((Inputs!$G$5:$G$120&lt;&gt;"moeda")*(Inputs!$G$5:$G$120&lt;&gt;"acoes")))*INDEX(Inputs!$K$5:$AJ$120,0,MATCH(O$2,Inputs!$K$4:$AJ$4,0)))+SUMPRODUCT((Inputs!$E$5:$E$120=$B31)*Inputs!$F$5:$F$120*(((Inputs!$G$5:$G$120="moeda")+(Inputs!$G$5:$G$120="acoes"))*Inputs!$B$1+((Inputs!$G$5:$G$120&lt;&gt;"moeda")*(Inputs!$G$5:$G$120&lt;&gt;"acoes")))*INDEX(Inputs!$K$5:$AJ$120,0,MATCH(O$2,Inputs!$K$4:$AJ$4,0)))))</f>
        <v>12319</v>
      </c>
      <c r="P31" s="6">
        <f>IF(ISNA(MATCH(P$2,Inputs!$K$4:$AJ$4,0)),NA(),IF(SUMPRODUCT((Inputs!$A$5:$A$120=$B31)*ISNUMBER(INDEX(Inputs!$K$5:$AJ$120,0,MATCH(P$2,Inputs!$K$4:$AJ$4,0))))+SUMPRODUCT((Inputs!$C$5:$C$120=$B31)*ISNUMBER(INDEX(Inputs!$K$5:$AJ$120,0,MATCH(P$2,Inputs!$K$4:$AJ$4,0))))+SUMPRODUCT((Inputs!$E$5:$E$120=$B31)*ISNUMBER(INDEX(Inputs!$K$5:$AJ$120,0,MATCH(P$2,Inputs!$K$4:$AJ$4,0))))=0,NA(),SUMPRODUCT((Inputs!$A$5:$A$120=$B31)*Inputs!$B$5:$B$120*(((Inputs!$G$5:$G$120="moeda")+(Inputs!$G$5:$G$120="acoes"))*Inputs!$B$1+((Inputs!$G$5:$G$120&lt;&gt;"moeda")*(Inputs!$G$5:$G$120&lt;&gt;"acoes")))*INDEX(Inputs!$K$5:$AJ$120,0,MATCH(P$2,Inputs!$K$4:$AJ$4,0)))+SUMPRODUCT((Inputs!$C$5:$C$120=$B31)*Inputs!$D$5:$D$120*(((Inputs!$G$5:$G$120="moeda")+(Inputs!$G$5:$G$120="acoes"))*Inputs!$B$1+((Inputs!$G$5:$G$120&lt;&gt;"moeda")*(Inputs!$G$5:$G$120&lt;&gt;"acoes")))*INDEX(Inputs!$K$5:$AJ$120,0,MATCH(P$2,Inputs!$K$4:$AJ$4,0)))+SUMPRODUCT((Inputs!$E$5:$E$120=$B31)*Inputs!$F$5:$F$120*(((Inputs!$G$5:$G$120="moeda")+(Inputs!$G$5:$G$120="acoes"))*Inputs!$B$1+((Inputs!$G$5:$G$120&lt;&gt;"moeda")*(Inputs!$G$5:$G$120&lt;&gt;"acoes")))*INDEX(Inputs!$K$5:$AJ$120,0,MATCH(P$2,Inputs!$K$4:$AJ$4,0)))))</f>
        <v>12703</v>
      </c>
      <c r="Q31" s="6">
        <f>IF(ISNA(MATCH(Q$2,Inputs!$K$4:$AJ$4,0)),NA(),IF(SUMPRODUCT((Inputs!$A$5:$A$120=$B31)*ISNUMBER(INDEX(Inputs!$K$5:$AJ$120,0,MATCH(Q$2,Inputs!$K$4:$AJ$4,0))))+SUMPRODUCT((Inputs!$C$5:$C$120=$B31)*ISNUMBER(INDEX(Inputs!$K$5:$AJ$120,0,MATCH(Q$2,Inputs!$K$4:$AJ$4,0))))+SUMPRODUCT((Inputs!$E$5:$E$120=$B31)*ISNUMBER(INDEX(Inputs!$K$5:$AJ$120,0,MATCH(Q$2,Inputs!$K$4:$AJ$4,0))))=0,NA(),SUMPRODUCT((Inputs!$A$5:$A$120=$B31)*Inputs!$B$5:$B$120*(((Inputs!$G$5:$G$120="moeda")+(Inputs!$G$5:$G$120="acoes"))*Inputs!$B$1+((Inputs!$G$5:$G$120&lt;&gt;"moeda")*(Inputs!$G$5:$G$120&lt;&gt;"acoes")))*INDEX(Inputs!$K$5:$AJ$120,0,MATCH(Q$2,Inputs!$K$4:$AJ$4,0)))+SUMPRODUCT((Inputs!$C$5:$C$120=$B31)*Inputs!$D$5:$D$120*(((Inputs!$G$5:$G$120="moeda")+(Inputs!$G$5:$G$120="acoes"))*Inputs!$B$1+((Inputs!$G$5:$G$120&lt;&gt;"moeda")*(Inputs!$G$5:$G$120&lt;&gt;"acoes")))*INDEX(Inputs!$K$5:$AJ$120,0,MATCH(Q$2,Inputs!$K$4:$AJ$4,0)))+SUMPRODUCT((Inputs!$E$5:$E$120=$B31)*Inputs!$F$5:$F$120*(((Inputs!$G$5:$G$120="moeda")+(Inputs!$G$5:$G$120="acoes"))*Inputs!$B$1+((Inputs!$G$5:$G$120&lt;&gt;"moeda")*(Inputs!$G$5:$G$120&lt;&gt;"acoes")))*INDEX(Inputs!$K$5:$AJ$120,0,MATCH(Q$2,Inputs!$K$4:$AJ$4,0)))))</f>
        <v>14317</v>
      </c>
      <c r="R31" s="3">
        <f>Q31</f>
        <v>14317</v>
      </c>
      <c r="S31" s="6">
        <f>IF(ISNA(MATCH(S$2,Inputs!$K$4:$AJ$4,0)),NA(),IF(SUMPRODUCT((Inputs!$A$5:$A$120=$B31)*ISNUMBER(INDEX(Inputs!$K$5:$AJ$120,0,MATCH(S$2,Inputs!$K$4:$AJ$4,0))))+SUMPRODUCT((Inputs!$C$5:$C$120=$B31)*ISNUMBER(INDEX(Inputs!$K$5:$AJ$120,0,MATCH(S$2,Inputs!$K$4:$AJ$4,0))))+SUMPRODUCT((Inputs!$E$5:$E$120=$B31)*ISNUMBER(INDEX(Inputs!$K$5:$AJ$120,0,MATCH(S$2,Inputs!$K$4:$AJ$4,0))))=0,NA(),SUMPRODUCT((Inputs!$A$5:$A$120=$B31)*Inputs!$B$5:$B$120*(((Inputs!$G$5:$G$120="moeda")+(Inputs!$G$5:$G$120="acoes"))*Inputs!$B$1+((Inputs!$G$5:$G$120&lt;&gt;"moeda")*(Inputs!$G$5:$G$120&lt;&gt;"acoes")))*INDEX(Inputs!$K$5:$AJ$120,0,MATCH(S$2,Inputs!$K$4:$AJ$4,0)))+SUMPRODUCT((Inputs!$C$5:$C$120=$B31)*Inputs!$D$5:$D$120*(((Inputs!$G$5:$G$120="moeda")+(Inputs!$G$5:$G$120="acoes"))*Inputs!$B$1+((Inputs!$G$5:$G$120&lt;&gt;"moeda")*(Inputs!$G$5:$G$120&lt;&gt;"acoes")))*INDEX(Inputs!$K$5:$AJ$120,0,MATCH(S$2,Inputs!$K$4:$AJ$4,0)))+SUMPRODUCT((Inputs!$E$5:$E$120=$B31)*Inputs!$F$5:$F$120*(((Inputs!$G$5:$G$120="moeda")+(Inputs!$G$5:$G$120="acoes"))*Inputs!$B$1+((Inputs!$G$5:$G$120&lt;&gt;"moeda")*(Inputs!$G$5:$G$120&lt;&gt;"acoes")))*INDEX(Inputs!$K$5:$AJ$120,0,MATCH(S$2,Inputs!$K$4:$AJ$4,0)))))</f>
        <v>14728</v>
      </c>
      <c r="T31" s="6">
        <f>IF(ISNA(MATCH(T$2,Inputs!$K$4:$AJ$4,0)),NA(),IF(SUMPRODUCT((Inputs!$A$5:$A$120=$B31)*ISNUMBER(INDEX(Inputs!$K$5:$AJ$120,0,MATCH(T$2,Inputs!$K$4:$AJ$4,0))))+SUMPRODUCT((Inputs!$C$5:$C$120=$B31)*ISNUMBER(INDEX(Inputs!$K$5:$AJ$120,0,MATCH(T$2,Inputs!$K$4:$AJ$4,0))))+SUMPRODUCT((Inputs!$E$5:$E$120=$B31)*ISNUMBER(INDEX(Inputs!$K$5:$AJ$120,0,MATCH(T$2,Inputs!$K$4:$AJ$4,0))))=0,NA(),SUMPRODUCT((Inputs!$A$5:$A$120=$B31)*Inputs!$B$5:$B$120*(((Inputs!$G$5:$G$120="moeda")+(Inputs!$G$5:$G$120="acoes"))*Inputs!$B$1+((Inputs!$G$5:$G$120&lt;&gt;"moeda")*(Inputs!$G$5:$G$120&lt;&gt;"acoes")))*INDEX(Inputs!$K$5:$AJ$120,0,MATCH(T$2,Inputs!$K$4:$AJ$4,0)))+SUMPRODUCT((Inputs!$C$5:$C$120=$B31)*Inputs!$D$5:$D$120*(((Inputs!$G$5:$G$120="moeda")+(Inputs!$G$5:$G$120="acoes"))*Inputs!$B$1+((Inputs!$G$5:$G$120&lt;&gt;"moeda")*(Inputs!$G$5:$G$120&lt;&gt;"acoes")))*INDEX(Inputs!$K$5:$AJ$120,0,MATCH(T$2,Inputs!$K$4:$AJ$4,0)))+SUMPRODUCT((Inputs!$E$5:$E$120=$B31)*Inputs!$F$5:$F$120*(((Inputs!$G$5:$G$120="moeda")+(Inputs!$G$5:$G$120="acoes"))*Inputs!$B$1+((Inputs!$G$5:$G$120&lt;&gt;"moeda")*(Inputs!$G$5:$G$120&lt;&gt;"acoes")))*INDEX(Inputs!$K$5:$AJ$120,0,MATCH(T$2,Inputs!$K$4:$AJ$4,0)))))</f>
        <v>14673</v>
      </c>
      <c r="U31" s="6">
        <f>IF(ISNA(MATCH(U$2,Inputs!$K$4:$AJ$4,0)),NA(),IF(SUMPRODUCT((Inputs!$A$5:$A$120=$B31)*ISNUMBER(INDEX(Inputs!$K$5:$AJ$120,0,MATCH(U$2,Inputs!$K$4:$AJ$4,0))))+SUMPRODUCT((Inputs!$C$5:$C$120=$B31)*ISNUMBER(INDEX(Inputs!$K$5:$AJ$120,0,MATCH(U$2,Inputs!$K$4:$AJ$4,0))))+SUMPRODUCT((Inputs!$E$5:$E$120=$B31)*ISNUMBER(INDEX(Inputs!$K$5:$AJ$120,0,MATCH(U$2,Inputs!$K$4:$AJ$4,0))))=0,NA(),SUMPRODUCT((Inputs!$A$5:$A$120=$B31)*Inputs!$B$5:$B$120*(((Inputs!$G$5:$G$120="moeda")+(Inputs!$G$5:$G$120="acoes"))*Inputs!$B$1+((Inputs!$G$5:$G$120&lt;&gt;"moeda")*(Inputs!$G$5:$G$120&lt;&gt;"acoes")))*INDEX(Inputs!$K$5:$AJ$120,0,MATCH(U$2,Inputs!$K$4:$AJ$4,0)))+SUMPRODUCT((Inputs!$C$5:$C$120=$B31)*Inputs!$D$5:$D$120*(((Inputs!$G$5:$G$120="moeda")+(Inputs!$G$5:$G$120="acoes"))*Inputs!$B$1+((Inputs!$G$5:$G$120&lt;&gt;"moeda")*(Inputs!$G$5:$G$120&lt;&gt;"acoes")))*INDEX(Inputs!$K$5:$AJ$120,0,MATCH(U$2,Inputs!$K$4:$AJ$4,0)))+SUMPRODUCT((Inputs!$E$5:$E$120=$B31)*Inputs!$F$5:$F$120*(((Inputs!$G$5:$G$120="moeda")+(Inputs!$G$5:$G$120="acoes"))*Inputs!$B$1+((Inputs!$G$5:$G$120&lt;&gt;"moeda")*(Inputs!$G$5:$G$120&lt;&gt;"acoes")))*INDEX(Inputs!$K$5:$AJ$120,0,MATCH(U$2,Inputs!$K$4:$AJ$4,0)))))</f>
        <v>15923</v>
      </c>
      <c r="V31" s="6">
        <f>IF(ISNA(MATCH(V$2,Inputs!$K$4:$AJ$4,0)),NA(),IF(SUMPRODUCT((Inputs!$A$5:$A$120=$B31)*ISNUMBER(INDEX(Inputs!$K$5:$AJ$120,0,MATCH(V$2,Inputs!$K$4:$AJ$4,0))))+SUMPRODUCT((Inputs!$C$5:$C$120=$B31)*ISNUMBER(INDEX(Inputs!$K$5:$AJ$120,0,MATCH(V$2,Inputs!$K$4:$AJ$4,0))))+SUMPRODUCT((Inputs!$E$5:$E$120=$B31)*ISNUMBER(INDEX(Inputs!$K$5:$AJ$120,0,MATCH(V$2,Inputs!$K$4:$AJ$4,0))))=0,NA(),SUMPRODUCT((Inputs!$A$5:$A$120=$B31)*Inputs!$B$5:$B$120*(((Inputs!$G$5:$G$120="moeda")+(Inputs!$G$5:$G$120="acoes"))*Inputs!$B$1+((Inputs!$G$5:$G$120&lt;&gt;"moeda")*(Inputs!$G$5:$G$120&lt;&gt;"acoes")))*INDEX(Inputs!$K$5:$AJ$120,0,MATCH(V$2,Inputs!$K$4:$AJ$4,0)))+SUMPRODUCT((Inputs!$C$5:$C$120=$B31)*Inputs!$D$5:$D$120*(((Inputs!$G$5:$G$120="moeda")+(Inputs!$G$5:$G$120="acoes"))*Inputs!$B$1+((Inputs!$G$5:$G$120&lt;&gt;"moeda")*(Inputs!$G$5:$G$120&lt;&gt;"acoes")))*INDEX(Inputs!$K$5:$AJ$120,0,MATCH(V$2,Inputs!$K$4:$AJ$4,0)))+SUMPRODUCT((Inputs!$E$5:$E$120=$B31)*Inputs!$F$5:$F$120*(((Inputs!$G$5:$G$120="moeda")+(Inputs!$G$5:$G$120="acoes"))*Inputs!$B$1+((Inputs!$G$5:$G$120&lt;&gt;"moeda")*(Inputs!$G$5:$G$120&lt;&gt;"acoes")))*INDEX(Inputs!$K$5:$AJ$120,0,MATCH(V$2,Inputs!$K$4:$AJ$4,0)))))</f>
        <v>16347</v>
      </c>
      <c r="W31" s="3">
        <f>V31</f>
        <v>16347</v>
      </c>
      <c r="X31" s="6">
        <f>IF(ISNA(MATCH(X$2,Inputs!$K$4:$AJ$4,0)),NA(),IF(SUMPRODUCT((Inputs!$A$5:$A$120=$B31)*ISNUMBER(INDEX(Inputs!$K$5:$AJ$120,0,MATCH(X$2,Inputs!$K$4:$AJ$4,0))))+SUMPRODUCT((Inputs!$C$5:$C$120=$B31)*ISNUMBER(INDEX(Inputs!$K$5:$AJ$120,0,MATCH(X$2,Inputs!$K$4:$AJ$4,0))))+SUMPRODUCT((Inputs!$E$5:$E$120=$B31)*ISNUMBER(INDEX(Inputs!$K$5:$AJ$120,0,MATCH(X$2,Inputs!$K$4:$AJ$4,0))))=0,NA(),SUMPRODUCT((Inputs!$A$5:$A$120=$B31)*Inputs!$B$5:$B$120*(((Inputs!$G$5:$G$120="moeda")+(Inputs!$G$5:$G$120="acoes"))*Inputs!$B$1+((Inputs!$G$5:$G$120&lt;&gt;"moeda")*(Inputs!$G$5:$G$120&lt;&gt;"acoes")))*INDEX(Inputs!$K$5:$AJ$120,0,MATCH(X$2,Inputs!$K$4:$AJ$4,0)))+SUMPRODUCT((Inputs!$C$5:$C$120=$B31)*Inputs!$D$5:$D$120*(((Inputs!$G$5:$G$120="moeda")+(Inputs!$G$5:$G$120="acoes"))*Inputs!$B$1+((Inputs!$G$5:$G$120&lt;&gt;"moeda")*(Inputs!$G$5:$G$120&lt;&gt;"acoes")))*INDEX(Inputs!$K$5:$AJ$120,0,MATCH(X$2,Inputs!$K$4:$AJ$4,0)))+SUMPRODUCT((Inputs!$E$5:$E$120=$B31)*Inputs!$F$5:$F$120*(((Inputs!$G$5:$G$120="moeda")+(Inputs!$G$5:$G$120="acoes"))*Inputs!$B$1+((Inputs!$G$5:$G$120&lt;&gt;"moeda")*(Inputs!$G$5:$G$120&lt;&gt;"acoes")))*INDEX(Inputs!$K$5:$AJ$120,0,MATCH(X$2,Inputs!$K$4:$AJ$4,0)))))</f>
        <v>16282</v>
      </c>
      <c r="Y31" s="6">
        <f>IF(ISNA(MATCH(Y$2,Inputs!$K$4:$AJ$4,0)),NA(),IF(SUMPRODUCT((Inputs!$A$5:$A$120=$B31)*ISNUMBER(INDEX(Inputs!$K$5:$AJ$120,0,MATCH(Y$2,Inputs!$K$4:$AJ$4,0))))+SUMPRODUCT((Inputs!$C$5:$C$120=$B31)*ISNUMBER(INDEX(Inputs!$K$5:$AJ$120,0,MATCH(Y$2,Inputs!$K$4:$AJ$4,0))))+SUMPRODUCT((Inputs!$E$5:$E$120=$B31)*ISNUMBER(INDEX(Inputs!$K$5:$AJ$120,0,MATCH(Y$2,Inputs!$K$4:$AJ$4,0))))=0,NA(),SUMPRODUCT((Inputs!$A$5:$A$120=$B31)*Inputs!$B$5:$B$120*(((Inputs!$G$5:$G$120="moeda")+(Inputs!$G$5:$G$120="acoes"))*Inputs!$B$1+((Inputs!$G$5:$G$120&lt;&gt;"moeda")*(Inputs!$G$5:$G$120&lt;&gt;"acoes")))*INDEX(Inputs!$K$5:$AJ$120,0,MATCH(Y$2,Inputs!$K$4:$AJ$4,0)))+SUMPRODUCT((Inputs!$C$5:$C$120=$B31)*Inputs!$D$5:$D$120*(((Inputs!$G$5:$G$120="moeda")+(Inputs!$G$5:$G$120="acoes"))*Inputs!$B$1+((Inputs!$G$5:$G$120&lt;&gt;"moeda")*(Inputs!$G$5:$G$120&lt;&gt;"acoes")))*INDEX(Inputs!$K$5:$AJ$120,0,MATCH(Y$2,Inputs!$K$4:$AJ$4,0)))+SUMPRODUCT((Inputs!$E$5:$E$120=$B31)*Inputs!$F$5:$F$120*(((Inputs!$G$5:$G$120="moeda")+(Inputs!$G$5:$G$120="acoes"))*Inputs!$B$1+((Inputs!$G$5:$G$120&lt;&gt;"moeda")*(Inputs!$G$5:$G$120&lt;&gt;"acoes")))*INDEX(Inputs!$K$5:$AJ$120,0,MATCH(Y$2,Inputs!$K$4:$AJ$4,0)))))</f>
        <v>16796</v>
      </c>
      <c r="Z31" s="6">
        <f>IF(ISNA(MATCH(Z$2,Inputs!$K$4:$AJ$4,0)),NA(),IF(SUMPRODUCT((Inputs!$A$5:$A$120=$B31)*ISNUMBER(INDEX(Inputs!$K$5:$AJ$120,0,MATCH(Z$2,Inputs!$K$4:$AJ$4,0))))+SUMPRODUCT((Inputs!$C$5:$C$120=$B31)*ISNUMBER(INDEX(Inputs!$K$5:$AJ$120,0,MATCH(Z$2,Inputs!$K$4:$AJ$4,0))))+SUMPRODUCT((Inputs!$E$5:$E$120=$B31)*ISNUMBER(INDEX(Inputs!$K$5:$AJ$120,0,MATCH(Z$2,Inputs!$K$4:$AJ$4,0))))=0,NA(),SUMPRODUCT((Inputs!$A$5:$A$120=$B31)*Inputs!$B$5:$B$120*(((Inputs!$G$5:$G$120="moeda")+(Inputs!$G$5:$G$120="acoes"))*Inputs!$B$1+((Inputs!$G$5:$G$120&lt;&gt;"moeda")*(Inputs!$G$5:$G$120&lt;&gt;"acoes")))*INDEX(Inputs!$K$5:$AJ$120,0,MATCH(Z$2,Inputs!$K$4:$AJ$4,0)))+SUMPRODUCT((Inputs!$C$5:$C$120=$B31)*Inputs!$D$5:$D$120*(((Inputs!$G$5:$G$120="moeda")+(Inputs!$G$5:$G$120="acoes"))*Inputs!$B$1+((Inputs!$G$5:$G$120&lt;&gt;"moeda")*(Inputs!$G$5:$G$120&lt;&gt;"acoes")))*INDEX(Inputs!$K$5:$AJ$120,0,MATCH(Z$2,Inputs!$K$4:$AJ$4,0)))+SUMPRODUCT((Inputs!$E$5:$E$120=$B31)*Inputs!$F$5:$F$120*(((Inputs!$G$5:$G$120="moeda")+(Inputs!$G$5:$G$120="acoes"))*Inputs!$B$1+((Inputs!$G$5:$G$120&lt;&gt;"moeda")*(Inputs!$G$5:$G$120&lt;&gt;"acoes")))*INDEX(Inputs!$K$5:$AJ$120,0,MATCH(Z$2,Inputs!$K$4:$AJ$4,0)))))</f>
        <v>18471</v>
      </c>
      <c r="AA31" s="6">
        <f>IF(ISNA(MATCH(AA$2,Inputs!$K$4:$AJ$4,0)),NA(),IF(SUMPRODUCT((Inputs!$A$5:$A$120=$B31)*ISNUMBER(INDEX(Inputs!$K$5:$AJ$120,0,MATCH(AA$2,Inputs!$K$4:$AJ$4,0))))+SUMPRODUCT((Inputs!$C$5:$C$120=$B31)*ISNUMBER(INDEX(Inputs!$K$5:$AJ$120,0,MATCH(AA$2,Inputs!$K$4:$AJ$4,0))))+SUMPRODUCT((Inputs!$E$5:$E$120=$B31)*ISNUMBER(INDEX(Inputs!$K$5:$AJ$120,0,MATCH(AA$2,Inputs!$K$4:$AJ$4,0))))=0,NA(),SUMPRODUCT((Inputs!$A$5:$A$120=$B31)*Inputs!$B$5:$B$120*(((Inputs!$G$5:$G$120="moeda")+(Inputs!$G$5:$G$120="acoes"))*Inputs!$B$1+((Inputs!$G$5:$G$120&lt;&gt;"moeda")*(Inputs!$G$5:$G$120&lt;&gt;"acoes")))*INDEX(Inputs!$K$5:$AJ$120,0,MATCH(AA$2,Inputs!$K$4:$AJ$4,0)))+SUMPRODUCT((Inputs!$C$5:$C$120=$B31)*Inputs!$D$5:$D$120*(((Inputs!$G$5:$G$120="moeda")+(Inputs!$G$5:$G$120="acoes"))*Inputs!$B$1+((Inputs!$G$5:$G$120&lt;&gt;"moeda")*(Inputs!$G$5:$G$120&lt;&gt;"acoes")))*INDEX(Inputs!$K$5:$AJ$120,0,MATCH(AA$2,Inputs!$K$4:$AJ$4,0)))+SUMPRODUCT((Inputs!$E$5:$E$120=$B31)*Inputs!$F$5:$F$120*(((Inputs!$G$5:$G$120="moeda")+(Inputs!$G$5:$G$120="acoes"))*Inputs!$B$1+((Inputs!$G$5:$G$120&lt;&gt;"moeda")*(Inputs!$G$5:$G$120&lt;&gt;"acoes")))*INDEX(Inputs!$K$5:$AJ$120,0,MATCH(AA$2,Inputs!$K$4:$AJ$4,0)))))</f>
        <v>18343</v>
      </c>
      <c r="AB31" s="3">
        <f>AA31</f>
        <v>18343</v>
      </c>
      <c r="AC31" s="6">
        <f>IF(ISNA(MATCH(AC$2,Inputs!$K$4:$AJ$4,0)),NA(),IF(SUMPRODUCT((Inputs!$A$5:$A$120=$B31)*ISNUMBER(INDEX(Inputs!$K$5:$AJ$120,0,MATCH(AC$2,Inputs!$K$4:$AJ$4,0))))+SUMPRODUCT((Inputs!$C$5:$C$120=$B31)*ISNUMBER(INDEX(Inputs!$K$5:$AJ$120,0,MATCH(AC$2,Inputs!$K$4:$AJ$4,0))))+SUMPRODUCT((Inputs!$E$5:$E$120=$B31)*ISNUMBER(INDEX(Inputs!$K$5:$AJ$120,0,MATCH(AC$2,Inputs!$K$4:$AJ$4,0))))=0,NA(),SUMPRODUCT((Inputs!$A$5:$A$120=$B31)*Inputs!$B$5:$B$120*(((Inputs!$G$5:$G$120="moeda")+(Inputs!$G$5:$G$120="acoes"))*Inputs!$B$1+((Inputs!$G$5:$G$120&lt;&gt;"moeda")*(Inputs!$G$5:$G$120&lt;&gt;"acoes")))*INDEX(Inputs!$K$5:$AJ$120,0,MATCH(AC$2,Inputs!$K$4:$AJ$4,0)))+SUMPRODUCT((Inputs!$C$5:$C$120=$B31)*Inputs!$D$5:$D$120*(((Inputs!$G$5:$G$120="moeda")+(Inputs!$G$5:$G$120="acoes"))*Inputs!$B$1+((Inputs!$G$5:$G$120&lt;&gt;"moeda")*(Inputs!$G$5:$G$120&lt;&gt;"acoes")))*INDEX(Inputs!$K$5:$AJ$120,0,MATCH(AC$2,Inputs!$K$4:$AJ$4,0)))+SUMPRODUCT((Inputs!$E$5:$E$120=$B31)*Inputs!$F$5:$F$120*(((Inputs!$G$5:$G$120="moeda")+(Inputs!$G$5:$G$120="acoes"))*Inputs!$B$1+((Inputs!$G$5:$G$120&lt;&gt;"moeda")*(Inputs!$G$5:$G$120&lt;&gt;"acoes")))*INDEX(Inputs!$K$5:$AJ$120,0,MATCH(AC$2,Inputs!$K$4:$AJ$4,0)))))</f>
        <v>19442</v>
      </c>
      <c r="AD31" s="6">
        <f>IF(ISNA(MATCH(AD$2,Inputs!$K$4:$AJ$4,0)),NA(),IF(SUMPRODUCT((Inputs!$A$5:$A$120=$B31)*ISNUMBER(INDEX(Inputs!$K$5:$AJ$120,0,MATCH(AD$2,Inputs!$K$4:$AJ$4,0))))+SUMPRODUCT((Inputs!$C$5:$C$120=$B31)*ISNUMBER(INDEX(Inputs!$K$5:$AJ$120,0,MATCH(AD$2,Inputs!$K$4:$AJ$4,0))))+SUMPRODUCT((Inputs!$E$5:$E$120=$B31)*ISNUMBER(INDEX(Inputs!$K$5:$AJ$120,0,MATCH(AD$2,Inputs!$K$4:$AJ$4,0))))=0,NA(),SUMPRODUCT((Inputs!$A$5:$A$120=$B31)*Inputs!$B$5:$B$120*(((Inputs!$G$5:$G$120="moeda")+(Inputs!$G$5:$G$120="acoes"))*Inputs!$B$1+((Inputs!$G$5:$G$120&lt;&gt;"moeda")*(Inputs!$G$5:$G$120&lt;&gt;"acoes")))*INDEX(Inputs!$K$5:$AJ$120,0,MATCH(AD$2,Inputs!$K$4:$AJ$4,0)))+SUMPRODUCT((Inputs!$C$5:$C$120=$B31)*Inputs!$D$5:$D$120*(((Inputs!$G$5:$G$120="moeda")+(Inputs!$G$5:$G$120="acoes"))*Inputs!$B$1+((Inputs!$G$5:$G$120&lt;&gt;"moeda")*(Inputs!$G$5:$G$120&lt;&gt;"acoes")))*INDEX(Inputs!$K$5:$AJ$120,0,MATCH(AD$2,Inputs!$K$4:$AJ$4,0)))+SUMPRODUCT((Inputs!$E$5:$E$120=$B31)*Inputs!$F$5:$F$120*(((Inputs!$G$5:$G$120="moeda")+(Inputs!$G$5:$G$120="acoes"))*Inputs!$B$1+((Inputs!$G$5:$G$120&lt;&gt;"moeda")*(Inputs!$G$5:$G$120&lt;&gt;"acoes")))*INDEX(Inputs!$K$5:$AJ$120,0,MATCH(AD$2,Inputs!$K$4:$AJ$4,0)))))</f>
        <v>20101</v>
      </c>
      <c r="AE31" s="6" t="e">
        <f>IF(ISNA(MATCH(AE$2,Inputs!$K$4:$AJ$4,0)),NA(),IF(SUMPRODUCT((Inputs!$A$5:$A$120=$B31)*ISNUMBER(INDEX(Inputs!$K$5:$AJ$120,0,MATCH(AE$2,Inputs!$K$4:$AJ$4,0))))+SUMPRODUCT((Inputs!$C$5:$C$120=$B31)*ISNUMBER(INDEX(Inputs!$K$5:$AJ$120,0,MATCH(AE$2,Inputs!$K$4:$AJ$4,0))))+SUMPRODUCT((Inputs!$E$5:$E$120=$B31)*ISNUMBER(INDEX(Inputs!$K$5:$AJ$120,0,MATCH(AE$2,Inputs!$K$4:$AJ$4,0))))=0,NA(),SUMPRODUCT((Inputs!$A$5:$A$120=$B31)*Inputs!$B$5:$B$120*(((Inputs!$G$5:$G$120="moeda")+(Inputs!$G$5:$G$120="acoes"))*Inputs!$B$1+((Inputs!$G$5:$G$120&lt;&gt;"moeda")*(Inputs!$G$5:$G$120&lt;&gt;"acoes")))*INDEX(Inputs!$K$5:$AJ$120,0,MATCH(AE$2,Inputs!$K$4:$AJ$4,0)))+SUMPRODUCT((Inputs!$C$5:$C$120=$B31)*Inputs!$D$5:$D$120*(((Inputs!$G$5:$G$120="moeda")+(Inputs!$G$5:$G$120="acoes"))*Inputs!$B$1+((Inputs!$G$5:$G$120&lt;&gt;"moeda")*(Inputs!$G$5:$G$120&lt;&gt;"acoes")))*INDEX(Inputs!$K$5:$AJ$120,0,MATCH(AE$2,Inputs!$K$4:$AJ$4,0)))+SUMPRODUCT((Inputs!$E$5:$E$120=$B31)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31" s="6" t="e">
        <f>IF(ISNA(MATCH(AF$2,Inputs!$K$4:$AJ$4,0)),NA(),IF(SUMPRODUCT((Inputs!$A$5:$A$120=$B31)*ISNUMBER(INDEX(Inputs!$K$5:$AJ$120,0,MATCH(AF$2,Inputs!$K$4:$AJ$4,0))))+SUMPRODUCT((Inputs!$C$5:$C$120=$B31)*ISNUMBER(INDEX(Inputs!$K$5:$AJ$120,0,MATCH(AF$2,Inputs!$K$4:$AJ$4,0))))+SUMPRODUCT((Inputs!$E$5:$E$120=$B31)*ISNUMBER(INDEX(Inputs!$K$5:$AJ$120,0,MATCH(AF$2,Inputs!$K$4:$AJ$4,0))))=0,NA(),SUMPRODUCT((Inputs!$A$5:$A$120=$B31)*Inputs!$B$5:$B$120*(((Inputs!$G$5:$G$120="moeda")+(Inputs!$G$5:$G$120="acoes"))*Inputs!$B$1+((Inputs!$G$5:$G$120&lt;&gt;"moeda")*(Inputs!$G$5:$G$120&lt;&gt;"acoes")))*INDEX(Inputs!$K$5:$AJ$120,0,MATCH(AF$2,Inputs!$K$4:$AJ$4,0)))+SUMPRODUCT((Inputs!$C$5:$C$120=$B31)*Inputs!$D$5:$D$120*(((Inputs!$G$5:$G$120="moeda")+(Inputs!$G$5:$G$120="acoes"))*Inputs!$B$1+((Inputs!$G$5:$G$120&lt;&gt;"moeda")*(Inputs!$G$5:$G$120&lt;&gt;"acoes")))*INDEX(Inputs!$K$5:$AJ$120,0,MATCH(AF$2,Inputs!$K$4:$AJ$4,0)))+SUMPRODUCT((Inputs!$E$5:$E$120=$B31)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31" s="3" t="e">
        <f>AF31</f>
        <v>#N/A</v>
      </c>
      <c r="AH31" s="6">
        <f>IF(ISNA(MATCH(AH$2,Inputs!$K$4:$AJ$4,0)),NA(),IF(SUMPRODUCT((Inputs!$A$5:$A$120=$B31)*ISNUMBER(INDEX(Inputs!$K$5:$AJ$120,0,MATCH(AH$2,Inputs!$K$4:$AJ$4,0))))+SUMPRODUCT((Inputs!$C$5:$C$120=$B31)*ISNUMBER(INDEX(Inputs!$K$5:$AJ$120,0,MATCH(AH$2,Inputs!$K$4:$AJ$4,0))))+SUMPRODUCT((Inputs!$E$5:$E$120=$B31)*ISNUMBER(INDEX(Inputs!$K$5:$AJ$120,0,MATCH(AH$2,Inputs!$K$4:$AJ$4,0))))=0,NA(),SUMPRODUCT((Inputs!$A$5:$A$120=$B31)*Inputs!$B$5:$B$120*(((Inputs!$G$5:$G$120="moeda")+(Inputs!$G$5:$G$120="acoes"))*Inputs!$B$1+((Inputs!$G$5:$G$120&lt;&gt;"moeda")*(Inputs!$G$5:$G$120&lt;&gt;"acoes")))*INDEX(Inputs!$K$5:$AJ$120,0,MATCH(AH$2,Inputs!$K$4:$AJ$4,0)))+SUMPRODUCT((Inputs!$C$5:$C$120=$B31)*Inputs!$D$5:$D$120*(((Inputs!$G$5:$G$120="moeda")+(Inputs!$G$5:$G$120="acoes"))*Inputs!$B$1+((Inputs!$G$5:$G$120&lt;&gt;"moeda")*(Inputs!$G$5:$G$120&lt;&gt;"acoes")))*INDEX(Inputs!$K$5:$AJ$120,0,MATCH(AH$2,Inputs!$K$4:$AJ$4,0)))+SUMPRODUCT((Inputs!$E$5:$E$120=$B31)*Inputs!$F$5:$F$120*(((Inputs!$G$5:$G$120="moeda")+(Inputs!$G$5:$G$120="acoes"))*Inputs!$B$1+((Inputs!$G$5:$G$120&lt;&gt;"moeda")*(Inputs!$G$5:$G$120&lt;&gt;"acoes")))*INDEX(Inputs!$K$5:$AJ$120,0,MATCH(AH$2,Inputs!$K$4:$AJ$4,0)))))</f>
        <v>8016</v>
      </c>
      <c r="AI31" s="6">
        <f>IF(ISNA(MATCH(AI$2,Inputs!$K$4:$AJ$4,0)),NA(),IF(SUMPRODUCT((Inputs!$A$5:$A$120=$B31)*ISNUMBER(INDEX(Inputs!$K$5:$AJ$120,0,MATCH(AI$2,Inputs!$K$4:$AJ$4,0))))+SUMPRODUCT((Inputs!$C$5:$C$120=$B31)*ISNUMBER(INDEX(Inputs!$K$5:$AJ$120,0,MATCH(AI$2,Inputs!$K$4:$AJ$4,0))))+SUMPRODUCT((Inputs!$E$5:$E$120=$B31)*ISNUMBER(INDEX(Inputs!$K$5:$AJ$120,0,MATCH(AI$2,Inputs!$K$4:$AJ$4,0))))=0,NA(),SUMPRODUCT((Inputs!$A$5:$A$120=$B31)*Inputs!$B$5:$B$120*(((Inputs!$G$5:$G$120="moeda")+(Inputs!$G$5:$G$120="acoes"))*Inputs!$B$1+((Inputs!$G$5:$G$120&lt;&gt;"moeda")*(Inputs!$G$5:$G$120&lt;&gt;"acoes")))*INDEX(Inputs!$K$5:$AJ$120,0,MATCH(AI$2,Inputs!$K$4:$AJ$4,0)))+SUMPRODUCT((Inputs!$C$5:$C$120=$B31)*Inputs!$D$5:$D$120*(((Inputs!$G$5:$G$120="moeda")+(Inputs!$G$5:$G$120="acoes"))*Inputs!$B$1+((Inputs!$G$5:$G$120&lt;&gt;"moeda")*(Inputs!$G$5:$G$120&lt;&gt;"acoes")))*INDEX(Inputs!$K$5:$AJ$120,0,MATCH(AI$2,Inputs!$K$4:$AJ$4,0)))+SUMPRODUCT((Inputs!$E$5:$E$120=$B31)*Inputs!$F$5:$F$120*(((Inputs!$G$5:$G$120="moeda")+(Inputs!$G$5:$G$120="acoes"))*Inputs!$B$1+((Inputs!$G$5:$G$120&lt;&gt;"moeda")*(Inputs!$G$5:$G$120&lt;&gt;"acoes")))*INDEX(Inputs!$K$5:$AJ$120,0,MATCH(AI$2,Inputs!$K$4:$AJ$4,0)))))</f>
        <v>8632</v>
      </c>
      <c r="AJ31" s="6">
        <f>IF(ISNA(MATCH(AJ$2,Inputs!$K$4:$AJ$4,0)),NA(),IF(SUMPRODUCT((Inputs!$A$5:$A$120=$B31)*ISNUMBER(INDEX(Inputs!$K$5:$AJ$120,0,MATCH(AJ$2,Inputs!$K$4:$AJ$4,0))))+SUMPRODUCT((Inputs!$C$5:$C$120=$B31)*ISNUMBER(INDEX(Inputs!$K$5:$AJ$120,0,MATCH(AJ$2,Inputs!$K$4:$AJ$4,0))))+SUMPRODUCT((Inputs!$E$5:$E$120=$B31)*ISNUMBER(INDEX(Inputs!$K$5:$AJ$120,0,MATCH(AJ$2,Inputs!$K$4:$AJ$4,0))))=0,NA(),SUMPRODUCT((Inputs!$A$5:$A$120=$B31)*Inputs!$B$5:$B$120*(((Inputs!$G$5:$G$120="moeda")+(Inputs!$G$5:$G$120="acoes"))*Inputs!$B$1+((Inputs!$G$5:$G$120&lt;&gt;"moeda")*(Inputs!$G$5:$G$120&lt;&gt;"acoes")))*INDEX(Inputs!$K$5:$AJ$120,0,MATCH(AJ$2,Inputs!$K$4:$AJ$4,0)))+SUMPRODUCT((Inputs!$C$5:$C$120=$B31)*Inputs!$D$5:$D$120*(((Inputs!$G$5:$G$120="moeda")+(Inputs!$G$5:$G$120="acoes"))*Inputs!$B$1+((Inputs!$G$5:$G$120&lt;&gt;"moeda")*(Inputs!$G$5:$G$120&lt;&gt;"acoes")))*INDEX(Inputs!$K$5:$AJ$120,0,MATCH(AJ$2,Inputs!$K$4:$AJ$4,0)))+SUMPRODUCT((Inputs!$E$5:$E$120=$B31)*Inputs!$F$5:$F$120*(((Inputs!$G$5:$G$120="moeda")+(Inputs!$G$5:$G$120="acoes"))*Inputs!$B$1+((Inputs!$G$5:$G$120&lt;&gt;"moeda")*(Inputs!$G$5:$G$120&lt;&gt;"acoes")))*INDEX(Inputs!$K$5:$AJ$120,0,MATCH(AJ$2,Inputs!$K$4:$AJ$4,0)))))</f>
        <v>8344</v>
      </c>
      <c r="AK31" s="6">
        <f>IF(ISNA(MATCH(AK$2,Inputs!$K$4:$AJ$4,0)),NA(),IF(SUMPRODUCT((Inputs!$A$5:$A$120=$B31)*ISNUMBER(INDEX(Inputs!$K$5:$AJ$120,0,MATCH(AK$2,Inputs!$K$4:$AJ$4,0))))+SUMPRODUCT((Inputs!$C$5:$C$120=$B31)*ISNUMBER(INDEX(Inputs!$K$5:$AJ$120,0,MATCH(AK$2,Inputs!$K$4:$AJ$4,0))))+SUMPRODUCT((Inputs!$E$5:$E$120=$B31)*ISNUMBER(INDEX(Inputs!$K$5:$AJ$120,0,MATCH(AK$2,Inputs!$K$4:$AJ$4,0))))=0,NA(),SUMPRODUCT((Inputs!$A$5:$A$120=$B31)*Inputs!$B$5:$B$120*(((Inputs!$G$5:$G$120="moeda")+(Inputs!$G$5:$G$120="acoes"))*Inputs!$B$1+((Inputs!$G$5:$G$120&lt;&gt;"moeda")*(Inputs!$G$5:$G$120&lt;&gt;"acoes")))*INDEX(Inputs!$K$5:$AJ$120,0,MATCH(AK$2,Inputs!$K$4:$AJ$4,0)))+SUMPRODUCT((Inputs!$C$5:$C$120=$B31)*Inputs!$D$5:$D$120*(((Inputs!$G$5:$G$120="moeda")+(Inputs!$G$5:$G$120="acoes"))*Inputs!$B$1+((Inputs!$G$5:$G$120&lt;&gt;"moeda")*(Inputs!$G$5:$G$120&lt;&gt;"acoes")))*INDEX(Inputs!$K$5:$AJ$120,0,MATCH(AK$2,Inputs!$K$4:$AJ$4,0)))+SUMPRODUCT((Inputs!$E$5:$E$120=$B31)*Inputs!$F$5:$F$120*(((Inputs!$G$5:$G$120="moeda")+(Inputs!$G$5:$G$120="acoes"))*Inputs!$B$1+((Inputs!$G$5:$G$120&lt;&gt;"moeda")*(Inputs!$G$5:$G$120&lt;&gt;"acoes")))*INDEX(Inputs!$K$5:$AJ$120,0,MATCH(AK$2,Inputs!$K$4:$AJ$4,0)))))</f>
        <v>8197</v>
      </c>
      <c r="AL31" s="3">
        <f>AK31</f>
        <v>8197</v>
      </c>
    </row>
    <row r="32">
      <c r="B32" s="46" t="n">
        <v>27</v>
      </c>
      <c r="C32" s="26" t="inlineStr">
        <is>
          <t>Current portion of long-term debt</t>
        </is>
      </c>
      <c r="D32" s="6">
        <f>IF(ISNA(MATCH(D$2,Inputs!$K$4:$AJ$4,0)),NA(),IF(SUMPRODUCT((Inputs!$A$5:$A$120=$B32)*ISNUMBER(INDEX(Inputs!$K$5:$AJ$120,0,MATCH(D$2,Inputs!$K$4:$AJ$4,0))))+SUMPRODUCT((Inputs!$C$5:$C$120=$B32)*ISNUMBER(INDEX(Inputs!$K$5:$AJ$120,0,MATCH(D$2,Inputs!$K$4:$AJ$4,0))))+SUMPRODUCT((Inputs!$E$5:$E$120=$B32)*ISNUMBER(INDEX(Inputs!$K$5:$AJ$120,0,MATCH(D$2,Inputs!$K$4:$AJ$4,0))))=0,NA(),SUMPRODUCT((Inputs!$A$5:$A$120=$B32)*Inputs!$B$5:$B$120*(((Inputs!$G$5:$G$120="moeda")+(Inputs!$G$5:$G$120="acoes"))*Inputs!$B$1+((Inputs!$G$5:$G$120&lt;&gt;"moeda")*(Inputs!$G$5:$G$120&lt;&gt;"acoes")))*INDEX(Inputs!$K$5:$AJ$120,0,MATCH(D$2,Inputs!$K$4:$AJ$4,0)))+SUMPRODUCT((Inputs!$C$5:$C$120=$B32)*Inputs!$D$5:$D$120*(((Inputs!$G$5:$G$120="moeda")+(Inputs!$G$5:$G$120="acoes"))*Inputs!$B$1+((Inputs!$G$5:$G$120&lt;&gt;"moeda")*(Inputs!$G$5:$G$120&lt;&gt;"acoes")))*INDEX(Inputs!$K$5:$AJ$120,0,MATCH(D$2,Inputs!$K$4:$AJ$4,0)))+SUMPRODUCT((Inputs!$E$5:$E$120=$B32)*Inputs!$F$5:$F$120*(((Inputs!$G$5:$G$120="moeda")+(Inputs!$G$5:$G$120="acoes"))*Inputs!$B$1+((Inputs!$G$5:$G$120&lt;&gt;"moeda")*(Inputs!$G$5:$G$120&lt;&gt;"acoes")))*INDEX(Inputs!$K$5:$AJ$120,0,MATCH(D$2,Inputs!$K$4:$AJ$4,0)))))</f>
        <v>0</v>
      </c>
      <c r="E32" s="6">
        <f>IF(ISNA(MATCH(E$2,Inputs!$K$4:$AJ$4,0)),NA(),IF(SUMPRODUCT((Inputs!$A$5:$A$120=$B32)*ISNUMBER(INDEX(Inputs!$K$5:$AJ$120,0,MATCH(E$2,Inputs!$K$4:$AJ$4,0))))+SUMPRODUCT((Inputs!$C$5:$C$120=$B32)*ISNUMBER(INDEX(Inputs!$K$5:$AJ$120,0,MATCH(E$2,Inputs!$K$4:$AJ$4,0))))+SUMPRODUCT((Inputs!$E$5:$E$120=$B32)*ISNUMBER(INDEX(Inputs!$K$5:$AJ$120,0,MATCH(E$2,Inputs!$K$4:$AJ$4,0))))=0,NA(),SUMPRODUCT((Inputs!$A$5:$A$120=$B32)*Inputs!$B$5:$B$120*(((Inputs!$G$5:$G$120="moeda")+(Inputs!$G$5:$G$120="acoes"))*Inputs!$B$1+((Inputs!$G$5:$G$120&lt;&gt;"moeda")*(Inputs!$G$5:$G$120&lt;&gt;"acoes")))*INDEX(Inputs!$K$5:$AJ$120,0,MATCH(E$2,Inputs!$K$4:$AJ$4,0)))+SUMPRODUCT((Inputs!$C$5:$C$120=$B32)*Inputs!$D$5:$D$120*(((Inputs!$G$5:$G$120="moeda")+(Inputs!$G$5:$G$120="acoes"))*Inputs!$B$1+((Inputs!$G$5:$G$120&lt;&gt;"moeda")*(Inputs!$G$5:$G$120&lt;&gt;"acoes")))*INDEX(Inputs!$K$5:$AJ$120,0,MATCH(E$2,Inputs!$K$4:$AJ$4,0)))+SUMPRODUCT((Inputs!$E$5:$E$120=$B32)*Inputs!$F$5:$F$120*(((Inputs!$G$5:$G$120="moeda")+(Inputs!$G$5:$G$120="acoes"))*Inputs!$B$1+((Inputs!$G$5:$G$120&lt;&gt;"moeda")*(Inputs!$G$5:$G$120&lt;&gt;"acoes")))*INDEX(Inputs!$K$5:$AJ$120,0,MATCH(E$2,Inputs!$K$4:$AJ$4,0)))))</f>
        <v>0</v>
      </c>
      <c r="F32" s="6">
        <f>IF(ISNA(MATCH(F$2,Inputs!$K$4:$AJ$4,0)),NA(),IF(SUMPRODUCT((Inputs!$A$5:$A$120=$B32)*ISNUMBER(INDEX(Inputs!$K$5:$AJ$120,0,MATCH(F$2,Inputs!$K$4:$AJ$4,0))))+SUMPRODUCT((Inputs!$C$5:$C$120=$B32)*ISNUMBER(INDEX(Inputs!$K$5:$AJ$120,0,MATCH(F$2,Inputs!$K$4:$AJ$4,0))))+SUMPRODUCT((Inputs!$E$5:$E$120=$B32)*ISNUMBER(INDEX(Inputs!$K$5:$AJ$120,0,MATCH(F$2,Inputs!$K$4:$AJ$4,0))))=0,NA(),SUMPRODUCT((Inputs!$A$5:$A$120=$B32)*Inputs!$B$5:$B$120*(((Inputs!$G$5:$G$120="moeda")+(Inputs!$G$5:$G$120="acoes"))*Inputs!$B$1+((Inputs!$G$5:$G$120&lt;&gt;"moeda")*(Inputs!$G$5:$G$120&lt;&gt;"acoes")))*INDEX(Inputs!$K$5:$AJ$120,0,MATCH(F$2,Inputs!$K$4:$AJ$4,0)))+SUMPRODUCT((Inputs!$C$5:$C$120=$B32)*Inputs!$D$5:$D$120*(((Inputs!$G$5:$G$120="moeda")+(Inputs!$G$5:$G$120="acoes"))*Inputs!$B$1+((Inputs!$G$5:$G$120&lt;&gt;"moeda")*(Inputs!$G$5:$G$120&lt;&gt;"acoes")))*INDEX(Inputs!$K$5:$AJ$120,0,MATCH(F$2,Inputs!$K$4:$AJ$4,0)))+SUMPRODUCT((Inputs!$E$5:$E$120=$B32)*Inputs!$F$5:$F$120*(((Inputs!$G$5:$G$120="moeda")+(Inputs!$G$5:$G$120="acoes"))*Inputs!$B$1+((Inputs!$G$5:$G$120&lt;&gt;"moeda")*(Inputs!$G$5:$G$120&lt;&gt;"acoes")))*INDEX(Inputs!$K$5:$AJ$120,0,MATCH(F$2,Inputs!$K$4:$AJ$4,0)))))</f>
        <v>0</v>
      </c>
      <c r="G32" s="6">
        <f>IF(ISNA(MATCH(G$2,Inputs!$K$4:$AJ$4,0)),NA(),IF(SUMPRODUCT((Inputs!$A$5:$A$120=$B32)*ISNUMBER(INDEX(Inputs!$K$5:$AJ$120,0,MATCH(G$2,Inputs!$K$4:$AJ$4,0))))+SUMPRODUCT((Inputs!$C$5:$C$120=$B32)*ISNUMBER(INDEX(Inputs!$K$5:$AJ$120,0,MATCH(G$2,Inputs!$K$4:$AJ$4,0))))+SUMPRODUCT((Inputs!$E$5:$E$120=$B32)*ISNUMBER(INDEX(Inputs!$K$5:$AJ$120,0,MATCH(G$2,Inputs!$K$4:$AJ$4,0))))=0,NA(),SUMPRODUCT((Inputs!$A$5:$A$120=$B32)*Inputs!$B$5:$B$120*(((Inputs!$G$5:$G$120="moeda")+(Inputs!$G$5:$G$120="acoes"))*Inputs!$B$1+((Inputs!$G$5:$G$120&lt;&gt;"moeda")*(Inputs!$G$5:$G$120&lt;&gt;"acoes")))*INDEX(Inputs!$K$5:$AJ$120,0,MATCH(G$2,Inputs!$K$4:$AJ$4,0)))+SUMPRODUCT((Inputs!$C$5:$C$120=$B32)*Inputs!$D$5:$D$120*(((Inputs!$G$5:$G$120="moeda")+(Inputs!$G$5:$G$120="acoes"))*Inputs!$B$1+((Inputs!$G$5:$G$120&lt;&gt;"moeda")*(Inputs!$G$5:$G$120&lt;&gt;"acoes")))*INDEX(Inputs!$K$5:$AJ$120,0,MATCH(G$2,Inputs!$K$4:$AJ$4,0)))+SUMPRODUCT((Inputs!$E$5:$E$120=$B32)*Inputs!$F$5:$F$120*(((Inputs!$G$5:$G$120="moeda")+(Inputs!$G$5:$G$120="acoes"))*Inputs!$B$1+((Inputs!$G$5:$G$120&lt;&gt;"moeda")*(Inputs!$G$5:$G$120&lt;&gt;"acoes")))*INDEX(Inputs!$K$5:$AJ$120,0,MATCH(G$2,Inputs!$K$4:$AJ$4,0)))))</f>
        <v>0</v>
      </c>
      <c r="H32" s="3">
        <f>G32</f>
        <v>0</v>
      </c>
      <c r="I32" s="6">
        <f>IF(ISNA(MATCH(I$2,Inputs!$K$4:$AJ$4,0)),NA(),IF(SUMPRODUCT((Inputs!$A$5:$A$120=$B32)*ISNUMBER(INDEX(Inputs!$K$5:$AJ$120,0,MATCH(I$2,Inputs!$K$4:$AJ$4,0))))+SUMPRODUCT((Inputs!$C$5:$C$120=$B32)*ISNUMBER(INDEX(Inputs!$K$5:$AJ$120,0,MATCH(I$2,Inputs!$K$4:$AJ$4,0))))+SUMPRODUCT((Inputs!$E$5:$E$120=$B32)*ISNUMBER(INDEX(Inputs!$K$5:$AJ$120,0,MATCH(I$2,Inputs!$K$4:$AJ$4,0))))=0,NA(),SUMPRODUCT((Inputs!$A$5:$A$120=$B32)*Inputs!$B$5:$B$120*(((Inputs!$G$5:$G$120="moeda")+(Inputs!$G$5:$G$120="acoes"))*Inputs!$B$1+((Inputs!$G$5:$G$120&lt;&gt;"moeda")*(Inputs!$G$5:$G$120&lt;&gt;"acoes")))*INDEX(Inputs!$K$5:$AJ$120,0,MATCH(I$2,Inputs!$K$4:$AJ$4,0)))+SUMPRODUCT((Inputs!$C$5:$C$120=$B32)*Inputs!$D$5:$D$120*(((Inputs!$G$5:$G$120="moeda")+(Inputs!$G$5:$G$120="acoes"))*Inputs!$B$1+((Inputs!$G$5:$G$120&lt;&gt;"moeda")*(Inputs!$G$5:$G$120&lt;&gt;"acoes")))*INDEX(Inputs!$K$5:$AJ$120,0,MATCH(I$2,Inputs!$K$4:$AJ$4,0)))+SUMPRODUCT((Inputs!$E$5:$E$120=$B32)*Inputs!$F$5:$F$120*(((Inputs!$G$5:$G$120="moeda")+(Inputs!$G$5:$G$120="acoes"))*Inputs!$B$1+((Inputs!$G$5:$G$120&lt;&gt;"moeda")*(Inputs!$G$5:$G$120&lt;&gt;"acoes")))*INDEX(Inputs!$K$5:$AJ$120,0,MATCH(I$2,Inputs!$K$4:$AJ$4,0)))))</f>
        <v>0</v>
      </c>
      <c r="J32" s="6">
        <f>IF(ISNA(MATCH(J$2,Inputs!$K$4:$AJ$4,0)),NA(),IF(SUMPRODUCT((Inputs!$A$5:$A$120=$B32)*ISNUMBER(INDEX(Inputs!$K$5:$AJ$120,0,MATCH(J$2,Inputs!$K$4:$AJ$4,0))))+SUMPRODUCT((Inputs!$C$5:$C$120=$B32)*ISNUMBER(INDEX(Inputs!$K$5:$AJ$120,0,MATCH(J$2,Inputs!$K$4:$AJ$4,0))))+SUMPRODUCT((Inputs!$E$5:$E$120=$B32)*ISNUMBER(INDEX(Inputs!$K$5:$AJ$120,0,MATCH(J$2,Inputs!$K$4:$AJ$4,0))))=0,NA(),SUMPRODUCT((Inputs!$A$5:$A$120=$B32)*Inputs!$B$5:$B$120*(((Inputs!$G$5:$G$120="moeda")+(Inputs!$G$5:$G$120="acoes"))*Inputs!$B$1+((Inputs!$G$5:$G$120&lt;&gt;"moeda")*(Inputs!$G$5:$G$120&lt;&gt;"acoes")))*INDEX(Inputs!$K$5:$AJ$120,0,MATCH(J$2,Inputs!$K$4:$AJ$4,0)))+SUMPRODUCT((Inputs!$C$5:$C$120=$B32)*Inputs!$D$5:$D$120*(((Inputs!$G$5:$G$120="moeda")+(Inputs!$G$5:$G$120="acoes"))*Inputs!$B$1+((Inputs!$G$5:$G$120&lt;&gt;"moeda")*(Inputs!$G$5:$G$120&lt;&gt;"acoes")))*INDEX(Inputs!$K$5:$AJ$120,0,MATCH(J$2,Inputs!$K$4:$AJ$4,0)))+SUMPRODUCT((Inputs!$E$5:$E$120=$B32)*Inputs!$F$5:$F$120*(((Inputs!$G$5:$G$120="moeda")+(Inputs!$G$5:$G$120="acoes"))*Inputs!$B$1+((Inputs!$G$5:$G$120&lt;&gt;"moeda")*(Inputs!$G$5:$G$120&lt;&gt;"acoes")))*INDEX(Inputs!$K$5:$AJ$120,0,MATCH(J$2,Inputs!$K$4:$AJ$4,0)))))</f>
        <v>0</v>
      </c>
      <c r="K32" s="6">
        <f>IF(ISNA(MATCH(K$2,Inputs!$K$4:$AJ$4,0)),NA(),IF(SUMPRODUCT((Inputs!$A$5:$A$120=$B32)*ISNUMBER(INDEX(Inputs!$K$5:$AJ$120,0,MATCH(K$2,Inputs!$K$4:$AJ$4,0))))+SUMPRODUCT((Inputs!$C$5:$C$120=$B32)*ISNUMBER(INDEX(Inputs!$K$5:$AJ$120,0,MATCH(K$2,Inputs!$K$4:$AJ$4,0))))+SUMPRODUCT((Inputs!$E$5:$E$120=$B32)*ISNUMBER(INDEX(Inputs!$K$5:$AJ$120,0,MATCH(K$2,Inputs!$K$4:$AJ$4,0))))=0,NA(),SUMPRODUCT((Inputs!$A$5:$A$120=$B32)*Inputs!$B$5:$B$120*(((Inputs!$G$5:$G$120="moeda")+(Inputs!$G$5:$G$120="acoes"))*Inputs!$B$1+((Inputs!$G$5:$G$120&lt;&gt;"moeda")*(Inputs!$G$5:$G$120&lt;&gt;"acoes")))*INDEX(Inputs!$K$5:$AJ$120,0,MATCH(K$2,Inputs!$K$4:$AJ$4,0)))+SUMPRODUCT((Inputs!$C$5:$C$120=$B32)*Inputs!$D$5:$D$120*(((Inputs!$G$5:$G$120="moeda")+(Inputs!$G$5:$G$120="acoes"))*Inputs!$B$1+((Inputs!$G$5:$G$120&lt;&gt;"moeda")*(Inputs!$G$5:$G$120&lt;&gt;"acoes")))*INDEX(Inputs!$K$5:$AJ$120,0,MATCH(K$2,Inputs!$K$4:$AJ$4,0)))+SUMPRODUCT((Inputs!$E$5:$E$120=$B32)*Inputs!$F$5:$F$120*(((Inputs!$G$5:$G$120="moeda")+(Inputs!$G$5:$G$120="acoes"))*Inputs!$B$1+((Inputs!$G$5:$G$120&lt;&gt;"moeda")*(Inputs!$G$5:$G$120&lt;&gt;"acoes")))*INDEX(Inputs!$K$5:$AJ$120,0,MATCH(K$2,Inputs!$K$4:$AJ$4,0)))))</f>
        <v>0</v>
      </c>
      <c r="L32" s="6">
        <f>IF(ISNA(MATCH(L$2,Inputs!$K$4:$AJ$4,0)),NA(),IF(SUMPRODUCT((Inputs!$A$5:$A$120=$B32)*ISNUMBER(INDEX(Inputs!$K$5:$AJ$120,0,MATCH(L$2,Inputs!$K$4:$AJ$4,0))))+SUMPRODUCT((Inputs!$C$5:$C$120=$B32)*ISNUMBER(INDEX(Inputs!$K$5:$AJ$120,0,MATCH(L$2,Inputs!$K$4:$AJ$4,0))))+SUMPRODUCT((Inputs!$E$5:$E$120=$B32)*ISNUMBER(INDEX(Inputs!$K$5:$AJ$120,0,MATCH(L$2,Inputs!$K$4:$AJ$4,0))))=0,NA(),SUMPRODUCT((Inputs!$A$5:$A$120=$B32)*Inputs!$B$5:$B$120*(((Inputs!$G$5:$G$120="moeda")+(Inputs!$G$5:$G$120="acoes"))*Inputs!$B$1+((Inputs!$G$5:$G$120&lt;&gt;"moeda")*(Inputs!$G$5:$G$120&lt;&gt;"acoes")))*INDEX(Inputs!$K$5:$AJ$120,0,MATCH(L$2,Inputs!$K$4:$AJ$4,0)))+SUMPRODUCT((Inputs!$C$5:$C$120=$B32)*Inputs!$D$5:$D$120*(((Inputs!$G$5:$G$120="moeda")+(Inputs!$G$5:$G$120="acoes"))*Inputs!$B$1+((Inputs!$G$5:$G$120&lt;&gt;"moeda")*(Inputs!$G$5:$G$120&lt;&gt;"acoes")))*INDEX(Inputs!$K$5:$AJ$120,0,MATCH(L$2,Inputs!$K$4:$AJ$4,0)))+SUMPRODUCT((Inputs!$E$5:$E$120=$B32)*Inputs!$F$5:$F$120*(((Inputs!$G$5:$G$120="moeda")+(Inputs!$G$5:$G$120="acoes"))*Inputs!$B$1+((Inputs!$G$5:$G$120&lt;&gt;"moeda")*(Inputs!$G$5:$G$120&lt;&gt;"acoes")))*INDEX(Inputs!$K$5:$AJ$120,0,MATCH(L$2,Inputs!$K$4:$AJ$4,0)))))</f>
        <v>0</v>
      </c>
      <c r="M32" s="3">
        <f>L32</f>
        <v>0</v>
      </c>
      <c r="N32" s="6">
        <f>IF(ISNA(MATCH(N$2,Inputs!$K$4:$AJ$4,0)),NA(),IF(SUMPRODUCT((Inputs!$A$5:$A$120=$B32)*ISNUMBER(INDEX(Inputs!$K$5:$AJ$120,0,MATCH(N$2,Inputs!$K$4:$AJ$4,0))))+SUMPRODUCT((Inputs!$C$5:$C$120=$B32)*ISNUMBER(INDEX(Inputs!$K$5:$AJ$120,0,MATCH(N$2,Inputs!$K$4:$AJ$4,0))))+SUMPRODUCT((Inputs!$E$5:$E$120=$B32)*ISNUMBER(INDEX(Inputs!$K$5:$AJ$120,0,MATCH(N$2,Inputs!$K$4:$AJ$4,0))))=0,NA(),SUMPRODUCT((Inputs!$A$5:$A$120=$B32)*Inputs!$B$5:$B$120*(((Inputs!$G$5:$G$120="moeda")+(Inputs!$G$5:$G$120="acoes"))*Inputs!$B$1+((Inputs!$G$5:$G$120&lt;&gt;"moeda")*(Inputs!$G$5:$G$120&lt;&gt;"acoes")))*INDEX(Inputs!$K$5:$AJ$120,0,MATCH(N$2,Inputs!$K$4:$AJ$4,0)))+SUMPRODUCT((Inputs!$C$5:$C$120=$B32)*Inputs!$D$5:$D$120*(((Inputs!$G$5:$G$120="moeda")+(Inputs!$G$5:$G$120="acoes"))*Inputs!$B$1+((Inputs!$G$5:$G$120&lt;&gt;"moeda")*(Inputs!$G$5:$G$120&lt;&gt;"acoes")))*INDEX(Inputs!$K$5:$AJ$120,0,MATCH(N$2,Inputs!$K$4:$AJ$4,0)))+SUMPRODUCT((Inputs!$E$5:$E$120=$B32)*Inputs!$F$5:$F$120*(((Inputs!$G$5:$G$120="moeda")+(Inputs!$G$5:$G$120="acoes"))*Inputs!$B$1+((Inputs!$G$5:$G$120&lt;&gt;"moeda")*(Inputs!$G$5:$G$120&lt;&gt;"acoes")))*INDEX(Inputs!$K$5:$AJ$120,0,MATCH(N$2,Inputs!$K$4:$AJ$4,0)))))</f>
        <v>0</v>
      </c>
      <c r="O32" s="6">
        <f>IF(ISNA(MATCH(O$2,Inputs!$K$4:$AJ$4,0)),NA(),IF(SUMPRODUCT((Inputs!$A$5:$A$120=$B32)*ISNUMBER(INDEX(Inputs!$K$5:$AJ$120,0,MATCH(O$2,Inputs!$K$4:$AJ$4,0))))+SUMPRODUCT((Inputs!$C$5:$C$120=$B32)*ISNUMBER(INDEX(Inputs!$K$5:$AJ$120,0,MATCH(O$2,Inputs!$K$4:$AJ$4,0))))+SUMPRODUCT((Inputs!$E$5:$E$120=$B32)*ISNUMBER(INDEX(Inputs!$K$5:$AJ$120,0,MATCH(O$2,Inputs!$K$4:$AJ$4,0))))=0,NA(),SUMPRODUCT((Inputs!$A$5:$A$120=$B32)*Inputs!$B$5:$B$120*(((Inputs!$G$5:$G$120="moeda")+(Inputs!$G$5:$G$120="acoes"))*Inputs!$B$1+((Inputs!$G$5:$G$120&lt;&gt;"moeda")*(Inputs!$G$5:$G$120&lt;&gt;"acoes")))*INDEX(Inputs!$K$5:$AJ$120,0,MATCH(O$2,Inputs!$K$4:$AJ$4,0)))+SUMPRODUCT((Inputs!$C$5:$C$120=$B32)*Inputs!$D$5:$D$120*(((Inputs!$G$5:$G$120="moeda")+(Inputs!$G$5:$G$120="acoes"))*Inputs!$B$1+((Inputs!$G$5:$G$120&lt;&gt;"moeda")*(Inputs!$G$5:$G$120&lt;&gt;"acoes")))*INDEX(Inputs!$K$5:$AJ$120,0,MATCH(O$2,Inputs!$K$4:$AJ$4,0)))+SUMPRODUCT((Inputs!$E$5:$E$120=$B32)*Inputs!$F$5:$F$120*(((Inputs!$G$5:$G$120="moeda")+(Inputs!$G$5:$G$120="acoes"))*Inputs!$B$1+((Inputs!$G$5:$G$120&lt;&gt;"moeda")*(Inputs!$G$5:$G$120&lt;&gt;"acoes")))*INDEX(Inputs!$K$5:$AJ$120,0,MATCH(O$2,Inputs!$K$4:$AJ$4,0)))))</f>
        <v>0</v>
      </c>
      <c r="P32" s="6">
        <f>IF(ISNA(MATCH(P$2,Inputs!$K$4:$AJ$4,0)),NA(),IF(SUMPRODUCT((Inputs!$A$5:$A$120=$B32)*ISNUMBER(INDEX(Inputs!$K$5:$AJ$120,0,MATCH(P$2,Inputs!$K$4:$AJ$4,0))))+SUMPRODUCT((Inputs!$C$5:$C$120=$B32)*ISNUMBER(INDEX(Inputs!$K$5:$AJ$120,0,MATCH(P$2,Inputs!$K$4:$AJ$4,0))))+SUMPRODUCT((Inputs!$E$5:$E$120=$B32)*ISNUMBER(INDEX(Inputs!$K$5:$AJ$120,0,MATCH(P$2,Inputs!$K$4:$AJ$4,0))))=0,NA(),SUMPRODUCT((Inputs!$A$5:$A$120=$B32)*Inputs!$B$5:$B$120*(((Inputs!$G$5:$G$120="moeda")+(Inputs!$G$5:$G$120="acoes"))*Inputs!$B$1+((Inputs!$G$5:$G$120&lt;&gt;"moeda")*(Inputs!$G$5:$G$120&lt;&gt;"acoes")))*INDEX(Inputs!$K$5:$AJ$120,0,MATCH(P$2,Inputs!$K$4:$AJ$4,0)))+SUMPRODUCT((Inputs!$C$5:$C$120=$B32)*Inputs!$D$5:$D$120*(((Inputs!$G$5:$G$120="moeda")+(Inputs!$G$5:$G$120="acoes"))*Inputs!$B$1+((Inputs!$G$5:$G$120&lt;&gt;"moeda")*(Inputs!$G$5:$G$120&lt;&gt;"acoes")))*INDEX(Inputs!$K$5:$AJ$120,0,MATCH(P$2,Inputs!$K$4:$AJ$4,0)))+SUMPRODUCT((Inputs!$E$5:$E$120=$B32)*Inputs!$F$5:$F$120*(((Inputs!$G$5:$G$120="moeda")+(Inputs!$G$5:$G$120="acoes"))*Inputs!$B$1+((Inputs!$G$5:$G$120&lt;&gt;"moeda")*(Inputs!$G$5:$G$120&lt;&gt;"acoes")))*INDEX(Inputs!$K$5:$AJ$120,0,MATCH(P$2,Inputs!$K$4:$AJ$4,0)))))</f>
        <v>0</v>
      </c>
      <c r="Q32" s="6">
        <f>IF(ISNA(MATCH(Q$2,Inputs!$K$4:$AJ$4,0)),NA(),IF(SUMPRODUCT((Inputs!$A$5:$A$120=$B32)*ISNUMBER(INDEX(Inputs!$K$5:$AJ$120,0,MATCH(Q$2,Inputs!$K$4:$AJ$4,0))))+SUMPRODUCT((Inputs!$C$5:$C$120=$B32)*ISNUMBER(INDEX(Inputs!$K$5:$AJ$120,0,MATCH(Q$2,Inputs!$K$4:$AJ$4,0))))+SUMPRODUCT((Inputs!$E$5:$E$120=$B32)*ISNUMBER(INDEX(Inputs!$K$5:$AJ$120,0,MATCH(Q$2,Inputs!$K$4:$AJ$4,0))))=0,NA(),SUMPRODUCT((Inputs!$A$5:$A$120=$B32)*Inputs!$B$5:$B$120*(((Inputs!$G$5:$G$120="moeda")+(Inputs!$G$5:$G$120="acoes"))*Inputs!$B$1+((Inputs!$G$5:$G$120&lt;&gt;"moeda")*(Inputs!$G$5:$G$120&lt;&gt;"acoes")))*INDEX(Inputs!$K$5:$AJ$120,0,MATCH(Q$2,Inputs!$K$4:$AJ$4,0)))+SUMPRODUCT((Inputs!$C$5:$C$120=$B32)*Inputs!$D$5:$D$120*(((Inputs!$G$5:$G$120="moeda")+(Inputs!$G$5:$G$120="acoes"))*Inputs!$B$1+((Inputs!$G$5:$G$120&lt;&gt;"moeda")*(Inputs!$G$5:$G$120&lt;&gt;"acoes")))*INDEX(Inputs!$K$5:$AJ$120,0,MATCH(Q$2,Inputs!$K$4:$AJ$4,0)))+SUMPRODUCT((Inputs!$E$5:$E$120=$B32)*Inputs!$F$5:$F$120*(((Inputs!$G$5:$G$120="moeda")+(Inputs!$G$5:$G$120="acoes"))*Inputs!$B$1+((Inputs!$G$5:$G$120&lt;&gt;"moeda")*(Inputs!$G$5:$G$120&lt;&gt;"acoes")))*INDEX(Inputs!$K$5:$AJ$120,0,MATCH(Q$2,Inputs!$K$4:$AJ$4,0)))))</f>
        <v>0</v>
      </c>
      <c r="R32" s="3">
        <f>Q32</f>
        <v>0</v>
      </c>
      <c r="S32" s="6">
        <f>IF(ISNA(MATCH(S$2,Inputs!$K$4:$AJ$4,0)),NA(),IF(SUMPRODUCT((Inputs!$A$5:$A$120=$B32)*ISNUMBER(INDEX(Inputs!$K$5:$AJ$120,0,MATCH(S$2,Inputs!$K$4:$AJ$4,0))))+SUMPRODUCT((Inputs!$C$5:$C$120=$B32)*ISNUMBER(INDEX(Inputs!$K$5:$AJ$120,0,MATCH(S$2,Inputs!$K$4:$AJ$4,0))))+SUMPRODUCT((Inputs!$E$5:$E$120=$B32)*ISNUMBER(INDEX(Inputs!$K$5:$AJ$120,0,MATCH(S$2,Inputs!$K$4:$AJ$4,0))))=0,NA(),SUMPRODUCT((Inputs!$A$5:$A$120=$B32)*Inputs!$B$5:$B$120*(((Inputs!$G$5:$G$120="moeda")+(Inputs!$G$5:$G$120="acoes"))*Inputs!$B$1+((Inputs!$G$5:$G$120&lt;&gt;"moeda")*(Inputs!$G$5:$G$120&lt;&gt;"acoes")))*INDEX(Inputs!$K$5:$AJ$120,0,MATCH(S$2,Inputs!$K$4:$AJ$4,0)))+SUMPRODUCT((Inputs!$C$5:$C$120=$B32)*Inputs!$D$5:$D$120*(((Inputs!$G$5:$G$120="moeda")+(Inputs!$G$5:$G$120="acoes"))*Inputs!$B$1+((Inputs!$G$5:$G$120&lt;&gt;"moeda")*(Inputs!$G$5:$G$120&lt;&gt;"acoes")))*INDEX(Inputs!$K$5:$AJ$120,0,MATCH(S$2,Inputs!$K$4:$AJ$4,0)))+SUMPRODUCT((Inputs!$E$5:$E$120=$B32)*Inputs!$F$5:$F$120*(((Inputs!$G$5:$G$120="moeda")+(Inputs!$G$5:$G$120="acoes"))*Inputs!$B$1+((Inputs!$G$5:$G$120&lt;&gt;"moeda")*(Inputs!$G$5:$G$120&lt;&gt;"acoes")))*INDEX(Inputs!$K$5:$AJ$120,0,MATCH(S$2,Inputs!$K$4:$AJ$4,0)))))</f>
        <v>0</v>
      </c>
      <c r="T32" s="6">
        <f>IF(ISNA(MATCH(T$2,Inputs!$K$4:$AJ$4,0)),NA(),IF(SUMPRODUCT((Inputs!$A$5:$A$120=$B32)*ISNUMBER(INDEX(Inputs!$K$5:$AJ$120,0,MATCH(T$2,Inputs!$K$4:$AJ$4,0))))+SUMPRODUCT((Inputs!$C$5:$C$120=$B32)*ISNUMBER(INDEX(Inputs!$K$5:$AJ$120,0,MATCH(T$2,Inputs!$K$4:$AJ$4,0))))+SUMPRODUCT((Inputs!$E$5:$E$120=$B32)*ISNUMBER(INDEX(Inputs!$K$5:$AJ$120,0,MATCH(T$2,Inputs!$K$4:$AJ$4,0))))=0,NA(),SUMPRODUCT((Inputs!$A$5:$A$120=$B32)*Inputs!$B$5:$B$120*(((Inputs!$G$5:$G$120="moeda")+(Inputs!$G$5:$G$120="acoes"))*Inputs!$B$1+((Inputs!$G$5:$G$120&lt;&gt;"moeda")*(Inputs!$G$5:$G$120&lt;&gt;"acoes")))*INDEX(Inputs!$K$5:$AJ$120,0,MATCH(T$2,Inputs!$K$4:$AJ$4,0)))+SUMPRODUCT((Inputs!$C$5:$C$120=$B32)*Inputs!$D$5:$D$120*(((Inputs!$G$5:$G$120="moeda")+(Inputs!$G$5:$G$120="acoes"))*Inputs!$B$1+((Inputs!$G$5:$G$120&lt;&gt;"moeda")*(Inputs!$G$5:$G$120&lt;&gt;"acoes")))*INDEX(Inputs!$K$5:$AJ$120,0,MATCH(T$2,Inputs!$K$4:$AJ$4,0)))+SUMPRODUCT((Inputs!$E$5:$E$120=$B32)*Inputs!$F$5:$F$120*(((Inputs!$G$5:$G$120="moeda")+(Inputs!$G$5:$G$120="acoes"))*Inputs!$B$1+((Inputs!$G$5:$G$120&lt;&gt;"moeda")*(Inputs!$G$5:$G$120&lt;&gt;"acoes")))*INDEX(Inputs!$K$5:$AJ$120,0,MATCH(T$2,Inputs!$K$4:$AJ$4,0)))))</f>
        <v>0</v>
      </c>
      <c r="U32" s="6">
        <f>IF(ISNA(MATCH(U$2,Inputs!$K$4:$AJ$4,0)),NA(),IF(SUMPRODUCT((Inputs!$A$5:$A$120=$B32)*ISNUMBER(INDEX(Inputs!$K$5:$AJ$120,0,MATCH(U$2,Inputs!$K$4:$AJ$4,0))))+SUMPRODUCT((Inputs!$C$5:$C$120=$B32)*ISNUMBER(INDEX(Inputs!$K$5:$AJ$120,0,MATCH(U$2,Inputs!$K$4:$AJ$4,0))))+SUMPRODUCT((Inputs!$E$5:$E$120=$B32)*ISNUMBER(INDEX(Inputs!$K$5:$AJ$120,0,MATCH(U$2,Inputs!$K$4:$AJ$4,0))))=0,NA(),SUMPRODUCT((Inputs!$A$5:$A$120=$B32)*Inputs!$B$5:$B$120*(((Inputs!$G$5:$G$120="moeda")+(Inputs!$G$5:$G$120="acoes"))*Inputs!$B$1+((Inputs!$G$5:$G$120&lt;&gt;"moeda")*(Inputs!$G$5:$G$120&lt;&gt;"acoes")))*INDEX(Inputs!$K$5:$AJ$120,0,MATCH(U$2,Inputs!$K$4:$AJ$4,0)))+SUMPRODUCT((Inputs!$C$5:$C$120=$B32)*Inputs!$D$5:$D$120*(((Inputs!$G$5:$G$120="moeda")+(Inputs!$G$5:$G$120="acoes"))*Inputs!$B$1+((Inputs!$G$5:$G$120&lt;&gt;"moeda")*(Inputs!$G$5:$G$120&lt;&gt;"acoes")))*INDEX(Inputs!$K$5:$AJ$120,0,MATCH(U$2,Inputs!$K$4:$AJ$4,0)))+SUMPRODUCT((Inputs!$E$5:$E$120=$B32)*Inputs!$F$5:$F$120*(((Inputs!$G$5:$G$120="moeda")+(Inputs!$G$5:$G$120="acoes"))*Inputs!$B$1+((Inputs!$G$5:$G$120&lt;&gt;"moeda")*(Inputs!$G$5:$G$120&lt;&gt;"acoes")))*INDEX(Inputs!$K$5:$AJ$120,0,MATCH(U$2,Inputs!$K$4:$AJ$4,0)))))</f>
        <v>0</v>
      </c>
      <c r="V32" s="6">
        <f>IF(ISNA(MATCH(V$2,Inputs!$K$4:$AJ$4,0)),NA(),IF(SUMPRODUCT((Inputs!$A$5:$A$120=$B32)*ISNUMBER(INDEX(Inputs!$K$5:$AJ$120,0,MATCH(V$2,Inputs!$K$4:$AJ$4,0))))+SUMPRODUCT((Inputs!$C$5:$C$120=$B32)*ISNUMBER(INDEX(Inputs!$K$5:$AJ$120,0,MATCH(V$2,Inputs!$K$4:$AJ$4,0))))+SUMPRODUCT((Inputs!$E$5:$E$120=$B32)*ISNUMBER(INDEX(Inputs!$K$5:$AJ$120,0,MATCH(V$2,Inputs!$K$4:$AJ$4,0))))=0,NA(),SUMPRODUCT((Inputs!$A$5:$A$120=$B32)*Inputs!$B$5:$B$120*(((Inputs!$G$5:$G$120="moeda")+(Inputs!$G$5:$G$120="acoes"))*Inputs!$B$1+((Inputs!$G$5:$G$120&lt;&gt;"moeda")*(Inputs!$G$5:$G$120&lt;&gt;"acoes")))*INDEX(Inputs!$K$5:$AJ$120,0,MATCH(V$2,Inputs!$K$4:$AJ$4,0)))+SUMPRODUCT((Inputs!$C$5:$C$120=$B32)*Inputs!$D$5:$D$120*(((Inputs!$G$5:$G$120="moeda")+(Inputs!$G$5:$G$120="acoes"))*Inputs!$B$1+((Inputs!$G$5:$G$120&lt;&gt;"moeda")*(Inputs!$G$5:$G$120&lt;&gt;"acoes")))*INDEX(Inputs!$K$5:$AJ$120,0,MATCH(V$2,Inputs!$K$4:$AJ$4,0)))+SUMPRODUCT((Inputs!$E$5:$E$120=$B32)*Inputs!$F$5:$F$120*(((Inputs!$G$5:$G$120="moeda")+(Inputs!$G$5:$G$120="acoes"))*Inputs!$B$1+((Inputs!$G$5:$G$120&lt;&gt;"moeda")*(Inputs!$G$5:$G$120&lt;&gt;"acoes")))*INDEX(Inputs!$K$5:$AJ$120,0,MATCH(V$2,Inputs!$K$4:$AJ$4,0)))))</f>
        <v>0</v>
      </c>
      <c r="W32" s="3">
        <f>V32</f>
        <v>0</v>
      </c>
      <c r="X32" s="6">
        <f>IF(ISNA(MATCH(X$2,Inputs!$K$4:$AJ$4,0)),NA(),IF(SUMPRODUCT((Inputs!$A$5:$A$120=$B32)*ISNUMBER(INDEX(Inputs!$K$5:$AJ$120,0,MATCH(X$2,Inputs!$K$4:$AJ$4,0))))+SUMPRODUCT((Inputs!$C$5:$C$120=$B32)*ISNUMBER(INDEX(Inputs!$K$5:$AJ$120,0,MATCH(X$2,Inputs!$K$4:$AJ$4,0))))+SUMPRODUCT((Inputs!$E$5:$E$120=$B32)*ISNUMBER(INDEX(Inputs!$K$5:$AJ$120,0,MATCH(X$2,Inputs!$K$4:$AJ$4,0))))=0,NA(),SUMPRODUCT((Inputs!$A$5:$A$120=$B32)*Inputs!$B$5:$B$120*(((Inputs!$G$5:$G$120="moeda")+(Inputs!$G$5:$G$120="acoes"))*Inputs!$B$1+((Inputs!$G$5:$G$120&lt;&gt;"moeda")*(Inputs!$G$5:$G$120&lt;&gt;"acoes")))*INDEX(Inputs!$K$5:$AJ$120,0,MATCH(X$2,Inputs!$K$4:$AJ$4,0)))+SUMPRODUCT((Inputs!$C$5:$C$120=$B32)*Inputs!$D$5:$D$120*(((Inputs!$G$5:$G$120="moeda")+(Inputs!$G$5:$G$120="acoes"))*Inputs!$B$1+((Inputs!$G$5:$G$120&lt;&gt;"moeda")*(Inputs!$G$5:$G$120&lt;&gt;"acoes")))*INDEX(Inputs!$K$5:$AJ$120,0,MATCH(X$2,Inputs!$K$4:$AJ$4,0)))+SUMPRODUCT((Inputs!$E$5:$E$120=$B32)*Inputs!$F$5:$F$120*(((Inputs!$G$5:$G$120="moeda")+(Inputs!$G$5:$G$120="acoes"))*Inputs!$B$1+((Inputs!$G$5:$G$120&lt;&gt;"moeda")*(Inputs!$G$5:$G$120&lt;&gt;"acoes")))*INDEX(Inputs!$K$5:$AJ$120,0,MATCH(X$2,Inputs!$K$4:$AJ$4,0)))))</f>
        <v>0</v>
      </c>
      <c r="Y32" s="6">
        <f>IF(ISNA(MATCH(Y$2,Inputs!$K$4:$AJ$4,0)),NA(),IF(SUMPRODUCT((Inputs!$A$5:$A$120=$B32)*ISNUMBER(INDEX(Inputs!$K$5:$AJ$120,0,MATCH(Y$2,Inputs!$K$4:$AJ$4,0))))+SUMPRODUCT((Inputs!$C$5:$C$120=$B32)*ISNUMBER(INDEX(Inputs!$K$5:$AJ$120,0,MATCH(Y$2,Inputs!$K$4:$AJ$4,0))))+SUMPRODUCT((Inputs!$E$5:$E$120=$B32)*ISNUMBER(INDEX(Inputs!$K$5:$AJ$120,0,MATCH(Y$2,Inputs!$K$4:$AJ$4,0))))=0,NA(),SUMPRODUCT((Inputs!$A$5:$A$120=$B32)*Inputs!$B$5:$B$120*(((Inputs!$G$5:$G$120="moeda")+(Inputs!$G$5:$G$120="acoes"))*Inputs!$B$1+((Inputs!$G$5:$G$120&lt;&gt;"moeda")*(Inputs!$G$5:$G$120&lt;&gt;"acoes")))*INDEX(Inputs!$K$5:$AJ$120,0,MATCH(Y$2,Inputs!$K$4:$AJ$4,0)))+SUMPRODUCT((Inputs!$C$5:$C$120=$B32)*Inputs!$D$5:$D$120*(((Inputs!$G$5:$G$120="moeda")+(Inputs!$G$5:$G$120="acoes"))*Inputs!$B$1+((Inputs!$G$5:$G$120&lt;&gt;"moeda")*(Inputs!$G$5:$G$120&lt;&gt;"acoes")))*INDEX(Inputs!$K$5:$AJ$120,0,MATCH(Y$2,Inputs!$K$4:$AJ$4,0)))+SUMPRODUCT((Inputs!$E$5:$E$120=$B32)*Inputs!$F$5:$F$120*(((Inputs!$G$5:$G$120="moeda")+(Inputs!$G$5:$G$120="acoes"))*Inputs!$B$1+((Inputs!$G$5:$G$120&lt;&gt;"moeda")*(Inputs!$G$5:$G$120&lt;&gt;"acoes")))*INDEX(Inputs!$K$5:$AJ$120,0,MATCH(Y$2,Inputs!$K$4:$AJ$4,0)))))</f>
        <v>0</v>
      </c>
      <c r="Z32" s="6">
        <f>IF(ISNA(MATCH(Z$2,Inputs!$K$4:$AJ$4,0)),NA(),IF(SUMPRODUCT((Inputs!$A$5:$A$120=$B32)*ISNUMBER(INDEX(Inputs!$K$5:$AJ$120,0,MATCH(Z$2,Inputs!$K$4:$AJ$4,0))))+SUMPRODUCT((Inputs!$C$5:$C$120=$B32)*ISNUMBER(INDEX(Inputs!$K$5:$AJ$120,0,MATCH(Z$2,Inputs!$K$4:$AJ$4,0))))+SUMPRODUCT((Inputs!$E$5:$E$120=$B32)*ISNUMBER(INDEX(Inputs!$K$5:$AJ$120,0,MATCH(Z$2,Inputs!$K$4:$AJ$4,0))))=0,NA(),SUMPRODUCT((Inputs!$A$5:$A$120=$B32)*Inputs!$B$5:$B$120*(((Inputs!$G$5:$G$120="moeda")+(Inputs!$G$5:$G$120="acoes"))*Inputs!$B$1+((Inputs!$G$5:$G$120&lt;&gt;"moeda")*(Inputs!$G$5:$G$120&lt;&gt;"acoes")))*INDEX(Inputs!$K$5:$AJ$120,0,MATCH(Z$2,Inputs!$K$4:$AJ$4,0)))+SUMPRODUCT((Inputs!$C$5:$C$120=$B32)*Inputs!$D$5:$D$120*(((Inputs!$G$5:$G$120="moeda")+(Inputs!$G$5:$G$120="acoes"))*Inputs!$B$1+((Inputs!$G$5:$G$120&lt;&gt;"moeda")*(Inputs!$G$5:$G$120&lt;&gt;"acoes")))*INDEX(Inputs!$K$5:$AJ$120,0,MATCH(Z$2,Inputs!$K$4:$AJ$4,0)))+SUMPRODUCT((Inputs!$E$5:$E$120=$B32)*Inputs!$F$5:$F$120*(((Inputs!$G$5:$G$120="moeda")+(Inputs!$G$5:$G$120="acoes"))*Inputs!$B$1+((Inputs!$G$5:$G$120&lt;&gt;"moeda")*(Inputs!$G$5:$G$120&lt;&gt;"acoes")))*INDEX(Inputs!$K$5:$AJ$120,0,MATCH(Z$2,Inputs!$K$4:$AJ$4,0)))))</f>
        <v>0</v>
      </c>
      <c r="AA32" s="6">
        <f>IF(ISNA(MATCH(AA$2,Inputs!$K$4:$AJ$4,0)),NA(),IF(SUMPRODUCT((Inputs!$A$5:$A$120=$B32)*ISNUMBER(INDEX(Inputs!$K$5:$AJ$120,0,MATCH(AA$2,Inputs!$K$4:$AJ$4,0))))+SUMPRODUCT((Inputs!$C$5:$C$120=$B32)*ISNUMBER(INDEX(Inputs!$K$5:$AJ$120,0,MATCH(AA$2,Inputs!$K$4:$AJ$4,0))))+SUMPRODUCT((Inputs!$E$5:$E$120=$B32)*ISNUMBER(INDEX(Inputs!$K$5:$AJ$120,0,MATCH(AA$2,Inputs!$K$4:$AJ$4,0))))=0,NA(),SUMPRODUCT((Inputs!$A$5:$A$120=$B32)*Inputs!$B$5:$B$120*(((Inputs!$G$5:$G$120="moeda")+(Inputs!$G$5:$G$120="acoes"))*Inputs!$B$1+((Inputs!$G$5:$G$120&lt;&gt;"moeda")*(Inputs!$G$5:$G$120&lt;&gt;"acoes")))*INDEX(Inputs!$K$5:$AJ$120,0,MATCH(AA$2,Inputs!$K$4:$AJ$4,0)))+SUMPRODUCT((Inputs!$C$5:$C$120=$B32)*Inputs!$D$5:$D$120*(((Inputs!$G$5:$G$120="moeda")+(Inputs!$G$5:$G$120="acoes"))*Inputs!$B$1+((Inputs!$G$5:$G$120&lt;&gt;"moeda")*(Inputs!$G$5:$G$120&lt;&gt;"acoes")))*INDEX(Inputs!$K$5:$AJ$120,0,MATCH(AA$2,Inputs!$K$4:$AJ$4,0)))+SUMPRODUCT((Inputs!$E$5:$E$120=$B32)*Inputs!$F$5:$F$120*(((Inputs!$G$5:$G$120="moeda")+(Inputs!$G$5:$G$120="acoes"))*Inputs!$B$1+((Inputs!$G$5:$G$120&lt;&gt;"moeda")*(Inputs!$G$5:$G$120&lt;&gt;"acoes")))*INDEX(Inputs!$K$5:$AJ$120,0,MATCH(AA$2,Inputs!$K$4:$AJ$4,0)))))</f>
        <v>0</v>
      </c>
      <c r="AB32" s="3">
        <f>AA32</f>
        <v>0</v>
      </c>
      <c r="AC32" s="6">
        <f>IF(ISNA(MATCH(AC$2,Inputs!$K$4:$AJ$4,0)),NA(),IF(SUMPRODUCT((Inputs!$A$5:$A$120=$B32)*ISNUMBER(INDEX(Inputs!$K$5:$AJ$120,0,MATCH(AC$2,Inputs!$K$4:$AJ$4,0))))+SUMPRODUCT((Inputs!$C$5:$C$120=$B32)*ISNUMBER(INDEX(Inputs!$K$5:$AJ$120,0,MATCH(AC$2,Inputs!$K$4:$AJ$4,0))))+SUMPRODUCT((Inputs!$E$5:$E$120=$B32)*ISNUMBER(INDEX(Inputs!$K$5:$AJ$120,0,MATCH(AC$2,Inputs!$K$4:$AJ$4,0))))=0,NA(),SUMPRODUCT((Inputs!$A$5:$A$120=$B32)*Inputs!$B$5:$B$120*(((Inputs!$G$5:$G$120="moeda")+(Inputs!$G$5:$G$120="acoes"))*Inputs!$B$1+((Inputs!$G$5:$G$120&lt;&gt;"moeda")*(Inputs!$G$5:$G$120&lt;&gt;"acoes")))*INDEX(Inputs!$K$5:$AJ$120,0,MATCH(AC$2,Inputs!$K$4:$AJ$4,0)))+SUMPRODUCT((Inputs!$C$5:$C$120=$B32)*Inputs!$D$5:$D$120*(((Inputs!$G$5:$G$120="moeda")+(Inputs!$G$5:$G$120="acoes"))*Inputs!$B$1+((Inputs!$G$5:$G$120&lt;&gt;"moeda")*(Inputs!$G$5:$G$120&lt;&gt;"acoes")))*INDEX(Inputs!$K$5:$AJ$120,0,MATCH(AC$2,Inputs!$K$4:$AJ$4,0)))+SUMPRODUCT((Inputs!$E$5:$E$120=$B32)*Inputs!$F$5:$F$120*(((Inputs!$G$5:$G$120="moeda")+(Inputs!$G$5:$G$120="acoes"))*Inputs!$B$1+((Inputs!$G$5:$G$120&lt;&gt;"moeda")*(Inputs!$G$5:$G$120&lt;&gt;"acoes")))*INDEX(Inputs!$K$5:$AJ$120,0,MATCH(AC$2,Inputs!$K$4:$AJ$4,0)))))</f>
        <v>0</v>
      </c>
      <c r="AD32" s="6">
        <f>IF(ISNA(MATCH(AD$2,Inputs!$K$4:$AJ$4,0)),NA(),IF(SUMPRODUCT((Inputs!$A$5:$A$120=$B32)*ISNUMBER(INDEX(Inputs!$K$5:$AJ$120,0,MATCH(AD$2,Inputs!$K$4:$AJ$4,0))))+SUMPRODUCT((Inputs!$C$5:$C$120=$B32)*ISNUMBER(INDEX(Inputs!$K$5:$AJ$120,0,MATCH(AD$2,Inputs!$K$4:$AJ$4,0))))+SUMPRODUCT((Inputs!$E$5:$E$120=$B32)*ISNUMBER(INDEX(Inputs!$K$5:$AJ$120,0,MATCH(AD$2,Inputs!$K$4:$AJ$4,0))))=0,NA(),SUMPRODUCT((Inputs!$A$5:$A$120=$B32)*Inputs!$B$5:$B$120*(((Inputs!$G$5:$G$120="moeda")+(Inputs!$G$5:$G$120="acoes"))*Inputs!$B$1+((Inputs!$G$5:$G$120&lt;&gt;"moeda")*(Inputs!$G$5:$G$120&lt;&gt;"acoes")))*INDEX(Inputs!$K$5:$AJ$120,0,MATCH(AD$2,Inputs!$K$4:$AJ$4,0)))+SUMPRODUCT((Inputs!$C$5:$C$120=$B32)*Inputs!$D$5:$D$120*(((Inputs!$G$5:$G$120="moeda")+(Inputs!$G$5:$G$120="acoes"))*Inputs!$B$1+((Inputs!$G$5:$G$120&lt;&gt;"moeda")*(Inputs!$G$5:$G$120&lt;&gt;"acoes")))*INDEX(Inputs!$K$5:$AJ$120,0,MATCH(AD$2,Inputs!$K$4:$AJ$4,0)))+SUMPRODUCT((Inputs!$E$5:$E$120=$B32)*Inputs!$F$5:$F$120*(((Inputs!$G$5:$G$120="moeda")+(Inputs!$G$5:$G$120="acoes"))*Inputs!$B$1+((Inputs!$G$5:$G$120&lt;&gt;"moeda")*(Inputs!$G$5:$G$120&lt;&gt;"acoes")))*INDEX(Inputs!$K$5:$AJ$120,0,MATCH(AD$2,Inputs!$K$4:$AJ$4,0)))))</f>
        <v>0</v>
      </c>
      <c r="AE32" s="6" t="e">
        <f>IF(ISNA(MATCH(AE$2,Inputs!$K$4:$AJ$4,0)),NA(),IF(SUMPRODUCT((Inputs!$A$5:$A$120=$B32)*ISNUMBER(INDEX(Inputs!$K$5:$AJ$120,0,MATCH(AE$2,Inputs!$K$4:$AJ$4,0))))+SUMPRODUCT((Inputs!$C$5:$C$120=$B32)*ISNUMBER(INDEX(Inputs!$K$5:$AJ$120,0,MATCH(AE$2,Inputs!$K$4:$AJ$4,0))))+SUMPRODUCT((Inputs!$E$5:$E$120=$B32)*ISNUMBER(INDEX(Inputs!$K$5:$AJ$120,0,MATCH(AE$2,Inputs!$K$4:$AJ$4,0))))=0,NA(),SUMPRODUCT((Inputs!$A$5:$A$120=$B32)*Inputs!$B$5:$B$120*(((Inputs!$G$5:$G$120="moeda")+(Inputs!$G$5:$G$120="acoes"))*Inputs!$B$1+((Inputs!$G$5:$G$120&lt;&gt;"moeda")*(Inputs!$G$5:$G$120&lt;&gt;"acoes")))*INDEX(Inputs!$K$5:$AJ$120,0,MATCH(AE$2,Inputs!$K$4:$AJ$4,0)))+SUMPRODUCT((Inputs!$C$5:$C$120=$B32)*Inputs!$D$5:$D$120*(((Inputs!$G$5:$G$120="moeda")+(Inputs!$G$5:$G$120="acoes"))*Inputs!$B$1+((Inputs!$G$5:$G$120&lt;&gt;"moeda")*(Inputs!$G$5:$G$120&lt;&gt;"acoes")))*INDEX(Inputs!$K$5:$AJ$120,0,MATCH(AE$2,Inputs!$K$4:$AJ$4,0)))+SUMPRODUCT((Inputs!$E$5:$E$120=$B32)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32" s="6" t="e">
        <f>IF(ISNA(MATCH(AF$2,Inputs!$K$4:$AJ$4,0)),NA(),IF(SUMPRODUCT((Inputs!$A$5:$A$120=$B32)*ISNUMBER(INDEX(Inputs!$K$5:$AJ$120,0,MATCH(AF$2,Inputs!$K$4:$AJ$4,0))))+SUMPRODUCT((Inputs!$C$5:$C$120=$B32)*ISNUMBER(INDEX(Inputs!$K$5:$AJ$120,0,MATCH(AF$2,Inputs!$K$4:$AJ$4,0))))+SUMPRODUCT((Inputs!$E$5:$E$120=$B32)*ISNUMBER(INDEX(Inputs!$K$5:$AJ$120,0,MATCH(AF$2,Inputs!$K$4:$AJ$4,0))))=0,NA(),SUMPRODUCT((Inputs!$A$5:$A$120=$B32)*Inputs!$B$5:$B$120*(((Inputs!$G$5:$G$120="moeda")+(Inputs!$G$5:$G$120="acoes"))*Inputs!$B$1+((Inputs!$G$5:$G$120&lt;&gt;"moeda")*(Inputs!$G$5:$G$120&lt;&gt;"acoes")))*INDEX(Inputs!$K$5:$AJ$120,0,MATCH(AF$2,Inputs!$K$4:$AJ$4,0)))+SUMPRODUCT((Inputs!$C$5:$C$120=$B32)*Inputs!$D$5:$D$120*(((Inputs!$G$5:$G$120="moeda")+(Inputs!$G$5:$G$120="acoes"))*Inputs!$B$1+((Inputs!$G$5:$G$120&lt;&gt;"moeda")*(Inputs!$G$5:$G$120&lt;&gt;"acoes")))*INDEX(Inputs!$K$5:$AJ$120,0,MATCH(AF$2,Inputs!$K$4:$AJ$4,0)))+SUMPRODUCT((Inputs!$E$5:$E$120=$B32)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32" s="3" t="e">
        <f>AF32</f>
        <v>#N/A</v>
      </c>
      <c r="AH32" s="6">
        <f>IF(ISNA(MATCH(AH$2,Inputs!$K$4:$AJ$4,0)),NA(),IF(SUMPRODUCT((Inputs!$A$5:$A$120=$B32)*ISNUMBER(INDEX(Inputs!$K$5:$AJ$120,0,MATCH(AH$2,Inputs!$K$4:$AJ$4,0))))+SUMPRODUCT((Inputs!$C$5:$C$120=$B32)*ISNUMBER(INDEX(Inputs!$K$5:$AJ$120,0,MATCH(AH$2,Inputs!$K$4:$AJ$4,0))))+SUMPRODUCT((Inputs!$E$5:$E$120=$B32)*ISNUMBER(INDEX(Inputs!$K$5:$AJ$120,0,MATCH(AH$2,Inputs!$K$4:$AJ$4,0))))=0,NA(),SUMPRODUCT((Inputs!$A$5:$A$120=$B32)*Inputs!$B$5:$B$120*(((Inputs!$G$5:$G$120="moeda")+(Inputs!$G$5:$G$120="acoes"))*Inputs!$B$1+((Inputs!$G$5:$G$120&lt;&gt;"moeda")*(Inputs!$G$5:$G$120&lt;&gt;"acoes")))*INDEX(Inputs!$K$5:$AJ$120,0,MATCH(AH$2,Inputs!$K$4:$AJ$4,0)))+SUMPRODUCT((Inputs!$C$5:$C$120=$B32)*Inputs!$D$5:$D$120*(((Inputs!$G$5:$G$120="moeda")+(Inputs!$G$5:$G$120="acoes"))*Inputs!$B$1+((Inputs!$G$5:$G$120&lt;&gt;"moeda")*(Inputs!$G$5:$G$120&lt;&gt;"acoes")))*INDEX(Inputs!$K$5:$AJ$120,0,MATCH(AH$2,Inputs!$K$4:$AJ$4,0)))+SUMPRODUCT((Inputs!$E$5:$E$120=$B32)*Inputs!$F$5:$F$120*(((Inputs!$G$5:$G$120="moeda")+(Inputs!$G$5:$G$120="acoes"))*Inputs!$B$1+((Inputs!$G$5:$G$120&lt;&gt;"moeda")*(Inputs!$G$5:$G$120&lt;&gt;"acoes")))*INDEX(Inputs!$K$5:$AJ$120,0,MATCH(AH$2,Inputs!$K$4:$AJ$4,0)))))</f>
        <v>0</v>
      </c>
      <c r="AI32" s="6">
        <f>IF(ISNA(MATCH(AI$2,Inputs!$K$4:$AJ$4,0)),NA(),IF(SUMPRODUCT((Inputs!$A$5:$A$120=$B32)*ISNUMBER(INDEX(Inputs!$K$5:$AJ$120,0,MATCH(AI$2,Inputs!$K$4:$AJ$4,0))))+SUMPRODUCT((Inputs!$C$5:$C$120=$B32)*ISNUMBER(INDEX(Inputs!$K$5:$AJ$120,0,MATCH(AI$2,Inputs!$K$4:$AJ$4,0))))+SUMPRODUCT((Inputs!$E$5:$E$120=$B32)*ISNUMBER(INDEX(Inputs!$K$5:$AJ$120,0,MATCH(AI$2,Inputs!$K$4:$AJ$4,0))))=0,NA(),SUMPRODUCT((Inputs!$A$5:$A$120=$B32)*Inputs!$B$5:$B$120*(((Inputs!$G$5:$G$120="moeda")+(Inputs!$G$5:$G$120="acoes"))*Inputs!$B$1+((Inputs!$G$5:$G$120&lt;&gt;"moeda")*(Inputs!$G$5:$G$120&lt;&gt;"acoes")))*INDEX(Inputs!$K$5:$AJ$120,0,MATCH(AI$2,Inputs!$K$4:$AJ$4,0)))+SUMPRODUCT((Inputs!$C$5:$C$120=$B32)*Inputs!$D$5:$D$120*(((Inputs!$G$5:$G$120="moeda")+(Inputs!$G$5:$G$120="acoes"))*Inputs!$B$1+((Inputs!$G$5:$G$120&lt;&gt;"moeda")*(Inputs!$G$5:$G$120&lt;&gt;"acoes")))*INDEX(Inputs!$K$5:$AJ$120,0,MATCH(AI$2,Inputs!$K$4:$AJ$4,0)))+SUMPRODUCT((Inputs!$E$5:$E$120=$B32)*Inputs!$F$5:$F$120*(((Inputs!$G$5:$G$120="moeda")+(Inputs!$G$5:$G$120="acoes"))*Inputs!$B$1+((Inputs!$G$5:$G$120&lt;&gt;"moeda")*(Inputs!$G$5:$G$120&lt;&gt;"acoes")))*INDEX(Inputs!$K$5:$AJ$120,0,MATCH(AI$2,Inputs!$K$4:$AJ$4,0)))))</f>
        <v>0</v>
      </c>
      <c r="AJ32" s="6">
        <f>IF(ISNA(MATCH(AJ$2,Inputs!$K$4:$AJ$4,0)),NA(),IF(SUMPRODUCT((Inputs!$A$5:$A$120=$B32)*ISNUMBER(INDEX(Inputs!$K$5:$AJ$120,0,MATCH(AJ$2,Inputs!$K$4:$AJ$4,0))))+SUMPRODUCT((Inputs!$C$5:$C$120=$B32)*ISNUMBER(INDEX(Inputs!$K$5:$AJ$120,0,MATCH(AJ$2,Inputs!$K$4:$AJ$4,0))))+SUMPRODUCT((Inputs!$E$5:$E$120=$B32)*ISNUMBER(INDEX(Inputs!$K$5:$AJ$120,0,MATCH(AJ$2,Inputs!$K$4:$AJ$4,0))))=0,NA(),SUMPRODUCT((Inputs!$A$5:$A$120=$B32)*Inputs!$B$5:$B$120*(((Inputs!$G$5:$G$120="moeda")+(Inputs!$G$5:$G$120="acoes"))*Inputs!$B$1+((Inputs!$G$5:$G$120&lt;&gt;"moeda")*(Inputs!$G$5:$G$120&lt;&gt;"acoes")))*INDEX(Inputs!$K$5:$AJ$120,0,MATCH(AJ$2,Inputs!$K$4:$AJ$4,0)))+SUMPRODUCT((Inputs!$C$5:$C$120=$B32)*Inputs!$D$5:$D$120*(((Inputs!$G$5:$G$120="moeda")+(Inputs!$G$5:$G$120="acoes"))*Inputs!$B$1+((Inputs!$G$5:$G$120&lt;&gt;"moeda")*(Inputs!$G$5:$G$120&lt;&gt;"acoes")))*INDEX(Inputs!$K$5:$AJ$120,0,MATCH(AJ$2,Inputs!$K$4:$AJ$4,0)))+SUMPRODUCT((Inputs!$E$5:$E$120=$B32)*Inputs!$F$5:$F$120*(((Inputs!$G$5:$G$120="moeda")+(Inputs!$G$5:$G$120="acoes"))*Inputs!$B$1+((Inputs!$G$5:$G$120&lt;&gt;"moeda")*(Inputs!$G$5:$G$120&lt;&gt;"acoes")))*INDEX(Inputs!$K$5:$AJ$120,0,MATCH(AJ$2,Inputs!$K$4:$AJ$4,0)))))</f>
        <v>0</v>
      </c>
      <c r="AK32" s="6">
        <f>IF(ISNA(MATCH(AK$2,Inputs!$K$4:$AJ$4,0)),NA(),IF(SUMPRODUCT((Inputs!$A$5:$A$120=$B32)*ISNUMBER(INDEX(Inputs!$K$5:$AJ$120,0,MATCH(AK$2,Inputs!$K$4:$AJ$4,0))))+SUMPRODUCT((Inputs!$C$5:$C$120=$B32)*ISNUMBER(INDEX(Inputs!$K$5:$AJ$120,0,MATCH(AK$2,Inputs!$K$4:$AJ$4,0))))+SUMPRODUCT((Inputs!$E$5:$E$120=$B32)*ISNUMBER(INDEX(Inputs!$K$5:$AJ$120,0,MATCH(AK$2,Inputs!$K$4:$AJ$4,0))))=0,NA(),SUMPRODUCT((Inputs!$A$5:$A$120=$B32)*Inputs!$B$5:$B$120*(((Inputs!$G$5:$G$120="moeda")+(Inputs!$G$5:$G$120="acoes"))*Inputs!$B$1+((Inputs!$G$5:$G$120&lt;&gt;"moeda")*(Inputs!$G$5:$G$120&lt;&gt;"acoes")))*INDEX(Inputs!$K$5:$AJ$120,0,MATCH(AK$2,Inputs!$K$4:$AJ$4,0)))+SUMPRODUCT((Inputs!$C$5:$C$120=$B32)*Inputs!$D$5:$D$120*(((Inputs!$G$5:$G$120="moeda")+(Inputs!$G$5:$G$120="acoes"))*Inputs!$B$1+((Inputs!$G$5:$G$120&lt;&gt;"moeda")*(Inputs!$G$5:$G$120&lt;&gt;"acoes")))*INDEX(Inputs!$K$5:$AJ$120,0,MATCH(AK$2,Inputs!$K$4:$AJ$4,0)))+SUMPRODUCT((Inputs!$E$5:$E$120=$B32)*Inputs!$F$5:$F$120*(((Inputs!$G$5:$G$120="moeda")+(Inputs!$G$5:$G$120="acoes"))*Inputs!$B$1+((Inputs!$G$5:$G$120&lt;&gt;"moeda")*(Inputs!$G$5:$G$120&lt;&gt;"acoes")))*INDEX(Inputs!$K$5:$AJ$120,0,MATCH(AK$2,Inputs!$K$4:$AJ$4,0)))))</f>
        <v>0</v>
      </c>
      <c r="AL32" s="3">
        <f>AK32</f>
        <v>0</v>
      </c>
    </row>
    <row r="33">
      <c r="B33" s="46" t="n">
        <v>28</v>
      </c>
      <c r="C33" s="26" t="inlineStr">
        <is>
          <t>Short term debt (Revolving credit facility)</t>
        </is>
      </c>
      <c r="D33" s="6">
        <f>IF(ISNA(MATCH(D$2,Inputs!$K$4:$AJ$4,0)),NA(),IF(SUMPRODUCT((Inputs!$A$5:$A$120=$B33)*ISNUMBER(INDEX(Inputs!$K$5:$AJ$120,0,MATCH(D$2,Inputs!$K$4:$AJ$4,0))))+SUMPRODUCT((Inputs!$C$5:$C$120=$B33)*ISNUMBER(INDEX(Inputs!$K$5:$AJ$120,0,MATCH(D$2,Inputs!$K$4:$AJ$4,0))))+SUMPRODUCT((Inputs!$E$5:$E$120=$B33)*ISNUMBER(INDEX(Inputs!$K$5:$AJ$120,0,MATCH(D$2,Inputs!$K$4:$AJ$4,0))))=0,NA(),SUMPRODUCT((Inputs!$A$5:$A$120=$B33)*Inputs!$B$5:$B$120*(((Inputs!$G$5:$G$120="moeda")+(Inputs!$G$5:$G$120="acoes"))*Inputs!$B$1+((Inputs!$G$5:$G$120&lt;&gt;"moeda")*(Inputs!$G$5:$G$120&lt;&gt;"acoes")))*INDEX(Inputs!$K$5:$AJ$120,0,MATCH(D$2,Inputs!$K$4:$AJ$4,0)))+SUMPRODUCT((Inputs!$C$5:$C$120=$B33)*Inputs!$D$5:$D$120*(((Inputs!$G$5:$G$120="moeda")+(Inputs!$G$5:$G$120="acoes"))*Inputs!$B$1+((Inputs!$G$5:$G$120&lt;&gt;"moeda")*(Inputs!$G$5:$G$120&lt;&gt;"acoes")))*INDEX(Inputs!$K$5:$AJ$120,0,MATCH(D$2,Inputs!$K$4:$AJ$4,0)))+SUMPRODUCT((Inputs!$E$5:$E$120=$B33)*Inputs!$F$5:$F$120*(((Inputs!$G$5:$G$120="moeda")+(Inputs!$G$5:$G$120="acoes"))*Inputs!$B$1+((Inputs!$G$5:$G$120&lt;&gt;"moeda")*(Inputs!$G$5:$G$120&lt;&gt;"acoes")))*INDEX(Inputs!$K$5:$AJ$120,0,MATCH(D$2,Inputs!$K$4:$AJ$4,0)))))</f>
        <v>0</v>
      </c>
      <c r="E33" s="6">
        <f>IF(ISNA(MATCH(E$2,Inputs!$K$4:$AJ$4,0)),NA(),IF(SUMPRODUCT((Inputs!$A$5:$A$120=$B33)*ISNUMBER(INDEX(Inputs!$K$5:$AJ$120,0,MATCH(E$2,Inputs!$K$4:$AJ$4,0))))+SUMPRODUCT((Inputs!$C$5:$C$120=$B33)*ISNUMBER(INDEX(Inputs!$K$5:$AJ$120,0,MATCH(E$2,Inputs!$K$4:$AJ$4,0))))+SUMPRODUCT((Inputs!$E$5:$E$120=$B33)*ISNUMBER(INDEX(Inputs!$K$5:$AJ$120,0,MATCH(E$2,Inputs!$K$4:$AJ$4,0))))=0,NA(),SUMPRODUCT((Inputs!$A$5:$A$120=$B33)*Inputs!$B$5:$B$120*(((Inputs!$G$5:$G$120="moeda")+(Inputs!$G$5:$G$120="acoes"))*Inputs!$B$1+((Inputs!$G$5:$G$120&lt;&gt;"moeda")*(Inputs!$G$5:$G$120&lt;&gt;"acoes")))*INDEX(Inputs!$K$5:$AJ$120,0,MATCH(E$2,Inputs!$K$4:$AJ$4,0)))+SUMPRODUCT((Inputs!$C$5:$C$120=$B33)*Inputs!$D$5:$D$120*(((Inputs!$G$5:$G$120="moeda")+(Inputs!$G$5:$G$120="acoes"))*Inputs!$B$1+((Inputs!$G$5:$G$120&lt;&gt;"moeda")*(Inputs!$G$5:$G$120&lt;&gt;"acoes")))*INDEX(Inputs!$K$5:$AJ$120,0,MATCH(E$2,Inputs!$K$4:$AJ$4,0)))+SUMPRODUCT((Inputs!$E$5:$E$120=$B33)*Inputs!$F$5:$F$120*(((Inputs!$G$5:$G$120="moeda")+(Inputs!$G$5:$G$120="acoes"))*Inputs!$B$1+((Inputs!$G$5:$G$120&lt;&gt;"moeda")*(Inputs!$G$5:$G$120&lt;&gt;"acoes")))*INDEX(Inputs!$K$5:$AJ$120,0,MATCH(E$2,Inputs!$K$4:$AJ$4,0)))))</f>
        <v>0</v>
      </c>
      <c r="F33" s="6">
        <f>IF(ISNA(MATCH(F$2,Inputs!$K$4:$AJ$4,0)),NA(),IF(SUMPRODUCT((Inputs!$A$5:$A$120=$B33)*ISNUMBER(INDEX(Inputs!$K$5:$AJ$120,0,MATCH(F$2,Inputs!$K$4:$AJ$4,0))))+SUMPRODUCT((Inputs!$C$5:$C$120=$B33)*ISNUMBER(INDEX(Inputs!$K$5:$AJ$120,0,MATCH(F$2,Inputs!$K$4:$AJ$4,0))))+SUMPRODUCT((Inputs!$E$5:$E$120=$B33)*ISNUMBER(INDEX(Inputs!$K$5:$AJ$120,0,MATCH(F$2,Inputs!$K$4:$AJ$4,0))))=0,NA(),SUMPRODUCT((Inputs!$A$5:$A$120=$B33)*Inputs!$B$5:$B$120*(((Inputs!$G$5:$G$120="moeda")+(Inputs!$G$5:$G$120="acoes"))*Inputs!$B$1+((Inputs!$G$5:$G$120&lt;&gt;"moeda")*(Inputs!$G$5:$G$120&lt;&gt;"acoes")))*INDEX(Inputs!$K$5:$AJ$120,0,MATCH(F$2,Inputs!$K$4:$AJ$4,0)))+SUMPRODUCT((Inputs!$C$5:$C$120=$B33)*Inputs!$D$5:$D$120*(((Inputs!$G$5:$G$120="moeda")+(Inputs!$G$5:$G$120="acoes"))*Inputs!$B$1+((Inputs!$G$5:$G$120&lt;&gt;"moeda")*(Inputs!$G$5:$G$120&lt;&gt;"acoes")))*INDEX(Inputs!$K$5:$AJ$120,0,MATCH(F$2,Inputs!$K$4:$AJ$4,0)))+SUMPRODUCT((Inputs!$E$5:$E$120=$B33)*Inputs!$F$5:$F$120*(((Inputs!$G$5:$G$120="moeda")+(Inputs!$G$5:$G$120="acoes"))*Inputs!$B$1+((Inputs!$G$5:$G$120&lt;&gt;"moeda")*(Inputs!$G$5:$G$120&lt;&gt;"acoes")))*INDEX(Inputs!$K$5:$AJ$120,0,MATCH(F$2,Inputs!$K$4:$AJ$4,0)))))</f>
        <v>0</v>
      </c>
      <c r="G33" s="6">
        <f>IF(ISNA(MATCH(G$2,Inputs!$K$4:$AJ$4,0)),NA(),IF(SUMPRODUCT((Inputs!$A$5:$A$120=$B33)*ISNUMBER(INDEX(Inputs!$K$5:$AJ$120,0,MATCH(G$2,Inputs!$K$4:$AJ$4,0))))+SUMPRODUCT((Inputs!$C$5:$C$120=$B33)*ISNUMBER(INDEX(Inputs!$K$5:$AJ$120,0,MATCH(G$2,Inputs!$K$4:$AJ$4,0))))+SUMPRODUCT((Inputs!$E$5:$E$120=$B33)*ISNUMBER(INDEX(Inputs!$K$5:$AJ$120,0,MATCH(G$2,Inputs!$K$4:$AJ$4,0))))=0,NA(),SUMPRODUCT((Inputs!$A$5:$A$120=$B33)*Inputs!$B$5:$B$120*(((Inputs!$G$5:$G$120="moeda")+(Inputs!$G$5:$G$120="acoes"))*Inputs!$B$1+((Inputs!$G$5:$G$120&lt;&gt;"moeda")*(Inputs!$G$5:$G$120&lt;&gt;"acoes")))*INDEX(Inputs!$K$5:$AJ$120,0,MATCH(G$2,Inputs!$K$4:$AJ$4,0)))+SUMPRODUCT((Inputs!$C$5:$C$120=$B33)*Inputs!$D$5:$D$120*(((Inputs!$G$5:$G$120="moeda")+(Inputs!$G$5:$G$120="acoes"))*Inputs!$B$1+((Inputs!$G$5:$G$120&lt;&gt;"moeda")*(Inputs!$G$5:$G$120&lt;&gt;"acoes")))*INDEX(Inputs!$K$5:$AJ$120,0,MATCH(G$2,Inputs!$K$4:$AJ$4,0)))+SUMPRODUCT((Inputs!$E$5:$E$120=$B33)*Inputs!$F$5:$F$120*(((Inputs!$G$5:$G$120="moeda")+(Inputs!$G$5:$G$120="acoes"))*Inputs!$B$1+((Inputs!$G$5:$G$120&lt;&gt;"moeda")*(Inputs!$G$5:$G$120&lt;&gt;"acoes")))*INDEX(Inputs!$K$5:$AJ$120,0,MATCH(G$2,Inputs!$K$4:$AJ$4,0)))))</f>
        <v>0</v>
      </c>
      <c r="H33" s="3">
        <f>G33</f>
        <v>0</v>
      </c>
      <c r="I33" s="6">
        <f>IF(ISNA(MATCH(I$2,Inputs!$K$4:$AJ$4,0)),NA(),IF(SUMPRODUCT((Inputs!$A$5:$A$120=$B33)*ISNUMBER(INDEX(Inputs!$K$5:$AJ$120,0,MATCH(I$2,Inputs!$K$4:$AJ$4,0))))+SUMPRODUCT((Inputs!$C$5:$C$120=$B33)*ISNUMBER(INDEX(Inputs!$K$5:$AJ$120,0,MATCH(I$2,Inputs!$K$4:$AJ$4,0))))+SUMPRODUCT((Inputs!$E$5:$E$120=$B33)*ISNUMBER(INDEX(Inputs!$K$5:$AJ$120,0,MATCH(I$2,Inputs!$K$4:$AJ$4,0))))=0,NA(),SUMPRODUCT((Inputs!$A$5:$A$120=$B33)*Inputs!$B$5:$B$120*(((Inputs!$G$5:$G$120="moeda")+(Inputs!$G$5:$G$120="acoes"))*Inputs!$B$1+((Inputs!$G$5:$G$120&lt;&gt;"moeda")*(Inputs!$G$5:$G$120&lt;&gt;"acoes")))*INDEX(Inputs!$K$5:$AJ$120,0,MATCH(I$2,Inputs!$K$4:$AJ$4,0)))+SUMPRODUCT((Inputs!$C$5:$C$120=$B33)*Inputs!$D$5:$D$120*(((Inputs!$G$5:$G$120="moeda")+(Inputs!$G$5:$G$120="acoes"))*Inputs!$B$1+((Inputs!$G$5:$G$120&lt;&gt;"moeda")*(Inputs!$G$5:$G$120&lt;&gt;"acoes")))*INDEX(Inputs!$K$5:$AJ$120,0,MATCH(I$2,Inputs!$K$4:$AJ$4,0)))+SUMPRODUCT((Inputs!$E$5:$E$120=$B33)*Inputs!$F$5:$F$120*(((Inputs!$G$5:$G$120="moeda")+(Inputs!$G$5:$G$120="acoes"))*Inputs!$B$1+((Inputs!$G$5:$G$120&lt;&gt;"moeda")*(Inputs!$G$5:$G$120&lt;&gt;"acoes")))*INDEX(Inputs!$K$5:$AJ$120,0,MATCH(I$2,Inputs!$K$4:$AJ$4,0)))))</f>
        <v>0</v>
      </c>
      <c r="J33" s="6">
        <f>IF(ISNA(MATCH(J$2,Inputs!$K$4:$AJ$4,0)),NA(),IF(SUMPRODUCT((Inputs!$A$5:$A$120=$B33)*ISNUMBER(INDEX(Inputs!$K$5:$AJ$120,0,MATCH(J$2,Inputs!$K$4:$AJ$4,0))))+SUMPRODUCT((Inputs!$C$5:$C$120=$B33)*ISNUMBER(INDEX(Inputs!$K$5:$AJ$120,0,MATCH(J$2,Inputs!$K$4:$AJ$4,0))))+SUMPRODUCT((Inputs!$E$5:$E$120=$B33)*ISNUMBER(INDEX(Inputs!$K$5:$AJ$120,0,MATCH(J$2,Inputs!$K$4:$AJ$4,0))))=0,NA(),SUMPRODUCT((Inputs!$A$5:$A$120=$B33)*Inputs!$B$5:$B$120*(((Inputs!$G$5:$G$120="moeda")+(Inputs!$G$5:$G$120="acoes"))*Inputs!$B$1+((Inputs!$G$5:$G$120&lt;&gt;"moeda")*(Inputs!$G$5:$G$120&lt;&gt;"acoes")))*INDEX(Inputs!$K$5:$AJ$120,0,MATCH(J$2,Inputs!$K$4:$AJ$4,0)))+SUMPRODUCT((Inputs!$C$5:$C$120=$B33)*Inputs!$D$5:$D$120*(((Inputs!$G$5:$G$120="moeda")+(Inputs!$G$5:$G$120="acoes"))*Inputs!$B$1+((Inputs!$G$5:$G$120&lt;&gt;"moeda")*(Inputs!$G$5:$G$120&lt;&gt;"acoes")))*INDEX(Inputs!$K$5:$AJ$120,0,MATCH(J$2,Inputs!$K$4:$AJ$4,0)))+SUMPRODUCT((Inputs!$E$5:$E$120=$B33)*Inputs!$F$5:$F$120*(((Inputs!$G$5:$G$120="moeda")+(Inputs!$G$5:$G$120="acoes"))*Inputs!$B$1+((Inputs!$G$5:$G$120&lt;&gt;"moeda")*(Inputs!$G$5:$G$120&lt;&gt;"acoes")))*INDEX(Inputs!$K$5:$AJ$120,0,MATCH(J$2,Inputs!$K$4:$AJ$4,0)))))</f>
        <v>0</v>
      </c>
      <c r="K33" s="6">
        <f>IF(ISNA(MATCH(K$2,Inputs!$K$4:$AJ$4,0)),NA(),IF(SUMPRODUCT((Inputs!$A$5:$A$120=$B33)*ISNUMBER(INDEX(Inputs!$K$5:$AJ$120,0,MATCH(K$2,Inputs!$K$4:$AJ$4,0))))+SUMPRODUCT((Inputs!$C$5:$C$120=$B33)*ISNUMBER(INDEX(Inputs!$K$5:$AJ$120,0,MATCH(K$2,Inputs!$K$4:$AJ$4,0))))+SUMPRODUCT((Inputs!$E$5:$E$120=$B33)*ISNUMBER(INDEX(Inputs!$K$5:$AJ$120,0,MATCH(K$2,Inputs!$K$4:$AJ$4,0))))=0,NA(),SUMPRODUCT((Inputs!$A$5:$A$120=$B33)*Inputs!$B$5:$B$120*(((Inputs!$G$5:$G$120="moeda")+(Inputs!$G$5:$G$120="acoes"))*Inputs!$B$1+((Inputs!$G$5:$G$120&lt;&gt;"moeda")*(Inputs!$G$5:$G$120&lt;&gt;"acoes")))*INDEX(Inputs!$K$5:$AJ$120,0,MATCH(K$2,Inputs!$K$4:$AJ$4,0)))+SUMPRODUCT((Inputs!$C$5:$C$120=$B33)*Inputs!$D$5:$D$120*(((Inputs!$G$5:$G$120="moeda")+(Inputs!$G$5:$G$120="acoes"))*Inputs!$B$1+((Inputs!$G$5:$G$120&lt;&gt;"moeda")*(Inputs!$G$5:$G$120&lt;&gt;"acoes")))*INDEX(Inputs!$K$5:$AJ$120,0,MATCH(K$2,Inputs!$K$4:$AJ$4,0)))+SUMPRODUCT((Inputs!$E$5:$E$120=$B33)*Inputs!$F$5:$F$120*(((Inputs!$G$5:$G$120="moeda")+(Inputs!$G$5:$G$120="acoes"))*Inputs!$B$1+((Inputs!$G$5:$G$120&lt;&gt;"moeda")*(Inputs!$G$5:$G$120&lt;&gt;"acoes")))*INDEX(Inputs!$K$5:$AJ$120,0,MATCH(K$2,Inputs!$K$4:$AJ$4,0)))))</f>
        <v>0</v>
      </c>
      <c r="L33" s="6">
        <f>IF(ISNA(MATCH(L$2,Inputs!$K$4:$AJ$4,0)),NA(),IF(SUMPRODUCT((Inputs!$A$5:$A$120=$B33)*ISNUMBER(INDEX(Inputs!$K$5:$AJ$120,0,MATCH(L$2,Inputs!$K$4:$AJ$4,0))))+SUMPRODUCT((Inputs!$C$5:$C$120=$B33)*ISNUMBER(INDEX(Inputs!$K$5:$AJ$120,0,MATCH(L$2,Inputs!$K$4:$AJ$4,0))))+SUMPRODUCT((Inputs!$E$5:$E$120=$B33)*ISNUMBER(INDEX(Inputs!$K$5:$AJ$120,0,MATCH(L$2,Inputs!$K$4:$AJ$4,0))))=0,NA(),SUMPRODUCT((Inputs!$A$5:$A$120=$B33)*Inputs!$B$5:$B$120*(((Inputs!$G$5:$G$120="moeda")+(Inputs!$G$5:$G$120="acoes"))*Inputs!$B$1+((Inputs!$G$5:$G$120&lt;&gt;"moeda")*(Inputs!$G$5:$G$120&lt;&gt;"acoes")))*INDEX(Inputs!$K$5:$AJ$120,0,MATCH(L$2,Inputs!$K$4:$AJ$4,0)))+SUMPRODUCT((Inputs!$C$5:$C$120=$B33)*Inputs!$D$5:$D$120*(((Inputs!$G$5:$G$120="moeda")+(Inputs!$G$5:$G$120="acoes"))*Inputs!$B$1+((Inputs!$G$5:$G$120&lt;&gt;"moeda")*(Inputs!$G$5:$G$120&lt;&gt;"acoes")))*INDEX(Inputs!$K$5:$AJ$120,0,MATCH(L$2,Inputs!$K$4:$AJ$4,0)))+SUMPRODUCT((Inputs!$E$5:$E$120=$B33)*Inputs!$F$5:$F$120*(((Inputs!$G$5:$G$120="moeda")+(Inputs!$G$5:$G$120="acoes"))*Inputs!$B$1+((Inputs!$G$5:$G$120&lt;&gt;"moeda")*(Inputs!$G$5:$G$120&lt;&gt;"acoes")))*INDEX(Inputs!$K$5:$AJ$120,0,MATCH(L$2,Inputs!$K$4:$AJ$4,0)))))</f>
        <v>0</v>
      </c>
      <c r="M33" s="3">
        <f>L33</f>
        <v>0</v>
      </c>
      <c r="N33" s="6">
        <f>IF(ISNA(MATCH(N$2,Inputs!$K$4:$AJ$4,0)),NA(),IF(SUMPRODUCT((Inputs!$A$5:$A$120=$B33)*ISNUMBER(INDEX(Inputs!$K$5:$AJ$120,0,MATCH(N$2,Inputs!$K$4:$AJ$4,0))))+SUMPRODUCT((Inputs!$C$5:$C$120=$B33)*ISNUMBER(INDEX(Inputs!$K$5:$AJ$120,0,MATCH(N$2,Inputs!$K$4:$AJ$4,0))))+SUMPRODUCT((Inputs!$E$5:$E$120=$B33)*ISNUMBER(INDEX(Inputs!$K$5:$AJ$120,0,MATCH(N$2,Inputs!$K$4:$AJ$4,0))))=0,NA(),SUMPRODUCT((Inputs!$A$5:$A$120=$B33)*Inputs!$B$5:$B$120*(((Inputs!$G$5:$G$120="moeda")+(Inputs!$G$5:$G$120="acoes"))*Inputs!$B$1+((Inputs!$G$5:$G$120&lt;&gt;"moeda")*(Inputs!$G$5:$G$120&lt;&gt;"acoes")))*INDEX(Inputs!$K$5:$AJ$120,0,MATCH(N$2,Inputs!$K$4:$AJ$4,0)))+SUMPRODUCT((Inputs!$C$5:$C$120=$B33)*Inputs!$D$5:$D$120*(((Inputs!$G$5:$G$120="moeda")+(Inputs!$G$5:$G$120="acoes"))*Inputs!$B$1+((Inputs!$G$5:$G$120&lt;&gt;"moeda")*(Inputs!$G$5:$G$120&lt;&gt;"acoes")))*INDEX(Inputs!$K$5:$AJ$120,0,MATCH(N$2,Inputs!$K$4:$AJ$4,0)))+SUMPRODUCT((Inputs!$E$5:$E$120=$B33)*Inputs!$F$5:$F$120*(((Inputs!$G$5:$G$120="moeda")+(Inputs!$G$5:$G$120="acoes"))*Inputs!$B$1+((Inputs!$G$5:$G$120&lt;&gt;"moeda")*(Inputs!$G$5:$G$120&lt;&gt;"acoes")))*INDEX(Inputs!$K$5:$AJ$120,0,MATCH(N$2,Inputs!$K$4:$AJ$4,0)))))</f>
        <v>0</v>
      </c>
      <c r="O33" s="6">
        <f>IF(ISNA(MATCH(O$2,Inputs!$K$4:$AJ$4,0)),NA(),IF(SUMPRODUCT((Inputs!$A$5:$A$120=$B33)*ISNUMBER(INDEX(Inputs!$K$5:$AJ$120,0,MATCH(O$2,Inputs!$K$4:$AJ$4,0))))+SUMPRODUCT((Inputs!$C$5:$C$120=$B33)*ISNUMBER(INDEX(Inputs!$K$5:$AJ$120,0,MATCH(O$2,Inputs!$K$4:$AJ$4,0))))+SUMPRODUCT((Inputs!$E$5:$E$120=$B33)*ISNUMBER(INDEX(Inputs!$K$5:$AJ$120,0,MATCH(O$2,Inputs!$K$4:$AJ$4,0))))=0,NA(),SUMPRODUCT((Inputs!$A$5:$A$120=$B33)*Inputs!$B$5:$B$120*(((Inputs!$G$5:$G$120="moeda")+(Inputs!$G$5:$G$120="acoes"))*Inputs!$B$1+((Inputs!$G$5:$G$120&lt;&gt;"moeda")*(Inputs!$G$5:$G$120&lt;&gt;"acoes")))*INDEX(Inputs!$K$5:$AJ$120,0,MATCH(O$2,Inputs!$K$4:$AJ$4,0)))+SUMPRODUCT((Inputs!$C$5:$C$120=$B33)*Inputs!$D$5:$D$120*(((Inputs!$G$5:$G$120="moeda")+(Inputs!$G$5:$G$120="acoes"))*Inputs!$B$1+((Inputs!$G$5:$G$120&lt;&gt;"moeda")*(Inputs!$G$5:$G$120&lt;&gt;"acoes")))*INDEX(Inputs!$K$5:$AJ$120,0,MATCH(O$2,Inputs!$K$4:$AJ$4,0)))+SUMPRODUCT((Inputs!$E$5:$E$120=$B33)*Inputs!$F$5:$F$120*(((Inputs!$G$5:$G$120="moeda")+(Inputs!$G$5:$G$120="acoes"))*Inputs!$B$1+((Inputs!$G$5:$G$120&lt;&gt;"moeda")*(Inputs!$G$5:$G$120&lt;&gt;"acoes")))*INDEX(Inputs!$K$5:$AJ$120,0,MATCH(O$2,Inputs!$K$4:$AJ$4,0)))))</f>
        <v>0</v>
      </c>
      <c r="P33" s="6">
        <f>IF(ISNA(MATCH(P$2,Inputs!$K$4:$AJ$4,0)),NA(),IF(SUMPRODUCT((Inputs!$A$5:$A$120=$B33)*ISNUMBER(INDEX(Inputs!$K$5:$AJ$120,0,MATCH(P$2,Inputs!$K$4:$AJ$4,0))))+SUMPRODUCT((Inputs!$C$5:$C$120=$B33)*ISNUMBER(INDEX(Inputs!$K$5:$AJ$120,0,MATCH(P$2,Inputs!$K$4:$AJ$4,0))))+SUMPRODUCT((Inputs!$E$5:$E$120=$B33)*ISNUMBER(INDEX(Inputs!$K$5:$AJ$120,0,MATCH(P$2,Inputs!$K$4:$AJ$4,0))))=0,NA(),SUMPRODUCT((Inputs!$A$5:$A$120=$B33)*Inputs!$B$5:$B$120*(((Inputs!$G$5:$G$120="moeda")+(Inputs!$G$5:$G$120="acoes"))*Inputs!$B$1+((Inputs!$G$5:$G$120&lt;&gt;"moeda")*(Inputs!$G$5:$G$120&lt;&gt;"acoes")))*INDEX(Inputs!$K$5:$AJ$120,0,MATCH(P$2,Inputs!$K$4:$AJ$4,0)))+SUMPRODUCT((Inputs!$C$5:$C$120=$B33)*Inputs!$D$5:$D$120*(((Inputs!$G$5:$G$120="moeda")+(Inputs!$G$5:$G$120="acoes"))*Inputs!$B$1+((Inputs!$G$5:$G$120&lt;&gt;"moeda")*(Inputs!$G$5:$G$120&lt;&gt;"acoes")))*INDEX(Inputs!$K$5:$AJ$120,0,MATCH(P$2,Inputs!$K$4:$AJ$4,0)))+SUMPRODUCT((Inputs!$E$5:$E$120=$B33)*Inputs!$F$5:$F$120*(((Inputs!$G$5:$G$120="moeda")+(Inputs!$G$5:$G$120="acoes"))*Inputs!$B$1+((Inputs!$G$5:$G$120&lt;&gt;"moeda")*(Inputs!$G$5:$G$120&lt;&gt;"acoes")))*INDEX(Inputs!$K$5:$AJ$120,0,MATCH(P$2,Inputs!$K$4:$AJ$4,0)))))</f>
        <v>0</v>
      </c>
      <c r="Q33" s="6">
        <f>IF(ISNA(MATCH(Q$2,Inputs!$K$4:$AJ$4,0)),NA(),IF(SUMPRODUCT((Inputs!$A$5:$A$120=$B33)*ISNUMBER(INDEX(Inputs!$K$5:$AJ$120,0,MATCH(Q$2,Inputs!$K$4:$AJ$4,0))))+SUMPRODUCT((Inputs!$C$5:$C$120=$B33)*ISNUMBER(INDEX(Inputs!$K$5:$AJ$120,0,MATCH(Q$2,Inputs!$K$4:$AJ$4,0))))+SUMPRODUCT((Inputs!$E$5:$E$120=$B33)*ISNUMBER(INDEX(Inputs!$K$5:$AJ$120,0,MATCH(Q$2,Inputs!$K$4:$AJ$4,0))))=0,NA(),SUMPRODUCT((Inputs!$A$5:$A$120=$B33)*Inputs!$B$5:$B$120*(((Inputs!$G$5:$G$120="moeda")+(Inputs!$G$5:$G$120="acoes"))*Inputs!$B$1+((Inputs!$G$5:$G$120&lt;&gt;"moeda")*(Inputs!$G$5:$G$120&lt;&gt;"acoes")))*INDEX(Inputs!$K$5:$AJ$120,0,MATCH(Q$2,Inputs!$K$4:$AJ$4,0)))+SUMPRODUCT((Inputs!$C$5:$C$120=$B33)*Inputs!$D$5:$D$120*(((Inputs!$G$5:$G$120="moeda")+(Inputs!$G$5:$G$120="acoes"))*Inputs!$B$1+((Inputs!$G$5:$G$120&lt;&gt;"moeda")*(Inputs!$G$5:$G$120&lt;&gt;"acoes")))*INDEX(Inputs!$K$5:$AJ$120,0,MATCH(Q$2,Inputs!$K$4:$AJ$4,0)))+SUMPRODUCT((Inputs!$E$5:$E$120=$B33)*Inputs!$F$5:$F$120*(((Inputs!$G$5:$G$120="moeda")+(Inputs!$G$5:$G$120="acoes"))*Inputs!$B$1+((Inputs!$G$5:$G$120&lt;&gt;"moeda")*(Inputs!$G$5:$G$120&lt;&gt;"acoes")))*INDEX(Inputs!$K$5:$AJ$120,0,MATCH(Q$2,Inputs!$K$4:$AJ$4,0)))))</f>
        <v>0</v>
      </c>
      <c r="R33" s="3">
        <f>Q33</f>
        <v>0</v>
      </c>
      <c r="S33" s="6">
        <f>IF(ISNA(MATCH(S$2,Inputs!$K$4:$AJ$4,0)),NA(),IF(SUMPRODUCT((Inputs!$A$5:$A$120=$B33)*ISNUMBER(INDEX(Inputs!$K$5:$AJ$120,0,MATCH(S$2,Inputs!$K$4:$AJ$4,0))))+SUMPRODUCT((Inputs!$C$5:$C$120=$B33)*ISNUMBER(INDEX(Inputs!$K$5:$AJ$120,0,MATCH(S$2,Inputs!$K$4:$AJ$4,0))))+SUMPRODUCT((Inputs!$E$5:$E$120=$B33)*ISNUMBER(INDEX(Inputs!$K$5:$AJ$120,0,MATCH(S$2,Inputs!$K$4:$AJ$4,0))))=0,NA(),SUMPRODUCT((Inputs!$A$5:$A$120=$B33)*Inputs!$B$5:$B$120*(((Inputs!$G$5:$G$120="moeda")+(Inputs!$G$5:$G$120="acoes"))*Inputs!$B$1+((Inputs!$G$5:$G$120&lt;&gt;"moeda")*(Inputs!$G$5:$G$120&lt;&gt;"acoes")))*INDEX(Inputs!$K$5:$AJ$120,0,MATCH(S$2,Inputs!$K$4:$AJ$4,0)))+SUMPRODUCT((Inputs!$C$5:$C$120=$B33)*Inputs!$D$5:$D$120*(((Inputs!$G$5:$G$120="moeda")+(Inputs!$G$5:$G$120="acoes"))*Inputs!$B$1+((Inputs!$G$5:$G$120&lt;&gt;"moeda")*(Inputs!$G$5:$G$120&lt;&gt;"acoes")))*INDEX(Inputs!$K$5:$AJ$120,0,MATCH(S$2,Inputs!$K$4:$AJ$4,0)))+SUMPRODUCT((Inputs!$E$5:$E$120=$B33)*Inputs!$F$5:$F$120*(((Inputs!$G$5:$G$120="moeda")+(Inputs!$G$5:$G$120="acoes"))*Inputs!$B$1+((Inputs!$G$5:$G$120&lt;&gt;"moeda")*(Inputs!$G$5:$G$120&lt;&gt;"acoes")))*INDEX(Inputs!$K$5:$AJ$120,0,MATCH(S$2,Inputs!$K$4:$AJ$4,0)))))</f>
        <v>0</v>
      </c>
      <c r="T33" s="6">
        <f>IF(ISNA(MATCH(T$2,Inputs!$K$4:$AJ$4,0)),NA(),IF(SUMPRODUCT((Inputs!$A$5:$A$120=$B33)*ISNUMBER(INDEX(Inputs!$K$5:$AJ$120,0,MATCH(T$2,Inputs!$K$4:$AJ$4,0))))+SUMPRODUCT((Inputs!$C$5:$C$120=$B33)*ISNUMBER(INDEX(Inputs!$K$5:$AJ$120,0,MATCH(T$2,Inputs!$K$4:$AJ$4,0))))+SUMPRODUCT((Inputs!$E$5:$E$120=$B33)*ISNUMBER(INDEX(Inputs!$K$5:$AJ$120,0,MATCH(T$2,Inputs!$K$4:$AJ$4,0))))=0,NA(),SUMPRODUCT((Inputs!$A$5:$A$120=$B33)*Inputs!$B$5:$B$120*(((Inputs!$G$5:$G$120="moeda")+(Inputs!$G$5:$G$120="acoes"))*Inputs!$B$1+((Inputs!$G$5:$G$120&lt;&gt;"moeda")*(Inputs!$G$5:$G$120&lt;&gt;"acoes")))*INDEX(Inputs!$K$5:$AJ$120,0,MATCH(T$2,Inputs!$K$4:$AJ$4,0)))+SUMPRODUCT((Inputs!$C$5:$C$120=$B33)*Inputs!$D$5:$D$120*(((Inputs!$G$5:$G$120="moeda")+(Inputs!$G$5:$G$120="acoes"))*Inputs!$B$1+((Inputs!$G$5:$G$120&lt;&gt;"moeda")*(Inputs!$G$5:$G$120&lt;&gt;"acoes")))*INDEX(Inputs!$K$5:$AJ$120,0,MATCH(T$2,Inputs!$K$4:$AJ$4,0)))+SUMPRODUCT((Inputs!$E$5:$E$120=$B33)*Inputs!$F$5:$F$120*(((Inputs!$G$5:$G$120="moeda")+(Inputs!$G$5:$G$120="acoes"))*Inputs!$B$1+((Inputs!$G$5:$G$120&lt;&gt;"moeda")*(Inputs!$G$5:$G$120&lt;&gt;"acoes")))*INDEX(Inputs!$K$5:$AJ$120,0,MATCH(T$2,Inputs!$K$4:$AJ$4,0)))))</f>
        <v>0</v>
      </c>
      <c r="U33" s="6">
        <f>IF(ISNA(MATCH(U$2,Inputs!$K$4:$AJ$4,0)),NA(),IF(SUMPRODUCT((Inputs!$A$5:$A$120=$B33)*ISNUMBER(INDEX(Inputs!$K$5:$AJ$120,0,MATCH(U$2,Inputs!$K$4:$AJ$4,0))))+SUMPRODUCT((Inputs!$C$5:$C$120=$B33)*ISNUMBER(INDEX(Inputs!$K$5:$AJ$120,0,MATCH(U$2,Inputs!$K$4:$AJ$4,0))))+SUMPRODUCT((Inputs!$E$5:$E$120=$B33)*ISNUMBER(INDEX(Inputs!$K$5:$AJ$120,0,MATCH(U$2,Inputs!$K$4:$AJ$4,0))))=0,NA(),SUMPRODUCT((Inputs!$A$5:$A$120=$B33)*Inputs!$B$5:$B$120*(((Inputs!$G$5:$G$120="moeda")+(Inputs!$G$5:$G$120="acoes"))*Inputs!$B$1+((Inputs!$G$5:$G$120&lt;&gt;"moeda")*(Inputs!$G$5:$G$120&lt;&gt;"acoes")))*INDEX(Inputs!$K$5:$AJ$120,0,MATCH(U$2,Inputs!$K$4:$AJ$4,0)))+SUMPRODUCT((Inputs!$C$5:$C$120=$B33)*Inputs!$D$5:$D$120*(((Inputs!$G$5:$G$120="moeda")+(Inputs!$G$5:$G$120="acoes"))*Inputs!$B$1+((Inputs!$G$5:$G$120&lt;&gt;"moeda")*(Inputs!$G$5:$G$120&lt;&gt;"acoes")))*INDEX(Inputs!$K$5:$AJ$120,0,MATCH(U$2,Inputs!$K$4:$AJ$4,0)))+SUMPRODUCT((Inputs!$E$5:$E$120=$B33)*Inputs!$F$5:$F$120*(((Inputs!$G$5:$G$120="moeda")+(Inputs!$G$5:$G$120="acoes"))*Inputs!$B$1+((Inputs!$G$5:$G$120&lt;&gt;"moeda")*(Inputs!$G$5:$G$120&lt;&gt;"acoes")))*INDEX(Inputs!$K$5:$AJ$120,0,MATCH(U$2,Inputs!$K$4:$AJ$4,0)))))</f>
        <v>0</v>
      </c>
      <c r="V33" s="6">
        <f>IF(ISNA(MATCH(V$2,Inputs!$K$4:$AJ$4,0)),NA(),IF(SUMPRODUCT((Inputs!$A$5:$A$120=$B33)*ISNUMBER(INDEX(Inputs!$K$5:$AJ$120,0,MATCH(V$2,Inputs!$K$4:$AJ$4,0))))+SUMPRODUCT((Inputs!$C$5:$C$120=$B33)*ISNUMBER(INDEX(Inputs!$K$5:$AJ$120,0,MATCH(V$2,Inputs!$K$4:$AJ$4,0))))+SUMPRODUCT((Inputs!$E$5:$E$120=$B33)*ISNUMBER(INDEX(Inputs!$K$5:$AJ$120,0,MATCH(V$2,Inputs!$K$4:$AJ$4,0))))=0,NA(),SUMPRODUCT((Inputs!$A$5:$A$120=$B33)*Inputs!$B$5:$B$120*(((Inputs!$G$5:$G$120="moeda")+(Inputs!$G$5:$G$120="acoes"))*Inputs!$B$1+((Inputs!$G$5:$G$120&lt;&gt;"moeda")*(Inputs!$G$5:$G$120&lt;&gt;"acoes")))*INDEX(Inputs!$K$5:$AJ$120,0,MATCH(V$2,Inputs!$K$4:$AJ$4,0)))+SUMPRODUCT((Inputs!$C$5:$C$120=$B33)*Inputs!$D$5:$D$120*(((Inputs!$G$5:$G$120="moeda")+(Inputs!$G$5:$G$120="acoes"))*Inputs!$B$1+((Inputs!$G$5:$G$120&lt;&gt;"moeda")*(Inputs!$G$5:$G$120&lt;&gt;"acoes")))*INDEX(Inputs!$K$5:$AJ$120,0,MATCH(V$2,Inputs!$K$4:$AJ$4,0)))+SUMPRODUCT((Inputs!$E$5:$E$120=$B33)*Inputs!$F$5:$F$120*(((Inputs!$G$5:$G$120="moeda")+(Inputs!$G$5:$G$120="acoes"))*Inputs!$B$1+((Inputs!$G$5:$G$120&lt;&gt;"moeda")*(Inputs!$G$5:$G$120&lt;&gt;"acoes")))*INDEX(Inputs!$K$5:$AJ$120,0,MATCH(V$2,Inputs!$K$4:$AJ$4,0)))))</f>
        <v>0</v>
      </c>
      <c r="W33" s="3">
        <f>V33</f>
        <v>0</v>
      </c>
      <c r="X33" s="6">
        <f>IF(ISNA(MATCH(X$2,Inputs!$K$4:$AJ$4,0)),NA(),IF(SUMPRODUCT((Inputs!$A$5:$A$120=$B33)*ISNUMBER(INDEX(Inputs!$K$5:$AJ$120,0,MATCH(X$2,Inputs!$K$4:$AJ$4,0))))+SUMPRODUCT((Inputs!$C$5:$C$120=$B33)*ISNUMBER(INDEX(Inputs!$K$5:$AJ$120,0,MATCH(X$2,Inputs!$K$4:$AJ$4,0))))+SUMPRODUCT((Inputs!$E$5:$E$120=$B33)*ISNUMBER(INDEX(Inputs!$K$5:$AJ$120,0,MATCH(X$2,Inputs!$K$4:$AJ$4,0))))=0,NA(),SUMPRODUCT((Inputs!$A$5:$A$120=$B33)*Inputs!$B$5:$B$120*(((Inputs!$G$5:$G$120="moeda")+(Inputs!$G$5:$G$120="acoes"))*Inputs!$B$1+((Inputs!$G$5:$G$120&lt;&gt;"moeda")*(Inputs!$G$5:$G$120&lt;&gt;"acoes")))*INDEX(Inputs!$K$5:$AJ$120,0,MATCH(X$2,Inputs!$K$4:$AJ$4,0)))+SUMPRODUCT((Inputs!$C$5:$C$120=$B33)*Inputs!$D$5:$D$120*(((Inputs!$G$5:$G$120="moeda")+(Inputs!$G$5:$G$120="acoes"))*Inputs!$B$1+((Inputs!$G$5:$G$120&lt;&gt;"moeda")*(Inputs!$G$5:$G$120&lt;&gt;"acoes")))*INDEX(Inputs!$K$5:$AJ$120,0,MATCH(X$2,Inputs!$K$4:$AJ$4,0)))+SUMPRODUCT((Inputs!$E$5:$E$120=$B33)*Inputs!$F$5:$F$120*(((Inputs!$G$5:$G$120="moeda")+(Inputs!$G$5:$G$120="acoes"))*Inputs!$B$1+((Inputs!$G$5:$G$120&lt;&gt;"moeda")*(Inputs!$G$5:$G$120&lt;&gt;"acoes")))*INDEX(Inputs!$K$5:$AJ$120,0,MATCH(X$2,Inputs!$K$4:$AJ$4,0)))))</f>
        <v>0</v>
      </c>
      <c r="Y33" s="6">
        <f>IF(ISNA(MATCH(Y$2,Inputs!$K$4:$AJ$4,0)),NA(),IF(SUMPRODUCT((Inputs!$A$5:$A$120=$B33)*ISNUMBER(INDEX(Inputs!$K$5:$AJ$120,0,MATCH(Y$2,Inputs!$K$4:$AJ$4,0))))+SUMPRODUCT((Inputs!$C$5:$C$120=$B33)*ISNUMBER(INDEX(Inputs!$K$5:$AJ$120,0,MATCH(Y$2,Inputs!$K$4:$AJ$4,0))))+SUMPRODUCT((Inputs!$E$5:$E$120=$B33)*ISNUMBER(INDEX(Inputs!$K$5:$AJ$120,0,MATCH(Y$2,Inputs!$K$4:$AJ$4,0))))=0,NA(),SUMPRODUCT((Inputs!$A$5:$A$120=$B33)*Inputs!$B$5:$B$120*(((Inputs!$G$5:$G$120="moeda")+(Inputs!$G$5:$G$120="acoes"))*Inputs!$B$1+((Inputs!$G$5:$G$120&lt;&gt;"moeda")*(Inputs!$G$5:$G$120&lt;&gt;"acoes")))*INDEX(Inputs!$K$5:$AJ$120,0,MATCH(Y$2,Inputs!$K$4:$AJ$4,0)))+SUMPRODUCT((Inputs!$C$5:$C$120=$B33)*Inputs!$D$5:$D$120*(((Inputs!$G$5:$G$120="moeda")+(Inputs!$G$5:$G$120="acoes"))*Inputs!$B$1+((Inputs!$G$5:$G$120&lt;&gt;"moeda")*(Inputs!$G$5:$G$120&lt;&gt;"acoes")))*INDEX(Inputs!$K$5:$AJ$120,0,MATCH(Y$2,Inputs!$K$4:$AJ$4,0)))+SUMPRODUCT((Inputs!$E$5:$E$120=$B33)*Inputs!$F$5:$F$120*(((Inputs!$G$5:$G$120="moeda")+(Inputs!$G$5:$G$120="acoes"))*Inputs!$B$1+((Inputs!$G$5:$G$120&lt;&gt;"moeda")*(Inputs!$G$5:$G$120&lt;&gt;"acoes")))*INDEX(Inputs!$K$5:$AJ$120,0,MATCH(Y$2,Inputs!$K$4:$AJ$4,0)))))</f>
        <v>0</v>
      </c>
      <c r="Z33" s="6">
        <f>IF(ISNA(MATCH(Z$2,Inputs!$K$4:$AJ$4,0)),NA(),IF(SUMPRODUCT((Inputs!$A$5:$A$120=$B33)*ISNUMBER(INDEX(Inputs!$K$5:$AJ$120,0,MATCH(Z$2,Inputs!$K$4:$AJ$4,0))))+SUMPRODUCT((Inputs!$C$5:$C$120=$B33)*ISNUMBER(INDEX(Inputs!$K$5:$AJ$120,0,MATCH(Z$2,Inputs!$K$4:$AJ$4,0))))+SUMPRODUCT((Inputs!$E$5:$E$120=$B33)*ISNUMBER(INDEX(Inputs!$K$5:$AJ$120,0,MATCH(Z$2,Inputs!$K$4:$AJ$4,0))))=0,NA(),SUMPRODUCT((Inputs!$A$5:$A$120=$B33)*Inputs!$B$5:$B$120*(((Inputs!$G$5:$G$120="moeda")+(Inputs!$G$5:$G$120="acoes"))*Inputs!$B$1+((Inputs!$G$5:$G$120&lt;&gt;"moeda")*(Inputs!$G$5:$G$120&lt;&gt;"acoes")))*INDEX(Inputs!$K$5:$AJ$120,0,MATCH(Z$2,Inputs!$K$4:$AJ$4,0)))+SUMPRODUCT((Inputs!$C$5:$C$120=$B33)*Inputs!$D$5:$D$120*(((Inputs!$G$5:$G$120="moeda")+(Inputs!$G$5:$G$120="acoes"))*Inputs!$B$1+((Inputs!$G$5:$G$120&lt;&gt;"moeda")*(Inputs!$G$5:$G$120&lt;&gt;"acoes")))*INDEX(Inputs!$K$5:$AJ$120,0,MATCH(Z$2,Inputs!$K$4:$AJ$4,0)))+SUMPRODUCT((Inputs!$E$5:$E$120=$B33)*Inputs!$F$5:$F$120*(((Inputs!$G$5:$G$120="moeda")+(Inputs!$G$5:$G$120="acoes"))*Inputs!$B$1+((Inputs!$G$5:$G$120&lt;&gt;"moeda")*(Inputs!$G$5:$G$120&lt;&gt;"acoes")))*INDEX(Inputs!$K$5:$AJ$120,0,MATCH(Z$2,Inputs!$K$4:$AJ$4,0)))))</f>
        <v>0</v>
      </c>
      <c r="AA33" s="6">
        <f>IF(ISNA(MATCH(AA$2,Inputs!$K$4:$AJ$4,0)),NA(),IF(SUMPRODUCT((Inputs!$A$5:$A$120=$B33)*ISNUMBER(INDEX(Inputs!$K$5:$AJ$120,0,MATCH(AA$2,Inputs!$K$4:$AJ$4,0))))+SUMPRODUCT((Inputs!$C$5:$C$120=$B33)*ISNUMBER(INDEX(Inputs!$K$5:$AJ$120,0,MATCH(AA$2,Inputs!$K$4:$AJ$4,0))))+SUMPRODUCT((Inputs!$E$5:$E$120=$B33)*ISNUMBER(INDEX(Inputs!$K$5:$AJ$120,0,MATCH(AA$2,Inputs!$K$4:$AJ$4,0))))=0,NA(),SUMPRODUCT((Inputs!$A$5:$A$120=$B33)*Inputs!$B$5:$B$120*(((Inputs!$G$5:$G$120="moeda")+(Inputs!$G$5:$G$120="acoes"))*Inputs!$B$1+((Inputs!$G$5:$G$120&lt;&gt;"moeda")*(Inputs!$G$5:$G$120&lt;&gt;"acoes")))*INDEX(Inputs!$K$5:$AJ$120,0,MATCH(AA$2,Inputs!$K$4:$AJ$4,0)))+SUMPRODUCT((Inputs!$C$5:$C$120=$B33)*Inputs!$D$5:$D$120*(((Inputs!$G$5:$G$120="moeda")+(Inputs!$G$5:$G$120="acoes"))*Inputs!$B$1+((Inputs!$G$5:$G$120&lt;&gt;"moeda")*(Inputs!$G$5:$G$120&lt;&gt;"acoes")))*INDEX(Inputs!$K$5:$AJ$120,0,MATCH(AA$2,Inputs!$K$4:$AJ$4,0)))+SUMPRODUCT((Inputs!$E$5:$E$120=$B33)*Inputs!$F$5:$F$120*(((Inputs!$G$5:$G$120="moeda")+(Inputs!$G$5:$G$120="acoes"))*Inputs!$B$1+((Inputs!$G$5:$G$120&lt;&gt;"moeda")*(Inputs!$G$5:$G$120&lt;&gt;"acoes")))*INDEX(Inputs!$K$5:$AJ$120,0,MATCH(AA$2,Inputs!$K$4:$AJ$4,0)))))</f>
        <v>0</v>
      </c>
      <c r="AB33" s="3">
        <f>AA33</f>
        <v>0</v>
      </c>
      <c r="AC33" s="6">
        <f>IF(ISNA(MATCH(AC$2,Inputs!$K$4:$AJ$4,0)),NA(),IF(SUMPRODUCT((Inputs!$A$5:$A$120=$B33)*ISNUMBER(INDEX(Inputs!$K$5:$AJ$120,0,MATCH(AC$2,Inputs!$K$4:$AJ$4,0))))+SUMPRODUCT((Inputs!$C$5:$C$120=$B33)*ISNUMBER(INDEX(Inputs!$K$5:$AJ$120,0,MATCH(AC$2,Inputs!$K$4:$AJ$4,0))))+SUMPRODUCT((Inputs!$E$5:$E$120=$B33)*ISNUMBER(INDEX(Inputs!$K$5:$AJ$120,0,MATCH(AC$2,Inputs!$K$4:$AJ$4,0))))=0,NA(),SUMPRODUCT((Inputs!$A$5:$A$120=$B33)*Inputs!$B$5:$B$120*(((Inputs!$G$5:$G$120="moeda")+(Inputs!$G$5:$G$120="acoes"))*Inputs!$B$1+((Inputs!$G$5:$G$120&lt;&gt;"moeda")*(Inputs!$G$5:$G$120&lt;&gt;"acoes")))*INDEX(Inputs!$K$5:$AJ$120,0,MATCH(AC$2,Inputs!$K$4:$AJ$4,0)))+SUMPRODUCT((Inputs!$C$5:$C$120=$B33)*Inputs!$D$5:$D$120*(((Inputs!$G$5:$G$120="moeda")+(Inputs!$G$5:$G$120="acoes"))*Inputs!$B$1+((Inputs!$G$5:$G$120&lt;&gt;"moeda")*(Inputs!$G$5:$G$120&lt;&gt;"acoes")))*INDEX(Inputs!$K$5:$AJ$120,0,MATCH(AC$2,Inputs!$K$4:$AJ$4,0)))+SUMPRODUCT((Inputs!$E$5:$E$120=$B33)*Inputs!$F$5:$F$120*(((Inputs!$G$5:$G$120="moeda")+(Inputs!$G$5:$G$120="acoes"))*Inputs!$B$1+((Inputs!$G$5:$G$120&lt;&gt;"moeda")*(Inputs!$G$5:$G$120&lt;&gt;"acoes")))*INDEX(Inputs!$K$5:$AJ$120,0,MATCH(AC$2,Inputs!$K$4:$AJ$4,0)))))</f>
        <v>0</v>
      </c>
      <c r="AD33" s="6">
        <f>IF(ISNA(MATCH(AD$2,Inputs!$K$4:$AJ$4,0)),NA(),IF(SUMPRODUCT((Inputs!$A$5:$A$120=$B33)*ISNUMBER(INDEX(Inputs!$K$5:$AJ$120,0,MATCH(AD$2,Inputs!$K$4:$AJ$4,0))))+SUMPRODUCT((Inputs!$C$5:$C$120=$B33)*ISNUMBER(INDEX(Inputs!$K$5:$AJ$120,0,MATCH(AD$2,Inputs!$K$4:$AJ$4,0))))+SUMPRODUCT((Inputs!$E$5:$E$120=$B33)*ISNUMBER(INDEX(Inputs!$K$5:$AJ$120,0,MATCH(AD$2,Inputs!$K$4:$AJ$4,0))))=0,NA(),SUMPRODUCT((Inputs!$A$5:$A$120=$B33)*Inputs!$B$5:$B$120*(((Inputs!$G$5:$G$120="moeda")+(Inputs!$G$5:$G$120="acoes"))*Inputs!$B$1+((Inputs!$G$5:$G$120&lt;&gt;"moeda")*(Inputs!$G$5:$G$120&lt;&gt;"acoes")))*INDEX(Inputs!$K$5:$AJ$120,0,MATCH(AD$2,Inputs!$K$4:$AJ$4,0)))+SUMPRODUCT((Inputs!$C$5:$C$120=$B33)*Inputs!$D$5:$D$120*(((Inputs!$G$5:$G$120="moeda")+(Inputs!$G$5:$G$120="acoes"))*Inputs!$B$1+((Inputs!$G$5:$G$120&lt;&gt;"moeda")*(Inputs!$G$5:$G$120&lt;&gt;"acoes")))*INDEX(Inputs!$K$5:$AJ$120,0,MATCH(AD$2,Inputs!$K$4:$AJ$4,0)))+SUMPRODUCT((Inputs!$E$5:$E$120=$B33)*Inputs!$F$5:$F$120*(((Inputs!$G$5:$G$120="moeda")+(Inputs!$G$5:$G$120="acoes"))*Inputs!$B$1+((Inputs!$G$5:$G$120&lt;&gt;"moeda")*(Inputs!$G$5:$G$120&lt;&gt;"acoes")))*INDEX(Inputs!$K$5:$AJ$120,0,MATCH(AD$2,Inputs!$K$4:$AJ$4,0)))))</f>
        <v>0</v>
      </c>
      <c r="AE33" s="6" t="e">
        <f>IF(ISNA(MATCH(AE$2,Inputs!$K$4:$AJ$4,0)),NA(),IF(SUMPRODUCT((Inputs!$A$5:$A$120=$B33)*ISNUMBER(INDEX(Inputs!$K$5:$AJ$120,0,MATCH(AE$2,Inputs!$K$4:$AJ$4,0))))+SUMPRODUCT((Inputs!$C$5:$C$120=$B33)*ISNUMBER(INDEX(Inputs!$K$5:$AJ$120,0,MATCH(AE$2,Inputs!$K$4:$AJ$4,0))))+SUMPRODUCT((Inputs!$E$5:$E$120=$B33)*ISNUMBER(INDEX(Inputs!$K$5:$AJ$120,0,MATCH(AE$2,Inputs!$K$4:$AJ$4,0))))=0,NA(),SUMPRODUCT((Inputs!$A$5:$A$120=$B33)*Inputs!$B$5:$B$120*(((Inputs!$G$5:$G$120="moeda")+(Inputs!$G$5:$G$120="acoes"))*Inputs!$B$1+((Inputs!$G$5:$G$120&lt;&gt;"moeda")*(Inputs!$G$5:$G$120&lt;&gt;"acoes")))*INDEX(Inputs!$K$5:$AJ$120,0,MATCH(AE$2,Inputs!$K$4:$AJ$4,0)))+SUMPRODUCT((Inputs!$C$5:$C$120=$B33)*Inputs!$D$5:$D$120*(((Inputs!$G$5:$G$120="moeda")+(Inputs!$G$5:$G$120="acoes"))*Inputs!$B$1+((Inputs!$G$5:$G$120&lt;&gt;"moeda")*(Inputs!$G$5:$G$120&lt;&gt;"acoes")))*INDEX(Inputs!$K$5:$AJ$120,0,MATCH(AE$2,Inputs!$K$4:$AJ$4,0)))+SUMPRODUCT((Inputs!$E$5:$E$120=$B33)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33" s="6" t="e">
        <f>IF(ISNA(MATCH(AF$2,Inputs!$K$4:$AJ$4,0)),NA(),IF(SUMPRODUCT((Inputs!$A$5:$A$120=$B33)*ISNUMBER(INDEX(Inputs!$K$5:$AJ$120,0,MATCH(AF$2,Inputs!$K$4:$AJ$4,0))))+SUMPRODUCT((Inputs!$C$5:$C$120=$B33)*ISNUMBER(INDEX(Inputs!$K$5:$AJ$120,0,MATCH(AF$2,Inputs!$K$4:$AJ$4,0))))+SUMPRODUCT((Inputs!$E$5:$E$120=$B33)*ISNUMBER(INDEX(Inputs!$K$5:$AJ$120,0,MATCH(AF$2,Inputs!$K$4:$AJ$4,0))))=0,NA(),SUMPRODUCT((Inputs!$A$5:$A$120=$B33)*Inputs!$B$5:$B$120*(((Inputs!$G$5:$G$120="moeda")+(Inputs!$G$5:$G$120="acoes"))*Inputs!$B$1+((Inputs!$G$5:$G$120&lt;&gt;"moeda")*(Inputs!$G$5:$G$120&lt;&gt;"acoes")))*INDEX(Inputs!$K$5:$AJ$120,0,MATCH(AF$2,Inputs!$K$4:$AJ$4,0)))+SUMPRODUCT((Inputs!$C$5:$C$120=$B33)*Inputs!$D$5:$D$120*(((Inputs!$G$5:$G$120="moeda")+(Inputs!$G$5:$G$120="acoes"))*Inputs!$B$1+((Inputs!$G$5:$G$120&lt;&gt;"moeda")*(Inputs!$G$5:$G$120&lt;&gt;"acoes")))*INDEX(Inputs!$K$5:$AJ$120,0,MATCH(AF$2,Inputs!$K$4:$AJ$4,0)))+SUMPRODUCT((Inputs!$E$5:$E$120=$B33)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33" s="3" t="e">
        <f>AF33</f>
        <v>#N/A</v>
      </c>
      <c r="AH33" s="6">
        <f>IF(ISNA(MATCH(AH$2,Inputs!$K$4:$AJ$4,0)),NA(),IF(SUMPRODUCT((Inputs!$A$5:$A$120=$B33)*ISNUMBER(INDEX(Inputs!$K$5:$AJ$120,0,MATCH(AH$2,Inputs!$K$4:$AJ$4,0))))+SUMPRODUCT((Inputs!$C$5:$C$120=$B33)*ISNUMBER(INDEX(Inputs!$K$5:$AJ$120,0,MATCH(AH$2,Inputs!$K$4:$AJ$4,0))))+SUMPRODUCT((Inputs!$E$5:$E$120=$B33)*ISNUMBER(INDEX(Inputs!$K$5:$AJ$120,0,MATCH(AH$2,Inputs!$K$4:$AJ$4,0))))=0,NA(),SUMPRODUCT((Inputs!$A$5:$A$120=$B33)*Inputs!$B$5:$B$120*(((Inputs!$G$5:$G$120="moeda")+(Inputs!$G$5:$G$120="acoes"))*Inputs!$B$1+((Inputs!$G$5:$G$120&lt;&gt;"moeda")*(Inputs!$G$5:$G$120&lt;&gt;"acoes")))*INDEX(Inputs!$K$5:$AJ$120,0,MATCH(AH$2,Inputs!$K$4:$AJ$4,0)))+SUMPRODUCT((Inputs!$C$5:$C$120=$B33)*Inputs!$D$5:$D$120*(((Inputs!$G$5:$G$120="moeda")+(Inputs!$G$5:$G$120="acoes"))*Inputs!$B$1+((Inputs!$G$5:$G$120&lt;&gt;"moeda")*(Inputs!$G$5:$G$120&lt;&gt;"acoes")))*INDEX(Inputs!$K$5:$AJ$120,0,MATCH(AH$2,Inputs!$K$4:$AJ$4,0)))+SUMPRODUCT((Inputs!$E$5:$E$120=$B33)*Inputs!$F$5:$F$120*(((Inputs!$G$5:$G$120="moeda")+(Inputs!$G$5:$G$120="acoes"))*Inputs!$B$1+((Inputs!$G$5:$G$120&lt;&gt;"moeda")*(Inputs!$G$5:$G$120&lt;&gt;"acoes")))*INDEX(Inputs!$K$5:$AJ$120,0,MATCH(AH$2,Inputs!$K$4:$AJ$4,0)))))</f>
        <v>0</v>
      </c>
      <c r="AI33" s="6">
        <f>IF(ISNA(MATCH(AI$2,Inputs!$K$4:$AJ$4,0)),NA(),IF(SUMPRODUCT((Inputs!$A$5:$A$120=$B33)*ISNUMBER(INDEX(Inputs!$K$5:$AJ$120,0,MATCH(AI$2,Inputs!$K$4:$AJ$4,0))))+SUMPRODUCT((Inputs!$C$5:$C$120=$B33)*ISNUMBER(INDEX(Inputs!$K$5:$AJ$120,0,MATCH(AI$2,Inputs!$K$4:$AJ$4,0))))+SUMPRODUCT((Inputs!$E$5:$E$120=$B33)*ISNUMBER(INDEX(Inputs!$K$5:$AJ$120,0,MATCH(AI$2,Inputs!$K$4:$AJ$4,0))))=0,NA(),SUMPRODUCT((Inputs!$A$5:$A$120=$B33)*Inputs!$B$5:$B$120*(((Inputs!$G$5:$G$120="moeda")+(Inputs!$G$5:$G$120="acoes"))*Inputs!$B$1+((Inputs!$G$5:$G$120&lt;&gt;"moeda")*(Inputs!$G$5:$G$120&lt;&gt;"acoes")))*INDEX(Inputs!$K$5:$AJ$120,0,MATCH(AI$2,Inputs!$K$4:$AJ$4,0)))+SUMPRODUCT((Inputs!$C$5:$C$120=$B33)*Inputs!$D$5:$D$120*(((Inputs!$G$5:$G$120="moeda")+(Inputs!$G$5:$G$120="acoes"))*Inputs!$B$1+((Inputs!$G$5:$G$120&lt;&gt;"moeda")*(Inputs!$G$5:$G$120&lt;&gt;"acoes")))*INDEX(Inputs!$K$5:$AJ$120,0,MATCH(AI$2,Inputs!$K$4:$AJ$4,0)))+SUMPRODUCT((Inputs!$E$5:$E$120=$B33)*Inputs!$F$5:$F$120*(((Inputs!$G$5:$G$120="moeda")+(Inputs!$G$5:$G$120="acoes"))*Inputs!$B$1+((Inputs!$G$5:$G$120&lt;&gt;"moeda")*(Inputs!$G$5:$G$120&lt;&gt;"acoes")))*INDEX(Inputs!$K$5:$AJ$120,0,MATCH(AI$2,Inputs!$K$4:$AJ$4,0)))))</f>
        <v>0</v>
      </c>
      <c r="AJ33" s="6">
        <f>IF(ISNA(MATCH(AJ$2,Inputs!$K$4:$AJ$4,0)),NA(),IF(SUMPRODUCT((Inputs!$A$5:$A$120=$B33)*ISNUMBER(INDEX(Inputs!$K$5:$AJ$120,0,MATCH(AJ$2,Inputs!$K$4:$AJ$4,0))))+SUMPRODUCT((Inputs!$C$5:$C$120=$B33)*ISNUMBER(INDEX(Inputs!$K$5:$AJ$120,0,MATCH(AJ$2,Inputs!$K$4:$AJ$4,0))))+SUMPRODUCT((Inputs!$E$5:$E$120=$B33)*ISNUMBER(INDEX(Inputs!$K$5:$AJ$120,0,MATCH(AJ$2,Inputs!$K$4:$AJ$4,0))))=0,NA(),SUMPRODUCT((Inputs!$A$5:$A$120=$B33)*Inputs!$B$5:$B$120*(((Inputs!$G$5:$G$120="moeda")+(Inputs!$G$5:$G$120="acoes"))*Inputs!$B$1+((Inputs!$G$5:$G$120&lt;&gt;"moeda")*(Inputs!$G$5:$G$120&lt;&gt;"acoes")))*INDEX(Inputs!$K$5:$AJ$120,0,MATCH(AJ$2,Inputs!$K$4:$AJ$4,0)))+SUMPRODUCT((Inputs!$C$5:$C$120=$B33)*Inputs!$D$5:$D$120*(((Inputs!$G$5:$G$120="moeda")+(Inputs!$G$5:$G$120="acoes"))*Inputs!$B$1+((Inputs!$G$5:$G$120&lt;&gt;"moeda")*(Inputs!$G$5:$G$120&lt;&gt;"acoes")))*INDEX(Inputs!$K$5:$AJ$120,0,MATCH(AJ$2,Inputs!$K$4:$AJ$4,0)))+SUMPRODUCT((Inputs!$E$5:$E$120=$B33)*Inputs!$F$5:$F$120*(((Inputs!$G$5:$G$120="moeda")+(Inputs!$G$5:$G$120="acoes"))*Inputs!$B$1+((Inputs!$G$5:$G$120&lt;&gt;"moeda")*(Inputs!$G$5:$G$120&lt;&gt;"acoes")))*INDEX(Inputs!$K$5:$AJ$120,0,MATCH(AJ$2,Inputs!$K$4:$AJ$4,0)))))</f>
        <v>0</v>
      </c>
      <c r="AK33" s="6">
        <f>IF(ISNA(MATCH(AK$2,Inputs!$K$4:$AJ$4,0)),NA(),IF(SUMPRODUCT((Inputs!$A$5:$A$120=$B33)*ISNUMBER(INDEX(Inputs!$K$5:$AJ$120,0,MATCH(AK$2,Inputs!$K$4:$AJ$4,0))))+SUMPRODUCT((Inputs!$C$5:$C$120=$B33)*ISNUMBER(INDEX(Inputs!$K$5:$AJ$120,0,MATCH(AK$2,Inputs!$K$4:$AJ$4,0))))+SUMPRODUCT((Inputs!$E$5:$E$120=$B33)*ISNUMBER(INDEX(Inputs!$K$5:$AJ$120,0,MATCH(AK$2,Inputs!$K$4:$AJ$4,0))))=0,NA(),SUMPRODUCT((Inputs!$A$5:$A$120=$B33)*Inputs!$B$5:$B$120*(((Inputs!$G$5:$G$120="moeda")+(Inputs!$G$5:$G$120="acoes"))*Inputs!$B$1+((Inputs!$G$5:$G$120&lt;&gt;"moeda")*(Inputs!$G$5:$G$120&lt;&gt;"acoes")))*INDEX(Inputs!$K$5:$AJ$120,0,MATCH(AK$2,Inputs!$K$4:$AJ$4,0)))+SUMPRODUCT((Inputs!$C$5:$C$120=$B33)*Inputs!$D$5:$D$120*(((Inputs!$G$5:$G$120="moeda")+(Inputs!$G$5:$G$120="acoes"))*Inputs!$B$1+((Inputs!$G$5:$G$120&lt;&gt;"moeda")*(Inputs!$G$5:$G$120&lt;&gt;"acoes")))*INDEX(Inputs!$K$5:$AJ$120,0,MATCH(AK$2,Inputs!$K$4:$AJ$4,0)))+SUMPRODUCT((Inputs!$E$5:$E$120=$B33)*Inputs!$F$5:$F$120*(((Inputs!$G$5:$G$120="moeda")+(Inputs!$G$5:$G$120="acoes"))*Inputs!$B$1+((Inputs!$G$5:$G$120&lt;&gt;"moeda")*(Inputs!$G$5:$G$120&lt;&gt;"acoes")))*INDEX(Inputs!$K$5:$AJ$120,0,MATCH(AK$2,Inputs!$K$4:$AJ$4,0)))))</f>
        <v>0</v>
      </c>
      <c r="AL33" s="3">
        <f>AK33</f>
        <v>0</v>
      </c>
    </row>
    <row r="34">
      <c r="B34" s="46" t="n">
        <v>29</v>
      </c>
      <c r="C34" s="26" t="inlineStr">
        <is>
          <t>Short term operating leases</t>
        </is>
      </c>
      <c r="D34" s="6">
        <f>IF(ISNA(MATCH(D$2,Inputs!$K$4:$AJ$4,0)),NA(),IF(SUMPRODUCT((Inputs!$A$5:$A$120=$B34)*ISNUMBER(INDEX(Inputs!$K$5:$AJ$120,0,MATCH(D$2,Inputs!$K$4:$AJ$4,0))))+SUMPRODUCT((Inputs!$C$5:$C$120=$B34)*ISNUMBER(INDEX(Inputs!$K$5:$AJ$120,0,MATCH(D$2,Inputs!$K$4:$AJ$4,0))))+SUMPRODUCT((Inputs!$E$5:$E$120=$B34)*ISNUMBER(INDEX(Inputs!$K$5:$AJ$120,0,MATCH(D$2,Inputs!$K$4:$AJ$4,0))))=0,NA(),SUMPRODUCT((Inputs!$A$5:$A$120=$B34)*Inputs!$B$5:$B$120*(((Inputs!$G$5:$G$120="moeda")+(Inputs!$G$5:$G$120="acoes"))*Inputs!$B$1+((Inputs!$G$5:$G$120&lt;&gt;"moeda")*(Inputs!$G$5:$G$120&lt;&gt;"acoes")))*INDEX(Inputs!$K$5:$AJ$120,0,MATCH(D$2,Inputs!$K$4:$AJ$4,0)))+SUMPRODUCT((Inputs!$C$5:$C$120=$B34)*Inputs!$D$5:$D$120*(((Inputs!$G$5:$G$120="moeda")+(Inputs!$G$5:$G$120="acoes"))*Inputs!$B$1+((Inputs!$G$5:$G$120&lt;&gt;"moeda")*(Inputs!$G$5:$G$120&lt;&gt;"acoes")))*INDEX(Inputs!$K$5:$AJ$120,0,MATCH(D$2,Inputs!$K$4:$AJ$4,0)))+SUMPRODUCT((Inputs!$E$5:$E$120=$B34)*Inputs!$F$5:$F$120*(((Inputs!$G$5:$G$120="moeda")+(Inputs!$G$5:$G$120="acoes"))*Inputs!$B$1+((Inputs!$G$5:$G$120&lt;&gt;"moeda")*(Inputs!$G$5:$G$120&lt;&gt;"acoes")))*INDEX(Inputs!$K$5:$AJ$120,0,MATCH(D$2,Inputs!$K$4:$AJ$4,0)))))</f>
        <v>0</v>
      </c>
      <c r="E34" s="6">
        <f>IF(ISNA(MATCH(E$2,Inputs!$K$4:$AJ$4,0)),NA(),IF(SUMPRODUCT((Inputs!$A$5:$A$120=$B34)*ISNUMBER(INDEX(Inputs!$K$5:$AJ$120,0,MATCH(E$2,Inputs!$K$4:$AJ$4,0))))+SUMPRODUCT((Inputs!$C$5:$C$120=$B34)*ISNUMBER(INDEX(Inputs!$K$5:$AJ$120,0,MATCH(E$2,Inputs!$K$4:$AJ$4,0))))+SUMPRODUCT((Inputs!$E$5:$E$120=$B34)*ISNUMBER(INDEX(Inputs!$K$5:$AJ$120,0,MATCH(E$2,Inputs!$K$4:$AJ$4,0))))=0,NA(),SUMPRODUCT((Inputs!$A$5:$A$120=$B34)*Inputs!$B$5:$B$120*(((Inputs!$G$5:$G$120="moeda")+(Inputs!$G$5:$G$120="acoes"))*Inputs!$B$1+((Inputs!$G$5:$G$120&lt;&gt;"moeda")*(Inputs!$G$5:$G$120&lt;&gt;"acoes")))*INDEX(Inputs!$K$5:$AJ$120,0,MATCH(E$2,Inputs!$K$4:$AJ$4,0)))+SUMPRODUCT((Inputs!$C$5:$C$120=$B34)*Inputs!$D$5:$D$120*(((Inputs!$G$5:$G$120="moeda")+(Inputs!$G$5:$G$120="acoes"))*Inputs!$B$1+((Inputs!$G$5:$G$120&lt;&gt;"moeda")*(Inputs!$G$5:$G$120&lt;&gt;"acoes")))*INDEX(Inputs!$K$5:$AJ$120,0,MATCH(E$2,Inputs!$K$4:$AJ$4,0)))+SUMPRODUCT((Inputs!$E$5:$E$120=$B34)*Inputs!$F$5:$F$120*(((Inputs!$G$5:$G$120="moeda")+(Inputs!$G$5:$G$120="acoes"))*Inputs!$B$1+((Inputs!$G$5:$G$120&lt;&gt;"moeda")*(Inputs!$G$5:$G$120&lt;&gt;"acoes")))*INDEX(Inputs!$K$5:$AJ$120,0,MATCH(E$2,Inputs!$K$4:$AJ$4,0)))))</f>
        <v>0</v>
      </c>
      <c r="F34" s="6">
        <f>IF(ISNA(MATCH(F$2,Inputs!$K$4:$AJ$4,0)),NA(),IF(SUMPRODUCT((Inputs!$A$5:$A$120=$B34)*ISNUMBER(INDEX(Inputs!$K$5:$AJ$120,0,MATCH(F$2,Inputs!$K$4:$AJ$4,0))))+SUMPRODUCT((Inputs!$C$5:$C$120=$B34)*ISNUMBER(INDEX(Inputs!$K$5:$AJ$120,0,MATCH(F$2,Inputs!$K$4:$AJ$4,0))))+SUMPRODUCT((Inputs!$E$5:$E$120=$B34)*ISNUMBER(INDEX(Inputs!$K$5:$AJ$120,0,MATCH(F$2,Inputs!$K$4:$AJ$4,0))))=0,NA(),SUMPRODUCT((Inputs!$A$5:$A$120=$B34)*Inputs!$B$5:$B$120*(((Inputs!$G$5:$G$120="moeda")+(Inputs!$G$5:$G$120="acoes"))*Inputs!$B$1+((Inputs!$G$5:$G$120&lt;&gt;"moeda")*(Inputs!$G$5:$G$120&lt;&gt;"acoes")))*INDEX(Inputs!$K$5:$AJ$120,0,MATCH(F$2,Inputs!$K$4:$AJ$4,0)))+SUMPRODUCT((Inputs!$C$5:$C$120=$B34)*Inputs!$D$5:$D$120*(((Inputs!$G$5:$G$120="moeda")+(Inputs!$G$5:$G$120="acoes"))*Inputs!$B$1+((Inputs!$G$5:$G$120&lt;&gt;"moeda")*(Inputs!$G$5:$G$120&lt;&gt;"acoes")))*INDEX(Inputs!$K$5:$AJ$120,0,MATCH(F$2,Inputs!$K$4:$AJ$4,0)))+SUMPRODUCT((Inputs!$E$5:$E$120=$B34)*Inputs!$F$5:$F$120*(((Inputs!$G$5:$G$120="moeda")+(Inputs!$G$5:$G$120="acoes"))*Inputs!$B$1+((Inputs!$G$5:$G$120&lt;&gt;"moeda")*(Inputs!$G$5:$G$120&lt;&gt;"acoes")))*INDEX(Inputs!$K$5:$AJ$120,0,MATCH(F$2,Inputs!$K$4:$AJ$4,0)))))</f>
        <v>0</v>
      </c>
      <c r="G34" s="6">
        <f>IF(ISNA(MATCH(G$2,Inputs!$K$4:$AJ$4,0)),NA(),IF(SUMPRODUCT((Inputs!$A$5:$A$120=$B34)*ISNUMBER(INDEX(Inputs!$K$5:$AJ$120,0,MATCH(G$2,Inputs!$K$4:$AJ$4,0))))+SUMPRODUCT((Inputs!$C$5:$C$120=$B34)*ISNUMBER(INDEX(Inputs!$K$5:$AJ$120,0,MATCH(G$2,Inputs!$K$4:$AJ$4,0))))+SUMPRODUCT((Inputs!$E$5:$E$120=$B34)*ISNUMBER(INDEX(Inputs!$K$5:$AJ$120,0,MATCH(G$2,Inputs!$K$4:$AJ$4,0))))=0,NA(),SUMPRODUCT((Inputs!$A$5:$A$120=$B34)*Inputs!$B$5:$B$120*(((Inputs!$G$5:$G$120="moeda")+(Inputs!$G$5:$G$120="acoes"))*Inputs!$B$1+((Inputs!$G$5:$G$120&lt;&gt;"moeda")*(Inputs!$G$5:$G$120&lt;&gt;"acoes")))*INDEX(Inputs!$K$5:$AJ$120,0,MATCH(G$2,Inputs!$K$4:$AJ$4,0)))+SUMPRODUCT((Inputs!$C$5:$C$120=$B34)*Inputs!$D$5:$D$120*(((Inputs!$G$5:$G$120="moeda")+(Inputs!$G$5:$G$120="acoes"))*Inputs!$B$1+((Inputs!$G$5:$G$120&lt;&gt;"moeda")*(Inputs!$G$5:$G$120&lt;&gt;"acoes")))*INDEX(Inputs!$K$5:$AJ$120,0,MATCH(G$2,Inputs!$K$4:$AJ$4,0)))+SUMPRODUCT((Inputs!$E$5:$E$120=$B34)*Inputs!$F$5:$F$120*(((Inputs!$G$5:$G$120="moeda")+(Inputs!$G$5:$G$120="acoes"))*Inputs!$B$1+((Inputs!$G$5:$G$120&lt;&gt;"moeda")*(Inputs!$G$5:$G$120&lt;&gt;"acoes")))*INDEX(Inputs!$K$5:$AJ$120,0,MATCH(G$2,Inputs!$K$4:$AJ$4,0)))))</f>
        <v>0</v>
      </c>
      <c r="H34" s="3">
        <f>G34</f>
        <v>0</v>
      </c>
      <c r="I34" s="6">
        <f>IF(ISNA(MATCH(I$2,Inputs!$K$4:$AJ$4,0)),NA(),IF(SUMPRODUCT((Inputs!$A$5:$A$120=$B34)*ISNUMBER(INDEX(Inputs!$K$5:$AJ$120,0,MATCH(I$2,Inputs!$K$4:$AJ$4,0))))+SUMPRODUCT((Inputs!$C$5:$C$120=$B34)*ISNUMBER(INDEX(Inputs!$K$5:$AJ$120,0,MATCH(I$2,Inputs!$K$4:$AJ$4,0))))+SUMPRODUCT((Inputs!$E$5:$E$120=$B34)*ISNUMBER(INDEX(Inputs!$K$5:$AJ$120,0,MATCH(I$2,Inputs!$K$4:$AJ$4,0))))=0,NA(),SUMPRODUCT((Inputs!$A$5:$A$120=$B34)*Inputs!$B$5:$B$120*(((Inputs!$G$5:$G$120="moeda")+(Inputs!$G$5:$G$120="acoes"))*Inputs!$B$1+((Inputs!$G$5:$G$120&lt;&gt;"moeda")*(Inputs!$G$5:$G$120&lt;&gt;"acoes")))*INDEX(Inputs!$K$5:$AJ$120,0,MATCH(I$2,Inputs!$K$4:$AJ$4,0)))+SUMPRODUCT((Inputs!$C$5:$C$120=$B34)*Inputs!$D$5:$D$120*(((Inputs!$G$5:$G$120="moeda")+(Inputs!$G$5:$G$120="acoes"))*Inputs!$B$1+((Inputs!$G$5:$G$120&lt;&gt;"moeda")*(Inputs!$G$5:$G$120&lt;&gt;"acoes")))*INDEX(Inputs!$K$5:$AJ$120,0,MATCH(I$2,Inputs!$K$4:$AJ$4,0)))+SUMPRODUCT((Inputs!$E$5:$E$120=$B34)*Inputs!$F$5:$F$120*(((Inputs!$G$5:$G$120="moeda")+(Inputs!$G$5:$G$120="acoes"))*Inputs!$B$1+((Inputs!$G$5:$G$120&lt;&gt;"moeda")*(Inputs!$G$5:$G$120&lt;&gt;"acoes")))*INDEX(Inputs!$K$5:$AJ$120,0,MATCH(I$2,Inputs!$K$4:$AJ$4,0)))))</f>
        <v>0</v>
      </c>
      <c r="J34" s="6">
        <f>IF(ISNA(MATCH(J$2,Inputs!$K$4:$AJ$4,0)),NA(),IF(SUMPRODUCT((Inputs!$A$5:$A$120=$B34)*ISNUMBER(INDEX(Inputs!$K$5:$AJ$120,0,MATCH(J$2,Inputs!$K$4:$AJ$4,0))))+SUMPRODUCT((Inputs!$C$5:$C$120=$B34)*ISNUMBER(INDEX(Inputs!$K$5:$AJ$120,0,MATCH(J$2,Inputs!$K$4:$AJ$4,0))))+SUMPRODUCT((Inputs!$E$5:$E$120=$B34)*ISNUMBER(INDEX(Inputs!$K$5:$AJ$120,0,MATCH(J$2,Inputs!$K$4:$AJ$4,0))))=0,NA(),SUMPRODUCT((Inputs!$A$5:$A$120=$B34)*Inputs!$B$5:$B$120*(((Inputs!$G$5:$G$120="moeda")+(Inputs!$G$5:$G$120="acoes"))*Inputs!$B$1+((Inputs!$G$5:$G$120&lt;&gt;"moeda")*(Inputs!$G$5:$G$120&lt;&gt;"acoes")))*INDEX(Inputs!$K$5:$AJ$120,0,MATCH(J$2,Inputs!$K$4:$AJ$4,0)))+SUMPRODUCT((Inputs!$C$5:$C$120=$B34)*Inputs!$D$5:$D$120*(((Inputs!$G$5:$G$120="moeda")+(Inputs!$G$5:$G$120="acoes"))*Inputs!$B$1+((Inputs!$G$5:$G$120&lt;&gt;"moeda")*(Inputs!$G$5:$G$120&lt;&gt;"acoes")))*INDEX(Inputs!$K$5:$AJ$120,0,MATCH(J$2,Inputs!$K$4:$AJ$4,0)))+SUMPRODUCT((Inputs!$E$5:$E$120=$B34)*Inputs!$F$5:$F$120*(((Inputs!$G$5:$G$120="moeda")+(Inputs!$G$5:$G$120="acoes"))*Inputs!$B$1+((Inputs!$G$5:$G$120&lt;&gt;"moeda")*(Inputs!$G$5:$G$120&lt;&gt;"acoes")))*INDEX(Inputs!$K$5:$AJ$120,0,MATCH(J$2,Inputs!$K$4:$AJ$4,0)))))</f>
        <v>0</v>
      </c>
      <c r="K34" s="6">
        <f>IF(ISNA(MATCH(K$2,Inputs!$K$4:$AJ$4,0)),NA(),IF(SUMPRODUCT((Inputs!$A$5:$A$120=$B34)*ISNUMBER(INDEX(Inputs!$K$5:$AJ$120,0,MATCH(K$2,Inputs!$K$4:$AJ$4,0))))+SUMPRODUCT((Inputs!$C$5:$C$120=$B34)*ISNUMBER(INDEX(Inputs!$K$5:$AJ$120,0,MATCH(K$2,Inputs!$K$4:$AJ$4,0))))+SUMPRODUCT((Inputs!$E$5:$E$120=$B34)*ISNUMBER(INDEX(Inputs!$K$5:$AJ$120,0,MATCH(K$2,Inputs!$K$4:$AJ$4,0))))=0,NA(),SUMPRODUCT((Inputs!$A$5:$A$120=$B34)*Inputs!$B$5:$B$120*(((Inputs!$G$5:$G$120="moeda")+(Inputs!$G$5:$G$120="acoes"))*Inputs!$B$1+((Inputs!$G$5:$G$120&lt;&gt;"moeda")*(Inputs!$G$5:$G$120&lt;&gt;"acoes")))*INDEX(Inputs!$K$5:$AJ$120,0,MATCH(K$2,Inputs!$K$4:$AJ$4,0)))+SUMPRODUCT((Inputs!$C$5:$C$120=$B34)*Inputs!$D$5:$D$120*(((Inputs!$G$5:$G$120="moeda")+(Inputs!$G$5:$G$120="acoes"))*Inputs!$B$1+((Inputs!$G$5:$G$120&lt;&gt;"moeda")*(Inputs!$G$5:$G$120&lt;&gt;"acoes")))*INDEX(Inputs!$K$5:$AJ$120,0,MATCH(K$2,Inputs!$K$4:$AJ$4,0)))+SUMPRODUCT((Inputs!$E$5:$E$120=$B34)*Inputs!$F$5:$F$120*(((Inputs!$G$5:$G$120="moeda")+(Inputs!$G$5:$G$120="acoes"))*Inputs!$B$1+((Inputs!$G$5:$G$120&lt;&gt;"moeda")*(Inputs!$G$5:$G$120&lt;&gt;"acoes")))*INDEX(Inputs!$K$5:$AJ$120,0,MATCH(K$2,Inputs!$K$4:$AJ$4,0)))))</f>
        <v>0</v>
      </c>
      <c r="L34" s="6">
        <f>IF(ISNA(MATCH(L$2,Inputs!$K$4:$AJ$4,0)),NA(),IF(SUMPRODUCT((Inputs!$A$5:$A$120=$B34)*ISNUMBER(INDEX(Inputs!$K$5:$AJ$120,0,MATCH(L$2,Inputs!$K$4:$AJ$4,0))))+SUMPRODUCT((Inputs!$C$5:$C$120=$B34)*ISNUMBER(INDEX(Inputs!$K$5:$AJ$120,0,MATCH(L$2,Inputs!$K$4:$AJ$4,0))))+SUMPRODUCT((Inputs!$E$5:$E$120=$B34)*ISNUMBER(INDEX(Inputs!$K$5:$AJ$120,0,MATCH(L$2,Inputs!$K$4:$AJ$4,0))))=0,NA(),SUMPRODUCT((Inputs!$A$5:$A$120=$B34)*Inputs!$B$5:$B$120*(((Inputs!$G$5:$G$120="moeda")+(Inputs!$G$5:$G$120="acoes"))*Inputs!$B$1+((Inputs!$G$5:$G$120&lt;&gt;"moeda")*(Inputs!$G$5:$G$120&lt;&gt;"acoes")))*INDEX(Inputs!$K$5:$AJ$120,0,MATCH(L$2,Inputs!$K$4:$AJ$4,0)))+SUMPRODUCT((Inputs!$C$5:$C$120=$B34)*Inputs!$D$5:$D$120*(((Inputs!$G$5:$G$120="moeda")+(Inputs!$G$5:$G$120="acoes"))*Inputs!$B$1+((Inputs!$G$5:$G$120&lt;&gt;"moeda")*(Inputs!$G$5:$G$120&lt;&gt;"acoes")))*INDEX(Inputs!$K$5:$AJ$120,0,MATCH(L$2,Inputs!$K$4:$AJ$4,0)))+SUMPRODUCT((Inputs!$E$5:$E$120=$B34)*Inputs!$F$5:$F$120*(((Inputs!$G$5:$G$120="moeda")+(Inputs!$G$5:$G$120="acoes"))*Inputs!$B$1+((Inputs!$G$5:$G$120&lt;&gt;"moeda")*(Inputs!$G$5:$G$120&lt;&gt;"acoes")))*INDEX(Inputs!$K$5:$AJ$120,0,MATCH(L$2,Inputs!$K$4:$AJ$4,0)))))</f>
        <v>0</v>
      </c>
      <c r="M34" s="3">
        <f>L34</f>
        <v>0</v>
      </c>
      <c r="N34" s="6">
        <f>IF(ISNA(MATCH(N$2,Inputs!$K$4:$AJ$4,0)),NA(),IF(SUMPRODUCT((Inputs!$A$5:$A$120=$B34)*ISNUMBER(INDEX(Inputs!$K$5:$AJ$120,0,MATCH(N$2,Inputs!$K$4:$AJ$4,0))))+SUMPRODUCT((Inputs!$C$5:$C$120=$B34)*ISNUMBER(INDEX(Inputs!$K$5:$AJ$120,0,MATCH(N$2,Inputs!$K$4:$AJ$4,0))))+SUMPRODUCT((Inputs!$E$5:$E$120=$B34)*ISNUMBER(INDEX(Inputs!$K$5:$AJ$120,0,MATCH(N$2,Inputs!$K$4:$AJ$4,0))))=0,NA(),SUMPRODUCT((Inputs!$A$5:$A$120=$B34)*Inputs!$B$5:$B$120*(((Inputs!$G$5:$G$120="moeda")+(Inputs!$G$5:$G$120="acoes"))*Inputs!$B$1+((Inputs!$G$5:$G$120&lt;&gt;"moeda")*(Inputs!$G$5:$G$120&lt;&gt;"acoes")))*INDEX(Inputs!$K$5:$AJ$120,0,MATCH(N$2,Inputs!$K$4:$AJ$4,0)))+SUMPRODUCT((Inputs!$C$5:$C$120=$B34)*Inputs!$D$5:$D$120*(((Inputs!$G$5:$G$120="moeda")+(Inputs!$G$5:$G$120="acoes"))*Inputs!$B$1+((Inputs!$G$5:$G$120&lt;&gt;"moeda")*(Inputs!$G$5:$G$120&lt;&gt;"acoes")))*INDEX(Inputs!$K$5:$AJ$120,0,MATCH(N$2,Inputs!$K$4:$AJ$4,0)))+SUMPRODUCT((Inputs!$E$5:$E$120=$B34)*Inputs!$F$5:$F$120*(((Inputs!$G$5:$G$120="moeda")+(Inputs!$G$5:$G$120="acoes"))*Inputs!$B$1+((Inputs!$G$5:$G$120&lt;&gt;"moeda")*(Inputs!$G$5:$G$120&lt;&gt;"acoes")))*INDEX(Inputs!$K$5:$AJ$120,0,MATCH(N$2,Inputs!$K$4:$AJ$4,0)))))</f>
        <v>0</v>
      </c>
      <c r="O34" s="6">
        <f>IF(ISNA(MATCH(O$2,Inputs!$K$4:$AJ$4,0)),NA(),IF(SUMPRODUCT((Inputs!$A$5:$A$120=$B34)*ISNUMBER(INDEX(Inputs!$K$5:$AJ$120,0,MATCH(O$2,Inputs!$K$4:$AJ$4,0))))+SUMPRODUCT((Inputs!$C$5:$C$120=$B34)*ISNUMBER(INDEX(Inputs!$K$5:$AJ$120,0,MATCH(O$2,Inputs!$K$4:$AJ$4,0))))+SUMPRODUCT((Inputs!$E$5:$E$120=$B34)*ISNUMBER(INDEX(Inputs!$K$5:$AJ$120,0,MATCH(O$2,Inputs!$K$4:$AJ$4,0))))=0,NA(),SUMPRODUCT((Inputs!$A$5:$A$120=$B34)*Inputs!$B$5:$B$120*(((Inputs!$G$5:$G$120="moeda")+(Inputs!$G$5:$G$120="acoes"))*Inputs!$B$1+((Inputs!$G$5:$G$120&lt;&gt;"moeda")*(Inputs!$G$5:$G$120&lt;&gt;"acoes")))*INDEX(Inputs!$K$5:$AJ$120,0,MATCH(O$2,Inputs!$K$4:$AJ$4,0)))+SUMPRODUCT((Inputs!$C$5:$C$120=$B34)*Inputs!$D$5:$D$120*(((Inputs!$G$5:$G$120="moeda")+(Inputs!$G$5:$G$120="acoes"))*Inputs!$B$1+((Inputs!$G$5:$G$120&lt;&gt;"moeda")*(Inputs!$G$5:$G$120&lt;&gt;"acoes")))*INDEX(Inputs!$K$5:$AJ$120,0,MATCH(O$2,Inputs!$K$4:$AJ$4,0)))+SUMPRODUCT((Inputs!$E$5:$E$120=$B34)*Inputs!$F$5:$F$120*(((Inputs!$G$5:$G$120="moeda")+(Inputs!$G$5:$G$120="acoes"))*Inputs!$B$1+((Inputs!$G$5:$G$120&lt;&gt;"moeda")*(Inputs!$G$5:$G$120&lt;&gt;"acoes")))*INDEX(Inputs!$K$5:$AJ$120,0,MATCH(O$2,Inputs!$K$4:$AJ$4,0)))))</f>
        <v>0</v>
      </c>
      <c r="P34" s="6">
        <f>IF(ISNA(MATCH(P$2,Inputs!$K$4:$AJ$4,0)),NA(),IF(SUMPRODUCT((Inputs!$A$5:$A$120=$B34)*ISNUMBER(INDEX(Inputs!$K$5:$AJ$120,0,MATCH(P$2,Inputs!$K$4:$AJ$4,0))))+SUMPRODUCT((Inputs!$C$5:$C$120=$B34)*ISNUMBER(INDEX(Inputs!$K$5:$AJ$120,0,MATCH(P$2,Inputs!$K$4:$AJ$4,0))))+SUMPRODUCT((Inputs!$E$5:$E$120=$B34)*ISNUMBER(INDEX(Inputs!$K$5:$AJ$120,0,MATCH(P$2,Inputs!$K$4:$AJ$4,0))))=0,NA(),SUMPRODUCT((Inputs!$A$5:$A$120=$B34)*Inputs!$B$5:$B$120*(((Inputs!$G$5:$G$120="moeda")+(Inputs!$G$5:$G$120="acoes"))*Inputs!$B$1+((Inputs!$G$5:$G$120&lt;&gt;"moeda")*(Inputs!$G$5:$G$120&lt;&gt;"acoes")))*INDEX(Inputs!$K$5:$AJ$120,0,MATCH(P$2,Inputs!$K$4:$AJ$4,0)))+SUMPRODUCT((Inputs!$C$5:$C$120=$B34)*Inputs!$D$5:$D$120*(((Inputs!$G$5:$G$120="moeda")+(Inputs!$G$5:$G$120="acoes"))*Inputs!$B$1+((Inputs!$G$5:$G$120&lt;&gt;"moeda")*(Inputs!$G$5:$G$120&lt;&gt;"acoes")))*INDEX(Inputs!$K$5:$AJ$120,0,MATCH(P$2,Inputs!$K$4:$AJ$4,0)))+SUMPRODUCT((Inputs!$E$5:$E$120=$B34)*Inputs!$F$5:$F$120*(((Inputs!$G$5:$G$120="moeda")+(Inputs!$G$5:$G$120="acoes"))*Inputs!$B$1+((Inputs!$G$5:$G$120&lt;&gt;"moeda")*(Inputs!$G$5:$G$120&lt;&gt;"acoes")))*INDEX(Inputs!$K$5:$AJ$120,0,MATCH(P$2,Inputs!$K$4:$AJ$4,0)))))</f>
        <v>0</v>
      </c>
      <c r="Q34" s="6">
        <f>IF(ISNA(MATCH(Q$2,Inputs!$K$4:$AJ$4,0)),NA(),IF(SUMPRODUCT((Inputs!$A$5:$A$120=$B34)*ISNUMBER(INDEX(Inputs!$K$5:$AJ$120,0,MATCH(Q$2,Inputs!$K$4:$AJ$4,0))))+SUMPRODUCT((Inputs!$C$5:$C$120=$B34)*ISNUMBER(INDEX(Inputs!$K$5:$AJ$120,0,MATCH(Q$2,Inputs!$K$4:$AJ$4,0))))+SUMPRODUCT((Inputs!$E$5:$E$120=$B34)*ISNUMBER(INDEX(Inputs!$K$5:$AJ$120,0,MATCH(Q$2,Inputs!$K$4:$AJ$4,0))))=0,NA(),SUMPRODUCT((Inputs!$A$5:$A$120=$B34)*Inputs!$B$5:$B$120*(((Inputs!$G$5:$G$120="moeda")+(Inputs!$G$5:$G$120="acoes"))*Inputs!$B$1+((Inputs!$G$5:$G$120&lt;&gt;"moeda")*(Inputs!$G$5:$G$120&lt;&gt;"acoes")))*INDEX(Inputs!$K$5:$AJ$120,0,MATCH(Q$2,Inputs!$K$4:$AJ$4,0)))+SUMPRODUCT((Inputs!$C$5:$C$120=$B34)*Inputs!$D$5:$D$120*(((Inputs!$G$5:$G$120="moeda")+(Inputs!$G$5:$G$120="acoes"))*Inputs!$B$1+((Inputs!$G$5:$G$120&lt;&gt;"moeda")*(Inputs!$G$5:$G$120&lt;&gt;"acoes")))*INDEX(Inputs!$K$5:$AJ$120,0,MATCH(Q$2,Inputs!$K$4:$AJ$4,0)))+SUMPRODUCT((Inputs!$E$5:$E$120=$B34)*Inputs!$F$5:$F$120*(((Inputs!$G$5:$G$120="moeda")+(Inputs!$G$5:$G$120="acoes"))*Inputs!$B$1+((Inputs!$G$5:$G$120&lt;&gt;"moeda")*(Inputs!$G$5:$G$120&lt;&gt;"acoes")))*INDEX(Inputs!$K$5:$AJ$120,0,MATCH(Q$2,Inputs!$K$4:$AJ$4,0)))))</f>
        <v>0</v>
      </c>
      <c r="R34" s="3">
        <f>Q34</f>
        <v>0</v>
      </c>
      <c r="S34" s="6">
        <f>IF(ISNA(MATCH(S$2,Inputs!$K$4:$AJ$4,0)),NA(),IF(SUMPRODUCT((Inputs!$A$5:$A$120=$B34)*ISNUMBER(INDEX(Inputs!$K$5:$AJ$120,0,MATCH(S$2,Inputs!$K$4:$AJ$4,0))))+SUMPRODUCT((Inputs!$C$5:$C$120=$B34)*ISNUMBER(INDEX(Inputs!$K$5:$AJ$120,0,MATCH(S$2,Inputs!$K$4:$AJ$4,0))))+SUMPRODUCT((Inputs!$E$5:$E$120=$B34)*ISNUMBER(INDEX(Inputs!$K$5:$AJ$120,0,MATCH(S$2,Inputs!$K$4:$AJ$4,0))))=0,NA(),SUMPRODUCT((Inputs!$A$5:$A$120=$B34)*Inputs!$B$5:$B$120*(((Inputs!$G$5:$G$120="moeda")+(Inputs!$G$5:$G$120="acoes"))*Inputs!$B$1+((Inputs!$G$5:$G$120&lt;&gt;"moeda")*(Inputs!$G$5:$G$120&lt;&gt;"acoes")))*INDEX(Inputs!$K$5:$AJ$120,0,MATCH(S$2,Inputs!$K$4:$AJ$4,0)))+SUMPRODUCT((Inputs!$C$5:$C$120=$B34)*Inputs!$D$5:$D$120*(((Inputs!$G$5:$G$120="moeda")+(Inputs!$G$5:$G$120="acoes"))*Inputs!$B$1+((Inputs!$G$5:$G$120&lt;&gt;"moeda")*(Inputs!$G$5:$G$120&lt;&gt;"acoes")))*INDEX(Inputs!$K$5:$AJ$120,0,MATCH(S$2,Inputs!$K$4:$AJ$4,0)))+SUMPRODUCT((Inputs!$E$5:$E$120=$B34)*Inputs!$F$5:$F$120*(((Inputs!$G$5:$G$120="moeda")+(Inputs!$G$5:$G$120="acoes"))*Inputs!$B$1+((Inputs!$G$5:$G$120&lt;&gt;"moeda")*(Inputs!$G$5:$G$120&lt;&gt;"acoes")))*INDEX(Inputs!$K$5:$AJ$120,0,MATCH(S$2,Inputs!$K$4:$AJ$4,0)))))</f>
        <v>0</v>
      </c>
      <c r="T34" s="6">
        <f>IF(ISNA(MATCH(T$2,Inputs!$K$4:$AJ$4,0)),NA(),IF(SUMPRODUCT((Inputs!$A$5:$A$120=$B34)*ISNUMBER(INDEX(Inputs!$K$5:$AJ$120,0,MATCH(T$2,Inputs!$K$4:$AJ$4,0))))+SUMPRODUCT((Inputs!$C$5:$C$120=$B34)*ISNUMBER(INDEX(Inputs!$K$5:$AJ$120,0,MATCH(T$2,Inputs!$K$4:$AJ$4,0))))+SUMPRODUCT((Inputs!$E$5:$E$120=$B34)*ISNUMBER(INDEX(Inputs!$K$5:$AJ$120,0,MATCH(T$2,Inputs!$K$4:$AJ$4,0))))=0,NA(),SUMPRODUCT((Inputs!$A$5:$A$120=$B34)*Inputs!$B$5:$B$120*(((Inputs!$G$5:$G$120="moeda")+(Inputs!$G$5:$G$120="acoes"))*Inputs!$B$1+((Inputs!$G$5:$G$120&lt;&gt;"moeda")*(Inputs!$G$5:$G$120&lt;&gt;"acoes")))*INDEX(Inputs!$K$5:$AJ$120,0,MATCH(T$2,Inputs!$K$4:$AJ$4,0)))+SUMPRODUCT((Inputs!$C$5:$C$120=$B34)*Inputs!$D$5:$D$120*(((Inputs!$G$5:$G$120="moeda")+(Inputs!$G$5:$G$120="acoes"))*Inputs!$B$1+((Inputs!$G$5:$G$120&lt;&gt;"moeda")*(Inputs!$G$5:$G$120&lt;&gt;"acoes")))*INDEX(Inputs!$K$5:$AJ$120,0,MATCH(T$2,Inputs!$K$4:$AJ$4,0)))+SUMPRODUCT((Inputs!$E$5:$E$120=$B34)*Inputs!$F$5:$F$120*(((Inputs!$G$5:$G$120="moeda")+(Inputs!$G$5:$G$120="acoes"))*Inputs!$B$1+((Inputs!$G$5:$G$120&lt;&gt;"moeda")*(Inputs!$G$5:$G$120&lt;&gt;"acoes")))*INDEX(Inputs!$K$5:$AJ$120,0,MATCH(T$2,Inputs!$K$4:$AJ$4,0)))))</f>
        <v>0</v>
      </c>
      <c r="U34" s="6">
        <f>IF(ISNA(MATCH(U$2,Inputs!$K$4:$AJ$4,0)),NA(),IF(SUMPRODUCT((Inputs!$A$5:$A$120=$B34)*ISNUMBER(INDEX(Inputs!$K$5:$AJ$120,0,MATCH(U$2,Inputs!$K$4:$AJ$4,0))))+SUMPRODUCT((Inputs!$C$5:$C$120=$B34)*ISNUMBER(INDEX(Inputs!$K$5:$AJ$120,0,MATCH(U$2,Inputs!$K$4:$AJ$4,0))))+SUMPRODUCT((Inputs!$E$5:$E$120=$B34)*ISNUMBER(INDEX(Inputs!$K$5:$AJ$120,0,MATCH(U$2,Inputs!$K$4:$AJ$4,0))))=0,NA(),SUMPRODUCT((Inputs!$A$5:$A$120=$B34)*Inputs!$B$5:$B$120*(((Inputs!$G$5:$G$120="moeda")+(Inputs!$G$5:$G$120="acoes"))*Inputs!$B$1+((Inputs!$G$5:$G$120&lt;&gt;"moeda")*(Inputs!$G$5:$G$120&lt;&gt;"acoes")))*INDEX(Inputs!$K$5:$AJ$120,0,MATCH(U$2,Inputs!$K$4:$AJ$4,0)))+SUMPRODUCT((Inputs!$C$5:$C$120=$B34)*Inputs!$D$5:$D$120*(((Inputs!$G$5:$G$120="moeda")+(Inputs!$G$5:$G$120="acoes"))*Inputs!$B$1+((Inputs!$G$5:$G$120&lt;&gt;"moeda")*(Inputs!$G$5:$G$120&lt;&gt;"acoes")))*INDEX(Inputs!$K$5:$AJ$120,0,MATCH(U$2,Inputs!$K$4:$AJ$4,0)))+SUMPRODUCT((Inputs!$E$5:$E$120=$B34)*Inputs!$F$5:$F$120*(((Inputs!$G$5:$G$120="moeda")+(Inputs!$G$5:$G$120="acoes"))*Inputs!$B$1+((Inputs!$G$5:$G$120&lt;&gt;"moeda")*(Inputs!$G$5:$G$120&lt;&gt;"acoes")))*INDEX(Inputs!$K$5:$AJ$120,0,MATCH(U$2,Inputs!$K$4:$AJ$4,0)))))</f>
        <v>0</v>
      </c>
      <c r="V34" s="6">
        <f>IF(ISNA(MATCH(V$2,Inputs!$K$4:$AJ$4,0)),NA(),IF(SUMPRODUCT((Inputs!$A$5:$A$120=$B34)*ISNUMBER(INDEX(Inputs!$K$5:$AJ$120,0,MATCH(V$2,Inputs!$K$4:$AJ$4,0))))+SUMPRODUCT((Inputs!$C$5:$C$120=$B34)*ISNUMBER(INDEX(Inputs!$K$5:$AJ$120,0,MATCH(V$2,Inputs!$K$4:$AJ$4,0))))+SUMPRODUCT((Inputs!$E$5:$E$120=$B34)*ISNUMBER(INDEX(Inputs!$K$5:$AJ$120,0,MATCH(V$2,Inputs!$K$4:$AJ$4,0))))=0,NA(),SUMPRODUCT((Inputs!$A$5:$A$120=$B34)*Inputs!$B$5:$B$120*(((Inputs!$G$5:$G$120="moeda")+(Inputs!$G$5:$G$120="acoes"))*Inputs!$B$1+((Inputs!$G$5:$G$120&lt;&gt;"moeda")*(Inputs!$G$5:$G$120&lt;&gt;"acoes")))*INDEX(Inputs!$K$5:$AJ$120,0,MATCH(V$2,Inputs!$K$4:$AJ$4,0)))+SUMPRODUCT((Inputs!$C$5:$C$120=$B34)*Inputs!$D$5:$D$120*(((Inputs!$G$5:$G$120="moeda")+(Inputs!$G$5:$G$120="acoes"))*Inputs!$B$1+((Inputs!$G$5:$G$120&lt;&gt;"moeda")*(Inputs!$G$5:$G$120&lt;&gt;"acoes")))*INDEX(Inputs!$K$5:$AJ$120,0,MATCH(V$2,Inputs!$K$4:$AJ$4,0)))+SUMPRODUCT((Inputs!$E$5:$E$120=$B34)*Inputs!$F$5:$F$120*(((Inputs!$G$5:$G$120="moeda")+(Inputs!$G$5:$G$120="acoes"))*Inputs!$B$1+((Inputs!$G$5:$G$120&lt;&gt;"moeda")*(Inputs!$G$5:$G$120&lt;&gt;"acoes")))*INDEX(Inputs!$K$5:$AJ$120,0,MATCH(V$2,Inputs!$K$4:$AJ$4,0)))))</f>
        <v>0</v>
      </c>
      <c r="W34" s="3">
        <f>V34</f>
        <v>0</v>
      </c>
      <c r="X34" s="6">
        <f>IF(ISNA(MATCH(X$2,Inputs!$K$4:$AJ$4,0)),NA(),IF(SUMPRODUCT((Inputs!$A$5:$A$120=$B34)*ISNUMBER(INDEX(Inputs!$K$5:$AJ$120,0,MATCH(X$2,Inputs!$K$4:$AJ$4,0))))+SUMPRODUCT((Inputs!$C$5:$C$120=$B34)*ISNUMBER(INDEX(Inputs!$K$5:$AJ$120,0,MATCH(X$2,Inputs!$K$4:$AJ$4,0))))+SUMPRODUCT((Inputs!$E$5:$E$120=$B34)*ISNUMBER(INDEX(Inputs!$K$5:$AJ$120,0,MATCH(X$2,Inputs!$K$4:$AJ$4,0))))=0,NA(),SUMPRODUCT((Inputs!$A$5:$A$120=$B34)*Inputs!$B$5:$B$120*(((Inputs!$G$5:$G$120="moeda")+(Inputs!$G$5:$G$120="acoes"))*Inputs!$B$1+((Inputs!$G$5:$G$120&lt;&gt;"moeda")*(Inputs!$G$5:$G$120&lt;&gt;"acoes")))*INDEX(Inputs!$K$5:$AJ$120,0,MATCH(X$2,Inputs!$K$4:$AJ$4,0)))+SUMPRODUCT((Inputs!$C$5:$C$120=$B34)*Inputs!$D$5:$D$120*(((Inputs!$G$5:$G$120="moeda")+(Inputs!$G$5:$G$120="acoes"))*Inputs!$B$1+((Inputs!$G$5:$G$120&lt;&gt;"moeda")*(Inputs!$G$5:$G$120&lt;&gt;"acoes")))*INDEX(Inputs!$K$5:$AJ$120,0,MATCH(X$2,Inputs!$K$4:$AJ$4,0)))+SUMPRODUCT((Inputs!$E$5:$E$120=$B34)*Inputs!$F$5:$F$120*(((Inputs!$G$5:$G$120="moeda")+(Inputs!$G$5:$G$120="acoes"))*Inputs!$B$1+((Inputs!$G$5:$G$120&lt;&gt;"moeda")*(Inputs!$G$5:$G$120&lt;&gt;"acoes")))*INDEX(Inputs!$K$5:$AJ$120,0,MATCH(X$2,Inputs!$K$4:$AJ$4,0)))))</f>
        <v>0</v>
      </c>
      <c r="Y34" s="6">
        <f>IF(ISNA(MATCH(Y$2,Inputs!$K$4:$AJ$4,0)),NA(),IF(SUMPRODUCT((Inputs!$A$5:$A$120=$B34)*ISNUMBER(INDEX(Inputs!$K$5:$AJ$120,0,MATCH(Y$2,Inputs!$K$4:$AJ$4,0))))+SUMPRODUCT((Inputs!$C$5:$C$120=$B34)*ISNUMBER(INDEX(Inputs!$K$5:$AJ$120,0,MATCH(Y$2,Inputs!$K$4:$AJ$4,0))))+SUMPRODUCT((Inputs!$E$5:$E$120=$B34)*ISNUMBER(INDEX(Inputs!$K$5:$AJ$120,0,MATCH(Y$2,Inputs!$K$4:$AJ$4,0))))=0,NA(),SUMPRODUCT((Inputs!$A$5:$A$120=$B34)*Inputs!$B$5:$B$120*(((Inputs!$G$5:$G$120="moeda")+(Inputs!$G$5:$G$120="acoes"))*Inputs!$B$1+((Inputs!$G$5:$G$120&lt;&gt;"moeda")*(Inputs!$G$5:$G$120&lt;&gt;"acoes")))*INDEX(Inputs!$K$5:$AJ$120,0,MATCH(Y$2,Inputs!$K$4:$AJ$4,0)))+SUMPRODUCT((Inputs!$C$5:$C$120=$B34)*Inputs!$D$5:$D$120*(((Inputs!$G$5:$G$120="moeda")+(Inputs!$G$5:$G$120="acoes"))*Inputs!$B$1+((Inputs!$G$5:$G$120&lt;&gt;"moeda")*(Inputs!$G$5:$G$120&lt;&gt;"acoes")))*INDEX(Inputs!$K$5:$AJ$120,0,MATCH(Y$2,Inputs!$K$4:$AJ$4,0)))+SUMPRODUCT((Inputs!$E$5:$E$120=$B34)*Inputs!$F$5:$F$120*(((Inputs!$G$5:$G$120="moeda")+(Inputs!$G$5:$G$120="acoes"))*Inputs!$B$1+((Inputs!$G$5:$G$120&lt;&gt;"moeda")*(Inputs!$G$5:$G$120&lt;&gt;"acoes")))*INDEX(Inputs!$K$5:$AJ$120,0,MATCH(Y$2,Inputs!$K$4:$AJ$4,0)))))</f>
        <v>0</v>
      </c>
      <c r="Z34" s="6">
        <f>IF(ISNA(MATCH(Z$2,Inputs!$K$4:$AJ$4,0)),NA(),IF(SUMPRODUCT((Inputs!$A$5:$A$120=$B34)*ISNUMBER(INDEX(Inputs!$K$5:$AJ$120,0,MATCH(Z$2,Inputs!$K$4:$AJ$4,0))))+SUMPRODUCT((Inputs!$C$5:$C$120=$B34)*ISNUMBER(INDEX(Inputs!$K$5:$AJ$120,0,MATCH(Z$2,Inputs!$K$4:$AJ$4,0))))+SUMPRODUCT((Inputs!$E$5:$E$120=$B34)*ISNUMBER(INDEX(Inputs!$K$5:$AJ$120,0,MATCH(Z$2,Inputs!$K$4:$AJ$4,0))))=0,NA(),SUMPRODUCT((Inputs!$A$5:$A$120=$B34)*Inputs!$B$5:$B$120*(((Inputs!$G$5:$G$120="moeda")+(Inputs!$G$5:$G$120="acoes"))*Inputs!$B$1+((Inputs!$G$5:$G$120&lt;&gt;"moeda")*(Inputs!$G$5:$G$120&lt;&gt;"acoes")))*INDEX(Inputs!$K$5:$AJ$120,0,MATCH(Z$2,Inputs!$K$4:$AJ$4,0)))+SUMPRODUCT((Inputs!$C$5:$C$120=$B34)*Inputs!$D$5:$D$120*(((Inputs!$G$5:$G$120="moeda")+(Inputs!$G$5:$G$120="acoes"))*Inputs!$B$1+((Inputs!$G$5:$G$120&lt;&gt;"moeda")*(Inputs!$G$5:$G$120&lt;&gt;"acoes")))*INDEX(Inputs!$K$5:$AJ$120,0,MATCH(Z$2,Inputs!$K$4:$AJ$4,0)))+SUMPRODUCT((Inputs!$E$5:$E$120=$B34)*Inputs!$F$5:$F$120*(((Inputs!$G$5:$G$120="moeda")+(Inputs!$G$5:$G$120="acoes"))*Inputs!$B$1+((Inputs!$G$5:$G$120&lt;&gt;"moeda")*(Inputs!$G$5:$G$120&lt;&gt;"acoes")))*INDEX(Inputs!$K$5:$AJ$120,0,MATCH(Z$2,Inputs!$K$4:$AJ$4,0)))))</f>
        <v>0</v>
      </c>
      <c r="AA34" s="6">
        <f>IF(ISNA(MATCH(AA$2,Inputs!$K$4:$AJ$4,0)),NA(),IF(SUMPRODUCT((Inputs!$A$5:$A$120=$B34)*ISNUMBER(INDEX(Inputs!$K$5:$AJ$120,0,MATCH(AA$2,Inputs!$K$4:$AJ$4,0))))+SUMPRODUCT((Inputs!$C$5:$C$120=$B34)*ISNUMBER(INDEX(Inputs!$K$5:$AJ$120,0,MATCH(AA$2,Inputs!$K$4:$AJ$4,0))))+SUMPRODUCT((Inputs!$E$5:$E$120=$B34)*ISNUMBER(INDEX(Inputs!$K$5:$AJ$120,0,MATCH(AA$2,Inputs!$K$4:$AJ$4,0))))=0,NA(),SUMPRODUCT((Inputs!$A$5:$A$120=$B34)*Inputs!$B$5:$B$120*(((Inputs!$G$5:$G$120="moeda")+(Inputs!$G$5:$G$120="acoes"))*Inputs!$B$1+((Inputs!$G$5:$G$120&lt;&gt;"moeda")*(Inputs!$G$5:$G$120&lt;&gt;"acoes")))*INDEX(Inputs!$K$5:$AJ$120,0,MATCH(AA$2,Inputs!$K$4:$AJ$4,0)))+SUMPRODUCT((Inputs!$C$5:$C$120=$B34)*Inputs!$D$5:$D$120*(((Inputs!$G$5:$G$120="moeda")+(Inputs!$G$5:$G$120="acoes"))*Inputs!$B$1+((Inputs!$G$5:$G$120&lt;&gt;"moeda")*(Inputs!$G$5:$G$120&lt;&gt;"acoes")))*INDEX(Inputs!$K$5:$AJ$120,0,MATCH(AA$2,Inputs!$K$4:$AJ$4,0)))+SUMPRODUCT((Inputs!$E$5:$E$120=$B34)*Inputs!$F$5:$F$120*(((Inputs!$G$5:$G$120="moeda")+(Inputs!$G$5:$G$120="acoes"))*Inputs!$B$1+((Inputs!$G$5:$G$120&lt;&gt;"moeda")*(Inputs!$G$5:$G$120&lt;&gt;"acoes")))*INDEX(Inputs!$K$5:$AJ$120,0,MATCH(AA$2,Inputs!$K$4:$AJ$4,0)))))</f>
        <v>0</v>
      </c>
      <c r="AB34" s="3">
        <f>AA34</f>
        <v>0</v>
      </c>
      <c r="AC34" s="6">
        <f>IF(ISNA(MATCH(AC$2,Inputs!$K$4:$AJ$4,0)),NA(),IF(SUMPRODUCT((Inputs!$A$5:$A$120=$B34)*ISNUMBER(INDEX(Inputs!$K$5:$AJ$120,0,MATCH(AC$2,Inputs!$K$4:$AJ$4,0))))+SUMPRODUCT((Inputs!$C$5:$C$120=$B34)*ISNUMBER(INDEX(Inputs!$K$5:$AJ$120,0,MATCH(AC$2,Inputs!$K$4:$AJ$4,0))))+SUMPRODUCT((Inputs!$E$5:$E$120=$B34)*ISNUMBER(INDEX(Inputs!$K$5:$AJ$120,0,MATCH(AC$2,Inputs!$K$4:$AJ$4,0))))=0,NA(),SUMPRODUCT((Inputs!$A$5:$A$120=$B34)*Inputs!$B$5:$B$120*(((Inputs!$G$5:$G$120="moeda")+(Inputs!$G$5:$G$120="acoes"))*Inputs!$B$1+((Inputs!$G$5:$G$120&lt;&gt;"moeda")*(Inputs!$G$5:$G$120&lt;&gt;"acoes")))*INDEX(Inputs!$K$5:$AJ$120,0,MATCH(AC$2,Inputs!$K$4:$AJ$4,0)))+SUMPRODUCT((Inputs!$C$5:$C$120=$B34)*Inputs!$D$5:$D$120*(((Inputs!$G$5:$G$120="moeda")+(Inputs!$G$5:$G$120="acoes"))*Inputs!$B$1+((Inputs!$G$5:$G$120&lt;&gt;"moeda")*(Inputs!$G$5:$G$120&lt;&gt;"acoes")))*INDEX(Inputs!$K$5:$AJ$120,0,MATCH(AC$2,Inputs!$K$4:$AJ$4,0)))+SUMPRODUCT((Inputs!$E$5:$E$120=$B34)*Inputs!$F$5:$F$120*(((Inputs!$G$5:$G$120="moeda")+(Inputs!$G$5:$G$120="acoes"))*Inputs!$B$1+((Inputs!$G$5:$G$120&lt;&gt;"moeda")*(Inputs!$G$5:$G$120&lt;&gt;"acoes")))*INDEX(Inputs!$K$5:$AJ$120,0,MATCH(AC$2,Inputs!$K$4:$AJ$4,0)))))</f>
        <v>0</v>
      </c>
      <c r="AD34" s="6">
        <f>IF(ISNA(MATCH(AD$2,Inputs!$K$4:$AJ$4,0)),NA(),IF(SUMPRODUCT((Inputs!$A$5:$A$120=$B34)*ISNUMBER(INDEX(Inputs!$K$5:$AJ$120,0,MATCH(AD$2,Inputs!$K$4:$AJ$4,0))))+SUMPRODUCT((Inputs!$C$5:$C$120=$B34)*ISNUMBER(INDEX(Inputs!$K$5:$AJ$120,0,MATCH(AD$2,Inputs!$K$4:$AJ$4,0))))+SUMPRODUCT((Inputs!$E$5:$E$120=$B34)*ISNUMBER(INDEX(Inputs!$K$5:$AJ$120,0,MATCH(AD$2,Inputs!$K$4:$AJ$4,0))))=0,NA(),SUMPRODUCT((Inputs!$A$5:$A$120=$B34)*Inputs!$B$5:$B$120*(((Inputs!$G$5:$G$120="moeda")+(Inputs!$G$5:$G$120="acoes"))*Inputs!$B$1+((Inputs!$G$5:$G$120&lt;&gt;"moeda")*(Inputs!$G$5:$G$120&lt;&gt;"acoes")))*INDEX(Inputs!$K$5:$AJ$120,0,MATCH(AD$2,Inputs!$K$4:$AJ$4,0)))+SUMPRODUCT((Inputs!$C$5:$C$120=$B34)*Inputs!$D$5:$D$120*(((Inputs!$G$5:$G$120="moeda")+(Inputs!$G$5:$G$120="acoes"))*Inputs!$B$1+((Inputs!$G$5:$G$120&lt;&gt;"moeda")*(Inputs!$G$5:$G$120&lt;&gt;"acoes")))*INDEX(Inputs!$K$5:$AJ$120,0,MATCH(AD$2,Inputs!$K$4:$AJ$4,0)))+SUMPRODUCT((Inputs!$E$5:$E$120=$B34)*Inputs!$F$5:$F$120*(((Inputs!$G$5:$G$120="moeda")+(Inputs!$G$5:$G$120="acoes"))*Inputs!$B$1+((Inputs!$G$5:$G$120&lt;&gt;"moeda")*(Inputs!$G$5:$G$120&lt;&gt;"acoes")))*INDEX(Inputs!$K$5:$AJ$120,0,MATCH(AD$2,Inputs!$K$4:$AJ$4,0)))))</f>
        <v>0</v>
      </c>
      <c r="AE34" s="6" t="e">
        <f>IF(ISNA(MATCH(AE$2,Inputs!$K$4:$AJ$4,0)),NA(),IF(SUMPRODUCT((Inputs!$A$5:$A$120=$B34)*ISNUMBER(INDEX(Inputs!$K$5:$AJ$120,0,MATCH(AE$2,Inputs!$K$4:$AJ$4,0))))+SUMPRODUCT((Inputs!$C$5:$C$120=$B34)*ISNUMBER(INDEX(Inputs!$K$5:$AJ$120,0,MATCH(AE$2,Inputs!$K$4:$AJ$4,0))))+SUMPRODUCT((Inputs!$E$5:$E$120=$B34)*ISNUMBER(INDEX(Inputs!$K$5:$AJ$120,0,MATCH(AE$2,Inputs!$K$4:$AJ$4,0))))=0,NA(),SUMPRODUCT((Inputs!$A$5:$A$120=$B34)*Inputs!$B$5:$B$120*(((Inputs!$G$5:$G$120="moeda")+(Inputs!$G$5:$G$120="acoes"))*Inputs!$B$1+((Inputs!$G$5:$G$120&lt;&gt;"moeda")*(Inputs!$G$5:$G$120&lt;&gt;"acoes")))*INDEX(Inputs!$K$5:$AJ$120,0,MATCH(AE$2,Inputs!$K$4:$AJ$4,0)))+SUMPRODUCT((Inputs!$C$5:$C$120=$B34)*Inputs!$D$5:$D$120*(((Inputs!$G$5:$G$120="moeda")+(Inputs!$G$5:$G$120="acoes"))*Inputs!$B$1+((Inputs!$G$5:$G$120&lt;&gt;"moeda")*(Inputs!$G$5:$G$120&lt;&gt;"acoes")))*INDEX(Inputs!$K$5:$AJ$120,0,MATCH(AE$2,Inputs!$K$4:$AJ$4,0)))+SUMPRODUCT((Inputs!$E$5:$E$120=$B34)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34" s="6" t="e">
        <f>IF(ISNA(MATCH(AF$2,Inputs!$K$4:$AJ$4,0)),NA(),IF(SUMPRODUCT((Inputs!$A$5:$A$120=$B34)*ISNUMBER(INDEX(Inputs!$K$5:$AJ$120,0,MATCH(AF$2,Inputs!$K$4:$AJ$4,0))))+SUMPRODUCT((Inputs!$C$5:$C$120=$B34)*ISNUMBER(INDEX(Inputs!$K$5:$AJ$120,0,MATCH(AF$2,Inputs!$K$4:$AJ$4,0))))+SUMPRODUCT((Inputs!$E$5:$E$120=$B34)*ISNUMBER(INDEX(Inputs!$K$5:$AJ$120,0,MATCH(AF$2,Inputs!$K$4:$AJ$4,0))))=0,NA(),SUMPRODUCT((Inputs!$A$5:$A$120=$B34)*Inputs!$B$5:$B$120*(((Inputs!$G$5:$G$120="moeda")+(Inputs!$G$5:$G$120="acoes"))*Inputs!$B$1+((Inputs!$G$5:$G$120&lt;&gt;"moeda")*(Inputs!$G$5:$G$120&lt;&gt;"acoes")))*INDEX(Inputs!$K$5:$AJ$120,0,MATCH(AF$2,Inputs!$K$4:$AJ$4,0)))+SUMPRODUCT((Inputs!$C$5:$C$120=$B34)*Inputs!$D$5:$D$120*(((Inputs!$G$5:$G$120="moeda")+(Inputs!$G$5:$G$120="acoes"))*Inputs!$B$1+((Inputs!$G$5:$G$120&lt;&gt;"moeda")*(Inputs!$G$5:$G$120&lt;&gt;"acoes")))*INDEX(Inputs!$K$5:$AJ$120,0,MATCH(AF$2,Inputs!$K$4:$AJ$4,0)))+SUMPRODUCT((Inputs!$E$5:$E$120=$B34)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34" s="3" t="e">
        <f>AF34</f>
        <v>#N/A</v>
      </c>
      <c r="AH34" s="6">
        <f>IF(ISNA(MATCH(AH$2,Inputs!$K$4:$AJ$4,0)),NA(),IF(SUMPRODUCT((Inputs!$A$5:$A$120=$B34)*ISNUMBER(INDEX(Inputs!$K$5:$AJ$120,0,MATCH(AH$2,Inputs!$K$4:$AJ$4,0))))+SUMPRODUCT((Inputs!$C$5:$C$120=$B34)*ISNUMBER(INDEX(Inputs!$K$5:$AJ$120,0,MATCH(AH$2,Inputs!$K$4:$AJ$4,0))))+SUMPRODUCT((Inputs!$E$5:$E$120=$B34)*ISNUMBER(INDEX(Inputs!$K$5:$AJ$120,0,MATCH(AH$2,Inputs!$K$4:$AJ$4,0))))=0,NA(),SUMPRODUCT((Inputs!$A$5:$A$120=$B34)*Inputs!$B$5:$B$120*(((Inputs!$G$5:$G$120="moeda")+(Inputs!$G$5:$G$120="acoes"))*Inputs!$B$1+((Inputs!$G$5:$G$120&lt;&gt;"moeda")*(Inputs!$G$5:$G$120&lt;&gt;"acoes")))*INDEX(Inputs!$K$5:$AJ$120,0,MATCH(AH$2,Inputs!$K$4:$AJ$4,0)))+SUMPRODUCT((Inputs!$C$5:$C$120=$B34)*Inputs!$D$5:$D$120*(((Inputs!$G$5:$G$120="moeda")+(Inputs!$G$5:$G$120="acoes"))*Inputs!$B$1+((Inputs!$G$5:$G$120&lt;&gt;"moeda")*(Inputs!$G$5:$G$120&lt;&gt;"acoes")))*INDEX(Inputs!$K$5:$AJ$120,0,MATCH(AH$2,Inputs!$K$4:$AJ$4,0)))+SUMPRODUCT((Inputs!$E$5:$E$120=$B34)*Inputs!$F$5:$F$120*(((Inputs!$G$5:$G$120="moeda")+(Inputs!$G$5:$G$120="acoes"))*Inputs!$B$1+((Inputs!$G$5:$G$120&lt;&gt;"moeda")*(Inputs!$G$5:$G$120&lt;&gt;"acoes")))*INDEX(Inputs!$K$5:$AJ$120,0,MATCH(AH$2,Inputs!$K$4:$AJ$4,0)))))</f>
        <v>0</v>
      </c>
      <c r="AI34" s="6">
        <f>IF(ISNA(MATCH(AI$2,Inputs!$K$4:$AJ$4,0)),NA(),IF(SUMPRODUCT((Inputs!$A$5:$A$120=$B34)*ISNUMBER(INDEX(Inputs!$K$5:$AJ$120,0,MATCH(AI$2,Inputs!$K$4:$AJ$4,0))))+SUMPRODUCT((Inputs!$C$5:$C$120=$B34)*ISNUMBER(INDEX(Inputs!$K$5:$AJ$120,0,MATCH(AI$2,Inputs!$K$4:$AJ$4,0))))+SUMPRODUCT((Inputs!$E$5:$E$120=$B34)*ISNUMBER(INDEX(Inputs!$K$5:$AJ$120,0,MATCH(AI$2,Inputs!$K$4:$AJ$4,0))))=0,NA(),SUMPRODUCT((Inputs!$A$5:$A$120=$B34)*Inputs!$B$5:$B$120*(((Inputs!$G$5:$G$120="moeda")+(Inputs!$G$5:$G$120="acoes"))*Inputs!$B$1+((Inputs!$G$5:$G$120&lt;&gt;"moeda")*(Inputs!$G$5:$G$120&lt;&gt;"acoes")))*INDEX(Inputs!$K$5:$AJ$120,0,MATCH(AI$2,Inputs!$K$4:$AJ$4,0)))+SUMPRODUCT((Inputs!$C$5:$C$120=$B34)*Inputs!$D$5:$D$120*(((Inputs!$G$5:$G$120="moeda")+(Inputs!$G$5:$G$120="acoes"))*Inputs!$B$1+((Inputs!$G$5:$G$120&lt;&gt;"moeda")*(Inputs!$G$5:$G$120&lt;&gt;"acoes")))*INDEX(Inputs!$K$5:$AJ$120,0,MATCH(AI$2,Inputs!$K$4:$AJ$4,0)))+SUMPRODUCT((Inputs!$E$5:$E$120=$B34)*Inputs!$F$5:$F$120*(((Inputs!$G$5:$G$120="moeda")+(Inputs!$G$5:$G$120="acoes"))*Inputs!$B$1+((Inputs!$G$5:$G$120&lt;&gt;"moeda")*(Inputs!$G$5:$G$120&lt;&gt;"acoes")))*INDEX(Inputs!$K$5:$AJ$120,0,MATCH(AI$2,Inputs!$K$4:$AJ$4,0)))))</f>
        <v>0</v>
      </c>
      <c r="AJ34" s="6">
        <f>IF(ISNA(MATCH(AJ$2,Inputs!$K$4:$AJ$4,0)),NA(),IF(SUMPRODUCT((Inputs!$A$5:$A$120=$B34)*ISNUMBER(INDEX(Inputs!$K$5:$AJ$120,0,MATCH(AJ$2,Inputs!$K$4:$AJ$4,0))))+SUMPRODUCT((Inputs!$C$5:$C$120=$B34)*ISNUMBER(INDEX(Inputs!$K$5:$AJ$120,0,MATCH(AJ$2,Inputs!$K$4:$AJ$4,0))))+SUMPRODUCT((Inputs!$E$5:$E$120=$B34)*ISNUMBER(INDEX(Inputs!$K$5:$AJ$120,0,MATCH(AJ$2,Inputs!$K$4:$AJ$4,0))))=0,NA(),SUMPRODUCT((Inputs!$A$5:$A$120=$B34)*Inputs!$B$5:$B$120*(((Inputs!$G$5:$G$120="moeda")+(Inputs!$G$5:$G$120="acoes"))*Inputs!$B$1+((Inputs!$G$5:$G$120&lt;&gt;"moeda")*(Inputs!$G$5:$G$120&lt;&gt;"acoes")))*INDEX(Inputs!$K$5:$AJ$120,0,MATCH(AJ$2,Inputs!$K$4:$AJ$4,0)))+SUMPRODUCT((Inputs!$C$5:$C$120=$B34)*Inputs!$D$5:$D$120*(((Inputs!$G$5:$G$120="moeda")+(Inputs!$G$5:$G$120="acoes"))*Inputs!$B$1+((Inputs!$G$5:$G$120&lt;&gt;"moeda")*(Inputs!$G$5:$G$120&lt;&gt;"acoes")))*INDEX(Inputs!$K$5:$AJ$120,0,MATCH(AJ$2,Inputs!$K$4:$AJ$4,0)))+SUMPRODUCT((Inputs!$E$5:$E$120=$B34)*Inputs!$F$5:$F$120*(((Inputs!$G$5:$G$120="moeda")+(Inputs!$G$5:$G$120="acoes"))*Inputs!$B$1+((Inputs!$G$5:$G$120&lt;&gt;"moeda")*(Inputs!$G$5:$G$120&lt;&gt;"acoes")))*INDEX(Inputs!$K$5:$AJ$120,0,MATCH(AJ$2,Inputs!$K$4:$AJ$4,0)))))</f>
        <v>0</v>
      </c>
      <c r="AK34" s="6">
        <f>IF(ISNA(MATCH(AK$2,Inputs!$K$4:$AJ$4,0)),NA(),IF(SUMPRODUCT((Inputs!$A$5:$A$120=$B34)*ISNUMBER(INDEX(Inputs!$K$5:$AJ$120,0,MATCH(AK$2,Inputs!$K$4:$AJ$4,0))))+SUMPRODUCT((Inputs!$C$5:$C$120=$B34)*ISNUMBER(INDEX(Inputs!$K$5:$AJ$120,0,MATCH(AK$2,Inputs!$K$4:$AJ$4,0))))+SUMPRODUCT((Inputs!$E$5:$E$120=$B34)*ISNUMBER(INDEX(Inputs!$K$5:$AJ$120,0,MATCH(AK$2,Inputs!$K$4:$AJ$4,0))))=0,NA(),SUMPRODUCT((Inputs!$A$5:$A$120=$B34)*Inputs!$B$5:$B$120*(((Inputs!$G$5:$G$120="moeda")+(Inputs!$G$5:$G$120="acoes"))*Inputs!$B$1+((Inputs!$G$5:$G$120&lt;&gt;"moeda")*(Inputs!$G$5:$G$120&lt;&gt;"acoes")))*INDEX(Inputs!$K$5:$AJ$120,0,MATCH(AK$2,Inputs!$K$4:$AJ$4,0)))+SUMPRODUCT((Inputs!$C$5:$C$120=$B34)*Inputs!$D$5:$D$120*(((Inputs!$G$5:$G$120="moeda")+(Inputs!$G$5:$G$120="acoes"))*Inputs!$B$1+((Inputs!$G$5:$G$120&lt;&gt;"moeda")*(Inputs!$G$5:$G$120&lt;&gt;"acoes")))*INDEX(Inputs!$K$5:$AJ$120,0,MATCH(AK$2,Inputs!$K$4:$AJ$4,0)))+SUMPRODUCT((Inputs!$E$5:$E$120=$B34)*Inputs!$F$5:$F$120*(((Inputs!$G$5:$G$120="moeda")+(Inputs!$G$5:$G$120="acoes"))*Inputs!$B$1+((Inputs!$G$5:$G$120&lt;&gt;"moeda")*(Inputs!$G$5:$G$120&lt;&gt;"acoes")))*INDEX(Inputs!$K$5:$AJ$120,0,MATCH(AK$2,Inputs!$K$4:$AJ$4,0)))))</f>
        <v>0</v>
      </c>
      <c r="AL34" s="3">
        <f>AK34</f>
        <v>0</v>
      </c>
    </row>
    <row r="35">
      <c r="B35" s="46" t="n">
        <v>30</v>
      </c>
      <c r="C35" s="26" t="inlineStr">
        <is>
          <t>Long term debt</t>
        </is>
      </c>
      <c r="D35" s="6">
        <f>IF(ISNA(MATCH(D$2,Inputs!$K$4:$AJ$4,0)),NA(),IF(SUMPRODUCT((Inputs!$A$5:$A$120=$B35)*ISNUMBER(INDEX(Inputs!$K$5:$AJ$120,0,MATCH(D$2,Inputs!$K$4:$AJ$4,0))))+SUMPRODUCT((Inputs!$C$5:$C$120=$B35)*ISNUMBER(INDEX(Inputs!$K$5:$AJ$120,0,MATCH(D$2,Inputs!$K$4:$AJ$4,0))))+SUMPRODUCT((Inputs!$E$5:$E$120=$B35)*ISNUMBER(INDEX(Inputs!$K$5:$AJ$120,0,MATCH(D$2,Inputs!$K$4:$AJ$4,0))))=0,NA(),SUMPRODUCT((Inputs!$A$5:$A$120=$B35)*Inputs!$B$5:$B$120*(((Inputs!$G$5:$G$120="moeda")+(Inputs!$G$5:$G$120="acoes"))*Inputs!$B$1+((Inputs!$G$5:$G$120&lt;&gt;"moeda")*(Inputs!$G$5:$G$120&lt;&gt;"acoes")))*INDEX(Inputs!$K$5:$AJ$120,0,MATCH(D$2,Inputs!$K$4:$AJ$4,0)))+SUMPRODUCT((Inputs!$C$5:$C$120=$B35)*Inputs!$D$5:$D$120*(((Inputs!$G$5:$G$120="moeda")+(Inputs!$G$5:$G$120="acoes"))*Inputs!$B$1+((Inputs!$G$5:$G$120&lt;&gt;"moeda")*(Inputs!$G$5:$G$120&lt;&gt;"acoes")))*INDEX(Inputs!$K$5:$AJ$120,0,MATCH(D$2,Inputs!$K$4:$AJ$4,0)))+SUMPRODUCT((Inputs!$E$5:$E$120=$B35)*Inputs!$F$5:$F$120*(((Inputs!$G$5:$G$120="moeda")+(Inputs!$G$5:$G$120="acoes"))*Inputs!$B$1+((Inputs!$G$5:$G$120&lt;&gt;"moeda")*(Inputs!$G$5:$G$120&lt;&gt;"acoes")))*INDEX(Inputs!$K$5:$AJ$120,0,MATCH(D$2,Inputs!$K$4:$AJ$4,0)))))</f>
        <v>0</v>
      </c>
      <c r="E35" s="6">
        <f>IF(ISNA(MATCH(E$2,Inputs!$K$4:$AJ$4,0)),NA(),IF(SUMPRODUCT((Inputs!$A$5:$A$120=$B35)*ISNUMBER(INDEX(Inputs!$K$5:$AJ$120,0,MATCH(E$2,Inputs!$K$4:$AJ$4,0))))+SUMPRODUCT((Inputs!$C$5:$C$120=$B35)*ISNUMBER(INDEX(Inputs!$K$5:$AJ$120,0,MATCH(E$2,Inputs!$K$4:$AJ$4,0))))+SUMPRODUCT((Inputs!$E$5:$E$120=$B35)*ISNUMBER(INDEX(Inputs!$K$5:$AJ$120,0,MATCH(E$2,Inputs!$K$4:$AJ$4,0))))=0,NA(),SUMPRODUCT((Inputs!$A$5:$A$120=$B35)*Inputs!$B$5:$B$120*(((Inputs!$G$5:$G$120="moeda")+(Inputs!$G$5:$G$120="acoes"))*Inputs!$B$1+((Inputs!$G$5:$G$120&lt;&gt;"moeda")*(Inputs!$G$5:$G$120&lt;&gt;"acoes")))*INDEX(Inputs!$K$5:$AJ$120,0,MATCH(E$2,Inputs!$K$4:$AJ$4,0)))+SUMPRODUCT((Inputs!$C$5:$C$120=$B35)*Inputs!$D$5:$D$120*(((Inputs!$G$5:$G$120="moeda")+(Inputs!$G$5:$G$120="acoes"))*Inputs!$B$1+((Inputs!$G$5:$G$120&lt;&gt;"moeda")*(Inputs!$G$5:$G$120&lt;&gt;"acoes")))*INDEX(Inputs!$K$5:$AJ$120,0,MATCH(E$2,Inputs!$K$4:$AJ$4,0)))+SUMPRODUCT((Inputs!$E$5:$E$120=$B35)*Inputs!$F$5:$F$120*(((Inputs!$G$5:$G$120="moeda")+(Inputs!$G$5:$G$120="acoes"))*Inputs!$B$1+((Inputs!$G$5:$G$120&lt;&gt;"moeda")*(Inputs!$G$5:$G$120&lt;&gt;"acoes")))*INDEX(Inputs!$K$5:$AJ$120,0,MATCH(E$2,Inputs!$K$4:$AJ$4,0)))))</f>
        <v>0</v>
      </c>
      <c r="F35" s="6">
        <f>IF(ISNA(MATCH(F$2,Inputs!$K$4:$AJ$4,0)),NA(),IF(SUMPRODUCT((Inputs!$A$5:$A$120=$B35)*ISNUMBER(INDEX(Inputs!$K$5:$AJ$120,0,MATCH(F$2,Inputs!$K$4:$AJ$4,0))))+SUMPRODUCT((Inputs!$C$5:$C$120=$B35)*ISNUMBER(INDEX(Inputs!$K$5:$AJ$120,0,MATCH(F$2,Inputs!$K$4:$AJ$4,0))))+SUMPRODUCT((Inputs!$E$5:$E$120=$B35)*ISNUMBER(INDEX(Inputs!$K$5:$AJ$120,0,MATCH(F$2,Inputs!$K$4:$AJ$4,0))))=0,NA(),SUMPRODUCT((Inputs!$A$5:$A$120=$B35)*Inputs!$B$5:$B$120*(((Inputs!$G$5:$G$120="moeda")+(Inputs!$G$5:$G$120="acoes"))*Inputs!$B$1+((Inputs!$G$5:$G$120&lt;&gt;"moeda")*(Inputs!$G$5:$G$120&lt;&gt;"acoes")))*INDEX(Inputs!$K$5:$AJ$120,0,MATCH(F$2,Inputs!$K$4:$AJ$4,0)))+SUMPRODUCT((Inputs!$C$5:$C$120=$B35)*Inputs!$D$5:$D$120*(((Inputs!$G$5:$G$120="moeda")+(Inputs!$G$5:$G$120="acoes"))*Inputs!$B$1+((Inputs!$G$5:$G$120&lt;&gt;"moeda")*(Inputs!$G$5:$G$120&lt;&gt;"acoes")))*INDEX(Inputs!$K$5:$AJ$120,0,MATCH(F$2,Inputs!$K$4:$AJ$4,0)))+SUMPRODUCT((Inputs!$E$5:$E$120=$B35)*Inputs!$F$5:$F$120*(((Inputs!$G$5:$G$120="moeda")+(Inputs!$G$5:$G$120="acoes"))*Inputs!$B$1+((Inputs!$G$5:$G$120&lt;&gt;"moeda")*(Inputs!$G$5:$G$120&lt;&gt;"acoes")))*INDEX(Inputs!$K$5:$AJ$120,0,MATCH(F$2,Inputs!$K$4:$AJ$4,0)))))</f>
        <v>0</v>
      </c>
      <c r="G35" s="6">
        <f>IF(ISNA(MATCH(G$2,Inputs!$K$4:$AJ$4,0)),NA(),IF(SUMPRODUCT((Inputs!$A$5:$A$120=$B35)*ISNUMBER(INDEX(Inputs!$K$5:$AJ$120,0,MATCH(G$2,Inputs!$K$4:$AJ$4,0))))+SUMPRODUCT((Inputs!$C$5:$C$120=$B35)*ISNUMBER(INDEX(Inputs!$K$5:$AJ$120,0,MATCH(G$2,Inputs!$K$4:$AJ$4,0))))+SUMPRODUCT((Inputs!$E$5:$E$120=$B35)*ISNUMBER(INDEX(Inputs!$K$5:$AJ$120,0,MATCH(G$2,Inputs!$K$4:$AJ$4,0))))=0,NA(),SUMPRODUCT((Inputs!$A$5:$A$120=$B35)*Inputs!$B$5:$B$120*(((Inputs!$G$5:$G$120="moeda")+(Inputs!$G$5:$G$120="acoes"))*Inputs!$B$1+((Inputs!$G$5:$G$120&lt;&gt;"moeda")*(Inputs!$G$5:$G$120&lt;&gt;"acoes")))*INDEX(Inputs!$K$5:$AJ$120,0,MATCH(G$2,Inputs!$K$4:$AJ$4,0)))+SUMPRODUCT((Inputs!$C$5:$C$120=$B35)*Inputs!$D$5:$D$120*(((Inputs!$G$5:$G$120="moeda")+(Inputs!$G$5:$G$120="acoes"))*Inputs!$B$1+((Inputs!$G$5:$G$120&lt;&gt;"moeda")*(Inputs!$G$5:$G$120&lt;&gt;"acoes")))*INDEX(Inputs!$K$5:$AJ$120,0,MATCH(G$2,Inputs!$K$4:$AJ$4,0)))+SUMPRODUCT((Inputs!$E$5:$E$120=$B35)*Inputs!$F$5:$F$120*(((Inputs!$G$5:$G$120="moeda")+(Inputs!$G$5:$G$120="acoes"))*Inputs!$B$1+((Inputs!$G$5:$G$120&lt;&gt;"moeda")*(Inputs!$G$5:$G$120&lt;&gt;"acoes")))*INDEX(Inputs!$K$5:$AJ$120,0,MATCH(G$2,Inputs!$K$4:$AJ$4,0)))))</f>
        <v>0</v>
      </c>
      <c r="H35" s="3">
        <f>G35</f>
        <v>0</v>
      </c>
      <c r="I35" s="6">
        <f>IF(ISNA(MATCH(I$2,Inputs!$K$4:$AJ$4,0)),NA(),IF(SUMPRODUCT((Inputs!$A$5:$A$120=$B35)*ISNUMBER(INDEX(Inputs!$K$5:$AJ$120,0,MATCH(I$2,Inputs!$K$4:$AJ$4,0))))+SUMPRODUCT((Inputs!$C$5:$C$120=$B35)*ISNUMBER(INDEX(Inputs!$K$5:$AJ$120,0,MATCH(I$2,Inputs!$K$4:$AJ$4,0))))+SUMPRODUCT((Inputs!$E$5:$E$120=$B35)*ISNUMBER(INDEX(Inputs!$K$5:$AJ$120,0,MATCH(I$2,Inputs!$K$4:$AJ$4,0))))=0,NA(),SUMPRODUCT((Inputs!$A$5:$A$120=$B35)*Inputs!$B$5:$B$120*(((Inputs!$G$5:$G$120="moeda")+(Inputs!$G$5:$G$120="acoes"))*Inputs!$B$1+((Inputs!$G$5:$G$120&lt;&gt;"moeda")*(Inputs!$G$5:$G$120&lt;&gt;"acoes")))*INDEX(Inputs!$K$5:$AJ$120,0,MATCH(I$2,Inputs!$K$4:$AJ$4,0)))+SUMPRODUCT((Inputs!$C$5:$C$120=$B35)*Inputs!$D$5:$D$120*(((Inputs!$G$5:$G$120="moeda")+(Inputs!$G$5:$G$120="acoes"))*Inputs!$B$1+((Inputs!$G$5:$G$120&lt;&gt;"moeda")*(Inputs!$G$5:$G$120&lt;&gt;"acoes")))*INDEX(Inputs!$K$5:$AJ$120,0,MATCH(I$2,Inputs!$K$4:$AJ$4,0)))+SUMPRODUCT((Inputs!$E$5:$E$120=$B35)*Inputs!$F$5:$F$120*(((Inputs!$G$5:$G$120="moeda")+(Inputs!$G$5:$G$120="acoes"))*Inputs!$B$1+((Inputs!$G$5:$G$120&lt;&gt;"moeda")*(Inputs!$G$5:$G$120&lt;&gt;"acoes")))*INDEX(Inputs!$K$5:$AJ$120,0,MATCH(I$2,Inputs!$K$4:$AJ$4,0)))))</f>
        <v>0</v>
      </c>
      <c r="J35" s="6">
        <f>IF(ISNA(MATCH(J$2,Inputs!$K$4:$AJ$4,0)),NA(),IF(SUMPRODUCT((Inputs!$A$5:$A$120=$B35)*ISNUMBER(INDEX(Inputs!$K$5:$AJ$120,0,MATCH(J$2,Inputs!$K$4:$AJ$4,0))))+SUMPRODUCT((Inputs!$C$5:$C$120=$B35)*ISNUMBER(INDEX(Inputs!$K$5:$AJ$120,0,MATCH(J$2,Inputs!$K$4:$AJ$4,0))))+SUMPRODUCT((Inputs!$E$5:$E$120=$B35)*ISNUMBER(INDEX(Inputs!$K$5:$AJ$120,0,MATCH(J$2,Inputs!$K$4:$AJ$4,0))))=0,NA(),SUMPRODUCT((Inputs!$A$5:$A$120=$B35)*Inputs!$B$5:$B$120*(((Inputs!$G$5:$G$120="moeda")+(Inputs!$G$5:$G$120="acoes"))*Inputs!$B$1+((Inputs!$G$5:$G$120&lt;&gt;"moeda")*(Inputs!$G$5:$G$120&lt;&gt;"acoes")))*INDEX(Inputs!$K$5:$AJ$120,0,MATCH(J$2,Inputs!$K$4:$AJ$4,0)))+SUMPRODUCT((Inputs!$C$5:$C$120=$B35)*Inputs!$D$5:$D$120*(((Inputs!$G$5:$G$120="moeda")+(Inputs!$G$5:$G$120="acoes"))*Inputs!$B$1+((Inputs!$G$5:$G$120&lt;&gt;"moeda")*(Inputs!$G$5:$G$120&lt;&gt;"acoes")))*INDEX(Inputs!$K$5:$AJ$120,0,MATCH(J$2,Inputs!$K$4:$AJ$4,0)))+SUMPRODUCT((Inputs!$E$5:$E$120=$B35)*Inputs!$F$5:$F$120*(((Inputs!$G$5:$G$120="moeda")+(Inputs!$G$5:$G$120="acoes"))*Inputs!$B$1+((Inputs!$G$5:$G$120&lt;&gt;"moeda")*(Inputs!$G$5:$G$120&lt;&gt;"acoes")))*INDEX(Inputs!$K$5:$AJ$120,0,MATCH(J$2,Inputs!$K$4:$AJ$4,0)))))</f>
        <v>0</v>
      </c>
      <c r="K35" s="6">
        <f>IF(ISNA(MATCH(K$2,Inputs!$K$4:$AJ$4,0)),NA(),IF(SUMPRODUCT((Inputs!$A$5:$A$120=$B35)*ISNUMBER(INDEX(Inputs!$K$5:$AJ$120,0,MATCH(K$2,Inputs!$K$4:$AJ$4,0))))+SUMPRODUCT((Inputs!$C$5:$C$120=$B35)*ISNUMBER(INDEX(Inputs!$K$5:$AJ$120,0,MATCH(K$2,Inputs!$K$4:$AJ$4,0))))+SUMPRODUCT((Inputs!$E$5:$E$120=$B35)*ISNUMBER(INDEX(Inputs!$K$5:$AJ$120,0,MATCH(K$2,Inputs!$K$4:$AJ$4,0))))=0,NA(),SUMPRODUCT((Inputs!$A$5:$A$120=$B35)*Inputs!$B$5:$B$120*(((Inputs!$G$5:$G$120="moeda")+(Inputs!$G$5:$G$120="acoes"))*Inputs!$B$1+((Inputs!$G$5:$G$120&lt;&gt;"moeda")*(Inputs!$G$5:$G$120&lt;&gt;"acoes")))*INDEX(Inputs!$K$5:$AJ$120,0,MATCH(K$2,Inputs!$K$4:$AJ$4,0)))+SUMPRODUCT((Inputs!$C$5:$C$120=$B35)*Inputs!$D$5:$D$120*(((Inputs!$G$5:$G$120="moeda")+(Inputs!$G$5:$G$120="acoes"))*Inputs!$B$1+((Inputs!$G$5:$G$120&lt;&gt;"moeda")*(Inputs!$G$5:$G$120&lt;&gt;"acoes")))*INDEX(Inputs!$K$5:$AJ$120,0,MATCH(K$2,Inputs!$K$4:$AJ$4,0)))+SUMPRODUCT((Inputs!$E$5:$E$120=$B35)*Inputs!$F$5:$F$120*(((Inputs!$G$5:$G$120="moeda")+(Inputs!$G$5:$G$120="acoes"))*Inputs!$B$1+((Inputs!$G$5:$G$120&lt;&gt;"moeda")*(Inputs!$G$5:$G$120&lt;&gt;"acoes")))*INDEX(Inputs!$K$5:$AJ$120,0,MATCH(K$2,Inputs!$K$4:$AJ$4,0)))))</f>
        <v>0</v>
      </c>
      <c r="L35" s="6">
        <f>IF(ISNA(MATCH(L$2,Inputs!$K$4:$AJ$4,0)),NA(),IF(SUMPRODUCT((Inputs!$A$5:$A$120=$B35)*ISNUMBER(INDEX(Inputs!$K$5:$AJ$120,0,MATCH(L$2,Inputs!$K$4:$AJ$4,0))))+SUMPRODUCT((Inputs!$C$5:$C$120=$B35)*ISNUMBER(INDEX(Inputs!$K$5:$AJ$120,0,MATCH(L$2,Inputs!$K$4:$AJ$4,0))))+SUMPRODUCT((Inputs!$E$5:$E$120=$B35)*ISNUMBER(INDEX(Inputs!$K$5:$AJ$120,0,MATCH(L$2,Inputs!$K$4:$AJ$4,0))))=0,NA(),SUMPRODUCT((Inputs!$A$5:$A$120=$B35)*Inputs!$B$5:$B$120*(((Inputs!$G$5:$G$120="moeda")+(Inputs!$G$5:$G$120="acoes"))*Inputs!$B$1+((Inputs!$G$5:$G$120&lt;&gt;"moeda")*(Inputs!$G$5:$G$120&lt;&gt;"acoes")))*INDEX(Inputs!$K$5:$AJ$120,0,MATCH(L$2,Inputs!$K$4:$AJ$4,0)))+SUMPRODUCT((Inputs!$C$5:$C$120=$B35)*Inputs!$D$5:$D$120*(((Inputs!$G$5:$G$120="moeda")+(Inputs!$G$5:$G$120="acoes"))*Inputs!$B$1+((Inputs!$G$5:$G$120&lt;&gt;"moeda")*(Inputs!$G$5:$G$120&lt;&gt;"acoes")))*INDEX(Inputs!$K$5:$AJ$120,0,MATCH(L$2,Inputs!$K$4:$AJ$4,0)))+SUMPRODUCT((Inputs!$E$5:$E$120=$B35)*Inputs!$F$5:$F$120*(((Inputs!$G$5:$G$120="moeda")+(Inputs!$G$5:$G$120="acoes"))*Inputs!$B$1+((Inputs!$G$5:$G$120&lt;&gt;"moeda")*(Inputs!$G$5:$G$120&lt;&gt;"acoes")))*INDEX(Inputs!$K$5:$AJ$120,0,MATCH(L$2,Inputs!$K$4:$AJ$4,0)))))</f>
        <v>0</v>
      </c>
      <c r="M35" s="3">
        <f>L35</f>
        <v>0</v>
      </c>
      <c r="N35" s="6">
        <f>IF(ISNA(MATCH(N$2,Inputs!$K$4:$AJ$4,0)),NA(),IF(SUMPRODUCT((Inputs!$A$5:$A$120=$B35)*ISNUMBER(INDEX(Inputs!$K$5:$AJ$120,0,MATCH(N$2,Inputs!$K$4:$AJ$4,0))))+SUMPRODUCT((Inputs!$C$5:$C$120=$B35)*ISNUMBER(INDEX(Inputs!$K$5:$AJ$120,0,MATCH(N$2,Inputs!$K$4:$AJ$4,0))))+SUMPRODUCT((Inputs!$E$5:$E$120=$B35)*ISNUMBER(INDEX(Inputs!$K$5:$AJ$120,0,MATCH(N$2,Inputs!$K$4:$AJ$4,0))))=0,NA(),SUMPRODUCT((Inputs!$A$5:$A$120=$B35)*Inputs!$B$5:$B$120*(((Inputs!$G$5:$G$120="moeda")+(Inputs!$G$5:$G$120="acoes"))*Inputs!$B$1+((Inputs!$G$5:$G$120&lt;&gt;"moeda")*(Inputs!$G$5:$G$120&lt;&gt;"acoes")))*INDEX(Inputs!$K$5:$AJ$120,0,MATCH(N$2,Inputs!$K$4:$AJ$4,0)))+SUMPRODUCT((Inputs!$C$5:$C$120=$B35)*Inputs!$D$5:$D$120*(((Inputs!$G$5:$G$120="moeda")+(Inputs!$G$5:$G$120="acoes"))*Inputs!$B$1+((Inputs!$G$5:$G$120&lt;&gt;"moeda")*(Inputs!$G$5:$G$120&lt;&gt;"acoes")))*INDEX(Inputs!$K$5:$AJ$120,0,MATCH(N$2,Inputs!$K$4:$AJ$4,0)))+SUMPRODUCT((Inputs!$E$5:$E$120=$B35)*Inputs!$F$5:$F$120*(((Inputs!$G$5:$G$120="moeda")+(Inputs!$G$5:$G$120="acoes"))*Inputs!$B$1+((Inputs!$G$5:$G$120&lt;&gt;"moeda")*(Inputs!$G$5:$G$120&lt;&gt;"acoes")))*INDEX(Inputs!$K$5:$AJ$120,0,MATCH(N$2,Inputs!$K$4:$AJ$4,0)))))</f>
        <v>0</v>
      </c>
      <c r="O35" s="6">
        <f>IF(ISNA(MATCH(O$2,Inputs!$K$4:$AJ$4,0)),NA(),IF(SUMPRODUCT((Inputs!$A$5:$A$120=$B35)*ISNUMBER(INDEX(Inputs!$K$5:$AJ$120,0,MATCH(O$2,Inputs!$K$4:$AJ$4,0))))+SUMPRODUCT((Inputs!$C$5:$C$120=$B35)*ISNUMBER(INDEX(Inputs!$K$5:$AJ$120,0,MATCH(O$2,Inputs!$K$4:$AJ$4,0))))+SUMPRODUCT((Inputs!$E$5:$E$120=$B35)*ISNUMBER(INDEX(Inputs!$K$5:$AJ$120,0,MATCH(O$2,Inputs!$K$4:$AJ$4,0))))=0,NA(),SUMPRODUCT((Inputs!$A$5:$A$120=$B35)*Inputs!$B$5:$B$120*(((Inputs!$G$5:$G$120="moeda")+(Inputs!$G$5:$G$120="acoes"))*Inputs!$B$1+((Inputs!$G$5:$G$120&lt;&gt;"moeda")*(Inputs!$G$5:$G$120&lt;&gt;"acoes")))*INDEX(Inputs!$K$5:$AJ$120,0,MATCH(O$2,Inputs!$K$4:$AJ$4,0)))+SUMPRODUCT((Inputs!$C$5:$C$120=$B35)*Inputs!$D$5:$D$120*(((Inputs!$G$5:$G$120="moeda")+(Inputs!$G$5:$G$120="acoes"))*Inputs!$B$1+((Inputs!$G$5:$G$120&lt;&gt;"moeda")*(Inputs!$G$5:$G$120&lt;&gt;"acoes")))*INDEX(Inputs!$K$5:$AJ$120,0,MATCH(O$2,Inputs!$K$4:$AJ$4,0)))+SUMPRODUCT((Inputs!$E$5:$E$120=$B35)*Inputs!$F$5:$F$120*(((Inputs!$G$5:$G$120="moeda")+(Inputs!$G$5:$G$120="acoes"))*Inputs!$B$1+((Inputs!$G$5:$G$120&lt;&gt;"moeda")*(Inputs!$G$5:$G$120&lt;&gt;"acoes")))*INDEX(Inputs!$K$5:$AJ$120,0,MATCH(O$2,Inputs!$K$4:$AJ$4,0)))))</f>
        <v>0</v>
      </c>
      <c r="P35" s="6">
        <f>IF(ISNA(MATCH(P$2,Inputs!$K$4:$AJ$4,0)),NA(),IF(SUMPRODUCT((Inputs!$A$5:$A$120=$B35)*ISNUMBER(INDEX(Inputs!$K$5:$AJ$120,0,MATCH(P$2,Inputs!$K$4:$AJ$4,0))))+SUMPRODUCT((Inputs!$C$5:$C$120=$B35)*ISNUMBER(INDEX(Inputs!$K$5:$AJ$120,0,MATCH(P$2,Inputs!$K$4:$AJ$4,0))))+SUMPRODUCT((Inputs!$E$5:$E$120=$B35)*ISNUMBER(INDEX(Inputs!$K$5:$AJ$120,0,MATCH(P$2,Inputs!$K$4:$AJ$4,0))))=0,NA(),SUMPRODUCT((Inputs!$A$5:$A$120=$B35)*Inputs!$B$5:$B$120*(((Inputs!$G$5:$G$120="moeda")+(Inputs!$G$5:$G$120="acoes"))*Inputs!$B$1+((Inputs!$G$5:$G$120&lt;&gt;"moeda")*(Inputs!$G$5:$G$120&lt;&gt;"acoes")))*INDEX(Inputs!$K$5:$AJ$120,0,MATCH(P$2,Inputs!$K$4:$AJ$4,0)))+SUMPRODUCT((Inputs!$C$5:$C$120=$B35)*Inputs!$D$5:$D$120*(((Inputs!$G$5:$G$120="moeda")+(Inputs!$G$5:$G$120="acoes"))*Inputs!$B$1+((Inputs!$G$5:$G$120&lt;&gt;"moeda")*(Inputs!$G$5:$G$120&lt;&gt;"acoes")))*INDEX(Inputs!$K$5:$AJ$120,0,MATCH(P$2,Inputs!$K$4:$AJ$4,0)))+SUMPRODUCT((Inputs!$E$5:$E$120=$B35)*Inputs!$F$5:$F$120*(((Inputs!$G$5:$G$120="moeda")+(Inputs!$G$5:$G$120="acoes"))*Inputs!$B$1+((Inputs!$G$5:$G$120&lt;&gt;"moeda")*(Inputs!$G$5:$G$120&lt;&gt;"acoes")))*INDEX(Inputs!$K$5:$AJ$120,0,MATCH(P$2,Inputs!$K$4:$AJ$4,0)))))</f>
        <v>0</v>
      </c>
      <c r="Q35" s="6">
        <f>IF(ISNA(MATCH(Q$2,Inputs!$K$4:$AJ$4,0)),NA(),IF(SUMPRODUCT((Inputs!$A$5:$A$120=$B35)*ISNUMBER(INDEX(Inputs!$K$5:$AJ$120,0,MATCH(Q$2,Inputs!$K$4:$AJ$4,0))))+SUMPRODUCT((Inputs!$C$5:$C$120=$B35)*ISNUMBER(INDEX(Inputs!$K$5:$AJ$120,0,MATCH(Q$2,Inputs!$K$4:$AJ$4,0))))+SUMPRODUCT((Inputs!$E$5:$E$120=$B35)*ISNUMBER(INDEX(Inputs!$K$5:$AJ$120,0,MATCH(Q$2,Inputs!$K$4:$AJ$4,0))))=0,NA(),SUMPRODUCT((Inputs!$A$5:$A$120=$B35)*Inputs!$B$5:$B$120*(((Inputs!$G$5:$G$120="moeda")+(Inputs!$G$5:$G$120="acoes"))*Inputs!$B$1+((Inputs!$G$5:$G$120&lt;&gt;"moeda")*(Inputs!$G$5:$G$120&lt;&gt;"acoes")))*INDEX(Inputs!$K$5:$AJ$120,0,MATCH(Q$2,Inputs!$K$4:$AJ$4,0)))+SUMPRODUCT((Inputs!$C$5:$C$120=$B35)*Inputs!$D$5:$D$120*(((Inputs!$G$5:$G$120="moeda")+(Inputs!$G$5:$G$120="acoes"))*Inputs!$B$1+((Inputs!$G$5:$G$120&lt;&gt;"moeda")*(Inputs!$G$5:$G$120&lt;&gt;"acoes")))*INDEX(Inputs!$K$5:$AJ$120,0,MATCH(Q$2,Inputs!$K$4:$AJ$4,0)))+SUMPRODUCT((Inputs!$E$5:$E$120=$B35)*Inputs!$F$5:$F$120*(((Inputs!$G$5:$G$120="moeda")+(Inputs!$G$5:$G$120="acoes"))*Inputs!$B$1+((Inputs!$G$5:$G$120&lt;&gt;"moeda")*(Inputs!$G$5:$G$120&lt;&gt;"acoes")))*INDEX(Inputs!$K$5:$AJ$120,0,MATCH(Q$2,Inputs!$K$4:$AJ$4,0)))))</f>
        <v>0</v>
      </c>
      <c r="R35" s="3">
        <f>Q35</f>
        <v>0</v>
      </c>
      <c r="S35" s="6">
        <f>IF(ISNA(MATCH(S$2,Inputs!$K$4:$AJ$4,0)),NA(),IF(SUMPRODUCT((Inputs!$A$5:$A$120=$B35)*ISNUMBER(INDEX(Inputs!$K$5:$AJ$120,0,MATCH(S$2,Inputs!$K$4:$AJ$4,0))))+SUMPRODUCT((Inputs!$C$5:$C$120=$B35)*ISNUMBER(INDEX(Inputs!$K$5:$AJ$120,0,MATCH(S$2,Inputs!$K$4:$AJ$4,0))))+SUMPRODUCT((Inputs!$E$5:$E$120=$B35)*ISNUMBER(INDEX(Inputs!$K$5:$AJ$120,0,MATCH(S$2,Inputs!$K$4:$AJ$4,0))))=0,NA(),SUMPRODUCT((Inputs!$A$5:$A$120=$B35)*Inputs!$B$5:$B$120*(((Inputs!$G$5:$G$120="moeda")+(Inputs!$G$5:$G$120="acoes"))*Inputs!$B$1+((Inputs!$G$5:$G$120&lt;&gt;"moeda")*(Inputs!$G$5:$G$120&lt;&gt;"acoes")))*INDEX(Inputs!$K$5:$AJ$120,0,MATCH(S$2,Inputs!$K$4:$AJ$4,0)))+SUMPRODUCT((Inputs!$C$5:$C$120=$B35)*Inputs!$D$5:$D$120*(((Inputs!$G$5:$G$120="moeda")+(Inputs!$G$5:$G$120="acoes"))*Inputs!$B$1+((Inputs!$G$5:$G$120&lt;&gt;"moeda")*(Inputs!$G$5:$G$120&lt;&gt;"acoes")))*INDEX(Inputs!$K$5:$AJ$120,0,MATCH(S$2,Inputs!$K$4:$AJ$4,0)))+SUMPRODUCT((Inputs!$E$5:$E$120=$B35)*Inputs!$F$5:$F$120*(((Inputs!$G$5:$G$120="moeda")+(Inputs!$G$5:$G$120="acoes"))*Inputs!$B$1+((Inputs!$G$5:$G$120&lt;&gt;"moeda")*(Inputs!$G$5:$G$120&lt;&gt;"acoes")))*INDEX(Inputs!$K$5:$AJ$120,0,MATCH(S$2,Inputs!$K$4:$AJ$4,0)))))</f>
        <v>0</v>
      </c>
      <c r="T35" s="6">
        <f>IF(ISNA(MATCH(T$2,Inputs!$K$4:$AJ$4,0)),NA(),IF(SUMPRODUCT((Inputs!$A$5:$A$120=$B35)*ISNUMBER(INDEX(Inputs!$K$5:$AJ$120,0,MATCH(T$2,Inputs!$K$4:$AJ$4,0))))+SUMPRODUCT((Inputs!$C$5:$C$120=$B35)*ISNUMBER(INDEX(Inputs!$K$5:$AJ$120,0,MATCH(T$2,Inputs!$K$4:$AJ$4,0))))+SUMPRODUCT((Inputs!$E$5:$E$120=$B35)*ISNUMBER(INDEX(Inputs!$K$5:$AJ$120,0,MATCH(T$2,Inputs!$K$4:$AJ$4,0))))=0,NA(),SUMPRODUCT((Inputs!$A$5:$A$120=$B35)*Inputs!$B$5:$B$120*(((Inputs!$G$5:$G$120="moeda")+(Inputs!$G$5:$G$120="acoes"))*Inputs!$B$1+((Inputs!$G$5:$G$120&lt;&gt;"moeda")*(Inputs!$G$5:$G$120&lt;&gt;"acoes")))*INDEX(Inputs!$K$5:$AJ$120,0,MATCH(T$2,Inputs!$K$4:$AJ$4,0)))+SUMPRODUCT((Inputs!$C$5:$C$120=$B35)*Inputs!$D$5:$D$120*(((Inputs!$G$5:$G$120="moeda")+(Inputs!$G$5:$G$120="acoes"))*Inputs!$B$1+((Inputs!$G$5:$G$120&lt;&gt;"moeda")*(Inputs!$G$5:$G$120&lt;&gt;"acoes")))*INDEX(Inputs!$K$5:$AJ$120,0,MATCH(T$2,Inputs!$K$4:$AJ$4,0)))+SUMPRODUCT((Inputs!$E$5:$E$120=$B35)*Inputs!$F$5:$F$120*(((Inputs!$G$5:$G$120="moeda")+(Inputs!$G$5:$G$120="acoes"))*Inputs!$B$1+((Inputs!$G$5:$G$120&lt;&gt;"moeda")*(Inputs!$G$5:$G$120&lt;&gt;"acoes")))*INDEX(Inputs!$K$5:$AJ$120,0,MATCH(T$2,Inputs!$K$4:$AJ$4,0)))))</f>
        <v>0</v>
      </c>
      <c r="U35" s="6">
        <f>IF(ISNA(MATCH(U$2,Inputs!$K$4:$AJ$4,0)),NA(),IF(SUMPRODUCT((Inputs!$A$5:$A$120=$B35)*ISNUMBER(INDEX(Inputs!$K$5:$AJ$120,0,MATCH(U$2,Inputs!$K$4:$AJ$4,0))))+SUMPRODUCT((Inputs!$C$5:$C$120=$B35)*ISNUMBER(INDEX(Inputs!$K$5:$AJ$120,0,MATCH(U$2,Inputs!$K$4:$AJ$4,0))))+SUMPRODUCT((Inputs!$E$5:$E$120=$B35)*ISNUMBER(INDEX(Inputs!$K$5:$AJ$120,0,MATCH(U$2,Inputs!$K$4:$AJ$4,0))))=0,NA(),SUMPRODUCT((Inputs!$A$5:$A$120=$B35)*Inputs!$B$5:$B$120*(((Inputs!$G$5:$G$120="moeda")+(Inputs!$G$5:$G$120="acoes"))*Inputs!$B$1+((Inputs!$G$5:$G$120&lt;&gt;"moeda")*(Inputs!$G$5:$G$120&lt;&gt;"acoes")))*INDEX(Inputs!$K$5:$AJ$120,0,MATCH(U$2,Inputs!$K$4:$AJ$4,0)))+SUMPRODUCT((Inputs!$C$5:$C$120=$B35)*Inputs!$D$5:$D$120*(((Inputs!$G$5:$G$120="moeda")+(Inputs!$G$5:$G$120="acoes"))*Inputs!$B$1+((Inputs!$G$5:$G$120&lt;&gt;"moeda")*(Inputs!$G$5:$G$120&lt;&gt;"acoes")))*INDEX(Inputs!$K$5:$AJ$120,0,MATCH(U$2,Inputs!$K$4:$AJ$4,0)))+SUMPRODUCT((Inputs!$E$5:$E$120=$B35)*Inputs!$F$5:$F$120*(((Inputs!$G$5:$G$120="moeda")+(Inputs!$G$5:$G$120="acoes"))*Inputs!$B$1+((Inputs!$G$5:$G$120&lt;&gt;"moeda")*(Inputs!$G$5:$G$120&lt;&gt;"acoes")))*INDEX(Inputs!$K$5:$AJ$120,0,MATCH(U$2,Inputs!$K$4:$AJ$4,0)))))</f>
        <v>0</v>
      </c>
      <c r="V35" s="6">
        <f>IF(ISNA(MATCH(V$2,Inputs!$K$4:$AJ$4,0)),NA(),IF(SUMPRODUCT((Inputs!$A$5:$A$120=$B35)*ISNUMBER(INDEX(Inputs!$K$5:$AJ$120,0,MATCH(V$2,Inputs!$K$4:$AJ$4,0))))+SUMPRODUCT((Inputs!$C$5:$C$120=$B35)*ISNUMBER(INDEX(Inputs!$K$5:$AJ$120,0,MATCH(V$2,Inputs!$K$4:$AJ$4,0))))+SUMPRODUCT((Inputs!$E$5:$E$120=$B35)*ISNUMBER(INDEX(Inputs!$K$5:$AJ$120,0,MATCH(V$2,Inputs!$K$4:$AJ$4,0))))=0,NA(),SUMPRODUCT((Inputs!$A$5:$A$120=$B35)*Inputs!$B$5:$B$120*(((Inputs!$G$5:$G$120="moeda")+(Inputs!$G$5:$G$120="acoes"))*Inputs!$B$1+((Inputs!$G$5:$G$120&lt;&gt;"moeda")*(Inputs!$G$5:$G$120&lt;&gt;"acoes")))*INDEX(Inputs!$K$5:$AJ$120,0,MATCH(V$2,Inputs!$K$4:$AJ$4,0)))+SUMPRODUCT((Inputs!$C$5:$C$120=$B35)*Inputs!$D$5:$D$120*(((Inputs!$G$5:$G$120="moeda")+(Inputs!$G$5:$G$120="acoes"))*Inputs!$B$1+((Inputs!$G$5:$G$120&lt;&gt;"moeda")*(Inputs!$G$5:$G$120&lt;&gt;"acoes")))*INDEX(Inputs!$K$5:$AJ$120,0,MATCH(V$2,Inputs!$K$4:$AJ$4,0)))+SUMPRODUCT((Inputs!$E$5:$E$120=$B35)*Inputs!$F$5:$F$120*(((Inputs!$G$5:$G$120="moeda")+(Inputs!$G$5:$G$120="acoes"))*Inputs!$B$1+((Inputs!$G$5:$G$120&lt;&gt;"moeda")*(Inputs!$G$5:$G$120&lt;&gt;"acoes")))*INDEX(Inputs!$K$5:$AJ$120,0,MATCH(V$2,Inputs!$K$4:$AJ$4,0)))))</f>
        <v>0</v>
      </c>
      <c r="W35" s="3">
        <f>V35</f>
        <v>0</v>
      </c>
      <c r="X35" s="6">
        <f>IF(ISNA(MATCH(X$2,Inputs!$K$4:$AJ$4,0)),NA(),IF(SUMPRODUCT((Inputs!$A$5:$A$120=$B35)*ISNUMBER(INDEX(Inputs!$K$5:$AJ$120,0,MATCH(X$2,Inputs!$K$4:$AJ$4,0))))+SUMPRODUCT((Inputs!$C$5:$C$120=$B35)*ISNUMBER(INDEX(Inputs!$K$5:$AJ$120,0,MATCH(X$2,Inputs!$K$4:$AJ$4,0))))+SUMPRODUCT((Inputs!$E$5:$E$120=$B35)*ISNUMBER(INDEX(Inputs!$K$5:$AJ$120,0,MATCH(X$2,Inputs!$K$4:$AJ$4,0))))=0,NA(),SUMPRODUCT((Inputs!$A$5:$A$120=$B35)*Inputs!$B$5:$B$120*(((Inputs!$G$5:$G$120="moeda")+(Inputs!$G$5:$G$120="acoes"))*Inputs!$B$1+((Inputs!$G$5:$G$120&lt;&gt;"moeda")*(Inputs!$G$5:$G$120&lt;&gt;"acoes")))*INDEX(Inputs!$K$5:$AJ$120,0,MATCH(X$2,Inputs!$K$4:$AJ$4,0)))+SUMPRODUCT((Inputs!$C$5:$C$120=$B35)*Inputs!$D$5:$D$120*(((Inputs!$G$5:$G$120="moeda")+(Inputs!$G$5:$G$120="acoes"))*Inputs!$B$1+((Inputs!$G$5:$G$120&lt;&gt;"moeda")*(Inputs!$G$5:$G$120&lt;&gt;"acoes")))*INDEX(Inputs!$K$5:$AJ$120,0,MATCH(X$2,Inputs!$K$4:$AJ$4,0)))+SUMPRODUCT((Inputs!$E$5:$E$120=$B35)*Inputs!$F$5:$F$120*(((Inputs!$G$5:$G$120="moeda")+(Inputs!$G$5:$G$120="acoes"))*Inputs!$B$1+((Inputs!$G$5:$G$120&lt;&gt;"moeda")*(Inputs!$G$5:$G$120&lt;&gt;"acoes")))*INDEX(Inputs!$K$5:$AJ$120,0,MATCH(X$2,Inputs!$K$4:$AJ$4,0)))))</f>
        <v>0</v>
      </c>
      <c r="Y35" s="6">
        <f>IF(ISNA(MATCH(Y$2,Inputs!$K$4:$AJ$4,0)),NA(),IF(SUMPRODUCT((Inputs!$A$5:$A$120=$B35)*ISNUMBER(INDEX(Inputs!$K$5:$AJ$120,0,MATCH(Y$2,Inputs!$K$4:$AJ$4,0))))+SUMPRODUCT((Inputs!$C$5:$C$120=$B35)*ISNUMBER(INDEX(Inputs!$K$5:$AJ$120,0,MATCH(Y$2,Inputs!$K$4:$AJ$4,0))))+SUMPRODUCT((Inputs!$E$5:$E$120=$B35)*ISNUMBER(INDEX(Inputs!$K$5:$AJ$120,0,MATCH(Y$2,Inputs!$K$4:$AJ$4,0))))=0,NA(),SUMPRODUCT((Inputs!$A$5:$A$120=$B35)*Inputs!$B$5:$B$120*(((Inputs!$G$5:$G$120="moeda")+(Inputs!$G$5:$G$120="acoes"))*Inputs!$B$1+((Inputs!$G$5:$G$120&lt;&gt;"moeda")*(Inputs!$G$5:$G$120&lt;&gt;"acoes")))*INDEX(Inputs!$K$5:$AJ$120,0,MATCH(Y$2,Inputs!$K$4:$AJ$4,0)))+SUMPRODUCT((Inputs!$C$5:$C$120=$B35)*Inputs!$D$5:$D$120*(((Inputs!$G$5:$G$120="moeda")+(Inputs!$G$5:$G$120="acoes"))*Inputs!$B$1+((Inputs!$G$5:$G$120&lt;&gt;"moeda")*(Inputs!$G$5:$G$120&lt;&gt;"acoes")))*INDEX(Inputs!$K$5:$AJ$120,0,MATCH(Y$2,Inputs!$K$4:$AJ$4,0)))+SUMPRODUCT((Inputs!$E$5:$E$120=$B35)*Inputs!$F$5:$F$120*(((Inputs!$G$5:$G$120="moeda")+(Inputs!$G$5:$G$120="acoes"))*Inputs!$B$1+((Inputs!$G$5:$G$120&lt;&gt;"moeda")*(Inputs!$G$5:$G$120&lt;&gt;"acoes")))*INDEX(Inputs!$K$5:$AJ$120,0,MATCH(Y$2,Inputs!$K$4:$AJ$4,0)))))</f>
        <v>0</v>
      </c>
      <c r="Z35" s="6">
        <f>IF(ISNA(MATCH(Z$2,Inputs!$K$4:$AJ$4,0)),NA(),IF(SUMPRODUCT((Inputs!$A$5:$A$120=$B35)*ISNUMBER(INDEX(Inputs!$K$5:$AJ$120,0,MATCH(Z$2,Inputs!$K$4:$AJ$4,0))))+SUMPRODUCT((Inputs!$C$5:$C$120=$B35)*ISNUMBER(INDEX(Inputs!$K$5:$AJ$120,0,MATCH(Z$2,Inputs!$K$4:$AJ$4,0))))+SUMPRODUCT((Inputs!$E$5:$E$120=$B35)*ISNUMBER(INDEX(Inputs!$K$5:$AJ$120,0,MATCH(Z$2,Inputs!$K$4:$AJ$4,0))))=0,NA(),SUMPRODUCT((Inputs!$A$5:$A$120=$B35)*Inputs!$B$5:$B$120*(((Inputs!$G$5:$G$120="moeda")+(Inputs!$G$5:$G$120="acoes"))*Inputs!$B$1+((Inputs!$G$5:$G$120&lt;&gt;"moeda")*(Inputs!$G$5:$G$120&lt;&gt;"acoes")))*INDEX(Inputs!$K$5:$AJ$120,0,MATCH(Z$2,Inputs!$K$4:$AJ$4,0)))+SUMPRODUCT((Inputs!$C$5:$C$120=$B35)*Inputs!$D$5:$D$120*(((Inputs!$G$5:$G$120="moeda")+(Inputs!$G$5:$G$120="acoes"))*Inputs!$B$1+((Inputs!$G$5:$G$120&lt;&gt;"moeda")*(Inputs!$G$5:$G$120&lt;&gt;"acoes")))*INDEX(Inputs!$K$5:$AJ$120,0,MATCH(Z$2,Inputs!$K$4:$AJ$4,0)))+SUMPRODUCT((Inputs!$E$5:$E$120=$B35)*Inputs!$F$5:$F$120*(((Inputs!$G$5:$G$120="moeda")+(Inputs!$G$5:$G$120="acoes"))*Inputs!$B$1+((Inputs!$G$5:$G$120&lt;&gt;"moeda")*(Inputs!$G$5:$G$120&lt;&gt;"acoes")))*INDEX(Inputs!$K$5:$AJ$120,0,MATCH(Z$2,Inputs!$K$4:$AJ$4,0)))))</f>
        <v>0</v>
      </c>
      <c r="AA35" s="6">
        <f>IF(ISNA(MATCH(AA$2,Inputs!$K$4:$AJ$4,0)),NA(),IF(SUMPRODUCT((Inputs!$A$5:$A$120=$B35)*ISNUMBER(INDEX(Inputs!$K$5:$AJ$120,0,MATCH(AA$2,Inputs!$K$4:$AJ$4,0))))+SUMPRODUCT((Inputs!$C$5:$C$120=$B35)*ISNUMBER(INDEX(Inputs!$K$5:$AJ$120,0,MATCH(AA$2,Inputs!$K$4:$AJ$4,0))))+SUMPRODUCT((Inputs!$E$5:$E$120=$B35)*ISNUMBER(INDEX(Inputs!$K$5:$AJ$120,0,MATCH(AA$2,Inputs!$K$4:$AJ$4,0))))=0,NA(),SUMPRODUCT((Inputs!$A$5:$A$120=$B35)*Inputs!$B$5:$B$120*(((Inputs!$G$5:$G$120="moeda")+(Inputs!$G$5:$G$120="acoes"))*Inputs!$B$1+((Inputs!$G$5:$G$120&lt;&gt;"moeda")*(Inputs!$G$5:$G$120&lt;&gt;"acoes")))*INDEX(Inputs!$K$5:$AJ$120,0,MATCH(AA$2,Inputs!$K$4:$AJ$4,0)))+SUMPRODUCT((Inputs!$C$5:$C$120=$B35)*Inputs!$D$5:$D$120*(((Inputs!$G$5:$G$120="moeda")+(Inputs!$G$5:$G$120="acoes"))*Inputs!$B$1+((Inputs!$G$5:$G$120&lt;&gt;"moeda")*(Inputs!$G$5:$G$120&lt;&gt;"acoes")))*INDEX(Inputs!$K$5:$AJ$120,0,MATCH(AA$2,Inputs!$K$4:$AJ$4,0)))+SUMPRODUCT((Inputs!$E$5:$E$120=$B35)*Inputs!$F$5:$F$120*(((Inputs!$G$5:$G$120="moeda")+(Inputs!$G$5:$G$120="acoes"))*Inputs!$B$1+((Inputs!$G$5:$G$120&lt;&gt;"moeda")*(Inputs!$G$5:$G$120&lt;&gt;"acoes")))*INDEX(Inputs!$K$5:$AJ$120,0,MATCH(AA$2,Inputs!$K$4:$AJ$4,0)))))</f>
        <v>0</v>
      </c>
      <c r="AB35" s="3">
        <f>AA35</f>
        <v>0</v>
      </c>
      <c r="AC35" s="6">
        <f>IF(ISNA(MATCH(AC$2,Inputs!$K$4:$AJ$4,0)),NA(),IF(SUMPRODUCT((Inputs!$A$5:$A$120=$B35)*ISNUMBER(INDEX(Inputs!$K$5:$AJ$120,0,MATCH(AC$2,Inputs!$K$4:$AJ$4,0))))+SUMPRODUCT((Inputs!$C$5:$C$120=$B35)*ISNUMBER(INDEX(Inputs!$K$5:$AJ$120,0,MATCH(AC$2,Inputs!$K$4:$AJ$4,0))))+SUMPRODUCT((Inputs!$E$5:$E$120=$B35)*ISNUMBER(INDEX(Inputs!$K$5:$AJ$120,0,MATCH(AC$2,Inputs!$K$4:$AJ$4,0))))=0,NA(),SUMPRODUCT((Inputs!$A$5:$A$120=$B35)*Inputs!$B$5:$B$120*(((Inputs!$G$5:$G$120="moeda")+(Inputs!$G$5:$G$120="acoes"))*Inputs!$B$1+((Inputs!$G$5:$G$120&lt;&gt;"moeda")*(Inputs!$G$5:$G$120&lt;&gt;"acoes")))*INDEX(Inputs!$K$5:$AJ$120,0,MATCH(AC$2,Inputs!$K$4:$AJ$4,0)))+SUMPRODUCT((Inputs!$C$5:$C$120=$B35)*Inputs!$D$5:$D$120*(((Inputs!$G$5:$G$120="moeda")+(Inputs!$G$5:$G$120="acoes"))*Inputs!$B$1+((Inputs!$G$5:$G$120&lt;&gt;"moeda")*(Inputs!$G$5:$G$120&lt;&gt;"acoes")))*INDEX(Inputs!$K$5:$AJ$120,0,MATCH(AC$2,Inputs!$K$4:$AJ$4,0)))+SUMPRODUCT((Inputs!$E$5:$E$120=$B35)*Inputs!$F$5:$F$120*(((Inputs!$G$5:$G$120="moeda")+(Inputs!$G$5:$G$120="acoes"))*Inputs!$B$1+((Inputs!$G$5:$G$120&lt;&gt;"moeda")*(Inputs!$G$5:$G$120&lt;&gt;"acoes")))*INDEX(Inputs!$K$5:$AJ$120,0,MATCH(AC$2,Inputs!$K$4:$AJ$4,0)))))</f>
        <v>0</v>
      </c>
      <c r="AD35" s="6">
        <f>IF(ISNA(MATCH(AD$2,Inputs!$K$4:$AJ$4,0)),NA(),IF(SUMPRODUCT((Inputs!$A$5:$A$120=$B35)*ISNUMBER(INDEX(Inputs!$K$5:$AJ$120,0,MATCH(AD$2,Inputs!$K$4:$AJ$4,0))))+SUMPRODUCT((Inputs!$C$5:$C$120=$B35)*ISNUMBER(INDEX(Inputs!$K$5:$AJ$120,0,MATCH(AD$2,Inputs!$K$4:$AJ$4,0))))+SUMPRODUCT((Inputs!$E$5:$E$120=$B35)*ISNUMBER(INDEX(Inputs!$K$5:$AJ$120,0,MATCH(AD$2,Inputs!$K$4:$AJ$4,0))))=0,NA(),SUMPRODUCT((Inputs!$A$5:$A$120=$B35)*Inputs!$B$5:$B$120*(((Inputs!$G$5:$G$120="moeda")+(Inputs!$G$5:$G$120="acoes"))*Inputs!$B$1+((Inputs!$G$5:$G$120&lt;&gt;"moeda")*(Inputs!$G$5:$G$120&lt;&gt;"acoes")))*INDEX(Inputs!$K$5:$AJ$120,0,MATCH(AD$2,Inputs!$K$4:$AJ$4,0)))+SUMPRODUCT((Inputs!$C$5:$C$120=$B35)*Inputs!$D$5:$D$120*(((Inputs!$G$5:$G$120="moeda")+(Inputs!$G$5:$G$120="acoes"))*Inputs!$B$1+((Inputs!$G$5:$G$120&lt;&gt;"moeda")*(Inputs!$G$5:$G$120&lt;&gt;"acoes")))*INDEX(Inputs!$K$5:$AJ$120,0,MATCH(AD$2,Inputs!$K$4:$AJ$4,0)))+SUMPRODUCT((Inputs!$E$5:$E$120=$B35)*Inputs!$F$5:$F$120*(((Inputs!$G$5:$G$120="moeda")+(Inputs!$G$5:$G$120="acoes"))*Inputs!$B$1+((Inputs!$G$5:$G$120&lt;&gt;"moeda")*(Inputs!$G$5:$G$120&lt;&gt;"acoes")))*INDEX(Inputs!$K$5:$AJ$120,0,MATCH(AD$2,Inputs!$K$4:$AJ$4,0)))))</f>
        <v>0</v>
      </c>
      <c r="AE35" s="6" t="e">
        <f>IF(ISNA(MATCH(AE$2,Inputs!$K$4:$AJ$4,0)),NA(),IF(SUMPRODUCT((Inputs!$A$5:$A$120=$B35)*ISNUMBER(INDEX(Inputs!$K$5:$AJ$120,0,MATCH(AE$2,Inputs!$K$4:$AJ$4,0))))+SUMPRODUCT((Inputs!$C$5:$C$120=$B35)*ISNUMBER(INDEX(Inputs!$K$5:$AJ$120,0,MATCH(AE$2,Inputs!$K$4:$AJ$4,0))))+SUMPRODUCT((Inputs!$E$5:$E$120=$B35)*ISNUMBER(INDEX(Inputs!$K$5:$AJ$120,0,MATCH(AE$2,Inputs!$K$4:$AJ$4,0))))=0,NA(),SUMPRODUCT((Inputs!$A$5:$A$120=$B35)*Inputs!$B$5:$B$120*(((Inputs!$G$5:$G$120="moeda")+(Inputs!$G$5:$G$120="acoes"))*Inputs!$B$1+((Inputs!$G$5:$G$120&lt;&gt;"moeda")*(Inputs!$G$5:$G$120&lt;&gt;"acoes")))*INDEX(Inputs!$K$5:$AJ$120,0,MATCH(AE$2,Inputs!$K$4:$AJ$4,0)))+SUMPRODUCT((Inputs!$C$5:$C$120=$B35)*Inputs!$D$5:$D$120*(((Inputs!$G$5:$G$120="moeda")+(Inputs!$G$5:$G$120="acoes"))*Inputs!$B$1+((Inputs!$G$5:$G$120&lt;&gt;"moeda")*(Inputs!$G$5:$G$120&lt;&gt;"acoes")))*INDEX(Inputs!$K$5:$AJ$120,0,MATCH(AE$2,Inputs!$K$4:$AJ$4,0)))+SUMPRODUCT((Inputs!$E$5:$E$120=$B35)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35" s="6" t="e">
        <f>IF(ISNA(MATCH(AF$2,Inputs!$K$4:$AJ$4,0)),NA(),IF(SUMPRODUCT((Inputs!$A$5:$A$120=$B35)*ISNUMBER(INDEX(Inputs!$K$5:$AJ$120,0,MATCH(AF$2,Inputs!$K$4:$AJ$4,0))))+SUMPRODUCT((Inputs!$C$5:$C$120=$B35)*ISNUMBER(INDEX(Inputs!$K$5:$AJ$120,0,MATCH(AF$2,Inputs!$K$4:$AJ$4,0))))+SUMPRODUCT((Inputs!$E$5:$E$120=$B35)*ISNUMBER(INDEX(Inputs!$K$5:$AJ$120,0,MATCH(AF$2,Inputs!$K$4:$AJ$4,0))))=0,NA(),SUMPRODUCT((Inputs!$A$5:$A$120=$B35)*Inputs!$B$5:$B$120*(((Inputs!$G$5:$G$120="moeda")+(Inputs!$G$5:$G$120="acoes"))*Inputs!$B$1+((Inputs!$G$5:$G$120&lt;&gt;"moeda")*(Inputs!$G$5:$G$120&lt;&gt;"acoes")))*INDEX(Inputs!$K$5:$AJ$120,0,MATCH(AF$2,Inputs!$K$4:$AJ$4,0)))+SUMPRODUCT((Inputs!$C$5:$C$120=$B35)*Inputs!$D$5:$D$120*(((Inputs!$G$5:$G$120="moeda")+(Inputs!$G$5:$G$120="acoes"))*Inputs!$B$1+((Inputs!$G$5:$G$120&lt;&gt;"moeda")*(Inputs!$G$5:$G$120&lt;&gt;"acoes")))*INDEX(Inputs!$K$5:$AJ$120,0,MATCH(AF$2,Inputs!$K$4:$AJ$4,0)))+SUMPRODUCT((Inputs!$E$5:$E$120=$B35)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35" s="3" t="e">
        <f>AF35</f>
        <v>#N/A</v>
      </c>
      <c r="AH35" s="6">
        <f>IF(ISNA(MATCH(AH$2,Inputs!$K$4:$AJ$4,0)),NA(),IF(SUMPRODUCT((Inputs!$A$5:$A$120=$B35)*ISNUMBER(INDEX(Inputs!$K$5:$AJ$120,0,MATCH(AH$2,Inputs!$K$4:$AJ$4,0))))+SUMPRODUCT((Inputs!$C$5:$C$120=$B35)*ISNUMBER(INDEX(Inputs!$K$5:$AJ$120,0,MATCH(AH$2,Inputs!$K$4:$AJ$4,0))))+SUMPRODUCT((Inputs!$E$5:$E$120=$B35)*ISNUMBER(INDEX(Inputs!$K$5:$AJ$120,0,MATCH(AH$2,Inputs!$K$4:$AJ$4,0))))=0,NA(),SUMPRODUCT((Inputs!$A$5:$A$120=$B35)*Inputs!$B$5:$B$120*(((Inputs!$G$5:$G$120="moeda")+(Inputs!$G$5:$G$120="acoes"))*Inputs!$B$1+((Inputs!$G$5:$G$120&lt;&gt;"moeda")*(Inputs!$G$5:$G$120&lt;&gt;"acoes")))*INDEX(Inputs!$K$5:$AJ$120,0,MATCH(AH$2,Inputs!$K$4:$AJ$4,0)))+SUMPRODUCT((Inputs!$C$5:$C$120=$B35)*Inputs!$D$5:$D$120*(((Inputs!$G$5:$G$120="moeda")+(Inputs!$G$5:$G$120="acoes"))*Inputs!$B$1+((Inputs!$G$5:$G$120&lt;&gt;"moeda")*(Inputs!$G$5:$G$120&lt;&gt;"acoes")))*INDEX(Inputs!$K$5:$AJ$120,0,MATCH(AH$2,Inputs!$K$4:$AJ$4,0)))+SUMPRODUCT((Inputs!$E$5:$E$120=$B35)*Inputs!$F$5:$F$120*(((Inputs!$G$5:$G$120="moeda")+(Inputs!$G$5:$G$120="acoes"))*Inputs!$B$1+((Inputs!$G$5:$G$120&lt;&gt;"moeda")*(Inputs!$G$5:$G$120&lt;&gt;"acoes")))*INDEX(Inputs!$K$5:$AJ$120,0,MATCH(AH$2,Inputs!$K$4:$AJ$4,0)))))</f>
        <v>0</v>
      </c>
      <c r="AI35" s="6">
        <f>IF(ISNA(MATCH(AI$2,Inputs!$K$4:$AJ$4,0)),NA(),IF(SUMPRODUCT((Inputs!$A$5:$A$120=$B35)*ISNUMBER(INDEX(Inputs!$K$5:$AJ$120,0,MATCH(AI$2,Inputs!$K$4:$AJ$4,0))))+SUMPRODUCT((Inputs!$C$5:$C$120=$B35)*ISNUMBER(INDEX(Inputs!$K$5:$AJ$120,0,MATCH(AI$2,Inputs!$K$4:$AJ$4,0))))+SUMPRODUCT((Inputs!$E$5:$E$120=$B35)*ISNUMBER(INDEX(Inputs!$K$5:$AJ$120,0,MATCH(AI$2,Inputs!$K$4:$AJ$4,0))))=0,NA(),SUMPRODUCT((Inputs!$A$5:$A$120=$B35)*Inputs!$B$5:$B$120*(((Inputs!$G$5:$G$120="moeda")+(Inputs!$G$5:$G$120="acoes"))*Inputs!$B$1+((Inputs!$G$5:$G$120&lt;&gt;"moeda")*(Inputs!$G$5:$G$120&lt;&gt;"acoes")))*INDEX(Inputs!$K$5:$AJ$120,0,MATCH(AI$2,Inputs!$K$4:$AJ$4,0)))+SUMPRODUCT((Inputs!$C$5:$C$120=$B35)*Inputs!$D$5:$D$120*(((Inputs!$G$5:$G$120="moeda")+(Inputs!$G$5:$G$120="acoes"))*Inputs!$B$1+((Inputs!$G$5:$G$120&lt;&gt;"moeda")*(Inputs!$G$5:$G$120&lt;&gt;"acoes")))*INDEX(Inputs!$K$5:$AJ$120,0,MATCH(AI$2,Inputs!$K$4:$AJ$4,0)))+SUMPRODUCT((Inputs!$E$5:$E$120=$B35)*Inputs!$F$5:$F$120*(((Inputs!$G$5:$G$120="moeda")+(Inputs!$G$5:$G$120="acoes"))*Inputs!$B$1+((Inputs!$G$5:$G$120&lt;&gt;"moeda")*(Inputs!$G$5:$G$120&lt;&gt;"acoes")))*INDEX(Inputs!$K$5:$AJ$120,0,MATCH(AI$2,Inputs!$K$4:$AJ$4,0)))))</f>
        <v>0</v>
      </c>
      <c r="AJ35" s="6">
        <f>IF(ISNA(MATCH(AJ$2,Inputs!$K$4:$AJ$4,0)),NA(),IF(SUMPRODUCT((Inputs!$A$5:$A$120=$B35)*ISNUMBER(INDEX(Inputs!$K$5:$AJ$120,0,MATCH(AJ$2,Inputs!$K$4:$AJ$4,0))))+SUMPRODUCT((Inputs!$C$5:$C$120=$B35)*ISNUMBER(INDEX(Inputs!$K$5:$AJ$120,0,MATCH(AJ$2,Inputs!$K$4:$AJ$4,0))))+SUMPRODUCT((Inputs!$E$5:$E$120=$B35)*ISNUMBER(INDEX(Inputs!$K$5:$AJ$120,0,MATCH(AJ$2,Inputs!$K$4:$AJ$4,0))))=0,NA(),SUMPRODUCT((Inputs!$A$5:$A$120=$B35)*Inputs!$B$5:$B$120*(((Inputs!$G$5:$G$120="moeda")+(Inputs!$G$5:$G$120="acoes"))*Inputs!$B$1+((Inputs!$G$5:$G$120&lt;&gt;"moeda")*(Inputs!$G$5:$G$120&lt;&gt;"acoes")))*INDEX(Inputs!$K$5:$AJ$120,0,MATCH(AJ$2,Inputs!$K$4:$AJ$4,0)))+SUMPRODUCT((Inputs!$C$5:$C$120=$B35)*Inputs!$D$5:$D$120*(((Inputs!$G$5:$G$120="moeda")+(Inputs!$G$5:$G$120="acoes"))*Inputs!$B$1+((Inputs!$G$5:$G$120&lt;&gt;"moeda")*(Inputs!$G$5:$G$120&lt;&gt;"acoes")))*INDEX(Inputs!$K$5:$AJ$120,0,MATCH(AJ$2,Inputs!$K$4:$AJ$4,0)))+SUMPRODUCT((Inputs!$E$5:$E$120=$B35)*Inputs!$F$5:$F$120*(((Inputs!$G$5:$G$120="moeda")+(Inputs!$G$5:$G$120="acoes"))*Inputs!$B$1+((Inputs!$G$5:$G$120&lt;&gt;"moeda")*(Inputs!$G$5:$G$120&lt;&gt;"acoes")))*INDEX(Inputs!$K$5:$AJ$120,0,MATCH(AJ$2,Inputs!$K$4:$AJ$4,0)))))</f>
        <v>0</v>
      </c>
      <c r="AK35" s="6">
        <f>IF(ISNA(MATCH(AK$2,Inputs!$K$4:$AJ$4,0)),NA(),IF(SUMPRODUCT((Inputs!$A$5:$A$120=$B35)*ISNUMBER(INDEX(Inputs!$K$5:$AJ$120,0,MATCH(AK$2,Inputs!$K$4:$AJ$4,0))))+SUMPRODUCT((Inputs!$C$5:$C$120=$B35)*ISNUMBER(INDEX(Inputs!$K$5:$AJ$120,0,MATCH(AK$2,Inputs!$K$4:$AJ$4,0))))+SUMPRODUCT((Inputs!$E$5:$E$120=$B35)*ISNUMBER(INDEX(Inputs!$K$5:$AJ$120,0,MATCH(AK$2,Inputs!$K$4:$AJ$4,0))))=0,NA(),SUMPRODUCT((Inputs!$A$5:$A$120=$B35)*Inputs!$B$5:$B$120*(((Inputs!$G$5:$G$120="moeda")+(Inputs!$G$5:$G$120="acoes"))*Inputs!$B$1+((Inputs!$G$5:$G$120&lt;&gt;"moeda")*(Inputs!$G$5:$G$120&lt;&gt;"acoes")))*INDEX(Inputs!$K$5:$AJ$120,0,MATCH(AK$2,Inputs!$K$4:$AJ$4,0)))+SUMPRODUCT((Inputs!$C$5:$C$120=$B35)*Inputs!$D$5:$D$120*(((Inputs!$G$5:$G$120="moeda")+(Inputs!$G$5:$G$120="acoes"))*Inputs!$B$1+((Inputs!$G$5:$G$120&lt;&gt;"moeda")*(Inputs!$G$5:$G$120&lt;&gt;"acoes")))*INDEX(Inputs!$K$5:$AJ$120,0,MATCH(AK$2,Inputs!$K$4:$AJ$4,0)))+SUMPRODUCT((Inputs!$E$5:$E$120=$B35)*Inputs!$F$5:$F$120*(((Inputs!$G$5:$G$120="moeda")+(Inputs!$G$5:$G$120="acoes"))*Inputs!$B$1+((Inputs!$G$5:$G$120&lt;&gt;"moeda")*(Inputs!$G$5:$G$120&lt;&gt;"acoes")))*INDEX(Inputs!$K$5:$AJ$120,0,MATCH(AK$2,Inputs!$K$4:$AJ$4,0)))))</f>
        <v>0</v>
      </c>
      <c r="AL35" s="3">
        <f>AK35</f>
        <v>0</v>
      </c>
    </row>
    <row r="36">
      <c r="B36" s="46" t="n">
        <v>31</v>
      </c>
      <c r="C36" s="26" t="inlineStr">
        <is>
          <t>Long term operating leases</t>
        </is>
      </c>
      <c r="D36" s="6">
        <f>IF(ISNA(MATCH(D$2,Inputs!$K$4:$AJ$4,0)),NA(),IF(SUMPRODUCT((Inputs!$A$5:$A$120=$B36)*ISNUMBER(INDEX(Inputs!$K$5:$AJ$120,0,MATCH(D$2,Inputs!$K$4:$AJ$4,0))))+SUMPRODUCT((Inputs!$C$5:$C$120=$B36)*ISNUMBER(INDEX(Inputs!$K$5:$AJ$120,0,MATCH(D$2,Inputs!$K$4:$AJ$4,0))))+SUMPRODUCT((Inputs!$E$5:$E$120=$B36)*ISNUMBER(INDEX(Inputs!$K$5:$AJ$120,0,MATCH(D$2,Inputs!$K$4:$AJ$4,0))))=0,NA(),SUMPRODUCT((Inputs!$A$5:$A$120=$B36)*Inputs!$B$5:$B$120*(((Inputs!$G$5:$G$120="moeda")+(Inputs!$G$5:$G$120="acoes"))*Inputs!$B$1+((Inputs!$G$5:$G$120&lt;&gt;"moeda")*(Inputs!$G$5:$G$120&lt;&gt;"acoes")))*INDEX(Inputs!$K$5:$AJ$120,0,MATCH(D$2,Inputs!$K$4:$AJ$4,0)))+SUMPRODUCT((Inputs!$C$5:$C$120=$B36)*Inputs!$D$5:$D$120*(((Inputs!$G$5:$G$120="moeda")+(Inputs!$G$5:$G$120="acoes"))*Inputs!$B$1+((Inputs!$G$5:$G$120&lt;&gt;"moeda")*(Inputs!$G$5:$G$120&lt;&gt;"acoes")))*INDEX(Inputs!$K$5:$AJ$120,0,MATCH(D$2,Inputs!$K$4:$AJ$4,0)))+SUMPRODUCT((Inputs!$E$5:$E$120=$B36)*Inputs!$F$5:$F$120*(((Inputs!$G$5:$G$120="moeda")+(Inputs!$G$5:$G$120="acoes"))*Inputs!$B$1+((Inputs!$G$5:$G$120&lt;&gt;"moeda")*(Inputs!$G$5:$G$120&lt;&gt;"acoes")))*INDEX(Inputs!$K$5:$AJ$120,0,MATCH(D$2,Inputs!$K$4:$AJ$4,0)))))</f>
        <v>0</v>
      </c>
      <c r="E36" s="6">
        <f>IF(ISNA(MATCH(E$2,Inputs!$K$4:$AJ$4,0)),NA(),IF(SUMPRODUCT((Inputs!$A$5:$A$120=$B36)*ISNUMBER(INDEX(Inputs!$K$5:$AJ$120,0,MATCH(E$2,Inputs!$K$4:$AJ$4,0))))+SUMPRODUCT((Inputs!$C$5:$C$120=$B36)*ISNUMBER(INDEX(Inputs!$K$5:$AJ$120,0,MATCH(E$2,Inputs!$K$4:$AJ$4,0))))+SUMPRODUCT((Inputs!$E$5:$E$120=$B36)*ISNUMBER(INDEX(Inputs!$K$5:$AJ$120,0,MATCH(E$2,Inputs!$K$4:$AJ$4,0))))=0,NA(),SUMPRODUCT((Inputs!$A$5:$A$120=$B36)*Inputs!$B$5:$B$120*(((Inputs!$G$5:$G$120="moeda")+(Inputs!$G$5:$G$120="acoes"))*Inputs!$B$1+((Inputs!$G$5:$G$120&lt;&gt;"moeda")*(Inputs!$G$5:$G$120&lt;&gt;"acoes")))*INDEX(Inputs!$K$5:$AJ$120,0,MATCH(E$2,Inputs!$K$4:$AJ$4,0)))+SUMPRODUCT((Inputs!$C$5:$C$120=$B36)*Inputs!$D$5:$D$120*(((Inputs!$G$5:$G$120="moeda")+(Inputs!$G$5:$G$120="acoes"))*Inputs!$B$1+((Inputs!$G$5:$G$120&lt;&gt;"moeda")*(Inputs!$G$5:$G$120&lt;&gt;"acoes")))*INDEX(Inputs!$K$5:$AJ$120,0,MATCH(E$2,Inputs!$K$4:$AJ$4,0)))+SUMPRODUCT((Inputs!$E$5:$E$120=$B36)*Inputs!$F$5:$F$120*(((Inputs!$G$5:$G$120="moeda")+(Inputs!$G$5:$G$120="acoes"))*Inputs!$B$1+((Inputs!$G$5:$G$120&lt;&gt;"moeda")*(Inputs!$G$5:$G$120&lt;&gt;"acoes")))*INDEX(Inputs!$K$5:$AJ$120,0,MATCH(E$2,Inputs!$K$4:$AJ$4,0)))))</f>
        <v>0</v>
      </c>
      <c r="F36" s="6">
        <f>IF(ISNA(MATCH(F$2,Inputs!$K$4:$AJ$4,0)),NA(),IF(SUMPRODUCT((Inputs!$A$5:$A$120=$B36)*ISNUMBER(INDEX(Inputs!$K$5:$AJ$120,0,MATCH(F$2,Inputs!$K$4:$AJ$4,0))))+SUMPRODUCT((Inputs!$C$5:$C$120=$B36)*ISNUMBER(INDEX(Inputs!$K$5:$AJ$120,0,MATCH(F$2,Inputs!$K$4:$AJ$4,0))))+SUMPRODUCT((Inputs!$E$5:$E$120=$B36)*ISNUMBER(INDEX(Inputs!$K$5:$AJ$120,0,MATCH(F$2,Inputs!$K$4:$AJ$4,0))))=0,NA(),SUMPRODUCT((Inputs!$A$5:$A$120=$B36)*Inputs!$B$5:$B$120*(((Inputs!$G$5:$G$120="moeda")+(Inputs!$G$5:$G$120="acoes"))*Inputs!$B$1+((Inputs!$G$5:$G$120&lt;&gt;"moeda")*(Inputs!$G$5:$G$120&lt;&gt;"acoes")))*INDEX(Inputs!$K$5:$AJ$120,0,MATCH(F$2,Inputs!$K$4:$AJ$4,0)))+SUMPRODUCT((Inputs!$C$5:$C$120=$B36)*Inputs!$D$5:$D$120*(((Inputs!$G$5:$G$120="moeda")+(Inputs!$G$5:$G$120="acoes"))*Inputs!$B$1+((Inputs!$G$5:$G$120&lt;&gt;"moeda")*(Inputs!$G$5:$G$120&lt;&gt;"acoes")))*INDEX(Inputs!$K$5:$AJ$120,0,MATCH(F$2,Inputs!$K$4:$AJ$4,0)))+SUMPRODUCT((Inputs!$E$5:$E$120=$B36)*Inputs!$F$5:$F$120*(((Inputs!$G$5:$G$120="moeda")+(Inputs!$G$5:$G$120="acoes"))*Inputs!$B$1+((Inputs!$G$5:$G$120&lt;&gt;"moeda")*(Inputs!$G$5:$G$120&lt;&gt;"acoes")))*INDEX(Inputs!$K$5:$AJ$120,0,MATCH(F$2,Inputs!$K$4:$AJ$4,0)))))</f>
        <v>0</v>
      </c>
      <c r="G36" s="6">
        <f>IF(ISNA(MATCH(G$2,Inputs!$K$4:$AJ$4,0)),NA(),IF(SUMPRODUCT((Inputs!$A$5:$A$120=$B36)*ISNUMBER(INDEX(Inputs!$K$5:$AJ$120,0,MATCH(G$2,Inputs!$K$4:$AJ$4,0))))+SUMPRODUCT((Inputs!$C$5:$C$120=$B36)*ISNUMBER(INDEX(Inputs!$K$5:$AJ$120,0,MATCH(G$2,Inputs!$K$4:$AJ$4,0))))+SUMPRODUCT((Inputs!$E$5:$E$120=$B36)*ISNUMBER(INDEX(Inputs!$K$5:$AJ$120,0,MATCH(G$2,Inputs!$K$4:$AJ$4,0))))=0,NA(),SUMPRODUCT((Inputs!$A$5:$A$120=$B36)*Inputs!$B$5:$B$120*(((Inputs!$G$5:$G$120="moeda")+(Inputs!$G$5:$G$120="acoes"))*Inputs!$B$1+((Inputs!$G$5:$G$120&lt;&gt;"moeda")*(Inputs!$G$5:$G$120&lt;&gt;"acoes")))*INDEX(Inputs!$K$5:$AJ$120,0,MATCH(G$2,Inputs!$K$4:$AJ$4,0)))+SUMPRODUCT((Inputs!$C$5:$C$120=$B36)*Inputs!$D$5:$D$120*(((Inputs!$G$5:$G$120="moeda")+(Inputs!$G$5:$G$120="acoes"))*Inputs!$B$1+((Inputs!$G$5:$G$120&lt;&gt;"moeda")*(Inputs!$G$5:$G$120&lt;&gt;"acoes")))*INDEX(Inputs!$K$5:$AJ$120,0,MATCH(G$2,Inputs!$K$4:$AJ$4,0)))+SUMPRODUCT((Inputs!$E$5:$E$120=$B36)*Inputs!$F$5:$F$120*(((Inputs!$G$5:$G$120="moeda")+(Inputs!$G$5:$G$120="acoes"))*Inputs!$B$1+((Inputs!$G$5:$G$120&lt;&gt;"moeda")*(Inputs!$G$5:$G$120&lt;&gt;"acoes")))*INDEX(Inputs!$K$5:$AJ$120,0,MATCH(G$2,Inputs!$K$4:$AJ$4,0)))))</f>
        <v>0</v>
      </c>
      <c r="H36" s="3">
        <f>G36</f>
        <v>0</v>
      </c>
      <c r="I36" s="6">
        <f>IF(ISNA(MATCH(I$2,Inputs!$K$4:$AJ$4,0)),NA(),IF(SUMPRODUCT((Inputs!$A$5:$A$120=$B36)*ISNUMBER(INDEX(Inputs!$K$5:$AJ$120,0,MATCH(I$2,Inputs!$K$4:$AJ$4,0))))+SUMPRODUCT((Inputs!$C$5:$C$120=$B36)*ISNUMBER(INDEX(Inputs!$K$5:$AJ$120,0,MATCH(I$2,Inputs!$K$4:$AJ$4,0))))+SUMPRODUCT((Inputs!$E$5:$E$120=$B36)*ISNUMBER(INDEX(Inputs!$K$5:$AJ$120,0,MATCH(I$2,Inputs!$K$4:$AJ$4,0))))=0,NA(),SUMPRODUCT((Inputs!$A$5:$A$120=$B36)*Inputs!$B$5:$B$120*(((Inputs!$G$5:$G$120="moeda")+(Inputs!$G$5:$G$120="acoes"))*Inputs!$B$1+((Inputs!$G$5:$G$120&lt;&gt;"moeda")*(Inputs!$G$5:$G$120&lt;&gt;"acoes")))*INDEX(Inputs!$K$5:$AJ$120,0,MATCH(I$2,Inputs!$K$4:$AJ$4,0)))+SUMPRODUCT((Inputs!$C$5:$C$120=$B36)*Inputs!$D$5:$D$120*(((Inputs!$G$5:$G$120="moeda")+(Inputs!$G$5:$G$120="acoes"))*Inputs!$B$1+((Inputs!$G$5:$G$120&lt;&gt;"moeda")*(Inputs!$G$5:$G$120&lt;&gt;"acoes")))*INDEX(Inputs!$K$5:$AJ$120,0,MATCH(I$2,Inputs!$K$4:$AJ$4,0)))+SUMPRODUCT((Inputs!$E$5:$E$120=$B36)*Inputs!$F$5:$F$120*(((Inputs!$G$5:$G$120="moeda")+(Inputs!$G$5:$G$120="acoes"))*Inputs!$B$1+((Inputs!$G$5:$G$120&lt;&gt;"moeda")*(Inputs!$G$5:$G$120&lt;&gt;"acoes")))*INDEX(Inputs!$K$5:$AJ$120,0,MATCH(I$2,Inputs!$K$4:$AJ$4,0)))))</f>
        <v>0</v>
      </c>
      <c r="J36" s="6">
        <f>IF(ISNA(MATCH(J$2,Inputs!$K$4:$AJ$4,0)),NA(),IF(SUMPRODUCT((Inputs!$A$5:$A$120=$B36)*ISNUMBER(INDEX(Inputs!$K$5:$AJ$120,0,MATCH(J$2,Inputs!$K$4:$AJ$4,0))))+SUMPRODUCT((Inputs!$C$5:$C$120=$B36)*ISNUMBER(INDEX(Inputs!$K$5:$AJ$120,0,MATCH(J$2,Inputs!$K$4:$AJ$4,0))))+SUMPRODUCT((Inputs!$E$5:$E$120=$B36)*ISNUMBER(INDEX(Inputs!$K$5:$AJ$120,0,MATCH(J$2,Inputs!$K$4:$AJ$4,0))))=0,NA(),SUMPRODUCT((Inputs!$A$5:$A$120=$B36)*Inputs!$B$5:$B$120*(((Inputs!$G$5:$G$120="moeda")+(Inputs!$G$5:$G$120="acoes"))*Inputs!$B$1+((Inputs!$G$5:$G$120&lt;&gt;"moeda")*(Inputs!$G$5:$G$120&lt;&gt;"acoes")))*INDEX(Inputs!$K$5:$AJ$120,0,MATCH(J$2,Inputs!$K$4:$AJ$4,0)))+SUMPRODUCT((Inputs!$C$5:$C$120=$B36)*Inputs!$D$5:$D$120*(((Inputs!$G$5:$G$120="moeda")+(Inputs!$G$5:$G$120="acoes"))*Inputs!$B$1+((Inputs!$G$5:$G$120&lt;&gt;"moeda")*(Inputs!$G$5:$G$120&lt;&gt;"acoes")))*INDEX(Inputs!$K$5:$AJ$120,0,MATCH(J$2,Inputs!$K$4:$AJ$4,0)))+SUMPRODUCT((Inputs!$E$5:$E$120=$B36)*Inputs!$F$5:$F$120*(((Inputs!$G$5:$G$120="moeda")+(Inputs!$G$5:$G$120="acoes"))*Inputs!$B$1+((Inputs!$G$5:$G$120&lt;&gt;"moeda")*(Inputs!$G$5:$G$120&lt;&gt;"acoes")))*INDEX(Inputs!$K$5:$AJ$120,0,MATCH(J$2,Inputs!$K$4:$AJ$4,0)))))</f>
        <v>0</v>
      </c>
      <c r="K36" s="6">
        <f>IF(ISNA(MATCH(K$2,Inputs!$K$4:$AJ$4,0)),NA(),IF(SUMPRODUCT((Inputs!$A$5:$A$120=$B36)*ISNUMBER(INDEX(Inputs!$K$5:$AJ$120,0,MATCH(K$2,Inputs!$K$4:$AJ$4,0))))+SUMPRODUCT((Inputs!$C$5:$C$120=$B36)*ISNUMBER(INDEX(Inputs!$K$5:$AJ$120,0,MATCH(K$2,Inputs!$K$4:$AJ$4,0))))+SUMPRODUCT((Inputs!$E$5:$E$120=$B36)*ISNUMBER(INDEX(Inputs!$K$5:$AJ$120,0,MATCH(K$2,Inputs!$K$4:$AJ$4,0))))=0,NA(),SUMPRODUCT((Inputs!$A$5:$A$120=$B36)*Inputs!$B$5:$B$120*(((Inputs!$G$5:$G$120="moeda")+(Inputs!$G$5:$G$120="acoes"))*Inputs!$B$1+((Inputs!$G$5:$G$120&lt;&gt;"moeda")*(Inputs!$G$5:$G$120&lt;&gt;"acoes")))*INDEX(Inputs!$K$5:$AJ$120,0,MATCH(K$2,Inputs!$K$4:$AJ$4,0)))+SUMPRODUCT((Inputs!$C$5:$C$120=$B36)*Inputs!$D$5:$D$120*(((Inputs!$G$5:$G$120="moeda")+(Inputs!$G$5:$G$120="acoes"))*Inputs!$B$1+((Inputs!$G$5:$G$120&lt;&gt;"moeda")*(Inputs!$G$5:$G$120&lt;&gt;"acoes")))*INDEX(Inputs!$K$5:$AJ$120,0,MATCH(K$2,Inputs!$K$4:$AJ$4,0)))+SUMPRODUCT((Inputs!$E$5:$E$120=$B36)*Inputs!$F$5:$F$120*(((Inputs!$G$5:$G$120="moeda")+(Inputs!$G$5:$G$120="acoes"))*Inputs!$B$1+((Inputs!$G$5:$G$120&lt;&gt;"moeda")*(Inputs!$G$5:$G$120&lt;&gt;"acoes")))*INDEX(Inputs!$K$5:$AJ$120,0,MATCH(K$2,Inputs!$K$4:$AJ$4,0)))))</f>
        <v>0</v>
      </c>
      <c r="L36" s="6">
        <f>IF(ISNA(MATCH(L$2,Inputs!$K$4:$AJ$4,0)),NA(),IF(SUMPRODUCT((Inputs!$A$5:$A$120=$B36)*ISNUMBER(INDEX(Inputs!$K$5:$AJ$120,0,MATCH(L$2,Inputs!$K$4:$AJ$4,0))))+SUMPRODUCT((Inputs!$C$5:$C$120=$B36)*ISNUMBER(INDEX(Inputs!$K$5:$AJ$120,0,MATCH(L$2,Inputs!$K$4:$AJ$4,0))))+SUMPRODUCT((Inputs!$E$5:$E$120=$B36)*ISNUMBER(INDEX(Inputs!$K$5:$AJ$120,0,MATCH(L$2,Inputs!$K$4:$AJ$4,0))))=0,NA(),SUMPRODUCT((Inputs!$A$5:$A$120=$B36)*Inputs!$B$5:$B$120*(((Inputs!$G$5:$G$120="moeda")+(Inputs!$G$5:$G$120="acoes"))*Inputs!$B$1+((Inputs!$G$5:$G$120&lt;&gt;"moeda")*(Inputs!$G$5:$G$120&lt;&gt;"acoes")))*INDEX(Inputs!$K$5:$AJ$120,0,MATCH(L$2,Inputs!$K$4:$AJ$4,0)))+SUMPRODUCT((Inputs!$C$5:$C$120=$B36)*Inputs!$D$5:$D$120*(((Inputs!$G$5:$G$120="moeda")+(Inputs!$G$5:$G$120="acoes"))*Inputs!$B$1+((Inputs!$G$5:$G$120&lt;&gt;"moeda")*(Inputs!$G$5:$G$120&lt;&gt;"acoes")))*INDEX(Inputs!$K$5:$AJ$120,0,MATCH(L$2,Inputs!$K$4:$AJ$4,0)))+SUMPRODUCT((Inputs!$E$5:$E$120=$B36)*Inputs!$F$5:$F$120*(((Inputs!$G$5:$G$120="moeda")+(Inputs!$G$5:$G$120="acoes"))*Inputs!$B$1+((Inputs!$G$5:$G$120&lt;&gt;"moeda")*(Inputs!$G$5:$G$120&lt;&gt;"acoes")))*INDEX(Inputs!$K$5:$AJ$120,0,MATCH(L$2,Inputs!$K$4:$AJ$4,0)))))</f>
        <v>0</v>
      </c>
      <c r="M36" s="3">
        <f>L36</f>
        <v>0</v>
      </c>
      <c r="N36" s="6">
        <f>IF(ISNA(MATCH(N$2,Inputs!$K$4:$AJ$4,0)),NA(),IF(SUMPRODUCT((Inputs!$A$5:$A$120=$B36)*ISNUMBER(INDEX(Inputs!$K$5:$AJ$120,0,MATCH(N$2,Inputs!$K$4:$AJ$4,0))))+SUMPRODUCT((Inputs!$C$5:$C$120=$B36)*ISNUMBER(INDEX(Inputs!$K$5:$AJ$120,0,MATCH(N$2,Inputs!$K$4:$AJ$4,0))))+SUMPRODUCT((Inputs!$E$5:$E$120=$B36)*ISNUMBER(INDEX(Inputs!$K$5:$AJ$120,0,MATCH(N$2,Inputs!$K$4:$AJ$4,0))))=0,NA(),SUMPRODUCT((Inputs!$A$5:$A$120=$B36)*Inputs!$B$5:$B$120*(((Inputs!$G$5:$G$120="moeda")+(Inputs!$G$5:$G$120="acoes"))*Inputs!$B$1+((Inputs!$G$5:$G$120&lt;&gt;"moeda")*(Inputs!$G$5:$G$120&lt;&gt;"acoes")))*INDEX(Inputs!$K$5:$AJ$120,0,MATCH(N$2,Inputs!$K$4:$AJ$4,0)))+SUMPRODUCT((Inputs!$C$5:$C$120=$B36)*Inputs!$D$5:$D$120*(((Inputs!$G$5:$G$120="moeda")+(Inputs!$G$5:$G$120="acoes"))*Inputs!$B$1+((Inputs!$G$5:$G$120&lt;&gt;"moeda")*(Inputs!$G$5:$G$120&lt;&gt;"acoes")))*INDEX(Inputs!$K$5:$AJ$120,0,MATCH(N$2,Inputs!$K$4:$AJ$4,0)))+SUMPRODUCT((Inputs!$E$5:$E$120=$B36)*Inputs!$F$5:$F$120*(((Inputs!$G$5:$G$120="moeda")+(Inputs!$G$5:$G$120="acoes"))*Inputs!$B$1+((Inputs!$G$5:$G$120&lt;&gt;"moeda")*(Inputs!$G$5:$G$120&lt;&gt;"acoes")))*INDEX(Inputs!$K$5:$AJ$120,0,MATCH(N$2,Inputs!$K$4:$AJ$4,0)))))</f>
        <v>0</v>
      </c>
      <c r="O36" s="6">
        <f>IF(ISNA(MATCH(O$2,Inputs!$K$4:$AJ$4,0)),NA(),IF(SUMPRODUCT((Inputs!$A$5:$A$120=$B36)*ISNUMBER(INDEX(Inputs!$K$5:$AJ$120,0,MATCH(O$2,Inputs!$K$4:$AJ$4,0))))+SUMPRODUCT((Inputs!$C$5:$C$120=$B36)*ISNUMBER(INDEX(Inputs!$K$5:$AJ$120,0,MATCH(O$2,Inputs!$K$4:$AJ$4,0))))+SUMPRODUCT((Inputs!$E$5:$E$120=$B36)*ISNUMBER(INDEX(Inputs!$K$5:$AJ$120,0,MATCH(O$2,Inputs!$K$4:$AJ$4,0))))=0,NA(),SUMPRODUCT((Inputs!$A$5:$A$120=$B36)*Inputs!$B$5:$B$120*(((Inputs!$G$5:$G$120="moeda")+(Inputs!$G$5:$G$120="acoes"))*Inputs!$B$1+((Inputs!$G$5:$G$120&lt;&gt;"moeda")*(Inputs!$G$5:$G$120&lt;&gt;"acoes")))*INDEX(Inputs!$K$5:$AJ$120,0,MATCH(O$2,Inputs!$K$4:$AJ$4,0)))+SUMPRODUCT((Inputs!$C$5:$C$120=$B36)*Inputs!$D$5:$D$120*(((Inputs!$G$5:$G$120="moeda")+(Inputs!$G$5:$G$120="acoes"))*Inputs!$B$1+((Inputs!$G$5:$G$120&lt;&gt;"moeda")*(Inputs!$G$5:$G$120&lt;&gt;"acoes")))*INDEX(Inputs!$K$5:$AJ$120,0,MATCH(O$2,Inputs!$K$4:$AJ$4,0)))+SUMPRODUCT((Inputs!$E$5:$E$120=$B36)*Inputs!$F$5:$F$120*(((Inputs!$G$5:$G$120="moeda")+(Inputs!$G$5:$G$120="acoes"))*Inputs!$B$1+((Inputs!$G$5:$G$120&lt;&gt;"moeda")*(Inputs!$G$5:$G$120&lt;&gt;"acoes")))*INDEX(Inputs!$K$5:$AJ$120,0,MATCH(O$2,Inputs!$K$4:$AJ$4,0)))))</f>
        <v>0</v>
      </c>
      <c r="P36" s="6">
        <f>IF(ISNA(MATCH(P$2,Inputs!$K$4:$AJ$4,0)),NA(),IF(SUMPRODUCT((Inputs!$A$5:$A$120=$B36)*ISNUMBER(INDEX(Inputs!$K$5:$AJ$120,0,MATCH(P$2,Inputs!$K$4:$AJ$4,0))))+SUMPRODUCT((Inputs!$C$5:$C$120=$B36)*ISNUMBER(INDEX(Inputs!$K$5:$AJ$120,0,MATCH(P$2,Inputs!$K$4:$AJ$4,0))))+SUMPRODUCT((Inputs!$E$5:$E$120=$B36)*ISNUMBER(INDEX(Inputs!$K$5:$AJ$120,0,MATCH(P$2,Inputs!$K$4:$AJ$4,0))))=0,NA(),SUMPRODUCT((Inputs!$A$5:$A$120=$B36)*Inputs!$B$5:$B$120*(((Inputs!$G$5:$G$120="moeda")+(Inputs!$G$5:$G$120="acoes"))*Inputs!$B$1+((Inputs!$G$5:$G$120&lt;&gt;"moeda")*(Inputs!$G$5:$G$120&lt;&gt;"acoes")))*INDEX(Inputs!$K$5:$AJ$120,0,MATCH(P$2,Inputs!$K$4:$AJ$4,0)))+SUMPRODUCT((Inputs!$C$5:$C$120=$B36)*Inputs!$D$5:$D$120*(((Inputs!$G$5:$G$120="moeda")+(Inputs!$G$5:$G$120="acoes"))*Inputs!$B$1+((Inputs!$G$5:$G$120&lt;&gt;"moeda")*(Inputs!$G$5:$G$120&lt;&gt;"acoes")))*INDEX(Inputs!$K$5:$AJ$120,0,MATCH(P$2,Inputs!$K$4:$AJ$4,0)))+SUMPRODUCT((Inputs!$E$5:$E$120=$B36)*Inputs!$F$5:$F$120*(((Inputs!$G$5:$G$120="moeda")+(Inputs!$G$5:$G$120="acoes"))*Inputs!$B$1+((Inputs!$G$5:$G$120&lt;&gt;"moeda")*(Inputs!$G$5:$G$120&lt;&gt;"acoes")))*INDEX(Inputs!$K$5:$AJ$120,0,MATCH(P$2,Inputs!$K$4:$AJ$4,0)))))</f>
        <v>0</v>
      </c>
      <c r="Q36" s="6">
        <f>IF(ISNA(MATCH(Q$2,Inputs!$K$4:$AJ$4,0)),NA(),IF(SUMPRODUCT((Inputs!$A$5:$A$120=$B36)*ISNUMBER(INDEX(Inputs!$K$5:$AJ$120,0,MATCH(Q$2,Inputs!$K$4:$AJ$4,0))))+SUMPRODUCT((Inputs!$C$5:$C$120=$B36)*ISNUMBER(INDEX(Inputs!$K$5:$AJ$120,0,MATCH(Q$2,Inputs!$K$4:$AJ$4,0))))+SUMPRODUCT((Inputs!$E$5:$E$120=$B36)*ISNUMBER(INDEX(Inputs!$K$5:$AJ$120,0,MATCH(Q$2,Inputs!$K$4:$AJ$4,0))))=0,NA(),SUMPRODUCT((Inputs!$A$5:$A$120=$B36)*Inputs!$B$5:$B$120*(((Inputs!$G$5:$G$120="moeda")+(Inputs!$G$5:$G$120="acoes"))*Inputs!$B$1+((Inputs!$G$5:$G$120&lt;&gt;"moeda")*(Inputs!$G$5:$G$120&lt;&gt;"acoes")))*INDEX(Inputs!$K$5:$AJ$120,0,MATCH(Q$2,Inputs!$K$4:$AJ$4,0)))+SUMPRODUCT((Inputs!$C$5:$C$120=$B36)*Inputs!$D$5:$D$120*(((Inputs!$G$5:$G$120="moeda")+(Inputs!$G$5:$G$120="acoes"))*Inputs!$B$1+((Inputs!$G$5:$G$120&lt;&gt;"moeda")*(Inputs!$G$5:$G$120&lt;&gt;"acoes")))*INDEX(Inputs!$K$5:$AJ$120,0,MATCH(Q$2,Inputs!$K$4:$AJ$4,0)))+SUMPRODUCT((Inputs!$E$5:$E$120=$B36)*Inputs!$F$5:$F$120*(((Inputs!$G$5:$G$120="moeda")+(Inputs!$G$5:$G$120="acoes"))*Inputs!$B$1+((Inputs!$G$5:$G$120&lt;&gt;"moeda")*(Inputs!$G$5:$G$120&lt;&gt;"acoes")))*INDEX(Inputs!$K$5:$AJ$120,0,MATCH(Q$2,Inputs!$K$4:$AJ$4,0)))))</f>
        <v>0</v>
      </c>
      <c r="R36" s="3">
        <f>Q36</f>
        <v>0</v>
      </c>
      <c r="S36" s="6">
        <f>IF(ISNA(MATCH(S$2,Inputs!$K$4:$AJ$4,0)),NA(),IF(SUMPRODUCT((Inputs!$A$5:$A$120=$B36)*ISNUMBER(INDEX(Inputs!$K$5:$AJ$120,0,MATCH(S$2,Inputs!$K$4:$AJ$4,0))))+SUMPRODUCT((Inputs!$C$5:$C$120=$B36)*ISNUMBER(INDEX(Inputs!$K$5:$AJ$120,0,MATCH(S$2,Inputs!$K$4:$AJ$4,0))))+SUMPRODUCT((Inputs!$E$5:$E$120=$B36)*ISNUMBER(INDEX(Inputs!$K$5:$AJ$120,0,MATCH(S$2,Inputs!$K$4:$AJ$4,0))))=0,NA(),SUMPRODUCT((Inputs!$A$5:$A$120=$B36)*Inputs!$B$5:$B$120*(((Inputs!$G$5:$G$120="moeda")+(Inputs!$G$5:$G$120="acoes"))*Inputs!$B$1+((Inputs!$G$5:$G$120&lt;&gt;"moeda")*(Inputs!$G$5:$G$120&lt;&gt;"acoes")))*INDEX(Inputs!$K$5:$AJ$120,0,MATCH(S$2,Inputs!$K$4:$AJ$4,0)))+SUMPRODUCT((Inputs!$C$5:$C$120=$B36)*Inputs!$D$5:$D$120*(((Inputs!$G$5:$G$120="moeda")+(Inputs!$G$5:$G$120="acoes"))*Inputs!$B$1+((Inputs!$G$5:$G$120&lt;&gt;"moeda")*(Inputs!$G$5:$G$120&lt;&gt;"acoes")))*INDEX(Inputs!$K$5:$AJ$120,0,MATCH(S$2,Inputs!$K$4:$AJ$4,0)))+SUMPRODUCT((Inputs!$E$5:$E$120=$B36)*Inputs!$F$5:$F$120*(((Inputs!$G$5:$G$120="moeda")+(Inputs!$G$5:$G$120="acoes"))*Inputs!$B$1+((Inputs!$G$5:$G$120&lt;&gt;"moeda")*(Inputs!$G$5:$G$120&lt;&gt;"acoes")))*INDEX(Inputs!$K$5:$AJ$120,0,MATCH(S$2,Inputs!$K$4:$AJ$4,0)))))</f>
        <v>0</v>
      </c>
      <c r="T36" s="6">
        <f>IF(ISNA(MATCH(T$2,Inputs!$K$4:$AJ$4,0)),NA(),IF(SUMPRODUCT((Inputs!$A$5:$A$120=$B36)*ISNUMBER(INDEX(Inputs!$K$5:$AJ$120,0,MATCH(T$2,Inputs!$K$4:$AJ$4,0))))+SUMPRODUCT((Inputs!$C$5:$C$120=$B36)*ISNUMBER(INDEX(Inputs!$K$5:$AJ$120,0,MATCH(T$2,Inputs!$K$4:$AJ$4,0))))+SUMPRODUCT((Inputs!$E$5:$E$120=$B36)*ISNUMBER(INDEX(Inputs!$K$5:$AJ$120,0,MATCH(T$2,Inputs!$K$4:$AJ$4,0))))=0,NA(),SUMPRODUCT((Inputs!$A$5:$A$120=$B36)*Inputs!$B$5:$B$120*(((Inputs!$G$5:$G$120="moeda")+(Inputs!$G$5:$G$120="acoes"))*Inputs!$B$1+((Inputs!$G$5:$G$120&lt;&gt;"moeda")*(Inputs!$G$5:$G$120&lt;&gt;"acoes")))*INDEX(Inputs!$K$5:$AJ$120,0,MATCH(T$2,Inputs!$K$4:$AJ$4,0)))+SUMPRODUCT((Inputs!$C$5:$C$120=$B36)*Inputs!$D$5:$D$120*(((Inputs!$G$5:$G$120="moeda")+(Inputs!$G$5:$G$120="acoes"))*Inputs!$B$1+((Inputs!$G$5:$G$120&lt;&gt;"moeda")*(Inputs!$G$5:$G$120&lt;&gt;"acoes")))*INDEX(Inputs!$K$5:$AJ$120,0,MATCH(T$2,Inputs!$K$4:$AJ$4,0)))+SUMPRODUCT((Inputs!$E$5:$E$120=$B36)*Inputs!$F$5:$F$120*(((Inputs!$G$5:$G$120="moeda")+(Inputs!$G$5:$G$120="acoes"))*Inputs!$B$1+((Inputs!$G$5:$G$120&lt;&gt;"moeda")*(Inputs!$G$5:$G$120&lt;&gt;"acoes")))*INDEX(Inputs!$K$5:$AJ$120,0,MATCH(T$2,Inputs!$K$4:$AJ$4,0)))))</f>
        <v>0</v>
      </c>
      <c r="U36" s="6">
        <f>IF(ISNA(MATCH(U$2,Inputs!$K$4:$AJ$4,0)),NA(),IF(SUMPRODUCT((Inputs!$A$5:$A$120=$B36)*ISNUMBER(INDEX(Inputs!$K$5:$AJ$120,0,MATCH(U$2,Inputs!$K$4:$AJ$4,0))))+SUMPRODUCT((Inputs!$C$5:$C$120=$B36)*ISNUMBER(INDEX(Inputs!$K$5:$AJ$120,0,MATCH(U$2,Inputs!$K$4:$AJ$4,0))))+SUMPRODUCT((Inputs!$E$5:$E$120=$B36)*ISNUMBER(INDEX(Inputs!$K$5:$AJ$120,0,MATCH(U$2,Inputs!$K$4:$AJ$4,0))))=0,NA(),SUMPRODUCT((Inputs!$A$5:$A$120=$B36)*Inputs!$B$5:$B$120*(((Inputs!$G$5:$G$120="moeda")+(Inputs!$G$5:$G$120="acoes"))*Inputs!$B$1+((Inputs!$G$5:$G$120&lt;&gt;"moeda")*(Inputs!$G$5:$G$120&lt;&gt;"acoes")))*INDEX(Inputs!$K$5:$AJ$120,0,MATCH(U$2,Inputs!$K$4:$AJ$4,0)))+SUMPRODUCT((Inputs!$C$5:$C$120=$B36)*Inputs!$D$5:$D$120*(((Inputs!$G$5:$G$120="moeda")+(Inputs!$G$5:$G$120="acoes"))*Inputs!$B$1+((Inputs!$G$5:$G$120&lt;&gt;"moeda")*(Inputs!$G$5:$G$120&lt;&gt;"acoes")))*INDEX(Inputs!$K$5:$AJ$120,0,MATCH(U$2,Inputs!$K$4:$AJ$4,0)))+SUMPRODUCT((Inputs!$E$5:$E$120=$B36)*Inputs!$F$5:$F$120*(((Inputs!$G$5:$G$120="moeda")+(Inputs!$G$5:$G$120="acoes"))*Inputs!$B$1+((Inputs!$G$5:$G$120&lt;&gt;"moeda")*(Inputs!$G$5:$G$120&lt;&gt;"acoes")))*INDEX(Inputs!$K$5:$AJ$120,0,MATCH(U$2,Inputs!$K$4:$AJ$4,0)))))</f>
        <v>0</v>
      </c>
      <c r="V36" s="6">
        <f>IF(ISNA(MATCH(V$2,Inputs!$K$4:$AJ$4,0)),NA(),IF(SUMPRODUCT((Inputs!$A$5:$A$120=$B36)*ISNUMBER(INDEX(Inputs!$K$5:$AJ$120,0,MATCH(V$2,Inputs!$K$4:$AJ$4,0))))+SUMPRODUCT((Inputs!$C$5:$C$120=$B36)*ISNUMBER(INDEX(Inputs!$K$5:$AJ$120,0,MATCH(V$2,Inputs!$K$4:$AJ$4,0))))+SUMPRODUCT((Inputs!$E$5:$E$120=$B36)*ISNUMBER(INDEX(Inputs!$K$5:$AJ$120,0,MATCH(V$2,Inputs!$K$4:$AJ$4,0))))=0,NA(),SUMPRODUCT((Inputs!$A$5:$A$120=$B36)*Inputs!$B$5:$B$120*(((Inputs!$G$5:$G$120="moeda")+(Inputs!$G$5:$G$120="acoes"))*Inputs!$B$1+((Inputs!$G$5:$G$120&lt;&gt;"moeda")*(Inputs!$G$5:$G$120&lt;&gt;"acoes")))*INDEX(Inputs!$K$5:$AJ$120,0,MATCH(V$2,Inputs!$K$4:$AJ$4,0)))+SUMPRODUCT((Inputs!$C$5:$C$120=$B36)*Inputs!$D$5:$D$120*(((Inputs!$G$5:$G$120="moeda")+(Inputs!$G$5:$G$120="acoes"))*Inputs!$B$1+((Inputs!$G$5:$G$120&lt;&gt;"moeda")*(Inputs!$G$5:$G$120&lt;&gt;"acoes")))*INDEX(Inputs!$K$5:$AJ$120,0,MATCH(V$2,Inputs!$K$4:$AJ$4,0)))+SUMPRODUCT((Inputs!$E$5:$E$120=$B36)*Inputs!$F$5:$F$120*(((Inputs!$G$5:$G$120="moeda")+(Inputs!$G$5:$G$120="acoes"))*Inputs!$B$1+((Inputs!$G$5:$G$120&lt;&gt;"moeda")*(Inputs!$G$5:$G$120&lt;&gt;"acoes")))*INDEX(Inputs!$K$5:$AJ$120,0,MATCH(V$2,Inputs!$K$4:$AJ$4,0)))))</f>
        <v>0</v>
      </c>
      <c r="W36" s="3">
        <f>V36</f>
        <v>0</v>
      </c>
      <c r="X36" s="6">
        <f>IF(ISNA(MATCH(X$2,Inputs!$K$4:$AJ$4,0)),NA(),IF(SUMPRODUCT((Inputs!$A$5:$A$120=$B36)*ISNUMBER(INDEX(Inputs!$K$5:$AJ$120,0,MATCH(X$2,Inputs!$K$4:$AJ$4,0))))+SUMPRODUCT((Inputs!$C$5:$C$120=$B36)*ISNUMBER(INDEX(Inputs!$K$5:$AJ$120,0,MATCH(X$2,Inputs!$K$4:$AJ$4,0))))+SUMPRODUCT((Inputs!$E$5:$E$120=$B36)*ISNUMBER(INDEX(Inputs!$K$5:$AJ$120,0,MATCH(X$2,Inputs!$K$4:$AJ$4,0))))=0,NA(),SUMPRODUCT((Inputs!$A$5:$A$120=$B36)*Inputs!$B$5:$B$120*(((Inputs!$G$5:$G$120="moeda")+(Inputs!$G$5:$G$120="acoes"))*Inputs!$B$1+((Inputs!$G$5:$G$120&lt;&gt;"moeda")*(Inputs!$G$5:$G$120&lt;&gt;"acoes")))*INDEX(Inputs!$K$5:$AJ$120,0,MATCH(X$2,Inputs!$K$4:$AJ$4,0)))+SUMPRODUCT((Inputs!$C$5:$C$120=$B36)*Inputs!$D$5:$D$120*(((Inputs!$G$5:$G$120="moeda")+(Inputs!$G$5:$G$120="acoes"))*Inputs!$B$1+((Inputs!$G$5:$G$120&lt;&gt;"moeda")*(Inputs!$G$5:$G$120&lt;&gt;"acoes")))*INDEX(Inputs!$K$5:$AJ$120,0,MATCH(X$2,Inputs!$K$4:$AJ$4,0)))+SUMPRODUCT((Inputs!$E$5:$E$120=$B36)*Inputs!$F$5:$F$120*(((Inputs!$G$5:$G$120="moeda")+(Inputs!$G$5:$G$120="acoes"))*Inputs!$B$1+((Inputs!$G$5:$G$120&lt;&gt;"moeda")*(Inputs!$G$5:$G$120&lt;&gt;"acoes")))*INDEX(Inputs!$K$5:$AJ$120,0,MATCH(X$2,Inputs!$K$4:$AJ$4,0)))))</f>
        <v>0</v>
      </c>
      <c r="Y36" s="6">
        <f>IF(ISNA(MATCH(Y$2,Inputs!$K$4:$AJ$4,0)),NA(),IF(SUMPRODUCT((Inputs!$A$5:$A$120=$B36)*ISNUMBER(INDEX(Inputs!$K$5:$AJ$120,0,MATCH(Y$2,Inputs!$K$4:$AJ$4,0))))+SUMPRODUCT((Inputs!$C$5:$C$120=$B36)*ISNUMBER(INDEX(Inputs!$K$5:$AJ$120,0,MATCH(Y$2,Inputs!$K$4:$AJ$4,0))))+SUMPRODUCT((Inputs!$E$5:$E$120=$B36)*ISNUMBER(INDEX(Inputs!$K$5:$AJ$120,0,MATCH(Y$2,Inputs!$K$4:$AJ$4,0))))=0,NA(),SUMPRODUCT((Inputs!$A$5:$A$120=$B36)*Inputs!$B$5:$B$120*(((Inputs!$G$5:$G$120="moeda")+(Inputs!$G$5:$G$120="acoes"))*Inputs!$B$1+((Inputs!$G$5:$G$120&lt;&gt;"moeda")*(Inputs!$G$5:$G$120&lt;&gt;"acoes")))*INDEX(Inputs!$K$5:$AJ$120,0,MATCH(Y$2,Inputs!$K$4:$AJ$4,0)))+SUMPRODUCT((Inputs!$C$5:$C$120=$B36)*Inputs!$D$5:$D$120*(((Inputs!$G$5:$G$120="moeda")+(Inputs!$G$5:$G$120="acoes"))*Inputs!$B$1+((Inputs!$G$5:$G$120&lt;&gt;"moeda")*(Inputs!$G$5:$G$120&lt;&gt;"acoes")))*INDEX(Inputs!$K$5:$AJ$120,0,MATCH(Y$2,Inputs!$K$4:$AJ$4,0)))+SUMPRODUCT((Inputs!$E$5:$E$120=$B36)*Inputs!$F$5:$F$120*(((Inputs!$G$5:$G$120="moeda")+(Inputs!$G$5:$G$120="acoes"))*Inputs!$B$1+((Inputs!$G$5:$G$120&lt;&gt;"moeda")*(Inputs!$G$5:$G$120&lt;&gt;"acoes")))*INDEX(Inputs!$K$5:$AJ$120,0,MATCH(Y$2,Inputs!$K$4:$AJ$4,0)))))</f>
        <v>0</v>
      </c>
      <c r="Z36" s="6">
        <f>IF(ISNA(MATCH(Z$2,Inputs!$K$4:$AJ$4,0)),NA(),IF(SUMPRODUCT((Inputs!$A$5:$A$120=$B36)*ISNUMBER(INDEX(Inputs!$K$5:$AJ$120,0,MATCH(Z$2,Inputs!$K$4:$AJ$4,0))))+SUMPRODUCT((Inputs!$C$5:$C$120=$B36)*ISNUMBER(INDEX(Inputs!$K$5:$AJ$120,0,MATCH(Z$2,Inputs!$K$4:$AJ$4,0))))+SUMPRODUCT((Inputs!$E$5:$E$120=$B36)*ISNUMBER(INDEX(Inputs!$K$5:$AJ$120,0,MATCH(Z$2,Inputs!$K$4:$AJ$4,0))))=0,NA(),SUMPRODUCT((Inputs!$A$5:$A$120=$B36)*Inputs!$B$5:$B$120*(((Inputs!$G$5:$G$120="moeda")+(Inputs!$G$5:$G$120="acoes"))*Inputs!$B$1+((Inputs!$G$5:$G$120&lt;&gt;"moeda")*(Inputs!$G$5:$G$120&lt;&gt;"acoes")))*INDEX(Inputs!$K$5:$AJ$120,0,MATCH(Z$2,Inputs!$K$4:$AJ$4,0)))+SUMPRODUCT((Inputs!$C$5:$C$120=$B36)*Inputs!$D$5:$D$120*(((Inputs!$G$5:$G$120="moeda")+(Inputs!$G$5:$G$120="acoes"))*Inputs!$B$1+((Inputs!$G$5:$G$120&lt;&gt;"moeda")*(Inputs!$G$5:$G$120&lt;&gt;"acoes")))*INDEX(Inputs!$K$5:$AJ$120,0,MATCH(Z$2,Inputs!$K$4:$AJ$4,0)))+SUMPRODUCT((Inputs!$E$5:$E$120=$B36)*Inputs!$F$5:$F$120*(((Inputs!$G$5:$G$120="moeda")+(Inputs!$G$5:$G$120="acoes"))*Inputs!$B$1+((Inputs!$G$5:$G$120&lt;&gt;"moeda")*(Inputs!$G$5:$G$120&lt;&gt;"acoes")))*INDEX(Inputs!$K$5:$AJ$120,0,MATCH(Z$2,Inputs!$K$4:$AJ$4,0)))))</f>
        <v>0</v>
      </c>
      <c r="AA36" s="6">
        <f>IF(ISNA(MATCH(AA$2,Inputs!$K$4:$AJ$4,0)),NA(),IF(SUMPRODUCT((Inputs!$A$5:$A$120=$B36)*ISNUMBER(INDEX(Inputs!$K$5:$AJ$120,0,MATCH(AA$2,Inputs!$K$4:$AJ$4,0))))+SUMPRODUCT((Inputs!$C$5:$C$120=$B36)*ISNUMBER(INDEX(Inputs!$K$5:$AJ$120,0,MATCH(AA$2,Inputs!$K$4:$AJ$4,0))))+SUMPRODUCT((Inputs!$E$5:$E$120=$B36)*ISNUMBER(INDEX(Inputs!$K$5:$AJ$120,0,MATCH(AA$2,Inputs!$K$4:$AJ$4,0))))=0,NA(),SUMPRODUCT((Inputs!$A$5:$A$120=$B36)*Inputs!$B$5:$B$120*(((Inputs!$G$5:$G$120="moeda")+(Inputs!$G$5:$G$120="acoes"))*Inputs!$B$1+((Inputs!$G$5:$G$120&lt;&gt;"moeda")*(Inputs!$G$5:$G$120&lt;&gt;"acoes")))*INDEX(Inputs!$K$5:$AJ$120,0,MATCH(AA$2,Inputs!$K$4:$AJ$4,0)))+SUMPRODUCT((Inputs!$C$5:$C$120=$B36)*Inputs!$D$5:$D$120*(((Inputs!$G$5:$G$120="moeda")+(Inputs!$G$5:$G$120="acoes"))*Inputs!$B$1+((Inputs!$G$5:$G$120&lt;&gt;"moeda")*(Inputs!$G$5:$G$120&lt;&gt;"acoes")))*INDEX(Inputs!$K$5:$AJ$120,0,MATCH(AA$2,Inputs!$K$4:$AJ$4,0)))+SUMPRODUCT((Inputs!$E$5:$E$120=$B36)*Inputs!$F$5:$F$120*(((Inputs!$G$5:$G$120="moeda")+(Inputs!$G$5:$G$120="acoes"))*Inputs!$B$1+((Inputs!$G$5:$G$120&lt;&gt;"moeda")*(Inputs!$G$5:$G$120&lt;&gt;"acoes")))*INDEX(Inputs!$K$5:$AJ$120,0,MATCH(AA$2,Inputs!$K$4:$AJ$4,0)))))</f>
        <v>0</v>
      </c>
      <c r="AB36" s="3">
        <f>AA36</f>
        <v>0</v>
      </c>
      <c r="AC36" s="6">
        <f>IF(ISNA(MATCH(AC$2,Inputs!$K$4:$AJ$4,0)),NA(),IF(SUMPRODUCT((Inputs!$A$5:$A$120=$B36)*ISNUMBER(INDEX(Inputs!$K$5:$AJ$120,0,MATCH(AC$2,Inputs!$K$4:$AJ$4,0))))+SUMPRODUCT((Inputs!$C$5:$C$120=$B36)*ISNUMBER(INDEX(Inputs!$K$5:$AJ$120,0,MATCH(AC$2,Inputs!$K$4:$AJ$4,0))))+SUMPRODUCT((Inputs!$E$5:$E$120=$B36)*ISNUMBER(INDEX(Inputs!$K$5:$AJ$120,0,MATCH(AC$2,Inputs!$K$4:$AJ$4,0))))=0,NA(),SUMPRODUCT((Inputs!$A$5:$A$120=$B36)*Inputs!$B$5:$B$120*(((Inputs!$G$5:$G$120="moeda")+(Inputs!$G$5:$G$120="acoes"))*Inputs!$B$1+((Inputs!$G$5:$G$120&lt;&gt;"moeda")*(Inputs!$G$5:$G$120&lt;&gt;"acoes")))*INDEX(Inputs!$K$5:$AJ$120,0,MATCH(AC$2,Inputs!$K$4:$AJ$4,0)))+SUMPRODUCT((Inputs!$C$5:$C$120=$B36)*Inputs!$D$5:$D$120*(((Inputs!$G$5:$G$120="moeda")+(Inputs!$G$5:$G$120="acoes"))*Inputs!$B$1+((Inputs!$G$5:$G$120&lt;&gt;"moeda")*(Inputs!$G$5:$G$120&lt;&gt;"acoes")))*INDEX(Inputs!$K$5:$AJ$120,0,MATCH(AC$2,Inputs!$K$4:$AJ$4,0)))+SUMPRODUCT((Inputs!$E$5:$E$120=$B36)*Inputs!$F$5:$F$120*(((Inputs!$G$5:$G$120="moeda")+(Inputs!$G$5:$G$120="acoes"))*Inputs!$B$1+((Inputs!$G$5:$G$120&lt;&gt;"moeda")*(Inputs!$G$5:$G$120&lt;&gt;"acoes")))*INDEX(Inputs!$K$5:$AJ$120,0,MATCH(AC$2,Inputs!$K$4:$AJ$4,0)))))</f>
        <v>0</v>
      </c>
      <c r="AD36" s="6">
        <f>IF(ISNA(MATCH(AD$2,Inputs!$K$4:$AJ$4,0)),NA(),IF(SUMPRODUCT((Inputs!$A$5:$A$120=$B36)*ISNUMBER(INDEX(Inputs!$K$5:$AJ$120,0,MATCH(AD$2,Inputs!$K$4:$AJ$4,0))))+SUMPRODUCT((Inputs!$C$5:$C$120=$B36)*ISNUMBER(INDEX(Inputs!$K$5:$AJ$120,0,MATCH(AD$2,Inputs!$K$4:$AJ$4,0))))+SUMPRODUCT((Inputs!$E$5:$E$120=$B36)*ISNUMBER(INDEX(Inputs!$K$5:$AJ$120,0,MATCH(AD$2,Inputs!$K$4:$AJ$4,0))))=0,NA(),SUMPRODUCT((Inputs!$A$5:$A$120=$B36)*Inputs!$B$5:$B$120*(((Inputs!$G$5:$G$120="moeda")+(Inputs!$G$5:$G$120="acoes"))*Inputs!$B$1+((Inputs!$G$5:$G$120&lt;&gt;"moeda")*(Inputs!$G$5:$G$120&lt;&gt;"acoes")))*INDEX(Inputs!$K$5:$AJ$120,0,MATCH(AD$2,Inputs!$K$4:$AJ$4,0)))+SUMPRODUCT((Inputs!$C$5:$C$120=$B36)*Inputs!$D$5:$D$120*(((Inputs!$G$5:$G$120="moeda")+(Inputs!$G$5:$G$120="acoes"))*Inputs!$B$1+((Inputs!$G$5:$G$120&lt;&gt;"moeda")*(Inputs!$G$5:$G$120&lt;&gt;"acoes")))*INDEX(Inputs!$K$5:$AJ$120,0,MATCH(AD$2,Inputs!$K$4:$AJ$4,0)))+SUMPRODUCT((Inputs!$E$5:$E$120=$B36)*Inputs!$F$5:$F$120*(((Inputs!$G$5:$G$120="moeda")+(Inputs!$G$5:$G$120="acoes"))*Inputs!$B$1+((Inputs!$G$5:$G$120&lt;&gt;"moeda")*(Inputs!$G$5:$G$120&lt;&gt;"acoes")))*INDEX(Inputs!$K$5:$AJ$120,0,MATCH(AD$2,Inputs!$K$4:$AJ$4,0)))))</f>
        <v>0</v>
      </c>
      <c r="AE36" s="6" t="e">
        <f>IF(ISNA(MATCH(AE$2,Inputs!$K$4:$AJ$4,0)),NA(),IF(SUMPRODUCT((Inputs!$A$5:$A$120=$B36)*ISNUMBER(INDEX(Inputs!$K$5:$AJ$120,0,MATCH(AE$2,Inputs!$K$4:$AJ$4,0))))+SUMPRODUCT((Inputs!$C$5:$C$120=$B36)*ISNUMBER(INDEX(Inputs!$K$5:$AJ$120,0,MATCH(AE$2,Inputs!$K$4:$AJ$4,0))))+SUMPRODUCT((Inputs!$E$5:$E$120=$B36)*ISNUMBER(INDEX(Inputs!$K$5:$AJ$120,0,MATCH(AE$2,Inputs!$K$4:$AJ$4,0))))=0,NA(),SUMPRODUCT((Inputs!$A$5:$A$120=$B36)*Inputs!$B$5:$B$120*(((Inputs!$G$5:$G$120="moeda")+(Inputs!$G$5:$G$120="acoes"))*Inputs!$B$1+((Inputs!$G$5:$G$120&lt;&gt;"moeda")*(Inputs!$G$5:$G$120&lt;&gt;"acoes")))*INDEX(Inputs!$K$5:$AJ$120,0,MATCH(AE$2,Inputs!$K$4:$AJ$4,0)))+SUMPRODUCT((Inputs!$C$5:$C$120=$B36)*Inputs!$D$5:$D$120*(((Inputs!$G$5:$G$120="moeda")+(Inputs!$G$5:$G$120="acoes"))*Inputs!$B$1+((Inputs!$G$5:$G$120&lt;&gt;"moeda")*(Inputs!$G$5:$G$120&lt;&gt;"acoes")))*INDEX(Inputs!$K$5:$AJ$120,0,MATCH(AE$2,Inputs!$K$4:$AJ$4,0)))+SUMPRODUCT((Inputs!$E$5:$E$120=$B36)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36" s="6" t="e">
        <f>IF(ISNA(MATCH(AF$2,Inputs!$K$4:$AJ$4,0)),NA(),IF(SUMPRODUCT((Inputs!$A$5:$A$120=$B36)*ISNUMBER(INDEX(Inputs!$K$5:$AJ$120,0,MATCH(AF$2,Inputs!$K$4:$AJ$4,0))))+SUMPRODUCT((Inputs!$C$5:$C$120=$B36)*ISNUMBER(INDEX(Inputs!$K$5:$AJ$120,0,MATCH(AF$2,Inputs!$K$4:$AJ$4,0))))+SUMPRODUCT((Inputs!$E$5:$E$120=$B36)*ISNUMBER(INDEX(Inputs!$K$5:$AJ$120,0,MATCH(AF$2,Inputs!$K$4:$AJ$4,0))))=0,NA(),SUMPRODUCT((Inputs!$A$5:$A$120=$B36)*Inputs!$B$5:$B$120*(((Inputs!$G$5:$G$120="moeda")+(Inputs!$G$5:$G$120="acoes"))*Inputs!$B$1+((Inputs!$G$5:$G$120&lt;&gt;"moeda")*(Inputs!$G$5:$G$120&lt;&gt;"acoes")))*INDEX(Inputs!$K$5:$AJ$120,0,MATCH(AF$2,Inputs!$K$4:$AJ$4,0)))+SUMPRODUCT((Inputs!$C$5:$C$120=$B36)*Inputs!$D$5:$D$120*(((Inputs!$G$5:$G$120="moeda")+(Inputs!$G$5:$G$120="acoes"))*Inputs!$B$1+((Inputs!$G$5:$G$120&lt;&gt;"moeda")*(Inputs!$G$5:$G$120&lt;&gt;"acoes")))*INDEX(Inputs!$K$5:$AJ$120,0,MATCH(AF$2,Inputs!$K$4:$AJ$4,0)))+SUMPRODUCT((Inputs!$E$5:$E$120=$B36)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36" s="3" t="e">
        <f>AF36</f>
        <v>#N/A</v>
      </c>
      <c r="AH36" s="6">
        <f>IF(ISNA(MATCH(AH$2,Inputs!$K$4:$AJ$4,0)),NA(),IF(SUMPRODUCT((Inputs!$A$5:$A$120=$B36)*ISNUMBER(INDEX(Inputs!$K$5:$AJ$120,0,MATCH(AH$2,Inputs!$K$4:$AJ$4,0))))+SUMPRODUCT((Inputs!$C$5:$C$120=$B36)*ISNUMBER(INDEX(Inputs!$K$5:$AJ$120,0,MATCH(AH$2,Inputs!$K$4:$AJ$4,0))))+SUMPRODUCT((Inputs!$E$5:$E$120=$B36)*ISNUMBER(INDEX(Inputs!$K$5:$AJ$120,0,MATCH(AH$2,Inputs!$K$4:$AJ$4,0))))=0,NA(),SUMPRODUCT((Inputs!$A$5:$A$120=$B36)*Inputs!$B$5:$B$120*(((Inputs!$G$5:$G$120="moeda")+(Inputs!$G$5:$G$120="acoes"))*Inputs!$B$1+((Inputs!$G$5:$G$120&lt;&gt;"moeda")*(Inputs!$G$5:$G$120&lt;&gt;"acoes")))*INDEX(Inputs!$K$5:$AJ$120,0,MATCH(AH$2,Inputs!$K$4:$AJ$4,0)))+SUMPRODUCT((Inputs!$C$5:$C$120=$B36)*Inputs!$D$5:$D$120*(((Inputs!$G$5:$G$120="moeda")+(Inputs!$G$5:$G$120="acoes"))*Inputs!$B$1+((Inputs!$G$5:$G$120&lt;&gt;"moeda")*(Inputs!$G$5:$G$120&lt;&gt;"acoes")))*INDEX(Inputs!$K$5:$AJ$120,0,MATCH(AH$2,Inputs!$K$4:$AJ$4,0)))+SUMPRODUCT((Inputs!$E$5:$E$120=$B36)*Inputs!$F$5:$F$120*(((Inputs!$G$5:$G$120="moeda")+(Inputs!$G$5:$G$120="acoes"))*Inputs!$B$1+((Inputs!$G$5:$G$120&lt;&gt;"moeda")*(Inputs!$G$5:$G$120&lt;&gt;"acoes")))*INDEX(Inputs!$K$5:$AJ$120,0,MATCH(AH$2,Inputs!$K$4:$AJ$4,0)))))</f>
        <v>0</v>
      </c>
      <c r="AI36" s="6">
        <f>IF(ISNA(MATCH(AI$2,Inputs!$K$4:$AJ$4,0)),NA(),IF(SUMPRODUCT((Inputs!$A$5:$A$120=$B36)*ISNUMBER(INDEX(Inputs!$K$5:$AJ$120,0,MATCH(AI$2,Inputs!$K$4:$AJ$4,0))))+SUMPRODUCT((Inputs!$C$5:$C$120=$B36)*ISNUMBER(INDEX(Inputs!$K$5:$AJ$120,0,MATCH(AI$2,Inputs!$K$4:$AJ$4,0))))+SUMPRODUCT((Inputs!$E$5:$E$120=$B36)*ISNUMBER(INDEX(Inputs!$K$5:$AJ$120,0,MATCH(AI$2,Inputs!$K$4:$AJ$4,0))))=0,NA(),SUMPRODUCT((Inputs!$A$5:$A$120=$B36)*Inputs!$B$5:$B$120*(((Inputs!$G$5:$G$120="moeda")+(Inputs!$G$5:$G$120="acoes"))*Inputs!$B$1+((Inputs!$G$5:$G$120&lt;&gt;"moeda")*(Inputs!$G$5:$G$120&lt;&gt;"acoes")))*INDEX(Inputs!$K$5:$AJ$120,0,MATCH(AI$2,Inputs!$K$4:$AJ$4,0)))+SUMPRODUCT((Inputs!$C$5:$C$120=$B36)*Inputs!$D$5:$D$120*(((Inputs!$G$5:$G$120="moeda")+(Inputs!$G$5:$G$120="acoes"))*Inputs!$B$1+((Inputs!$G$5:$G$120&lt;&gt;"moeda")*(Inputs!$G$5:$G$120&lt;&gt;"acoes")))*INDEX(Inputs!$K$5:$AJ$120,0,MATCH(AI$2,Inputs!$K$4:$AJ$4,0)))+SUMPRODUCT((Inputs!$E$5:$E$120=$B36)*Inputs!$F$5:$F$120*(((Inputs!$G$5:$G$120="moeda")+(Inputs!$G$5:$G$120="acoes"))*Inputs!$B$1+((Inputs!$G$5:$G$120&lt;&gt;"moeda")*(Inputs!$G$5:$G$120&lt;&gt;"acoes")))*INDEX(Inputs!$K$5:$AJ$120,0,MATCH(AI$2,Inputs!$K$4:$AJ$4,0)))))</f>
        <v>0</v>
      </c>
      <c r="AJ36" s="6">
        <f>IF(ISNA(MATCH(AJ$2,Inputs!$K$4:$AJ$4,0)),NA(),IF(SUMPRODUCT((Inputs!$A$5:$A$120=$B36)*ISNUMBER(INDEX(Inputs!$K$5:$AJ$120,0,MATCH(AJ$2,Inputs!$K$4:$AJ$4,0))))+SUMPRODUCT((Inputs!$C$5:$C$120=$B36)*ISNUMBER(INDEX(Inputs!$K$5:$AJ$120,0,MATCH(AJ$2,Inputs!$K$4:$AJ$4,0))))+SUMPRODUCT((Inputs!$E$5:$E$120=$B36)*ISNUMBER(INDEX(Inputs!$K$5:$AJ$120,0,MATCH(AJ$2,Inputs!$K$4:$AJ$4,0))))=0,NA(),SUMPRODUCT((Inputs!$A$5:$A$120=$B36)*Inputs!$B$5:$B$120*(((Inputs!$G$5:$G$120="moeda")+(Inputs!$G$5:$G$120="acoes"))*Inputs!$B$1+((Inputs!$G$5:$G$120&lt;&gt;"moeda")*(Inputs!$G$5:$G$120&lt;&gt;"acoes")))*INDEX(Inputs!$K$5:$AJ$120,0,MATCH(AJ$2,Inputs!$K$4:$AJ$4,0)))+SUMPRODUCT((Inputs!$C$5:$C$120=$B36)*Inputs!$D$5:$D$120*(((Inputs!$G$5:$G$120="moeda")+(Inputs!$G$5:$G$120="acoes"))*Inputs!$B$1+((Inputs!$G$5:$G$120&lt;&gt;"moeda")*(Inputs!$G$5:$G$120&lt;&gt;"acoes")))*INDEX(Inputs!$K$5:$AJ$120,0,MATCH(AJ$2,Inputs!$K$4:$AJ$4,0)))+SUMPRODUCT((Inputs!$E$5:$E$120=$B36)*Inputs!$F$5:$F$120*(((Inputs!$G$5:$G$120="moeda")+(Inputs!$G$5:$G$120="acoes"))*Inputs!$B$1+((Inputs!$G$5:$G$120&lt;&gt;"moeda")*(Inputs!$G$5:$G$120&lt;&gt;"acoes")))*INDEX(Inputs!$K$5:$AJ$120,0,MATCH(AJ$2,Inputs!$K$4:$AJ$4,0)))))</f>
        <v>0</v>
      </c>
      <c r="AK36" s="6">
        <f>IF(ISNA(MATCH(AK$2,Inputs!$K$4:$AJ$4,0)),NA(),IF(SUMPRODUCT((Inputs!$A$5:$A$120=$B36)*ISNUMBER(INDEX(Inputs!$K$5:$AJ$120,0,MATCH(AK$2,Inputs!$K$4:$AJ$4,0))))+SUMPRODUCT((Inputs!$C$5:$C$120=$B36)*ISNUMBER(INDEX(Inputs!$K$5:$AJ$120,0,MATCH(AK$2,Inputs!$K$4:$AJ$4,0))))+SUMPRODUCT((Inputs!$E$5:$E$120=$B36)*ISNUMBER(INDEX(Inputs!$K$5:$AJ$120,0,MATCH(AK$2,Inputs!$K$4:$AJ$4,0))))=0,NA(),SUMPRODUCT((Inputs!$A$5:$A$120=$B36)*Inputs!$B$5:$B$120*(((Inputs!$G$5:$G$120="moeda")+(Inputs!$G$5:$G$120="acoes"))*Inputs!$B$1+((Inputs!$G$5:$G$120&lt;&gt;"moeda")*(Inputs!$G$5:$G$120&lt;&gt;"acoes")))*INDEX(Inputs!$K$5:$AJ$120,0,MATCH(AK$2,Inputs!$K$4:$AJ$4,0)))+SUMPRODUCT((Inputs!$C$5:$C$120=$B36)*Inputs!$D$5:$D$120*(((Inputs!$G$5:$G$120="moeda")+(Inputs!$G$5:$G$120="acoes"))*Inputs!$B$1+((Inputs!$G$5:$G$120&lt;&gt;"moeda")*(Inputs!$G$5:$G$120&lt;&gt;"acoes")))*INDEX(Inputs!$K$5:$AJ$120,0,MATCH(AK$2,Inputs!$K$4:$AJ$4,0)))+SUMPRODUCT((Inputs!$E$5:$E$120=$B36)*Inputs!$F$5:$F$120*(((Inputs!$G$5:$G$120="moeda")+(Inputs!$G$5:$G$120="acoes"))*Inputs!$B$1+((Inputs!$G$5:$G$120&lt;&gt;"moeda")*(Inputs!$G$5:$G$120&lt;&gt;"acoes")))*INDEX(Inputs!$K$5:$AJ$120,0,MATCH(AK$2,Inputs!$K$4:$AJ$4,0)))))</f>
        <v>0</v>
      </c>
      <c r="AL36" s="3">
        <f>AK36</f>
        <v>0</v>
      </c>
    </row>
    <row r="37">
      <c r="B37" s="46" t="n">
        <v>32</v>
      </c>
      <c r="C37" s="26" t="inlineStr">
        <is>
          <t>Convertible debt</t>
        </is>
      </c>
      <c r="D37" s="6">
        <f>IF(ISNA(MATCH(D$2,Inputs!$K$4:$AJ$4,0)),NA(),IF(SUMPRODUCT((Inputs!$A$5:$A$120=$B37)*ISNUMBER(INDEX(Inputs!$K$5:$AJ$120,0,MATCH(D$2,Inputs!$K$4:$AJ$4,0))))+SUMPRODUCT((Inputs!$C$5:$C$120=$B37)*ISNUMBER(INDEX(Inputs!$K$5:$AJ$120,0,MATCH(D$2,Inputs!$K$4:$AJ$4,0))))+SUMPRODUCT((Inputs!$E$5:$E$120=$B37)*ISNUMBER(INDEX(Inputs!$K$5:$AJ$120,0,MATCH(D$2,Inputs!$K$4:$AJ$4,0))))=0,NA(),SUMPRODUCT((Inputs!$A$5:$A$120=$B37)*Inputs!$B$5:$B$120*(((Inputs!$G$5:$G$120="moeda")+(Inputs!$G$5:$G$120="acoes"))*Inputs!$B$1+((Inputs!$G$5:$G$120&lt;&gt;"moeda")*(Inputs!$G$5:$G$120&lt;&gt;"acoes")))*INDEX(Inputs!$K$5:$AJ$120,0,MATCH(D$2,Inputs!$K$4:$AJ$4,0)))+SUMPRODUCT((Inputs!$C$5:$C$120=$B37)*Inputs!$D$5:$D$120*(((Inputs!$G$5:$G$120="moeda")+(Inputs!$G$5:$G$120="acoes"))*Inputs!$B$1+((Inputs!$G$5:$G$120&lt;&gt;"moeda")*(Inputs!$G$5:$G$120&lt;&gt;"acoes")))*INDEX(Inputs!$K$5:$AJ$120,0,MATCH(D$2,Inputs!$K$4:$AJ$4,0)))+SUMPRODUCT((Inputs!$E$5:$E$120=$B37)*Inputs!$F$5:$F$120*(((Inputs!$G$5:$G$120="moeda")+(Inputs!$G$5:$G$120="acoes"))*Inputs!$B$1+((Inputs!$G$5:$G$120&lt;&gt;"moeda")*(Inputs!$G$5:$G$120&lt;&gt;"acoes")))*INDEX(Inputs!$K$5:$AJ$120,0,MATCH(D$2,Inputs!$K$4:$AJ$4,0)))))</f>
        <v>0</v>
      </c>
      <c r="E37" s="6">
        <f>IF(ISNA(MATCH(E$2,Inputs!$K$4:$AJ$4,0)),NA(),IF(SUMPRODUCT((Inputs!$A$5:$A$120=$B37)*ISNUMBER(INDEX(Inputs!$K$5:$AJ$120,0,MATCH(E$2,Inputs!$K$4:$AJ$4,0))))+SUMPRODUCT((Inputs!$C$5:$C$120=$B37)*ISNUMBER(INDEX(Inputs!$K$5:$AJ$120,0,MATCH(E$2,Inputs!$K$4:$AJ$4,0))))+SUMPRODUCT((Inputs!$E$5:$E$120=$B37)*ISNUMBER(INDEX(Inputs!$K$5:$AJ$120,0,MATCH(E$2,Inputs!$K$4:$AJ$4,0))))=0,NA(),SUMPRODUCT((Inputs!$A$5:$A$120=$B37)*Inputs!$B$5:$B$120*(((Inputs!$G$5:$G$120="moeda")+(Inputs!$G$5:$G$120="acoes"))*Inputs!$B$1+((Inputs!$G$5:$G$120&lt;&gt;"moeda")*(Inputs!$G$5:$G$120&lt;&gt;"acoes")))*INDEX(Inputs!$K$5:$AJ$120,0,MATCH(E$2,Inputs!$K$4:$AJ$4,0)))+SUMPRODUCT((Inputs!$C$5:$C$120=$B37)*Inputs!$D$5:$D$120*(((Inputs!$G$5:$G$120="moeda")+(Inputs!$G$5:$G$120="acoes"))*Inputs!$B$1+((Inputs!$G$5:$G$120&lt;&gt;"moeda")*(Inputs!$G$5:$G$120&lt;&gt;"acoes")))*INDEX(Inputs!$K$5:$AJ$120,0,MATCH(E$2,Inputs!$K$4:$AJ$4,0)))+SUMPRODUCT((Inputs!$E$5:$E$120=$B37)*Inputs!$F$5:$F$120*(((Inputs!$G$5:$G$120="moeda")+(Inputs!$G$5:$G$120="acoes"))*Inputs!$B$1+((Inputs!$G$5:$G$120&lt;&gt;"moeda")*(Inputs!$G$5:$G$120&lt;&gt;"acoes")))*INDEX(Inputs!$K$5:$AJ$120,0,MATCH(E$2,Inputs!$K$4:$AJ$4,0)))))</f>
        <v>0</v>
      </c>
      <c r="F37" s="6">
        <f>IF(ISNA(MATCH(F$2,Inputs!$K$4:$AJ$4,0)),NA(),IF(SUMPRODUCT((Inputs!$A$5:$A$120=$B37)*ISNUMBER(INDEX(Inputs!$K$5:$AJ$120,0,MATCH(F$2,Inputs!$K$4:$AJ$4,0))))+SUMPRODUCT((Inputs!$C$5:$C$120=$B37)*ISNUMBER(INDEX(Inputs!$K$5:$AJ$120,0,MATCH(F$2,Inputs!$K$4:$AJ$4,0))))+SUMPRODUCT((Inputs!$E$5:$E$120=$B37)*ISNUMBER(INDEX(Inputs!$K$5:$AJ$120,0,MATCH(F$2,Inputs!$K$4:$AJ$4,0))))=0,NA(),SUMPRODUCT((Inputs!$A$5:$A$120=$B37)*Inputs!$B$5:$B$120*(((Inputs!$G$5:$G$120="moeda")+(Inputs!$G$5:$G$120="acoes"))*Inputs!$B$1+((Inputs!$G$5:$G$120&lt;&gt;"moeda")*(Inputs!$G$5:$G$120&lt;&gt;"acoes")))*INDEX(Inputs!$K$5:$AJ$120,0,MATCH(F$2,Inputs!$K$4:$AJ$4,0)))+SUMPRODUCT((Inputs!$C$5:$C$120=$B37)*Inputs!$D$5:$D$120*(((Inputs!$G$5:$G$120="moeda")+(Inputs!$G$5:$G$120="acoes"))*Inputs!$B$1+((Inputs!$G$5:$G$120&lt;&gt;"moeda")*(Inputs!$G$5:$G$120&lt;&gt;"acoes")))*INDEX(Inputs!$K$5:$AJ$120,0,MATCH(F$2,Inputs!$K$4:$AJ$4,0)))+SUMPRODUCT((Inputs!$E$5:$E$120=$B37)*Inputs!$F$5:$F$120*(((Inputs!$G$5:$G$120="moeda")+(Inputs!$G$5:$G$120="acoes"))*Inputs!$B$1+((Inputs!$G$5:$G$120&lt;&gt;"moeda")*(Inputs!$G$5:$G$120&lt;&gt;"acoes")))*INDEX(Inputs!$K$5:$AJ$120,0,MATCH(F$2,Inputs!$K$4:$AJ$4,0)))))</f>
        <v>0</v>
      </c>
      <c r="G37" s="6">
        <f>IF(ISNA(MATCH(G$2,Inputs!$K$4:$AJ$4,0)),NA(),IF(SUMPRODUCT((Inputs!$A$5:$A$120=$B37)*ISNUMBER(INDEX(Inputs!$K$5:$AJ$120,0,MATCH(G$2,Inputs!$K$4:$AJ$4,0))))+SUMPRODUCT((Inputs!$C$5:$C$120=$B37)*ISNUMBER(INDEX(Inputs!$K$5:$AJ$120,0,MATCH(G$2,Inputs!$K$4:$AJ$4,0))))+SUMPRODUCT((Inputs!$E$5:$E$120=$B37)*ISNUMBER(INDEX(Inputs!$K$5:$AJ$120,0,MATCH(G$2,Inputs!$K$4:$AJ$4,0))))=0,NA(),SUMPRODUCT((Inputs!$A$5:$A$120=$B37)*Inputs!$B$5:$B$120*(((Inputs!$G$5:$G$120="moeda")+(Inputs!$G$5:$G$120="acoes"))*Inputs!$B$1+((Inputs!$G$5:$G$120&lt;&gt;"moeda")*(Inputs!$G$5:$G$120&lt;&gt;"acoes")))*INDEX(Inputs!$K$5:$AJ$120,0,MATCH(G$2,Inputs!$K$4:$AJ$4,0)))+SUMPRODUCT((Inputs!$C$5:$C$120=$B37)*Inputs!$D$5:$D$120*(((Inputs!$G$5:$G$120="moeda")+(Inputs!$G$5:$G$120="acoes"))*Inputs!$B$1+((Inputs!$G$5:$G$120&lt;&gt;"moeda")*(Inputs!$G$5:$G$120&lt;&gt;"acoes")))*INDEX(Inputs!$K$5:$AJ$120,0,MATCH(G$2,Inputs!$K$4:$AJ$4,0)))+SUMPRODUCT((Inputs!$E$5:$E$120=$B37)*Inputs!$F$5:$F$120*(((Inputs!$G$5:$G$120="moeda")+(Inputs!$G$5:$G$120="acoes"))*Inputs!$B$1+((Inputs!$G$5:$G$120&lt;&gt;"moeda")*(Inputs!$G$5:$G$120&lt;&gt;"acoes")))*INDEX(Inputs!$K$5:$AJ$120,0,MATCH(G$2,Inputs!$K$4:$AJ$4,0)))))</f>
        <v>0</v>
      </c>
      <c r="H37" s="3">
        <f>G37</f>
        <v>0</v>
      </c>
      <c r="I37" s="6">
        <f>IF(ISNA(MATCH(I$2,Inputs!$K$4:$AJ$4,0)),NA(),IF(SUMPRODUCT((Inputs!$A$5:$A$120=$B37)*ISNUMBER(INDEX(Inputs!$K$5:$AJ$120,0,MATCH(I$2,Inputs!$K$4:$AJ$4,0))))+SUMPRODUCT((Inputs!$C$5:$C$120=$B37)*ISNUMBER(INDEX(Inputs!$K$5:$AJ$120,0,MATCH(I$2,Inputs!$K$4:$AJ$4,0))))+SUMPRODUCT((Inputs!$E$5:$E$120=$B37)*ISNUMBER(INDEX(Inputs!$K$5:$AJ$120,0,MATCH(I$2,Inputs!$K$4:$AJ$4,0))))=0,NA(),SUMPRODUCT((Inputs!$A$5:$A$120=$B37)*Inputs!$B$5:$B$120*(((Inputs!$G$5:$G$120="moeda")+(Inputs!$G$5:$G$120="acoes"))*Inputs!$B$1+((Inputs!$G$5:$G$120&lt;&gt;"moeda")*(Inputs!$G$5:$G$120&lt;&gt;"acoes")))*INDEX(Inputs!$K$5:$AJ$120,0,MATCH(I$2,Inputs!$K$4:$AJ$4,0)))+SUMPRODUCT((Inputs!$C$5:$C$120=$B37)*Inputs!$D$5:$D$120*(((Inputs!$G$5:$G$120="moeda")+(Inputs!$G$5:$G$120="acoes"))*Inputs!$B$1+((Inputs!$G$5:$G$120&lt;&gt;"moeda")*(Inputs!$G$5:$G$120&lt;&gt;"acoes")))*INDEX(Inputs!$K$5:$AJ$120,0,MATCH(I$2,Inputs!$K$4:$AJ$4,0)))+SUMPRODUCT((Inputs!$E$5:$E$120=$B37)*Inputs!$F$5:$F$120*(((Inputs!$G$5:$G$120="moeda")+(Inputs!$G$5:$G$120="acoes"))*Inputs!$B$1+((Inputs!$G$5:$G$120&lt;&gt;"moeda")*(Inputs!$G$5:$G$120&lt;&gt;"acoes")))*INDEX(Inputs!$K$5:$AJ$120,0,MATCH(I$2,Inputs!$K$4:$AJ$4,0)))))</f>
        <v>0</v>
      </c>
      <c r="J37" s="6">
        <f>IF(ISNA(MATCH(J$2,Inputs!$K$4:$AJ$4,0)),NA(),IF(SUMPRODUCT((Inputs!$A$5:$A$120=$B37)*ISNUMBER(INDEX(Inputs!$K$5:$AJ$120,0,MATCH(J$2,Inputs!$K$4:$AJ$4,0))))+SUMPRODUCT((Inputs!$C$5:$C$120=$B37)*ISNUMBER(INDEX(Inputs!$K$5:$AJ$120,0,MATCH(J$2,Inputs!$K$4:$AJ$4,0))))+SUMPRODUCT((Inputs!$E$5:$E$120=$B37)*ISNUMBER(INDEX(Inputs!$K$5:$AJ$120,0,MATCH(J$2,Inputs!$K$4:$AJ$4,0))))=0,NA(),SUMPRODUCT((Inputs!$A$5:$A$120=$B37)*Inputs!$B$5:$B$120*(((Inputs!$G$5:$G$120="moeda")+(Inputs!$G$5:$G$120="acoes"))*Inputs!$B$1+((Inputs!$G$5:$G$120&lt;&gt;"moeda")*(Inputs!$G$5:$G$120&lt;&gt;"acoes")))*INDEX(Inputs!$K$5:$AJ$120,0,MATCH(J$2,Inputs!$K$4:$AJ$4,0)))+SUMPRODUCT((Inputs!$C$5:$C$120=$B37)*Inputs!$D$5:$D$120*(((Inputs!$G$5:$G$120="moeda")+(Inputs!$G$5:$G$120="acoes"))*Inputs!$B$1+((Inputs!$G$5:$G$120&lt;&gt;"moeda")*(Inputs!$G$5:$G$120&lt;&gt;"acoes")))*INDEX(Inputs!$K$5:$AJ$120,0,MATCH(J$2,Inputs!$K$4:$AJ$4,0)))+SUMPRODUCT((Inputs!$E$5:$E$120=$B37)*Inputs!$F$5:$F$120*(((Inputs!$G$5:$G$120="moeda")+(Inputs!$G$5:$G$120="acoes"))*Inputs!$B$1+((Inputs!$G$5:$G$120&lt;&gt;"moeda")*(Inputs!$G$5:$G$120&lt;&gt;"acoes")))*INDEX(Inputs!$K$5:$AJ$120,0,MATCH(J$2,Inputs!$K$4:$AJ$4,0)))))</f>
        <v>0</v>
      </c>
      <c r="K37" s="6">
        <f>IF(ISNA(MATCH(K$2,Inputs!$K$4:$AJ$4,0)),NA(),IF(SUMPRODUCT((Inputs!$A$5:$A$120=$B37)*ISNUMBER(INDEX(Inputs!$K$5:$AJ$120,0,MATCH(K$2,Inputs!$K$4:$AJ$4,0))))+SUMPRODUCT((Inputs!$C$5:$C$120=$B37)*ISNUMBER(INDEX(Inputs!$K$5:$AJ$120,0,MATCH(K$2,Inputs!$K$4:$AJ$4,0))))+SUMPRODUCT((Inputs!$E$5:$E$120=$B37)*ISNUMBER(INDEX(Inputs!$K$5:$AJ$120,0,MATCH(K$2,Inputs!$K$4:$AJ$4,0))))=0,NA(),SUMPRODUCT((Inputs!$A$5:$A$120=$B37)*Inputs!$B$5:$B$120*(((Inputs!$G$5:$G$120="moeda")+(Inputs!$G$5:$G$120="acoes"))*Inputs!$B$1+((Inputs!$G$5:$G$120&lt;&gt;"moeda")*(Inputs!$G$5:$G$120&lt;&gt;"acoes")))*INDEX(Inputs!$K$5:$AJ$120,0,MATCH(K$2,Inputs!$K$4:$AJ$4,0)))+SUMPRODUCT((Inputs!$C$5:$C$120=$B37)*Inputs!$D$5:$D$120*(((Inputs!$G$5:$G$120="moeda")+(Inputs!$G$5:$G$120="acoes"))*Inputs!$B$1+((Inputs!$G$5:$G$120&lt;&gt;"moeda")*(Inputs!$G$5:$G$120&lt;&gt;"acoes")))*INDEX(Inputs!$K$5:$AJ$120,0,MATCH(K$2,Inputs!$K$4:$AJ$4,0)))+SUMPRODUCT((Inputs!$E$5:$E$120=$B37)*Inputs!$F$5:$F$120*(((Inputs!$G$5:$G$120="moeda")+(Inputs!$G$5:$G$120="acoes"))*Inputs!$B$1+((Inputs!$G$5:$G$120&lt;&gt;"moeda")*(Inputs!$G$5:$G$120&lt;&gt;"acoes")))*INDEX(Inputs!$K$5:$AJ$120,0,MATCH(K$2,Inputs!$K$4:$AJ$4,0)))))</f>
        <v>0</v>
      </c>
      <c r="L37" s="6">
        <f>IF(ISNA(MATCH(L$2,Inputs!$K$4:$AJ$4,0)),NA(),IF(SUMPRODUCT((Inputs!$A$5:$A$120=$B37)*ISNUMBER(INDEX(Inputs!$K$5:$AJ$120,0,MATCH(L$2,Inputs!$K$4:$AJ$4,0))))+SUMPRODUCT((Inputs!$C$5:$C$120=$B37)*ISNUMBER(INDEX(Inputs!$K$5:$AJ$120,0,MATCH(L$2,Inputs!$K$4:$AJ$4,0))))+SUMPRODUCT((Inputs!$E$5:$E$120=$B37)*ISNUMBER(INDEX(Inputs!$K$5:$AJ$120,0,MATCH(L$2,Inputs!$K$4:$AJ$4,0))))=0,NA(),SUMPRODUCT((Inputs!$A$5:$A$120=$B37)*Inputs!$B$5:$B$120*(((Inputs!$G$5:$G$120="moeda")+(Inputs!$G$5:$G$120="acoes"))*Inputs!$B$1+((Inputs!$G$5:$G$120&lt;&gt;"moeda")*(Inputs!$G$5:$G$120&lt;&gt;"acoes")))*INDEX(Inputs!$K$5:$AJ$120,0,MATCH(L$2,Inputs!$K$4:$AJ$4,0)))+SUMPRODUCT((Inputs!$C$5:$C$120=$B37)*Inputs!$D$5:$D$120*(((Inputs!$G$5:$G$120="moeda")+(Inputs!$G$5:$G$120="acoes"))*Inputs!$B$1+((Inputs!$G$5:$G$120&lt;&gt;"moeda")*(Inputs!$G$5:$G$120&lt;&gt;"acoes")))*INDEX(Inputs!$K$5:$AJ$120,0,MATCH(L$2,Inputs!$K$4:$AJ$4,0)))+SUMPRODUCT((Inputs!$E$5:$E$120=$B37)*Inputs!$F$5:$F$120*(((Inputs!$G$5:$G$120="moeda")+(Inputs!$G$5:$G$120="acoes"))*Inputs!$B$1+((Inputs!$G$5:$G$120&lt;&gt;"moeda")*(Inputs!$G$5:$G$120&lt;&gt;"acoes")))*INDEX(Inputs!$K$5:$AJ$120,0,MATCH(L$2,Inputs!$K$4:$AJ$4,0)))))</f>
        <v>0</v>
      </c>
      <c r="M37" s="3">
        <f>L37</f>
        <v>0</v>
      </c>
      <c r="N37" s="6">
        <f>IF(ISNA(MATCH(N$2,Inputs!$K$4:$AJ$4,0)),NA(),IF(SUMPRODUCT((Inputs!$A$5:$A$120=$B37)*ISNUMBER(INDEX(Inputs!$K$5:$AJ$120,0,MATCH(N$2,Inputs!$K$4:$AJ$4,0))))+SUMPRODUCT((Inputs!$C$5:$C$120=$B37)*ISNUMBER(INDEX(Inputs!$K$5:$AJ$120,0,MATCH(N$2,Inputs!$K$4:$AJ$4,0))))+SUMPRODUCT((Inputs!$E$5:$E$120=$B37)*ISNUMBER(INDEX(Inputs!$K$5:$AJ$120,0,MATCH(N$2,Inputs!$K$4:$AJ$4,0))))=0,NA(),SUMPRODUCT((Inputs!$A$5:$A$120=$B37)*Inputs!$B$5:$B$120*(((Inputs!$G$5:$G$120="moeda")+(Inputs!$G$5:$G$120="acoes"))*Inputs!$B$1+((Inputs!$G$5:$G$120&lt;&gt;"moeda")*(Inputs!$G$5:$G$120&lt;&gt;"acoes")))*INDEX(Inputs!$K$5:$AJ$120,0,MATCH(N$2,Inputs!$K$4:$AJ$4,0)))+SUMPRODUCT((Inputs!$C$5:$C$120=$B37)*Inputs!$D$5:$D$120*(((Inputs!$G$5:$G$120="moeda")+(Inputs!$G$5:$G$120="acoes"))*Inputs!$B$1+((Inputs!$G$5:$G$120&lt;&gt;"moeda")*(Inputs!$G$5:$G$120&lt;&gt;"acoes")))*INDEX(Inputs!$K$5:$AJ$120,0,MATCH(N$2,Inputs!$K$4:$AJ$4,0)))+SUMPRODUCT((Inputs!$E$5:$E$120=$B37)*Inputs!$F$5:$F$120*(((Inputs!$G$5:$G$120="moeda")+(Inputs!$G$5:$G$120="acoes"))*Inputs!$B$1+((Inputs!$G$5:$G$120&lt;&gt;"moeda")*(Inputs!$G$5:$G$120&lt;&gt;"acoes")))*INDEX(Inputs!$K$5:$AJ$120,0,MATCH(N$2,Inputs!$K$4:$AJ$4,0)))))</f>
        <v>0</v>
      </c>
      <c r="O37" s="6">
        <f>IF(ISNA(MATCH(O$2,Inputs!$K$4:$AJ$4,0)),NA(),IF(SUMPRODUCT((Inputs!$A$5:$A$120=$B37)*ISNUMBER(INDEX(Inputs!$K$5:$AJ$120,0,MATCH(O$2,Inputs!$K$4:$AJ$4,0))))+SUMPRODUCT((Inputs!$C$5:$C$120=$B37)*ISNUMBER(INDEX(Inputs!$K$5:$AJ$120,0,MATCH(O$2,Inputs!$K$4:$AJ$4,0))))+SUMPRODUCT((Inputs!$E$5:$E$120=$B37)*ISNUMBER(INDEX(Inputs!$K$5:$AJ$120,0,MATCH(O$2,Inputs!$K$4:$AJ$4,0))))=0,NA(),SUMPRODUCT((Inputs!$A$5:$A$120=$B37)*Inputs!$B$5:$B$120*(((Inputs!$G$5:$G$120="moeda")+(Inputs!$G$5:$G$120="acoes"))*Inputs!$B$1+((Inputs!$G$5:$G$120&lt;&gt;"moeda")*(Inputs!$G$5:$G$120&lt;&gt;"acoes")))*INDEX(Inputs!$K$5:$AJ$120,0,MATCH(O$2,Inputs!$K$4:$AJ$4,0)))+SUMPRODUCT((Inputs!$C$5:$C$120=$B37)*Inputs!$D$5:$D$120*(((Inputs!$G$5:$G$120="moeda")+(Inputs!$G$5:$G$120="acoes"))*Inputs!$B$1+((Inputs!$G$5:$G$120&lt;&gt;"moeda")*(Inputs!$G$5:$G$120&lt;&gt;"acoes")))*INDEX(Inputs!$K$5:$AJ$120,0,MATCH(O$2,Inputs!$K$4:$AJ$4,0)))+SUMPRODUCT((Inputs!$E$5:$E$120=$B37)*Inputs!$F$5:$F$120*(((Inputs!$G$5:$G$120="moeda")+(Inputs!$G$5:$G$120="acoes"))*Inputs!$B$1+((Inputs!$G$5:$G$120&lt;&gt;"moeda")*(Inputs!$G$5:$G$120&lt;&gt;"acoes")))*INDEX(Inputs!$K$5:$AJ$120,0,MATCH(O$2,Inputs!$K$4:$AJ$4,0)))))</f>
        <v>0</v>
      </c>
      <c r="P37" s="6">
        <f>IF(ISNA(MATCH(P$2,Inputs!$K$4:$AJ$4,0)),NA(),IF(SUMPRODUCT((Inputs!$A$5:$A$120=$B37)*ISNUMBER(INDEX(Inputs!$K$5:$AJ$120,0,MATCH(P$2,Inputs!$K$4:$AJ$4,0))))+SUMPRODUCT((Inputs!$C$5:$C$120=$B37)*ISNUMBER(INDEX(Inputs!$K$5:$AJ$120,0,MATCH(P$2,Inputs!$K$4:$AJ$4,0))))+SUMPRODUCT((Inputs!$E$5:$E$120=$B37)*ISNUMBER(INDEX(Inputs!$K$5:$AJ$120,0,MATCH(P$2,Inputs!$K$4:$AJ$4,0))))=0,NA(),SUMPRODUCT((Inputs!$A$5:$A$120=$B37)*Inputs!$B$5:$B$120*(((Inputs!$G$5:$G$120="moeda")+(Inputs!$G$5:$G$120="acoes"))*Inputs!$B$1+((Inputs!$G$5:$G$120&lt;&gt;"moeda")*(Inputs!$G$5:$G$120&lt;&gt;"acoes")))*INDEX(Inputs!$K$5:$AJ$120,0,MATCH(P$2,Inputs!$K$4:$AJ$4,0)))+SUMPRODUCT((Inputs!$C$5:$C$120=$B37)*Inputs!$D$5:$D$120*(((Inputs!$G$5:$G$120="moeda")+(Inputs!$G$5:$G$120="acoes"))*Inputs!$B$1+((Inputs!$G$5:$G$120&lt;&gt;"moeda")*(Inputs!$G$5:$G$120&lt;&gt;"acoes")))*INDEX(Inputs!$K$5:$AJ$120,0,MATCH(P$2,Inputs!$K$4:$AJ$4,0)))+SUMPRODUCT((Inputs!$E$5:$E$120=$B37)*Inputs!$F$5:$F$120*(((Inputs!$G$5:$G$120="moeda")+(Inputs!$G$5:$G$120="acoes"))*Inputs!$B$1+((Inputs!$G$5:$G$120&lt;&gt;"moeda")*(Inputs!$G$5:$G$120&lt;&gt;"acoes")))*INDEX(Inputs!$K$5:$AJ$120,0,MATCH(P$2,Inputs!$K$4:$AJ$4,0)))))</f>
        <v>0</v>
      </c>
      <c r="Q37" s="6">
        <f>IF(ISNA(MATCH(Q$2,Inputs!$K$4:$AJ$4,0)),NA(),IF(SUMPRODUCT((Inputs!$A$5:$A$120=$B37)*ISNUMBER(INDEX(Inputs!$K$5:$AJ$120,0,MATCH(Q$2,Inputs!$K$4:$AJ$4,0))))+SUMPRODUCT((Inputs!$C$5:$C$120=$B37)*ISNUMBER(INDEX(Inputs!$K$5:$AJ$120,0,MATCH(Q$2,Inputs!$K$4:$AJ$4,0))))+SUMPRODUCT((Inputs!$E$5:$E$120=$B37)*ISNUMBER(INDEX(Inputs!$K$5:$AJ$120,0,MATCH(Q$2,Inputs!$K$4:$AJ$4,0))))=0,NA(),SUMPRODUCT((Inputs!$A$5:$A$120=$B37)*Inputs!$B$5:$B$120*(((Inputs!$G$5:$G$120="moeda")+(Inputs!$G$5:$G$120="acoes"))*Inputs!$B$1+((Inputs!$G$5:$G$120&lt;&gt;"moeda")*(Inputs!$G$5:$G$120&lt;&gt;"acoes")))*INDEX(Inputs!$K$5:$AJ$120,0,MATCH(Q$2,Inputs!$K$4:$AJ$4,0)))+SUMPRODUCT((Inputs!$C$5:$C$120=$B37)*Inputs!$D$5:$D$120*(((Inputs!$G$5:$G$120="moeda")+(Inputs!$G$5:$G$120="acoes"))*Inputs!$B$1+((Inputs!$G$5:$G$120&lt;&gt;"moeda")*(Inputs!$G$5:$G$120&lt;&gt;"acoes")))*INDEX(Inputs!$K$5:$AJ$120,0,MATCH(Q$2,Inputs!$K$4:$AJ$4,0)))+SUMPRODUCT((Inputs!$E$5:$E$120=$B37)*Inputs!$F$5:$F$120*(((Inputs!$G$5:$G$120="moeda")+(Inputs!$G$5:$G$120="acoes"))*Inputs!$B$1+((Inputs!$G$5:$G$120&lt;&gt;"moeda")*(Inputs!$G$5:$G$120&lt;&gt;"acoes")))*INDEX(Inputs!$K$5:$AJ$120,0,MATCH(Q$2,Inputs!$K$4:$AJ$4,0)))))</f>
        <v>0</v>
      </c>
      <c r="R37" s="3">
        <f>Q37</f>
        <v>0</v>
      </c>
      <c r="S37" s="6">
        <f>IF(ISNA(MATCH(S$2,Inputs!$K$4:$AJ$4,0)),NA(),IF(SUMPRODUCT((Inputs!$A$5:$A$120=$B37)*ISNUMBER(INDEX(Inputs!$K$5:$AJ$120,0,MATCH(S$2,Inputs!$K$4:$AJ$4,0))))+SUMPRODUCT((Inputs!$C$5:$C$120=$B37)*ISNUMBER(INDEX(Inputs!$K$5:$AJ$120,0,MATCH(S$2,Inputs!$K$4:$AJ$4,0))))+SUMPRODUCT((Inputs!$E$5:$E$120=$B37)*ISNUMBER(INDEX(Inputs!$K$5:$AJ$120,0,MATCH(S$2,Inputs!$K$4:$AJ$4,0))))=0,NA(),SUMPRODUCT((Inputs!$A$5:$A$120=$B37)*Inputs!$B$5:$B$120*(((Inputs!$G$5:$G$120="moeda")+(Inputs!$G$5:$G$120="acoes"))*Inputs!$B$1+((Inputs!$G$5:$G$120&lt;&gt;"moeda")*(Inputs!$G$5:$G$120&lt;&gt;"acoes")))*INDEX(Inputs!$K$5:$AJ$120,0,MATCH(S$2,Inputs!$K$4:$AJ$4,0)))+SUMPRODUCT((Inputs!$C$5:$C$120=$B37)*Inputs!$D$5:$D$120*(((Inputs!$G$5:$G$120="moeda")+(Inputs!$G$5:$G$120="acoes"))*Inputs!$B$1+((Inputs!$G$5:$G$120&lt;&gt;"moeda")*(Inputs!$G$5:$G$120&lt;&gt;"acoes")))*INDEX(Inputs!$K$5:$AJ$120,0,MATCH(S$2,Inputs!$K$4:$AJ$4,0)))+SUMPRODUCT((Inputs!$E$5:$E$120=$B37)*Inputs!$F$5:$F$120*(((Inputs!$G$5:$G$120="moeda")+(Inputs!$G$5:$G$120="acoes"))*Inputs!$B$1+((Inputs!$G$5:$G$120&lt;&gt;"moeda")*(Inputs!$G$5:$G$120&lt;&gt;"acoes")))*INDEX(Inputs!$K$5:$AJ$120,0,MATCH(S$2,Inputs!$K$4:$AJ$4,0)))))</f>
        <v>0</v>
      </c>
      <c r="T37" s="6">
        <f>IF(ISNA(MATCH(T$2,Inputs!$K$4:$AJ$4,0)),NA(),IF(SUMPRODUCT((Inputs!$A$5:$A$120=$B37)*ISNUMBER(INDEX(Inputs!$K$5:$AJ$120,0,MATCH(T$2,Inputs!$K$4:$AJ$4,0))))+SUMPRODUCT((Inputs!$C$5:$C$120=$B37)*ISNUMBER(INDEX(Inputs!$K$5:$AJ$120,0,MATCH(T$2,Inputs!$K$4:$AJ$4,0))))+SUMPRODUCT((Inputs!$E$5:$E$120=$B37)*ISNUMBER(INDEX(Inputs!$K$5:$AJ$120,0,MATCH(T$2,Inputs!$K$4:$AJ$4,0))))=0,NA(),SUMPRODUCT((Inputs!$A$5:$A$120=$B37)*Inputs!$B$5:$B$120*(((Inputs!$G$5:$G$120="moeda")+(Inputs!$G$5:$G$120="acoes"))*Inputs!$B$1+((Inputs!$G$5:$G$120&lt;&gt;"moeda")*(Inputs!$G$5:$G$120&lt;&gt;"acoes")))*INDEX(Inputs!$K$5:$AJ$120,0,MATCH(T$2,Inputs!$K$4:$AJ$4,0)))+SUMPRODUCT((Inputs!$C$5:$C$120=$B37)*Inputs!$D$5:$D$120*(((Inputs!$G$5:$G$120="moeda")+(Inputs!$G$5:$G$120="acoes"))*Inputs!$B$1+((Inputs!$G$5:$G$120&lt;&gt;"moeda")*(Inputs!$G$5:$G$120&lt;&gt;"acoes")))*INDEX(Inputs!$K$5:$AJ$120,0,MATCH(T$2,Inputs!$K$4:$AJ$4,0)))+SUMPRODUCT((Inputs!$E$5:$E$120=$B37)*Inputs!$F$5:$F$120*(((Inputs!$G$5:$G$120="moeda")+(Inputs!$G$5:$G$120="acoes"))*Inputs!$B$1+((Inputs!$G$5:$G$120&lt;&gt;"moeda")*(Inputs!$G$5:$G$120&lt;&gt;"acoes")))*INDEX(Inputs!$K$5:$AJ$120,0,MATCH(T$2,Inputs!$K$4:$AJ$4,0)))))</f>
        <v>0</v>
      </c>
      <c r="U37" s="6">
        <f>IF(ISNA(MATCH(U$2,Inputs!$K$4:$AJ$4,0)),NA(),IF(SUMPRODUCT((Inputs!$A$5:$A$120=$B37)*ISNUMBER(INDEX(Inputs!$K$5:$AJ$120,0,MATCH(U$2,Inputs!$K$4:$AJ$4,0))))+SUMPRODUCT((Inputs!$C$5:$C$120=$B37)*ISNUMBER(INDEX(Inputs!$K$5:$AJ$120,0,MATCH(U$2,Inputs!$K$4:$AJ$4,0))))+SUMPRODUCT((Inputs!$E$5:$E$120=$B37)*ISNUMBER(INDEX(Inputs!$K$5:$AJ$120,0,MATCH(U$2,Inputs!$K$4:$AJ$4,0))))=0,NA(),SUMPRODUCT((Inputs!$A$5:$A$120=$B37)*Inputs!$B$5:$B$120*(((Inputs!$G$5:$G$120="moeda")+(Inputs!$G$5:$G$120="acoes"))*Inputs!$B$1+((Inputs!$G$5:$G$120&lt;&gt;"moeda")*(Inputs!$G$5:$G$120&lt;&gt;"acoes")))*INDEX(Inputs!$K$5:$AJ$120,0,MATCH(U$2,Inputs!$K$4:$AJ$4,0)))+SUMPRODUCT((Inputs!$C$5:$C$120=$B37)*Inputs!$D$5:$D$120*(((Inputs!$G$5:$G$120="moeda")+(Inputs!$G$5:$G$120="acoes"))*Inputs!$B$1+((Inputs!$G$5:$G$120&lt;&gt;"moeda")*(Inputs!$G$5:$G$120&lt;&gt;"acoes")))*INDEX(Inputs!$K$5:$AJ$120,0,MATCH(U$2,Inputs!$K$4:$AJ$4,0)))+SUMPRODUCT((Inputs!$E$5:$E$120=$B37)*Inputs!$F$5:$F$120*(((Inputs!$G$5:$G$120="moeda")+(Inputs!$G$5:$G$120="acoes"))*Inputs!$B$1+((Inputs!$G$5:$G$120&lt;&gt;"moeda")*(Inputs!$G$5:$G$120&lt;&gt;"acoes")))*INDEX(Inputs!$K$5:$AJ$120,0,MATCH(U$2,Inputs!$K$4:$AJ$4,0)))))</f>
        <v>0</v>
      </c>
      <c r="V37" s="6">
        <f>IF(ISNA(MATCH(V$2,Inputs!$K$4:$AJ$4,0)),NA(),IF(SUMPRODUCT((Inputs!$A$5:$A$120=$B37)*ISNUMBER(INDEX(Inputs!$K$5:$AJ$120,0,MATCH(V$2,Inputs!$K$4:$AJ$4,0))))+SUMPRODUCT((Inputs!$C$5:$C$120=$B37)*ISNUMBER(INDEX(Inputs!$K$5:$AJ$120,0,MATCH(V$2,Inputs!$K$4:$AJ$4,0))))+SUMPRODUCT((Inputs!$E$5:$E$120=$B37)*ISNUMBER(INDEX(Inputs!$K$5:$AJ$120,0,MATCH(V$2,Inputs!$K$4:$AJ$4,0))))=0,NA(),SUMPRODUCT((Inputs!$A$5:$A$120=$B37)*Inputs!$B$5:$B$120*(((Inputs!$G$5:$G$120="moeda")+(Inputs!$G$5:$G$120="acoes"))*Inputs!$B$1+((Inputs!$G$5:$G$120&lt;&gt;"moeda")*(Inputs!$G$5:$G$120&lt;&gt;"acoes")))*INDEX(Inputs!$K$5:$AJ$120,0,MATCH(V$2,Inputs!$K$4:$AJ$4,0)))+SUMPRODUCT((Inputs!$C$5:$C$120=$B37)*Inputs!$D$5:$D$120*(((Inputs!$G$5:$G$120="moeda")+(Inputs!$G$5:$G$120="acoes"))*Inputs!$B$1+((Inputs!$G$5:$G$120&lt;&gt;"moeda")*(Inputs!$G$5:$G$120&lt;&gt;"acoes")))*INDEX(Inputs!$K$5:$AJ$120,0,MATCH(V$2,Inputs!$K$4:$AJ$4,0)))+SUMPRODUCT((Inputs!$E$5:$E$120=$B37)*Inputs!$F$5:$F$120*(((Inputs!$G$5:$G$120="moeda")+(Inputs!$G$5:$G$120="acoes"))*Inputs!$B$1+((Inputs!$G$5:$G$120&lt;&gt;"moeda")*(Inputs!$G$5:$G$120&lt;&gt;"acoes")))*INDEX(Inputs!$K$5:$AJ$120,0,MATCH(V$2,Inputs!$K$4:$AJ$4,0)))))</f>
        <v>0</v>
      </c>
      <c r="W37" s="3">
        <f>V37</f>
        <v>0</v>
      </c>
      <c r="X37" s="6">
        <f>IF(ISNA(MATCH(X$2,Inputs!$K$4:$AJ$4,0)),NA(),IF(SUMPRODUCT((Inputs!$A$5:$A$120=$B37)*ISNUMBER(INDEX(Inputs!$K$5:$AJ$120,0,MATCH(X$2,Inputs!$K$4:$AJ$4,0))))+SUMPRODUCT((Inputs!$C$5:$C$120=$B37)*ISNUMBER(INDEX(Inputs!$K$5:$AJ$120,0,MATCH(X$2,Inputs!$K$4:$AJ$4,0))))+SUMPRODUCT((Inputs!$E$5:$E$120=$B37)*ISNUMBER(INDEX(Inputs!$K$5:$AJ$120,0,MATCH(X$2,Inputs!$K$4:$AJ$4,0))))=0,NA(),SUMPRODUCT((Inputs!$A$5:$A$120=$B37)*Inputs!$B$5:$B$120*(((Inputs!$G$5:$G$120="moeda")+(Inputs!$G$5:$G$120="acoes"))*Inputs!$B$1+((Inputs!$G$5:$G$120&lt;&gt;"moeda")*(Inputs!$G$5:$G$120&lt;&gt;"acoes")))*INDEX(Inputs!$K$5:$AJ$120,0,MATCH(X$2,Inputs!$K$4:$AJ$4,0)))+SUMPRODUCT((Inputs!$C$5:$C$120=$B37)*Inputs!$D$5:$D$120*(((Inputs!$G$5:$G$120="moeda")+(Inputs!$G$5:$G$120="acoes"))*Inputs!$B$1+((Inputs!$G$5:$G$120&lt;&gt;"moeda")*(Inputs!$G$5:$G$120&lt;&gt;"acoes")))*INDEX(Inputs!$K$5:$AJ$120,0,MATCH(X$2,Inputs!$K$4:$AJ$4,0)))+SUMPRODUCT((Inputs!$E$5:$E$120=$B37)*Inputs!$F$5:$F$120*(((Inputs!$G$5:$G$120="moeda")+(Inputs!$G$5:$G$120="acoes"))*Inputs!$B$1+((Inputs!$G$5:$G$120&lt;&gt;"moeda")*(Inputs!$G$5:$G$120&lt;&gt;"acoes")))*INDEX(Inputs!$K$5:$AJ$120,0,MATCH(X$2,Inputs!$K$4:$AJ$4,0)))))</f>
        <v>0</v>
      </c>
      <c r="Y37" s="6">
        <f>IF(ISNA(MATCH(Y$2,Inputs!$K$4:$AJ$4,0)),NA(),IF(SUMPRODUCT((Inputs!$A$5:$A$120=$B37)*ISNUMBER(INDEX(Inputs!$K$5:$AJ$120,0,MATCH(Y$2,Inputs!$K$4:$AJ$4,0))))+SUMPRODUCT((Inputs!$C$5:$C$120=$B37)*ISNUMBER(INDEX(Inputs!$K$5:$AJ$120,0,MATCH(Y$2,Inputs!$K$4:$AJ$4,0))))+SUMPRODUCT((Inputs!$E$5:$E$120=$B37)*ISNUMBER(INDEX(Inputs!$K$5:$AJ$120,0,MATCH(Y$2,Inputs!$K$4:$AJ$4,0))))=0,NA(),SUMPRODUCT((Inputs!$A$5:$A$120=$B37)*Inputs!$B$5:$B$120*(((Inputs!$G$5:$G$120="moeda")+(Inputs!$G$5:$G$120="acoes"))*Inputs!$B$1+((Inputs!$G$5:$G$120&lt;&gt;"moeda")*(Inputs!$G$5:$G$120&lt;&gt;"acoes")))*INDEX(Inputs!$K$5:$AJ$120,0,MATCH(Y$2,Inputs!$K$4:$AJ$4,0)))+SUMPRODUCT((Inputs!$C$5:$C$120=$B37)*Inputs!$D$5:$D$120*(((Inputs!$G$5:$G$120="moeda")+(Inputs!$G$5:$G$120="acoes"))*Inputs!$B$1+((Inputs!$G$5:$G$120&lt;&gt;"moeda")*(Inputs!$G$5:$G$120&lt;&gt;"acoes")))*INDEX(Inputs!$K$5:$AJ$120,0,MATCH(Y$2,Inputs!$K$4:$AJ$4,0)))+SUMPRODUCT((Inputs!$E$5:$E$120=$B37)*Inputs!$F$5:$F$120*(((Inputs!$G$5:$G$120="moeda")+(Inputs!$G$5:$G$120="acoes"))*Inputs!$B$1+((Inputs!$G$5:$G$120&lt;&gt;"moeda")*(Inputs!$G$5:$G$120&lt;&gt;"acoes")))*INDEX(Inputs!$K$5:$AJ$120,0,MATCH(Y$2,Inputs!$K$4:$AJ$4,0)))))</f>
        <v>0</v>
      </c>
      <c r="Z37" s="6">
        <f>IF(ISNA(MATCH(Z$2,Inputs!$K$4:$AJ$4,0)),NA(),IF(SUMPRODUCT((Inputs!$A$5:$A$120=$B37)*ISNUMBER(INDEX(Inputs!$K$5:$AJ$120,0,MATCH(Z$2,Inputs!$K$4:$AJ$4,0))))+SUMPRODUCT((Inputs!$C$5:$C$120=$B37)*ISNUMBER(INDEX(Inputs!$K$5:$AJ$120,0,MATCH(Z$2,Inputs!$K$4:$AJ$4,0))))+SUMPRODUCT((Inputs!$E$5:$E$120=$B37)*ISNUMBER(INDEX(Inputs!$K$5:$AJ$120,0,MATCH(Z$2,Inputs!$K$4:$AJ$4,0))))=0,NA(),SUMPRODUCT((Inputs!$A$5:$A$120=$B37)*Inputs!$B$5:$B$120*(((Inputs!$G$5:$G$120="moeda")+(Inputs!$G$5:$G$120="acoes"))*Inputs!$B$1+((Inputs!$G$5:$G$120&lt;&gt;"moeda")*(Inputs!$G$5:$G$120&lt;&gt;"acoes")))*INDEX(Inputs!$K$5:$AJ$120,0,MATCH(Z$2,Inputs!$K$4:$AJ$4,0)))+SUMPRODUCT((Inputs!$C$5:$C$120=$B37)*Inputs!$D$5:$D$120*(((Inputs!$G$5:$G$120="moeda")+(Inputs!$G$5:$G$120="acoes"))*Inputs!$B$1+((Inputs!$G$5:$G$120&lt;&gt;"moeda")*(Inputs!$G$5:$G$120&lt;&gt;"acoes")))*INDEX(Inputs!$K$5:$AJ$120,0,MATCH(Z$2,Inputs!$K$4:$AJ$4,0)))+SUMPRODUCT((Inputs!$E$5:$E$120=$B37)*Inputs!$F$5:$F$120*(((Inputs!$G$5:$G$120="moeda")+(Inputs!$G$5:$G$120="acoes"))*Inputs!$B$1+((Inputs!$G$5:$G$120&lt;&gt;"moeda")*(Inputs!$G$5:$G$120&lt;&gt;"acoes")))*INDEX(Inputs!$K$5:$AJ$120,0,MATCH(Z$2,Inputs!$K$4:$AJ$4,0)))))</f>
        <v>0</v>
      </c>
      <c r="AA37" s="6">
        <f>IF(ISNA(MATCH(AA$2,Inputs!$K$4:$AJ$4,0)),NA(),IF(SUMPRODUCT((Inputs!$A$5:$A$120=$B37)*ISNUMBER(INDEX(Inputs!$K$5:$AJ$120,0,MATCH(AA$2,Inputs!$K$4:$AJ$4,0))))+SUMPRODUCT((Inputs!$C$5:$C$120=$B37)*ISNUMBER(INDEX(Inputs!$K$5:$AJ$120,0,MATCH(AA$2,Inputs!$K$4:$AJ$4,0))))+SUMPRODUCT((Inputs!$E$5:$E$120=$B37)*ISNUMBER(INDEX(Inputs!$K$5:$AJ$120,0,MATCH(AA$2,Inputs!$K$4:$AJ$4,0))))=0,NA(),SUMPRODUCT((Inputs!$A$5:$A$120=$B37)*Inputs!$B$5:$B$120*(((Inputs!$G$5:$G$120="moeda")+(Inputs!$G$5:$G$120="acoes"))*Inputs!$B$1+((Inputs!$G$5:$G$120&lt;&gt;"moeda")*(Inputs!$G$5:$G$120&lt;&gt;"acoes")))*INDEX(Inputs!$K$5:$AJ$120,0,MATCH(AA$2,Inputs!$K$4:$AJ$4,0)))+SUMPRODUCT((Inputs!$C$5:$C$120=$B37)*Inputs!$D$5:$D$120*(((Inputs!$G$5:$G$120="moeda")+(Inputs!$G$5:$G$120="acoes"))*Inputs!$B$1+((Inputs!$G$5:$G$120&lt;&gt;"moeda")*(Inputs!$G$5:$G$120&lt;&gt;"acoes")))*INDEX(Inputs!$K$5:$AJ$120,0,MATCH(AA$2,Inputs!$K$4:$AJ$4,0)))+SUMPRODUCT((Inputs!$E$5:$E$120=$B37)*Inputs!$F$5:$F$120*(((Inputs!$G$5:$G$120="moeda")+(Inputs!$G$5:$G$120="acoes"))*Inputs!$B$1+((Inputs!$G$5:$G$120&lt;&gt;"moeda")*(Inputs!$G$5:$G$120&lt;&gt;"acoes")))*INDEX(Inputs!$K$5:$AJ$120,0,MATCH(AA$2,Inputs!$K$4:$AJ$4,0)))))</f>
        <v>0</v>
      </c>
      <c r="AB37" s="3">
        <f>AA37</f>
        <v>0</v>
      </c>
      <c r="AC37" s="6">
        <f>IF(ISNA(MATCH(AC$2,Inputs!$K$4:$AJ$4,0)),NA(),IF(SUMPRODUCT((Inputs!$A$5:$A$120=$B37)*ISNUMBER(INDEX(Inputs!$K$5:$AJ$120,0,MATCH(AC$2,Inputs!$K$4:$AJ$4,0))))+SUMPRODUCT((Inputs!$C$5:$C$120=$B37)*ISNUMBER(INDEX(Inputs!$K$5:$AJ$120,0,MATCH(AC$2,Inputs!$K$4:$AJ$4,0))))+SUMPRODUCT((Inputs!$E$5:$E$120=$B37)*ISNUMBER(INDEX(Inputs!$K$5:$AJ$120,0,MATCH(AC$2,Inputs!$K$4:$AJ$4,0))))=0,NA(),SUMPRODUCT((Inputs!$A$5:$A$120=$B37)*Inputs!$B$5:$B$120*(((Inputs!$G$5:$G$120="moeda")+(Inputs!$G$5:$G$120="acoes"))*Inputs!$B$1+((Inputs!$G$5:$G$120&lt;&gt;"moeda")*(Inputs!$G$5:$G$120&lt;&gt;"acoes")))*INDEX(Inputs!$K$5:$AJ$120,0,MATCH(AC$2,Inputs!$K$4:$AJ$4,0)))+SUMPRODUCT((Inputs!$C$5:$C$120=$B37)*Inputs!$D$5:$D$120*(((Inputs!$G$5:$G$120="moeda")+(Inputs!$G$5:$G$120="acoes"))*Inputs!$B$1+((Inputs!$G$5:$G$120&lt;&gt;"moeda")*(Inputs!$G$5:$G$120&lt;&gt;"acoes")))*INDEX(Inputs!$K$5:$AJ$120,0,MATCH(AC$2,Inputs!$K$4:$AJ$4,0)))+SUMPRODUCT((Inputs!$E$5:$E$120=$B37)*Inputs!$F$5:$F$120*(((Inputs!$G$5:$G$120="moeda")+(Inputs!$G$5:$G$120="acoes"))*Inputs!$B$1+((Inputs!$G$5:$G$120&lt;&gt;"moeda")*(Inputs!$G$5:$G$120&lt;&gt;"acoes")))*INDEX(Inputs!$K$5:$AJ$120,0,MATCH(AC$2,Inputs!$K$4:$AJ$4,0)))))</f>
        <v>0</v>
      </c>
      <c r="AD37" s="6">
        <f>IF(ISNA(MATCH(AD$2,Inputs!$K$4:$AJ$4,0)),NA(),IF(SUMPRODUCT((Inputs!$A$5:$A$120=$B37)*ISNUMBER(INDEX(Inputs!$K$5:$AJ$120,0,MATCH(AD$2,Inputs!$K$4:$AJ$4,0))))+SUMPRODUCT((Inputs!$C$5:$C$120=$B37)*ISNUMBER(INDEX(Inputs!$K$5:$AJ$120,0,MATCH(AD$2,Inputs!$K$4:$AJ$4,0))))+SUMPRODUCT((Inputs!$E$5:$E$120=$B37)*ISNUMBER(INDEX(Inputs!$K$5:$AJ$120,0,MATCH(AD$2,Inputs!$K$4:$AJ$4,0))))=0,NA(),SUMPRODUCT((Inputs!$A$5:$A$120=$B37)*Inputs!$B$5:$B$120*(((Inputs!$G$5:$G$120="moeda")+(Inputs!$G$5:$G$120="acoes"))*Inputs!$B$1+((Inputs!$G$5:$G$120&lt;&gt;"moeda")*(Inputs!$G$5:$G$120&lt;&gt;"acoes")))*INDEX(Inputs!$K$5:$AJ$120,0,MATCH(AD$2,Inputs!$K$4:$AJ$4,0)))+SUMPRODUCT((Inputs!$C$5:$C$120=$B37)*Inputs!$D$5:$D$120*(((Inputs!$G$5:$G$120="moeda")+(Inputs!$G$5:$G$120="acoes"))*Inputs!$B$1+((Inputs!$G$5:$G$120&lt;&gt;"moeda")*(Inputs!$G$5:$G$120&lt;&gt;"acoes")))*INDEX(Inputs!$K$5:$AJ$120,0,MATCH(AD$2,Inputs!$K$4:$AJ$4,0)))+SUMPRODUCT((Inputs!$E$5:$E$120=$B37)*Inputs!$F$5:$F$120*(((Inputs!$G$5:$G$120="moeda")+(Inputs!$G$5:$G$120="acoes"))*Inputs!$B$1+((Inputs!$G$5:$G$120&lt;&gt;"moeda")*(Inputs!$G$5:$G$120&lt;&gt;"acoes")))*INDEX(Inputs!$K$5:$AJ$120,0,MATCH(AD$2,Inputs!$K$4:$AJ$4,0)))))</f>
        <v>0</v>
      </c>
      <c r="AE37" s="6" t="e">
        <f>IF(ISNA(MATCH(AE$2,Inputs!$K$4:$AJ$4,0)),NA(),IF(SUMPRODUCT((Inputs!$A$5:$A$120=$B37)*ISNUMBER(INDEX(Inputs!$K$5:$AJ$120,0,MATCH(AE$2,Inputs!$K$4:$AJ$4,0))))+SUMPRODUCT((Inputs!$C$5:$C$120=$B37)*ISNUMBER(INDEX(Inputs!$K$5:$AJ$120,0,MATCH(AE$2,Inputs!$K$4:$AJ$4,0))))+SUMPRODUCT((Inputs!$E$5:$E$120=$B37)*ISNUMBER(INDEX(Inputs!$K$5:$AJ$120,0,MATCH(AE$2,Inputs!$K$4:$AJ$4,0))))=0,NA(),SUMPRODUCT((Inputs!$A$5:$A$120=$B37)*Inputs!$B$5:$B$120*(((Inputs!$G$5:$G$120="moeda")+(Inputs!$G$5:$G$120="acoes"))*Inputs!$B$1+((Inputs!$G$5:$G$120&lt;&gt;"moeda")*(Inputs!$G$5:$G$120&lt;&gt;"acoes")))*INDEX(Inputs!$K$5:$AJ$120,0,MATCH(AE$2,Inputs!$K$4:$AJ$4,0)))+SUMPRODUCT((Inputs!$C$5:$C$120=$B37)*Inputs!$D$5:$D$120*(((Inputs!$G$5:$G$120="moeda")+(Inputs!$G$5:$G$120="acoes"))*Inputs!$B$1+((Inputs!$G$5:$G$120&lt;&gt;"moeda")*(Inputs!$G$5:$G$120&lt;&gt;"acoes")))*INDEX(Inputs!$K$5:$AJ$120,0,MATCH(AE$2,Inputs!$K$4:$AJ$4,0)))+SUMPRODUCT((Inputs!$E$5:$E$120=$B37)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37" s="6" t="e">
        <f>IF(ISNA(MATCH(AF$2,Inputs!$K$4:$AJ$4,0)),NA(),IF(SUMPRODUCT((Inputs!$A$5:$A$120=$B37)*ISNUMBER(INDEX(Inputs!$K$5:$AJ$120,0,MATCH(AF$2,Inputs!$K$4:$AJ$4,0))))+SUMPRODUCT((Inputs!$C$5:$C$120=$B37)*ISNUMBER(INDEX(Inputs!$K$5:$AJ$120,0,MATCH(AF$2,Inputs!$K$4:$AJ$4,0))))+SUMPRODUCT((Inputs!$E$5:$E$120=$B37)*ISNUMBER(INDEX(Inputs!$K$5:$AJ$120,0,MATCH(AF$2,Inputs!$K$4:$AJ$4,0))))=0,NA(),SUMPRODUCT((Inputs!$A$5:$A$120=$B37)*Inputs!$B$5:$B$120*(((Inputs!$G$5:$G$120="moeda")+(Inputs!$G$5:$G$120="acoes"))*Inputs!$B$1+((Inputs!$G$5:$G$120&lt;&gt;"moeda")*(Inputs!$G$5:$G$120&lt;&gt;"acoes")))*INDEX(Inputs!$K$5:$AJ$120,0,MATCH(AF$2,Inputs!$K$4:$AJ$4,0)))+SUMPRODUCT((Inputs!$C$5:$C$120=$B37)*Inputs!$D$5:$D$120*(((Inputs!$G$5:$G$120="moeda")+(Inputs!$G$5:$G$120="acoes"))*Inputs!$B$1+((Inputs!$G$5:$G$120&lt;&gt;"moeda")*(Inputs!$G$5:$G$120&lt;&gt;"acoes")))*INDEX(Inputs!$K$5:$AJ$120,0,MATCH(AF$2,Inputs!$K$4:$AJ$4,0)))+SUMPRODUCT((Inputs!$E$5:$E$120=$B37)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37" s="3" t="e">
        <f>AF37</f>
        <v>#N/A</v>
      </c>
      <c r="AH37" s="6">
        <f>IF(ISNA(MATCH(AH$2,Inputs!$K$4:$AJ$4,0)),NA(),IF(SUMPRODUCT((Inputs!$A$5:$A$120=$B37)*ISNUMBER(INDEX(Inputs!$K$5:$AJ$120,0,MATCH(AH$2,Inputs!$K$4:$AJ$4,0))))+SUMPRODUCT((Inputs!$C$5:$C$120=$B37)*ISNUMBER(INDEX(Inputs!$K$5:$AJ$120,0,MATCH(AH$2,Inputs!$K$4:$AJ$4,0))))+SUMPRODUCT((Inputs!$E$5:$E$120=$B37)*ISNUMBER(INDEX(Inputs!$K$5:$AJ$120,0,MATCH(AH$2,Inputs!$K$4:$AJ$4,0))))=0,NA(),SUMPRODUCT((Inputs!$A$5:$A$120=$B37)*Inputs!$B$5:$B$120*(((Inputs!$G$5:$G$120="moeda")+(Inputs!$G$5:$G$120="acoes"))*Inputs!$B$1+((Inputs!$G$5:$G$120&lt;&gt;"moeda")*(Inputs!$G$5:$G$120&lt;&gt;"acoes")))*INDEX(Inputs!$K$5:$AJ$120,0,MATCH(AH$2,Inputs!$K$4:$AJ$4,0)))+SUMPRODUCT((Inputs!$C$5:$C$120=$B37)*Inputs!$D$5:$D$120*(((Inputs!$G$5:$G$120="moeda")+(Inputs!$G$5:$G$120="acoes"))*Inputs!$B$1+((Inputs!$G$5:$G$120&lt;&gt;"moeda")*(Inputs!$G$5:$G$120&lt;&gt;"acoes")))*INDEX(Inputs!$K$5:$AJ$120,0,MATCH(AH$2,Inputs!$K$4:$AJ$4,0)))+SUMPRODUCT((Inputs!$E$5:$E$120=$B37)*Inputs!$F$5:$F$120*(((Inputs!$G$5:$G$120="moeda")+(Inputs!$G$5:$G$120="acoes"))*Inputs!$B$1+((Inputs!$G$5:$G$120&lt;&gt;"moeda")*(Inputs!$G$5:$G$120&lt;&gt;"acoes")))*INDEX(Inputs!$K$5:$AJ$120,0,MATCH(AH$2,Inputs!$K$4:$AJ$4,0)))))</f>
        <v>0</v>
      </c>
      <c r="AI37" s="6">
        <f>IF(ISNA(MATCH(AI$2,Inputs!$K$4:$AJ$4,0)),NA(),IF(SUMPRODUCT((Inputs!$A$5:$A$120=$B37)*ISNUMBER(INDEX(Inputs!$K$5:$AJ$120,0,MATCH(AI$2,Inputs!$K$4:$AJ$4,0))))+SUMPRODUCT((Inputs!$C$5:$C$120=$B37)*ISNUMBER(INDEX(Inputs!$K$5:$AJ$120,0,MATCH(AI$2,Inputs!$K$4:$AJ$4,0))))+SUMPRODUCT((Inputs!$E$5:$E$120=$B37)*ISNUMBER(INDEX(Inputs!$K$5:$AJ$120,0,MATCH(AI$2,Inputs!$K$4:$AJ$4,0))))=0,NA(),SUMPRODUCT((Inputs!$A$5:$A$120=$B37)*Inputs!$B$5:$B$120*(((Inputs!$G$5:$G$120="moeda")+(Inputs!$G$5:$G$120="acoes"))*Inputs!$B$1+((Inputs!$G$5:$G$120&lt;&gt;"moeda")*(Inputs!$G$5:$G$120&lt;&gt;"acoes")))*INDEX(Inputs!$K$5:$AJ$120,0,MATCH(AI$2,Inputs!$K$4:$AJ$4,0)))+SUMPRODUCT((Inputs!$C$5:$C$120=$B37)*Inputs!$D$5:$D$120*(((Inputs!$G$5:$G$120="moeda")+(Inputs!$G$5:$G$120="acoes"))*Inputs!$B$1+((Inputs!$G$5:$G$120&lt;&gt;"moeda")*(Inputs!$G$5:$G$120&lt;&gt;"acoes")))*INDEX(Inputs!$K$5:$AJ$120,0,MATCH(AI$2,Inputs!$K$4:$AJ$4,0)))+SUMPRODUCT((Inputs!$E$5:$E$120=$B37)*Inputs!$F$5:$F$120*(((Inputs!$G$5:$G$120="moeda")+(Inputs!$G$5:$G$120="acoes"))*Inputs!$B$1+((Inputs!$G$5:$G$120&lt;&gt;"moeda")*(Inputs!$G$5:$G$120&lt;&gt;"acoes")))*INDEX(Inputs!$K$5:$AJ$120,0,MATCH(AI$2,Inputs!$K$4:$AJ$4,0)))))</f>
        <v>0</v>
      </c>
      <c r="AJ37" s="6">
        <f>IF(ISNA(MATCH(AJ$2,Inputs!$K$4:$AJ$4,0)),NA(),IF(SUMPRODUCT((Inputs!$A$5:$A$120=$B37)*ISNUMBER(INDEX(Inputs!$K$5:$AJ$120,0,MATCH(AJ$2,Inputs!$K$4:$AJ$4,0))))+SUMPRODUCT((Inputs!$C$5:$C$120=$B37)*ISNUMBER(INDEX(Inputs!$K$5:$AJ$120,0,MATCH(AJ$2,Inputs!$K$4:$AJ$4,0))))+SUMPRODUCT((Inputs!$E$5:$E$120=$B37)*ISNUMBER(INDEX(Inputs!$K$5:$AJ$120,0,MATCH(AJ$2,Inputs!$K$4:$AJ$4,0))))=0,NA(),SUMPRODUCT((Inputs!$A$5:$A$120=$B37)*Inputs!$B$5:$B$120*(((Inputs!$G$5:$G$120="moeda")+(Inputs!$G$5:$G$120="acoes"))*Inputs!$B$1+((Inputs!$G$5:$G$120&lt;&gt;"moeda")*(Inputs!$G$5:$G$120&lt;&gt;"acoes")))*INDEX(Inputs!$K$5:$AJ$120,0,MATCH(AJ$2,Inputs!$K$4:$AJ$4,0)))+SUMPRODUCT((Inputs!$C$5:$C$120=$B37)*Inputs!$D$5:$D$120*(((Inputs!$G$5:$G$120="moeda")+(Inputs!$G$5:$G$120="acoes"))*Inputs!$B$1+((Inputs!$G$5:$G$120&lt;&gt;"moeda")*(Inputs!$G$5:$G$120&lt;&gt;"acoes")))*INDEX(Inputs!$K$5:$AJ$120,0,MATCH(AJ$2,Inputs!$K$4:$AJ$4,0)))+SUMPRODUCT((Inputs!$E$5:$E$120=$B37)*Inputs!$F$5:$F$120*(((Inputs!$G$5:$G$120="moeda")+(Inputs!$G$5:$G$120="acoes"))*Inputs!$B$1+((Inputs!$G$5:$G$120&lt;&gt;"moeda")*(Inputs!$G$5:$G$120&lt;&gt;"acoes")))*INDEX(Inputs!$K$5:$AJ$120,0,MATCH(AJ$2,Inputs!$K$4:$AJ$4,0)))))</f>
        <v>0</v>
      </c>
      <c r="AK37" s="6">
        <f>IF(ISNA(MATCH(AK$2,Inputs!$K$4:$AJ$4,0)),NA(),IF(SUMPRODUCT((Inputs!$A$5:$A$120=$B37)*ISNUMBER(INDEX(Inputs!$K$5:$AJ$120,0,MATCH(AK$2,Inputs!$K$4:$AJ$4,0))))+SUMPRODUCT((Inputs!$C$5:$C$120=$B37)*ISNUMBER(INDEX(Inputs!$K$5:$AJ$120,0,MATCH(AK$2,Inputs!$K$4:$AJ$4,0))))+SUMPRODUCT((Inputs!$E$5:$E$120=$B37)*ISNUMBER(INDEX(Inputs!$K$5:$AJ$120,0,MATCH(AK$2,Inputs!$K$4:$AJ$4,0))))=0,NA(),SUMPRODUCT((Inputs!$A$5:$A$120=$B37)*Inputs!$B$5:$B$120*(((Inputs!$G$5:$G$120="moeda")+(Inputs!$G$5:$G$120="acoes"))*Inputs!$B$1+((Inputs!$G$5:$G$120&lt;&gt;"moeda")*(Inputs!$G$5:$G$120&lt;&gt;"acoes")))*INDEX(Inputs!$K$5:$AJ$120,0,MATCH(AK$2,Inputs!$K$4:$AJ$4,0)))+SUMPRODUCT((Inputs!$C$5:$C$120=$B37)*Inputs!$D$5:$D$120*(((Inputs!$G$5:$G$120="moeda")+(Inputs!$G$5:$G$120="acoes"))*Inputs!$B$1+((Inputs!$G$5:$G$120&lt;&gt;"moeda")*(Inputs!$G$5:$G$120&lt;&gt;"acoes")))*INDEX(Inputs!$K$5:$AJ$120,0,MATCH(AK$2,Inputs!$K$4:$AJ$4,0)))+SUMPRODUCT((Inputs!$E$5:$E$120=$B37)*Inputs!$F$5:$F$120*(((Inputs!$G$5:$G$120="moeda")+(Inputs!$G$5:$G$120="acoes"))*Inputs!$B$1+((Inputs!$G$5:$G$120&lt;&gt;"moeda")*(Inputs!$G$5:$G$120&lt;&gt;"acoes")))*INDEX(Inputs!$K$5:$AJ$120,0,MATCH(AK$2,Inputs!$K$4:$AJ$4,0)))))</f>
        <v>0</v>
      </c>
      <c r="AL37" s="3">
        <f>AK37</f>
        <v>0</v>
      </c>
    </row>
    <row r="38">
      <c r="B38" s="46" t="n">
        <v>33</v>
      </c>
      <c r="C38" s="26" t="inlineStr">
        <is>
          <t>Deferred income taxes</t>
        </is>
      </c>
      <c r="D38" s="6">
        <f>IF(ISNA(MATCH(D$2,Inputs!$K$4:$AJ$4,0)),NA(),IF(SUMPRODUCT((Inputs!$A$5:$A$120=$B38)*ISNUMBER(INDEX(Inputs!$K$5:$AJ$120,0,MATCH(D$2,Inputs!$K$4:$AJ$4,0))))+SUMPRODUCT((Inputs!$C$5:$C$120=$B38)*ISNUMBER(INDEX(Inputs!$K$5:$AJ$120,0,MATCH(D$2,Inputs!$K$4:$AJ$4,0))))+SUMPRODUCT((Inputs!$E$5:$E$120=$B38)*ISNUMBER(INDEX(Inputs!$K$5:$AJ$120,0,MATCH(D$2,Inputs!$K$4:$AJ$4,0))))=0,NA(),SUMPRODUCT((Inputs!$A$5:$A$120=$B38)*Inputs!$B$5:$B$120*(((Inputs!$G$5:$G$120="moeda")+(Inputs!$G$5:$G$120="acoes"))*Inputs!$B$1+((Inputs!$G$5:$G$120&lt;&gt;"moeda")*(Inputs!$G$5:$G$120&lt;&gt;"acoes")))*INDEX(Inputs!$K$5:$AJ$120,0,MATCH(D$2,Inputs!$K$4:$AJ$4,0)))+SUMPRODUCT((Inputs!$C$5:$C$120=$B38)*Inputs!$D$5:$D$120*(((Inputs!$G$5:$G$120="moeda")+(Inputs!$G$5:$G$120="acoes"))*Inputs!$B$1+((Inputs!$G$5:$G$120&lt;&gt;"moeda")*(Inputs!$G$5:$G$120&lt;&gt;"acoes")))*INDEX(Inputs!$K$5:$AJ$120,0,MATCH(D$2,Inputs!$K$4:$AJ$4,0)))+SUMPRODUCT((Inputs!$E$5:$E$120=$B38)*Inputs!$F$5:$F$120*(((Inputs!$G$5:$G$120="moeda")+(Inputs!$G$5:$G$120="acoes"))*Inputs!$B$1+((Inputs!$G$5:$G$120&lt;&gt;"moeda")*(Inputs!$G$5:$G$120&lt;&gt;"acoes")))*INDEX(Inputs!$K$5:$AJ$120,0,MATCH(D$2,Inputs!$K$4:$AJ$4,0)))))</f>
        <v>0</v>
      </c>
      <c r="E38" s="6">
        <f>IF(ISNA(MATCH(E$2,Inputs!$K$4:$AJ$4,0)),NA(),IF(SUMPRODUCT((Inputs!$A$5:$A$120=$B38)*ISNUMBER(INDEX(Inputs!$K$5:$AJ$120,0,MATCH(E$2,Inputs!$K$4:$AJ$4,0))))+SUMPRODUCT((Inputs!$C$5:$C$120=$B38)*ISNUMBER(INDEX(Inputs!$K$5:$AJ$120,0,MATCH(E$2,Inputs!$K$4:$AJ$4,0))))+SUMPRODUCT((Inputs!$E$5:$E$120=$B38)*ISNUMBER(INDEX(Inputs!$K$5:$AJ$120,0,MATCH(E$2,Inputs!$K$4:$AJ$4,0))))=0,NA(),SUMPRODUCT((Inputs!$A$5:$A$120=$B38)*Inputs!$B$5:$B$120*(((Inputs!$G$5:$G$120="moeda")+(Inputs!$G$5:$G$120="acoes"))*Inputs!$B$1+((Inputs!$G$5:$G$120&lt;&gt;"moeda")*(Inputs!$G$5:$G$120&lt;&gt;"acoes")))*INDEX(Inputs!$K$5:$AJ$120,0,MATCH(E$2,Inputs!$K$4:$AJ$4,0)))+SUMPRODUCT((Inputs!$C$5:$C$120=$B38)*Inputs!$D$5:$D$120*(((Inputs!$G$5:$G$120="moeda")+(Inputs!$G$5:$G$120="acoes"))*Inputs!$B$1+((Inputs!$G$5:$G$120&lt;&gt;"moeda")*(Inputs!$G$5:$G$120&lt;&gt;"acoes")))*INDEX(Inputs!$K$5:$AJ$120,0,MATCH(E$2,Inputs!$K$4:$AJ$4,0)))+SUMPRODUCT((Inputs!$E$5:$E$120=$B38)*Inputs!$F$5:$F$120*(((Inputs!$G$5:$G$120="moeda")+(Inputs!$G$5:$G$120="acoes"))*Inputs!$B$1+((Inputs!$G$5:$G$120&lt;&gt;"moeda")*(Inputs!$G$5:$G$120&lt;&gt;"acoes")))*INDEX(Inputs!$K$5:$AJ$120,0,MATCH(E$2,Inputs!$K$4:$AJ$4,0)))))</f>
        <v>0</v>
      </c>
      <c r="F38" s="6">
        <f>IF(ISNA(MATCH(F$2,Inputs!$K$4:$AJ$4,0)),NA(),IF(SUMPRODUCT((Inputs!$A$5:$A$120=$B38)*ISNUMBER(INDEX(Inputs!$K$5:$AJ$120,0,MATCH(F$2,Inputs!$K$4:$AJ$4,0))))+SUMPRODUCT((Inputs!$C$5:$C$120=$B38)*ISNUMBER(INDEX(Inputs!$K$5:$AJ$120,0,MATCH(F$2,Inputs!$K$4:$AJ$4,0))))+SUMPRODUCT((Inputs!$E$5:$E$120=$B38)*ISNUMBER(INDEX(Inputs!$K$5:$AJ$120,0,MATCH(F$2,Inputs!$K$4:$AJ$4,0))))=0,NA(),SUMPRODUCT((Inputs!$A$5:$A$120=$B38)*Inputs!$B$5:$B$120*(((Inputs!$G$5:$G$120="moeda")+(Inputs!$G$5:$G$120="acoes"))*Inputs!$B$1+((Inputs!$G$5:$G$120&lt;&gt;"moeda")*(Inputs!$G$5:$G$120&lt;&gt;"acoes")))*INDEX(Inputs!$K$5:$AJ$120,0,MATCH(F$2,Inputs!$K$4:$AJ$4,0)))+SUMPRODUCT((Inputs!$C$5:$C$120=$B38)*Inputs!$D$5:$D$120*(((Inputs!$G$5:$G$120="moeda")+(Inputs!$G$5:$G$120="acoes"))*Inputs!$B$1+((Inputs!$G$5:$G$120&lt;&gt;"moeda")*(Inputs!$G$5:$G$120&lt;&gt;"acoes")))*INDEX(Inputs!$K$5:$AJ$120,0,MATCH(F$2,Inputs!$K$4:$AJ$4,0)))+SUMPRODUCT((Inputs!$E$5:$E$120=$B38)*Inputs!$F$5:$F$120*(((Inputs!$G$5:$G$120="moeda")+(Inputs!$G$5:$G$120="acoes"))*Inputs!$B$1+((Inputs!$G$5:$G$120&lt;&gt;"moeda")*(Inputs!$G$5:$G$120&lt;&gt;"acoes")))*INDEX(Inputs!$K$5:$AJ$120,0,MATCH(F$2,Inputs!$K$4:$AJ$4,0)))))</f>
        <v>0</v>
      </c>
      <c r="G38" s="6">
        <f>IF(ISNA(MATCH(G$2,Inputs!$K$4:$AJ$4,0)),NA(),IF(SUMPRODUCT((Inputs!$A$5:$A$120=$B38)*ISNUMBER(INDEX(Inputs!$K$5:$AJ$120,0,MATCH(G$2,Inputs!$K$4:$AJ$4,0))))+SUMPRODUCT((Inputs!$C$5:$C$120=$B38)*ISNUMBER(INDEX(Inputs!$K$5:$AJ$120,0,MATCH(G$2,Inputs!$K$4:$AJ$4,0))))+SUMPRODUCT((Inputs!$E$5:$E$120=$B38)*ISNUMBER(INDEX(Inputs!$K$5:$AJ$120,0,MATCH(G$2,Inputs!$K$4:$AJ$4,0))))=0,NA(),SUMPRODUCT((Inputs!$A$5:$A$120=$B38)*Inputs!$B$5:$B$120*(((Inputs!$G$5:$G$120="moeda")+(Inputs!$G$5:$G$120="acoes"))*Inputs!$B$1+((Inputs!$G$5:$G$120&lt;&gt;"moeda")*(Inputs!$G$5:$G$120&lt;&gt;"acoes")))*INDEX(Inputs!$K$5:$AJ$120,0,MATCH(G$2,Inputs!$K$4:$AJ$4,0)))+SUMPRODUCT((Inputs!$C$5:$C$120=$B38)*Inputs!$D$5:$D$120*(((Inputs!$G$5:$G$120="moeda")+(Inputs!$G$5:$G$120="acoes"))*Inputs!$B$1+((Inputs!$G$5:$G$120&lt;&gt;"moeda")*(Inputs!$G$5:$G$120&lt;&gt;"acoes")))*INDEX(Inputs!$K$5:$AJ$120,0,MATCH(G$2,Inputs!$K$4:$AJ$4,0)))+SUMPRODUCT((Inputs!$E$5:$E$120=$B38)*Inputs!$F$5:$F$120*(((Inputs!$G$5:$G$120="moeda")+(Inputs!$G$5:$G$120="acoes"))*Inputs!$B$1+((Inputs!$G$5:$G$120&lt;&gt;"moeda")*(Inputs!$G$5:$G$120&lt;&gt;"acoes")))*INDEX(Inputs!$K$5:$AJ$120,0,MATCH(G$2,Inputs!$K$4:$AJ$4,0)))))</f>
        <v>0</v>
      </c>
      <c r="H38" s="3">
        <f>G38</f>
        <v>0</v>
      </c>
      <c r="I38" s="6">
        <f>IF(ISNA(MATCH(I$2,Inputs!$K$4:$AJ$4,0)),NA(),IF(SUMPRODUCT((Inputs!$A$5:$A$120=$B38)*ISNUMBER(INDEX(Inputs!$K$5:$AJ$120,0,MATCH(I$2,Inputs!$K$4:$AJ$4,0))))+SUMPRODUCT((Inputs!$C$5:$C$120=$B38)*ISNUMBER(INDEX(Inputs!$K$5:$AJ$120,0,MATCH(I$2,Inputs!$K$4:$AJ$4,0))))+SUMPRODUCT((Inputs!$E$5:$E$120=$B38)*ISNUMBER(INDEX(Inputs!$K$5:$AJ$120,0,MATCH(I$2,Inputs!$K$4:$AJ$4,0))))=0,NA(),SUMPRODUCT((Inputs!$A$5:$A$120=$B38)*Inputs!$B$5:$B$120*(((Inputs!$G$5:$G$120="moeda")+(Inputs!$G$5:$G$120="acoes"))*Inputs!$B$1+((Inputs!$G$5:$G$120&lt;&gt;"moeda")*(Inputs!$G$5:$G$120&lt;&gt;"acoes")))*INDEX(Inputs!$K$5:$AJ$120,0,MATCH(I$2,Inputs!$K$4:$AJ$4,0)))+SUMPRODUCT((Inputs!$C$5:$C$120=$B38)*Inputs!$D$5:$D$120*(((Inputs!$G$5:$G$120="moeda")+(Inputs!$G$5:$G$120="acoes"))*Inputs!$B$1+((Inputs!$G$5:$G$120&lt;&gt;"moeda")*(Inputs!$G$5:$G$120&lt;&gt;"acoes")))*INDEX(Inputs!$K$5:$AJ$120,0,MATCH(I$2,Inputs!$K$4:$AJ$4,0)))+SUMPRODUCT((Inputs!$E$5:$E$120=$B38)*Inputs!$F$5:$F$120*(((Inputs!$G$5:$G$120="moeda")+(Inputs!$G$5:$G$120="acoes"))*Inputs!$B$1+((Inputs!$G$5:$G$120&lt;&gt;"moeda")*(Inputs!$G$5:$G$120&lt;&gt;"acoes")))*INDEX(Inputs!$K$5:$AJ$120,0,MATCH(I$2,Inputs!$K$4:$AJ$4,0)))))</f>
        <v>0</v>
      </c>
      <c r="J38" s="6">
        <f>IF(ISNA(MATCH(J$2,Inputs!$K$4:$AJ$4,0)),NA(),IF(SUMPRODUCT((Inputs!$A$5:$A$120=$B38)*ISNUMBER(INDEX(Inputs!$K$5:$AJ$120,0,MATCH(J$2,Inputs!$K$4:$AJ$4,0))))+SUMPRODUCT((Inputs!$C$5:$C$120=$B38)*ISNUMBER(INDEX(Inputs!$K$5:$AJ$120,0,MATCH(J$2,Inputs!$K$4:$AJ$4,0))))+SUMPRODUCT((Inputs!$E$5:$E$120=$B38)*ISNUMBER(INDEX(Inputs!$K$5:$AJ$120,0,MATCH(J$2,Inputs!$K$4:$AJ$4,0))))=0,NA(),SUMPRODUCT((Inputs!$A$5:$A$120=$B38)*Inputs!$B$5:$B$120*(((Inputs!$G$5:$G$120="moeda")+(Inputs!$G$5:$G$120="acoes"))*Inputs!$B$1+((Inputs!$G$5:$G$120&lt;&gt;"moeda")*(Inputs!$G$5:$G$120&lt;&gt;"acoes")))*INDEX(Inputs!$K$5:$AJ$120,0,MATCH(J$2,Inputs!$K$4:$AJ$4,0)))+SUMPRODUCT((Inputs!$C$5:$C$120=$B38)*Inputs!$D$5:$D$120*(((Inputs!$G$5:$G$120="moeda")+(Inputs!$G$5:$G$120="acoes"))*Inputs!$B$1+((Inputs!$G$5:$G$120&lt;&gt;"moeda")*(Inputs!$G$5:$G$120&lt;&gt;"acoes")))*INDEX(Inputs!$K$5:$AJ$120,0,MATCH(J$2,Inputs!$K$4:$AJ$4,0)))+SUMPRODUCT((Inputs!$E$5:$E$120=$B38)*Inputs!$F$5:$F$120*(((Inputs!$G$5:$G$120="moeda")+(Inputs!$G$5:$G$120="acoes"))*Inputs!$B$1+((Inputs!$G$5:$G$120&lt;&gt;"moeda")*(Inputs!$G$5:$G$120&lt;&gt;"acoes")))*INDEX(Inputs!$K$5:$AJ$120,0,MATCH(J$2,Inputs!$K$4:$AJ$4,0)))))</f>
        <v>0</v>
      </c>
      <c r="K38" s="6">
        <f>IF(ISNA(MATCH(K$2,Inputs!$K$4:$AJ$4,0)),NA(),IF(SUMPRODUCT((Inputs!$A$5:$A$120=$B38)*ISNUMBER(INDEX(Inputs!$K$5:$AJ$120,0,MATCH(K$2,Inputs!$K$4:$AJ$4,0))))+SUMPRODUCT((Inputs!$C$5:$C$120=$B38)*ISNUMBER(INDEX(Inputs!$K$5:$AJ$120,0,MATCH(K$2,Inputs!$K$4:$AJ$4,0))))+SUMPRODUCT((Inputs!$E$5:$E$120=$B38)*ISNUMBER(INDEX(Inputs!$K$5:$AJ$120,0,MATCH(K$2,Inputs!$K$4:$AJ$4,0))))=0,NA(),SUMPRODUCT((Inputs!$A$5:$A$120=$B38)*Inputs!$B$5:$B$120*(((Inputs!$G$5:$G$120="moeda")+(Inputs!$G$5:$G$120="acoes"))*Inputs!$B$1+((Inputs!$G$5:$G$120&lt;&gt;"moeda")*(Inputs!$G$5:$G$120&lt;&gt;"acoes")))*INDEX(Inputs!$K$5:$AJ$120,0,MATCH(K$2,Inputs!$K$4:$AJ$4,0)))+SUMPRODUCT((Inputs!$C$5:$C$120=$B38)*Inputs!$D$5:$D$120*(((Inputs!$G$5:$G$120="moeda")+(Inputs!$G$5:$G$120="acoes"))*Inputs!$B$1+((Inputs!$G$5:$G$120&lt;&gt;"moeda")*(Inputs!$G$5:$G$120&lt;&gt;"acoes")))*INDEX(Inputs!$K$5:$AJ$120,0,MATCH(K$2,Inputs!$K$4:$AJ$4,0)))+SUMPRODUCT((Inputs!$E$5:$E$120=$B38)*Inputs!$F$5:$F$120*(((Inputs!$G$5:$G$120="moeda")+(Inputs!$G$5:$G$120="acoes"))*Inputs!$B$1+((Inputs!$G$5:$G$120&lt;&gt;"moeda")*(Inputs!$G$5:$G$120&lt;&gt;"acoes")))*INDEX(Inputs!$K$5:$AJ$120,0,MATCH(K$2,Inputs!$K$4:$AJ$4,0)))))</f>
        <v>0</v>
      </c>
      <c r="L38" s="6">
        <f>IF(ISNA(MATCH(L$2,Inputs!$K$4:$AJ$4,0)),NA(),IF(SUMPRODUCT((Inputs!$A$5:$A$120=$B38)*ISNUMBER(INDEX(Inputs!$K$5:$AJ$120,0,MATCH(L$2,Inputs!$K$4:$AJ$4,0))))+SUMPRODUCT((Inputs!$C$5:$C$120=$B38)*ISNUMBER(INDEX(Inputs!$K$5:$AJ$120,0,MATCH(L$2,Inputs!$K$4:$AJ$4,0))))+SUMPRODUCT((Inputs!$E$5:$E$120=$B38)*ISNUMBER(INDEX(Inputs!$K$5:$AJ$120,0,MATCH(L$2,Inputs!$K$4:$AJ$4,0))))=0,NA(),SUMPRODUCT((Inputs!$A$5:$A$120=$B38)*Inputs!$B$5:$B$120*(((Inputs!$G$5:$G$120="moeda")+(Inputs!$G$5:$G$120="acoes"))*Inputs!$B$1+((Inputs!$G$5:$G$120&lt;&gt;"moeda")*(Inputs!$G$5:$G$120&lt;&gt;"acoes")))*INDEX(Inputs!$K$5:$AJ$120,0,MATCH(L$2,Inputs!$K$4:$AJ$4,0)))+SUMPRODUCT((Inputs!$C$5:$C$120=$B38)*Inputs!$D$5:$D$120*(((Inputs!$G$5:$G$120="moeda")+(Inputs!$G$5:$G$120="acoes"))*Inputs!$B$1+((Inputs!$G$5:$G$120&lt;&gt;"moeda")*(Inputs!$G$5:$G$120&lt;&gt;"acoes")))*INDEX(Inputs!$K$5:$AJ$120,0,MATCH(L$2,Inputs!$K$4:$AJ$4,0)))+SUMPRODUCT((Inputs!$E$5:$E$120=$B38)*Inputs!$F$5:$F$120*(((Inputs!$G$5:$G$120="moeda")+(Inputs!$G$5:$G$120="acoes"))*Inputs!$B$1+((Inputs!$G$5:$G$120&lt;&gt;"moeda")*(Inputs!$G$5:$G$120&lt;&gt;"acoes")))*INDEX(Inputs!$K$5:$AJ$120,0,MATCH(L$2,Inputs!$K$4:$AJ$4,0)))))</f>
        <v>0</v>
      </c>
      <c r="M38" s="3">
        <f>L38</f>
        <v>0</v>
      </c>
      <c r="N38" s="6">
        <f>IF(ISNA(MATCH(N$2,Inputs!$K$4:$AJ$4,0)),NA(),IF(SUMPRODUCT((Inputs!$A$5:$A$120=$B38)*ISNUMBER(INDEX(Inputs!$K$5:$AJ$120,0,MATCH(N$2,Inputs!$K$4:$AJ$4,0))))+SUMPRODUCT((Inputs!$C$5:$C$120=$B38)*ISNUMBER(INDEX(Inputs!$K$5:$AJ$120,0,MATCH(N$2,Inputs!$K$4:$AJ$4,0))))+SUMPRODUCT((Inputs!$E$5:$E$120=$B38)*ISNUMBER(INDEX(Inputs!$K$5:$AJ$120,0,MATCH(N$2,Inputs!$K$4:$AJ$4,0))))=0,NA(),SUMPRODUCT((Inputs!$A$5:$A$120=$B38)*Inputs!$B$5:$B$120*(((Inputs!$G$5:$G$120="moeda")+(Inputs!$G$5:$G$120="acoes"))*Inputs!$B$1+((Inputs!$G$5:$G$120&lt;&gt;"moeda")*(Inputs!$G$5:$G$120&lt;&gt;"acoes")))*INDEX(Inputs!$K$5:$AJ$120,0,MATCH(N$2,Inputs!$K$4:$AJ$4,0)))+SUMPRODUCT((Inputs!$C$5:$C$120=$B38)*Inputs!$D$5:$D$120*(((Inputs!$G$5:$G$120="moeda")+(Inputs!$G$5:$G$120="acoes"))*Inputs!$B$1+((Inputs!$G$5:$G$120&lt;&gt;"moeda")*(Inputs!$G$5:$G$120&lt;&gt;"acoes")))*INDEX(Inputs!$K$5:$AJ$120,0,MATCH(N$2,Inputs!$K$4:$AJ$4,0)))+SUMPRODUCT((Inputs!$E$5:$E$120=$B38)*Inputs!$F$5:$F$120*(((Inputs!$G$5:$G$120="moeda")+(Inputs!$G$5:$G$120="acoes"))*Inputs!$B$1+((Inputs!$G$5:$G$120&lt;&gt;"moeda")*(Inputs!$G$5:$G$120&lt;&gt;"acoes")))*INDEX(Inputs!$K$5:$AJ$120,0,MATCH(N$2,Inputs!$K$4:$AJ$4,0)))))</f>
        <v>0</v>
      </c>
      <c r="O38" s="6">
        <f>IF(ISNA(MATCH(O$2,Inputs!$K$4:$AJ$4,0)),NA(),IF(SUMPRODUCT((Inputs!$A$5:$A$120=$B38)*ISNUMBER(INDEX(Inputs!$K$5:$AJ$120,0,MATCH(O$2,Inputs!$K$4:$AJ$4,0))))+SUMPRODUCT((Inputs!$C$5:$C$120=$B38)*ISNUMBER(INDEX(Inputs!$K$5:$AJ$120,0,MATCH(O$2,Inputs!$K$4:$AJ$4,0))))+SUMPRODUCT((Inputs!$E$5:$E$120=$B38)*ISNUMBER(INDEX(Inputs!$K$5:$AJ$120,0,MATCH(O$2,Inputs!$K$4:$AJ$4,0))))=0,NA(),SUMPRODUCT((Inputs!$A$5:$A$120=$B38)*Inputs!$B$5:$B$120*(((Inputs!$G$5:$G$120="moeda")+(Inputs!$G$5:$G$120="acoes"))*Inputs!$B$1+((Inputs!$G$5:$G$120&lt;&gt;"moeda")*(Inputs!$G$5:$G$120&lt;&gt;"acoes")))*INDEX(Inputs!$K$5:$AJ$120,0,MATCH(O$2,Inputs!$K$4:$AJ$4,0)))+SUMPRODUCT((Inputs!$C$5:$C$120=$B38)*Inputs!$D$5:$D$120*(((Inputs!$G$5:$G$120="moeda")+(Inputs!$G$5:$G$120="acoes"))*Inputs!$B$1+((Inputs!$G$5:$G$120&lt;&gt;"moeda")*(Inputs!$G$5:$G$120&lt;&gt;"acoes")))*INDEX(Inputs!$K$5:$AJ$120,0,MATCH(O$2,Inputs!$K$4:$AJ$4,0)))+SUMPRODUCT((Inputs!$E$5:$E$120=$B38)*Inputs!$F$5:$F$120*(((Inputs!$G$5:$G$120="moeda")+(Inputs!$G$5:$G$120="acoes"))*Inputs!$B$1+((Inputs!$G$5:$G$120&lt;&gt;"moeda")*(Inputs!$G$5:$G$120&lt;&gt;"acoes")))*INDEX(Inputs!$K$5:$AJ$120,0,MATCH(O$2,Inputs!$K$4:$AJ$4,0)))))</f>
        <v>0</v>
      </c>
      <c r="P38" s="6">
        <f>IF(ISNA(MATCH(P$2,Inputs!$K$4:$AJ$4,0)),NA(),IF(SUMPRODUCT((Inputs!$A$5:$A$120=$B38)*ISNUMBER(INDEX(Inputs!$K$5:$AJ$120,0,MATCH(P$2,Inputs!$K$4:$AJ$4,0))))+SUMPRODUCT((Inputs!$C$5:$C$120=$B38)*ISNUMBER(INDEX(Inputs!$K$5:$AJ$120,0,MATCH(P$2,Inputs!$K$4:$AJ$4,0))))+SUMPRODUCT((Inputs!$E$5:$E$120=$B38)*ISNUMBER(INDEX(Inputs!$K$5:$AJ$120,0,MATCH(P$2,Inputs!$K$4:$AJ$4,0))))=0,NA(),SUMPRODUCT((Inputs!$A$5:$A$120=$B38)*Inputs!$B$5:$B$120*(((Inputs!$G$5:$G$120="moeda")+(Inputs!$G$5:$G$120="acoes"))*Inputs!$B$1+((Inputs!$G$5:$G$120&lt;&gt;"moeda")*(Inputs!$G$5:$G$120&lt;&gt;"acoes")))*INDEX(Inputs!$K$5:$AJ$120,0,MATCH(P$2,Inputs!$K$4:$AJ$4,0)))+SUMPRODUCT((Inputs!$C$5:$C$120=$B38)*Inputs!$D$5:$D$120*(((Inputs!$G$5:$G$120="moeda")+(Inputs!$G$5:$G$120="acoes"))*Inputs!$B$1+((Inputs!$G$5:$G$120&lt;&gt;"moeda")*(Inputs!$G$5:$G$120&lt;&gt;"acoes")))*INDEX(Inputs!$K$5:$AJ$120,0,MATCH(P$2,Inputs!$K$4:$AJ$4,0)))+SUMPRODUCT((Inputs!$E$5:$E$120=$B38)*Inputs!$F$5:$F$120*(((Inputs!$G$5:$G$120="moeda")+(Inputs!$G$5:$G$120="acoes"))*Inputs!$B$1+((Inputs!$G$5:$G$120&lt;&gt;"moeda")*(Inputs!$G$5:$G$120&lt;&gt;"acoes")))*INDEX(Inputs!$K$5:$AJ$120,0,MATCH(P$2,Inputs!$K$4:$AJ$4,0)))))</f>
        <v>0</v>
      </c>
      <c r="Q38" s="6">
        <f>IF(ISNA(MATCH(Q$2,Inputs!$K$4:$AJ$4,0)),NA(),IF(SUMPRODUCT((Inputs!$A$5:$A$120=$B38)*ISNUMBER(INDEX(Inputs!$K$5:$AJ$120,0,MATCH(Q$2,Inputs!$K$4:$AJ$4,0))))+SUMPRODUCT((Inputs!$C$5:$C$120=$B38)*ISNUMBER(INDEX(Inputs!$K$5:$AJ$120,0,MATCH(Q$2,Inputs!$K$4:$AJ$4,0))))+SUMPRODUCT((Inputs!$E$5:$E$120=$B38)*ISNUMBER(INDEX(Inputs!$K$5:$AJ$120,0,MATCH(Q$2,Inputs!$K$4:$AJ$4,0))))=0,NA(),SUMPRODUCT((Inputs!$A$5:$A$120=$B38)*Inputs!$B$5:$B$120*(((Inputs!$G$5:$G$120="moeda")+(Inputs!$G$5:$G$120="acoes"))*Inputs!$B$1+((Inputs!$G$5:$G$120&lt;&gt;"moeda")*(Inputs!$G$5:$G$120&lt;&gt;"acoes")))*INDEX(Inputs!$K$5:$AJ$120,0,MATCH(Q$2,Inputs!$K$4:$AJ$4,0)))+SUMPRODUCT((Inputs!$C$5:$C$120=$B38)*Inputs!$D$5:$D$120*(((Inputs!$G$5:$G$120="moeda")+(Inputs!$G$5:$G$120="acoes"))*Inputs!$B$1+((Inputs!$G$5:$G$120&lt;&gt;"moeda")*(Inputs!$G$5:$G$120&lt;&gt;"acoes")))*INDEX(Inputs!$K$5:$AJ$120,0,MATCH(Q$2,Inputs!$K$4:$AJ$4,0)))+SUMPRODUCT((Inputs!$E$5:$E$120=$B38)*Inputs!$F$5:$F$120*(((Inputs!$G$5:$G$120="moeda")+(Inputs!$G$5:$G$120="acoes"))*Inputs!$B$1+((Inputs!$G$5:$G$120&lt;&gt;"moeda")*(Inputs!$G$5:$G$120&lt;&gt;"acoes")))*INDEX(Inputs!$K$5:$AJ$120,0,MATCH(Q$2,Inputs!$K$4:$AJ$4,0)))))</f>
        <v>0</v>
      </c>
      <c r="R38" s="3">
        <f>Q38</f>
        <v>0</v>
      </c>
      <c r="S38" s="6">
        <f>IF(ISNA(MATCH(S$2,Inputs!$K$4:$AJ$4,0)),NA(),IF(SUMPRODUCT((Inputs!$A$5:$A$120=$B38)*ISNUMBER(INDEX(Inputs!$K$5:$AJ$120,0,MATCH(S$2,Inputs!$K$4:$AJ$4,0))))+SUMPRODUCT((Inputs!$C$5:$C$120=$B38)*ISNUMBER(INDEX(Inputs!$K$5:$AJ$120,0,MATCH(S$2,Inputs!$K$4:$AJ$4,0))))+SUMPRODUCT((Inputs!$E$5:$E$120=$B38)*ISNUMBER(INDEX(Inputs!$K$5:$AJ$120,0,MATCH(S$2,Inputs!$K$4:$AJ$4,0))))=0,NA(),SUMPRODUCT((Inputs!$A$5:$A$120=$B38)*Inputs!$B$5:$B$120*(((Inputs!$G$5:$G$120="moeda")+(Inputs!$G$5:$G$120="acoes"))*Inputs!$B$1+((Inputs!$G$5:$G$120&lt;&gt;"moeda")*(Inputs!$G$5:$G$120&lt;&gt;"acoes")))*INDEX(Inputs!$K$5:$AJ$120,0,MATCH(S$2,Inputs!$K$4:$AJ$4,0)))+SUMPRODUCT((Inputs!$C$5:$C$120=$B38)*Inputs!$D$5:$D$120*(((Inputs!$G$5:$G$120="moeda")+(Inputs!$G$5:$G$120="acoes"))*Inputs!$B$1+((Inputs!$G$5:$G$120&lt;&gt;"moeda")*(Inputs!$G$5:$G$120&lt;&gt;"acoes")))*INDEX(Inputs!$K$5:$AJ$120,0,MATCH(S$2,Inputs!$K$4:$AJ$4,0)))+SUMPRODUCT((Inputs!$E$5:$E$120=$B38)*Inputs!$F$5:$F$120*(((Inputs!$G$5:$G$120="moeda")+(Inputs!$G$5:$G$120="acoes"))*Inputs!$B$1+((Inputs!$G$5:$G$120&lt;&gt;"moeda")*(Inputs!$G$5:$G$120&lt;&gt;"acoes")))*INDEX(Inputs!$K$5:$AJ$120,0,MATCH(S$2,Inputs!$K$4:$AJ$4,0)))))</f>
        <v>0</v>
      </c>
      <c r="T38" s="6">
        <f>IF(ISNA(MATCH(T$2,Inputs!$K$4:$AJ$4,0)),NA(),IF(SUMPRODUCT((Inputs!$A$5:$A$120=$B38)*ISNUMBER(INDEX(Inputs!$K$5:$AJ$120,0,MATCH(T$2,Inputs!$K$4:$AJ$4,0))))+SUMPRODUCT((Inputs!$C$5:$C$120=$B38)*ISNUMBER(INDEX(Inputs!$K$5:$AJ$120,0,MATCH(T$2,Inputs!$K$4:$AJ$4,0))))+SUMPRODUCT((Inputs!$E$5:$E$120=$B38)*ISNUMBER(INDEX(Inputs!$K$5:$AJ$120,0,MATCH(T$2,Inputs!$K$4:$AJ$4,0))))=0,NA(),SUMPRODUCT((Inputs!$A$5:$A$120=$B38)*Inputs!$B$5:$B$120*(((Inputs!$G$5:$G$120="moeda")+(Inputs!$G$5:$G$120="acoes"))*Inputs!$B$1+((Inputs!$G$5:$G$120&lt;&gt;"moeda")*(Inputs!$G$5:$G$120&lt;&gt;"acoes")))*INDEX(Inputs!$K$5:$AJ$120,0,MATCH(T$2,Inputs!$K$4:$AJ$4,0)))+SUMPRODUCT((Inputs!$C$5:$C$120=$B38)*Inputs!$D$5:$D$120*(((Inputs!$G$5:$G$120="moeda")+(Inputs!$G$5:$G$120="acoes"))*Inputs!$B$1+((Inputs!$G$5:$G$120&lt;&gt;"moeda")*(Inputs!$G$5:$G$120&lt;&gt;"acoes")))*INDEX(Inputs!$K$5:$AJ$120,0,MATCH(T$2,Inputs!$K$4:$AJ$4,0)))+SUMPRODUCT((Inputs!$E$5:$E$120=$B38)*Inputs!$F$5:$F$120*(((Inputs!$G$5:$G$120="moeda")+(Inputs!$G$5:$G$120="acoes"))*Inputs!$B$1+((Inputs!$G$5:$G$120&lt;&gt;"moeda")*(Inputs!$G$5:$G$120&lt;&gt;"acoes")))*INDEX(Inputs!$K$5:$AJ$120,0,MATCH(T$2,Inputs!$K$4:$AJ$4,0)))))</f>
        <v>0</v>
      </c>
      <c r="U38" s="6">
        <f>IF(ISNA(MATCH(U$2,Inputs!$K$4:$AJ$4,0)),NA(),IF(SUMPRODUCT((Inputs!$A$5:$A$120=$B38)*ISNUMBER(INDEX(Inputs!$K$5:$AJ$120,0,MATCH(U$2,Inputs!$K$4:$AJ$4,0))))+SUMPRODUCT((Inputs!$C$5:$C$120=$B38)*ISNUMBER(INDEX(Inputs!$K$5:$AJ$120,0,MATCH(U$2,Inputs!$K$4:$AJ$4,0))))+SUMPRODUCT((Inputs!$E$5:$E$120=$B38)*ISNUMBER(INDEX(Inputs!$K$5:$AJ$120,0,MATCH(U$2,Inputs!$K$4:$AJ$4,0))))=0,NA(),SUMPRODUCT((Inputs!$A$5:$A$120=$B38)*Inputs!$B$5:$B$120*(((Inputs!$G$5:$G$120="moeda")+(Inputs!$G$5:$G$120="acoes"))*Inputs!$B$1+((Inputs!$G$5:$G$120&lt;&gt;"moeda")*(Inputs!$G$5:$G$120&lt;&gt;"acoes")))*INDEX(Inputs!$K$5:$AJ$120,0,MATCH(U$2,Inputs!$K$4:$AJ$4,0)))+SUMPRODUCT((Inputs!$C$5:$C$120=$B38)*Inputs!$D$5:$D$120*(((Inputs!$G$5:$G$120="moeda")+(Inputs!$G$5:$G$120="acoes"))*Inputs!$B$1+((Inputs!$G$5:$G$120&lt;&gt;"moeda")*(Inputs!$G$5:$G$120&lt;&gt;"acoes")))*INDEX(Inputs!$K$5:$AJ$120,0,MATCH(U$2,Inputs!$K$4:$AJ$4,0)))+SUMPRODUCT((Inputs!$E$5:$E$120=$B38)*Inputs!$F$5:$F$120*(((Inputs!$G$5:$G$120="moeda")+(Inputs!$G$5:$G$120="acoes"))*Inputs!$B$1+((Inputs!$G$5:$G$120&lt;&gt;"moeda")*(Inputs!$G$5:$G$120&lt;&gt;"acoes")))*INDEX(Inputs!$K$5:$AJ$120,0,MATCH(U$2,Inputs!$K$4:$AJ$4,0)))))</f>
        <v>0</v>
      </c>
      <c r="V38" s="6">
        <f>IF(ISNA(MATCH(V$2,Inputs!$K$4:$AJ$4,0)),NA(),IF(SUMPRODUCT((Inputs!$A$5:$A$120=$B38)*ISNUMBER(INDEX(Inputs!$K$5:$AJ$120,0,MATCH(V$2,Inputs!$K$4:$AJ$4,0))))+SUMPRODUCT((Inputs!$C$5:$C$120=$B38)*ISNUMBER(INDEX(Inputs!$K$5:$AJ$120,0,MATCH(V$2,Inputs!$K$4:$AJ$4,0))))+SUMPRODUCT((Inputs!$E$5:$E$120=$B38)*ISNUMBER(INDEX(Inputs!$K$5:$AJ$120,0,MATCH(V$2,Inputs!$K$4:$AJ$4,0))))=0,NA(),SUMPRODUCT((Inputs!$A$5:$A$120=$B38)*Inputs!$B$5:$B$120*(((Inputs!$G$5:$G$120="moeda")+(Inputs!$G$5:$G$120="acoes"))*Inputs!$B$1+((Inputs!$G$5:$G$120&lt;&gt;"moeda")*(Inputs!$G$5:$G$120&lt;&gt;"acoes")))*INDEX(Inputs!$K$5:$AJ$120,0,MATCH(V$2,Inputs!$K$4:$AJ$4,0)))+SUMPRODUCT((Inputs!$C$5:$C$120=$B38)*Inputs!$D$5:$D$120*(((Inputs!$G$5:$G$120="moeda")+(Inputs!$G$5:$G$120="acoes"))*Inputs!$B$1+((Inputs!$G$5:$G$120&lt;&gt;"moeda")*(Inputs!$G$5:$G$120&lt;&gt;"acoes")))*INDEX(Inputs!$K$5:$AJ$120,0,MATCH(V$2,Inputs!$K$4:$AJ$4,0)))+SUMPRODUCT((Inputs!$E$5:$E$120=$B38)*Inputs!$F$5:$F$120*(((Inputs!$G$5:$G$120="moeda")+(Inputs!$G$5:$G$120="acoes"))*Inputs!$B$1+((Inputs!$G$5:$G$120&lt;&gt;"moeda")*(Inputs!$G$5:$G$120&lt;&gt;"acoes")))*INDEX(Inputs!$K$5:$AJ$120,0,MATCH(V$2,Inputs!$K$4:$AJ$4,0)))))</f>
        <v>0</v>
      </c>
      <c r="W38" s="3">
        <f>V38</f>
        <v>0</v>
      </c>
      <c r="X38" s="6">
        <f>IF(ISNA(MATCH(X$2,Inputs!$K$4:$AJ$4,0)),NA(),IF(SUMPRODUCT((Inputs!$A$5:$A$120=$B38)*ISNUMBER(INDEX(Inputs!$K$5:$AJ$120,0,MATCH(X$2,Inputs!$K$4:$AJ$4,0))))+SUMPRODUCT((Inputs!$C$5:$C$120=$B38)*ISNUMBER(INDEX(Inputs!$K$5:$AJ$120,0,MATCH(X$2,Inputs!$K$4:$AJ$4,0))))+SUMPRODUCT((Inputs!$E$5:$E$120=$B38)*ISNUMBER(INDEX(Inputs!$K$5:$AJ$120,0,MATCH(X$2,Inputs!$K$4:$AJ$4,0))))=0,NA(),SUMPRODUCT((Inputs!$A$5:$A$120=$B38)*Inputs!$B$5:$B$120*(((Inputs!$G$5:$G$120="moeda")+(Inputs!$G$5:$G$120="acoes"))*Inputs!$B$1+((Inputs!$G$5:$G$120&lt;&gt;"moeda")*(Inputs!$G$5:$G$120&lt;&gt;"acoes")))*INDEX(Inputs!$K$5:$AJ$120,0,MATCH(X$2,Inputs!$K$4:$AJ$4,0)))+SUMPRODUCT((Inputs!$C$5:$C$120=$B38)*Inputs!$D$5:$D$120*(((Inputs!$G$5:$G$120="moeda")+(Inputs!$G$5:$G$120="acoes"))*Inputs!$B$1+((Inputs!$G$5:$G$120&lt;&gt;"moeda")*(Inputs!$G$5:$G$120&lt;&gt;"acoes")))*INDEX(Inputs!$K$5:$AJ$120,0,MATCH(X$2,Inputs!$K$4:$AJ$4,0)))+SUMPRODUCT((Inputs!$E$5:$E$120=$B38)*Inputs!$F$5:$F$120*(((Inputs!$G$5:$G$120="moeda")+(Inputs!$G$5:$G$120="acoes"))*Inputs!$B$1+((Inputs!$G$5:$G$120&lt;&gt;"moeda")*(Inputs!$G$5:$G$120&lt;&gt;"acoes")))*INDEX(Inputs!$K$5:$AJ$120,0,MATCH(X$2,Inputs!$K$4:$AJ$4,0)))))</f>
        <v>0</v>
      </c>
      <c r="Y38" s="6">
        <f>IF(ISNA(MATCH(Y$2,Inputs!$K$4:$AJ$4,0)),NA(),IF(SUMPRODUCT((Inputs!$A$5:$A$120=$B38)*ISNUMBER(INDEX(Inputs!$K$5:$AJ$120,0,MATCH(Y$2,Inputs!$K$4:$AJ$4,0))))+SUMPRODUCT((Inputs!$C$5:$C$120=$B38)*ISNUMBER(INDEX(Inputs!$K$5:$AJ$120,0,MATCH(Y$2,Inputs!$K$4:$AJ$4,0))))+SUMPRODUCT((Inputs!$E$5:$E$120=$B38)*ISNUMBER(INDEX(Inputs!$K$5:$AJ$120,0,MATCH(Y$2,Inputs!$K$4:$AJ$4,0))))=0,NA(),SUMPRODUCT((Inputs!$A$5:$A$120=$B38)*Inputs!$B$5:$B$120*(((Inputs!$G$5:$G$120="moeda")+(Inputs!$G$5:$G$120="acoes"))*Inputs!$B$1+((Inputs!$G$5:$G$120&lt;&gt;"moeda")*(Inputs!$G$5:$G$120&lt;&gt;"acoes")))*INDEX(Inputs!$K$5:$AJ$120,0,MATCH(Y$2,Inputs!$K$4:$AJ$4,0)))+SUMPRODUCT((Inputs!$C$5:$C$120=$B38)*Inputs!$D$5:$D$120*(((Inputs!$G$5:$G$120="moeda")+(Inputs!$G$5:$G$120="acoes"))*Inputs!$B$1+((Inputs!$G$5:$G$120&lt;&gt;"moeda")*(Inputs!$G$5:$G$120&lt;&gt;"acoes")))*INDEX(Inputs!$K$5:$AJ$120,0,MATCH(Y$2,Inputs!$K$4:$AJ$4,0)))+SUMPRODUCT((Inputs!$E$5:$E$120=$B38)*Inputs!$F$5:$F$120*(((Inputs!$G$5:$G$120="moeda")+(Inputs!$G$5:$G$120="acoes"))*Inputs!$B$1+((Inputs!$G$5:$G$120&lt;&gt;"moeda")*(Inputs!$G$5:$G$120&lt;&gt;"acoes")))*INDEX(Inputs!$K$5:$AJ$120,0,MATCH(Y$2,Inputs!$K$4:$AJ$4,0)))))</f>
        <v>0</v>
      </c>
      <c r="Z38" s="6">
        <f>IF(ISNA(MATCH(Z$2,Inputs!$K$4:$AJ$4,0)),NA(),IF(SUMPRODUCT((Inputs!$A$5:$A$120=$B38)*ISNUMBER(INDEX(Inputs!$K$5:$AJ$120,0,MATCH(Z$2,Inputs!$K$4:$AJ$4,0))))+SUMPRODUCT((Inputs!$C$5:$C$120=$B38)*ISNUMBER(INDEX(Inputs!$K$5:$AJ$120,0,MATCH(Z$2,Inputs!$K$4:$AJ$4,0))))+SUMPRODUCT((Inputs!$E$5:$E$120=$B38)*ISNUMBER(INDEX(Inputs!$K$5:$AJ$120,0,MATCH(Z$2,Inputs!$K$4:$AJ$4,0))))=0,NA(),SUMPRODUCT((Inputs!$A$5:$A$120=$B38)*Inputs!$B$5:$B$120*(((Inputs!$G$5:$G$120="moeda")+(Inputs!$G$5:$G$120="acoes"))*Inputs!$B$1+((Inputs!$G$5:$G$120&lt;&gt;"moeda")*(Inputs!$G$5:$G$120&lt;&gt;"acoes")))*INDEX(Inputs!$K$5:$AJ$120,0,MATCH(Z$2,Inputs!$K$4:$AJ$4,0)))+SUMPRODUCT((Inputs!$C$5:$C$120=$B38)*Inputs!$D$5:$D$120*(((Inputs!$G$5:$G$120="moeda")+(Inputs!$G$5:$G$120="acoes"))*Inputs!$B$1+((Inputs!$G$5:$G$120&lt;&gt;"moeda")*(Inputs!$G$5:$G$120&lt;&gt;"acoes")))*INDEX(Inputs!$K$5:$AJ$120,0,MATCH(Z$2,Inputs!$K$4:$AJ$4,0)))+SUMPRODUCT((Inputs!$E$5:$E$120=$B38)*Inputs!$F$5:$F$120*(((Inputs!$G$5:$G$120="moeda")+(Inputs!$G$5:$G$120="acoes"))*Inputs!$B$1+((Inputs!$G$5:$G$120&lt;&gt;"moeda")*(Inputs!$G$5:$G$120&lt;&gt;"acoes")))*INDEX(Inputs!$K$5:$AJ$120,0,MATCH(Z$2,Inputs!$K$4:$AJ$4,0)))))</f>
        <v>0</v>
      </c>
      <c r="AA38" s="6">
        <f>IF(ISNA(MATCH(AA$2,Inputs!$K$4:$AJ$4,0)),NA(),IF(SUMPRODUCT((Inputs!$A$5:$A$120=$B38)*ISNUMBER(INDEX(Inputs!$K$5:$AJ$120,0,MATCH(AA$2,Inputs!$K$4:$AJ$4,0))))+SUMPRODUCT((Inputs!$C$5:$C$120=$B38)*ISNUMBER(INDEX(Inputs!$K$5:$AJ$120,0,MATCH(AA$2,Inputs!$K$4:$AJ$4,0))))+SUMPRODUCT((Inputs!$E$5:$E$120=$B38)*ISNUMBER(INDEX(Inputs!$K$5:$AJ$120,0,MATCH(AA$2,Inputs!$K$4:$AJ$4,0))))=0,NA(),SUMPRODUCT((Inputs!$A$5:$A$120=$B38)*Inputs!$B$5:$B$120*(((Inputs!$G$5:$G$120="moeda")+(Inputs!$G$5:$G$120="acoes"))*Inputs!$B$1+((Inputs!$G$5:$G$120&lt;&gt;"moeda")*(Inputs!$G$5:$G$120&lt;&gt;"acoes")))*INDEX(Inputs!$K$5:$AJ$120,0,MATCH(AA$2,Inputs!$K$4:$AJ$4,0)))+SUMPRODUCT((Inputs!$C$5:$C$120=$B38)*Inputs!$D$5:$D$120*(((Inputs!$G$5:$G$120="moeda")+(Inputs!$G$5:$G$120="acoes"))*Inputs!$B$1+((Inputs!$G$5:$G$120&lt;&gt;"moeda")*(Inputs!$G$5:$G$120&lt;&gt;"acoes")))*INDEX(Inputs!$K$5:$AJ$120,0,MATCH(AA$2,Inputs!$K$4:$AJ$4,0)))+SUMPRODUCT((Inputs!$E$5:$E$120=$B38)*Inputs!$F$5:$F$120*(((Inputs!$G$5:$G$120="moeda")+(Inputs!$G$5:$G$120="acoes"))*Inputs!$B$1+((Inputs!$G$5:$G$120&lt;&gt;"moeda")*(Inputs!$G$5:$G$120&lt;&gt;"acoes")))*INDEX(Inputs!$K$5:$AJ$120,0,MATCH(AA$2,Inputs!$K$4:$AJ$4,0)))))</f>
        <v>0</v>
      </c>
      <c r="AB38" s="3">
        <f>AA38</f>
        <v>0</v>
      </c>
      <c r="AC38" s="6">
        <f>IF(ISNA(MATCH(AC$2,Inputs!$K$4:$AJ$4,0)),NA(),IF(SUMPRODUCT((Inputs!$A$5:$A$120=$B38)*ISNUMBER(INDEX(Inputs!$K$5:$AJ$120,0,MATCH(AC$2,Inputs!$K$4:$AJ$4,0))))+SUMPRODUCT((Inputs!$C$5:$C$120=$B38)*ISNUMBER(INDEX(Inputs!$K$5:$AJ$120,0,MATCH(AC$2,Inputs!$K$4:$AJ$4,0))))+SUMPRODUCT((Inputs!$E$5:$E$120=$B38)*ISNUMBER(INDEX(Inputs!$K$5:$AJ$120,0,MATCH(AC$2,Inputs!$K$4:$AJ$4,0))))=0,NA(),SUMPRODUCT((Inputs!$A$5:$A$120=$B38)*Inputs!$B$5:$B$120*(((Inputs!$G$5:$G$120="moeda")+(Inputs!$G$5:$G$120="acoes"))*Inputs!$B$1+((Inputs!$G$5:$G$120&lt;&gt;"moeda")*(Inputs!$G$5:$G$120&lt;&gt;"acoes")))*INDEX(Inputs!$K$5:$AJ$120,0,MATCH(AC$2,Inputs!$K$4:$AJ$4,0)))+SUMPRODUCT((Inputs!$C$5:$C$120=$B38)*Inputs!$D$5:$D$120*(((Inputs!$G$5:$G$120="moeda")+(Inputs!$G$5:$G$120="acoes"))*Inputs!$B$1+((Inputs!$G$5:$G$120&lt;&gt;"moeda")*(Inputs!$G$5:$G$120&lt;&gt;"acoes")))*INDEX(Inputs!$K$5:$AJ$120,0,MATCH(AC$2,Inputs!$K$4:$AJ$4,0)))+SUMPRODUCT((Inputs!$E$5:$E$120=$B38)*Inputs!$F$5:$F$120*(((Inputs!$G$5:$G$120="moeda")+(Inputs!$G$5:$G$120="acoes"))*Inputs!$B$1+((Inputs!$G$5:$G$120&lt;&gt;"moeda")*(Inputs!$G$5:$G$120&lt;&gt;"acoes")))*INDEX(Inputs!$K$5:$AJ$120,0,MATCH(AC$2,Inputs!$K$4:$AJ$4,0)))))</f>
        <v>0</v>
      </c>
      <c r="AD38" s="6">
        <f>IF(ISNA(MATCH(AD$2,Inputs!$K$4:$AJ$4,0)),NA(),IF(SUMPRODUCT((Inputs!$A$5:$A$120=$B38)*ISNUMBER(INDEX(Inputs!$K$5:$AJ$120,0,MATCH(AD$2,Inputs!$K$4:$AJ$4,0))))+SUMPRODUCT((Inputs!$C$5:$C$120=$B38)*ISNUMBER(INDEX(Inputs!$K$5:$AJ$120,0,MATCH(AD$2,Inputs!$K$4:$AJ$4,0))))+SUMPRODUCT((Inputs!$E$5:$E$120=$B38)*ISNUMBER(INDEX(Inputs!$K$5:$AJ$120,0,MATCH(AD$2,Inputs!$K$4:$AJ$4,0))))=0,NA(),SUMPRODUCT((Inputs!$A$5:$A$120=$B38)*Inputs!$B$5:$B$120*(((Inputs!$G$5:$G$120="moeda")+(Inputs!$G$5:$G$120="acoes"))*Inputs!$B$1+((Inputs!$G$5:$G$120&lt;&gt;"moeda")*(Inputs!$G$5:$G$120&lt;&gt;"acoes")))*INDEX(Inputs!$K$5:$AJ$120,0,MATCH(AD$2,Inputs!$K$4:$AJ$4,0)))+SUMPRODUCT((Inputs!$C$5:$C$120=$B38)*Inputs!$D$5:$D$120*(((Inputs!$G$5:$G$120="moeda")+(Inputs!$G$5:$G$120="acoes"))*Inputs!$B$1+((Inputs!$G$5:$G$120&lt;&gt;"moeda")*(Inputs!$G$5:$G$120&lt;&gt;"acoes")))*INDEX(Inputs!$K$5:$AJ$120,0,MATCH(AD$2,Inputs!$K$4:$AJ$4,0)))+SUMPRODUCT((Inputs!$E$5:$E$120=$B38)*Inputs!$F$5:$F$120*(((Inputs!$G$5:$G$120="moeda")+(Inputs!$G$5:$G$120="acoes"))*Inputs!$B$1+((Inputs!$G$5:$G$120&lt;&gt;"moeda")*(Inputs!$G$5:$G$120&lt;&gt;"acoes")))*INDEX(Inputs!$K$5:$AJ$120,0,MATCH(AD$2,Inputs!$K$4:$AJ$4,0)))))</f>
        <v>0</v>
      </c>
      <c r="AE38" s="6" t="e">
        <f>IF(ISNA(MATCH(AE$2,Inputs!$K$4:$AJ$4,0)),NA(),IF(SUMPRODUCT((Inputs!$A$5:$A$120=$B38)*ISNUMBER(INDEX(Inputs!$K$5:$AJ$120,0,MATCH(AE$2,Inputs!$K$4:$AJ$4,0))))+SUMPRODUCT((Inputs!$C$5:$C$120=$B38)*ISNUMBER(INDEX(Inputs!$K$5:$AJ$120,0,MATCH(AE$2,Inputs!$K$4:$AJ$4,0))))+SUMPRODUCT((Inputs!$E$5:$E$120=$B38)*ISNUMBER(INDEX(Inputs!$K$5:$AJ$120,0,MATCH(AE$2,Inputs!$K$4:$AJ$4,0))))=0,NA(),SUMPRODUCT((Inputs!$A$5:$A$120=$B38)*Inputs!$B$5:$B$120*(((Inputs!$G$5:$G$120="moeda")+(Inputs!$G$5:$G$120="acoes"))*Inputs!$B$1+((Inputs!$G$5:$G$120&lt;&gt;"moeda")*(Inputs!$G$5:$G$120&lt;&gt;"acoes")))*INDEX(Inputs!$K$5:$AJ$120,0,MATCH(AE$2,Inputs!$K$4:$AJ$4,0)))+SUMPRODUCT((Inputs!$C$5:$C$120=$B38)*Inputs!$D$5:$D$120*(((Inputs!$G$5:$G$120="moeda")+(Inputs!$G$5:$G$120="acoes"))*Inputs!$B$1+((Inputs!$G$5:$G$120&lt;&gt;"moeda")*(Inputs!$G$5:$G$120&lt;&gt;"acoes")))*INDEX(Inputs!$K$5:$AJ$120,0,MATCH(AE$2,Inputs!$K$4:$AJ$4,0)))+SUMPRODUCT((Inputs!$E$5:$E$120=$B38)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38" s="6" t="e">
        <f>IF(ISNA(MATCH(AF$2,Inputs!$K$4:$AJ$4,0)),NA(),IF(SUMPRODUCT((Inputs!$A$5:$A$120=$B38)*ISNUMBER(INDEX(Inputs!$K$5:$AJ$120,0,MATCH(AF$2,Inputs!$K$4:$AJ$4,0))))+SUMPRODUCT((Inputs!$C$5:$C$120=$B38)*ISNUMBER(INDEX(Inputs!$K$5:$AJ$120,0,MATCH(AF$2,Inputs!$K$4:$AJ$4,0))))+SUMPRODUCT((Inputs!$E$5:$E$120=$B38)*ISNUMBER(INDEX(Inputs!$K$5:$AJ$120,0,MATCH(AF$2,Inputs!$K$4:$AJ$4,0))))=0,NA(),SUMPRODUCT((Inputs!$A$5:$A$120=$B38)*Inputs!$B$5:$B$120*(((Inputs!$G$5:$G$120="moeda")+(Inputs!$G$5:$G$120="acoes"))*Inputs!$B$1+((Inputs!$G$5:$G$120&lt;&gt;"moeda")*(Inputs!$G$5:$G$120&lt;&gt;"acoes")))*INDEX(Inputs!$K$5:$AJ$120,0,MATCH(AF$2,Inputs!$K$4:$AJ$4,0)))+SUMPRODUCT((Inputs!$C$5:$C$120=$B38)*Inputs!$D$5:$D$120*(((Inputs!$G$5:$G$120="moeda")+(Inputs!$G$5:$G$120="acoes"))*Inputs!$B$1+((Inputs!$G$5:$G$120&lt;&gt;"moeda")*(Inputs!$G$5:$G$120&lt;&gt;"acoes")))*INDEX(Inputs!$K$5:$AJ$120,0,MATCH(AF$2,Inputs!$K$4:$AJ$4,0)))+SUMPRODUCT((Inputs!$E$5:$E$120=$B38)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38" s="3" t="e">
        <f>AF38</f>
        <v>#N/A</v>
      </c>
      <c r="AH38" s="6">
        <f>IF(ISNA(MATCH(AH$2,Inputs!$K$4:$AJ$4,0)),NA(),IF(SUMPRODUCT((Inputs!$A$5:$A$120=$B38)*ISNUMBER(INDEX(Inputs!$K$5:$AJ$120,0,MATCH(AH$2,Inputs!$K$4:$AJ$4,0))))+SUMPRODUCT((Inputs!$C$5:$C$120=$B38)*ISNUMBER(INDEX(Inputs!$K$5:$AJ$120,0,MATCH(AH$2,Inputs!$K$4:$AJ$4,0))))+SUMPRODUCT((Inputs!$E$5:$E$120=$B38)*ISNUMBER(INDEX(Inputs!$K$5:$AJ$120,0,MATCH(AH$2,Inputs!$K$4:$AJ$4,0))))=0,NA(),SUMPRODUCT((Inputs!$A$5:$A$120=$B38)*Inputs!$B$5:$B$120*(((Inputs!$G$5:$G$120="moeda")+(Inputs!$G$5:$G$120="acoes"))*Inputs!$B$1+((Inputs!$G$5:$G$120&lt;&gt;"moeda")*(Inputs!$G$5:$G$120&lt;&gt;"acoes")))*INDEX(Inputs!$K$5:$AJ$120,0,MATCH(AH$2,Inputs!$K$4:$AJ$4,0)))+SUMPRODUCT((Inputs!$C$5:$C$120=$B38)*Inputs!$D$5:$D$120*(((Inputs!$G$5:$G$120="moeda")+(Inputs!$G$5:$G$120="acoes"))*Inputs!$B$1+((Inputs!$G$5:$G$120&lt;&gt;"moeda")*(Inputs!$G$5:$G$120&lt;&gt;"acoes")))*INDEX(Inputs!$K$5:$AJ$120,0,MATCH(AH$2,Inputs!$K$4:$AJ$4,0)))+SUMPRODUCT((Inputs!$E$5:$E$120=$B38)*Inputs!$F$5:$F$120*(((Inputs!$G$5:$G$120="moeda")+(Inputs!$G$5:$G$120="acoes"))*Inputs!$B$1+((Inputs!$G$5:$G$120&lt;&gt;"moeda")*(Inputs!$G$5:$G$120&lt;&gt;"acoes")))*INDEX(Inputs!$K$5:$AJ$120,0,MATCH(AH$2,Inputs!$K$4:$AJ$4,0)))))</f>
        <v>0</v>
      </c>
      <c r="AI38" s="6">
        <f>IF(ISNA(MATCH(AI$2,Inputs!$K$4:$AJ$4,0)),NA(),IF(SUMPRODUCT((Inputs!$A$5:$A$120=$B38)*ISNUMBER(INDEX(Inputs!$K$5:$AJ$120,0,MATCH(AI$2,Inputs!$K$4:$AJ$4,0))))+SUMPRODUCT((Inputs!$C$5:$C$120=$B38)*ISNUMBER(INDEX(Inputs!$K$5:$AJ$120,0,MATCH(AI$2,Inputs!$K$4:$AJ$4,0))))+SUMPRODUCT((Inputs!$E$5:$E$120=$B38)*ISNUMBER(INDEX(Inputs!$K$5:$AJ$120,0,MATCH(AI$2,Inputs!$K$4:$AJ$4,0))))=0,NA(),SUMPRODUCT((Inputs!$A$5:$A$120=$B38)*Inputs!$B$5:$B$120*(((Inputs!$G$5:$G$120="moeda")+(Inputs!$G$5:$G$120="acoes"))*Inputs!$B$1+((Inputs!$G$5:$G$120&lt;&gt;"moeda")*(Inputs!$G$5:$G$120&lt;&gt;"acoes")))*INDEX(Inputs!$K$5:$AJ$120,0,MATCH(AI$2,Inputs!$K$4:$AJ$4,0)))+SUMPRODUCT((Inputs!$C$5:$C$120=$B38)*Inputs!$D$5:$D$120*(((Inputs!$G$5:$G$120="moeda")+(Inputs!$G$5:$G$120="acoes"))*Inputs!$B$1+((Inputs!$G$5:$G$120&lt;&gt;"moeda")*(Inputs!$G$5:$G$120&lt;&gt;"acoes")))*INDEX(Inputs!$K$5:$AJ$120,0,MATCH(AI$2,Inputs!$K$4:$AJ$4,0)))+SUMPRODUCT((Inputs!$E$5:$E$120=$B38)*Inputs!$F$5:$F$120*(((Inputs!$G$5:$G$120="moeda")+(Inputs!$G$5:$G$120="acoes"))*Inputs!$B$1+((Inputs!$G$5:$G$120&lt;&gt;"moeda")*(Inputs!$G$5:$G$120&lt;&gt;"acoes")))*INDEX(Inputs!$K$5:$AJ$120,0,MATCH(AI$2,Inputs!$K$4:$AJ$4,0)))))</f>
        <v>0</v>
      </c>
      <c r="AJ38" s="6">
        <f>IF(ISNA(MATCH(AJ$2,Inputs!$K$4:$AJ$4,0)),NA(),IF(SUMPRODUCT((Inputs!$A$5:$A$120=$B38)*ISNUMBER(INDEX(Inputs!$K$5:$AJ$120,0,MATCH(AJ$2,Inputs!$K$4:$AJ$4,0))))+SUMPRODUCT((Inputs!$C$5:$C$120=$B38)*ISNUMBER(INDEX(Inputs!$K$5:$AJ$120,0,MATCH(AJ$2,Inputs!$K$4:$AJ$4,0))))+SUMPRODUCT((Inputs!$E$5:$E$120=$B38)*ISNUMBER(INDEX(Inputs!$K$5:$AJ$120,0,MATCH(AJ$2,Inputs!$K$4:$AJ$4,0))))=0,NA(),SUMPRODUCT((Inputs!$A$5:$A$120=$B38)*Inputs!$B$5:$B$120*(((Inputs!$G$5:$G$120="moeda")+(Inputs!$G$5:$G$120="acoes"))*Inputs!$B$1+((Inputs!$G$5:$G$120&lt;&gt;"moeda")*(Inputs!$G$5:$G$120&lt;&gt;"acoes")))*INDEX(Inputs!$K$5:$AJ$120,0,MATCH(AJ$2,Inputs!$K$4:$AJ$4,0)))+SUMPRODUCT((Inputs!$C$5:$C$120=$B38)*Inputs!$D$5:$D$120*(((Inputs!$G$5:$G$120="moeda")+(Inputs!$G$5:$G$120="acoes"))*Inputs!$B$1+((Inputs!$G$5:$G$120&lt;&gt;"moeda")*(Inputs!$G$5:$G$120&lt;&gt;"acoes")))*INDEX(Inputs!$K$5:$AJ$120,0,MATCH(AJ$2,Inputs!$K$4:$AJ$4,0)))+SUMPRODUCT((Inputs!$E$5:$E$120=$B38)*Inputs!$F$5:$F$120*(((Inputs!$G$5:$G$120="moeda")+(Inputs!$G$5:$G$120="acoes"))*Inputs!$B$1+((Inputs!$G$5:$G$120&lt;&gt;"moeda")*(Inputs!$G$5:$G$120&lt;&gt;"acoes")))*INDEX(Inputs!$K$5:$AJ$120,0,MATCH(AJ$2,Inputs!$K$4:$AJ$4,0)))))</f>
        <v>0</v>
      </c>
      <c r="AK38" s="6">
        <f>IF(ISNA(MATCH(AK$2,Inputs!$K$4:$AJ$4,0)),NA(),IF(SUMPRODUCT((Inputs!$A$5:$A$120=$B38)*ISNUMBER(INDEX(Inputs!$K$5:$AJ$120,0,MATCH(AK$2,Inputs!$K$4:$AJ$4,0))))+SUMPRODUCT((Inputs!$C$5:$C$120=$B38)*ISNUMBER(INDEX(Inputs!$K$5:$AJ$120,0,MATCH(AK$2,Inputs!$K$4:$AJ$4,0))))+SUMPRODUCT((Inputs!$E$5:$E$120=$B38)*ISNUMBER(INDEX(Inputs!$K$5:$AJ$120,0,MATCH(AK$2,Inputs!$K$4:$AJ$4,0))))=0,NA(),SUMPRODUCT((Inputs!$A$5:$A$120=$B38)*Inputs!$B$5:$B$120*(((Inputs!$G$5:$G$120="moeda")+(Inputs!$G$5:$G$120="acoes"))*Inputs!$B$1+((Inputs!$G$5:$G$120&lt;&gt;"moeda")*(Inputs!$G$5:$G$120&lt;&gt;"acoes")))*INDEX(Inputs!$K$5:$AJ$120,0,MATCH(AK$2,Inputs!$K$4:$AJ$4,0)))+SUMPRODUCT((Inputs!$C$5:$C$120=$B38)*Inputs!$D$5:$D$120*(((Inputs!$G$5:$G$120="moeda")+(Inputs!$G$5:$G$120="acoes"))*Inputs!$B$1+((Inputs!$G$5:$G$120&lt;&gt;"moeda")*(Inputs!$G$5:$G$120&lt;&gt;"acoes")))*INDEX(Inputs!$K$5:$AJ$120,0,MATCH(AK$2,Inputs!$K$4:$AJ$4,0)))+SUMPRODUCT((Inputs!$E$5:$E$120=$B38)*Inputs!$F$5:$F$120*(((Inputs!$G$5:$G$120="moeda")+(Inputs!$G$5:$G$120="acoes"))*Inputs!$B$1+((Inputs!$G$5:$G$120&lt;&gt;"moeda")*(Inputs!$G$5:$G$120&lt;&gt;"acoes")))*INDEX(Inputs!$K$5:$AJ$120,0,MATCH(AK$2,Inputs!$K$4:$AJ$4,0)))))</f>
        <v>0</v>
      </c>
      <c r="AL38" s="3">
        <f>AK38</f>
        <v>0</v>
      </c>
    </row>
    <row r="39">
      <c r="B39" s="46" t="n">
        <v>34</v>
      </c>
      <c r="C39" s="26" t="inlineStr">
        <is>
          <t>Other non-current liabilities</t>
        </is>
      </c>
      <c r="D39" s="6">
        <f>IF(ISNA(MATCH(D$2,Inputs!$K$4:$AJ$4,0)),NA(),IF(SUMPRODUCT((Inputs!$A$5:$A$120=$B39)*ISNUMBER(INDEX(Inputs!$K$5:$AJ$120,0,MATCH(D$2,Inputs!$K$4:$AJ$4,0))))+SUMPRODUCT((Inputs!$C$5:$C$120=$B39)*ISNUMBER(INDEX(Inputs!$K$5:$AJ$120,0,MATCH(D$2,Inputs!$K$4:$AJ$4,0))))+SUMPRODUCT((Inputs!$E$5:$E$120=$B39)*ISNUMBER(INDEX(Inputs!$K$5:$AJ$120,0,MATCH(D$2,Inputs!$K$4:$AJ$4,0))))=0,NA(),SUMPRODUCT((Inputs!$A$5:$A$120=$B39)*Inputs!$B$5:$B$120*(((Inputs!$G$5:$G$120="moeda")+(Inputs!$G$5:$G$120="acoes"))*Inputs!$B$1+((Inputs!$G$5:$G$120&lt;&gt;"moeda")*(Inputs!$G$5:$G$120&lt;&gt;"acoes")))*INDEX(Inputs!$K$5:$AJ$120,0,MATCH(D$2,Inputs!$K$4:$AJ$4,0)))+SUMPRODUCT((Inputs!$C$5:$C$120=$B39)*Inputs!$D$5:$D$120*(((Inputs!$G$5:$G$120="moeda")+(Inputs!$G$5:$G$120="acoes"))*Inputs!$B$1+((Inputs!$G$5:$G$120&lt;&gt;"moeda")*(Inputs!$G$5:$G$120&lt;&gt;"acoes")))*INDEX(Inputs!$K$5:$AJ$120,0,MATCH(D$2,Inputs!$K$4:$AJ$4,0)))+SUMPRODUCT((Inputs!$E$5:$E$120=$B39)*Inputs!$F$5:$F$120*(((Inputs!$G$5:$G$120="moeda")+(Inputs!$G$5:$G$120="acoes"))*Inputs!$B$1+((Inputs!$G$5:$G$120&lt;&gt;"moeda")*(Inputs!$G$5:$G$120&lt;&gt;"acoes")))*INDEX(Inputs!$K$5:$AJ$120,0,MATCH(D$2,Inputs!$K$4:$AJ$4,0)))))</f>
        <v>13630</v>
      </c>
      <c r="E39" s="6">
        <f>IF(ISNA(MATCH(E$2,Inputs!$K$4:$AJ$4,0)),NA(),IF(SUMPRODUCT((Inputs!$A$5:$A$120=$B39)*ISNUMBER(INDEX(Inputs!$K$5:$AJ$120,0,MATCH(E$2,Inputs!$K$4:$AJ$4,0))))+SUMPRODUCT((Inputs!$C$5:$C$120=$B39)*ISNUMBER(INDEX(Inputs!$K$5:$AJ$120,0,MATCH(E$2,Inputs!$K$4:$AJ$4,0))))+SUMPRODUCT((Inputs!$E$5:$E$120=$B39)*ISNUMBER(INDEX(Inputs!$K$5:$AJ$120,0,MATCH(E$2,Inputs!$K$4:$AJ$4,0))))=0,NA(),SUMPRODUCT((Inputs!$A$5:$A$120=$B39)*Inputs!$B$5:$B$120*(((Inputs!$G$5:$G$120="moeda")+(Inputs!$G$5:$G$120="acoes"))*Inputs!$B$1+((Inputs!$G$5:$G$120&lt;&gt;"moeda")*(Inputs!$G$5:$G$120&lt;&gt;"acoes")))*INDEX(Inputs!$K$5:$AJ$120,0,MATCH(E$2,Inputs!$K$4:$AJ$4,0)))+SUMPRODUCT((Inputs!$C$5:$C$120=$B39)*Inputs!$D$5:$D$120*(((Inputs!$G$5:$G$120="moeda")+(Inputs!$G$5:$G$120="acoes"))*Inputs!$B$1+((Inputs!$G$5:$G$120&lt;&gt;"moeda")*(Inputs!$G$5:$G$120&lt;&gt;"acoes")))*INDEX(Inputs!$K$5:$AJ$120,0,MATCH(E$2,Inputs!$K$4:$AJ$4,0)))+SUMPRODUCT((Inputs!$E$5:$E$120=$B39)*Inputs!$F$5:$F$120*(((Inputs!$G$5:$G$120="moeda")+(Inputs!$G$5:$G$120="acoes"))*Inputs!$B$1+((Inputs!$G$5:$G$120&lt;&gt;"moeda")*(Inputs!$G$5:$G$120&lt;&gt;"acoes")))*INDEX(Inputs!$K$5:$AJ$120,0,MATCH(E$2,Inputs!$K$4:$AJ$4,0)))))</f>
        <v>12525</v>
      </c>
      <c r="F39" s="6">
        <f>IF(ISNA(MATCH(F$2,Inputs!$K$4:$AJ$4,0)),NA(),IF(SUMPRODUCT((Inputs!$A$5:$A$120=$B39)*ISNUMBER(INDEX(Inputs!$K$5:$AJ$120,0,MATCH(F$2,Inputs!$K$4:$AJ$4,0))))+SUMPRODUCT((Inputs!$C$5:$C$120=$B39)*ISNUMBER(INDEX(Inputs!$K$5:$AJ$120,0,MATCH(F$2,Inputs!$K$4:$AJ$4,0))))+SUMPRODUCT((Inputs!$E$5:$E$120=$B39)*ISNUMBER(INDEX(Inputs!$K$5:$AJ$120,0,MATCH(F$2,Inputs!$K$4:$AJ$4,0))))=0,NA(),SUMPRODUCT((Inputs!$A$5:$A$120=$B39)*Inputs!$B$5:$B$120*(((Inputs!$G$5:$G$120="moeda")+(Inputs!$G$5:$G$120="acoes"))*Inputs!$B$1+((Inputs!$G$5:$G$120&lt;&gt;"moeda")*(Inputs!$G$5:$G$120&lt;&gt;"acoes")))*INDEX(Inputs!$K$5:$AJ$120,0,MATCH(F$2,Inputs!$K$4:$AJ$4,0)))+SUMPRODUCT((Inputs!$C$5:$C$120=$B39)*Inputs!$D$5:$D$120*(((Inputs!$G$5:$G$120="moeda")+(Inputs!$G$5:$G$120="acoes"))*Inputs!$B$1+((Inputs!$G$5:$G$120&lt;&gt;"moeda")*(Inputs!$G$5:$G$120&lt;&gt;"acoes")))*INDEX(Inputs!$K$5:$AJ$120,0,MATCH(F$2,Inputs!$K$4:$AJ$4,0)))+SUMPRODUCT((Inputs!$E$5:$E$120=$B39)*Inputs!$F$5:$F$120*(((Inputs!$G$5:$G$120="moeda")+(Inputs!$G$5:$G$120="acoes"))*Inputs!$B$1+((Inputs!$G$5:$G$120&lt;&gt;"moeda")*(Inputs!$G$5:$G$120&lt;&gt;"acoes")))*INDEX(Inputs!$K$5:$AJ$120,0,MATCH(F$2,Inputs!$K$4:$AJ$4,0)))))</f>
        <v>11289</v>
      </c>
      <c r="G39" s="6">
        <f>IF(ISNA(MATCH(G$2,Inputs!$K$4:$AJ$4,0)),NA(),IF(SUMPRODUCT((Inputs!$A$5:$A$120=$B39)*ISNUMBER(INDEX(Inputs!$K$5:$AJ$120,0,MATCH(G$2,Inputs!$K$4:$AJ$4,0))))+SUMPRODUCT((Inputs!$C$5:$C$120=$B39)*ISNUMBER(INDEX(Inputs!$K$5:$AJ$120,0,MATCH(G$2,Inputs!$K$4:$AJ$4,0))))+SUMPRODUCT((Inputs!$E$5:$E$120=$B39)*ISNUMBER(INDEX(Inputs!$K$5:$AJ$120,0,MATCH(G$2,Inputs!$K$4:$AJ$4,0))))=0,NA(),SUMPRODUCT((Inputs!$A$5:$A$120=$B39)*Inputs!$B$5:$B$120*(((Inputs!$G$5:$G$120="moeda")+(Inputs!$G$5:$G$120="acoes"))*Inputs!$B$1+((Inputs!$G$5:$G$120&lt;&gt;"moeda")*(Inputs!$G$5:$G$120&lt;&gt;"acoes")))*INDEX(Inputs!$K$5:$AJ$120,0,MATCH(G$2,Inputs!$K$4:$AJ$4,0)))+SUMPRODUCT((Inputs!$C$5:$C$120=$B39)*Inputs!$D$5:$D$120*(((Inputs!$G$5:$G$120="moeda")+(Inputs!$G$5:$G$120="acoes"))*Inputs!$B$1+((Inputs!$G$5:$G$120&lt;&gt;"moeda")*(Inputs!$G$5:$G$120&lt;&gt;"acoes")))*INDEX(Inputs!$K$5:$AJ$120,0,MATCH(G$2,Inputs!$K$4:$AJ$4,0)))+SUMPRODUCT((Inputs!$E$5:$E$120=$B39)*Inputs!$F$5:$F$120*(((Inputs!$G$5:$G$120="moeda")+(Inputs!$G$5:$G$120="acoes"))*Inputs!$B$1+((Inputs!$G$5:$G$120&lt;&gt;"moeda")*(Inputs!$G$5:$G$120&lt;&gt;"acoes")))*INDEX(Inputs!$K$5:$AJ$120,0,MATCH(G$2,Inputs!$K$4:$AJ$4,0)))))</f>
        <v>10843</v>
      </c>
      <c r="H39" s="3">
        <f>G39</f>
        <v>10843</v>
      </c>
      <c r="I39" s="6">
        <f>IF(ISNA(MATCH(I$2,Inputs!$K$4:$AJ$4,0)),NA(),IF(SUMPRODUCT((Inputs!$A$5:$A$120=$B39)*ISNUMBER(INDEX(Inputs!$K$5:$AJ$120,0,MATCH(I$2,Inputs!$K$4:$AJ$4,0))))+SUMPRODUCT((Inputs!$C$5:$C$120=$B39)*ISNUMBER(INDEX(Inputs!$K$5:$AJ$120,0,MATCH(I$2,Inputs!$K$4:$AJ$4,0))))+SUMPRODUCT((Inputs!$E$5:$E$120=$B39)*ISNUMBER(INDEX(Inputs!$K$5:$AJ$120,0,MATCH(I$2,Inputs!$K$4:$AJ$4,0))))=0,NA(),SUMPRODUCT((Inputs!$A$5:$A$120=$B39)*Inputs!$B$5:$B$120*(((Inputs!$G$5:$G$120="moeda")+(Inputs!$G$5:$G$120="acoes"))*Inputs!$B$1+((Inputs!$G$5:$G$120&lt;&gt;"moeda")*(Inputs!$G$5:$G$120&lt;&gt;"acoes")))*INDEX(Inputs!$K$5:$AJ$120,0,MATCH(I$2,Inputs!$K$4:$AJ$4,0)))+SUMPRODUCT((Inputs!$C$5:$C$120=$B39)*Inputs!$D$5:$D$120*(((Inputs!$G$5:$G$120="moeda")+(Inputs!$G$5:$G$120="acoes"))*Inputs!$B$1+((Inputs!$G$5:$G$120&lt;&gt;"moeda")*(Inputs!$G$5:$G$120&lt;&gt;"acoes")))*INDEX(Inputs!$K$5:$AJ$120,0,MATCH(I$2,Inputs!$K$4:$AJ$4,0)))+SUMPRODUCT((Inputs!$E$5:$E$120=$B39)*Inputs!$F$5:$F$120*(((Inputs!$G$5:$G$120="moeda")+(Inputs!$G$5:$G$120="acoes"))*Inputs!$B$1+((Inputs!$G$5:$G$120&lt;&gt;"moeda")*(Inputs!$G$5:$G$120&lt;&gt;"acoes")))*INDEX(Inputs!$K$5:$AJ$120,0,MATCH(I$2,Inputs!$K$4:$AJ$4,0)))))</f>
        <v>9177</v>
      </c>
      <c r="J39" s="6">
        <f>IF(ISNA(MATCH(J$2,Inputs!$K$4:$AJ$4,0)),NA(),IF(SUMPRODUCT((Inputs!$A$5:$A$120=$B39)*ISNUMBER(INDEX(Inputs!$K$5:$AJ$120,0,MATCH(J$2,Inputs!$K$4:$AJ$4,0))))+SUMPRODUCT((Inputs!$C$5:$C$120=$B39)*ISNUMBER(INDEX(Inputs!$K$5:$AJ$120,0,MATCH(J$2,Inputs!$K$4:$AJ$4,0))))+SUMPRODUCT((Inputs!$E$5:$E$120=$B39)*ISNUMBER(INDEX(Inputs!$K$5:$AJ$120,0,MATCH(J$2,Inputs!$K$4:$AJ$4,0))))=0,NA(),SUMPRODUCT((Inputs!$A$5:$A$120=$B39)*Inputs!$B$5:$B$120*(((Inputs!$G$5:$G$120="moeda")+(Inputs!$G$5:$G$120="acoes"))*Inputs!$B$1+((Inputs!$G$5:$G$120&lt;&gt;"moeda")*(Inputs!$G$5:$G$120&lt;&gt;"acoes")))*INDEX(Inputs!$K$5:$AJ$120,0,MATCH(J$2,Inputs!$K$4:$AJ$4,0)))+SUMPRODUCT((Inputs!$C$5:$C$120=$B39)*Inputs!$D$5:$D$120*(((Inputs!$G$5:$G$120="moeda")+(Inputs!$G$5:$G$120="acoes"))*Inputs!$B$1+((Inputs!$G$5:$G$120&lt;&gt;"moeda")*(Inputs!$G$5:$G$120&lt;&gt;"acoes")))*INDEX(Inputs!$K$5:$AJ$120,0,MATCH(J$2,Inputs!$K$4:$AJ$4,0)))+SUMPRODUCT((Inputs!$E$5:$E$120=$B39)*Inputs!$F$5:$F$120*(((Inputs!$G$5:$G$120="moeda")+(Inputs!$G$5:$G$120="acoes"))*Inputs!$B$1+((Inputs!$G$5:$G$120&lt;&gt;"moeda")*(Inputs!$G$5:$G$120&lt;&gt;"acoes")))*INDEX(Inputs!$K$5:$AJ$120,0,MATCH(J$2,Inputs!$K$4:$AJ$4,0)))))</f>
        <v>9034</v>
      </c>
      <c r="K39" s="6">
        <f>IF(ISNA(MATCH(K$2,Inputs!$K$4:$AJ$4,0)),NA(),IF(SUMPRODUCT((Inputs!$A$5:$A$120=$B39)*ISNUMBER(INDEX(Inputs!$K$5:$AJ$120,0,MATCH(K$2,Inputs!$K$4:$AJ$4,0))))+SUMPRODUCT((Inputs!$C$5:$C$120=$B39)*ISNUMBER(INDEX(Inputs!$K$5:$AJ$120,0,MATCH(K$2,Inputs!$K$4:$AJ$4,0))))+SUMPRODUCT((Inputs!$E$5:$E$120=$B39)*ISNUMBER(INDEX(Inputs!$K$5:$AJ$120,0,MATCH(K$2,Inputs!$K$4:$AJ$4,0))))=0,NA(),SUMPRODUCT((Inputs!$A$5:$A$120=$B39)*Inputs!$B$5:$B$120*(((Inputs!$G$5:$G$120="moeda")+(Inputs!$G$5:$G$120="acoes"))*Inputs!$B$1+((Inputs!$G$5:$G$120&lt;&gt;"moeda")*(Inputs!$G$5:$G$120&lt;&gt;"acoes")))*INDEX(Inputs!$K$5:$AJ$120,0,MATCH(K$2,Inputs!$K$4:$AJ$4,0)))+SUMPRODUCT((Inputs!$C$5:$C$120=$B39)*Inputs!$D$5:$D$120*(((Inputs!$G$5:$G$120="moeda")+(Inputs!$G$5:$G$120="acoes"))*Inputs!$B$1+((Inputs!$G$5:$G$120&lt;&gt;"moeda")*(Inputs!$G$5:$G$120&lt;&gt;"acoes")))*INDEX(Inputs!$K$5:$AJ$120,0,MATCH(K$2,Inputs!$K$4:$AJ$4,0)))+SUMPRODUCT((Inputs!$E$5:$E$120=$B39)*Inputs!$F$5:$F$120*(((Inputs!$G$5:$G$120="moeda")+(Inputs!$G$5:$G$120="acoes"))*Inputs!$B$1+((Inputs!$G$5:$G$120&lt;&gt;"moeda")*(Inputs!$G$5:$G$120&lt;&gt;"acoes")))*INDEX(Inputs!$K$5:$AJ$120,0,MATCH(K$2,Inputs!$K$4:$AJ$4,0)))))</f>
        <v>8691</v>
      </c>
      <c r="L39" s="6">
        <f>IF(ISNA(MATCH(L$2,Inputs!$K$4:$AJ$4,0)),NA(),IF(SUMPRODUCT((Inputs!$A$5:$A$120=$B39)*ISNUMBER(INDEX(Inputs!$K$5:$AJ$120,0,MATCH(L$2,Inputs!$K$4:$AJ$4,0))))+SUMPRODUCT((Inputs!$C$5:$C$120=$B39)*ISNUMBER(INDEX(Inputs!$K$5:$AJ$120,0,MATCH(L$2,Inputs!$K$4:$AJ$4,0))))+SUMPRODUCT((Inputs!$E$5:$E$120=$B39)*ISNUMBER(INDEX(Inputs!$K$5:$AJ$120,0,MATCH(L$2,Inputs!$K$4:$AJ$4,0))))=0,NA(),SUMPRODUCT((Inputs!$A$5:$A$120=$B39)*Inputs!$B$5:$B$120*(((Inputs!$G$5:$G$120="moeda")+(Inputs!$G$5:$G$120="acoes"))*Inputs!$B$1+((Inputs!$G$5:$G$120&lt;&gt;"moeda")*(Inputs!$G$5:$G$120&lt;&gt;"acoes")))*INDEX(Inputs!$K$5:$AJ$120,0,MATCH(L$2,Inputs!$K$4:$AJ$4,0)))+SUMPRODUCT((Inputs!$C$5:$C$120=$B39)*Inputs!$D$5:$D$120*(((Inputs!$G$5:$G$120="moeda")+(Inputs!$G$5:$G$120="acoes"))*Inputs!$B$1+((Inputs!$G$5:$G$120&lt;&gt;"moeda")*(Inputs!$G$5:$G$120&lt;&gt;"acoes")))*INDEX(Inputs!$K$5:$AJ$120,0,MATCH(L$2,Inputs!$K$4:$AJ$4,0)))+SUMPRODUCT((Inputs!$E$5:$E$120=$B39)*Inputs!$F$5:$F$120*(((Inputs!$G$5:$G$120="moeda")+(Inputs!$G$5:$G$120="acoes"))*Inputs!$B$1+((Inputs!$G$5:$G$120&lt;&gt;"moeda")*(Inputs!$G$5:$G$120&lt;&gt;"acoes")))*INDEX(Inputs!$K$5:$AJ$120,0,MATCH(L$2,Inputs!$K$4:$AJ$4,0)))))</f>
        <v>9731</v>
      </c>
      <c r="M39" s="3">
        <f>L39</f>
        <v>9731</v>
      </c>
      <c r="N39" s="6">
        <f>IF(ISNA(MATCH(N$2,Inputs!$K$4:$AJ$4,0)),NA(),IF(SUMPRODUCT((Inputs!$A$5:$A$120=$B39)*ISNUMBER(INDEX(Inputs!$K$5:$AJ$120,0,MATCH(N$2,Inputs!$K$4:$AJ$4,0))))+SUMPRODUCT((Inputs!$C$5:$C$120=$B39)*ISNUMBER(INDEX(Inputs!$K$5:$AJ$120,0,MATCH(N$2,Inputs!$K$4:$AJ$4,0))))+SUMPRODUCT((Inputs!$E$5:$E$120=$B39)*ISNUMBER(INDEX(Inputs!$K$5:$AJ$120,0,MATCH(N$2,Inputs!$K$4:$AJ$4,0))))=0,NA(),SUMPRODUCT((Inputs!$A$5:$A$120=$B39)*Inputs!$B$5:$B$120*(((Inputs!$G$5:$G$120="moeda")+(Inputs!$G$5:$G$120="acoes"))*Inputs!$B$1+((Inputs!$G$5:$G$120&lt;&gt;"moeda")*(Inputs!$G$5:$G$120&lt;&gt;"acoes")))*INDEX(Inputs!$K$5:$AJ$120,0,MATCH(N$2,Inputs!$K$4:$AJ$4,0)))+SUMPRODUCT((Inputs!$C$5:$C$120=$B39)*Inputs!$D$5:$D$120*(((Inputs!$G$5:$G$120="moeda")+(Inputs!$G$5:$G$120="acoes"))*Inputs!$B$1+((Inputs!$G$5:$G$120&lt;&gt;"moeda")*(Inputs!$G$5:$G$120&lt;&gt;"acoes")))*INDEX(Inputs!$K$5:$AJ$120,0,MATCH(N$2,Inputs!$K$4:$AJ$4,0)))+SUMPRODUCT((Inputs!$E$5:$E$120=$B39)*Inputs!$F$5:$F$120*(((Inputs!$G$5:$G$120="moeda")+(Inputs!$G$5:$G$120="acoes"))*Inputs!$B$1+((Inputs!$G$5:$G$120&lt;&gt;"moeda")*(Inputs!$G$5:$G$120&lt;&gt;"acoes")))*INDEX(Inputs!$K$5:$AJ$120,0,MATCH(N$2,Inputs!$K$4:$AJ$4,0)))))</f>
        <v>10162</v>
      </c>
      <c r="O39" s="6">
        <f>IF(ISNA(MATCH(O$2,Inputs!$K$4:$AJ$4,0)),NA(),IF(SUMPRODUCT((Inputs!$A$5:$A$120=$B39)*ISNUMBER(INDEX(Inputs!$K$5:$AJ$120,0,MATCH(O$2,Inputs!$K$4:$AJ$4,0))))+SUMPRODUCT((Inputs!$C$5:$C$120=$B39)*ISNUMBER(INDEX(Inputs!$K$5:$AJ$120,0,MATCH(O$2,Inputs!$K$4:$AJ$4,0))))+SUMPRODUCT((Inputs!$E$5:$E$120=$B39)*ISNUMBER(INDEX(Inputs!$K$5:$AJ$120,0,MATCH(O$2,Inputs!$K$4:$AJ$4,0))))=0,NA(),SUMPRODUCT((Inputs!$A$5:$A$120=$B39)*Inputs!$B$5:$B$120*(((Inputs!$G$5:$G$120="moeda")+(Inputs!$G$5:$G$120="acoes"))*Inputs!$B$1+((Inputs!$G$5:$G$120&lt;&gt;"moeda")*(Inputs!$G$5:$G$120&lt;&gt;"acoes")))*INDEX(Inputs!$K$5:$AJ$120,0,MATCH(O$2,Inputs!$K$4:$AJ$4,0)))+SUMPRODUCT((Inputs!$C$5:$C$120=$B39)*Inputs!$D$5:$D$120*(((Inputs!$G$5:$G$120="moeda")+(Inputs!$G$5:$G$120="acoes"))*Inputs!$B$1+((Inputs!$G$5:$G$120&lt;&gt;"moeda")*(Inputs!$G$5:$G$120&lt;&gt;"acoes")))*INDEX(Inputs!$K$5:$AJ$120,0,MATCH(O$2,Inputs!$K$4:$AJ$4,0)))+SUMPRODUCT((Inputs!$E$5:$E$120=$B39)*Inputs!$F$5:$F$120*(((Inputs!$G$5:$G$120="moeda")+(Inputs!$G$5:$G$120="acoes"))*Inputs!$B$1+((Inputs!$G$5:$G$120&lt;&gt;"moeda")*(Inputs!$G$5:$G$120&lt;&gt;"acoes")))*INDEX(Inputs!$K$5:$AJ$120,0,MATCH(O$2,Inputs!$K$4:$AJ$4,0)))))</f>
        <v>10817</v>
      </c>
      <c r="P39" s="6">
        <f>IF(ISNA(MATCH(P$2,Inputs!$K$4:$AJ$4,0)),NA(),IF(SUMPRODUCT((Inputs!$A$5:$A$120=$B39)*ISNUMBER(INDEX(Inputs!$K$5:$AJ$120,0,MATCH(P$2,Inputs!$K$4:$AJ$4,0))))+SUMPRODUCT((Inputs!$C$5:$C$120=$B39)*ISNUMBER(INDEX(Inputs!$K$5:$AJ$120,0,MATCH(P$2,Inputs!$K$4:$AJ$4,0))))+SUMPRODUCT((Inputs!$E$5:$E$120=$B39)*ISNUMBER(INDEX(Inputs!$K$5:$AJ$120,0,MATCH(P$2,Inputs!$K$4:$AJ$4,0))))=0,NA(),SUMPRODUCT((Inputs!$A$5:$A$120=$B39)*Inputs!$B$5:$B$120*(((Inputs!$G$5:$G$120="moeda")+(Inputs!$G$5:$G$120="acoes"))*Inputs!$B$1+((Inputs!$G$5:$G$120&lt;&gt;"moeda")*(Inputs!$G$5:$G$120&lt;&gt;"acoes")))*INDEX(Inputs!$K$5:$AJ$120,0,MATCH(P$2,Inputs!$K$4:$AJ$4,0)))+SUMPRODUCT((Inputs!$C$5:$C$120=$B39)*Inputs!$D$5:$D$120*(((Inputs!$G$5:$G$120="moeda")+(Inputs!$G$5:$G$120="acoes"))*Inputs!$B$1+((Inputs!$G$5:$G$120&lt;&gt;"moeda")*(Inputs!$G$5:$G$120&lt;&gt;"acoes")))*INDEX(Inputs!$K$5:$AJ$120,0,MATCH(P$2,Inputs!$K$4:$AJ$4,0)))+SUMPRODUCT((Inputs!$E$5:$E$120=$B39)*Inputs!$F$5:$F$120*(((Inputs!$G$5:$G$120="moeda")+(Inputs!$G$5:$G$120="acoes"))*Inputs!$B$1+((Inputs!$G$5:$G$120&lt;&gt;"moeda")*(Inputs!$G$5:$G$120&lt;&gt;"acoes")))*INDEX(Inputs!$K$5:$AJ$120,0,MATCH(P$2,Inputs!$K$4:$AJ$4,0)))))</f>
        <v>12806</v>
      </c>
      <c r="Q39" s="6">
        <f>IF(ISNA(MATCH(Q$2,Inputs!$K$4:$AJ$4,0)),NA(),IF(SUMPRODUCT((Inputs!$A$5:$A$120=$B39)*ISNUMBER(INDEX(Inputs!$K$5:$AJ$120,0,MATCH(Q$2,Inputs!$K$4:$AJ$4,0))))+SUMPRODUCT((Inputs!$C$5:$C$120=$B39)*ISNUMBER(INDEX(Inputs!$K$5:$AJ$120,0,MATCH(Q$2,Inputs!$K$4:$AJ$4,0))))+SUMPRODUCT((Inputs!$E$5:$E$120=$B39)*ISNUMBER(INDEX(Inputs!$K$5:$AJ$120,0,MATCH(Q$2,Inputs!$K$4:$AJ$4,0))))=0,NA(),SUMPRODUCT((Inputs!$A$5:$A$120=$B39)*Inputs!$B$5:$B$120*(((Inputs!$G$5:$G$120="moeda")+(Inputs!$G$5:$G$120="acoes"))*Inputs!$B$1+((Inputs!$G$5:$G$120&lt;&gt;"moeda")*(Inputs!$G$5:$G$120&lt;&gt;"acoes")))*INDEX(Inputs!$K$5:$AJ$120,0,MATCH(Q$2,Inputs!$K$4:$AJ$4,0)))+SUMPRODUCT((Inputs!$C$5:$C$120=$B39)*Inputs!$D$5:$D$120*(((Inputs!$G$5:$G$120="moeda")+(Inputs!$G$5:$G$120="acoes"))*Inputs!$B$1+((Inputs!$G$5:$G$120&lt;&gt;"moeda")*(Inputs!$G$5:$G$120&lt;&gt;"acoes")))*INDEX(Inputs!$K$5:$AJ$120,0,MATCH(Q$2,Inputs!$K$4:$AJ$4,0)))+SUMPRODUCT((Inputs!$E$5:$E$120=$B39)*Inputs!$F$5:$F$120*(((Inputs!$G$5:$G$120="moeda")+(Inputs!$G$5:$G$120="acoes"))*Inputs!$B$1+((Inputs!$G$5:$G$120&lt;&gt;"moeda")*(Inputs!$G$5:$G$120&lt;&gt;"acoes")))*INDEX(Inputs!$K$5:$AJ$120,0,MATCH(Q$2,Inputs!$K$4:$AJ$4,0)))))</f>
        <v>14261</v>
      </c>
      <c r="R39" s="3">
        <f>Q39</f>
        <v>14261</v>
      </c>
      <c r="S39" s="6">
        <f>IF(ISNA(MATCH(S$2,Inputs!$K$4:$AJ$4,0)),NA(),IF(SUMPRODUCT((Inputs!$A$5:$A$120=$B39)*ISNUMBER(INDEX(Inputs!$K$5:$AJ$120,0,MATCH(S$2,Inputs!$K$4:$AJ$4,0))))+SUMPRODUCT((Inputs!$C$5:$C$120=$B39)*ISNUMBER(INDEX(Inputs!$K$5:$AJ$120,0,MATCH(S$2,Inputs!$K$4:$AJ$4,0))))+SUMPRODUCT((Inputs!$E$5:$E$120=$B39)*ISNUMBER(INDEX(Inputs!$K$5:$AJ$120,0,MATCH(S$2,Inputs!$K$4:$AJ$4,0))))=0,NA(),SUMPRODUCT((Inputs!$A$5:$A$120=$B39)*Inputs!$B$5:$B$120*(((Inputs!$G$5:$G$120="moeda")+(Inputs!$G$5:$G$120="acoes"))*Inputs!$B$1+((Inputs!$G$5:$G$120&lt;&gt;"moeda")*(Inputs!$G$5:$G$120&lt;&gt;"acoes")))*INDEX(Inputs!$K$5:$AJ$120,0,MATCH(S$2,Inputs!$K$4:$AJ$4,0)))+SUMPRODUCT((Inputs!$C$5:$C$120=$B39)*Inputs!$D$5:$D$120*(((Inputs!$G$5:$G$120="moeda")+(Inputs!$G$5:$G$120="acoes"))*Inputs!$B$1+((Inputs!$G$5:$G$120&lt;&gt;"moeda")*(Inputs!$G$5:$G$120&lt;&gt;"acoes")))*INDEX(Inputs!$K$5:$AJ$120,0,MATCH(S$2,Inputs!$K$4:$AJ$4,0)))+SUMPRODUCT((Inputs!$E$5:$E$120=$B39)*Inputs!$F$5:$F$120*(((Inputs!$G$5:$G$120="moeda")+(Inputs!$G$5:$G$120="acoes"))*Inputs!$B$1+((Inputs!$G$5:$G$120&lt;&gt;"moeda")*(Inputs!$G$5:$G$120&lt;&gt;"acoes")))*INDEX(Inputs!$K$5:$AJ$120,0,MATCH(S$2,Inputs!$K$4:$AJ$4,0)))))</f>
        <v>14593</v>
      </c>
      <c r="T39" s="6">
        <f>IF(ISNA(MATCH(T$2,Inputs!$K$4:$AJ$4,0)),NA(),IF(SUMPRODUCT((Inputs!$A$5:$A$120=$B39)*ISNUMBER(INDEX(Inputs!$K$5:$AJ$120,0,MATCH(T$2,Inputs!$K$4:$AJ$4,0))))+SUMPRODUCT((Inputs!$C$5:$C$120=$B39)*ISNUMBER(INDEX(Inputs!$K$5:$AJ$120,0,MATCH(T$2,Inputs!$K$4:$AJ$4,0))))+SUMPRODUCT((Inputs!$E$5:$E$120=$B39)*ISNUMBER(INDEX(Inputs!$K$5:$AJ$120,0,MATCH(T$2,Inputs!$K$4:$AJ$4,0))))=0,NA(),SUMPRODUCT((Inputs!$A$5:$A$120=$B39)*Inputs!$B$5:$B$120*(((Inputs!$G$5:$G$120="moeda")+(Inputs!$G$5:$G$120="acoes"))*Inputs!$B$1+((Inputs!$G$5:$G$120&lt;&gt;"moeda")*(Inputs!$G$5:$G$120&lt;&gt;"acoes")))*INDEX(Inputs!$K$5:$AJ$120,0,MATCH(T$2,Inputs!$K$4:$AJ$4,0)))+SUMPRODUCT((Inputs!$C$5:$C$120=$B39)*Inputs!$D$5:$D$120*(((Inputs!$G$5:$G$120="moeda")+(Inputs!$G$5:$G$120="acoes"))*Inputs!$B$1+((Inputs!$G$5:$G$120&lt;&gt;"moeda")*(Inputs!$G$5:$G$120&lt;&gt;"acoes")))*INDEX(Inputs!$K$5:$AJ$120,0,MATCH(T$2,Inputs!$K$4:$AJ$4,0)))+SUMPRODUCT((Inputs!$E$5:$E$120=$B39)*Inputs!$F$5:$F$120*(((Inputs!$G$5:$G$120="moeda")+(Inputs!$G$5:$G$120="acoes"))*Inputs!$B$1+((Inputs!$G$5:$G$120&lt;&gt;"moeda")*(Inputs!$G$5:$G$120&lt;&gt;"acoes")))*INDEX(Inputs!$K$5:$AJ$120,0,MATCH(T$2,Inputs!$K$4:$AJ$4,0)))))</f>
        <v>17840</v>
      </c>
      <c r="U39" s="6">
        <f>IF(ISNA(MATCH(U$2,Inputs!$K$4:$AJ$4,0)),NA(),IF(SUMPRODUCT((Inputs!$A$5:$A$120=$B39)*ISNUMBER(INDEX(Inputs!$K$5:$AJ$120,0,MATCH(U$2,Inputs!$K$4:$AJ$4,0))))+SUMPRODUCT((Inputs!$C$5:$C$120=$B39)*ISNUMBER(INDEX(Inputs!$K$5:$AJ$120,0,MATCH(U$2,Inputs!$K$4:$AJ$4,0))))+SUMPRODUCT((Inputs!$E$5:$E$120=$B39)*ISNUMBER(INDEX(Inputs!$K$5:$AJ$120,0,MATCH(U$2,Inputs!$K$4:$AJ$4,0))))=0,NA(),SUMPRODUCT((Inputs!$A$5:$A$120=$B39)*Inputs!$B$5:$B$120*(((Inputs!$G$5:$G$120="moeda")+(Inputs!$G$5:$G$120="acoes"))*Inputs!$B$1+((Inputs!$G$5:$G$120&lt;&gt;"moeda")*(Inputs!$G$5:$G$120&lt;&gt;"acoes")))*INDEX(Inputs!$K$5:$AJ$120,0,MATCH(U$2,Inputs!$K$4:$AJ$4,0)))+SUMPRODUCT((Inputs!$C$5:$C$120=$B39)*Inputs!$D$5:$D$120*(((Inputs!$G$5:$G$120="moeda")+(Inputs!$G$5:$G$120="acoes"))*Inputs!$B$1+((Inputs!$G$5:$G$120&lt;&gt;"moeda")*(Inputs!$G$5:$G$120&lt;&gt;"acoes")))*INDEX(Inputs!$K$5:$AJ$120,0,MATCH(U$2,Inputs!$K$4:$AJ$4,0)))+SUMPRODUCT((Inputs!$E$5:$E$120=$B39)*Inputs!$F$5:$F$120*(((Inputs!$G$5:$G$120="moeda")+(Inputs!$G$5:$G$120="acoes"))*Inputs!$B$1+((Inputs!$G$5:$G$120&lt;&gt;"moeda")*(Inputs!$G$5:$G$120&lt;&gt;"acoes")))*INDEX(Inputs!$K$5:$AJ$120,0,MATCH(U$2,Inputs!$K$4:$AJ$4,0)))))</f>
        <v>18565</v>
      </c>
      <c r="V39" s="6">
        <f>IF(ISNA(MATCH(V$2,Inputs!$K$4:$AJ$4,0)),NA(),IF(SUMPRODUCT((Inputs!$A$5:$A$120=$B39)*ISNUMBER(INDEX(Inputs!$K$5:$AJ$120,0,MATCH(V$2,Inputs!$K$4:$AJ$4,0))))+SUMPRODUCT((Inputs!$C$5:$C$120=$B39)*ISNUMBER(INDEX(Inputs!$K$5:$AJ$120,0,MATCH(V$2,Inputs!$K$4:$AJ$4,0))))+SUMPRODUCT((Inputs!$E$5:$E$120=$B39)*ISNUMBER(INDEX(Inputs!$K$5:$AJ$120,0,MATCH(V$2,Inputs!$K$4:$AJ$4,0))))=0,NA(),SUMPRODUCT((Inputs!$A$5:$A$120=$B39)*Inputs!$B$5:$B$120*(((Inputs!$G$5:$G$120="moeda")+(Inputs!$G$5:$G$120="acoes"))*Inputs!$B$1+((Inputs!$G$5:$G$120&lt;&gt;"moeda")*(Inputs!$G$5:$G$120&lt;&gt;"acoes")))*INDEX(Inputs!$K$5:$AJ$120,0,MATCH(V$2,Inputs!$K$4:$AJ$4,0)))+SUMPRODUCT((Inputs!$C$5:$C$120=$B39)*Inputs!$D$5:$D$120*(((Inputs!$G$5:$G$120="moeda")+(Inputs!$G$5:$G$120="acoes"))*Inputs!$B$1+((Inputs!$G$5:$G$120&lt;&gt;"moeda")*(Inputs!$G$5:$G$120&lt;&gt;"acoes")))*INDEX(Inputs!$K$5:$AJ$120,0,MATCH(V$2,Inputs!$K$4:$AJ$4,0)))+SUMPRODUCT((Inputs!$E$5:$E$120=$B39)*Inputs!$F$5:$F$120*(((Inputs!$G$5:$G$120="moeda")+(Inputs!$G$5:$G$120="acoes"))*Inputs!$B$1+((Inputs!$G$5:$G$120&lt;&gt;"moeda")*(Inputs!$G$5:$G$120&lt;&gt;"acoes")))*INDEX(Inputs!$K$5:$AJ$120,0,MATCH(V$2,Inputs!$K$4:$AJ$4,0)))))</f>
        <v>19569</v>
      </c>
      <c r="W39" s="3">
        <f>V39</f>
        <v>19569</v>
      </c>
      <c r="X39" s="6">
        <f>IF(ISNA(MATCH(X$2,Inputs!$K$4:$AJ$4,0)),NA(),IF(SUMPRODUCT((Inputs!$A$5:$A$120=$B39)*ISNUMBER(INDEX(Inputs!$K$5:$AJ$120,0,MATCH(X$2,Inputs!$K$4:$AJ$4,0))))+SUMPRODUCT((Inputs!$C$5:$C$120=$B39)*ISNUMBER(INDEX(Inputs!$K$5:$AJ$120,0,MATCH(X$2,Inputs!$K$4:$AJ$4,0))))+SUMPRODUCT((Inputs!$E$5:$E$120=$B39)*ISNUMBER(INDEX(Inputs!$K$5:$AJ$120,0,MATCH(X$2,Inputs!$K$4:$AJ$4,0))))=0,NA(),SUMPRODUCT((Inputs!$A$5:$A$120=$B39)*Inputs!$B$5:$B$120*(((Inputs!$G$5:$G$120="moeda")+(Inputs!$G$5:$G$120="acoes"))*Inputs!$B$1+((Inputs!$G$5:$G$120&lt;&gt;"moeda")*(Inputs!$G$5:$G$120&lt;&gt;"acoes")))*INDEX(Inputs!$K$5:$AJ$120,0,MATCH(X$2,Inputs!$K$4:$AJ$4,0)))+SUMPRODUCT((Inputs!$C$5:$C$120=$B39)*Inputs!$D$5:$D$120*(((Inputs!$G$5:$G$120="moeda")+(Inputs!$G$5:$G$120="acoes"))*Inputs!$B$1+((Inputs!$G$5:$G$120&lt;&gt;"moeda")*(Inputs!$G$5:$G$120&lt;&gt;"acoes")))*INDEX(Inputs!$K$5:$AJ$120,0,MATCH(X$2,Inputs!$K$4:$AJ$4,0)))+SUMPRODUCT((Inputs!$E$5:$E$120=$B39)*Inputs!$F$5:$F$120*(((Inputs!$G$5:$G$120="moeda")+(Inputs!$G$5:$G$120="acoes"))*Inputs!$B$1+((Inputs!$G$5:$G$120&lt;&gt;"moeda")*(Inputs!$G$5:$G$120&lt;&gt;"acoes")))*INDEX(Inputs!$K$5:$AJ$120,0,MATCH(X$2,Inputs!$K$4:$AJ$4,0)))))</f>
        <v>19940</v>
      </c>
      <c r="Y39" s="6">
        <f>IF(ISNA(MATCH(Y$2,Inputs!$K$4:$AJ$4,0)),NA(),IF(SUMPRODUCT((Inputs!$A$5:$A$120=$B39)*ISNUMBER(INDEX(Inputs!$K$5:$AJ$120,0,MATCH(Y$2,Inputs!$K$4:$AJ$4,0))))+SUMPRODUCT((Inputs!$C$5:$C$120=$B39)*ISNUMBER(INDEX(Inputs!$K$5:$AJ$120,0,MATCH(Y$2,Inputs!$K$4:$AJ$4,0))))+SUMPRODUCT((Inputs!$E$5:$E$120=$B39)*ISNUMBER(INDEX(Inputs!$K$5:$AJ$120,0,MATCH(Y$2,Inputs!$K$4:$AJ$4,0))))=0,NA(),SUMPRODUCT((Inputs!$A$5:$A$120=$B39)*Inputs!$B$5:$B$120*(((Inputs!$G$5:$G$120="moeda")+(Inputs!$G$5:$G$120="acoes"))*Inputs!$B$1+((Inputs!$G$5:$G$120&lt;&gt;"moeda")*(Inputs!$G$5:$G$120&lt;&gt;"acoes")))*INDEX(Inputs!$K$5:$AJ$120,0,MATCH(Y$2,Inputs!$K$4:$AJ$4,0)))+SUMPRODUCT((Inputs!$C$5:$C$120=$B39)*Inputs!$D$5:$D$120*(((Inputs!$G$5:$G$120="moeda")+(Inputs!$G$5:$G$120="acoes"))*Inputs!$B$1+((Inputs!$G$5:$G$120&lt;&gt;"moeda")*(Inputs!$G$5:$G$120&lt;&gt;"acoes")))*INDEX(Inputs!$K$5:$AJ$120,0,MATCH(Y$2,Inputs!$K$4:$AJ$4,0)))+SUMPRODUCT((Inputs!$E$5:$E$120=$B39)*Inputs!$F$5:$F$120*(((Inputs!$G$5:$G$120="moeda")+(Inputs!$G$5:$G$120="acoes"))*Inputs!$B$1+((Inputs!$G$5:$G$120&lt;&gt;"moeda")*(Inputs!$G$5:$G$120&lt;&gt;"acoes")))*INDEX(Inputs!$K$5:$AJ$120,0,MATCH(Y$2,Inputs!$K$4:$AJ$4,0)))))</f>
        <v>20487</v>
      </c>
      <c r="Z39" s="6">
        <f>IF(ISNA(MATCH(Z$2,Inputs!$K$4:$AJ$4,0)),NA(),IF(SUMPRODUCT((Inputs!$A$5:$A$120=$B39)*ISNUMBER(INDEX(Inputs!$K$5:$AJ$120,0,MATCH(Z$2,Inputs!$K$4:$AJ$4,0))))+SUMPRODUCT((Inputs!$C$5:$C$120=$B39)*ISNUMBER(INDEX(Inputs!$K$5:$AJ$120,0,MATCH(Z$2,Inputs!$K$4:$AJ$4,0))))+SUMPRODUCT((Inputs!$E$5:$E$120=$B39)*ISNUMBER(INDEX(Inputs!$K$5:$AJ$120,0,MATCH(Z$2,Inputs!$K$4:$AJ$4,0))))=0,NA(),SUMPRODUCT((Inputs!$A$5:$A$120=$B39)*Inputs!$B$5:$B$120*(((Inputs!$G$5:$G$120="moeda")+(Inputs!$G$5:$G$120="acoes"))*Inputs!$B$1+((Inputs!$G$5:$G$120&lt;&gt;"moeda")*(Inputs!$G$5:$G$120&lt;&gt;"acoes")))*INDEX(Inputs!$K$5:$AJ$120,0,MATCH(Z$2,Inputs!$K$4:$AJ$4,0)))+SUMPRODUCT((Inputs!$C$5:$C$120=$B39)*Inputs!$D$5:$D$120*(((Inputs!$G$5:$G$120="moeda")+(Inputs!$G$5:$G$120="acoes"))*Inputs!$B$1+((Inputs!$G$5:$G$120&lt;&gt;"moeda")*(Inputs!$G$5:$G$120&lt;&gt;"acoes")))*INDEX(Inputs!$K$5:$AJ$120,0,MATCH(Z$2,Inputs!$K$4:$AJ$4,0)))+SUMPRODUCT((Inputs!$E$5:$E$120=$B39)*Inputs!$F$5:$F$120*(((Inputs!$G$5:$G$120="moeda")+(Inputs!$G$5:$G$120="acoes"))*Inputs!$B$1+((Inputs!$G$5:$G$120&lt;&gt;"moeda")*(Inputs!$G$5:$G$120&lt;&gt;"acoes")))*INDEX(Inputs!$K$5:$AJ$120,0,MATCH(Z$2,Inputs!$K$4:$AJ$4,0)))))</f>
        <v>21729</v>
      </c>
      <c r="AA39" s="6">
        <f>IF(ISNA(MATCH(AA$2,Inputs!$K$4:$AJ$4,0)),NA(),IF(SUMPRODUCT((Inputs!$A$5:$A$120=$B39)*ISNUMBER(INDEX(Inputs!$K$5:$AJ$120,0,MATCH(AA$2,Inputs!$K$4:$AJ$4,0))))+SUMPRODUCT((Inputs!$C$5:$C$120=$B39)*ISNUMBER(INDEX(Inputs!$K$5:$AJ$120,0,MATCH(AA$2,Inputs!$K$4:$AJ$4,0))))+SUMPRODUCT((Inputs!$E$5:$E$120=$B39)*ISNUMBER(INDEX(Inputs!$K$5:$AJ$120,0,MATCH(AA$2,Inputs!$K$4:$AJ$4,0))))=0,NA(),SUMPRODUCT((Inputs!$A$5:$A$120=$B39)*Inputs!$B$5:$B$120*(((Inputs!$G$5:$G$120="moeda")+(Inputs!$G$5:$G$120="acoes"))*Inputs!$B$1+((Inputs!$G$5:$G$120&lt;&gt;"moeda")*(Inputs!$G$5:$G$120&lt;&gt;"acoes")))*INDEX(Inputs!$K$5:$AJ$120,0,MATCH(AA$2,Inputs!$K$4:$AJ$4,0)))+SUMPRODUCT((Inputs!$C$5:$C$120=$B39)*Inputs!$D$5:$D$120*(((Inputs!$G$5:$G$120="moeda")+(Inputs!$G$5:$G$120="acoes"))*Inputs!$B$1+((Inputs!$G$5:$G$120&lt;&gt;"moeda")*(Inputs!$G$5:$G$120&lt;&gt;"acoes")))*INDEX(Inputs!$K$5:$AJ$120,0,MATCH(AA$2,Inputs!$K$4:$AJ$4,0)))+SUMPRODUCT((Inputs!$E$5:$E$120=$B39)*Inputs!$F$5:$F$120*(((Inputs!$G$5:$G$120="moeda")+(Inputs!$G$5:$G$120="acoes"))*Inputs!$B$1+((Inputs!$G$5:$G$120&lt;&gt;"moeda")*(Inputs!$G$5:$G$120&lt;&gt;"acoes")))*INDEX(Inputs!$K$5:$AJ$120,0,MATCH(AA$2,Inputs!$K$4:$AJ$4,0)))))</f>
        <v>23227</v>
      </c>
      <c r="AB39" s="3">
        <f>AA39</f>
        <v>23227</v>
      </c>
      <c r="AC39" s="6">
        <f>IF(ISNA(MATCH(AC$2,Inputs!$K$4:$AJ$4,0)),NA(),IF(SUMPRODUCT((Inputs!$A$5:$A$120=$B39)*ISNUMBER(INDEX(Inputs!$K$5:$AJ$120,0,MATCH(AC$2,Inputs!$K$4:$AJ$4,0))))+SUMPRODUCT((Inputs!$C$5:$C$120=$B39)*ISNUMBER(INDEX(Inputs!$K$5:$AJ$120,0,MATCH(AC$2,Inputs!$K$4:$AJ$4,0))))+SUMPRODUCT((Inputs!$E$5:$E$120=$B39)*ISNUMBER(INDEX(Inputs!$K$5:$AJ$120,0,MATCH(AC$2,Inputs!$K$4:$AJ$4,0))))=0,NA(),SUMPRODUCT((Inputs!$A$5:$A$120=$B39)*Inputs!$B$5:$B$120*(((Inputs!$G$5:$G$120="moeda")+(Inputs!$G$5:$G$120="acoes"))*Inputs!$B$1+((Inputs!$G$5:$G$120&lt;&gt;"moeda")*(Inputs!$G$5:$G$120&lt;&gt;"acoes")))*INDEX(Inputs!$K$5:$AJ$120,0,MATCH(AC$2,Inputs!$K$4:$AJ$4,0)))+SUMPRODUCT((Inputs!$C$5:$C$120=$B39)*Inputs!$D$5:$D$120*(((Inputs!$G$5:$G$120="moeda")+(Inputs!$G$5:$G$120="acoes"))*Inputs!$B$1+((Inputs!$G$5:$G$120&lt;&gt;"moeda")*(Inputs!$G$5:$G$120&lt;&gt;"acoes")))*INDEX(Inputs!$K$5:$AJ$120,0,MATCH(AC$2,Inputs!$K$4:$AJ$4,0)))+SUMPRODUCT((Inputs!$E$5:$E$120=$B39)*Inputs!$F$5:$F$120*(((Inputs!$G$5:$G$120="moeda")+(Inputs!$G$5:$G$120="acoes"))*Inputs!$B$1+((Inputs!$G$5:$G$120&lt;&gt;"moeda")*(Inputs!$G$5:$G$120&lt;&gt;"acoes")))*INDEX(Inputs!$K$5:$AJ$120,0,MATCH(AC$2,Inputs!$K$4:$AJ$4,0)))))</f>
        <v>24784</v>
      </c>
      <c r="AD39" s="6">
        <f>IF(ISNA(MATCH(AD$2,Inputs!$K$4:$AJ$4,0)),NA(),IF(SUMPRODUCT((Inputs!$A$5:$A$120=$B39)*ISNUMBER(INDEX(Inputs!$K$5:$AJ$120,0,MATCH(AD$2,Inputs!$K$4:$AJ$4,0))))+SUMPRODUCT((Inputs!$C$5:$C$120=$B39)*ISNUMBER(INDEX(Inputs!$K$5:$AJ$120,0,MATCH(AD$2,Inputs!$K$4:$AJ$4,0))))+SUMPRODUCT((Inputs!$E$5:$E$120=$B39)*ISNUMBER(INDEX(Inputs!$K$5:$AJ$120,0,MATCH(AD$2,Inputs!$K$4:$AJ$4,0))))=0,NA(),SUMPRODUCT((Inputs!$A$5:$A$120=$B39)*Inputs!$B$5:$B$120*(((Inputs!$G$5:$G$120="moeda")+(Inputs!$G$5:$G$120="acoes"))*Inputs!$B$1+((Inputs!$G$5:$G$120&lt;&gt;"moeda")*(Inputs!$G$5:$G$120&lt;&gt;"acoes")))*INDEX(Inputs!$K$5:$AJ$120,0,MATCH(AD$2,Inputs!$K$4:$AJ$4,0)))+SUMPRODUCT((Inputs!$C$5:$C$120=$B39)*Inputs!$D$5:$D$120*(((Inputs!$G$5:$G$120="moeda")+(Inputs!$G$5:$G$120="acoes"))*Inputs!$B$1+((Inputs!$G$5:$G$120&lt;&gt;"moeda")*(Inputs!$G$5:$G$120&lt;&gt;"acoes")))*INDEX(Inputs!$K$5:$AJ$120,0,MATCH(AD$2,Inputs!$K$4:$AJ$4,0)))+SUMPRODUCT((Inputs!$E$5:$E$120=$B39)*Inputs!$F$5:$F$120*(((Inputs!$G$5:$G$120="moeda")+(Inputs!$G$5:$G$120="acoes"))*Inputs!$B$1+((Inputs!$G$5:$G$120&lt;&gt;"moeda")*(Inputs!$G$5:$G$120&lt;&gt;"acoes")))*INDEX(Inputs!$K$5:$AJ$120,0,MATCH(AD$2,Inputs!$K$4:$AJ$4,0)))))</f>
        <v>25580</v>
      </c>
      <c r="AE39" s="6" t="e">
        <f>IF(ISNA(MATCH(AE$2,Inputs!$K$4:$AJ$4,0)),NA(),IF(SUMPRODUCT((Inputs!$A$5:$A$120=$B39)*ISNUMBER(INDEX(Inputs!$K$5:$AJ$120,0,MATCH(AE$2,Inputs!$K$4:$AJ$4,0))))+SUMPRODUCT((Inputs!$C$5:$C$120=$B39)*ISNUMBER(INDEX(Inputs!$K$5:$AJ$120,0,MATCH(AE$2,Inputs!$K$4:$AJ$4,0))))+SUMPRODUCT((Inputs!$E$5:$E$120=$B39)*ISNUMBER(INDEX(Inputs!$K$5:$AJ$120,0,MATCH(AE$2,Inputs!$K$4:$AJ$4,0))))=0,NA(),SUMPRODUCT((Inputs!$A$5:$A$120=$B39)*Inputs!$B$5:$B$120*(((Inputs!$G$5:$G$120="moeda")+(Inputs!$G$5:$G$120="acoes"))*Inputs!$B$1+((Inputs!$G$5:$G$120&lt;&gt;"moeda")*(Inputs!$G$5:$G$120&lt;&gt;"acoes")))*INDEX(Inputs!$K$5:$AJ$120,0,MATCH(AE$2,Inputs!$K$4:$AJ$4,0)))+SUMPRODUCT((Inputs!$C$5:$C$120=$B39)*Inputs!$D$5:$D$120*(((Inputs!$G$5:$G$120="moeda")+(Inputs!$G$5:$G$120="acoes"))*Inputs!$B$1+((Inputs!$G$5:$G$120&lt;&gt;"moeda")*(Inputs!$G$5:$G$120&lt;&gt;"acoes")))*INDEX(Inputs!$K$5:$AJ$120,0,MATCH(AE$2,Inputs!$K$4:$AJ$4,0)))+SUMPRODUCT((Inputs!$E$5:$E$120=$B39)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39" s="6" t="e">
        <f>IF(ISNA(MATCH(AF$2,Inputs!$K$4:$AJ$4,0)),NA(),IF(SUMPRODUCT((Inputs!$A$5:$A$120=$B39)*ISNUMBER(INDEX(Inputs!$K$5:$AJ$120,0,MATCH(AF$2,Inputs!$K$4:$AJ$4,0))))+SUMPRODUCT((Inputs!$C$5:$C$120=$B39)*ISNUMBER(INDEX(Inputs!$K$5:$AJ$120,0,MATCH(AF$2,Inputs!$K$4:$AJ$4,0))))+SUMPRODUCT((Inputs!$E$5:$E$120=$B39)*ISNUMBER(INDEX(Inputs!$K$5:$AJ$120,0,MATCH(AF$2,Inputs!$K$4:$AJ$4,0))))=0,NA(),SUMPRODUCT((Inputs!$A$5:$A$120=$B39)*Inputs!$B$5:$B$120*(((Inputs!$G$5:$G$120="moeda")+(Inputs!$G$5:$G$120="acoes"))*Inputs!$B$1+((Inputs!$G$5:$G$120&lt;&gt;"moeda")*(Inputs!$G$5:$G$120&lt;&gt;"acoes")))*INDEX(Inputs!$K$5:$AJ$120,0,MATCH(AF$2,Inputs!$K$4:$AJ$4,0)))+SUMPRODUCT((Inputs!$C$5:$C$120=$B39)*Inputs!$D$5:$D$120*(((Inputs!$G$5:$G$120="moeda")+(Inputs!$G$5:$G$120="acoes"))*Inputs!$B$1+((Inputs!$G$5:$G$120&lt;&gt;"moeda")*(Inputs!$G$5:$G$120&lt;&gt;"acoes")))*INDEX(Inputs!$K$5:$AJ$120,0,MATCH(AF$2,Inputs!$K$4:$AJ$4,0)))+SUMPRODUCT((Inputs!$E$5:$E$120=$B39)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39" s="3" t="e">
        <f>AF39</f>
        <v>#N/A</v>
      </c>
      <c r="AH39" s="6">
        <f>IF(ISNA(MATCH(AH$2,Inputs!$K$4:$AJ$4,0)),NA(),IF(SUMPRODUCT((Inputs!$A$5:$A$120=$B39)*ISNUMBER(INDEX(Inputs!$K$5:$AJ$120,0,MATCH(AH$2,Inputs!$K$4:$AJ$4,0))))+SUMPRODUCT((Inputs!$C$5:$C$120=$B39)*ISNUMBER(INDEX(Inputs!$K$5:$AJ$120,0,MATCH(AH$2,Inputs!$K$4:$AJ$4,0))))+SUMPRODUCT((Inputs!$E$5:$E$120=$B39)*ISNUMBER(INDEX(Inputs!$K$5:$AJ$120,0,MATCH(AH$2,Inputs!$K$4:$AJ$4,0))))=0,NA(),SUMPRODUCT((Inputs!$A$5:$A$120=$B39)*Inputs!$B$5:$B$120*(((Inputs!$G$5:$G$120="moeda")+(Inputs!$G$5:$G$120="acoes"))*Inputs!$B$1+((Inputs!$G$5:$G$120&lt;&gt;"moeda")*(Inputs!$G$5:$G$120&lt;&gt;"acoes")))*INDEX(Inputs!$K$5:$AJ$120,0,MATCH(AH$2,Inputs!$K$4:$AJ$4,0)))+SUMPRODUCT((Inputs!$C$5:$C$120=$B39)*Inputs!$D$5:$D$120*(((Inputs!$G$5:$G$120="moeda")+(Inputs!$G$5:$G$120="acoes"))*Inputs!$B$1+((Inputs!$G$5:$G$120&lt;&gt;"moeda")*(Inputs!$G$5:$G$120&lt;&gt;"acoes")))*INDEX(Inputs!$K$5:$AJ$120,0,MATCH(AH$2,Inputs!$K$4:$AJ$4,0)))+SUMPRODUCT((Inputs!$E$5:$E$120=$B39)*Inputs!$F$5:$F$120*(((Inputs!$G$5:$G$120="moeda")+(Inputs!$G$5:$G$120="acoes"))*Inputs!$B$1+((Inputs!$G$5:$G$120&lt;&gt;"moeda")*(Inputs!$G$5:$G$120&lt;&gt;"acoes")))*INDEX(Inputs!$K$5:$AJ$120,0,MATCH(AH$2,Inputs!$K$4:$AJ$4,0)))))</f>
        <v>14532</v>
      </c>
      <c r="AI39" s="6">
        <f>IF(ISNA(MATCH(AI$2,Inputs!$K$4:$AJ$4,0)),NA(),IF(SUMPRODUCT((Inputs!$A$5:$A$120=$B39)*ISNUMBER(INDEX(Inputs!$K$5:$AJ$120,0,MATCH(AI$2,Inputs!$K$4:$AJ$4,0))))+SUMPRODUCT((Inputs!$C$5:$C$120=$B39)*ISNUMBER(INDEX(Inputs!$K$5:$AJ$120,0,MATCH(AI$2,Inputs!$K$4:$AJ$4,0))))+SUMPRODUCT((Inputs!$E$5:$E$120=$B39)*ISNUMBER(INDEX(Inputs!$K$5:$AJ$120,0,MATCH(AI$2,Inputs!$K$4:$AJ$4,0))))=0,NA(),SUMPRODUCT((Inputs!$A$5:$A$120=$B39)*Inputs!$B$5:$B$120*(((Inputs!$G$5:$G$120="moeda")+(Inputs!$G$5:$G$120="acoes"))*Inputs!$B$1+((Inputs!$G$5:$G$120&lt;&gt;"moeda")*(Inputs!$G$5:$G$120&lt;&gt;"acoes")))*INDEX(Inputs!$K$5:$AJ$120,0,MATCH(AI$2,Inputs!$K$4:$AJ$4,0)))+SUMPRODUCT((Inputs!$C$5:$C$120=$B39)*Inputs!$D$5:$D$120*(((Inputs!$G$5:$G$120="moeda")+(Inputs!$G$5:$G$120="acoes"))*Inputs!$B$1+((Inputs!$G$5:$G$120&lt;&gt;"moeda")*(Inputs!$G$5:$G$120&lt;&gt;"acoes")))*INDEX(Inputs!$K$5:$AJ$120,0,MATCH(AI$2,Inputs!$K$4:$AJ$4,0)))+SUMPRODUCT((Inputs!$E$5:$E$120=$B39)*Inputs!$F$5:$F$120*(((Inputs!$G$5:$G$120="moeda")+(Inputs!$G$5:$G$120="acoes"))*Inputs!$B$1+((Inputs!$G$5:$G$120&lt;&gt;"moeda")*(Inputs!$G$5:$G$120&lt;&gt;"acoes")))*INDEX(Inputs!$K$5:$AJ$120,0,MATCH(AI$2,Inputs!$K$4:$AJ$4,0)))))</f>
        <v>14484</v>
      </c>
      <c r="AJ39" s="6">
        <f>IF(ISNA(MATCH(AJ$2,Inputs!$K$4:$AJ$4,0)),NA(),IF(SUMPRODUCT((Inputs!$A$5:$A$120=$B39)*ISNUMBER(INDEX(Inputs!$K$5:$AJ$120,0,MATCH(AJ$2,Inputs!$K$4:$AJ$4,0))))+SUMPRODUCT((Inputs!$C$5:$C$120=$B39)*ISNUMBER(INDEX(Inputs!$K$5:$AJ$120,0,MATCH(AJ$2,Inputs!$K$4:$AJ$4,0))))+SUMPRODUCT((Inputs!$E$5:$E$120=$B39)*ISNUMBER(INDEX(Inputs!$K$5:$AJ$120,0,MATCH(AJ$2,Inputs!$K$4:$AJ$4,0))))=0,NA(),SUMPRODUCT((Inputs!$A$5:$A$120=$B39)*Inputs!$B$5:$B$120*(((Inputs!$G$5:$G$120="moeda")+(Inputs!$G$5:$G$120="acoes"))*Inputs!$B$1+((Inputs!$G$5:$G$120&lt;&gt;"moeda")*(Inputs!$G$5:$G$120&lt;&gt;"acoes")))*INDEX(Inputs!$K$5:$AJ$120,0,MATCH(AJ$2,Inputs!$K$4:$AJ$4,0)))+SUMPRODUCT((Inputs!$C$5:$C$120=$B39)*Inputs!$D$5:$D$120*(((Inputs!$G$5:$G$120="moeda")+(Inputs!$G$5:$G$120="acoes"))*Inputs!$B$1+((Inputs!$G$5:$G$120&lt;&gt;"moeda")*(Inputs!$G$5:$G$120&lt;&gt;"acoes")))*INDEX(Inputs!$K$5:$AJ$120,0,MATCH(AJ$2,Inputs!$K$4:$AJ$4,0)))+SUMPRODUCT((Inputs!$E$5:$E$120=$B39)*Inputs!$F$5:$F$120*(((Inputs!$G$5:$G$120="moeda")+(Inputs!$G$5:$G$120="acoes"))*Inputs!$B$1+((Inputs!$G$5:$G$120&lt;&gt;"moeda")*(Inputs!$G$5:$G$120&lt;&gt;"acoes")))*INDEX(Inputs!$K$5:$AJ$120,0,MATCH(AJ$2,Inputs!$K$4:$AJ$4,0)))))</f>
        <v>14841</v>
      </c>
      <c r="AK39" s="6">
        <f>IF(ISNA(MATCH(AK$2,Inputs!$K$4:$AJ$4,0)),NA(),IF(SUMPRODUCT((Inputs!$A$5:$A$120=$B39)*ISNUMBER(INDEX(Inputs!$K$5:$AJ$120,0,MATCH(AK$2,Inputs!$K$4:$AJ$4,0))))+SUMPRODUCT((Inputs!$C$5:$C$120=$B39)*ISNUMBER(INDEX(Inputs!$K$5:$AJ$120,0,MATCH(AK$2,Inputs!$K$4:$AJ$4,0))))+SUMPRODUCT((Inputs!$E$5:$E$120=$B39)*ISNUMBER(INDEX(Inputs!$K$5:$AJ$120,0,MATCH(AK$2,Inputs!$K$4:$AJ$4,0))))=0,NA(),SUMPRODUCT((Inputs!$A$5:$A$120=$B39)*Inputs!$B$5:$B$120*(((Inputs!$G$5:$G$120="moeda")+(Inputs!$G$5:$G$120="acoes"))*Inputs!$B$1+((Inputs!$G$5:$G$120&lt;&gt;"moeda")*(Inputs!$G$5:$G$120&lt;&gt;"acoes")))*INDEX(Inputs!$K$5:$AJ$120,0,MATCH(AK$2,Inputs!$K$4:$AJ$4,0)))+SUMPRODUCT((Inputs!$C$5:$C$120=$B39)*Inputs!$D$5:$D$120*(((Inputs!$G$5:$G$120="moeda")+(Inputs!$G$5:$G$120="acoes"))*Inputs!$B$1+((Inputs!$G$5:$G$120&lt;&gt;"moeda")*(Inputs!$G$5:$G$120&lt;&gt;"acoes")))*INDEX(Inputs!$K$5:$AJ$120,0,MATCH(AK$2,Inputs!$K$4:$AJ$4,0)))+SUMPRODUCT((Inputs!$E$5:$E$120=$B39)*Inputs!$F$5:$F$120*(((Inputs!$G$5:$G$120="moeda")+(Inputs!$G$5:$G$120="acoes"))*Inputs!$B$1+((Inputs!$G$5:$G$120&lt;&gt;"moeda")*(Inputs!$G$5:$G$120&lt;&gt;"acoes")))*INDEX(Inputs!$K$5:$AJ$120,0,MATCH(AK$2,Inputs!$K$4:$AJ$4,0)))))</f>
        <v>14170</v>
      </c>
      <c r="AL39" s="3">
        <f>AK39</f>
        <v>14170</v>
      </c>
    </row>
    <row r="40">
      <c r="C40" s="1" t="n"/>
    </row>
    <row r="41">
      <c r="B41" s="46" t="n">
        <v>35</v>
      </c>
      <c r="C41" s="26" t="inlineStr">
        <is>
          <t>Minority interest</t>
        </is>
      </c>
      <c r="D41" s="6">
        <f>IF(ISNA(MATCH(D$2,Inputs!$K$4:$AJ$4,0)),NA(),IF(SUMPRODUCT((Inputs!$A$5:$A$120=$B41)*ISNUMBER(INDEX(Inputs!$K$5:$AJ$120,0,MATCH(D$2,Inputs!$K$4:$AJ$4,0))))+SUMPRODUCT((Inputs!$C$5:$C$120=$B41)*ISNUMBER(INDEX(Inputs!$K$5:$AJ$120,0,MATCH(D$2,Inputs!$K$4:$AJ$4,0))))+SUMPRODUCT((Inputs!$E$5:$E$120=$B41)*ISNUMBER(INDEX(Inputs!$K$5:$AJ$120,0,MATCH(D$2,Inputs!$K$4:$AJ$4,0))))=0,NA(),SUMPRODUCT((Inputs!$A$5:$A$120=$B41)*Inputs!$B$5:$B$120*(((Inputs!$G$5:$G$120="moeda")+(Inputs!$G$5:$G$120="acoes"))*Inputs!$B$1+((Inputs!$G$5:$G$120&lt;&gt;"moeda")*(Inputs!$G$5:$G$120&lt;&gt;"acoes")))*INDEX(Inputs!$K$5:$AJ$120,0,MATCH(D$2,Inputs!$K$4:$AJ$4,0)))+SUMPRODUCT((Inputs!$C$5:$C$120=$B41)*Inputs!$D$5:$D$120*(((Inputs!$G$5:$G$120="moeda")+(Inputs!$G$5:$G$120="acoes"))*Inputs!$B$1+((Inputs!$G$5:$G$120&lt;&gt;"moeda")*(Inputs!$G$5:$G$120&lt;&gt;"acoes")))*INDEX(Inputs!$K$5:$AJ$120,0,MATCH(D$2,Inputs!$K$4:$AJ$4,0)))+SUMPRODUCT((Inputs!$E$5:$E$120=$B41)*Inputs!$F$5:$F$120*(((Inputs!$G$5:$G$120="moeda")+(Inputs!$G$5:$G$120="acoes"))*Inputs!$B$1+((Inputs!$G$5:$G$120&lt;&gt;"moeda")*(Inputs!$G$5:$G$120&lt;&gt;"acoes")))*INDEX(Inputs!$K$5:$AJ$120,0,MATCH(D$2,Inputs!$K$4:$AJ$4,0)))))</f>
        <v>1448</v>
      </c>
      <c r="E41" s="6">
        <f>IF(ISNA(MATCH(E$2,Inputs!$K$4:$AJ$4,0)),NA(),IF(SUMPRODUCT((Inputs!$A$5:$A$120=$B41)*ISNUMBER(INDEX(Inputs!$K$5:$AJ$120,0,MATCH(E$2,Inputs!$K$4:$AJ$4,0))))+SUMPRODUCT((Inputs!$C$5:$C$120=$B41)*ISNUMBER(INDEX(Inputs!$K$5:$AJ$120,0,MATCH(E$2,Inputs!$K$4:$AJ$4,0))))+SUMPRODUCT((Inputs!$E$5:$E$120=$B41)*ISNUMBER(INDEX(Inputs!$K$5:$AJ$120,0,MATCH(E$2,Inputs!$K$4:$AJ$4,0))))=0,NA(),SUMPRODUCT((Inputs!$A$5:$A$120=$B41)*Inputs!$B$5:$B$120*(((Inputs!$G$5:$G$120="moeda")+(Inputs!$G$5:$G$120="acoes"))*Inputs!$B$1+((Inputs!$G$5:$G$120&lt;&gt;"moeda")*(Inputs!$G$5:$G$120&lt;&gt;"acoes")))*INDEX(Inputs!$K$5:$AJ$120,0,MATCH(E$2,Inputs!$K$4:$AJ$4,0)))+SUMPRODUCT((Inputs!$C$5:$C$120=$B41)*Inputs!$D$5:$D$120*(((Inputs!$G$5:$G$120="moeda")+(Inputs!$G$5:$G$120="acoes"))*Inputs!$B$1+((Inputs!$G$5:$G$120&lt;&gt;"moeda")*(Inputs!$G$5:$G$120&lt;&gt;"acoes")))*INDEX(Inputs!$K$5:$AJ$120,0,MATCH(E$2,Inputs!$K$4:$AJ$4,0)))+SUMPRODUCT((Inputs!$E$5:$E$120=$B41)*Inputs!$F$5:$F$120*(((Inputs!$G$5:$G$120="moeda")+(Inputs!$G$5:$G$120="acoes"))*Inputs!$B$1+((Inputs!$G$5:$G$120&lt;&gt;"moeda")*(Inputs!$G$5:$G$120&lt;&gt;"acoes")))*INDEX(Inputs!$K$5:$AJ$120,0,MATCH(E$2,Inputs!$K$4:$AJ$4,0)))))</f>
        <v>1446</v>
      </c>
      <c r="F41" s="6">
        <f>IF(ISNA(MATCH(F$2,Inputs!$K$4:$AJ$4,0)),NA(),IF(SUMPRODUCT((Inputs!$A$5:$A$120=$B41)*ISNUMBER(INDEX(Inputs!$K$5:$AJ$120,0,MATCH(F$2,Inputs!$K$4:$AJ$4,0))))+SUMPRODUCT((Inputs!$C$5:$C$120=$B41)*ISNUMBER(INDEX(Inputs!$K$5:$AJ$120,0,MATCH(F$2,Inputs!$K$4:$AJ$4,0))))+SUMPRODUCT((Inputs!$E$5:$E$120=$B41)*ISNUMBER(INDEX(Inputs!$K$5:$AJ$120,0,MATCH(F$2,Inputs!$K$4:$AJ$4,0))))=0,NA(),SUMPRODUCT((Inputs!$A$5:$A$120=$B41)*Inputs!$B$5:$B$120*(((Inputs!$G$5:$G$120="moeda")+(Inputs!$G$5:$G$120="acoes"))*Inputs!$B$1+((Inputs!$G$5:$G$120&lt;&gt;"moeda")*(Inputs!$G$5:$G$120&lt;&gt;"acoes")))*INDEX(Inputs!$K$5:$AJ$120,0,MATCH(F$2,Inputs!$K$4:$AJ$4,0)))+SUMPRODUCT((Inputs!$C$5:$C$120=$B41)*Inputs!$D$5:$D$120*(((Inputs!$G$5:$G$120="moeda")+(Inputs!$G$5:$G$120="acoes"))*Inputs!$B$1+((Inputs!$G$5:$G$120&lt;&gt;"moeda")*(Inputs!$G$5:$G$120&lt;&gt;"acoes")))*INDEX(Inputs!$K$5:$AJ$120,0,MATCH(F$2,Inputs!$K$4:$AJ$4,0)))+SUMPRODUCT((Inputs!$E$5:$E$120=$B41)*Inputs!$F$5:$F$120*(((Inputs!$G$5:$G$120="moeda")+(Inputs!$G$5:$G$120="acoes"))*Inputs!$B$1+((Inputs!$G$5:$G$120&lt;&gt;"moeda")*(Inputs!$G$5:$G$120&lt;&gt;"acoes")))*INDEX(Inputs!$K$5:$AJ$120,0,MATCH(F$2,Inputs!$K$4:$AJ$4,0)))))</f>
        <v>1441</v>
      </c>
      <c r="G41" s="6">
        <f>IF(ISNA(MATCH(G$2,Inputs!$K$4:$AJ$4,0)),NA(),IF(SUMPRODUCT((Inputs!$A$5:$A$120=$B41)*ISNUMBER(INDEX(Inputs!$K$5:$AJ$120,0,MATCH(G$2,Inputs!$K$4:$AJ$4,0))))+SUMPRODUCT((Inputs!$C$5:$C$120=$B41)*ISNUMBER(INDEX(Inputs!$K$5:$AJ$120,0,MATCH(G$2,Inputs!$K$4:$AJ$4,0))))+SUMPRODUCT((Inputs!$E$5:$E$120=$B41)*ISNUMBER(INDEX(Inputs!$K$5:$AJ$120,0,MATCH(G$2,Inputs!$K$4:$AJ$4,0))))=0,NA(),SUMPRODUCT((Inputs!$A$5:$A$120=$B41)*Inputs!$B$5:$B$120*(((Inputs!$G$5:$G$120="moeda")+(Inputs!$G$5:$G$120="acoes"))*Inputs!$B$1+((Inputs!$G$5:$G$120&lt;&gt;"moeda")*(Inputs!$G$5:$G$120&lt;&gt;"acoes")))*INDEX(Inputs!$K$5:$AJ$120,0,MATCH(G$2,Inputs!$K$4:$AJ$4,0)))+SUMPRODUCT((Inputs!$C$5:$C$120=$B41)*Inputs!$D$5:$D$120*(((Inputs!$G$5:$G$120="moeda")+(Inputs!$G$5:$G$120="acoes"))*Inputs!$B$1+((Inputs!$G$5:$G$120&lt;&gt;"moeda")*(Inputs!$G$5:$G$120&lt;&gt;"acoes")))*INDEX(Inputs!$K$5:$AJ$120,0,MATCH(G$2,Inputs!$K$4:$AJ$4,0)))+SUMPRODUCT((Inputs!$E$5:$E$120=$B41)*Inputs!$F$5:$F$120*(((Inputs!$G$5:$G$120="moeda")+(Inputs!$G$5:$G$120="acoes"))*Inputs!$B$1+((Inputs!$G$5:$G$120&lt;&gt;"moeda")*(Inputs!$G$5:$G$120&lt;&gt;"acoes")))*INDEX(Inputs!$K$5:$AJ$120,0,MATCH(G$2,Inputs!$K$4:$AJ$4,0)))))</f>
        <v>1394</v>
      </c>
      <c r="H41" s="3">
        <f>G41</f>
        <v>1394</v>
      </c>
      <c r="I41" s="6">
        <f>IF(ISNA(MATCH(I$2,Inputs!$K$4:$AJ$4,0)),NA(),IF(SUMPRODUCT((Inputs!$A$5:$A$120=$B41)*ISNUMBER(INDEX(Inputs!$K$5:$AJ$120,0,MATCH(I$2,Inputs!$K$4:$AJ$4,0))))+SUMPRODUCT((Inputs!$C$5:$C$120=$B41)*ISNUMBER(INDEX(Inputs!$K$5:$AJ$120,0,MATCH(I$2,Inputs!$K$4:$AJ$4,0))))+SUMPRODUCT((Inputs!$E$5:$E$120=$B41)*ISNUMBER(INDEX(Inputs!$K$5:$AJ$120,0,MATCH(I$2,Inputs!$K$4:$AJ$4,0))))=0,NA(),SUMPRODUCT((Inputs!$A$5:$A$120=$B41)*Inputs!$B$5:$B$120*(((Inputs!$G$5:$G$120="moeda")+(Inputs!$G$5:$G$120="acoes"))*Inputs!$B$1+((Inputs!$G$5:$G$120&lt;&gt;"moeda")*(Inputs!$G$5:$G$120&lt;&gt;"acoes")))*INDEX(Inputs!$K$5:$AJ$120,0,MATCH(I$2,Inputs!$K$4:$AJ$4,0)))+SUMPRODUCT((Inputs!$C$5:$C$120=$B41)*Inputs!$D$5:$D$120*(((Inputs!$G$5:$G$120="moeda")+(Inputs!$G$5:$G$120="acoes"))*Inputs!$B$1+((Inputs!$G$5:$G$120&lt;&gt;"moeda")*(Inputs!$G$5:$G$120&lt;&gt;"acoes")))*INDEX(Inputs!$K$5:$AJ$120,0,MATCH(I$2,Inputs!$K$4:$AJ$4,0)))+SUMPRODUCT((Inputs!$E$5:$E$120=$B41)*Inputs!$F$5:$F$120*(((Inputs!$G$5:$G$120="moeda")+(Inputs!$G$5:$G$120="acoes"))*Inputs!$B$1+((Inputs!$G$5:$G$120&lt;&gt;"moeda")*(Inputs!$G$5:$G$120&lt;&gt;"acoes")))*INDEX(Inputs!$K$5:$AJ$120,0,MATCH(I$2,Inputs!$K$4:$AJ$4,0)))))</f>
        <v>1321</v>
      </c>
      <c r="J41" s="6">
        <f>IF(ISNA(MATCH(J$2,Inputs!$K$4:$AJ$4,0)),NA(),IF(SUMPRODUCT((Inputs!$A$5:$A$120=$B41)*ISNUMBER(INDEX(Inputs!$K$5:$AJ$120,0,MATCH(J$2,Inputs!$K$4:$AJ$4,0))))+SUMPRODUCT((Inputs!$C$5:$C$120=$B41)*ISNUMBER(INDEX(Inputs!$K$5:$AJ$120,0,MATCH(J$2,Inputs!$K$4:$AJ$4,0))))+SUMPRODUCT((Inputs!$E$5:$E$120=$B41)*ISNUMBER(INDEX(Inputs!$K$5:$AJ$120,0,MATCH(J$2,Inputs!$K$4:$AJ$4,0))))=0,NA(),SUMPRODUCT((Inputs!$A$5:$A$120=$B41)*Inputs!$B$5:$B$120*(((Inputs!$G$5:$G$120="moeda")+(Inputs!$G$5:$G$120="acoes"))*Inputs!$B$1+((Inputs!$G$5:$G$120&lt;&gt;"moeda")*(Inputs!$G$5:$G$120&lt;&gt;"acoes")))*INDEX(Inputs!$K$5:$AJ$120,0,MATCH(J$2,Inputs!$K$4:$AJ$4,0)))+SUMPRODUCT((Inputs!$C$5:$C$120=$B41)*Inputs!$D$5:$D$120*(((Inputs!$G$5:$G$120="moeda")+(Inputs!$G$5:$G$120="acoes"))*Inputs!$B$1+((Inputs!$G$5:$G$120&lt;&gt;"moeda")*(Inputs!$G$5:$G$120&lt;&gt;"acoes")))*INDEX(Inputs!$K$5:$AJ$120,0,MATCH(J$2,Inputs!$K$4:$AJ$4,0)))+SUMPRODUCT((Inputs!$E$5:$E$120=$B41)*Inputs!$F$5:$F$120*(((Inputs!$G$5:$G$120="moeda")+(Inputs!$G$5:$G$120="acoes"))*Inputs!$B$1+((Inputs!$G$5:$G$120&lt;&gt;"moeda")*(Inputs!$G$5:$G$120&lt;&gt;"acoes")))*INDEX(Inputs!$K$5:$AJ$120,0,MATCH(J$2,Inputs!$K$4:$AJ$4,0)))))</f>
        <v>1282</v>
      </c>
      <c r="K41" s="6">
        <f>IF(ISNA(MATCH(K$2,Inputs!$K$4:$AJ$4,0)),NA(),IF(SUMPRODUCT((Inputs!$A$5:$A$120=$B41)*ISNUMBER(INDEX(Inputs!$K$5:$AJ$120,0,MATCH(K$2,Inputs!$K$4:$AJ$4,0))))+SUMPRODUCT((Inputs!$C$5:$C$120=$B41)*ISNUMBER(INDEX(Inputs!$K$5:$AJ$120,0,MATCH(K$2,Inputs!$K$4:$AJ$4,0))))+SUMPRODUCT((Inputs!$E$5:$E$120=$B41)*ISNUMBER(INDEX(Inputs!$K$5:$AJ$120,0,MATCH(K$2,Inputs!$K$4:$AJ$4,0))))=0,NA(),SUMPRODUCT((Inputs!$A$5:$A$120=$B41)*Inputs!$B$5:$B$120*(((Inputs!$G$5:$G$120="moeda")+(Inputs!$G$5:$G$120="acoes"))*Inputs!$B$1+((Inputs!$G$5:$G$120&lt;&gt;"moeda")*(Inputs!$G$5:$G$120&lt;&gt;"acoes")))*INDEX(Inputs!$K$5:$AJ$120,0,MATCH(K$2,Inputs!$K$4:$AJ$4,0)))+SUMPRODUCT((Inputs!$C$5:$C$120=$B41)*Inputs!$D$5:$D$120*(((Inputs!$G$5:$G$120="moeda")+(Inputs!$G$5:$G$120="acoes"))*Inputs!$B$1+((Inputs!$G$5:$G$120&lt;&gt;"moeda")*(Inputs!$G$5:$G$120&lt;&gt;"acoes")))*INDEX(Inputs!$K$5:$AJ$120,0,MATCH(K$2,Inputs!$K$4:$AJ$4,0)))+SUMPRODUCT((Inputs!$E$5:$E$120=$B41)*Inputs!$F$5:$F$120*(((Inputs!$G$5:$G$120="moeda")+(Inputs!$G$5:$G$120="acoes"))*Inputs!$B$1+((Inputs!$G$5:$G$120&lt;&gt;"moeda")*(Inputs!$G$5:$G$120&lt;&gt;"acoes")))*INDEX(Inputs!$K$5:$AJ$120,0,MATCH(K$2,Inputs!$K$4:$AJ$4,0)))))</f>
        <v>1273</v>
      </c>
      <c r="L41" s="6">
        <f>IF(ISNA(MATCH(L$2,Inputs!$K$4:$AJ$4,0)),NA(),IF(SUMPRODUCT((Inputs!$A$5:$A$120=$B41)*ISNUMBER(INDEX(Inputs!$K$5:$AJ$120,0,MATCH(L$2,Inputs!$K$4:$AJ$4,0))))+SUMPRODUCT((Inputs!$C$5:$C$120=$B41)*ISNUMBER(INDEX(Inputs!$K$5:$AJ$120,0,MATCH(L$2,Inputs!$K$4:$AJ$4,0))))+SUMPRODUCT((Inputs!$E$5:$E$120=$B41)*ISNUMBER(INDEX(Inputs!$K$5:$AJ$120,0,MATCH(L$2,Inputs!$K$4:$AJ$4,0))))=0,NA(),SUMPRODUCT((Inputs!$A$5:$A$120=$B41)*Inputs!$B$5:$B$120*(((Inputs!$G$5:$G$120="moeda")+(Inputs!$G$5:$G$120="acoes"))*Inputs!$B$1+((Inputs!$G$5:$G$120&lt;&gt;"moeda")*(Inputs!$G$5:$G$120&lt;&gt;"acoes")))*INDEX(Inputs!$K$5:$AJ$120,0,MATCH(L$2,Inputs!$K$4:$AJ$4,0)))+SUMPRODUCT((Inputs!$C$5:$C$120=$B41)*Inputs!$D$5:$D$120*(((Inputs!$G$5:$G$120="moeda")+(Inputs!$G$5:$G$120="acoes"))*Inputs!$B$1+((Inputs!$G$5:$G$120&lt;&gt;"moeda")*(Inputs!$G$5:$G$120&lt;&gt;"acoes")))*INDEX(Inputs!$K$5:$AJ$120,0,MATCH(L$2,Inputs!$K$4:$AJ$4,0)))+SUMPRODUCT((Inputs!$E$5:$E$120=$B41)*Inputs!$F$5:$F$120*(((Inputs!$G$5:$G$120="moeda")+(Inputs!$G$5:$G$120="acoes"))*Inputs!$B$1+((Inputs!$G$5:$G$120&lt;&gt;"moeda")*(Inputs!$G$5:$G$120&lt;&gt;"acoes")))*INDEX(Inputs!$K$5:$AJ$120,0,MATCH(L$2,Inputs!$K$4:$AJ$4,0)))))</f>
        <v>1194</v>
      </c>
      <c r="M41" s="3">
        <f>L41</f>
        <v>1194</v>
      </c>
      <c r="N41" s="6">
        <f>IF(ISNA(MATCH(N$2,Inputs!$K$4:$AJ$4,0)),NA(),IF(SUMPRODUCT((Inputs!$A$5:$A$120=$B41)*ISNUMBER(INDEX(Inputs!$K$5:$AJ$120,0,MATCH(N$2,Inputs!$K$4:$AJ$4,0))))+SUMPRODUCT((Inputs!$C$5:$C$120=$B41)*ISNUMBER(INDEX(Inputs!$K$5:$AJ$120,0,MATCH(N$2,Inputs!$K$4:$AJ$4,0))))+SUMPRODUCT((Inputs!$E$5:$E$120=$B41)*ISNUMBER(INDEX(Inputs!$K$5:$AJ$120,0,MATCH(N$2,Inputs!$K$4:$AJ$4,0))))=0,NA(),SUMPRODUCT((Inputs!$A$5:$A$120=$B41)*Inputs!$B$5:$B$120*(((Inputs!$G$5:$G$120="moeda")+(Inputs!$G$5:$G$120="acoes"))*Inputs!$B$1+((Inputs!$G$5:$G$120&lt;&gt;"moeda")*(Inputs!$G$5:$G$120&lt;&gt;"acoes")))*INDEX(Inputs!$K$5:$AJ$120,0,MATCH(N$2,Inputs!$K$4:$AJ$4,0)))+SUMPRODUCT((Inputs!$C$5:$C$120=$B41)*Inputs!$D$5:$D$120*(((Inputs!$G$5:$G$120="moeda")+(Inputs!$G$5:$G$120="acoes"))*Inputs!$B$1+((Inputs!$G$5:$G$120&lt;&gt;"moeda")*(Inputs!$G$5:$G$120&lt;&gt;"acoes")))*INDEX(Inputs!$K$5:$AJ$120,0,MATCH(N$2,Inputs!$K$4:$AJ$4,0)))+SUMPRODUCT((Inputs!$E$5:$E$120=$B41)*Inputs!$F$5:$F$120*(((Inputs!$G$5:$G$120="moeda")+(Inputs!$G$5:$G$120="acoes"))*Inputs!$B$1+((Inputs!$G$5:$G$120&lt;&gt;"moeda")*(Inputs!$G$5:$G$120&lt;&gt;"acoes")))*INDEX(Inputs!$K$5:$AJ$120,0,MATCH(N$2,Inputs!$K$4:$AJ$4,0)))))</f>
        <v>1181</v>
      </c>
      <c r="O41" s="6">
        <f>IF(ISNA(MATCH(O$2,Inputs!$K$4:$AJ$4,0)),NA(),IF(SUMPRODUCT((Inputs!$A$5:$A$120=$B41)*ISNUMBER(INDEX(Inputs!$K$5:$AJ$120,0,MATCH(O$2,Inputs!$K$4:$AJ$4,0))))+SUMPRODUCT((Inputs!$C$5:$C$120=$B41)*ISNUMBER(INDEX(Inputs!$K$5:$AJ$120,0,MATCH(O$2,Inputs!$K$4:$AJ$4,0))))+SUMPRODUCT((Inputs!$E$5:$E$120=$B41)*ISNUMBER(INDEX(Inputs!$K$5:$AJ$120,0,MATCH(O$2,Inputs!$K$4:$AJ$4,0))))=0,NA(),SUMPRODUCT((Inputs!$A$5:$A$120=$B41)*Inputs!$B$5:$B$120*(((Inputs!$G$5:$G$120="moeda")+(Inputs!$G$5:$G$120="acoes"))*Inputs!$B$1+((Inputs!$G$5:$G$120&lt;&gt;"moeda")*(Inputs!$G$5:$G$120&lt;&gt;"acoes")))*INDEX(Inputs!$K$5:$AJ$120,0,MATCH(O$2,Inputs!$K$4:$AJ$4,0)))+SUMPRODUCT((Inputs!$C$5:$C$120=$B41)*Inputs!$D$5:$D$120*(((Inputs!$G$5:$G$120="moeda")+(Inputs!$G$5:$G$120="acoes"))*Inputs!$B$1+((Inputs!$G$5:$G$120&lt;&gt;"moeda")*(Inputs!$G$5:$G$120&lt;&gt;"acoes")))*INDEX(Inputs!$K$5:$AJ$120,0,MATCH(O$2,Inputs!$K$4:$AJ$4,0)))+SUMPRODUCT((Inputs!$E$5:$E$120=$B41)*Inputs!$F$5:$F$120*(((Inputs!$G$5:$G$120="moeda")+(Inputs!$G$5:$G$120="acoes"))*Inputs!$B$1+((Inputs!$G$5:$G$120&lt;&gt;"moeda")*(Inputs!$G$5:$G$120&lt;&gt;"acoes")))*INDEX(Inputs!$K$5:$AJ$120,0,MATCH(O$2,Inputs!$K$4:$AJ$4,0)))))</f>
        <v>1052</v>
      </c>
      <c r="P41" s="6">
        <f>IF(ISNA(MATCH(P$2,Inputs!$K$4:$AJ$4,0)),NA(),IF(SUMPRODUCT((Inputs!$A$5:$A$120=$B41)*ISNUMBER(INDEX(Inputs!$K$5:$AJ$120,0,MATCH(P$2,Inputs!$K$4:$AJ$4,0))))+SUMPRODUCT((Inputs!$C$5:$C$120=$B41)*ISNUMBER(INDEX(Inputs!$K$5:$AJ$120,0,MATCH(P$2,Inputs!$K$4:$AJ$4,0))))+SUMPRODUCT((Inputs!$E$5:$E$120=$B41)*ISNUMBER(INDEX(Inputs!$K$5:$AJ$120,0,MATCH(P$2,Inputs!$K$4:$AJ$4,0))))=0,NA(),SUMPRODUCT((Inputs!$A$5:$A$120=$B41)*Inputs!$B$5:$B$120*(((Inputs!$G$5:$G$120="moeda")+(Inputs!$G$5:$G$120="acoes"))*Inputs!$B$1+((Inputs!$G$5:$G$120&lt;&gt;"moeda")*(Inputs!$G$5:$G$120&lt;&gt;"acoes")))*INDEX(Inputs!$K$5:$AJ$120,0,MATCH(P$2,Inputs!$K$4:$AJ$4,0)))+SUMPRODUCT((Inputs!$C$5:$C$120=$B41)*Inputs!$D$5:$D$120*(((Inputs!$G$5:$G$120="moeda")+(Inputs!$G$5:$G$120="acoes"))*Inputs!$B$1+((Inputs!$G$5:$G$120&lt;&gt;"moeda")*(Inputs!$G$5:$G$120&lt;&gt;"acoes")))*INDEX(Inputs!$K$5:$AJ$120,0,MATCH(P$2,Inputs!$K$4:$AJ$4,0)))+SUMPRODUCT((Inputs!$E$5:$E$120=$B41)*Inputs!$F$5:$F$120*(((Inputs!$G$5:$G$120="moeda")+(Inputs!$G$5:$G$120="acoes"))*Inputs!$B$1+((Inputs!$G$5:$G$120&lt;&gt;"moeda")*(Inputs!$G$5:$G$120&lt;&gt;"acoes")))*INDEX(Inputs!$K$5:$AJ$120,0,MATCH(P$2,Inputs!$K$4:$AJ$4,0)))))</f>
        <v>1029</v>
      </c>
      <c r="Q41" s="6">
        <f>IF(ISNA(MATCH(Q$2,Inputs!$K$4:$AJ$4,0)),NA(),IF(SUMPRODUCT((Inputs!$A$5:$A$120=$B41)*ISNUMBER(INDEX(Inputs!$K$5:$AJ$120,0,MATCH(Q$2,Inputs!$K$4:$AJ$4,0))))+SUMPRODUCT((Inputs!$C$5:$C$120=$B41)*ISNUMBER(INDEX(Inputs!$K$5:$AJ$120,0,MATCH(Q$2,Inputs!$K$4:$AJ$4,0))))+SUMPRODUCT((Inputs!$E$5:$E$120=$B41)*ISNUMBER(INDEX(Inputs!$K$5:$AJ$120,0,MATCH(Q$2,Inputs!$K$4:$AJ$4,0))))=0,NA(),SUMPRODUCT((Inputs!$A$5:$A$120=$B41)*Inputs!$B$5:$B$120*(((Inputs!$G$5:$G$120="moeda")+(Inputs!$G$5:$G$120="acoes"))*Inputs!$B$1+((Inputs!$G$5:$G$120&lt;&gt;"moeda")*(Inputs!$G$5:$G$120&lt;&gt;"acoes")))*INDEX(Inputs!$K$5:$AJ$120,0,MATCH(Q$2,Inputs!$K$4:$AJ$4,0)))+SUMPRODUCT((Inputs!$C$5:$C$120=$B41)*Inputs!$D$5:$D$120*(((Inputs!$G$5:$G$120="moeda")+(Inputs!$G$5:$G$120="acoes"))*Inputs!$B$1+((Inputs!$G$5:$G$120&lt;&gt;"moeda")*(Inputs!$G$5:$G$120&lt;&gt;"acoes")))*INDEX(Inputs!$K$5:$AJ$120,0,MATCH(Q$2,Inputs!$K$4:$AJ$4,0)))+SUMPRODUCT((Inputs!$E$5:$E$120=$B41)*Inputs!$F$5:$F$120*(((Inputs!$G$5:$G$120="moeda")+(Inputs!$G$5:$G$120="acoes"))*Inputs!$B$1+((Inputs!$G$5:$G$120&lt;&gt;"moeda")*(Inputs!$G$5:$G$120&lt;&gt;"acoes")))*INDEX(Inputs!$K$5:$AJ$120,0,MATCH(Q$2,Inputs!$K$4:$AJ$4,0)))))</f>
        <v>975</v>
      </c>
      <c r="R41" s="3">
        <f>Q41</f>
        <v>975</v>
      </c>
      <c r="S41" s="6">
        <f>IF(ISNA(MATCH(S$2,Inputs!$K$4:$AJ$4,0)),NA(),IF(SUMPRODUCT((Inputs!$A$5:$A$120=$B41)*ISNUMBER(INDEX(Inputs!$K$5:$AJ$120,0,MATCH(S$2,Inputs!$K$4:$AJ$4,0))))+SUMPRODUCT((Inputs!$C$5:$C$120=$B41)*ISNUMBER(INDEX(Inputs!$K$5:$AJ$120,0,MATCH(S$2,Inputs!$K$4:$AJ$4,0))))+SUMPRODUCT((Inputs!$E$5:$E$120=$B41)*ISNUMBER(INDEX(Inputs!$K$5:$AJ$120,0,MATCH(S$2,Inputs!$K$4:$AJ$4,0))))=0,NA(),SUMPRODUCT((Inputs!$A$5:$A$120=$B41)*Inputs!$B$5:$B$120*(((Inputs!$G$5:$G$120="moeda")+(Inputs!$G$5:$G$120="acoes"))*Inputs!$B$1+((Inputs!$G$5:$G$120&lt;&gt;"moeda")*(Inputs!$G$5:$G$120&lt;&gt;"acoes")))*INDEX(Inputs!$K$5:$AJ$120,0,MATCH(S$2,Inputs!$K$4:$AJ$4,0)))+SUMPRODUCT((Inputs!$C$5:$C$120=$B41)*Inputs!$D$5:$D$120*(((Inputs!$G$5:$G$120="moeda")+(Inputs!$G$5:$G$120="acoes"))*Inputs!$B$1+((Inputs!$G$5:$G$120&lt;&gt;"moeda")*(Inputs!$G$5:$G$120&lt;&gt;"acoes")))*INDEX(Inputs!$K$5:$AJ$120,0,MATCH(S$2,Inputs!$K$4:$AJ$4,0)))+SUMPRODUCT((Inputs!$E$5:$E$120=$B41)*Inputs!$F$5:$F$120*(((Inputs!$G$5:$G$120="moeda")+(Inputs!$G$5:$G$120="acoes"))*Inputs!$B$1+((Inputs!$G$5:$G$120&lt;&gt;"moeda")*(Inputs!$G$5:$G$120&lt;&gt;"acoes")))*INDEX(Inputs!$K$5:$AJ$120,0,MATCH(S$2,Inputs!$K$4:$AJ$4,0)))))</f>
        <v>802</v>
      </c>
      <c r="T41" s="6">
        <f>IF(ISNA(MATCH(T$2,Inputs!$K$4:$AJ$4,0)),NA(),IF(SUMPRODUCT((Inputs!$A$5:$A$120=$B41)*ISNUMBER(INDEX(Inputs!$K$5:$AJ$120,0,MATCH(T$2,Inputs!$K$4:$AJ$4,0))))+SUMPRODUCT((Inputs!$C$5:$C$120=$B41)*ISNUMBER(INDEX(Inputs!$K$5:$AJ$120,0,MATCH(T$2,Inputs!$K$4:$AJ$4,0))))+SUMPRODUCT((Inputs!$E$5:$E$120=$B41)*ISNUMBER(INDEX(Inputs!$K$5:$AJ$120,0,MATCH(T$2,Inputs!$K$4:$AJ$4,0))))=0,NA(),SUMPRODUCT((Inputs!$A$5:$A$120=$B41)*Inputs!$B$5:$B$120*(((Inputs!$G$5:$G$120="moeda")+(Inputs!$G$5:$G$120="acoes"))*Inputs!$B$1+((Inputs!$G$5:$G$120&lt;&gt;"moeda")*(Inputs!$G$5:$G$120&lt;&gt;"acoes")))*INDEX(Inputs!$K$5:$AJ$120,0,MATCH(T$2,Inputs!$K$4:$AJ$4,0)))+SUMPRODUCT((Inputs!$C$5:$C$120=$B41)*Inputs!$D$5:$D$120*(((Inputs!$G$5:$G$120="moeda")+(Inputs!$G$5:$G$120="acoes"))*Inputs!$B$1+((Inputs!$G$5:$G$120&lt;&gt;"moeda")*(Inputs!$G$5:$G$120&lt;&gt;"acoes")))*INDEX(Inputs!$K$5:$AJ$120,0,MATCH(T$2,Inputs!$K$4:$AJ$4,0)))+SUMPRODUCT((Inputs!$E$5:$E$120=$B41)*Inputs!$F$5:$F$120*(((Inputs!$G$5:$G$120="moeda")+(Inputs!$G$5:$G$120="acoes"))*Inputs!$B$1+((Inputs!$G$5:$G$120&lt;&gt;"moeda")*(Inputs!$G$5:$G$120&lt;&gt;"acoes")))*INDEX(Inputs!$K$5:$AJ$120,0,MATCH(T$2,Inputs!$K$4:$AJ$4,0)))))</f>
        <v>795</v>
      </c>
      <c r="U41" s="6">
        <f>IF(ISNA(MATCH(U$2,Inputs!$K$4:$AJ$4,0)),NA(),IF(SUMPRODUCT((Inputs!$A$5:$A$120=$B41)*ISNUMBER(INDEX(Inputs!$K$5:$AJ$120,0,MATCH(U$2,Inputs!$K$4:$AJ$4,0))))+SUMPRODUCT((Inputs!$C$5:$C$120=$B41)*ISNUMBER(INDEX(Inputs!$K$5:$AJ$120,0,MATCH(U$2,Inputs!$K$4:$AJ$4,0))))+SUMPRODUCT((Inputs!$E$5:$E$120=$B41)*ISNUMBER(INDEX(Inputs!$K$5:$AJ$120,0,MATCH(U$2,Inputs!$K$4:$AJ$4,0))))=0,NA(),SUMPRODUCT((Inputs!$A$5:$A$120=$B41)*Inputs!$B$5:$B$120*(((Inputs!$G$5:$G$120="moeda")+(Inputs!$G$5:$G$120="acoes"))*Inputs!$B$1+((Inputs!$G$5:$G$120&lt;&gt;"moeda")*(Inputs!$G$5:$G$120&lt;&gt;"acoes")))*INDEX(Inputs!$K$5:$AJ$120,0,MATCH(U$2,Inputs!$K$4:$AJ$4,0)))+SUMPRODUCT((Inputs!$C$5:$C$120=$B41)*Inputs!$D$5:$D$120*(((Inputs!$G$5:$G$120="moeda")+(Inputs!$G$5:$G$120="acoes"))*Inputs!$B$1+((Inputs!$G$5:$G$120&lt;&gt;"moeda")*(Inputs!$G$5:$G$120&lt;&gt;"acoes")))*INDEX(Inputs!$K$5:$AJ$120,0,MATCH(U$2,Inputs!$K$4:$AJ$4,0)))+SUMPRODUCT((Inputs!$E$5:$E$120=$B41)*Inputs!$F$5:$F$120*(((Inputs!$G$5:$G$120="moeda")+(Inputs!$G$5:$G$120="acoes"))*Inputs!$B$1+((Inputs!$G$5:$G$120&lt;&gt;"moeda")*(Inputs!$G$5:$G$120&lt;&gt;"acoes")))*INDEX(Inputs!$K$5:$AJ$120,0,MATCH(U$2,Inputs!$K$4:$AJ$4,0)))))</f>
        <v>779</v>
      </c>
      <c r="V41" s="6">
        <f>IF(ISNA(MATCH(V$2,Inputs!$K$4:$AJ$4,0)),NA(),IF(SUMPRODUCT((Inputs!$A$5:$A$120=$B41)*ISNUMBER(INDEX(Inputs!$K$5:$AJ$120,0,MATCH(V$2,Inputs!$K$4:$AJ$4,0))))+SUMPRODUCT((Inputs!$C$5:$C$120=$B41)*ISNUMBER(INDEX(Inputs!$K$5:$AJ$120,0,MATCH(V$2,Inputs!$K$4:$AJ$4,0))))+SUMPRODUCT((Inputs!$E$5:$E$120=$B41)*ISNUMBER(INDEX(Inputs!$K$5:$AJ$120,0,MATCH(V$2,Inputs!$K$4:$AJ$4,0))))=0,NA(),SUMPRODUCT((Inputs!$A$5:$A$120=$B41)*Inputs!$B$5:$B$120*(((Inputs!$G$5:$G$120="moeda")+(Inputs!$G$5:$G$120="acoes"))*Inputs!$B$1+((Inputs!$G$5:$G$120&lt;&gt;"moeda")*(Inputs!$G$5:$G$120&lt;&gt;"acoes")))*INDEX(Inputs!$K$5:$AJ$120,0,MATCH(V$2,Inputs!$K$4:$AJ$4,0)))+SUMPRODUCT((Inputs!$C$5:$C$120=$B41)*Inputs!$D$5:$D$120*(((Inputs!$G$5:$G$120="moeda")+(Inputs!$G$5:$G$120="acoes"))*Inputs!$B$1+((Inputs!$G$5:$G$120&lt;&gt;"moeda")*(Inputs!$G$5:$G$120&lt;&gt;"acoes")))*INDEX(Inputs!$K$5:$AJ$120,0,MATCH(V$2,Inputs!$K$4:$AJ$4,0)))+SUMPRODUCT((Inputs!$E$5:$E$120=$B41)*Inputs!$F$5:$F$120*(((Inputs!$G$5:$G$120="moeda")+(Inputs!$G$5:$G$120="acoes"))*Inputs!$B$1+((Inputs!$G$5:$G$120&lt;&gt;"moeda")*(Inputs!$G$5:$G$120&lt;&gt;"acoes")))*INDEX(Inputs!$K$5:$AJ$120,0,MATCH(V$2,Inputs!$K$4:$AJ$4,0)))))</f>
        <v>767</v>
      </c>
      <c r="W41" s="3">
        <f>V41</f>
        <v>767</v>
      </c>
      <c r="X41" s="6">
        <f>IF(ISNA(MATCH(X$2,Inputs!$K$4:$AJ$4,0)),NA(),IF(SUMPRODUCT((Inputs!$A$5:$A$120=$B41)*ISNUMBER(INDEX(Inputs!$K$5:$AJ$120,0,MATCH(X$2,Inputs!$K$4:$AJ$4,0))))+SUMPRODUCT((Inputs!$C$5:$C$120=$B41)*ISNUMBER(INDEX(Inputs!$K$5:$AJ$120,0,MATCH(X$2,Inputs!$K$4:$AJ$4,0))))+SUMPRODUCT((Inputs!$E$5:$E$120=$B41)*ISNUMBER(INDEX(Inputs!$K$5:$AJ$120,0,MATCH(X$2,Inputs!$K$4:$AJ$4,0))))=0,NA(),SUMPRODUCT((Inputs!$A$5:$A$120=$B41)*Inputs!$B$5:$B$120*(((Inputs!$G$5:$G$120="moeda")+(Inputs!$G$5:$G$120="acoes"))*Inputs!$B$1+((Inputs!$G$5:$G$120&lt;&gt;"moeda")*(Inputs!$G$5:$G$120&lt;&gt;"acoes")))*INDEX(Inputs!$K$5:$AJ$120,0,MATCH(X$2,Inputs!$K$4:$AJ$4,0)))+SUMPRODUCT((Inputs!$C$5:$C$120=$B41)*Inputs!$D$5:$D$120*(((Inputs!$G$5:$G$120="moeda")+(Inputs!$G$5:$G$120="acoes"))*Inputs!$B$1+((Inputs!$G$5:$G$120&lt;&gt;"moeda")*(Inputs!$G$5:$G$120&lt;&gt;"acoes")))*INDEX(Inputs!$K$5:$AJ$120,0,MATCH(X$2,Inputs!$K$4:$AJ$4,0)))+SUMPRODUCT((Inputs!$E$5:$E$120=$B41)*Inputs!$F$5:$F$120*(((Inputs!$G$5:$G$120="moeda")+(Inputs!$G$5:$G$120="acoes"))*Inputs!$B$1+((Inputs!$G$5:$G$120&lt;&gt;"moeda")*(Inputs!$G$5:$G$120&lt;&gt;"acoes")))*INDEX(Inputs!$K$5:$AJ$120,0,MATCH(X$2,Inputs!$K$4:$AJ$4,0)))))</f>
        <v>765</v>
      </c>
      <c r="Y41" s="6">
        <f>IF(ISNA(MATCH(Y$2,Inputs!$K$4:$AJ$4,0)),NA(),IF(SUMPRODUCT((Inputs!$A$5:$A$120=$B41)*ISNUMBER(INDEX(Inputs!$K$5:$AJ$120,0,MATCH(Y$2,Inputs!$K$4:$AJ$4,0))))+SUMPRODUCT((Inputs!$C$5:$C$120=$B41)*ISNUMBER(INDEX(Inputs!$K$5:$AJ$120,0,MATCH(Y$2,Inputs!$K$4:$AJ$4,0))))+SUMPRODUCT((Inputs!$E$5:$E$120=$B41)*ISNUMBER(INDEX(Inputs!$K$5:$AJ$120,0,MATCH(Y$2,Inputs!$K$4:$AJ$4,0))))=0,NA(),SUMPRODUCT((Inputs!$A$5:$A$120=$B41)*Inputs!$B$5:$B$120*(((Inputs!$G$5:$G$120="moeda")+(Inputs!$G$5:$G$120="acoes"))*Inputs!$B$1+((Inputs!$G$5:$G$120&lt;&gt;"moeda")*(Inputs!$G$5:$G$120&lt;&gt;"acoes")))*INDEX(Inputs!$K$5:$AJ$120,0,MATCH(Y$2,Inputs!$K$4:$AJ$4,0)))+SUMPRODUCT((Inputs!$C$5:$C$120=$B41)*Inputs!$D$5:$D$120*(((Inputs!$G$5:$G$120="moeda")+(Inputs!$G$5:$G$120="acoes"))*Inputs!$B$1+((Inputs!$G$5:$G$120&lt;&gt;"moeda")*(Inputs!$G$5:$G$120&lt;&gt;"acoes")))*INDEX(Inputs!$K$5:$AJ$120,0,MATCH(Y$2,Inputs!$K$4:$AJ$4,0)))+SUMPRODUCT((Inputs!$E$5:$E$120=$B41)*Inputs!$F$5:$F$120*(((Inputs!$G$5:$G$120="moeda")+(Inputs!$G$5:$G$120="acoes"))*Inputs!$B$1+((Inputs!$G$5:$G$120&lt;&gt;"moeda")*(Inputs!$G$5:$G$120&lt;&gt;"acoes")))*INDEX(Inputs!$K$5:$AJ$120,0,MATCH(Y$2,Inputs!$K$4:$AJ$4,0)))))</f>
        <v>758</v>
      </c>
      <c r="Z41" s="6">
        <f>IF(ISNA(MATCH(Z$2,Inputs!$K$4:$AJ$4,0)),NA(),IF(SUMPRODUCT((Inputs!$A$5:$A$120=$B41)*ISNUMBER(INDEX(Inputs!$K$5:$AJ$120,0,MATCH(Z$2,Inputs!$K$4:$AJ$4,0))))+SUMPRODUCT((Inputs!$C$5:$C$120=$B41)*ISNUMBER(INDEX(Inputs!$K$5:$AJ$120,0,MATCH(Z$2,Inputs!$K$4:$AJ$4,0))))+SUMPRODUCT((Inputs!$E$5:$E$120=$B41)*ISNUMBER(INDEX(Inputs!$K$5:$AJ$120,0,MATCH(Z$2,Inputs!$K$4:$AJ$4,0))))=0,NA(),SUMPRODUCT((Inputs!$A$5:$A$120=$B41)*Inputs!$B$5:$B$120*(((Inputs!$G$5:$G$120="moeda")+(Inputs!$G$5:$G$120="acoes"))*Inputs!$B$1+((Inputs!$G$5:$G$120&lt;&gt;"moeda")*(Inputs!$G$5:$G$120&lt;&gt;"acoes")))*INDEX(Inputs!$K$5:$AJ$120,0,MATCH(Z$2,Inputs!$K$4:$AJ$4,0)))+SUMPRODUCT((Inputs!$C$5:$C$120=$B41)*Inputs!$D$5:$D$120*(((Inputs!$G$5:$G$120="moeda")+(Inputs!$G$5:$G$120="acoes"))*Inputs!$B$1+((Inputs!$G$5:$G$120&lt;&gt;"moeda")*(Inputs!$G$5:$G$120&lt;&gt;"acoes")))*INDEX(Inputs!$K$5:$AJ$120,0,MATCH(Z$2,Inputs!$K$4:$AJ$4,0)))+SUMPRODUCT((Inputs!$E$5:$E$120=$B41)*Inputs!$F$5:$F$120*(((Inputs!$G$5:$G$120="moeda")+(Inputs!$G$5:$G$120="acoes"))*Inputs!$B$1+((Inputs!$G$5:$G$120&lt;&gt;"moeda")*(Inputs!$G$5:$G$120&lt;&gt;"acoes")))*INDEX(Inputs!$K$5:$AJ$120,0,MATCH(Z$2,Inputs!$K$4:$AJ$4,0)))))</f>
        <v>746</v>
      </c>
      <c r="AA41" s="6">
        <f>IF(ISNA(MATCH(AA$2,Inputs!$K$4:$AJ$4,0)),NA(),IF(SUMPRODUCT((Inputs!$A$5:$A$120=$B41)*ISNUMBER(INDEX(Inputs!$K$5:$AJ$120,0,MATCH(AA$2,Inputs!$K$4:$AJ$4,0))))+SUMPRODUCT((Inputs!$C$5:$C$120=$B41)*ISNUMBER(INDEX(Inputs!$K$5:$AJ$120,0,MATCH(AA$2,Inputs!$K$4:$AJ$4,0))))+SUMPRODUCT((Inputs!$E$5:$E$120=$B41)*ISNUMBER(INDEX(Inputs!$K$5:$AJ$120,0,MATCH(AA$2,Inputs!$K$4:$AJ$4,0))))=0,NA(),SUMPRODUCT((Inputs!$A$5:$A$120=$B41)*Inputs!$B$5:$B$120*(((Inputs!$G$5:$G$120="moeda")+(Inputs!$G$5:$G$120="acoes"))*Inputs!$B$1+((Inputs!$G$5:$G$120&lt;&gt;"moeda")*(Inputs!$G$5:$G$120&lt;&gt;"acoes")))*INDEX(Inputs!$K$5:$AJ$120,0,MATCH(AA$2,Inputs!$K$4:$AJ$4,0)))+SUMPRODUCT((Inputs!$C$5:$C$120=$B41)*Inputs!$D$5:$D$120*(((Inputs!$G$5:$G$120="moeda")+(Inputs!$G$5:$G$120="acoes"))*Inputs!$B$1+((Inputs!$G$5:$G$120&lt;&gt;"moeda")*(Inputs!$G$5:$G$120&lt;&gt;"acoes")))*INDEX(Inputs!$K$5:$AJ$120,0,MATCH(AA$2,Inputs!$K$4:$AJ$4,0)))+SUMPRODUCT((Inputs!$E$5:$E$120=$B41)*Inputs!$F$5:$F$120*(((Inputs!$G$5:$G$120="moeda")+(Inputs!$G$5:$G$120="acoes"))*Inputs!$B$1+((Inputs!$G$5:$G$120&lt;&gt;"moeda")*(Inputs!$G$5:$G$120&lt;&gt;"acoes")))*INDEX(Inputs!$K$5:$AJ$120,0,MATCH(AA$2,Inputs!$K$4:$AJ$4,0)))))</f>
        <v>728</v>
      </c>
      <c r="AB41" s="3">
        <f>AA41</f>
        <v>728</v>
      </c>
      <c r="AC41" s="6">
        <f>IF(ISNA(MATCH(AC$2,Inputs!$K$4:$AJ$4,0)),NA(),IF(SUMPRODUCT((Inputs!$A$5:$A$120=$B41)*ISNUMBER(INDEX(Inputs!$K$5:$AJ$120,0,MATCH(AC$2,Inputs!$K$4:$AJ$4,0))))+SUMPRODUCT((Inputs!$C$5:$C$120=$B41)*ISNUMBER(INDEX(Inputs!$K$5:$AJ$120,0,MATCH(AC$2,Inputs!$K$4:$AJ$4,0))))+SUMPRODUCT((Inputs!$E$5:$E$120=$B41)*ISNUMBER(INDEX(Inputs!$K$5:$AJ$120,0,MATCH(AC$2,Inputs!$K$4:$AJ$4,0))))=0,NA(),SUMPRODUCT((Inputs!$A$5:$A$120=$B41)*Inputs!$B$5:$B$120*(((Inputs!$G$5:$G$120="moeda")+(Inputs!$G$5:$G$120="acoes"))*Inputs!$B$1+((Inputs!$G$5:$G$120&lt;&gt;"moeda")*(Inputs!$G$5:$G$120&lt;&gt;"acoes")))*INDEX(Inputs!$K$5:$AJ$120,0,MATCH(AC$2,Inputs!$K$4:$AJ$4,0)))+SUMPRODUCT((Inputs!$C$5:$C$120=$B41)*Inputs!$D$5:$D$120*(((Inputs!$G$5:$G$120="moeda")+(Inputs!$G$5:$G$120="acoes"))*Inputs!$B$1+((Inputs!$G$5:$G$120&lt;&gt;"moeda")*(Inputs!$G$5:$G$120&lt;&gt;"acoes")))*INDEX(Inputs!$K$5:$AJ$120,0,MATCH(AC$2,Inputs!$K$4:$AJ$4,0)))+SUMPRODUCT((Inputs!$E$5:$E$120=$B41)*Inputs!$F$5:$F$120*(((Inputs!$G$5:$G$120="moeda")+(Inputs!$G$5:$G$120="acoes"))*Inputs!$B$1+((Inputs!$G$5:$G$120&lt;&gt;"moeda")*(Inputs!$G$5:$G$120&lt;&gt;"acoes")))*INDEX(Inputs!$K$5:$AJ$120,0,MATCH(AC$2,Inputs!$K$4:$AJ$4,0)))))</f>
        <v>686</v>
      </c>
      <c r="AD41" s="6">
        <f>IF(ISNA(MATCH(AD$2,Inputs!$K$4:$AJ$4,0)),NA(),IF(SUMPRODUCT((Inputs!$A$5:$A$120=$B41)*ISNUMBER(INDEX(Inputs!$K$5:$AJ$120,0,MATCH(AD$2,Inputs!$K$4:$AJ$4,0))))+SUMPRODUCT((Inputs!$C$5:$C$120=$B41)*ISNUMBER(INDEX(Inputs!$K$5:$AJ$120,0,MATCH(AD$2,Inputs!$K$4:$AJ$4,0))))+SUMPRODUCT((Inputs!$E$5:$E$120=$B41)*ISNUMBER(INDEX(Inputs!$K$5:$AJ$120,0,MATCH(AD$2,Inputs!$K$4:$AJ$4,0))))=0,NA(),SUMPRODUCT((Inputs!$A$5:$A$120=$B41)*Inputs!$B$5:$B$120*(((Inputs!$G$5:$G$120="moeda")+(Inputs!$G$5:$G$120="acoes"))*Inputs!$B$1+((Inputs!$G$5:$G$120&lt;&gt;"moeda")*(Inputs!$G$5:$G$120&lt;&gt;"acoes")))*INDEX(Inputs!$K$5:$AJ$120,0,MATCH(AD$2,Inputs!$K$4:$AJ$4,0)))+SUMPRODUCT((Inputs!$C$5:$C$120=$B41)*Inputs!$D$5:$D$120*(((Inputs!$G$5:$G$120="moeda")+(Inputs!$G$5:$G$120="acoes"))*Inputs!$B$1+((Inputs!$G$5:$G$120&lt;&gt;"moeda")*(Inputs!$G$5:$G$120&lt;&gt;"acoes")))*INDEX(Inputs!$K$5:$AJ$120,0,MATCH(AD$2,Inputs!$K$4:$AJ$4,0)))+SUMPRODUCT((Inputs!$E$5:$E$120=$B41)*Inputs!$F$5:$F$120*(((Inputs!$G$5:$G$120="moeda")+(Inputs!$G$5:$G$120="acoes"))*Inputs!$B$1+((Inputs!$G$5:$G$120&lt;&gt;"moeda")*(Inputs!$G$5:$G$120&lt;&gt;"acoes")))*INDEX(Inputs!$K$5:$AJ$120,0,MATCH(AD$2,Inputs!$K$4:$AJ$4,0)))))</f>
        <v>661</v>
      </c>
      <c r="AE41" s="6" t="e">
        <f>IF(ISNA(MATCH(AE$2,Inputs!$K$4:$AJ$4,0)),NA(),IF(SUMPRODUCT((Inputs!$A$5:$A$120=$B41)*ISNUMBER(INDEX(Inputs!$K$5:$AJ$120,0,MATCH(AE$2,Inputs!$K$4:$AJ$4,0))))+SUMPRODUCT((Inputs!$C$5:$C$120=$B41)*ISNUMBER(INDEX(Inputs!$K$5:$AJ$120,0,MATCH(AE$2,Inputs!$K$4:$AJ$4,0))))+SUMPRODUCT((Inputs!$E$5:$E$120=$B41)*ISNUMBER(INDEX(Inputs!$K$5:$AJ$120,0,MATCH(AE$2,Inputs!$K$4:$AJ$4,0))))=0,NA(),SUMPRODUCT((Inputs!$A$5:$A$120=$B41)*Inputs!$B$5:$B$120*(((Inputs!$G$5:$G$120="moeda")+(Inputs!$G$5:$G$120="acoes"))*Inputs!$B$1+((Inputs!$G$5:$G$120&lt;&gt;"moeda")*(Inputs!$G$5:$G$120&lt;&gt;"acoes")))*INDEX(Inputs!$K$5:$AJ$120,0,MATCH(AE$2,Inputs!$K$4:$AJ$4,0)))+SUMPRODUCT((Inputs!$C$5:$C$120=$B41)*Inputs!$D$5:$D$120*(((Inputs!$G$5:$G$120="moeda")+(Inputs!$G$5:$G$120="acoes"))*Inputs!$B$1+((Inputs!$G$5:$G$120&lt;&gt;"moeda")*(Inputs!$G$5:$G$120&lt;&gt;"acoes")))*INDEX(Inputs!$K$5:$AJ$120,0,MATCH(AE$2,Inputs!$K$4:$AJ$4,0)))+SUMPRODUCT((Inputs!$E$5:$E$120=$B41)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41" s="6" t="e">
        <f>IF(ISNA(MATCH(AF$2,Inputs!$K$4:$AJ$4,0)),NA(),IF(SUMPRODUCT((Inputs!$A$5:$A$120=$B41)*ISNUMBER(INDEX(Inputs!$K$5:$AJ$120,0,MATCH(AF$2,Inputs!$K$4:$AJ$4,0))))+SUMPRODUCT((Inputs!$C$5:$C$120=$B41)*ISNUMBER(INDEX(Inputs!$K$5:$AJ$120,0,MATCH(AF$2,Inputs!$K$4:$AJ$4,0))))+SUMPRODUCT((Inputs!$E$5:$E$120=$B41)*ISNUMBER(INDEX(Inputs!$K$5:$AJ$120,0,MATCH(AF$2,Inputs!$K$4:$AJ$4,0))))=0,NA(),SUMPRODUCT((Inputs!$A$5:$A$120=$B41)*Inputs!$B$5:$B$120*(((Inputs!$G$5:$G$120="moeda")+(Inputs!$G$5:$G$120="acoes"))*Inputs!$B$1+((Inputs!$G$5:$G$120&lt;&gt;"moeda")*(Inputs!$G$5:$G$120&lt;&gt;"acoes")))*INDEX(Inputs!$K$5:$AJ$120,0,MATCH(AF$2,Inputs!$K$4:$AJ$4,0)))+SUMPRODUCT((Inputs!$C$5:$C$120=$B41)*Inputs!$D$5:$D$120*(((Inputs!$G$5:$G$120="moeda")+(Inputs!$G$5:$G$120="acoes"))*Inputs!$B$1+((Inputs!$G$5:$G$120&lt;&gt;"moeda")*(Inputs!$G$5:$G$120&lt;&gt;"acoes")))*INDEX(Inputs!$K$5:$AJ$120,0,MATCH(AF$2,Inputs!$K$4:$AJ$4,0)))+SUMPRODUCT((Inputs!$E$5:$E$120=$B41)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41" s="3" t="e">
        <f>AF41</f>
        <v>#N/A</v>
      </c>
      <c r="AH41" s="6">
        <f>IF(ISNA(MATCH(AH$2,Inputs!$K$4:$AJ$4,0)),NA(),IF(SUMPRODUCT((Inputs!$A$5:$A$120=$B41)*ISNUMBER(INDEX(Inputs!$K$5:$AJ$120,0,MATCH(AH$2,Inputs!$K$4:$AJ$4,0))))+SUMPRODUCT((Inputs!$C$5:$C$120=$B41)*ISNUMBER(INDEX(Inputs!$K$5:$AJ$120,0,MATCH(AH$2,Inputs!$K$4:$AJ$4,0))))+SUMPRODUCT((Inputs!$E$5:$E$120=$B41)*ISNUMBER(INDEX(Inputs!$K$5:$AJ$120,0,MATCH(AH$2,Inputs!$K$4:$AJ$4,0))))=0,NA(),SUMPRODUCT((Inputs!$A$5:$A$120=$B41)*Inputs!$B$5:$B$120*(((Inputs!$G$5:$G$120="moeda")+(Inputs!$G$5:$G$120="acoes"))*Inputs!$B$1+((Inputs!$G$5:$G$120&lt;&gt;"moeda")*(Inputs!$G$5:$G$120&lt;&gt;"acoes")))*INDEX(Inputs!$K$5:$AJ$120,0,MATCH(AH$2,Inputs!$K$4:$AJ$4,0)))+SUMPRODUCT((Inputs!$C$5:$C$120=$B41)*Inputs!$D$5:$D$120*(((Inputs!$G$5:$G$120="moeda")+(Inputs!$G$5:$G$120="acoes"))*Inputs!$B$1+((Inputs!$G$5:$G$120&lt;&gt;"moeda")*(Inputs!$G$5:$G$120&lt;&gt;"acoes")))*INDEX(Inputs!$K$5:$AJ$120,0,MATCH(AH$2,Inputs!$K$4:$AJ$4,0)))+SUMPRODUCT((Inputs!$E$5:$E$120=$B41)*Inputs!$F$5:$F$120*(((Inputs!$G$5:$G$120="moeda")+(Inputs!$G$5:$G$120="acoes"))*Inputs!$B$1+((Inputs!$G$5:$G$120&lt;&gt;"moeda")*(Inputs!$G$5:$G$120&lt;&gt;"acoes")))*INDEX(Inputs!$K$5:$AJ$120,0,MATCH(AH$2,Inputs!$K$4:$AJ$4,0)))))</f>
        <v>1499</v>
      </c>
      <c r="AI41" s="6">
        <f>IF(ISNA(MATCH(AI$2,Inputs!$K$4:$AJ$4,0)),NA(),IF(SUMPRODUCT((Inputs!$A$5:$A$120=$B41)*ISNUMBER(INDEX(Inputs!$K$5:$AJ$120,0,MATCH(AI$2,Inputs!$K$4:$AJ$4,0))))+SUMPRODUCT((Inputs!$C$5:$C$120=$B41)*ISNUMBER(INDEX(Inputs!$K$5:$AJ$120,0,MATCH(AI$2,Inputs!$K$4:$AJ$4,0))))+SUMPRODUCT((Inputs!$E$5:$E$120=$B41)*ISNUMBER(INDEX(Inputs!$K$5:$AJ$120,0,MATCH(AI$2,Inputs!$K$4:$AJ$4,0))))=0,NA(),SUMPRODUCT((Inputs!$A$5:$A$120=$B41)*Inputs!$B$5:$B$120*(((Inputs!$G$5:$G$120="moeda")+(Inputs!$G$5:$G$120="acoes"))*Inputs!$B$1+((Inputs!$G$5:$G$120&lt;&gt;"moeda")*(Inputs!$G$5:$G$120&lt;&gt;"acoes")))*INDEX(Inputs!$K$5:$AJ$120,0,MATCH(AI$2,Inputs!$K$4:$AJ$4,0)))+SUMPRODUCT((Inputs!$C$5:$C$120=$B41)*Inputs!$D$5:$D$120*(((Inputs!$G$5:$G$120="moeda")+(Inputs!$G$5:$G$120="acoes"))*Inputs!$B$1+((Inputs!$G$5:$G$120&lt;&gt;"moeda")*(Inputs!$G$5:$G$120&lt;&gt;"acoes")))*INDEX(Inputs!$K$5:$AJ$120,0,MATCH(AI$2,Inputs!$K$4:$AJ$4,0)))+SUMPRODUCT((Inputs!$E$5:$E$120=$B41)*Inputs!$F$5:$F$120*(((Inputs!$G$5:$G$120="moeda")+(Inputs!$G$5:$G$120="acoes"))*Inputs!$B$1+((Inputs!$G$5:$G$120&lt;&gt;"moeda")*(Inputs!$G$5:$G$120&lt;&gt;"acoes")))*INDEX(Inputs!$K$5:$AJ$120,0,MATCH(AI$2,Inputs!$K$4:$AJ$4,0)))))</f>
        <v>1482</v>
      </c>
      <c r="AJ41" s="6">
        <f>IF(ISNA(MATCH(AJ$2,Inputs!$K$4:$AJ$4,0)),NA(),IF(SUMPRODUCT((Inputs!$A$5:$A$120=$B41)*ISNUMBER(INDEX(Inputs!$K$5:$AJ$120,0,MATCH(AJ$2,Inputs!$K$4:$AJ$4,0))))+SUMPRODUCT((Inputs!$C$5:$C$120=$B41)*ISNUMBER(INDEX(Inputs!$K$5:$AJ$120,0,MATCH(AJ$2,Inputs!$K$4:$AJ$4,0))))+SUMPRODUCT((Inputs!$E$5:$E$120=$B41)*ISNUMBER(INDEX(Inputs!$K$5:$AJ$120,0,MATCH(AJ$2,Inputs!$K$4:$AJ$4,0))))=0,NA(),SUMPRODUCT((Inputs!$A$5:$A$120=$B41)*Inputs!$B$5:$B$120*(((Inputs!$G$5:$G$120="moeda")+(Inputs!$G$5:$G$120="acoes"))*Inputs!$B$1+((Inputs!$G$5:$G$120&lt;&gt;"moeda")*(Inputs!$G$5:$G$120&lt;&gt;"acoes")))*INDEX(Inputs!$K$5:$AJ$120,0,MATCH(AJ$2,Inputs!$K$4:$AJ$4,0)))+SUMPRODUCT((Inputs!$C$5:$C$120=$B41)*Inputs!$D$5:$D$120*(((Inputs!$G$5:$G$120="moeda")+(Inputs!$G$5:$G$120="acoes"))*Inputs!$B$1+((Inputs!$G$5:$G$120&lt;&gt;"moeda")*(Inputs!$G$5:$G$120&lt;&gt;"acoes")))*INDEX(Inputs!$K$5:$AJ$120,0,MATCH(AJ$2,Inputs!$K$4:$AJ$4,0)))+SUMPRODUCT((Inputs!$E$5:$E$120=$B41)*Inputs!$F$5:$F$120*(((Inputs!$G$5:$G$120="moeda")+(Inputs!$G$5:$G$120="acoes"))*Inputs!$B$1+((Inputs!$G$5:$G$120&lt;&gt;"moeda")*(Inputs!$G$5:$G$120&lt;&gt;"acoes")))*INDEX(Inputs!$K$5:$AJ$120,0,MATCH(AJ$2,Inputs!$K$4:$AJ$4,0)))))</f>
        <v>1469</v>
      </c>
      <c r="AK41" s="6">
        <f>IF(ISNA(MATCH(AK$2,Inputs!$K$4:$AJ$4,0)),NA(),IF(SUMPRODUCT((Inputs!$A$5:$A$120=$B41)*ISNUMBER(INDEX(Inputs!$K$5:$AJ$120,0,MATCH(AK$2,Inputs!$K$4:$AJ$4,0))))+SUMPRODUCT((Inputs!$C$5:$C$120=$B41)*ISNUMBER(INDEX(Inputs!$K$5:$AJ$120,0,MATCH(AK$2,Inputs!$K$4:$AJ$4,0))))+SUMPRODUCT((Inputs!$E$5:$E$120=$B41)*ISNUMBER(INDEX(Inputs!$K$5:$AJ$120,0,MATCH(AK$2,Inputs!$K$4:$AJ$4,0))))=0,NA(),SUMPRODUCT((Inputs!$A$5:$A$120=$B41)*Inputs!$B$5:$B$120*(((Inputs!$G$5:$G$120="moeda")+(Inputs!$G$5:$G$120="acoes"))*Inputs!$B$1+((Inputs!$G$5:$G$120&lt;&gt;"moeda")*(Inputs!$G$5:$G$120&lt;&gt;"acoes")))*INDEX(Inputs!$K$5:$AJ$120,0,MATCH(AK$2,Inputs!$K$4:$AJ$4,0)))+SUMPRODUCT((Inputs!$C$5:$C$120=$B41)*Inputs!$D$5:$D$120*(((Inputs!$G$5:$G$120="moeda")+(Inputs!$G$5:$G$120="acoes"))*Inputs!$B$1+((Inputs!$G$5:$G$120&lt;&gt;"moeda")*(Inputs!$G$5:$G$120&lt;&gt;"acoes")))*INDEX(Inputs!$K$5:$AJ$120,0,MATCH(AK$2,Inputs!$K$4:$AJ$4,0)))+SUMPRODUCT((Inputs!$E$5:$E$120=$B41)*Inputs!$F$5:$F$120*(((Inputs!$G$5:$G$120="moeda")+(Inputs!$G$5:$G$120="acoes"))*Inputs!$B$1+((Inputs!$G$5:$G$120&lt;&gt;"moeda")*(Inputs!$G$5:$G$120&lt;&gt;"acoes")))*INDEX(Inputs!$K$5:$AJ$120,0,MATCH(AK$2,Inputs!$K$4:$AJ$4,0)))))</f>
        <v>1454</v>
      </c>
      <c r="AL41" s="3">
        <f>AK41</f>
        <v>1454</v>
      </c>
    </row>
    <row r="42">
      <c r="B42" s="46" t="n">
        <v>36</v>
      </c>
      <c r="C42" s="26" t="inlineStr">
        <is>
          <t>Convertible Preferred Stock</t>
        </is>
      </c>
      <c r="D42" s="6" t="e">
        <f>IF(ISNA(MATCH(D$2,Inputs!$K$4:$AJ$4,0)),NA(),IF(SUMPRODUCT((Inputs!$A$5:$A$120=$B42)*ISNUMBER(INDEX(Inputs!$K$5:$AJ$120,0,MATCH(D$2,Inputs!$K$4:$AJ$4,0))))+SUMPRODUCT((Inputs!$C$5:$C$120=$B42)*ISNUMBER(INDEX(Inputs!$K$5:$AJ$120,0,MATCH(D$2,Inputs!$K$4:$AJ$4,0))))+SUMPRODUCT((Inputs!$E$5:$E$120=$B42)*ISNUMBER(INDEX(Inputs!$K$5:$AJ$120,0,MATCH(D$2,Inputs!$K$4:$AJ$4,0))))=0,NA(),SUMPRODUCT((Inputs!$A$5:$A$120=$B42)*Inputs!$B$5:$B$120*(((Inputs!$G$5:$G$120="moeda")+(Inputs!$G$5:$G$120="acoes"))*Inputs!$B$1+((Inputs!$G$5:$G$120&lt;&gt;"moeda")*(Inputs!$G$5:$G$120&lt;&gt;"acoes")))*INDEX(Inputs!$K$5:$AJ$120,0,MATCH(D$2,Inputs!$K$4:$AJ$4,0)))+SUMPRODUCT((Inputs!$C$5:$C$120=$B42)*Inputs!$D$5:$D$120*(((Inputs!$G$5:$G$120="moeda")+(Inputs!$G$5:$G$120="acoes"))*Inputs!$B$1+((Inputs!$G$5:$G$120&lt;&gt;"moeda")*(Inputs!$G$5:$G$120&lt;&gt;"acoes")))*INDEX(Inputs!$K$5:$AJ$120,0,MATCH(D$2,Inputs!$K$4:$AJ$4,0)))+SUMPRODUCT((Inputs!$E$5:$E$120=$B42)*Inputs!$F$5:$F$120*(((Inputs!$G$5:$G$120="moeda")+(Inputs!$G$5:$G$120="acoes"))*Inputs!$B$1+((Inputs!$G$5:$G$120&lt;&gt;"moeda")*(Inputs!$G$5:$G$120&lt;&gt;"acoes")))*INDEX(Inputs!$K$5:$AJ$120,0,MATCH(D$2,Inputs!$K$4:$AJ$4,0)))))</f>
        <v>#N/A</v>
      </c>
      <c r="E42" s="6" t="e">
        <f>IF(ISNA(MATCH(E$2,Inputs!$K$4:$AJ$4,0)),NA(),IF(SUMPRODUCT((Inputs!$A$5:$A$120=$B42)*ISNUMBER(INDEX(Inputs!$K$5:$AJ$120,0,MATCH(E$2,Inputs!$K$4:$AJ$4,0))))+SUMPRODUCT((Inputs!$C$5:$C$120=$B42)*ISNUMBER(INDEX(Inputs!$K$5:$AJ$120,0,MATCH(E$2,Inputs!$K$4:$AJ$4,0))))+SUMPRODUCT((Inputs!$E$5:$E$120=$B42)*ISNUMBER(INDEX(Inputs!$K$5:$AJ$120,0,MATCH(E$2,Inputs!$K$4:$AJ$4,0))))=0,NA(),SUMPRODUCT((Inputs!$A$5:$A$120=$B42)*Inputs!$B$5:$B$120*(((Inputs!$G$5:$G$120="moeda")+(Inputs!$G$5:$G$120="acoes"))*Inputs!$B$1+((Inputs!$G$5:$G$120&lt;&gt;"moeda")*(Inputs!$G$5:$G$120&lt;&gt;"acoes")))*INDEX(Inputs!$K$5:$AJ$120,0,MATCH(E$2,Inputs!$K$4:$AJ$4,0)))+SUMPRODUCT((Inputs!$C$5:$C$120=$B42)*Inputs!$D$5:$D$120*(((Inputs!$G$5:$G$120="moeda")+(Inputs!$G$5:$G$120="acoes"))*Inputs!$B$1+((Inputs!$G$5:$G$120&lt;&gt;"moeda")*(Inputs!$G$5:$G$120&lt;&gt;"acoes")))*INDEX(Inputs!$K$5:$AJ$120,0,MATCH(E$2,Inputs!$K$4:$AJ$4,0)))+SUMPRODUCT((Inputs!$E$5:$E$120=$B42)*Inputs!$F$5:$F$120*(((Inputs!$G$5:$G$120="moeda")+(Inputs!$G$5:$G$120="acoes"))*Inputs!$B$1+((Inputs!$G$5:$G$120&lt;&gt;"moeda")*(Inputs!$G$5:$G$120&lt;&gt;"acoes")))*INDEX(Inputs!$K$5:$AJ$120,0,MATCH(E$2,Inputs!$K$4:$AJ$4,0)))))</f>
        <v>#N/A</v>
      </c>
      <c r="F42" s="6" t="e">
        <f>IF(ISNA(MATCH(F$2,Inputs!$K$4:$AJ$4,0)),NA(),IF(SUMPRODUCT((Inputs!$A$5:$A$120=$B42)*ISNUMBER(INDEX(Inputs!$K$5:$AJ$120,0,MATCH(F$2,Inputs!$K$4:$AJ$4,0))))+SUMPRODUCT((Inputs!$C$5:$C$120=$B42)*ISNUMBER(INDEX(Inputs!$K$5:$AJ$120,0,MATCH(F$2,Inputs!$K$4:$AJ$4,0))))+SUMPRODUCT((Inputs!$E$5:$E$120=$B42)*ISNUMBER(INDEX(Inputs!$K$5:$AJ$120,0,MATCH(F$2,Inputs!$K$4:$AJ$4,0))))=0,NA(),SUMPRODUCT((Inputs!$A$5:$A$120=$B42)*Inputs!$B$5:$B$120*(((Inputs!$G$5:$G$120="moeda")+(Inputs!$G$5:$G$120="acoes"))*Inputs!$B$1+((Inputs!$G$5:$G$120&lt;&gt;"moeda")*(Inputs!$G$5:$G$120&lt;&gt;"acoes")))*INDEX(Inputs!$K$5:$AJ$120,0,MATCH(F$2,Inputs!$K$4:$AJ$4,0)))+SUMPRODUCT((Inputs!$C$5:$C$120=$B42)*Inputs!$D$5:$D$120*(((Inputs!$G$5:$G$120="moeda")+(Inputs!$G$5:$G$120="acoes"))*Inputs!$B$1+((Inputs!$G$5:$G$120&lt;&gt;"moeda")*(Inputs!$G$5:$G$120&lt;&gt;"acoes")))*INDEX(Inputs!$K$5:$AJ$120,0,MATCH(F$2,Inputs!$K$4:$AJ$4,0)))+SUMPRODUCT((Inputs!$E$5:$E$120=$B42)*Inputs!$F$5:$F$120*(((Inputs!$G$5:$G$120="moeda")+(Inputs!$G$5:$G$120="acoes"))*Inputs!$B$1+((Inputs!$G$5:$G$120&lt;&gt;"moeda")*(Inputs!$G$5:$G$120&lt;&gt;"acoes")))*INDEX(Inputs!$K$5:$AJ$120,0,MATCH(F$2,Inputs!$K$4:$AJ$4,0)))))</f>
        <v>#N/A</v>
      </c>
      <c r="G42" s="6" t="e">
        <f>IF(ISNA(MATCH(G$2,Inputs!$K$4:$AJ$4,0)),NA(),IF(SUMPRODUCT((Inputs!$A$5:$A$120=$B42)*ISNUMBER(INDEX(Inputs!$K$5:$AJ$120,0,MATCH(G$2,Inputs!$K$4:$AJ$4,0))))+SUMPRODUCT((Inputs!$C$5:$C$120=$B42)*ISNUMBER(INDEX(Inputs!$K$5:$AJ$120,0,MATCH(G$2,Inputs!$K$4:$AJ$4,0))))+SUMPRODUCT((Inputs!$E$5:$E$120=$B42)*ISNUMBER(INDEX(Inputs!$K$5:$AJ$120,0,MATCH(G$2,Inputs!$K$4:$AJ$4,0))))=0,NA(),SUMPRODUCT((Inputs!$A$5:$A$120=$B42)*Inputs!$B$5:$B$120*(((Inputs!$G$5:$G$120="moeda")+(Inputs!$G$5:$G$120="acoes"))*Inputs!$B$1+((Inputs!$G$5:$G$120&lt;&gt;"moeda")*(Inputs!$G$5:$G$120&lt;&gt;"acoes")))*INDEX(Inputs!$K$5:$AJ$120,0,MATCH(G$2,Inputs!$K$4:$AJ$4,0)))+SUMPRODUCT((Inputs!$C$5:$C$120=$B42)*Inputs!$D$5:$D$120*(((Inputs!$G$5:$G$120="moeda")+(Inputs!$G$5:$G$120="acoes"))*Inputs!$B$1+((Inputs!$G$5:$G$120&lt;&gt;"moeda")*(Inputs!$G$5:$G$120&lt;&gt;"acoes")))*INDEX(Inputs!$K$5:$AJ$120,0,MATCH(G$2,Inputs!$K$4:$AJ$4,0)))+SUMPRODUCT((Inputs!$E$5:$E$120=$B42)*Inputs!$F$5:$F$120*(((Inputs!$G$5:$G$120="moeda")+(Inputs!$G$5:$G$120="acoes"))*Inputs!$B$1+((Inputs!$G$5:$G$120&lt;&gt;"moeda")*(Inputs!$G$5:$G$120&lt;&gt;"acoes")))*INDEX(Inputs!$K$5:$AJ$120,0,MATCH(G$2,Inputs!$K$4:$AJ$4,0)))))</f>
        <v>#N/A</v>
      </c>
      <c r="H42" s="3" t="e">
        <f>G42</f>
        <v>#N/A</v>
      </c>
      <c r="I42" s="6" t="e">
        <f>IF(ISNA(MATCH(I$2,Inputs!$K$4:$AJ$4,0)),NA(),IF(SUMPRODUCT((Inputs!$A$5:$A$120=$B42)*ISNUMBER(INDEX(Inputs!$K$5:$AJ$120,0,MATCH(I$2,Inputs!$K$4:$AJ$4,0))))+SUMPRODUCT((Inputs!$C$5:$C$120=$B42)*ISNUMBER(INDEX(Inputs!$K$5:$AJ$120,0,MATCH(I$2,Inputs!$K$4:$AJ$4,0))))+SUMPRODUCT((Inputs!$E$5:$E$120=$B42)*ISNUMBER(INDEX(Inputs!$K$5:$AJ$120,0,MATCH(I$2,Inputs!$K$4:$AJ$4,0))))=0,NA(),SUMPRODUCT((Inputs!$A$5:$A$120=$B42)*Inputs!$B$5:$B$120*(((Inputs!$G$5:$G$120="moeda")+(Inputs!$G$5:$G$120="acoes"))*Inputs!$B$1+((Inputs!$G$5:$G$120&lt;&gt;"moeda")*(Inputs!$G$5:$G$120&lt;&gt;"acoes")))*INDEX(Inputs!$K$5:$AJ$120,0,MATCH(I$2,Inputs!$K$4:$AJ$4,0)))+SUMPRODUCT((Inputs!$C$5:$C$120=$B42)*Inputs!$D$5:$D$120*(((Inputs!$G$5:$G$120="moeda")+(Inputs!$G$5:$G$120="acoes"))*Inputs!$B$1+((Inputs!$G$5:$G$120&lt;&gt;"moeda")*(Inputs!$G$5:$G$120&lt;&gt;"acoes")))*INDEX(Inputs!$K$5:$AJ$120,0,MATCH(I$2,Inputs!$K$4:$AJ$4,0)))+SUMPRODUCT((Inputs!$E$5:$E$120=$B42)*Inputs!$F$5:$F$120*(((Inputs!$G$5:$G$120="moeda")+(Inputs!$G$5:$G$120="acoes"))*Inputs!$B$1+((Inputs!$G$5:$G$120&lt;&gt;"moeda")*(Inputs!$G$5:$G$120&lt;&gt;"acoes")))*INDEX(Inputs!$K$5:$AJ$120,0,MATCH(I$2,Inputs!$K$4:$AJ$4,0)))))</f>
        <v>#N/A</v>
      </c>
      <c r="J42" s="6" t="e">
        <f>IF(ISNA(MATCH(J$2,Inputs!$K$4:$AJ$4,0)),NA(),IF(SUMPRODUCT((Inputs!$A$5:$A$120=$B42)*ISNUMBER(INDEX(Inputs!$K$5:$AJ$120,0,MATCH(J$2,Inputs!$K$4:$AJ$4,0))))+SUMPRODUCT((Inputs!$C$5:$C$120=$B42)*ISNUMBER(INDEX(Inputs!$K$5:$AJ$120,0,MATCH(J$2,Inputs!$K$4:$AJ$4,0))))+SUMPRODUCT((Inputs!$E$5:$E$120=$B42)*ISNUMBER(INDEX(Inputs!$K$5:$AJ$120,0,MATCH(J$2,Inputs!$K$4:$AJ$4,0))))=0,NA(),SUMPRODUCT((Inputs!$A$5:$A$120=$B42)*Inputs!$B$5:$B$120*(((Inputs!$G$5:$G$120="moeda")+(Inputs!$G$5:$G$120="acoes"))*Inputs!$B$1+((Inputs!$G$5:$G$120&lt;&gt;"moeda")*(Inputs!$G$5:$G$120&lt;&gt;"acoes")))*INDEX(Inputs!$K$5:$AJ$120,0,MATCH(J$2,Inputs!$K$4:$AJ$4,0)))+SUMPRODUCT((Inputs!$C$5:$C$120=$B42)*Inputs!$D$5:$D$120*(((Inputs!$G$5:$G$120="moeda")+(Inputs!$G$5:$G$120="acoes"))*Inputs!$B$1+((Inputs!$G$5:$G$120&lt;&gt;"moeda")*(Inputs!$G$5:$G$120&lt;&gt;"acoes")))*INDEX(Inputs!$K$5:$AJ$120,0,MATCH(J$2,Inputs!$K$4:$AJ$4,0)))+SUMPRODUCT((Inputs!$E$5:$E$120=$B42)*Inputs!$F$5:$F$120*(((Inputs!$G$5:$G$120="moeda")+(Inputs!$G$5:$G$120="acoes"))*Inputs!$B$1+((Inputs!$G$5:$G$120&lt;&gt;"moeda")*(Inputs!$G$5:$G$120&lt;&gt;"acoes")))*INDEX(Inputs!$K$5:$AJ$120,0,MATCH(J$2,Inputs!$K$4:$AJ$4,0)))))</f>
        <v>#N/A</v>
      </c>
      <c r="K42" s="6" t="e">
        <f>IF(ISNA(MATCH(K$2,Inputs!$K$4:$AJ$4,0)),NA(),IF(SUMPRODUCT((Inputs!$A$5:$A$120=$B42)*ISNUMBER(INDEX(Inputs!$K$5:$AJ$120,0,MATCH(K$2,Inputs!$K$4:$AJ$4,0))))+SUMPRODUCT((Inputs!$C$5:$C$120=$B42)*ISNUMBER(INDEX(Inputs!$K$5:$AJ$120,0,MATCH(K$2,Inputs!$K$4:$AJ$4,0))))+SUMPRODUCT((Inputs!$E$5:$E$120=$B42)*ISNUMBER(INDEX(Inputs!$K$5:$AJ$120,0,MATCH(K$2,Inputs!$K$4:$AJ$4,0))))=0,NA(),SUMPRODUCT((Inputs!$A$5:$A$120=$B42)*Inputs!$B$5:$B$120*(((Inputs!$G$5:$G$120="moeda")+(Inputs!$G$5:$G$120="acoes"))*Inputs!$B$1+((Inputs!$G$5:$G$120&lt;&gt;"moeda")*(Inputs!$G$5:$G$120&lt;&gt;"acoes")))*INDEX(Inputs!$K$5:$AJ$120,0,MATCH(K$2,Inputs!$K$4:$AJ$4,0)))+SUMPRODUCT((Inputs!$C$5:$C$120=$B42)*Inputs!$D$5:$D$120*(((Inputs!$G$5:$G$120="moeda")+(Inputs!$G$5:$G$120="acoes"))*Inputs!$B$1+((Inputs!$G$5:$G$120&lt;&gt;"moeda")*(Inputs!$G$5:$G$120&lt;&gt;"acoes")))*INDEX(Inputs!$K$5:$AJ$120,0,MATCH(K$2,Inputs!$K$4:$AJ$4,0)))+SUMPRODUCT((Inputs!$E$5:$E$120=$B42)*Inputs!$F$5:$F$120*(((Inputs!$G$5:$G$120="moeda")+(Inputs!$G$5:$G$120="acoes"))*Inputs!$B$1+((Inputs!$G$5:$G$120&lt;&gt;"moeda")*(Inputs!$G$5:$G$120&lt;&gt;"acoes")))*INDEX(Inputs!$K$5:$AJ$120,0,MATCH(K$2,Inputs!$K$4:$AJ$4,0)))))</f>
        <v>#N/A</v>
      </c>
      <c r="L42" s="6" t="e">
        <f>IF(ISNA(MATCH(L$2,Inputs!$K$4:$AJ$4,0)),NA(),IF(SUMPRODUCT((Inputs!$A$5:$A$120=$B42)*ISNUMBER(INDEX(Inputs!$K$5:$AJ$120,0,MATCH(L$2,Inputs!$K$4:$AJ$4,0))))+SUMPRODUCT((Inputs!$C$5:$C$120=$B42)*ISNUMBER(INDEX(Inputs!$K$5:$AJ$120,0,MATCH(L$2,Inputs!$K$4:$AJ$4,0))))+SUMPRODUCT((Inputs!$E$5:$E$120=$B42)*ISNUMBER(INDEX(Inputs!$K$5:$AJ$120,0,MATCH(L$2,Inputs!$K$4:$AJ$4,0))))=0,NA(),SUMPRODUCT((Inputs!$A$5:$A$120=$B42)*Inputs!$B$5:$B$120*(((Inputs!$G$5:$G$120="moeda")+(Inputs!$G$5:$G$120="acoes"))*Inputs!$B$1+((Inputs!$G$5:$G$120&lt;&gt;"moeda")*(Inputs!$G$5:$G$120&lt;&gt;"acoes")))*INDEX(Inputs!$K$5:$AJ$120,0,MATCH(L$2,Inputs!$K$4:$AJ$4,0)))+SUMPRODUCT((Inputs!$C$5:$C$120=$B42)*Inputs!$D$5:$D$120*(((Inputs!$G$5:$G$120="moeda")+(Inputs!$G$5:$G$120="acoes"))*Inputs!$B$1+((Inputs!$G$5:$G$120&lt;&gt;"moeda")*(Inputs!$G$5:$G$120&lt;&gt;"acoes")))*INDEX(Inputs!$K$5:$AJ$120,0,MATCH(L$2,Inputs!$K$4:$AJ$4,0)))+SUMPRODUCT((Inputs!$E$5:$E$120=$B42)*Inputs!$F$5:$F$120*(((Inputs!$G$5:$G$120="moeda")+(Inputs!$G$5:$G$120="acoes"))*Inputs!$B$1+((Inputs!$G$5:$G$120&lt;&gt;"moeda")*(Inputs!$G$5:$G$120&lt;&gt;"acoes")))*INDEX(Inputs!$K$5:$AJ$120,0,MATCH(L$2,Inputs!$K$4:$AJ$4,0)))))</f>
        <v>#N/A</v>
      </c>
      <c r="M42" s="3" t="e">
        <f>L42</f>
        <v>#N/A</v>
      </c>
      <c r="N42" s="6" t="e">
        <f>IF(ISNA(MATCH(N$2,Inputs!$K$4:$AJ$4,0)),NA(),IF(SUMPRODUCT((Inputs!$A$5:$A$120=$B42)*ISNUMBER(INDEX(Inputs!$K$5:$AJ$120,0,MATCH(N$2,Inputs!$K$4:$AJ$4,0))))+SUMPRODUCT((Inputs!$C$5:$C$120=$B42)*ISNUMBER(INDEX(Inputs!$K$5:$AJ$120,0,MATCH(N$2,Inputs!$K$4:$AJ$4,0))))+SUMPRODUCT((Inputs!$E$5:$E$120=$B42)*ISNUMBER(INDEX(Inputs!$K$5:$AJ$120,0,MATCH(N$2,Inputs!$K$4:$AJ$4,0))))=0,NA(),SUMPRODUCT((Inputs!$A$5:$A$120=$B42)*Inputs!$B$5:$B$120*(((Inputs!$G$5:$G$120="moeda")+(Inputs!$G$5:$G$120="acoes"))*Inputs!$B$1+((Inputs!$G$5:$G$120&lt;&gt;"moeda")*(Inputs!$G$5:$G$120&lt;&gt;"acoes")))*INDEX(Inputs!$K$5:$AJ$120,0,MATCH(N$2,Inputs!$K$4:$AJ$4,0)))+SUMPRODUCT((Inputs!$C$5:$C$120=$B42)*Inputs!$D$5:$D$120*(((Inputs!$G$5:$G$120="moeda")+(Inputs!$G$5:$G$120="acoes"))*Inputs!$B$1+((Inputs!$G$5:$G$120&lt;&gt;"moeda")*(Inputs!$G$5:$G$120&lt;&gt;"acoes")))*INDEX(Inputs!$K$5:$AJ$120,0,MATCH(N$2,Inputs!$K$4:$AJ$4,0)))+SUMPRODUCT((Inputs!$E$5:$E$120=$B42)*Inputs!$F$5:$F$120*(((Inputs!$G$5:$G$120="moeda")+(Inputs!$G$5:$G$120="acoes"))*Inputs!$B$1+((Inputs!$G$5:$G$120&lt;&gt;"moeda")*(Inputs!$G$5:$G$120&lt;&gt;"acoes")))*INDEX(Inputs!$K$5:$AJ$120,0,MATCH(N$2,Inputs!$K$4:$AJ$4,0)))))</f>
        <v>#N/A</v>
      </c>
      <c r="O42" s="6" t="e">
        <f>IF(ISNA(MATCH(O$2,Inputs!$K$4:$AJ$4,0)),NA(),IF(SUMPRODUCT((Inputs!$A$5:$A$120=$B42)*ISNUMBER(INDEX(Inputs!$K$5:$AJ$120,0,MATCH(O$2,Inputs!$K$4:$AJ$4,0))))+SUMPRODUCT((Inputs!$C$5:$C$120=$B42)*ISNUMBER(INDEX(Inputs!$K$5:$AJ$120,0,MATCH(O$2,Inputs!$K$4:$AJ$4,0))))+SUMPRODUCT((Inputs!$E$5:$E$120=$B42)*ISNUMBER(INDEX(Inputs!$K$5:$AJ$120,0,MATCH(O$2,Inputs!$K$4:$AJ$4,0))))=0,NA(),SUMPRODUCT((Inputs!$A$5:$A$120=$B42)*Inputs!$B$5:$B$120*(((Inputs!$G$5:$G$120="moeda")+(Inputs!$G$5:$G$120="acoes"))*Inputs!$B$1+((Inputs!$G$5:$G$120&lt;&gt;"moeda")*(Inputs!$G$5:$G$120&lt;&gt;"acoes")))*INDEX(Inputs!$K$5:$AJ$120,0,MATCH(O$2,Inputs!$K$4:$AJ$4,0)))+SUMPRODUCT((Inputs!$C$5:$C$120=$B42)*Inputs!$D$5:$D$120*(((Inputs!$G$5:$G$120="moeda")+(Inputs!$G$5:$G$120="acoes"))*Inputs!$B$1+((Inputs!$G$5:$G$120&lt;&gt;"moeda")*(Inputs!$G$5:$G$120&lt;&gt;"acoes")))*INDEX(Inputs!$K$5:$AJ$120,0,MATCH(O$2,Inputs!$K$4:$AJ$4,0)))+SUMPRODUCT((Inputs!$E$5:$E$120=$B42)*Inputs!$F$5:$F$120*(((Inputs!$G$5:$G$120="moeda")+(Inputs!$G$5:$G$120="acoes"))*Inputs!$B$1+((Inputs!$G$5:$G$120&lt;&gt;"moeda")*(Inputs!$G$5:$G$120&lt;&gt;"acoes")))*INDEX(Inputs!$K$5:$AJ$120,0,MATCH(O$2,Inputs!$K$4:$AJ$4,0)))))</f>
        <v>#N/A</v>
      </c>
      <c r="P42" s="6" t="e">
        <f>IF(ISNA(MATCH(P$2,Inputs!$K$4:$AJ$4,0)),NA(),IF(SUMPRODUCT((Inputs!$A$5:$A$120=$B42)*ISNUMBER(INDEX(Inputs!$K$5:$AJ$120,0,MATCH(P$2,Inputs!$K$4:$AJ$4,0))))+SUMPRODUCT((Inputs!$C$5:$C$120=$B42)*ISNUMBER(INDEX(Inputs!$K$5:$AJ$120,0,MATCH(P$2,Inputs!$K$4:$AJ$4,0))))+SUMPRODUCT((Inputs!$E$5:$E$120=$B42)*ISNUMBER(INDEX(Inputs!$K$5:$AJ$120,0,MATCH(P$2,Inputs!$K$4:$AJ$4,0))))=0,NA(),SUMPRODUCT((Inputs!$A$5:$A$120=$B42)*Inputs!$B$5:$B$120*(((Inputs!$G$5:$G$120="moeda")+(Inputs!$G$5:$G$120="acoes"))*Inputs!$B$1+((Inputs!$G$5:$G$120&lt;&gt;"moeda")*(Inputs!$G$5:$G$120&lt;&gt;"acoes")))*INDEX(Inputs!$K$5:$AJ$120,0,MATCH(P$2,Inputs!$K$4:$AJ$4,0)))+SUMPRODUCT((Inputs!$C$5:$C$120=$B42)*Inputs!$D$5:$D$120*(((Inputs!$G$5:$G$120="moeda")+(Inputs!$G$5:$G$120="acoes"))*Inputs!$B$1+((Inputs!$G$5:$G$120&lt;&gt;"moeda")*(Inputs!$G$5:$G$120&lt;&gt;"acoes")))*INDEX(Inputs!$K$5:$AJ$120,0,MATCH(P$2,Inputs!$K$4:$AJ$4,0)))+SUMPRODUCT((Inputs!$E$5:$E$120=$B42)*Inputs!$F$5:$F$120*(((Inputs!$G$5:$G$120="moeda")+(Inputs!$G$5:$G$120="acoes"))*Inputs!$B$1+((Inputs!$G$5:$G$120&lt;&gt;"moeda")*(Inputs!$G$5:$G$120&lt;&gt;"acoes")))*INDEX(Inputs!$K$5:$AJ$120,0,MATCH(P$2,Inputs!$K$4:$AJ$4,0)))))</f>
        <v>#N/A</v>
      </c>
      <c r="Q42" s="6" t="e">
        <f>IF(ISNA(MATCH(Q$2,Inputs!$K$4:$AJ$4,0)),NA(),IF(SUMPRODUCT((Inputs!$A$5:$A$120=$B42)*ISNUMBER(INDEX(Inputs!$K$5:$AJ$120,0,MATCH(Q$2,Inputs!$K$4:$AJ$4,0))))+SUMPRODUCT((Inputs!$C$5:$C$120=$B42)*ISNUMBER(INDEX(Inputs!$K$5:$AJ$120,0,MATCH(Q$2,Inputs!$K$4:$AJ$4,0))))+SUMPRODUCT((Inputs!$E$5:$E$120=$B42)*ISNUMBER(INDEX(Inputs!$K$5:$AJ$120,0,MATCH(Q$2,Inputs!$K$4:$AJ$4,0))))=0,NA(),SUMPRODUCT((Inputs!$A$5:$A$120=$B42)*Inputs!$B$5:$B$120*(((Inputs!$G$5:$G$120="moeda")+(Inputs!$G$5:$G$120="acoes"))*Inputs!$B$1+((Inputs!$G$5:$G$120&lt;&gt;"moeda")*(Inputs!$G$5:$G$120&lt;&gt;"acoes")))*INDEX(Inputs!$K$5:$AJ$120,0,MATCH(Q$2,Inputs!$K$4:$AJ$4,0)))+SUMPRODUCT((Inputs!$C$5:$C$120=$B42)*Inputs!$D$5:$D$120*(((Inputs!$G$5:$G$120="moeda")+(Inputs!$G$5:$G$120="acoes"))*Inputs!$B$1+((Inputs!$G$5:$G$120&lt;&gt;"moeda")*(Inputs!$G$5:$G$120&lt;&gt;"acoes")))*INDEX(Inputs!$K$5:$AJ$120,0,MATCH(Q$2,Inputs!$K$4:$AJ$4,0)))+SUMPRODUCT((Inputs!$E$5:$E$120=$B42)*Inputs!$F$5:$F$120*(((Inputs!$G$5:$G$120="moeda")+(Inputs!$G$5:$G$120="acoes"))*Inputs!$B$1+((Inputs!$G$5:$G$120&lt;&gt;"moeda")*(Inputs!$G$5:$G$120&lt;&gt;"acoes")))*INDEX(Inputs!$K$5:$AJ$120,0,MATCH(Q$2,Inputs!$K$4:$AJ$4,0)))))</f>
        <v>#N/A</v>
      </c>
      <c r="R42" s="3" t="e">
        <f>Q42</f>
        <v>#N/A</v>
      </c>
      <c r="S42" s="6" t="e">
        <f>IF(ISNA(MATCH(S$2,Inputs!$K$4:$AJ$4,0)),NA(),IF(SUMPRODUCT((Inputs!$A$5:$A$120=$B42)*ISNUMBER(INDEX(Inputs!$K$5:$AJ$120,0,MATCH(S$2,Inputs!$K$4:$AJ$4,0))))+SUMPRODUCT((Inputs!$C$5:$C$120=$B42)*ISNUMBER(INDEX(Inputs!$K$5:$AJ$120,0,MATCH(S$2,Inputs!$K$4:$AJ$4,0))))+SUMPRODUCT((Inputs!$E$5:$E$120=$B42)*ISNUMBER(INDEX(Inputs!$K$5:$AJ$120,0,MATCH(S$2,Inputs!$K$4:$AJ$4,0))))=0,NA(),SUMPRODUCT((Inputs!$A$5:$A$120=$B42)*Inputs!$B$5:$B$120*(((Inputs!$G$5:$G$120="moeda")+(Inputs!$G$5:$G$120="acoes"))*Inputs!$B$1+((Inputs!$G$5:$G$120&lt;&gt;"moeda")*(Inputs!$G$5:$G$120&lt;&gt;"acoes")))*INDEX(Inputs!$K$5:$AJ$120,0,MATCH(S$2,Inputs!$K$4:$AJ$4,0)))+SUMPRODUCT((Inputs!$C$5:$C$120=$B42)*Inputs!$D$5:$D$120*(((Inputs!$G$5:$G$120="moeda")+(Inputs!$G$5:$G$120="acoes"))*Inputs!$B$1+((Inputs!$G$5:$G$120&lt;&gt;"moeda")*(Inputs!$G$5:$G$120&lt;&gt;"acoes")))*INDEX(Inputs!$K$5:$AJ$120,0,MATCH(S$2,Inputs!$K$4:$AJ$4,0)))+SUMPRODUCT((Inputs!$E$5:$E$120=$B42)*Inputs!$F$5:$F$120*(((Inputs!$G$5:$G$120="moeda")+(Inputs!$G$5:$G$120="acoes"))*Inputs!$B$1+((Inputs!$G$5:$G$120&lt;&gt;"moeda")*(Inputs!$G$5:$G$120&lt;&gt;"acoes")))*INDEX(Inputs!$K$5:$AJ$120,0,MATCH(S$2,Inputs!$K$4:$AJ$4,0)))))</f>
        <v>#N/A</v>
      </c>
      <c r="T42" s="6" t="e">
        <f>IF(ISNA(MATCH(T$2,Inputs!$K$4:$AJ$4,0)),NA(),IF(SUMPRODUCT((Inputs!$A$5:$A$120=$B42)*ISNUMBER(INDEX(Inputs!$K$5:$AJ$120,0,MATCH(T$2,Inputs!$K$4:$AJ$4,0))))+SUMPRODUCT((Inputs!$C$5:$C$120=$B42)*ISNUMBER(INDEX(Inputs!$K$5:$AJ$120,0,MATCH(T$2,Inputs!$K$4:$AJ$4,0))))+SUMPRODUCT((Inputs!$E$5:$E$120=$B42)*ISNUMBER(INDEX(Inputs!$K$5:$AJ$120,0,MATCH(T$2,Inputs!$K$4:$AJ$4,0))))=0,NA(),SUMPRODUCT((Inputs!$A$5:$A$120=$B42)*Inputs!$B$5:$B$120*(((Inputs!$G$5:$G$120="moeda")+(Inputs!$G$5:$G$120="acoes"))*Inputs!$B$1+((Inputs!$G$5:$G$120&lt;&gt;"moeda")*(Inputs!$G$5:$G$120&lt;&gt;"acoes")))*INDEX(Inputs!$K$5:$AJ$120,0,MATCH(T$2,Inputs!$K$4:$AJ$4,0)))+SUMPRODUCT((Inputs!$C$5:$C$120=$B42)*Inputs!$D$5:$D$120*(((Inputs!$G$5:$G$120="moeda")+(Inputs!$G$5:$G$120="acoes"))*Inputs!$B$1+((Inputs!$G$5:$G$120&lt;&gt;"moeda")*(Inputs!$G$5:$G$120&lt;&gt;"acoes")))*INDEX(Inputs!$K$5:$AJ$120,0,MATCH(T$2,Inputs!$K$4:$AJ$4,0)))+SUMPRODUCT((Inputs!$E$5:$E$120=$B42)*Inputs!$F$5:$F$120*(((Inputs!$G$5:$G$120="moeda")+(Inputs!$G$5:$G$120="acoes"))*Inputs!$B$1+((Inputs!$G$5:$G$120&lt;&gt;"moeda")*(Inputs!$G$5:$G$120&lt;&gt;"acoes")))*INDEX(Inputs!$K$5:$AJ$120,0,MATCH(T$2,Inputs!$K$4:$AJ$4,0)))))</f>
        <v>#N/A</v>
      </c>
      <c r="U42" s="6" t="e">
        <f>IF(ISNA(MATCH(U$2,Inputs!$K$4:$AJ$4,0)),NA(),IF(SUMPRODUCT((Inputs!$A$5:$A$120=$B42)*ISNUMBER(INDEX(Inputs!$K$5:$AJ$120,0,MATCH(U$2,Inputs!$K$4:$AJ$4,0))))+SUMPRODUCT((Inputs!$C$5:$C$120=$B42)*ISNUMBER(INDEX(Inputs!$K$5:$AJ$120,0,MATCH(U$2,Inputs!$K$4:$AJ$4,0))))+SUMPRODUCT((Inputs!$E$5:$E$120=$B42)*ISNUMBER(INDEX(Inputs!$K$5:$AJ$120,0,MATCH(U$2,Inputs!$K$4:$AJ$4,0))))=0,NA(),SUMPRODUCT((Inputs!$A$5:$A$120=$B42)*Inputs!$B$5:$B$120*(((Inputs!$G$5:$G$120="moeda")+(Inputs!$G$5:$G$120="acoes"))*Inputs!$B$1+((Inputs!$G$5:$G$120&lt;&gt;"moeda")*(Inputs!$G$5:$G$120&lt;&gt;"acoes")))*INDEX(Inputs!$K$5:$AJ$120,0,MATCH(U$2,Inputs!$K$4:$AJ$4,0)))+SUMPRODUCT((Inputs!$C$5:$C$120=$B42)*Inputs!$D$5:$D$120*(((Inputs!$G$5:$G$120="moeda")+(Inputs!$G$5:$G$120="acoes"))*Inputs!$B$1+((Inputs!$G$5:$G$120&lt;&gt;"moeda")*(Inputs!$G$5:$G$120&lt;&gt;"acoes")))*INDEX(Inputs!$K$5:$AJ$120,0,MATCH(U$2,Inputs!$K$4:$AJ$4,0)))+SUMPRODUCT((Inputs!$E$5:$E$120=$B42)*Inputs!$F$5:$F$120*(((Inputs!$G$5:$G$120="moeda")+(Inputs!$G$5:$G$120="acoes"))*Inputs!$B$1+((Inputs!$G$5:$G$120&lt;&gt;"moeda")*(Inputs!$G$5:$G$120&lt;&gt;"acoes")))*INDEX(Inputs!$K$5:$AJ$120,0,MATCH(U$2,Inputs!$K$4:$AJ$4,0)))))</f>
        <v>#N/A</v>
      </c>
      <c r="V42" s="6" t="e">
        <f>IF(ISNA(MATCH(V$2,Inputs!$K$4:$AJ$4,0)),NA(),IF(SUMPRODUCT((Inputs!$A$5:$A$120=$B42)*ISNUMBER(INDEX(Inputs!$K$5:$AJ$120,0,MATCH(V$2,Inputs!$K$4:$AJ$4,0))))+SUMPRODUCT((Inputs!$C$5:$C$120=$B42)*ISNUMBER(INDEX(Inputs!$K$5:$AJ$120,0,MATCH(V$2,Inputs!$K$4:$AJ$4,0))))+SUMPRODUCT((Inputs!$E$5:$E$120=$B42)*ISNUMBER(INDEX(Inputs!$K$5:$AJ$120,0,MATCH(V$2,Inputs!$K$4:$AJ$4,0))))=0,NA(),SUMPRODUCT((Inputs!$A$5:$A$120=$B42)*Inputs!$B$5:$B$120*(((Inputs!$G$5:$G$120="moeda")+(Inputs!$G$5:$G$120="acoes"))*Inputs!$B$1+((Inputs!$G$5:$G$120&lt;&gt;"moeda")*(Inputs!$G$5:$G$120&lt;&gt;"acoes")))*INDEX(Inputs!$K$5:$AJ$120,0,MATCH(V$2,Inputs!$K$4:$AJ$4,0)))+SUMPRODUCT((Inputs!$C$5:$C$120=$B42)*Inputs!$D$5:$D$120*(((Inputs!$G$5:$G$120="moeda")+(Inputs!$G$5:$G$120="acoes"))*Inputs!$B$1+((Inputs!$G$5:$G$120&lt;&gt;"moeda")*(Inputs!$G$5:$G$120&lt;&gt;"acoes")))*INDEX(Inputs!$K$5:$AJ$120,0,MATCH(V$2,Inputs!$K$4:$AJ$4,0)))+SUMPRODUCT((Inputs!$E$5:$E$120=$B42)*Inputs!$F$5:$F$120*(((Inputs!$G$5:$G$120="moeda")+(Inputs!$G$5:$G$120="acoes"))*Inputs!$B$1+((Inputs!$G$5:$G$120&lt;&gt;"moeda")*(Inputs!$G$5:$G$120&lt;&gt;"acoes")))*INDEX(Inputs!$K$5:$AJ$120,0,MATCH(V$2,Inputs!$K$4:$AJ$4,0)))))</f>
        <v>#N/A</v>
      </c>
      <c r="W42" s="3" t="e">
        <f>V42</f>
        <v>#N/A</v>
      </c>
      <c r="X42" s="6" t="e">
        <f>IF(ISNA(MATCH(X$2,Inputs!$K$4:$AJ$4,0)),NA(),IF(SUMPRODUCT((Inputs!$A$5:$A$120=$B42)*ISNUMBER(INDEX(Inputs!$K$5:$AJ$120,0,MATCH(X$2,Inputs!$K$4:$AJ$4,0))))+SUMPRODUCT((Inputs!$C$5:$C$120=$B42)*ISNUMBER(INDEX(Inputs!$K$5:$AJ$120,0,MATCH(X$2,Inputs!$K$4:$AJ$4,0))))+SUMPRODUCT((Inputs!$E$5:$E$120=$B42)*ISNUMBER(INDEX(Inputs!$K$5:$AJ$120,0,MATCH(X$2,Inputs!$K$4:$AJ$4,0))))=0,NA(),SUMPRODUCT((Inputs!$A$5:$A$120=$B42)*Inputs!$B$5:$B$120*(((Inputs!$G$5:$G$120="moeda")+(Inputs!$G$5:$G$120="acoes"))*Inputs!$B$1+((Inputs!$G$5:$G$120&lt;&gt;"moeda")*(Inputs!$G$5:$G$120&lt;&gt;"acoes")))*INDEX(Inputs!$K$5:$AJ$120,0,MATCH(X$2,Inputs!$K$4:$AJ$4,0)))+SUMPRODUCT((Inputs!$C$5:$C$120=$B42)*Inputs!$D$5:$D$120*(((Inputs!$G$5:$G$120="moeda")+(Inputs!$G$5:$G$120="acoes"))*Inputs!$B$1+((Inputs!$G$5:$G$120&lt;&gt;"moeda")*(Inputs!$G$5:$G$120&lt;&gt;"acoes")))*INDEX(Inputs!$K$5:$AJ$120,0,MATCH(X$2,Inputs!$K$4:$AJ$4,0)))+SUMPRODUCT((Inputs!$E$5:$E$120=$B42)*Inputs!$F$5:$F$120*(((Inputs!$G$5:$G$120="moeda")+(Inputs!$G$5:$G$120="acoes"))*Inputs!$B$1+((Inputs!$G$5:$G$120&lt;&gt;"moeda")*(Inputs!$G$5:$G$120&lt;&gt;"acoes")))*INDEX(Inputs!$K$5:$AJ$120,0,MATCH(X$2,Inputs!$K$4:$AJ$4,0)))))</f>
        <v>#N/A</v>
      </c>
      <c r="Y42" s="6" t="e">
        <f>IF(ISNA(MATCH(Y$2,Inputs!$K$4:$AJ$4,0)),NA(),IF(SUMPRODUCT((Inputs!$A$5:$A$120=$B42)*ISNUMBER(INDEX(Inputs!$K$5:$AJ$120,0,MATCH(Y$2,Inputs!$K$4:$AJ$4,0))))+SUMPRODUCT((Inputs!$C$5:$C$120=$B42)*ISNUMBER(INDEX(Inputs!$K$5:$AJ$120,0,MATCH(Y$2,Inputs!$K$4:$AJ$4,0))))+SUMPRODUCT((Inputs!$E$5:$E$120=$B42)*ISNUMBER(INDEX(Inputs!$K$5:$AJ$120,0,MATCH(Y$2,Inputs!$K$4:$AJ$4,0))))=0,NA(),SUMPRODUCT((Inputs!$A$5:$A$120=$B42)*Inputs!$B$5:$B$120*(((Inputs!$G$5:$G$120="moeda")+(Inputs!$G$5:$G$120="acoes"))*Inputs!$B$1+((Inputs!$G$5:$G$120&lt;&gt;"moeda")*(Inputs!$G$5:$G$120&lt;&gt;"acoes")))*INDEX(Inputs!$K$5:$AJ$120,0,MATCH(Y$2,Inputs!$K$4:$AJ$4,0)))+SUMPRODUCT((Inputs!$C$5:$C$120=$B42)*Inputs!$D$5:$D$120*(((Inputs!$G$5:$G$120="moeda")+(Inputs!$G$5:$G$120="acoes"))*Inputs!$B$1+((Inputs!$G$5:$G$120&lt;&gt;"moeda")*(Inputs!$G$5:$G$120&lt;&gt;"acoes")))*INDEX(Inputs!$K$5:$AJ$120,0,MATCH(Y$2,Inputs!$K$4:$AJ$4,0)))+SUMPRODUCT((Inputs!$E$5:$E$120=$B42)*Inputs!$F$5:$F$120*(((Inputs!$G$5:$G$120="moeda")+(Inputs!$G$5:$G$120="acoes"))*Inputs!$B$1+((Inputs!$G$5:$G$120&lt;&gt;"moeda")*(Inputs!$G$5:$G$120&lt;&gt;"acoes")))*INDEX(Inputs!$K$5:$AJ$120,0,MATCH(Y$2,Inputs!$K$4:$AJ$4,0)))))</f>
        <v>#N/A</v>
      </c>
      <c r="Z42" s="6" t="e">
        <f>IF(ISNA(MATCH(Z$2,Inputs!$K$4:$AJ$4,0)),NA(),IF(SUMPRODUCT((Inputs!$A$5:$A$120=$B42)*ISNUMBER(INDEX(Inputs!$K$5:$AJ$120,0,MATCH(Z$2,Inputs!$K$4:$AJ$4,0))))+SUMPRODUCT((Inputs!$C$5:$C$120=$B42)*ISNUMBER(INDEX(Inputs!$K$5:$AJ$120,0,MATCH(Z$2,Inputs!$K$4:$AJ$4,0))))+SUMPRODUCT((Inputs!$E$5:$E$120=$B42)*ISNUMBER(INDEX(Inputs!$K$5:$AJ$120,0,MATCH(Z$2,Inputs!$K$4:$AJ$4,0))))=0,NA(),SUMPRODUCT((Inputs!$A$5:$A$120=$B42)*Inputs!$B$5:$B$120*(((Inputs!$G$5:$G$120="moeda")+(Inputs!$G$5:$G$120="acoes"))*Inputs!$B$1+((Inputs!$G$5:$G$120&lt;&gt;"moeda")*(Inputs!$G$5:$G$120&lt;&gt;"acoes")))*INDEX(Inputs!$K$5:$AJ$120,0,MATCH(Z$2,Inputs!$K$4:$AJ$4,0)))+SUMPRODUCT((Inputs!$C$5:$C$120=$B42)*Inputs!$D$5:$D$120*(((Inputs!$G$5:$G$120="moeda")+(Inputs!$G$5:$G$120="acoes"))*Inputs!$B$1+((Inputs!$G$5:$G$120&lt;&gt;"moeda")*(Inputs!$G$5:$G$120&lt;&gt;"acoes")))*INDEX(Inputs!$K$5:$AJ$120,0,MATCH(Z$2,Inputs!$K$4:$AJ$4,0)))+SUMPRODUCT((Inputs!$E$5:$E$120=$B42)*Inputs!$F$5:$F$120*(((Inputs!$G$5:$G$120="moeda")+(Inputs!$G$5:$G$120="acoes"))*Inputs!$B$1+((Inputs!$G$5:$G$120&lt;&gt;"moeda")*(Inputs!$G$5:$G$120&lt;&gt;"acoes")))*INDEX(Inputs!$K$5:$AJ$120,0,MATCH(Z$2,Inputs!$K$4:$AJ$4,0)))))</f>
        <v>#N/A</v>
      </c>
      <c r="AA42" s="6" t="e">
        <f>IF(ISNA(MATCH(AA$2,Inputs!$K$4:$AJ$4,0)),NA(),IF(SUMPRODUCT((Inputs!$A$5:$A$120=$B42)*ISNUMBER(INDEX(Inputs!$K$5:$AJ$120,0,MATCH(AA$2,Inputs!$K$4:$AJ$4,0))))+SUMPRODUCT((Inputs!$C$5:$C$120=$B42)*ISNUMBER(INDEX(Inputs!$K$5:$AJ$120,0,MATCH(AA$2,Inputs!$K$4:$AJ$4,0))))+SUMPRODUCT((Inputs!$E$5:$E$120=$B42)*ISNUMBER(INDEX(Inputs!$K$5:$AJ$120,0,MATCH(AA$2,Inputs!$K$4:$AJ$4,0))))=0,NA(),SUMPRODUCT((Inputs!$A$5:$A$120=$B42)*Inputs!$B$5:$B$120*(((Inputs!$G$5:$G$120="moeda")+(Inputs!$G$5:$G$120="acoes"))*Inputs!$B$1+((Inputs!$G$5:$G$120&lt;&gt;"moeda")*(Inputs!$G$5:$G$120&lt;&gt;"acoes")))*INDEX(Inputs!$K$5:$AJ$120,0,MATCH(AA$2,Inputs!$K$4:$AJ$4,0)))+SUMPRODUCT((Inputs!$C$5:$C$120=$B42)*Inputs!$D$5:$D$120*(((Inputs!$G$5:$G$120="moeda")+(Inputs!$G$5:$G$120="acoes"))*Inputs!$B$1+((Inputs!$G$5:$G$120&lt;&gt;"moeda")*(Inputs!$G$5:$G$120&lt;&gt;"acoes")))*INDEX(Inputs!$K$5:$AJ$120,0,MATCH(AA$2,Inputs!$K$4:$AJ$4,0)))+SUMPRODUCT((Inputs!$E$5:$E$120=$B42)*Inputs!$F$5:$F$120*(((Inputs!$G$5:$G$120="moeda")+(Inputs!$G$5:$G$120="acoes"))*Inputs!$B$1+((Inputs!$G$5:$G$120&lt;&gt;"moeda")*(Inputs!$G$5:$G$120&lt;&gt;"acoes")))*INDEX(Inputs!$K$5:$AJ$120,0,MATCH(AA$2,Inputs!$K$4:$AJ$4,0)))))</f>
        <v>#N/A</v>
      </c>
      <c r="AB42" s="3" t="e">
        <f>AA42</f>
        <v>#N/A</v>
      </c>
      <c r="AC42" s="6" t="e">
        <f>IF(ISNA(MATCH(AC$2,Inputs!$K$4:$AJ$4,0)),NA(),IF(SUMPRODUCT((Inputs!$A$5:$A$120=$B42)*ISNUMBER(INDEX(Inputs!$K$5:$AJ$120,0,MATCH(AC$2,Inputs!$K$4:$AJ$4,0))))+SUMPRODUCT((Inputs!$C$5:$C$120=$B42)*ISNUMBER(INDEX(Inputs!$K$5:$AJ$120,0,MATCH(AC$2,Inputs!$K$4:$AJ$4,0))))+SUMPRODUCT((Inputs!$E$5:$E$120=$B42)*ISNUMBER(INDEX(Inputs!$K$5:$AJ$120,0,MATCH(AC$2,Inputs!$K$4:$AJ$4,0))))=0,NA(),SUMPRODUCT((Inputs!$A$5:$A$120=$B42)*Inputs!$B$5:$B$120*(((Inputs!$G$5:$G$120="moeda")+(Inputs!$G$5:$G$120="acoes"))*Inputs!$B$1+((Inputs!$G$5:$G$120&lt;&gt;"moeda")*(Inputs!$G$5:$G$120&lt;&gt;"acoes")))*INDEX(Inputs!$K$5:$AJ$120,0,MATCH(AC$2,Inputs!$K$4:$AJ$4,0)))+SUMPRODUCT((Inputs!$C$5:$C$120=$B42)*Inputs!$D$5:$D$120*(((Inputs!$G$5:$G$120="moeda")+(Inputs!$G$5:$G$120="acoes"))*Inputs!$B$1+((Inputs!$G$5:$G$120&lt;&gt;"moeda")*(Inputs!$G$5:$G$120&lt;&gt;"acoes")))*INDEX(Inputs!$K$5:$AJ$120,0,MATCH(AC$2,Inputs!$K$4:$AJ$4,0)))+SUMPRODUCT((Inputs!$E$5:$E$120=$B42)*Inputs!$F$5:$F$120*(((Inputs!$G$5:$G$120="moeda")+(Inputs!$G$5:$G$120="acoes"))*Inputs!$B$1+((Inputs!$G$5:$G$120&lt;&gt;"moeda")*(Inputs!$G$5:$G$120&lt;&gt;"acoes")))*INDEX(Inputs!$K$5:$AJ$120,0,MATCH(AC$2,Inputs!$K$4:$AJ$4,0)))))</f>
        <v>#N/A</v>
      </c>
      <c r="AD42" s="6" t="e">
        <f>IF(ISNA(MATCH(AD$2,Inputs!$K$4:$AJ$4,0)),NA(),IF(SUMPRODUCT((Inputs!$A$5:$A$120=$B42)*ISNUMBER(INDEX(Inputs!$K$5:$AJ$120,0,MATCH(AD$2,Inputs!$K$4:$AJ$4,0))))+SUMPRODUCT((Inputs!$C$5:$C$120=$B42)*ISNUMBER(INDEX(Inputs!$K$5:$AJ$120,0,MATCH(AD$2,Inputs!$K$4:$AJ$4,0))))+SUMPRODUCT((Inputs!$E$5:$E$120=$B42)*ISNUMBER(INDEX(Inputs!$K$5:$AJ$120,0,MATCH(AD$2,Inputs!$K$4:$AJ$4,0))))=0,NA(),SUMPRODUCT((Inputs!$A$5:$A$120=$B42)*Inputs!$B$5:$B$120*(((Inputs!$G$5:$G$120="moeda")+(Inputs!$G$5:$G$120="acoes"))*Inputs!$B$1+((Inputs!$G$5:$G$120&lt;&gt;"moeda")*(Inputs!$G$5:$G$120&lt;&gt;"acoes")))*INDEX(Inputs!$K$5:$AJ$120,0,MATCH(AD$2,Inputs!$K$4:$AJ$4,0)))+SUMPRODUCT((Inputs!$C$5:$C$120=$B42)*Inputs!$D$5:$D$120*(((Inputs!$G$5:$G$120="moeda")+(Inputs!$G$5:$G$120="acoes"))*Inputs!$B$1+((Inputs!$G$5:$G$120&lt;&gt;"moeda")*(Inputs!$G$5:$G$120&lt;&gt;"acoes")))*INDEX(Inputs!$K$5:$AJ$120,0,MATCH(AD$2,Inputs!$K$4:$AJ$4,0)))+SUMPRODUCT((Inputs!$E$5:$E$120=$B42)*Inputs!$F$5:$F$120*(((Inputs!$G$5:$G$120="moeda")+(Inputs!$G$5:$G$120="acoes"))*Inputs!$B$1+((Inputs!$G$5:$G$120&lt;&gt;"moeda")*(Inputs!$G$5:$G$120&lt;&gt;"acoes")))*INDEX(Inputs!$K$5:$AJ$120,0,MATCH(AD$2,Inputs!$K$4:$AJ$4,0)))))</f>
        <v>#N/A</v>
      </c>
      <c r="AE42" s="6" t="e">
        <f>IF(ISNA(MATCH(AE$2,Inputs!$K$4:$AJ$4,0)),NA(),IF(SUMPRODUCT((Inputs!$A$5:$A$120=$B42)*ISNUMBER(INDEX(Inputs!$K$5:$AJ$120,0,MATCH(AE$2,Inputs!$K$4:$AJ$4,0))))+SUMPRODUCT((Inputs!$C$5:$C$120=$B42)*ISNUMBER(INDEX(Inputs!$K$5:$AJ$120,0,MATCH(AE$2,Inputs!$K$4:$AJ$4,0))))+SUMPRODUCT((Inputs!$E$5:$E$120=$B42)*ISNUMBER(INDEX(Inputs!$K$5:$AJ$120,0,MATCH(AE$2,Inputs!$K$4:$AJ$4,0))))=0,NA(),SUMPRODUCT((Inputs!$A$5:$A$120=$B42)*Inputs!$B$5:$B$120*(((Inputs!$G$5:$G$120="moeda")+(Inputs!$G$5:$G$120="acoes"))*Inputs!$B$1+((Inputs!$G$5:$G$120&lt;&gt;"moeda")*(Inputs!$G$5:$G$120&lt;&gt;"acoes")))*INDEX(Inputs!$K$5:$AJ$120,0,MATCH(AE$2,Inputs!$K$4:$AJ$4,0)))+SUMPRODUCT((Inputs!$C$5:$C$120=$B42)*Inputs!$D$5:$D$120*(((Inputs!$G$5:$G$120="moeda")+(Inputs!$G$5:$G$120="acoes"))*Inputs!$B$1+((Inputs!$G$5:$G$120&lt;&gt;"moeda")*(Inputs!$G$5:$G$120&lt;&gt;"acoes")))*INDEX(Inputs!$K$5:$AJ$120,0,MATCH(AE$2,Inputs!$K$4:$AJ$4,0)))+SUMPRODUCT((Inputs!$E$5:$E$120=$B42)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42" s="6" t="e">
        <f>IF(ISNA(MATCH(AF$2,Inputs!$K$4:$AJ$4,0)),NA(),IF(SUMPRODUCT((Inputs!$A$5:$A$120=$B42)*ISNUMBER(INDEX(Inputs!$K$5:$AJ$120,0,MATCH(AF$2,Inputs!$K$4:$AJ$4,0))))+SUMPRODUCT((Inputs!$C$5:$C$120=$B42)*ISNUMBER(INDEX(Inputs!$K$5:$AJ$120,0,MATCH(AF$2,Inputs!$K$4:$AJ$4,0))))+SUMPRODUCT((Inputs!$E$5:$E$120=$B42)*ISNUMBER(INDEX(Inputs!$K$5:$AJ$120,0,MATCH(AF$2,Inputs!$K$4:$AJ$4,0))))=0,NA(),SUMPRODUCT((Inputs!$A$5:$A$120=$B42)*Inputs!$B$5:$B$120*(((Inputs!$G$5:$G$120="moeda")+(Inputs!$G$5:$G$120="acoes"))*Inputs!$B$1+((Inputs!$G$5:$G$120&lt;&gt;"moeda")*(Inputs!$G$5:$G$120&lt;&gt;"acoes")))*INDEX(Inputs!$K$5:$AJ$120,0,MATCH(AF$2,Inputs!$K$4:$AJ$4,0)))+SUMPRODUCT((Inputs!$C$5:$C$120=$B42)*Inputs!$D$5:$D$120*(((Inputs!$G$5:$G$120="moeda")+(Inputs!$G$5:$G$120="acoes"))*Inputs!$B$1+((Inputs!$G$5:$G$120&lt;&gt;"moeda")*(Inputs!$G$5:$G$120&lt;&gt;"acoes")))*INDEX(Inputs!$K$5:$AJ$120,0,MATCH(AF$2,Inputs!$K$4:$AJ$4,0)))+SUMPRODUCT((Inputs!$E$5:$E$120=$B42)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42" s="3" t="e">
        <f>AF42</f>
        <v>#N/A</v>
      </c>
      <c r="AH42" s="6" t="e">
        <f>IF(ISNA(MATCH(AH$2,Inputs!$K$4:$AJ$4,0)),NA(),IF(SUMPRODUCT((Inputs!$A$5:$A$120=$B42)*ISNUMBER(INDEX(Inputs!$K$5:$AJ$120,0,MATCH(AH$2,Inputs!$K$4:$AJ$4,0))))+SUMPRODUCT((Inputs!$C$5:$C$120=$B42)*ISNUMBER(INDEX(Inputs!$K$5:$AJ$120,0,MATCH(AH$2,Inputs!$K$4:$AJ$4,0))))+SUMPRODUCT((Inputs!$E$5:$E$120=$B42)*ISNUMBER(INDEX(Inputs!$K$5:$AJ$120,0,MATCH(AH$2,Inputs!$K$4:$AJ$4,0))))=0,NA(),SUMPRODUCT((Inputs!$A$5:$A$120=$B42)*Inputs!$B$5:$B$120*(((Inputs!$G$5:$G$120="moeda")+(Inputs!$G$5:$G$120="acoes"))*Inputs!$B$1+((Inputs!$G$5:$G$120&lt;&gt;"moeda")*(Inputs!$G$5:$G$120&lt;&gt;"acoes")))*INDEX(Inputs!$K$5:$AJ$120,0,MATCH(AH$2,Inputs!$K$4:$AJ$4,0)))+SUMPRODUCT((Inputs!$C$5:$C$120=$B42)*Inputs!$D$5:$D$120*(((Inputs!$G$5:$G$120="moeda")+(Inputs!$G$5:$G$120="acoes"))*Inputs!$B$1+((Inputs!$G$5:$G$120&lt;&gt;"moeda")*(Inputs!$G$5:$G$120&lt;&gt;"acoes")))*INDEX(Inputs!$K$5:$AJ$120,0,MATCH(AH$2,Inputs!$K$4:$AJ$4,0)))+SUMPRODUCT((Inputs!$E$5:$E$120=$B42)*Inputs!$F$5:$F$120*(((Inputs!$G$5:$G$120="moeda")+(Inputs!$G$5:$G$120="acoes"))*Inputs!$B$1+((Inputs!$G$5:$G$120&lt;&gt;"moeda")*(Inputs!$G$5:$G$120&lt;&gt;"acoes")))*INDEX(Inputs!$K$5:$AJ$120,0,MATCH(AH$2,Inputs!$K$4:$AJ$4,0)))))</f>
        <v>#N/A</v>
      </c>
      <c r="AI42" s="6" t="e">
        <f>IF(ISNA(MATCH(AI$2,Inputs!$K$4:$AJ$4,0)),NA(),IF(SUMPRODUCT((Inputs!$A$5:$A$120=$B42)*ISNUMBER(INDEX(Inputs!$K$5:$AJ$120,0,MATCH(AI$2,Inputs!$K$4:$AJ$4,0))))+SUMPRODUCT((Inputs!$C$5:$C$120=$B42)*ISNUMBER(INDEX(Inputs!$K$5:$AJ$120,0,MATCH(AI$2,Inputs!$K$4:$AJ$4,0))))+SUMPRODUCT((Inputs!$E$5:$E$120=$B42)*ISNUMBER(INDEX(Inputs!$K$5:$AJ$120,0,MATCH(AI$2,Inputs!$K$4:$AJ$4,0))))=0,NA(),SUMPRODUCT((Inputs!$A$5:$A$120=$B42)*Inputs!$B$5:$B$120*(((Inputs!$G$5:$G$120="moeda")+(Inputs!$G$5:$G$120="acoes"))*Inputs!$B$1+((Inputs!$G$5:$G$120&lt;&gt;"moeda")*(Inputs!$G$5:$G$120&lt;&gt;"acoes")))*INDEX(Inputs!$K$5:$AJ$120,0,MATCH(AI$2,Inputs!$K$4:$AJ$4,0)))+SUMPRODUCT((Inputs!$C$5:$C$120=$B42)*Inputs!$D$5:$D$120*(((Inputs!$G$5:$G$120="moeda")+(Inputs!$G$5:$G$120="acoes"))*Inputs!$B$1+((Inputs!$G$5:$G$120&lt;&gt;"moeda")*(Inputs!$G$5:$G$120&lt;&gt;"acoes")))*INDEX(Inputs!$K$5:$AJ$120,0,MATCH(AI$2,Inputs!$K$4:$AJ$4,0)))+SUMPRODUCT((Inputs!$E$5:$E$120=$B42)*Inputs!$F$5:$F$120*(((Inputs!$G$5:$G$120="moeda")+(Inputs!$G$5:$G$120="acoes"))*Inputs!$B$1+((Inputs!$G$5:$G$120&lt;&gt;"moeda")*(Inputs!$G$5:$G$120&lt;&gt;"acoes")))*INDEX(Inputs!$K$5:$AJ$120,0,MATCH(AI$2,Inputs!$K$4:$AJ$4,0)))))</f>
        <v>#N/A</v>
      </c>
      <c r="AJ42" s="6" t="e">
        <f>IF(ISNA(MATCH(AJ$2,Inputs!$K$4:$AJ$4,0)),NA(),IF(SUMPRODUCT((Inputs!$A$5:$A$120=$B42)*ISNUMBER(INDEX(Inputs!$K$5:$AJ$120,0,MATCH(AJ$2,Inputs!$K$4:$AJ$4,0))))+SUMPRODUCT((Inputs!$C$5:$C$120=$B42)*ISNUMBER(INDEX(Inputs!$K$5:$AJ$120,0,MATCH(AJ$2,Inputs!$K$4:$AJ$4,0))))+SUMPRODUCT((Inputs!$E$5:$E$120=$B42)*ISNUMBER(INDEX(Inputs!$K$5:$AJ$120,0,MATCH(AJ$2,Inputs!$K$4:$AJ$4,0))))=0,NA(),SUMPRODUCT((Inputs!$A$5:$A$120=$B42)*Inputs!$B$5:$B$120*(((Inputs!$G$5:$G$120="moeda")+(Inputs!$G$5:$G$120="acoes"))*Inputs!$B$1+((Inputs!$G$5:$G$120&lt;&gt;"moeda")*(Inputs!$G$5:$G$120&lt;&gt;"acoes")))*INDEX(Inputs!$K$5:$AJ$120,0,MATCH(AJ$2,Inputs!$K$4:$AJ$4,0)))+SUMPRODUCT((Inputs!$C$5:$C$120=$B42)*Inputs!$D$5:$D$120*(((Inputs!$G$5:$G$120="moeda")+(Inputs!$G$5:$G$120="acoes"))*Inputs!$B$1+((Inputs!$G$5:$G$120&lt;&gt;"moeda")*(Inputs!$G$5:$G$120&lt;&gt;"acoes")))*INDEX(Inputs!$K$5:$AJ$120,0,MATCH(AJ$2,Inputs!$K$4:$AJ$4,0)))+SUMPRODUCT((Inputs!$E$5:$E$120=$B42)*Inputs!$F$5:$F$120*(((Inputs!$G$5:$G$120="moeda")+(Inputs!$G$5:$G$120="acoes"))*Inputs!$B$1+((Inputs!$G$5:$G$120&lt;&gt;"moeda")*(Inputs!$G$5:$G$120&lt;&gt;"acoes")))*INDEX(Inputs!$K$5:$AJ$120,0,MATCH(AJ$2,Inputs!$K$4:$AJ$4,0)))))</f>
        <v>#N/A</v>
      </c>
      <c r="AK42" s="6" t="e">
        <f>IF(ISNA(MATCH(AK$2,Inputs!$K$4:$AJ$4,0)),NA(),IF(SUMPRODUCT((Inputs!$A$5:$A$120=$B42)*ISNUMBER(INDEX(Inputs!$K$5:$AJ$120,0,MATCH(AK$2,Inputs!$K$4:$AJ$4,0))))+SUMPRODUCT((Inputs!$C$5:$C$120=$B42)*ISNUMBER(INDEX(Inputs!$K$5:$AJ$120,0,MATCH(AK$2,Inputs!$K$4:$AJ$4,0))))+SUMPRODUCT((Inputs!$E$5:$E$120=$B42)*ISNUMBER(INDEX(Inputs!$K$5:$AJ$120,0,MATCH(AK$2,Inputs!$K$4:$AJ$4,0))))=0,NA(),SUMPRODUCT((Inputs!$A$5:$A$120=$B42)*Inputs!$B$5:$B$120*(((Inputs!$G$5:$G$120="moeda")+(Inputs!$G$5:$G$120="acoes"))*Inputs!$B$1+((Inputs!$G$5:$G$120&lt;&gt;"moeda")*(Inputs!$G$5:$G$120&lt;&gt;"acoes")))*INDEX(Inputs!$K$5:$AJ$120,0,MATCH(AK$2,Inputs!$K$4:$AJ$4,0)))+SUMPRODUCT((Inputs!$C$5:$C$120=$B42)*Inputs!$D$5:$D$120*(((Inputs!$G$5:$G$120="moeda")+(Inputs!$G$5:$G$120="acoes"))*Inputs!$B$1+((Inputs!$G$5:$G$120&lt;&gt;"moeda")*(Inputs!$G$5:$G$120&lt;&gt;"acoes")))*INDEX(Inputs!$K$5:$AJ$120,0,MATCH(AK$2,Inputs!$K$4:$AJ$4,0)))+SUMPRODUCT((Inputs!$E$5:$E$120=$B42)*Inputs!$F$5:$F$120*(((Inputs!$G$5:$G$120="moeda")+(Inputs!$G$5:$G$120="acoes"))*Inputs!$B$1+((Inputs!$G$5:$G$120&lt;&gt;"moeda")*(Inputs!$G$5:$G$120&lt;&gt;"acoes")))*INDEX(Inputs!$K$5:$AJ$120,0,MATCH(AK$2,Inputs!$K$4:$AJ$4,0)))))</f>
        <v>#N/A</v>
      </c>
      <c r="AL42" s="3" t="e">
        <f>AK42</f>
        <v>#N/A</v>
      </c>
    </row>
    <row r="43">
      <c r="B43" s="46" t="n">
        <v>37</v>
      </c>
      <c r="C43" s="24" t="inlineStr">
        <is>
          <t>Common Stock and APIC</t>
        </is>
      </c>
      <c r="D43" s="6">
        <f>IF(ISNA(MATCH(D$2,Inputs!$K$4:$AJ$4,0)),NA(),IF(SUMPRODUCT((Inputs!$A$5:$A$120=$B43)*ISNUMBER(INDEX(Inputs!$K$5:$AJ$120,0,MATCH(D$2,Inputs!$K$4:$AJ$4,0))))+SUMPRODUCT((Inputs!$C$5:$C$120=$B43)*ISNUMBER(INDEX(Inputs!$K$5:$AJ$120,0,MATCH(D$2,Inputs!$K$4:$AJ$4,0))))+SUMPRODUCT((Inputs!$E$5:$E$120=$B43)*ISNUMBER(INDEX(Inputs!$K$5:$AJ$120,0,MATCH(D$2,Inputs!$K$4:$AJ$4,0))))=0,NA(),SUMPRODUCT((Inputs!$A$5:$A$120=$B43)*Inputs!$B$5:$B$120*(((Inputs!$G$5:$G$120="moeda")+(Inputs!$G$5:$G$120="acoes"))*Inputs!$B$1+((Inputs!$G$5:$G$120&lt;&gt;"moeda")*(Inputs!$G$5:$G$120&lt;&gt;"acoes")))*INDEX(Inputs!$K$5:$AJ$120,0,MATCH(D$2,Inputs!$K$4:$AJ$4,0)))+SUMPRODUCT((Inputs!$C$5:$C$120=$B43)*Inputs!$D$5:$D$120*(((Inputs!$G$5:$G$120="moeda")+(Inputs!$G$5:$G$120="acoes"))*Inputs!$B$1+((Inputs!$G$5:$G$120&lt;&gt;"moeda")*(Inputs!$G$5:$G$120&lt;&gt;"acoes")))*INDEX(Inputs!$K$5:$AJ$120,0,MATCH(D$2,Inputs!$K$4:$AJ$4,0)))+SUMPRODUCT((Inputs!$E$5:$E$120=$B43)*Inputs!$F$5:$F$120*(((Inputs!$G$5:$G$120="moeda")+(Inputs!$G$5:$G$120="acoes"))*Inputs!$B$1+((Inputs!$G$5:$G$120&lt;&gt;"moeda")*(Inputs!$G$5:$G$120&lt;&gt;"acoes")))*INDEX(Inputs!$K$5:$AJ$120,0,MATCH(D$2,Inputs!$K$4:$AJ$4,0)))))</f>
        <v>27624</v>
      </c>
      <c r="E43" s="6">
        <f>IF(ISNA(MATCH(E$2,Inputs!$K$4:$AJ$4,0)),NA(),IF(SUMPRODUCT((Inputs!$A$5:$A$120=$B43)*ISNUMBER(INDEX(Inputs!$K$5:$AJ$120,0,MATCH(E$2,Inputs!$K$4:$AJ$4,0))))+SUMPRODUCT((Inputs!$C$5:$C$120=$B43)*ISNUMBER(INDEX(Inputs!$K$5:$AJ$120,0,MATCH(E$2,Inputs!$K$4:$AJ$4,0))))+SUMPRODUCT((Inputs!$E$5:$E$120=$B43)*ISNUMBER(INDEX(Inputs!$K$5:$AJ$120,0,MATCH(E$2,Inputs!$K$4:$AJ$4,0))))=0,NA(),SUMPRODUCT((Inputs!$A$5:$A$120=$B43)*Inputs!$B$5:$B$120*(((Inputs!$G$5:$G$120="moeda")+(Inputs!$G$5:$G$120="acoes"))*Inputs!$B$1+((Inputs!$G$5:$G$120&lt;&gt;"moeda")*(Inputs!$G$5:$G$120&lt;&gt;"acoes")))*INDEX(Inputs!$K$5:$AJ$120,0,MATCH(E$2,Inputs!$K$4:$AJ$4,0)))+SUMPRODUCT((Inputs!$C$5:$C$120=$B43)*Inputs!$D$5:$D$120*(((Inputs!$G$5:$G$120="moeda")+(Inputs!$G$5:$G$120="acoes"))*Inputs!$B$1+((Inputs!$G$5:$G$120&lt;&gt;"moeda")*(Inputs!$G$5:$G$120&lt;&gt;"acoes")))*INDEX(Inputs!$K$5:$AJ$120,0,MATCH(E$2,Inputs!$K$4:$AJ$4,0)))+SUMPRODUCT((Inputs!$E$5:$E$120=$B43)*Inputs!$F$5:$F$120*(((Inputs!$G$5:$G$120="moeda")+(Inputs!$G$5:$G$120="acoes"))*Inputs!$B$1+((Inputs!$G$5:$G$120&lt;&gt;"moeda")*(Inputs!$G$5:$G$120&lt;&gt;"acoes")))*INDEX(Inputs!$K$5:$AJ$120,0,MATCH(E$2,Inputs!$K$4:$AJ$4,0)))))</f>
        <v>28206</v>
      </c>
      <c r="F43" s="6">
        <f>IF(ISNA(MATCH(F$2,Inputs!$K$4:$AJ$4,0)),NA(),IF(SUMPRODUCT((Inputs!$A$5:$A$120=$B43)*ISNUMBER(INDEX(Inputs!$K$5:$AJ$120,0,MATCH(F$2,Inputs!$K$4:$AJ$4,0))))+SUMPRODUCT((Inputs!$C$5:$C$120=$B43)*ISNUMBER(INDEX(Inputs!$K$5:$AJ$120,0,MATCH(F$2,Inputs!$K$4:$AJ$4,0))))+SUMPRODUCT((Inputs!$E$5:$E$120=$B43)*ISNUMBER(INDEX(Inputs!$K$5:$AJ$120,0,MATCH(F$2,Inputs!$K$4:$AJ$4,0))))=0,NA(),SUMPRODUCT((Inputs!$A$5:$A$120=$B43)*Inputs!$B$5:$B$120*(((Inputs!$G$5:$G$120="moeda")+(Inputs!$G$5:$G$120="acoes"))*Inputs!$B$1+((Inputs!$G$5:$G$120&lt;&gt;"moeda")*(Inputs!$G$5:$G$120&lt;&gt;"acoes")))*INDEX(Inputs!$K$5:$AJ$120,0,MATCH(F$2,Inputs!$K$4:$AJ$4,0)))+SUMPRODUCT((Inputs!$C$5:$C$120=$B43)*Inputs!$D$5:$D$120*(((Inputs!$G$5:$G$120="moeda")+(Inputs!$G$5:$G$120="acoes"))*Inputs!$B$1+((Inputs!$G$5:$G$120&lt;&gt;"moeda")*(Inputs!$G$5:$G$120&lt;&gt;"acoes")))*INDEX(Inputs!$K$5:$AJ$120,0,MATCH(F$2,Inputs!$K$4:$AJ$4,0)))+SUMPRODUCT((Inputs!$E$5:$E$120=$B43)*Inputs!$F$5:$F$120*(((Inputs!$G$5:$G$120="moeda")+(Inputs!$G$5:$G$120="acoes"))*Inputs!$B$1+((Inputs!$G$5:$G$120&lt;&gt;"moeda")*(Inputs!$G$5:$G$120&lt;&gt;"acoes")))*INDEX(Inputs!$K$5:$AJ$120,0,MATCH(F$2,Inputs!$K$4:$AJ$4,0)))))</f>
        <v>28923</v>
      </c>
      <c r="G43" s="6">
        <f>IF(ISNA(MATCH(G$2,Inputs!$K$4:$AJ$4,0)),NA(),IF(SUMPRODUCT((Inputs!$A$5:$A$120=$B43)*ISNUMBER(INDEX(Inputs!$K$5:$AJ$120,0,MATCH(G$2,Inputs!$K$4:$AJ$4,0))))+SUMPRODUCT((Inputs!$C$5:$C$120=$B43)*ISNUMBER(INDEX(Inputs!$K$5:$AJ$120,0,MATCH(G$2,Inputs!$K$4:$AJ$4,0))))+SUMPRODUCT((Inputs!$E$5:$E$120=$B43)*ISNUMBER(INDEX(Inputs!$K$5:$AJ$120,0,MATCH(G$2,Inputs!$K$4:$AJ$4,0))))=0,NA(),SUMPRODUCT((Inputs!$A$5:$A$120=$B43)*Inputs!$B$5:$B$120*(((Inputs!$G$5:$G$120="moeda")+(Inputs!$G$5:$G$120="acoes"))*Inputs!$B$1+((Inputs!$G$5:$G$120&lt;&gt;"moeda")*(Inputs!$G$5:$G$120&lt;&gt;"acoes")))*INDEX(Inputs!$K$5:$AJ$120,0,MATCH(G$2,Inputs!$K$4:$AJ$4,0)))+SUMPRODUCT((Inputs!$C$5:$C$120=$B43)*Inputs!$D$5:$D$120*(((Inputs!$G$5:$G$120="moeda")+(Inputs!$G$5:$G$120="acoes"))*Inputs!$B$1+((Inputs!$G$5:$G$120&lt;&gt;"moeda")*(Inputs!$G$5:$G$120&lt;&gt;"acoes")))*INDEX(Inputs!$K$5:$AJ$120,0,MATCH(G$2,Inputs!$K$4:$AJ$4,0)))+SUMPRODUCT((Inputs!$E$5:$E$120=$B43)*Inputs!$F$5:$F$120*(((Inputs!$G$5:$G$120="moeda")+(Inputs!$G$5:$G$120="acoes"))*Inputs!$B$1+((Inputs!$G$5:$G$120&lt;&gt;"moeda")*(Inputs!$G$5:$G$120&lt;&gt;"acoes")))*INDEX(Inputs!$K$5:$AJ$120,0,MATCH(G$2,Inputs!$K$4:$AJ$4,0)))))</f>
        <v>29804</v>
      </c>
      <c r="H43" s="3">
        <f>G43</f>
        <v>29804</v>
      </c>
      <c r="I43" s="6">
        <f>IF(ISNA(MATCH(I$2,Inputs!$K$4:$AJ$4,0)),NA(),IF(SUMPRODUCT((Inputs!$A$5:$A$120=$B43)*ISNUMBER(INDEX(Inputs!$K$5:$AJ$120,0,MATCH(I$2,Inputs!$K$4:$AJ$4,0))))+SUMPRODUCT((Inputs!$C$5:$C$120=$B43)*ISNUMBER(INDEX(Inputs!$K$5:$AJ$120,0,MATCH(I$2,Inputs!$K$4:$AJ$4,0))))+SUMPRODUCT((Inputs!$E$5:$E$120=$B43)*ISNUMBER(INDEX(Inputs!$K$5:$AJ$120,0,MATCH(I$2,Inputs!$K$4:$AJ$4,0))))=0,NA(),SUMPRODUCT((Inputs!$A$5:$A$120=$B43)*Inputs!$B$5:$B$120*(((Inputs!$G$5:$G$120="moeda")+(Inputs!$G$5:$G$120="acoes"))*Inputs!$B$1+((Inputs!$G$5:$G$120&lt;&gt;"moeda")*(Inputs!$G$5:$G$120&lt;&gt;"acoes")))*INDEX(Inputs!$K$5:$AJ$120,0,MATCH(I$2,Inputs!$K$4:$AJ$4,0)))+SUMPRODUCT((Inputs!$C$5:$C$120=$B43)*Inputs!$D$5:$D$120*(((Inputs!$G$5:$G$120="moeda")+(Inputs!$G$5:$G$120="acoes"))*Inputs!$B$1+((Inputs!$G$5:$G$120&lt;&gt;"moeda")*(Inputs!$G$5:$G$120&lt;&gt;"acoes")))*INDEX(Inputs!$K$5:$AJ$120,0,MATCH(I$2,Inputs!$K$4:$AJ$4,0)))+SUMPRODUCT((Inputs!$E$5:$E$120=$B43)*Inputs!$F$5:$F$120*(((Inputs!$G$5:$G$120="moeda")+(Inputs!$G$5:$G$120="acoes"))*Inputs!$B$1+((Inputs!$G$5:$G$120&lt;&gt;"moeda")*(Inputs!$G$5:$G$120&lt;&gt;"acoes")))*INDEX(Inputs!$K$5:$AJ$120,0,MATCH(I$2,Inputs!$K$4:$AJ$4,0)))))</f>
        <v>30486</v>
      </c>
      <c r="J43" s="6">
        <f>IF(ISNA(MATCH(J$2,Inputs!$K$4:$AJ$4,0)),NA(),IF(SUMPRODUCT((Inputs!$A$5:$A$120=$B43)*ISNUMBER(INDEX(Inputs!$K$5:$AJ$120,0,MATCH(J$2,Inputs!$K$4:$AJ$4,0))))+SUMPRODUCT((Inputs!$C$5:$C$120=$B43)*ISNUMBER(INDEX(Inputs!$K$5:$AJ$120,0,MATCH(J$2,Inputs!$K$4:$AJ$4,0))))+SUMPRODUCT((Inputs!$E$5:$E$120=$B43)*ISNUMBER(INDEX(Inputs!$K$5:$AJ$120,0,MATCH(J$2,Inputs!$K$4:$AJ$4,0))))=0,NA(),SUMPRODUCT((Inputs!$A$5:$A$120=$B43)*Inputs!$B$5:$B$120*(((Inputs!$G$5:$G$120="moeda")+(Inputs!$G$5:$G$120="acoes"))*Inputs!$B$1+((Inputs!$G$5:$G$120&lt;&gt;"moeda")*(Inputs!$G$5:$G$120&lt;&gt;"acoes")))*INDEX(Inputs!$K$5:$AJ$120,0,MATCH(J$2,Inputs!$K$4:$AJ$4,0)))+SUMPRODUCT((Inputs!$C$5:$C$120=$B43)*Inputs!$D$5:$D$120*(((Inputs!$G$5:$G$120="moeda")+(Inputs!$G$5:$G$120="acoes"))*Inputs!$B$1+((Inputs!$G$5:$G$120&lt;&gt;"moeda")*(Inputs!$G$5:$G$120&lt;&gt;"acoes")))*INDEX(Inputs!$K$5:$AJ$120,0,MATCH(J$2,Inputs!$K$4:$AJ$4,0)))+SUMPRODUCT((Inputs!$E$5:$E$120=$B43)*Inputs!$F$5:$F$120*(((Inputs!$G$5:$G$120="moeda")+(Inputs!$G$5:$G$120="acoes"))*Inputs!$B$1+((Inputs!$G$5:$G$120&lt;&gt;"moeda")*(Inputs!$G$5:$G$120&lt;&gt;"acoes")))*INDEX(Inputs!$K$5:$AJ$120,0,MATCH(J$2,Inputs!$K$4:$AJ$4,0)))))</f>
        <v>30945</v>
      </c>
      <c r="K43" s="6">
        <f>IF(ISNA(MATCH(K$2,Inputs!$K$4:$AJ$4,0)),NA(),IF(SUMPRODUCT((Inputs!$A$5:$A$120=$B43)*ISNUMBER(INDEX(Inputs!$K$5:$AJ$120,0,MATCH(K$2,Inputs!$K$4:$AJ$4,0))))+SUMPRODUCT((Inputs!$C$5:$C$120=$B43)*ISNUMBER(INDEX(Inputs!$K$5:$AJ$120,0,MATCH(K$2,Inputs!$K$4:$AJ$4,0))))+SUMPRODUCT((Inputs!$E$5:$E$120=$B43)*ISNUMBER(INDEX(Inputs!$K$5:$AJ$120,0,MATCH(K$2,Inputs!$K$4:$AJ$4,0))))=0,NA(),SUMPRODUCT((Inputs!$A$5:$A$120=$B43)*Inputs!$B$5:$B$120*(((Inputs!$G$5:$G$120="moeda")+(Inputs!$G$5:$G$120="acoes"))*Inputs!$B$1+((Inputs!$G$5:$G$120&lt;&gt;"moeda")*(Inputs!$G$5:$G$120&lt;&gt;"acoes")))*INDEX(Inputs!$K$5:$AJ$120,0,MATCH(K$2,Inputs!$K$4:$AJ$4,0)))+SUMPRODUCT((Inputs!$C$5:$C$120=$B43)*Inputs!$D$5:$D$120*(((Inputs!$G$5:$G$120="moeda")+(Inputs!$G$5:$G$120="acoes"))*Inputs!$B$1+((Inputs!$G$5:$G$120&lt;&gt;"moeda")*(Inputs!$G$5:$G$120&lt;&gt;"acoes")))*INDEX(Inputs!$K$5:$AJ$120,0,MATCH(K$2,Inputs!$K$4:$AJ$4,0)))+SUMPRODUCT((Inputs!$E$5:$E$120=$B43)*Inputs!$F$5:$F$120*(((Inputs!$G$5:$G$120="moeda")+(Inputs!$G$5:$G$120="acoes"))*Inputs!$B$1+((Inputs!$G$5:$G$120&lt;&gt;"moeda")*(Inputs!$G$5:$G$120&lt;&gt;"acoes")))*INDEX(Inputs!$K$5:$AJ$120,0,MATCH(K$2,Inputs!$K$4:$AJ$4,0)))))</f>
        <v>31595</v>
      </c>
      <c r="L43" s="6">
        <f>IF(ISNA(MATCH(L$2,Inputs!$K$4:$AJ$4,0)),NA(),IF(SUMPRODUCT((Inputs!$A$5:$A$120=$B43)*ISNUMBER(INDEX(Inputs!$K$5:$AJ$120,0,MATCH(L$2,Inputs!$K$4:$AJ$4,0))))+SUMPRODUCT((Inputs!$C$5:$C$120=$B43)*ISNUMBER(INDEX(Inputs!$K$5:$AJ$120,0,MATCH(L$2,Inputs!$K$4:$AJ$4,0))))+SUMPRODUCT((Inputs!$E$5:$E$120=$B43)*ISNUMBER(INDEX(Inputs!$K$5:$AJ$120,0,MATCH(L$2,Inputs!$K$4:$AJ$4,0))))=0,NA(),SUMPRODUCT((Inputs!$A$5:$A$120=$B43)*Inputs!$B$5:$B$120*(((Inputs!$G$5:$G$120="moeda")+(Inputs!$G$5:$G$120="acoes"))*Inputs!$B$1+((Inputs!$G$5:$G$120&lt;&gt;"moeda")*(Inputs!$G$5:$G$120&lt;&gt;"acoes")))*INDEX(Inputs!$K$5:$AJ$120,0,MATCH(L$2,Inputs!$K$4:$AJ$4,0)))+SUMPRODUCT((Inputs!$C$5:$C$120=$B43)*Inputs!$D$5:$D$120*(((Inputs!$G$5:$G$120="moeda")+(Inputs!$G$5:$G$120="acoes"))*Inputs!$B$1+((Inputs!$G$5:$G$120&lt;&gt;"moeda")*(Inputs!$G$5:$G$120&lt;&gt;"acoes")))*INDEX(Inputs!$K$5:$AJ$120,0,MATCH(L$2,Inputs!$K$4:$AJ$4,0)))+SUMPRODUCT((Inputs!$E$5:$E$120=$B43)*Inputs!$F$5:$F$120*(((Inputs!$G$5:$G$120="moeda")+(Inputs!$G$5:$G$120="acoes"))*Inputs!$B$1+((Inputs!$G$5:$G$120&lt;&gt;"moeda")*(Inputs!$G$5:$G$120&lt;&gt;"acoes")))*INDEX(Inputs!$K$5:$AJ$120,0,MATCH(L$2,Inputs!$K$4:$AJ$4,0)))))</f>
        <v>32180</v>
      </c>
      <c r="M43" s="3">
        <f>L43</f>
        <v>32180</v>
      </c>
      <c r="N43" s="6">
        <f>IF(ISNA(MATCH(N$2,Inputs!$K$4:$AJ$4,0)),NA(),IF(SUMPRODUCT((Inputs!$A$5:$A$120=$B43)*ISNUMBER(INDEX(Inputs!$K$5:$AJ$120,0,MATCH(N$2,Inputs!$K$4:$AJ$4,0))))+SUMPRODUCT((Inputs!$C$5:$C$120=$B43)*ISNUMBER(INDEX(Inputs!$K$5:$AJ$120,0,MATCH(N$2,Inputs!$K$4:$AJ$4,0))))+SUMPRODUCT((Inputs!$E$5:$E$120=$B43)*ISNUMBER(INDEX(Inputs!$K$5:$AJ$120,0,MATCH(N$2,Inputs!$K$4:$AJ$4,0))))=0,NA(),SUMPRODUCT((Inputs!$A$5:$A$120=$B43)*Inputs!$B$5:$B$120*(((Inputs!$G$5:$G$120="moeda")+(Inputs!$G$5:$G$120="acoes"))*Inputs!$B$1+((Inputs!$G$5:$G$120&lt;&gt;"moeda")*(Inputs!$G$5:$G$120&lt;&gt;"acoes")))*INDEX(Inputs!$K$5:$AJ$120,0,MATCH(N$2,Inputs!$K$4:$AJ$4,0)))+SUMPRODUCT((Inputs!$C$5:$C$120=$B43)*Inputs!$D$5:$D$120*(((Inputs!$G$5:$G$120="moeda")+(Inputs!$G$5:$G$120="acoes"))*Inputs!$B$1+((Inputs!$G$5:$G$120&lt;&gt;"moeda")*(Inputs!$G$5:$G$120&lt;&gt;"acoes")))*INDEX(Inputs!$K$5:$AJ$120,0,MATCH(N$2,Inputs!$K$4:$AJ$4,0)))+SUMPRODUCT((Inputs!$E$5:$E$120=$B43)*Inputs!$F$5:$F$120*(((Inputs!$G$5:$G$120="moeda")+(Inputs!$G$5:$G$120="acoes"))*Inputs!$B$1+((Inputs!$G$5:$G$120&lt;&gt;"moeda")*(Inputs!$G$5:$G$120&lt;&gt;"acoes")))*INDEX(Inputs!$K$5:$AJ$120,0,MATCH(N$2,Inputs!$K$4:$AJ$4,0)))))</f>
        <v>32881</v>
      </c>
      <c r="O43" s="6">
        <f>IF(ISNA(MATCH(O$2,Inputs!$K$4:$AJ$4,0)),NA(),IF(SUMPRODUCT((Inputs!$A$5:$A$120=$B43)*ISNUMBER(INDEX(Inputs!$K$5:$AJ$120,0,MATCH(O$2,Inputs!$K$4:$AJ$4,0))))+SUMPRODUCT((Inputs!$C$5:$C$120=$B43)*ISNUMBER(INDEX(Inputs!$K$5:$AJ$120,0,MATCH(O$2,Inputs!$K$4:$AJ$4,0))))+SUMPRODUCT((Inputs!$E$5:$E$120=$B43)*ISNUMBER(INDEX(Inputs!$K$5:$AJ$120,0,MATCH(O$2,Inputs!$K$4:$AJ$4,0))))=0,NA(),SUMPRODUCT((Inputs!$A$5:$A$120=$B43)*Inputs!$B$5:$B$120*(((Inputs!$G$5:$G$120="moeda")+(Inputs!$G$5:$G$120="acoes"))*Inputs!$B$1+((Inputs!$G$5:$G$120&lt;&gt;"moeda")*(Inputs!$G$5:$G$120&lt;&gt;"acoes")))*INDEX(Inputs!$K$5:$AJ$120,0,MATCH(O$2,Inputs!$K$4:$AJ$4,0)))+SUMPRODUCT((Inputs!$C$5:$C$120=$B43)*Inputs!$D$5:$D$120*(((Inputs!$G$5:$G$120="moeda")+(Inputs!$G$5:$G$120="acoes"))*Inputs!$B$1+((Inputs!$G$5:$G$120&lt;&gt;"moeda")*(Inputs!$G$5:$G$120&lt;&gt;"acoes")))*INDEX(Inputs!$K$5:$AJ$120,0,MATCH(O$2,Inputs!$K$4:$AJ$4,0)))+SUMPRODUCT((Inputs!$E$5:$E$120=$B43)*Inputs!$F$5:$F$120*(((Inputs!$G$5:$G$120="moeda")+(Inputs!$G$5:$G$120="acoes"))*Inputs!$B$1+((Inputs!$G$5:$G$120&lt;&gt;"moeda")*(Inputs!$G$5:$G$120&lt;&gt;"acoes")))*INDEX(Inputs!$K$5:$AJ$120,0,MATCH(O$2,Inputs!$K$4:$AJ$4,0)))))</f>
        <v>33439</v>
      </c>
      <c r="P43" s="6">
        <f>IF(ISNA(MATCH(P$2,Inputs!$K$4:$AJ$4,0)),NA(),IF(SUMPRODUCT((Inputs!$A$5:$A$120=$B43)*ISNUMBER(INDEX(Inputs!$K$5:$AJ$120,0,MATCH(P$2,Inputs!$K$4:$AJ$4,0))))+SUMPRODUCT((Inputs!$C$5:$C$120=$B43)*ISNUMBER(INDEX(Inputs!$K$5:$AJ$120,0,MATCH(P$2,Inputs!$K$4:$AJ$4,0))))+SUMPRODUCT((Inputs!$E$5:$E$120=$B43)*ISNUMBER(INDEX(Inputs!$K$5:$AJ$120,0,MATCH(P$2,Inputs!$K$4:$AJ$4,0))))=0,NA(),SUMPRODUCT((Inputs!$A$5:$A$120=$B43)*Inputs!$B$5:$B$120*(((Inputs!$G$5:$G$120="moeda")+(Inputs!$G$5:$G$120="acoes"))*Inputs!$B$1+((Inputs!$G$5:$G$120&lt;&gt;"moeda")*(Inputs!$G$5:$G$120&lt;&gt;"acoes")))*INDEX(Inputs!$K$5:$AJ$120,0,MATCH(P$2,Inputs!$K$4:$AJ$4,0)))+SUMPRODUCT((Inputs!$C$5:$C$120=$B43)*Inputs!$D$5:$D$120*(((Inputs!$G$5:$G$120="moeda")+(Inputs!$G$5:$G$120="acoes"))*Inputs!$B$1+((Inputs!$G$5:$G$120&lt;&gt;"moeda")*(Inputs!$G$5:$G$120&lt;&gt;"acoes")))*INDEX(Inputs!$K$5:$AJ$120,0,MATCH(P$2,Inputs!$K$4:$AJ$4,0)))+SUMPRODUCT((Inputs!$E$5:$E$120=$B43)*Inputs!$F$5:$F$120*(((Inputs!$G$5:$G$120="moeda")+(Inputs!$G$5:$G$120="acoes"))*Inputs!$B$1+((Inputs!$G$5:$G$120&lt;&gt;"moeda")*(Inputs!$G$5:$G$120&lt;&gt;"acoes")))*INDEX(Inputs!$K$5:$AJ$120,0,MATCH(P$2,Inputs!$K$4:$AJ$4,0)))))</f>
        <v>34204</v>
      </c>
      <c r="Q43" s="6">
        <f>IF(ISNA(MATCH(Q$2,Inputs!$K$4:$AJ$4,0)),NA(),IF(SUMPRODUCT((Inputs!$A$5:$A$120=$B43)*ISNUMBER(INDEX(Inputs!$K$5:$AJ$120,0,MATCH(Q$2,Inputs!$K$4:$AJ$4,0))))+SUMPRODUCT((Inputs!$C$5:$C$120=$B43)*ISNUMBER(INDEX(Inputs!$K$5:$AJ$120,0,MATCH(Q$2,Inputs!$K$4:$AJ$4,0))))+SUMPRODUCT((Inputs!$E$5:$E$120=$B43)*ISNUMBER(INDEX(Inputs!$K$5:$AJ$120,0,MATCH(Q$2,Inputs!$K$4:$AJ$4,0))))=0,NA(),SUMPRODUCT((Inputs!$A$5:$A$120=$B43)*Inputs!$B$5:$B$120*(((Inputs!$G$5:$G$120="moeda")+(Inputs!$G$5:$G$120="acoes"))*Inputs!$B$1+((Inputs!$G$5:$G$120&lt;&gt;"moeda")*(Inputs!$G$5:$G$120&lt;&gt;"acoes")))*INDEX(Inputs!$K$5:$AJ$120,0,MATCH(Q$2,Inputs!$K$4:$AJ$4,0)))+SUMPRODUCT((Inputs!$C$5:$C$120=$B43)*Inputs!$D$5:$D$120*(((Inputs!$G$5:$G$120="moeda")+(Inputs!$G$5:$G$120="acoes"))*Inputs!$B$1+((Inputs!$G$5:$G$120&lt;&gt;"moeda")*(Inputs!$G$5:$G$120&lt;&gt;"acoes")))*INDEX(Inputs!$K$5:$AJ$120,0,MATCH(Q$2,Inputs!$K$4:$AJ$4,0)))+SUMPRODUCT((Inputs!$E$5:$E$120=$B43)*Inputs!$F$5:$F$120*(((Inputs!$G$5:$G$120="moeda")+(Inputs!$G$5:$G$120="acoes"))*Inputs!$B$1+((Inputs!$G$5:$G$120&lt;&gt;"moeda")*(Inputs!$G$5:$G$120&lt;&gt;"acoes")))*INDEX(Inputs!$K$5:$AJ$120,0,MATCH(Q$2,Inputs!$K$4:$AJ$4,0)))))</f>
        <v>34895</v>
      </c>
      <c r="R43" s="3">
        <f>Q43</f>
        <v>34895</v>
      </c>
      <c r="S43" s="6">
        <f>IF(ISNA(MATCH(S$2,Inputs!$K$4:$AJ$4,0)),NA(),IF(SUMPRODUCT((Inputs!$A$5:$A$120=$B43)*ISNUMBER(INDEX(Inputs!$K$5:$AJ$120,0,MATCH(S$2,Inputs!$K$4:$AJ$4,0))))+SUMPRODUCT((Inputs!$C$5:$C$120=$B43)*ISNUMBER(INDEX(Inputs!$K$5:$AJ$120,0,MATCH(S$2,Inputs!$K$4:$AJ$4,0))))+SUMPRODUCT((Inputs!$E$5:$E$120=$B43)*ISNUMBER(INDEX(Inputs!$K$5:$AJ$120,0,MATCH(S$2,Inputs!$K$4:$AJ$4,0))))=0,NA(),SUMPRODUCT((Inputs!$A$5:$A$120=$B43)*Inputs!$B$5:$B$120*(((Inputs!$G$5:$G$120="moeda")+(Inputs!$G$5:$G$120="acoes"))*Inputs!$B$1+((Inputs!$G$5:$G$120&lt;&gt;"moeda")*(Inputs!$G$5:$G$120&lt;&gt;"acoes")))*INDEX(Inputs!$K$5:$AJ$120,0,MATCH(S$2,Inputs!$K$4:$AJ$4,0)))+SUMPRODUCT((Inputs!$C$5:$C$120=$B43)*Inputs!$D$5:$D$120*(((Inputs!$G$5:$G$120="moeda")+(Inputs!$G$5:$G$120="acoes"))*Inputs!$B$1+((Inputs!$G$5:$G$120&lt;&gt;"moeda")*(Inputs!$G$5:$G$120&lt;&gt;"acoes")))*INDEX(Inputs!$K$5:$AJ$120,0,MATCH(S$2,Inputs!$K$4:$AJ$4,0)))+SUMPRODUCT((Inputs!$E$5:$E$120=$B43)*Inputs!$F$5:$F$120*(((Inputs!$G$5:$G$120="moeda")+(Inputs!$G$5:$G$120="acoes"))*Inputs!$B$1+((Inputs!$G$5:$G$120&lt;&gt;"moeda")*(Inputs!$G$5:$G$120&lt;&gt;"acoes")))*INDEX(Inputs!$K$5:$AJ$120,0,MATCH(S$2,Inputs!$K$4:$AJ$4,0)))))</f>
        <v>35766</v>
      </c>
      <c r="T43" s="6">
        <f>IF(ISNA(MATCH(T$2,Inputs!$K$4:$AJ$4,0)),NA(),IF(SUMPRODUCT((Inputs!$A$5:$A$120=$B43)*ISNUMBER(INDEX(Inputs!$K$5:$AJ$120,0,MATCH(T$2,Inputs!$K$4:$AJ$4,0))))+SUMPRODUCT((Inputs!$C$5:$C$120=$B43)*ISNUMBER(INDEX(Inputs!$K$5:$AJ$120,0,MATCH(T$2,Inputs!$K$4:$AJ$4,0))))+SUMPRODUCT((Inputs!$E$5:$E$120=$B43)*ISNUMBER(INDEX(Inputs!$K$5:$AJ$120,0,MATCH(T$2,Inputs!$K$4:$AJ$4,0))))=0,NA(),SUMPRODUCT((Inputs!$A$5:$A$120=$B43)*Inputs!$B$5:$B$120*(((Inputs!$G$5:$G$120="moeda")+(Inputs!$G$5:$G$120="acoes"))*Inputs!$B$1+((Inputs!$G$5:$G$120&lt;&gt;"moeda")*(Inputs!$G$5:$G$120&lt;&gt;"acoes")))*INDEX(Inputs!$K$5:$AJ$120,0,MATCH(T$2,Inputs!$K$4:$AJ$4,0)))+SUMPRODUCT((Inputs!$C$5:$C$120=$B43)*Inputs!$D$5:$D$120*(((Inputs!$G$5:$G$120="moeda")+(Inputs!$G$5:$G$120="acoes"))*Inputs!$B$1+((Inputs!$G$5:$G$120&lt;&gt;"moeda")*(Inputs!$G$5:$G$120&lt;&gt;"acoes")))*INDEX(Inputs!$K$5:$AJ$120,0,MATCH(T$2,Inputs!$K$4:$AJ$4,0)))+SUMPRODUCT((Inputs!$E$5:$E$120=$B43)*Inputs!$F$5:$F$120*(((Inputs!$G$5:$G$120="moeda")+(Inputs!$G$5:$G$120="acoes"))*Inputs!$B$1+((Inputs!$G$5:$G$120&lt;&gt;"moeda")*(Inputs!$G$5:$G$120&lt;&gt;"acoes")))*INDEX(Inputs!$K$5:$AJ$120,0,MATCH(T$2,Inputs!$K$4:$AJ$4,0)))))</f>
        <v>36446</v>
      </c>
      <c r="U43" s="6">
        <f>IF(ISNA(MATCH(U$2,Inputs!$K$4:$AJ$4,0)),NA(),IF(SUMPRODUCT((Inputs!$A$5:$A$120=$B43)*ISNUMBER(INDEX(Inputs!$K$5:$AJ$120,0,MATCH(U$2,Inputs!$K$4:$AJ$4,0))))+SUMPRODUCT((Inputs!$C$5:$C$120=$B43)*ISNUMBER(INDEX(Inputs!$K$5:$AJ$120,0,MATCH(U$2,Inputs!$K$4:$AJ$4,0))))+SUMPRODUCT((Inputs!$E$5:$E$120=$B43)*ISNUMBER(INDEX(Inputs!$K$5:$AJ$120,0,MATCH(U$2,Inputs!$K$4:$AJ$4,0))))=0,NA(),SUMPRODUCT((Inputs!$A$5:$A$120=$B43)*Inputs!$B$5:$B$120*(((Inputs!$G$5:$G$120="moeda")+(Inputs!$G$5:$G$120="acoes"))*Inputs!$B$1+((Inputs!$G$5:$G$120&lt;&gt;"moeda")*(Inputs!$G$5:$G$120&lt;&gt;"acoes")))*INDEX(Inputs!$K$5:$AJ$120,0,MATCH(U$2,Inputs!$K$4:$AJ$4,0)))+SUMPRODUCT((Inputs!$C$5:$C$120=$B43)*Inputs!$D$5:$D$120*(((Inputs!$G$5:$G$120="moeda")+(Inputs!$G$5:$G$120="acoes"))*Inputs!$B$1+((Inputs!$G$5:$G$120&lt;&gt;"moeda")*(Inputs!$G$5:$G$120&lt;&gt;"acoes")))*INDEX(Inputs!$K$5:$AJ$120,0,MATCH(U$2,Inputs!$K$4:$AJ$4,0)))+SUMPRODUCT((Inputs!$E$5:$E$120=$B43)*Inputs!$F$5:$F$120*(((Inputs!$G$5:$G$120="moeda")+(Inputs!$G$5:$G$120="acoes"))*Inputs!$B$1+((Inputs!$G$5:$G$120&lt;&gt;"moeda")*(Inputs!$G$5:$G$120&lt;&gt;"acoes")))*INDEX(Inputs!$K$5:$AJ$120,0,MATCH(U$2,Inputs!$K$4:$AJ$4,0)))))</f>
        <v>37289</v>
      </c>
      <c r="V43" s="6">
        <f>IF(ISNA(MATCH(V$2,Inputs!$K$4:$AJ$4,0)),NA(),IF(SUMPRODUCT((Inputs!$A$5:$A$120=$B43)*ISNUMBER(INDEX(Inputs!$K$5:$AJ$120,0,MATCH(V$2,Inputs!$K$4:$AJ$4,0))))+SUMPRODUCT((Inputs!$C$5:$C$120=$B43)*ISNUMBER(INDEX(Inputs!$K$5:$AJ$120,0,MATCH(V$2,Inputs!$K$4:$AJ$4,0))))+SUMPRODUCT((Inputs!$E$5:$E$120=$B43)*ISNUMBER(INDEX(Inputs!$K$5:$AJ$120,0,MATCH(V$2,Inputs!$K$4:$AJ$4,0))))=0,NA(),SUMPRODUCT((Inputs!$A$5:$A$120=$B43)*Inputs!$B$5:$B$120*(((Inputs!$G$5:$G$120="moeda")+(Inputs!$G$5:$G$120="acoes"))*Inputs!$B$1+((Inputs!$G$5:$G$120&lt;&gt;"moeda")*(Inputs!$G$5:$G$120&lt;&gt;"acoes")))*INDEX(Inputs!$K$5:$AJ$120,0,MATCH(V$2,Inputs!$K$4:$AJ$4,0)))+SUMPRODUCT((Inputs!$C$5:$C$120=$B43)*Inputs!$D$5:$D$120*(((Inputs!$G$5:$G$120="moeda")+(Inputs!$G$5:$G$120="acoes"))*Inputs!$B$1+((Inputs!$G$5:$G$120&lt;&gt;"moeda")*(Inputs!$G$5:$G$120&lt;&gt;"acoes")))*INDEX(Inputs!$K$5:$AJ$120,0,MATCH(V$2,Inputs!$K$4:$AJ$4,0)))+SUMPRODUCT((Inputs!$E$5:$E$120=$B43)*Inputs!$F$5:$F$120*(((Inputs!$G$5:$G$120="moeda")+(Inputs!$G$5:$G$120="acoes"))*Inputs!$B$1+((Inputs!$G$5:$G$120&lt;&gt;"moeda")*(Inputs!$G$5:$G$120&lt;&gt;"acoes")))*INDEX(Inputs!$K$5:$AJ$120,0,MATCH(V$2,Inputs!$K$4:$AJ$4,0)))))</f>
        <v>38374</v>
      </c>
      <c r="W43" s="3">
        <f>V43</f>
        <v>38374</v>
      </c>
      <c r="X43" s="6">
        <f>IF(ISNA(MATCH(X$2,Inputs!$K$4:$AJ$4,0)),NA(),IF(SUMPRODUCT((Inputs!$A$5:$A$120=$B43)*ISNUMBER(INDEX(Inputs!$K$5:$AJ$120,0,MATCH(X$2,Inputs!$K$4:$AJ$4,0))))+SUMPRODUCT((Inputs!$C$5:$C$120=$B43)*ISNUMBER(INDEX(Inputs!$K$5:$AJ$120,0,MATCH(X$2,Inputs!$K$4:$AJ$4,0))))+SUMPRODUCT((Inputs!$E$5:$E$120=$B43)*ISNUMBER(INDEX(Inputs!$K$5:$AJ$120,0,MATCH(X$2,Inputs!$K$4:$AJ$4,0))))=0,NA(),SUMPRODUCT((Inputs!$A$5:$A$120=$B43)*Inputs!$B$5:$B$120*(((Inputs!$G$5:$G$120="moeda")+(Inputs!$G$5:$G$120="acoes"))*Inputs!$B$1+((Inputs!$G$5:$G$120&lt;&gt;"moeda")*(Inputs!$G$5:$G$120&lt;&gt;"acoes")))*INDEX(Inputs!$K$5:$AJ$120,0,MATCH(X$2,Inputs!$K$4:$AJ$4,0)))+SUMPRODUCT((Inputs!$C$5:$C$120=$B43)*Inputs!$D$5:$D$120*(((Inputs!$G$5:$G$120="moeda")+(Inputs!$G$5:$G$120="acoes"))*Inputs!$B$1+((Inputs!$G$5:$G$120&lt;&gt;"moeda")*(Inputs!$G$5:$G$120&lt;&gt;"acoes")))*INDEX(Inputs!$K$5:$AJ$120,0,MATCH(X$2,Inputs!$K$4:$AJ$4,0)))+SUMPRODUCT((Inputs!$E$5:$E$120=$B43)*Inputs!$F$5:$F$120*(((Inputs!$G$5:$G$120="moeda")+(Inputs!$G$5:$G$120="acoes"))*Inputs!$B$1+((Inputs!$G$5:$G$120&lt;&gt;"moeda")*(Inputs!$G$5:$G$120&lt;&gt;"acoes")))*INDEX(Inputs!$K$5:$AJ$120,0,MATCH(X$2,Inputs!$K$4:$AJ$4,0)))))</f>
        <v>39459</v>
      </c>
      <c r="Y43" s="6">
        <f>IF(ISNA(MATCH(Y$2,Inputs!$K$4:$AJ$4,0)),NA(),IF(SUMPRODUCT((Inputs!$A$5:$A$120=$B43)*ISNUMBER(INDEX(Inputs!$K$5:$AJ$120,0,MATCH(Y$2,Inputs!$K$4:$AJ$4,0))))+SUMPRODUCT((Inputs!$C$5:$C$120=$B43)*ISNUMBER(INDEX(Inputs!$K$5:$AJ$120,0,MATCH(Y$2,Inputs!$K$4:$AJ$4,0))))+SUMPRODUCT((Inputs!$E$5:$E$120=$B43)*ISNUMBER(INDEX(Inputs!$K$5:$AJ$120,0,MATCH(Y$2,Inputs!$K$4:$AJ$4,0))))=0,NA(),SUMPRODUCT((Inputs!$A$5:$A$120=$B43)*Inputs!$B$5:$B$120*(((Inputs!$G$5:$G$120="moeda")+(Inputs!$G$5:$G$120="acoes"))*Inputs!$B$1+((Inputs!$G$5:$G$120&lt;&gt;"moeda")*(Inputs!$G$5:$G$120&lt;&gt;"acoes")))*INDEX(Inputs!$K$5:$AJ$120,0,MATCH(Y$2,Inputs!$K$4:$AJ$4,0)))+SUMPRODUCT((Inputs!$C$5:$C$120=$B43)*Inputs!$D$5:$D$120*(((Inputs!$G$5:$G$120="moeda")+(Inputs!$G$5:$G$120="acoes"))*Inputs!$B$1+((Inputs!$G$5:$G$120&lt;&gt;"moeda")*(Inputs!$G$5:$G$120&lt;&gt;"acoes")))*INDEX(Inputs!$K$5:$AJ$120,0,MATCH(Y$2,Inputs!$K$4:$AJ$4,0)))+SUMPRODUCT((Inputs!$E$5:$E$120=$B43)*Inputs!$F$5:$F$120*(((Inputs!$G$5:$G$120="moeda")+(Inputs!$G$5:$G$120="acoes"))*Inputs!$B$1+((Inputs!$G$5:$G$120&lt;&gt;"moeda")*(Inputs!$G$5:$G$120&lt;&gt;"acoes")))*INDEX(Inputs!$K$5:$AJ$120,0,MATCH(Y$2,Inputs!$K$4:$AJ$4,0)))))</f>
        <v>40366</v>
      </c>
      <c r="Z43" s="6">
        <f>IF(ISNA(MATCH(Z$2,Inputs!$K$4:$AJ$4,0)),NA(),IF(SUMPRODUCT((Inputs!$A$5:$A$120=$B43)*ISNUMBER(INDEX(Inputs!$K$5:$AJ$120,0,MATCH(Z$2,Inputs!$K$4:$AJ$4,0))))+SUMPRODUCT((Inputs!$C$5:$C$120=$B43)*ISNUMBER(INDEX(Inputs!$K$5:$AJ$120,0,MATCH(Z$2,Inputs!$K$4:$AJ$4,0))))+SUMPRODUCT((Inputs!$E$5:$E$120=$B43)*ISNUMBER(INDEX(Inputs!$K$5:$AJ$120,0,MATCH(Z$2,Inputs!$K$4:$AJ$4,0))))=0,NA(),SUMPRODUCT((Inputs!$A$5:$A$120=$B43)*Inputs!$B$5:$B$120*(((Inputs!$G$5:$G$120="moeda")+(Inputs!$G$5:$G$120="acoes"))*Inputs!$B$1+((Inputs!$G$5:$G$120&lt;&gt;"moeda")*(Inputs!$G$5:$G$120&lt;&gt;"acoes")))*INDEX(Inputs!$K$5:$AJ$120,0,MATCH(Z$2,Inputs!$K$4:$AJ$4,0)))+SUMPRODUCT((Inputs!$C$5:$C$120=$B43)*Inputs!$D$5:$D$120*(((Inputs!$G$5:$G$120="moeda")+(Inputs!$G$5:$G$120="acoes"))*Inputs!$B$1+((Inputs!$G$5:$G$120&lt;&gt;"moeda")*(Inputs!$G$5:$G$120&lt;&gt;"acoes")))*INDEX(Inputs!$K$5:$AJ$120,0,MATCH(Z$2,Inputs!$K$4:$AJ$4,0)))+SUMPRODUCT((Inputs!$E$5:$E$120=$B43)*Inputs!$F$5:$F$120*(((Inputs!$G$5:$G$120="moeda")+(Inputs!$G$5:$G$120="acoes"))*Inputs!$B$1+((Inputs!$G$5:$G$120&lt;&gt;"moeda")*(Inputs!$G$5:$G$120&lt;&gt;"acoes")))*INDEX(Inputs!$K$5:$AJ$120,0,MATCH(Z$2,Inputs!$K$4:$AJ$4,0)))))</f>
        <v>41600</v>
      </c>
      <c r="AA43" s="6">
        <f>IF(ISNA(MATCH(AA$2,Inputs!$K$4:$AJ$4,0)),NA(),IF(SUMPRODUCT((Inputs!$A$5:$A$120=$B43)*ISNUMBER(INDEX(Inputs!$K$5:$AJ$120,0,MATCH(AA$2,Inputs!$K$4:$AJ$4,0))))+SUMPRODUCT((Inputs!$C$5:$C$120=$B43)*ISNUMBER(INDEX(Inputs!$K$5:$AJ$120,0,MATCH(AA$2,Inputs!$K$4:$AJ$4,0))))+SUMPRODUCT((Inputs!$E$5:$E$120=$B43)*ISNUMBER(INDEX(Inputs!$K$5:$AJ$120,0,MATCH(AA$2,Inputs!$K$4:$AJ$4,0))))=0,NA(),SUMPRODUCT((Inputs!$A$5:$A$120=$B43)*Inputs!$B$5:$B$120*(((Inputs!$G$5:$G$120="moeda")+(Inputs!$G$5:$G$120="acoes"))*Inputs!$B$1+((Inputs!$G$5:$G$120&lt;&gt;"moeda")*(Inputs!$G$5:$G$120&lt;&gt;"acoes")))*INDEX(Inputs!$K$5:$AJ$120,0,MATCH(AA$2,Inputs!$K$4:$AJ$4,0)))+SUMPRODUCT((Inputs!$C$5:$C$120=$B43)*Inputs!$D$5:$D$120*(((Inputs!$G$5:$G$120="moeda")+(Inputs!$G$5:$G$120="acoes"))*Inputs!$B$1+((Inputs!$G$5:$G$120&lt;&gt;"moeda")*(Inputs!$G$5:$G$120&lt;&gt;"acoes")))*INDEX(Inputs!$K$5:$AJ$120,0,MATCH(AA$2,Inputs!$K$4:$AJ$4,0)))+SUMPRODUCT((Inputs!$E$5:$E$120=$B43)*Inputs!$F$5:$F$120*(((Inputs!$G$5:$G$120="moeda")+(Inputs!$G$5:$G$120="acoes"))*Inputs!$B$1+((Inputs!$G$5:$G$120&lt;&gt;"moeda")*(Inputs!$G$5:$G$120&lt;&gt;"acoes")))*INDEX(Inputs!$K$5:$AJ$120,0,MATCH(AA$2,Inputs!$K$4:$AJ$4,0)))))</f>
        <v>42773</v>
      </c>
      <c r="AB43" s="3">
        <f>AA43</f>
        <v>42773</v>
      </c>
      <c r="AC43" s="6">
        <f>IF(ISNA(MATCH(AC$2,Inputs!$K$4:$AJ$4,0)),NA(),IF(SUMPRODUCT((Inputs!$A$5:$A$120=$B43)*ISNUMBER(INDEX(Inputs!$K$5:$AJ$120,0,MATCH(AC$2,Inputs!$K$4:$AJ$4,0))))+SUMPRODUCT((Inputs!$C$5:$C$120=$B43)*ISNUMBER(INDEX(Inputs!$K$5:$AJ$120,0,MATCH(AC$2,Inputs!$K$4:$AJ$4,0))))+SUMPRODUCT((Inputs!$E$5:$E$120=$B43)*ISNUMBER(INDEX(Inputs!$K$5:$AJ$120,0,MATCH(AC$2,Inputs!$K$4:$AJ$4,0))))=0,NA(),SUMPRODUCT((Inputs!$A$5:$A$120=$B43)*Inputs!$B$5:$B$120*(((Inputs!$G$5:$G$120="moeda")+(Inputs!$G$5:$G$120="acoes"))*Inputs!$B$1+((Inputs!$G$5:$G$120&lt;&gt;"moeda")*(Inputs!$G$5:$G$120&lt;&gt;"acoes")))*INDEX(Inputs!$K$5:$AJ$120,0,MATCH(AC$2,Inputs!$K$4:$AJ$4,0)))+SUMPRODUCT((Inputs!$C$5:$C$120=$B43)*Inputs!$D$5:$D$120*(((Inputs!$G$5:$G$120="moeda")+(Inputs!$G$5:$G$120="acoes"))*Inputs!$B$1+((Inputs!$G$5:$G$120&lt;&gt;"moeda")*(Inputs!$G$5:$G$120&lt;&gt;"acoes")))*INDEX(Inputs!$K$5:$AJ$120,0,MATCH(AC$2,Inputs!$K$4:$AJ$4,0)))+SUMPRODUCT((Inputs!$E$5:$E$120=$B43)*Inputs!$F$5:$F$120*(((Inputs!$G$5:$G$120="moeda")+(Inputs!$G$5:$G$120="acoes"))*Inputs!$B$1+((Inputs!$G$5:$G$120&lt;&gt;"moeda")*(Inputs!$G$5:$G$120&lt;&gt;"acoes")))*INDEX(Inputs!$K$5:$AJ$120,0,MATCH(AC$2,Inputs!$K$4:$AJ$4,0)))))</f>
        <v>44302</v>
      </c>
      <c r="AD43" s="6">
        <f>IF(ISNA(MATCH(AD$2,Inputs!$K$4:$AJ$4,0)),NA(),IF(SUMPRODUCT((Inputs!$A$5:$A$120=$B43)*ISNUMBER(INDEX(Inputs!$K$5:$AJ$120,0,MATCH(AD$2,Inputs!$K$4:$AJ$4,0))))+SUMPRODUCT((Inputs!$C$5:$C$120=$B43)*ISNUMBER(INDEX(Inputs!$K$5:$AJ$120,0,MATCH(AD$2,Inputs!$K$4:$AJ$4,0))))+SUMPRODUCT((Inputs!$E$5:$E$120=$B43)*ISNUMBER(INDEX(Inputs!$K$5:$AJ$120,0,MATCH(AD$2,Inputs!$K$4:$AJ$4,0))))=0,NA(),SUMPRODUCT((Inputs!$A$5:$A$120=$B43)*Inputs!$B$5:$B$120*(((Inputs!$G$5:$G$120="moeda")+(Inputs!$G$5:$G$120="acoes"))*Inputs!$B$1+((Inputs!$G$5:$G$120&lt;&gt;"moeda")*(Inputs!$G$5:$G$120&lt;&gt;"acoes")))*INDEX(Inputs!$K$5:$AJ$120,0,MATCH(AD$2,Inputs!$K$4:$AJ$4,0)))+SUMPRODUCT((Inputs!$C$5:$C$120=$B43)*Inputs!$D$5:$D$120*(((Inputs!$G$5:$G$120="moeda")+(Inputs!$G$5:$G$120="acoes"))*Inputs!$B$1+((Inputs!$G$5:$G$120&lt;&gt;"moeda")*(Inputs!$G$5:$G$120&lt;&gt;"acoes")))*INDEX(Inputs!$K$5:$AJ$120,0,MATCH(AD$2,Inputs!$K$4:$AJ$4,0)))+SUMPRODUCT((Inputs!$E$5:$E$120=$B43)*Inputs!$F$5:$F$120*(((Inputs!$G$5:$G$120="moeda")+(Inputs!$G$5:$G$120="acoes"))*Inputs!$B$1+((Inputs!$G$5:$G$120&lt;&gt;"moeda")*(Inputs!$G$5:$G$120&lt;&gt;"acoes")))*INDEX(Inputs!$K$5:$AJ$120,0,MATCH(AD$2,Inputs!$K$4:$AJ$4,0)))))</f>
        <v>45863</v>
      </c>
      <c r="AE43" s="6" t="e">
        <f>IF(ISNA(MATCH(AE$2,Inputs!$K$4:$AJ$4,0)),NA(),IF(SUMPRODUCT((Inputs!$A$5:$A$120=$B43)*ISNUMBER(INDEX(Inputs!$K$5:$AJ$120,0,MATCH(AE$2,Inputs!$K$4:$AJ$4,0))))+SUMPRODUCT((Inputs!$C$5:$C$120=$B43)*ISNUMBER(INDEX(Inputs!$K$5:$AJ$120,0,MATCH(AE$2,Inputs!$K$4:$AJ$4,0))))+SUMPRODUCT((Inputs!$E$5:$E$120=$B43)*ISNUMBER(INDEX(Inputs!$K$5:$AJ$120,0,MATCH(AE$2,Inputs!$K$4:$AJ$4,0))))=0,NA(),SUMPRODUCT((Inputs!$A$5:$A$120=$B43)*Inputs!$B$5:$B$120*(((Inputs!$G$5:$G$120="moeda")+(Inputs!$G$5:$G$120="acoes"))*Inputs!$B$1+((Inputs!$G$5:$G$120&lt;&gt;"moeda")*(Inputs!$G$5:$G$120&lt;&gt;"acoes")))*INDEX(Inputs!$K$5:$AJ$120,0,MATCH(AE$2,Inputs!$K$4:$AJ$4,0)))+SUMPRODUCT((Inputs!$C$5:$C$120=$B43)*Inputs!$D$5:$D$120*(((Inputs!$G$5:$G$120="moeda")+(Inputs!$G$5:$G$120="acoes"))*Inputs!$B$1+((Inputs!$G$5:$G$120&lt;&gt;"moeda")*(Inputs!$G$5:$G$120&lt;&gt;"acoes")))*INDEX(Inputs!$K$5:$AJ$120,0,MATCH(AE$2,Inputs!$K$4:$AJ$4,0)))+SUMPRODUCT((Inputs!$E$5:$E$120=$B43)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43" s="6" t="e">
        <f>IF(ISNA(MATCH(AF$2,Inputs!$K$4:$AJ$4,0)),NA(),IF(SUMPRODUCT((Inputs!$A$5:$A$120=$B43)*ISNUMBER(INDEX(Inputs!$K$5:$AJ$120,0,MATCH(AF$2,Inputs!$K$4:$AJ$4,0))))+SUMPRODUCT((Inputs!$C$5:$C$120=$B43)*ISNUMBER(INDEX(Inputs!$K$5:$AJ$120,0,MATCH(AF$2,Inputs!$K$4:$AJ$4,0))))+SUMPRODUCT((Inputs!$E$5:$E$120=$B43)*ISNUMBER(INDEX(Inputs!$K$5:$AJ$120,0,MATCH(AF$2,Inputs!$K$4:$AJ$4,0))))=0,NA(),SUMPRODUCT((Inputs!$A$5:$A$120=$B43)*Inputs!$B$5:$B$120*(((Inputs!$G$5:$G$120="moeda")+(Inputs!$G$5:$G$120="acoes"))*Inputs!$B$1+((Inputs!$G$5:$G$120&lt;&gt;"moeda")*(Inputs!$G$5:$G$120&lt;&gt;"acoes")))*INDEX(Inputs!$K$5:$AJ$120,0,MATCH(AF$2,Inputs!$K$4:$AJ$4,0)))+SUMPRODUCT((Inputs!$C$5:$C$120=$B43)*Inputs!$D$5:$D$120*(((Inputs!$G$5:$G$120="moeda")+(Inputs!$G$5:$G$120="acoes"))*Inputs!$B$1+((Inputs!$G$5:$G$120&lt;&gt;"moeda")*(Inputs!$G$5:$G$120&lt;&gt;"acoes")))*INDEX(Inputs!$K$5:$AJ$120,0,MATCH(AF$2,Inputs!$K$4:$AJ$4,0)))+SUMPRODUCT((Inputs!$E$5:$E$120=$B43)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43" s="3" t="e">
        <f>AF43</f>
        <v>#N/A</v>
      </c>
      <c r="AH43" s="6">
        <f>IF(ISNA(MATCH(AH$2,Inputs!$K$4:$AJ$4,0)),NA(),IF(SUMPRODUCT((Inputs!$A$5:$A$120=$B43)*ISNUMBER(INDEX(Inputs!$K$5:$AJ$120,0,MATCH(AH$2,Inputs!$K$4:$AJ$4,0))))+SUMPRODUCT((Inputs!$C$5:$C$120=$B43)*ISNUMBER(INDEX(Inputs!$K$5:$AJ$120,0,MATCH(AH$2,Inputs!$K$4:$AJ$4,0))))+SUMPRODUCT((Inputs!$E$5:$E$120=$B43)*ISNUMBER(INDEX(Inputs!$K$5:$AJ$120,0,MATCH(AH$2,Inputs!$K$4:$AJ$4,0))))=0,NA(),SUMPRODUCT((Inputs!$A$5:$A$120=$B43)*Inputs!$B$5:$B$120*(((Inputs!$G$5:$G$120="moeda")+(Inputs!$G$5:$G$120="acoes"))*Inputs!$B$1+((Inputs!$G$5:$G$120&lt;&gt;"moeda")*(Inputs!$G$5:$G$120&lt;&gt;"acoes")))*INDEX(Inputs!$K$5:$AJ$120,0,MATCH(AH$2,Inputs!$K$4:$AJ$4,0)))+SUMPRODUCT((Inputs!$C$5:$C$120=$B43)*Inputs!$D$5:$D$120*(((Inputs!$G$5:$G$120="moeda")+(Inputs!$G$5:$G$120="acoes"))*Inputs!$B$1+((Inputs!$G$5:$G$120&lt;&gt;"moeda")*(Inputs!$G$5:$G$120&lt;&gt;"acoes")))*INDEX(Inputs!$K$5:$AJ$120,0,MATCH(AH$2,Inputs!$K$4:$AJ$4,0)))+SUMPRODUCT((Inputs!$E$5:$E$120=$B43)*Inputs!$F$5:$F$120*(((Inputs!$G$5:$G$120="moeda")+(Inputs!$G$5:$G$120="acoes"))*Inputs!$B$1+((Inputs!$G$5:$G$120&lt;&gt;"moeda")*(Inputs!$G$5:$G$120&lt;&gt;"acoes")))*INDEX(Inputs!$K$5:$AJ$120,0,MATCH(AH$2,Inputs!$K$4:$AJ$4,0)))))</f>
        <v>15390</v>
      </c>
      <c r="AI43" s="6">
        <f>IF(ISNA(MATCH(AI$2,Inputs!$K$4:$AJ$4,0)),NA(),IF(SUMPRODUCT((Inputs!$A$5:$A$120=$B43)*ISNUMBER(INDEX(Inputs!$K$5:$AJ$120,0,MATCH(AI$2,Inputs!$K$4:$AJ$4,0))))+SUMPRODUCT((Inputs!$C$5:$C$120=$B43)*ISNUMBER(INDEX(Inputs!$K$5:$AJ$120,0,MATCH(AI$2,Inputs!$K$4:$AJ$4,0))))+SUMPRODUCT((Inputs!$E$5:$E$120=$B43)*ISNUMBER(INDEX(Inputs!$K$5:$AJ$120,0,MATCH(AI$2,Inputs!$K$4:$AJ$4,0))))=0,NA(),SUMPRODUCT((Inputs!$A$5:$A$120=$B43)*Inputs!$B$5:$B$120*(((Inputs!$G$5:$G$120="moeda")+(Inputs!$G$5:$G$120="acoes"))*Inputs!$B$1+((Inputs!$G$5:$G$120&lt;&gt;"moeda")*(Inputs!$G$5:$G$120&lt;&gt;"acoes")))*INDEX(Inputs!$K$5:$AJ$120,0,MATCH(AI$2,Inputs!$K$4:$AJ$4,0)))+SUMPRODUCT((Inputs!$C$5:$C$120=$B43)*Inputs!$D$5:$D$120*(((Inputs!$G$5:$G$120="moeda")+(Inputs!$G$5:$G$120="acoes"))*Inputs!$B$1+((Inputs!$G$5:$G$120&lt;&gt;"moeda")*(Inputs!$G$5:$G$120&lt;&gt;"acoes")))*INDEX(Inputs!$K$5:$AJ$120,0,MATCH(AI$2,Inputs!$K$4:$AJ$4,0)))+SUMPRODUCT((Inputs!$E$5:$E$120=$B43)*Inputs!$F$5:$F$120*(((Inputs!$G$5:$G$120="moeda")+(Inputs!$G$5:$G$120="acoes"))*Inputs!$B$1+((Inputs!$G$5:$G$120&lt;&gt;"moeda")*(Inputs!$G$5:$G$120&lt;&gt;"acoes")))*INDEX(Inputs!$K$5:$AJ$120,0,MATCH(AI$2,Inputs!$K$4:$AJ$4,0)))))</f>
        <v>15895</v>
      </c>
      <c r="AJ43" s="6">
        <f>IF(ISNA(MATCH(AJ$2,Inputs!$K$4:$AJ$4,0)),NA(),IF(SUMPRODUCT((Inputs!$A$5:$A$120=$B43)*ISNUMBER(INDEX(Inputs!$K$5:$AJ$120,0,MATCH(AJ$2,Inputs!$K$4:$AJ$4,0))))+SUMPRODUCT((Inputs!$C$5:$C$120=$B43)*ISNUMBER(INDEX(Inputs!$K$5:$AJ$120,0,MATCH(AJ$2,Inputs!$K$4:$AJ$4,0))))+SUMPRODUCT((Inputs!$E$5:$E$120=$B43)*ISNUMBER(INDEX(Inputs!$K$5:$AJ$120,0,MATCH(AJ$2,Inputs!$K$4:$AJ$4,0))))=0,NA(),SUMPRODUCT((Inputs!$A$5:$A$120=$B43)*Inputs!$B$5:$B$120*(((Inputs!$G$5:$G$120="moeda")+(Inputs!$G$5:$G$120="acoes"))*Inputs!$B$1+((Inputs!$G$5:$G$120&lt;&gt;"moeda")*(Inputs!$G$5:$G$120&lt;&gt;"acoes")))*INDEX(Inputs!$K$5:$AJ$120,0,MATCH(AJ$2,Inputs!$K$4:$AJ$4,0)))+SUMPRODUCT((Inputs!$C$5:$C$120=$B43)*Inputs!$D$5:$D$120*(((Inputs!$G$5:$G$120="moeda")+(Inputs!$G$5:$G$120="acoes"))*Inputs!$B$1+((Inputs!$G$5:$G$120&lt;&gt;"moeda")*(Inputs!$G$5:$G$120&lt;&gt;"acoes")))*INDEX(Inputs!$K$5:$AJ$120,0,MATCH(AJ$2,Inputs!$K$4:$AJ$4,0)))+SUMPRODUCT((Inputs!$E$5:$E$120=$B43)*Inputs!$F$5:$F$120*(((Inputs!$G$5:$G$120="moeda")+(Inputs!$G$5:$G$120="acoes"))*Inputs!$B$1+((Inputs!$G$5:$G$120&lt;&gt;"moeda")*(Inputs!$G$5:$G$120&lt;&gt;"acoes")))*INDEX(Inputs!$K$5:$AJ$120,0,MATCH(AJ$2,Inputs!$K$4:$AJ$4,0)))))</f>
        <v>21575</v>
      </c>
      <c r="AK43" s="6">
        <f>IF(ISNA(MATCH(AK$2,Inputs!$K$4:$AJ$4,0)),NA(),IF(SUMPRODUCT((Inputs!$A$5:$A$120=$B43)*ISNUMBER(INDEX(Inputs!$K$5:$AJ$120,0,MATCH(AK$2,Inputs!$K$4:$AJ$4,0))))+SUMPRODUCT((Inputs!$C$5:$C$120=$B43)*ISNUMBER(INDEX(Inputs!$K$5:$AJ$120,0,MATCH(AK$2,Inputs!$K$4:$AJ$4,0))))+SUMPRODUCT((Inputs!$E$5:$E$120=$B43)*ISNUMBER(INDEX(Inputs!$K$5:$AJ$120,0,MATCH(AK$2,Inputs!$K$4:$AJ$4,0))))=0,NA(),SUMPRODUCT((Inputs!$A$5:$A$120=$B43)*Inputs!$B$5:$B$120*(((Inputs!$G$5:$G$120="moeda")+(Inputs!$G$5:$G$120="acoes"))*Inputs!$B$1+((Inputs!$G$5:$G$120&lt;&gt;"moeda")*(Inputs!$G$5:$G$120&lt;&gt;"acoes")))*INDEX(Inputs!$K$5:$AJ$120,0,MATCH(AK$2,Inputs!$K$4:$AJ$4,0)))+SUMPRODUCT((Inputs!$C$5:$C$120=$B43)*Inputs!$D$5:$D$120*(((Inputs!$G$5:$G$120="moeda")+(Inputs!$G$5:$G$120="acoes"))*Inputs!$B$1+((Inputs!$G$5:$G$120&lt;&gt;"moeda")*(Inputs!$G$5:$G$120&lt;&gt;"acoes")))*INDEX(Inputs!$K$5:$AJ$120,0,MATCH(AK$2,Inputs!$K$4:$AJ$4,0)))+SUMPRODUCT((Inputs!$E$5:$E$120=$B43)*Inputs!$F$5:$F$120*(((Inputs!$G$5:$G$120="moeda")+(Inputs!$G$5:$G$120="acoes"))*Inputs!$B$1+((Inputs!$G$5:$G$120&lt;&gt;"moeda")*(Inputs!$G$5:$G$120&lt;&gt;"acoes")))*INDEX(Inputs!$K$5:$AJ$120,0,MATCH(AK$2,Inputs!$K$4:$AJ$4,0)))))</f>
        <v>27261</v>
      </c>
      <c r="AL43" s="3">
        <f>AK43</f>
        <v>27261</v>
      </c>
    </row>
    <row r="44">
      <c r="B44" s="46" t="n">
        <v>38</v>
      </c>
      <c r="C44" s="26" t="inlineStr">
        <is>
          <t>Treasury stock (contra account)</t>
        </is>
      </c>
      <c r="D44" s="6">
        <f>IF(ISNA(MATCH(D$2,Inputs!$K$4:$AJ$4,0)),NA(),IF(SUMPRODUCT((Inputs!$A$5:$A$120=$B44)*ISNUMBER(INDEX(Inputs!$K$5:$AJ$120,0,MATCH(D$2,Inputs!$K$4:$AJ$4,0))))+SUMPRODUCT((Inputs!$C$5:$C$120=$B44)*ISNUMBER(INDEX(Inputs!$K$5:$AJ$120,0,MATCH(D$2,Inputs!$K$4:$AJ$4,0))))+SUMPRODUCT((Inputs!$E$5:$E$120=$B44)*ISNUMBER(INDEX(Inputs!$K$5:$AJ$120,0,MATCH(D$2,Inputs!$K$4:$AJ$4,0))))=0,NA(),SUMPRODUCT((Inputs!$A$5:$A$120=$B44)*Inputs!$B$5:$B$120*(((Inputs!$G$5:$G$120="moeda")+(Inputs!$G$5:$G$120="acoes"))*Inputs!$B$1+((Inputs!$G$5:$G$120&lt;&gt;"moeda")*(Inputs!$G$5:$G$120&lt;&gt;"acoes")))*INDEX(Inputs!$K$5:$AJ$120,0,MATCH(D$2,Inputs!$K$4:$AJ$4,0)))+SUMPRODUCT((Inputs!$C$5:$C$120=$B44)*Inputs!$D$5:$D$120*(((Inputs!$G$5:$G$120="moeda")+(Inputs!$G$5:$G$120="acoes"))*Inputs!$B$1+((Inputs!$G$5:$G$120&lt;&gt;"moeda")*(Inputs!$G$5:$G$120&lt;&gt;"acoes")))*INDEX(Inputs!$K$5:$AJ$120,0,MATCH(D$2,Inputs!$K$4:$AJ$4,0)))+SUMPRODUCT((Inputs!$E$5:$E$120=$B44)*Inputs!$F$5:$F$120*(((Inputs!$G$5:$G$120="moeda")+(Inputs!$G$5:$G$120="acoes"))*Inputs!$B$1+((Inputs!$G$5:$G$120&lt;&gt;"moeda")*(Inputs!$G$5:$G$120&lt;&gt;"acoes")))*INDEX(Inputs!$K$5:$AJ$120,0,MATCH(D$2,Inputs!$K$4:$AJ$4,0)))))</f>
        <v>0</v>
      </c>
      <c r="E44" s="6">
        <f>IF(ISNA(MATCH(E$2,Inputs!$K$4:$AJ$4,0)),NA(),IF(SUMPRODUCT((Inputs!$A$5:$A$120=$B44)*ISNUMBER(INDEX(Inputs!$K$5:$AJ$120,0,MATCH(E$2,Inputs!$K$4:$AJ$4,0))))+SUMPRODUCT((Inputs!$C$5:$C$120=$B44)*ISNUMBER(INDEX(Inputs!$K$5:$AJ$120,0,MATCH(E$2,Inputs!$K$4:$AJ$4,0))))+SUMPRODUCT((Inputs!$E$5:$E$120=$B44)*ISNUMBER(INDEX(Inputs!$K$5:$AJ$120,0,MATCH(E$2,Inputs!$K$4:$AJ$4,0))))=0,NA(),SUMPRODUCT((Inputs!$A$5:$A$120=$B44)*Inputs!$B$5:$B$120*(((Inputs!$G$5:$G$120="moeda")+(Inputs!$G$5:$G$120="acoes"))*Inputs!$B$1+((Inputs!$G$5:$G$120&lt;&gt;"moeda")*(Inputs!$G$5:$G$120&lt;&gt;"acoes")))*INDEX(Inputs!$K$5:$AJ$120,0,MATCH(E$2,Inputs!$K$4:$AJ$4,0)))+SUMPRODUCT((Inputs!$C$5:$C$120=$B44)*Inputs!$D$5:$D$120*(((Inputs!$G$5:$G$120="moeda")+(Inputs!$G$5:$G$120="acoes"))*Inputs!$B$1+((Inputs!$G$5:$G$120&lt;&gt;"moeda")*(Inputs!$G$5:$G$120&lt;&gt;"acoes")))*INDEX(Inputs!$K$5:$AJ$120,0,MATCH(E$2,Inputs!$K$4:$AJ$4,0)))+SUMPRODUCT((Inputs!$E$5:$E$120=$B44)*Inputs!$F$5:$F$120*(((Inputs!$G$5:$G$120="moeda")+(Inputs!$G$5:$G$120="acoes"))*Inputs!$B$1+((Inputs!$G$5:$G$120&lt;&gt;"moeda")*(Inputs!$G$5:$G$120&lt;&gt;"acoes")))*INDEX(Inputs!$K$5:$AJ$120,0,MATCH(E$2,Inputs!$K$4:$AJ$4,0)))))</f>
        <v>0</v>
      </c>
      <c r="F44" s="6">
        <f>IF(ISNA(MATCH(F$2,Inputs!$K$4:$AJ$4,0)),NA(),IF(SUMPRODUCT((Inputs!$A$5:$A$120=$B44)*ISNUMBER(INDEX(Inputs!$K$5:$AJ$120,0,MATCH(F$2,Inputs!$K$4:$AJ$4,0))))+SUMPRODUCT((Inputs!$C$5:$C$120=$B44)*ISNUMBER(INDEX(Inputs!$K$5:$AJ$120,0,MATCH(F$2,Inputs!$K$4:$AJ$4,0))))+SUMPRODUCT((Inputs!$E$5:$E$120=$B44)*ISNUMBER(INDEX(Inputs!$K$5:$AJ$120,0,MATCH(F$2,Inputs!$K$4:$AJ$4,0))))=0,NA(),SUMPRODUCT((Inputs!$A$5:$A$120=$B44)*Inputs!$B$5:$B$120*(((Inputs!$G$5:$G$120="moeda")+(Inputs!$G$5:$G$120="acoes"))*Inputs!$B$1+((Inputs!$G$5:$G$120&lt;&gt;"moeda")*(Inputs!$G$5:$G$120&lt;&gt;"acoes")))*INDEX(Inputs!$K$5:$AJ$120,0,MATCH(F$2,Inputs!$K$4:$AJ$4,0)))+SUMPRODUCT((Inputs!$C$5:$C$120=$B44)*Inputs!$D$5:$D$120*(((Inputs!$G$5:$G$120="moeda")+(Inputs!$G$5:$G$120="acoes"))*Inputs!$B$1+((Inputs!$G$5:$G$120&lt;&gt;"moeda")*(Inputs!$G$5:$G$120&lt;&gt;"acoes")))*INDEX(Inputs!$K$5:$AJ$120,0,MATCH(F$2,Inputs!$K$4:$AJ$4,0)))+SUMPRODUCT((Inputs!$E$5:$E$120=$B44)*Inputs!$F$5:$F$120*(((Inputs!$G$5:$G$120="moeda")+(Inputs!$G$5:$G$120="acoes"))*Inputs!$B$1+((Inputs!$G$5:$G$120&lt;&gt;"moeda")*(Inputs!$G$5:$G$120&lt;&gt;"acoes")))*INDEX(Inputs!$K$5:$AJ$120,0,MATCH(F$2,Inputs!$K$4:$AJ$4,0)))))</f>
        <v>0</v>
      </c>
      <c r="G44" s="6">
        <f>IF(ISNA(MATCH(G$2,Inputs!$K$4:$AJ$4,0)),NA(),IF(SUMPRODUCT((Inputs!$A$5:$A$120=$B44)*ISNUMBER(INDEX(Inputs!$K$5:$AJ$120,0,MATCH(G$2,Inputs!$K$4:$AJ$4,0))))+SUMPRODUCT((Inputs!$C$5:$C$120=$B44)*ISNUMBER(INDEX(Inputs!$K$5:$AJ$120,0,MATCH(G$2,Inputs!$K$4:$AJ$4,0))))+SUMPRODUCT((Inputs!$E$5:$E$120=$B44)*ISNUMBER(INDEX(Inputs!$K$5:$AJ$120,0,MATCH(G$2,Inputs!$K$4:$AJ$4,0))))=0,NA(),SUMPRODUCT((Inputs!$A$5:$A$120=$B44)*Inputs!$B$5:$B$120*(((Inputs!$G$5:$G$120="moeda")+(Inputs!$G$5:$G$120="acoes"))*Inputs!$B$1+((Inputs!$G$5:$G$120&lt;&gt;"moeda")*(Inputs!$G$5:$G$120&lt;&gt;"acoes")))*INDEX(Inputs!$K$5:$AJ$120,0,MATCH(G$2,Inputs!$K$4:$AJ$4,0)))+SUMPRODUCT((Inputs!$C$5:$C$120=$B44)*Inputs!$D$5:$D$120*(((Inputs!$G$5:$G$120="moeda")+(Inputs!$G$5:$G$120="acoes"))*Inputs!$B$1+((Inputs!$G$5:$G$120&lt;&gt;"moeda")*(Inputs!$G$5:$G$120&lt;&gt;"acoes")))*INDEX(Inputs!$K$5:$AJ$120,0,MATCH(G$2,Inputs!$K$4:$AJ$4,0)))+SUMPRODUCT((Inputs!$E$5:$E$120=$B44)*Inputs!$F$5:$F$120*(((Inputs!$G$5:$G$120="moeda")+(Inputs!$G$5:$G$120="acoes"))*Inputs!$B$1+((Inputs!$G$5:$G$120&lt;&gt;"moeda")*(Inputs!$G$5:$G$120&lt;&gt;"acoes")))*INDEX(Inputs!$K$5:$AJ$120,0,MATCH(G$2,Inputs!$K$4:$AJ$4,0)))))</f>
        <v>0</v>
      </c>
      <c r="H44" s="3">
        <f>G44</f>
        <v>0</v>
      </c>
      <c r="I44" s="6">
        <f>IF(ISNA(MATCH(I$2,Inputs!$K$4:$AJ$4,0)),NA(),IF(SUMPRODUCT((Inputs!$A$5:$A$120=$B44)*ISNUMBER(INDEX(Inputs!$K$5:$AJ$120,0,MATCH(I$2,Inputs!$K$4:$AJ$4,0))))+SUMPRODUCT((Inputs!$C$5:$C$120=$B44)*ISNUMBER(INDEX(Inputs!$K$5:$AJ$120,0,MATCH(I$2,Inputs!$K$4:$AJ$4,0))))+SUMPRODUCT((Inputs!$E$5:$E$120=$B44)*ISNUMBER(INDEX(Inputs!$K$5:$AJ$120,0,MATCH(I$2,Inputs!$K$4:$AJ$4,0))))=0,NA(),SUMPRODUCT((Inputs!$A$5:$A$120=$B44)*Inputs!$B$5:$B$120*(((Inputs!$G$5:$G$120="moeda")+(Inputs!$G$5:$G$120="acoes"))*Inputs!$B$1+((Inputs!$G$5:$G$120&lt;&gt;"moeda")*(Inputs!$G$5:$G$120&lt;&gt;"acoes")))*INDEX(Inputs!$K$5:$AJ$120,0,MATCH(I$2,Inputs!$K$4:$AJ$4,0)))+SUMPRODUCT((Inputs!$C$5:$C$120=$B44)*Inputs!$D$5:$D$120*(((Inputs!$G$5:$G$120="moeda")+(Inputs!$G$5:$G$120="acoes"))*Inputs!$B$1+((Inputs!$G$5:$G$120&lt;&gt;"moeda")*(Inputs!$G$5:$G$120&lt;&gt;"acoes")))*INDEX(Inputs!$K$5:$AJ$120,0,MATCH(I$2,Inputs!$K$4:$AJ$4,0)))+SUMPRODUCT((Inputs!$E$5:$E$120=$B44)*Inputs!$F$5:$F$120*(((Inputs!$G$5:$G$120="moeda")+(Inputs!$G$5:$G$120="acoes"))*Inputs!$B$1+((Inputs!$G$5:$G$120&lt;&gt;"moeda")*(Inputs!$G$5:$G$120&lt;&gt;"acoes")))*INDEX(Inputs!$K$5:$AJ$120,0,MATCH(I$2,Inputs!$K$4:$AJ$4,0)))))</f>
        <v>0</v>
      </c>
      <c r="J44" s="6">
        <f>IF(ISNA(MATCH(J$2,Inputs!$K$4:$AJ$4,0)),NA(),IF(SUMPRODUCT((Inputs!$A$5:$A$120=$B44)*ISNUMBER(INDEX(Inputs!$K$5:$AJ$120,0,MATCH(J$2,Inputs!$K$4:$AJ$4,0))))+SUMPRODUCT((Inputs!$C$5:$C$120=$B44)*ISNUMBER(INDEX(Inputs!$K$5:$AJ$120,0,MATCH(J$2,Inputs!$K$4:$AJ$4,0))))+SUMPRODUCT((Inputs!$E$5:$E$120=$B44)*ISNUMBER(INDEX(Inputs!$K$5:$AJ$120,0,MATCH(J$2,Inputs!$K$4:$AJ$4,0))))=0,NA(),SUMPRODUCT((Inputs!$A$5:$A$120=$B44)*Inputs!$B$5:$B$120*(((Inputs!$G$5:$G$120="moeda")+(Inputs!$G$5:$G$120="acoes"))*Inputs!$B$1+((Inputs!$G$5:$G$120&lt;&gt;"moeda")*(Inputs!$G$5:$G$120&lt;&gt;"acoes")))*INDEX(Inputs!$K$5:$AJ$120,0,MATCH(J$2,Inputs!$K$4:$AJ$4,0)))+SUMPRODUCT((Inputs!$C$5:$C$120=$B44)*Inputs!$D$5:$D$120*(((Inputs!$G$5:$G$120="moeda")+(Inputs!$G$5:$G$120="acoes"))*Inputs!$B$1+((Inputs!$G$5:$G$120&lt;&gt;"moeda")*(Inputs!$G$5:$G$120&lt;&gt;"acoes")))*INDEX(Inputs!$K$5:$AJ$120,0,MATCH(J$2,Inputs!$K$4:$AJ$4,0)))+SUMPRODUCT((Inputs!$E$5:$E$120=$B44)*Inputs!$F$5:$F$120*(((Inputs!$G$5:$G$120="moeda")+(Inputs!$G$5:$G$120="acoes"))*Inputs!$B$1+((Inputs!$G$5:$G$120&lt;&gt;"moeda")*(Inputs!$G$5:$G$120&lt;&gt;"acoes")))*INDEX(Inputs!$K$5:$AJ$120,0,MATCH(J$2,Inputs!$K$4:$AJ$4,0)))))</f>
        <v>0</v>
      </c>
      <c r="K44" s="6">
        <f>IF(ISNA(MATCH(K$2,Inputs!$K$4:$AJ$4,0)),NA(),IF(SUMPRODUCT((Inputs!$A$5:$A$120=$B44)*ISNUMBER(INDEX(Inputs!$K$5:$AJ$120,0,MATCH(K$2,Inputs!$K$4:$AJ$4,0))))+SUMPRODUCT((Inputs!$C$5:$C$120=$B44)*ISNUMBER(INDEX(Inputs!$K$5:$AJ$120,0,MATCH(K$2,Inputs!$K$4:$AJ$4,0))))+SUMPRODUCT((Inputs!$E$5:$E$120=$B44)*ISNUMBER(INDEX(Inputs!$K$5:$AJ$120,0,MATCH(K$2,Inputs!$K$4:$AJ$4,0))))=0,NA(),SUMPRODUCT((Inputs!$A$5:$A$120=$B44)*Inputs!$B$5:$B$120*(((Inputs!$G$5:$G$120="moeda")+(Inputs!$G$5:$G$120="acoes"))*Inputs!$B$1+((Inputs!$G$5:$G$120&lt;&gt;"moeda")*(Inputs!$G$5:$G$120&lt;&gt;"acoes")))*INDEX(Inputs!$K$5:$AJ$120,0,MATCH(K$2,Inputs!$K$4:$AJ$4,0)))+SUMPRODUCT((Inputs!$C$5:$C$120=$B44)*Inputs!$D$5:$D$120*(((Inputs!$G$5:$G$120="moeda")+(Inputs!$G$5:$G$120="acoes"))*Inputs!$B$1+((Inputs!$G$5:$G$120&lt;&gt;"moeda")*(Inputs!$G$5:$G$120&lt;&gt;"acoes")))*INDEX(Inputs!$K$5:$AJ$120,0,MATCH(K$2,Inputs!$K$4:$AJ$4,0)))+SUMPRODUCT((Inputs!$E$5:$E$120=$B44)*Inputs!$F$5:$F$120*(((Inputs!$G$5:$G$120="moeda")+(Inputs!$G$5:$G$120="acoes"))*Inputs!$B$1+((Inputs!$G$5:$G$120&lt;&gt;"moeda")*(Inputs!$G$5:$G$120&lt;&gt;"acoes")))*INDEX(Inputs!$K$5:$AJ$120,0,MATCH(K$2,Inputs!$K$4:$AJ$4,0)))))</f>
        <v>0</v>
      </c>
      <c r="L44" s="6">
        <f>IF(ISNA(MATCH(L$2,Inputs!$K$4:$AJ$4,0)),NA(),IF(SUMPRODUCT((Inputs!$A$5:$A$120=$B44)*ISNUMBER(INDEX(Inputs!$K$5:$AJ$120,0,MATCH(L$2,Inputs!$K$4:$AJ$4,0))))+SUMPRODUCT((Inputs!$C$5:$C$120=$B44)*ISNUMBER(INDEX(Inputs!$K$5:$AJ$120,0,MATCH(L$2,Inputs!$K$4:$AJ$4,0))))+SUMPRODUCT((Inputs!$E$5:$E$120=$B44)*ISNUMBER(INDEX(Inputs!$K$5:$AJ$120,0,MATCH(L$2,Inputs!$K$4:$AJ$4,0))))=0,NA(),SUMPRODUCT((Inputs!$A$5:$A$120=$B44)*Inputs!$B$5:$B$120*(((Inputs!$G$5:$G$120="moeda")+(Inputs!$G$5:$G$120="acoes"))*Inputs!$B$1+((Inputs!$G$5:$G$120&lt;&gt;"moeda")*(Inputs!$G$5:$G$120&lt;&gt;"acoes")))*INDEX(Inputs!$K$5:$AJ$120,0,MATCH(L$2,Inputs!$K$4:$AJ$4,0)))+SUMPRODUCT((Inputs!$C$5:$C$120=$B44)*Inputs!$D$5:$D$120*(((Inputs!$G$5:$G$120="moeda")+(Inputs!$G$5:$G$120="acoes"))*Inputs!$B$1+((Inputs!$G$5:$G$120&lt;&gt;"moeda")*(Inputs!$G$5:$G$120&lt;&gt;"acoes")))*INDEX(Inputs!$K$5:$AJ$120,0,MATCH(L$2,Inputs!$K$4:$AJ$4,0)))+SUMPRODUCT((Inputs!$E$5:$E$120=$B44)*Inputs!$F$5:$F$120*(((Inputs!$G$5:$G$120="moeda")+(Inputs!$G$5:$G$120="acoes"))*Inputs!$B$1+((Inputs!$G$5:$G$120&lt;&gt;"moeda")*(Inputs!$G$5:$G$120&lt;&gt;"acoes")))*INDEX(Inputs!$K$5:$AJ$120,0,MATCH(L$2,Inputs!$K$4:$AJ$4,0)))))</f>
        <v>0</v>
      </c>
      <c r="M44" s="3">
        <f>L44</f>
        <v>0</v>
      </c>
      <c r="N44" s="6">
        <f>IF(ISNA(MATCH(N$2,Inputs!$K$4:$AJ$4,0)),NA(),IF(SUMPRODUCT((Inputs!$A$5:$A$120=$B44)*ISNUMBER(INDEX(Inputs!$K$5:$AJ$120,0,MATCH(N$2,Inputs!$K$4:$AJ$4,0))))+SUMPRODUCT((Inputs!$C$5:$C$120=$B44)*ISNUMBER(INDEX(Inputs!$K$5:$AJ$120,0,MATCH(N$2,Inputs!$K$4:$AJ$4,0))))+SUMPRODUCT((Inputs!$E$5:$E$120=$B44)*ISNUMBER(INDEX(Inputs!$K$5:$AJ$120,0,MATCH(N$2,Inputs!$K$4:$AJ$4,0))))=0,NA(),SUMPRODUCT((Inputs!$A$5:$A$120=$B44)*Inputs!$B$5:$B$120*(((Inputs!$G$5:$G$120="moeda")+(Inputs!$G$5:$G$120="acoes"))*Inputs!$B$1+((Inputs!$G$5:$G$120&lt;&gt;"moeda")*(Inputs!$G$5:$G$120&lt;&gt;"acoes")))*INDEX(Inputs!$K$5:$AJ$120,0,MATCH(N$2,Inputs!$K$4:$AJ$4,0)))+SUMPRODUCT((Inputs!$C$5:$C$120=$B44)*Inputs!$D$5:$D$120*(((Inputs!$G$5:$G$120="moeda")+(Inputs!$G$5:$G$120="acoes"))*Inputs!$B$1+((Inputs!$G$5:$G$120&lt;&gt;"moeda")*(Inputs!$G$5:$G$120&lt;&gt;"acoes")))*INDEX(Inputs!$K$5:$AJ$120,0,MATCH(N$2,Inputs!$K$4:$AJ$4,0)))+SUMPRODUCT((Inputs!$E$5:$E$120=$B44)*Inputs!$F$5:$F$120*(((Inputs!$G$5:$G$120="moeda")+(Inputs!$G$5:$G$120="acoes"))*Inputs!$B$1+((Inputs!$G$5:$G$120&lt;&gt;"moeda")*(Inputs!$G$5:$G$120&lt;&gt;"acoes")))*INDEX(Inputs!$K$5:$AJ$120,0,MATCH(N$2,Inputs!$K$4:$AJ$4,0)))))</f>
        <v>0</v>
      </c>
      <c r="O44" s="6">
        <f>IF(ISNA(MATCH(O$2,Inputs!$K$4:$AJ$4,0)),NA(),IF(SUMPRODUCT((Inputs!$A$5:$A$120=$B44)*ISNUMBER(INDEX(Inputs!$K$5:$AJ$120,0,MATCH(O$2,Inputs!$K$4:$AJ$4,0))))+SUMPRODUCT((Inputs!$C$5:$C$120=$B44)*ISNUMBER(INDEX(Inputs!$K$5:$AJ$120,0,MATCH(O$2,Inputs!$K$4:$AJ$4,0))))+SUMPRODUCT((Inputs!$E$5:$E$120=$B44)*ISNUMBER(INDEX(Inputs!$K$5:$AJ$120,0,MATCH(O$2,Inputs!$K$4:$AJ$4,0))))=0,NA(),SUMPRODUCT((Inputs!$A$5:$A$120=$B44)*Inputs!$B$5:$B$120*(((Inputs!$G$5:$G$120="moeda")+(Inputs!$G$5:$G$120="acoes"))*Inputs!$B$1+((Inputs!$G$5:$G$120&lt;&gt;"moeda")*(Inputs!$G$5:$G$120&lt;&gt;"acoes")))*INDEX(Inputs!$K$5:$AJ$120,0,MATCH(O$2,Inputs!$K$4:$AJ$4,0)))+SUMPRODUCT((Inputs!$C$5:$C$120=$B44)*Inputs!$D$5:$D$120*(((Inputs!$G$5:$G$120="moeda")+(Inputs!$G$5:$G$120="acoes"))*Inputs!$B$1+((Inputs!$G$5:$G$120&lt;&gt;"moeda")*(Inputs!$G$5:$G$120&lt;&gt;"acoes")))*INDEX(Inputs!$K$5:$AJ$120,0,MATCH(O$2,Inputs!$K$4:$AJ$4,0)))+SUMPRODUCT((Inputs!$E$5:$E$120=$B44)*Inputs!$F$5:$F$120*(((Inputs!$G$5:$G$120="moeda")+(Inputs!$G$5:$G$120="acoes"))*Inputs!$B$1+((Inputs!$G$5:$G$120&lt;&gt;"moeda")*(Inputs!$G$5:$G$120&lt;&gt;"acoes")))*INDEX(Inputs!$K$5:$AJ$120,0,MATCH(O$2,Inputs!$K$4:$AJ$4,0)))))</f>
        <v>0</v>
      </c>
      <c r="P44" s="6">
        <f>IF(ISNA(MATCH(P$2,Inputs!$K$4:$AJ$4,0)),NA(),IF(SUMPRODUCT((Inputs!$A$5:$A$120=$B44)*ISNUMBER(INDEX(Inputs!$K$5:$AJ$120,0,MATCH(P$2,Inputs!$K$4:$AJ$4,0))))+SUMPRODUCT((Inputs!$C$5:$C$120=$B44)*ISNUMBER(INDEX(Inputs!$K$5:$AJ$120,0,MATCH(P$2,Inputs!$K$4:$AJ$4,0))))+SUMPRODUCT((Inputs!$E$5:$E$120=$B44)*ISNUMBER(INDEX(Inputs!$K$5:$AJ$120,0,MATCH(P$2,Inputs!$K$4:$AJ$4,0))))=0,NA(),SUMPRODUCT((Inputs!$A$5:$A$120=$B44)*Inputs!$B$5:$B$120*(((Inputs!$G$5:$G$120="moeda")+(Inputs!$G$5:$G$120="acoes"))*Inputs!$B$1+((Inputs!$G$5:$G$120&lt;&gt;"moeda")*(Inputs!$G$5:$G$120&lt;&gt;"acoes")))*INDEX(Inputs!$K$5:$AJ$120,0,MATCH(P$2,Inputs!$K$4:$AJ$4,0)))+SUMPRODUCT((Inputs!$C$5:$C$120=$B44)*Inputs!$D$5:$D$120*(((Inputs!$G$5:$G$120="moeda")+(Inputs!$G$5:$G$120="acoes"))*Inputs!$B$1+((Inputs!$G$5:$G$120&lt;&gt;"moeda")*(Inputs!$G$5:$G$120&lt;&gt;"acoes")))*INDEX(Inputs!$K$5:$AJ$120,0,MATCH(P$2,Inputs!$K$4:$AJ$4,0)))+SUMPRODUCT((Inputs!$E$5:$E$120=$B44)*Inputs!$F$5:$F$120*(((Inputs!$G$5:$G$120="moeda")+(Inputs!$G$5:$G$120="acoes"))*Inputs!$B$1+((Inputs!$G$5:$G$120&lt;&gt;"moeda")*(Inputs!$G$5:$G$120&lt;&gt;"acoes")))*INDEX(Inputs!$K$5:$AJ$120,0,MATCH(P$2,Inputs!$K$4:$AJ$4,0)))))</f>
        <v>0</v>
      </c>
      <c r="Q44" s="6">
        <f>IF(ISNA(MATCH(Q$2,Inputs!$K$4:$AJ$4,0)),NA(),IF(SUMPRODUCT((Inputs!$A$5:$A$120=$B44)*ISNUMBER(INDEX(Inputs!$K$5:$AJ$120,0,MATCH(Q$2,Inputs!$K$4:$AJ$4,0))))+SUMPRODUCT((Inputs!$C$5:$C$120=$B44)*ISNUMBER(INDEX(Inputs!$K$5:$AJ$120,0,MATCH(Q$2,Inputs!$K$4:$AJ$4,0))))+SUMPRODUCT((Inputs!$E$5:$E$120=$B44)*ISNUMBER(INDEX(Inputs!$K$5:$AJ$120,0,MATCH(Q$2,Inputs!$K$4:$AJ$4,0))))=0,NA(),SUMPRODUCT((Inputs!$A$5:$A$120=$B44)*Inputs!$B$5:$B$120*(((Inputs!$G$5:$G$120="moeda")+(Inputs!$G$5:$G$120="acoes"))*Inputs!$B$1+((Inputs!$G$5:$G$120&lt;&gt;"moeda")*(Inputs!$G$5:$G$120&lt;&gt;"acoes")))*INDEX(Inputs!$K$5:$AJ$120,0,MATCH(Q$2,Inputs!$K$4:$AJ$4,0)))+SUMPRODUCT((Inputs!$C$5:$C$120=$B44)*Inputs!$D$5:$D$120*(((Inputs!$G$5:$G$120="moeda")+(Inputs!$G$5:$G$120="acoes"))*Inputs!$B$1+((Inputs!$G$5:$G$120&lt;&gt;"moeda")*(Inputs!$G$5:$G$120&lt;&gt;"acoes")))*INDEX(Inputs!$K$5:$AJ$120,0,MATCH(Q$2,Inputs!$K$4:$AJ$4,0)))+SUMPRODUCT((Inputs!$E$5:$E$120=$B44)*Inputs!$F$5:$F$120*(((Inputs!$G$5:$G$120="moeda")+(Inputs!$G$5:$G$120="acoes"))*Inputs!$B$1+((Inputs!$G$5:$G$120&lt;&gt;"moeda")*(Inputs!$G$5:$G$120&lt;&gt;"acoes")))*INDEX(Inputs!$K$5:$AJ$120,0,MATCH(Q$2,Inputs!$K$4:$AJ$4,0)))))</f>
        <v>0</v>
      </c>
      <c r="R44" s="3">
        <f>Q44</f>
        <v>0</v>
      </c>
      <c r="S44" s="6">
        <f>IF(ISNA(MATCH(S$2,Inputs!$K$4:$AJ$4,0)),NA(),IF(SUMPRODUCT((Inputs!$A$5:$A$120=$B44)*ISNUMBER(INDEX(Inputs!$K$5:$AJ$120,0,MATCH(S$2,Inputs!$K$4:$AJ$4,0))))+SUMPRODUCT((Inputs!$C$5:$C$120=$B44)*ISNUMBER(INDEX(Inputs!$K$5:$AJ$120,0,MATCH(S$2,Inputs!$K$4:$AJ$4,0))))+SUMPRODUCT((Inputs!$E$5:$E$120=$B44)*ISNUMBER(INDEX(Inputs!$K$5:$AJ$120,0,MATCH(S$2,Inputs!$K$4:$AJ$4,0))))=0,NA(),SUMPRODUCT((Inputs!$A$5:$A$120=$B44)*Inputs!$B$5:$B$120*(((Inputs!$G$5:$G$120="moeda")+(Inputs!$G$5:$G$120="acoes"))*Inputs!$B$1+((Inputs!$G$5:$G$120&lt;&gt;"moeda")*(Inputs!$G$5:$G$120&lt;&gt;"acoes")))*INDEX(Inputs!$K$5:$AJ$120,0,MATCH(S$2,Inputs!$K$4:$AJ$4,0)))+SUMPRODUCT((Inputs!$C$5:$C$120=$B44)*Inputs!$D$5:$D$120*(((Inputs!$G$5:$G$120="moeda")+(Inputs!$G$5:$G$120="acoes"))*Inputs!$B$1+((Inputs!$G$5:$G$120&lt;&gt;"moeda")*(Inputs!$G$5:$G$120&lt;&gt;"acoes")))*INDEX(Inputs!$K$5:$AJ$120,0,MATCH(S$2,Inputs!$K$4:$AJ$4,0)))+SUMPRODUCT((Inputs!$E$5:$E$120=$B44)*Inputs!$F$5:$F$120*(((Inputs!$G$5:$G$120="moeda")+(Inputs!$G$5:$G$120="acoes"))*Inputs!$B$1+((Inputs!$G$5:$G$120&lt;&gt;"moeda")*(Inputs!$G$5:$G$120&lt;&gt;"acoes")))*INDEX(Inputs!$K$5:$AJ$120,0,MATCH(S$2,Inputs!$K$4:$AJ$4,0)))))</f>
        <v>0</v>
      </c>
      <c r="T44" s="6">
        <f>IF(ISNA(MATCH(T$2,Inputs!$K$4:$AJ$4,0)),NA(),IF(SUMPRODUCT((Inputs!$A$5:$A$120=$B44)*ISNUMBER(INDEX(Inputs!$K$5:$AJ$120,0,MATCH(T$2,Inputs!$K$4:$AJ$4,0))))+SUMPRODUCT((Inputs!$C$5:$C$120=$B44)*ISNUMBER(INDEX(Inputs!$K$5:$AJ$120,0,MATCH(T$2,Inputs!$K$4:$AJ$4,0))))+SUMPRODUCT((Inputs!$E$5:$E$120=$B44)*ISNUMBER(INDEX(Inputs!$K$5:$AJ$120,0,MATCH(T$2,Inputs!$K$4:$AJ$4,0))))=0,NA(),SUMPRODUCT((Inputs!$A$5:$A$120=$B44)*Inputs!$B$5:$B$120*(((Inputs!$G$5:$G$120="moeda")+(Inputs!$G$5:$G$120="acoes"))*Inputs!$B$1+((Inputs!$G$5:$G$120&lt;&gt;"moeda")*(Inputs!$G$5:$G$120&lt;&gt;"acoes")))*INDEX(Inputs!$K$5:$AJ$120,0,MATCH(T$2,Inputs!$K$4:$AJ$4,0)))+SUMPRODUCT((Inputs!$C$5:$C$120=$B44)*Inputs!$D$5:$D$120*(((Inputs!$G$5:$G$120="moeda")+(Inputs!$G$5:$G$120="acoes"))*Inputs!$B$1+((Inputs!$G$5:$G$120&lt;&gt;"moeda")*(Inputs!$G$5:$G$120&lt;&gt;"acoes")))*INDEX(Inputs!$K$5:$AJ$120,0,MATCH(T$2,Inputs!$K$4:$AJ$4,0)))+SUMPRODUCT((Inputs!$E$5:$E$120=$B44)*Inputs!$F$5:$F$120*(((Inputs!$G$5:$G$120="moeda")+(Inputs!$G$5:$G$120="acoes"))*Inputs!$B$1+((Inputs!$G$5:$G$120&lt;&gt;"moeda")*(Inputs!$G$5:$G$120&lt;&gt;"acoes")))*INDEX(Inputs!$K$5:$AJ$120,0,MATCH(T$2,Inputs!$K$4:$AJ$4,0)))))</f>
        <v>0</v>
      </c>
      <c r="U44" s="6">
        <f>IF(ISNA(MATCH(U$2,Inputs!$K$4:$AJ$4,0)),NA(),IF(SUMPRODUCT((Inputs!$A$5:$A$120=$B44)*ISNUMBER(INDEX(Inputs!$K$5:$AJ$120,0,MATCH(U$2,Inputs!$K$4:$AJ$4,0))))+SUMPRODUCT((Inputs!$C$5:$C$120=$B44)*ISNUMBER(INDEX(Inputs!$K$5:$AJ$120,0,MATCH(U$2,Inputs!$K$4:$AJ$4,0))))+SUMPRODUCT((Inputs!$E$5:$E$120=$B44)*ISNUMBER(INDEX(Inputs!$K$5:$AJ$120,0,MATCH(U$2,Inputs!$K$4:$AJ$4,0))))=0,NA(),SUMPRODUCT((Inputs!$A$5:$A$120=$B44)*Inputs!$B$5:$B$120*(((Inputs!$G$5:$G$120="moeda")+(Inputs!$G$5:$G$120="acoes"))*Inputs!$B$1+((Inputs!$G$5:$G$120&lt;&gt;"moeda")*(Inputs!$G$5:$G$120&lt;&gt;"acoes")))*INDEX(Inputs!$K$5:$AJ$120,0,MATCH(U$2,Inputs!$K$4:$AJ$4,0)))+SUMPRODUCT((Inputs!$C$5:$C$120=$B44)*Inputs!$D$5:$D$120*(((Inputs!$G$5:$G$120="moeda")+(Inputs!$G$5:$G$120="acoes"))*Inputs!$B$1+((Inputs!$G$5:$G$120&lt;&gt;"moeda")*(Inputs!$G$5:$G$120&lt;&gt;"acoes")))*INDEX(Inputs!$K$5:$AJ$120,0,MATCH(U$2,Inputs!$K$4:$AJ$4,0)))+SUMPRODUCT((Inputs!$E$5:$E$120=$B44)*Inputs!$F$5:$F$120*(((Inputs!$G$5:$G$120="moeda")+(Inputs!$G$5:$G$120="acoes"))*Inputs!$B$1+((Inputs!$G$5:$G$120&lt;&gt;"moeda")*(Inputs!$G$5:$G$120&lt;&gt;"acoes")))*INDEX(Inputs!$K$5:$AJ$120,0,MATCH(U$2,Inputs!$K$4:$AJ$4,0)))))</f>
        <v>0</v>
      </c>
      <c r="V44" s="6">
        <f>IF(ISNA(MATCH(V$2,Inputs!$K$4:$AJ$4,0)),NA(),IF(SUMPRODUCT((Inputs!$A$5:$A$120=$B44)*ISNUMBER(INDEX(Inputs!$K$5:$AJ$120,0,MATCH(V$2,Inputs!$K$4:$AJ$4,0))))+SUMPRODUCT((Inputs!$C$5:$C$120=$B44)*ISNUMBER(INDEX(Inputs!$K$5:$AJ$120,0,MATCH(V$2,Inputs!$K$4:$AJ$4,0))))+SUMPRODUCT((Inputs!$E$5:$E$120=$B44)*ISNUMBER(INDEX(Inputs!$K$5:$AJ$120,0,MATCH(V$2,Inputs!$K$4:$AJ$4,0))))=0,NA(),SUMPRODUCT((Inputs!$A$5:$A$120=$B44)*Inputs!$B$5:$B$120*(((Inputs!$G$5:$G$120="moeda")+(Inputs!$G$5:$G$120="acoes"))*Inputs!$B$1+((Inputs!$G$5:$G$120&lt;&gt;"moeda")*(Inputs!$G$5:$G$120&lt;&gt;"acoes")))*INDEX(Inputs!$K$5:$AJ$120,0,MATCH(V$2,Inputs!$K$4:$AJ$4,0)))+SUMPRODUCT((Inputs!$C$5:$C$120=$B44)*Inputs!$D$5:$D$120*(((Inputs!$G$5:$G$120="moeda")+(Inputs!$G$5:$G$120="acoes"))*Inputs!$B$1+((Inputs!$G$5:$G$120&lt;&gt;"moeda")*(Inputs!$G$5:$G$120&lt;&gt;"acoes")))*INDEX(Inputs!$K$5:$AJ$120,0,MATCH(V$2,Inputs!$K$4:$AJ$4,0)))+SUMPRODUCT((Inputs!$E$5:$E$120=$B44)*Inputs!$F$5:$F$120*(((Inputs!$G$5:$G$120="moeda")+(Inputs!$G$5:$G$120="acoes"))*Inputs!$B$1+((Inputs!$G$5:$G$120&lt;&gt;"moeda")*(Inputs!$G$5:$G$120&lt;&gt;"acoes")))*INDEX(Inputs!$K$5:$AJ$120,0,MATCH(V$2,Inputs!$K$4:$AJ$4,0)))))</f>
        <v>0</v>
      </c>
      <c r="W44" s="3">
        <f>V44</f>
        <v>0</v>
      </c>
      <c r="X44" s="6">
        <f>IF(ISNA(MATCH(X$2,Inputs!$K$4:$AJ$4,0)),NA(),IF(SUMPRODUCT((Inputs!$A$5:$A$120=$B44)*ISNUMBER(INDEX(Inputs!$K$5:$AJ$120,0,MATCH(X$2,Inputs!$K$4:$AJ$4,0))))+SUMPRODUCT((Inputs!$C$5:$C$120=$B44)*ISNUMBER(INDEX(Inputs!$K$5:$AJ$120,0,MATCH(X$2,Inputs!$K$4:$AJ$4,0))))+SUMPRODUCT((Inputs!$E$5:$E$120=$B44)*ISNUMBER(INDEX(Inputs!$K$5:$AJ$120,0,MATCH(X$2,Inputs!$K$4:$AJ$4,0))))=0,NA(),SUMPRODUCT((Inputs!$A$5:$A$120=$B44)*Inputs!$B$5:$B$120*(((Inputs!$G$5:$G$120="moeda")+(Inputs!$G$5:$G$120="acoes"))*Inputs!$B$1+((Inputs!$G$5:$G$120&lt;&gt;"moeda")*(Inputs!$G$5:$G$120&lt;&gt;"acoes")))*INDEX(Inputs!$K$5:$AJ$120,0,MATCH(X$2,Inputs!$K$4:$AJ$4,0)))+SUMPRODUCT((Inputs!$C$5:$C$120=$B44)*Inputs!$D$5:$D$120*(((Inputs!$G$5:$G$120="moeda")+(Inputs!$G$5:$G$120="acoes"))*Inputs!$B$1+((Inputs!$G$5:$G$120&lt;&gt;"moeda")*(Inputs!$G$5:$G$120&lt;&gt;"acoes")))*INDEX(Inputs!$K$5:$AJ$120,0,MATCH(X$2,Inputs!$K$4:$AJ$4,0)))+SUMPRODUCT((Inputs!$E$5:$E$120=$B44)*Inputs!$F$5:$F$120*(((Inputs!$G$5:$G$120="moeda")+(Inputs!$G$5:$G$120="acoes"))*Inputs!$B$1+((Inputs!$G$5:$G$120&lt;&gt;"moeda")*(Inputs!$G$5:$G$120&lt;&gt;"acoes")))*INDEX(Inputs!$K$5:$AJ$120,0,MATCH(X$2,Inputs!$K$4:$AJ$4,0)))))</f>
        <v>0</v>
      </c>
      <c r="Y44" s="6">
        <f>IF(ISNA(MATCH(Y$2,Inputs!$K$4:$AJ$4,0)),NA(),IF(SUMPRODUCT((Inputs!$A$5:$A$120=$B44)*ISNUMBER(INDEX(Inputs!$K$5:$AJ$120,0,MATCH(Y$2,Inputs!$K$4:$AJ$4,0))))+SUMPRODUCT((Inputs!$C$5:$C$120=$B44)*ISNUMBER(INDEX(Inputs!$K$5:$AJ$120,0,MATCH(Y$2,Inputs!$K$4:$AJ$4,0))))+SUMPRODUCT((Inputs!$E$5:$E$120=$B44)*ISNUMBER(INDEX(Inputs!$K$5:$AJ$120,0,MATCH(Y$2,Inputs!$K$4:$AJ$4,0))))=0,NA(),SUMPRODUCT((Inputs!$A$5:$A$120=$B44)*Inputs!$B$5:$B$120*(((Inputs!$G$5:$G$120="moeda")+(Inputs!$G$5:$G$120="acoes"))*Inputs!$B$1+((Inputs!$G$5:$G$120&lt;&gt;"moeda")*(Inputs!$G$5:$G$120&lt;&gt;"acoes")))*INDEX(Inputs!$K$5:$AJ$120,0,MATCH(Y$2,Inputs!$K$4:$AJ$4,0)))+SUMPRODUCT((Inputs!$C$5:$C$120=$B44)*Inputs!$D$5:$D$120*(((Inputs!$G$5:$G$120="moeda")+(Inputs!$G$5:$G$120="acoes"))*Inputs!$B$1+((Inputs!$G$5:$G$120&lt;&gt;"moeda")*(Inputs!$G$5:$G$120&lt;&gt;"acoes")))*INDEX(Inputs!$K$5:$AJ$120,0,MATCH(Y$2,Inputs!$K$4:$AJ$4,0)))+SUMPRODUCT((Inputs!$E$5:$E$120=$B44)*Inputs!$F$5:$F$120*(((Inputs!$G$5:$G$120="moeda")+(Inputs!$G$5:$G$120="acoes"))*Inputs!$B$1+((Inputs!$G$5:$G$120&lt;&gt;"moeda")*(Inputs!$G$5:$G$120&lt;&gt;"acoes")))*INDEX(Inputs!$K$5:$AJ$120,0,MATCH(Y$2,Inputs!$K$4:$AJ$4,0)))))</f>
        <v>0</v>
      </c>
      <c r="Z44" s="6">
        <f>IF(ISNA(MATCH(Z$2,Inputs!$K$4:$AJ$4,0)),NA(),IF(SUMPRODUCT((Inputs!$A$5:$A$120=$B44)*ISNUMBER(INDEX(Inputs!$K$5:$AJ$120,0,MATCH(Z$2,Inputs!$K$4:$AJ$4,0))))+SUMPRODUCT((Inputs!$C$5:$C$120=$B44)*ISNUMBER(INDEX(Inputs!$K$5:$AJ$120,0,MATCH(Z$2,Inputs!$K$4:$AJ$4,0))))+SUMPRODUCT((Inputs!$E$5:$E$120=$B44)*ISNUMBER(INDEX(Inputs!$K$5:$AJ$120,0,MATCH(Z$2,Inputs!$K$4:$AJ$4,0))))=0,NA(),SUMPRODUCT((Inputs!$A$5:$A$120=$B44)*Inputs!$B$5:$B$120*(((Inputs!$G$5:$G$120="moeda")+(Inputs!$G$5:$G$120="acoes"))*Inputs!$B$1+((Inputs!$G$5:$G$120&lt;&gt;"moeda")*(Inputs!$G$5:$G$120&lt;&gt;"acoes")))*INDEX(Inputs!$K$5:$AJ$120,0,MATCH(Z$2,Inputs!$K$4:$AJ$4,0)))+SUMPRODUCT((Inputs!$C$5:$C$120=$B44)*Inputs!$D$5:$D$120*(((Inputs!$G$5:$G$120="moeda")+(Inputs!$G$5:$G$120="acoes"))*Inputs!$B$1+((Inputs!$G$5:$G$120&lt;&gt;"moeda")*(Inputs!$G$5:$G$120&lt;&gt;"acoes")))*INDEX(Inputs!$K$5:$AJ$120,0,MATCH(Z$2,Inputs!$K$4:$AJ$4,0)))+SUMPRODUCT((Inputs!$E$5:$E$120=$B44)*Inputs!$F$5:$F$120*(((Inputs!$G$5:$G$120="moeda")+(Inputs!$G$5:$G$120="acoes"))*Inputs!$B$1+((Inputs!$G$5:$G$120&lt;&gt;"moeda")*(Inputs!$G$5:$G$120&lt;&gt;"acoes")))*INDEX(Inputs!$K$5:$AJ$120,0,MATCH(Z$2,Inputs!$K$4:$AJ$4,0)))))</f>
        <v>0</v>
      </c>
      <c r="AA44" s="6">
        <f>IF(ISNA(MATCH(AA$2,Inputs!$K$4:$AJ$4,0)),NA(),IF(SUMPRODUCT((Inputs!$A$5:$A$120=$B44)*ISNUMBER(INDEX(Inputs!$K$5:$AJ$120,0,MATCH(AA$2,Inputs!$K$4:$AJ$4,0))))+SUMPRODUCT((Inputs!$C$5:$C$120=$B44)*ISNUMBER(INDEX(Inputs!$K$5:$AJ$120,0,MATCH(AA$2,Inputs!$K$4:$AJ$4,0))))+SUMPRODUCT((Inputs!$E$5:$E$120=$B44)*ISNUMBER(INDEX(Inputs!$K$5:$AJ$120,0,MATCH(AA$2,Inputs!$K$4:$AJ$4,0))))=0,NA(),SUMPRODUCT((Inputs!$A$5:$A$120=$B44)*Inputs!$B$5:$B$120*(((Inputs!$G$5:$G$120="moeda")+(Inputs!$G$5:$G$120="acoes"))*Inputs!$B$1+((Inputs!$G$5:$G$120&lt;&gt;"moeda")*(Inputs!$G$5:$G$120&lt;&gt;"acoes")))*INDEX(Inputs!$K$5:$AJ$120,0,MATCH(AA$2,Inputs!$K$4:$AJ$4,0)))+SUMPRODUCT((Inputs!$C$5:$C$120=$B44)*Inputs!$D$5:$D$120*(((Inputs!$G$5:$G$120="moeda")+(Inputs!$G$5:$G$120="acoes"))*Inputs!$B$1+((Inputs!$G$5:$G$120&lt;&gt;"moeda")*(Inputs!$G$5:$G$120&lt;&gt;"acoes")))*INDEX(Inputs!$K$5:$AJ$120,0,MATCH(AA$2,Inputs!$K$4:$AJ$4,0)))+SUMPRODUCT((Inputs!$E$5:$E$120=$B44)*Inputs!$F$5:$F$120*(((Inputs!$G$5:$G$120="moeda")+(Inputs!$G$5:$G$120="acoes"))*Inputs!$B$1+((Inputs!$G$5:$G$120&lt;&gt;"moeda")*(Inputs!$G$5:$G$120&lt;&gt;"acoes")))*INDEX(Inputs!$K$5:$AJ$120,0,MATCH(AA$2,Inputs!$K$4:$AJ$4,0)))))</f>
        <v>0</v>
      </c>
      <c r="AB44" s="3">
        <f>AA44</f>
        <v>0</v>
      </c>
      <c r="AC44" s="6">
        <f>IF(ISNA(MATCH(AC$2,Inputs!$K$4:$AJ$4,0)),NA(),IF(SUMPRODUCT((Inputs!$A$5:$A$120=$B44)*ISNUMBER(INDEX(Inputs!$K$5:$AJ$120,0,MATCH(AC$2,Inputs!$K$4:$AJ$4,0))))+SUMPRODUCT((Inputs!$C$5:$C$120=$B44)*ISNUMBER(INDEX(Inputs!$K$5:$AJ$120,0,MATCH(AC$2,Inputs!$K$4:$AJ$4,0))))+SUMPRODUCT((Inputs!$E$5:$E$120=$B44)*ISNUMBER(INDEX(Inputs!$K$5:$AJ$120,0,MATCH(AC$2,Inputs!$K$4:$AJ$4,0))))=0,NA(),SUMPRODUCT((Inputs!$A$5:$A$120=$B44)*Inputs!$B$5:$B$120*(((Inputs!$G$5:$G$120="moeda")+(Inputs!$G$5:$G$120="acoes"))*Inputs!$B$1+((Inputs!$G$5:$G$120&lt;&gt;"moeda")*(Inputs!$G$5:$G$120&lt;&gt;"acoes")))*INDEX(Inputs!$K$5:$AJ$120,0,MATCH(AC$2,Inputs!$K$4:$AJ$4,0)))+SUMPRODUCT((Inputs!$C$5:$C$120=$B44)*Inputs!$D$5:$D$120*(((Inputs!$G$5:$G$120="moeda")+(Inputs!$G$5:$G$120="acoes"))*Inputs!$B$1+((Inputs!$G$5:$G$120&lt;&gt;"moeda")*(Inputs!$G$5:$G$120&lt;&gt;"acoes")))*INDEX(Inputs!$K$5:$AJ$120,0,MATCH(AC$2,Inputs!$K$4:$AJ$4,0)))+SUMPRODUCT((Inputs!$E$5:$E$120=$B44)*Inputs!$F$5:$F$120*(((Inputs!$G$5:$G$120="moeda")+(Inputs!$G$5:$G$120="acoes"))*Inputs!$B$1+((Inputs!$G$5:$G$120&lt;&gt;"moeda")*(Inputs!$G$5:$G$120&lt;&gt;"acoes")))*INDEX(Inputs!$K$5:$AJ$120,0,MATCH(AC$2,Inputs!$K$4:$AJ$4,0)))))</f>
        <v>0</v>
      </c>
      <c r="AD44" s="6">
        <f>IF(ISNA(MATCH(AD$2,Inputs!$K$4:$AJ$4,0)),NA(),IF(SUMPRODUCT((Inputs!$A$5:$A$120=$B44)*ISNUMBER(INDEX(Inputs!$K$5:$AJ$120,0,MATCH(AD$2,Inputs!$K$4:$AJ$4,0))))+SUMPRODUCT((Inputs!$C$5:$C$120=$B44)*ISNUMBER(INDEX(Inputs!$K$5:$AJ$120,0,MATCH(AD$2,Inputs!$K$4:$AJ$4,0))))+SUMPRODUCT((Inputs!$E$5:$E$120=$B44)*ISNUMBER(INDEX(Inputs!$K$5:$AJ$120,0,MATCH(AD$2,Inputs!$K$4:$AJ$4,0))))=0,NA(),SUMPRODUCT((Inputs!$A$5:$A$120=$B44)*Inputs!$B$5:$B$120*(((Inputs!$G$5:$G$120="moeda")+(Inputs!$G$5:$G$120="acoes"))*Inputs!$B$1+((Inputs!$G$5:$G$120&lt;&gt;"moeda")*(Inputs!$G$5:$G$120&lt;&gt;"acoes")))*INDEX(Inputs!$K$5:$AJ$120,0,MATCH(AD$2,Inputs!$K$4:$AJ$4,0)))+SUMPRODUCT((Inputs!$C$5:$C$120=$B44)*Inputs!$D$5:$D$120*(((Inputs!$G$5:$G$120="moeda")+(Inputs!$G$5:$G$120="acoes"))*Inputs!$B$1+((Inputs!$G$5:$G$120&lt;&gt;"moeda")*(Inputs!$G$5:$G$120&lt;&gt;"acoes")))*INDEX(Inputs!$K$5:$AJ$120,0,MATCH(AD$2,Inputs!$K$4:$AJ$4,0)))+SUMPRODUCT((Inputs!$E$5:$E$120=$B44)*Inputs!$F$5:$F$120*(((Inputs!$G$5:$G$120="moeda")+(Inputs!$G$5:$G$120="acoes"))*Inputs!$B$1+((Inputs!$G$5:$G$120&lt;&gt;"moeda")*(Inputs!$G$5:$G$120&lt;&gt;"acoes")))*INDEX(Inputs!$K$5:$AJ$120,0,MATCH(AD$2,Inputs!$K$4:$AJ$4,0)))))</f>
        <v>0</v>
      </c>
      <c r="AE44" s="6" t="e">
        <f>IF(ISNA(MATCH(AE$2,Inputs!$K$4:$AJ$4,0)),NA(),IF(SUMPRODUCT((Inputs!$A$5:$A$120=$B44)*ISNUMBER(INDEX(Inputs!$K$5:$AJ$120,0,MATCH(AE$2,Inputs!$K$4:$AJ$4,0))))+SUMPRODUCT((Inputs!$C$5:$C$120=$B44)*ISNUMBER(INDEX(Inputs!$K$5:$AJ$120,0,MATCH(AE$2,Inputs!$K$4:$AJ$4,0))))+SUMPRODUCT((Inputs!$E$5:$E$120=$B44)*ISNUMBER(INDEX(Inputs!$K$5:$AJ$120,0,MATCH(AE$2,Inputs!$K$4:$AJ$4,0))))=0,NA(),SUMPRODUCT((Inputs!$A$5:$A$120=$B44)*Inputs!$B$5:$B$120*(((Inputs!$G$5:$G$120="moeda")+(Inputs!$G$5:$G$120="acoes"))*Inputs!$B$1+((Inputs!$G$5:$G$120&lt;&gt;"moeda")*(Inputs!$G$5:$G$120&lt;&gt;"acoes")))*INDEX(Inputs!$K$5:$AJ$120,0,MATCH(AE$2,Inputs!$K$4:$AJ$4,0)))+SUMPRODUCT((Inputs!$C$5:$C$120=$B44)*Inputs!$D$5:$D$120*(((Inputs!$G$5:$G$120="moeda")+(Inputs!$G$5:$G$120="acoes"))*Inputs!$B$1+((Inputs!$G$5:$G$120&lt;&gt;"moeda")*(Inputs!$G$5:$G$120&lt;&gt;"acoes")))*INDEX(Inputs!$K$5:$AJ$120,0,MATCH(AE$2,Inputs!$K$4:$AJ$4,0)))+SUMPRODUCT((Inputs!$E$5:$E$120=$B44)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44" s="6" t="e">
        <f>IF(ISNA(MATCH(AF$2,Inputs!$K$4:$AJ$4,0)),NA(),IF(SUMPRODUCT((Inputs!$A$5:$A$120=$B44)*ISNUMBER(INDEX(Inputs!$K$5:$AJ$120,0,MATCH(AF$2,Inputs!$K$4:$AJ$4,0))))+SUMPRODUCT((Inputs!$C$5:$C$120=$B44)*ISNUMBER(INDEX(Inputs!$K$5:$AJ$120,0,MATCH(AF$2,Inputs!$K$4:$AJ$4,0))))+SUMPRODUCT((Inputs!$E$5:$E$120=$B44)*ISNUMBER(INDEX(Inputs!$K$5:$AJ$120,0,MATCH(AF$2,Inputs!$K$4:$AJ$4,0))))=0,NA(),SUMPRODUCT((Inputs!$A$5:$A$120=$B44)*Inputs!$B$5:$B$120*(((Inputs!$G$5:$G$120="moeda")+(Inputs!$G$5:$G$120="acoes"))*Inputs!$B$1+((Inputs!$G$5:$G$120&lt;&gt;"moeda")*(Inputs!$G$5:$G$120&lt;&gt;"acoes")))*INDEX(Inputs!$K$5:$AJ$120,0,MATCH(AF$2,Inputs!$K$4:$AJ$4,0)))+SUMPRODUCT((Inputs!$C$5:$C$120=$B44)*Inputs!$D$5:$D$120*(((Inputs!$G$5:$G$120="moeda")+(Inputs!$G$5:$G$120="acoes"))*Inputs!$B$1+((Inputs!$G$5:$G$120&lt;&gt;"moeda")*(Inputs!$G$5:$G$120&lt;&gt;"acoes")))*INDEX(Inputs!$K$5:$AJ$120,0,MATCH(AF$2,Inputs!$K$4:$AJ$4,0)))+SUMPRODUCT((Inputs!$E$5:$E$120=$B44)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44" s="3" t="e">
        <f>AF44</f>
        <v>#N/A</v>
      </c>
      <c r="AH44" s="6">
        <f>IF(ISNA(MATCH(AH$2,Inputs!$K$4:$AJ$4,0)),NA(),IF(SUMPRODUCT((Inputs!$A$5:$A$120=$B44)*ISNUMBER(INDEX(Inputs!$K$5:$AJ$120,0,MATCH(AH$2,Inputs!$K$4:$AJ$4,0))))+SUMPRODUCT((Inputs!$C$5:$C$120=$B44)*ISNUMBER(INDEX(Inputs!$K$5:$AJ$120,0,MATCH(AH$2,Inputs!$K$4:$AJ$4,0))))+SUMPRODUCT((Inputs!$E$5:$E$120=$B44)*ISNUMBER(INDEX(Inputs!$K$5:$AJ$120,0,MATCH(AH$2,Inputs!$K$4:$AJ$4,0))))=0,NA(),SUMPRODUCT((Inputs!$A$5:$A$120=$B44)*Inputs!$B$5:$B$120*(((Inputs!$G$5:$G$120="moeda")+(Inputs!$G$5:$G$120="acoes"))*Inputs!$B$1+((Inputs!$G$5:$G$120&lt;&gt;"moeda")*(Inputs!$G$5:$G$120&lt;&gt;"acoes")))*INDEX(Inputs!$K$5:$AJ$120,0,MATCH(AH$2,Inputs!$K$4:$AJ$4,0)))+SUMPRODUCT((Inputs!$C$5:$C$120=$B44)*Inputs!$D$5:$D$120*(((Inputs!$G$5:$G$120="moeda")+(Inputs!$G$5:$G$120="acoes"))*Inputs!$B$1+((Inputs!$G$5:$G$120&lt;&gt;"moeda")*(Inputs!$G$5:$G$120&lt;&gt;"acoes")))*INDEX(Inputs!$K$5:$AJ$120,0,MATCH(AH$2,Inputs!$K$4:$AJ$4,0)))+SUMPRODUCT((Inputs!$E$5:$E$120=$B44)*Inputs!$F$5:$F$120*(((Inputs!$G$5:$G$120="moeda")+(Inputs!$G$5:$G$120="acoes"))*Inputs!$B$1+((Inputs!$G$5:$G$120&lt;&gt;"moeda")*(Inputs!$G$5:$G$120&lt;&gt;"acoes")))*INDEX(Inputs!$K$5:$AJ$120,0,MATCH(AH$2,Inputs!$K$4:$AJ$4,0)))))</f>
        <v>0</v>
      </c>
      <c r="AI44" s="6">
        <f>IF(ISNA(MATCH(AI$2,Inputs!$K$4:$AJ$4,0)),NA(),IF(SUMPRODUCT((Inputs!$A$5:$A$120=$B44)*ISNUMBER(INDEX(Inputs!$K$5:$AJ$120,0,MATCH(AI$2,Inputs!$K$4:$AJ$4,0))))+SUMPRODUCT((Inputs!$C$5:$C$120=$B44)*ISNUMBER(INDEX(Inputs!$K$5:$AJ$120,0,MATCH(AI$2,Inputs!$K$4:$AJ$4,0))))+SUMPRODUCT((Inputs!$E$5:$E$120=$B44)*ISNUMBER(INDEX(Inputs!$K$5:$AJ$120,0,MATCH(AI$2,Inputs!$K$4:$AJ$4,0))))=0,NA(),SUMPRODUCT((Inputs!$A$5:$A$120=$B44)*Inputs!$B$5:$B$120*(((Inputs!$G$5:$G$120="moeda")+(Inputs!$G$5:$G$120="acoes"))*Inputs!$B$1+((Inputs!$G$5:$G$120&lt;&gt;"moeda")*(Inputs!$G$5:$G$120&lt;&gt;"acoes")))*INDEX(Inputs!$K$5:$AJ$120,0,MATCH(AI$2,Inputs!$K$4:$AJ$4,0)))+SUMPRODUCT((Inputs!$C$5:$C$120=$B44)*Inputs!$D$5:$D$120*(((Inputs!$G$5:$G$120="moeda")+(Inputs!$G$5:$G$120="acoes"))*Inputs!$B$1+((Inputs!$G$5:$G$120&lt;&gt;"moeda")*(Inputs!$G$5:$G$120&lt;&gt;"acoes")))*INDEX(Inputs!$K$5:$AJ$120,0,MATCH(AI$2,Inputs!$K$4:$AJ$4,0)))+SUMPRODUCT((Inputs!$E$5:$E$120=$B44)*Inputs!$F$5:$F$120*(((Inputs!$G$5:$G$120="moeda")+(Inputs!$G$5:$G$120="acoes"))*Inputs!$B$1+((Inputs!$G$5:$G$120&lt;&gt;"moeda")*(Inputs!$G$5:$G$120&lt;&gt;"acoes")))*INDEX(Inputs!$K$5:$AJ$120,0,MATCH(AI$2,Inputs!$K$4:$AJ$4,0)))))</f>
        <v>0</v>
      </c>
      <c r="AJ44" s="6">
        <f>IF(ISNA(MATCH(AJ$2,Inputs!$K$4:$AJ$4,0)),NA(),IF(SUMPRODUCT((Inputs!$A$5:$A$120=$B44)*ISNUMBER(INDEX(Inputs!$K$5:$AJ$120,0,MATCH(AJ$2,Inputs!$K$4:$AJ$4,0))))+SUMPRODUCT((Inputs!$C$5:$C$120=$B44)*ISNUMBER(INDEX(Inputs!$K$5:$AJ$120,0,MATCH(AJ$2,Inputs!$K$4:$AJ$4,0))))+SUMPRODUCT((Inputs!$E$5:$E$120=$B44)*ISNUMBER(INDEX(Inputs!$K$5:$AJ$120,0,MATCH(AJ$2,Inputs!$K$4:$AJ$4,0))))=0,NA(),SUMPRODUCT((Inputs!$A$5:$A$120=$B44)*Inputs!$B$5:$B$120*(((Inputs!$G$5:$G$120="moeda")+(Inputs!$G$5:$G$120="acoes"))*Inputs!$B$1+((Inputs!$G$5:$G$120&lt;&gt;"moeda")*(Inputs!$G$5:$G$120&lt;&gt;"acoes")))*INDEX(Inputs!$K$5:$AJ$120,0,MATCH(AJ$2,Inputs!$K$4:$AJ$4,0)))+SUMPRODUCT((Inputs!$C$5:$C$120=$B44)*Inputs!$D$5:$D$120*(((Inputs!$G$5:$G$120="moeda")+(Inputs!$G$5:$G$120="acoes"))*Inputs!$B$1+((Inputs!$G$5:$G$120&lt;&gt;"moeda")*(Inputs!$G$5:$G$120&lt;&gt;"acoes")))*INDEX(Inputs!$K$5:$AJ$120,0,MATCH(AJ$2,Inputs!$K$4:$AJ$4,0)))+SUMPRODUCT((Inputs!$E$5:$E$120=$B44)*Inputs!$F$5:$F$120*(((Inputs!$G$5:$G$120="moeda")+(Inputs!$G$5:$G$120="acoes"))*Inputs!$B$1+((Inputs!$G$5:$G$120&lt;&gt;"moeda")*(Inputs!$G$5:$G$120&lt;&gt;"acoes")))*INDEX(Inputs!$K$5:$AJ$120,0,MATCH(AJ$2,Inputs!$K$4:$AJ$4,0)))))</f>
        <v>0</v>
      </c>
      <c r="AK44" s="6">
        <f>IF(ISNA(MATCH(AK$2,Inputs!$K$4:$AJ$4,0)),NA(),IF(SUMPRODUCT((Inputs!$A$5:$A$120=$B44)*ISNUMBER(INDEX(Inputs!$K$5:$AJ$120,0,MATCH(AK$2,Inputs!$K$4:$AJ$4,0))))+SUMPRODUCT((Inputs!$C$5:$C$120=$B44)*ISNUMBER(INDEX(Inputs!$K$5:$AJ$120,0,MATCH(AK$2,Inputs!$K$4:$AJ$4,0))))+SUMPRODUCT((Inputs!$E$5:$E$120=$B44)*ISNUMBER(INDEX(Inputs!$K$5:$AJ$120,0,MATCH(AK$2,Inputs!$K$4:$AJ$4,0))))=0,NA(),SUMPRODUCT((Inputs!$A$5:$A$120=$B44)*Inputs!$B$5:$B$120*(((Inputs!$G$5:$G$120="moeda")+(Inputs!$G$5:$G$120="acoes"))*Inputs!$B$1+((Inputs!$G$5:$G$120&lt;&gt;"moeda")*(Inputs!$G$5:$G$120&lt;&gt;"acoes")))*INDEX(Inputs!$K$5:$AJ$120,0,MATCH(AK$2,Inputs!$K$4:$AJ$4,0)))+SUMPRODUCT((Inputs!$C$5:$C$120=$B44)*Inputs!$D$5:$D$120*(((Inputs!$G$5:$G$120="moeda")+(Inputs!$G$5:$G$120="acoes"))*Inputs!$B$1+((Inputs!$G$5:$G$120&lt;&gt;"moeda")*(Inputs!$G$5:$G$120&lt;&gt;"acoes")))*INDEX(Inputs!$K$5:$AJ$120,0,MATCH(AK$2,Inputs!$K$4:$AJ$4,0)))+SUMPRODUCT((Inputs!$E$5:$E$120=$B44)*Inputs!$F$5:$F$120*(((Inputs!$G$5:$G$120="moeda")+(Inputs!$G$5:$G$120="acoes"))*Inputs!$B$1+((Inputs!$G$5:$G$120&lt;&gt;"moeda")*(Inputs!$G$5:$G$120&lt;&gt;"acoes")))*INDEX(Inputs!$K$5:$AJ$120,0,MATCH(AK$2,Inputs!$K$4:$AJ$4,0)))))</f>
        <v>0</v>
      </c>
      <c r="AL44" s="3">
        <f>AK44</f>
        <v>0</v>
      </c>
    </row>
    <row r="45">
      <c r="B45" s="46" t="n">
        <v>39</v>
      </c>
      <c r="C45" s="26" t="inlineStr">
        <is>
          <t>Comprehensive (accumulated) loss</t>
        </is>
      </c>
      <c r="D45" s="6">
        <f>IF(ISNA(MATCH(D$2,Inputs!$K$4:$AJ$4,0)),NA(),IF(SUMPRODUCT((Inputs!$A$5:$A$120=$B45)*ISNUMBER(INDEX(Inputs!$K$5:$AJ$120,0,MATCH(D$2,Inputs!$K$4:$AJ$4,0))))+SUMPRODUCT((Inputs!$C$5:$C$120=$B45)*ISNUMBER(INDEX(Inputs!$K$5:$AJ$120,0,MATCH(D$2,Inputs!$K$4:$AJ$4,0))))+SUMPRODUCT((Inputs!$E$5:$E$120=$B45)*ISNUMBER(INDEX(Inputs!$K$5:$AJ$120,0,MATCH(D$2,Inputs!$K$4:$AJ$4,0))))=0,NA(),SUMPRODUCT((Inputs!$A$5:$A$120=$B45)*Inputs!$B$5:$B$120*(((Inputs!$G$5:$G$120="moeda")+(Inputs!$G$5:$G$120="acoes"))*Inputs!$B$1+((Inputs!$G$5:$G$120&lt;&gt;"moeda")*(Inputs!$G$5:$G$120&lt;&gt;"acoes")))*INDEX(Inputs!$K$5:$AJ$120,0,MATCH(D$2,Inputs!$K$4:$AJ$4,0)))+SUMPRODUCT((Inputs!$C$5:$C$120=$B45)*Inputs!$D$5:$D$120*(((Inputs!$G$5:$G$120="moeda")+(Inputs!$G$5:$G$120="acoes"))*Inputs!$B$1+((Inputs!$G$5:$G$120&lt;&gt;"moeda")*(Inputs!$G$5:$G$120&lt;&gt;"acoes")))*INDEX(Inputs!$K$5:$AJ$120,0,MATCH(D$2,Inputs!$K$4:$AJ$4,0)))+SUMPRODUCT((Inputs!$E$5:$E$120=$B45)*Inputs!$F$5:$F$120*(((Inputs!$G$5:$G$120="moeda")+(Inputs!$G$5:$G$120="acoes"))*Inputs!$B$1+((Inputs!$G$5:$G$120&lt;&gt;"moeda")*(Inputs!$G$5:$G$120&lt;&gt;"acoes")))*INDEX(Inputs!$K$5:$AJ$120,0,MATCH(D$2,Inputs!$K$4:$AJ$4,0)))))</f>
        <v>143</v>
      </c>
      <c r="E45" s="6">
        <f>IF(ISNA(MATCH(E$2,Inputs!$K$4:$AJ$4,0)),NA(),IF(SUMPRODUCT((Inputs!$A$5:$A$120=$B45)*ISNUMBER(INDEX(Inputs!$K$5:$AJ$120,0,MATCH(E$2,Inputs!$K$4:$AJ$4,0))))+SUMPRODUCT((Inputs!$C$5:$C$120=$B45)*ISNUMBER(INDEX(Inputs!$K$5:$AJ$120,0,MATCH(E$2,Inputs!$K$4:$AJ$4,0))))+SUMPRODUCT((Inputs!$E$5:$E$120=$B45)*ISNUMBER(INDEX(Inputs!$K$5:$AJ$120,0,MATCH(E$2,Inputs!$K$4:$AJ$4,0))))=0,NA(),SUMPRODUCT((Inputs!$A$5:$A$120=$B45)*Inputs!$B$5:$B$120*(((Inputs!$G$5:$G$120="moeda")+(Inputs!$G$5:$G$120="acoes"))*Inputs!$B$1+((Inputs!$G$5:$G$120&lt;&gt;"moeda")*(Inputs!$G$5:$G$120&lt;&gt;"acoes")))*INDEX(Inputs!$K$5:$AJ$120,0,MATCH(E$2,Inputs!$K$4:$AJ$4,0)))+SUMPRODUCT((Inputs!$C$5:$C$120=$B45)*Inputs!$D$5:$D$120*(((Inputs!$G$5:$G$120="moeda")+(Inputs!$G$5:$G$120="acoes"))*Inputs!$B$1+((Inputs!$G$5:$G$120&lt;&gt;"moeda")*(Inputs!$G$5:$G$120&lt;&gt;"acoes")))*INDEX(Inputs!$K$5:$AJ$120,0,MATCH(E$2,Inputs!$K$4:$AJ$4,0)))+SUMPRODUCT((Inputs!$E$5:$E$120=$B45)*Inputs!$F$5:$F$120*(((Inputs!$G$5:$G$120="moeda")+(Inputs!$G$5:$G$120="acoes"))*Inputs!$B$1+((Inputs!$G$5:$G$120&lt;&gt;"moeda")*(Inputs!$G$5:$G$120&lt;&gt;"acoes")))*INDEX(Inputs!$K$5:$AJ$120,0,MATCH(E$2,Inputs!$K$4:$AJ$4,0)))))</f>
        <v>206</v>
      </c>
      <c r="F45" s="6">
        <f>IF(ISNA(MATCH(F$2,Inputs!$K$4:$AJ$4,0)),NA(),IF(SUMPRODUCT((Inputs!$A$5:$A$120=$B45)*ISNUMBER(INDEX(Inputs!$K$5:$AJ$120,0,MATCH(F$2,Inputs!$K$4:$AJ$4,0))))+SUMPRODUCT((Inputs!$C$5:$C$120=$B45)*ISNUMBER(INDEX(Inputs!$K$5:$AJ$120,0,MATCH(F$2,Inputs!$K$4:$AJ$4,0))))+SUMPRODUCT((Inputs!$E$5:$E$120=$B45)*ISNUMBER(INDEX(Inputs!$K$5:$AJ$120,0,MATCH(F$2,Inputs!$K$4:$AJ$4,0))))=0,NA(),SUMPRODUCT((Inputs!$A$5:$A$120=$B45)*Inputs!$B$5:$B$120*(((Inputs!$G$5:$G$120="moeda")+(Inputs!$G$5:$G$120="acoes"))*Inputs!$B$1+((Inputs!$G$5:$G$120&lt;&gt;"moeda")*(Inputs!$G$5:$G$120&lt;&gt;"acoes")))*INDEX(Inputs!$K$5:$AJ$120,0,MATCH(F$2,Inputs!$K$4:$AJ$4,0)))+SUMPRODUCT((Inputs!$C$5:$C$120=$B45)*Inputs!$D$5:$D$120*(((Inputs!$G$5:$G$120="moeda")+(Inputs!$G$5:$G$120="acoes"))*Inputs!$B$1+((Inputs!$G$5:$G$120&lt;&gt;"moeda")*(Inputs!$G$5:$G$120&lt;&gt;"acoes")))*INDEX(Inputs!$K$5:$AJ$120,0,MATCH(F$2,Inputs!$K$4:$AJ$4,0)))+SUMPRODUCT((Inputs!$E$5:$E$120=$B45)*Inputs!$F$5:$F$120*(((Inputs!$G$5:$G$120="moeda")+(Inputs!$G$5:$G$120="acoes"))*Inputs!$B$1+((Inputs!$G$5:$G$120&lt;&gt;"moeda")*(Inputs!$G$5:$G$120&lt;&gt;"acoes")))*INDEX(Inputs!$K$5:$AJ$120,0,MATCH(F$2,Inputs!$K$4:$AJ$4,0)))))</f>
        <v>120</v>
      </c>
      <c r="G45" s="6">
        <f>IF(ISNA(MATCH(G$2,Inputs!$K$4:$AJ$4,0)),NA(),IF(SUMPRODUCT((Inputs!$A$5:$A$120=$B45)*ISNUMBER(INDEX(Inputs!$K$5:$AJ$120,0,MATCH(G$2,Inputs!$K$4:$AJ$4,0))))+SUMPRODUCT((Inputs!$C$5:$C$120=$B45)*ISNUMBER(INDEX(Inputs!$K$5:$AJ$120,0,MATCH(G$2,Inputs!$K$4:$AJ$4,0))))+SUMPRODUCT((Inputs!$E$5:$E$120=$B45)*ISNUMBER(INDEX(Inputs!$K$5:$AJ$120,0,MATCH(G$2,Inputs!$K$4:$AJ$4,0))))=0,NA(),SUMPRODUCT((Inputs!$A$5:$A$120=$B45)*Inputs!$B$5:$B$120*(((Inputs!$G$5:$G$120="moeda")+(Inputs!$G$5:$G$120="acoes"))*Inputs!$B$1+((Inputs!$G$5:$G$120&lt;&gt;"moeda")*(Inputs!$G$5:$G$120&lt;&gt;"acoes")))*INDEX(Inputs!$K$5:$AJ$120,0,MATCH(G$2,Inputs!$K$4:$AJ$4,0)))+SUMPRODUCT((Inputs!$C$5:$C$120=$B45)*Inputs!$D$5:$D$120*(((Inputs!$G$5:$G$120="moeda")+(Inputs!$G$5:$G$120="acoes"))*Inputs!$B$1+((Inputs!$G$5:$G$120&lt;&gt;"moeda")*(Inputs!$G$5:$G$120&lt;&gt;"acoes")))*INDEX(Inputs!$K$5:$AJ$120,0,MATCH(G$2,Inputs!$K$4:$AJ$4,0)))+SUMPRODUCT((Inputs!$E$5:$E$120=$B45)*Inputs!$F$5:$F$120*(((Inputs!$G$5:$G$120="moeda")+(Inputs!$G$5:$G$120="acoes"))*Inputs!$B$1+((Inputs!$G$5:$G$120&lt;&gt;"moeda")*(Inputs!$G$5:$G$120&lt;&gt;"acoes")))*INDEX(Inputs!$K$5:$AJ$120,0,MATCH(G$2,Inputs!$K$4:$AJ$4,0)))))</f>
        <v>54</v>
      </c>
      <c r="H45" s="3">
        <f>G45</f>
        <v>54</v>
      </c>
      <c r="I45" s="6">
        <f>IF(ISNA(MATCH(I$2,Inputs!$K$4:$AJ$4,0)),NA(),IF(SUMPRODUCT((Inputs!$A$5:$A$120=$B45)*ISNUMBER(INDEX(Inputs!$K$5:$AJ$120,0,MATCH(I$2,Inputs!$K$4:$AJ$4,0))))+SUMPRODUCT((Inputs!$C$5:$C$120=$B45)*ISNUMBER(INDEX(Inputs!$K$5:$AJ$120,0,MATCH(I$2,Inputs!$K$4:$AJ$4,0))))+SUMPRODUCT((Inputs!$E$5:$E$120=$B45)*ISNUMBER(INDEX(Inputs!$K$5:$AJ$120,0,MATCH(I$2,Inputs!$K$4:$AJ$4,0))))=0,NA(),SUMPRODUCT((Inputs!$A$5:$A$120=$B45)*Inputs!$B$5:$B$120*(((Inputs!$G$5:$G$120="moeda")+(Inputs!$G$5:$G$120="acoes"))*Inputs!$B$1+((Inputs!$G$5:$G$120&lt;&gt;"moeda")*(Inputs!$G$5:$G$120&lt;&gt;"acoes")))*INDEX(Inputs!$K$5:$AJ$120,0,MATCH(I$2,Inputs!$K$4:$AJ$4,0)))+SUMPRODUCT((Inputs!$C$5:$C$120=$B45)*Inputs!$D$5:$D$120*(((Inputs!$G$5:$G$120="moeda")+(Inputs!$G$5:$G$120="acoes"))*Inputs!$B$1+((Inputs!$G$5:$G$120&lt;&gt;"moeda")*(Inputs!$G$5:$G$120&lt;&gt;"acoes")))*INDEX(Inputs!$K$5:$AJ$120,0,MATCH(I$2,Inputs!$K$4:$AJ$4,0)))+SUMPRODUCT((Inputs!$E$5:$E$120=$B45)*Inputs!$F$5:$F$120*(((Inputs!$G$5:$G$120="moeda")+(Inputs!$G$5:$G$120="acoes"))*Inputs!$B$1+((Inputs!$G$5:$G$120&lt;&gt;"moeda")*(Inputs!$G$5:$G$120&lt;&gt;"acoes")))*INDEX(Inputs!$K$5:$AJ$120,0,MATCH(I$2,Inputs!$K$4:$AJ$4,0)))))</f>
        <v>-50</v>
      </c>
      <c r="J45" s="6">
        <f>IF(ISNA(MATCH(J$2,Inputs!$K$4:$AJ$4,0)),NA(),IF(SUMPRODUCT((Inputs!$A$5:$A$120=$B45)*ISNUMBER(INDEX(Inputs!$K$5:$AJ$120,0,MATCH(J$2,Inputs!$K$4:$AJ$4,0))))+SUMPRODUCT((Inputs!$C$5:$C$120=$B45)*ISNUMBER(INDEX(Inputs!$K$5:$AJ$120,0,MATCH(J$2,Inputs!$K$4:$AJ$4,0))))+SUMPRODUCT((Inputs!$E$5:$E$120=$B45)*ISNUMBER(INDEX(Inputs!$K$5:$AJ$120,0,MATCH(J$2,Inputs!$K$4:$AJ$4,0))))=0,NA(),SUMPRODUCT((Inputs!$A$5:$A$120=$B45)*Inputs!$B$5:$B$120*(((Inputs!$G$5:$G$120="moeda")+(Inputs!$G$5:$G$120="acoes"))*Inputs!$B$1+((Inputs!$G$5:$G$120&lt;&gt;"moeda")*(Inputs!$G$5:$G$120&lt;&gt;"acoes")))*INDEX(Inputs!$K$5:$AJ$120,0,MATCH(J$2,Inputs!$K$4:$AJ$4,0)))+SUMPRODUCT((Inputs!$C$5:$C$120=$B45)*Inputs!$D$5:$D$120*(((Inputs!$G$5:$G$120="moeda")+(Inputs!$G$5:$G$120="acoes"))*Inputs!$B$1+((Inputs!$G$5:$G$120&lt;&gt;"moeda")*(Inputs!$G$5:$G$120&lt;&gt;"acoes")))*INDEX(Inputs!$K$5:$AJ$120,0,MATCH(J$2,Inputs!$K$4:$AJ$4,0)))+SUMPRODUCT((Inputs!$E$5:$E$120=$B45)*Inputs!$F$5:$F$120*(((Inputs!$G$5:$G$120="moeda")+(Inputs!$G$5:$G$120="acoes"))*Inputs!$B$1+((Inputs!$G$5:$G$120&lt;&gt;"moeda")*(Inputs!$G$5:$G$120&lt;&gt;"acoes")))*INDEX(Inputs!$K$5:$AJ$120,0,MATCH(J$2,Inputs!$K$4:$AJ$4,0)))))</f>
        <v>-477</v>
      </c>
      <c r="K45" s="6">
        <f>IF(ISNA(MATCH(K$2,Inputs!$K$4:$AJ$4,0)),NA(),IF(SUMPRODUCT((Inputs!$A$5:$A$120=$B45)*ISNUMBER(INDEX(Inputs!$K$5:$AJ$120,0,MATCH(K$2,Inputs!$K$4:$AJ$4,0))))+SUMPRODUCT((Inputs!$C$5:$C$120=$B45)*ISNUMBER(INDEX(Inputs!$K$5:$AJ$120,0,MATCH(K$2,Inputs!$K$4:$AJ$4,0))))+SUMPRODUCT((Inputs!$E$5:$E$120=$B45)*ISNUMBER(INDEX(Inputs!$K$5:$AJ$120,0,MATCH(K$2,Inputs!$K$4:$AJ$4,0))))=0,NA(),SUMPRODUCT((Inputs!$A$5:$A$120=$B45)*Inputs!$B$5:$B$120*(((Inputs!$G$5:$G$120="moeda")+(Inputs!$G$5:$G$120="acoes"))*Inputs!$B$1+((Inputs!$G$5:$G$120&lt;&gt;"moeda")*(Inputs!$G$5:$G$120&lt;&gt;"acoes")))*INDEX(Inputs!$K$5:$AJ$120,0,MATCH(K$2,Inputs!$K$4:$AJ$4,0)))+SUMPRODUCT((Inputs!$C$5:$C$120=$B45)*Inputs!$D$5:$D$120*(((Inputs!$G$5:$G$120="moeda")+(Inputs!$G$5:$G$120="acoes"))*Inputs!$B$1+((Inputs!$G$5:$G$120&lt;&gt;"moeda")*(Inputs!$G$5:$G$120&lt;&gt;"acoes")))*INDEX(Inputs!$K$5:$AJ$120,0,MATCH(K$2,Inputs!$K$4:$AJ$4,0)))+SUMPRODUCT((Inputs!$E$5:$E$120=$B45)*Inputs!$F$5:$F$120*(((Inputs!$G$5:$G$120="moeda")+(Inputs!$G$5:$G$120="acoes"))*Inputs!$B$1+((Inputs!$G$5:$G$120&lt;&gt;"moeda")*(Inputs!$G$5:$G$120&lt;&gt;"acoes")))*INDEX(Inputs!$K$5:$AJ$120,0,MATCH(K$2,Inputs!$K$4:$AJ$4,0)))))</f>
        <v>-942</v>
      </c>
      <c r="L45" s="6">
        <f>IF(ISNA(MATCH(L$2,Inputs!$K$4:$AJ$4,0)),NA(),IF(SUMPRODUCT((Inputs!$A$5:$A$120=$B45)*ISNUMBER(INDEX(Inputs!$K$5:$AJ$120,0,MATCH(L$2,Inputs!$K$4:$AJ$4,0))))+SUMPRODUCT((Inputs!$C$5:$C$120=$B45)*ISNUMBER(INDEX(Inputs!$K$5:$AJ$120,0,MATCH(L$2,Inputs!$K$4:$AJ$4,0))))+SUMPRODUCT((Inputs!$E$5:$E$120=$B45)*ISNUMBER(INDEX(Inputs!$K$5:$AJ$120,0,MATCH(L$2,Inputs!$K$4:$AJ$4,0))))=0,NA(),SUMPRODUCT((Inputs!$A$5:$A$120=$B45)*Inputs!$B$5:$B$120*(((Inputs!$G$5:$G$120="moeda")+(Inputs!$G$5:$G$120="acoes"))*Inputs!$B$1+((Inputs!$G$5:$G$120&lt;&gt;"moeda")*(Inputs!$G$5:$G$120&lt;&gt;"acoes")))*INDEX(Inputs!$K$5:$AJ$120,0,MATCH(L$2,Inputs!$K$4:$AJ$4,0)))+SUMPRODUCT((Inputs!$C$5:$C$120=$B45)*Inputs!$D$5:$D$120*(((Inputs!$G$5:$G$120="moeda")+(Inputs!$G$5:$G$120="acoes"))*Inputs!$B$1+((Inputs!$G$5:$G$120&lt;&gt;"moeda")*(Inputs!$G$5:$G$120&lt;&gt;"acoes")))*INDEX(Inputs!$K$5:$AJ$120,0,MATCH(L$2,Inputs!$K$4:$AJ$4,0)))+SUMPRODUCT((Inputs!$E$5:$E$120=$B45)*Inputs!$F$5:$F$120*(((Inputs!$G$5:$G$120="moeda")+(Inputs!$G$5:$G$120="acoes"))*Inputs!$B$1+((Inputs!$G$5:$G$120&lt;&gt;"moeda")*(Inputs!$G$5:$G$120&lt;&gt;"acoes")))*INDEX(Inputs!$K$5:$AJ$120,0,MATCH(L$2,Inputs!$K$4:$AJ$4,0)))))</f>
        <v>-361</v>
      </c>
      <c r="M45" s="3">
        <f>L45</f>
        <v>-361</v>
      </c>
      <c r="N45" s="6">
        <f>IF(ISNA(MATCH(N$2,Inputs!$K$4:$AJ$4,0)),NA(),IF(SUMPRODUCT((Inputs!$A$5:$A$120=$B45)*ISNUMBER(INDEX(Inputs!$K$5:$AJ$120,0,MATCH(N$2,Inputs!$K$4:$AJ$4,0))))+SUMPRODUCT((Inputs!$C$5:$C$120=$B45)*ISNUMBER(INDEX(Inputs!$K$5:$AJ$120,0,MATCH(N$2,Inputs!$K$4:$AJ$4,0))))+SUMPRODUCT((Inputs!$E$5:$E$120=$B45)*ISNUMBER(INDEX(Inputs!$K$5:$AJ$120,0,MATCH(N$2,Inputs!$K$4:$AJ$4,0))))=0,NA(),SUMPRODUCT((Inputs!$A$5:$A$120=$B45)*Inputs!$B$5:$B$120*(((Inputs!$G$5:$G$120="moeda")+(Inputs!$G$5:$G$120="acoes"))*Inputs!$B$1+((Inputs!$G$5:$G$120&lt;&gt;"moeda")*(Inputs!$G$5:$G$120&lt;&gt;"acoes")))*INDEX(Inputs!$K$5:$AJ$120,0,MATCH(N$2,Inputs!$K$4:$AJ$4,0)))+SUMPRODUCT((Inputs!$C$5:$C$120=$B45)*Inputs!$D$5:$D$120*(((Inputs!$G$5:$G$120="moeda")+(Inputs!$G$5:$G$120="acoes"))*Inputs!$B$1+((Inputs!$G$5:$G$120&lt;&gt;"moeda")*(Inputs!$G$5:$G$120&lt;&gt;"acoes")))*INDEX(Inputs!$K$5:$AJ$120,0,MATCH(N$2,Inputs!$K$4:$AJ$4,0)))+SUMPRODUCT((Inputs!$E$5:$E$120=$B45)*Inputs!$F$5:$F$120*(((Inputs!$G$5:$G$120="moeda")+(Inputs!$G$5:$G$120="acoes"))*Inputs!$B$1+((Inputs!$G$5:$G$120&lt;&gt;"moeda")*(Inputs!$G$5:$G$120&lt;&gt;"acoes")))*INDEX(Inputs!$K$5:$AJ$120,0,MATCH(N$2,Inputs!$K$4:$AJ$4,0)))))</f>
        <v>-225</v>
      </c>
      <c r="O45" s="6">
        <f>IF(ISNA(MATCH(O$2,Inputs!$K$4:$AJ$4,0)),NA(),IF(SUMPRODUCT((Inputs!$A$5:$A$120=$B45)*ISNUMBER(INDEX(Inputs!$K$5:$AJ$120,0,MATCH(O$2,Inputs!$K$4:$AJ$4,0))))+SUMPRODUCT((Inputs!$C$5:$C$120=$B45)*ISNUMBER(INDEX(Inputs!$K$5:$AJ$120,0,MATCH(O$2,Inputs!$K$4:$AJ$4,0))))+SUMPRODUCT((Inputs!$E$5:$E$120=$B45)*ISNUMBER(INDEX(Inputs!$K$5:$AJ$120,0,MATCH(O$2,Inputs!$K$4:$AJ$4,0))))=0,NA(),SUMPRODUCT((Inputs!$A$5:$A$120=$B45)*Inputs!$B$5:$B$120*(((Inputs!$G$5:$G$120="moeda")+(Inputs!$G$5:$G$120="acoes"))*Inputs!$B$1+((Inputs!$G$5:$G$120&lt;&gt;"moeda")*(Inputs!$G$5:$G$120&lt;&gt;"acoes")))*INDEX(Inputs!$K$5:$AJ$120,0,MATCH(O$2,Inputs!$K$4:$AJ$4,0)))+SUMPRODUCT((Inputs!$C$5:$C$120=$B45)*Inputs!$D$5:$D$120*(((Inputs!$G$5:$G$120="moeda")+(Inputs!$G$5:$G$120="acoes"))*Inputs!$B$1+((Inputs!$G$5:$G$120&lt;&gt;"moeda")*(Inputs!$G$5:$G$120&lt;&gt;"acoes")))*INDEX(Inputs!$K$5:$AJ$120,0,MATCH(O$2,Inputs!$K$4:$AJ$4,0)))+SUMPRODUCT((Inputs!$E$5:$E$120=$B45)*Inputs!$F$5:$F$120*(((Inputs!$G$5:$G$120="moeda")+(Inputs!$G$5:$G$120="acoes"))*Inputs!$B$1+((Inputs!$G$5:$G$120&lt;&gt;"moeda")*(Inputs!$G$5:$G$120&lt;&gt;"acoes")))*INDEX(Inputs!$K$5:$AJ$120,0,MATCH(O$2,Inputs!$K$4:$AJ$4,0)))))</f>
        <v>-410</v>
      </c>
      <c r="P45" s="6">
        <f>IF(ISNA(MATCH(P$2,Inputs!$K$4:$AJ$4,0)),NA(),IF(SUMPRODUCT((Inputs!$A$5:$A$120=$B45)*ISNUMBER(INDEX(Inputs!$K$5:$AJ$120,0,MATCH(P$2,Inputs!$K$4:$AJ$4,0))))+SUMPRODUCT((Inputs!$C$5:$C$120=$B45)*ISNUMBER(INDEX(Inputs!$K$5:$AJ$120,0,MATCH(P$2,Inputs!$K$4:$AJ$4,0))))+SUMPRODUCT((Inputs!$E$5:$E$120=$B45)*ISNUMBER(INDEX(Inputs!$K$5:$AJ$120,0,MATCH(P$2,Inputs!$K$4:$AJ$4,0))))=0,NA(),SUMPRODUCT((Inputs!$A$5:$A$120=$B45)*Inputs!$B$5:$B$120*(((Inputs!$G$5:$G$120="moeda")+(Inputs!$G$5:$G$120="acoes"))*Inputs!$B$1+((Inputs!$G$5:$G$120&lt;&gt;"moeda")*(Inputs!$G$5:$G$120&lt;&gt;"acoes")))*INDEX(Inputs!$K$5:$AJ$120,0,MATCH(P$2,Inputs!$K$4:$AJ$4,0)))+SUMPRODUCT((Inputs!$C$5:$C$120=$B45)*Inputs!$D$5:$D$120*(((Inputs!$G$5:$G$120="moeda")+(Inputs!$G$5:$G$120="acoes"))*Inputs!$B$1+((Inputs!$G$5:$G$120&lt;&gt;"moeda")*(Inputs!$G$5:$G$120&lt;&gt;"acoes")))*INDEX(Inputs!$K$5:$AJ$120,0,MATCH(P$2,Inputs!$K$4:$AJ$4,0)))+SUMPRODUCT((Inputs!$E$5:$E$120=$B45)*Inputs!$F$5:$F$120*(((Inputs!$G$5:$G$120="moeda")+(Inputs!$G$5:$G$120="acoes"))*Inputs!$B$1+((Inputs!$G$5:$G$120&lt;&gt;"moeda")*(Inputs!$G$5:$G$120&lt;&gt;"acoes")))*INDEX(Inputs!$K$5:$AJ$120,0,MATCH(P$2,Inputs!$K$4:$AJ$4,0)))))</f>
        <v>-692</v>
      </c>
      <c r="Q45" s="6">
        <f>IF(ISNA(MATCH(Q$2,Inputs!$K$4:$AJ$4,0)),NA(),IF(SUMPRODUCT((Inputs!$A$5:$A$120=$B45)*ISNUMBER(INDEX(Inputs!$K$5:$AJ$120,0,MATCH(Q$2,Inputs!$K$4:$AJ$4,0))))+SUMPRODUCT((Inputs!$C$5:$C$120=$B45)*ISNUMBER(INDEX(Inputs!$K$5:$AJ$120,0,MATCH(Q$2,Inputs!$K$4:$AJ$4,0))))+SUMPRODUCT((Inputs!$E$5:$E$120=$B45)*ISNUMBER(INDEX(Inputs!$K$5:$AJ$120,0,MATCH(Q$2,Inputs!$K$4:$AJ$4,0))))=0,NA(),SUMPRODUCT((Inputs!$A$5:$A$120=$B45)*Inputs!$B$5:$B$120*(((Inputs!$G$5:$G$120="moeda")+(Inputs!$G$5:$G$120="acoes"))*Inputs!$B$1+((Inputs!$G$5:$G$120&lt;&gt;"moeda")*(Inputs!$G$5:$G$120&lt;&gt;"acoes")))*INDEX(Inputs!$K$5:$AJ$120,0,MATCH(Q$2,Inputs!$K$4:$AJ$4,0)))+SUMPRODUCT((Inputs!$C$5:$C$120=$B45)*Inputs!$D$5:$D$120*(((Inputs!$G$5:$G$120="moeda")+(Inputs!$G$5:$G$120="acoes"))*Inputs!$B$1+((Inputs!$G$5:$G$120&lt;&gt;"moeda")*(Inputs!$G$5:$G$120&lt;&gt;"acoes")))*INDEX(Inputs!$K$5:$AJ$120,0,MATCH(Q$2,Inputs!$K$4:$AJ$4,0)))+SUMPRODUCT((Inputs!$E$5:$E$120=$B45)*Inputs!$F$5:$F$120*(((Inputs!$G$5:$G$120="moeda")+(Inputs!$G$5:$G$120="acoes"))*Inputs!$B$1+((Inputs!$G$5:$G$120&lt;&gt;"moeda")*(Inputs!$G$5:$G$120&lt;&gt;"acoes")))*INDEX(Inputs!$K$5:$AJ$120,0,MATCH(Q$2,Inputs!$K$4:$AJ$4,0)))))</f>
        <v>-143</v>
      </c>
      <c r="R45" s="3">
        <f>Q45</f>
        <v>-143</v>
      </c>
      <c r="S45" s="6">
        <f>IF(ISNA(MATCH(S$2,Inputs!$K$4:$AJ$4,0)),NA(),IF(SUMPRODUCT((Inputs!$A$5:$A$120=$B45)*ISNUMBER(INDEX(Inputs!$K$5:$AJ$120,0,MATCH(S$2,Inputs!$K$4:$AJ$4,0))))+SUMPRODUCT((Inputs!$C$5:$C$120=$B45)*ISNUMBER(INDEX(Inputs!$K$5:$AJ$120,0,MATCH(S$2,Inputs!$K$4:$AJ$4,0))))+SUMPRODUCT((Inputs!$E$5:$E$120=$B45)*ISNUMBER(INDEX(Inputs!$K$5:$AJ$120,0,MATCH(S$2,Inputs!$K$4:$AJ$4,0))))=0,NA(),SUMPRODUCT((Inputs!$A$5:$A$120=$B45)*Inputs!$B$5:$B$120*(((Inputs!$G$5:$G$120="moeda")+(Inputs!$G$5:$G$120="acoes"))*Inputs!$B$1+((Inputs!$G$5:$G$120&lt;&gt;"moeda")*(Inputs!$G$5:$G$120&lt;&gt;"acoes")))*INDEX(Inputs!$K$5:$AJ$120,0,MATCH(S$2,Inputs!$K$4:$AJ$4,0)))+SUMPRODUCT((Inputs!$C$5:$C$120=$B45)*Inputs!$D$5:$D$120*(((Inputs!$G$5:$G$120="moeda")+(Inputs!$G$5:$G$120="acoes"))*Inputs!$B$1+((Inputs!$G$5:$G$120&lt;&gt;"moeda")*(Inputs!$G$5:$G$120&lt;&gt;"acoes")))*INDEX(Inputs!$K$5:$AJ$120,0,MATCH(S$2,Inputs!$K$4:$AJ$4,0)))+SUMPRODUCT((Inputs!$E$5:$E$120=$B45)*Inputs!$F$5:$F$120*(((Inputs!$G$5:$G$120="moeda")+(Inputs!$G$5:$G$120="acoes"))*Inputs!$B$1+((Inputs!$G$5:$G$120&lt;&gt;"moeda")*(Inputs!$G$5:$G$120&lt;&gt;"acoes")))*INDEX(Inputs!$K$5:$AJ$120,0,MATCH(S$2,Inputs!$K$4:$AJ$4,0)))))</f>
        <v>-399</v>
      </c>
      <c r="T45" s="6">
        <f>IF(ISNA(MATCH(T$2,Inputs!$K$4:$AJ$4,0)),NA(),IF(SUMPRODUCT((Inputs!$A$5:$A$120=$B45)*ISNUMBER(INDEX(Inputs!$K$5:$AJ$120,0,MATCH(T$2,Inputs!$K$4:$AJ$4,0))))+SUMPRODUCT((Inputs!$C$5:$C$120=$B45)*ISNUMBER(INDEX(Inputs!$K$5:$AJ$120,0,MATCH(T$2,Inputs!$K$4:$AJ$4,0))))+SUMPRODUCT((Inputs!$E$5:$E$120=$B45)*ISNUMBER(INDEX(Inputs!$K$5:$AJ$120,0,MATCH(T$2,Inputs!$K$4:$AJ$4,0))))=0,NA(),SUMPRODUCT((Inputs!$A$5:$A$120=$B45)*Inputs!$B$5:$B$120*(((Inputs!$G$5:$G$120="moeda")+(Inputs!$G$5:$G$120="acoes"))*Inputs!$B$1+((Inputs!$G$5:$G$120&lt;&gt;"moeda")*(Inputs!$G$5:$G$120&lt;&gt;"acoes")))*INDEX(Inputs!$K$5:$AJ$120,0,MATCH(T$2,Inputs!$K$4:$AJ$4,0)))+SUMPRODUCT((Inputs!$C$5:$C$120=$B45)*Inputs!$D$5:$D$120*(((Inputs!$G$5:$G$120="moeda")+(Inputs!$G$5:$G$120="acoes"))*Inputs!$B$1+((Inputs!$G$5:$G$120&lt;&gt;"moeda")*(Inputs!$G$5:$G$120&lt;&gt;"acoes")))*INDEX(Inputs!$K$5:$AJ$120,0,MATCH(T$2,Inputs!$K$4:$AJ$4,0)))+SUMPRODUCT((Inputs!$E$5:$E$120=$B45)*Inputs!$F$5:$F$120*(((Inputs!$G$5:$G$120="moeda")+(Inputs!$G$5:$G$120="acoes"))*Inputs!$B$1+((Inputs!$G$5:$G$120&lt;&gt;"moeda")*(Inputs!$G$5:$G$120&lt;&gt;"acoes")))*INDEX(Inputs!$K$5:$AJ$120,0,MATCH(T$2,Inputs!$K$4:$AJ$4,0)))))</f>
        <v>-467</v>
      </c>
      <c r="U45" s="6">
        <f>IF(ISNA(MATCH(U$2,Inputs!$K$4:$AJ$4,0)),NA(),IF(SUMPRODUCT((Inputs!$A$5:$A$120=$B45)*ISNUMBER(INDEX(Inputs!$K$5:$AJ$120,0,MATCH(U$2,Inputs!$K$4:$AJ$4,0))))+SUMPRODUCT((Inputs!$C$5:$C$120=$B45)*ISNUMBER(INDEX(Inputs!$K$5:$AJ$120,0,MATCH(U$2,Inputs!$K$4:$AJ$4,0))))+SUMPRODUCT((Inputs!$E$5:$E$120=$B45)*ISNUMBER(INDEX(Inputs!$K$5:$AJ$120,0,MATCH(U$2,Inputs!$K$4:$AJ$4,0))))=0,NA(),SUMPRODUCT((Inputs!$A$5:$A$120=$B45)*Inputs!$B$5:$B$120*(((Inputs!$G$5:$G$120="moeda")+(Inputs!$G$5:$G$120="acoes"))*Inputs!$B$1+((Inputs!$G$5:$G$120&lt;&gt;"moeda")*(Inputs!$G$5:$G$120&lt;&gt;"acoes")))*INDEX(Inputs!$K$5:$AJ$120,0,MATCH(U$2,Inputs!$K$4:$AJ$4,0)))+SUMPRODUCT((Inputs!$C$5:$C$120=$B45)*Inputs!$D$5:$D$120*(((Inputs!$G$5:$G$120="moeda")+(Inputs!$G$5:$G$120="acoes"))*Inputs!$B$1+((Inputs!$G$5:$G$120&lt;&gt;"moeda")*(Inputs!$G$5:$G$120&lt;&gt;"acoes")))*INDEX(Inputs!$K$5:$AJ$120,0,MATCH(U$2,Inputs!$K$4:$AJ$4,0)))+SUMPRODUCT((Inputs!$E$5:$E$120=$B45)*Inputs!$F$5:$F$120*(((Inputs!$G$5:$G$120="moeda")+(Inputs!$G$5:$G$120="acoes"))*Inputs!$B$1+((Inputs!$G$5:$G$120&lt;&gt;"moeda")*(Inputs!$G$5:$G$120&lt;&gt;"acoes")))*INDEX(Inputs!$K$5:$AJ$120,0,MATCH(U$2,Inputs!$K$4:$AJ$4,0)))))</f>
        <v>-14</v>
      </c>
      <c r="V45" s="6">
        <f>IF(ISNA(MATCH(V$2,Inputs!$K$4:$AJ$4,0)),NA(),IF(SUMPRODUCT((Inputs!$A$5:$A$120=$B45)*ISNUMBER(INDEX(Inputs!$K$5:$AJ$120,0,MATCH(V$2,Inputs!$K$4:$AJ$4,0))))+SUMPRODUCT((Inputs!$C$5:$C$120=$B45)*ISNUMBER(INDEX(Inputs!$K$5:$AJ$120,0,MATCH(V$2,Inputs!$K$4:$AJ$4,0))))+SUMPRODUCT((Inputs!$E$5:$E$120=$B45)*ISNUMBER(INDEX(Inputs!$K$5:$AJ$120,0,MATCH(V$2,Inputs!$K$4:$AJ$4,0))))=0,NA(),SUMPRODUCT((Inputs!$A$5:$A$120=$B45)*Inputs!$B$5:$B$120*(((Inputs!$G$5:$G$120="moeda")+(Inputs!$G$5:$G$120="acoes"))*Inputs!$B$1+((Inputs!$G$5:$G$120&lt;&gt;"moeda")*(Inputs!$G$5:$G$120&lt;&gt;"acoes")))*INDEX(Inputs!$K$5:$AJ$120,0,MATCH(V$2,Inputs!$K$4:$AJ$4,0)))+SUMPRODUCT((Inputs!$C$5:$C$120=$B45)*Inputs!$D$5:$D$120*(((Inputs!$G$5:$G$120="moeda")+(Inputs!$G$5:$G$120="acoes"))*Inputs!$B$1+((Inputs!$G$5:$G$120&lt;&gt;"moeda")*(Inputs!$G$5:$G$120&lt;&gt;"acoes")))*INDEX(Inputs!$K$5:$AJ$120,0,MATCH(V$2,Inputs!$K$4:$AJ$4,0)))+SUMPRODUCT((Inputs!$E$5:$E$120=$B45)*Inputs!$F$5:$F$120*(((Inputs!$G$5:$G$120="moeda")+(Inputs!$G$5:$G$120="acoes"))*Inputs!$B$1+((Inputs!$G$5:$G$120&lt;&gt;"moeda")*(Inputs!$G$5:$G$120&lt;&gt;"acoes")))*INDEX(Inputs!$K$5:$AJ$120,0,MATCH(V$2,Inputs!$K$4:$AJ$4,0)))))</f>
        <v>-670</v>
      </c>
      <c r="W45" s="3">
        <f>V45</f>
        <v>-670</v>
      </c>
      <c r="X45" s="6">
        <f>IF(ISNA(MATCH(X$2,Inputs!$K$4:$AJ$4,0)),NA(),IF(SUMPRODUCT((Inputs!$A$5:$A$120=$B45)*ISNUMBER(INDEX(Inputs!$K$5:$AJ$120,0,MATCH(X$2,Inputs!$K$4:$AJ$4,0))))+SUMPRODUCT((Inputs!$C$5:$C$120=$B45)*ISNUMBER(INDEX(Inputs!$K$5:$AJ$120,0,MATCH(X$2,Inputs!$K$4:$AJ$4,0))))+SUMPRODUCT((Inputs!$E$5:$E$120=$B45)*ISNUMBER(INDEX(Inputs!$K$5:$AJ$120,0,MATCH(X$2,Inputs!$K$4:$AJ$4,0))))=0,NA(),SUMPRODUCT((Inputs!$A$5:$A$120=$B45)*Inputs!$B$5:$B$120*(((Inputs!$G$5:$G$120="moeda")+(Inputs!$G$5:$G$120="acoes"))*Inputs!$B$1+((Inputs!$G$5:$G$120&lt;&gt;"moeda")*(Inputs!$G$5:$G$120&lt;&gt;"acoes")))*INDEX(Inputs!$K$5:$AJ$120,0,MATCH(X$2,Inputs!$K$4:$AJ$4,0)))+SUMPRODUCT((Inputs!$C$5:$C$120=$B45)*Inputs!$D$5:$D$120*(((Inputs!$G$5:$G$120="moeda")+(Inputs!$G$5:$G$120="acoes"))*Inputs!$B$1+((Inputs!$G$5:$G$120&lt;&gt;"moeda")*(Inputs!$G$5:$G$120&lt;&gt;"acoes")))*INDEX(Inputs!$K$5:$AJ$120,0,MATCH(X$2,Inputs!$K$4:$AJ$4,0)))+SUMPRODUCT((Inputs!$E$5:$E$120=$B45)*Inputs!$F$5:$F$120*(((Inputs!$G$5:$G$120="moeda")+(Inputs!$G$5:$G$120="acoes"))*Inputs!$B$1+((Inputs!$G$5:$G$120&lt;&gt;"moeda")*(Inputs!$G$5:$G$120&lt;&gt;"acoes")))*INDEX(Inputs!$K$5:$AJ$120,0,MATCH(X$2,Inputs!$K$4:$AJ$4,0)))))</f>
        <v>-424</v>
      </c>
      <c r="Y45" s="6">
        <f>IF(ISNA(MATCH(Y$2,Inputs!$K$4:$AJ$4,0)),NA(),IF(SUMPRODUCT((Inputs!$A$5:$A$120=$B45)*ISNUMBER(INDEX(Inputs!$K$5:$AJ$120,0,MATCH(Y$2,Inputs!$K$4:$AJ$4,0))))+SUMPRODUCT((Inputs!$C$5:$C$120=$B45)*ISNUMBER(INDEX(Inputs!$K$5:$AJ$120,0,MATCH(Y$2,Inputs!$K$4:$AJ$4,0))))+SUMPRODUCT((Inputs!$E$5:$E$120=$B45)*ISNUMBER(INDEX(Inputs!$K$5:$AJ$120,0,MATCH(Y$2,Inputs!$K$4:$AJ$4,0))))=0,NA(),SUMPRODUCT((Inputs!$A$5:$A$120=$B45)*Inputs!$B$5:$B$120*(((Inputs!$G$5:$G$120="moeda")+(Inputs!$G$5:$G$120="acoes"))*Inputs!$B$1+((Inputs!$G$5:$G$120&lt;&gt;"moeda")*(Inputs!$G$5:$G$120&lt;&gt;"acoes")))*INDEX(Inputs!$K$5:$AJ$120,0,MATCH(Y$2,Inputs!$K$4:$AJ$4,0)))+SUMPRODUCT((Inputs!$C$5:$C$120=$B45)*Inputs!$D$5:$D$120*(((Inputs!$G$5:$G$120="moeda")+(Inputs!$G$5:$G$120="acoes"))*Inputs!$B$1+((Inputs!$G$5:$G$120&lt;&gt;"moeda")*(Inputs!$G$5:$G$120&lt;&gt;"acoes")))*INDEX(Inputs!$K$5:$AJ$120,0,MATCH(Y$2,Inputs!$K$4:$AJ$4,0)))+SUMPRODUCT((Inputs!$E$5:$E$120=$B45)*Inputs!$F$5:$F$120*(((Inputs!$G$5:$G$120="moeda")+(Inputs!$G$5:$G$120="acoes"))*Inputs!$B$1+((Inputs!$G$5:$G$120&lt;&gt;"moeda")*(Inputs!$G$5:$G$120&lt;&gt;"acoes")))*INDEX(Inputs!$K$5:$AJ$120,0,MATCH(Y$2,Inputs!$K$4:$AJ$4,0)))))</f>
        <v>158</v>
      </c>
      <c r="Z45" s="6">
        <f>IF(ISNA(MATCH(Z$2,Inputs!$K$4:$AJ$4,0)),NA(),IF(SUMPRODUCT((Inputs!$A$5:$A$120=$B45)*ISNUMBER(INDEX(Inputs!$K$5:$AJ$120,0,MATCH(Z$2,Inputs!$K$4:$AJ$4,0))))+SUMPRODUCT((Inputs!$C$5:$C$120=$B45)*ISNUMBER(INDEX(Inputs!$K$5:$AJ$120,0,MATCH(Z$2,Inputs!$K$4:$AJ$4,0))))+SUMPRODUCT((Inputs!$E$5:$E$120=$B45)*ISNUMBER(INDEX(Inputs!$K$5:$AJ$120,0,MATCH(Z$2,Inputs!$K$4:$AJ$4,0))))=0,NA(),SUMPRODUCT((Inputs!$A$5:$A$120=$B45)*Inputs!$B$5:$B$120*(((Inputs!$G$5:$G$120="moeda")+(Inputs!$G$5:$G$120="acoes"))*Inputs!$B$1+((Inputs!$G$5:$G$120&lt;&gt;"moeda")*(Inputs!$G$5:$G$120&lt;&gt;"acoes")))*INDEX(Inputs!$K$5:$AJ$120,0,MATCH(Z$2,Inputs!$K$4:$AJ$4,0)))+SUMPRODUCT((Inputs!$C$5:$C$120=$B45)*Inputs!$D$5:$D$120*(((Inputs!$G$5:$G$120="moeda")+(Inputs!$G$5:$G$120="acoes"))*Inputs!$B$1+((Inputs!$G$5:$G$120&lt;&gt;"moeda")*(Inputs!$G$5:$G$120&lt;&gt;"acoes")))*INDEX(Inputs!$K$5:$AJ$120,0,MATCH(Z$2,Inputs!$K$4:$AJ$4,0)))+SUMPRODUCT((Inputs!$E$5:$E$120=$B45)*Inputs!$F$5:$F$120*(((Inputs!$G$5:$G$120="moeda")+(Inputs!$G$5:$G$120="acoes"))*Inputs!$B$1+((Inputs!$G$5:$G$120&lt;&gt;"moeda")*(Inputs!$G$5:$G$120&lt;&gt;"acoes")))*INDEX(Inputs!$K$5:$AJ$120,0,MATCH(Z$2,Inputs!$K$4:$AJ$4,0)))))</f>
        <v>207</v>
      </c>
      <c r="AA45" s="6">
        <f>IF(ISNA(MATCH(AA$2,Inputs!$K$4:$AJ$4,0)),NA(),IF(SUMPRODUCT((Inputs!$A$5:$A$120=$B45)*ISNUMBER(INDEX(Inputs!$K$5:$AJ$120,0,MATCH(AA$2,Inputs!$K$4:$AJ$4,0))))+SUMPRODUCT((Inputs!$C$5:$C$120=$B45)*ISNUMBER(INDEX(Inputs!$K$5:$AJ$120,0,MATCH(AA$2,Inputs!$K$4:$AJ$4,0))))+SUMPRODUCT((Inputs!$E$5:$E$120=$B45)*ISNUMBER(INDEX(Inputs!$K$5:$AJ$120,0,MATCH(AA$2,Inputs!$K$4:$AJ$4,0))))=0,NA(),SUMPRODUCT((Inputs!$A$5:$A$120=$B45)*Inputs!$B$5:$B$120*(((Inputs!$G$5:$G$120="moeda")+(Inputs!$G$5:$G$120="acoes"))*Inputs!$B$1+((Inputs!$G$5:$G$120&lt;&gt;"moeda")*(Inputs!$G$5:$G$120&lt;&gt;"acoes")))*INDEX(Inputs!$K$5:$AJ$120,0,MATCH(AA$2,Inputs!$K$4:$AJ$4,0)))+SUMPRODUCT((Inputs!$C$5:$C$120=$B45)*Inputs!$D$5:$D$120*(((Inputs!$G$5:$G$120="moeda")+(Inputs!$G$5:$G$120="acoes"))*Inputs!$B$1+((Inputs!$G$5:$G$120&lt;&gt;"moeda")*(Inputs!$G$5:$G$120&lt;&gt;"acoes")))*INDEX(Inputs!$K$5:$AJ$120,0,MATCH(AA$2,Inputs!$K$4:$AJ$4,0)))+SUMPRODUCT((Inputs!$E$5:$E$120=$B45)*Inputs!$F$5:$F$120*(((Inputs!$G$5:$G$120="moeda")+(Inputs!$G$5:$G$120="acoes"))*Inputs!$B$1+((Inputs!$G$5:$G$120&lt;&gt;"moeda")*(Inputs!$G$5:$G$120&lt;&gt;"acoes")))*INDEX(Inputs!$K$5:$AJ$120,0,MATCH(AA$2,Inputs!$K$4:$AJ$4,0)))))</f>
        <v>361</v>
      </c>
      <c r="AB45" s="3">
        <f>AA45</f>
        <v>361</v>
      </c>
      <c r="AC45" s="6">
        <f>IF(ISNA(MATCH(AC$2,Inputs!$K$4:$AJ$4,0)),NA(),IF(SUMPRODUCT((Inputs!$A$5:$A$120=$B45)*ISNUMBER(INDEX(Inputs!$K$5:$AJ$120,0,MATCH(AC$2,Inputs!$K$4:$AJ$4,0))))+SUMPRODUCT((Inputs!$C$5:$C$120=$B45)*ISNUMBER(INDEX(Inputs!$K$5:$AJ$120,0,MATCH(AC$2,Inputs!$K$4:$AJ$4,0))))+SUMPRODUCT((Inputs!$E$5:$E$120=$B45)*ISNUMBER(INDEX(Inputs!$K$5:$AJ$120,0,MATCH(AC$2,Inputs!$K$4:$AJ$4,0))))=0,NA(),SUMPRODUCT((Inputs!$A$5:$A$120=$B45)*Inputs!$B$5:$B$120*(((Inputs!$G$5:$G$120="moeda")+(Inputs!$G$5:$G$120="acoes"))*Inputs!$B$1+((Inputs!$G$5:$G$120&lt;&gt;"moeda")*(Inputs!$G$5:$G$120&lt;&gt;"acoes")))*INDEX(Inputs!$K$5:$AJ$120,0,MATCH(AC$2,Inputs!$K$4:$AJ$4,0)))+SUMPRODUCT((Inputs!$C$5:$C$120=$B45)*Inputs!$D$5:$D$120*(((Inputs!$G$5:$G$120="moeda")+(Inputs!$G$5:$G$120="acoes"))*Inputs!$B$1+((Inputs!$G$5:$G$120&lt;&gt;"moeda")*(Inputs!$G$5:$G$120&lt;&gt;"acoes")))*INDEX(Inputs!$K$5:$AJ$120,0,MATCH(AC$2,Inputs!$K$4:$AJ$4,0)))+SUMPRODUCT((Inputs!$E$5:$E$120=$B45)*Inputs!$F$5:$F$120*(((Inputs!$G$5:$G$120="moeda")+(Inputs!$G$5:$G$120="acoes"))*Inputs!$B$1+((Inputs!$G$5:$G$120&lt;&gt;"moeda")*(Inputs!$G$5:$G$120&lt;&gt;"acoes")))*INDEX(Inputs!$K$5:$AJ$120,0,MATCH(AC$2,Inputs!$K$4:$AJ$4,0)))))</f>
        <v>334</v>
      </c>
      <c r="AD45" s="6">
        <f>IF(ISNA(MATCH(AD$2,Inputs!$K$4:$AJ$4,0)),NA(),IF(SUMPRODUCT((Inputs!$A$5:$A$120=$B45)*ISNUMBER(INDEX(Inputs!$K$5:$AJ$120,0,MATCH(AD$2,Inputs!$K$4:$AJ$4,0))))+SUMPRODUCT((Inputs!$C$5:$C$120=$B45)*ISNUMBER(INDEX(Inputs!$K$5:$AJ$120,0,MATCH(AD$2,Inputs!$K$4:$AJ$4,0))))+SUMPRODUCT((Inputs!$E$5:$E$120=$B45)*ISNUMBER(INDEX(Inputs!$K$5:$AJ$120,0,MATCH(AD$2,Inputs!$K$4:$AJ$4,0))))=0,NA(),SUMPRODUCT((Inputs!$A$5:$A$120=$B45)*Inputs!$B$5:$B$120*(((Inputs!$G$5:$G$120="moeda")+(Inputs!$G$5:$G$120="acoes"))*Inputs!$B$1+((Inputs!$G$5:$G$120&lt;&gt;"moeda")*(Inputs!$G$5:$G$120&lt;&gt;"acoes")))*INDEX(Inputs!$K$5:$AJ$120,0,MATCH(AD$2,Inputs!$K$4:$AJ$4,0)))+SUMPRODUCT((Inputs!$C$5:$C$120=$B45)*Inputs!$D$5:$D$120*(((Inputs!$G$5:$G$120="moeda")+(Inputs!$G$5:$G$120="acoes"))*Inputs!$B$1+((Inputs!$G$5:$G$120&lt;&gt;"moeda")*(Inputs!$G$5:$G$120&lt;&gt;"acoes")))*INDEX(Inputs!$K$5:$AJ$120,0,MATCH(AD$2,Inputs!$K$4:$AJ$4,0)))+SUMPRODUCT((Inputs!$E$5:$E$120=$B45)*Inputs!$F$5:$F$120*(((Inputs!$G$5:$G$120="moeda")+(Inputs!$G$5:$G$120="acoes"))*Inputs!$B$1+((Inputs!$G$5:$G$120&lt;&gt;"moeda")*(Inputs!$G$5:$G$120&lt;&gt;"acoes")))*INDEX(Inputs!$K$5:$AJ$120,0,MATCH(AD$2,Inputs!$K$4:$AJ$4,0)))))</f>
        <v>401</v>
      </c>
      <c r="AE45" s="6" t="e">
        <f>IF(ISNA(MATCH(AE$2,Inputs!$K$4:$AJ$4,0)),NA(),IF(SUMPRODUCT((Inputs!$A$5:$A$120=$B45)*ISNUMBER(INDEX(Inputs!$K$5:$AJ$120,0,MATCH(AE$2,Inputs!$K$4:$AJ$4,0))))+SUMPRODUCT((Inputs!$C$5:$C$120=$B45)*ISNUMBER(INDEX(Inputs!$K$5:$AJ$120,0,MATCH(AE$2,Inputs!$K$4:$AJ$4,0))))+SUMPRODUCT((Inputs!$E$5:$E$120=$B45)*ISNUMBER(INDEX(Inputs!$K$5:$AJ$120,0,MATCH(AE$2,Inputs!$K$4:$AJ$4,0))))=0,NA(),SUMPRODUCT((Inputs!$A$5:$A$120=$B45)*Inputs!$B$5:$B$120*(((Inputs!$G$5:$G$120="moeda")+(Inputs!$G$5:$G$120="acoes"))*Inputs!$B$1+((Inputs!$G$5:$G$120&lt;&gt;"moeda")*(Inputs!$G$5:$G$120&lt;&gt;"acoes")))*INDEX(Inputs!$K$5:$AJ$120,0,MATCH(AE$2,Inputs!$K$4:$AJ$4,0)))+SUMPRODUCT((Inputs!$C$5:$C$120=$B45)*Inputs!$D$5:$D$120*(((Inputs!$G$5:$G$120="moeda")+(Inputs!$G$5:$G$120="acoes"))*Inputs!$B$1+((Inputs!$G$5:$G$120&lt;&gt;"moeda")*(Inputs!$G$5:$G$120&lt;&gt;"acoes")))*INDEX(Inputs!$K$5:$AJ$120,0,MATCH(AE$2,Inputs!$K$4:$AJ$4,0)))+SUMPRODUCT((Inputs!$E$5:$E$120=$B45)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45" s="6" t="e">
        <f>IF(ISNA(MATCH(AF$2,Inputs!$K$4:$AJ$4,0)),NA(),IF(SUMPRODUCT((Inputs!$A$5:$A$120=$B45)*ISNUMBER(INDEX(Inputs!$K$5:$AJ$120,0,MATCH(AF$2,Inputs!$K$4:$AJ$4,0))))+SUMPRODUCT((Inputs!$C$5:$C$120=$B45)*ISNUMBER(INDEX(Inputs!$K$5:$AJ$120,0,MATCH(AF$2,Inputs!$K$4:$AJ$4,0))))+SUMPRODUCT((Inputs!$E$5:$E$120=$B45)*ISNUMBER(INDEX(Inputs!$K$5:$AJ$120,0,MATCH(AF$2,Inputs!$K$4:$AJ$4,0))))=0,NA(),SUMPRODUCT((Inputs!$A$5:$A$120=$B45)*Inputs!$B$5:$B$120*(((Inputs!$G$5:$G$120="moeda")+(Inputs!$G$5:$G$120="acoes"))*Inputs!$B$1+((Inputs!$G$5:$G$120&lt;&gt;"moeda")*(Inputs!$G$5:$G$120&lt;&gt;"acoes")))*INDEX(Inputs!$K$5:$AJ$120,0,MATCH(AF$2,Inputs!$K$4:$AJ$4,0)))+SUMPRODUCT((Inputs!$C$5:$C$120=$B45)*Inputs!$D$5:$D$120*(((Inputs!$G$5:$G$120="moeda")+(Inputs!$G$5:$G$120="acoes"))*Inputs!$B$1+((Inputs!$G$5:$G$120&lt;&gt;"moeda")*(Inputs!$G$5:$G$120&lt;&gt;"acoes")))*INDEX(Inputs!$K$5:$AJ$120,0,MATCH(AF$2,Inputs!$K$4:$AJ$4,0)))+SUMPRODUCT((Inputs!$E$5:$E$120=$B45)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45" s="3" t="e">
        <f>AF45</f>
        <v>#N/A</v>
      </c>
      <c r="AH45" s="6">
        <f>IF(ISNA(MATCH(AH$2,Inputs!$K$4:$AJ$4,0)),NA(),IF(SUMPRODUCT((Inputs!$A$5:$A$120=$B45)*ISNUMBER(INDEX(Inputs!$K$5:$AJ$120,0,MATCH(AH$2,Inputs!$K$4:$AJ$4,0))))+SUMPRODUCT((Inputs!$C$5:$C$120=$B45)*ISNUMBER(INDEX(Inputs!$K$5:$AJ$120,0,MATCH(AH$2,Inputs!$K$4:$AJ$4,0))))+SUMPRODUCT((Inputs!$E$5:$E$120=$B45)*ISNUMBER(INDEX(Inputs!$K$5:$AJ$120,0,MATCH(AH$2,Inputs!$K$4:$AJ$4,0))))=0,NA(),SUMPRODUCT((Inputs!$A$5:$A$120=$B45)*Inputs!$B$5:$B$120*(((Inputs!$G$5:$G$120="moeda")+(Inputs!$G$5:$G$120="acoes"))*Inputs!$B$1+((Inputs!$G$5:$G$120&lt;&gt;"moeda")*(Inputs!$G$5:$G$120&lt;&gt;"acoes")))*INDEX(Inputs!$K$5:$AJ$120,0,MATCH(AH$2,Inputs!$K$4:$AJ$4,0)))+SUMPRODUCT((Inputs!$C$5:$C$120=$B45)*Inputs!$D$5:$D$120*(((Inputs!$G$5:$G$120="moeda")+(Inputs!$G$5:$G$120="acoes"))*Inputs!$B$1+((Inputs!$G$5:$G$120&lt;&gt;"moeda")*(Inputs!$G$5:$G$120&lt;&gt;"acoes")))*INDEX(Inputs!$K$5:$AJ$120,0,MATCH(AH$2,Inputs!$K$4:$AJ$4,0)))+SUMPRODUCT((Inputs!$E$5:$E$120=$B45)*Inputs!$F$5:$F$120*(((Inputs!$G$5:$G$120="moeda")+(Inputs!$G$5:$G$120="acoes"))*Inputs!$B$1+((Inputs!$G$5:$G$120&lt;&gt;"moeda")*(Inputs!$G$5:$G$120&lt;&gt;"acoes")))*INDEX(Inputs!$K$5:$AJ$120,0,MATCH(AH$2,Inputs!$K$4:$AJ$4,0)))))</f>
        <v>-113</v>
      </c>
      <c r="AI45" s="6">
        <f>IF(ISNA(MATCH(AI$2,Inputs!$K$4:$AJ$4,0)),NA(),IF(SUMPRODUCT((Inputs!$A$5:$A$120=$B45)*ISNUMBER(INDEX(Inputs!$K$5:$AJ$120,0,MATCH(AI$2,Inputs!$K$4:$AJ$4,0))))+SUMPRODUCT((Inputs!$C$5:$C$120=$B45)*ISNUMBER(INDEX(Inputs!$K$5:$AJ$120,0,MATCH(AI$2,Inputs!$K$4:$AJ$4,0))))+SUMPRODUCT((Inputs!$E$5:$E$120=$B45)*ISNUMBER(INDEX(Inputs!$K$5:$AJ$120,0,MATCH(AI$2,Inputs!$K$4:$AJ$4,0))))=0,NA(),SUMPRODUCT((Inputs!$A$5:$A$120=$B45)*Inputs!$B$5:$B$120*(((Inputs!$G$5:$G$120="moeda")+(Inputs!$G$5:$G$120="acoes"))*Inputs!$B$1+((Inputs!$G$5:$G$120&lt;&gt;"moeda")*(Inputs!$G$5:$G$120&lt;&gt;"acoes")))*INDEX(Inputs!$K$5:$AJ$120,0,MATCH(AI$2,Inputs!$K$4:$AJ$4,0)))+SUMPRODUCT((Inputs!$C$5:$C$120=$B45)*Inputs!$D$5:$D$120*(((Inputs!$G$5:$G$120="moeda")+(Inputs!$G$5:$G$120="acoes"))*Inputs!$B$1+((Inputs!$G$5:$G$120&lt;&gt;"moeda")*(Inputs!$G$5:$G$120&lt;&gt;"acoes")))*INDEX(Inputs!$K$5:$AJ$120,0,MATCH(AI$2,Inputs!$K$4:$AJ$4,0)))+SUMPRODUCT((Inputs!$E$5:$E$120=$B45)*Inputs!$F$5:$F$120*(((Inputs!$G$5:$G$120="moeda")+(Inputs!$G$5:$G$120="acoes"))*Inputs!$B$1+((Inputs!$G$5:$G$120&lt;&gt;"moeda")*(Inputs!$G$5:$G$120&lt;&gt;"acoes")))*INDEX(Inputs!$K$5:$AJ$120,0,MATCH(AI$2,Inputs!$K$4:$AJ$4,0)))))</f>
        <v>-40</v>
      </c>
      <c r="AJ45" s="6">
        <f>IF(ISNA(MATCH(AJ$2,Inputs!$K$4:$AJ$4,0)),NA(),IF(SUMPRODUCT((Inputs!$A$5:$A$120=$B45)*ISNUMBER(INDEX(Inputs!$K$5:$AJ$120,0,MATCH(AJ$2,Inputs!$K$4:$AJ$4,0))))+SUMPRODUCT((Inputs!$C$5:$C$120=$B45)*ISNUMBER(INDEX(Inputs!$K$5:$AJ$120,0,MATCH(AJ$2,Inputs!$K$4:$AJ$4,0))))+SUMPRODUCT((Inputs!$E$5:$E$120=$B45)*ISNUMBER(INDEX(Inputs!$K$5:$AJ$120,0,MATCH(AJ$2,Inputs!$K$4:$AJ$4,0))))=0,NA(),SUMPRODUCT((Inputs!$A$5:$A$120=$B45)*Inputs!$B$5:$B$120*(((Inputs!$G$5:$G$120="moeda")+(Inputs!$G$5:$G$120="acoes"))*Inputs!$B$1+((Inputs!$G$5:$G$120&lt;&gt;"moeda")*(Inputs!$G$5:$G$120&lt;&gt;"acoes")))*INDEX(Inputs!$K$5:$AJ$120,0,MATCH(AJ$2,Inputs!$K$4:$AJ$4,0)))+SUMPRODUCT((Inputs!$C$5:$C$120=$B45)*Inputs!$D$5:$D$120*(((Inputs!$G$5:$G$120="moeda")+(Inputs!$G$5:$G$120="acoes"))*Inputs!$B$1+((Inputs!$G$5:$G$120&lt;&gt;"moeda")*(Inputs!$G$5:$G$120&lt;&gt;"acoes")))*INDEX(Inputs!$K$5:$AJ$120,0,MATCH(AJ$2,Inputs!$K$4:$AJ$4,0)))+SUMPRODUCT((Inputs!$E$5:$E$120=$B45)*Inputs!$F$5:$F$120*(((Inputs!$G$5:$G$120="moeda")+(Inputs!$G$5:$G$120="acoes"))*Inputs!$B$1+((Inputs!$G$5:$G$120&lt;&gt;"moeda")*(Inputs!$G$5:$G$120&lt;&gt;"acoes")))*INDEX(Inputs!$K$5:$AJ$120,0,MATCH(AJ$2,Inputs!$K$4:$AJ$4,0)))))</f>
        <v>125</v>
      </c>
      <c r="AK45" s="6">
        <f>IF(ISNA(MATCH(AK$2,Inputs!$K$4:$AJ$4,0)),NA(),IF(SUMPRODUCT((Inputs!$A$5:$A$120=$B45)*ISNUMBER(INDEX(Inputs!$K$5:$AJ$120,0,MATCH(AK$2,Inputs!$K$4:$AJ$4,0))))+SUMPRODUCT((Inputs!$C$5:$C$120=$B45)*ISNUMBER(INDEX(Inputs!$K$5:$AJ$120,0,MATCH(AK$2,Inputs!$K$4:$AJ$4,0))))+SUMPRODUCT((Inputs!$E$5:$E$120=$B45)*ISNUMBER(INDEX(Inputs!$K$5:$AJ$120,0,MATCH(AK$2,Inputs!$K$4:$AJ$4,0))))=0,NA(),SUMPRODUCT((Inputs!$A$5:$A$120=$B45)*Inputs!$B$5:$B$120*(((Inputs!$G$5:$G$120="moeda")+(Inputs!$G$5:$G$120="acoes"))*Inputs!$B$1+((Inputs!$G$5:$G$120&lt;&gt;"moeda")*(Inputs!$G$5:$G$120&lt;&gt;"acoes")))*INDEX(Inputs!$K$5:$AJ$120,0,MATCH(AK$2,Inputs!$K$4:$AJ$4,0)))+SUMPRODUCT((Inputs!$C$5:$C$120=$B45)*Inputs!$D$5:$D$120*(((Inputs!$G$5:$G$120="moeda")+(Inputs!$G$5:$G$120="acoes"))*Inputs!$B$1+((Inputs!$G$5:$G$120&lt;&gt;"moeda")*(Inputs!$G$5:$G$120&lt;&gt;"acoes")))*INDEX(Inputs!$K$5:$AJ$120,0,MATCH(AK$2,Inputs!$K$4:$AJ$4,0)))+SUMPRODUCT((Inputs!$E$5:$E$120=$B45)*Inputs!$F$5:$F$120*(((Inputs!$G$5:$G$120="moeda")+(Inputs!$G$5:$G$120="acoes"))*Inputs!$B$1+((Inputs!$G$5:$G$120&lt;&gt;"moeda")*(Inputs!$G$5:$G$120&lt;&gt;"acoes")))*INDEX(Inputs!$K$5:$AJ$120,0,MATCH(AK$2,Inputs!$K$4:$AJ$4,0)))))</f>
        <v>363</v>
      </c>
      <c r="AL45" s="3">
        <f>AK45</f>
        <v>363</v>
      </c>
    </row>
    <row r="46">
      <c r="B46" s="46" t="n">
        <v>40</v>
      </c>
      <c r="C46" s="26" t="inlineStr">
        <is>
          <t>Other equity account</t>
        </is>
      </c>
      <c r="D46" s="6">
        <f>IF(ISNA(MATCH(D$2,Inputs!$K$4:$AJ$4,0)),NA(),IF(SUMPRODUCT((Inputs!$A$5:$A$120=$B46)*ISNUMBER(INDEX(Inputs!$K$5:$AJ$120,0,MATCH(D$2,Inputs!$K$4:$AJ$4,0))))+SUMPRODUCT((Inputs!$C$5:$C$120=$B46)*ISNUMBER(INDEX(Inputs!$K$5:$AJ$120,0,MATCH(D$2,Inputs!$K$4:$AJ$4,0))))+SUMPRODUCT((Inputs!$E$5:$E$120=$B46)*ISNUMBER(INDEX(Inputs!$K$5:$AJ$120,0,MATCH(D$2,Inputs!$K$4:$AJ$4,0))))=0,NA(),SUMPRODUCT((Inputs!$A$5:$A$120=$B46)*Inputs!$B$5:$B$120*(((Inputs!$G$5:$G$120="moeda")+(Inputs!$G$5:$G$120="acoes"))*Inputs!$B$1+((Inputs!$G$5:$G$120&lt;&gt;"moeda")*(Inputs!$G$5:$G$120&lt;&gt;"acoes")))*INDEX(Inputs!$K$5:$AJ$120,0,MATCH(D$2,Inputs!$K$4:$AJ$4,0)))+SUMPRODUCT((Inputs!$C$5:$C$120=$B46)*Inputs!$D$5:$D$120*(((Inputs!$G$5:$G$120="moeda")+(Inputs!$G$5:$G$120="acoes"))*Inputs!$B$1+((Inputs!$G$5:$G$120&lt;&gt;"moeda")*(Inputs!$G$5:$G$120&lt;&gt;"acoes")))*INDEX(Inputs!$K$5:$AJ$120,0,MATCH(D$2,Inputs!$K$4:$AJ$4,0)))+SUMPRODUCT((Inputs!$E$5:$E$120=$B46)*Inputs!$F$5:$F$120*(((Inputs!$G$5:$G$120="moeda")+(Inputs!$G$5:$G$120="acoes"))*Inputs!$B$1+((Inputs!$G$5:$G$120&lt;&gt;"moeda")*(Inputs!$G$5:$G$120&lt;&gt;"acoes")))*INDEX(Inputs!$K$5:$AJ$120,0,MATCH(D$2,Inputs!$K$4:$AJ$4,0)))))</f>
        <v>0</v>
      </c>
      <c r="E46" s="6">
        <f>IF(ISNA(MATCH(E$2,Inputs!$K$4:$AJ$4,0)),NA(),IF(SUMPRODUCT((Inputs!$A$5:$A$120=$B46)*ISNUMBER(INDEX(Inputs!$K$5:$AJ$120,0,MATCH(E$2,Inputs!$K$4:$AJ$4,0))))+SUMPRODUCT((Inputs!$C$5:$C$120=$B46)*ISNUMBER(INDEX(Inputs!$K$5:$AJ$120,0,MATCH(E$2,Inputs!$K$4:$AJ$4,0))))+SUMPRODUCT((Inputs!$E$5:$E$120=$B46)*ISNUMBER(INDEX(Inputs!$K$5:$AJ$120,0,MATCH(E$2,Inputs!$K$4:$AJ$4,0))))=0,NA(),SUMPRODUCT((Inputs!$A$5:$A$120=$B46)*Inputs!$B$5:$B$120*(((Inputs!$G$5:$G$120="moeda")+(Inputs!$G$5:$G$120="acoes"))*Inputs!$B$1+((Inputs!$G$5:$G$120&lt;&gt;"moeda")*(Inputs!$G$5:$G$120&lt;&gt;"acoes")))*INDEX(Inputs!$K$5:$AJ$120,0,MATCH(E$2,Inputs!$K$4:$AJ$4,0)))+SUMPRODUCT((Inputs!$C$5:$C$120=$B46)*Inputs!$D$5:$D$120*(((Inputs!$G$5:$G$120="moeda")+(Inputs!$G$5:$G$120="acoes"))*Inputs!$B$1+((Inputs!$G$5:$G$120&lt;&gt;"moeda")*(Inputs!$G$5:$G$120&lt;&gt;"acoes")))*INDEX(Inputs!$K$5:$AJ$120,0,MATCH(E$2,Inputs!$K$4:$AJ$4,0)))+SUMPRODUCT((Inputs!$E$5:$E$120=$B46)*Inputs!$F$5:$F$120*(((Inputs!$G$5:$G$120="moeda")+(Inputs!$G$5:$G$120="acoes"))*Inputs!$B$1+((Inputs!$G$5:$G$120&lt;&gt;"moeda")*(Inputs!$G$5:$G$120&lt;&gt;"acoes")))*INDEX(Inputs!$K$5:$AJ$120,0,MATCH(E$2,Inputs!$K$4:$AJ$4,0)))))</f>
        <v>0</v>
      </c>
      <c r="F46" s="6">
        <f>IF(ISNA(MATCH(F$2,Inputs!$K$4:$AJ$4,0)),NA(),IF(SUMPRODUCT((Inputs!$A$5:$A$120=$B46)*ISNUMBER(INDEX(Inputs!$K$5:$AJ$120,0,MATCH(F$2,Inputs!$K$4:$AJ$4,0))))+SUMPRODUCT((Inputs!$C$5:$C$120=$B46)*ISNUMBER(INDEX(Inputs!$K$5:$AJ$120,0,MATCH(F$2,Inputs!$K$4:$AJ$4,0))))+SUMPRODUCT((Inputs!$E$5:$E$120=$B46)*ISNUMBER(INDEX(Inputs!$K$5:$AJ$120,0,MATCH(F$2,Inputs!$K$4:$AJ$4,0))))=0,NA(),SUMPRODUCT((Inputs!$A$5:$A$120=$B46)*Inputs!$B$5:$B$120*(((Inputs!$G$5:$G$120="moeda")+(Inputs!$G$5:$G$120="acoes"))*Inputs!$B$1+((Inputs!$G$5:$G$120&lt;&gt;"moeda")*(Inputs!$G$5:$G$120&lt;&gt;"acoes")))*INDEX(Inputs!$K$5:$AJ$120,0,MATCH(F$2,Inputs!$K$4:$AJ$4,0)))+SUMPRODUCT((Inputs!$C$5:$C$120=$B46)*Inputs!$D$5:$D$120*(((Inputs!$G$5:$G$120="moeda")+(Inputs!$G$5:$G$120="acoes"))*Inputs!$B$1+((Inputs!$G$5:$G$120&lt;&gt;"moeda")*(Inputs!$G$5:$G$120&lt;&gt;"acoes")))*INDEX(Inputs!$K$5:$AJ$120,0,MATCH(F$2,Inputs!$K$4:$AJ$4,0)))+SUMPRODUCT((Inputs!$E$5:$E$120=$B46)*Inputs!$F$5:$F$120*(((Inputs!$G$5:$G$120="moeda")+(Inputs!$G$5:$G$120="acoes"))*Inputs!$B$1+((Inputs!$G$5:$G$120&lt;&gt;"moeda")*(Inputs!$G$5:$G$120&lt;&gt;"acoes")))*INDEX(Inputs!$K$5:$AJ$120,0,MATCH(F$2,Inputs!$K$4:$AJ$4,0)))))</f>
        <v>0</v>
      </c>
      <c r="G46" s="6">
        <f>IF(ISNA(MATCH(G$2,Inputs!$K$4:$AJ$4,0)),NA(),IF(SUMPRODUCT((Inputs!$A$5:$A$120=$B46)*ISNUMBER(INDEX(Inputs!$K$5:$AJ$120,0,MATCH(G$2,Inputs!$K$4:$AJ$4,0))))+SUMPRODUCT((Inputs!$C$5:$C$120=$B46)*ISNUMBER(INDEX(Inputs!$K$5:$AJ$120,0,MATCH(G$2,Inputs!$K$4:$AJ$4,0))))+SUMPRODUCT((Inputs!$E$5:$E$120=$B46)*ISNUMBER(INDEX(Inputs!$K$5:$AJ$120,0,MATCH(G$2,Inputs!$K$4:$AJ$4,0))))=0,NA(),SUMPRODUCT((Inputs!$A$5:$A$120=$B46)*Inputs!$B$5:$B$120*(((Inputs!$G$5:$G$120="moeda")+(Inputs!$G$5:$G$120="acoes"))*Inputs!$B$1+((Inputs!$G$5:$G$120&lt;&gt;"moeda")*(Inputs!$G$5:$G$120&lt;&gt;"acoes")))*INDEX(Inputs!$K$5:$AJ$120,0,MATCH(G$2,Inputs!$K$4:$AJ$4,0)))+SUMPRODUCT((Inputs!$C$5:$C$120=$B46)*Inputs!$D$5:$D$120*(((Inputs!$G$5:$G$120="moeda")+(Inputs!$G$5:$G$120="acoes"))*Inputs!$B$1+((Inputs!$G$5:$G$120&lt;&gt;"moeda")*(Inputs!$G$5:$G$120&lt;&gt;"acoes")))*INDEX(Inputs!$K$5:$AJ$120,0,MATCH(G$2,Inputs!$K$4:$AJ$4,0)))+SUMPRODUCT((Inputs!$E$5:$E$120=$B46)*Inputs!$F$5:$F$120*(((Inputs!$G$5:$G$120="moeda")+(Inputs!$G$5:$G$120="acoes"))*Inputs!$B$1+((Inputs!$G$5:$G$120&lt;&gt;"moeda")*(Inputs!$G$5:$G$120&lt;&gt;"acoes")))*INDEX(Inputs!$K$5:$AJ$120,0,MATCH(G$2,Inputs!$K$4:$AJ$4,0)))))</f>
        <v>0</v>
      </c>
      <c r="H46" s="3">
        <f>G46</f>
        <v>0</v>
      </c>
      <c r="I46" s="6">
        <f>IF(ISNA(MATCH(I$2,Inputs!$K$4:$AJ$4,0)),NA(),IF(SUMPRODUCT((Inputs!$A$5:$A$120=$B46)*ISNUMBER(INDEX(Inputs!$K$5:$AJ$120,0,MATCH(I$2,Inputs!$K$4:$AJ$4,0))))+SUMPRODUCT((Inputs!$C$5:$C$120=$B46)*ISNUMBER(INDEX(Inputs!$K$5:$AJ$120,0,MATCH(I$2,Inputs!$K$4:$AJ$4,0))))+SUMPRODUCT((Inputs!$E$5:$E$120=$B46)*ISNUMBER(INDEX(Inputs!$K$5:$AJ$120,0,MATCH(I$2,Inputs!$K$4:$AJ$4,0))))=0,NA(),SUMPRODUCT((Inputs!$A$5:$A$120=$B46)*Inputs!$B$5:$B$120*(((Inputs!$G$5:$G$120="moeda")+(Inputs!$G$5:$G$120="acoes"))*Inputs!$B$1+((Inputs!$G$5:$G$120&lt;&gt;"moeda")*(Inputs!$G$5:$G$120&lt;&gt;"acoes")))*INDEX(Inputs!$K$5:$AJ$120,0,MATCH(I$2,Inputs!$K$4:$AJ$4,0)))+SUMPRODUCT((Inputs!$C$5:$C$120=$B46)*Inputs!$D$5:$D$120*(((Inputs!$G$5:$G$120="moeda")+(Inputs!$G$5:$G$120="acoes"))*Inputs!$B$1+((Inputs!$G$5:$G$120&lt;&gt;"moeda")*(Inputs!$G$5:$G$120&lt;&gt;"acoes")))*INDEX(Inputs!$K$5:$AJ$120,0,MATCH(I$2,Inputs!$K$4:$AJ$4,0)))+SUMPRODUCT((Inputs!$E$5:$E$120=$B46)*Inputs!$F$5:$F$120*(((Inputs!$G$5:$G$120="moeda")+(Inputs!$G$5:$G$120="acoes"))*Inputs!$B$1+((Inputs!$G$5:$G$120&lt;&gt;"moeda")*(Inputs!$G$5:$G$120&lt;&gt;"acoes")))*INDEX(Inputs!$K$5:$AJ$120,0,MATCH(I$2,Inputs!$K$4:$AJ$4,0)))))</f>
        <v>0</v>
      </c>
      <c r="J46" s="6">
        <f>IF(ISNA(MATCH(J$2,Inputs!$K$4:$AJ$4,0)),NA(),IF(SUMPRODUCT((Inputs!$A$5:$A$120=$B46)*ISNUMBER(INDEX(Inputs!$K$5:$AJ$120,0,MATCH(J$2,Inputs!$K$4:$AJ$4,0))))+SUMPRODUCT((Inputs!$C$5:$C$120=$B46)*ISNUMBER(INDEX(Inputs!$K$5:$AJ$120,0,MATCH(J$2,Inputs!$K$4:$AJ$4,0))))+SUMPRODUCT((Inputs!$E$5:$E$120=$B46)*ISNUMBER(INDEX(Inputs!$K$5:$AJ$120,0,MATCH(J$2,Inputs!$K$4:$AJ$4,0))))=0,NA(),SUMPRODUCT((Inputs!$A$5:$A$120=$B46)*Inputs!$B$5:$B$120*(((Inputs!$G$5:$G$120="moeda")+(Inputs!$G$5:$G$120="acoes"))*Inputs!$B$1+((Inputs!$G$5:$G$120&lt;&gt;"moeda")*(Inputs!$G$5:$G$120&lt;&gt;"acoes")))*INDEX(Inputs!$K$5:$AJ$120,0,MATCH(J$2,Inputs!$K$4:$AJ$4,0)))+SUMPRODUCT((Inputs!$C$5:$C$120=$B46)*Inputs!$D$5:$D$120*(((Inputs!$G$5:$G$120="moeda")+(Inputs!$G$5:$G$120="acoes"))*Inputs!$B$1+((Inputs!$G$5:$G$120&lt;&gt;"moeda")*(Inputs!$G$5:$G$120&lt;&gt;"acoes")))*INDEX(Inputs!$K$5:$AJ$120,0,MATCH(J$2,Inputs!$K$4:$AJ$4,0)))+SUMPRODUCT((Inputs!$E$5:$E$120=$B46)*Inputs!$F$5:$F$120*(((Inputs!$G$5:$G$120="moeda")+(Inputs!$G$5:$G$120="acoes"))*Inputs!$B$1+((Inputs!$G$5:$G$120&lt;&gt;"moeda")*(Inputs!$G$5:$G$120&lt;&gt;"acoes")))*INDEX(Inputs!$K$5:$AJ$120,0,MATCH(J$2,Inputs!$K$4:$AJ$4,0)))))</f>
        <v>0</v>
      </c>
      <c r="K46" s="6">
        <f>IF(ISNA(MATCH(K$2,Inputs!$K$4:$AJ$4,0)),NA(),IF(SUMPRODUCT((Inputs!$A$5:$A$120=$B46)*ISNUMBER(INDEX(Inputs!$K$5:$AJ$120,0,MATCH(K$2,Inputs!$K$4:$AJ$4,0))))+SUMPRODUCT((Inputs!$C$5:$C$120=$B46)*ISNUMBER(INDEX(Inputs!$K$5:$AJ$120,0,MATCH(K$2,Inputs!$K$4:$AJ$4,0))))+SUMPRODUCT((Inputs!$E$5:$E$120=$B46)*ISNUMBER(INDEX(Inputs!$K$5:$AJ$120,0,MATCH(K$2,Inputs!$K$4:$AJ$4,0))))=0,NA(),SUMPRODUCT((Inputs!$A$5:$A$120=$B46)*Inputs!$B$5:$B$120*(((Inputs!$G$5:$G$120="moeda")+(Inputs!$G$5:$G$120="acoes"))*Inputs!$B$1+((Inputs!$G$5:$G$120&lt;&gt;"moeda")*(Inputs!$G$5:$G$120&lt;&gt;"acoes")))*INDEX(Inputs!$K$5:$AJ$120,0,MATCH(K$2,Inputs!$K$4:$AJ$4,0)))+SUMPRODUCT((Inputs!$C$5:$C$120=$B46)*Inputs!$D$5:$D$120*(((Inputs!$G$5:$G$120="moeda")+(Inputs!$G$5:$G$120="acoes"))*Inputs!$B$1+((Inputs!$G$5:$G$120&lt;&gt;"moeda")*(Inputs!$G$5:$G$120&lt;&gt;"acoes")))*INDEX(Inputs!$K$5:$AJ$120,0,MATCH(K$2,Inputs!$K$4:$AJ$4,0)))+SUMPRODUCT((Inputs!$E$5:$E$120=$B46)*Inputs!$F$5:$F$120*(((Inputs!$G$5:$G$120="moeda")+(Inputs!$G$5:$G$120="acoes"))*Inputs!$B$1+((Inputs!$G$5:$G$120&lt;&gt;"moeda")*(Inputs!$G$5:$G$120&lt;&gt;"acoes")))*INDEX(Inputs!$K$5:$AJ$120,0,MATCH(K$2,Inputs!$K$4:$AJ$4,0)))))</f>
        <v>0</v>
      </c>
      <c r="L46" s="6">
        <f>IF(ISNA(MATCH(L$2,Inputs!$K$4:$AJ$4,0)),NA(),IF(SUMPRODUCT((Inputs!$A$5:$A$120=$B46)*ISNUMBER(INDEX(Inputs!$K$5:$AJ$120,0,MATCH(L$2,Inputs!$K$4:$AJ$4,0))))+SUMPRODUCT((Inputs!$C$5:$C$120=$B46)*ISNUMBER(INDEX(Inputs!$K$5:$AJ$120,0,MATCH(L$2,Inputs!$K$4:$AJ$4,0))))+SUMPRODUCT((Inputs!$E$5:$E$120=$B46)*ISNUMBER(INDEX(Inputs!$K$5:$AJ$120,0,MATCH(L$2,Inputs!$K$4:$AJ$4,0))))=0,NA(),SUMPRODUCT((Inputs!$A$5:$A$120=$B46)*Inputs!$B$5:$B$120*(((Inputs!$G$5:$G$120="moeda")+(Inputs!$G$5:$G$120="acoes"))*Inputs!$B$1+((Inputs!$G$5:$G$120&lt;&gt;"moeda")*(Inputs!$G$5:$G$120&lt;&gt;"acoes")))*INDEX(Inputs!$K$5:$AJ$120,0,MATCH(L$2,Inputs!$K$4:$AJ$4,0)))+SUMPRODUCT((Inputs!$C$5:$C$120=$B46)*Inputs!$D$5:$D$120*(((Inputs!$G$5:$G$120="moeda")+(Inputs!$G$5:$G$120="acoes"))*Inputs!$B$1+((Inputs!$G$5:$G$120&lt;&gt;"moeda")*(Inputs!$G$5:$G$120&lt;&gt;"acoes")))*INDEX(Inputs!$K$5:$AJ$120,0,MATCH(L$2,Inputs!$K$4:$AJ$4,0)))+SUMPRODUCT((Inputs!$E$5:$E$120=$B46)*Inputs!$F$5:$F$120*(((Inputs!$G$5:$G$120="moeda")+(Inputs!$G$5:$G$120="acoes"))*Inputs!$B$1+((Inputs!$G$5:$G$120&lt;&gt;"moeda")*(Inputs!$G$5:$G$120&lt;&gt;"acoes")))*INDEX(Inputs!$K$5:$AJ$120,0,MATCH(L$2,Inputs!$K$4:$AJ$4,0)))))</f>
        <v>0</v>
      </c>
      <c r="M46" s="3">
        <f>L46</f>
        <v>0</v>
      </c>
      <c r="N46" s="6">
        <f>IF(ISNA(MATCH(N$2,Inputs!$K$4:$AJ$4,0)),NA(),IF(SUMPRODUCT((Inputs!$A$5:$A$120=$B46)*ISNUMBER(INDEX(Inputs!$K$5:$AJ$120,0,MATCH(N$2,Inputs!$K$4:$AJ$4,0))))+SUMPRODUCT((Inputs!$C$5:$C$120=$B46)*ISNUMBER(INDEX(Inputs!$K$5:$AJ$120,0,MATCH(N$2,Inputs!$K$4:$AJ$4,0))))+SUMPRODUCT((Inputs!$E$5:$E$120=$B46)*ISNUMBER(INDEX(Inputs!$K$5:$AJ$120,0,MATCH(N$2,Inputs!$K$4:$AJ$4,0))))=0,NA(),SUMPRODUCT((Inputs!$A$5:$A$120=$B46)*Inputs!$B$5:$B$120*(((Inputs!$G$5:$G$120="moeda")+(Inputs!$G$5:$G$120="acoes"))*Inputs!$B$1+((Inputs!$G$5:$G$120&lt;&gt;"moeda")*(Inputs!$G$5:$G$120&lt;&gt;"acoes")))*INDEX(Inputs!$K$5:$AJ$120,0,MATCH(N$2,Inputs!$K$4:$AJ$4,0)))+SUMPRODUCT((Inputs!$C$5:$C$120=$B46)*Inputs!$D$5:$D$120*(((Inputs!$G$5:$G$120="moeda")+(Inputs!$G$5:$G$120="acoes"))*Inputs!$B$1+((Inputs!$G$5:$G$120&lt;&gt;"moeda")*(Inputs!$G$5:$G$120&lt;&gt;"acoes")))*INDEX(Inputs!$K$5:$AJ$120,0,MATCH(N$2,Inputs!$K$4:$AJ$4,0)))+SUMPRODUCT((Inputs!$E$5:$E$120=$B46)*Inputs!$F$5:$F$120*(((Inputs!$G$5:$G$120="moeda")+(Inputs!$G$5:$G$120="acoes"))*Inputs!$B$1+((Inputs!$G$5:$G$120&lt;&gt;"moeda")*(Inputs!$G$5:$G$120&lt;&gt;"acoes")))*INDEX(Inputs!$K$5:$AJ$120,0,MATCH(N$2,Inputs!$K$4:$AJ$4,0)))))</f>
        <v>0</v>
      </c>
      <c r="O46" s="6">
        <f>IF(ISNA(MATCH(O$2,Inputs!$K$4:$AJ$4,0)),NA(),IF(SUMPRODUCT((Inputs!$A$5:$A$120=$B46)*ISNUMBER(INDEX(Inputs!$K$5:$AJ$120,0,MATCH(O$2,Inputs!$K$4:$AJ$4,0))))+SUMPRODUCT((Inputs!$C$5:$C$120=$B46)*ISNUMBER(INDEX(Inputs!$K$5:$AJ$120,0,MATCH(O$2,Inputs!$K$4:$AJ$4,0))))+SUMPRODUCT((Inputs!$E$5:$E$120=$B46)*ISNUMBER(INDEX(Inputs!$K$5:$AJ$120,0,MATCH(O$2,Inputs!$K$4:$AJ$4,0))))=0,NA(),SUMPRODUCT((Inputs!$A$5:$A$120=$B46)*Inputs!$B$5:$B$120*(((Inputs!$G$5:$G$120="moeda")+(Inputs!$G$5:$G$120="acoes"))*Inputs!$B$1+((Inputs!$G$5:$G$120&lt;&gt;"moeda")*(Inputs!$G$5:$G$120&lt;&gt;"acoes")))*INDEX(Inputs!$K$5:$AJ$120,0,MATCH(O$2,Inputs!$K$4:$AJ$4,0)))+SUMPRODUCT((Inputs!$C$5:$C$120=$B46)*Inputs!$D$5:$D$120*(((Inputs!$G$5:$G$120="moeda")+(Inputs!$G$5:$G$120="acoes"))*Inputs!$B$1+((Inputs!$G$5:$G$120&lt;&gt;"moeda")*(Inputs!$G$5:$G$120&lt;&gt;"acoes")))*INDEX(Inputs!$K$5:$AJ$120,0,MATCH(O$2,Inputs!$K$4:$AJ$4,0)))+SUMPRODUCT((Inputs!$E$5:$E$120=$B46)*Inputs!$F$5:$F$120*(((Inputs!$G$5:$G$120="moeda")+(Inputs!$G$5:$G$120="acoes"))*Inputs!$B$1+((Inputs!$G$5:$G$120&lt;&gt;"moeda")*(Inputs!$G$5:$G$120&lt;&gt;"acoes")))*INDEX(Inputs!$K$5:$AJ$120,0,MATCH(O$2,Inputs!$K$4:$AJ$4,0)))))</f>
        <v>0</v>
      </c>
      <c r="P46" s="6">
        <f>IF(ISNA(MATCH(P$2,Inputs!$K$4:$AJ$4,0)),NA(),IF(SUMPRODUCT((Inputs!$A$5:$A$120=$B46)*ISNUMBER(INDEX(Inputs!$K$5:$AJ$120,0,MATCH(P$2,Inputs!$K$4:$AJ$4,0))))+SUMPRODUCT((Inputs!$C$5:$C$120=$B46)*ISNUMBER(INDEX(Inputs!$K$5:$AJ$120,0,MATCH(P$2,Inputs!$K$4:$AJ$4,0))))+SUMPRODUCT((Inputs!$E$5:$E$120=$B46)*ISNUMBER(INDEX(Inputs!$K$5:$AJ$120,0,MATCH(P$2,Inputs!$K$4:$AJ$4,0))))=0,NA(),SUMPRODUCT((Inputs!$A$5:$A$120=$B46)*Inputs!$B$5:$B$120*(((Inputs!$G$5:$G$120="moeda")+(Inputs!$G$5:$G$120="acoes"))*Inputs!$B$1+((Inputs!$G$5:$G$120&lt;&gt;"moeda")*(Inputs!$G$5:$G$120&lt;&gt;"acoes")))*INDEX(Inputs!$K$5:$AJ$120,0,MATCH(P$2,Inputs!$K$4:$AJ$4,0)))+SUMPRODUCT((Inputs!$C$5:$C$120=$B46)*Inputs!$D$5:$D$120*(((Inputs!$G$5:$G$120="moeda")+(Inputs!$G$5:$G$120="acoes"))*Inputs!$B$1+((Inputs!$G$5:$G$120&lt;&gt;"moeda")*(Inputs!$G$5:$G$120&lt;&gt;"acoes")))*INDEX(Inputs!$K$5:$AJ$120,0,MATCH(P$2,Inputs!$K$4:$AJ$4,0)))+SUMPRODUCT((Inputs!$E$5:$E$120=$B46)*Inputs!$F$5:$F$120*(((Inputs!$G$5:$G$120="moeda")+(Inputs!$G$5:$G$120="acoes"))*Inputs!$B$1+((Inputs!$G$5:$G$120&lt;&gt;"moeda")*(Inputs!$G$5:$G$120&lt;&gt;"acoes")))*INDEX(Inputs!$K$5:$AJ$120,0,MATCH(P$2,Inputs!$K$4:$AJ$4,0)))))</f>
        <v>0</v>
      </c>
      <c r="Q46" s="6">
        <f>IF(ISNA(MATCH(Q$2,Inputs!$K$4:$AJ$4,0)),NA(),IF(SUMPRODUCT((Inputs!$A$5:$A$120=$B46)*ISNUMBER(INDEX(Inputs!$K$5:$AJ$120,0,MATCH(Q$2,Inputs!$K$4:$AJ$4,0))))+SUMPRODUCT((Inputs!$C$5:$C$120=$B46)*ISNUMBER(INDEX(Inputs!$K$5:$AJ$120,0,MATCH(Q$2,Inputs!$K$4:$AJ$4,0))))+SUMPRODUCT((Inputs!$E$5:$E$120=$B46)*ISNUMBER(INDEX(Inputs!$K$5:$AJ$120,0,MATCH(Q$2,Inputs!$K$4:$AJ$4,0))))=0,NA(),SUMPRODUCT((Inputs!$A$5:$A$120=$B46)*Inputs!$B$5:$B$120*(((Inputs!$G$5:$G$120="moeda")+(Inputs!$G$5:$G$120="acoes"))*Inputs!$B$1+((Inputs!$G$5:$G$120&lt;&gt;"moeda")*(Inputs!$G$5:$G$120&lt;&gt;"acoes")))*INDEX(Inputs!$K$5:$AJ$120,0,MATCH(Q$2,Inputs!$K$4:$AJ$4,0)))+SUMPRODUCT((Inputs!$C$5:$C$120=$B46)*Inputs!$D$5:$D$120*(((Inputs!$G$5:$G$120="moeda")+(Inputs!$G$5:$G$120="acoes"))*Inputs!$B$1+((Inputs!$G$5:$G$120&lt;&gt;"moeda")*(Inputs!$G$5:$G$120&lt;&gt;"acoes")))*INDEX(Inputs!$K$5:$AJ$120,0,MATCH(Q$2,Inputs!$K$4:$AJ$4,0)))+SUMPRODUCT((Inputs!$E$5:$E$120=$B46)*Inputs!$F$5:$F$120*(((Inputs!$G$5:$G$120="moeda")+(Inputs!$G$5:$G$120="acoes"))*Inputs!$B$1+((Inputs!$G$5:$G$120&lt;&gt;"moeda")*(Inputs!$G$5:$G$120&lt;&gt;"acoes")))*INDEX(Inputs!$K$5:$AJ$120,0,MATCH(Q$2,Inputs!$K$4:$AJ$4,0)))))</f>
        <v>0</v>
      </c>
      <c r="R46" s="3">
        <f>Q46</f>
        <v>0</v>
      </c>
      <c r="S46" s="6">
        <f>IF(ISNA(MATCH(S$2,Inputs!$K$4:$AJ$4,0)),NA(),IF(SUMPRODUCT((Inputs!$A$5:$A$120=$B46)*ISNUMBER(INDEX(Inputs!$K$5:$AJ$120,0,MATCH(S$2,Inputs!$K$4:$AJ$4,0))))+SUMPRODUCT((Inputs!$C$5:$C$120=$B46)*ISNUMBER(INDEX(Inputs!$K$5:$AJ$120,0,MATCH(S$2,Inputs!$K$4:$AJ$4,0))))+SUMPRODUCT((Inputs!$E$5:$E$120=$B46)*ISNUMBER(INDEX(Inputs!$K$5:$AJ$120,0,MATCH(S$2,Inputs!$K$4:$AJ$4,0))))=0,NA(),SUMPRODUCT((Inputs!$A$5:$A$120=$B46)*Inputs!$B$5:$B$120*(((Inputs!$G$5:$G$120="moeda")+(Inputs!$G$5:$G$120="acoes"))*Inputs!$B$1+((Inputs!$G$5:$G$120&lt;&gt;"moeda")*(Inputs!$G$5:$G$120&lt;&gt;"acoes")))*INDEX(Inputs!$K$5:$AJ$120,0,MATCH(S$2,Inputs!$K$4:$AJ$4,0)))+SUMPRODUCT((Inputs!$C$5:$C$120=$B46)*Inputs!$D$5:$D$120*(((Inputs!$G$5:$G$120="moeda")+(Inputs!$G$5:$G$120="acoes"))*Inputs!$B$1+((Inputs!$G$5:$G$120&lt;&gt;"moeda")*(Inputs!$G$5:$G$120&lt;&gt;"acoes")))*INDEX(Inputs!$K$5:$AJ$120,0,MATCH(S$2,Inputs!$K$4:$AJ$4,0)))+SUMPRODUCT((Inputs!$E$5:$E$120=$B46)*Inputs!$F$5:$F$120*(((Inputs!$G$5:$G$120="moeda")+(Inputs!$G$5:$G$120="acoes"))*Inputs!$B$1+((Inputs!$G$5:$G$120&lt;&gt;"moeda")*(Inputs!$G$5:$G$120&lt;&gt;"acoes")))*INDEX(Inputs!$K$5:$AJ$120,0,MATCH(S$2,Inputs!$K$4:$AJ$4,0)))))</f>
        <v>0</v>
      </c>
      <c r="T46" s="6">
        <f>IF(ISNA(MATCH(T$2,Inputs!$K$4:$AJ$4,0)),NA(),IF(SUMPRODUCT((Inputs!$A$5:$A$120=$B46)*ISNUMBER(INDEX(Inputs!$K$5:$AJ$120,0,MATCH(T$2,Inputs!$K$4:$AJ$4,0))))+SUMPRODUCT((Inputs!$C$5:$C$120=$B46)*ISNUMBER(INDEX(Inputs!$K$5:$AJ$120,0,MATCH(T$2,Inputs!$K$4:$AJ$4,0))))+SUMPRODUCT((Inputs!$E$5:$E$120=$B46)*ISNUMBER(INDEX(Inputs!$K$5:$AJ$120,0,MATCH(T$2,Inputs!$K$4:$AJ$4,0))))=0,NA(),SUMPRODUCT((Inputs!$A$5:$A$120=$B46)*Inputs!$B$5:$B$120*(((Inputs!$G$5:$G$120="moeda")+(Inputs!$G$5:$G$120="acoes"))*Inputs!$B$1+((Inputs!$G$5:$G$120&lt;&gt;"moeda")*(Inputs!$G$5:$G$120&lt;&gt;"acoes")))*INDEX(Inputs!$K$5:$AJ$120,0,MATCH(T$2,Inputs!$K$4:$AJ$4,0)))+SUMPRODUCT((Inputs!$C$5:$C$120=$B46)*Inputs!$D$5:$D$120*(((Inputs!$G$5:$G$120="moeda")+(Inputs!$G$5:$G$120="acoes"))*Inputs!$B$1+((Inputs!$G$5:$G$120&lt;&gt;"moeda")*(Inputs!$G$5:$G$120&lt;&gt;"acoes")))*INDEX(Inputs!$K$5:$AJ$120,0,MATCH(T$2,Inputs!$K$4:$AJ$4,0)))+SUMPRODUCT((Inputs!$E$5:$E$120=$B46)*Inputs!$F$5:$F$120*(((Inputs!$G$5:$G$120="moeda")+(Inputs!$G$5:$G$120="acoes"))*Inputs!$B$1+((Inputs!$G$5:$G$120&lt;&gt;"moeda")*(Inputs!$G$5:$G$120&lt;&gt;"acoes")))*INDEX(Inputs!$K$5:$AJ$120,0,MATCH(T$2,Inputs!$K$4:$AJ$4,0)))))</f>
        <v>0</v>
      </c>
      <c r="U46" s="6">
        <f>IF(ISNA(MATCH(U$2,Inputs!$K$4:$AJ$4,0)),NA(),IF(SUMPRODUCT((Inputs!$A$5:$A$120=$B46)*ISNUMBER(INDEX(Inputs!$K$5:$AJ$120,0,MATCH(U$2,Inputs!$K$4:$AJ$4,0))))+SUMPRODUCT((Inputs!$C$5:$C$120=$B46)*ISNUMBER(INDEX(Inputs!$K$5:$AJ$120,0,MATCH(U$2,Inputs!$K$4:$AJ$4,0))))+SUMPRODUCT((Inputs!$E$5:$E$120=$B46)*ISNUMBER(INDEX(Inputs!$K$5:$AJ$120,0,MATCH(U$2,Inputs!$K$4:$AJ$4,0))))=0,NA(),SUMPRODUCT((Inputs!$A$5:$A$120=$B46)*Inputs!$B$5:$B$120*(((Inputs!$G$5:$G$120="moeda")+(Inputs!$G$5:$G$120="acoes"))*Inputs!$B$1+((Inputs!$G$5:$G$120&lt;&gt;"moeda")*(Inputs!$G$5:$G$120&lt;&gt;"acoes")))*INDEX(Inputs!$K$5:$AJ$120,0,MATCH(U$2,Inputs!$K$4:$AJ$4,0)))+SUMPRODUCT((Inputs!$C$5:$C$120=$B46)*Inputs!$D$5:$D$120*(((Inputs!$G$5:$G$120="moeda")+(Inputs!$G$5:$G$120="acoes"))*Inputs!$B$1+((Inputs!$G$5:$G$120&lt;&gt;"moeda")*(Inputs!$G$5:$G$120&lt;&gt;"acoes")))*INDEX(Inputs!$K$5:$AJ$120,0,MATCH(U$2,Inputs!$K$4:$AJ$4,0)))+SUMPRODUCT((Inputs!$E$5:$E$120=$B46)*Inputs!$F$5:$F$120*(((Inputs!$G$5:$G$120="moeda")+(Inputs!$G$5:$G$120="acoes"))*Inputs!$B$1+((Inputs!$G$5:$G$120&lt;&gt;"moeda")*(Inputs!$G$5:$G$120&lt;&gt;"acoes")))*INDEX(Inputs!$K$5:$AJ$120,0,MATCH(U$2,Inputs!$K$4:$AJ$4,0)))))</f>
        <v>0</v>
      </c>
      <c r="V46" s="6">
        <f>IF(ISNA(MATCH(V$2,Inputs!$K$4:$AJ$4,0)),NA(),IF(SUMPRODUCT((Inputs!$A$5:$A$120=$B46)*ISNUMBER(INDEX(Inputs!$K$5:$AJ$120,0,MATCH(V$2,Inputs!$K$4:$AJ$4,0))))+SUMPRODUCT((Inputs!$C$5:$C$120=$B46)*ISNUMBER(INDEX(Inputs!$K$5:$AJ$120,0,MATCH(V$2,Inputs!$K$4:$AJ$4,0))))+SUMPRODUCT((Inputs!$E$5:$E$120=$B46)*ISNUMBER(INDEX(Inputs!$K$5:$AJ$120,0,MATCH(V$2,Inputs!$K$4:$AJ$4,0))))=0,NA(),SUMPRODUCT((Inputs!$A$5:$A$120=$B46)*Inputs!$B$5:$B$120*(((Inputs!$G$5:$G$120="moeda")+(Inputs!$G$5:$G$120="acoes"))*Inputs!$B$1+((Inputs!$G$5:$G$120&lt;&gt;"moeda")*(Inputs!$G$5:$G$120&lt;&gt;"acoes")))*INDEX(Inputs!$K$5:$AJ$120,0,MATCH(V$2,Inputs!$K$4:$AJ$4,0)))+SUMPRODUCT((Inputs!$C$5:$C$120=$B46)*Inputs!$D$5:$D$120*(((Inputs!$G$5:$G$120="moeda")+(Inputs!$G$5:$G$120="acoes"))*Inputs!$B$1+((Inputs!$G$5:$G$120&lt;&gt;"moeda")*(Inputs!$G$5:$G$120&lt;&gt;"acoes")))*INDEX(Inputs!$K$5:$AJ$120,0,MATCH(V$2,Inputs!$K$4:$AJ$4,0)))+SUMPRODUCT((Inputs!$E$5:$E$120=$B46)*Inputs!$F$5:$F$120*(((Inputs!$G$5:$G$120="moeda")+(Inputs!$G$5:$G$120="acoes"))*Inputs!$B$1+((Inputs!$G$5:$G$120&lt;&gt;"moeda")*(Inputs!$G$5:$G$120&lt;&gt;"acoes")))*INDEX(Inputs!$K$5:$AJ$120,0,MATCH(V$2,Inputs!$K$4:$AJ$4,0)))))</f>
        <v>0</v>
      </c>
      <c r="W46" s="3">
        <f>V46</f>
        <v>0</v>
      </c>
      <c r="X46" s="6">
        <f>IF(ISNA(MATCH(X$2,Inputs!$K$4:$AJ$4,0)),NA(),IF(SUMPRODUCT((Inputs!$A$5:$A$120=$B46)*ISNUMBER(INDEX(Inputs!$K$5:$AJ$120,0,MATCH(X$2,Inputs!$K$4:$AJ$4,0))))+SUMPRODUCT((Inputs!$C$5:$C$120=$B46)*ISNUMBER(INDEX(Inputs!$K$5:$AJ$120,0,MATCH(X$2,Inputs!$K$4:$AJ$4,0))))+SUMPRODUCT((Inputs!$E$5:$E$120=$B46)*ISNUMBER(INDEX(Inputs!$K$5:$AJ$120,0,MATCH(X$2,Inputs!$K$4:$AJ$4,0))))=0,NA(),SUMPRODUCT((Inputs!$A$5:$A$120=$B46)*Inputs!$B$5:$B$120*(((Inputs!$G$5:$G$120="moeda")+(Inputs!$G$5:$G$120="acoes"))*Inputs!$B$1+((Inputs!$G$5:$G$120&lt;&gt;"moeda")*(Inputs!$G$5:$G$120&lt;&gt;"acoes")))*INDEX(Inputs!$K$5:$AJ$120,0,MATCH(X$2,Inputs!$K$4:$AJ$4,0)))+SUMPRODUCT((Inputs!$C$5:$C$120=$B46)*Inputs!$D$5:$D$120*(((Inputs!$G$5:$G$120="moeda")+(Inputs!$G$5:$G$120="acoes"))*Inputs!$B$1+((Inputs!$G$5:$G$120&lt;&gt;"moeda")*(Inputs!$G$5:$G$120&lt;&gt;"acoes")))*INDEX(Inputs!$K$5:$AJ$120,0,MATCH(X$2,Inputs!$K$4:$AJ$4,0)))+SUMPRODUCT((Inputs!$E$5:$E$120=$B46)*Inputs!$F$5:$F$120*(((Inputs!$G$5:$G$120="moeda")+(Inputs!$G$5:$G$120="acoes"))*Inputs!$B$1+((Inputs!$G$5:$G$120&lt;&gt;"moeda")*(Inputs!$G$5:$G$120&lt;&gt;"acoes")))*INDEX(Inputs!$K$5:$AJ$120,0,MATCH(X$2,Inputs!$K$4:$AJ$4,0)))))</f>
        <v>0</v>
      </c>
      <c r="Y46" s="6">
        <f>IF(ISNA(MATCH(Y$2,Inputs!$K$4:$AJ$4,0)),NA(),IF(SUMPRODUCT((Inputs!$A$5:$A$120=$B46)*ISNUMBER(INDEX(Inputs!$K$5:$AJ$120,0,MATCH(Y$2,Inputs!$K$4:$AJ$4,0))))+SUMPRODUCT((Inputs!$C$5:$C$120=$B46)*ISNUMBER(INDEX(Inputs!$K$5:$AJ$120,0,MATCH(Y$2,Inputs!$K$4:$AJ$4,0))))+SUMPRODUCT((Inputs!$E$5:$E$120=$B46)*ISNUMBER(INDEX(Inputs!$K$5:$AJ$120,0,MATCH(Y$2,Inputs!$K$4:$AJ$4,0))))=0,NA(),SUMPRODUCT((Inputs!$A$5:$A$120=$B46)*Inputs!$B$5:$B$120*(((Inputs!$G$5:$G$120="moeda")+(Inputs!$G$5:$G$120="acoes"))*Inputs!$B$1+((Inputs!$G$5:$G$120&lt;&gt;"moeda")*(Inputs!$G$5:$G$120&lt;&gt;"acoes")))*INDEX(Inputs!$K$5:$AJ$120,0,MATCH(Y$2,Inputs!$K$4:$AJ$4,0)))+SUMPRODUCT((Inputs!$C$5:$C$120=$B46)*Inputs!$D$5:$D$120*(((Inputs!$G$5:$G$120="moeda")+(Inputs!$G$5:$G$120="acoes"))*Inputs!$B$1+((Inputs!$G$5:$G$120&lt;&gt;"moeda")*(Inputs!$G$5:$G$120&lt;&gt;"acoes")))*INDEX(Inputs!$K$5:$AJ$120,0,MATCH(Y$2,Inputs!$K$4:$AJ$4,0)))+SUMPRODUCT((Inputs!$E$5:$E$120=$B46)*Inputs!$F$5:$F$120*(((Inputs!$G$5:$G$120="moeda")+(Inputs!$G$5:$G$120="acoes"))*Inputs!$B$1+((Inputs!$G$5:$G$120&lt;&gt;"moeda")*(Inputs!$G$5:$G$120&lt;&gt;"acoes")))*INDEX(Inputs!$K$5:$AJ$120,0,MATCH(Y$2,Inputs!$K$4:$AJ$4,0)))))</f>
        <v>0</v>
      </c>
      <c r="Z46" s="6">
        <f>IF(ISNA(MATCH(Z$2,Inputs!$K$4:$AJ$4,0)),NA(),IF(SUMPRODUCT((Inputs!$A$5:$A$120=$B46)*ISNUMBER(INDEX(Inputs!$K$5:$AJ$120,0,MATCH(Z$2,Inputs!$K$4:$AJ$4,0))))+SUMPRODUCT((Inputs!$C$5:$C$120=$B46)*ISNUMBER(INDEX(Inputs!$K$5:$AJ$120,0,MATCH(Z$2,Inputs!$K$4:$AJ$4,0))))+SUMPRODUCT((Inputs!$E$5:$E$120=$B46)*ISNUMBER(INDEX(Inputs!$K$5:$AJ$120,0,MATCH(Z$2,Inputs!$K$4:$AJ$4,0))))=0,NA(),SUMPRODUCT((Inputs!$A$5:$A$120=$B46)*Inputs!$B$5:$B$120*(((Inputs!$G$5:$G$120="moeda")+(Inputs!$G$5:$G$120="acoes"))*Inputs!$B$1+((Inputs!$G$5:$G$120&lt;&gt;"moeda")*(Inputs!$G$5:$G$120&lt;&gt;"acoes")))*INDEX(Inputs!$K$5:$AJ$120,0,MATCH(Z$2,Inputs!$K$4:$AJ$4,0)))+SUMPRODUCT((Inputs!$C$5:$C$120=$B46)*Inputs!$D$5:$D$120*(((Inputs!$G$5:$G$120="moeda")+(Inputs!$G$5:$G$120="acoes"))*Inputs!$B$1+((Inputs!$G$5:$G$120&lt;&gt;"moeda")*(Inputs!$G$5:$G$120&lt;&gt;"acoes")))*INDEX(Inputs!$K$5:$AJ$120,0,MATCH(Z$2,Inputs!$K$4:$AJ$4,0)))+SUMPRODUCT((Inputs!$E$5:$E$120=$B46)*Inputs!$F$5:$F$120*(((Inputs!$G$5:$G$120="moeda")+(Inputs!$G$5:$G$120="acoes"))*Inputs!$B$1+((Inputs!$G$5:$G$120&lt;&gt;"moeda")*(Inputs!$G$5:$G$120&lt;&gt;"acoes")))*INDEX(Inputs!$K$5:$AJ$120,0,MATCH(Z$2,Inputs!$K$4:$AJ$4,0)))))</f>
        <v>0</v>
      </c>
      <c r="AA46" s="6">
        <f>IF(ISNA(MATCH(AA$2,Inputs!$K$4:$AJ$4,0)),NA(),IF(SUMPRODUCT((Inputs!$A$5:$A$120=$B46)*ISNUMBER(INDEX(Inputs!$K$5:$AJ$120,0,MATCH(AA$2,Inputs!$K$4:$AJ$4,0))))+SUMPRODUCT((Inputs!$C$5:$C$120=$B46)*ISNUMBER(INDEX(Inputs!$K$5:$AJ$120,0,MATCH(AA$2,Inputs!$K$4:$AJ$4,0))))+SUMPRODUCT((Inputs!$E$5:$E$120=$B46)*ISNUMBER(INDEX(Inputs!$K$5:$AJ$120,0,MATCH(AA$2,Inputs!$K$4:$AJ$4,0))))=0,NA(),SUMPRODUCT((Inputs!$A$5:$A$120=$B46)*Inputs!$B$5:$B$120*(((Inputs!$G$5:$G$120="moeda")+(Inputs!$G$5:$G$120="acoes"))*Inputs!$B$1+((Inputs!$G$5:$G$120&lt;&gt;"moeda")*(Inputs!$G$5:$G$120&lt;&gt;"acoes")))*INDEX(Inputs!$K$5:$AJ$120,0,MATCH(AA$2,Inputs!$K$4:$AJ$4,0)))+SUMPRODUCT((Inputs!$C$5:$C$120=$B46)*Inputs!$D$5:$D$120*(((Inputs!$G$5:$G$120="moeda")+(Inputs!$G$5:$G$120="acoes"))*Inputs!$B$1+((Inputs!$G$5:$G$120&lt;&gt;"moeda")*(Inputs!$G$5:$G$120&lt;&gt;"acoes")))*INDEX(Inputs!$K$5:$AJ$120,0,MATCH(AA$2,Inputs!$K$4:$AJ$4,0)))+SUMPRODUCT((Inputs!$E$5:$E$120=$B46)*Inputs!$F$5:$F$120*(((Inputs!$G$5:$G$120="moeda")+(Inputs!$G$5:$G$120="acoes"))*Inputs!$B$1+((Inputs!$G$5:$G$120&lt;&gt;"moeda")*(Inputs!$G$5:$G$120&lt;&gt;"acoes")))*INDEX(Inputs!$K$5:$AJ$120,0,MATCH(AA$2,Inputs!$K$4:$AJ$4,0)))))</f>
        <v>0</v>
      </c>
      <c r="AB46" s="3">
        <f>AA46</f>
        <v>0</v>
      </c>
      <c r="AC46" s="6">
        <f>IF(ISNA(MATCH(AC$2,Inputs!$K$4:$AJ$4,0)),NA(),IF(SUMPRODUCT((Inputs!$A$5:$A$120=$B46)*ISNUMBER(INDEX(Inputs!$K$5:$AJ$120,0,MATCH(AC$2,Inputs!$K$4:$AJ$4,0))))+SUMPRODUCT((Inputs!$C$5:$C$120=$B46)*ISNUMBER(INDEX(Inputs!$K$5:$AJ$120,0,MATCH(AC$2,Inputs!$K$4:$AJ$4,0))))+SUMPRODUCT((Inputs!$E$5:$E$120=$B46)*ISNUMBER(INDEX(Inputs!$K$5:$AJ$120,0,MATCH(AC$2,Inputs!$K$4:$AJ$4,0))))=0,NA(),SUMPRODUCT((Inputs!$A$5:$A$120=$B46)*Inputs!$B$5:$B$120*(((Inputs!$G$5:$G$120="moeda")+(Inputs!$G$5:$G$120="acoes"))*Inputs!$B$1+((Inputs!$G$5:$G$120&lt;&gt;"moeda")*(Inputs!$G$5:$G$120&lt;&gt;"acoes")))*INDEX(Inputs!$K$5:$AJ$120,0,MATCH(AC$2,Inputs!$K$4:$AJ$4,0)))+SUMPRODUCT((Inputs!$C$5:$C$120=$B46)*Inputs!$D$5:$D$120*(((Inputs!$G$5:$G$120="moeda")+(Inputs!$G$5:$G$120="acoes"))*Inputs!$B$1+((Inputs!$G$5:$G$120&lt;&gt;"moeda")*(Inputs!$G$5:$G$120&lt;&gt;"acoes")))*INDEX(Inputs!$K$5:$AJ$120,0,MATCH(AC$2,Inputs!$K$4:$AJ$4,0)))+SUMPRODUCT((Inputs!$E$5:$E$120=$B46)*Inputs!$F$5:$F$120*(((Inputs!$G$5:$G$120="moeda")+(Inputs!$G$5:$G$120="acoes"))*Inputs!$B$1+((Inputs!$G$5:$G$120&lt;&gt;"moeda")*(Inputs!$G$5:$G$120&lt;&gt;"acoes")))*INDEX(Inputs!$K$5:$AJ$120,0,MATCH(AC$2,Inputs!$K$4:$AJ$4,0)))))</f>
        <v>0</v>
      </c>
      <c r="AD46" s="6">
        <f>IF(ISNA(MATCH(AD$2,Inputs!$K$4:$AJ$4,0)),NA(),IF(SUMPRODUCT((Inputs!$A$5:$A$120=$B46)*ISNUMBER(INDEX(Inputs!$K$5:$AJ$120,0,MATCH(AD$2,Inputs!$K$4:$AJ$4,0))))+SUMPRODUCT((Inputs!$C$5:$C$120=$B46)*ISNUMBER(INDEX(Inputs!$K$5:$AJ$120,0,MATCH(AD$2,Inputs!$K$4:$AJ$4,0))))+SUMPRODUCT((Inputs!$E$5:$E$120=$B46)*ISNUMBER(INDEX(Inputs!$K$5:$AJ$120,0,MATCH(AD$2,Inputs!$K$4:$AJ$4,0))))=0,NA(),SUMPRODUCT((Inputs!$A$5:$A$120=$B46)*Inputs!$B$5:$B$120*(((Inputs!$G$5:$G$120="moeda")+(Inputs!$G$5:$G$120="acoes"))*Inputs!$B$1+((Inputs!$G$5:$G$120&lt;&gt;"moeda")*(Inputs!$G$5:$G$120&lt;&gt;"acoes")))*INDEX(Inputs!$K$5:$AJ$120,0,MATCH(AD$2,Inputs!$K$4:$AJ$4,0)))+SUMPRODUCT((Inputs!$C$5:$C$120=$B46)*Inputs!$D$5:$D$120*(((Inputs!$G$5:$G$120="moeda")+(Inputs!$G$5:$G$120="acoes"))*Inputs!$B$1+((Inputs!$G$5:$G$120&lt;&gt;"moeda")*(Inputs!$G$5:$G$120&lt;&gt;"acoes")))*INDEX(Inputs!$K$5:$AJ$120,0,MATCH(AD$2,Inputs!$K$4:$AJ$4,0)))+SUMPRODUCT((Inputs!$E$5:$E$120=$B46)*Inputs!$F$5:$F$120*(((Inputs!$G$5:$G$120="moeda")+(Inputs!$G$5:$G$120="acoes"))*Inputs!$B$1+((Inputs!$G$5:$G$120&lt;&gt;"moeda")*(Inputs!$G$5:$G$120&lt;&gt;"acoes")))*INDEX(Inputs!$K$5:$AJ$120,0,MATCH(AD$2,Inputs!$K$4:$AJ$4,0)))))</f>
        <v>0</v>
      </c>
      <c r="AE46" s="6" t="e">
        <f>IF(ISNA(MATCH(AE$2,Inputs!$K$4:$AJ$4,0)),NA(),IF(SUMPRODUCT((Inputs!$A$5:$A$120=$B46)*ISNUMBER(INDEX(Inputs!$K$5:$AJ$120,0,MATCH(AE$2,Inputs!$K$4:$AJ$4,0))))+SUMPRODUCT((Inputs!$C$5:$C$120=$B46)*ISNUMBER(INDEX(Inputs!$K$5:$AJ$120,0,MATCH(AE$2,Inputs!$K$4:$AJ$4,0))))+SUMPRODUCT((Inputs!$E$5:$E$120=$B46)*ISNUMBER(INDEX(Inputs!$K$5:$AJ$120,0,MATCH(AE$2,Inputs!$K$4:$AJ$4,0))))=0,NA(),SUMPRODUCT((Inputs!$A$5:$A$120=$B46)*Inputs!$B$5:$B$120*(((Inputs!$G$5:$G$120="moeda")+(Inputs!$G$5:$G$120="acoes"))*Inputs!$B$1+((Inputs!$G$5:$G$120&lt;&gt;"moeda")*(Inputs!$G$5:$G$120&lt;&gt;"acoes")))*INDEX(Inputs!$K$5:$AJ$120,0,MATCH(AE$2,Inputs!$K$4:$AJ$4,0)))+SUMPRODUCT((Inputs!$C$5:$C$120=$B46)*Inputs!$D$5:$D$120*(((Inputs!$G$5:$G$120="moeda")+(Inputs!$G$5:$G$120="acoes"))*Inputs!$B$1+((Inputs!$G$5:$G$120&lt;&gt;"moeda")*(Inputs!$G$5:$G$120&lt;&gt;"acoes")))*INDEX(Inputs!$K$5:$AJ$120,0,MATCH(AE$2,Inputs!$K$4:$AJ$4,0)))+SUMPRODUCT((Inputs!$E$5:$E$120=$B46)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46" s="6" t="e">
        <f>IF(ISNA(MATCH(AF$2,Inputs!$K$4:$AJ$4,0)),NA(),IF(SUMPRODUCT((Inputs!$A$5:$A$120=$B46)*ISNUMBER(INDEX(Inputs!$K$5:$AJ$120,0,MATCH(AF$2,Inputs!$K$4:$AJ$4,0))))+SUMPRODUCT((Inputs!$C$5:$C$120=$B46)*ISNUMBER(INDEX(Inputs!$K$5:$AJ$120,0,MATCH(AF$2,Inputs!$K$4:$AJ$4,0))))+SUMPRODUCT((Inputs!$E$5:$E$120=$B46)*ISNUMBER(INDEX(Inputs!$K$5:$AJ$120,0,MATCH(AF$2,Inputs!$K$4:$AJ$4,0))))=0,NA(),SUMPRODUCT((Inputs!$A$5:$A$120=$B46)*Inputs!$B$5:$B$120*(((Inputs!$G$5:$G$120="moeda")+(Inputs!$G$5:$G$120="acoes"))*Inputs!$B$1+((Inputs!$G$5:$G$120&lt;&gt;"moeda")*(Inputs!$G$5:$G$120&lt;&gt;"acoes")))*INDEX(Inputs!$K$5:$AJ$120,0,MATCH(AF$2,Inputs!$K$4:$AJ$4,0)))+SUMPRODUCT((Inputs!$C$5:$C$120=$B46)*Inputs!$D$5:$D$120*(((Inputs!$G$5:$G$120="moeda")+(Inputs!$G$5:$G$120="acoes"))*Inputs!$B$1+((Inputs!$G$5:$G$120&lt;&gt;"moeda")*(Inputs!$G$5:$G$120&lt;&gt;"acoes")))*INDEX(Inputs!$K$5:$AJ$120,0,MATCH(AF$2,Inputs!$K$4:$AJ$4,0)))+SUMPRODUCT((Inputs!$E$5:$E$120=$B46)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46" s="3" t="e">
        <f>AF46</f>
        <v>#N/A</v>
      </c>
      <c r="AH46" s="6">
        <f>IF(ISNA(MATCH(AH$2,Inputs!$K$4:$AJ$4,0)),NA(),IF(SUMPRODUCT((Inputs!$A$5:$A$120=$B46)*ISNUMBER(INDEX(Inputs!$K$5:$AJ$120,0,MATCH(AH$2,Inputs!$K$4:$AJ$4,0))))+SUMPRODUCT((Inputs!$C$5:$C$120=$B46)*ISNUMBER(INDEX(Inputs!$K$5:$AJ$120,0,MATCH(AH$2,Inputs!$K$4:$AJ$4,0))))+SUMPRODUCT((Inputs!$E$5:$E$120=$B46)*ISNUMBER(INDEX(Inputs!$K$5:$AJ$120,0,MATCH(AH$2,Inputs!$K$4:$AJ$4,0))))=0,NA(),SUMPRODUCT((Inputs!$A$5:$A$120=$B46)*Inputs!$B$5:$B$120*(((Inputs!$G$5:$G$120="moeda")+(Inputs!$G$5:$G$120="acoes"))*Inputs!$B$1+((Inputs!$G$5:$G$120&lt;&gt;"moeda")*(Inputs!$G$5:$G$120&lt;&gt;"acoes")))*INDEX(Inputs!$K$5:$AJ$120,0,MATCH(AH$2,Inputs!$K$4:$AJ$4,0)))+SUMPRODUCT((Inputs!$C$5:$C$120=$B46)*Inputs!$D$5:$D$120*(((Inputs!$G$5:$G$120="moeda")+(Inputs!$G$5:$G$120="acoes"))*Inputs!$B$1+((Inputs!$G$5:$G$120&lt;&gt;"moeda")*(Inputs!$G$5:$G$120&lt;&gt;"acoes")))*INDEX(Inputs!$K$5:$AJ$120,0,MATCH(AH$2,Inputs!$K$4:$AJ$4,0)))+SUMPRODUCT((Inputs!$E$5:$E$120=$B46)*Inputs!$F$5:$F$120*(((Inputs!$G$5:$G$120="moeda")+(Inputs!$G$5:$G$120="acoes"))*Inputs!$B$1+((Inputs!$G$5:$G$120&lt;&gt;"moeda")*(Inputs!$G$5:$G$120&lt;&gt;"acoes")))*INDEX(Inputs!$K$5:$AJ$120,0,MATCH(AH$2,Inputs!$K$4:$AJ$4,0)))))</f>
        <v>60</v>
      </c>
      <c r="AI46" s="6">
        <f>IF(ISNA(MATCH(AI$2,Inputs!$K$4:$AJ$4,0)),NA(),IF(SUMPRODUCT((Inputs!$A$5:$A$120=$B46)*ISNUMBER(INDEX(Inputs!$K$5:$AJ$120,0,MATCH(AI$2,Inputs!$K$4:$AJ$4,0))))+SUMPRODUCT((Inputs!$C$5:$C$120=$B46)*ISNUMBER(INDEX(Inputs!$K$5:$AJ$120,0,MATCH(AI$2,Inputs!$K$4:$AJ$4,0))))+SUMPRODUCT((Inputs!$E$5:$E$120=$B46)*ISNUMBER(INDEX(Inputs!$K$5:$AJ$120,0,MATCH(AI$2,Inputs!$K$4:$AJ$4,0))))=0,NA(),SUMPRODUCT((Inputs!$A$5:$A$120=$B46)*Inputs!$B$5:$B$120*(((Inputs!$G$5:$G$120="moeda")+(Inputs!$G$5:$G$120="acoes"))*Inputs!$B$1+((Inputs!$G$5:$G$120&lt;&gt;"moeda")*(Inputs!$G$5:$G$120&lt;&gt;"acoes")))*INDEX(Inputs!$K$5:$AJ$120,0,MATCH(AI$2,Inputs!$K$4:$AJ$4,0)))+SUMPRODUCT((Inputs!$C$5:$C$120=$B46)*Inputs!$D$5:$D$120*(((Inputs!$G$5:$G$120="moeda")+(Inputs!$G$5:$G$120="acoes"))*Inputs!$B$1+((Inputs!$G$5:$G$120&lt;&gt;"moeda")*(Inputs!$G$5:$G$120&lt;&gt;"acoes")))*INDEX(Inputs!$K$5:$AJ$120,0,MATCH(AI$2,Inputs!$K$4:$AJ$4,0)))+SUMPRODUCT((Inputs!$E$5:$E$120=$B46)*Inputs!$F$5:$F$120*(((Inputs!$G$5:$G$120="moeda")+(Inputs!$G$5:$G$120="acoes"))*Inputs!$B$1+((Inputs!$G$5:$G$120&lt;&gt;"moeda")*(Inputs!$G$5:$G$120&lt;&gt;"acoes")))*INDEX(Inputs!$K$5:$AJ$120,0,MATCH(AI$2,Inputs!$K$4:$AJ$4,0)))))</f>
        <v>44</v>
      </c>
      <c r="AJ46" s="6">
        <f>IF(ISNA(MATCH(AJ$2,Inputs!$K$4:$AJ$4,0)),NA(),IF(SUMPRODUCT((Inputs!$A$5:$A$120=$B46)*ISNUMBER(INDEX(Inputs!$K$5:$AJ$120,0,MATCH(AJ$2,Inputs!$K$4:$AJ$4,0))))+SUMPRODUCT((Inputs!$C$5:$C$120=$B46)*ISNUMBER(INDEX(Inputs!$K$5:$AJ$120,0,MATCH(AJ$2,Inputs!$K$4:$AJ$4,0))))+SUMPRODUCT((Inputs!$E$5:$E$120=$B46)*ISNUMBER(INDEX(Inputs!$K$5:$AJ$120,0,MATCH(AJ$2,Inputs!$K$4:$AJ$4,0))))=0,NA(),SUMPRODUCT((Inputs!$A$5:$A$120=$B46)*Inputs!$B$5:$B$120*(((Inputs!$G$5:$G$120="moeda")+(Inputs!$G$5:$G$120="acoes"))*Inputs!$B$1+((Inputs!$G$5:$G$120&lt;&gt;"moeda")*(Inputs!$G$5:$G$120&lt;&gt;"acoes")))*INDEX(Inputs!$K$5:$AJ$120,0,MATCH(AJ$2,Inputs!$K$4:$AJ$4,0)))+SUMPRODUCT((Inputs!$C$5:$C$120=$B46)*Inputs!$D$5:$D$120*(((Inputs!$G$5:$G$120="moeda")+(Inputs!$G$5:$G$120="acoes"))*Inputs!$B$1+((Inputs!$G$5:$G$120&lt;&gt;"moeda")*(Inputs!$G$5:$G$120&lt;&gt;"acoes")))*INDEX(Inputs!$K$5:$AJ$120,0,MATCH(AJ$2,Inputs!$K$4:$AJ$4,0)))+SUMPRODUCT((Inputs!$E$5:$E$120=$B46)*Inputs!$F$5:$F$120*(((Inputs!$G$5:$G$120="moeda")+(Inputs!$G$5:$G$120="acoes"))*Inputs!$B$1+((Inputs!$G$5:$G$120&lt;&gt;"moeda")*(Inputs!$G$5:$G$120&lt;&gt;"acoes")))*INDEX(Inputs!$K$5:$AJ$120,0,MATCH(AJ$2,Inputs!$K$4:$AJ$4,0)))))</f>
        <v>48</v>
      </c>
      <c r="AK46" s="6">
        <f>IF(ISNA(MATCH(AK$2,Inputs!$K$4:$AJ$4,0)),NA(),IF(SUMPRODUCT((Inputs!$A$5:$A$120=$B46)*ISNUMBER(INDEX(Inputs!$K$5:$AJ$120,0,MATCH(AK$2,Inputs!$K$4:$AJ$4,0))))+SUMPRODUCT((Inputs!$C$5:$C$120=$B46)*ISNUMBER(INDEX(Inputs!$K$5:$AJ$120,0,MATCH(AK$2,Inputs!$K$4:$AJ$4,0))))+SUMPRODUCT((Inputs!$E$5:$E$120=$B46)*ISNUMBER(INDEX(Inputs!$K$5:$AJ$120,0,MATCH(AK$2,Inputs!$K$4:$AJ$4,0))))=0,NA(),SUMPRODUCT((Inputs!$A$5:$A$120=$B46)*Inputs!$B$5:$B$120*(((Inputs!$G$5:$G$120="moeda")+(Inputs!$G$5:$G$120="acoes"))*Inputs!$B$1+((Inputs!$G$5:$G$120&lt;&gt;"moeda")*(Inputs!$G$5:$G$120&lt;&gt;"acoes")))*INDEX(Inputs!$K$5:$AJ$120,0,MATCH(AK$2,Inputs!$K$4:$AJ$4,0)))+SUMPRODUCT((Inputs!$C$5:$C$120=$B46)*Inputs!$D$5:$D$120*(((Inputs!$G$5:$G$120="moeda")+(Inputs!$G$5:$G$120="acoes"))*Inputs!$B$1+((Inputs!$G$5:$G$120&lt;&gt;"moeda")*(Inputs!$G$5:$G$120&lt;&gt;"acoes")))*INDEX(Inputs!$K$5:$AJ$120,0,MATCH(AK$2,Inputs!$K$4:$AJ$4,0)))+SUMPRODUCT((Inputs!$E$5:$E$120=$B46)*Inputs!$F$5:$F$120*(((Inputs!$G$5:$G$120="moeda")+(Inputs!$G$5:$G$120="acoes"))*Inputs!$B$1+((Inputs!$G$5:$G$120&lt;&gt;"moeda")*(Inputs!$G$5:$G$120&lt;&gt;"acoes")))*INDEX(Inputs!$K$5:$AJ$120,0,MATCH(AK$2,Inputs!$K$4:$AJ$4,0)))))</f>
        <v>51</v>
      </c>
      <c r="AL46" s="3">
        <f>AK46</f>
        <v>51</v>
      </c>
    </row>
    <row r="47">
      <c r="B47" s="46" t="n">
        <v>41</v>
      </c>
      <c r="C47" s="28" t="inlineStr">
        <is>
          <t>Retained earnings</t>
        </is>
      </c>
      <c r="D47" s="6">
        <f>IF(ISNA(MATCH(D$2,Inputs!$K$4:$AJ$4,0)),NA(),IF(SUMPRODUCT((Inputs!$A$5:$A$120=$B47)*ISNUMBER(INDEX(Inputs!$K$5:$AJ$120,0,MATCH(D$2,Inputs!$K$4:$AJ$4,0))))+SUMPRODUCT((Inputs!$C$5:$C$120=$B47)*ISNUMBER(INDEX(Inputs!$K$5:$AJ$120,0,MATCH(D$2,Inputs!$K$4:$AJ$4,0))))+SUMPRODUCT((Inputs!$E$5:$E$120=$B47)*ISNUMBER(INDEX(Inputs!$K$5:$AJ$120,0,MATCH(D$2,Inputs!$K$4:$AJ$4,0))))=0,NA(),SUMPRODUCT((Inputs!$A$5:$A$120=$B47)*Inputs!$B$5:$B$120*(((Inputs!$G$5:$G$120="moeda")+(Inputs!$G$5:$G$120="acoes"))*Inputs!$B$1+((Inputs!$G$5:$G$120&lt;&gt;"moeda")*(Inputs!$G$5:$G$120&lt;&gt;"acoes")))*INDEX(Inputs!$K$5:$AJ$120,0,MATCH(D$2,Inputs!$K$4:$AJ$4,0)))+SUMPRODUCT((Inputs!$C$5:$C$120=$B47)*Inputs!$D$5:$D$120*(((Inputs!$G$5:$G$120="moeda")+(Inputs!$G$5:$G$120="acoes"))*Inputs!$B$1+((Inputs!$G$5:$G$120&lt;&gt;"moeda")*(Inputs!$G$5:$G$120&lt;&gt;"acoes")))*INDEX(Inputs!$K$5:$AJ$120,0,MATCH(D$2,Inputs!$K$4:$AJ$4,0)))+SUMPRODUCT((Inputs!$E$5:$E$120=$B47)*Inputs!$F$5:$F$120*(((Inputs!$G$5:$G$120="moeda")+(Inputs!$G$5:$G$120="acoes"))*Inputs!$B$1+((Inputs!$G$5:$G$120&lt;&gt;"moeda")*(Inputs!$G$5:$G$120&lt;&gt;"acoes")))*INDEX(Inputs!$K$5:$AJ$120,0,MATCH(D$2,Inputs!$K$4:$AJ$4,0)))))</f>
        <v>-4750</v>
      </c>
      <c r="E47" s="6">
        <f>IF(ISNA(MATCH(E$2,Inputs!$K$4:$AJ$4,0)),NA(),IF(SUMPRODUCT((Inputs!$A$5:$A$120=$B47)*ISNUMBER(INDEX(Inputs!$K$5:$AJ$120,0,MATCH(E$2,Inputs!$K$4:$AJ$4,0))))+SUMPRODUCT((Inputs!$C$5:$C$120=$B47)*ISNUMBER(INDEX(Inputs!$K$5:$AJ$120,0,MATCH(E$2,Inputs!$K$4:$AJ$4,0))))+SUMPRODUCT((Inputs!$E$5:$E$120=$B47)*ISNUMBER(INDEX(Inputs!$K$5:$AJ$120,0,MATCH(E$2,Inputs!$K$4:$AJ$4,0))))=0,NA(),SUMPRODUCT((Inputs!$A$5:$A$120=$B47)*Inputs!$B$5:$B$120*(((Inputs!$G$5:$G$120="moeda")+(Inputs!$G$5:$G$120="acoes"))*Inputs!$B$1+((Inputs!$G$5:$G$120&lt;&gt;"moeda")*(Inputs!$G$5:$G$120&lt;&gt;"acoes")))*INDEX(Inputs!$K$5:$AJ$120,0,MATCH(E$2,Inputs!$K$4:$AJ$4,0)))+SUMPRODUCT((Inputs!$C$5:$C$120=$B47)*Inputs!$D$5:$D$120*(((Inputs!$G$5:$G$120="moeda")+(Inputs!$G$5:$G$120="acoes"))*Inputs!$B$1+((Inputs!$G$5:$G$120&lt;&gt;"moeda")*(Inputs!$G$5:$G$120&lt;&gt;"acoes")))*INDEX(Inputs!$K$5:$AJ$120,0,MATCH(E$2,Inputs!$K$4:$AJ$4,0)))+SUMPRODUCT((Inputs!$E$5:$E$120=$B47)*Inputs!$F$5:$F$120*(((Inputs!$G$5:$G$120="moeda")+(Inputs!$G$5:$G$120="acoes"))*Inputs!$B$1+((Inputs!$G$5:$G$120&lt;&gt;"moeda")*(Inputs!$G$5:$G$120&lt;&gt;"acoes")))*INDEX(Inputs!$K$5:$AJ$120,0,MATCH(E$2,Inputs!$K$4:$AJ$4,0)))))</f>
        <v>-3608</v>
      </c>
      <c r="F47" s="6">
        <f>IF(ISNA(MATCH(F$2,Inputs!$K$4:$AJ$4,0)),NA(),IF(SUMPRODUCT((Inputs!$A$5:$A$120=$B47)*ISNUMBER(INDEX(Inputs!$K$5:$AJ$120,0,MATCH(F$2,Inputs!$K$4:$AJ$4,0))))+SUMPRODUCT((Inputs!$C$5:$C$120=$B47)*ISNUMBER(INDEX(Inputs!$K$5:$AJ$120,0,MATCH(F$2,Inputs!$K$4:$AJ$4,0))))+SUMPRODUCT((Inputs!$E$5:$E$120=$B47)*ISNUMBER(INDEX(Inputs!$K$5:$AJ$120,0,MATCH(F$2,Inputs!$K$4:$AJ$4,0))))=0,NA(),SUMPRODUCT((Inputs!$A$5:$A$120=$B47)*Inputs!$B$5:$B$120*(((Inputs!$G$5:$G$120="moeda")+(Inputs!$G$5:$G$120="acoes"))*Inputs!$B$1+((Inputs!$G$5:$G$120&lt;&gt;"moeda")*(Inputs!$G$5:$G$120&lt;&gt;"acoes")))*INDEX(Inputs!$K$5:$AJ$120,0,MATCH(F$2,Inputs!$K$4:$AJ$4,0)))+SUMPRODUCT((Inputs!$C$5:$C$120=$B47)*Inputs!$D$5:$D$120*(((Inputs!$G$5:$G$120="moeda")+(Inputs!$G$5:$G$120="acoes"))*Inputs!$B$1+((Inputs!$G$5:$G$120&lt;&gt;"moeda")*(Inputs!$G$5:$G$120&lt;&gt;"acoes")))*INDEX(Inputs!$K$5:$AJ$120,0,MATCH(F$2,Inputs!$K$4:$AJ$4,0)))+SUMPRODUCT((Inputs!$E$5:$E$120=$B47)*Inputs!$F$5:$F$120*(((Inputs!$G$5:$G$120="moeda")+(Inputs!$G$5:$G$120="acoes"))*Inputs!$B$1+((Inputs!$G$5:$G$120&lt;&gt;"moeda")*(Inputs!$G$5:$G$120&lt;&gt;"acoes")))*INDEX(Inputs!$K$5:$AJ$120,0,MATCH(F$2,Inputs!$K$4:$AJ$4,0)))))</f>
        <v>-1990</v>
      </c>
      <c r="G47" s="6">
        <f>IF(ISNA(MATCH(G$2,Inputs!$K$4:$AJ$4,0)),NA(),IF(SUMPRODUCT((Inputs!$A$5:$A$120=$B47)*ISNUMBER(INDEX(Inputs!$K$5:$AJ$120,0,MATCH(G$2,Inputs!$K$4:$AJ$4,0))))+SUMPRODUCT((Inputs!$C$5:$C$120=$B47)*ISNUMBER(INDEX(Inputs!$K$5:$AJ$120,0,MATCH(G$2,Inputs!$K$4:$AJ$4,0))))+SUMPRODUCT((Inputs!$E$5:$E$120=$B47)*ISNUMBER(INDEX(Inputs!$K$5:$AJ$120,0,MATCH(G$2,Inputs!$K$4:$AJ$4,0))))=0,NA(),SUMPRODUCT((Inputs!$A$5:$A$120=$B47)*Inputs!$B$5:$B$120*(((Inputs!$G$5:$G$120="moeda")+(Inputs!$G$5:$G$120="acoes"))*Inputs!$B$1+((Inputs!$G$5:$G$120&lt;&gt;"moeda")*(Inputs!$G$5:$G$120&lt;&gt;"acoes")))*INDEX(Inputs!$K$5:$AJ$120,0,MATCH(G$2,Inputs!$K$4:$AJ$4,0)))+SUMPRODUCT((Inputs!$C$5:$C$120=$B47)*Inputs!$D$5:$D$120*(((Inputs!$G$5:$G$120="moeda")+(Inputs!$G$5:$G$120="acoes"))*Inputs!$B$1+((Inputs!$G$5:$G$120&lt;&gt;"moeda")*(Inputs!$G$5:$G$120&lt;&gt;"acoes")))*INDEX(Inputs!$K$5:$AJ$120,0,MATCH(G$2,Inputs!$K$4:$AJ$4,0)))+SUMPRODUCT((Inputs!$E$5:$E$120=$B47)*Inputs!$F$5:$F$120*(((Inputs!$G$5:$G$120="moeda")+(Inputs!$G$5:$G$120="acoes"))*Inputs!$B$1+((Inputs!$G$5:$G$120&lt;&gt;"moeda")*(Inputs!$G$5:$G$120&lt;&gt;"acoes")))*INDEX(Inputs!$K$5:$AJ$120,0,MATCH(G$2,Inputs!$K$4:$AJ$4,0)))))</f>
        <v>331</v>
      </c>
      <c r="H47" s="3">
        <f>G47</f>
        <v>331</v>
      </c>
      <c r="I47" s="6">
        <f>IF(ISNA(MATCH(I$2,Inputs!$K$4:$AJ$4,0)),NA(),IF(SUMPRODUCT((Inputs!$A$5:$A$120=$B47)*ISNUMBER(INDEX(Inputs!$K$5:$AJ$120,0,MATCH(I$2,Inputs!$K$4:$AJ$4,0))))+SUMPRODUCT((Inputs!$C$5:$C$120=$B47)*ISNUMBER(INDEX(Inputs!$K$5:$AJ$120,0,MATCH(I$2,Inputs!$K$4:$AJ$4,0))))+SUMPRODUCT((Inputs!$E$5:$E$120=$B47)*ISNUMBER(INDEX(Inputs!$K$5:$AJ$120,0,MATCH(I$2,Inputs!$K$4:$AJ$4,0))))=0,NA(),SUMPRODUCT((Inputs!$A$5:$A$120=$B47)*Inputs!$B$5:$B$120*(((Inputs!$G$5:$G$120="moeda")+(Inputs!$G$5:$G$120="acoes"))*Inputs!$B$1+((Inputs!$G$5:$G$120&lt;&gt;"moeda")*(Inputs!$G$5:$G$120&lt;&gt;"acoes")))*INDEX(Inputs!$K$5:$AJ$120,0,MATCH(I$2,Inputs!$K$4:$AJ$4,0)))+SUMPRODUCT((Inputs!$C$5:$C$120=$B47)*Inputs!$D$5:$D$120*(((Inputs!$G$5:$G$120="moeda")+(Inputs!$G$5:$G$120="acoes"))*Inputs!$B$1+((Inputs!$G$5:$G$120&lt;&gt;"moeda")*(Inputs!$G$5:$G$120&lt;&gt;"acoes")))*INDEX(Inputs!$K$5:$AJ$120,0,MATCH(I$2,Inputs!$K$4:$AJ$4,0)))+SUMPRODUCT((Inputs!$E$5:$E$120=$B47)*Inputs!$F$5:$F$120*(((Inputs!$G$5:$G$120="moeda")+(Inputs!$G$5:$G$120="acoes"))*Inputs!$B$1+((Inputs!$G$5:$G$120&lt;&gt;"moeda")*(Inputs!$G$5:$G$120&lt;&gt;"acoes")))*INDEX(Inputs!$K$5:$AJ$120,0,MATCH(I$2,Inputs!$K$4:$AJ$4,0)))))</f>
        <v>3649</v>
      </c>
      <c r="J47" s="6">
        <f>IF(ISNA(MATCH(J$2,Inputs!$K$4:$AJ$4,0)),NA(),IF(SUMPRODUCT((Inputs!$A$5:$A$120=$B47)*ISNUMBER(INDEX(Inputs!$K$5:$AJ$120,0,MATCH(J$2,Inputs!$K$4:$AJ$4,0))))+SUMPRODUCT((Inputs!$C$5:$C$120=$B47)*ISNUMBER(INDEX(Inputs!$K$5:$AJ$120,0,MATCH(J$2,Inputs!$K$4:$AJ$4,0))))+SUMPRODUCT((Inputs!$E$5:$E$120=$B47)*ISNUMBER(INDEX(Inputs!$K$5:$AJ$120,0,MATCH(J$2,Inputs!$K$4:$AJ$4,0))))=0,NA(),SUMPRODUCT((Inputs!$A$5:$A$120=$B47)*Inputs!$B$5:$B$120*(((Inputs!$G$5:$G$120="moeda")+(Inputs!$G$5:$G$120="acoes"))*Inputs!$B$1+((Inputs!$G$5:$G$120&lt;&gt;"moeda")*(Inputs!$G$5:$G$120&lt;&gt;"acoes")))*INDEX(Inputs!$K$5:$AJ$120,0,MATCH(J$2,Inputs!$K$4:$AJ$4,0)))+SUMPRODUCT((Inputs!$C$5:$C$120=$B47)*Inputs!$D$5:$D$120*(((Inputs!$G$5:$G$120="moeda")+(Inputs!$G$5:$G$120="acoes"))*Inputs!$B$1+((Inputs!$G$5:$G$120&lt;&gt;"moeda")*(Inputs!$G$5:$G$120&lt;&gt;"acoes")))*INDEX(Inputs!$K$5:$AJ$120,0,MATCH(J$2,Inputs!$K$4:$AJ$4,0)))+SUMPRODUCT((Inputs!$E$5:$E$120=$B47)*Inputs!$F$5:$F$120*(((Inputs!$G$5:$G$120="moeda")+(Inputs!$G$5:$G$120="acoes"))*Inputs!$B$1+((Inputs!$G$5:$G$120&lt;&gt;"moeda")*(Inputs!$G$5:$G$120&lt;&gt;"acoes")))*INDEX(Inputs!$K$5:$AJ$120,0,MATCH(J$2,Inputs!$K$4:$AJ$4,0)))))</f>
        <v>5908</v>
      </c>
      <c r="K47" s="6">
        <f>IF(ISNA(MATCH(K$2,Inputs!$K$4:$AJ$4,0)),NA(),IF(SUMPRODUCT((Inputs!$A$5:$A$120=$B47)*ISNUMBER(INDEX(Inputs!$K$5:$AJ$120,0,MATCH(K$2,Inputs!$K$4:$AJ$4,0))))+SUMPRODUCT((Inputs!$C$5:$C$120=$B47)*ISNUMBER(INDEX(Inputs!$K$5:$AJ$120,0,MATCH(K$2,Inputs!$K$4:$AJ$4,0))))+SUMPRODUCT((Inputs!$E$5:$E$120=$B47)*ISNUMBER(INDEX(Inputs!$K$5:$AJ$120,0,MATCH(K$2,Inputs!$K$4:$AJ$4,0))))=0,NA(),SUMPRODUCT((Inputs!$A$5:$A$120=$B47)*Inputs!$B$5:$B$120*(((Inputs!$G$5:$G$120="moeda")+(Inputs!$G$5:$G$120="acoes"))*Inputs!$B$1+((Inputs!$G$5:$G$120&lt;&gt;"moeda")*(Inputs!$G$5:$G$120&lt;&gt;"acoes")))*INDEX(Inputs!$K$5:$AJ$120,0,MATCH(K$2,Inputs!$K$4:$AJ$4,0)))+SUMPRODUCT((Inputs!$C$5:$C$120=$B47)*Inputs!$D$5:$D$120*(((Inputs!$G$5:$G$120="moeda")+(Inputs!$G$5:$G$120="acoes"))*Inputs!$B$1+((Inputs!$G$5:$G$120&lt;&gt;"moeda")*(Inputs!$G$5:$G$120&lt;&gt;"acoes")))*INDEX(Inputs!$K$5:$AJ$120,0,MATCH(K$2,Inputs!$K$4:$AJ$4,0)))+SUMPRODUCT((Inputs!$E$5:$E$120=$B47)*Inputs!$F$5:$F$120*(((Inputs!$G$5:$G$120="moeda")+(Inputs!$G$5:$G$120="acoes"))*Inputs!$B$1+((Inputs!$G$5:$G$120&lt;&gt;"moeda")*(Inputs!$G$5:$G$120&lt;&gt;"acoes")))*INDEX(Inputs!$K$5:$AJ$120,0,MATCH(K$2,Inputs!$K$4:$AJ$4,0)))))</f>
        <v>9198</v>
      </c>
      <c r="L47" s="6">
        <f>IF(ISNA(MATCH(L$2,Inputs!$K$4:$AJ$4,0)),NA(),IF(SUMPRODUCT((Inputs!$A$5:$A$120=$B47)*ISNUMBER(INDEX(Inputs!$K$5:$AJ$120,0,MATCH(L$2,Inputs!$K$4:$AJ$4,0))))+SUMPRODUCT((Inputs!$C$5:$C$120=$B47)*ISNUMBER(INDEX(Inputs!$K$5:$AJ$120,0,MATCH(L$2,Inputs!$K$4:$AJ$4,0))))+SUMPRODUCT((Inputs!$E$5:$E$120=$B47)*ISNUMBER(INDEX(Inputs!$K$5:$AJ$120,0,MATCH(L$2,Inputs!$K$4:$AJ$4,0))))=0,NA(),SUMPRODUCT((Inputs!$A$5:$A$120=$B47)*Inputs!$B$5:$B$120*(((Inputs!$G$5:$G$120="moeda")+(Inputs!$G$5:$G$120="acoes"))*Inputs!$B$1+((Inputs!$G$5:$G$120&lt;&gt;"moeda")*(Inputs!$G$5:$G$120&lt;&gt;"acoes")))*INDEX(Inputs!$K$5:$AJ$120,0,MATCH(L$2,Inputs!$K$4:$AJ$4,0)))+SUMPRODUCT((Inputs!$C$5:$C$120=$B47)*Inputs!$D$5:$D$120*(((Inputs!$G$5:$G$120="moeda")+(Inputs!$G$5:$G$120="acoes"))*Inputs!$B$1+((Inputs!$G$5:$G$120&lt;&gt;"moeda")*(Inputs!$G$5:$G$120&lt;&gt;"acoes")))*INDEX(Inputs!$K$5:$AJ$120,0,MATCH(L$2,Inputs!$K$4:$AJ$4,0)))+SUMPRODUCT((Inputs!$E$5:$E$120=$B47)*Inputs!$F$5:$F$120*(((Inputs!$G$5:$G$120="moeda")+(Inputs!$G$5:$G$120="acoes"))*Inputs!$B$1+((Inputs!$G$5:$G$120&lt;&gt;"moeda")*(Inputs!$G$5:$G$120&lt;&gt;"acoes")))*INDEX(Inputs!$K$5:$AJ$120,0,MATCH(L$2,Inputs!$K$4:$AJ$4,0)))))</f>
        <v>12885</v>
      </c>
      <c r="M47" s="3">
        <f>L47</f>
        <v>12885</v>
      </c>
      <c r="N47" s="6">
        <f>IF(ISNA(MATCH(N$2,Inputs!$K$4:$AJ$4,0)),NA(),IF(SUMPRODUCT((Inputs!$A$5:$A$120=$B47)*ISNUMBER(INDEX(Inputs!$K$5:$AJ$120,0,MATCH(N$2,Inputs!$K$4:$AJ$4,0))))+SUMPRODUCT((Inputs!$C$5:$C$120=$B47)*ISNUMBER(INDEX(Inputs!$K$5:$AJ$120,0,MATCH(N$2,Inputs!$K$4:$AJ$4,0))))+SUMPRODUCT((Inputs!$E$5:$E$120=$B47)*ISNUMBER(INDEX(Inputs!$K$5:$AJ$120,0,MATCH(N$2,Inputs!$K$4:$AJ$4,0))))=0,NA(),SUMPRODUCT((Inputs!$A$5:$A$120=$B47)*Inputs!$B$5:$B$120*(((Inputs!$G$5:$G$120="moeda")+(Inputs!$G$5:$G$120="acoes"))*Inputs!$B$1+((Inputs!$G$5:$G$120&lt;&gt;"moeda")*(Inputs!$G$5:$G$120&lt;&gt;"acoes")))*INDEX(Inputs!$K$5:$AJ$120,0,MATCH(N$2,Inputs!$K$4:$AJ$4,0)))+SUMPRODUCT((Inputs!$C$5:$C$120=$B47)*Inputs!$D$5:$D$120*(((Inputs!$G$5:$G$120="moeda")+(Inputs!$G$5:$G$120="acoes"))*Inputs!$B$1+((Inputs!$G$5:$G$120&lt;&gt;"moeda")*(Inputs!$G$5:$G$120&lt;&gt;"acoes")))*INDEX(Inputs!$K$5:$AJ$120,0,MATCH(N$2,Inputs!$K$4:$AJ$4,0)))+SUMPRODUCT((Inputs!$E$5:$E$120=$B47)*Inputs!$F$5:$F$120*(((Inputs!$G$5:$G$120="moeda")+(Inputs!$G$5:$G$120="acoes"))*Inputs!$B$1+((Inputs!$G$5:$G$120&lt;&gt;"moeda")*(Inputs!$G$5:$G$120&lt;&gt;"acoes")))*INDEX(Inputs!$K$5:$AJ$120,0,MATCH(N$2,Inputs!$K$4:$AJ$4,0)))))</f>
        <v>15398</v>
      </c>
      <c r="O47" s="6">
        <f>IF(ISNA(MATCH(O$2,Inputs!$K$4:$AJ$4,0)),NA(),IF(SUMPRODUCT((Inputs!$A$5:$A$120=$B47)*ISNUMBER(INDEX(Inputs!$K$5:$AJ$120,0,MATCH(O$2,Inputs!$K$4:$AJ$4,0))))+SUMPRODUCT((Inputs!$C$5:$C$120=$B47)*ISNUMBER(INDEX(Inputs!$K$5:$AJ$120,0,MATCH(O$2,Inputs!$K$4:$AJ$4,0))))+SUMPRODUCT((Inputs!$E$5:$E$120=$B47)*ISNUMBER(INDEX(Inputs!$K$5:$AJ$120,0,MATCH(O$2,Inputs!$K$4:$AJ$4,0))))=0,NA(),SUMPRODUCT((Inputs!$A$5:$A$120=$B47)*Inputs!$B$5:$B$120*(((Inputs!$G$5:$G$120="moeda")+(Inputs!$G$5:$G$120="acoes"))*Inputs!$B$1+((Inputs!$G$5:$G$120&lt;&gt;"moeda")*(Inputs!$G$5:$G$120&lt;&gt;"acoes")))*INDEX(Inputs!$K$5:$AJ$120,0,MATCH(O$2,Inputs!$K$4:$AJ$4,0)))+SUMPRODUCT((Inputs!$C$5:$C$120=$B47)*Inputs!$D$5:$D$120*(((Inputs!$G$5:$G$120="moeda")+(Inputs!$G$5:$G$120="acoes"))*Inputs!$B$1+((Inputs!$G$5:$G$120&lt;&gt;"moeda")*(Inputs!$G$5:$G$120&lt;&gt;"acoes")))*INDEX(Inputs!$K$5:$AJ$120,0,MATCH(O$2,Inputs!$K$4:$AJ$4,0)))+SUMPRODUCT((Inputs!$E$5:$E$120=$B47)*Inputs!$F$5:$F$120*(((Inputs!$G$5:$G$120="moeda")+(Inputs!$G$5:$G$120="acoes"))*Inputs!$B$1+((Inputs!$G$5:$G$120&lt;&gt;"moeda")*(Inputs!$G$5:$G$120&lt;&gt;"acoes")))*INDEX(Inputs!$K$5:$AJ$120,0,MATCH(O$2,Inputs!$K$4:$AJ$4,0)))))</f>
        <v>18101</v>
      </c>
      <c r="P47" s="6">
        <f>IF(ISNA(MATCH(P$2,Inputs!$K$4:$AJ$4,0)),NA(),IF(SUMPRODUCT((Inputs!$A$5:$A$120=$B47)*ISNUMBER(INDEX(Inputs!$K$5:$AJ$120,0,MATCH(P$2,Inputs!$K$4:$AJ$4,0))))+SUMPRODUCT((Inputs!$C$5:$C$120=$B47)*ISNUMBER(INDEX(Inputs!$K$5:$AJ$120,0,MATCH(P$2,Inputs!$K$4:$AJ$4,0))))+SUMPRODUCT((Inputs!$E$5:$E$120=$B47)*ISNUMBER(INDEX(Inputs!$K$5:$AJ$120,0,MATCH(P$2,Inputs!$K$4:$AJ$4,0))))=0,NA(),SUMPRODUCT((Inputs!$A$5:$A$120=$B47)*Inputs!$B$5:$B$120*(((Inputs!$G$5:$G$120="moeda")+(Inputs!$G$5:$G$120="acoes"))*Inputs!$B$1+((Inputs!$G$5:$G$120&lt;&gt;"moeda")*(Inputs!$G$5:$G$120&lt;&gt;"acoes")))*INDEX(Inputs!$K$5:$AJ$120,0,MATCH(P$2,Inputs!$K$4:$AJ$4,0)))+SUMPRODUCT((Inputs!$C$5:$C$120=$B47)*Inputs!$D$5:$D$120*(((Inputs!$G$5:$G$120="moeda")+(Inputs!$G$5:$G$120="acoes"))*Inputs!$B$1+((Inputs!$G$5:$G$120&lt;&gt;"moeda")*(Inputs!$G$5:$G$120&lt;&gt;"acoes")))*INDEX(Inputs!$K$5:$AJ$120,0,MATCH(P$2,Inputs!$K$4:$AJ$4,0)))+SUMPRODUCT((Inputs!$E$5:$E$120=$B47)*Inputs!$F$5:$F$120*(((Inputs!$G$5:$G$120="moeda")+(Inputs!$G$5:$G$120="acoes"))*Inputs!$B$1+((Inputs!$G$5:$G$120&lt;&gt;"moeda")*(Inputs!$G$5:$G$120&lt;&gt;"acoes")))*INDEX(Inputs!$K$5:$AJ$120,0,MATCH(P$2,Inputs!$K$4:$AJ$4,0)))))</f>
        <v>19954</v>
      </c>
      <c r="Q47" s="6">
        <f>IF(ISNA(MATCH(Q$2,Inputs!$K$4:$AJ$4,0)),NA(),IF(SUMPRODUCT((Inputs!$A$5:$A$120=$B47)*ISNUMBER(INDEX(Inputs!$K$5:$AJ$120,0,MATCH(Q$2,Inputs!$K$4:$AJ$4,0))))+SUMPRODUCT((Inputs!$C$5:$C$120=$B47)*ISNUMBER(INDEX(Inputs!$K$5:$AJ$120,0,MATCH(Q$2,Inputs!$K$4:$AJ$4,0))))+SUMPRODUCT((Inputs!$E$5:$E$120=$B47)*ISNUMBER(INDEX(Inputs!$K$5:$AJ$120,0,MATCH(Q$2,Inputs!$K$4:$AJ$4,0))))=0,NA(),SUMPRODUCT((Inputs!$A$5:$A$120=$B47)*Inputs!$B$5:$B$120*(((Inputs!$G$5:$G$120="moeda")+(Inputs!$G$5:$G$120="acoes"))*Inputs!$B$1+((Inputs!$G$5:$G$120&lt;&gt;"moeda")*(Inputs!$G$5:$G$120&lt;&gt;"acoes")))*INDEX(Inputs!$K$5:$AJ$120,0,MATCH(Q$2,Inputs!$K$4:$AJ$4,0)))+SUMPRODUCT((Inputs!$C$5:$C$120=$B47)*Inputs!$D$5:$D$120*(((Inputs!$G$5:$G$120="moeda")+(Inputs!$G$5:$G$120="acoes"))*Inputs!$B$1+((Inputs!$G$5:$G$120&lt;&gt;"moeda")*(Inputs!$G$5:$G$120&lt;&gt;"acoes")))*INDEX(Inputs!$K$5:$AJ$120,0,MATCH(Q$2,Inputs!$K$4:$AJ$4,0)))+SUMPRODUCT((Inputs!$E$5:$E$120=$B47)*Inputs!$F$5:$F$120*(((Inputs!$G$5:$G$120="moeda")+(Inputs!$G$5:$G$120="acoes"))*Inputs!$B$1+((Inputs!$G$5:$G$120&lt;&gt;"moeda")*(Inputs!$G$5:$G$120&lt;&gt;"acoes")))*INDEX(Inputs!$K$5:$AJ$120,0,MATCH(Q$2,Inputs!$K$4:$AJ$4,0)))))</f>
        <v>27882</v>
      </c>
      <c r="R47" s="3">
        <f>Q47</f>
        <v>27882</v>
      </c>
      <c r="S47" s="6">
        <f>IF(ISNA(MATCH(S$2,Inputs!$K$4:$AJ$4,0)),NA(),IF(SUMPRODUCT((Inputs!$A$5:$A$120=$B47)*ISNUMBER(INDEX(Inputs!$K$5:$AJ$120,0,MATCH(S$2,Inputs!$K$4:$AJ$4,0))))+SUMPRODUCT((Inputs!$C$5:$C$120=$B47)*ISNUMBER(INDEX(Inputs!$K$5:$AJ$120,0,MATCH(S$2,Inputs!$K$4:$AJ$4,0))))+SUMPRODUCT((Inputs!$E$5:$E$120=$B47)*ISNUMBER(INDEX(Inputs!$K$5:$AJ$120,0,MATCH(S$2,Inputs!$K$4:$AJ$4,0))))=0,NA(),SUMPRODUCT((Inputs!$A$5:$A$120=$B47)*Inputs!$B$5:$B$120*(((Inputs!$G$5:$G$120="moeda")+(Inputs!$G$5:$G$120="acoes"))*Inputs!$B$1+((Inputs!$G$5:$G$120&lt;&gt;"moeda")*(Inputs!$G$5:$G$120&lt;&gt;"acoes")))*INDEX(Inputs!$K$5:$AJ$120,0,MATCH(S$2,Inputs!$K$4:$AJ$4,0)))+SUMPRODUCT((Inputs!$C$5:$C$120=$B47)*Inputs!$D$5:$D$120*(((Inputs!$G$5:$G$120="moeda")+(Inputs!$G$5:$G$120="acoes"))*Inputs!$B$1+((Inputs!$G$5:$G$120&lt;&gt;"moeda")*(Inputs!$G$5:$G$120&lt;&gt;"acoes")))*INDEX(Inputs!$K$5:$AJ$120,0,MATCH(S$2,Inputs!$K$4:$AJ$4,0)))+SUMPRODUCT((Inputs!$E$5:$E$120=$B47)*Inputs!$F$5:$F$120*(((Inputs!$G$5:$G$120="moeda")+(Inputs!$G$5:$G$120="acoes"))*Inputs!$B$1+((Inputs!$G$5:$G$120&lt;&gt;"moeda")*(Inputs!$G$5:$G$120&lt;&gt;"acoes")))*INDEX(Inputs!$K$5:$AJ$120,0,MATCH(S$2,Inputs!$K$4:$AJ$4,0)))))</f>
        <v>29011</v>
      </c>
      <c r="T47" s="6">
        <f>IF(ISNA(MATCH(T$2,Inputs!$K$4:$AJ$4,0)),NA(),IF(SUMPRODUCT((Inputs!$A$5:$A$120=$B47)*ISNUMBER(INDEX(Inputs!$K$5:$AJ$120,0,MATCH(T$2,Inputs!$K$4:$AJ$4,0))))+SUMPRODUCT((Inputs!$C$5:$C$120=$B47)*ISNUMBER(INDEX(Inputs!$K$5:$AJ$120,0,MATCH(T$2,Inputs!$K$4:$AJ$4,0))))+SUMPRODUCT((Inputs!$E$5:$E$120=$B47)*ISNUMBER(INDEX(Inputs!$K$5:$AJ$120,0,MATCH(T$2,Inputs!$K$4:$AJ$4,0))))=0,NA(),SUMPRODUCT((Inputs!$A$5:$A$120=$B47)*Inputs!$B$5:$B$120*(((Inputs!$G$5:$G$120="moeda")+(Inputs!$G$5:$G$120="acoes"))*Inputs!$B$1+((Inputs!$G$5:$G$120&lt;&gt;"moeda")*(Inputs!$G$5:$G$120&lt;&gt;"acoes")))*INDEX(Inputs!$K$5:$AJ$120,0,MATCH(T$2,Inputs!$K$4:$AJ$4,0)))+SUMPRODUCT((Inputs!$C$5:$C$120=$B47)*Inputs!$D$5:$D$120*(((Inputs!$G$5:$G$120="moeda")+(Inputs!$G$5:$G$120="acoes"))*Inputs!$B$1+((Inputs!$G$5:$G$120&lt;&gt;"moeda")*(Inputs!$G$5:$G$120&lt;&gt;"acoes")))*INDEX(Inputs!$K$5:$AJ$120,0,MATCH(T$2,Inputs!$K$4:$AJ$4,0)))+SUMPRODUCT((Inputs!$E$5:$E$120=$B47)*Inputs!$F$5:$F$120*(((Inputs!$G$5:$G$120="moeda")+(Inputs!$G$5:$G$120="acoes"))*Inputs!$B$1+((Inputs!$G$5:$G$120&lt;&gt;"moeda")*(Inputs!$G$5:$G$120&lt;&gt;"acoes")))*INDEX(Inputs!$K$5:$AJ$120,0,MATCH(T$2,Inputs!$K$4:$AJ$4,0)))))</f>
        <v>30489</v>
      </c>
      <c r="U47" s="6">
        <f>IF(ISNA(MATCH(U$2,Inputs!$K$4:$AJ$4,0)),NA(),IF(SUMPRODUCT((Inputs!$A$5:$A$120=$B47)*ISNUMBER(INDEX(Inputs!$K$5:$AJ$120,0,MATCH(U$2,Inputs!$K$4:$AJ$4,0))))+SUMPRODUCT((Inputs!$C$5:$C$120=$B47)*ISNUMBER(INDEX(Inputs!$K$5:$AJ$120,0,MATCH(U$2,Inputs!$K$4:$AJ$4,0))))+SUMPRODUCT((Inputs!$E$5:$E$120=$B47)*ISNUMBER(INDEX(Inputs!$K$5:$AJ$120,0,MATCH(U$2,Inputs!$K$4:$AJ$4,0))))=0,NA(),SUMPRODUCT((Inputs!$A$5:$A$120=$B47)*Inputs!$B$5:$B$120*(((Inputs!$G$5:$G$120="moeda")+(Inputs!$G$5:$G$120="acoes"))*Inputs!$B$1+((Inputs!$G$5:$G$120&lt;&gt;"moeda")*(Inputs!$G$5:$G$120&lt;&gt;"acoes")))*INDEX(Inputs!$K$5:$AJ$120,0,MATCH(U$2,Inputs!$K$4:$AJ$4,0)))+SUMPRODUCT((Inputs!$C$5:$C$120=$B47)*Inputs!$D$5:$D$120*(((Inputs!$G$5:$G$120="moeda")+(Inputs!$G$5:$G$120="acoes"))*Inputs!$B$1+((Inputs!$G$5:$G$120&lt;&gt;"moeda")*(Inputs!$G$5:$G$120&lt;&gt;"acoes")))*INDEX(Inputs!$K$5:$AJ$120,0,MATCH(U$2,Inputs!$K$4:$AJ$4,0)))+SUMPRODUCT((Inputs!$E$5:$E$120=$B47)*Inputs!$F$5:$F$120*(((Inputs!$G$5:$G$120="moeda")+(Inputs!$G$5:$G$120="acoes"))*Inputs!$B$1+((Inputs!$G$5:$G$120&lt;&gt;"moeda")*(Inputs!$G$5:$G$120&lt;&gt;"acoes")))*INDEX(Inputs!$K$5:$AJ$120,0,MATCH(U$2,Inputs!$K$4:$AJ$4,0)))))</f>
        <v>32656</v>
      </c>
      <c r="V47" s="6">
        <f>IF(ISNA(MATCH(V$2,Inputs!$K$4:$AJ$4,0)),NA(),IF(SUMPRODUCT((Inputs!$A$5:$A$120=$B47)*ISNUMBER(INDEX(Inputs!$K$5:$AJ$120,0,MATCH(V$2,Inputs!$K$4:$AJ$4,0))))+SUMPRODUCT((Inputs!$C$5:$C$120=$B47)*ISNUMBER(INDEX(Inputs!$K$5:$AJ$120,0,MATCH(V$2,Inputs!$K$4:$AJ$4,0))))+SUMPRODUCT((Inputs!$E$5:$E$120=$B47)*ISNUMBER(INDEX(Inputs!$K$5:$AJ$120,0,MATCH(V$2,Inputs!$K$4:$AJ$4,0))))=0,NA(),SUMPRODUCT((Inputs!$A$5:$A$120=$B47)*Inputs!$B$5:$B$120*(((Inputs!$G$5:$G$120="moeda")+(Inputs!$G$5:$G$120="acoes"))*Inputs!$B$1+((Inputs!$G$5:$G$120&lt;&gt;"moeda")*(Inputs!$G$5:$G$120&lt;&gt;"acoes")))*INDEX(Inputs!$K$5:$AJ$120,0,MATCH(V$2,Inputs!$K$4:$AJ$4,0)))+SUMPRODUCT((Inputs!$C$5:$C$120=$B47)*Inputs!$D$5:$D$120*(((Inputs!$G$5:$G$120="moeda")+(Inputs!$G$5:$G$120="acoes"))*Inputs!$B$1+((Inputs!$G$5:$G$120&lt;&gt;"moeda")*(Inputs!$G$5:$G$120&lt;&gt;"acoes")))*INDEX(Inputs!$K$5:$AJ$120,0,MATCH(V$2,Inputs!$K$4:$AJ$4,0)))+SUMPRODUCT((Inputs!$E$5:$E$120=$B47)*Inputs!$F$5:$F$120*(((Inputs!$G$5:$G$120="moeda")+(Inputs!$G$5:$G$120="acoes"))*Inputs!$B$1+((Inputs!$G$5:$G$120&lt;&gt;"moeda")*(Inputs!$G$5:$G$120&lt;&gt;"acoes")))*INDEX(Inputs!$K$5:$AJ$120,0,MATCH(V$2,Inputs!$K$4:$AJ$4,0)))))</f>
        <v>35209</v>
      </c>
      <c r="W47" s="3">
        <f>V47</f>
        <v>35209</v>
      </c>
      <c r="X47" s="6">
        <f>IF(ISNA(MATCH(X$2,Inputs!$K$4:$AJ$4,0)),NA(),IF(SUMPRODUCT((Inputs!$A$5:$A$120=$B47)*ISNUMBER(INDEX(Inputs!$K$5:$AJ$120,0,MATCH(X$2,Inputs!$K$4:$AJ$4,0))))+SUMPRODUCT((Inputs!$C$5:$C$120=$B47)*ISNUMBER(INDEX(Inputs!$K$5:$AJ$120,0,MATCH(X$2,Inputs!$K$4:$AJ$4,0))))+SUMPRODUCT((Inputs!$E$5:$E$120=$B47)*ISNUMBER(INDEX(Inputs!$K$5:$AJ$120,0,MATCH(X$2,Inputs!$K$4:$AJ$4,0))))=0,NA(),SUMPRODUCT((Inputs!$A$5:$A$120=$B47)*Inputs!$B$5:$B$120*(((Inputs!$G$5:$G$120="moeda")+(Inputs!$G$5:$G$120="acoes"))*Inputs!$B$1+((Inputs!$G$5:$G$120&lt;&gt;"moeda")*(Inputs!$G$5:$G$120&lt;&gt;"acoes")))*INDEX(Inputs!$K$5:$AJ$120,0,MATCH(X$2,Inputs!$K$4:$AJ$4,0)))+SUMPRODUCT((Inputs!$C$5:$C$120=$B47)*Inputs!$D$5:$D$120*(((Inputs!$G$5:$G$120="moeda")+(Inputs!$G$5:$G$120="acoes"))*Inputs!$B$1+((Inputs!$G$5:$G$120&lt;&gt;"moeda")*(Inputs!$G$5:$G$120&lt;&gt;"acoes")))*INDEX(Inputs!$K$5:$AJ$120,0,MATCH(X$2,Inputs!$K$4:$AJ$4,0)))+SUMPRODUCT((Inputs!$E$5:$E$120=$B47)*Inputs!$F$5:$F$120*(((Inputs!$G$5:$G$120="moeda")+(Inputs!$G$5:$G$120="acoes"))*Inputs!$B$1+((Inputs!$G$5:$G$120&lt;&gt;"moeda")*(Inputs!$G$5:$G$120&lt;&gt;"acoes")))*INDEX(Inputs!$K$5:$AJ$120,0,MATCH(X$2,Inputs!$K$4:$AJ$4,0)))))</f>
        <v>35618</v>
      </c>
      <c r="Y47" s="6">
        <f>IF(ISNA(MATCH(Y$2,Inputs!$K$4:$AJ$4,0)),NA(),IF(SUMPRODUCT((Inputs!$A$5:$A$120=$B47)*ISNUMBER(INDEX(Inputs!$K$5:$AJ$120,0,MATCH(Y$2,Inputs!$K$4:$AJ$4,0))))+SUMPRODUCT((Inputs!$C$5:$C$120=$B47)*ISNUMBER(INDEX(Inputs!$K$5:$AJ$120,0,MATCH(Y$2,Inputs!$K$4:$AJ$4,0))))+SUMPRODUCT((Inputs!$E$5:$E$120=$B47)*ISNUMBER(INDEX(Inputs!$K$5:$AJ$120,0,MATCH(Y$2,Inputs!$K$4:$AJ$4,0))))=0,NA(),SUMPRODUCT((Inputs!$A$5:$A$120=$B47)*Inputs!$B$5:$B$120*(((Inputs!$G$5:$G$120="moeda")+(Inputs!$G$5:$G$120="acoes"))*Inputs!$B$1+((Inputs!$G$5:$G$120&lt;&gt;"moeda")*(Inputs!$G$5:$G$120&lt;&gt;"acoes")))*INDEX(Inputs!$K$5:$AJ$120,0,MATCH(Y$2,Inputs!$K$4:$AJ$4,0)))+SUMPRODUCT((Inputs!$C$5:$C$120=$B47)*Inputs!$D$5:$D$120*(((Inputs!$G$5:$G$120="moeda")+(Inputs!$G$5:$G$120="acoes"))*Inputs!$B$1+((Inputs!$G$5:$G$120&lt;&gt;"moeda")*(Inputs!$G$5:$G$120&lt;&gt;"acoes")))*INDEX(Inputs!$K$5:$AJ$120,0,MATCH(Y$2,Inputs!$K$4:$AJ$4,0)))+SUMPRODUCT((Inputs!$E$5:$E$120=$B47)*Inputs!$F$5:$F$120*(((Inputs!$G$5:$G$120="moeda")+(Inputs!$G$5:$G$120="acoes"))*Inputs!$B$1+((Inputs!$G$5:$G$120&lt;&gt;"moeda")*(Inputs!$G$5:$G$120&lt;&gt;"acoes")))*INDEX(Inputs!$K$5:$AJ$120,0,MATCH(Y$2,Inputs!$K$4:$AJ$4,0)))))</f>
        <v>36790</v>
      </c>
      <c r="Z47" s="6">
        <f>IF(ISNA(MATCH(Z$2,Inputs!$K$4:$AJ$4,0)),NA(),IF(SUMPRODUCT((Inputs!$A$5:$A$120=$B47)*ISNUMBER(INDEX(Inputs!$K$5:$AJ$120,0,MATCH(Z$2,Inputs!$K$4:$AJ$4,0))))+SUMPRODUCT((Inputs!$C$5:$C$120=$B47)*ISNUMBER(INDEX(Inputs!$K$5:$AJ$120,0,MATCH(Z$2,Inputs!$K$4:$AJ$4,0))))+SUMPRODUCT((Inputs!$E$5:$E$120=$B47)*ISNUMBER(INDEX(Inputs!$K$5:$AJ$120,0,MATCH(Z$2,Inputs!$K$4:$AJ$4,0))))=0,NA(),SUMPRODUCT((Inputs!$A$5:$A$120=$B47)*Inputs!$B$5:$B$120*(((Inputs!$G$5:$G$120="moeda")+(Inputs!$G$5:$G$120="acoes"))*Inputs!$B$1+((Inputs!$G$5:$G$120&lt;&gt;"moeda")*(Inputs!$G$5:$G$120&lt;&gt;"acoes")))*INDEX(Inputs!$K$5:$AJ$120,0,MATCH(Z$2,Inputs!$K$4:$AJ$4,0)))+SUMPRODUCT((Inputs!$C$5:$C$120=$B47)*Inputs!$D$5:$D$120*(((Inputs!$G$5:$G$120="moeda")+(Inputs!$G$5:$G$120="acoes"))*Inputs!$B$1+((Inputs!$G$5:$G$120&lt;&gt;"moeda")*(Inputs!$G$5:$G$120&lt;&gt;"acoes")))*INDEX(Inputs!$K$5:$AJ$120,0,MATCH(Z$2,Inputs!$K$4:$AJ$4,0)))+SUMPRODUCT((Inputs!$E$5:$E$120=$B47)*Inputs!$F$5:$F$120*(((Inputs!$G$5:$G$120="moeda")+(Inputs!$G$5:$G$120="acoes"))*Inputs!$B$1+((Inputs!$G$5:$G$120&lt;&gt;"moeda")*(Inputs!$G$5:$G$120&lt;&gt;"acoes")))*INDEX(Inputs!$K$5:$AJ$120,0,MATCH(Z$2,Inputs!$K$4:$AJ$4,0)))))</f>
        <v>38163</v>
      </c>
      <c r="AA47" s="6">
        <f>IF(ISNA(MATCH(AA$2,Inputs!$K$4:$AJ$4,0)),NA(),IF(SUMPRODUCT((Inputs!$A$5:$A$120=$B47)*ISNUMBER(INDEX(Inputs!$K$5:$AJ$120,0,MATCH(AA$2,Inputs!$K$4:$AJ$4,0))))+SUMPRODUCT((Inputs!$C$5:$C$120=$B47)*ISNUMBER(INDEX(Inputs!$K$5:$AJ$120,0,MATCH(AA$2,Inputs!$K$4:$AJ$4,0))))+SUMPRODUCT((Inputs!$E$5:$E$120=$B47)*ISNUMBER(INDEX(Inputs!$K$5:$AJ$120,0,MATCH(AA$2,Inputs!$K$4:$AJ$4,0))))=0,NA(),SUMPRODUCT((Inputs!$A$5:$A$120=$B47)*Inputs!$B$5:$B$120*(((Inputs!$G$5:$G$120="moeda")+(Inputs!$G$5:$G$120="acoes"))*Inputs!$B$1+((Inputs!$G$5:$G$120&lt;&gt;"moeda")*(Inputs!$G$5:$G$120&lt;&gt;"acoes")))*INDEX(Inputs!$K$5:$AJ$120,0,MATCH(AA$2,Inputs!$K$4:$AJ$4,0)))+SUMPRODUCT((Inputs!$C$5:$C$120=$B47)*Inputs!$D$5:$D$120*(((Inputs!$G$5:$G$120="moeda")+(Inputs!$G$5:$G$120="acoes"))*Inputs!$B$1+((Inputs!$G$5:$G$120&lt;&gt;"moeda")*(Inputs!$G$5:$G$120&lt;&gt;"acoes")))*INDEX(Inputs!$K$5:$AJ$120,0,MATCH(AA$2,Inputs!$K$4:$AJ$4,0)))+SUMPRODUCT((Inputs!$E$5:$E$120=$B47)*Inputs!$F$5:$F$120*(((Inputs!$G$5:$G$120="moeda")+(Inputs!$G$5:$G$120="acoes"))*Inputs!$B$1+((Inputs!$G$5:$G$120&lt;&gt;"moeda")*(Inputs!$G$5:$G$120&lt;&gt;"acoes")))*INDEX(Inputs!$K$5:$AJ$120,0,MATCH(AA$2,Inputs!$K$4:$AJ$4,0)))))</f>
        <v>39003</v>
      </c>
      <c r="AB47" s="3">
        <f>AA47</f>
        <v>39003</v>
      </c>
      <c r="AC47" s="6">
        <f>IF(ISNA(MATCH(AC$2,Inputs!$K$4:$AJ$4,0)),NA(),IF(SUMPRODUCT((Inputs!$A$5:$A$120=$B47)*ISNUMBER(INDEX(Inputs!$K$5:$AJ$120,0,MATCH(AC$2,Inputs!$K$4:$AJ$4,0))))+SUMPRODUCT((Inputs!$C$5:$C$120=$B47)*ISNUMBER(INDEX(Inputs!$K$5:$AJ$120,0,MATCH(AC$2,Inputs!$K$4:$AJ$4,0))))+SUMPRODUCT((Inputs!$E$5:$E$120=$B47)*ISNUMBER(INDEX(Inputs!$K$5:$AJ$120,0,MATCH(AC$2,Inputs!$K$4:$AJ$4,0))))=0,NA(),SUMPRODUCT((Inputs!$A$5:$A$120=$B47)*Inputs!$B$5:$B$120*(((Inputs!$G$5:$G$120="moeda")+(Inputs!$G$5:$G$120="acoes"))*Inputs!$B$1+((Inputs!$G$5:$G$120&lt;&gt;"moeda")*(Inputs!$G$5:$G$120&lt;&gt;"acoes")))*INDEX(Inputs!$K$5:$AJ$120,0,MATCH(AC$2,Inputs!$K$4:$AJ$4,0)))+SUMPRODUCT((Inputs!$C$5:$C$120=$B47)*Inputs!$D$5:$D$120*(((Inputs!$G$5:$G$120="moeda")+(Inputs!$G$5:$G$120="acoes"))*Inputs!$B$1+((Inputs!$G$5:$G$120&lt;&gt;"moeda")*(Inputs!$G$5:$G$120&lt;&gt;"acoes")))*INDEX(Inputs!$K$5:$AJ$120,0,MATCH(AC$2,Inputs!$K$4:$AJ$4,0)))+SUMPRODUCT((Inputs!$E$5:$E$120=$B47)*Inputs!$F$5:$F$120*(((Inputs!$G$5:$G$120="moeda")+(Inputs!$G$5:$G$120="acoes"))*Inputs!$B$1+((Inputs!$G$5:$G$120&lt;&gt;"moeda")*(Inputs!$G$5:$G$120&lt;&gt;"acoes")))*INDEX(Inputs!$K$5:$AJ$120,0,MATCH(AC$2,Inputs!$K$4:$AJ$4,0)))))</f>
        <v>39480</v>
      </c>
      <c r="AD47" s="6">
        <f>IF(ISNA(MATCH(AD$2,Inputs!$K$4:$AJ$4,0)),NA(),IF(SUMPRODUCT((Inputs!$A$5:$A$120=$B47)*ISNUMBER(INDEX(Inputs!$K$5:$AJ$120,0,MATCH(AD$2,Inputs!$K$4:$AJ$4,0))))+SUMPRODUCT((Inputs!$C$5:$C$120=$B47)*ISNUMBER(INDEX(Inputs!$K$5:$AJ$120,0,MATCH(AD$2,Inputs!$K$4:$AJ$4,0))))+SUMPRODUCT((Inputs!$E$5:$E$120=$B47)*ISNUMBER(INDEX(Inputs!$K$5:$AJ$120,0,MATCH(AD$2,Inputs!$K$4:$AJ$4,0))))=0,NA(),SUMPRODUCT((Inputs!$A$5:$A$120=$B47)*Inputs!$B$5:$B$120*(((Inputs!$G$5:$G$120="moeda")+(Inputs!$G$5:$G$120="acoes"))*Inputs!$B$1+((Inputs!$G$5:$G$120&lt;&gt;"moeda")*(Inputs!$G$5:$G$120&lt;&gt;"acoes")))*INDEX(Inputs!$K$5:$AJ$120,0,MATCH(AD$2,Inputs!$K$4:$AJ$4,0)))+SUMPRODUCT((Inputs!$C$5:$C$120=$B47)*Inputs!$D$5:$D$120*(((Inputs!$G$5:$G$120="moeda")+(Inputs!$G$5:$G$120="acoes"))*Inputs!$B$1+((Inputs!$G$5:$G$120&lt;&gt;"moeda")*(Inputs!$G$5:$G$120&lt;&gt;"acoes")))*INDEX(Inputs!$K$5:$AJ$120,0,MATCH(AD$2,Inputs!$K$4:$AJ$4,0)))+SUMPRODUCT((Inputs!$E$5:$E$120=$B47)*Inputs!$F$5:$F$120*(((Inputs!$G$5:$G$120="moeda")+(Inputs!$G$5:$G$120="acoes"))*Inputs!$B$1+((Inputs!$G$5:$G$120&lt;&gt;"moeda")*(Inputs!$G$5:$G$120&lt;&gt;"acoes")))*INDEX(Inputs!$K$5:$AJ$120,0,MATCH(AD$2,Inputs!$K$4:$AJ$4,0)))))</f>
        <v>40594</v>
      </c>
      <c r="AE47" s="6" t="e">
        <f>IF(ISNA(MATCH(AE$2,Inputs!$K$4:$AJ$4,0)),NA(),IF(SUMPRODUCT((Inputs!$A$5:$A$120=$B47)*ISNUMBER(INDEX(Inputs!$K$5:$AJ$120,0,MATCH(AE$2,Inputs!$K$4:$AJ$4,0))))+SUMPRODUCT((Inputs!$C$5:$C$120=$B47)*ISNUMBER(INDEX(Inputs!$K$5:$AJ$120,0,MATCH(AE$2,Inputs!$K$4:$AJ$4,0))))+SUMPRODUCT((Inputs!$E$5:$E$120=$B47)*ISNUMBER(INDEX(Inputs!$K$5:$AJ$120,0,MATCH(AE$2,Inputs!$K$4:$AJ$4,0))))=0,NA(),SUMPRODUCT((Inputs!$A$5:$A$120=$B47)*Inputs!$B$5:$B$120*(((Inputs!$G$5:$G$120="moeda")+(Inputs!$G$5:$G$120="acoes"))*Inputs!$B$1+((Inputs!$G$5:$G$120&lt;&gt;"moeda")*(Inputs!$G$5:$G$120&lt;&gt;"acoes")))*INDEX(Inputs!$K$5:$AJ$120,0,MATCH(AE$2,Inputs!$K$4:$AJ$4,0)))+SUMPRODUCT((Inputs!$C$5:$C$120=$B47)*Inputs!$D$5:$D$120*(((Inputs!$G$5:$G$120="moeda")+(Inputs!$G$5:$G$120="acoes"))*Inputs!$B$1+((Inputs!$G$5:$G$120&lt;&gt;"moeda")*(Inputs!$G$5:$G$120&lt;&gt;"acoes")))*INDEX(Inputs!$K$5:$AJ$120,0,MATCH(AE$2,Inputs!$K$4:$AJ$4,0)))+SUMPRODUCT((Inputs!$E$5:$E$120=$B47)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47" s="6" t="e">
        <f>IF(ISNA(MATCH(AF$2,Inputs!$K$4:$AJ$4,0)),NA(),IF(SUMPRODUCT((Inputs!$A$5:$A$120=$B47)*ISNUMBER(INDEX(Inputs!$K$5:$AJ$120,0,MATCH(AF$2,Inputs!$K$4:$AJ$4,0))))+SUMPRODUCT((Inputs!$C$5:$C$120=$B47)*ISNUMBER(INDEX(Inputs!$K$5:$AJ$120,0,MATCH(AF$2,Inputs!$K$4:$AJ$4,0))))+SUMPRODUCT((Inputs!$E$5:$E$120=$B47)*ISNUMBER(INDEX(Inputs!$K$5:$AJ$120,0,MATCH(AF$2,Inputs!$K$4:$AJ$4,0))))=0,NA(),SUMPRODUCT((Inputs!$A$5:$A$120=$B47)*Inputs!$B$5:$B$120*(((Inputs!$G$5:$G$120="moeda")+(Inputs!$G$5:$G$120="acoes"))*Inputs!$B$1+((Inputs!$G$5:$G$120&lt;&gt;"moeda")*(Inputs!$G$5:$G$120&lt;&gt;"acoes")))*INDEX(Inputs!$K$5:$AJ$120,0,MATCH(AF$2,Inputs!$K$4:$AJ$4,0)))+SUMPRODUCT((Inputs!$C$5:$C$120=$B47)*Inputs!$D$5:$D$120*(((Inputs!$G$5:$G$120="moeda")+(Inputs!$G$5:$G$120="acoes"))*Inputs!$B$1+((Inputs!$G$5:$G$120&lt;&gt;"moeda")*(Inputs!$G$5:$G$120&lt;&gt;"acoes")))*INDEX(Inputs!$K$5:$AJ$120,0,MATCH(AF$2,Inputs!$K$4:$AJ$4,0)))+SUMPRODUCT((Inputs!$E$5:$E$120=$B47)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47" s="3" t="e">
        <f>AF47</f>
        <v>#N/A</v>
      </c>
      <c r="AH47" s="6">
        <f>IF(ISNA(MATCH(AH$2,Inputs!$K$4:$AJ$4,0)),NA(),IF(SUMPRODUCT((Inputs!$A$5:$A$120=$B47)*ISNUMBER(INDEX(Inputs!$K$5:$AJ$120,0,MATCH(AH$2,Inputs!$K$4:$AJ$4,0))))+SUMPRODUCT((Inputs!$C$5:$C$120=$B47)*ISNUMBER(INDEX(Inputs!$K$5:$AJ$120,0,MATCH(AH$2,Inputs!$K$4:$AJ$4,0))))+SUMPRODUCT((Inputs!$E$5:$E$120=$B47)*ISNUMBER(INDEX(Inputs!$K$5:$AJ$120,0,MATCH(AH$2,Inputs!$K$4:$AJ$4,0))))=0,NA(),SUMPRODUCT((Inputs!$A$5:$A$120=$B47)*Inputs!$B$5:$B$120*(((Inputs!$G$5:$G$120="moeda")+(Inputs!$G$5:$G$120="acoes"))*Inputs!$B$1+((Inputs!$G$5:$G$120&lt;&gt;"moeda")*(Inputs!$G$5:$G$120&lt;&gt;"acoes")))*INDEX(Inputs!$K$5:$AJ$120,0,MATCH(AH$2,Inputs!$K$4:$AJ$4,0)))+SUMPRODUCT((Inputs!$C$5:$C$120=$B47)*Inputs!$D$5:$D$120*(((Inputs!$G$5:$G$120="moeda")+(Inputs!$G$5:$G$120="acoes"))*Inputs!$B$1+((Inputs!$G$5:$G$120&lt;&gt;"moeda")*(Inputs!$G$5:$G$120&lt;&gt;"acoes")))*INDEX(Inputs!$K$5:$AJ$120,0,MATCH(AH$2,Inputs!$K$4:$AJ$4,0)))+SUMPRODUCT((Inputs!$E$5:$E$120=$B47)*Inputs!$F$5:$F$120*(((Inputs!$G$5:$G$120="moeda")+(Inputs!$G$5:$G$120="acoes"))*Inputs!$B$1+((Inputs!$G$5:$G$120&lt;&gt;"moeda")*(Inputs!$G$5:$G$120&lt;&gt;"acoes")))*INDEX(Inputs!$K$5:$AJ$120,0,MATCH(AH$2,Inputs!$K$4:$AJ$4,0)))))</f>
        <v>-6104</v>
      </c>
      <c r="AI47" s="6">
        <f>IF(ISNA(MATCH(AI$2,Inputs!$K$4:$AJ$4,0)),NA(),IF(SUMPRODUCT((Inputs!$A$5:$A$120=$B47)*ISNUMBER(INDEX(Inputs!$K$5:$AJ$120,0,MATCH(AI$2,Inputs!$K$4:$AJ$4,0))))+SUMPRODUCT((Inputs!$C$5:$C$120=$B47)*ISNUMBER(INDEX(Inputs!$K$5:$AJ$120,0,MATCH(AI$2,Inputs!$K$4:$AJ$4,0))))+SUMPRODUCT((Inputs!$E$5:$E$120=$B47)*ISNUMBER(INDEX(Inputs!$K$5:$AJ$120,0,MATCH(AI$2,Inputs!$K$4:$AJ$4,0))))=0,NA(),SUMPRODUCT((Inputs!$A$5:$A$120=$B47)*Inputs!$B$5:$B$120*(((Inputs!$G$5:$G$120="moeda")+(Inputs!$G$5:$G$120="acoes"))*Inputs!$B$1+((Inputs!$G$5:$G$120&lt;&gt;"moeda")*(Inputs!$G$5:$G$120&lt;&gt;"acoes")))*INDEX(Inputs!$K$5:$AJ$120,0,MATCH(AI$2,Inputs!$K$4:$AJ$4,0)))+SUMPRODUCT((Inputs!$C$5:$C$120=$B47)*Inputs!$D$5:$D$120*(((Inputs!$G$5:$G$120="moeda")+(Inputs!$G$5:$G$120="acoes"))*Inputs!$B$1+((Inputs!$G$5:$G$120&lt;&gt;"moeda")*(Inputs!$G$5:$G$120&lt;&gt;"acoes")))*INDEX(Inputs!$K$5:$AJ$120,0,MATCH(AI$2,Inputs!$K$4:$AJ$4,0)))+SUMPRODUCT((Inputs!$E$5:$E$120=$B47)*Inputs!$F$5:$F$120*(((Inputs!$G$5:$G$120="moeda")+(Inputs!$G$5:$G$120="acoes"))*Inputs!$B$1+((Inputs!$G$5:$G$120&lt;&gt;"moeda")*(Inputs!$G$5:$G$120&lt;&gt;"acoes")))*INDEX(Inputs!$K$5:$AJ$120,0,MATCH(AI$2,Inputs!$K$4:$AJ$4,0)))))</f>
        <v>-6000</v>
      </c>
      <c r="AJ47" s="6">
        <f>IF(ISNA(MATCH(AJ$2,Inputs!$K$4:$AJ$4,0)),NA(),IF(SUMPRODUCT((Inputs!$A$5:$A$120=$B47)*ISNUMBER(INDEX(Inputs!$K$5:$AJ$120,0,MATCH(AJ$2,Inputs!$K$4:$AJ$4,0))))+SUMPRODUCT((Inputs!$C$5:$C$120=$B47)*ISNUMBER(INDEX(Inputs!$K$5:$AJ$120,0,MATCH(AJ$2,Inputs!$K$4:$AJ$4,0))))+SUMPRODUCT((Inputs!$E$5:$E$120=$B47)*ISNUMBER(INDEX(Inputs!$K$5:$AJ$120,0,MATCH(AJ$2,Inputs!$K$4:$AJ$4,0))))=0,NA(),SUMPRODUCT((Inputs!$A$5:$A$120=$B47)*Inputs!$B$5:$B$120*(((Inputs!$G$5:$G$120="moeda")+(Inputs!$G$5:$G$120="acoes"))*Inputs!$B$1+((Inputs!$G$5:$G$120&lt;&gt;"moeda")*(Inputs!$G$5:$G$120&lt;&gt;"acoes")))*INDEX(Inputs!$K$5:$AJ$120,0,MATCH(AJ$2,Inputs!$K$4:$AJ$4,0)))+SUMPRODUCT((Inputs!$C$5:$C$120=$B47)*Inputs!$D$5:$D$120*(((Inputs!$G$5:$G$120="moeda")+(Inputs!$G$5:$G$120="acoes"))*Inputs!$B$1+((Inputs!$G$5:$G$120&lt;&gt;"moeda")*(Inputs!$G$5:$G$120&lt;&gt;"acoes")))*INDEX(Inputs!$K$5:$AJ$120,0,MATCH(AJ$2,Inputs!$K$4:$AJ$4,0)))+SUMPRODUCT((Inputs!$E$5:$E$120=$B47)*Inputs!$F$5:$F$120*(((Inputs!$G$5:$G$120="moeda")+(Inputs!$G$5:$G$120="acoes"))*Inputs!$B$1+((Inputs!$G$5:$G$120&lt;&gt;"moeda")*(Inputs!$G$5:$G$120&lt;&gt;"acoes")))*INDEX(Inputs!$K$5:$AJ$120,0,MATCH(AJ$2,Inputs!$K$4:$AJ$4,0)))))</f>
        <v>-5669</v>
      </c>
      <c r="AK47" s="6">
        <f>IF(ISNA(MATCH(AK$2,Inputs!$K$4:$AJ$4,0)),NA(),IF(SUMPRODUCT((Inputs!$A$5:$A$120=$B47)*ISNUMBER(INDEX(Inputs!$K$5:$AJ$120,0,MATCH(AK$2,Inputs!$K$4:$AJ$4,0))))+SUMPRODUCT((Inputs!$C$5:$C$120=$B47)*ISNUMBER(INDEX(Inputs!$K$5:$AJ$120,0,MATCH(AK$2,Inputs!$K$4:$AJ$4,0))))+SUMPRODUCT((Inputs!$E$5:$E$120=$B47)*ISNUMBER(INDEX(Inputs!$K$5:$AJ$120,0,MATCH(AK$2,Inputs!$K$4:$AJ$4,0))))=0,NA(),SUMPRODUCT((Inputs!$A$5:$A$120=$B47)*Inputs!$B$5:$B$120*(((Inputs!$G$5:$G$120="moeda")+(Inputs!$G$5:$G$120="acoes"))*Inputs!$B$1+((Inputs!$G$5:$G$120&lt;&gt;"moeda")*(Inputs!$G$5:$G$120&lt;&gt;"acoes")))*INDEX(Inputs!$K$5:$AJ$120,0,MATCH(AK$2,Inputs!$K$4:$AJ$4,0)))+SUMPRODUCT((Inputs!$C$5:$C$120=$B47)*Inputs!$D$5:$D$120*(((Inputs!$G$5:$G$120="moeda")+(Inputs!$G$5:$G$120="acoes"))*Inputs!$B$1+((Inputs!$G$5:$G$120&lt;&gt;"moeda")*(Inputs!$G$5:$G$120&lt;&gt;"acoes")))*INDEX(Inputs!$K$5:$AJ$120,0,MATCH(AK$2,Inputs!$K$4:$AJ$4,0)))+SUMPRODUCT((Inputs!$E$5:$E$120=$B47)*Inputs!$F$5:$F$120*(((Inputs!$G$5:$G$120="moeda")+(Inputs!$G$5:$G$120="acoes"))*Inputs!$B$1+((Inputs!$G$5:$G$120&lt;&gt;"moeda")*(Inputs!$G$5:$G$120&lt;&gt;"acoes")))*INDEX(Inputs!$K$5:$AJ$120,0,MATCH(AK$2,Inputs!$K$4:$AJ$4,0)))))</f>
        <v>-5399</v>
      </c>
      <c r="AL47" s="3">
        <f>AK47</f>
        <v>-5399</v>
      </c>
    </row>
    <row r="48"/>
    <row r="49" customFormat="1" s="1">
      <c r="C49" s="4" t="n"/>
      <c r="D49" s="245" t="n"/>
      <c r="E49" s="245" t="n"/>
      <c r="F49" s="245" t="n"/>
      <c r="G49" s="245" t="n"/>
      <c r="H49" s="3" t="n"/>
      <c r="I49" s="245" t="n"/>
      <c r="J49" s="245" t="n"/>
      <c r="K49" s="245" t="n"/>
      <c r="L49" s="245" t="n"/>
      <c r="M49" s="3" t="n"/>
      <c r="N49" s="245" t="n"/>
      <c r="O49" s="245" t="n"/>
      <c r="P49" s="245" t="n"/>
      <c r="Q49" s="245" t="n"/>
      <c r="R49" s="3" t="n"/>
      <c r="S49" s="245" t="n"/>
      <c r="T49" s="245" t="n"/>
      <c r="U49" s="245" t="n"/>
      <c r="V49" s="245" t="n"/>
      <c r="W49" s="3" t="n"/>
      <c r="X49" s="245" t="n"/>
      <c r="Y49" s="245" t="n"/>
      <c r="Z49" s="245" t="n"/>
      <c r="AA49" s="245" t="n"/>
      <c r="AC49" s="245" t="n"/>
      <c r="AD49" s="245" t="n"/>
      <c r="AE49" s="245" t="n"/>
      <c r="AF49" s="245" t="n"/>
    </row>
    <row r="50">
      <c r="B50" s="46" t="n">
        <v>44</v>
      </c>
      <c r="C50" s="24" t="inlineStr">
        <is>
          <t>Net income reported (lucro liquido) - memo p/ check IS [Model linha 4]</t>
        </is>
      </c>
      <c r="D50" s="6">
        <f>IF(ISNA(MATCH(D$2,Inputs!$K$4:$AJ$4,0)),NA(),IF(SUMPRODUCT((Inputs!$A$5:$A$120=$B50)*ISNUMBER(INDEX(Inputs!$K$5:$AJ$120,0,MATCH(D$2,Inputs!$K$4:$AJ$4,0))))+SUMPRODUCT((Inputs!$C$5:$C$120=$B50)*ISNUMBER(INDEX(Inputs!$K$5:$AJ$120,0,MATCH(D$2,Inputs!$K$4:$AJ$4,0))))+SUMPRODUCT((Inputs!$E$5:$E$120=$B50)*ISNUMBER(INDEX(Inputs!$K$5:$AJ$120,0,MATCH(D$2,Inputs!$K$4:$AJ$4,0))))=0,NA(),SUMPRODUCT((Inputs!$A$5:$A$120=$B50)*Inputs!$B$5:$B$120*(((Inputs!$G$5:$G$120="moeda")+(Inputs!$G$5:$G$120="acoes"))*Inputs!$B$1+((Inputs!$G$5:$G$120&lt;&gt;"moeda")*(Inputs!$G$5:$G$120&lt;&gt;"acoes")))*INDEX(Inputs!$K$5:$AJ$120,0,MATCH(D$2,Inputs!$K$4:$AJ$4,0)))+SUMPRODUCT((Inputs!$C$5:$C$120=$B50)*Inputs!$D$5:$D$120*(((Inputs!$G$5:$G$120="moeda")+(Inputs!$G$5:$G$120="acoes"))*Inputs!$B$1+((Inputs!$G$5:$G$120&lt;&gt;"moeda")*(Inputs!$G$5:$G$120&lt;&gt;"acoes")))*INDEX(Inputs!$K$5:$AJ$120,0,MATCH(D$2,Inputs!$K$4:$AJ$4,0)))+SUMPRODUCT((Inputs!$E$5:$E$120=$B50)*Inputs!$F$5:$F$120*(((Inputs!$G$5:$G$120="moeda")+(Inputs!$G$5:$G$120="acoes"))*Inputs!$B$1+((Inputs!$G$5:$G$120&lt;&gt;"moeda")*(Inputs!$G$5:$G$120&lt;&gt;"acoes")))*INDEX(Inputs!$K$5:$AJ$120,0,MATCH(D$2,Inputs!$K$4:$AJ$4,0)))))</f>
        <v>438</v>
      </c>
      <c r="E50" s="6">
        <f>IF(ISNA(MATCH(E$2,Inputs!$K$4:$AJ$4,0)),NA(),IF(SUMPRODUCT((Inputs!$A$5:$A$120=$B50)*ISNUMBER(INDEX(Inputs!$K$5:$AJ$120,0,MATCH(E$2,Inputs!$K$4:$AJ$4,0))))+SUMPRODUCT((Inputs!$C$5:$C$120=$B50)*ISNUMBER(INDEX(Inputs!$K$5:$AJ$120,0,MATCH(E$2,Inputs!$K$4:$AJ$4,0))))+SUMPRODUCT((Inputs!$E$5:$E$120=$B50)*ISNUMBER(INDEX(Inputs!$K$5:$AJ$120,0,MATCH(E$2,Inputs!$K$4:$AJ$4,0))))=0,NA(),SUMPRODUCT((Inputs!$A$5:$A$120=$B50)*Inputs!$B$5:$B$120*(((Inputs!$G$5:$G$120="moeda")+(Inputs!$G$5:$G$120="acoes"))*Inputs!$B$1+((Inputs!$G$5:$G$120&lt;&gt;"moeda")*(Inputs!$G$5:$G$120&lt;&gt;"acoes")))*INDEX(Inputs!$K$5:$AJ$120,0,MATCH(E$2,Inputs!$K$4:$AJ$4,0)))+SUMPRODUCT((Inputs!$C$5:$C$120=$B50)*Inputs!$D$5:$D$120*(((Inputs!$G$5:$G$120="moeda")+(Inputs!$G$5:$G$120="acoes"))*Inputs!$B$1+((Inputs!$G$5:$G$120&lt;&gt;"moeda")*(Inputs!$G$5:$G$120&lt;&gt;"acoes")))*INDEX(Inputs!$K$5:$AJ$120,0,MATCH(E$2,Inputs!$K$4:$AJ$4,0)))+SUMPRODUCT((Inputs!$E$5:$E$120=$B50)*Inputs!$F$5:$F$120*(((Inputs!$G$5:$G$120="moeda")+(Inputs!$G$5:$G$120="acoes"))*Inputs!$B$1+((Inputs!$G$5:$G$120&lt;&gt;"moeda")*(Inputs!$G$5:$G$120&lt;&gt;"acoes")))*INDEX(Inputs!$K$5:$AJ$120,0,MATCH(E$2,Inputs!$K$4:$AJ$4,0)))))</f>
        <v>1142</v>
      </c>
      <c r="F50" s="6">
        <f>IF(ISNA(MATCH(F$2,Inputs!$K$4:$AJ$4,0)),NA(),IF(SUMPRODUCT((Inputs!$A$5:$A$120=$B50)*ISNUMBER(INDEX(Inputs!$K$5:$AJ$120,0,MATCH(F$2,Inputs!$K$4:$AJ$4,0))))+SUMPRODUCT((Inputs!$C$5:$C$120=$B50)*ISNUMBER(INDEX(Inputs!$K$5:$AJ$120,0,MATCH(F$2,Inputs!$K$4:$AJ$4,0))))+SUMPRODUCT((Inputs!$E$5:$E$120=$B50)*ISNUMBER(INDEX(Inputs!$K$5:$AJ$120,0,MATCH(F$2,Inputs!$K$4:$AJ$4,0))))=0,NA(),SUMPRODUCT((Inputs!$A$5:$A$120=$B50)*Inputs!$B$5:$B$120*(((Inputs!$G$5:$G$120="moeda")+(Inputs!$G$5:$G$120="acoes"))*Inputs!$B$1+((Inputs!$G$5:$G$120&lt;&gt;"moeda")*(Inputs!$G$5:$G$120&lt;&gt;"acoes")))*INDEX(Inputs!$K$5:$AJ$120,0,MATCH(F$2,Inputs!$K$4:$AJ$4,0)))+SUMPRODUCT((Inputs!$C$5:$C$120=$B50)*Inputs!$D$5:$D$120*(((Inputs!$G$5:$G$120="moeda")+(Inputs!$G$5:$G$120="acoes"))*Inputs!$B$1+((Inputs!$G$5:$G$120&lt;&gt;"moeda")*(Inputs!$G$5:$G$120&lt;&gt;"acoes")))*INDEX(Inputs!$K$5:$AJ$120,0,MATCH(F$2,Inputs!$K$4:$AJ$4,0)))+SUMPRODUCT((Inputs!$E$5:$E$120=$B50)*Inputs!$F$5:$F$120*(((Inputs!$G$5:$G$120="moeda")+(Inputs!$G$5:$G$120="acoes"))*Inputs!$B$1+((Inputs!$G$5:$G$120&lt;&gt;"moeda")*(Inputs!$G$5:$G$120&lt;&gt;"acoes")))*INDEX(Inputs!$K$5:$AJ$120,0,MATCH(F$2,Inputs!$K$4:$AJ$4,0)))))</f>
        <v>1618</v>
      </c>
      <c r="G50" s="6">
        <f>IF(ISNA(MATCH(G$2,Inputs!$K$4:$AJ$4,0)),NA(),IF(SUMPRODUCT((Inputs!$A$5:$A$120=$B50)*ISNUMBER(INDEX(Inputs!$K$5:$AJ$120,0,MATCH(G$2,Inputs!$K$4:$AJ$4,0))))+SUMPRODUCT((Inputs!$C$5:$C$120=$B50)*ISNUMBER(INDEX(Inputs!$K$5:$AJ$120,0,MATCH(G$2,Inputs!$K$4:$AJ$4,0))))+SUMPRODUCT((Inputs!$E$5:$E$120=$B50)*ISNUMBER(INDEX(Inputs!$K$5:$AJ$120,0,MATCH(G$2,Inputs!$K$4:$AJ$4,0))))=0,NA(),SUMPRODUCT((Inputs!$A$5:$A$120=$B50)*Inputs!$B$5:$B$120*(((Inputs!$G$5:$G$120="moeda")+(Inputs!$G$5:$G$120="acoes"))*Inputs!$B$1+((Inputs!$G$5:$G$120&lt;&gt;"moeda")*(Inputs!$G$5:$G$120&lt;&gt;"acoes")))*INDEX(Inputs!$K$5:$AJ$120,0,MATCH(G$2,Inputs!$K$4:$AJ$4,0)))+SUMPRODUCT((Inputs!$C$5:$C$120=$B50)*Inputs!$D$5:$D$120*(((Inputs!$G$5:$G$120="moeda")+(Inputs!$G$5:$G$120="acoes"))*Inputs!$B$1+((Inputs!$G$5:$G$120&lt;&gt;"moeda")*(Inputs!$G$5:$G$120&lt;&gt;"acoes")))*INDEX(Inputs!$K$5:$AJ$120,0,MATCH(G$2,Inputs!$K$4:$AJ$4,0)))+SUMPRODUCT((Inputs!$E$5:$E$120=$B50)*Inputs!$F$5:$F$120*(((Inputs!$G$5:$G$120="moeda")+(Inputs!$G$5:$G$120="acoes"))*Inputs!$B$1+((Inputs!$G$5:$G$120&lt;&gt;"moeda")*(Inputs!$G$5:$G$120&lt;&gt;"acoes")))*INDEX(Inputs!$K$5:$AJ$120,0,MATCH(G$2,Inputs!$K$4:$AJ$4,0)))))</f>
        <v>2321</v>
      </c>
      <c r="H50" s="3">
        <f>SUM(D50:G50)</f>
        <v>5519</v>
      </c>
      <c r="I50" s="6">
        <f>IF(ISNA(MATCH(I$2,Inputs!$K$4:$AJ$4,0)),NA(),IF(SUMPRODUCT((Inputs!$A$5:$A$120=$B50)*ISNUMBER(INDEX(Inputs!$K$5:$AJ$120,0,MATCH(I$2,Inputs!$K$4:$AJ$4,0))))+SUMPRODUCT((Inputs!$C$5:$C$120=$B50)*ISNUMBER(INDEX(Inputs!$K$5:$AJ$120,0,MATCH(I$2,Inputs!$K$4:$AJ$4,0))))+SUMPRODUCT((Inputs!$E$5:$E$120=$B50)*ISNUMBER(INDEX(Inputs!$K$5:$AJ$120,0,MATCH(I$2,Inputs!$K$4:$AJ$4,0))))=0,NA(),SUMPRODUCT((Inputs!$A$5:$A$120=$B50)*Inputs!$B$5:$B$120*(((Inputs!$G$5:$G$120="moeda")+(Inputs!$G$5:$G$120="acoes"))*Inputs!$B$1+((Inputs!$G$5:$G$120&lt;&gt;"moeda")*(Inputs!$G$5:$G$120&lt;&gt;"acoes")))*INDEX(Inputs!$K$5:$AJ$120,0,MATCH(I$2,Inputs!$K$4:$AJ$4,0)))+SUMPRODUCT((Inputs!$C$5:$C$120=$B50)*Inputs!$D$5:$D$120*(((Inputs!$G$5:$G$120="moeda")+(Inputs!$G$5:$G$120="acoes"))*Inputs!$B$1+((Inputs!$G$5:$G$120&lt;&gt;"moeda")*(Inputs!$G$5:$G$120&lt;&gt;"acoes")))*INDEX(Inputs!$K$5:$AJ$120,0,MATCH(I$2,Inputs!$K$4:$AJ$4,0)))+SUMPRODUCT((Inputs!$E$5:$E$120=$B50)*Inputs!$F$5:$F$120*(((Inputs!$G$5:$G$120="moeda")+(Inputs!$G$5:$G$120="acoes"))*Inputs!$B$1+((Inputs!$G$5:$G$120&lt;&gt;"moeda")*(Inputs!$G$5:$G$120&lt;&gt;"acoes")))*INDEX(Inputs!$K$5:$AJ$120,0,MATCH(I$2,Inputs!$K$4:$AJ$4,0)))))</f>
        <v>3318</v>
      </c>
      <c r="J50" s="6">
        <f>IF(ISNA(MATCH(J$2,Inputs!$K$4:$AJ$4,0)),NA(),IF(SUMPRODUCT((Inputs!$A$5:$A$120=$B50)*ISNUMBER(INDEX(Inputs!$K$5:$AJ$120,0,MATCH(J$2,Inputs!$K$4:$AJ$4,0))))+SUMPRODUCT((Inputs!$C$5:$C$120=$B50)*ISNUMBER(INDEX(Inputs!$K$5:$AJ$120,0,MATCH(J$2,Inputs!$K$4:$AJ$4,0))))+SUMPRODUCT((Inputs!$E$5:$E$120=$B50)*ISNUMBER(INDEX(Inputs!$K$5:$AJ$120,0,MATCH(J$2,Inputs!$K$4:$AJ$4,0))))=0,NA(),SUMPRODUCT((Inputs!$A$5:$A$120=$B50)*Inputs!$B$5:$B$120*(((Inputs!$G$5:$G$120="moeda")+(Inputs!$G$5:$G$120="acoes"))*Inputs!$B$1+((Inputs!$G$5:$G$120&lt;&gt;"moeda")*(Inputs!$G$5:$G$120&lt;&gt;"acoes")))*INDEX(Inputs!$K$5:$AJ$120,0,MATCH(J$2,Inputs!$K$4:$AJ$4,0)))+SUMPRODUCT((Inputs!$C$5:$C$120=$B50)*Inputs!$D$5:$D$120*(((Inputs!$G$5:$G$120="moeda")+(Inputs!$G$5:$G$120="acoes"))*Inputs!$B$1+((Inputs!$G$5:$G$120&lt;&gt;"moeda")*(Inputs!$G$5:$G$120&lt;&gt;"acoes")))*INDEX(Inputs!$K$5:$AJ$120,0,MATCH(J$2,Inputs!$K$4:$AJ$4,0)))+SUMPRODUCT((Inputs!$E$5:$E$120=$B50)*Inputs!$F$5:$F$120*(((Inputs!$G$5:$G$120="moeda")+(Inputs!$G$5:$G$120="acoes"))*Inputs!$B$1+((Inputs!$G$5:$G$120&lt;&gt;"moeda")*(Inputs!$G$5:$G$120&lt;&gt;"acoes")))*INDEX(Inputs!$K$5:$AJ$120,0,MATCH(J$2,Inputs!$K$4:$AJ$4,0)))))</f>
        <v>2259</v>
      </c>
      <c r="K50" s="6">
        <f>IF(ISNA(MATCH(K$2,Inputs!$K$4:$AJ$4,0)),NA(),IF(SUMPRODUCT((Inputs!$A$5:$A$120=$B50)*ISNUMBER(INDEX(Inputs!$K$5:$AJ$120,0,MATCH(K$2,Inputs!$K$4:$AJ$4,0))))+SUMPRODUCT((Inputs!$C$5:$C$120=$B50)*ISNUMBER(INDEX(Inputs!$K$5:$AJ$120,0,MATCH(K$2,Inputs!$K$4:$AJ$4,0))))+SUMPRODUCT((Inputs!$E$5:$E$120=$B50)*ISNUMBER(INDEX(Inputs!$K$5:$AJ$120,0,MATCH(K$2,Inputs!$K$4:$AJ$4,0))))=0,NA(),SUMPRODUCT((Inputs!$A$5:$A$120=$B50)*Inputs!$B$5:$B$120*(((Inputs!$G$5:$G$120="moeda")+(Inputs!$G$5:$G$120="acoes"))*Inputs!$B$1+((Inputs!$G$5:$G$120&lt;&gt;"moeda")*(Inputs!$G$5:$G$120&lt;&gt;"acoes")))*INDEX(Inputs!$K$5:$AJ$120,0,MATCH(K$2,Inputs!$K$4:$AJ$4,0)))+SUMPRODUCT((Inputs!$C$5:$C$120=$B50)*Inputs!$D$5:$D$120*(((Inputs!$G$5:$G$120="moeda")+(Inputs!$G$5:$G$120="acoes"))*Inputs!$B$1+((Inputs!$G$5:$G$120&lt;&gt;"moeda")*(Inputs!$G$5:$G$120&lt;&gt;"acoes")))*INDEX(Inputs!$K$5:$AJ$120,0,MATCH(K$2,Inputs!$K$4:$AJ$4,0)))+SUMPRODUCT((Inputs!$E$5:$E$120=$B50)*Inputs!$F$5:$F$120*(((Inputs!$G$5:$G$120="moeda")+(Inputs!$G$5:$G$120="acoes"))*Inputs!$B$1+((Inputs!$G$5:$G$120&lt;&gt;"moeda")*(Inputs!$G$5:$G$120&lt;&gt;"acoes")))*INDEX(Inputs!$K$5:$AJ$120,0,MATCH(K$2,Inputs!$K$4:$AJ$4,0)))))</f>
        <v>3292</v>
      </c>
      <c r="L50" s="6">
        <f>IF(ISNA(MATCH(L$2,Inputs!$K$4:$AJ$4,0)),NA(),IF(SUMPRODUCT((Inputs!$A$5:$A$120=$B50)*ISNUMBER(INDEX(Inputs!$K$5:$AJ$120,0,MATCH(L$2,Inputs!$K$4:$AJ$4,0))))+SUMPRODUCT((Inputs!$C$5:$C$120=$B50)*ISNUMBER(INDEX(Inputs!$K$5:$AJ$120,0,MATCH(L$2,Inputs!$K$4:$AJ$4,0))))+SUMPRODUCT((Inputs!$E$5:$E$120=$B50)*ISNUMBER(INDEX(Inputs!$K$5:$AJ$120,0,MATCH(L$2,Inputs!$K$4:$AJ$4,0))))=0,NA(),SUMPRODUCT((Inputs!$A$5:$A$120=$B50)*Inputs!$B$5:$B$120*(((Inputs!$G$5:$G$120="moeda")+(Inputs!$G$5:$G$120="acoes"))*Inputs!$B$1+((Inputs!$G$5:$G$120&lt;&gt;"moeda")*(Inputs!$G$5:$G$120&lt;&gt;"acoes")))*INDEX(Inputs!$K$5:$AJ$120,0,MATCH(L$2,Inputs!$K$4:$AJ$4,0)))+SUMPRODUCT((Inputs!$C$5:$C$120=$B50)*Inputs!$D$5:$D$120*(((Inputs!$G$5:$G$120="moeda")+(Inputs!$G$5:$G$120="acoes"))*Inputs!$B$1+((Inputs!$G$5:$G$120&lt;&gt;"moeda")*(Inputs!$G$5:$G$120&lt;&gt;"acoes")))*INDEX(Inputs!$K$5:$AJ$120,0,MATCH(L$2,Inputs!$K$4:$AJ$4,0)))+SUMPRODUCT((Inputs!$E$5:$E$120=$B50)*Inputs!$F$5:$F$120*(((Inputs!$G$5:$G$120="moeda")+(Inputs!$G$5:$G$120="acoes"))*Inputs!$B$1+((Inputs!$G$5:$G$120&lt;&gt;"moeda")*(Inputs!$G$5:$G$120&lt;&gt;"acoes")))*INDEX(Inputs!$K$5:$AJ$120,0,MATCH(L$2,Inputs!$K$4:$AJ$4,0)))))</f>
        <v>3687</v>
      </c>
      <c r="M50" s="3">
        <f>SUM(I50:L50)</f>
        <v>12556</v>
      </c>
      <c r="N50" s="6">
        <f>IF(ISNA(MATCH(N$2,Inputs!$K$4:$AJ$4,0)),NA(),IF(SUMPRODUCT((Inputs!$A$5:$A$120=$B50)*ISNUMBER(INDEX(Inputs!$K$5:$AJ$120,0,MATCH(N$2,Inputs!$K$4:$AJ$4,0))))+SUMPRODUCT((Inputs!$C$5:$C$120=$B50)*ISNUMBER(INDEX(Inputs!$K$5:$AJ$120,0,MATCH(N$2,Inputs!$K$4:$AJ$4,0))))+SUMPRODUCT((Inputs!$E$5:$E$120=$B50)*ISNUMBER(INDEX(Inputs!$K$5:$AJ$120,0,MATCH(N$2,Inputs!$K$4:$AJ$4,0))))=0,NA(),SUMPRODUCT((Inputs!$A$5:$A$120=$B50)*Inputs!$B$5:$B$120*(((Inputs!$G$5:$G$120="moeda")+(Inputs!$G$5:$G$120="acoes"))*Inputs!$B$1+((Inputs!$G$5:$G$120&lt;&gt;"moeda")*(Inputs!$G$5:$G$120&lt;&gt;"acoes")))*INDEX(Inputs!$K$5:$AJ$120,0,MATCH(N$2,Inputs!$K$4:$AJ$4,0)))+SUMPRODUCT((Inputs!$C$5:$C$120=$B50)*Inputs!$D$5:$D$120*(((Inputs!$G$5:$G$120="moeda")+(Inputs!$G$5:$G$120="acoes"))*Inputs!$B$1+((Inputs!$G$5:$G$120&lt;&gt;"moeda")*(Inputs!$G$5:$G$120&lt;&gt;"acoes")))*INDEX(Inputs!$K$5:$AJ$120,0,MATCH(N$2,Inputs!$K$4:$AJ$4,0)))+SUMPRODUCT((Inputs!$E$5:$E$120=$B50)*Inputs!$F$5:$F$120*(((Inputs!$G$5:$G$120="moeda")+(Inputs!$G$5:$G$120="acoes"))*Inputs!$B$1+((Inputs!$G$5:$G$120&lt;&gt;"moeda")*(Inputs!$G$5:$G$120&lt;&gt;"acoes")))*INDEX(Inputs!$K$5:$AJ$120,0,MATCH(N$2,Inputs!$K$4:$AJ$4,0)))))</f>
        <v>2513</v>
      </c>
      <c r="O50" s="6">
        <f>IF(ISNA(MATCH(O$2,Inputs!$K$4:$AJ$4,0)),NA(),IF(SUMPRODUCT((Inputs!$A$5:$A$120=$B50)*ISNUMBER(INDEX(Inputs!$K$5:$AJ$120,0,MATCH(O$2,Inputs!$K$4:$AJ$4,0))))+SUMPRODUCT((Inputs!$C$5:$C$120=$B50)*ISNUMBER(INDEX(Inputs!$K$5:$AJ$120,0,MATCH(O$2,Inputs!$K$4:$AJ$4,0))))+SUMPRODUCT((Inputs!$E$5:$E$120=$B50)*ISNUMBER(INDEX(Inputs!$K$5:$AJ$120,0,MATCH(O$2,Inputs!$K$4:$AJ$4,0))))=0,NA(),SUMPRODUCT((Inputs!$A$5:$A$120=$B50)*Inputs!$B$5:$B$120*(((Inputs!$G$5:$G$120="moeda")+(Inputs!$G$5:$G$120="acoes"))*Inputs!$B$1+((Inputs!$G$5:$G$120&lt;&gt;"moeda")*(Inputs!$G$5:$G$120&lt;&gt;"acoes")))*INDEX(Inputs!$K$5:$AJ$120,0,MATCH(O$2,Inputs!$K$4:$AJ$4,0)))+SUMPRODUCT((Inputs!$C$5:$C$120=$B50)*Inputs!$D$5:$D$120*(((Inputs!$G$5:$G$120="moeda")+(Inputs!$G$5:$G$120="acoes"))*Inputs!$B$1+((Inputs!$G$5:$G$120&lt;&gt;"moeda")*(Inputs!$G$5:$G$120&lt;&gt;"acoes")))*INDEX(Inputs!$K$5:$AJ$120,0,MATCH(O$2,Inputs!$K$4:$AJ$4,0)))+SUMPRODUCT((Inputs!$E$5:$E$120=$B50)*Inputs!$F$5:$F$120*(((Inputs!$G$5:$G$120="moeda")+(Inputs!$G$5:$G$120="acoes"))*Inputs!$B$1+((Inputs!$G$5:$G$120&lt;&gt;"moeda")*(Inputs!$G$5:$G$120&lt;&gt;"acoes")))*INDEX(Inputs!$K$5:$AJ$120,0,MATCH(O$2,Inputs!$K$4:$AJ$4,0)))))</f>
        <v>2703</v>
      </c>
      <c r="P50" s="6">
        <f>IF(ISNA(MATCH(P$2,Inputs!$K$4:$AJ$4,0)),NA(),IF(SUMPRODUCT((Inputs!$A$5:$A$120=$B50)*ISNUMBER(INDEX(Inputs!$K$5:$AJ$120,0,MATCH(P$2,Inputs!$K$4:$AJ$4,0))))+SUMPRODUCT((Inputs!$C$5:$C$120=$B50)*ISNUMBER(INDEX(Inputs!$K$5:$AJ$120,0,MATCH(P$2,Inputs!$K$4:$AJ$4,0))))+SUMPRODUCT((Inputs!$E$5:$E$120=$B50)*ISNUMBER(INDEX(Inputs!$K$5:$AJ$120,0,MATCH(P$2,Inputs!$K$4:$AJ$4,0))))=0,NA(),SUMPRODUCT((Inputs!$A$5:$A$120=$B50)*Inputs!$B$5:$B$120*(((Inputs!$G$5:$G$120="moeda")+(Inputs!$G$5:$G$120="acoes"))*Inputs!$B$1+((Inputs!$G$5:$G$120&lt;&gt;"moeda")*(Inputs!$G$5:$G$120&lt;&gt;"acoes")))*INDEX(Inputs!$K$5:$AJ$120,0,MATCH(P$2,Inputs!$K$4:$AJ$4,0)))+SUMPRODUCT((Inputs!$C$5:$C$120=$B50)*Inputs!$D$5:$D$120*(((Inputs!$G$5:$G$120="moeda")+(Inputs!$G$5:$G$120="acoes"))*Inputs!$B$1+((Inputs!$G$5:$G$120&lt;&gt;"moeda")*(Inputs!$G$5:$G$120&lt;&gt;"acoes")))*INDEX(Inputs!$K$5:$AJ$120,0,MATCH(P$2,Inputs!$K$4:$AJ$4,0)))+SUMPRODUCT((Inputs!$E$5:$E$120=$B50)*Inputs!$F$5:$F$120*(((Inputs!$G$5:$G$120="moeda")+(Inputs!$G$5:$G$120="acoes"))*Inputs!$B$1+((Inputs!$G$5:$G$120&lt;&gt;"moeda")*(Inputs!$G$5:$G$120&lt;&gt;"acoes")))*INDEX(Inputs!$K$5:$AJ$120,0,MATCH(P$2,Inputs!$K$4:$AJ$4,0)))))</f>
        <v>1853</v>
      </c>
      <c r="Q50" s="6">
        <f>IF(ISNA(MATCH(Q$2,Inputs!$K$4:$AJ$4,0)),NA(),IF(SUMPRODUCT((Inputs!$A$5:$A$120=$B50)*ISNUMBER(INDEX(Inputs!$K$5:$AJ$120,0,MATCH(Q$2,Inputs!$K$4:$AJ$4,0))))+SUMPRODUCT((Inputs!$C$5:$C$120=$B50)*ISNUMBER(INDEX(Inputs!$K$5:$AJ$120,0,MATCH(Q$2,Inputs!$K$4:$AJ$4,0))))+SUMPRODUCT((Inputs!$E$5:$E$120=$B50)*ISNUMBER(INDEX(Inputs!$K$5:$AJ$120,0,MATCH(Q$2,Inputs!$K$4:$AJ$4,0))))=0,NA(),SUMPRODUCT((Inputs!$A$5:$A$120=$B50)*Inputs!$B$5:$B$120*(((Inputs!$G$5:$G$120="moeda")+(Inputs!$G$5:$G$120="acoes"))*Inputs!$B$1+((Inputs!$G$5:$G$120&lt;&gt;"moeda")*(Inputs!$G$5:$G$120&lt;&gt;"acoes")))*INDEX(Inputs!$K$5:$AJ$120,0,MATCH(Q$2,Inputs!$K$4:$AJ$4,0)))+SUMPRODUCT((Inputs!$C$5:$C$120=$B50)*Inputs!$D$5:$D$120*(((Inputs!$G$5:$G$120="moeda")+(Inputs!$G$5:$G$120="acoes"))*Inputs!$B$1+((Inputs!$G$5:$G$120&lt;&gt;"moeda")*(Inputs!$G$5:$G$120&lt;&gt;"acoes")))*INDEX(Inputs!$K$5:$AJ$120,0,MATCH(Q$2,Inputs!$K$4:$AJ$4,0)))+SUMPRODUCT((Inputs!$E$5:$E$120=$B50)*Inputs!$F$5:$F$120*(((Inputs!$G$5:$G$120="moeda")+(Inputs!$G$5:$G$120="acoes"))*Inputs!$B$1+((Inputs!$G$5:$G$120&lt;&gt;"moeda")*(Inputs!$G$5:$G$120&lt;&gt;"acoes")))*INDEX(Inputs!$K$5:$AJ$120,0,MATCH(Q$2,Inputs!$K$4:$AJ$4,0)))))</f>
        <v>7928</v>
      </c>
      <c r="R50" s="3">
        <f>SUM(N50:Q50)</f>
        <v>14997</v>
      </c>
      <c r="S50" s="6">
        <f>IF(ISNA(MATCH(S$2,Inputs!$K$4:$AJ$4,0)),NA(),IF(SUMPRODUCT((Inputs!$A$5:$A$120=$B50)*ISNUMBER(INDEX(Inputs!$K$5:$AJ$120,0,MATCH(S$2,Inputs!$K$4:$AJ$4,0))))+SUMPRODUCT((Inputs!$C$5:$C$120=$B50)*ISNUMBER(INDEX(Inputs!$K$5:$AJ$120,0,MATCH(S$2,Inputs!$K$4:$AJ$4,0))))+SUMPRODUCT((Inputs!$E$5:$E$120=$B50)*ISNUMBER(INDEX(Inputs!$K$5:$AJ$120,0,MATCH(S$2,Inputs!$K$4:$AJ$4,0))))=0,NA(),SUMPRODUCT((Inputs!$A$5:$A$120=$B50)*Inputs!$B$5:$B$120*(((Inputs!$G$5:$G$120="moeda")+(Inputs!$G$5:$G$120="acoes"))*Inputs!$B$1+((Inputs!$G$5:$G$120&lt;&gt;"moeda")*(Inputs!$G$5:$G$120&lt;&gt;"acoes")))*INDEX(Inputs!$K$5:$AJ$120,0,MATCH(S$2,Inputs!$K$4:$AJ$4,0)))+SUMPRODUCT((Inputs!$C$5:$C$120=$B50)*Inputs!$D$5:$D$120*(((Inputs!$G$5:$G$120="moeda")+(Inputs!$G$5:$G$120="acoes"))*Inputs!$B$1+((Inputs!$G$5:$G$120&lt;&gt;"moeda")*(Inputs!$G$5:$G$120&lt;&gt;"acoes")))*INDEX(Inputs!$K$5:$AJ$120,0,MATCH(S$2,Inputs!$K$4:$AJ$4,0)))+SUMPRODUCT((Inputs!$E$5:$E$120=$B50)*Inputs!$F$5:$F$120*(((Inputs!$G$5:$G$120="moeda")+(Inputs!$G$5:$G$120="acoes"))*Inputs!$B$1+((Inputs!$G$5:$G$120&lt;&gt;"moeda")*(Inputs!$G$5:$G$120&lt;&gt;"acoes")))*INDEX(Inputs!$K$5:$AJ$120,0,MATCH(S$2,Inputs!$K$4:$AJ$4,0)))))</f>
        <v>1390</v>
      </c>
      <c r="T50" s="6">
        <f>IF(ISNA(MATCH(T$2,Inputs!$K$4:$AJ$4,0)),NA(),IF(SUMPRODUCT((Inputs!$A$5:$A$120=$B50)*ISNUMBER(INDEX(Inputs!$K$5:$AJ$120,0,MATCH(T$2,Inputs!$K$4:$AJ$4,0))))+SUMPRODUCT((Inputs!$C$5:$C$120=$B50)*ISNUMBER(INDEX(Inputs!$K$5:$AJ$120,0,MATCH(T$2,Inputs!$K$4:$AJ$4,0))))+SUMPRODUCT((Inputs!$E$5:$E$120=$B50)*ISNUMBER(INDEX(Inputs!$K$5:$AJ$120,0,MATCH(T$2,Inputs!$K$4:$AJ$4,0))))=0,NA(),SUMPRODUCT((Inputs!$A$5:$A$120=$B50)*Inputs!$B$5:$B$120*(((Inputs!$G$5:$G$120="moeda")+(Inputs!$G$5:$G$120="acoes"))*Inputs!$B$1+((Inputs!$G$5:$G$120&lt;&gt;"moeda")*(Inputs!$G$5:$G$120&lt;&gt;"acoes")))*INDEX(Inputs!$K$5:$AJ$120,0,MATCH(T$2,Inputs!$K$4:$AJ$4,0)))+SUMPRODUCT((Inputs!$C$5:$C$120=$B50)*Inputs!$D$5:$D$120*(((Inputs!$G$5:$G$120="moeda")+(Inputs!$G$5:$G$120="acoes"))*Inputs!$B$1+((Inputs!$G$5:$G$120&lt;&gt;"moeda")*(Inputs!$G$5:$G$120&lt;&gt;"acoes")))*INDEX(Inputs!$K$5:$AJ$120,0,MATCH(T$2,Inputs!$K$4:$AJ$4,0)))+SUMPRODUCT((Inputs!$E$5:$E$120=$B50)*Inputs!$F$5:$F$120*(((Inputs!$G$5:$G$120="moeda")+(Inputs!$G$5:$G$120="acoes"))*Inputs!$B$1+((Inputs!$G$5:$G$120&lt;&gt;"moeda")*(Inputs!$G$5:$G$120&lt;&gt;"acoes")))*INDEX(Inputs!$K$5:$AJ$120,0,MATCH(T$2,Inputs!$K$4:$AJ$4,0)))))</f>
        <v>1400</v>
      </c>
      <c r="U50" s="6">
        <f>IF(ISNA(MATCH(U$2,Inputs!$K$4:$AJ$4,0)),NA(),IF(SUMPRODUCT((Inputs!$A$5:$A$120=$B50)*ISNUMBER(INDEX(Inputs!$K$5:$AJ$120,0,MATCH(U$2,Inputs!$K$4:$AJ$4,0))))+SUMPRODUCT((Inputs!$C$5:$C$120=$B50)*ISNUMBER(INDEX(Inputs!$K$5:$AJ$120,0,MATCH(U$2,Inputs!$K$4:$AJ$4,0))))+SUMPRODUCT((Inputs!$E$5:$E$120=$B50)*ISNUMBER(INDEX(Inputs!$K$5:$AJ$120,0,MATCH(U$2,Inputs!$K$4:$AJ$4,0))))=0,NA(),SUMPRODUCT((Inputs!$A$5:$A$120=$B50)*Inputs!$B$5:$B$120*(((Inputs!$G$5:$G$120="moeda")+(Inputs!$G$5:$G$120="acoes"))*Inputs!$B$1+((Inputs!$G$5:$G$120&lt;&gt;"moeda")*(Inputs!$G$5:$G$120&lt;&gt;"acoes")))*INDEX(Inputs!$K$5:$AJ$120,0,MATCH(U$2,Inputs!$K$4:$AJ$4,0)))+SUMPRODUCT((Inputs!$C$5:$C$120=$B50)*Inputs!$D$5:$D$120*(((Inputs!$G$5:$G$120="moeda")+(Inputs!$G$5:$G$120="acoes"))*Inputs!$B$1+((Inputs!$G$5:$G$120&lt;&gt;"moeda")*(Inputs!$G$5:$G$120&lt;&gt;"acoes")))*INDEX(Inputs!$K$5:$AJ$120,0,MATCH(U$2,Inputs!$K$4:$AJ$4,0)))+SUMPRODUCT((Inputs!$E$5:$E$120=$B50)*Inputs!$F$5:$F$120*(((Inputs!$G$5:$G$120="moeda")+(Inputs!$G$5:$G$120="acoes"))*Inputs!$B$1+((Inputs!$G$5:$G$120&lt;&gt;"moeda")*(Inputs!$G$5:$G$120&lt;&gt;"acoes")))*INDEX(Inputs!$K$5:$AJ$120,0,MATCH(U$2,Inputs!$K$4:$AJ$4,0)))))</f>
        <v>2173</v>
      </c>
      <c r="V50" s="6">
        <f>IF(ISNA(MATCH(V$2,Inputs!$K$4:$AJ$4,0)),NA(),IF(SUMPRODUCT((Inputs!$A$5:$A$120=$B50)*ISNUMBER(INDEX(Inputs!$K$5:$AJ$120,0,MATCH(V$2,Inputs!$K$4:$AJ$4,0))))+SUMPRODUCT((Inputs!$C$5:$C$120=$B50)*ISNUMBER(INDEX(Inputs!$K$5:$AJ$120,0,MATCH(V$2,Inputs!$K$4:$AJ$4,0))))+SUMPRODUCT((Inputs!$E$5:$E$120=$B50)*ISNUMBER(INDEX(Inputs!$K$5:$AJ$120,0,MATCH(V$2,Inputs!$K$4:$AJ$4,0))))=0,NA(),SUMPRODUCT((Inputs!$A$5:$A$120=$B50)*Inputs!$B$5:$B$120*(((Inputs!$G$5:$G$120="moeda")+(Inputs!$G$5:$G$120="acoes"))*Inputs!$B$1+((Inputs!$G$5:$G$120&lt;&gt;"moeda")*(Inputs!$G$5:$G$120&lt;&gt;"acoes")))*INDEX(Inputs!$K$5:$AJ$120,0,MATCH(V$2,Inputs!$K$4:$AJ$4,0)))+SUMPRODUCT((Inputs!$C$5:$C$120=$B50)*Inputs!$D$5:$D$120*(((Inputs!$G$5:$G$120="moeda")+(Inputs!$G$5:$G$120="acoes"))*Inputs!$B$1+((Inputs!$G$5:$G$120&lt;&gt;"moeda")*(Inputs!$G$5:$G$120&lt;&gt;"acoes")))*INDEX(Inputs!$K$5:$AJ$120,0,MATCH(V$2,Inputs!$K$4:$AJ$4,0)))+SUMPRODUCT((Inputs!$E$5:$E$120=$B50)*Inputs!$F$5:$F$120*(((Inputs!$G$5:$G$120="moeda")+(Inputs!$G$5:$G$120="acoes"))*Inputs!$B$1+((Inputs!$G$5:$G$120&lt;&gt;"moeda")*(Inputs!$G$5:$G$120&lt;&gt;"acoes")))*INDEX(Inputs!$K$5:$AJ$120,0,MATCH(V$2,Inputs!$K$4:$AJ$4,0)))))</f>
        <v>2128</v>
      </c>
      <c r="W50" s="3">
        <f>SUM(S50:V50)</f>
        <v>7091</v>
      </c>
      <c r="X50" s="6">
        <f>IF(ISNA(MATCH(X$2,Inputs!$K$4:$AJ$4,0)),NA(),IF(SUMPRODUCT((Inputs!$A$5:$A$120=$B50)*ISNUMBER(INDEX(Inputs!$K$5:$AJ$120,0,MATCH(X$2,Inputs!$K$4:$AJ$4,0))))+SUMPRODUCT((Inputs!$C$5:$C$120=$B50)*ISNUMBER(INDEX(Inputs!$K$5:$AJ$120,0,MATCH(X$2,Inputs!$K$4:$AJ$4,0))))+SUMPRODUCT((Inputs!$E$5:$E$120=$B50)*ISNUMBER(INDEX(Inputs!$K$5:$AJ$120,0,MATCH(X$2,Inputs!$K$4:$AJ$4,0))))=0,NA(),SUMPRODUCT((Inputs!$A$5:$A$120=$B50)*Inputs!$B$5:$B$120*(((Inputs!$G$5:$G$120="moeda")+(Inputs!$G$5:$G$120="acoes"))*Inputs!$B$1+((Inputs!$G$5:$G$120&lt;&gt;"moeda")*(Inputs!$G$5:$G$120&lt;&gt;"acoes")))*INDEX(Inputs!$K$5:$AJ$120,0,MATCH(X$2,Inputs!$K$4:$AJ$4,0)))+SUMPRODUCT((Inputs!$C$5:$C$120=$B50)*Inputs!$D$5:$D$120*(((Inputs!$G$5:$G$120="moeda")+(Inputs!$G$5:$G$120="acoes"))*Inputs!$B$1+((Inputs!$G$5:$G$120&lt;&gt;"moeda")*(Inputs!$G$5:$G$120&lt;&gt;"acoes")))*INDEX(Inputs!$K$5:$AJ$120,0,MATCH(X$2,Inputs!$K$4:$AJ$4,0)))+SUMPRODUCT((Inputs!$E$5:$E$120=$B50)*Inputs!$F$5:$F$120*(((Inputs!$G$5:$G$120="moeda")+(Inputs!$G$5:$G$120="acoes"))*Inputs!$B$1+((Inputs!$G$5:$G$120&lt;&gt;"moeda")*(Inputs!$G$5:$G$120&lt;&gt;"acoes")))*INDEX(Inputs!$K$5:$AJ$120,0,MATCH(X$2,Inputs!$K$4:$AJ$4,0)))))</f>
        <v>409</v>
      </c>
      <c r="Y50" s="6">
        <f>IF(ISNA(MATCH(Y$2,Inputs!$K$4:$AJ$4,0)),NA(),IF(SUMPRODUCT((Inputs!$A$5:$A$120=$B50)*ISNUMBER(INDEX(Inputs!$K$5:$AJ$120,0,MATCH(Y$2,Inputs!$K$4:$AJ$4,0))))+SUMPRODUCT((Inputs!$C$5:$C$120=$B50)*ISNUMBER(INDEX(Inputs!$K$5:$AJ$120,0,MATCH(Y$2,Inputs!$K$4:$AJ$4,0))))+SUMPRODUCT((Inputs!$E$5:$E$120=$B50)*ISNUMBER(INDEX(Inputs!$K$5:$AJ$120,0,MATCH(Y$2,Inputs!$K$4:$AJ$4,0))))=0,NA(),SUMPRODUCT((Inputs!$A$5:$A$120=$B50)*Inputs!$B$5:$B$120*(((Inputs!$G$5:$G$120="moeda")+(Inputs!$G$5:$G$120="acoes"))*Inputs!$B$1+((Inputs!$G$5:$G$120&lt;&gt;"moeda")*(Inputs!$G$5:$G$120&lt;&gt;"acoes")))*INDEX(Inputs!$K$5:$AJ$120,0,MATCH(Y$2,Inputs!$K$4:$AJ$4,0)))+SUMPRODUCT((Inputs!$C$5:$C$120=$B50)*Inputs!$D$5:$D$120*(((Inputs!$G$5:$G$120="moeda")+(Inputs!$G$5:$G$120="acoes"))*Inputs!$B$1+((Inputs!$G$5:$G$120&lt;&gt;"moeda")*(Inputs!$G$5:$G$120&lt;&gt;"acoes")))*INDEX(Inputs!$K$5:$AJ$120,0,MATCH(Y$2,Inputs!$K$4:$AJ$4,0)))+SUMPRODUCT((Inputs!$E$5:$E$120=$B50)*Inputs!$F$5:$F$120*(((Inputs!$G$5:$G$120="moeda")+(Inputs!$G$5:$G$120="acoes"))*Inputs!$B$1+((Inputs!$G$5:$G$120&lt;&gt;"moeda")*(Inputs!$G$5:$G$120&lt;&gt;"acoes")))*INDEX(Inputs!$K$5:$AJ$120,0,MATCH(Y$2,Inputs!$K$4:$AJ$4,0)))))</f>
        <v>1172</v>
      </c>
      <c r="Z50" s="6">
        <f>IF(ISNA(MATCH(Z$2,Inputs!$K$4:$AJ$4,0)),NA(),IF(SUMPRODUCT((Inputs!$A$5:$A$120=$B50)*ISNUMBER(INDEX(Inputs!$K$5:$AJ$120,0,MATCH(Z$2,Inputs!$K$4:$AJ$4,0))))+SUMPRODUCT((Inputs!$C$5:$C$120=$B50)*ISNUMBER(INDEX(Inputs!$K$5:$AJ$120,0,MATCH(Z$2,Inputs!$K$4:$AJ$4,0))))+SUMPRODUCT((Inputs!$E$5:$E$120=$B50)*ISNUMBER(INDEX(Inputs!$K$5:$AJ$120,0,MATCH(Z$2,Inputs!$K$4:$AJ$4,0))))=0,NA(),SUMPRODUCT((Inputs!$A$5:$A$120=$B50)*Inputs!$B$5:$B$120*(((Inputs!$G$5:$G$120="moeda")+(Inputs!$G$5:$G$120="acoes"))*Inputs!$B$1+((Inputs!$G$5:$G$120&lt;&gt;"moeda")*(Inputs!$G$5:$G$120&lt;&gt;"acoes")))*INDEX(Inputs!$K$5:$AJ$120,0,MATCH(Z$2,Inputs!$K$4:$AJ$4,0)))+SUMPRODUCT((Inputs!$C$5:$C$120=$B50)*Inputs!$D$5:$D$120*(((Inputs!$G$5:$G$120="moeda")+(Inputs!$G$5:$G$120="acoes"))*Inputs!$B$1+((Inputs!$G$5:$G$120&lt;&gt;"moeda")*(Inputs!$G$5:$G$120&lt;&gt;"acoes")))*INDEX(Inputs!$K$5:$AJ$120,0,MATCH(Z$2,Inputs!$K$4:$AJ$4,0)))+SUMPRODUCT((Inputs!$E$5:$E$120=$B50)*Inputs!$F$5:$F$120*(((Inputs!$G$5:$G$120="moeda")+(Inputs!$G$5:$G$120="acoes"))*Inputs!$B$1+((Inputs!$G$5:$G$120&lt;&gt;"moeda")*(Inputs!$G$5:$G$120&lt;&gt;"acoes")))*INDEX(Inputs!$K$5:$AJ$120,0,MATCH(Z$2,Inputs!$K$4:$AJ$4,0)))))</f>
        <v>1373</v>
      </c>
      <c r="AA50" s="6">
        <f>IF(ISNA(MATCH(AA$2,Inputs!$K$4:$AJ$4,0)),NA(),IF(SUMPRODUCT((Inputs!$A$5:$A$120=$B50)*ISNUMBER(INDEX(Inputs!$K$5:$AJ$120,0,MATCH(AA$2,Inputs!$K$4:$AJ$4,0))))+SUMPRODUCT((Inputs!$C$5:$C$120=$B50)*ISNUMBER(INDEX(Inputs!$K$5:$AJ$120,0,MATCH(AA$2,Inputs!$K$4:$AJ$4,0))))+SUMPRODUCT((Inputs!$E$5:$E$120=$B50)*ISNUMBER(INDEX(Inputs!$K$5:$AJ$120,0,MATCH(AA$2,Inputs!$K$4:$AJ$4,0))))=0,NA(),SUMPRODUCT((Inputs!$A$5:$A$120=$B50)*Inputs!$B$5:$B$120*(((Inputs!$G$5:$G$120="moeda")+(Inputs!$G$5:$G$120="acoes"))*Inputs!$B$1+((Inputs!$G$5:$G$120&lt;&gt;"moeda")*(Inputs!$G$5:$G$120&lt;&gt;"acoes")))*INDEX(Inputs!$K$5:$AJ$120,0,MATCH(AA$2,Inputs!$K$4:$AJ$4,0)))+SUMPRODUCT((Inputs!$C$5:$C$120=$B50)*Inputs!$D$5:$D$120*(((Inputs!$G$5:$G$120="moeda")+(Inputs!$G$5:$G$120="acoes"))*Inputs!$B$1+((Inputs!$G$5:$G$120&lt;&gt;"moeda")*(Inputs!$G$5:$G$120&lt;&gt;"acoes")))*INDEX(Inputs!$K$5:$AJ$120,0,MATCH(AA$2,Inputs!$K$4:$AJ$4,0)))+SUMPRODUCT((Inputs!$E$5:$E$120=$B50)*Inputs!$F$5:$F$120*(((Inputs!$G$5:$G$120="moeda")+(Inputs!$G$5:$G$120="acoes"))*Inputs!$B$1+((Inputs!$G$5:$G$120&lt;&gt;"moeda")*(Inputs!$G$5:$G$120&lt;&gt;"acoes")))*INDEX(Inputs!$K$5:$AJ$120,0,MATCH(AA$2,Inputs!$K$4:$AJ$4,0)))))</f>
        <v>840</v>
      </c>
      <c r="AB50" s="3">
        <f>SUM(X50:AA50)</f>
        <v>3794</v>
      </c>
      <c r="AC50" s="6">
        <f>IF(ISNA(MATCH(AC$2,Inputs!$K$4:$AJ$4,0)),NA(),IF(SUMPRODUCT((Inputs!$A$5:$A$120=$B50)*ISNUMBER(INDEX(Inputs!$K$5:$AJ$120,0,MATCH(AC$2,Inputs!$K$4:$AJ$4,0))))+SUMPRODUCT((Inputs!$C$5:$C$120=$B50)*ISNUMBER(INDEX(Inputs!$K$5:$AJ$120,0,MATCH(AC$2,Inputs!$K$4:$AJ$4,0))))+SUMPRODUCT((Inputs!$E$5:$E$120=$B50)*ISNUMBER(INDEX(Inputs!$K$5:$AJ$120,0,MATCH(AC$2,Inputs!$K$4:$AJ$4,0))))=0,NA(),SUMPRODUCT((Inputs!$A$5:$A$120=$B50)*Inputs!$B$5:$B$120*(((Inputs!$G$5:$G$120="moeda")+(Inputs!$G$5:$G$120="acoes"))*Inputs!$B$1+((Inputs!$G$5:$G$120&lt;&gt;"moeda")*(Inputs!$G$5:$G$120&lt;&gt;"acoes")))*INDEX(Inputs!$K$5:$AJ$120,0,MATCH(AC$2,Inputs!$K$4:$AJ$4,0)))+SUMPRODUCT((Inputs!$C$5:$C$120=$B50)*Inputs!$D$5:$D$120*(((Inputs!$G$5:$G$120="moeda")+(Inputs!$G$5:$G$120="acoes"))*Inputs!$B$1+((Inputs!$G$5:$G$120&lt;&gt;"moeda")*(Inputs!$G$5:$G$120&lt;&gt;"acoes")))*INDEX(Inputs!$K$5:$AJ$120,0,MATCH(AC$2,Inputs!$K$4:$AJ$4,0)))+SUMPRODUCT((Inputs!$E$5:$E$120=$B50)*Inputs!$F$5:$F$120*(((Inputs!$G$5:$G$120="moeda")+(Inputs!$G$5:$G$120="acoes"))*Inputs!$B$1+((Inputs!$G$5:$G$120&lt;&gt;"moeda")*(Inputs!$G$5:$G$120&lt;&gt;"acoes")))*INDEX(Inputs!$K$5:$AJ$120,0,MATCH(AC$2,Inputs!$K$4:$AJ$4,0)))))</f>
        <v>477</v>
      </c>
      <c r="AD50" s="6">
        <f>IF(ISNA(MATCH(AD$2,Inputs!$K$4:$AJ$4,0)),NA(),IF(SUMPRODUCT((Inputs!$A$5:$A$120=$B50)*ISNUMBER(INDEX(Inputs!$K$5:$AJ$120,0,MATCH(AD$2,Inputs!$K$4:$AJ$4,0))))+SUMPRODUCT((Inputs!$C$5:$C$120=$B50)*ISNUMBER(INDEX(Inputs!$K$5:$AJ$120,0,MATCH(AD$2,Inputs!$K$4:$AJ$4,0))))+SUMPRODUCT((Inputs!$E$5:$E$120=$B50)*ISNUMBER(INDEX(Inputs!$K$5:$AJ$120,0,MATCH(AD$2,Inputs!$K$4:$AJ$4,0))))=0,NA(),SUMPRODUCT((Inputs!$A$5:$A$120=$B50)*Inputs!$B$5:$B$120*(((Inputs!$G$5:$G$120="moeda")+(Inputs!$G$5:$G$120="acoes"))*Inputs!$B$1+((Inputs!$G$5:$G$120&lt;&gt;"moeda")*(Inputs!$G$5:$G$120&lt;&gt;"acoes")))*INDEX(Inputs!$K$5:$AJ$120,0,MATCH(AD$2,Inputs!$K$4:$AJ$4,0)))+SUMPRODUCT((Inputs!$C$5:$C$120=$B50)*Inputs!$D$5:$D$120*(((Inputs!$G$5:$G$120="moeda")+(Inputs!$G$5:$G$120="acoes"))*Inputs!$B$1+((Inputs!$G$5:$G$120&lt;&gt;"moeda")*(Inputs!$G$5:$G$120&lt;&gt;"acoes")))*INDEX(Inputs!$K$5:$AJ$120,0,MATCH(AD$2,Inputs!$K$4:$AJ$4,0)))+SUMPRODUCT((Inputs!$E$5:$E$120=$B50)*Inputs!$F$5:$F$120*(((Inputs!$G$5:$G$120="moeda")+(Inputs!$G$5:$G$120="acoes"))*Inputs!$B$1+((Inputs!$G$5:$G$120&lt;&gt;"moeda")*(Inputs!$G$5:$G$120&lt;&gt;"acoes")))*INDEX(Inputs!$K$5:$AJ$120,0,MATCH(AD$2,Inputs!$K$4:$AJ$4,0)))))</f>
        <v>1114</v>
      </c>
      <c r="AE50" s="6" t="e">
        <f>IF(ISNA(MATCH(AE$2,Inputs!$K$4:$AJ$4,0)),NA(),IF(SUMPRODUCT((Inputs!$A$5:$A$120=$B50)*ISNUMBER(INDEX(Inputs!$K$5:$AJ$120,0,MATCH(AE$2,Inputs!$K$4:$AJ$4,0))))+SUMPRODUCT((Inputs!$C$5:$C$120=$B50)*ISNUMBER(INDEX(Inputs!$K$5:$AJ$120,0,MATCH(AE$2,Inputs!$K$4:$AJ$4,0))))+SUMPRODUCT((Inputs!$E$5:$E$120=$B50)*ISNUMBER(INDEX(Inputs!$K$5:$AJ$120,0,MATCH(AE$2,Inputs!$K$4:$AJ$4,0))))=0,NA(),SUMPRODUCT((Inputs!$A$5:$A$120=$B50)*Inputs!$B$5:$B$120*(((Inputs!$G$5:$G$120="moeda")+(Inputs!$G$5:$G$120="acoes"))*Inputs!$B$1+((Inputs!$G$5:$G$120&lt;&gt;"moeda")*(Inputs!$G$5:$G$120&lt;&gt;"acoes")))*INDEX(Inputs!$K$5:$AJ$120,0,MATCH(AE$2,Inputs!$K$4:$AJ$4,0)))+SUMPRODUCT((Inputs!$C$5:$C$120=$B50)*Inputs!$D$5:$D$120*(((Inputs!$G$5:$G$120="moeda")+(Inputs!$G$5:$G$120="acoes"))*Inputs!$B$1+((Inputs!$G$5:$G$120&lt;&gt;"moeda")*(Inputs!$G$5:$G$120&lt;&gt;"acoes")))*INDEX(Inputs!$K$5:$AJ$120,0,MATCH(AE$2,Inputs!$K$4:$AJ$4,0)))+SUMPRODUCT((Inputs!$E$5:$E$120=$B50)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50" s="6" t="e">
        <f>IF(ISNA(MATCH(AF$2,Inputs!$K$4:$AJ$4,0)),NA(),IF(SUMPRODUCT((Inputs!$A$5:$A$120=$B50)*ISNUMBER(INDEX(Inputs!$K$5:$AJ$120,0,MATCH(AF$2,Inputs!$K$4:$AJ$4,0))))+SUMPRODUCT((Inputs!$C$5:$C$120=$B50)*ISNUMBER(INDEX(Inputs!$K$5:$AJ$120,0,MATCH(AF$2,Inputs!$K$4:$AJ$4,0))))+SUMPRODUCT((Inputs!$E$5:$E$120=$B50)*ISNUMBER(INDEX(Inputs!$K$5:$AJ$120,0,MATCH(AF$2,Inputs!$K$4:$AJ$4,0))))=0,NA(),SUMPRODUCT((Inputs!$A$5:$A$120=$B50)*Inputs!$B$5:$B$120*(((Inputs!$G$5:$G$120="moeda")+(Inputs!$G$5:$G$120="acoes"))*Inputs!$B$1+((Inputs!$G$5:$G$120&lt;&gt;"moeda")*(Inputs!$G$5:$G$120&lt;&gt;"acoes")))*INDEX(Inputs!$K$5:$AJ$120,0,MATCH(AF$2,Inputs!$K$4:$AJ$4,0)))+SUMPRODUCT((Inputs!$C$5:$C$120=$B50)*Inputs!$D$5:$D$120*(((Inputs!$G$5:$G$120="moeda")+(Inputs!$G$5:$G$120="acoes"))*Inputs!$B$1+((Inputs!$G$5:$G$120&lt;&gt;"moeda")*(Inputs!$G$5:$G$120&lt;&gt;"acoes")))*INDEX(Inputs!$K$5:$AJ$120,0,MATCH(AF$2,Inputs!$K$4:$AJ$4,0)))+SUMPRODUCT((Inputs!$E$5:$E$120=$B50)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50" s="3" t="e">
        <f>SUM(AC50:AF50)</f>
        <v>#N/A</v>
      </c>
      <c r="AH50">
        <f>IF(ISNA(MATCH(AH$2,Inputs!$K$4:$AJ$4,0)),NA(),IF(SUMPRODUCT((Inputs!$A$5:$A$120=$B50)*ISNUMBER(INDEX(Inputs!$K$5:$AJ$120,0,MATCH(AH$2,Inputs!$K$4:$AJ$4,0))))+SUMPRODUCT((Inputs!$C$5:$C$120=$B50)*ISNUMBER(INDEX(Inputs!$K$5:$AJ$120,0,MATCH(AH$2,Inputs!$K$4:$AJ$4,0))))+SUMPRODUCT((Inputs!$E$5:$E$120=$B50)*ISNUMBER(INDEX(Inputs!$K$5:$AJ$120,0,MATCH(AH$2,Inputs!$K$4:$AJ$4,0))))=0,NA(),SUMPRODUCT((Inputs!$A$5:$A$120=$B50)*Inputs!$B$5:$B$120*(((Inputs!$G$5:$G$120="moeda")+(Inputs!$G$5:$G$120="acoes"))*Inputs!$B$1+((Inputs!$G$5:$G$120&lt;&gt;"moeda")*(Inputs!$G$5:$G$120&lt;&gt;"acoes")))*INDEX(Inputs!$K$5:$AJ$120,0,MATCH(AH$2,Inputs!$K$4:$AJ$4,0)))+SUMPRODUCT((Inputs!$C$5:$C$120=$B50)*Inputs!$D$5:$D$120*(((Inputs!$G$5:$G$120="moeda")+(Inputs!$G$5:$G$120="acoes"))*Inputs!$B$1+((Inputs!$G$5:$G$120&lt;&gt;"moeda")*(Inputs!$G$5:$G$120&lt;&gt;"acoes")))*INDEX(Inputs!$K$5:$AJ$120,0,MATCH(AH$2,Inputs!$K$4:$AJ$4,0)))+SUMPRODUCT((Inputs!$E$5:$E$120=$B50)*Inputs!$F$5:$F$120*(((Inputs!$G$5:$G$120="moeda")+(Inputs!$G$5:$G$120="acoes"))*Inputs!$B$1+((Inputs!$G$5:$G$120&lt;&gt;"moeda")*(Inputs!$G$5:$G$120&lt;&gt;"acoes")))*INDEX(Inputs!$K$5:$AJ$120,0,MATCH(AH$2,Inputs!$K$4:$AJ$4,0)))))</f>
        <v>16</v>
      </c>
      <c r="AI50">
        <f>IF(ISNA(MATCH(AI$2,Inputs!$K$4:$AJ$4,0)),NA(),IF(SUMPRODUCT((Inputs!$A$5:$A$120=$B50)*ISNUMBER(INDEX(Inputs!$K$5:$AJ$120,0,MATCH(AI$2,Inputs!$K$4:$AJ$4,0))))+SUMPRODUCT((Inputs!$C$5:$C$120=$B50)*ISNUMBER(INDEX(Inputs!$K$5:$AJ$120,0,MATCH(AI$2,Inputs!$K$4:$AJ$4,0))))+SUMPRODUCT((Inputs!$E$5:$E$120=$B50)*ISNUMBER(INDEX(Inputs!$K$5:$AJ$120,0,MATCH(AI$2,Inputs!$K$4:$AJ$4,0))))=0,NA(),SUMPRODUCT((Inputs!$A$5:$A$120=$B50)*Inputs!$B$5:$B$120*(((Inputs!$G$5:$G$120="moeda")+(Inputs!$G$5:$G$120="acoes"))*Inputs!$B$1+((Inputs!$G$5:$G$120&lt;&gt;"moeda")*(Inputs!$G$5:$G$120&lt;&gt;"acoes")))*INDEX(Inputs!$K$5:$AJ$120,0,MATCH(AI$2,Inputs!$K$4:$AJ$4,0)))+SUMPRODUCT((Inputs!$C$5:$C$120=$B50)*Inputs!$D$5:$D$120*(((Inputs!$G$5:$G$120="moeda")+(Inputs!$G$5:$G$120="acoes"))*Inputs!$B$1+((Inputs!$G$5:$G$120&lt;&gt;"moeda")*(Inputs!$G$5:$G$120&lt;&gt;"acoes")))*INDEX(Inputs!$K$5:$AJ$120,0,MATCH(AI$2,Inputs!$K$4:$AJ$4,0)))+SUMPRODUCT((Inputs!$E$5:$E$120=$B50)*Inputs!$F$5:$F$120*(((Inputs!$G$5:$G$120="moeda")+(Inputs!$G$5:$G$120="acoes"))*Inputs!$B$1+((Inputs!$G$5:$G$120&lt;&gt;"moeda")*(Inputs!$G$5:$G$120&lt;&gt;"acoes")))*INDEX(Inputs!$K$5:$AJ$120,0,MATCH(AI$2,Inputs!$K$4:$AJ$4,0)))))</f>
        <v>104</v>
      </c>
      <c r="AJ50">
        <f>IF(ISNA(MATCH(AJ$2,Inputs!$K$4:$AJ$4,0)),NA(),IF(SUMPRODUCT((Inputs!$A$5:$A$120=$B50)*ISNUMBER(INDEX(Inputs!$K$5:$AJ$120,0,MATCH(AJ$2,Inputs!$K$4:$AJ$4,0))))+SUMPRODUCT((Inputs!$C$5:$C$120=$B50)*ISNUMBER(INDEX(Inputs!$K$5:$AJ$120,0,MATCH(AJ$2,Inputs!$K$4:$AJ$4,0))))+SUMPRODUCT((Inputs!$E$5:$E$120=$B50)*ISNUMBER(INDEX(Inputs!$K$5:$AJ$120,0,MATCH(AJ$2,Inputs!$K$4:$AJ$4,0))))=0,NA(),SUMPRODUCT((Inputs!$A$5:$A$120=$B50)*Inputs!$B$5:$B$120*(((Inputs!$G$5:$G$120="moeda")+(Inputs!$G$5:$G$120="acoes"))*Inputs!$B$1+((Inputs!$G$5:$G$120&lt;&gt;"moeda")*(Inputs!$G$5:$G$120&lt;&gt;"acoes")))*INDEX(Inputs!$K$5:$AJ$120,0,MATCH(AJ$2,Inputs!$K$4:$AJ$4,0)))+SUMPRODUCT((Inputs!$C$5:$C$120=$B50)*Inputs!$D$5:$D$120*(((Inputs!$G$5:$G$120="moeda")+(Inputs!$G$5:$G$120="acoes"))*Inputs!$B$1+((Inputs!$G$5:$G$120&lt;&gt;"moeda")*(Inputs!$G$5:$G$120&lt;&gt;"acoes")))*INDEX(Inputs!$K$5:$AJ$120,0,MATCH(AJ$2,Inputs!$K$4:$AJ$4,0)))+SUMPRODUCT((Inputs!$E$5:$E$120=$B50)*Inputs!$F$5:$F$120*(((Inputs!$G$5:$G$120="moeda")+(Inputs!$G$5:$G$120="acoes"))*Inputs!$B$1+((Inputs!$G$5:$G$120&lt;&gt;"moeda")*(Inputs!$G$5:$G$120&lt;&gt;"acoes")))*INDEX(Inputs!$K$5:$AJ$120,0,MATCH(AJ$2,Inputs!$K$4:$AJ$4,0)))))</f>
        <v>331</v>
      </c>
      <c r="AK50">
        <f>IF(ISNA(MATCH(AK$2,Inputs!$K$4:$AJ$4,0)),NA(),IF(SUMPRODUCT((Inputs!$A$5:$A$120=$B50)*ISNUMBER(INDEX(Inputs!$K$5:$AJ$120,0,MATCH(AK$2,Inputs!$K$4:$AJ$4,0))))+SUMPRODUCT((Inputs!$C$5:$C$120=$B50)*ISNUMBER(INDEX(Inputs!$K$5:$AJ$120,0,MATCH(AK$2,Inputs!$K$4:$AJ$4,0))))+SUMPRODUCT((Inputs!$E$5:$E$120=$B50)*ISNUMBER(INDEX(Inputs!$K$5:$AJ$120,0,MATCH(AK$2,Inputs!$K$4:$AJ$4,0))))=0,NA(),SUMPRODUCT((Inputs!$A$5:$A$120=$B50)*Inputs!$B$5:$B$120*(((Inputs!$G$5:$G$120="moeda")+(Inputs!$G$5:$G$120="acoes"))*Inputs!$B$1+((Inputs!$G$5:$G$120&lt;&gt;"moeda")*(Inputs!$G$5:$G$120&lt;&gt;"acoes")))*INDEX(Inputs!$K$5:$AJ$120,0,MATCH(AK$2,Inputs!$K$4:$AJ$4,0)))+SUMPRODUCT((Inputs!$C$5:$C$120=$B50)*Inputs!$D$5:$D$120*(((Inputs!$G$5:$G$120="moeda")+(Inputs!$G$5:$G$120="acoes"))*Inputs!$B$1+((Inputs!$G$5:$G$120&lt;&gt;"moeda")*(Inputs!$G$5:$G$120&lt;&gt;"acoes")))*INDEX(Inputs!$K$5:$AJ$120,0,MATCH(AK$2,Inputs!$K$4:$AJ$4,0)))+SUMPRODUCT((Inputs!$E$5:$E$120=$B50)*Inputs!$F$5:$F$120*(((Inputs!$G$5:$G$120="moeda")+(Inputs!$G$5:$G$120="acoes"))*Inputs!$B$1+((Inputs!$G$5:$G$120&lt;&gt;"moeda")*(Inputs!$G$5:$G$120&lt;&gt;"acoes")))*INDEX(Inputs!$K$5:$AJ$120,0,MATCH(AK$2,Inputs!$K$4:$AJ$4,0)))))</f>
        <v>270</v>
      </c>
      <c r="AL50">
        <f>SUM(AH50:AK50)</f>
        <v>721</v>
      </c>
    </row>
    <row r="52">
      <c r="C52" s="254" t="inlineStr">
        <is>
          <t>Drivers de receita (memo) - codigos 45+ [Model, bloco abaixo da receita liquida]</t>
        </is>
      </c>
    </row>
    <row r="53">
      <c r="B53" s="46" t="n">
        <v>45</v>
      </c>
      <c r="C53" s="29" t="inlineStr">
        <is>
          <t>Segmento Automotivo - receita (USD)</t>
        </is>
      </c>
      <c r="D53" s="263">
        <f>IF(ISNA(MATCH(D$2,Inputs!$K$4:$AJ$4,0)),NA(),IF(SUMPRODUCT((Inputs!$A$5:$A$120=$B53)*ISNUMBER(INDEX(Inputs!$K$5:$AJ$120,0,MATCH(D$2,Inputs!$K$4:$AJ$4,0))))+SUMPRODUCT((Inputs!$C$5:$C$120=$B53)*ISNUMBER(INDEX(Inputs!$K$5:$AJ$120,0,MATCH(D$2,Inputs!$K$4:$AJ$4,0))))+SUMPRODUCT((Inputs!$E$5:$E$120=$B53)*ISNUMBER(INDEX(Inputs!$K$5:$AJ$120,0,MATCH(D$2,Inputs!$K$4:$AJ$4,0))))=0,NA(),SUMPRODUCT((Inputs!$A$5:$A$120=$B53)*Inputs!$B$5:$B$120*(((Inputs!$G$5:$G$120="moeda")+(Inputs!$G$5:$G$120="acoes"))*Inputs!$B$1+((Inputs!$G$5:$G$120&lt;&gt;"moeda")*(Inputs!$G$5:$G$120&lt;&gt;"acoes")))*INDEX(Inputs!$K$5:$AJ$120,0,MATCH(D$2,Inputs!$K$4:$AJ$4,0)))+SUMPRODUCT((Inputs!$C$5:$C$120=$B53)*Inputs!$D$5:$D$120*(((Inputs!$G$5:$G$120="moeda")+(Inputs!$G$5:$G$120="acoes"))*Inputs!$B$1+((Inputs!$G$5:$G$120&lt;&gt;"moeda")*(Inputs!$G$5:$G$120&lt;&gt;"acoes")))*INDEX(Inputs!$K$5:$AJ$120,0,MATCH(D$2,Inputs!$K$4:$AJ$4,0)))+SUMPRODUCT((Inputs!$E$5:$E$120=$B53)*Inputs!$F$5:$F$120*(((Inputs!$G$5:$G$120="moeda")+(Inputs!$G$5:$G$120="acoes"))*Inputs!$B$1+((Inputs!$G$5:$G$120&lt;&gt;"moeda")*(Inputs!$G$5:$G$120&lt;&gt;"acoes")))*INDEX(Inputs!$K$5:$AJ$120,0,MATCH(D$2,Inputs!$K$4:$AJ$4,0)))))</f>
        <v>9895</v>
      </c>
      <c r="E53" s="263">
        <f>IF(ISNA(MATCH(E$2,Inputs!$K$4:$AJ$4,0)),NA(),IF(SUMPRODUCT((Inputs!$A$5:$A$120=$B53)*ISNUMBER(INDEX(Inputs!$K$5:$AJ$120,0,MATCH(E$2,Inputs!$K$4:$AJ$4,0))))+SUMPRODUCT((Inputs!$C$5:$C$120=$B53)*ISNUMBER(INDEX(Inputs!$K$5:$AJ$120,0,MATCH(E$2,Inputs!$K$4:$AJ$4,0))))+SUMPRODUCT((Inputs!$E$5:$E$120=$B53)*ISNUMBER(INDEX(Inputs!$K$5:$AJ$120,0,MATCH(E$2,Inputs!$K$4:$AJ$4,0))))=0,NA(),SUMPRODUCT((Inputs!$A$5:$A$120=$B53)*Inputs!$B$5:$B$120*(((Inputs!$G$5:$G$120="moeda")+(Inputs!$G$5:$G$120="acoes"))*Inputs!$B$1+((Inputs!$G$5:$G$120&lt;&gt;"moeda")*(Inputs!$G$5:$G$120&lt;&gt;"acoes")))*INDEX(Inputs!$K$5:$AJ$120,0,MATCH(E$2,Inputs!$K$4:$AJ$4,0)))+SUMPRODUCT((Inputs!$C$5:$C$120=$B53)*Inputs!$D$5:$D$120*(((Inputs!$G$5:$G$120="moeda")+(Inputs!$G$5:$G$120="acoes"))*Inputs!$B$1+((Inputs!$G$5:$G$120&lt;&gt;"moeda")*(Inputs!$G$5:$G$120&lt;&gt;"acoes")))*INDEX(Inputs!$K$5:$AJ$120,0,MATCH(E$2,Inputs!$K$4:$AJ$4,0)))+SUMPRODUCT((Inputs!$E$5:$E$120=$B53)*Inputs!$F$5:$F$120*(((Inputs!$G$5:$G$120="moeda")+(Inputs!$G$5:$G$120="acoes"))*Inputs!$B$1+((Inputs!$G$5:$G$120&lt;&gt;"moeda")*(Inputs!$G$5:$G$120&lt;&gt;"acoes")))*INDEX(Inputs!$K$5:$AJ$120,0,MATCH(E$2,Inputs!$K$4:$AJ$4,0)))))</f>
        <v>11157</v>
      </c>
      <c r="F53" s="263">
        <f>IF(ISNA(MATCH(F$2,Inputs!$K$4:$AJ$4,0)),NA(),IF(SUMPRODUCT((Inputs!$A$5:$A$120=$B53)*ISNUMBER(INDEX(Inputs!$K$5:$AJ$120,0,MATCH(F$2,Inputs!$K$4:$AJ$4,0))))+SUMPRODUCT((Inputs!$C$5:$C$120=$B53)*ISNUMBER(INDEX(Inputs!$K$5:$AJ$120,0,MATCH(F$2,Inputs!$K$4:$AJ$4,0))))+SUMPRODUCT((Inputs!$E$5:$E$120=$B53)*ISNUMBER(INDEX(Inputs!$K$5:$AJ$120,0,MATCH(F$2,Inputs!$K$4:$AJ$4,0))))=0,NA(),SUMPRODUCT((Inputs!$A$5:$A$120=$B53)*Inputs!$B$5:$B$120*(((Inputs!$G$5:$G$120="moeda")+(Inputs!$G$5:$G$120="acoes"))*Inputs!$B$1+((Inputs!$G$5:$G$120&lt;&gt;"moeda")*(Inputs!$G$5:$G$120&lt;&gt;"acoes")))*INDEX(Inputs!$K$5:$AJ$120,0,MATCH(F$2,Inputs!$K$4:$AJ$4,0)))+SUMPRODUCT((Inputs!$C$5:$C$120=$B53)*Inputs!$D$5:$D$120*(((Inputs!$G$5:$G$120="moeda")+(Inputs!$G$5:$G$120="acoes"))*Inputs!$B$1+((Inputs!$G$5:$G$120&lt;&gt;"moeda")*(Inputs!$G$5:$G$120&lt;&gt;"acoes")))*INDEX(Inputs!$K$5:$AJ$120,0,MATCH(F$2,Inputs!$K$4:$AJ$4,0)))+SUMPRODUCT((Inputs!$E$5:$E$120=$B53)*Inputs!$F$5:$F$120*(((Inputs!$G$5:$G$120="moeda")+(Inputs!$G$5:$G$120="acoes"))*Inputs!$B$1+((Inputs!$G$5:$G$120&lt;&gt;"moeda")*(Inputs!$G$5:$G$120&lt;&gt;"acoes")))*INDEX(Inputs!$K$5:$AJ$120,0,MATCH(F$2,Inputs!$K$4:$AJ$4,0)))))</f>
        <v>12951</v>
      </c>
      <c r="G53" s="263">
        <f>IF(ISNA(MATCH(G$2,Inputs!$K$4:$AJ$4,0)),NA(),IF(SUMPRODUCT((Inputs!$A$5:$A$120=$B53)*ISNUMBER(INDEX(Inputs!$K$5:$AJ$120,0,MATCH(G$2,Inputs!$K$4:$AJ$4,0))))+SUMPRODUCT((Inputs!$C$5:$C$120=$B53)*ISNUMBER(INDEX(Inputs!$K$5:$AJ$120,0,MATCH(G$2,Inputs!$K$4:$AJ$4,0))))+SUMPRODUCT((Inputs!$E$5:$E$120=$B53)*ISNUMBER(INDEX(Inputs!$K$5:$AJ$120,0,MATCH(G$2,Inputs!$K$4:$AJ$4,0))))=0,NA(),SUMPRODUCT((Inputs!$A$5:$A$120=$B53)*Inputs!$B$5:$B$120*(((Inputs!$G$5:$G$120="moeda")+(Inputs!$G$5:$G$120="acoes"))*Inputs!$B$1+((Inputs!$G$5:$G$120&lt;&gt;"moeda")*(Inputs!$G$5:$G$120&lt;&gt;"acoes")))*INDEX(Inputs!$K$5:$AJ$120,0,MATCH(G$2,Inputs!$K$4:$AJ$4,0)))+SUMPRODUCT((Inputs!$C$5:$C$120=$B53)*Inputs!$D$5:$D$120*(((Inputs!$G$5:$G$120="moeda")+(Inputs!$G$5:$G$120="acoes"))*Inputs!$B$1+((Inputs!$G$5:$G$120&lt;&gt;"moeda")*(Inputs!$G$5:$G$120&lt;&gt;"acoes")))*INDEX(Inputs!$K$5:$AJ$120,0,MATCH(G$2,Inputs!$K$4:$AJ$4,0)))+SUMPRODUCT((Inputs!$E$5:$E$120=$B53)*Inputs!$F$5:$F$120*(((Inputs!$G$5:$G$120="moeda")+(Inputs!$G$5:$G$120="acoes"))*Inputs!$B$1+((Inputs!$G$5:$G$120&lt;&gt;"moeda")*(Inputs!$G$5:$G$120&lt;&gt;"acoes")))*INDEX(Inputs!$K$5:$AJ$120,0,MATCH(G$2,Inputs!$K$4:$AJ$4,0)))))</f>
        <v>17031</v>
      </c>
      <c r="H53" s="264">
        <f>SUM(D53:G53)</f>
        <v>51034</v>
      </c>
      <c r="I53" s="263">
        <f>IF(ISNA(MATCH(I$2,Inputs!$K$4:$AJ$4,0)),NA(),IF(SUMPRODUCT((Inputs!$A$5:$A$120=$B53)*ISNUMBER(INDEX(Inputs!$K$5:$AJ$120,0,MATCH(I$2,Inputs!$K$4:$AJ$4,0))))+SUMPRODUCT((Inputs!$C$5:$C$120=$B53)*ISNUMBER(INDEX(Inputs!$K$5:$AJ$120,0,MATCH(I$2,Inputs!$K$4:$AJ$4,0))))+SUMPRODUCT((Inputs!$E$5:$E$120=$B53)*ISNUMBER(INDEX(Inputs!$K$5:$AJ$120,0,MATCH(I$2,Inputs!$K$4:$AJ$4,0))))=0,NA(),SUMPRODUCT((Inputs!$A$5:$A$120=$B53)*Inputs!$B$5:$B$120*(((Inputs!$G$5:$G$120="moeda")+(Inputs!$G$5:$G$120="acoes"))*Inputs!$B$1+((Inputs!$G$5:$G$120&lt;&gt;"moeda")*(Inputs!$G$5:$G$120&lt;&gt;"acoes")))*INDEX(Inputs!$K$5:$AJ$120,0,MATCH(I$2,Inputs!$K$4:$AJ$4,0)))+SUMPRODUCT((Inputs!$C$5:$C$120=$B53)*Inputs!$D$5:$D$120*(((Inputs!$G$5:$G$120="moeda")+(Inputs!$G$5:$G$120="acoes"))*Inputs!$B$1+((Inputs!$G$5:$G$120&lt;&gt;"moeda")*(Inputs!$G$5:$G$120&lt;&gt;"acoes")))*INDEX(Inputs!$K$5:$AJ$120,0,MATCH(I$2,Inputs!$K$4:$AJ$4,0)))+SUMPRODUCT((Inputs!$E$5:$E$120=$B53)*Inputs!$F$5:$F$120*(((Inputs!$G$5:$G$120="moeda")+(Inputs!$G$5:$G$120="acoes"))*Inputs!$B$1+((Inputs!$G$5:$G$120&lt;&gt;"moeda")*(Inputs!$G$5:$G$120&lt;&gt;"acoes")))*INDEX(Inputs!$K$5:$AJ$120,0,MATCH(I$2,Inputs!$K$4:$AJ$4,0)))))</f>
        <v>18140</v>
      </c>
      <c r="J53" s="263">
        <f>IF(ISNA(MATCH(J$2,Inputs!$K$4:$AJ$4,0)),NA(),IF(SUMPRODUCT((Inputs!$A$5:$A$120=$B53)*ISNUMBER(INDEX(Inputs!$K$5:$AJ$120,0,MATCH(J$2,Inputs!$K$4:$AJ$4,0))))+SUMPRODUCT((Inputs!$C$5:$C$120=$B53)*ISNUMBER(INDEX(Inputs!$K$5:$AJ$120,0,MATCH(J$2,Inputs!$K$4:$AJ$4,0))))+SUMPRODUCT((Inputs!$E$5:$E$120=$B53)*ISNUMBER(INDEX(Inputs!$K$5:$AJ$120,0,MATCH(J$2,Inputs!$K$4:$AJ$4,0))))=0,NA(),SUMPRODUCT((Inputs!$A$5:$A$120=$B53)*Inputs!$B$5:$B$120*(((Inputs!$G$5:$G$120="moeda")+(Inputs!$G$5:$G$120="acoes"))*Inputs!$B$1+((Inputs!$G$5:$G$120&lt;&gt;"moeda")*(Inputs!$G$5:$G$120&lt;&gt;"acoes")))*INDEX(Inputs!$K$5:$AJ$120,0,MATCH(J$2,Inputs!$K$4:$AJ$4,0)))+SUMPRODUCT((Inputs!$C$5:$C$120=$B53)*Inputs!$D$5:$D$120*(((Inputs!$G$5:$G$120="moeda")+(Inputs!$G$5:$G$120="acoes"))*Inputs!$B$1+((Inputs!$G$5:$G$120&lt;&gt;"moeda")*(Inputs!$G$5:$G$120&lt;&gt;"acoes")))*INDEX(Inputs!$K$5:$AJ$120,0,MATCH(J$2,Inputs!$K$4:$AJ$4,0)))+SUMPRODUCT((Inputs!$E$5:$E$120=$B53)*Inputs!$F$5:$F$120*(((Inputs!$G$5:$G$120="moeda")+(Inputs!$G$5:$G$120="acoes"))*Inputs!$B$1+((Inputs!$G$5:$G$120&lt;&gt;"moeda")*(Inputs!$G$5:$G$120&lt;&gt;"acoes")))*INDEX(Inputs!$K$5:$AJ$120,0,MATCH(J$2,Inputs!$K$4:$AJ$4,0)))))</f>
        <v>16068</v>
      </c>
      <c r="K53" s="263">
        <f>IF(ISNA(MATCH(K$2,Inputs!$K$4:$AJ$4,0)),NA(),IF(SUMPRODUCT((Inputs!$A$5:$A$120=$B53)*ISNUMBER(INDEX(Inputs!$K$5:$AJ$120,0,MATCH(K$2,Inputs!$K$4:$AJ$4,0))))+SUMPRODUCT((Inputs!$C$5:$C$120=$B53)*ISNUMBER(INDEX(Inputs!$K$5:$AJ$120,0,MATCH(K$2,Inputs!$K$4:$AJ$4,0))))+SUMPRODUCT((Inputs!$E$5:$E$120=$B53)*ISNUMBER(INDEX(Inputs!$K$5:$AJ$120,0,MATCH(K$2,Inputs!$K$4:$AJ$4,0))))=0,NA(),SUMPRODUCT((Inputs!$A$5:$A$120=$B53)*Inputs!$B$5:$B$120*(((Inputs!$G$5:$G$120="moeda")+(Inputs!$G$5:$G$120="acoes"))*Inputs!$B$1+((Inputs!$G$5:$G$120&lt;&gt;"moeda")*(Inputs!$G$5:$G$120&lt;&gt;"acoes")))*INDEX(Inputs!$K$5:$AJ$120,0,MATCH(K$2,Inputs!$K$4:$AJ$4,0)))+SUMPRODUCT((Inputs!$C$5:$C$120=$B53)*Inputs!$D$5:$D$120*(((Inputs!$G$5:$G$120="moeda")+(Inputs!$G$5:$G$120="acoes"))*Inputs!$B$1+((Inputs!$G$5:$G$120&lt;&gt;"moeda")*(Inputs!$G$5:$G$120&lt;&gt;"acoes")))*INDEX(Inputs!$K$5:$AJ$120,0,MATCH(K$2,Inputs!$K$4:$AJ$4,0)))+SUMPRODUCT((Inputs!$E$5:$E$120=$B53)*Inputs!$F$5:$F$120*(((Inputs!$G$5:$G$120="moeda")+(Inputs!$G$5:$G$120="acoes"))*Inputs!$B$1+((Inputs!$G$5:$G$120&lt;&gt;"moeda")*(Inputs!$G$5:$G$120&lt;&gt;"acoes")))*INDEX(Inputs!$K$5:$AJ$120,0,MATCH(K$2,Inputs!$K$4:$AJ$4,0)))))</f>
        <v>20337</v>
      </c>
      <c r="L53" s="263">
        <f>IF(ISNA(MATCH(L$2,Inputs!$K$4:$AJ$4,0)),NA(),IF(SUMPRODUCT((Inputs!$A$5:$A$120=$B53)*ISNUMBER(INDEX(Inputs!$K$5:$AJ$120,0,MATCH(L$2,Inputs!$K$4:$AJ$4,0))))+SUMPRODUCT((Inputs!$C$5:$C$120=$B53)*ISNUMBER(INDEX(Inputs!$K$5:$AJ$120,0,MATCH(L$2,Inputs!$K$4:$AJ$4,0))))+SUMPRODUCT((Inputs!$E$5:$E$120=$B53)*ISNUMBER(INDEX(Inputs!$K$5:$AJ$120,0,MATCH(L$2,Inputs!$K$4:$AJ$4,0))))=0,NA(),SUMPRODUCT((Inputs!$A$5:$A$120=$B53)*Inputs!$B$5:$B$120*(((Inputs!$G$5:$G$120="moeda")+(Inputs!$G$5:$G$120="acoes"))*Inputs!$B$1+((Inputs!$G$5:$G$120&lt;&gt;"moeda")*(Inputs!$G$5:$G$120&lt;&gt;"acoes")))*INDEX(Inputs!$K$5:$AJ$120,0,MATCH(L$2,Inputs!$K$4:$AJ$4,0)))+SUMPRODUCT((Inputs!$C$5:$C$120=$B53)*Inputs!$D$5:$D$120*(((Inputs!$G$5:$G$120="moeda")+(Inputs!$G$5:$G$120="acoes"))*Inputs!$B$1+((Inputs!$G$5:$G$120&lt;&gt;"moeda")*(Inputs!$G$5:$G$120&lt;&gt;"acoes")))*INDEX(Inputs!$K$5:$AJ$120,0,MATCH(L$2,Inputs!$K$4:$AJ$4,0)))+SUMPRODUCT((Inputs!$E$5:$E$120=$B53)*Inputs!$F$5:$F$120*(((Inputs!$G$5:$G$120="moeda")+(Inputs!$G$5:$G$120="acoes"))*Inputs!$B$1+((Inputs!$G$5:$G$120&lt;&gt;"moeda")*(Inputs!$G$5:$G$120&lt;&gt;"acoes")))*INDEX(Inputs!$K$5:$AJ$120,0,MATCH(L$2,Inputs!$K$4:$AJ$4,0)))))</f>
        <v>23008</v>
      </c>
      <c r="M53" s="264">
        <f>SUM(I53:L53)</f>
        <v>77553</v>
      </c>
      <c r="N53" s="263">
        <f>IF(ISNA(MATCH(N$2,Inputs!$K$4:$AJ$4,0)),NA(),IF(SUMPRODUCT((Inputs!$A$5:$A$120=$B53)*ISNUMBER(INDEX(Inputs!$K$5:$AJ$120,0,MATCH(N$2,Inputs!$K$4:$AJ$4,0))))+SUMPRODUCT((Inputs!$C$5:$C$120=$B53)*ISNUMBER(INDEX(Inputs!$K$5:$AJ$120,0,MATCH(N$2,Inputs!$K$4:$AJ$4,0))))+SUMPRODUCT((Inputs!$E$5:$E$120=$B53)*ISNUMBER(INDEX(Inputs!$K$5:$AJ$120,0,MATCH(N$2,Inputs!$K$4:$AJ$4,0))))=0,NA(),SUMPRODUCT((Inputs!$A$5:$A$120=$B53)*Inputs!$B$5:$B$120*(((Inputs!$G$5:$G$120="moeda")+(Inputs!$G$5:$G$120="acoes"))*Inputs!$B$1+((Inputs!$G$5:$G$120&lt;&gt;"moeda")*(Inputs!$G$5:$G$120&lt;&gt;"acoes")))*INDEX(Inputs!$K$5:$AJ$120,0,MATCH(N$2,Inputs!$K$4:$AJ$4,0)))+SUMPRODUCT((Inputs!$C$5:$C$120=$B53)*Inputs!$D$5:$D$120*(((Inputs!$G$5:$G$120="moeda")+(Inputs!$G$5:$G$120="acoes"))*Inputs!$B$1+((Inputs!$G$5:$G$120&lt;&gt;"moeda")*(Inputs!$G$5:$G$120&lt;&gt;"acoes")))*INDEX(Inputs!$K$5:$AJ$120,0,MATCH(N$2,Inputs!$K$4:$AJ$4,0)))+SUMPRODUCT((Inputs!$E$5:$E$120=$B53)*Inputs!$F$5:$F$120*(((Inputs!$G$5:$G$120="moeda")+(Inputs!$G$5:$G$120="acoes"))*Inputs!$B$1+((Inputs!$G$5:$G$120&lt;&gt;"moeda")*(Inputs!$G$5:$G$120&lt;&gt;"acoes")))*INDEX(Inputs!$K$5:$AJ$120,0,MATCH(N$2,Inputs!$K$4:$AJ$4,0)))))</f>
        <v>21800</v>
      </c>
      <c r="O53" s="263">
        <f>IF(ISNA(MATCH(O$2,Inputs!$K$4:$AJ$4,0)),NA(),IF(SUMPRODUCT((Inputs!$A$5:$A$120=$B53)*ISNUMBER(INDEX(Inputs!$K$5:$AJ$120,0,MATCH(O$2,Inputs!$K$4:$AJ$4,0))))+SUMPRODUCT((Inputs!$C$5:$C$120=$B53)*ISNUMBER(INDEX(Inputs!$K$5:$AJ$120,0,MATCH(O$2,Inputs!$K$4:$AJ$4,0))))+SUMPRODUCT((Inputs!$E$5:$E$120=$B53)*ISNUMBER(INDEX(Inputs!$K$5:$AJ$120,0,MATCH(O$2,Inputs!$K$4:$AJ$4,0))))=0,NA(),SUMPRODUCT((Inputs!$A$5:$A$120=$B53)*Inputs!$B$5:$B$120*(((Inputs!$G$5:$G$120="moeda")+(Inputs!$G$5:$G$120="acoes"))*Inputs!$B$1+((Inputs!$G$5:$G$120&lt;&gt;"moeda")*(Inputs!$G$5:$G$120&lt;&gt;"acoes")))*INDEX(Inputs!$K$5:$AJ$120,0,MATCH(O$2,Inputs!$K$4:$AJ$4,0)))+SUMPRODUCT((Inputs!$C$5:$C$120=$B53)*Inputs!$D$5:$D$120*(((Inputs!$G$5:$G$120="moeda")+(Inputs!$G$5:$G$120="acoes"))*Inputs!$B$1+((Inputs!$G$5:$G$120&lt;&gt;"moeda")*(Inputs!$G$5:$G$120&lt;&gt;"acoes")))*INDEX(Inputs!$K$5:$AJ$120,0,MATCH(O$2,Inputs!$K$4:$AJ$4,0)))+SUMPRODUCT((Inputs!$E$5:$E$120=$B53)*Inputs!$F$5:$F$120*(((Inputs!$G$5:$G$120="moeda")+(Inputs!$G$5:$G$120="acoes"))*Inputs!$B$1+((Inputs!$G$5:$G$120&lt;&gt;"moeda")*(Inputs!$G$5:$G$120&lt;&gt;"acoes")))*INDEX(Inputs!$K$5:$AJ$120,0,MATCH(O$2,Inputs!$K$4:$AJ$4,0)))))</f>
        <v>23418</v>
      </c>
      <c r="P53" s="263">
        <f>IF(ISNA(MATCH(P$2,Inputs!$K$4:$AJ$4,0)),NA(),IF(SUMPRODUCT((Inputs!$A$5:$A$120=$B53)*ISNUMBER(INDEX(Inputs!$K$5:$AJ$120,0,MATCH(P$2,Inputs!$K$4:$AJ$4,0))))+SUMPRODUCT((Inputs!$C$5:$C$120=$B53)*ISNUMBER(INDEX(Inputs!$K$5:$AJ$120,0,MATCH(P$2,Inputs!$K$4:$AJ$4,0))))+SUMPRODUCT((Inputs!$E$5:$E$120=$B53)*ISNUMBER(INDEX(Inputs!$K$5:$AJ$120,0,MATCH(P$2,Inputs!$K$4:$AJ$4,0))))=0,NA(),SUMPRODUCT((Inputs!$A$5:$A$120=$B53)*Inputs!$B$5:$B$120*(((Inputs!$G$5:$G$120="moeda")+(Inputs!$G$5:$G$120="acoes"))*Inputs!$B$1+((Inputs!$G$5:$G$120&lt;&gt;"moeda")*(Inputs!$G$5:$G$120&lt;&gt;"acoes")))*INDEX(Inputs!$K$5:$AJ$120,0,MATCH(P$2,Inputs!$K$4:$AJ$4,0)))+SUMPRODUCT((Inputs!$C$5:$C$120=$B53)*Inputs!$D$5:$D$120*(((Inputs!$G$5:$G$120="moeda")+(Inputs!$G$5:$G$120="acoes"))*Inputs!$B$1+((Inputs!$G$5:$G$120&lt;&gt;"moeda")*(Inputs!$G$5:$G$120&lt;&gt;"acoes")))*INDEX(Inputs!$K$5:$AJ$120,0,MATCH(P$2,Inputs!$K$4:$AJ$4,0)))+SUMPRODUCT((Inputs!$E$5:$E$120=$B53)*Inputs!$F$5:$F$120*(((Inputs!$G$5:$G$120="moeda")+(Inputs!$G$5:$G$120="acoes"))*Inputs!$B$1+((Inputs!$G$5:$G$120&lt;&gt;"moeda")*(Inputs!$G$5:$G$120&lt;&gt;"acoes")))*INDEX(Inputs!$K$5:$AJ$120,0,MATCH(P$2,Inputs!$K$4:$AJ$4,0)))))</f>
        <v>21791</v>
      </c>
      <c r="Q53" s="263">
        <f>IF(ISNA(MATCH(Q$2,Inputs!$K$4:$AJ$4,0)),NA(),IF(SUMPRODUCT((Inputs!$A$5:$A$120=$B53)*ISNUMBER(INDEX(Inputs!$K$5:$AJ$120,0,MATCH(Q$2,Inputs!$K$4:$AJ$4,0))))+SUMPRODUCT((Inputs!$C$5:$C$120=$B53)*ISNUMBER(INDEX(Inputs!$K$5:$AJ$120,0,MATCH(Q$2,Inputs!$K$4:$AJ$4,0))))+SUMPRODUCT((Inputs!$E$5:$E$120=$B53)*ISNUMBER(INDEX(Inputs!$K$5:$AJ$120,0,MATCH(Q$2,Inputs!$K$4:$AJ$4,0))))=0,NA(),SUMPRODUCT((Inputs!$A$5:$A$120=$B53)*Inputs!$B$5:$B$120*(((Inputs!$G$5:$G$120="moeda")+(Inputs!$G$5:$G$120="acoes"))*Inputs!$B$1+((Inputs!$G$5:$G$120&lt;&gt;"moeda")*(Inputs!$G$5:$G$120&lt;&gt;"acoes")))*INDEX(Inputs!$K$5:$AJ$120,0,MATCH(Q$2,Inputs!$K$4:$AJ$4,0)))+SUMPRODUCT((Inputs!$C$5:$C$120=$B53)*Inputs!$D$5:$D$120*(((Inputs!$G$5:$G$120="moeda")+(Inputs!$G$5:$G$120="acoes"))*Inputs!$B$1+((Inputs!$G$5:$G$120&lt;&gt;"moeda")*(Inputs!$G$5:$G$120&lt;&gt;"acoes")))*INDEX(Inputs!$K$5:$AJ$120,0,MATCH(Q$2,Inputs!$K$4:$AJ$4,0)))+SUMPRODUCT((Inputs!$E$5:$E$120=$B53)*Inputs!$F$5:$F$120*(((Inputs!$G$5:$G$120="moeda")+(Inputs!$G$5:$G$120="acoes"))*Inputs!$B$1+((Inputs!$G$5:$G$120&lt;&gt;"moeda")*(Inputs!$G$5:$G$120&lt;&gt;"acoes")))*INDEX(Inputs!$K$5:$AJ$120,0,MATCH(Q$2,Inputs!$K$4:$AJ$4,0)))))</f>
        <v>23729</v>
      </c>
      <c r="R53" s="264">
        <f>SUM(N53:Q53)</f>
        <v>90738</v>
      </c>
      <c r="S53" s="263">
        <f>IF(ISNA(MATCH(S$2,Inputs!$K$4:$AJ$4,0)),NA(),IF(SUMPRODUCT((Inputs!$A$5:$A$120=$B53)*ISNUMBER(INDEX(Inputs!$K$5:$AJ$120,0,MATCH(S$2,Inputs!$K$4:$AJ$4,0))))+SUMPRODUCT((Inputs!$C$5:$C$120=$B53)*ISNUMBER(INDEX(Inputs!$K$5:$AJ$120,0,MATCH(S$2,Inputs!$K$4:$AJ$4,0))))+SUMPRODUCT((Inputs!$E$5:$E$120=$B53)*ISNUMBER(INDEX(Inputs!$K$5:$AJ$120,0,MATCH(S$2,Inputs!$K$4:$AJ$4,0))))=0,NA(),SUMPRODUCT((Inputs!$A$5:$A$120=$B53)*Inputs!$B$5:$B$120*(((Inputs!$G$5:$G$120="moeda")+(Inputs!$G$5:$G$120="acoes"))*Inputs!$B$1+((Inputs!$G$5:$G$120&lt;&gt;"moeda")*(Inputs!$G$5:$G$120&lt;&gt;"acoes")))*INDEX(Inputs!$K$5:$AJ$120,0,MATCH(S$2,Inputs!$K$4:$AJ$4,0)))+SUMPRODUCT((Inputs!$C$5:$C$120=$B53)*Inputs!$D$5:$D$120*(((Inputs!$G$5:$G$120="moeda")+(Inputs!$G$5:$G$120="acoes"))*Inputs!$B$1+((Inputs!$G$5:$G$120&lt;&gt;"moeda")*(Inputs!$G$5:$G$120&lt;&gt;"acoes")))*INDEX(Inputs!$K$5:$AJ$120,0,MATCH(S$2,Inputs!$K$4:$AJ$4,0)))+SUMPRODUCT((Inputs!$E$5:$E$120=$B53)*Inputs!$F$5:$F$120*(((Inputs!$G$5:$G$120="moeda")+(Inputs!$G$5:$G$120="acoes"))*Inputs!$B$1+((Inputs!$G$5:$G$120&lt;&gt;"moeda")*(Inputs!$G$5:$G$120&lt;&gt;"acoes")))*INDEX(Inputs!$K$5:$AJ$120,0,MATCH(S$2,Inputs!$K$4:$AJ$4,0)))))</f>
        <v>19666</v>
      </c>
      <c r="T53" s="263">
        <f>IF(ISNA(MATCH(T$2,Inputs!$K$4:$AJ$4,0)),NA(),IF(SUMPRODUCT((Inputs!$A$5:$A$120=$B53)*ISNUMBER(INDEX(Inputs!$K$5:$AJ$120,0,MATCH(T$2,Inputs!$K$4:$AJ$4,0))))+SUMPRODUCT((Inputs!$C$5:$C$120=$B53)*ISNUMBER(INDEX(Inputs!$K$5:$AJ$120,0,MATCH(T$2,Inputs!$K$4:$AJ$4,0))))+SUMPRODUCT((Inputs!$E$5:$E$120=$B53)*ISNUMBER(INDEX(Inputs!$K$5:$AJ$120,0,MATCH(T$2,Inputs!$K$4:$AJ$4,0))))=0,NA(),SUMPRODUCT((Inputs!$A$5:$A$120=$B53)*Inputs!$B$5:$B$120*(((Inputs!$G$5:$G$120="moeda")+(Inputs!$G$5:$G$120="acoes"))*Inputs!$B$1+((Inputs!$G$5:$G$120&lt;&gt;"moeda")*(Inputs!$G$5:$G$120&lt;&gt;"acoes")))*INDEX(Inputs!$K$5:$AJ$120,0,MATCH(T$2,Inputs!$K$4:$AJ$4,0)))+SUMPRODUCT((Inputs!$C$5:$C$120=$B53)*Inputs!$D$5:$D$120*(((Inputs!$G$5:$G$120="moeda")+(Inputs!$G$5:$G$120="acoes"))*Inputs!$B$1+((Inputs!$G$5:$G$120&lt;&gt;"moeda")*(Inputs!$G$5:$G$120&lt;&gt;"acoes")))*INDEX(Inputs!$K$5:$AJ$120,0,MATCH(T$2,Inputs!$K$4:$AJ$4,0)))+SUMPRODUCT((Inputs!$E$5:$E$120=$B53)*Inputs!$F$5:$F$120*(((Inputs!$G$5:$G$120="moeda")+(Inputs!$G$5:$G$120="acoes"))*Inputs!$B$1+((Inputs!$G$5:$G$120&lt;&gt;"moeda")*(Inputs!$G$5:$G$120&lt;&gt;"acoes")))*INDEX(Inputs!$K$5:$AJ$120,0,MATCH(T$2,Inputs!$K$4:$AJ$4,0)))))</f>
        <v>22486</v>
      </c>
      <c r="U53" s="263">
        <f>IF(ISNA(MATCH(U$2,Inputs!$K$4:$AJ$4,0)),NA(),IF(SUMPRODUCT((Inputs!$A$5:$A$120=$B53)*ISNUMBER(INDEX(Inputs!$K$5:$AJ$120,0,MATCH(U$2,Inputs!$K$4:$AJ$4,0))))+SUMPRODUCT((Inputs!$C$5:$C$120=$B53)*ISNUMBER(INDEX(Inputs!$K$5:$AJ$120,0,MATCH(U$2,Inputs!$K$4:$AJ$4,0))))+SUMPRODUCT((Inputs!$E$5:$E$120=$B53)*ISNUMBER(INDEX(Inputs!$K$5:$AJ$120,0,MATCH(U$2,Inputs!$K$4:$AJ$4,0))))=0,NA(),SUMPRODUCT((Inputs!$A$5:$A$120=$B53)*Inputs!$B$5:$B$120*(((Inputs!$G$5:$G$120="moeda")+(Inputs!$G$5:$G$120="acoes"))*Inputs!$B$1+((Inputs!$G$5:$G$120&lt;&gt;"moeda")*(Inputs!$G$5:$G$120&lt;&gt;"acoes")))*INDEX(Inputs!$K$5:$AJ$120,0,MATCH(U$2,Inputs!$K$4:$AJ$4,0)))+SUMPRODUCT((Inputs!$C$5:$C$120=$B53)*Inputs!$D$5:$D$120*(((Inputs!$G$5:$G$120="moeda")+(Inputs!$G$5:$G$120="acoes"))*Inputs!$B$1+((Inputs!$G$5:$G$120&lt;&gt;"moeda")*(Inputs!$G$5:$G$120&lt;&gt;"acoes")))*INDEX(Inputs!$K$5:$AJ$120,0,MATCH(U$2,Inputs!$K$4:$AJ$4,0)))+SUMPRODUCT((Inputs!$E$5:$E$120=$B53)*Inputs!$F$5:$F$120*(((Inputs!$G$5:$G$120="moeda")+(Inputs!$G$5:$G$120="acoes"))*Inputs!$B$1+((Inputs!$G$5:$G$120&lt;&gt;"moeda")*(Inputs!$G$5:$G$120&lt;&gt;"acoes")))*INDEX(Inputs!$K$5:$AJ$120,0,MATCH(U$2,Inputs!$K$4:$AJ$4,0)))))</f>
        <v>22806</v>
      </c>
      <c r="V53" s="263">
        <f>IF(ISNA(MATCH(V$2,Inputs!$K$4:$AJ$4,0)),NA(),IF(SUMPRODUCT((Inputs!$A$5:$A$120=$B53)*ISNUMBER(INDEX(Inputs!$K$5:$AJ$120,0,MATCH(V$2,Inputs!$K$4:$AJ$4,0))))+SUMPRODUCT((Inputs!$C$5:$C$120=$B53)*ISNUMBER(INDEX(Inputs!$K$5:$AJ$120,0,MATCH(V$2,Inputs!$K$4:$AJ$4,0))))+SUMPRODUCT((Inputs!$E$5:$E$120=$B53)*ISNUMBER(INDEX(Inputs!$K$5:$AJ$120,0,MATCH(V$2,Inputs!$K$4:$AJ$4,0))))=0,NA(),SUMPRODUCT((Inputs!$A$5:$A$120=$B53)*Inputs!$B$5:$B$120*(((Inputs!$G$5:$G$120="moeda")+(Inputs!$G$5:$G$120="acoes"))*Inputs!$B$1+((Inputs!$G$5:$G$120&lt;&gt;"moeda")*(Inputs!$G$5:$G$120&lt;&gt;"acoes")))*INDEX(Inputs!$K$5:$AJ$120,0,MATCH(V$2,Inputs!$K$4:$AJ$4,0)))+SUMPRODUCT((Inputs!$C$5:$C$120=$B53)*Inputs!$D$5:$D$120*(((Inputs!$G$5:$G$120="moeda")+(Inputs!$G$5:$G$120="acoes"))*Inputs!$B$1+((Inputs!$G$5:$G$120&lt;&gt;"moeda")*(Inputs!$G$5:$G$120&lt;&gt;"acoes")))*INDEX(Inputs!$K$5:$AJ$120,0,MATCH(V$2,Inputs!$K$4:$AJ$4,0)))+SUMPRODUCT((Inputs!$E$5:$E$120=$B53)*Inputs!$F$5:$F$120*(((Inputs!$G$5:$G$120="moeda")+(Inputs!$G$5:$G$120="acoes"))*Inputs!$B$1+((Inputs!$G$5:$G$120&lt;&gt;"moeda")*(Inputs!$G$5:$G$120&lt;&gt;"acoes")))*INDEX(Inputs!$K$5:$AJ$120,0,MATCH(V$2,Inputs!$K$4:$AJ$4,0)))))</f>
        <v>22646</v>
      </c>
      <c r="W53" s="264">
        <f>SUM(S53:V53)</f>
        <v>87604</v>
      </c>
      <c r="X53" s="263">
        <f>IF(ISNA(MATCH(X$2,Inputs!$K$4:$AJ$4,0)),NA(),IF(SUMPRODUCT((Inputs!$A$5:$A$120=$B53)*ISNUMBER(INDEX(Inputs!$K$5:$AJ$120,0,MATCH(X$2,Inputs!$K$4:$AJ$4,0))))+SUMPRODUCT((Inputs!$C$5:$C$120=$B53)*ISNUMBER(INDEX(Inputs!$K$5:$AJ$120,0,MATCH(X$2,Inputs!$K$4:$AJ$4,0))))+SUMPRODUCT((Inputs!$E$5:$E$120=$B53)*ISNUMBER(INDEX(Inputs!$K$5:$AJ$120,0,MATCH(X$2,Inputs!$K$4:$AJ$4,0))))=0,NA(),SUMPRODUCT((Inputs!$A$5:$A$120=$B53)*Inputs!$B$5:$B$120*(((Inputs!$G$5:$G$120="moeda")+(Inputs!$G$5:$G$120="acoes"))*Inputs!$B$1+((Inputs!$G$5:$G$120&lt;&gt;"moeda")*(Inputs!$G$5:$G$120&lt;&gt;"acoes")))*INDEX(Inputs!$K$5:$AJ$120,0,MATCH(X$2,Inputs!$K$4:$AJ$4,0)))+SUMPRODUCT((Inputs!$C$5:$C$120=$B53)*Inputs!$D$5:$D$120*(((Inputs!$G$5:$G$120="moeda")+(Inputs!$G$5:$G$120="acoes"))*Inputs!$B$1+((Inputs!$G$5:$G$120&lt;&gt;"moeda")*(Inputs!$G$5:$G$120&lt;&gt;"acoes")))*INDEX(Inputs!$K$5:$AJ$120,0,MATCH(X$2,Inputs!$K$4:$AJ$4,0)))+SUMPRODUCT((Inputs!$E$5:$E$120=$B53)*Inputs!$F$5:$F$120*(((Inputs!$G$5:$G$120="moeda")+(Inputs!$G$5:$G$120="acoes"))*Inputs!$B$1+((Inputs!$G$5:$G$120&lt;&gt;"moeda")*(Inputs!$G$5:$G$120&lt;&gt;"acoes")))*INDEX(Inputs!$K$5:$AJ$120,0,MATCH(X$2,Inputs!$K$4:$AJ$4,0)))))</f>
        <v>16605</v>
      </c>
      <c r="Y53" s="263">
        <f>IF(ISNA(MATCH(Y$2,Inputs!$K$4:$AJ$4,0)),NA(),IF(SUMPRODUCT((Inputs!$A$5:$A$120=$B53)*ISNUMBER(INDEX(Inputs!$K$5:$AJ$120,0,MATCH(Y$2,Inputs!$K$4:$AJ$4,0))))+SUMPRODUCT((Inputs!$C$5:$C$120=$B53)*ISNUMBER(INDEX(Inputs!$K$5:$AJ$120,0,MATCH(Y$2,Inputs!$K$4:$AJ$4,0))))+SUMPRODUCT((Inputs!$E$5:$E$120=$B53)*ISNUMBER(INDEX(Inputs!$K$5:$AJ$120,0,MATCH(Y$2,Inputs!$K$4:$AJ$4,0))))=0,NA(),SUMPRODUCT((Inputs!$A$5:$A$120=$B53)*Inputs!$B$5:$B$120*(((Inputs!$G$5:$G$120="moeda")+(Inputs!$G$5:$G$120="acoes"))*Inputs!$B$1+((Inputs!$G$5:$G$120&lt;&gt;"moeda")*(Inputs!$G$5:$G$120&lt;&gt;"acoes")))*INDEX(Inputs!$K$5:$AJ$120,0,MATCH(Y$2,Inputs!$K$4:$AJ$4,0)))+SUMPRODUCT((Inputs!$C$5:$C$120=$B53)*Inputs!$D$5:$D$120*(((Inputs!$G$5:$G$120="moeda")+(Inputs!$G$5:$G$120="acoes"))*Inputs!$B$1+((Inputs!$G$5:$G$120&lt;&gt;"moeda")*(Inputs!$G$5:$G$120&lt;&gt;"acoes")))*INDEX(Inputs!$K$5:$AJ$120,0,MATCH(Y$2,Inputs!$K$4:$AJ$4,0)))+SUMPRODUCT((Inputs!$E$5:$E$120=$B53)*Inputs!$F$5:$F$120*(((Inputs!$G$5:$G$120="moeda")+(Inputs!$G$5:$G$120="acoes"))*Inputs!$B$1+((Inputs!$G$5:$G$120&lt;&gt;"moeda")*(Inputs!$G$5:$G$120&lt;&gt;"acoes")))*INDEX(Inputs!$K$5:$AJ$120,0,MATCH(Y$2,Inputs!$K$4:$AJ$4,0)))))</f>
        <v>19707</v>
      </c>
      <c r="Z53" s="263">
        <f>IF(ISNA(MATCH(Z$2,Inputs!$K$4:$AJ$4,0)),NA(),IF(SUMPRODUCT((Inputs!$A$5:$A$120=$B53)*ISNUMBER(INDEX(Inputs!$K$5:$AJ$120,0,MATCH(Z$2,Inputs!$K$4:$AJ$4,0))))+SUMPRODUCT((Inputs!$C$5:$C$120=$B53)*ISNUMBER(INDEX(Inputs!$K$5:$AJ$120,0,MATCH(Z$2,Inputs!$K$4:$AJ$4,0))))+SUMPRODUCT((Inputs!$E$5:$E$120=$B53)*ISNUMBER(INDEX(Inputs!$K$5:$AJ$120,0,MATCH(Z$2,Inputs!$K$4:$AJ$4,0))))=0,NA(),SUMPRODUCT((Inputs!$A$5:$A$120=$B53)*Inputs!$B$5:$B$120*(((Inputs!$G$5:$G$120="moeda")+(Inputs!$G$5:$G$120="acoes"))*Inputs!$B$1+((Inputs!$G$5:$G$120&lt;&gt;"moeda")*(Inputs!$G$5:$G$120&lt;&gt;"acoes")))*INDEX(Inputs!$K$5:$AJ$120,0,MATCH(Z$2,Inputs!$K$4:$AJ$4,0)))+SUMPRODUCT((Inputs!$C$5:$C$120=$B53)*Inputs!$D$5:$D$120*(((Inputs!$G$5:$G$120="moeda")+(Inputs!$G$5:$G$120="acoes"))*Inputs!$B$1+((Inputs!$G$5:$G$120&lt;&gt;"moeda")*(Inputs!$G$5:$G$120&lt;&gt;"acoes")))*INDEX(Inputs!$K$5:$AJ$120,0,MATCH(Z$2,Inputs!$K$4:$AJ$4,0)))+SUMPRODUCT((Inputs!$E$5:$E$120=$B53)*Inputs!$F$5:$F$120*(((Inputs!$G$5:$G$120="moeda")+(Inputs!$G$5:$G$120="acoes"))*Inputs!$B$1+((Inputs!$G$5:$G$120&lt;&gt;"moeda")*(Inputs!$G$5:$G$120&lt;&gt;"acoes")))*INDEX(Inputs!$K$5:$AJ$120,0,MATCH(Z$2,Inputs!$K$4:$AJ$4,0)))))</f>
        <v>24680</v>
      </c>
      <c r="AA53" s="263">
        <f>IF(ISNA(MATCH(AA$2,Inputs!$K$4:$AJ$4,0)),NA(),IF(SUMPRODUCT((Inputs!$A$5:$A$120=$B53)*ISNUMBER(INDEX(Inputs!$K$5:$AJ$120,0,MATCH(AA$2,Inputs!$K$4:$AJ$4,0))))+SUMPRODUCT((Inputs!$C$5:$C$120=$B53)*ISNUMBER(INDEX(Inputs!$K$5:$AJ$120,0,MATCH(AA$2,Inputs!$K$4:$AJ$4,0))))+SUMPRODUCT((Inputs!$E$5:$E$120=$B53)*ISNUMBER(INDEX(Inputs!$K$5:$AJ$120,0,MATCH(AA$2,Inputs!$K$4:$AJ$4,0))))=0,NA(),SUMPRODUCT((Inputs!$A$5:$A$120=$B53)*Inputs!$B$5:$B$120*(((Inputs!$G$5:$G$120="moeda")+(Inputs!$G$5:$G$120="acoes"))*Inputs!$B$1+((Inputs!$G$5:$G$120&lt;&gt;"moeda")*(Inputs!$G$5:$G$120&lt;&gt;"acoes")))*INDEX(Inputs!$K$5:$AJ$120,0,MATCH(AA$2,Inputs!$K$4:$AJ$4,0)))+SUMPRODUCT((Inputs!$C$5:$C$120=$B53)*Inputs!$D$5:$D$120*(((Inputs!$G$5:$G$120="moeda")+(Inputs!$G$5:$G$120="acoes"))*Inputs!$B$1+((Inputs!$G$5:$G$120&lt;&gt;"moeda")*(Inputs!$G$5:$G$120&lt;&gt;"acoes")))*INDEX(Inputs!$K$5:$AJ$120,0,MATCH(AA$2,Inputs!$K$4:$AJ$4,0)))+SUMPRODUCT((Inputs!$E$5:$E$120=$B53)*Inputs!$F$5:$F$120*(((Inputs!$G$5:$G$120="moeda")+(Inputs!$G$5:$G$120="acoes"))*Inputs!$B$1+((Inputs!$G$5:$G$120&lt;&gt;"moeda")*(Inputs!$G$5:$G$120&lt;&gt;"acoes")))*INDEX(Inputs!$K$5:$AJ$120,0,MATCH(AA$2,Inputs!$K$4:$AJ$4,0)))))</f>
        <v>21064</v>
      </c>
      <c r="AB53" s="264">
        <f>SUM(X53:AA53)</f>
        <v>82056</v>
      </c>
      <c r="AC53" s="263">
        <f>IF(ISNA(MATCH(AC$2,Inputs!$K$4:$AJ$4,0)),NA(),IF(SUMPRODUCT((Inputs!$A$5:$A$120=$B53)*ISNUMBER(INDEX(Inputs!$K$5:$AJ$120,0,MATCH(AC$2,Inputs!$K$4:$AJ$4,0))))+SUMPRODUCT((Inputs!$C$5:$C$120=$B53)*ISNUMBER(INDEX(Inputs!$K$5:$AJ$120,0,MATCH(AC$2,Inputs!$K$4:$AJ$4,0))))+SUMPRODUCT((Inputs!$E$5:$E$120=$B53)*ISNUMBER(INDEX(Inputs!$K$5:$AJ$120,0,MATCH(AC$2,Inputs!$K$4:$AJ$4,0))))=0,NA(),SUMPRODUCT((Inputs!$A$5:$A$120=$B53)*Inputs!$B$5:$B$120*(((Inputs!$G$5:$G$120="moeda")+(Inputs!$G$5:$G$120="acoes"))*Inputs!$B$1+((Inputs!$G$5:$G$120&lt;&gt;"moeda")*(Inputs!$G$5:$G$120&lt;&gt;"acoes")))*INDEX(Inputs!$K$5:$AJ$120,0,MATCH(AC$2,Inputs!$K$4:$AJ$4,0)))+SUMPRODUCT((Inputs!$C$5:$C$120=$B53)*Inputs!$D$5:$D$120*(((Inputs!$G$5:$G$120="moeda")+(Inputs!$G$5:$G$120="acoes"))*Inputs!$B$1+((Inputs!$G$5:$G$120&lt;&gt;"moeda")*(Inputs!$G$5:$G$120&lt;&gt;"acoes")))*INDEX(Inputs!$K$5:$AJ$120,0,MATCH(AC$2,Inputs!$K$4:$AJ$4,0)))+SUMPRODUCT((Inputs!$E$5:$E$120=$B53)*Inputs!$F$5:$F$120*(((Inputs!$G$5:$G$120="moeda")+(Inputs!$G$5:$G$120="acoes"))*Inputs!$B$1+((Inputs!$G$5:$G$120&lt;&gt;"moeda")*(Inputs!$G$5:$G$120&lt;&gt;"acoes")))*INDEX(Inputs!$K$5:$AJ$120,0,MATCH(AC$2,Inputs!$K$4:$AJ$4,0)))))</f>
        <v>19979</v>
      </c>
      <c r="AD53" s="263">
        <f>IF(ISNA(MATCH(AD$2,Inputs!$K$4:$AJ$4,0)),NA(),IF(SUMPRODUCT((Inputs!$A$5:$A$120=$B53)*ISNUMBER(INDEX(Inputs!$K$5:$AJ$120,0,MATCH(AD$2,Inputs!$K$4:$AJ$4,0))))+SUMPRODUCT((Inputs!$C$5:$C$120=$B53)*ISNUMBER(INDEX(Inputs!$K$5:$AJ$120,0,MATCH(AD$2,Inputs!$K$4:$AJ$4,0))))+SUMPRODUCT((Inputs!$E$5:$E$120=$B53)*ISNUMBER(INDEX(Inputs!$K$5:$AJ$120,0,MATCH(AD$2,Inputs!$K$4:$AJ$4,0))))=0,NA(),SUMPRODUCT((Inputs!$A$5:$A$120=$B53)*Inputs!$B$5:$B$120*(((Inputs!$G$5:$G$120="moeda")+(Inputs!$G$5:$G$120="acoes"))*Inputs!$B$1+((Inputs!$G$5:$G$120&lt;&gt;"moeda")*(Inputs!$G$5:$G$120&lt;&gt;"acoes")))*INDEX(Inputs!$K$5:$AJ$120,0,MATCH(AD$2,Inputs!$K$4:$AJ$4,0)))+SUMPRODUCT((Inputs!$C$5:$C$120=$B53)*Inputs!$D$5:$D$120*(((Inputs!$G$5:$G$120="moeda")+(Inputs!$G$5:$G$120="acoes"))*Inputs!$B$1+((Inputs!$G$5:$G$120&lt;&gt;"moeda")*(Inputs!$G$5:$G$120&lt;&gt;"acoes")))*INDEX(Inputs!$K$5:$AJ$120,0,MATCH(AD$2,Inputs!$K$4:$AJ$4,0)))+SUMPRODUCT((Inputs!$E$5:$E$120=$B53)*Inputs!$F$5:$F$120*(((Inputs!$G$5:$G$120="moeda")+(Inputs!$G$5:$G$120="acoes"))*Inputs!$B$1+((Inputs!$G$5:$G$120&lt;&gt;"moeda")*(Inputs!$G$5:$G$120&lt;&gt;"acoes")))*INDEX(Inputs!$K$5:$AJ$120,0,MATCH(AD$2,Inputs!$K$4:$AJ$4,0)))))</f>
        <v>25097</v>
      </c>
      <c r="AE53" s="263" t="e">
        <f>IF(ISNA(MATCH(AE$2,Inputs!$K$4:$AJ$4,0)),NA(),IF(SUMPRODUCT((Inputs!$A$5:$A$120=$B53)*ISNUMBER(INDEX(Inputs!$K$5:$AJ$120,0,MATCH(AE$2,Inputs!$K$4:$AJ$4,0))))+SUMPRODUCT((Inputs!$C$5:$C$120=$B53)*ISNUMBER(INDEX(Inputs!$K$5:$AJ$120,0,MATCH(AE$2,Inputs!$K$4:$AJ$4,0))))+SUMPRODUCT((Inputs!$E$5:$E$120=$B53)*ISNUMBER(INDEX(Inputs!$K$5:$AJ$120,0,MATCH(AE$2,Inputs!$K$4:$AJ$4,0))))=0,NA(),SUMPRODUCT((Inputs!$A$5:$A$120=$B53)*Inputs!$B$5:$B$120*(((Inputs!$G$5:$G$120="moeda")+(Inputs!$G$5:$G$120="acoes"))*Inputs!$B$1+((Inputs!$G$5:$G$120&lt;&gt;"moeda")*(Inputs!$G$5:$G$120&lt;&gt;"acoes")))*INDEX(Inputs!$K$5:$AJ$120,0,MATCH(AE$2,Inputs!$K$4:$AJ$4,0)))+SUMPRODUCT((Inputs!$C$5:$C$120=$B53)*Inputs!$D$5:$D$120*(((Inputs!$G$5:$G$120="moeda")+(Inputs!$G$5:$G$120="acoes"))*Inputs!$B$1+((Inputs!$G$5:$G$120&lt;&gt;"moeda")*(Inputs!$G$5:$G$120&lt;&gt;"acoes")))*INDEX(Inputs!$K$5:$AJ$120,0,MATCH(AE$2,Inputs!$K$4:$AJ$4,0)))+SUMPRODUCT((Inputs!$E$5:$E$120=$B53)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53" s="263" t="e">
        <f>IF(ISNA(MATCH(AF$2,Inputs!$K$4:$AJ$4,0)),NA(),IF(SUMPRODUCT((Inputs!$A$5:$A$120=$B53)*ISNUMBER(INDEX(Inputs!$K$5:$AJ$120,0,MATCH(AF$2,Inputs!$K$4:$AJ$4,0))))+SUMPRODUCT((Inputs!$C$5:$C$120=$B53)*ISNUMBER(INDEX(Inputs!$K$5:$AJ$120,0,MATCH(AF$2,Inputs!$K$4:$AJ$4,0))))+SUMPRODUCT((Inputs!$E$5:$E$120=$B53)*ISNUMBER(INDEX(Inputs!$K$5:$AJ$120,0,MATCH(AF$2,Inputs!$K$4:$AJ$4,0))))=0,NA(),SUMPRODUCT((Inputs!$A$5:$A$120=$B53)*Inputs!$B$5:$B$120*(((Inputs!$G$5:$G$120="moeda")+(Inputs!$G$5:$G$120="acoes"))*Inputs!$B$1+((Inputs!$G$5:$G$120&lt;&gt;"moeda")*(Inputs!$G$5:$G$120&lt;&gt;"acoes")))*INDEX(Inputs!$K$5:$AJ$120,0,MATCH(AF$2,Inputs!$K$4:$AJ$4,0)))+SUMPRODUCT((Inputs!$C$5:$C$120=$B53)*Inputs!$D$5:$D$120*(((Inputs!$G$5:$G$120="moeda")+(Inputs!$G$5:$G$120="acoes"))*Inputs!$B$1+((Inputs!$G$5:$G$120&lt;&gt;"moeda")*(Inputs!$G$5:$G$120&lt;&gt;"acoes")))*INDEX(Inputs!$K$5:$AJ$120,0,MATCH(AF$2,Inputs!$K$4:$AJ$4,0)))+SUMPRODUCT((Inputs!$E$5:$E$120=$B53)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53" s="264" t="e">
        <f>SUM(AC53:AF53)</f>
        <v>#N/A</v>
      </c>
      <c r="AH53" s="263">
        <f>IF(ISNA(MATCH(AH$2,Inputs!$K$4:$AJ$4,0)),NA(),IF(SUMPRODUCT((Inputs!$A$5:$A$120=$B53)*ISNUMBER(INDEX(Inputs!$K$5:$AJ$120,0,MATCH(AH$2,Inputs!$K$4:$AJ$4,0))))+SUMPRODUCT((Inputs!$C$5:$C$120=$B53)*ISNUMBER(INDEX(Inputs!$K$5:$AJ$120,0,MATCH(AH$2,Inputs!$K$4:$AJ$4,0))))+SUMPRODUCT((Inputs!$E$5:$E$120=$B53)*ISNUMBER(INDEX(Inputs!$K$5:$AJ$120,0,MATCH(AH$2,Inputs!$K$4:$AJ$4,0))))=0,NA(),SUMPRODUCT((Inputs!$A$5:$A$120=$B53)*Inputs!$B$5:$B$120*(((Inputs!$G$5:$G$120="moeda")+(Inputs!$G$5:$G$120="acoes"))*Inputs!$B$1+((Inputs!$G$5:$G$120&lt;&gt;"moeda")*(Inputs!$G$5:$G$120&lt;&gt;"acoes")))*INDEX(Inputs!$K$5:$AJ$120,0,MATCH(AH$2,Inputs!$K$4:$AJ$4,0)))+SUMPRODUCT((Inputs!$C$5:$C$120=$B53)*Inputs!$D$5:$D$120*(((Inputs!$G$5:$G$120="moeda")+(Inputs!$G$5:$G$120="acoes"))*Inputs!$B$1+((Inputs!$G$5:$G$120&lt;&gt;"moeda")*(Inputs!$G$5:$G$120&lt;&gt;"acoes")))*INDEX(Inputs!$K$5:$AJ$120,0,MATCH(AH$2,Inputs!$K$4:$AJ$4,0)))+SUMPRODUCT((Inputs!$E$5:$E$120=$B53)*Inputs!$F$5:$F$120*(((Inputs!$G$5:$G$120="moeda")+(Inputs!$G$5:$G$120="acoes"))*Inputs!$B$1+((Inputs!$G$5:$G$120&lt;&gt;"moeda")*(Inputs!$G$5:$G$120&lt;&gt;"acoes")))*INDEX(Inputs!$K$5:$AJ$120,0,MATCH(AH$2,Inputs!$K$4:$AJ$4,0)))))</f>
        <v>5692</v>
      </c>
      <c r="AI53" s="263">
        <f>IF(ISNA(MATCH(AI$2,Inputs!$K$4:$AJ$4,0)),NA(),IF(SUMPRODUCT((Inputs!$A$5:$A$120=$B53)*ISNUMBER(INDEX(Inputs!$K$5:$AJ$120,0,MATCH(AI$2,Inputs!$K$4:$AJ$4,0))))+SUMPRODUCT((Inputs!$C$5:$C$120=$B53)*ISNUMBER(INDEX(Inputs!$K$5:$AJ$120,0,MATCH(AI$2,Inputs!$K$4:$AJ$4,0))))+SUMPRODUCT((Inputs!$E$5:$E$120=$B53)*ISNUMBER(INDEX(Inputs!$K$5:$AJ$120,0,MATCH(AI$2,Inputs!$K$4:$AJ$4,0))))=0,NA(),SUMPRODUCT((Inputs!$A$5:$A$120=$B53)*Inputs!$B$5:$B$120*(((Inputs!$G$5:$G$120="moeda")+(Inputs!$G$5:$G$120="acoes"))*Inputs!$B$1+((Inputs!$G$5:$G$120&lt;&gt;"moeda")*(Inputs!$G$5:$G$120&lt;&gt;"acoes")))*INDEX(Inputs!$K$5:$AJ$120,0,MATCH(AI$2,Inputs!$K$4:$AJ$4,0)))+SUMPRODUCT((Inputs!$C$5:$C$120=$B53)*Inputs!$D$5:$D$120*(((Inputs!$G$5:$G$120="moeda")+(Inputs!$G$5:$G$120="acoes"))*Inputs!$B$1+((Inputs!$G$5:$G$120&lt;&gt;"moeda")*(Inputs!$G$5:$G$120&lt;&gt;"acoes")))*INDEX(Inputs!$K$5:$AJ$120,0,MATCH(AI$2,Inputs!$K$4:$AJ$4,0)))+SUMPRODUCT((Inputs!$E$5:$E$120=$B53)*Inputs!$F$5:$F$120*(((Inputs!$G$5:$G$120="moeda")+(Inputs!$G$5:$G$120="acoes"))*Inputs!$B$1+((Inputs!$G$5:$G$120&lt;&gt;"moeda")*(Inputs!$G$5:$G$120&lt;&gt;"acoes")))*INDEX(Inputs!$K$5:$AJ$120,0,MATCH(AI$2,Inputs!$K$4:$AJ$4,0)))))</f>
        <v>5666</v>
      </c>
      <c r="AJ53" s="263">
        <f>IF(ISNA(MATCH(AJ$2,Inputs!$K$4:$AJ$4,0)),NA(),IF(SUMPRODUCT((Inputs!$A$5:$A$120=$B53)*ISNUMBER(INDEX(Inputs!$K$5:$AJ$120,0,MATCH(AJ$2,Inputs!$K$4:$AJ$4,0))))+SUMPRODUCT((Inputs!$C$5:$C$120=$B53)*ISNUMBER(INDEX(Inputs!$K$5:$AJ$120,0,MATCH(AJ$2,Inputs!$K$4:$AJ$4,0))))+SUMPRODUCT((Inputs!$E$5:$E$120=$B53)*ISNUMBER(INDEX(Inputs!$K$5:$AJ$120,0,MATCH(AJ$2,Inputs!$K$4:$AJ$4,0))))=0,NA(),SUMPRODUCT((Inputs!$A$5:$A$120=$B53)*Inputs!$B$5:$B$120*(((Inputs!$G$5:$G$120="moeda")+(Inputs!$G$5:$G$120="acoes"))*Inputs!$B$1+((Inputs!$G$5:$G$120&lt;&gt;"moeda")*(Inputs!$G$5:$G$120&lt;&gt;"acoes")))*INDEX(Inputs!$K$5:$AJ$120,0,MATCH(AJ$2,Inputs!$K$4:$AJ$4,0)))+SUMPRODUCT((Inputs!$C$5:$C$120=$B53)*Inputs!$D$5:$D$120*(((Inputs!$G$5:$G$120="moeda")+(Inputs!$G$5:$G$120="acoes"))*Inputs!$B$1+((Inputs!$G$5:$G$120&lt;&gt;"moeda")*(Inputs!$G$5:$G$120&lt;&gt;"acoes")))*INDEX(Inputs!$K$5:$AJ$120,0,MATCH(AJ$2,Inputs!$K$4:$AJ$4,0)))+SUMPRODUCT((Inputs!$E$5:$E$120=$B53)*Inputs!$F$5:$F$120*(((Inputs!$G$5:$G$120="moeda")+(Inputs!$G$5:$G$120="acoes"))*Inputs!$B$1+((Inputs!$G$5:$G$120&lt;&gt;"moeda")*(Inputs!$G$5:$G$120&lt;&gt;"acoes")))*INDEX(Inputs!$K$5:$AJ$120,0,MATCH(AJ$2,Inputs!$K$4:$AJ$4,0)))))</f>
        <v>8192</v>
      </c>
      <c r="AK53" s="263">
        <f>IF(ISNA(MATCH(AK$2,Inputs!$K$4:$AJ$4,0)),NA(),IF(SUMPRODUCT((Inputs!$A$5:$A$120=$B53)*ISNUMBER(INDEX(Inputs!$K$5:$AJ$120,0,MATCH(AK$2,Inputs!$K$4:$AJ$4,0))))+SUMPRODUCT((Inputs!$C$5:$C$120=$B53)*ISNUMBER(INDEX(Inputs!$K$5:$AJ$120,0,MATCH(AK$2,Inputs!$K$4:$AJ$4,0))))+SUMPRODUCT((Inputs!$E$5:$E$120=$B53)*ISNUMBER(INDEX(Inputs!$K$5:$AJ$120,0,MATCH(AK$2,Inputs!$K$4:$AJ$4,0))))=0,NA(),SUMPRODUCT((Inputs!$A$5:$A$120=$B53)*Inputs!$B$5:$B$120*(((Inputs!$G$5:$G$120="moeda")+(Inputs!$G$5:$G$120="acoes"))*Inputs!$B$1+((Inputs!$G$5:$G$120&lt;&gt;"moeda")*(Inputs!$G$5:$G$120&lt;&gt;"acoes")))*INDEX(Inputs!$K$5:$AJ$120,0,MATCH(AK$2,Inputs!$K$4:$AJ$4,0)))+SUMPRODUCT((Inputs!$C$5:$C$120=$B53)*Inputs!$D$5:$D$120*(((Inputs!$G$5:$G$120="moeda")+(Inputs!$G$5:$G$120="acoes"))*Inputs!$B$1+((Inputs!$G$5:$G$120&lt;&gt;"moeda")*(Inputs!$G$5:$G$120&lt;&gt;"acoes")))*INDEX(Inputs!$K$5:$AJ$120,0,MATCH(AK$2,Inputs!$K$4:$AJ$4,0)))+SUMPRODUCT((Inputs!$E$5:$E$120=$B53)*Inputs!$F$5:$F$120*(((Inputs!$G$5:$G$120="moeda")+(Inputs!$G$5:$G$120="acoes"))*Inputs!$B$1+((Inputs!$G$5:$G$120&lt;&gt;"moeda")*(Inputs!$G$5:$G$120&lt;&gt;"acoes")))*INDEX(Inputs!$K$5:$AJ$120,0,MATCH(AK$2,Inputs!$K$4:$AJ$4,0)))))</f>
        <v>9992</v>
      </c>
      <c r="AL53" s="264">
        <f>SUM(AH53:AK53)</f>
        <v>29542</v>
      </c>
    </row>
    <row r="54">
      <c r="B54" s="46" t="n">
        <v>46</v>
      </c>
      <c r="C54" s="29" t="inlineStr">
        <is>
          <t>Segmento Geração e Armazenamento de Energia - receita (USD)</t>
        </is>
      </c>
      <c r="D54" s="263">
        <f>IF(ISNA(MATCH(D$2,Inputs!$K$4:$AJ$4,0)),NA(),IF(SUMPRODUCT((Inputs!$A$5:$A$120=$B54)*ISNUMBER(INDEX(Inputs!$K$5:$AJ$120,0,MATCH(D$2,Inputs!$K$4:$AJ$4,0))))+SUMPRODUCT((Inputs!$C$5:$C$120=$B54)*ISNUMBER(INDEX(Inputs!$K$5:$AJ$120,0,MATCH(D$2,Inputs!$K$4:$AJ$4,0))))+SUMPRODUCT((Inputs!$E$5:$E$120=$B54)*ISNUMBER(INDEX(Inputs!$K$5:$AJ$120,0,MATCH(D$2,Inputs!$K$4:$AJ$4,0))))=0,NA(),SUMPRODUCT((Inputs!$A$5:$A$120=$B54)*Inputs!$B$5:$B$120*(((Inputs!$G$5:$G$120="moeda")+(Inputs!$G$5:$G$120="acoes"))*Inputs!$B$1+((Inputs!$G$5:$G$120&lt;&gt;"moeda")*(Inputs!$G$5:$G$120&lt;&gt;"acoes")))*INDEX(Inputs!$K$5:$AJ$120,0,MATCH(D$2,Inputs!$K$4:$AJ$4,0)))+SUMPRODUCT((Inputs!$C$5:$C$120=$B54)*Inputs!$D$5:$D$120*(((Inputs!$G$5:$G$120="moeda")+(Inputs!$G$5:$G$120="acoes"))*Inputs!$B$1+((Inputs!$G$5:$G$120&lt;&gt;"moeda")*(Inputs!$G$5:$G$120&lt;&gt;"acoes")))*INDEX(Inputs!$K$5:$AJ$120,0,MATCH(D$2,Inputs!$K$4:$AJ$4,0)))+SUMPRODUCT((Inputs!$E$5:$E$120=$B54)*Inputs!$F$5:$F$120*(((Inputs!$G$5:$G$120="moeda")+(Inputs!$G$5:$G$120="acoes"))*Inputs!$B$1+((Inputs!$G$5:$G$120&lt;&gt;"moeda")*(Inputs!$G$5:$G$120&lt;&gt;"acoes")))*INDEX(Inputs!$K$5:$AJ$120,0,MATCH(D$2,Inputs!$K$4:$AJ$4,0)))))</f>
        <v>494</v>
      </c>
      <c r="E54" s="263">
        <f>IF(ISNA(MATCH(E$2,Inputs!$K$4:$AJ$4,0)),NA(),IF(SUMPRODUCT((Inputs!$A$5:$A$120=$B54)*ISNUMBER(INDEX(Inputs!$K$5:$AJ$120,0,MATCH(E$2,Inputs!$K$4:$AJ$4,0))))+SUMPRODUCT((Inputs!$C$5:$C$120=$B54)*ISNUMBER(INDEX(Inputs!$K$5:$AJ$120,0,MATCH(E$2,Inputs!$K$4:$AJ$4,0))))+SUMPRODUCT((Inputs!$E$5:$E$120=$B54)*ISNUMBER(INDEX(Inputs!$K$5:$AJ$120,0,MATCH(E$2,Inputs!$K$4:$AJ$4,0))))=0,NA(),SUMPRODUCT((Inputs!$A$5:$A$120=$B54)*Inputs!$B$5:$B$120*(((Inputs!$G$5:$G$120="moeda")+(Inputs!$G$5:$G$120="acoes"))*Inputs!$B$1+((Inputs!$G$5:$G$120&lt;&gt;"moeda")*(Inputs!$G$5:$G$120&lt;&gt;"acoes")))*INDEX(Inputs!$K$5:$AJ$120,0,MATCH(E$2,Inputs!$K$4:$AJ$4,0)))+SUMPRODUCT((Inputs!$C$5:$C$120=$B54)*Inputs!$D$5:$D$120*(((Inputs!$G$5:$G$120="moeda")+(Inputs!$G$5:$G$120="acoes"))*Inputs!$B$1+((Inputs!$G$5:$G$120&lt;&gt;"moeda")*(Inputs!$G$5:$G$120&lt;&gt;"acoes")))*INDEX(Inputs!$K$5:$AJ$120,0,MATCH(E$2,Inputs!$K$4:$AJ$4,0)))+SUMPRODUCT((Inputs!$E$5:$E$120=$B54)*Inputs!$F$5:$F$120*(((Inputs!$G$5:$G$120="moeda")+(Inputs!$G$5:$G$120="acoes"))*Inputs!$B$1+((Inputs!$G$5:$G$120&lt;&gt;"moeda")*(Inputs!$G$5:$G$120&lt;&gt;"acoes")))*INDEX(Inputs!$K$5:$AJ$120,0,MATCH(E$2,Inputs!$K$4:$AJ$4,0)))))</f>
        <v>801</v>
      </c>
      <c r="F54" s="263">
        <f>IF(ISNA(MATCH(F$2,Inputs!$K$4:$AJ$4,0)),NA(),IF(SUMPRODUCT((Inputs!$A$5:$A$120=$B54)*ISNUMBER(INDEX(Inputs!$K$5:$AJ$120,0,MATCH(F$2,Inputs!$K$4:$AJ$4,0))))+SUMPRODUCT((Inputs!$C$5:$C$120=$B54)*ISNUMBER(INDEX(Inputs!$K$5:$AJ$120,0,MATCH(F$2,Inputs!$K$4:$AJ$4,0))))+SUMPRODUCT((Inputs!$E$5:$E$120=$B54)*ISNUMBER(INDEX(Inputs!$K$5:$AJ$120,0,MATCH(F$2,Inputs!$K$4:$AJ$4,0))))=0,NA(),SUMPRODUCT((Inputs!$A$5:$A$120=$B54)*Inputs!$B$5:$B$120*(((Inputs!$G$5:$G$120="moeda")+(Inputs!$G$5:$G$120="acoes"))*Inputs!$B$1+((Inputs!$G$5:$G$120&lt;&gt;"moeda")*(Inputs!$G$5:$G$120&lt;&gt;"acoes")))*INDEX(Inputs!$K$5:$AJ$120,0,MATCH(F$2,Inputs!$K$4:$AJ$4,0)))+SUMPRODUCT((Inputs!$C$5:$C$120=$B54)*Inputs!$D$5:$D$120*(((Inputs!$G$5:$G$120="moeda")+(Inputs!$G$5:$G$120="acoes"))*Inputs!$B$1+((Inputs!$G$5:$G$120&lt;&gt;"moeda")*(Inputs!$G$5:$G$120&lt;&gt;"acoes")))*INDEX(Inputs!$K$5:$AJ$120,0,MATCH(F$2,Inputs!$K$4:$AJ$4,0)))+SUMPRODUCT((Inputs!$E$5:$E$120=$B54)*Inputs!$F$5:$F$120*(((Inputs!$G$5:$G$120="moeda")+(Inputs!$G$5:$G$120="acoes"))*Inputs!$B$1+((Inputs!$G$5:$G$120&lt;&gt;"moeda")*(Inputs!$G$5:$G$120&lt;&gt;"acoes")))*INDEX(Inputs!$K$5:$AJ$120,0,MATCH(F$2,Inputs!$K$4:$AJ$4,0)))))</f>
        <v>806</v>
      </c>
      <c r="G54" s="263">
        <f>IF(ISNA(MATCH(G$2,Inputs!$K$4:$AJ$4,0)),NA(),IF(SUMPRODUCT((Inputs!$A$5:$A$120=$B54)*ISNUMBER(INDEX(Inputs!$K$5:$AJ$120,0,MATCH(G$2,Inputs!$K$4:$AJ$4,0))))+SUMPRODUCT((Inputs!$C$5:$C$120=$B54)*ISNUMBER(INDEX(Inputs!$K$5:$AJ$120,0,MATCH(G$2,Inputs!$K$4:$AJ$4,0))))+SUMPRODUCT((Inputs!$E$5:$E$120=$B54)*ISNUMBER(INDEX(Inputs!$K$5:$AJ$120,0,MATCH(G$2,Inputs!$K$4:$AJ$4,0))))=0,NA(),SUMPRODUCT((Inputs!$A$5:$A$120=$B54)*Inputs!$B$5:$B$120*(((Inputs!$G$5:$G$120="moeda")+(Inputs!$G$5:$G$120="acoes"))*Inputs!$B$1+((Inputs!$G$5:$G$120&lt;&gt;"moeda")*(Inputs!$G$5:$G$120&lt;&gt;"acoes")))*INDEX(Inputs!$K$5:$AJ$120,0,MATCH(G$2,Inputs!$K$4:$AJ$4,0)))+SUMPRODUCT((Inputs!$C$5:$C$120=$B54)*Inputs!$D$5:$D$120*(((Inputs!$G$5:$G$120="moeda")+(Inputs!$G$5:$G$120="acoes"))*Inputs!$B$1+((Inputs!$G$5:$G$120&lt;&gt;"moeda")*(Inputs!$G$5:$G$120&lt;&gt;"acoes")))*INDEX(Inputs!$K$5:$AJ$120,0,MATCH(G$2,Inputs!$K$4:$AJ$4,0)))+SUMPRODUCT((Inputs!$E$5:$E$120=$B54)*Inputs!$F$5:$F$120*(((Inputs!$G$5:$G$120="moeda")+(Inputs!$G$5:$G$120="acoes"))*Inputs!$B$1+((Inputs!$G$5:$G$120&lt;&gt;"moeda")*(Inputs!$G$5:$G$120&lt;&gt;"acoes")))*INDEX(Inputs!$K$5:$AJ$120,0,MATCH(G$2,Inputs!$K$4:$AJ$4,0)))))</f>
        <v>688</v>
      </c>
      <c r="H54" s="264">
        <f>SUM(D54:G54)</f>
        <v>2789</v>
      </c>
      <c r="I54" s="263">
        <f>IF(ISNA(MATCH(I$2,Inputs!$K$4:$AJ$4,0)),NA(),IF(SUMPRODUCT((Inputs!$A$5:$A$120=$B54)*ISNUMBER(INDEX(Inputs!$K$5:$AJ$120,0,MATCH(I$2,Inputs!$K$4:$AJ$4,0))))+SUMPRODUCT((Inputs!$C$5:$C$120=$B54)*ISNUMBER(INDEX(Inputs!$K$5:$AJ$120,0,MATCH(I$2,Inputs!$K$4:$AJ$4,0))))+SUMPRODUCT((Inputs!$E$5:$E$120=$B54)*ISNUMBER(INDEX(Inputs!$K$5:$AJ$120,0,MATCH(I$2,Inputs!$K$4:$AJ$4,0))))=0,NA(),SUMPRODUCT((Inputs!$A$5:$A$120=$B54)*Inputs!$B$5:$B$120*(((Inputs!$G$5:$G$120="moeda")+(Inputs!$G$5:$G$120="acoes"))*Inputs!$B$1+((Inputs!$G$5:$G$120&lt;&gt;"moeda")*(Inputs!$G$5:$G$120&lt;&gt;"acoes")))*INDEX(Inputs!$K$5:$AJ$120,0,MATCH(I$2,Inputs!$K$4:$AJ$4,0)))+SUMPRODUCT((Inputs!$C$5:$C$120=$B54)*Inputs!$D$5:$D$120*(((Inputs!$G$5:$G$120="moeda")+(Inputs!$G$5:$G$120="acoes"))*Inputs!$B$1+((Inputs!$G$5:$G$120&lt;&gt;"moeda")*(Inputs!$G$5:$G$120&lt;&gt;"acoes")))*INDEX(Inputs!$K$5:$AJ$120,0,MATCH(I$2,Inputs!$K$4:$AJ$4,0)))+SUMPRODUCT((Inputs!$E$5:$E$120=$B54)*Inputs!$F$5:$F$120*(((Inputs!$G$5:$G$120="moeda")+(Inputs!$G$5:$G$120="acoes"))*Inputs!$B$1+((Inputs!$G$5:$G$120&lt;&gt;"moeda")*(Inputs!$G$5:$G$120&lt;&gt;"acoes")))*INDEX(Inputs!$K$5:$AJ$120,0,MATCH(I$2,Inputs!$K$4:$AJ$4,0)))))</f>
        <v>616</v>
      </c>
      <c r="J54" s="263">
        <f>IF(ISNA(MATCH(J$2,Inputs!$K$4:$AJ$4,0)),NA(),IF(SUMPRODUCT((Inputs!$A$5:$A$120=$B54)*ISNUMBER(INDEX(Inputs!$K$5:$AJ$120,0,MATCH(J$2,Inputs!$K$4:$AJ$4,0))))+SUMPRODUCT((Inputs!$C$5:$C$120=$B54)*ISNUMBER(INDEX(Inputs!$K$5:$AJ$120,0,MATCH(J$2,Inputs!$K$4:$AJ$4,0))))+SUMPRODUCT((Inputs!$E$5:$E$120=$B54)*ISNUMBER(INDEX(Inputs!$K$5:$AJ$120,0,MATCH(J$2,Inputs!$K$4:$AJ$4,0))))=0,NA(),SUMPRODUCT((Inputs!$A$5:$A$120=$B54)*Inputs!$B$5:$B$120*(((Inputs!$G$5:$G$120="moeda")+(Inputs!$G$5:$G$120="acoes"))*Inputs!$B$1+((Inputs!$G$5:$G$120&lt;&gt;"moeda")*(Inputs!$G$5:$G$120&lt;&gt;"acoes")))*INDEX(Inputs!$K$5:$AJ$120,0,MATCH(J$2,Inputs!$K$4:$AJ$4,0)))+SUMPRODUCT((Inputs!$C$5:$C$120=$B54)*Inputs!$D$5:$D$120*(((Inputs!$G$5:$G$120="moeda")+(Inputs!$G$5:$G$120="acoes"))*Inputs!$B$1+((Inputs!$G$5:$G$120&lt;&gt;"moeda")*(Inputs!$G$5:$G$120&lt;&gt;"acoes")))*INDEX(Inputs!$K$5:$AJ$120,0,MATCH(J$2,Inputs!$K$4:$AJ$4,0)))+SUMPRODUCT((Inputs!$E$5:$E$120=$B54)*Inputs!$F$5:$F$120*(((Inputs!$G$5:$G$120="moeda")+(Inputs!$G$5:$G$120="acoes"))*Inputs!$B$1+((Inputs!$G$5:$G$120&lt;&gt;"moeda")*(Inputs!$G$5:$G$120&lt;&gt;"acoes")))*INDEX(Inputs!$K$5:$AJ$120,0,MATCH(J$2,Inputs!$K$4:$AJ$4,0)))))</f>
        <v>866</v>
      </c>
      <c r="K54" s="263">
        <f>IF(ISNA(MATCH(K$2,Inputs!$K$4:$AJ$4,0)),NA(),IF(SUMPRODUCT((Inputs!$A$5:$A$120=$B54)*ISNUMBER(INDEX(Inputs!$K$5:$AJ$120,0,MATCH(K$2,Inputs!$K$4:$AJ$4,0))))+SUMPRODUCT((Inputs!$C$5:$C$120=$B54)*ISNUMBER(INDEX(Inputs!$K$5:$AJ$120,0,MATCH(K$2,Inputs!$K$4:$AJ$4,0))))+SUMPRODUCT((Inputs!$E$5:$E$120=$B54)*ISNUMBER(INDEX(Inputs!$K$5:$AJ$120,0,MATCH(K$2,Inputs!$K$4:$AJ$4,0))))=0,NA(),SUMPRODUCT((Inputs!$A$5:$A$120=$B54)*Inputs!$B$5:$B$120*(((Inputs!$G$5:$G$120="moeda")+(Inputs!$G$5:$G$120="acoes"))*Inputs!$B$1+((Inputs!$G$5:$G$120&lt;&gt;"moeda")*(Inputs!$G$5:$G$120&lt;&gt;"acoes")))*INDEX(Inputs!$K$5:$AJ$120,0,MATCH(K$2,Inputs!$K$4:$AJ$4,0)))+SUMPRODUCT((Inputs!$C$5:$C$120=$B54)*Inputs!$D$5:$D$120*(((Inputs!$G$5:$G$120="moeda")+(Inputs!$G$5:$G$120="acoes"))*Inputs!$B$1+((Inputs!$G$5:$G$120&lt;&gt;"moeda")*(Inputs!$G$5:$G$120&lt;&gt;"acoes")))*INDEX(Inputs!$K$5:$AJ$120,0,MATCH(K$2,Inputs!$K$4:$AJ$4,0)))+SUMPRODUCT((Inputs!$E$5:$E$120=$B54)*Inputs!$F$5:$F$120*(((Inputs!$G$5:$G$120="moeda")+(Inputs!$G$5:$G$120="acoes"))*Inputs!$B$1+((Inputs!$G$5:$G$120&lt;&gt;"moeda")*(Inputs!$G$5:$G$120&lt;&gt;"acoes")))*INDEX(Inputs!$K$5:$AJ$120,0,MATCH(K$2,Inputs!$K$4:$AJ$4,0)))))</f>
        <v>1117</v>
      </c>
      <c r="L54" s="263">
        <f>IF(ISNA(MATCH(L$2,Inputs!$K$4:$AJ$4,0)),NA(),IF(SUMPRODUCT((Inputs!$A$5:$A$120=$B54)*ISNUMBER(INDEX(Inputs!$K$5:$AJ$120,0,MATCH(L$2,Inputs!$K$4:$AJ$4,0))))+SUMPRODUCT((Inputs!$C$5:$C$120=$B54)*ISNUMBER(INDEX(Inputs!$K$5:$AJ$120,0,MATCH(L$2,Inputs!$K$4:$AJ$4,0))))+SUMPRODUCT((Inputs!$E$5:$E$120=$B54)*ISNUMBER(INDEX(Inputs!$K$5:$AJ$120,0,MATCH(L$2,Inputs!$K$4:$AJ$4,0))))=0,NA(),SUMPRODUCT((Inputs!$A$5:$A$120=$B54)*Inputs!$B$5:$B$120*(((Inputs!$G$5:$G$120="moeda")+(Inputs!$G$5:$G$120="acoes"))*Inputs!$B$1+((Inputs!$G$5:$G$120&lt;&gt;"moeda")*(Inputs!$G$5:$G$120&lt;&gt;"acoes")))*INDEX(Inputs!$K$5:$AJ$120,0,MATCH(L$2,Inputs!$K$4:$AJ$4,0)))+SUMPRODUCT((Inputs!$C$5:$C$120=$B54)*Inputs!$D$5:$D$120*(((Inputs!$G$5:$G$120="moeda")+(Inputs!$G$5:$G$120="acoes"))*Inputs!$B$1+((Inputs!$G$5:$G$120&lt;&gt;"moeda")*(Inputs!$G$5:$G$120&lt;&gt;"acoes")))*INDEX(Inputs!$K$5:$AJ$120,0,MATCH(L$2,Inputs!$K$4:$AJ$4,0)))+SUMPRODUCT((Inputs!$E$5:$E$120=$B54)*Inputs!$F$5:$F$120*(((Inputs!$G$5:$G$120="moeda")+(Inputs!$G$5:$G$120="acoes"))*Inputs!$B$1+((Inputs!$G$5:$G$120&lt;&gt;"moeda")*(Inputs!$G$5:$G$120&lt;&gt;"acoes")))*INDEX(Inputs!$K$5:$AJ$120,0,MATCH(L$2,Inputs!$K$4:$AJ$4,0)))))</f>
        <v>1310</v>
      </c>
      <c r="M54" s="264">
        <f>SUM(I54:L54)</f>
        <v>3909</v>
      </c>
      <c r="N54" s="263">
        <f>IF(ISNA(MATCH(N$2,Inputs!$K$4:$AJ$4,0)),NA(),IF(SUMPRODUCT((Inputs!$A$5:$A$120=$B54)*ISNUMBER(INDEX(Inputs!$K$5:$AJ$120,0,MATCH(N$2,Inputs!$K$4:$AJ$4,0))))+SUMPRODUCT((Inputs!$C$5:$C$120=$B54)*ISNUMBER(INDEX(Inputs!$K$5:$AJ$120,0,MATCH(N$2,Inputs!$K$4:$AJ$4,0))))+SUMPRODUCT((Inputs!$E$5:$E$120=$B54)*ISNUMBER(INDEX(Inputs!$K$5:$AJ$120,0,MATCH(N$2,Inputs!$K$4:$AJ$4,0))))=0,NA(),SUMPRODUCT((Inputs!$A$5:$A$120=$B54)*Inputs!$B$5:$B$120*(((Inputs!$G$5:$G$120="moeda")+(Inputs!$G$5:$G$120="acoes"))*Inputs!$B$1+((Inputs!$G$5:$G$120&lt;&gt;"moeda")*(Inputs!$G$5:$G$120&lt;&gt;"acoes")))*INDEX(Inputs!$K$5:$AJ$120,0,MATCH(N$2,Inputs!$K$4:$AJ$4,0)))+SUMPRODUCT((Inputs!$C$5:$C$120=$B54)*Inputs!$D$5:$D$120*(((Inputs!$G$5:$G$120="moeda")+(Inputs!$G$5:$G$120="acoes"))*Inputs!$B$1+((Inputs!$G$5:$G$120&lt;&gt;"moeda")*(Inputs!$G$5:$G$120&lt;&gt;"acoes")))*INDEX(Inputs!$K$5:$AJ$120,0,MATCH(N$2,Inputs!$K$4:$AJ$4,0)))+SUMPRODUCT((Inputs!$E$5:$E$120=$B54)*Inputs!$F$5:$F$120*(((Inputs!$G$5:$G$120="moeda")+(Inputs!$G$5:$G$120="acoes"))*Inputs!$B$1+((Inputs!$G$5:$G$120&lt;&gt;"moeda")*(Inputs!$G$5:$G$120&lt;&gt;"acoes")))*INDEX(Inputs!$K$5:$AJ$120,0,MATCH(N$2,Inputs!$K$4:$AJ$4,0)))))</f>
        <v>1529</v>
      </c>
      <c r="O54" s="263">
        <f>IF(ISNA(MATCH(O$2,Inputs!$K$4:$AJ$4,0)),NA(),IF(SUMPRODUCT((Inputs!$A$5:$A$120=$B54)*ISNUMBER(INDEX(Inputs!$K$5:$AJ$120,0,MATCH(O$2,Inputs!$K$4:$AJ$4,0))))+SUMPRODUCT((Inputs!$C$5:$C$120=$B54)*ISNUMBER(INDEX(Inputs!$K$5:$AJ$120,0,MATCH(O$2,Inputs!$K$4:$AJ$4,0))))+SUMPRODUCT((Inputs!$E$5:$E$120=$B54)*ISNUMBER(INDEX(Inputs!$K$5:$AJ$120,0,MATCH(O$2,Inputs!$K$4:$AJ$4,0))))=0,NA(),SUMPRODUCT((Inputs!$A$5:$A$120=$B54)*Inputs!$B$5:$B$120*(((Inputs!$G$5:$G$120="moeda")+(Inputs!$G$5:$G$120="acoes"))*Inputs!$B$1+((Inputs!$G$5:$G$120&lt;&gt;"moeda")*(Inputs!$G$5:$G$120&lt;&gt;"acoes")))*INDEX(Inputs!$K$5:$AJ$120,0,MATCH(O$2,Inputs!$K$4:$AJ$4,0)))+SUMPRODUCT((Inputs!$C$5:$C$120=$B54)*Inputs!$D$5:$D$120*(((Inputs!$G$5:$G$120="moeda")+(Inputs!$G$5:$G$120="acoes"))*Inputs!$B$1+((Inputs!$G$5:$G$120&lt;&gt;"moeda")*(Inputs!$G$5:$G$120&lt;&gt;"acoes")))*INDEX(Inputs!$K$5:$AJ$120,0,MATCH(O$2,Inputs!$K$4:$AJ$4,0)))+SUMPRODUCT((Inputs!$E$5:$E$120=$B54)*Inputs!$F$5:$F$120*(((Inputs!$G$5:$G$120="moeda")+(Inputs!$G$5:$G$120="acoes"))*Inputs!$B$1+((Inputs!$G$5:$G$120&lt;&gt;"moeda")*(Inputs!$G$5:$G$120&lt;&gt;"acoes")))*INDEX(Inputs!$K$5:$AJ$120,0,MATCH(O$2,Inputs!$K$4:$AJ$4,0)))))</f>
        <v>1509</v>
      </c>
      <c r="P54" s="263">
        <f>IF(ISNA(MATCH(P$2,Inputs!$K$4:$AJ$4,0)),NA(),IF(SUMPRODUCT((Inputs!$A$5:$A$120=$B54)*ISNUMBER(INDEX(Inputs!$K$5:$AJ$120,0,MATCH(P$2,Inputs!$K$4:$AJ$4,0))))+SUMPRODUCT((Inputs!$C$5:$C$120=$B54)*ISNUMBER(INDEX(Inputs!$K$5:$AJ$120,0,MATCH(P$2,Inputs!$K$4:$AJ$4,0))))+SUMPRODUCT((Inputs!$E$5:$E$120=$B54)*ISNUMBER(INDEX(Inputs!$K$5:$AJ$120,0,MATCH(P$2,Inputs!$K$4:$AJ$4,0))))=0,NA(),SUMPRODUCT((Inputs!$A$5:$A$120=$B54)*Inputs!$B$5:$B$120*(((Inputs!$G$5:$G$120="moeda")+(Inputs!$G$5:$G$120="acoes"))*Inputs!$B$1+((Inputs!$G$5:$G$120&lt;&gt;"moeda")*(Inputs!$G$5:$G$120&lt;&gt;"acoes")))*INDEX(Inputs!$K$5:$AJ$120,0,MATCH(P$2,Inputs!$K$4:$AJ$4,0)))+SUMPRODUCT((Inputs!$C$5:$C$120=$B54)*Inputs!$D$5:$D$120*(((Inputs!$G$5:$G$120="moeda")+(Inputs!$G$5:$G$120="acoes"))*Inputs!$B$1+((Inputs!$G$5:$G$120&lt;&gt;"moeda")*(Inputs!$G$5:$G$120&lt;&gt;"acoes")))*INDEX(Inputs!$K$5:$AJ$120,0,MATCH(P$2,Inputs!$K$4:$AJ$4,0)))+SUMPRODUCT((Inputs!$E$5:$E$120=$B54)*Inputs!$F$5:$F$120*(((Inputs!$G$5:$G$120="moeda")+(Inputs!$G$5:$G$120="acoes"))*Inputs!$B$1+((Inputs!$G$5:$G$120&lt;&gt;"moeda")*(Inputs!$G$5:$G$120&lt;&gt;"acoes")))*INDEX(Inputs!$K$5:$AJ$120,0,MATCH(P$2,Inputs!$K$4:$AJ$4,0)))))</f>
        <v>1559</v>
      </c>
      <c r="Q54" s="263">
        <f>IF(ISNA(MATCH(Q$2,Inputs!$K$4:$AJ$4,0)),NA(),IF(SUMPRODUCT((Inputs!$A$5:$A$120=$B54)*ISNUMBER(INDEX(Inputs!$K$5:$AJ$120,0,MATCH(Q$2,Inputs!$K$4:$AJ$4,0))))+SUMPRODUCT((Inputs!$C$5:$C$120=$B54)*ISNUMBER(INDEX(Inputs!$K$5:$AJ$120,0,MATCH(Q$2,Inputs!$K$4:$AJ$4,0))))+SUMPRODUCT((Inputs!$E$5:$E$120=$B54)*ISNUMBER(INDEX(Inputs!$K$5:$AJ$120,0,MATCH(Q$2,Inputs!$K$4:$AJ$4,0))))=0,NA(),SUMPRODUCT((Inputs!$A$5:$A$120=$B54)*Inputs!$B$5:$B$120*(((Inputs!$G$5:$G$120="moeda")+(Inputs!$G$5:$G$120="acoes"))*Inputs!$B$1+((Inputs!$G$5:$G$120&lt;&gt;"moeda")*(Inputs!$G$5:$G$120&lt;&gt;"acoes")))*INDEX(Inputs!$K$5:$AJ$120,0,MATCH(Q$2,Inputs!$K$4:$AJ$4,0)))+SUMPRODUCT((Inputs!$C$5:$C$120=$B54)*Inputs!$D$5:$D$120*(((Inputs!$G$5:$G$120="moeda")+(Inputs!$G$5:$G$120="acoes"))*Inputs!$B$1+((Inputs!$G$5:$G$120&lt;&gt;"moeda")*(Inputs!$G$5:$G$120&lt;&gt;"acoes")))*INDEX(Inputs!$K$5:$AJ$120,0,MATCH(Q$2,Inputs!$K$4:$AJ$4,0)))+SUMPRODUCT((Inputs!$E$5:$E$120=$B54)*Inputs!$F$5:$F$120*(((Inputs!$G$5:$G$120="moeda")+(Inputs!$G$5:$G$120="acoes"))*Inputs!$B$1+((Inputs!$G$5:$G$120&lt;&gt;"moeda")*(Inputs!$G$5:$G$120&lt;&gt;"acoes")))*INDEX(Inputs!$K$5:$AJ$120,0,MATCH(Q$2,Inputs!$K$4:$AJ$4,0)))))</f>
        <v>1438</v>
      </c>
      <c r="R54" s="264">
        <f>SUM(N54:Q54)</f>
        <v>6035</v>
      </c>
      <c r="S54" s="263">
        <f>IF(ISNA(MATCH(S$2,Inputs!$K$4:$AJ$4,0)),NA(),IF(SUMPRODUCT((Inputs!$A$5:$A$120=$B54)*ISNUMBER(INDEX(Inputs!$K$5:$AJ$120,0,MATCH(S$2,Inputs!$K$4:$AJ$4,0))))+SUMPRODUCT((Inputs!$C$5:$C$120=$B54)*ISNUMBER(INDEX(Inputs!$K$5:$AJ$120,0,MATCH(S$2,Inputs!$K$4:$AJ$4,0))))+SUMPRODUCT((Inputs!$E$5:$E$120=$B54)*ISNUMBER(INDEX(Inputs!$K$5:$AJ$120,0,MATCH(S$2,Inputs!$K$4:$AJ$4,0))))=0,NA(),SUMPRODUCT((Inputs!$A$5:$A$120=$B54)*Inputs!$B$5:$B$120*(((Inputs!$G$5:$G$120="moeda")+(Inputs!$G$5:$G$120="acoes"))*Inputs!$B$1+((Inputs!$G$5:$G$120&lt;&gt;"moeda")*(Inputs!$G$5:$G$120&lt;&gt;"acoes")))*INDEX(Inputs!$K$5:$AJ$120,0,MATCH(S$2,Inputs!$K$4:$AJ$4,0)))+SUMPRODUCT((Inputs!$C$5:$C$120=$B54)*Inputs!$D$5:$D$120*(((Inputs!$G$5:$G$120="moeda")+(Inputs!$G$5:$G$120="acoes"))*Inputs!$B$1+((Inputs!$G$5:$G$120&lt;&gt;"moeda")*(Inputs!$G$5:$G$120&lt;&gt;"acoes")))*INDEX(Inputs!$K$5:$AJ$120,0,MATCH(S$2,Inputs!$K$4:$AJ$4,0)))+SUMPRODUCT((Inputs!$E$5:$E$120=$B54)*Inputs!$F$5:$F$120*(((Inputs!$G$5:$G$120="moeda")+(Inputs!$G$5:$G$120="acoes"))*Inputs!$B$1+((Inputs!$G$5:$G$120&lt;&gt;"moeda")*(Inputs!$G$5:$G$120&lt;&gt;"acoes")))*INDEX(Inputs!$K$5:$AJ$120,0,MATCH(S$2,Inputs!$K$4:$AJ$4,0)))))</f>
        <v>1635</v>
      </c>
      <c r="T54" s="263">
        <f>IF(ISNA(MATCH(T$2,Inputs!$K$4:$AJ$4,0)),NA(),IF(SUMPRODUCT((Inputs!$A$5:$A$120=$B54)*ISNUMBER(INDEX(Inputs!$K$5:$AJ$120,0,MATCH(T$2,Inputs!$K$4:$AJ$4,0))))+SUMPRODUCT((Inputs!$C$5:$C$120=$B54)*ISNUMBER(INDEX(Inputs!$K$5:$AJ$120,0,MATCH(T$2,Inputs!$K$4:$AJ$4,0))))+SUMPRODUCT((Inputs!$E$5:$E$120=$B54)*ISNUMBER(INDEX(Inputs!$K$5:$AJ$120,0,MATCH(T$2,Inputs!$K$4:$AJ$4,0))))=0,NA(),SUMPRODUCT((Inputs!$A$5:$A$120=$B54)*Inputs!$B$5:$B$120*(((Inputs!$G$5:$G$120="moeda")+(Inputs!$G$5:$G$120="acoes"))*Inputs!$B$1+((Inputs!$G$5:$G$120&lt;&gt;"moeda")*(Inputs!$G$5:$G$120&lt;&gt;"acoes")))*INDEX(Inputs!$K$5:$AJ$120,0,MATCH(T$2,Inputs!$K$4:$AJ$4,0)))+SUMPRODUCT((Inputs!$C$5:$C$120=$B54)*Inputs!$D$5:$D$120*(((Inputs!$G$5:$G$120="moeda")+(Inputs!$G$5:$G$120="acoes"))*Inputs!$B$1+((Inputs!$G$5:$G$120&lt;&gt;"moeda")*(Inputs!$G$5:$G$120&lt;&gt;"acoes")))*INDEX(Inputs!$K$5:$AJ$120,0,MATCH(T$2,Inputs!$K$4:$AJ$4,0)))+SUMPRODUCT((Inputs!$E$5:$E$120=$B54)*Inputs!$F$5:$F$120*(((Inputs!$G$5:$G$120="moeda")+(Inputs!$G$5:$G$120="acoes"))*Inputs!$B$1+((Inputs!$G$5:$G$120&lt;&gt;"moeda")*(Inputs!$G$5:$G$120&lt;&gt;"acoes")))*INDEX(Inputs!$K$5:$AJ$120,0,MATCH(T$2,Inputs!$K$4:$AJ$4,0)))))</f>
        <v>3014</v>
      </c>
      <c r="U54" s="263">
        <f>IF(ISNA(MATCH(U$2,Inputs!$K$4:$AJ$4,0)),NA(),IF(SUMPRODUCT((Inputs!$A$5:$A$120=$B54)*ISNUMBER(INDEX(Inputs!$K$5:$AJ$120,0,MATCH(U$2,Inputs!$K$4:$AJ$4,0))))+SUMPRODUCT((Inputs!$C$5:$C$120=$B54)*ISNUMBER(INDEX(Inputs!$K$5:$AJ$120,0,MATCH(U$2,Inputs!$K$4:$AJ$4,0))))+SUMPRODUCT((Inputs!$E$5:$E$120=$B54)*ISNUMBER(INDEX(Inputs!$K$5:$AJ$120,0,MATCH(U$2,Inputs!$K$4:$AJ$4,0))))=0,NA(),SUMPRODUCT((Inputs!$A$5:$A$120=$B54)*Inputs!$B$5:$B$120*(((Inputs!$G$5:$G$120="moeda")+(Inputs!$G$5:$G$120="acoes"))*Inputs!$B$1+((Inputs!$G$5:$G$120&lt;&gt;"moeda")*(Inputs!$G$5:$G$120&lt;&gt;"acoes")))*INDEX(Inputs!$K$5:$AJ$120,0,MATCH(U$2,Inputs!$K$4:$AJ$4,0)))+SUMPRODUCT((Inputs!$C$5:$C$120=$B54)*Inputs!$D$5:$D$120*(((Inputs!$G$5:$G$120="moeda")+(Inputs!$G$5:$G$120="acoes"))*Inputs!$B$1+((Inputs!$G$5:$G$120&lt;&gt;"moeda")*(Inputs!$G$5:$G$120&lt;&gt;"acoes")))*INDEX(Inputs!$K$5:$AJ$120,0,MATCH(U$2,Inputs!$K$4:$AJ$4,0)))+SUMPRODUCT((Inputs!$E$5:$E$120=$B54)*Inputs!$F$5:$F$120*(((Inputs!$G$5:$G$120="moeda")+(Inputs!$G$5:$G$120="acoes"))*Inputs!$B$1+((Inputs!$G$5:$G$120&lt;&gt;"moeda")*(Inputs!$G$5:$G$120&lt;&gt;"acoes")))*INDEX(Inputs!$K$5:$AJ$120,0,MATCH(U$2,Inputs!$K$4:$AJ$4,0)))))</f>
        <v>2376</v>
      </c>
      <c r="V54" s="263">
        <f>IF(ISNA(MATCH(V$2,Inputs!$K$4:$AJ$4,0)),NA(),IF(SUMPRODUCT((Inputs!$A$5:$A$120=$B54)*ISNUMBER(INDEX(Inputs!$K$5:$AJ$120,0,MATCH(V$2,Inputs!$K$4:$AJ$4,0))))+SUMPRODUCT((Inputs!$C$5:$C$120=$B54)*ISNUMBER(INDEX(Inputs!$K$5:$AJ$120,0,MATCH(V$2,Inputs!$K$4:$AJ$4,0))))+SUMPRODUCT((Inputs!$E$5:$E$120=$B54)*ISNUMBER(INDEX(Inputs!$K$5:$AJ$120,0,MATCH(V$2,Inputs!$K$4:$AJ$4,0))))=0,NA(),SUMPRODUCT((Inputs!$A$5:$A$120=$B54)*Inputs!$B$5:$B$120*(((Inputs!$G$5:$G$120="moeda")+(Inputs!$G$5:$G$120="acoes"))*Inputs!$B$1+((Inputs!$G$5:$G$120&lt;&gt;"moeda")*(Inputs!$G$5:$G$120&lt;&gt;"acoes")))*INDEX(Inputs!$K$5:$AJ$120,0,MATCH(V$2,Inputs!$K$4:$AJ$4,0)))+SUMPRODUCT((Inputs!$C$5:$C$120=$B54)*Inputs!$D$5:$D$120*(((Inputs!$G$5:$G$120="moeda")+(Inputs!$G$5:$G$120="acoes"))*Inputs!$B$1+((Inputs!$G$5:$G$120&lt;&gt;"moeda")*(Inputs!$G$5:$G$120&lt;&gt;"acoes")))*INDEX(Inputs!$K$5:$AJ$120,0,MATCH(V$2,Inputs!$K$4:$AJ$4,0)))+SUMPRODUCT((Inputs!$E$5:$E$120=$B54)*Inputs!$F$5:$F$120*(((Inputs!$G$5:$G$120="moeda")+(Inputs!$G$5:$G$120="acoes"))*Inputs!$B$1+((Inputs!$G$5:$G$120&lt;&gt;"moeda")*(Inputs!$G$5:$G$120&lt;&gt;"acoes")))*INDEX(Inputs!$K$5:$AJ$120,0,MATCH(V$2,Inputs!$K$4:$AJ$4,0)))))</f>
        <v>3061</v>
      </c>
      <c r="W54" s="264">
        <f>SUM(S54:V54)</f>
        <v>10086</v>
      </c>
      <c r="X54" s="263">
        <f>IF(ISNA(MATCH(X$2,Inputs!$K$4:$AJ$4,0)),NA(),IF(SUMPRODUCT((Inputs!$A$5:$A$120=$B54)*ISNUMBER(INDEX(Inputs!$K$5:$AJ$120,0,MATCH(X$2,Inputs!$K$4:$AJ$4,0))))+SUMPRODUCT((Inputs!$C$5:$C$120=$B54)*ISNUMBER(INDEX(Inputs!$K$5:$AJ$120,0,MATCH(X$2,Inputs!$K$4:$AJ$4,0))))+SUMPRODUCT((Inputs!$E$5:$E$120=$B54)*ISNUMBER(INDEX(Inputs!$K$5:$AJ$120,0,MATCH(X$2,Inputs!$K$4:$AJ$4,0))))=0,NA(),SUMPRODUCT((Inputs!$A$5:$A$120=$B54)*Inputs!$B$5:$B$120*(((Inputs!$G$5:$G$120="moeda")+(Inputs!$G$5:$G$120="acoes"))*Inputs!$B$1+((Inputs!$G$5:$G$120&lt;&gt;"moeda")*(Inputs!$G$5:$G$120&lt;&gt;"acoes")))*INDEX(Inputs!$K$5:$AJ$120,0,MATCH(X$2,Inputs!$K$4:$AJ$4,0)))+SUMPRODUCT((Inputs!$C$5:$C$120=$B54)*Inputs!$D$5:$D$120*(((Inputs!$G$5:$G$120="moeda")+(Inputs!$G$5:$G$120="acoes"))*Inputs!$B$1+((Inputs!$G$5:$G$120&lt;&gt;"moeda")*(Inputs!$G$5:$G$120&lt;&gt;"acoes")))*INDEX(Inputs!$K$5:$AJ$120,0,MATCH(X$2,Inputs!$K$4:$AJ$4,0)))+SUMPRODUCT((Inputs!$E$5:$E$120=$B54)*Inputs!$F$5:$F$120*(((Inputs!$G$5:$G$120="moeda")+(Inputs!$G$5:$G$120="acoes"))*Inputs!$B$1+((Inputs!$G$5:$G$120&lt;&gt;"moeda")*(Inputs!$G$5:$G$120&lt;&gt;"acoes")))*INDEX(Inputs!$K$5:$AJ$120,0,MATCH(X$2,Inputs!$K$4:$AJ$4,0)))))</f>
        <v>2730</v>
      </c>
      <c r="Y54" s="263">
        <f>IF(ISNA(MATCH(Y$2,Inputs!$K$4:$AJ$4,0)),NA(),IF(SUMPRODUCT((Inputs!$A$5:$A$120=$B54)*ISNUMBER(INDEX(Inputs!$K$5:$AJ$120,0,MATCH(Y$2,Inputs!$K$4:$AJ$4,0))))+SUMPRODUCT((Inputs!$C$5:$C$120=$B54)*ISNUMBER(INDEX(Inputs!$K$5:$AJ$120,0,MATCH(Y$2,Inputs!$K$4:$AJ$4,0))))+SUMPRODUCT((Inputs!$E$5:$E$120=$B54)*ISNUMBER(INDEX(Inputs!$K$5:$AJ$120,0,MATCH(Y$2,Inputs!$K$4:$AJ$4,0))))=0,NA(),SUMPRODUCT((Inputs!$A$5:$A$120=$B54)*Inputs!$B$5:$B$120*(((Inputs!$G$5:$G$120="moeda")+(Inputs!$G$5:$G$120="acoes"))*Inputs!$B$1+((Inputs!$G$5:$G$120&lt;&gt;"moeda")*(Inputs!$G$5:$G$120&lt;&gt;"acoes")))*INDEX(Inputs!$K$5:$AJ$120,0,MATCH(Y$2,Inputs!$K$4:$AJ$4,0)))+SUMPRODUCT((Inputs!$C$5:$C$120=$B54)*Inputs!$D$5:$D$120*(((Inputs!$G$5:$G$120="moeda")+(Inputs!$G$5:$G$120="acoes"))*Inputs!$B$1+((Inputs!$G$5:$G$120&lt;&gt;"moeda")*(Inputs!$G$5:$G$120&lt;&gt;"acoes")))*INDEX(Inputs!$K$5:$AJ$120,0,MATCH(Y$2,Inputs!$K$4:$AJ$4,0)))+SUMPRODUCT((Inputs!$E$5:$E$120=$B54)*Inputs!$F$5:$F$120*(((Inputs!$G$5:$G$120="moeda")+(Inputs!$G$5:$G$120="acoes"))*Inputs!$B$1+((Inputs!$G$5:$G$120&lt;&gt;"moeda")*(Inputs!$G$5:$G$120&lt;&gt;"acoes")))*INDEX(Inputs!$K$5:$AJ$120,0,MATCH(Y$2,Inputs!$K$4:$AJ$4,0)))))</f>
        <v>2789</v>
      </c>
      <c r="Z54" s="263">
        <f>IF(ISNA(MATCH(Z$2,Inputs!$K$4:$AJ$4,0)),NA(),IF(SUMPRODUCT((Inputs!$A$5:$A$120=$B54)*ISNUMBER(INDEX(Inputs!$K$5:$AJ$120,0,MATCH(Z$2,Inputs!$K$4:$AJ$4,0))))+SUMPRODUCT((Inputs!$C$5:$C$120=$B54)*ISNUMBER(INDEX(Inputs!$K$5:$AJ$120,0,MATCH(Z$2,Inputs!$K$4:$AJ$4,0))))+SUMPRODUCT((Inputs!$E$5:$E$120=$B54)*ISNUMBER(INDEX(Inputs!$K$5:$AJ$120,0,MATCH(Z$2,Inputs!$K$4:$AJ$4,0))))=0,NA(),SUMPRODUCT((Inputs!$A$5:$A$120=$B54)*Inputs!$B$5:$B$120*(((Inputs!$G$5:$G$120="moeda")+(Inputs!$G$5:$G$120="acoes"))*Inputs!$B$1+((Inputs!$G$5:$G$120&lt;&gt;"moeda")*(Inputs!$G$5:$G$120&lt;&gt;"acoes")))*INDEX(Inputs!$K$5:$AJ$120,0,MATCH(Z$2,Inputs!$K$4:$AJ$4,0)))+SUMPRODUCT((Inputs!$C$5:$C$120=$B54)*Inputs!$D$5:$D$120*(((Inputs!$G$5:$G$120="moeda")+(Inputs!$G$5:$G$120="acoes"))*Inputs!$B$1+((Inputs!$G$5:$G$120&lt;&gt;"moeda")*(Inputs!$G$5:$G$120&lt;&gt;"acoes")))*INDEX(Inputs!$K$5:$AJ$120,0,MATCH(Z$2,Inputs!$K$4:$AJ$4,0)))+SUMPRODUCT((Inputs!$E$5:$E$120=$B54)*Inputs!$F$5:$F$120*(((Inputs!$G$5:$G$120="moeda")+(Inputs!$G$5:$G$120="acoes"))*Inputs!$B$1+((Inputs!$G$5:$G$120&lt;&gt;"moeda")*(Inputs!$G$5:$G$120&lt;&gt;"acoes")))*INDEX(Inputs!$K$5:$AJ$120,0,MATCH(Z$2,Inputs!$K$4:$AJ$4,0)))))</f>
        <v>3415</v>
      </c>
      <c r="AA54" s="263">
        <f>IF(ISNA(MATCH(AA$2,Inputs!$K$4:$AJ$4,0)),NA(),IF(SUMPRODUCT((Inputs!$A$5:$A$120=$B54)*ISNUMBER(INDEX(Inputs!$K$5:$AJ$120,0,MATCH(AA$2,Inputs!$K$4:$AJ$4,0))))+SUMPRODUCT((Inputs!$C$5:$C$120=$B54)*ISNUMBER(INDEX(Inputs!$K$5:$AJ$120,0,MATCH(AA$2,Inputs!$K$4:$AJ$4,0))))+SUMPRODUCT((Inputs!$E$5:$E$120=$B54)*ISNUMBER(INDEX(Inputs!$K$5:$AJ$120,0,MATCH(AA$2,Inputs!$K$4:$AJ$4,0))))=0,NA(),SUMPRODUCT((Inputs!$A$5:$A$120=$B54)*Inputs!$B$5:$B$120*(((Inputs!$G$5:$G$120="moeda")+(Inputs!$G$5:$G$120="acoes"))*Inputs!$B$1+((Inputs!$G$5:$G$120&lt;&gt;"moeda")*(Inputs!$G$5:$G$120&lt;&gt;"acoes")))*INDEX(Inputs!$K$5:$AJ$120,0,MATCH(AA$2,Inputs!$K$4:$AJ$4,0)))+SUMPRODUCT((Inputs!$C$5:$C$120=$B54)*Inputs!$D$5:$D$120*(((Inputs!$G$5:$G$120="moeda")+(Inputs!$G$5:$G$120="acoes"))*Inputs!$B$1+((Inputs!$G$5:$G$120&lt;&gt;"moeda")*(Inputs!$G$5:$G$120&lt;&gt;"acoes")))*INDEX(Inputs!$K$5:$AJ$120,0,MATCH(AA$2,Inputs!$K$4:$AJ$4,0)))+SUMPRODUCT((Inputs!$E$5:$E$120=$B54)*Inputs!$F$5:$F$120*(((Inputs!$G$5:$G$120="moeda")+(Inputs!$G$5:$G$120="acoes"))*Inputs!$B$1+((Inputs!$G$5:$G$120&lt;&gt;"moeda")*(Inputs!$G$5:$G$120&lt;&gt;"acoes")))*INDEX(Inputs!$K$5:$AJ$120,0,MATCH(AA$2,Inputs!$K$4:$AJ$4,0)))))</f>
        <v>3837</v>
      </c>
      <c r="AB54" s="264">
        <f>SUM(X54:AA54)</f>
        <v>12771</v>
      </c>
      <c r="AC54" s="263">
        <f>IF(ISNA(MATCH(AC$2,Inputs!$K$4:$AJ$4,0)),NA(),IF(SUMPRODUCT((Inputs!$A$5:$A$120=$B54)*ISNUMBER(INDEX(Inputs!$K$5:$AJ$120,0,MATCH(AC$2,Inputs!$K$4:$AJ$4,0))))+SUMPRODUCT((Inputs!$C$5:$C$120=$B54)*ISNUMBER(INDEX(Inputs!$K$5:$AJ$120,0,MATCH(AC$2,Inputs!$K$4:$AJ$4,0))))+SUMPRODUCT((Inputs!$E$5:$E$120=$B54)*ISNUMBER(INDEX(Inputs!$K$5:$AJ$120,0,MATCH(AC$2,Inputs!$K$4:$AJ$4,0))))=0,NA(),SUMPRODUCT((Inputs!$A$5:$A$120=$B54)*Inputs!$B$5:$B$120*(((Inputs!$G$5:$G$120="moeda")+(Inputs!$G$5:$G$120="acoes"))*Inputs!$B$1+((Inputs!$G$5:$G$120&lt;&gt;"moeda")*(Inputs!$G$5:$G$120&lt;&gt;"acoes")))*INDEX(Inputs!$K$5:$AJ$120,0,MATCH(AC$2,Inputs!$K$4:$AJ$4,0)))+SUMPRODUCT((Inputs!$C$5:$C$120=$B54)*Inputs!$D$5:$D$120*(((Inputs!$G$5:$G$120="moeda")+(Inputs!$G$5:$G$120="acoes"))*Inputs!$B$1+((Inputs!$G$5:$G$120&lt;&gt;"moeda")*(Inputs!$G$5:$G$120&lt;&gt;"acoes")))*INDEX(Inputs!$K$5:$AJ$120,0,MATCH(AC$2,Inputs!$K$4:$AJ$4,0)))+SUMPRODUCT((Inputs!$E$5:$E$120=$B54)*Inputs!$F$5:$F$120*(((Inputs!$G$5:$G$120="moeda")+(Inputs!$G$5:$G$120="acoes"))*Inputs!$B$1+((Inputs!$G$5:$G$120&lt;&gt;"moeda")*(Inputs!$G$5:$G$120&lt;&gt;"acoes")))*INDEX(Inputs!$K$5:$AJ$120,0,MATCH(AC$2,Inputs!$K$4:$AJ$4,0)))))</f>
        <v>2408</v>
      </c>
      <c r="AD54" s="263">
        <f>IF(ISNA(MATCH(AD$2,Inputs!$K$4:$AJ$4,0)),NA(),IF(SUMPRODUCT((Inputs!$A$5:$A$120=$B54)*ISNUMBER(INDEX(Inputs!$K$5:$AJ$120,0,MATCH(AD$2,Inputs!$K$4:$AJ$4,0))))+SUMPRODUCT((Inputs!$C$5:$C$120=$B54)*ISNUMBER(INDEX(Inputs!$K$5:$AJ$120,0,MATCH(AD$2,Inputs!$K$4:$AJ$4,0))))+SUMPRODUCT((Inputs!$E$5:$E$120=$B54)*ISNUMBER(INDEX(Inputs!$K$5:$AJ$120,0,MATCH(AD$2,Inputs!$K$4:$AJ$4,0))))=0,NA(),SUMPRODUCT((Inputs!$A$5:$A$120=$B54)*Inputs!$B$5:$B$120*(((Inputs!$G$5:$G$120="moeda")+(Inputs!$G$5:$G$120="acoes"))*Inputs!$B$1+((Inputs!$G$5:$G$120&lt;&gt;"moeda")*(Inputs!$G$5:$G$120&lt;&gt;"acoes")))*INDEX(Inputs!$K$5:$AJ$120,0,MATCH(AD$2,Inputs!$K$4:$AJ$4,0)))+SUMPRODUCT((Inputs!$C$5:$C$120=$B54)*Inputs!$D$5:$D$120*(((Inputs!$G$5:$G$120="moeda")+(Inputs!$G$5:$G$120="acoes"))*Inputs!$B$1+((Inputs!$G$5:$G$120&lt;&gt;"moeda")*(Inputs!$G$5:$G$120&lt;&gt;"acoes")))*INDEX(Inputs!$K$5:$AJ$120,0,MATCH(AD$2,Inputs!$K$4:$AJ$4,0)))+SUMPRODUCT((Inputs!$E$5:$E$120=$B54)*Inputs!$F$5:$F$120*(((Inputs!$G$5:$G$120="moeda")+(Inputs!$G$5:$G$120="acoes"))*Inputs!$B$1+((Inputs!$G$5:$G$120&lt;&gt;"moeda")*(Inputs!$G$5:$G$120&lt;&gt;"acoes")))*INDEX(Inputs!$K$5:$AJ$120,0,MATCH(AD$2,Inputs!$K$4:$AJ$4,0)))))</f>
        <v>3139</v>
      </c>
      <c r="AE54" s="263" t="e">
        <f>IF(ISNA(MATCH(AE$2,Inputs!$K$4:$AJ$4,0)),NA(),IF(SUMPRODUCT((Inputs!$A$5:$A$120=$B54)*ISNUMBER(INDEX(Inputs!$K$5:$AJ$120,0,MATCH(AE$2,Inputs!$K$4:$AJ$4,0))))+SUMPRODUCT((Inputs!$C$5:$C$120=$B54)*ISNUMBER(INDEX(Inputs!$K$5:$AJ$120,0,MATCH(AE$2,Inputs!$K$4:$AJ$4,0))))+SUMPRODUCT((Inputs!$E$5:$E$120=$B54)*ISNUMBER(INDEX(Inputs!$K$5:$AJ$120,0,MATCH(AE$2,Inputs!$K$4:$AJ$4,0))))=0,NA(),SUMPRODUCT((Inputs!$A$5:$A$120=$B54)*Inputs!$B$5:$B$120*(((Inputs!$G$5:$G$120="moeda")+(Inputs!$G$5:$G$120="acoes"))*Inputs!$B$1+((Inputs!$G$5:$G$120&lt;&gt;"moeda")*(Inputs!$G$5:$G$120&lt;&gt;"acoes")))*INDEX(Inputs!$K$5:$AJ$120,0,MATCH(AE$2,Inputs!$K$4:$AJ$4,0)))+SUMPRODUCT((Inputs!$C$5:$C$120=$B54)*Inputs!$D$5:$D$120*(((Inputs!$G$5:$G$120="moeda")+(Inputs!$G$5:$G$120="acoes"))*Inputs!$B$1+((Inputs!$G$5:$G$120&lt;&gt;"moeda")*(Inputs!$G$5:$G$120&lt;&gt;"acoes")))*INDEX(Inputs!$K$5:$AJ$120,0,MATCH(AE$2,Inputs!$K$4:$AJ$4,0)))+SUMPRODUCT((Inputs!$E$5:$E$120=$B54)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54" s="263" t="e">
        <f>IF(ISNA(MATCH(AF$2,Inputs!$K$4:$AJ$4,0)),NA(),IF(SUMPRODUCT((Inputs!$A$5:$A$120=$B54)*ISNUMBER(INDEX(Inputs!$K$5:$AJ$120,0,MATCH(AF$2,Inputs!$K$4:$AJ$4,0))))+SUMPRODUCT((Inputs!$C$5:$C$120=$B54)*ISNUMBER(INDEX(Inputs!$K$5:$AJ$120,0,MATCH(AF$2,Inputs!$K$4:$AJ$4,0))))+SUMPRODUCT((Inputs!$E$5:$E$120=$B54)*ISNUMBER(INDEX(Inputs!$K$5:$AJ$120,0,MATCH(AF$2,Inputs!$K$4:$AJ$4,0))))=0,NA(),SUMPRODUCT((Inputs!$A$5:$A$120=$B54)*Inputs!$B$5:$B$120*(((Inputs!$G$5:$G$120="moeda")+(Inputs!$G$5:$G$120="acoes"))*Inputs!$B$1+((Inputs!$G$5:$G$120&lt;&gt;"moeda")*(Inputs!$G$5:$G$120&lt;&gt;"acoes")))*INDEX(Inputs!$K$5:$AJ$120,0,MATCH(AF$2,Inputs!$K$4:$AJ$4,0)))+SUMPRODUCT((Inputs!$C$5:$C$120=$B54)*Inputs!$D$5:$D$120*(((Inputs!$G$5:$G$120="moeda")+(Inputs!$G$5:$G$120="acoes"))*Inputs!$B$1+((Inputs!$G$5:$G$120&lt;&gt;"moeda")*(Inputs!$G$5:$G$120&lt;&gt;"acoes")))*INDEX(Inputs!$K$5:$AJ$120,0,MATCH(AF$2,Inputs!$K$4:$AJ$4,0)))+SUMPRODUCT((Inputs!$E$5:$E$120=$B54)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54" s="264" t="e">
        <f>SUM(AC54:AF54)</f>
        <v>#N/A</v>
      </c>
      <c r="AH54" s="263">
        <f>IF(ISNA(MATCH(AH$2,Inputs!$K$4:$AJ$4,0)),NA(),IF(SUMPRODUCT((Inputs!$A$5:$A$120=$B54)*ISNUMBER(INDEX(Inputs!$K$5:$AJ$120,0,MATCH(AH$2,Inputs!$K$4:$AJ$4,0))))+SUMPRODUCT((Inputs!$C$5:$C$120=$B54)*ISNUMBER(INDEX(Inputs!$K$5:$AJ$120,0,MATCH(AH$2,Inputs!$K$4:$AJ$4,0))))+SUMPRODUCT((Inputs!$E$5:$E$120=$B54)*ISNUMBER(INDEX(Inputs!$K$5:$AJ$120,0,MATCH(AH$2,Inputs!$K$4:$AJ$4,0))))=0,NA(),SUMPRODUCT((Inputs!$A$5:$A$120=$B54)*Inputs!$B$5:$B$120*(((Inputs!$G$5:$G$120="moeda")+(Inputs!$G$5:$G$120="acoes"))*Inputs!$B$1+((Inputs!$G$5:$G$120&lt;&gt;"moeda")*(Inputs!$G$5:$G$120&lt;&gt;"acoes")))*INDEX(Inputs!$K$5:$AJ$120,0,MATCH(AH$2,Inputs!$K$4:$AJ$4,0)))+SUMPRODUCT((Inputs!$C$5:$C$120=$B54)*Inputs!$D$5:$D$120*(((Inputs!$G$5:$G$120="moeda")+(Inputs!$G$5:$G$120="acoes"))*Inputs!$B$1+((Inputs!$G$5:$G$120&lt;&gt;"moeda")*(Inputs!$G$5:$G$120&lt;&gt;"acoes")))*INDEX(Inputs!$K$5:$AJ$120,0,MATCH(AH$2,Inputs!$K$4:$AJ$4,0)))+SUMPRODUCT((Inputs!$E$5:$E$120=$B54)*Inputs!$F$5:$F$120*(((Inputs!$G$5:$G$120="moeda")+(Inputs!$G$5:$G$120="acoes"))*Inputs!$B$1+((Inputs!$G$5:$G$120&lt;&gt;"moeda")*(Inputs!$G$5:$G$120&lt;&gt;"acoes")))*INDEX(Inputs!$K$5:$AJ$120,0,MATCH(AH$2,Inputs!$K$4:$AJ$4,0)))))</f>
        <v>293</v>
      </c>
      <c r="AI54" s="263">
        <f>IF(ISNA(MATCH(AI$2,Inputs!$K$4:$AJ$4,0)),NA(),IF(SUMPRODUCT((Inputs!$A$5:$A$120=$B54)*ISNUMBER(INDEX(Inputs!$K$5:$AJ$120,0,MATCH(AI$2,Inputs!$K$4:$AJ$4,0))))+SUMPRODUCT((Inputs!$C$5:$C$120=$B54)*ISNUMBER(INDEX(Inputs!$K$5:$AJ$120,0,MATCH(AI$2,Inputs!$K$4:$AJ$4,0))))+SUMPRODUCT((Inputs!$E$5:$E$120=$B54)*ISNUMBER(INDEX(Inputs!$K$5:$AJ$120,0,MATCH(AI$2,Inputs!$K$4:$AJ$4,0))))=0,NA(),SUMPRODUCT((Inputs!$A$5:$A$120=$B54)*Inputs!$B$5:$B$120*(((Inputs!$G$5:$G$120="moeda")+(Inputs!$G$5:$G$120="acoes"))*Inputs!$B$1+((Inputs!$G$5:$G$120&lt;&gt;"moeda")*(Inputs!$G$5:$G$120&lt;&gt;"acoes")))*INDEX(Inputs!$K$5:$AJ$120,0,MATCH(AI$2,Inputs!$K$4:$AJ$4,0)))+SUMPRODUCT((Inputs!$C$5:$C$120=$B54)*Inputs!$D$5:$D$120*(((Inputs!$G$5:$G$120="moeda")+(Inputs!$G$5:$G$120="acoes"))*Inputs!$B$1+((Inputs!$G$5:$G$120&lt;&gt;"moeda")*(Inputs!$G$5:$G$120&lt;&gt;"acoes")))*INDEX(Inputs!$K$5:$AJ$120,0,MATCH(AI$2,Inputs!$K$4:$AJ$4,0)))+SUMPRODUCT((Inputs!$E$5:$E$120=$B54)*Inputs!$F$5:$F$120*(((Inputs!$G$5:$G$120="moeda")+(Inputs!$G$5:$G$120="acoes"))*Inputs!$B$1+((Inputs!$G$5:$G$120&lt;&gt;"moeda")*(Inputs!$G$5:$G$120&lt;&gt;"acoes")))*INDEX(Inputs!$K$5:$AJ$120,0,MATCH(AI$2,Inputs!$K$4:$AJ$4,0)))))</f>
        <v>370</v>
      </c>
      <c r="AJ54" s="263">
        <f>IF(ISNA(MATCH(AJ$2,Inputs!$K$4:$AJ$4,0)),NA(),IF(SUMPRODUCT((Inputs!$A$5:$A$120=$B54)*ISNUMBER(INDEX(Inputs!$K$5:$AJ$120,0,MATCH(AJ$2,Inputs!$K$4:$AJ$4,0))))+SUMPRODUCT((Inputs!$C$5:$C$120=$B54)*ISNUMBER(INDEX(Inputs!$K$5:$AJ$120,0,MATCH(AJ$2,Inputs!$K$4:$AJ$4,0))))+SUMPRODUCT((Inputs!$E$5:$E$120=$B54)*ISNUMBER(INDEX(Inputs!$K$5:$AJ$120,0,MATCH(AJ$2,Inputs!$K$4:$AJ$4,0))))=0,NA(),SUMPRODUCT((Inputs!$A$5:$A$120=$B54)*Inputs!$B$5:$B$120*(((Inputs!$G$5:$G$120="moeda")+(Inputs!$G$5:$G$120="acoes"))*Inputs!$B$1+((Inputs!$G$5:$G$120&lt;&gt;"moeda")*(Inputs!$G$5:$G$120&lt;&gt;"acoes")))*INDEX(Inputs!$K$5:$AJ$120,0,MATCH(AJ$2,Inputs!$K$4:$AJ$4,0)))+SUMPRODUCT((Inputs!$C$5:$C$120=$B54)*Inputs!$D$5:$D$120*(((Inputs!$G$5:$G$120="moeda")+(Inputs!$G$5:$G$120="acoes"))*Inputs!$B$1+((Inputs!$G$5:$G$120&lt;&gt;"moeda")*(Inputs!$G$5:$G$120&lt;&gt;"acoes")))*INDEX(Inputs!$K$5:$AJ$120,0,MATCH(AJ$2,Inputs!$K$4:$AJ$4,0)))+SUMPRODUCT((Inputs!$E$5:$E$120=$B54)*Inputs!$F$5:$F$120*(((Inputs!$G$5:$G$120="moeda")+(Inputs!$G$5:$G$120="acoes"))*Inputs!$B$1+((Inputs!$G$5:$G$120&lt;&gt;"moeda")*(Inputs!$G$5:$G$120&lt;&gt;"acoes")))*INDEX(Inputs!$K$5:$AJ$120,0,MATCH(AJ$2,Inputs!$K$4:$AJ$4,0)))))</f>
        <v>579</v>
      </c>
      <c r="AK54" s="263">
        <f>IF(ISNA(MATCH(AK$2,Inputs!$K$4:$AJ$4,0)),NA(),IF(SUMPRODUCT((Inputs!$A$5:$A$120=$B54)*ISNUMBER(INDEX(Inputs!$K$5:$AJ$120,0,MATCH(AK$2,Inputs!$K$4:$AJ$4,0))))+SUMPRODUCT((Inputs!$C$5:$C$120=$B54)*ISNUMBER(INDEX(Inputs!$K$5:$AJ$120,0,MATCH(AK$2,Inputs!$K$4:$AJ$4,0))))+SUMPRODUCT((Inputs!$E$5:$E$120=$B54)*ISNUMBER(INDEX(Inputs!$K$5:$AJ$120,0,MATCH(AK$2,Inputs!$K$4:$AJ$4,0))))=0,NA(),SUMPRODUCT((Inputs!$A$5:$A$120=$B54)*Inputs!$B$5:$B$120*(((Inputs!$G$5:$G$120="moeda")+(Inputs!$G$5:$G$120="acoes"))*Inputs!$B$1+((Inputs!$G$5:$G$120&lt;&gt;"moeda")*(Inputs!$G$5:$G$120&lt;&gt;"acoes")))*INDEX(Inputs!$K$5:$AJ$120,0,MATCH(AK$2,Inputs!$K$4:$AJ$4,0)))+SUMPRODUCT((Inputs!$C$5:$C$120=$B54)*Inputs!$D$5:$D$120*(((Inputs!$G$5:$G$120="moeda")+(Inputs!$G$5:$G$120="acoes"))*Inputs!$B$1+((Inputs!$G$5:$G$120&lt;&gt;"moeda")*(Inputs!$G$5:$G$120&lt;&gt;"acoes")))*INDEX(Inputs!$K$5:$AJ$120,0,MATCH(AK$2,Inputs!$K$4:$AJ$4,0)))+SUMPRODUCT((Inputs!$E$5:$E$120=$B54)*Inputs!$F$5:$F$120*(((Inputs!$G$5:$G$120="moeda")+(Inputs!$G$5:$G$120="acoes"))*Inputs!$B$1+((Inputs!$G$5:$G$120&lt;&gt;"moeda")*(Inputs!$G$5:$G$120&lt;&gt;"acoes")))*INDEX(Inputs!$K$5:$AJ$120,0,MATCH(AK$2,Inputs!$K$4:$AJ$4,0)))))</f>
        <v>752</v>
      </c>
      <c r="AL54" s="264">
        <f>SUM(AH54:AK54)</f>
        <v>1994</v>
      </c>
    </row>
    <row r="55">
      <c r="B55" s="46" t="n">
        <v>47</v>
      </c>
      <c r="C55" s="29" t="inlineStr">
        <is>
          <t>Segmento Automotivo - lucro bruto (USD)</t>
        </is>
      </c>
      <c r="D55" s="263">
        <f>IF(ISNA(MATCH(D$2,Inputs!$K$4:$AJ$4,0)),NA(),IF(SUMPRODUCT((Inputs!$A$5:$A$120=$B55)*ISNUMBER(INDEX(Inputs!$K$5:$AJ$120,0,MATCH(D$2,Inputs!$K$4:$AJ$4,0))))+SUMPRODUCT((Inputs!$C$5:$C$120=$B55)*ISNUMBER(INDEX(Inputs!$K$5:$AJ$120,0,MATCH(D$2,Inputs!$K$4:$AJ$4,0))))+SUMPRODUCT((Inputs!$E$5:$E$120=$B55)*ISNUMBER(INDEX(Inputs!$K$5:$AJ$120,0,MATCH(D$2,Inputs!$K$4:$AJ$4,0))))=0,NA(),SUMPRODUCT((Inputs!$A$5:$A$120=$B55)*Inputs!$B$5:$B$120*(((Inputs!$G$5:$G$120="moeda")+(Inputs!$G$5:$G$120="acoes"))*Inputs!$B$1+((Inputs!$G$5:$G$120&lt;&gt;"moeda")*(Inputs!$G$5:$G$120&lt;&gt;"acoes")))*INDEX(Inputs!$K$5:$AJ$120,0,MATCH(D$2,Inputs!$K$4:$AJ$4,0)))+SUMPRODUCT((Inputs!$C$5:$C$120=$B55)*Inputs!$D$5:$D$120*(((Inputs!$G$5:$G$120="moeda")+(Inputs!$G$5:$G$120="acoes"))*Inputs!$B$1+((Inputs!$G$5:$G$120&lt;&gt;"moeda")*(Inputs!$G$5:$G$120&lt;&gt;"acoes")))*INDEX(Inputs!$K$5:$AJ$120,0,MATCH(D$2,Inputs!$K$4:$AJ$4,0)))+SUMPRODUCT((Inputs!$E$5:$E$120=$B55)*Inputs!$F$5:$F$120*(((Inputs!$G$5:$G$120="moeda")+(Inputs!$G$5:$G$120="acoes"))*Inputs!$B$1+((Inputs!$G$5:$G$120&lt;&gt;"moeda")*(Inputs!$G$5:$G$120&lt;&gt;"acoes")))*INDEX(Inputs!$K$5:$AJ$120,0,MATCH(D$2,Inputs!$K$4:$AJ$4,0)))))</f>
        <v>2316</v>
      </c>
      <c r="E55" s="263">
        <f>IF(ISNA(MATCH(E$2,Inputs!$K$4:$AJ$4,0)),NA(),IF(SUMPRODUCT((Inputs!$A$5:$A$120=$B55)*ISNUMBER(INDEX(Inputs!$K$5:$AJ$120,0,MATCH(E$2,Inputs!$K$4:$AJ$4,0))))+SUMPRODUCT((Inputs!$C$5:$C$120=$B55)*ISNUMBER(INDEX(Inputs!$K$5:$AJ$120,0,MATCH(E$2,Inputs!$K$4:$AJ$4,0))))+SUMPRODUCT((Inputs!$E$5:$E$120=$B55)*ISNUMBER(INDEX(Inputs!$K$5:$AJ$120,0,MATCH(E$2,Inputs!$K$4:$AJ$4,0))))=0,NA(),SUMPRODUCT((Inputs!$A$5:$A$120=$B55)*Inputs!$B$5:$B$120*(((Inputs!$G$5:$G$120="moeda")+(Inputs!$G$5:$G$120="acoes"))*Inputs!$B$1+((Inputs!$G$5:$G$120&lt;&gt;"moeda")*(Inputs!$G$5:$G$120&lt;&gt;"acoes")))*INDEX(Inputs!$K$5:$AJ$120,0,MATCH(E$2,Inputs!$K$4:$AJ$4,0)))+SUMPRODUCT((Inputs!$C$5:$C$120=$B55)*Inputs!$D$5:$D$120*(((Inputs!$G$5:$G$120="moeda")+(Inputs!$G$5:$G$120="acoes"))*Inputs!$B$1+((Inputs!$G$5:$G$120&lt;&gt;"moeda")*(Inputs!$G$5:$G$120&lt;&gt;"acoes")))*INDEX(Inputs!$K$5:$AJ$120,0,MATCH(E$2,Inputs!$K$4:$AJ$4,0)))+SUMPRODUCT((Inputs!$E$5:$E$120=$B55)*Inputs!$F$5:$F$120*(((Inputs!$G$5:$G$120="moeda")+(Inputs!$G$5:$G$120="acoes"))*Inputs!$B$1+((Inputs!$G$5:$G$120&lt;&gt;"moeda")*(Inputs!$G$5:$G$120&lt;&gt;"acoes")))*INDEX(Inputs!$K$5:$AJ$120,0,MATCH(E$2,Inputs!$K$4:$AJ$4,0)))))</f>
        <v>2864</v>
      </c>
      <c r="F55" s="263">
        <f>IF(ISNA(MATCH(F$2,Inputs!$K$4:$AJ$4,0)),NA(),IF(SUMPRODUCT((Inputs!$A$5:$A$120=$B55)*ISNUMBER(INDEX(Inputs!$K$5:$AJ$120,0,MATCH(F$2,Inputs!$K$4:$AJ$4,0))))+SUMPRODUCT((Inputs!$C$5:$C$120=$B55)*ISNUMBER(INDEX(Inputs!$K$5:$AJ$120,0,MATCH(F$2,Inputs!$K$4:$AJ$4,0))))+SUMPRODUCT((Inputs!$E$5:$E$120=$B55)*ISNUMBER(INDEX(Inputs!$K$5:$AJ$120,0,MATCH(F$2,Inputs!$K$4:$AJ$4,0))))=0,NA(),SUMPRODUCT((Inputs!$A$5:$A$120=$B55)*Inputs!$B$5:$B$120*(((Inputs!$G$5:$G$120="moeda")+(Inputs!$G$5:$G$120="acoes"))*Inputs!$B$1+((Inputs!$G$5:$G$120&lt;&gt;"moeda")*(Inputs!$G$5:$G$120&lt;&gt;"acoes")))*INDEX(Inputs!$K$5:$AJ$120,0,MATCH(F$2,Inputs!$K$4:$AJ$4,0)))+SUMPRODUCT((Inputs!$C$5:$C$120=$B55)*Inputs!$D$5:$D$120*(((Inputs!$G$5:$G$120="moeda")+(Inputs!$G$5:$G$120="acoes"))*Inputs!$B$1+((Inputs!$G$5:$G$120&lt;&gt;"moeda")*(Inputs!$G$5:$G$120&lt;&gt;"acoes")))*INDEX(Inputs!$K$5:$AJ$120,0,MATCH(F$2,Inputs!$K$4:$AJ$4,0)))+SUMPRODUCT((Inputs!$E$5:$E$120=$B55)*Inputs!$F$5:$F$120*(((Inputs!$G$5:$G$120="moeda")+(Inputs!$G$5:$G$120="acoes"))*Inputs!$B$1+((Inputs!$G$5:$G$120&lt;&gt;"moeda")*(Inputs!$G$5:$G$120&lt;&gt;"acoes")))*INDEX(Inputs!$K$5:$AJ$120,0,MATCH(F$2,Inputs!$K$4:$AJ$4,0)))))</f>
        <v>3657</v>
      </c>
      <c r="G55" s="263">
        <f>IF(ISNA(MATCH(G$2,Inputs!$K$4:$AJ$4,0)),NA(),IF(SUMPRODUCT((Inputs!$A$5:$A$120=$B55)*ISNUMBER(INDEX(Inputs!$K$5:$AJ$120,0,MATCH(G$2,Inputs!$K$4:$AJ$4,0))))+SUMPRODUCT((Inputs!$C$5:$C$120=$B55)*ISNUMBER(INDEX(Inputs!$K$5:$AJ$120,0,MATCH(G$2,Inputs!$K$4:$AJ$4,0))))+SUMPRODUCT((Inputs!$E$5:$E$120=$B55)*ISNUMBER(INDEX(Inputs!$K$5:$AJ$120,0,MATCH(G$2,Inputs!$K$4:$AJ$4,0))))=0,NA(),SUMPRODUCT((Inputs!$A$5:$A$120=$B55)*Inputs!$B$5:$B$120*(((Inputs!$G$5:$G$120="moeda")+(Inputs!$G$5:$G$120="acoes"))*Inputs!$B$1+((Inputs!$G$5:$G$120&lt;&gt;"moeda")*(Inputs!$G$5:$G$120&lt;&gt;"acoes")))*INDEX(Inputs!$K$5:$AJ$120,0,MATCH(G$2,Inputs!$K$4:$AJ$4,0)))+SUMPRODUCT((Inputs!$C$5:$C$120=$B55)*Inputs!$D$5:$D$120*(((Inputs!$G$5:$G$120="moeda")+(Inputs!$G$5:$G$120="acoes"))*Inputs!$B$1+((Inputs!$G$5:$G$120&lt;&gt;"moeda")*(Inputs!$G$5:$G$120&lt;&gt;"acoes")))*INDEX(Inputs!$K$5:$AJ$120,0,MATCH(G$2,Inputs!$K$4:$AJ$4,0)))+SUMPRODUCT((Inputs!$E$5:$E$120=$B55)*Inputs!$F$5:$F$120*(((Inputs!$G$5:$G$120="moeda")+(Inputs!$G$5:$G$120="acoes"))*Inputs!$B$1+((Inputs!$G$5:$G$120&lt;&gt;"moeda")*(Inputs!$G$5:$G$120&lt;&gt;"acoes")))*INDEX(Inputs!$K$5:$AJ$120,0,MATCH(G$2,Inputs!$K$4:$AJ$4,0)))))</f>
        <v>4898</v>
      </c>
      <c r="H55" s="264">
        <f>SUM(D55:G55)</f>
        <v>13735</v>
      </c>
      <c r="I55" s="263">
        <f>IF(ISNA(MATCH(I$2,Inputs!$K$4:$AJ$4,0)),NA(),IF(SUMPRODUCT((Inputs!$A$5:$A$120=$B55)*ISNUMBER(INDEX(Inputs!$K$5:$AJ$120,0,MATCH(I$2,Inputs!$K$4:$AJ$4,0))))+SUMPRODUCT((Inputs!$C$5:$C$120=$B55)*ISNUMBER(INDEX(Inputs!$K$5:$AJ$120,0,MATCH(I$2,Inputs!$K$4:$AJ$4,0))))+SUMPRODUCT((Inputs!$E$5:$E$120=$B55)*ISNUMBER(INDEX(Inputs!$K$5:$AJ$120,0,MATCH(I$2,Inputs!$K$4:$AJ$4,0))))=0,NA(),SUMPRODUCT((Inputs!$A$5:$A$120=$B55)*Inputs!$B$5:$B$120*(((Inputs!$G$5:$G$120="moeda")+(Inputs!$G$5:$G$120="acoes"))*Inputs!$B$1+((Inputs!$G$5:$G$120&lt;&gt;"moeda")*(Inputs!$G$5:$G$120&lt;&gt;"acoes")))*INDEX(Inputs!$K$5:$AJ$120,0,MATCH(I$2,Inputs!$K$4:$AJ$4,0)))+SUMPRODUCT((Inputs!$C$5:$C$120=$B55)*Inputs!$D$5:$D$120*(((Inputs!$G$5:$G$120="moeda")+(Inputs!$G$5:$G$120="acoes"))*Inputs!$B$1+((Inputs!$G$5:$G$120&lt;&gt;"moeda")*(Inputs!$G$5:$G$120&lt;&gt;"acoes")))*INDEX(Inputs!$K$5:$AJ$120,0,MATCH(I$2,Inputs!$K$4:$AJ$4,0)))+SUMPRODUCT((Inputs!$E$5:$E$120=$B55)*Inputs!$F$5:$F$120*(((Inputs!$G$5:$G$120="moeda")+(Inputs!$G$5:$G$120="acoes"))*Inputs!$B$1+((Inputs!$G$5:$G$120&lt;&gt;"moeda")*(Inputs!$G$5:$G$120&lt;&gt;"acoes")))*INDEX(Inputs!$K$5:$AJ$120,0,MATCH(I$2,Inputs!$K$4:$AJ$4,0)))))</f>
        <v>5532</v>
      </c>
      <c r="J55" s="263">
        <f>IF(ISNA(MATCH(J$2,Inputs!$K$4:$AJ$4,0)),NA(),IF(SUMPRODUCT((Inputs!$A$5:$A$120=$B55)*ISNUMBER(INDEX(Inputs!$K$5:$AJ$120,0,MATCH(J$2,Inputs!$K$4:$AJ$4,0))))+SUMPRODUCT((Inputs!$C$5:$C$120=$B55)*ISNUMBER(INDEX(Inputs!$K$5:$AJ$120,0,MATCH(J$2,Inputs!$K$4:$AJ$4,0))))+SUMPRODUCT((Inputs!$E$5:$E$120=$B55)*ISNUMBER(INDEX(Inputs!$K$5:$AJ$120,0,MATCH(J$2,Inputs!$K$4:$AJ$4,0))))=0,NA(),SUMPRODUCT((Inputs!$A$5:$A$120=$B55)*Inputs!$B$5:$B$120*(((Inputs!$G$5:$G$120="moeda")+(Inputs!$G$5:$G$120="acoes"))*Inputs!$B$1+((Inputs!$G$5:$G$120&lt;&gt;"moeda")*(Inputs!$G$5:$G$120&lt;&gt;"acoes")))*INDEX(Inputs!$K$5:$AJ$120,0,MATCH(J$2,Inputs!$K$4:$AJ$4,0)))+SUMPRODUCT((Inputs!$C$5:$C$120=$B55)*Inputs!$D$5:$D$120*(((Inputs!$G$5:$G$120="moeda")+(Inputs!$G$5:$G$120="acoes"))*Inputs!$B$1+((Inputs!$G$5:$G$120&lt;&gt;"moeda")*(Inputs!$G$5:$G$120&lt;&gt;"acoes")))*INDEX(Inputs!$K$5:$AJ$120,0,MATCH(J$2,Inputs!$K$4:$AJ$4,0)))+SUMPRODUCT((Inputs!$E$5:$E$120=$B55)*Inputs!$F$5:$F$120*(((Inputs!$G$5:$G$120="moeda")+(Inputs!$G$5:$G$120="acoes"))*Inputs!$B$1+((Inputs!$G$5:$G$120&lt;&gt;"moeda")*(Inputs!$G$5:$G$120&lt;&gt;"acoes")))*INDEX(Inputs!$K$5:$AJ$120,0,MATCH(J$2,Inputs!$K$4:$AJ$4,0)))))</f>
        <v>4137</v>
      </c>
      <c r="K55" s="263">
        <f>IF(ISNA(MATCH(K$2,Inputs!$K$4:$AJ$4,0)),NA(),IF(SUMPRODUCT((Inputs!$A$5:$A$120=$B55)*ISNUMBER(INDEX(Inputs!$K$5:$AJ$120,0,MATCH(K$2,Inputs!$K$4:$AJ$4,0))))+SUMPRODUCT((Inputs!$C$5:$C$120=$B55)*ISNUMBER(INDEX(Inputs!$K$5:$AJ$120,0,MATCH(K$2,Inputs!$K$4:$AJ$4,0))))+SUMPRODUCT((Inputs!$E$5:$E$120=$B55)*ISNUMBER(INDEX(Inputs!$K$5:$AJ$120,0,MATCH(K$2,Inputs!$K$4:$AJ$4,0))))=0,NA(),SUMPRODUCT((Inputs!$A$5:$A$120=$B55)*Inputs!$B$5:$B$120*(((Inputs!$G$5:$G$120="moeda")+(Inputs!$G$5:$G$120="acoes"))*Inputs!$B$1+((Inputs!$G$5:$G$120&lt;&gt;"moeda")*(Inputs!$G$5:$G$120&lt;&gt;"acoes")))*INDEX(Inputs!$K$5:$AJ$120,0,MATCH(K$2,Inputs!$K$4:$AJ$4,0)))+SUMPRODUCT((Inputs!$C$5:$C$120=$B55)*Inputs!$D$5:$D$120*(((Inputs!$G$5:$G$120="moeda")+(Inputs!$G$5:$G$120="acoes"))*Inputs!$B$1+((Inputs!$G$5:$G$120&lt;&gt;"moeda")*(Inputs!$G$5:$G$120&lt;&gt;"acoes")))*INDEX(Inputs!$K$5:$AJ$120,0,MATCH(K$2,Inputs!$K$4:$AJ$4,0)))+SUMPRODUCT((Inputs!$E$5:$E$120=$B55)*Inputs!$F$5:$F$120*(((Inputs!$G$5:$G$120="moeda")+(Inputs!$G$5:$G$120="acoes"))*Inputs!$B$1+((Inputs!$G$5:$G$120&lt;&gt;"moeda")*(Inputs!$G$5:$G$120&lt;&gt;"acoes")))*INDEX(Inputs!$K$5:$AJ$120,0,MATCH(K$2,Inputs!$K$4:$AJ$4,0)))))</f>
        <v>5278</v>
      </c>
      <c r="L55" s="263">
        <f>IF(ISNA(MATCH(L$2,Inputs!$K$4:$AJ$4,0)),NA(),IF(SUMPRODUCT((Inputs!$A$5:$A$120=$B55)*ISNUMBER(INDEX(Inputs!$K$5:$AJ$120,0,MATCH(L$2,Inputs!$K$4:$AJ$4,0))))+SUMPRODUCT((Inputs!$C$5:$C$120=$B55)*ISNUMBER(INDEX(Inputs!$K$5:$AJ$120,0,MATCH(L$2,Inputs!$K$4:$AJ$4,0))))+SUMPRODUCT((Inputs!$E$5:$E$120=$B55)*ISNUMBER(INDEX(Inputs!$K$5:$AJ$120,0,MATCH(L$2,Inputs!$K$4:$AJ$4,0))))=0,NA(),SUMPRODUCT((Inputs!$A$5:$A$120=$B55)*Inputs!$B$5:$B$120*(((Inputs!$G$5:$G$120="moeda")+(Inputs!$G$5:$G$120="acoes"))*Inputs!$B$1+((Inputs!$G$5:$G$120&lt;&gt;"moeda")*(Inputs!$G$5:$G$120&lt;&gt;"acoes")))*INDEX(Inputs!$K$5:$AJ$120,0,MATCH(L$2,Inputs!$K$4:$AJ$4,0)))+SUMPRODUCT((Inputs!$C$5:$C$120=$B55)*Inputs!$D$5:$D$120*(((Inputs!$G$5:$G$120="moeda")+(Inputs!$G$5:$G$120="acoes"))*Inputs!$B$1+((Inputs!$G$5:$G$120&lt;&gt;"moeda")*(Inputs!$G$5:$G$120&lt;&gt;"acoes")))*INDEX(Inputs!$K$5:$AJ$120,0,MATCH(L$2,Inputs!$K$4:$AJ$4,0)))+SUMPRODUCT((Inputs!$E$5:$E$120=$B55)*Inputs!$F$5:$F$120*(((Inputs!$G$5:$G$120="moeda")+(Inputs!$G$5:$G$120="acoes"))*Inputs!$B$1+((Inputs!$G$5:$G$120&lt;&gt;"moeda")*(Inputs!$G$5:$G$120&lt;&gt;"acoes")))*INDEX(Inputs!$K$5:$AJ$120,0,MATCH(L$2,Inputs!$K$4:$AJ$4,0)))))</f>
        <v>5618</v>
      </c>
      <c r="M55" s="264">
        <f>SUM(I55:L55)</f>
        <v>20565</v>
      </c>
      <c r="N55" s="263">
        <f>IF(ISNA(MATCH(N$2,Inputs!$K$4:$AJ$4,0)),NA(),IF(SUMPRODUCT((Inputs!$A$5:$A$120=$B55)*ISNUMBER(INDEX(Inputs!$K$5:$AJ$120,0,MATCH(N$2,Inputs!$K$4:$AJ$4,0))))+SUMPRODUCT((Inputs!$C$5:$C$120=$B55)*ISNUMBER(INDEX(Inputs!$K$5:$AJ$120,0,MATCH(N$2,Inputs!$K$4:$AJ$4,0))))+SUMPRODUCT((Inputs!$E$5:$E$120=$B55)*ISNUMBER(INDEX(Inputs!$K$5:$AJ$120,0,MATCH(N$2,Inputs!$K$4:$AJ$4,0))))=0,NA(),SUMPRODUCT((Inputs!$A$5:$A$120=$B55)*Inputs!$B$5:$B$120*(((Inputs!$G$5:$G$120="moeda")+(Inputs!$G$5:$G$120="acoes"))*Inputs!$B$1+((Inputs!$G$5:$G$120&lt;&gt;"moeda")*(Inputs!$G$5:$G$120&lt;&gt;"acoes")))*INDEX(Inputs!$K$5:$AJ$120,0,MATCH(N$2,Inputs!$K$4:$AJ$4,0)))+SUMPRODUCT((Inputs!$C$5:$C$120=$B55)*Inputs!$D$5:$D$120*(((Inputs!$G$5:$G$120="moeda")+(Inputs!$G$5:$G$120="acoes"))*Inputs!$B$1+((Inputs!$G$5:$G$120&lt;&gt;"moeda")*(Inputs!$G$5:$G$120&lt;&gt;"acoes")))*INDEX(Inputs!$K$5:$AJ$120,0,MATCH(N$2,Inputs!$K$4:$AJ$4,0)))+SUMPRODUCT((Inputs!$E$5:$E$120=$B55)*Inputs!$F$5:$F$120*(((Inputs!$G$5:$G$120="moeda")+(Inputs!$G$5:$G$120="acoes"))*Inputs!$B$1+((Inputs!$G$5:$G$120&lt;&gt;"moeda")*(Inputs!$G$5:$G$120&lt;&gt;"acoes")))*INDEX(Inputs!$K$5:$AJ$120,0,MATCH(N$2,Inputs!$K$4:$AJ$4,0)))))</f>
        <v>4343</v>
      </c>
      <c r="O55" s="263">
        <f>IF(ISNA(MATCH(O$2,Inputs!$K$4:$AJ$4,0)),NA(),IF(SUMPRODUCT((Inputs!$A$5:$A$120=$B55)*ISNUMBER(INDEX(Inputs!$K$5:$AJ$120,0,MATCH(O$2,Inputs!$K$4:$AJ$4,0))))+SUMPRODUCT((Inputs!$C$5:$C$120=$B55)*ISNUMBER(INDEX(Inputs!$K$5:$AJ$120,0,MATCH(O$2,Inputs!$K$4:$AJ$4,0))))+SUMPRODUCT((Inputs!$E$5:$E$120=$B55)*ISNUMBER(INDEX(Inputs!$K$5:$AJ$120,0,MATCH(O$2,Inputs!$K$4:$AJ$4,0))))=0,NA(),SUMPRODUCT((Inputs!$A$5:$A$120=$B55)*Inputs!$B$5:$B$120*(((Inputs!$G$5:$G$120="moeda")+(Inputs!$G$5:$G$120="acoes"))*Inputs!$B$1+((Inputs!$G$5:$G$120&lt;&gt;"moeda")*(Inputs!$G$5:$G$120&lt;&gt;"acoes")))*INDEX(Inputs!$K$5:$AJ$120,0,MATCH(O$2,Inputs!$K$4:$AJ$4,0)))+SUMPRODUCT((Inputs!$C$5:$C$120=$B55)*Inputs!$D$5:$D$120*(((Inputs!$G$5:$G$120="moeda")+(Inputs!$G$5:$G$120="acoes"))*Inputs!$B$1+((Inputs!$G$5:$G$120&lt;&gt;"moeda")*(Inputs!$G$5:$G$120&lt;&gt;"acoes")))*INDEX(Inputs!$K$5:$AJ$120,0,MATCH(O$2,Inputs!$K$4:$AJ$4,0)))+SUMPRODUCT((Inputs!$E$5:$E$120=$B55)*Inputs!$F$5:$F$120*(((Inputs!$G$5:$G$120="moeda")+(Inputs!$G$5:$G$120="acoes"))*Inputs!$B$1+((Inputs!$G$5:$G$120&lt;&gt;"moeda")*(Inputs!$G$5:$G$120&lt;&gt;"acoes")))*INDEX(Inputs!$K$5:$AJ$120,0,MATCH(O$2,Inputs!$K$4:$AJ$4,0)))))</f>
        <v>4255</v>
      </c>
      <c r="P55" s="263">
        <f>IF(ISNA(MATCH(P$2,Inputs!$K$4:$AJ$4,0)),NA(),IF(SUMPRODUCT((Inputs!$A$5:$A$120=$B55)*ISNUMBER(INDEX(Inputs!$K$5:$AJ$120,0,MATCH(P$2,Inputs!$K$4:$AJ$4,0))))+SUMPRODUCT((Inputs!$C$5:$C$120=$B55)*ISNUMBER(INDEX(Inputs!$K$5:$AJ$120,0,MATCH(P$2,Inputs!$K$4:$AJ$4,0))))+SUMPRODUCT((Inputs!$E$5:$E$120=$B55)*ISNUMBER(INDEX(Inputs!$K$5:$AJ$120,0,MATCH(P$2,Inputs!$K$4:$AJ$4,0))))=0,NA(),SUMPRODUCT((Inputs!$A$5:$A$120=$B55)*Inputs!$B$5:$B$120*(((Inputs!$G$5:$G$120="moeda")+(Inputs!$G$5:$G$120="acoes"))*Inputs!$B$1+((Inputs!$G$5:$G$120&lt;&gt;"moeda")*(Inputs!$G$5:$G$120&lt;&gt;"acoes")))*INDEX(Inputs!$K$5:$AJ$120,0,MATCH(P$2,Inputs!$K$4:$AJ$4,0)))+SUMPRODUCT((Inputs!$C$5:$C$120=$B55)*Inputs!$D$5:$D$120*(((Inputs!$G$5:$G$120="moeda")+(Inputs!$G$5:$G$120="acoes"))*Inputs!$B$1+((Inputs!$G$5:$G$120&lt;&gt;"moeda")*(Inputs!$G$5:$G$120&lt;&gt;"acoes")))*INDEX(Inputs!$K$5:$AJ$120,0,MATCH(P$2,Inputs!$K$4:$AJ$4,0)))+SUMPRODUCT((Inputs!$E$5:$E$120=$B55)*Inputs!$F$5:$F$120*(((Inputs!$G$5:$G$120="moeda")+(Inputs!$G$5:$G$120="acoes"))*Inputs!$B$1+((Inputs!$G$5:$G$120&lt;&gt;"moeda")*(Inputs!$G$5:$G$120&lt;&gt;"acoes")))*INDEX(Inputs!$K$5:$AJ$120,0,MATCH(P$2,Inputs!$K$4:$AJ$4,0)))))</f>
        <v>3797</v>
      </c>
      <c r="Q55" s="263">
        <f>IF(ISNA(MATCH(Q$2,Inputs!$K$4:$AJ$4,0)),NA(),IF(SUMPRODUCT((Inputs!$A$5:$A$120=$B55)*ISNUMBER(INDEX(Inputs!$K$5:$AJ$120,0,MATCH(Q$2,Inputs!$K$4:$AJ$4,0))))+SUMPRODUCT((Inputs!$C$5:$C$120=$B55)*ISNUMBER(INDEX(Inputs!$K$5:$AJ$120,0,MATCH(Q$2,Inputs!$K$4:$AJ$4,0))))+SUMPRODUCT((Inputs!$E$5:$E$120=$B55)*ISNUMBER(INDEX(Inputs!$K$5:$AJ$120,0,MATCH(Q$2,Inputs!$K$4:$AJ$4,0))))=0,NA(),SUMPRODUCT((Inputs!$A$5:$A$120=$B55)*Inputs!$B$5:$B$120*(((Inputs!$G$5:$G$120="moeda")+(Inputs!$G$5:$G$120="acoes"))*Inputs!$B$1+((Inputs!$G$5:$G$120&lt;&gt;"moeda")*(Inputs!$G$5:$G$120&lt;&gt;"acoes")))*INDEX(Inputs!$K$5:$AJ$120,0,MATCH(Q$2,Inputs!$K$4:$AJ$4,0)))+SUMPRODUCT((Inputs!$C$5:$C$120=$B55)*Inputs!$D$5:$D$120*(((Inputs!$G$5:$G$120="moeda")+(Inputs!$G$5:$G$120="acoes"))*Inputs!$B$1+((Inputs!$G$5:$G$120&lt;&gt;"moeda")*(Inputs!$G$5:$G$120&lt;&gt;"acoes")))*INDEX(Inputs!$K$5:$AJ$120,0,MATCH(Q$2,Inputs!$K$4:$AJ$4,0)))+SUMPRODUCT((Inputs!$E$5:$E$120=$B55)*Inputs!$F$5:$F$120*(((Inputs!$G$5:$G$120="moeda")+(Inputs!$G$5:$G$120="acoes"))*Inputs!$B$1+((Inputs!$G$5:$G$120&lt;&gt;"moeda")*(Inputs!$G$5:$G$120&lt;&gt;"acoes")))*INDEX(Inputs!$K$5:$AJ$120,0,MATCH(Q$2,Inputs!$K$4:$AJ$4,0)))))</f>
        <v>4124</v>
      </c>
      <c r="R55" s="264">
        <f>SUM(N55:Q55)</f>
        <v>16519</v>
      </c>
      <c r="S55" s="263">
        <f>IF(ISNA(MATCH(S$2,Inputs!$K$4:$AJ$4,0)),NA(),IF(SUMPRODUCT((Inputs!$A$5:$A$120=$B55)*ISNUMBER(INDEX(Inputs!$K$5:$AJ$120,0,MATCH(S$2,Inputs!$K$4:$AJ$4,0))))+SUMPRODUCT((Inputs!$C$5:$C$120=$B55)*ISNUMBER(INDEX(Inputs!$K$5:$AJ$120,0,MATCH(S$2,Inputs!$K$4:$AJ$4,0))))+SUMPRODUCT((Inputs!$E$5:$E$120=$B55)*ISNUMBER(INDEX(Inputs!$K$5:$AJ$120,0,MATCH(S$2,Inputs!$K$4:$AJ$4,0))))=0,NA(),SUMPRODUCT((Inputs!$A$5:$A$120=$B55)*Inputs!$B$5:$B$120*(((Inputs!$G$5:$G$120="moeda")+(Inputs!$G$5:$G$120="acoes"))*Inputs!$B$1+((Inputs!$G$5:$G$120&lt;&gt;"moeda")*(Inputs!$G$5:$G$120&lt;&gt;"acoes")))*INDEX(Inputs!$K$5:$AJ$120,0,MATCH(S$2,Inputs!$K$4:$AJ$4,0)))+SUMPRODUCT((Inputs!$C$5:$C$120=$B55)*Inputs!$D$5:$D$120*(((Inputs!$G$5:$G$120="moeda")+(Inputs!$G$5:$G$120="acoes"))*Inputs!$B$1+((Inputs!$G$5:$G$120&lt;&gt;"moeda")*(Inputs!$G$5:$G$120&lt;&gt;"acoes")))*INDEX(Inputs!$K$5:$AJ$120,0,MATCH(S$2,Inputs!$K$4:$AJ$4,0)))+SUMPRODUCT((Inputs!$E$5:$E$120=$B55)*Inputs!$F$5:$F$120*(((Inputs!$G$5:$G$120="moeda")+(Inputs!$G$5:$G$120="acoes"))*Inputs!$B$1+((Inputs!$G$5:$G$120&lt;&gt;"moeda")*(Inputs!$G$5:$G$120&lt;&gt;"acoes")))*INDEX(Inputs!$K$5:$AJ$120,0,MATCH(S$2,Inputs!$K$4:$AJ$4,0)))))</f>
        <v>3293</v>
      </c>
      <c r="T55" s="263">
        <f>IF(ISNA(MATCH(T$2,Inputs!$K$4:$AJ$4,0)),NA(),IF(SUMPRODUCT((Inputs!$A$5:$A$120=$B55)*ISNUMBER(INDEX(Inputs!$K$5:$AJ$120,0,MATCH(T$2,Inputs!$K$4:$AJ$4,0))))+SUMPRODUCT((Inputs!$C$5:$C$120=$B55)*ISNUMBER(INDEX(Inputs!$K$5:$AJ$120,0,MATCH(T$2,Inputs!$K$4:$AJ$4,0))))+SUMPRODUCT((Inputs!$E$5:$E$120=$B55)*ISNUMBER(INDEX(Inputs!$K$5:$AJ$120,0,MATCH(T$2,Inputs!$K$4:$AJ$4,0))))=0,NA(),SUMPRODUCT((Inputs!$A$5:$A$120=$B55)*Inputs!$B$5:$B$120*(((Inputs!$G$5:$G$120="moeda")+(Inputs!$G$5:$G$120="acoes"))*Inputs!$B$1+((Inputs!$G$5:$G$120&lt;&gt;"moeda")*(Inputs!$G$5:$G$120&lt;&gt;"acoes")))*INDEX(Inputs!$K$5:$AJ$120,0,MATCH(T$2,Inputs!$K$4:$AJ$4,0)))+SUMPRODUCT((Inputs!$C$5:$C$120=$B55)*Inputs!$D$5:$D$120*(((Inputs!$G$5:$G$120="moeda")+(Inputs!$G$5:$G$120="acoes"))*Inputs!$B$1+((Inputs!$G$5:$G$120&lt;&gt;"moeda")*(Inputs!$G$5:$G$120&lt;&gt;"acoes")))*INDEX(Inputs!$K$5:$AJ$120,0,MATCH(T$2,Inputs!$K$4:$AJ$4,0)))+SUMPRODUCT((Inputs!$E$5:$E$120=$B55)*Inputs!$F$5:$F$120*(((Inputs!$G$5:$G$120="moeda")+(Inputs!$G$5:$G$120="acoes"))*Inputs!$B$1+((Inputs!$G$5:$G$120&lt;&gt;"moeda")*(Inputs!$G$5:$G$120&lt;&gt;"acoes")))*INDEX(Inputs!$K$5:$AJ$120,0,MATCH(T$2,Inputs!$K$4:$AJ$4,0)))))</f>
        <v>3838</v>
      </c>
      <c r="U55" s="263">
        <f>IF(ISNA(MATCH(U$2,Inputs!$K$4:$AJ$4,0)),NA(),IF(SUMPRODUCT((Inputs!$A$5:$A$120=$B55)*ISNUMBER(INDEX(Inputs!$K$5:$AJ$120,0,MATCH(U$2,Inputs!$K$4:$AJ$4,0))))+SUMPRODUCT((Inputs!$C$5:$C$120=$B55)*ISNUMBER(INDEX(Inputs!$K$5:$AJ$120,0,MATCH(U$2,Inputs!$K$4:$AJ$4,0))))+SUMPRODUCT((Inputs!$E$5:$E$120=$B55)*ISNUMBER(INDEX(Inputs!$K$5:$AJ$120,0,MATCH(U$2,Inputs!$K$4:$AJ$4,0))))=0,NA(),SUMPRODUCT((Inputs!$A$5:$A$120=$B55)*Inputs!$B$5:$B$120*(((Inputs!$G$5:$G$120="moeda")+(Inputs!$G$5:$G$120="acoes"))*Inputs!$B$1+((Inputs!$G$5:$G$120&lt;&gt;"moeda")*(Inputs!$G$5:$G$120&lt;&gt;"acoes")))*INDEX(Inputs!$K$5:$AJ$120,0,MATCH(U$2,Inputs!$K$4:$AJ$4,0)))+SUMPRODUCT((Inputs!$C$5:$C$120=$B55)*Inputs!$D$5:$D$120*(((Inputs!$G$5:$G$120="moeda")+(Inputs!$G$5:$G$120="acoes"))*Inputs!$B$1+((Inputs!$G$5:$G$120&lt;&gt;"moeda")*(Inputs!$G$5:$G$120&lt;&gt;"acoes")))*INDEX(Inputs!$K$5:$AJ$120,0,MATCH(U$2,Inputs!$K$4:$AJ$4,0)))+SUMPRODUCT((Inputs!$E$5:$E$120=$B55)*Inputs!$F$5:$F$120*(((Inputs!$G$5:$G$120="moeda")+(Inputs!$G$5:$G$120="acoes"))*Inputs!$B$1+((Inputs!$G$5:$G$120&lt;&gt;"moeda")*(Inputs!$G$5:$G$120&lt;&gt;"acoes")))*INDEX(Inputs!$K$5:$AJ$120,0,MATCH(U$2,Inputs!$K$4:$AJ$4,0)))))</f>
        <v>4272</v>
      </c>
      <c r="V55" s="263">
        <f>IF(ISNA(MATCH(V$2,Inputs!$K$4:$AJ$4,0)),NA(),IF(SUMPRODUCT((Inputs!$A$5:$A$120=$B55)*ISNUMBER(INDEX(Inputs!$K$5:$AJ$120,0,MATCH(V$2,Inputs!$K$4:$AJ$4,0))))+SUMPRODUCT((Inputs!$C$5:$C$120=$B55)*ISNUMBER(INDEX(Inputs!$K$5:$AJ$120,0,MATCH(V$2,Inputs!$K$4:$AJ$4,0))))+SUMPRODUCT((Inputs!$E$5:$E$120=$B55)*ISNUMBER(INDEX(Inputs!$K$5:$AJ$120,0,MATCH(V$2,Inputs!$K$4:$AJ$4,0))))=0,NA(),SUMPRODUCT((Inputs!$A$5:$A$120=$B55)*Inputs!$B$5:$B$120*(((Inputs!$G$5:$G$120="moeda")+(Inputs!$G$5:$G$120="acoes"))*Inputs!$B$1+((Inputs!$G$5:$G$120&lt;&gt;"moeda")*(Inputs!$G$5:$G$120&lt;&gt;"acoes")))*INDEX(Inputs!$K$5:$AJ$120,0,MATCH(V$2,Inputs!$K$4:$AJ$4,0)))+SUMPRODUCT((Inputs!$C$5:$C$120=$B55)*Inputs!$D$5:$D$120*(((Inputs!$G$5:$G$120="moeda")+(Inputs!$G$5:$G$120="acoes"))*Inputs!$B$1+((Inputs!$G$5:$G$120&lt;&gt;"moeda")*(Inputs!$G$5:$G$120&lt;&gt;"acoes")))*INDEX(Inputs!$K$5:$AJ$120,0,MATCH(V$2,Inputs!$K$4:$AJ$4,0)))+SUMPRODUCT((Inputs!$E$5:$E$120=$B55)*Inputs!$F$5:$F$120*(((Inputs!$G$5:$G$120="moeda")+(Inputs!$G$5:$G$120="acoes"))*Inputs!$B$1+((Inputs!$G$5:$G$120&lt;&gt;"moeda")*(Inputs!$G$5:$G$120&lt;&gt;"acoes")))*INDEX(Inputs!$K$5:$AJ$120,0,MATCH(V$2,Inputs!$K$4:$AJ$4,0)))))</f>
        <v>3407</v>
      </c>
      <c r="W55" s="264">
        <f>SUM(S55:V55)</f>
        <v>14810</v>
      </c>
      <c r="X55" s="263">
        <f>IF(ISNA(MATCH(X$2,Inputs!$K$4:$AJ$4,0)),NA(),IF(SUMPRODUCT((Inputs!$A$5:$A$120=$B55)*ISNUMBER(INDEX(Inputs!$K$5:$AJ$120,0,MATCH(X$2,Inputs!$K$4:$AJ$4,0))))+SUMPRODUCT((Inputs!$C$5:$C$120=$B55)*ISNUMBER(INDEX(Inputs!$K$5:$AJ$120,0,MATCH(X$2,Inputs!$K$4:$AJ$4,0))))+SUMPRODUCT((Inputs!$E$5:$E$120=$B55)*ISNUMBER(INDEX(Inputs!$K$5:$AJ$120,0,MATCH(X$2,Inputs!$K$4:$AJ$4,0))))=0,NA(),SUMPRODUCT((Inputs!$A$5:$A$120=$B55)*Inputs!$B$5:$B$120*(((Inputs!$G$5:$G$120="moeda")+(Inputs!$G$5:$G$120="acoes"))*Inputs!$B$1+((Inputs!$G$5:$G$120&lt;&gt;"moeda")*(Inputs!$G$5:$G$120&lt;&gt;"acoes")))*INDEX(Inputs!$K$5:$AJ$120,0,MATCH(X$2,Inputs!$K$4:$AJ$4,0)))+SUMPRODUCT((Inputs!$C$5:$C$120=$B55)*Inputs!$D$5:$D$120*(((Inputs!$G$5:$G$120="moeda")+(Inputs!$G$5:$G$120="acoes"))*Inputs!$B$1+((Inputs!$G$5:$G$120&lt;&gt;"moeda")*(Inputs!$G$5:$G$120&lt;&gt;"acoes")))*INDEX(Inputs!$K$5:$AJ$120,0,MATCH(X$2,Inputs!$K$4:$AJ$4,0)))+SUMPRODUCT((Inputs!$E$5:$E$120=$B55)*Inputs!$F$5:$F$120*(((Inputs!$G$5:$G$120="moeda")+(Inputs!$G$5:$G$120="acoes"))*Inputs!$B$1+((Inputs!$G$5:$G$120&lt;&gt;"moeda")*(Inputs!$G$5:$G$120&lt;&gt;"acoes")))*INDEX(Inputs!$K$5:$AJ$120,0,MATCH(X$2,Inputs!$K$4:$AJ$4,0)))))</f>
        <v>2368</v>
      </c>
      <c r="Y55" s="263">
        <f>IF(ISNA(MATCH(Y$2,Inputs!$K$4:$AJ$4,0)),NA(),IF(SUMPRODUCT((Inputs!$A$5:$A$120=$B55)*ISNUMBER(INDEX(Inputs!$K$5:$AJ$120,0,MATCH(Y$2,Inputs!$K$4:$AJ$4,0))))+SUMPRODUCT((Inputs!$C$5:$C$120=$B55)*ISNUMBER(INDEX(Inputs!$K$5:$AJ$120,0,MATCH(Y$2,Inputs!$K$4:$AJ$4,0))))+SUMPRODUCT((Inputs!$E$5:$E$120=$B55)*ISNUMBER(INDEX(Inputs!$K$5:$AJ$120,0,MATCH(Y$2,Inputs!$K$4:$AJ$4,0))))=0,NA(),SUMPRODUCT((Inputs!$A$5:$A$120=$B55)*Inputs!$B$5:$B$120*(((Inputs!$G$5:$G$120="moeda")+(Inputs!$G$5:$G$120="acoes"))*Inputs!$B$1+((Inputs!$G$5:$G$120&lt;&gt;"moeda")*(Inputs!$G$5:$G$120&lt;&gt;"acoes")))*INDEX(Inputs!$K$5:$AJ$120,0,MATCH(Y$2,Inputs!$K$4:$AJ$4,0)))+SUMPRODUCT((Inputs!$C$5:$C$120=$B55)*Inputs!$D$5:$D$120*(((Inputs!$G$5:$G$120="moeda")+(Inputs!$G$5:$G$120="acoes"))*Inputs!$B$1+((Inputs!$G$5:$G$120&lt;&gt;"moeda")*(Inputs!$G$5:$G$120&lt;&gt;"acoes")))*INDEX(Inputs!$K$5:$AJ$120,0,MATCH(Y$2,Inputs!$K$4:$AJ$4,0)))+SUMPRODUCT((Inputs!$E$5:$E$120=$B55)*Inputs!$F$5:$F$120*(((Inputs!$G$5:$G$120="moeda")+(Inputs!$G$5:$G$120="acoes"))*Inputs!$B$1+((Inputs!$G$5:$G$120&lt;&gt;"moeda")*(Inputs!$G$5:$G$120&lt;&gt;"acoes")))*INDEX(Inputs!$K$5:$AJ$120,0,MATCH(Y$2,Inputs!$K$4:$AJ$4,0)))))</f>
        <v>3032</v>
      </c>
      <c r="Z55" s="263">
        <f>IF(ISNA(MATCH(Z$2,Inputs!$K$4:$AJ$4,0)),NA(),IF(SUMPRODUCT((Inputs!$A$5:$A$120=$B55)*ISNUMBER(INDEX(Inputs!$K$5:$AJ$120,0,MATCH(Z$2,Inputs!$K$4:$AJ$4,0))))+SUMPRODUCT((Inputs!$C$5:$C$120=$B55)*ISNUMBER(INDEX(Inputs!$K$5:$AJ$120,0,MATCH(Z$2,Inputs!$K$4:$AJ$4,0))))+SUMPRODUCT((Inputs!$E$5:$E$120=$B55)*ISNUMBER(INDEX(Inputs!$K$5:$AJ$120,0,MATCH(Z$2,Inputs!$K$4:$AJ$4,0))))=0,NA(),SUMPRODUCT((Inputs!$A$5:$A$120=$B55)*Inputs!$B$5:$B$120*(((Inputs!$G$5:$G$120="moeda")+(Inputs!$G$5:$G$120="acoes"))*Inputs!$B$1+((Inputs!$G$5:$G$120&lt;&gt;"moeda")*(Inputs!$G$5:$G$120&lt;&gt;"acoes")))*INDEX(Inputs!$K$5:$AJ$120,0,MATCH(Z$2,Inputs!$K$4:$AJ$4,0)))+SUMPRODUCT((Inputs!$C$5:$C$120=$B55)*Inputs!$D$5:$D$120*(((Inputs!$G$5:$G$120="moeda")+(Inputs!$G$5:$G$120="acoes"))*Inputs!$B$1+((Inputs!$G$5:$G$120&lt;&gt;"moeda")*(Inputs!$G$5:$G$120&lt;&gt;"acoes")))*INDEX(Inputs!$K$5:$AJ$120,0,MATCH(Z$2,Inputs!$K$4:$AJ$4,0)))+SUMPRODUCT((Inputs!$E$5:$E$120=$B55)*Inputs!$F$5:$F$120*(((Inputs!$G$5:$G$120="moeda")+(Inputs!$G$5:$G$120="acoes"))*Inputs!$B$1+((Inputs!$G$5:$G$120&lt;&gt;"moeda")*(Inputs!$G$5:$G$120&lt;&gt;"acoes")))*INDEX(Inputs!$K$5:$AJ$120,0,MATCH(Z$2,Inputs!$K$4:$AJ$4,0)))))</f>
        <v>3981</v>
      </c>
      <c r="AA55" s="263">
        <f>IF(ISNA(MATCH(AA$2,Inputs!$K$4:$AJ$4,0)),NA(),IF(SUMPRODUCT((Inputs!$A$5:$A$120=$B55)*ISNUMBER(INDEX(Inputs!$K$5:$AJ$120,0,MATCH(AA$2,Inputs!$K$4:$AJ$4,0))))+SUMPRODUCT((Inputs!$C$5:$C$120=$B55)*ISNUMBER(INDEX(Inputs!$K$5:$AJ$120,0,MATCH(AA$2,Inputs!$K$4:$AJ$4,0))))+SUMPRODUCT((Inputs!$E$5:$E$120=$B55)*ISNUMBER(INDEX(Inputs!$K$5:$AJ$120,0,MATCH(AA$2,Inputs!$K$4:$AJ$4,0))))=0,NA(),SUMPRODUCT((Inputs!$A$5:$A$120=$B55)*Inputs!$B$5:$B$120*(((Inputs!$G$5:$G$120="moeda")+(Inputs!$G$5:$G$120="acoes"))*Inputs!$B$1+((Inputs!$G$5:$G$120&lt;&gt;"moeda")*(Inputs!$G$5:$G$120&lt;&gt;"acoes")))*INDEX(Inputs!$K$5:$AJ$120,0,MATCH(AA$2,Inputs!$K$4:$AJ$4,0)))+SUMPRODUCT((Inputs!$C$5:$C$120=$B55)*Inputs!$D$5:$D$120*(((Inputs!$G$5:$G$120="moeda")+(Inputs!$G$5:$G$120="acoes"))*Inputs!$B$1+((Inputs!$G$5:$G$120&lt;&gt;"moeda")*(Inputs!$G$5:$G$120&lt;&gt;"acoes")))*INDEX(Inputs!$K$5:$AJ$120,0,MATCH(AA$2,Inputs!$K$4:$AJ$4,0)))+SUMPRODUCT((Inputs!$E$5:$E$120=$B55)*Inputs!$F$5:$F$120*(((Inputs!$G$5:$G$120="moeda")+(Inputs!$G$5:$G$120="acoes"))*Inputs!$B$1+((Inputs!$G$5:$G$120&lt;&gt;"moeda")*(Inputs!$G$5:$G$120&lt;&gt;"acoes")))*INDEX(Inputs!$K$5:$AJ$120,0,MATCH(AA$2,Inputs!$K$4:$AJ$4,0)))))</f>
        <v>3911</v>
      </c>
      <c r="AB55" s="264">
        <f>SUM(X55:AA55)</f>
        <v>13292</v>
      </c>
      <c r="AC55" s="263">
        <f>IF(ISNA(MATCH(AC$2,Inputs!$K$4:$AJ$4,0)),NA(),IF(SUMPRODUCT((Inputs!$A$5:$A$120=$B55)*ISNUMBER(INDEX(Inputs!$K$5:$AJ$120,0,MATCH(AC$2,Inputs!$K$4:$AJ$4,0))))+SUMPRODUCT((Inputs!$C$5:$C$120=$B55)*ISNUMBER(INDEX(Inputs!$K$5:$AJ$120,0,MATCH(AC$2,Inputs!$K$4:$AJ$4,0))))+SUMPRODUCT((Inputs!$E$5:$E$120=$B55)*ISNUMBER(INDEX(Inputs!$K$5:$AJ$120,0,MATCH(AC$2,Inputs!$K$4:$AJ$4,0))))=0,NA(),SUMPRODUCT((Inputs!$A$5:$A$120=$B55)*Inputs!$B$5:$B$120*(((Inputs!$G$5:$G$120="moeda")+(Inputs!$G$5:$G$120="acoes"))*Inputs!$B$1+((Inputs!$G$5:$G$120&lt;&gt;"moeda")*(Inputs!$G$5:$G$120&lt;&gt;"acoes")))*INDEX(Inputs!$K$5:$AJ$120,0,MATCH(AC$2,Inputs!$K$4:$AJ$4,0)))+SUMPRODUCT((Inputs!$C$5:$C$120=$B55)*Inputs!$D$5:$D$120*(((Inputs!$G$5:$G$120="moeda")+(Inputs!$G$5:$G$120="acoes"))*Inputs!$B$1+((Inputs!$G$5:$G$120&lt;&gt;"moeda")*(Inputs!$G$5:$G$120&lt;&gt;"acoes")))*INDEX(Inputs!$K$5:$AJ$120,0,MATCH(AC$2,Inputs!$K$4:$AJ$4,0)))+SUMPRODUCT((Inputs!$E$5:$E$120=$B55)*Inputs!$F$5:$F$120*(((Inputs!$G$5:$G$120="moeda")+(Inputs!$G$5:$G$120="acoes"))*Inputs!$B$1+((Inputs!$G$5:$G$120&lt;&gt;"moeda")*(Inputs!$G$5:$G$120&lt;&gt;"acoes")))*INDEX(Inputs!$K$5:$AJ$120,0,MATCH(AC$2,Inputs!$K$4:$AJ$4,0)))))</f>
        <v>3768</v>
      </c>
      <c r="AD55" s="263">
        <f>IF(ISNA(MATCH(AD$2,Inputs!$K$4:$AJ$4,0)),NA(),IF(SUMPRODUCT((Inputs!$A$5:$A$120=$B55)*ISNUMBER(INDEX(Inputs!$K$5:$AJ$120,0,MATCH(AD$2,Inputs!$K$4:$AJ$4,0))))+SUMPRODUCT((Inputs!$C$5:$C$120=$B55)*ISNUMBER(INDEX(Inputs!$K$5:$AJ$120,0,MATCH(AD$2,Inputs!$K$4:$AJ$4,0))))+SUMPRODUCT((Inputs!$E$5:$E$120=$B55)*ISNUMBER(INDEX(Inputs!$K$5:$AJ$120,0,MATCH(AD$2,Inputs!$K$4:$AJ$4,0))))=0,NA(),SUMPRODUCT((Inputs!$A$5:$A$120=$B55)*Inputs!$B$5:$B$120*(((Inputs!$G$5:$G$120="moeda")+(Inputs!$G$5:$G$120="acoes"))*Inputs!$B$1+((Inputs!$G$5:$G$120&lt;&gt;"moeda")*(Inputs!$G$5:$G$120&lt;&gt;"acoes")))*INDEX(Inputs!$K$5:$AJ$120,0,MATCH(AD$2,Inputs!$K$4:$AJ$4,0)))+SUMPRODUCT((Inputs!$C$5:$C$120=$B55)*Inputs!$D$5:$D$120*(((Inputs!$G$5:$G$120="moeda")+(Inputs!$G$5:$G$120="acoes"))*Inputs!$B$1+((Inputs!$G$5:$G$120&lt;&gt;"moeda")*(Inputs!$G$5:$G$120&lt;&gt;"acoes")))*INDEX(Inputs!$K$5:$AJ$120,0,MATCH(AD$2,Inputs!$K$4:$AJ$4,0)))+SUMPRODUCT((Inputs!$E$5:$E$120=$B55)*Inputs!$F$5:$F$120*(((Inputs!$G$5:$G$120="moeda")+(Inputs!$G$5:$G$120="acoes"))*Inputs!$B$1+((Inputs!$G$5:$G$120&lt;&gt;"moeda")*(Inputs!$G$5:$G$120&lt;&gt;"acoes")))*INDEX(Inputs!$K$5:$AJ$120,0,MATCH(AD$2,Inputs!$K$4:$AJ$4,0)))))</f>
        <v>4111</v>
      </c>
      <c r="AE55" s="263" t="e">
        <f>IF(ISNA(MATCH(AE$2,Inputs!$K$4:$AJ$4,0)),NA(),IF(SUMPRODUCT((Inputs!$A$5:$A$120=$B55)*ISNUMBER(INDEX(Inputs!$K$5:$AJ$120,0,MATCH(AE$2,Inputs!$K$4:$AJ$4,0))))+SUMPRODUCT((Inputs!$C$5:$C$120=$B55)*ISNUMBER(INDEX(Inputs!$K$5:$AJ$120,0,MATCH(AE$2,Inputs!$K$4:$AJ$4,0))))+SUMPRODUCT((Inputs!$E$5:$E$120=$B55)*ISNUMBER(INDEX(Inputs!$K$5:$AJ$120,0,MATCH(AE$2,Inputs!$K$4:$AJ$4,0))))=0,NA(),SUMPRODUCT((Inputs!$A$5:$A$120=$B55)*Inputs!$B$5:$B$120*(((Inputs!$G$5:$G$120="moeda")+(Inputs!$G$5:$G$120="acoes"))*Inputs!$B$1+((Inputs!$G$5:$G$120&lt;&gt;"moeda")*(Inputs!$G$5:$G$120&lt;&gt;"acoes")))*INDEX(Inputs!$K$5:$AJ$120,0,MATCH(AE$2,Inputs!$K$4:$AJ$4,0)))+SUMPRODUCT((Inputs!$C$5:$C$120=$B55)*Inputs!$D$5:$D$120*(((Inputs!$G$5:$G$120="moeda")+(Inputs!$G$5:$G$120="acoes"))*Inputs!$B$1+((Inputs!$G$5:$G$120&lt;&gt;"moeda")*(Inputs!$G$5:$G$120&lt;&gt;"acoes")))*INDEX(Inputs!$K$5:$AJ$120,0,MATCH(AE$2,Inputs!$K$4:$AJ$4,0)))+SUMPRODUCT((Inputs!$E$5:$E$120=$B55)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55" s="263" t="e">
        <f>IF(ISNA(MATCH(AF$2,Inputs!$K$4:$AJ$4,0)),NA(),IF(SUMPRODUCT((Inputs!$A$5:$A$120=$B55)*ISNUMBER(INDEX(Inputs!$K$5:$AJ$120,0,MATCH(AF$2,Inputs!$K$4:$AJ$4,0))))+SUMPRODUCT((Inputs!$C$5:$C$120=$B55)*ISNUMBER(INDEX(Inputs!$K$5:$AJ$120,0,MATCH(AF$2,Inputs!$K$4:$AJ$4,0))))+SUMPRODUCT((Inputs!$E$5:$E$120=$B55)*ISNUMBER(INDEX(Inputs!$K$5:$AJ$120,0,MATCH(AF$2,Inputs!$K$4:$AJ$4,0))))=0,NA(),SUMPRODUCT((Inputs!$A$5:$A$120=$B55)*Inputs!$B$5:$B$120*(((Inputs!$G$5:$G$120="moeda")+(Inputs!$G$5:$G$120="acoes"))*Inputs!$B$1+((Inputs!$G$5:$G$120&lt;&gt;"moeda")*(Inputs!$G$5:$G$120&lt;&gt;"acoes")))*INDEX(Inputs!$K$5:$AJ$120,0,MATCH(AF$2,Inputs!$K$4:$AJ$4,0)))+SUMPRODUCT((Inputs!$C$5:$C$120=$B55)*Inputs!$D$5:$D$120*(((Inputs!$G$5:$G$120="moeda")+(Inputs!$G$5:$G$120="acoes"))*Inputs!$B$1+((Inputs!$G$5:$G$120&lt;&gt;"moeda")*(Inputs!$G$5:$G$120&lt;&gt;"acoes")))*INDEX(Inputs!$K$5:$AJ$120,0,MATCH(AF$2,Inputs!$K$4:$AJ$4,0)))+SUMPRODUCT((Inputs!$E$5:$E$120=$B55)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55" s="264" t="e">
        <f>SUM(AC55:AF55)</f>
        <v>#N/A</v>
      </c>
      <c r="AH55" s="263">
        <f>IF(ISNA(MATCH(AH$2,Inputs!$K$4:$AJ$4,0)),NA(),IF(SUMPRODUCT((Inputs!$A$5:$A$120=$B55)*ISNUMBER(INDEX(Inputs!$K$5:$AJ$120,0,MATCH(AH$2,Inputs!$K$4:$AJ$4,0))))+SUMPRODUCT((Inputs!$C$5:$C$120=$B55)*ISNUMBER(INDEX(Inputs!$K$5:$AJ$120,0,MATCH(AH$2,Inputs!$K$4:$AJ$4,0))))+SUMPRODUCT((Inputs!$E$5:$E$120=$B55)*ISNUMBER(INDEX(Inputs!$K$5:$AJ$120,0,MATCH(AH$2,Inputs!$K$4:$AJ$4,0))))=0,NA(),SUMPRODUCT((Inputs!$A$5:$A$120=$B55)*Inputs!$B$5:$B$120*(((Inputs!$G$5:$G$120="moeda")+(Inputs!$G$5:$G$120="acoes"))*Inputs!$B$1+((Inputs!$G$5:$G$120&lt;&gt;"moeda")*(Inputs!$G$5:$G$120&lt;&gt;"acoes")))*INDEX(Inputs!$K$5:$AJ$120,0,MATCH(AH$2,Inputs!$K$4:$AJ$4,0)))+SUMPRODUCT((Inputs!$C$5:$C$120=$B55)*Inputs!$D$5:$D$120*(((Inputs!$G$5:$G$120="moeda")+(Inputs!$G$5:$G$120="acoes"))*Inputs!$B$1+((Inputs!$G$5:$G$120&lt;&gt;"moeda")*(Inputs!$G$5:$G$120&lt;&gt;"acoes")))*INDEX(Inputs!$K$5:$AJ$120,0,MATCH(AH$2,Inputs!$K$4:$AJ$4,0)))+SUMPRODUCT((Inputs!$E$5:$E$120=$B55)*Inputs!$F$5:$F$120*(((Inputs!$G$5:$G$120="moeda")+(Inputs!$G$5:$G$120="acoes"))*Inputs!$B$1+((Inputs!$G$5:$G$120&lt;&gt;"moeda")*(Inputs!$G$5:$G$120&lt;&gt;"acoes")))*INDEX(Inputs!$K$5:$AJ$120,0,MATCH(AH$2,Inputs!$K$4:$AJ$4,0)))))</f>
        <v>1223</v>
      </c>
      <c r="AI55" s="263">
        <f>IF(ISNA(MATCH(AI$2,Inputs!$K$4:$AJ$4,0)),NA(),IF(SUMPRODUCT((Inputs!$A$5:$A$120=$B55)*ISNUMBER(INDEX(Inputs!$K$5:$AJ$120,0,MATCH(AI$2,Inputs!$K$4:$AJ$4,0))))+SUMPRODUCT((Inputs!$C$5:$C$120=$B55)*ISNUMBER(INDEX(Inputs!$K$5:$AJ$120,0,MATCH(AI$2,Inputs!$K$4:$AJ$4,0))))+SUMPRODUCT((Inputs!$E$5:$E$120=$B55)*ISNUMBER(INDEX(Inputs!$K$5:$AJ$120,0,MATCH(AI$2,Inputs!$K$4:$AJ$4,0))))=0,NA(),SUMPRODUCT((Inputs!$A$5:$A$120=$B55)*Inputs!$B$5:$B$120*(((Inputs!$G$5:$G$120="moeda")+(Inputs!$G$5:$G$120="acoes"))*Inputs!$B$1+((Inputs!$G$5:$G$120&lt;&gt;"moeda")*(Inputs!$G$5:$G$120&lt;&gt;"acoes")))*INDEX(Inputs!$K$5:$AJ$120,0,MATCH(AI$2,Inputs!$K$4:$AJ$4,0)))+SUMPRODUCT((Inputs!$C$5:$C$120=$B55)*Inputs!$D$5:$D$120*(((Inputs!$G$5:$G$120="moeda")+(Inputs!$G$5:$G$120="acoes"))*Inputs!$B$1+((Inputs!$G$5:$G$120&lt;&gt;"moeda")*(Inputs!$G$5:$G$120&lt;&gt;"acoes")))*INDEX(Inputs!$K$5:$AJ$120,0,MATCH(AI$2,Inputs!$K$4:$AJ$4,0)))+SUMPRODUCT((Inputs!$E$5:$E$120=$B55)*Inputs!$F$5:$F$120*(((Inputs!$G$5:$G$120="moeda")+(Inputs!$G$5:$G$120="acoes"))*Inputs!$B$1+((Inputs!$G$5:$G$120&lt;&gt;"moeda")*(Inputs!$G$5:$G$120&lt;&gt;"acoes")))*INDEX(Inputs!$K$5:$AJ$120,0,MATCH(AI$2,Inputs!$K$4:$AJ$4,0)))))</f>
        <v>1246</v>
      </c>
      <c r="AJ55" s="263">
        <f>IF(ISNA(MATCH(AJ$2,Inputs!$K$4:$AJ$4,0)),NA(),IF(SUMPRODUCT((Inputs!$A$5:$A$120=$B55)*ISNUMBER(INDEX(Inputs!$K$5:$AJ$120,0,MATCH(AJ$2,Inputs!$K$4:$AJ$4,0))))+SUMPRODUCT((Inputs!$C$5:$C$120=$B55)*ISNUMBER(INDEX(Inputs!$K$5:$AJ$120,0,MATCH(AJ$2,Inputs!$K$4:$AJ$4,0))))+SUMPRODUCT((Inputs!$E$5:$E$120=$B55)*ISNUMBER(INDEX(Inputs!$K$5:$AJ$120,0,MATCH(AJ$2,Inputs!$K$4:$AJ$4,0))))=0,NA(),SUMPRODUCT((Inputs!$A$5:$A$120=$B55)*Inputs!$B$5:$B$120*(((Inputs!$G$5:$G$120="moeda")+(Inputs!$G$5:$G$120="acoes"))*Inputs!$B$1+((Inputs!$G$5:$G$120&lt;&gt;"moeda")*(Inputs!$G$5:$G$120&lt;&gt;"acoes")))*INDEX(Inputs!$K$5:$AJ$120,0,MATCH(AJ$2,Inputs!$K$4:$AJ$4,0)))+SUMPRODUCT((Inputs!$C$5:$C$120=$B55)*Inputs!$D$5:$D$120*(((Inputs!$G$5:$G$120="moeda")+(Inputs!$G$5:$G$120="acoes"))*Inputs!$B$1+((Inputs!$G$5:$G$120&lt;&gt;"moeda")*(Inputs!$G$5:$G$120&lt;&gt;"acoes")))*INDEX(Inputs!$K$5:$AJ$120,0,MATCH(AJ$2,Inputs!$K$4:$AJ$4,0)))+SUMPRODUCT((Inputs!$E$5:$E$120=$B55)*Inputs!$F$5:$F$120*(((Inputs!$G$5:$G$120="moeda")+(Inputs!$G$5:$G$120="acoes"))*Inputs!$B$1+((Inputs!$G$5:$G$120&lt;&gt;"moeda")*(Inputs!$G$5:$G$120&lt;&gt;"acoes")))*INDEX(Inputs!$K$5:$AJ$120,0,MATCH(AJ$2,Inputs!$K$4:$AJ$4,0)))))</f>
        <v>2042</v>
      </c>
      <c r="AK55" s="263">
        <f>IF(ISNA(MATCH(AK$2,Inputs!$K$4:$AJ$4,0)),NA(),IF(SUMPRODUCT((Inputs!$A$5:$A$120=$B55)*ISNUMBER(INDEX(Inputs!$K$5:$AJ$120,0,MATCH(AK$2,Inputs!$K$4:$AJ$4,0))))+SUMPRODUCT((Inputs!$C$5:$C$120=$B55)*ISNUMBER(INDEX(Inputs!$K$5:$AJ$120,0,MATCH(AK$2,Inputs!$K$4:$AJ$4,0))))+SUMPRODUCT((Inputs!$E$5:$E$120=$B55)*ISNUMBER(INDEX(Inputs!$K$5:$AJ$120,0,MATCH(AK$2,Inputs!$K$4:$AJ$4,0))))=0,NA(),SUMPRODUCT((Inputs!$A$5:$A$120=$B55)*Inputs!$B$5:$B$120*(((Inputs!$G$5:$G$120="moeda")+(Inputs!$G$5:$G$120="acoes"))*Inputs!$B$1+((Inputs!$G$5:$G$120&lt;&gt;"moeda")*(Inputs!$G$5:$G$120&lt;&gt;"acoes")))*INDEX(Inputs!$K$5:$AJ$120,0,MATCH(AK$2,Inputs!$K$4:$AJ$4,0)))+SUMPRODUCT((Inputs!$C$5:$C$120=$B55)*Inputs!$D$5:$D$120*(((Inputs!$G$5:$G$120="moeda")+(Inputs!$G$5:$G$120="acoes"))*Inputs!$B$1+((Inputs!$G$5:$G$120&lt;&gt;"moeda")*(Inputs!$G$5:$G$120&lt;&gt;"acoes")))*INDEX(Inputs!$K$5:$AJ$120,0,MATCH(AK$2,Inputs!$K$4:$AJ$4,0)))+SUMPRODUCT((Inputs!$E$5:$E$120=$B55)*Inputs!$F$5:$F$120*(((Inputs!$G$5:$G$120="moeda")+(Inputs!$G$5:$G$120="acoes"))*Inputs!$B$1+((Inputs!$G$5:$G$120&lt;&gt;"moeda")*(Inputs!$G$5:$G$120&lt;&gt;"acoes")))*INDEX(Inputs!$K$5:$AJ$120,0,MATCH(AK$2,Inputs!$K$4:$AJ$4,0)))))</f>
        <v>2101</v>
      </c>
      <c r="AL55" s="264">
        <f>SUM(AH55:AK55)</f>
        <v>6612</v>
      </c>
    </row>
    <row r="56">
      <c r="B56" s="46" t="n">
        <v>48</v>
      </c>
      <c r="C56" s="29" t="inlineStr">
        <is>
          <t>Segmento Energia - lucro bruto (USD)</t>
        </is>
      </c>
      <c r="D56" s="263">
        <f>IF(ISNA(MATCH(D$2,Inputs!$K$4:$AJ$4,0)),NA(),IF(SUMPRODUCT((Inputs!$A$5:$A$120=$B56)*ISNUMBER(INDEX(Inputs!$K$5:$AJ$120,0,MATCH(D$2,Inputs!$K$4:$AJ$4,0))))+SUMPRODUCT((Inputs!$C$5:$C$120=$B56)*ISNUMBER(INDEX(Inputs!$K$5:$AJ$120,0,MATCH(D$2,Inputs!$K$4:$AJ$4,0))))+SUMPRODUCT((Inputs!$E$5:$E$120=$B56)*ISNUMBER(INDEX(Inputs!$K$5:$AJ$120,0,MATCH(D$2,Inputs!$K$4:$AJ$4,0))))=0,NA(),SUMPRODUCT((Inputs!$A$5:$A$120=$B56)*Inputs!$B$5:$B$120*(((Inputs!$G$5:$G$120="moeda")+(Inputs!$G$5:$G$120="acoes"))*Inputs!$B$1+((Inputs!$G$5:$G$120&lt;&gt;"moeda")*(Inputs!$G$5:$G$120&lt;&gt;"acoes")))*INDEX(Inputs!$K$5:$AJ$120,0,MATCH(D$2,Inputs!$K$4:$AJ$4,0)))+SUMPRODUCT((Inputs!$C$5:$C$120=$B56)*Inputs!$D$5:$D$120*(((Inputs!$G$5:$G$120="moeda")+(Inputs!$G$5:$G$120="acoes"))*Inputs!$B$1+((Inputs!$G$5:$G$120&lt;&gt;"moeda")*(Inputs!$G$5:$G$120&lt;&gt;"acoes")))*INDEX(Inputs!$K$5:$AJ$120,0,MATCH(D$2,Inputs!$K$4:$AJ$4,0)))+SUMPRODUCT((Inputs!$E$5:$E$120=$B56)*Inputs!$F$5:$F$120*(((Inputs!$G$5:$G$120="moeda")+(Inputs!$G$5:$G$120="acoes"))*Inputs!$B$1+((Inputs!$G$5:$G$120&lt;&gt;"moeda")*(Inputs!$G$5:$G$120&lt;&gt;"acoes")))*INDEX(Inputs!$K$5:$AJ$120,0,MATCH(D$2,Inputs!$K$4:$AJ$4,0)))))</f>
        <v>-101</v>
      </c>
      <c r="E56" s="263">
        <f>IF(ISNA(MATCH(E$2,Inputs!$K$4:$AJ$4,0)),NA(),IF(SUMPRODUCT((Inputs!$A$5:$A$120=$B56)*ISNUMBER(INDEX(Inputs!$K$5:$AJ$120,0,MATCH(E$2,Inputs!$K$4:$AJ$4,0))))+SUMPRODUCT((Inputs!$C$5:$C$120=$B56)*ISNUMBER(INDEX(Inputs!$K$5:$AJ$120,0,MATCH(E$2,Inputs!$K$4:$AJ$4,0))))+SUMPRODUCT((Inputs!$E$5:$E$120=$B56)*ISNUMBER(INDEX(Inputs!$K$5:$AJ$120,0,MATCH(E$2,Inputs!$K$4:$AJ$4,0))))=0,NA(),SUMPRODUCT((Inputs!$A$5:$A$120=$B56)*Inputs!$B$5:$B$120*(((Inputs!$G$5:$G$120="moeda")+(Inputs!$G$5:$G$120="acoes"))*Inputs!$B$1+((Inputs!$G$5:$G$120&lt;&gt;"moeda")*(Inputs!$G$5:$G$120&lt;&gt;"acoes")))*INDEX(Inputs!$K$5:$AJ$120,0,MATCH(E$2,Inputs!$K$4:$AJ$4,0)))+SUMPRODUCT((Inputs!$C$5:$C$120=$B56)*Inputs!$D$5:$D$120*(((Inputs!$G$5:$G$120="moeda")+(Inputs!$G$5:$G$120="acoes"))*Inputs!$B$1+((Inputs!$G$5:$G$120&lt;&gt;"moeda")*(Inputs!$G$5:$G$120&lt;&gt;"acoes")))*INDEX(Inputs!$K$5:$AJ$120,0,MATCH(E$2,Inputs!$K$4:$AJ$4,0)))+SUMPRODUCT((Inputs!$E$5:$E$120=$B56)*Inputs!$F$5:$F$120*(((Inputs!$G$5:$G$120="moeda")+(Inputs!$G$5:$G$120="acoes"))*Inputs!$B$1+((Inputs!$G$5:$G$120&lt;&gt;"moeda")*(Inputs!$G$5:$G$120&lt;&gt;"acoes")))*INDEX(Inputs!$K$5:$AJ$120,0,MATCH(E$2,Inputs!$K$4:$AJ$4,0)))))</f>
        <v>20</v>
      </c>
      <c r="F56" s="263">
        <f>IF(ISNA(MATCH(F$2,Inputs!$K$4:$AJ$4,0)),NA(),IF(SUMPRODUCT((Inputs!$A$5:$A$120=$B56)*ISNUMBER(INDEX(Inputs!$K$5:$AJ$120,0,MATCH(F$2,Inputs!$K$4:$AJ$4,0))))+SUMPRODUCT((Inputs!$C$5:$C$120=$B56)*ISNUMBER(INDEX(Inputs!$K$5:$AJ$120,0,MATCH(F$2,Inputs!$K$4:$AJ$4,0))))+SUMPRODUCT((Inputs!$E$5:$E$120=$B56)*ISNUMBER(INDEX(Inputs!$K$5:$AJ$120,0,MATCH(F$2,Inputs!$K$4:$AJ$4,0))))=0,NA(),SUMPRODUCT((Inputs!$A$5:$A$120=$B56)*Inputs!$B$5:$B$120*(((Inputs!$G$5:$G$120="moeda")+(Inputs!$G$5:$G$120="acoes"))*Inputs!$B$1+((Inputs!$G$5:$G$120&lt;&gt;"moeda")*(Inputs!$G$5:$G$120&lt;&gt;"acoes")))*INDEX(Inputs!$K$5:$AJ$120,0,MATCH(F$2,Inputs!$K$4:$AJ$4,0)))+SUMPRODUCT((Inputs!$C$5:$C$120=$B56)*Inputs!$D$5:$D$120*(((Inputs!$G$5:$G$120="moeda")+(Inputs!$G$5:$G$120="acoes"))*Inputs!$B$1+((Inputs!$G$5:$G$120&lt;&gt;"moeda")*(Inputs!$G$5:$G$120&lt;&gt;"acoes")))*INDEX(Inputs!$K$5:$AJ$120,0,MATCH(F$2,Inputs!$K$4:$AJ$4,0)))+SUMPRODUCT((Inputs!$E$5:$E$120=$B56)*Inputs!$F$5:$F$120*(((Inputs!$G$5:$G$120="moeda")+(Inputs!$G$5:$G$120="acoes"))*Inputs!$B$1+((Inputs!$G$5:$G$120&lt;&gt;"moeda")*(Inputs!$G$5:$G$120&lt;&gt;"acoes")))*INDEX(Inputs!$K$5:$AJ$120,0,MATCH(F$2,Inputs!$K$4:$AJ$4,0)))))</f>
        <v>3</v>
      </c>
      <c r="G56" s="263">
        <f>IF(ISNA(MATCH(G$2,Inputs!$K$4:$AJ$4,0)),NA(),IF(SUMPRODUCT((Inputs!$A$5:$A$120=$B56)*ISNUMBER(INDEX(Inputs!$K$5:$AJ$120,0,MATCH(G$2,Inputs!$K$4:$AJ$4,0))))+SUMPRODUCT((Inputs!$C$5:$C$120=$B56)*ISNUMBER(INDEX(Inputs!$K$5:$AJ$120,0,MATCH(G$2,Inputs!$K$4:$AJ$4,0))))+SUMPRODUCT((Inputs!$E$5:$E$120=$B56)*ISNUMBER(INDEX(Inputs!$K$5:$AJ$120,0,MATCH(G$2,Inputs!$K$4:$AJ$4,0))))=0,NA(),SUMPRODUCT((Inputs!$A$5:$A$120=$B56)*Inputs!$B$5:$B$120*(((Inputs!$G$5:$G$120="moeda")+(Inputs!$G$5:$G$120="acoes"))*Inputs!$B$1+((Inputs!$G$5:$G$120&lt;&gt;"moeda")*(Inputs!$G$5:$G$120&lt;&gt;"acoes")))*INDEX(Inputs!$K$5:$AJ$120,0,MATCH(G$2,Inputs!$K$4:$AJ$4,0)))+SUMPRODUCT((Inputs!$C$5:$C$120=$B56)*Inputs!$D$5:$D$120*(((Inputs!$G$5:$G$120="moeda")+(Inputs!$G$5:$G$120="acoes"))*Inputs!$B$1+((Inputs!$G$5:$G$120&lt;&gt;"moeda")*(Inputs!$G$5:$G$120&lt;&gt;"acoes")))*INDEX(Inputs!$K$5:$AJ$120,0,MATCH(G$2,Inputs!$K$4:$AJ$4,0)))+SUMPRODUCT((Inputs!$E$5:$E$120=$B56)*Inputs!$F$5:$F$120*(((Inputs!$G$5:$G$120="moeda")+(Inputs!$G$5:$G$120="acoes"))*Inputs!$B$1+((Inputs!$G$5:$G$120&lt;&gt;"moeda")*(Inputs!$G$5:$G$120&lt;&gt;"acoes")))*INDEX(Inputs!$K$5:$AJ$120,0,MATCH(G$2,Inputs!$K$4:$AJ$4,0)))))</f>
        <v>-51</v>
      </c>
      <c r="H56" s="264">
        <f>SUM(D56:G56)</f>
        <v>-129</v>
      </c>
      <c r="I56" s="263">
        <f>IF(ISNA(MATCH(I$2,Inputs!$K$4:$AJ$4,0)),NA(),IF(SUMPRODUCT((Inputs!$A$5:$A$120=$B56)*ISNUMBER(INDEX(Inputs!$K$5:$AJ$120,0,MATCH(I$2,Inputs!$K$4:$AJ$4,0))))+SUMPRODUCT((Inputs!$C$5:$C$120=$B56)*ISNUMBER(INDEX(Inputs!$K$5:$AJ$120,0,MATCH(I$2,Inputs!$K$4:$AJ$4,0))))+SUMPRODUCT((Inputs!$E$5:$E$120=$B56)*ISNUMBER(INDEX(Inputs!$K$5:$AJ$120,0,MATCH(I$2,Inputs!$K$4:$AJ$4,0))))=0,NA(),SUMPRODUCT((Inputs!$A$5:$A$120=$B56)*Inputs!$B$5:$B$120*(((Inputs!$G$5:$G$120="moeda")+(Inputs!$G$5:$G$120="acoes"))*Inputs!$B$1+((Inputs!$G$5:$G$120&lt;&gt;"moeda")*(Inputs!$G$5:$G$120&lt;&gt;"acoes")))*INDEX(Inputs!$K$5:$AJ$120,0,MATCH(I$2,Inputs!$K$4:$AJ$4,0)))+SUMPRODUCT((Inputs!$C$5:$C$120=$B56)*Inputs!$D$5:$D$120*(((Inputs!$G$5:$G$120="moeda")+(Inputs!$G$5:$G$120="acoes"))*Inputs!$B$1+((Inputs!$G$5:$G$120&lt;&gt;"moeda")*(Inputs!$G$5:$G$120&lt;&gt;"acoes")))*INDEX(Inputs!$K$5:$AJ$120,0,MATCH(I$2,Inputs!$K$4:$AJ$4,0)))+SUMPRODUCT((Inputs!$E$5:$E$120=$B56)*Inputs!$F$5:$F$120*(((Inputs!$G$5:$G$120="moeda")+(Inputs!$G$5:$G$120="acoes"))*Inputs!$B$1+((Inputs!$G$5:$G$120&lt;&gt;"moeda")*(Inputs!$G$5:$G$120&lt;&gt;"acoes")))*INDEX(Inputs!$K$5:$AJ$120,0,MATCH(I$2,Inputs!$K$4:$AJ$4,0)))))</f>
        <v>-72</v>
      </c>
      <c r="J56" s="263">
        <f>IF(ISNA(MATCH(J$2,Inputs!$K$4:$AJ$4,0)),NA(),IF(SUMPRODUCT((Inputs!$A$5:$A$120=$B56)*ISNUMBER(INDEX(Inputs!$K$5:$AJ$120,0,MATCH(J$2,Inputs!$K$4:$AJ$4,0))))+SUMPRODUCT((Inputs!$C$5:$C$120=$B56)*ISNUMBER(INDEX(Inputs!$K$5:$AJ$120,0,MATCH(J$2,Inputs!$K$4:$AJ$4,0))))+SUMPRODUCT((Inputs!$E$5:$E$120=$B56)*ISNUMBER(INDEX(Inputs!$K$5:$AJ$120,0,MATCH(J$2,Inputs!$K$4:$AJ$4,0))))=0,NA(),SUMPRODUCT((Inputs!$A$5:$A$120=$B56)*Inputs!$B$5:$B$120*(((Inputs!$G$5:$G$120="moeda")+(Inputs!$G$5:$G$120="acoes"))*Inputs!$B$1+((Inputs!$G$5:$G$120&lt;&gt;"moeda")*(Inputs!$G$5:$G$120&lt;&gt;"acoes")))*INDEX(Inputs!$K$5:$AJ$120,0,MATCH(J$2,Inputs!$K$4:$AJ$4,0)))+SUMPRODUCT((Inputs!$C$5:$C$120=$B56)*Inputs!$D$5:$D$120*(((Inputs!$G$5:$G$120="moeda")+(Inputs!$G$5:$G$120="acoes"))*Inputs!$B$1+((Inputs!$G$5:$G$120&lt;&gt;"moeda")*(Inputs!$G$5:$G$120&lt;&gt;"acoes")))*INDEX(Inputs!$K$5:$AJ$120,0,MATCH(J$2,Inputs!$K$4:$AJ$4,0)))+SUMPRODUCT((Inputs!$E$5:$E$120=$B56)*Inputs!$F$5:$F$120*(((Inputs!$G$5:$G$120="moeda")+(Inputs!$G$5:$G$120="acoes"))*Inputs!$B$1+((Inputs!$G$5:$G$120&lt;&gt;"moeda")*(Inputs!$G$5:$G$120&lt;&gt;"acoes")))*INDEX(Inputs!$K$5:$AJ$120,0,MATCH(J$2,Inputs!$K$4:$AJ$4,0)))))</f>
        <v>97</v>
      </c>
      <c r="K56" s="263">
        <f>IF(ISNA(MATCH(K$2,Inputs!$K$4:$AJ$4,0)),NA(),IF(SUMPRODUCT((Inputs!$A$5:$A$120=$B56)*ISNUMBER(INDEX(Inputs!$K$5:$AJ$120,0,MATCH(K$2,Inputs!$K$4:$AJ$4,0))))+SUMPRODUCT((Inputs!$C$5:$C$120=$B56)*ISNUMBER(INDEX(Inputs!$K$5:$AJ$120,0,MATCH(K$2,Inputs!$K$4:$AJ$4,0))))+SUMPRODUCT((Inputs!$E$5:$E$120=$B56)*ISNUMBER(INDEX(Inputs!$K$5:$AJ$120,0,MATCH(K$2,Inputs!$K$4:$AJ$4,0))))=0,NA(),SUMPRODUCT((Inputs!$A$5:$A$120=$B56)*Inputs!$B$5:$B$120*(((Inputs!$G$5:$G$120="moeda")+(Inputs!$G$5:$G$120="acoes"))*Inputs!$B$1+((Inputs!$G$5:$G$120&lt;&gt;"moeda")*(Inputs!$G$5:$G$120&lt;&gt;"acoes")))*INDEX(Inputs!$K$5:$AJ$120,0,MATCH(K$2,Inputs!$K$4:$AJ$4,0)))+SUMPRODUCT((Inputs!$C$5:$C$120=$B56)*Inputs!$D$5:$D$120*(((Inputs!$G$5:$G$120="moeda")+(Inputs!$G$5:$G$120="acoes"))*Inputs!$B$1+((Inputs!$G$5:$G$120&lt;&gt;"moeda")*(Inputs!$G$5:$G$120&lt;&gt;"acoes")))*INDEX(Inputs!$K$5:$AJ$120,0,MATCH(K$2,Inputs!$K$4:$AJ$4,0)))+SUMPRODUCT((Inputs!$E$5:$E$120=$B56)*Inputs!$F$5:$F$120*(((Inputs!$G$5:$G$120="moeda")+(Inputs!$G$5:$G$120="acoes"))*Inputs!$B$1+((Inputs!$G$5:$G$120&lt;&gt;"moeda")*(Inputs!$G$5:$G$120&lt;&gt;"acoes")))*INDEX(Inputs!$K$5:$AJ$120,0,MATCH(K$2,Inputs!$K$4:$AJ$4,0)))))</f>
        <v>104</v>
      </c>
      <c r="L56" s="263">
        <f>IF(ISNA(MATCH(L$2,Inputs!$K$4:$AJ$4,0)),NA(),IF(SUMPRODUCT((Inputs!$A$5:$A$120=$B56)*ISNUMBER(INDEX(Inputs!$K$5:$AJ$120,0,MATCH(L$2,Inputs!$K$4:$AJ$4,0))))+SUMPRODUCT((Inputs!$C$5:$C$120=$B56)*ISNUMBER(INDEX(Inputs!$K$5:$AJ$120,0,MATCH(L$2,Inputs!$K$4:$AJ$4,0))))+SUMPRODUCT((Inputs!$E$5:$E$120=$B56)*ISNUMBER(INDEX(Inputs!$K$5:$AJ$120,0,MATCH(L$2,Inputs!$K$4:$AJ$4,0))))=0,NA(),SUMPRODUCT((Inputs!$A$5:$A$120=$B56)*Inputs!$B$5:$B$120*(((Inputs!$G$5:$G$120="moeda")+(Inputs!$G$5:$G$120="acoes"))*Inputs!$B$1+((Inputs!$G$5:$G$120&lt;&gt;"moeda")*(Inputs!$G$5:$G$120&lt;&gt;"acoes")))*INDEX(Inputs!$K$5:$AJ$120,0,MATCH(L$2,Inputs!$K$4:$AJ$4,0)))+SUMPRODUCT((Inputs!$C$5:$C$120=$B56)*Inputs!$D$5:$D$120*(((Inputs!$G$5:$G$120="moeda")+(Inputs!$G$5:$G$120="acoes"))*Inputs!$B$1+((Inputs!$G$5:$G$120&lt;&gt;"moeda")*(Inputs!$G$5:$G$120&lt;&gt;"acoes")))*INDEX(Inputs!$K$5:$AJ$120,0,MATCH(L$2,Inputs!$K$4:$AJ$4,0)))+SUMPRODUCT((Inputs!$E$5:$E$120=$B56)*Inputs!$F$5:$F$120*(((Inputs!$G$5:$G$120="moeda")+(Inputs!$G$5:$G$120="acoes"))*Inputs!$B$1+((Inputs!$G$5:$G$120&lt;&gt;"moeda")*(Inputs!$G$5:$G$120&lt;&gt;"acoes")))*INDEX(Inputs!$K$5:$AJ$120,0,MATCH(L$2,Inputs!$K$4:$AJ$4,0)))))</f>
        <v>159</v>
      </c>
      <c r="M56" s="264">
        <f>SUM(I56:L56)</f>
        <v>288</v>
      </c>
      <c r="N56" s="263">
        <f>IF(ISNA(MATCH(N$2,Inputs!$K$4:$AJ$4,0)),NA(),IF(SUMPRODUCT((Inputs!$A$5:$A$120=$B56)*ISNUMBER(INDEX(Inputs!$K$5:$AJ$120,0,MATCH(N$2,Inputs!$K$4:$AJ$4,0))))+SUMPRODUCT((Inputs!$C$5:$C$120=$B56)*ISNUMBER(INDEX(Inputs!$K$5:$AJ$120,0,MATCH(N$2,Inputs!$K$4:$AJ$4,0))))+SUMPRODUCT((Inputs!$E$5:$E$120=$B56)*ISNUMBER(INDEX(Inputs!$K$5:$AJ$120,0,MATCH(N$2,Inputs!$K$4:$AJ$4,0))))=0,NA(),SUMPRODUCT((Inputs!$A$5:$A$120=$B56)*Inputs!$B$5:$B$120*(((Inputs!$G$5:$G$120="moeda")+(Inputs!$G$5:$G$120="acoes"))*Inputs!$B$1+((Inputs!$G$5:$G$120&lt;&gt;"moeda")*(Inputs!$G$5:$G$120&lt;&gt;"acoes")))*INDEX(Inputs!$K$5:$AJ$120,0,MATCH(N$2,Inputs!$K$4:$AJ$4,0)))+SUMPRODUCT((Inputs!$C$5:$C$120=$B56)*Inputs!$D$5:$D$120*(((Inputs!$G$5:$G$120="moeda")+(Inputs!$G$5:$G$120="acoes"))*Inputs!$B$1+((Inputs!$G$5:$G$120&lt;&gt;"moeda")*(Inputs!$G$5:$G$120&lt;&gt;"acoes")))*INDEX(Inputs!$K$5:$AJ$120,0,MATCH(N$2,Inputs!$K$4:$AJ$4,0)))+SUMPRODUCT((Inputs!$E$5:$E$120=$B56)*Inputs!$F$5:$F$120*(((Inputs!$G$5:$G$120="moeda")+(Inputs!$G$5:$G$120="acoes"))*Inputs!$B$1+((Inputs!$G$5:$G$120&lt;&gt;"moeda")*(Inputs!$G$5:$G$120&lt;&gt;"acoes")))*INDEX(Inputs!$K$5:$AJ$120,0,MATCH(N$2,Inputs!$K$4:$AJ$4,0)))))</f>
        <v>168</v>
      </c>
      <c r="O56" s="263">
        <f>IF(ISNA(MATCH(O$2,Inputs!$K$4:$AJ$4,0)),NA(),IF(SUMPRODUCT((Inputs!$A$5:$A$120=$B56)*ISNUMBER(INDEX(Inputs!$K$5:$AJ$120,0,MATCH(O$2,Inputs!$K$4:$AJ$4,0))))+SUMPRODUCT((Inputs!$C$5:$C$120=$B56)*ISNUMBER(INDEX(Inputs!$K$5:$AJ$120,0,MATCH(O$2,Inputs!$K$4:$AJ$4,0))))+SUMPRODUCT((Inputs!$E$5:$E$120=$B56)*ISNUMBER(INDEX(Inputs!$K$5:$AJ$120,0,MATCH(O$2,Inputs!$K$4:$AJ$4,0))))=0,NA(),SUMPRODUCT((Inputs!$A$5:$A$120=$B56)*Inputs!$B$5:$B$120*(((Inputs!$G$5:$G$120="moeda")+(Inputs!$G$5:$G$120="acoes"))*Inputs!$B$1+((Inputs!$G$5:$G$120&lt;&gt;"moeda")*(Inputs!$G$5:$G$120&lt;&gt;"acoes")))*INDEX(Inputs!$K$5:$AJ$120,0,MATCH(O$2,Inputs!$K$4:$AJ$4,0)))+SUMPRODUCT((Inputs!$C$5:$C$120=$B56)*Inputs!$D$5:$D$120*(((Inputs!$G$5:$G$120="moeda")+(Inputs!$G$5:$G$120="acoes"))*Inputs!$B$1+((Inputs!$G$5:$G$120&lt;&gt;"moeda")*(Inputs!$G$5:$G$120&lt;&gt;"acoes")))*INDEX(Inputs!$K$5:$AJ$120,0,MATCH(O$2,Inputs!$K$4:$AJ$4,0)))+SUMPRODUCT((Inputs!$E$5:$E$120=$B56)*Inputs!$F$5:$F$120*(((Inputs!$G$5:$G$120="moeda")+(Inputs!$G$5:$G$120="acoes"))*Inputs!$B$1+((Inputs!$G$5:$G$120&lt;&gt;"moeda")*(Inputs!$G$5:$G$120&lt;&gt;"acoes")))*INDEX(Inputs!$K$5:$AJ$120,0,MATCH(O$2,Inputs!$K$4:$AJ$4,0)))))</f>
        <v>278</v>
      </c>
      <c r="P56" s="263">
        <f>IF(ISNA(MATCH(P$2,Inputs!$K$4:$AJ$4,0)),NA(),IF(SUMPRODUCT((Inputs!$A$5:$A$120=$B56)*ISNUMBER(INDEX(Inputs!$K$5:$AJ$120,0,MATCH(P$2,Inputs!$K$4:$AJ$4,0))))+SUMPRODUCT((Inputs!$C$5:$C$120=$B56)*ISNUMBER(INDEX(Inputs!$K$5:$AJ$120,0,MATCH(P$2,Inputs!$K$4:$AJ$4,0))))+SUMPRODUCT((Inputs!$E$5:$E$120=$B56)*ISNUMBER(INDEX(Inputs!$K$5:$AJ$120,0,MATCH(P$2,Inputs!$K$4:$AJ$4,0))))=0,NA(),SUMPRODUCT((Inputs!$A$5:$A$120=$B56)*Inputs!$B$5:$B$120*(((Inputs!$G$5:$G$120="moeda")+(Inputs!$G$5:$G$120="acoes"))*Inputs!$B$1+((Inputs!$G$5:$G$120&lt;&gt;"moeda")*(Inputs!$G$5:$G$120&lt;&gt;"acoes")))*INDEX(Inputs!$K$5:$AJ$120,0,MATCH(P$2,Inputs!$K$4:$AJ$4,0)))+SUMPRODUCT((Inputs!$C$5:$C$120=$B56)*Inputs!$D$5:$D$120*(((Inputs!$G$5:$G$120="moeda")+(Inputs!$G$5:$G$120="acoes"))*Inputs!$B$1+((Inputs!$G$5:$G$120&lt;&gt;"moeda")*(Inputs!$G$5:$G$120&lt;&gt;"acoes")))*INDEX(Inputs!$K$5:$AJ$120,0,MATCH(P$2,Inputs!$K$4:$AJ$4,0)))+SUMPRODUCT((Inputs!$E$5:$E$120=$B56)*Inputs!$F$5:$F$120*(((Inputs!$G$5:$G$120="moeda")+(Inputs!$G$5:$G$120="acoes"))*Inputs!$B$1+((Inputs!$G$5:$G$120&lt;&gt;"moeda")*(Inputs!$G$5:$G$120&lt;&gt;"acoes")))*INDEX(Inputs!$K$5:$AJ$120,0,MATCH(P$2,Inputs!$K$4:$AJ$4,0)))))</f>
        <v>381</v>
      </c>
      <c r="Q56" s="263">
        <f>IF(ISNA(MATCH(Q$2,Inputs!$K$4:$AJ$4,0)),NA(),IF(SUMPRODUCT((Inputs!$A$5:$A$120=$B56)*ISNUMBER(INDEX(Inputs!$K$5:$AJ$120,0,MATCH(Q$2,Inputs!$K$4:$AJ$4,0))))+SUMPRODUCT((Inputs!$C$5:$C$120=$B56)*ISNUMBER(INDEX(Inputs!$K$5:$AJ$120,0,MATCH(Q$2,Inputs!$K$4:$AJ$4,0))))+SUMPRODUCT((Inputs!$E$5:$E$120=$B56)*ISNUMBER(INDEX(Inputs!$K$5:$AJ$120,0,MATCH(Q$2,Inputs!$K$4:$AJ$4,0))))=0,NA(),SUMPRODUCT((Inputs!$A$5:$A$120=$B56)*Inputs!$B$5:$B$120*(((Inputs!$G$5:$G$120="moeda")+(Inputs!$G$5:$G$120="acoes"))*Inputs!$B$1+((Inputs!$G$5:$G$120&lt;&gt;"moeda")*(Inputs!$G$5:$G$120&lt;&gt;"acoes")))*INDEX(Inputs!$K$5:$AJ$120,0,MATCH(Q$2,Inputs!$K$4:$AJ$4,0)))+SUMPRODUCT((Inputs!$C$5:$C$120=$B56)*Inputs!$D$5:$D$120*(((Inputs!$G$5:$G$120="moeda")+(Inputs!$G$5:$G$120="acoes"))*Inputs!$B$1+((Inputs!$G$5:$G$120&lt;&gt;"moeda")*(Inputs!$G$5:$G$120&lt;&gt;"acoes")))*INDEX(Inputs!$K$5:$AJ$120,0,MATCH(Q$2,Inputs!$K$4:$AJ$4,0)))+SUMPRODUCT((Inputs!$E$5:$E$120=$B56)*Inputs!$F$5:$F$120*(((Inputs!$G$5:$G$120="moeda")+(Inputs!$G$5:$G$120="acoes"))*Inputs!$B$1+((Inputs!$G$5:$G$120&lt;&gt;"moeda")*(Inputs!$G$5:$G$120&lt;&gt;"acoes")))*INDEX(Inputs!$K$5:$AJ$120,0,MATCH(Q$2,Inputs!$K$4:$AJ$4,0)))))</f>
        <v>314</v>
      </c>
      <c r="R56" s="264">
        <f>SUM(N56:Q56)</f>
        <v>1141</v>
      </c>
      <c r="S56" s="263">
        <f>IF(ISNA(MATCH(S$2,Inputs!$K$4:$AJ$4,0)),NA(),IF(SUMPRODUCT((Inputs!$A$5:$A$120=$B56)*ISNUMBER(INDEX(Inputs!$K$5:$AJ$120,0,MATCH(S$2,Inputs!$K$4:$AJ$4,0))))+SUMPRODUCT((Inputs!$C$5:$C$120=$B56)*ISNUMBER(INDEX(Inputs!$K$5:$AJ$120,0,MATCH(S$2,Inputs!$K$4:$AJ$4,0))))+SUMPRODUCT((Inputs!$E$5:$E$120=$B56)*ISNUMBER(INDEX(Inputs!$K$5:$AJ$120,0,MATCH(S$2,Inputs!$K$4:$AJ$4,0))))=0,NA(),SUMPRODUCT((Inputs!$A$5:$A$120=$B56)*Inputs!$B$5:$B$120*(((Inputs!$G$5:$G$120="moeda")+(Inputs!$G$5:$G$120="acoes"))*Inputs!$B$1+((Inputs!$G$5:$G$120&lt;&gt;"moeda")*(Inputs!$G$5:$G$120&lt;&gt;"acoes")))*INDEX(Inputs!$K$5:$AJ$120,0,MATCH(S$2,Inputs!$K$4:$AJ$4,0)))+SUMPRODUCT((Inputs!$C$5:$C$120=$B56)*Inputs!$D$5:$D$120*(((Inputs!$G$5:$G$120="moeda")+(Inputs!$G$5:$G$120="acoes"))*Inputs!$B$1+((Inputs!$G$5:$G$120&lt;&gt;"moeda")*(Inputs!$G$5:$G$120&lt;&gt;"acoes")))*INDEX(Inputs!$K$5:$AJ$120,0,MATCH(S$2,Inputs!$K$4:$AJ$4,0)))+SUMPRODUCT((Inputs!$E$5:$E$120=$B56)*Inputs!$F$5:$F$120*(((Inputs!$G$5:$G$120="moeda")+(Inputs!$G$5:$G$120="acoes"))*Inputs!$B$1+((Inputs!$G$5:$G$120&lt;&gt;"moeda")*(Inputs!$G$5:$G$120&lt;&gt;"acoes")))*INDEX(Inputs!$K$5:$AJ$120,0,MATCH(S$2,Inputs!$K$4:$AJ$4,0)))))</f>
        <v>403</v>
      </c>
      <c r="T56" s="263">
        <f>IF(ISNA(MATCH(T$2,Inputs!$K$4:$AJ$4,0)),NA(),IF(SUMPRODUCT((Inputs!$A$5:$A$120=$B56)*ISNUMBER(INDEX(Inputs!$K$5:$AJ$120,0,MATCH(T$2,Inputs!$K$4:$AJ$4,0))))+SUMPRODUCT((Inputs!$C$5:$C$120=$B56)*ISNUMBER(INDEX(Inputs!$K$5:$AJ$120,0,MATCH(T$2,Inputs!$K$4:$AJ$4,0))))+SUMPRODUCT((Inputs!$E$5:$E$120=$B56)*ISNUMBER(INDEX(Inputs!$K$5:$AJ$120,0,MATCH(T$2,Inputs!$K$4:$AJ$4,0))))=0,NA(),SUMPRODUCT((Inputs!$A$5:$A$120=$B56)*Inputs!$B$5:$B$120*(((Inputs!$G$5:$G$120="moeda")+(Inputs!$G$5:$G$120="acoes"))*Inputs!$B$1+((Inputs!$G$5:$G$120&lt;&gt;"moeda")*(Inputs!$G$5:$G$120&lt;&gt;"acoes")))*INDEX(Inputs!$K$5:$AJ$120,0,MATCH(T$2,Inputs!$K$4:$AJ$4,0)))+SUMPRODUCT((Inputs!$C$5:$C$120=$B56)*Inputs!$D$5:$D$120*(((Inputs!$G$5:$G$120="moeda")+(Inputs!$G$5:$G$120="acoes"))*Inputs!$B$1+((Inputs!$G$5:$G$120&lt;&gt;"moeda")*(Inputs!$G$5:$G$120&lt;&gt;"acoes")))*INDEX(Inputs!$K$5:$AJ$120,0,MATCH(T$2,Inputs!$K$4:$AJ$4,0)))+SUMPRODUCT((Inputs!$E$5:$E$120=$B56)*Inputs!$F$5:$F$120*(((Inputs!$G$5:$G$120="moeda")+(Inputs!$G$5:$G$120="acoes"))*Inputs!$B$1+((Inputs!$G$5:$G$120&lt;&gt;"moeda")*(Inputs!$G$5:$G$120&lt;&gt;"acoes")))*INDEX(Inputs!$K$5:$AJ$120,0,MATCH(T$2,Inputs!$K$4:$AJ$4,0)))))</f>
        <v>740</v>
      </c>
      <c r="U56" s="263">
        <f>IF(ISNA(MATCH(U$2,Inputs!$K$4:$AJ$4,0)),NA(),IF(SUMPRODUCT((Inputs!$A$5:$A$120=$B56)*ISNUMBER(INDEX(Inputs!$K$5:$AJ$120,0,MATCH(U$2,Inputs!$K$4:$AJ$4,0))))+SUMPRODUCT((Inputs!$C$5:$C$120=$B56)*ISNUMBER(INDEX(Inputs!$K$5:$AJ$120,0,MATCH(U$2,Inputs!$K$4:$AJ$4,0))))+SUMPRODUCT((Inputs!$E$5:$E$120=$B56)*ISNUMBER(INDEX(Inputs!$K$5:$AJ$120,0,MATCH(U$2,Inputs!$K$4:$AJ$4,0))))=0,NA(),SUMPRODUCT((Inputs!$A$5:$A$120=$B56)*Inputs!$B$5:$B$120*(((Inputs!$G$5:$G$120="moeda")+(Inputs!$G$5:$G$120="acoes"))*Inputs!$B$1+((Inputs!$G$5:$G$120&lt;&gt;"moeda")*(Inputs!$G$5:$G$120&lt;&gt;"acoes")))*INDEX(Inputs!$K$5:$AJ$120,0,MATCH(U$2,Inputs!$K$4:$AJ$4,0)))+SUMPRODUCT((Inputs!$C$5:$C$120=$B56)*Inputs!$D$5:$D$120*(((Inputs!$G$5:$G$120="moeda")+(Inputs!$G$5:$G$120="acoes"))*Inputs!$B$1+((Inputs!$G$5:$G$120&lt;&gt;"moeda")*(Inputs!$G$5:$G$120&lt;&gt;"acoes")))*INDEX(Inputs!$K$5:$AJ$120,0,MATCH(U$2,Inputs!$K$4:$AJ$4,0)))+SUMPRODUCT((Inputs!$E$5:$E$120=$B56)*Inputs!$F$5:$F$120*(((Inputs!$G$5:$G$120="moeda")+(Inputs!$G$5:$G$120="acoes"))*Inputs!$B$1+((Inputs!$G$5:$G$120&lt;&gt;"moeda")*(Inputs!$G$5:$G$120&lt;&gt;"acoes")))*INDEX(Inputs!$K$5:$AJ$120,0,MATCH(U$2,Inputs!$K$4:$AJ$4,0)))))</f>
        <v>725</v>
      </c>
      <c r="V56" s="263">
        <f>IF(ISNA(MATCH(V$2,Inputs!$K$4:$AJ$4,0)),NA(),IF(SUMPRODUCT((Inputs!$A$5:$A$120=$B56)*ISNUMBER(INDEX(Inputs!$K$5:$AJ$120,0,MATCH(V$2,Inputs!$K$4:$AJ$4,0))))+SUMPRODUCT((Inputs!$C$5:$C$120=$B56)*ISNUMBER(INDEX(Inputs!$K$5:$AJ$120,0,MATCH(V$2,Inputs!$K$4:$AJ$4,0))))+SUMPRODUCT((Inputs!$E$5:$E$120=$B56)*ISNUMBER(INDEX(Inputs!$K$5:$AJ$120,0,MATCH(V$2,Inputs!$K$4:$AJ$4,0))))=0,NA(),SUMPRODUCT((Inputs!$A$5:$A$120=$B56)*Inputs!$B$5:$B$120*(((Inputs!$G$5:$G$120="moeda")+(Inputs!$G$5:$G$120="acoes"))*Inputs!$B$1+((Inputs!$G$5:$G$120&lt;&gt;"moeda")*(Inputs!$G$5:$G$120&lt;&gt;"acoes")))*INDEX(Inputs!$K$5:$AJ$120,0,MATCH(V$2,Inputs!$K$4:$AJ$4,0)))+SUMPRODUCT((Inputs!$C$5:$C$120=$B56)*Inputs!$D$5:$D$120*(((Inputs!$G$5:$G$120="moeda")+(Inputs!$G$5:$G$120="acoes"))*Inputs!$B$1+((Inputs!$G$5:$G$120&lt;&gt;"moeda")*(Inputs!$G$5:$G$120&lt;&gt;"acoes")))*INDEX(Inputs!$K$5:$AJ$120,0,MATCH(V$2,Inputs!$K$4:$AJ$4,0)))+SUMPRODUCT((Inputs!$E$5:$E$120=$B56)*Inputs!$F$5:$F$120*(((Inputs!$G$5:$G$120="moeda")+(Inputs!$G$5:$G$120="acoes"))*Inputs!$B$1+((Inputs!$G$5:$G$120&lt;&gt;"moeda")*(Inputs!$G$5:$G$120&lt;&gt;"acoes")))*INDEX(Inputs!$K$5:$AJ$120,0,MATCH(V$2,Inputs!$K$4:$AJ$4,0)))))</f>
        <v>772</v>
      </c>
      <c r="W56" s="264">
        <f>SUM(S56:V56)</f>
        <v>2640</v>
      </c>
      <c r="X56" s="263">
        <f>IF(ISNA(MATCH(X$2,Inputs!$K$4:$AJ$4,0)),NA(),IF(SUMPRODUCT((Inputs!$A$5:$A$120=$B56)*ISNUMBER(INDEX(Inputs!$K$5:$AJ$120,0,MATCH(X$2,Inputs!$K$4:$AJ$4,0))))+SUMPRODUCT((Inputs!$C$5:$C$120=$B56)*ISNUMBER(INDEX(Inputs!$K$5:$AJ$120,0,MATCH(X$2,Inputs!$K$4:$AJ$4,0))))+SUMPRODUCT((Inputs!$E$5:$E$120=$B56)*ISNUMBER(INDEX(Inputs!$K$5:$AJ$120,0,MATCH(X$2,Inputs!$K$4:$AJ$4,0))))=0,NA(),SUMPRODUCT((Inputs!$A$5:$A$120=$B56)*Inputs!$B$5:$B$120*(((Inputs!$G$5:$G$120="moeda")+(Inputs!$G$5:$G$120="acoes"))*Inputs!$B$1+((Inputs!$G$5:$G$120&lt;&gt;"moeda")*(Inputs!$G$5:$G$120&lt;&gt;"acoes")))*INDEX(Inputs!$K$5:$AJ$120,0,MATCH(X$2,Inputs!$K$4:$AJ$4,0)))+SUMPRODUCT((Inputs!$C$5:$C$120=$B56)*Inputs!$D$5:$D$120*(((Inputs!$G$5:$G$120="moeda")+(Inputs!$G$5:$G$120="acoes"))*Inputs!$B$1+((Inputs!$G$5:$G$120&lt;&gt;"moeda")*(Inputs!$G$5:$G$120&lt;&gt;"acoes")))*INDEX(Inputs!$K$5:$AJ$120,0,MATCH(X$2,Inputs!$K$4:$AJ$4,0)))+SUMPRODUCT((Inputs!$E$5:$E$120=$B56)*Inputs!$F$5:$F$120*(((Inputs!$G$5:$G$120="moeda")+(Inputs!$G$5:$G$120="acoes"))*Inputs!$B$1+((Inputs!$G$5:$G$120&lt;&gt;"moeda")*(Inputs!$G$5:$G$120&lt;&gt;"acoes")))*INDEX(Inputs!$K$5:$AJ$120,0,MATCH(X$2,Inputs!$K$4:$AJ$4,0)))))</f>
        <v>785</v>
      </c>
      <c r="Y56" s="263">
        <f>IF(ISNA(MATCH(Y$2,Inputs!$K$4:$AJ$4,0)),NA(),IF(SUMPRODUCT((Inputs!$A$5:$A$120=$B56)*ISNUMBER(INDEX(Inputs!$K$5:$AJ$120,0,MATCH(Y$2,Inputs!$K$4:$AJ$4,0))))+SUMPRODUCT((Inputs!$C$5:$C$120=$B56)*ISNUMBER(INDEX(Inputs!$K$5:$AJ$120,0,MATCH(Y$2,Inputs!$K$4:$AJ$4,0))))+SUMPRODUCT((Inputs!$E$5:$E$120=$B56)*ISNUMBER(INDEX(Inputs!$K$5:$AJ$120,0,MATCH(Y$2,Inputs!$K$4:$AJ$4,0))))=0,NA(),SUMPRODUCT((Inputs!$A$5:$A$120=$B56)*Inputs!$B$5:$B$120*(((Inputs!$G$5:$G$120="moeda")+(Inputs!$G$5:$G$120="acoes"))*Inputs!$B$1+((Inputs!$G$5:$G$120&lt;&gt;"moeda")*(Inputs!$G$5:$G$120&lt;&gt;"acoes")))*INDEX(Inputs!$K$5:$AJ$120,0,MATCH(Y$2,Inputs!$K$4:$AJ$4,0)))+SUMPRODUCT((Inputs!$C$5:$C$120=$B56)*Inputs!$D$5:$D$120*(((Inputs!$G$5:$G$120="moeda")+(Inputs!$G$5:$G$120="acoes"))*Inputs!$B$1+((Inputs!$G$5:$G$120&lt;&gt;"moeda")*(Inputs!$G$5:$G$120&lt;&gt;"acoes")))*INDEX(Inputs!$K$5:$AJ$120,0,MATCH(Y$2,Inputs!$K$4:$AJ$4,0)))+SUMPRODUCT((Inputs!$E$5:$E$120=$B56)*Inputs!$F$5:$F$120*(((Inputs!$G$5:$G$120="moeda")+(Inputs!$G$5:$G$120="acoes"))*Inputs!$B$1+((Inputs!$G$5:$G$120&lt;&gt;"moeda")*(Inputs!$G$5:$G$120&lt;&gt;"acoes")))*INDEX(Inputs!$K$5:$AJ$120,0,MATCH(Y$2,Inputs!$K$4:$AJ$4,0)))))</f>
        <v>846</v>
      </c>
      <c r="Z56" s="263">
        <f>IF(ISNA(MATCH(Z$2,Inputs!$K$4:$AJ$4,0)),NA(),IF(SUMPRODUCT((Inputs!$A$5:$A$120=$B56)*ISNUMBER(INDEX(Inputs!$K$5:$AJ$120,0,MATCH(Z$2,Inputs!$K$4:$AJ$4,0))))+SUMPRODUCT((Inputs!$C$5:$C$120=$B56)*ISNUMBER(INDEX(Inputs!$K$5:$AJ$120,0,MATCH(Z$2,Inputs!$K$4:$AJ$4,0))))+SUMPRODUCT((Inputs!$E$5:$E$120=$B56)*ISNUMBER(INDEX(Inputs!$K$5:$AJ$120,0,MATCH(Z$2,Inputs!$K$4:$AJ$4,0))))=0,NA(),SUMPRODUCT((Inputs!$A$5:$A$120=$B56)*Inputs!$B$5:$B$120*(((Inputs!$G$5:$G$120="moeda")+(Inputs!$G$5:$G$120="acoes"))*Inputs!$B$1+((Inputs!$G$5:$G$120&lt;&gt;"moeda")*(Inputs!$G$5:$G$120&lt;&gt;"acoes")))*INDEX(Inputs!$K$5:$AJ$120,0,MATCH(Z$2,Inputs!$K$4:$AJ$4,0)))+SUMPRODUCT((Inputs!$C$5:$C$120=$B56)*Inputs!$D$5:$D$120*(((Inputs!$G$5:$G$120="moeda")+(Inputs!$G$5:$G$120="acoes"))*Inputs!$B$1+((Inputs!$G$5:$G$120&lt;&gt;"moeda")*(Inputs!$G$5:$G$120&lt;&gt;"acoes")))*INDEX(Inputs!$K$5:$AJ$120,0,MATCH(Z$2,Inputs!$K$4:$AJ$4,0)))+SUMPRODUCT((Inputs!$E$5:$E$120=$B56)*Inputs!$F$5:$F$120*(((Inputs!$G$5:$G$120="moeda")+(Inputs!$G$5:$G$120="acoes"))*Inputs!$B$1+((Inputs!$G$5:$G$120&lt;&gt;"moeda")*(Inputs!$G$5:$G$120&lt;&gt;"acoes")))*INDEX(Inputs!$K$5:$AJ$120,0,MATCH(Z$2,Inputs!$K$4:$AJ$4,0)))))</f>
        <v>1073</v>
      </c>
      <c r="AA56" s="263">
        <f>IF(ISNA(MATCH(AA$2,Inputs!$K$4:$AJ$4,0)),NA(),IF(SUMPRODUCT((Inputs!$A$5:$A$120=$B56)*ISNUMBER(INDEX(Inputs!$K$5:$AJ$120,0,MATCH(AA$2,Inputs!$K$4:$AJ$4,0))))+SUMPRODUCT((Inputs!$C$5:$C$120=$B56)*ISNUMBER(INDEX(Inputs!$K$5:$AJ$120,0,MATCH(AA$2,Inputs!$K$4:$AJ$4,0))))+SUMPRODUCT((Inputs!$E$5:$E$120=$B56)*ISNUMBER(INDEX(Inputs!$K$5:$AJ$120,0,MATCH(AA$2,Inputs!$K$4:$AJ$4,0))))=0,NA(),SUMPRODUCT((Inputs!$A$5:$A$120=$B56)*Inputs!$B$5:$B$120*(((Inputs!$G$5:$G$120="moeda")+(Inputs!$G$5:$G$120="acoes"))*Inputs!$B$1+((Inputs!$G$5:$G$120&lt;&gt;"moeda")*(Inputs!$G$5:$G$120&lt;&gt;"acoes")))*INDEX(Inputs!$K$5:$AJ$120,0,MATCH(AA$2,Inputs!$K$4:$AJ$4,0)))+SUMPRODUCT((Inputs!$C$5:$C$120=$B56)*Inputs!$D$5:$D$120*(((Inputs!$G$5:$G$120="moeda")+(Inputs!$G$5:$G$120="acoes"))*Inputs!$B$1+((Inputs!$G$5:$G$120&lt;&gt;"moeda")*(Inputs!$G$5:$G$120&lt;&gt;"acoes")))*INDEX(Inputs!$K$5:$AJ$120,0,MATCH(AA$2,Inputs!$K$4:$AJ$4,0)))+SUMPRODUCT((Inputs!$E$5:$E$120=$B56)*Inputs!$F$5:$F$120*(((Inputs!$G$5:$G$120="moeda")+(Inputs!$G$5:$G$120="acoes"))*Inputs!$B$1+((Inputs!$G$5:$G$120&lt;&gt;"moeda")*(Inputs!$G$5:$G$120&lt;&gt;"acoes")))*INDEX(Inputs!$K$5:$AJ$120,0,MATCH(AA$2,Inputs!$K$4:$AJ$4,0)))))</f>
        <v>1098</v>
      </c>
      <c r="AB56" s="264">
        <f>SUM(X56:AA56)</f>
        <v>3802</v>
      </c>
      <c r="AC56" s="263">
        <f>IF(ISNA(MATCH(AC$2,Inputs!$K$4:$AJ$4,0)),NA(),IF(SUMPRODUCT((Inputs!$A$5:$A$120=$B56)*ISNUMBER(INDEX(Inputs!$K$5:$AJ$120,0,MATCH(AC$2,Inputs!$K$4:$AJ$4,0))))+SUMPRODUCT((Inputs!$C$5:$C$120=$B56)*ISNUMBER(INDEX(Inputs!$K$5:$AJ$120,0,MATCH(AC$2,Inputs!$K$4:$AJ$4,0))))+SUMPRODUCT((Inputs!$E$5:$E$120=$B56)*ISNUMBER(INDEX(Inputs!$K$5:$AJ$120,0,MATCH(AC$2,Inputs!$K$4:$AJ$4,0))))=0,NA(),SUMPRODUCT((Inputs!$A$5:$A$120=$B56)*Inputs!$B$5:$B$120*(((Inputs!$G$5:$G$120="moeda")+(Inputs!$G$5:$G$120="acoes"))*Inputs!$B$1+((Inputs!$G$5:$G$120&lt;&gt;"moeda")*(Inputs!$G$5:$G$120&lt;&gt;"acoes")))*INDEX(Inputs!$K$5:$AJ$120,0,MATCH(AC$2,Inputs!$K$4:$AJ$4,0)))+SUMPRODUCT((Inputs!$C$5:$C$120=$B56)*Inputs!$D$5:$D$120*(((Inputs!$G$5:$G$120="moeda")+(Inputs!$G$5:$G$120="acoes"))*Inputs!$B$1+((Inputs!$G$5:$G$120&lt;&gt;"moeda")*(Inputs!$G$5:$G$120&lt;&gt;"acoes")))*INDEX(Inputs!$K$5:$AJ$120,0,MATCH(AC$2,Inputs!$K$4:$AJ$4,0)))+SUMPRODUCT((Inputs!$E$5:$E$120=$B56)*Inputs!$F$5:$F$120*(((Inputs!$G$5:$G$120="moeda")+(Inputs!$G$5:$G$120="acoes"))*Inputs!$B$1+((Inputs!$G$5:$G$120&lt;&gt;"moeda")*(Inputs!$G$5:$G$120&lt;&gt;"acoes")))*INDEX(Inputs!$K$5:$AJ$120,0,MATCH(AC$2,Inputs!$K$4:$AJ$4,0)))))</f>
        <v>952</v>
      </c>
      <c r="AD56" s="263">
        <f>IF(ISNA(MATCH(AD$2,Inputs!$K$4:$AJ$4,0)),NA(),IF(SUMPRODUCT((Inputs!$A$5:$A$120=$B56)*ISNUMBER(INDEX(Inputs!$K$5:$AJ$120,0,MATCH(AD$2,Inputs!$K$4:$AJ$4,0))))+SUMPRODUCT((Inputs!$C$5:$C$120=$B56)*ISNUMBER(INDEX(Inputs!$K$5:$AJ$120,0,MATCH(AD$2,Inputs!$K$4:$AJ$4,0))))+SUMPRODUCT((Inputs!$E$5:$E$120=$B56)*ISNUMBER(INDEX(Inputs!$K$5:$AJ$120,0,MATCH(AD$2,Inputs!$K$4:$AJ$4,0))))=0,NA(),SUMPRODUCT((Inputs!$A$5:$A$120=$B56)*Inputs!$B$5:$B$120*(((Inputs!$G$5:$G$120="moeda")+(Inputs!$G$5:$G$120="acoes"))*Inputs!$B$1+((Inputs!$G$5:$G$120&lt;&gt;"moeda")*(Inputs!$G$5:$G$120&lt;&gt;"acoes")))*INDEX(Inputs!$K$5:$AJ$120,0,MATCH(AD$2,Inputs!$K$4:$AJ$4,0)))+SUMPRODUCT((Inputs!$C$5:$C$120=$B56)*Inputs!$D$5:$D$120*(((Inputs!$G$5:$G$120="moeda")+(Inputs!$G$5:$G$120="acoes"))*Inputs!$B$1+((Inputs!$G$5:$G$120&lt;&gt;"moeda")*(Inputs!$G$5:$G$120&lt;&gt;"acoes")))*INDEX(Inputs!$K$5:$AJ$120,0,MATCH(AD$2,Inputs!$K$4:$AJ$4,0)))+SUMPRODUCT((Inputs!$E$5:$E$120=$B56)*Inputs!$F$5:$F$120*(((Inputs!$G$5:$G$120="moeda")+(Inputs!$G$5:$G$120="acoes"))*Inputs!$B$1+((Inputs!$G$5:$G$120&lt;&gt;"moeda")*(Inputs!$G$5:$G$120&lt;&gt;"acoes")))*INDEX(Inputs!$K$5:$AJ$120,0,MATCH(AD$2,Inputs!$K$4:$AJ$4,0)))))</f>
        <v>640</v>
      </c>
      <c r="AE56" s="263" t="e">
        <f>IF(ISNA(MATCH(AE$2,Inputs!$K$4:$AJ$4,0)),NA(),IF(SUMPRODUCT((Inputs!$A$5:$A$120=$B56)*ISNUMBER(INDEX(Inputs!$K$5:$AJ$120,0,MATCH(AE$2,Inputs!$K$4:$AJ$4,0))))+SUMPRODUCT((Inputs!$C$5:$C$120=$B56)*ISNUMBER(INDEX(Inputs!$K$5:$AJ$120,0,MATCH(AE$2,Inputs!$K$4:$AJ$4,0))))+SUMPRODUCT((Inputs!$E$5:$E$120=$B56)*ISNUMBER(INDEX(Inputs!$K$5:$AJ$120,0,MATCH(AE$2,Inputs!$K$4:$AJ$4,0))))=0,NA(),SUMPRODUCT((Inputs!$A$5:$A$120=$B56)*Inputs!$B$5:$B$120*(((Inputs!$G$5:$G$120="moeda")+(Inputs!$G$5:$G$120="acoes"))*Inputs!$B$1+((Inputs!$G$5:$G$120&lt;&gt;"moeda")*(Inputs!$G$5:$G$120&lt;&gt;"acoes")))*INDEX(Inputs!$K$5:$AJ$120,0,MATCH(AE$2,Inputs!$K$4:$AJ$4,0)))+SUMPRODUCT((Inputs!$C$5:$C$120=$B56)*Inputs!$D$5:$D$120*(((Inputs!$G$5:$G$120="moeda")+(Inputs!$G$5:$G$120="acoes"))*Inputs!$B$1+((Inputs!$G$5:$G$120&lt;&gt;"moeda")*(Inputs!$G$5:$G$120&lt;&gt;"acoes")))*INDEX(Inputs!$K$5:$AJ$120,0,MATCH(AE$2,Inputs!$K$4:$AJ$4,0)))+SUMPRODUCT((Inputs!$E$5:$E$120=$B56)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56" s="263" t="e">
        <f>IF(ISNA(MATCH(AF$2,Inputs!$K$4:$AJ$4,0)),NA(),IF(SUMPRODUCT((Inputs!$A$5:$A$120=$B56)*ISNUMBER(INDEX(Inputs!$K$5:$AJ$120,0,MATCH(AF$2,Inputs!$K$4:$AJ$4,0))))+SUMPRODUCT((Inputs!$C$5:$C$120=$B56)*ISNUMBER(INDEX(Inputs!$K$5:$AJ$120,0,MATCH(AF$2,Inputs!$K$4:$AJ$4,0))))+SUMPRODUCT((Inputs!$E$5:$E$120=$B56)*ISNUMBER(INDEX(Inputs!$K$5:$AJ$120,0,MATCH(AF$2,Inputs!$K$4:$AJ$4,0))))=0,NA(),SUMPRODUCT((Inputs!$A$5:$A$120=$B56)*Inputs!$B$5:$B$120*(((Inputs!$G$5:$G$120="moeda")+(Inputs!$G$5:$G$120="acoes"))*Inputs!$B$1+((Inputs!$G$5:$G$120&lt;&gt;"moeda")*(Inputs!$G$5:$G$120&lt;&gt;"acoes")))*INDEX(Inputs!$K$5:$AJ$120,0,MATCH(AF$2,Inputs!$K$4:$AJ$4,0)))+SUMPRODUCT((Inputs!$C$5:$C$120=$B56)*Inputs!$D$5:$D$120*(((Inputs!$G$5:$G$120="moeda")+(Inputs!$G$5:$G$120="acoes"))*Inputs!$B$1+((Inputs!$G$5:$G$120&lt;&gt;"moeda")*(Inputs!$G$5:$G$120&lt;&gt;"acoes")))*INDEX(Inputs!$K$5:$AJ$120,0,MATCH(AF$2,Inputs!$K$4:$AJ$4,0)))+SUMPRODUCT((Inputs!$E$5:$E$120=$B56)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56" s="264" t="e">
        <f>SUM(AC56:AF56)</f>
        <v>#N/A</v>
      </c>
      <c r="AH56" s="263">
        <f>IF(ISNA(MATCH(AH$2,Inputs!$K$4:$AJ$4,0)),NA(),IF(SUMPRODUCT((Inputs!$A$5:$A$120=$B56)*ISNUMBER(INDEX(Inputs!$K$5:$AJ$120,0,MATCH(AH$2,Inputs!$K$4:$AJ$4,0))))+SUMPRODUCT((Inputs!$C$5:$C$120=$B56)*ISNUMBER(INDEX(Inputs!$K$5:$AJ$120,0,MATCH(AH$2,Inputs!$K$4:$AJ$4,0))))+SUMPRODUCT((Inputs!$E$5:$E$120=$B56)*ISNUMBER(INDEX(Inputs!$K$5:$AJ$120,0,MATCH(AH$2,Inputs!$K$4:$AJ$4,0))))=0,NA(),SUMPRODUCT((Inputs!$A$5:$A$120=$B56)*Inputs!$B$5:$B$120*(((Inputs!$G$5:$G$120="moeda")+(Inputs!$G$5:$G$120="acoes"))*Inputs!$B$1+((Inputs!$G$5:$G$120&lt;&gt;"moeda")*(Inputs!$G$5:$G$120&lt;&gt;"acoes")))*INDEX(Inputs!$K$5:$AJ$120,0,MATCH(AH$2,Inputs!$K$4:$AJ$4,0)))+SUMPRODUCT((Inputs!$C$5:$C$120=$B56)*Inputs!$D$5:$D$120*(((Inputs!$G$5:$G$120="moeda")+(Inputs!$G$5:$G$120="acoes"))*Inputs!$B$1+((Inputs!$G$5:$G$120&lt;&gt;"moeda")*(Inputs!$G$5:$G$120&lt;&gt;"acoes")))*INDEX(Inputs!$K$5:$AJ$120,0,MATCH(AH$2,Inputs!$K$4:$AJ$4,0)))+SUMPRODUCT((Inputs!$E$5:$E$120=$B56)*Inputs!$F$5:$F$120*(((Inputs!$G$5:$G$120="moeda")+(Inputs!$G$5:$G$120="acoes"))*Inputs!$B$1+((Inputs!$G$5:$G$120&lt;&gt;"moeda")*(Inputs!$G$5:$G$120&lt;&gt;"acoes")))*INDEX(Inputs!$K$5:$AJ$120,0,MATCH(AH$2,Inputs!$K$4:$AJ$4,0)))))</f>
        <v>11</v>
      </c>
      <c r="AI56" s="263">
        <f>IF(ISNA(MATCH(AI$2,Inputs!$K$4:$AJ$4,0)),NA(),IF(SUMPRODUCT((Inputs!$A$5:$A$120=$B56)*ISNUMBER(INDEX(Inputs!$K$5:$AJ$120,0,MATCH(AI$2,Inputs!$K$4:$AJ$4,0))))+SUMPRODUCT((Inputs!$C$5:$C$120=$B56)*ISNUMBER(INDEX(Inputs!$K$5:$AJ$120,0,MATCH(AI$2,Inputs!$K$4:$AJ$4,0))))+SUMPRODUCT((Inputs!$E$5:$E$120=$B56)*ISNUMBER(INDEX(Inputs!$K$5:$AJ$120,0,MATCH(AI$2,Inputs!$K$4:$AJ$4,0))))=0,NA(),SUMPRODUCT((Inputs!$A$5:$A$120=$B56)*Inputs!$B$5:$B$120*(((Inputs!$G$5:$G$120="moeda")+(Inputs!$G$5:$G$120="acoes"))*Inputs!$B$1+((Inputs!$G$5:$G$120&lt;&gt;"moeda")*(Inputs!$G$5:$G$120&lt;&gt;"acoes")))*INDEX(Inputs!$K$5:$AJ$120,0,MATCH(AI$2,Inputs!$K$4:$AJ$4,0)))+SUMPRODUCT((Inputs!$C$5:$C$120=$B56)*Inputs!$D$5:$D$120*(((Inputs!$G$5:$G$120="moeda")+(Inputs!$G$5:$G$120="acoes"))*Inputs!$B$1+((Inputs!$G$5:$G$120&lt;&gt;"moeda")*(Inputs!$G$5:$G$120&lt;&gt;"acoes")))*INDEX(Inputs!$K$5:$AJ$120,0,MATCH(AI$2,Inputs!$K$4:$AJ$4,0)))+SUMPRODUCT((Inputs!$E$5:$E$120=$B56)*Inputs!$F$5:$F$120*(((Inputs!$G$5:$G$120="moeda")+(Inputs!$G$5:$G$120="acoes"))*Inputs!$B$1+((Inputs!$G$5:$G$120&lt;&gt;"moeda")*(Inputs!$G$5:$G$120&lt;&gt;"acoes")))*INDEX(Inputs!$K$5:$AJ$120,0,MATCH(AI$2,Inputs!$K$4:$AJ$4,0)))))</f>
        <v>21</v>
      </c>
      <c r="AJ56" s="263">
        <f>IF(ISNA(MATCH(AJ$2,Inputs!$K$4:$AJ$4,0)),NA(),IF(SUMPRODUCT((Inputs!$A$5:$A$120=$B56)*ISNUMBER(INDEX(Inputs!$K$5:$AJ$120,0,MATCH(AJ$2,Inputs!$K$4:$AJ$4,0))))+SUMPRODUCT((Inputs!$C$5:$C$120=$B56)*ISNUMBER(INDEX(Inputs!$K$5:$AJ$120,0,MATCH(AJ$2,Inputs!$K$4:$AJ$4,0))))+SUMPRODUCT((Inputs!$E$5:$E$120=$B56)*ISNUMBER(INDEX(Inputs!$K$5:$AJ$120,0,MATCH(AJ$2,Inputs!$K$4:$AJ$4,0))))=0,NA(),SUMPRODUCT((Inputs!$A$5:$A$120=$B56)*Inputs!$B$5:$B$120*(((Inputs!$G$5:$G$120="moeda")+(Inputs!$G$5:$G$120="acoes"))*Inputs!$B$1+((Inputs!$G$5:$G$120&lt;&gt;"moeda")*(Inputs!$G$5:$G$120&lt;&gt;"acoes")))*INDEX(Inputs!$K$5:$AJ$120,0,MATCH(AJ$2,Inputs!$K$4:$AJ$4,0)))+SUMPRODUCT((Inputs!$C$5:$C$120=$B56)*Inputs!$D$5:$D$120*(((Inputs!$G$5:$G$120="moeda")+(Inputs!$G$5:$G$120="acoes"))*Inputs!$B$1+((Inputs!$G$5:$G$120&lt;&gt;"moeda")*(Inputs!$G$5:$G$120&lt;&gt;"acoes")))*INDEX(Inputs!$K$5:$AJ$120,0,MATCH(AJ$2,Inputs!$K$4:$AJ$4,0)))+SUMPRODUCT((Inputs!$E$5:$E$120=$B56)*Inputs!$F$5:$F$120*(((Inputs!$G$5:$G$120="moeda")+(Inputs!$G$5:$G$120="acoes"))*Inputs!$B$1+((Inputs!$G$5:$G$120&lt;&gt;"moeda")*(Inputs!$G$5:$G$120&lt;&gt;"acoes")))*INDEX(Inputs!$K$5:$AJ$120,0,MATCH(AJ$2,Inputs!$K$4:$AJ$4,0)))))</f>
        <v>21</v>
      </c>
      <c r="AK56" s="263">
        <f>IF(ISNA(MATCH(AK$2,Inputs!$K$4:$AJ$4,0)),NA(),IF(SUMPRODUCT((Inputs!$A$5:$A$120=$B56)*ISNUMBER(INDEX(Inputs!$K$5:$AJ$120,0,MATCH(AK$2,Inputs!$K$4:$AJ$4,0))))+SUMPRODUCT((Inputs!$C$5:$C$120=$B56)*ISNUMBER(INDEX(Inputs!$K$5:$AJ$120,0,MATCH(AK$2,Inputs!$K$4:$AJ$4,0))))+SUMPRODUCT((Inputs!$E$5:$E$120=$B56)*ISNUMBER(INDEX(Inputs!$K$5:$AJ$120,0,MATCH(AK$2,Inputs!$K$4:$AJ$4,0))))=0,NA(),SUMPRODUCT((Inputs!$A$5:$A$120=$B56)*Inputs!$B$5:$B$120*(((Inputs!$G$5:$G$120="moeda")+(Inputs!$G$5:$G$120="acoes"))*Inputs!$B$1+((Inputs!$G$5:$G$120&lt;&gt;"moeda")*(Inputs!$G$5:$G$120&lt;&gt;"acoes")))*INDEX(Inputs!$K$5:$AJ$120,0,MATCH(AK$2,Inputs!$K$4:$AJ$4,0)))+SUMPRODUCT((Inputs!$C$5:$C$120=$B56)*Inputs!$D$5:$D$120*(((Inputs!$G$5:$G$120="moeda")+(Inputs!$G$5:$G$120="acoes"))*Inputs!$B$1+((Inputs!$G$5:$G$120&lt;&gt;"moeda")*(Inputs!$G$5:$G$120&lt;&gt;"acoes")))*INDEX(Inputs!$K$5:$AJ$120,0,MATCH(AK$2,Inputs!$K$4:$AJ$4,0)))+SUMPRODUCT((Inputs!$E$5:$E$120=$B56)*Inputs!$F$5:$F$120*(((Inputs!$G$5:$G$120="moeda")+(Inputs!$G$5:$G$120="acoes"))*Inputs!$B$1+((Inputs!$G$5:$G$120&lt;&gt;"moeda")*(Inputs!$G$5:$G$120&lt;&gt;"acoes")))*INDEX(Inputs!$K$5:$AJ$120,0,MATCH(AK$2,Inputs!$K$4:$AJ$4,0)))))</f>
        <v>-35</v>
      </c>
      <c r="AL56" s="264">
        <f>SUM(AH56:AK56)</f>
        <v>18</v>
      </c>
    </row>
    <row r="57">
      <c r="B57" s="46" t="n">
        <v>49</v>
      </c>
      <c r="C57" s="29" t="inlineStr">
        <is>
          <t>Vendas de veículos (USD; até 2021 com + sem garantia de recompra)</t>
        </is>
      </c>
      <c r="D57" s="263">
        <f>IF(ISNA(MATCH(D$2,Inputs!$K$4:$AJ$4,0)),NA(),IF(SUMPRODUCT((Inputs!$A$5:$A$120=$B57)*ISNUMBER(INDEX(Inputs!$K$5:$AJ$120,0,MATCH(D$2,Inputs!$K$4:$AJ$4,0))))+SUMPRODUCT((Inputs!$C$5:$C$120=$B57)*ISNUMBER(INDEX(Inputs!$K$5:$AJ$120,0,MATCH(D$2,Inputs!$K$4:$AJ$4,0))))+SUMPRODUCT((Inputs!$E$5:$E$120=$B57)*ISNUMBER(INDEX(Inputs!$K$5:$AJ$120,0,MATCH(D$2,Inputs!$K$4:$AJ$4,0))))=0,NA(),SUMPRODUCT((Inputs!$A$5:$A$120=$B57)*Inputs!$B$5:$B$120*(((Inputs!$G$5:$G$120="moeda")+(Inputs!$G$5:$G$120="acoes"))*Inputs!$B$1+((Inputs!$G$5:$G$120&lt;&gt;"moeda")*(Inputs!$G$5:$G$120&lt;&gt;"acoes")))*INDEX(Inputs!$K$5:$AJ$120,0,MATCH(D$2,Inputs!$K$4:$AJ$4,0)))+SUMPRODUCT((Inputs!$C$5:$C$120=$B57)*Inputs!$D$5:$D$120*(((Inputs!$G$5:$G$120="moeda")+(Inputs!$G$5:$G$120="acoes"))*Inputs!$B$1+((Inputs!$G$5:$G$120&lt;&gt;"moeda")*(Inputs!$G$5:$G$120&lt;&gt;"acoes")))*INDEX(Inputs!$K$5:$AJ$120,0,MATCH(D$2,Inputs!$K$4:$AJ$4,0)))+SUMPRODUCT((Inputs!$E$5:$E$120=$B57)*Inputs!$F$5:$F$120*(((Inputs!$G$5:$G$120="moeda")+(Inputs!$G$5:$G$120="acoes"))*Inputs!$B$1+((Inputs!$G$5:$G$120&lt;&gt;"moeda")*(Inputs!$G$5:$G$120&lt;&gt;"acoes")))*INDEX(Inputs!$K$5:$AJ$120,0,MATCH(D$2,Inputs!$K$4:$AJ$4,0)))))</f>
        <v>8187</v>
      </c>
      <c r="E57" s="263">
        <f>IF(ISNA(MATCH(E$2,Inputs!$K$4:$AJ$4,0)),NA(),IF(SUMPRODUCT((Inputs!$A$5:$A$120=$B57)*ISNUMBER(INDEX(Inputs!$K$5:$AJ$120,0,MATCH(E$2,Inputs!$K$4:$AJ$4,0))))+SUMPRODUCT((Inputs!$C$5:$C$120=$B57)*ISNUMBER(INDEX(Inputs!$K$5:$AJ$120,0,MATCH(E$2,Inputs!$K$4:$AJ$4,0))))+SUMPRODUCT((Inputs!$E$5:$E$120=$B57)*ISNUMBER(INDEX(Inputs!$K$5:$AJ$120,0,MATCH(E$2,Inputs!$K$4:$AJ$4,0))))=0,NA(),SUMPRODUCT((Inputs!$A$5:$A$120=$B57)*Inputs!$B$5:$B$120*(((Inputs!$G$5:$G$120="moeda")+(Inputs!$G$5:$G$120="acoes"))*Inputs!$B$1+((Inputs!$G$5:$G$120&lt;&gt;"moeda")*(Inputs!$G$5:$G$120&lt;&gt;"acoes")))*INDEX(Inputs!$K$5:$AJ$120,0,MATCH(E$2,Inputs!$K$4:$AJ$4,0)))+SUMPRODUCT((Inputs!$C$5:$C$120=$B57)*Inputs!$D$5:$D$120*(((Inputs!$G$5:$G$120="moeda")+(Inputs!$G$5:$G$120="acoes"))*Inputs!$B$1+((Inputs!$G$5:$G$120&lt;&gt;"moeda")*(Inputs!$G$5:$G$120&lt;&gt;"acoes")))*INDEX(Inputs!$K$5:$AJ$120,0,MATCH(E$2,Inputs!$K$4:$AJ$4,0)))+SUMPRODUCT((Inputs!$E$5:$E$120=$B57)*Inputs!$F$5:$F$120*(((Inputs!$G$5:$G$120="moeda")+(Inputs!$G$5:$G$120="acoes"))*Inputs!$B$1+((Inputs!$G$5:$G$120&lt;&gt;"moeda")*(Inputs!$G$5:$G$120&lt;&gt;"acoes")))*INDEX(Inputs!$K$5:$AJ$120,0,MATCH(E$2,Inputs!$K$4:$AJ$4,0)))))</f>
        <v>9520</v>
      </c>
      <c r="F57" s="263">
        <f>IF(ISNA(MATCH(F$2,Inputs!$K$4:$AJ$4,0)),NA(),IF(SUMPRODUCT((Inputs!$A$5:$A$120=$B57)*ISNUMBER(INDEX(Inputs!$K$5:$AJ$120,0,MATCH(F$2,Inputs!$K$4:$AJ$4,0))))+SUMPRODUCT((Inputs!$C$5:$C$120=$B57)*ISNUMBER(INDEX(Inputs!$K$5:$AJ$120,0,MATCH(F$2,Inputs!$K$4:$AJ$4,0))))+SUMPRODUCT((Inputs!$E$5:$E$120=$B57)*ISNUMBER(INDEX(Inputs!$K$5:$AJ$120,0,MATCH(F$2,Inputs!$K$4:$AJ$4,0))))=0,NA(),SUMPRODUCT((Inputs!$A$5:$A$120=$B57)*Inputs!$B$5:$B$120*(((Inputs!$G$5:$G$120="moeda")+(Inputs!$G$5:$G$120="acoes"))*Inputs!$B$1+((Inputs!$G$5:$G$120&lt;&gt;"moeda")*(Inputs!$G$5:$G$120&lt;&gt;"acoes")))*INDEX(Inputs!$K$5:$AJ$120,0,MATCH(F$2,Inputs!$K$4:$AJ$4,0)))+SUMPRODUCT((Inputs!$C$5:$C$120=$B57)*Inputs!$D$5:$D$120*(((Inputs!$G$5:$G$120="moeda")+(Inputs!$G$5:$G$120="acoes"))*Inputs!$B$1+((Inputs!$G$5:$G$120&lt;&gt;"moeda")*(Inputs!$G$5:$G$120&lt;&gt;"acoes")))*INDEX(Inputs!$K$5:$AJ$120,0,MATCH(F$2,Inputs!$K$4:$AJ$4,0)))+SUMPRODUCT((Inputs!$E$5:$E$120=$B57)*Inputs!$F$5:$F$120*(((Inputs!$G$5:$G$120="moeda")+(Inputs!$G$5:$G$120="acoes"))*Inputs!$B$1+((Inputs!$G$5:$G$120&lt;&gt;"moeda")*(Inputs!$G$5:$G$120&lt;&gt;"acoes")))*INDEX(Inputs!$K$5:$AJ$120,0,MATCH(F$2,Inputs!$K$4:$AJ$4,0)))))</f>
        <v>11393</v>
      </c>
      <c r="G57" s="263">
        <f>IF(ISNA(MATCH(G$2,Inputs!$K$4:$AJ$4,0)),NA(),IF(SUMPRODUCT((Inputs!$A$5:$A$120=$B57)*ISNUMBER(INDEX(Inputs!$K$5:$AJ$120,0,MATCH(G$2,Inputs!$K$4:$AJ$4,0))))+SUMPRODUCT((Inputs!$C$5:$C$120=$B57)*ISNUMBER(INDEX(Inputs!$K$5:$AJ$120,0,MATCH(G$2,Inputs!$K$4:$AJ$4,0))))+SUMPRODUCT((Inputs!$E$5:$E$120=$B57)*ISNUMBER(INDEX(Inputs!$K$5:$AJ$120,0,MATCH(G$2,Inputs!$K$4:$AJ$4,0))))=0,NA(),SUMPRODUCT((Inputs!$A$5:$A$120=$B57)*Inputs!$B$5:$B$120*(((Inputs!$G$5:$G$120="moeda")+(Inputs!$G$5:$G$120="acoes"))*Inputs!$B$1+((Inputs!$G$5:$G$120&lt;&gt;"moeda")*(Inputs!$G$5:$G$120&lt;&gt;"acoes")))*INDEX(Inputs!$K$5:$AJ$120,0,MATCH(G$2,Inputs!$K$4:$AJ$4,0)))+SUMPRODUCT((Inputs!$C$5:$C$120=$B57)*Inputs!$D$5:$D$120*(((Inputs!$G$5:$G$120="moeda")+(Inputs!$G$5:$G$120="acoes"))*Inputs!$B$1+((Inputs!$G$5:$G$120&lt;&gt;"moeda")*(Inputs!$G$5:$G$120&lt;&gt;"acoes")))*INDEX(Inputs!$K$5:$AJ$120,0,MATCH(G$2,Inputs!$K$4:$AJ$4,0)))+SUMPRODUCT((Inputs!$E$5:$E$120=$B57)*Inputs!$F$5:$F$120*(((Inputs!$G$5:$G$120="moeda")+(Inputs!$G$5:$G$120="acoes"))*Inputs!$B$1+((Inputs!$G$5:$G$120&lt;&gt;"moeda")*(Inputs!$G$5:$G$120&lt;&gt;"acoes")))*INDEX(Inputs!$K$5:$AJ$120,0,MATCH(G$2,Inputs!$K$4:$AJ$4,0)))))</f>
        <v>15025</v>
      </c>
      <c r="H57" s="264">
        <f>SUM(D57:G57)</f>
        <v>44125</v>
      </c>
      <c r="I57" s="263">
        <f>IF(ISNA(MATCH(I$2,Inputs!$K$4:$AJ$4,0)),NA(),IF(SUMPRODUCT((Inputs!$A$5:$A$120=$B57)*ISNUMBER(INDEX(Inputs!$K$5:$AJ$120,0,MATCH(I$2,Inputs!$K$4:$AJ$4,0))))+SUMPRODUCT((Inputs!$C$5:$C$120=$B57)*ISNUMBER(INDEX(Inputs!$K$5:$AJ$120,0,MATCH(I$2,Inputs!$K$4:$AJ$4,0))))+SUMPRODUCT((Inputs!$E$5:$E$120=$B57)*ISNUMBER(INDEX(Inputs!$K$5:$AJ$120,0,MATCH(I$2,Inputs!$K$4:$AJ$4,0))))=0,NA(),SUMPRODUCT((Inputs!$A$5:$A$120=$B57)*Inputs!$B$5:$B$120*(((Inputs!$G$5:$G$120="moeda")+(Inputs!$G$5:$G$120="acoes"))*Inputs!$B$1+((Inputs!$G$5:$G$120&lt;&gt;"moeda")*(Inputs!$G$5:$G$120&lt;&gt;"acoes")))*INDEX(Inputs!$K$5:$AJ$120,0,MATCH(I$2,Inputs!$K$4:$AJ$4,0)))+SUMPRODUCT((Inputs!$C$5:$C$120=$B57)*Inputs!$D$5:$D$120*(((Inputs!$G$5:$G$120="moeda")+(Inputs!$G$5:$G$120="acoes"))*Inputs!$B$1+((Inputs!$G$5:$G$120&lt;&gt;"moeda")*(Inputs!$G$5:$G$120&lt;&gt;"acoes")))*INDEX(Inputs!$K$5:$AJ$120,0,MATCH(I$2,Inputs!$K$4:$AJ$4,0)))+SUMPRODUCT((Inputs!$E$5:$E$120=$B57)*Inputs!$F$5:$F$120*(((Inputs!$G$5:$G$120="moeda")+(Inputs!$G$5:$G$120="acoes"))*Inputs!$B$1+((Inputs!$G$5:$G$120&lt;&gt;"moeda")*(Inputs!$G$5:$G$120&lt;&gt;"acoes")))*INDEX(Inputs!$K$5:$AJ$120,0,MATCH(I$2,Inputs!$K$4:$AJ$4,0)))))</f>
        <v>15514</v>
      </c>
      <c r="J57" s="263">
        <f>IF(ISNA(MATCH(J$2,Inputs!$K$4:$AJ$4,0)),NA(),IF(SUMPRODUCT((Inputs!$A$5:$A$120=$B57)*ISNUMBER(INDEX(Inputs!$K$5:$AJ$120,0,MATCH(J$2,Inputs!$K$4:$AJ$4,0))))+SUMPRODUCT((Inputs!$C$5:$C$120=$B57)*ISNUMBER(INDEX(Inputs!$K$5:$AJ$120,0,MATCH(J$2,Inputs!$K$4:$AJ$4,0))))+SUMPRODUCT((Inputs!$E$5:$E$120=$B57)*ISNUMBER(INDEX(Inputs!$K$5:$AJ$120,0,MATCH(J$2,Inputs!$K$4:$AJ$4,0))))=0,NA(),SUMPRODUCT((Inputs!$A$5:$A$120=$B57)*Inputs!$B$5:$B$120*(((Inputs!$G$5:$G$120="moeda")+(Inputs!$G$5:$G$120="acoes"))*Inputs!$B$1+((Inputs!$G$5:$G$120&lt;&gt;"moeda")*(Inputs!$G$5:$G$120&lt;&gt;"acoes")))*INDEX(Inputs!$K$5:$AJ$120,0,MATCH(J$2,Inputs!$K$4:$AJ$4,0)))+SUMPRODUCT((Inputs!$C$5:$C$120=$B57)*Inputs!$D$5:$D$120*(((Inputs!$G$5:$G$120="moeda")+(Inputs!$G$5:$G$120="acoes"))*Inputs!$B$1+((Inputs!$G$5:$G$120&lt;&gt;"moeda")*(Inputs!$G$5:$G$120&lt;&gt;"acoes")))*INDEX(Inputs!$K$5:$AJ$120,0,MATCH(J$2,Inputs!$K$4:$AJ$4,0)))+SUMPRODUCT((Inputs!$E$5:$E$120=$B57)*Inputs!$F$5:$F$120*(((Inputs!$G$5:$G$120="moeda")+(Inputs!$G$5:$G$120="acoes"))*Inputs!$B$1+((Inputs!$G$5:$G$120&lt;&gt;"moeda")*(Inputs!$G$5:$G$120&lt;&gt;"acoes")))*INDEX(Inputs!$K$5:$AJ$120,0,MATCH(J$2,Inputs!$K$4:$AJ$4,0)))))</f>
        <v>13670</v>
      </c>
      <c r="K57" s="263">
        <f>IF(ISNA(MATCH(K$2,Inputs!$K$4:$AJ$4,0)),NA(),IF(SUMPRODUCT((Inputs!$A$5:$A$120=$B57)*ISNUMBER(INDEX(Inputs!$K$5:$AJ$120,0,MATCH(K$2,Inputs!$K$4:$AJ$4,0))))+SUMPRODUCT((Inputs!$C$5:$C$120=$B57)*ISNUMBER(INDEX(Inputs!$K$5:$AJ$120,0,MATCH(K$2,Inputs!$K$4:$AJ$4,0))))+SUMPRODUCT((Inputs!$E$5:$E$120=$B57)*ISNUMBER(INDEX(Inputs!$K$5:$AJ$120,0,MATCH(K$2,Inputs!$K$4:$AJ$4,0))))=0,NA(),SUMPRODUCT((Inputs!$A$5:$A$120=$B57)*Inputs!$B$5:$B$120*(((Inputs!$G$5:$G$120="moeda")+(Inputs!$G$5:$G$120="acoes"))*Inputs!$B$1+((Inputs!$G$5:$G$120&lt;&gt;"moeda")*(Inputs!$G$5:$G$120&lt;&gt;"acoes")))*INDEX(Inputs!$K$5:$AJ$120,0,MATCH(K$2,Inputs!$K$4:$AJ$4,0)))+SUMPRODUCT((Inputs!$C$5:$C$120=$B57)*Inputs!$D$5:$D$120*(((Inputs!$G$5:$G$120="moeda")+(Inputs!$G$5:$G$120="acoes"))*Inputs!$B$1+((Inputs!$G$5:$G$120&lt;&gt;"moeda")*(Inputs!$G$5:$G$120&lt;&gt;"acoes")))*INDEX(Inputs!$K$5:$AJ$120,0,MATCH(K$2,Inputs!$K$4:$AJ$4,0)))+SUMPRODUCT((Inputs!$E$5:$E$120=$B57)*Inputs!$F$5:$F$120*(((Inputs!$G$5:$G$120="moeda")+(Inputs!$G$5:$G$120="acoes"))*Inputs!$B$1+((Inputs!$G$5:$G$120&lt;&gt;"moeda")*(Inputs!$G$5:$G$120&lt;&gt;"acoes")))*INDEX(Inputs!$K$5:$AJ$120,0,MATCH(K$2,Inputs!$K$4:$AJ$4,0)))))</f>
        <v>17785</v>
      </c>
      <c r="L57" s="263">
        <f>IF(ISNA(MATCH(L$2,Inputs!$K$4:$AJ$4,0)),NA(),IF(SUMPRODUCT((Inputs!$A$5:$A$120=$B57)*ISNUMBER(INDEX(Inputs!$K$5:$AJ$120,0,MATCH(L$2,Inputs!$K$4:$AJ$4,0))))+SUMPRODUCT((Inputs!$C$5:$C$120=$B57)*ISNUMBER(INDEX(Inputs!$K$5:$AJ$120,0,MATCH(L$2,Inputs!$K$4:$AJ$4,0))))+SUMPRODUCT((Inputs!$E$5:$E$120=$B57)*ISNUMBER(INDEX(Inputs!$K$5:$AJ$120,0,MATCH(L$2,Inputs!$K$4:$AJ$4,0))))=0,NA(),SUMPRODUCT((Inputs!$A$5:$A$120=$B57)*Inputs!$B$5:$B$120*(((Inputs!$G$5:$G$120="moeda")+(Inputs!$G$5:$G$120="acoes"))*Inputs!$B$1+((Inputs!$G$5:$G$120&lt;&gt;"moeda")*(Inputs!$G$5:$G$120&lt;&gt;"acoes")))*INDEX(Inputs!$K$5:$AJ$120,0,MATCH(L$2,Inputs!$K$4:$AJ$4,0)))+SUMPRODUCT((Inputs!$C$5:$C$120=$B57)*Inputs!$D$5:$D$120*(((Inputs!$G$5:$G$120="moeda")+(Inputs!$G$5:$G$120="acoes"))*Inputs!$B$1+((Inputs!$G$5:$G$120&lt;&gt;"moeda")*(Inputs!$G$5:$G$120&lt;&gt;"acoes")))*INDEX(Inputs!$K$5:$AJ$120,0,MATCH(L$2,Inputs!$K$4:$AJ$4,0)))+SUMPRODUCT((Inputs!$E$5:$E$120=$B57)*Inputs!$F$5:$F$120*(((Inputs!$G$5:$G$120="moeda")+(Inputs!$G$5:$G$120="acoes"))*Inputs!$B$1+((Inputs!$G$5:$G$120&lt;&gt;"moeda")*(Inputs!$G$5:$G$120&lt;&gt;"acoes")))*INDEX(Inputs!$K$5:$AJ$120,0,MATCH(L$2,Inputs!$K$4:$AJ$4,0)))))</f>
        <v>20241</v>
      </c>
      <c r="M57" s="264">
        <f>SUM(I57:L57)</f>
        <v>67210</v>
      </c>
      <c r="N57" s="263">
        <f>IF(ISNA(MATCH(N$2,Inputs!$K$4:$AJ$4,0)),NA(),IF(SUMPRODUCT((Inputs!$A$5:$A$120=$B57)*ISNUMBER(INDEX(Inputs!$K$5:$AJ$120,0,MATCH(N$2,Inputs!$K$4:$AJ$4,0))))+SUMPRODUCT((Inputs!$C$5:$C$120=$B57)*ISNUMBER(INDEX(Inputs!$K$5:$AJ$120,0,MATCH(N$2,Inputs!$K$4:$AJ$4,0))))+SUMPRODUCT((Inputs!$E$5:$E$120=$B57)*ISNUMBER(INDEX(Inputs!$K$5:$AJ$120,0,MATCH(N$2,Inputs!$K$4:$AJ$4,0))))=0,NA(),SUMPRODUCT((Inputs!$A$5:$A$120=$B57)*Inputs!$B$5:$B$120*(((Inputs!$G$5:$G$120="moeda")+(Inputs!$G$5:$G$120="acoes"))*Inputs!$B$1+((Inputs!$G$5:$G$120&lt;&gt;"moeda")*(Inputs!$G$5:$G$120&lt;&gt;"acoes")))*INDEX(Inputs!$K$5:$AJ$120,0,MATCH(N$2,Inputs!$K$4:$AJ$4,0)))+SUMPRODUCT((Inputs!$C$5:$C$120=$B57)*Inputs!$D$5:$D$120*(((Inputs!$G$5:$G$120="moeda")+(Inputs!$G$5:$G$120="acoes"))*Inputs!$B$1+((Inputs!$G$5:$G$120&lt;&gt;"moeda")*(Inputs!$G$5:$G$120&lt;&gt;"acoes")))*INDEX(Inputs!$K$5:$AJ$120,0,MATCH(N$2,Inputs!$K$4:$AJ$4,0)))+SUMPRODUCT((Inputs!$E$5:$E$120=$B57)*Inputs!$F$5:$F$120*(((Inputs!$G$5:$G$120="moeda")+(Inputs!$G$5:$G$120="acoes"))*Inputs!$B$1+((Inputs!$G$5:$G$120&lt;&gt;"moeda")*(Inputs!$G$5:$G$120&lt;&gt;"acoes")))*INDEX(Inputs!$K$5:$AJ$120,0,MATCH(N$2,Inputs!$K$4:$AJ$4,0)))))</f>
        <v>18878</v>
      </c>
      <c r="O57" s="263">
        <f>IF(ISNA(MATCH(O$2,Inputs!$K$4:$AJ$4,0)),NA(),IF(SUMPRODUCT((Inputs!$A$5:$A$120=$B57)*ISNUMBER(INDEX(Inputs!$K$5:$AJ$120,0,MATCH(O$2,Inputs!$K$4:$AJ$4,0))))+SUMPRODUCT((Inputs!$C$5:$C$120=$B57)*ISNUMBER(INDEX(Inputs!$K$5:$AJ$120,0,MATCH(O$2,Inputs!$K$4:$AJ$4,0))))+SUMPRODUCT((Inputs!$E$5:$E$120=$B57)*ISNUMBER(INDEX(Inputs!$K$5:$AJ$120,0,MATCH(O$2,Inputs!$K$4:$AJ$4,0))))=0,NA(),SUMPRODUCT((Inputs!$A$5:$A$120=$B57)*Inputs!$B$5:$B$120*(((Inputs!$G$5:$G$120="moeda")+(Inputs!$G$5:$G$120="acoes"))*Inputs!$B$1+((Inputs!$G$5:$G$120&lt;&gt;"moeda")*(Inputs!$G$5:$G$120&lt;&gt;"acoes")))*INDEX(Inputs!$K$5:$AJ$120,0,MATCH(O$2,Inputs!$K$4:$AJ$4,0)))+SUMPRODUCT((Inputs!$C$5:$C$120=$B57)*Inputs!$D$5:$D$120*(((Inputs!$G$5:$G$120="moeda")+(Inputs!$G$5:$G$120="acoes"))*Inputs!$B$1+((Inputs!$G$5:$G$120&lt;&gt;"moeda")*(Inputs!$G$5:$G$120&lt;&gt;"acoes")))*INDEX(Inputs!$K$5:$AJ$120,0,MATCH(O$2,Inputs!$K$4:$AJ$4,0)))+SUMPRODUCT((Inputs!$E$5:$E$120=$B57)*Inputs!$F$5:$F$120*(((Inputs!$G$5:$G$120="moeda")+(Inputs!$G$5:$G$120="acoes"))*Inputs!$B$1+((Inputs!$G$5:$G$120&lt;&gt;"moeda")*(Inputs!$G$5:$G$120&lt;&gt;"acoes")))*INDEX(Inputs!$K$5:$AJ$120,0,MATCH(O$2,Inputs!$K$4:$AJ$4,0)))))</f>
        <v>20419</v>
      </c>
      <c r="P57" s="263">
        <f>IF(ISNA(MATCH(P$2,Inputs!$K$4:$AJ$4,0)),NA(),IF(SUMPRODUCT((Inputs!$A$5:$A$120=$B57)*ISNUMBER(INDEX(Inputs!$K$5:$AJ$120,0,MATCH(P$2,Inputs!$K$4:$AJ$4,0))))+SUMPRODUCT((Inputs!$C$5:$C$120=$B57)*ISNUMBER(INDEX(Inputs!$K$5:$AJ$120,0,MATCH(P$2,Inputs!$K$4:$AJ$4,0))))+SUMPRODUCT((Inputs!$E$5:$E$120=$B57)*ISNUMBER(INDEX(Inputs!$K$5:$AJ$120,0,MATCH(P$2,Inputs!$K$4:$AJ$4,0))))=0,NA(),SUMPRODUCT((Inputs!$A$5:$A$120=$B57)*Inputs!$B$5:$B$120*(((Inputs!$G$5:$G$120="moeda")+(Inputs!$G$5:$G$120="acoes"))*Inputs!$B$1+((Inputs!$G$5:$G$120&lt;&gt;"moeda")*(Inputs!$G$5:$G$120&lt;&gt;"acoes")))*INDEX(Inputs!$K$5:$AJ$120,0,MATCH(P$2,Inputs!$K$4:$AJ$4,0)))+SUMPRODUCT((Inputs!$C$5:$C$120=$B57)*Inputs!$D$5:$D$120*(((Inputs!$G$5:$G$120="moeda")+(Inputs!$G$5:$G$120="acoes"))*Inputs!$B$1+((Inputs!$G$5:$G$120&lt;&gt;"moeda")*(Inputs!$G$5:$G$120&lt;&gt;"acoes")))*INDEX(Inputs!$K$5:$AJ$120,0,MATCH(P$2,Inputs!$K$4:$AJ$4,0)))+SUMPRODUCT((Inputs!$E$5:$E$120=$B57)*Inputs!$F$5:$F$120*(((Inputs!$G$5:$G$120="moeda")+(Inputs!$G$5:$G$120="acoes"))*Inputs!$B$1+((Inputs!$G$5:$G$120&lt;&gt;"moeda")*(Inputs!$G$5:$G$120&lt;&gt;"acoes")))*INDEX(Inputs!$K$5:$AJ$120,0,MATCH(P$2,Inputs!$K$4:$AJ$4,0)))))</f>
        <v>18582</v>
      </c>
      <c r="Q57" s="263">
        <f>IF(ISNA(MATCH(Q$2,Inputs!$K$4:$AJ$4,0)),NA(),IF(SUMPRODUCT((Inputs!$A$5:$A$120=$B57)*ISNUMBER(INDEX(Inputs!$K$5:$AJ$120,0,MATCH(Q$2,Inputs!$K$4:$AJ$4,0))))+SUMPRODUCT((Inputs!$C$5:$C$120=$B57)*ISNUMBER(INDEX(Inputs!$K$5:$AJ$120,0,MATCH(Q$2,Inputs!$K$4:$AJ$4,0))))+SUMPRODUCT((Inputs!$E$5:$E$120=$B57)*ISNUMBER(INDEX(Inputs!$K$5:$AJ$120,0,MATCH(Q$2,Inputs!$K$4:$AJ$4,0))))=0,NA(),SUMPRODUCT((Inputs!$A$5:$A$120=$B57)*Inputs!$B$5:$B$120*(((Inputs!$G$5:$G$120="moeda")+(Inputs!$G$5:$G$120="acoes"))*Inputs!$B$1+((Inputs!$G$5:$G$120&lt;&gt;"moeda")*(Inputs!$G$5:$G$120&lt;&gt;"acoes")))*INDEX(Inputs!$K$5:$AJ$120,0,MATCH(Q$2,Inputs!$K$4:$AJ$4,0)))+SUMPRODUCT((Inputs!$C$5:$C$120=$B57)*Inputs!$D$5:$D$120*(((Inputs!$G$5:$G$120="moeda")+(Inputs!$G$5:$G$120="acoes"))*Inputs!$B$1+((Inputs!$G$5:$G$120&lt;&gt;"moeda")*(Inputs!$G$5:$G$120&lt;&gt;"acoes")))*INDEX(Inputs!$K$5:$AJ$120,0,MATCH(Q$2,Inputs!$K$4:$AJ$4,0)))+SUMPRODUCT((Inputs!$E$5:$E$120=$B57)*Inputs!$F$5:$F$120*(((Inputs!$G$5:$G$120="moeda")+(Inputs!$G$5:$G$120="acoes"))*Inputs!$B$1+((Inputs!$G$5:$G$120&lt;&gt;"moeda")*(Inputs!$G$5:$G$120&lt;&gt;"acoes")))*INDEX(Inputs!$K$5:$AJ$120,0,MATCH(Q$2,Inputs!$K$4:$AJ$4,0)))))</f>
        <v>20630</v>
      </c>
      <c r="R57" s="264">
        <f>SUM(N57:Q57)</f>
        <v>78509</v>
      </c>
      <c r="S57" s="263">
        <f>IF(ISNA(MATCH(S$2,Inputs!$K$4:$AJ$4,0)),NA(),IF(SUMPRODUCT((Inputs!$A$5:$A$120=$B57)*ISNUMBER(INDEX(Inputs!$K$5:$AJ$120,0,MATCH(S$2,Inputs!$K$4:$AJ$4,0))))+SUMPRODUCT((Inputs!$C$5:$C$120=$B57)*ISNUMBER(INDEX(Inputs!$K$5:$AJ$120,0,MATCH(S$2,Inputs!$K$4:$AJ$4,0))))+SUMPRODUCT((Inputs!$E$5:$E$120=$B57)*ISNUMBER(INDEX(Inputs!$K$5:$AJ$120,0,MATCH(S$2,Inputs!$K$4:$AJ$4,0))))=0,NA(),SUMPRODUCT((Inputs!$A$5:$A$120=$B57)*Inputs!$B$5:$B$120*(((Inputs!$G$5:$G$120="moeda")+(Inputs!$G$5:$G$120="acoes"))*Inputs!$B$1+((Inputs!$G$5:$G$120&lt;&gt;"moeda")*(Inputs!$G$5:$G$120&lt;&gt;"acoes")))*INDEX(Inputs!$K$5:$AJ$120,0,MATCH(S$2,Inputs!$K$4:$AJ$4,0)))+SUMPRODUCT((Inputs!$C$5:$C$120=$B57)*Inputs!$D$5:$D$120*(((Inputs!$G$5:$G$120="moeda")+(Inputs!$G$5:$G$120="acoes"))*Inputs!$B$1+((Inputs!$G$5:$G$120&lt;&gt;"moeda")*(Inputs!$G$5:$G$120&lt;&gt;"acoes")))*INDEX(Inputs!$K$5:$AJ$120,0,MATCH(S$2,Inputs!$K$4:$AJ$4,0)))+SUMPRODUCT((Inputs!$E$5:$E$120=$B57)*Inputs!$F$5:$F$120*(((Inputs!$G$5:$G$120="moeda")+(Inputs!$G$5:$G$120="acoes"))*Inputs!$B$1+((Inputs!$G$5:$G$120&lt;&gt;"moeda")*(Inputs!$G$5:$G$120&lt;&gt;"acoes")))*INDEX(Inputs!$K$5:$AJ$120,0,MATCH(S$2,Inputs!$K$4:$AJ$4,0)))))</f>
        <v>16460</v>
      </c>
      <c r="T57" s="263">
        <f>IF(ISNA(MATCH(T$2,Inputs!$K$4:$AJ$4,0)),NA(),IF(SUMPRODUCT((Inputs!$A$5:$A$120=$B57)*ISNUMBER(INDEX(Inputs!$K$5:$AJ$120,0,MATCH(T$2,Inputs!$K$4:$AJ$4,0))))+SUMPRODUCT((Inputs!$C$5:$C$120=$B57)*ISNUMBER(INDEX(Inputs!$K$5:$AJ$120,0,MATCH(T$2,Inputs!$K$4:$AJ$4,0))))+SUMPRODUCT((Inputs!$E$5:$E$120=$B57)*ISNUMBER(INDEX(Inputs!$K$5:$AJ$120,0,MATCH(T$2,Inputs!$K$4:$AJ$4,0))))=0,NA(),SUMPRODUCT((Inputs!$A$5:$A$120=$B57)*Inputs!$B$5:$B$120*(((Inputs!$G$5:$G$120="moeda")+(Inputs!$G$5:$G$120="acoes"))*Inputs!$B$1+((Inputs!$G$5:$G$120&lt;&gt;"moeda")*(Inputs!$G$5:$G$120&lt;&gt;"acoes")))*INDEX(Inputs!$K$5:$AJ$120,0,MATCH(T$2,Inputs!$K$4:$AJ$4,0)))+SUMPRODUCT((Inputs!$C$5:$C$120=$B57)*Inputs!$D$5:$D$120*(((Inputs!$G$5:$G$120="moeda")+(Inputs!$G$5:$G$120="acoes"))*Inputs!$B$1+((Inputs!$G$5:$G$120&lt;&gt;"moeda")*(Inputs!$G$5:$G$120&lt;&gt;"acoes")))*INDEX(Inputs!$K$5:$AJ$120,0,MATCH(T$2,Inputs!$K$4:$AJ$4,0)))+SUMPRODUCT((Inputs!$E$5:$E$120=$B57)*Inputs!$F$5:$F$120*(((Inputs!$G$5:$G$120="moeda")+(Inputs!$G$5:$G$120="acoes"))*Inputs!$B$1+((Inputs!$G$5:$G$120&lt;&gt;"moeda")*(Inputs!$G$5:$G$120&lt;&gt;"acoes")))*INDEX(Inputs!$K$5:$AJ$120,0,MATCH(T$2,Inputs!$K$4:$AJ$4,0)))))</f>
        <v>18530</v>
      </c>
      <c r="U57" s="263">
        <f>IF(ISNA(MATCH(U$2,Inputs!$K$4:$AJ$4,0)),NA(),IF(SUMPRODUCT((Inputs!$A$5:$A$120=$B57)*ISNUMBER(INDEX(Inputs!$K$5:$AJ$120,0,MATCH(U$2,Inputs!$K$4:$AJ$4,0))))+SUMPRODUCT((Inputs!$C$5:$C$120=$B57)*ISNUMBER(INDEX(Inputs!$K$5:$AJ$120,0,MATCH(U$2,Inputs!$K$4:$AJ$4,0))))+SUMPRODUCT((Inputs!$E$5:$E$120=$B57)*ISNUMBER(INDEX(Inputs!$K$5:$AJ$120,0,MATCH(U$2,Inputs!$K$4:$AJ$4,0))))=0,NA(),SUMPRODUCT((Inputs!$A$5:$A$120=$B57)*Inputs!$B$5:$B$120*(((Inputs!$G$5:$G$120="moeda")+(Inputs!$G$5:$G$120="acoes"))*Inputs!$B$1+((Inputs!$G$5:$G$120&lt;&gt;"moeda")*(Inputs!$G$5:$G$120&lt;&gt;"acoes")))*INDEX(Inputs!$K$5:$AJ$120,0,MATCH(U$2,Inputs!$K$4:$AJ$4,0)))+SUMPRODUCT((Inputs!$C$5:$C$120=$B57)*Inputs!$D$5:$D$120*(((Inputs!$G$5:$G$120="moeda")+(Inputs!$G$5:$G$120="acoes"))*Inputs!$B$1+((Inputs!$G$5:$G$120&lt;&gt;"moeda")*(Inputs!$G$5:$G$120&lt;&gt;"acoes")))*INDEX(Inputs!$K$5:$AJ$120,0,MATCH(U$2,Inputs!$K$4:$AJ$4,0)))+SUMPRODUCT((Inputs!$E$5:$E$120=$B57)*Inputs!$F$5:$F$120*(((Inputs!$G$5:$G$120="moeda")+(Inputs!$G$5:$G$120="acoes"))*Inputs!$B$1+((Inputs!$G$5:$G$120&lt;&gt;"moeda")*(Inputs!$G$5:$G$120&lt;&gt;"acoes")))*INDEX(Inputs!$K$5:$AJ$120,0,MATCH(U$2,Inputs!$K$4:$AJ$4,0)))))</f>
        <v>18831</v>
      </c>
      <c r="V57" s="263">
        <f>IF(ISNA(MATCH(V$2,Inputs!$K$4:$AJ$4,0)),NA(),IF(SUMPRODUCT((Inputs!$A$5:$A$120=$B57)*ISNUMBER(INDEX(Inputs!$K$5:$AJ$120,0,MATCH(V$2,Inputs!$K$4:$AJ$4,0))))+SUMPRODUCT((Inputs!$C$5:$C$120=$B57)*ISNUMBER(INDEX(Inputs!$K$5:$AJ$120,0,MATCH(V$2,Inputs!$K$4:$AJ$4,0))))+SUMPRODUCT((Inputs!$E$5:$E$120=$B57)*ISNUMBER(INDEX(Inputs!$K$5:$AJ$120,0,MATCH(V$2,Inputs!$K$4:$AJ$4,0))))=0,NA(),SUMPRODUCT((Inputs!$A$5:$A$120=$B57)*Inputs!$B$5:$B$120*(((Inputs!$G$5:$G$120="moeda")+(Inputs!$G$5:$G$120="acoes"))*Inputs!$B$1+((Inputs!$G$5:$G$120&lt;&gt;"moeda")*(Inputs!$G$5:$G$120&lt;&gt;"acoes")))*INDEX(Inputs!$K$5:$AJ$120,0,MATCH(V$2,Inputs!$K$4:$AJ$4,0)))+SUMPRODUCT((Inputs!$C$5:$C$120=$B57)*Inputs!$D$5:$D$120*(((Inputs!$G$5:$G$120="moeda")+(Inputs!$G$5:$G$120="acoes"))*Inputs!$B$1+((Inputs!$G$5:$G$120&lt;&gt;"moeda")*(Inputs!$G$5:$G$120&lt;&gt;"acoes")))*INDEX(Inputs!$K$5:$AJ$120,0,MATCH(V$2,Inputs!$K$4:$AJ$4,0)))+SUMPRODUCT((Inputs!$E$5:$E$120=$B57)*Inputs!$F$5:$F$120*(((Inputs!$G$5:$G$120="moeda")+(Inputs!$G$5:$G$120="acoes"))*Inputs!$B$1+((Inputs!$G$5:$G$120&lt;&gt;"moeda")*(Inputs!$G$5:$G$120&lt;&gt;"acoes")))*INDEX(Inputs!$K$5:$AJ$120,0,MATCH(V$2,Inputs!$K$4:$AJ$4,0)))))</f>
        <v>18659</v>
      </c>
      <c r="W57" s="264">
        <f>SUM(S57:V57)</f>
        <v>72480</v>
      </c>
      <c r="X57" s="263">
        <f>IF(ISNA(MATCH(X$2,Inputs!$K$4:$AJ$4,0)),NA(),IF(SUMPRODUCT((Inputs!$A$5:$A$120=$B57)*ISNUMBER(INDEX(Inputs!$K$5:$AJ$120,0,MATCH(X$2,Inputs!$K$4:$AJ$4,0))))+SUMPRODUCT((Inputs!$C$5:$C$120=$B57)*ISNUMBER(INDEX(Inputs!$K$5:$AJ$120,0,MATCH(X$2,Inputs!$K$4:$AJ$4,0))))+SUMPRODUCT((Inputs!$E$5:$E$120=$B57)*ISNUMBER(INDEX(Inputs!$K$5:$AJ$120,0,MATCH(X$2,Inputs!$K$4:$AJ$4,0))))=0,NA(),SUMPRODUCT((Inputs!$A$5:$A$120=$B57)*Inputs!$B$5:$B$120*(((Inputs!$G$5:$G$120="moeda")+(Inputs!$G$5:$G$120="acoes"))*Inputs!$B$1+((Inputs!$G$5:$G$120&lt;&gt;"moeda")*(Inputs!$G$5:$G$120&lt;&gt;"acoes")))*INDEX(Inputs!$K$5:$AJ$120,0,MATCH(X$2,Inputs!$K$4:$AJ$4,0)))+SUMPRODUCT((Inputs!$C$5:$C$120=$B57)*Inputs!$D$5:$D$120*(((Inputs!$G$5:$G$120="moeda")+(Inputs!$G$5:$G$120="acoes"))*Inputs!$B$1+((Inputs!$G$5:$G$120&lt;&gt;"moeda")*(Inputs!$G$5:$G$120&lt;&gt;"acoes")))*INDEX(Inputs!$K$5:$AJ$120,0,MATCH(X$2,Inputs!$K$4:$AJ$4,0)))+SUMPRODUCT((Inputs!$E$5:$E$120=$B57)*Inputs!$F$5:$F$120*(((Inputs!$G$5:$G$120="moeda")+(Inputs!$G$5:$G$120="acoes"))*Inputs!$B$1+((Inputs!$G$5:$G$120&lt;&gt;"moeda")*(Inputs!$G$5:$G$120&lt;&gt;"acoes")))*INDEX(Inputs!$K$5:$AJ$120,0,MATCH(X$2,Inputs!$K$4:$AJ$4,0)))))</f>
        <v>12925</v>
      </c>
      <c r="Y57" s="263">
        <f>IF(ISNA(MATCH(Y$2,Inputs!$K$4:$AJ$4,0)),NA(),IF(SUMPRODUCT((Inputs!$A$5:$A$120=$B57)*ISNUMBER(INDEX(Inputs!$K$5:$AJ$120,0,MATCH(Y$2,Inputs!$K$4:$AJ$4,0))))+SUMPRODUCT((Inputs!$C$5:$C$120=$B57)*ISNUMBER(INDEX(Inputs!$K$5:$AJ$120,0,MATCH(Y$2,Inputs!$K$4:$AJ$4,0))))+SUMPRODUCT((Inputs!$E$5:$E$120=$B57)*ISNUMBER(INDEX(Inputs!$K$5:$AJ$120,0,MATCH(Y$2,Inputs!$K$4:$AJ$4,0))))=0,NA(),SUMPRODUCT((Inputs!$A$5:$A$120=$B57)*Inputs!$B$5:$B$120*(((Inputs!$G$5:$G$120="moeda")+(Inputs!$G$5:$G$120="acoes"))*Inputs!$B$1+((Inputs!$G$5:$G$120&lt;&gt;"moeda")*(Inputs!$G$5:$G$120&lt;&gt;"acoes")))*INDEX(Inputs!$K$5:$AJ$120,0,MATCH(Y$2,Inputs!$K$4:$AJ$4,0)))+SUMPRODUCT((Inputs!$C$5:$C$120=$B57)*Inputs!$D$5:$D$120*(((Inputs!$G$5:$G$120="moeda")+(Inputs!$G$5:$G$120="acoes"))*Inputs!$B$1+((Inputs!$G$5:$G$120&lt;&gt;"moeda")*(Inputs!$G$5:$G$120&lt;&gt;"acoes")))*INDEX(Inputs!$K$5:$AJ$120,0,MATCH(Y$2,Inputs!$K$4:$AJ$4,0)))+SUMPRODUCT((Inputs!$E$5:$E$120=$B57)*Inputs!$F$5:$F$120*(((Inputs!$G$5:$G$120="moeda")+(Inputs!$G$5:$G$120="acoes"))*Inputs!$B$1+((Inputs!$G$5:$G$120&lt;&gt;"moeda")*(Inputs!$G$5:$G$120&lt;&gt;"acoes")))*INDEX(Inputs!$K$5:$AJ$120,0,MATCH(Y$2,Inputs!$K$4:$AJ$4,0)))))</f>
        <v>15787</v>
      </c>
      <c r="Z57" s="263">
        <f>IF(ISNA(MATCH(Z$2,Inputs!$K$4:$AJ$4,0)),NA(),IF(SUMPRODUCT((Inputs!$A$5:$A$120=$B57)*ISNUMBER(INDEX(Inputs!$K$5:$AJ$120,0,MATCH(Z$2,Inputs!$K$4:$AJ$4,0))))+SUMPRODUCT((Inputs!$C$5:$C$120=$B57)*ISNUMBER(INDEX(Inputs!$K$5:$AJ$120,0,MATCH(Z$2,Inputs!$K$4:$AJ$4,0))))+SUMPRODUCT((Inputs!$E$5:$E$120=$B57)*ISNUMBER(INDEX(Inputs!$K$5:$AJ$120,0,MATCH(Z$2,Inputs!$K$4:$AJ$4,0))))=0,NA(),SUMPRODUCT((Inputs!$A$5:$A$120=$B57)*Inputs!$B$5:$B$120*(((Inputs!$G$5:$G$120="moeda")+(Inputs!$G$5:$G$120="acoes"))*Inputs!$B$1+((Inputs!$G$5:$G$120&lt;&gt;"moeda")*(Inputs!$G$5:$G$120&lt;&gt;"acoes")))*INDEX(Inputs!$K$5:$AJ$120,0,MATCH(Z$2,Inputs!$K$4:$AJ$4,0)))+SUMPRODUCT((Inputs!$C$5:$C$120=$B57)*Inputs!$D$5:$D$120*(((Inputs!$G$5:$G$120="moeda")+(Inputs!$G$5:$G$120="acoes"))*Inputs!$B$1+((Inputs!$G$5:$G$120&lt;&gt;"moeda")*(Inputs!$G$5:$G$120&lt;&gt;"acoes")))*INDEX(Inputs!$K$5:$AJ$120,0,MATCH(Z$2,Inputs!$K$4:$AJ$4,0)))+SUMPRODUCT((Inputs!$E$5:$E$120=$B57)*Inputs!$F$5:$F$120*(((Inputs!$G$5:$G$120="moeda")+(Inputs!$G$5:$G$120="acoes"))*Inputs!$B$1+((Inputs!$G$5:$G$120&lt;&gt;"moeda")*(Inputs!$G$5:$G$120&lt;&gt;"acoes")))*INDEX(Inputs!$K$5:$AJ$120,0,MATCH(Z$2,Inputs!$K$4:$AJ$4,0)))))</f>
        <v>20359</v>
      </c>
      <c r="AA57" s="263">
        <f>IF(ISNA(MATCH(AA$2,Inputs!$K$4:$AJ$4,0)),NA(),IF(SUMPRODUCT((Inputs!$A$5:$A$120=$B57)*ISNUMBER(INDEX(Inputs!$K$5:$AJ$120,0,MATCH(AA$2,Inputs!$K$4:$AJ$4,0))))+SUMPRODUCT((Inputs!$C$5:$C$120=$B57)*ISNUMBER(INDEX(Inputs!$K$5:$AJ$120,0,MATCH(AA$2,Inputs!$K$4:$AJ$4,0))))+SUMPRODUCT((Inputs!$E$5:$E$120=$B57)*ISNUMBER(INDEX(Inputs!$K$5:$AJ$120,0,MATCH(AA$2,Inputs!$K$4:$AJ$4,0))))=0,NA(),SUMPRODUCT((Inputs!$A$5:$A$120=$B57)*Inputs!$B$5:$B$120*(((Inputs!$G$5:$G$120="moeda")+(Inputs!$G$5:$G$120="acoes"))*Inputs!$B$1+((Inputs!$G$5:$G$120&lt;&gt;"moeda")*(Inputs!$G$5:$G$120&lt;&gt;"acoes")))*INDEX(Inputs!$K$5:$AJ$120,0,MATCH(AA$2,Inputs!$K$4:$AJ$4,0)))+SUMPRODUCT((Inputs!$C$5:$C$120=$B57)*Inputs!$D$5:$D$120*(((Inputs!$G$5:$G$120="moeda")+(Inputs!$G$5:$G$120="acoes"))*Inputs!$B$1+((Inputs!$G$5:$G$120&lt;&gt;"moeda")*(Inputs!$G$5:$G$120&lt;&gt;"acoes")))*INDEX(Inputs!$K$5:$AJ$120,0,MATCH(AA$2,Inputs!$K$4:$AJ$4,0)))+SUMPRODUCT((Inputs!$E$5:$E$120=$B57)*Inputs!$F$5:$F$120*(((Inputs!$G$5:$G$120="moeda")+(Inputs!$G$5:$G$120="acoes"))*Inputs!$B$1+((Inputs!$G$5:$G$120&lt;&gt;"moeda")*(Inputs!$G$5:$G$120&lt;&gt;"acoes")))*INDEX(Inputs!$K$5:$AJ$120,0,MATCH(AA$2,Inputs!$K$4:$AJ$4,0)))))</f>
        <v>16750</v>
      </c>
      <c r="AB57" s="264">
        <f>SUM(X57:AA57)</f>
        <v>65821</v>
      </c>
      <c r="AC57" s="263">
        <f>IF(ISNA(MATCH(AC$2,Inputs!$K$4:$AJ$4,0)),NA(),IF(SUMPRODUCT((Inputs!$A$5:$A$120=$B57)*ISNUMBER(INDEX(Inputs!$K$5:$AJ$120,0,MATCH(AC$2,Inputs!$K$4:$AJ$4,0))))+SUMPRODUCT((Inputs!$C$5:$C$120=$B57)*ISNUMBER(INDEX(Inputs!$K$5:$AJ$120,0,MATCH(AC$2,Inputs!$K$4:$AJ$4,0))))+SUMPRODUCT((Inputs!$E$5:$E$120=$B57)*ISNUMBER(INDEX(Inputs!$K$5:$AJ$120,0,MATCH(AC$2,Inputs!$K$4:$AJ$4,0))))=0,NA(),SUMPRODUCT((Inputs!$A$5:$A$120=$B57)*Inputs!$B$5:$B$120*(((Inputs!$G$5:$G$120="moeda")+(Inputs!$G$5:$G$120="acoes"))*Inputs!$B$1+((Inputs!$G$5:$G$120&lt;&gt;"moeda")*(Inputs!$G$5:$G$120&lt;&gt;"acoes")))*INDEX(Inputs!$K$5:$AJ$120,0,MATCH(AC$2,Inputs!$K$4:$AJ$4,0)))+SUMPRODUCT((Inputs!$C$5:$C$120=$B57)*Inputs!$D$5:$D$120*(((Inputs!$G$5:$G$120="moeda")+(Inputs!$G$5:$G$120="acoes"))*Inputs!$B$1+((Inputs!$G$5:$G$120&lt;&gt;"moeda")*(Inputs!$G$5:$G$120&lt;&gt;"acoes")))*INDEX(Inputs!$K$5:$AJ$120,0,MATCH(AC$2,Inputs!$K$4:$AJ$4,0)))+SUMPRODUCT((Inputs!$E$5:$E$120=$B57)*Inputs!$F$5:$F$120*(((Inputs!$G$5:$G$120="moeda")+(Inputs!$G$5:$G$120="acoes"))*Inputs!$B$1+((Inputs!$G$5:$G$120&lt;&gt;"moeda")*(Inputs!$G$5:$G$120&lt;&gt;"acoes")))*INDEX(Inputs!$K$5:$AJ$120,0,MATCH(AC$2,Inputs!$K$4:$AJ$4,0)))))</f>
        <v>15473</v>
      </c>
      <c r="AD57" s="263">
        <f>IF(ISNA(MATCH(AD$2,Inputs!$K$4:$AJ$4,0)),NA(),IF(SUMPRODUCT((Inputs!$A$5:$A$120=$B57)*ISNUMBER(INDEX(Inputs!$K$5:$AJ$120,0,MATCH(AD$2,Inputs!$K$4:$AJ$4,0))))+SUMPRODUCT((Inputs!$C$5:$C$120=$B57)*ISNUMBER(INDEX(Inputs!$K$5:$AJ$120,0,MATCH(AD$2,Inputs!$K$4:$AJ$4,0))))+SUMPRODUCT((Inputs!$E$5:$E$120=$B57)*ISNUMBER(INDEX(Inputs!$K$5:$AJ$120,0,MATCH(AD$2,Inputs!$K$4:$AJ$4,0))))=0,NA(),SUMPRODUCT((Inputs!$A$5:$A$120=$B57)*Inputs!$B$5:$B$120*(((Inputs!$G$5:$G$120="moeda")+(Inputs!$G$5:$G$120="acoes"))*Inputs!$B$1+((Inputs!$G$5:$G$120&lt;&gt;"moeda")*(Inputs!$G$5:$G$120&lt;&gt;"acoes")))*INDEX(Inputs!$K$5:$AJ$120,0,MATCH(AD$2,Inputs!$K$4:$AJ$4,0)))+SUMPRODUCT((Inputs!$C$5:$C$120=$B57)*Inputs!$D$5:$D$120*(((Inputs!$G$5:$G$120="moeda")+(Inputs!$G$5:$G$120="acoes"))*Inputs!$B$1+((Inputs!$G$5:$G$120&lt;&gt;"moeda")*(Inputs!$G$5:$G$120&lt;&gt;"acoes")))*INDEX(Inputs!$K$5:$AJ$120,0,MATCH(AD$2,Inputs!$K$4:$AJ$4,0)))+SUMPRODUCT((Inputs!$E$5:$E$120=$B57)*Inputs!$F$5:$F$120*(((Inputs!$G$5:$G$120="moeda")+(Inputs!$G$5:$G$120="acoes"))*Inputs!$B$1+((Inputs!$G$5:$G$120&lt;&gt;"moeda")*(Inputs!$G$5:$G$120&lt;&gt;"acoes")))*INDEX(Inputs!$K$5:$AJ$120,0,MATCH(AD$2,Inputs!$K$4:$AJ$4,0)))))</f>
        <v>20006</v>
      </c>
      <c r="AE57" s="263" t="e">
        <f>IF(ISNA(MATCH(AE$2,Inputs!$K$4:$AJ$4,0)),NA(),IF(SUMPRODUCT((Inputs!$A$5:$A$120=$B57)*ISNUMBER(INDEX(Inputs!$K$5:$AJ$120,0,MATCH(AE$2,Inputs!$K$4:$AJ$4,0))))+SUMPRODUCT((Inputs!$C$5:$C$120=$B57)*ISNUMBER(INDEX(Inputs!$K$5:$AJ$120,0,MATCH(AE$2,Inputs!$K$4:$AJ$4,0))))+SUMPRODUCT((Inputs!$E$5:$E$120=$B57)*ISNUMBER(INDEX(Inputs!$K$5:$AJ$120,0,MATCH(AE$2,Inputs!$K$4:$AJ$4,0))))=0,NA(),SUMPRODUCT((Inputs!$A$5:$A$120=$B57)*Inputs!$B$5:$B$120*(((Inputs!$G$5:$G$120="moeda")+(Inputs!$G$5:$G$120="acoes"))*Inputs!$B$1+((Inputs!$G$5:$G$120&lt;&gt;"moeda")*(Inputs!$G$5:$G$120&lt;&gt;"acoes")))*INDEX(Inputs!$K$5:$AJ$120,0,MATCH(AE$2,Inputs!$K$4:$AJ$4,0)))+SUMPRODUCT((Inputs!$C$5:$C$120=$B57)*Inputs!$D$5:$D$120*(((Inputs!$G$5:$G$120="moeda")+(Inputs!$G$5:$G$120="acoes"))*Inputs!$B$1+((Inputs!$G$5:$G$120&lt;&gt;"moeda")*(Inputs!$G$5:$G$120&lt;&gt;"acoes")))*INDEX(Inputs!$K$5:$AJ$120,0,MATCH(AE$2,Inputs!$K$4:$AJ$4,0)))+SUMPRODUCT((Inputs!$E$5:$E$120=$B57)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57" s="263" t="e">
        <f>IF(ISNA(MATCH(AF$2,Inputs!$K$4:$AJ$4,0)),NA(),IF(SUMPRODUCT((Inputs!$A$5:$A$120=$B57)*ISNUMBER(INDEX(Inputs!$K$5:$AJ$120,0,MATCH(AF$2,Inputs!$K$4:$AJ$4,0))))+SUMPRODUCT((Inputs!$C$5:$C$120=$B57)*ISNUMBER(INDEX(Inputs!$K$5:$AJ$120,0,MATCH(AF$2,Inputs!$K$4:$AJ$4,0))))+SUMPRODUCT((Inputs!$E$5:$E$120=$B57)*ISNUMBER(INDEX(Inputs!$K$5:$AJ$120,0,MATCH(AF$2,Inputs!$K$4:$AJ$4,0))))=0,NA(),SUMPRODUCT((Inputs!$A$5:$A$120=$B57)*Inputs!$B$5:$B$120*(((Inputs!$G$5:$G$120="moeda")+(Inputs!$G$5:$G$120="acoes"))*Inputs!$B$1+((Inputs!$G$5:$G$120&lt;&gt;"moeda")*(Inputs!$G$5:$G$120&lt;&gt;"acoes")))*INDEX(Inputs!$K$5:$AJ$120,0,MATCH(AF$2,Inputs!$K$4:$AJ$4,0)))+SUMPRODUCT((Inputs!$C$5:$C$120=$B57)*Inputs!$D$5:$D$120*(((Inputs!$G$5:$G$120="moeda")+(Inputs!$G$5:$G$120="acoes"))*Inputs!$B$1+((Inputs!$G$5:$G$120&lt;&gt;"moeda")*(Inputs!$G$5:$G$120&lt;&gt;"acoes")))*INDEX(Inputs!$K$5:$AJ$120,0,MATCH(AF$2,Inputs!$K$4:$AJ$4,0)))+SUMPRODUCT((Inputs!$E$5:$E$120=$B57)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57" s="264" t="e">
        <f>SUM(AC57:AF57)</f>
        <v>#N/A</v>
      </c>
      <c r="AH57" s="263">
        <f>IF(ISNA(MATCH(AH$2,Inputs!$K$4:$AJ$4,0)),NA(),IF(SUMPRODUCT((Inputs!$A$5:$A$120=$B57)*ISNUMBER(INDEX(Inputs!$K$5:$AJ$120,0,MATCH(AH$2,Inputs!$K$4:$AJ$4,0))))+SUMPRODUCT((Inputs!$C$5:$C$120=$B57)*ISNUMBER(INDEX(Inputs!$K$5:$AJ$120,0,MATCH(AH$2,Inputs!$K$4:$AJ$4,0))))+SUMPRODUCT((Inputs!$E$5:$E$120=$B57)*ISNUMBER(INDEX(Inputs!$K$5:$AJ$120,0,MATCH(AH$2,Inputs!$K$4:$AJ$4,0))))=0,NA(),SUMPRODUCT((Inputs!$A$5:$A$120=$B57)*Inputs!$B$5:$B$120*(((Inputs!$G$5:$G$120="moeda")+(Inputs!$G$5:$G$120="acoes"))*Inputs!$B$1+((Inputs!$G$5:$G$120&lt;&gt;"moeda")*(Inputs!$G$5:$G$120&lt;&gt;"acoes")))*INDEX(Inputs!$K$5:$AJ$120,0,MATCH(AH$2,Inputs!$K$4:$AJ$4,0)))+SUMPRODUCT((Inputs!$C$5:$C$120=$B57)*Inputs!$D$5:$D$120*(((Inputs!$G$5:$G$120="moeda")+(Inputs!$G$5:$G$120="acoes"))*Inputs!$B$1+((Inputs!$G$5:$G$120&lt;&gt;"moeda")*(Inputs!$G$5:$G$120&lt;&gt;"acoes")))*INDEX(Inputs!$K$5:$AJ$120,0,MATCH(AH$2,Inputs!$K$4:$AJ$4,0)))+SUMPRODUCT((Inputs!$E$5:$E$120=$B57)*Inputs!$F$5:$F$120*(((Inputs!$G$5:$G$120="moeda")+(Inputs!$G$5:$G$120="acoes"))*Inputs!$B$1+((Inputs!$G$5:$G$120&lt;&gt;"moeda")*(Inputs!$G$5:$G$120&lt;&gt;"acoes")))*INDEX(Inputs!$K$5:$AJ$120,0,MATCH(AH$2,Inputs!$K$4:$AJ$4,0)))))</f>
        <v>4539</v>
      </c>
      <c r="AI57" s="263">
        <f>IF(ISNA(MATCH(AI$2,Inputs!$K$4:$AJ$4,0)),NA(),IF(SUMPRODUCT((Inputs!$A$5:$A$120=$B57)*ISNUMBER(INDEX(Inputs!$K$5:$AJ$120,0,MATCH(AI$2,Inputs!$K$4:$AJ$4,0))))+SUMPRODUCT((Inputs!$C$5:$C$120=$B57)*ISNUMBER(INDEX(Inputs!$K$5:$AJ$120,0,MATCH(AI$2,Inputs!$K$4:$AJ$4,0))))+SUMPRODUCT((Inputs!$E$5:$E$120=$B57)*ISNUMBER(INDEX(Inputs!$K$5:$AJ$120,0,MATCH(AI$2,Inputs!$K$4:$AJ$4,0))))=0,NA(),SUMPRODUCT((Inputs!$A$5:$A$120=$B57)*Inputs!$B$5:$B$120*(((Inputs!$G$5:$G$120="moeda")+(Inputs!$G$5:$G$120="acoes"))*Inputs!$B$1+((Inputs!$G$5:$G$120&lt;&gt;"moeda")*(Inputs!$G$5:$G$120&lt;&gt;"acoes")))*INDEX(Inputs!$K$5:$AJ$120,0,MATCH(AI$2,Inputs!$K$4:$AJ$4,0)))+SUMPRODUCT((Inputs!$C$5:$C$120=$B57)*Inputs!$D$5:$D$120*(((Inputs!$G$5:$G$120="moeda")+(Inputs!$G$5:$G$120="acoes"))*Inputs!$B$1+((Inputs!$G$5:$G$120&lt;&gt;"moeda")*(Inputs!$G$5:$G$120&lt;&gt;"acoes")))*INDEX(Inputs!$K$5:$AJ$120,0,MATCH(AI$2,Inputs!$K$4:$AJ$4,0)))+SUMPRODUCT((Inputs!$E$5:$E$120=$B57)*Inputs!$F$5:$F$120*(((Inputs!$G$5:$G$120="moeda")+(Inputs!$G$5:$G$120="acoes"))*Inputs!$B$1+((Inputs!$G$5:$G$120&lt;&gt;"moeda")*(Inputs!$G$5:$G$120&lt;&gt;"acoes")))*INDEX(Inputs!$K$5:$AJ$120,0,MATCH(AI$2,Inputs!$K$4:$AJ$4,0)))))</f>
        <v>4483</v>
      </c>
      <c r="AJ57" s="263">
        <f>IF(ISNA(MATCH(AJ$2,Inputs!$K$4:$AJ$4,0)),NA(),IF(SUMPRODUCT((Inputs!$A$5:$A$120=$B57)*ISNUMBER(INDEX(Inputs!$K$5:$AJ$120,0,MATCH(AJ$2,Inputs!$K$4:$AJ$4,0))))+SUMPRODUCT((Inputs!$C$5:$C$120=$B57)*ISNUMBER(INDEX(Inputs!$K$5:$AJ$120,0,MATCH(AJ$2,Inputs!$K$4:$AJ$4,0))))+SUMPRODUCT((Inputs!$E$5:$E$120=$B57)*ISNUMBER(INDEX(Inputs!$K$5:$AJ$120,0,MATCH(AJ$2,Inputs!$K$4:$AJ$4,0))))=0,NA(),SUMPRODUCT((Inputs!$A$5:$A$120=$B57)*Inputs!$B$5:$B$120*(((Inputs!$G$5:$G$120="moeda")+(Inputs!$G$5:$G$120="acoes"))*Inputs!$B$1+((Inputs!$G$5:$G$120&lt;&gt;"moeda")*(Inputs!$G$5:$G$120&lt;&gt;"acoes")))*INDEX(Inputs!$K$5:$AJ$120,0,MATCH(AJ$2,Inputs!$K$4:$AJ$4,0)))+SUMPRODUCT((Inputs!$C$5:$C$120=$B57)*Inputs!$D$5:$D$120*(((Inputs!$G$5:$G$120="moeda")+(Inputs!$G$5:$G$120="acoes"))*Inputs!$B$1+((Inputs!$G$5:$G$120&lt;&gt;"moeda")*(Inputs!$G$5:$G$120&lt;&gt;"acoes")))*INDEX(Inputs!$K$5:$AJ$120,0,MATCH(AJ$2,Inputs!$K$4:$AJ$4,0)))+SUMPRODUCT((Inputs!$E$5:$E$120=$B57)*Inputs!$F$5:$F$120*(((Inputs!$G$5:$G$120="moeda")+(Inputs!$G$5:$G$120="acoes"))*Inputs!$B$1+((Inputs!$G$5:$G$120&lt;&gt;"moeda")*(Inputs!$G$5:$G$120&lt;&gt;"acoes")))*INDEX(Inputs!$K$5:$AJ$120,0,MATCH(AJ$2,Inputs!$K$4:$AJ$4,0)))))</f>
        <v>6949</v>
      </c>
      <c r="AK57" s="263">
        <f>IF(ISNA(MATCH(AK$2,Inputs!$K$4:$AJ$4,0)),NA(),IF(SUMPRODUCT((Inputs!$A$5:$A$120=$B57)*ISNUMBER(INDEX(Inputs!$K$5:$AJ$120,0,MATCH(AK$2,Inputs!$K$4:$AJ$4,0))))+SUMPRODUCT((Inputs!$C$5:$C$120=$B57)*ISNUMBER(INDEX(Inputs!$K$5:$AJ$120,0,MATCH(AK$2,Inputs!$K$4:$AJ$4,0))))+SUMPRODUCT((Inputs!$E$5:$E$120=$B57)*ISNUMBER(INDEX(Inputs!$K$5:$AJ$120,0,MATCH(AK$2,Inputs!$K$4:$AJ$4,0))))=0,NA(),SUMPRODUCT((Inputs!$A$5:$A$120=$B57)*Inputs!$B$5:$B$120*(((Inputs!$G$5:$G$120="moeda")+(Inputs!$G$5:$G$120="acoes"))*Inputs!$B$1+((Inputs!$G$5:$G$120&lt;&gt;"moeda")*(Inputs!$G$5:$G$120&lt;&gt;"acoes")))*INDEX(Inputs!$K$5:$AJ$120,0,MATCH(AK$2,Inputs!$K$4:$AJ$4,0)))+SUMPRODUCT((Inputs!$C$5:$C$120=$B57)*Inputs!$D$5:$D$120*(((Inputs!$G$5:$G$120="moeda")+(Inputs!$G$5:$G$120="acoes"))*Inputs!$B$1+((Inputs!$G$5:$G$120&lt;&gt;"moeda")*(Inputs!$G$5:$G$120&lt;&gt;"acoes")))*INDEX(Inputs!$K$5:$AJ$120,0,MATCH(AK$2,Inputs!$K$4:$AJ$4,0)))+SUMPRODUCT((Inputs!$E$5:$E$120=$B57)*Inputs!$F$5:$F$120*(((Inputs!$G$5:$G$120="moeda")+(Inputs!$G$5:$G$120="acoes"))*Inputs!$B$1+((Inputs!$G$5:$G$120&lt;&gt;"moeda")*(Inputs!$G$5:$G$120&lt;&gt;"acoes")))*INDEX(Inputs!$K$5:$AJ$120,0,MATCH(AK$2,Inputs!$K$4:$AJ$4,0)))))</f>
        <v>8633</v>
      </c>
      <c r="AL57" s="264">
        <f>SUM(AH57:AK57)</f>
        <v>24604</v>
      </c>
    </row>
    <row r="58">
      <c r="B58" s="46" t="n">
        <v>50</v>
      </c>
      <c r="C58" s="29" t="inlineStr">
        <is>
          <t>Créditos regulatórios (USD)</t>
        </is>
      </c>
      <c r="D58" s="263">
        <f>IF(ISNA(MATCH(D$2,Inputs!$K$4:$AJ$4,0)),NA(),IF(SUMPRODUCT((Inputs!$A$5:$A$120=$B58)*ISNUMBER(INDEX(Inputs!$K$5:$AJ$120,0,MATCH(D$2,Inputs!$K$4:$AJ$4,0))))+SUMPRODUCT((Inputs!$C$5:$C$120=$B58)*ISNUMBER(INDEX(Inputs!$K$5:$AJ$120,0,MATCH(D$2,Inputs!$K$4:$AJ$4,0))))+SUMPRODUCT((Inputs!$E$5:$E$120=$B58)*ISNUMBER(INDEX(Inputs!$K$5:$AJ$120,0,MATCH(D$2,Inputs!$K$4:$AJ$4,0))))=0,NA(),SUMPRODUCT((Inputs!$A$5:$A$120=$B58)*Inputs!$B$5:$B$120*(((Inputs!$G$5:$G$120="moeda")+(Inputs!$G$5:$G$120="acoes"))*Inputs!$B$1+((Inputs!$G$5:$G$120&lt;&gt;"moeda")*(Inputs!$G$5:$G$120&lt;&gt;"acoes")))*INDEX(Inputs!$K$5:$AJ$120,0,MATCH(D$2,Inputs!$K$4:$AJ$4,0)))+SUMPRODUCT((Inputs!$C$5:$C$120=$B58)*Inputs!$D$5:$D$120*(((Inputs!$G$5:$G$120="moeda")+(Inputs!$G$5:$G$120="acoes"))*Inputs!$B$1+((Inputs!$G$5:$G$120&lt;&gt;"moeda")*(Inputs!$G$5:$G$120&lt;&gt;"acoes")))*INDEX(Inputs!$K$5:$AJ$120,0,MATCH(D$2,Inputs!$K$4:$AJ$4,0)))+SUMPRODUCT((Inputs!$E$5:$E$120=$B58)*Inputs!$F$5:$F$120*(((Inputs!$G$5:$G$120="moeda")+(Inputs!$G$5:$G$120="acoes"))*Inputs!$B$1+((Inputs!$G$5:$G$120&lt;&gt;"moeda")*(Inputs!$G$5:$G$120&lt;&gt;"acoes")))*INDEX(Inputs!$K$5:$AJ$120,0,MATCH(D$2,Inputs!$K$4:$AJ$4,0)))))</f>
        <v>518</v>
      </c>
      <c r="E58" s="263">
        <f>IF(ISNA(MATCH(E$2,Inputs!$K$4:$AJ$4,0)),NA(),IF(SUMPRODUCT((Inputs!$A$5:$A$120=$B58)*ISNUMBER(INDEX(Inputs!$K$5:$AJ$120,0,MATCH(E$2,Inputs!$K$4:$AJ$4,0))))+SUMPRODUCT((Inputs!$C$5:$C$120=$B58)*ISNUMBER(INDEX(Inputs!$K$5:$AJ$120,0,MATCH(E$2,Inputs!$K$4:$AJ$4,0))))+SUMPRODUCT((Inputs!$E$5:$E$120=$B58)*ISNUMBER(INDEX(Inputs!$K$5:$AJ$120,0,MATCH(E$2,Inputs!$K$4:$AJ$4,0))))=0,NA(),SUMPRODUCT((Inputs!$A$5:$A$120=$B58)*Inputs!$B$5:$B$120*(((Inputs!$G$5:$G$120="moeda")+(Inputs!$G$5:$G$120="acoes"))*Inputs!$B$1+((Inputs!$G$5:$G$120&lt;&gt;"moeda")*(Inputs!$G$5:$G$120&lt;&gt;"acoes")))*INDEX(Inputs!$K$5:$AJ$120,0,MATCH(E$2,Inputs!$K$4:$AJ$4,0)))+SUMPRODUCT((Inputs!$C$5:$C$120=$B58)*Inputs!$D$5:$D$120*(((Inputs!$G$5:$G$120="moeda")+(Inputs!$G$5:$G$120="acoes"))*Inputs!$B$1+((Inputs!$G$5:$G$120&lt;&gt;"moeda")*(Inputs!$G$5:$G$120&lt;&gt;"acoes")))*INDEX(Inputs!$K$5:$AJ$120,0,MATCH(E$2,Inputs!$K$4:$AJ$4,0)))+SUMPRODUCT((Inputs!$E$5:$E$120=$B58)*Inputs!$F$5:$F$120*(((Inputs!$G$5:$G$120="moeda")+(Inputs!$G$5:$G$120="acoes"))*Inputs!$B$1+((Inputs!$G$5:$G$120&lt;&gt;"moeda")*(Inputs!$G$5:$G$120&lt;&gt;"acoes")))*INDEX(Inputs!$K$5:$AJ$120,0,MATCH(E$2,Inputs!$K$4:$AJ$4,0)))))</f>
        <v>354</v>
      </c>
      <c r="F58" s="263">
        <f>IF(ISNA(MATCH(F$2,Inputs!$K$4:$AJ$4,0)),NA(),IF(SUMPRODUCT((Inputs!$A$5:$A$120=$B58)*ISNUMBER(INDEX(Inputs!$K$5:$AJ$120,0,MATCH(F$2,Inputs!$K$4:$AJ$4,0))))+SUMPRODUCT((Inputs!$C$5:$C$120=$B58)*ISNUMBER(INDEX(Inputs!$K$5:$AJ$120,0,MATCH(F$2,Inputs!$K$4:$AJ$4,0))))+SUMPRODUCT((Inputs!$E$5:$E$120=$B58)*ISNUMBER(INDEX(Inputs!$K$5:$AJ$120,0,MATCH(F$2,Inputs!$K$4:$AJ$4,0))))=0,NA(),SUMPRODUCT((Inputs!$A$5:$A$120=$B58)*Inputs!$B$5:$B$120*(((Inputs!$G$5:$G$120="moeda")+(Inputs!$G$5:$G$120="acoes"))*Inputs!$B$1+((Inputs!$G$5:$G$120&lt;&gt;"moeda")*(Inputs!$G$5:$G$120&lt;&gt;"acoes")))*INDEX(Inputs!$K$5:$AJ$120,0,MATCH(F$2,Inputs!$K$4:$AJ$4,0)))+SUMPRODUCT((Inputs!$C$5:$C$120=$B58)*Inputs!$D$5:$D$120*(((Inputs!$G$5:$G$120="moeda")+(Inputs!$G$5:$G$120="acoes"))*Inputs!$B$1+((Inputs!$G$5:$G$120&lt;&gt;"moeda")*(Inputs!$G$5:$G$120&lt;&gt;"acoes")))*INDEX(Inputs!$K$5:$AJ$120,0,MATCH(F$2,Inputs!$K$4:$AJ$4,0)))+SUMPRODUCT((Inputs!$E$5:$E$120=$B58)*Inputs!$F$5:$F$120*(((Inputs!$G$5:$G$120="moeda")+(Inputs!$G$5:$G$120="acoes"))*Inputs!$B$1+((Inputs!$G$5:$G$120&lt;&gt;"moeda")*(Inputs!$G$5:$G$120&lt;&gt;"acoes")))*INDEX(Inputs!$K$5:$AJ$120,0,MATCH(F$2,Inputs!$K$4:$AJ$4,0)))))</f>
        <v>279</v>
      </c>
      <c r="G58" s="263">
        <f>IF(ISNA(MATCH(G$2,Inputs!$K$4:$AJ$4,0)),NA(),IF(SUMPRODUCT((Inputs!$A$5:$A$120=$B58)*ISNUMBER(INDEX(Inputs!$K$5:$AJ$120,0,MATCH(G$2,Inputs!$K$4:$AJ$4,0))))+SUMPRODUCT((Inputs!$C$5:$C$120=$B58)*ISNUMBER(INDEX(Inputs!$K$5:$AJ$120,0,MATCH(G$2,Inputs!$K$4:$AJ$4,0))))+SUMPRODUCT((Inputs!$E$5:$E$120=$B58)*ISNUMBER(INDEX(Inputs!$K$5:$AJ$120,0,MATCH(G$2,Inputs!$K$4:$AJ$4,0))))=0,NA(),SUMPRODUCT((Inputs!$A$5:$A$120=$B58)*Inputs!$B$5:$B$120*(((Inputs!$G$5:$G$120="moeda")+(Inputs!$G$5:$G$120="acoes"))*Inputs!$B$1+((Inputs!$G$5:$G$120&lt;&gt;"moeda")*(Inputs!$G$5:$G$120&lt;&gt;"acoes")))*INDEX(Inputs!$K$5:$AJ$120,0,MATCH(G$2,Inputs!$K$4:$AJ$4,0)))+SUMPRODUCT((Inputs!$C$5:$C$120=$B58)*Inputs!$D$5:$D$120*(((Inputs!$G$5:$G$120="moeda")+(Inputs!$G$5:$G$120="acoes"))*Inputs!$B$1+((Inputs!$G$5:$G$120&lt;&gt;"moeda")*(Inputs!$G$5:$G$120&lt;&gt;"acoes")))*INDEX(Inputs!$K$5:$AJ$120,0,MATCH(G$2,Inputs!$K$4:$AJ$4,0)))+SUMPRODUCT((Inputs!$E$5:$E$120=$B58)*Inputs!$F$5:$F$120*(((Inputs!$G$5:$G$120="moeda")+(Inputs!$G$5:$G$120="acoes"))*Inputs!$B$1+((Inputs!$G$5:$G$120&lt;&gt;"moeda")*(Inputs!$G$5:$G$120&lt;&gt;"acoes")))*INDEX(Inputs!$K$5:$AJ$120,0,MATCH(G$2,Inputs!$K$4:$AJ$4,0)))))</f>
        <v>314</v>
      </c>
      <c r="H58" s="264">
        <f>SUM(D58:G58)</f>
        <v>1465</v>
      </c>
      <c r="I58" s="263">
        <f>IF(ISNA(MATCH(I$2,Inputs!$K$4:$AJ$4,0)),NA(),IF(SUMPRODUCT((Inputs!$A$5:$A$120=$B58)*ISNUMBER(INDEX(Inputs!$K$5:$AJ$120,0,MATCH(I$2,Inputs!$K$4:$AJ$4,0))))+SUMPRODUCT((Inputs!$C$5:$C$120=$B58)*ISNUMBER(INDEX(Inputs!$K$5:$AJ$120,0,MATCH(I$2,Inputs!$K$4:$AJ$4,0))))+SUMPRODUCT((Inputs!$E$5:$E$120=$B58)*ISNUMBER(INDEX(Inputs!$K$5:$AJ$120,0,MATCH(I$2,Inputs!$K$4:$AJ$4,0))))=0,NA(),SUMPRODUCT((Inputs!$A$5:$A$120=$B58)*Inputs!$B$5:$B$120*(((Inputs!$G$5:$G$120="moeda")+(Inputs!$G$5:$G$120="acoes"))*Inputs!$B$1+((Inputs!$G$5:$G$120&lt;&gt;"moeda")*(Inputs!$G$5:$G$120&lt;&gt;"acoes")))*INDEX(Inputs!$K$5:$AJ$120,0,MATCH(I$2,Inputs!$K$4:$AJ$4,0)))+SUMPRODUCT((Inputs!$C$5:$C$120=$B58)*Inputs!$D$5:$D$120*(((Inputs!$G$5:$G$120="moeda")+(Inputs!$G$5:$G$120="acoes"))*Inputs!$B$1+((Inputs!$G$5:$G$120&lt;&gt;"moeda")*(Inputs!$G$5:$G$120&lt;&gt;"acoes")))*INDEX(Inputs!$K$5:$AJ$120,0,MATCH(I$2,Inputs!$K$4:$AJ$4,0)))+SUMPRODUCT((Inputs!$E$5:$E$120=$B58)*Inputs!$F$5:$F$120*(((Inputs!$G$5:$G$120="moeda")+(Inputs!$G$5:$G$120="acoes"))*Inputs!$B$1+((Inputs!$G$5:$G$120&lt;&gt;"moeda")*(Inputs!$G$5:$G$120&lt;&gt;"acoes")))*INDEX(Inputs!$K$5:$AJ$120,0,MATCH(I$2,Inputs!$K$4:$AJ$4,0)))))</f>
        <v>679</v>
      </c>
      <c r="J58" s="263">
        <f>IF(ISNA(MATCH(J$2,Inputs!$K$4:$AJ$4,0)),NA(),IF(SUMPRODUCT((Inputs!$A$5:$A$120=$B58)*ISNUMBER(INDEX(Inputs!$K$5:$AJ$120,0,MATCH(J$2,Inputs!$K$4:$AJ$4,0))))+SUMPRODUCT((Inputs!$C$5:$C$120=$B58)*ISNUMBER(INDEX(Inputs!$K$5:$AJ$120,0,MATCH(J$2,Inputs!$K$4:$AJ$4,0))))+SUMPRODUCT((Inputs!$E$5:$E$120=$B58)*ISNUMBER(INDEX(Inputs!$K$5:$AJ$120,0,MATCH(J$2,Inputs!$K$4:$AJ$4,0))))=0,NA(),SUMPRODUCT((Inputs!$A$5:$A$120=$B58)*Inputs!$B$5:$B$120*(((Inputs!$G$5:$G$120="moeda")+(Inputs!$G$5:$G$120="acoes"))*Inputs!$B$1+((Inputs!$G$5:$G$120&lt;&gt;"moeda")*(Inputs!$G$5:$G$120&lt;&gt;"acoes")))*INDEX(Inputs!$K$5:$AJ$120,0,MATCH(J$2,Inputs!$K$4:$AJ$4,0)))+SUMPRODUCT((Inputs!$C$5:$C$120=$B58)*Inputs!$D$5:$D$120*(((Inputs!$G$5:$G$120="moeda")+(Inputs!$G$5:$G$120="acoes"))*Inputs!$B$1+((Inputs!$G$5:$G$120&lt;&gt;"moeda")*(Inputs!$G$5:$G$120&lt;&gt;"acoes")))*INDEX(Inputs!$K$5:$AJ$120,0,MATCH(J$2,Inputs!$K$4:$AJ$4,0)))+SUMPRODUCT((Inputs!$E$5:$E$120=$B58)*Inputs!$F$5:$F$120*(((Inputs!$G$5:$G$120="moeda")+(Inputs!$G$5:$G$120="acoes"))*Inputs!$B$1+((Inputs!$G$5:$G$120&lt;&gt;"moeda")*(Inputs!$G$5:$G$120&lt;&gt;"acoes")))*INDEX(Inputs!$K$5:$AJ$120,0,MATCH(J$2,Inputs!$K$4:$AJ$4,0)))))</f>
        <v>344</v>
      </c>
      <c r="K58" s="263">
        <f>IF(ISNA(MATCH(K$2,Inputs!$K$4:$AJ$4,0)),NA(),IF(SUMPRODUCT((Inputs!$A$5:$A$120=$B58)*ISNUMBER(INDEX(Inputs!$K$5:$AJ$120,0,MATCH(K$2,Inputs!$K$4:$AJ$4,0))))+SUMPRODUCT((Inputs!$C$5:$C$120=$B58)*ISNUMBER(INDEX(Inputs!$K$5:$AJ$120,0,MATCH(K$2,Inputs!$K$4:$AJ$4,0))))+SUMPRODUCT((Inputs!$E$5:$E$120=$B58)*ISNUMBER(INDEX(Inputs!$K$5:$AJ$120,0,MATCH(K$2,Inputs!$K$4:$AJ$4,0))))=0,NA(),SUMPRODUCT((Inputs!$A$5:$A$120=$B58)*Inputs!$B$5:$B$120*(((Inputs!$G$5:$G$120="moeda")+(Inputs!$G$5:$G$120="acoes"))*Inputs!$B$1+((Inputs!$G$5:$G$120&lt;&gt;"moeda")*(Inputs!$G$5:$G$120&lt;&gt;"acoes")))*INDEX(Inputs!$K$5:$AJ$120,0,MATCH(K$2,Inputs!$K$4:$AJ$4,0)))+SUMPRODUCT((Inputs!$C$5:$C$120=$B58)*Inputs!$D$5:$D$120*(((Inputs!$G$5:$G$120="moeda")+(Inputs!$G$5:$G$120="acoes"))*Inputs!$B$1+((Inputs!$G$5:$G$120&lt;&gt;"moeda")*(Inputs!$G$5:$G$120&lt;&gt;"acoes")))*INDEX(Inputs!$K$5:$AJ$120,0,MATCH(K$2,Inputs!$K$4:$AJ$4,0)))+SUMPRODUCT((Inputs!$E$5:$E$120=$B58)*Inputs!$F$5:$F$120*(((Inputs!$G$5:$G$120="moeda")+(Inputs!$G$5:$G$120="acoes"))*Inputs!$B$1+((Inputs!$G$5:$G$120&lt;&gt;"moeda")*(Inputs!$G$5:$G$120&lt;&gt;"acoes")))*INDEX(Inputs!$K$5:$AJ$120,0,MATCH(K$2,Inputs!$K$4:$AJ$4,0)))))</f>
        <v>286</v>
      </c>
      <c r="L58" s="263">
        <f>IF(ISNA(MATCH(L$2,Inputs!$K$4:$AJ$4,0)),NA(),IF(SUMPRODUCT((Inputs!$A$5:$A$120=$B58)*ISNUMBER(INDEX(Inputs!$K$5:$AJ$120,0,MATCH(L$2,Inputs!$K$4:$AJ$4,0))))+SUMPRODUCT((Inputs!$C$5:$C$120=$B58)*ISNUMBER(INDEX(Inputs!$K$5:$AJ$120,0,MATCH(L$2,Inputs!$K$4:$AJ$4,0))))+SUMPRODUCT((Inputs!$E$5:$E$120=$B58)*ISNUMBER(INDEX(Inputs!$K$5:$AJ$120,0,MATCH(L$2,Inputs!$K$4:$AJ$4,0))))=0,NA(),SUMPRODUCT((Inputs!$A$5:$A$120=$B58)*Inputs!$B$5:$B$120*(((Inputs!$G$5:$G$120="moeda")+(Inputs!$G$5:$G$120="acoes"))*Inputs!$B$1+((Inputs!$G$5:$G$120&lt;&gt;"moeda")*(Inputs!$G$5:$G$120&lt;&gt;"acoes")))*INDEX(Inputs!$K$5:$AJ$120,0,MATCH(L$2,Inputs!$K$4:$AJ$4,0)))+SUMPRODUCT((Inputs!$C$5:$C$120=$B58)*Inputs!$D$5:$D$120*(((Inputs!$G$5:$G$120="moeda")+(Inputs!$G$5:$G$120="acoes"))*Inputs!$B$1+((Inputs!$G$5:$G$120&lt;&gt;"moeda")*(Inputs!$G$5:$G$120&lt;&gt;"acoes")))*INDEX(Inputs!$K$5:$AJ$120,0,MATCH(L$2,Inputs!$K$4:$AJ$4,0)))+SUMPRODUCT((Inputs!$E$5:$E$120=$B58)*Inputs!$F$5:$F$120*(((Inputs!$G$5:$G$120="moeda")+(Inputs!$G$5:$G$120="acoes"))*Inputs!$B$1+((Inputs!$G$5:$G$120&lt;&gt;"moeda")*(Inputs!$G$5:$G$120&lt;&gt;"acoes")))*INDEX(Inputs!$K$5:$AJ$120,0,MATCH(L$2,Inputs!$K$4:$AJ$4,0)))))</f>
        <v>467</v>
      </c>
      <c r="M58" s="264">
        <f>SUM(I58:L58)</f>
        <v>1776</v>
      </c>
      <c r="N58" s="263">
        <f>IF(ISNA(MATCH(N$2,Inputs!$K$4:$AJ$4,0)),NA(),IF(SUMPRODUCT((Inputs!$A$5:$A$120=$B58)*ISNUMBER(INDEX(Inputs!$K$5:$AJ$120,0,MATCH(N$2,Inputs!$K$4:$AJ$4,0))))+SUMPRODUCT((Inputs!$C$5:$C$120=$B58)*ISNUMBER(INDEX(Inputs!$K$5:$AJ$120,0,MATCH(N$2,Inputs!$K$4:$AJ$4,0))))+SUMPRODUCT((Inputs!$E$5:$E$120=$B58)*ISNUMBER(INDEX(Inputs!$K$5:$AJ$120,0,MATCH(N$2,Inputs!$K$4:$AJ$4,0))))=0,NA(),SUMPRODUCT((Inputs!$A$5:$A$120=$B58)*Inputs!$B$5:$B$120*(((Inputs!$G$5:$G$120="moeda")+(Inputs!$G$5:$G$120="acoes"))*Inputs!$B$1+((Inputs!$G$5:$G$120&lt;&gt;"moeda")*(Inputs!$G$5:$G$120&lt;&gt;"acoes")))*INDEX(Inputs!$K$5:$AJ$120,0,MATCH(N$2,Inputs!$K$4:$AJ$4,0)))+SUMPRODUCT((Inputs!$C$5:$C$120=$B58)*Inputs!$D$5:$D$120*(((Inputs!$G$5:$G$120="moeda")+(Inputs!$G$5:$G$120="acoes"))*Inputs!$B$1+((Inputs!$G$5:$G$120&lt;&gt;"moeda")*(Inputs!$G$5:$G$120&lt;&gt;"acoes")))*INDEX(Inputs!$K$5:$AJ$120,0,MATCH(N$2,Inputs!$K$4:$AJ$4,0)))+SUMPRODUCT((Inputs!$E$5:$E$120=$B58)*Inputs!$F$5:$F$120*(((Inputs!$G$5:$G$120="moeda")+(Inputs!$G$5:$G$120="acoes"))*Inputs!$B$1+((Inputs!$G$5:$G$120&lt;&gt;"moeda")*(Inputs!$G$5:$G$120&lt;&gt;"acoes")))*INDEX(Inputs!$K$5:$AJ$120,0,MATCH(N$2,Inputs!$K$4:$AJ$4,0)))))</f>
        <v>521</v>
      </c>
      <c r="O58" s="263">
        <f>IF(ISNA(MATCH(O$2,Inputs!$K$4:$AJ$4,0)),NA(),IF(SUMPRODUCT((Inputs!$A$5:$A$120=$B58)*ISNUMBER(INDEX(Inputs!$K$5:$AJ$120,0,MATCH(O$2,Inputs!$K$4:$AJ$4,0))))+SUMPRODUCT((Inputs!$C$5:$C$120=$B58)*ISNUMBER(INDEX(Inputs!$K$5:$AJ$120,0,MATCH(O$2,Inputs!$K$4:$AJ$4,0))))+SUMPRODUCT((Inputs!$E$5:$E$120=$B58)*ISNUMBER(INDEX(Inputs!$K$5:$AJ$120,0,MATCH(O$2,Inputs!$K$4:$AJ$4,0))))=0,NA(),SUMPRODUCT((Inputs!$A$5:$A$120=$B58)*Inputs!$B$5:$B$120*(((Inputs!$G$5:$G$120="moeda")+(Inputs!$G$5:$G$120="acoes"))*Inputs!$B$1+((Inputs!$G$5:$G$120&lt;&gt;"moeda")*(Inputs!$G$5:$G$120&lt;&gt;"acoes")))*INDEX(Inputs!$K$5:$AJ$120,0,MATCH(O$2,Inputs!$K$4:$AJ$4,0)))+SUMPRODUCT((Inputs!$C$5:$C$120=$B58)*Inputs!$D$5:$D$120*(((Inputs!$G$5:$G$120="moeda")+(Inputs!$G$5:$G$120="acoes"))*Inputs!$B$1+((Inputs!$G$5:$G$120&lt;&gt;"moeda")*(Inputs!$G$5:$G$120&lt;&gt;"acoes")))*INDEX(Inputs!$K$5:$AJ$120,0,MATCH(O$2,Inputs!$K$4:$AJ$4,0)))+SUMPRODUCT((Inputs!$E$5:$E$120=$B58)*Inputs!$F$5:$F$120*(((Inputs!$G$5:$G$120="moeda")+(Inputs!$G$5:$G$120="acoes"))*Inputs!$B$1+((Inputs!$G$5:$G$120&lt;&gt;"moeda")*(Inputs!$G$5:$G$120&lt;&gt;"acoes")))*INDEX(Inputs!$K$5:$AJ$120,0,MATCH(O$2,Inputs!$K$4:$AJ$4,0)))))</f>
        <v>282</v>
      </c>
      <c r="P58" s="263">
        <f>IF(ISNA(MATCH(P$2,Inputs!$K$4:$AJ$4,0)),NA(),IF(SUMPRODUCT((Inputs!$A$5:$A$120=$B58)*ISNUMBER(INDEX(Inputs!$K$5:$AJ$120,0,MATCH(P$2,Inputs!$K$4:$AJ$4,0))))+SUMPRODUCT((Inputs!$C$5:$C$120=$B58)*ISNUMBER(INDEX(Inputs!$K$5:$AJ$120,0,MATCH(P$2,Inputs!$K$4:$AJ$4,0))))+SUMPRODUCT((Inputs!$E$5:$E$120=$B58)*ISNUMBER(INDEX(Inputs!$K$5:$AJ$120,0,MATCH(P$2,Inputs!$K$4:$AJ$4,0))))=0,NA(),SUMPRODUCT((Inputs!$A$5:$A$120=$B58)*Inputs!$B$5:$B$120*(((Inputs!$G$5:$G$120="moeda")+(Inputs!$G$5:$G$120="acoes"))*Inputs!$B$1+((Inputs!$G$5:$G$120&lt;&gt;"moeda")*(Inputs!$G$5:$G$120&lt;&gt;"acoes")))*INDEX(Inputs!$K$5:$AJ$120,0,MATCH(P$2,Inputs!$K$4:$AJ$4,0)))+SUMPRODUCT((Inputs!$C$5:$C$120=$B58)*Inputs!$D$5:$D$120*(((Inputs!$G$5:$G$120="moeda")+(Inputs!$G$5:$G$120="acoes"))*Inputs!$B$1+((Inputs!$G$5:$G$120&lt;&gt;"moeda")*(Inputs!$G$5:$G$120&lt;&gt;"acoes")))*INDEX(Inputs!$K$5:$AJ$120,0,MATCH(P$2,Inputs!$K$4:$AJ$4,0)))+SUMPRODUCT((Inputs!$E$5:$E$120=$B58)*Inputs!$F$5:$F$120*(((Inputs!$G$5:$G$120="moeda")+(Inputs!$G$5:$G$120="acoes"))*Inputs!$B$1+((Inputs!$G$5:$G$120&lt;&gt;"moeda")*(Inputs!$G$5:$G$120&lt;&gt;"acoes")))*INDEX(Inputs!$K$5:$AJ$120,0,MATCH(P$2,Inputs!$K$4:$AJ$4,0)))))</f>
        <v>554</v>
      </c>
      <c r="Q58" s="263">
        <f>IF(ISNA(MATCH(Q$2,Inputs!$K$4:$AJ$4,0)),NA(),IF(SUMPRODUCT((Inputs!$A$5:$A$120=$B58)*ISNUMBER(INDEX(Inputs!$K$5:$AJ$120,0,MATCH(Q$2,Inputs!$K$4:$AJ$4,0))))+SUMPRODUCT((Inputs!$C$5:$C$120=$B58)*ISNUMBER(INDEX(Inputs!$K$5:$AJ$120,0,MATCH(Q$2,Inputs!$K$4:$AJ$4,0))))+SUMPRODUCT((Inputs!$E$5:$E$120=$B58)*ISNUMBER(INDEX(Inputs!$K$5:$AJ$120,0,MATCH(Q$2,Inputs!$K$4:$AJ$4,0))))=0,NA(),SUMPRODUCT((Inputs!$A$5:$A$120=$B58)*Inputs!$B$5:$B$120*(((Inputs!$G$5:$G$120="moeda")+(Inputs!$G$5:$G$120="acoes"))*Inputs!$B$1+((Inputs!$G$5:$G$120&lt;&gt;"moeda")*(Inputs!$G$5:$G$120&lt;&gt;"acoes")))*INDEX(Inputs!$K$5:$AJ$120,0,MATCH(Q$2,Inputs!$K$4:$AJ$4,0)))+SUMPRODUCT((Inputs!$C$5:$C$120=$B58)*Inputs!$D$5:$D$120*(((Inputs!$G$5:$G$120="moeda")+(Inputs!$G$5:$G$120="acoes"))*Inputs!$B$1+((Inputs!$G$5:$G$120&lt;&gt;"moeda")*(Inputs!$G$5:$G$120&lt;&gt;"acoes")))*INDEX(Inputs!$K$5:$AJ$120,0,MATCH(Q$2,Inputs!$K$4:$AJ$4,0)))+SUMPRODUCT((Inputs!$E$5:$E$120=$B58)*Inputs!$F$5:$F$120*(((Inputs!$G$5:$G$120="moeda")+(Inputs!$G$5:$G$120="acoes"))*Inputs!$B$1+((Inputs!$G$5:$G$120&lt;&gt;"moeda")*(Inputs!$G$5:$G$120&lt;&gt;"acoes")))*INDEX(Inputs!$K$5:$AJ$120,0,MATCH(Q$2,Inputs!$K$4:$AJ$4,0)))))</f>
        <v>433</v>
      </c>
      <c r="R58" s="264">
        <f>SUM(N58:Q58)</f>
        <v>1790</v>
      </c>
      <c r="S58" s="263">
        <f>IF(ISNA(MATCH(S$2,Inputs!$K$4:$AJ$4,0)),NA(),IF(SUMPRODUCT((Inputs!$A$5:$A$120=$B58)*ISNUMBER(INDEX(Inputs!$K$5:$AJ$120,0,MATCH(S$2,Inputs!$K$4:$AJ$4,0))))+SUMPRODUCT((Inputs!$C$5:$C$120=$B58)*ISNUMBER(INDEX(Inputs!$K$5:$AJ$120,0,MATCH(S$2,Inputs!$K$4:$AJ$4,0))))+SUMPRODUCT((Inputs!$E$5:$E$120=$B58)*ISNUMBER(INDEX(Inputs!$K$5:$AJ$120,0,MATCH(S$2,Inputs!$K$4:$AJ$4,0))))=0,NA(),SUMPRODUCT((Inputs!$A$5:$A$120=$B58)*Inputs!$B$5:$B$120*(((Inputs!$G$5:$G$120="moeda")+(Inputs!$G$5:$G$120="acoes"))*Inputs!$B$1+((Inputs!$G$5:$G$120&lt;&gt;"moeda")*(Inputs!$G$5:$G$120&lt;&gt;"acoes")))*INDEX(Inputs!$K$5:$AJ$120,0,MATCH(S$2,Inputs!$K$4:$AJ$4,0)))+SUMPRODUCT((Inputs!$C$5:$C$120=$B58)*Inputs!$D$5:$D$120*(((Inputs!$G$5:$G$120="moeda")+(Inputs!$G$5:$G$120="acoes"))*Inputs!$B$1+((Inputs!$G$5:$G$120&lt;&gt;"moeda")*(Inputs!$G$5:$G$120&lt;&gt;"acoes")))*INDEX(Inputs!$K$5:$AJ$120,0,MATCH(S$2,Inputs!$K$4:$AJ$4,0)))+SUMPRODUCT((Inputs!$E$5:$E$120=$B58)*Inputs!$F$5:$F$120*(((Inputs!$G$5:$G$120="moeda")+(Inputs!$G$5:$G$120="acoes"))*Inputs!$B$1+((Inputs!$G$5:$G$120&lt;&gt;"moeda")*(Inputs!$G$5:$G$120&lt;&gt;"acoes")))*INDEX(Inputs!$K$5:$AJ$120,0,MATCH(S$2,Inputs!$K$4:$AJ$4,0)))))</f>
        <v>442</v>
      </c>
      <c r="T58" s="263">
        <f>IF(ISNA(MATCH(T$2,Inputs!$K$4:$AJ$4,0)),NA(),IF(SUMPRODUCT((Inputs!$A$5:$A$120=$B58)*ISNUMBER(INDEX(Inputs!$K$5:$AJ$120,0,MATCH(T$2,Inputs!$K$4:$AJ$4,0))))+SUMPRODUCT((Inputs!$C$5:$C$120=$B58)*ISNUMBER(INDEX(Inputs!$K$5:$AJ$120,0,MATCH(T$2,Inputs!$K$4:$AJ$4,0))))+SUMPRODUCT((Inputs!$E$5:$E$120=$B58)*ISNUMBER(INDEX(Inputs!$K$5:$AJ$120,0,MATCH(T$2,Inputs!$K$4:$AJ$4,0))))=0,NA(),SUMPRODUCT((Inputs!$A$5:$A$120=$B58)*Inputs!$B$5:$B$120*(((Inputs!$G$5:$G$120="moeda")+(Inputs!$G$5:$G$120="acoes"))*Inputs!$B$1+((Inputs!$G$5:$G$120&lt;&gt;"moeda")*(Inputs!$G$5:$G$120&lt;&gt;"acoes")))*INDEX(Inputs!$K$5:$AJ$120,0,MATCH(T$2,Inputs!$K$4:$AJ$4,0)))+SUMPRODUCT((Inputs!$C$5:$C$120=$B58)*Inputs!$D$5:$D$120*(((Inputs!$G$5:$G$120="moeda")+(Inputs!$G$5:$G$120="acoes"))*Inputs!$B$1+((Inputs!$G$5:$G$120&lt;&gt;"moeda")*(Inputs!$G$5:$G$120&lt;&gt;"acoes")))*INDEX(Inputs!$K$5:$AJ$120,0,MATCH(T$2,Inputs!$K$4:$AJ$4,0)))+SUMPRODUCT((Inputs!$E$5:$E$120=$B58)*Inputs!$F$5:$F$120*(((Inputs!$G$5:$G$120="moeda")+(Inputs!$G$5:$G$120="acoes"))*Inputs!$B$1+((Inputs!$G$5:$G$120&lt;&gt;"moeda")*(Inputs!$G$5:$G$120&lt;&gt;"acoes")))*INDEX(Inputs!$K$5:$AJ$120,0,MATCH(T$2,Inputs!$K$4:$AJ$4,0)))))</f>
        <v>890</v>
      </c>
      <c r="U58" s="263">
        <f>IF(ISNA(MATCH(U$2,Inputs!$K$4:$AJ$4,0)),NA(),IF(SUMPRODUCT((Inputs!$A$5:$A$120=$B58)*ISNUMBER(INDEX(Inputs!$K$5:$AJ$120,0,MATCH(U$2,Inputs!$K$4:$AJ$4,0))))+SUMPRODUCT((Inputs!$C$5:$C$120=$B58)*ISNUMBER(INDEX(Inputs!$K$5:$AJ$120,0,MATCH(U$2,Inputs!$K$4:$AJ$4,0))))+SUMPRODUCT((Inputs!$E$5:$E$120=$B58)*ISNUMBER(INDEX(Inputs!$K$5:$AJ$120,0,MATCH(U$2,Inputs!$K$4:$AJ$4,0))))=0,NA(),SUMPRODUCT((Inputs!$A$5:$A$120=$B58)*Inputs!$B$5:$B$120*(((Inputs!$G$5:$G$120="moeda")+(Inputs!$G$5:$G$120="acoes"))*Inputs!$B$1+((Inputs!$G$5:$G$120&lt;&gt;"moeda")*(Inputs!$G$5:$G$120&lt;&gt;"acoes")))*INDEX(Inputs!$K$5:$AJ$120,0,MATCH(U$2,Inputs!$K$4:$AJ$4,0)))+SUMPRODUCT((Inputs!$C$5:$C$120=$B58)*Inputs!$D$5:$D$120*(((Inputs!$G$5:$G$120="moeda")+(Inputs!$G$5:$G$120="acoes"))*Inputs!$B$1+((Inputs!$G$5:$G$120&lt;&gt;"moeda")*(Inputs!$G$5:$G$120&lt;&gt;"acoes")))*INDEX(Inputs!$K$5:$AJ$120,0,MATCH(U$2,Inputs!$K$4:$AJ$4,0)))+SUMPRODUCT((Inputs!$E$5:$E$120=$B58)*Inputs!$F$5:$F$120*(((Inputs!$G$5:$G$120="moeda")+(Inputs!$G$5:$G$120="acoes"))*Inputs!$B$1+((Inputs!$G$5:$G$120&lt;&gt;"moeda")*(Inputs!$G$5:$G$120&lt;&gt;"acoes")))*INDEX(Inputs!$K$5:$AJ$120,0,MATCH(U$2,Inputs!$K$4:$AJ$4,0)))))</f>
        <v>739</v>
      </c>
      <c r="V58" s="263">
        <f>IF(ISNA(MATCH(V$2,Inputs!$K$4:$AJ$4,0)),NA(),IF(SUMPRODUCT((Inputs!$A$5:$A$120=$B58)*ISNUMBER(INDEX(Inputs!$K$5:$AJ$120,0,MATCH(V$2,Inputs!$K$4:$AJ$4,0))))+SUMPRODUCT((Inputs!$C$5:$C$120=$B58)*ISNUMBER(INDEX(Inputs!$K$5:$AJ$120,0,MATCH(V$2,Inputs!$K$4:$AJ$4,0))))+SUMPRODUCT((Inputs!$E$5:$E$120=$B58)*ISNUMBER(INDEX(Inputs!$K$5:$AJ$120,0,MATCH(V$2,Inputs!$K$4:$AJ$4,0))))=0,NA(),SUMPRODUCT((Inputs!$A$5:$A$120=$B58)*Inputs!$B$5:$B$120*(((Inputs!$G$5:$G$120="moeda")+(Inputs!$G$5:$G$120="acoes"))*Inputs!$B$1+((Inputs!$G$5:$G$120&lt;&gt;"moeda")*(Inputs!$G$5:$G$120&lt;&gt;"acoes")))*INDEX(Inputs!$K$5:$AJ$120,0,MATCH(V$2,Inputs!$K$4:$AJ$4,0)))+SUMPRODUCT((Inputs!$C$5:$C$120=$B58)*Inputs!$D$5:$D$120*(((Inputs!$G$5:$G$120="moeda")+(Inputs!$G$5:$G$120="acoes"))*Inputs!$B$1+((Inputs!$G$5:$G$120&lt;&gt;"moeda")*(Inputs!$G$5:$G$120&lt;&gt;"acoes")))*INDEX(Inputs!$K$5:$AJ$120,0,MATCH(V$2,Inputs!$K$4:$AJ$4,0)))+SUMPRODUCT((Inputs!$E$5:$E$120=$B58)*Inputs!$F$5:$F$120*(((Inputs!$G$5:$G$120="moeda")+(Inputs!$G$5:$G$120="acoes"))*Inputs!$B$1+((Inputs!$G$5:$G$120&lt;&gt;"moeda")*(Inputs!$G$5:$G$120&lt;&gt;"acoes")))*INDEX(Inputs!$K$5:$AJ$120,0,MATCH(V$2,Inputs!$K$4:$AJ$4,0)))))</f>
        <v>692</v>
      </c>
      <c r="W58" s="264">
        <f>SUM(S58:V58)</f>
        <v>2763</v>
      </c>
      <c r="X58" s="263">
        <f>IF(ISNA(MATCH(X$2,Inputs!$K$4:$AJ$4,0)),NA(),IF(SUMPRODUCT((Inputs!$A$5:$A$120=$B58)*ISNUMBER(INDEX(Inputs!$K$5:$AJ$120,0,MATCH(X$2,Inputs!$K$4:$AJ$4,0))))+SUMPRODUCT((Inputs!$C$5:$C$120=$B58)*ISNUMBER(INDEX(Inputs!$K$5:$AJ$120,0,MATCH(X$2,Inputs!$K$4:$AJ$4,0))))+SUMPRODUCT((Inputs!$E$5:$E$120=$B58)*ISNUMBER(INDEX(Inputs!$K$5:$AJ$120,0,MATCH(X$2,Inputs!$K$4:$AJ$4,0))))=0,NA(),SUMPRODUCT((Inputs!$A$5:$A$120=$B58)*Inputs!$B$5:$B$120*(((Inputs!$G$5:$G$120="moeda")+(Inputs!$G$5:$G$120="acoes"))*Inputs!$B$1+((Inputs!$G$5:$G$120&lt;&gt;"moeda")*(Inputs!$G$5:$G$120&lt;&gt;"acoes")))*INDEX(Inputs!$K$5:$AJ$120,0,MATCH(X$2,Inputs!$K$4:$AJ$4,0)))+SUMPRODUCT((Inputs!$C$5:$C$120=$B58)*Inputs!$D$5:$D$120*(((Inputs!$G$5:$G$120="moeda")+(Inputs!$G$5:$G$120="acoes"))*Inputs!$B$1+((Inputs!$G$5:$G$120&lt;&gt;"moeda")*(Inputs!$G$5:$G$120&lt;&gt;"acoes")))*INDEX(Inputs!$K$5:$AJ$120,0,MATCH(X$2,Inputs!$K$4:$AJ$4,0)))+SUMPRODUCT((Inputs!$E$5:$E$120=$B58)*Inputs!$F$5:$F$120*(((Inputs!$G$5:$G$120="moeda")+(Inputs!$G$5:$G$120="acoes"))*Inputs!$B$1+((Inputs!$G$5:$G$120&lt;&gt;"moeda")*(Inputs!$G$5:$G$120&lt;&gt;"acoes")))*INDEX(Inputs!$K$5:$AJ$120,0,MATCH(X$2,Inputs!$K$4:$AJ$4,0)))))</f>
        <v>595</v>
      </c>
      <c r="Y58" s="263">
        <f>IF(ISNA(MATCH(Y$2,Inputs!$K$4:$AJ$4,0)),NA(),IF(SUMPRODUCT((Inputs!$A$5:$A$120=$B58)*ISNUMBER(INDEX(Inputs!$K$5:$AJ$120,0,MATCH(Y$2,Inputs!$K$4:$AJ$4,0))))+SUMPRODUCT((Inputs!$C$5:$C$120=$B58)*ISNUMBER(INDEX(Inputs!$K$5:$AJ$120,0,MATCH(Y$2,Inputs!$K$4:$AJ$4,0))))+SUMPRODUCT((Inputs!$E$5:$E$120=$B58)*ISNUMBER(INDEX(Inputs!$K$5:$AJ$120,0,MATCH(Y$2,Inputs!$K$4:$AJ$4,0))))=0,NA(),SUMPRODUCT((Inputs!$A$5:$A$120=$B58)*Inputs!$B$5:$B$120*(((Inputs!$G$5:$G$120="moeda")+(Inputs!$G$5:$G$120="acoes"))*Inputs!$B$1+((Inputs!$G$5:$G$120&lt;&gt;"moeda")*(Inputs!$G$5:$G$120&lt;&gt;"acoes")))*INDEX(Inputs!$K$5:$AJ$120,0,MATCH(Y$2,Inputs!$K$4:$AJ$4,0)))+SUMPRODUCT((Inputs!$C$5:$C$120=$B58)*Inputs!$D$5:$D$120*(((Inputs!$G$5:$G$120="moeda")+(Inputs!$G$5:$G$120="acoes"))*Inputs!$B$1+((Inputs!$G$5:$G$120&lt;&gt;"moeda")*(Inputs!$G$5:$G$120&lt;&gt;"acoes")))*INDEX(Inputs!$K$5:$AJ$120,0,MATCH(Y$2,Inputs!$K$4:$AJ$4,0)))+SUMPRODUCT((Inputs!$E$5:$E$120=$B58)*Inputs!$F$5:$F$120*(((Inputs!$G$5:$G$120="moeda")+(Inputs!$G$5:$G$120="acoes"))*Inputs!$B$1+((Inputs!$G$5:$G$120&lt;&gt;"moeda")*(Inputs!$G$5:$G$120&lt;&gt;"acoes")))*INDEX(Inputs!$K$5:$AJ$120,0,MATCH(Y$2,Inputs!$K$4:$AJ$4,0)))))</f>
        <v>439</v>
      </c>
      <c r="Z58" s="263">
        <f>IF(ISNA(MATCH(Z$2,Inputs!$K$4:$AJ$4,0)),NA(),IF(SUMPRODUCT((Inputs!$A$5:$A$120=$B58)*ISNUMBER(INDEX(Inputs!$K$5:$AJ$120,0,MATCH(Z$2,Inputs!$K$4:$AJ$4,0))))+SUMPRODUCT((Inputs!$C$5:$C$120=$B58)*ISNUMBER(INDEX(Inputs!$K$5:$AJ$120,0,MATCH(Z$2,Inputs!$K$4:$AJ$4,0))))+SUMPRODUCT((Inputs!$E$5:$E$120=$B58)*ISNUMBER(INDEX(Inputs!$K$5:$AJ$120,0,MATCH(Z$2,Inputs!$K$4:$AJ$4,0))))=0,NA(),SUMPRODUCT((Inputs!$A$5:$A$120=$B58)*Inputs!$B$5:$B$120*(((Inputs!$G$5:$G$120="moeda")+(Inputs!$G$5:$G$120="acoes"))*Inputs!$B$1+((Inputs!$G$5:$G$120&lt;&gt;"moeda")*(Inputs!$G$5:$G$120&lt;&gt;"acoes")))*INDEX(Inputs!$K$5:$AJ$120,0,MATCH(Z$2,Inputs!$K$4:$AJ$4,0)))+SUMPRODUCT((Inputs!$C$5:$C$120=$B58)*Inputs!$D$5:$D$120*(((Inputs!$G$5:$G$120="moeda")+(Inputs!$G$5:$G$120="acoes"))*Inputs!$B$1+((Inputs!$G$5:$G$120&lt;&gt;"moeda")*(Inputs!$G$5:$G$120&lt;&gt;"acoes")))*INDEX(Inputs!$K$5:$AJ$120,0,MATCH(Z$2,Inputs!$K$4:$AJ$4,0)))+SUMPRODUCT((Inputs!$E$5:$E$120=$B58)*Inputs!$F$5:$F$120*(((Inputs!$G$5:$G$120="moeda")+(Inputs!$G$5:$G$120="acoes"))*Inputs!$B$1+((Inputs!$G$5:$G$120&lt;&gt;"moeda")*(Inputs!$G$5:$G$120&lt;&gt;"acoes")))*INDEX(Inputs!$K$5:$AJ$120,0,MATCH(Z$2,Inputs!$K$4:$AJ$4,0)))))</f>
        <v>417</v>
      </c>
      <c r="AA58" s="263">
        <f>IF(ISNA(MATCH(AA$2,Inputs!$K$4:$AJ$4,0)),NA(),IF(SUMPRODUCT((Inputs!$A$5:$A$120=$B58)*ISNUMBER(INDEX(Inputs!$K$5:$AJ$120,0,MATCH(AA$2,Inputs!$K$4:$AJ$4,0))))+SUMPRODUCT((Inputs!$C$5:$C$120=$B58)*ISNUMBER(INDEX(Inputs!$K$5:$AJ$120,0,MATCH(AA$2,Inputs!$K$4:$AJ$4,0))))+SUMPRODUCT((Inputs!$E$5:$E$120=$B58)*ISNUMBER(INDEX(Inputs!$K$5:$AJ$120,0,MATCH(AA$2,Inputs!$K$4:$AJ$4,0))))=0,NA(),SUMPRODUCT((Inputs!$A$5:$A$120=$B58)*Inputs!$B$5:$B$120*(((Inputs!$G$5:$G$120="moeda")+(Inputs!$G$5:$G$120="acoes"))*Inputs!$B$1+((Inputs!$G$5:$G$120&lt;&gt;"moeda")*(Inputs!$G$5:$G$120&lt;&gt;"acoes")))*INDEX(Inputs!$K$5:$AJ$120,0,MATCH(AA$2,Inputs!$K$4:$AJ$4,0)))+SUMPRODUCT((Inputs!$C$5:$C$120=$B58)*Inputs!$D$5:$D$120*(((Inputs!$G$5:$G$120="moeda")+(Inputs!$G$5:$G$120="acoes"))*Inputs!$B$1+((Inputs!$G$5:$G$120&lt;&gt;"moeda")*(Inputs!$G$5:$G$120&lt;&gt;"acoes")))*INDEX(Inputs!$K$5:$AJ$120,0,MATCH(AA$2,Inputs!$K$4:$AJ$4,0)))+SUMPRODUCT((Inputs!$E$5:$E$120=$B58)*Inputs!$F$5:$F$120*(((Inputs!$G$5:$G$120="moeda")+(Inputs!$G$5:$G$120="acoes"))*Inputs!$B$1+((Inputs!$G$5:$G$120&lt;&gt;"moeda")*(Inputs!$G$5:$G$120&lt;&gt;"acoes")))*INDEX(Inputs!$K$5:$AJ$120,0,MATCH(AA$2,Inputs!$K$4:$AJ$4,0)))))</f>
        <v>542</v>
      </c>
      <c r="AB58" s="264">
        <f>SUM(X58:AA58)</f>
        <v>1993</v>
      </c>
      <c r="AC58" s="263">
        <f>IF(ISNA(MATCH(AC$2,Inputs!$K$4:$AJ$4,0)),NA(),IF(SUMPRODUCT((Inputs!$A$5:$A$120=$B58)*ISNUMBER(INDEX(Inputs!$K$5:$AJ$120,0,MATCH(AC$2,Inputs!$K$4:$AJ$4,0))))+SUMPRODUCT((Inputs!$C$5:$C$120=$B58)*ISNUMBER(INDEX(Inputs!$K$5:$AJ$120,0,MATCH(AC$2,Inputs!$K$4:$AJ$4,0))))+SUMPRODUCT((Inputs!$E$5:$E$120=$B58)*ISNUMBER(INDEX(Inputs!$K$5:$AJ$120,0,MATCH(AC$2,Inputs!$K$4:$AJ$4,0))))=0,NA(),SUMPRODUCT((Inputs!$A$5:$A$120=$B58)*Inputs!$B$5:$B$120*(((Inputs!$G$5:$G$120="moeda")+(Inputs!$G$5:$G$120="acoes"))*Inputs!$B$1+((Inputs!$G$5:$G$120&lt;&gt;"moeda")*(Inputs!$G$5:$G$120&lt;&gt;"acoes")))*INDEX(Inputs!$K$5:$AJ$120,0,MATCH(AC$2,Inputs!$K$4:$AJ$4,0)))+SUMPRODUCT((Inputs!$C$5:$C$120=$B58)*Inputs!$D$5:$D$120*(((Inputs!$G$5:$G$120="moeda")+(Inputs!$G$5:$G$120="acoes"))*Inputs!$B$1+((Inputs!$G$5:$G$120&lt;&gt;"moeda")*(Inputs!$G$5:$G$120&lt;&gt;"acoes")))*INDEX(Inputs!$K$5:$AJ$120,0,MATCH(AC$2,Inputs!$K$4:$AJ$4,0)))+SUMPRODUCT((Inputs!$E$5:$E$120=$B58)*Inputs!$F$5:$F$120*(((Inputs!$G$5:$G$120="moeda")+(Inputs!$G$5:$G$120="acoes"))*Inputs!$B$1+((Inputs!$G$5:$G$120&lt;&gt;"moeda")*(Inputs!$G$5:$G$120&lt;&gt;"acoes")))*INDEX(Inputs!$K$5:$AJ$120,0,MATCH(AC$2,Inputs!$K$4:$AJ$4,0)))))</f>
        <v>380</v>
      </c>
      <c r="AD58" s="263">
        <f>IF(ISNA(MATCH(AD$2,Inputs!$K$4:$AJ$4,0)),NA(),IF(SUMPRODUCT((Inputs!$A$5:$A$120=$B58)*ISNUMBER(INDEX(Inputs!$K$5:$AJ$120,0,MATCH(AD$2,Inputs!$K$4:$AJ$4,0))))+SUMPRODUCT((Inputs!$C$5:$C$120=$B58)*ISNUMBER(INDEX(Inputs!$K$5:$AJ$120,0,MATCH(AD$2,Inputs!$K$4:$AJ$4,0))))+SUMPRODUCT((Inputs!$E$5:$E$120=$B58)*ISNUMBER(INDEX(Inputs!$K$5:$AJ$120,0,MATCH(AD$2,Inputs!$K$4:$AJ$4,0))))=0,NA(),SUMPRODUCT((Inputs!$A$5:$A$120=$B58)*Inputs!$B$5:$B$120*(((Inputs!$G$5:$G$120="moeda")+(Inputs!$G$5:$G$120="acoes"))*Inputs!$B$1+((Inputs!$G$5:$G$120&lt;&gt;"moeda")*(Inputs!$G$5:$G$120&lt;&gt;"acoes")))*INDEX(Inputs!$K$5:$AJ$120,0,MATCH(AD$2,Inputs!$K$4:$AJ$4,0)))+SUMPRODUCT((Inputs!$C$5:$C$120=$B58)*Inputs!$D$5:$D$120*(((Inputs!$G$5:$G$120="moeda")+(Inputs!$G$5:$G$120="acoes"))*Inputs!$B$1+((Inputs!$G$5:$G$120&lt;&gt;"moeda")*(Inputs!$G$5:$G$120&lt;&gt;"acoes")))*INDEX(Inputs!$K$5:$AJ$120,0,MATCH(AD$2,Inputs!$K$4:$AJ$4,0)))+SUMPRODUCT((Inputs!$E$5:$E$120=$B58)*Inputs!$F$5:$F$120*(((Inputs!$G$5:$G$120="moeda")+(Inputs!$G$5:$G$120="acoes"))*Inputs!$B$1+((Inputs!$G$5:$G$120&lt;&gt;"moeda")*(Inputs!$G$5:$G$120&lt;&gt;"acoes")))*INDEX(Inputs!$K$5:$AJ$120,0,MATCH(AD$2,Inputs!$K$4:$AJ$4,0)))))</f>
        <v>146</v>
      </c>
      <c r="AE58" s="263" t="e">
        <f>IF(ISNA(MATCH(AE$2,Inputs!$K$4:$AJ$4,0)),NA(),IF(SUMPRODUCT((Inputs!$A$5:$A$120=$B58)*ISNUMBER(INDEX(Inputs!$K$5:$AJ$120,0,MATCH(AE$2,Inputs!$K$4:$AJ$4,0))))+SUMPRODUCT((Inputs!$C$5:$C$120=$B58)*ISNUMBER(INDEX(Inputs!$K$5:$AJ$120,0,MATCH(AE$2,Inputs!$K$4:$AJ$4,0))))+SUMPRODUCT((Inputs!$E$5:$E$120=$B58)*ISNUMBER(INDEX(Inputs!$K$5:$AJ$120,0,MATCH(AE$2,Inputs!$K$4:$AJ$4,0))))=0,NA(),SUMPRODUCT((Inputs!$A$5:$A$120=$B58)*Inputs!$B$5:$B$120*(((Inputs!$G$5:$G$120="moeda")+(Inputs!$G$5:$G$120="acoes"))*Inputs!$B$1+((Inputs!$G$5:$G$120&lt;&gt;"moeda")*(Inputs!$G$5:$G$120&lt;&gt;"acoes")))*INDEX(Inputs!$K$5:$AJ$120,0,MATCH(AE$2,Inputs!$K$4:$AJ$4,0)))+SUMPRODUCT((Inputs!$C$5:$C$120=$B58)*Inputs!$D$5:$D$120*(((Inputs!$G$5:$G$120="moeda")+(Inputs!$G$5:$G$120="acoes"))*Inputs!$B$1+((Inputs!$G$5:$G$120&lt;&gt;"moeda")*(Inputs!$G$5:$G$120&lt;&gt;"acoes")))*INDEX(Inputs!$K$5:$AJ$120,0,MATCH(AE$2,Inputs!$K$4:$AJ$4,0)))+SUMPRODUCT((Inputs!$E$5:$E$120=$B58)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58" s="263" t="e">
        <f>IF(ISNA(MATCH(AF$2,Inputs!$K$4:$AJ$4,0)),NA(),IF(SUMPRODUCT((Inputs!$A$5:$A$120=$B58)*ISNUMBER(INDEX(Inputs!$K$5:$AJ$120,0,MATCH(AF$2,Inputs!$K$4:$AJ$4,0))))+SUMPRODUCT((Inputs!$C$5:$C$120=$B58)*ISNUMBER(INDEX(Inputs!$K$5:$AJ$120,0,MATCH(AF$2,Inputs!$K$4:$AJ$4,0))))+SUMPRODUCT((Inputs!$E$5:$E$120=$B58)*ISNUMBER(INDEX(Inputs!$K$5:$AJ$120,0,MATCH(AF$2,Inputs!$K$4:$AJ$4,0))))=0,NA(),SUMPRODUCT((Inputs!$A$5:$A$120=$B58)*Inputs!$B$5:$B$120*(((Inputs!$G$5:$G$120="moeda")+(Inputs!$G$5:$G$120="acoes"))*Inputs!$B$1+((Inputs!$G$5:$G$120&lt;&gt;"moeda")*(Inputs!$G$5:$G$120&lt;&gt;"acoes")))*INDEX(Inputs!$K$5:$AJ$120,0,MATCH(AF$2,Inputs!$K$4:$AJ$4,0)))+SUMPRODUCT((Inputs!$C$5:$C$120=$B58)*Inputs!$D$5:$D$120*(((Inputs!$G$5:$G$120="moeda")+(Inputs!$G$5:$G$120="acoes"))*Inputs!$B$1+((Inputs!$G$5:$G$120&lt;&gt;"moeda")*(Inputs!$G$5:$G$120&lt;&gt;"acoes")))*INDEX(Inputs!$K$5:$AJ$120,0,MATCH(AF$2,Inputs!$K$4:$AJ$4,0)))+SUMPRODUCT((Inputs!$E$5:$E$120=$B58)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58" s="264" t="e">
        <f>SUM(AC58:AF58)</f>
        <v>#N/A</v>
      </c>
      <c r="AH58" s="263">
        <f>IF(ISNA(MATCH(AH$2,Inputs!$K$4:$AJ$4,0)),NA(),IF(SUMPRODUCT((Inputs!$A$5:$A$120=$B58)*ISNUMBER(INDEX(Inputs!$K$5:$AJ$120,0,MATCH(AH$2,Inputs!$K$4:$AJ$4,0))))+SUMPRODUCT((Inputs!$C$5:$C$120=$B58)*ISNUMBER(INDEX(Inputs!$K$5:$AJ$120,0,MATCH(AH$2,Inputs!$K$4:$AJ$4,0))))+SUMPRODUCT((Inputs!$E$5:$E$120=$B58)*ISNUMBER(INDEX(Inputs!$K$5:$AJ$120,0,MATCH(AH$2,Inputs!$K$4:$AJ$4,0))))=0,NA(),SUMPRODUCT((Inputs!$A$5:$A$120=$B58)*Inputs!$B$5:$B$120*(((Inputs!$G$5:$G$120="moeda")+(Inputs!$G$5:$G$120="acoes"))*Inputs!$B$1+((Inputs!$G$5:$G$120&lt;&gt;"moeda")*(Inputs!$G$5:$G$120&lt;&gt;"acoes")))*INDEX(Inputs!$K$5:$AJ$120,0,MATCH(AH$2,Inputs!$K$4:$AJ$4,0)))+SUMPRODUCT((Inputs!$C$5:$C$120=$B58)*Inputs!$D$5:$D$120*(((Inputs!$G$5:$G$120="moeda")+(Inputs!$G$5:$G$120="acoes"))*Inputs!$B$1+((Inputs!$G$5:$G$120&lt;&gt;"moeda")*(Inputs!$G$5:$G$120&lt;&gt;"acoes")))*INDEX(Inputs!$K$5:$AJ$120,0,MATCH(AH$2,Inputs!$K$4:$AJ$4,0)))+SUMPRODUCT((Inputs!$E$5:$E$120=$B58)*Inputs!$F$5:$F$120*(((Inputs!$G$5:$G$120="moeda")+(Inputs!$G$5:$G$120="acoes"))*Inputs!$B$1+((Inputs!$G$5:$G$120&lt;&gt;"moeda")*(Inputs!$G$5:$G$120&lt;&gt;"acoes")))*INDEX(Inputs!$K$5:$AJ$120,0,MATCH(AH$2,Inputs!$K$4:$AJ$4,0)))))</f>
        <v>354</v>
      </c>
      <c r="AI58" s="263">
        <f>IF(ISNA(MATCH(AI$2,Inputs!$K$4:$AJ$4,0)),NA(),IF(SUMPRODUCT((Inputs!$A$5:$A$120=$B58)*ISNUMBER(INDEX(Inputs!$K$5:$AJ$120,0,MATCH(AI$2,Inputs!$K$4:$AJ$4,0))))+SUMPRODUCT((Inputs!$C$5:$C$120=$B58)*ISNUMBER(INDEX(Inputs!$K$5:$AJ$120,0,MATCH(AI$2,Inputs!$K$4:$AJ$4,0))))+SUMPRODUCT((Inputs!$E$5:$E$120=$B58)*ISNUMBER(INDEX(Inputs!$K$5:$AJ$120,0,MATCH(AI$2,Inputs!$K$4:$AJ$4,0))))=0,NA(),SUMPRODUCT((Inputs!$A$5:$A$120=$B58)*Inputs!$B$5:$B$120*(((Inputs!$G$5:$G$120="moeda")+(Inputs!$G$5:$G$120="acoes"))*Inputs!$B$1+((Inputs!$G$5:$G$120&lt;&gt;"moeda")*(Inputs!$G$5:$G$120&lt;&gt;"acoes")))*INDEX(Inputs!$K$5:$AJ$120,0,MATCH(AI$2,Inputs!$K$4:$AJ$4,0)))+SUMPRODUCT((Inputs!$C$5:$C$120=$B58)*Inputs!$D$5:$D$120*(((Inputs!$G$5:$G$120="moeda")+(Inputs!$G$5:$G$120="acoes"))*Inputs!$B$1+((Inputs!$G$5:$G$120&lt;&gt;"moeda")*(Inputs!$G$5:$G$120&lt;&gt;"acoes")))*INDEX(Inputs!$K$5:$AJ$120,0,MATCH(AI$2,Inputs!$K$4:$AJ$4,0)))+SUMPRODUCT((Inputs!$E$5:$E$120=$B58)*Inputs!$F$5:$F$120*(((Inputs!$G$5:$G$120="moeda")+(Inputs!$G$5:$G$120="acoes"))*Inputs!$B$1+((Inputs!$G$5:$G$120&lt;&gt;"moeda")*(Inputs!$G$5:$G$120&lt;&gt;"acoes")))*INDEX(Inputs!$K$5:$AJ$120,0,MATCH(AI$2,Inputs!$K$4:$AJ$4,0)))))</f>
        <v>428</v>
      </c>
      <c r="AJ58" s="263">
        <f>IF(ISNA(MATCH(AJ$2,Inputs!$K$4:$AJ$4,0)),NA(),IF(SUMPRODUCT((Inputs!$A$5:$A$120=$B58)*ISNUMBER(INDEX(Inputs!$K$5:$AJ$120,0,MATCH(AJ$2,Inputs!$K$4:$AJ$4,0))))+SUMPRODUCT((Inputs!$C$5:$C$120=$B58)*ISNUMBER(INDEX(Inputs!$K$5:$AJ$120,0,MATCH(AJ$2,Inputs!$K$4:$AJ$4,0))))+SUMPRODUCT((Inputs!$E$5:$E$120=$B58)*ISNUMBER(INDEX(Inputs!$K$5:$AJ$120,0,MATCH(AJ$2,Inputs!$K$4:$AJ$4,0))))=0,NA(),SUMPRODUCT((Inputs!$A$5:$A$120=$B58)*Inputs!$B$5:$B$120*(((Inputs!$G$5:$G$120="moeda")+(Inputs!$G$5:$G$120="acoes"))*Inputs!$B$1+((Inputs!$G$5:$G$120&lt;&gt;"moeda")*(Inputs!$G$5:$G$120&lt;&gt;"acoes")))*INDEX(Inputs!$K$5:$AJ$120,0,MATCH(AJ$2,Inputs!$K$4:$AJ$4,0)))+SUMPRODUCT((Inputs!$C$5:$C$120=$B58)*Inputs!$D$5:$D$120*(((Inputs!$G$5:$G$120="moeda")+(Inputs!$G$5:$G$120="acoes"))*Inputs!$B$1+((Inputs!$G$5:$G$120&lt;&gt;"moeda")*(Inputs!$G$5:$G$120&lt;&gt;"acoes")))*INDEX(Inputs!$K$5:$AJ$120,0,MATCH(AJ$2,Inputs!$K$4:$AJ$4,0)))+SUMPRODUCT((Inputs!$E$5:$E$120=$B58)*Inputs!$F$5:$F$120*(((Inputs!$G$5:$G$120="moeda")+(Inputs!$G$5:$G$120="acoes"))*Inputs!$B$1+((Inputs!$G$5:$G$120&lt;&gt;"moeda")*(Inputs!$G$5:$G$120&lt;&gt;"acoes")))*INDEX(Inputs!$K$5:$AJ$120,0,MATCH(AJ$2,Inputs!$K$4:$AJ$4,0)))))</f>
        <v>397</v>
      </c>
      <c r="AK58" s="263">
        <f>IF(ISNA(MATCH(AK$2,Inputs!$K$4:$AJ$4,0)),NA(),IF(SUMPRODUCT((Inputs!$A$5:$A$120=$B58)*ISNUMBER(INDEX(Inputs!$K$5:$AJ$120,0,MATCH(AK$2,Inputs!$K$4:$AJ$4,0))))+SUMPRODUCT((Inputs!$C$5:$C$120=$B58)*ISNUMBER(INDEX(Inputs!$K$5:$AJ$120,0,MATCH(AK$2,Inputs!$K$4:$AJ$4,0))))+SUMPRODUCT((Inputs!$E$5:$E$120=$B58)*ISNUMBER(INDEX(Inputs!$K$5:$AJ$120,0,MATCH(AK$2,Inputs!$K$4:$AJ$4,0))))=0,NA(),SUMPRODUCT((Inputs!$A$5:$A$120=$B58)*Inputs!$B$5:$B$120*(((Inputs!$G$5:$G$120="moeda")+(Inputs!$G$5:$G$120="acoes"))*Inputs!$B$1+((Inputs!$G$5:$G$120&lt;&gt;"moeda")*(Inputs!$G$5:$G$120&lt;&gt;"acoes")))*INDEX(Inputs!$K$5:$AJ$120,0,MATCH(AK$2,Inputs!$K$4:$AJ$4,0)))+SUMPRODUCT((Inputs!$C$5:$C$120=$B58)*Inputs!$D$5:$D$120*(((Inputs!$G$5:$G$120="moeda")+(Inputs!$G$5:$G$120="acoes"))*Inputs!$B$1+((Inputs!$G$5:$G$120&lt;&gt;"moeda")*(Inputs!$G$5:$G$120&lt;&gt;"acoes")))*INDEX(Inputs!$K$5:$AJ$120,0,MATCH(AK$2,Inputs!$K$4:$AJ$4,0)))+SUMPRODUCT((Inputs!$E$5:$E$120=$B58)*Inputs!$F$5:$F$120*(((Inputs!$G$5:$G$120="moeda")+(Inputs!$G$5:$G$120="acoes"))*Inputs!$B$1+((Inputs!$G$5:$G$120&lt;&gt;"moeda")*(Inputs!$G$5:$G$120&lt;&gt;"acoes")))*INDEX(Inputs!$K$5:$AJ$120,0,MATCH(AK$2,Inputs!$K$4:$AJ$4,0)))))</f>
        <v>401</v>
      </c>
      <c r="AL58" s="264">
        <f>SUM(AH58:AK58)</f>
        <v>1580</v>
      </c>
    </row>
    <row r="59">
      <c r="B59" s="46" t="n">
        <v>51</v>
      </c>
      <c r="C59" s="29" t="inlineStr">
        <is>
          <t>Leasing automotivo (USD)</t>
        </is>
      </c>
      <c r="D59" s="263">
        <f>IF(ISNA(MATCH(D$2,Inputs!$K$4:$AJ$4,0)),NA(),IF(SUMPRODUCT((Inputs!$A$5:$A$120=$B59)*ISNUMBER(INDEX(Inputs!$K$5:$AJ$120,0,MATCH(D$2,Inputs!$K$4:$AJ$4,0))))+SUMPRODUCT((Inputs!$C$5:$C$120=$B59)*ISNUMBER(INDEX(Inputs!$K$5:$AJ$120,0,MATCH(D$2,Inputs!$K$4:$AJ$4,0))))+SUMPRODUCT((Inputs!$E$5:$E$120=$B59)*ISNUMBER(INDEX(Inputs!$K$5:$AJ$120,0,MATCH(D$2,Inputs!$K$4:$AJ$4,0))))=0,NA(),SUMPRODUCT((Inputs!$A$5:$A$120=$B59)*Inputs!$B$5:$B$120*(((Inputs!$G$5:$G$120="moeda")+(Inputs!$G$5:$G$120="acoes"))*Inputs!$B$1+((Inputs!$G$5:$G$120&lt;&gt;"moeda")*(Inputs!$G$5:$G$120&lt;&gt;"acoes")))*INDEX(Inputs!$K$5:$AJ$120,0,MATCH(D$2,Inputs!$K$4:$AJ$4,0)))+SUMPRODUCT((Inputs!$C$5:$C$120=$B59)*Inputs!$D$5:$D$120*(((Inputs!$G$5:$G$120="moeda")+(Inputs!$G$5:$G$120="acoes"))*Inputs!$B$1+((Inputs!$G$5:$G$120&lt;&gt;"moeda")*(Inputs!$G$5:$G$120&lt;&gt;"acoes")))*INDEX(Inputs!$K$5:$AJ$120,0,MATCH(D$2,Inputs!$K$4:$AJ$4,0)))+SUMPRODUCT((Inputs!$E$5:$E$120=$B59)*Inputs!$F$5:$F$120*(((Inputs!$G$5:$G$120="moeda")+(Inputs!$G$5:$G$120="acoes"))*Inputs!$B$1+((Inputs!$G$5:$G$120&lt;&gt;"moeda")*(Inputs!$G$5:$G$120&lt;&gt;"acoes")))*INDEX(Inputs!$K$5:$AJ$120,0,MATCH(D$2,Inputs!$K$4:$AJ$4,0)))))</f>
        <v>297</v>
      </c>
      <c r="E59" s="263">
        <f>IF(ISNA(MATCH(E$2,Inputs!$K$4:$AJ$4,0)),NA(),IF(SUMPRODUCT((Inputs!$A$5:$A$120=$B59)*ISNUMBER(INDEX(Inputs!$K$5:$AJ$120,0,MATCH(E$2,Inputs!$K$4:$AJ$4,0))))+SUMPRODUCT((Inputs!$C$5:$C$120=$B59)*ISNUMBER(INDEX(Inputs!$K$5:$AJ$120,0,MATCH(E$2,Inputs!$K$4:$AJ$4,0))))+SUMPRODUCT((Inputs!$E$5:$E$120=$B59)*ISNUMBER(INDEX(Inputs!$K$5:$AJ$120,0,MATCH(E$2,Inputs!$K$4:$AJ$4,0))))=0,NA(),SUMPRODUCT((Inputs!$A$5:$A$120=$B59)*Inputs!$B$5:$B$120*(((Inputs!$G$5:$G$120="moeda")+(Inputs!$G$5:$G$120="acoes"))*Inputs!$B$1+((Inputs!$G$5:$G$120&lt;&gt;"moeda")*(Inputs!$G$5:$G$120&lt;&gt;"acoes")))*INDEX(Inputs!$K$5:$AJ$120,0,MATCH(E$2,Inputs!$K$4:$AJ$4,0)))+SUMPRODUCT((Inputs!$C$5:$C$120=$B59)*Inputs!$D$5:$D$120*(((Inputs!$G$5:$G$120="moeda")+(Inputs!$G$5:$G$120="acoes"))*Inputs!$B$1+((Inputs!$G$5:$G$120&lt;&gt;"moeda")*(Inputs!$G$5:$G$120&lt;&gt;"acoes")))*INDEX(Inputs!$K$5:$AJ$120,0,MATCH(E$2,Inputs!$K$4:$AJ$4,0)))+SUMPRODUCT((Inputs!$E$5:$E$120=$B59)*Inputs!$F$5:$F$120*(((Inputs!$G$5:$G$120="moeda")+(Inputs!$G$5:$G$120="acoes"))*Inputs!$B$1+((Inputs!$G$5:$G$120&lt;&gt;"moeda")*(Inputs!$G$5:$G$120&lt;&gt;"acoes")))*INDEX(Inputs!$K$5:$AJ$120,0,MATCH(E$2,Inputs!$K$4:$AJ$4,0)))))</f>
        <v>332</v>
      </c>
      <c r="F59" s="263">
        <f>IF(ISNA(MATCH(F$2,Inputs!$K$4:$AJ$4,0)),NA(),IF(SUMPRODUCT((Inputs!$A$5:$A$120=$B59)*ISNUMBER(INDEX(Inputs!$K$5:$AJ$120,0,MATCH(F$2,Inputs!$K$4:$AJ$4,0))))+SUMPRODUCT((Inputs!$C$5:$C$120=$B59)*ISNUMBER(INDEX(Inputs!$K$5:$AJ$120,0,MATCH(F$2,Inputs!$K$4:$AJ$4,0))))+SUMPRODUCT((Inputs!$E$5:$E$120=$B59)*ISNUMBER(INDEX(Inputs!$K$5:$AJ$120,0,MATCH(F$2,Inputs!$K$4:$AJ$4,0))))=0,NA(),SUMPRODUCT((Inputs!$A$5:$A$120=$B59)*Inputs!$B$5:$B$120*(((Inputs!$G$5:$G$120="moeda")+(Inputs!$G$5:$G$120="acoes"))*Inputs!$B$1+((Inputs!$G$5:$G$120&lt;&gt;"moeda")*(Inputs!$G$5:$G$120&lt;&gt;"acoes")))*INDEX(Inputs!$K$5:$AJ$120,0,MATCH(F$2,Inputs!$K$4:$AJ$4,0)))+SUMPRODUCT((Inputs!$C$5:$C$120=$B59)*Inputs!$D$5:$D$120*(((Inputs!$G$5:$G$120="moeda")+(Inputs!$G$5:$G$120="acoes"))*Inputs!$B$1+((Inputs!$G$5:$G$120&lt;&gt;"moeda")*(Inputs!$G$5:$G$120&lt;&gt;"acoes")))*INDEX(Inputs!$K$5:$AJ$120,0,MATCH(F$2,Inputs!$K$4:$AJ$4,0)))+SUMPRODUCT((Inputs!$E$5:$E$120=$B59)*Inputs!$F$5:$F$120*(((Inputs!$G$5:$G$120="moeda")+(Inputs!$G$5:$G$120="acoes"))*Inputs!$B$1+((Inputs!$G$5:$G$120&lt;&gt;"moeda")*(Inputs!$G$5:$G$120&lt;&gt;"acoes")))*INDEX(Inputs!$K$5:$AJ$120,0,MATCH(F$2,Inputs!$K$4:$AJ$4,0)))))</f>
        <v>385</v>
      </c>
      <c r="G59" s="263">
        <f>IF(ISNA(MATCH(G$2,Inputs!$K$4:$AJ$4,0)),NA(),IF(SUMPRODUCT((Inputs!$A$5:$A$120=$B59)*ISNUMBER(INDEX(Inputs!$K$5:$AJ$120,0,MATCH(G$2,Inputs!$K$4:$AJ$4,0))))+SUMPRODUCT((Inputs!$C$5:$C$120=$B59)*ISNUMBER(INDEX(Inputs!$K$5:$AJ$120,0,MATCH(G$2,Inputs!$K$4:$AJ$4,0))))+SUMPRODUCT((Inputs!$E$5:$E$120=$B59)*ISNUMBER(INDEX(Inputs!$K$5:$AJ$120,0,MATCH(G$2,Inputs!$K$4:$AJ$4,0))))=0,NA(),SUMPRODUCT((Inputs!$A$5:$A$120=$B59)*Inputs!$B$5:$B$120*(((Inputs!$G$5:$G$120="moeda")+(Inputs!$G$5:$G$120="acoes"))*Inputs!$B$1+((Inputs!$G$5:$G$120&lt;&gt;"moeda")*(Inputs!$G$5:$G$120&lt;&gt;"acoes")))*INDEX(Inputs!$K$5:$AJ$120,0,MATCH(G$2,Inputs!$K$4:$AJ$4,0)))+SUMPRODUCT((Inputs!$C$5:$C$120=$B59)*Inputs!$D$5:$D$120*(((Inputs!$G$5:$G$120="moeda")+(Inputs!$G$5:$G$120="acoes"))*Inputs!$B$1+((Inputs!$G$5:$G$120&lt;&gt;"moeda")*(Inputs!$G$5:$G$120&lt;&gt;"acoes")))*INDEX(Inputs!$K$5:$AJ$120,0,MATCH(G$2,Inputs!$K$4:$AJ$4,0)))+SUMPRODUCT((Inputs!$E$5:$E$120=$B59)*Inputs!$F$5:$F$120*(((Inputs!$G$5:$G$120="moeda")+(Inputs!$G$5:$G$120="acoes"))*Inputs!$B$1+((Inputs!$G$5:$G$120&lt;&gt;"moeda")*(Inputs!$G$5:$G$120&lt;&gt;"acoes")))*INDEX(Inputs!$K$5:$AJ$120,0,MATCH(G$2,Inputs!$K$4:$AJ$4,0)))))</f>
        <v>628</v>
      </c>
      <c r="H59" s="264">
        <f>SUM(D59:G59)</f>
        <v>1642</v>
      </c>
      <c r="I59" s="263">
        <f>IF(ISNA(MATCH(I$2,Inputs!$K$4:$AJ$4,0)),NA(),IF(SUMPRODUCT((Inputs!$A$5:$A$120=$B59)*ISNUMBER(INDEX(Inputs!$K$5:$AJ$120,0,MATCH(I$2,Inputs!$K$4:$AJ$4,0))))+SUMPRODUCT((Inputs!$C$5:$C$120=$B59)*ISNUMBER(INDEX(Inputs!$K$5:$AJ$120,0,MATCH(I$2,Inputs!$K$4:$AJ$4,0))))+SUMPRODUCT((Inputs!$E$5:$E$120=$B59)*ISNUMBER(INDEX(Inputs!$K$5:$AJ$120,0,MATCH(I$2,Inputs!$K$4:$AJ$4,0))))=0,NA(),SUMPRODUCT((Inputs!$A$5:$A$120=$B59)*Inputs!$B$5:$B$120*(((Inputs!$G$5:$G$120="moeda")+(Inputs!$G$5:$G$120="acoes"))*Inputs!$B$1+((Inputs!$G$5:$G$120&lt;&gt;"moeda")*(Inputs!$G$5:$G$120&lt;&gt;"acoes")))*INDEX(Inputs!$K$5:$AJ$120,0,MATCH(I$2,Inputs!$K$4:$AJ$4,0)))+SUMPRODUCT((Inputs!$C$5:$C$120=$B59)*Inputs!$D$5:$D$120*(((Inputs!$G$5:$G$120="moeda")+(Inputs!$G$5:$G$120="acoes"))*Inputs!$B$1+((Inputs!$G$5:$G$120&lt;&gt;"moeda")*(Inputs!$G$5:$G$120&lt;&gt;"acoes")))*INDEX(Inputs!$K$5:$AJ$120,0,MATCH(I$2,Inputs!$K$4:$AJ$4,0)))+SUMPRODUCT((Inputs!$E$5:$E$120=$B59)*Inputs!$F$5:$F$120*(((Inputs!$G$5:$G$120="moeda")+(Inputs!$G$5:$G$120="acoes"))*Inputs!$B$1+((Inputs!$G$5:$G$120&lt;&gt;"moeda")*(Inputs!$G$5:$G$120&lt;&gt;"acoes")))*INDEX(Inputs!$K$5:$AJ$120,0,MATCH(I$2,Inputs!$K$4:$AJ$4,0)))))</f>
        <v>668</v>
      </c>
      <c r="J59" s="263">
        <f>IF(ISNA(MATCH(J$2,Inputs!$K$4:$AJ$4,0)),NA(),IF(SUMPRODUCT((Inputs!$A$5:$A$120=$B59)*ISNUMBER(INDEX(Inputs!$K$5:$AJ$120,0,MATCH(J$2,Inputs!$K$4:$AJ$4,0))))+SUMPRODUCT((Inputs!$C$5:$C$120=$B59)*ISNUMBER(INDEX(Inputs!$K$5:$AJ$120,0,MATCH(J$2,Inputs!$K$4:$AJ$4,0))))+SUMPRODUCT((Inputs!$E$5:$E$120=$B59)*ISNUMBER(INDEX(Inputs!$K$5:$AJ$120,0,MATCH(J$2,Inputs!$K$4:$AJ$4,0))))=0,NA(),SUMPRODUCT((Inputs!$A$5:$A$120=$B59)*Inputs!$B$5:$B$120*(((Inputs!$G$5:$G$120="moeda")+(Inputs!$G$5:$G$120="acoes"))*Inputs!$B$1+((Inputs!$G$5:$G$120&lt;&gt;"moeda")*(Inputs!$G$5:$G$120&lt;&gt;"acoes")))*INDEX(Inputs!$K$5:$AJ$120,0,MATCH(J$2,Inputs!$K$4:$AJ$4,0)))+SUMPRODUCT((Inputs!$C$5:$C$120=$B59)*Inputs!$D$5:$D$120*(((Inputs!$G$5:$G$120="moeda")+(Inputs!$G$5:$G$120="acoes"))*Inputs!$B$1+((Inputs!$G$5:$G$120&lt;&gt;"moeda")*(Inputs!$G$5:$G$120&lt;&gt;"acoes")))*INDEX(Inputs!$K$5:$AJ$120,0,MATCH(J$2,Inputs!$K$4:$AJ$4,0)))+SUMPRODUCT((Inputs!$E$5:$E$120=$B59)*Inputs!$F$5:$F$120*(((Inputs!$G$5:$G$120="moeda")+(Inputs!$G$5:$G$120="acoes"))*Inputs!$B$1+((Inputs!$G$5:$G$120&lt;&gt;"moeda")*(Inputs!$G$5:$G$120&lt;&gt;"acoes")))*INDEX(Inputs!$K$5:$AJ$120,0,MATCH(J$2,Inputs!$K$4:$AJ$4,0)))))</f>
        <v>588</v>
      </c>
      <c r="K59" s="263">
        <f>IF(ISNA(MATCH(K$2,Inputs!$K$4:$AJ$4,0)),NA(),IF(SUMPRODUCT((Inputs!$A$5:$A$120=$B59)*ISNUMBER(INDEX(Inputs!$K$5:$AJ$120,0,MATCH(K$2,Inputs!$K$4:$AJ$4,0))))+SUMPRODUCT((Inputs!$C$5:$C$120=$B59)*ISNUMBER(INDEX(Inputs!$K$5:$AJ$120,0,MATCH(K$2,Inputs!$K$4:$AJ$4,0))))+SUMPRODUCT((Inputs!$E$5:$E$120=$B59)*ISNUMBER(INDEX(Inputs!$K$5:$AJ$120,0,MATCH(K$2,Inputs!$K$4:$AJ$4,0))))=0,NA(),SUMPRODUCT((Inputs!$A$5:$A$120=$B59)*Inputs!$B$5:$B$120*(((Inputs!$G$5:$G$120="moeda")+(Inputs!$G$5:$G$120="acoes"))*Inputs!$B$1+((Inputs!$G$5:$G$120&lt;&gt;"moeda")*(Inputs!$G$5:$G$120&lt;&gt;"acoes")))*INDEX(Inputs!$K$5:$AJ$120,0,MATCH(K$2,Inputs!$K$4:$AJ$4,0)))+SUMPRODUCT((Inputs!$C$5:$C$120=$B59)*Inputs!$D$5:$D$120*(((Inputs!$G$5:$G$120="moeda")+(Inputs!$G$5:$G$120="acoes"))*Inputs!$B$1+((Inputs!$G$5:$G$120&lt;&gt;"moeda")*(Inputs!$G$5:$G$120&lt;&gt;"acoes")))*INDEX(Inputs!$K$5:$AJ$120,0,MATCH(K$2,Inputs!$K$4:$AJ$4,0)))+SUMPRODUCT((Inputs!$E$5:$E$120=$B59)*Inputs!$F$5:$F$120*(((Inputs!$G$5:$G$120="moeda")+(Inputs!$G$5:$G$120="acoes"))*Inputs!$B$1+((Inputs!$G$5:$G$120&lt;&gt;"moeda")*(Inputs!$G$5:$G$120&lt;&gt;"acoes")))*INDEX(Inputs!$K$5:$AJ$120,0,MATCH(K$2,Inputs!$K$4:$AJ$4,0)))))</f>
        <v>621</v>
      </c>
      <c r="L59" s="263">
        <f>IF(ISNA(MATCH(L$2,Inputs!$K$4:$AJ$4,0)),NA(),IF(SUMPRODUCT((Inputs!$A$5:$A$120=$B59)*ISNUMBER(INDEX(Inputs!$K$5:$AJ$120,0,MATCH(L$2,Inputs!$K$4:$AJ$4,0))))+SUMPRODUCT((Inputs!$C$5:$C$120=$B59)*ISNUMBER(INDEX(Inputs!$K$5:$AJ$120,0,MATCH(L$2,Inputs!$K$4:$AJ$4,0))))+SUMPRODUCT((Inputs!$E$5:$E$120=$B59)*ISNUMBER(INDEX(Inputs!$K$5:$AJ$120,0,MATCH(L$2,Inputs!$K$4:$AJ$4,0))))=0,NA(),SUMPRODUCT((Inputs!$A$5:$A$120=$B59)*Inputs!$B$5:$B$120*(((Inputs!$G$5:$G$120="moeda")+(Inputs!$G$5:$G$120="acoes"))*Inputs!$B$1+((Inputs!$G$5:$G$120&lt;&gt;"moeda")*(Inputs!$G$5:$G$120&lt;&gt;"acoes")))*INDEX(Inputs!$K$5:$AJ$120,0,MATCH(L$2,Inputs!$K$4:$AJ$4,0)))+SUMPRODUCT((Inputs!$C$5:$C$120=$B59)*Inputs!$D$5:$D$120*(((Inputs!$G$5:$G$120="moeda")+(Inputs!$G$5:$G$120="acoes"))*Inputs!$B$1+((Inputs!$G$5:$G$120&lt;&gt;"moeda")*(Inputs!$G$5:$G$120&lt;&gt;"acoes")))*INDEX(Inputs!$K$5:$AJ$120,0,MATCH(L$2,Inputs!$K$4:$AJ$4,0)))+SUMPRODUCT((Inputs!$E$5:$E$120=$B59)*Inputs!$F$5:$F$120*(((Inputs!$G$5:$G$120="moeda")+(Inputs!$G$5:$G$120="acoes"))*Inputs!$B$1+((Inputs!$G$5:$G$120&lt;&gt;"moeda")*(Inputs!$G$5:$G$120&lt;&gt;"acoes")))*INDEX(Inputs!$K$5:$AJ$120,0,MATCH(L$2,Inputs!$K$4:$AJ$4,0)))))</f>
        <v>599</v>
      </c>
      <c r="M59" s="264">
        <f>SUM(I59:L59)</f>
        <v>2476</v>
      </c>
      <c r="N59" s="263">
        <f>IF(ISNA(MATCH(N$2,Inputs!$K$4:$AJ$4,0)),NA(),IF(SUMPRODUCT((Inputs!$A$5:$A$120=$B59)*ISNUMBER(INDEX(Inputs!$K$5:$AJ$120,0,MATCH(N$2,Inputs!$K$4:$AJ$4,0))))+SUMPRODUCT((Inputs!$C$5:$C$120=$B59)*ISNUMBER(INDEX(Inputs!$K$5:$AJ$120,0,MATCH(N$2,Inputs!$K$4:$AJ$4,0))))+SUMPRODUCT((Inputs!$E$5:$E$120=$B59)*ISNUMBER(INDEX(Inputs!$K$5:$AJ$120,0,MATCH(N$2,Inputs!$K$4:$AJ$4,0))))=0,NA(),SUMPRODUCT((Inputs!$A$5:$A$120=$B59)*Inputs!$B$5:$B$120*(((Inputs!$G$5:$G$120="moeda")+(Inputs!$G$5:$G$120="acoes"))*Inputs!$B$1+((Inputs!$G$5:$G$120&lt;&gt;"moeda")*(Inputs!$G$5:$G$120&lt;&gt;"acoes")))*INDEX(Inputs!$K$5:$AJ$120,0,MATCH(N$2,Inputs!$K$4:$AJ$4,0)))+SUMPRODUCT((Inputs!$C$5:$C$120=$B59)*Inputs!$D$5:$D$120*(((Inputs!$G$5:$G$120="moeda")+(Inputs!$G$5:$G$120="acoes"))*Inputs!$B$1+((Inputs!$G$5:$G$120&lt;&gt;"moeda")*(Inputs!$G$5:$G$120&lt;&gt;"acoes")))*INDEX(Inputs!$K$5:$AJ$120,0,MATCH(N$2,Inputs!$K$4:$AJ$4,0)))+SUMPRODUCT((Inputs!$E$5:$E$120=$B59)*Inputs!$F$5:$F$120*(((Inputs!$G$5:$G$120="moeda")+(Inputs!$G$5:$G$120="acoes"))*Inputs!$B$1+((Inputs!$G$5:$G$120&lt;&gt;"moeda")*(Inputs!$G$5:$G$120&lt;&gt;"acoes")))*INDEX(Inputs!$K$5:$AJ$120,0,MATCH(N$2,Inputs!$K$4:$AJ$4,0)))))</f>
        <v>564</v>
      </c>
      <c r="O59" s="263">
        <f>IF(ISNA(MATCH(O$2,Inputs!$K$4:$AJ$4,0)),NA(),IF(SUMPRODUCT((Inputs!$A$5:$A$120=$B59)*ISNUMBER(INDEX(Inputs!$K$5:$AJ$120,0,MATCH(O$2,Inputs!$K$4:$AJ$4,0))))+SUMPRODUCT((Inputs!$C$5:$C$120=$B59)*ISNUMBER(INDEX(Inputs!$K$5:$AJ$120,0,MATCH(O$2,Inputs!$K$4:$AJ$4,0))))+SUMPRODUCT((Inputs!$E$5:$E$120=$B59)*ISNUMBER(INDEX(Inputs!$K$5:$AJ$120,0,MATCH(O$2,Inputs!$K$4:$AJ$4,0))))=0,NA(),SUMPRODUCT((Inputs!$A$5:$A$120=$B59)*Inputs!$B$5:$B$120*(((Inputs!$G$5:$G$120="moeda")+(Inputs!$G$5:$G$120="acoes"))*Inputs!$B$1+((Inputs!$G$5:$G$120&lt;&gt;"moeda")*(Inputs!$G$5:$G$120&lt;&gt;"acoes")))*INDEX(Inputs!$K$5:$AJ$120,0,MATCH(O$2,Inputs!$K$4:$AJ$4,0)))+SUMPRODUCT((Inputs!$C$5:$C$120=$B59)*Inputs!$D$5:$D$120*(((Inputs!$G$5:$G$120="moeda")+(Inputs!$G$5:$G$120="acoes"))*Inputs!$B$1+((Inputs!$G$5:$G$120&lt;&gt;"moeda")*(Inputs!$G$5:$G$120&lt;&gt;"acoes")))*INDEX(Inputs!$K$5:$AJ$120,0,MATCH(O$2,Inputs!$K$4:$AJ$4,0)))+SUMPRODUCT((Inputs!$E$5:$E$120=$B59)*Inputs!$F$5:$F$120*(((Inputs!$G$5:$G$120="moeda")+(Inputs!$G$5:$G$120="acoes"))*Inputs!$B$1+((Inputs!$G$5:$G$120&lt;&gt;"moeda")*(Inputs!$G$5:$G$120&lt;&gt;"acoes")))*INDEX(Inputs!$K$5:$AJ$120,0,MATCH(O$2,Inputs!$K$4:$AJ$4,0)))))</f>
        <v>567</v>
      </c>
      <c r="P59" s="263">
        <f>IF(ISNA(MATCH(P$2,Inputs!$K$4:$AJ$4,0)),NA(),IF(SUMPRODUCT((Inputs!$A$5:$A$120=$B59)*ISNUMBER(INDEX(Inputs!$K$5:$AJ$120,0,MATCH(P$2,Inputs!$K$4:$AJ$4,0))))+SUMPRODUCT((Inputs!$C$5:$C$120=$B59)*ISNUMBER(INDEX(Inputs!$K$5:$AJ$120,0,MATCH(P$2,Inputs!$K$4:$AJ$4,0))))+SUMPRODUCT((Inputs!$E$5:$E$120=$B59)*ISNUMBER(INDEX(Inputs!$K$5:$AJ$120,0,MATCH(P$2,Inputs!$K$4:$AJ$4,0))))=0,NA(),SUMPRODUCT((Inputs!$A$5:$A$120=$B59)*Inputs!$B$5:$B$120*(((Inputs!$G$5:$G$120="moeda")+(Inputs!$G$5:$G$120="acoes"))*Inputs!$B$1+((Inputs!$G$5:$G$120&lt;&gt;"moeda")*(Inputs!$G$5:$G$120&lt;&gt;"acoes")))*INDEX(Inputs!$K$5:$AJ$120,0,MATCH(P$2,Inputs!$K$4:$AJ$4,0)))+SUMPRODUCT((Inputs!$C$5:$C$120=$B59)*Inputs!$D$5:$D$120*(((Inputs!$G$5:$G$120="moeda")+(Inputs!$G$5:$G$120="acoes"))*Inputs!$B$1+((Inputs!$G$5:$G$120&lt;&gt;"moeda")*(Inputs!$G$5:$G$120&lt;&gt;"acoes")))*INDEX(Inputs!$K$5:$AJ$120,0,MATCH(P$2,Inputs!$K$4:$AJ$4,0)))+SUMPRODUCT((Inputs!$E$5:$E$120=$B59)*Inputs!$F$5:$F$120*(((Inputs!$G$5:$G$120="moeda")+(Inputs!$G$5:$G$120="acoes"))*Inputs!$B$1+((Inputs!$G$5:$G$120&lt;&gt;"moeda")*(Inputs!$G$5:$G$120&lt;&gt;"acoes")))*INDEX(Inputs!$K$5:$AJ$120,0,MATCH(P$2,Inputs!$K$4:$AJ$4,0)))))</f>
        <v>489</v>
      </c>
      <c r="Q59" s="263">
        <f>IF(ISNA(MATCH(Q$2,Inputs!$K$4:$AJ$4,0)),NA(),IF(SUMPRODUCT((Inputs!$A$5:$A$120=$B59)*ISNUMBER(INDEX(Inputs!$K$5:$AJ$120,0,MATCH(Q$2,Inputs!$K$4:$AJ$4,0))))+SUMPRODUCT((Inputs!$C$5:$C$120=$B59)*ISNUMBER(INDEX(Inputs!$K$5:$AJ$120,0,MATCH(Q$2,Inputs!$K$4:$AJ$4,0))))+SUMPRODUCT((Inputs!$E$5:$E$120=$B59)*ISNUMBER(INDEX(Inputs!$K$5:$AJ$120,0,MATCH(Q$2,Inputs!$K$4:$AJ$4,0))))=0,NA(),SUMPRODUCT((Inputs!$A$5:$A$120=$B59)*Inputs!$B$5:$B$120*(((Inputs!$G$5:$G$120="moeda")+(Inputs!$G$5:$G$120="acoes"))*Inputs!$B$1+((Inputs!$G$5:$G$120&lt;&gt;"moeda")*(Inputs!$G$5:$G$120&lt;&gt;"acoes")))*INDEX(Inputs!$K$5:$AJ$120,0,MATCH(Q$2,Inputs!$K$4:$AJ$4,0)))+SUMPRODUCT((Inputs!$C$5:$C$120=$B59)*Inputs!$D$5:$D$120*(((Inputs!$G$5:$G$120="moeda")+(Inputs!$G$5:$G$120="acoes"))*Inputs!$B$1+((Inputs!$G$5:$G$120&lt;&gt;"moeda")*(Inputs!$G$5:$G$120&lt;&gt;"acoes")))*INDEX(Inputs!$K$5:$AJ$120,0,MATCH(Q$2,Inputs!$K$4:$AJ$4,0)))+SUMPRODUCT((Inputs!$E$5:$E$120=$B59)*Inputs!$F$5:$F$120*(((Inputs!$G$5:$G$120="moeda")+(Inputs!$G$5:$G$120="acoes"))*Inputs!$B$1+((Inputs!$G$5:$G$120&lt;&gt;"moeda")*(Inputs!$G$5:$G$120&lt;&gt;"acoes")))*INDEX(Inputs!$K$5:$AJ$120,0,MATCH(Q$2,Inputs!$K$4:$AJ$4,0)))))</f>
        <v>500</v>
      </c>
      <c r="R59" s="264">
        <f>SUM(N59:Q59)</f>
        <v>2120</v>
      </c>
      <c r="S59" s="263">
        <f>IF(ISNA(MATCH(S$2,Inputs!$K$4:$AJ$4,0)),NA(),IF(SUMPRODUCT((Inputs!$A$5:$A$120=$B59)*ISNUMBER(INDEX(Inputs!$K$5:$AJ$120,0,MATCH(S$2,Inputs!$K$4:$AJ$4,0))))+SUMPRODUCT((Inputs!$C$5:$C$120=$B59)*ISNUMBER(INDEX(Inputs!$K$5:$AJ$120,0,MATCH(S$2,Inputs!$K$4:$AJ$4,0))))+SUMPRODUCT((Inputs!$E$5:$E$120=$B59)*ISNUMBER(INDEX(Inputs!$K$5:$AJ$120,0,MATCH(S$2,Inputs!$K$4:$AJ$4,0))))=0,NA(),SUMPRODUCT((Inputs!$A$5:$A$120=$B59)*Inputs!$B$5:$B$120*(((Inputs!$G$5:$G$120="moeda")+(Inputs!$G$5:$G$120="acoes"))*Inputs!$B$1+((Inputs!$G$5:$G$120&lt;&gt;"moeda")*(Inputs!$G$5:$G$120&lt;&gt;"acoes")))*INDEX(Inputs!$K$5:$AJ$120,0,MATCH(S$2,Inputs!$K$4:$AJ$4,0)))+SUMPRODUCT((Inputs!$C$5:$C$120=$B59)*Inputs!$D$5:$D$120*(((Inputs!$G$5:$G$120="moeda")+(Inputs!$G$5:$G$120="acoes"))*Inputs!$B$1+((Inputs!$G$5:$G$120&lt;&gt;"moeda")*(Inputs!$G$5:$G$120&lt;&gt;"acoes")))*INDEX(Inputs!$K$5:$AJ$120,0,MATCH(S$2,Inputs!$K$4:$AJ$4,0)))+SUMPRODUCT((Inputs!$E$5:$E$120=$B59)*Inputs!$F$5:$F$120*(((Inputs!$G$5:$G$120="moeda")+(Inputs!$G$5:$G$120="acoes"))*Inputs!$B$1+((Inputs!$G$5:$G$120&lt;&gt;"moeda")*(Inputs!$G$5:$G$120&lt;&gt;"acoes")))*INDEX(Inputs!$K$5:$AJ$120,0,MATCH(S$2,Inputs!$K$4:$AJ$4,0)))))</f>
        <v>476</v>
      </c>
      <c r="T59" s="263">
        <f>IF(ISNA(MATCH(T$2,Inputs!$K$4:$AJ$4,0)),NA(),IF(SUMPRODUCT((Inputs!$A$5:$A$120=$B59)*ISNUMBER(INDEX(Inputs!$K$5:$AJ$120,0,MATCH(T$2,Inputs!$K$4:$AJ$4,0))))+SUMPRODUCT((Inputs!$C$5:$C$120=$B59)*ISNUMBER(INDEX(Inputs!$K$5:$AJ$120,0,MATCH(T$2,Inputs!$K$4:$AJ$4,0))))+SUMPRODUCT((Inputs!$E$5:$E$120=$B59)*ISNUMBER(INDEX(Inputs!$K$5:$AJ$120,0,MATCH(T$2,Inputs!$K$4:$AJ$4,0))))=0,NA(),SUMPRODUCT((Inputs!$A$5:$A$120=$B59)*Inputs!$B$5:$B$120*(((Inputs!$G$5:$G$120="moeda")+(Inputs!$G$5:$G$120="acoes"))*Inputs!$B$1+((Inputs!$G$5:$G$120&lt;&gt;"moeda")*(Inputs!$G$5:$G$120&lt;&gt;"acoes")))*INDEX(Inputs!$K$5:$AJ$120,0,MATCH(T$2,Inputs!$K$4:$AJ$4,0)))+SUMPRODUCT((Inputs!$C$5:$C$120=$B59)*Inputs!$D$5:$D$120*(((Inputs!$G$5:$G$120="moeda")+(Inputs!$G$5:$G$120="acoes"))*Inputs!$B$1+((Inputs!$G$5:$G$120&lt;&gt;"moeda")*(Inputs!$G$5:$G$120&lt;&gt;"acoes")))*INDEX(Inputs!$K$5:$AJ$120,0,MATCH(T$2,Inputs!$K$4:$AJ$4,0)))+SUMPRODUCT((Inputs!$E$5:$E$120=$B59)*Inputs!$F$5:$F$120*(((Inputs!$G$5:$G$120="moeda")+(Inputs!$G$5:$G$120="acoes"))*Inputs!$B$1+((Inputs!$G$5:$G$120&lt;&gt;"moeda")*(Inputs!$G$5:$G$120&lt;&gt;"acoes")))*INDEX(Inputs!$K$5:$AJ$120,0,MATCH(T$2,Inputs!$K$4:$AJ$4,0)))))</f>
        <v>458</v>
      </c>
      <c r="U59" s="263">
        <f>IF(ISNA(MATCH(U$2,Inputs!$K$4:$AJ$4,0)),NA(),IF(SUMPRODUCT((Inputs!$A$5:$A$120=$B59)*ISNUMBER(INDEX(Inputs!$K$5:$AJ$120,0,MATCH(U$2,Inputs!$K$4:$AJ$4,0))))+SUMPRODUCT((Inputs!$C$5:$C$120=$B59)*ISNUMBER(INDEX(Inputs!$K$5:$AJ$120,0,MATCH(U$2,Inputs!$K$4:$AJ$4,0))))+SUMPRODUCT((Inputs!$E$5:$E$120=$B59)*ISNUMBER(INDEX(Inputs!$K$5:$AJ$120,0,MATCH(U$2,Inputs!$K$4:$AJ$4,0))))=0,NA(),SUMPRODUCT((Inputs!$A$5:$A$120=$B59)*Inputs!$B$5:$B$120*(((Inputs!$G$5:$G$120="moeda")+(Inputs!$G$5:$G$120="acoes"))*Inputs!$B$1+((Inputs!$G$5:$G$120&lt;&gt;"moeda")*(Inputs!$G$5:$G$120&lt;&gt;"acoes")))*INDEX(Inputs!$K$5:$AJ$120,0,MATCH(U$2,Inputs!$K$4:$AJ$4,0)))+SUMPRODUCT((Inputs!$C$5:$C$120=$B59)*Inputs!$D$5:$D$120*(((Inputs!$G$5:$G$120="moeda")+(Inputs!$G$5:$G$120="acoes"))*Inputs!$B$1+((Inputs!$G$5:$G$120&lt;&gt;"moeda")*(Inputs!$G$5:$G$120&lt;&gt;"acoes")))*INDEX(Inputs!$K$5:$AJ$120,0,MATCH(U$2,Inputs!$K$4:$AJ$4,0)))+SUMPRODUCT((Inputs!$E$5:$E$120=$B59)*Inputs!$F$5:$F$120*(((Inputs!$G$5:$G$120="moeda")+(Inputs!$G$5:$G$120="acoes"))*Inputs!$B$1+((Inputs!$G$5:$G$120&lt;&gt;"moeda")*(Inputs!$G$5:$G$120&lt;&gt;"acoes")))*INDEX(Inputs!$K$5:$AJ$120,0,MATCH(U$2,Inputs!$K$4:$AJ$4,0)))))</f>
        <v>446</v>
      </c>
      <c r="V59" s="263">
        <f>IF(ISNA(MATCH(V$2,Inputs!$K$4:$AJ$4,0)),NA(),IF(SUMPRODUCT((Inputs!$A$5:$A$120=$B59)*ISNUMBER(INDEX(Inputs!$K$5:$AJ$120,0,MATCH(V$2,Inputs!$K$4:$AJ$4,0))))+SUMPRODUCT((Inputs!$C$5:$C$120=$B59)*ISNUMBER(INDEX(Inputs!$K$5:$AJ$120,0,MATCH(V$2,Inputs!$K$4:$AJ$4,0))))+SUMPRODUCT((Inputs!$E$5:$E$120=$B59)*ISNUMBER(INDEX(Inputs!$K$5:$AJ$120,0,MATCH(V$2,Inputs!$K$4:$AJ$4,0))))=0,NA(),SUMPRODUCT((Inputs!$A$5:$A$120=$B59)*Inputs!$B$5:$B$120*(((Inputs!$G$5:$G$120="moeda")+(Inputs!$G$5:$G$120="acoes"))*Inputs!$B$1+((Inputs!$G$5:$G$120&lt;&gt;"moeda")*(Inputs!$G$5:$G$120&lt;&gt;"acoes")))*INDEX(Inputs!$K$5:$AJ$120,0,MATCH(V$2,Inputs!$K$4:$AJ$4,0)))+SUMPRODUCT((Inputs!$C$5:$C$120=$B59)*Inputs!$D$5:$D$120*(((Inputs!$G$5:$G$120="moeda")+(Inputs!$G$5:$G$120="acoes"))*Inputs!$B$1+((Inputs!$G$5:$G$120&lt;&gt;"moeda")*(Inputs!$G$5:$G$120&lt;&gt;"acoes")))*INDEX(Inputs!$K$5:$AJ$120,0,MATCH(V$2,Inputs!$K$4:$AJ$4,0)))+SUMPRODUCT((Inputs!$E$5:$E$120=$B59)*Inputs!$F$5:$F$120*(((Inputs!$G$5:$G$120="moeda")+(Inputs!$G$5:$G$120="acoes"))*Inputs!$B$1+((Inputs!$G$5:$G$120&lt;&gt;"moeda")*(Inputs!$G$5:$G$120&lt;&gt;"acoes")))*INDEX(Inputs!$K$5:$AJ$120,0,MATCH(V$2,Inputs!$K$4:$AJ$4,0)))))</f>
        <v>447</v>
      </c>
      <c r="W59" s="264">
        <f>SUM(S59:V59)</f>
        <v>1827</v>
      </c>
      <c r="X59" s="263">
        <f>IF(ISNA(MATCH(X$2,Inputs!$K$4:$AJ$4,0)),NA(),IF(SUMPRODUCT((Inputs!$A$5:$A$120=$B59)*ISNUMBER(INDEX(Inputs!$K$5:$AJ$120,0,MATCH(X$2,Inputs!$K$4:$AJ$4,0))))+SUMPRODUCT((Inputs!$C$5:$C$120=$B59)*ISNUMBER(INDEX(Inputs!$K$5:$AJ$120,0,MATCH(X$2,Inputs!$K$4:$AJ$4,0))))+SUMPRODUCT((Inputs!$E$5:$E$120=$B59)*ISNUMBER(INDEX(Inputs!$K$5:$AJ$120,0,MATCH(X$2,Inputs!$K$4:$AJ$4,0))))=0,NA(),SUMPRODUCT((Inputs!$A$5:$A$120=$B59)*Inputs!$B$5:$B$120*(((Inputs!$G$5:$G$120="moeda")+(Inputs!$G$5:$G$120="acoes"))*Inputs!$B$1+((Inputs!$G$5:$G$120&lt;&gt;"moeda")*(Inputs!$G$5:$G$120&lt;&gt;"acoes")))*INDEX(Inputs!$K$5:$AJ$120,0,MATCH(X$2,Inputs!$K$4:$AJ$4,0)))+SUMPRODUCT((Inputs!$C$5:$C$120=$B59)*Inputs!$D$5:$D$120*(((Inputs!$G$5:$G$120="moeda")+(Inputs!$G$5:$G$120="acoes"))*Inputs!$B$1+((Inputs!$G$5:$G$120&lt;&gt;"moeda")*(Inputs!$G$5:$G$120&lt;&gt;"acoes")))*INDEX(Inputs!$K$5:$AJ$120,0,MATCH(X$2,Inputs!$K$4:$AJ$4,0)))+SUMPRODUCT((Inputs!$E$5:$E$120=$B59)*Inputs!$F$5:$F$120*(((Inputs!$G$5:$G$120="moeda")+(Inputs!$G$5:$G$120="acoes"))*Inputs!$B$1+((Inputs!$G$5:$G$120&lt;&gt;"moeda")*(Inputs!$G$5:$G$120&lt;&gt;"acoes")))*INDEX(Inputs!$K$5:$AJ$120,0,MATCH(X$2,Inputs!$K$4:$AJ$4,0)))))</f>
        <v>447</v>
      </c>
      <c r="Y59" s="263">
        <f>IF(ISNA(MATCH(Y$2,Inputs!$K$4:$AJ$4,0)),NA(),IF(SUMPRODUCT((Inputs!$A$5:$A$120=$B59)*ISNUMBER(INDEX(Inputs!$K$5:$AJ$120,0,MATCH(Y$2,Inputs!$K$4:$AJ$4,0))))+SUMPRODUCT((Inputs!$C$5:$C$120=$B59)*ISNUMBER(INDEX(Inputs!$K$5:$AJ$120,0,MATCH(Y$2,Inputs!$K$4:$AJ$4,0))))+SUMPRODUCT((Inputs!$E$5:$E$120=$B59)*ISNUMBER(INDEX(Inputs!$K$5:$AJ$120,0,MATCH(Y$2,Inputs!$K$4:$AJ$4,0))))=0,NA(),SUMPRODUCT((Inputs!$A$5:$A$120=$B59)*Inputs!$B$5:$B$120*(((Inputs!$G$5:$G$120="moeda")+(Inputs!$G$5:$G$120="acoes"))*Inputs!$B$1+((Inputs!$G$5:$G$120&lt;&gt;"moeda")*(Inputs!$G$5:$G$120&lt;&gt;"acoes")))*INDEX(Inputs!$K$5:$AJ$120,0,MATCH(Y$2,Inputs!$K$4:$AJ$4,0)))+SUMPRODUCT((Inputs!$C$5:$C$120=$B59)*Inputs!$D$5:$D$120*(((Inputs!$G$5:$G$120="moeda")+(Inputs!$G$5:$G$120="acoes"))*Inputs!$B$1+((Inputs!$G$5:$G$120&lt;&gt;"moeda")*(Inputs!$G$5:$G$120&lt;&gt;"acoes")))*INDEX(Inputs!$K$5:$AJ$120,0,MATCH(Y$2,Inputs!$K$4:$AJ$4,0)))+SUMPRODUCT((Inputs!$E$5:$E$120=$B59)*Inputs!$F$5:$F$120*(((Inputs!$G$5:$G$120="moeda")+(Inputs!$G$5:$G$120="acoes"))*Inputs!$B$1+((Inputs!$G$5:$G$120&lt;&gt;"moeda")*(Inputs!$G$5:$G$120&lt;&gt;"acoes")))*INDEX(Inputs!$K$5:$AJ$120,0,MATCH(Y$2,Inputs!$K$4:$AJ$4,0)))))</f>
        <v>435</v>
      </c>
      <c r="Z59" s="263">
        <f>IF(ISNA(MATCH(Z$2,Inputs!$K$4:$AJ$4,0)),NA(),IF(SUMPRODUCT((Inputs!$A$5:$A$120=$B59)*ISNUMBER(INDEX(Inputs!$K$5:$AJ$120,0,MATCH(Z$2,Inputs!$K$4:$AJ$4,0))))+SUMPRODUCT((Inputs!$C$5:$C$120=$B59)*ISNUMBER(INDEX(Inputs!$K$5:$AJ$120,0,MATCH(Z$2,Inputs!$K$4:$AJ$4,0))))+SUMPRODUCT((Inputs!$E$5:$E$120=$B59)*ISNUMBER(INDEX(Inputs!$K$5:$AJ$120,0,MATCH(Z$2,Inputs!$K$4:$AJ$4,0))))=0,NA(),SUMPRODUCT((Inputs!$A$5:$A$120=$B59)*Inputs!$B$5:$B$120*(((Inputs!$G$5:$G$120="moeda")+(Inputs!$G$5:$G$120="acoes"))*Inputs!$B$1+((Inputs!$G$5:$G$120&lt;&gt;"moeda")*(Inputs!$G$5:$G$120&lt;&gt;"acoes")))*INDEX(Inputs!$K$5:$AJ$120,0,MATCH(Z$2,Inputs!$K$4:$AJ$4,0)))+SUMPRODUCT((Inputs!$C$5:$C$120=$B59)*Inputs!$D$5:$D$120*(((Inputs!$G$5:$G$120="moeda")+(Inputs!$G$5:$G$120="acoes"))*Inputs!$B$1+((Inputs!$G$5:$G$120&lt;&gt;"moeda")*(Inputs!$G$5:$G$120&lt;&gt;"acoes")))*INDEX(Inputs!$K$5:$AJ$120,0,MATCH(Z$2,Inputs!$K$4:$AJ$4,0)))+SUMPRODUCT((Inputs!$E$5:$E$120=$B59)*Inputs!$F$5:$F$120*(((Inputs!$G$5:$G$120="moeda")+(Inputs!$G$5:$G$120="acoes"))*Inputs!$B$1+((Inputs!$G$5:$G$120&lt;&gt;"moeda")*(Inputs!$G$5:$G$120&lt;&gt;"acoes")))*INDEX(Inputs!$K$5:$AJ$120,0,MATCH(Z$2,Inputs!$K$4:$AJ$4,0)))))</f>
        <v>429</v>
      </c>
      <c r="AA59" s="263">
        <f>IF(ISNA(MATCH(AA$2,Inputs!$K$4:$AJ$4,0)),NA(),IF(SUMPRODUCT((Inputs!$A$5:$A$120=$B59)*ISNUMBER(INDEX(Inputs!$K$5:$AJ$120,0,MATCH(AA$2,Inputs!$K$4:$AJ$4,0))))+SUMPRODUCT((Inputs!$C$5:$C$120=$B59)*ISNUMBER(INDEX(Inputs!$K$5:$AJ$120,0,MATCH(AA$2,Inputs!$K$4:$AJ$4,0))))+SUMPRODUCT((Inputs!$E$5:$E$120=$B59)*ISNUMBER(INDEX(Inputs!$K$5:$AJ$120,0,MATCH(AA$2,Inputs!$K$4:$AJ$4,0))))=0,NA(),SUMPRODUCT((Inputs!$A$5:$A$120=$B59)*Inputs!$B$5:$B$120*(((Inputs!$G$5:$G$120="moeda")+(Inputs!$G$5:$G$120="acoes"))*Inputs!$B$1+((Inputs!$G$5:$G$120&lt;&gt;"moeda")*(Inputs!$G$5:$G$120&lt;&gt;"acoes")))*INDEX(Inputs!$K$5:$AJ$120,0,MATCH(AA$2,Inputs!$K$4:$AJ$4,0)))+SUMPRODUCT((Inputs!$C$5:$C$120=$B59)*Inputs!$D$5:$D$120*(((Inputs!$G$5:$G$120="moeda")+(Inputs!$G$5:$G$120="acoes"))*Inputs!$B$1+((Inputs!$G$5:$G$120&lt;&gt;"moeda")*(Inputs!$G$5:$G$120&lt;&gt;"acoes")))*INDEX(Inputs!$K$5:$AJ$120,0,MATCH(AA$2,Inputs!$K$4:$AJ$4,0)))+SUMPRODUCT((Inputs!$E$5:$E$120=$B59)*Inputs!$F$5:$F$120*(((Inputs!$G$5:$G$120="moeda")+(Inputs!$G$5:$G$120="acoes"))*Inputs!$B$1+((Inputs!$G$5:$G$120&lt;&gt;"moeda")*(Inputs!$G$5:$G$120&lt;&gt;"acoes")))*INDEX(Inputs!$K$5:$AJ$120,0,MATCH(AA$2,Inputs!$K$4:$AJ$4,0)))))</f>
        <v>401</v>
      </c>
      <c r="AB59" s="264">
        <f>SUM(X59:AA59)</f>
        <v>1712</v>
      </c>
      <c r="AC59" s="263">
        <f>IF(ISNA(MATCH(AC$2,Inputs!$K$4:$AJ$4,0)),NA(),IF(SUMPRODUCT((Inputs!$A$5:$A$120=$B59)*ISNUMBER(INDEX(Inputs!$K$5:$AJ$120,0,MATCH(AC$2,Inputs!$K$4:$AJ$4,0))))+SUMPRODUCT((Inputs!$C$5:$C$120=$B59)*ISNUMBER(INDEX(Inputs!$K$5:$AJ$120,0,MATCH(AC$2,Inputs!$K$4:$AJ$4,0))))+SUMPRODUCT((Inputs!$E$5:$E$120=$B59)*ISNUMBER(INDEX(Inputs!$K$5:$AJ$120,0,MATCH(AC$2,Inputs!$K$4:$AJ$4,0))))=0,NA(),SUMPRODUCT((Inputs!$A$5:$A$120=$B59)*Inputs!$B$5:$B$120*(((Inputs!$G$5:$G$120="moeda")+(Inputs!$G$5:$G$120="acoes"))*Inputs!$B$1+((Inputs!$G$5:$G$120&lt;&gt;"moeda")*(Inputs!$G$5:$G$120&lt;&gt;"acoes")))*INDEX(Inputs!$K$5:$AJ$120,0,MATCH(AC$2,Inputs!$K$4:$AJ$4,0)))+SUMPRODUCT((Inputs!$C$5:$C$120=$B59)*Inputs!$D$5:$D$120*(((Inputs!$G$5:$G$120="moeda")+(Inputs!$G$5:$G$120="acoes"))*Inputs!$B$1+((Inputs!$G$5:$G$120&lt;&gt;"moeda")*(Inputs!$G$5:$G$120&lt;&gt;"acoes")))*INDEX(Inputs!$K$5:$AJ$120,0,MATCH(AC$2,Inputs!$K$4:$AJ$4,0)))+SUMPRODUCT((Inputs!$E$5:$E$120=$B59)*Inputs!$F$5:$F$120*(((Inputs!$G$5:$G$120="moeda")+(Inputs!$G$5:$G$120="acoes"))*Inputs!$B$1+((Inputs!$G$5:$G$120&lt;&gt;"moeda")*(Inputs!$G$5:$G$120&lt;&gt;"acoes")))*INDEX(Inputs!$K$5:$AJ$120,0,MATCH(AC$2,Inputs!$K$4:$AJ$4,0)))))</f>
        <v>381</v>
      </c>
      <c r="AD59" s="263">
        <f>IF(ISNA(MATCH(AD$2,Inputs!$K$4:$AJ$4,0)),NA(),IF(SUMPRODUCT((Inputs!$A$5:$A$120=$B59)*ISNUMBER(INDEX(Inputs!$K$5:$AJ$120,0,MATCH(AD$2,Inputs!$K$4:$AJ$4,0))))+SUMPRODUCT((Inputs!$C$5:$C$120=$B59)*ISNUMBER(INDEX(Inputs!$K$5:$AJ$120,0,MATCH(AD$2,Inputs!$K$4:$AJ$4,0))))+SUMPRODUCT((Inputs!$E$5:$E$120=$B59)*ISNUMBER(INDEX(Inputs!$K$5:$AJ$120,0,MATCH(AD$2,Inputs!$K$4:$AJ$4,0))))=0,NA(),SUMPRODUCT((Inputs!$A$5:$A$120=$B59)*Inputs!$B$5:$B$120*(((Inputs!$G$5:$G$120="moeda")+(Inputs!$G$5:$G$120="acoes"))*Inputs!$B$1+((Inputs!$G$5:$G$120&lt;&gt;"moeda")*(Inputs!$G$5:$G$120&lt;&gt;"acoes")))*INDEX(Inputs!$K$5:$AJ$120,0,MATCH(AD$2,Inputs!$K$4:$AJ$4,0)))+SUMPRODUCT((Inputs!$C$5:$C$120=$B59)*Inputs!$D$5:$D$120*(((Inputs!$G$5:$G$120="moeda")+(Inputs!$G$5:$G$120="acoes"))*Inputs!$B$1+((Inputs!$G$5:$G$120&lt;&gt;"moeda")*(Inputs!$G$5:$G$120&lt;&gt;"acoes")))*INDEX(Inputs!$K$5:$AJ$120,0,MATCH(AD$2,Inputs!$K$4:$AJ$4,0)))+SUMPRODUCT((Inputs!$E$5:$E$120=$B59)*Inputs!$F$5:$F$120*(((Inputs!$G$5:$G$120="moeda")+(Inputs!$G$5:$G$120="acoes"))*Inputs!$B$1+((Inputs!$G$5:$G$120&lt;&gt;"moeda")*(Inputs!$G$5:$G$120&lt;&gt;"acoes")))*INDEX(Inputs!$K$5:$AJ$120,0,MATCH(AD$2,Inputs!$K$4:$AJ$4,0)))))</f>
        <v>364</v>
      </c>
      <c r="AE59" s="263" t="e">
        <f>IF(ISNA(MATCH(AE$2,Inputs!$K$4:$AJ$4,0)),NA(),IF(SUMPRODUCT((Inputs!$A$5:$A$120=$B59)*ISNUMBER(INDEX(Inputs!$K$5:$AJ$120,0,MATCH(AE$2,Inputs!$K$4:$AJ$4,0))))+SUMPRODUCT((Inputs!$C$5:$C$120=$B59)*ISNUMBER(INDEX(Inputs!$K$5:$AJ$120,0,MATCH(AE$2,Inputs!$K$4:$AJ$4,0))))+SUMPRODUCT((Inputs!$E$5:$E$120=$B59)*ISNUMBER(INDEX(Inputs!$K$5:$AJ$120,0,MATCH(AE$2,Inputs!$K$4:$AJ$4,0))))=0,NA(),SUMPRODUCT((Inputs!$A$5:$A$120=$B59)*Inputs!$B$5:$B$120*(((Inputs!$G$5:$G$120="moeda")+(Inputs!$G$5:$G$120="acoes"))*Inputs!$B$1+((Inputs!$G$5:$G$120&lt;&gt;"moeda")*(Inputs!$G$5:$G$120&lt;&gt;"acoes")))*INDEX(Inputs!$K$5:$AJ$120,0,MATCH(AE$2,Inputs!$K$4:$AJ$4,0)))+SUMPRODUCT((Inputs!$C$5:$C$120=$B59)*Inputs!$D$5:$D$120*(((Inputs!$G$5:$G$120="moeda")+(Inputs!$G$5:$G$120="acoes"))*Inputs!$B$1+((Inputs!$G$5:$G$120&lt;&gt;"moeda")*(Inputs!$G$5:$G$120&lt;&gt;"acoes")))*INDEX(Inputs!$K$5:$AJ$120,0,MATCH(AE$2,Inputs!$K$4:$AJ$4,0)))+SUMPRODUCT((Inputs!$E$5:$E$120=$B59)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59" s="263" t="e">
        <f>IF(ISNA(MATCH(AF$2,Inputs!$K$4:$AJ$4,0)),NA(),IF(SUMPRODUCT((Inputs!$A$5:$A$120=$B59)*ISNUMBER(INDEX(Inputs!$K$5:$AJ$120,0,MATCH(AF$2,Inputs!$K$4:$AJ$4,0))))+SUMPRODUCT((Inputs!$C$5:$C$120=$B59)*ISNUMBER(INDEX(Inputs!$K$5:$AJ$120,0,MATCH(AF$2,Inputs!$K$4:$AJ$4,0))))+SUMPRODUCT((Inputs!$E$5:$E$120=$B59)*ISNUMBER(INDEX(Inputs!$K$5:$AJ$120,0,MATCH(AF$2,Inputs!$K$4:$AJ$4,0))))=0,NA(),SUMPRODUCT((Inputs!$A$5:$A$120=$B59)*Inputs!$B$5:$B$120*(((Inputs!$G$5:$G$120="moeda")+(Inputs!$G$5:$G$120="acoes"))*Inputs!$B$1+((Inputs!$G$5:$G$120&lt;&gt;"moeda")*(Inputs!$G$5:$G$120&lt;&gt;"acoes")))*INDEX(Inputs!$K$5:$AJ$120,0,MATCH(AF$2,Inputs!$K$4:$AJ$4,0)))+SUMPRODUCT((Inputs!$C$5:$C$120=$B59)*Inputs!$D$5:$D$120*(((Inputs!$G$5:$G$120="moeda")+(Inputs!$G$5:$G$120="acoes"))*Inputs!$B$1+((Inputs!$G$5:$G$120&lt;&gt;"moeda")*(Inputs!$G$5:$G$120&lt;&gt;"acoes")))*INDEX(Inputs!$K$5:$AJ$120,0,MATCH(AF$2,Inputs!$K$4:$AJ$4,0)))+SUMPRODUCT((Inputs!$E$5:$E$120=$B59)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59" s="264" t="e">
        <f>SUM(AC59:AF59)</f>
        <v>#N/A</v>
      </c>
      <c r="AH59" s="263" t="e">
        <f>IF(ISNA(MATCH(AH$2,Inputs!$K$4:$AJ$4,0)),NA(),IF(SUMPRODUCT((Inputs!$A$5:$A$120=$B59)*ISNUMBER(INDEX(Inputs!$K$5:$AJ$120,0,MATCH(AH$2,Inputs!$K$4:$AJ$4,0))))+SUMPRODUCT((Inputs!$C$5:$C$120=$B59)*ISNUMBER(INDEX(Inputs!$K$5:$AJ$120,0,MATCH(AH$2,Inputs!$K$4:$AJ$4,0))))+SUMPRODUCT((Inputs!$E$5:$E$120=$B59)*ISNUMBER(INDEX(Inputs!$K$5:$AJ$120,0,MATCH(AH$2,Inputs!$K$4:$AJ$4,0))))=0,NA(),SUMPRODUCT((Inputs!$A$5:$A$120=$B59)*Inputs!$B$5:$B$120*(((Inputs!$G$5:$G$120="moeda")+(Inputs!$G$5:$G$120="acoes"))*Inputs!$B$1+((Inputs!$G$5:$G$120&lt;&gt;"moeda")*(Inputs!$G$5:$G$120&lt;&gt;"acoes")))*INDEX(Inputs!$K$5:$AJ$120,0,MATCH(AH$2,Inputs!$K$4:$AJ$4,0)))+SUMPRODUCT((Inputs!$C$5:$C$120=$B59)*Inputs!$D$5:$D$120*(((Inputs!$G$5:$G$120="moeda")+(Inputs!$G$5:$G$120="acoes"))*Inputs!$B$1+((Inputs!$G$5:$G$120&lt;&gt;"moeda")*(Inputs!$G$5:$G$120&lt;&gt;"acoes")))*INDEX(Inputs!$K$5:$AJ$120,0,MATCH(AH$2,Inputs!$K$4:$AJ$4,0)))+SUMPRODUCT((Inputs!$E$5:$E$120=$B59)*Inputs!$F$5:$F$120*(((Inputs!$G$5:$G$120="moeda")+(Inputs!$G$5:$G$120="acoes"))*Inputs!$B$1+((Inputs!$G$5:$G$120&lt;&gt;"moeda")*(Inputs!$G$5:$G$120&lt;&gt;"acoes")))*INDEX(Inputs!$K$5:$AJ$120,0,MATCH(AH$2,Inputs!$K$4:$AJ$4,0)))))</f>
        <v>#N/A</v>
      </c>
      <c r="AI59" s="263" t="e">
        <f>IF(ISNA(MATCH(AI$2,Inputs!$K$4:$AJ$4,0)),NA(),IF(SUMPRODUCT((Inputs!$A$5:$A$120=$B59)*ISNUMBER(INDEX(Inputs!$K$5:$AJ$120,0,MATCH(AI$2,Inputs!$K$4:$AJ$4,0))))+SUMPRODUCT((Inputs!$C$5:$C$120=$B59)*ISNUMBER(INDEX(Inputs!$K$5:$AJ$120,0,MATCH(AI$2,Inputs!$K$4:$AJ$4,0))))+SUMPRODUCT((Inputs!$E$5:$E$120=$B59)*ISNUMBER(INDEX(Inputs!$K$5:$AJ$120,0,MATCH(AI$2,Inputs!$K$4:$AJ$4,0))))=0,NA(),SUMPRODUCT((Inputs!$A$5:$A$120=$B59)*Inputs!$B$5:$B$120*(((Inputs!$G$5:$G$120="moeda")+(Inputs!$G$5:$G$120="acoes"))*Inputs!$B$1+((Inputs!$G$5:$G$120&lt;&gt;"moeda")*(Inputs!$G$5:$G$120&lt;&gt;"acoes")))*INDEX(Inputs!$K$5:$AJ$120,0,MATCH(AI$2,Inputs!$K$4:$AJ$4,0)))+SUMPRODUCT((Inputs!$C$5:$C$120=$B59)*Inputs!$D$5:$D$120*(((Inputs!$G$5:$G$120="moeda")+(Inputs!$G$5:$G$120="acoes"))*Inputs!$B$1+((Inputs!$G$5:$G$120&lt;&gt;"moeda")*(Inputs!$G$5:$G$120&lt;&gt;"acoes")))*INDEX(Inputs!$K$5:$AJ$120,0,MATCH(AI$2,Inputs!$K$4:$AJ$4,0)))+SUMPRODUCT((Inputs!$E$5:$E$120=$B59)*Inputs!$F$5:$F$120*(((Inputs!$G$5:$G$120="moeda")+(Inputs!$G$5:$G$120="acoes"))*Inputs!$B$1+((Inputs!$G$5:$G$120&lt;&gt;"moeda")*(Inputs!$G$5:$G$120&lt;&gt;"acoes")))*INDEX(Inputs!$K$5:$AJ$120,0,MATCH(AI$2,Inputs!$K$4:$AJ$4,0)))))</f>
        <v>#N/A</v>
      </c>
      <c r="AJ59" s="263" t="e">
        <f>IF(ISNA(MATCH(AJ$2,Inputs!$K$4:$AJ$4,0)),NA(),IF(SUMPRODUCT((Inputs!$A$5:$A$120=$B59)*ISNUMBER(INDEX(Inputs!$K$5:$AJ$120,0,MATCH(AJ$2,Inputs!$K$4:$AJ$4,0))))+SUMPRODUCT((Inputs!$C$5:$C$120=$B59)*ISNUMBER(INDEX(Inputs!$K$5:$AJ$120,0,MATCH(AJ$2,Inputs!$K$4:$AJ$4,0))))+SUMPRODUCT((Inputs!$E$5:$E$120=$B59)*ISNUMBER(INDEX(Inputs!$K$5:$AJ$120,0,MATCH(AJ$2,Inputs!$K$4:$AJ$4,0))))=0,NA(),SUMPRODUCT((Inputs!$A$5:$A$120=$B59)*Inputs!$B$5:$B$120*(((Inputs!$G$5:$G$120="moeda")+(Inputs!$G$5:$G$120="acoes"))*Inputs!$B$1+((Inputs!$G$5:$G$120&lt;&gt;"moeda")*(Inputs!$G$5:$G$120&lt;&gt;"acoes")))*INDEX(Inputs!$K$5:$AJ$120,0,MATCH(AJ$2,Inputs!$K$4:$AJ$4,0)))+SUMPRODUCT((Inputs!$C$5:$C$120=$B59)*Inputs!$D$5:$D$120*(((Inputs!$G$5:$G$120="moeda")+(Inputs!$G$5:$G$120="acoes"))*Inputs!$B$1+((Inputs!$G$5:$G$120&lt;&gt;"moeda")*(Inputs!$G$5:$G$120&lt;&gt;"acoes")))*INDEX(Inputs!$K$5:$AJ$120,0,MATCH(AJ$2,Inputs!$K$4:$AJ$4,0)))+SUMPRODUCT((Inputs!$E$5:$E$120=$B59)*Inputs!$F$5:$F$120*(((Inputs!$G$5:$G$120="moeda")+(Inputs!$G$5:$G$120="acoes"))*Inputs!$B$1+((Inputs!$G$5:$G$120&lt;&gt;"moeda")*(Inputs!$G$5:$G$120&lt;&gt;"acoes")))*INDEX(Inputs!$K$5:$AJ$120,0,MATCH(AJ$2,Inputs!$K$4:$AJ$4,0)))))</f>
        <v>#N/A</v>
      </c>
      <c r="AK59" s="263" t="e">
        <f>IF(ISNA(MATCH(AK$2,Inputs!$K$4:$AJ$4,0)),NA(),IF(SUMPRODUCT((Inputs!$A$5:$A$120=$B59)*ISNUMBER(INDEX(Inputs!$K$5:$AJ$120,0,MATCH(AK$2,Inputs!$K$4:$AJ$4,0))))+SUMPRODUCT((Inputs!$C$5:$C$120=$B59)*ISNUMBER(INDEX(Inputs!$K$5:$AJ$120,0,MATCH(AK$2,Inputs!$K$4:$AJ$4,0))))+SUMPRODUCT((Inputs!$E$5:$E$120=$B59)*ISNUMBER(INDEX(Inputs!$K$5:$AJ$120,0,MATCH(AK$2,Inputs!$K$4:$AJ$4,0))))=0,NA(),SUMPRODUCT((Inputs!$A$5:$A$120=$B59)*Inputs!$B$5:$B$120*(((Inputs!$G$5:$G$120="moeda")+(Inputs!$G$5:$G$120="acoes"))*Inputs!$B$1+((Inputs!$G$5:$G$120&lt;&gt;"moeda")*(Inputs!$G$5:$G$120&lt;&gt;"acoes")))*INDEX(Inputs!$K$5:$AJ$120,0,MATCH(AK$2,Inputs!$K$4:$AJ$4,0)))+SUMPRODUCT((Inputs!$C$5:$C$120=$B59)*Inputs!$D$5:$D$120*(((Inputs!$G$5:$G$120="moeda")+(Inputs!$G$5:$G$120="acoes"))*Inputs!$B$1+((Inputs!$G$5:$G$120&lt;&gt;"moeda")*(Inputs!$G$5:$G$120&lt;&gt;"acoes")))*INDEX(Inputs!$K$5:$AJ$120,0,MATCH(AK$2,Inputs!$K$4:$AJ$4,0)))+SUMPRODUCT((Inputs!$E$5:$E$120=$B59)*Inputs!$F$5:$F$120*(((Inputs!$G$5:$G$120="moeda")+(Inputs!$G$5:$G$120="acoes"))*Inputs!$B$1+((Inputs!$G$5:$G$120&lt;&gt;"moeda")*(Inputs!$G$5:$G$120&lt;&gt;"acoes")))*INDEX(Inputs!$K$5:$AJ$120,0,MATCH(AK$2,Inputs!$K$4:$AJ$4,0)))))</f>
        <v>#N/A</v>
      </c>
      <c r="AL59" s="264" t="e">
        <f>SUM(AH59:AK59)</f>
        <v>#N/A</v>
      </c>
    </row>
    <row r="60">
      <c r="B60" s="46" t="n">
        <v>52</v>
      </c>
      <c r="C60" s="29" t="inlineStr">
        <is>
          <t>Serviços e outros (USD)</t>
        </is>
      </c>
      <c r="D60" s="263">
        <f>IF(ISNA(MATCH(D$2,Inputs!$K$4:$AJ$4,0)),NA(),IF(SUMPRODUCT((Inputs!$A$5:$A$120=$B60)*ISNUMBER(INDEX(Inputs!$K$5:$AJ$120,0,MATCH(D$2,Inputs!$K$4:$AJ$4,0))))+SUMPRODUCT((Inputs!$C$5:$C$120=$B60)*ISNUMBER(INDEX(Inputs!$K$5:$AJ$120,0,MATCH(D$2,Inputs!$K$4:$AJ$4,0))))+SUMPRODUCT((Inputs!$E$5:$E$120=$B60)*ISNUMBER(INDEX(Inputs!$K$5:$AJ$120,0,MATCH(D$2,Inputs!$K$4:$AJ$4,0))))=0,NA(),SUMPRODUCT((Inputs!$A$5:$A$120=$B60)*Inputs!$B$5:$B$120*(((Inputs!$G$5:$G$120="moeda")+(Inputs!$G$5:$G$120="acoes"))*Inputs!$B$1+((Inputs!$G$5:$G$120&lt;&gt;"moeda")*(Inputs!$G$5:$G$120&lt;&gt;"acoes")))*INDEX(Inputs!$K$5:$AJ$120,0,MATCH(D$2,Inputs!$K$4:$AJ$4,0)))+SUMPRODUCT((Inputs!$C$5:$C$120=$B60)*Inputs!$D$5:$D$120*(((Inputs!$G$5:$G$120="moeda")+(Inputs!$G$5:$G$120="acoes"))*Inputs!$B$1+((Inputs!$G$5:$G$120&lt;&gt;"moeda")*(Inputs!$G$5:$G$120&lt;&gt;"acoes")))*INDEX(Inputs!$K$5:$AJ$120,0,MATCH(D$2,Inputs!$K$4:$AJ$4,0)))+SUMPRODUCT((Inputs!$E$5:$E$120=$B60)*Inputs!$F$5:$F$120*(((Inputs!$G$5:$G$120="moeda")+(Inputs!$G$5:$G$120="acoes"))*Inputs!$B$1+((Inputs!$G$5:$G$120&lt;&gt;"moeda")*(Inputs!$G$5:$G$120&lt;&gt;"acoes")))*INDEX(Inputs!$K$5:$AJ$120,0,MATCH(D$2,Inputs!$K$4:$AJ$4,0)))))</f>
        <v>893</v>
      </c>
      <c r="E60" s="263">
        <f>IF(ISNA(MATCH(E$2,Inputs!$K$4:$AJ$4,0)),NA(),IF(SUMPRODUCT((Inputs!$A$5:$A$120=$B60)*ISNUMBER(INDEX(Inputs!$K$5:$AJ$120,0,MATCH(E$2,Inputs!$K$4:$AJ$4,0))))+SUMPRODUCT((Inputs!$C$5:$C$120=$B60)*ISNUMBER(INDEX(Inputs!$K$5:$AJ$120,0,MATCH(E$2,Inputs!$K$4:$AJ$4,0))))+SUMPRODUCT((Inputs!$E$5:$E$120=$B60)*ISNUMBER(INDEX(Inputs!$K$5:$AJ$120,0,MATCH(E$2,Inputs!$K$4:$AJ$4,0))))=0,NA(),SUMPRODUCT((Inputs!$A$5:$A$120=$B60)*Inputs!$B$5:$B$120*(((Inputs!$G$5:$G$120="moeda")+(Inputs!$G$5:$G$120="acoes"))*Inputs!$B$1+((Inputs!$G$5:$G$120&lt;&gt;"moeda")*(Inputs!$G$5:$G$120&lt;&gt;"acoes")))*INDEX(Inputs!$K$5:$AJ$120,0,MATCH(E$2,Inputs!$K$4:$AJ$4,0)))+SUMPRODUCT((Inputs!$C$5:$C$120=$B60)*Inputs!$D$5:$D$120*(((Inputs!$G$5:$G$120="moeda")+(Inputs!$G$5:$G$120="acoes"))*Inputs!$B$1+((Inputs!$G$5:$G$120&lt;&gt;"moeda")*(Inputs!$G$5:$G$120&lt;&gt;"acoes")))*INDEX(Inputs!$K$5:$AJ$120,0,MATCH(E$2,Inputs!$K$4:$AJ$4,0)))+SUMPRODUCT((Inputs!$E$5:$E$120=$B60)*Inputs!$F$5:$F$120*(((Inputs!$G$5:$G$120="moeda")+(Inputs!$G$5:$G$120="acoes"))*Inputs!$B$1+((Inputs!$G$5:$G$120&lt;&gt;"moeda")*(Inputs!$G$5:$G$120&lt;&gt;"acoes")))*INDEX(Inputs!$K$5:$AJ$120,0,MATCH(E$2,Inputs!$K$4:$AJ$4,0)))))</f>
        <v>951</v>
      </c>
      <c r="F60" s="263">
        <f>IF(ISNA(MATCH(F$2,Inputs!$K$4:$AJ$4,0)),NA(),IF(SUMPRODUCT((Inputs!$A$5:$A$120=$B60)*ISNUMBER(INDEX(Inputs!$K$5:$AJ$120,0,MATCH(F$2,Inputs!$K$4:$AJ$4,0))))+SUMPRODUCT((Inputs!$C$5:$C$120=$B60)*ISNUMBER(INDEX(Inputs!$K$5:$AJ$120,0,MATCH(F$2,Inputs!$K$4:$AJ$4,0))))+SUMPRODUCT((Inputs!$E$5:$E$120=$B60)*ISNUMBER(INDEX(Inputs!$K$5:$AJ$120,0,MATCH(F$2,Inputs!$K$4:$AJ$4,0))))=0,NA(),SUMPRODUCT((Inputs!$A$5:$A$120=$B60)*Inputs!$B$5:$B$120*(((Inputs!$G$5:$G$120="moeda")+(Inputs!$G$5:$G$120="acoes"))*Inputs!$B$1+((Inputs!$G$5:$G$120&lt;&gt;"moeda")*(Inputs!$G$5:$G$120&lt;&gt;"acoes")))*INDEX(Inputs!$K$5:$AJ$120,0,MATCH(F$2,Inputs!$K$4:$AJ$4,0)))+SUMPRODUCT((Inputs!$C$5:$C$120=$B60)*Inputs!$D$5:$D$120*(((Inputs!$G$5:$G$120="moeda")+(Inputs!$G$5:$G$120="acoes"))*Inputs!$B$1+((Inputs!$G$5:$G$120&lt;&gt;"moeda")*(Inputs!$G$5:$G$120&lt;&gt;"acoes")))*INDEX(Inputs!$K$5:$AJ$120,0,MATCH(F$2,Inputs!$K$4:$AJ$4,0)))+SUMPRODUCT((Inputs!$E$5:$E$120=$B60)*Inputs!$F$5:$F$120*(((Inputs!$G$5:$G$120="moeda")+(Inputs!$G$5:$G$120="acoes"))*Inputs!$B$1+((Inputs!$G$5:$G$120&lt;&gt;"moeda")*(Inputs!$G$5:$G$120&lt;&gt;"acoes")))*INDEX(Inputs!$K$5:$AJ$120,0,MATCH(F$2,Inputs!$K$4:$AJ$4,0)))))</f>
        <v>894</v>
      </c>
      <c r="G60" s="263">
        <f>IF(ISNA(MATCH(G$2,Inputs!$K$4:$AJ$4,0)),NA(),IF(SUMPRODUCT((Inputs!$A$5:$A$120=$B60)*ISNUMBER(INDEX(Inputs!$K$5:$AJ$120,0,MATCH(G$2,Inputs!$K$4:$AJ$4,0))))+SUMPRODUCT((Inputs!$C$5:$C$120=$B60)*ISNUMBER(INDEX(Inputs!$K$5:$AJ$120,0,MATCH(G$2,Inputs!$K$4:$AJ$4,0))))+SUMPRODUCT((Inputs!$E$5:$E$120=$B60)*ISNUMBER(INDEX(Inputs!$K$5:$AJ$120,0,MATCH(G$2,Inputs!$K$4:$AJ$4,0))))=0,NA(),SUMPRODUCT((Inputs!$A$5:$A$120=$B60)*Inputs!$B$5:$B$120*(((Inputs!$G$5:$G$120="moeda")+(Inputs!$G$5:$G$120="acoes"))*Inputs!$B$1+((Inputs!$G$5:$G$120&lt;&gt;"moeda")*(Inputs!$G$5:$G$120&lt;&gt;"acoes")))*INDEX(Inputs!$K$5:$AJ$120,0,MATCH(G$2,Inputs!$K$4:$AJ$4,0)))+SUMPRODUCT((Inputs!$C$5:$C$120=$B60)*Inputs!$D$5:$D$120*(((Inputs!$G$5:$G$120="moeda")+(Inputs!$G$5:$G$120="acoes"))*Inputs!$B$1+((Inputs!$G$5:$G$120&lt;&gt;"moeda")*(Inputs!$G$5:$G$120&lt;&gt;"acoes")))*INDEX(Inputs!$K$5:$AJ$120,0,MATCH(G$2,Inputs!$K$4:$AJ$4,0)))+SUMPRODUCT((Inputs!$E$5:$E$120=$B60)*Inputs!$F$5:$F$120*(((Inputs!$G$5:$G$120="moeda")+(Inputs!$G$5:$G$120="acoes"))*Inputs!$B$1+((Inputs!$G$5:$G$120&lt;&gt;"moeda")*(Inputs!$G$5:$G$120&lt;&gt;"acoes")))*INDEX(Inputs!$K$5:$AJ$120,0,MATCH(G$2,Inputs!$K$4:$AJ$4,0)))))</f>
        <v>1064</v>
      </c>
      <c r="H60" s="264">
        <f>SUM(D60:G60)</f>
        <v>3802</v>
      </c>
      <c r="I60" s="263">
        <f>IF(ISNA(MATCH(I$2,Inputs!$K$4:$AJ$4,0)),NA(),IF(SUMPRODUCT((Inputs!$A$5:$A$120=$B60)*ISNUMBER(INDEX(Inputs!$K$5:$AJ$120,0,MATCH(I$2,Inputs!$K$4:$AJ$4,0))))+SUMPRODUCT((Inputs!$C$5:$C$120=$B60)*ISNUMBER(INDEX(Inputs!$K$5:$AJ$120,0,MATCH(I$2,Inputs!$K$4:$AJ$4,0))))+SUMPRODUCT((Inputs!$E$5:$E$120=$B60)*ISNUMBER(INDEX(Inputs!$K$5:$AJ$120,0,MATCH(I$2,Inputs!$K$4:$AJ$4,0))))=0,NA(),SUMPRODUCT((Inputs!$A$5:$A$120=$B60)*Inputs!$B$5:$B$120*(((Inputs!$G$5:$G$120="moeda")+(Inputs!$G$5:$G$120="acoes"))*Inputs!$B$1+((Inputs!$G$5:$G$120&lt;&gt;"moeda")*(Inputs!$G$5:$G$120&lt;&gt;"acoes")))*INDEX(Inputs!$K$5:$AJ$120,0,MATCH(I$2,Inputs!$K$4:$AJ$4,0)))+SUMPRODUCT((Inputs!$C$5:$C$120=$B60)*Inputs!$D$5:$D$120*(((Inputs!$G$5:$G$120="moeda")+(Inputs!$G$5:$G$120="acoes"))*Inputs!$B$1+((Inputs!$G$5:$G$120&lt;&gt;"moeda")*(Inputs!$G$5:$G$120&lt;&gt;"acoes")))*INDEX(Inputs!$K$5:$AJ$120,0,MATCH(I$2,Inputs!$K$4:$AJ$4,0)))+SUMPRODUCT((Inputs!$E$5:$E$120=$B60)*Inputs!$F$5:$F$120*(((Inputs!$G$5:$G$120="moeda")+(Inputs!$G$5:$G$120="acoes"))*Inputs!$B$1+((Inputs!$G$5:$G$120&lt;&gt;"moeda")*(Inputs!$G$5:$G$120&lt;&gt;"acoes")))*INDEX(Inputs!$K$5:$AJ$120,0,MATCH(I$2,Inputs!$K$4:$AJ$4,0)))))</f>
        <v>1279</v>
      </c>
      <c r="J60" s="263">
        <f>IF(ISNA(MATCH(J$2,Inputs!$K$4:$AJ$4,0)),NA(),IF(SUMPRODUCT((Inputs!$A$5:$A$120=$B60)*ISNUMBER(INDEX(Inputs!$K$5:$AJ$120,0,MATCH(J$2,Inputs!$K$4:$AJ$4,0))))+SUMPRODUCT((Inputs!$C$5:$C$120=$B60)*ISNUMBER(INDEX(Inputs!$K$5:$AJ$120,0,MATCH(J$2,Inputs!$K$4:$AJ$4,0))))+SUMPRODUCT((Inputs!$E$5:$E$120=$B60)*ISNUMBER(INDEX(Inputs!$K$5:$AJ$120,0,MATCH(J$2,Inputs!$K$4:$AJ$4,0))))=0,NA(),SUMPRODUCT((Inputs!$A$5:$A$120=$B60)*Inputs!$B$5:$B$120*(((Inputs!$G$5:$G$120="moeda")+(Inputs!$G$5:$G$120="acoes"))*Inputs!$B$1+((Inputs!$G$5:$G$120&lt;&gt;"moeda")*(Inputs!$G$5:$G$120&lt;&gt;"acoes")))*INDEX(Inputs!$K$5:$AJ$120,0,MATCH(J$2,Inputs!$K$4:$AJ$4,0)))+SUMPRODUCT((Inputs!$C$5:$C$120=$B60)*Inputs!$D$5:$D$120*(((Inputs!$G$5:$G$120="moeda")+(Inputs!$G$5:$G$120="acoes"))*Inputs!$B$1+((Inputs!$G$5:$G$120&lt;&gt;"moeda")*(Inputs!$G$5:$G$120&lt;&gt;"acoes")))*INDEX(Inputs!$K$5:$AJ$120,0,MATCH(J$2,Inputs!$K$4:$AJ$4,0)))+SUMPRODUCT((Inputs!$E$5:$E$120=$B60)*Inputs!$F$5:$F$120*(((Inputs!$G$5:$G$120="moeda")+(Inputs!$G$5:$G$120="acoes"))*Inputs!$B$1+((Inputs!$G$5:$G$120&lt;&gt;"moeda")*(Inputs!$G$5:$G$120&lt;&gt;"acoes")))*INDEX(Inputs!$K$5:$AJ$120,0,MATCH(J$2,Inputs!$K$4:$AJ$4,0)))))</f>
        <v>1466</v>
      </c>
      <c r="K60" s="263">
        <f>IF(ISNA(MATCH(K$2,Inputs!$K$4:$AJ$4,0)),NA(),IF(SUMPRODUCT((Inputs!$A$5:$A$120=$B60)*ISNUMBER(INDEX(Inputs!$K$5:$AJ$120,0,MATCH(K$2,Inputs!$K$4:$AJ$4,0))))+SUMPRODUCT((Inputs!$C$5:$C$120=$B60)*ISNUMBER(INDEX(Inputs!$K$5:$AJ$120,0,MATCH(K$2,Inputs!$K$4:$AJ$4,0))))+SUMPRODUCT((Inputs!$E$5:$E$120=$B60)*ISNUMBER(INDEX(Inputs!$K$5:$AJ$120,0,MATCH(K$2,Inputs!$K$4:$AJ$4,0))))=0,NA(),SUMPRODUCT((Inputs!$A$5:$A$120=$B60)*Inputs!$B$5:$B$120*(((Inputs!$G$5:$G$120="moeda")+(Inputs!$G$5:$G$120="acoes"))*Inputs!$B$1+((Inputs!$G$5:$G$120&lt;&gt;"moeda")*(Inputs!$G$5:$G$120&lt;&gt;"acoes")))*INDEX(Inputs!$K$5:$AJ$120,0,MATCH(K$2,Inputs!$K$4:$AJ$4,0)))+SUMPRODUCT((Inputs!$C$5:$C$120=$B60)*Inputs!$D$5:$D$120*(((Inputs!$G$5:$G$120="moeda")+(Inputs!$G$5:$G$120="acoes"))*Inputs!$B$1+((Inputs!$G$5:$G$120&lt;&gt;"moeda")*(Inputs!$G$5:$G$120&lt;&gt;"acoes")))*INDEX(Inputs!$K$5:$AJ$120,0,MATCH(K$2,Inputs!$K$4:$AJ$4,0)))+SUMPRODUCT((Inputs!$E$5:$E$120=$B60)*Inputs!$F$5:$F$120*(((Inputs!$G$5:$G$120="moeda")+(Inputs!$G$5:$G$120="acoes"))*Inputs!$B$1+((Inputs!$G$5:$G$120&lt;&gt;"moeda")*(Inputs!$G$5:$G$120&lt;&gt;"acoes")))*INDEX(Inputs!$K$5:$AJ$120,0,MATCH(K$2,Inputs!$K$4:$AJ$4,0)))))</f>
        <v>1645</v>
      </c>
      <c r="L60" s="263">
        <f>IF(ISNA(MATCH(L$2,Inputs!$K$4:$AJ$4,0)),NA(),IF(SUMPRODUCT((Inputs!$A$5:$A$120=$B60)*ISNUMBER(INDEX(Inputs!$K$5:$AJ$120,0,MATCH(L$2,Inputs!$K$4:$AJ$4,0))))+SUMPRODUCT((Inputs!$C$5:$C$120=$B60)*ISNUMBER(INDEX(Inputs!$K$5:$AJ$120,0,MATCH(L$2,Inputs!$K$4:$AJ$4,0))))+SUMPRODUCT((Inputs!$E$5:$E$120=$B60)*ISNUMBER(INDEX(Inputs!$K$5:$AJ$120,0,MATCH(L$2,Inputs!$K$4:$AJ$4,0))))=0,NA(),SUMPRODUCT((Inputs!$A$5:$A$120=$B60)*Inputs!$B$5:$B$120*(((Inputs!$G$5:$G$120="moeda")+(Inputs!$G$5:$G$120="acoes"))*Inputs!$B$1+((Inputs!$G$5:$G$120&lt;&gt;"moeda")*(Inputs!$G$5:$G$120&lt;&gt;"acoes")))*INDEX(Inputs!$K$5:$AJ$120,0,MATCH(L$2,Inputs!$K$4:$AJ$4,0)))+SUMPRODUCT((Inputs!$C$5:$C$120=$B60)*Inputs!$D$5:$D$120*(((Inputs!$G$5:$G$120="moeda")+(Inputs!$G$5:$G$120="acoes"))*Inputs!$B$1+((Inputs!$G$5:$G$120&lt;&gt;"moeda")*(Inputs!$G$5:$G$120&lt;&gt;"acoes")))*INDEX(Inputs!$K$5:$AJ$120,0,MATCH(L$2,Inputs!$K$4:$AJ$4,0)))+SUMPRODUCT((Inputs!$E$5:$E$120=$B60)*Inputs!$F$5:$F$120*(((Inputs!$G$5:$G$120="moeda")+(Inputs!$G$5:$G$120="acoes"))*Inputs!$B$1+((Inputs!$G$5:$G$120&lt;&gt;"moeda")*(Inputs!$G$5:$G$120&lt;&gt;"acoes")))*INDEX(Inputs!$K$5:$AJ$120,0,MATCH(L$2,Inputs!$K$4:$AJ$4,0)))))</f>
        <v>1701</v>
      </c>
      <c r="M60" s="264">
        <f>SUM(I60:L60)</f>
        <v>6091</v>
      </c>
      <c r="N60" s="263">
        <f>IF(ISNA(MATCH(N$2,Inputs!$K$4:$AJ$4,0)),NA(),IF(SUMPRODUCT((Inputs!$A$5:$A$120=$B60)*ISNUMBER(INDEX(Inputs!$K$5:$AJ$120,0,MATCH(N$2,Inputs!$K$4:$AJ$4,0))))+SUMPRODUCT((Inputs!$C$5:$C$120=$B60)*ISNUMBER(INDEX(Inputs!$K$5:$AJ$120,0,MATCH(N$2,Inputs!$K$4:$AJ$4,0))))+SUMPRODUCT((Inputs!$E$5:$E$120=$B60)*ISNUMBER(INDEX(Inputs!$K$5:$AJ$120,0,MATCH(N$2,Inputs!$K$4:$AJ$4,0))))=0,NA(),SUMPRODUCT((Inputs!$A$5:$A$120=$B60)*Inputs!$B$5:$B$120*(((Inputs!$G$5:$G$120="moeda")+(Inputs!$G$5:$G$120="acoes"))*Inputs!$B$1+((Inputs!$G$5:$G$120&lt;&gt;"moeda")*(Inputs!$G$5:$G$120&lt;&gt;"acoes")))*INDEX(Inputs!$K$5:$AJ$120,0,MATCH(N$2,Inputs!$K$4:$AJ$4,0)))+SUMPRODUCT((Inputs!$C$5:$C$120=$B60)*Inputs!$D$5:$D$120*(((Inputs!$G$5:$G$120="moeda")+(Inputs!$G$5:$G$120="acoes"))*Inputs!$B$1+((Inputs!$G$5:$G$120&lt;&gt;"moeda")*(Inputs!$G$5:$G$120&lt;&gt;"acoes")))*INDEX(Inputs!$K$5:$AJ$120,0,MATCH(N$2,Inputs!$K$4:$AJ$4,0)))+SUMPRODUCT((Inputs!$E$5:$E$120=$B60)*Inputs!$F$5:$F$120*(((Inputs!$G$5:$G$120="moeda")+(Inputs!$G$5:$G$120="acoes"))*Inputs!$B$1+((Inputs!$G$5:$G$120&lt;&gt;"moeda")*(Inputs!$G$5:$G$120&lt;&gt;"acoes")))*INDEX(Inputs!$K$5:$AJ$120,0,MATCH(N$2,Inputs!$K$4:$AJ$4,0)))))</f>
        <v>1837</v>
      </c>
      <c r="O60" s="263">
        <f>IF(ISNA(MATCH(O$2,Inputs!$K$4:$AJ$4,0)),NA(),IF(SUMPRODUCT((Inputs!$A$5:$A$120=$B60)*ISNUMBER(INDEX(Inputs!$K$5:$AJ$120,0,MATCH(O$2,Inputs!$K$4:$AJ$4,0))))+SUMPRODUCT((Inputs!$C$5:$C$120=$B60)*ISNUMBER(INDEX(Inputs!$K$5:$AJ$120,0,MATCH(O$2,Inputs!$K$4:$AJ$4,0))))+SUMPRODUCT((Inputs!$E$5:$E$120=$B60)*ISNUMBER(INDEX(Inputs!$K$5:$AJ$120,0,MATCH(O$2,Inputs!$K$4:$AJ$4,0))))=0,NA(),SUMPRODUCT((Inputs!$A$5:$A$120=$B60)*Inputs!$B$5:$B$120*(((Inputs!$G$5:$G$120="moeda")+(Inputs!$G$5:$G$120="acoes"))*Inputs!$B$1+((Inputs!$G$5:$G$120&lt;&gt;"moeda")*(Inputs!$G$5:$G$120&lt;&gt;"acoes")))*INDEX(Inputs!$K$5:$AJ$120,0,MATCH(O$2,Inputs!$K$4:$AJ$4,0)))+SUMPRODUCT((Inputs!$C$5:$C$120=$B60)*Inputs!$D$5:$D$120*(((Inputs!$G$5:$G$120="moeda")+(Inputs!$G$5:$G$120="acoes"))*Inputs!$B$1+((Inputs!$G$5:$G$120&lt;&gt;"moeda")*(Inputs!$G$5:$G$120&lt;&gt;"acoes")))*INDEX(Inputs!$K$5:$AJ$120,0,MATCH(O$2,Inputs!$K$4:$AJ$4,0)))+SUMPRODUCT((Inputs!$E$5:$E$120=$B60)*Inputs!$F$5:$F$120*(((Inputs!$G$5:$G$120="moeda")+(Inputs!$G$5:$G$120="acoes"))*Inputs!$B$1+((Inputs!$G$5:$G$120&lt;&gt;"moeda")*(Inputs!$G$5:$G$120&lt;&gt;"acoes")))*INDEX(Inputs!$K$5:$AJ$120,0,MATCH(O$2,Inputs!$K$4:$AJ$4,0)))))</f>
        <v>2150</v>
      </c>
      <c r="P60" s="263">
        <f>IF(ISNA(MATCH(P$2,Inputs!$K$4:$AJ$4,0)),NA(),IF(SUMPRODUCT((Inputs!$A$5:$A$120=$B60)*ISNUMBER(INDEX(Inputs!$K$5:$AJ$120,0,MATCH(P$2,Inputs!$K$4:$AJ$4,0))))+SUMPRODUCT((Inputs!$C$5:$C$120=$B60)*ISNUMBER(INDEX(Inputs!$K$5:$AJ$120,0,MATCH(P$2,Inputs!$K$4:$AJ$4,0))))+SUMPRODUCT((Inputs!$E$5:$E$120=$B60)*ISNUMBER(INDEX(Inputs!$K$5:$AJ$120,0,MATCH(P$2,Inputs!$K$4:$AJ$4,0))))=0,NA(),SUMPRODUCT((Inputs!$A$5:$A$120=$B60)*Inputs!$B$5:$B$120*(((Inputs!$G$5:$G$120="moeda")+(Inputs!$G$5:$G$120="acoes"))*Inputs!$B$1+((Inputs!$G$5:$G$120&lt;&gt;"moeda")*(Inputs!$G$5:$G$120&lt;&gt;"acoes")))*INDEX(Inputs!$K$5:$AJ$120,0,MATCH(P$2,Inputs!$K$4:$AJ$4,0)))+SUMPRODUCT((Inputs!$C$5:$C$120=$B60)*Inputs!$D$5:$D$120*(((Inputs!$G$5:$G$120="moeda")+(Inputs!$G$5:$G$120="acoes"))*Inputs!$B$1+((Inputs!$G$5:$G$120&lt;&gt;"moeda")*(Inputs!$G$5:$G$120&lt;&gt;"acoes")))*INDEX(Inputs!$K$5:$AJ$120,0,MATCH(P$2,Inputs!$K$4:$AJ$4,0)))+SUMPRODUCT((Inputs!$E$5:$E$120=$B60)*Inputs!$F$5:$F$120*(((Inputs!$G$5:$G$120="moeda")+(Inputs!$G$5:$G$120="acoes"))*Inputs!$B$1+((Inputs!$G$5:$G$120&lt;&gt;"moeda")*(Inputs!$G$5:$G$120&lt;&gt;"acoes")))*INDEX(Inputs!$K$5:$AJ$120,0,MATCH(P$2,Inputs!$K$4:$AJ$4,0)))))</f>
        <v>2166</v>
      </c>
      <c r="Q60" s="263">
        <f>IF(ISNA(MATCH(Q$2,Inputs!$K$4:$AJ$4,0)),NA(),IF(SUMPRODUCT((Inputs!$A$5:$A$120=$B60)*ISNUMBER(INDEX(Inputs!$K$5:$AJ$120,0,MATCH(Q$2,Inputs!$K$4:$AJ$4,0))))+SUMPRODUCT((Inputs!$C$5:$C$120=$B60)*ISNUMBER(INDEX(Inputs!$K$5:$AJ$120,0,MATCH(Q$2,Inputs!$K$4:$AJ$4,0))))+SUMPRODUCT((Inputs!$E$5:$E$120=$B60)*ISNUMBER(INDEX(Inputs!$K$5:$AJ$120,0,MATCH(Q$2,Inputs!$K$4:$AJ$4,0))))=0,NA(),SUMPRODUCT((Inputs!$A$5:$A$120=$B60)*Inputs!$B$5:$B$120*(((Inputs!$G$5:$G$120="moeda")+(Inputs!$G$5:$G$120="acoes"))*Inputs!$B$1+((Inputs!$G$5:$G$120&lt;&gt;"moeda")*(Inputs!$G$5:$G$120&lt;&gt;"acoes")))*INDEX(Inputs!$K$5:$AJ$120,0,MATCH(Q$2,Inputs!$K$4:$AJ$4,0)))+SUMPRODUCT((Inputs!$C$5:$C$120=$B60)*Inputs!$D$5:$D$120*(((Inputs!$G$5:$G$120="moeda")+(Inputs!$G$5:$G$120="acoes"))*Inputs!$B$1+((Inputs!$G$5:$G$120&lt;&gt;"moeda")*(Inputs!$G$5:$G$120&lt;&gt;"acoes")))*INDEX(Inputs!$K$5:$AJ$120,0,MATCH(Q$2,Inputs!$K$4:$AJ$4,0)))+SUMPRODUCT((Inputs!$E$5:$E$120=$B60)*Inputs!$F$5:$F$120*(((Inputs!$G$5:$G$120="moeda")+(Inputs!$G$5:$G$120="acoes"))*Inputs!$B$1+((Inputs!$G$5:$G$120&lt;&gt;"moeda")*(Inputs!$G$5:$G$120&lt;&gt;"acoes")))*INDEX(Inputs!$K$5:$AJ$120,0,MATCH(Q$2,Inputs!$K$4:$AJ$4,0)))))</f>
        <v>2166</v>
      </c>
      <c r="R60" s="264">
        <f>SUM(N60:Q60)</f>
        <v>8319</v>
      </c>
      <c r="S60" s="263">
        <f>IF(ISNA(MATCH(S$2,Inputs!$K$4:$AJ$4,0)),NA(),IF(SUMPRODUCT((Inputs!$A$5:$A$120=$B60)*ISNUMBER(INDEX(Inputs!$K$5:$AJ$120,0,MATCH(S$2,Inputs!$K$4:$AJ$4,0))))+SUMPRODUCT((Inputs!$C$5:$C$120=$B60)*ISNUMBER(INDEX(Inputs!$K$5:$AJ$120,0,MATCH(S$2,Inputs!$K$4:$AJ$4,0))))+SUMPRODUCT((Inputs!$E$5:$E$120=$B60)*ISNUMBER(INDEX(Inputs!$K$5:$AJ$120,0,MATCH(S$2,Inputs!$K$4:$AJ$4,0))))=0,NA(),SUMPRODUCT((Inputs!$A$5:$A$120=$B60)*Inputs!$B$5:$B$120*(((Inputs!$G$5:$G$120="moeda")+(Inputs!$G$5:$G$120="acoes"))*Inputs!$B$1+((Inputs!$G$5:$G$120&lt;&gt;"moeda")*(Inputs!$G$5:$G$120&lt;&gt;"acoes")))*INDEX(Inputs!$K$5:$AJ$120,0,MATCH(S$2,Inputs!$K$4:$AJ$4,0)))+SUMPRODUCT((Inputs!$C$5:$C$120=$B60)*Inputs!$D$5:$D$120*(((Inputs!$G$5:$G$120="moeda")+(Inputs!$G$5:$G$120="acoes"))*Inputs!$B$1+((Inputs!$G$5:$G$120&lt;&gt;"moeda")*(Inputs!$G$5:$G$120&lt;&gt;"acoes")))*INDEX(Inputs!$K$5:$AJ$120,0,MATCH(S$2,Inputs!$K$4:$AJ$4,0)))+SUMPRODUCT((Inputs!$E$5:$E$120=$B60)*Inputs!$F$5:$F$120*(((Inputs!$G$5:$G$120="moeda")+(Inputs!$G$5:$G$120="acoes"))*Inputs!$B$1+((Inputs!$G$5:$G$120&lt;&gt;"moeda")*(Inputs!$G$5:$G$120&lt;&gt;"acoes")))*INDEX(Inputs!$K$5:$AJ$120,0,MATCH(S$2,Inputs!$K$4:$AJ$4,0)))))</f>
        <v>2288</v>
      </c>
      <c r="T60" s="263">
        <f>IF(ISNA(MATCH(T$2,Inputs!$K$4:$AJ$4,0)),NA(),IF(SUMPRODUCT((Inputs!$A$5:$A$120=$B60)*ISNUMBER(INDEX(Inputs!$K$5:$AJ$120,0,MATCH(T$2,Inputs!$K$4:$AJ$4,0))))+SUMPRODUCT((Inputs!$C$5:$C$120=$B60)*ISNUMBER(INDEX(Inputs!$K$5:$AJ$120,0,MATCH(T$2,Inputs!$K$4:$AJ$4,0))))+SUMPRODUCT((Inputs!$E$5:$E$120=$B60)*ISNUMBER(INDEX(Inputs!$K$5:$AJ$120,0,MATCH(T$2,Inputs!$K$4:$AJ$4,0))))=0,NA(),SUMPRODUCT((Inputs!$A$5:$A$120=$B60)*Inputs!$B$5:$B$120*(((Inputs!$G$5:$G$120="moeda")+(Inputs!$G$5:$G$120="acoes"))*Inputs!$B$1+((Inputs!$G$5:$G$120&lt;&gt;"moeda")*(Inputs!$G$5:$G$120&lt;&gt;"acoes")))*INDEX(Inputs!$K$5:$AJ$120,0,MATCH(T$2,Inputs!$K$4:$AJ$4,0)))+SUMPRODUCT((Inputs!$C$5:$C$120=$B60)*Inputs!$D$5:$D$120*(((Inputs!$G$5:$G$120="moeda")+(Inputs!$G$5:$G$120="acoes"))*Inputs!$B$1+((Inputs!$G$5:$G$120&lt;&gt;"moeda")*(Inputs!$G$5:$G$120&lt;&gt;"acoes")))*INDEX(Inputs!$K$5:$AJ$120,0,MATCH(T$2,Inputs!$K$4:$AJ$4,0)))+SUMPRODUCT((Inputs!$E$5:$E$120=$B60)*Inputs!$F$5:$F$120*(((Inputs!$G$5:$G$120="moeda")+(Inputs!$G$5:$G$120="acoes"))*Inputs!$B$1+((Inputs!$G$5:$G$120&lt;&gt;"moeda")*(Inputs!$G$5:$G$120&lt;&gt;"acoes")))*INDEX(Inputs!$K$5:$AJ$120,0,MATCH(T$2,Inputs!$K$4:$AJ$4,0)))))</f>
        <v>2608</v>
      </c>
      <c r="U60" s="263">
        <f>IF(ISNA(MATCH(U$2,Inputs!$K$4:$AJ$4,0)),NA(),IF(SUMPRODUCT((Inputs!$A$5:$A$120=$B60)*ISNUMBER(INDEX(Inputs!$K$5:$AJ$120,0,MATCH(U$2,Inputs!$K$4:$AJ$4,0))))+SUMPRODUCT((Inputs!$C$5:$C$120=$B60)*ISNUMBER(INDEX(Inputs!$K$5:$AJ$120,0,MATCH(U$2,Inputs!$K$4:$AJ$4,0))))+SUMPRODUCT((Inputs!$E$5:$E$120=$B60)*ISNUMBER(INDEX(Inputs!$K$5:$AJ$120,0,MATCH(U$2,Inputs!$K$4:$AJ$4,0))))=0,NA(),SUMPRODUCT((Inputs!$A$5:$A$120=$B60)*Inputs!$B$5:$B$120*(((Inputs!$G$5:$G$120="moeda")+(Inputs!$G$5:$G$120="acoes"))*Inputs!$B$1+((Inputs!$G$5:$G$120&lt;&gt;"moeda")*(Inputs!$G$5:$G$120&lt;&gt;"acoes")))*INDEX(Inputs!$K$5:$AJ$120,0,MATCH(U$2,Inputs!$K$4:$AJ$4,0)))+SUMPRODUCT((Inputs!$C$5:$C$120=$B60)*Inputs!$D$5:$D$120*(((Inputs!$G$5:$G$120="moeda")+(Inputs!$G$5:$G$120="acoes"))*Inputs!$B$1+((Inputs!$G$5:$G$120&lt;&gt;"moeda")*(Inputs!$G$5:$G$120&lt;&gt;"acoes")))*INDEX(Inputs!$K$5:$AJ$120,0,MATCH(U$2,Inputs!$K$4:$AJ$4,0)))+SUMPRODUCT((Inputs!$E$5:$E$120=$B60)*Inputs!$F$5:$F$120*(((Inputs!$G$5:$G$120="moeda")+(Inputs!$G$5:$G$120="acoes"))*Inputs!$B$1+((Inputs!$G$5:$G$120&lt;&gt;"moeda")*(Inputs!$G$5:$G$120&lt;&gt;"acoes")))*INDEX(Inputs!$K$5:$AJ$120,0,MATCH(U$2,Inputs!$K$4:$AJ$4,0)))))</f>
        <v>2790</v>
      </c>
      <c r="V60" s="263">
        <f>IF(ISNA(MATCH(V$2,Inputs!$K$4:$AJ$4,0)),NA(),IF(SUMPRODUCT((Inputs!$A$5:$A$120=$B60)*ISNUMBER(INDEX(Inputs!$K$5:$AJ$120,0,MATCH(V$2,Inputs!$K$4:$AJ$4,0))))+SUMPRODUCT((Inputs!$C$5:$C$120=$B60)*ISNUMBER(INDEX(Inputs!$K$5:$AJ$120,0,MATCH(V$2,Inputs!$K$4:$AJ$4,0))))+SUMPRODUCT((Inputs!$E$5:$E$120=$B60)*ISNUMBER(INDEX(Inputs!$K$5:$AJ$120,0,MATCH(V$2,Inputs!$K$4:$AJ$4,0))))=0,NA(),SUMPRODUCT((Inputs!$A$5:$A$120=$B60)*Inputs!$B$5:$B$120*(((Inputs!$G$5:$G$120="moeda")+(Inputs!$G$5:$G$120="acoes"))*Inputs!$B$1+((Inputs!$G$5:$G$120&lt;&gt;"moeda")*(Inputs!$G$5:$G$120&lt;&gt;"acoes")))*INDEX(Inputs!$K$5:$AJ$120,0,MATCH(V$2,Inputs!$K$4:$AJ$4,0)))+SUMPRODUCT((Inputs!$C$5:$C$120=$B60)*Inputs!$D$5:$D$120*(((Inputs!$G$5:$G$120="moeda")+(Inputs!$G$5:$G$120="acoes"))*Inputs!$B$1+((Inputs!$G$5:$G$120&lt;&gt;"moeda")*(Inputs!$G$5:$G$120&lt;&gt;"acoes")))*INDEX(Inputs!$K$5:$AJ$120,0,MATCH(V$2,Inputs!$K$4:$AJ$4,0)))+SUMPRODUCT((Inputs!$E$5:$E$120=$B60)*Inputs!$F$5:$F$120*(((Inputs!$G$5:$G$120="moeda")+(Inputs!$G$5:$G$120="acoes"))*Inputs!$B$1+((Inputs!$G$5:$G$120&lt;&gt;"moeda")*(Inputs!$G$5:$G$120&lt;&gt;"acoes")))*INDEX(Inputs!$K$5:$AJ$120,0,MATCH(V$2,Inputs!$K$4:$AJ$4,0)))))</f>
        <v>2848</v>
      </c>
      <c r="W60" s="264">
        <f>SUM(S60:V60)</f>
        <v>10534</v>
      </c>
      <c r="X60" s="263">
        <f>IF(ISNA(MATCH(X$2,Inputs!$K$4:$AJ$4,0)),NA(),IF(SUMPRODUCT((Inputs!$A$5:$A$120=$B60)*ISNUMBER(INDEX(Inputs!$K$5:$AJ$120,0,MATCH(X$2,Inputs!$K$4:$AJ$4,0))))+SUMPRODUCT((Inputs!$C$5:$C$120=$B60)*ISNUMBER(INDEX(Inputs!$K$5:$AJ$120,0,MATCH(X$2,Inputs!$K$4:$AJ$4,0))))+SUMPRODUCT((Inputs!$E$5:$E$120=$B60)*ISNUMBER(INDEX(Inputs!$K$5:$AJ$120,0,MATCH(X$2,Inputs!$K$4:$AJ$4,0))))=0,NA(),SUMPRODUCT((Inputs!$A$5:$A$120=$B60)*Inputs!$B$5:$B$120*(((Inputs!$G$5:$G$120="moeda")+(Inputs!$G$5:$G$120="acoes"))*Inputs!$B$1+((Inputs!$G$5:$G$120&lt;&gt;"moeda")*(Inputs!$G$5:$G$120&lt;&gt;"acoes")))*INDEX(Inputs!$K$5:$AJ$120,0,MATCH(X$2,Inputs!$K$4:$AJ$4,0)))+SUMPRODUCT((Inputs!$C$5:$C$120=$B60)*Inputs!$D$5:$D$120*(((Inputs!$G$5:$G$120="moeda")+(Inputs!$G$5:$G$120="acoes"))*Inputs!$B$1+((Inputs!$G$5:$G$120&lt;&gt;"moeda")*(Inputs!$G$5:$G$120&lt;&gt;"acoes")))*INDEX(Inputs!$K$5:$AJ$120,0,MATCH(X$2,Inputs!$K$4:$AJ$4,0)))+SUMPRODUCT((Inputs!$E$5:$E$120=$B60)*Inputs!$F$5:$F$120*(((Inputs!$G$5:$G$120="moeda")+(Inputs!$G$5:$G$120="acoes"))*Inputs!$B$1+((Inputs!$G$5:$G$120&lt;&gt;"moeda")*(Inputs!$G$5:$G$120&lt;&gt;"acoes")))*INDEX(Inputs!$K$5:$AJ$120,0,MATCH(X$2,Inputs!$K$4:$AJ$4,0)))))</f>
        <v>2638</v>
      </c>
      <c r="Y60" s="263">
        <f>IF(ISNA(MATCH(Y$2,Inputs!$K$4:$AJ$4,0)),NA(),IF(SUMPRODUCT((Inputs!$A$5:$A$120=$B60)*ISNUMBER(INDEX(Inputs!$K$5:$AJ$120,0,MATCH(Y$2,Inputs!$K$4:$AJ$4,0))))+SUMPRODUCT((Inputs!$C$5:$C$120=$B60)*ISNUMBER(INDEX(Inputs!$K$5:$AJ$120,0,MATCH(Y$2,Inputs!$K$4:$AJ$4,0))))+SUMPRODUCT((Inputs!$E$5:$E$120=$B60)*ISNUMBER(INDEX(Inputs!$K$5:$AJ$120,0,MATCH(Y$2,Inputs!$K$4:$AJ$4,0))))=0,NA(),SUMPRODUCT((Inputs!$A$5:$A$120=$B60)*Inputs!$B$5:$B$120*(((Inputs!$G$5:$G$120="moeda")+(Inputs!$G$5:$G$120="acoes"))*Inputs!$B$1+((Inputs!$G$5:$G$120&lt;&gt;"moeda")*(Inputs!$G$5:$G$120&lt;&gt;"acoes")))*INDEX(Inputs!$K$5:$AJ$120,0,MATCH(Y$2,Inputs!$K$4:$AJ$4,0)))+SUMPRODUCT((Inputs!$C$5:$C$120=$B60)*Inputs!$D$5:$D$120*(((Inputs!$G$5:$G$120="moeda")+(Inputs!$G$5:$G$120="acoes"))*Inputs!$B$1+((Inputs!$G$5:$G$120&lt;&gt;"moeda")*(Inputs!$G$5:$G$120&lt;&gt;"acoes")))*INDEX(Inputs!$K$5:$AJ$120,0,MATCH(Y$2,Inputs!$K$4:$AJ$4,0)))+SUMPRODUCT((Inputs!$E$5:$E$120=$B60)*Inputs!$F$5:$F$120*(((Inputs!$G$5:$G$120="moeda")+(Inputs!$G$5:$G$120="acoes"))*Inputs!$B$1+((Inputs!$G$5:$G$120&lt;&gt;"moeda")*(Inputs!$G$5:$G$120&lt;&gt;"acoes")))*INDEX(Inputs!$K$5:$AJ$120,0,MATCH(Y$2,Inputs!$K$4:$AJ$4,0)))))</f>
        <v>3046</v>
      </c>
      <c r="Z60" s="263">
        <f>IF(ISNA(MATCH(Z$2,Inputs!$K$4:$AJ$4,0)),NA(),IF(SUMPRODUCT((Inputs!$A$5:$A$120=$B60)*ISNUMBER(INDEX(Inputs!$K$5:$AJ$120,0,MATCH(Z$2,Inputs!$K$4:$AJ$4,0))))+SUMPRODUCT((Inputs!$C$5:$C$120=$B60)*ISNUMBER(INDEX(Inputs!$K$5:$AJ$120,0,MATCH(Z$2,Inputs!$K$4:$AJ$4,0))))+SUMPRODUCT((Inputs!$E$5:$E$120=$B60)*ISNUMBER(INDEX(Inputs!$K$5:$AJ$120,0,MATCH(Z$2,Inputs!$K$4:$AJ$4,0))))=0,NA(),SUMPRODUCT((Inputs!$A$5:$A$120=$B60)*Inputs!$B$5:$B$120*(((Inputs!$G$5:$G$120="moeda")+(Inputs!$G$5:$G$120="acoes"))*Inputs!$B$1+((Inputs!$G$5:$G$120&lt;&gt;"moeda")*(Inputs!$G$5:$G$120&lt;&gt;"acoes")))*INDEX(Inputs!$K$5:$AJ$120,0,MATCH(Z$2,Inputs!$K$4:$AJ$4,0)))+SUMPRODUCT((Inputs!$C$5:$C$120=$B60)*Inputs!$D$5:$D$120*(((Inputs!$G$5:$G$120="moeda")+(Inputs!$G$5:$G$120="acoes"))*Inputs!$B$1+((Inputs!$G$5:$G$120&lt;&gt;"moeda")*(Inputs!$G$5:$G$120&lt;&gt;"acoes")))*INDEX(Inputs!$K$5:$AJ$120,0,MATCH(Z$2,Inputs!$K$4:$AJ$4,0)))+SUMPRODUCT((Inputs!$E$5:$E$120=$B60)*Inputs!$F$5:$F$120*(((Inputs!$G$5:$G$120="moeda")+(Inputs!$G$5:$G$120="acoes"))*Inputs!$B$1+((Inputs!$G$5:$G$120&lt;&gt;"moeda")*(Inputs!$G$5:$G$120&lt;&gt;"acoes")))*INDEX(Inputs!$K$5:$AJ$120,0,MATCH(Z$2,Inputs!$K$4:$AJ$4,0)))))</f>
        <v>3475</v>
      </c>
      <c r="AA60" s="263">
        <f>IF(ISNA(MATCH(AA$2,Inputs!$K$4:$AJ$4,0)),NA(),IF(SUMPRODUCT((Inputs!$A$5:$A$120=$B60)*ISNUMBER(INDEX(Inputs!$K$5:$AJ$120,0,MATCH(AA$2,Inputs!$K$4:$AJ$4,0))))+SUMPRODUCT((Inputs!$C$5:$C$120=$B60)*ISNUMBER(INDEX(Inputs!$K$5:$AJ$120,0,MATCH(AA$2,Inputs!$K$4:$AJ$4,0))))+SUMPRODUCT((Inputs!$E$5:$E$120=$B60)*ISNUMBER(INDEX(Inputs!$K$5:$AJ$120,0,MATCH(AA$2,Inputs!$K$4:$AJ$4,0))))=0,NA(),SUMPRODUCT((Inputs!$A$5:$A$120=$B60)*Inputs!$B$5:$B$120*(((Inputs!$G$5:$G$120="moeda")+(Inputs!$G$5:$G$120="acoes"))*Inputs!$B$1+((Inputs!$G$5:$G$120&lt;&gt;"moeda")*(Inputs!$G$5:$G$120&lt;&gt;"acoes")))*INDEX(Inputs!$K$5:$AJ$120,0,MATCH(AA$2,Inputs!$K$4:$AJ$4,0)))+SUMPRODUCT((Inputs!$C$5:$C$120=$B60)*Inputs!$D$5:$D$120*(((Inputs!$G$5:$G$120="moeda")+(Inputs!$G$5:$G$120="acoes"))*Inputs!$B$1+((Inputs!$G$5:$G$120&lt;&gt;"moeda")*(Inputs!$G$5:$G$120&lt;&gt;"acoes")))*INDEX(Inputs!$K$5:$AJ$120,0,MATCH(AA$2,Inputs!$K$4:$AJ$4,0)))+SUMPRODUCT((Inputs!$E$5:$E$120=$B60)*Inputs!$F$5:$F$120*(((Inputs!$G$5:$G$120="moeda")+(Inputs!$G$5:$G$120="acoes"))*Inputs!$B$1+((Inputs!$G$5:$G$120&lt;&gt;"moeda")*(Inputs!$G$5:$G$120&lt;&gt;"acoes")))*INDEX(Inputs!$K$5:$AJ$120,0,MATCH(AA$2,Inputs!$K$4:$AJ$4,0)))))</f>
        <v>3371</v>
      </c>
      <c r="AB60" s="264">
        <f>SUM(X60:AA60)</f>
        <v>12530</v>
      </c>
      <c r="AC60" s="263">
        <f>IF(ISNA(MATCH(AC$2,Inputs!$K$4:$AJ$4,0)),NA(),IF(SUMPRODUCT((Inputs!$A$5:$A$120=$B60)*ISNUMBER(INDEX(Inputs!$K$5:$AJ$120,0,MATCH(AC$2,Inputs!$K$4:$AJ$4,0))))+SUMPRODUCT((Inputs!$C$5:$C$120=$B60)*ISNUMBER(INDEX(Inputs!$K$5:$AJ$120,0,MATCH(AC$2,Inputs!$K$4:$AJ$4,0))))+SUMPRODUCT((Inputs!$E$5:$E$120=$B60)*ISNUMBER(INDEX(Inputs!$K$5:$AJ$120,0,MATCH(AC$2,Inputs!$K$4:$AJ$4,0))))=0,NA(),SUMPRODUCT((Inputs!$A$5:$A$120=$B60)*Inputs!$B$5:$B$120*(((Inputs!$G$5:$G$120="moeda")+(Inputs!$G$5:$G$120="acoes"))*Inputs!$B$1+((Inputs!$G$5:$G$120&lt;&gt;"moeda")*(Inputs!$G$5:$G$120&lt;&gt;"acoes")))*INDEX(Inputs!$K$5:$AJ$120,0,MATCH(AC$2,Inputs!$K$4:$AJ$4,0)))+SUMPRODUCT((Inputs!$C$5:$C$120=$B60)*Inputs!$D$5:$D$120*(((Inputs!$G$5:$G$120="moeda")+(Inputs!$G$5:$G$120="acoes"))*Inputs!$B$1+((Inputs!$G$5:$G$120&lt;&gt;"moeda")*(Inputs!$G$5:$G$120&lt;&gt;"acoes")))*INDEX(Inputs!$K$5:$AJ$120,0,MATCH(AC$2,Inputs!$K$4:$AJ$4,0)))+SUMPRODUCT((Inputs!$E$5:$E$120=$B60)*Inputs!$F$5:$F$120*(((Inputs!$G$5:$G$120="moeda")+(Inputs!$G$5:$G$120="acoes"))*Inputs!$B$1+((Inputs!$G$5:$G$120&lt;&gt;"moeda")*(Inputs!$G$5:$G$120&lt;&gt;"acoes")))*INDEX(Inputs!$K$5:$AJ$120,0,MATCH(AC$2,Inputs!$K$4:$AJ$4,0)))))</f>
        <v>3745</v>
      </c>
      <c r="AD60" s="263">
        <f>IF(ISNA(MATCH(AD$2,Inputs!$K$4:$AJ$4,0)),NA(),IF(SUMPRODUCT((Inputs!$A$5:$A$120=$B60)*ISNUMBER(INDEX(Inputs!$K$5:$AJ$120,0,MATCH(AD$2,Inputs!$K$4:$AJ$4,0))))+SUMPRODUCT((Inputs!$C$5:$C$120=$B60)*ISNUMBER(INDEX(Inputs!$K$5:$AJ$120,0,MATCH(AD$2,Inputs!$K$4:$AJ$4,0))))+SUMPRODUCT((Inputs!$E$5:$E$120=$B60)*ISNUMBER(INDEX(Inputs!$K$5:$AJ$120,0,MATCH(AD$2,Inputs!$K$4:$AJ$4,0))))=0,NA(),SUMPRODUCT((Inputs!$A$5:$A$120=$B60)*Inputs!$B$5:$B$120*(((Inputs!$G$5:$G$120="moeda")+(Inputs!$G$5:$G$120="acoes"))*Inputs!$B$1+((Inputs!$G$5:$G$120&lt;&gt;"moeda")*(Inputs!$G$5:$G$120&lt;&gt;"acoes")))*INDEX(Inputs!$K$5:$AJ$120,0,MATCH(AD$2,Inputs!$K$4:$AJ$4,0)))+SUMPRODUCT((Inputs!$C$5:$C$120=$B60)*Inputs!$D$5:$D$120*(((Inputs!$G$5:$G$120="moeda")+(Inputs!$G$5:$G$120="acoes"))*Inputs!$B$1+((Inputs!$G$5:$G$120&lt;&gt;"moeda")*(Inputs!$G$5:$G$120&lt;&gt;"acoes")))*INDEX(Inputs!$K$5:$AJ$120,0,MATCH(AD$2,Inputs!$K$4:$AJ$4,0)))+SUMPRODUCT((Inputs!$E$5:$E$120=$B60)*Inputs!$F$5:$F$120*(((Inputs!$G$5:$G$120="moeda")+(Inputs!$G$5:$G$120="acoes"))*Inputs!$B$1+((Inputs!$G$5:$G$120&lt;&gt;"moeda")*(Inputs!$G$5:$G$120&lt;&gt;"acoes")))*INDEX(Inputs!$K$5:$AJ$120,0,MATCH(AD$2,Inputs!$K$4:$AJ$4,0)))))</f>
        <v>4581</v>
      </c>
      <c r="AE60" s="263" t="e">
        <f>IF(ISNA(MATCH(AE$2,Inputs!$K$4:$AJ$4,0)),NA(),IF(SUMPRODUCT((Inputs!$A$5:$A$120=$B60)*ISNUMBER(INDEX(Inputs!$K$5:$AJ$120,0,MATCH(AE$2,Inputs!$K$4:$AJ$4,0))))+SUMPRODUCT((Inputs!$C$5:$C$120=$B60)*ISNUMBER(INDEX(Inputs!$K$5:$AJ$120,0,MATCH(AE$2,Inputs!$K$4:$AJ$4,0))))+SUMPRODUCT((Inputs!$E$5:$E$120=$B60)*ISNUMBER(INDEX(Inputs!$K$5:$AJ$120,0,MATCH(AE$2,Inputs!$K$4:$AJ$4,0))))=0,NA(),SUMPRODUCT((Inputs!$A$5:$A$120=$B60)*Inputs!$B$5:$B$120*(((Inputs!$G$5:$G$120="moeda")+(Inputs!$G$5:$G$120="acoes"))*Inputs!$B$1+((Inputs!$G$5:$G$120&lt;&gt;"moeda")*(Inputs!$G$5:$G$120&lt;&gt;"acoes")))*INDEX(Inputs!$K$5:$AJ$120,0,MATCH(AE$2,Inputs!$K$4:$AJ$4,0)))+SUMPRODUCT((Inputs!$C$5:$C$120=$B60)*Inputs!$D$5:$D$120*(((Inputs!$G$5:$G$120="moeda")+(Inputs!$G$5:$G$120="acoes"))*Inputs!$B$1+((Inputs!$G$5:$G$120&lt;&gt;"moeda")*(Inputs!$G$5:$G$120&lt;&gt;"acoes")))*INDEX(Inputs!$K$5:$AJ$120,0,MATCH(AE$2,Inputs!$K$4:$AJ$4,0)))+SUMPRODUCT((Inputs!$E$5:$E$120=$B60)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60" s="263" t="e">
        <f>IF(ISNA(MATCH(AF$2,Inputs!$K$4:$AJ$4,0)),NA(),IF(SUMPRODUCT((Inputs!$A$5:$A$120=$B60)*ISNUMBER(INDEX(Inputs!$K$5:$AJ$120,0,MATCH(AF$2,Inputs!$K$4:$AJ$4,0))))+SUMPRODUCT((Inputs!$C$5:$C$120=$B60)*ISNUMBER(INDEX(Inputs!$K$5:$AJ$120,0,MATCH(AF$2,Inputs!$K$4:$AJ$4,0))))+SUMPRODUCT((Inputs!$E$5:$E$120=$B60)*ISNUMBER(INDEX(Inputs!$K$5:$AJ$120,0,MATCH(AF$2,Inputs!$K$4:$AJ$4,0))))=0,NA(),SUMPRODUCT((Inputs!$A$5:$A$120=$B60)*Inputs!$B$5:$B$120*(((Inputs!$G$5:$G$120="moeda")+(Inputs!$G$5:$G$120="acoes"))*Inputs!$B$1+((Inputs!$G$5:$G$120&lt;&gt;"moeda")*(Inputs!$G$5:$G$120&lt;&gt;"acoes")))*INDEX(Inputs!$K$5:$AJ$120,0,MATCH(AF$2,Inputs!$K$4:$AJ$4,0)))+SUMPRODUCT((Inputs!$C$5:$C$120=$B60)*Inputs!$D$5:$D$120*(((Inputs!$G$5:$G$120="moeda")+(Inputs!$G$5:$G$120="acoes"))*Inputs!$B$1+((Inputs!$G$5:$G$120&lt;&gt;"moeda")*(Inputs!$G$5:$G$120&lt;&gt;"acoes")))*INDEX(Inputs!$K$5:$AJ$120,0,MATCH(AF$2,Inputs!$K$4:$AJ$4,0)))+SUMPRODUCT((Inputs!$E$5:$E$120=$B60)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60" s="264" t="e">
        <f>SUM(AC60:AF60)</f>
        <v>#N/A</v>
      </c>
      <c r="AH60" s="263">
        <f>IF(ISNA(MATCH(AH$2,Inputs!$K$4:$AJ$4,0)),NA(),IF(SUMPRODUCT((Inputs!$A$5:$A$120=$B60)*ISNUMBER(INDEX(Inputs!$K$5:$AJ$120,0,MATCH(AH$2,Inputs!$K$4:$AJ$4,0))))+SUMPRODUCT((Inputs!$C$5:$C$120=$B60)*ISNUMBER(INDEX(Inputs!$K$5:$AJ$120,0,MATCH(AH$2,Inputs!$K$4:$AJ$4,0))))+SUMPRODUCT((Inputs!$E$5:$E$120=$B60)*ISNUMBER(INDEX(Inputs!$K$5:$AJ$120,0,MATCH(AH$2,Inputs!$K$4:$AJ$4,0))))=0,NA(),SUMPRODUCT((Inputs!$A$5:$A$120=$B60)*Inputs!$B$5:$B$120*(((Inputs!$G$5:$G$120="moeda")+(Inputs!$G$5:$G$120="acoes"))*Inputs!$B$1+((Inputs!$G$5:$G$120&lt;&gt;"moeda")*(Inputs!$G$5:$G$120&lt;&gt;"acoes")))*INDEX(Inputs!$K$5:$AJ$120,0,MATCH(AH$2,Inputs!$K$4:$AJ$4,0)))+SUMPRODUCT((Inputs!$C$5:$C$120=$B60)*Inputs!$D$5:$D$120*(((Inputs!$G$5:$G$120="moeda")+(Inputs!$G$5:$G$120="acoes"))*Inputs!$B$1+((Inputs!$G$5:$G$120&lt;&gt;"moeda")*(Inputs!$G$5:$G$120&lt;&gt;"acoes")))*INDEX(Inputs!$K$5:$AJ$120,0,MATCH(AH$2,Inputs!$K$4:$AJ$4,0)))+SUMPRODUCT((Inputs!$E$5:$E$120=$B60)*Inputs!$F$5:$F$120*(((Inputs!$G$5:$G$120="moeda")+(Inputs!$G$5:$G$120="acoes"))*Inputs!$B$1+((Inputs!$G$5:$G$120&lt;&gt;"moeda")*(Inputs!$G$5:$G$120&lt;&gt;"acoes")))*INDEX(Inputs!$K$5:$AJ$120,0,MATCH(AH$2,Inputs!$K$4:$AJ$4,0)))))</f>
        <v>560</v>
      </c>
      <c r="AI60" s="263">
        <f>IF(ISNA(MATCH(AI$2,Inputs!$K$4:$AJ$4,0)),NA(),IF(SUMPRODUCT((Inputs!$A$5:$A$120=$B60)*ISNUMBER(INDEX(Inputs!$K$5:$AJ$120,0,MATCH(AI$2,Inputs!$K$4:$AJ$4,0))))+SUMPRODUCT((Inputs!$C$5:$C$120=$B60)*ISNUMBER(INDEX(Inputs!$K$5:$AJ$120,0,MATCH(AI$2,Inputs!$K$4:$AJ$4,0))))+SUMPRODUCT((Inputs!$E$5:$E$120=$B60)*ISNUMBER(INDEX(Inputs!$K$5:$AJ$120,0,MATCH(AI$2,Inputs!$K$4:$AJ$4,0))))=0,NA(),SUMPRODUCT((Inputs!$A$5:$A$120=$B60)*Inputs!$B$5:$B$120*(((Inputs!$G$5:$G$120="moeda")+(Inputs!$G$5:$G$120="acoes"))*Inputs!$B$1+((Inputs!$G$5:$G$120&lt;&gt;"moeda")*(Inputs!$G$5:$G$120&lt;&gt;"acoes")))*INDEX(Inputs!$K$5:$AJ$120,0,MATCH(AI$2,Inputs!$K$4:$AJ$4,0)))+SUMPRODUCT((Inputs!$C$5:$C$120=$B60)*Inputs!$D$5:$D$120*(((Inputs!$G$5:$G$120="moeda")+(Inputs!$G$5:$G$120="acoes"))*Inputs!$B$1+((Inputs!$G$5:$G$120&lt;&gt;"moeda")*(Inputs!$G$5:$G$120&lt;&gt;"acoes")))*INDEX(Inputs!$K$5:$AJ$120,0,MATCH(AI$2,Inputs!$K$4:$AJ$4,0)))+SUMPRODUCT((Inputs!$E$5:$E$120=$B60)*Inputs!$F$5:$F$120*(((Inputs!$G$5:$G$120="moeda")+(Inputs!$G$5:$G$120="acoes"))*Inputs!$B$1+((Inputs!$G$5:$G$120&lt;&gt;"moeda")*(Inputs!$G$5:$G$120&lt;&gt;"acoes")))*INDEX(Inputs!$K$5:$AJ$120,0,MATCH(AI$2,Inputs!$K$4:$AJ$4,0)))))</f>
        <v>487</v>
      </c>
      <c r="AJ60" s="263">
        <f>IF(ISNA(MATCH(AJ$2,Inputs!$K$4:$AJ$4,0)),NA(),IF(SUMPRODUCT((Inputs!$A$5:$A$120=$B60)*ISNUMBER(INDEX(Inputs!$K$5:$AJ$120,0,MATCH(AJ$2,Inputs!$K$4:$AJ$4,0))))+SUMPRODUCT((Inputs!$C$5:$C$120=$B60)*ISNUMBER(INDEX(Inputs!$K$5:$AJ$120,0,MATCH(AJ$2,Inputs!$K$4:$AJ$4,0))))+SUMPRODUCT((Inputs!$E$5:$E$120=$B60)*ISNUMBER(INDEX(Inputs!$K$5:$AJ$120,0,MATCH(AJ$2,Inputs!$K$4:$AJ$4,0))))=0,NA(),SUMPRODUCT((Inputs!$A$5:$A$120=$B60)*Inputs!$B$5:$B$120*(((Inputs!$G$5:$G$120="moeda")+(Inputs!$G$5:$G$120="acoes"))*Inputs!$B$1+((Inputs!$G$5:$G$120&lt;&gt;"moeda")*(Inputs!$G$5:$G$120&lt;&gt;"acoes")))*INDEX(Inputs!$K$5:$AJ$120,0,MATCH(AJ$2,Inputs!$K$4:$AJ$4,0)))+SUMPRODUCT((Inputs!$C$5:$C$120=$B60)*Inputs!$D$5:$D$120*(((Inputs!$G$5:$G$120="moeda")+(Inputs!$G$5:$G$120="acoes"))*Inputs!$B$1+((Inputs!$G$5:$G$120&lt;&gt;"moeda")*(Inputs!$G$5:$G$120&lt;&gt;"acoes")))*INDEX(Inputs!$K$5:$AJ$120,0,MATCH(AJ$2,Inputs!$K$4:$AJ$4,0)))+SUMPRODUCT((Inputs!$E$5:$E$120=$B60)*Inputs!$F$5:$F$120*(((Inputs!$G$5:$G$120="moeda")+(Inputs!$G$5:$G$120="acoes"))*Inputs!$B$1+((Inputs!$G$5:$G$120&lt;&gt;"moeda")*(Inputs!$G$5:$G$120&lt;&gt;"acoes")))*INDEX(Inputs!$K$5:$AJ$120,0,MATCH(AJ$2,Inputs!$K$4:$AJ$4,0)))))</f>
        <v>581</v>
      </c>
      <c r="AK60" s="263">
        <f>IF(ISNA(MATCH(AK$2,Inputs!$K$4:$AJ$4,0)),NA(),IF(SUMPRODUCT((Inputs!$A$5:$A$120=$B60)*ISNUMBER(INDEX(Inputs!$K$5:$AJ$120,0,MATCH(AK$2,Inputs!$K$4:$AJ$4,0))))+SUMPRODUCT((Inputs!$C$5:$C$120=$B60)*ISNUMBER(INDEX(Inputs!$K$5:$AJ$120,0,MATCH(AK$2,Inputs!$K$4:$AJ$4,0))))+SUMPRODUCT((Inputs!$E$5:$E$120=$B60)*ISNUMBER(INDEX(Inputs!$K$5:$AJ$120,0,MATCH(AK$2,Inputs!$K$4:$AJ$4,0))))=0,NA(),SUMPRODUCT((Inputs!$A$5:$A$120=$B60)*Inputs!$B$5:$B$120*(((Inputs!$G$5:$G$120="moeda")+(Inputs!$G$5:$G$120="acoes"))*Inputs!$B$1+((Inputs!$G$5:$G$120&lt;&gt;"moeda")*(Inputs!$G$5:$G$120&lt;&gt;"acoes")))*INDEX(Inputs!$K$5:$AJ$120,0,MATCH(AK$2,Inputs!$K$4:$AJ$4,0)))+SUMPRODUCT((Inputs!$C$5:$C$120=$B60)*Inputs!$D$5:$D$120*(((Inputs!$G$5:$G$120="moeda")+(Inputs!$G$5:$G$120="acoes"))*Inputs!$B$1+((Inputs!$G$5:$G$120&lt;&gt;"moeda")*(Inputs!$G$5:$G$120&lt;&gt;"acoes")))*INDEX(Inputs!$K$5:$AJ$120,0,MATCH(AK$2,Inputs!$K$4:$AJ$4,0)))+SUMPRODUCT((Inputs!$E$5:$E$120=$B60)*Inputs!$F$5:$F$120*(((Inputs!$G$5:$G$120="moeda")+(Inputs!$G$5:$G$120="acoes"))*Inputs!$B$1+((Inputs!$G$5:$G$120&lt;&gt;"moeda")*(Inputs!$G$5:$G$120&lt;&gt;"acoes")))*INDEX(Inputs!$K$5:$AJ$120,0,MATCH(AK$2,Inputs!$K$4:$AJ$4,0)))))</f>
        <v>678</v>
      </c>
      <c r="AL60" s="264">
        <f>SUM(AH60:AK60)</f>
        <v>2306</v>
      </c>
    </row>
    <row r="61">
      <c r="B61" s="46" t="n">
        <v>53</v>
      </c>
      <c r="C61" s="29" t="inlineStr">
        <is>
          <t>Receita Estados Unidos (USD)</t>
        </is>
      </c>
      <c r="D61" s="263">
        <f>IF(ISNA(MATCH(D$2,Inputs!$K$4:$AJ$4,0)),NA(),IF(SUMPRODUCT((Inputs!$A$5:$A$120=$B61)*ISNUMBER(INDEX(Inputs!$K$5:$AJ$120,0,MATCH(D$2,Inputs!$K$4:$AJ$4,0))))+SUMPRODUCT((Inputs!$C$5:$C$120=$B61)*ISNUMBER(INDEX(Inputs!$K$5:$AJ$120,0,MATCH(D$2,Inputs!$K$4:$AJ$4,0))))+SUMPRODUCT((Inputs!$E$5:$E$120=$B61)*ISNUMBER(INDEX(Inputs!$K$5:$AJ$120,0,MATCH(D$2,Inputs!$K$4:$AJ$4,0))))=0,NA(),SUMPRODUCT((Inputs!$A$5:$A$120=$B61)*Inputs!$B$5:$B$120*(((Inputs!$G$5:$G$120="moeda")+(Inputs!$G$5:$G$120="acoes"))*Inputs!$B$1+((Inputs!$G$5:$G$120&lt;&gt;"moeda")*(Inputs!$G$5:$G$120&lt;&gt;"acoes")))*INDEX(Inputs!$K$5:$AJ$120,0,MATCH(D$2,Inputs!$K$4:$AJ$4,0)))+SUMPRODUCT((Inputs!$C$5:$C$120=$B61)*Inputs!$D$5:$D$120*(((Inputs!$G$5:$G$120="moeda")+(Inputs!$G$5:$G$120="acoes"))*Inputs!$B$1+((Inputs!$G$5:$G$120&lt;&gt;"moeda")*(Inputs!$G$5:$G$120&lt;&gt;"acoes")))*INDEX(Inputs!$K$5:$AJ$120,0,MATCH(D$2,Inputs!$K$4:$AJ$4,0)))+SUMPRODUCT((Inputs!$E$5:$E$120=$B61)*Inputs!$F$5:$F$120*(((Inputs!$G$5:$G$120="moeda")+(Inputs!$G$5:$G$120="acoes"))*Inputs!$B$1+((Inputs!$G$5:$G$120&lt;&gt;"moeda")*(Inputs!$G$5:$G$120&lt;&gt;"acoes")))*INDEX(Inputs!$K$5:$AJ$120,0,MATCH(D$2,Inputs!$K$4:$AJ$4,0)))))</f>
        <v>4424</v>
      </c>
      <c r="E61" s="263">
        <f>IF(ISNA(MATCH(E$2,Inputs!$K$4:$AJ$4,0)),NA(),IF(SUMPRODUCT((Inputs!$A$5:$A$120=$B61)*ISNUMBER(INDEX(Inputs!$K$5:$AJ$120,0,MATCH(E$2,Inputs!$K$4:$AJ$4,0))))+SUMPRODUCT((Inputs!$C$5:$C$120=$B61)*ISNUMBER(INDEX(Inputs!$K$5:$AJ$120,0,MATCH(E$2,Inputs!$K$4:$AJ$4,0))))+SUMPRODUCT((Inputs!$E$5:$E$120=$B61)*ISNUMBER(INDEX(Inputs!$K$5:$AJ$120,0,MATCH(E$2,Inputs!$K$4:$AJ$4,0))))=0,NA(),SUMPRODUCT((Inputs!$A$5:$A$120=$B61)*Inputs!$B$5:$B$120*(((Inputs!$G$5:$G$120="moeda")+(Inputs!$G$5:$G$120="acoes"))*Inputs!$B$1+((Inputs!$G$5:$G$120&lt;&gt;"moeda")*(Inputs!$G$5:$G$120&lt;&gt;"acoes")))*INDEX(Inputs!$K$5:$AJ$120,0,MATCH(E$2,Inputs!$K$4:$AJ$4,0)))+SUMPRODUCT((Inputs!$C$5:$C$120=$B61)*Inputs!$D$5:$D$120*(((Inputs!$G$5:$G$120="moeda")+(Inputs!$G$5:$G$120="acoes"))*Inputs!$B$1+((Inputs!$G$5:$G$120&lt;&gt;"moeda")*(Inputs!$G$5:$G$120&lt;&gt;"acoes")))*INDEX(Inputs!$K$5:$AJ$120,0,MATCH(E$2,Inputs!$K$4:$AJ$4,0)))+SUMPRODUCT((Inputs!$E$5:$E$120=$B61)*Inputs!$F$5:$F$120*(((Inputs!$G$5:$G$120="moeda")+(Inputs!$G$5:$G$120="acoes"))*Inputs!$B$1+((Inputs!$G$5:$G$120&lt;&gt;"moeda")*(Inputs!$G$5:$G$120&lt;&gt;"acoes")))*INDEX(Inputs!$K$5:$AJ$120,0,MATCH(E$2,Inputs!$K$4:$AJ$4,0)))))</f>
        <v>5205</v>
      </c>
      <c r="F61" s="263">
        <f>IF(ISNA(MATCH(F$2,Inputs!$K$4:$AJ$4,0)),NA(),IF(SUMPRODUCT((Inputs!$A$5:$A$120=$B61)*ISNUMBER(INDEX(Inputs!$K$5:$AJ$120,0,MATCH(F$2,Inputs!$K$4:$AJ$4,0))))+SUMPRODUCT((Inputs!$C$5:$C$120=$B61)*ISNUMBER(INDEX(Inputs!$K$5:$AJ$120,0,MATCH(F$2,Inputs!$K$4:$AJ$4,0))))+SUMPRODUCT((Inputs!$E$5:$E$120=$B61)*ISNUMBER(INDEX(Inputs!$K$5:$AJ$120,0,MATCH(F$2,Inputs!$K$4:$AJ$4,0))))=0,NA(),SUMPRODUCT((Inputs!$A$5:$A$120=$B61)*Inputs!$B$5:$B$120*(((Inputs!$G$5:$G$120="moeda")+(Inputs!$G$5:$G$120="acoes"))*Inputs!$B$1+((Inputs!$G$5:$G$120&lt;&gt;"moeda")*(Inputs!$G$5:$G$120&lt;&gt;"acoes")))*INDEX(Inputs!$K$5:$AJ$120,0,MATCH(F$2,Inputs!$K$4:$AJ$4,0)))+SUMPRODUCT((Inputs!$C$5:$C$120=$B61)*Inputs!$D$5:$D$120*(((Inputs!$G$5:$G$120="moeda")+(Inputs!$G$5:$G$120="acoes"))*Inputs!$B$1+((Inputs!$G$5:$G$120&lt;&gt;"moeda")*(Inputs!$G$5:$G$120&lt;&gt;"acoes")))*INDEX(Inputs!$K$5:$AJ$120,0,MATCH(F$2,Inputs!$K$4:$AJ$4,0)))+SUMPRODUCT((Inputs!$E$5:$E$120=$B61)*Inputs!$F$5:$F$120*(((Inputs!$G$5:$G$120="moeda")+(Inputs!$G$5:$G$120="acoes"))*Inputs!$B$1+((Inputs!$G$5:$G$120&lt;&gt;"moeda")*(Inputs!$G$5:$G$120&lt;&gt;"acoes")))*INDEX(Inputs!$K$5:$AJ$120,0,MATCH(F$2,Inputs!$K$4:$AJ$4,0)))))</f>
        <v>6414</v>
      </c>
      <c r="G61" s="263">
        <f>IF(ISNA(MATCH(G$2,Inputs!$K$4:$AJ$4,0)),NA(),IF(SUMPRODUCT((Inputs!$A$5:$A$120=$B61)*ISNUMBER(INDEX(Inputs!$K$5:$AJ$120,0,MATCH(G$2,Inputs!$K$4:$AJ$4,0))))+SUMPRODUCT((Inputs!$C$5:$C$120=$B61)*ISNUMBER(INDEX(Inputs!$K$5:$AJ$120,0,MATCH(G$2,Inputs!$K$4:$AJ$4,0))))+SUMPRODUCT((Inputs!$E$5:$E$120=$B61)*ISNUMBER(INDEX(Inputs!$K$5:$AJ$120,0,MATCH(G$2,Inputs!$K$4:$AJ$4,0))))=0,NA(),SUMPRODUCT((Inputs!$A$5:$A$120=$B61)*Inputs!$B$5:$B$120*(((Inputs!$G$5:$G$120="moeda")+(Inputs!$G$5:$G$120="acoes"))*Inputs!$B$1+((Inputs!$G$5:$G$120&lt;&gt;"moeda")*(Inputs!$G$5:$G$120&lt;&gt;"acoes")))*INDEX(Inputs!$K$5:$AJ$120,0,MATCH(G$2,Inputs!$K$4:$AJ$4,0)))+SUMPRODUCT((Inputs!$C$5:$C$120=$B61)*Inputs!$D$5:$D$120*(((Inputs!$G$5:$G$120="moeda")+(Inputs!$G$5:$G$120="acoes"))*Inputs!$B$1+((Inputs!$G$5:$G$120&lt;&gt;"moeda")*(Inputs!$G$5:$G$120&lt;&gt;"acoes")))*INDEX(Inputs!$K$5:$AJ$120,0,MATCH(G$2,Inputs!$K$4:$AJ$4,0)))+SUMPRODUCT((Inputs!$E$5:$E$120=$B61)*Inputs!$F$5:$F$120*(((Inputs!$G$5:$G$120="moeda")+(Inputs!$G$5:$G$120="acoes"))*Inputs!$B$1+((Inputs!$G$5:$G$120&lt;&gt;"moeda")*(Inputs!$G$5:$G$120&lt;&gt;"acoes")))*INDEX(Inputs!$K$5:$AJ$120,0,MATCH(G$2,Inputs!$K$4:$AJ$4,0)))))</f>
        <v>7930</v>
      </c>
      <c r="H61" s="264">
        <f>SUM(D61:G61)</f>
        <v>23973</v>
      </c>
      <c r="I61" s="263">
        <f>IF(ISNA(MATCH(I$2,Inputs!$K$4:$AJ$4,0)),NA(),IF(SUMPRODUCT((Inputs!$A$5:$A$120=$B61)*ISNUMBER(INDEX(Inputs!$K$5:$AJ$120,0,MATCH(I$2,Inputs!$K$4:$AJ$4,0))))+SUMPRODUCT((Inputs!$C$5:$C$120=$B61)*ISNUMBER(INDEX(Inputs!$K$5:$AJ$120,0,MATCH(I$2,Inputs!$K$4:$AJ$4,0))))+SUMPRODUCT((Inputs!$E$5:$E$120=$B61)*ISNUMBER(INDEX(Inputs!$K$5:$AJ$120,0,MATCH(I$2,Inputs!$K$4:$AJ$4,0))))=0,NA(),SUMPRODUCT((Inputs!$A$5:$A$120=$B61)*Inputs!$B$5:$B$120*(((Inputs!$G$5:$G$120="moeda")+(Inputs!$G$5:$G$120="acoes"))*Inputs!$B$1+((Inputs!$G$5:$G$120&lt;&gt;"moeda")*(Inputs!$G$5:$G$120&lt;&gt;"acoes")))*INDEX(Inputs!$K$5:$AJ$120,0,MATCH(I$2,Inputs!$K$4:$AJ$4,0)))+SUMPRODUCT((Inputs!$C$5:$C$120=$B61)*Inputs!$D$5:$D$120*(((Inputs!$G$5:$G$120="moeda")+(Inputs!$G$5:$G$120="acoes"))*Inputs!$B$1+((Inputs!$G$5:$G$120&lt;&gt;"moeda")*(Inputs!$G$5:$G$120&lt;&gt;"acoes")))*INDEX(Inputs!$K$5:$AJ$120,0,MATCH(I$2,Inputs!$K$4:$AJ$4,0)))+SUMPRODUCT((Inputs!$E$5:$E$120=$B61)*Inputs!$F$5:$F$120*(((Inputs!$G$5:$G$120="moeda")+(Inputs!$G$5:$G$120="acoes"))*Inputs!$B$1+((Inputs!$G$5:$G$120&lt;&gt;"moeda")*(Inputs!$G$5:$G$120&lt;&gt;"acoes")))*INDEX(Inputs!$K$5:$AJ$120,0,MATCH(I$2,Inputs!$K$4:$AJ$4,0)))))</f>
        <v>8734</v>
      </c>
      <c r="J61" s="263">
        <f>IF(ISNA(MATCH(J$2,Inputs!$K$4:$AJ$4,0)),NA(),IF(SUMPRODUCT((Inputs!$A$5:$A$120=$B61)*ISNUMBER(INDEX(Inputs!$K$5:$AJ$120,0,MATCH(J$2,Inputs!$K$4:$AJ$4,0))))+SUMPRODUCT((Inputs!$C$5:$C$120=$B61)*ISNUMBER(INDEX(Inputs!$K$5:$AJ$120,0,MATCH(J$2,Inputs!$K$4:$AJ$4,0))))+SUMPRODUCT((Inputs!$E$5:$E$120=$B61)*ISNUMBER(INDEX(Inputs!$K$5:$AJ$120,0,MATCH(J$2,Inputs!$K$4:$AJ$4,0))))=0,NA(),SUMPRODUCT((Inputs!$A$5:$A$120=$B61)*Inputs!$B$5:$B$120*(((Inputs!$G$5:$G$120="moeda")+(Inputs!$G$5:$G$120="acoes"))*Inputs!$B$1+((Inputs!$G$5:$G$120&lt;&gt;"moeda")*(Inputs!$G$5:$G$120&lt;&gt;"acoes")))*INDEX(Inputs!$K$5:$AJ$120,0,MATCH(J$2,Inputs!$K$4:$AJ$4,0)))+SUMPRODUCT((Inputs!$C$5:$C$120=$B61)*Inputs!$D$5:$D$120*(((Inputs!$G$5:$G$120="moeda")+(Inputs!$G$5:$G$120="acoes"))*Inputs!$B$1+((Inputs!$G$5:$G$120&lt;&gt;"moeda")*(Inputs!$G$5:$G$120&lt;&gt;"acoes")))*INDEX(Inputs!$K$5:$AJ$120,0,MATCH(J$2,Inputs!$K$4:$AJ$4,0)))+SUMPRODUCT((Inputs!$E$5:$E$120=$B61)*Inputs!$F$5:$F$120*(((Inputs!$G$5:$G$120="moeda")+(Inputs!$G$5:$G$120="acoes"))*Inputs!$B$1+((Inputs!$G$5:$G$120&lt;&gt;"moeda")*(Inputs!$G$5:$G$120&lt;&gt;"acoes")))*INDEX(Inputs!$K$5:$AJ$120,0,MATCH(J$2,Inputs!$K$4:$AJ$4,0)))))</f>
        <v>9614</v>
      </c>
      <c r="K61" s="263">
        <f>IF(ISNA(MATCH(K$2,Inputs!$K$4:$AJ$4,0)),NA(),IF(SUMPRODUCT((Inputs!$A$5:$A$120=$B61)*ISNUMBER(INDEX(Inputs!$K$5:$AJ$120,0,MATCH(K$2,Inputs!$K$4:$AJ$4,0))))+SUMPRODUCT((Inputs!$C$5:$C$120=$B61)*ISNUMBER(INDEX(Inputs!$K$5:$AJ$120,0,MATCH(K$2,Inputs!$K$4:$AJ$4,0))))+SUMPRODUCT((Inputs!$E$5:$E$120=$B61)*ISNUMBER(INDEX(Inputs!$K$5:$AJ$120,0,MATCH(K$2,Inputs!$K$4:$AJ$4,0))))=0,NA(),SUMPRODUCT((Inputs!$A$5:$A$120=$B61)*Inputs!$B$5:$B$120*(((Inputs!$G$5:$G$120="moeda")+(Inputs!$G$5:$G$120="acoes"))*Inputs!$B$1+((Inputs!$G$5:$G$120&lt;&gt;"moeda")*(Inputs!$G$5:$G$120&lt;&gt;"acoes")))*INDEX(Inputs!$K$5:$AJ$120,0,MATCH(K$2,Inputs!$K$4:$AJ$4,0)))+SUMPRODUCT((Inputs!$C$5:$C$120=$B61)*Inputs!$D$5:$D$120*(((Inputs!$G$5:$G$120="moeda")+(Inputs!$G$5:$G$120="acoes"))*Inputs!$B$1+((Inputs!$G$5:$G$120&lt;&gt;"moeda")*(Inputs!$G$5:$G$120&lt;&gt;"acoes")))*INDEX(Inputs!$K$5:$AJ$120,0,MATCH(K$2,Inputs!$K$4:$AJ$4,0)))+SUMPRODUCT((Inputs!$E$5:$E$120=$B61)*Inputs!$F$5:$F$120*(((Inputs!$G$5:$G$120="moeda")+(Inputs!$G$5:$G$120="acoes"))*Inputs!$B$1+((Inputs!$G$5:$G$120&lt;&gt;"moeda")*(Inputs!$G$5:$G$120&lt;&gt;"acoes")))*INDEX(Inputs!$K$5:$AJ$120,0,MATCH(K$2,Inputs!$K$4:$AJ$4,0)))))</f>
        <v>10236</v>
      </c>
      <c r="L61" s="263">
        <f>IF(ISNA(MATCH(L$2,Inputs!$K$4:$AJ$4,0)),NA(),IF(SUMPRODUCT((Inputs!$A$5:$A$120=$B61)*ISNUMBER(INDEX(Inputs!$K$5:$AJ$120,0,MATCH(L$2,Inputs!$K$4:$AJ$4,0))))+SUMPRODUCT((Inputs!$C$5:$C$120=$B61)*ISNUMBER(INDEX(Inputs!$K$5:$AJ$120,0,MATCH(L$2,Inputs!$K$4:$AJ$4,0))))+SUMPRODUCT((Inputs!$E$5:$E$120=$B61)*ISNUMBER(INDEX(Inputs!$K$5:$AJ$120,0,MATCH(L$2,Inputs!$K$4:$AJ$4,0))))=0,NA(),SUMPRODUCT((Inputs!$A$5:$A$120=$B61)*Inputs!$B$5:$B$120*(((Inputs!$G$5:$G$120="moeda")+(Inputs!$G$5:$G$120="acoes"))*Inputs!$B$1+((Inputs!$G$5:$G$120&lt;&gt;"moeda")*(Inputs!$G$5:$G$120&lt;&gt;"acoes")))*INDEX(Inputs!$K$5:$AJ$120,0,MATCH(L$2,Inputs!$K$4:$AJ$4,0)))+SUMPRODUCT((Inputs!$C$5:$C$120=$B61)*Inputs!$D$5:$D$120*(((Inputs!$G$5:$G$120="moeda")+(Inputs!$G$5:$G$120="acoes"))*Inputs!$B$1+((Inputs!$G$5:$G$120&lt;&gt;"moeda")*(Inputs!$G$5:$G$120&lt;&gt;"acoes")))*INDEX(Inputs!$K$5:$AJ$120,0,MATCH(L$2,Inputs!$K$4:$AJ$4,0)))+SUMPRODUCT((Inputs!$E$5:$E$120=$B61)*Inputs!$F$5:$F$120*(((Inputs!$G$5:$G$120="moeda")+(Inputs!$G$5:$G$120="acoes"))*Inputs!$B$1+((Inputs!$G$5:$G$120&lt;&gt;"moeda")*(Inputs!$G$5:$G$120&lt;&gt;"acoes")))*INDEX(Inputs!$K$5:$AJ$120,0,MATCH(L$2,Inputs!$K$4:$AJ$4,0)))))</f>
        <v>11969</v>
      </c>
      <c r="M61" s="264">
        <f>SUM(I61:L61)</f>
        <v>40553</v>
      </c>
      <c r="N61" s="263">
        <f>IF(ISNA(MATCH(N$2,Inputs!$K$4:$AJ$4,0)),NA(),IF(SUMPRODUCT((Inputs!$A$5:$A$120=$B61)*ISNUMBER(INDEX(Inputs!$K$5:$AJ$120,0,MATCH(N$2,Inputs!$K$4:$AJ$4,0))))+SUMPRODUCT((Inputs!$C$5:$C$120=$B61)*ISNUMBER(INDEX(Inputs!$K$5:$AJ$120,0,MATCH(N$2,Inputs!$K$4:$AJ$4,0))))+SUMPRODUCT((Inputs!$E$5:$E$120=$B61)*ISNUMBER(INDEX(Inputs!$K$5:$AJ$120,0,MATCH(N$2,Inputs!$K$4:$AJ$4,0))))=0,NA(),SUMPRODUCT((Inputs!$A$5:$A$120=$B61)*Inputs!$B$5:$B$120*(((Inputs!$G$5:$G$120="moeda")+(Inputs!$G$5:$G$120="acoes"))*Inputs!$B$1+((Inputs!$G$5:$G$120&lt;&gt;"moeda")*(Inputs!$G$5:$G$120&lt;&gt;"acoes")))*INDEX(Inputs!$K$5:$AJ$120,0,MATCH(N$2,Inputs!$K$4:$AJ$4,0)))+SUMPRODUCT((Inputs!$C$5:$C$120=$B61)*Inputs!$D$5:$D$120*(((Inputs!$G$5:$G$120="moeda")+(Inputs!$G$5:$G$120="acoes"))*Inputs!$B$1+((Inputs!$G$5:$G$120&lt;&gt;"moeda")*(Inputs!$G$5:$G$120&lt;&gt;"acoes")))*INDEX(Inputs!$K$5:$AJ$120,0,MATCH(N$2,Inputs!$K$4:$AJ$4,0)))+SUMPRODUCT((Inputs!$E$5:$E$120=$B61)*Inputs!$F$5:$F$120*(((Inputs!$G$5:$G$120="moeda")+(Inputs!$G$5:$G$120="acoes"))*Inputs!$B$1+((Inputs!$G$5:$G$120&lt;&gt;"moeda")*(Inputs!$G$5:$G$120&lt;&gt;"acoes")))*INDEX(Inputs!$K$5:$AJ$120,0,MATCH(N$2,Inputs!$K$4:$AJ$4,0)))))</f>
        <v>11247</v>
      </c>
      <c r="O61" s="263">
        <f>IF(ISNA(MATCH(O$2,Inputs!$K$4:$AJ$4,0)),NA(),IF(SUMPRODUCT((Inputs!$A$5:$A$120=$B61)*ISNUMBER(INDEX(Inputs!$K$5:$AJ$120,0,MATCH(O$2,Inputs!$K$4:$AJ$4,0))))+SUMPRODUCT((Inputs!$C$5:$C$120=$B61)*ISNUMBER(INDEX(Inputs!$K$5:$AJ$120,0,MATCH(O$2,Inputs!$K$4:$AJ$4,0))))+SUMPRODUCT((Inputs!$E$5:$E$120=$B61)*ISNUMBER(INDEX(Inputs!$K$5:$AJ$120,0,MATCH(O$2,Inputs!$K$4:$AJ$4,0))))=0,NA(),SUMPRODUCT((Inputs!$A$5:$A$120=$B61)*Inputs!$B$5:$B$120*(((Inputs!$G$5:$G$120="moeda")+(Inputs!$G$5:$G$120="acoes"))*Inputs!$B$1+((Inputs!$G$5:$G$120&lt;&gt;"moeda")*(Inputs!$G$5:$G$120&lt;&gt;"acoes")))*INDEX(Inputs!$K$5:$AJ$120,0,MATCH(O$2,Inputs!$K$4:$AJ$4,0)))+SUMPRODUCT((Inputs!$C$5:$C$120=$B61)*Inputs!$D$5:$D$120*(((Inputs!$G$5:$G$120="moeda")+(Inputs!$G$5:$G$120="acoes"))*Inputs!$B$1+((Inputs!$G$5:$G$120&lt;&gt;"moeda")*(Inputs!$G$5:$G$120&lt;&gt;"acoes")))*INDEX(Inputs!$K$5:$AJ$120,0,MATCH(O$2,Inputs!$K$4:$AJ$4,0)))+SUMPRODUCT((Inputs!$E$5:$E$120=$B61)*Inputs!$F$5:$F$120*(((Inputs!$G$5:$G$120="moeda")+(Inputs!$G$5:$G$120="acoes"))*Inputs!$B$1+((Inputs!$G$5:$G$120&lt;&gt;"moeda")*(Inputs!$G$5:$G$120&lt;&gt;"acoes")))*INDEX(Inputs!$K$5:$AJ$120,0,MATCH(O$2,Inputs!$K$4:$AJ$4,0)))))</f>
        <v>11332</v>
      </c>
      <c r="P61" s="263">
        <f>IF(ISNA(MATCH(P$2,Inputs!$K$4:$AJ$4,0)),NA(),IF(SUMPRODUCT((Inputs!$A$5:$A$120=$B61)*ISNUMBER(INDEX(Inputs!$K$5:$AJ$120,0,MATCH(P$2,Inputs!$K$4:$AJ$4,0))))+SUMPRODUCT((Inputs!$C$5:$C$120=$B61)*ISNUMBER(INDEX(Inputs!$K$5:$AJ$120,0,MATCH(P$2,Inputs!$K$4:$AJ$4,0))))+SUMPRODUCT((Inputs!$E$5:$E$120=$B61)*ISNUMBER(INDEX(Inputs!$K$5:$AJ$120,0,MATCH(P$2,Inputs!$K$4:$AJ$4,0))))=0,NA(),SUMPRODUCT((Inputs!$A$5:$A$120=$B61)*Inputs!$B$5:$B$120*(((Inputs!$G$5:$G$120="moeda")+(Inputs!$G$5:$G$120="acoes"))*Inputs!$B$1+((Inputs!$G$5:$G$120&lt;&gt;"moeda")*(Inputs!$G$5:$G$120&lt;&gt;"acoes")))*INDEX(Inputs!$K$5:$AJ$120,0,MATCH(P$2,Inputs!$K$4:$AJ$4,0)))+SUMPRODUCT((Inputs!$C$5:$C$120=$B61)*Inputs!$D$5:$D$120*(((Inputs!$G$5:$G$120="moeda")+(Inputs!$G$5:$G$120="acoes"))*Inputs!$B$1+((Inputs!$G$5:$G$120&lt;&gt;"moeda")*(Inputs!$G$5:$G$120&lt;&gt;"acoes")))*INDEX(Inputs!$K$5:$AJ$120,0,MATCH(P$2,Inputs!$K$4:$AJ$4,0)))+SUMPRODUCT((Inputs!$E$5:$E$120=$B61)*Inputs!$F$5:$F$120*(((Inputs!$G$5:$G$120="moeda")+(Inputs!$G$5:$G$120="acoes"))*Inputs!$B$1+((Inputs!$G$5:$G$120&lt;&gt;"moeda")*(Inputs!$G$5:$G$120&lt;&gt;"acoes")))*INDEX(Inputs!$K$5:$AJ$120,0,MATCH(P$2,Inputs!$K$4:$AJ$4,0)))))</f>
        <v>10893</v>
      </c>
      <c r="Q61" s="263">
        <f>IF(ISNA(MATCH(Q$2,Inputs!$K$4:$AJ$4,0)),NA(),IF(SUMPRODUCT((Inputs!$A$5:$A$120=$B61)*ISNUMBER(INDEX(Inputs!$K$5:$AJ$120,0,MATCH(Q$2,Inputs!$K$4:$AJ$4,0))))+SUMPRODUCT((Inputs!$C$5:$C$120=$B61)*ISNUMBER(INDEX(Inputs!$K$5:$AJ$120,0,MATCH(Q$2,Inputs!$K$4:$AJ$4,0))))+SUMPRODUCT((Inputs!$E$5:$E$120=$B61)*ISNUMBER(INDEX(Inputs!$K$5:$AJ$120,0,MATCH(Q$2,Inputs!$K$4:$AJ$4,0))))=0,NA(),SUMPRODUCT((Inputs!$A$5:$A$120=$B61)*Inputs!$B$5:$B$120*(((Inputs!$G$5:$G$120="moeda")+(Inputs!$G$5:$G$120="acoes"))*Inputs!$B$1+((Inputs!$G$5:$G$120&lt;&gt;"moeda")*(Inputs!$G$5:$G$120&lt;&gt;"acoes")))*INDEX(Inputs!$K$5:$AJ$120,0,MATCH(Q$2,Inputs!$K$4:$AJ$4,0)))+SUMPRODUCT((Inputs!$C$5:$C$120=$B61)*Inputs!$D$5:$D$120*(((Inputs!$G$5:$G$120="moeda")+(Inputs!$G$5:$G$120="acoes"))*Inputs!$B$1+((Inputs!$G$5:$G$120&lt;&gt;"moeda")*(Inputs!$G$5:$G$120&lt;&gt;"acoes")))*INDEX(Inputs!$K$5:$AJ$120,0,MATCH(Q$2,Inputs!$K$4:$AJ$4,0)))+SUMPRODUCT((Inputs!$E$5:$E$120=$B61)*Inputs!$F$5:$F$120*(((Inputs!$G$5:$G$120="moeda")+(Inputs!$G$5:$G$120="acoes"))*Inputs!$B$1+((Inputs!$G$5:$G$120&lt;&gt;"moeda")*(Inputs!$G$5:$G$120&lt;&gt;"acoes")))*INDEX(Inputs!$K$5:$AJ$120,0,MATCH(Q$2,Inputs!$K$4:$AJ$4,0)))))</f>
        <v>11763</v>
      </c>
      <c r="R61" s="264">
        <f>SUM(N61:Q61)</f>
        <v>45235</v>
      </c>
      <c r="S61" s="263">
        <f>IF(ISNA(MATCH(S$2,Inputs!$K$4:$AJ$4,0)),NA(),IF(SUMPRODUCT((Inputs!$A$5:$A$120=$B61)*ISNUMBER(INDEX(Inputs!$K$5:$AJ$120,0,MATCH(S$2,Inputs!$K$4:$AJ$4,0))))+SUMPRODUCT((Inputs!$C$5:$C$120=$B61)*ISNUMBER(INDEX(Inputs!$K$5:$AJ$120,0,MATCH(S$2,Inputs!$K$4:$AJ$4,0))))+SUMPRODUCT((Inputs!$E$5:$E$120=$B61)*ISNUMBER(INDEX(Inputs!$K$5:$AJ$120,0,MATCH(S$2,Inputs!$K$4:$AJ$4,0))))=0,NA(),SUMPRODUCT((Inputs!$A$5:$A$120=$B61)*Inputs!$B$5:$B$120*(((Inputs!$G$5:$G$120="moeda")+(Inputs!$G$5:$G$120="acoes"))*Inputs!$B$1+((Inputs!$G$5:$G$120&lt;&gt;"moeda")*(Inputs!$G$5:$G$120&lt;&gt;"acoes")))*INDEX(Inputs!$K$5:$AJ$120,0,MATCH(S$2,Inputs!$K$4:$AJ$4,0)))+SUMPRODUCT((Inputs!$C$5:$C$120=$B61)*Inputs!$D$5:$D$120*(((Inputs!$G$5:$G$120="moeda")+(Inputs!$G$5:$G$120="acoes"))*Inputs!$B$1+((Inputs!$G$5:$G$120&lt;&gt;"moeda")*(Inputs!$G$5:$G$120&lt;&gt;"acoes")))*INDEX(Inputs!$K$5:$AJ$120,0,MATCH(S$2,Inputs!$K$4:$AJ$4,0)))+SUMPRODUCT((Inputs!$E$5:$E$120=$B61)*Inputs!$F$5:$F$120*(((Inputs!$G$5:$G$120="moeda")+(Inputs!$G$5:$G$120="acoes"))*Inputs!$B$1+((Inputs!$G$5:$G$120&lt;&gt;"moeda")*(Inputs!$G$5:$G$120&lt;&gt;"acoes")))*INDEX(Inputs!$K$5:$AJ$120,0,MATCH(S$2,Inputs!$K$4:$AJ$4,0)))))</f>
        <v>9762</v>
      </c>
      <c r="T61" s="263">
        <f>IF(ISNA(MATCH(T$2,Inputs!$K$4:$AJ$4,0)),NA(),IF(SUMPRODUCT((Inputs!$A$5:$A$120=$B61)*ISNUMBER(INDEX(Inputs!$K$5:$AJ$120,0,MATCH(T$2,Inputs!$K$4:$AJ$4,0))))+SUMPRODUCT((Inputs!$C$5:$C$120=$B61)*ISNUMBER(INDEX(Inputs!$K$5:$AJ$120,0,MATCH(T$2,Inputs!$K$4:$AJ$4,0))))+SUMPRODUCT((Inputs!$E$5:$E$120=$B61)*ISNUMBER(INDEX(Inputs!$K$5:$AJ$120,0,MATCH(T$2,Inputs!$K$4:$AJ$4,0))))=0,NA(),SUMPRODUCT((Inputs!$A$5:$A$120=$B61)*Inputs!$B$5:$B$120*(((Inputs!$G$5:$G$120="moeda")+(Inputs!$G$5:$G$120="acoes"))*Inputs!$B$1+((Inputs!$G$5:$G$120&lt;&gt;"moeda")*(Inputs!$G$5:$G$120&lt;&gt;"acoes")))*INDEX(Inputs!$K$5:$AJ$120,0,MATCH(T$2,Inputs!$K$4:$AJ$4,0)))+SUMPRODUCT((Inputs!$C$5:$C$120=$B61)*Inputs!$D$5:$D$120*(((Inputs!$G$5:$G$120="moeda")+(Inputs!$G$5:$G$120="acoes"))*Inputs!$B$1+((Inputs!$G$5:$G$120&lt;&gt;"moeda")*(Inputs!$G$5:$G$120&lt;&gt;"acoes")))*INDEX(Inputs!$K$5:$AJ$120,0,MATCH(T$2,Inputs!$K$4:$AJ$4,0)))+SUMPRODUCT((Inputs!$E$5:$E$120=$B61)*Inputs!$F$5:$F$120*(((Inputs!$G$5:$G$120="moeda")+(Inputs!$G$5:$G$120="acoes"))*Inputs!$B$1+((Inputs!$G$5:$G$120&lt;&gt;"moeda")*(Inputs!$G$5:$G$120&lt;&gt;"acoes")))*INDEX(Inputs!$K$5:$AJ$120,0,MATCH(T$2,Inputs!$K$4:$AJ$4,0)))))</f>
        <v>13256</v>
      </c>
      <c r="U61" s="263">
        <f>IF(ISNA(MATCH(U$2,Inputs!$K$4:$AJ$4,0)),NA(),IF(SUMPRODUCT((Inputs!$A$5:$A$120=$B61)*ISNUMBER(INDEX(Inputs!$K$5:$AJ$120,0,MATCH(U$2,Inputs!$K$4:$AJ$4,0))))+SUMPRODUCT((Inputs!$C$5:$C$120=$B61)*ISNUMBER(INDEX(Inputs!$K$5:$AJ$120,0,MATCH(U$2,Inputs!$K$4:$AJ$4,0))))+SUMPRODUCT((Inputs!$E$5:$E$120=$B61)*ISNUMBER(INDEX(Inputs!$K$5:$AJ$120,0,MATCH(U$2,Inputs!$K$4:$AJ$4,0))))=0,NA(),SUMPRODUCT((Inputs!$A$5:$A$120=$B61)*Inputs!$B$5:$B$120*(((Inputs!$G$5:$G$120="moeda")+(Inputs!$G$5:$G$120="acoes"))*Inputs!$B$1+((Inputs!$G$5:$G$120&lt;&gt;"moeda")*(Inputs!$G$5:$G$120&lt;&gt;"acoes")))*INDEX(Inputs!$K$5:$AJ$120,0,MATCH(U$2,Inputs!$K$4:$AJ$4,0)))+SUMPRODUCT((Inputs!$C$5:$C$120=$B61)*Inputs!$D$5:$D$120*(((Inputs!$G$5:$G$120="moeda")+(Inputs!$G$5:$G$120="acoes"))*Inputs!$B$1+((Inputs!$G$5:$G$120&lt;&gt;"moeda")*(Inputs!$G$5:$G$120&lt;&gt;"acoes")))*INDEX(Inputs!$K$5:$AJ$120,0,MATCH(U$2,Inputs!$K$4:$AJ$4,0)))+SUMPRODUCT((Inputs!$E$5:$E$120=$B61)*Inputs!$F$5:$F$120*(((Inputs!$G$5:$G$120="moeda")+(Inputs!$G$5:$G$120="acoes"))*Inputs!$B$1+((Inputs!$G$5:$G$120&lt;&gt;"moeda")*(Inputs!$G$5:$G$120&lt;&gt;"acoes")))*INDEX(Inputs!$K$5:$AJ$120,0,MATCH(U$2,Inputs!$K$4:$AJ$4,0)))))</f>
        <v>12584</v>
      </c>
      <c r="V61" s="263">
        <f>IF(ISNA(MATCH(V$2,Inputs!$K$4:$AJ$4,0)),NA(),IF(SUMPRODUCT((Inputs!$A$5:$A$120=$B61)*ISNUMBER(INDEX(Inputs!$K$5:$AJ$120,0,MATCH(V$2,Inputs!$K$4:$AJ$4,0))))+SUMPRODUCT((Inputs!$C$5:$C$120=$B61)*ISNUMBER(INDEX(Inputs!$K$5:$AJ$120,0,MATCH(V$2,Inputs!$K$4:$AJ$4,0))))+SUMPRODUCT((Inputs!$E$5:$E$120=$B61)*ISNUMBER(INDEX(Inputs!$K$5:$AJ$120,0,MATCH(V$2,Inputs!$K$4:$AJ$4,0))))=0,NA(),SUMPRODUCT((Inputs!$A$5:$A$120=$B61)*Inputs!$B$5:$B$120*(((Inputs!$G$5:$G$120="moeda")+(Inputs!$G$5:$G$120="acoes"))*Inputs!$B$1+((Inputs!$G$5:$G$120&lt;&gt;"moeda")*(Inputs!$G$5:$G$120&lt;&gt;"acoes")))*INDEX(Inputs!$K$5:$AJ$120,0,MATCH(V$2,Inputs!$K$4:$AJ$4,0)))+SUMPRODUCT((Inputs!$C$5:$C$120=$B61)*Inputs!$D$5:$D$120*(((Inputs!$G$5:$G$120="moeda")+(Inputs!$G$5:$G$120="acoes"))*Inputs!$B$1+((Inputs!$G$5:$G$120&lt;&gt;"moeda")*(Inputs!$G$5:$G$120&lt;&gt;"acoes")))*INDEX(Inputs!$K$5:$AJ$120,0,MATCH(V$2,Inputs!$K$4:$AJ$4,0)))+SUMPRODUCT((Inputs!$E$5:$E$120=$B61)*Inputs!$F$5:$F$120*(((Inputs!$G$5:$G$120="moeda")+(Inputs!$G$5:$G$120="acoes"))*Inputs!$B$1+((Inputs!$G$5:$G$120&lt;&gt;"moeda")*(Inputs!$G$5:$G$120&lt;&gt;"acoes")))*INDEX(Inputs!$K$5:$AJ$120,0,MATCH(V$2,Inputs!$K$4:$AJ$4,0)))))</f>
        <v>12123</v>
      </c>
      <c r="W61" s="264">
        <f>SUM(S61:V61)</f>
        <v>47725</v>
      </c>
      <c r="X61" s="263">
        <f>IF(ISNA(MATCH(X$2,Inputs!$K$4:$AJ$4,0)),NA(),IF(SUMPRODUCT((Inputs!$A$5:$A$120=$B61)*ISNUMBER(INDEX(Inputs!$K$5:$AJ$120,0,MATCH(X$2,Inputs!$K$4:$AJ$4,0))))+SUMPRODUCT((Inputs!$C$5:$C$120=$B61)*ISNUMBER(INDEX(Inputs!$K$5:$AJ$120,0,MATCH(X$2,Inputs!$K$4:$AJ$4,0))))+SUMPRODUCT((Inputs!$E$5:$E$120=$B61)*ISNUMBER(INDEX(Inputs!$K$5:$AJ$120,0,MATCH(X$2,Inputs!$K$4:$AJ$4,0))))=0,NA(),SUMPRODUCT((Inputs!$A$5:$A$120=$B61)*Inputs!$B$5:$B$120*(((Inputs!$G$5:$G$120="moeda")+(Inputs!$G$5:$G$120="acoes"))*Inputs!$B$1+((Inputs!$G$5:$G$120&lt;&gt;"moeda")*(Inputs!$G$5:$G$120&lt;&gt;"acoes")))*INDEX(Inputs!$K$5:$AJ$120,0,MATCH(X$2,Inputs!$K$4:$AJ$4,0)))+SUMPRODUCT((Inputs!$C$5:$C$120=$B61)*Inputs!$D$5:$D$120*(((Inputs!$G$5:$G$120="moeda")+(Inputs!$G$5:$G$120="acoes"))*Inputs!$B$1+((Inputs!$G$5:$G$120&lt;&gt;"moeda")*(Inputs!$G$5:$G$120&lt;&gt;"acoes")))*INDEX(Inputs!$K$5:$AJ$120,0,MATCH(X$2,Inputs!$K$4:$AJ$4,0)))+SUMPRODUCT((Inputs!$E$5:$E$120=$B61)*Inputs!$F$5:$F$120*(((Inputs!$G$5:$G$120="moeda")+(Inputs!$G$5:$G$120="acoes"))*Inputs!$B$1+((Inputs!$G$5:$G$120&lt;&gt;"moeda")*(Inputs!$G$5:$G$120&lt;&gt;"acoes")))*INDEX(Inputs!$K$5:$AJ$120,0,MATCH(X$2,Inputs!$K$4:$AJ$4,0)))))</f>
        <v>10333</v>
      </c>
      <c r="Y61" s="263">
        <f>IF(ISNA(MATCH(Y$2,Inputs!$K$4:$AJ$4,0)),NA(),IF(SUMPRODUCT((Inputs!$A$5:$A$120=$B61)*ISNUMBER(INDEX(Inputs!$K$5:$AJ$120,0,MATCH(Y$2,Inputs!$K$4:$AJ$4,0))))+SUMPRODUCT((Inputs!$C$5:$C$120=$B61)*ISNUMBER(INDEX(Inputs!$K$5:$AJ$120,0,MATCH(Y$2,Inputs!$K$4:$AJ$4,0))))+SUMPRODUCT((Inputs!$E$5:$E$120=$B61)*ISNUMBER(INDEX(Inputs!$K$5:$AJ$120,0,MATCH(Y$2,Inputs!$K$4:$AJ$4,0))))=0,NA(),SUMPRODUCT((Inputs!$A$5:$A$120=$B61)*Inputs!$B$5:$B$120*(((Inputs!$G$5:$G$120="moeda")+(Inputs!$G$5:$G$120="acoes"))*Inputs!$B$1+((Inputs!$G$5:$G$120&lt;&gt;"moeda")*(Inputs!$G$5:$G$120&lt;&gt;"acoes")))*INDEX(Inputs!$K$5:$AJ$120,0,MATCH(Y$2,Inputs!$K$4:$AJ$4,0)))+SUMPRODUCT((Inputs!$C$5:$C$120=$B61)*Inputs!$D$5:$D$120*(((Inputs!$G$5:$G$120="moeda")+(Inputs!$G$5:$G$120="acoes"))*Inputs!$B$1+((Inputs!$G$5:$G$120&lt;&gt;"moeda")*(Inputs!$G$5:$G$120&lt;&gt;"acoes")))*INDEX(Inputs!$K$5:$AJ$120,0,MATCH(Y$2,Inputs!$K$4:$AJ$4,0)))+SUMPRODUCT((Inputs!$E$5:$E$120=$B61)*Inputs!$F$5:$F$120*(((Inputs!$G$5:$G$120="moeda")+(Inputs!$G$5:$G$120="acoes"))*Inputs!$B$1+((Inputs!$G$5:$G$120&lt;&gt;"moeda")*(Inputs!$G$5:$G$120&lt;&gt;"acoes")))*INDEX(Inputs!$K$5:$AJ$120,0,MATCH(Y$2,Inputs!$K$4:$AJ$4,0)))))</f>
        <v>11809</v>
      </c>
      <c r="Z61" s="263">
        <f>IF(ISNA(MATCH(Z$2,Inputs!$K$4:$AJ$4,0)),NA(),IF(SUMPRODUCT((Inputs!$A$5:$A$120=$B61)*ISNUMBER(INDEX(Inputs!$K$5:$AJ$120,0,MATCH(Z$2,Inputs!$K$4:$AJ$4,0))))+SUMPRODUCT((Inputs!$C$5:$C$120=$B61)*ISNUMBER(INDEX(Inputs!$K$5:$AJ$120,0,MATCH(Z$2,Inputs!$K$4:$AJ$4,0))))+SUMPRODUCT((Inputs!$E$5:$E$120=$B61)*ISNUMBER(INDEX(Inputs!$K$5:$AJ$120,0,MATCH(Z$2,Inputs!$K$4:$AJ$4,0))))=0,NA(),SUMPRODUCT((Inputs!$A$5:$A$120=$B61)*Inputs!$B$5:$B$120*(((Inputs!$G$5:$G$120="moeda")+(Inputs!$G$5:$G$120="acoes"))*Inputs!$B$1+((Inputs!$G$5:$G$120&lt;&gt;"moeda")*(Inputs!$G$5:$G$120&lt;&gt;"acoes")))*INDEX(Inputs!$K$5:$AJ$120,0,MATCH(Z$2,Inputs!$K$4:$AJ$4,0)))+SUMPRODUCT((Inputs!$C$5:$C$120=$B61)*Inputs!$D$5:$D$120*(((Inputs!$G$5:$G$120="moeda")+(Inputs!$G$5:$G$120="acoes"))*Inputs!$B$1+((Inputs!$G$5:$G$120&lt;&gt;"moeda")*(Inputs!$G$5:$G$120&lt;&gt;"acoes")))*INDEX(Inputs!$K$5:$AJ$120,0,MATCH(Z$2,Inputs!$K$4:$AJ$4,0)))+SUMPRODUCT((Inputs!$E$5:$E$120=$B61)*Inputs!$F$5:$F$120*(((Inputs!$G$5:$G$120="moeda")+(Inputs!$G$5:$G$120="acoes"))*Inputs!$B$1+((Inputs!$G$5:$G$120&lt;&gt;"moeda")*(Inputs!$G$5:$G$120&lt;&gt;"acoes")))*INDEX(Inputs!$K$5:$AJ$120,0,MATCH(Z$2,Inputs!$K$4:$AJ$4,0)))))</f>
        <v>14598</v>
      </c>
      <c r="AA61" s="263">
        <f>IF(ISNA(MATCH(AA$2,Inputs!$K$4:$AJ$4,0)),NA(),IF(SUMPRODUCT((Inputs!$A$5:$A$120=$B61)*ISNUMBER(INDEX(Inputs!$K$5:$AJ$120,0,MATCH(AA$2,Inputs!$K$4:$AJ$4,0))))+SUMPRODUCT((Inputs!$C$5:$C$120=$B61)*ISNUMBER(INDEX(Inputs!$K$5:$AJ$120,0,MATCH(AA$2,Inputs!$K$4:$AJ$4,0))))+SUMPRODUCT((Inputs!$E$5:$E$120=$B61)*ISNUMBER(INDEX(Inputs!$K$5:$AJ$120,0,MATCH(AA$2,Inputs!$K$4:$AJ$4,0))))=0,NA(),SUMPRODUCT((Inputs!$A$5:$A$120=$B61)*Inputs!$B$5:$B$120*(((Inputs!$G$5:$G$120="moeda")+(Inputs!$G$5:$G$120="acoes"))*Inputs!$B$1+((Inputs!$G$5:$G$120&lt;&gt;"moeda")*(Inputs!$G$5:$G$120&lt;&gt;"acoes")))*INDEX(Inputs!$K$5:$AJ$120,0,MATCH(AA$2,Inputs!$K$4:$AJ$4,0)))+SUMPRODUCT((Inputs!$C$5:$C$120=$B61)*Inputs!$D$5:$D$120*(((Inputs!$G$5:$G$120="moeda")+(Inputs!$G$5:$G$120="acoes"))*Inputs!$B$1+((Inputs!$G$5:$G$120&lt;&gt;"moeda")*(Inputs!$G$5:$G$120&lt;&gt;"acoes")))*INDEX(Inputs!$K$5:$AJ$120,0,MATCH(AA$2,Inputs!$K$4:$AJ$4,0)))+SUMPRODUCT((Inputs!$E$5:$E$120=$B61)*Inputs!$F$5:$F$120*(((Inputs!$G$5:$G$120="moeda")+(Inputs!$G$5:$G$120="acoes"))*Inputs!$B$1+((Inputs!$G$5:$G$120&lt;&gt;"moeda")*(Inputs!$G$5:$G$120&lt;&gt;"acoes")))*INDEX(Inputs!$K$5:$AJ$120,0,MATCH(AA$2,Inputs!$K$4:$AJ$4,0)))))</f>
        <v>10887</v>
      </c>
      <c r="AB61" s="264">
        <f>SUM(X61:AA61)</f>
        <v>47627</v>
      </c>
      <c r="AC61" s="263">
        <f>IF(ISNA(MATCH(AC$2,Inputs!$K$4:$AJ$4,0)),NA(),IF(SUMPRODUCT((Inputs!$A$5:$A$120=$B61)*ISNUMBER(INDEX(Inputs!$K$5:$AJ$120,0,MATCH(AC$2,Inputs!$K$4:$AJ$4,0))))+SUMPRODUCT((Inputs!$C$5:$C$120=$B61)*ISNUMBER(INDEX(Inputs!$K$5:$AJ$120,0,MATCH(AC$2,Inputs!$K$4:$AJ$4,0))))+SUMPRODUCT((Inputs!$E$5:$E$120=$B61)*ISNUMBER(INDEX(Inputs!$K$5:$AJ$120,0,MATCH(AC$2,Inputs!$K$4:$AJ$4,0))))=0,NA(),SUMPRODUCT((Inputs!$A$5:$A$120=$B61)*Inputs!$B$5:$B$120*(((Inputs!$G$5:$G$120="moeda")+(Inputs!$G$5:$G$120="acoes"))*Inputs!$B$1+((Inputs!$G$5:$G$120&lt;&gt;"moeda")*(Inputs!$G$5:$G$120&lt;&gt;"acoes")))*INDEX(Inputs!$K$5:$AJ$120,0,MATCH(AC$2,Inputs!$K$4:$AJ$4,0)))+SUMPRODUCT((Inputs!$C$5:$C$120=$B61)*Inputs!$D$5:$D$120*(((Inputs!$G$5:$G$120="moeda")+(Inputs!$G$5:$G$120="acoes"))*Inputs!$B$1+((Inputs!$G$5:$G$120&lt;&gt;"moeda")*(Inputs!$G$5:$G$120&lt;&gt;"acoes")))*INDEX(Inputs!$K$5:$AJ$120,0,MATCH(AC$2,Inputs!$K$4:$AJ$4,0)))+SUMPRODUCT((Inputs!$E$5:$E$120=$B61)*Inputs!$F$5:$F$120*(((Inputs!$G$5:$G$120="moeda")+(Inputs!$G$5:$G$120="acoes"))*Inputs!$B$1+((Inputs!$G$5:$G$120&lt;&gt;"moeda")*(Inputs!$G$5:$G$120&lt;&gt;"acoes")))*INDEX(Inputs!$K$5:$AJ$120,0,MATCH(AC$2,Inputs!$K$4:$AJ$4,0)))))</f>
        <v>10677</v>
      </c>
      <c r="AD61" s="263">
        <f>IF(ISNA(MATCH(AD$2,Inputs!$K$4:$AJ$4,0)),NA(),IF(SUMPRODUCT((Inputs!$A$5:$A$120=$B61)*ISNUMBER(INDEX(Inputs!$K$5:$AJ$120,0,MATCH(AD$2,Inputs!$K$4:$AJ$4,0))))+SUMPRODUCT((Inputs!$C$5:$C$120=$B61)*ISNUMBER(INDEX(Inputs!$K$5:$AJ$120,0,MATCH(AD$2,Inputs!$K$4:$AJ$4,0))))+SUMPRODUCT((Inputs!$E$5:$E$120=$B61)*ISNUMBER(INDEX(Inputs!$K$5:$AJ$120,0,MATCH(AD$2,Inputs!$K$4:$AJ$4,0))))=0,NA(),SUMPRODUCT((Inputs!$A$5:$A$120=$B61)*Inputs!$B$5:$B$120*(((Inputs!$G$5:$G$120="moeda")+(Inputs!$G$5:$G$120="acoes"))*Inputs!$B$1+((Inputs!$G$5:$G$120&lt;&gt;"moeda")*(Inputs!$G$5:$G$120&lt;&gt;"acoes")))*INDEX(Inputs!$K$5:$AJ$120,0,MATCH(AD$2,Inputs!$K$4:$AJ$4,0)))+SUMPRODUCT((Inputs!$C$5:$C$120=$B61)*Inputs!$D$5:$D$120*(((Inputs!$G$5:$G$120="moeda")+(Inputs!$G$5:$G$120="acoes"))*Inputs!$B$1+((Inputs!$G$5:$G$120&lt;&gt;"moeda")*(Inputs!$G$5:$G$120&lt;&gt;"acoes")))*INDEX(Inputs!$K$5:$AJ$120,0,MATCH(AD$2,Inputs!$K$4:$AJ$4,0)))+SUMPRODUCT((Inputs!$E$5:$E$120=$B61)*Inputs!$F$5:$F$120*(((Inputs!$G$5:$G$120="moeda")+(Inputs!$G$5:$G$120="acoes"))*Inputs!$B$1+((Inputs!$G$5:$G$120&lt;&gt;"moeda")*(Inputs!$G$5:$G$120&lt;&gt;"acoes")))*INDEX(Inputs!$K$5:$AJ$120,0,MATCH(AD$2,Inputs!$K$4:$AJ$4,0)))))</f>
        <v>13208</v>
      </c>
      <c r="AE61" s="263" t="e">
        <f>IF(ISNA(MATCH(AE$2,Inputs!$K$4:$AJ$4,0)),NA(),IF(SUMPRODUCT((Inputs!$A$5:$A$120=$B61)*ISNUMBER(INDEX(Inputs!$K$5:$AJ$120,0,MATCH(AE$2,Inputs!$K$4:$AJ$4,0))))+SUMPRODUCT((Inputs!$C$5:$C$120=$B61)*ISNUMBER(INDEX(Inputs!$K$5:$AJ$120,0,MATCH(AE$2,Inputs!$K$4:$AJ$4,0))))+SUMPRODUCT((Inputs!$E$5:$E$120=$B61)*ISNUMBER(INDEX(Inputs!$K$5:$AJ$120,0,MATCH(AE$2,Inputs!$K$4:$AJ$4,0))))=0,NA(),SUMPRODUCT((Inputs!$A$5:$A$120=$B61)*Inputs!$B$5:$B$120*(((Inputs!$G$5:$G$120="moeda")+(Inputs!$G$5:$G$120="acoes"))*Inputs!$B$1+((Inputs!$G$5:$G$120&lt;&gt;"moeda")*(Inputs!$G$5:$G$120&lt;&gt;"acoes")))*INDEX(Inputs!$K$5:$AJ$120,0,MATCH(AE$2,Inputs!$K$4:$AJ$4,0)))+SUMPRODUCT((Inputs!$C$5:$C$120=$B61)*Inputs!$D$5:$D$120*(((Inputs!$G$5:$G$120="moeda")+(Inputs!$G$5:$G$120="acoes"))*Inputs!$B$1+((Inputs!$G$5:$G$120&lt;&gt;"moeda")*(Inputs!$G$5:$G$120&lt;&gt;"acoes")))*INDEX(Inputs!$K$5:$AJ$120,0,MATCH(AE$2,Inputs!$K$4:$AJ$4,0)))+SUMPRODUCT((Inputs!$E$5:$E$120=$B61)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61" s="263" t="e">
        <f>IF(ISNA(MATCH(AF$2,Inputs!$K$4:$AJ$4,0)),NA(),IF(SUMPRODUCT((Inputs!$A$5:$A$120=$B61)*ISNUMBER(INDEX(Inputs!$K$5:$AJ$120,0,MATCH(AF$2,Inputs!$K$4:$AJ$4,0))))+SUMPRODUCT((Inputs!$C$5:$C$120=$B61)*ISNUMBER(INDEX(Inputs!$K$5:$AJ$120,0,MATCH(AF$2,Inputs!$K$4:$AJ$4,0))))+SUMPRODUCT((Inputs!$E$5:$E$120=$B61)*ISNUMBER(INDEX(Inputs!$K$5:$AJ$120,0,MATCH(AF$2,Inputs!$K$4:$AJ$4,0))))=0,NA(),SUMPRODUCT((Inputs!$A$5:$A$120=$B61)*Inputs!$B$5:$B$120*(((Inputs!$G$5:$G$120="moeda")+(Inputs!$G$5:$G$120="acoes"))*Inputs!$B$1+((Inputs!$G$5:$G$120&lt;&gt;"moeda")*(Inputs!$G$5:$G$120&lt;&gt;"acoes")))*INDEX(Inputs!$K$5:$AJ$120,0,MATCH(AF$2,Inputs!$K$4:$AJ$4,0)))+SUMPRODUCT((Inputs!$C$5:$C$120=$B61)*Inputs!$D$5:$D$120*(((Inputs!$G$5:$G$120="moeda")+(Inputs!$G$5:$G$120="acoes"))*Inputs!$B$1+((Inputs!$G$5:$G$120&lt;&gt;"moeda")*(Inputs!$G$5:$G$120&lt;&gt;"acoes")))*INDEX(Inputs!$K$5:$AJ$120,0,MATCH(AF$2,Inputs!$K$4:$AJ$4,0)))+SUMPRODUCT((Inputs!$E$5:$E$120=$B61)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61" s="264" t="e">
        <f>SUM(AC61:AF61)</f>
        <v>#N/A</v>
      </c>
      <c r="AH61" s="263">
        <f>IF(ISNA(MATCH(AH$2,Inputs!$K$4:$AJ$4,0)),NA(),IF(SUMPRODUCT((Inputs!$A$5:$A$120=$B61)*ISNUMBER(INDEX(Inputs!$K$5:$AJ$120,0,MATCH(AH$2,Inputs!$K$4:$AJ$4,0))))+SUMPRODUCT((Inputs!$C$5:$C$120=$B61)*ISNUMBER(INDEX(Inputs!$K$5:$AJ$120,0,MATCH(AH$2,Inputs!$K$4:$AJ$4,0))))+SUMPRODUCT((Inputs!$E$5:$E$120=$B61)*ISNUMBER(INDEX(Inputs!$K$5:$AJ$120,0,MATCH(AH$2,Inputs!$K$4:$AJ$4,0))))=0,NA(),SUMPRODUCT((Inputs!$A$5:$A$120=$B61)*Inputs!$B$5:$B$120*(((Inputs!$G$5:$G$120="moeda")+(Inputs!$G$5:$G$120="acoes"))*Inputs!$B$1+((Inputs!$G$5:$G$120&lt;&gt;"moeda")*(Inputs!$G$5:$G$120&lt;&gt;"acoes")))*INDEX(Inputs!$K$5:$AJ$120,0,MATCH(AH$2,Inputs!$K$4:$AJ$4,0)))+SUMPRODUCT((Inputs!$C$5:$C$120=$B61)*Inputs!$D$5:$D$120*(((Inputs!$G$5:$G$120="moeda")+(Inputs!$G$5:$G$120="acoes"))*Inputs!$B$1+((Inputs!$G$5:$G$120&lt;&gt;"moeda")*(Inputs!$G$5:$G$120&lt;&gt;"acoes")))*INDEX(Inputs!$K$5:$AJ$120,0,MATCH(AH$2,Inputs!$K$4:$AJ$4,0)))+SUMPRODUCT((Inputs!$E$5:$E$120=$B61)*Inputs!$F$5:$F$120*(((Inputs!$G$5:$G$120="moeda")+(Inputs!$G$5:$G$120="acoes"))*Inputs!$B$1+((Inputs!$G$5:$G$120&lt;&gt;"moeda")*(Inputs!$G$5:$G$120&lt;&gt;"acoes")))*INDEX(Inputs!$K$5:$AJ$120,0,MATCH(AH$2,Inputs!$K$4:$AJ$4,0)))))</f>
        <v>2768</v>
      </c>
      <c r="AI61" s="263">
        <f>IF(ISNA(MATCH(AI$2,Inputs!$K$4:$AJ$4,0)),NA(),IF(SUMPRODUCT((Inputs!$A$5:$A$120=$B61)*ISNUMBER(INDEX(Inputs!$K$5:$AJ$120,0,MATCH(AI$2,Inputs!$K$4:$AJ$4,0))))+SUMPRODUCT((Inputs!$C$5:$C$120=$B61)*ISNUMBER(INDEX(Inputs!$K$5:$AJ$120,0,MATCH(AI$2,Inputs!$K$4:$AJ$4,0))))+SUMPRODUCT((Inputs!$E$5:$E$120=$B61)*ISNUMBER(INDEX(Inputs!$K$5:$AJ$120,0,MATCH(AI$2,Inputs!$K$4:$AJ$4,0))))=0,NA(),SUMPRODUCT((Inputs!$A$5:$A$120=$B61)*Inputs!$B$5:$B$120*(((Inputs!$G$5:$G$120="moeda")+(Inputs!$G$5:$G$120="acoes"))*Inputs!$B$1+((Inputs!$G$5:$G$120&lt;&gt;"moeda")*(Inputs!$G$5:$G$120&lt;&gt;"acoes")))*INDEX(Inputs!$K$5:$AJ$120,0,MATCH(AI$2,Inputs!$K$4:$AJ$4,0)))+SUMPRODUCT((Inputs!$C$5:$C$120=$B61)*Inputs!$D$5:$D$120*(((Inputs!$G$5:$G$120="moeda")+(Inputs!$G$5:$G$120="acoes"))*Inputs!$B$1+((Inputs!$G$5:$G$120&lt;&gt;"moeda")*(Inputs!$G$5:$G$120&lt;&gt;"acoes")))*INDEX(Inputs!$K$5:$AJ$120,0,MATCH(AI$2,Inputs!$K$4:$AJ$4,0)))+SUMPRODUCT((Inputs!$E$5:$E$120=$B61)*Inputs!$F$5:$F$120*(((Inputs!$G$5:$G$120="moeda")+(Inputs!$G$5:$G$120="acoes"))*Inputs!$B$1+((Inputs!$G$5:$G$120&lt;&gt;"moeda")*(Inputs!$G$5:$G$120&lt;&gt;"acoes")))*INDEX(Inputs!$K$5:$AJ$120,0,MATCH(AI$2,Inputs!$K$4:$AJ$4,0)))))</f>
        <v>3090</v>
      </c>
      <c r="AJ61" s="263">
        <f>IF(ISNA(MATCH(AJ$2,Inputs!$K$4:$AJ$4,0)),NA(),IF(SUMPRODUCT((Inputs!$A$5:$A$120=$B61)*ISNUMBER(INDEX(Inputs!$K$5:$AJ$120,0,MATCH(AJ$2,Inputs!$K$4:$AJ$4,0))))+SUMPRODUCT((Inputs!$C$5:$C$120=$B61)*ISNUMBER(INDEX(Inputs!$K$5:$AJ$120,0,MATCH(AJ$2,Inputs!$K$4:$AJ$4,0))))+SUMPRODUCT((Inputs!$E$5:$E$120=$B61)*ISNUMBER(INDEX(Inputs!$K$5:$AJ$120,0,MATCH(AJ$2,Inputs!$K$4:$AJ$4,0))))=0,NA(),SUMPRODUCT((Inputs!$A$5:$A$120=$B61)*Inputs!$B$5:$B$120*(((Inputs!$G$5:$G$120="moeda")+(Inputs!$G$5:$G$120="acoes"))*Inputs!$B$1+((Inputs!$G$5:$G$120&lt;&gt;"moeda")*(Inputs!$G$5:$G$120&lt;&gt;"acoes")))*INDEX(Inputs!$K$5:$AJ$120,0,MATCH(AJ$2,Inputs!$K$4:$AJ$4,0)))+SUMPRODUCT((Inputs!$C$5:$C$120=$B61)*Inputs!$D$5:$D$120*(((Inputs!$G$5:$G$120="moeda")+(Inputs!$G$5:$G$120="acoes"))*Inputs!$B$1+((Inputs!$G$5:$G$120&lt;&gt;"moeda")*(Inputs!$G$5:$G$120&lt;&gt;"acoes")))*INDEX(Inputs!$K$5:$AJ$120,0,MATCH(AJ$2,Inputs!$K$4:$AJ$4,0)))+SUMPRODUCT((Inputs!$E$5:$E$120=$B61)*Inputs!$F$5:$F$120*(((Inputs!$G$5:$G$120="moeda")+(Inputs!$G$5:$G$120="acoes"))*Inputs!$B$1+((Inputs!$G$5:$G$120&lt;&gt;"moeda")*(Inputs!$G$5:$G$120&lt;&gt;"acoes")))*INDEX(Inputs!$K$5:$AJ$120,0,MATCH(AJ$2,Inputs!$K$4:$AJ$4,0)))))</f>
        <v>4215</v>
      </c>
      <c r="AK61" s="263">
        <f>IF(ISNA(MATCH(AK$2,Inputs!$K$4:$AJ$4,0)),NA(),IF(SUMPRODUCT((Inputs!$A$5:$A$120=$B61)*ISNUMBER(INDEX(Inputs!$K$5:$AJ$120,0,MATCH(AK$2,Inputs!$K$4:$AJ$4,0))))+SUMPRODUCT((Inputs!$C$5:$C$120=$B61)*ISNUMBER(INDEX(Inputs!$K$5:$AJ$120,0,MATCH(AK$2,Inputs!$K$4:$AJ$4,0))))+SUMPRODUCT((Inputs!$E$5:$E$120=$B61)*ISNUMBER(INDEX(Inputs!$K$5:$AJ$120,0,MATCH(AK$2,Inputs!$K$4:$AJ$4,0))))=0,NA(),SUMPRODUCT((Inputs!$A$5:$A$120=$B61)*Inputs!$B$5:$B$120*(((Inputs!$G$5:$G$120="moeda")+(Inputs!$G$5:$G$120="acoes"))*Inputs!$B$1+((Inputs!$G$5:$G$120&lt;&gt;"moeda")*(Inputs!$G$5:$G$120&lt;&gt;"acoes")))*INDEX(Inputs!$K$5:$AJ$120,0,MATCH(AK$2,Inputs!$K$4:$AJ$4,0)))+SUMPRODUCT((Inputs!$C$5:$C$120=$B61)*Inputs!$D$5:$D$120*(((Inputs!$G$5:$G$120="moeda")+(Inputs!$G$5:$G$120="acoes"))*Inputs!$B$1+((Inputs!$G$5:$G$120&lt;&gt;"moeda")*(Inputs!$G$5:$G$120&lt;&gt;"acoes")))*INDEX(Inputs!$K$5:$AJ$120,0,MATCH(AK$2,Inputs!$K$4:$AJ$4,0)))+SUMPRODUCT((Inputs!$E$5:$E$120=$B61)*Inputs!$F$5:$F$120*(((Inputs!$G$5:$G$120="moeda")+(Inputs!$G$5:$G$120="acoes"))*Inputs!$B$1+((Inputs!$G$5:$G$120&lt;&gt;"moeda")*(Inputs!$G$5:$G$120&lt;&gt;"acoes")))*INDEX(Inputs!$K$5:$AJ$120,0,MATCH(AK$2,Inputs!$K$4:$AJ$4,0)))))</f>
        <v>5134</v>
      </c>
      <c r="AL61" s="264">
        <f>SUM(AH61:AK61)</f>
        <v>15207</v>
      </c>
    </row>
    <row r="62">
      <c r="B62" s="46" t="n">
        <v>54</v>
      </c>
      <c r="C62" s="29" t="inlineStr">
        <is>
          <t>Receita China (USD)</t>
        </is>
      </c>
      <c r="D62" s="263">
        <f>IF(ISNA(MATCH(D$2,Inputs!$K$4:$AJ$4,0)),NA(),IF(SUMPRODUCT((Inputs!$A$5:$A$120=$B62)*ISNUMBER(INDEX(Inputs!$K$5:$AJ$120,0,MATCH(D$2,Inputs!$K$4:$AJ$4,0))))+SUMPRODUCT((Inputs!$C$5:$C$120=$B62)*ISNUMBER(INDEX(Inputs!$K$5:$AJ$120,0,MATCH(D$2,Inputs!$K$4:$AJ$4,0))))+SUMPRODUCT((Inputs!$E$5:$E$120=$B62)*ISNUMBER(INDEX(Inputs!$K$5:$AJ$120,0,MATCH(D$2,Inputs!$K$4:$AJ$4,0))))=0,NA(),SUMPRODUCT((Inputs!$A$5:$A$120=$B62)*Inputs!$B$5:$B$120*(((Inputs!$G$5:$G$120="moeda")+(Inputs!$G$5:$G$120="acoes"))*Inputs!$B$1+((Inputs!$G$5:$G$120&lt;&gt;"moeda")*(Inputs!$G$5:$G$120&lt;&gt;"acoes")))*INDEX(Inputs!$K$5:$AJ$120,0,MATCH(D$2,Inputs!$K$4:$AJ$4,0)))+SUMPRODUCT((Inputs!$C$5:$C$120=$B62)*Inputs!$D$5:$D$120*(((Inputs!$G$5:$G$120="moeda")+(Inputs!$G$5:$G$120="acoes"))*Inputs!$B$1+((Inputs!$G$5:$G$120&lt;&gt;"moeda")*(Inputs!$G$5:$G$120&lt;&gt;"acoes")))*INDEX(Inputs!$K$5:$AJ$120,0,MATCH(D$2,Inputs!$K$4:$AJ$4,0)))+SUMPRODUCT((Inputs!$E$5:$E$120=$B62)*Inputs!$F$5:$F$120*(((Inputs!$G$5:$G$120="moeda")+(Inputs!$G$5:$G$120="acoes"))*Inputs!$B$1+((Inputs!$G$5:$G$120&lt;&gt;"moeda")*(Inputs!$G$5:$G$120&lt;&gt;"acoes")))*INDEX(Inputs!$K$5:$AJ$120,0,MATCH(D$2,Inputs!$K$4:$AJ$4,0)))))</f>
        <v>3043</v>
      </c>
      <c r="E62" s="263">
        <f>IF(ISNA(MATCH(E$2,Inputs!$K$4:$AJ$4,0)),NA(),IF(SUMPRODUCT((Inputs!$A$5:$A$120=$B62)*ISNUMBER(INDEX(Inputs!$K$5:$AJ$120,0,MATCH(E$2,Inputs!$K$4:$AJ$4,0))))+SUMPRODUCT((Inputs!$C$5:$C$120=$B62)*ISNUMBER(INDEX(Inputs!$K$5:$AJ$120,0,MATCH(E$2,Inputs!$K$4:$AJ$4,0))))+SUMPRODUCT((Inputs!$E$5:$E$120=$B62)*ISNUMBER(INDEX(Inputs!$K$5:$AJ$120,0,MATCH(E$2,Inputs!$K$4:$AJ$4,0))))=0,NA(),SUMPRODUCT((Inputs!$A$5:$A$120=$B62)*Inputs!$B$5:$B$120*(((Inputs!$G$5:$G$120="moeda")+(Inputs!$G$5:$G$120="acoes"))*Inputs!$B$1+((Inputs!$G$5:$G$120&lt;&gt;"moeda")*(Inputs!$G$5:$G$120&lt;&gt;"acoes")))*INDEX(Inputs!$K$5:$AJ$120,0,MATCH(E$2,Inputs!$K$4:$AJ$4,0)))+SUMPRODUCT((Inputs!$C$5:$C$120=$B62)*Inputs!$D$5:$D$120*(((Inputs!$G$5:$G$120="moeda")+(Inputs!$G$5:$G$120="acoes"))*Inputs!$B$1+((Inputs!$G$5:$G$120&lt;&gt;"moeda")*(Inputs!$G$5:$G$120&lt;&gt;"acoes")))*INDEX(Inputs!$K$5:$AJ$120,0,MATCH(E$2,Inputs!$K$4:$AJ$4,0)))+SUMPRODUCT((Inputs!$E$5:$E$120=$B62)*Inputs!$F$5:$F$120*(((Inputs!$G$5:$G$120="moeda")+(Inputs!$G$5:$G$120="acoes"))*Inputs!$B$1+((Inputs!$G$5:$G$120&lt;&gt;"moeda")*(Inputs!$G$5:$G$120&lt;&gt;"acoes")))*INDEX(Inputs!$K$5:$AJ$120,0,MATCH(E$2,Inputs!$K$4:$AJ$4,0)))))</f>
        <v>2859</v>
      </c>
      <c r="F62" s="263">
        <f>IF(ISNA(MATCH(F$2,Inputs!$K$4:$AJ$4,0)),NA(),IF(SUMPRODUCT((Inputs!$A$5:$A$120=$B62)*ISNUMBER(INDEX(Inputs!$K$5:$AJ$120,0,MATCH(F$2,Inputs!$K$4:$AJ$4,0))))+SUMPRODUCT((Inputs!$C$5:$C$120=$B62)*ISNUMBER(INDEX(Inputs!$K$5:$AJ$120,0,MATCH(F$2,Inputs!$K$4:$AJ$4,0))))+SUMPRODUCT((Inputs!$E$5:$E$120=$B62)*ISNUMBER(INDEX(Inputs!$K$5:$AJ$120,0,MATCH(F$2,Inputs!$K$4:$AJ$4,0))))=0,NA(),SUMPRODUCT((Inputs!$A$5:$A$120=$B62)*Inputs!$B$5:$B$120*(((Inputs!$G$5:$G$120="moeda")+(Inputs!$G$5:$G$120="acoes"))*Inputs!$B$1+((Inputs!$G$5:$G$120&lt;&gt;"moeda")*(Inputs!$G$5:$G$120&lt;&gt;"acoes")))*INDEX(Inputs!$K$5:$AJ$120,0,MATCH(F$2,Inputs!$K$4:$AJ$4,0)))+SUMPRODUCT((Inputs!$C$5:$C$120=$B62)*Inputs!$D$5:$D$120*(((Inputs!$G$5:$G$120="moeda")+(Inputs!$G$5:$G$120="acoes"))*Inputs!$B$1+((Inputs!$G$5:$G$120&lt;&gt;"moeda")*(Inputs!$G$5:$G$120&lt;&gt;"acoes")))*INDEX(Inputs!$K$5:$AJ$120,0,MATCH(F$2,Inputs!$K$4:$AJ$4,0)))+SUMPRODUCT((Inputs!$E$5:$E$120=$B62)*Inputs!$F$5:$F$120*(((Inputs!$G$5:$G$120="moeda")+(Inputs!$G$5:$G$120="acoes"))*Inputs!$B$1+((Inputs!$G$5:$G$120&lt;&gt;"moeda")*(Inputs!$G$5:$G$120&lt;&gt;"acoes")))*INDEX(Inputs!$K$5:$AJ$120,0,MATCH(F$2,Inputs!$K$4:$AJ$4,0)))))</f>
        <v>3113</v>
      </c>
      <c r="G62" s="263">
        <f>IF(ISNA(MATCH(G$2,Inputs!$K$4:$AJ$4,0)),NA(),IF(SUMPRODUCT((Inputs!$A$5:$A$120=$B62)*ISNUMBER(INDEX(Inputs!$K$5:$AJ$120,0,MATCH(G$2,Inputs!$K$4:$AJ$4,0))))+SUMPRODUCT((Inputs!$C$5:$C$120=$B62)*ISNUMBER(INDEX(Inputs!$K$5:$AJ$120,0,MATCH(G$2,Inputs!$K$4:$AJ$4,0))))+SUMPRODUCT((Inputs!$E$5:$E$120=$B62)*ISNUMBER(INDEX(Inputs!$K$5:$AJ$120,0,MATCH(G$2,Inputs!$K$4:$AJ$4,0))))=0,NA(),SUMPRODUCT((Inputs!$A$5:$A$120=$B62)*Inputs!$B$5:$B$120*(((Inputs!$G$5:$G$120="moeda")+(Inputs!$G$5:$G$120="acoes"))*Inputs!$B$1+((Inputs!$G$5:$G$120&lt;&gt;"moeda")*(Inputs!$G$5:$G$120&lt;&gt;"acoes")))*INDEX(Inputs!$K$5:$AJ$120,0,MATCH(G$2,Inputs!$K$4:$AJ$4,0)))+SUMPRODUCT((Inputs!$C$5:$C$120=$B62)*Inputs!$D$5:$D$120*(((Inputs!$G$5:$G$120="moeda")+(Inputs!$G$5:$G$120="acoes"))*Inputs!$B$1+((Inputs!$G$5:$G$120&lt;&gt;"moeda")*(Inputs!$G$5:$G$120&lt;&gt;"acoes")))*INDEX(Inputs!$K$5:$AJ$120,0,MATCH(G$2,Inputs!$K$4:$AJ$4,0)))+SUMPRODUCT((Inputs!$E$5:$E$120=$B62)*Inputs!$F$5:$F$120*(((Inputs!$G$5:$G$120="moeda")+(Inputs!$G$5:$G$120="acoes"))*Inputs!$B$1+((Inputs!$G$5:$G$120&lt;&gt;"moeda")*(Inputs!$G$5:$G$120&lt;&gt;"acoes")))*INDEX(Inputs!$K$5:$AJ$120,0,MATCH(G$2,Inputs!$K$4:$AJ$4,0)))))</f>
        <v>4829</v>
      </c>
      <c r="H62" s="264">
        <f>SUM(D62:G62)</f>
        <v>13844</v>
      </c>
      <c r="I62" s="263">
        <f>IF(ISNA(MATCH(I$2,Inputs!$K$4:$AJ$4,0)),NA(),IF(SUMPRODUCT((Inputs!$A$5:$A$120=$B62)*ISNUMBER(INDEX(Inputs!$K$5:$AJ$120,0,MATCH(I$2,Inputs!$K$4:$AJ$4,0))))+SUMPRODUCT((Inputs!$C$5:$C$120=$B62)*ISNUMBER(INDEX(Inputs!$K$5:$AJ$120,0,MATCH(I$2,Inputs!$K$4:$AJ$4,0))))+SUMPRODUCT((Inputs!$E$5:$E$120=$B62)*ISNUMBER(INDEX(Inputs!$K$5:$AJ$120,0,MATCH(I$2,Inputs!$K$4:$AJ$4,0))))=0,NA(),SUMPRODUCT((Inputs!$A$5:$A$120=$B62)*Inputs!$B$5:$B$120*(((Inputs!$G$5:$G$120="moeda")+(Inputs!$G$5:$G$120="acoes"))*Inputs!$B$1+((Inputs!$G$5:$G$120&lt;&gt;"moeda")*(Inputs!$G$5:$G$120&lt;&gt;"acoes")))*INDEX(Inputs!$K$5:$AJ$120,0,MATCH(I$2,Inputs!$K$4:$AJ$4,0)))+SUMPRODUCT((Inputs!$C$5:$C$120=$B62)*Inputs!$D$5:$D$120*(((Inputs!$G$5:$G$120="moeda")+(Inputs!$G$5:$G$120="acoes"))*Inputs!$B$1+((Inputs!$G$5:$G$120&lt;&gt;"moeda")*(Inputs!$G$5:$G$120&lt;&gt;"acoes")))*INDEX(Inputs!$K$5:$AJ$120,0,MATCH(I$2,Inputs!$K$4:$AJ$4,0)))+SUMPRODUCT((Inputs!$E$5:$E$120=$B62)*Inputs!$F$5:$F$120*(((Inputs!$G$5:$G$120="moeda")+(Inputs!$G$5:$G$120="acoes"))*Inputs!$B$1+((Inputs!$G$5:$G$120&lt;&gt;"moeda")*(Inputs!$G$5:$G$120&lt;&gt;"acoes")))*INDEX(Inputs!$K$5:$AJ$120,0,MATCH(I$2,Inputs!$K$4:$AJ$4,0)))))</f>
        <v>4650</v>
      </c>
      <c r="J62" s="263">
        <f>IF(ISNA(MATCH(J$2,Inputs!$K$4:$AJ$4,0)),NA(),IF(SUMPRODUCT((Inputs!$A$5:$A$120=$B62)*ISNUMBER(INDEX(Inputs!$K$5:$AJ$120,0,MATCH(J$2,Inputs!$K$4:$AJ$4,0))))+SUMPRODUCT((Inputs!$C$5:$C$120=$B62)*ISNUMBER(INDEX(Inputs!$K$5:$AJ$120,0,MATCH(J$2,Inputs!$K$4:$AJ$4,0))))+SUMPRODUCT((Inputs!$E$5:$E$120=$B62)*ISNUMBER(INDEX(Inputs!$K$5:$AJ$120,0,MATCH(J$2,Inputs!$K$4:$AJ$4,0))))=0,NA(),SUMPRODUCT((Inputs!$A$5:$A$120=$B62)*Inputs!$B$5:$B$120*(((Inputs!$G$5:$G$120="moeda")+(Inputs!$G$5:$G$120="acoes"))*Inputs!$B$1+((Inputs!$G$5:$G$120&lt;&gt;"moeda")*(Inputs!$G$5:$G$120&lt;&gt;"acoes")))*INDEX(Inputs!$K$5:$AJ$120,0,MATCH(J$2,Inputs!$K$4:$AJ$4,0)))+SUMPRODUCT((Inputs!$C$5:$C$120=$B62)*Inputs!$D$5:$D$120*(((Inputs!$G$5:$G$120="moeda")+(Inputs!$G$5:$G$120="acoes"))*Inputs!$B$1+((Inputs!$G$5:$G$120&lt;&gt;"moeda")*(Inputs!$G$5:$G$120&lt;&gt;"acoes")))*INDEX(Inputs!$K$5:$AJ$120,0,MATCH(J$2,Inputs!$K$4:$AJ$4,0)))+SUMPRODUCT((Inputs!$E$5:$E$120=$B62)*Inputs!$F$5:$F$120*(((Inputs!$G$5:$G$120="moeda")+(Inputs!$G$5:$G$120="acoes"))*Inputs!$B$1+((Inputs!$G$5:$G$120&lt;&gt;"moeda")*(Inputs!$G$5:$G$120&lt;&gt;"acoes")))*INDEX(Inputs!$K$5:$AJ$120,0,MATCH(J$2,Inputs!$K$4:$AJ$4,0)))))</f>
        <v>3787</v>
      </c>
      <c r="K62" s="263">
        <f>IF(ISNA(MATCH(K$2,Inputs!$K$4:$AJ$4,0)),NA(),IF(SUMPRODUCT((Inputs!$A$5:$A$120=$B62)*ISNUMBER(INDEX(Inputs!$K$5:$AJ$120,0,MATCH(K$2,Inputs!$K$4:$AJ$4,0))))+SUMPRODUCT((Inputs!$C$5:$C$120=$B62)*ISNUMBER(INDEX(Inputs!$K$5:$AJ$120,0,MATCH(K$2,Inputs!$K$4:$AJ$4,0))))+SUMPRODUCT((Inputs!$E$5:$E$120=$B62)*ISNUMBER(INDEX(Inputs!$K$5:$AJ$120,0,MATCH(K$2,Inputs!$K$4:$AJ$4,0))))=0,NA(),SUMPRODUCT((Inputs!$A$5:$A$120=$B62)*Inputs!$B$5:$B$120*(((Inputs!$G$5:$G$120="moeda")+(Inputs!$G$5:$G$120="acoes"))*Inputs!$B$1+((Inputs!$G$5:$G$120&lt;&gt;"moeda")*(Inputs!$G$5:$G$120&lt;&gt;"acoes")))*INDEX(Inputs!$K$5:$AJ$120,0,MATCH(K$2,Inputs!$K$4:$AJ$4,0)))+SUMPRODUCT((Inputs!$C$5:$C$120=$B62)*Inputs!$D$5:$D$120*(((Inputs!$G$5:$G$120="moeda")+(Inputs!$G$5:$G$120="acoes"))*Inputs!$B$1+((Inputs!$G$5:$G$120&lt;&gt;"moeda")*(Inputs!$G$5:$G$120&lt;&gt;"acoes")))*INDEX(Inputs!$K$5:$AJ$120,0,MATCH(K$2,Inputs!$K$4:$AJ$4,0)))+SUMPRODUCT((Inputs!$E$5:$E$120=$B62)*Inputs!$F$5:$F$120*(((Inputs!$G$5:$G$120="moeda")+(Inputs!$G$5:$G$120="acoes"))*Inputs!$B$1+((Inputs!$G$5:$G$120&lt;&gt;"moeda")*(Inputs!$G$5:$G$120&lt;&gt;"acoes")))*INDEX(Inputs!$K$5:$AJ$120,0,MATCH(K$2,Inputs!$K$4:$AJ$4,0)))))</f>
        <v>5131</v>
      </c>
      <c r="L62" s="263">
        <f>IF(ISNA(MATCH(L$2,Inputs!$K$4:$AJ$4,0)),NA(),IF(SUMPRODUCT((Inputs!$A$5:$A$120=$B62)*ISNUMBER(INDEX(Inputs!$K$5:$AJ$120,0,MATCH(L$2,Inputs!$K$4:$AJ$4,0))))+SUMPRODUCT((Inputs!$C$5:$C$120=$B62)*ISNUMBER(INDEX(Inputs!$K$5:$AJ$120,0,MATCH(L$2,Inputs!$K$4:$AJ$4,0))))+SUMPRODUCT((Inputs!$E$5:$E$120=$B62)*ISNUMBER(INDEX(Inputs!$K$5:$AJ$120,0,MATCH(L$2,Inputs!$K$4:$AJ$4,0))))=0,NA(),SUMPRODUCT((Inputs!$A$5:$A$120=$B62)*Inputs!$B$5:$B$120*(((Inputs!$G$5:$G$120="moeda")+(Inputs!$G$5:$G$120="acoes"))*Inputs!$B$1+((Inputs!$G$5:$G$120&lt;&gt;"moeda")*(Inputs!$G$5:$G$120&lt;&gt;"acoes")))*INDEX(Inputs!$K$5:$AJ$120,0,MATCH(L$2,Inputs!$K$4:$AJ$4,0)))+SUMPRODUCT((Inputs!$C$5:$C$120=$B62)*Inputs!$D$5:$D$120*(((Inputs!$G$5:$G$120="moeda")+(Inputs!$G$5:$G$120="acoes"))*Inputs!$B$1+((Inputs!$G$5:$G$120&lt;&gt;"moeda")*(Inputs!$G$5:$G$120&lt;&gt;"acoes")))*INDEX(Inputs!$K$5:$AJ$120,0,MATCH(L$2,Inputs!$K$4:$AJ$4,0)))+SUMPRODUCT((Inputs!$E$5:$E$120=$B62)*Inputs!$F$5:$F$120*(((Inputs!$G$5:$G$120="moeda")+(Inputs!$G$5:$G$120="acoes"))*Inputs!$B$1+((Inputs!$G$5:$G$120&lt;&gt;"moeda")*(Inputs!$G$5:$G$120&lt;&gt;"acoes")))*INDEX(Inputs!$K$5:$AJ$120,0,MATCH(L$2,Inputs!$K$4:$AJ$4,0)))))</f>
        <v>4577</v>
      </c>
      <c r="M62" s="264">
        <f>SUM(I62:L62)</f>
        <v>18145</v>
      </c>
      <c r="N62" s="263">
        <f>IF(ISNA(MATCH(N$2,Inputs!$K$4:$AJ$4,0)),NA(),IF(SUMPRODUCT((Inputs!$A$5:$A$120=$B62)*ISNUMBER(INDEX(Inputs!$K$5:$AJ$120,0,MATCH(N$2,Inputs!$K$4:$AJ$4,0))))+SUMPRODUCT((Inputs!$C$5:$C$120=$B62)*ISNUMBER(INDEX(Inputs!$K$5:$AJ$120,0,MATCH(N$2,Inputs!$K$4:$AJ$4,0))))+SUMPRODUCT((Inputs!$E$5:$E$120=$B62)*ISNUMBER(INDEX(Inputs!$K$5:$AJ$120,0,MATCH(N$2,Inputs!$K$4:$AJ$4,0))))=0,NA(),SUMPRODUCT((Inputs!$A$5:$A$120=$B62)*Inputs!$B$5:$B$120*(((Inputs!$G$5:$G$120="moeda")+(Inputs!$G$5:$G$120="acoes"))*Inputs!$B$1+((Inputs!$G$5:$G$120&lt;&gt;"moeda")*(Inputs!$G$5:$G$120&lt;&gt;"acoes")))*INDEX(Inputs!$K$5:$AJ$120,0,MATCH(N$2,Inputs!$K$4:$AJ$4,0)))+SUMPRODUCT((Inputs!$C$5:$C$120=$B62)*Inputs!$D$5:$D$120*(((Inputs!$G$5:$G$120="moeda")+(Inputs!$G$5:$G$120="acoes"))*Inputs!$B$1+((Inputs!$G$5:$G$120&lt;&gt;"moeda")*(Inputs!$G$5:$G$120&lt;&gt;"acoes")))*INDEX(Inputs!$K$5:$AJ$120,0,MATCH(N$2,Inputs!$K$4:$AJ$4,0)))+SUMPRODUCT((Inputs!$E$5:$E$120=$B62)*Inputs!$F$5:$F$120*(((Inputs!$G$5:$G$120="moeda")+(Inputs!$G$5:$G$120="acoes"))*Inputs!$B$1+((Inputs!$G$5:$G$120&lt;&gt;"moeda")*(Inputs!$G$5:$G$120&lt;&gt;"acoes")))*INDEX(Inputs!$K$5:$AJ$120,0,MATCH(N$2,Inputs!$K$4:$AJ$4,0)))))</f>
        <v>4891</v>
      </c>
      <c r="O62" s="263">
        <f>IF(ISNA(MATCH(O$2,Inputs!$K$4:$AJ$4,0)),NA(),IF(SUMPRODUCT((Inputs!$A$5:$A$120=$B62)*ISNUMBER(INDEX(Inputs!$K$5:$AJ$120,0,MATCH(O$2,Inputs!$K$4:$AJ$4,0))))+SUMPRODUCT((Inputs!$C$5:$C$120=$B62)*ISNUMBER(INDEX(Inputs!$K$5:$AJ$120,0,MATCH(O$2,Inputs!$K$4:$AJ$4,0))))+SUMPRODUCT((Inputs!$E$5:$E$120=$B62)*ISNUMBER(INDEX(Inputs!$K$5:$AJ$120,0,MATCH(O$2,Inputs!$K$4:$AJ$4,0))))=0,NA(),SUMPRODUCT((Inputs!$A$5:$A$120=$B62)*Inputs!$B$5:$B$120*(((Inputs!$G$5:$G$120="moeda")+(Inputs!$G$5:$G$120="acoes"))*Inputs!$B$1+((Inputs!$G$5:$G$120&lt;&gt;"moeda")*(Inputs!$G$5:$G$120&lt;&gt;"acoes")))*INDEX(Inputs!$K$5:$AJ$120,0,MATCH(O$2,Inputs!$K$4:$AJ$4,0)))+SUMPRODUCT((Inputs!$C$5:$C$120=$B62)*Inputs!$D$5:$D$120*(((Inputs!$G$5:$G$120="moeda")+(Inputs!$G$5:$G$120="acoes"))*Inputs!$B$1+((Inputs!$G$5:$G$120&lt;&gt;"moeda")*(Inputs!$G$5:$G$120&lt;&gt;"acoes")))*INDEX(Inputs!$K$5:$AJ$120,0,MATCH(O$2,Inputs!$K$4:$AJ$4,0)))+SUMPRODUCT((Inputs!$E$5:$E$120=$B62)*Inputs!$F$5:$F$120*(((Inputs!$G$5:$G$120="moeda")+(Inputs!$G$5:$G$120="acoes"))*Inputs!$B$1+((Inputs!$G$5:$G$120&lt;&gt;"moeda")*(Inputs!$G$5:$G$120&lt;&gt;"acoes")))*INDEX(Inputs!$K$5:$AJ$120,0,MATCH(O$2,Inputs!$K$4:$AJ$4,0)))))</f>
        <v>5731</v>
      </c>
      <c r="P62" s="263">
        <f>IF(ISNA(MATCH(P$2,Inputs!$K$4:$AJ$4,0)),NA(),IF(SUMPRODUCT((Inputs!$A$5:$A$120=$B62)*ISNUMBER(INDEX(Inputs!$K$5:$AJ$120,0,MATCH(P$2,Inputs!$K$4:$AJ$4,0))))+SUMPRODUCT((Inputs!$C$5:$C$120=$B62)*ISNUMBER(INDEX(Inputs!$K$5:$AJ$120,0,MATCH(P$2,Inputs!$K$4:$AJ$4,0))))+SUMPRODUCT((Inputs!$E$5:$E$120=$B62)*ISNUMBER(INDEX(Inputs!$K$5:$AJ$120,0,MATCH(P$2,Inputs!$K$4:$AJ$4,0))))=0,NA(),SUMPRODUCT((Inputs!$A$5:$A$120=$B62)*Inputs!$B$5:$B$120*(((Inputs!$G$5:$G$120="moeda")+(Inputs!$G$5:$G$120="acoes"))*Inputs!$B$1+((Inputs!$G$5:$G$120&lt;&gt;"moeda")*(Inputs!$G$5:$G$120&lt;&gt;"acoes")))*INDEX(Inputs!$K$5:$AJ$120,0,MATCH(P$2,Inputs!$K$4:$AJ$4,0)))+SUMPRODUCT((Inputs!$C$5:$C$120=$B62)*Inputs!$D$5:$D$120*(((Inputs!$G$5:$G$120="moeda")+(Inputs!$G$5:$G$120="acoes"))*Inputs!$B$1+((Inputs!$G$5:$G$120&lt;&gt;"moeda")*(Inputs!$G$5:$G$120&lt;&gt;"acoes")))*INDEX(Inputs!$K$5:$AJ$120,0,MATCH(P$2,Inputs!$K$4:$AJ$4,0)))+SUMPRODUCT((Inputs!$E$5:$E$120=$B62)*Inputs!$F$5:$F$120*(((Inputs!$G$5:$G$120="moeda")+(Inputs!$G$5:$G$120="acoes"))*Inputs!$B$1+((Inputs!$G$5:$G$120&lt;&gt;"moeda")*(Inputs!$G$5:$G$120&lt;&gt;"acoes")))*INDEX(Inputs!$K$5:$AJ$120,0,MATCH(P$2,Inputs!$K$4:$AJ$4,0)))))</f>
        <v>5020</v>
      </c>
      <c r="Q62" s="263">
        <f>IF(ISNA(MATCH(Q$2,Inputs!$K$4:$AJ$4,0)),NA(),IF(SUMPRODUCT((Inputs!$A$5:$A$120=$B62)*ISNUMBER(INDEX(Inputs!$K$5:$AJ$120,0,MATCH(Q$2,Inputs!$K$4:$AJ$4,0))))+SUMPRODUCT((Inputs!$C$5:$C$120=$B62)*ISNUMBER(INDEX(Inputs!$K$5:$AJ$120,0,MATCH(Q$2,Inputs!$K$4:$AJ$4,0))))+SUMPRODUCT((Inputs!$E$5:$E$120=$B62)*ISNUMBER(INDEX(Inputs!$K$5:$AJ$120,0,MATCH(Q$2,Inputs!$K$4:$AJ$4,0))))=0,NA(),SUMPRODUCT((Inputs!$A$5:$A$120=$B62)*Inputs!$B$5:$B$120*(((Inputs!$G$5:$G$120="moeda")+(Inputs!$G$5:$G$120="acoes"))*Inputs!$B$1+((Inputs!$G$5:$G$120&lt;&gt;"moeda")*(Inputs!$G$5:$G$120&lt;&gt;"acoes")))*INDEX(Inputs!$K$5:$AJ$120,0,MATCH(Q$2,Inputs!$K$4:$AJ$4,0)))+SUMPRODUCT((Inputs!$C$5:$C$120=$B62)*Inputs!$D$5:$D$120*(((Inputs!$G$5:$G$120="moeda")+(Inputs!$G$5:$G$120="acoes"))*Inputs!$B$1+((Inputs!$G$5:$G$120&lt;&gt;"moeda")*(Inputs!$G$5:$G$120&lt;&gt;"acoes")))*INDEX(Inputs!$K$5:$AJ$120,0,MATCH(Q$2,Inputs!$K$4:$AJ$4,0)))+SUMPRODUCT((Inputs!$E$5:$E$120=$B62)*Inputs!$F$5:$F$120*(((Inputs!$G$5:$G$120="moeda")+(Inputs!$G$5:$G$120="acoes"))*Inputs!$B$1+((Inputs!$G$5:$G$120&lt;&gt;"moeda")*(Inputs!$G$5:$G$120&lt;&gt;"acoes")))*INDEX(Inputs!$K$5:$AJ$120,0,MATCH(Q$2,Inputs!$K$4:$AJ$4,0)))))</f>
        <v>6103</v>
      </c>
      <c r="R62" s="264">
        <f>SUM(N62:Q62)</f>
        <v>21745</v>
      </c>
      <c r="S62" s="263">
        <f>IF(ISNA(MATCH(S$2,Inputs!$K$4:$AJ$4,0)),NA(),IF(SUMPRODUCT((Inputs!$A$5:$A$120=$B62)*ISNUMBER(INDEX(Inputs!$K$5:$AJ$120,0,MATCH(S$2,Inputs!$K$4:$AJ$4,0))))+SUMPRODUCT((Inputs!$C$5:$C$120=$B62)*ISNUMBER(INDEX(Inputs!$K$5:$AJ$120,0,MATCH(S$2,Inputs!$K$4:$AJ$4,0))))+SUMPRODUCT((Inputs!$E$5:$E$120=$B62)*ISNUMBER(INDEX(Inputs!$K$5:$AJ$120,0,MATCH(S$2,Inputs!$K$4:$AJ$4,0))))=0,NA(),SUMPRODUCT((Inputs!$A$5:$A$120=$B62)*Inputs!$B$5:$B$120*(((Inputs!$G$5:$G$120="moeda")+(Inputs!$G$5:$G$120="acoes"))*Inputs!$B$1+((Inputs!$G$5:$G$120&lt;&gt;"moeda")*(Inputs!$G$5:$G$120&lt;&gt;"acoes")))*INDEX(Inputs!$K$5:$AJ$120,0,MATCH(S$2,Inputs!$K$4:$AJ$4,0)))+SUMPRODUCT((Inputs!$C$5:$C$120=$B62)*Inputs!$D$5:$D$120*(((Inputs!$G$5:$G$120="moeda")+(Inputs!$G$5:$G$120="acoes"))*Inputs!$B$1+((Inputs!$G$5:$G$120&lt;&gt;"moeda")*(Inputs!$G$5:$G$120&lt;&gt;"acoes")))*INDEX(Inputs!$K$5:$AJ$120,0,MATCH(S$2,Inputs!$K$4:$AJ$4,0)))+SUMPRODUCT((Inputs!$E$5:$E$120=$B62)*Inputs!$F$5:$F$120*(((Inputs!$G$5:$G$120="moeda")+(Inputs!$G$5:$G$120="acoes"))*Inputs!$B$1+((Inputs!$G$5:$G$120&lt;&gt;"moeda")*(Inputs!$G$5:$G$120&lt;&gt;"acoes")))*INDEX(Inputs!$K$5:$AJ$120,0,MATCH(S$2,Inputs!$K$4:$AJ$4,0)))))</f>
        <v>4592</v>
      </c>
      <c r="T62" s="263">
        <f>IF(ISNA(MATCH(T$2,Inputs!$K$4:$AJ$4,0)),NA(),IF(SUMPRODUCT((Inputs!$A$5:$A$120=$B62)*ISNUMBER(INDEX(Inputs!$K$5:$AJ$120,0,MATCH(T$2,Inputs!$K$4:$AJ$4,0))))+SUMPRODUCT((Inputs!$C$5:$C$120=$B62)*ISNUMBER(INDEX(Inputs!$K$5:$AJ$120,0,MATCH(T$2,Inputs!$K$4:$AJ$4,0))))+SUMPRODUCT((Inputs!$E$5:$E$120=$B62)*ISNUMBER(INDEX(Inputs!$K$5:$AJ$120,0,MATCH(T$2,Inputs!$K$4:$AJ$4,0))))=0,NA(),SUMPRODUCT((Inputs!$A$5:$A$120=$B62)*Inputs!$B$5:$B$120*(((Inputs!$G$5:$G$120="moeda")+(Inputs!$G$5:$G$120="acoes"))*Inputs!$B$1+((Inputs!$G$5:$G$120&lt;&gt;"moeda")*(Inputs!$G$5:$G$120&lt;&gt;"acoes")))*INDEX(Inputs!$K$5:$AJ$120,0,MATCH(T$2,Inputs!$K$4:$AJ$4,0)))+SUMPRODUCT((Inputs!$C$5:$C$120=$B62)*Inputs!$D$5:$D$120*(((Inputs!$G$5:$G$120="moeda")+(Inputs!$G$5:$G$120="acoes"))*Inputs!$B$1+((Inputs!$G$5:$G$120&lt;&gt;"moeda")*(Inputs!$G$5:$G$120&lt;&gt;"acoes")))*INDEX(Inputs!$K$5:$AJ$120,0,MATCH(T$2,Inputs!$K$4:$AJ$4,0)))+SUMPRODUCT((Inputs!$E$5:$E$120=$B62)*Inputs!$F$5:$F$120*(((Inputs!$G$5:$G$120="moeda")+(Inputs!$G$5:$G$120="acoes"))*Inputs!$B$1+((Inputs!$G$5:$G$120&lt;&gt;"moeda")*(Inputs!$G$5:$G$120&lt;&gt;"acoes")))*INDEX(Inputs!$K$5:$AJ$120,0,MATCH(T$2,Inputs!$K$4:$AJ$4,0)))))</f>
        <v>4636</v>
      </c>
      <c r="U62" s="263">
        <f>IF(ISNA(MATCH(U$2,Inputs!$K$4:$AJ$4,0)),NA(),IF(SUMPRODUCT((Inputs!$A$5:$A$120=$B62)*ISNUMBER(INDEX(Inputs!$K$5:$AJ$120,0,MATCH(U$2,Inputs!$K$4:$AJ$4,0))))+SUMPRODUCT((Inputs!$C$5:$C$120=$B62)*ISNUMBER(INDEX(Inputs!$K$5:$AJ$120,0,MATCH(U$2,Inputs!$K$4:$AJ$4,0))))+SUMPRODUCT((Inputs!$E$5:$E$120=$B62)*ISNUMBER(INDEX(Inputs!$K$5:$AJ$120,0,MATCH(U$2,Inputs!$K$4:$AJ$4,0))))=0,NA(),SUMPRODUCT((Inputs!$A$5:$A$120=$B62)*Inputs!$B$5:$B$120*(((Inputs!$G$5:$G$120="moeda")+(Inputs!$G$5:$G$120="acoes"))*Inputs!$B$1+((Inputs!$G$5:$G$120&lt;&gt;"moeda")*(Inputs!$G$5:$G$120&lt;&gt;"acoes")))*INDEX(Inputs!$K$5:$AJ$120,0,MATCH(U$2,Inputs!$K$4:$AJ$4,0)))+SUMPRODUCT((Inputs!$C$5:$C$120=$B62)*Inputs!$D$5:$D$120*(((Inputs!$G$5:$G$120="moeda")+(Inputs!$G$5:$G$120="acoes"))*Inputs!$B$1+((Inputs!$G$5:$G$120&lt;&gt;"moeda")*(Inputs!$G$5:$G$120&lt;&gt;"acoes")))*INDEX(Inputs!$K$5:$AJ$120,0,MATCH(U$2,Inputs!$K$4:$AJ$4,0)))+SUMPRODUCT((Inputs!$E$5:$E$120=$B62)*Inputs!$F$5:$F$120*(((Inputs!$G$5:$G$120="moeda")+(Inputs!$G$5:$G$120="acoes"))*Inputs!$B$1+((Inputs!$G$5:$G$120&lt;&gt;"moeda")*(Inputs!$G$5:$G$120&lt;&gt;"acoes")))*INDEX(Inputs!$K$5:$AJ$120,0,MATCH(U$2,Inputs!$K$4:$AJ$4,0)))))</f>
        <v>5665</v>
      </c>
      <c r="V62" s="263">
        <f>IF(ISNA(MATCH(V$2,Inputs!$K$4:$AJ$4,0)),NA(),IF(SUMPRODUCT((Inputs!$A$5:$A$120=$B62)*ISNUMBER(INDEX(Inputs!$K$5:$AJ$120,0,MATCH(V$2,Inputs!$K$4:$AJ$4,0))))+SUMPRODUCT((Inputs!$C$5:$C$120=$B62)*ISNUMBER(INDEX(Inputs!$K$5:$AJ$120,0,MATCH(V$2,Inputs!$K$4:$AJ$4,0))))+SUMPRODUCT((Inputs!$E$5:$E$120=$B62)*ISNUMBER(INDEX(Inputs!$K$5:$AJ$120,0,MATCH(V$2,Inputs!$K$4:$AJ$4,0))))=0,NA(),SUMPRODUCT((Inputs!$A$5:$A$120=$B62)*Inputs!$B$5:$B$120*(((Inputs!$G$5:$G$120="moeda")+(Inputs!$G$5:$G$120="acoes"))*Inputs!$B$1+((Inputs!$G$5:$G$120&lt;&gt;"moeda")*(Inputs!$G$5:$G$120&lt;&gt;"acoes")))*INDEX(Inputs!$K$5:$AJ$120,0,MATCH(V$2,Inputs!$K$4:$AJ$4,0)))+SUMPRODUCT((Inputs!$C$5:$C$120=$B62)*Inputs!$D$5:$D$120*(((Inputs!$G$5:$G$120="moeda")+(Inputs!$G$5:$G$120="acoes"))*Inputs!$B$1+((Inputs!$G$5:$G$120&lt;&gt;"moeda")*(Inputs!$G$5:$G$120&lt;&gt;"acoes")))*INDEX(Inputs!$K$5:$AJ$120,0,MATCH(V$2,Inputs!$K$4:$AJ$4,0)))+SUMPRODUCT((Inputs!$E$5:$E$120=$B62)*Inputs!$F$5:$F$120*(((Inputs!$G$5:$G$120="moeda")+(Inputs!$G$5:$G$120="acoes"))*Inputs!$B$1+((Inputs!$G$5:$G$120&lt;&gt;"moeda")*(Inputs!$G$5:$G$120&lt;&gt;"acoes")))*INDEX(Inputs!$K$5:$AJ$120,0,MATCH(V$2,Inputs!$K$4:$AJ$4,0)))))</f>
        <v>6051</v>
      </c>
      <c r="W62" s="264">
        <f>SUM(S62:V62)</f>
        <v>20944</v>
      </c>
      <c r="X62" s="263">
        <f>IF(ISNA(MATCH(X$2,Inputs!$K$4:$AJ$4,0)),NA(),IF(SUMPRODUCT((Inputs!$A$5:$A$120=$B62)*ISNUMBER(INDEX(Inputs!$K$5:$AJ$120,0,MATCH(X$2,Inputs!$K$4:$AJ$4,0))))+SUMPRODUCT((Inputs!$C$5:$C$120=$B62)*ISNUMBER(INDEX(Inputs!$K$5:$AJ$120,0,MATCH(X$2,Inputs!$K$4:$AJ$4,0))))+SUMPRODUCT((Inputs!$E$5:$E$120=$B62)*ISNUMBER(INDEX(Inputs!$K$5:$AJ$120,0,MATCH(X$2,Inputs!$K$4:$AJ$4,0))))=0,NA(),SUMPRODUCT((Inputs!$A$5:$A$120=$B62)*Inputs!$B$5:$B$120*(((Inputs!$G$5:$G$120="moeda")+(Inputs!$G$5:$G$120="acoes"))*Inputs!$B$1+((Inputs!$G$5:$G$120&lt;&gt;"moeda")*(Inputs!$G$5:$G$120&lt;&gt;"acoes")))*INDEX(Inputs!$K$5:$AJ$120,0,MATCH(X$2,Inputs!$K$4:$AJ$4,0)))+SUMPRODUCT((Inputs!$C$5:$C$120=$B62)*Inputs!$D$5:$D$120*(((Inputs!$G$5:$G$120="moeda")+(Inputs!$G$5:$G$120="acoes"))*Inputs!$B$1+((Inputs!$G$5:$G$120&lt;&gt;"moeda")*(Inputs!$G$5:$G$120&lt;&gt;"acoes")))*INDEX(Inputs!$K$5:$AJ$120,0,MATCH(X$2,Inputs!$K$4:$AJ$4,0)))+SUMPRODUCT((Inputs!$E$5:$E$120=$B62)*Inputs!$F$5:$F$120*(((Inputs!$G$5:$G$120="moeda")+(Inputs!$G$5:$G$120="acoes"))*Inputs!$B$1+((Inputs!$G$5:$G$120&lt;&gt;"moeda")*(Inputs!$G$5:$G$120&lt;&gt;"acoes")))*INDEX(Inputs!$K$5:$AJ$120,0,MATCH(X$2,Inputs!$K$4:$AJ$4,0)))))</f>
        <v>4303</v>
      </c>
      <c r="Y62" s="263">
        <f>IF(ISNA(MATCH(Y$2,Inputs!$K$4:$AJ$4,0)),NA(),IF(SUMPRODUCT((Inputs!$A$5:$A$120=$B62)*ISNUMBER(INDEX(Inputs!$K$5:$AJ$120,0,MATCH(Y$2,Inputs!$K$4:$AJ$4,0))))+SUMPRODUCT((Inputs!$C$5:$C$120=$B62)*ISNUMBER(INDEX(Inputs!$K$5:$AJ$120,0,MATCH(Y$2,Inputs!$K$4:$AJ$4,0))))+SUMPRODUCT((Inputs!$E$5:$E$120=$B62)*ISNUMBER(INDEX(Inputs!$K$5:$AJ$120,0,MATCH(Y$2,Inputs!$K$4:$AJ$4,0))))=0,NA(),SUMPRODUCT((Inputs!$A$5:$A$120=$B62)*Inputs!$B$5:$B$120*(((Inputs!$G$5:$G$120="moeda")+(Inputs!$G$5:$G$120="acoes"))*Inputs!$B$1+((Inputs!$G$5:$G$120&lt;&gt;"moeda")*(Inputs!$G$5:$G$120&lt;&gt;"acoes")))*INDEX(Inputs!$K$5:$AJ$120,0,MATCH(Y$2,Inputs!$K$4:$AJ$4,0)))+SUMPRODUCT((Inputs!$C$5:$C$120=$B62)*Inputs!$D$5:$D$120*(((Inputs!$G$5:$G$120="moeda")+(Inputs!$G$5:$G$120="acoes"))*Inputs!$B$1+((Inputs!$G$5:$G$120&lt;&gt;"moeda")*(Inputs!$G$5:$G$120&lt;&gt;"acoes")))*INDEX(Inputs!$K$5:$AJ$120,0,MATCH(Y$2,Inputs!$K$4:$AJ$4,0)))+SUMPRODUCT((Inputs!$E$5:$E$120=$B62)*Inputs!$F$5:$F$120*(((Inputs!$G$5:$G$120="moeda")+(Inputs!$G$5:$G$120="acoes"))*Inputs!$B$1+((Inputs!$G$5:$G$120&lt;&gt;"moeda")*(Inputs!$G$5:$G$120&lt;&gt;"acoes")))*INDEX(Inputs!$K$5:$AJ$120,0,MATCH(Y$2,Inputs!$K$4:$AJ$4,0)))))</f>
        <v>4305</v>
      </c>
      <c r="Z62" s="263">
        <f>IF(ISNA(MATCH(Z$2,Inputs!$K$4:$AJ$4,0)),NA(),IF(SUMPRODUCT((Inputs!$A$5:$A$120=$B62)*ISNUMBER(INDEX(Inputs!$K$5:$AJ$120,0,MATCH(Z$2,Inputs!$K$4:$AJ$4,0))))+SUMPRODUCT((Inputs!$C$5:$C$120=$B62)*ISNUMBER(INDEX(Inputs!$K$5:$AJ$120,0,MATCH(Z$2,Inputs!$K$4:$AJ$4,0))))+SUMPRODUCT((Inputs!$E$5:$E$120=$B62)*ISNUMBER(INDEX(Inputs!$K$5:$AJ$120,0,MATCH(Z$2,Inputs!$K$4:$AJ$4,0))))=0,NA(),SUMPRODUCT((Inputs!$A$5:$A$120=$B62)*Inputs!$B$5:$B$120*(((Inputs!$G$5:$G$120="moeda")+(Inputs!$G$5:$G$120="acoes"))*Inputs!$B$1+((Inputs!$G$5:$G$120&lt;&gt;"moeda")*(Inputs!$G$5:$G$120&lt;&gt;"acoes")))*INDEX(Inputs!$K$5:$AJ$120,0,MATCH(Z$2,Inputs!$K$4:$AJ$4,0)))+SUMPRODUCT((Inputs!$C$5:$C$120=$B62)*Inputs!$D$5:$D$120*(((Inputs!$G$5:$G$120="moeda")+(Inputs!$G$5:$G$120="acoes"))*Inputs!$B$1+((Inputs!$G$5:$G$120&lt;&gt;"moeda")*(Inputs!$G$5:$G$120&lt;&gt;"acoes")))*INDEX(Inputs!$K$5:$AJ$120,0,MATCH(Z$2,Inputs!$K$4:$AJ$4,0)))+SUMPRODUCT((Inputs!$E$5:$E$120=$B62)*Inputs!$F$5:$F$120*(((Inputs!$G$5:$G$120="moeda")+(Inputs!$G$5:$G$120="acoes"))*Inputs!$B$1+((Inputs!$G$5:$G$120&lt;&gt;"moeda")*(Inputs!$G$5:$G$120&lt;&gt;"acoes")))*INDEX(Inputs!$K$5:$AJ$120,0,MATCH(Z$2,Inputs!$K$4:$AJ$4,0)))))</f>
        <v>5653</v>
      </c>
      <c r="AA62" s="263">
        <f>IF(ISNA(MATCH(AA$2,Inputs!$K$4:$AJ$4,0)),NA(),IF(SUMPRODUCT((Inputs!$A$5:$A$120=$B62)*ISNUMBER(INDEX(Inputs!$K$5:$AJ$120,0,MATCH(AA$2,Inputs!$K$4:$AJ$4,0))))+SUMPRODUCT((Inputs!$C$5:$C$120=$B62)*ISNUMBER(INDEX(Inputs!$K$5:$AJ$120,0,MATCH(AA$2,Inputs!$K$4:$AJ$4,0))))+SUMPRODUCT((Inputs!$E$5:$E$120=$B62)*ISNUMBER(INDEX(Inputs!$K$5:$AJ$120,0,MATCH(AA$2,Inputs!$K$4:$AJ$4,0))))=0,NA(),SUMPRODUCT((Inputs!$A$5:$A$120=$B62)*Inputs!$B$5:$B$120*(((Inputs!$G$5:$G$120="moeda")+(Inputs!$G$5:$G$120="acoes"))*Inputs!$B$1+((Inputs!$G$5:$G$120&lt;&gt;"moeda")*(Inputs!$G$5:$G$120&lt;&gt;"acoes")))*INDEX(Inputs!$K$5:$AJ$120,0,MATCH(AA$2,Inputs!$K$4:$AJ$4,0)))+SUMPRODUCT((Inputs!$C$5:$C$120=$B62)*Inputs!$D$5:$D$120*(((Inputs!$G$5:$G$120="moeda")+(Inputs!$G$5:$G$120="acoes"))*Inputs!$B$1+((Inputs!$G$5:$G$120&lt;&gt;"moeda")*(Inputs!$G$5:$G$120&lt;&gt;"acoes")))*INDEX(Inputs!$K$5:$AJ$120,0,MATCH(AA$2,Inputs!$K$4:$AJ$4,0)))+SUMPRODUCT((Inputs!$E$5:$E$120=$B62)*Inputs!$F$5:$F$120*(((Inputs!$G$5:$G$120="moeda")+(Inputs!$G$5:$G$120="acoes"))*Inputs!$B$1+((Inputs!$G$5:$G$120&lt;&gt;"moeda")*(Inputs!$G$5:$G$120&lt;&gt;"acoes")))*INDEX(Inputs!$K$5:$AJ$120,0,MATCH(AA$2,Inputs!$K$4:$AJ$4,0)))))</f>
        <v>6701</v>
      </c>
      <c r="AB62" s="264">
        <f>SUM(X62:AA62)</f>
        <v>20962</v>
      </c>
      <c r="AC62" s="263">
        <f>IF(ISNA(MATCH(AC$2,Inputs!$K$4:$AJ$4,0)),NA(),IF(SUMPRODUCT((Inputs!$A$5:$A$120=$B62)*ISNUMBER(INDEX(Inputs!$K$5:$AJ$120,0,MATCH(AC$2,Inputs!$K$4:$AJ$4,0))))+SUMPRODUCT((Inputs!$C$5:$C$120=$B62)*ISNUMBER(INDEX(Inputs!$K$5:$AJ$120,0,MATCH(AC$2,Inputs!$K$4:$AJ$4,0))))+SUMPRODUCT((Inputs!$E$5:$E$120=$B62)*ISNUMBER(INDEX(Inputs!$K$5:$AJ$120,0,MATCH(AC$2,Inputs!$K$4:$AJ$4,0))))=0,NA(),SUMPRODUCT((Inputs!$A$5:$A$120=$B62)*Inputs!$B$5:$B$120*(((Inputs!$G$5:$G$120="moeda")+(Inputs!$G$5:$G$120="acoes"))*Inputs!$B$1+((Inputs!$G$5:$G$120&lt;&gt;"moeda")*(Inputs!$G$5:$G$120&lt;&gt;"acoes")))*INDEX(Inputs!$K$5:$AJ$120,0,MATCH(AC$2,Inputs!$K$4:$AJ$4,0)))+SUMPRODUCT((Inputs!$C$5:$C$120=$B62)*Inputs!$D$5:$D$120*(((Inputs!$G$5:$G$120="moeda")+(Inputs!$G$5:$G$120="acoes"))*Inputs!$B$1+((Inputs!$G$5:$G$120&lt;&gt;"moeda")*(Inputs!$G$5:$G$120&lt;&gt;"acoes")))*INDEX(Inputs!$K$5:$AJ$120,0,MATCH(AC$2,Inputs!$K$4:$AJ$4,0)))+SUMPRODUCT((Inputs!$E$5:$E$120=$B62)*Inputs!$F$5:$F$120*(((Inputs!$G$5:$G$120="moeda")+(Inputs!$G$5:$G$120="acoes"))*Inputs!$B$1+((Inputs!$G$5:$G$120&lt;&gt;"moeda")*(Inputs!$G$5:$G$120&lt;&gt;"acoes")))*INDEX(Inputs!$K$5:$AJ$120,0,MATCH(AC$2,Inputs!$K$4:$AJ$4,0)))))</f>
        <v>4184</v>
      </c>
      <c r="AD62" s="263">
        <f>IF(ISNA(MATCH(AD$2,Inputs!$K$4:$AJ$4,0)),NA(),IF(SUMPRODUCT((Inputs!$A$5:$A$120=$B62)*ISNUMBER(INDEX(Inputs!$K$5:$AJ$120,0,MATCH(AD$2,Inputs!$K$4:$AJ$4,0))))+SUMPRODUCT((Inputs!$C$5:$C$120=$B62)*ISNUMBER(INDEX(Inputs!$K$5:$AJ$120,0,MATCH(AD$2,Inputs!$K$4:$AJ$4,0))))+SUMPRODUCT((Inputs!$E$5:$E$120=$B62)*ISNUMBER(INDEX(Inputs!$K$5:$AJ$120,0,MATCH(AD$2,Inputs!$K$4:$AJ$4,0))))=0,NA(),SUMPRODUCT((Inputs!$A$5:$A$120=$B62)*Inputs!$B$5:$B$120*(((Inputs!$G$5:$G$120="moeda")+(Inputs!$G$5:$G$120="acoes"))*Inputs!$B$1+((Inputs!$G$5:$G$120&lt;&gt;"moeda")*(Inputs!$G$5:$G$120&lt;&gt;"acoes")))*INDEX(Inputs!$K$5:$AJ$120,0,MATCH(AD$2,Inputs!$K$4:$AJ$4,0)))+SUMPRODUCT((Inputs!$C$5:$C$120=$B62)*Inputs!$D$5:$D$120*(((Inputs!$G$5:$G$120="moeda")+(Inputs!$G$5:$G$120="acoes"))*Inputs!$B$1+((Inputs!$G$5:$G$120&lt;&gt;"moeda")*(Inputs!$G$5:$G$120&lt;&gt;"acoes")))*INDEX(Inputs!$K$5:$AJ$120,0,MATCH(AD$2,Inputs!$K$4:$AJ$4,0)))+SUMPRODUCT((Inputs!$E$5:$E$120=$B62)*Inputs!$F$5:$F$120*(((Inputs!$G$5:$G$120="moeda")+(Inputs!$G$5:$G$120="acoes"))*Inputs!$B$1+((Inputs!$G$5:$G$120&lt;&gt;"moeda")*(Inputs!$G$5:$G$120&lt;&gt;"acoes")))*INDEX(Inputs!$K$5:$AJ$120,0,MATCH(AD$2,Inputs!$K$4:$AJ$4,0)))))</f>
        <v>4675</v>
      </c>
      <c r="AE62" s="263" t="e">
        <f>IF(ISNA(MATCH(AE$2,Inputs!$K$4:$AJ$4,0)),NA(),IF(SUMPRODUCT((Inputs!$A$5:$A$120=$B62)*ISNUMBER(INDEX(Inputs!$K$5:$AJ$120,0,MATCH(AE$2,Inputs!$K$4:$AJ$4,0))))+SUMPRODUCT((Inputs!$C$5:$C$120=$B62)*ISNUMBER(INDEX(Inputs!$K$5:$AJ$120,0,MATCH(AE$2,Inputs!$K$4:$AJ$4,0))))+SUMPRODUCT((Inputs!$E$5:$E$120=$B62)*ISNUMBER(INDEX(Inputs!$K$5:$AJ$120,0,MATCH(AE$2,Inputs!$K$4:$AJ$4,0))))=0,NA(),SUMPRODUCT((Inputs!$A$5:$A$120=$B62)*Inputs!$B$5:$B$120*(((Inputs!$G$5:$G$120="moeda")+(Inputs!$G$5:$G$120="acoes"))*Inputs!$B$1+((Inputs!$G$5:$G$120&lt;&gt;"moeda")*(Inputs!$G$5:$G$120&lt;&gt;"acoes")))*INDEX(Inputs!$K$5:$AJ$120,0,MATCH(AE$2,Inputs!$K$4:$AJ$4,0)))+SUMPRODUCT((Inputs!$C$5:$C$120=$B62)*Inputs!$D$5:$D$120*(((Inputs!$G$5:$G$120="moeda")+(Inputs!$G$5:$G$120="acoes"))*Inputs!$B$1+((Inputs!$G$5:$G$120&lt;&gt;"moeda")*(Inputs!$G$5:$G$120&lt;&gt;"acoes")))*INDEX(Inputs!$K$5:$AJ$120,0,MATCH(AE$2,Inputs!$K$4:$AJ$4,0)))+SUMPRODUCT((Inputs!$E$5:$E$120=$B62)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62" s="263" t="e">
        <f>IF(ISNA(MATCH(AF$2,Inputs!$K$4:$AJ$4,0)),NA(),IF(SUMPRODUCT((Inputs!$A$5:$A$120=$B62)*ISNUMBER(INDEX(Inputs!$K$5:$AJ$120,0,MATCH(AF$2,Inputs!$K$4:$AJ$4,0))))+SUMPRODUCT((Inputs!$C$5:$C$120=$B62)*ISNUMBER(INDEX(Inputs!$K$5:$AJ$120,0,MATCH(AF$2,Inputs!$K$4:$AJ$4,0))))+SUMPRODUCT((Inputs!$E$5:$E$120=$B62)*ISNUMBER(INDEX(Inputs!$K$5:$AJ$120,0,MATCH(AF$2,Inputs!$K$4:$AJ$4,0))))=0,NA(),SUMPRODUCT((Inputs!$A$5:$A$120=$B62)*Inputs!$B$5:$B$120*(((Inputs!$G$5:$G$120="moeda")+(Inputs!$G$5:$G$120="acoes"))*Inputs!$B$1+((Inputs!$G$5:$G$120&lt;&gt;"moeda")*(Inputs!$G$5:$G$120&lt;&gt;"acoes")))*INDEX(Inputs!$K$5:$AJ$120,0,MATCH(AF$2,Inputs!$K$4:$AJ$4,0)))+SUMPRODUCT((Inputs!$C$5:$C$120=$B62)*Inputs!$D$5:$D$120*(((Inputs!$G$5:$G$120="moeda")+(Inputs!$G$5:$G$120="acoes"))*Inputs!$B$1+((Inputs!$G$5:$G$120&lt;&gt;"moeda")*(Inputs!$G$5:$G$120&lt;&gt;"acoes")))*INDEX(Inputs!$K$5:$AJ$120,0,MATCH(AF$2,Inputs!$K$4:$AJ$4,0)))+SUMPRODUCT((Inputs!$E$5:$E$120=$B62)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62" s="264" t="e">
        <f>SUM(AC62:AF62)</f>
        <v>#N/A</v>
      </c>
      <c r="AH62" s="263">
        <f>IF(ISNA(MATCH(AH$2,Inputs!$K$4:$AJ$4,0)),NA(),IF(SUMPRODUCT((Inputs!$A$5:$A$120=$B62)*ISNUMBER(INDEX(Inputs!$K$5:$AJ$120,0,MATCH(AH$2,Inputs!$K$4:$AJ$4,0))))+SUMPRODUCT((Inputs!$C$5:$C$120=$B62)*ISNUMBER(INDEX(Inputs!$K$5:$AJ$120,0,MATCH(AH$2,Inputs!$K$4:$AJ$4,0))))+SUMPRODUCT((Inputs!$E$5:$E$120=$B62)*ISNUMBER(INDEX(Inputs!$K$5:$AJ$120,0,MATCH(AH$2,Inputs!$K$4:$AJ$4,0))))=0,NA(),SUMPRODUCT((Inputs!$A$5:$A$120=$B62)*Inputs!$B$5:$B$120*(((Inputs!$G$5:$G$120="moeda")+(Inputs!$G$5:$G$120="acoes"))*Inputs!$B$1+((Inputs!$G$5:$G$120&lt;&gt;"moeda")*(Inputs!$G$5:$G$120&lt;&gt;"acoes")))*INDEX(Inputs!$K$5:$AJ$120,0,MATCH(AH$2,Inputs!$K$4:$AJ$4,0)))+SUMPRODUCT((Inputs!$C$5:$C$120=$B62)*Inputs!$D$5:$D$120*(((Inputs!$G$5:$G$120="moeda")+(Inputs!$G$5:$G$120="acoes"))*Inputs!$B$1+((Inputs!$G$5:$G$120&lt;&gt;"moeda")*(Inputs!$G$5:$G$120&lt;&gt;"acoes")))*INDEX(Inputs!$K$5:$AJ$120,0,MATCH(AH$2,Inputs!$K$4:$AJ$4,0)))+SUMPRODUCT((Inputs!$E$5:$E$120=$B62)*Inputs!$F$5:$F$120*(((Inputs!$G$5:$G$120="moeda")+(Inputs!$G$5:$G$120="acoes"))*Inputs!$B$1+((Inputs!$G$5:$G$120&lt;&gt;"moeda")*(Inputs!$G$5:$G$120&lt;&gt;"acoes")))*INDEX(Inputs!$K$5:$AJ$120,0,MATCH(AH$2,Inputs!$K$4:$AJ$4,0)))))</f>
        <v>900</v>
      </c>
      <c r="AI62" s="263">
        <f>IF(ISNA(MATCH(AI$2,Inputs!$K$4:$AJ$4,0)),NA(),IF(SUMPRODUCT((Inputs!$A$5:$A$120=$B62)*ISNUMBER(INDEX(Inputs!$K$5:$AJ$120,0,MATCH(AI$2,Inputs!$K$4:$AJ$4,0))))+SUMPRODUCT((Inputs!$C$5:$C$120=$B62)*ISNUMBER(INDEX(Inputs!$K$5:$AJ$120,0,MATCH(AI$2,Inputs!$K$4:$AJ$4,0))))+SUMPRODUCT((Inputs!$E$5:$E$120=$B62)*ISNUMBER(INDEX(Inputs!$K$5:$AJ$120,0,MATCH(AI$2,Inputs!$K$4:$AJ$4,0))))=0,NA(),SUMPRODUCT((Inputs!$A$5:$A$120=$B62)*Inputs!$B$5:$B$120*(((Inputs!$G$5:$G$120="moeda")+(Inputs!$G$5:$G$120="acoes"))*Inputs!$B$1+((Inputs!$G$5:$G$120&lt;&gt;"moeda")*(Inputs!$G$5:$G$120&lt;&gt;"acoes")))*INDEX(Inputs!$K$5:$AJ$120,0,MATCH(AI$2,Inputs!$K$4:$AJ$4,0)))+SUMPRODUCT((Inputs!$C$5:$C$120=$B62)*Inputs!$D$5:$D$120*(((Inputs!$G$5:$G$120="moeda")+(Inputs!$G$5:$G$120="acoes"))*Inputs!$B$1+((Inputs!$G$5:$G$120&lt;&gt;"moeda")*(Inputs!$G$5:$G$120&lt;&gt;"acoes")))*INDEX(Inputs!$K$5:$AJ$120,0,MATCH(AI$2,Inputs!$K$4:$AJ$4,0)))+SUMPRODUCT((Inputs!$E$5:$E$120=$B62)*Inputs!$F$5:$F$120*(((Inputs!$G$5:$G$120="moeda")+(Inputs!$G$5:$G$120="acoes"))*Inputs!$B$1+((Inputs!$G$5:$G$120&lt;&gt;"moeda")*(Inputs!$G$5:$G$120&lt;&gt;"acoes")))*INDEX(Inputs!$K$5:$AJ$120,0,MATCH(AI$2,Inputs!$K$4:$AJ$4,0)))))</f>
        <v>1400</v>
      </c>
      <c r="AJ62" s="263">
        <f>IF(ISNA(MATCH(AJ$2,Inputs!$K$4:$AJ$4,0)),NA(),IF(SUMPRODUCT((Inputs!$A$5:$A$120=$B62)*ISNUMBER(INDEX(Inputs!$K$5:$AJ$120,0,MATCH(AJ$2,Inputs!$K$4:$AJ$4,0))))+SUMPRODUCT((Inputs!$C$5:$C$120=$B62)*ISNUMBER(INDEX(Inputs!$K$5:$AJ$120,0,MATCH(AJ$2,Inputs!$K$4:$AJ$4,0))))+SUMPRODUCT((Inputs!$E$5:$E$120=$B62)*ISNUMBER(INDEX(Inputs!$K$5:$AJ$120,0,MATCH(AJ$2,Inputs!$K$4:$AJ$4,0))))=0,NA(),SUMPRODUCT((Inputs!$A$5:$A$120=$B62)*Inputs!$B$5:$B$120*(((Inputs!$G$5:$G$120="moeda")+(Inputs!$G$5:$G$120="acoes"))*Inputs!$B$1+((Inputs!$G$5:$G$120&lt;&gt;"moeda")*(Inputs!$G$5:$G$120&lt;&gt;"acoes")))*INDEX(Inputs!$K$5:$AJ$120,0,MATCH(AJ$2,Inputs!$K$4:$AJ$4,0)))+SUMPRODUCT((Inputs!$C$5:$C$120=$B62)*Inputs!$D$5:$D$120*(((Inputs!$G$5:$G$120="moeda")+(Inputs!$G$5:$G$120="acoes"))*Inputs!$B$1+((Inputs!$G$5:$G$120&lt;&gt;"moeda")*(Inputs!$G$5:$G$120&lt;&gt;"acoes")))*INDEX(Inputs!$K$5:$AJ$120,0,MATCH(AJ$2,Inputs!$K$4:$AJ$4,0)))+SUMPRODUCT((Inputs!$E$5:$E$120=$B62)*Inputs!$F$5:$F$120*(((Inputs!$G$5:$G$120="moeda")+(Inputs!$G$5:$G$120="acoes"))*Inputs!$B$1+((Inputs!$G$5:$G$120&lt;&gt;"moeda")*(Inputs!$G$5:$G$120&lt;&gt;"acoes")))*INDEX(Inputs!$K$5:$AJ$120,0,MATCH(AJ$2,Inputs!$K$4:$AJ$4,0)))))</f>
        <v>1744</v>
      </c>
      <c r="AK62" s="263">
        <f>IF(ISNA(MATCH(AK$2,Inputs!$K$4:$AJ$4,0)),NA(),IF(SUMPRODUCT((Inputs!$A$5:$A$120=$B62)*ISNUMBER(INDEX(Inputs!$K$5:$AJ$120,0,MATCH(AK$2,Inputs!$K$4:$AJ$4,0))))+SUMPRODUCT((Inputs!$C$5:$C$120=$B62)*ISNUMBER(INDEX(Inputs!$K$5:$AJ$120,0,MATCH(AK$2,Inputs!$K$4:$AJ$4,0))))+SUMPRODUCT((Inputs!$E$5:$E$120=$B62)*ISNUMBER(INDEX(Inputs!$K$5:$AJ$120,0,MATCH(AK$2,Inputs!$K$4:$AJ$4,0))))=0,NA(),SUMPRODUCT((Inputs!$A$5:$A$120=$B62)*Inputs!$B$5:$B$120*(((Inputs!$G$5:$G$120="moeda")+(Inputs!$G$5:$G$120="acoes"))*Inputs!$B$1+((Inputs!$G$5:$G$120&lt;&gt;"moeda")*(Inputs!$G$5:$G$120&lt;&gt;"acoes")))*INDEX(Inputs!$K$5:$AJ$120,0,MATCH(AK$2,Inputs!$K$4:$AJ$4,0)))+SUMPRODUCT((Inputs!$C$5:$C$120=$B62)*Inputs!$D$5:$D$120*(((Inputs!$G$5:$G$120="moeda")+(Inputs!$G$5:$G$120="acoes"))*Inputs!$B$1+((Inputs!$G$5:$G$120&lt;&gt;"moeda")*(Inputs!$G$5:$G$120&lt;&gt;"acoes")))*INDEX(Inputs!$K$5:$AJ$120,0,MATCH(AK$2,Inputs!$K$4:$AJ$4,0)))+SUMPRODUCT((Inputs!$E$5:$E$120=$B62)*Inputs!$F$5:$F$120*(((Inputs!$G$5:$G$120="moeda")+(Inputs!$G$5:$G$120="acoes"))*Inputs!$B$1+((Inputs!$G$5:$G$120&lt;&gt;"moeda")*(Inputs!$G$5:$G$120&lt;&gt;"acoes")))*INDEX(Inputs!$K$5:$AJ$120,0,MATCH(AK$2,Inputs!$K$4:$AJ$4,0)))))</f>
        <v>2618</v>
      </c>
      <c r="AL62" s="264">
        <f>SUM(AH62:AK62)</f>
        <v>6662</v>
      </c>
    </row>
  </sheetData>
  <pageMargins left="0.511811024" right="0.511811024" top="0.787401575" bottom="0.787401575" header="0.31496062" footer="0.31496062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C386"/>
  <sheetViews>
    <sheetView showGridLines="0" tabSelected="1" zoomScale="85" zoomScaleNormal="85" workbookViewId="0">
      <pane xSplit="3" ySplit="363" topLeftCell="D364" activePane="bottomRight" state="frozen"/>
      <selection pane="topRight" activeCell="A1" sqref="A1"/>
      <selection pane="bottomLeft" activeCell="A1" sqref="A1"/>
      <selection pane="bottomRight" activeCell="D1" sqref="D1"/>
      <selection pane="bottomLeft" activeCell="A10" sqref="A10"/>
      <selection pane="bottomRight" activeCell="D298" sqref="D298"/>
    </sheetView>
  </sheetViews>
  <sheetFormatPr baseColWidth="8" defaultRowHeight="12.75" outlineLevelRow="1"/>
  <cols>
    <col width="1.7109375" bestFit="1" customWidth="1" style="1" min="1" max="1"/>
    <col outlineLevel="1" width="7.85546875" customWidth="1" style="1" min="2" max="2"/>
    <col width="84.7109375" customWidth="1" style="4" min="3" max="3"/>
    <col outlineLevel="1" width="11.42578125" customWidth="1" style="4" min="4" max="7"/>
    <col width="11.42578125" bestFit="1" customWidth="1" style="4" min="8" max="8"/>
    <col outlineLevel="1" width="11.42578125" customWidth="1" style="4" min="9" max="12"/>
    <col width="11.42578125" bestFit="1" customWidth="1" style="4" min="13" max="13"/>
    <col outlineLevel="1" width="11.42578125" customWidth="1" style="4" min="14" max="17"/>
    <col width="11.42578125" bestFit="1" customWidth="1" style="4" min="18" max="18"/>
    <col outlineLevel="1" width="11.42578125" customWidth="1" style="4" min="19" max="22"/>
    <col width="11.42578125" bestFit="1" customWidth="1" style="4" min="23" max="23"/>
    <col outlineLevel="1" width="11.42578125" customWidth="1" style="4" min="24" max="24"/>
    <col outlineLevel="1" width="11.140625" customWidth="1" style="4" min="25" max="25"/>
    <col outlineLevel="1" width="11.42578125" customWidth="1" style="4" min="26" max="27"/>
    <col width="11.140625" bestFit="1" customWidth="1" style="4" min="28" max="28"/>
    <col outlineLevel="1" width="12.28515625" customWidth="1" style="4" min="29" max="29"/>
    <col outlineLevel="1" width="13.28515625" customWidth="1" style="4" min="30" max="30"/>
    <col outlineLevel="1" width="11" customWidth="1" style="4" min="31" max="31"/>
    <col outlineLevel="1" width="10.140625" customWidth="1" style="4" min="32" max="32"/>
    <col width="11" bestFit="1" customWidth="1" style="4" min="33" max="33"/>
    <col outlineLevel="1" width="10.140625" customWidth="1" style="4" min="34" max="34"/>
    <col outlineLevel="1" width="11.140625" customWidth="1" style="4" min="35" max="35"/>
    <col outlineLevel="1" width="10.140625" customWidth="1" style="4" min="36" max="37"/>
    <col width="10" bestFit="1" customWidth="1" style="4" min="38" max="38"/>
    <col outlineLevel="1" width="10.140625" customWidth="1" style="4" min="39" max="39"/>
    <col outlineLevel="1" width="11.140625" customWidth="1" style="4" min="40" max="40"/>
    <col outlineLevel="1" width="10.140625" customWidth="1" style="4" min="41" max="42"/>
    <col width="10" bestFit="1" customWidth="1" style="4" min="43" max="43"/>
    <col outlineLevel="1" width="10.140625" customWidth="1" style="4" min="44" max="44"/>
    <col outlineLevel="1" width="11.140625" customWidth="1" style="4" min="45" max="45"/>
    <col outlineLevel="1" width="10.140625" customWidth="1" style="4" min="46" max="47"/>
    <col width="10" bestFit="1" customWidth="1" style="4" min="48" max="48"/>
    <col outlineLevel="1" width="10.140625" customWidth="1" style="4" min="49" max="49"/>
    <col outlineLevel="1" width="11.140625" customWidth="1" style="4" min="50" max="50"/>
    <col outlineLevel="1" width="10.140625" customWidth="1" style="4" min="51" max="52"/>
    <col width="10" bestFit="1" customWidth="1" style="4" min="53" max="53"/>
    <col outlineLevel="1" width="10.140625" customWidth="1" style="4" min="54" max="54"/>
    <col outlineLevel="1" width="11.140625" customWidth="1" style="4" min="55" max="55"/>
    <col outlineLevel="1" width="10.140625" customWidth="1" style="4" min="56" max="57"/>
    <col width="10" bestFit="1" customWidth="1" style="4" min="58" max="58"/>
    <col outlineLevel="1" width="10.140625" customWidth="1" style="4" min="59" max="59"/>
    <col outlineLevel="1" width="11.140625" customWidth="1" style="4" min="60" max="60"/>
    <col outlineLevel="1" width="10.140625" customWidth="1" style="4" min="61" max="62"/>
    <col width="10" bestFit="1" customWidth="1" style="4" min="63" max="63"/>
    <col outlineLevel="1" width="10.140625" customWidth="1" style="4" min="64" max="64"/>
    <col outlineLevel="1" width="11.140625" customWidth="1" style="4" min="65" max="65"/>
    <col outlineLevel="1" width="10.140625" customWidth="1" style="4" min="66" max="67"/>
    <col width="10" bestFit="1" customWidth="1" style="4" min="68" max="68"/>
    <col outlineLevel="1" width="10.140625" customWidth="1" style="4" min="69" max="69"/>
    <col outlineLevel="1" width="11.140625" customWidth="1" style="4" min="70" max="70"/>
    <col outlineLevel="1" width="10.140625" customWidth="1" style="4" min="71" max="72"/>
    <col width="10" bestFit="1" customWidth="1" style="4" min="73" max="73"/>
    <col outlineLevel="1" width="10.140625" customWidth="1" style="4" min="74" max="74"/>
    <col outlineLevel="1" width="11.140625" customWidth="1" style="4" min="75" max="75"/>
    <col outlineLevel="1" width="10.140625" customWidth="1" style="4" min="76" max="77"/>
    <col width="10" bestFit="1" customWidth="1" style="4" min="78" max="78"/>
    <col outlineLevel="1" width="10.140625" customWidth="1" style="4" min="79" max="79"/>
    <col outlineLevel="1" width="11.140625" customWidth="1" style="4" min="80" max="80"/>
    <col outlineLevel="1" width="10.140625" customWidth="1" style="4" min="81" max="82"/>
    <col width="10" bestFit="1" customWidth="1" style="4" min="83" max="83"/>
    <col outlineLevel="1" width="10.140625" customWidth="1" style="4" min="84" max="84"/>
    <col outlineLevel="1" width="11.140625" customWidth="1" style="4" min="85" max="85"/>
    <col outlineLevel="1" width="10.140625" customWidth="1" style="4" min="86" max="87"/>
    <col width="10" bestFit="1" customWidth="1" style="4" min="88" max="88"/>
    <col outlineLevel="1" width="10.140625" customWidth="1" style="4" min="89" max="89"/>
    <col outlineLevel="1" width="11.140625" customWidth="1" style="4" min="90" max="90"/>
    <col outlineLevel="1" width="10.140625" customWidth="1" style="4" min="91" max="92"/>
    <col width="10" bestFit="1" customWidth="1" style="4" min="93" max="93"/>
    <col outlineLevel="1" width="10.140625" customWidth="1" style="4" min="94" max="94"/>
    <col outlineLevel="1" width="11.140625" customWidth="1" style="4" min="95" max="95"/>
    <col outlineLevel="1" width="10.140625" customWidth="1" style="4" min="96" max="97"/>
    <col width="10" bestFit="1" customWidth="1" style="4" min="98" max="98"/>
    <col outlineLevel="1" width="10.140625" customWidth="1" style="4" min="99" max="99"/>
    <col outlineLevel="1" width="11.140625" customWidth="1" style="4" min="100" max="100"/>
    <col outlineLevel="1" width="10.140625" customWidth="1" style="4" min="101" max="102"/>
    <col width="10" bestFit="1" customWidth="1" style="4" min="103" max="103"/>
    <col width="9.140625" customWidth="1" style="4" min="104" max="104"/>
    <col width="9.140625" customWidth="1" style="4" min="105" max="16384"/>
  </cols>
  <sheetData>
    <row r="1">
      <c r="A1" s="243" t="n"/>
      <c r="C1" s="2" t="inlineStr">
        <is>
          <t>CHECKS</t>
        </is>
      </c>
      <c r="D1" s="3">
        <f>SUM(D2,D3)</f>
        <v>0</v>
      </c>
      <c r="E1" s="3">
        <f>SUM(E2,E3)</f>
        <v>0</v>
      </c>
      <c r="F1" s="3">
        <f>SUM(F2,F3)</f>
        <v>0</v>
      </c>
      <c r="G1" s="3">
        <f>SUM(G2,G3)</f>
        <v>0</v>
      </c>
      <c r="H1" s="3">
        <f>SUM(H2,H3)</f>
        <v>0</v>
      </c>
      <c r="I1" s="3">
        <f>SUM(I2,I3)</f>
        <v>0</v>
      </c>
      <c r="J1" s="3">
        <f>SUM(J2,J3)</f>
        <v>0</v>
      </c>
      <c r="K1" s="3">
        <f>SUM(K2,K3)</f>
        <v>0</v>
      </c>
      <c r="L1" s="3">
        <f>SUM(L2,L3)</f>
        <v>0</v>
      </c>
      <c r="M1" s="3">
        <f>SUM(M2,M3)</f>
        <v>0</v>
      </c>
      <c r="N1" s="3">
        <f>SUM(N2,N3)</f>
        <v>0</v>
      </c>
      <c r="O1" s="3">
        <f>SUM(O2,O3)</f>
        <v>0</v>
      </c>
      <c r="P1" s="3">
        <f>SUM(P2,P3)</f>
        <v>0</v>
      </c>
      <c r="Q1" s="3">
        <f>SUM(Q2,Q3)</f>
        <v>0</v>
      </c>
      <c r="R1" s="3">
        <f>SUM(R2,R3)</f>
        <v>0</v>
      </c>
      <c r="S1" s="3">
        <f>SUM(S2,S3)</f>
        <v>0</v>
      </c>
      <c r="T1" s="3">
        <f>SUM(T2,T3)</f>
        <v>0</v>
      </c>
      <c r="U1" s="3">
        <f>SUM(U2,U3)</f>
        <v>0</v>
      </c>
      <c r="V1" s="3">
        <f>SUM(V2,V3)</f>
        <v>0</v>
      </c>
      <c r="W1" s="3">
        <f>SUM(W2,W3)</f>
        <v>0</v>
      </c>
      <c r="X1" s="3">
        <f>SUM(X2,X3)</f>
        <v>0</v>
      </c>
      <c r="Y1" s="3">
        <f>SUM(Y2,Y3)</f>
        <v>0</v>
      </c>
      <c r="Z1" s="3">
        <f>SUM(Z2,Z3)</f>
        <v>0</v>
      </c>
      <c r="AA1" s="3">
        <f>SUM(AA2,AA3)</f>
        <v>0</v>
      </c>
      <c r="AB1" s="3">
        <f>SUM(AB2,AB3)</f>
        <v>0</v>
      </c>
      <c r="AC1" s="3">
        <f>SUM(AC2,AC3)</f>
        <v>0</v>
      </c>
      <c r="AD1" s="3">
        <f>SUM(AD2,AD3)</f>
        <v>0</v>
      </c>
      <c r="AE1" s="3">
        <f>SUM(AE2,AE3)</f>
        <v>0</v>
      </c>
      <c r="AF1" s="3">
        <f>SUM(AF2,AF3)</f>
        <v>0</v>
      </c>
      <c r="AG1" s="3">
        <f>SUM(AG2,AG3)</f>
        <v>0</v>
      </c>
      <c r="AH1" s="3">
        <f>SUM(AH2,AH3)</f>
        <v>0</v>
      </c>
      <c r="AI1" s="3">
        <f>SUM(AI2,AI3)</f>
        <v>0</v>
      </c>
      <c r="AJ1" s="3">
        <f>SUM(AJ2,AJ3)</f>
        <v>0</v>
      </c>
      <c r="AK1" s="3">
        <f>SUM(AK2,AK3)</f>
        <v>0</v>
      </c>
      <c r="AL1" s="3">
        <f>SUM(AL2,AL3)</f>
        <v>0</v>
      </c>
      <c r="AM1" s="3" t="e">
        <f>SUM(AM2,AM3)</f>
        <v>#DIV/0!</v>
      </c>
      <c r="AN1" s="3" t="e">
        <f>SUM(AN2,AN3)</f>
        <v>#DIV/0!</v>
      </c>
      <c r="AO1" s="3" t="e">
        <f>SUM(AO2,AO3)</f>
        <v>#DIV/0!</v>
      </c>
      <c r="AP1" s="3" t="e">
        <f>SUM(AP2,AP3)</f>
        <v>#DIV/0!</v>
      </c>
      <c r="AQ1" s="3" t="e">
        <f>SUM(AQ2,AQ3)</f>
        <v>#DIV/0!</v>
      </c>
      <c r="AR1" s="3" t="e">
        <f>SUM(AR2,AR3)</f>
        <v>#DIV/0!</v>
      </c>
      <c r="AS1" s="3" t="e">
        <f>SUM(AS2,AS3)</f>
        <v>#DIV/0!</v>
      </c>
      <c r="AT1" s="3" t="e">
        <f>SUM(AT2,AT3)</f>
        <v>#DIV/0!</v>
      </c>
      <c r="AU1" s="3" t="e">
        <f>SUM(AU2,AU3)</f>
        <v>#DIV/0!</v>
      </c>
      <c r="AV1" s="3" t="e">
        <f>SUM(AV2,AV3)</f>
        <v>#DIV/0!</v>
      </c>
      <c r="AW1" s="3" t="e">
        <f>SUM(AW2,AW3)</f>
        <v>#DIV/0!</v>
      </c>
      <c r="AX1" s="3" t="e">
        <f>SUM(AX2,AX3)</f>
        <v>#DIV/0!</v>
      </c>
      <c r="AY1" s="3" t="e">
        <f>SUM(AY2,AY3)</f>
        <v>#DIV/0!</v>
      </c>
      <c r="AZ1" s="3" t="e">
        <f>SUM(AZ2,AZ3)</f>
        <v>#DIV/0!</v>
      </c>
      <c r="BA1" s="3" t="e">
        <f>SUM(BA2,BA3)</f>
        <v>#DIV/0!</v>
      </c>
      <c r="BB1" s="3" t="e">
        <f>SUM(BB2,BB3)</f>
        <v>#DIV/0!</v>
      </c>
      <c r="BC1" s="3" t="e">
        <f>SUM(BC2,BC3)</f>
        <v>#DIV/0!</v>
      </c>
      <c r="BD1" s="3" t="e">
        <f>SUM(BD2,BD3)</f>
        <v>#DIV/0!</v>
      </c>
      <c r="BE1" s="3" t="e">
        <f>SUM(BE2,BE3)</f>
        <v>#DIV/0!</v>
      </c>
      <c r="BF1" s="3" t="e">
        <f>SUM(BF2,BF3)</f>
        <v>#DIV/0!</v>
      </c>
      <c r="BG1" s="3" t="e">
        <f>SUM(BG2,BG3)</f>
        <v>#DIV/0!</v>
      </c>
      <c r="BH1" s="3" t="e">
        <f>SUM(BH2,BH3)</f>
        <v>#DIV/0!</v>
      </c>
      <c r="BI1" s="3" t="e">
        <f>SUM(BI2,BI3)</f>
        <v>#DIV/0!</v>
      </c>
      <c r="BJ1" s="3" t="e">
        <f>SUM(BJ2,BJ3)</f>
        <v>#DIV/0!</v>
      </c>
      <c r="BK1" s="3" t="e">
        <f>SUM(BK2,BK3)</f>
        <v>#DIV/0!</v>
      </c>
      <c r="BL1" s="3" t="e">
        <f>SUM(BL2,BL3)</f>
        <v>#DIV/0!</v>
      </c>
      <c r="BM1" s="3" t="e">
        <f>SUM(BM2,BM3)</f>
        <v>#DIV/0!</v>
      </c>
      <c r="BN1" s="3" t="e">
        <f>SUM(BN2,BN3)</f>
        <v>#DIV/0!</v>
      </c>
      <c r="BO1" s="3" t="e">
        <f>SUM(BO2,BO3)</f>
        <v>#DIV/0!</v>
      </c>
      <c r="BP1" s="3" t="e">
        <f>SUM(BP2,BP3)</f>
        <v>#DIV/0!</v>
      </c>
      <c r="BQ1" s="3" t="e">
        <f>SUM(BQ2,BQ3)</f>
        <v>#DIV/0!</v>
      </c>
      <c r="BR1" s="3" t="e">
        <f>SUM(BR2,BR3)</f>
        <v>#DIV/0!</v>
      </c>
      <c r="BS1" s="3" t="e">
        <f>SUM(BS2,BS3)</f>
        <v>#DIV/0!</v>
      </c>
      <c r="BT1" s="3" t="e">
        <f>SUM(BT2,BT3)</f>
        <v>#DIV/0!</v>
      </c>
      <c r="BU1" s="3" t="e">
        <f>SUM(BU2,BU3)</f>
        <v>#DIV/0!</v>
      </c>
      <c r="BV1" s="3" t="e">
        <f>SUM(BV2,BV3)</f>
        <v>#DIV/0!</v>
      </c>
      <c r="BW1" s="3" t="e">
        <f>SUM(BW2,BW3)</f>
        <v>#DIV/0!</v>
      </c>
      <c r="BX1" s="3" t="e">
        <f>SUM(BX2,BX3)</f>
        <v>#DIV/0!</v>
      </c>
      <c r="BY1" s="3" t="e">
        <f>SUM(BY2,BY3)</f>
        <v>#DIV/0!</v>
      </c>
      <c r="BZ1" s="3" t="e">
        <f>SUM(BZ2,BZ3)</f>
        <v>#DIV/0!</v>
      </c>
      <c r="CA1" s="3" t="e">
        <f>SUM(CA2,CA3)</f>
        <v>#DIV/0!</v>
      </c>
      <c r="CB1" s="3" t="e">
        <f>SUM(CB2,CB3)</f>
        <v>#DIV/0!</v>
      </c>
      <c r="CC1" s="3" t="e">
        <f>SUM(CC2,CC3)</f>
        <v>#DIV/0!</v>
      </c>
      <c r="CD1" s="3" t="e">
        <f>SUM(CD2,CD3)</f>
        <v>#DIV/0!</v>
      </c>
      <c r="CE1" s="3" t="e">
        <f>SUM(CE2,CE3)</f>
        <v>#DIV/0!</v>
      </c>
      <c r="CF1" s="3" t="e">
        <f>SUM(CF2,CF3)</f>
        <v>#DIV/0!</v>
      </c>
      <c r="CG1" s="3" t="e">
        <f>SUM(CG2,CG3)</f>
        <v>#DIV/0!</v>
      </c>
      <c r="CH1" s="3" t="e">
        <f>SUM(CH2,CH3)</f>
        <v>#DIV/0!</v>
      </c>
      <c r="CI1" s="3" t="e">
        <f>SUM(CI2,CI3)</f>
        <v>#DIV/0!</v>
      </c>
      <c r="CJ1" s="3" t="e">
        <f>SUM(CJ2,CJ3)</f>
        <v>#DIV/0!</v>
      </c>
      <c r="CK1" s="3" t="e">
        <f>SUM(CK2,CK3)</f>
        <v>#DIV/0!</v>
      </c>
      <c r="CL1" s="3" t="e">
        <f>SUM(CL2,CL3)</f>
        <v>#DIV/0!</v>
      </c>
      <c r="CM1" s="3" t="e">
        <f>SUM(CM2,CM3)</f>
        <v>#DIV/0!</v>
      </c>
      <c r="CN1" s="3" t="e">
        <f>SUM(CN2,CN3)</f>
        <v>#DIV/0!</v>
      </c>
      <c r="CO1" s="3" t="e">
        <f>SUM(CO2,CO3)</f>
        <v>#DIV/0!</v>
      </c>
      <c r="CP1" s="3" t="e">
        <f>SUM(CP2,CP3)</f>
        <v>#DIV/0!</v>
      </c>
      <c r="CQ1" s="3" t="e">
        <f>SUM(CQ2,CQ3)</f>
        <v>#DIV/0!</v>
      </c>
      <c r="CR1" s="3" t="e">
        <f>SUM(CR2,CR3)</f>
        <v>#DIV/0!</v>
      </c>
      <c r="CS1" s="3" t="e">
        <f>SUM(CS2,CS3)</f>
        <v>#DIV/0!</v>
      </c>
      <c r="CT1" s="3" t="e">
        <f>SUM(CT2,CT3)</f>
        <v>#DIV/0!</v>
      </c>
      <c r="CU1" s="3" t="e">
        <f>SUM(CU2,CU3)</f>
        <v>#DIV/0!</v>
      </c>
      <c r="CV1" s="3" t="e">
        <f>SUM(CV2,CV3)</f>
        <v>#DIV/0!</v>
      </c>
      <c r="CW1" s="3" t="e">
        <f>SUM(CW2,CW3)</f>
        <v>#DIV/0!</v>
      </c>
      <c r="CX1" s="3" t="e">
        <f>SUM(CX2,CX3)</f>
        <v>#DIV/0!</v>
      </c>
      <c r="CY1" s="3" t="e">
        <f>SUM(CY2,CY3)</f>
        <v>#DIV/0!</v>
      </c>
    </row>
    <row r="2" outlineLevel="1">
      <c r="C2" s="5" t="inlineStr">
        <is>
          <t>BS</t>
        </is>
      </c>
      <c r="D2" s="3">
        <f>ABS(D191-D267)</f>
        <v>0</v>
      </c>
      <c r="E2" s="3">
        <f>ABS(E191-E267)</f>
        <v>0</v>
      </c>
      <c r="F2" s="3">
        <f>ABS(F191-F267)</f>
        <v>0</v>
      </c>
      <c r="G2" s="3">
        <f>ABS(G191-G267)</f>
        <v>0</v>
      </c>
      <c r="H2" s="3">
        <f>ABS(H191-H267)</f>
        <v>0</v>
      </c>
      <c r="I2" s="3">
        <f>ABS(I191-I267)</f>
        <v>0</v>
      </c>
      <c r="J2" s="3">
        <f>ABS(J191-J267)</f>
        <v>0</v>
      </c>
      <c r="K2" s="3">
        <f>ABS(K191-K267)</f>
        <v>0</v>
      </c>
      <c r="L2" s="3">
        <f>ABS(L191-L267)</f>
        <v>0</v>
      </c>
      <c r="M2" s="3">
        <f>ABS(M191-M267)</f>
        <v>0</v>
      </c>
      <c r="N2" s="3">
        <f>ABS(N191-N267)</f>
        <v>0</v>
      </c>
      <c r="O2" s="3">
        <f>ABS(O191-O267)</f>
        <v>0</v>
      </c>
      <c r="P2" s="3">
        <f>ABS(P191-P267)</f>
        <v>0</v>
      </c>
      <c r="Q2" s="3">
        <f>ABS(Q191-Q267)</f>
        <v>0</v>
      </c>
      <c r="R2" s="3">
        <f>ABS(R191-R267)</f>
        <v>0</v>
      </c>
      <c r="S2" s="3">
        <f>ABS(S191-S267)</f>
        <v>0</v>
      </c>
      <c r="T2" s="3">
        <f>ABS(T191-T267)</f>
        <v>0</v>
      </c>
      <c r="U2" s="3">
        <f>ABS(U191-U267)</f>
        <v>0</v>
      </c>
      <c r="V2" s="3">
        <f>ABS(V191-V267)</f>
        <v>0</v>
      </c>
      <c r="W2" s="3">
        <f>ABS(W191-W267)</f>
        <v>0</v>
      </c>
      <c r="X2" s="3">
        <f>ABS(X191-X267)</f>
        <v>0</v>
      </c>
      <c r="Y2" s="3">
        <f>ABS(Y191-Y267)</f>
        <v>0</v>
      </c>
      <c r="Z2" s="3">
        <f>ABS(Z191-Z267)</f>
        <v>0</v>
      </c>
      <c r="AA2" s="3">
        <f>ABS(AA191-AA267)</f>
        <v>0</v>
      </c>
      <c r="AB2" s="3">
        <f>ABS(AB191-AB267)</f>
        <v>0</v>
      </c>
      <c r="AC2" s="3">
        <f>ABS(AC191-AC267)</f>
        <v>0</v>
      </c>
      <c r="AD2" s="3">
        <f>ABS(AD191-AD267)</f>
        <v>0</v>
      </c>
      <c r="AE2" s="3">
        <f>ABS(AE191-AE267)</f>
        <v>0</v>
      </c>
      <c r="AF2" s="3">
        <f>ABS(AF191-AF267)</f>
        <v>0</v>
      </c>
      <c r="AG2" s="3">
        <f>ABS(AG191-AG267)</f>
        <v>0</v>
      </c>
      <c r="AH2" s="3">
        <f>ABS(AH191-AH267)</f>
        <v>0</v>
      </c>
      <c r="AI2" s="3">
        <f>ABS(AI191-AI267)</f>
        <v>0</v>
      </c>
      <c r="AJ2" s="3">
        <f>ABS(AJ191-AJ267)</f>
        <v>0</v>
      </c>
      <c r="AK2" s="3">
        <f>ABS(AK191-AK267)</f>
        <v>0</v>
      </c>
      <c r="AL2" s="3">
        <f>ABS(AL191-AL267)</f>
        <v>0</v>
      </c>
      <c r="AM2" s="3" t="e">
        <f>ABS(AM191-AM267)</f>
        <v>#DIV/0!</v>
      </c>
      <c r="AN2" s="3" t="e">
        <f>ABS(AN191-AN267)</f>
        <v>#DIV/0!</v>
      </c>
      <c r="AO2" s="3" t="e">
        <f>ABS(AO191-AO267)</f>
        <v>#DIV/0!</v>
      </c>
      <c r="AP2" s="3" t="e">
        <f>ABS(AP191-AP267)</f>
        <v>#DIV/0!</v>
      </c>
      <c r="AQ2" s="3" t="e">
        <f>ABS(AQ191-AQ267)</f>
        <v>#DIV/0!</v>
      </c>
      <c r="AR2" s="3" t="e">
        <f>ABS(AR191-AR267)</f>
        <v>#DIV/0!</v>
      </c>
      <c r="AS2" s="3" t="e">
        <f>ABS(AS191-AS267)</f>
        <v>#DIV/0!</v>
      </c>
      <c r="AT2" s="3" t="e">
        <f>ABS(AT191-AT267)</f>
        <v>#DIV/0!</v>
      </c>
      <c r="AU2" s="3" t="e">
        <f>ABS(AU191-AU267)</f>
        <v>#DIV/0!</v>
      </c>
      <c r="AV2" s="3" t="e">
        <f>ABS(AV191-AV267)</f>
        <v>#DIV/0!</v>
      </c>
      <c r="AW2" s="3" t="e">
        <f>ABS(AW191-AW267)</f>
        <v>#DIV/0!</v>
      </c>
      <c r="AX2" s="3" t="e">
        <f>ABS(AX191-AX267)</f>
        <v>#DIV/0!</v>
      </c>
      <c r="AY2" s="3" t="e">
        <f>ABS(AY191-AY267)</f>
        <v>#DIV/0!</v>
      </c>
      <c r="AZ2" s="3" t="e">
        <f>ABS(AZ191-AZ267)</f>
        <v>#DIV/0!</v>
      </c>
      <c r="BA2" s="3" t="e">
        <f>ABS(BA191-BA267)</f>
        <v>#DIV/0!</v>
      </c>
      <c r="BB2" s="3" t="e">
        <f>ABS(BB191-BB267)</f>
        <v>#DIV/0!</v>
      </c>
      <c r="BC2" s="3" t="e">
        <f>ABS(BC191-BC267)</f>
        <v>#DIV/0!</v>
      </c>
      <c r="BD2" s="3" t="e">
        <f>ABS(BD191-BD267)</f>
        <v>#DIV/0!</v>
      </c>
      <c r="BE2" s="3" t="e">
        <f>ABS(BE191-BE267)</f>
        <v>#DIV/0!</v>
      </c>
      <c r="BF2" s="3" t="e">
        <f>ABS(BF191-BF267)</f>
        <v>#DIV/0!</v>
      </c>
      <c r="BG2" s="3" t="e">
        <f>ABS(BG191-BG267)</f>
        <v>#DIV/0!</v>
      </c>
      <c r="BH2" s="3" t="e">
        <f>ABS(BH191-BH267)</f>
        <v>#DIV/0!</v>
      </c>
      <c r="BI2" s="3" t="e">
        <f>ABS(BI191-BI267)</f>
        <v>#DIV/0!</v>
      </c>
      <c r="BJ2" s="3" t="e">
        <f>ABS(BJ191-BJ267)</f>
        <v>#DIV/0!</v>
      </c>
      <c r="BK2" s="3" t="e">
        <f>ABS(BK191-BK267)</f>
        <v>#DIV/0!</v>
      </c>
      <c r="BL2" s="3" t="e">
        <f>ABS(BL191-BL267)</f>
        <v>#DIV/0!</v>
      </c>
      <c r="BM2" s="3" t="e">
        <f>ABS(BM191-BM267)</f>
        <v>#DIV/0!</v>
      </c>
      <c r="BN2" s="3" t="e">
        <f>ABS(BN191-BN267)</f>
        <v>#DIV/0!</v>
      </c>
      <c r="BO2" s="3" t="e">
        <f>ABS(BO191-BO267)</f>
        <v>#DIV/0!</v>
      </c>
      <c r="BP2" s="3" t="e">
        <f>ABS(BP191-BP267)</f>
        <v>#DIV/0!</v>
      </c>
      <c r="BQ2" s="3" t="e">
        <f>ABS(BQ191-BQ267)</f>
        <v>#DIV/0!</v>
      </c>
      <c r="BR2" s="3" t="e">
        <f>ABS(BR191-BR267)</f>
        <v>#DIV/0!</v>
      </c>
      <c r="BS2" s="3" t="e">
        <f>ABS(BS191-BS267)</f>
        <v>#DIV/0!</v>
      </c>
      <c r="BT2" s="3" t="e">
        <f>ABS(BT191-BT267)</f>
        <v>#DIV/0!</v>
      </c>
      <c r="BU2" s="3" t="e">
        <f>ABS(BU191-BU267)</f>
        <v>#DIV/0!</v>
      </c>
      <c r="BV2" s="3" t="e">
        <f>ABS(BV191-BV267)</f>
        <v>#DIV/0!</v>
      </c>
      <c r="BW2" s="3" t="e">
        <f>ABS(BW191-BW267)</f>
        <v>#DIV/0!</v>
      </c>
      <c r="BX2" s="3" t="e">
        <f>ABS(BX191-BX267)</f>
        <v>#DIV/0!</v>
      </c>
      <c r="BY2" s="3" t="e">
        <f>ABS(BY191-BY267)</f>
        <v>#DIV/0!</v>
      </c>
      <c r="BZ2" s="3" t="e">
        <f>ABS(BZ191-BZ267)</f>
        <v>#DIV/0!</v>
      </c>
      <c r="CA2" s="3" t="e">
        <f>ABS(CA191-CA267)</f>
        <v>#DIV/0!</v>
      </c>
      <c r="CB2" s="3" t="e">
        <f>ABS(CB191-CB267)</f>
        <v>#DIV/0!</v>
      </c>
      <c r="CC2" s="3" t="e">
        <f>ABS(CC191-CC267)</f>
        <v>#DIV/0!</v>
      </c>
      <c r="CD2" s="3" t="e">
        <f>ABS(CD191-CD267)</f>
        <v>#DIV/0!</v>
      </c>
      <c r="CE2" s="3" t="e">
        <f>ABS(CE191-CE267)</f>
        <v>#DIV/0!</v>
      </c>
      <c r="CF2" s="3" t="e">
        <f>ABS(CF191-CF267)</f>
        <v>#DIV/0!</v>
      </c>
      <c r="CG2" s="3" t="e">
        <f>ABS(CG191-CG267)</f>
        <v>#DIV/0!</v>
      </c>
      <c r="CH2" s="3" t="e">
        <f>ABS(CH191-CH267)</f>
        <v>#DIV/0!</v>
      </c>
      <c r="CI2" s="3" t="e">
        <f>ABS(CI191-CI267)</f>
        <v>#DIV/0!</v>
      </c>
      <c r="CJ2" s="3" t="e">
        <f>ABS(CJ191-CJ267)</f>
        <v>#DIV/0!</v>
      </c>
      <c r="CK2" s="3" t="e">
        <f>ABS(CK191-CK267)</f>
        <v>#DIV/0!</v>
      </c>
      <c r="CL2" s="3" t="e">
        <f>ABS(CL191-CL267)</f>
        <v>#DIV/0!</v>
      </c>
      <c r="CM2" s="3" t="e">
        <f>ABS(CM191-CM267)</f>
        <v>#DIV/0!</v>
      </c>
      <c r="CN2" s="3" t="e">
        <f>ABS(CN191-CN267)</f>
        <v>#DIV/0!</v>
      </c>
      <c r="CO2" s="3" t="e">
        <f>ABS(CO191-CO267)</f>
        <v>#DIV/0!</v>
      </c>
      <c r="CP2" s="3" t="e">
        <f>ABS(CP191-CP267)</f>
        <v>#DIV/0!</v>
      </c>
      <c r="CQ2" s="3" t="e">
        <f>ABS(CQ191-CQ267)</f>
        <v>#DIV/0!</v>
      </c>
      <c r="CR2" s="3" t="e">
        <f>ABS(CR191-CR267)</f>
        <v>#DIV/0!</v>
      </c>
      <c r="CS2" s="3" t="e">
        <f>ABS(CS191-CS267)</f>
        <v>#DIV/0!</v>
      </c>
      <c r="CT2" s="3" t="e">
        <f>ABS(CT191-CT267)</f>
        <v>#DIV/0!</v>
      </c>
      <c r="CU2" s="3" t="e">
        <f>ABS(CU191-CU267)</f>
        <v>#DIV/0!</v>
      </c>
      <c r="CV2" s="3" t="e">
        <f>ABS(CV191-CV267)</f>
        <v>#DIV/0!</v>
      </c>
      <c r="CW2" s="3" t="e">
        <f>ABS(CW191-CW267)</f>
        <v>#DIV/0!</v>
      </c>
      <c r="CX2" s="3" t="e">
        <f>ABS(CX191-CX267)</f>
        <v>#DIV/0!</v>
      </c>
      <c r="CY2" s="3" t="e">
        <f>ABS(CY191-CY267)</f>
        <v>#DIV/0!</v>
      </c>
    </row>
    <row r="3" outlineLevel="1">
      <c r="C3" s="5" t="inlineStr">
        <is>
          <t>IS</t>
        </is>
      </c>
      <c r="D3" s="3">
        <f>IF(COUNT(D4)=0,"",ABS(D131-D4))</f>
        <v>0</v>
      </c>
      <c r="E3" s="3">
        <f>IF(COUNT(E4)=0,"",ABS(E131-E4))</f>
        <v>0</v>
      </c>
      <c r="F3" s="3">
        <f>IF(COUNT(F4)=0,"",ABS(F131-F4))</f>
        <v>0</v>
      </c>
      <c r="G3" s="3">
        <f>IF(COUNT(G4)=0,"",ABS(G131-G4))</f>
        <v>0</v>
      </c>
      <c r="H3" s="3">
        <f>IF(COUNT(H4)=0,"",ABS(H131-H4))</f>
        <v>0</v>
      </c>
      <c r="I3" s="3">
        <f>IF(COUNT(I4)=0,"",ABS(I131-I4))</f>
        <v>0</v>
      </c>
      <c r="J3" s="3">
        <f>IF(COUNT(J4)=0,"",ABS(J131-J4))</f>
        <v>0</v>
      </c>
      <c r="K3" s="3">
        <f>IF(COUNT(K4)=0,"",ABS(K131-K4))</f>
        <v>0</v>
      </c>
      <c r="L3" s="3">
        <f>IF(COUNT(L4)=0,"",ABS(L131-L4))</f>
        <v>0</v>
      </c>
      <c r="M3" s="3">
        <f>IF(COUNT(M4)=0,"",ABS(M131-M4))</f>
        <v>0</v>
      </c>
      <c r="N3" s="3">
        <f>IF(COUNT(N4)=0,"",ABS(N131-N4))</f>
        <v>0</v>
      </c>
      <c r="O3" s="3">
        <f>IF(COUNT(O4)=0,"",ABS(O131-O4))</f>
        <v>0</v>
      </c>
      <c r="P3" s="3">
        <f>IF(COUNT(P4)=0,"",ABS(P131-P4))</f>
        <v>0</v>
      </c>
      <c r="Q3" s="3">
        <f>IF(COUNT(Q4)=0,"",ABS(Q131-Q4))</f>
        <v>0</v>
      </c>
      <c r="R3" s="3">
        <f>IF(COUNT(R4)=0,"",ABS(R131-R4))</f>
        <v>0</v>
      </c>
      <c r="S3" s="3">
        <f>IF(COUNT(S4)=0,"",ABS(S131-S4))</f>
        <v>0</v>
      </c>
      <c r="T3" s="3">
        <f>IF(COUNT(T4)=0,"",ABS(T131-T4))</f>
        <v>0</v>
      </c>
      <c r="U3" s="3">
        <f>IF(COUNT(U4)=0,"",ABS(U131-U4))</f>
        <v>0</v>
      </c>
      <c r="V3" s="3">
        <f>IF(COUNT(V4)=0,"",ABS(V131-V4))</f>
        <v>0</v>
      </c>
      <c r="W3" s="3">
        <f>IF(COUNT(W4)=0,"",ABS(W131-W4))</f>
        <v>0</v>
      </c>
      <c r="X3" s="3">
        <f>IF(COUNT(X4)=0,"",ABS(X131-X4))</f>
        <v>0</v>
      </c>
      <c r="Y3" s="3">
        <f>IF(COUNT(Y4)=0,"",ABS(Y131-Y4))</f>
        <v>0</v>
      </c>
      <c r="Z3" s="3">
        <f>IF(COUNT(Z4)=0,"",ABS(Z131-Z4))</f>
        <v>0</v>
      </c>
      <c r="AA3" s="3">
        <f>IF(COUNT(AA4)=0,"",ABS(AA131-AA4))</f>
        <v>0</v>
      </c>
      <c r="AB3" s="3">
        <f>IF(COUNT(AB4)=0,"",ABS(AB131-AB4))</f>
        <v>0</v>
      </c>
      <c r="AC3" s="3">
        <f>IF(COUNT(AC4)=0,"",ABS(AC131-AC4))</f>
        <v>0</v>
      </c>
      <c r="AD3" s="3">
        <f>IF(COUNT(AD4)=0,"",ABS(AD131-AD4))</f>
        <v>0</v>
      </c>
      <c r="AE3" s="3">
        <f>IF(COUNT(AE4)=0,"",ABS(AE131-AE4))</f>
        <v>0</v>
      </c>
      <c r="AF3" s="3">
        <f>IF(COUNT(AF4)=0,"",ABS(AF131-AF4))</f>
        <v>0</v>
      </c>
      <c r="AG3" s="3">
        <f>IF(COUNT(AG4)=0,"",ABS(AG131-AG4))</f>
        <v>0</v>
      </c>
      <c r="AH3" s="3">
        <f>IF(COUNT(AH4)=0,"",ABS(AH131-AH4))</f>
        <v>0</v>
      </c>
      <c r="AI3" s="3">
        <f>IF(COUNT(AI4)=0,"",ABS(AI131-AI4))</f>
        <v>0</v>
      </c>
      <c r="AJ3" s="3" t="str">
        <f>IF(COUNT(AJ4)=0,"",ABS(AJ131-AJ4))</f>
        <v/>
      </c>
      <c r="AK3" s="3" t="str">
        <f>IF(COUNT(AK4)=0,"",ABS(AK131-AK4))</f>
        <v/>
      </c>
      <c r="AL3" s="3" t="str">
        <f>IF(COUNT(AL4)=0,"",ABS(AL131-AL4))</f>
        <v/>
      </c>
      <c r="AM3" s="3" t="str">
        <f>IF(COUNT(AM4)=0,"",ABS(AM131-AM4))</f>
        <v/>
      </c>
      <c r="AN3" s="3" t="str">
        <f>IF(COUNT(AN4)=0,"",ABS(AN131-AN4))</f>
        <v/>
      </c>
      <c r="AO3" s="3" t="str">
        <f>IF(COUNT(AO4)=0,"",ABS(AO131-AO4))</f>
        <v/>
      </c>
      <c r="AP3" s="3" t="str">
        <f>IF(COUNT(AP4)=0,"",ABS(AP131-AP4))</f>
        <v/>
      </c>
      <c r="AQ3" s="3" t="str">
        <f>IF(COUNT(AQ4)=0,"",ABS(AQ131-AQ4))</f>
        <v/>
      </c>
      <c r="AR3" s="3" t="str">
        <f>IF(COUNT(AR4)=0,"",ABS(AR131-AR4))</f>
        <v/>
      </c>
      <c r="AS3" s="3" t="str">
        <f>IF(COUNT(AS4)=0,"",ABS(AS131-AS4))</f>
        <v/>
      </c>
      <c r="AT3" s="3" t="str">
        <f>IF(COUNT(AT4)=0,"",ABS(AT131-AT4))</f>
        <v/>
      </c>
      <c r="AU3" s="3" t="str">
        <f>IF(COUNT(AU4)=0,"",ABS(AU131-AU4))</f>
        <v/>
      </c>
      <c r="AV3" s="3" t="str">
        <f>IF(COUNT(AV4)=0,"",ABS(AV131-AV4))</f>
        <v/>
      </c>
      <c r="AW3" s="3" t="str">
        <f>IF(COUNT(AW4)=0,"",ABS(AW131-AW4))</f>
        <v/>
      </c>
      <c r="AX3" s="3" t="str">
        <f>IF(COUNT(AX4)=0,"",ABS(AX131-AX4))</f>
        <v/>
      </c>
      <c r="AY3" s="3" t="str">
        <f>IF(COUNT(AY4)=0,"",ABS(AY131-AY4))</f>
        <v/>
      </c>
      <c r="AZ3" s="3" t="str">
        <f>IF(COUNT(AZ4)=0,"",ABS(AZ131-AZ4))</f>
        <v/>
      </c>
      <c r="BA3" s="3" t="str">
        <f>IF(COUNT(BA4)=0,"",ABS(BA131-BA4))</f>
        <v/>
      </c>
      <c r="BB3" s="3" t="str">
        <f>IF(COUNT(BB4)=0,"",ABS(BB131-BB4))</f>
        <v/>
      </c>
      <c r="BC3" s="3" t="str">
        <f>IF(COUNT(BC4)=0,"",ABS(BC131-BC4))</f>
        <v/>
      </c>
      <c r="BD3" s="3" t="str">
        <f>IF(COUNT(BD4)=0,"",ABS(BD131-BD4))</f>
        <v/>
      </c>
      <c r="BE3" s="3" t="str">
        <f>IF(COUNT(BE4)=0,"",ABS(BE131-BE4))</f>
        <v/>
      </c>
      <c r="BF3" s="3" t="str">
        <f>IF(COUNT(BF4)=0,"",ABS(BF131-BF4))</f>
        <v/>
      </c>
      <c r="BG3" s="3" t="str">
        <f>IF(COUNT(BG4)=0,"",ABS(BG131-BG4))</f>
        <v/>
      </c>
      <c r="BH3" s="3" t="str">
        <f>IF(COUNT(BH4)=0,"",ABS(BH131-BH4))</f>
        <v/>
      </c>
      <c r="BI3" s="3" t="str">
        <f>IF(COUNT(BI4)=0,"",ABS(BI131-BI4))</f>
        <v/>
      </c>
      <c r="BJ3" s="3" t="str">
        <f>IF(COUNT(BJ4)=0,"",ABS(BJ131-BJ4))</f>
        <v/>
      </c>
      <c r="BK3" s="3" t="str">
        <f>IF(COUNT(BK4)=0,"",ABS(BK131-BK4))</f>
        <v/>
      </c>
      <c r="BL3" s="3" t="str">
        <f>IF(COUNT(BL4)=0,"",ABS(BL131-BL4))</f>
        <v/>
      </c>
      <c r="BM3" s="3" t="str">
        <f>IF(COUNT(BM4)=0,"",ABS(BM131-BM4))</f>
        <v/>
      </c>
      <c r="BN3" s="3" t="str">
        <f>IF(COUNT(BN4)=0,"",ABS(BN131-BN4))</f>
        <v/>
      </c>
      <c r="BO3" s="3" t="str">
        <f>IF(COUNT(BO4)=0,"",ABS(BO131-BO4))</f>
        <v/>
      </c>
      <c r="BP3" s="3" t="str">
        <f>IF(COUNT(BP4)=0,"",ABS(BP131-BP4))</f>
        <v/>
      </c>
      <c r="BQ3" s="3" t="str">
        <f>IF(COUNT(BQ4)=0,"",ABS(BQ131-BQ4))</f>
        <v/>
      </c>
      <c r="BR3" s="3" t="str">
        <f>IF(COUNT(BR4)=0,"",ABS(BR131-BR4))</f>
        <v/>
      </c>
      <c r="BS3" s="3" t="str">
        <f>IF(COUNT(BS4)=0,"",ABS(BS131-BS4))</f>
        <v/>
      </c>
      <c r="BT3" s="3" t="str">
        <f>IF(COUNT(BT4)=0,"",ABS(BT131-BT4))</f>
        <v/>
      </c>
      <c r="BU3" s="3" t="str">
        <f>IF(COUNT(BU4)=0,"",ABS(BU131-BU4))</f>
        <v/>
      </c>
      <c r="BV3" s="3" t="str">
        <f>IF(COUNT(BV4)=0,"",ABS(BV131-BV4))</f>
        <v/>
      </c>
      <c r="BW3" s="3" t="str">
        <f>IF(COUNT(BW4)=0,"",ABS(BW131-BW4))</f>
        <v/>
      </c>
      <c r="BX3" s="3" t="str">
        <f>IF(COUNT(BX4)=0,"",ABS(BX131-BX4))</f>
        <v/>
      </c>
      <c r="BY3" s="3" t="str">
        <f>IF(COUNT(BY4)=0,"",ABS(BY131-BY4))</f>
        <v/>
      </c>
      <c r="BZ3" s="3" t="str">
        <f>IF(COUNT(BZ4)=0,"",ABS(BZ131-BZ4))</f>
        <v/>
      </c>
      <c r="CA3" s="3" t="str">
        <f>IF(COUNT(CA4)=0,"",ABS(CA131-CA4))</f>
        <v/>
      </c>
      <c r="CB3" s="3" t="str">
        <f>IF(COUNT(CB4)=0,"",ABS(CB131-CB4))</f>
        <v/>
      </c>
      <c r="CC3" s="3" t="str">
        <f>IF(COUNT(CC4)=0,"",ABS(CC131-CC4))</f>
        <v/>
      </c>
      <c r="CD3" s="3" t="str">
        <f>IF(COUNT(CD4)=0,"",ABS(CD131-CD4))</f>
        <v/>
      </c>
      <c r="CE3" s="3" t="str">
        <f>IF(COUNT(CE4)=0,"",ABS(CE131-CE4))</f>
        <v/>
      </c>
      <c r="CF3" s="3" t="str">
        <f>IF(COUNT(CF4)=0,"",ABS(CF131-CF4))</f>
        <v/>
      </c>
      <c r="CG3" s="3" t="str">
        <f>IF(COUNT(CG4)=0,"",ABS(CG131-CG4))</f>
        <v/>
      </c>
      <c r="CH3" s="3" t="str">
        <f>IF(COUNT(CH4)=0,"",ABS(CH131-CH4))</f>
        <v/>
      </c>
      <c r="CI3" s="3" t="str">
        <f>IF(COUNT(CI4)=0,"",ABS(CI131-CI4))</f>
        <v/>
      </c>
      <c r="CJ3" s="3" t="str">
        <f>IF(COUNT(CJ4)=0,"",ABS(CJ131-CJ4))</f>
        <v/>
      </c>
      <c r="CK3" s="3" t="str">
        <f>IF(COUNT(CK4)=0,"",ABS(CK131-CK4))</f>
        <v/>
      </c>
      <c r="CL3" s="3" t="str">
        <f>IF(COUNT(CL4)=0,"",ABS(CL131-CL4))</f>
        <v/>
      </c>
      <c r="CM3" s="3" t="str">
        <f>IF(COUNT(CM4)=0,"",ABS(CM131-CM4))</f>
        <v/>
      </c>
      <c r="CN3" s="3" t="str">
        <f>IF(COUNT(CN4)=0,"",ABS(CN131-CN4))</f>
        <v/>
      </c>
      <c r="CO3" s="3" t="str">
        <f>IF(COUNT(CO4)=0,"",ABS(CO131-CO4))</f>
        <v/>
      </c>
      <c r="CP3" s="3" t="str">
        <f>IF(COUNT(CP4)=0,"",ABS(CP131-CP4))</f>
        <v/>
      </c>
      <c r="CQ3" s="3" t="str">
        <f>IF(COUNT(CQ4)=0,"",ABS(CQ131-CQ4))</f>
        <v/>
      </c>
      <c r="CR3" s="3" t="str">
        <f>IF(COUNT(CR4)=0,"",ABS(CR131-CR4))</f>
        <v/>
      </c>
      <c r="CS3" s="3" t="str">
        <f>IF(COUNT(CS4)=0,"",ABS(CS131-CS4))</f>
        <v/>
      </c>
      <c r="CT3" s="3" t="str">
        <f>IF(COUNT(CT4)=0,"",ABS(CT131-CT4))</f>
        <v/>
      </c>
      <c r="CU3" s="3" t="str">
        <f>IF(COUNT(CU4)=0,"",ABS(CU131-CU4))</f>
        <v/>
      </c>
      <c r="CV3" s="3" t="str">
        <f>IF(COUNT(CV4)=0,"",ABS(CV131-CV4))</f>
        <v/>
      </c>
      <c r="CW3" s="3" t="str">
        <f>IF(COUNT(CW4)=0,"",ABS(CW131-CW4))</f>
        <v/>
      </c>
      <c r="CX3" s="3" t="str">
        <f>IF(COUNT(CX4)=0,"",ABS(CX131-CX4))</f>
        <v/>
      </c>
      <c r="CY3" s="3" t="str">
        <f>IF(COUNT(CY4)=0,"",ABS(CY131-CY4))</f>
        <v/>
      </c>
    </row>
    <row r="4" outlineLevel="1">
      <c r="C4" s="14" t="inlineStr">
        <is>
          <t>Net Income reportado (lucro liquido) - base do check IS</t>
        </is>
      </c>
      <c r="D4" s="16">
        <f>INDEX('Inputs (2)'!$D$50:$AL$50,MATCH(D$7,'Inputs (2)'!$D$2:$AL$2,0))</f>
        <v>16</v>
      </c>
      <c r="E4" s="16">
        <f>INDEX('Inputs (2)'!$D$50:$AL$50,MATCH(E$7,'Inputs (2)'!$D$2:$AL$2,0))</f>
        <v>104</v>
      </c>
      <c r="F4" s="16">
        <f>INDEX('Inputs (2)'!$D$50:$AL$50,MATCH(F$7,'Inputs (2)'!$D$2:$AL$2,0))</f>
        <v>331</v>
      </c>
      <c r="G4" s="16">
        <f>INDEX('Inputs (2)'!$D$50:$AL$50,MATCH(G$7,'Inputs (2)'!$D$2:$AL$2,0))</f>
        <v>270</v>
      </c>
      <c r="H4" s="16">
        <f>IF(COUNT(D4:G4)=4,SUM(D4:G4),"")</f>
        <v>721</v>
      </c>
      <c r="I4" s="16">
        <f>INDEX('Inputs (2)'!$D$50:$AL$50,MATCH(I$7,'Inputs (2)'!$D$2:$AL$2,0))</f>
        <v>438</v>
      </c>
      <c r="J4" s="16">
        <f>INDEX('Inputs (2)'!$D$50:$AL$50,MATCH(J$7,'Inputs (2)'!$D$2:$AL$2,0))</f>
        <v>1142</v>
      </c>
      <c r="K4" s="16">
        <f>INDEX('Inputs (2)'!$D$50:$AL$50,MATCH(K$7,'Inputs (2)'!$D$2:$AL$2,0))</f>
        <v>1618</v>
      </c>
      <c r="L4" s="16">
        <f>INDEX('Inputs (2)'!$D$50:$AL$50,MATCH(L$7,'Inputs (2)'!$D$2:$AL$2,0))</f>
        <v>2321</v>
      </c>
      <c r="M4" s="16">
        <f>IF(COUNT(I4:L4)=4,SUM(I4:L4),"")</f>
        <v>5519</v>
      </c>
      <c r="N4" s="16">
        <f>INDEX('Inputs (2)'!$D$50:$AL$50,MATCH(N$7,'Inputs (2)'!$D$2:$AL$2,0))</f>
        <v>3318</v>
      </c>
      <c r="O4" s="16">
        <f>INDEX('Inputs (2)'!$D$50:$AL$50,MATCH(O$7,'Inputs (2)'!$D$2:$AL$2,0))</f>
        <v>2259</v>
      </c>
      <c r="P4" s="16">
        <f>INDEX('Inputs (2)'!$D$50:$AL$50,MATCH(P$7,'Inputs (2)'!$D$2:$AL$2,0))</f>
        <v>3292</v>
      </c>
      <c r="Q4" s="16">
        <f>INDEX('Inputs (2)'!$D$50:$AL$50,MATCH(Q$7,'Inputs (2)'!$D$2:$AL$2,0))</f>
        <v>3687</v>
      </c>
      <c r="R4" s="16">
        <f>IF(COUNT(N4:Q4)=4,SUM(N4:Q4),"")</f>
        <v>12556</v>
      </c>
      <c r="S4" s="16">
        <f>INDEX('Inputs (2)'!$D$50:$AL$50,MATCH(S$7,'Inputs (2)'!$D$2:$AL$2,0))</f>
        <v>2513</v>
      </c>
      <c r="T4" s="16">
        <f>INDEX('Inputs (2)'!$D$50:$AL$50,MATCH(T$7,'Inputs (2)'!$D$2:$AL$2,0))</f>
        <v>2703</v>
      </c>
      <c r="U4" s="16">
        <f>INDEX('Inputs (2)'!$D$50:$AL$50,MATCH(U$7,'Inputs (2)'!$D$2:$AL$2,0))</f>
        <v>1853</v>
      </c>
      <c r="V4" s="16">
        <f>INDEX('Inputs (2)'!$D$50:$AL$50,MATCH(V$7,'Inputs (2)'!$D$2:$AL$2,0))</f>
        <v>7928</v>
      </c>
      <c r="W4" s="16">
        <f>IF(COUNT(S4:V4)=4,SUM(S4:V4),"")</f>
        <v>14997</v>
      </c>
      <c r="X4" s="16">
        <f>INDEX('Inputs (2)'!$D$50:$AL$50,MATCH(X$7,'Inputs (2)'!$D$2:$AL$2,0))</f>
        <v>1390</v>
      </c>
      <c r="Y4" s="16">
        <f>INDEX('Inputs (2)'!$D$50:$AL$50,MATCH(Y$7,'Inputs (2)'!$D$2:$AL$2,0))</f>
        <v>1400</v>
      </c>
      <c r="Z4" s="16">
        <f>INDEX('Inputs (2)'!$D$50:$AL$50,MATCH(Z$7,'Inputs (2)'!$D$2:$AL$2,0))</f>
        <v>2173</v>
      </c>
      <c r="AA4" s="16">
        <f>INDEX('Inputs (2)'!$D$50:$AL$50,MATCH(AA$7,'Inputs (2)'!$D$2:$AL$2,0))</f>
        <v>2128</v>
      </c>
      <c r="AB4" s="16">
        <f>IF(COUNT(X4:AA4)=4,SUM(X4:AA4),"")</f>
        <v>7091</v>
      </c>
      <c r="AC4" s="16">
        <f>INDEX('Inputs (2)'!$D$50:$AL$50,MATCH(AC$7,'Inputs (2)'!$D$2:$AL$2,0))</f>
        <v>409</v>
      </c>
      <c r="AD4" s="16">
        <f>INDEX('Inputs (2)'!$D$50:$AL$50,MATCH(AD$7,'Inputs (2)'!$D$2:$AL$2,0))</f>
        <v>1172</v>
      </c>
      <c r="AE4" s="16">
        <f>INDEX('Inputs (2)'!$D$50:$AL$50,MATCH(AE$7,'Inputs (2)'!$D$2:$AL$2,0))</f>
        <v>1373</v>
      </c>
      <c r="AF4" s="16">
        <f>INDEX('Inputs (2)'!$D$50:$AL$50,MATCH(AF$7,'Inputs (2)'!$D$2:$AL$2,0))</f>
        <v>840</v>
      </c>
      <c r="AG4" s="16">
        <f>IF(COUNT(AC4:AF4)=4,SUM(AC4:AF4),"")</f>
        <v>3794</v>
      </c>
      <c r="AH4" s="6">
        <f>INDEX('Inputs (2)'!$D$50:$AL$50,MATCH(AH$7,'Inputs (2)'!$D$2:$AL$2,0))</f>
        <v>477</v>
      </c>
      <c r="AI4" s="6">
        <f>INDEX('Inputs (2)'!$D$50:$AL$50,MATCH(AI$7,'Inputs (2)'!$D$2:$AL$2,0))</f>
        <v>1114</v>
      </c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/>
      <c r="CJ4" s="6" t="n"/>
      <c r="CK4" s="6" t="n"/>
      <c r="CL4" s="6" t="n"/>
      <c r="CM4" s="6" t="n"/>
      <c r="CN4" s="6" t="n"/>
      <c r="CO4" s="6" t="n"/>
      <c r="CP4" s="6" t="n"/>
      <c r="CQ4" s="6" t="n"/>
      <c r="CR4" s="6" t="n"/>
      <c r="CS4" s="6" t="n"/>
      <c r="CT4" s="6" t="n"/>
      <c r="CU4" s="6" t="n"/>
      <c r="CV4" s="6" t="n"/>
      <c r="CW4" s="6" t="n"/>
      <c r="CX4" s="6" t="n"/>
      <c r="CY4" s="6" t="n"/>
    </row>
    <row r="5">
      <c r="B5" s="7" t="n">
        <v>45930</v>
      </c>
      <c r="D5" s="9" t="n">
        <v>43921</v>
      </c>
      <c r="E5" s="10">
        <f>DATE(YEAR(D5),MONTH(D5)+3,DAY(D5)-1)</f>
        <v>44012.0</v>
      </c>
      <c r="F5" s="10">
        <f>DATE(YEAR(E5),MONTH(E5)+3,DAY(E5))</f>
        <v>44104.0</v>
      </c>
      <c r="G5" s="10">
        <f>DATE(YEAR(F5),MONTH(F5)+3,DAY(F5)+1)</f>
        <v>44196.0</v>
      </c>
      <c r="H5" s="8">
        <f>G5</f>
        <v>44196.0</v>
      </c>
      <c r="I5" s="9" t="n">
        <v>44286</v>
      </c>
      <c r="J5" s="10">
        <f>DATE(YEAR(I5),MONTH(I5)+3,DAY(I5)-1)</f>
        <v>44377.0</v>
      </c>
      <c r="K5" s="10">
        <f>DATE(YEAR(J5),MONTH(J5)+3,DAY(J5))</f>
        <v>44469.0</v>
      </c>
      <c r="L5" s="10">
        <f>DATE(YEAR(K5),MONTH(K5)+3,DAY(K5)+1)</f>
        <v>44561.0</v>
      </c>
      <c r="M5" s="8">
        <f>L5</f>
        <v>44561.0</v>
      </c>
      <c r="N5" s="10">
        <f>DATE(YEAR(M5),MONTH(M5)+3,DAY(M5))</f>
        <v>44651.0</v>
      </c>
      <c r="O5" s="10">
        <f>DATE(YEAR(N5),MONTH(N5)+3,DAY(N5)-1)</f>
        <v>44742.0</v>
      </c>
      <c r="P5" s="10">
        <f>DATE(YEAR(O5),MONTH(O5)+3,DAY(O5))</f>
        <v>44834.0</v>
      </c>
      <c r="Q5" s="10">
        <f>DATE(YEAR(P5),MONTH(P5)+3,DAY(P5)+1)</f>
        <v>44926.0</v>
      </c>
      <c r="R5" s="8">
        <f>Q5</f>
        <v>44926.0</v>
      </c>
      <c r="S5" s="10">
        <f>DATE(YEAR(R5),MONTH(R5)+3,DAY(R5))</f>
        <v>45016.0</v>
      </c>
      <c r="T5" s="10">
        <f>DATE(YEAR(S5),MONTH(S5)+3,DAY(S5))-1</f>
        <v>45107.0</v>
      </c>
      <c r="U5" s="10">
        <f>DATE(YEAR(T5),MONTH(T5)+3,DAY(T5))</f>
        <v>45199.0</v>
      </c>
      <c r="V5" s="10">
        <f>DATE(YEAR(U5),MONTH(U5)+3,DAY(U5))+1</f>
        <v>45291.0</v>
      </c>
      <c r="W5" s="8">
        <f>V5</f>
        <v>45291.0</v>
      </c>
      <c r="X5" s="10">
        <f>DATE(YEAR(W5),MONTH(W5)+3,DAY(W5))</f>
        <v>45382.0</v>
      </c>
      <c r="Y5" s="10">
        <f>DATE(YEAR(X5),MONTH(X5)+3,DAY(X5))-1</f>
        <v>45473.0</v>
      </c>
      <c r="Z5" s="10">
        <f>DATE(YEAR(Y5),MONTH(Y5)+3,DAY(Y5))</f>
        <v>45565.0</v>
      </c>
      <c r="AA5" s="10">
        <f>DATE(YEAR(Z5),MONTH(Z5)+3,DAY(Z5))+1</f>
        <v>45657.0</v>
      </c>
      <c r="AB5" s="8">
        <f>AA5</f>
        <v>45657.0</v>
      </c>
      <c r="AC5" s="10">
        <f>DATE(YEAR(AB5),MONTH(AB5)+3,DAY(AB5))</f>
        <v>45747.0</v>
      </c>
      <c r="AD5" s="10">
        <f>DATE(YEAR(AC5),MONTH(AC5)+3,DAY(AC5))-1</f>
        <v>45838.0</v>
      </c>
      <c r="AE5" s="10">
        <f>DATE(YEAR(AD5),MONTH(AD5)+3,DAY(AD5))</f>
        <v>45930.0</v>
      </c>
      <c r="AF5" s="10">
        <f>DATE(YEAR(AE5),MONTH(AE5)+3,DAY(AE5))+1</f>
        <v>46022.0</v>
      </c>
      <c r="AG5" s="8">
        <f>AF5</f>
        <v>46022.0</v>
      </c>
      <c r="AH5" s="10">
        <f>DATE(YEAR(AG5),MONTH(AG5)+3,DAY(AG5))</f>
        <v>46112.0</v>
      </c>
      <c r="AI5" s="10">
        <f>DATE(YEAR(AH5),MONTH(AH5)+3,DAY(AH5))-1</f>
        <v>46203.0</v>
      </c>
      <c r="AJ5" s="10">
        <f>DATE(YEAR(AI5),MONTH(AI5)+3,DAY(AI5))</f>
        <v>46295.0</v>
      </c>
      <c r="AK5" s="10">
        <f>DATE(YEAR(AJ5),MONTH(AJ5)+3,DAY(AJ5))+1</f>
        <v>46387.0</v>
      </c>
      <c r="AL5" s="8">
        <f>AK5</f>
        <v>46387.0</v>
      </c>
      <c r="AM5" s="10">
        <f>DATE(YEAR(AL5),MONTH(AL5)+3,DAY(AL5))</f>
        <v>46477.0</v>
      </c>
      <c r="AN5" s="10">
        <f>DATE(YEAR(AM5),MONTH(AM5)+3,DAY(AM5))-1</f>
        <v>46568.0</v>
      </c>
      <c r="AO5" s="10">
        <f>DATE(YEAR(AN5),MONTH(AN5)+3,DAY(AN5))</f>
        <v>46660.0</v>
      </c>
      <c r="AP5" s="10">
        <f>DATE(YEAR(AO5),MONTH(AO5)+3,DAY(AO5))+1</f>
        <v>46752.0</v>
      </c>
      <c r="AQ5" s="8">
        <f>AP5</f>
        <v>46752.0</v>
      </c>
      <c r="AR5" s="10">
        <f>DATE(YEAR(AQ5),MONTH(AQ5)+3,DAY(AQ5))</f>
        <v>46843.0</v>
      </c>
      <c r="AS5" s="10">
        <f>DATE(YEAR(AR5),MONTH(AR5)+3,DAY(AR5))-1</f>
        <v>46934.0</v>
      </c>
      <c r="AT5" s="10">
        <f>DATE(YEAR(AS5),MONTH(AS5)+3,DAY(AS5))</f>
        <v>47026.0</v>
      </c>
      <c r="AU5" s="10">
        <f>DATE(YEAR(AT5),MONTH(AT5)+3,DAY(AT5))+1</f>
        <v>47118.0</v>
      </c>
      <c r="AV5" s="8">
        <f>AU5</f>
        <v>47118.0</v>
      </c>
      <c r="AW5" s="10">
        <f>DATE(YEAR(AV5),MONTH(AV5)+3,DAY(AV5))</f>
        <v>47208.0</v>
      </c>
      <c r="AX5" s="10">
        <f>DATE(YEAR(AW5),MONTH(AW5)+3,DAY(AW5))-1</f>
        <v>47299.0</v>
      </c>
      <c r="AY5" s="10">
        <f>DATE(YEAR(AX5),MONTH(AX5)+3,DAY(AX5))</f>
        <v>47391.0</v>
      </c>
      <c r="AZ5" s="10">
        <f>DATE(YEAR(AY5),MONTH(AY5)+3,DAY(AY5))+1</f>
        <v>47483.0</v>
      </c>
      <c r="BA5" s="8">
        <f>AZ5</f>
        <v>47483.0</v>
      </c>
      <c r="BB5" s="10">
        <f>DATE(YEAR(BA5),MONTH(BA5)+3,DAY(BA5))</f>
        <v>47573.0</v>
      </c>
      <c r="BC5" s="10">
        <f>DATE(YEAR(BB5),MONTH(BB5)+3,DAY(BB5))-1</f>
        <v>47664.0</v>
      </c>
      <c r="BD5" s="10">
        <f>DATE(YEAR(BC5),MONTH(BC5)+3,DAY(BC5))</f>
        <v>47756.0</v>
      </c>
      <c r="BE5" s="10">
        <f>DATE(YEAR(BD5),MONTH(BD5)+3,DAY(BD5))+1</f>
        <v>47848.0</v>
      </c>
      <c r="BF5" s="8">
        <f>BE5</f>
        <v>47848.0</v>
      </c>
      <c r="BG5" s="10">
        <f>DATE(YEAR(BF5),MONTH(BF5)+3,DAY(BF5))</f>
        <v>47938.0</v>
      </c>
      <c r="BH5" s="10">
        <f>DATE(YEAR(BG5),MONTH(BG5)+3,DAY(BG5))-1</f>
        <v>48029.0</v>
      </c>
      <c r="BI5" s="10">
        <f>DATE(YEAR(BH5),MONTH(BH5)+3,DAY(BH5))</f>
        <v>48121.0</v>
      </c>
      <c r="BJ5" s="10">
        <f>DATE(YEAR(BI5),MONTH(BI5)+3,DAY(BI5))+1</f>
        <v>48213.0</v>
      </c>
      <c r="BK5" s="8">
        <f>BJ5</f>
        <v>48213.0</v>
      </c>
      <c r="BL5" s="10">
        <f>DATE(YEAR(BK5),MONTH(BK5)+3,DAY(BK5))</f>
        <v>48304.0</v>
      </c>
      <c r="BM5" s="10">
        <f>DATE(YEAR(BL5),MONTH(BL5)+3,DAY(BL5))-1</f>
        <v>48395.0</v>
      </c>
      <c r="BN5" s="10">
        <f>DATE(YEAR(BM5),MONTH(BM5)+3,DAY(BM5))</f>
        <v>48487.0</v>
      </c>
      <c r="BO5" s="10">
        <f>DATE(YEAR(BN5),MONTH(BN5)+3,DAY(BN5))+1</f>
        <v>48579.0</v>
      </c>
      <c r="BP5" s="8">
        <f>BO5</f>
        <v>48579.0</v>
      </c>
      <c r="BQ5" s="10">
        <f>DATE(YEAR(BP5),MONTH(BP5)+3,DAY(BP5))</f>
        <v>48669.0</v>
      </c>
      <c r="BR5" s="10">
        <f>DATE(YEAR(BQ5),MONTH(BQ5)+3,DAY(BQ5))-1</f>
        <v>48760.0</v>
      </c>
      <c r="BS5" s="10">
        <f>DATE(YEAR(BR5),MONTH(BR5)+3,DAY(BR5))</f>
        <v>48852.0</v>
      </c>
      <c r="BT5" s="10">
        <f>DATE(YEAR(BS5),MONTH(BS5)+3,DAY(BS5))+1</f>
        <v>48944.0</v>
      </c>
      <c r="BU5" s="8">
        <f>BT5</f>
        <v>48944.0</v>
      </c>
      <c r="BV5" s="10">
        <f>DATE(YEAR(BU5),MONTH(BU5)+3,DAY(BU5))</f>
        <v>49034.0</v>
      </c>
      <c r="BW5" s="10">
        <f>DATE(YEAR(BV5),MONTH(BV5)+3,DAY(BV5))-1</f>
        <v>49125.0</v>
      </c>
      <c r="BX5" s="10">
        <f>DATE(YEAR(BW5),MONTH(BW5)+3,DAY(BW5))</f>
        <v>49217.0</v>
      </c>
      <c r="BY5" s="10">
        <f>DATE(YEAR(BX5),MONTH(BX5)+3,DAY(BX5))+1</f>
        <v>49309.0</v>
      </c>
      <c r="BZ5" s="8">
        <f>BY5</f>
        <v>49309.0</v>
      </c>
      <c r="CA5" s="10">
        <f>DATE(YEAR(BZ5),MONTH(BZ5)+3,DAY(BZ5))</f>
        <v>49399.0</v>
      </c>
      <c r="CB5" s="10">
        <f>DATE(YEAR(CA5),MONTH(CA5)+3,DAY(CA5))-1</f>
        <v>49490.0</v>
      </c>
      <c r="CC5" s="10">
        <f>DATE(YEAR(CB5),MONTH(CB5)+3,DAY(CB5))</f>
        <v>49582.0</v>
      </c>
      <c r="CD5" s="10">
        <f>DATE(YEAR(CC5),MONTH(CC5)+3,DAY(CC5))+1</f>
        <v>49674.0</v>
      </c>
      <c r="CE5" s="8">
        <f>CD5</f>
        <v>49674.0</v>
      </c>
      <c r="CF5" s="10">
        <f>DATE(YEAR(CE5),MONTH(CE5)+3,DAY(CE5))</f>
        <v>49765.0</v>
      </c>
      <c r="CG5" s="10">
        <f>DATE(YEAR(CF5),MONTH(CF5)+3,DAY(CF5))-1</f>
        <v>49856.0</v>
      </c>
      <c r="CH5" s="10">
        <f>DATE(YEAR(CG5),MONTH(CG5)+3,DAY(CG5))</f>
        <v>49948.0</v>
      </c>
      <c r="CI5" s="10">
        <f>DATE(YEAR(CH5),MONTH(CH5)+3,DAY(CH5))+1</f>
        <v>50040.0</v>
      </c>
      <c r="CJ5" s="8">
        <f>CI5</f>
        <v>50040.0</v>
      </c>
      <c r="CK5" s="10">
        <f>DATE(YEAR(CJ5),MONTH(CJ5)+3,DAY(CJ5))</f>
        <v>50130.0</v>
      </c>
      <c r="CL5" s="10">
        <f>DATE(YEAR(CK5),MONTH(CK5)+3,DAY(CK5))-1</f>
        <v>50221.0</v>
      </c>
      <c r="CM5" s="10">
        <f>DATE(YEAR(CL5),MONTH(CL5)+3,DAY(CL5))</f>
        <v>50313.0</v>
      </c>
      <c r="CN5" s="10">
        <f>DATE(YEAR(CM5),MONTH(CM5)+3,DAY(CM5))+1</f>
        <v>50405.0</v>
      </c>
      <c r="CO5" s="8">
        <f>CN5</f>
        <v>50405.0</v>
      </c>
      <c r="CP5" s="10">
        <f>DATE(YEAR(CO5),MONTH(CO5)+3,DAY(CO5))</f>
        <v>50495.0</v>
      </c>
      <c r="CQ5" s="10">
        <f>DATE(YEAR(CP5),MONTH(CP5)+3,DAY(CP5))-1</f>
        <v>50586.0</v>
      </c>
      <c r="CR5" s="10">
        <f>DATE(YEAR(CQ5),MONTH(CQ5)+3,DAY(CQ5))</f>
        <v>50678.0</v>
      </c>
      <c r="CS5" s="10">
        <f>DATE(YEAR(CR5),MONTH(CR5)+3,DAY(CR5))+1</f>
        <v>50770.0</v>
      </c>
      <c r="CT5" s="8">
        <f>CS5</f>
        <v>50770.0</v>
      </c>
      <c r="CU5" s="10">
        <f>DATE(YEAR(CT5),MONTH(CT5)+3,DAY(CT5))</f>
        <v>50860.0</v>
      </c>
      <c r="CV5" s="10">
        <f>DATE(YEAR(CU5),MONTH(CU5)+3,DAY(CU5))-1</f>
        <v>50951.0</v>
      </c>
      <c r="CW5" s="10">
        <f>DATE(YEAR(CV5),MONTH(CV5)+3,DAY(CV5))</f>
        <v>51043.0</v>
      </c>
      <c r="CX5" s="10">
        <f>DATE(YEAR(CW5),MONTH(CW5)+3,DAY(CW5))+1</f>
        <v>51135.0</v>
      </c>
      <c r="CY5" s="8">
        <f>CX5</f>
        <v>51135.0</v>
      </c>
    </row>
    <row r="6">
      <c r="B6" s="49" t="n"/>
      <c r="D6" s="11">
        <f>YEAR(D5)</f>
        <v>2020</v>
      </c>
      <c r="E6" s="11">
        <f>YEAR(E5)</f>
        <v>2020</v>
      </c>
      <c r="F6" s="11">
        <f>YEAR(F5)</f>
        <v>2020</v>
      </c>
      <c r="G6" s="11">
        <f>YEAR(G5)</f>
        <v>2020</v>
      </c>
      <c r="H6" s="11">
        <f>YEAR(H5)</f>
        <v>2020</v>
      </c>
      <c r="I6" s="11">
        <f>YEAR(I5)</f>
        <v>2021</v>
      </c>
      <c r="J6" s="11">
        <f>YEAR(J5)</f>
        <v>2021</v>
      </c>
      <c r="K6" s="11">
        <f>YEAR(K5)</f>
        <v>2021</v>
      </c>
      <c r="L6" s="11">
        <f>YEAR(L5)</f>
        <v>2021</v>
      </c>
      <c r="M6" s="11">
        <f>YEAR(M5)</f>
        <v>2021</v>
      </c>
      <c r="N6" s="11">
        <f>YEAR(N5)</f>
        <v>2022</v>
      </c>
      <c r="O6" s="11">
        <f>YEAR(O5)</f>
        <v>2022</v>
      </c>
      <c r="P6" s="11">
        <f>YEAR(P5)</f>
        <v>2022</v>
      </c>
      <c r="Q6" s="11">
        <f>YEAR(Q5)</f>
        <v>2022</v>
      </c>
      <c r="R6" s="11">
        <f>YEAR(R5)</f>
        <v>2022</v>
      </c>
      <c r="S6" s="11">
        <f>YEAR(S5)</f>
        <v>2023</v>
      </c>
      <c r="T6" s="11">
        <f>YEAR(T5)</f>
        <v>2023</v>
      </c>
      <c r="U6" s="11">
        <f>YEAR(U5)</f>
        <v>2023</v>
      </c>
      <c r="V6" s="11">
        <f>YEAR(V5)</f>
        <v>2023</v>
      </c>
      <c r="W6" s="11">
        <f>YEAR(W5)</f>
        <v>2023</v>
      </c>
      <c r="X6" s="11">
        <f>YEAR(X5)</f>
        <v>2024</v>
      </c>
      <c r="Y6" s="11">
        <f>YEAR(Y5)</f>
        <v>2024</v>
      </c>
      <c r="Z6" s="11">
        <f>YEAR(Z5)</f>
        <v>2024</v>
      </c>
      <c r="AA6" s="11">
        <f>YEAR(AA5)</f>
        <v>2024</v>
      </c>
      <c r="AB6" s="11">
        <f>YEAR(AB5)</f>
        <v>2024</v>
      </c>
      <c r="AC6" s="11">
        <f>YEAR(AC5)</f>
        <v>2025</v>
      </c>
      <c r="AD6" s="11">
        <f>YEAR(AD5)</f>
        <v>2025</v>
      </c>
      <c r="AE6" s="11">
        <f>YEAR(AE5)</f>
        <v>2025</v>
      </c>
      <c r="AF6" s="11">
        <f>YEAR(AF5)</f>
        <v>2025</v>
      </c>
      <c r="AG6" s="11">
        <f>YEAR(AG5)</f>
        <v>2025</v>
      </c>
      <c r="AH6" s="11">
        <f>YEAR(AH5)</f>
        <v>2026</v>
      </c>
      <c r="AI6" s="11">
        <f>YEAR(AI5)</f>
        <v>2026</v>
      </c>
      <c r="AJ6" s="11">
        <f>YEAR(AJ5)</f>
        <v>2026</v>
      </c>
      <c r="AK6" s="11">
        <f>YEAR(AK5)</f>
        <v>2026</v>
      </c>
      <c r="AL6" s="11">
        <f>YEAR(AL5)</f>
        <v>2026</v>
      </c>
      <c r="AM6" s="11">
        <f>YEAR(AM5)</f>
        <v>2027</v>
      </c>
      <c r="AN6" s="11">
        <f>YEAR(AN5)</f>
        <v>2027</v>
      </c>
      <c r="AO6" s="11">
        <f>YEAR(AO5)</f>
        <v>2027</v>
      </c>
      <c r="AP6" s="11">
        <f>YEAR(AP5)</f>
        <v>2027</v>
      </c>
      <c r="AQ6" s="11">
        <f>YEAR(AQ5)</f>
        <v>2027</v>
      </c>
      <c r="AR6" s="11">
        <f>YEAR(AR5)</f>
        <v>2028</v>
      </c>
      <c r="AS6" s="11">
        <f>YEAR(AS5)</f>
        <v>2028</v>
      </c>
      <c r="AT6" s="11">
        <f>YEAR(AT5)</f>
        <v>2028</v>
      </c>
      <c r="AU6" s="11">
        <f>YEAR(AU5)</f>
        <v>2028</v>
      </c>
      <c r="AV6" s="11">
        <f>YEAR(AV5)</f>
        <v>2028</v>
      </c>
      <c r="AW6" s="11">
        <f>YEAR(AW5)</f>
        <v>2029</v>
      </c>
      <c r="AX6" s="11">
        <f>YEAR(AX5)</f>
        <v>2029</v>
      </c>
      <c r="AY6" s="11">
        <f>YEAR(AY5)</f>
        <v>2029</v>
      </c>
      <c r="AZ6" s="11">
        <f>YEAR(AZ5)</f>
        <v>2029</v>
      </c>
      <c r="BA6" s="11">
        <f>YEAR(BA5)</f>
        <v>2029</v>
      </c>
      <c r="BB6" s="11">
        <f>YEAR(BB5)</f>
        <v>2030</v>
      </c>
      <c r="BC6" s="11">
        <f>YEAR(BC5)</f>
        <v>2030</v>
      </c>
      <c r="BD6" s="11">
        <f>YEAR(BD5)</f>
        <v>2030</v>
      </c>
      <c r="BE6" s="11">
        <f>YEAR(BE5)</f>
        <v>2030</v>
      </c>
      <c r="BF6" s="11">
        <f>YEAR(BF5)</f>
        <v>2030</v>
      </c>
      <c r="BG6" s="11">
        <f>YEAR(BG5)</f>
        <v>2031</v>
      </c>
      <c r="BH6" s="11">
        <f>YEAR(BH5)</f>
        <v>2031</v>
      </c>
      <c r="BI6" s="11">
        <f>YEAR(BI5)</f>
        <v>2031</v>
      </c>
      <c r="BJ6" s="11">
        <f>YEAR(BJ5)</f>
        <v>2031</v>
      </c>
      <c r="BK6" s="11">
        <f>YEAR(BK5)</f>
        <v>2031</v>
      </c>
      <c r="BL6" s="11">
        <f>YEAR(BL5)</f>
        <v>2032</v>
      </c>
      <c r="BM6" s="11">
        <f>YEAR(BM5)</f>
        <v>2032</v>
      </c>
      <c r="BN6" s="11">
        <f>YEAR(BN5)</f>
        <v>2032</v>
      </c>
      <c r="BO6" s="11">
        <f>YEAR(BO5)</f>
        <v>2032</v>
      </c>
      <c r="BP6" s="11">
        <f>YEAR(BP5)</f>
        <v>2032</v>
      </c>
      <c r="BQ6" s="11">
        <f>YEAR(BQ5)</f>
        <v>2033</v>
      </c>
      <c r="BR6" s="11">
        <f>YEAR(BR5)</f>
        <v>2033</v>
      </c>
      <c r="BS6" s="11">
        <f>YEAR(BS5)</f>
        <v>2033</v>
      </c>
      <c r="BT6" s="11">
        <f>YEAR(BT5)</f>
        <v>2033</v>
      </c>
      <c r="BU6" s="11">
        <f>YEAR(BU5)</f>
        <v>2033</v>
      </c>
      <c r="BV6" s="11">
        <f>YEAR(BV5)</f>
        <v>2034</v>
      </c>
      <c r="BW6" s="11">
        <f>YEAR(BW5)</f>
        <v>2034</v>
      </c>
      <c r="BX6" s="11">
        <f>YEAR(BX5)</f>
        <v>2034</v>
      </c>
      <c r="BY6" s="11">
        <f>YEAR(BY5)</f>
        <v>2034</v>
      </c>
      <c r="BZ6" s="11">
        <f>YEAR(BZ5)</f>
        <v>2034</v>
      </c>
      <c r="CA6" s="11">
        <f>YEAR(CA5)</f>
        <v>2035</v>
      </c>
      <c r="CB6" s="11">
        <f>YEAR(CB5)</f>
        <v>2035</v>
      </c>
      <c r="CC6" s="11">
        <f>YEAR(CC5)</f>
        <v>2035</v>
      </c>
      <c r="CD6" s="11">
        <f>YEAR(CD5)</f>
        <v>2035</v>
      </c>
      <c r="CE6" s="11">
        <f>YEAR(CE5)</f>
        <v>2035</v>
      </c>
      <c r="CF6" s="11">
        <f>YEAR(CF5)</f>
        <v>2036</v>
      </c>
      <c r="CG6" s="11">
        <f>YEAR(CG5)</f>
        <v>2036</v>
      </c>
      <c r="CH6" s="11">
        <f>YEAR(CH5)</f>
        <v>2036</v>
      </c>
      <c r="CI6" s="11">
        <f>YEAR(CI5)</f>
        <v>2036</v>
      </c>
      <c r="CJ6" s="11">
        <f>YEAR(CJ5)</f>
        <v>2036</v>
      </c>
      <c r="CK6" s="11">
        <f>YEAR(CK5)</f>
        <v>2037</v>
      </c>
      <c r="CL6" s="11">
        <f>YEAR(CL5)</f>
        <v>2037</v>
      </c>
      <c r="CM6" s="11">
        <f>YEAR(CM5)</f>
        <v>2037</v>
      </c>
      <c r="CN6" s="11">
        <f>YEAR(CN5)</f>
        <v>2037</v>
      </c>
      <c r="CO6" s="11">
        <f>YEAR(CO5)</f>
        <v>2037</v>
      </c>
      <c r="CP6" s="11">
        <f>YEAR(CP5)</f>
        <v>2038</v>
      </c>
      <c r="CQ6" s="11">
        <f>YEAR(CQ5)</f>
        <v>2038</v>
      </c>
      <c r="CR6" s="11">
        <f>YEAR(CR5)</f>
        <v>2038</v>
      </c>
      <c r="CS6" s="11">
        <f>YEAR(CS5)</f>
        <v>2038</v>
      </c>
      <c r="CT6" s="11">
        <f>YEAR(CT5)</f>
        <v>2038</v>
      </c>
      <c r="CU6" s="11">
        <f>YEAR(CU5)</f>
        <v>2039</v>
      </c>
      <c r="CV6" s="11">
        <f>YEAR(CV5)</f>
        <v>2039</v>
      </c>
      <c r="CW6" s="11">
        <f>YEAR(CW5)</f>
        <v>2039</v>
      </c>
      <c r="CX6" s="11">
        <f>YEAR(CX5)</f>
        <v>2039</v>
      </c>
      <c r="CY6" s="11">
        <f>YEAR(CY5)</f>
        <v>2039</v>
      </c>
    </row>
    <row r="7">
      <c r="B7" s="4" t="n"/>
      <c r="D7" s="50" t="str">
        <f>"1Q"&amp;RIGHT(D6,2)</f>
        <v>1Q20</v>
      </c>
      <c r="E7" s="50" t="str">
        <f>"2Q"&amp;RIGHT(E6,2)</f>
        <v>2Q20</v>
      </c>
      <c r="F7" s="50" t="str">
        <f>"3Q"&amp;RIGHT(F6,2)</f>
        <v>3Q20</v>
      </c>
      <c r="G7" s="50" t="str">
        <f>"4Q"&amp;RIGHT(G6,2)</f>
        <v>4Q20</v>
      </c>
      <c r="H7" s="31" t="n">
        <v>2020</v>
      </c>
      <c r="I7" s="50" t="str">
        <f>"1Q"&amp;RIGHT(I6,2)</f>
        <v>1Q21</v>
      </c>
      <c r="J7" s="50" t="str">
        <f>"2Q"&amp;RIGHT(J6,2)</f>
        <v>2Q21</v>
      </c>
      <c r="K7" s="50" t="str">
        <f>"3Q"&amp;RIGHT(K6,2)</f>
        <v>3Q21</v>
      </c>
      <c r="L7" s="50" t="str">
        <f>"4Q"&amp;RIGHT(L6,2)</f>
        <v>4Q21</v>
      </c>
      <c r="M7" s="31">
        <f>H7+1</f>
        <v>2021</v>
      </c>
      <c r="N7" s="50" t="str">
        <f>"1Q"&amp;RIGHT(N6,2)</f>
        <v>1Q22</v>
      </c>
      <c r="O7" s="50" t="str">
        <f>"2Q"&amp;RIGHT(O6,2)</f>
        <v>2Q22</v>
      </c>
      <c r="P7" s="50" t="str">
        <f>"3Q"&amp;RIGHT(P6,2)</f>
        <v>3Q22</v>
      </c>
      <c r="Q7" s="50" t="str">
        <f>"4Q"&amp;RIGHT(Q6,2)</f>
        <v>4Q22</v>
      </c>
      <c r="R7" s="31">
        <f>M7+1</f>
        <v>2022</v>
      </c>
      <c r="S7" s="50" t="str">
        <f>"1Q"&amp;RIGHT(S6,2)</f>
        <v>1Q23</v>
      </c>
      <c r="T7" s="50" t="str">
        <f>"2Q"&amp;RIGHT(T6,2)</f>
        <v>2Q23</v>
      </c>
      <c r="U7" s="50" t="str">
        <f>"3Q"&amp;RIGHT(U6,2)</f>
        <v>3Q23</v>
      </c>
      <c r="V7" s="50" t="str">
        <f>"4Q"&amp;RIGHT(V6,2)</f>
        <v>4Q23</v>
      </c>
      <c r="W7" s="31">
        <f>R7+1</f>
        <v>2023</v>
      </c>
      <c r="X7" s="50" t="str">
        <f>"1Q"&amp;RIGHT(X6,2)</f>
        <v>1Q24</v>
      </c>
      <c r="Y7" s="50" t="str">
        <f>"2Q"&amp;RIGHT(Y6,2)</f>
        <v>2Q24</v>
      </c>
      <c r="Z7" s="50" t="str">
        <f>"3Q"&amp;RIGHT(Z6,2)</f>
        <v>3Q24</v>
      </c>
      <c r="AA7" s="50" t="str">
        <f>"4Q"&amp;RIGHT(AA6,2)</f>
        <v>4Q24</v>
      </c>
      <c r="AB7" s="31">
        <f>W7+1</f>
        <v>2024</v>
      </c>
      <c r="AC7" s="50" t="str">
        <f>"1Q"&amp;RIGHT(AC6,2)</f>
        <v>1Q25</v>
      </c>
      <c r="AD7" s="50" t="str">
        <f>"2Q"&amp;RIGHT(AD6,2)</f>
        <v>2Q25</v>
      </c>
      <c r="AE7" s="50" t="str">
        <f>"3Q"&amp;RIGHT(AE6,2)</f>
        <v>3Q25</v>
      </c>
      <c r="AF7" s="50" t="str">
        <f>"4Q"&amp;RIGHT(AF6,2)</f>
        <v>4Q25</v>
      </c>
      <c r="AG7" s="31">
        <f>AB7+1</f>
        <v>2025</v>
      </c>
      <c r="AH7" s="50" t="str">
        <f>"1Q"&amp;RIGHT(AH6,2)</f>
        <v>1Q26</v>
      </c>
      <c r="AI7" s="50" t="str">
        <f>"2Q"&amp;RIGHT(AI6,2)</f>
        <v>2Q26</v>
      </c>
      <c r="AJ7" s="50" t="str">
        <f>"3Q"&amp;RIGHT(AJ6,2)</f>
        <v>3Q26</v>
      </c>
      <c r="AK7" s="50" t="str">
        <f>"4Q"&amp;RIGHT(AK6,2)</f>
        <v>4Q26</v>
      </c>
      <c r="AL7" s="31">
        <f>AG7+1</f>
        <v>2026</v>
      </c>
      <c r="AM7" s="50" t="str">
        <f>"1Q"&amp;RIGHT(AM6,2)</f>
        <v>1Q27</v>
      </c>
      <c r="AN7" s="50" t="str">
        <f>"2Q"&amp;RIGHT(AN6,2)</f>
        <v>2Q27</v>
      </c>
      <c r="AO7" s="50" t="str">
        <f>"3Q"&amp;RIGHT(AO6,2)</f>
        <v>3Q27</v>
      </c>
      <c r="AP7" s="50" t="str">
        <f>"4Q"&amp;RIGHT(AP6,2)</f>
        <v>4Q27</v>
      </c>
      <c r="AQ7" s="31">
        <f>AL7+1</f>
        <v>2027</v>
      </c>
      <c r="AR7" s="50" t="str">
        <f>"1Q"&amp;RIGHT(AR6,2)</f>
        <v>1Q28</v>
      </c>
      <c r="AS7" s="50" t="str">
        <f>"2Q"&amp;RIGHT(AS6,2)</f>
        <v>2Q28</v>
      </c>
      <c r="AT7" s="50" t="str">
        <f>"3Q"&amp;RIGHT(AT6,2)</f>
        <v>3Q28</v>
      </c>
      <c r="AU7" s="50" t="str">
        <f>"4Q"&amp;RIGHT(AU6,2)</f>
        <v>4Q28</v>
      </c>
      <c r="AV7" s="31">
        <f>AQ7+1</f>
        <v>2028</v>
      </c>
      <c r="AW7" s="50" t="str">
        <f>"1Q"&amp;RIGHT(AW6,2)</f>
        <v>1Q29</v>
      </c>
      <c r="AX7" s="50" t="str">
        <f>"2Q"&amp;RIGHT(AX6,2)</f>
        <v>2Q29</v>
      </c>
      <c r="AY7" s="50" t="str">
        <f>"3Q"&amp;RIGHT(AY6,2)</f>
        <v>3Q29</v>
      </c>
      <c r="AZ7" s="50" t="str">
        <f>"4Q"&amp;RIGHT(AZ6,2)</f>
        <v>4Q29</v>
      </c>
      <c r="BA7" s="31">
        <f>AV7+1</f>
        <v>2029</v>
      </c>
      <c r="BB7" s="50" t="str">
        <f>"1Q"&amp;RIGHT(BB6,2)</f>
        <v>1Q30</v>
      </c>
      <c r="BC7" s="50" t="str">
        <f>"2Q"&amp;RIGHT(BC6,2)</f>
        <v>2Q30</v>
      </c>
      <c r="BD7" s="50" t="str">
        <f>"3Q"&amp;RIGHT(BD6,2)</f>
        <v>3Q30</v>
      </c>
      <c r="BE7" s="50" t="str">
        <f>"4Q"&amp;RIGHT(BE6,2)</f>
        <v>4Q30</v>
      </c>
      <c r="BF7" s="31">
        <f>BA7+1</f>
        <v>2030</v>
      </c>
      <c r="BG7" s="50" t="str">
        <f>"1Q"&amp;RIGHT(BG6,2)</f>
        <v>1Q31</v>
      </c>
      <c r="BH7" s="50" t="str">
        <f>"2Q"&amp;RIGHT(BH6,2)</f>
        <v>2Q31</v>
      </c>
      <c r="BI7" s="50" t="str">
        <f>"3Q"&amp;RIGHT(BI6,2)</f>
        <v>3Q31</v>
      </c>
      <c r="BJ7" s="50" t="str">
        <f>"4Q"&amp;RIGHT(BJ6,2)</f>
        <v>4Q31</v>
      </c>
      <c r="BK7" s="31">
        <f>BF7+1</f>
        <v>2031</v>
      </c>
      <c r="BL7" s="50" t="str">
        <f>"1Q"&amp;RIGHT(BL6,2)</f>
        <v>1Q32</v>
      </c>
      <c r="BM7" s="50" t="str">
        <f>"2Q"&amp;RIGHT(BM6,2)</f>
        <v>2Q32</v>
      </c>
      <c r="BN7" s="50" t="str">
        <f>"3Q"&amp;RIGHT(BN6,2)</f>
        <v>3Q32</v>
      </c>
      <c r="BO7" s="50" t="str">
        <f>"4Q"&amp;RIGHT(BO6,2)</f>
        <v>4Q32</v>
      </c>
      <c r="BP7" s="31">
        <f>BK7+1</f>
        <v>2032</v>
      </c>
      <c r="BQ7" s="50" t="str">
        <f>"1Q"&amp;RIGHT(BQ6,2)</f>
        <v>1Q33</v>
      </c>
      <c r="BR7" s="50" t="str">
        <f>"2Q"&amp;RIGHT(BR6,2)</f>
        <v>2Q33</v>
      </c>
      <c r="BS7" s="50" t="str">
        <f>"3Q"&amp;RIGHT(BS6,2)</f>
        <v>3Q33</v>
      </c>
      <c r="BT7" s="50" t="str">
        <f>"4Q"&amp;RIGHT(BT6,2)</f>
        <v>4Q33</v>
      </c>
      <c r="BU7" s="31">
        <f>BP7+1</f>
        <v>2033</v>
      </c>
      <c r="BV7" s="50" t="str">
        <f>"1Q"&amp;RIGHT(BV6,2)</f>
        <v>1Q34</v>
      </c>
      <c r="BW7" s="50" t="str">
        <f>"2Q"&amp;RIGHT(BW6,2)</f>
        <v>2Q34</v>
      </c>
      <c r="BX7" s="50" t="str">
        <f>"3Q"&amp;RIGHT(BX6,2)</f>
        <v>3Q34</v>
      </c>
      <c r="BY7" s="50" t="str">
        <f>"4Q"&amp;RIGHT(BY6,2)</f>
        <v>4Q34</v>
      </c>
      <c r="BZ7" s="31">
        <f>BU7+1</f>
        <v>2034</v>
      </c>
      <c r="CA7" s="50" t="str">
        <f>"1Q"&amp;RIGHT(CA6,2)</f>
        <v>1Q35</v>
      </c>
      <c r="CB7" s="50" t="str">
        <f>"2Q"&amp;RIGHT(CB6,2)</f>
        <v>2Q35</v>
      </c>
      <c r="CC7" s="50" t="str">
        <f>"3Q"&amp;RIGHT(CC6,2)</f>
        <v>3Q35</v>
      </c>
      <c r="CD7" s="50" t="str">
        <f>"4Q"&amp;RIGHT(CD6,2)</f>
        <v>4Q35</v>
      </c>
      <c r="CE7" s="31">
        <f>BZ7+1</f>
        <v>2035</v>
      </c>
      <c r="CF7" s="50" t="str">
        <f>"1Q"&amp;RIGHT(CF6,2)</f>
        <v>1Q36</v>
      </c>
      <c r="CG7" s="50" t="str">
        <f>"2Q"&amp;RIGHT(CG6,2)</f>
        <v>2Q36</v>
      </c>
      <c r="CH7" s="50" t="str">
        <f>"3Q"&amp;RIGHT(CH6,2)</f>
        <v>3Q36</v>
      </c>
      <c r="CI7" s="50" t="str">
        <f>"4Q"&amp;RIGHT(CI6,2)</f>
        <v>4Q36</v>
      </c>
      <c r="CJ7" s="31">
        <f>CE7+1</f>
        <v>2036</v>
      </c>
      <c r="CK7" s="50" t="str">
        <f>"1Q"&amp;RIGHT(CK6,2)</f>
        <v>1Q37</v>
      </c>
      <c r="CL7" s="50" t="str">
        <f>"2Q"&amp;RIGHT(CL6,2)</f>
        <v>2Q37</v>
      </c>
      <c r="CM7" s="50" t="str">
        <f>"3Q"&amp;RIGHT(CM6,2)</f>
        <v>3Q37</v>
      </c>
      <c r="CN7" s="50" t="str">
        <f>"4Q"&amp;RIGHT(CN6,2)</f>
        <v>4Q37</v>
      </c>
      <c r="CO7" s="31">
        <f>CJ7+1</f>
        <v>2037</v>
      </c>
      <c r="CP7" s="50" t="str">
        <f>"1Q"&amp;RIGHT(CP6,2)</f>
        <v>1Q38</v>
      </c>
      <c r="CQ7" s="50" t="str">
        <f>"2Q"&amp;RIGHT(CQ6,2)</f>
        <v>2Q38</v>
      </c>
      <c r="CR7" s="50" t="str">
        <f>"3Q"&amp;RIGHT(CR6,2)</f>
        <v>3Q38</v>
      </c>
      <c r="CS7" s="50" t="str">
        <f>"4Q"&amp;RIGHT(CS6,2)</f>
        <v>4Q38</v>
      </c>
      <c r="CT7" s="31">
        <f>CO7+1</f>
        <v>2038</v>
      </c>
      <c r="CU7" s="50" t="str">
        <f>"1Q"&amp;RIGHT(CU6,2)</f>
        <v>1Q39</v>
      </c>
      <c r="CV7" s="50" t="str">
        <f>"2Q"&amp;RIGHT(CV6,2)</f>
        <v>2Q39</v>
      </c>
      <c r="CW7" s="50" t="str">
        <f>"3Q"&amp;RIGHT(CW6,2)</f>
        <v>3Q39</v>
      </c>
      <c r="CX7" s="50" t="str">
        <f>"4Q"&amp;RIGHT(CX6,2)</f>
        <v>4Q39</v>
      </c>
      <c r="CY7" s="31">
        <f>CT7+1</f>
        <v>2039</v>
      </c>
    </row>
    <row r="8">
      <c r="B8" s="4" t="n"/>
      <c r="C8" s="4" t="inlineStr">
        <is>
          <t>IPCA</t>
        </is>
      </c>
      <c r="D8" s="50" t="n"/>
      <c r="E8" s="50" t="n"/>
      <c r="F8" s="50" t="n"/>
      <c r="G8" s="50" t="n"/>
      <c r="H8" s="227" t="n">
        <v>0.0485</v>
      </c>
      <c r="I8" s="50" t="n"/>
      <c r="J8" s="50" t="n"/>
      <c r="K8" s="50" t="n"/>
      <c r="L8" s="50" t="n"/>
      <c r="M8" s="227" t="n">
        <v>0.1006</v>
      </c>
      <c r="N8" s="50" t="n"/>
      <c r="O8" s="50" t="n"/>
      <c r="P8" s="50" t="n"/>
      <c r="Q8" s="50" t="n"/>
      <c r="R8" s="227" t="n">
        <v>0.0579</v>
      </c>
      <c r="S8" s="50" t="n"/>
      <c r="T8" s="50" t="n"/>
      <c r="U8" s="50" t="n"/>
      <c r="V8" s="50" t="n"/>
      <c r="W8" s="227" t="n">
        <v>0.0468</v>
      </c>
      <c r="X8" s="50" t="n"/>
      <c r="Y8" s="50" t="n"/>
      <c r="Z8" s="50" t="n"/>
      <c r="AA8" s="50" t="n"/>
      <c r="AB8" s="227" t="n">
        <v>0.0483</v>
      </c>
      <c r="AC8" s="50" t="n"/>
      <c r="AD8" s="50" t="n"/>
      <c r="AE8" s="50" t="n"/>
      <c r="AF8" s="50" t="n"/>
      <c r="AG8" s="227" t="n">
        <v>0.0468</v>
      </c>
      <c r="AH8" s="50" t="n"/>
      <c r="AI8" s="50" t="n"/>
      <c r="AJ8" s="50" t="n"/>
      <c r="AK8" s="50" t="n"/>
      <c r="AL8" s="217" t="n"/>
      <c r="AM8" s="50" t="n"/>
      <c r="AN8" s="50" t="n"/>
      <c r="AO8" s="50" t="n"/>
      <c r="AP8" s="50" t="n"/>
      <c r="AQ8" s="217" t="n"/>
      <c r="AR8" s="50" t="n"/>
      <c r="AS8" s="50" t="n"/>
      <c r="AT8" s="50" t="n"/>
      <c r="AU8" s="50" t="n"/>
      <c r="AV8" s="217" t="n"/>
      <c r="AW8" s="50" t="n"/>
      <c r="AX8" s="50" t="n"/>
      <c r="AY8" s="50" t="n"/>
      <c r="AZ8" s="50" t="n"/>
      <c r="BA8" s="217" t="n"/>
      <c r="BB8" s="50" t="n"/>
      <c r="BC8" s="50" t="n"/>
      <c r="BD8" s="50" t="n"/>
      <c r="BE8" s="50" t="n"/>
      <c r="BF8" s="217" t="n"/>
      <c r="BG8" s="50" t="n"/>
      <c r="BH8" s="50" t="n"/>
      <c r="BI8" s="50" t="n"/>
      <c r="BJ8" s="50" t="n"/>
      <c r="BK8" s="217" t="n"/>
      <c r="BL8" s="50" t="n"/>
      <c r="BM8" s="50" t="n"/>
      <c r="BN8" s="50" t="n"/>
      <c r="BO8" s="50" t="n"/>
      <c r="BP8" s="217" t="n"/>
      <c r="BQ8" s="50" t="n"/>
      <c r="BR8" s="50" t="n"/>
      <c r="BS8" s="50" t="n"/>
      <c r="BT8" s="50" t="n"/>
      <c r="BU8" s="217" t="n"/>
      <c r="BV8" s="50" t="n"/>
      <c r="BW8" s="50" t="n"/>
      <c r="BX8" s="50" t="n"/>
      <c r="BY8" s="50" t="n"/>
      <c r="BZ8" s="217" t="n"/>
      <c r="CA8" s="50" t="n"/>
      <c r="CB8" s="50" t="n"/>
      <c r="CC8" s="50" t="n"/>
      <c r="CD8" s="50" t="n"/>
      <c r="CE8" s="217" t="n"/>
      <c r="CF8" s="50" t="n"/>
      <c r="CG8" s="50" t="n"/>
      <c r="CH8" s="50" t="n"/>
      <c r="CI8" s="50" t="n"/>
      <c r="CJ8" s="217" t="n"/>
      <c r="CK8" s="50" t="n"/>
      <c r="CL8" s="50" t="n"/>
      <c r="CM8" s="50" t="n"/>
      <c r="CN8" s="50" t="n"/>
      <c r="CO8" s="217" t="n"/>
      <c r="CP8" s="50" t="n"/>
      <c r="CQ8" s="50" t="n"/>
      <c r="CR8" s="50" t="n"/>
      <c r="CS8" s="50" t="n"/>
      <c r="CT8" s="217" t="n"/>
      <c r="CU8" s="50" t="n"/>
      <c r="CV8" s="50" t="n"/>
      <c r="CW8" s="50" t="n"/>
      <c r="CX8" s="50" t="n"/>
      <c r="CY8" s="217" t="n"/>
    </row>
    <row r="9">
      <c r="B9" s="4" t="n"/>
      <c r="C9" s="4" t="inlineStr">
        <is>
          <t>GDP BRAZIL</t>
        </is>
      </c>
      <c r="D9" s="50" t="n"/>
      <c r="E9" s="50" t="n"/>
      <c r="F9" s="50" t="n"/>
      <c r="G9" s="50" t="n"/>
      <c r="H9" s="228" t="n">
        <v>-0.046</v>
      </c>
      <c r="I9" s="50" t="n"/>
      <c r="J9" s="50" t="n"/>
      <c r="K9" s="50" t="n"/>
      <c r="L9" s="50" t="n"/>
      <c r="M9" s="228" t="n">
        <v>0.046</v>
      </c>
      <c r="N9" s="50" t="n"/>
      <c r="O9" s="50" t="n"/>
      <c r="P9" s="50" t="n"/>
      <c r="Q9" s="50" t="n"/>
      <c r="R9" s="228" t="n"/>
      <c r="S9" s="50" t="n"/>
      <c r="T9" s="50" t="n"/>
      <c r="U9" s="50" t="n"/>
      <c r="V9" s="50" t="n"/>
      <c r="W9" s="228" t="n"/>
      <c r="X9" s="50" t="n"/>
      <c r="Y9" s="50" t="n"/>
      <c r="Z9" s="50" t="n"/>
      <c r="AA9" s="50" t="n"/>
      <c r="AB9" s="228" t="n"/>
      <c r="AC9" s="50" t="n"/>
      <c r="AD9" s="50" t="n"/>
      <c r="AE9" s="50" t="n"/>
      <c r="AF9" s="50" t="n"/>
      <c r="AG9" s="228" t="n"/>
      <c r="AH9" s="50" t="n"/>
      <c r="AI9" s="50" t="n"/>
      <c r="AJ9" s="50" t="n"/>
      <c r="AK9" s="50" t="n"/>
      <c r="AL9" s="217" t="n"/>
      <c r="AM9" s="50" t="n"/>
      <c r="AN9" s="50" t="n"/>
      <c r="AO9" s="50" t="n"/>
      <c r="AP9" s="50" t="n"/>
      <c r="AQ9" s="217" t="n"/>
      <c r="AR9" s="50" t="n"/>
      <c r="AS9" s="50" t="n"/>
      <c r="AT9" s="50" t="n"/>
      <c r="AU9" s="50" t="n"/>
      <c r="AV9" s="217" t="n"/>
      <c r="AW9" s="50" t="n"/>
      <c r="AX9" s="50" t="n"/>
      <c r="AY9" s="50" t="n"/>
      <c r="AZ9" s="50" t="n"/>
      <c r="BA9" s="217" t="n"/>
      <c r="BB9" s="50" t="n"/>
      <c r="BC9" s="50" t="n"/>
      <c r="BD9" s="50" t="n"/>
      <c r="BE9" s="50" t="n"/>
      <c r="BF9" s="217" t="n"/>
      <c r="BG9" s="50" t="n"/>
      <c r="BH9" s="50" t="n"/>
      <c r="BI9" s="50" t="n"/>
      <c r="BJ9" s="50" t="n"/>
      <c r="BK9" s="217" t="n"/>
      <c r="BL9" s="50" t="n"/>
      <c r="BM9" s="50" t="n"/>
      <c r="BN9" s="50" t="n"/>
      <c r="BO9" s="50" t="n"/>
      <c r="BP9" s="217" t="n"/>
      <c r="BQ9" s="50" t="n"/>
      <c r="BR9" s="50" t="n"/>
      <c r="BS9" s="50" t="n"/>
      <c r="BT9" s="50" t="n"/>
      <c r="BU9" s="217" t="n"/>
      <c r="BV9" s="50" t="n"/>
      <c r="BW9" s="50" t="n"/>
      <c r="BX9" s="50" t="n"/>
      <c r="BY9" s="50" t="n"/>
      <c r="BZ9" s="217" t="n"/>
      <c r="CA9" s="50" t="n"/>
      <c r="CB9" s="50" t="n"/>
      <c r="CC9" s="50" t="n"/>
      <c r="CD9" s="50" t="n"/>
      <c r="CE9" s="217" t="n"/>
      <c r="CF9" s="50" t="n"/>
      <c r="CG9" s="50" t="n"/>
      <c r="CH9" s="50" t="n"/>
      <c r="CI9" s="50" t="n"/>
      <c r="CJ9" s="217" t="n"/>
      <c r="CK9" s="50" t="n"/>
      <c r="CL9" s="50" t="n"/>
      <c r="CM9" s="50" t="n"/>
      <c r="CN9" s="50" t="n"/>
      <c r="CO9" s="217" t="n"/>
      <c r="CP9" s="50" t="n"/>
      <c r="CQ9" s="50" t="n"/>
      <c r="CR9" s="50" t="n"/>
      <c r="CS9" s="50" t="n"/>
      <c r="CT9" s="217" t="n"/>
      <c r="CU9" s="50" t="n"/>
      <c r="CV9" s="50" t="n"/>
      <c r="CW9" s="50" t="n"/>
      <c r="CX9" s="50" t="n"/>
      <c r="CY9" s="217" t="n"/>
    </row>
    <row r="10">
      <c r="C10" s="4" t="inlineStr">
        <is>
          <t>CDI</t>
        </is>
      </c>
      <c r="H10" s="228" t="n">
        <v>0.0275</v>
      </c>
      <c r="M10" s="228" t="n">
        <v>0.0442</v>
      </c>
      <c r="R10" s="228" t="n">
        <v>0.1239</v>
      </c>
      <c r="W10" s="228" t="n">
        <v>0.1304</v>
      </c>
      <c r="AB10" s="228" t="n">
        <v>0.1064</v>
      </c>
      <c r="AG10" s="228" t="n">
        <v>0.1464</v>
      </c>
    </row>
    <row r="13" customFormat="1" s="17">
      <c r="A13" s="13" t="n"/>
      <c r="B13" s="13" t="n"/>
      <c r="C13" s="12" t="inlineStr">
        <is>
          <t>Income Statement</t>
        </is>
      </c>
      <c r="D13" s="12" t="str">
        <f>D7</f>
        <v>1Q20</v>
      </c>
      <c r="E13" s="12" t="str">
        <f>E7</f>
        <v>2Q20</v>
      </c>
      <c r="F13" s="12" t="str">
        <f>F7</f>
        <v>3Q20</v>
      </c>
      <c r="G13" s="12" t="str">
        <f>G7</f>
        <v>4Q20</v>
      </c>
      <c r="H13" s="12">
        <f>H7</f>
        <v>2020</v>
      </c>
      <c r="I13" s="12" t="str">
        <f>I7</f>
        <v>1Q21</v>
      </c>
      <c r="J13" s="12" t="str">
        <f>J7</f>
        <v>2Q21</v>
      </c>
      <c r="K13" s="12" t="str">
        <f>K7</f>
        <v>3Q21</v>
      </c>
      <c r="L13" s="12" t="str">
        <f>L7</f>
        <v>4Q21</v>
      </c>
      <c r="M13" s="12">
        <f>M7</f>
        <v>2021</v>
      </c>
      <c r="N13" s="12" t="str">
        <f>N7</f>
        <v>1Q22</v>
      </c>
      <c r="O13" s="12" t="str">
        <f>O7</f>
        <v>2Q22</v>
      </c>
      <c r="P13" s="12" t="str">
        <f>P7</f>
        <v>3Q22</v>
      </c>
      <c r="Q13" s="12" t="str">
        <f>Q7</f>
        <v>4Q22</v>
      </c>
      <c r="R13" s="12">
        <f>R7</f>
        <v>2022</v>
      </c>
      <c r="S13" s="12" t="str">
        <f>S7</f>
        <v>1Q23</v>
      </c>
      <c r="T13" s="12" t="str">
        <f>T7</f>
        <v>2Q23</v>
      </c>
      <c r="U13" s="12" t="str">
        <f>U7</f>
        <v>3Q23</v>
      </c>
      <c r="V13" s="12" t="str">
        <f>V7</f>
        <v>4Q23</v>
      </c>
      <c r="W13" s="12">
        <f>W7</f>
        <v>2023</v>
      </c>
      <c r="X13" s="12" t="str">
        <f>X7</f>
        <v>1Q24</v>
      </c>
      <c r="Y13" s="12" t="str">
        <f>Y7</f>
        <v>2Q24</v>
      </c>
      <c r="Z13" s="12" t="str">
        <f>Z7</f>
        <v>3Q24</v>
      </c>
      <c r="AA13" s="12" t="str">
        <f>AA7</f>
        <v>4Q24</v>
      </c>
      <c r="AB13" s="12">
        <f>AB7</f>
        <v>2024</v>
      </c>
      <c r="AC13" s="12" t="str">
        <f>AC7</f>
        <v>1Q25</v>
      </c>
      <c r="AD13" s="12" t="str">
        <f>AD7</f>
        <v>2Q25</v>
      </c>
      <c r="AE13" s="12" t="str">
        <f>AE7</f>
        <v>3Q25</v>
      </c>
      <c r="AF13" s="12" t="str">
        <f>AF7</f>
        <v>4Q25</v>
      </c>
      <c r="AG13" s="12">
        <f>AG7</f>
        <v>2025</v>
      </c>
      <c r="AH13" s="12" t="str">
        <f>AH7</f>
        <v>1Q26</v>
      </c>
      <c r="AI13" s="12" t="str">
        <f>AI7</f>
        <v>2Q26</v>
      </c>
      <c r="AJ13" s="12" t="str">
        <f>AJ7</f>
        <v>3Q26</v>
      </c>
      <c r="AK13" s="12" t="str">
        <f>AK7</f>
        <v>4Q26</v>
      </c>
      <c r="AL13" s="12">
        <f>AL7</f>
        <v>2026</v>
      </c>
      <c r="AM13" s="12" t="str">
        <f>AM7</f>
        <v>1Q27</v>
      </c>
      <c r="AN13" s="12" t="str">
        <f>AN7</f>
        <v>2Q27</v>
      </c>
      <c r="AO13" s="12" t="str">
        <f>AO7</f>
        <v>3Q27</v>
      </c>
      <c r="AP13" s="12" t="str">
        <f>AP7</f>
        <v>4Q27</v>
      </c>
      <c r="AQ13" s="12">
        <f>AQ7</f>
        <v>2027</v>
      </c>
      <c r="AR13" s="12" t="str">
        <f>AR7</f>
        <v>1Q28</v>
      </c>
      <c r="AS13" s="12" t="str">
        <f>AS7</f>
        <v>2Q28</v>
      </c>
      <c r="AT13" s="12" t="str">
        <f>AT7</f>
        <v>3Q28</v>
      </c>
      <c r="AU13" s="12" t="str">
        <f>AU7</f>
        <v>4Q28</v>
      </c>
      <c r="AV13" s="12">
        <f>AV7</f>
        <v>2028</v>
      </c>
      <c r="AW13" s="12" t="str">
        <f>AW7</f>
        <v>1Q29</v>
      </c>
      <c r="AX13" s="12" t="str">
        <f>AX7</f>
        <v>2Q29</v>
      </c>
      <c r="AY13" s="12" t="str">
        <f>AY7</f>
        <v>3Q29</v>
      </c>
      <c r="AZ13" s="12" t="str">
        <f>AZ7</f>
        <v>4Q29</v>
      </c>
      <c r="BA13" s="12">
        <f>BA7</f>
        <v>2029</v>
      </c>
      <c r="BB13" s="12" t="str">
        <f>BB7</f>
        <v>1Q30</v>
      </c>
      <c r="BC13" s="12" t="str">
        <f>BC7</f>
        <v>2Q30</v>
      </c>
      <c r="BD13" s="12" t="str">
        <f>BD7</f>
        <v>3Q30</v>
      </c>
      <c r="BE13" s="12" t="str">
        <f>BE7</f>
        <v>4Q30</v>
      </c>
      <c r="BF13" s="12">
        <f>BF7</f>
        <v>2030</v>
      </c>
      <c r="BG13" s="12" t="str">
        <f>BG7</f>
        <v>1Q31</v>
      </c>
      <c r="BH13" s="12" t="str">
        <f>BH7</f>
        <v>2Q31</v>
      </c>
      <c r="BI13" s="12" t="str">
        <f>BI7</f>
        <v>3Q31</v>
      </c>
      <c r="BJ13" s="12" t="str">
        <f>BJ7</f>
        <v>4Q31</v>
      </c>
      <c r="BK13" s="12">
        <f>BK7</f>
        <v>2031</v>
      </c>
      <c r="BL13" s="12" t="str">
        <f>BL7</f>
        <v>1Q32</v>
      </c>
      <c r="BM13" s="12" t="str">
        <f>BM7</f>
        <v>2Q32</v>
      </c>
      <c r="BN13" s="12" t="str">
        <f>BN7</f>
        <v>3Q32</v>
      </c>
      <c r="BO13" s="12" t="str">
        <f>BO7</f>
        <v>4Q32</v>
      </c>
      <c r="BP13" s="12">
        <f>BP7</f>
        <v>2032</v>
      </c>
      <c r="BQ13" s="12" t="str">
        <f>BQ7</f>
        <v>1Q33</v>
      </c>
      <c r="BR13" s="12" t="str">
        <f>BR7</f>
        <v>2Q33</v>
      </c>
      <c r="BS13" s="12" t="str">
        <f>BS7</f>
        <v>3Q33</v>
      </c>
      <c r="BT13" s="12" t="str">
        <f>BT7</f>
        <v>4Q33</v>
      </c>
      <c r="BU13" s="12">
        <f>BU7</f>
        <v>2033</v>
      </c>
      <c r="BV13" s="12" t="str">
        <f>BV7</f>
        <v>1Q34</v>
      </c>
      <c r="BW13" s="12" t="str">
        <f>BW7</f>
        <v>2Q34</v>
      </c>
      <c r="BX13" s="12" t="str">
        <f>BX7</f>
        <v>3Q34</v>
      </c>
      <c r="BY13" s="12" t="str">
        <f>BY7</f>
        <v>4Q34</v>
      </c>
      <c r="BZ13" s="12">
        <f>BZ7</f>
        <v>2034</v>
      </c>
      <c r="CA13" s="12" t="str">
        <f>CA7</f>
        <v>1Q35</v>
      </c>
      <c r="CB13" s="12" t="str">
        <f>CB7</f>
        <v>2Q35</v>
      </c>
      <c r="CC13" s="12" t="str">
        <f>CC7</f>
        <v>3Q35</v>
      </c>
      <c r="CD13" s="12" t="str">
        <f>CD7</f>
        <v>4Q35</v>
      </c>
      <c r="CE13" s="12">
        <f>CE7</f>
        <v>2035</v>
      </c>
      <c r="CF13" s="12" t="str">
        <f>CF7</f>
        <v>1Q36</v>
      </c>
      <c r="CG13" s="12" t="str">
        <f>CG7</f>
        <v>2Q36</v>
      </c>
      <c r="CH13" s="12" t="str">
        <f>CH7</f>
        <v>3Q36</v>
      </c>
      <c r="CI13" s="12" t="str">
        <f>CI7</f>
        <v>4Q36</v>
      </c>
      <c r="CJ13" s="12">
        <f>CJ7</f>
        <v>2036</v>
      </c>
      <c r="CK13" s="12" t="str">
        <f>CK7</f>
        <v>1Q37</v>
      </c>
      <c r="CL13" s="12" t="str">
        <f>CL7</f>
        <v>2Q37</v>
      </c>
      <c r="CM13" s="12" t="str">
        <f>CM7</f>
        <v>3Q37</v>
      </c>
      <c r="CN13" s="12" t="str">
        <f>CN7</f>
        <v>4Q37</v>
      </c>
      <c r="CO13" s="12">
        <f>CO7</f>
        <v>2037</v>
      </c>
      <c r="CP13" s="12" t="str">
        <f>CP7</f>
        <v>1Q38</v>
      </c>
      <c r="CQ13" s="12" t="str">
        <f>CQ7</f>
        <v>2Q38</v>
      </c>
      <c r="CR13" s="12" t="str">
        <f>CR7</f>
        <v>3Q38</v>
      </c>
      <c r="CS13" s="12" t="str">
        <f>CS7</f>
        <v>4Q38</v>
      </c>
      <c r="CT13" s="12">
        <f>CT7</f>
        <v>2038</v>
      </c>
      <c r="CU13" s="12" t="str">
        <f>CU7</f>
        <v>1Q39</v>
      </c>
      <c r="CV13" s="12" t="str">
        <f>CV7</f>
        <v>2Q39</v>
      </c>
      <c r="CW13" s="12" t="str">
        <f>CW7</f>
        <v>3Q39</v>
      </c>
      <c r="CX13" s="12" t="str">
        <f>CX7</f>
        <v>4Q39</v>
      </c>
      <c r="CY13" s="12">
        <f>CY7</f>
        <v>2039</v>
      </c>
    </row>
    <row r="14">
      <c r="C14" s="2" t="n"/>
    </row>
    <row r="15" customFormat="1" s="17">
      <c r="A15" s="13" t="n"/>
      <c r="B15" s="1" t="n"/>
      <c r="C15" s="14" t="inlineStr">
        <is>
          <t>Net Revenues</t>
        </is>
      </c>
      <c r="D15" s="15">
        <f>INDEX('Inputs (2)'!$D$4:$AL$4,MATCH(D$7,'Inputs (2)'!$D$2:$AL$2,0))</f>
        <v>5985</v>
      </c>
      <c r="E15" s="15">
        <f>INDEX('Inputs (2)'!$D$4:$AL$4,MATCH(E$7,'Inputs (2)'!$D$2:$AL$2,0))</f>
        <v>6036</v>
      </c>
      <c r="F15" s="15">
        <f>INDEX('Inputs (2)'!$D$4:$AL$4,MATCH(F$7,'Inputs (2)'!$D$2:$AL$2,0))</f>
        <v>8771</v>
      </c>
      <c r="G15" s="15">
        <f>INDEX('Inputs (2)'!$D$4:$AL$4,MATCH(G$7,'Inputs (2)'!$D$2:$AL$2,0))</f>
        <v>10744</v>
      </c>
      <c r="H15" s="16">
        <f>SUM(D15:G15)</f>
        <v>31536</v>
      </c>
      <c r="I15" s="15">
        <f>INDEX('Inputs (2)'!$D$4:$AL$4,MATCH(I$7,'Inputs (2)'!$D$2:$AL$2,0))</f>
        <v>10389</v>
      </c>
      <c r="J15" s="15">
        <f>INDEX('Inputs (2)'!$D$4:$AL$4,MATCH(J$7,'Inputs (2)'!$D$2:$AL$2,0))</f>
        <v>11958</v>
      </c>
      <c r="K15" s="15">
        <f>INDEX('Inputs (2)'!$D$4:$AL$4,MATCH(K$7,'Inputs (2)'!$D$2:$AL$2,0))</f>
        <v>13757</v>
      </c>
      <c r="L15" s="15">
        <f>INDEX('Inputs (2)'!$D$4:$AL$4,MATCH(L$7,'Inputs (2)'!$D$2:$AL$2,0))</f>
        <v>17719</v>
      </c>
      <c r="M15" s="16">
        <f>SUM(I15:L15)</f>
        <v>53823</v>
      </c>
      <c r="N15" s="15">
        <f>INDEX('Inputs (2)'!$D$4:$AL$4,MATCH(N$7,'Inputs (2)'!$D$2:$AL$2,0))</f>
        <v>18756</v>
      </c>
      <c r="O15" s="15">
        <f>INDEX('Inputs (2)'!$D$4:$AL$4,MATCH(O$7,'Inputs (2)'!$D$2:$AL$2,0))</f>
        <v>16934</v>
      </c>
      <c r="P15" s="15">
        <f>INDEX('Inputs (2)'!$D$4:$AL$4,MATCH(P$7,'Inputs (2)'!$D$2:$AL$2,0))</f>
        <v>21454</v>
      </c>
      <c r="Q15" s="15">
        <f>INDEX('Inputs (2)'!$D$4:$AL$4,MATCH(Q$7,'Inputs (2)'!$D$2:$AL$2,0))</f>
        <v>24318</v>
      </c>
      <c r="R15" s="16">
        <f>SUM(N15:Q15)</f>
        <v>81462</v>
      </c>
      <c r="S15" s="15">
        <f>INDEX('Inputs (2)'!$D$4:$AL$4,MATCH(S$7,'Inputs (2)'!$D$2:$AL$2,0))</f>
        <v>23329</v>
      </c>
      <c r="T15" s="15">
        <f>INDEX('Inputs (2)'!$D$4:$AL$4,MATCH(T$7,'Inputs (2)'!$D$2:$AL$2,0))</f>
        <v>24927</v>
      </c>
      <c r="U15" s="15">
        <f>INDEX('Inputs (2)'!$D$4:$AL$4,MATCH(U$7,'Inputs (2)'!$D$2:$AL$2,0))</f>
        <v>23350</v>
      </c>
      <c r="V15" s="15">
        <f>INDEX('Inputs (2)'!$D$4:$AL$4,MATCH(V$7,'Inputs (2)'!$D$2:$AL$2,0))</f>
        <v>25167</v>
      </c>
      <c r="W15" s="16">
        <f>SUM(S15:V15)</f>
        <v>96773</v>
      </c>
      <c r="X15" s="15">
        <f>INDEX('Inputs (2)'!$D$4:$AL$4,MATCH(X$7,'Inputs (2)'!$D$2:$AL$2,0))</f>
        <v>21301</v>
      </c>
      <c r="Y15" s="15">
        <f>INDEX('Inputs (2)'!$D$4:$AL$4,MATCH(Y$7,'Inputs (2)'!$D$2:$AL$2,0))</f>
        <v>25500</v>
      </c>
      <c r="Z15" s="15">
        <f>INDEX('Inputs (2)'!$D$4:$AL$4,MATCH(Z$7,'Inputs (2)'!$D$2:$AL$2,0))</f>
        <v>25182</v>
      </c>
      <c r="AA15" s="15">
        <f>INDEX('Inputs (2)'!$D$4:$AL$4,MATCH(AA$7,'Inputs (2)'!$D$2:$AL$2,0))</f>
        <v>25707</v>
      </c>
      <c r="AB15" s="16">
        <f>SUM(X15:AA15)</f>
        <v>97690</v>
      </c>
      <c r="AC15" s="15">
        <f>INDEX('Inputs (2)'!$D$4:$AL$4,MATCH(AC$7,'Inputs (2)'!$D$2:$AL$2,0))</f>
        <v>19335</v>
      </c>
      <c r="AD15" s="15">
        <f>INDEX('Inputs (2)'!$D$4:$AL$4,MATCH(AD$7,'Inputs (2)'!$D$2:$AL$2,0))</f>
        <v>22496</v>
      </c>
      <c r="AE15" s="15">
        <f>INDEX('Inputs (2)'!$D$4:$AL$4,MATCH(AE$7,'Inputs (2)'!$D$2:$AL$2,0))</f>
        <v>28095</v>
      </c>
      <c r="AF15" s="15">
        <f>INDEX('Inputs (2)'!$D$4:$AL$4,MATCH(AF$7,'Inputs (2)'!$D$2:$AL$2,0))</f>
        <v>24901</v>
      </c>
      <c r="AG15" s="16">
        <f>SUM(AC15:AF15)</f>
        <v>94827</v>
      </c>
      <c r="AH15" s="16">
        <f>INDEX('Inputs (2)'!$D$4:$AL$4,MATCH(AH$7,'Inputs (2)'!$D$2:$AL$2,0))</f>
        <v>22387</v>
      </c>
      <c r="AI15" s="16">
        <f>INDEX('Inputs (2)'!$D$4:$AL$4,MATCH(AI$7,'Inputs (2)'!$D$2:$AL$2,0))</f>
        <v>28236</v>
      </c>
      <c r="AJ15" s="16">
        <f>AE15*(1+AJ16)</f>
        <v>28095</v>
      </c>
      <c r="AK15" s="16">
        <f>AF15*(1+AK16)</f>
        <v>24901</v>
      </c>
      <c r="AL15" s="16">
        <f>SUM(AH15:AK15)</f>
        <v>103619</v>
      </c>
      <c r="AM15" s="16">
        <f>AH15*(1+AM16)</f>
        <v>22387</v>
      </c>
      <c r="AN15" s="16">
        <f>AI15*(1+AN16)</f>
        <v>28236</v>
      </c>
      <c r="AO15" s="16">
        <f>AJ15*(1+AO16)</f>
        <v>28095</v>
      </c>
      <c r="AP15" s="16">
        <f>AK15*(1+AP16)</f>
        <v>24901</v>
      </c>
      <c r="AQ15" s="16">
        <f>SUM(AM15:AP15)</f>
        <v>103619</v>
      </c>
      <c r="AR15" s="16">
        <f>AM15*(1+AR16)</f>
        <v>22387</v>
      </c>
      <c r="AS15" s="16">
        <f>AN15*(1+AS16)</f>
        <v>28236</v>
      </c>
      <c r="AT15" s="16">
        <f>AO15*(1+AT16)</f>
        <v>28095</v>
      </c>
      <c r="AU15" s="16">
        <f>AP15*(1+AU16)</f>
        <v>24901</v>
      </c>
      <c r="AV15" s="16">
        <f>SUM(AR15:AU15)</f>
        <v>103619</v>
      </c>
      <c r="AW15" s="16">
        <f>AR15*(1+AW16)</f>
        <v>22387</v>
      </c>
      <c r="AX15" s="16">
        <f>AS15*(1+AX16)</f>
        <v>28236</v>
      </c>
      <c r="AY15" s="16">
        <f>AT15*(1+AY16)</f>
        <v>28095</v>
      </c>
      <c r="AZ15" s="16">
        <f>AU15*(1+AZ16)</f>
        <v>24901</v>
      </c>
      <c r="BA15" s="16">
        <f>SUM(AW15:AZ15)</f>
        <v>103619</v>
      </c>
      <c r="BB15" s="16">
        <f>AW15*(1+BB16)</f>
        <v>22387</v>
      </c>
      <c r="BC15" s="16">
        <f>AX15*(1+BC16)</f>
        <v>28236</v>
      </c>
      <c r="BD15" s="16">
        <f>AY15*(1+BD16)</f>
        <v>28095</v>
      </c>
      <c r="BE15" s="16">
        <f>AZ15*(1+BE16)</f>
        <v>24901</v>
      </c>
      <c r="BF15" s="16">
        <f>SUM(BB15:BE15)</f>
        <v>103619</v>
      </c>
      <c r="BG15" s="16">
        <f>BB15*(1+BG16)</f>
        <v>22387</v>
      </c>
      <c r="BH15" s="16">
        <f>BC15*(1+BH16)</f>
        <v>28236</v>
      </c>
      <c r="BI15" s="16">
        <f>BD15*(1+BI16)</f>
        <v>28095</v>
      </c>
      <c r="BJ15" s="16">
        <f>BE15*(1+BJ16)</f>
        <v>24901</v>
      </c>
      <c r="BK15" s="16">
        <f>SUM(BG15:BJ15)</f>
        <v>103619</v>
      </c>
      <c r="BL15" s="16">
        <f>BG15*(1+BL16)</f>
        <v>22387</v>
      </c>
      <c r="BM15" s="16">
        <f>BH15*(1+BM16)</f>
        <v>28236</v>
      </c>
      <c r="BN15" s="16">
        <f>BI15*(1+BN16)</f>
        <v>28095</v>
      </c>
      <c r="BO15" s="16">
        <f>BJ15*(1+BO16)</f>
        <v>24901</v>
      </c>
      <c r="BP15" s="16">
        <f>SUM(BL15:BO15)</f>
        <v>103619</v>
      </c>
      <c r="BQ15" s="16">
        <f>BL15*(1+BQ16)</f>
        <v>22387</v>
      </c>
      <c r="BR15" s="16">
        <f>BM15*(1+BR16)</f>
        <v>28236</v>
      </c>
      <c r="BS15" s="16">
        <f>BN15*(1+BS16)</f>
        <v>28095</v>
      </c>
      <c r="BT15" s="16">
        <f>BO15*(1+BT16)</f>
        <v>24901</v>
      </c>
      <c r="BU15" s="16">
        <f>SUM(BQ15:BT15)</f>
        <v>103619</v>
      </c>
      <c r="BV15" s="16">
        <f>BQ15*(1+BV16)</f>
        <v>22387</v>
      </c>
      <c r="BW15" s="16">
        <f>BR15*(1+BW16)</f>
        <v>28236</v>
      </c>
      <c r="BX15" s="16">
        <f>BS15*(1+BX16)</f>
        <v>28095</v>
      </c>
      <c r="BY15" s="16">
        <f>BT15*(1+BY16)</f>
        <v>24901</v>
      </c>
      <c r="BZ15" s="16">
        <f>SUM(BV15:BY15)</f>
        <v>103619</v>
      </c>
      <c r="CA15" s="16">
        <f>BV15*(1+CA16)</f>
        <v>22387</v>
      </c>
      <c r="CB15" s="16">
        <f>BW15*(1+CB16)</f>
        <v>28236</v>
      </c>
      <c r="CC15" s="16">
        <f>BX15*(1+CC16)</f>
        <v>28095</v>
      </c>
      <c r="CD15" s="16">
        <f>BY15*(1+CD16)</f>
        <v>24901</v>
      </c>
      <c r="CE15" s="16">
        <f>SUM(CA15:CD15)</f>
        <v>103619</v>
      </c>
      <c r="CF15" s="16">
        <f>CA15*(1+CF16)</f>
        <v>22387</v>
      </c>
      <c r="CG15" s="16">
        <f>CB15*(1+CG16)</f>
        <v>28236</v>
      </c>
      <c r="CH15" s="16">
        <f>CC15*(1+CH16)</f>
        <v>28095</v>
      </c>
      <c r="CI15" s="16">
        <f>CD15*(1+CI16)</f>
        <v>24901</v>
      </c>
      <c r="CJ15" s="16">
        <f>SUM(CF15:CI15)</f>
        <v>103619</v>
      </c>
      <c r="CK15" s="16">
        <f>CF15*(1+CK16)</f>
        <v>22387</v>
      </c>
      <c r="CL15" s="16">
        <f>CG15*(1+CL16)</f>
        <v>28236</v>
      </c>
      <c r="CM15" s="16">
        <f>CH15*(1+CM16)</f>
        <v>28095</v>
      </c>
      <c r="CN15" s="16">
        <f>CI15*(1+CN16)</f>
        <v>24901</v>
      </c>
      <c r="CO15" s="16">
        <f>SUM(CK15:CN15)</f>
        <v>103619</v>
      </c>
      <c r="CP15" s="16">
        <f>CK15*(1+CP16)</f>
        <v>22387</v>
      </c>
      <c r="CQ15" s="16">
        <f>CL15*(1+CQ16)</f>
        <v>28236</v>
      </c>
      <c r="CR15" s="16">
        <f>CM15*(1+CR16)</f>
        <v>28095</v>
      </c>
      <c r="CS15" s="16">
        <f>CN15*(1+CS16)</f>
        <v>24901</v>
      </c>
      <c r="CT15" s="16">
        <f>SUM(CP15:CS15)</f>
        <v>103619</v>
      </c>
      <c r="CU15" s="16">
        <f>CP15*(1+CU16)</f>
        <v>22387</v>
      </c>
      <c r="CV15" s="16">
        <f>CQ15*(1+CV16)</f>
        <v>28236</v>
      </c>
      <c r="CW15" s="16">
        <f>CR15*(1+CW16)</f>
        <v>28095</v>
      </c>
      <c r="CX15" s="16">
        <f>CS15*(1+CX16)</f>
        <v>24901</v>
      </c>
      <c r="CY15" s="16">
        <f>SUM(CU15:CX15)</f>
        <v>103619</v>
      </c>
    </row>
    <row r="16" hidden="1" outlineLevel="1" customFormat="1" s="23">
      <c r="A16" s="18" t="n"/>
      <c r="B16" s="19" t="n"/>
      <c r="C16" s="33" t="inlineStr">
        <is>
          <t>% YoY</t>
        </is>
      </c>
      <c r="D16" s="21" t="n"/>
      <c r="E16" s="47" t="n"/>
      <c r="F16" s="47" t="n"/>
      <c r="G16" s="47" t="n"/>
      <c r="H16" s="21" t="n"/>
      <c r="I16" s="21" t="n"/>
      <c r="J16" s="47" t="n"/>
      <c r="K16" s="47" t="n"/>
      <c r="L16" s="47" t="n"/>
      <c r="M16" s="21" t="n"/>
      <c r="N16" s="47">
        <f>N15/I15-1</f>
        <v>0.805371065550101</v>
      </c>
      <c r="O16" s="47">
        <f>O15/J15-1</f>
        <v>0.416123097507944</v>
      </c>
      <c r="P16" s="47">
        <f>P15/K15-1</f>
        <v>0.559496983353929</v>
      </c>
      <c r="Q16" s="47">
        <f>Q15/L15-1</f>
        <v>0.372425080422146</v>
      </c>
      <c r="R16" s="47">
        <f>R15/M15-1</f>
        <v>0.513516526392063</v>
      </c>
      <c r="S16" s="47">
        <f>S15/N15-1</f>
        <v>0.243815312433355</v>
      </c>
      <c r="T16" s="47">
        <f>T15/O15-1</f>
        <v>0.472008976024566</v>
      </c>
      <c r="U16" s="47">
        <f>U15/P15-1</f>
        <v>0.0883751281812248</v>
      </c>
      <c r="V16" s="47">
        <f>V15/Q15-1</f>
        <v>0.0349124105600789</v>
      </c>
      <c r="W16" s="47">
        <f>W15/R15-1</f>
        <v>0.187952665046279</v>
      </c>
      <c r="X16" s="47">
        <f>X15/S15-1</f>
        <v>-0.0869304299369883</v>
      </c>
      <c r="Y16" s="47">
        <f>Y15/T15-1</f>
        <v>0.0229871223974003</v>
      </c>
      <c r="Z16" s="47">
        <f>Z15/U15-1</f>
        <v>0.0784582441113491</v>
      </c>
      <c r="AA16" s="47">
        <f>AA15/V15-1</f>
        <v>0.0214566694480869</v>
      </c>
      <c r="AB16" s="47">
        <f>AB15/W15-1</f>
        <v>0.0094757835346635</v>
      </c>
      <c r="AC16" s="47">
        <f>AC15/X15-1</f>
        <v>-0.0922961363316276</v>
      </c>
      <c r="AD16" s="47">
        <f>AD15/Y15-1</f>
        <v>-0.117803921568627</v>
      </c>
      <c r="AE16" s="47">
        <f>AE15/Z15-1</f>
        <v>0.115677865141768</v>
      </c>
      <c r="AF16" s="44">
        <f>AF15/AA15-1</f>
        <v>-0.0313533278873459</v>
      </c>
      <c r="AG16" s="47">
        <f>AG15/AB15-1</f>
        <v>-0.0293069915037363</v>
      </c>
      <c r="AH16" s="44">
        <f>AH15/AC15-1</f>
        <v>0.15784846133954</v>
      </c>
      <c r="AI16" s="44">
        <f>AI15/AD15-1</f>
        <v>0.255156472261735</v>
      </c>
      <c r="AJ16" s="44" t="n"/>
      <c r="AK16" s="44" t="n"/>
      <c r="AL16" s="22">
        <f>AL15/AG15-1</f>
        <v>0.0927162095183862</v>
      </c>
      <c r="AM16" s="44" t="n"/>
      <c r="AN16" s="44" t="n"/>
      <c r="AO16" s="44" t="n"/>
      <c r="AP16" s="44" t="n"/>
      <c r="AQ16" s="22">
        <f>AQ15/AL15-1</f>
        <v>0</v>
      </c>
      <c r="AR16" s="44" t="n"/>
      <c r="AS16" s="44" t="n"/>
      <c r="AT16" s="44" t="n"/>
      <c r="AU16" s="44" t="n"/>
      <c r="AV16" s="22">
        <f>AV15/AQ15-1</f>
        <v>0</v>
      </c>
      <c r="AW16" s="44" t="n"/>
      <c r="AX16" s="44" t="n"/>
      <c r="AY16" s="44" t="n"/>
      <c r="AZ16" s="44" t="n"/>
      <c r="BA16" s="22">
        <f>BA15/AV15-1</f>
        <v>0</v>
      </c>
      <c r="BB16" s="44" t="n"/>
      <c r="BC16" s="44" t="n"/>
      <c r="BD16" s="44" t="n"/>
      <c r="BE16" s="44" t="n"/>
      <c r="BF16" s="22">
        <f>BF15/BA15-1</f>
        <v>0</v>
      </c>
      <c r="BG16" s="44" t="n"/>
      <c r="BH16" s="44" t="n"/>
      <c r="BI16" s="44" t="n"/>
      <c r="BJ16" s="44" t="n"/>
      <c r="BK16" s="22">
        <f>BK15/BF15-1</f>
        <v>0</v>
      </c>
      <c r="BL16" s="44" t="n"/>
      <c r="BM16" s="44" t="n"/>
      <c r="BN16" s="44" t="n"/>
      <c r="BO16" s="44" t="n"/>
      <c r="BP16" s="22">
        <f>BP15/BK15-1</f>
        <v>0</v>
      </c>
      <c r="BQ16" s="44" t="n"/>
      <c r="BR16" s="44" t="n"/>
      <c r="BS16" s="44" t="n"/>
      <c r="BT16" s="44" t="n"/>
      <c r="BU16" s="22">
        <f>BU15/BP15-1</f>
        <v>0</v>
      </c>
      <c r="BV16" s="44" t="n"/>
      <c r="BW16" s="44" t="n"/>
      <c r="BX16" s="44" t="n"/>
      <c r="BY16" s="44" t="n"/>
      <c r="BZ16" s="22">
        <f>BZ15/BU15-1</f>
        <v>0</v>
      </c>
      <c r="CA16" s="44" t="n"/>
      <c r="CB16" s="44" t="n"/>
      <c r="CC16" s="44" t="n"/>
      <c r="CD16" s="44" t="n"/>
      <c r="CE16" s="22">
        <f>CE15/BZ15-1</f>
        <v>0</v>
      </c>
      <c r="CF16" s="44" t="n"/>
      <c r="CG16" s="44" t="n"/>
      <c r="CH16" s="44" t="n"/>
      <c r="CI16" s="44" t="n"/>
      <c r="CJ16" s="22">
        <f>CJ15/CE15-1</f>
        <v>0</v>
      </c>
      <c r="CK16" s="44" t="n"/>
      <c r="CL16" s="44" t="n"/>
      <c r="CM16" s="44" t="n"/>
      <c r="CN16" s="44" t="n"/>
      <c r="CO16" s="22">
        <f>CO15/CJ15-1</f>
        <v>0</v>
      </c>
      <c r="CP16" s="44" t="n"/>
      <c r="CQ16" s="44" t="n"/>
      <c r="CR16" s="44" t="n"/>
      <c r="CS16" s="44" t="n"/>
      <c r="CT16" s="22">
        <f>CT15/CO15-1</f>
        <v>0</v>
      </c>
      <c r="CU16" s="44" t="n"/>
      <c r="CV16" s="44" t="n"/>
      <c r="CW16" s="44" t="n"/>
      <c r="CX16" s="44" t="n"/>
      <c r="CY16" s="22">
        <f>CY15/CT15-1</f>
        <v>0</v>
      </c>
    </row>
    <row r="17" hidden="1" outlineLevel="1" customFormat="1" s="23">
      <c r="A17" s="18" t="n"/>
      <c r="B17" s="19" t="n"/>
      <c r="C17" s="229" t="inlineStr">
        <is>
          <t>Check Receita (linha 15 - soma dos segmentos)</t>
        </is>
      </c>
      <c r="D17" s="15">
        <f>IF(COUNT(D22)=0,"",D22)</f>
        <v>0</v>
      </c>
      <c r="E17" s="15">
        <f>IF(COUNT(E22)=0,"",E22)</f>
        <v>0</v>
      </c>
      <c r="F17" s="15">
        <f>IF(COUNT(F22)=0,"",F22)</f>
        <v>0</v>
      </c>
      <c r="G17" s="15">
        <f>IF(COUNT(G22)=0,"",G22)</f>
        <v>0</v>
      </c>
      <c r="H17" s="16">
        <f>IF(COUNT(H22)=0,"",H22)</f>
        <v>0</v>
      </c>
      <c r="I17" s="15">
        <f>IF(COUNT(I22)=0,"",I22)</f>
        <v>0</v>
      </c>
      <c r="J17" s="15">
        <f>IF(COUNT(J22)=0,"",J22)</f>
        <v>0</v>
      </c>
      <c r="K17" s="15">
        <f>IF(COUNT(K22)=0,"",K22)</f>
        <v>0</v>
      </c>
      <c r="L17" s="15">
        <f>IF(COUNT(L22)=0,"",L22)</f>
        <v>0</v>
      </c>
      <c r="M17" s="16">
        <f>IF(COUNT(M22)=0,"",M22)</f>
        <v>0</v>
      </c>
      <c r="N17" s="15">
        <f>IF(COUNT(N22)=0,"",N22)</f>
        <v>0</v>
      </c>
      <c r="O17" s="15">
        <f>IF(COUNT(O22)=0,"",O22)</f>
        <v>0</v>
      </c>
      <c r="P17" s="15">
        <f>IF(COUNT(P22)=0,"",P22)</f>
        <v>0</v>
      </c>
      <c r="Q17" s="15">
        <f>IF(COUNT(Q22)=0,"",Q22)</f>
        <v>0</v>
      </c>
      <c r="R17" s="16">
        <f>IF(COUNT(R22)=0,"",R22)</f>
        <v>0</v>
      </c>
      <c r="S17" s="15">
        <f>IF(COUNT(S22)=0,"",S22)</f>
        <v>0</v>
      </c>
      <c r="T17" s="15">
        <f>IF(COUNT(T22)=0,"",T22)</f>
        <v>0</v>
      </c>
      <c r="U17" s="15">
        <f>IF(COUNT(U22)=0,"",U22)</f>
        <v>0</v>
      </c>
      <c r="V17" s="15">
        <f>IF(COUNT(V22)=0,"",V22)</f>
        <v>0</v>
      </c>
      <c r="W17" s="16">
        <f>IF(COUNT(W22)=0,"",W22)</f>
        <v>0</v>
      </c>
      <c r="X17" s="15">
        <f>IF(COUNT(X22)=0,"",X22)</f>
        <v>0</v>
      </c>
      <c r="Y17" s="15">
        <f>IF(COUNT(Y22)=0,"",Y22)</f>
        <v>0</v>
      </c>
      <c r="Z17" s="15">
        <f>IF(COUNT(Z22)=0,"",Z22)</f>
        <v>0</v>
      </c>
      <c r="AA17" s="15">
        <f>IF(COUNT(AA22)=0,"",AA22)</f>
        <v>0</v>
      </c>
      <c r="AB17" s="16">
        <f>IF(COUNT(AB22)=0,"",AB22)</f>
        <v>0</v>
      </c>
      <c r="AC17" s="15">
        <f>IF(COUNT(AC22)=0,"",AC22)</f>
        <v>0</v>
      </c>
      <c r="AD17" s="15">
        <f>IF(COUNT(AD22)=0,"",AD22)</f>
        <v>0</v>
      </c>
      <c r="AE17" s="15">
        <f>IF(COUNT(AE22)=0,"",AE22)</f>
        <v>0</v>
      </c>
      <c r="AF17" s="15">
        <f>IF(COUNT(AF22)=0,"",AF22)</f>
        <v>0</v>
      </c>
      <c r="AG17" s="16">
        <f>IF(COUNT(AG22)=0,"",AG22)</f>
        <v>0</v>
      </c>
      <c r="AH17" s="16">
        <f>IF(COUNT(AH22)=0,"",AH22)</f>
        <v>0</v>
      </c>
      <c r="AI17" s="16">
        <f>IF(COUNT(AI22)=0,"",AI22)</f>
        <v>0</v>
      </c>
      <c r="AJ17" s="44" t="n"/>
      <c r="AK17" s="44" t="n"/>
      <c r="AL17" s="22" t="n"/>
      <c r="AM17" s="44" t="n"/>
      <c r="AN17" s="44" t="n"/>
      <c r="AO17" s="44" t="n"/>
      <c r="AP17" s="44" t="n"/>
      <c r="AQ17" s="22" t="n"/>
      <c r="AR17" s="44" t="n"/>
      <c r="AS17" s="44" t="n"/>
      <c r="AT17" s="44" t="n"/>
      <c r="AU17" s="44" t="n"/>
      <c r="AV17" s="22" t="n"/>
      <c r="AW17" s="44" t="n"/>
      <c r="AX17" s="44" t="n"/>
      <c r="AY17" s="44" t="n"/>
      <c r="AZ17" s="44" t="n"/>
      <c r="BA17" s="22" t="n"/>
      <c r="BB17" s="44" t="n"/>
      <c r="BC17" s="44" t="n"/>
      <c r="BD17" s="44" t="n"/>
      <c r="BE17" s="44" t="n"/>
      <c r="BF17" s="22" t="n"/>
      <c r="BG17" s="44" t="n"/>
      <c r="BH17" s="44" t="n"/>
      <c r="BI17" s="44" t="n"/>
      <c r="BJ17" s="44" t="n"/>
      <c r="BK17" s="22" t="n"/>
      <c r="BL17" s="44" t="n"/>
      <c r="BM17" s="44" t="n"/>
      <c r="BN17" s="44" t="n"/>
      <c r="BO17" s="44" t="n"/>
      <c r="BP17" s="22" t="n"/>
      <c r="BQ17" s="44" t="n"/>
      <c r="BR17" s="44" t="n"/>
      <c r="BS17" s="44" t="n"/>
      <c r="BT17" s="44" t="n"/>
      <c r="BU17" s="22" t="n"/>
      <c r="BV17" s="44" t="n"/>
      <c r="BW17" s="44" t="n"/>
      <c r="BX17" s="44" t="n"/>
      <c r="BY17" s="44" t="n"/>
      <c r="BZ17" s="22" t="n"/>
      <c r="CA17" s="44" t="n"/>
      <c r="CB17" s="44" t="n"/>
      <c r="CC17" s="44" t="n"/>
      <c r="CD17" s="44" t="n"/>
      <c r="CE17" s="22" t="n"/>
      <c r="CF17" s="44" t="n"/>
      <c r="CG17" s="44" t="n"/>
      <c r="CH17" s="44" t="n"/>
      <c r="CI17" s="44" t="n"/>
      <c r="CJ17" s="22" t="n"/>
      <c r="CK17" s="44" t="n"/>
      <c r="CL17" s="44" t="n"/>
      <c r="CM17" s="44" t="n"/>
      <c r="CN17" s="44" t="n"/>
      <c r="CO17" s="22" t="n"/>
      <c r="CP17" s="44" t="n"/>
      <c r="CQ17" s="44" t="n"/>
      <c r="CR17" s="44" t="n"/>
      <c r="CS17" s="44" t="n"/>
      <c r="CT17" s="22" t="n"/>
      <c r="CU17" s="44" t="n"/>
      <c r="CV17" s="44" t="n"/>
      <c r="CW17" s="44" t="n"/>
      <c r="CX17" s="44" t="n"/>
      <c r="CY17" s="22" t="n"/>
    </row>
    <row r="18">
      <c r="C18" s="12" t="inlineStr">
        <is>
          <t>Segmentos - como a Tesla divulga (USD milhões)</t>
        </is>
      </c>
      <c r="D18" s="12" t="str">
        <f>D7</f>
        <v>1Q20</v>
      </c>
      <c r="E18" s="12" t="str">
        <f>E7</f>
        <v>2Q20</v>
      </c>
      <c r="F18" s="12" t="str">
        <f>F7</f>
        <v>3Q20</v>
      </c>
      <c r="G18" s="12" t="str">
        <f>G7</f>
        <v>4Q20</v>
      </c>
      <c r="H18" s="12">
        <f>H7</f>
        <v>2020</v>
      </c>
      <c r="I18" s="12" t="str">
        <f>I7</f>
        <v>1Q21</v>
      </c>
      <c r="J18" s="12" t="str">
        <f>J7</f>
        <v>2Q21</v>
      </c>
      <c r="K18" s="12" t="str">
        <f>K7</f>
        <v>3Q21</v>
      </c>
      <c r="L18" s="12" t="str">
        <f>L7</f>
        <v>4Q21</v>
      </c>
      <c r="M18" s="12">
        <f>M7</f>
        <v>2021</v>
      </c>
      <c r="N18" s="12" t="str">
        <f>N7</f>
        <v>1Q22</v>
      </c>
      <c r="O18" s="12" t="str">
        <f>O7</f>
        <v>2Q22</v>
      </c>
      <c r="P18" s="12" t="str">
        <f>P7</f>
        <v>3Q22</v>
      </c>
      <c r="Q18" s="12" t="str">
        <f>Q7</f>
        <v>4Q22</v>
      </c>
      <c r="R18" s="12">
        <f>R7</f>
        <v>2022</v>
      </c>
      <c r="S18" s="12" t="str">
        <f>S7</f>
        <v>1Q23</v>
      </c>
      <c r="T18" s="12" t="str">
        <f>T7</f>
        <v>2Q23</v>
      </c>
      <c r="U18" s="12" t="str">
        <f>U7</f>
        <v>3Q23</v>
      </c>
      <c r="V18" s="12" t="str">
        <f>V7</f>
        <v>4Q23</v>
      </c>
      <c r="W18" s="12">
        <f>W7</f>
        <v>2023</v>
      </c>
      <c r="X18" s="12" t="str">
        <f>X7</f>
        <v>1Q24</v>
      </c>
      <c r="Y18" s="12" t="str">
        <f>Y7</f>
        <v>2Q24</v>
      </c>
      <c r="Z18" s="12" t="str">
        <f>Z7</f>
        <v>3Q24</v>
      </c>
      <c r="AA18" s="12" t="str">
        <f>AA7</f>
        <v>4Q24</v>
      </c>
      <c r="AB18" s="12">
        <f>AB7</f>
        <v>2024</v>
      </c>
      <c r="AC18" s="12" t="str">
        <f>AC7</f>
        <v>1Q25</v>
      </c>
      <c r="AD18" s="12" t="str">
        <f>AD7</f>
        <v>2Q25</v>
      </c>
      <c r="AE18" s="12" t="str">
        <f>AE7</f>
        <v>3Q25</v>
      </c>
      <c r="AF18" s="12" t="str">
        <f>AF7</f>
        <v>4Q25</v>
      </c>
      <c r="AG18" s="12">
        <f>AG7</f>
        <v>2025</v>
      </c>
      <c r="AH18" s="12" t="str">
        <f>AH7</f>
        <v>1Q26</v>
      </c>
      <c r="AI18" s="12" t="str">
        <f>AI7</f>
        <v>2Q26</v>
      </c>
    </row>
    <row r="19">
      <c r="C19" s="14" t="inlineStr">
        <is>
          <t>Automotivo (inclui serviços e outros)</t>
        </is>
      </c>
      <c r="D19" s="265">
        <f>IFERROR(INDEX('Inputs (2)'!$D$53:$AL$53,MATCH(D$7,'Inputs (2)'!$D$2:$AL$2,0)),"")</f>
        <v>5692</v>
      </c>
      <c r="E19" s="265">
        <f>IFERROR(INDEX('Inputs (2)'!$D$53:$AL$53,MATCH(E$7,'Inputs (2)'!$D$2:$AL$2,0)),"")</f>
        <v>5666</v>
      </c>
      <c r="F19" s="265">
        <f>IFERROR(INDEX('Inputs (2)'!$D$53:$AL$53,MATCH(F$7,'Inputs (2)'!$D$2:$AL$2,0)),"")</f>
        <v>8192</v>
      </c>
      <c r="G19" s="265">
        <f>IFERROR(INDEX('Inputs (2)'!$D$53:$AL$53,MATCH(G$7,'Inputs (2)'!$D$2:$AL$2,0)),"")</f>
        <v>9992</v>
      </c>
      <c r="H19" s="266">
        <f>IF(COUNT(D19:G19)=4,SUM(D19:G19),"")</f>
        <v>29542</v>
      </c>
      <c r="I19" s="265">
        <f>IFERROR(INDEX('Inputs (2)'!$D$53:$AL$53,MATCH(I$7,'Inputs (2)'!$D$2:$AL$2,0)),"")</f>
        <v>9895</v>
      </c>
      <c r="J19" s="265">
        <f>IFERROR(INDEX('Inputs (2)'!$D$53:$AL$53,MATCH(J$7,'Inputs (2)'!$D$2:$AL$2,0)),"")</f>
        <v>11157</v>
      </c>
      <c r="K19" s="265">
        <f>IFERROR(INDEX('Inputs (2)'!$D$53:$AL$53,MATCH(K$7,'Inputs (2)'!$D$2:$AL$2,0)),"")</f>
        <v>12951</v>
      </c>
      <c r="L19" s="265">
        <f>IFERROR(INDEX('Inputs (2)'!$D$53:$AL$53,MATCH(L$7,'Inputs (2)'!$D$2:$AL$2,0)),"")</f>
        <v>17031</v>
      </c>
      <c r="M19" s="266">
        <f>IF(COUNT(I19:L19)=4,SUM(I19:L19),"")</f>
        <v>51034</v>
      </c>
      <c r="N19" s="265">
        <f>IFERROR(INDEX('Inputs (2)'!$D$53:$AL$53,MATCH(N$7,'Inputs (2)'!$D$2:$AL$2,0)),"")</f>
        <v>18140</v>
      </c>
      <c r="O19" s="265">
        <f>IFERROR(INDEX('Inputs (2)'!$D$53:$AL$53,MATCH(O$7,'Inputs (2)'!$D$2:$AL$2,0)),"")</f>
        <v>16068</v>
      </c>
      <c r="P19" s="265">
        <f>IFERROR(INDEX('Inputs (2)'!$D$53:$AL$53,MATCH(P$7,'Inputs (2)'!$D$2:$AL$2,0)),"")</f>
        <v>20337</v>
      </c>
      <c r="Q19" s="265">
        <f>IFERROR(INDEX('Inputs (2)'!$D$53:$AL$53,MATCH(Q$7,'Inputs (2)'!$D$2:$AL$2,0)),"")</f>
        <v>23008</v>
      </c>
      <c r="R19" s="266">
        <f>IF(COUNT(N19:Q19)=4,SUM(N19:Q19),"")</f>
        <v>77553</v>
      </c>
      <c r="S19" s="265">
        <f>IFERROR(INDEX('Inputs (2)'!$D$53:$AL$53,MATCH(S$7,'Inputs (2)'!$D$2:$AL$2,0)),"")</f>
        <v>21800</v>
      </c>
      <c r="T19" s="265">
        <f>IFERROR(INDEX('Inputs (2)'!$D$53:$AL$53,MATCH(T$7,'Inputs (2)'!$D$2:$AL$2,0)),"")</f>
        <v>23418</v>
      </c>
      <c r="U19" s="265">
        <f>IFERROR(INDEX('Inputs (2)'!$D$53:$AL$53,MATCH(U$7,'Inputs (2)'!$D$2:$AL$2,0)),"")</f>
        <v>21791</v>
      </c>
      <c r="V19" s="265">
        <f>IFERROR(INDEX('Inputs (2)'!$D$53:$AL$53,MATCH(V$7,'Inputs (2)'!$D$2:$AL$2,0)),"")</f>
        <v>23729</v>
      </c>
      <c r="W19" s="266">
        <f>IF(COUNT(S19:V19)=4,SUM(S19:V19),"")</f>
        <v>90738</v>
      </c>
      <c r="X19" s="265">
        <f>IFERROR(INDEX('Inputs (2)'!$D$53:$AL$53,MATCH(X$7,'Inputs (2)'!$D$2:$AL$2,0)),"")</f>
        <v>19666</v>
      </c>
      <c r="Y19" s="265">
        <f>IFERROR(INDEX('Inputs (2)'!$D$53:$AL$53,MATCH(Y$7,'Inputs (2)'!$D$2:$AL$2,0)),"")</f>
        <v>22486</v>
      </c>
      <c r="Z19" s="265">
        <f>IFERROR(INDEX('Inputs (2)'!$D$53:$AL$53,MATCH(Z$7,'Inputs (2)'!$D$2:$AL$2,0)),"")</f>
        <v>22806</v>
      </c>
      <c r="AA19" s="265">
        <f>IFERROR(INDEX('Inputs (2)'!$D$53:$AL$53,MATCH(AA$7,'Inputs (2)'!$D$2:$AL$2,0)),"")</f>
        <v>22646</v>
      </c>
      <c r="AB19" s="266">
        <f>IF(COUNT(X19:AA19)=4,SUM(X19:AA19),"")</f>
        <v>87604</v>
      </c>
      <c r="AC19" s="265">
        <f>IFERROR(INDEX('Inputs (2)'!$D$53:$AL$53,MATCH(AC$7,'Inputs (2)'!$D$2:$AL$2,0)),"")</f>
        <v>16605</v>
      </c>
      <c r="AD19" s="265">
        <f>IFERROR(INDEX('Inputs (2)'!$D$53:$AL$53,MATCH(AD$7,'Inputs (2)'!$D$2:$AL$2,0)),"")</f>
        <v>19707</v>
      </c>
      <c r="AE19" s="265">
        <f>IFERROR(INDEX('Inputs (2)'!$D$53:$AL$53,MATCH(AE$7,'Inputs (2)'!$D$2:$AL$2,0)),"")</f>
        <v>24680</v>
      </c>
      <c r="AF19" s="265">
        <f>IFERROR(INDEX('Inputs (2)'!$D$53:$AL$53,MATCH(AF$7,'Inputs (2)'!$D$2:$AL$2,0)),"")</f>
        <v>21064</v>
      </c>
      <c r="AG19" s="266">
        <f>IF(COUNT(AC19:AF19)=4,SUM(AC19:AF19),"")</f>
        <v>82056</v>
      </c>
      <c r="AH19" s="266">
        <f>IFERROR(INDEX('Inputs (2)'!$D$53:$AL$53,MATCH(AH$7,'Inputs (2)'!$D$2:$AL$2,0)),"")</f>
        <v>19979</v>
      </c>
      <c r="AI19" s="266">
        <f>IFERROR(INDEX('Inputs (2)'!$D$53:$AL$53,MATCH(AI$7,'Inputs (2)'!$D$2:$AL$2,0)),"")</f>
        <v>25097</v>
      </c>
    </row>
    <row r="20">
      <c r="C20" s="14" t="inlineStr">
        <is>
          <t>Geração e armazenamento de energia</t>
        </is>
      </c>
      <c r="D20" s="265">
        <f>IFERROR(INDEX('Inputs (2)'!$D$54:$AL$54,MATCH(D$7,'Inputs (2)'!$D$2:$AL$2,0)),"")</f>
        <v>293</v>
      </c>
      <c r="E20" s="265">
        <f>IFERROR(INDEX('Inputs (2)'!$D$54:$AL$54,MATCH(E$7,'Inputs (2)'!$D$2:$AL$2,0)),"")</f>
        <v>370</v>
      </c>
      <c r="F20" s="265">
        <f>IFERROR(INDEX('Inputs (2)'!$D$54:$AL$54,MATCH(F$7,'Inputs (2)'!$D$2:$AL$2,0)),"")</f>
        <v>579</v>
      </c>
      <c r="G20" s="265">
        <f>IFERROR(INDEX('Inputs (2)'!$D$54:$AL$54,MATCH(G$7,'Inputs (2)'!$D$2:$AL$2,0)),"")</f>
        <v>752</v>
      </c>
      <c r="H20" s="266">
        <f>IF(COUNT(D20:G20)=4,SUM(D20:G20),"")</f>
        <v>1994</v>
      </c>
      <c r="I20" s="265">
        <f>IFERROR(INDEX('Inputs (2)'!$D$54:$AL$54,MATCH(I$7,'Inputs (2)'!$D$2:$AL$2,0)),"")</f>
        <v>494</v>
      </c>
      <c r="J20" s="265">
        <f>IFERROR(INDEX('Inputs (2)'!$D$54:$AL$54,MATCH(J$7,'Inputs (2)'!$D$2:$AL$2,0)),"")</f>
        <v>801</v>
      </c>
      <c r="K20" s="265">
        <f>IFERROR(INDEX('Inputs (2)'!$D$54:$AL$54,MATCH(K$7,'Inputs (2)'!$D$2:$AL$2,0)),"")</f>
        <v>806</v>
      </c>
      <c r="L20" s="265">
        <f>IFERROR(INDEX('Inputs (2)'!$D$54:$AL$54,MATCH(L$7,'Inputs (2)'!$D$2:$AL$2,0)),"")</f>
        <v>688</v>
      </c>
      <c r="M20" s="266">
        <f>IF(COUNT(I20:L20)=4,SUM(I20:L20),"")</f>
        <v>2789</v>
      </c>
      <c r="N20" s="265">
        <f>IFERROR(INDEX('Inputs (2)'!$D$54:$AL$54,MATCH(N$7,'Inputs (2)'!$D$2:$AL$2,0)),"")</f>
        <v>616</v>
      </c>
      <c r="O20" s="265">
        <f>IFERROR(INDEX('Inputs (2)'!$D$54:$AL$54,MATCH(O$7,'Inputs (2)'!$D$2:$AL$2,0)),"")</f>
        <v>866</v>
      </c>
      <c r="P20" s="265">
        <f>IFERROR(INDEX('Inputs (2)'!$D$54:$AL$54,MATCH(P$7,'Inputs (2)'!$D$2:$AL$2,0)),"")</f>
        <v>1117</v>
      </c>
      <c r="Q20" s="265">
        <f>IFERROR(INDEX('Inputs (2)'!$D$54:$AL$54,MATCH(Q$7,'Inputs (2)'!$D$2:$AL$2,0)),"")</f>
        <v>1310</v>
      </c>
      <c r="R20" s="266">
        <f>IF(COUNT(N20:Q20)=4,SUM(N20:Q20),"")</f>
        <v>3909</v>
      </c>
      <c r="S20" s="265">
        <f>IFERROR(INDEX('Inputs (2)'!$D$54:$AL$54,MATCH(S$7,'Inputs (2)'!$D$2:$AL$2,0)),"")</f>
        <v>1529</v>
      </c>
      <c r="T20" s="265">
        <f>IFERROR(INDEX('Inputs (2)'!$D$54:$AL$54,MATCH(T$7,'Inputs (2)'!$D$2:$AL$2,0)),"")</f>
        <v>1509</v>
      </c>
      <c r="U20" s="265">
        <f>IFERROR(INDEX('Inputs (2)'!$D$54:$AL$54,MATCH(U$7,'Inputs (2)'!$D$2:$AL$2,0)),"")</f>
        <v>1559</v>
      </c>
      <c r="V20" s="265">
        <f>IFERROR(INDEX('Inputs (2)'!$D$54:$AL$54,MATCH(V$7,'Inputs (2)'!$D$2:$AL$2,0)),"")</f>
        <v>1438</v>
      </c>
      <c r="W20" s="266">
        <f>IF(COUNT(S20:V20)=4,SUM(S20:V20),"")</f>
        <v>6035</v>
      </c>
      <c r="X20" s="265">
        <f>IFERROR(INDEX('Inputs (2)'!$D$54:$AL$54,MATCH(X$7,'Inputs (2)'!$D$2:$AL$2,0)),"")</f>
        <v>1635</v>
      </c>
      <c r="Y20" s="265">
        <f>IFERROR(INDEX('Inputs (2)'!$D$54:$AL$54,MATCH(Y$7,'Inputs (2)'!$D$2:$AL$2,0)),"")</f>
        <v>3014</v>
      </c>
      <c r="Z20" s="265">
        <f>IFERROR(INDEX('Inputs (2)'!$D$54:$AL$54,MATCH(Z$7,'Inputs (2)'!$D$2:$AL$2,0)),"")</f>
        <v>2376</v>
      </c>
      <c r="AA20" s="265">
        <f>IFERROR(INDEX('Inputs (2)'!$D$54:$AL$54,MATCH(AA$7,'Inputs (2)'!$D$2:$AL$2,0)),"")</f>
        <v>3061</v>
      </c>
      <c r="AB20" s="266">
        <f>IF(COUNT(X20:AA20)=4,SUM(X20:AA20),"")</f>
        <v>10086</v>
      </c>
      <c r="AC20" s="265">
        <f>IFERROR(INDEX('Inputs (2)'!$D$54:$AL$54,MATCH(AC$7,'Inputs (2)'!$D$2:$AL$2,0)),"")</f>
        <v>2730</v>
      </c>
      <c r="AD20" s="265">
        <f>IFERROR(INDEX('Inputs (2)'!$D$54:$AL$54,MATCH(AD$7,'Inputs (2)'!$D$2:$AL$2,0)),"")</f>
        <v>2789</v>
      </c>
      <c r="AE20" s="265">
        <f>IFERROR(INDEX('Inputs (2)'!$D$54:$AL$54,MATCH(AE$7,'Inputs (2)'!$D$2:$AL$2,0)),"")</f>
        <v>3415</v>
      </c>
      <c r="AF20" s="265">
        <f>IFERROR(INDEX('Inputs (2)'!$D$54:$AL$54,MATCH(AF$7,'Inputs (2)'!$D$2:$AL$2,0)),"")</f>
        <v>3837</v>
      </c>
      <c r="AG20" s="266">
        <f>IF(COUNT(AC20:AF20)=4,SUM(AC20:AF20),"")</f>
        <v>12771</v>
      </c>
      <c r="AH20" s="266">
        <f>IFERROR(INDEX('Inputs (2)'!$D$54:$AL$54,MATCH(AH$7,'Inputs (2)'!$D$2:$AL$2,0)),"")</f>
        <v>2408</v>
      </c>
      <c r="AI20" s="266">
        <f>IFERROR(INDEX('Inputs (2)'!$D$54:$AL$54,MATCH(AI$7,'Inputs (2)'!$D$2:$AL$2,0)),"")</f>
        <v>3139</v>
      </c>
    </row>
    <row r="21">
      <c r="C21" s="267" t="inlineStr">
        <is>
          <t>Receita (soma dos segmentos)</t>
        </is>
      </c>
      <c r="D21" s="265">
        <f>IF(COUNT(D19,D20)=0,"",N(D19)+N(D20))</f>
        <v>5985</v>
      </c>
      <c r="E21" s="265">
        <f>IF(COUNT(E19,E20)=0,"",N(E19)+N(E20))</f>
        <v>6036</v>
      </c>
      <c r="F21" s="265">
        <f>IF(COUNT(F19,F20)=0,"",N(F19)+N(F20))</f>
        <v>8771</v>
      </c>
      <c r="G21" s="265">
        <f>IF(COUNT(G19,G20)=0,"",N(G19)+N(G20))</f>
        <v>10744</v>
      </c>
      <c r="H21" s="266">
        <f>IF(COUNT(H19,H20)=0,"",N(H19)+N(H20))</f>
        <v>31536</v>
      </c>
      <c r="I21" s="265">
        <f>IF(COUNT(I19,I20)=0,"",N(I19)+N(I20))</f>
        <v>10389</v>
      </c>
      <c r="J21" s="265">
        <f>IF(COUNT(J19,J20)=0,"",N(J19)+N(J20))</f>
        <v>11958</v>
      </c>
      <c r="K21" s="265">
        <f>IF(COUNT(K19,K20)=0,"",N(K19)+N(K20))</f>
        <v>13757</v>
      </c>
      <c r="L21" s="265">
        <f>IF(COUNT(L19,L20)=0,"",N(L19)+N(L20))</f>
        <v>17719</v>
      </c>
      <c r="M21" s="266">
        <f>IF(COUNT(M19,M20)=0,"",N(M19)+N(M20))</f>
        <v>53823</v>
      </c>
      <c r="N21" s="265">
        <f>IF(COUNT(N19,N20)=0,"",N(N19)+N(N20))</f>
        <v>18756</v>
      </c>
      <c r="O21" s="265">
        <f>IF(COUNT(O19,O20)=0,"",N(O19)+N(O20))</f>
        <v>16934</v>
      </c>
      <c r="P21" s="265">
        <f>IF(COUNT(P19,P20)=0,"",N(P19)+N(P20))</f>
        <v>21454</v>
      </c>
      <c r="Q21" s="265">
        <f>IF(COUNT(Q19,Q20)=0,"",N(Q19)+N(Q20))</f>
        <v>24318</v>
      </c>
      <c r="R21" s="266">
        <f>IF(COUNT(R19,R20)=0,"",N(R19)+N(R20))</f>
        <v>81462</v>
      </c>
      <c r="S21" s="265">
        <f>IF(COUNT(S19,S20)=0,"",N(S19)+N(S20))</f>
        <v>23329</v>
      </c>
      <c r="T21" s="265">
        <f>IF(COUNT(T19,T20)=0,"",N(T19)+N(T20))</f>
        <v>24927</v>
      </c>
      <c r="U21" s="265">
        <f>IF(COUNT(U19,U20)=0,"",N(U19)+N(U20))</f>
        <v>23350</v>
      </c>
      <c r="V21" s="265">
        <f>IF(COUNT(V19,V20)=0,"",N(V19)+N(V20))</f>
        <v>25167</v>
      </c>
      <c r="W21" s="266">
        <f>IF(COUNT(W19,W20)=0,"",N(W19)+N(W20))</f>
        <v>96773</v>
      </c>
      <c r="X21" s="265">
        <f>IF(COUNT(X19,X20)=0,"",N(X19)+N(X20))</f>
        <v>21301</v>
      </c>
      <c r="Y21" s="265">
        <f>IF(COUNT(Y19,Y20)=0,"",N(Y19)+N(Y20))</f>
        <v>25500</v>
      </c>
      <c r="Z21" s="265">
        <f>IF(COUNT(Z19,Z20)=0,"",N(Z19)+N(Z20))</f>
        <v>25182</v>
      </c>
      <c r="AA21" s="265">
        <f>IF(COUNT(AA19,AA20)=0,"",N(AA19)+N(AA20))</f>
        <v>25707</v>
      </c>
      <c r="AB21" s="266">
        <f>IF(COUNT(AB19,AB20)=0,"",N(AB19)+N(AB20))</f>
        <v>97690</v>
      </c>
      <c r="AC21" s="265">
        <f>IF(COUNT(AC19,AC20)=0,"",N(AC19)+N(AC20))</f>
        <v>19335</v>
      </c>
      <c r="AD21" s="265">
        <f>IF(COUNT(AD19,AD20)=0,"",N(AD19)+N(AD20))</f>
        <v>22496</v>
      </c>
      <c r="AE21" s="265">
        <f>IF(COUNT(AE19,AE20)=0,"",N(AE19)+N(AE20))</f>
        <v>28095</v>
      </c>
      <c r="AF21" s="265">
        <f>IF(COUNT(AF19,AF20)=0,"",N(AF19)+N(AF20))</f>
        <v>24901</v>
      </c>
      <c r="AG21" s="266">
        <f>IF(COUNT(AG19,AG20)=0,"",N(AG19)+N(AG20))</f>
        <v>94827</v>
      </c>
      <c r="AH21" s="266">
        <f>IF(COUNT(AH19,AH20)=0,"",N(AH19)+N(AH20))</f>
        <v>22387</v>
      </c>
      <c r="AI21" s="266">
        <f>IF(COUNT(AI19,AI20)=0,"",N(AI19)+N(AI20))</f>
        <v>28236</v>
      </c>
    </row>
    <row r="22">
      <c r="C22" s="14" t="inlineStr">
        <is>
          <t>Check vs Net Revenues (linha 15)</t>
        </is>
      </c>
      <c r="D22" s="265">
        <f>IF(COUNT(D21)=0,"",ROUND(D15-D21,1))</f>
        <v>0</v>
      </c>
      <c r="E22" s="265">
        <f>IF(COUNT(E21)=0,"",ROUND(E15-E21,1))</f>
        <v>0</v>
      </c>
      <c r="F22" s="265">
        <f>IF(COUNT(F21)=0,"",ROUND(F15-F21,1))</f>
        <v>0</v>
      </c>
      <c r="G22" s="265">
        <f>IF(COUNT(G21)=0,"",ROUND(G15-G21,1))</f>
        <v>0</v>
      </c>
      <c r="H22" s="266">
        <f>IF(COUNT(H21)=0,"",ROUND(H15-H21,1))</f>
        <v>0</v>
      </c>
      <c r="I22" s="265">
        <f>IF(COUNT(I21)=0,"",ROUND(I15-I21,1))</f>
        <v>0</v>
      </c>
      <c r="J22" s="265">
        <f>IF(COUNT(J21)=0,"",ROUND(J15-J21,1))</f>
        <v>0</v>
      </c>
      <c r="K22" s="265">
        <f>IF(COUNT(K21)=0,"",ROUND(K15-K21,1))</f>
        <v>0</v>
      </c>
      <c r="L22" s="265">
        <f>IF(COUNT(L21)=0,"",ROUND(L15-L21,1))</f>
        <v>0</v>
      </c>
      <c r="M22" s="266">
        <f>IF(COUNT(M21)=0,"",ROUND(M15-M21,1))</f>
        <v>0</v>
      </c>
      <c r="N22" s="265">
        <f>IF(COUNT(N21)=0,"",ROUND(N15-N21,1))</f>
        <v>0</v>
      </c>
      <c r="O22" s="265">
        <f>IF(COUNT(O21)=0,"",ROUND(O15-O21,1))</f>
        <v>0</v>
      </c>
      <c r="P22" s="265">
        <f>IF(COUNT(P21)=0,"",ROUND(P15-P21,1))</f>
        <v>0</v>
      </c>
      <c r="Q22" s="265">
        <f>IF(COUNT(Q21)=0,"",ROUND(Q15-Q21,1))</f>
        <v>0</v>
      </c>
      <c r="R22" s="266">
        <f>IF(COUNT(R21)=0,"",ROUND(R15-R21,1))</f>
        <v>0</v>
      </c>
      <c r="S22" s="265">
        <f>IF(COUNT(S21)=0,"",ROUND(S15-S21,1))</f>
        <v>0</v>
      </c>
      <c r="T22" s="265">
        <f>IF(COUNT(T21)=0,"",ROUND(T15-T21,1))</f>
        <v>0</v>
      </c>
      <c r="U22" s="265">
        <f>IF(COUNT(U21)=0,"",ROUND(U15-U21,1))</f>
        <v>0</v>
      </c>
      <c r="V22" s="265">
        <f>IF(COUNT(V21)=0,"",ROUND(V15-V21,1))</f>
        <v>0</v>
      </c>
      <c r="W22" s="266">
        <f>IF(COUNT(W21)=0,"",ROUND(W15-W21,1))</f>
        <v>0</v>
      </c>
      <c r="X22" s="265">
        <f>IF(COUNT(X21)=0,"",ROUND(X15-X21,1))</f>
        <v>0</v>
      </c>
      <c r="Y22" s="265">
        <f>IF(COUNT(Y21)=0,"",ROUND(Y15-Y21,1))</f>
        <v>0</v>
      </c>
      <c r="Z22" s="265">
        <f>IF(COUNT(Z21)=0,"",ROUND(Z15-Z21,1))</f>
        <v>0</v>
      </c>
      <c r="AA22" s="265">
        <f>IF(COUNT(AA21)=0,"",ROUND(AA15-AA21,1))</f>
        <v>0</v>
      </c>
      <c r="AB22" s="266">
        <f>IF(COUNT(AB21)=0,"",ROUND(AB15-AB21,1))</f>
        <v>0</v>
      </c>
      <c r="AC22" s="265">
        <f>IF(COUNT(AC21)=0,"",ROUND(AC15-AC21,1))</f>
        <v>0</v>
      </c>
      <c r="AD22" s="265">
        <f>IF(COUNT(AD21)=0,"",ROUND(AD15-AD21,1))</f>
        <v>0</v>
      </c>
      <c r="AE22" s="265">
        <f>IF(COUNT(AE21)=0,"",ROUND(AE15-AE21,1))</f>
        <v>0</v>
      </c>
      <c r="AF22" s="265">
        <f>IF(COUNT(AF21)=0,"",ROUND(AF15-AF21,1))</f>
        <v>0</v>
      </c>
      <c r="AG22" s="266">
        <f>IF(COUNT(AG21)=0,"",ROUND(AG15-AG21,1))</f>
        <v>0</v>
      </c>
      <c r="AH22" s="266">
        <f>IF(COUNT(AH21)=0,"",ROUND(AH15-AH21,1))</f>
        <v>0</v>
      </c>
      <c r="AI22" s="266">
        <f>IF(COUNT(AI21)=0,"",ROUND(AI15-AI21,1))</f>
        <v>0</v>
      </c>
    </row>
    <row r="23">
      <c r="C23" s="14" t="inlineStr">
        <is>
          <t xml:space="preserve">   % YoY Automotivo</t>
        </is>
      </c>
      <c r="D23" s="268" t="str">
        <f>""</f>
        <v/>
      </c>
      <c r="E23" s="268" t="str">
        <f>""</f>
        <v/>
      </c>
      <c r="F23" s="268" t="str">
        <f>""</f>
        <v/>
      </c>
      <c r="G23" s="268" t="str">
        <f>""</f>
        <v/>
      </c>
      <c r="H23" s="269" t="str">
        <f>""</f>
        <v/>
      </c>
      <c r="I23" s="268">
        <f>IFERROR(I19/D19-1,"")</f>
        <v>0.738404778636683</v>
      </c>
      <c r="J23" s="268">
        <f>IFERROR(J19/E19-1,"")</f>
        <v>0.969114013413343</v>
      </c>
      <c r="K23" s="268">
        <f>IFERROR(K19/F19-1,"")</f>
        <v>0.5809326171875</v>
      </c>
      <c r="L23" s="268">
        <f>IFERROR(L19/G19-1,"")</f>
        <v>0.704463570856685</v>
      </c>
      <c r="M23" s="269">
        <f>IFERROR(M19/H19-1,"")</f>
        <v>0.727506600771783</v>
      </c>
      <c r="N23" s="268">
        <f>IFERROR(N19/I19-1,"")</f>
        <v>0.833249115715008</v>
      </c>
      <c r="O23" s="268">
        <f>IFERROR(O19/J19-1,"")</f>
        <v>0.440172089271309</v>
      </c>
      <c r="P23" s="268">
        <f>IFERROR(P19/K19-1,"")</f>
        <v>0.570303451470929</v>
      </c>
      <c r="Q23" s="268">
        <f>IFERROR(Q19/L19-1,"")</f>
        <v>0.350948270800305</v>
      </c>
      <c r="R23" s="269">
        <f>IFERROR(R19/M19-1,"")</f>
        <v>0.519633969510522</v>
      </c>
      <c r="S23" s="268">
        <f>IFERROR(S19/N19-1,"")</f>
        <v>0.201764057331863</v>
      </c>
      <c r="T23" s="268">
        <f>IFERROR(T19/O19-1,"")</f>
        <v>0.457430918595967</v>
      </c>
      <c r="U23" s="268">
        <f>IFERROR(U19/P19-1,"")</f>
        <v>0.0714953041254856</v>
      </c>
      <c r="V23" s="268">
        <f>IFERROR(V19/Q19-1,"")</f>
        <v>0.0313369262865091</v>
      </c>
      <c r="W23" s="269">
        <f>IFERROR(W19/R19-1,"")</f>
        <v>0.170012765463618</v>
      </c>
      <c r="X23" s="268">
        <f>IFERROR(X19/S19-1,"")</f>
        <v>-0.0978899082568807</v>
      </c>
      <c r="Y23" s="268">
        <f>IFERROR(Y19/T19-1,"")</f>
        <v>-0.0397984456401059</v>
      </c>
      <c r="Z23" s="268">
        <f>IFERROR(Z19/U19-1,"")</f>
        <v>0.0465788628332797</v>
      </c>
      <c r="AA23" s="268">
        <f>IFERROR(AA19/V19-1,"")</f>
        <v>-0.0456403556829197</v>
      </c>
      <c r="AB23" s="269">
        <f>IFERROR(AB19/W19-1,"")</f>
        <v>-0.0345390024025215</v>
      </c>
      <c r="AC23" s="268">
        <f>IFERROR(AC19/X19-1,"")</f>
        <v>-0.155649344045561</v>
      </c>
      <c r="AD23" s="268">
        <f>IFERROR(AD19/Y19-1,"")</f>
        <v>-0.123588010317531</v>
      </c>
      <c r="AE23" s="268">
        <f>IFERROR(AE19/Z19-1,"")</f>
        <v>0.0821713584144523</v>
      </c>
      <c r="AF23" s="268">
        <f>IFERROR(AF19/AA19-1,"")</f>
        <v>-0.0698578115340458</v>
      </c>
      <c r="AG23" s="269">
        <f>IFERROR(AG19/AB19-1,"")</f>
        <v>-0.0633304415323501</v>
      </c>
      <c r="AH23" s="269">
        <f>IFERROR(AH19/AC19-1,"")</f>
        <v>0.203191809695875</v>
      </c>
      <c r="AI23" s="269">
        <f>IFERROR(AI19/AD19-1,"")</f>
        <v>0.273506875729436</v>
      </c>
    </row>
    <row r="24">
      <c r="C24" s="14" t="inlineStr">
        <is>
          <t xml:space="preserve">   % YoY Energia</t>
        </is>
      </c>
      <c r="D24" s="268" t="str">
        <f>""</f>
        <v/>
      </c>
      <c r="E24" s="268" t="str">
        <f>""</f>
        <v/>
      </c>
      <c r="F24" s="268" t="str">
        <f>""</f>
        <v/>
      </c>
      <c r="G24" s="268" t="str">
        <f>""</f>
        <v/>
      </c>
      <c r="H24" s="269" t="str">
        <f>""</f>
        <v/>
      </c>
      <c r="I24" s="268">
        <f>IFERROR(I20/D20-1,"")</f>
        <v>0.686006825938567</v>
      </c>
      <c r="J24" s="268">
        <f>IFERROR(J20/E20-1,"")</f>
        <v>1.16486486486486</v>
      </c>
      <c r="K24" s="268">
        <f>IFERROR(K20/F20-1,"")</f>
        <v>0.392055267702936</v>
      </c>
      <c r="L24" s="268">
        <f>IFERROR(L20/G20-1,"")</f>
        <v>-0.0851063829787234</v>
      </c>
      <c r="M24" s="269">
        <f>IFERROR(M20/H20-1,"")</f>
        <v>0.398696088264794</v>
      </c>
      <c r="N24" s="268">
        <f>IFERROR(N20/I20-1,"")</f>
        <v>0.246963562753036</v>
      </c>
      <c r="O24" s="268">
        <f>IFERROR(O20/J20-1,"")</f>
        <v>0.0811485642946317</v>
      </c>
      <c r="P24" s="268">
        <f>IFERROR(P20/K20-1,"")</f>
        <v>0.385856079404467</v>
      </c>
      <c r="Q24" s="268">
        <f>IFERROR(Q20/L20-1,"")</f>
        <v>0.904069767441861</v>
      </c>
      <c r="R24" s="269">
        <f>IFERROR(R20/M20-1,"")</f>
        <v>0.401577626389387</v>
      </c>
      <c r="S24" s="268">
        <f>IFERROR(S20/N20-1,"")</f>
        <v>1.48214285714286</v>
      </c>
      <c r="T24" s="268">
        <f>IFERROR(T20/O20-1,"")</f>
        <v>0.742494226327945</v>
      </c>
      <c r="U24" s="268">
        <f>IFERROR(U20/P20-1,"")</f>
        <v>0.395702775290958</v>
      </c>
      <c r="V24" s="268">
        <f>IFERROR(V20/Q20-1,"")</f>
        <v>0.0977099236641221</v>
      </c>
      <c r="W24" s="269">
        <f>IFERROR(W20/R20-1,"")</f>
        <v>0.543873113328217</v>
      </c>
      <c r="X24" s="268">
        <f>IFERROR(X20/S20-1,"")</f>
        <v>0.0693263570961413</v>
      </c>
      <c r="Y24" s="268">
        <f>IFERROR(Y20/T20-1,"")</f>
        <v>0.997349237905898</v>
      </c>
      <c r="Z24" s="268">
        <f>IFERROR(Z20/U20-1,"")</f>
        <v>0.524053880692752</v>
      </c>
      <c r="AA24" s="268">
        <f>IFERROR(AA20/V20-1,"")</f>
        <v>1.12865090403338</v>
      </c>
      <c r="AB24" s="269">
        <f>IFERROR(AB20/W20-1,"")</f>
        <v>0.671251035625518</v>
      </c>
      <c r="AC24" s="268">
        <f>IFERROR(AC20/X20-1,"")</f>
        <v>0.669724770642202</v>
      </c>
      <c r="AD24" s="268">
        <f>IFERROR(AD20/Y20-1,"")</f>
        <v>-0.0746516257465163</v>
      </c>
      <c r="AE24" s="268">
        <f>IFERROR(AE20/Z20-1,"")</f>
        <v>0.437289562289562</v>
      </c>
      <c r="AF24" s="268">
        <f>IFERROR(AF20/AA20-1,"")</f>
        <v>0.253511924207775</v>
      </c>
      <c r="AG24" s="269">
        <f>IFERROR(AG20/AB20-1,"")</f>
        <v>0.266210588935158</v>
      </c>
      <c r="AH24" s="269">
        <f>IFERROR(AH20/AC20-1,"")</f>
        <v>-0.117948717948718</v>
      </c>
      <c r="AI24" s="269">
        <f>IFERROR(AI20/AD20-1,"")</f>
        <v>0.125493008246683</v>
      </c>
    </row>
    <row r="25">
      <c r="C25" s="14" t="inlineStr">
        <is>
          <t xml:space="preserve">   Lucro bruto Automotivo</t>
        </is>
      </c>
      <c r="D25" s="265">
        <f>IFERROR(INDEX('Inputs (2)'!$D$55:$AL$55,MATCH(D$7,'Inputs (2)'!$D$2:$AL$2,0)),"")</f>
        <v>1223</v>
      </c>
      <c r="E25" s="265">
        <f>IFERROR(INDEX('Inputs (2)'!$D$55:$AL$55,MATCH(E$7,'Inputs (2)'!$D$2:$AL$2,0)),"")</f>
        <v>1246</v>
      </c>
      <c r="F25" s="265">
        <f>IFERROR(INDEX('Inputs (2)'!$D$55:$AL$55,MATCH(F$7,'Inputs (2)'!$D$2:$AL$2,0)),"")</f>
        <v>2042</v>
      </c>
      <c r="G25" s="265">
        <f>IFERROR(INDEX('Inputs (2)'!$D$55:$AL$55,MATCH(G$7,'Inputs (2)'!$D$2:$AL$2,0)),"")</f>
        <v>2101</v>
      </c>
      <c r="H25" s="266">
        <f>IF(COUNT(D25:G25)=4,SUM(D25:G25),"")</f>
        <v>6612</v>
      </c>
      <c r="I25" s="265">
        <f>IFERROR(INDEX('Inputs (2)'!$D$55:$AL$55,MATCH(I$7,'Inputs (2)'!$D$2:$AL$2,0)),"")</f>
        <v>2316</v>
      </c>
      <c r="J25" s="265">
        <f>IFERROR(INDEX('Inputs (2)'!$D$55:$AL$55,MATCH(J$7,'Inputs (2)'!$D$2:$AL$2,0)),"")</f>
        <v>2864</v>
      </c>
      <c r="K25" s="265">
        <f>IFERROR(INDEX('Inputs (2)'!$D$55:$AL$55,MATCH(K$7,'Inputs (2)'!$D$2:$AL$2,0)),"")</f>
        <v>3657</v>
      </c>
      <c r="L25" s="265">
        <f>IFERROR(INDEX('Inputs (2)'!$D$55:$AL$55,MATCH(L$7,'Inputs (2)'!$D$2:$AL$2,0)),"")</f>
        <v>4898</v>
      </c>
      <c r="M25" s="266">
        <f>IF(COUNT(I25:L25)=4,SUM(I25:L25),"")</f>
        <v>13735</v>
      </c>
      <c r="N25" s="265">
        <f>IFERROR(INDEX('Inputs (2)'!$D$55:$AL$55,MATCH(N$7,'Inputs (2)'!$D$2:$AL$2,0)),"")</f>
        <v>5532</v>
      </c>
      <c r="O25" s="265">
        <f>IFERROR(INDEX('Inputs (2)'!$D$55:$AL$55,MATCH(O$7,'Inputs (2)'!$D$2:$AL$2,0)),"")</f>
        <v>4137</v>
      </c>
      <c r="P25" s="265">
        <f>IFERROR(INDEX('Inputs (2)'!$D$55:$AL$55,MATCH(P$7,'Inputs (2)'!$D$2:$AL$2,0)),"")</f>
        <v>5278</v>
      </c>
      <c r="Q25" s="265">
        <f>IFERROR(INDEX('Inputs (2)'!$D$55:$AL$55,MATCH(Q$7,'Inputs (2)'!$D$2:$AL$2,0)),"")</f>
        <v>5618</v>
      </c>
      <c r="R25" s="266">
        <f>IF(COUNT(N25:Q25)=4,SUM(N25:Q25),"")</f>
        <v>20565</v>
      </c>
      <c r="S25" s="265">
        <f>IFERROR(INDEX('Inputs (2)'!$D$55:$AL$55,MATCH(S$7,'Inputs (2)'!$D$2:$AL$2,0)),"")</f>
        <v>4343</v>
      </c>
      <c r="T25" s="265">
        <f>IFERROR(INDEX('Inputs (2)'!$D$55:$AL$55,MATCH(T$7,'Inputs (2)'!$D$2:$AL$2,0)),"")</f>
        <v>4255</v>
      </c>
      <c r="U25" s="265">
        <f>IFERROR(INDEX('Inputs (2)'!$D$55:$AL$55,MATCH(U$7,'Inputs (2)'!$D$2:$AL$2,0)),"")</f>
        <v>3797</v>
      </c>
      <c r="V25" s="265">
        <f>IFERROR(INDEX('Inputs (2)'!$D$55:$AL$55,MATCH(V$7,'Inputs (2)'!$D$2:$AL$2,0)),"")</f>
        <v>4124</v>
      </c>
      <c r="W25" s="266">
        <f>IF(COUNT(S25:V25)=4,SUM(S25:V25),"")</f>
        <v>16519</v>
      </c>
      <c r="X25" s="265">
        <f>IFERROR(INDEX('Inputs (2)'!$D$55:$AL$55,MATCH(X$7,'Inputs (2)'!$D$2:$AL$2,0)),"")</f>
        <v>3293</v>
      </c>
      <c r="Y25" s="265">
        <f>IFERROR(INDEX('Inputs (2)'!$D$55:$AL$55,MATCH(Y$7,'Inputs (2)'!$D$2:$AL$2,0)),"")</f>
        <v>3838</v>
      </c>
      <c r="Z25" s="265">
        <f>IFERROR(INDEX('Inputs (2)'!$D$55:$AL$55,MATCH(Z$7,'Inputs (2)'!$D$2:$AL$2,0)),"")</f>
        <v>4272</v>
      </c>
      <c r="AA25" s="265">
        <f>IFERROR(INDEX('Inputs (2)'!$D$55:$AL$55,MATCH(AA$7,'Inputs (2)'!$D$2:$AL$2,0)),"")</f>
        <v>3407</v>
      </c>
      <c r="AB25" s="266">
        <f>IF(COUNT(X25:AA25)=4,SUM(X25:AA25),"")</f>
        <v>14810</v>
      </c>
      <c r="AC25" s="265">
        <f>IFERROR(INDEX('Inputs (2)'!$D$55:$AL$55,MATCH(AC$7,'Inputs (2)'!$D$2:$AL$2,0)),"")</f>
        <v>2368</v>
      </c>
      <c r="AD25" s="265">
        <f>IFERROR(INDEX('Inputs (2)'!$D$55:$AL$55,MATCH(AD$7,'Inputs (2)'!$D$2:$AL$2,0)),"")</f>
        <v>3032</v>
      </c>
      <c r="AE25" s="265">
        <f>IFERROR(INDEX('Inputs (2)'!$D$55:$AL$55,MATCH(AE$7,'Inputs (2)'!$D$2:$AL$2,0)),"")</f>
        <v>3981</v>
      </c>
      <c r="AF25" s="265">
        <f>IFERROR(INDEX('Inputs (2)'!$D$55:$AL$55,MATCH(AF$7,'Inputs (2)'!$D$2:$AL$2,0)),"")</f>
        <v>3911</v>
      </c>
      <c r="AG25" s="266">
        <f>IF(COUNT(AC25:AF25)=4,SUM(AC25:AF25),"")</f>
        <v>13292</v>
      </c>
      <c r="AH25" s="266">
        <f>IFERROR(INDEX('Inputs (2)'!$D$55:$AL$55,MATCH(AH$7,'Inputs (2)'!$D$2:$AL$2,0)),"")</f>
        <v>3768</v>
      </c>
      <c r="AI25" s="266">
        <f>IFERROR(INDEX('Inputs (2)'!$D$55:$AL$55,MATCH(AI$7,'Inputs (2)'!$D$2:$AL$2,0)),"")</f>
        <v>4111</v>
      </c>
    </row>
    <row r="26">
      <c r="C26" s="14" t="inlineStr">
        <is>
          <t xml:space="preserve">   Lucro bruto Energia</t>
        </is>
      </c>
      <c r="D26" s="265">
        <f>IFERROR(INDEX('Inputs (2)'!$D$56:$AL$56,MATCH(D$7,'Inputs (2)'!$D$2:$AL$2,0)),"")</f>
        <v>11</v>
      </c>
      <c r="E26" s="265">
        <f>IFERROR(INDEX('Inputs (2)'!$D$56:$AL$56,MATCH(E$7,'Inputs (2)'!$D$2:$AL$2,0)),"")</f>
        <v>21</v>
      </c>
      <c r="F26" s="265">
        <f>IFERROR(INDEX('Inputs (2)'!$D$56:$AL$56,MATCH(F$7,'Inputs (2)'!$D$2:$AL$2,0)),"")</f>
        <v>21</v>
      </c>
      <c r="G26" s="265">
        <f>IFERROR(INDEX('Inputs (2)'!$D$56:$AL$56,MATCH(G$7,'Inputs (2)'!$D$2:$AL$2,0)),"")</f>
        <v>-35</v>
      </c>
      <c r="H26" s="266">
        <f>IF(COUNT(D26:G26)=4,SUM(D26:G26),"")</f>
        <v>18</v>
      </c>
      <c r="I26" s="265">
        <f>IFERROR(INDEX('Inputs (2)'!$D$56:$AL$56,MATCH(I$7,'Inputs (2)'!$D$2:$AL$2,0)),"")</f>
        <v>-101</v>
      </c>
      <c r="J26" s="265">
        <f>IFERROR(INDEX('Inputs (2)'!$D$56:$AL$56,MATCH(J$7,'Inputs (2)'!$D$2:$AL$2,0)),"")</f>
        <v>20</v>
      </c>
      <c r="K26" s="265">
        <f>IFERROR(INDEX('Inputs (2)'!$D$56:$AL$56,MATCH(K$7,'Inputs (2)'!$D$2:$AL$2,0)),"")</f>
        <v>3</v>
      </c>
      <c r="L26" s="265">
        <f>IFERROR(INDEX('Inputs (2)'!$D$56:$AL$56,MATCH(L$7,'Inputs (2)'!$D$2:$AL$2,0)),"")</f>
        <v>-51</v>
      </c>
      <c r="M26" s="266">
        <f>IF(COUNT(I26:L26)=4,SUM(I26:L26),"")</f>
        <v>-129</v>
      </c>
      <c r="N26" s="265">
        <f>IFERROR(INDEX('Inputs (2)'!$D$56:$AL$56,MATCH(N$7,'Inputs (2)'!$D$2:$AL$2,0)),"")</f>
        <v>-72</v>
      </c>
      <c r="O26" s="265">
        <f>IFERROR(INDEX('Inputs (2)'!$D$56:$AL$56,MATCH(O$7,'Inputs (2)'!$D$2:$AL$2,0)),"")</f>
        <v>97</v>
      </c>
      <c r="P26" s="265">
        <f>IFERROR(INDEX('Inputs (2)'!$D$56:$AL$56,MATCH(P$7,'Inputs (2)'!$D$2:$AL$2,0)),"")</f>
        <v>104</v>
      </c>
      <c r="Q26" s="265">
        <f>IFERROR(INDEX('Inputs (2)'!$D$56:$AL$56,MATCH(Q$7,'Inputs (2)'!$D$2:$AL$2,0)),"")</f>
        <v>159</v>
      </c>
      <c r="R26" s="266">
        <f>IF(COUNT(N26:Q26)=4,SUM(N26:Q26),"")</f>
        <v>288</v>
      </c>
      <c r="S26" s="265">
        <f>IFERROR(INDEX('Inputs (2)'!$D$56:$AL$56,MATCH(S$7,'Inputs (2)'!$D$2:$AL$2,0)),"")</f>
        <v>168</v>
      </c>
      <c r="T26" s="265">
        <f>IFERROR(INDEX('Inputs (2)'!$D$56:$AL$56,MATCH(T$7,'Inputs (2)'!$D$2:$AL$2,0)),"")</f>
        <v>278</v>
      </c>
      <c r="U26" s="265">
        <f>IFERROR(INDEX('Inputs (2)'!$D$56:$AL$56,MATCH(U$7,'Inputs (2)'!$D$2:$AL$2,0)),"")</f>
        <v>381</v>
      </c>
      <c r="V26" s="265">
        <f>IFERROR(INDEX('Inputs (2)'!$D$56:$AL$56,MATCH(V$7,'Inputs (2)'!$D$2:$AL$2,0)),"")</f>
        <v>314</v>
      </c>
      <c r="W26" s="266">
        <f>IF(COUNT(S26:V26)=4,SUM(S26:V26),"")</f>
        <v>1141</v>
      </c>
      <c r="X26" s="265">
        <f>IFERROR(INDEX('Inputs (2)'!$D$56:$AL$56,MATCH(X$7,'Inputs (2)'!$D$2:$AL$2,0)),"")</f>
        <v>403</v>
      </c>
      <c r="Y26" s="265">
        <f>IFERROR(INDEX('Inputs (2)'!$D$56:$AL$56,MATCH(Y$7,'Inputs (2)'!$D$2:$AL$2,0)),"")</f>
        <v>740</v>
      </c>
      <c r="Z26" s="265">
        <f>IFERROR(INDEX('Inputs (2)'!$D$56:$AL$56,MATCH(Z$7,'Inputs (2)'!$D$2:$AL$2,0)),"")</f>
        <v>725</v>
      </c>
      <c r="AA26" s="265">
        <f>IFERROR(INDEX('Inputs (2)'!$D$56:$AL$56,MATCH(AA$7,'Inputs (2)'!$D$2:$AL$2,0)),"")</f>
        <v>772</v>
      </c>
      <c r="AB26" s="266">
        <f>IF(COUNT(X26:AA26)=4,SUM(X26:AA26),"")</f>
        <v>2640</v>
      </c>
      <c r="AC26" s="265">
        <f>IFERROR(INDEX('Inputs (2)'!$D$56:$AL$56,MATCH(AC$7,'Inputs (2)'!$D$2:$AL$2,0)),"")</f>
        <v>785</v>
      </c>
      <c r="AD26" s="265">
        <f>IFERROR(INDEX('Inputs (2)'!$D$56:$AL$56,MATCH(AD$7,'Inputs (2)'!$D$2:$AL$2,0)),"")</f>
        <v>846</v>
      </c>
      <c r="AE26" s="265">
        <f>IFERROR(INDEX('Inputs (2)'!$D$56:$AL$56,MATCH(AE$7,'Inputs (2)'!$D$2:$AL$2,0)),"")</f>
        <v>1073</v>
      </c>
      <c r="AF26" s="265">
        <f>IFERROR(INDEX('Inputs (2)'!$D$56:$AL$56,MATCH(AF$7,'Inputs (2)'!$D$2:$AL$2,0)),"")</f>
        <v>1098</v>
      </c>
      <c r="AG26" s="266">
        <f>IF(COUNT(AC26:AF26)=4,SUM(AC26:AF26),"")</f>
        <v>3802</v>
      </c>
      <c r="AH26" s="266">
        <f>IFERROR(INDEX('Inputs (2)'!$D$56:$AL$56,MATCH(AH$7,'Inputs (2)'!$D$2:$AL$2,0)),"")</f>
        <v>952</v>
      </c>
      <c r="AI26" s="266">
        <f>IFERROR(INDEX('Inputs (2)'!$D$56:$AL$56,MATCH(AI$7,'Inputs (2)'!$D$2:$AL$2,0)),"")</f>
        <v>640</v>
      </c>
    </row>
    <row r="27">
      <c r="C27" s="14" t="inlineStr">
        <is>
          <t xml:space="preserve">   Margem bruta Automotivo</t>
        </is>
      </c>
      <c r="D27" s="268">
        <f>IFERROR(D25/D19,"")</f>
        <v>0.214862965565706</v>
      </c>
      <c r="E27" s="268">
        <f>IFERROR(E25/E19,"")</f>
        <v>0.219908224497</v>
      </c>
      <c r="F27" s="268">
        <f>IFERROR(F25/F19,"")</f>
        <v>0.249267578125</v>
      </c>
      <c r="G27" s="268">
        <f>IFERROR(G25/G19,"")</f>
        <v>0.210268214571657</v>
      </c>
      <c r="H27" s="269">
        <f>IFERROR(H25/H19,"")</f>
        <v>0.223816938595897</v>
      </c>
      <c r="I27" s="268">
        <f>IFERROR(I25/I19,"")</f>
        <v>0.234057604850935</v>
      </c>
      <c r="J27" s="268">
        <f>IFERROR(J25/J19,"")</f>
        <v>0.256699829703325</v>
      </c>
      <c r="K27" s="268">
        <f>IFERROR(K25/K19,"")</f>
        <v>0.282372017604818</v>
      </c>
      <c r="L27" s="268">
        <f>IFERROR(L25/L19,"")</f>
        <v>0.287593212377429</v>
      </c>
      <c r="M27" s="269">
        <f>IFERROR(M25/M19,"")</f>
        <v>0.269134302621782</v>
      </c>
      <c r="N27" s="268">
        <f>IFERROR(N25/N19,"")</f>
        <v>0.304961411245866</v>
      </c>
      <c r="O27" s="268">
        <f>IFERROR(O25/O19,"")</f>
        <v>0.257468259895444</v>
      </c>
      <c r="P27" s="268">
        <f>IFERROR(P25/P19,"")</f>
        <v>0.259526970546295</v>
      </c>
      <c r="Q27" s="268">
        <f>IFERROR(Q25/Q19,"")</f>
        <v>0.244175938803894</v>
      </c>
      <c r="R27" s="269">
        <f>IFERROR(R25/R19,"")</f>
        <v>0.265173494255541</v>
      </c>
      <c r="S27" s="268">
        <f>IFERROR(S25/S19,"")</f>
        <v>0.199220183486239</v>
      </c>
      <c r="T27" s="268">
        <f>IFERROR(T25/T19,"")</f>
        <v>0.181697839268938</v>
      </c>
      <c r="U27" s="268">
        <f>IFERROR(U25/U19,"")</f>
        <v>0.174246248451195</v>
      </c>
      <c r="V27" s="268">
        <f>IFERROR(V25/V19,"")</f>
        <v>0.173795777318893</v>
      </c>
      <c r="W27" s="269">
        <f>IFERROR(W25/W19,"")</f>
        <v>0.182051621151006</v>
      </c>
      <c r="X27" s="268">
        <f>IFERROR(X25/X19,"")</f>
        <v>0.167446354113699</v>
      </c>
      <c r="Y27" s="268">
        <f>IFERROR(Y25/Y19,"")</f>
        <v>0.170683981143823</v>
      </c>
      <c r="Z27" s="268">
        <f>IFERROR(Z25/Z19,"")</f>
        <v>0.187319126545646</v>
      </c>
      <c r="AA27" s="268">
        <f>IFERROR(AA25/AA19,"")</f>
        <v>0.150445994877683</v>
      </c>
      <c r="AB27" s="269">
        <f>IFERROR(AB25/AB19,"")</f>
        <v>0.169056207479111</v>
      </c>
      <c r="AC27" s="268">
        <f>IFERROR(AC25/AC19,"")</f>
        <v>0.142607648298705</v>
      </c>
      <c r="AD27" s="268">
        <f>IFERROR(AD25/AD19,"")</f>
        <v>0.153853960521642</v>
      </c>
      <c r="AE27" s="268">
        <f>IFERROR(AE25/AE19,"")</f>
        <v>0.161304700162075</v>
      </c>
      <c r="AF27" s="268">
        <f>IFERROR(AF25/AF19,"")</f>
        <v>0.185672236992024</v>
      </c>
      <c r="AG27" s="269">
        <f>IFERROR(AG25/AG19,"")</f>
        <v>0.161986935751194</v>
      </c>
      <c r="AH27" s="269">
        <f>IFERROR(AH25/AH19,"")</f>
        <v>0.188598027929326</v>
      </c>
      <c r="AI27" s="269">
        <f>IFERROR(AI25/AI19,"")</f>
        <v>0.163804438777543</v>
      </c>
    </row>
    <row r="28">
      <c r="C28" s="14" t="inlineStr">
        <is>
          <t xml:space="preserve">   Margem bruta Energia</t>
        </is>
      </c>
      <c r="D28" s="268">
        <f>IFERROR(D26/D20,"")</f>
        <v>0.037542662116041</v>
      </c>
      <c r="E28" s="268">
        <f>IFERROR(E26/E20,"")</f>
        <v>0.0567567567567568</v>
      </c>
      <c r="F28" s="268">
        <f>IFERROR(F26/F20,"")</f>
        <v>0.0362694300518135</v>
      </c>
      <c r="G28" s="268">
        <f>IFERROR(G26/G20,"")</f>
        <v>-0.0465425531914894</v>
      </c>
      <c r="H28" s="269">
        <f>IFERROR(H26/H20,"")</f>
        <v>0.00902708124373119</v>
      </c>
      <c r="I28" s="268">
        <f>IFERROR(I26/I20,"")</f>
        <v>-0.204453441295547</v>
      </c>
      <c r="J28" s="268">
        <f>IFERROR(J26/J20,"")</f>
        <v>0.0249687890137328</v>
      </c>
      <c r="K28" s="268">
        <f>IFERROR(K26/K20,"")</f>
        <v>0.00372208436724566</v>
      </c>
      <c r="L28" s="268">
        <f>IFERROR(L26/L20,"")</f>
        <v>-0.0741279069767442</v>
      </c>
      <c r="M28" s="269">
        <f>IFERROR(M26/M20,"")</f>
        <v>-0.0462531373252062</v>
      </c>
      <c r="N28" s="268">
        <f>IFERROR(N26/N20,"")</f>
        <v>-0.116883116883117</v>
      </c>
      <c r="O28" s="268">
        <f>IFERROR(O26/O20,"")</f>
        <v>0.112009237875289</v>
      </c>
      <c r="P28" s="268">
        <f>IFERROR(P26/P20,"")</f>
        <v>0.0931065353625783</v>
      </c>
      <c r="Q28" s="268">
        <f>IFERROR(Q26/Q20,"")</f>
        <v>0.121374045801527</v>
      </c>
      <c r="R28" s="269">
        <f>IFERROR(R26/R20,"")</f>
        <v>0.0736761320030698</v>
      </c>
      <c r="S28" s="268">
        <f>IFERROR(S26/S20,"")</f>
        <v>0.109875735775016</v>
      </c>
      <c r="T28" s="268">
        <f>IFERROR(T26/T20,"")</f>
        <v>0.184227965540093</v>
      </c>
      <c r="U28" s="268">
        <f>IFERROR(U26/U20,"")</f>
        <v>0.244387427838358</v>
      </c>
      <c r="V28" s="268">
        <f>IFERROR(V26/V20,"")</f>
        <v>0.218358831710709</v>
      </c>
      <c r="W28" s="269">
        <f>IFERROR(W26/W20,"")</f>
        <v>0.189063794531897</v>
      </c>
      <c r="X28" s="268">
        <f>IFERROR(X26/X20,"")</f>
        <v>0.246483180428135</v>
      </c>
      <c r="Y28" s="268">
        <f>IFERROR(Y26/Y20,"")</f>
        <v>0.245520902455209</v>
      </c>
      <c r="Z28" s="268">
        <f>IFERROR(Z26/Z20,"")</f>
        <v>0.30513468013468</v>
      </c>
      <c r="AA28" s="268">
        <f>IFERROR(AA26/AA20,"")</f>
        <v>0.252205161711859</v>
      </c>
      <c r="AB28" s="269">
        <f>IFERROR(AB26/AB20,"")</f>
        <v>0.261748958953004</v>
      </c>
      <c r="AC28" s="268">
        <f>IFERROR(AC26/AC20,"")</f>
        <v>0.287545787545788</v>
      </c>
      <c r="AD28" s="268">
        <f>IFERROR(AD26/AD20,"")</f>
        <v>0.30333452850484</v>
      </c>
      <c r="AE28" s="268">
        <f>IFERROR(AE26/AE20,"")</f>
        <v>0.314202049780381</v>
      </c>
      <c r="AF28" s="268">
        <f>IFERROR(AF26/AF20,"")</f>
        <v>0.286161063330727</v>
      </c>
      <c r="AG28" s="269">
        <f>IFERROR(AG26/AG20,"")</f>
        <v>0.297705739566205</v>
      </c>
      <c r="AH28" s="269">
        <f>IFERROR(AH26/AH20,"")</f>
        <v>0.395348837209302</v>
      </c>
      <c r="AI28" s="269">
        <f>IFERROR(AI26/AI20,"")</f>
        <v>0.203886588085378</v>
      </c>
    </row>
    <row r="29"/>
    <row r="30">
      <c r="C30" s="12" t="inlineStr">
        <is>
          <t>Receita automotiva por linha (USD milhões)</t>
        </is>
      </c>
      <c r="D30" s="12" t="str">
        <f>D7</f>
        <v>1Q20</v>
      </c>
      <c r="E30" s="12" t="str">
        <f>E7</f>
        <v>2Q20</v>
      </c>
      <c r="F30" s="12" t="str">
        <f>F7</f>
        <v>3Q20</v>
      </c>
      <c r="G30" s="12" t="str">
        <f>G7</f>
        <v>4Q20</v>
      </c>
      <c r="H30" s="12">
        <f>H7</f>
        <v>2020</v>
      </c>
      <c r="I30" s="12" t="str">
        <f>I7</f>
        <v>1Q21</v>
      </c>
      <c r="J30" s="12" t="str">
        <f>J7</f>
        <v>2Q21</v>
      </c>
      <c r="K30" s="12" t="str">
        <f>K7</f>
        <v>3Q21</v>
      </c>
      <c r="L30" s="12" t="str">
        <f>L7</f>
        <v>4Q21</v>
      </c>
      <c r="M30" s="12">
        <f>M7</f>
        <v>2021</v>
      </c>
      <c r="N30" s="12" t="str">
        <f>N7</f>
        <v>1Q22</v>
      </c>
      <c r="O30" s="12" t="str">
        <f>O7</f>
        <v>2Q22</v>
      </c>
      <c r="P30" s="12" t="str">
        <f>P7</f>
        <v>3Q22</v>
      </c>
      <c r="Q30" s="12" t="str">
        <f>Q7</f>
        <v>4Q22</v>
      </c>
      <c r="R30" s="12">
        <f>R7</f>
        <v>2022</v>
      </c>
      <c r="S30" s="12" t="str">
        <f>S7</f>
        <v>1Q23</v>
      </c>
      <c r="T30" s="12" t="str">
        <f>T7</f>
        <v>2Q23</v>
      </c>
      <c r="U30" s="12" t="str">
        <f>U7</f>
        <v>3Q23</v>
      </c>
      <c r="V30" s="12" t="str">
        <f>V7</f>
        <v>4Q23</v>
      </c>
      <c r="W30" s="12">
        <f>W7</f>
        <v>2023</v>
      </c>
      <c r="X30" s="12" t="str">
        <f>X7</f>
        <v>1Q24</v>
      </c>
      <c r="Y30" s="12" t="str">
        <f>Y7</f>
        <v>2Q24</v>
      </c>
      <c r="Z30" s="12" t="str">
        <f>Z7</f>
        <v>3Q24</v>
      </c>
      <c r="AA30" s="12" t="str">
        <f>AA7</f>
        <v>4Q24</v>
      </c>
      <c r="AB30" s="12">
        <f>AB7</f>
        <v>2024</v>
      </c>
      <c r="AC30" s="12" t="str">
        <f>AC7</f>
        <v>1Q25</v>
      </c>
      <c r="AD30" s="12" t="str">
        <f>AD7</f>
        <v>2Q25</v>
      </c>
      <c r="AE30" s="12" t="str">
        <f>AE7</f>
        <v>3Q25</v>
      </c>
      <c r="AF30" s="12" t="str">
        <f>AF7</f>
        <v>4Q25</v>
      </c>
      <c r="AG30" s="12">
        <f>AG7</f>
        <v>2025</v>
      </c>
      <c r="AH30" s="12" t="str">
        <f>AH7</f>
        <v>1Q26</v>
      </c>
      <c r="AI30" s="12" t="str">
        <f>AI7</f>
        <v>2Q26</v>
      </c>
    </row>
    <row r="31">
      <c r="C31" s="14" t="inlineStr">
        <is>
          <t xml:space="preserve">   Vendas de veículos</t>
        </is>
      </c>
      <c r="D31" s="265">
        <f>IFERROR(INDEX('Inputs (2)'!$D$57:$AL$57,MATCH(D$7,'Inputs (2)'!$D$2:$AL$2,0)),"")</f>
        <v>4539</v>
      </c>
      <c r="E31" s="265">
        <f>IFERROR(INDEX('Inputs (2)'!$D$57:$AL$57,MATCH(E$7,'Inputs (2)'!$D$2:$AL$2,0)),"")</f>
        <v>4483</v>
      </c>
      <c r="F31" s="265">
        <f>IFERROR(INDEX('Inputs (2)'!$D$57:$AL$57,MATCH(F$7,'Inputs (2)'!$D$2:$AL$2,0)),"")</f>
        <v>6949</v>
      </c>
      <c r="G31" s="265">
        <f>IFERROR(INDEX('Inputs (2)'!$D$57:$AL$57,MATCH(G$7,'Inputs (2)'!$D$2:$AL$2,0)),"")</f>
        <v>8633</v>
      </c>
      <c r="H31" s="266">
        <f>IF(COUNT(D31:G31)=4,SUM(D31:G31),"")</f>
        <v>24604</v>
      </c>
      <c r="I31" s="265">
        <f>IFERROR(INDEX('Inputs (2)'!$D$57:$AL$57,MATCH(I$7,'Inputs (2)'!$D$2:$AL$2,0)),"")</f>
        <v>8187</v>
      </c>
      <c r="J31" s="265">
        <f>IFERROR(INDEX('Inputs (2)'!$D$57:$AL$57,MATCH(J$7,'Inputs (2)'!$D$2:$AL$2,0)),"")</f>
        <v>9520</v>
      </c>
      <c r="K31" s="265">
        <f>IFERROR(INDEX('Inputs (2)'!$D$57:$AL$57,MATCH(K$7,'Inputs (2)'!$D$2:$AL$2,0)),"")</f>
        <v>11393</v>
      </c>
      <c r="L31" s="265">
        <f>IFERROR(INDEX('Inputs (2)'!$D$57:$AL$57,MATCH(L$7,'Inputs (2)'!$D$2:$AL$2,0)),"")</f>
        <v>15025</v>
      </c>
      <c r="M31" s="266">
        <f>IF(COUNT(I31:L31)=4,SUM(I31:L31),"")</f>
        <v>44125</v>
      </c>
      <c r="N31" s="265">
        <f>IFERROR(INDEX('Inputs (2)'!$D$57:$AL$57,MATCH(N$7,'Inputs (2)'!$D$2:$AL$2,0)),"")</f>
        <v>15514</v>
      </c>
      <c r="O31" s="265">
        <f>IFERROR(INDEX('Inputs (2)'!$D$57:$AL$57,MATCH(O$7,'Inputs (2)'!$D$2:$AL$2,0)),"")</f>
        <v>13670</v>
      </c>
      <c r="P31" s="265">
        <f>IFERROR(INDEX('Inputs (2)'!$D$57:$AL$57,MATCH(P$7,'Inputs (2)'!$D$2:$AL$2,0)),"")</f>
        <v>17785</v>
      </c>
      <c r="Q31" s="265">
        <f>IFERROR(INDEX('Inputs (2)'!$D$57:$AL$57,MATCH(Q$7,'Inputs (2)'!$D$2:$AL$2,0)),"")</f>
        <v>20241</v>
      </c>
      <c r="R31" s="266">
        <f>IF(COUNT(N31:Q31)=4,SUM(N31:Q31),"")</f>
        <v>67210</v>
      </c>
      <c r="S31" s="265">
        <f>IFERROR(INDEX('Inputs (2)'!$D$57:$AL$57,MATCH(S$7,'Inputs (2)'!$D$2:$AL$2,0)),"")</f>
        <v>18878</v>
      </c>
      <c r="T31" s="265">
        <f>IFERROR(INDEX('Inputs (2)'!$D$57:$AL$57,MATCH(T$7,'Inputs (2)'!$D$2:$AL$2,0)),"")</f>
        <v>20419</v>
      </c>
      <c r="U31" s="265">
        <f>IFERROR(INDEX('Inputs (2)'!$D$57:$AL$57,MATCH(U$7,'Inputs (2)'!$D$2:$AL$2,0)),"")</f>
        <v>18582</v>
      </c>
      <c r="V31" s="265">
        <f>IFERROR(INDEX('Inputs (2)'!$D$57:$AL$57,MATCH(V$7,'Inputs (2)'!$D$2:$AL$2,0)),"")</f>
        <v>20630</v>
      </c>
      <c r="W31" s="266">
        <f>IF(COUNT(S31:V31)=4,SUM(S31:V31),"")</f>
        <v>78509</v>
      </c>
      <c r="X31" s="265">
        <f>IFERROR(INDEX('Inputs (2)'!$D$57:$AL$57,MATCH(X$7,'Inputs (2)'!$D$2:$AL$2,0)),"")</f>
        <v>16460</v>
      </c>
      <c r="Y31" s="265">
        <f>IFERROR(INDEX('Inputs (2)'!$D$57:$AL$57,MATCH(Y$7,'Inputs (2)'!$D$2:$AL$2,0)),"")</f>
        <v>18530</v>
      </c>
      <c r="Z31" s="265">
        <f>IFERROR(INDEX('Inputs (2)'!$D$57:$AL$57,MATCH(Z$7,'Inputs (2)'!$D$2:$AL$2,0)),"")</f>
        <v>18831</v>
      </c>
      <c r="AA31" s="265">
        <f>IFERROR(INDEX('Inputs (2)'!$D$57:$AL$57,MATCH(AA$7,'Inputs (2)'!$D$2:$AL$2,0)),"")</f>
        <v>18659</v>
      </c>
      <c r="AB31" s="266">
        <f>IF(COUNT(X31:AA31)=4,SUM(X31:AA31),"")</f>
        <v>72480</v>
      </c>
      <c r="AC31" s="265">
        <f>IFERROR(INDEX('Inputs (2)'!$D$57:$AL$57,MATCH(AC$7,'Inputs (2)'!$D$2:$AL$2,0)),"")</f>
        <v>12925</v>
      </c>
      <c r="AD31" s="265">
        <f>IFERROR(INDEX('Inputs (2)'!$D$57:$AL$57,MATCH(AD$7,'Inputs (2)'!$D$2:$AL$2,0)),"")</f>
        <v>15787</v>
      </c>
      <c r="AE31" s="265">
        <f>IFERROR(INDEX('Inputs (2)'!$D$57:$AL$57,MATCH(AE$7,'Inputs (2)'!$D$2:$AL$2,0)),"")</f>
        <v>20359</v>
      </c>
      <c r="AF31" s="265">
        <f>IFERROR(INDEX('Inputs (2)'!$D$57:$AL$57,MATCH(AF$7,'Inputs (2)'!$D$2:$AL$2,0)),"")</f>
        <v>16750</v>
      </c>
      <c r="AG31" s="266">
        <f>IF(COUNT(AC31:AF31)=4,SUM(AC31:AF31),"")</f>
        <v>65821</v>
      </c>
      <c r="AH31" s="266">
        <f>IFERROR(INDEX('Inputs (2)'!$D$57:$AL$57,MATCH(AH$7,'Inputs (2)'!$D$2:$AL$2,0)),"")</f>
        <v>15473</v>
      </c>
      <c r="AI31" s="266">
        <f>IFERROR(INDEX('Inputs (2)'!$D$57:$AL$57,MATCH(AI$7,'Inputs (2)'!$D$2:$AL$2,0)),"")</f>
        <v>20006</v>
      </c>
    </row>
    <row r="32">
      <c r="C32" s="14" t="inlineStr">
        <is>
          <t xml:space="preserve">   Créditos regulatórios</t>
        </is>
      </c>
      <c r="D32" s="265">
        <f>IFERROR(INDEX('Inputs (2)'!$D$58:$AL$58,MATCH(D$7,'Inputs (2)'!$D$2:$AL$2,0)),"")</f>
        <v>354</v>
      </c>
      <c r="E32" s="265">
        <f>IFERROR(INDEX('Inputs (2)'!$D$58:$AL$58,MATCH(E$7,'Inputs (2)'!$D$2:$AL$2,0)),"")</f>
        <v>428</v>
      </c>
      <c r="F32" s="265">
        <f>IFERROR(INDEX('Inputs (2)'!$D$58:$AL$58,MATCH(F$7,'Inputs (2)'!$D$2:$AL$2,0)),"")</f>
        <v>397</v>
      </c>
      <c r="G32" s="265">
        <f>IFERROR(INDEX('Inputs (2)'!$D$58:$AL$58,MATCH(G$7,'Inputs (2)'!$D$2:$AL$2,0)),"")</f>
        <v>401</v>
      </c>
      <c r="H32" s="266">
        <f>IF(COUNT(D32:G32)=4,SUM(D32:G32),"")</f>
        <v>1580</v>
      </c>
      <c r="I32" s="265">
        <f>IFERROR(INDEX('Inputs (2)'!$D$58:$AL$58,MATCH(I$7,'Inputs (2)'!$D$2:$AL$2,0)),"")</f>
        <v>518</v>
      </c>
      <c r="J32" s="265">
        <f>IFERROR(INDEX('Inputs (2)'!$D$58:$AL$58,MATCH(J$7,'Inputs (2)'!$D$2:$AL$2,0)),"")</f>
        <v>354</v>
      </c>
      <c r="K32" s="265">
        <f>IFERROR(INDEX('Inputs (2)'!$D$58:$AL$58,MATCH(K$7,'Inputs (2)'!$D$2:$AL$2,0)),"")</f>
        <v>279</v>
      </c>
      <c r="L32" s="265">
        <f>IFERROR(INDEX('Inputs (2)'!$D$58:$AL$58,MATCH(L$7,'Inputs (2)'!$D$2:$AL$2,0)),"")</f>
        <v>314</v>
      </c>
      <c r="M32" s="266">
        <f>IF(COUNT(I32:L32)=4,SUM(I32:L32),"")</f>
        <v>1465</v>
      </c>
      <c r="N32" s="265">
        <f>IFERROR(INDEX('Inputs (2)'!$D$58:$AL$58,MATCH(N$7,'Inputs (2)'!$D$2:$AL$2,0)),"")</f>
        <v>679</v>
      </c>
      <c r="O32" s="265">
        <f>IFERROR(INDEX('Inputs (2)'!$D$58:$AL$58,MATCH(O$7,'Inputs (2)'!$D$2:$AL$2,0)),"")</f>
        <v>344</v>
      </c>
      <c r="P32" s="265">
        <f>IFERROR(INDEX('Inputs (2)'!$D$58:$AL$58,MATCH(P$7,'Inputs (2)'!$D$2:$AL$2,0)),"")</f>
        <v>286</v>
      </c>
      <c r="Q32" s="265">
        <f>IFERROR(INDEX('Inputs (2)'!$D$58:$AL$58,MATCH(Q$7,'Inputs (2)'!$D$2:$AL$2,0)),"")</f>
        <v>467</v>
      </c>
      <c r="R32" s="266">
        <f>IF(COUNT(N32:Q32)=4,SUM(N32:Q32),"")</f>
        <v>1776</v>
      </c>
      <c r="S32" s="265">
        <f>IFERROR(INDEX('Inputs (2)'!$D$58:$AL$58,MATCH(S$7,'Inputs (2)'!$D$2:$AL$2,0)),"")</f>
        <v>521</v>
      </c>
      <c r="T32" s="265">
        <f>IFERROR(INDEX('Inputs (2)'!$D$58:$AL$58,MATCH(T$7,'Inputs (2)'!$D$2:$AL$2,0)),"")</f>
        <v>282</v>
      </c>
      <c r="U32" s="265">
        <f>IFERROR(INDEX('Inputs (2)'!$D$58:$AL$58,MATCH(U$7,'Inputs (2)'!$D$2:$AL$2,0)),"")</f>
        <v>554</v>
      </c>
      <c r="V32" s="265">
        <f>IFERROR(INDEX('Inputs (2)'!$D$58:$AL$58,MATCH(V$7,'Inputs (2)'!$D$2:$AL$2,0)),"")</f>
        <v>433</v>
      </c>
      <c r="W32" s="266">
        <f>IF(COUNT(S32:V32)=4,SUM(S32:V32),"")</f>
        <v>1790</v>
      </c>
      <c r="X32" s="265">
        <f>IFERROR(INDEX('Inputs (2)'!$D$58:$AL$58,MATCH(X$7,'Inputs (2)'!$D$2:$AL$2,0)),"")</f>
        <v>442</v>
      </c>
      <c r="Y32" s="265">
        <f>IFERROR(INDEX('Inputs (2)'!$D$58:$AL$58,MATCH(Y$7,'Inputs (2)'!$D$2:$AL$2,0)),"")</f>
        <v>890</v>
      </c>
      <c r="Z32" s="265">
        <f>IFERROR(INDEX('Inputs (2)'!$D$58:$AL$58,MATCH(Z$7,'Inputs (2)'!$D$2:$AL$2,0)),"")</f>
        <v>739</v>
      </c>
      <c r="AA32" s="265">
        <f>IFERROR(INDEX('Inputs (2)'!$D$58:$AL$58,MATCH(AA$7,'Inputs (2)'!$D$2:$AL$2,0)),"")</f>
        <v>692</v>
      </c>
      <c r="AB32" s="266">
        <f>IF(COUNT(X32:AA32)=4,SUM(X32:AA32),"")</f>
        <v>2763</v>
      </c>
      <c r="AC32" s="265">
        <f>IFERROR(INDEX('Inputs (2)'!$D$58:$AL$58,MATCH(AC$7,'Inputs (2)'!$D$2:$AL$2,0)),"")</f>
        <v>595</v>
      </c>
      <c r="AD32" s="265">
        <f>IFERROR(INDEX('Inputs (2)'!$D$58:$AL$58,MATCH(AD$7,'Inputs (2)'!$D$2:$AL$2,0)),"")</f>
        <v>439</v>
      </c>
      <c r="AE32" s="265">
        <f>IFERROR(INDEX('Inputs (2)'!$D$58:$AL$58,MATCH(AE$7,'Inputs (2)'!$D$2:$AL$2,0)),"")</f>
        <v>417</v>
      </c>
      <c r="AF32" s="265">
        <f>IFERROR(INDEX('Inputs (2)'!$D$58:$AL$58,MATCH(AF$7,'Inputs (2)'!$D$2:$AL$2,0)),"")</f>
        <v>542</v>
      </c>
      <c r="AG32" s="266">
        <f>IF(COUNT(AC32:AF32)=4,SUM(AC32:AF32),"")</f>
        <v>1993</v>
      </c>
      <c r="AH32" s="266">
        <f>IFERROR(INDEX('Inputs (2)'!$D$58:$AL$58,MATCH(AH$7,'Inputs (2)'!$D$2:$AL$2,0)),"")</f>
        <v>380</v>
      </c>
      <c r="AI32" s="266">
        <f>IFERROR(INDEX('Inputs (2)'!$D$58:$AL$58,MATCH(AI$7,'Inputs (2)'!$D$2:$AL$2,0)),"")</f>
        <v>146</v>
      </c>
    </row>
    <row r="33">
      <c r="C33" s="14" t="inlineStr">
        <is>
          <t xml:space="preserve">   Leasing</t>
        </is>
      </c>
      <c r="D33" s="265" t="str">
        <f>IFERROR(INDEX('Inputs (2)'!$D$59:$AL$59,MATCH(D$7,'Inputs (2)'!$D$2:$AL$2,0)),"")</f>
        <v/>
      </c>
      <c r="E33" s="265" t="str">
        <f>IFERROR(INDEX('Inputs (2)'!$D$59:$AL$59,MATCH(E$7,'Inputs (2)'!$D$2:$AL$2,0)),"")</f>
        <v/>
      </c>
      <c r="F33" s="265" t="str">
        <f>IFERROR(INDEX('Inputs (2)'!$D$59:$AL$59,MATCH(F$7,'Inputs (2)'!$D$2:$AL$2,0)),"")</f>
        <v/>
      </c>
      <c r="G33" s="265" t="str">
        <f>IFERROR(INDEX('Inputs (2)'!$D$59:$AL$59,MATCH(G$7,'Inputs (2)'!$D$2:$AL$2,0)),"")</f>
        <v/>
      </c>
      <c r="H33" s="266" t="str">
        <f>IF(COUNT(D33:G33)=4,SUM(D33:G33),"")</f>
        <v/>
      </c>
      <c r="I33" s="265">
        <f>IFERROR(INDEX('Inputs (2)'!$D$59:$AL$59,MATCH(I$7,'Inputs (2)'!$D$2:$AL$2,0)),"")</f>
        <v>297</v>
      </c>
      <c r="J33" s="265">
        <f>IFERROR(INDEX('Inputs (2)'!$D$59:$AL$59,MATCH(J$7,'Inputs (2)'!$D$2:$AL$2,0)),"")</f>
        <v>332</v>
      </c>
      <c r="K33" s="265">
        <f>IFERROR(INDEX('Inputs (2)'!$D$59:$AL$59,MATCH(K$7,'Inputs (2)'!$D$2:$AL$2,0)),"")</f>
        <v>385</v>
      </c>
      <c r="L33" s="265">
        <f>IFERROR(INDEX('Inputs (2)'!$D$59:$AL$59,MATCH(L$7,'Inputs (2)'!$D$2:$AL$2,0)),"")</f>
        <v>628</v>
      </c>
      <c r="M33" s="266">
        <f>IF(COUNT(I33:L33)=4,SUM(I33:L33),"")</f>
        <v>1642</v>
      </c>
      <c r="N33" s="265">
        <f>IFERROR(INDEX('Inputs (2)'!$D$59:$AL$59,MATCH(N$7,'Inputs (2)'!$D$2:$AL$2,0)),"")</f>
        <v>668</v>
      </c>
      <c r="O33" s="265">
        <f>IFERROR(INDEX('Inputs (2)'!$D$59:$AL$59,MATCH(O$7,'Inputs (2)'!$D$2:$AL$2,0)),"")</f>
        <v>588</v>
      </c>
      <c r="P33" s="265">
        <f>IFERROR(INDEX('Inputs (2)'!$D$59:$AL$59,MATCH(P$7,'Inputs (2)'!$D$2:$AL$2,0)),"")</f>
        <v>621</v>
      </c>
      <c r="Q33" s="265">
        <f>IFERROR(INDEX('Inputs (2)'!$D$59:$AL$59,MATCH(Q$7,'Inputs (2)'!$D$2:$AL$2,0)),"")</f>
        <v>599</v>
      </c>
      <c r="R33" s="266">
        <f>IF(COUNT(N33:Q33)=4,SUM(N33:Q33),"")</f>
        <v>2476</v>
      </c>
      <c r="S33" s="265">
        <f>IFERROR(INDEX('Inputs (2)'!$D$59:$AL$59,MATCH(S$7,'Inputs (2)'!$D$2:$AL$2,0)),"")</f>
        <v>564</v>
      </c>
      <c r="T33" s="265">
        <f>IFERROR(INDEX('Inputs (2)'!$D$59:$AL$59,MATCH(T$7,'Inputs (2)'!$D$2:$AL$2,0)),"")</f>
        <v>567</v>
      </c>
      <c r="U33" s="265">
        <f>IFERROR(INDEX('Inputs (2)'!$D$59:$AL$59,MATCH(U$7,'Inputs (2)'!$D$2:$AL$2,0)),"")</f>
        <v>489</v>
      </c>
      <c r="V33" s="265">
        <f>IFERROR(INDEX('Inputs (2)'!$D$59:$AL$59,MATCH(V$7,'Inputs (2)'!$D$2:$AL$2,0)),"")</f>
        <v>500</v>
      </c>
      <c r="W33" s="266">
        <f>IF(COUNT(S33:V33)=4,SUM(S33:V33),"")</f>
        <v>2120</v>
      </c>
      <c r="X33" s="265">
        <f>IFERROR(INDEX('Inputs (2)'!$D$59:$AL$59,MATCH(X$7,'Inputs (2)'!$D$2:$AL$2,0)),"")</f>
        <v>476</v>
      </c>
      <c r="Y33" s="265">
        <f>IFERROR(INDEX('Inputs (2)'!$D$59:$AL$59,MATCH(Y$7,'Inputs (2)'!$D$2:$AL$2,0)),"")</f>
        <v>458</v>
      </c>
      <c r="Z33" s="265">
        <f>IFERROR(INDEX('Inputs (2)'!$D$59:$AL$59,MATCH(Z$7,'Inputs (2)'!$D$2:$AL$2,0)),"")</f>
        <v>446</v>
      </c>
      <c r="AA33" s="265">
        <f>IFERROR(INDEX('Inputs (2)'!$D$59:$AL$59,MATCH(AA$7,'Inputs (2)'!$D$2:$AL$2,0)),"")</f>
        <v>447</v>
      </c>
      <c r="AB33" s="266">
        <f>IF(COUNT(X33:AA33)=4,SUM(X33:AA33),"")</f>
        <v>1827</v>
      </c>
      <c r="AC33" s="265">
        <f>IFERROR(INDEX('Inputs (2)'!$D$59:$AL$59,MATCH(AC$7,'Inputs (2)'!$D$2:$AL$2,0)),"")</f>
        <v>447</v>
      </c>
      <c r="AD33" s="265">
        <f>IFERROR(INDEX('Inputs (2)'!$D$59:$AL$59,MATCH(AD$7,'Inputs (2)'!$D$2:$AL$2,0)),"")</f>
        <v>435</v>
      </c>
      <c r="AE33" s="265">
        <f>IFERROR(INDEX('Inputs (2)'!$D$59:$AL$59,MATCH(AE$7,'Inputs (2)'!$D$2:$AL$2,0)),"")</f>
        <v>429</v>
      </c>
      <c r="AF33" s="265">
        <f>IFERROR(INDEX('Inputs (2)'!$D$59:$AL$59,MATCH(AF$7,'Inputs (2)'!$D$2:$AL$2,0)),"")</f>
        <v>401</v>
      </c>
      <c r="AG33" s="266">
        <f>IF(COUNT(AC33:AF33)=4,SUM(AC33:AF33),"")</f>
        <v>1712</v>
      </c>
      <c r="AH33" s="266">
        <f>IFERROR(INDEX('Inputs (2)'!$D$59:$AL$59,MATCH(AH$7,'Inputs (2)'!$D$2:$AL$2,0)),"")</f>
        <v>381</v>
      </c>
      <c r="AI33" s="266">
        <f>IFERROR(INDEX('Inputs (2)'!$D$59:$AL$59,MATCH(AI$7,'Inputs (2)'!$D$2:$AL$2,0)),"")</f>
        <v>364</v>
      </c>
    </row>
    <row r="34">
      <c r="C34" s="14" t="inlineStr">
        <is>
          <t xml:space="preserve">   Serviços e outros</t>
        </is>
      </c>
      <c r="D34" s="265">
        <f>IFERROR(INDEX('Inputs (2)'!$D$60:$AL$60,MATCH(D$7,'Inputs (2)'!$D$2:$AL$2,0)),"")</f>
        <v>560</v>
      </c>
      <c r="E34" s="265">
        <f>IFERROR(INDEX('Inputs (2)'!$D$60:$AL$60,MATCH(E$7,'Inputs (2)'!$D$2:$AL$2,0)),"")</f>
        <v>487</v>
      </c>
      <c r="F34" s="265">
        <f>IFERROR(INDEX('Inputs (2)'!$D$60:$AL$60,MATCH(F$7,'Inputs (2)'!$D$2:$AL$2,0)),"")</f>
        <v>581</v>
      </c>
      <c r="G34" s="265">
        <f>IFERROR(INDEX('Inputs (2)'!$D$60:$AL$60,MATCH(G$7,'Inputs (2)'!$D$2:$AL$2,0)),"")</f>
        <v>678</v>
      </c>
      <c r="H34" s="266">
        <f>IF(COUNT(D34:G34)=4,SUM(D34:G34),"")</f>
        <v>2306</v>
      </c>
      <c r="I34" s="265">
        <f>IFERROR(INDEX('Inputs (2)'!$D$60:$AL$60,MATCH(I$7,'Inputs (2)'!$D$2:$AL$2,0)),"")</f>
        <v>893</v>
      </c>
      <c r="J34" s="265">
        <f>IFERROR(INDEX('Inputs (2)'!$D$60:$AL$60,MATCH(J$7,'Inputs (2)'!$D$2:$AL$2,0)),"")</f>
        <v>951</v>
      </c>
      <c r="K34" s="265">
        <f>IFERROR(INDEX('Inputs (2)'!$D$60:$AL$60,MATCH(K$7,'Inputs (2)'!$D$2:$AL$2,0)),"")</f>
        <v>894</v>
      </c>
      <c r="L34" s="265">
        <f>IFERROR(INDEX('Inputs (2)'!$D$60:$AL$60,MATCH(L$7,'Inputs (2)'!$D$2:$AL$2,0)),"")</f>
        <v>1064</v>
      </c>
      <c r="M34" s="266">
        <f>IF(COUNT(I34:L34)=4,SUM(I34:L34),"")</f>
        <v>3802</v>
      </c>
      <c r="N34" s="265">
        <f>IFERROR(INDEX('Inputs (2)'!$D$60:$AL$60,MATCH(N$7,'Inputs (2)'!$D$2:$AL$2,0)),"")</f>
        <v>1279</v>
      </c>
      <c r="O34" s="265">
        <f>IFERROR(INDEX('Inputs (2)'!$D$60:$AL$60,MATCH(O$7,'Inputs (2)'!$D$2:$AL$2,0)),"")</f>
        <v>1466</v>
      </c>
      <c r="P34" s="265">
        <f>IFERROR(INDEX('Inputs (2)'!$D$60:$AL$60,MATCH(P$7,'Inputs (2)'!$D$2:$AL$2,0)),"")</f>
        <v>1645</v>
      </c>
      <c r="Q34" s="265">
        <f>IFERROR(INDEX('Inputs (2)'!$D$60:$AL$60,MATCH(Q$7,'Inputs (2)'!$D$2:$AL$2,0)),"")</f>
        <v>1701</v>
      </c>
      <c r="R34" s="266">
        <f>IF(COUNT(N34:Q34)=4,SUM(N34:Q34),"")</f>
        <v>6091</v>
      </c>
      <c r="S34" s="265">
        <f>IFERROR(INDEX('Inputs (2)'!$D$60:$AL$60,MATCH(S$7,'Inputs (2)'!$D$2:$AL$2,0)),"")</f>
        <v>1837</v>
      </c>
      <c r="T34" s="265">
        <f>IFERROR(INDEX('Inputs (2)'!$D$60:$AL$60,MATCH(T$7,'Inputs (2)'!$D$2:$AL$2,0)),"")</f>
        <v>2150</v>
      </c>
      <c r="U34" s="265">
        <f>IFERROR(INDEX('Inputs (2)'!$D$60:$AL$60,MATCH(U$7,'Inputs (2)'!$D$2:$AL$2,0)),"")</f>
        <v>2166</v>
      </c>
      <c r="V34" s="265">
        <f>IFERROR(INDEX('Inputs (2)'!$D$60:$AL$60,MATCH(V$7,'Inputs (2)'!$D$2:$AL$2,0)),"")</f>
        <v>2166</v>
      </c>
      <c r="W34" s="266">
        <f>IF(COUNT(S34:V34)=4,SUM(S34:V34),"")</f>
        <v>8319</v>
      </c>
      <c r="X34" s="265">
        <f>IFERROR(INDEX('Inputs (2)'!$D$60:$AL$60,MATCH(X$7,'Inputs (2)'!$D$2:$AL$2,0)),"")</f>
        <v>2288</v>
      </c>
      <c r="Y34" s="265">
        <f>IFERROR(INDEX('Inputs (2)'!$D$60:$AL$60,MATCH(Y$7,'Inputs (2)'!$D$2:$AL$2,0)),"")</f>
        <v>2608</v>
      </c>
      <c r="Z34" s="265">
        <f>IFERROR(INDEX('Inputs (2)'!$D$60:$AL$60,MATCH(Z$7,'Inputs (2)'!$D$2:$AL$2,0)),"")</f>
        <v>2790</v>
      </c>
      <c r="AA34" s="265">
        <f>IFERROR(INDEX('Inputs (2)'!$D$60:$AL$60,MATCH(AA$7,'Inputs (2)'!$D$2:$AL$2,0)),"")</f>
        <v>2848</v>
      </c>
      <c r="AB34" s="266">
        <f>IF(COUNT(X34:AA34)=4,SUM(X34:AA34),"")</f>
        <v>10534</v>
      </c>
      <c r="AC34" s="265">
        <f>IFERROR(INDEX('Inputs (2)'!$D$60:$AL$60,MATCH(AC$7,'Inputs (2)'!$D$2:$AL$2,0)),"")</f>
        <v>2638</v>
      </c>
      <c r="AD34" s="265">
        <f>IFERROR(INDEX('Inputs (2)'!$D$60:$AL$60,MATCH(AD$7,'Inputs (2)'!$D$2:$AL$2,0)),"")</f>
        <v>3046</v>
      </c>
      <c r="AE34" s="265">
        <f>IFERROR(INDEX('Inputs (2)'!$D$60:$AL$60,MATCH(AE$7,'Inputs (2)'!$D$2:$AL$2,0)),"")</f>
        <v>3475</v>
      </c>
      <c r="AF34" s="265">
        <f>IFERROR(INDEX('Inputs (2)'!$D$60:$AL$60,MATCH(AF$7,'Inputs (2)'!$D$2:$AL$2,0)),"")</f>
        <v>3371</v>
      </c>
      <c r="AG34" s="266">
        <f>IF(COUNT(AC34:AF34)=4,SUM(AC34:AF34),"")</f>
        <v>12530</v>
      </c>
      <c r="AH34" s="266">
        <f>IFERROR(INDEX('Inputs (2)'!$D$60:$AL$60,MATCH(AH$7,'Inputs (2)'!$D$2:$AL$2,0)),"")</f>
        <v>3745</v>
      </c>
      <c r="AI34" s="266">
        <f>IFERROR(INDEX('Inputs (2)'!$D$60:$AL$60,MATCH(AI$7,'Inputs (2)'!$D$2:$AL$2,0)),"")</f>
        <v>4581</v>
      </c>
    </row>
    <row r="35">
      <c r="C35" s="14" t="inlineStr">
        <is>
          <t xml:space="preserve">   % créditos regulatórios na receita</t>
        </is>
      </c>
      <c r="D35" s="268">
        <f>IFERROR(D32/D21,"")</f>
        <v>0.0591478696741855</v>
      </c>
      <c r="E35" s="268">
        <f>IFERROR(E32/E21,"")</f>
        <v>0.07090788601723</v>
      </c>
      <c r="F35" s="268">
        <f>IFERROR(F32/F21,"")</f>
        <v>0.0452627978565728</v>
      </c>
      <c r="G35" s="268">
        <f>IFERROR(G32/G21,"")</f>
        <v>0.0373231571109456</v>
      </c>
      <c r="H35" s="269">
        <f>IFERROR(H32/H21,"")</f>
        <v>0.050101471334348</v>
      </c>
      <c r="I35" s="268">
        <f>IFERROR(I32/I21,"")</f>
        <v>0.0498604293002214</v>
      </c>
      <c r="J35" s="268">
        <f>IFERROR(J32/J21,"")</f>
        <v>0.0296036126442549</v>
      </c>
      <c r="K35" s="268">
        <f>IFERROR(K32/K21,"")</f>
        <v>0.0202805844297449</v>
      </c>
      <c r="L35" s="268">
        <f>IFERROR(L32/L21,"")</f>
        <v>0.0177210903549862</v>
      </c>
      <c r="M35" s="269">
        <f>IFERROR(M32/M21,"")</f>
        <v>0.0272188469613362</v>
      </c>
      <c r="N35" s="268">
        <f>IFERROR(N32/N21,"")</f>
        <v>0.0362017487737257</v>
      </c>
      <c r="O35" s="268">
        <f>IFERROR(O32/O21,"")</f>
        <v>0.0203141608598087</v>
      </c>
      <c r="P35" s="268">
        <f>IFERROR(P32/P21,"")</f>
        <v>0.0133308473944253</v>
      </c>
      <c r="Q35" s="268">
        <f>IFERROR(Q32/Q21,"")</f>
        <v>0.0192038818981824</v>
      </c>
      <c r="R35" s="269">
        <f>IFERROR(R32/R21,"")</f>
        <v>0.0218015761950357</v>
      </c>
      <c r="S35" s="268">
        <f>IFERROR(S32/S21,"")</f>
        <v>0.0223327189335162</v>
      </c>
      <c r="T35" s="268">
        <f>IFERROR(T32/T21,"")</f>
        <v>0.0113130340594536</v>
      </c>
      <c r="U35" s="268">
        <f>IFERROR(U32/U21,"")</f>
        <v>0.0237259100642398</v>
      </c>
      <c r="V35" s="268">
        <f>IFERROR(V32/V21,"")</f>
        <v>0.0172050701315214</v>
      </c>
      <c r="W35" s="269">
        <f>IFERROR(W32/W21,"")</f>
        <v>0.0184968947950358</v>
      </c>
      <c r="X35" s="268">
        <f>IFERROR(X32/X21,"")</f>
        <v>0.0207501995211492</v>
      </c>
      <c r="Y35" s="268">
        <f>IFERROR(Y32/Y21,"")</f>
        <v>0.0349019607843137</v>
      </c>
      <c r="Z35" s="268">
        <f>IFERROR(Z32/Z21,"")</f>
        <v>0.0293463585100469</v>
      </c>
      <c r="AA35" s="268">
        <f>IFERROR(AA32/AA21,"")</f>
        <v>0.0269187380869024</v>
      </c>
      <c r="AB35" s="269">
        <f>IFERROR(AB32/AB21,"")</f>
        <v>0.0282833452758727</v>
      </c>
      <c r="AC35" s="268">
        <f>IFERROR(AC32/AC21,"")</f>
        <v>0.0307732092061029</v>
      </c>
      <c r="AD35" s="268">
        <f>IFERROR(AD32/AD21,"")</f>
        <v>0.0195145803698435</v>
      </c>
      <c r="AE35" s="268">
        <f>IFERROR(AE32/AE21,"")</f>
        <v>0.0148424986652429</v>
      </c>
      <c r="AF35" s="268">
        <f>IFERROR(AF32/AF21,"")</f>
        <v>0.0217661941287499</v>
      </c>
      <c r="AG35" s="269">
        <f>IFERROR(AG32/AG21,"")</f>
        <v>0.0210172208337288</v>
      </c>
      <c r="AH35" s="269">
        <f>IFERROR(AH32/AH21,"")</f>
        <v>0.0169741367758074</v>
      </c>
      <c r="AI35" s="269">
        <f>IFERROR(AI32/AI21,"")</f>
        <v>0.00517070406573169</v>
      </c>
    </row>
    <row r="36"/>
    <row r="37">
      <c r="C37" s="12" t="inlineStr">
        <is>
          <t>Receita por região (USD milhões)</t>
        </is>
      </c>
      <c r="D37" s="12" t="str">
        <f>D7</f>
        <v>1Q20</v>
      </c>
      <c r="E37" s="12" t="str">
        <f>E7</f>
        <v>2Q20</v>
      </c>
      <c r="F37" s="12" t="str">
        <f>F7</f>
        <v>3Q20</v>
      </c>
      <c r="G37" s="12" t="str">
        <f>G7</f>
        <v>4Q20</v>
      </c>
      <c r="H37" s="12">
        <f>H7</f>
        <v>2020</v>
      </c>
      <c r="I37" s="12" t="str">
        <f>I7</f>
        <v>1Q21</v>
      </c>
      <c r="J37" s="12" t="str">
        <f>J7</f>
        <v>2Q21</v>
      </c>
      <c r="K37" s="12" t="str">
        <f>K7</f>
        <v>3Q21</v>
      </c>
      <c r="L37" s="12" t="str">
        <f>L7</f>
        <v>4Q21</v>
      </c>
      <c r="M37" s="12">
        <f>M7</f>
        <v>2021</v>
      </c>
      <c r="N37" s="12" t="str">
        <f>N7</f>
        <v>1Q22</v>
      </c>
      <c r="O37" s="12" t="str">
        <f>O7</f>
        <v>2Q22</v>
      </c>
      <c r="P37" s="12" t="str">
        <f>P7</f>
        <v>3Q22</v>
      </c>
      <c r="Q37" s="12" t="str">
        <f>Q7</f>
        <v>4Q22</v>
      </c>
      <c r="R37" s="12">
        <f>R7</f>
        <v>2022</v>
      </c>
      <c r="S37" s="12" t="str">
        <f>S7</f>
        <v>1Q23</v>
      </c>
      <c r="T37" s="12" t="str">
        <f>T7</f>
        <v>2Q23</v>
      </c>
      <c r="U37" s="12" t="str">
        <f>U7</f>
        <v>3Q23</v>
      </c>
      <c r="V37" s="12" t="str">
        <f>V7</f>
        <v>4Q23</v>
      </c>
      <c r="W37" s="12">
        <f>W7</f>
        <v>2023</v>
      </c>
      <c r="X37" s="12" t="str">
        <f>X7</f>
        <v>1Q24</v>
      </c>
      <c r="Y37" s="12" t="str">
        <f>Y7</f>
        <v>2Q24</v>
      </c>
      <c r="Z37" s="12" t="str">
        <f>Z7</f>
        <v>3Q24</v>
      </c>
      <c r="AA37" s="12" t="str">
        <f>AA7</f>
        <v>4Q24</v>
      </c>
      <c r="AB37" s="12">
        <f>AB7</f>
        <v>2024</v>
      </c>
      <c r="AC37" s="12" t="str">
        <f>AC7</f>
        <v>1Q25</v>
      </c>
      <c r="AD37" s="12" t="str">
        <f>AD7</f>
        <v>2Q25</v>
      </c>
      <c r="AE37" s="12" t="str">
        <f>AE7</f>
        <v>3Q25</v>
      </c>
      <c r="AF37" s="12" t="str">
        <f>AF7</f>
        <v>4Q25</v>
      </c>
      <c r="AG37" s="12">
        <f>AG7</f>
        <v>2025</v>
      </c>
      <c r="AH37" s="12" t="str">
        <f>AH7</f>
        <v>1Q26</v>
      </c>
      <c r="AI37" s="12" t="str">
        <f>AI7</f>
        <v>2Q26</v>
      </c>
    </row>
    <row r="38">
      <c r="C38" s="14" t="inlineStr">
        <is>
          <t xml:space="preserve">   Estados Unidos</t>
        </is>
      </c>
      <c r="D38" s="265">
        <f>IFERROR(INDEX('Inputs (2)'!$D$61:$AL$61,MATCH(D$7,'Inputs (2)'!$D$2:$AL$2,0)),"")</f>
        <v>2768</v>
      </c>
      <c r="E38" s="265">
        <f>IFERROR(INDEX('Inputs (2)'!$D$61:$AL$61,MATCH(E$7,'Inputs (2)'!$D$2:$AL$2,0)),"")</f>
        <v>3090</v>
      </c>
      <c r="F38" s="265">
        <f>IFERROR(INDEX('Inputs (2)'!$D$61:$AL$61,MATCH(F$7,'Inputs (2)'!$D$2:$AL$2,0)),"")</f>
        <v>4215</v>
      </c>
      <c r="G38" s="265">
        <f>IFERROR(INDEX('Inputs (2)'!$D$61:$AL$61,MATCH(G$7,'Inputs (2)'!$D$2:$AL$2,0)),"")</f>
        <v>5134</v>
      </c>
      <c r="H38" s="266">
        <f>IF(COUNT(D38:G38)=4,SUM(D38:G38),"")</f>
        <v>15207</v>
      </c>
      <c r="I38" s="265">
        <f>IFERROR(INDEX('Inputs (2)'!$D$61:$AL$61,MATCH(I$7,'Inputs (2)'!$D$2:$AL$2,0)),"")</f>
        <v>4424</v>
      </c>
      <c r="J38" s="265">
        <f>IFERROR(INDEX('Inputs (2)'!$D$61:$AL$61,MATCH(J$7,'Inputs (2)'!$D$2:$AL$2,0)),"")</f>
        <v>5205</v>
      </c>
      <c r="K38" s="265">
        <f>IFERROR(INDEX('Inputs (2)'!$D$61:$AL$61,MATCH(K$7,'Inputs (2)'!$D$2:$AL$2,0)),"")</f>
        <v>6414</v>
      </c>
      <c r="L38" s="265">
        <f>IFERROR(INDEX('Inputs (2)'!$D$61:$AL$61,MATCH(L$7,'Inputs (2)'!$D$2:$AL$2,0)),"")</f>
        <v>7930</v>
      </c>
      <c r="M38" s="266">
        <f>IF(COUNT(I38:L38)=4,SUM(I38:L38),"")</f>
        <v>23973</v>
      </c>
      <c r="N38" s="265">
        <f>IFERROR(INDEX('Inputs (2)'!$D$61:$AL$61,MATCH(N$7,'Inputs (2)'!$D$2:$AL$2,0)),"")</f>
        <v>8734</v>
      </c>
      <c r="O38" s="265">
        <f>IFERROR(INDEX('Inputs (2)'!$D$61:$AL$61,MATCH(O$7,'Inputs (2)'!$D$2:$AL$2,0)),"")</f>
        <v>9614</v>
      </c>
      <c r="P38" s="265">
        <f>IFERROR(INDEX('Inputs (2)'!$D$61:$AL$61,MATCH(P$7,'Inputs (2)'!$D$2:$AL$2,0)),"")</f>
        <v>10236</v>
      </c>
      <c r="Q38" s="265">
        <f>IFERROR(INDEX('Inputs (2)'!$D$61:$AL$61,MATCH(Q$7,'Inputs (2)'!$D$2:$AL$2,0)),"")</f>
        <v>11969</v>
      </c>
      <c r="R38" s="266">
        <f>IF(COUNT(N38:Q38)=4,SUM(N38:Q38),"")</f>
        <v>40553</v>
      </c>
      <c r="S38" s="265">
        <f>IFERROR(INDEX('Inputs (2)'!$D$61:$AL$61,MATCH(S$7,'Inputs (2)'!$D$2:$AL$2,0)),"")</f>
        <v>11247</v>
      </c>
      <c r="T38" s="265">
        <f>IFERROR(INDEX('Inputs (2)'!$D$61:$AL$61,MATCH(T$7,'Inputs (2)'!$D$2:$AL$2,0)),"")</f>
        <v>11332</v>
      </c>
      <c r="U38" s="265">
        <f>IFERROR(INDEX('Inputs (2)'!$D$61:$AL$61,MATCH(U$7,'Inputs (2)'!$D$2:$AL$2,0)),"")</f>
        <v>10893</v>
      </c>
      <c r="V38" s="265">
        <f>IFERROR(INDEX('Inputs (2)'!$D$61:$AL$61,MATCH(V$7,'Inputs (2)'!$D$2:$AL$2,0)),"")</f>
        <v>11763</v>
      </c>
      <c r="W38" s="266">
        <f>IF(COUNT(S38:V38)=4,SUM(S38:V38),"")</f>
        <v>45235</v>
      </c>
      <c r="X38" s="265">
        <f>IFERROR(INDEX('Inputs (2)'!$D$61:$AL$61,MATCH(X$7,'Inputs (2)'!$D$2:$AL$2,0)),"")</f>
        <v>9762</v>
      </c>
      <c r="Y38" s="265">
        <f>IFERROR(INDEX('Inputs (2)'!$D$61:$AL$61,MATCH(Y$7,'Inputs (2)'!$D$2:$AL$2,0)),"")</f>
        <v>13256</v>
      </c>
      <c r="Z38" s="265">
        <f>IFERROR(INDEX('Inputs (2)'!$D$61:$AL$61,MATCH(Z$7,'Inputs (2)'!$D$2:$AL$2,0)),"")</f>
        <v>12584</v>
      </c>
      <c r="AA38" s="265">
        <f>IFERROR(INDEX('Inputs (2)'!$D$61:$AL$61,MATCH(AA$7,'Inputs (2)'!$D$2:$AL$2,0)),"")</f>
        <v>12123</v>
      </c>
      <c r="AB38" s="266">
        <f>IF(COUNT(X38:AA38)=4,SUM(X38:AA38),"")</f>
        <v>47725</v>
      </c>
      <c r="AC38" s="265">
        <f>IFERROR(INDEX('Inputs (2)'!$D$61:$AL$61,MATCH(AC$7,'Inputs (2)'!$D$2:$AL$2,0)),"")</f>
        <v>10333</v>
      </c>
      <c r="AD38" s="265">
        <f>IFERROR(INDEX('Inputs (2)'!$D$61:$AL$61,MATCH(AD$7,'Inputs (2)'!$D$2:$AL$2,0)),"")</f>
        <v>11809</v>
      </c>
      <c r="AE38" s="265">
        <f>IFERROR(INDEX('Inputs (2)'!$D$61:$AL$61,MATCH(AE$7,'Inputs (2)'!$D$2:$AL$2,0)),"")</f>
        <v>14598</v>
      </c>
      <c r="AF38" s="265">
        <f>IFERROR(INDEX('Inputs (2)'!$D$61:$AL$61,MATCH(AF$7,'Inputs (2)'!$D$2:$AL$2,0)),"")</f>
        <v>10887</v>
      </c>
      <c r="AG38" s="266">
        <f>IF(COUNT(AC38:AF38)=4,SUM(AC38:AF38),"")</f>
        <v>47627</v>
      </c>
      <c r="AH38" s="266">
        <f>IFERROR(INDEX('Inputs (2)'!$D$61:$AL$61,MATCH(AH$7,'Inputs (2)'!$D$2:$AL$2,0)),"")</f>
        <v>10677</v>
      </c>
      <c r="AI38" s="266">
        <f>IFERROR(INDEX('Inputs (2)'!$D$61:$AL$61,MATCH(AI$7,'Inputs (2)'!$D$2:$AL$2,0)),"")</f>
        <v>13208</v>
      </c>
    </row>
    <row r="39">
      <c r="C39" s="14" t="inlineStr">
        <is>
          <t xml:space="preserve">   China</t>
        </is>
      </c>
      <c r="D39" s="265">
        <f>IFERROR(INDEX('Inputs (2)'!$D$62:$AL$62,MATCH(D$7,'Inputs (2)'!$D$2:$AL$2,0)),"")</f>
        <v>900</v>
      </c>
      <c r="E39" s="265">
        <f>IFERROR(INDEX('Inputs (2)'!$D$62:$AL$62,MATCH(E$7,'Inputs (2)'!$D$2:$AL$2,0)),"")</f>
        <v>1400</v>
      </c>
      <c r="F39" s="265">
        <f>IFERROR(INDEX('Inputs (2)'!$D$62:$AL$62,MATCH(F$7,'Inputs (2)'!$D$2:$AL$2,0)),"")</f>
        <v>1744</v>
      </c>
      <c r="G39" s="265">
        <f>IFERROR(INDEX('Inputs (2)'!$D$62:$AL$62,MATCH(G$7,'Inputs (2)'!$D$2:$AL$2,0)),"")</f>
        <v>2618</v>
      </c>
      <c r="H39" s="266">
        <f>IF(COUNT(D39:G39)=4,SUM(D39:G39),"")</f>
        <v>6662</v>
      </c>
      <c r="I39" s="265">
        <f>IFERROR(INDEX('Inputs (2)'!$D$62:$AL$62,MATCH(I$7,'Inputs (2)'!$D$2:$AL$2,0)),"")</f>
        <v>3043</v>
      </c>
      <c r="J39" s="265">
        <f>IFERROR(INDEX('Inputs (2)'!$D$62:$AL$62,MATCH(J$7,'Inputs (2)'!$D$2:$AL$2,0)),"")</f>
        <v>2859</v>
      </c>
      <c r="K39" s="265">
        <f>IFERROR(INDEX('Inputs (2)'!$D$62:$AL$62,MATCH(K$7,'Inputs (2)'!$D$2:$AL$2,0)),"")</f>
        <v>3113</v>
      </c>
      <c r="L39" s="265">
        <f>IFERROR(INDEX('Inputs (2)'!$D$62:$AL$62,MATCH(L$7,'Inputs (2)'!$D$2:$AL$2,0)),"")</f>
        <v>4829</v>
      </c>
      <c r="M39" s="266">
        <f>IF(COUNT(I39:L39)=4,SUM(I39:L39),"")</f>
        <v>13844</v>
      </c>
      <c r="N39" s="265">
        <f>IFERROR(INDEX('Inputs (2)'!$D$62:$AL$62,MATCH(N$7,'Inputs (2)'!$D$2:$AL$2,0)),"")</f>
        <v>4650</v>
      </c>
      <c r="O39" s="265">
        <f>IFERROR(INDEX('Inputs (2)'!$D$62:$AL$62,MATCH(O$7,'Inputs (2)'!$D$2:$AL$2,0)),"")</f>
        <v>3787</v>
      </c>
      <c r="P39" s="265">
        <f>IFERROR(INDEX('Inputs (2)'!$D$62:$AL$62,MATCH(P$7,'Inputs (2)'!$D$2:$AL$2,0)),"")</f>
        <v>5131</v>
      </c>
      <c r="Q39" s="265">
        <f>IFERROR(INDEX('Inputs (2)'!$D$62:$AL$62,MATCH(Q$7,'Inputs (2)'!$D$2:$AL$2,0)),"")</f>
        <v>4577</v>
      </c>
      <c r="R39" s="266">
        <f>IF(COUNT(N39:Q39)=4,SUM(N39:Q39),"")</f>
        <v>18145</v>
      </c>
      <c r="S39" s="265">
        <f>IFERROR(INDEX('Inputs (2)'!$D$62:$AL$62,MATCH(S$7,'Inputs (2)'!$D$2:$AL$2,0)),"")</f>
        <v>4891</v>
      </c>
      <c r="T39" s="265">
        <f>IFERROR(INDEX('Inputs (2)'!$D$62:$AL$62,MATCH(T$7,'Inputs (2)'!$D$2:$AL$2,0)),"")</f>
        <v>5731</v>
      </c>
      <c r="U39" s="265">
        <f>IFERROR(INDEX('Inputs (2)'!$D$62:$AL$62,MATCH(U$7,'Inputs (2)'!$D$2:$AL$2,0)),"")</f>
        <v>5020</v>
      </c>
      <c r="V39" s="265">
        <f>IFERROR(INDEX('Inputs (2)'!$D$62:$AL$62,MATCH(V$7,'Inputs (2)'!$D$2:$AL$2,0)),"")</f>
        <v>6103</v>
      </c>
      <c r="W39" s="266">
        <f>IF(COUNT(S39:V39)=4,SUM(S39:V39),"")</f>
        <v>21745</v>
      </c>
      <c r="X39" s="265">
        <f>IFERROR(INDEX('Inputs (2)'!$D$62:$AL$62,MATCH(X$7,'Inputs (2)'!$D$2:$AL$2,0)),"")</f>
        <v>4592</v>
      </c>
      <c r="Y39" s="265">
        <f>IFERROR(INDEX('Inputs (2)'!$D$62:$AL$62,MATCH(Y$7,'Inputs (2)'!$D$2:$AL$2,0)),"")</f>
        <v>4636</v>
      </c>
      <c r="Z39" s="265">
        <f>IFERROR(INDEX('Inputs (2)'!$D$62:$AL$62,MATCH(Z$7,'Inputs (2)'!$D$2:$AL$2,0)),"")</f>
        <v>5665</v>
      </c>
      <c r="AA39" s="265">
        <f>IFERROR(INDEX('Inputs (2)'!$D$62:$AL$62,MATCH(AA$7,'Inputs (2)'!$D$2:$AL$2,0)),"")</f>
        <v>6051</v>
      </c>
      <c r="AB39" s="266">
        <f>IF(COUNT(X39:AA39)=4,SUM(X39:AA39),"")</f>
        <v>20944</v>
      </c>
      <c r="AC39" s="265">
        <f>IFERROR(INDEX('Inputs (2)'!$D$62:$AL$62,MATCH(AC$7,'Inputs (2)'!$D$2:$AL$2,0)),"")</f>
        <v>4303</v>
      </c>
      <c r="AD39" s="265">
        <f>IFERROR(INDEX('Inputs (2)'!$D$62:$AL$62,MATCH(AD$7,'Inputs (2)'!$D$2:$AL$2,0)),"")</f>
        <v>4305</v>
      </c>
      <c r="AE39" s="265">
        <f>IFERROR(INDEX('Inputs (2)'!$D$62:$AL$62,MATCH(AE$7,'Inputs (2)'!$D$2:$AL$2,0)),"")</f>
        <v>5653</v>
      </c>
      <c r="AF39" s="265">
        <f>IFERROR(INDEX('Inputs (2)'!$D$62:$AL$62,MATCH(AF$7,'Inputs (2)'!$D$2:$AL$2,0)),"")</f>
        <v>6701</v>
      </c>
      <c r="AG39" s="266">
        <f>IF(COUNT(AC39:AF39)=4,SUM(AC39:AF39),"")</f>
        <v>20962</v>
      </c>
      <c r="AH39" s="266">
        <f>IFERROR(INDEX('Inputs (2)'!$D$62:$AL$62,MATCH(AH$7,'Inputs (2)'!$D$2:$AL$2,0)),"")</f>
        <v>4184</v>
      </c>
      <c r="AI39" s="266">
        <f>IFERROR(INDEX('Inputs (2)'!$D$62:$AL$62,MATCH(AI$7,'Inputs (2)'!$D$2:$AL$2,0)),"")</f>
        <v>4675</v>
      </c>
    </row>
    <row r="40">
      <c r="C40" s="14" t="inlineStr">
        <is>
          <t xml:space="preserve">   Outros países (receita total - EUA - China)</t>
        </is>
      </c>
      <c r="D40" s="265">
        <f>IF(COUNT(D38)=0,"",D15-N(D38)-N(D39))</f>
        <v>2317</v>
      </c>
      <c r="E40" s="265">
        <f>IF(COUNT(E38)=0,"",E15-N(E38)-N(E39))</f>
        <v>1546</v>
      </c>
      <c r="F40" s="265">
        <f>IF(COUNT(F38)=0,"",F15-N(F38)-N(F39))</f>
        <v>2812</v>
      </c>
      <c r="G40" s="265">
        <f>IF(COUNT(G38)=0,"",G15-N(G38)-N(G39))</f>
        <v>2992</v>
      </c>
      <c r="H40" s="266">
        <f>IF(COUNT(H38)=0,"",H15-N(H38)-N(H39))</f>
        <v>9667</v>
      </c>
      <c r="I40" s="265">
        <f>IF(COUNT(I38)=0,"",I15-N(I38)-N(I39))</f>
        <v>2922</v>
      </c>
      <c r="J40" s="265">
        <f>IF(COUNT(J38)=0,"",J15-N(J38)-N(J39))</f>
        <v>3894</v>
      </c>
      <c r="K40" s="265">
        <f>IF(COUNT(K38)=0,"",K15-N(K38)-N(K39))</f>
        <v>4230</v>
      </c>
      <c r="L40" s="265">
        <f>IF(COUNT(L38)=0,"",L15-N(L38)-N(L39))</f>
        <v>4960</v>
      </c>
      <c r="M40" s="266">
        <f>IF(COUNT(M38)=0,"",M15-N(M38)-N(M39))</f>
        <v>16006</v>
      </c>
      <c r="N40" s="265">
        <f>IF(COUNT(N38)=0,"",N15-N(N38)-N(N39))</f>
        <v>5372</v>
      </c>
      <c r="O40" s="265">
        <f>IF(COUNT(O38)=0,"",O15-N(O38)-N(O39))</f>
        <v>3533</v>
      </c>
      <c r="P40" s="265">
        <f>IF(COUNT(P38)=0,"",P15-N(P38)-N(P39))</f>
        <v>6087</v>
      </c>
      <c r="Q40" s="265">
        <f>IF(COUNT(Q38)=0,"",Q15-N(Q38)-N(Q39))</f>
        <v>7772</v>
      </c>
      <c r="R40" s="266">
        <f>IF(COUNT(R38)=0,"",R15-N(R38)-N(R39))</f>
        <v>22764</v>
      </c>
      <c r="S40" s="265">
        <f>IF(COUNT(S38)=0,"",S15-N(S38)-N(S39))</f>
        <v>7191</v>
      </c>
      <c r="T40" s="265">
        <f>IF(COUNT(T38)=0,"",T15-N(T38)-N(T39))</f>
        <v>7864</v>
      </c>
      <c r="U40" s="265">
        <f>IF(COUNT(U38)=0,"",U15-N(U38)-N(U39))</f>
        <v>7437</v>
      </c>
      <c r="V40" s="265">
        <f>IF(COUNT(V38)=0,"",V15-N(V38)-N(V39))</f>
        <v>7301</v>
      </c>
      <c r="W40" s="266">
        <f>IF(COUNT(W38)=0,"",W15-N(W38)-N(W39))</f>
        <v>29793</v>
      </c>
      <c r="X40" s="265">
        <f>IF(COUNT(X38)=0,"",X15-N(X38)-N(X39))</f>
        <v>6947</v>
      </c>
      <c r="Y40" s="265">
        <f>IF(COUNT(Y38)=0,"",Y15-N(Y38)-N(Y39))</f>
        <v>7608</v>
      </c>
      <c r="Z40" s="265">
        <f>IF(COUNT(Z38)=0,"",Z15-N(Z38)-N(Z39))</f>
        <v>6933</v>
      </c>
      <c r="AA40" s="265">
        <f>IF(COUNT(AA38)=0,"",AA15-N(AA38)-N(AA39))</f>
        <v>7533</v>
      </c>
      <c r="AB40" s="266">
        <f>IF(COUNT(AB38)=0,"",AB15-N(AB38)-N(AB39))</f>
        <v>29021</v>
      </c>
      <c r="AC40" s="265">
        <f>IF(COUNT(AC38)=0,"",AC15-N(AC38)-N(AC39))</f>
        <v>4699</v>
      </c>
      <c r="AD40" s="265">
        <f>IF(COUNT(AD38)=0,"",AD15-N(AD38)-N(AD39))</f>
        <v>6382</v>
      </c>
      <c r="AE40" s="265">
        <f>IF(COUNT(AE38)=0,"",AE15-N(AE38)-N(AE39))</f>
        <v>7844</v>
      </c>
      <c r="AF40" s="265">
        <f>IF(COUNT(AF38)=0,"",AF15-N(AF38)-N(AF39))</f>
        <v>7313</v>
      </c>
      <c r="AG40" s="266">
        <f>IF(COUNT(AG38)=0,"",AG15-N(AG38)-N(AG39))</f>
        <v>26238</v>
      </c>
      <c r="AH40" s="266">
        <f>IF(COUNT(AH38)=0,"",AH15-N(AH38)-N(AH39))</f>
        <v>7526</v>
      </c>
      <c r="AI40" s="266">
        <f>IF(COUNT(AI38)=0,"",AI15-N(AI38)-N(AI39))</f>
        <v>10353</v>
      </c>
    </row>
    <row r="41">
      <c r="C41" s="14" t="inlineStr">
        <is>
          <t xml:space="preserve">   % China na receita</t>
        </is>
      </c>
      <c r="D41" s="268">
        <f>IFERROR(D39/D21,"")</f>
        <v>0.150375939849624</v>
      </c>
      <c r="E41" s="268">
        <f>IFERROR(E39/E21,"")</f>
        <v>0.23194168323393</v>
      </c>
      <c r="F41" s="268">
        <f>IFERROR(F39/F21,"")</f>
        <v>0.198837076730133</v>
      </c>
      <c r="G41" s="268">
        <f>IFERROR(G39/G21,"")</f>
        <v>0.243670886075949</v>
      </c>
      <c r="H41" s="269">
        <f>IFERROR(H39/H21,"")</f>
        <v>0.21125063419584</v>
      </c>
      <c r="I41" s="268">
        <f>IFERROR(I39/I21,"")</f>
        <v>0.292905958225046</v>
      </c>
      <c r="J41" s="268">
        <f>IFERROR(J39/J21,"")</f>
        <v>0.239086803813347</v>
      </c>
      <c r="K41" s="268">
        <f>IFERROR(K39/K21,"")</f>
        <v>0.226284800465218</v>
      </c>
      <c r="L41" s="268">
        <f>IFERROR(L39/L21,"")</f>
        <v>0.272532309949771</v>
      </c>
      <c r="M41" s="269">
        <f>IFERROR(M39/M21,"")</f>
        <v>0.257213458930197</v>
      </c>
      <c r="N41" s="268">
        <f>IFERROR(N39/N21,"")</f>
        <v>0.247920665387076</v>
      </c>
      <c r="O41" s="268">
        <f>IFERROR(O39/O21,"")</f>
        <v>0.223632927837487</v>
      </c>
      <c r="P41" s="268">
        <f>IFERROR(P39/P21,"")</f>
        <v>0.239162860072714</v>
      </c>
      <c r="Q41" s="268">
        <f>IFERROR(Q39/Q21,"")</f>
        <v>0.1882144913233</v>
      </c>
      <c r="R41" s="269">
        <f>IFERROR(R39/R21,"")</f>
        <v>0.222741891925069</v>
      </c>
      <c r="S41" s="268">
        <f>IFERROR(S39/S21,"")</f>
        <v>0.209653221312529</v>
      </c>
      <c r="T41" s="268">
        <f>IFERROR(T39/T21,"")</f>
        <v>0.229911341116059</v>
      </c>
      <c r="U41" s="268">
        <f>IFERROR(U39/U21,"")</f>
        <v>0.214989293361884</v>
      </c>
      <c r="V41" s="268">
        <f>IFERROR(V39/V21,"")</f>
        <v>0.242500099336433</v>
      </c>
      <c r="W41" s="269">
        <f>IFERROR(W39/W21,"")</f>
        <v>0.224701104646957</v>
      </c>
      <c r="X41" s="268">
        <f>IFERROR(X39/X21,"")</f>
        <v>0.215576733486691</v>
      </c>
      <c r="Y41" s="268">
        <f>IFERROR(Y39/Y21,"")</f>
        <v>0.181803921568627</v>
      </c>
      <c r="Z41" s="268">
        <f>IFERROR(Z39/Z21,"")</f>
        <v>0.224962274640616</v>
      </c>
      <c r="AA41" s="268">
        <f>IFERROR(AA39/AA21,"")</f>
        <v>0.235383358618275</v>
      </c>
      <c r="AB41" s="269">
        <f>IFERROR(AB39/AB21,"")</f>
        <v>0.214392465963763</v>
      </c>
      <c r="AC41" s="268">
        <f>IFERROR(AC39/AC21,"")</f>
        <v>0.222549780191363</v>
      </c>
      <c r="AD41" s="268">
        <f>IFERROR(AD39/AD21,"")</f>
        <v>0.191367354196302</v>
      </c>
      <c r="AE41" s="268">
        <f>IFERROR(AE39/AE21,"")</f>
        <v>0.201210179747286</v>
      </c>
      <c r="AF41" s="268">
        <f>IFERROR(AF39/AF21,"")</f>
        <v>0.269105658407293</v>
      </c>
      <c r="AG41" s="269">
        <f>IFERROR(AG39/AG21,"")</f>
        <v>0.221055184704778</v>
      </c>
      <c r="AH41" s="269">
        <f>IFERROR(AH39/AH21,"")</f>
        <v>0.186894179657837</v>
      </c>
      <c r="AI41" s="269">
        <f>IFERROR(AI39/AI21,"")</f>
        <v>0.16556877744723</v>
      </c>
    </row>
    <row r="42"/>
    <row r="43"/>
    <row r="44"/>
    <row r="45"/>
    <row r="46" hidden="1" outlineLevel="1" customFormat="1" s="23">
      <c r="A46" s="18" t="n"/>
      <c r="B46" s="19" t="n"/>
      <c r="C46" s="20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  <c r="AA46" s="21" t="n"/>
      <c r="AB46" s="21" t="n"/>
      <c r="AC46" s="21" t="n"/>
      <c r="AD46" s="21" t="n"/>
      <c r="AE46" s="21" t="n"/>
      <c r="AF46" s="21" t="n"/>
      <c r="AG46" s="21" t="n"/>
      <c r="AH46" s="21" t="n"/>
      <c r="AI46" s="21" t="n"/>
      <c r="AJ46" s="21" t="n"/>
      <c r="AK46" s="21" t="n"/>
      <c r="AL46" s="21" t="n"/>
      <c r="AM46" s="21" t="n"/>
      <c r="AN46" s="21" t="n"/>
      <c r="AO46" s="21" t="n"/>
      <c r="AP46" s="21" t="n"/>
      <c r="AQ46" s="21" t="n"/>
      <c r="AR46" s="21" t="n"/>
      <c r="AS46" s="21" t="n"/>
      <c r="AT46" s="21" t="n"/>
      <c r="AU46" s="21" t="n"/>
      <c r="AV46" s="21" t="n"/>
      <c r="AW46" s="21" t="n"/>
      <c r="AX46" s="21" t="n"/>
      <c r="AY46" s="21" t="n"/>
      <c r="AZ46" s="21" t="n"/>
      <c r="BA46" s="21" t="n"/>
      <c r="BB46" s="21" t="n"/>
      <c r="BC46" s="21" t="n"/>
      <c r="BD46" s="21" t="n"/>
      <c r="BE46" s="21" t="n"/>
      <c r="BF46" s="21" t="n"/>
      <c r="BG46" s="21" t="n"/>
      <c r="BH46" s="21" t="n"/>
      <c r="BI46" s="21" t="n"/>
      <c r="BJ46" s="21" t="n"/>
      <c r="BK46" s="21" t="n"/>
      <c r="BL46" s="21" t="n"/>
      <c r="BM46" s="21" t="n"/>
      <c r="BN46" s="21" t="n"/>
      <c r="BO46" s="21" t="n"/>
      <c r="BP46" s="21" t="n"/>
      <c r="BQ46" s="21" t="n"/>
      <c r="BR46" s="21" t="n"/>
      <c r="BS46" s="21" t="n"/>
      <c r="BT46" s="21" t="n"/>
      <c r="BU46" s="21" t="n"/>
      <c r="BV46" s="21" t="n"/>
      <c r="BW46" s="21" t="n"/>
      <c r="BX46" s="21" t="n"/>
      <c r="BY46" s="21" t="n"/>
      <c r="BZ46" s="21" t="n"/>
      <c r="CA46" s="21" t="n"/>
      <c r="CB46" s="21" t="n"/>
      <c r="CC46" s="21" t="n"/>
      <c r="CD46" s="21" t="n"/>
      <c r="CE46" s="21" t="n"/>
      <c r="CF46" s="21" t="n"/>
      <c r="CG46" s="21" t="n"/>
      <c r="CH46" s="21" t="n"/>
      <c r="CI46" s="21" t="n"/>
      <c r="CJ46" s="21" t="n"/>
      <c r="CK46" s="21" t="n"/>
      <c r="CL46" s="21" t="n"/>
      <c r="CM46" s="21" t="n"/>
      <c r="CN46" s="21" t="n"/>
      <c r="CO46" s="21" t="n"/>
      <c r="CP46" s="21" t="n"/>
      <c r="CQ46" s="21" t="n"/>
      <c r="CR46" s="21" t="n"/>
      <c r="CS46" s="21" t="n"/>
      <c r="CT46" s="21" t="n"/>
      <c r="CU46" s="21" t="n"/>
      <c r="CV46" s="21" t="n"/>
      <c r="CW46" s="21" t="n"/>
      <c r="CX46" s="21" t="n"/>
      <c r="CY46" s="21" t="n"/>
    </row>
    <row r="47" hidden="1" outlineLevel="1" customFormat="1" s="23">
      <c r="A47" s="18" t="n"/>
      <c r="B47" s="19" t="n"/>
      <c r="C47" s="20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  <c r="AO47" s="21" t="n"/>
      <c r="AP47" s="21" t="n"/>
      <c r="AQ47" s="21" t="n"/>
      <c r="AR47" s="21" t="n"/>
      <c r="AS47" s="21" t="n"/>
      <c r="AT47" s="21" t="n"/>
      <c r="AU47" s="21" t="n"/>
      <c r="AV47" s="21" t="n"/>
      <c r="AW47" s="21" t="n"/>
      <c r="AX47" s="21" t="n"/>
      <c r="AY47" s="21" t="n"/>
      <c r="AZ47" s="21" t="n"/>
      <c r="BA47" s="21" t="n"/>
      <c r="BB47" s="21" t="n"/>
      <c r="BC47" s="21" t="n"/>
      <c r="BD47" s="21" t="n"/>
      <c r="BE47" s="21" t="n"/>
      <c r="BF47" s="21" t="n"/>
      <c r="BG47" s="21" t="n"/>
      <c r="BH47" s="21" t="n"/>
      <c r="BI47" s="21" t="n"/>
      <c r="BJ47" s="21" t="n"/>
      <c r="BK47" s="21" t="n"/>
      <c r="BL47" s="21" t="n"/>
      <c r="BM47" s="21" t="n"/>
      <c r="BN47" s="21" t="n"/>
      <c r="BO47" s="21" t="n"/>
      <c r="BP47" s="21" t="n"/>
      <c r="BQ47" s="21" t="n"/>
      <c r="BR47" s="21" t="n"/>
      <c r="BS47" s="21" t="n"/>
      <c r="BT47" s="21" t="n"/>
      <c r="BU47" s="21" t="n"/>
      <c r="BV47" s="21" t="n"/>
      <c r="BW47" s="21" t="n"/>
      <c r="BX47" s="21" t="n"/>
      <c r="BY47" s="21" t="n"/>
      <c r="BZ47" s="21" t="n"/>
      <c r="CA47" s="21" t="n"/>
      <c r="CB47" s="21" t="n"/>
      <c r="CC47" s="21" t="n"/>
      <c r="CD47" s="21" t="n"/>
      <c r="CE47" s="21" t="n"/>
      <c r="CF47" s="21" t="n"/>
      <c r="CG47" s="21" t="n"/>
      <c r="CH47" s="21" t="n"/>
      <c r="CI47" s="21" t="n"/>
      <c r="CJ47" s="21" t="n"/>
      <c r="CK47" s="21" t="n"/>
      <c r="CL47" s="21" t="n"/>
      <c r="CM47" s="21" t="n"/>
      <c r="CN47" s="21" t="n"/>
      <c r="CO47" s="21" t="n"/>
      <c r="CP47" s="21" t="n"/>
      <c r="CQ47" s="21" t="n"/>
      <c r="CR47" s="21" t="n"/>
      <c r="CS47" s="21" t="n"/>
      <c r="CT47" s="21" t="n"/>
      <c r="CU47" s="21" t="n"/>
      <c r="CV47" s="21" t="n"/>
      <c r="CW47" s="21" t="n"/>
      <c r="CX47" s="21" t="n"/>
      <c r="CY47" s="21" t="n"/>
    </row>
    <row r="48" collapsed="1">
      <c r="C48" s="24" t="inlineStr">
        <is>
          <t>COGS (cash)</t>
        </is>
      </c>
      <c r="D48" s="25">
        <f>INDEX('Inputs (2)'!$D$5:$AL$5,MATCH(D$7,'Inputs (2)'!$D$2:$AL$2,0))</f>
        <v>-4751</v>
      </c>
      <c r="E48" s="25">
        <f>INDEX('Inputs (2)'!$D$5:$AL$5,MATCH(E$7,'Inputs (2)'!$D$2:$AL$2,0))</f>
        <v>-4769</v>
      </c>
      <c r="F48" s="25">
        <f>INDEX('Inputs (2)'!$D$5:$AL$5,MATCH(F$7,'Inputs (2)'!$D$2:$AL$2,0))</f>
        <v>-6708</v>
      </c>
      <c r="G48" s="25">
        <f>INDEX('Inputs (2)'!$D$5:$AL$5,MATCH(G$7,'Inputs (2)'!$D$2:$AL$2,0))</f>
        <v>-8678</v>
      </c>
      <c r="H48" s="3">
        <f>SUM(D48:G48)</f>
        <v>-24906</v>
      </c>
      <c r="I48" s="25">
        <f>INDEX('Inputs (2)'!$D$5:$AL$5,MATCH(I$7,'Inputs (2)'!$D$2:$AL$2,0))</f>
        <v>-8174</v>
      </c>
      <c r="J48" s="25">
        <f>INDEX('Inputs (2)'!$D$5:$AL$5,MATCH(J$7,'Inputs (2)'!$D$2:$AL$2,0))</f>
        <v>-9074</v>
      </c>
      <c r="K48" s="25">
        <f>INDEX('Inputs (2)'!$D$5:$AL$5,MATCH(K$7,'Inputs (2)'!$D$2:$AL$2,0))</f>
        <v>-10097</v>
      </c>
      <c r="L48" s="25">
        <f>INDEX('Inputs (2)'!$D$5:$AL$5,MATCH(L$7,'Inputs (2)'!$D$2:$AL$2,0))</f>
        <v>-12872</v>
      </c>
      <c r="M48" s="3">
        <f>SUM(I48:L48)</f>
        <v>-40217</v>
      </c>
      <c r="N48" s="25">
        <f>INDEX('Inputs (2)'!$D$5:$AL$5,MATCH(N$7,'Inputs (2)'!$D$2:$AL$2,0))</f>
        <v>-13296</v>
      </c>
      <c r="O48" s="25">
        <f>INDEX('Inputs (2)'!$D$5:$AL$5,MATCH(O$7,'Inputs (2)'!$D$2:$AL$2,0))</f>
        <v>-12700</v>
      </c>
      <c r="P48" s="25">
        <f>INDEX('Inputs (2)'!$D$5:$AL$5,MATCH(P$7,'Inputs (2)'!$D$2:$AL$2,0))</f>
        <v>-16072</v>
      </c>
      <c r="Q48" s="25">
        <f>INDEX('Inputs (2)'!$D$5:$AL$5,MATCH(Q$7,'Inputs (2)'!$D$2:$AL$2,0))</f>
        <v>-18541</v>
      </c>
      <c r="R48" s="3">
        <f>SUM(N48:Q48)</f>
        <v>-60609</v>
      </c>
      <c r="S48" s="25">
        <f>INDEX('Inputs (2)'!$D$5:$AL$5,MATCH(S$7,'Inputs (2)'!$D$2:$AL$2,0))</f>
        <v>-18818</v>
      </c>
      <c r="T48" s="25">
        <f>INDEX('Inputs (2)'!$D$5:$AL$5,MATCH(T$7,'Inputs (2)'!$D$2:$AL$2,0))</f>
        <v>-20394</v>
      </c>
      <c r="U48" s="25">
        <f>INDEX('Inputs (2)'!$D$5:$AL$5,MATCH(U$7,'Inputs (2)'!$D$2:$AL$2,0))</f>
        <v>-19172</v>
      </c>
      <c r="V48" s="25">
        <f>INDEX('Inputs (2)'!$D$5:$AL$5,MATCH(V$7,'Inputs (2)'!$D$2:$AL$2,0))</f>
        <v>-20729</v>
      </c>
      <c r="W48" s="3">
        <f>SUM(S48:V48)</f>
        <v>-79113</v>
      </c>
      <c r="X48" s="25">
        <f>INDEX('Inputs (2)'!$D$5:$AL$5,MATCH(X$7,'Inputs (2)'!$D$2:$AL$2,0))</f>
        <v>-17605</v>
      </c>
      <c r="Y48" s="25">
        <f>INDEX('Inputs (2)'!$D$5:$AL$5,MATCH(Y$7,'Inputs (2)'!$D$2:$AL$2,0))</f>
        <v>-20922</v>
      </c>
      <c r="Z48" s="25">
        <f>INDEX('Inputs (2)'!$D$5:$AL$5,MATCH(Z$7,'Inputs (2)'!$D$2:$AL$2,0))</f>
        <v>-20185</v>
      </c>
      <c r="AA48" s="25">
        <f>INDEX('Inputs (2)'!$D$5:$AL$5,MATCH(AA$7,'Inputs (2)'!$D$2:$AL$2,0))</f>
        <v>-21528</v>
      </c>
      <c r="AB48" s="3">
        <f>SUM(X48:AA48)</f>
        <v>-80240</v>
      </c>
      <c r="AC48" s="25">
        <f>INDEX('Inputs (2)'!$D$5:$AL$5,MATCH(AC$7,'Inputs (2)'!$D$2:$AL$2,0))</f>
        <v>-16182</v>
      </c>
      <c r="AD48" s="25">
        <f>INDEX('Inputs (2)'!$D$5:$AL$5,MATCH(AD$7,'Inputs (2)'!$D$2:$AL$2,0))</f>
        <v>-18618</v>
      </c>
      <c r="AE48" s="25">
        <f>INDEX('Inputs (2)'!$D$5:$AL$5,MATCH(AE$7,'Inputs (2)'!$D$2:$AL$2,0))</f>
        <v>-23041</v>
      </c>
      <c r="AF48" s="25">
        <f>INDEX('Inputs (2)'!$D$5:$AL$5,MATCH(AF$7,'Inputs (2)'!$D$2:$AL$2,0))</f>
        <v>-19892</v>
      </c>
      <c r="AG48" s="3">
        <f>SUM(AC48:AF48)</f>
        <v>-77733</v>
      </c>
      <c r="AH48" s="3">
        <f>INDEX('Inputs (2)'!$D$5:$AL$5,MATCH(AH$7,'Inputs (2)'!$D$2:$AL$2,0))</f>
        <v>-17667</v>
      </c>
      <c r="AI48" s="3">
        <f>INDEX('Inputs (2)'!$D$5:$AL$5,MATCH(AI$7,'Inputs (2)'!$D$2:$AL$2,0))</f>
        <v>-23485</v>
      </c>
      <c r="AJ48" s="3">
        <f>(100%-AJ49)*-AJ15</f>
        <v>-28095</v>
      </c>
      <c r="AK48" s="3">
        <f>(100%-AK49)*-AK15</f>
        <v>-24901</v>
      </c>
      <c r="AL48" s="3">
        <f>SUM(AH48:AK48)</f>
        <v>-94148</v>
      </c>
      <c r="AM48" s="3">
        <f>(100%-AM49)*-AM15</f>
        <v>-22387</v>
      </c>
      <c r="AN48" s="3">
        <f>(100%-AN49)*-AN15</f>
        <v>-28236</v>
      </c>
      <c r="AO48" s="3">
        <f>(100%-AO49)*-AO15</f>
        <v>-28095</v>
      </c>
      <c r="AP48" s="3">
        <f>(100%-AP49)*-AP15</f>
        <v>-24901</v>
      </c>
      <c r="AQ48" s="3">
        <f>SUM(AM48:AP48)</f>
        <v>-103619</v>
      </c>
      <c r="AR48" s="3">
        <f>(100%-AR49)*-AR15</f>
        <v>-22387</v>
      </c>
      <c r="AS48" s="3">
        <f>(100%-AS49)*-AS15</f>
        <v>-28236</v>
      </c>
      <c r="AT48" s="3">
        <f>(100%-AT49)*-AT15</f>
        <v>-28095</v>
      </c>
      <c r="AU48" s="3">
        <f>(100%-AU49)*-AU15</f>
        <v>-24901</v>
      </c>
      <c r="AV48" s="3">
        <f>SUM(AR48:AU48)</f>
        <v>-103619</v>
      </c>
      <c r="AW48" s="3">
        <f>(100%-AW49)*-AW15</f>
        <v>-22387</v>
      </c>
      <c r="AX48" s="3">
        <f>(100%-AX49)*-AX15</f>
        <v>-28236</v>
      </c>
      <c r="AY48" s="3">
        <f>(100%-AY49)*-AY15</f>
        <v>-28095</v>
      </c>
      <c r="AZ48" s="3">
        <f>(100%-AZ49)*-AZ15</f>
        <v>-24901</v>
      </c>
      <c r="BA48" s="3">
        <f>SUM(AW48:AZ48)</f>
        <v>-103619</v>
      </c>
      <c r="BB48" s="3">
        <f>(100%-BB49)*-BB15</f>
        <v>-22387</v>
      </c>
      <c r="BC48" s="3">
        <f>(100%-BC49)*-BC15</f>
        <v>-28236</v>
      </c>
      <c r="BD48" s="3">
        <f>(100%-BD49)*-BD15</f>
        <v>-28095</v>
      </c>
      <c r="BE48" s="3">
        <f>(100%-BE49)*-BE15</f>
        <v>-24901</v>
      </c>
      <c r="BF48" s="3">
        <f>SUM(BB48:BE48)</f>
        <v>-103619</v>
      </c>
      <c r="BG48" s="3">
        <f>(100%-BG49)*-BG15</f>
        <v>-22387</v>
      </c>
      <c r="BH48" s="3">
        <f>(100%-BH49)*-BH15</f>
        <v>-28236</v>
      </c>
      <c r="BI48" s="3">
        <f>(100%-BI49)*-BI15</f>
        <v>-28095</v>
      </c>
      <c r="BJ48" s="3">
        <f>(100%-BJ49)*-BJ15</f>
        <v>-24901</v>
      </c>
      <c r="BK48" s="3">
        <f>SUM(BG48:BJ48)</f>
        <v>-103619</v>
      </c>
      <c r="BL48" s="3">
        <f>(100%-BL49)*-BL15</f>
        <v>-22387</v>
      </c>
      <c r="BM48" s="3">
        <f>(100%-BM49)*-BM15</f>
        <v>-28236</v>
      </c>
      <c r="BN48" s="3">
        <f>(100%-BN49)*-BN15</f>
        <v>-28095</v>
      </c>
      <c r="BO48" s="3">
        <f>(100%-BO49)*-BO15</f>
        <v>-24901</v>
      </c>
      <c r="BP48" s="3">
        <f>SUM(BL48:BO48)</f>
        <v>-103619</v>
      </c>
      <c r="BQ48" s="3">
        <f>(100%-BQ49)*-BQ15</f>
        <v>-22387</v>
      </c>
      <c r="BR48" s="3">
        <f>(100%-BR49)*-BR15</f>
        <v>-28236</v>
      </c>
      <c r="BS48" s="3">
        <f>(100%-BS49)*-BS15</f>
        <v>-28095</v>
      </c>
      <c r="BT48" s="3">
        <f>(100%-BT49)*-BT15</f>
        <v>-24901</v>
      </c>
      <c r="BU48" s="3">
        <f>SUM(BQ48:BT48)</f>
        <v>-103619</v>
      </c>
      <c r="BV48" s="3">
        <f>(100%-BV49)*-BV15</f>
        <v>-22387</v>
      </c>
      <c r="BW48" s="3">
        <f>(100%-BW49)*-BW15</f>
        <v>-28236</v>
      </c>
      <c r="BX48" s="3">
        <f>(100%-BX49)*-BX15</f>
        <v>-28095</v>
      </c>
      <c r="BY48" s="3">
        <f>(100%-BY49)*-BY15</f>
        <v>-24901</v>
      </c>
      <c r="BZ48" s="3">
        <f>SUM(BV48:BY48)</f>
        <v>-103619</v>
      </c>
      <c r="CA48" s="3">
        <f>(100%-CA49)*-CA15</f>
        <v>-22387</v>
      </c>
      <c r="CB48" s="3">
        <f>(100%-CB49)*-CB15</f>
        <v>-28236</v>
      </c>
      <c r="CC48" s="3">
        <f>(100%-CC49)*-CC15</f>
        <v>-28095</v>
      </c>
      <c r="CD48" s="3">
        <f>(100%-CD49)*-CD15</f>
        <v>-24901</v>
      </c>
      <c r="CE48" s="3">
        <f>SUM(CA48:CD48)</f>
        <v>-103619</v>
      </c>
      <c r="CF48" s="3">
        <f>(100%-CF49)*-CF15</f>
        <v>-22387</v>
      </c>
      <c r="CG48" s="3">
        <f>(100%-CG49)*-CG15</f>
        <v>-28236</v>
      </c>
      <c r="CH48" s="3">
        <f>(100%-CH49)*-CH15</f>
        <v>-28095</v>
      </c>
      <c r="CI48" s="3">
        <f>(100%-CI49)*-CI15</f>
        <v>-24901</v>
      </c>
      <c r="CJ48" s="3">
        <f>SUM(CF48:CI48)</f>
        <v>-103619</v>
      </c>
      <c r="CK48" s="3">
        <f>(100%-CK49)*-CK15</f>
        <v>-22387</v>
      </c>
      <c r="CL48" s="3">
        <f>(100%-CL49)*-CL15</f>
        <v>-28236</v>
      </c>
      <c r="CM48" s="3">
        <f>(100%-CM49)*-CM15</f>
        <v>-28095</v>
      </c>
      <c r="CN48" s="3">
        <f>(100%-CN49)*-CN15</f>
        <v>-24901</v>
      </c>
      <c r="CO48" s="3">
        <f>SUM(CK48:CN48)</f>
        <v>-103619</v>
      </c>
      <c r="CP48" s="3">
        <f>(100%-CP49)*-CP15</f>
        <v>-22387</v>
      </c>
      <c r="CQ48" s="3">
        <f>(100%-CQ49)*-CQ15</f>
        <v>-28236</v>
      </c>
      <c r="CR48" s="3">
        <f>(100%-CR49)*-CR15</f>
        <v>-28095</v>
      </c>
      <c r="CS48" s="3">
        <f>(100%-CS49)*-CS15</f>
        <v>-24901</v>
      </c>
      <c r="CT48" s="3">
        <f>SUM(CP48:CS48)</f>
        <v>-103619</v>
      </c>
      <c r="CU48" s="3">
        <f>(100%-CU49)*-CU15</f>
        <v>-22387</v>
      </c>
      <c r="CV48" s="3">
        <f>(100%-CV49)*-CV15</f>
        <v>-28236</v>
      </c>
      <c r="CW48" s="3">
        <f>(100%-CW49)*-CW15</f>
        <v>-28095</v>
      </c>
      <c r="CX48" s="3">
        <f>(100%-CX49)*-CX15</f>
        <v>-24901</v>
      </c>
      <c r="CY48" s="3">
        <f>SUM(CU48:CX48)</f>
        <v>-103619</v>
      </c>
    </row>
    <row r="49" hidden="1" outlineLevel="1" customFormat="1" s="1">
      <c r="C49" s="57" t="inlineStr">
        <is>
          <t>% Gross Margin</t>
        </is>
      </c>
      <c r="D49" s="54">
        <f>(D15+D48)/D$15</f>
        <v>0.206182121971596</v>
      </c>
      <c r="E49" s="54">
        <f>(E15+E48)/E$15</f>
        <v>0.209907223326706</v>
      </c>
      <c r="F49" s="54">
        <f>(F15+F48)/F$15</f>
        <v>0.235206931934785</v>
      </c>
      <c r="G49" s="54">
        <f>(G15+G48)/G$15</f>
        <v>0.192293373045421</v>
      </c>
      <c r="H49" s="54">
        <f>(H15+H48)/H$15</f>
        <v>0.210235920852359</v>
      </c>
      <c r="I49" s="54">
        <f>(I15+I48)/I$15</f>
        <v>0.213206275868707</v>
      </c>
      <c r="J49" s="54">
        <f>(J15+J48)/J$15</f>
        <v>0.241177454423817</v>
      </c>
      <c r="K49" s="54">
        <f>(K15+K48)/K$15</f>
        <v>0.266046376390201</v>
      </c>
      <c r="L49" s="54">
        <f>(L15+L48)/L$15</f>
        <v>0.273548168632541</v>
      </c>
      <c r="M49" s="54">
        <f>(M15+M48)/M$15</f>
        <v>0.252791557512588</v>
      </c>
      <c r="N49" s="54">
        <f>(N15+N48)/N$15</f>
        <v>0.291106845809341</v>
      </c>
      <c r="O49" s="54">
        <f>(O15+O48)/O$15</f>
        <v>0.250029526396599</v>
      </c>
      <c r="P49" s="54">
        <f>(P15+P48)/P$15</f>
        <v>0.25086231005873</v>
      </c>
      <c r="Q49" s="54">
        <f>(Q15+Q48)/Q$15</f>
        <v>0.2375606546591</v>
      </c>
      <c r="R49" s="54">
        <f>(R15+R48)/R$15</f>
        <v>0.25598438535759</v>
      </c>
      <c r="S49" s="54">
        <f>(S15+S48)/S$15</f>
        <v>0.193364481975224</v>
      </c>
      <c r="T49" s="54">
        <f>(T15+T48)/T$15</f>
        <v>0.181851004934408</v>
      </c>
      <c r="U49" s="54">
        <f>(U15+U48)/U$15</f>
        <v>0.178929336188437</v>
      </c>
      <c r="V49" s="54">
        <f>(V15+V48)/V$15</f>
        <v>0.176342035204832</v>
      </c>
      <c r="W49" s="54">
        <f>(W15+W48)/W$15</f>
        <v>0.182488917363314</v>
      </c>
      <c r="X49" s="54">
        <f>(X15+X48)/X$15</f>
        <v>0.173512980611239</v>
      </c>
      <c r="Y49" s="54">
        <f>(Y15+Y48)/Y$15</f>
        <v>0.179529411764706</v>
      </c>
      <c r="Z49" s="54">
        <f>(Z15+Z48)/Z$15</f>
        <v>0.198435390358192</v>
      </c>
      <c r="AA49" s="54">
        <f>(AA15+AA48)/AA$15</f>
        <v>0.16256272610573</v>
      </c>
      <c r="AB49" s="54">
        <f>(AB15+AB48)/AB$15</f>
        <v>0.178626266762207</v>
      </c>
      <c r="AC49" s="54">
        <f>(AC15+AC48)/AC$15</f>
        <v>0.163072148952677</v>
      </c>
      <c r="AD49" s="54">
        <f>(AD15+AD48)/AD$15</f>
        <v>0.172386201991465</v>
      </c>
      <c r="AE49" s="54">
        <f>(AE15+AE48)/AE$15</f>
        <v>0.179889660081865</v>
      </c>
      <c r="AF49" s="44">
        <f>(AF15+AF48)/AF$15</f>
        <v>0.201156580057026</v>
      </c>
      <c r="AG49" s="54">
        <f>(AG15+AG48)/AG$15</f>
        <v>0.180265114366162</v>
      </c>
      <c r="AH49" s="55">
        <f>(AH15+AH48)/AH$15</f>
        <v>0.210836646267923</v>
      </c>
      <c r="AI49" s="55">
        <f>(AI15+AI48)/AI$15</f>
        <v>0.168260376823913</v>
      </c>
      <c r="AJ49" s="55" t="n"/>
      <c r="AK49" s="55" t="n"/>
      <c r="AL49" s="54">
        <f>(AL15+AL48)/AL$15</f>
        <v>0.0914021559752555</v>
      </c>
      <c r="AM49" s="55" t="n"/>
      <c r="AN49" s="55" t="n"/>
      <c r="AO49" s="55" t="n"/>
      <c r="AP49" s="55" t="n"/>
      <c r="AQ49" s="54">
        <f>(AQ15+AQ48)/AQ$15</f>
        <v>0</v>
      </c>
      <c r="AR49" s="55" t="n"/>
      <c r="AS49" s="55" t="n"/>
      <c r="AT49" s="55" t="n"/>
      <c r="AU49" s="55" t="n"/>
      <c r="AV49" s="54">
        <f>(AV15+AV48)/AV$15</f>
        <v>0</v>
      </c>
      <c r="AW49" s="55" t="n"/>
      <c r="AX49" s="55" t="n"/>
      <c r="AY49" s="55" t="n"/>
      <c r="AZ49" s="55" t="n"/>
      <c r="BA49" s="54">
        <f>(BA15+BA48)/BA$15</f>
        <v>0</v>
      </c>
      <c r="BB49" s="55" t="n"/>
      <c r="BC49" s="55" t="n"/>
      <c r="BD49" s="55" t="n"/>
      <c r="BE49" s="55" t="n"/>
      <c r="BF49" s="54">
        <f>(BF15+BF48)/BF$15</f>
        <v>0</v>
      </c>
      <c r="BG49" s="55" t="n"/>
      <c r="BH49" s="55" t="n"/>
      <c r="BI49" s="55" t="n"/>
      <c r="BJ49" s="55" t="n"/>
      <c r="BK49" s="54">
        <f>(BK15+BK48)/BK$15</f>
        <v>0</v>
      </c>
      <c r="BL49" s="55" t="n"/>
      <c r="BM49" s="55" t="n"/>
      <c r="BN49" s="55" t="n"/>
      <c r="BO49" s="55" t="n"/>
      <c r="BP49" s="54">
        <f>(BP15+BP48)/BP$15</f>
        <v>0</v>
      </c>
      <c r="BQ49" s="55" t="n"/>
      <c r="BR49" s="55" t="n"/>
      <c r="BS49" s="55" t="n"/>
      <c r="BT49" s="55" t="n"/>
      <c r="BU49" s="54">
        <f>(BU15+BU48)/BU$15</f>
        <v>0</v>
      </c>
      <c r="BV49" s="55" t="n"/>
      <c r="BW49" s="55" t="n"/>
      <c r="BX49" s="55" t="n"/>
      <c r="BY49" s="55" t="n"/>
      <c r="BZ49" s="54">
        <f>(BZ15+BZ48)/BZ$15</f>
        <v>0</v>
      </c>
      <c r="CA49" s="55" t="n"/>
      <c r="CB49" s="55" t="n"/>
      <c r="CC49" s="55" t="n"/>
      <c r="CD49" s="55" t="n"/>
      <c r="CE49" s="54">
        <f>(CE15+CE48)/CE$15</f>
        <v>0</v>
      </c>
      <c r="CF49" s="55" t="n"/>
      <c r="CG49" s="55" t="n"/>
      <c r="CH49" s="55" t="n"/>
      <c r="CI49" s="55" t="n"/>
      <c r="CJ49" s="54">
        <f>(CJ15+CJ48)/CJ$15</f>
        <v>0</v>
      </c>
      <c r="CK49" s="55" t="n"/>
      <c r="CL49" s="55" t="n"/>
      <c r="CM49" s="55" t="n"/>
      <c r="CN49" s="55" t="n"/>
      <c r="CO49" s="54">
        <f>(CO15+CO48)/CO$15</f>
        <v>0</v>
      </c>
      <c r="CP49" s="55" t="n"/>
      <c r="CQ49" s="55" t="n"/>
      <c r="CR49" s="55" t="n"/>
      <c r="CS49" s="55" t="n"/>
      <c r="CT49" s="54">
        <f>(CT15+CT48)/CT$15</f>
        <v>0</v>
      </c>
      <c r="CU49" s="55" t="n"/>
      <c r="CV49" s="55" t="n"/>
      <c r="CW49" s="55" t="n"/>
      <c r="CX49" s="55" t="n"/>
      <c r="CY49" s="54">
        <f>(CY15+CY48)/CY$15</f>
        <v>0</v>
      </c>
    </row>
    <row r="50" hidden="1" outlineLevel="1">
      <c r="C50" s="32" t="n"/>
      <c r="D50" s="32" t="n"/>
      <c r="E50" s="32" t="n"/>
      <c r="F50" s="32" t="n"/>
      <c r="G50" s="32" t="n"/>
      <c r="H50" s="32" t="n"/>
      <c r="I50" s="32" t="n"/>
      <c r="J50" s="32" t="n"/>
      <c r="K50" s="32" t="n"/>
      <c r="L50" s="32" t="n"/>
      <c r="M50" s="32" t="n"/>
      <c r="N50" s="32" t="n"/>
      <c r="O50" s="32" t="n"/>
      <c r="P50" s="32" t="n"/>
      <c r="Q50" s="32" t="n"/>
      <c r="R50" s="32" t="n"/>
      <c r="S50" s="32" t="n"/>
      <c r="T50" s="32" t="n"/>
      <c r="U50" s="32" t="n"/>
      <c r="V50" s="32" t="n"/>
      <c r="W50" s="32" t="n"/>
      <c r="X50" s="32" t="n"/>
      <c r="Y50" s="32" t="n"/>
      <c r="Z50" s="32" t="n"/>
      <c r="AA50" s="32" t="n"/>
      <c r="AB50" s="32" t="n"/>
      <c r="AC50" s="32" t="n"/>
      <c r="AD50" s="32" t="n"/>
      <c r="AE50" s="32" t="n"/>
      <c r="AF50" s="32" t="n"/>
      <c r="AG50" s="32" t="n"/>
      <c r="AH50" s="32" t="n"/>
      <c r="AI50" s="32" t="n"/>
      <c r="AJ50" s="32" t="n"/>
      <c r="AK50" s="32" t="n"/>
      <c r="AL50" s="32" t="n"/>
      <c r="AM50" s="32" t="n"/>
      <c r="AN50" s="32" t="n"/>
      <c r="AO50" s="32" t="n"/>
      <c r="AP50" s="32" t="n"/>
      <c r="AQ50" s="32" t="n"/>
      <c r="AR50" s="32" t="n"/>
      <c r="AS50" s="32" t="n"/>
      <c r="AT50" s="32" t="n"/>
      <c r="AU50" s="32" t="n"/>
      <c r="AV50" s="32" t="n"/>
      <c r="AW50" s="32" t="n"/>
      <c r="AX50" s="32" t="n"/>
      <c r="AY50" s="32" t="n"/>
      <c r="AZ50" s="32" t="n"/>
      <c r="BA50" s="32" t="n"/>
      <c r="BB50" s="32" t="n"/>
      <c r="BC50" s="32" t="n"/>
      <c r="BD50" s="32" t="n"/>
      <c r="BE50" s="32" t="n"/>
      <c r="BF50" s="32" t="n"/>
      <c r="BG50" s="32" t="n"/>
      <c r="BH50" s="32" t="n"/>
      <c r="BI50" s="32" t="n"/>
      <c r="BJ50" s="32" t="n"/>
      <c r="BK50" s="32" t="n"/>
      <c r="BL50" s="32" t="n"/>
      <c r="BM50" s="32" t="n"/>
      <c r="BN50" s="32" t="n"/>
      <c r="BO50" s="32" t="n"/>
      <c r="BP50" s="32" t="n"/>
      <c r="BQ50" s="32" t="n"/>
      <c r="BR50" s="32" t="n"/>
      <c r="BS50" s="32" t="n"/>
      <c r="BT50" s="32" t="n"/>
      <c r="BU50" s="32" t="n"/>
      <c r="BV50" s="32" t="n"/>
      <c r="BW50" s="32" t="n"/>
      <c r="BX50" s="32" t="n"/>
      <c r="BY50" s="32" t="n"/>
      <c r="BZ50" s="32" t="n"/>
      <c r="CA50" s="32" t="n"/>
      <c r="CB50" s="32" t="n"/>
      <c r="CC50" s="32" t="n"/>
      <c r="CD50" s="32" t="n"/>
      <c r="CE50" s="32" t="n"/>
      <c r="CF50" s="32" t="n"/>
      <c r="CG50" s="32" t="n"/>
      <c r="CH50" s="32" t="n"/>
      <c r="CI50" s="32" t="n"/>
      <c r="CJ50" s="32" t="n"/>
      <c r="CK50" s="32" t="n"/>
      <c r="CL50" s="32" t="n"/>
      <c r="CM50" s="32" t="n"/>
      <c r="CN50" s="32" t="n"/>
      <c r="CO50" s="32" t="n"/>
      <c r="CP50" s="32" t="n"/>
      <c r="CQ50" s="32" t="n"/>
      <c r="CR50" s="32" t="n"/>
      <c r="CS50" s="32" t="n"/>
      <c r="CT50" s="32" t="n"/>
      <c r="CU50" s="32" t="n"/>
      <c r="CV50" s="32" t="n"/>
      <c r="CW50" s="32" t="n"/>
      <c r="CX50" s="32" t="n"/>
      <c r="CY50" s="32" t="n"/>
    </row>
    <row r="51" hidden="1" outlineLevel="1">
      <c r="C51" s="32" t="n"/>
      <c r="D51" s="32" t="n"/>
      <c r="E51" s="32" t="n"/>
      <c r="F51" s="32" t="n"/>
      <c r="G51" s="32" t="n"/>
      <c r="H51" s="32" t="n"/>
      <c r="I51" s="32" t="n"/>
      <c r="J51" s="32" t="n"/>
      <c r="K51" s="32" t="n"/>
      <c r="L51" s="32" t="n"/>
      <c r="M51" s="32" t="n"/>
      <c r="N51" s="32" t="n"/>
      <c r="O51" s="32" t="n"/>
      <c r="P51" s="32" t="n"/>
      <c r="Q51" s="32" t="n"/>
      <c r="R51" s="32" t="n"/>
      <c r="S51" s="32" t="n"/>
      <c r="T51" s="32" t="n"/>
      <c r="U51" s="32" t="n"/>
      <c r="V51" s="32" t="n"/>
      <c r="W51" s="32" t="n"/>
      <c r="X51" s="32" t="n"/>
      <c r="Y51" s="32" t="n"/>
      <c r="Z51" s="32" t="n"/>
      <c r="AA51" s="32" t="n"/>
      <c r="AB51" s="32" t="n"/>
      <c r="AC51" s="32" t="n"/>
      <c r="AD51" s="32" t="n"/>
      <c r="AE51" s="32" t="n"/>
      <c r="AF51" s="32" t="n"/>
      <c r="AG51" s="32" t="n"/>
      <c r="AH51" s="32" t="n"/>
      <c r="AI51" s="32" t="n"/>
      <c r="AJ51" s="32" t="n"/>
      <c r="AK51" s="32" t="n"/>
      <c r="AL51" s="32" t="n"/>
      <c r="AM51" s="32" t="n"/>
      <c r="AN51" s="32" t="n"/>
      <c r="AO51" s="32" t="n"/>
      <c r="AP51" s="32" t="n"/>
      <c r="AQ51" s="32" t="n"/>
      <c r="AR51" s="32" t="n"/>
      <c r="AS51" s="32" t="n"/>
      <c r="AT51" s="32" t="n"/>
      <c r="AU51" s="32" t="n"/>
      <c r="AV51" s="32" t="n"/>
      <c r="AW51" s="32" t="n"/>
      <c r="AX51" s="32" t="n"/>
      <c r="AY51" s="32" t="n"/>
      <c r="AZ51" s="32" t="n"/>
      <c r="BA51" s="32" t="n"/>
      <c r="BB51" s="32" t="n"/>
      <c r="BC51" s="32" t="n"/>
      <c r="BD51" s="32" t="n"/>
      <c r="BE51" s="32" t="n"/>
      <c r="BF51" s="32" t="n"/>
      <c r="BG51" s="32" t="n"/>
      <c r="BH51" s="32" t="n"/>
      <c r="BI51" s="32" t="n"/>
      <c r="BJ51" s="32" t="n"/>
      <c r="BK51" s="32" t="n"/>
      <c r="BL51" s="32" t="n"/>
      <c r="BM51" s="32" t="n"/>
      <c r="BN51" s="32" t="n"/>
      <c r="BO51" s="32" t="n"/>
      <c r="BP51" s="32" t="n"/>
      <c r="BQ51" s="32" t="n"/>
      <c r="BR51" s="32" t="n"/>
      <c r="BS51" s="32" t="n"/>
      <c r="BT51" s="32" t="n"/>
      <c r="BU51" s="32" t="n"/>
      <c r="BV51" s="32" t="n"/>
      <c r="BW51" s="32" t="n"/>
      <c r="BX51" s="32" t="n"/>
      <c r="BY51" s="32" t="n"/>
      <c r="BZ51" s="32" t="n"/>
      <c r="CA51" s="32" t="n"/>
      <c r="CB51" s="32" t="n"/>
      <c r="CC51" s="32" t="n"/>
      <c r="CD51" s="32" t="n"/>
      <c r="CE51" s="32" t="n"/>
      <c r="CF51" s="32" t="n"/>
      <c r="CG51" s="32" t="n"/>
      <c r="CH51" s="32" t="n"/>
      <c r="CI51" s="32" t="n"/>
      <c r="CJ51" s="32" t="n"/>
      <c r="CK51" s="32" t="n"/>
      <c r="CL51" s="32" t="n"/>
      <c r="CM51" s="32" t="n"/>
      <c r="CN51" s="32" t="n"/>
      <c r="CO51" s="32" t="n"/>
      <c r="CP51" s="32" t="n"/>
      <c r="CQ51" s="32" t="n"/>
      <c r="CR51" s="32" t="n"/>
      <c r="CS51" s="32" t="n"/>
      <c r="CT51" s="32" t="n"/>
      <c r="CU51" s="32" t="n"/>
      <c r="CV51" s="32" t="n"/>
      <c r="CW51" s="32" t="n"/>
      <c r="CX51" s="32" t="n"/>
      <c r="CY51" s="32" t="n"/>
    </row>
    <row r="52" collapsed="1">
      <c r="C52" s="24" t="inlineStr">
        <is>
          <t>SG&amp;A and Other (cash)</t>
        </is>
      </c>
      <c r="D52" s="25">
        <f>INDEX('Inputs (2)'!$D$6:$AL$6,MATCH(D$7,'Inputs (2)'!$D$2:$AL$2,0))</f>
        <v>-398</v>
      </c>
      <c r="E52" s="25">
        <f>INDEX('Inputs (2)'!$D$6:$AL$6,MATCH(E$7,'Inputs (2)'!$D$2:$AL$2,0))</f>
        <v>-373</v>
      </c>
      <c r="F52" s="25">
        <f>INDEX('Inputs (2)'!$D$6:$AL$6,MATCH(F$7,'Inputs (2)'!$D$2:$AL$2,0))</f>
        <v>-670</v>
      </c>
      <c r="G52" s="25">
        <f>INDEX('Inputs (2)'!$D$6:$AL$6,MATCH(G$7,'Inputs (2)'!$D$2:$AL$2,0))</f>
        <v>-873</v>
      </c>
      <c r="H52" s="3">
        <f>SUM(D52:G52)</f>
        <v>-2314</v>
      </c>
      <c r="I52" s="25">
        <f>INDEX('Inputs (2)'!$D$6:$AL$6,MATCH(I$7,'Inputs (2)'!$D$2:$AL$2,0))</f>
        <v>-1000</v>
      </c>
      <c r="J52" s="25">
        <f>INDEX('Inputs (2)'!$D$6:$AL$6,MATCH(J$7,'Inputs (2)'!$D$2:$AL$2,0))</f>
        <v>-891</v>
      </c>
      <c r="K52" s="25">
        <f>INDEX('Inputs (2)'!$D$6:$AL$6,MATCH(K$7,'Inputs (2)'!$D$2:$AL$2,0))</f>
        <v>-895</v>
      </c>
      <c r="L52" s="25">
        <f>INDEX('Inputs (2)'!$D$6:$AL$6,MATCH(L$7,'Inputs (2)'!$D$2:$AL$2,0))</f>
        <v>-1386</v>
      </c>
      <c r="M52" s="3">
        <f>SUM(I52:L52)</f>
        <v>-4172</v>
      </c>
      <c r="N52" s="25">
        <f>INDEX('Inputs (2)'!$D$6:$AL$6,MATCH(N$7,'Inputs (2)'!$D$2:$AL$2,0))</f>
        <v>-977</v>
      </c>
      <c r="O52" s="25">
        <f>INDEX('Inputs (2)'!$D$6:$AL$6,MATCH(O$7,'Inputs (2)'!$D$2:$AL$2,0))</f>
        <v>-848</v>
      </c>
      <c r="P52" s="25">
        <f>INDEX('Inputs (2)'!$D$6:$AL$6,MATCH(P$7,'Inputs (2)'!$D$2:$AL$2,0))</f>
        <v>-738</v>
      </c>
      <c r="Q52" s="25">
        <f>INDEX('Inputs (2)'!$D$6:$AL$6,MATCH(Q$7,'Inputs (2)'!$D$2:$AL$2,0))</f>
        <v>-887</v>
      </c>
      <c r="R52" s="3">
        <f>SUM(N52:Q52)</f>
        <v>-3450</v>
      </c>
      <c r="S52" s="25">
        <f>INDEX('Inputs (2)'!$D$6:$AL$6,MATCH(S$7,'Inputs (2)'!$D$2:$AL$2,0))</f>
        <v>-801</v>
      </c>
      <c r="T52" s="25">
        <f>INDEX('Inputs (2)'!$D$6:$AL$6,MATCH(T$7,'Inputs (2)'!$D$2:$AL$2,0))</f>
        <v>-980</v>
      </c>
      <c r="U52" s="25">
        <f>INDEX('Inputs (2)'!$D$6:$AL$6,MATCH(U$7,'Inputs (2)'!$D$2:$AL$2,0))</f>
        <v>-1179</v>
      </c>
      <c r="V52" s="25">
        <f>INDEX('Inputs (2)'!$D$6:$AL$6,MATCH(V$7,'Inputs (2)'!$D$2:$AL$2,0))</f>
        <v>-1142</v>
      </c>
      <c r="W52" s="3">
        <f>SUM(S52:V52)</f>
        <v>-4102</v>
      </c>
      <c r="X52" s="25">
        <f>INDEX('Inputs (2)'!$D$6:$AL$6,MATCH(X$7,'Inputs (2)'!$D$2:$AL$2,0))</f>
        <v>-1279</v>
      </c>
      <c r="Y52" s="25">
        <f>INDEX('Inputs (2)'!$D$6:$AL$6,MATCH(Y$7,'Inputs (2)'!$D$2:$AL$2,0))</f>
        <v>-1695</v>
      </c>
      <c r="Z52" s="25">
        <f>INDEX('Inputs (2)'!$D$6:$AL$6,MATCH(Z$7,'Inputs (2)'!$D$2:$AL$2,0))</f>
        <v>-932</v>
      </c>
      <c r="AA52" s="25">
        <f>INDEX('Inputs (2)'!$D$6:$AL$6,MATCH(AA$7,'Inputs (2)'!$D$2:$AL$2,0))</f>
        <v>-1100</v>
      </c>
      <c r="AB52" s="3">
        <f>SUM(X52:AA52)</f>
        <v>-5006</v>
      </c>
      <c r="AC52" s="25">
        <f>INDEX('Inputs (2)'!$D$6:$AL$6,MATCH(AC$7,'Inputs (2)'!$D$2:$AL$2,0))</f>
        <v>-1307</v>
      </c>
      <c r="AD52" s="25">
        <f>INDEX('Inputs (2)'!$D$6:$AL$6,MATCH(AD$7,'Inputs (2)'!$D$2:$AL$2,0))</f>
        <v>-1522</v>
      </c>
      <c r="AE52" s="25">
        <f>INDEX('Inputs (2)'!$D$6:$AL$6,MATCH(AE$7,'Inputs (2)'!$D$2:$AL$2,0))</f>
        <v>-1805</v>
      </c>
      <c r="AF52" s="25">
        <f>INDEX('Inputs (2)'!$D$6:$AL$6,MATCH(AF$7,'Inputs (2)'!$D$2:$AL$2,0))</f>
        <v>-1957</v>
      </c>
      <c r="AG52" s="3">
        <f>SUM(AC52:AF52)</f>
        <v>-6591</v>
      </c>
      <c r="AH52" s="3">
        <f>INDEX('Inputs (2)'!$D$6:$AL$6,MATCH(AH$7,'Inputs (2)'!$D$2:$AL$2,0))</f>
        <v>-2189</v>
      </c>
      <c r="AI52" s="3">
        <f>INDEX('Inputs (2)'!$D$6:$AL$6,MATCH(AI$7,'Inputs (2)'!$D$2:$AL$2,0))</f>
        <v>-2734</v>
      </c>
      <c r="AJ52" s="3">
        <f>-AJ15*AJ53</f>
        <v>0</v>
      </c>
      <c r="AK52" s="3">
        <f>-AK15*AK53</f>
        <v>0</v>
      </c>
      <c r="AL52" s="3">
        <f>SUM(AH52:AK52)</f>
        <v>-4923</v>
      </c>
      <c r="AM52" s="3">
        <f>-AM15*AM53</f>
        <v>0</v>
      </c>
      <c r="AN52" s="3">
        <f>-AN15*AN53</f>
        <v>0</v>
      </c>
      <c r="AO52" s="3">
        <f>-AO15*AO53</f>
        <v>0</v>
      </c>
      <c r="AP52" s="3">
        <f>-AP15*AP53</f>
        <v>0</v>
      </c>
      <c r="AQ52" s="3">
        <f>SUM(AM52:AP52)</f>
        <v>0</v>
      </c>
      <c r="AR52" s="3">
        <f>-AR15*AR53</f>
        <v>0</v>
      </c>
      <c r="AS52" s="3">
        <f>-AS15*AS53</f>
        <v>0</v>
      </c>
      <c r="AT52" s="3">
        <f>-AT15*AT53</f>
        <v>0</v>
      </c>
      <c r="AU52" s="3">
        <f>-AU15*AU53</f>
        <v>0</v>
      </c>
      <c r="AV52" s="3">
        <f>SUM(AR52:AU52)</f>
        <v>0</v>
      </c>
      <c r="AW52" s="3">
        <f>-AW15*AW53</f>
        <v>0</v>
      </c>
      <c r="AX52" s="3">
        <f>-AX15*AX53</f>
        <v>0</v>
      </c>
      <c r="AY52" s="3">
        <f>-AY15*AY53</f>
        <v>0</v>
      </c>
      <c r="AZ52" s="3">
        <f>-AZ15*AZ53</f>
        <v>0</v>
      </c>
      <c r="BA52" s="3">
        <f>SUM(AW52:AZ52)</f>
        <v>0</v>
      </c>
      <c r="BB52" s="3">
        <f>-BB15*BB53</f>
        <v>0</v>
      </c>
      <c r="BC52" s="3">
        <f>-BC15*BC53</f>
        <v>0</v>
      </c>
      <c r="BD52" s="3">
        <f>-BD15*BD53</f>
        <v>0</v>
      </c>
      <c r="BE52" s="3">
        <f>-BE15*BE53</f>
        <v>0</v>
      </c>
      <c r="BF52" s="3">
        <f>SUM(BB52:BE52)</f>
        <v>0</v>
      </c>
      <c r="BG52" s="3">
        <f>-BG15*BG53</f>
        <v>0</v>
      </c>
      <c r="BH52" s="3">
        <f>-BH15*BH53</f>
        <v>0</v>
      </c>
      <c r="BI52" s="3">
        <f>-BI15*BI53</f>
        <v>0</v>
      </c>
      <c r="BJ52" s="3">
        <f>-BJ15*BJ53</f>
        <v>0</v>
      </c>
      <c r="BK52" s="3">
        <f>SUM(BG52:BJ52)</f>
        <v>0</v>
      </c>
      <c r="BL52" s="3">
        <f>-BL15*BL53</f>
        <v>0</v>
      </c>
      <c r="BM52" s="3">
        <f>-BM15*BM53</f>
        <v>0</v>
      </c>
      <c r="BN52" s="3">
        <f>-BN15*BN53</f>
        <v>0</v>
      </c>
      <c r="BO52" s="3">
        <f>-BO15*BO53</f>
        <v>0</v>
      </c>
      <c r="BP52" s="3">
        <f>SUM(BL52:BO52)</f>
        <v>0</v>
      </c>
      <c r="BQ52" s="3">
        <f>-BQ15*BQ53</f>
        <v>0</v>
      </c>
      <c r="BR52" s="3">
        <f>-BR15*BR53</f>
        <v>0</v>
      </c>
      <c r="BS52" s="3">
        <f>-BS15*BS53</f>
        <v>0</v>
      </c>
      <c r="BT52" s="3">
        <f>-BT15*BT53</f>
        <v>0</v>
      </c>
      <c r="BU52" s="3">
        <f>SUM(BQ52:BT52)</f>
        <v>0</v>
      </c>
      <c r="BV52" s="3">
        <f>-BV15*BV53</f>
        <v>0</v>
      </c>
      <c r="BW52" s="3">
        <f>-BW15*BW53</f>
        <v>0</v>
      </c>
      <c r="BX52" s="3">
        <f>-BX15*BX53</f>
        <v>0</v>
      </c>
      <c r="BY52" s="3">
        <f>-BY15*BY53</f>
        <v>0</v>
      </c>
      <c r="BZ52" s="3">
        <f>SUM(BV52:BY52)</f>
        <v>0</v>
      </c>
      <c r="CA52" s="3">
        <f>-CA15*CA53</f>
        <v>0</v>
      </c>
      <c r="CB52" s="3">
        <f>-CB15*CB53</f>
        <v>0</v>
      </c>
      <c r="CC52" s="3">
        <f>-CC15*CC53</f>
        <v>0</v>
      </c>
      <c r="CD52" s="3">
        <f>-CD15*CD53</f>
        <v>0</v>
      </c>
      <c r="CE52" s="3">
        <f>SUM(CA52:CD52)</f>
        <v>0</v>
      </c>
      <c r="CF52" s="3">
        <f>-CF15*CF53</f>
        <v>0</v>
      </c>
      <c r="CG52" s="3">
        <f>-CG15*CG53</f>
        <v>0</v>
      </c>
      <c r="CH52" s="3">
        <f>-CH15*CH53</f>
        <v>0</v>
      </c>
      <c r="CI52" s="3">
        <f>-CI15*CI53</f>
        <v>0</v>
      </c>
      <c r="CJ52" s="3">
        <f>SUM(CF52:CI52)</f>
        <v>0</v>
      </c>
      <c r="CK52" s="3">
        <f>-CK15*CK53</f>
        <v>0</v>
      </c>
      <c r="CL52" s="3">
        <f>-CL15*CL53</f>
        <v>0</v>
      </c>
      <c r="CM52" s="3">
        <f>-CM15*CM53</f>
        <v>0</v>
      </c>
      <c r="CN52" s="3">
        <f>-CN15*CN53</f>
        <v>0</v>
      </c>
      <c r="CO52" s="3">
        <f>SUM(CK52:CN52)</f>
        <v>0</v>
      </c>
      <c r="CP52" s="3">
        <f>-CP15*CP53</f>
        <v>0</v>
      </c>
      <c r="CQ52" s="3">
        <f>-CQ15*CQ53</f>
        <v>0</v>
      </c>
      <c r="CR52" s="3">
        <f>-CR15*CR53</f>
        <v>0</v>
      </c>
      <c r="CS52" s="3">
        <f>-CS15*CS53</f>
        <v>0</v>
      </c>
      <c r="CT52" s="3">
        <f>SUM(CP52:CS52)</f>
        <v>0</v>
      </c>
      <c r="CU52" s="3">
        <f>-CU15*CU53</f>
        <v>0</v>
      </c>
      <c r="CV52" s="3">
        <f>-CV15*CV53</f>
        <v>0</v>
      </c>
      <c r="CW52" s="3">
        <f>-CW15*CW53</f>
        <v>0</v>
      </c>
      <c r="CX52" s="3">
        <f>-CX15*CX53</f>
        <v>0</v>
      </c>
      <c r="CY52" s="3">
        <f>SUM(CU52:CX52)</f>
        <v>0</v>
      </c>
    </row>
    <row r="53" hidden="1" outlineLevel="1">
      <c r="C53" s="33" t="inlineStr">
        <is>
          <t>% SG&amp;A and Other Margin</t>
        </is>
      </c>
      <c r="D53" s="56">
        <f>-(D52/D$15)</f>
        <v>0.066499582289056</v>
      </c>
      <c r="E53" s="56">
        <f>-(E52/E$15)</f>
        <v>0.0617958913187541</v>
      </c>
      <c r="F53" s="56">
        <f>-(F52/F$15)</f>
        <v>0.0763880971382967</v>
      </c>
      <c r="G53" s="56">
        <f>-(G52/G$15)</f>
        <v>0.0812546537602383</v>
      </c>
      <c r="H53" s="56">
        <f>-(H52/H$15)</f>
        <v>0.0733764586504313</v>
      </c>
      <c r="I53" s="56">
        <f>-(I52/I$15)</f>
        <v>0.0962556550197324</v>
      </c>
      <c r="J53" s="56">
        <f>-(J52/J$15)</f>
        <v>0.07451078775715</v>
      </c>
      <c r="K53" s="56">
        <f>-(K52/K$15)</f>
        <v>0.0650577887620848</v>
      </c>
      <c r="L53" s="56">
        <f>-(L52/L$15)</f>
        <v>0.0782211185732829</v>
      </c>
      <c r="M53" s="56">
        <f>-(M52/M$15)</f>
        <v>0.0775133307322149</v>
      </c>
      <c r="N53" s="56">
        <f>-(N52/N$15)</f>
        <v>0.0520899978673491</v>
      </c>
      <c r="O53" s="56">
        <f>-(O52/O$15)</f>
        <v>0.0500767686311563</v>
      </c>
      <c r="P53" s="56">
        <f>-(P52/P$15)</f>
        <v>0.0343991796401603</v>
      </c>
      <c r="Q53" s="56">
        <f>-(Q52/Q$15)</f>
        <v>0.0364750390657126</v>
      </c>
      <c r="R53" s="56">
        <f>-(R52/R$15)</f>
        <v>0.0423510348383295</v>
      </c>
      <c r="S53" s="56">
        <f>-(S52/S$15)</f>
        <v>0.0343349479188992</v>
      </c>
      <c r="T53" s="56">
        <f>-(T52/T$15)</f>
        <v>0.039314799213704</v>
      </c>
      <c r="U53" s="56">
        <f>-(U52/U$15)</f>
        <v>0.0504925053533191</v>
      </c>
      <c r="V53" s="56">
        <f>-(V52/V$15)</f>
        <v>0.0453768824253983</v>
      </c>
      <c r="W53" s="56">
        <f>-(W52/W$15)</f>
        <v>0.0423878561168921</v>
      </c>
      <c r="X53" s="56">
        <f>-(X52/X$15)</f>
        <v>0.060044129383597</v>
      </c>
      <c r="Y53" s="56">
        <f>-(Y52/Y$15)</f>
        <v>0.0664705882352941</v>
      </c>
      <c r="Z53" s="56">
        <f>-(Z52/Z$15)</f>
        <v>0.0370105631006274</v>
      </c>
      <c r="AA53" s="56">
        <f>-(AA52/AA$15)</f>
        <v>0.0427899015832264</v>
      </c>
      <c r="AB53" s="56">
        <f>-(AB52/AB$15)</f>
        <v>0.0512437301668543</v>
      </c>
      <c r="AC53" s="56">
        <f>-(AC52/AC$15)</f>
        <v>0.0675976208947505</v>
      </c>
      <c r="AD53" s="56">
        <f>-(AD52/AD$15)</f>
        <v>0.0676564722617354</v>
      </c>
      <c r="AE53" s="56">
        <f>-(AE52/AE$15)</f>
        <v>0.0642463071720947</v>
      </c>
      <c r="AF53" s="44">
        <f>-(AF52/AF$15)</f>
        <v>0.0785912212360949</v>
      </c>
      <c r="AG53" s="56">
        <f>-(AG52/AG$15)</f>
        <v>0.0695055205795818</v>
      </c>
      <c r="AH53" s="45">
        <f>-(AH52/AH$15)</f>
        <v>0.0977799615848484</v>
      </c>
      <c r="AI53" s="45">
        <f>-(AI52/AI$15)</f>
        <v>0.0968267459980167</v>
      </c>
      <c r="AJ53" s="45" t="n"/>
      <c r="AK53" s="45" t="n"/>
      <c r="AL53" s="56">
        <f>-(AL52/AL$15)</f>
        <v>0.0475105916868528</v>
      </c>
      <c r="AM53" s="45" t="n"/>
      <c r="AN53" s="45" t="n"/>
      <c r="AO53" s="45" t="n"/>
      <c r="AP53" s="45" t="n"/>
      <c r="AQ53" s="56">
        <f>-(AQ52/AQ$15)</f>
        <v>0</v>
      </c>
      <c r="AR53" s="45" t="n"/>
      <c r="AS53" s="45" t="n"/>
      <c r="AT53" s="45" t="n"/>
      <c r="AU53" s="45" t="n"/>
      <c r="AV53" s="56">
        <f>-(AV52/AV$15)</f>
        <v>0</v>
      </c>
      <c r="AW53" s="45" t="n"/>
      <c r="AX53" s="45" t="n"/>
      <c r="AY53" s="45" t="n"/>
      <c r="AZ53" s="45" t="n"/>
      <c r="BA53" s="56">
        <f>-(BA52/BA$15)</f>
        <v>0</v>
      </c>
      <c r="BB53" s="45" t="n"/>
      <c r="BC53" s="45" t="n"/>
      <c r="BD53" s="45" t="n"/>
      <c r="BE53" s="45" t="n"/>
      <c r="BF53" s="56">
        <f>-(BF52/BF$15)</f>
        <v>0</v>
      </c>
      <c r="BG53" s="45" t="n"/>
      <c r="BH53" s="45" t="n"/>
      <c r="BI53" s="45" t="n"/>
      <c r="BJ53" s="45" t="n"/>
      <c r="BK53" s="56">
        <f>-(BK52/BK$15)</f>
        <v>0</v>
      </c>
      <c r="BL53" s="45" t="n"/>
      <c r="BM53" s="45" t="n"/>
      <c r="BN53" s="45" t="n"/>
      <c r="BO53" s="45" t="n"/>
      <c r="BP53" s="56">
        <f>-(BP52/BP$15)</f>
        <v>0</v>
      </c>
      <c r="BQ53" s="45" t="n"/>
      <c r="BR53" s="45" t="n"/>
      <c r="BS53" s="45" t="n"/>
      <c r="BT53" s="45" t="n"/>
      <c r="BU53" s="56">
        <f>-(BU52/BU$15)</f>
        <v>0</v>
      </c>
      <c r="BV53" s="45" t="n"/>
      <c r="BW53" s="45" t="n"/>
      <c r="BX53" s="45" t="n"/>
      <c r="BY53" s="45" t="n"/>
      <c r="BZ53" s="56">
        <f>-(BZ52/BZ$15)</f>
        <v>0</v>
      </c>
      <c r="CA53" s="45" t="n"/>
      <c r="CB53" s="45" t="n"/>
      <c r="CC53" s="45" t="n"/>
      <c r="CD53" s="45" t="n"/>
      <c r="CE53" s="56">
        <f>-(CE52/CE$15)</f>
        <v>0</v>
      </c>
      <c r="CF53" s="45" t="n"/>
      <c r="CG53" s="45" t="n"/>
      <c r="CH53" s="45" t="n"/>
      <c r="CI53" s="45" t="n"/>
      <c r="CJ53" s="56">
        <f>-(CJ52/CJ$15)</f>
        <v>0</v>
      </c>
      <c r="CK53" s="45" t="n"/>
      <c r="CL53" s="45" t="n"/>
      <c r="CM53" s="45" t="n"/>
      <c r="CN53" s="45" t="n"/>
      <c r="CO53" s="56">
        <f>-(CO52/CO$15)</f>
        <v>0</v>
      </c>
      <c r="CP53" s="45" t="n"/>
      <c r="CQ53" s="45" t="n"/>
      <c r="CR53" s="45" t="n"/>
      <c r="CS53" s="45" t="n"/>
      <c r="CT53" s="56">
        <f>-(CT52/CT$15)</f>
        <v>0</v>
      </c>
      <c r="CU53" s="45" t="n"/>
      <c r="CV53" s="45" t="n"/>
      <c r="CW53" s="45" t="n"/>
      <c r="CX53" s="45" t="n"/>
      <c r="CY53" s="56">
        <f>-(CY52/CY$15)</f>
        <v>0</v>
      </c>
    </row>
    <row r="54" hidden="1" outlineLevel="1">
      <c r="C54" s="32" t="n"/>
      <c r="D54" s="32" t="n"/>
      <c r="E54" s="32" t="n"/>
      <c r="F54" s="32" t="n"/>
      <c r="G54" s="32" t="n"/>
      <c r="H54" s="32" t="n"/>
      <c r="I54" s="32" t="n"/>
      <c r="J54" s="32" t="n"/>
      <c r="K54" s="32" t="n"/>
      <c r="L54" s="32" t="n"/>
      <c r="M54" s="32" t="n"/>
      <c r="N54" s="32" t="n"/>
      <c r="O54" s="32" t="n"/>
      <c r="P54" s="32" t="n"/>
      <c r="Q54" s="32" t="n"/>
      <c r="R54" s="32" t="n"/>
      <c r="S54" s="32" t="n"/>
      <c r="T54" s="32" t="n"/>
      <c r="U54" s="32" t="n"/>
      <c r="V54" s="32" t="n"/>
      <c r="W54" s="32" t="n"/>
      <c r="X54" s="32" t="n"/>
      <c r="Y54" s="32" t="n"/>
      <c r="Z54" s="32" t="n"/>
      <c r="AA54" s="32" t="n"/>
      <c r="AB54" s="32" t="n"/>
      <c r="AC54" s="32" t="n"/>
      <c r="AD54" s="32" t="n"/>
      <c r="AE54" s="32" t="n"/>
      <c r="AF54" s="32" t="n"/>
      <c r="AG54" s="32" t="n"/>
      <c r="AH54" s="32" t="n"/>
      <c r="AI54" s="32" t="n"/>
      <c r="AJ54" s="32" t="n"/>
      <c r="AK54" s="32" t="n"/>
      <c r="AL54" s="32" t="n"/>
      <c r="AM54" s="32" t="n"/>
      <c r="AN54" s="32" t="n"/>
      <c r="AO54" s="32" t="n"/>
      <c r="AP54" s="32" t="n"/>
      <c r="AQ54" s="32" t="n"/>
      <c r="AR54" s="32" t="n"/>
      <c r="AS54" s="32" t="n"/>
      <c r="AT54" s="32" t="n"/>
      <c r="AU54" s="32" t="n"/>
      <c r="AV54" s="32" t="n"/>
      <c r="AW54" s="32" t="n"/>
      <c r="AX54" s="32" t="n"/>
      <c r="AY54" s="32" t="n"/>
      <c r="AZ54" s="32" t="n"/>
      <c r="BA54" s="32" t="n"/>
      <c r="BB54" s="32" t="n"/>
      <c r="BC54" s="32" t="n"/>
      <c r="BD54" s="32" t="n"/>
      <c r="BE54" s="32" t="n"/>
      <c r="BF54" s="32" t="n"/>
      <c r="BG54" s="32" t="n"/>
      <c r="BH54" s="32" t="n"/>
      <c r="BI54" s="32" t="n"/>
      <c r="BJ54" s="32" t="n"/>
      <c r="BK54" s="32" t="n"/>
      <c r="BL54" s="32" t="n"/>
      <c r="BM54" s="32" t="n"/>
      <c r="BN54" s="32" t="n"/>
      <c r="BO54" s="32" t="n"/>
      <c r="BP54" s="32" t="n"/>
      <c r="BQ54" s="32" t="n"/>
      <c r="BR54" s="32" t="n"/>
      <c r="BS54" s="32" t="n"/>
      <c r="BT54" s="32" t="n"/>
      <c r="BU54" s="32" t="n"/>
      <c r="BV54" s="32" t="n"/>
      <c r="BW54" s="32" t="n"/>
      <c r="BX54" s="32" t="n"/>
      <c r="BY54" s="32" t="n"/>
      <c r="BZ54" s="32" t="n"/>
      <c r="CA54" s="32" t="n"/>
      <c r="CB54" s="32" t="n"/>
      <c r="CC54" s="32" t="n"/>
      <c r="CD54" s="32" t="n"/>
      <c r="CE54" s="32" t="n"/>
      <c r="CF54" s="32" t="n"/>
      <c r="CG54" s="32" t="n"/>
      <c r="CH54" s="32" t="n"/>
      <c r="CI54" s="32" t="n"/>
      <c r="CJ54" s="32" t="n"/>
      <c r="CK54" s="32" t="n"/>
      <c r="CL54" s="32" t="n"/>
      <c r="CM54" s="32" t="n"/>
      <c r="CN54" s="32" t="n"/>
      <c r="CO54" s="32" t="n"/>
      <c r="CP54" s="32" t="n"/>
      <c r="CQ54" s="32" t="n"/>
      <c r="CR54" s="32" t="n"/>
      <c r="CS54" s="32" t="n"/>
      <c r="CT54" s="32" t="n"/>
      <c r="CU54" s="32" t="n"/>
      <c r="CV54" s="32" t="n"/>
      <c r="CW54" s="32" t="n"/>
      <c r="CX54" s="32" t="n"/>
      <c r="CY54" s="32" t="n"/>
    </row>
    <row r="55" hidden="1" outlineLevel="1">
      <c r="C55" s="32" t="inlineStr">
        <is>
          <t>Com Vendas</t>
        </is>
      </c>
      <c r="D55" s="6" t="n"/>
      <c r="E55" s="6" t="n"/>
      <c r="F55" s="6" t="n"/>
      <c r="G55" s="6" t="n"/>
      <c r="H55" s="32" t="n"/>
      <c r="I55" s="6" t="n"/>
      <c r="J55" s="6" t="n"/>
      <c r="K55" s="6" t="n"/>
      <c r="L55" s="6" t="n"/>
      <c r="M55" s="32" t="n"/>
      <c r="N55" s="6" t="n"/>
      <c r="O55" s="6" t="n"/>
      <c r="P55" s="6" t="n"/>
      <c r="Q55" s="6" t="n"/>
      <c r="R55" s="32" t="n"/>
      <c r="S55" s="6" t="n"/>
      <c r="T55" s="6" t="n"/>
      <c r="U55" s="6" t="n"/>
      <c r="V55" s="6" t="n"/>
      <c r="W55" s="32" t="n"/>
      <c r="X55" s="6" t="n"/>
      <c r="Y55" s="6" t="n"/>
      <c r="Z55" s="6" t="n"/>
      <c r="AA55" s="6" t="n"/>
      <c r="AB55" s="32" t="n"/>
      <c r="AC55" s="6" t="n"/>
      <c r="AD55" s="6" t="n"/>
      <c r="AE55" s="6" t="n"/>
      <c r="AF55" s="6" t="n"/>
      <c r="AG55" s="32" t="n"/>
      <c r="AH55" s="32" t="n"/>
      <c r="AI55" s="32" t="n"/>
      <c r="AJ55" s="32" t="n"/>
      <c r="AK55" s="32" t="n"/>
      <c r="AL55" s="32" t="n"/>
      <c r="AM55" s="32" t="n"/>
      <c r="AN55" s="32" t="n"/>
      <c r="AO55" s="32" t="n"/>
      <c r="AP55" s="32" t="n"/>
      <c r="AQ55" s="32" t="n"/>
      <c r="AR55" s="32" t="n"/>
      <c r="AS55" s="32" t="n"/>
      <c r="AT55" s="32" t="n"/>
      <c r="AU55" s="32" t="n"/>
      <c r="AV55" s="32" t="n"/>
      <c r="AW55" s="32" t="n"/>
      <c r="AX55" s="32" t="n"/>
      <c r="AY55" s="32" t="n"/>
      <c r="AZ55" s="32" t="n"/>
      <c r="BA55" s="32" t="n"/>
      <c r="BB55" s="32" t="n"/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2" t="n"/>
      <c r="BQ55" s="32" t="n"/>
      <c r="BR55" s="32" t="n"/>
      <c r="BS55" s="32" t="n"/>
      <c r="BT55" s="32" t="n"/>
      <c r="BU55" s="32" t="n"/>
      <c r="BV55" s="32" t="n"/>
      <c r="BW55" s="32" t="n"/>
      <c r="BX55" s="32" t="n"/>
      <c r="BY55" s="32" t="n"/>
      <c r="BZ55" s="32" t="n"/>
      <c r="CA55" s="32" t="n"/>
      <c r="CB55" s="32" t="n"/>
      <c r="CC55" s="32" t="n"/>
      <c r="CD55" s="32" t="n"/>
      <c r="CE55" s="32" t="n"/>
      <c r="CF55" s="32" t="n"/>
      <c r="CG55" s="32" t="n"/>
      <c r="CH55" s="32" t="n"/>
      <c r="CI55" s="32" t="n"/>
      <c r="CJ55" s="32" t="n"/>
      <c r="CK55" s="32" t="n"/>
      <c r="CL55" s="32" t="n"/>
      <c r="CM55" s="32" t="n"/>
      <c r="CN55" s="32" t="n"/>
      <c r="CO55" s="32" t="n"/>
      <c r="CP55" s="32" t="n"/>
      <c r="CQ55" s="32" t="n"/>
      <c r="CR55" s="32" t="n"/>
      <c r="CS55" s="32" t="n"/>
      <c r="CT55" s="32" t="n"/>
      <c r="CU55" s="32" t="n"/>
      <c r="CV55" s="32" t="n"/>
      <c r="CW55" s="32" t="n"/>
      <c r="CX55" s="32" t="n"/>
      <c r="CY55" s="32" t="n"/>
    </row>
    <row r="56" hidden="1" outlineLevel="1">
      <c r="C56" s="32" t="inlineStr">
        <is>
          <t>Gerais &amp; Administrativas</t>
        </is>
      </c>
      <c r="D56" s="6" t="n"/>
      <c r="E56" s="6" t="n"/>
      <c r="F56" s="6" t="n"/>
      <c r="G56" s="6" t="n"/>
      <c r="H56" s="32" t="n"/>
      <c r="I56" s="6" t="n"/>
      <c r="J56" s="6" t="n"/>
      <c r="K56" s="6" t="n"/>
      <c r="L56" s="6" t="n"/>
      <c r="M56" s="32" t="n"/>
      <c r="N56" s="6" t="n"/>
      <c r="O56" s="6" t="n"/>
      <c r="P56" s="6" t="n"/>
      <c r="Q56" s="6" t="n"/>
      <c r="R56" s="32" t="n"/>
      <c r="S56" s="6" t="n"/>
      <c r="T56" s="6" t="n"/>
      <c r="U56" s="6" t="n"/>
      <c r="V56" s="6" t="n"/>
      <c r="W56" s="32" t="n"/>
      <c r="X56" s="6" t="n"/>
      <c r="Y56" s="6" t="n"/>
      <c r="Z56" s="6" t="n"/>
      <c r="AA56" s="6" t="n"/>
      <c r="AB56" s="32" t="n"/>
      <c r="AC56" s="6" t="n"/>
      <c r="AD56" s="6" t="n"/>
      <c r="AE56" s="6" t="n"/>
      <c r="AF56" s="6" t="n"/>
      <c r="AG56" s="32" t="n"/>
      <c r="AH56" s="32" t="n"/>
      <c r="AI56" s="32" t="n"/>
      <c r="AJ56" s="32" t="n"/>
      <c r="AK56" s="32" t="n"/>
      <c r="AL56" s="32" t="n"/>
      <c r="AM56" s="32" t="n"/>
      <c r="AN56" s="32" t="n"/>
      <c r="AO56" s="32" t="n"/>
      <c r="AP56" s="32" t="n"/>
      <c r="AQ56" s="32" t="n"/>
      <c r="AR56" s="32" t="n"/>
      <c r="AS56" s="32" t="n"/>
      <c r="AT56" s="32" t="n"/>
      <c r="AU56" s="32" t="n"/>
      <c r="AV56" s="32" t="n"/>
      <c r="AW56" s="32" t="n"/>
      <c r="AX56" s="32" t="n"/>
      <c r="AY56" s="32" t="n"/>
      <c r="AZ56" s="32" t="n"/>
      <c r="BA56" s="32" t="n"/>
      <c r="BB56" s="32" t="n"/>
      <c r="BC56" s="32" t="n"/>
      <c r="BD56" s="32" t="n"/>
      <c r="BE56" s="32" t="n"/>
      <c r="BF56" s="32" t="n"/>
      <c r="BG56" s="32" t="n"/>
      <c r="BH56" s="32" t="n"/>
      <c r="BI56" s="32" t="n"/>
      <c r="BJ56" s="32" t="n"/>
      <c r="BK56" s="32" t="n"/>
      <c r="BL56" s="32" t="n"/>
      <c r="BM56" s="32" t="n"/>
      <c r="BN56" s="32" t="n"/>
      <c r="BO56" s="32" t="n"/>
      <c r="BP56" s="32" t="n"/>
      <c r="BQ56" s="32" t="n"/>
      <c r="BR56" s="32" t="n"/>
      <c r="BS56" s="32" t="n"/>
      <c r="BT56" s="32" t="n"/>
      <c r="BU56" s="32" t="n"/>
      <c r="BV56" s="32" t="n"/>
      <c r="BW56" s="32" t="n"/>
      <c r="BX56" s="32" t="n"/>
      <c r="BY56" s="32" t="n"/>
      <c r="BZ56" s="32" t="n"/>
      <c r="CA56" s="32" t="n"/>
      <c r="CB56" s="32" t="n"/>
      <c r="CC56" s="32" t="n"/>
      <c r="CD56" s="32" t="n"/>
      <c r="CE56" s="32" t="n"/>
      <c r="CF56" s="32" t="n"/>
      <c r="CG56" s="32" t="n"/>
      <c r="CH56" s="32" t="n"/>
      <c r="CI56" s="32" t="n"/>
      <c r="CJ56" s="32" t="n"/>
      <c r="CK56" s="32" t="n"/>
      <c r="CL56" s="32" t="n"/>
      <c r="CM56" s="32" t="n"/>
      <c r="CN56" s="32" t="n"/>
      <c r="CO56" s="32" t="n"/>
      <c r="CP56" s="32" t="n"/>
      <c r="CQ56" s="32" t="n"/>
      <c r="CR56" s="32" t="n"/>
      <c r="CS56" s="32" t="n"/>
      <c r="CT56" s="32" t="n"/>
      <c r="CU56" s="32" t="n"/>
      <c r="CV56" s="32" t="n"/>
      <c r="CW56" s="32" t="n"/>
      <c r="CX56" s="32" t="n"/>
      <c r="CY56" s="32" t="n"/>
    </row>
    <row r="57" hidden="1" outlineLevel="1">
      <c r="C57" s="32" t="inlineStr">
        <is>
          <t>Outras Receitas (Despesas) Operacionais, Líquidas</t>
        </is>
      </c>
      <c r="D57" s="6" t="n"/>
      <c r="E57" s="6" t="n"/>
      <c r="F57" s="6" t="n"/>
      <c r="G57" s="6" t="n"/>
      <c r="H57" s="32" t="n"/>
      <c r="I57" s="6" t="n"/>
      <c r="J57" s="6" t="n"/>
      <c r="K57" s="6" t="n"/>
      <c r="L57" s="6" t="n"/>
      <c r="M57" s="32" t="n"/>
      <c r="N57" s="6" t="n"/>
      <c r="O57" s="6" t="n"/>
      <c r="P57" s="6" t="n"/>
      <c r="Q57" s="6" t="n"/>
      <c r="R57" s="32" t="n"/>
      <c r="S57" s="6" t="n"/>
      <c r="T57" s="6" t="n"/>
      <c r="U57" s="6" t="n"/>
      <c r="V57" s="6" t="n"/>
      <c r="W57" s="32" t="n"/>
      <c r="X57" s="6" t="n"/>
      <c r="Y57" s="6" t="n"/>
      <c r="Z57" s="6" t="n"/>
      <c r="AA57" s="6" t="n"/>
      <c r="AB57" s="32" t="n"/>
      <c r="AC57" s="6" t="n"/>
      <c r="AD57" s="6" t="n"/>
      <c r="AE57" s="6" t="n"/>
      <c r="AF57" s="6" t="n"/>
      <c r="AG57" s="32" t="n"/>
      <c r="AH57" s="32" t="n"/>
      <c r="AI57" s="32" t="n"/>
      <c r="AJ57" s="32" t="n"/>
      <c r="AK57" s="32" t="n"/>
      <c r="AL57" s="32" t="n"/>
      <c r="AM57" s="32" t="n"/>
      <c r="AN57" s="32" t="n"/>
      <c r="AO57" s="32" t="n"/>
      <c r="AP57" s="32" t="n"/>
      <c r="AQ57" s="32" t="n"/>
      <c r="AR57" s="32" t="n"/>
      <c r="AS57" s="32" t="n"/>
      <c r="AT57" s="32" t="n"/>
      <c r="AU57" s="32" t="n"/>
      <c r="AV57" s="32" t="n"/>
      <c r="AW57" s="32" t="n"/>
      <c r="AX57" s="32" t="n"/>
      <c r="AY57" s="32" t="n"/>
      <c r="AZ57" s="32" t="n"/>
      <c r="BA57" s="32" t="n"/>
      <c r="BB57" s="32" t="n"/>
      <c r="BC57" s="32" t="n"/>
      <c r="BD57" s="32" t="n"/>
      <c r="BE57" s="32" t="n"/>
      <c r="BF57" s="32" t="n"/>
      <c r="BG57" s="32" t="n"/>
      <c r="BH57" s="32" t="n"/>
      <c r="BI57" s="32" t="n"/>
      <c r="BJ57" s="32" t="n"/>
      <c r="BK57" s="32" t="n"/>
      <c r="BL57" s="32" t="n"/>
      <c r="BM57" s="32" t="n"/>
      <c r="BN57" s="32" t="n"/>
      <c r="BO57" s="32" t="n"/>
      <c r="BP57" s="32" t="n"/>
      <c r="BQ57" s="32" t="n"/>
      <c r="BR57" s="32" t="n"/>
      <c r="BS57" s="32" t="n"/>
      <c r="BT57" s="32" t="n"/>
      <c r="BU57" s="32" t="n"/>
      <c r="BV57" s="32" t="n"/>
      <c r="BW57" s="32" t="n"/>
      <c r="BX57" s="32" t="n"/>
      <c r="BY57" s="32" t="n"/>
      <c r="BZ57" s="32" t="n"/>
      <c r="CA57" s="32" t="n"/>
      <c r="CB57" s="32" t="n"/>
      <c r="CC57" s="32" t="n"/>
      <c r="CD57" s="32" t="n"/>
      <c r="CE57" s="32" t="n"/>
      <c r="CF57" s="32" t="n"/>
      <c r="CG57" s="32" t="n"/>
      <c r="CH57" s="32" t="n"/>
      <c r="CI57" s="32" t="n"/>
      <c r="CJ57" s="32" t="n"/>
      <c r="CK57" s="32" t="n"/>
      <c r="CL57" s="32" t="n"/>
      <c r="CM57" s="32" t="n"/>
      <c r="CN57" s="32" t="n"/>
      <c r="CO57" s="32" t="n"/>
      <c r="CP57" s="32" t="n"/>
      <c r="CQ57" s="32" t="n"/>
      <c r="CR57" s="32" t="n"/>
      <c r="CS57" s="32" t="n"/>
      <c r="CT57" s="32" t="n"/>
      <c r="CU57" s="32" t="n"/>
      <c r="CV57" s="32" t="n"/>
      <c r="CW57" s="32" t="n"/>
      <c r="CX57" s="32" t="n"/>
      <c r="CY57" s="32" t="n"/>
    </row>
    <row r="58" hidden="1" outlineLevel="1">
      <c r="C58" s="32" t="n"/>
      <c r="D58" s="32" t="n"/>
      <c r="E58" s="32" t="n"/>
      <c r="F58" s="32" t="n"/>
      <c r="G58" s="32" t="n"/>
      <c r="H58" s="32" t="n"/>
      <c r="I58" s="32" t="n"/>
      <c r="J58" s="32" t="n"/>
      <c r="K58" s="32" t="n"/>
      <c r="L58" s="32" t="n"/>
      <c r="M58" s="32" t="n"/>
      <c r="N58" s="32" t="n"/>
      <c r="O58" s="32" t="n"/>
      <c r="P58" s="32" t="n"/>
      <c r="Q58" s="32" t="n"/>
      <c r="R58" s="32" t="n"/>
      <c r="S58" s="32" t="n"/>
      <c r="T58" s="32" t="n"/>
      <c r="U58" s="32" t="n"/>
      <c r="V58" s="32" t="n"/>
      <c r="W58" s="32" t="n"/>
      <c r="X58" s="32" t="n"/>
      <c r="Y58" s="32" t="n"/>
      <c r="Z58" s="32" t="n"/>
      <c r="AA58" s="32" t="n"/>
      <c r="AB58" s="32" t="n"/>
      <c r="AC58" s="32" t="n"/>
      <c r="AD58" s="32" t="n"/>
      <c r="AE58" s="32" t="n"/>
      <c r="AF58" s="32" t="n"/>
      <c r="AG58" s="32" t="n"/>
      <c r="AH58" s="32" t="n"/>
      <c r="AI58" s="32" t="n"/>
      <c r="AJ58" s="32" t="n"/>
      <c r="AK58" s="32" t="n"/>
      <c r="AL58" s="32" t="n"/>
      <c r="AM58" s="32" t="n"/>
      <c r="AN58" s="32" t="n"/>
      <c r="AO58" s="32" t="n"/>
      <c r="AP58" s="32" t="n"/>
      <c r="AQ58" s="32" t="n"/>
      <c r="AR58" s="32" t="n"/>
      <c r="AS58" s="32" t="n"/>
      <c r="AT58" s="32" t="n"/>
      <c r="AU58" s="32" t="n"/>
      <c r="AV58" s="32" t="n"/>
      <c r="AW58" s="32" t="n"/>
      <c r="AX58" s="32" t="n"/>
      <c r="AY58" s="32" t="n"/>
      <c r="AZ58" s="32" t="n"/>
      <c r="BA58" s="32" t="n"/>
      <c r="BB58" s="32" t="n"/>
      <c r="BC58" s="32" t="n"/>
      <c r="BD58" s="32" t="n"/>
      <c r="BE58" s="32" t="n"/>
      <c r="BF58" s="32" t="n"/>
      <c r="BG58" s="32" t="n"/>
      <c r="BH58" s="32" t="n"/>
      <c r="BI58" s="32" t="n"/>
      <c r="BJ58" s="32" t="n"/>
      <c r="BK58" s="32" t="n"/>
      <c r="BL58" s="32" t="n"/>
      <c r="BM58" s="32" t="n"/>
      <c r="BN58" s="32" t="n"/>
      <c r="BO58" s="32" t="n"/>
      <c r="BP58" s="32" t="n"/>
      <c r="BQ58" s="32" t="n"/>
      <c r="BR58" s="32" t="n"/>
      <c r="BS58" s="32" t="n"/>
      <c r="BT58" s="32" t="n"/>
      <c r="BU58" s="32" t="n"/>
      <c r="BV58" s="32" t="n"/>
      <c r="BW58" s="32" t="n"/>
      <c r="BX58" s="32" t="n"/>
      <c r="BY58" s="32" t="n"/>
      <c r="BZ58" s="32" t="n"/>
      <c r="CA58" s="32" t="n"/>
      <c r="CB58" s="32" t="n"/>
      <c r="CC58" s="32" t="n"/>
      <c r="CD58" s="32" t="n"/>
      <c r="CE58" s="32" t="n"/>
      <c r="CF58" s="32" t="n"/>
      <c r="CG58" s="32" t="n"/>
      <c r="CH58" s="32" t="n"/>
      <c r="CI58" s="32" t="n"/>
      <c r="CJ58" s="32" t="n"/>
      <c r="CK58" s="32" t="n"/>
      <c r="CL58" s="32" t="n"/>
      <c r="CM58" s="32" t="n"/>
      <c r="CN58" s="32" t="n"/>
      <c r="CO58" s="32" t="n"/>
      <c r="CP58" s="32" t="n"/>
      <c r="CQ58" s="32" t="n"/>
      <c r="CR58" s="32" t="n"/>
      <c r="CS58" s="32" t="n"/>
      <c r="CT58" s="32" t="n"/>
      <c r="CU58" s="32" t="n"/>
      <c r="CV58" s="32" t="n"/>
      <c r="CW58" s="32" t="n"/>
      <c r="CX58" s="32" t="n"/>
      <c r="CY58" s="32" t="n"/>
    </row>
    <row r="59" hidden="1" outlineLevel="1">
      <c r="C59" s="32" t="inlineStr">
        <is>
          <t>Com Vendas (%)</t>
        </is>
      </c>
      <c r="D59" s="32" t="n"/>
      <c r="E59" s="32" t="n"/>
      <c r="F59" s="32" t="n"/>
      <c r="G59" s="32" t="n"/>
      <c r="H59" s="32" t="n"/>
      <c r="I59" s="32" t="n"/>
      <c r="J59" s="32" t="n"/>
      <c r="K59" s="32" t="n"/>
      <c r="L59" s="32" t="n"/>
      <c r="M59" s="32" t="n"/>
      <c r="N59" s="32" t="n"/>
      <c r="O59" s="32" t="n"/>
      <c r="P59" s="32" t="n"/>
      <c r="Q59" s="32" t="n"/>
      <c r="R59" s="32" t="n"/>
      <c r="S59" s="32" t="n"/>
      <c r="T59" s="32" t="n"/>
      <c r="U59" s="32" t="n"/>
      <c r="V59" s="32" t="n"/>
      <c r="W59" s="32" t="n"/>
      <c r="X59" s="32" t="n"/>
      <c r="Y59" s="32" t="n"/>
      <c r="Z59" s="32" t="n"/>
      <c r="AA59" s="32" t="n"/>
      <c r="AB59" s="32" t="n"/>
      <c r="AC59" s="32" t="n"/>
      <c r="AD59" s="32" t="n"/>
      <c r="AE59" s="32" t="n"/>
      <c r="AF59" s="32" t="n"/>
      <c r="AG59" s="32" t="n"/>
      <c r="AH59" s="32" t="n"/>
      <c r="AI59" s="32" t="n"/>
      <c r="AJ59" s="32" t="n"/>
      <c r="AK59" s="32" t="n"/>
      <c r="AL59" s="32" t="n"/>
      <c r="AM59" s="32" t="n"/>
      <c r="AN59" s="32" t="n"/>
      <c r="AO59" s="32" t="n"/>
      <c r="AP59" s="32" t="n"/>
      <c r="AQ59" s="32" t="n"/>
      <c r="AR59" s="32" t="n"/>
      <c r="AS59" s="32" t="n"/>
      <c r="AT59" s="32" t="n"/>
      <c r="AU59" s="32" t="n"/>
      <c r="AV59" s="32" t="n"/>
      <c r="AW59" s="32" t="n"/>
      <c r="AX59" s="32" t="n"/>
      <c r="AY59" s="32" t="n"/>
      <c r="AZ59" s="32" t="n"/>
      <c r="BA59" s="32" t="n"/>
      <c r="BB59" s="32" t="n"/>
      <c r="BC59" s="32" t="n"/>
      <c r="BD59" s="32" t="n"/>
      <c r="BE59" s="32" t="n"/>
      <c r="BF59" s="32" t="n"/>
      <c r="BG59" s="32" t="n"/>
      <c r="BH59" s="32" t="n"/>
      <c r="BI59" s="32" t="n"/>
      <c r="BJ59" s="32" t="n"/>
      <c r="BK59" s="32" t="n"/>
      <c r="BL59" s="32" t="n"/>
      <c r="BM59" s="32" t="n"/>
      <c r="BN59" s="32" t="n"/>
      <c r="BO59" s="32" t="n"/>
      <c r="BP59" s="32" t="n"/>
      <c r="BQ59" s="32" t="n"/>
      <c r="BR59" s="32" t="n"/>
      <c r="BS59" s="32" t="n"/>
      <c r="BT59" s="32" t="n"/>
      <c r="BU59" s="32" t="n"/>
      <c r="BV59" s="32" t="n"/>
      <c r="BW59" s="32" t="n"/>
      <c r="BX59" s="32" t="n"/>
      <c r="BY59" s="32" t="n"/>
      <c r="BZ59" s="32" t="n"/>
      <c r="CA59" s="32" t="n"/>
      <c r="CB59" s="32" t="n"/>
      <c r="CC59" s="32" t="n"/>
      <c r="CD59" s="32" t="n"/>
      <c r="CE59" s="32" t="n"/>
      <c r="CF59" s="32" t="n"/>
      <c r="CG59" s="32" t="n"/>
      <c r="CH59" s="32" t="n"/>
      <c r="CI59" s="32" t="n"/>
      <c r="CJ59" s="32" t="n"/>
      <c r="CK59" s="32" t="n"/>
      <c r="CL59" s="32" t="n"/>
      <c r="CM59" s="32" t="n"/>
      <c r="CN59" s="32" t="n"/>
      <c r="CO59" s="32" t="n"/>
      <c r="CP59" s="32" t="n"/>
      <c r="CQ59" s="32" t="n"/>
      <c r="CR59" s="32" t="n"/>
      <c r="CS59" s="32" t="n"/>
      <c r="CT59" s="32" t="n"/>
      <c r="CU59" s="32" t="n"/>
      <c r="CV59" s="32" t="n"/>
      <c r="CW59" s="32" t="n"/>
      <c r="CX59" s="32" t="n"/>
      <c r="CY59" s="32" t="n"/>
    </row>
    <row r="60" hidden="1" outlineLevel="1">
      <c r="C60" s="32" t="inlineStr">
        <is>
          <t>Gerais &amp; Administrativas (%)</t>
        </is>
      </c>
      <c r="D60" s="32" t="n"/>
      <c r="E60" s="32" t="n"/>
      <c r="F60" s="32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2" t="n"/>
      <c r="S60" s="32" t="n"/>
      <c r="T60" s="32" t="n"/>
      <c r="U60" s="32" t="n"/>
      <c r="V60" s="32" t="n"/>
      <c r="W60" s="32" t="n"/>
      <c r="X60" s="32" t="n"/>
      <c r="Y60" s="32" t="n"/>
      <c r="Z60" s="32" t="n"/>
      <c r="AA60" s="32" t="n"/>
      <c r="AB60" s="32" t="n"/>
      <c r="AC60" s="32" t="n"/>
      <c r="AD60" s="32" t="n"/>
      <c r="AE60" s="32" t="n"/>
      <c r="AF60" s="32" t="n"/>
      <c r="AG60" s="32" t="n"/>
      <c r="AH60" s="32" t="n"/>
      <c r="AI60" s="32" t="n"/>
      <c r="AJ60" s="32" t="n"/>
      <c r="AK60" s="32" t="n"/>
      <c r="AL60" s="32" t="n"/>
      <c r="AM60" s="32" t="n"/>
      <c r="AN60" s="32" t="n"/>
      <c r="AO60" s="32" t="n"/>
      <c r="AP60" s="32" t="n"/>
      <c r="AQ60" s="32" t="n"/>
      <c r="AR60" s="32" t="n"/>
      <c r="AS60" s="32" t="n"/>
      <c r="AT60" s="32" t="n"/>
      <c r="AU60" s="32" t="n"/>
      <c r="AV60" s="32" t="n"/>
      <c r="AW60" s="32" t="n"/>
      <c r="AX60" s="32" t="n"/>
      <c r="AY60" s="32" t="n"/>
      <c r="AZ60" s="32" t="n"/>
      <c r="BA60" s="32" t="n"/>
      <c r="BB60" s="32" t="n"/>
      <c r="BC60" s="32" t="n"/>
      <c r="BD60" s="32" t="n"/>
      <c r="BE60" s="32" t="n"/>
      <c r="BF60" s="32" t="n"/>
      <c r="BG60" s="32" t="n"/>
      <c r="BH60" s="32" t="n"/>
      <c r="BI60" s="32" t="n"/>
      <c r="BJ60" s="32" t="n"/>
      <c r="BK60" s="32" t="n"/>
      <c r="BL60" s="32" t="n"/>
      <c r="BM60" s="32" t="n"/>
      <c r="BN60" s="32" t="n"/>
      <c r="BO60" s="32" t="n"/>
      <c r="BP60" s="32" t="n"/>
      <c r="BQ60" s="32" t="n"/>
      <c r="BR60" s="32" t="n"/>
      <c r="BS60" s="32" t="n"/>
      <c r="BT60" s="32" t="n"/>
      <c r="BU60" s="32" t="n"/>
      <c r="BV60" s="32" t="n"/>
      <c r="BW60" s="32" t="n"/>
      <c r="BX60" s="32" t="n"/>
      <c r="BY60" s="32" t="n"/>
      <c r="BZ60" s="32" t="n"/>
      <c r="CA60" s="32" t="n"/>
      <c r="CB60" s="32" t="n"/>
      <c r="CC60" s="32" t="n"/>
      <c r="CD60" s="32" t="n"/>
      <c r="CE60" s="32" t="n"/>
      <c r="CF60" s="32" t="n"/>
      <c r="CG60" s="32" t="n"/>
      <c r="CH60" s="32" t="n"/>
      <c r="CI60" s="32" t="n"/>
      <c r="CJ60" s="32" t="n"/>
      <c r="CK60" s="32" t="n"/>
      <c r="CL60" s="32" t="n"/>
      <c r="CM60" s="32" t="n"/>
      <c r="CN60" s="32" t="n"/>
      <c r="CO60" s="32" t="n"/>
      <c r="CP60" s="32" t="n"/>
      <c r="CQ60" s="32" t="n"/>
      <c r="CR60" s="32" t="n"/>
      <c r="CS60" s="32" t="n"/>
      <c r="CT60" s="32" t="n"/>
      <c r="CU60" s="32" t="n"/>
      <c r="CV60" s="32" t="n"/>
      <c r="CW60" s="32" t="n"/>
      <c r="CX60" s="32" t="n"/>
      <c r="CY60" s="32" t="n"/>
    </row>
    <row r="61" hidden="1" outlineLevel="1">
      <c r="C61" s="32" t="inlineStr">
        <is>
          <t>Outras Receitas (Despesas) Operacionais, Líquidas (%)</t>
        </is>
      </c>
      <c r="D61" s="32" t="n"/>
      <c r="E61" s="32" t="n"/>
      <c r="F61" s="32" t="n"/>
      <c r="G61" s="32" t="n"/>
      <c r="H61" s="32" t="n"/>
      <c r="I61" s="32" t="n"/>
      <c r="J61" s="32" t="n"/>
      <c r="K61" s="32" t="n"/>
      <c r="L61" s="32" t="n"/>
      <c r="M61" s="32" t="n"/>
      <c r="N61" s="32" t="n"/>
      <c r="O61" s="32" t="n"/>
      <c r="P61" s="32" t="n"/>
      <c r="Q61" s="32" t="n"/>
      <c r="R61" s="32" t="n"/>
      <c r="S61" s="32" t="n"/>
      <c r="T61" s="32" t="n"/>
      <c r="U61" s="32" t="n"/>
      <c r="V61" s="32" t="n"/>
      <c r="W61" s="32" t="n"/>
      <c r="X61" s="32" t="n"/>
      <c r="Y61" s="32" t="n"/>
      <c r="Z61" s="32" t="n"/>
      <c r="AA61" s="32" t="n"/>
      <c r="AB61" s="32" t="n"/>
      <c r="AC61" s="32" t="n"/>
      <c r="AD61" s="32" t="n"/>
      <c r="AE61" s="32" t="n"/>
      <c r="AF61" s="32" t="n"/>
      <c r="AG61" s="32" t="n"/>
      <c r="AH61" s="32" t="n"/>
      <c r="AI61" s="32" t="n"/>
      <c r="AJ61" s="32" t="n"/>
      <c r="AK61" s="32" t="n"/>
      <c r="AL61" s="32" t="n"/>
      <c r="AM61" s="32" t="n"/>
      <c r="AN61" s="32" t="n"/>
      <c r="AO61" s="32" t="n"/>
      <c r="AP61" s="32" t="n"/>
      <c r="AQ61" s="32" t="n"/>
      <c r="AR61" s="32" t="n"/>
      <c r="AS61" s="32" t="n"/>
      <c r="AT61" s="32" t="n"/>
      <c r="AU61" s="32" t="n"/>
      <c r="AV61" s="32" t="n"/>
      <c r="AW61" s="32" t="n"/>
      <c r="AX61" s="32" t="n"/>
      <c r="AY61" s="32" t="n"/>
      <c r="AZ61" s="32" t="n"/>
      <c r="BA61" s="32" t="n"/>
      <c r="BB61" s="32" t="n"/>
      <c r="BC61" s="32" t="n"/>
      <c r="BD61" s="32" t="n"/>
      <c r="BE61" s="32" t="n"/>
      <c r="BF61" s="32" t="n"/>
      <c r="BG61" s="32" t="n"/>
      <c r="BH61" s="32" t="n"/>
      <c r="BI61" s="32" t="n"/>
      <c r="BJ61" s="32" t="n"/>
      <c r="BK61" s="32" t="n"/>
      <c r="BL61" s="32" t="n"/>
      <c r="BM61" s="32" t="n"/>
      <c r="BN61" s="32" t="n"/>
      <c r="BO61" s="32" t="n"/>
      <c r="BP61" s="32" t="n"/>
      <c r="BQ61" s="32" t="n"/>
      <c r="BR61" s="32" t="n"/>
      <c r="BS61" s="32" t="n"/>
      <c r="BT61" s="32" t="n"/>
      <c r="BU61" s="32" t="n"/>
      <c r="BV61" s="32" t="n"/>
      <c r="BW61" s="32" t="n"/>
      <c r="BX61" s="32" t="n"/>
      <c r="BY61" s="32" t="n"/>
      <c r="BZ61" s="32" t="n"/>
      <c r="CA61" s="32" t="n"/>
      <c r="CB61" s="32" t="n"/>
      <c r="CC61" s="32" t="n"/>
      <c r="CD61" s="32" t="n"/>
      <c r="CE61" s="32" t="n"/>
      <c r="CF61" s="32" t="n"/>
      <c r="CG61" s="32" t="n"/>
      <c r="CH61" s="32" t="n"/>
      <c r="CI61" s="32" t="n"/>
      <c r="CJ61" s="32" t="n"/>
      <c r="CK61" s="32" t="n"/>
      <c r="CL61" s="32" t="n"/>
      <c r="CM61" s="32" t="n"/>
      <c r="CN61" s="32" t="n"/>
      <c r="CO61" s="32" t="n"/>
      <c r="CP61" s="32" t="n"/>
      <c r="CQ61" s="32" t="n"/>
      <c r="CR61" s="32" t="n"/>
      <c r="CS61" s="32" t="n"/>
      <c r="CT61" s="32" t="n"/>
      <c r="CU61" s="32" t="n"/>
      <c r="CV61" s="32" t="n"/>
      <c r="CW61" s="32" t="n"/>
      <c r="CX61" s="32" t="n"/>
      <c r="CY61" s="32" t="n"/>
    </row>
    <row r="62" hidden="1" outlineLevel="1">
      <c r="C62" s="32" t="n"/>
      <c r="D62" s="32" t="n"/>
      <c r="E62" s="32" t="n"/>
      <c r="F62" s="32" t="n"/>
      <c r="G62" s="32" t="n"/>
      <c r="H62" s="32" t="n"/>
      <c r="I62" s="32" t="n"/>
      <c r="J62" s="32" t="n"/>
      <c r="K62" s="32" t="n"/>
      <c r="L62" s="32" t="n"/>
      <c r="M62" s="32" t="n"/>
      <c r="N62" s="32" t="n"/>
      <c r="O62" s="32" t="n"/>
      <c r="P62" s="32" t="n"/>
      <c r="Q62" s="32" t="n"/>
      <c r="R62" s="32" t="n"/>
      <c r="S62" s="32" t="n"/>
      <c r="T62" s="32" t="n"/>
      <c r="U62" s="32" t="n"/>
      <c r="V62" s="32" t="n"/>
      <c r="W62" s="32" t="n"/>
      <c r="X62" s="32" t="n"/>
      <c r="Y62" s="32" t="n"/>
      <c r="Z62" s="32" t="n"/>
      <c r="AA62" s="32" t="n"/>
      <c r="AB62" s="32" t="n"/>
      <c r="AC62" s="32" t="n"/>
      <c r="AD62" s="32" t="n"/>
      <c r="AE62" s="32" t="n"/>
      <c r="AF62" s="32" t="n"/>
      <c r="AG62" s="32" t="n"/>
      <c r="AH62" s="32" t="n"/>
      <c r="AI62" s="32" t="n"/>
      <c r="AJ62" s="32" t="n"/>
      <c r="AK62" s="32" t="n"/>
      <c r="AL62" s="32" t="n"/>
      <c r="AM62" s="32" t="n"/>
      <c r="AN62" s="32" t="n"/>
      <c r="AO62" s="32" t="n"/>
      <c r="AP62" s="32" t="n"/>
      <c r="AQ62" s="32" t="n"/>
      <c r="AR62" s="32" t="n"/>
      <c r="AS62" s="32" t="n"/>
      <c r="AT62" s="32" t="n"/>
      <c r="AU62" s="32" t="n"/>
      <c r="AV62" s="32" t="n"/>
      <c r="AW62" s="32" t="n"/>
      <c r="AX62" s="32" t="n"/>
      <c r="AY62" s="32" t="n"/>
      <c r="AZ62" s="32" t="n"/>
      <c r="BA62" s="32" t="n"/>
      <c r="BB62" s="32" t="n"/>
      <c r="BC62" s="32" t="n"/>
      <c r="BD62" s="32" t="n"/>
      <c r="BE62" s="32" t="n"/>
      <c r="BF62" s="32" t="n"/>
      <c r="BG62" s="32" t="n"/>
      <c r="BH62" s="32" t="n"/>
      <c r="BI62" s="32" t="n"/>
      <c r="BJ62" s="32" t="n"/>
      <c r="BK62" s="32" t="n"/>
      <c r="BL62" s="32" t="n"/>
      <c r="BM62" s="32" t="n"/>
      <c r="BN62" s="32" t="n"/>
      <c r="BO62" s="32" t="n"/>
      <c r="BP62" s="32" t="n"/>
      <c r="BQ62" s="32" t="n"/>
      <c r="BR62" s="32" t="n"/>
      <c r="BS62" s="32" t="n"/>
      <c r="BT62" s="32" t="n"/>
      <c r="BU62" s="32" t="n"/>
      <c r="BV62" s="32" t="n"/>
      <c r="BW62" s="32" t="n"/>
      <c r="BX62" s="32" t="n"/>
      <c r="BY62" s="32" t="n"/>
      <c r="BZ62" s="32" t="n"/>
      <c r="CA62" s="32" t="n"/>
      <c r="CB62" s="32" t="n"/>
      <c r="CC62" s="32" t="n"/>
      <c r="CD62" s="32" t="n"/>
      <c r="CE62" s="32" t="n"/>
      <c r="CF62" s="32" t="n"/>
      <c r="CG62" s="32" t="n"/>
      <c r="CH62" s="32" t="n"/>
      <c r="CI62" s="32" t="n"/>
      <c r="CJ62" s="32" t="n"/>
      <c r="CK62" s="32" t="n"/>
      <c r="CL62" s="32" t="n"/>
      <c r="CM62" s="32" t="n"/>
      <c r="CN62" s="32" t="n"/>
      <c r="CO62" s="32" t="n"/>
      <c r="CP62" s="32" t="n"/>
      <c r="CQ62" s="32" t="n"/>
      <c r="CR62" s="32" t="n"/>
      <c r="CS62" s="32" t="n"/>
      <c r="CT62" s="32" t="n"/>
      <c r="CU62" s="32" t="n"/>
      <c r="CV62" s="32" t="n"/>
      <c r="CW62" s="32" t="n"/>
      <c r="CX62" s="32" t="n"/>
      <c r="CY62" s="32" t="n"/>
    </row>
    <row r="63" collapsed="1" customFormat="1" s="17">
      <c r="A63" s="13" t="n"/>
      <c r="B63" s="1" t="n"/>
      <c r="C63" s="14" t="inlineStr">
        <is>
          <t>EBITDA</t>
        </is>
      </c>
      <c r="D63" s="16">
        <f>SUM(D15,D48,D52)</f>
        <v>836</v>
      </c>
      <c r="E63" s="16">
        <f>SUM(E15,E48,E52)</f>
        <v>894</v>
      </c>
      <c r="F63" s="16">
        <f>SUM(F15,F48,F52)</f>
        <v>1393</v>
      </c>
      <c r="G63" s="16">
        <f>SUM(G15,G48,G52)</f>
        <v>1193</v>
      </c>
      <c r="H63" s="16">
        <f>SUM(D63:G63)</f>
        <v>4316</v>
      </c>
      <c r="I63" s="16">
        <f>SUM(I15,I48,I52)</f>
        <v>1215</v>
      </c>
      <c r="J63" s="16">
        <f>SUM(J15,J48,J52)</f>
        <v>1993</v>
      </c>
      <c r="K63" s="16">
        <f>SUM(K15,K48,K52)</f>
        <v>2765</v>
      </c>
      <c r="L63" s="16">
        <f>SUM(L15,L48,L52)</f>
        <v>3461</v>
      </c>
      <c r="M63" s="16">
        <f>SUM(I63:L63)</f>
        <v>9434</v>
      </c>
      <c r="N63" s="16">
        <f>SUM(N15,N48,N52)</f>
        <v>4483</v>
      </c>
      <c r="O63" s="16">
        <f>SUM(O15,O48,O52)</f>
        <v>3386</v>
      </c>
      <c r="P63" s="16">
        <f>SUM(P15,P48,P52)</f>
        <v>4644</v>
      </c>
      <c r="Q63" s="16">
        <f>SUM(Q15,Q48,Q52)</f>
        <v>4890</v>
      </c>
      <c r="R63" s="16">
        <f>SUM(N63:Q63)</f>
        <v>17403</v>
      </c>
      <c r="S63" s="16">
        <f>SUM(S15,S48,S52)</f>
        <v>3710</v>
      </c>
      <c r="T63" s="16">
        <f>SUM(T15,T48,T52)</f>
        <v>3553</v>
      </c>
      <c r="U63" s="16">
        <f>SUM(U15,U48,U52)</f>
        <v>2999</v>
      </c>
      <c r="V63" s="16">
        <f>SUM(V15,V48,V52)</f>
        <v>3296</v>
      </c>
      <c r="W63" s="16">
        <f>SUM(S63:V63)</f>
        <v>13558</v>
      </c>
      <c r="X63" s="16">
        <f>SUM(X15,X48,X52)</f>
        <v>2417</v>
      </c>
      <c r="Y63" s="16">
        <f>SUM(Y15,Y48,Y52)</f>
        <v>2883</v>
      </c>
      <c r="Z63" s="16">
        <f>SUM(Z15,Z48,Z52)</f>
        <v>4065</v>
      </c>
      <c r="AA63" s="16">
        <f>SUM(AA15,AA48,AA52)</f>
        <v>3079</v>
      </c>
      <c r="AB63" s="16">
        <f>SUM(X63:AA63)</f>
        <v>12444</v>
      </c>
      <c r="AC63" s="16">
        <f>SUM(AC15,AC48,AC52)</f>
        <v>1846</v>
      </c>
      <c r="AD63" s="16">
        <f>SUM(AD15,AD48,AD52)</f>
        <v>2356</v>
      </c>
      <c r="AE63" s="16">
        <f>SUM(AE15,AE48,AE52)</f>
        <v>3249</v>
      </c>
      <c r="AF63" s="16">
        <f>SUM(AF15,AF48,AF52)</f>
        <v>3052</v>
      </c>
      <c r="AG63" s="16">
        <f>SUM(AC63:AF63)</f>
        <v>10503</v>
      </c>
      <c r="AH63" s="16">
        <f>SUM(AH15,AH48,AH52)</f>
        <v>2531</v>
      </c>
      <c r="AI63" s="16">
        <f>SUM(AI15,AI48,AI52)</f>
        <v>2017</v>
      </c>
      <c r="AJ63" s="16">
        <f>SUM(AJ15,AJ48,AJ52)</f>
        <v>0</v>
      </c>
      <c r="AK63" s="16">
        <f>SUM(AK15,AK48,AK52)</f>
        <v>0</v>
      </c>
      <c r="AL63" s="16">
        <f>SUM(AH63:AK63)</f>
        <v>4548</v>
      </c>
      <c r="AM63" s="16">
        <f>SUM(AM15,AM48,AM52)</f>
        <v>0</v>
      </c>
      <c r="AN63" s="16">
        <f>SUM(AN15,AN48,AN52)</f>
        <v>0</v>
      </c>
      <c r="AO63" s="16">
        <f>SUM(AO15,AO48,AO52)</f>
        <v>0</v>
      </c>
      <c r="AP63" s="16">
        <f>SUM(AP15,AP48,AP52)</f>
        <v>0</v>
      </c>
      <c r="AQ63" s="16">
        <f>SUM(AM63:AP63)</f>
        <v>0</v>
      </c>
      <c r="AR63" s="16">
        <f>SUM(AR15,AR48,AR52)</f>
        <v>0</v>
      </c>
      <c r="AS63" s="16">
        <f>SUM(AS15,AS48,AS52)</f>
        <v>0</v>
      </c>
      <c r="AT63" s="16">
        <f>SUM(AT15,AT48,AT52)</f>
        <v>0</v>
      </c>
      <c r="AU63" s="16">
        <f>SUM(AU15,AU48,AU52)</f>
        <v>0</v>
      </c>
      <c r="AV63" s="16">
        <f>SUM(AR63:AU63)</f>
        <v>0</v>
      </c>
      <c r="AW63" s="16">
        <f>SUM(AW15,AW48,AW52)</f>
        <v>0</v>
      </c>
      <c r="AX63" s="16">
        <f>SUM(AX15,AX48,AX52)</f>
        <v>0</v>
      </c>
      <c r="AY63" s="16">
        <f>SUM(AY15,AY48,AY52)</f>
        <v>0</v>
      </c>
      <c r="AZ63" s="16">
        <f>SUM(AZ15,AZ48,AZ52)</f>
        <v>0</v>
      </c>
      <c r="BA63" s="16">
        <f>SUM(AW63:AZ63)</f>
        <v>0</v>
      </c>
      <c r="BB63" s="16">
        <f>SUM(BB15,BB48,BB52)</f>
        <v>0</v>
      </c>
      <c r="BC63" s="16">
        <f>SUM(BC15,BC48,BC52)</f>
        <v>0</v>
      </c>
      <c r="BD63" s="16">
        <f>SUM(BD15,BD48,BD52)</f>
        <v>0</v>
      </c>
      <c r="BE63" s="16">
        <f>SUM(BE15,BE48,BE52)</f>
        <v>0</v>
      </c>
      <c r="BF63" s="16">
        <f>SUM(BB63:BE63)</f>
        <v>0</v>
      </c>
      <c r="BG63" s="16">
        <f>SUM(BG15,BG48,BG52)</f>
        <v>0</v>
      </c>
      <c r="BH63" s="16">
        <f>SUM(BH15,BH48,BH52)</f>
        <v>0</v>
      </c>
      <c r="BI63" s="16">
        <f>SUM(BI15,BI48,BI52)</f>
        <v>0</v>
      </c>
      <c r="BJ63" s="16">
        <f>SUM(BJ15,BJ48,BJ52)</f>
        <v>0</v>
      </c>
      <c r="BK63" s="16">
        <f>SUM(BG63:BJ63)</f>
        <v>0</v>
      </c>
      <c r="BL63" s="16">
        <f>SUM(BL15,BL48,BL52)</f>
        <v>0</v>
      </c>
      <c r="BM63" s="16">
        <f>SUM(BM15,BM48,BM52)</f>
        <v>0</v>
      </c>
      <c r="BN63" s="16">
        <f>SUM(BN15,BN48,BN52)</f>
        <v>0</v>
      </c>
      <c r="BO63" s="16">
        <f>SUM(BO15,BO48,BO52)</f>
        <v>0</v>
      </c>
      <c r="BP63" s="16">
        <f>SUM(BL63:BO63)</f>
        <v>0</v>
      </c>
      <c r="BQ63" s="16">
        <f>SUM(BQ15,BQ48,BQ52)</f>
        <v>0</v>
      </c>
      <c r="BR63" s="16">
        <f>SUM(BR15,BR48,BR52)</f>
        <v>0</v>
      </c>
      <c r="BS63" s="16">
        <f>SUM(BS15,BS48,BS52)</f>
        <v>0</v>
      </c>
      <c r="BT63" s="16">
        <f>SUM(BT15,BT48,BT52)</f>
        <v>0</v>
      </c>
      <c r="BU63" s="16">
        <f>SUM(BQ63:BT63)</f>
        <v>0</v>
      </c>
      <c r="BV63" s="16">
        <f>SUM(BV15,BV48,BV52)</f>
        <v>0</v>
      </c>
      <c r="BW63" s="16">
        <f>SUM(BW15,BW48,BW52)</f>
        <v>0</v>
      </c>
      <c r="BX63" s="16">
        <f>SUM(BX15,BX48,BX52)</f>
        <v>0</v>
      </c>
      <c r="BY63" s="16">
        <f>SUM(BY15,BY48,BY52)</f>
        <v>0</v>
      </c>
      <c r="BZ63" s="16">
        <f>SUM(BV63:BY63)</f>
        <v>0</v>
      </c>
      <c r="CA63" s="16">
        <f>SUM(CA15,CA48,CA52)</f>
        <v>0</v>
      </c>
      <c r="CB63" s="16">
        <f>SUM(CB15,CB48,CB52)</f>
        <v>0</v>
      </c>
      <c r="CC63" s="16">
        <f>SUM(CC15,CC48,CC52)</f>
        <v>0</v>
      </c>
      <c r="CD63" s="16">
        <f>SUM(CD15,CD48,CD52)</f>
        <v>0</v>
      </c>
      <c r="CE63" s="16">
        <f>SUM(CA63:CD63)</f>
        <v>0</v>
      </c>
      <c r="CF63" s="16">
        <f>SUM(CF15,CF48,CF52)</f>
        <v>0</v>
      </c>
      <c r="CG63" s="16">
        <f>SUM(CG15,CG48,CG52)</f>
        <v>0</v>
      </c>
      <c r="CH63" s="16">
        <f>SUM(CH15,CH48,CH52)</f>
        <v>0</v>
      </c>
      <c r="CI63" s="16">
        <f>SUM(CI15,CI48,CI52)</f>
        <v>0</v>
      </c>
      <c r="CJ63" s="16">
        <f>SUM(CF63:CI63)</f>
        <v>0</v>
      </c>
      <c r="CK63" s="16">
        <f>SUM(CK15,CK48,CK52)</f>
        <v>0</v>
      </c>
      <c r="CL63" s="16">
        <f>SUM(CL15,CL48,CL52)</f>
        <v>0</v>
      </c>
      <c r="CM63" s="16">
        <f>SUM(CM15,CM48,CM52)</f>
        <v>0</v>
      </c>
      <c r="CN63" s="16">
        <f>SUM(CN15,CN48,CN52)</f>
        <v>0</v>
      </c>
      <c r="CO63" s="16">
        <f>SUM(CK63:CN63)</f>
        <v>0</v>
      </c>
      <c r="CP63" s="16">
        <f>SUM(CP15,CP48,CP52)</f>
        <v>0</v>
      </c>
      <c r="CQ63" s="16">
        <f>SUM(CQ15,CQ48,CQ52)</f>
        <v>0</v>
      </c>
      <c r="CR63" s="16">
        <f>SUM(CR15,CR48,CR52)</f>
        <v>0</v>
      </c>
      <c r="CS63" s="16">
        <f>SUM(CS15,CS48,CS52)</f>
        <v>0</v>
      </c>
      <c r="CT63" s="16">
        <f>SUM(CP63:CS63)</f>
        <v>0</v>
      </c>
      <c r="CU63" s="16">
        <f>SUM(CU15,CU48,CU52)</f>
        <v>0</v>
      </c>
      <c r="CV63" s="16">
        <f>SUM(CV15,CV48,CV52)</f>
        <v>0</v>
      </c>
      <c r="CW63" s="16">
        <f>SUM(CW15,CW48,CW52)</f>
        <v>0</v>
      </c>
      <c r="CX63" s="16">
        <f>SUM(CX15,CX48,CX52)</f>
        <v>0</v>
      </c>
      <c r="CY63" s="16">
        <f>SUM(CU63:CX63)</f>
        <v>0</v>
      </c>
    </row>
    <row r="64" ht="13.5" customHeight="1">
      <c r="C64" s="24" t="inlineStr">
        <is>
          <t>D&amp;A</t>
        </is>
      </c>
      <c r="D64" s="25">
        <f>INDEX('Inputs (2)'!$D$7:$AL$7,MATCH(D$7,'Inputs (2)'!$D$2:$AL$2,0))</f>
        <v>-553</v>
      </c>
      <c r="E64" s="25">
        <f>INDEX('Inputs (2)'!$D$7:$AL$7,MATCH(E$7,'Inputs (2)'!$D$2:$AL$2,0))</f>
        <v>-567</v>
      </c>
      <c r="F64" s="25">
        <f>INDEX('Inputs (2)'!$D$7:$AL$7,MATCH(F$7,'Inputs (2)'!$D$2:$AL$2,0))</f>
        <v>-584</v>
      </c>
      <c r="G64" s="25">
        <f>INDEX('Inputs (2)'!$D$7:$AL$7,MATCH(G$7,'Inputs (2)'!$D$2:$AL$2,0))</f>
        <v>-618</v>
      </c>
      <c r="H64" s="3">
        <f>SUM(D64:G64)</f>
        <v>-2322</v>
      </c>
      <c r="I64" s="25">
        <f>INDEX('Inputs (2)'!$D$7:$AL$7,MATCH(I$7,'Inputs (2)'!$D$2:$AL$2,0))</f>
        <v>-621</v>
      </c>
      <c r="J64" s="25">
        <f>INDEX('Inputs (2)'!$D$7:$AL$7,MATCH(J$7,'Inputs (2)'!$D$2:$AL$2,0))</f>
        <v>-681</v>
      </c>
      <c r="K64" s="25">
        <f>INDEX('Inputs (2)'!$D$7:$AL$7,MATCH(K$7,'Inputs (2)'!$D$2:$AL$2,0))</f>
        <v>-761</v>
      </c>
      <c r="L64" s="25">
        <f>INDEX('Inputs (2)'!$D$7:$AL$7,MATCH(L$7,'Inputs (2)'!$D$2:$AL$2,0))</f>
        <v>-848</v>
      </c>
      <c r="M64" s="3">
        <f>SUM(I64:L64)</f>
        <v>-2911</v>
      </c>
      <c r="N64" s="25">
        <f>INDEX('Inputs (2)'!$D$7:$AL$7,MATCH(N$7,'Inputs (2)'!$D$2:$AL$2,0))</f>
        <v>-880</v>
      </c>
      <c r="O64" s="25">
        <f>INDEX('Inputs (2)'!$D$7:$AL$7,MATCH(O$7,'Inputs (2)'!$D$2:$AL$2,0))</f>
        <v>-922</v>
      </c>
      <c r="P64" s="25">
        <f>INDEX('Inputs (2)'!$D$7:$AL$7,MATCH(P$7,'Inputs (2)'!$D$2:$AL$2,0))</f>
        <v>-956</v>
      </c>
      <c r="Q64" s="25">
        <f>INDEX('Inputs (2)'!$D$7:$AL$7,MATCH(Q$7,'Inputs (2)'!$D$2:$AL$2,0))</f>
        <v>-989</v>
      </c>
      <c r="R64" s="3">
        <f>SUM(N64:Q64)</f>
        <v>-3747</v>
      </c>
      <c r="S64" s="25">
        <f>INDEX('Inputs (2)'!$D$7:$AL$7,MATCH(S$7,'Inputs (2)'!$D$2:$AL$2,0))</f>
        <v>-1046</v>
      </c>
      <c r="T64" s="25">
        <f>INDEX('Inputs (2)'!$D$7:$AL$7,MATCH(T$7,'Inputs (2)'!$D$2:$AL$2,0))</f>
        <v>-1154</v>
      </c>
      <c r="U64" s="25">
        <f>INDEX('Inputs (2)'!$D$7:$AL$7,MATCH(U$7,'Inputs (2)'!$D$2:$AL$2,0))</f>
        <v>-1235</v>
      </c>
      <c r="V64" s="25">
        <f>INDEX('Inputs (2)'!$D$7:$AL$7,MATCH(V$7,'Inputs (2)'!$D$2:$AL$2,0))</f>
        <v>-1232</v>
      </c>
      <c r="W64" s="3">
        <f>SUM(S64:V64)</f>
        <v>-4667</v>
      </c>
      <c r="X64" s="25">
        <f>INDEX('Inputs (2)'!$D$7:$AL$7,MATCH(X$7,'Inputs (2)'!$D$2:$AL$2,0))</f>
        <v>-1246</v>
      </c>
      <c r="Y64" s="25">
        <f>INDEX('Inputs (2)'!$D$7:$AL$7,MATCH(Y$7,'Inputs (2)'!$D$2:$AL$2,0))</f>
        <v>-1278</v>
      </c>
      <c r="Z64" s="25">
        <f>INDEX('Inputs (2)'!$D$7:$AL$7,MATCH(Z$7,'Inputs (2)'!$D$2:$AL$2,0))</f>
        <v>-1348</v>
      </c>
      <c r="AA64" s="25">
        <f>INDEX('Inputs (2)'!$D$7:$AL$7,MATCH(AA$7,'Inputs (2)'!$D$2:$AL$2,0))</f>
        <v>-1496</v>
      </c>
      <c r="AB64" s="3">
        <f>SUM(X64:AA64)</f>
        <v>-5368</v>
      </c>
      <c r="AC64" s="25">
        <f>INDEX('Inputs (2)'!$D$7:$AL$7,MATCH(AC$7,'Inputs (2)'!$D$2:$AL$2,0))</f>
        <v>-1447</v>
      </c>
      <c r="AD64" s="25">
        <f>INDEX('Inputs (2)'!$D$7:$AL$7,MATCH(AD$7,'Inputs (2)'!$D$2:$AL$2,0))</f>
        <v>-1433</v>
      </c>
      <c r="AE64" s="25">
        <f>INDEX('Inputs (2)'!$D$7:$AL$7,MATCH(AE$7,'Inputs (2)'!$D$2:$AL$2,0))</f>
        <v>-1625</v>
      </c>
      <c r="AF64" s="25">
        <f>INDEX('Inputs (2)'!$D$7:$AL$7,MATCH(AF$7,'Inputs (2)'!$D$2:$AL$2,0))</f>
        <v>-1643</v>
      </c>
      <c r="AG64" s="3">
        <f>SUM(AC64:AF64)</f>
        <v>-6148</v>
      </c>
      <c r="AH64" s="3">
        <f>INDEX('Inputs (2)'!$D$7:$AL$7,MATCH(AH$7,'Inputs (2)'!$D$2:$AL$2,0))</f>
        <v>-1590</v>
      </c>
      <c r="AI64" s="3">
        <f>INDEX('Inputs (2)'!$D$7:$AL$7,MATCH(AI$7,'Inputs (2)'!$D$2:$AL$2,0))</f>
        <v>-1619</v>
      </c>
      <c r="AJ64" s="3">
        <f>-AJ65*AJ15</f>
        <v>0</v>
      </c>
      <c r="AK64" s="3">
        <f>-AK65*AK15</f>
        <v>0</v>
      </c>
      <c r="AL64" s="3">
        <f>SUM(AH64:AK64)</f>
        <v>-3209</v>
      </c>
      <c r="AM64" s="3">
        <f>-AM65*AM15</f>
        <v>0</v>
      </c>
      <c r="AN64" s="3">
        <f>-AN65*AN15</f>
        <v>0</v>
      </c>
      <c r="AO64" s="3">
        <f>-AO65*AO15</f>
        <v>0</v>
      </c>
      <c r="AP64" s="3">
        <f>-AP65*AP15</f>
        <v>0</v>
      </c>
      <c r="AQ64" s="3">
        <f>SUM(AM64:AP64)</f>
        <v>0</v>
      </c>
      <c r="AR64" s="3">
        <f>-AR65*AR15</f>
        <v>0</v>
      </c>
      <c r="AS64" s="3">
        <f>-AS65*AS15</f>
        <v>0</v>
      </c>
      <c r="AT64" s="3">
        <f>-AT65*AT15</f>
        <v>0</v>
      </c>
      <c r="AU64" s="3">
        <f>-AU65*AU15</f>
        <v>0</v>
      </c>
      <c r="AV64" s="3">
        <f>SUM(AR64:AU64)</f>
        <v>0</v>
      </c>
      <c r="AW64" s="3">
        <f>-AW65*AW15</f>
        <v>0</v>
      </c>
      <c r="AX64" s="3">
        <f>-AX65*AX15</f>
        <v>0</v>
      </c>
      <c r="AY64" s="3">
        <f>-AY65*AY15</f>
        <v>0</v>
      </c>
      <c r="AZ64" s="3">
        <f>-AZ65*AZ15</f>
        <v>0</v>
      </c>
      <c r="BA64" s="3">
        <f>SUM(AW64:AZ64)</f>
        <v>0</v>
      </c>
      <c r="BB64" s="3">
        <f>-BB65*BB15</f>
        <v>0</v>
      </c>
      <c r="BC64" s="3">
        <f>-BC65*BC15</f>
        <v>0</v>
      </c>
      <c r="BD64" s="3">
        <f>-BD65*BD15</f>
        <v>0</v>
      </c>
      <c r="BE64" s="3">
        <f>-BE65*BE15</f>
        <v>0</v>
      </c>
      <c r="BF64" s="3">
        <f>SUM(BB64:BE64)</f>
        <v>0</v>
      </c>
      <c r="BG64" s="3">
        <f>-BG65*BG15</f>
        <v>0</v>
      </c>
      <c r="BH64" s="3">
        <f>-BH65*BH15</f>
        <v>0</v>
      </c>
      <c r="BI64" s="3">
        <f>-BI65*BI15</f>
        <v>0</v>
      </c>
      <c r="BJ64" s="3">
        <f>-BJ65*BJ15</f>
        <v>0</v>
      </c>
      <c r="BK64" s="3">
        <f>SUM(BG64:BJ64)</f>
        <v>0</v>
      </c>
      <c r="BL64" s="3">
        <f>-BL65*BL15</f>
        <v>0</v>
      </c>
      <c r="BM64" s="3">
        <f>-BM65*BM15</f>
        <v>0</v>
      </c>
      <c r="BN64" s="3">
        <f>-BN65*BN15</f>
        <v>0</v>
      </c>
      <c r="BO64" s="3">
        <f>-BO65*BO15</f>
        <v>0</v>
      </c>
      <c r="BP64" s="3">
        <f>SUM(BL64:BO64)</f>
        <v>0</v>
      </c>
      <c r="BQ64" s="3">
        <f>-BQ65*BQ15</f>
        <v>0</v>
      </c>
      <c r="BR64" s="3">
        <f>-BR65*BR15</f>
        <v>0</v>
      </c>
      <c r="BS64" s="3">
        <f>-BS65*BS15</f>
        <v>0</v>
      </c>
      <c r="BT64" s="3">
        <f>-BT65*BT15</f>
        <v>0</v>
      </c>
      <c r="BU64" s="3">
        <f>SUM(BQ64:BT64)</f>
        <v>0</v>
      </c>
      <c r="BV64" s="3">
        <f>-BV65*BV15</f>
        <v>0</v>
      </c>
      <c r="BW64" s="3">
        <f>-BW65*BW15</f>
        <v>0</v>
      </c>
      <c r="BX64" s="3">
        <f>-BX65*BX15</f>
        <v>0</v>
      </c>
      <c r="BY64" s="3">
        <f>-BY65*BY15</f>
        <v>0</v>
      </c>
      <c r="BZ64" s="3">
        <f>SUM(BV64:BY64)</f>
        <v>0</v>
      </c>
      <c r="CA64" s="3">
        <f>-CA65*CA15</f>
        <v>0</v>
      </c>
      <c r="CB64" s="3">
        <f>-CB65*CB15</f>
        <v>0</v>
      </c>
      <c r="CC64" s="3">
        <f>-CC65*CC15</f>
        <v>0</v>
      </c>
      <c r="CD64" s="3">
        <f>-CD65*CD15</f>
        <v>0</v>
      </c>
      <c r="CE64" s="3">
        <f>SUM(CA64:CD64)</f>
        <v>0</v>
      </c>
      <c r="CF64" s="3">
        <f>-CF65*CF15</f>
        <v>0</v>
      </c>
      <c r="CG64" s="3">
        <f>-CG65*CG15</f>
        <v>0</v>
      </c>
      <c r="CH64" s="3">
        <f>-CH65*CH15</f>
        <v>0</v>
      </c>
      <c r="CI64" s="3">
        <f>-CI65*CI15</f>
        <v>0</v>
      </c>
      <c r="CJ64" s="3">
        <f>SUM(CF64:CI64)</f>
        <v>0</v>
      </c>
      <c r="CK64" s="3">
        <f>-CK65*CK15</f>
        <v>0</v>
      </c>
      <c r="CL64" s="3">
        <f>-CL65*CL15</f>
        <v>0</v>
      </c>
      <c r="CM64" s="3">
        <f>-CM65*CM15</f>
        <v>0</v>
      </c>
      <c r="CN64" s="3">
        <f>-CN65*CN15</f>
        <v>0</v>
      </c>
      <c r="CO64" s="3">
        <f>SUM(CK64:CN64)</f>
        <v>0</v>
      </c>
      <c r="CP64" s="3">
        <f>-CP65*CP15</f>
        <v>0</v>
      </c>
      <c r="CQ64" s="3">
        <f>-CQ65*CQ15</f>
        <v>0</v>
      </c>
      <c r="CR64" s="3">
        <f>-CR65*CR15</f>
        <v>0</v>
      </c>
      <c r="CS64" s="3">
        <f>-CS65*CS15</f>
        <v>0</v>
      </c>
      <c r="CT64" s="3">
        <f>SUM(CP64:CS64)</f>
        <v>0</v>
      </c>
      <c r="CU64" s="3">
        <f>-CU65*CU15</f>
        <v>0</v>
      </c>
      <c r="CV64" s="3">
        <f>-CV65*CV15</f>
        <v>0</v>
      </c>
      <c r="CW64" s="3">
        <f>-CW65*CW15</f>
        <v>0</v>
      </c>
      <c r="CX64" s="3">
        <f>-CX65*CX15</f>
        <v>0</v>
      </c>
      <c r="CY64" s="3">
        <f>SUM(CU64:CX64)</f>
        <v>0</v>
      </c>
    </row>
    <row r="65" hidden="1" outlineLevel="1" customFormat="1" s="247">
      <c r="A65" s="48" t="n"/>
      <c r="B65" s="48" t="n"/>
      <c r="C65" s="246" t="inlineStr">
        <is>
          <t>% of Revenue</t>
        </is>
      </c>
      <c r="D65" s="48">
        <f>-D64/D15</f>
        <v>0.0923976608187135</v>
      </c>
      <c r="E65" s="48">
        <f>-E64/E15</f>
        <v>0.0939363817097416</v>
      </c>
      <c r="F65" s="48">
        <f>-F64/F15</f>
        <v>0.0665830578041272</v>
      </c>
      <c r="G65" s="48">
        <f>-G64/G15</f>
        <v>0.0575204765450484</v>
      </c>
      <c r="H65" s="48" t="n"/>
      <c r="I65" s="48">
        <f>-I64/I15</f>
        <v>0.0597747617672538</v>
      </c>
      <c r="J65" s="48">
        <f>-J64/J15</f>
        <v>0.0569493226292022</v>
      </c>
      <c r="K65" s="48">
        <f>-K64/K15</f>
        <v>0.0553172930144654</v>
      </c>
      <c r="L65" s="48">
        <f>-L64/L15</f>
        <v>0.0478582312771601</v>
      </c>
      <c r="M65" s="48" t="n"/>
      <c r="N65" s="48">
        <f>-N64/N15</f>
        <v>0.0469183194711026</v>
      </c>
      <c r="O65" s="48">
        <f>-O64/O15</f>
        <v>0.054446675327743</v>
      </c>
      <c r="P65" s="48">
        <f>-P64/P15</f>
        <v>0.0445604549268202</v>
      </c>
      <c r="Q65" s="48">
        <f>-Q64/Q15</f>
        <v>0.0406694629492557</v>
      </c>
      <c r="R65" s="48" t="n"/>
      <c r="S65" s="48">
        <f>-S64/S15</f>
        <v>0.0448368982811094</v>
      </c>
      <c r="T65" s="48">
        <f>-T64/T15</f>
        <v>0.0462951819312392</v>
      </c>
      <c r="U65" s="48">
        <f>-U64/U15</f>
        <v>0.0528907922912206</v>
      </c>
      <c r="V65" s="48">
        <f>-V64/V15</f>
        <v>0.0489529940000795</v>
      </c>
      <c r="W65" s="48" t="n"/>
      <c r="X65" s="48">
        <f>-X64/X15</f>
        <v>0.0584949063424252</v>
      </c>
      <c r="Y65" s="48">
        <f>-Y64/Y15</f>
        <v>0.0501176470588235</v>
      </c>
      <c r="Z65" s="48">
        <f>-Z64/Z15</f>
        <v>0.0535302994202208</v>
      </c>
      <c r="AA65" s="48">
        <f>-AA64/AA15</f>
        <v>0.0581942661531878</v>
      </c>
      <c r="AB65" s="48" t="n"/>
      <c r="AC65" s="48">
        <f>-AC64/AC15</f>
        <v>0.0748383760020688</v>
      </c>
      <c r="AD65" s="48">
        <f>-AD64/AD15</f>
        <v>0.063700213371266</v>
      </c>
      <c r="AE65" s="48">
        <f>-AE64/AE15</f>
        <v>0.0578394732158747</v>
      </c>
      <c r="AF65" s="218">
        <f>-AF64/AF15</f>
        <v>0.0659812858921328</v>
      </c>
      <c r="AG65" s="48" t="n"/>
      <c r="AH65" s="218">
        <f>-AH64/AH15</f>
        <v>0.0710233617724572</v>
      </c>
      <c r="AI65" s="218">
        <f>-AI64/AI15</f>
        <v>0.0573381498795863</v>
      </c>
      <c r="AJ65" s="218" t="n"/>
      <c r="AK65" s="218" t="n"/>
      <c r="AL65" s="48" t="n"/>
      <c r="AM65" s="218" t="n"/>
      <c r="AN65" s="218" t="n"/>
      <c r="AO65" s="218" t="n"/>
      <c r="AP65" s="218" t="n"/>
      <c r="AQ65" s="48" t="n"/>
      <c r="AR65" s="218" t="n"/>
      <c r="AS65" s="218" t="n"/>
      <c r="AT65" s="218" t="n"/>
      <c r="AU65" s="218" t="n"/>
      <c r="AV65" s="48" t="n"/>
      <c r="AW65" s="218" t="n"/>
      <c r="AX65" s="218" t="n"/>
      <c r="AY65" s="218" t="n"/>
      <c r="AZ65" s="218" t="n"/>
      <c r="BA65" s="48" t="n"/>
      <c r="BB65" s="218" t="n"/>
      <c r="BC65" s="218" t="n"/>
      <c r="BD65" s="218" t="n"/>
      <c r="BE65" s="218" t="n"/>
      <c r="BF65" s="48" t="n"/>
      <c r="BG65" s="218" t="n"/>
      <c r="BH65" s="218" t="n"/>
      <c r="BI65" s="218" t="n"/>
      <c r="BJ65" s="218" t="n"/>
      <c r="BK65" s="48" t="n"/>
      <c r="BL65" s="218" t="n"/>
      <c r="BM65" s="218" t="n"/>
      <c r="BN65" s="218" t="n"/>
      <c r="BO65" s="218" t="n"/>
      <c r="BP65" s="48" t="n"/>
      <c r="BQ65" s="218" t="n"/>
      <c r="BR65" s="218" t="n"/>
      <c r="BS65" s="218" t="n"/>
      <c r="BT65" s="218" t="n"/>
      <c r="BU65" s="48" t="n"/>
      <c r="BV65" s="218" t="n"/>
      <c r="BW65" s="218" t="n"/>
      <c r="BX65" s="218" t="n"/>
      <c r="BY65" s="218" t="n"/>
      <c r="BZ65" s="48" t="n"/>
      <c r="CA65" s="218" t="n"/>
      <c r="CB65" s="218" t="n"/>
      <c r="CC65" s="218" t="n"/>
      <c r="CD65" s="218" t="n"/>
      <c r="CE65" s="48" t="n"/>
      <c r="CF65" s="218" t="n"/>
      <c r="CG65" s="218" t="n"/>
      <c r="CH65" s="218" t="n"/>
      <c r="CI65" s="218" t="n"/>
      <c r="CJ65" s="48" t="n"/>
      <c r="CK65" s="218" t="n"/>
      <c r="CL65" s="218" t="n"/>
      <c r="CM65" s="218" t="n"/>
      <c r="CN65" s="218" t="n"/>
      <c r="CO65" s="48" t="n"/>
      <c r="CP65" s="218" t="n"/>
      <c r="CQ65" s="218" t="n"/>
      <c r="CR65" s="218" t="n"/>
      <c r="CS65" s="218" t="n"/>
      <c r="CT65" s="48" t="n"/>
      <c r="CU65" s="218" t="n"/>
      <c r="CV65" s="218" t="n"/>
      <c r="CW65" s="218" t="n"/>
      <c r="CX65" s="218" t="n"/>
      <c r="CY65" s="48" t="n"/>
    </row>
    <row r="66" hidden="1" outlineLevel="1">
      <c r="C66" s="32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  <c r="AJ66" s="3" t="n"/>
      <c r="AK66" s="3" t="n"/>
      <c r="AL66" s="3" t="n"/>
      <c r="AM66" s="3" t="n"/>
      <c r="AN66" s="3" t="n"/>
      <c r="AO66" s="3" t="n"/>
      <c r="AP66" s="3" t="n"/>
      <c r="AQ66" s="3" t="n"/>
      <c r="AR66" s="3" t="n"/>
      <c r="AS66" s="3" t="n"/>
      <c r="AT66" s="3" t="n"/>
      <c r="AU66" s="3" t="n"/>
      <c r="AV66" s="3" t="n"/>
      <c r="AW66" s="3" t="n"/>
      <c r="AX66" s="3" t="n"/>
      <c r="AY66" s="3" t="n"/>
      <c r="AZ66" s="3" t="n"/>
      <c r="BA66" s="3" t="n"/>
      <c r="BB66" s="3" t="n"/>
      <c r="BC66" s="3" t="n"/>
      <c r="BD66" s="3" t="n"/>
      <c r="BE66" s="3" t="n"/>
      <c r="BF66" s="3" t="n"/>
      <c r="BG66" s="3" t="n"/>
      <c r="BH66" s="3" t="n"/>
      <c r="BI66" s="3" t="n"/>
      <c r="BJ66" s="3" t="n"/>
      <c r="BK66" s="3" t="n"/>
      <c r="BL66" s="3" t="n"/>
      <c r="BM66" s="3" t="n"/>
      <c r="BN66" s="3" t="n"/>
      <c r="BO66" s="3" t="n"/>
      <c r="BP66" s="3" t="n"/>
      <c r="BQ66" s="3" t="n"/>
      <c r="BR66" s="3" t="n"/>
      <c r="BS66" s="3" t="n"/>
      <c r="BT66" s="3" t="n"/>
      <c r="BU66" s="3" t="n"/>
      <c r="BV66" s="3" t="n"/>
      <c r="BW66" s="3" t="n"/>
      <c r="BX66" s="3" t="n"/>
      <c r="BY66" s="3" t="n"/>
      <c r="BZ66" s="3" t="n"/>
      <c r="CA66" s="3" t="n"/>
      <c r="CB66" s="3" t="n"/>
      <c r="CC66" s="3" t="n"/>
      <c r="CD66" s="3" t="n"/>
      <c r="CE66" s="3" t="n"/>
      <c r="CF66" s="3" t="n"/>
      <c r="CG66" s="3" t="n"/>
      <c r="CH66" s="3" t="n"/>
      <c r="CI66" s="3" t="n"/>
      <c r="CJ66" s="3" t="n"/>
      <c r="CK66" s="3" t="n"/>
      <c r="CL66" s="3" t="n"/>
      <c r="CM66" s="3" t="n"/>
      <c r="CN66" s="3" t="n"/>
      <c r="CO66" s="3" t="n"/>
      <c r="CP66" s="3" t="n"/>
      <c r="CQ66" s="3" t="n"/>
      <c r="CR66" s="3" t="n"/>
      <c r="CS66" s="3" t="n"/>
      <c r="CT66" s="3" t="n"/>
      <c r="CU66" s="3" t="n"/>
      <c r="CV66" s="3" t="n"/>
      <c r="CW66" s="3" t="n"/>
      <c r="CX66" s="3" t="n"/>
      <c r="CY66" s="3" t="n"/>
    </row>
    <row r="67" collapsed="1" customFormat="1" s="17">
      <c r="A67" s="13" t="n"/>
      <c r="B67" s="1" t="n"/>
      <c r="C67" s="14" t="inlineStr">
        <is>
          <t>Operating Profit - EBIT</t>
        </is>
      </c>
      <c r="D67" s="16">
        <f>SUM(D63,D64)</f>
        <v>283</v>
      </c>
      <c r="E67" s="16">
        <f>SUM(E63,E64)</f>
        <v>327</v>
      </c>
      <c r="F67" s="16">
        <f>SUM(F63,F64)</f>
        <v>809</v>
      </c>
      <c r="G67" s="16">
        <f>SUM(G63,G64)</f>
        <v>575</v>
      </c>
      <c r="H67" s="16">
        <f>SUM(D67:G67)</f>
        <v>1994</v>
      </c>
      <c r="I67" s="16">
        <f>SUM(I63,I64)</f>
        <v>594</v>
      </c>
      <c r="J67" s="16">
        <f>SUM(J63,J64)</f>
        <v>1312</v>
      </c>
      <c r="K67" s="16">
        <f>SUM(K63,K64)</f>
        <v>2004</v>
      </c>
      <c r="L67" s="16">
        <f>SUM(L63,L64)</f>
        <v>2613</v>
      </c>
      <c r="M67" s="16">
        <f>SUM(I67:L67)</f>
        <v>6523</v>
      </c>
      <c r="N67" s="16">
        <f>SUM(N63,N64)</f>
        <v>3603</v>
      </c>
      <c r="O67" s="16">
        <f>SUM(O63,O64)</f>
        <v>2464</v>
      </c>
      <c r="P67" s="16">
        <f>SUM(P63,P64)</f>
        <v>3688</v>
      </c>
      <c r="Q67" s="16">
        <f>SUM(Q63,Q64)</f>
        <v>3901</v>
      </c>
      <c r="R67" s="16">
        <f>SUM(N67:Q67)</f>
        <v>13656</v>
      </c>
      <c r="S67" s="16">
        <f>SUM(S63,S64)</f>
        <v>2664</v>
      </c>
      <c r="T67" s="16">
        <f>SUM(T63,T64)</f>
        <v>2399</v>
      </c>
      <c r="U67" s="16">
        <f>SUM(U63,U64)</f>
        <v>1764</v>
      </c>
      <c r="V67" s="16">
        <f>SUM(V63,V64)</f>
        <v>2064</v>
      </c>
      <c r="W67" s="16">
        <f>SUM(S67:V67)</f>
        <v>8891</v>
      </c>
      <c r="X67" s="16">
        <f>SUM(X63,X64)</f>
        <v>1171</v>
      </c>
      <c r="Y67" s="16">
        <f>SUM(Y63,Y64)</f>
        <v>1605</v>
      </c>
      <c r="Z67" s="16">
        <f>SUM(Z63,Z64)</f>
        <v>2717</v>
      </c>
      <c r="AA67" s="16">
        <f>SUM(AA63,AA64)</f>
        <v>1583</v>
      </c>
      <c r="AB67" s="16">
        <f>SUM(X67:AA67)</f>
        <v>7076</v>
      </c>
      <c r="AC67" s="16">
        <f>SUM(AC63,AC64)</f>
        <v>399</v>
      </c>
      <c r="AD67" s="16">
        <f>SUM(AD63,AD64)</f>
        <v>923</v>
      </c>
      <c r="AE67" s="16">
        <f>SUM(AE63,AE64)</f>
        <v>1624</v>
      </c>
      <c r="AF67" s="16">
        <f>SUM(AF63,AF64)</f>
        <v>1409</v>
      </c>
      <c r="AG67" s="16">
        <f>SUM(AC67:AF67)</f>
        <v>4355</v>
      </c>
      <c r="AH67" s="16">
        <f>SUM(AH63,AH64)</f>
        <v>941</v>
      </c>
      <c r="AI67" s="16">
        <f>SUM(AI63,AI64)</f>
        <v>398</v>
      </c>
      <c r="AJ67" s="16">
        <f>SUM(AJ63,AJ64)</f>
        <v>0</v>
      </c>
      <c r="AK67" s="16">
        <f>SUM(AK63,AK64)</f>
        <v>0</v>
      </c>
      <c r="AL67" s="16">
        <f>SUM(AL63,AL64)</f>
        <v>1339</v>
      </c>
      <c r="AM67" s="16">
        <f>SUM(AM63,AM64)</f>
        <v>0</v>
      </c>
      <c r="AN67" s="16">
        <f>SUM(AN63,AN64)</f>
        <v>0</v>
      </c>
      <c r="AO67" s="16">
        <f>SUM(AO63,AO64)</f>
        <v>0</v>
      </c>
      <c r="AP67" s="16">
        <f>SUM(AP63,AP64)</f>
        <v>0</v>
      </c>
      <c r="AQ67" s="16">
        <f>SUM(AQ63,AQ64)</f>
        <v>0</v>
      </c>
      <c r="AR67" s="16">
        <f>SUM(AR63,AR64)</f>
        <v>0</v>
      </c>
      <c r="AS67" s="16">
        <f>SUM(AS63,AS64)</f>
        <v>0</v>
      </c>
      <c r="AT67" s="16">
        <f>SUM(AT63,AT64)</f>
        <v>0</v>
      </c>
      <c r="AU67" s="16">
        <f>SUM(AU63,AU64)</f>
        <v>0</v>
      </c>
      <c r="AV67" s="16">
        <f>SUM(AV63,AV64)</f>
        <v>0</v>
      </c>
      <c r="AW67" s="16">
        <f>SUM(AW63,AW64)</f>
        <v>0</v>
      </c>
      <c r="AX67" s="16">
        <f>SUM(AX63,AX64)</f>
        <v>0</v>
      </c>
      <c r="AY67" s="16">
        <f>SUM(AY63,AY64)</f>
        <v>0</v>
      </c>
      <c r="AZ67" s="16">
        <f>SUM(AZ63,AZ64)</f>
        <v>0</v>
      </c>
      <c r="BA67" s="16">
        <f>SUM(BA63,BA64)</f>
        <v>0</v>
      </c>
      <c r="BB67" s="16">
        <f>SUM(BB63,BB64)</f>
        <v>0</v>
      </c>
      <c r="BC67" s="16">
        <f>SUM(BC63,BC64)</f>
        <v>0</v>
      </c>
      <c r="BD67" s="16">
        <f>SUM(BD63,BD64)</f>
        <v>0</v>
      </c>
      <c r="BE67" s="16">
        <f>SUM(BE63,BE64)</f>
        <v>0</v>
      </c>
      <c r="BF67" s="16">
        <f>SUM(BF63,BF64)</f>
        <v>0</v>
      </c>
      <c r="BG67" s="16">
        <f>SUM(BG63,BG64)</f>
        <v>0</v>
      </c>
      <c r="BH67" s="16">
        <f>SUM(BH63,BH64)</f>
        <v>0</v>
      </c>
      <c r="BI67" s="16">
        <f>SUM(BI63,BI64)</f>
        <v>0</v>
      </c>
      <c r="BJ67" s="16">
        <f>SUM(BJ63,BJ64)</f>
        <v>0</v>
      </c>
      <c r="BK67" s="16">
        <f>SUM(BK63,BK64)</f>
        <v>0</v>
      </c>
      <c r="BL67" s="16">
        <f>SUM(BL63,BL64)</f>
        <v>0</v>
      </c>
      <c r="BM67" s="16">
        <f>SUM(BM63,BM64)</f>
        <v>0</v>
      </c>
      <c r="BN67" s="16">
        <f>SUM(BN63,BN64)</f>
        <v>0</v>
      </c>
      <c r="BO67" s="16">
        <f>SUM(BO63,BO64)</f>
        <v>0</v>
      </c>
      <c r="BP67" s="16">
        <f>SUM(BP63,BP64)</f>
        <v>0</v>
      </c>
      <c r="BQ67" s="16">
        <f>SUM(BQ63,BQ64)</f>
        <v>0</v>
      </c>
      <c r="BR67" s="16">
        <f>SUM(BR63,BR64)</f>
        <v>0</v>
      </c>
      <c r="BS67" s="16">
        <f>SUM(BS63,BS64)</f>
        <v>0</v>
      </c>
      <c r="BT67" s="16">
        <f>SUM(BT63,BT64)</f>
        <v>0</v>
      </c>
      <c r="BU67" s="16">
        <f>SUM(BU63,BU64)</f>
        <v>0</v>
      </c>
      <c r="BV67" s="16">
        <f>SUM(BV63,BV64)</f>
        <v>0</v>
      </c>
      <c r="BW67" s="16">
        <f>SUM(BW63,BW64)</f>
        <v>0</v>
      </c>
      <c r="BX67" s="16">
        <f>SUM(BX63,BX64)</f>
        <v>0</v>
      </c>
      <c r="BY67" s="16">
        <f>SUM(BY63,BY64)</f>
        <v>0</v>
      </c>
      <c r="BZ67" s="16">
        <f>SUM(BZ63,BZ64)</f>
        <v>0</v>
      </c>
      <c r="CA67" s="16">
        <f>SUM(CA63,CA64)</f>
        <v>0</v>
      </c>
      <c r="CB67" s="16">
        <f>SUM(CB63,CB64)</f>
        <v>0</v>
      </c>
      <c r="CC67" s="16">
        <f>SUM(CC63,CC64)</f>
        <v>0</v>
      </c>
      <c r="CD67" s="16">
        <f>SUM(CD63,CD64)</f>
        <v>0</v>
      </c>
      <c r="CE67" s="16">
        <f>SUM(CE63,CE64)</f>
        <v>0</v>
      </c>
      <c r="CF67" s="16">
        <f>SUM(CF63,CF64)</f>
        <v>0</v>
      </c>
      <c r="CG67" s="16">
        <f>SUM(CG63,CG64)</f>
        <v>0</v>
      </c>
      <c r="CH67" s="16">
        <f>SUM(CH63,CH64)</f>
        <v>0</v>
      </c>
      <c r="CI67" s="16">
        <f>SUM(CI63,CI64)</f>
        <v>0</v>
      </c>
      <c r="CJ67" s="16">
        <f>SUM(CJ63,CJ64)</f>
        <v>0</v>
      </c>
      <c r="CK67" s="16">
        <f>SUM(CK63,CK64)</f>
        <v>0</v>
      </c>
      <c r="CL67" s="16">
        <f>SUM(CL63,CL64)</f>
        <v>0</v>
      </c>
      <c r="CM67" s="16">
        <f>SUM(CM63,CM64)</f>
        <v>0</v>
      </c>
      <c r="CN67" s="16">
        <f>SUM(CN63,CN64)</f>
        <v>0</v>
      </c>
      <c r="CO67" s="16">
        <f>SUM(CO63,CO64)</f>
        <v>0</v>
      </c>
      <c r="CP67" s="16">
        <f>SUM(CP63,CP64)</f>
        <v>0</v>
      </c>
      <c r="CQ67" s="16">
        <f>SUM(CQ63,CQ64)</f>
        <v>0</v>
      </c>
      <c r="CR67" s="16">
        <f>SUM(CR63,CR64)</f>
        <v>0</v>
      </c>
      <c r="CS67" s="16">
        <f>SUM(CS63,CS64)</f>
        <v>0</v>
      </c>
      <c r="CT67" s="16">
        <f>SUM(CT63,CT64)</f>
        <v>0</v>
      </c>
      <c r="CU67" s="16">
        <f>SUM(CU63,CU64)</f>
        <v>0</v>
      </c>
      <c r="CV67" s="16">
        <f>SUM(CV63,CV64)</f>
        <v>0</v>
      </c>
      <c r="CW67" s="16">
        <f>SUM(CW63,CW64)</f>
        <v>0</v>
      </c>
      <c r="CX67" s="16">
        <f>SUM(CX63,CX64)</f>
        <v>0</v>
      </c>
      <c r="CY67" s="16">
        <f>SUM(CY63,CY64)</f>
        <v>0</v>
      </c>
    </row>
    <row r="68">
      <c r="C68" s="26" t="inlineStr">
        <is>
          <t>Interest Expense</t>
        </is>
      </c>
      <c r="D68" s="25">
        <f>INDEX('Inputs (2)'!$D$8:$AL$8,MATCH(D$7,'Inputs (2)'!$D$2:$AL$2,0))</f>
        <v>-169</v>
      </c>
      <c r="E68" s="25">
        <f>INDEX('Inputs (2)'!$D$8:$AL$8,MATCH(E$7,'Inputs (2)'!$D$2:$AL$2,0))</f>
        <v>-170</v>
      </c>
      <c r="F68" s="25">
        <f>INDEX('Inputs (2)'!$D$8:$AL$8,MATCH(F$7,'Inputs (2)'!$D$2:$AL$2,0))</f>
        <v>-163</v>
      </c>
      <c r="G68" s="25">
        <f>INDEX('Inputs (2)'!$D$8:$AL$8,MATCH(G$7,'Inputs (2)'!$D$2:$AL$2,0))</f>
        <v>-246</v>
      </c>
      <c r="H68" s="3">
        <f>SUM(D68:G68)</f>
        <v>-748</v>
      </c>
      <c r="I68" s="25">
        <f>INDEX('Inputs (2)'!$D$8:$AL$8,MATCH(I$7,'Inputs (2)'!$D$2:$AL$2,0))</f>
        <v>-99</v>
      </c>
      <c r="J68" s="25">
        <f>INDEX('Inputs (2)'!$D$8:$AL$8,MATCH(J$7,'Inputs (2)'!$D$2:$AL$2,0))</f>
        <v>-75</v>
      </c>
      <c r="K68" s="25">
        <f>INDEX('Inputs (2)'!$D$8:$AL$8,MATCH(K$7,'Inputs (2)'!$D$2:$AL$2,0))</f>
        <v>-126</v>
      </c>
      <c r="L68" s="25">
        <f>INDEX('Inputs (2)'!$D$8:$AL$8,MATCH(L$7,'Inputs (2)'!$D$2:$AL$2,0))</f>
        <v>-71</v>
      </c>
      <c r="M68" s="3">
        <f>SUM(I68:L68)</f>
        <v>-371</v>
      </c>
      <c r="N68" s="25">
        <f>INDEX('Inputs (2)'!$D$8:$AL$8,MATCH(N$7,'Inputs (2)'!$D$2:$AL$2,0))</f>
        <v>-61</v>
      </c>
      <c r="O68" s="25">
        <f>INDEX('Inputs (2)'!$D$8:$AL$8,MATCH(O$7,'Inputs (2)'!$D$2:$AL$2,0))</f>
        <v>-44</v>
      </c>
      <c r="P68" s="25">
        <f>INDEX('Inputs (2)'!$D$8:$AL$8,MATCH(P$7,'Inputs (2)'!$D$2:$AL$2,0))</f>
        <v>-53</v>
      </c>
      <c r="Q68" s="25">
        <f>INDEX('Inputs (2)'!$D$8:$AL$8,MATCH(Q$7,'Inputs (2)'!$D$2:$AL$2,0))</f>
        <v>-33</v>
      </c>
      <c r="R68" s="3">
        <f>SUM(N68:Q68)</f>
        <v>-191</v>
      </c>
      <c r="S68" s="25">
        <f>INDEX('Inputs (2)'!$D$8:$AL$8,MATCH(S$7,'Inputs (2)'!$D$2:$AL$2,0))</f>
        <v>-29</v>
      </c>
      <c r="T68" s="25">
        <f>INDEX('Inputs (2)'!$D$8:$AL$8,MATCH(T$7,'Inputs (2)'!$D$2:$AL$2,0))</f>
        <v>-28</v>
      </c>
      <c r="U68" s="25">
        <f>INDEX('Inputs (2)'!$D$8:$AL$8,MATCH(U$7,'Inputs (2)'!$D$2:$AL$2,0))</f>
        <v>-38</v>
      </c>
      <c r="V68" s="25">
        <f>INDEX('Inputs (2)'!$D$8:$AL$8,MATCH(V$7,'Inputs (2)'!$D$2:$AL$2,0))</f>
        <v>-61</v>
      </c>
      <c r="W68" s="3">
        <f>SUM(S68:V68)</f>
        <v>-156</v>
      </c>
      <c r="X68" s="25">
        <f>INDEX('Inputs (2)'!$D$8:$AL$8,MATCH(X$7,'Inputs (2)'!$D$2:$AL$2,0))</f>
        <v>-76</v>
      </c>
      <c r="Y68" s="25">
        <f>INDEX('Inputs (2)'!$D$8:$AL$8,MATCH(Y$7,'Inputs (2)'!$D$2:$AL$2,0))</f>
        <v>-86</v>
      </c>
      <c r="Z68" s="25">
        <f>INDEX('Inputs (2)'!$D$8:$AL$8,MATCH(Z$7,'Inputs (2)'!$D$2:$AL$2,0))</f>
        <v>-92</v>
      </c>
      <c r="AA68" s="25">
        <f>INDEX('Inputs (2)'!$D$8:$AL$8,MATCH(AA$7,'Inputs (2)'!$D$2:$AL$2,0))</f>
        <v>-96</v>
      </c>
      <c r="AB68" s="3">
        <f>SUM(X68:AA68)</f>
        <v>-350</v>
      </c>
      <c r="AC68" s="25">
        <f>INDEX('Inputs (2)'!$D$8:$AL$8,MATCH(AC$7,'Inputs (2)'!$D$2:$AL$2,0))</f>
        <v>-91</v>
      </c>
      <c r="AD68" s="25">
        <f>INDEX('Inputs (2)'!$D$8:$AL$8,MATCH(AD$7,'Inputs (2)'!$D$2:$AL$2,0))</f>
        <v>-86</v>
      </c>
      <c r="AE68" s="25">
        <f>INDEX('Inputs (2)'!$D$8:$AL$8,MATCH(AE$7,'Inputs (2)'!$D$2:$AL$2,0))</f>
        <v>-76</v>
      </c>
      <c r="AF68" s="25">
        <f>INDEX('Inputs (2)'!$D$8:$AL$8,MATCH(AF$7,'Inputs (2)'!$D$2:$AL$2,0))</f>
        <v>-85</v>
      </c>
      <c r="AG68" s="3">
        <f>SUM(AC68:AF68)</f>
        <v>-338</v>
      </c>
      <c r="AH68" s="3">
        <f>INDEX('Inputs (2)'!$D$8:$AL$8,MATCH(AH$7,'Inputs (2)'!$D$2:$AL$2,0))</f>
        <v>-92</v>
      </c>
      <c r="AI68" s="3">
        <f>INDEX('Inputs (2)'!$D$8:$AL$8,MATCH(AI$7,'Inputs (2)'!$D$2:$AL$2,0))</f>
        <v>-81</v>
      </c>
      <c r="AJ68" s="3" t="n"/>
      <c r="AK68" s="3" t="n"/>
      <c r="AL68" s="3">
        <f>SUM(AH68:AK68)</f>
        <v>-173</v>
      </c>
      <c r="AM68" s="3" t="n"/>
      <c r="AN68" s="3" t="n"/>
      <c r="AO68" s="3" t="n"/>
      <c r="AP68" s="3" t="n"/>
      <c r="AQ68" s="3">
        <f>SUM(AM68:AP68)</f>
        <v>0</v>
      </c>
      <c r="AR68" s="3" t="n"/>
      <c r="AS68" s="3" t="n"/>
      <c r="AT68" s="3" t="n"/>
      <c r="AU68" s="3" t="n"/>
      <c r="AV68" s="3">
        <f>SUM(AR68:AU68)</f>
        <v>0</v>
      </c>
      <c r="AW68" s="3" t="n"/>
      <c r="AX68" s="3" t="n"/>
      <c r="AY68" s="3" t="n"/>
      <c r="AZ68" s="3" t="n"/>
      <c r="BA68" s="3">
        <f>SUM(AW68:AZ68)</f>
        <v>0</v>
      </c>
      <c r="BB68" s="3" t="n"/>
      <c r="BC68" s="3" t="n"/>
      <c r="BD68" s="3" t="n"/>
      <c r="BE68" s="3" t="n"/>
      <c r="BF68" s="3">
        <f>SUM(BB68:BE68)</f>
        <v>0</v>
      </c>
      <c r="BG68" s="3" t="n"/>
      <c r="BH68" s="3" t="n"/>
      <c r="BI68" s="3" t="n"/>
      <c r="BJ68" s="3" t="n"/>
      <c r="BK68" s="3">
        <f>SUM(BG68:BJ68)</f>
        <v>0</v>
      </c>
      <c r="BL68" s="3" t="n"/>
      <c r="BM68" s="3" t="n"/>
      <c r="BN68" s="3" t="n"/>
      <c r="BO68" s="3" t="n"/>
      <c r="BP68" s="3">
        <f>SUM(BL68:BO68)</f>
        <v>0</v>
      </c>
      <c r="BQ68" s="3" t="n"/>
      <c r="BR68" s="3" t="n"/>
      <c r="BS68" s="3" t="n"/>
      <c r="BT68" s="3" t="n"/>
      <c r="BU68" s="3">
        <f>SUM(BQ68:BT68)</f>
        <v>0</v>
      </c>
      <c r="BV68" s="3" t="n"/>
      <c r="BW68" s="3" t="n"/>
      <c r="BX68" s="3" t="n"/>
      <c r="BY68" s="3" t="n"/>
      <c r="BZ68" s="3">
        <f>SUM(BV68:BY68)</f>
        <v>0</v>
      </c>
      <c r="CA68" s="3" t="n"/>
      <c r="CB68" s="3" t="n"/>
      <c r="CC68" s="3" t="n"/>
      <c r="CD68" s="3" t="n"/>
      <c r="CE68" s="3">
        <f>SUM(CA68:CD68)</f>
        <v>0</v>
      </c>
      <c r="CF68" s="3" t="n"/>
      <c r="CG68" s="3" t="n"/>
      <c r="CH68" s="3" t="n"/>
      <c r="CI68" s="3" t="n"/>
      <c r="CJ68" s="3">
        <f>SUM(CF68:CI68)</f>
        <v>0</v>
      </c>
      <c r="CK68" s="3" t="n"/>
      <c r="CL68" s="3" t="n"/>
      <c r="CM68" s="3" t="n"/>
      <c r="CN68" s="3" t="n"/>
      <c r="CO68" s="3">
        <f>SUM(CK68:CN68)</f>
        <v>0</v>
      </c>
      <c r="CP68" s="3" t="n"/>
      <c r="CQ68" s="3" t="n"/>
      <c r="CR68" s="3" t="n"/>
      <c r="CS68" s="3" t="n"/>
      <c r="CT68" s="3">
        <f>SUM(CP68:CS68)</f>
        <v>0</v>
      </c>
      <c r="CU68" s="3" t="n"/>
      <c r="CV68" s="3" t="n"/>
      <c r="CW68" s="3" t="n"/>
      <c r="CX68" s="3" t="n"/>
      <c r="CY68" s="3">
        <f>SUM(CU68:CX68)</f>
        <v>0</v>
      </c>
    </row>
    <row r="69" hidden="1" outlineLevel="1">
      <c r="C69" s="32" t="inlineStr">
        <is>
          <t>% of Debt</t>
        </is>
      </c>
      <c r="D69" s="48">
        <f>IFERROR(-D68/SUM(D206+D211),0)</f>
        <v>0</v>
      </c>
      <c r="E69" s="48">
        <f>IFERROR(-E68/SUM(E206+E211),0)</f>
        <v>0</v>
      </c>
      <c r="F69" s="48">
        <f>IFERROR(-F68/SUM(F206+F211),0)</f>
        <v>0</v>
      </c>
      <c r="G69" s="48">
        <f>IFERROR(-G68/SUM(G206+G211),0)</f>
        <v>0</v>
      </c>
      <c r="H69" s="3" t="n"/>
      <c r="I69" s="48">
        <f>IFERROR(-I68/SUM(I206+I211),0)</f>
        <v>0</v>
      </c>
      <c r="J69" s="48">
        <f>IFERROR(-J68/SUM(J206+J211),0)</f>
        <v>0</v>
      </c>
      <c r="K69" s="48">
        <f>IFERROR(-K68/SUM(K206+K211),0)</f>
        <v>0</v>
      </c>
      <c r="L69" s="48">
        <f>IFERROR(-L68/SUM(L206+L211),0)</f>
        <v>0</v>
      </c>
      <c r="M69" s="3" t="n"/>
      <c r="N69" s="48">
        <f>IFERROR(-N68/SUM(N206+N211),0)</f>
        <v>0</v>
      </c>
      <c r="O69" s="48">
        <f>IFERROR(-O68/SUM(O206+O211),0)</f>
        <v>0</v>
      </c>
      <c r="P69" s="48">
        <f>IFERROR(-P68/SUM(P206+P211),0)</f>
        <v>0</v>
      </c>
      <c r="Q69" s="48">
        <f>IFERROR(-Q68/SUM(Q206+Q211),0)</f>
        <v>0</v>
      </c>
      <c r="R69" s="3" t="n"/>
      <c r="S69" s="48">
        <f>IFERROR(-S68/SUM(S206+S211),0)</f>
        <v>0</v>
      </c>
      <c r="T69" s="48">
        <f>IFERROR(-T68/SUM(T206+T211),0)</f>
        <v>0</v>
      </c>
      <c r="U69" s="48">
        <f>IFERROR(-U68/SUM(U206+U211),0)</f>
        <v>0</v>
      </c>
      <c r="V69" s="48">
        <f>IFERROR(-V68/SUM(V206+V211),0)</f>
        <v>0</v>
      </c>
      <c r="W69" s="3" t="n"/>
      <c r="X69" s="48">
        <f>IFERROR(-X68/SUM(X206+X211),0)</f>
        <v>0</v>
      </c>
      <c r="Y69" s="48">
        <f>IFERROR(-Y68/SUM(Y206+Y211),0)</f>
        <v>0</v>
      </c>
      <c r="Z69" s="48">
        <f>IFERROR(-Z68/SUM(Z206+Z211),0)</f>
        <v>0</v>
      </c>
      <c r="AA69" s="48">
        <f>IFERROR(-AA68/SUM(AA206+AA211),0)</f>
        <v>0</v>
      </c>
      <c r="AB69" s="3" t="n"/>
      <c r="AC69" s="48">
        <f>IFERROR(-AC68/SUM(AC206+AC211),0)</f>
        <v>0</v>
      </c>
      <c r="AD69" s="48">
        <f>IFERROR(-AD68/SUM(AD206+AD211),0)</f>
        <v>0</v>
      </c>
      <c r="AE69" s="48">
        <f>IFERROR(-AE68/SUM(AE206+AE211),0)</f>
        <v>0</v>
      </c>
      <c r="AF69" s="231">
        <f>IFERROR(-AF68/SUM(AF206+AF211),0)</f>
        <v>0</v>
      </c>
      <c r="AG69" s="3" t="n"/>
      <c r="AH69" s="6">
        <f>IFERROR(-AH68/SUM(AH206+AH211),0)</f>
        <v>0</v>
      </c>
      <c r="AI69" s="6">
        <f>IFERROR(-AI68/SUM(AI206+AI211),0)</f>
        <v>0</v>
      </c>
      <c r="AJ69" s="6" t="n"/>
      <c r="AK69" s="6" t="n"/>
      <c r="AL69" s="3" t="n"/>
      <c r="AM69" s="6" t="n"/>
      <c r="AN69" s="6" t="n"/>
      <c r="AO69" s="6" t="n"/>
      <c r="AP69" s="6" t="n"/>
      <c r="AQ69" s="3" t="n"/>
      <c r="AR69" s="6" t="n"/>
      <c r="AS69" s="6" t="n"/>
      <c r="AT69" s="6" t="n"/>
      <c r="AU69" s="6" t="n"/>
      <c r="AV69" s="3" t="n"/>
      <c r="AW69" s="6" t="n"/>
      <c r="AX69" s="6" t="n"/>
      <c r="AY69" s="6" t="n"/>
      <c r="AZ69" s="6" t="n"/>
      <c r="BA69" s="3" t="n"/>
      <c r="BB69" s="6" t="n"/>
      <c r="BC69" s="6" t="n"/>
      <c r="BD69" s="6" t="n"/>
      <c r="BE69" s="6" t="n"/>
      <c r="BF69" s="3" t="n"/>
      <c r="BG69" s="6" t="n"/>
      <c r="BH69" s="6" t="n"/>
      <c r="BI69" s="6" t="n"/>
      <c r="BJ69" s="6" t="n"/>
      <c r="BK69" s="3" t="n"/>
      <c r="BL69" s="6" t="n"/>
      <c r="BM69" s="6" t="n"/>
      <c r="BN69" s="6" t="n"/>
      <c r="BO69" s="6" t="n"/>
      <c r="BP69" s="3" t="n"/>
      <c r="BQ69" s="6" t="n"/>
      <c r="BR69" s="6" t="n"/>
      <c r="BS69" s="6" t="n"/>
      <c r="BT69" s="6" t="n"/>
      <c r="BU69" s="3" t="n"/>
      <c r="BV69" s="6" t="n"/>
      <c r="BW69" s="6" t="n"/>
      <c r="BX69" s="6" t="n"/>
      <c r="BY69" s="6" t="n"/>
      <c r="BZ69" s="3" t="n"/>
      <c r="CA69" s="6" t="n"/>
      <c r="CB69" s="6" t="n"/>
      <c r="CC69" s="6" t="n"/>
      <c r="CD69" s="6" t="n"/>
      <c r="CE69" s="3" t="n"/>
      <c r="CF69" s="6" t="n"/>
      <c r="CG69" s="6" t="n"/>
      <c r="CH69" s="6" t="n"/>
      <c r="CI69" s="6" t="n"/>
      <c r="CJ69" s="3" t="n"/>
      <c r="CK69" s="6" t="n"/>
      <c r="CL69" s="6" t="n"/>
      <c r="CM69" s="6" t="n"/>
      <c r="CN69" s="6" t="n"/>
      <c r="CO69" s="3" t="n"/>
      <c r="CP69" s="6" t="n"/>
      <c r="CQ69" s="6" t="n"/>
      <c r="CR69" s="6" t="n"/>
      <c r="CS69" s="6" t="n"/>
      <c r="CT69" s="3" t="n"/>
      <c r="CU69" s="6" t="n"/>
      <c r="CV69" s="6" t="n"/>
      <c r="CW69" s="6" t="n"/>
      <c r="CX69" s="6" t="n"/>
      <c r="CY69" s="3" t="n"/>
    </row>
    <row r="70" hidden="1" outlineLevel="1">
      <c r="C70" s="32" t="inlineStr">
        <is>
          <t>%CDI</t>
        </is>
      </c>
      <c r="D70" s="6" t="n"/>
      <c r="E70" s="6" t="n"/>
      <c r="F70" s="6" t="n"/>
      <c r="G70" s="6" t="n"/>
      <c r="H70" s="3" t="n"/>
      <c r="I70" s="6" t="n"/>
      <c r="J70" s="6" t="n"/>
      <c r="K70" s="6" t="n"/>
      <c r="L70" s="6" t="n"/>
      <c r="M70" s="3" t="n"/>
      <c r="N70" s="6" t="n"/>
      <c r="O70" s="6" t="n"/>
      <c r="P70" s="6" t="n"/>
      <c r="Q70" s="6" t="n"/>
      <c r="R70" s="3" t="n"/>
      <c r="S70" s="6" t="n"/>
      <c r="T70" s="6" t="n"/>
      <c r="U70" s="6" t="n"/>
      <c r="V70" s="6" t="n"/>
      <c r="W70" s="3" t="n"/>
      <c r="X70" s="6" t="n"/>
      <c r="Y70" s="6" t="n"/>
      <c r="Z70" s="6" t="n"/>
      <c r="AA70" s="6" t="n"/>
      <c r="AB70" s="3" t="n"/>
      <c r="AC70" s="6" t="n"/>
      <c r="AD70" s="6" t="n"/>
      <c r="AE70" s="6" t="n"/>
      <c r="AF70" s="6" t="n"/>
      <c r="AG70" s="3" t="n"/>
      <c r="AH70" s="6" t="n"/>
      <c r="AI70" s="6" t="n"/>
      <c r="AJ70" s="6" t="n"/>
      <c r="AK70" s="6" t="n"/>
      <c r="AL70" s="3" t="n"/>
      <c r="AM70" s="6" t="n"/>
      <c r="AN70" s="6" t="n"/>
      <c r="AO70" s="6" t="n"/>
      <c r="AP70" s="6" t="n"/>
      <c r="AQ70" s="3" t="n"/>
      <c r="AR70" s="6" t="n"/>
      <c r="AS70" s="6" t="n"/>
      <c r="AT70" s="6" t="n"/>
      <c r="AU70" s="6" t="n"/>
      <c r="AV70" s="3" t="n"/>
      <c r="AW70" s="6" t="n"/>
      <c r="AX70" s="6" t="n"/>
      <c r="AY70" s="6" t="n"/>
      <c r="AZ70" s="6" t="n"/>
      <c r="BA70" s="3" t="n"/>
      <c r="BB70" s="6" t="n"/>
      <c r="BC70" s="6" t="n"/>
      <c r="BD70" s="6" t="n"/>
      <c r="BE70" s="6" t="n"/>
      <c r="BF70" s="3" t="n"/>
      <c r="BG70" s="6" t="n"/>
      <c r="BH70" s="6" t="n"/>
      <c r="BI70" s="6" t="n"/>
      <c r="BJ70" s="6" t="n"/>
      <c r="BK70" s="3" t="n"/>
      <c r="BL70" s="6" t="n"/>
      <c r="BM70" s="6" t="n"/>
      <c r="BN70" s="6" t="n"/>
      <c r="BO70" s="6" t="n"/>
      <c r="BP70" s="3" t="n"/>
      <c r="BQ70" s="6" t="n"/>
      <c r="BR70" s="6" t="n"/>
      <c r="BS70" s="6" t="n"/>
      <c r="BT70" s="6" t="n"/>
      <c r="BU70" s="3" t="n"/>
      <c r="BV70" s="6" t="n"/>
      <c r="BW70" s="6" t="n"/>
      <c r="BX70" s="6" t="n"/>
      <c r="BY70" s="6" t="n"/>
      <c r="BZ70" s="3" t="n"/>
      <c r="CA70" s="6" t="n"/>
      <c r="CB70" s="6" t="n"/>
      <c r="CC70" s="6" t="n"/>
      <c r="CD70" s="6" t="n"/>
      <c r="CE70" s="3" t="n"/>
      <c r="CF70" s="6" t="n"/>
      <c r="CG70" s="6" t="n"/>
      <c r="CH70" s="6" t="n"/>
      <c r="CI70" s="6" t="n"/>
      <c r="CJ70" s="3" t="n"/>
      <c r="CK70" s="6" t="n"/>
      <c r="CL70" s="6" t="n"/>
      <c r="CM70" s="6" t="n"/>
      <c r="CN70" s="6" t="n"/>
      <c r="CO70" s="3" t="n"/>
      <c r="CP70" s="6" t="n"/>
      <c r="CQ70" s="6" t="n"/>
      <c r="CR70" s="6" t="n"/>
      <c r="CS70" s="6" t="n"/>
      <c r="CT70" s="3" t="n"/>
      <c r="CU70" s="6" t="n"/>
      <c r="CV70" s="6" t="n"/>
      <c r="CW70" s="6" t="n"/>
      <c r="CX70" s="6" t="n"/>
      <c r="CY70" s="3" t="n"/>
    </row>
    <row r="71" hidden="1" outlineLevel="1">
      <c r="C71" s="34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n"/>
      <c r="AK71" s="3" t="n"/>
      <c r="AL71" s="3" t="n"/>
      <c r="AM71" s="3" t="n"/>
      <c r="AN71" s="3" t="n"/>
      <c r="AO71" s="3" t="n"/>
      <c r="AP71" s="3" t="n"/>
      <c r="AQ71" s="3" t="n"/>
      <c r="AR71" s="3" t="n"/>
      <c r="AS71" s="3" t="n"/>
      <c r="AT71" s="3" t="n"/>
      <c r="AU71" s="3" t="n"/>
      <c r="AV71" s="3" t="n"/>
      <c r="AW71" s="3" t="n"/>
      <c r="AX71" s="3" t="n"/>
      <c r="AY71" s="3" t="n"/>
      <c r="AZ71" s="3" t="n"/>
      <c r="BA71" s="3" t="n"/>
      <c r="BB71" s="3" t="n"/>
      <c r="BC71" s="3" t="n"/>
      <c r="BD71" s="3" t="n"/>
      <c r="BE71" s="3" t="n"/>
      <c r="BF71" s="3" t="n"/>
      <c r="BG71" s="3" t="n"/>
      <c r="BH71" s="3" t="n"/>
      <c r="BI71" s="3" t="n"/>
      <c r="BJ71" s="3" t="n"/>
      <c r="BK71" s="3" t="n"/>
      <c r="BL71" s="3" t="n"/>
      <c r="BM71" s="3" t="n"/>
      <c r="BN71" s="3" t="n"/>
      <c r="BO71" s="3" t="n"/>
      <c r="BP71" s="3" t="n"/>
      <c r="BQ71" s="3" t="n"/>
      <c r="BR71" s="3" t="n"/>
      <c r="BS71" s="3" t="n"/>
      <c r="BT71" s="3" t="n"/>
      <c r="BU71" s="3" t="n"/>
      <c r="BV71" s="3" t="n"/>
      <c r="BW71" s="3" t="n"/>
      <c r="BX71" s="3" t="n"/>
      <c r="BY71" s="3" t="n"/>
      <c r="BZ71" s="3" t="n"/>
      <c r="CA71" s="3" t="n"/>
      <c r="CB71" s="3" t="n"/>
      <c r="CC71" s="3" t="n"/>
      <c r="CD71" s="3" t="n"/>
      <c r="CE71" s="3" t="n"/>
      <c r="CF71" s="3" t="n"/>
      <c r="CG71" s="3" t="n"/>
      <c r="CH71" s="3" t="n"/>
      <c r="CI71" s="3" t="n"/>
      <c r="CJ71" s="3" t="n"/>
      <c r="CK71" s="3" t="n"/>
      <c r="CL71" s="3" t="n"/>
      <c r="CM71" s="3" t="n"/>
      <c r="CN71" s="3" t="n"/>
      <c r="CO71" s="3" t="n"/>
      <c r="CP71" s="3" t="n"/>
      <c r="CQ71" s="3" t="n"/>
      <c r="CR71" s="3" t="n"/>
      <c r="CS71" s="3" t="n"/>
      <c r="CT71" s="3" t="n"/>
      <c r="CU71" s="3" t="n"/>
      <c r="CV71" s="3" t="n"/>
      <c r="CW71" s="3" t="n"/>
      <c r="CX71" s="3" t="n"/>
      <c r="CY71" s="3" t="n"/>
    </row>
    <row r="72" hidden="1" outlineLevel="1">
      <c r="C72" s="34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  <c r="AJ72" s="3" t="n"/>
      <c r="AK72" s="3" t="n"/>
      <c r="AL72" s="3" t="n"/>
      <c r="AM72" s="3" t="n"/>
      <c r="AN72" s="3" t="n"/>
      <c r="AO72" s="3" t="n"/>
      <c r="AP72" s="3" t="n"/>
      <c r="AQ72" s="3" t="n"/>
      <c r="AR72" s="3" t="n"/>
      <c r="AS72" s="3" t="n"/>
      <c r="AT72" s="3" t="n"/>
      <c r="AU72" s="3" t="n"/>
      <c r="AV72" s="3" t="n"/>
      <c r="AW72" s="3" t="n"/>
      <c r="AX72" s="3" t="n"/>
      <c r="AY72" s="3" t="n"/>
      <c r="AZ72" s="3" t="n"/>
      <c r="BA72" s="3" t="n"/>
      <c r="BB72" s="3" t="n"/>
      <c r="BC72" s="3" t="n"/>
      <c r="BD72" s="3" t="n"/>
      <c r="BE72" s="3" t="n"/>
      <c r="BF72" s="3" t="n"/>
      <c r="BG72" s="3" t="n"/>
      <c r="BH72" s="3" t="n"/>
      <c r="BI72" s="3" t="n"/>
      <c r="BJ72" s="3" t="n"/>
      <c r="BK72" s="3" t="n"/>
      <c r="BL72" s="3" t="n"/>
      <c r="BM72" s="3" t="n"/>
      <c r="BN72" s="3" t="n"/>
      <c r="BO72" s="3" t="n"/>
      <c r="BP72" s="3" t="n"/>
      <c r="BQ72" s="3" t="n"/>
      <c r="BR72" s="3" t="n"/>
      <c r="BS72" s="3" t="n"/>
      <c r="BT72" s="3" t="n"/>
      <c r="BU72" s="3" t="n"/>
      <c r="BV72" s="3" t="n"/>
      <c r="BW72" s="3" t="n"/>
      <c r="BX72" s="3" t="n"/>
      <c r="BY72" s="3" t="n"/>
      <c r="BZ72" s="3" t="n"/>
      <c r="CA72" s="3" t="n"/>
      <c r="CB72" s="3" t="n"/>
      <c r="CC72" s="3" t="n"/>
      <c r="CD72" s="3" t="n"/>
      <c r="CE72" s="3" t="n"/>
      <c r="CF72" s="3" t="n"/>
      <c r="CG72" s="3" t="n"/>
      <c r="CH72" s="3" t="n"/>
      <c r="CI72" s="3" t="n"/>
      <c r="CJ72" s="3" t="n"/>
      <c r="CK72" s="3" t="n"/>
      <c r="CL72" s="3" t="n"/>
      <c r="CM72" s="3" t="n"/>
      <c r="CN72" s="3" t="n"/>
      <c r="CO72" s="3" t="n"/>
      <c r="CP72" s="3" t="n"/>
      <c r="CQ72" s="3" t="n"/>
      <c r="CR72" s="3" t="n"/>
      <c r="CS72" s="3" t="n"/>
      <c r="CT72" s="3" t="n"/>
      <c r="CU72" s="3" t="n"/>
      <c r="CV72" s="3" t="n"/>
      <c r="CW72" s="3" t="n"/>
      <c r="CX72" s="3" t="n"/>
      <c r="CY72" s="3" t="n"/>
    </row>
    <row r="73" hidden="1" outlineLevel="1">
      <c r="C73" s="34" t="inlineStr">
        <is>
          <t>RECEITA FINANCEIRA</t>
        </is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  <c r="AJ73" s="3" t="n"/>
      <c r="AK73" s="3" t="n"/>
      <c r="AL73" s="3" t="n"/>
      <c r="AM73" s="3" t="n"/>
      <c r="AN73" s="3" t="n"/>
      <c r="AO73" s="3" t="n"/>
      <c r="AP73" s="3" t="n"/>
      <c r="AQ73" s="3" t="n"/>
      <c r="AR73" s="3" t="n"/>
      <c r="AS73" s="3" t="n"/>
      <c r="AT73" s="3" t="n"/>
      <c r="AU73" s="3" t="n"/>
      <c r="AV73" s="3" t="n"/>
      <c r="AW73" s="3" t="n"/>
      <c r="AX73" s="3" t="n"/>
      <c r="AY73" s="3" t="n"/>
      <c r="AZ73" s="3" t="n"/>
      <c r="BA73" s="3" t="n"/>
      <c r="BB73" s="3" t="n"/>
      <c r="BC73" s="3" t="n"/>
      <c r="BD73" s="3" t="n"/>
      <c r="BE73" s="3" t="n"/>
      <c r="BF73" s="3" t="n"/>
      <c r="BG73" s="3" t="n"/>
      <c r="BH73" s="3" t="n"/>
      <c r="BI73" s="3" t="n"/>
      <c r="BJ73" s="3" t="n"/>
      <c r="BK73" s="3" t="n"/>
      <c r="BL73" s="3" t="n"/>
      <c r="BM73" s="3" t="n"/>
      <c r="BN73" s="3" t="n"/>
      <c r="BO73" s="3" t="n"/>
      <c r="BP73" s="3" t="n"/>
      <c r="BQ73" s="3" t="n"/>
      <c r="BR73" s="3" t="n"/>
      <c r="BS73" s="3" t="n"/>
      <c r="BT73" s="3" t="n"/>
      <c r="BU73" s="3" t="n"/>
      <c r="BV73" s="3" t="n"/>
      <c r="BW73" s="3" t="n"/>
      <c r="BX73" s="3" t="n"/>
      <c r="BY73" s="3" t="n"/>
      <c r="BZ73" s="3" t="n"/>
      <c r="CA73" s="3" t="n"/>
      <c r="CB73" s="3" t="n"/>
      <c r="CC73" s="3" t="n"/>
      <c r="CD73" s="3" t="n"/>
      <c r="CE73" s="3" t="n"/>
      <c r="CF73" s="3" t="n"/>
      <c r="CG73" s="3" t="n"/>
      <c r="CH73" s="3" t="n"/>
      <c r="CI73" s="3" t="n"/>
      <c r="CJ73" s="3" t="n"/>
      <c r="CK73" s="3" t="n"/>
      <c r="CL73" s="3" t="n"/>
      <c r="CM73" s="3" t="n"/>
      <c r="CN73" s="3" t="n"/>
      <c r="CO73" s="3" t="n"/>
      <c r="CP73" s="3" t="n"/>
      <c r="CQ73" s="3" t="n"/>
      <c r="CR73" s="3" t="n"/>
      <c r="CS73" s="3" t="n"/>
      <c r="CT73" s="3" t="n"/>
      <c r="CU73" s="3" t="n"/>
      <c r="CV73" s="3" t="n"/>
      <c r="CW73" s="3" t="n"/>
      <c r="CX73" s="3" t="n"/>
      <c r="CY73" s="3" t="n"/>
    </row>
    <row r="74" hidden="1" outlineLevel="1">
      <c r="C74" s="34" t="inlineStr">
        <is>
          <t>DESPESA FINANCEIRA</t>
        </is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n"/>
      <c r="AH74" s="3" t="n"/>
      <c r="AI74" s="3" t="n"/>
      <c r="AJ74" s="3" t="n"/>
      <c r="AK74" s="3" t="n"/>
      <c r="AL74" s="3" t="n"/>
      <c r="AM74" s="3" t="n"/>
      <c r="AN74" s="3" t="n"/>
      <c r="AO74" s="3" t="n"/>
      <c r="AP74" s="3" t="n"/>
      <c r="AQ74" s="3" t="n"/>
      <c r="AR74" s="3" t="n"/>
      <c r="AS74" s="3" t="n"/>
      <c r="AT74" s="3" t="n"/>
      <c r="AU74" s="3" t="n"/>
      <c r="AV74" s="3" t="n"/>
      <c r="AW74" s="3" t="n"/>
      <c r="AX74" s="3" t="n"/>
      <c r="AY74" s="3" t="n"/>
      <c r="AZ74" s="3" t="n"/>
      <c r="BA74" s="3" t="n"/>
      <c r="BB74" s="3" t="n"/>
      <c r="BC74" s="3" t="n"/>
      <c r="BD74" s="3" t="n"/>
      <c r="BE74" s="3" t="n"/>
      <c r="BF74" s="3" t="n"/>
      <c r="BG74" s="3" t="n"/>
      <c r="BH74" s="3" t="n"/>
      <c r="BI74" s="3" t="n"/>
      <c r="BJ74" s="3" t="n"/>
      <c r="BK74" s="3" t="n"/>
      <c r="BL74" s="3" t="n"/>
      <c r="BM74" s="3" t="n"/>
      <c r="BN74" s="3" t="n"/>
      <c r="BO74" s="3" t="n"/>
      <c r="BP74" s="3" t="n"/>
      <c r="BQ74" s="3" t="n"/>
      <c r="BR74" s="3" t="n"/>
      <c r="BS74" s="3" t="n"/>
      <c r="BT74" s="3" t="n"/>
      <c r="BU74" s="3" t="n"/>
      <c r="BV74" s="3" t="n"/>
      <c r="BW74" s="3" t="n"/>
      <c r="BX74" s="3" t="n"/>
      <c r="BY74" s="3" t="n"/>
      <c r="BZ74" s="3" t="n"/>
      <c r="CA74" s="3" t="n"/>
      <c r="CB74" s="3" t="n"/>
      <c r="CC74" s="3" t="n"/>
      <c r="CD74" s="3" t="n"/>
      <c r="CE74" s="3" t="n"/>
      <c r="CF74" s="3" t="n"/>
      <c r="CG74" s="3" t="n"/>
      <c r="CH74" s="3" t="n"/>
      <c r="CI74" s="3" t="n"/>
      <c r="CJ74" s="3" t="n"/>
      <c r="CK74" s="3" t="n"/>
      <c r="CL74" s="3" t="n"/>
      <c r="CM74" s="3" t="n"/>
      <c r="CN74" s="3" t="n"/>
      <c r="CO74" s="3" t="n"/>
      <c r="CP74" s="3" t="n"/>
      <c r="CQ74" s="3" t="n"/>
      <c r="CR74" s="3" t="n"/>
      <c r="CS74" s="3" t="n"/>
      <c r="CT74" s="3" t="n"/>
      <c r="CU74" s="3" t="n"/>
      <c r="CV74" s="3" t="n"/>
      <c r="CW74" s="3" t="n"/>
      <c r="CX74" s="3" t="n"/>
      <c r="CY74" s="3" t="n"/>
    </row>
    <row r="75" hidden="1" outlineLevel="1">
      <c r="C75" s="34" t="inlineStr">
        <is>
          <t>OUTROS</t>
        </is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  <c r="AG75" s="3" t="n"/>
      <c r="AH75" s="3" t="n"/>
      <c r="AI75" s="3" t="n"/>
      <c r="AJ75" s="3" t="n"/>
      <c r="AK75" s="3" t="n"/>
      <c r="AL75" s="3" t="n"/>
      <c r="AM75" s="3" t="n"/>
      <c r="AN75" s="3" t="n"/>
      <c r="AO75" s="3" t="n"/>
      <c r="AP75" s="3" t="n"/>
      <c r="AQ75" s="3" t="n"/>
      <c r="AR75" s="3" t="n"/>
      <c r="AS75" s="3" t="n"/>
      <c r="AT75" s="3" t="n"/>
      <c r="AU75" s="3" t="n"/>
      <c r="AV75" s="3" t="n"/>
      <c r="AW75" s="3" t="n"/>
      <c r="AX75" s="3" t="n"/>
      <c r="AY75" s="3" t="n"/>
      <c r="AZ75" s="3" t="n"/>
      <c r="BA75" s="3" t="n"/>
      <c r="BB75" s="3" t="n"/>
      <c r="BC75" s="3" t="n"/>
      <c r="BD75" s="3" t="n"/>
      <c r="BE75" s="3" t="n"/>
      <c r="BF75" s="3" t="n"/>
      <c r="BG75" s="3" t="n"/>
      <c r="BH75" s="3" t="n"/>
      <c r="BI75" s="3" t="n"/>
      <c r="BJ75" s="3" t="n"/>
      <c r="BK75" s="3" t="n"/>
      <c r="BL75" s="3" t="n"/>
      <c r="BM75" s="3" t="n"/>
      <c r="BN75" s="3" t="n"/>
      <c r="BO75" s="3" t="n"/>
      <c r="BP75" s="3" t="n"/>
      <c r="BQ75" s="3" t="n"/>
      <c r="BR75" s="3" t="n"/>
      <c r="BS75" s="3" t="n"/>
      <c r="BT75" s="3" t="n"/>
      <c r="BU75" s="3" t="n"/>
      <c r="BV75" s="3" t="n"/>
      <c r="BW75" s="3" t="n"/>
      <c r="BX75" s="3" t="n"/>
      <c r="BY75" s="3" t="n"/>
      <c r="BZ75" s="3" t="n"/>
      <c r="CA75" s="3" t="n"/>
      <c r="CB75" s="3" t="n"/>
      <c r="CC75" s="3" t="n"/>
      <c r="CD75" s="3" t="n"/>
      <c r="CE75" s="3" t="n"/>
      <c r="CF75" s="3" t="n"/>
      <c r="CG75" s="3" t="n"/>
      <c r="CH75" s="3" t="n"/>
      <c r="CI75" s="3" t="n"/>
      <c r="CJ75" s="3" t="n"/>
      <c r="CK75" s="3" t="n"/>
      <c r="CL75" s="3" t="n"/>
      <c r="CM75" s="3" t="n"/>
      <c r="CN75" s="3" t="n"/>
      <c r="CO75" s="3" t="n"/>
      <c r="CP75" s="3" t="n"/>
      <c r="CQ75" s="3" t="n"/>
      <c r="CR75" s="3" t="n"/>
      <c r="CS75" s="3" t="n"/>
      <c r="CT75" s="3" t="n"/>
      <c r="CU75" s="3" t="n"/>
      <c r="CV75" s="3" t="n"/>
      <c r="CW75" s="3" t="n"/>
      <c r="CX75" s="3" t="n"/>
      <c r="CY75" s="3" t="n"/>
    </row>
    <row r="76" hidden="1" outlineLevel="1">
      <c r="C76" s="34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3" t="n"/>
      <c r="AH76" s="3" t="n"/>
      <c r="AI76" s="3" t="n"/>
      <c r="AJ76" s="3" t="n"/>
      <c r="AK76" s="3" t="n"/>
      <c r="AL76" s="3" t="n"/>
      <c r="AM76" s="3" t="n"/>
      <c r="AN76" s="3" t="n"/>
      <c r="AO76" s="3" t="n"/>
      <c r="AP76" s="3" t="n"/>
      <c r="AQ76" s="3" t="n"/>
      <c r="AR76" s="3" t="n"/>
      <c r="AS76" s="3" t="n"/>
      <c r="AT76" s="3" t="n"/>
      <c r="AU76" s="3" t="n"/>
      <c r="AV76" s="3" t="n"/>
      <c r="AW76" s="3" t="n"/>
      <c r="AX76" s="3" t="n"/>
      <c r="AY76" s="3" t="n"/>
      <c r="AZ76" s="3" t="n"/>
      <c r="BA76" s="3" t="n"/>
      <c r="BB76" s="3" t="n"/>
      <c r="BC76" s="3" t="n"/>
      <c r="BD76" s="3" t="n"/>
      <c r="BE76" s="3" t="n"/>
      <c r="BF76" s="3" t="n"/>
      <c r="BG76" s="3" t="n"/>
      <c r="BH76" s="3" t="n"/>
      <c r="BI76" s="3" t="n"/>
      <c r="BJ76" s="3" t="n"/>
      <c r="BK76" s="3" t="n"/>
      <c r="BL76" s="3" t="n"/>
      <c r="BM76" s="3" t="n"/>
      <c r="BN76" s="3" t="n"/>
      <c r="BO76" s="3" t="n"/>
      <c r="BP76" s="3" t="n"/>
      <c r="BQ76" s="3" t="n"/>
      <c r="BR76" s="3" t="n"/>
      <c r="BS76" s="3" t="n"/>
      <c r="BT76" s="3" t="n"/>
      <c r="BU76" s="3" t="n"/>
      <c r="BV76" s="3" t="n"/>
      <c r="BW76" s="3" t="n"/>
      <c r="BX76" s="3" t="n"/>
      <c r="BY76" s="3" t="n"/>
      <c r="BZ76" s="3" t="n"/>
      <c r="CA76" s="3" t="n"/>
      <c r="CB76" s="3" t="n"/>
      <c r="CC76" s="3" t="n"/>
      <c r="CD76" s="3" t="n"/>
      <c r="CE76" s="3" t="n"/>
      <c r="CF76" s="3" t="n"/>
      <c r="CG76" s="3" t="n"/>
      <c r="CH76" s="3" t="n"/>
      <c r="CI76" s="3" t="n"/>
      <c r="CJ76" s="3" t="n"/>
      <c r="CK76" s="3" t="n"/>
      <c r="CL76" s="3" t="n"/>
      <c r="CM76" s="3" t="n"/>
      <c r="CN76" s="3" t="n"/>
      <c r="CO76" s="3" t="n"/>
      <c r="CP76" s="3" t="n"/>
      <c r="CQ76" s="3" t="n"/>
      <c r="CR76" s="3" t="n"/>
      <c r="CS76" s="3" t="n"/>
      <c r="CT76" s="3" t="n"/>
      <c r="CU76" s="3" t="n"/>
      <c r="CV76" s="3" t="n"/>
      <c r="CW76" s="3" t="n"/>
      <c r="CX76" s="3" t="n"/>
      <c r="CY76" s="3" t="n"/>
    </row>
    <row r="77" hidden="1" outlineLevel="1">
      <c r="C77" s="34" t="inlineStr">
        <is>
          <t>Cash and equivalents (inc. investment securities)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3" t="n"/>
      <c r="AH77" s="3" t="n"/>
      <c r="AI77" s="3" t="n"/>
      <c r="AJ77" s="3" t="n"/>
      <c r="AK77" s="3" t="n"/>
      <c r="AL77" s="3" t="n"/>
      <c r="AM77" s="3" t="n"/>
      <c r="AN77" s="3" t="n"/>
      <c r="AO77" s="3" t="n"/>
      <c r="AP77" s="3" t="n"/>
      <c r="AQ77" s="3" t="n"/>
      <c r="AR77" s="3" t="n"/>
      <c r="AS77" s="3" t="n"/>
      <c r="AT77" s="3" t="n"/>
      <c r="AU77" s="3" t="n"/>
      <c r="AV77" s="3" t="n"/>
      <c r="AW77" s="3" t="n"/>
      <c r="AX77" s="3" t="n"/>
      <c r="AY77" s="3" t="n"/>
      <c r="AZ77" s="3" t="n"/>
      <c r="BA77" s="3" t="n"/>
      <c r="BB77" s="3" t="n"/>
      <c r="BC77" s="3" t="n"/>
      <c r="BD77" s="3" t="n"/>
      <c r="BE77" s="3" t="n"/>
      <c r="BF77" s="3" t="n"/>
      <c r="BG77" s="3" t="n"/>
      <c r="BH77" s="3" t="n"/>
      <c r="BI77" s="3" t="n"/>
      <c r="BJ77" s="3" t="n"/>
      <c r="BK77" s="3" t="n"/>
      <c r="BL77" s="3" t="n"/>
      <c r="BM77" s="3" t="n"/>
      <c r="BN77" s="3" t="n"/>
      <c r="BO77" s="3" t="n"/>
      <c r="BP77" s="3" t="n"/>
      <c r="BQ77" s="3" t="n"/>
      <c r="BR77" s="3" t="n"/>
      <c r="BS77" s="3" t="n"/>
      <c r="BT77" s="3" t="n"/>
      <c r="BU77" s="3" t="n"/>
      <c r="BV77" s="3" t="n"/>
      <c r="BW77" s="3" t="n"/>
      <c r="BX77" s="3" t="n"/>
      <c r="BY77" s="3" t="n"/>
      <c r="BZ77" s="3" t="n"/>
      <c r="CA77" s="3" t="n"/>
      <c r="CB77" s="3" t="n"/>
      <c r="CC77" s="3" t="n"/>
      <c r="CD77" s="3" t="n"/>
      <c r="CE77" s="3" t="n"/>
      <c r="CF77" s="3" t="n"/>
      <c r="CG77" s="3" t="n"/>
      <c r="CH77" s="3" t="n"/>
      <c r="CI77" s="3" t="n"/>
      <c r="CJ77" s="3" t="n"/>
      <c r="CK77" s="3" t="n"/>
      <c r="CL77" s="3" t="n"/>
      <c r="CM77" s="3" t="n"/>
      <c r="CN77" s="3" t="n"/>
      <c r="CO77" s="3" t="n"/>
      <c r="CP77" s="3" t="n"/>
      <c r="CQ77" s="3" t="n"/>
      <c r="CR77" s="3" t="n"/>
      <c r="CS77" s="3" t="n"/>
      <c r="CT77" s="3" t="n"/>
      <c r="CU77" s="3" t="n"/>
      <c r="CV77" s="3" t="n"/>
      <c r="CW77" s="3" t="n"/>
      <c r="CX77" s="3" t="n"/>
      <c r="CY77" s="3" t="n"/>
    </row>
    <row r="78" hidden="1" outlineLevel="1">
      <c r="C78" s="34" t="inlineStr">
        <is>
          <t>Interest on cash</t>
        </is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  <c r="AD78" s="3" t="n"/>
      <c r="AE78" s="3" t="n"/>
      <c r="AF78" s="3" t="n"/>
      <c r="AG78" s="3" t="n"/>
      <c r="AH78" s="3" t="n"/>
      <c r="AI78" s="3" t="n"/>
      <c r="AJ78" s="3" t="n"/>
      <c r="AK78" s="3" t="n"/>
      <c r="AL78" s="3" t="n"/>
      <c r="AM78" s="3" t="n"/>
      <c r="AN78" s="3" t="n"/>
      <c r="AO78" s="3" t="n"/>
      <c r="AP78" s="3" t="n"/>
      <c r="AQ78" s="3" t="n"/>
      <c r="AR78" s="3" t="n"/>
      <c r="AS78" s="3" t="n"/>
      <c r="AT78" s="3" t="n"/>
      <c r="AU78" s="3" t="n"/>
      <c r="AV78" s="3" t="n"/>
      <c r="AW78" s="3" t="n"/>
      <c r="AX78" s="3" t="n"/>
      <c r="AY78" s="3" t="n"/>
      <c r="AZ78" s="3" t="n"/>
      <c r="BA78" s="3" t="n"/>
      <c r="BB78" s="3" t="n"/>
      <c r="BC78" s="3" t="n"/>
      <c r="BD78" s="3" t="n"/>
      <c r="BE78" s="3" t="n"/>
      <c r="BF78" s="3" t="n"/>
      <c r="BG78" s="3" t="n"/>
      <c r="BH78" s="3" t="n"/>
      <c r="BI78" s="3" t="n"/>
      <c r="BJ78" s="3" t="n"/>
      <c r="BK78" s="3" t="n"/>
      <c r="BL78" s="3" t="n"/>
      <c r="BM78" s="3" t="n"/>
      <c r="BN78" s="3" t="n"/>
      <c r="BO78" s="3" t="n"/>
      <c r="BP78" s="3" t="n"/>
      <c r="BQ78" s="3" t="n"/>
      <c r="BR78" s="3" t="n"/>
      <c r="BS78" s="3" t="n"/>
      <c r="BT78" s="3" t="n"/>
      <c r="BU78" s="3" t="n"/>
      <c r="BV78" s="3" t="n"/>
      <c r="BW78" s="3" t="n"/>
      <c r="BX78" s="3" t="n"/>
      <c r="BY78" s="3" t="n"/>
      <c r="BZ78" s="3" t="n"/>
      <c r="CA78" s="3" t="n"/>
      <c r="CB78" s="3" t="n"/>
      <c r="CC78" s="3" t="n"/>
      <c r="CD78" s="3" t="n"/>
      <c r="CE78" s="3" t="n"/>
      <c r="CF78" s="3" t="n"/>
      <c r="CG78" s="3" t="n"/>
      <c r="CH78" s="3" t="n"/>
      <c r="CI78" s="3" t="n"/>
      <c r="CJ78" s="3" t="n"/>
      <c r="CK78" s="3" t="n"/>
      <c r="CL78" s="3" t="n"/>
      <c r="CM78" s="3" t="n"/>
      <c r="CN78" s="3" t="n"/>
      <c r="CO78" s="3" t="n"/>
      <c r="CP78" s="3" t="n"/>
      <c r="CQ78" s="3" t="n"/>
      <c r="CR78" s="3" t="n"/>
      <c r="CS78" s="3" t="n"/>
      <c r="CT78" s="3" t="n"/>
      <c r="CU78" s="3" t="n"/>
      <c r="CV78" s="3" t="n"/>
      <c r="CW78" s="3" t="n"/>
      <c r="CX78" s="3" t="n"/>
      <c r="CY78" s="3" t="n"/>
    </row>
    <row r="79" hidden="1" outlineLevel="1">
      <c r="C79" s="34" t="inlineStr">
        <is>
          <t>Average interest rate</t>
        </is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  <c r="AF79" s="3" t="n"/>
      <c r="AG79" s="3" t="n"/>
      <c r="AH79" s="3" t="n"/>
      <c r="AI79" s="3" t="n"/>
      <c r="AJ79" s="3" t="n"/>
      <c r="AK79" s="3" t="n"/>
      <c r="AL79" s="3" t="n"/>
      <c r="AM79" s="3" t="n"/>
      <c r="AN79" s="3" t="n"/>
      <c r="AO79" s="3" t="n"/>
      <c r="AP79" s="3" t="n"/>
      <c r="AQ79" s="3" t="n"/>
      <c r="AR79" s="3" t="n"/>
      <c r="AS79" s="3" t="n"/>
      <c r="AT79" s="3" t="n"/>
      <c r="AU79" s="3" t="n"/>
      <c r="AV79" s="3" t="n"/>
      <c r="AW79" s="3" t="n"/>
      <c r="AX79" s="3" t="n"/>
      <c r="AY79" s="3" t="n"/>
      <c r="AZ79" s="3" t="n"/>
      <c r="BA79" s="3" t="n"/>
      <c r="BB79" s="3" t="n"/>
      <c r="BC79" s="3" t="n"/>
      <c r="BD79" s="3" t="n"/>
      <c r="BE79" s="3" t="n"/>
      <c r="BF79" s="3" t="n"/>
      <c r="BG79" s="3" t="n"/>
      <c r="BH79" s="3" t="n"/>
      <c r="BI79" s="3" t="n"/>
      <c r="BJ79" s="3" t="n"/>
      <c r="BK79" s="3" t="n"/>
      <c r="BL79" s="3" t="n"/>
      <c r="BM79" s="3" t="n"/>
      <c r="BN79" s="3" t="n"/>
      <c r="BO79" s="3" t="n"/>
      <c r="BP79" s="3" t="n"/>
      <c r="BQ79" s="3" t="n"/>
      <c r="BR79" s="3" t="n"/>
      <c r="BS79" s="3" t="n"/>
      <c r="BT79" s="3" t="n"/>
      <c r="BU79" s="3" t="n"/>
      <c r="BV79" s="3" t="n"/>
      <c r="BW79" s="3" t="n"/>
      <c r="BX79" s="3" t="n"/>
      <c r="BY79" s="3" t="n"/>
      <c r="BZ79" s="3" t="n"/>
      <c r="CA79" s="3" t="n"/>
      <c r="CB79" s="3" t="n"/>
      <c r="CC79" s="3" t="n"/>
      <c r="CD79" s="3" t="n"/>
      <c r="CE79" s="3" t="n"/>
      <c r="CF79" s="3" t="n"/>
      <c r="CG79" s="3" t="n"/>
      <c r="CH79" s="3" t="n"/>
      <c r="CI79" s="3" t="n"/>
      <c r="CJ79" s="3" t="n"/>
      <c r="CK79" s="3" t="n"/>
      <c r="CL79" s="3" t="n"/>
      <c r="CM79" s="3" t="n"/>
      <c r="CN79" s="3" t="n"/>
      <c r="CO79" s="3" t="n"/>
      <c r="CP79" s="3" t="n"/>
      <c r="CQ79" s="3" t="n"/>
      <c r="CR79" s="3" t="n"/>
      <c r="CS79" s="3" t="n"/>
      <c r="CT79" s="3" t="n"/>
      <c r="CU79" s="3" t="n"/>
      <c r="CV79" s="3" t="n"/>
      <c r="CW79" s="3" t="n"/>
      <c r="CX79" s="3" t="n"/>
      <c r="CY79" s="3" t="n"/>
    </row>
    <row r="80" hidden="1" outlineLevel="1">
      <c r="C80" s="34" t="inlineStr">
        <is>
          <t>% CDI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n"/>
      <c r="AK80" s="3" t="n"/>
      <c r="AL80" s="3" t="n"/>
      <c r="AM80" s="3" t="n"/>
      <c r="AN80" s="3" t="n"/>
      <c r="AO80" s="3" t="n"/>
      <c r="AP80" s="3" t="n"/>
      <c r="AQ80" s="3" t="n"/>
      <c r="AR80" s="3" t="n"/>
      <c r="AS80" s="3" t="n"/>
      <c r="AT80" s="3" t="n"/>
      <c r="AU80" s="3" t="n"/>
      <c r="AV80" s="3" t="n"/>
      <c r="AW80" s="3" t="n"/>
      <c r="AX80" s="3" t="n"/>
      <c r="AY80" s="3" t="n"/>
      <c r="AZ80" s="3" t="n"/>
      <c r="BA80" s="3" t="n"/>
      <c r="BB80" s="3" t="n"/>
      <c r="BC80" s="3" t="n"/>
      <c r="BD80" s="3" t="n"/>
      <c r="BE80" s="3" t="n"/>
      <c r="BF80" s="3" t="n"/>
      <c r="BG80" s="3" t="n"/>
      <c r="BH80" s="3" t="n"/>
      <c r="BI80" s="3" t="n"/>
      <c r="BJ80" s="3" t="n"/>
      <c r="BK80" s="3" t="n"/>
      <c r="BL80" s="3" t="n"/>
      <c r="BM80" s="3" t="n"/>
      <c r="BN80" s="3" t="n"/>
      <c r="BO80" s="3" t="n"/>
      <c r="BP80" s="3" t="n"/>
      <c r="BQ80" s="3" t="n"/>
      <c r="BR80" s="3" t="n"/>
      <c r="BS80" s="3" t="n"/>
      <c r="BT80" s="3" t="n"/>
      <c r="BU80" s="3" t="n"/>
      <c r="BV80" s="3" t="n"/>
      <c r="BW80" s="3" t="n"/>
      <c r="BX80" s="3" t="n"/>
      <c r="BY80" s="3" t="n"/>
      <c r="BZ80" s="3" t="n"/>
      <c r="CA80" s="3" t="n"/>
      <c r="CB80" s="3" t="n"/>
      <c r="CC80" s="3" t="n"/>
      <c r="CD80" s="3" t="n"/>
      <c r="CE80" s="3" t="n"/>
      <c r="CF80" s="3" t="n"/>
      <c r="CG80" s="3" t="n"/>
      <c r="CH80" s="3" t="n"/>
      <c r="CI80" s="3" t="n"/>
      <c r="CJ80" s="3" t="n"/>
      <c r="CK80" s="3" t="n"/>
      <c r="CL80" s="3" t="n"/>
      <c r="CM80" s="3" t="n"/>
      <c r="CN80" s="3" t="n"/>
      <c r="CO80" s="3" t="n"/>
      <c r="CP80" s="3" t="n"/>
      <c r="CQ80" s="3" t="n"/>
      <c r="CR80" s="3" t="n"/>
      <c r="CS80" s="3" t="n"/>
      <c r="CT80" s="3" t="n"/>
      <c r="CU80" s="3" t="n"/>
      <c r="CV80" s="3" t="n"/>
      <c r="CW80" s="3" t="n"/>
      <c r="CX80" s="3" t="n"/>
      <c r="CY80" s="3" t="n"/>
    </row>
    <row r="81" hidden="1" outlineLevel="1">
      <c r="C81" s="34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/>
      <c r="AM81" s="3" t="n"/>
      <c r="AN81" s="3" t="n"/>
      <c r="AO81" s="3" t="n"/>
      <c r="AP81" s="3" t="n"/>
      <c r="AQ81" s="3" t="n"/>
      <c r="AR81" s="3" t="n"/>
      <c r="AS81" s="3" t="n"/>
      <c r="AT81" s="3" t="n"/>
      <c r="AU81" s="3" t="n"/>
      <c r="AV81" s="3" t="n"/>
      <c r="AW81" s="3" t="n"/>
      <c r="AX81" s="3" t="n"/>
      <c r="AY81" s="3" t="n"/>
      <c r="AZ81" s="3" t="n"/>
      <c r="BA81" s="3" t="n"/>
      <c r="BB81" s="3" t="n"/>
      <c r="BC81" s="3" t="n"/>
      <c r="BD81" s="3" t="n"/>
      <c r="BE81" s="3" t="n"/>
      <c r="BF81" s="3" t="n"/>
      <c r="BG81" s="3" t="n"/>
      <c r="BH81" s="3" t="n"/>
      <c r="BI81" s="3" t="n"/>
      <c r="BJ81" s="3" t="n"/>
      <c r="BK81" s="3" t="n"/>
      <c r="BL81" s="3" t="n"/>
      <c r="BM81" s="3" t="n"/>
      <c r="BN81" s="3" t="n"/>
      <c r="BO81" s="3" t="n"/>
      <c r="BP81" s="3" t="n"/>
      <c r="BQ81" s="3" t="n"/>
      <c r="BR81" s="3" t="n"/>
      <c r="BS81" s="3" t="n"/>
      <c r="BT81" s="3" t="n"/>
      <c r="BU81" s="3" t="n"/>
      <c r="BV81" s="3" t="n"/>
      <c r="BW81" s="3" t="n"/>
      <c r="BX81" s="3" t="n"/>
      <c r="BY81" s="3" t="n"/>
      <c r="BZ81" s="3" t="n"/>
      <c r="CA81" s="3" t="n"/>
      <c r="CB81" s="3" t="n"/>
      <c r="CC81" s="3" t="n"/>
      <c r="CD81" s="3" t="n"/>
      <c r="CE81" s="3" t="n"/>
      <c r="CF81" s="3" t="n"/>
      <c r="CG81" s="3" t="n"/>
      <c r="CH81" s="3" t="n"/>
      <c r="CI81" s="3" t="n"/>
      <c r="CJ81" s="3" t="n"/>
      <c r="CK81" s="3" t="n"/>
      <c r="CL81" s="3" t="n"/>
      <c r="CM81" s="3" t="n"/>
      <c r="CN81" s="3" t="n"/>
      <c r="CO81" s="3" t="n"/>
      <c r="CP81" s="3" t="n"/>
      <c r="CQ81" s="3" t="n"/>
      <c r="CR81" s="3" t="n"/>
      <c r="CS81" s="3" t="n"/>
      <c r="CT81" s="3" t="n"/>
      <c r="CU81" s="3" t="n"/>
      <c r="CV81" s="3" t="n"/>
      <c r="CW81" s="3" t="n"/>
      <c r="CX81" s="3" t="n"/>
      <c r="CY81" s="3" t="n"/>
    </row>
    <row r="82" hidden="1" outlineLevel="1">
      <c r="C82" s="34" t="inlineStr">
        <is>
          <t>Current portion of long-term debt</t>
        </is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n"/>
      <c r="AK82" s="3" t="n"/>
      <c r="AL82" s="3" t="n"/>
      <c r="AM82" s="3" t="n"/>
      <c r="AN82" s="3" t="n"/>
      <c r="AO82" s="3" t="n"/>
      <c r="AP82" s="3" t="n"/>
      <c r="AQ82" s="3" t="n"/>
      <c r="AR82" s="3" t="n"/>
      <c r="AS82" s="3" t="n"/>
      <c r="AT82" s="3" t="n"/>
      <c r="AU82" s="3" t="n"/>
      <c r="AV82" s="3" t="n"/>
      <c r="AW82" s="3" t="n"/>
      <c r="AX82" s="3" t="n"/>
      <c r="AY82" s="3" t="n"/>
      <c r="AZ82" s="3" t="n"/>
      <c r="BA82" s="3" t="n"/>
      <c r="BB82" s="3" t="n"/>
      <c r="BC82" s="3" t="n"/>
      <c r="BD82" s="3" t="n"/>
      <c r="BE82" s="3" t="n"/>
      <c r="BF82" s="3" t="n"/>
      <c r="BG82" s="3" t="n"/>
      <c r="BH82" s="3" t="n"/>
      <c r="BI82" s="3" t="n"/>
      <c r="BJ82" s="3" t="n"/>
      <c r="BK82" s="3" t="n"/>
      <c r="BL82" s="3" t="n"/>
      <c r="BM82" s="3" t="n"/>
      <c r="BN82" s="3" t="n"/>
      <c r="BO82" s="3" t="n"/>
      <c r="BP82" s="3" t="n"/>
      <c r="BQ82" s="3" t="n"/>
      <c r="BR82" s="3" t="n"/>
      <c r="BS82" s="3" t="n"/>
      <c r="BT82" s="3" t="n"/>
      <c r="BU82" s="3" t="n"/>
      <c r="BV82" s="3" t="n"/>
      <c r="BW82" s="3" t="n"/>
      <c r="BX82" s="3" t="n"/>
      <c r="BY82" s="3" t="n"/>
      <c r="BZ82" s="3" t="n"/>
      <c r="CA82" s="3" t="n"/>
      <c r="CB82" s="3" t="n"/>
      <c r="CC82" s="3" t="n"/>
      <c r="CD82" s="3" t="n"/>
      <c r="CE82" s="3" t="n"/>
      <c r="CF82" s="3" t="n"/>
      <c r="CG82" s="3" t="n"/>
      <c r="CH82" s="3" t="n"/>
      <c r="CI82" s="3" t="n"/>
      <c r="CJ82" s="3" t="n"/>
      <c r="CK82" s="3" t="n"/>
      <c r="CL82" s="3" t="n"/>
      <c r="CM82" s="3" t="n"/>
      <c r="CN82" s="3" t="n"/>
      <c r="CO82" s="3" t="n"/>
      <c r="CP82" s="3" t="n"/>
      <c r="CQ82" s="3" t="n"/>
      <c r="CR82" s="3" t="n"/>
      <c r="CS82" s="3" t="n"/>
      <c r="CT82" s="3" t="n"/>
      <c r="CU82" s="3" t="n"/>
      <c r="CV82" s="3" t="n"/>
      <c r="CW82" s="3" t="n"/>
      <c r="CX82" s="3" t="n"/>
      <c r="CY82" s="3" t="n"/>
    </row>
    <row r="83" hidden="1" outlineLevel="1">
      <c r="C83" s="34" t="inlineStr">
        <is>
          <t>Short term debt (Revolving credit facility)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n"/>
      <c r="AK83" s="3" t="n"/>
      <c r="AL83" s="3" t="n"/>
      <c r="AM83" s="3" t="n"/>
      <c r="AN83" s="3" t="n"/>
      <c r="AO83" s="3" t="n"/>
      <c r="AP83" s="3" t="n"/>
      <c r="AQ83" s="3" t="n"/>
      <c r="AR83" s="3" t="n"/>
      <c r="AS83" s="3" t="n"/>
      <c r="AT83" s="3" t="n"/>
      <c r="AU83" s="3" t="n"/>
      <c r="AV83" s="3" t="n"/>
      <c r="AW83" s="3" t="n"/>
      <c r="AX83" s="3" t="n"/>
      <c r="AY83" s="3" t="n"/>
      <c r="AZ83" s="3" t="n"/>
      <c r="BA83" s="3" t="n"/>
      <c r="BB83" s="3" t="n"/>
      <c r="BC83" s="3" t="n"/>
      <c r="BD83" s="3" t="n"/>
      <c r="BE83" s="3" t="n"/>
      <c r="BF83" s="3" t="n"/>
      <c r="BG83" s="3" t="n"/>
      <c r="BH83" s="3" t="n"/>
      <c r="BI83" s="3" t="n"/>
      <c r="BJ83" s="3" t="n"/>
      <c r="BK83" s="3" t="n"/>
      <c r="BL83" s="3" t="n"/>
      <c r="BM83" s="3" t="n"/>
      <c r="BN83" s="3" t="n"/>
      <c r="BO83" s="3" t="n"/>
      <c r="BP83" s="3" t="n"/>
      <c r="BQ83" s="3" t="n"/>
      <c r="BR83" s="3" t="n"/>
      <c r="BS83" s="3" t="n"/>
      <c r="BT83" s="3" t="n"/>
      <c r="BU83" s="3" t="n"/>
      <c r="BV83" s="3" t="n"/>
      <c r="BW83" s="3" t="n"/>
      <c r="BX83" s="3" t="n"/>
      <c r="BY83" s="3" t="n"/>
      <c r="BZ83" s="3" t="n"/>
      <c r="CA83" s="3" t="n"/>
      <c r="CB83" s="3" t="n"/>
      <c r="CC83" s="3" t="n"/>
      <c r="CD83" s="3" t="n"/>
      <c r="CE83" s="3" t="n"/>
      <c r="CF83" s="3" t="n"/>
      <c r="CG83" s="3" t="n"/>
      <c r="CH83" s="3" t="n"/>
      <c r="CI83" s="3" t="n"/>
      <c r="CJ83" s="3" t="n"/>
      <c r="CK83" s="3" t="n"/>
      <c r="CL83" s="3" t="n"/>
      <c r="CM83" s="3" t="n"/>
      <c r="CN83" s="3" t="n"/>
      <c r="CO83" s="3" t="n"/>
      <c r="CP83" s="3" t="n"/>
      <c r="CQ83" s="3" t="n"/>
      <c r="CR83" s="3" t="n"/>
      <c r="CS83" s="3" t="n"/>
      <c r="CT83" s="3" t="n"/>
      <c r="CU83" s="3" t="n"/>
      <c r="CV83" s="3" t="n"/>
      <c r="CW83" s="3" t="n"/>
      <c r="CX83" s="3" t="n"/>
      <c r="CY83" s="3" t="n"/>
    </row>
    <row r="84" hidden="1" outlineLevel="1">
      <c r="C84" s="34" t="inlineStr">
        <is>
          <t>Long term debt</t>
        </is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n"/>
      <c r="AK84" s="3" t="n"/>
      <c r="AL84" s="3" t="n"/>
      <c r="AM84" s="3" t="n"/>
      <c r="AN84" s="3" t="n"/>
      <c r="AO84" s="3" t="n"/>
      <c r="AP84" s="3" t="n"/>
      <c r="AQ84" s="3" t="n"/>
      <c r="AR84" s="3" t="n"/>
      <c r="AS84" s="3" t="n"/>
      <c r="AT84" s="3" t="n"/>
      <c r="AU84" s="3" t="n"/>
      <c r="AV84" s="3" t="n"/>
      <c r="AW84" s="3" t="n"/>
      <c r="AX84" s="3" t="n"/>
      <c r="AY84" s="3" t="n"/>
      <c r="AZ84" s="3" t="n"/>
      <c r="BA84" s="3" t="n"/>
      <c r="BB84" s="3" t="n"/>
      <c r="BC84" s="3" t="n"/>
      <c r="BD84" s="3" t="n"/>
      <c r="BE84" s="3" t="n"/>
      <c r="BF84" s="3" t="n"/>
      <c r="BG84" s="3" t="n"/>
      <c r="BH84" s="3" t="n"/>
      <c r="BI84" s="3" t="n"/>
      <c r="BJ84" s="3" t="n"/>
      <c r="BK84" s="3" t="n"/>
      <c r="BL84" s="3" t="n"/>
      <c r="BM84" s="3" t="n"/>
      <c r="BN84" s="3" t="n"/>
      <c r="BO84" s="3" t="n"/>
      <c r="BP84" s="3" t="n"/>
      <c r="BQ84" s="3" t="n"/>
      <c r="BR84" s="3" t="n"/>
      <c r="BS84" s="3" t="n"/>
      <c r="BT84" s="3" t="n"/>
      <c r="BU84" s="3" t="n"/>
      <c r="BV84" s="3" t="n"/>
      <c r="BW84" s="3" t="n"/>
      <c r="BX84" s="3" t="n"/>
      <c r="BY84" s="3" t="n"/>
      <c r="BZ84" s="3" t="n"/>
      <c r="CA84" s="3" t="n"/>
      <c r="CB84" s="3" t="n"/>
      <c r="CC84" s="3" t="n"/>
      <c r="CD84" s="3" t="n"/>
      <c r="CE84" s="3" t="n"/>
      <c r="CF84" s="3" t="n"/>
      <c r="CG84" s="3" t="n"/>
      <c r="CH84" s="3" t="n"/>
      <c r="CI84" s="3" t="n"/>
      <c r="CJ84" s="3" t="n"/>
      <c r="CK84" s="3" t="n"/>
      <c r="CL84" s="3" t="n"/>
      <c r="CM84" s="3" t="n"/>
      <c r="CN84" s="3" t="n"/>
      <c r="CO84" s="3" t="n"/>
      <c r="CP84" s="3" t="n"/>
      <c r="CQ84" s="3" t="n"/>
      <c r="CR84" s="3" t="n"/>
      <c r="CS84" s="3" t="n"/>
      <c r="CT84" s="3" t="n"/>
      <c r="CU84" s="3" t="n"/>
      <c r="CV84" s="3" t="n"/>
      <c r="CW84" s="3" t="n"/>
      <c r="CX84" s="3" t="n"/>
      <c r="CY84" s="3" t="n"/>
    </row>
    <row r="85" hidden="1" outlineLevel="1">
      <c r="C85" s="34" t="inlineStr">
        <is>
          <t>Convertible debt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n"/>
      <c r="AK85" s="3" t="n"/>
      <c r="AL85" s="3" t="n"/>
      <c r="AM85" s="3" t="n"/>
      <c r="AN85" s="3" t="n"/>
      <c r="AO85" s="3" t="n"/>
      <c r="AP85" s="3" t="n"/>
      <c r="AQ85" s="3" t="n"/>
      <c r="AR85" s="3" t="n"/>
      <c r="AS85" s="3" t="n"/>
      <c r="AT85" s="3" t="n"/>
      <c r="AU85" s="3" t="n"/>
      <c r="AV85" s="3" t="n"/>
      <c r="AW85" s="3" t="n"/>
      <c r="AX85" s="3" t="n"/>
      <c r="AY85" s="3" t="n"/>
      <c r="AZ85" s="3" t="n"/>
      <c r="BA85" s="3" t="n"/>
      <c r="BB85" s="3" t="n"/>
      <c r="BC85" s="3" t="n"/>
      <c r="BD85" s="3" t="n"/>
      <c r="BE85" s="3" t="n"/>
      <c r="BF85" s="3" t="n"/>
      <c r="BG85" s="3" t="n"/>
      <c r="BH85" s="3" t="n"/>
      <c r="BI85" s="3" t="n"/>
      <c r="BJ85" s="3" t="n"/>
      <c r="BK85" s="3" t="n"/>
      <c r="BL85" s="3" t="n"/>
      <c r="BM85" s="3" t="n"/>
      <c r="BN85" s="3" t="n"/>
      <c r="BO85" s="3" t="n"/>
      <c r="BP85" s="3" t="n"/>
      <c r="BQ85" s="3" t="n"/>
      <c r="BR85" s="3" t="n"/>
      <c r="BS85" s="3" t="n"/>
      <c r="BT85" s="3" t="n"/>
      <c r="BU85" s="3" t="n"/>
      <c r="BV85" s="3" t="n"/>
      <c r="BW85" s="3" t="n"/>
      <c r="BX85" s="3" t="n"/>
      <c r="BY85" s="3" t="n"/>
      <c r="BZ85" s="3" t="n"/>
      <c r="CA85" s="3" t="n"/>
      <c r="CB85" s="3" t="n"/>
      <c r="CC85" s="3" t="n"/>
      <c r="CD85" s="3" t="n"/>
      <c r="CE85" s="3" t="n"/>
      <c r="CF85" s="3" t="n"/>
      <c r="CG85" s="3" t="n"/>
      <c r="CH85" s="3" t="n"/>
      <c r="CI85" s="3" t="n"/>
      <c r="CJ85" s="3" t="n"/>
      <c r="CK85" s="3" t="n"/>
      <c r="CL85" s="3" t="n"/>
      <c r="CM85" s="3" t="n"/>
      <c r="CN85" s="3" t="n"/>
      <c r="CO85" s="3" t="n"/>
      <c r="CP85" s="3" t="n"/>
      <c r="CQ85" s="3" t="n"/>
      <c r="CR85" s="3" t="n"/>
      <c r="CS85" s="3" t="n"/>
      <c r="CT85" s="3" t="n"/>
      <c r="CU85" s="3" t="n"/>
      <c r="CV85" s="3" t="n"/>
      <c r="CW85" s="3" t="n"/>
      <c r="CX85" s="3" t="n"/>
      <c r="CY85" s="3" t="n"/>
    </row>
    <row r="86" hidden="1" outlineLevel="1">
      <c r="C86" s="34" t="inlineStr">
        <is>
          <t>Total debt</t>
        </is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  <c r="AG86" s="3" t="n"/>
      <c r="AH86" s="3" t="n"/>
      <c r="AI86" s="3" t="n"/>
      <c r="AJ86" s="3" t="n"/>
      <c r="AK86" s="3" t="n"/>
      <c r="AL86" s="3" t="n"/>
      <c r="AM86" s="3" t="n"/>
      <c r="AN86" s="3" t="n"/>
      <c r="AO86" s="3" t="n"/>
      <c r="AP86" s="3" t="n"/>
      <c r="AQ86" s="3" t="n"/>
      <c r="AR86" s="3" t="n"/>
      <c r="AS86" s="3" t="n"/>
      <c r="AT86" s="3" t="n"/>
      <c r="AU86" s="3" t="n"/>
      <c r="AV86" s="3" t="n"/>
      <c r="AW86" s="3" t="n"/>
      <c r="AX86" s="3" t="n"/>
      <c r="AY86" s="3" t="n"/>
      <c r="AZ86" s="3" t="n"/>
      <c r="BA86" s="3" t="n"/>
      <c r="BB86" s="3" t="n"/>
      <c r="BC86" s="3" t="n"/>
      <c r="BD86" s="3" t="n"/>
      <c r="BE86" s="3" t="n"/>
      <c r="BF86" s="3" t="n"/>
      <c r="BG86" s="3" t="n"/>
      <c r="BH86" s="3" t="n"/>
      <c r="BI86" s="3" t="n"/>
      <c r="BJ86" s="3" t="n"/>
      <c r="BK86" s="3" t="n"/>
      <c r="BL86" s="3" t="n"/>
      <c r="BM86" s="3" t="n"/>
      <c r="BN86" s="3" t="n"/>
      <c r="BO86" s="3" t="n"/>
      <c r="BP86" s="3" t="n"/>
      <c r="BQ86" s="3" t="n"/>
      <c r="BR86" s="3" t="n"/>
      <c r="BS86" s="3" t="n"/>
      <c r="BT86" s="3" t="n"/>
      <c r="BU86" s="3" t="n"/>
      <c r="BV86" s="3" t="n"/>
      <c r="BW86" s="3" t="n"/>
      <c r="BX86" s="3" t="n"/>
      <c r="BY86" s="3" t="n"/>
      <c r="BZ86" s="3" t="n"/>
      <c r="CA86" s="3" t="n"/>
      <c r="CB86" s="3" t="n"/>
      <c r="CC86" s="3" t="n"/>
      <c r="CD86" s="3" t="n"/>
      <c r="CE86" s="3" t="n"/>
      <c r="CF86" s="3" t="n"/>
      <c r="CG86" s="3" t="n"/>
      <c r="CH86" s="3" t="n"/>
      <c r="CI86" s="3" t="n"/>
      <c r="CJ86" s="3" t="n"/>
      <c r="CK86" s="3" t="n"/>
      <c r="CL86" s="3" t="n"/>
      <c r="CM86" s="3" t="n"/>
      <c r="CN86" s="3" t="n"/>
      <c r="CO86" s="3" t="n"/>
      <c r="CP86" s="3" t="n"/>
      <c r="CQ86" s="3" t="n"/>
      <c r="CR86" s="3" t="n"/>
      <c r="CS86" s="3" t="n"/>
      <c r="CT86" s="3" t="n"/>
      <c r="CU86" s="3" t="n"/>
      <c r="CV86" s="3" t="n"/>
      <c r="CW86" s="3" t="n"/>
      <c r="CX86" s="3" t="n"/>
      <c r="CY86" s="3" t="n"/>
    </row>
    <row r="87" hidden="1" outlineLevel="1">
      <c r="C87" s="34" t="inlineStr">
        <is>
          <t>Interest expense</t>
        </is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n"/>
      <c r="AK87" s="3" t="n"/>
      <c r="AL87" s="3" t="n"/>
      <c r="AM87" s="3" t="n"/>
      <c r="AN87" s="3" t="n"/>
      <c r="AO87" s="3" t="n"/>
      <c r="AP87" s="3" t="n"/>
      <c r="AQ87" s="3" t="n"/>
      <c r="AR87" s="3" t="n"/>
      <c r="AS87" s="3" t="n"/>
      <c r="AT87" s="3" t="n"/>
      <c r="AU87" s="3" t="n"/>
      <c r="AV87" s="3" t="n"/>
      <c r="AW87" s="3" t="n"/>
      <c r="AX87" s="3" t="n"/>
      <c r="AY87" s="3" t="n"/>
      <c r="AZ87" s="3" t="n"/>
      <c r="BA87" s="3" t="n"/>
      <c r="BB87" s="3" t="n"/>
      <c r="BC87" s="3" t="n"/>
      <c r="BD87" s="3" t="n"/>
      <c r="BE87" s="3" t="n"/>
      <c r="BF87" s="3" t="n"/>
      <c r="BG87" s="3" t="n"/>
      <c r="BH87" s="3" t="n"/>
      <c r="BI87" s="3" t="n"/>
      <c r="BJ87" s="3" t="n"/>
      <c r="BK87" s="3" t="n"/>
      <c r="BL87" s="3" t="n"/>
      <c r="BM87" s="3" t="n"/>
      <c r="BN87" s="3" t="n"/>
      <c r="BO87" s="3" t="n"/>
      <c r="BP87" s="3" t="n"/>
      <c r="BQ87" s="3" t="n"/>
      <c r="BR87" s="3" t="n"/>
      <c r="BS87" s="3" t="n"/>
      <c r="BT87" s="3" t="n"/>
      <c r="BU87" s="3" t="n"/>
      <c r="BV87" s="3" t="n"/>
      <c r="BW87" s="3" t="n"/>
      <c r="BX87" s="3" t="n"/>
      <c r="BY87" s="3" t="n"/>
      <c r="BZ87" s="3" t="n"/>
      <c r="CA87" s="3" t="n"/>
      <c r="CB87" s="3" t="n"/>
      <c r="CC87" s="3" t="n"/>
      <c r="CD87" s="3" t="n"/>
      <c r="CE87" s="3" t="n"/>
      <c r="CF87" s="3" t="n"/>
      <c r="CG87" s="3" t="n"/>
      <c r="CH87" s="3" t="n"/>
      <c r="CI87" s="3" t="n"/>
      <c r="CJ87" s="3" t="n"/>
      <c r="CK87" s="3" t="n"/>
      <c r="CL87" s="3" t="n"/>
      <c r="CM87" s="3" t="n"/>
      <c r="CN87" s="3" t="n"/>
      <c r="CO87" s="3" t="n"/>
      <c r="CP87" s="3" t="n"/>
      <c r="CQ87" s="3" t="n"/>
      <c r="CR87" s="3" t="n"/>
      <c r="CS87" s="3" t="n"/>
      <c r="CT87" s="3" t="n"/>
      <c r="CU87" s="3" t="n"/>
      <c r="CV87" s="3" t="n"/>
      <c r="CW87" s="3" t="n"/>
      <c r="CX87" s="3" t="n"/>
      <c r="CY87" s="3" t="n"/>
    </row>
    <row r="88" hidden="1" outlineLevel="1">
      <c r="C88" s="34" t="inlineStr">
        <is>
          <t>Average interest rate</t>
        </is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  <c r="AG88" s="3" t="n"/>
      <c r="AH88" s="3" t="n"/>
      <c r="AI88" s="3" t="n"/>
      <c r="AJ88" s="3" t="n"/>
      <c r="AK88" s="3" t="n"/>
      <c r="AL88" s="3" t="n"/>
      <c r="AM88" s="3" t="n"/>
      <c r="AN88" s="3" t="n"/>
      <c r="AO88" s="3" t="n"/>
      <c r="AP88" s="3" t="n"/>
      <c r="AQ88" s="3" t="n"/>
      <c r="AR88" s="3" t="n"/>
      <c r="AS88" s="3" t="n"/>
      <c r="AT88" s="3" t="n"/>
      <c r="AU88" s="3" t="n"/>
      <c r="AV88" s="3" t="n"/>
      <c r="AW88" s="3" t="n"/>
      <c r="AX88" s="3" t="n"/>
      <c r="AY88" s="3" t="n"/>
      <c r="AZ88" s="3" t="n"/>
      <c r="BA88" s="3" t="n"/>
      <c r="BB88" s="3" t="n"/>
      <c r="BC88" s="3" t="n"/>
      <c r="BD88" s="3" t="n"/>
      <c r="BE88" s="3" t="n"/>
      <c r="BF88" s="3" t="n"/>
      <c r="BG88" s="3" t="n"/>
      <c r="BH88" s="3" t="n"/>
      <c r="BI88" s="3" t="n"/>
      <c r="BJ88" s="3" t="n"/>
      <c r="BK88" s="3" t="n"/>
      <c r="BL88" s="3" t="n"/>
      <c r="BM88" s="3" t="n"/>
      <c r="BN88" s="3" t="n"/>
      <c r="BO88" s="3" t="n"/>
      <c r="BP88" s="3" t="n"/>
      <c r="BQ88" s="3" t="n"/>
      <c r="BR88" s="3" t="n"/>
      <c r="BS88" s="3" t="n"/>
      <c r="BT88" s="3" t="n"/>
      <c r="BU88" s="3" t="n"/>
      <c r="BV88" s="3" t="n"/>
      <c r="BW88" s="3" t="n"/>
      <c r="BX88" s="3" t="n"/>
      <c r="BY88" s="3" t="n"/>
      <c r="BZ88" s="3" t="n"/>
      <c r="CA88" s="3" t="n"/>
      <c r="CB88" s="3" t="n"/>
      <c r="CC88" s="3" t="n"/>
      <c r="CD88" s="3" t="n"/>
      <c r="CE88" s="3" t="n"/>
      <c r="CF88" s="3" t="n"/>
      <c r="CG88" s="3" t="n"/>
      <c r="CH88" s="3" t="n"/>
      <c r="CI88" s="3" t="n"/>
      <c r="CJ88" s="3" t="n"/>
      <c r="CK88" s="3" t="n"/>
      <c r="CL88" s="3" t="n"/>
      <c r="CM88" s="3" t="n"/>
      <c r="CN88" s="3" t="n"/>
      <c r="CO88" s="3" t="n"/>
      <c r="CP88" s="3" t="n"/>
      <c r="CQ88" s="3" t="n"/>
      <c r="CR88" s="3" t="n"/>
      <c r="CS88" s="3" t="n"/>
      <c r="CT88" s="3" t="n"/>
      <c r="CU88" s="3" t="n"/>
      <c r="CV88" s="3" t="n"/>
      <c r="CW88" s="3" t="n"/>
      <c r="CX88" s="3" t="n"/>
      <c r="CY88" s="3" t="n"/>
    </row>
    <row r="89" hidden="1" outlineLevel="1">
      <c r="C89" s="34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n"/>
      <c r="AK89" s="3" t="n"/>
      <c r="AL89" s="3" t="n"/>
      <c r="AM89" s="3" t="n"/>
      <c r="AN89" s="3" t="n"/>
      <c r="AO89" s="3" t="n"/>
      <c r="AP89" s="3" t="n"/>
      <c r="AQ89" s="3" t="n"/>
      <c r="AR89" s="3" t="n"/>
      <c r="AS89" s="3" t="n"/>
      <c r="AT89" s="3" t="n"/>
      <c r="AU89" s="3" t="n"/>
      <c r="AV89" s="3" t="n"/>
      <c r="AW89" s="3" t="n"/>
      <c r="AX89" s="3" t="n"/>
      <c r="AY89" s="3" t="n"/>
      <c r="AZ89" s="3" t="n"/>
      <c r="BA89" s="3" t="n"/>
      <c r="BB89" s="3" t="n"/>
      <c r="BC89" s="3" t="n"/>
      <c r="BD89" s="3" t="n"/>
      <c r="BE89" s="3" t="n"/>
      <c r="BF89" s="3" t="n"/>
      <c r="BG89" s="3" t="n"/>
      <c r="BH89" s="3" t="n"/>
      <c r="BI89" s="3" t="n"/>
      <c r="BJ89" s="3" t="n"/>
      <c r="BK89" s="3" t="n"/>
      <c r="BL89" s="3" t="n"/>
      <c r="BM89" s="3" t="n"/>
      <c r="BN89" s="3" t="n"/>
      <c r="BO89" s="3" t="n"/>
      <c r="BP89" s="3" t="n"/>
      <c r="BQ89" s="3" t="n"/>
      <c r="BR89" s="3" t="n"/>
      <c r="BS89" s="3" t="n"/>
      <c r="BT89" s="3" t="n"/>
      <c r="BU89" s="3" t="n"/>
      <c r="BV89" s="3" t="n"/>
      <c r="BW89" s="3" t="n"/>
      <c r="BX89" s="3" t="n"/>
      <c r="BY89" s="3" t="n"/>
      <c r="BZ89" s="3" t="n"/>
      <c r="CA89" s="3" t="n"/>
      <c r="CB89" s="3" t="n"/>
      <c r="CC89" s="3" t="n"/>
      <c r="CD89" s="3" t="n"/>
      <c r="CE89" s="3" t="n"/>
      <c r="CF89" s="3" t="n"/>
      <c r="CG89" s="3" t="n"/>
      <c r="CH89" s="3" t="n"/>
      <c r="CI89" s="3" t="n"/>
      <c r="CJ89" s="3" t="n"/>
      <c r="CK89" s="3" t="n"/>
      <c r="CL89" s="3" t="n"/>
      <c r="CM89" s="3" t="n"/>
      <c r="CN89" s="3" t="n"/>
      <c r="CO89" s="3" t="n"/>
      <c r="CP89" s="3" t="n"/>
      <c r="CQ89" s="3" t="n"/>
      <c r="CR89" s="3" t="n"/>
      <c r="CS89" s="3" t="n"/>
      <c r="CT89" s="3" t="n"/>
      <c r="CU89" s="3" t="n"/>
      <c r="CV89" s="3" t="n"/>
      <c r="CW89" s="3" t="n"/>
      <c r="CX89" s="3" t="n"/>
      <c r="CY89" s="3" t="n"/>
    </row>
    <row r="90" hidden="1" outlineLevel="1">
      <c r="C90" s="34" t="inlineStr">
        <is>
          <t>Stake</t>
        </is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n"/>
      <c r="AK90" s="3" t="n"/>
      <c r="AL90" s="3" t="n"/>
      <c r="AM90" s="3" t="n"/>
      <c r="AN90" s="3" t="n"/>
      <c r="AO90" s="3" t="n"/>
      <c r="AP90" s="3" t="n"/>
      <c r="AQ90" s="3" t="n"/>
      <c r="AR90" s="3" t="n"/>
      <c r="AS90" s="3" t="n"/>
      <c r="AT90" s="3" t="n"/>
      <c r="AU90" s="3" t="n"/>
      <c r="AV90" s="3" t="n"/>
      <c r="AW90" s="3" t="n"/>
      <c r="AX90" s="3" t="n"/>
      <c r="AY90" s="3" t="n"/>
      <c r="AZ90" s="3" t="n"/>
      <c r="BA90" s="3" t="n"/>
      <c r="BB90" s="3" t="n"/>
      <c r="BC90" s="3" t="n"/>
      <c r="BD90" s="3" t="n"/>
      <c r="BE90" s="3" t="n"/>
      <c r="BF90" s="3" t="n"/>
      <c r="BG90" s="3" t="n"/>
      <c r="BH90" s="3" t="n"/>
      <c r="BI90" s="3" t="n"/>
      <c r="BJ90" s="3" t="n"/>
      <c r="BK90" s="3" t="n"/>
      <c r="BL90" s="3" t="n"/>
      <c r="BM90" s="3" t="n"/>
      <c r="BN90" s="3" t="n"/>
      <c r="BO90" s="3" t="n"/>
      <c r="BP90" s="3" t="n"/>
      <c r="BQ90" s="3" t="n"/>
      <c r="BR90" s="3" t="n"/>
      <c r="BS90" s="3" t="n"/>
      <c r="BT90" s="3" t="n"/>
      <c r="BU90" s="3" t="n"/>
      <c r="BV90" s="3" t="n"/>
      <c r="BW90" s="3" t="n"/>
      <c r="BX90" s="3" t="n"/>
      <c r="BY90" s="3" t="n"/>
      <c r="BZ90" s="3" t="n"/>
      <c r="CA90" s="3" t="n"/>
      <c r="CB90" s="3" t="n"/>
      <c r="CC90" s="3" t="n"/>
      <c r="CD90" s="3" t="n"/>
      <c r="CE90" s="3" t="n"/>
      <c r="CF90" s="3" t="n"/>
      <c r="CG90" s="3" t="n"/>
      <c r="CH90" s="3" t="n"/>
      <c r="CI90" s="3" t="n"/>
      <c r="CJ90" s="3" t="n"/>
      <c r="CK90" s="3" t="n"/>
      <c r="CL90" s="3" t="n"/>
      <c r="CM90" s="3" t="n"/>
      <c r="CN90" s="3" t="n"/>
      <c r="CO90" s="3" t="n"/>
      <c r="CP90" s="3" t="n"/>
      <c r="CQ90" s="3" t="n"/>
      <c r="CR90" s="3" t="n"/>
      <c r="CS90" s="3" t="n"/>
      <c r="CT90" s="3" t="n"/>
      <c r="CU90" s="3" t="n"/>
      <c r="CV90" s="3" t="n"/>
      <c r="CW90" s="3" t="n"/>
      <c r="CX90" s="3" t="n"/>
      <c r="CY90" s="3" t="n"/>
    </row>
    <row r="91" hidden="1" outlineLevel="1">
      <c r="C91" s="34" t="inlineStr">
        <is>
          <t>PRE</t>
        </is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n"/>
      <c r="AK91" s="3" t="n"/>
      <c r="AL91" s="3" t="n"/>
      <c r="AM91" s="3" t="n"/>
      <c r="AN91" s="3" t="n"/>
      <c r="AO91" s="3" t="n"/>
      <c r="AP91" s="3" t="n"/>
      <c r="AQ91" s="3" t="n"/>
      <c r="AR91" s="3" t="n"/>
      <c r="AS91" s="3" t="n"/>
      <c r="AT91" s="3" t="n"/>
      <c r="AU91" s="3" t="n"/>
      <c r="AV91" s="3" t="n"/>
      <c r="AW91" s="3" t="n"/>
      <c r="AX91" s="3" t="n"/>
      <c r="AY91" s="3" t="n"/>
      <c r="AZ91" s="3" t="n"/>
      <c r="BA91" s="3" t="n"/>
      <c r="BB91" s="3" t="n"/>
      <c r="BC91" s="3" t="n"/>
      <c r="BD91" s="3" t="n"/>
      <c r="BE91" s="3" t="n"/>
      <c r="BF91" s="3" t="n"/>
      <c r="BG91" s="3" t="n"/>
      <c r="BH91" s="3" t="n"/>
      <c r="BI91" s="3" t="n"/>
      <c r="BJ91" s="3" t="n"/>
      <c r="BK91" s="3" t="n"/>
      <c r="BL91" s="3" t="n"/>
      <c r="BM91" s="3" t="n"/>
      <c r="BN91" s="3" t="n"/>
      <c r="BO91" s="3" t="n"/>
      <c r="BP91" s="3" t="n"/>
      <c r="BQ91" s="3" t="n"/>
      <c r="BR91" s="3" t="n"/>
      <c r="BS91" s="3" t="n"/>
      <c r="BT91" s="3" t="n"/>
      <c r="BU91" s="3" t="n"/>
      <c r="BV91" s="3" t="n"/>
      <c r="BW91" s="3" t="n"/>
      <c r="BX91" s="3" t="n"/>
      <c r="BY91" s="3" t="n"/>
      <c r="BZ91" s="3" t="n"/>
      <c r="CA91" s="3" t="n"/>
      <c r="CB91" s="3" t="n"/>
      <c r="CC91" s="3" t="n"/>
      <c r="CD91" s="3" t="n"/>
      <c r="CE91" s="3" t="n"/>
      <c r="CF91" s="3" t="n"/>
      <c r="CG91" s="3" t="n"/>
      <c r="CH91" s="3" t="n"/>
      <c r="CI91" s="3" t="n"/>
      <c r="CJ91" s="3" t="n"/>
      <c r="CK91" s="3" t="n"/>
      <c r="CL91" s="3" t="n"/>
      <c r="CM91" s="3" t="n"/>
      <c r="CN91" s="3" t="n"/>
      <c r="CO91" s="3" t="n"/>
      <c r="CP91" s="3" t="n"/>
      <c r="CQ91" s="3" t="n"/>
      <c r="CR91" s="3" t="n"/>
      <c r="CS91" s="3" t="n"/>
      <c r="CT91" s="3" t="n"/>
      <c r="CU91" s="3" t="n"/>
      <c r="CV91" s="3" t="n"/>
      <c r="CW91" s="3" t="n"/>
      <c r="CX91" s="3" t="n"/>
      <c r="CY91" s="3" t="n"/>
    </row>
    <row r="92" hidden="1" outlineLevel="1">
      <c r="C92" s="34" t="inlineStr">
        <is>
          <t>CDI+</t>
        </is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3" t="n"/>
      <c r="AH92" s="3" t="n"/>
      <c r="AI92" s="3" t="n"/>
      <c r="AJ92" s="3" t="n"/>
      <c r="AK92" s="3" t="n"/>
      <c r="AL92" s="3" t="n"/>
      <c r="AM92" s="3" t="n"/>
      <c r="AN92" s="3" t="n"/>
      <c r="AO92" s="3" t="n"/>
      <c r="AP92" s="3" t="n"/>
      <c r="AQ92" s="3" t="n"/>
      <c r="AR92" s="3" t="n"/>
      <c r="AS92" s="3" t="n"/>
      <c r="AT92" s="3" t="n"/>
      <c r="AU92" s="3" t="n"/>
      <c r="AV92" s="3" t="n"/>
      <c r="AW92" s="3" t="n"/>
      <c r="AX92" s="3" t="n"/>
      <c r="AY92" s="3" t="n"/>
      <c r="AZ92" s="3" t="n"/>
      <c r="BA92" s="3" t="n"/>
      <c r="BB92" s="3" t="n"/>
      <c r="BC92" s="3" t="n"/>
      <c r="BD92" s="3" t="n"/>
      <c r="BE92" s="3" t="n"/>
      <c r="BF92" s="3" t="n"/>
      <c r="BG92" s="3" t="n"/>
      <c r="BH92" s="3" t="n"/>
      <c r="BI92" s="3" t="n"/>
      <c r="BJ92" s="3" t="n"/>
      <c r="BK92" s="3" t="n"/>
      <c r="BL92" s="3" t="n"/>
      <c r="BM92" s="3" t="n"/>
      <c r="BN92" s="3" t="n"/>
      <c r="BO92" s="3" t="n"/>
      <c r="BP92" s="3" t="n"/>
      <c r="BQ92" s="3" t="n"/>
      <c r="BR92" s="3" t="n"/>
      <c r="BS92" s="3" t="n"/>
      <c r="BT92" s="3" t="n"/>
      <c r="BU92" s="3" t="n"/>
      <c r="BV92" s="3" t="n"/>
      <c r="BW92" s="3" t="n"/>
      <c r="BX92" s="3" t="n"/>
      <c r="BY92" s="3" t="n"/>
      <c r="BZ92" s="3" t="n"/>
      <c r="CA92" s="3" t="n"/>
      <c r="CB92" s="3" t="n"/>
      <c r="CC92" s="3" t="n"/>
      <c r="CD92" s="3" t="n"/>
      <c r="CE92" s="3" t="n"/>
      <c r="CF92" s="3" t="n"/>
      <c r="CG92" s="3" t="n"/>
      <c r="CH92" s="3" t="n"/>
      <c r="CI92" s="3" t="n"/>
      <c r="CJ92" s="3" t="n"/>
      <c r="CK92" s="3" t="n"/>
      <c r="CL92" s="3" t="n"/>
      <c r="CM92" s="3" t="n"/>
      <c r="CN92" s="3" t="n"/>
      <c r="CO92" s="3" t="n"/>
      <c r="CP92" s="3" t="n"/>
      <c r="CQ92" s="3" t="n"/>
      <c r="CR92" s="3" t="n"/>
      <c r="CS92" s="3" t="n"/>
      <c r="CT92" s="3" t="n"/>
      <c r="CU92" s="3" t="n"/>
      <c r="CV92" s="3" t="n"/>
      <c r="CW92" s="3" t="n"/>
      <c r="CX92" s="3" t="n"/>
      <c r="CY92" s="3" t="n"/>
    </row>
    <row r="93" hidden="1" outlineLevel="1">
      <c r="C93" s="34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n"/>
      <c r="AK93" s="3" t="n"/>
      <c r="AL93" s="3" t="n"/>
      <c r="AM93" s="3" t="n"/>
      <c r="AN93" s="3" t="n"/>
      <c r="AO93" s="3" t="n"/>
      <c r="AP93" s="3" t="n"/>
      <c r="AQ93" s="3" t="n"/>
      <c r="AR93" s="3" t="n"/>
      <c r="AS93" s="3" t="n"/>
      <c r="AT93" s="3" t="n"/>
      <c r="AU93" s="3" t="n"/>
      <c r="AV93" s="3" t="n"/>
      <c r="AW93" s="3" t="n"/>
      <c r="AX93" s="3" t="n"/>
      <c r="AY93" s="3" t="n"/>
      <c r="AZ93" s="3" t="n"/>
      <c r="BA93" s="3" t="n"/>
      <c r="BB93" s="3" t="n"/>
      <c r="BC93" s="3" t="n"/>
      <c r="BD93" s="3" t="n"/>
      <c r="BE93" s="3" t="n"/>
      <c r="BF93" s="3" t="n"/>
      <c r="BG93" s="3" t="n"/>
      <c r="BH93" s="3" t="n"/>
      <c r="BI93" s="3" t="n"/>
      <c r="BJ93" s="3" t="n"/>
      <c r="BK93" s="3" t="n"/>
      <c r="BL93" s="3" t="n"/>
      <c r="BM93" s="3" t="n"/>
      <c r="BN93" s="3" t="n"/>
      <c r="BO93" s="3" t="n"/>
      <c r="BP93" s="3" t="n"/>
      <c r="BQ93" s="3" t="n"/>
      <c r="BR93" s="3" t="n"/>
      <c r="BS93" s="3" t="n"/>
      <c r="BT93" s="3" t="n"/>
      <c r="BU93" s="3" t="n"/>
      <c r="BV93" s="3" t="n"/>
      <c r="BW93" s="3" t="n"/>
      <c r="BX93" s="3" t="n"/>
      <c r="BY93" s="3" t="n"/>
      <c r="BZ93" s="3" t="n"/>
      <c r="CA93" s="3" t="n"/>
      <c r="CB93" s="3" t="n"/>
      <c r="CC93" s="3" t="n"/>
      <c r="CD93" s="3" t="n"/>
      <c r="CE93" s="3" t="n"/>
      <c r="CF93" s="3" t="n"/>
      <c r="CG93" s="3" t="n"/>
      <c r="CH93" s="3" t="n"/>
      <c r="CI93" s="3" t="n"/>
      <c r="CJ93" s="3" t="n"/>
      <c r="CK93" s="3" t="n"/>
      <c r="CL93" s="3" t="n"/>
      <c r="CM93" s="3" t="n"/>
      <c r="CN93" s="3" t="n"/>
      <c r="CO93" s="3" t="n"/>
      <c r="CP93" s="3" t="n"/>
      <c r="CQ93" s="3" t="n"/>
      <c r="CR93" s="3" t="n"/>
      <c r="CS93" s="3" t="n"/>
      <c r="CT93" s="3" t="n"/>
      <c r="CU93" s="3" t="n"/>
      <c r="CV93" s="3" t="n"/>
      <c r="CW93" s="3" t="n"/>
      <c r="CX93" s="3" t="n"/>
      <c r="CY93" s="3" t="n"/>
    </row>
    <row r="94" hidden="1" outlineLevel="1">
      <c r="C94" s="34" t="inlineStr">
        <is>
          <t>Spread</t>
        </is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n"/>
      <c r="AK94" s="3" t="n"/>
      <c r="AL94" s="3" t="n"/>
      <c r="AM94" s="3" t="n"/>
      <c r="AN94" s="3" t="n"/>
      <c r="AO94" s="3" t="n"/>
      <c r="AP94" s="3" t="n"/>
      <c r="AQ94" s="3" t="n"/>
      <c r="AR94" s="3" t="n"/>
      <c r="AS94" s="3" t="n"/>
      <c r="AT94" s="3" t="n"/>
      <c r="AU94" s="3" t="n"/>
      <c r="AV94" s="3" t="n"/>
      <c r="AW94" s="3" t="n"/>
      <c r="AX94" s="3" t="n"/>
      <c r="AY94" s="3" t="n"/>
      <c r="AZ94" s="3" t="n"/>
      <c r="BA94" s="3" t="n"/>
      <c r="BB94" s="3" t="n"/>
      <c r="BC94" s="3" t="n"/>
      <c r="BD94" s="3" t="n"/>
      <c r="BE94" s="3" t="n"/>
      <c r="BF94" s="3" t="n"/>
      <c r="BG94" s="3" t="n"/>
      <c r="BH94" s="3" t="n"/>
      <c r="BI94" s="3" t="n"/>
      <c r="BJ94" s="3" t="n"/>
      <c r="BK94" s="3" t="n"/>
      <c r="BL94" s="3" t="n"/>
      <c r="BM94" s="3" t="n"/>
      <c r="BN94" s="3" t="n"/>
      <c r="BO94" s="3" t="n"/>
      <c r="BP94" s="3" t="n"/>
      <c r="BQ94" s="3" t="n"/>
      <c r="BR94" s="3" t="n"/>
      <c r="BS94" s="3" t="n"/>
      <c r="BT94" s="3" t="n"/>
      <c r="BU94" s="3" t="n"/>
      <c r="BV94" s="3" t="n"/>
      <c r="BW94" s="3" t="n"/>
      <c r="BX94" s="3" t="n"/>
      <c r="BY94" s="3" t="n"/>
      <c r="BZ94" s="3" t="n"/>
      <c r="CA94" s="3" t="n"/>
      <c r="CB94" s="3" t="n"/>
      <c r="CC94" s="3" t="n"/>
      <c r="CD94" s="3" t="n"/>
      <c r="CE94" s="3" t="n"/>
      <c r="CF94" s="3" t="n"/>
      <c r="CG94" s="3" t="n"/>
      <c r="CH94" s="3" t="n"/>
      <c r="CI94" s="3" t="n"/>
      <c r="CJ94" s="3" t="n"/>
      <c r="CK94" s="3" t="n"/>
      <c r="CL94" s="3" t="n"/>
      <c r="CM94" s="3" t="n"/>
      <c r="CN94" s="3" t="n"/>
      <c r="CO94" s="3" t="n"/>
      <c r="CP94" s="3" t="n"/>
      <c r="CQ94" s="3" t="n"/>
      <c r="CR94" s="3" t="n"/>
      <c r="CS94" s="3" t="n"/>
      <c r="CT94" s="3" t="n"/>
      <c r="CU94" s="3" t="n"/>
      <c r="CV94" s="3" t="n"/>
      <c r="CW94" s="3" t="n"/>
      <c r="CX94" s="3" t="n"/>
      <c r="CY94" s="3" t="n"/>
    </row>
    <row r="95" hidden="1" outlineLevel="1">
      <c r="C95" s="34" t="inlineStr">
        <is>
          <t>PRE</t>
        </is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/>
      <c r="AK95" s="3" t="n"/>
      <c r="AL95" s="3" t="n"/>
      <c r="AM95" s="3" t="n"/>
      <c r="AN95" s="3" t="n"/>
      <c r="AO95" s="3" t="n"/>
      <c r="AP95" s="3" t="n"/>
      <c r="AQ95" s="3" t="n"/>
      <c r="AR95" s="3" t="n"/>
      <c r="AS95" s="3" t="n"/>
      <c r="AT95" s="3" t="n"/>
      <c r="AU95" s="3" t="n"/>
      <c r="AV95" s="3" t="n"/>
      <c r="AW95" s="3" t="n"/>
      <c r="AX95" s="3" t="n"/>
      <c r="AY95" s="3" t="n"/>
      <c r="AZ95" s="3" t="n"/>
      <c r="BA95" s="3" t="n"/>
      <c r="BB95" s="3" t="n"/>
      <c r="BC95" s="3" t="n"/>
      <c r="BD95" s="3" t="n"/>
      <c r="BE95" s="3" t="n"/>
      <c r="BF95" s="3" t="n"/>
      <c r="BG95" s="3" t="n"/>
      <c r="BH95" s="3" t="n"/>
      <c r="BI95" s="3" t="n"/>
      <c r="BJ95" s="3" t="n"/>
      <c r="BK95" s="3" t="n"/>
      <c r="BL95" s="3" t="n"/>
      <c r="BM95" s="3" t="n"/>
      <c r="BN95" s="3" t="n"/>
      <c r="BO95" s="3" t="n"/>
      <c r="BP95" s="3" t="n"/>
      <c r="BQ95" s="3" t="n"/>
      <c r="BR95" s="3" t="n"/>
      <c r="BS95" s="3" t="n"/>
      <c r="BT95" s="3" t="n"/>
      <c r="BU95" s="3" t="n"/>
      <c r="BV95" s="3" t="n"/>
      <c r="BW95" s="3" t="n"/>
      <c r="BX95" s="3" t="n"/>
      <c r="BY95" s="3" t="n"/>
      <c r="BZ95" s="3" t="n"/>
      <c r="CA95" s="3" t="n"/>
      <c r="CB95" s="3" t="n"/>
      <c r="CC95" s="3" t="n"/>
      <c r="CD95" s="3" t="n"/>
      <c r="CE95" s="3" t="n"/>
      <c r="CF95" s="3" t="n"/>
      <c r="CG95" s="3" t="n"/>
      <c r="CH95" s="3" t="n"/>
      <c r="CI95" s="3" t="n"/>
      <c r="CJ95" s="3" t="n"/>
      <c r="CK95" s="3" t="n"/>
      <c r="CL95" s="3" t="n"/>
      <c r="CM95" s="3" t="n"/>
      <c r="CN95" s="3" t="n"/>
      <c r="CO95" s="3" t="n"/>
      <c r="CP95" s="3" t="n"/>
      <c r="CQ95" s="3" t="n"/>
      <c r="CR95" s="3" t="n"/>
      <c r="CS95" s="3" t="n"/>
      <c r="CT95" s="3" t="n"/>
      <c r="CU95" s="3" t="n"/>
      <c r="CV95" s="3" t="n"/>
      <c r="CW95" s="3" t="n"/>
      <c r="CX95" s="3" t="n"/>
      <c r="CY95" s="3" t="n"/>
    </row>
    <row r="96" hidden="1" outlineLevel="1">
      <c r="C96" s="34" t="inlineStr">
        <is>
          <t>CDI+</t>
        </is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n"/>
      <c r="AK96" s="3" t="n"/>
      <c r="AL96" s="3" t="n"/>
      <c r="AM96" s="3" t="n"/>
      <c r="AN96" s="3" t="n"/>
      <c r="AO96" s="3" t="n"/>
      <c r="AP96" s="3" t="n"/>
      <c r="AQ96" s="3" t="n"/>
      <c r="AR96" s="3" t="n"/>
      <c r="AS96" s="3" t="n"/>
      <c r="AT96" s="3" t="n"/>
      <c r="AU96" s="3" t="n"/>
      <c r="AV96" s="3" t="n"/>
      <c r="AW96" s="3" t="n"/>
      <c r="AX96" s="3" t="n"/>
      <c r="AY96" s="3" t="n"/>
      <c r="AZ96" s="3" t="n"/>
      <c r="BA96" s="3" t="n"/>
      <c r="BB96" s="3" t="n"/>
      <c r="BC96" s="3" t="n"/>
      <c r="BD96" s="3" t="n"/>
      <c r="BE96" s="3" t="n"/>
      <c r="BF96" s="3" t="n"/>
      <c r="BG96" s="3" t="n"/>
      <c r="BH96" s="3" t="n"/>
      <c r="BI96" s="3" t="n"/>
      <c r="BJ96" s="3" t="n"/>
      <c r="BK96" s="3" t="n"/>
      <c r="BL96" s="3" t="n"/>
      <c r="BM96" s="3" t="n"/>
      <c r="BN96" s="3" t="n"/>
      <c r="BO96" s="3" t="n"/>
      <c r="BP96" s="3" t="n"/>
      <c r="BQ96" s="3" t="n"/>
      <c r="BR96" s="3" t="n"/>
      <c r="BS96" s="3" t="n"/>
      <c r="BT96" s="3" t="n"/>
      <c r="BU96" s="3" t="n"/>
      <c r="BV96" s="3" t="n"/>
      <c r="BW96" s="3" t="n"/>
      <c r="BX96" s="3" t="n"/>
      <c r="BY96" s="3" t="n"/>
      <c r="BZ96" s="3" t="n"/>
      <c r="CA96" s="3" t="n"/>
      <c r="CB96" s="3" t="n"/>
      <c r="CC96" s="3" t="n"/>
      <c r="CD96" s="3" t="n"/>
      <c r="CE96" s="3" t="n"/>
      <c r="CF96" s="3" t="n"/>
      <c r="CG96" s="3" t="n"/>
      <c r="CH96" s="3" t="n"/>
      <c r="CI96" s="3" t="n"/>
      <c r="CJ96" s="3" t="n"/>
      <c r="CK96" s="3" t="n"/>
      <c r="CL96" s="3" t="n"/>
      <c r="CM96" s="3" t="n"/>
      <c r="CN96" s="3" t="n"/>
      <c r="CO96" s="3" t="n"/>
      <c r="CP96" s="3" t="n"/>
      <c r="CQ96" s="3" t="n"/>
      <c r="CR96" s="3" t="n"/>
      <c r="CS96" s="3" t="n"/>
      <c r="CT96" s="3" t="n"/>
      <c r="CU96" s="3" t="n"/>
      <c r="CV96" s="3" t="n"/>
      <c r="CW96" s="3" t="n"/>
      <c r="CX96" s="3" t="n"/>
      <c r="CY96" s="3" t="n"/>
    </row>
    <row r="97" hidden="1" outlineLevel="1">
      <c r="C97" s="34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/>
      <c r="AK97" s="3" t="n"/>
      <c r="AL97" s="3" t="n"/>
      <c r="AM97" s="3" t="n"/>
      <c r="AN97" s="3" t="n"/>
      <c r="AO97" s="3" t="n"/>
      <c r="AP97" s="3" t="n"/>
      <c r="AQ97" s="3" t="n"/>
      <c r="AR97" s="3" t="n"/>
      <c r="AS97" s="3" t="n"/>
      <c r="AT97" s="3" t="n"/>
      <c r="AU97" s="3" t="n"/>
      <c r="AV97" s="3" t="n"/>
      <c r="AW97" s="3" t="n"/>
      <c r="AX97" s="3" t="n"/>
      <c r="AY97" s="3" t="n"/>
      <c r="AZ97" s="3" t="n"/>
      <c r="BA97" s="3" t="n"/>
      <c r="BB97" s="3" t="n"/>
      <c r="BC97" s="3" t="n"/>
      <c r="BD97" s="3" t="n"/>
      <c r="BE97" s="3" t="n"/>
      <c r="BF97" s="3" t="n"/>
      <c r="BG97" s="3" t="n"/>
      <c r="BH97" s="3" t="n"/>
      <c r="BI97" s="3" t="n"/>
      <c r="BJ97" s="3" t="n"/>
      <c r="BK97" s="3" t="n"/>
      <c r="BL97" s="3" t="n"/>
      <c r="BM97" s="3" t="n"/>
      <c r="BN97" s="3" t="n"/>
      <c r="BO97" s="3" t="n"/>
      <c r="BP97" s="3" t="n"/>
      <c r="BQ97" s="3" t="n"/>
      <c r="BR97" s="3" t="n"/>
      <c r="BS97" s="3" t="n"/>
      <c r="BT97" s="3" t="n"/>
      <c r="BU97" s="3" t="n"/>
      <c r="BV97" s="3" t="n"/>
      <c r="BW97" s="3" t="n"/>
      <c r="BX97" s="3" t="n"/>
      <c r="BY97" s="3" t="n"/>
      <c r="BZ97" s="3" t="n"/>
      <c r="CA97" s="3" t="n"/>
      <c r="CB97" s="3" t="n"/>
      <c r="CC97" s="3" t="n"/>
      <c r="CD97" s="3" t="n"/>
      <c r="CE97" s="3" t="n"/>
      <c r="CF97" s="3" t="n"/>
      <c r="CG97" s="3" t="n"/>
      <c r="CH97" s="3" t="n"/>
      <c r="CI97" s="3" t="n"/>
      <c r="CJ97" s="3" t="n"/>
      <c r="CK97" s="3" t="n"/>
      <c r="CL97" s="3" t="n"/>
      <c r="CM97" s="3" t="n"/>
      <c r="CN97" s="3" t="n"/>
      <c r="CO97" s="3" t="n"/>
      <c r="CP97" s="3" t="n"/>
      <c r="CQ97" s="3" t="n"/>
      <c r="CR97" s="3" t="n"/>
      <c r="CS97" s="3" t="n"/>
      <c r="CT97" s="3" t="n"/>
      <c r="CU97" s="3" t="n"/>
      <c r="CV97" s="3" t="n"/>
      <c r="CW97" s="3" t="n"/>
      <c r="CX97" s="3" t="n"/>
      <c r="CY97" s="3" t="n"/>
    </row>
    <row r="98" hidden="1" outlineLevel="1">
      <c r="C98" s="34" t="inlineStr">
        <is>
          <t>RECEITAS FINANCEIRAS - Rendimentos de aplicações financeiras</t>
        </is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n"/>
      <c r="AK98" s="3" t="n"/>
      <c r="AL98" s="3" t="n"/>
      <c r="AM98" s="3" t="n"/>
      <c r="AN98" s="3" t="n"/>
      <c r="AO98" s="3" t="n"/>
      <c r="AP98" s="3" t="n"/>
      <c r="AQ98" s="3" t="n"/>
      <c r="AR98" s="3" t="n"/>
      <c r="AS98" s="3" t="n"/>
      <c r="AT98" s="3" t="n"/>
      <c r="AU98" s="3" t="n"/>
      <c r="AV98" s="3" t="n"/>
      <c r="AW98" s="3" t="n"/>
      <c r="AX98" s="3" t="n"/>
      <c r="AY98" s="3" t="n"/>
      <c r="AZ98" s="3" t="n"/>
      <c r="BA98" s="3" t="n"/>
      <c r="BB98" s="3" t="n"/>
      <c r="BC98" s="3" t="n"/>
      <c r="BD98" s="3" t="n"/>
      <c r="BE98" s="3" t="n"/>
      <c r="BF98" s="3" t="n"/>
      <c r="BG98" s="3" t="n"/>
      <c r="BH98" s="3" t="n"/>
      <c r="BI98" s="3" t="n"/>
      <c r="BJ98" s="3" t="n"/>
      <c r="BK98" s="3" t="n"/>
      <c r="BL98" s="3" t="n"/>
      <c r="BM98" s="3" t="n"/>
      <c r="BN98" s="3" t="n"/>
      <c r="BO98" s="3" t="n"/>
      <c r="BP98" s="3" t="n"/>
      <c r="BQ98" s="3" t="n"/>
      <c r="BR98" s="3" t="n"/>
      <c r="BS98" s="3" t="n"/>
      <c r="BT98" s="3" t="n"/>
      <c r="BU98" s="3" t="n"/>
      <c r="BV98" s="3" t="n"/>
      <c r="BW98" s="3" t="n"/>
      <c r="BX98" s="3" t="n"/>
      <c r="BY98" s="3" t="n"/>
      <c r="BZ98" s="3" t="n"/>
      <c r="CA98" s="3" t="n"/>
      <c r="CB98" s="3" t="n"/>
      <c r="CC98" s="3" t="n"/>
      <c r="CD98" s="3" t="n"/>
      <c r="CE98" s="3" t="n"/>
      <c r="CF98" s="3" t="n"/>
      <c r="CG98" s="3" t="n"/>
      <c r="CH98" s="3" t="n"/>
      <c r="CI98" s="3" t="n"/>
      <c r="CJ98" s="3" t="n"/>
      <c r="CK98" s="3" t="n"/>
      <c r="CL98" s="3" t="n"/>
      <c r="CM98" s="3" t="n"/>
      <c r="CN98" s="3" t="n"/>
      <c r="CO98" s="3" t="n"/>
      <c r="CP98" s="3" t="n"/>
      <c r="CQ98" s="3" t="n"/>
      <c r="CR98" s="3" t="n"/>
      <c r="CS98" s="3" t="n"/>
      <c r="CT98" s="3" t="n"/>
      <c r="CU98" s="3" t="n"/>
      <c r="CV98" s="3" t="n"/>
      <c r="CW98" s="3" t="n"/>
      <c r="CX98" s="3" t="n"/>
      <c r="CY98" s="3" t="n"/>
    </row>
    <row r="99" hidden="1" outlineLevel="1">
      <c r="C99" s="34" t="inlineStr">
        <is>
          <t>RECEITAS FINANCEIRAS - Variação cambial ativa</t>
        </is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  <c r="AL99" s="3" t="n"/>
      <c r="AM99" s="3" t="n"/>
      <c r="AN99" s="3" t="n"/>
      <c r="AO99" s="3" t="n"/>
      <c r="AP99" s="3" t="n"/>
      <c r="AQ99" s="3" t="n"/>
      <c r="AR99" s="3" t="n"/>
      <c r="AS99" s="3" t="n"/>
      <c r="AT99" s="3" t="n"/>
      <c r="AU99" s="3" t="n"/>
      <c r="AV99" s="3" t="n"/>
      <c r="AW99" s="3" t="n"/>
      <c r="AX99" s="3" t="n"/>
      <c r="AY99" s="3" t="n"/>
      <c r="AZ99" s="3" t="n"/>
      <c r="BA99" s="3" t="n"/>
      <c r="BB99" s="3" t="n"/>
      <c r="BC99" s="3" t="n"/>
      <c r="BD99" s="3" t="n"/>
      <c r="BE99" s="3" t="n"/>
      <c r="BF99" s="3" t="n"/>
      <c r="BG99" s="3" t="n"/>
      <c r="BH99" s="3" t="n"/>
      <c r="BI99" s="3" t="n"/>
      <c r="BJ99" s="3" t="n"/>
      <c r="BK99" s="3" t="n"/>
      <c r="BL99" s="3" t="n"/>
      <c r="BM99" s="3" t="n"/>
      <c r="BN99" s="3" t="n"/>
      <c r="BO99" s="3" t="n"/>
      <c r="BP99" s="3" t="n"/>
      <c r="BQ99" s="3" t="n"/>
      <c r="BR99" s="3" t="n"/>
      <c r="BS99" s="3" t="n"/>
      <c r="BT99" s="3" t="n"/>
      <c r="BU99" s="3" t="n"/>
      <c r="BV99" s="3" t="n"/>
      <c r="BW99" s="3" t="n"/>
      <c r="BX99" s="3" t="n"/>
      <c r="BY99" s="3" t="n"/>
      <c r="BZ99" s="3" t="n"/>
      <c r="CA99" s="3" t="n"/>
      <c r="CB99" s="3" t="n"/>
      <c r="CC99" s="3" t="n"/>
      <c r="CD99" s="3" t="n"/>
      <c r="CE99" s="3" t="n"/>
      <c r="CF99" s="3" t="n"/>
      <c r="CG99" s="3" t="n"/>
      <c r="CH99" s="3" t="n"/>
      <c r="CI99" s="3" t="n"/>
      <c r="CJ99" s="3" t="n"/>
      <c r="CK99" s="3" t="n"/>
      <c r="CL99" s="3" t="n"/>
      <c r="CM99" s="3" t="n"/>
      <c r="CN99" s="3" t="n"/>
      <c r="CO99" s="3" t="n"/>
      <c r="CP99" s="3" t="n"/>
      <c r="CQ99" s="3" t="n"/>
      <c r="CR99" s="3" t="n"/>
      <c r="CS99" s="3" t="n"/>
      <c r="CT99" s="3" t="n"/>
      <c r="CU99" s="3" t="n"/>
      <c r="CV99" s="3" t="n"/>
      <c r="CW99" s="3" t="n"/>
      <c r="CX99" s="3" t="n"/>
      <c r="CY99" s="3" t="n"/>
    </row>
    <row r="100" hidden="1" outlineLevel="1">
      <c r="C100" s="34" t="inlineStr">
        <is>
          <t>RECEITAS FINANCEIRAS - Atualização de contas a pagar por aquisição de empresas</t>
        </is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n"/>
      <c r="AK100" s="3" t="n"/>
      <c r="AL100" s="3" t="n"/>
      <c r="AM100" s="3" t="n"/>
      <c r="AN100" s="3" t="n"/>
      <c r="AO100" s="3" t="n"/>
      <c r="AP100" s="3" t="n"/>
      <c r="AQ100" s="3" t="n"/>
      <c r="AR100" s="3" t="n"/>
      <c r="AS100" s="3" t="n"/>
      <c r="AT100" s="3" t="n"/>
      <c r="AU100" s="3" t="n"/>
      <c r="AV100" s="3" t="n"/>
      <c r="AW100" s="3" t="n"/>
      <c r="AX100" s="3" t="n"/>
      <c r="AY100" s="3" t="n"/>
      <c r="AZ100" s="3" t="n"/>
      <c r="BA100" s="3" t="n"/>
      <c r="BB100" s="3" t="n"/>
      <c r="BC100" s="3" t="n"/>
      <c r="BD100" s="3" t="n"/>
      <c r="BE100" s="3" t="n"/>
      <c r="BF100" s="3" t="n"/>
      <c r="BG100" s="3" t="n"/>
      <c r="BH100" s="3" t="n"/>
      <c r="BI100" s="3" t="n"/>
      <c r="BJ100" s="3" t="n"/>
      <c r="BK100" s="3" t="n"/>
      <c r="BL100" s="3" t="n"/>
      <c r="BM100" s="3" t="n"/>
      <c r="BN100" s="3" t="n"/>
      <c r="BO100" s="3" t="n"/>
      <c r="BP100" s="3" t="n"/>
      <c r="BQ100" s="3" t="n"/>
      <c r="BR100" s="3" t="n"/>
      <c r="BS100" s="3" t="n"/>
      <c r="BT100" s="3" t="n"/>
      <c r="BU100" s="3" t="n"/>
      <c r="BV100" s="3" t="n"/>
      <c r="BW100" s="3" t="n"/>
      <c r="BX100" s="3" t="n"/>
      <c r="BY100" s="3" t="n"/>
      <c r="BZ100" s="3" t="n"/>
      <c r="CA100" s="3" t="n"/>
      <c r="CB100" s="3" t="n"/>
      <c r="CC100" s="3" t="n"/>
      <c r="CD100" s="3" t="n"/>
      <c r="CE100" s="3" t="n"/>
      <c r="CF100" s="3" t="n"/>
      <c r="CG100" s="3" t="n"/>
      <c r="CH100" s="3" t="n"/>
      <c r="CI100" s="3" t="n"/>
      <c r="CJ100" s="3" t="n"/>
      <c r="CK100" s="3" t="n"/>
      <c r="CL100" s="3" t="n"/>
      <c r="CM100" s="3" t="n"/>
      <c r="CN100" s="3" t="n"/>
      <c r="CO100" s="3" t="n"/>
      <c r="CP100" s="3" t="n"/>
      <c r="CQ100" s="3" t="n"/>
      <c r="CR100" s="3" t="n"/>
      <c r="CS100" s="3" t="n"/>
      <c r="CT100" s="3" t="n"/>
      <c r="CU100" s="3" t="n"/>
      <c r="CV100" s="3" t="n"/>
      <c r="CW100" s="3" t="n"/>
      <c r="CX100" s="3" t="n"/>
      <c r="CY100" s="3" t="n"/>
    </row>
    <row r="101" hidden="1" outlineLevel="1">
      <c r="C101" s="34" t="inlineStr">
        <is>
          <t>RECEITAS FINANCEIRAS - Resultado positivo com instrumentos derivativos</t>
        </is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n"/>
      <c r="AK101" s="3" t="n"/>
      <c r="AL101" s="3" t="n"/>
      <c r="AM101" s="3" t="n"/>
      <c r="AN101" s="3" t="n"/>
      <c r="AO101" s="3" t="n"/>
      <c r="AP101" s="3" t="n"/>
      <c r="AQ101" s="3" t="n"/>
      <c r="AR101" s="3" t="n"/>
      <c r="AS101" s="3" t="n"/>
      <c r="AT101" s="3" t="n"/>
      <c r="AU101" s="3" t="n"/>
      <c r="AV101" s="3" t="n"/>
      <c r="AW101" s="3" t="n"/>
      <c r="AX101" s="3" t="n"/>
      <c r="AY101" s="3" t="n"/>
      <c r="AZ101" s="3" t="n"/>
      <c r="BA101" s="3" t="n"/>
      <c r="BB101" s="3" t="n"/>
      <c r="BC101" s="3" t="n"/>
      <c r="BD101" s="3" t="n"/>
      <c r="BE101" s="3" t="n"/>
      <c r="BF101" s="3" t="n"/>
      <c r="BG101" s="3" t="n"/>
      <c r="BH101" s="3" t="n"/>
      <c r="BI101" s="3" t="n"/>
      <c r="BJ101" s="3" t="n"/>
      <c r="BK101" s="3" t="n"/>
      <c r="BL101" s="3" t="n"/>
      <c r="BM101" s="3" t="n"/>
      <c r="BN101" s="3" t="n"/>
      <c r="BO101" s="3" t="n"/>
      <c r="BP101" s="3" t="n"/>
      <c r="BQ101" s="3" t="n"/>
      <c r="BR101" s="3" t="n"/>
      <c r="BS101" s="3" t="n"/>
      <c r="BT101" s="3" t="n"/>
      <c r="BU101" s="3" t="n"/>
      <c r="BV101" s="3" t="n"/>
      <c r="BW101" s="3" t="n"/>
      <c r="BX101" s="3" t="n"/>
      <c r="BY101" s="3" t="n"/>
      <c r="BZ101" s="3" t="n"/>
      <c r="CA101" s="3" t="n"/>
      <c r="CB101" s="3" t="n"/>
      <c r="CC101" s="3" t="n"/>
      <c r="CD101" s="3" t="n"/>
      <c r="CE101" s="3" t="n"/>
      <c r="CF101" s="3" t="n"/>
      <c r="CG101" s="3" t="n"/>
      <c r="CH101" s="3" t="n"/>
      <c r="CI101" s="3" t="n"/>
      <c r="CJ101" s="3" t="n"/>
      <c r="CK101" s="3" t="n"/>
      <c r="CL101" s="3" t="n"/>
      <c r="CM101" s="3" t="n"/>
      <c r="CN101" s="3" t="n"/>
      <c r="CO101" s="3" t="n"/>
      <c r="CP101" s="3" t="n"/>
      <c r="CQ101" s="3" t="n"/>
      <c r="CR101" s="3" t="n"/>
      <c r="CS101" s="3" t="n"/>
      <c r="CT101" s="3" t="n"/>
      <c r="CU101" s="3" t="n"/>
      <c r="CV101" s="3" t="n"/>
      <c r="CW101" s="3" t="n"/>
      <c r="CX101" s="3" t="n"/>
      <c r="CY101" s="3" t="n"/>
    </row>
    <row r="102" hidden="1" outlineLevel="1">
      <c r="C102" s="34" t="inlineStr">
        <is>
          <t>RECEITAS FINANCEIRAS - Descontos obtidos de fornecedores por antecipação</t>
        </is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  <c r="AG102" s="3" t="n"/>
      <c r="AH102" s="3" t="n"/>
      <c r="AI102" s="3" t="n"/>
      <c r="AJ102" s="3" t="n"/>
      <c r="AK102" s="3" t="n"/>
      <c r="AL102" s="3" t="n"/>
      <c r="AM102" s="3" t="n"/>
      <c r="AN102" s="3" t="n"/>
      <c r="AO102" s="3" t="n"/>
      <c r="AP102" s="3" t="n"/>
      <c r="AQ102" s="3" t="n"/>
      <c r="AR102" s="3" t="n"/>
      <c r="AS102" s="3" t="n"/>
      <c r="AT102" s="3" t="n"/>
      <c r="AU102" s="3" t="n"/>
      <c r="AV102" s="3" t="n"/>
      <c r="AW102" s="3" t="n"/>
      <c r="AX102" s="3" t="n"/>
      <c r="AY102" s="3" t="n"/>
      <c r="AZ102" s="3" t="n"/>
      <c r="BA102" s="3" t="n"/>
      <c r="BB102" s="3" t="n"/>
      <c r="BC102" s="3" t="n"/>
      <c r="BD102" s="3" t="n"/>
      <c r="BE102" s="3" t="n"/>
      <c r="BF102" s="3" t="n"/>
      <c r="BG102" s="3" t="n"/>
      <c r="BH102" s="3" t="n"/>
      <c r="BI102" s="3" t="n"/>
      <c r="BJ102" s="3" t="n"/>
      <c r="BK102" s="3" t="n"/>
      <c r="BL102" s="3" t="n"/>
      <c r="BM102" s="3" t="n"/>
      <c r="BN102" s="3" t="n"/>
      <c r="BO102" s="3" t="n"/>
      <c r="BP102" s="3" t="n"/>
      <c r="BQ102" s="3" t="n"/>
      <c r="BR102" s="3" t="n"/>
      <c r="BS102" s="3" t="n"/>
      <c r="BT102" s="3" t="n"/>
      <c r="BU102" s="3" t="n"/>
      <c r="BV102" s="3" t="n"/>
      <c r="BW102" s="3" t="n"/>
      <c r="BX102" s="3" t="n"/>
      <c r="BY102" s="3" t="n"/>
      <c r="BZ102" s="3" t="n"/>
      <c r="CA102" s="3" t="n"/>
      <c r="CB102" s="3" t="n"/>
      <c r="CC102" s="3" t="n"/>
      <c r="CD102" s="3" t="n"/>
      <c r="CE102" s="3" t="n"/>
      <c r="CF102" s="3" t="n"/>
      <c r="CG102" s="3" t="n"/>
      <c r="CH102" s="3" t="n"/>
      <c r="CI102" s="3" t="n"/>
      <c r="CJ102" s="3" t="n"/>
      <c r="CK102" s="3" t="n"/>
      <c r="CL102" s="3" t="n"/>
      <c r="CM102" s="3" t="n"/>
      <c r="CN102" s="3" t="n"/>
      <c r="CO102" s="3" t="n"/>
      <c r="CP102" s="3" t="n"/>
      <c r="CQ102" s="3" t="n"/>
      <c r="CR102" s="3" t="n"/>
      <c r="CS102" s="3" t="n"/>
      <c r="CT102" s="3" t="n"/>
      <c r="CU102" s="3" t="n"/>
      <c r="CV102" s="3" t="n"/>
      <c r="CW102" s="3" t="n"/>
      <c r="CX102" s="3" t="n"/>
      <c r="CY102" s="3" t="n"/>
    </row>
    <row r="103" hidden="1" outlineLevel="1">
      <c r="C103" s="34" t="inlineStr">
        <is>
          <t>RECEITAS FINANCEIRAS - Atualização monetária sobre Exclusão ICMS da base de PIS/COFINS (nota explicativa nº 7)</t>
        </is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n"/>
      <c r="AK103" s="3" t="n"/>
      <c r="AL103" s="3" t="n"/>
      <c r="AM103" s="3" t="n"/>
      <c r="AN103" s="3" t="n"/>
      <c r="AO103" s="3" t="n"/>
      <c r="AP103" s="3" t="n"/>
      <c r="AQ103" s="3" t="n"/>
      <c r="AR103" s="3" t="n"/>
      <c r="AS103" s="3" t="n"/>
      <c r="AT103" s="3" t="n"/>
      <c r="AU103" s="3" t="n"/>
      <c r="AV103" s="3" t="n"/>
      <c r="AW103" s="3" t="n"/>
      <c r="AX103" s="3" t="n"/>
      <c r="AY103" s="3" t="n"/>
      <c r="AZ103" s="3" t="n"/>
      <c r="BA103" s="3" t="n"/>
      <c r="BB103" s="3" t="n"/>
      <c r="BC103" s="3" t="n"/>
      <c r="BD103" s="3" t="n"/>
      <c r="BE103" s="3" t="n"/>
      <c r="BF103" s="3" t="n"/>
      <c r="BG103" s="3" t="n"/>
      <c r="BH103" s="3" t="n"/>
      <c r="BI103" s="3" t="n"/>
      <c r="BJ103" s="3" t="n"/>
      <c r="BK103" s="3" t="n"/>
      <c r="BL103" s="3" t="n"/>
      <c r="BM103" s="3" t="n"/>
      <c r="BN103" s="3" t="n"/>
      <c r="BO103" s="3" t="n"/>
      <c r="BP103" s="3" t="n"/>
      <c r="BQ103" s="3" t="n"/>
      <c r="BR103" s="3" t="n"/>
      <c r="BS103" s="3" t="n"/>
      <c r="BT103" s="3" t="n"/>
      <c r="BU103" s="3" t="n"/>
      <c r="BV103" s="3" t="n"/>
      <c r="BW103" s="3" t="n"/>
      <c r="BX103" s="3" t="n"/>
      <c r="BY103" s="3" t="n"/>
      <c r="BZ103" s="3" t="n"/>
      <c r="CA103" s="3" t="n"/>
      <c r="CB103" s="3" t="n"/>
      <c r="CC103" s="3" t="n"/>
      <c r="CD103" s="3" t="n"/>
      <c r="CE103" s="3" t="n"/>
      <c r="CF103" s="3" t="n"/>
      <c r="CG103" s="3" t="n"/>
      <c r="CH103" s="3" t="n"/>
      <c r="CI103" s="3" t="n"/>
      <c r="CJ103" s="3" t="n"/>
      <c r="CK103" s="3" t="n"/>
      <c r="CL103" s="3" t="n"/>
      <c r="CM103" s="3" t="n"/>
      <c r="CN103" s="3" t="n"/>
      <c r="CO103" s="3" t="n"/>
      <c r="CP103" s="3" t="n"/>
      <c r="CQ103" s="3" t="n"/>
      <c r="CR103" s="3" t="n"/>
      <c r="CS103" s="3" t="n"/>
      <c r="CT103" s="3" t="n"/>
      <c r="CU103" s="3" t="n"/>
      <c r="CV103" s="3" t="n"/>
      <c r="CW103" s="3" t="n"/>
      <c r="CX103" s="3" t="n"/>
      <c r="CY103" s="3" t="n"/>
    </row>
    <row r="104" hidden="1" outlineLevel="1">
      <c r="C104" s="34" t="inlineStr">
        <is>
          <t>RECEITAS FINANCEIRAS - Outras</t>
        </is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3" t="n"/>
      <c r="AD104" s="3" t="n"/>
      <c r="AE104" s="3" t="n"/>
      <c r="AF104" s="3" t="n"/>
      <c r="AG104" s="3" t="n"/>
      <c r="AH104" s="3" t="n"/>
      <c r="AI104" s="3" t="n"/>
      <c r="AJ104" s="3" t="n"/>
      <c r="AK104" s="3" t="n"/>
      <c r="AL104" s="3" t="n"/>
      <c r="AM104" s="3" t="n"/>
      <c r="AN104" s="3" t="n"/>
      <c r="AO104" s="3" t="n"/>
      <c r="AP104" s="3" t="n"/>
      <c r="AQ104" s="3" t="n"/>
      <c r="AR104" s="3" t="n"/>
      <c r="AS104" s="3" t="n"/>
      <c r="AT104" s="3" t="n"/>
      <c r="AU104" s="3" t="n"/>
      <c r="AV104" s="3" t="n"/>
      <c r="AW104" s="3" t="n"/>
      <c r="AX104" s="3" t="n"/>
      <c r="AY104" s="3" t="n"/>
      <c r="AZ104" s="3" t="n"/>
      <c r="BA104" s="3" t="n"/>
      <c r="BB104" s="3" t="n"/>
      <c r="BC104" s="3" t="n"/>
      <c r="BD104" s="3" t="n"/>
      <c r="BE104" s="3" t="n"/>
      <c r="BF104" s="3" t="n"/>
      <c r="BG104" s="3" t="n"/>
      <c r="BH104" s="3" t="n"/>
      <c r="BI104" s="3" t="n"/>
      <c r="BJ104" s="3" t="n"/>
      <c r="BK104" s="3" t="n"/>
      <c r="BL104" s="3" t="n"/>
      <c r="BM104" s="3" t="n"/>
      <c r="BN104" s="3" t="n"/>
      <c r="BO104" s="3" t="n"/>
      <c r="BP104" s="3" t="n"/>
      <c r="BQ104" s="3" t="n"/>
      <c r="BR104" s="3" t="n"/>
      <c r="BS104" s="3" t="n"/>
      <c r="BT104" s="3" t="n"/>
      <c r="BU104" s="3" t="n"/>
      <c r="BV104" s="3" t="n"/>
      <c r="BW104" s="3" t="n"/>
      <c r="BX104" s="3" t="n"/>
      <c r="BY104" s="3" t="n"/>
      <c r="BZ104" s="3" t="n"/>
      <c r="CA104" s="3" t="n"/>
      <c r="CB104" s="3" t="n"/>
      <c r="CC104" s="3" t="n"/>
      <c r="CD104" s="3" t="n"/>
      <c r="CE104" s="3" t="n"/>
      <c r="CF104" s="3" t="n"/>
      <c r="CG104" s="3" t="n"/>
      <c r="CH104" s="3" t="n"/>
      <c r="CI104" s="3" t="n"/>
      <c r="CJ104" s="3" t="n"/>
      <c r="CK104" s="3" t="n"/>
      <c r="CL104" s="3" t="n"/>
      <c r="CM104" s="3" t="n"/>
      <c r="CN104" s="3" t="n"/>
      <c r="CO104" s="3" t="n"/>
      <c r="CP104" s="3" t="n"/>
      <c r="CQ104" s="3" t="n"/>
      <c r="CR104" s="3" t="n"/>
      <c r="CS104" s="3" t="n"/>
      <c r="CT104" s="3" t="n"/>
      <c r="CU104" s="3" t="n"/>
      <c r="CV104" s="3" t="n"/>
      <c r="CW104" s="3" t="n"/>
      <c r="CX104" s="3" t="n"/>
      <c r="CY104" s="3" t="n"/>
    </row>
    <row r="105" hidden="1" outlineLevel="1">
      <c r="C105" s="34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  <c r="AD105" s="3" t="n"/>
      <c r="AE105" s="3" t="n"/>
      <c r="AF105" s="3" t="n"/>
      <c r="AG105" s="3" t="n"/>
      <c r="AH105" s="3" t="n"/>
      <c r="AI105" s="3" t="n"/>
      <c r="AJ105" s="3" t="n"/>
      <c r="AK105" s="3" t="n"/>
      <c r="AL105" s="3" t="n"/>
      <c r="AM105" s="3" t="n"/>
      <c r="AN105" s="3" t="n"/>
      <c r="AO105" s="3" t="n"/>
      <c r="AP105" s="3" t="n"/>
      <c r="AQ105" s="3" t="n"/>
      <c r="AR105" s="3" t="n"/>
      <c r="AS105" s="3" t="n"/>
      <c r="AT105" s="3" t="n"/>
      <c r="AU105" s="3" t="n"/>
      <c r="AV105" s="3" t="n"/>
      <c r="AW105" s="3" t="n"/>
      <c r="AX105" s="3" t="n"/>
      <c r="AY105" s="3" t="n"/>
      <c r="AZ105" s="3" t="n"/>
      <c r="BA105" s="3" t="n"/>
      <c r="BB105" s="3" t="n"/>
      <c r="BC105" s="3" t="n"/>
      <c r="BD105" s="3" t="n"/>
      <c r="BE105" s="3" t="n"/>
      <c r="BF105" s="3" t="n"/>
      <c r="BG105" s="3" t="n"/>
      <c r="BH105" s="3" t="n"/>
      <c r="BI105" s="3" t="n"/>
      <c r="BJ105" s="3" t="n"/>
      <c r="BK105" s="3" t="n"/>
      <c r="BL105" s="3" t="n"/>
      <c r="BM105" s="3" t="n"/>
      <c r="BN105" s="3" t="n"/>
      <c r="BO105" s="3" t="n"/>
      <c r="BP105" s="3" t="n"/>
      <c r="BQ105" s="3" t="n"/>
      <c r="BR105" s="3" t="n"/>
      <c r="BS105" s="3" t="n"/>
      <c r="BT105" s="3" t="n"/>
      <c r="BU105" s="3" t="n"/>
      <c r="BV105" s="3" t="n"/>
      <c r="BW105" s="3" t="n"/>
      <c r="BX105" s="3" t="n"/>
      <c r="BY105" s="3" t="n"/>
      <c r="BZ105" s="3" t="n"/>
      <c r="CA105" s="3" t="n"/>
      <c r="CB105" s="3" t="n"/>
      <c r="CC105" s="3" t="n"/>
      <c r="CD105" s="3" t="n"/>
      <c r="CE105" s="3" t="n"/>
      <c r="CF105" s="3" t="n"/>
      <c r="CG105" s="3" t="n"/>
      <c r="CH105" s="3" t="n"/>
      <c r="CI105" s="3" t="n"/>
      <c r="CJ105" s="3" t="n"/>
      <c r="CK105" s="3" t="n"/>
      <c r="CL105" s="3" t="n"/>
      <c r="CM105" s="3" t="n"/>
      <c r="CN105" s="3" t="n"/>
      <c r="CO105" s="3" t="n"/>
      <c r="CP105" s="3" t="n"/>
      <c r="CQ105" s="3" t="n"/>
      <c r="CR105" s="3" t="n"/>
      <c r="CS105" s="3" t="n"/>
      <c r="CT105" s="3" t="n"/>
      <c r="CU105" s="3" t="n"/>
      <c r="CV105" s="3" t="n"/>
      <c r="CW105" s="3" t="n"/>
      <c r="CX105" s="3" t="n"/>
      <c r="CY105" s="3" t="n"/>
    </row>
    <row r="106" hidden="1" outlineLevel="1">
      <c r="C106" s="34" t="inlineStr">
        <is>
          <t>DESPESAS FINANCEIRAS - Encargos sobre empréstimos, financiamentos e debêntures</t>
        </is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3" t="n"/>
      <c r="AG106" s="3" t="n"/>
      <c r="AH106" s="3" t="n"/>
      <c r="AI106" s="3" t="n"/>
      <c r="AJ106" s="3" t="n"/>
      <c r="AK106" s="3" t="n"/>
      <c r="AL106" s="3" t="n"/>
      <c r="AM106" s="3" t="n"/>
      <c r="AN106" s="3" t="n"/>
      <c r="AO106" s="3" t="n"/>
      <c r="AP106" s="3" t="n"/>
      <c r="AQ106" s="3" t="n"/>
      <c r="AR106" s="3" t="n"/>
      <c r="AS106" s="3" t="n"/>
      <c r="AT106" s="3" t="n"/>
      <c r="AU106" s="3" t="n"/>
      <c r="AV106" s="3" t="n"/>
      <c r="AW106" s="3" t="n"/>
      <c r="AX106" s="3" t="n"/>
      <c r="AY106" s="3" t="n"/>
      <c r="AZ106" s="3" t="n"/>
      <c r="BA106" s="3" t="n"/>
      <c r="BB106" s="3" t="n"/>
      <c r="BC106" s="3" t="n"/>
      <c r="BD106" s="3" t="n"/>
      <c r="BE106" s="3" t="n"/>
      <c r="BF106" s="3" t="n"/>
      <c r="BG106" s="3" t="n"/>
      <c r="BH106" s="3" t="n"/>
      <c r="BI106" s="3" t="n"/>
      <c r="BJ106" s="3" t="n"/>
      <c r="BK106" s="3" t="n"/>
      <c r="BL106" s="3" t="n"/>
      <c r="BM106" s="3" t="n"/>
      <c r="BN106" s="3" t="n"/>
      <c r="BO106" s="3" t="n"/>
      <c r="BP106" s="3" t="n"/>
      <c r="BQ106" s="3" t="n"/>
      <c r="BR106" s="3" t="n"/>
      <c r="BS106" s="3" t="n"/>
      <c r="BT106" s="3" t="n"/>
      <c r="BU106" s="3" t="n"/>
      <c r="BV106" s="3" t="n"/>
      <c r="BW106" s="3" t="n"/>
      <c r="BX106" s="3" t="n"/>
      <c r="BY106" s="3" t="n"/>
      <c r="BZ106" s="3" t="n"/>
      <c r="CA106" s="3" t="n"/>
      <c r="CB106" s="3" t="n"/>
      <c r="CC106" s="3" t="n"/>
      <c r="CD106" s="3" t="n"/>
      <c r="CE106" s="3" t="n"/>
      <c r="CF106" s="3" t="n"/>
      <c r="CG106" s="3" t="n"/>
      <c r="CH106" s="3" t="n"/>
      <c r="CI106" s="3" t="n"/>
      <c r="CJ106" s="3" t="n"/>
      <c r="CK106" s="3" t="n"/>
      <c r="CL106" s="3" t="n"/>
      <c r="CM106" s="3" t="n"/>
      <c r="CN106" s="3" t="n"/>
      <c r="CO106" s="3" t="n"/>
      <c r="CP106" s="3" t="n"/>
      <c r="CQ106" s="3" t="n"/>
      <c r="CR106" s="3" t="n"/>
      <c r="CS106" s="3" t="n"/>
      <c r="CT106" s="3" t="n"/>
      <c r="CU106" s="3" t="n"/>
      <c r="CV106" s="3" t="n"/>
      <c r="CW106" s="3" t="n"/>
      <c r="CX106" s="3" t="n"/>
      <c r="CY106" s="3" t="n"/>
    </row>
    <row r="107" hidden="1" outlineLevel="1">
      <c r="C107" s="34" t="inlineStr">
        <is>
          <t>DESPESAS FINANCEIRAS - Variação cambial passiva</t>
        </is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3" t="n"/>
      <c r="AG107" s="3" t="n"/>
      <c r="AH107" s="3" t="n"/>
      <c r="AI107" s="3" t="n"/>
      <c r="AJ107" s="3" t="n"/>
      <c r="AK107" s="3" t="n"/>
      <c r="AL107" s="3" t="n"/>
      <c r="AM107" s="3" t="n"/>
      <c r="AN107" s="3" t="n"/>
      <c r="AO107" s="3" t="n"/>
      <c r="AP107" s="3" t="n"/>
      <c r="AQ107" s="3" t="n"/>
      <c r="AR107" s="3" t="n"/>
      <c r="AS107" s="3" t="n"/>
      <c r="AT107" s="3" t="n"/>
      <c r="AU107" s="3" t="n"/>
      <c r="AV107" s="3" t="n"/>
      <c r="AW107" s="3" t="n"/>
      <c r="AX107" s="3" t="n"/>
      <c r="AY107" s="3" t="n"/>
      <c r="AZ107" s="3" t="n"/>
      <c r="BA107" s="3" t="n"/>
      <c r="BB107" s="3" t="n"/>
      <c r="BC107" s="3" t="n"/>
      <c r="BD107" s="3" t="n"/>
      <c r="BE107" s="3" t="n"/>
      <c r="BF107" s="3" t="n"/>
      <c r="BG107" s="3" t="n"/>
      <c r="BH107" s="3" t="n"/>
      <c r="BI107" s="3" t="n"/>
      <c r="BJ107" s="3" t="n"/>
      <c r="BK107" s="3" t="n"/>
      <c r="BL107" s="3" t="n"/>
      <c r="BM107" s="3" t="n"/>
      <c r="BN107" s="3" t="n"/>
      <c r="BO107" s="3" t="n"/>
      <c r="BP107" s="3" t="n"/>
      <c r="BQ107" s="3" t="n"/>
      <c r="BR107" s="3" t="n"/>
      <c r="BS107" s="3" t="n"/>
      <c r="BT107" s="3" t="n"/>
      <c r="BU107" s="3" t="n"/>
      <c r="BV107" s="3" t="n"/>
      <c r="BW107" s="3" t="n"/>
      <c r="BX107" s="3" t="n"/>
      <c r="BY107" s="3" t="n"/>
      <c r="BZ107" s="3" t="n"/>
      <c r="CA107" s="3" t="n"/>
      <c r="CB107" s="3" t="n"/>
      <c r="CC107" s="3" t="n"/>
      <c r="CD107" s="3" t="n"/>
      <c r="CE107" s="3" t="n"/>
      <c r="CF107" s="3" t="n"/>
      <c r="CG107" s="3" t="n"/>
      <c r="CH107" s="3" t="n"/>
      <c r="CI107" s="3" t="n"/>
      <c r="CJ107" s="3" t="n"/>
      <c r="CK107" s="3" t="n"/>
      <c r="CL107" s="3" t="n"/>
      <c r="CM107" s="3" t="n"/>
      <c r="CN107" s="3" t="n"/>
      <c r="CO107" s="3" t="n"/>
      <c r="CP107" s="3" t="n"/>
      <c r="CQ107" s="3" t="n"/>
      <c r="CR107" s="3" t="n"/>
      <c r="CS107" s="3" t="n"/>
      <c r="CT107" s="3" t="n"/>
      <c r="CU107" s="3" t="n"/>
      <c r="CV107" s="3" t="n"/>
      <c r="CW107" s="3" t="n"/>
      <c r="CX107" s="3" t="n"/>
      <c r="CY107" s="3" t="n"/>
    </row>
    <row r="108" hidden="1" outlineLevel="1">
      <c r="C108" s="34" t="inlineStr">
        <is>
          <t>DESPESAS FINANCEIRAS - Resultado negativo com instrumentos derivativos</t>
        </is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n"/>
      <c r="AG108" s="3" t="n"/>
      <c r="AH108" s="3" t="n"/>
      <c r="AI108" s="3" t="n"/>
      <c r="AJ108" s="3" t="n"/>
      <c r="AK108" s="3" t="n"/>
      <c r="AL108" s="3" t="n"/>
      <c r="AM108" s="3" t="n"/>
      <c r="AN108" s="3" t="n"/>
      <c r="AO108" s="3" t="n"/>
      <c r="AP108" s="3" t="n"/>
      <c r="AQ108" s="3" t="n"/>
      <c r="AR108" s="3" t="n"/>
      <c r="AS108" s="3" t="n"/>
      <c r="AT108" s="3" t="n"/>
      <c r="AU108" s="3" t="n"/>
      <c r="AV108" s="3" t="n"/>
      <c r="AW108" s="3" t="n"/>
      <c r="AX108" s="3" t="n"/>
      <c r="AY108" s="3" t="n"/>
      <c r="AZ108" s="3" t="n"/>
      <c r="BA108" s="3" t="n"/>
      <c r="BB108" s="3" t="n"/>
      <c r="BC108" s="3" t="n"/>
      <c r="BD108" s="3" t="n"/>
      <c r="BE108" s="3" t="n"/>
      <c r="BF108" s="3" t="n"/>
      <c r="BG108" s="3" t="n"/>
      <c r="BH108" s="3" t="n"/>
      <c r="BI108" s="3" t="n"/>
      <c r="BJ108" s="3" t="n"/>
      <c r="BK108" s="3" t="n"/>
      <c r="BL108" s="3" t="n"/>
      <c r="BM108" s="3" t="n"/>
      <c r="BN108" s="3" t="n"/>
      <c r="BO108" s="3" t="n"/>
      <c r="BP108" s="3" t="n"/>
      <c r="BQ108" s="3" t="n"/>
      <c r="BR108" s="3" t="n"/>
      <c r="BS108" s="3" t="n"/>
      <c r="BT108" s="3" t="n"/>
      <c r="BU108" s="3" t="n"/>
      <c r="BV108" s="3" t="n"/>
      <c r="BW108" s="3" t="n"/>
      <c r="BX108" s="3" t="n"/>
      <c r="BY108" s="3" t="n"/>
      <c r="BZ108" s="3" t="n"/>
      <c r="CA108" s="3" t="n"/>
      <c r="CB108" s="3" t="n"/>
      <c r="CC108" s="3" t="n"/>
      <c r="CD108" s="3" t="n"/>
      <c r="CE108" s="3" t="n"/>
      <c r="CF108" s="3" t="n"/>
      <c r="CG108" s="3" t="n"/>
      <c r="CH108" s="3" t="n"/>
      <c r="CI108" s="3" t="n"/>
      <c r="CJ108" s="3" t="n"/>
      <c r="CK108" s="3" t="n"/>
      <c r="CL108" s="3" t="n"/>
      <c r="CM108" s="3" t="n"/>
      <c r="CN108" s="3" t="n"/>
      <c r="CO108" s="3" t="n"/>
      <c r="CP108" s="3" t="n"/>
      <c r="CQ108" s="3" t="n"/>
      <c r="CR108" s="3" t="n"/>
      <c r="CS108" s="3" t="n"/>
      <c r="CT108" s="3" t="n"/>
      <c r="CU108" s="3" t="n"/>
      <c r="CV108" s="3" t="n"/>
      <c r="CW108" s="3" t="n"/>
      <c r="CX108" s="3" t="n"/>
      <c r="CY108" s="3" t="n"/>
    </row>
    <row r="109" hidden="1" outlineLevel="1">
      <c r="C109" s="34" t="inlineStr">
        <is>
          <t>DESPESAS FINANCEIRAS - Juros sobre arrendamento - IFRS16</t>
        </is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3" t="n"/>
      <c r="AG109" s="3" t="n"/>
      <c r="AH109" s="3" t="n"/>
      <c r="AI109" s="3" t="n"/>
      <c r="AJ109" s="3" t="n"/>
      <c r="AK109" s="3" t="n"/>
      <c r="AL109" s="3" t="n"/>
      <c r="AM109" s="3" t="n"/>
      <c r="AN109" s="3" t="n"/>
      <c r="AO109" s="3" t="n"/>
      <c r="AP109" s="3" t="n"/>
      <c r="AQ109" s="3" t="n"/>
      <c r="AR109" s="3" t="n"/>
      <c r="AS109" s="3" t="n"/>
      <c r="AT109" s="3" t="n"/>
      <c r="AU109" s="3" t="n"/>
      <c r="AV109" s="3" t="n"/>
      <c r="AW109" s="3" t="n"/>
      <c r="AX109" s="3" t="n"/>
      <c r="AY109" s="3" t="n"/>
      <c r="AZ109" s="3" t="n"/>
      <c r="BA109" s="3" t="n"/>
      <c r="BB109" s="3" t="n"/>
      <c r="BC109" s="3" t="n"/>
      <c r="BD109" s="3" t="n"/>
      <c r="BE109" s="3" t="n"/>
      <c r="BF109" s="3" t="n"/>
      <c r="BG109" s="3" t="n"/>
      <c r="BH109" s="3" t="n"/>
      <c r="BI109" s="3" t="n"/>
      <c r="BJ109" s="3" t="n"/>
      <c r="BK109" s="3" t="n"/>
      <c r="BL109" s="3" t="n"/>
      <c r="BM109" s="3" t="n"/>
      <c r="BN109" s="3" t="n"/>
      <c r="BO109" s="3" t="n"/>
      <c r="BP109" s="3" t="n"/>
      <c r="BQ109" s="3" t="n"/>
      <c r="BR109" s="3" t="n"/>
      <c r="BS109" s="3" t="n"/>
      <c r="BT109" s="3" t="n"/>
      <c r="BU109" s="3" t="n"/>
      <c r="BV109" s="3" t="n"/>
      <c r="BW109" s="3" t="n"/>
      <c r="BX109" s="3" t="n"/>
      <c r="BY109" s="3" t="n"/>
      <c r="BZ109" s="3" t="n"/>
      <c r="CA109" s="3" t="n"/>
      <c r="CB109" s="3" t="n"/>
      <c r="CC109" s="3" t="n"/>
      <c r="CD109" s="3" t="n"/>
      <c r="CE109" s="3" t="n"/>
      <c r="CF109" s="3" t="n"/>
      <c r="CG109" s="3" t="n"/>
      <c r="CH109" s="3" t="n"/>
      <c r="CI109" s="3" t="n"/>
      <c r="CJ109" s="3" t="n"/>
      <c r="CK109" s="3" t="n"/>
      <c r="CL109" s="3" t="n"/>
      <c r="CM109" s="3" t="n"/>
      <c r="CN109" s="3" t="n"/>
      <c r="CO109" s="3" t="n"/>
      <c r="CP109" s="3" t="n"/>
      <c r="CQ109" s="3" t="n"/>
      <c r="CR109" s="3" t="n"/>
      <c r="CS109" s="3" t="n"/>
      <c r="CT109" s="3" t="n"/>
      <c r="CU109" s="3" t="n"/>
      <c r="CV109" s="3" t="n"/>
      <c r="CW109" s="3" t="n"/>
      <c r="CX109" s="3" t="n"/>
      <c r="CY109" s="3" t="n"/>
    </row>
    <row r="110" hidden="1" outlineLevel="1">
      <c r="C110" s="34" t="inlineStr">
        <is>
          <t>DESPESAS FINANCEIRAS - Despesas bancárias</t>
        </is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n"/>
      <c r="AG110" s="3" t="n"/>
      <c r="AH110" s="3" t="n"/>
      <c r="AI110" s="3" t="n"/>
      <c r="AJ110" s="3" t="n"/>
      <c r="AK110" s="3" t="n"/>
      <c r="AL110" s="3" t="n"/>
      <c r="AM110" s="3" t="n"/>
      <c r="AN110" s="3" t="n"/>
      <c r="AO110" s="3" t="n"/>
      <c r="AP110" s="3" t="n"/>
      <c r="AQ110" s="3" t="n"/>
      <c r="AR110" s="3" t="n"/>
      <c r="AS110" s="3" t="n"/>
      <c r="AT110" s="3" t="n"/>
      <c r="AU110" s="3" t="n"/>
      <c r="AV110" s="3" t="n"/>
      <c r="AW110" s="3" t="n"/>
      <c r="AX110" s="3" t="n"/>
      <c r="AY110" s="3" t="n"/>
      <c r="AZ110" s="3" t="n"/>
      <c r="BA110" s="3" t="n"/>
      <c r="BB110" s="3" t="n"/>
      <c r="BC110" s="3" t="n"/>
      <c r="BD110" s="3" t="n"/>
      <c r="BE110" s="3" t="n"/>
      <c r="BF110" s="3" t="n"/>
      <c r="BG110" s="3" t="n"/>
      <c r="BH110" s="3" t="n"/>
      <c r="BI110" s="3" t="n"/>
      <c r="BJ110" s="3" t="n"/>
      <c r="BK110" s="3" t="n"/>
      <c r="BL110" s="3" t="n"/>
      <c r="BM110" s="3" t="n"/>
      <c r="BN110" s="3" t="n"/>
      <c r="BO110" s="3" t="n"/>
      <c r="BP110" s="3" t="n"/>
      <c r="BQ110" s="3" t="n"/>
      <c r="BR110" s="3" t="n"/>
      <c r="BS110" s="3" t="n"/>
      <c r="BT110" s="3" t="n"/>
      <c r="BU110" s="3" t="n"/>
      <c r="BV110" s="3" t="n"/>
      <c r="BW110" s="3" t="n"/>
      <c r="BX110" s="3" t="n"/>
      <c r="BY110" s="3" t="n"/>
      <c r="BZ110" s="3" t="n"/>
      <c r="CA110" s="3" t="n"/>
      <c r="CB110" s="3" t="n"/>
      <c r="CC110" s="3" t="n"/>
      <c r="CD110" s="3" t="n"/>
      <c r="CE110" s="3" t="n"/>
      <c r="CF110" s="3" t="n"/>
      <c r="CG110" s="3" t="n"/>
      <c r="CH110" s="3" t="n"/>
      <c r="CI110" s="3" t="n"/>
      <c r="CJ110" s="3" t="n"/>
      <c r="CK110" s="3" t="n"/>
      <c r="CL110" s="3" t="n"/>
      <c r="CM110" s="3" t="n"/>
      <c r="CN110" s="3" t="n"/>
      <c r="CO110" s="3" t="n"/>
      <c r="CP110" s="3" t="n"/>
      <c r="CQ110" s="3" t="n"/>
      <c r="CR110" s="3" t="n"/>
      <c r="CS110" s="3" t="n"/>
      <c r="CT110" s="3" t="n"/>
      <c r="CU110" s="3" t="n"/>
      <c r="CV110" s="3" t="n"/>
      <c r="CW110" s="3" t="n"/>
      <c r="CX110" s="3" t="n"/>
      <c r="CY110" s="3" t="n"/>
    </row>
    <row r="111" hidden="1" outlineLevel="1">
      <c r="C111" s="34" t="inlineStr">
        <is>
          <t>DESPESAS FINANCEIRAS - Despesas com obtenção de empréstimos e financiamentos</t>
        </is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n"/>
      <c r="AG111" s="3" t="n"/>
      <c r="AH111" s="3" t="n"/>
      <c r="AI111" s="3" t="n"/>
      <c r="AJ111" s="3" t="n"/>
      <c r="AK111" s="3" t="n"/>
      <c r="AL111" s="3" t="n"/>
      <c r="AM111" s="3" t="n"/>
      <c r="AN111" s="3" t="n"/>
      <c r="AO111" s="3" t="n"/>
      <c r="AP111" s="3" t="n"/>
      <c r="AQ111" s="3" t="n"/>
      <c r="AR111" s="3" t="n"/>
      <c r="AS111" s="3" t="n"/>
      <c r="AT111" s="3" t="n"/>
      <c r="AU111" s="3" t="n"/>
      <c r="AV111" s="3" t="n"/>
      <c r="AW111" s="3" t="n"/>
      <c r="AX111" s="3" t="n"/>
      <c r="AY111" s="3" t="n"/>
      <c r="AZ111" s="3" t="n"/>
      <c r="BA111" s="3" t="n"/>
      <c r="BB111" s="3" t="n"/>
      <c r="BC111" s="3" t="n"/>
      <c r="BD111" s="3" t="n"/>
      <c r="BE111" s="3" t="n"/>
      <c r="BF111" s="3" t="n"/>
      <c r="BG111" s="3" t="n"/>
      <c r="BH111" s="3" t="n"/>
      <c r="BI111" s="3" t="n"/>
      <c r="BJ111" s="3" t="n"/>
      <c r="BK111" s="3" t="n"/>
      <c r="BL111" s="3" t="n"/>
      <c r="BM111" s="3" t="n"/>
      <c r="BN111" s="3" t="n"/>
      <c r="BO111" s="3" t="n"/>
      <c r="BP111" s="3" t="n"/>
      <c r="BQ111" s="3" t="n"/>
      <c r="BR111" s="3" t="n"/>
      <c r="BS111" s="3" t="n"/>
      <c r="BT111" s="3" t="n"/>
      <c r="BU111" s="3" t="n"/>
      <c r="BV111" s="3" t="n"/>
      <c r="BW111" s="3" t="n"/>
      <c r="BX111" s="3" t="n"/>
      <c r="BY111" s="3" t="n"/>
      <c r="BZ111" s="3" t="n"/>
      <c r="CA111" s="3" t="n"/>
      <c r="CB111" s="3" t="n"/>
      <c r="CC111" s="3" t="n"/>
      <c r="CD111" s="3" t="n"/>
      <c r="CE111" s="3" t="n"/>
      <c r="CF111" s="3" t="n"/>
      <c r="CG111" s="3" t="n"/>
      <c r="CH111" s="3" t="n"/>
      <c r="CI111" s="3" t="n"/>
      <c r="CJ111" s="3" t="n"/>
      <c r="CK111" s="3" t="n"/>
      <c r="CL111" s="3" t="n"/>
      <c r="CM111" s="3" t="n"/>
      <c r="CN111" s="3" t="n"/>
      <c r="CO111" s="3" t="n"/>
      <c r="CP111" s="3" t="n"/>
      <c r="CQ111" s="3" t="n"/>
      <c r="CR111" s="3" t="n"/>
      <c r="CS111" s="3" t="n"/>
      <c r="CT111" s="3" t="n"/>
      <c r="CU111" s="3" t="n"/>
      <c r="CV111" s="3" t="n"/>
      <c r="CW111" s="3" t="n"/>
      <c r="CX111" s="3" t="n"/>
      <c r="CY111" s="3" t="n"/>
    </row>
    <row r="112" hidden="1" outlineLevel="1">
      <c r="C112" s="34" t="inlineStr">
        <is>
          <t>DESPESAS FINANCEIRAS - Atualização de contas a pagar por aquisição de empresas</t>
        </is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  <c r="AF112" s="3" t="n"/>
      <c r="AG112" s="3" t="n"/>
      <c r="AH112" s="3" t="n"/>
      <c r="AI112" s="3" t="n"/>
      <c r="AJ112" s="3" t="n"/>
      <c r="AK112" s="3" t="n"/>
      <c r="AL112" s="3" t="n"/>
      <c r="AM112" s="3" t="n"/>
      <c r="AN112" s="3" t="n"/>
      <c r="AO112" s="3" t="n"/>
      <c r="AP112" s="3" t="n"/>
      <c r="AQ112" s="3" t="n"/>
      <c r="AR112" s="3" t="n"/>
      <c r="AS112" s="3" t="n"/>
      <c r="AT112" s="3" t="n"/>
      <c r="AU112" s="3" t="n"/>
      <c r="AV112" s="3" t="n"/>
      <c r="AW112" s="3" t="n"/>
      <c r="AX112" s="3" t="n"/>
      <c r="AY112" s="3" t="n"/>
      <c r="AZ112" s="3" t="n"/>
      <c r="BA112" s="3" t="n"/>
      <c r="BB112" s="3" t="n"/>
      <c r="BC112" s="3" t="n"/>
      <c r="BD112" s="3" t="n"/>
      <c r="BE112" s="3" t="n"/>
      <c r="BF112" s="3" t="n"/>
      <c r="BG112" s="3" t="n"/>
      <c r="BH112" s="3" t="n"/>
      <c r="BI112" s="3" t="n"/>
      <c r="BJ112" s="3" t="n"/>
      <c r="BK112" s="3" t="n"/>
      <c r="BL112" s="3" t="n"/>
      <c r="BM112" s="3" t="n"/>
      <c r="BN112" s="3" t="n"/>
      <c r="BO112" s="3" t="n"/>
      <c r="BP112" s="3" t="n"/>
      <c r="BQ112" s="3" t="n"/>
      <c r="BR112" s="3" t="n"/>
      <c r="BS112" s="3" t="n"/>
      <c r="BT112" s="3" t="n"/>
      <c r="BU112" s="3" t="n"/>
      <c r="BV112" s="3" t="n"/>
      <c r="BW112" s="3" t="n"/>
      <c r="BX112" s="3" t="n"/>
      <c r="BY112" s="3" t="n"/>
      <c r="BZ112" s="3" t="n"/>
      <c r="CA112" s="3" t="n"/>
      <c r="CB112" s="3" t="n"/>
      <c r="CC112" s="3" t="n"/>
      <c r="CD112" s="3" t="n"/>
      <c r="CE112" s="3" t="n"/>
      <c r="CF112" s="3" t="n"/>
      <c r="CG112" s="3" t="n"/>
      <c r="CH112" s="3" t="n"/>
      <c r="CI112" s="3" t="n"/>
      <c r="CJ112" s="3" t="n"/>
      <c r="CK112" s="3" t="n"/>
      <c r="CL112" s="3" t="n"/>
      <c r="CM112" s="3" t="n"/>
      <c r="CN112" s="3" t="n"/>
      <c r="CO112" s="3" t="n"/>
      <c r="CP112" s="3" t="n"/>
      <c r="CQ112" s="3" t="n"/>
      <c r="CR112" s="3" t="n"/>
      <c r="CS112" s="3" t="n"/>
      <c r="CT112" s="3" t="n"/>
      <c r="CU112" s="3" t="n"/>
      <c r="CV112" s="3" t="n"/>
      <c r="CW112" s="3" t="n"/>
      <c r="CX112" s="3" t="n"/>
      <c r="CY112" s="3" t="n"/>
    </row>
    <row r="113" hidden="1" outlineLevel="1">
      <c r="C113" s="34" t="inlineStr">
        <is>
          <t>DESPESAS FINANCEIRAS - Outras</t>
        </is>
      </c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n"/>
      <c r="AK113" s="3" t="n"/>
      <c r="AL113" s="3" t="n"/>
      <c r="AM113" s="3" t="n"/>
      <c r="AN113" s="3" t="n"/>
      <c r="AO113" s="3" t="n"/>
      <c r="AP113" s="3" t="n"/>
      <c r="AQ113" s="3" t="n"/>
      <c r="AR113" s="3" t="n"/>
      <c r="AS113" s="3" t="n"/>
      <c r="AT113" s="3" t="n"/>
      <c r="AU113" s="3" t="n"/>
      <c r="AV113" s="3" t="n"/>
      <c r="AW113" s="3" t="n"/>
      <c r="AX113" s="3" t="n"/>
      <c r="AY113" s="3" t="n"/>
      <c r="AZ113" s="3" t="n"/>
      <c r="BA113" s="3" t="n"/>
      <c r="BB113" s="3" t="n"/>
      <c r="BC113" s="3" t="n"/>
      <c r="BD113" s="3" t="n"/>
      <c r="BE113" s="3" t="n"/>
      <c r="BF113" s="3" t="n"/>
      <c r="BG113" s="3" t="n"/>
      <c r="BH113" s="3" t="n"/>
      <c r="BI113" s="3" t="n"/>
      <c r="BJ113" s="3" t="n"/>
      <c r="BK113" s="3" t="n"/>
      <c r="BL113" s="3" t="n"/>
      <c r="BM113" s="3" t="n"/>
      <c r="BN113" s="3" t="n"/>
      <c r="BO113" s="3" t="n"/>
      <c r="BP113" s="3" t="n"/>
      <c r="BQ113" s="3" t="n"/>
      <c r="BR113" s="3" t="n"/>
      <c r="BS113" s="3" t="n"/>
      <c r="BT113" s="3" t="n"/>
      <c r="BU113" s="3" t="n"/>
      <c r="BV113" s="3" t="n"/>
      <c r="BW113" s="3" t="n"/>
      <c r="BX113" s="3" t="n"/>
      <c r="BY113" s="3" t="n"/>
      <c r="BZ113" s="3" t="n"/>
      <c r="CA113" s="3" t="n"/>
      <c r="CB113" s="3" t="n"/>
      <c r="CC113" s="3" t="n"/>
      <c r="CD113" s="3" t="n"/>
      <c r="CE113" s="3" t="n"/>
      <c r="CF113" s="3" t="n"/>
      <c r="CG113" s="3" t="n"/>
      <c r="CH113" s="3" t="n"/>
      <c r="CI113" s="3" t="n"/>
      <c r="CJ113" s="3" t="n"/>
      <c r="CK113" s="3" t="n"/>
      <c r="CL113" s="3" t="n"/>
      <c r="CM113" s="3" t="n"/>
      <c r="CN113" s="3" t="n"/>
      <c r="CO113" s="3" t="n"/>
      <c r="CP113" s="3" t="n"/>
      <c r="CQ113" s="3" t="n"/>
      <c r="CR113" s="3" t="n"/>
      <c r="CS113" s="3" t="n"/>
      <c r="CT113" s="3" t="n"/>
      <c r="CU113" s="3" t="n"/>
      <c r="CV113" s="3" t="n"/>
      <c r="CW113" s="3" t="n"/>
      <c r="CX113" s="3" t="n"/>
      <c r="CY113" s="3" t="n"/>
    </row>
    <row r="114" hidden="1" outlineLevel="1">
      <c r="C114" s="34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/>
      <c r="AG114" s="3" t="n"/>
      <c r="AH114" s="3" t="n"/>
      <c r="AI114" s="3" t="n"/>
      <c r="AJ114" s="3" t="n"/>
      <c r="AK114" s="3" t="n"/>
      <c r="AL114" s="3" t="n"/>
      <c r="AM114" s="3" t="n"/>
      <c r="AN114" s="3" t="n"/>
      <c r="AO114" s="3" t="n"/>
      <c r="AP114" s="3" t="n"/>
      <c r="AQ114" s="3" t="n"/>
      <c r="AR114" s="3" t="n"/>
      <c r="AS114" s="3" t="n"/>
      <c r="AT114" s="3" t="n"/>
      <c r="AU114" s="3" t="n"/>
      <c r="AV114" s="3" t="n"/>
      <c r="AW114" s="3" t="n"/>
      <c r="AX114" s="3" t="n"/>
      <c r="AY114" s="3" t="n"/>
      <c r="AZ114" s="3" t="n"/>
      <c r="BA114" s="3" t="n"/>
      <c r="BB114" s="3" t="n"/>
      <c r="BC114" s="3" t="n"/>
      <c r="BD114" s="3" t="n"/>
      <c r="BE114" s="3" t="n"/>
      <c r="BF114" s="3" t="n"/>
      <c r="BG114" s="3" t="n"/>
      <c r="BH114" s="3" t="n"/>
      <c r="BI114" s="3" t="n"/>
      <c r="BJ114" s="3" t="n"/>
      <c r="BK114" s="3" t="n"/>
      <c r="BL114" s="3" t="n"/>
      <c r="BM114" s="3" t="n"/>
      <c r="BN114" s="3" t="n"/>
      <c r="BO114" s="3" t="n"/>
      <c r="BP114" s="3" t="n"/>
      <c r="BQ114" s="3" t="n"/>
      <c r="BR114" s="3" t="n"/>
      <c r="BS114" s="3" t="n"/>
      <c r="BT114" s="3" t="n"/>
      <c r="BU114" s="3" t="n"/>
      <c r="BV114" s="3" t="n"/>
      <c r="BW114" s="3" t="n"/>
      <c r="BX114" s="3" t="n"/>
      <c r="BY114" s="3" t="n"/>
      <c r="BZ114" s="3" t="n"/>
      <c r="CA114" s="3" t="n"/>
      <c r="CB114" s="3" t="n"/>
      <c r="CC114" s="3" t="n"/>
      <c r="CD114" s="3" t="n"/>
      <c r="CE114" s="3" t="n"/>
      <c r="CF114" s="3" t="n"/>
      <c r="CG114" s="3" t="n"/>
      <c r="CH114" s="3" t="n"/>
      <c r="CI114" s="3" t="n"/>
      <c r="CJ114" s="3" t="n"/>
      <c r="CK114" s="3" t="n"/>
      <c r="CL114" s="3" t="n"/>
      <c r="CM114" s="3" t="n"/>
      <c r="CN114" s="3" t="n"/>
      <c r="CO114" s="3" t="n"/>
      <c r="CP114" s="3" t="n"/>
      <c r="CQ114" s="3" t="n"/>
      <c r="CR114" s="3" t="n"/>
      <c r="CS114" s="3" t="n"/>
      <c r="CT114" s="3" t="n"/>
      <c r="CU114" s="3" t="n"/>
      <c r="CV114" s="3" t="n"/>
      <c r="CW114" s="3" t="n"/>
      <c r="CX114" s="3" t="n"/>
      <c r="CY114" s="3" t="n"/>
    </row>
    <row r="115" hidden="1" outlineLevel="1">
      <c r="C115" s="34" t="inlineStr">
        <is>
          <t>CHECK [EX IFRS-16]</t>
        </is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/>
      <c r="AG115" s="3" t="n"/>
      <c r="AH115" s="3" t="n"/>
      <c r="AI115" s="3" t="n"/>
      <c r="AJ115" s="3" t="n"/>
      <c r="AK115" s="3" t="n"/>
      <c r="AL115" s="3" t="n"/>
      <c r="AM115" s="3" t="n"/>
      <c r="AN115" s="3" t="n"/>
      <c r="AO115" s="3" t="n"/>
      <c r="AP115" s="3" t="n"/>
      <c r="AQ115" s="3" t="n"/>
      <c r="AR115" s="3" t="n"/>
      <c r="AS115" s="3" t="n"/>
      <c r="AT115" s="3" t="n"/>
      <c r="AU115" s="3" t="n"/>
      <c r="AV115" s="3" t="n"/>
      <c r="AW115" s="3" t="n"/>
      <c r="AX115" s="3" t="n"/>
      <c r="AY115" s="3" t="n"/>
      <c r="AZ115" s="3" t="n"/>
      <c r="BA115" s="3" t="n"/>
      <c r="BB115" s="3" t="n"/>
      <c r="BC115" s="3" t="n"/>
      <c r="BD115" s="3" t="n"/>
      <c r="BE115" s="3" t="n"/>
      <c r="BF115" s="3" t="n"/>
      <c r="BG115" s="3" t="n"/>
      <c r="BH115" s="3" t="n"/>
      <c r="BI115" s="3" t="n"/>
      <c r="BJ115" s="3" t="n"/>
      <c r="BK115" s="3" t="n"/>
      <c r="BL115" s="3" t="n"/>
      <c r="BM115" s="3" t="n"/>
      <c r="BN115" s="3" t="n"/>
      <c r="BO115" s="3" t="n"/>
      <c r="BP115" s="3" t="n"/>
      <c r="BQ115" s="3" t="n"/>
      <c r="BR115" s="3" t="n"/>
      <c r="BS115" s="3" t="n"/>
      <c r="BT115" s="3" t="n"/>
      <c r="BU115" s="3" t="n"/>
      <c r="BV115" s="3" t="n"/>
      <c r="BW115" s="3" t="n"/>
      <c r="BX115" s="3" t="n"/>
      <c r="BY115" s="3" t="n"/>
      <c r="BZ115" s="3" t="n"/>
      <c r="CA115" s="3" t="n"/>
      <c r="CB115" s="3" t="n"/>
      <c r="CC115" s="3" t="n"/>
      <c r="CD115" s="3" t="n"/>
      <c r="CE115" s="3" t="n"/>
      <c r="CF115" s="3" t="n"/>
      <c r="CG115" s="3" t="n"/>
      <c r="CH115" s="3" t="n"/>
      <c r="CI115" s="3" t="n"/>
      <c r="CJ115" s="3" t="n"/>
      <c r="CK115" s="3" t="n"/>
      <c r="CL115" s="3" t="n"/>
      <c r="CM115" s="3" t="n"/>
      <c r="CN115" s="3" t="n"/>
      <c r="CO115" s="3" t="n"/>
      <c r="CP115" s="3" t="n"/>
      <c r="CQ115" s="3" t="n"/>
      <c r="CR115" s="3" t="n"/>
      <c r="CS115" s="3" t="n"/>
      <c r="CT115" s="3" t="n"/>
      <c r="CU115" s="3" t="n"/>
      <c r="CV115" s="3" t="n"/>
      <c r="CW115" s="3" t="n"/>
      <c r="CX115" s="3" t="n"/>
      <c r="CY115" s="3" t="n"/>
    </row>
    <row r="116" hidden="1" outlineLevel="1">
      <c r="C116" s="34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n"/>
      <c r="AK116" s="3" t="n"/>
      <c r="AL116" s="3" t="n"/>
      <c r="AM116" s="3" t="n"/>
      <c r="AN116" s="3" t="n"/>
      <c r="AO116" s="3" t="n"/>
      <c r="AP116" s="3" t="n"/>
      <c r="AQ116" s="3" t="n"/>
      <c r="AR116" s="3" t="n"/>
      <c r="AS116" s="3" t="n"/>
      <c r="AT116" s="3" t="n"/>
      <c r="AU116" s="3" t="n"/>
      <c r="AV116" s="3" t="n"/>
      <c r="AW116" s="3" t="n"/>
      <c r="AX116" s="3" t="n"/>
      <c r="AY116" s="3" t="n"/>
      <c r="AZ116" s="3" t="n"/>
      <c r="BA116" s="3" t="n"/>
      <c r="BB116" s="3" t="n"/>
      <c r="BC116" s="3" t="n"/>
      <c r="BD116" s="3" t="n"/>
      <c r="BE116" s="3" t="n"/>
      <c r="BF116" s="3" t="n"/>
      <c r="BG116" s="3" t="n"/>
      <c r="BH116" s="3" t="n"/>
      <c r="BI116" s="3" t="n"/>
      <c r="BJ116" s="3" t="n"/>
      <c r="BK116" s="3" t="n"/>
      <c r="BL116" s="3" t="n"/>
      <c r="BM116" s="3" t="n"/>
      <c r="BN116" s="3" t="n"/>
      <c r="BO116" s="3" t="n"/>
      <c r="BP116" s="3" t="n"/>
      <c r="BQ116" s="3" t="n"/>
      <c r="BR116" s="3" t="n"/>
      <c r="BS116" s="3" t="n"/>
      <c r="BT116" s="3" t="n"/>
      <c r="BU116" s="3" t="n"/>
      <c r="BV116" s="3" t="n"/>
      <c r="BW116" s="3" t="n"/>
      <c r="BX116" s="3" t="n"/>
      <c r="BY116" s="3" t="n"/>
      <c r="BZ116" s="3" t="n"/>
      <c r="CA116" s="3" t="n"/>
      <c r="CB116" s="3" t="n"/>
      <c r="CC116" s="3" t="n"/>
      <c r="CD116" s="3" t="n"/>
      <c r="CE116" s="3" t="n"/>
      <c r="CF116" s="3" t="n"/>
      <c r="CG116" s="3" t="n"/>
      <c r="CH116" s="3" t="n"/>
      <c r="CI116" s="3" t="n"/>
      <c r="CJ116" s="3" t="n"/>
      <c r="CK116" s="3" t="n"/>
      <c r="CL116" s="3" t="n"/>
      <c r="CM116" s="3" t="n"/>
      <c r="CN116" s="3" t="n"/>
      <c r="CO116" s="3" t="n"/>
      <c r="CP116" s="3" t="n"/>
      <c r="CQ116" s="3" t="n"/>
      <c r="CR116" s="3" t="n"/>
      <c r="CS116" s="3" t="n"/>
      <c r="CT116" s="3" t="n"/>
      <c r="CU116" s="3" t="n"/>
      <c r="CV116" s="3" t="n"/>
      <c r="CW116" s="3" t="n"/>
      <c r="CX116" s="3" t="n"/>
      <c r="CY116" s="3" t="n"/>
    </row>
    <row r="117" collapsed="1">
      <c r="C117" s="26" t="inlineStr">
        <is>
          <t>Nonoperating Income / (Loss)</t>
        </is>
      </c>
      <c r="D117" s="25">
        <f>INDEX('Inputs (2)'!$D$9:$AL$9,MATCH(D$7,'Inputs (2)'!$D$2:$AL$2,0))</f>
        <v>-44</v>
      </c>
      <c r="E117" s="25">
        <f>INDEX('Inputs (2)'!$D$9:$AL$9,MATCH(E$7,'Inputs (2)'!$D$2:$AL$2,0))</f>
        <v>-7</v>
      </c>
      <c r="F117" s="25">
        <f>INDEX('Inputs (2)'!$D$9:$AL$9,MATCH(F$7,'Inputs (2)'!$D$2:$AL$2,0))</f>
        <v>-91</v>
      </c>
      <c r="G117" s="25">
        <f>INDEX('Inputs (2)'!$D$9:$AL$9,MATCH(G$7,'Inputs (2)'!$D$2:$AL$2,0))</f>
        <v>50</v>
      </c>
      <c r="H117" s="3">
        <f>SUM(D117:G117)</f>
        <v>-92</v>
      </c>
      <c r="I117" s="25">
        <f>INDEX('Inputs (2)'!$D$9:$AL$9,MATCH(I$7,'Inputs (2)'!$D$2:$AL$2,0))</f>
        <v>38</v>
      </c>
      <c r="J117" s="25">
        <f>INDEX('Inputs (2)'!$D$9:$AL$9,MATCH(J$7,'Inputs (2)'!$D$2:$AL$2,0))</f>
        <v>56</v>
      </c>
      <c r="K117" s="25">
        <f>INDEX('Inputs (2)'!$D$9:$AL$9,MATCH(K$7,'Inputs (2)'!$D$2:$AL$2,0))</f>
        <v>4</v>
      </c>
      <c r="L117" s="25">
        <f>INDEX('Inputs (2)'!$D$9:$AL$9,MATCH(L$7,'Inputs (2)'!$D$2:$AL$2,0))</f>
        <v>93</v>
      </c>
      <c r="M117" s="3">
        <f>SUM(I117:L117)</f>
        <v>191</v>
      </c>
      <c r="N117" s="25">
        <f>INDEX('Inputs (2)'!$D$9:$AL$9,MATCH(N$7,'Inputs (2)'!$D$2:$AL$2,0))</f>
        <v>84</v>
      </c>
      <c r="O117" s="25">
        <f>INDEX('Inputs (2)'!$D$9:$AL$9,MATCH(O$7,'Inputs (2)'!$D$2:$AL$2,0))</f>
        <v>54</v>
      </c>
      <c r="P117" s="25">
        <f>INDEX('Inputs (2)'!$D$9:$AL$9,MATCH(P$7,'Inputs (2)'!$D$2:$AL$2,0))</f>
        <v>1</v>
      </c>
      <c r="Q117" s="25">
        <f>INDEX('Inputs (2)'!$D$9:$AL$9,MATCH(Q$7,'Inputs (2)'!$D$2:$AL$2,0))</f>
        <v>115</v>
      </c>
      <c r="R117" s="3">
        <f>SUM(N117:Q117)</f>
        <v>254</v>
      </c>
      <c r="S117" s="25">
        <f>INDEX('Inputs (2)'!$D$9:$AL$9,MATCH(S$7,'Inputs (2)'!$D$2:$AL$2,0))</f>
        <v>165</v>
      </c>
      <c r="T117" s="25">
        <f>INDEX('Inputs (2)'!$D$9:$AL$9,MATCH(T$7,'Inputs (2)'!$D$2:$AL$2,0))</f>
        <v>566</v>
      </c>
      <c r="U117" s="25">
        <f>INDEX('Inputs (2)'!$D$9:$AL$9,MATCH(U$7,'Inputs (2)'!$D$2:$AL$2,0))</f>
        <v>319</v>
      </c>
      <c r="V117" s="25">
        <f>INDEX('Inputs (2)'!$D$9:$AL$9,MATCH(V$7,'Inputs (2)'!$D$2:$AL$2,0))</f>
        <v>188</v>
      </c>
      <c r="W117" s="3">
        <f>SUM(S117:V117)</f>
        <v>1238</v>
      </c>
      <c r="X117" s="25">
        <f>INDEX('Inputs (2)'!$D$9:$AL$9,MATCH(X$7,'Inputs (2)'!$D$2:$AL$2,0))</f>
        <v>793</v>
      </c>
      <c r="Y117" s="25">
        <f>INDEX('Inputs (2)'!$D$9:$AL$9,MATCH(Y$7,'Inputs (2)'!$D$2:$AL$2,0))</f>
        <v>268</v>
      </c>
      <c r="Z117" s="25">
        <f>INDEX('Inputs (2)'!$D$9:$AL$9,MATCH(Z$7,'Inputs (2)'!$D$2:$AL$2,0))</f>
        <v>166</v>
      </c>
      <c r="AA117" s="25">
        <f>INDEX('Inputs (2)'!$D$9:$AL$9,MATCH(AA$7,'Inputs (2)'!$D$2:$AL$2,0))</f>
        <v>1037</v>
      </c>
      <c r="AB117" s="3">
        <f>SUM(X117:AA117)</f>
        <v>2264</v>
      </c>
      <c r="AC117" s="25">
        <f>INDEX('Inputs (2)'!$D$9:$AL$9,MATCH(AC$7,'Inputs (2)'!$D$2:$AL$2,0))</f>
        <v>281</v>
      </c>
      <c r="AD117" s="25">
        <f>INDEX('Inputs (2)'!$D$9:$AL$9,MATCH(AD$7,'Inputs (2)'!$D$2:$AL$2,0))</f>
        <v>712</v>
      </c>
      <c r="AE117" s="25">
        <f>INDEX('Inputs (2)'!$D$9:$AL$9,MATCH(AE$7,'Inputs (2)'!$D$2:$AL$2,0))</f>
        <v>411</v>
      </c>
      <c r="AF117" s="25">
        <f>INDEX('Inputs (2)'!$D$9:$AL$9,MATCH(AF$7,'Inputs (2)'!$D$2:$AL$2,0))</f>
        <v>-143</v>
      </c>
      <c r="AG117" s="3">
        <f>SUM(AC117:AF117)</f>
        <v>1261</v>
      </c>
      <c r="AH117" s="3">
        <f>INDEX('Inputs (2)'!$D$9:$AL$9,MATCH(AH$7,'Inputs (2)'!$D$2:$AL$2,0))</f>
        <v>-101</v>
      </c>
      <c r="AI117" s="3">
        <f>INDEX('Inputs (2)'!$D$9:$AL$9,MATCH(AI$7,'Inputs (2)'!$D$2:$AL$2,0))</f>
        <v>1012</v>
      </c>
      <c r="AJ117" s="3">
        <f>AH117</f>
        <v>-101</v>
      </c>
      <c r="AK117" s="3">
        <f>AI117</f>
        <v>1012</v>
      </c>
      <c r="AL117" s="3">
        <f>SUM(AH117:AK117)</f>
        <v>1822</v>
      </c>
      <c r="AM117" s="3">
        <f>AK117</f>
        <v>1012</v>
      </c>
      <c r="AN117" s="3">
        <f>AL117</f>
        <v>1822</v>
      </c>
      <c r="AO117" s="3">
        <f>AM117</f>
        <v>1012</v>
      </c>
      <c r="AP117" s="3">
        <f>AN117</f>
        <v>1822</v>
      </c>
      <c r="AQ117" s="3">
        <f>SUM(AM117:AP117)</f>
        <v>5668</v>
      </c>
      <c r="AR117" s="3">
        <f>AP117</f>
        <v>1822</v>
      </c>
      <c r="AS117" s="3">
        <f>AQ117</f>
        <v>5668</v>
      </c>
      <c r="AT117" s="3">
        <f>AR117</f>
        <v>1822</v>
      </c>
      <c r="AU117" s="3">
        <f>AS117</f>
        <v>5668</v>
      </c>
      <c r="AV117" s="3">
        <f>SUM(AR117:AU117)</f>
        <v>14980</v>
      </c>
      <c r="AW117" s="3">
        <f>AU117</f>
        <v>5668</v>
      </c>
      <c r="AX117" s="3">
        <f>AV117</f>
        <v>14980</v>
      </c>
      <c r="AY117" s="3">
        <f>AW117</f>
        <v>5668</v>
      </c>
      <c r="AZ117" s="3">
        <f>AX117</f>
        <v>14980</v>
      </c>
      <c r="BA117" s="3">
        <f>SUM(AW117:AZ117)</f>
        <v>41296</v>
      </c>
      <c r="BB117" s="3">
        <f>AZ117</f>
        <v>14980</v>
      </c>
      <c r="BC117" s="3">
        <f>BA117</f>
        <v>41296</v>
      </c>
      <c r="BD117" s="3">
        <f>BB117</f>
        <v>14980</v>
      </c>
      <c r="BE117" s="3">
        <f>BC117</f>
        <v>41296</v>
      </c>
      <c r="BF117" s="3">
        <f>SUM(BB117:BE117)</f>
        <v>112552</v>
      </c>
      <c r="BG117" s="3">
        <f>BE117</f>
        <v>41296</v>
      </c>
      <c r="BH117" s="3">
        <f>BF117</f>
        <v>112552</v>
      </c>
      <c r="BI117" s="3">
        <f>BG117</f>
        <v>41296</v>
      </c>
      <c r="BJ117" s="3">
        <f>BH117</f>
        <v>112552</v>
      </c>
      <c r="BK117" s="3">
        <f>SUM(BG117:BJ117)</f>
        <v>307696</v>
      </c>
      <c r="BL117" s="3">
        <f>BJ117</f>
        <v>112552</v>
      </c>
      <c r="BM117" s="3">
        <f>BK117</f>
        <v>307696</v>
      </c>
      <c r="BN117" s="3">
        <f>BL117</f>
        <v>112552</v>
      </c>
      <c r="BO117" s="3">
        <f>BM117</f>
        <v>307696</v>
      </c>
      <c r="BP117" s="3">
        <f>SUM(BL117:BO117)</f>
        <v>840496</v>
      </c>
      <c r="BQ117" s="3">
        <f>BO117</f>
        <v>307696</v>
      </c>
      <c r="BR117" s="3">
        <f>BP117</f>
        <v>840496</v>
      </c>
      <c r="BS117" s="3">
        <f>BQ117</f>
        <v>307696</v>
      </c>
      <c r="BT117" s="3">
        <f>BR117</f>
        <v>840496</v>
      </c>
      <c r="BU117" s="3">
        <f>SUM(BQ117:BT117)</f>
        <v>2296384</v>
      </c>
      <c r="BV117" s="3">
        <f>BT117</f>
        <v>840496</v>
      </c>
      <c r="BW117" s="3">
        <f>BU117</f>
        <v>2296384</v>
      </c>
      <c r="BX117" s="3">
        <f>BV117</f>
        <v>840496</v>
      </c>
      <c r="BY117" s="3">
        <f>BW117</f>
        <v>2296384</v>
      </c>
      <c r="BZ117" s="3">
        <f>SUM(BV117:BY117)</f>
        <v>6273760</v>
      </c>
      <c r="CA117" s="3">
        <f>BY117</f>
        <v>2296384</v>
      </c>
      <c r="CB117" s="3">
        <f>BZ117</f>
        <v>6273760</v>
      </c>
      <c r="CC117" s="3">
        <f>CA117</f>
        <v>2296384</v>
      </c>
      <c r="CD117" s="3">
        <f>CB117</f>
        <v>6273760</v>
      </c>
      <c r="CE117" s="3">
        <f>SUM(CA117:CD117)</f>
        <v>17140288</v>
      </c>
      <c r="CF117" s="3">
        <f>CD117</f>
        <v>6273760</v>
      </c>
      <c r="CG117" s="3">
        <f>CE117</f>
        <v>17140288</v>
      </c>
      <c r="CH117" s="3">
        <f>CF117</f>
        <v>6273760</v>
      </c>
      <c r="CI117" s="3">
        <f>CG117</f>
        <v>17140288</v>
      </c>
      <c r="CJ117" s="3">
        <f>SUM(CF117:CI117)</f>
        <v>46828096</v>
      </c>
      <c r="CK117" s="3">
        <f>CI117</f>
        <v>17140288</v>
      </c>
      <c r="CL117" s="3">
        <f>CJ117</f>
        <v>46828096</v>
      </c>
      <c r="CM117" s="3">
        <f>CK117</f>
        <v>17140288</v>
      </c>
      <c r="CN117" s="3">
        <f>CL117</f>
        <v>46828096</v>
      </c>
      <c r="CO117" s="3">
        <f>SUM(CK117:CN117)</f>
        <v>127936768</v>
      </c>
      <c r="CP117" s="3">
        <f>CN117</f>
        <v>46828096</v>
      </c>
      <c r="CQ117" s="3">
        <f>CO117</f>
        <v>127936768</v>
      </c>
      <c r="CR117" s="3">
        <f>CP117</f>
        <v>46828096</v>
      </c>
      <c r="CS117" s="3">
        <f>CQ117</f>
        <v>127936768</v>
      </c>
      <c r="CT117" s="3">
        <f>SUM(CP117:CS117)</f>
        <v>349529728</v>
      </c>
      <c r="CU117" s="3">
        <f>CS117</f>
        <v>127936768</v>
      </c>
      <c r="CV117" s="3">
        <f>CT117</f>
        <v>349529728</v>
      </c>
      <c r="CW117" s="3">
        <f>CU117</f>
        <v>127936768</v>
      </c>
      <c r="CX117" s="3">
        <f>CV117</f>
        <v>349529728</v>
      </c>
      <c r="CY117" s="3">
        <f>SUM(CU117:CX117)</f>
        <v>954932992</v>
      </c>
    </row>
    <row r="118" hidden="1" outlineLevel="1">
      <c r="C118" s="34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  <c r="AG118" s="3" t="n"/>
      <c r="AH118" s="3" t="n"/>
      <c r="AI118" s="3" t="n"/>
      <c r="AJ118" s="3" t="n"/>
      <c r="AK118" s="3" t="n"/>
      <c r="AL118" s="3" t="n"/>
      <c r="AM118" s="3" t="n"/>
      <c r="AN118" s="3" t="n"/>
      <c r="AO118" s="3" t="n"/>
      <c r="AP118" s="3" t="n"/>
      <c r="AQ118" s="3" t="n"/>
      <c r="AR118" s="3" t="n"/>
      <c r="AS118" s="3" t="n"/>
      <c r="AT118" s="3" t="n"/>
      <c r="AU118" s="3" t="n"/>
      <c r="AV118" s="3" t="n"/>
      <c r="AW118" s="3" t="n"/>
      <c r="AX118" s="3" t="n"/>
      <c r="AY118" s="3" t="n"/>
      <c r="AZ118" s="3" t="n"/>
      <c r="BA118" s="3" t="n"/>
      <c r="BB118" s="3" t="n"/>
      <c r="BC118" s="3" t="n"/>
      <c r="BD118" s="3" t="n"/>
      <c r="BE118" s="3" t="n"/>
      <c r="BF118" s="3" t="n"/>
      <c r="BG118" s="3" t="n"/>
      <c r="BH118" s="3" t="n"/>
      <c r="BI118" s="3" t="n"/>
      <c r="BJ118" s="3" t="n"/>
      <c r="BK118" s="3" t="n"/>
      <c r="BL118" s="3" t="n"/>
      <c r="BM118" s="3" t="n"/>
      <c r="BN118" s="3" t="n"/>
      <c r="BO118" s="3" t="n"/>
      <c r="BP118" s="3" t="n"/>
      <c r="BQ118" s="3" t="n"/>
      <c r="BR118" s="3" t="n"/>
      <c r="BS118" s="3" t="n"/>
      <c r="BT118" s="3" t="n"/>
      <c r="BU118" s="3" t="n"/>
      <c r="BV118" s="3" t="n"/>
      <c r="BW118" s="3" t="n"/>
      <c r="BX118" s="3" t="n"/>
      <c r="BY118" s="3" t="n"/>
      <c r="BZ118" s="3" t="n"/>
      <c r="CA118" s="3" t="n"/>
      <c r="CB118" s="3" t="n"/>
      <c r="CC118" s="3" t="n"/>
      <c r="CD118" s="3" t="n"/>
      <c r="CE118" s="3" t="n"/>
      <c r="CF118" s="3" t="n"/>
      <c r="CG118" s="3" t="n"/>
      <c r="CH118" s="3" t="n"/>
      <c r="CI118" s="3" t="n"/>
      <c r="CJ118" s="3" t="n"/>
      <c r="CK118" s="3" t="n"/>
      <c r="CL118" s="3" t="n"/>
      <c r="CM118" s="3" t="n"/>
      <c r="CN118" s="3" t="n"/>
      <c r="CO118" s="3" t="n"/>
      <c r="CP118" s="3" t="n"/>
      <c r="CQ118" s="3" t="n"/>
      <c r="CR118" s="3" t="n"/>
      <c r="CS118" s="3" t="n"/>
      <c r="CT118" s="3" t="n"/>
      <c r="CU118" s="3" t="n"/>
      <c r="CV118" s="3" t="n"/>
      <c r="CW118" s="3" t="n"/>
      <c r="CX118" s="3" t="n"/>
      <c r="CY118" s="3" t="n"/>
    </row>
    <row r="119" hidden="1" outlineLevel="1">
      <c r="C119" s="32" t="inlineStr">
        <is>
          <t>Resultado Não Recorrente</t>
        </is>
      </c>
      <c r="D119" s="6" t="n"/>
      <c r="E119" s="6" t="n"/>
      <c r="F119" s="6" t="n"/>
      <c r="G119" s="6" t="n"/>
      <c r="H119" s="3" t="n"/>
      <c r="I119" s="6" t="n"/>
      <c r="J119" s="6" t="n"/>
      <c r="K119" s="6" t="n"/>
      <c r="L119" s="6" t="n"/>
      <c r="M119" s="3" t="n"/>
      <c r="N119" s="6" t="n"/>
      <c r="O119" s="6" t="n"/>
      <c r="P119" s="6" t="n"/>
      <c r="Q119" s="6" t="n"/>
      <c r="R119" s="3" t="n"/>
      <c r="S119" s="6" t="n"/>
      <c r="T119" s="6" t="n"/>
      <c r="U119" s="6" t="n"/>
      <c r="V119" s="6" t="n"/>
      <c r="W119" s="3" t="n"/>
      <c r="X119" s="6" t="n"/>
      <c r="Y119" s="6" t="n"/>
      <c r="Z119" s="6" t="n"/>
      <c r="AA119" s="6" t="n"/>
      <c r="AB119" s="3" t="n"/>
      <c r="AC119" s="6" t="n"/>
      <c r="AD119" s="6" t="n"/>
      <c r="AE119" s="6" t="n"/>
      <c r="AF119" s="6" t="n"/>
      <c r="AG119" s="3" t="n"/>
      <c r="AH119" s="3" t="n"/>
      <c r="AI119" s="3" t="n"/>
      <c r="AJ119" s="3" t="n"/>
      <c r="AK119" s="3" t="n"/>
      <c r="AL119" s="3" t="n"/>
      <c r="AM119" s="3" t="n"/>
      <c r="AN119" s="3" t="n"/>
      <c r="AO119" s="3" t="n"/>
      <c r="AP119" s="3" t="n"/>
      <c r="AQ119" s="3" t="n"/>
      <c r="AR119" s="3" t="n"/>
      <c r="AS119" s="3" t="n"/>
      <c r="AT119" s="3" t="n"/>
      <c r="AU119" s="3" t="n"/>
      <c r="AV119" s="3" t="n"/>
      <c r="AW119" s="3" t="n"/>
      <c r="AX119" s="3" t="n"/>
      <c r="AY119" s="3" t="n"/>
      <c r="AZ119" s="3" t="n"/>
      <c r="BA119" s="3" t="n"/>
      <c r="BB119" s="3" t="n"/>
      <c r="BC119" s="3" t="n"/>
      <c r="BD119" s="3" t="n"/>
      <c r="BE119" s="3" t="n"/>
      <c r="BF119" s="3" t="n"/>
      <c r="BG119" s="3" t="n"/>
      <c r="BH119" s="3" t="n"/>
      <c r="BI119" s="3" t="n"/>
      <c r="BJ119" s="3" t="n"/>
      <c r="BK119" s="3" t="n"/>
      <c r="BL119" s="3" t="n"/>
      <c r="BM119" s="3" t="n"/>
      <c r="BN119" s="3" t="n"/>
      <c r="BO119" s="3" t="n"/>
      <c r="BP119" s="3" t="n"/>
      <c r="BQ119" s="3" t="n"/>
      <c r="BR119" s="3" t="n"/>
      <c r="BS119" s="3" t="n"/>
      <c r="BT119" s="3" t="n"/>
      <c r="BU119" s="3" t="n"/>
      <c r="BV119" s="3" t="n"/>
      <c r="BW119" s="3" t="n"/>
      <c r="BX119" s="3" t="n"/>
      <c r="BY119" s="3" t="n"/>
      <c r="BZ119" s="3" t="n"/>
      <c r="CA119" s="3" t="n"/>
      <c r="CB119" s="3" t="n"/>
      <c r="CC119" s="3" t="n"/>
      <c r="CD119" s="3" t="n"/>
      <c r="CE119" s="3" t="n"/>
      <c r="CF119" s="3" t="n"/>
      <c r="CG119" s="3" t="n"/>
      <c r="CH119" s="3" t="n"/>
      <c r="CI119" s="3" t="n"/>
      <c r="CJ119" s="3" t="n"/>
      <c r="CK119" s="3" t="n"/>
      <c r="CL119" s="3" t="n"/>
      <c r="CM119" s="3" t="n"/>
      <c r="CN119" s="3" t="n"/>
      <c r="CO119" s="3" t="n"/>
      <c r="CP119" s="3" t="n"/>
      <c r="CQ119" s="3" t="n"/>
      <c r="CR119" s="3" t="n"/>
      <c r="CS119" s="3" t="n"/>
      <c r="CT119" s="3" t="n"/>
      <c r="CU119" s="3" t="n"/>
      <c r="CV119" s="3" t="n"/>
      <c r="CW119" s="3" t="n"/>
      <c r="CX119" s="3" t="n"/>
      <c r="CY119" s="3" t="n"/>
    </row>
    <row r="120" hidden="1" outlineLevel="1">
      <c r="C120" s="32" t="inlineStr">
        <is>
          <t>Plano de Opção de Compra de Ações</t>
        </is>
      </c>
      <c r="D120" s="6" t="n"/>
      <c r="E120" s="6" t="n"/>
      <c r="F120" s="6" t="n"/>
      <c r="G120" s="6" t="n"/>
      <c r="H120" s="3" t="n"/>
      <c r="I120" s="6" t="n"/>
      <c r="J120" s="6" t="n"/>
      <c r="K120" s="6" t="n"/>
      <c r="L120" s="6" t="n"/>
      <c r="M120" s="3" t="n"/>
      <c r="N120" s="6" t="n"/>
      <c r="O120" s="6" t="n"/>
      <c r="P120" s="6" t="n"/>
      <c r="Q120" s="6" t="n"/>
      <c r="R120" s="3" t="n"/>
      <c r="S120" s="6" t="n"/>
      <c r="T120" s="6" t="n"/>
      <c r="U120" s="6" t="n"/>
      <c r="V120" s="6" t="n"/>
      <c r="W120" s="3" t="n"/>
      <c r="X120" s="6" t="n"/>
      <c r="Y120" s="6" t="n"/>
      <c r="Z120" s="6" t="n"/>
      <c r="AA120" s="6" t="n"/>
      <c r="AB120" s="3" t="n"/>
      <c r="AC120" s="6" t="n"/>
      <c r="AD120" s="6" t="n"/>
      <c r="AE120" s="6" t="n"/>
      <c r="AF120" s="6" t="n"/>
      <c r="AG120" s="3" t="n"/>
      <c r="AH120" s="3" t="n"/>
      <c r="AI120" s="3" t="n"/>
      <c r="AJ120" s="3" t="n"/>
      <c r="AK120" s="3" t="n"/>
      <c r="AL120" s="3" t="n"/>
      <c r="AM120" s="3" t="n"/>
      <c r="AN120" s="3" t="n"/>
      <c r="AO120" s="3" t="n"/>
      <c r="AP120" s="3" t="n"/>
      <c r="AQ120" s="3" t="n"/>
      <c r="AR120" s="3" t="n"/>
      <c r="AS120" s="3" t="n"/>
      <c r="AT120" s="3" t="n"/>
      <c r="AU120" s="3" t="n"/>
      <c r="AV120" s="3" t="n"/>
      <c r="AW120" s="3" t="n"/>
      <c r="AX120" s="3" t="n"/>
      <c r="AY120" s="3" t="n"/>
      <c r="AZ120" s="3" t="n"/>
      <c r="BA120" s="3" t="n"/>
      <c r="BB120" s="3" t="n"/>
      <c r="BC120" s="3" t="n"/>
      <c r="BD120" s="3" t="n"/>
      <c r="BE120" s="3" t="n"/>
      <c r="BF120" s="3" t="n"/>
      <c r="BG120" s="3" t="n"/>
      <c r="BH120" s="3" t="n"/>
      <c r="BI120" s="3" t="n"/>
      <c r="BJ120" s="3" t="n"/>
      <c r="BK120" s="3" t="n"/>
      <c r="BL120" s="3" t="n"/>
      <c r="BM120" s="3" t="n"/>
      <c r="BN120" s="3" t="n"/>
      <c r="BO120" s="3" t="n"/>
      <c r="BP120" s="3" t="n"/>
      <c r="BQ120" s="3" t="n"/>
      <c r="BR120" s="3" t="n"/>
      <c r="BS120" s="3" t="n"/>
      <c r="BT120" s="3" t="n"/>
      <c r="BU120" s="3" t="n"/>
      <c r="BV120" s="3" t="n"/>
      <c r="BW120" s="3" t="n"/>
      <c r="BX120" s="3" t="n"/>
      <c r="BY120" s="3" t="n"/>
      <c r="BZ120" s="3" t="n"/>
      <c r="CA120" s="3" t="n"/>
      <c r="CB120" s="3" t="n"/>
      <c r="CC120" s="3" t="n"/>
      <c r="CD120" s="3" t="n"/>
      <c r="CE120" s="3" t="n"/>
      <c r="CF120" s="3" t="n"/>
      <c r="CG120" s="3" t="n"/>
      <c r="CH120" s="3" t="n"/>
      <c r="CI120" s="3" t="n"/>
      <c r="CJ120" s="3" t="n"/>
      <c r="CK120" s="3" t="n"/>
      <c r="CL120" s="3" t="n"/>
      <c r="CM120" s="3" t="n"/>
      <c r="CN120" s="3" t="n"/>
      <c r="CO120" s="3" t="n"/>
      <c r="CP120" s="3" t="n"/>
      <c r="CQ120" s="3" t="n"/>
      <c r="CR120" s="3" t="n"/>
      <c r="CS120" s="3" t="n"/>
      <c r="CT120" s="3" t="n"/>
      <c r="CU120" s="3" t="n"/>
      <c r="CV120" s="3" t="n"/>
      <c r="CW120" s="3" t="n"/>
      <c r="CX120" s="3" t="n"/>
      <c r="CY120" s="3" t="n"/>
    </row>
    <row r="121" hidden="1" outlineLevel="1">
      <c r="C121" s="32" t="inlineStr">
        <is>
          <t>Baixa Imobilizado</t>
        </is>
      </c>
      <c r="D121" s="6" t="n"/>
      <c r="E121" s="6" t="n"/>
      <c r="F121" s="6" t="n"/>
      <c r="G121" s="6" t="n"/>
      <c r="H121" s="3" t="n"/>
      <c r="I121" s="6" t="n"/>
      <c r="J121" s="6" t="n"/>
      <c r="K121" s="6" t="n"/>
      <c r="L121" s="6" t="n"/>
      <c r="M121" s="3" t="n"/>
      <c r="N121" s="6" t="n"/>
      <c r="O121" s="6" t="n"/>
      <c r="P121" s="6" t="n"/>
      <c r="Q121" s="6" t="n"/>
      <c r="R121" s="3" t="n"/>
      <c r="S121" s="6" t="n"/>
      <c r="T121" s="6" t="n"/>
      <c r="U121" s="6" t="n"/>
      <c r="V121" s="6" t="n"/>
      <c r="W121" s="3" t="n"/>
      <c r="X121" s="6" t="n"/>
      <c r="Y121" s="6" t="n"/>
      <c r="Z121" s="6" t="n"/>
      <c r="AA121" s="6" t="n"/>
      <c r="AB121" s="3" t="n"/>
      <c r="AC121" s="6" t="n"/>
      <c r="AD121" s="6" t="n"/>
      <c r="AE121" s="6" t="n"/>
      <c r="AF121" s="6" t="n"/>
      <c r="AG121" s="3" t="n"/>
      <c r="AH121" s="3" t="n"/>
      <c r="AI121" s="3" t="n"/>
      <c r="AJ121" s="3" t="n"/>
      <c r="AK121" s="3" t="n"/>
      <c r="AL121" s="3" t="n"/>
      <c r="AM121" s="3" t="n"/>
      <c r="AN121" s="3" t="n"/>
      <c r="AO121" s="3" t="n"/>
      <c r="AP121" s="3" t="n"/>
      <c r="AQ121" s="3" t="n"/>
      <c r="AR121" s="3" t="n"/>
      <c r="AS121" s="3" t="n"/>
      <c r="AT121" s="3" t="n"/>
      <c r="AU121" s="3" t="n"/>
      <c r="AV121" s="3" t="n"/>
      <c r="AW121" s="3" t="n"/>
      <c r="AX121" s="3" t="n"/>
      <c r="AY121" s="3" t="n"/>
      <c r="AZ121" s="3" t="n"/>
      <c r="BA121" s="3" t="n"/>
      <c r="BB121" s="3" t="n"/>
      <c r="BC121" s="3" t="n"/>
      <c r="BD121" s="3" t="n"/>
      <c r="BE121" s="3" t="n"/>
      <c r="BF121" s="3" t="n"/>
      <c r="BG121" s="3" t="n"/>
      <c r="BH121" s="3" t="n"/>
      <c r="BI121" s="3" t="n"/>
      <c r="BJ121" s="3" t="n"/>
      <c r="BK121" s="3" t="n"/>
      <c r="BL121" s="3" t="n"/>
      <c r="BM121" s="3" t="n"/>
      <c r="BN121" s="3" t="n"/>
      <c r="BO121" s="3" t="n"/>
      <c r="BP121" s="3" t="n"/>
      <c r="BQ121" s="3" t="n"/>
      <c r="BR121" s="3" t="n"/>
      <c r="BS121" s="3" t="n"/>
      <c r="BT121" s="3" t="n"/>
      <c r="BU121" s="3" t="n"/>
      <c r="BV121" s="3" t="n"/>
      <c r="BW121" s="3" t="n"/>
      <c r="BX121" s="3" t="n"/>
      <c r="BY121" s="3" t="n"/>
      <c r="BZ121" s="3" t="n"/>
      <c r="CA121" s="3" t="n"/>
      <c r="CB121" s="3" t="n"/>
      <c r="CC121" s="3" t="n"/>
      <c r="CD121" s="3" t="n"/>
      <c r="CE121" s="3" t="n"/>
      <c r="CF121" s="3" t="n"/>
      <c r="CG121" s="3" t="n"/>
      <c r="CH121" s="3" t="n"/>
      <c r="CI121" s="3" t="n"/>
      <c r="CJ121" s="3" t="n"/>
      <c r="CK121" s="3" t="n"/>
      <c r="CL121" s="3" t="n"/>
      <c r="CM121" s="3" t="n"/>
      <c r="CN121" s="3" t="n"/>
      <c r="CO121" s="3" t="n"/>
      <c r="CP121" s="3" t="n"/>
      <c r="CQ121" s="3" t="n"/>
      <c r="CR121" s="3" t="n"/>
      <c r="CS121" s="3" t="n"/>
      <c r="CT121" s="3" t="n"/>
      <c r="CU121" s="3" t="n"/>
      <c r="CV121" s="3" t="n"/>
      <c r="CW121" s="3" t="n"/>
      <c r="CX121" s="3" t="n"/>
      <c r="CY121" s="3" t="n"/>
    </row>
    <row r="122" hidden="1" outlineLevel="1">
      <c r="C122" s="34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n"/>
      <c r="AG122" s="3" t="n"/>
      <c r="AH122" s="3" t="n"/>
      <c r="AI122" s="3" t="n"/>
      <c r="AJ122" s="3" t="n"/>
      <c r="AK122" s="3" t="n"/>
      <c r="AL122" s="3" t="n"/>
      <c r="AM122" s="3" t="n"/>
      <c r="AN122" s="3" t="n"/>
      <c r="AO122" s="3" t="n"/>
      <c r="AP122" s="3" t="n"/>
      <c r="AQ122" s="3" t="n"/>
      <c r="AR122" s="3" t="n"/>
      <c r="AS122" s="3" t="n"/>
      <c r="AT122" s="3" t="n"/>
      <c r="AU122" s="3" t="n"/>
      <c r="AV122" s="3" t="n"/>
      <c r="AW122" s="3" t="n"/>
      <c r="AX122" s="3" t="n"/>
      <c r="AY122" s="3" t="n"/>
      <c r="AZ122" s="3" t="n"/>
      <c r="BA122" s="3" t="n"/>
      <c r="BB122" s="3" t="n"/>
      <c r="BC122" s="3" t="n"/>
      <c r="BD122" s="3" t="n"/>
      <c r="BE122" s="3" t="n"/>
      <c r="BF122" s="3" t="n"/>
      <c r="BG122" s="3" t="n"/>
      <c r="BH122" s="3" t="n"/>
      <c r="BI122" s="3" t="n"/>
      <c r="BJ122" s="3" t="n"/>
      <c r="BK122" s="3" t="n"/>
      <c r="BL122" s="3" t="n"/>
      <c r="BM122" s="3" t="n"/>
      <c r="BN122" s="3" t="n"/>
      <c r="BO122" s="3" t="n"/>
      <c r="BP122" s="3" t="n"/>
      <c r="BQ122" s="3" t="n"/>
      <c r="BR122" s="3" t="n"/>
      <c r="BS122" s="3" t="n"/>
      <c r="BT122" s="3" t="n"/>
      <c r="BU122" s="3" t="n"/>
      <c r="BV122" s="3" t="n"/>
      <c r="BW122" s="3" t="n"/>
      <c r="BX122" s="3" t="n"/>
      <c r="BY122" s="3" t="n"/>
      <c r="BZ122" s="3" t="n"/>
      <c r="CA122" s="3" t="n"/>
      <c r="CB122" s="3" t="n"/>
      <c r="CC122" s="3" t="n"/>
      <c r="CD122" s="3" t="n"/>
      <c r="CE122" s="3" t="n"/>
      <c r="CF122" s="3" t="n"/>
      <c r="CG122" s="3" t="n"/>
      <c r="CH122" s="3" t="n"/>
      <c r="CI122" s="3" t="n"/>
      <c r="CJ122" s="3" t="n"/>
      <c r="CK122" s="3" t="n"/>
      <c r="CL122" s="3" t="n"/>
      <c r="CM122" s="3" t="n"/>
      <c r="CN122" s="3" t="n"/>
      <c r="CO122" s="3" t="n"/>
      <c r="CP122" s="3" t="n"/>
      <c r="CQ122" s="3" t="n"/>
      <c r="CR122" s="3" t="n"/>
      <c r="CS122" s="3" t="n"/>
      <c r="CT122" s="3" t="n"/>
      <c r="CU122" s="3" t="n"/>
      <c r="CV122" s="3" t="n"/>
      <c r="CW122" s="3" t="n"/>
      <c r="CX122" s="3" t="n"/>
      <c r="CY122" s="3" t="n"/>
    </row>
    <row r="123" hidden="1" outlineLevel="1">
      <c r="C123" s="34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n"/>
      <c r="AK123" s="3" t="n"/>
      <c r="AL123" s="3" t="n"/>
      <c r="AM123" s="3" t="n"/>
      <c r="AN123" s="3" t="n"/>
      <c r="AO123" s="3" t="n"/>
      <c r="AP123" s="3" t="n"/>
      <c r="AQ123" s="3" t="n"/>
      <c r="AR123" s="3" t="n"/>
      <c r="AS123" s="3" t="n"/>
      <c r="AT123" s="3" t="n"/>
      <c r="AU123" s="3" t="n"/>
      <c r="AV123" s="3" t="n"/>
      <c r="AW123" s="3" t="n"/>
      <c r="AX123" s="3" t="n"/>
      <c r="AY123" s="3" t="n"/>
      <c r="AZ123" s="3" t="n"/>
      <c r="BA123" s="3" t="n"/>
      <c r="BB123" s="3" t="n"/>
      <c r="BC123" s="3" t="n"/>
      <c r="BD123" s="3" t="n"/>
      <c r="BE123" s="3" t="n"/>
      <c r="BF123" s="3" t="n"/>
      <c r="BG123" s="3" t="n"/>
      <c r="BH123" s="3" t="n"/>
      <c r="BI123" s="3" t="n"/>
      <c r="BJ123" s="3" t="n"/>
      <c r="BK123" s="3" t="n"/>
      <c r="BL123" s="3" t="n"/>
      <c r="BM123" s="3" t="n"/>
      <c r="BN123" s="3" t="n"/>
      <c r="BO123" s="3" t="n"/>
      <c r="BP123" s="3" t="n"/>
      <c r="BQ123" s="3" t="n"/>
      <c r="BR123" s="3" t="n"/>
      <c r="BS123" s="3" t="n"/>
      <c r="BT123" s="3" t="n"/>
      <c r="BU123" s="3" t="n"/>
      <c r="BV123" s="3" t="n"/>
      <c r="BW123" s="3" t="n"/>
      <c r="BX123" s="3" t="n"/>
      <c r="BY123" s="3" t="n"/>
      <c r="BZ123" s="3" t="n"/>
      <c r="CA123" s="3" t="n"/>
      <c r="CB123" s="3" t="n"/>
      <c r="CC123" s="3" t="n"/>
      <c r="CD123" s="3" t="n"/>
      <c r="CE123" s="3" t="n"/>
      <c r="CF123" s="3" t="n"/>
      <c r="CG123" s="3" t="n"/>
      <c r="CH123" s="3" t="n"/>
      <c r="CI123" s="3" t="n"/>
      <c r="CJ123" s="3" t="n"/>
      <c r="CK123" s="3" t="n"/>
      <c r="CL123" s="3" t="n"/>
      <c r="CM123" s="3" t="n"/>
      <c r="CN123" s="3" t="n"/>
      <c r="CO123" s="3" t="n"/>
      <c r="CP123" s="3" t="n"/>
      <c r="CQ123" s="3" t="n"/>
      <c r="CR123" s="3" t="n"/>
      <c r="CS123" s="3" t="n"/>
      <c r="CT123" s="3" t="n"/>
      <c r="CU123" s="3" t="n"/>
      <c r="CV123" s="3" t="n"/>
      <c r="CW123" s="3" t="n"/>
      <c r="CX123" s="3" t="n"/>
      <c r="CY123" s="3" t="n"/>
    </row>
    <row r="124" collapsed="1" customFormat="1" s="17">
      <c r="A124" s="13" t="n"/>
      <c r="B124" s="1" t="n"/>
      <c r="C124" s="14" t="inlineStr">
        <is>
          <t>Pretax Income - EBT</t>
        </is>
      </c>
      <c r="D124" s="16">
        <f>SUM(D67,D68,D117)</f>
        <v>70</v>
      </c>
      <c r="E124" s="16">
        <f>SUM(E67,E68,E117)</f>
        <v>150</v>
      </c>
      <c r="F124" s="16">
        <f>SUM(F67,F68,F117)</f>
        <v>555</v>
      </c>
      <c r="G124" s="16">
        <f>SUM(G67,G68,G117)</f>
        <v>379</v>
      </c>
      <c r="H124" s="16">
        <f>SUM(D124:G124)</f>
        <v>1154</v>
      </c>
      <c r="I124" s="16">
        <f>SUM(I67,I68,I117)</f>
        <v>533</v>
      </c>
      <c r="J124" s="16">
        <f>SUM(J67,J68,J117)</f>
        <v>1293</v>
      </c>
      <c r="K124" s="16">
        <f>SUM(K67,K68,K117)</f>
        <v>1882</v>
      </c>
      <c r="L124" s="16">
        <f>SUM(L67,L68,L117)</f>
        <v>2635</v>
      </c>
      <c r="M124" s="16">
        <f>SUM(I124:L124)</f>
        <v>6343</v>
      </c>
      <c r="N124" s="16">
        <f>SUM(N67,N68,N117)</f>
        <v>3626</v>
      </c>
      <c r="O124" s="16">
        <f>SUM(O67,O68,O117)</f>
        <v>2474</v>
      </c>
      <c r="P124" s="16">
        <f>SUM(P67,P68,P117)</f>
        <v>3636</v>
      </c>
      <c r="Q124" s="16">
        <f>SUM(Q67,Q68,Q117)</f>
        <v>3983</v>
      </c>
      <c r="R124" s="16">
        <f>SUM(N124:Q124)</f>
        <v>13719</v>
      </c>
      <c r="S124" s="16">
        <f>SUM(S67,S68,S117)</f>
        <v>2800</v>
      </c>
      <c r="T124" s="16">
        <f>SUM(T67,T68,T117)</f>
        <v>2937</v>
      </c>
      <c r="U124" s="16">
        <f>SUM(U67,U68,U117)</f>
        <v>2045</v>
      </c>
      <c r="V124" s="16">
        <f>SUM(V67,V68,V117)</f>
        <v>2191</v>
      </c>
      <c r="W124" s="16">
        <f>SUM(S124:V124)</f>
        <v>9973</v>
      </c>
      <c r="X124" s="16">
        <f>SUM(X67,X68,X117)</f>
        <v>1888</v>
      </c>
      <c r="Y124" s="16">
        <f>SUM(Y67,Y68,Y117)</f>
        <v>1787</v>
      </c>
      <c r="Z124" s="16">
        <f>SUM(Z67,Z68,Z117)</f>
        <v>2791</v>
      </c>
      <c r="AA124" s="16">
        <f>SUM(AA67,AA68,AA117)</f>
        <v>2524</v>
      </c>
      <c r="AB124" s="16">
        <f>SUM(X124:AA124)</f>
        <v>8990</v>
      </c>
      <c r="AC124" s="16">
        <f>SUM(AC67,AC68,AC117)</f>
        <v>589</v>
      </c>
      <c r="AD124" s="16">
        <f>SUM(AD67,AD68,AD117)</f>
        <v>1549</v>
      </c>
      <c r="AE124" s="16">
        <f>SUM(AE67,AE68,AE117)</f>
        <v>1959</v>
      </c>
      <c r="AF124" s="16">
        <f>SUM(AF67,AF68,AF117)</f>
        <v>1181</v>
      </c>
      <c r="AG124" s="16">
        <f>SUM(AC124:AF124)</f>
        <v>5278</v>
      </c>
      <c r="AH124" s="16">
        <f>SUM(AH67,AH68,AH117)</f>
        <v>748</v>
      </c>
      <c r="AI124" s="16">
        <f>SUM(AI67,AI68,AI117)</f>
        <v>1329</v>
      </c>
      <c r="AJ124" s="16">
        <f>SUM(AJ67,AJ68,AJ117)</f>
        <v>-101</v>
      </c>
      <c r="AK124" s="16">
        <f>SUM(AK67,AK68,AK117)</f>
        <v>1012</v>
      </c>
      <c r="AL124" s="16">
        <f>SUM(AH124:AK124)</f>
        <v>2988</v>
      </c>
      <c r="AM124" s="16">
        <f>SUM(AM67,AM68,AM117)</f>
        <v>1012</v>
      </c>
      <c r="AN124" s="16">
        <f>SUM(AN67,AN68,AN117)</f>
        <v>1822</v>
      </c>
      <c r="AO124" s="16">
        <f>SUM(AO67,AO68,AO117)</f>
        <v>1012</v>
      </c>
      <c r="AP124" s="16">
        <f>SUM(AP67,AP68,AP117)</f>
        <v>1822</v>
      </c>
      <c r="AQ124" s="16">
        <f>SUM(AM124:AP124)</f>
        <v>5668</v>
      </c>
      <c r="AR124" s="16">
        <f>SUM(AR67,AR68,AR117)</f>
        <v>1822</v>
      </c>
      <c r="AS124" s="16">
        <f>SUM(AS67,AS68,AS117)</f>
        <v>5668</v>
      </c>
      <c r="AT124" s="16">
        <f>SUM(AT67,AT68,AT117)</f>
        <v>1822</v>
      </c>
      <c r="AU124" s="16">
        <f>SUM(AU67,AU68,AU117)</f>
        <v>5668</v>
      </c>
      <c r="AV124" s="16">
        <f>SUM(AR124:AU124)</f>
        <v>14980</v>
      </c>
      <c r="AW124" s="16">
        <f>SUM(AW67,AW68,AW117)</f>
        <v>5668</v>
      </c>
      <c r="AX124" s="16">
        <f>SUM(AX67,AX68,AX117)</f>
        <v>14980</v>
      </c>
      <c r="AY124" s="16">
        <f>SUM(AY67,AY68,AY117)</f>
        <v>5668</v>
      </c>
      <c r="AZ124" s="16">
        <f>SUM(AZ67,AZ68,AZ117)</f>
        <v>14980</v>
      </c>
      <c r="BA124" s="16">
        <f>SUM(AW124:AZ124)</f>
        <v>41296</v>
      </c>
      <c r="BB124" s="16">
        <f>SUM(BB67,BB68,BB117)</f>
        <v>14980</v>
      </c>
      <c r="BC124" s="16">
        <f>SUM(BC67,BC68,BC117)</f>
        <v>41296</v>
      </c>
      <c r="BD124" s="16">
        <f>SUM(BD67,BD68,BD117)</f>
        <v>14980</v>
      </c>
      <c r="BE124" s="16">
        <f>SUM(BE67,BE68,BE117)</f>
        <v>41296</v>
      </c>
      <c r="BF124" s="16">
        <f>SUM(BB124:BE124)</f>
        <v>112552</v>
      </c>
      <c r="BG124" s="16">
        <f>SUM(BG67,BG68,BG117)</f>
        <v>41296</v>
      </c>
      <c r="BH124" s="16">
        <f>SUM(BH67,BH68,BH117)</f>
        <v>112552</v>
      </c>
      <c r="BI124" s="16">
        <f>SUM(BI67,BI68,BI117)</f>
        <v>41296</v>
      </c>
      <c r="BJ124" s="16">
        <f>SUM(BJ67,BJ68,BJ117)</f>
        <v>112552</v>
      </c>
      <c r="BK124" s="16">
        <f>SUM(BG124:BJ124)</f>
        <v>307696</v>
      </c>
      <c r="BL124" s="16">
        <f>SUM(BL67,BL68,BL117)</f>
        <v>112552</v>
      </c>
      <c r="BM124" s="16">
        <f>SUM(BM67,BM68,BM117)</f>
        <v>307696</v>
      </c>
      <c r="BN124" s="16">
        <f>SUM(BN67,BN68,BN117)</f>
        <v>112552</v>
      </c>
      <c r="BO124" s="16">
        <f>SUM(BO67,BO68,BO117)</f>
        <v>307696</v>
      </c>
      <c r="BP124" s="16">
        <f>SUM(BL124:BO124)</f>
        <v>840496</v>
      </c>
      <c r="BQ124" s="16">
        <f>SUM(BQ67,BQ68,BQ117)</f>
        <v>307696</v>
      </c>
      <c r="BR124" s="16">
        <f>SUM(BR67,BR68,BR117)</f>
        <v>840496</v>
      </c>
      <c r="BS124" s="16">
        <f>SUM(BS67,BS68,BS117)</f>
        <v>307696</v>
      </c>
      <c r="BT124" s="16">
        <f>SUM(BT67,BT68,BT117)</f>
        <v>840496</v>
      </c>
      <c r="BU124" s="16">
        <f>SUM(BQ124:BT124)</f>
        <v>2296384</v>
      </c>
      <c r="BV124" s="16">
        <f>SUM(BV67,BV68,BV117)</f>
        <v>840496</v>
      </c>
      <c r="BW124" s="16">
        <f>SUM(BW67,BW68,BW117)</f>
        <v>2296384</v>
      </c>
      <c r="BX124" s="16">
        <f>SUM(BX67,BX68,BX117)</f>
        <v>840496</v>
      </c>
      <c r="BY124" s="16">
        <f>SUM(BY67,BY68,BY117)</f>
        <v>2296384</v>
      </c>
      <c r="BZ124" s="16">
        <f>SUM(BV124:BY124)</f>
        <v>6273760</v>
      </c>
      <c r="CA124" s="16">
        <f>SUM(CA67,CA68,CA117)</f>
        <v>2296384</v>
      </c>
      <c r="CB124" s="16">
        <f>SUM(CB67,CB68,CB117)</f>
        <v>6273760</v>
      </c>
      <c r="CC124" s="16">
        <f>SUM(CC67,CC68,CC117)</f>
        <v>2296384</v>
      </c>
      <c r="CD124" s="16">
        <f>SUM(CD67,CD68,CD117)</f>
        <v>6273760</v>
      </c>
      <c r="CE124" s="16">
        <f>SUM(CA124:CD124)</f>
        <v>17140288</v>
      </c>
      <c r="CF124" s="16">
        <f>SUM(CF67,CF68,CF117)</f>
        <v>6273760</v>
      </c>
      <c r="CG124" s="16">
        <f>SUM(CG67,CG68,CG117)</f>
        <v>17140288</v>
      </c>
      <c r="CH124" s="16">
        <f>SUM(CH67,CH68,CH117)</f>
        <v>6273760</v>
      </c>
      <c r="CI124" s="16">
        <f>SUM(CI67,CI68,CI117)</f>
        <v>17140288</v>
      </c>
      <c r="CJ124" s="16">
        <f>SUM(CF124:CI124)</f>
        <v>46828096</v>
      </c>
      <c r="CK124" s="16">
        <f>SUM(CK67,CK68,CK117)</f>
        <v>17140288</v>
      </c>
      <c r="CL124" s="16">
        <f>SUM(CL67,CL68,CL117)</f>
        <v>46828096</v>
      </c>
      <c r="CM124" s="16">
        <f>SUM(CM67,CM68,CM117)</f>
        <v>17140288</v>
      </c>
      <c r="CN124" s="16">
        <f>SUM(CN67,CN68,CN117)</f>
        <v>46828096</v>
      </c>
      <c r="CO124" s="16">
        <f>SUM(CK124:CN124)</f>
        <v>127936768</v>
      </c>
      <c r="CP124" s="16">
        <f>SUM(CP67,CP68,CP117)</f>
        <v>46828096</v>
      </c>
      <c r="CQ124" s="16">
        <f>SUM(CQ67,CQ68,CQ117)</f>
        <v>127936768</v>
      </c>
      <c r="CR124" s="16">
        <f>SUM(CR67,CR68,CR117)</f>
        <v>46828096</v>
      </c>
      <c r="CS124" s="16">
        <f>SUM(CS67,CS68,CS117)</f>
        <v>127936768</v>
      </c>
      <c r="CT124" s="16">
        <f>SUM(CP124:CS124)</f>
        <v>349529728</v>
      </c>
      <c r="CU124" s="16">
        <f>SUM(CU67,CU68,CU117)</f>
        <v>127936768</v>
      </c>
      <c r="CV124" s="16">
        <f>SUM(CV67,CV68,CV117)</f>
        <v>349529728</v>
      </c>
      <c r="CW124" s="16">
        <f>SUM(CW67,CW68,CW117)</f>
        <v>127936768</v>
      </c>
      <c r="CX124" s="16">
        <f>SUM(CX67,CX68,CX117)</f>
        <v>349529728</v>
      </c>
      <c r="CY124" s="16">
        <f>SUM(CU124:CX124)</f>
        <v>954932992</v>
      </c>
    </row>
    <row r="125">
      <c r="C125" s="26" t="inlineStr">
        <is>
          <t>Taxes</t>
        </is>
      </c>
      <c r="D125" s="25">
        <f>INDEX('Inputs (2)'!$D$10:$AL$10,MATCH(D$7,'Inputs (2)'!$D$2:$AL$2,0))</f>
        <v>-2</v>
      </c>
      <c r="E125" s="25">
        <f>INDEX('Inputs (2)'!$D$10:$AL$10,MATCH(E$7,'Inputs (2)'!$D$2:$AL$2,0))</f>
        <v>-21</v>
      </c>
      <c r="F125" s="25">
        <f>INDEX('Inputs (2)'!$D$10:$AL$10,MATCH(F$7,'Inputs (2)'!$D$2:$AL$2,0))</f>
        <v>-186</v>
      </c>
      <c r="G125" s="25">
        <f>INDEX('Inputs (2)'!$D$10:$AL$10,MATCH(G$7,'Inputs (2)'!$D$2:$AL$2,0))</f>
        <v>-83</v>
      </c>
      <c r="H125" s="3">
        <f>SUM(D125:G125)</f>
        <v>-292</v>
      </c>
      <c r="I125" s="25">
        <f>INDEX('Inputs (2)'!$D$10:$AL$10,MATCH(I$7,'Inputs (2)'!$D$2:$AL$2,0))</f>
        <v>-69</v>
      </c>
      <c r="J125" s="25">
        <f>INDEX('Inputs (2)'!$D$10:$AL$10,MATCH(J$7,'Inputs (2)'!$D$2:$AL$2,0))</f>
        <v>-115</v>
      </c>
      <c r="K125" s="25">
        <f>INDEX('Inputs (2)'!$D$10:$AL$10,MATCH(K$7,'Inputs (2)'!$D$2:$AL$2,0))</f>
        <v>-223</v>
      </c>
      <c r="L125" s="25">
        <f>INDEX('Inputs (2)'!$D$10:$AL$10,MATCH(L$7,'Inputs (2)'!$D$2:$AL$2,0))</f>
        <v>-292</v>
      </c>
      <c r="M125" s="3">
        <f>SUM(I125:L125)</f>
        <v>-699</v>
      </c>
      <c r="N125" s="25">
        <f>INDEX('Inputs (2)'!$D$10:$AL$10,MATCH(N$7,'Inputs (2)'!$D$2:$AL$2,0))</f>
        <v>-346</v>
      </c>
      <c r="O125" s="25">
        <f>INDEX('Inputs (2)'!$D$10:$AL$10,MATCH(O$7,'Inputs (2)'!$D$2:$AL$2,0))</f>
        <v>-205</v>
      </c>
      <c r="P125" s="25">
        <f>INDEX('Inputs (2)'!$D$10:$AL$10,MATCH(P$7,'Inputs (2)'!$D$2:$AL$2,0))</f>
        <v>-305</v>
      </c>
      <c r="Q125" s="25">
        <f>INDEX('Inputs (2)'!$D$10:$AL$10,MATCH(Q$7,'Inputs (2)'!$D$2:$AL$2,0))</f>
        <v>-276</v>
      </c>
      <c r="R125" s="3">
        <f>SUM(N125:Q125)</f>
        <v>-1132</v>
      </c>
      <c r="S125" s="25">
        <f>INDEX('Inputs (2)'!$D$10:$AL$10,MATCH(S$7,'Inputs (2)'!$D$2:$AL$2,0))</f>
        <v>-261</v>
      </c>
      <c r="T125" s="25">
        <f>INDEX('Inputs (2)'!$D$10:$AL$10,MATCH(T$7,'Inputs (2)'!$D$2:$AL$2,0))</f>
        <v>-323</v>
      </c>
      <c r="U125" s="25">
        <f>INDEX('Inputs (2)'!$D$10:$AL$10,MATCH(U$7,'Inputs (2)'!$D$2:$AL$2,0))</f>
        <v>-167</v>
      </c>
      <c r="V125" s="25">
        <f>INDEX('Inputs (2)'!$D$10:$AL$10,MATCH(V$7,'Inputs (2)'!$D$2:$AL$2,0))</f>
        <v>5752</v>
      </c>
      <c r="W125" s="3">
        <f>SUM(S125:V125)</f>
        <v>5001</v>
      </c>
      <c r="X125" s="25">
        <f>INDEX('Inputs (2)'!$D$10:$AL$10,MATCH(X$7,'Inputs (2)'!$D$2:$AL$2,0))</f>
        <v>-483</v>
      </c>
      <c r="Y125" s="25">
        <f>INDEX('Inputs (2)'!$D$10:$AL$10,MATCH(Y$7,'Inputs (2)'!$D$2:$AL$2,0))</f>
        <v>-371</v>
      </c>
      <c r="Z125" s="25">
        <f>INDEX('Inputs (2)'!$D$10:$AL$10,MATCH(Z$7,'Inputs (2)'!$D$2:$AL$2,0))</f>
        <v>-602</v>
      </c>
      <c r="AA125" s="25">
        <f>INDEX('Inputs (2)'!$D$10:$AL$10,MATCH(AA$7,'Inputs (2)'!$D$2:$AL$2,0))</f>
        <v>-381</v>
      </c>
      <c r="AB125" s="3">
        <f>SUM(X125:AA125)</f>
        <v>-1837</v>
      </c>
      <c r="AC125" s="25">
        <f>INDEX('Inputs (2)'!$D$10:$AL$10,MATCH(AC$7,'Inputs (2)'!$D$2:$AL$2,0))</f>
        <v>-169</v>
      </c>
      <c r="AD125" s="25">
        <f>INDEX('Inputs (2)'!$D$10:$AL$10,MATCH(AD$7,'Inputs (2)'!$D$2:$AL$2,0))</f>
        <v>-359</v>
      </c>
      <c r="AE125" s="25">
        <f>INDEX('Inputs (2)'!$D$10:$AL$10,MATCH(AE$7,'Inputs (2)'!$D$2:$AL$2,0))</f>
        <v>-570</v>
      </c>
      <c r="AF125" s="25">
        <f>INDEX('Inputs (2)'!$D$10:$AL$10,MATCH(AF$7,'Inputs (2)'!$D$2:$AL$2,0))</f>
        <v>-325</v>
      </c>
      <c r="AG125" s="3">
        <f>SUM(AC125:AF125)</f>
        <v>-1423</v>
      </c>
      <c r="AH125" s="3">
        <f>INDEX('Inputs (2)'!$D$10:$AL$10,MATCH(AH$7,'Inputs (2)'!$D$2:$AL$2,0))</f>
        <v>-257</v>
      </c>
      <c r="AI125" s="3">
        <f>INDEX('Inputs (2)'!$D$10:$AL$10,MATCH(AI$7,'Inputs (2)'!$D$2:$AL$2,0))</f>
        <v>-201</v>
      </c>
      <c r="AJ125" s="3">
        <f>AJ126*-AJ124</f>
        <v>0</v>
      </c>
      <c r="AK125" s="3">
        <f>AK126*-AK124</f>
        <v>0</v>
      </c>
      <c r="AL125" s="3">
        <f>SUM(AH125:AK125)</f>
        <v>-458</v>
      </c>
      <c r="AM125" s="3">
        <f>AM126*-AM124</f>
        <v>0</v>
      </c>
      <c r="AN125" s="3">
        <f>AN126*-AN124</f>
        <v>0</v>
      </c>
      <c r="AO125" s="3">
        <f>AO126*-AO124</f>
        <v>0</v>
      </c>
      <c r="AP125" s="3">
        <f>AP126*-AP124</f>
        <v>0</v>
      </c>
      <c r="AQ125" s="3">
        <f>SUM(AM125:AP125)</f>
        <v>0</v>
      </c>
      <c r="AR125" s="3">
        <f>AR126*-AR124</f>
        <v>0</v>
      </c>
      <c r="AS125" s="3">
        <f>AS126*-AS124</f>
        <v>0</v>
      </c>
      <c r="AT125" s="3">
        <f>AT126*-AT124</f>
        <v>0</v>
      </c>
      <c r="AU125" s="3">
        <f>AU126*-AU124</f>
        <v>0</v>
      </c>
      <c r="AV125" s="3">
        <f>SUM(AR125:AU125)</f>
        <v>0</v>
      </c>
      <c r="AW125" s="3">
        <f>AW126*-AW124</f>
        <v>0</v>
      </c>
      <c r="AX125" s="3">
        <f>AX126*-AX124</f>
        <v>0</v>
      </c>
      <c r="AY125" s="3">
        <f>AY126*-AY124</f>
        <v>0</v>
      </c>
      <c r="AZ125" s="3">
        <f>AZ126*-AZ124</f>
        <v>0</v>
      </c>
      <c r="BA125" s="3">
        <f>SUM(AW125:AZ125)</f>
        <v>0</v>
      </c>
      <c r="BB125" s="3">
        <f>BB126*-BB124</f>
        <v>0</v>
      </c>
      <c r="BC125" s="3">
        <f>BC126*-BC124</f>
        <v>0</v>
      </c>
      <c r="BD125" s="3">
        <f>BD126*-BD124</f>
        <v>0</v>
      </c>
      <c r="BE125" s="3">
        <f>BE126*-BE124</f>
        <v>0</v>
      </c>
      <c r="BF125" s="3">
        <f>SUM(BB125:BE125)</f>
        <v>0</v>
      </c>
      <c r="BG125" s="3">
        <f>BG126*-BG124</f>
        <v>0</v>
      </c>
      <c r="BH125" s="3">
        <f>BH126*-BH124</f>
        <v>0</v>
      </c>
      <c r="BI125" s="3">
        <f>BI126*-BI124</f>
        <v>0</v>
      </c>
      <c r="BJ125" s="3">
        <f>BJ126*-BJ124</f>
        <v>0</v>
      </c>
      <c r="BK125" s="3">
        <f>SUM(BG125:BJ125)</f>
        <v>0</v>
      </c>
      <c r="BL125" s="3">
        <f>BL126*-BL124</f>
        <v>0</v>
      </c>
      <c r="BM125" s="3">
        <f>BM126*-BM124</f>
        <v>0</v>
      </c>
      <c r="BN125" s="3">
        <f>BN126*-BN124</f>
        <v>0</v>
      </c>
      <c r="BO125" s="3">
        <f>BO126*-BO124</f>
        <v>0</v>
      </c>
      <c r="BP125" s="3">
        <f>SUM(BL125:BO125)</f>
        <v>0</v>
      </c>
      <c r="BQ125" s="3">
        <f>BQ126*-BQ124</f>
        <v>0</v>
      </c>
      <c r="BR125" s="3">
        <f>BR126*-BR124</f>
        <v>0</v>
      </c>
      <c r="BS125" s="3">
        <f>BS126*-BS124</f>
        <v>0</v>
      </c>
      <c r="BT125" s="3">
        <f>BT126*-BT124</f>
        <v>0</v>
      </c>
      <c r="BU125" s="3">
        <f>SUM(BQ125:BT125)</f>
        <v>0</v>
      </c>
      <c r="BV125" s="3">
        <f>BV126*-BV124</f>
        <v>0</v>
      </c>
      <c r="BW125" s="3">
        <f>BW126*-BW124</f>
        <v>0</v>
      </c>
      <c r="BX125" s="3">
        <f>BX126*-BX124</f>
        <v>0</v>
      </c>
      <c r="BY125" s="3">
        <f>BY126*-BY124</f>
        <v>0</v>
      </c>
      <c r="BZ125" s="3">
        <f>SUM(BV125:BY125)</f>
        <v>0</v>
      </c>
      <c r="CA125" s="3">
        <f>CA126*-CA124</f>
        <v>0</v>
      </c>
      <c r="CB125" s="3">
        <f>CB126*-CB124</f>
        <v>0</v>
      </c>
      <c r="CC125" s="3">
        <f>CC126*-CC124</f>
        <v>0</v>
      </c>
      <c r="CD125" s="3">
        <f>CD126*-CD124</f>
        <v>0</v>
      </c>
      <c r="CE125" s="3">
        <f>SUM(CA125:CD125)</f>
        <v>0</v>
      </c>
      <c r="CF125" s="3">
        <f>CF126*-CF124</f>
        <v>0</v>
      </c>
      <c r="CG125" s="3">
        <f>CG126*-CG124</f>
        <v>0</v>
      </c>
      <c r="CH125" s="3">
        <f>CH126*-CH124</f>
        <v>0</v>
      </c>
      <c r="CI125" s="3">
        <f>CI126*-CI124</f>
        <v>0</v>
      </c>
      <c r="CJ125" s="3">
        <f>SUM(CF125:CI125)</f>
        <v>0</v>
      </c>
      <c r="CK125" s="3">
        <f>CK126*-CK124</f>
        <v>0</v>
      </c>
      <c r="CL125" s="3">
        <f>CL126*-CL124</f>
        <v>0</v>
      </c>
      <c r="CM125" s="3">
        <f>CM126*-CM124</f>
        <v>0</v>
      </c>
      <c r="CN125" s="3">
        <f>CN126*-CN124</f>
        <v>0</v>
      </c>
      <c r="CO125" s="3">
        <f>SUM(CK125:CN125)</f>
        <v>0</v>
      </c>
      <c r="CP125" s="3">
        <f>CP126*-CP124</f>
        <v>0</v>
      </c>
      <c r="CQ125" s="3">
        <f>CQ126*-CQ124</f>
        <v>0</v>
      </c>
      <c r="CR125" s="3">
        <f>CR126*-CR124</f>
        <v>0</v>
      </c>
      <c r="CS125" s="3">
        <f>CS126*-CS124</f>
        <v>0</v>
      </c>
      <c r="CT125" s="3">
        <f>SUM(CP125:CS125)</f>
        <v>0</v>
      </c>
      <c r="CU125" s="3">
        <f>CU126*-CU124</f>
        <v>0</v>
      </c>
      <c r="CV125" s="3">
        <f>CV126*-CV124</f>
        <v>0</v>
      </c>
      <c r="CW125" s="3">
        <f>CW126*-CW124</f>
        <v>0</v>
      </c>
      <c r="CX125" s="3">
        <f>CX126*-CX124</f>
        <v>0</v>
      </c>
      <c r="CY125" s="3">
        <f>SUM(CU125:CX125)</f>
        <v>0</v>
      </c>
    </row>
    <row r="126" hidden="1" outlineLevel="1">
      <c r="C126" s="34" t="inlineStr">
        <is>
          <t>% ETR</t>
        </is>
      </c>
      <c r="D126" s="48">
        <f>-D125/D124</f>
        <v>0.0285714285714286</v>
      </c>
      <c r="E126" s="48">
        <f>-E125/E124</f>
        <v>0.14</v>
      </c>
      <c r="F126" s="48">
        <f>-F125/F124</f>
        <v>0.335135135135135</v>
      </c>
      <c r="G126" s="48">
        <f>-G125/G124</f>
        <v>0.218997361477573</v>
      </c>
      <c r="H126" s="48">
        <f>-H125/H124</f>
        <v>0.253032928942808</v>
      </c>
      <c r="I126" s="48">
        <f>-I125/I124</f>
        <v>0.129455909943715</v>
      </c>
      <c r="J126" s="48">
        <f>-J125/J124</f>
        <v>0.0889404485692189</v>
      </c>
      <c r="K126" s="48">
        <f>-K125/K124</f>
        <v>0.118490967056323</v>
      </c>
      <c r="L126" s="48">
        <f>-L125/L124</f>
        <v>0.110815939278937</v>
      </c>
      <c r="M126" s="48">
        <f>-M125/M124</f>
        <v>0.11020022071575</v>
      </c>
      <c r="N126" s="48">
        <f>-N125/N124</f>
        <v>0.0954219525648097</v>
      </c>
      <c r="O126" s="48">
        <f>-O125/O124</f>
        <v>0.0828617623282134</v>
      </c>
      <c r="P126" s="48">
        <f>-P125/P124</f>
        <v>0.0838833883388339</v>
      </c>
      <c r="Q126" s="48">
        <f>-Q125/Q124</f>
        <v>0.0692945016319357</v>
      </c>
      <c r="R126" s="48">
        <f>-R125/R124</f>
        <v>0.0825133027188571</v>
      </c>
      <c r="S126" s="48">
        <f>-S125/S124</f>
        <v>0.0932142857142857</v>
      </c>
      <c r="T126" s="48">
        <f>-T125/T124</f>
        <v>0.109976166155941</v>
      </c>
      <c r="U126" s="48">
        <f>-U125/U124</f>
        <v>0.0816625916870416</v>
      </c>
      <c r="V126" s="48">
        <f>-V125/V124</f>
        <v>-2.62528525787312</v>
      </c>
      <c r="W126" s="48">
        <f>-W125/W124</f>
        <v>-0.501453925599118</v>
      </c>
      <c r="X126" s="48">
        <f>-X125/X124</f>
        <v>0.255826271186441</v>
      </c>
      <c r="Y126" s="48">
        <f>-Y125/Y124</f>
        <v>0.207610520425294</v>
      </c>
      <c r="Z126" s="48">
        <f>-Z125/Z124</f>
        <v>0.215693299892512</v>
      </c>
      <c r="AA126" s="48">
        <f>-AA125/AA124</f>
        <v>0.15095087163233</v>
      </c>
      <c r="AB126" s="48">
        <f>-AB125/AB124</f>
        <v>0.204338153503893</v>
      </c>
      <c r="AC126" s="48">
        <f>-AC125/AC124</f>
        <v>0.286926994906621</v>
      </c>
      <c r="AD126" s="48">
        <f>-AD125/AD124</f>
        <v>0.231762427372498</v>
      </c>
      <c r="AE126" s="48">
        <f>-AE125/AE124</f>
        <v>0.290964777947933</v>
      </c>
      <c r="AF126" s="44">
        <f>-AF125/AF124</f>
        <v>0.275190516511431</v>
      </c>
      <c r="AG126" s="48">
        <f>-AG125/AG124</f>
        <v>0.269609700644183</v>
      </c>
      <c r="AH126" s="44">
        <f>-AH125/AH124</f>
        <v>0.343582887700535</v>
      </c>
      <c r="AI126" s="44">
        <f>-AI125/AI124</f>
        <v>0.151241534988713</v>
      </c>
      <c r="AJ126" s="44" t="n"/>
      <c r="AK126" s="44" t="n"/>
      <c r="AL126" s="48">
        <f>-AL125/AL124</f>
        <v>0.153279785809906</v>
      </c>
      <c r="AM126" s="44" t="n"/>
      <c r="AN126" s="44" t="n"/>
      <c r="AO126" s="44" t="n"/>
      <c r="AP126" s="44" t="n"/>
      <c r="AQ126" s="48">
        <f>-AQ125/AQ124</f>
        <v>0</v>
      </c>
      <c r="AR126" s="44" t="n"/>
      <c r="AS126" s="44" t="n"/>
      <c r="AT126" s="44" t="n"/>
      <c r="AU126" s="44" t="n"/>
      <c r="AV126" s="48">
        <f>-AV125/AV124</f>
        <v>0</v>
      </c>
      <c r="AW126" s="44" t="n"/>
      <c r="AX126" s="44" t="n"/>
      <c r="AY126" s="44" t="n"/>
      <c r="AZ126" s="44" t="n"/>
      <c r="BA126" s="48">
        <f>-BA125/BA124</f>
        <v>0</v>
      </c>
      <c r="BB126" s="44" t="n"/>
      <c r="BC126" s="44" t="n"/>
      <c r="BD126" s="44" t="n"/>
      <c r="BE126" s="44" t="n"/>
      <c r="BF126" s="48">
        <f>-BF125/BF124</f>
        <v>0</v>
      </c>
      <c r="BG126" s="44" t="n"/>
      <c r="BH126" s="44" t="n"/>
      <c r="BI126" s="44" t="n"/>
      <c r="BJ126" s="44" t="n"/>
      <c r="BK126" s="48">
        <f>-BK125/BK124</f>
        <v>0</v>
      </c>
      <c r="BL126" s="44" t="n"/>
      <c r="BM126" s="44" t="n"/>
      <c r="BN126" s="44" t="n"/>
      <c r="BO126" s="44" t="n"/>
      <c r="BP126" s="48">
        <f>-BP125/BP124</f>
        <v>0</v>
      </c>
      <c r="BQ126" s="44" t="n"/>
      <c r="BR126" s="44" t="n"/>
      <c r="BS126" s="44" t="n"/>
      <c r="BT126" s="44" t="n"/>
      <c r="BU126" s="48">
        <f>-BU125/BU124</f>
        <v>0</v>
      </c>
      <c r="BV126" s="44" t="n"/>
      <c r="BW126" s="44" t="n"/>
      <c r="BX126" s="44" t="n"/>
      <c r="BY126" s="44" t="n"/>
      <c r="BZ126" s="48">
        <f>-BZ125/BZ124</f>
        <v>0</v>
      </c>
      <c r="CA126" s="44" t="n"/>
      <c r="CB126" s="44" t="n"/>
      <c r="CC126" s="44" t="n"/>
      <c r="CD126" s="44" t="n"/>
      <c r="CE126" s="48">
        <f>-CE125/CE124</f>
        <v>0</v>
      </c>
      <c r="CF126" s="44" t="n"/>
      <c r="CG126" s="44" t="n"/>
      <c r="CH126" s="44" t="n"/>
      <c r="CI126" s="44" t="n"/>
      <c r="CJ126" s="48">
        <f>-CJ125/CJ124</f>
        <v>0</v>
      </c>
      <c r="CK126" s="44" t="n"/>
      <c r="CL126" s="44" t="n"/>
      <c r="CM126" s="44" t="n"/>
      <c r="CN126" s="44" t="n"/>
      <c r="CO126" s="48">
        <f>-CO125/CO124</f>
        <v>0</v>
      </c>
      <c r="CP126" s="44" t="n"/>
      <c r="CQ126" s="44" t="n"/>
      <c r="CR126" s="44" t="n"/>
      <c r="CS126" s="44" t="n"/>
      <c r="CT126" s="48">
        <f>-CT125/CT124</f>
        <v>0</v>
      </c>
      <c r="CU126" s="44" t="n"/>
      <c r="CV126" s="44" t="n"/>
      <c r="CW126" s="44" t="n"/>
      <c r="CX126" s="44" t="n"/>
      <c r="CY126" s="48">
        <f>-CY125/CY124</f>
        <v>0</v>
      </c>
    </row>
    <row r="127" hidden="1" outlineLevel="1">
      <c r="C127" s="34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n"/>
      <c r="AK127" s="3" t="n"/>
      <c r="AL127" s="3" t="n"/>
      <c r="AM127" s="3" t="n"/>
      <c r="AN127" s="3" t="n"/>
      <c r="AO127" s="3" t="n"/>
      <c r="AP127" s="3" t="n"/>
      <c r="AQ127" s="3" t="n"/>
      <c r="AR127" s="3" t="n"/>
      <c r="AS127" s="3" t="n"/>
      <c r="AT127" s="3" t="n"/>
      <c r="AU127" s="3" t="n"/>
      <c r="AV127" s="3" t="n"/>
      <c r="AW127" s="3" t="n"/>
      <c r="AX127" s="3" t="n"/>
      <c r="AY127" s="3" t="n"/>
      <c r="AZ127" s="3" t="n"/>
      <c r="BA127" s="3" t="n"/>
      <c r="BB127" s="3" t="n"/>
      <c r="BC127" s="3" t="n"/>
      <c r="BD127" s="3" t="n"/>
      <c r="BE127" s="3" t="n"/>
      <c r="BF127" s="3" t="n"/>
      <c r="BG127" s="3" t="n"/>
      <c r="BH127" s="3" t="n"/>
      <c r="BI127" s="3" t="n"/>
      <c r="BJ127" s="3" t="n"/>
      <c r="BK127" s="3" t="n"/>
      <c r="BL127" s="3" t="n"/>
      <c r="BM127" s="3" t="n"/>
      <c r="BN127" s="3" t="n"/>
      <c r="BO127" s="3" t="n"/>
      <c r="BP127" s="3" t="n"/>
      <c r="BQ127" s="3" t="n"/>
      <c r="BR127" s="3" t="n"/>
      <c r="BS127" s="3" t="n"/>
      <c r="BT127" s="3" t="n"/>
      <c r="BU127" s="3" t="n"/>
      <c r="BV127" s="3" t="n"/>
      <c r="BW127" s="3" t="n"/>
      <c r="BX127" s="3" t="n"/>
      <c r="BY127" s="3" t="n"/>
      <c r="BZ127" s="3" t="n"/>
      <c r="CA127" s="3" t="n"/>
      <c r="CB127" s="3" t="n"/>
      <c r="CC127" s="3" t="n"/>
      <c r="CD127" s="3" t="n"/>
      <c r="CE127" s="3" t="n"/>
      <c r="CF127" s="3" t="n"/>
      <c r="CG127" s="3" t="n"/>
      <c r="CH127" s="3" t="n"/>
      <c r="CI127" s="3" t="n"/>
      <c r="CJ127" s="3" t="n"/>
      <c r="CK127" s="3" t="n"/>
      <c r="CL127" s="3" t="n"/>
      <c r="CM127" s="3" t="n"/>
      <c r="CN127" s="3" t="n"/>
      <c r="CO127" s="3" t="n"/>
      <c r="CP127" s="3" t="n"/>
      <c r="CQ127" s="3" t="n"/>
      <c r="CR127" s="3" t="n"/>
      <c r="CS127" s="3" t="n"/>
      <c r="CT127" s="3" t="n"/>
      <c r="CU127" s="3" t="n"/>
      <c r="CV127" s="3" t="n"/>
      <c r="CW127" s="3" t="n"/>
      <c r="CX127" s="3" t="n"/>
      <c r="CY127" s="3" t="n"/>
    </row>
    <row r="128" hidden="1" outlineLevel="1">
      <c r="C128" s="34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n"/>
      <c r="AK128" s="3" t="n"/>
      <c r="AL128" s="3" t="n"/>
      <c r="AM128" s="3" t="n"/>
      <c r="AN128" s="3" t="n"/>
      <c r="AO128" s="3" t="n"/>
      <c r="AP128" s="3" t="n"/>
      <c r="AQ128" s="3" t="n"/>
      <c r="AR128" s="3" t="n"/>
      <c r="AS128" s="3" t="n"/>
      <c r="AT128" s="3" t="n"/>
      <c r="AU128" s="3" t="n"/>
      <c r="AV128" s="3" t="n"/>
      <c r="AW128" s="3" t="n"/>
      <c r="AX128" s="3" t="n"/>
      <c r="AY128" s="3" t="n"/>
      <c r="AZ128" s="3" t="n"/>
      <c r="BA128" s="3" t="n"/>
      <c r="BB128" s="3" t="n"/>
      <c r="BC128" s="3" t="n"/>
      <c r="BD128" s="3" t="n"/>
      <c r="BE128" s="3" t="n"/>
      <c r="BF128" s="3" t="n"/>
      <c r="BG128" s="3" t="n"/>
      <c r="BH128" s="3" t="n"/>
      <c r="BI128" s="3" t="n"/>
      <c r="BJ128" s="3" t="n"/>
      <c r="BK128" s="3" t="n"/>
      <c r="BL128" s="3" t="n"/>
      <c r="BM128" s="3" t="n"/>
      <c r="BN128" s="3" t="n"/>
      <c r="BO128" s="3" t="n"/>
      <c r="BP128" s="3" t="n"/>
      <c r="BQ128" s="3" t="n"/>
      <c r="BR128" s="3" t="n"/>
      <c r="BS128" s="3" t="n"/>
      <c r="BT128" s="3" t="n"/>
      <c r="BU128" s="3" t="n"/>
      <c r="BV128" s="3" t="n"/>
      <c r="BW128" s="3" t="n"/>
      <c r="BX128" s="3" t="n"/>
      <c r="BY128" s="3" t="n"/>
      <c r="BZ128" s="3" t="n"/>
      <c r="CA128" s="3" t="n"/>
      <c r="CB128" s="3" t="n"/>
      <c r="CC128" s="3" t="n"/>
      <c r="CD128" s="3" t="n"/>
      <c r="CE128" s="3" t="n"/>
      <c r="CF128" s="3" t="n"/>
      <c r="CG128" s="3" t="n"/>
      <c r="CH128" s="3" t="n"/>
      <c r="CI128" s="3" t="n"/>
      <c r="CJ128" s="3" t="n"/>
      <c r="CK128" s="3" t="n"/>
      <c r="CL128" s="3" t="n"/>
      <c r="CM128" s="3" t="n"/>
      <c r="CN128" s="3" t="n"/>
      <c r="CO128" s="3" t="n"/>
      <c r="CP128" s="3" t="n"/>
      <c r="CQ128" s="3" t="n"/>
      <c r="CR128" s="3" t="n"/>
      <c r="CS128" s="3" t="n"/>
      <c r="CT128" s="3" t="n"/>
      <c r="CU128" s="3" t="n"/>
      <c r="CV128" s="3" t="n"/>
      <c r="CW128" s="3" t="n"/>
      <c r="CX128" s="3" t="n"/>
      <c r="CY128" s="3" t="n"/>
    </row>
    <row r="129" collapsed="1">
      <c r="C129" s="26" t="inlineStr">
        <is>
          <t>Equity in Income of Affiliates, after tax (enter as +)</t>
        </is>
      </c>
      <c r="D129" s="25">
        <f>INDEX('Inputs (2)'!$D$11:$AL$11,MATCH(D$7,'Inputs (2)'!$D$2:$AL$2,0))</f>
        <v>0</v>
      </c>
      <c r="E129" s="25">
        <f>INDEX('Inputs (2)'!$D$11:$AL$11,MATCH(E$7,'Inputs (2)'!$D$2:$AL$2,0))</f>
        <v>0</v>
      </c>
      <c r="F129" s="25">
        <f>INDEX('Inputs (2)'!$D$11:$AL$11,MATCH(F$7,'Inputs (2)'!$D$2:$AL$2,0))</f>
        <v>0</v>
      </c>
      <c r="G129" s="25">
        <f>INDEX('Inputs (2)'!$D$11:$AL$11,MATCH(G$7,'Inputs (2)'!$D$2:$AL$2,0))</f>
        <v>0</v>
      </c>
      <c r="H129" s="3">
        <f>SUM(D129:G129)</f>
        <v>0</v>
      </c>
      <c r="I129" s="25">
        <f>INDEX('Inputs (2)'!$D$11:$AL$11,MATCH(I$7,'Inputs (2)'!$D$2:$AL$2,0))</f>
        <v>0</v>
      </c>
      <c r="J129" s="25">
        <f>INDEX('Inputs (2)'!$D$11:$AL$11,MATCH(J$7,'Inputs (2)'!$D$2:$AL$2,0))</f>
        <v>0</v>
      </c>
      <c r="K129" s="25">
        <f>INDEX('Inputs (2)'!$D$11:$AL$11,MATCH(K$7,'Inputs (2)'!$D$2:$AL$2,0))</f>
        <v>0</v>
      </c>
      <c r="L129" s="25">
        <f>INDEX('Inputs (2)'!$D$11:$AL$11,MATCH(L$7,'Inputs (2)'!$D$2:$AL$2,0))</f>
        <v>0</v>
      </c>
      <c r="M129" s="3">
        <f>SUM(I129:L129)</f>
        <v>0</v>
      </c>
      <c r="N129" s="25">
        <f>INDEX('Inputs (2)'!$D$11:$AL$11,MATCH(N$7,'Inputs (2)'!$D$2:$AL$2,0))</f>
        <v>0</v>
      </c>
      <c r="O129" s="25">
        <f>INDEX('Inputs (2)'!$D$11:$AL$11,MATCH(O$7,'Inputs (2)'!$D$2:$AL$2,0))</f>
        <v>0</v>
      </c>
      <c r="P129" s="25">
        <f>INDEX('Inputs (2)'!$D$11:$AL$11,MATCH(P$7,'Inputs (2)'!$D$2:$AL$2,0))</f>
        <v>0</v>
      </c>
      <c r="Q129" s="25">
        <f>INDEX('Inputs (2)'!$D$11:$AL$11,MATCH(Q$7,'Inputs (2)'!$D$2:$AL$2,0))</f>
        <v>0</v>
      </c>
      <c r="R129" s="3">
        <f>SUM(N129:Q129)</f>
        <v>0</v>
      </c>
      <c r="S129" s="25">
        <f>INDEX('Inputs (2)'!$D$11:$AL$11,MATCH(S$7,'Inputs (2)'!$D$2:$AL$2,0))</f>
        <v>0</v>
      </c>
      <c r="T129" s="25">
        <f>INDEX('Inputs (2)'!$D$11:$AL$11,MATCH(T$7,'Inputs (2)'!$D$2:$AL$2,0))</f>
        <v>0</v>
      </c>
      <c r="U129" s="25">
        <f>INDEX('Inputs (2)'!$D$11:$AL$11,MATCH(U$7,'Inputs (2)'!$D$2:$AL$2,0))</f>
        <v>0</v>
      </c>
      <c r="V129" s="25">
        <f>INDEX('Inputs (2)'!$D$11:$AL$11,MATCH(V$7,'Inputs (2)'!$D$2:$AL$2,0))</f>
        <v>0</v>
      </c>
      <c r="W129" s="3">
        <f>SUM(S129:V129)</f>
        <v>0</v>
      </c>
      <c r="X129" s="25">
        <f>INDEX('Inputs (2)'!$D$11:$AL$11,MATCH(X$7,'Inputs (2)'!$D$2:$AL$2,0))</f>
        <v>0</v>
      </c>
      <c r="Y129" s="25">
        <f>INDEX('Inputs (2)'!$D$11:$AL$11,MATCH(Y$7,'Inputs (2)'!$D$2:$AL$2,0))</f>
        <v>0</v>
      </c>
      <c r="Z129" s="25">
        <f>INDEX('Inputs (2)'!$D$11:$AL$11,MATCH(Z$7,'Inputs (2)'!$D$2:$AL$2,0))</f>
        <v>0</v>
      </c>
      <c r="AA129" s="25">
        <f>INDEX('Inputs (2)'!$D$11:$AL$11,MATCH(AA$7,'Inputs (2)'!$D$2:$AL$2,0))</f>
        <v>0</v>
      </c>
      <c r="AB129" s="3">
        <f>SUM(X129:AA129)</f>
        <v>0</v>
      </c>
      <c r="AC129" s="25">
        <f>INDEX('Inputs (2)'!$D$11:$AL$11,MATCH(AC$7,'Inputs (2)'!$D$2:$AL$2,0))</f>
        <v>0</v>
      </c>
      <c r="AD129" s="25">
        <f>INDEX('Inputs (2)'!$D$11:$AL$11,MATCH(AD$7,'Inputs (2)'!$D$2:$AL$2,0))</f>
        <v>0</v>
      </c>
      <c r="AE129" s="25">
        <f>INDEX('Inputs (2)'!$D$11:$AL$11,MATCH(AE$7,'Inputs (2)'!$D$2:$AL$2,0))</f>
        <v>0</v>
      </c>
      <c r="AF129" s="25">
        <f>INDEX('Inputs (2)'!$D$11:$AL$11,MATCH(AF$7,'Inputs (2)'!$D$2:$AL$2,0))</f>
        <v>0</v>
      </c>
      <c r="AG129" s="3">
        <f>SUM(AC129:AF129)</f>
        <v>0</v>
      </c>
      <c r="AH129" s="3">
        <f>INDEX('Inputs (2)'!$D$11:$AL$11,MATCH(AH$7,'Inputs (2)'!$D$2:$AL$2,0))</f>
        <v>0</v>
      </c>
      <c r="AI129" s="3">
        <f>INDEX('Inputs (2)'!$D$11:$AL$11,MATCH(AI$7,'Inputs (2)'!$D$2:$AL$2,0))</f>
        <v>0</v>
      </c>
      <c r="AJ129" s="3">
        <f>AE129*(1+AJ157)</f>
        <v>0</v>
      </c>
      <c r="AK129" s="3">
        <f>AF129*(1+AK157)</f>
        <v>0</v>
      </c>
      <c r="AL129" s="3">
        <f>SUM(AH129:AK129)</f>
        <v>0</v>
      </c>
      <c r="AM129" s="3">
        <f>AH129*(1+AM157)</f>
        <v>0</v>
      </c>
      <c r="AN129" s="3">
        <f>AI129*(1+AN157)</f>
        <v>0</v>
      </c>
      <c r="AO129" s="3">
        <f>AJ129*(1+AO157)</f>
        <v>0</v>
      </c>
      <c r="AP129" s="3">
        <f>AK129*(1+AP157)</f>
        <v>0</v>
      </c>
      <c r="AQ129" s="3">
        <f>SUM(AM129:AP129)</f>
        <v>0</v>
      </c>
      <c r="AR129" s="3">
        <f>AM129*(1+AR157)</f>
        <v>0</v>
      </c>
      <c r="AS129" s="3">
        <f>AN129*(1+AS157)</f>
        <v>0</v>
      </c>
      <c r="AT129" s="3">
        <f>AO129*(1+AT157)</f>
        <v>0</v>
      </c>
      <c r="AU129" s="3">
        <f>AP129*(1+AU157)</f>
        <v>0</v>
      </c>
      <c r="AV129" s="3">
        <f>SUM(AR129:AU129)</f>
        <v>0</v>
      </c>
      <c r="AW129" s="3">
        <f>AR129*(1+AW157)</f>
        <v>0</v>
      </c>
      <c r="AX129" s="3">
        <f>AS129*(1+AX157)</f>
        <v>0</v>
      </c>
      <c r="AY129" s="3">
        <f>AT129*(1+AY157)</f>
        <v>0</v>
      </c>
      <c r="AZ129" s="3">
        <f>AU129*(1+AZ157)</f>
        <v>0</v>
      </c>
      <c r="BA129" s="3">
        <f>SUM(AW129:AZ129)</f>
        <v>0</v>
      </c>
      <c r="BB129" s="3">
        <f>AW129*(1+BB157)</f>
        <v>0</v>
      </c>
      <c r="BC129" s="3">
        <f>AX129*(1+BC157)</f>
        <v>0</v>
      </c>
      <c r="BD129" s="3">
        <f>AY129*(1+BD157)</f>
        <v>0</v>
      </c>
      <c r="BE129" s="3">
        <f>AZ129*(1+BE157)</f>
        <v>0</v>
      </c>
      <c r="BF129" s="3">
        <f>SUM(BB129:BE129)</f>
        <v>0</v>
      </c>
      <c r="BG129" s="3">
        <f>BB129*(1+BG157)</f>
        <v>0</v>
      </c>
      <c r="BH129" s="3">
        <f>BC129*(1+BH157)</f>
        <v>0</v>
      </c>
      <c r="BI129" s="3">
        <f>BD129*(1+BI157)</f>
        <v>0</v>
      </c>
      <c r="BJ129" s="3">
        <f>BE129*(1+BJ157)</f>
        <v>0</v>
      </c>
      <c r="BK129" s="3">
        <f>SUM(BG129:BJ129)</f>
        <v>0</v>
      </c>
      <c r="BL129" s="3">
        <f>BG129*(1+BL157)</f>
        <v>0</v>
      </c>
      <c r="BM129" s="3">
        <f>BH129*(1+BM157)</f>
        <v>0</v>
      </c>
      <c r="BN129" s="3">
        <f>BI129*(1+BN157)</f>
        <v>0</v>
      </c>
      <c r="BO129" s="3">
        <f>BJ129*(1+BO157)</f>
        <v>0</v>
      </c>
      <c r="BP129" s="3">
        <f>SUM(BL129:BO129)</f>
        <v>0</v>
      </c>
      <c r="BQ129" s="3">
        <f>BL129*(1+BQ157)</f>
        <v>0</v>
      </c>
      <c r="BR129" s="3">
        <f>BM129*(1+BR157)</f>
        <v>0</v>
      </c>
      <c r="BS129" s="3">
        <f>BN129*(1+BS157)</f>
        <v>0</v>
      </c>
      <c r="BT129" s="3">
        <f>BO129*(1+BT157)</f>
        <v>0</v>
      </c>
      <c r="BU129" s="3">
        <f>SUM(BQ129:BT129)</f>
        <v>0</v>
      </c>
      <c r="BV129" s="3">
        <f>BQ129*(1+BV157)</f>
        <v>0</v>
      </c>
      <c r="BW129" s="3">
        <f>BR129*(1+BW157)</f>
        <v>0</v>
      </c>
      <c r="BX129" s="3">
        <f>BS129*(1+BX157)</f>
        <v>0</v>
      </c>
      <c r="BY129" s="3">
        <f>BT129*(1+BY157)</f>
        <v>0</v>
      </c>
      <c r="BZ129" s="3">
        <f>SUM(BV129:BY129)</f>
        <v>0</v>
      </c>
      <c r="CA129" s="3">
        <f>BV129*(1+CA157)</f>
        <v>0</v>
      </c>
      <c r="CB129" s="3">
        <f>BW129*(1+CB157)</f>
        <v>0</v>
      </c>
      <c r="CC129" s="3">
        <f>BX129*(1+CC157)</f>
        <v>0</v>
      </c>
      <c r="CD129" s="3">
        <f>BY129*(1+CD157)</f>
        <v>0</v>
      </c>
      <c r="CE129" s="3">
        <f>SUM(CA129:CD129)</f>
        <v>0</v>
      </c>
      <c r="CF129" s="3">
        <f>CA129*(1+CF157)</f>
        <v>0</v>
      </c>
      <c r="CG129" s="3">
        <f>CB129*(1+CG157)</f>
        <v>0</v>
      </c>
      <c r="CH129" s="3">
        <f>CC129*(1+CH157)</f>
        <v>0</v>
      </c>
      <c r="CI129" s="3">
        <f>CD129*(1+CI157)</f>
        <v>0</v>
      </c>
      <c r="CJ129" s="3">
        <f>SUM(CF129:CI129)</f>
        <v>0</v>
      </c>
      <c r="CK129" s="3">
        <f>CF129*(1+CK157)</f>
        <v>0</v>
      </c>
      <c r="CL129" s="3">
        <f>CG129*(1+CL157)</f>
        <v>0</v>
      </c>
      <c r="CM129" s="3">
        <f>CH129*(1+CM157)</f>
        <v>0</v>
      </c>
      <c r="CN129" s="3">
        <f>CI129*(1+CN157)</f>
        <v>0</v>
      </c>
      <c r="CO129" s="3">
        <f>SUM(CK129:CN129)</f>
        <v>0</v>
      </c>
      <c r="CP129" s="3">
        <f>CK129*(1+CP157)</f>
        <v>0</v>
      </c>
      <c r="CQ129" s="3">
        <f>CL129*(1+CQ157)</f>
        <v>0</v>
      </c>
      <c r="CR129" s="3">
        <f>CM129*(1+CR157)</f>
        <v>0</v>
      </c>
      <c r="CS129" s="3">
        <f>CN129*(1+CS157)</f>
        <v>0</v>
      </c>
      <c r="CT129" s="3">
        <f>SUM(CP129:CS129)</f>
        <v>0</v>
      </c>
      <c r="CU129" s="3">
        <f>CP129*(1+CU157)</f>
        <v>0</v>
      </c>
      <c r="CV129" s="3">
        <f>CQ129*(1+CV157)</f>
        <v>0</v>
      </c>
      <c r="CW129" s="3">
        <f>CR129*(1+CW157)</f>
        <v>0</v>
      </c>
      <c r="CX129" s="3">
        <f>CS129*(1+CX157)</f>
        <v>0</v>
      </c>
      <c r="CY129" s="3">
        <f>SUM(CU129:CX129)</f>
        <v>0</v>
      </c>
    </row>
    <row r="130">
      <c r="C130" s="26" t="inlineStr">
        <is>
          <t>Minority Interest Expense, after tax (enter as - )</t>
        </is>
      </c>
      <c r="D130" s="25">
        <f>INDEX('Inputs (2)'!$D$12:$AL$12,MATCH(D$7,'Inputs (2)'!$D$2:$AL$2,0))</f>
        <v>-52</v>
      </c>
      <c r="E130" s="25">
        <f>INDEX('Inputs (2)'!$D$12:$AL$12,MATCH(E$7,'Inputs (2)'!$D$2:$AL$2,0))</f>
        <v>-25</v>
      </c>
      <c r="F130" s="25">
        <f>INDEX('Inputs (2)'!$D$12:$AL$12,MATCH(F$7,'Inputs (2)'!$D$2:$AL$2,0))</f>
        <v>-38</v>
      </c>
      <c r="G130" s="25">
        <f>INDEX('Inputs (2)'!$D$12:$AL$12,MATCH(G$7,'Inputs (2)'!$D$2:$AL$2,0))</f>
        <v>-26</v>
      </c>
      <c r="H130" s="3">
        <f>SUM(D130:G130)</f>
        <v>-141</v>
      </c>
      <c r="I130" s="25">
        <f>INDEX('Inputs (2)'!$D$12:$AL$12,MATCH(I$7,'Inputs (2)'!$D$2:$AL$2,0))</f>
        <v>-26</v>
      </c>
      <c r="J130" s="25">
        <f>INDEX('Inputs (2)'!$D$12:$AL$12,MATCH(J$7,'Inputs (2)'!$D$2:$AL$2,0))</f>
        <v>-36</v>
      </c>
      <c r="K130" s="25">
        <f>INDEX('Inputs (2)'!$D$12:$AL$12,MATCH(K$7,'Inputs (2)'!$D$2:$AL$2,0))</f>
        <v>-41</v>
      </c>
      <c r="L130" s="25">
        <f>INDEX('Inputs (2)'!$D$12:$AL$12,MATCH(L$7,'Inputs (2)'!$D$2:$AL$2,0))</f>
        <v>-22</v>
      </c>
      <c r="M130" s="3">
        <f>SUM(I130:L130)</f>
        <v>-125</v>
      </c>
      <c r="N130" s="25">
        <f>INDEX('Inputs (2)'!$D$12:$AL$12,MATCH(N$7,'Inputs (2)'!$D$2:$AL$2,0))</f>
        <v>38</v>
      </c>
      <c r="O130" s="25">
        <f>INDEX('Inputs (2)'!$D$12:$AL$12,MATCH(O$7,'Inputs (2)'!$D$2:$AL$2,0))</f>
        <v>-10</v>
      </c>
      <c r="P130" s="25">
        <f>INDEX('Inputs (2)'!$D$12:$AL$12,MATCH(P$7,'Inputs (2)'!$D$2:$AL$2,0))</f>
        <v>-39</v>
      </c>
      <c r="Q130" s="25">
        <f>INDEX('Inputs (2)'!$D$12:$AL$12,MATCH(Q$7,'Inputs (2)'!$D$2:$AL$2,0))</f>
        <v>-20</v>
      </c>
      <c r="R130" s="3">
        <f>SUM(N130:Q130)</f>
        <v>-31</v>
      </c>
      <c r="S130" s="25">
        <f>INDEX('Inputs (2)'!$D$12:$AL$12,MATCH(S$7,'Inputs (2)'!$D$2:$AL$2,0))</f>
        <v>-26</v>
      </c>
      <c r="T130" s="25">
        <f>INDEX('Inputs (2)'!$D$12:$AL$12,MATCH(T$7,'Inputs (2)'!$D$2:$AL$2,0))</f>
        <v>89</v>
      </c>
      <c r="U130" s="25">
        <f>INDEX('Inputs (2)'!$D$12:$AL$12,MATCH(U$7,'Inputs (2)'!$D$2:$AL$2,0))</f>
        <v>-25</v>
      </c>
      <c r="V130" s="25">
        <f>INDEX('Inputs (2)'!$D$12:$AL$12,MATCH(V$7,'Inputs (2)'!$D$2:$AL$2,0))</f>
        <v>-15</v>
      </c>
      <c r="W130" s="3">
        <f>SUM(S130:V130)</f>
        <v>23</v>
      </c>
      <c r="X130" s="25">
        <f>INDEX('Inputs (2)'!$D$12:$AL$12,MATCH(X$7,'Inputs (2)'!$D$2:$AL$2,0))</f>
        <v>-15</v>
      </c>
      <c r="Y130" s="25">
        <f>INDEX('Inputs (2)'!$D$12:$AL$12,MATCH(Y$7,'Inputs (2)'!$D$2:$AL$2,0))</f>
        <v>-16</v>
      </c>
      <c r="Z130" s="25">
        <f>INDEX('Inputs (2)'!$D$12:$AL$12,MATCH(Z$7,'Inputs (2)'!$D$2:$AL$2,0))</f>
        <v>-16</v>
      </c>
      <c r="AA130" s="25">
        <f>INDEX('Inputs (2)'!$D$12:$AL$12,MATCH(AA$7,'Inputs (2)'!$D$2:$AL$2,0))</f>
        <v>-15</v>
      </c>
      <c r="AB130" s="3">
        <f>SUM(X130:AA130)</f>
        <v>-62</v>
      </c>
      <c r="AC130" s="25">
        <f>INDEX('Inputs (2)'!$D$12:$AL$12,MATCH(AC$7,'Inputs (2)'!$D$2:$AL$2,0))</f>
        <v>-11</v>
      </c>
      <c r="AD130" s="25">
        <f>INDEX('Inputs (2)'!$D$12:$AL$12,MATCH(AD$7,'Inputs (2)'!$D$2:$AL$2,0))</f>
        <v>-18</v>
      </c>
      <c r="AE130" s="25">
        <f>INDEX('Inputs (2)'!$D$12:$AL$12,MATCH(AE$7,'Inputs (2)'!$D$2:$AL$2,0))</f>
        <v>-16</v>
      </c>
      <c r="AF130" s="25">
        <f>INDEX('Inputs (2)'!$D$12:$AL$12,MATCH(AF$7,'Inputs (2)'!$D$2:$AL$2,0))</f>
        <v>-16</v>
      </c>
      <c r="AG130" s="3">
        <f>SUM(AC130:AF130)</f>
        <v>-61</v>
      </c>
      <c r="AH130" s="3">
        <f>INDEX('Inputs (2)'!$D$12:$AL$12,MATCH(AH$7,'Inputs (2)'!$D$2:$AL$2,0))</f>
        <v>-14</v>
      </c>
      <c r="AI130" s="3">
        <f>INDEX('Inputs (2)'!$D$12:$AL$12,MATCH(AI$7,'Inputs (2)'!$D$2:$AL$2,0))</f>
        <v>-14</v>
      </c>
      <c r="AJ130" s="3">
        <f>AE130*(1+AJ244)</f>
        <v>-16</v>
      </c>
      <c r="AK130" s="3">
        <f>AF130*(1+AK244)</f>
        <v>-16</v>
      </c>
      <c r="AL130" s="3">
        <f>SUM(AH130:AK130)</f>
        <v>-60</v>
      </c>
      <c r="AM130" s="3">
        <f>AH130*(1+AM244)</f>
        <v>-14</v>
      </c>
      <c r="AN130" s="3">
        <f>AI130*(1+AN244)</f>
        <v>-14</v>
      </c>
      <c r="AO130" s="3">
        <f>AJ130*(1+AO244)</f>
        <v>-16</v>
      </c>
      <c r="AP130" s="3">
        <f>AK130*(1+AP244)</f>
        <v>-16</v>
      </c>
      <c r="AQ130" s="3">
        <f>SUM(AM130:AP130)</f>
        <v>-60</v>
      </c>
      <c r="AR130" s="3">
        <f>AM130*(1+AR244)</f>
        <v>-14</v>
      </c>
      <c r="AS130" s="3">
        <f>AN130*(1+AS244)</f>
        <v>-14</v>
      </c>
      <c r="AT130" s="3">
        <f>AO130*(1+AT244)</f>
        <v>-16</v>
      </c>
      <c r="AU130" s="3">
        <f>AP130*(1+AU244)</f>
        <v>-16</v>
      </c>
      <c r="AV130" s="3">
        <f>SUM(AR130:AU130)</f>
        <v>-60</v>
      </c>
      <c r="AW130" s="3">
        <f>AR130*(1+AW244)</f>
        <v>-14</v>
      </c>
      <c r="AX130" s="3">
        <f>AS130*(1+AX244)</f>
        <v>-14</v>
      </c>
      <c r="AY130" s="3">
        <f>AT130*(1+AY244)</f>
        <v>-16</v>
      </c>
      <c r="AZ130" s="3">
        <f>AU130*(1+AZ244)</f>
        <v>-16</v>
      </c>
      <c r="BA130" s="3">
        <f>SUM(AW130:AZ130)</f>
        <v>-60</v>
      </c>
      <c r="BB130" s="3">
        <f>AW130*(1+BB244)</f>
        <v>-14</v>
      </c>
      <c r="BC130" s="3">
        <f>AX130*(1+BC244)</f>
        <v>-14</v>
      </c>
      <c r="BD130" s="3">
        <f>AY130*(1+BD244)</f>
        <v>-16</v>
      </c>
      <c r="BE130" s="3">
        <f>AZ130*(1+BE244)</f>
        <v>-16</v>
      </c>
      <c r="BF130" s="3">
        <f>SUM(BB130:BE130)</f>
        <v>-60</v>
      </c>
      <c r="BG130" s="3">
        <f>BB130*(1+BG244)</f>
        <v>-14</v>
      </c>
      <c r="BH130" s="3">
        <f>BC130*(1+BH244)</f>
        <v>-14</v>
      </c>
      <c r="BI130" s="3">
        <f>BD130*(1+BI244)</f>
        <v>-16</v>
      </c>
      <c r="BJ130" s="3">
        <f>BE130*(1+BJ244)</f>
        <v>-16</v>
      </c>
      <c r="BK130" s="3">
        <f>SUM(BG130:BJ130)</f>
        <v>-60</v>
      </c>
      <c r="BL130" s="3">
        <f>BG130*(1+BL244)</f>
        <v>-14</v>
      </c>
      <c r="BM130" s="3">
        <f>BH130*(1+BM244)</f>
        <v>-14</v>
      </c>
      <c r="BN130" s="3">
        <f>BI130*(1+BN244)</f>
        <v>-16</v>
      </c>
      <c r="BO130" s="3">
        <f>BJ130*(1+BO244)</f>
        <v>-16</v>
      </c>
      <c r="BP130" s="3">
        <f>SUM(BL130:BO130)</f>
        <v>-60</v>
      </c>
      <c r="BQ130" s="3">
        <f>BL130*(1+BQ244)</f>
        <v>-14</v>
      </c>
      <c r="BR130" s="3">
        <f>BM130*(1+BR244)</f>
        <v>-14</v>
      </c>
      <c r="BS130" s="3">
        <f>BN130*(1+BS244)</f>
        <v>-16</v>
      </c>
      <c r="BT130" s="3">
        <f>BO130*(1+BT244)</f>
        <v>-16</v>
      </c>
      <c r="BU130" s="3">
        <f>SUM(BQ130:BT130)</f>
        <v>-60</v>
      </c>
      <c r="BV130" s="3">
        <f>BQ130*(1+BV244)</f>
        <v>-14</v>
      </c>
      <c r="BW130" s="3">
        <f>BR130*(1+BW244)</f>
        <v>-14</v>
      </c>
      <c r="BX130" s="3">
        <f>BS130*(1+BX244)</f>
        <v>-16</v>
      </c>
      <c r="BY130" s="3">
        <f>BT130*(1+BY244)</f>
        <v>-16</v>
      </c>
      <c r="BZ130" s="3">
        <f>SUM(BV130:BY130)</f>
        <v>-60</v>
      </c>
      <c r="CA130" s="3">
        <f>BV130*(1+CA244)</f>
        <v>-14</v>
      </c>
      <c r="CB130" s="3">
        <f>BW130*(1+CB244)</f>
        <v>-14</v>
      </c>
      <c r="CC130" s="3">
        <f>BX130*(1+CC244)</f>
        <v>-16</v>
      </c>
      <c r="CD130" s="3">
        <f>BY130*(1+CD244)</f>
        <v>-16</v>
      </c>
      <c r="CE130" s="3">
        <f>SUM(CA130:CD130)</f>
        <v>-60</v>
      </c>
      <c r="CF130" s="3">
        <f>CA130*(1+CF244)</f>
        <v>-14</v>
      </c>
      <c r="CG130" s="3">
        <f>CB130*(1+CG244)</f>
        <v>-14</v>
      </c>
      <c r="CH130" s="3">
        <f>CC130*(1+CH244)</f>
        <v>-16</v>
      </c>
      <c r="CI130" s="3">
        <f>CD130*(1+CI244)</f>
        <v>-16</v>
      </c>
      <c r="CJ130" s="3">
        <f>SUM(CF130:CI130)</f>
        <v>-60</v>
      </c>
      <c r="CK130" s="3">
        <f>CF130*(1+CK244)</f>
        <v>-14</v>
      </c>
      <c r="CL130" s="3">
        <f>CG130*(1+CL244)</f>
        <v>-14</v>
      </c>
      <c r="CM130" s="3">
        <f>CH130*(1+CM244)</f>
        <v>-16</v>
      </c>
      <c r="CN130" s="3">
        <f>CI130*(1+CN244)</f>
        <v>-16</v>
      </c>
      <c r="CO130" s="3">
        <f>SUM(CK130:CN130)</f>
        <v>-60</v>
      </c>
      <c r="CP130" s="3">
        <f>CK130*(1+CP244)</f>
        <v>-14</v>
      </c>
      <c r="CQ130" s="3">
        <f>CL130*(1+CQ244)</f>
        <v>-14</v>
      </c>
      <c r="CR130" s="3">
        <f>CM130*(1+CR244)</f>
        <v>-16</v>
      </c>
      <c r="CS130" s="3">
        <f>CN130*(1+CS244)</f>
        <v>-16</v>
      </c>
      <c r="CT130" s="3">
        <f>SUM(CP130:CS130)</f>
        <v>-60</v>
      </c>
      <c r="CU130" s="3">
        <f>CP130*(1+CU244)</f>
        <v>-14</v>
      </c>
      <c r="CV130" s="3">
        <f>CQ130*(1+CV244)</f>
        <v>-14</v>
      </c>
      <c r="CW130" s="3">
        <f>CR130*(1+CW244)</f>
        <v>-16</v>
      </c>
      <c r="CX130" s="3">
        <f>CS130*(1+CX244)</f>
        <v>-16</v>
      </c>
      <c r="CY130" s="3">
        <f>SUM(CU130:CX130)</f>
        <v>-60</v>
      </c>
    </row>
    <row r="131" customFormat="1" s="17">
      <c r="A131" s="13" t="n"/>
      <c r="B131" s="1" t="n"/>
      <c r="C131" s="14" t="inlineStr">
        <is>
          <t>Net Income</t>
        </is>
      </c>
      <c r="D131" s="16">
        <f>SUM(D124,D125,D129,D130)</f>
        <v>16</v>
      </c>
      <c r="E131" s="16">
        <f>SUM(E124,E125,E129,E130)</f>
        <v>104</v>
      </c>
      <c r="F131" s="16">
        <f>SUM(F124,F125,F129,F130)</f>
        <v>331</v>
      </c>
      <c r="G131" s="16">
        <f>SUM(G124,G125,G129,G130)</f>
        <v>270</v>
      </c>
      <c r="H131" s="16">
        <f>SUM(D131:G131)</f>
        <v>721</v>
      </c>
      <c r="I131" s="16">
        <f>SUM(I124,I125,I129,I130)</f>
        <v>438</v>
      </c>
      <c r="J131" s="16">
        <f>SUM(J124,J125,J129,J130)</f>
        <v>1142</v>
      </c>
      <c r="K131" s="16">
        <f>SUM(K124,K125,K129,K130)</f>
        <v>1618</v>
      </c>
      <c r="L131" s="16">
        <f>SUM(L124,L125,L129,L130)</f>
        <v>2321</v>
      </c>
      <c r="M131" s="16">
        <f>SUM(I131:L131)</f>
        <v>5519</v>
      </c>
      <c r="N131" s="16">
        <f>SUM(N124,N125,N129,N130)</f>
        <v>3318</v>
      </c>
      <c r="O131" s="16">
        <f>SUM(O124,O125,O129,O130)</f>
        <v>2259</v>
      </c>
      <c r="P131" s="16">
        <f>SUM(P124,P125,P129,P130)</f>
        <v>3292</v>
      </c>
      <c r="Q131" s="16">
        <f>SUM(Q124,Q125,Q129,Q130)</f>
        <v>3687</v>
      </c>
      <c r="R131" s="16">
        <f>SUM(N131:Q131)</f>
        <v>12556</v>
      </c>
      <c r="S131" s="16">
        <f>SUM(S124,S125,S129,S130)</f>
        <v>2513</v>
      </c>
      <c r="T131" s="16">
        <f>SUM(T124,T125,T129,T130)</f>
        <v>2703</v>
      </c>
      <c r="U131" s="16">
        <f>SUM(U124,U125,U129,U130)</f>
        <v>1853</v>
      </c>
      <c r="V131" s="16">
        <f>SUM(V124,V125,V129,V130)</f>
        <v>7928</v>
      </c>
      <c r="W131" s="16">
        <f>SUM(S131:V131)</f>
        <v>14997</v>
      </c>
      <c r="X131" s="16">
        <f>SUM(X124,X125,X129,X130)</f>
        <v>1390</v>
      </c>
      <c r="Y131" s="16">
        <f>SUM(Y124,Y125,Y129,Y130)</f>
        <v>1400</v>
      </c>
      <c r="Z131" s="16">
        <f>SUM(Z124,Z125,Z129,Z130)</f>
        <v>2173</v>
      </c>
      <c r="AA131" s="16">
        <f>SUM(AA124,AA125,AA129,AA130)</f>
        <v>2128</v>
      </c>
      <c r="AB131" s="16">
        <f>SUM(X131:AA131)</f>
        <v>7091</v>
      </c>
      <c r="AC131" s="16">
        <f>SUM(AC124,AC125,AC129,AC130)</f>
        <v>409</v>
      </c>
      <c r="AD131" s="16">
        <f>SUM(AD124,AD125,AD129,AD130)</f>
        <v>1172</v>
      </c>
      <c r="AE131" s="16">
        <f>SUM(AE124,AE125,AE129,AE130)</f>
        <v>1373</v>
      </c>
      <c r="AF131" s="16">
        <f>SUM(AF124,AF125,AF129,AF130)</f>
        <v>840</v>
      </c>
      <c r="AG131" s="16">
        <f>SUM(AC131:AF131)</f>
        <v>3794</v>
      </c>
      <c r="AH131" s="16">
        <f>SUM(AH124,AH125,AH129,AH130)</f>
        <v>477</v>
      </c>
      <c r="AI131" s="16">
        <f>SUM(AI124,AI125,AI129,AI130)</f>
        <v>1114</v>
      </c>
      <c r="AJ131" s="16">
        <f>SUM(AJ124,AJ125,AJ129,AJ130)</f>
        <v>-117</v>
      </c>
      <c r="AK131" s="16">
        <f>SUM(AK124,AK125,AK129,AK130)</f>
        <v>996</v>
      </c>
      <c r="AL131" s="16">
        <f>SUM(AH131:AK131)</f>
        <v>2470</v>
      </c>
      <c r="AM131" s="16">
        <f>SUM(AM124,AM125,AM129,AM130)</f>
        <v>998</v>
      </c>
      <c r="AN131" s="16">
        <f>SUM(AN124,AN125,AN129,AN130)</f>
        <v>1808</v>
      </c>
      <c r="AO131" s="16">
        <f>SUM(AO124,AO125,AO129,AO130)</f>
        <v>996</v>
      </c>
      <c r="AP131" s="16">
        <f>SUM(AP124,AP125,AP129,AP130)</f>
        <v>1806</v>
      </c>
      <c r="AQ131" s="16">
        <f>SUM(AM131:AP131)</f>
        <v>5608</v>
      </c>
      <c r="AR131" s="16">
        <f>SUM(AR124,AR125,AR129,AR130)</f>
        <v>1808</v>
      </c>
      <c r="AS131" s="16">
        <f>SUM(AS124,AS125,AS129,AS130)</f>
        <v>5654</v>
      </c>
      <c r="AT131" s="16">
        <f>SUM(AT124,AT125,AT129,AT130)</f>
        <v>1806</v>
      </c>
      <c r="AU131" s="16">
        <f>SUM(AU124,AU125,AU129,AU130)</f>
        <v>5652</v>
      </c>
      <c r="AV131" s="16">
        <f>SUM(AR131:AU131)</f>
        <v>14920</v>
      </c>
      <c r="AW131" s="16">
        <f>SUM(AW124,AW125,AW129,AW130)</f>
        <v>5654</v>
      </c>
      <c r="AX131" s="16">
        <f>SUM(AX124,AX125,AX129,AX130)</f>
        <v>14966</v>
      </c>
      <c r="AY131" s="16">
        <f>SUM(AY124,AY125,AY129,AY130)</f>
        <v>5652</v>
      </c>
      <c r="AZ131" s="16">
        <f>SUM(AZ124,AZ125,AZ129,AZ130)</f>
        <v>14964</v>
      </c>
      <c r="BA131" s="16">
        <f>SUM(AW131:AZ131)</f>
        <v>41236</v>
      </c>
      <c r="BB131" s="16">
        <f>SUM(BB124,BB125,BB129,BB130)</f>
        <v>14966</v>
      </c>
      <c r="BC131" s="16">
        <f>SUM(BC124,BC125,BC129,BC130)</f>
        <v>41282</v>
      </c>
      <c r="BD131" s="16">
        <f>SUM(BD124,BD125,BD129,BD130)</f>
        <v>14964</v>
      </c>
      <c r="BE131" s="16">
        <f>SUM(BE124,BE125,BE129,BE130)</f>
        <v>41280</v>
      </c>
      <c r="BF131" s="16">
        <f>SUM(BB131:BE131)</f>
        <v>112492</v>
      </c>
      <c r="BG131" s="16">
        <f>SUM(BG124,BG125,BG129,BG130)</f>
        <v>41282</v>
      </c>
      <c r="BH131" s="16">
        <f>SUM(BH124,BH125,BH129,BH130)</f>
        <v>112538</v>
      </c>
      <c r="BI131" s="16">
        <f>SUM(BI124,BI125,BI129,BI130)</f>
        <v>41280</v>
      </c>
      <c r="BJ131" s="16">
        <f>SUM(BJ124,BJ125,BJ129,BJ130)</f>
        <v>112536</v>
      </c>
      <c r="BK131" s="16">
        <f>SUM(BG131:BJ131)</f>
        <v>307636</v>
      </c>
      <c r="BL131" s="16">
        <f>SUM(BL124,BL125,BL129,BL130)</f>
        <v>112538</v>
      </c>
      <c r="BM131" s="16">
        <f>SUM(BM124,BM125,BM129,BM130)</f>
        <v>307682</v>
      </c>
      <c r="BN131" s="16">
        <f>SUM(BN124,BN125,BN129,BN130)</f>
        <v>112536</v>
      </c>
      <c r="BO131" s="16">
        <f>SUM(BO124,BO125,BO129,BO130)</f>
        <v>307680</v>
      </c>
      <c r="BP131" s="16">
        <f>SUM(BL131:BO131)</f>
        <v>840436</v>
      </c>
      <c r="BQ131" s="16">
        <f>SUM(BQ124,BQ125,BQ129,BQ130)</f>
        <v>307682</v>
      </c>
      <c r="BR131" s="16">
        <f>SUM(BR124,BR125,BR129,BR130)</f>
        <v>840482</v>
      </c>
      <c r="BS131" s="16">
        <f>SUM(BS124,BS125,BS129,BS130)</f>
        <v>307680</v>
      </c>
      <c r="BT131" s="16">
        <f>SUM(BT124,BT125,BT129,BT130)</f>
        <v>840480</v>
      </c>
      <c r="BU131" s="16">
        <f>SUM(BQ131:BT131)</f>
        <v>2296324</v>
      </c>
      <c r="BV131" s="16">
        <f>SUM(BV124,BV125,BV129,BV130)</f>
        <v>840482</v>
      </c>
      <c r="BW131" s="16">
        <f>SUM(BW124,BW125,BW129,BW130)</f>
        <v>2296370</v>
      </c>
      <c r="BX131" s="16">
        <f>SUM(BX124,BX125,BX129,BX130)</f>
        <v>840480</v>
      </c>
      <c r="BY131" s="16">
        <f>SUM(BY124,BY125,BY129,BY130)</f>
        <v>2296368</v>
      </c>
      <c r="BZ131" s="16">
        <f>SUM(BV131:BY131)</f>
        <v>6273700</v>
      </c>
      <c r="CA131" s="16">
        <f>SUM(CA124,CA125,CA129,CA130)</f>
        <v>2296370</v>
      </c>
      <c r="CB131" s="16">
        <f>SUM(CB124,CB125,CB129,CB130)</f>
        <v>6273746</v>
      </c>
      <c r="CC131" s="16">
        <f>SUM(CC124,CC125,CC129,CC130)</f>
        <v>2296368</v>
      </c>
      <c r="CD131" s="16">
        <f>SUM(CD124,CD125,CD129,CD130)</f>
        <v>6273744</v>
      </c>
      <c r="CE131" s="16">
        <f>SUM(CA131:CD131)</f>
        <v>17140228</v>
      </c>
      <c r="CF131" s="16">
        <f>SUM(CF124,CF125,CF129,CF130)</f>
        <v>6273746</v>
      </c>
      <c r="CG131" s="16">
        <f>SUM(CG124,CG125,CG129,CG130)</f>
        <v>17140274</v>
      </c>
      <c r="CH131" s="16">
        <f>SUM(CH124,CH125,CH129,CH130)</f>
        <v>6273744</v>
      </c>
      <c r="CI131" s="16">
        <f>SUM(CI124,CI125,CI129,CI130)</f>
        <v>17140272</v>
      </c>
      <c r="CJ131" s="16">
        <f>SUM(CF131:CI131)</f>
        <v>46828036</v>
      </c>
      <c r="CK131" s="16">
        <f>SUM(CK124,CK125,CK129,CK130)</f>
        <v>17140274</v>
      </c>
      <c r="CL131" s="16">
        <f>SUM(CL124,CL125,CL129,CL130)</f>
        <v>46828082</v>
      </c>
      <c r="CM131" s="16">
        <f>SUM(CM124,CM125,CM129,CM130)</f>
        <v>17140272</v>
      </c>
      <c r="CN131" s="16">
        <f>SUM(CN124,CN125,CN129,CN130)</f>
        <v>46828080</v>
      </c>
      <c r="CO131" s="16">
        <f>SUM(CK131:CN131)</f>
        <v>127936708</v>
      </c>
      <c r="CP131" s="16">
        <f>SUM(CP124,CP125,CP129,CP130)</f>
        <v>46828082</v>
      </c>
      <c r="CQ131" s="16">
        <f>SUM(CQ124,CQ125,CQ129,CQ130)</f>
        <v>127936754</v>
      </c>
      <c r="CR131" s="16">
        <f>SUM(CR124,CR125,CR129,CR130)</f>
        <v>46828080</v>
      </c>
      <c r="CS131" s="16">
        <f>SUM(CS124,CS125,CS129,CS130)</f>
        <v>127936752</v>
      </c>
      <c r="CT131" s="16">
        <f>SUM(CP131:CS131)</f>
        <v>349529668</v>
      </c>
      <c r="CU131" s="16">
        <f>SUM(CU124,CU125,CU129,CU130)</f>
        <v>127936754</v>
      </c>
      <c r="CV131" s="16">
        <f>SUM(CV124,CV125,CV129,CV130)</f>
        <v>349529714</v>
      </c>
      <c r="CW131" s="16">
        <f>SUM(CW124,CW125,CW129,CW130)</f>
        <v>127936752</v>
      </c>
      <c r="CX131" s="16">
        <f>SUM(CX124,CX125,CX129,CX130)</f>
        <v>349529712</v>
      </c>
      <c r="CY131" s="16">
        <f>SUM(CU131:CX131)</f>
        <v>954932932</v>
      </c>
    </row>
    <row r="132">
      <c r="C132" s="24" t="inlineStr">
        <is>
          <t>Common Dividends</t>
        </is>
      </c>
      <c r="D132" s="25">
        <f>INDEX('Inputs (2)'!$D$13:$AL$13,MATCH(D$7,'Inputs (2)'!$D$2:$AL$2,0))</f>
        <v>0</v>
      </c>
      <c r="E132" s="25">
        <f>INDEX('Inputs (2)'!$D$13:$AL$13,MATCH(E$7,'Inputs (2)'!$D$2:$AL$2,0))</f>
        <v>0</v>
      </c>
      <c r="F132" s="25">
        <f>INDEX('Inputs (2)'!$D$13:$AL$13,MATCH(F$7,'Inputs (2)'!$D$2:$AL$2,0))</f>
        <v>0</v>
      </c>
      <c r="G132" s="25">
        <f>INDEX('Inputs (2)'!$D$13:$AL$13,MATCH(G$7,'Inputs (2)'!$D$2:$AL$2,0))</f>
        <v>0</v>
      </c>
      <c r="H132" s="3">
        <f>SUM(D132:G132)</f>
        <v>0</v>
      </c>
      <c r="I132" s="25">
        <f>INDEX('Inputs (2)'!$D$13:$AL$13,MATCH(I$7,'Inputs (2)'!$D$2:$AL$2,0))</f>
        <v>0</v>
      </c>
      <c r="J132" s="25">
        <f>INDEX('Inputs (2)'!$D$13:$AL$13,MATCH(J$7,'Inputs (2)'!$D$2:$AL$2,0))</f>
        <v>0</v>
      </c>
      <c r="K132" s="25">
        <f>INDEX('Inputs (2)'!$D$13:$AL$13,MATCH(K$7,'Inputs (2)'!$D$2:$AL$2,0))</f>
        <v>0</v>
      </c>
      <c r="L132" s="25">
        <f>INDEX('Inputs (2)'!$D$13:$AL$13,MATCH(L$7,'Inputs (2)'!$D$2:$AL$2,0))</f>
        <v>0</v>
      </c>
      <c r="M132" s="3">
        <f>SUM(I132:L132)</f>
        <v>0</v>
      </c>
      <c r="N132" s="25">
        <f>INDEX('Inputs (2)'!$D$13:$AL$13,MATCH(N$7,'Inputs (2)'!$D$2:$AL$2,0))</f>
        <v>0</v>
      </c>
      <c r="O132" s="25">
        <f>INDEX('Inputs (2)'!$D$13:$AL$13,MATCH(O$7,'Inputs (2)'!$D$2:$AL$2,0))</f>
        <v>0</v>
      </c>
      <c r="P132" s="25">
        <f>INDEX('Inputs (2)'!$D$13:$AL$13,MATCH(P$7,'Inputs (2)'!$D$2:$AL$2,0))</f>
        <v>0</v>
      </c>
      <c r="Q132" s="25">
        <f>INDEX('Inputs (2)'!$D$13:$AL$13,MATCH(Q$7,'Inputs (2)'!$D$2:$AL$2,0))</f>
        <v>0</v>
      </c>
      <c r="R132" s="3">
        <f>SUM(N132:Q132)</f>
        <v>0</v>
      </c>
      <c r="S132" s="25">
        <f>INDEX('Inputs (2)'!$D$13:$AL$13,MATCH(S$7,'Inputs (2)'!$D$2:$AL$2,0))</f>
        <v>0</v>
      </c>
      <c r="T132" s="25">
        <f>INDEX('Inputs (2)'!$D$13:$AL$13,MATCH(T$7,'Inputs (2)'!$D$2:$AL$2,0))</f>
        <v>0</v>
      </c>
      <c r="U132" s="25">
        <f>INDEX('Inputs (2)'!$D$13:$AL$13,MATCH(U$7,'Inputs (2)'!$D$2:$AL$2,0))</f>
        <v>0</v>
      </c>
      <c r="V132" s="25">
        <f>INDEX('Inputs (2)'!$D$13:$AL$13,MATCH(V$7,'Inputs (2)'!$D$2:$AL$2,0))</f>
        <v>0</v>
      </c>
      <c r="W132" s="3">
        <f>SUM(S132:V132)</f>
        <v>0</v>
      </c>
      <c r="X132" s="25">
        <f>INDEX('Inputs (2)'!$D$13:$AL$13,MATCH(X$7,'Inputs (2)'!$D$2:$AL$2,0))</f>
        <v>0</v>
      </c>
      <c r="Y132" s="25">
        <f>INDEX('Inputs (2)'!$D$13:$AL$13,MATCH(Y$7,'Inputs (2)'!$D$2:$AL$2,0))</f>
        <v>0</v>
      </c>
      <c r="Z132" s="25">
        <f>INDEX('Inputs (2)'!$D$13:$AL$13,MATCH(Z$7,'Inputs (2)'!$D$2:$AL$2,0))</f>
        <v>0</v>
      </c>
      <c r="AA132" s="25">
        <f>INDEX('Inputs (2)'!$D$13:$AL$13,MATCH(AA$7,'Inputs (2)'!$D$2:$AL$2,0))</f>
        <v>0</v>
      </c>
      <c r="AB132" s="3">
        <f>SUM(X132:AA132)</f>
        <v>0</v>
      </c>
      <c r="AC132" s="25">
        <f>INDEX('Inputs (2)'!$D$13:$AL$13,MATCH(AC$7,'Inputs (2)'!$D$2:$AL$2,0))</f>
        <v>0</v>
      </c>
      <c r="AD132" s="25">
        <f>INDEX('Inputs (2)'!$D$13:$AL$13,MATCH(AD$7,'Inputs (2)'!$D$2:$AL$2,0))</f>
        <v>0</v>
      </c>
      <c r="AE132" s="25">
        <f>INDEX('Inputs (2)'!$D$13:$AL$13,MATCH(AE$7,'Inputs (2)'!$D$2:$AL$2,0))</f>
        <v>0</v>
      </c>
      <c r="AF132" s="25">
        <f>INDEX('Inputs (2)'!$D$13:$AL$13,MATCH(AF$7,'Inputs (2)'!$D$2:$AL$2,0))</f>
        <v>0</v>
      </c>
      <c r="AG132" s="3">
        <f>SUM(AC132:AF132)</f>
        <v>0</v>
      </c>
      <c r="AH132" s="3">
        <f>INDEX('Inputs (2)'!$D$13:$AL$13,MATCH(AH$7,'Inputs (2)'!$D$2:$AL$2,0))</f>
        <v>0</v>
      </c>
      <c r="AI132" s="3">
        <f>INDEX('Inputs (2)'!$D$13:$AL$13,MATCH(AI$7,'Inputs (2)'!$D$2:$AL$2,0))</f>
        <v>0</v>
      </c>
      <c r="AJ132" s="3" t="n"/>
      <c r="AK132" s="3" t="n"/>
      <c r="AL132" s="3">
        <f>SUM(AH132:AK132)</f>
        <v>0</v>
      </c>
      <c r="AM132" s="3" t="n"/>
      <c r="AN132" s="3" t="n"/>
      <c r="AO132" s="3" t="n"/>
      <c r="AP132" s="3" t="n"/>
      <c r="AQ132" s="3">
        <f>SUM(AM132:AP132)</f>
        <v>0</v>
      </c>
      <c r="AR132" s="3" t="n"/>
      <c r="AS132" s="3" t="n"/>
      <c r="AT132" s="3" t="n"/>
      <c r="AU132" s="3" t="n"/>
      <c r="AV132" s="3">
        <f>SUM(AR132:AU132)</f>
        <v>0</v>
      </c>
      <c r="AW132" s="3" t="n"/>
      <c r="AX132" s="3" t="n"/>
      <c r="AY132" s="3" t="n"/>
      <c r="AZ132" s="3" t="n"/>
      <c r="BA132" s="3">
        <f>SUM(AW132:AZ132)</f>
        <v>0</v>
      </c>
      <c r="BB132" s="3" t="n"/>
      <c r="BC132" s="3" t="n"/>
      <c r="BD132" s="3" t="n"/>
      <c r="BE132" s="3" t="n"/>
      <c r="BF132" s="3">
        <f>SUM(BB132:BE132)</f>
        <v>0</v>
      </c>
      <c r="BG132" s="3" t="n"/>
      <c r="BH132" s="3" t="n"/>
      <c r="BI132" s="3" t="n"/>
      <c r="BJ132" s="3" t="n"/>
      <c r="BK132" s="3">
        <f>SUM(BG132:BJ132)</f>
        <v>0</v>
      </c>
      <c r="BL132" s="3" t="n"/>
      <c r="BM132" s="3" t="n"/>
      <c r="BN132" s="3" t="n"/>
      <c r="BO132" s="3" t="n"/>
      <c r="BP132" s="3">
        <f>SUM(BL132:BO132)</f>
        <v>0</v>
      </c>
      <c r="BQ132" s="3" t="n"/>
      <c r="BR132" s="3" t="n"/>
      <c r="BS132" s="3" t="n"/>
      <c r="BT132" s="3" t="n"/>
      <c r="BU132" s="3">
        <f>SUM(BQ132:BT132)</f>
        <v>0</v>
      </c>
      <c r="BV132" s="3" t="n"/>
      <c r="BW132" s="3" t="n"/>
      <c r="BX132" s="3" t="n"/>
      <c r="BY132" s="3" t="n"/>
      <c r="BZ132" s="3">
        <f>SUM(BV132:BY132)</f>
        <v>0</v>
      </c>
      <c r="CA132" s="3" t="n"/>
      <c r="CB132" s="3" t="n"/>
      <c r="CC132" s="3" t="n"/>
      <c r="CD132" s="3" t="n"/>
      <c r="CE132" s="3">
        <f>SUM(CA132:CD132)</f>
        <v>0</v>
      </c>
      <c r="CF132" s="3" t="n"/>
      <c r="CG132" s="3" t="n"/>
      <c r="CH132" s="3" t="n"/>
      <c r="CI132" s="3" t="n"/>
      <c r="CJ132" s="3">
        <f>SUM(CF132:CI132)</f>
        <v>0</v>
      </c>
      <c r="CK132" s="3" t="n"/>
      <c r="CL132" s="3" t="n"/>
      <c r="CM132" s="3" t="n"/>
      <c r="CN132" s="3" t="n"/>
      <c r="CO132" s="3">
        <f>SUM(CK132:CN132)</f>
        <v>0</v>
      </c>
      <c r="CP132" s="3" t="n"/>
      <c r="CQ132" s="3" t="n"/>
      <c r="CR132" s="3" t="n"/>
      <c r="CS132" s="3" t="n"/>
      <c r="CT132" s="3">
        <f>SUM(CP132:CS132)</f>
        <v>0</v>
      </c>
      <c r="CU132" s="3" t="n"/>
      <c r="CV132" s="3" t="n"/>
      <c r="CW132" s="3" t="n"/>
      <c r="CX132" s="3" t="n"/>
      <c r="CY132" s="3">
        <f>SUM(CU132:CX132)</f>
        <v>0</v>
      </c>
    </row>
    <row r="133" hidden="1" outlineLevel="1">
      <c r="C133" s="32" t="inlineStr">
        <is>
          <t>% DVD Payout</t>
        </is>
      </c>
      <c r="D133" s="40">
        <f>-D132/D131</f>
        <v>0</v>
      </c>
      <c r="E133" s="40">
        <f>-E132/E131</f>
        <v>0</v>
      </c>
      <c r="F133" s="40">
        <f>-F132/F131</f>
        <v>0</v>
      </c>
      <c r="G133" s="40">
        <f>-G132/G131</f>
        <v>0</v>
      </c>
      <c r="H133" s="40">
        <f>-H132/H131</f>
        <v>0</v>
      </c>
      <c r="I133" s="40">
        <f>-I132/I131</f>
        <v>0</v>
      </c>
      <c r="J133" s="40">
        <f>-J132/J131</f>
        <v>0</v>
      </c>
      <c r="K133" s="40">
        <f>-K132/K131</f>
        <v>0</v>
      </c>
      <c r="L133" s="40">
        <f>-L132/L131</f>
        <v>0</v>
      </c>
      <c r="M133" s="40">
        <f>-M132/M131</f>
        <v>0</v>
      </c>
      <c r="N133" s="40">
        <f>-N132/N131</f>
        <v>0</v>
      </c>
      <c r="O133" s="40">
        <f>-O132/O131</f>
        <v>0</v>
      </c>
      <c r="P133" s="40">
        <f>-P132/P131</f>
        <v>0</v>
      </c>
      <c r="Q133" s="40">
        <f>-Q132/Q131</f>
        <v>0</v>
      </c>
      <c r="R133" s="40">
        <f>-R132/R131</f>
        <v>0</v>
      </c>
      <c r="S133" s="40">
        <f>-S132/S131</f>
        <v>0</v>
      </c>
      <c r="T133" s="40">
        <f>-T132/T131</f>
        <v>0</v>
      </c>
      <c r="U133" s="40">
        <f>-U132/U131</f>
        <v>0</v>
      </c>
      <c r="V133" s="40">
        <f>-V132/V131</f>
        <v>0</v>
      </c>
      <c r="W133" s="40">
        <f>-W132/W131</f>
        <v>0</v>
      </c>
      <c r="X133" s="40">
        <f>-X132/X131</f>
        <v>0</v>
      </c>
      <c r="Y133" s="40">
        <f>-Y132/Y131</f>
        <v>0</v>
      </c>
      <c r="Z133" s="40">
        <f>-Z132/Z131</f>
        <v>0</v>
      </c>
      <c r="AA133" s="40">
        <f>-AA132/AA131</f>
        <v>0</v>
      </c>
      <c r="AB133" s="40">
        <f>-AB132/AB131</f>
        <v>0</v>
      </c>
      <c r="AC133" s="40">
        <f>-AC132/AC131</f>
        <v>0</v>
      </c>
      <c r="AD133" s="40">
        <f>-AD132/AD131</f>
        <v>0</v>
      </c>
      <c r="AE133" s="40">
        <f>-AE132/AE131</f>
        <v>0</v>
      </c>
      <c r="AF133" s="44">
        <f>-AF132/AF131</f>
        <v>0</v>
      </c>
      <c r="AG133" s="3" t="n"/>
      <c r="AH133" s="44">
        <f>-AH132/AH131</f>
        <v>0</v>
      </c>
      <c r="AI133" s="44">
        <f>-AI132/AI131</f>
        <v>0</v>
      </c>
      <c r="AJ133" s="44" t="n"/>
      <c r="AK133" s="44" t="n"/>
      <c r="AL133" s="3">
        <f>-AL132/AL131</f>
        <v>0</v>
      </c>
      <c r="AM133" s="44" t="n"/>
      <c r="AN133" s="44" t="n"/>
      <c r="AO133" s="44" t="n"/>
      <c r="AP133" s="44" t="n"/>
      <c r="AQ133" s="3">
        <f>-AQ132/AQ131</f>
        <v>0</v>
      </c>
      <c r="AR133" s="44" t="n"/>
      <c r="AS133" s="44" t="n"/>
      <c r="AT133" s="44" t="n"/>
      <c r="AU133" s="44" t="n"/>
      <c r="AV133" s="3">
        <f>-AV132/AV131</f>
        <v>0</v>
      </c>
      <c r="AW133" s="44" t="n"/>
      <c r="AX133" s="44" t="n"/>
      <c r="AY133" s="44" t="n"/>
      <c r="AZ133" s="44" t="n"/>
      <c r="BA133" s="3">
        <f>-BA132/BA131</f>
        <v>0</v>
      </c>
      <c r="BB133" s="44" t="n"/>
      <c r="BC133" s="44" t="n"/>
      <c r="BD133" s="44" t="n"/>
      <c r="BE133" s="44" t="n"/>
      <c r="BF133" s="3">
        <f>-BF132/BF131</f>
        <v>0</v>
      </c>
      <c r="BG133" s="44" t="n"/>
      <c r="BH133" s="44" t="n"/>
      <c r="BI133" s="44" t="n"/>
      <c r="BJ133" s="44" t="n"/>
      <c r="BK133" s="3">
        <f>-BK132/BK131</f>
        <v>0</v>
      </c>
      <c r="BL133" s="44" t="n"/>
      <c r="BM133" s="44" t="n"/>
      <c r="BN133" s="44" t="n"/>
      <c r="BO133" s="44" t="n"/>
      <c r="BP133" s="3">
        <f>-BP132/BP131</f>
        <v>0</v>
      </c>
      <c r="BQ133" s="44" t="n"/>
      <c r="BR133" s="44" t="n"/>
      <c r="BS133" s="44" t="n"/>
      <c r="BT133" s="44" t="n"/>
      <c r="BU133" s="3">
        <f>-BU132/BU131</f>
        <v>0</v>
      </c>
      <c r="BV133" s="44" t="n"/>
      <c r="BW133" s="44" t="n"/>
      <c r="BX133" s="44" t="n"/>
      <c r="BY133" s="44" t="n"/>
      <c r="BZ133" s="3">
        <f>-BZ132/BZ131</f>
        <v>0</v>
      </c>
      <c r="CA133" s="44" t="n"/>
      <c r="CB133" s="44" t="n"/>
      <c r="CC133" s="44" t="n"/>
      <c r="CD133" s="44" t="n"/>
      <c r="CE133" s="3">
        <f>-CE132/CE131</f>
        <v>0</v>
      </c>
      <c r="CF133" s="44" t="n"/>
      <c r="CG133" s="44" t="n"/>
      <c r="CH133" s="44" t="n"/>
      <c r="CI133" s="44" t="n"/>
      <c r="CJ133" s="3">
        <f>-CJ132/CJ131</f>
        <v>0</v>
      </c>
      <c r="CK133" s="44" t="n"/>
      <c r="CL133" s="44" t="n"/>
      <c r="CM133" s="44" t="n"/>
      <c r="CN133" s="44" t="n"/>
      <c r="CO133" s="3">
        <f>-CO132/CO131</f>
        <v>0</v>
      </c>
      <c r="CP133" s="44" t="n"/>
      <c r="CQ133" s="44" t="n"/>
      <c r="CR133" s="44" t="n"/>
      <c r="CS133" s="44" t="n"/>
      <c r="CT133" s="3">
        <f>-CT132/CT131</f>
        <v>0</v>
      </c>
      <c r="CU133" s="44" t="n"/>
      <c r="CV133" s="44" t="n"/>
      <c r="CW133" s="44" t="n"/>
      <c r="CX133" s="44" t="n"/>
      <c r="CY133" s="3">
        <f>-CY132/CY131</f>
        <v>0</v>
      </c>
    </row>
    <row r="134" hidden="1" outlineLevel="1">
      <c r="C134" s="5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  <c r="AG134" s="1" t="n"/>
      <c r="AH134" s="1" t="n"/>
      <c r="AI134" s="1" t="n"/>
      <c r="AJ134" s="1" t="n"/>
      <c r="AK134" s="1" t="n"/>
      <c r="AL134" s="1" t="n"/>
      <c r="AM134" s="1" t="n"/>
      <c r="AN134" s="1" t="n"/>
      <c r="AO134" s="1" t="n"/>
      <c r="AP134" s="1" t="n"/>
      <c r="AQ134" s="1" t="n"/>
      <c r="AR134" s="1" t="n"/>
      <c r="AS134" s="1" t="n"/>
      <c r="AT134" s="1" t="n"/>
      <c r="AU134" s="1" t="n"/>
      <c r="AV134" s="1" t="n"/>
      <c r="AW134" s="1" t="n"/>
      <c r="AX134" s="1" t="n"/>
      <c r="AY134" s="1" t="n"/>
      <c r="AZ134" s="1" t="n"/>
      <c r="BA134" s="1" t="n"/>
      <c r="BB134" s="1" t="n"/>
      <c r="BC134" s="1" t="n"/>
      <c r="BD134" s="1" t="n"/>
      <c r="BE134" s="1" t="n"/>
      <c r="BF134" s="1" t="n"/>
      <c r="BG134" s="1" t="n"/>
      <c r="BH134" s="1" t="n"/>
      <c r="BI134" s="1" t="n"/>
      <c r="BJ134" s="1" t="n"/>
      <c r="BK134" s="1" t="n"/>
      <c r="BL134" s="1" t="n"/>
      <c r="BM134" s="1" t="n"/>
      <c r="BN134" s="1" t="n"/>
      <c r="BO134" s="1" t="n"/>
      <c r="BP134" s="1" t="n"/>
      <c r="BQ134" s="1" t="n"/>
      <c r="BR134" s="1" t="n"/>
      <c r="BS134" s="1" t="n"/>
      <c r="BT134" s="1" t="n"/>
      <c r="BU134" s="1" t="n"/>
      <c r="BV134" s="1" t="n"/>
      <c r="BW134" s="1" t="n"/>
      <c r="BX134" s="1" t="n"/>
      <c r="BY134" s="1" t="n"/>
      <c r="BZ134" s="1" t="n"/>
      <c r="CA134" s="1" t="n"/>
      <c r="CB134" s="1" t="n"/>
      <c r="CC134" s="1" t="n"/>
      <c r="CD134" s="1" t="n"/>
      <c r="CE134" s="1" t="n"/>
      <c r="CF134" s="1" t="n"/>
      <c r="CG134" s="1" t="n"/>
      <c r="CH134" s="1" t="n"/>
      <c r="CI134" s="1" t="n"/>
      <c r="CJ134" s="1" t="n"/>
      <c r="CK134" s="1" t="n"/>
      <c r="CL134" s="1" t="n"/>
      <c r="CM134" s="1" t="n"/>
      <c r="CN134" s="1" t="n"/>
      <c r="CO134" s="1" t="n"/>
      <c r="CP134" s="1" t="n"/>
      <c r="CQ134" s="1" t="n"/>
      <c r="CR134" s="1" t="n"/>
      <c r="CS134" s="1" t="n"/>
      <c r="CT134" s="1" t="n"/>
      <c r="CU134" s="1" t="n"/>
      <c r="CV134" s="1" t="n"/>
      <c r="CW134" s="1" t="n"/>
      <c r="CX134" s="1" t="n"/>
      <c r="CY134" s="1" t="n"/>
    </row>
    <row r="135" hidden="1" outlineLevel="1">
      <c r="C135" s="5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s="1" t="n"/>
      <c r="AH135" s="1" t="n"/>
      <c r="AI135" s="1" t="n"/>
      <c r="AJ135" s="1" t="n"/>
      <c r="AK135" s="1" t="n"/>
      <c r="AL135" s="1" t="n"/>
      <c r="AM135" s="1" t="n"/>
      <c r="AN135" s="1" t="n"/>
      <c r="AO135" s="1" t="n"/>
      <c r="AP135" s="1" t="n"/>
      <c r="AQ135" s="1" t="n"/>
      <c r="AR135" s="1" t="n"/>
      <c r="AS135" s="1" t="n"/>
      <c r="AT135" s="1" t="n"/>
      <c r="AU135" s="1" t="n"/>
      <c r="AV135" s="1" t="n"/>
      <c r="AW135" s="1" t="n"/>
      <c r="AX135" s="1" t="n"/>
      <c r="AY135" s="1" t="n"/>
      <c r="AZ135" s="1" t="n"/>
      <c r="BA135" s="1" t="n"/>
      <c r="BB135" s="1" t="n"/>
      <c r="BC135" s="1" t="n"/>
      <c r="BD135" s="1" t="n"/>
      <c r="BE135" s="1" t="n"/>
      <c r="BF135" s="1" t="n"/>
      <c r="BG135" s="1" t="n"/>
      <c r="BH135" s="1" t="n"/>
      <c r="BI135" s="1" t="n"/>
      <c r="BJ135" s="1" t="n"/>
      <c r="BK135" s="1" t="n"/>
      <c r="BL135" s="1" t="n"/>
      <c r="BM135" s="1" t="n"/>
      <c r="BN135" s="1" t="n"/>
      <c r="BO135" s="1" t="n"/>
      <c r="BP135" s="1" t="n"/>
      <c r="BQ135" s="1" t="n"/>
      <c r="BR135" s="1" t="n"/>
      <c r="BS135" s="1" t="n"/>
      <c r="BT135" s="1" t="n"/>
      <c r="BU135" s="1" t="n"/>
      <c r="BV135" s="1" t="n"/>
      <c r="BW135" s="1" t="n"/>
      <c r="BX135" s="1" t="n"/>
      <c r="BY135" s="1" t="n"/>
      <c r="BZ135" s="1" t="n"/>
      <c r="CA135" s="1" t="n"/>
      <c r="CB135" s="1" t="n"/>
      <c r="CC135" s="1" t="n"/>
      <c r="CD135" s="1" t="n"/>
      <c r="CE135" s="1" t="n"/>
      <c r="CF135" s="1" t="n"/>
      <c r="CG135" s="1" t="n"/>
      <c r="CH135" s="1" t="n"/>
      <c r="CI135" s="1" t="n"/>
      <c r="CJ135" s="1" t="n"/>
      <c r="CK135" s="1" t="n"/>
      <c r="CL135" s="1" t="n"/>
      <c r="CM135" s="1" t="n"/>
      <c r="CN135" s="1" t="n"/>
      <c r="CO135" s="1" t="n"/>
      <c r="CP135" s="1" t="n"/>
      <c r="CQ135" s="1" t="n"/>
      <c r="CR135" s="1" t="n"/>
      <c r="CS135" s="1" t="n"/>
      <c r="CT135" s="1" t="n"/>
      <c r="CU135" s="1" t="n"/>
      <c r="CV135" s="1" t="n"/>
      <c r="CW135" s="1" t="n"/>
      <c r="CX135" s="1" t="n"/>
      <c r="CY135" s="1" t="n"/>
    </row>
    <row r="136" collapsed="1" ht="11.25" customHeight="1">
      <c r="C136" s="12" t="inlineStr">
        <is>
          <t>Balance Sheet</t>
        </is>
      </c>
      <c r="D136" s="12" t="str">
        <f>D13</f>
        <v>1Q20</v>
      </c>
      <c r="E136" s="12" t="str">
        <f>E13</f>
        <v>2Q20</v>
      </c>
      <c r="F136" s="12" t="str">
        <f>F13</f>
        <v>3Q20</v>
      </c>
      <c r="G136" s="12" t="str">
        <f>G13</f>
        <v>4Q20</v>
      </c>
      <c r="H136" s="12">
        <f>H13</f>
        <v>2020</v>
      </c>
      <c r="I136" s="12" t="str">
        <f>I13</f>
        <v>1Q21</v>
      </c>
      <c r="J136" s="12" t="str">
        <f>J13</f>
        <v>2Q21</v>
      </c>
      <c r="K136" s="12" t="str">
        <f>K13</f>
        <v>3Q21</v>
      </c>
      <c r="L136" s="12" t="str">
        <f>L13</f>
        <v>4Q21</v>
      </c>
      <c r="M136" s="12">
        <f>M13</f>
        <v>2021</v>
      </c>
      <c r="N136" s="12" t="str">
        <f>N13</f>
        <v>1Q22</v>
      </c>
      <c r="O136" s="12" t="str">
        <f>O13</f>
        <v>2Q22</v>
      </c>
      <c r="P136" s="12" t="str">
        <f>P13</f>
        <v>3Q22</v>
      </c>
      <c r="Q136" s="12" t="str">
        <f>Q13</f>
        <v>4Q22</v>
      </c>
      <c r="R136" s="12">
        <f>R13</f>
        <v>2022</v>
      </c>
      <c r="S136" s="12" t="str">
        <f>S13</f>
        <v>1Q23</v>
      </c>
      <c r="T136" s="12" t="str">
        <f>T13</f>
        <v>2Q23</v>
      </c>
      <c r="U136" s="12" t="str">
        <f>U13</f>
        <v>3Q23</v>
      </c>
      <c r="V136" s="12" t="str">
        <f>V13</f>
        <v>4Q23</v>
      </c>
      <c r="W136" s="12">
        <f>W13</f>
        <v>2023</v>
      </c>
      <c r="X136" s="12" t="str">
        <f>X13</f>
        <v>1Q24</v>
      </c>
      <c r="Y136" s="12" t="str">
        <f>Y13</f>
        <v>2Q24</v>
      </c>
      <c r="Z136" s="12" t="str">
        <f>Z13</f>
        <v>3Q24</v>
      </c>
      <c r="AA136" s="12" t="str">
        <f>AA13</f>
        <v>4Q24</v>
      </c>
      <c r="AB136" s="12">
        <f>AB13</f>
        <v>2024</v>
      </c>
      <c r="AC136" s="12" t="str">
        <f>AC13</f>
        <v>1Q25</v>
      </c>
      <c r="AD136" s="12" t="str">
        <f>AD13</f>
        <v>2Q25</v>
      </c>
      <c r="AE136" s="12" t="str">
        <f>AE13</f>
        <v>3Q25</v>
      </c>
      <c r="AF136" s="12" t="str">
        <f>AF13</f>
        <v>4Q25</v>
      </c>
      <c r="AG136" s="12">
        <f>AG13</f>
        <v>2025</v>
      </c>
      <c r="AH136" s="12" t="str">
        <f>AH13</f>
        <v>1Q26</v>
      </c>
      <c r="AI136" s="12" t="str">
        <f>AI13</f>
        <v>2Q26</v>
      </c>
      <c r="AJ136" s="12" t="str">
        <f>AJ13</f>
        <v>3Q26</v>
      </c>
      <c r="AK136" s="12" t="str">
        <f>AK13</f>
        <v>4Q26</v>
      </c>
      <c r="AL136" s="12">
        <f>AL13</f>
        <v>2026</v>
      </c>
      <c r="AM136" s="12" t="str">
        <f>AM13</f>
        <v>1Q27</v>
      </c>
      <c r="AN136" s="12" t="str">
        <f>AN13</f>
        <v>2Q27</v>
      </c>
      <c r="AO136" s="12" t="str">
        <f>AO13</f>
        <v>3Q27</v>
      </c>
      <c r="AP136" s="12" t="str">
        <f>AP13</f>
        <v>4Q27</v>
      </c>
      <c r="AQ136" s="12">
        <f>AQ13</f>
        <v>2027</v>
      </c>
      <c r="AR136" s="12" t="str">
        <f>AR13</f>
        <v>1Q28</v>
      </c>
      <c r="AS136" s="12" t="str">
        <f>AS13</f>
        <v>2Q28</v>
      </c>
      <c r="AT136" s="12" t="str">
        <f>AT13</f>
        <v>3Q28</v>
      </c>
      <c r="AU136" s="12" t="str">
        <f>AU13</f>
        <v>4Q28</v>
      </c>
      <c r="AV136" s="12">
        <f>AV13</f>
        <v>2028</v>
      </c>
      <c r="AW136" s="12" t="str">
        <f>AW13</f>
        <v>1Q29</v>
      </c>
      <c r="AX136" s="12" t="str">
        <f>AX13</f>
        <v>2Q29</v>
      </c>
      <c r="AY136" s="12" t="str">
        <f>AY13</f>
        <v>3Q29</v>
      </c>
      <c r="AZ136" s="12" t="str">
        <f>AZ13</f>
        <v>4Q29</v>
      </c>
      <c r="BA136" s="12">
        <f>BA13</f>
        <v>2029</v>
      </c>
      <c r="BB136" s="12" t="str">
        <f>BB13</f>
        <v>1Q30</v>
      </c>
      <c r="BC136" s="12" t="str">
        <f>BC13</f>
        <v>2Q30</v>
      </c>
      <c r="BD136" s="12" t="str">
        <f>BD13</f>
        <v>3Q30</v>
      </c>
      <c r="BE136" s="12" t="str">
        <f>BE13</f>
        <v>4Q30</v>
      </c>
      <c r="BF136" s="12">
        <f>BF13</f>
        <v>2030</v>
      </c>
      <c r="BG136" s="12" t="str">
        <f>BG13</f>
        <v>1Q31</v>
      </c>
      <c r="BH136" s="12" t="str">
        <f>BH13</f>
        <v>2Q31</v>
      </c>
      <c r="BI136" s="12" t="str">
        <f>BI13</f>
        <v>3Q31</v>
      </c>
      <c r="BJ136" s="12" t="str">
        <f>BJ13</f>
        <v>4Q31</v>
      </c>
      <c r="BK136" s="12">
        <f>BK13</f>
        <v>2031</v>
      </c>
      <c r="BL136" s="12" t="str">
        <f>BL13</f>
        <v>1Q32</v>
      </c>
      <c r="BM136" s="12" t="str">
        <f>BM13</f>
        <v>2Q32</v>
      </c>
      <c r="BN136" s="12" t="str">
        <f>BN13</f>
        <v>3Q32</v>
      </c>
      <c r="BO136" s="12" t="str">
        <f>BO13</f>
        <v>4Q32</v>
      </c>
      <c r="BP136" s="12">
        <f>BP13</f>
        <v>2032</v>
      </c>
      <c r="BQ136" s="12" t="str">
        <f>BQ13</f>
        <v>1Q33</v>
      </c>
      <c r="BR136" s="12" t="str">
        <f>BR13</f>
        <v>2Q33</v>
      </c>
      <c r="BS136" s="12" t="str">
        <f>BS13</f>
        <v>3Q33</v>
      </c>
      <c r="BT136" s="12" t="str">
        <f>BT13</f>
        <v>4Q33</v>
      </c>
      <c r="BU136" s="12">
        <f>BU13</f>
        <v>2033</v>
      </c>
      <c r="BV136" s="12" t="str">
        <f>BV13</f>
        <v>1Q34</v>
      </c>
      <c r="BW136" s="12" t="str">
        <f>BW13</f>
        <v>2Q34</v>
      </c>
      <c r="BX136" s="12" t="str">
        <f>BX13</f>
        <v>3Q34</v>
      </c>
      <c r="BY136" s="12" t="str">
        <f>BY13</f>
        <v>4Q34</v>
      </c>
      <c r="BZ136" s="12">
        <f>BZ13</f>
        <v>2034</v>
      </c>
      <c r="CA136" s="12" t="str">
        <f>CA13</f>
        <v>1Q35</v>
      </c>
      <c r="CB136" s="12" t="str">
        <f>CB13</f>
        <v>2Q35</v>
      </c>
      <c r="CC136" s="12" t="str">
        <f>CC13</f>
        <v>3Q35</v>
      </c>
      <c r="CD136" s="12" t="str">
        <f>CD13</f>
        <v>4Q35</v>
      </c>
      <c r="CE136" s="12">
        <f>CE13</f>
        <v>2035</v>
      </c>
      <c r="CF136" s="12" t="str">
        <f>CF13</f>
        <v>1Q36</v>
      </c>
      <c r="CG136" s="12" t="str">
        <f>CG13</f>
        <v>2Q36</v>
      </c>
      <c r="CH136" s="12" t="str">
        <f>CH13</f>
        <v>3Q36</v>
      </c>
      <c r="CI136" s="12" t="str">
        <f>CI13</f>
        <v>4Q36</v>
      </c>
      <c r="CJ136" s="12">
        <f>CJ13</f>
        <v>2036</v>
      </c>
      <c r="CK136" s="12" t="str">
        <f>CK13</f>
        <v>1Q37</v>
      </c>
      <c r="CL136" s="12" t="str">
        <f>CL13</f>
        <v>2Q37</v>
      </c>
      <c r="CM136" s="12" t="str">
        <f>CM13</f>
        <v>3Q37</v>
      </c>
      <c r="CN136" s="12" t="str">
        <f>CN13</f>
        <v>4Q37</v>
      </c>
      <c r="CO136" s="12">
        <f>CO13</f>
        <v>2037</v>
      </c>
      <c r="CP136" s="12" t="str">
        <f>CP13</f>
        <v>1Q38</v>
      </c>
      <c r="CQ136" s="12" t="str">
        <f>CQ13</f>
        <v>2Q38</v>
      </c>
      <c r="CR136" s="12" t="str">
        <f>CR13</f>
        <v>3Q38</v>
      </c>
      <c r="CS136" s="12" t="str">
        <f>CS13</f>
        <v>4Q38</v>
      </c>
      <c r="CT136" s="12">
        <f>CT13</f>
        <v>2038</v>
      </c>
      <c r="CU136" s="12" t="str">
        <f>CU13</f>
        <v>1Q39</v>
      </c>
      <c r="CV136" s="12" t="str">
        <f>CV13</f>
        <v>2Q39</v>
      </c>
      <c r="CW136" s="12" t="str">
        <f>CW13</f>
        <v>3Q39</v>
      </c>
      <c r="CX136" s="12" t="str">
        <f>CX13</f>
        <v>4Q39</v>
      </c>
      <c r="CY136" s="12">
        <f>CY13</f>
        <v>2039</v>
      </c>
    </row>
    <row r="137">
      <c r="C137" s="5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  <c r="AG137" s="1" t="n"/>
      <c r="AH137" s="1" t="n"/>
      <c r="AI137" s="1" t="n"/>
      <c r="AJ137" s="1" t="n"/>
      <c r="AK137" s="1" t="n"/>
      <c r="AL137" s="1" t="n"/>
      <c r="AM137" s="1" t="n"/>
      <c r="AN137" s="1" t="n"/>
      <c r="AO137" s="1" t="n"/>
      <c r="AP137" s="1" t="n"/>
      <c r="AQ137" s="1" t="n"/>
      <c r="AR137" s="1" t="n"/>
      <c r="AS137" s="1" t="n"/>
      <c r="AT137" s="1" t="n"/>
      <c r="AU137" s="1" t="n"/>
      <c r="AV137" s="1" t="n"/>
      <c r="AW137" s="1" t="n"/>
      <c r="AX137" s="1" t="n"/>
      <c r="AY137" s="1" t="n"/>
      <c r="AZ137" s="1" t="n"/>
      <c r="BA137" s="1" t="n"/>
      <c r="BB137" s="1" t="n"/>
      <c r="BC137" s="1" t="n"/>
      <c r="BD137" s="1" t="n"/>
      <c r="BE137" s="1" t="n"/>
      <c r="BF137" s="1" t="n"/>
      <c r="BG137" s="1" t="n"/>
      <c r="BH137" s="1" t="n"/>
      <c r="BI137" s="1" t="n"/>
      <c r="BJ137" s="1" t="n"/>
      <c r="BK137" s="1" t="n"/>
      <c r="BL137" s="1" t="n"/>
      <c r="BM137" s="1" t="n"/>
      <c r="BN137" s="1" t="n"/>
      <c r="BO137" s="1" t="n"/>
      <c r="BP137" s="1" t="n"/>
      <c r="BQ137" s="1" t="n"/>
      <c r="BR137" s="1" t="n"/>
      <c r="BS137" s="1" t="n"/>
      <c r="BT137" s="1" t="n"/>
      <c r="BU137" s="1" t="n"/>
      <c r="BV137" s="1" t="n"/>
      <c r="BW137" s="1" t="n"/>
      <c r="BX137" s="1" t="n"/>
      <c r="BY137" s="1" t="n"/>
      <c r="BZ137" s="1" t="n"/>
      <c r="CA137" s="1" t="n"/>
      <c r="CB137" s="1" t="n"/>
      <c r="CC137" s="1" t="n"/>
      <c r="CD137" s="1" t="n"/>
      <c r="CE137" s="1" t="n"/>
      <c r="CF137" s="1" t="n"/>
      <c r="CG137" s="1" t="n"/>
      <c r="CH137" s="1" t="n"/>
      <c r="CI137" s="1" t="n"/>
      <c r="CJ137" s="1" t="n"/>
      <c r="CK137" s="1" t="n"/>
      <c r="CL137" s="1" t="n"/>
      <c r="CM137" s="1" t="n"/>
      <c r="CN137" s="1" t="n"/>
      <c r="CO137" s="1" t="n"/>
      <c r="CP137" s="1" t="n"/>
      <c r="CQ137" s="1" t="n"/>
      <c r="CR137" s="1" t="n"/>
      <c r="CS137" s="1" t="n"/>
      <c r="CT137" s="1" t="n"/>
      <c r="CU137" s="1" t="n"/>
      <c r="CV137" s="1" t="n"/>
      <c r="CW137" s="1" t="n"/>
      <c r="CX137" s="1" t="n"/>
      <c r="CY137" s="1" t="n"/>
    </row>
    <row r="138">
      <c r="C138" s="24" t="inlineStr">
        <is>
          <t>Cash and equivalents (inc. investment securities)</t>
        </is>
      </c>
      <c r="D138" s="25">
        <f>INDEX('Inputs (2)'!$D$15:$AL$15,MATCH(D$7,'Inputs (2)'!$D$2:$AL$2,0))</f>
        <v>8080</v>
      </c>
      <c r="E138" s="25">
        <f>INDEX('Inputs (2)'!$D$15:$AL$15,MATCH(E$7,'Inputs (2)'!$D$2:$AL$2,0))</f>
        <v>8615</v>
      </c>
      <c r="F138" s="25">
        <f>INDEX('Inputs (2)'!$D$15:$AL$15,MATCH(F$7,'Inputs (2)'!$D$2:$AL$2,0))</f>
        <v>14531</v>
      </c>
      <c r="G138" s="25">
        <f>INDEX('Inputs (2)'!$D$15:$AL$15,MATCH(G$7,'Inputs (2)'!$D$2:$AL$2,0))</f>
        <v>19384</v>
      </c>
      <c r="H138" s="3">
        <f>G138</f>
        <v>19384</v>
      </c>
      <c r="I138" s="25">
        <f>INDEX('Inputs (2)'!$D$15:$AL$15,MATCH(I$7,'Inputs (2)'!$D$2:$AL$2,0))</f>
        <v>17141</v>
      </c>
      <c r="J138" s="25">
        <f>INDEX('Inputs (2)'!$D$15:$AL$15,MATCH(J$7,'Inputs (2)'!$D$2:$AL$2,0))</f>
        <v>16229</v>
      </c>
      <c r="K138" s="25">
        <f>INDEX('Inputs (2)'!$D$15:$AL$15,MATCH(K$7,'Inputs (2)'!$D$2:$AL$2,0))</f>
        <v>16095</v>
      </c>
      <c r="L138" s="25">
        <f>INDEX('Inputs (2)'!$D$15:$AL$15,MATCH(L$7,'Inputs (2)'!$D$2:$AL$2,0))</f>
        <v>17707</v>
      </c>
      <c r="M138" s="3">
        <f>L138</f>
        <v>17707</v>
      </c>
      <c r="N138" s="25">
        <f>INDEX('Inputs (2)'!$D$15:$AL$15,MATCH(N$7,'Inputs (2)'!$D$2:$AL$2,0))</f>
        <v>18013</v>
      </c>
      <c r="O138" s="25">
        <f>INDEX('Inputs (2)'!$D$15:$AL$15,MATCH(O$7,'Inputs (2)'!$D$2:$AL$2,0))</f>
        <v>18915</v>
      </c>
      <c r="P138" s="25">
        <f>INDEX('Inputs (2)'!$D$15:$AL$15,MATCH(P$7,'Inputs (2)'!$D$2:$AL$2,0))</f>
        <v>21107</v>
      </c>
      <c r="Q138" s="25">
        <f>INDEX('Inputs (2)'!$D$15:$AL$15,MATCH(Q$7,'Inputs (2)'!$D$2:$AL$2,0))</f>
        <v>22185</v>
      </c>
      <c r="R138" s="3">
        <f>Q138</f>
        <v>22185</v>
      </c>
      <c r="S138" s="25">
        <f>INDEX('Inputs (2)'!$D$15:$AL$15,MATCH(S$7,'Inputs (2)'!$D$2:$AL$2,0))</f>
        <v>22402</v>
      </c>
      <c r="T138" s="25">
        <f>INDEX('Inputs (2)'!$D$15:$AL$15,MATCH(T$7,'Inputs (2)'!$D$2:$AL$2,0))</f>
        <v>23075</v>
      </c>
      <c r="U138" s="25">
        <f>INDEX('Inputs (2)'!$D$15:$AL$15,MATCH(U$7,'Inputs (2)'!$D$2:$AL$2,0))</f>
        <v>26077</v>
      </c>
      <c r="V138" s="25">
        <f>INDEX('Inputs (2)'!$D$15:$AL$15,MATCH(V$7,'Inputs (2)'!$D$2:$AL$2,0))</f>
        <v>29094</v>
      </c>
      <c r="W138" s="3">
        <f>V138</f>
        <v>29094</v>
      </c>
      <c r="X138" s="25">
        <f>INDEX('Inputs (2)'!$D$15:$AL$15,MATCH(X$7,'Inputs (2)'!$D$2:$AL$2,0))</f>
        <v>26863</v>
      </c>
      <c r="Y138" s="25">
        <f>INDEX('Inputs (2)'!$D$15:$AL$15,MATCH(Y$7,'Inputs (2)'!$D$2:$AL$2,0))</f>
        <v>30720</v>
      </c>
      <c r="Z138" s="25">
        <f>INDEX('Inputs (2)'!$D$15:$AL$15,MATCH(Z$7,'Inputs (2)'!$D$2:$AL$2,0))</f>
        <v>33648</v>
      </c>
      <c r="AA138" s="25">
        <f>INDEX('Inputs (2)'!$D$15:$AL$15,MATCH(AA$7,'Inputs (2)'!$D$2:$AL$2,0))</f>
        <v>36563</v>
      </c>
      <c r="AB138" s="3">
        <f>AA138</f>
        <v>36563</v>
      </c>
      <c r="AC138" s="25">
        <f>INDEX('Inputs (2)'!$D$15:$AL$15,MATCH(AC$7,'Inputs (2)'!$D$2:$AL$2,0))</f>
        <v>36996</v>
      </c>
      <c r="AD138" s="25">
        <f>INDEX('Inputs (2)'!$D$15:$AL$15,MATCH(AD$7,'Inputs (2)'!$D$2:$AL$2,0))</f>
        <v>36782</v>
      </c>
      <c r="AE138" s="25">
        <f>INDEX('Inputs (2)'!$D$15:$AL$15,MATCH(AE$7,'Inputs (2)'!$D$2:$AL$2,0))</f>
        <v>41647</v>
      </c>
      <c r="AF138" s="25">
        <f>INDEX('Inputs (2)'!$D$15:$AL$15,MATCH(AF$7,'Inputs (2)'!$D$2:$AL$2,0))</f>
        <v>44059</v>
      </c>
      <c r="AG138" s="3">
        <f>AF138</f>
        <v>44059</v>
      </c>
      <c r="AH138" s="3">
        <f>INDEX('Inputs (2)'!$D$15:$AL$15,MATCH(AH$7,'Inputs (2)'!$D$2:$AL$2,0))</f>
        <v>44743</v>
      </c>
      <c r="AI138" s="3">
        <f>INDEX('Inputs (2)'!$D$15:$AL$15,MATCH(AI$7,'Inputs (2)'!$D$2:$AL$2,0))</f>
        <v>43524</v>
      </c>
      <c r="AJ138" s="3">
        <f>AI138+AJ308</f>
        <v>45938</v>
      </c>
      <c r="AK138" s="3">
        <f>AJ138+AK308</f>
        <v>46950</v>
      </c>
      <c r="AL138" s="3">
        <f>AK138</f>
        <v>46950</v>
      </c>
      <c r="AM138" s="3" t="e">
        <f>AL138+AM308</f>
        <v>#DIV/0!</v>
      </c>
      <c r="AN138" s="3" t="e">
        <f>AM138+AN308</f>
        <v>#DIV/0!</v>
      </c>
      <c r="AO138" s="3" t="e">
        <f>AN138+AO308</f>
        <v>#DIV/0!</v>
      </c>
      <c r="AP138" s="3" t="e">
        <f>AO138+AP308</f>
        <v>#DIV/0!</v>
      </c>
      <c r="AQ138" s="3" t="e">
        <f>AP138</f>
        <v>#DIV/0!</v>
      </c>
      <c r="AR138" s="3" t="e">
        <f>AQ138+AR308</f>
        <v>#DIV/0!</v>
      </c>
      <c r="AS138" s="3" t="e">
        <f>AR138+AS308</f>
        <v>#DIV/0!</v>
      </c>
      <c r="AT138" s="3" t="e">
        <f>AS138+AT308</f>
        <v>#DIV/0!</v>
      </c>
      <c r="AU138" s="3" t="e">
        <f>AT138+AU308</f>
        <v>#DIV/0!</v>
      </c>
      <c r="AV138" s="3" t="e">
        <f>AU138</f>
        <v>#DIV/0!</v>
      </c>
      <c r="AW138" s="3" t="e">
        <f>AV138+AW308</f>
        <v>#DIV/0!</v>
      </c>
      <c r="AX138" s="3" t="e">
        <f>AW138+AX308</f>
        <v>#DIV/0!</v>
      </c>
      <c r="AY138" s="3" t="e">
        <f>AX138+AY308</f>
        <v>#DIV/0!</v>
      </c>
      <c r="AZ138" s="3" t="e">
        <f>AY138+AZ308</f>
        <v>#DIV/0!</v>
      </c>
      <c r="BA138" s="3" t="e">
        <f>AZ138</f>
        <v>#DIV/0!</v>
      </c>
      <c r="BB138" s="3" t="e">
        <f>BA138+BB308</f>
        <v>#DIV/0!</v>
      </c>
      <c r="BC138" s="3" t="e">
        <f>BB138+BC308</f>
        <v>#DIV/0!</v>
      </c>
      <c r="BD138" s="3" t="e">
        <f>BC138+BD308</f>
        <v>#DIV/0!</v>
      </c>
      <c r="BE138" s="3" t="e">
        <f>BD138+BE308</f>
        <v>#DIV/0!</v>
      </c>
      <c r="BF138" s="3" t="e">
        <f>BE138</f>
        <v>#DIV/0!</v>
      </c>
      <c r="BG138" s="3" t="e">
        <f>BF138+BG308</f>
        <v>#DIV/0!</v>
      </c>
      <c r="BH138" s="3" t="e">
        <f>BG138+BH308</f>
        <v>#DIV/0!</v>
      </c>
      <c r="BI138" s="3" t="e">
        <f>BH138+BI308</f>
        <v>#DIV/0!</v>
      </c>
      <c r="BJ138" s="3" t="e">
        <f>BI138+BJ308</f>
        <v>#DIV/0!</v>
      </c>
      <c r="BK138" s="3" t="e">
        <f>BJ138</f>
        <v>#DIV/0!</v>
      </c>
      <c r="BL138" s="3" t="e">
        <f>BK138+BL308</f>
        <v>#DIV/0!</v>
      </c>
      <c r="BM138" s="3" t="e">
        <f>BL138+BM308</f>
        <v>#DIV/0!</v>
      </c>
      <c r="BN138" s="3" t="e">
        <f>BM138+BN308</f>
        <v>#DIV/0!</v>
      </c>
      <c r="BO138" s="3" t="e">
        <f>BN138+BO308</f>
        <v>#DIV/0!</v>
      </c>
      <c r="BP138" s="3" t="e">
        <f>BO138</f>
        <v>#DIV/0!</v>
      </c>
      <c r="BQ138" s="3" t="e">
        <f>BP138+BQ308</f>
        <v>#DIV/0!</v>
      </c>
      <c r="BR138" s="3" t="e">
        <f>BQ138+BR308</f>
        <v>#DIV/0!</v>
      </c>
      <c r="BS138" s="3" t="e">
        <f>BR138+BS308</f>
        <v>#DIV/0!</v>
      </c>
      <c r="BT138" s="3" t="e">
        <f>BS138+BT308</f>
        <v>#DIV/0!</v>
      </c>
      <c r="BU138" s="3" t="e">
        <f>BT138</f>
        <v>#DIV/0!</v>
      </c>
      <c r="BV138" s="3" t="e">
        <f>BU138+BV308</f>
        <v>#DIV/0!</v>
      </c>
      <c r="BW138" s="3" t="e">
        <f>BV138+BW308</f>
        <v>#DIV/0!</v>
      </c>
      <c r="BX138" s="3" t="e">
        <f>BW138+BX308</f>
        <v>#DIV/0!</v>
      </c>
      <c r="BY138" s="3" t="e">
        <f>BX138+BY308</f>
        <v>#DIV/0!</v>
      </c>
      <c r="BZ138" s="3" t="e">
        <f>BY138</f>
        <v>#DIV/0!</v>
      </c>
      <c r="CA138" s="3" t="e">
        <f>BZ138+CA308</f>
        <v>#DIV/0!</v>
      </c>
      <c r="CB138" s="3" t="e">
        <f>CA138+CB308</f>
        <v>#DIV/0!</v>
      </c>
      <c r="CC138" s="3" t="e">
        <f>CB138+CC308</f>
        <v>#DIV/0!</v>
      </c>
      <c r="CD138" s="3" t="e">
        <f>CC138+CD308</f>
        <v>#DIV/0!</v>
      </c>
      <c r="CE138" s="3" t="e">
        <f>CD138</f>
        <v>#DIV/0!</v>
      </c>
      <c r="CF138" s="3" t="e">
        <f>CE138+CF308</f>
        <v>#DIV/0!</v>
      </c>
      <c r="CG138" s="3" t="e">
        <f>CF138+CG308</f>
        <v>#DIV/0!</v>
      </c>
      <c r="CH138" s="3" t="e">
        <f>CG138+CH308</f>
        <v>#DIV/0!</v>
      </c>
      <c r="CI138" s="3" t="e">
        <f>CH138+CI308</f>
        <v>#DIV/0!</v>
      </c>
      <c r="CJ138" s="3" t="e">
        <f>CI138</f>
        <v>#DIV/0!</v>
      </c>
      <c r="CK138" s="3" t="e">
        <f>CJ138+CK308</f>
        <v>#DIV/0!</v>
      </c>
      <c r="CL138" s="3" t="e">
        <f>CK138+CL308</f>
        <v>#DIV/0!</v>
      </c>
      <c r="CM138" s="3" t="e">
        <f>CL138+CM308</f>
        <v>#DIV/0!</v>
      </c>
      <c r="CN138" s="3" t="e">
        <f>CM138+CN308</f>
        <v>#DIV/0!</v>
      </c>
      <c r="CO138" s="3" t="e">
        <f>CN138</f>
        <v>#DIV/0!</v>
      </c>
      <c r="CP138" s="3" t="e">
        <f>CO138+CP308</f>
        <v>#DIV/0!</v>
      </c>
      <c r="CQ138" s="3" t="e">
        <f>CP138+CQ308</f>
        <v>#DIV/0!</v>
      </c>
      <c r="CR138" s="3" t="e">
        <f>CQ138+CR308</f>
        <v>#DIV/0!</v>
      </c>
      <c r="CS138" s="3" t="e">
        <f>CR138+CS308</f>
        <v>#DIV/0!</v>
      </c>
      <c r="CT138" s="3" t="e">
        <f>CS138</f>
        <v>#DIV/0!</v>
      </c>
      <c r="CU138" s="3" t="e">
        <f>CT138+CU308</f>
        <v>#DIV/0!</v>
      </c>
      <c r="CV138" s="3" t="e">
        <f>CU138+CV308</f>
        <v>#DIV/0!</v>
      </c>
      <c r="CW138" s="3" t="e">
        <f>CV138+CW308</f>
        <v>#DIV/0!</v>
      </c>
      <c r="CX138" s="3" t="e">
        <f>CW138+CX308</f>
        <v>#DIV/0!</v>
      </c>
      <c r="CY138" s="3" t="e">
        <f>CX138</f>
        <v>#DIV/0!</v>
      </c>
    </row>
    <row r="139">
      <c r="C139" s="26" t="inlineStr">
        <is>
          <t>Accounts receivable</t>
        </is>
      </c>
      <c r="D139" s="25">
        <f>INDEX('Inputs (2)'!$D$16:$AL$16,MATCH(D$7,'Inputs (2)'!$D$2:$AL$2,0))</f>
        <v>1274</v>
      </c>
      <c r="E139" s="25">
        <f>INDEX('Inputs (2)'!$D$16:$AL$16,MATCH(E$7,'Inputs (2)'!$D$2:$AL$2,0))</f>
        <v>1485</v>
      </c>
      <c r="F139" s="25">
        <f>INDEX('Inputs (2)'!$D$16:$AL$16,MATCH(F$7,'Inputs (2)'!$D$2:$AL$2,0))</f>
        <v>1757</v>
      </c>
      <c r="G139" s="25">
        <f>INDEX('Inputs (2)'!$D$16:$AL$16,MATCH(G$7,'Inputs (2)'!$D$2:$AL$2,0))</f>
        <v>1886</v>
      </c>
      <c r="H139" s="3">
        <f>G139</f>
        <v>1886</v>
      </c>
      <c r="I139" s="25">
        <f>INDEX('Inputs (2)'!$D$16:$AL$16,MATCH(I$7,'Inputs (2)'!$D$2:$AL$2,0))</f>
        <v>1890</v>
      </c>
      <c r="J139" s="25">
        <f>INDEX('Inputs (2)'!$D$16:$AL$16,MATCH(J$7,'Inputs (2)'!$D$2:$AL$2,0))</f>
        <v>2129</v>
      </c>
      <c r="K139" s="25">
        <f>INDEX('Inputs (2)'!$D$16:$AL$16,MATCH(K$7,'Inputs (2)'!$D$2:$AL$2,0))</f>
        <v>1962</v>
      </c>
      <c r="L139" s="25">
        <f>INDEX('Inputs (2)'!$D$16:$AL$16,MATCH(L$7,'Inputs (2)'!$D$2:$AL$2,0))</f>
        <v>1913</v>
      </c>
      <c r="M139" s="3">
        <f>L139</f>
        <v>1913</v>
      </c>
      <c r="N139" s="25">
        <f>INDEX('Inputs (2)'!$D$16:$AL$16,MATCH(N$7,'Inputs (2)'!$D$2:$AL$2,0))</f>
        <v>2311</v>
      </c>
      <c r="O139" s="25">
        <f>INDEX('Inputs (2)'!$D$16:$AL$16,MATCH(O$7,'Inputs (2)'!$D$2:$AL$2,0))</f>
        <v>2081</v>
      </c>
      <c r="P139" s="25">
        <f>INDEX('Inputs (2)'!$D$16:$AL$16,MATCH(P$7,'Inputs (2)'!$D$2:$AL$2,0))</f>
        <v>2192</v>
      </c>
      <c r="Q139" s="25">
        <f>INDEX('Inputs (2)'!$D$16:$AL$16,MATCH(Q$7,'Inputs (2)'!$D$2:$AL$2,0))</f>
        <v>2952</v>
      </c>
      <c r="R139" s="3">
        <f>Q139</f>
        <v>2952</v>
      </c>
      <c r="S139" s="25">
        <f>INDEX('Inputs (2)'!$D$16:$AL$16,MATCH(S$7,'Inputs (2)'!$D$2:$AL$2,0))</f>
        <v>2993</v>
      </c>
      <c r="T139" s="25">
        <f>INDEX('Inputs (2)'!$D$16:$AL$16,MATCH(T$7,'Inputs (2)'!$D$2:$AL$2,0))</f>
        <v>3447</v>
      </c>
      <c r="U139" s="25">
        <f>INDEX('Inputs (2)'!$D$16:$AL$16,MATCH(U$7,'Inputs (2)'!$D$2:$AL$2,0))</f>
        <v>2520</v>
      </c>
      <c r="V139" s="25">
        <f>INDEX('Inputs (2)'!$D$16:$AL$16,MATCH(V$7,'Inputs (2)'!$D$2:$AL$2,0))</f>
        <v>3508</v>
      </c>
      <c r="W139" s="3">
        <f>V139</f>
        <v>3508</v>
      </c>
      <c r="X139" s="25">
        <f>INDEX('Inputs (2)'!$D$16:$AL$16,MATCH(X$7,'Inputs (2)'!$D$2:$AL$2,0))</f>
        <v>3887</v>
      </c>
      <c r="Y139" s="25">
        <f>INDEX('Inputs (2)'!$D$16:$AL$16,MATCH(Y$7,'Inputs (2)'!$D$2:$AL$2,0))</f>
        <v>3737</v>
      </c>
      <c r="Z139" s="25">
        <f>INDEX('Inputs (2)'!$D$16:$AL$16,MATCH(Z$7,'Inputs (2)'!$D$2:$AL$2,0))</f>
        <v>3313</v>
      </c>
      <c r="AA139" s="25">
        <f>INDEX('Inputs (2)'!$D$16:$AL$16,MATCH(AA$7,'Inputs (2)'!$D$2:$AL$2,0))</f>
        <v>4418</v>
      </c>
      <c r="AB139" s="3">
        <f>AA139</f>
        <v>4418</v>
      </c>
      <c r="AC139" s="25">
        <f>INDEX('Inputs (2)'!$D$16:$AL$16,MATCH(AC$7,'Inputs (2)'!$D$2:$AL$2,0))</f>
        <v>3782</v>
      </c>
      <c r="AD139" s="25">
        <f>INDEX('Inputs (2)'!$D$16:$AL$16,MATCH(AD$7,'Inputs (2)'!$D$2:$AL$2,0))</f>
        <v>3838</v>
      </c>
      <c r="AE139" s="25">
        <f>INDEX('Inputs (2)'!$D$16:$AL$16,MATCH(AE$7,'Inputs (2)'!$D$2:$AL$2,0))</f>
        <v>4703</v>
      </c>
      <c r="AF139" s="25">
        <f>INDEX('Inputs (2)'!$D$16:$AL$16,MATCH(AF$7,'Inputs (2)'!$D$2:$AL$2,0))</f>
        <v>4576</v>
      </c>
      <c r="AG139" s="3">
        <f>AF139</f>
        <v>4576</v>
      </c>
      <c r="AH139" s="3">
        <f>INDEX('Inputs (2)'!$D$16:$AL$16,MATCH(AH$7,'Inputs (2)'!$D$2:$AL$2,0))</f>
        <v>3959</v>
      </c>
      <c r="AI139" s="3">
        <f>INDEX('Inputs (2)'!$D$16:$AL$16,MATCH(AI$7,'Inputs (2)'!$D$2:$AL$2,0))</f>
        <v>4087</v>
      </c>
      <c r="AJ139" s="3">
        <f>(AJ140/(AJ$5-AI$5))*AJ$15</f>
        <v>0</v>
      </c>
      <c r="AK139" s="3">
        <f>(AK140/(AK$5-AJ$5))*AK$15</f>
        <v>0</v>
      </c>
      <c r="AL139" s="3">
        <f>AK139</f>
        <v>0</v>
      </c>
      <c r="AM139" s="3">
        <f>(AM140/(AM$5-AL$5))*AM$15</f>
        <v>0</v>
      </c>
      <c r="AN139" s="3">
        <f>(AN140/(AN$5-AM$5))*AN$15</f>
        <v>0</v>
      </c>
      <c r="AO139" s="3">
        <f>(AO140/(AO$5-AN$5))*AO$15</f>
        <v>0</v>
      </c>
      <c r="AP139" s="3">
        <f>(AP140/(AP$5-AO$5))*AP$15</f>
        <v>0</v>
      </c>
      <c r="AQ139" s="3">
        <f>AP139</f>
        <v>0</v>
      </c>
      <c r="AR139" s="3">
        <f>(AR140/(AR$5-AQ$5))*AR$15</f>
        <v>0</v>
      </c>
      <c r="AS139" s="3">
        <f>(AS140/(AS$5-AR$5))*AS$15</f>
        <v>0</v>
      </c>
      <c r="AT139" s="3">
        <f>(AT140/(AT$5-AS$5))*AT$15</f>
        <v>0</v>
      </c>
      <c r="AU139" s="3">
        <f>(AU140/(AU$5-AT$5))*AU$15</f>
        <v>0</v>
      </c>
      <c r="AV139" s="3">
        <f>AU139</f>
        <v>0</v>
      </c>
      <c r="AW139" s="3">
        <f>(AW140/(AW$5-AV$5))*AW$15</f>
        <v>0</v>
      </c>
      <c r="AX139" s="3">
        <f>(AX140/(AX$5-AW$5))*AX$15</f>
        <v>0</v>
      </c>
      <c r="AY139" s="3">
        <f>(AY140/(AY$5-AX$5))*AY$15</f>
        <v>0</v>
      </c>
      <c r="AZ139" s="3">
        <f>(AZ140/(AZ$5-AY$5))*AZ$15</f>
        <v>0</v>
      </c>
      <c r="BA139" s="3">
        <f>AZ139</f>
        <v>0</v>
      </c>
      <c r="BB139" s="3">
        <f>(BB140/(BB$5-BA$5))*BB$15</f>
        <v>0</v>
      </c>
      <c r="BC139" s="3">
        <f>(BC140/(BC$5-BB$5))*BC$15</f>
        <v>0</v>
      </c>
      <c r="BD139" s="3">
        <f>(BD140/(BD$5-BC$5))*BD$15</f>
        <v>0</v>
      </c>
      <c r="BE139" s="3">
        <f>(BE140/(BE$5-BD$5))*BE$15</f>
        <v>0</v>
      </c>
      <c r="BF139" s="3">
        <f>BE139</f>
        <v>0</v>
      </c>
      <c r="BG139" s="3">
        <f>(BG140/(BG$5-BF$5))*BG$15</f>
        <v>0</v>
      </c>
      <c r="BH139" s="3">
        <f>(BH140/(BH$5-BG$5))*BH$15</f>
        <v>0</v>
      </c>
      <c r="BI139" s="3">
        <f>(BI140/(BI$5-BH$5))*BI$15</f>
        <v>0</v>
      </c>
      <c r="BJ139" s="3">
        <f>(BJ140/(BJ$5-BI$5))*BJ$15</f>
        <v>0</v>
      </c>
      <c r="BK139" s="3">
        <f>BJ139</f>
        <v>0</v>
      </c>
      <c r="BL139" s="3">
        <f>(BL140/(BL$5-BK$5))*BL$15</f>
        <v>0</v>
      </c>
      <c r="BM139" s="3">
        <f>(BM140/(BM$5-BL$5))*BM$15</f>
        <v>0</v>
      </c>
      <c r="BN139" s="3">
        <f>(BN140/(BN$5-BM$5))*BN$15</f>
        <v>0</v>
      </c>
      <c r="BO139" s="3">
        <f>(BO140/(BO$5-BN$5))*BO$15</f>
        <v>0</v>
      </c>
      <c r="BP139" s="3">
        <f>BO139</f>
        <v>0</v>
      </c>
      <c r="BQ139" s="3">
        <f>(BQ140/(BQ$5-BP$5))*BQ$15</f>
        <v>0</v>
      </c>
      <c r="BR139" s="3">
        <f>(BR140/(BR$5-BQ$5))*BR$15</f>
        <v>0</v>
      </c>
      <c r="BS139" s="3">
        <f>(BS140/(BS$5-BR$5))*BS$15</f>
        <v>0</v>
      </c>
      <c r="BT139" s="3">
        <f>(BT140/(BT$5-BS$5))*BT$15</f>
        <v>0</v>
      </c>
      <c r="BU139" s="3">
        <f>BT139</f>
        <v>0</v>
      </c>
      <c r="BV139" s="3">
        <f>(BV140/(BV$5-BU$5))*BV$15</f>
        <v>0</v>
      </c>
      <c r="BW139" s="3">
        <f>(BW140/(BW$5-BV$5))*BW$15</f>
        <v>0</v>
      </c>
      <c r="BX139" s="3">
        <f>(BX140/(BX$5-BW$5))*BX$15</f>
        <v>0</v>
      </c>
      <c r="BY139" s="3">
        <f>(BY140/(BY$5-BX$5))*BY$15</f>
        <v>0</v>
      </c>
      <c r="BZ139" s="3">
        <f>BY139</f>
        <v>0</v>
      </c>
      <c r="CA139" s="3">
        <f>(CA140/(CA$5-BZ$5))*CA$15</f>
        <v>0</v>
      </c>
      <c r="CB139" s="3">
        <f>(CB140/(CB$5-CA$5))*CB$15</f>
        <v>0</v>
      </c>
      <c r="CC139" s="3">
        <f>(CC140/(CC$5-CB$5))*CC$15</f>
        <v>0</v>
      </c>
      <c r="CD139" s="3">
        <f>(CD140/(CD$5-CC$5))*CD$15</f>
        <v>0</v>
      </c>
      <c r="CE139" s="3">
        <f>CD139</f>
        <v>0</v>
      </c>
      <c r="CF139" s="3">
        <f>(CF140/(CF$5-CE$5))*CF$15</f>
        <v>0</v>
      </c>
      <c r="CG139" s="3">
        <f>(CG140/(CG$5-CF$5))*CG$15</f>
        <v>0</v>
      </c>
      <c r="CH139" s="3">
        <f>(CH140/(CH$5-CG$5))*CH$15</f>
        <v>0</v>
      </c>
      <c r="CI139" s="3">
        <f>(CI140/(CI$5-CH$5))*CI$15</f>
        <v>0</v>
      </c>
      <c r="CJ139" s="3">
        <f>CI139</f>
        <v>0</v>
      </c>
      <c r="CK139" s="3">
        <f>(CK140/(CK$5-CJ$5))*CK$15</f>
        <v>0</v>
      </c>
      <c r="CL139" s="3">
        <f>(CL140/(CL$5-CK$5))*CL$15</f>
        <v>0</v>
      </c>
      <c r="CM139" s="3">
        <f>(CM140/(CM$5-CL$5))*CM$15</f>
        <v>0</v>
      </c>
      <c r="CN139" s="3">
        <f>(CN140/(CN$5-CM$5))*CN$15</f>
        <v>0</v>
      </c>
      <c r="CO139" s="3">
        <f>CN139</f>
        <v>0</v>
      </c>
      <c r="CP139" s="3">
        <f>(CP140/(CP$5-CO$5))*CP$15</f>
        <v>0</v>
      </c>
      <c r="CQ139" s="3">
        <f>(CQ140/(CQ$5-CP$5))*CQ$15</f>
        <v>0</v>
      </c>
      <c r="CR139" s="3">
        <f>(CR140/(CR$5-CQ$5))*CR$15</f>
        <v>0</v>
      </c>
      <c r="CS139" s="3">
        <f>(CS140/(CS$5-CR$5))*CS$15</f>
        <v>0</v>
      </c>
      <c r="CT139" s="3">
        <f>CS139</f>
        <v>0</v>
      </c>
      <c r="CU139" s="3">
        <f>(CU140/(CU$5-CT$5))*CU$15</f>
        <v>0</v>
      </c>
      <c r="CV139" s="3">
        <f>(CV140/(CV$5-CU$5))*CV$15</f>
        <v>0</v>
      </c>
      <c r="CW139" s="3">
        <f>(CW140/(CW$5-CV$5))*CW$15</f>
        <v>0</v>
      </c>
      <c r="CX139" s="3">
        <f>(CX140/(CX$5-CW$5))*CX$15</f>
        <v>0</v>
      </c>
      <c r="CY139" s="3">
        <f>CX139</f>
        <v>0</v>
      </c>
    </row>
    <row r="140" hidden="1" outlineLevel="1">
      <c r="C140" s="34" t="inlineStr">
        <is>
          <t>DSO</t>
        </is>
      </c>
      <c r="D140" s="3" t="n"/>
      <c r="E140" s="3">
        <f>(E139/E$15)*(E$5-D$5)</f>
        <v>22.3881709741551</v>
      </c>
      <c r="F140" s="3">
        <f>(F139/F$15)*(F$5-E$5)</f>
        <v>18.4293695131684</v>
      </c>
      <c r="G140" s="3">
        <f>(G139/G$15)*(G$5-F$5)</f>
        <v>16.1496649292628</v>
      </c>
      <c r="H140" s="3" t="n"/>
      <c r="I140" s="3">
        <f>(I139/I$15)*(I$5-H$5)</f>
        <v>16.3730869188565</v>
      </c>
      <c r="J140" s="3">
        <f>(J139/J$15)*(J$5-I$5)</f>
        <v>16.2016223448737</v>
      </c>
      <c r="K140" s="3">
        <f>(K139/K$15)*(K$5-J$5)</f>
        <v>13.120883913644</v>
      </c>
      <c r="L140" s="3">
        <f>(L139/L$15)*(L$5-K$5)</f>
        <v>9.93261470737626</v>
      </c>
      <c r="M140" s="3" t="n"/>
      <c r="N140" s="3">
        <f>(N139/N$15)*(N$5-M$5)</f>
        <v>11.0892514395393</v>
      </c>
      <c r="O140" s="3">
        <f>(O139/O$15)*(O$5-N$5)</f>
        <v>11.1828865005315</v>
      </c>
      <c r="P140" s="3">
        <f>(P139/P$15)*(P$5-O$5)</f>
        <v>9.39983219912371</v>
      </c>
      <c r="Q140" s="3">
        <f>(Q139/Q$15)*(Q$5-P$5)</f>
        <v>11.1680236861584</v>
      </c>
      <c r="R140" s="3" t="n"/>
      <c r="S140" s="3">
        <f>(S139/S$15)*(S$5-R$5)</f>
        <v>11.5465729349736</v>
      </c>
      <c r="T140" s="3">
        <f>(T139/T$15)*(T$5-S$5)</f>
        <v>12.5838247683235</v>
      </c>
      <c r="U140" s="3">
        <f>(U139/U$15)*(U$5-T$5)</f>
        <v>9.92890792291221</v>
      </c>
      <c r="V140" s="3">
        <f>(V139/V$15)*(V$5-U$5)</f>
        <v>12.8237771685143</v>
      </c>
      <c r="W140" s="3" t="n"/>
      <c r="X140" s="3">
        <f>(X139/X$15)*(X$5-W$5)</f>
        <v>16.6056523167926</v>
      </c>
      <c r="Y140" s="3">
        <f>(Y139/Y$15)*(Y$5-X$5)</f>
        <v>13.3359607843137</v>
      </c>
      <c r="Z140" s="3">
        <f>(Z139/Z$15)*(Z$5-Y$5)</f>
        <v>12.1037248828528</v>
      </c>
      <c r="AA140" s="3">
        <f>(AA139/AA$15)*(AA$5-Z$5)</f>
        <v>15.8111020344653</v>
      </c>
      <c r="AB140" s="3" t="n"/>
      <c r="AC140" s="3">
        <f>(AC139/AC$15)*(AC$5-AB$5)</f>
        <v>17.6043444530644</v>
      </c>
      <c r="AD140" s="3">
        <f>(AD139/AD$15)*(AD$5-AC$5)</f>
        <v>15.5253378378378</v>
      </c>
      <c r="AE140" s="3">
        <f>(AE139/AE$15)*(AE$5-AD$5)</f>
        <v>15.4004627157857</v>
      </c>
      <c r="AF140" s="6">
        <f>(AF139/AF$15)*(AF$5-AE$5)</f>
        <v>16.906630255813</v>
      </c>
      <c r="AG140" s="3" t="n"/>
      <c r="AH140" s="6">
        <f>(AH139/AH$15)*(AH$5-AG$5)</f>
        <v>15.9159333541788</v>
      </c>
      <c r="AI140" s="6">
        <f>(AI139/AI$15)*(AI$5-AH$5)</f>
        <v>13.1717311233886</v>
      </c>
      <c r="AJ140" s="6" t="n"/>
      <c r="AK140" s="6" t="n"/>
      <c r="AL140" s="3" t="n"/>
      <c r="AM140" s="6" t="n"/>
      <c r="AN140" s="6" t="n"/>
      <c r="AO140" s="6" t="n"/>
      <c r="AP140" s="6" t="n"/>
      <c r="AQ140" s="3" t="n"/>
      <c r="AR140" s="6" t="n"/>
      <c r="AS140" s="6" t="n"/>
      <c r="AT140" s="6" t="n"/>
      <c r="AU140" s="6" t="n"/>
      <c r="AV140" s="3" t="n"/>
      <c r="AW140" s="6" t="n"/>
      <c r="AX140" s="6" t="n"/>
      <c r="AY140" s="6" t="n"/>
      <c r="AZ140" s="6" t="n"/>
      <c r="BA140" s="3" t="n"/>
      <c r="BB140" s="6" t="n"/>
      <c r="BC140" s="6" t="n"/>
      <c r="BD140" s="6" t="n"/>
      <c r="BE140" s="6" t="n"/>
      <c r="BF140" s="3" t="n"/>
      <c r="BG140" s="6" t="n"/>
      <c r="BH140" s="6" t="n"/>
      <c r="BI140" s="6" t="n"/>
      <c r="BJ140" s="6" t="n"/>
      <c r="BK140" s="3" t="n"/>
      <c r="BL140" s="6" t="n"/>
      <c r="BM140" s="6" t="n"/>
      <c r="BN140" s="6" t="n"/>
      <c r="BO140" s="6" t="n"/>
      <c r="BP140" s="3" t="n"/>
      <c r="BQ140" s="6" t="n"/>
      <c r="BR140" s="6" t="n"/>
      <c r="BS140" s="6" t="n"/>
      <c r="BT140" s="6" t="n"/>
      <c r="BU140" s="3" t="n"/>
      <c r="BV140" s="6" t="n"/>
      <c r="BW140" s="6" t="n"/>
      <c r="BX140" s="6" t="n"/>
      <c r="BY140" s="6" t="n"/>
      <c r="BZ140" s="3" t="n"/>
      <c r="CA140" s="6" t="n"/>
      <c r="CB140" s="6" t="n"/>
      <c r="CC140" s="6" t="n"/>
      <c r="CD140" s="6" t="n"/>
      <c r="CE140" s="3" t="n"/>
      <c r="CF140" s="6" t="n"/>
      <c r="CG140" s="6" t="n"/>
      <c r="CH140" s="6" t="n"/>
      <c r="CI140" s="6" t="n"/>
      <c r="CJ140" s="3" t="n"/>
      <c r="CK140" s="6" t="n"/>
      <c r="CL140" s="6" t="n"/>
      <c r="CM140" s="6" t="n"/>
      <c r="CN140" s="6" t="n"/>
      <c r="CO140" s="3" t="n"/>
      <c r="CP140" s="6" t="n"/>
      <c r="CQ140" s="6" t="n"/>
      <c r="CR140" s="6" t="n"/>
      <c r="CS140" s="6" t="n"/>
      <c r="CT140" s="3" t="n"/>
      <c r="CU140" s="6" t="n"/>
      <c r="CV140" s="6" t="n"/>
      <c r="CW140" s="6" t="n"/>
      <c r="CX140" s="6" t="n"/>
      <c r="CY140" s="3" t="n"/>
    </row>
    <row r="141" hidden="1" outlineLevel="1">
      <c r="C141" s="34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n"/>
      <c r="AK141" s="3" t="n"/>
      <c r="AL141" s="3" t="n"/>
      <c r="AM141" s="3" t="n"/>
      <c r="AN141" s="3" t="n"/>
      <c r="AO141" s="3" t="n"/>
      <c r="AP141" s="3" t="n"/>
      <c r="AQ141" s="3" t="n"/>
      <c r="AR141" s="3" t="n"/>
      <c r="AS141" s="3" t="n"/>
      <c r="AT141" s="3" t="n"/>
      <c r="AU141" s="3" t="n"/>
      <c r="AV141" s="3" t="n"/>
      <c r="AW141" s="3" t="n"/>
      <c r="AX141" s="3" t="n"/>
      <c r="AY141" s="3" t="n"/>
      <c r="AZ141" s="3" t="n"/>
      <c r="BA141" s="3" t="n"/>
      <c r="BB141" s="3" t="n"/>
      <c r="BC141" s="3" t="n"/>
      <c r="BD141" s="3" t="n"/>
      <c r="BE141" s="3" t="n"/>
      <c r="BF141" s="3" t="n"/>
      <c r="BG141" s="3" t="n"/>
      <c r="BH141" s="3" t="n"/>
      <c r="BI141" s="3" t="n"/>
      <c r="BJ141" s="3" t="n"/>
      <c r="BK141" s="3" t="n"/>
      <c r="BL141" s="3" t="n"/>
      <c r="BM141" s="3" t="n"/>
      <c r="BN141" s="3" t="n"/>
      <c r="BO141" s="3" t="n"/>
      <c r="BP141" s="3" t="n"/>
      <c r="BQ141" s="3" t="n"/>
      <c r="BR141" s="3" t="n"/>
      <c r="BS141" s="3" t="n"/>
      <c r="BT141" s="3" t="n"/>
      <c r="BU141" s="3" t="n"/>
      <c r="BV141" s="3" t="n"/>
      <c r="BW141" s="3" t="n"/>
      <c r="BX141" s="3" t="n"/>
      <c r="BY141" s="3" t="n"/>
      <c r="BZ141" s="3" t="n"/>
      <c r="CA141" s="3" t="n"/>
      <c r="CB141" s="3" t="n"/>
      <c r="CC141" s="3" t="n"/>
      <c r="CD141" s="3" t="n"/>
      <c r="CE141" s="3" t="n"/>
      <c r="CF141" s="3" t="n"/>
      <c r="CG141" s="3" t="n"/>
      <c r="CH141" s="3" t="n"/>
      <c r="CI141" s="3" t="n"/>
      <c r="CJ141" s="3" t="n"/>
      <c r="CK141" s="3" t="n"/>
      <c r="CL141" s="3" t="n"/>
      <c r="CM141" s="3" t="n"/>
      <c r="CN141" s="3" t="n"/>
      <c r="CO141" s="3" t="n"/>
      <c r="CP141" s="3" t="n"/>
      <c r="CQ141" s="3" t="n"/>
      <c r="CR141" s="3" t="n"/>
      <c r="CS141" s="3" t="n"/>
      <c r="CT141" s="3" t="n"/>
      <c r="CU141" s="3" t="n"/>
      <c r="CV141" s="3" t="n"/>
      <c r="CW141" s="3" t="n"/>
      <c r="CX141" s="3" t="n"/>
      <c r="CY141" s="3" t="n"/>
    </row>
    <row r="142" hidden="1" outlineLevel="1">
      <c r="C142" s="34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  <c r="AD142" s="3" t="n"/>
      <c r="AE142" s="3" t="n"/>
      <c r="AF142" s="3" t="n"/>
      <c r="AG142" s="3" t="n"/>
      <c r="AH142" s="3" t="n"/>
      <c r="AI142" s="3" t="n"/>
      <c r="AJ142" s="3" t="n"/>
      <c r="AK142" s="3" t="n"/>
      <c r="AL142" s="3" t="n"/>
      <c r="AM142" s="3" t="n"/>
      <c r="AN142" s="3" t="n"/>
      <c r="AO142" s="3" t="n"/>
      <c r="AP142" s="3" t="n"/>
      <c r="AQ142" s="3" t="n"/>
      <c r="AR142" s="3" t="n"/>
      <c r="AS142" s="3" t="n"/>
      <c r="AT142" s="3" t="n"/>
      <c r="AU142" s="3" t="n"/>
      <c r="AV142" s="3" t="n"/>
      <c r="AW142" s="3" t="n"/>
      <c r="AX142" s="3" t="n"/>
      <c r="AY142" s="3" t="n"/>
      <c r="AZ142" s="3" t="n"/>
      <c r="BA142" s="3" t="n"/>
      <c r="BB142" s="3" t="n"/>
      <c r="BC142" s="3" t="n"/>
      <c r="BD142" s="3" t="n"/>
      <c r="BE142" s="3" t="n"/>
      <c r="BF142" s="3" t="n"/>
      <c r="BG142" s="3" t="n"/>
      <c r="BH142" s="3" t="n"/>
      <c r="BI142" s="3" t="n"/>
      <c r="BJ142" s="3" t="n"/>
      <c r="BK142" s="3" t="n"/>
      <c r="BL142" s="3" t="n"/>
      <c r="BM142" s="3" t="n"/>
      <c r="BN142" s="3" t="n"/>
      <c r="BO142" s="3" t="n"/>
      <c r="BP142" s="3" t="n"/>
      <c r="BQ142" s="3" t="n"/>
      <c r="BR142" s="3" t="n"/>
      <c r="BS142" s="3" t="n"/>
      <c r="BT142" s="3" t="n"/>
      <c r="BU142" s="3" t="n"/>
      <c r="BV142" s="3" t="n"/>
      <c r="BW142" s="3" t="n"/>
      <c r="BX142" s="3" t="n"/>
      <c r="BY142" s="3" t="n"/>
      <c r="BZ142" s="3" t="n"/>
      <c r="CA142" s="3" t="n"/>
      <c r="CB142" s="3" t="n"/>
      <c r="CC142" s="3" t="n"/>
      <c r="CD142" s="3" t="n"/>
      <c r="CE142" s="3" t="n"/>
      <c r="CF142" s="3" t="n"/>
      <c r="CG142" s="3" t="n"/>
      <c r="CH142" s="3" t="n"/>
      <c r="CI142" s="3" t="n"/>
      <c r="CJ142" s="3" t="n"/>
      <c r="CK142" s="3" t="n"/>
      <c r="CL142" s="3" t="n"/>
      <c r="CM142" s="3" t="n"/>
      <c r="CN142" s="3" t="n"/>
      <c r="CO142" s="3" t="n"/>
      <c r="CP142" s="3" t="n"/>
      <c r="CQ142" s="3" t="n"/>
      <c r="CR142" s="3" t="n"/>
      <c r="CS142" s="3" t="n"/>
      <c r="CT142" s="3" t="n"/>
      <c r="CU142" s="3" t="n"/>
      <c r="CV142" s="3" t="n"/>
      <c r="CW142" s="3" t="n"/>
      <c r="CX142" s="3" t="n"/>
      <c r="CY142" s="3" t="n"/>
    </row>
    <row r="143" collapsed="1">
      <c r="C143" s="26" t="inlineStr">
        <is>
          <t>Inventories</t>
        </is>
      </c>
      <c r="D143" s="25">
        <f>INDEX('Inputs (2)'!$D$17:$AL$17,MATCH(D$7,'Inputs (2)'!$D$2:$AL$2,0))</f>
        <v>4494</v>
      </c>
      <c r="E143" s="25">
        <f>INDEX('Inputs (2)'!$D$17:$AL$17,MATCH(E$7,'Inputs (2)'!$D$2:$AL$2,0))</f>
        <v>4018</v>
      </c>
      <c r="F143" s="25">
        <f>INDEX('Inputs (2)'!$D$17:$AL$17,MATCH(F$7,'Inputs (2)'!$D$2:$AL$2,0))</f>
        <v>4218</v>
      </c>
      <c r="G143" s="25">
        <f>INDEX('Inputs (2)'!$D$17:$AL$17,MATCH(G$7,'Inputs (2)'!$D$2:$AL$2,0))</f>
        <v>4101</v>
      </c>
      <c r="H143" s="3">
        <f>G143</f>
        <v>4101</v>
      </c>
      <c r="I143" s="25">
        <f>INDEX('Inputs (2)'!$D$17:$AL$17,MATCH(I$7,'Inputs (2)'!$D$2:$AL$2,0))</f>
        <v>4132</v>
      </c>
      <c r="J143" s="25">
        <f>INDEX('Inputs (2)'!$D$17:$AL$17,MATCH(J$7,'Inputs (2)'!$D$2:$AL$2,0))</f>
        <v>4733</v>
      </c>
      <c r="K143" s="25">
        <f>INDEX('Inputs (2)'!$D$17:$AL$17,MATCH(K$7,'Inputs (2)'!$D$2:$AL$2,0))</f>
        <v>5199</v>
      </c>
      <c r="L143" s="25">
        <f>INDEX('Inputs (2)'!$D$17:$AL$17,MATCH(L$7,'Inputs (2)'!$D$2:$AL$2,0))</f>
        <v>5757</v>
      </c>
      <c r="M143" s="3">
        <f>L143</f>
        <v>5757</v>
      </c>
      <c r="N143" s="25">
        <f>INDEX('Inputs (2)'!$D$17:$AL$17,MATCH(N$7,'Inputs (2)'!$D$2:$AL$2,0))</f>
        <v>6691</v>
      </c>
      <c r="O143" s="25">
        <f>INDEX('Inputs (2)'!$D$17:$AL$17,MATCH(O$7,'Inputs (2)'!$D$2:$AL$2,0))</f>
        <v>8108</v>
      </c>
      <c r="P143" s="25">
        <f>INDEX('Inputs (2)'!$D$17:$AL$17,MATCH(P$7,'Inputs (2)'!$D$2:$AL$2,0))</f>
        <v>10327</v>
      </c>
      <c r="Q143" s="25">
        <f>INDEX('Inputs (2)'!$D$17:$AL$17,MATCH(Q$7,'Inputs (2)'!$D$2:$AL$2,0))</f>
        <v>12839</v>
      </c>
      <c r="R143" s="3">
        <f>Q143</f>
        <v>12839</v>
      </c>
      <c r="S143" s="25">
        <f>INDEX('Inputs (2)'!$D$17:$AL$17,MATCH(S$7,'Inputs (2)'!$D$2:$AL$2,0))</f>
        <v>14375</v>
      </c>
      <c r="T143" s="25">
        <f>INDEX('Inputs (2)'!$D$17:$AL$17,MATCH(T$7,'Inputs (2)'!$D$2:$AL$2,0))</f>
        <v>14356</v>
      </c>
      <c r="U143" s="25">
        <f>INDEX('Inputs (2)'!$D$17:$AL$17,MATCH(U$7,'Inputs (2)'!$D$2:$AL$2,0))</f>
        <v>13721</v>
      </c>
      <c r="V143" s="25">
        <f>INDEX('Inputs (2)'!$D$17:$AL$17,MATCH(V$7,'Inputs (2)'!$D$2:$AL$2,0))</f>
        <v>13626</v>
      </c>
      <c r="W143" s="3">
        <f>V143</f>
        <v>13626</v>
      </c>
      <c r="X143" s="25">
        <f>INDEX('Inputs (2)'!$D$17:$AL$17,MATCH(X$7,'Inputs (2)'!$D$2:$AL$2,0))</f>
        <v>16033</v>
      </c>
      <c r="Y143" s="25">
        <f>INDEX('Inputs (2)'!$D$17:$AL$17,MATCH(Y$7,'Inputs (2)'!$D$2:$AL$2,0))</f>
        <v>14195</v>
      </c>
      <c r="Z143" s="25">
        <f>INDEX('Inputs (2)'!$D$17:$AL$17,MATCH(Z$7,'Inputs (2)'!$D$2:$AL$2,0))</f>
        <v>14530</v>
      </c>
      <c r="AA143" s="25">
        <f>INDEX('Inputs (2)'!$D$17:$AL$17,MATCH(AA$7,'Inputs (2)'!$D$2:$AL$2,0))</f>
        <v>12017</v>
      </c>
      <c r="AB143" s="3">
        <f>AA143</f>
        <v>12017</v>
      </c>
      <c r="AC143" s="25">
        <f>INDEX('Inputs (2)'!$D$17:$AL$17,MATCH(AC$7,'Inputs (2)'!$D$2:$AL$2,0))</f>
        <v>13706</v>
      </c>
      <c r="AD143" s="25">
        <f>INDEX('Inputs (2)'!$D$17:$AL$17,MATCH(AD$7,'Inputs (2)'!$D$2:$AL$2,0))</f>
        <v>14570</v>
      </c>
      <c r="AE143" s="25">
        <f>INDEX('Inputs (2)'!$D$17:$AL$17,MATCH(AE$7,'Inputs (2)'!$D$2:$AL$2,0))</f>
        <v>12276</v>
      </c>
      <c r="AF143" s="25">
        <f>INDEX('Inputs (2)'!$D$17:$AL$17,MATCH(AF$7,'Inputs (2)'!$D$2:$AL$2,0))</f>
        <v>12392</v>
      </c>
      <c r="AG143" s="3">
        <f>AF143</f>
        <v>12392</v>
      </c>
      <c r="AH143" s="3">
        <f>INDEX('Inputs (2)'!$D$17:$AL$17,MATCH(AH$7,'Inputs (2)'!$D$2:$AL$2,0))</f>
        <v>14434</v>
      </c>
      <c r="AI143" s="3">
        <f>INDEX('Inputs (2)'!$D$17:$AL$17,MATCH(AI$7,'Inputs (2)'!$D$2:$AL$2,0))</f>
        <v>13752</v>
      </c>
      <c r="AJ143" s="3">
        <f>(AJ144/(AJ$5-AI$5))*-AJ$48</f>
        <v>0</v>
      </c>
      <c r="AK143" s="3">
        <f>(AK144/(AK$5-AJ$5))*-AK$48</f>
        <v>0</v>
      </c>
      <c r="AL143" s="3">
        <f>AK143</f>
        <v>0</v>
      </c>
      <c r="AM143" s="3">
        <f>(AM144/(AM$5-AL$5))*-AM$48</f>
        <v>0</v>
      </c>
      <c r="AN143" s="3">
        <f>(AN144/(AN$5-AM$5))*-AN$48</f>
        <v>0</v>
      </c>
      <c r="AO143" s="3">
        <f>(AO144/(AO$5-AN$5))*-AO$48</f>
        <v>0</v>
      </c>
      <c r="AP143" s="3">
        <f>(AP144/(AP$5-AO$5))*-AP$48</f>
        <v>0</v>
      </c>
      <c r="AQ143" s="3">
        <f>AP143</f>
        <v>0</v>
      </c>
      <c r="AR143" s="3">
        <f>(AR144/(AR$5-AQ$5))*-AR$48</f>
        <v>0</v>
      </c>
      <c r="AS143" s="3">
        <f>(AS144/(AS$5-AR$5))*-AS$48</f>
        <v>0</v>
      </c>
      <c r="AT143" s="3">
        <f>(AT144/(AT$5-AS$5))*-AT$48</f>
        <v>0</v>
      </c>
      <c r="AU143" s="3">
        <f>(AU144/(AU$5-AT$5))*-AU$48</f>
        <v>0</v>
      </c>
      <c r="AV143" s="3">
        <f>AU143</f>
        <v>0</v>
      </c>
      <c r="AW143" s="3">
        <f>(AW144/(AW$5-AV$5))*-AW$48</f>
        <v>0</v>
      </c>
      <c r="AX143" s="3">
        <f>(AX144/(AX$5-AW$5))*-AX$48</f>
        <v>0</v>
      </c>
      <c r="AY143" s="3">
        <f>(AY144/(AY$5-AX$5))*-AY$48</f>
        <v>0</v>
      </c>
      <c r="AZ143" s="3">
        <f>(AZ144/(AZ$5-AY$5))*-AZ$48</f>
        <v>0</v>
      </c>
      <c r="BA143" s="3">
        <f>AZ143</f>
        <v>0</v>
      </c>
      <c r="BB143" s="3">
        <f>(BB144/(BB$5-BA$5))*-BB$48</f>
        <v>0</v>
      </c>
      <c r="BC143" s="3">
        <f>(BC144/(BC$5-BB$5))*-BC$48</f>
        <v>0</v>
      </c>
      <c r="BD143" s="3">
        <f>(BD144/(BD$5-BC$5))*-BD$48</f>
        <v>0</v>
      </c>
      <c r="BE143" s="3">
        <f>(BE144/(BE$5-BD$5))*-BE$48</f>
        <v>0</v>
      </c>
      <c r="BF143" s="3">
        <f>BE143</f>
        <v>0</v>
      </c>
      <c r="BG143" s="3">
        <f>(BG144/(BG$5-BF$5))*-BG$48</f>
        <v>0</v>
      </c>
      <c r="BH143" s="3">
        <f>(BH144/(BH$5-BG$5))*-BH$48</f>
        <v>0</v>
      </c>
      <c r="BI143" s="3">
        <f>(BI144/(BI$5-BH$5))*-BI$48</f>
        <v>0</v>
      </c>
      <c r="BJ143" s="3">
        <f>(BJ144/(BJ$5-BI$5))*-BJ$48</f>
        <v>0</v>
      </c>
      <c r="BK143" s="3">
        <f>BJ143</f>
        <v>0</v>
      </c>
      <c r="BL143" s="3">
        <f>(BL144/(BL$5-BK$5))*-BL$48</f>
        <v>0</v>
      </c>
      <c r="BM143" s="3">
        <f>(BM144/(BM$5-BL$5))*-BM$48</f>
        <v>0</v>
      </c>
      <c r="BN143" s="3">
        <f>(BN144/(BN$5-BM$5))*-BN$48</f>
        <v>0</v>
      </c>
      <c r="BO143" s="3">
        <f>(BO144/(BO$5-BN$5))*-BO$48</f>
        <v>0</v>
      </c>
      <c r="BP143" s="3">
        <f>BO143</f>
        <v>0</v>
      </c>
      <c r="BQ143" s="3">
        <f>(BQ144/(BQ$5-BP$5))*-BQ$48</f>
        <v>0</v>
      </c>
      <c r="BR143" s="3">
        <f>(BR144/(BR$5-BQ$5))*-BR$48</f>
        <v>0</v>
      </c>
      <c r="BS143" s="3">
        <f>(BS144/(BS$5-BR$5))*-BS$48</f>
        <v>0</v>
      </c>
      <c r="BT143" s="3">
        <f>(BT144/(BT$5-BS$5))*-BT$48</f>
        <v>0</v>
      </c>
      <c r="BU143" s="3">
        <f>BT143</f>
        <v>0</v>
      </c>
      <c r="BV143" s="3">
        <f>(BV144/(BV$5-BU$5))*-BV$48</f>
        <v>0</v>
      </c>
      <c r="BW143" s="3">
        <f>(BW144/(BW$5-BV$5))*-BW$48</f>
        <v>0</v>
      </c>
      <c r="BX143" s="3">
        <f>(BX144/(BX$5-BW$5))*-BX$48</f>
        <v>0</v>
      </c>
      <c r="BY143" s="3">
        <f>(BY144/(BY$5-BX$5))*-BY$48</f>
        <v>0</v>
      </c>
      <c r="BZ143" s="3">
        <f>BY143</f>
        <v>0</v>
      </c>
      <c r="CA143" s="3">
        <f>(CA144/(CA$5-BZ$5))*-CA$48</f>
        <v>0</v>
      </c>
      <c r="CB143" s="3">
        <f>(CB144/(CB$5-CA$5))*-CB$48</f>
        <v>0</v>
      </c>
      <c r="CC143" s="3">
        <f>(CC144/(CC$5-CB$5))*-CC$48</f>
        <v>0</v>
      </c>
      <c r="CD143" s="3">
        <f>(CD144/(CD$5-CC$5))*-CD$48</f>
        <v>0</v>
      </c>
      <c r="CE143" s="3">
        <f>CD143</f>
        <v>0</v>
      </c>
      <c r="CF143" s="3">
        <f>(CF144/(CF$5-CE$5))*-CF$48</f>
        <v>0</v>
      </c>
      <c r="CG143" s="3">
        <f>(CG144/(CG$5-CF$5))*-CG$48</f>
        <v>0</v>
      </c>
      <c r="CH143" s="3">
        <f>(CH144/(CH$5-CG$5))*-CH$48</f>
        <v>0</v>
      </c>
      <c r="CI143" s="3">
        <f>(CI144/(CI$5-CH$5))*-CI$48</f>
        <v>0</v>
      </c>
      <c r="CJ143" s="3">
        <f>CI143</f>
        <v>0</v>
      </c>
      <c r="CK143" s="3">
        <f>(CK144/(CK$5-CJ$5))*-CK$48</f>
        <v>0</v>
      </c>
      <c r="CL143" s="3">
        <f>(CL144/(CL$5-CK$5))*-CL$48</f>
        <v>0</v>
      </c>
      <c r="CM143" s="3">
        <f>(CM144/(CM$5-CL$5))*-CM$48</f>
        <v>0</v>
      </c>
      <c r="CN143" s="3">
        <f>(CN144/(CN$5-CM$5))*-CN$48</f>
        <v>0</v>
      </c>
      <c r="CO143" s="3">
        <f>CN143</f>
        <v>0</v>
      </c>
      <c r="CP143" s="3">
        <f>(CP144/(CP$5-CO$5))*-CP$48</f>
        <v>0</v>
      </c>
      <c r="CQ143" s="3">
        <f>(CQ144/(CQ$5-CP$5))*-CQ$48</f>
        <v>0</v>
      </c>
      <c r="CR143" s="3">
        <f>(CR144/(CR$5-CQ$5))*-CR$48</f>
        <v>0</v>
      </c>
      <c r="CS143" s="3">
        <f>(CS144/(CS$5-CR$5))*-CS$48</f>
        <v>0</v>
      </c>
      <c r="CT143" s="3">
        <f>CS143</f>
        <v>0</v>
      </c>
      <c r="CU143" s="3">
        <f>(CU144/(CU$5-CT$5))*-CU$48</f>
        <v>0</v>
      </c>
      <c r="CV143" s="3">
        <f>(CV144/(CV$5-CU$5))*-CV$48</f>
        <v>0</v>
      </c>
      <c r="CW143" s="3">
        <f>(CW144/(CW$5-CV$5))*-CW$48</f>
        <v>0</v>
      </c>
      <c r="CX143" s="3">
        <f>(CX144/(CX$5-CW$5))*-CX$48</f>
        <v>0</v>
      </c>
      <c r="CY143" s="3">
        <f>CX143</f>
        <v>0</v>
      </c>
    </row>
    <row r="144" hidden="1" outlineLevel="1">
      <c r="C144" s="34" t="inlineStr">
        <is>
          <t>DIO</t>
        </is>
      </c>
      <c r="D144" s="3" t="n"/>
      <c r="E144" s="3">
        <f>((E143/E$48)*(E$5-D$5))*-1</f>
        <v>76.6697420842944</v>
      </c>
      <c r="F144" s="3">
        <f>((F143/F$48)*(F$5-E$5))*-1</f>
        <v>57.8497316636852</v>
      </c>
      <c r="G144" s="3">
        <f>((G143/G$48)*(G$5-F$5))*-1</f>
        <v>43.4768379811016</v>
      </c>
      <c r="H144" s="3" t="n"/>
      <c r="I144" s="3">
        <f>((I143/I$48)*(I$5-H$5))*-1</f>
        <v>45.4954734524101</v>
      </c>
      <c r="J144" s="3">
        <f>((J143/J$48)*(J$5-I$5))*-1</f>
        <v>47.4656160458453</v>
      </c>
      <c r="K144" s="3">
        <f>((K143/K$48)*(K$5-J$5))*-1</f>
        <v>47.371298405467</v>
      </c>
      <c r="L144" s="3">
        <f>((L143/L$48)*(L$5-K$5))*-1</f>
        <v>41.1469857054071</v>
      </c>
      <c r="M144" s="3" t="n"/>
      <c r="N144" s="3">
        <f>((N143/N$48)*(N$5-M$5))*-1</f>
        <v>45.2910649819495</v>
      </c>
      <c r="O144" s="3">
        <f>((O143/O$48)*(O$5-N$5))*-1</f>
        <v>58.0966929133858</v>
      </c>
      <c r="P144" s="3">
        <f>((P143/P$48)*(P$5-O$5))*-1</f>
        <v>59.1142359382777</v>
      </c>
      <c r="Q144" s="3">
        <f>((Q143/Q$48)*(Q$5-P$5))*-1</f>
        <v>63.7068119303166</v>
      </c>
      <c r="R144" s="3" t="n"/>
      <c r="S144" s="3">
        <f>((S143/S$48)*(S$5-R$5))*-1</f>
        <v>68.7506642576257</v>
      </c>
      <c r="T144" s="3">
        <f>((T143/T$48)*(T$5-S$5))*-1</f>
        <v>64.0578601549475</v>
      </c>
      <c r="U144" s="3">
        <f>((U143/U$48)*(U$5-T$5))*-1</f>
        <v>65.8424786146464</v>
      </c>
      <c r="V144" s="3">
        <f>((V143/V$48)*(V$5-U$5))*-1</f>
        <v>60.4752761831251</v>
      </c>
      <c r="W144" s="3" t="n"/>
      <c r="X144" s="3">
        <f>((X143/X$48)*(X$5-W$5))*-1</f>
        <v>82.8743538767396</v>
      </c>
      <c r="Y144" s="3">
        <f>((Y143/Y$48)*(Y$5-X$5))*-1</f>
        <v>61.7409903450913</v>
      </c>
      <c r="Z144" s="3">
        <f>((Z143/Z$48)*(Z$5-Y$5))*-1</f>
        <v>66.2254149120634</v>
      </c>
      <c r="AA144" s="3">
        <f>((AA143/AA$48)*(AA$5-Z$5))*-1</f>
        <v>51.3547008547009</v>
      </c>
      <c r="AB144" s="3" t="n"/>
      <c r="AC144" s="3">
        <f>((AC143/AC$48)*(AC$5-AB$5))*-1</f>
        <v>76.2291434927698</v>
      </c>
      <c r="AD144" s="3">
        <f>((AD143/AD$48)*(AD$5-AC$5))*-1</f>
        <v>71.2144161564078</v>
      </c>
      <c r="AE144" s="3">
        <f>((AE143/AE$48)*(AE$5-AD$5))*-1</f>
        <v>49.0166225424244</v>
      </c>
      <c r="AF144" s="6">
        <f>((AF143/AF$48)*(AF$5-AE$5))*-1</f>
        <v>57.3126885179972</v>
      </c>
      <c r="AG144" s="3" t="n"/>
      <c r="AH144" s="6">
        <f>((AH143/AH$48)*(AH$5-AG$5))*-1</f>
        <v>73.5303107488538</v>
      </c>
      <c r="AI144" s="6">
        <f>((AI143/AI$48)*(AI$5-AH$5))*-1</f>
        <v>53.2864381520119</v>
      </c>
      <c r="AJ144" s="6" t="n"/>
      <c r="AK144" s="6" t="n"/>
      <c r="AL144" s="3" t="n"/>
      <c r="AM144" s="6" t="n"/>
      <c r="AN144" s="6" t="n"/>
      <c r="AO144" s="6" t="n"/>
      <c r="AP144" s="6" t="n"/>
      <c r="AQ144" s="3" t="n"/>
      <c r="AR144" s="6" t="n"/>
      <c r="AS144" s="6" t="n"/>
      <c r="AT144" s="6" t="n"/>
      <c r="AU144" s="6" t="n"/>
      <c r="AV144" s="3" t="n"/>
      <c r="AW144" s="6" t="n"/>
      <c r="AX144" s="6" t="n"/>
      <c r="AY144" s="6" t="n"/>
      <c r="AZ144" s="6" t="n"/>
      <c r="BA144" s="3" t="n"/>
      <c r="BB144" s="6" t="n"/>
      <c r="BC144" s="6" t="n"/>
      <c r="BD144" s="6" t="n"/>
      <c r="BE144" s="6" t="n"/>
      <c r="BF144" s="3" t="n"/>
      <c r="BG144" s="6" t="n"/>
      <c r="BH144" s="6" t="n"/>
      <c r="BI144" s="6" t="n"/>
      <c r="BJ144" s="6" t="n"/>
      <c r="BK144" s="3" t="n"/>
      <c r="BL144" s="6" t="n"/>
      <c r="BM144" s="6" t="n"/>
      <c r="BN144" s="6" t="n"/>
      <c r="BO144" s="6" t="n"/>
      <c r="BP144" s="3" t="n"/>
      <c r="BQ144" s="6" t="n"/>
      <c r="BR144" s="6" t="n"/>
      <c r="BS144" s="6" t="n"/>
      <c r="BT144" s="6" t="n"/>
      <c r="BU144" s="3" t="n"/>
      <c r="BV144" s="6" t="n"/>
      <c r="BW144" s="6" t="n"/>
      <c r="BX144" s="6" t="n"/>
      <c r="BY144" s="6" t="n"/>
      <c r="BZ144" s="3" t="n"/>
      <c r="CA144" s="6" t="n"/>
      <c r="CB144" s="6" t="n"/>
      <c r="CC144" s="6" t="n"/>
      <c r="CD144" s="6" t="n"/>
      <c r="CE144" s="3" t="n"/>
      <c r="CF144" s="6" t="n"/>
      <c r="CG144" s="6" t="n"/>
      <c r="CH144" s="6" t="n"/>
      <c r="CI144" s="6" t="n"/>
      <c r="CJ144" s="3" t="n"/>
      <c r="CK144" s="6" t="n"/>
      <c r="CL144" s="6" t="n"/>
      <c r="CM144" s="6" t="n"/>
      <c r="CN144" s="6" t="n"/>
      <c r="CO144" s="3" t="n"/>
      <c r="CP144" s="6" t="n"/>
      <c r="CQ144" s="6" t="n"/>
      <c r="CR144" s="6" t="n"/>
      <c r="CS144" s="6" t="n"/>
      <c r="CT144" s="3" t="n"/>
      <c r="CU144" s="6" t="n"/>
      <c r="CV144" s="6" t="n"/>
      <c r="CW144" s="6" t="n"/>
      <c r="CX144" s="6" t="n"/>
      <c r="CY144" s="3" t="n"/>
    </row>
    <row r="145" hidden="1" outlineLevel="1">
      <c r="C145" s="34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  <c r="AD145" s="3" t="n"/>
      <c r="AE145" s="3" t="n"/>
      <c r="AF145" s="3" t="n"/>
      <c r="AG145" s="3" t="n"/>
      <c r="AH145" s="3" t="n"/>
      <c r="AI145" s="3" t="n"/>
      <c r="AJ145" s="3" t="n"/>
      <c r="AK145" s="3" t="n"/>
      <c r="AL145" s="3" t="n"/>
      <c r="AM145" s="3" t="n"/>
      <c r="AN145" s="3" t="n"/>
      <c r="AO145" s="3" t="n"/>
      <c r="AP145" s="3" t="n"/>
      <c r="AQ145" s="3" t="n"/>
      <c r="AR145" s="3" t="n"/>
      <c r="AS145" s="3" t="n"/>
      <c r="AT145" s="3" t="n"/>
      <c r="AU145" s="3" t="n"/>
      <c r="AV145" s="3" t="n"/>
      <c r="AW145" s="3" t="n"/>
      <c r="AX145" s="3" t="n"/>
      <c r="AY145" s="3" t="n"/>
      <c r="AZ145" s="3" t="n"/>
      <c r="BA145" s="3" t="n"/>
      <c r="BB145" s="3" t="n"/>
      <c r="BC145" s="3" t="n"/>
      <c r="BD145" s="3" t="n"/>
      <c r="BE145" s="3" t="n"/>
      <c r="BF145" s="3" t="n"/>
      <c r="BG145" s="3" t="n"/>
      <c r="BH145" s="3" t="n"/>
      <c r="BI145" s="3" t="n"/>
      <c r="BJ145" s="3" t="n"/>
      <c r="BK145" s="3" t="n"/>
      <c r="BL145" s="3" t="n"/>
      <c r="BM145" s="3" t="n"/>
      <c r="BN145" s="3" t="n"/>
      <c r="BO145" s="3" t="n"/>
      <c r="BP145" s="3" t="n"/>
      <c r="BQ145" s="3" t="n"/>
      <c r="BR145" s="3" t="n"/>
      <c r="BS145" s="3" t="n"/>
      <c r="BT145" s="3" t="n"/>
      <c r="BU145" s="3" t="n"/>
      <c r="BV145" s="3" t="n"/>
      <c r="BW145" s="3" t="n"/>
      <c r="BX145" s="3" t="n"/>
      <c r="BY145" s="3" t="n"/>
      <c r="BZ145" s="3" t="n"/>
      <c r="CA145" s="3" t="n"/>
      <c r="CB145" s="3" t="n"/>
      <c r="CC145" s="3" t="n"/>
      <c r="CD145" s="3" t="n"/>
      <c r="CE145" s="3" t="n"/>
      <c r="CF145" s="3" t="n"/>
      <c r="CG145" s="3" t="n"/>
      <c r="CH145" s="3" t="n"/>
      <c r="CI145" s="3" t="n"/>
      <c r="CJ145" s="3" t="n"/>
      <c r="CK145" s="3" t="n"/>
      <c r="CL145" s="3" t="n"/>
      <c r="CM145" s="3" t="n"/>
      <c r="CN145" s="3" t="n"/>
      <c r="CO145" s="3" t="n"/>
      <c r="CP145" s="3" t="n"/>
      <c r="CQ145" s="3" t="n"/>
      <c r="CR145" s="3" t="n"/>
      <c r="CS145" s="3" t="n"/>
      <c r="CT145" s="3" t="n"/>
      <c r="CU145" s="3" t="n"/>
      <c r="CV145" s="3" t="n"/>
      <c r="CW145" s="3" t="n"/>
      <c r="CX145" s="3" t="n"/>
      <c r="CY145" s="3" t="n"/>
    </row>
    <row r="146" hidden="1" outlineLevel="1">
      <c r="C146" s="34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  <c r="AG146" s="3" t="n"/>
      <c r="AH146" s="3" t="n"/>
      <c r="AI146" s="3" t="n"/>
      <c r="AJ146" s="3" t="n"/>
      <c r="AK146" s="3" t="n"/>
      <c r="AL146" s="3" t="n"/>
      <c r="AM146" s="3" t="n"/>
      <c r="AN146" s="3" t="n"/>
      <c r="AO146" s="3" t="n"/>
      <c r="AP146" s="3" t="n"/>
      <c r="AQ146" s="3" t="n"/>
      <c r="AR146" s="3" t="n"/>
      <c r="AS146" s="3" t="n"/>
      <c r="AT146" s="3" t="n"/>
      <c r="AU146" s="3" t="n"/>
      <c r="AV146" s="3" t="n"/>
      <c r="AW146" s="3" t="n"/>
      <c r="AX146" s="3" t="n"/>
      <c r="AY146" s="3" t="n"/>
      <c r="AZ146" s="3" t="n"/>
      <c r="BA146" s="3" t="n"/>
      <c r="BB146" s="3" t="n"/>
      <c r="BC146" s="3" t="n"/>
      <c r="BD146" s="3" t="n"/>
      <c r="BE146" s="3" t="n"/>
      <c r="BF146" s="3" t="n"/>
      <c r="BG146" s="3" t="n"/>
      <c r="BH146" s="3" t="n"/>
      <c r="BI146" s="3" t="n"/>
      <c r="BJ146" s="3" t="n"/>
      <c r="BK146" s="3" t="n"/>
      <c r="BL146" s="3" t="n"/>
      <c r="BM146" s="3" t="n"/>
      <c r="BN146" s="3" t="n"/>
      <c r="BO146" s="3" t="n"/>
      <c r="BP146" s="3" t="n"/>
      <c r="BQ146" s="3" t="n"/>
      <c r="BR146" s="3" t="n"/>
      <c r="BS146" s="3" t="n"/>
      <c r="BT146" s="3" t="n"/>
      <c r="BU146" s="3" t="n"/>
      <c r="BV146" s="3" t="n"/>
      <c r="BW146" s="3" t="n"/>
      <c r="BX146" s="3" t="n"/>
      <c r="BY146" s="3" t="n"/>
      <c r="BZ146" s="3" t="n"/>
      <c r="CA146" s="3" t="n"/>
      <c r="CB146" s="3" t="n"/>
      <c r="CC146" s="3" t="n"/>
      <c r="CD146" s="3" t="n"/>
      <c r="CE146" s="3" t="n"/>
      <c r="CF146" s="3" t="n"/>
      <c r="CG146" s="3" t="n"/>
      <c r="CH146" s="3" t="n"/>
      <c r="CI146" s="3" t="n"/>
      <c r="CJ146" s="3" t="n"/>
      <c r="CK146" s="3" t="n"/>
      <c r="CL146" s="3" t="n"/>
      <c r="CM146" s="3" t="n"/>
      <c r="CN146" s="3" t="n"/>
      <c r="CO146" s="3" t="n"/>
      <c r="CP146" s="3" t="n"/>
      <c r="CQ146" s="3" t="n"/>
      <c r="CR146" s="3" t="n"/>
      <c r="CS146" s="3" t="n"/>
      <c r="CT146" s="3" t="n"/>
      <c r="CU146" s="3" t="n"/>
      <c r="CV146" s="3" t="n"/>
      <c r="CW146" s="3" t="n"/>
      <c r="CX146" s="3" t="n"/>
      <c r="CY146" s="3" t="n"/>
    </row>
    <row r="147" collapsed="1">
      <c r="C147" s="26" t="inlineStr">
        <is>
          <t>Deferred income taxes</t>
        </is>
      </c>
      <c r="D147" s="25">
        <f>INDEX('Inputs (2)'!$D$18:$AL$18,MATCH(D$7,'Inputs (2)'!$D$2:$AL$2,0))</f>
        <v>0</v>
      </c>
      <c r="E147" s="25">
        <f>INDEX('Inputs (2)'!$D$18:$AL$18,MATCH(E$7,'Inputs (2)'!$D$2:$AL$2,0))</f>
        <v>0</v>
      </c>
      <c r="F147" s="25">
        <f>INDEX('Inputs (2)'!$D$18:$AL$18,MATCH(F$7,'Inputs (2)'!$D$2:$AL$2,0))</f>
        <v>0</v>
      </c>
      <c r="G147" s="25">
        <f>INDEX('Inputs (2)'!$D$18:$AL$18,MATCH(G$7,'Inputs (2)'!$D$2:$AL$2,0))</f>
        <v>0</v>
      </c>
      <c r="H147" s="3">
        <f>G147</f>
        <v>0</v>
      </c>
      <c r="I147" s="25">
        <f>INDEX('Inputs (2)'!$D$18:$AL$18,MATCH(I$7,'Inputs (2)'!$D$2:$AL$2,0))</f>
        <v>0</v>
      </c>
      <c r="J147" s="25">
        <f>INDEX('Inputs (2)'!$D$18:$AL$18,MATCH(J$7,'Inputs (2)'!$D$2:$AL$2,0))</f>
        <v>0</v>
      </c>
      <c r="K147" s="25">
        <f>INDEX('Inputs (2)'!$D$18:$AL$18,MATCH(K$7,'Inputs (2)'!$D$2:$AL$2,0))</f>
        <v>0</v>
      </c>
      <c r="L147" s="25">
        <f>INDEX('Inputs (2)'!$D$18:$AL$18,MATCH(L$7,'Inputs (2)'!$D$2:$AL$2,0))</f>
        <v>0</v>
      </c>
      <c r="M147" s="3">
        <f>L147</f>
        <v>0</v>
      </c>
      <c r="N147" s="25">
        <f>INDEX('Inputs (2)'!$D$18:$AL$18,MATCH(N$7,'Inputs (2)'!$D$2:$AL$2,0))</f>
        <v>0</v>
      </c>
      <c r="O147" s="25">
        <f>INDEX('Inputs (2)'!$D$18:$AL$18,MATCH(O$7,'Inputs (2)'!$D$2:$AL$2,0))</f>
        <v>0</v>
      </c>
      <c r="P147" s="25">
        <f>INDEX('Inputs (2)'!$D$18:$AL$18,MATCH(P$7,'Inputs (2)'!$D$2:$AL$2,0))</f>
        <v>0</v>
      </c>
      <c r="Q147" s="25">
        <f>INDEX('Inputs (2)'!$D$18:$AL$18,MATCH(Q$7,'Inputs (2)'!$D$2:$AL$2,0))</f>
        <v>0</v>
      </c>
      <c r="R147" s="3">
        <f>Q147</f>
        <v>0</v>
      </c>
      <c r="S147" s="25">
        <f>INDEX('Inputs (2)'!$D$18:$AL$18,MATCH(S$7,'Inputs (2)'!$D$2:$AL$2,0))</f>
        <v>0</v>
      </c>
      <c r="T147" s="25">
        <f>INDEX('Inputs (2)'!$D$18:$AL$18,MATCH(T$7,'Inputs (2)'!$D$2:$AL$2,0))</f>
        <v>0</v>
      </c>
      <c r="U147" s="25">
        <f>INDEX('Inputs (2)'!$D$18:$AL$18,MATCH(U$7,'Inputs (2)'!$D$2:$AL$2,0))</f>
        <v>0</v>
      </c>
      <c r="V147" s="25">
        <f>INDEX('Inputs (2)'!$D$18:$AL$18,MATCH(V$7,'Inputs (2)'!$D$2:$AL$2,0))</f>
        <v>6733</v>
      </c>
      <c r="W147" s="3">
        <f>V147</f>
        <v>6733</v>
      </c>
      <c r="X147" s="25">
        <f>INDEX('Inputs (2)'!$D$18:$AL$18,MATCH(X$7,'Inputs (2)'!$D$2:$AL$2,0))</f>
        <v>6769</v>
      </c>
      <c r="Y147" s="25">
        <f>INDEX('Inputs (2)'!$D$18:$AL$18,MATCH(Y$7,'Inputs (2)'!$D$2:$AL$2,0))</f>
        <v>6692</v>
      </c>
      <c r="Z147" s="25">
        <f>INDEX('Inputs (2)'!$D$18:$AL$18,MATCH(Z$7,'Inputs (2)'!$D$2:$AL$2,0))</f>
        <v>6486</v>
      </c>
      <c r="AA147" s="25">
        <f>INDEX('Inputs (2)'!$D$18:$AL$18,MATCH(AA$7,'Inputs (2)'!$D$2:$AL$2,0))</f>
        <v>6524</v>
      </c>
      <c r="AB147" s="3">
        <f>AA147</f>
        <v>6524</v>
      </c>
      <c r="AC147" s="25">
        <f>INDEX('Inputs (2)'!$D$18:$AL$18,MATCH(AC$7,'Inputs (2)'!$D$2:$AL$2,0))</f>
        <v>6687</v>
      </c>
      <c r="AD147" s="25">
        <f>INDEX('Inputs (2)'!$D$18:$AL$18,MATCH(AD$7,'Inputs (2)'!$D$2:$AL$2,0))</f>
        <v>6721</v>
      </c>
      <c r="AE147" s="25">
        <f>INDEX('Inputs (2)'!$D$18:$AL$18,MATCH(AE$7,'Inputs (2)'!$D$2:$AL$2,0))</f>
        <v>6637</v>
      </c>
      <c r="AF147" s="25">
        <f>INDEX('Inputs (2)'!$D$18:$AL$18,MATCH(AF$7,'Inputs (2)'!$D$2:$AL$2,0))</f>
        <v>6925</v>
      </c>
      <c r="AG147" s="3">
        <f>AF147</f>
        <v>6925</v>
      </c>
      <c r="AH147" s="3">
        <f>INDEX('Inputs (2)'!$D$18:$AL$18,MATCH(AH$7,'Inputs (2)'!$D$2:$AL$2,0))</f>
        <v>7060</v>
      </c>
      <c r="AI147" s="3">
        <f>INDEX('Inputs (2)'!$D$18:$AL$18,MATCH(AI$7,'Inputs (2)'!$D$2:$AL$2,0))</f>
        <v>7235</v>
      </c>
      <c r="AJ147" s="3">
        <f>AI147</f>
        <v>7235</v>
      </c>
      <c r="AK147" s="3">
        <f>AJ147</f>
        <v>7235</v>
      </c>
      <c r="AL147" s="3">
        <f>AK147</f>
        <v>7235</v>
      </c>
      <c r="AM147" s="3">
        <f>AL147</f>
        <v>7235</v>
      </c>
      <c r="AN147" s="3">
        <f>AM147</f>
        <v>7235</v>
      </c>
      <c r="AO147" s="3">
        <f>AN147</f>
        <v>7235</v>
      </c>
      <c r="AP147" s="3">
        <f>AO147</f>
        <v>7235</v>
      </c>
      <c r="AQ147" s="3">
        <f>AP147</f>
        <v>7235</v>
      </c>
      <c r="AR147" s="3">
        <f>AQ147</f>
        <v>7235</v>
      </c>
      <c r="AS147" s="3">
        <f>AR147</f>
        <v>7235</v>
      </c>
      <c r="AT147" s="3">
        <f>AS147</f>
        <v>7235</v>
      </c>
      <c r="AU147" s="3">
        <f>AT147</f>
        <v>7235</v>
      </c>
      <c r="AV147" s="3">
        <f>AU147</f>
        <v>7235</v>
      </c>
      <c r="AW147" s="3">
        <f>AV147</f>
        <v>7235</v>
      </c>
      <c r="AX147" s="3">
        <f>AW147</f>
        <v>7235</v>
      </c>
      <c r="AY147" s="3">
        <f>AX147</f>
        <v>7235</v>
      </c>
      <c r="AZ147" s="3">
        <f>AY147</f>
        <v>7235</v>
      </c>
      <c r="BA147" s="3">
        <f>AZ147</f>
        <v>7235</v>
      </c>
      <c r="BB147" s="3">
        <f>BA147</f>
        <v>7235</v>
      </c>
      <c r="BC147" s="3">
        <f>BB147</f>
        <v>7235</v>
      </c>
      <c r="BD147" s="3">
        <f>BC147</f>
        <v>7235</v>
      </c>
      <c r="BE147" s="3">
        <f>BD147</f>
        <v>7235</v>
      </c>
      <c r="BF147" s="3">
        <f>BE147</f>
        <v>7235</v>
      </c>
      <c r="BG147" s="3">
        <f>BF147</f>
        <v>7235</v>
      </c>
      <c r="BH147" s="3">
        <f>BG147</f>
        <v>7235</v>
      </c>
      <c r="BI147" s="3">
        <f>BH147</f>
        <v>7235</v>
      </c>
      <c r="BJ147" s="3">
        <f>BI147</f>
        <v>7235</v>
      </c>
      <c r="BK147" s="3">
        <f>BJ147</f>
        <v>7235</v>
      </c>
      <c r="BL147" s="3">
        <f>BK147</f>
        <v>7235</v>
      </c>
      <c r="BM147" s="3">
        <f>BL147</f>
        <v>7235</v>
      </c>
      <c r="BN147" s="3">
        <f>BM147</f>
        <v>7235</v>
      </c>
      <c r="BO147" s="3">
        <f>BN147</f>
        <v>7235</v>
      </c>
      <c r="BP147" s="3">
        <f>BO147</f>
        <v>7235</v>
      </c>
      <c r="BQ147" s="3">
        <f>BP147</f>
        <v>7235</v>
      </c>
      <c r="BR147" s="3">
        <f>BQ147</f>
        <v>7235</v>
      </c>
      <c r="BS147" s="3">
        <f>BR147</f>
        <v>7235</v>
      </c>
      <c r="BT147" s="3">
        <f>BS147</f>
        <v>7235</v>
      </c>
      <c r="BU147" s="3">
        <f>BT147</f>
        <v>7235</v>
      </c>
      <c r="BV147" s="3">
        <f>BU147</f>
        <v>7235</v>
      </c>
      <c r="BW147" s="3">
        <f>BV147</f>
        <v>7235</v>
      </c>
      <c r="BX147" s="3">
        <f>BW147</f>
        <v>7235</v>
      </c>
      <c r="BY147" s="3">
        <f>BX147</f>
        <v>7235</v>
      </c>
      <c r="BZ147" s="3">
        <f>BY147</f>
        <v>7235</v>
      </c>
      <c r="CA147" s="3">
        <f>BZ147</f>
        <v>7235</v>
      </c>
      <c r="CB147" s="3">
        <f>CA147</f>
        <v>7235</v>
      </c>
      <c r="CC147" s="3">
        <f>CB147</f>
        <v>7235</v>
      </c>
      <c r="CD147" s="3">
        <f>CC147</f>
        <v>7235</v>
      </c>
      <c r="CE147" s="3">
        <f>CD147</f>
        <v>7235</v>
      </c>
      <c r="CF147" s="3">
        <f>CE147</f>
        <v>7235</v>
      </c>
      <c r="CG147" s="3">
        <f>CF147</f>
        <v>7235</v>
      </c>
      <c r="CH147" s="3">
        <f>CG147</f>
        <v>7235</v>
      </c>
      <c r="CI147" s="3">
        <f>CH147</f>
        <v>7235</v>
      </c>
      <c r="CJ147" s="3">
        <f>CI147</f>
        <v>7235</v>
      </c>
      <c r="CK147" s="3">
        <f>CJ147</f>
        <v>7235</v>
      </c>
      <c r="CL147" s="3">
        <f>CK147</f>
        <v>7235</v>
      </c>
      <c r="CM147" s="3">
        <f>CL147</f>
        <v>7235</v>
      </c>
      <c r="CN147" s="3">
        <f>CM147</f>
        <v>7235</v>
      </c>
      <c r="CO147" s="3">
        <f>CN147</f>
        <v>7235</v>
      </c>
      <c r="CP147" s="3">
        <f>CO147</f>
        <v>7235</v>
      </c>
      <c r="CQ147" s="3">
        <f>CP147</f>
        <v>7235</v>
      </c>
      <c r="CR147" s="3">
        <f>CQ147</f>
        <v>7235</v>
      </c>
      <c r="CS147" s="3">
        <f>CR147</f>
        <v>7235</v>
      </c>
      <c r="CT147" s="3">
        <f>CS147</f>
        <v>7235</v>
      </c>
      <c r="CU147" s="3">
        <f>CT147</f>
        <v>7235</v>
      </c>
      <c r="CV147" s="3">
        <f>CU147</f>
        <v>7235</v>
      </c>
      <c r="CW147" s="3">
        <f>CV147</f>
        <v>7235</v>
      </c>
      <c r="CX147" s="3">
        <f>CW147</f>
        <v>7235</v>
      </c>
      <c r="CY147" s="3">
        <f>CX147</f>
        <v>7235</v>
      </c>
    </row>
    <row r="148">
      <c r="C148" s="26" t="inlineStr">
        <is>
          <t>Prepaid expenses</t>
        </is>
      </c>
      <c r="D148" s="25">
        <f>INDEX('Inputs (2)'!$D$19:$AL$19,MATCH(D$7,'Inputs (2)'!$D$2:$AL$2,0))</f>
        <v>0</v>
      </c>
      <c r="E148" s="25">
        <f>INDEX('Inputs (2)'!$D$19:$AL$19,MATCH(E$7,'Inputs (2)'!$D$2:$AL$2,0))</f>
        <v>0</v>
      </c>
      <c r="F148" s="25">
        <f>INDEX('Inputs (2)'!$D$19:$AL$19,MATCH(F$7,'Inputs (2)'!$D$2:$AL$2,0))</f>
        <v>0</v>
      </c>
      <c r="G148" s="25">
        <f>INDEX('Inputs (2)'!$D$19:$AL$19,MATCH(G$7,'Inputs (2)'!$D$2:$AL$2,0))</f>
        <v>0</v>
      </c>
      <c r="H148" s="3">
        <f>G148</f>
        <v>0</v>
      </c>
      <c r="I148" s="25">
        <f>INDEX('Inputs (2)'!$D$19:$AL$19,MATCH(I$7,'Inputs (2)'!$D$2:$AL$2,0))</f>
        <v>0</v>
      </c>
      <c r="J148" s="25">
        <f>INDEX('Inputs (2)'!$D$19:$AL$19,MATCH(J$7,'Inputs (2)'!$D$2:$AL$2,0))</f>
        <v>0</v>
      </c>
      <c r="K148" s="25">
        <f>INDEX('Inputs (2)'!$D$19:$AL$19,MATCH(K$7,'Inputs (2)'!$D$2:$AL$2,0))</f>
        <v>0</v>
      </c>
      <c r="L148" s="25">
        <f>INDEX('Inputs (2)'!$D$19:$AL$19,MATCH(L$7,'Inputs (2)'!$D$2:$AL$2,0))</f>
        <v>0</v>
      </c>
      <c r="M148" s="3">
        <f>L148</f>
        <v>0</v>
      </c>
      <c r="N148" s="25">
        <f>INDEX('Inputs (2)'!$D$19:$AL$19,MATCH(N$7,'Inputs (2)'!$D$2:$AL$2,0))</f>
        <v>0</v>
      </c>
      <c r="O148" s="25">
        <f>INDEX('Inputs (2)'!$D$19:$AL$19,MATCH(O$7,'Inputs (2)'!$D$2:$AL$2,0))</f>
        <v>0</v>
      </c>
      <c r="P148" s="25">
        <f>INDEX('Inputs (2)'!$D$19:$AL$19,MATCH(P$7,'Inputs (2)'!$D$2:$AL$2,0))</f>
        <v>0</v>
      </c>
      <c r="Q148" s="25">
        <f>INDEX('Inputs (2)'!$D$19:$AL$19,MATCH(Q$7,'Inputs (2)'!$D$2:$AL$2,0))</f>
        <v>0</v>
      </c>
      <c r="R148" s="3">
        <f>Q148</f>
        <v>0</v>
      </c>
      <c r="S148" s="25">
        <f>INDEX('Inputs (2)'!$D$19:$AL$19,MATCH(S$7,'Inputs (2)'!$D$2:$AL$2,0))</f>
        <v>0</v>
      </c>
      <c r="T148" s="25">
        <f>INDEX('Inputs (2)'!$D$19:$AL$19,MATCH(T$7,'Inputs (2)'!$D$2:$AL$2,0))</f>
        <v>0</v>
      </c>
      <c r="U148" s="25">
        <f>INDEX('Inputs (2)'!$D$19:$AL$19,MATCH(U$7,'Inputs (2)'!$D$2:$AL$2,0))</f>
        <v>0</v>
      </c>
      <c r="V148" s="25">
        <f>INDEX('Inputs (2)'!$D$19:$AL$19,MATCH(V$7,'Inputs (2)'!$D$2:$AL$2,0))</f>
        <v>0</v>
      </c>
      <c r="W148" s="3">
        <f>V148</f>
        <v>0</v>
      </c>
      <c r="X148" s="25">
        <f>INDEX('Inputs (2)'!$D$19:$AL$19,MATCH(X$7,'Inputs (2)'!$D$2:$AL$2,0))</f>
        <v>0</v>
      </c>
      <c r="Y148" s="25">
        <f>INDEX('Inputs (2)'!$D$19:$AL$19,MATCH(Y$7,'Inputs (2)'!$D$2:$AL$2,0))</f>
        <v>0</v>
      </c>
      <c r="Z148" s="25">
        <f>INDEX('Inputs (2)'!$D$19:$AL$19,MATCH(Z$7,'Inputs (2)'!$D$2:$AL$2,0))</f>
        <v>0</v>
      </c>
      <c r="AA148" s="25">
        <f>INDEX('Inputs (2)'!$D$19:$AL$19,MATCH(AA$7,'Inputs (2)'!$D$2:$AL$2,0))</f>
        <v>0</v>
      </c>
      <c r="AB148" s="3">
        <f>AA148</f>
        <v>0</v>
      </c>
      <c r="AC148" s="25">
        <f>INDEX('Inputs (2)'!$D$19:$AL$19,MATCH(AC$7,'Inputs (2)'!$D$2:$AL$2,0))</f>
        <v>0</v>
      </c>
      <c r="AD148" s="25">
        <f>INDEX('Inputs (2)'!$D$19:$AL$19,MATCH(AD$7,'Inputs (2)'!$D$2:$AL$2,0))</f>
        <v>0</v>
      </c>
      <c r="AE148" s="25">
        <f>INDEX('Inputs (2)'!$D$19:$AL$19,MATCH(AE$7,'Inputs (2)'!$D$2:$AL$2,0))</f>
        <v>0</v>
      </c>
      <c r="AF148" s="25">
        <f>INDEX('Inputs (2)'!$D$19:$AL$19,MATCH(AF$7,'Inputs (2)'!$D$2:$AL$2,0))</f>
        <v>0</v>
      </c>
      <c r="AG148" s="3">
        <f>AF148</f>
        <v>0</v>
      </c>
      <c r="AH148" s="3">
        <f>INDEX('Inputs (2)'!$D$19:$AL$19,MATCH(AH$7,'Inputs (2)'!$D$2:$AL$2,0))</f>
        <v>0</v>
      </c>
      <c r="AI148" s="3">
        <f>INDEX('Inputs (2)'!$D$19:$AL$19,MATCH(AI$7,'Inputs (2)'!$D$2:$AL$2,0))</f>
        <v>0</v>
      </c>
      <c r="AJ148" s="3">
        <f>AI148</f>
        <v>0</v>
      </c>
      <c r="AK148" s="3">
        <f>AJ148</f>
        <v>0</v>
      </c>
      <c r="AL148" s="3">
        <f>AK148</f>
        <v>0</v>
      </c>
      <c r="AM148" s="3">
        <f>AL148</f>
        <v>0</v>
      </c>
      <c r="AN148" s="3">
        <f>AM148</f>
        <v>0</v>
      </c>
      <c r="AO148" s="3">
        <f>AN148</f>
        <v>0</v>
      </c>
      <c r="AP148" s="3">
        <f>AO148</f>
        <v>0</v>
      </c>
      <c r="AQ148" s="3">
        <f>AP148</f>
        <v>0</v>
      </c>
      <c r="AR148" s="3">
        <f>AQ148</f>
        <v>0</v>
      </c>
      <c r="AS148" s="3">
        <f>AR148</f>
        <v>0</v>
      </c>
      <c r="AT148" s="3">
        <f>AS148</f>
        <v>0</v>
      </c>
      <c r="AU148" s="3">
        <f>AT148</f>
        <v>0</v>
      </c>
      <c r="AV148" s="3">
        <f>AU148</f>
        <v>0</v>
      </c>
      <c r="AW148" s="3">
        <f>AV148</f>
        <v>0</v>
      </c>
      <c r="AX148" s="3">
        <f>AW148</f>
        <v>0</v>
      </c>
      <c r="AY148" s="3">
        <f>AX148</f>
        <v>0</v>
      </c>
      <c r="AZ148" s="3">
        <f>AY148</f>
        <v>0</v>
      </c>
      <c r="BA148" s="3">
        <f>AZ148</f>
        <v>0</v>
      </c>
      <c r="BB148" s="3">
        <f>BA148</f>
        <v>0</v>
      </c>
      <c r="BC148" s="3">
        <f>BB148</f>
        <v>0</v>
      </c>
      <c r="BD148" s="3">
        <f>BC148</f>
        <v>0</v>
      </c>
      <c r="BE148" s="3">
        <f>BD148</f>
        <v>0</v>
      </c>
      <c r="BF148" s="3">
        <f>BE148</f>
        <v>0</v>
      </c>
      <c r="BG148" s="3">
        <f>BF148</f>
        <v>0</v>
      </c>
      <c r="BH148" s="3">
        <f>BG148</f>
        <v>0</v>
      </c>
      <c r="BI148" s="3">
        <f>BH148</f>
        <v>0</v>
      </c>
      <c r="BJ148" s="3">
        <f>BI148</f>
        <v>0</v>
      </c>
      <c r="BK148" s="3">
        <f>BJ148</f>
        <v>0</v>
      </c>
      <c r="BL148" s="3">
        <f>BK148</f>
        <v>0</v>
      </c>
      <c r="BM148" s="3">
        <f>BL148</f>
        <v>0</v>
      </c>
      <c r="BN148" s="3">
        <f>BM148</f>
        <v>0</v>
      </c>
      <c r="BO148" s="3">
        <f>BN148</f>
        <v>0</v>
      </c>
      <c r="BP148" s="3">
        <f>BO148</f>
        <v>0</v>
      </c>
      <c r="BQ148" s="3">
        <f>BP148</f>
        <v>0</v>
      </c>
      <c r="BR148" s="3">
        <f>BQ148</f>
        <v>0</v>
      </c>
      <c r="BS148" s="3">
        <f>BR148</f>
        <v>0</v>
      </c>
      <c r="BT148" s="3">
        <f>BS148</f>
        <v>0</v>
      </c>
      <c r="BU148" s="3">
        <f>BT148</f>
        <v>0</v>
      </c>
      <c r="BV148" s="3">
        <f>BU148</f>
        <v>0</v>
      </c>
      <c r="BW148" s="3">
        <f>BV148</f>
        <v>0</v>
      </c>
      <c r="BX148" s="3">
        <f>BW148</f>
        <v>0</v>
      </c>
      <c r="BY148" s="3">
        <f>BX148</f>
        <v>0</v>
      </c>
      <c r="BZ148" s="3">
        <f>BY148</f>
        <v>0</v>
      </c>
      <c r="CA148" s="3">
        <f>BZ148</f>
        <v>0</v>
      </c>
      <c r="CB148" s="3">
        <f>CA148</f>
        <v>0</v>
      </c>
      <c r="CC148" s="3">
        <f>CB148</f>
        <v>0</v>
      </c>
      <c r="CD148" s="3">
        <f>CC148</f>
        <v>0</v>
      </c>
      <c r="CE148" s="3">
        <f>CD148</f>
        <v>0</v>
      </c>
      <c r="CF148" s="3">
        <f>CE148</f>
        <v>0</v>
      </c>
      <c r="CG148" s="3">
        <f>CF148</f>
        <v>0</v>
      </c>
      <c r="CH148" s="3">
        <f>CG148</f>
        <v>0</v>
      </c>
      <c r="CI148" s="3">
        <f>CH148</f>
        <v>0</v>
      </c>
      <c r="CJ148" s="3">
        <f>CI148</f>
        <v>0</v>
      </c>
      <c r="CK148" s="3">
        <f>CJ148</f>
        <v>0</v>
      </c>
      <c r="CL148" s="3">
        <f>CK148</f>
        <v>0</v>
      </c>
      <c r="CM148" s="3">
        <f>CL148</f>
        <v>0</v>
      </c>
      <c r="CN148" s="3">
        <f>CM148</f>
        <v>0</v>
      </c>
      <c r="CO148" s="3">
        <f>CN148</f>
        <v>0</v>
      </c>
      <c r="CP148" s="3">
        <f>CO148</f>
        <v>0</v>
      </c>
      <c r="CQ148" s="3">
        <f>CP148</f>
        <v>0</v>
      </c>
      <c r="CR148" s="3">
        <f>CQ148</f>
        <v>0</v>
      </c>
      <c r="CS148" s="3">
        <f>CR148</f>
        <v>0</v>
      </c>
      <c r="CT148" s="3">
        <f>CS148</f>
        <v>0</v>
      </c>
      <c r="CU148" s="3">
        <f>CT148</f>
        <v>0</v>
      </c>
      <c r="CV148" s="3">
        <f>CU148</f>
        <v>0</v>
      </c>
      <c r="CW148" s="3">
        <f>CV148</f>
        <v>0</v>
      </c>
      <c r="CX148" s="3">
        <f>CW148</f>
        <v>0</v>
      </c>
      <c r="CY148" s="3">
        <f>CX148</f>
        <v>0</v>
      </c>
    </row>
    <row r="149">
      <c r="C149" s="26" t="inlineStr">
        <is>
          <t>Other current assets</t>
        </is>
      </c>
      <c r="D149" s="25">
        <f>INDEX('Inputs (2)'!$D$20:$AL$20,MATCH(D$7,'Inputs (2)'!$D$2:$AL$2,0))</f>
        <v>1045</v>
      </c>
      <c r="E149" s="25">
        <f>INDEX('Inputs (2)'!$D$20:$AL$20,MATCH(E$7,'Inputs (2)'!$D$2:$AL$2,0))</f>
        <v>1218</v>
      </c>
      <c r="F149" s="25">
        <f>INDEX('Inputs (2)'!$D$20:$AL$20,MATCH(F$7,'Inputs (2)'!$D$2:$AL$2,0))</f>
        <v>1238</v>
      </c>
      <c r="G149" s="25">
        <f>INDEX('Inputs (2)'!$D$20:$AL$20,MATCH(G$7,'Inputs (2)'!$D$2:$AL$2,0))</f>
        <v>1346</v>
      </c>
      <c r="H149" s="3">
        <f>G149</f>
        <v>1346</v>
      </c>
      <c r="I149" s="25">
        <f>INDEX('Inputs (2)'!$D$20:$AL$20,MATCH(I$7,'Inputs (2)'!$D$2:$AL$2,0))</f>
        <v>1542</v>
      </c>
      <c r="J149" s="25">
        <f>INDEX('Inputs (2)'!$D$20:$AL$20,MATCH(J$7,'Inputs (2)'!$D$2:$AL$2,0))</f>
        <v>1602</v>
      </c>
      <c r="K149" s="25">
        <f>INDEX('Inputs (2)'!$D$20:$AL$20,MATCH(K$7,'Inputs (2)'!$D$2:$AL$2,0))</f>
        <v>1746</v>
      </c>
      <c r="L149" s="25">
        <f>INDEX('Inputs (2)'!$D$20:$AL$20,MATCH(L$7,'Inputs (2)'!$D$2:$AL$2,0))</f>
        <v>1723</v>
      </c>
      <c r="M149" s="3">
        <f>L149</f>
        <v>1723</v>
      </c>
      <c r="N149" s="25">
        <f>INDEX('Inputs (2)'!$D$20:$AL$20,MATCH(N$7,'Inputs (2)'!$D$2:$AL$2,0))</f>
        <v>2035</v>
      </c>
      <c r="O149" s="25">
        <f>INDEX('Inputs (2)'!$D$20:$AL$20,MATCH(O$7,'Inputs (2)'!$D$2:$AL$2,0))</f>
        <v>2118</v>
      </c>
      <c r="P149" s="25">
        <f>INDEX('Inputs (2)'!$D$20:$AL$20,MATCH(P$7,'Inputs (2)'!$D$2:$AL$2,0))</f>
        <v>2364</v>
      </c>
      <c r="Q149" s="25">
        <f>INDEX('Inputs (2)'!$D$20:$AL$20,MATCH(Q$7,'Inputs (2)'!$D$2:$AL$2,0))</f>
        <v>2941</v>
      </c>
      <c r="R149" s="3">
        <f>Q149</f>
        <v>2941</v>
      </c>
      <c r="S149" s="25">
        <f>INDEX('Inputs (2)'!$D$20:$AL$20,MATCH(S$7,'Inputs (2)'!$D$2:$AL$2,0))</f>
        <v>3227</v>
      </c>
      <c r="T149" s="25">
        <f>INDEX('Inputs (2)'!$D$20:$AL$20,MATCH(T$7,'Inputs (2)'!$D$2:$AL$2,0))</f>
        <v>2997</v>
      </c>
      <c r="U149" s="25">
        <f>INDEX('Inputs (2)'!$D$20:$AL$20,MATCH(U$7,'Inputs (2)'!$D$2:$AL$2,0))</f>
        <v>2708</v>
      </c>
      <c r="V149" s="25">
        <f>INDEX('Inputs (2)'!$D$20:$AL$20,MATCH(V$7,'Inputs (2)'!$D$2:$AL$2,0))</f>
        <v>3388</v>
      </c>
      <c r="W149" s="3">
        <f>V149</f>
        <v>3388</v>
      </c>
      <c r="X149" s="25">
        <f>INDEX('Inputs (2)'!$D$20:$AL$20,MATCH(X$7,'Inputs (2)'!$D$2:$AL$2,0))</f>
        <v>3752</v>
      </c>
      <c r="Y149" s="25">
        <f>INDEX('Inputs (2)'!$D$20:$AL$20,MATCH(Y$7,'Inputs (2)'!$D$2:$AL$2,0))</f>
        <v>4325</v>
      </c>
      <c r="Z149" s="25">
        <f>INDEX('Inputs (2)'!$D$20:$AL$20,MATCH(Z$7,'Inputs (2)'!$D$2:$AL$2,0))</f>
        <v>4888</v>
      </c>
      <c r="AA149" s="25">
        <f>INDEX('Inputs (2)'!$D$20:$AL$20,MATCH(AA$7,'Inputs (2)'!$D$2:$AL$2,0))</f>
        <v>5362</v>
      </c>
      <c r="AB149" s="3">
        <f>AA149</f>
        <v>5362</v>
      </c>
      <c r="AC149" s="25">
        <f>INDEX('Inputs (2)'!$D$20:$AL$20,MATCH(AC$7,'Inputs (2)'!$D$2:$AL$2,0))</f>
        <v>4905</v>
      </c>
      <c r="AD149" s="25">
        <f>INDEX('Inputs (2)'!$D$20:$AL$20,MATCH(AD$7,'Inputs (2)'!$D$2:$AL$2,0))</f>
        <v>5943</v>
      </c>
      <c r="AE149" s="25">
        <f>INDEX('Inputs (2)'!$D$20:$AL$20,MATCH(AE$7,'Inputs (2)'!$D$2:$AL$2,0))</f>
        <v>6027</v>
      </c>
      <c r="AF149" s="25">
        <f>INDEX('Inputs (2)'!$D$20:$AL$20,MATCH(AF$7,'Inputs (2)'!$D$2:$AL$2,0))</f>
        <v>7615</v>
      </c>
      <c r="AG149" s="3">
        <f>AF149</f>
        <v>7615</v>
      </c>
      <c r="AH149" s="3">
        <f>INDEX('Inputs (2)'!$D$20:$AL$20,MATCH(AH$7,'Inputs (2)'!$D$2:$AL$2,0))</f>
        <v>6612</v>
      </c>
      <c r="AI149" s="3">
        <f>INDEX('Inputs (2)'!$D$20:$AL$20,MATCH(AI$7,'Inputs (2)'!$D$2:$AL$2,0))</f>
        <v>7395</v>
      </c>
      <c r="AJ149" s="3">
        <f>AI149</f>
        <v>7395</v>
      </c>
      <c r="AK149" s="3">
        <f>AJ149</f>
        <v>7395</v>
      </c>
      <c r="AL149" s="3">
        <f>AK149</f>
        <v>7395</v>
      </c>
      <c r="AM149" s="3">
        <f>AL149</f>
        <v>7395</v>
      </c>
      <c r="AN149" s="3">
        <f>AM149</f>
        <v>7395</v>
      </c>
      <c r="AO149" s="3">
        <f>AN149</f>
        <v>7395</v>
      </c>
      <c r="AP149" s="3">
        <f>AO149</f>
        <v>7395</v>
      </c>
      <c r="AQ149" s="3">
        <f>AP149</f>
        <v>7395</v>
      </c>
      <c r="AR149" s="3">
        <f>AQ149</f>
        <v>7395</v>
      </c>
      <c r="AS149" s="3">
        <f>AR149</f>
        <v>7395</v>
      </c>
      <c r="AT149" s="3">
        <f>AS149</f>
        <v>7395</v>
      </c>
      <c r="AU149" s="3">
        <f>AT149</f>
        <v>7395</v>
      </c>
      <c r="AV149" s="3">
        <f>AU149</f>
        <v>7395</v>
      </c>
      <c r="AW149" s="3">
        <f>AV149</f>
        <v>7395</v>
      </c>
      <c r="AX149" s="3">
        <f>AW149</f>
        <v>7395</v>
      </c>
      <c r="AY149" s="3">
        <f>AX149</f>
        <v>7395</v>
      </c>
      <c r="AZ149" s="3">
        <f>AY149</f>
        <v>7395</v>
      </c>
      <c r="BA149" s="3">
        <f>AZ149</f>
        <v>7395</v>
      </c>
      <c r="BB149" s="3">
        <f>BA149</f>
        <v>7395</v>
      </c>
      <c r="BC149" s="3">
        <f>BB149</f>
        <v>7395</v>
      </c>
      <c r="BD149" s="3">
        <f>BC149</f>
        <v>7395</v>
      </c>
      <c r="BE149" s="3">
        <f>BD149</f>
        <v>7395</v>
      </c>
      <c r="BF149" s="3">
        <f>BE149</f>
        <v>7395</v>
      </c>
      <c r="BG149" s="3">
        <f>BF149</f>
        <v>7395</v>
      </c>
      <c r="BH149" s="3">
        <f>BG149</f>
        <v>7395</v>
      </c>
      <c r="BI149" s="3">
        <f>BH149</f>
        <v>7395</v>
      </c>
      <c r="BJ149" s="3">
        <f>BI149</f>
        <v>7395</v>
      </c>
      <c r="BK149" s="3">
        <f>BJ149</f>
        <v>7395</v>
      </c>
      <c r="BL149" s="3">
        <f>BK149</f>
        <v>7395</v>
      </c>
      <c r="BM149" s="3">
        <f>BL149</f>
        <v>7395</v>
      </c>
      <c r="BN149" s="3">
        <f>BM149</f>
        <v>7395</v>
      </c>
      <c r="BO149" s="3">
        <f>BN149</f>
        <v>7395</v>
      </c>
      <c r="BP149" s="3">
        <f>BO149</f>
        <v>7395</v>
      </c>
      <c r="BQ149" s="3">
        <f>BP149</f>
        <v>7395</v>
      </c>
      <c r="BR149" s="3">
        <f>BQ149</f>
        <v>7395</v>
      </c>
      <c r="BS149" s="3">
        <f>BR149</f>
        <v>7395</v>
      </c>
      <c r="BT149" s="3">
        <f>BS149</f>
        <v>7395</v>
      </c>
      <c r="BU149" s="3">
        <f>BT149</f>
        <v>7395</v>
      </c>
      <c r="BV149" s="3">
        <f>BU149</f>
        <v>7395</v>
      </c>
      <c r="BW149" s="3">
        <f>BV149</f>
        <v>7395</v>
      </c>
      <c r="BX149" s="3">
        <f>BW149</f>
        <v>7395</v>
      </c>
      <c r="BY149" s="3">
        <f>BX149</f>
        <v>7395</v>
      </c>
      <c r="BZ149" s="3">
        <f>BY149</f>
        <v>7395</v>
      </c>
      <c r="CA149" s="3">
        <f>BZ149</f>
        <v>7395</v>
      </c>
      <c r="CB149" s="3">
        <f>CA149</f>
        <v>7395</v>
      </c>
      <c r="CC149" s="3">
        <f>CB149</f>
        <v>7395</v>
      </c>
      <c r="CD149" s="3">
        <f>CC149</f>
        <v>7395</v>
      </c>
      <c r="CE149" s="3">
        <f>CD149</f>
        <v>7395</v>
      </c>
      <c r="CF149" s="3">
        <f>CE149</f>
        <v>7395</v>
      </c>
      <c r="CG149" s="3">
        <f>CF149</f>
        <v>7395</v>
      </c>
      <c r="CH149" s="3">
        <f>CG149</f>
        <v>7395</v>
      </c>
      <c r="CI149" s="3">
        <f>CH149</f>
        <v>7395</v>
      </c>
      <c r="CJ149" s="3">
        <f>CI149</f>
        <v>7395</v>
      </c>
      <c r="CK149" s="3">
        <f>CJ149</f>
        <v>7395</v>
      </c>
      <c r="CL149" s="3">
        <f>CK149</f>
        <v>7395</v>
      </c>
      <c r="CM149" s="3">
        <f>CL149</f>
        <v>7395</v>
      </c>
      <c r="CN149" s="3">
        <f>CM149</f>
        <v>7395</v>
      </c>
      <c r="CO149" s="3">
        <f>CN149</f>
        <v>7395</v>
      </c>
      <c r="CP149" s="3">
        <f>CO149</f>
        <v>7395</v>
      </c>
      <c r="CQ149" s="3">
        <f>CP149</f>
        <v>7395</v>
      </c>
      <c r="CR149" s="3">
        <f>CQ149</f>
        <v>7395</v>
      </c>
      <c r="CS149" s="3">
        <f>CR149</f>
        <v>7395</v>
      </c>
      <c r="CT149" s="3">
        <f>CS149</f>
        <v>7395</v>
      </c>
      <c r="CU149" s="3">
        <f>CT149</f>
        <v>7395</v>
      </c>
      <c r="CV149" s="3">
        <f>CU149</f>
        <v>7395</v>
      </c>
      <c r="CW149" s="3">
        <f>CV149</f>
        <v>7395</v>
      </c>
      <c r="CX149" s="3">
        <f>CW149</f>
        <v>7395</v>
      </c>
      <c r="CY149" s="3">
        <f>CX149</f>
        <v>7395</v>
      </c>
    </row>
    <row r="150" hidden="1" outlineLevel="1">
      <c r="C150" s="38" t="inlineStr">
        <is>
          <t>%(Var.)</t>
        </is>
      </c>
      <c r="D150" s="3" t="n"/>
      <c r="E150" s="47">
        <f>(E149-D149)/D149</f>
        <v>0.16555023923445</v>
      </c>
      <c r="F150" s="47">
        <f>(F149-E149)/E149</f>
        <v>0.0164203612479475</v>
      </c>
      <c r="G150" s="47">
        <f>(G149-F149)/F149</f>
        <v>0.0872374798061389</v>
      </c>
      <c r="H150" s="3" t="n"/>
      <c r="I150" s="47">
        <f>(I149-H149)/H149</f>
        <v>0.145616641901932</v>
      </c>
      <c r="J150" s="47">
        <f>(J149-I149)/I149</f>
        <v>0.0389105058365759</v>
      </c>
      <c r="K150" s="47">
        <f>(K149-J149)/J149</f>
        <v>0.0898876404494382</v>
      </c>
      <c r="L150" s="47">
        <f>(L149-K149)/K149</f>
        <v>-0.0131729667812142</v>
      </c>
      <c r="M150" s="3" t="n"/>
      <c r="N150" s="47">
        <f>(N149-M149)/M149</f>
        <v>0.181079512478236</v>
      </c>
      <c r="O150" s="47">
        <f>(O149-N149)/N149</f>
        <v>0.0407862407862408</v>
      </c>
      <c r="P150" s="47">
        <f>(P149-O149)/O149</f>
        <v>0.11614730878187</v>
      </c>
      <c r="Q150" s="47">
        <f>(Q149-P149)/P149</f>
        <v>0.244077834179357</v>
      </c>
      <c r="R150" s="3" t="n"/>
      <c r="S150" s="47">
        <f>(S149-R149)/R149</f>
        <v>0.097245834750085</v>
      </c>
      <c r="T150" s="47">
        <f>(T149-S149)/S149</f>
        <v>-0.0712736287573598</v>
      </c>
      <c r="U150" s="47">
        <f>(U149-T149)/T149</f>
        <v>-0.0964297630964298</v>
      </c>
      <c r="V150" s="47">
        <f>(V149-U149)/U149</f>
        <v>0.251107828655835</v>
      </c>
      <c r="W150" s="3" t="n"/>
      <c r="X150" s="47">
        <f>(X149-W149)/W149</f>
        <v>0.107438016528926</v>
      </c>
      <c r="Y150" s="47">
        <f>(Y149-X149)/X149</f>
        <v>0.15271855010661</v>
      </c>
      <c r="Z150" s="47">
        <f>(Z149-Y149)/Y149</f>
        <v>0.130173410404624</v>
      </c>
      <c r="AA150" s="47">
        <f>(AA149-Z149)/Z149</f>
        <v>0.0969721767594108</v>
      </c>
      <c r="AB150" s="3" t="n"/>
      <c r="AC150" s="47">
        <f>(AC149-AB149)/AB149</f>
        <v>-0.0852293920179038</v>
      </c>
      <c r="AD150" s="47">
        <f>(AD149-AC149)/AC149</f>
        <v>0.211620795107034</v>
      </c>
      <c r="AE150" s="47">
        <f>(AE149-AD149)/AD149</f>
        <v>0.0141342756183746</v>
      </c>
      <c r="AF150" s="218">
        <f>(AF149-AE149)/AE149</f>
        <v>0.26348100215696</v>
      </c>
      <c r="AG150" s="3" t="n"/>
      <c r="AH150" s="3">
        <f>(AH149-AG149)/AG149</f>
        <v>-0.131713722915299</v>
      </c>
      <c r="AI150" s="3">
        <f>(AI149-AH149)/AH149</f>
        <v>0.118421052631579</v>
      </c>
      <c r="AJ150" s="3" t="n"/>
      <c r="AK150" s="3" t="n"/>
      <c r="AL150" s="3" t="n"/>
      <c r="AM150" s="3" t="n"/>
      <c r="AN150" s="3" t="n"/>
      <c r="AO150" s="3" t="n"/>
      <c r="AP150" s="3" t="n"/>
      <c r="AQ150" s="3" t="n"/>
      <c r="AR150" s="3" t="n"/>
      <c r="AS150" s="3" t="n"/>
      <c r="AT150" s="3" t="n"/>
      <c r="AU150" s="3" t="n"/>
      <c r="AV150" s="3" t="n"/>
      <c r="AW150" s="3" t="n"/>
      <c r="AX150" s="3" t="n"/>
      <c r="AY150" s="3" t="n"/>
      <c r="AZ150" s="3" t="n"/>
      <c r="BA150" s="3" t="n"/>
      <c r="BB150" s="3" t="n"/>
      <c r="BC150" s="3" t="n"/>
      <c r="BD150" s="3" t="n"/>
      <c r="BE150" s="3" t="n"/>
      <c r="BF150" s="3" t="n"/>
      <c r="BG150" s="3" t="n"/>
      <c r="BH150" s="3" t="n"/>
      <c r="BI150" s="3" t="n"/>
      <c r="BJ150" s="3" t="n"/>
      <c r="BK150" s="3" t="n"/>
      <c r="BL150" s="3" t="n"/>
      <c r="BM150" s="3" t="n"/>
      <c r="BN150" s="3" t="n"/>
      <c r="BO150" s="3" t="n"/>
      <c r="BP150" s="3" t="n"/>
      <c r="BQ150" s="3" t="n"/>
      <c r="BR150" s="3" t="n"/>
      <c r="BS150" s="3" t="n"/>
      <c r="BT150" s="3" t="n"/>
      <c r="BU150" s="3" t="n"/>
      <c r="BV150" s="3" t="n"/>
      <c r="BW150" s="3" t="n"/>
      <c r="BX150" s="3" t="n"/>
      <c r="BY150" s="3" t="n"/>
      <c r="BZ150" s="3" t="n"/>
      <c r="CA150" s="3" t="n"/>
      <c r="CB150" s="3" t="n"/>
      <c r="CC150" s="3" t="n"/>
      <c r="CD150" s="3" t="n"/>
      <c r="CE150" s="3" t="n"/>
      <c r="CF150" s="3" t="n"/>
      <c r="CG150" s="3" t="n"/>
      <c r="CH150" s="3" t="n"/>
      <c r="CI150" s="3" t="n"/>
      <c r="CJ150" s="3" t="n"/>
      <c r="CK150" s="3" t="n"/>
      <c r="CL150" s="3" t="n"/>
      <c r="CM150" s="3" t="n"/>
      <c r="CN150" s="3" t="n"/>
      <c r="CO150" s="3" t="n"/>
      <c r="CP150" s="3" t="n"/>
      <c r="CQ150" s="3" t="n"/>
      <c r="CR150" s="3" t="n"/>
      <c r="CS150" s="3" t="n"/>
      <c r="CT150" s="3" t="n"/>
      <c r="CU150" s="3" t="n"/>
      <c r="CV150" s="3" t="n"/>
      <c r="CW150" s="3" t="n"/>
      <c r="CX150" s="3" t="n"/>
      <c r="CY150" s="3" t="n"/>
    </row>
    <row r="151" hidden="1" outlineLevel="1">
      <c r="C151" s="34" t="n"/>
      <c r="D151" s="3" t="n"/>
      <c r="E151" s="47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  <c r="AD151" s="3" t="n"/>
      <c r="AE151" s="3" t="n"/>
      <c r="AF151" s="3" t="n"/>
      <c r="AG151" s="3" t="n"/>
      <c r="AH151" s="3" t="n"/>
      <c r="AI151" s="3" t="n"/>
      <c r="AJ151" s="3" t="n"/>
      <c r="AK151" s="3" t="n"/>
      <c r="AL151" s="3" t="n"/>
      <c r="AM151" s="3" t="n"/>
      <c r="AN151" s="3" t="n"/>
      <c r="AO151" s="3" t="n"/>
      <c r="AP151" s="3" t="n"/>
      <c r="AQ151" s="3" t="n"/>
      <c r="AR151" s="3" t="n"/>
      <c r="AS151" s="3" t="n"/>
      <c r="AT151" s="3" t="n"/>
      <c r="AU151" s="3" t="n"/>
      <c r="AV151" s="3" t="n"/>
      <c r="AW151" s="3" t="n"/>
      <c r="AX151" s="3" t="n"/>
      <c r="AY151" s="3" t="n"/>
      <c r="AZ151" s="3" t="n"/>
      <c r="BA151" s="3" t="n"/>
      <c r="BB151" s="3" t="n"/>
      <c r="BC151" s="3" t="n"/>
      <c r="BD151" s="3" t="n"/>
      <c r="BE151" s="3" t="n"/>
      <c r="BF151" s="3" t="n"/>
      <c r="BG151" s="3" t="n"/>
      <c r="BH151" s="3" t="n"/>
      <c r="BI151" s="3" t="n"/>
      <c r="BJ151" s="3" t="n"/>
      <c r="BK151" s="3" t="n"/>
      <c r="BL151" s="3" t="n"/>
      <c r="BM151" s="3" t="n"/>
      <c r="BN151" s="3" t="n"/>
      <c r="BO151" s="3" t="n"/>
      <c r="BP151" s="3" t="n"/>
      <c r="BQ151" s="3" t="n"/>
      <c r="BR151" s="3" t="n"/>
      <c r="BS151" s="3" t="n"/>
      <c r="BT151" s="3" t="n"/>
      <c r="BU151" s="3" t="n"/>
      <c r="BV151" s="3" t="n"/>
      <c r="BW151" s="3" t="n"/>
      <c r="BX151" s="3" t="n"/>
      <c r="BY151" s="3" t="n"/>
      <c r="BZ151" s="3" t="n"/>
      <c r="CA151" s="3" t="n"/>
      <c r="CB151" s="3" t="n"/>
      <c r="CC151" s="3" t="n"/>
      <c r="CD151" s="3" t="n"/>
      <c r="CE151" s="3" t="n"/>
      <c r="CF151" s="3" t="n"/>
      <c r="CG151" s="3" t="n"/>
      <c r="CH151" s="3" t="n"/>
      <c r="CI151" s="3" t="n"/>
      <c r="CJ151" s="3" t="n"/>
      <c r="CK151" s="3" t="n"/>
      <c r="CL151" s="3" t="n"/>
      <c r="CM151" s="3" t="n"/>
      <c r="CN151" s="3" t="n"/>
      <c r="CO151" s="3" t="n"/>
      <c r="CP151" s="3" t="n"/>
      <c r="CQ151" s="3" t="n"/>
      <c r="CR151" s="3" t="n"/>
      <c r="CS151" s="3" t="n"/>
      <c r="CT151" s="3" t="n"/>
      <c r="CU151" s="3" t="n"/>
      <c r="CV151" s="3" t="n"/>
      <c r="CW151" s="3" t="n"/>
      <c r="CX151" s="3" t="n"/>
      <c r="CY151" s="3" t="n"/>
    </row>
    <row r="152" hidden="1" outlineLevel="1">
      <c r="C152" s="52" t="inlineStr">
        <is>
          <t xml:space="preserve">Impostos e Contribuições a Recuperar </t>
        </is>
      </c>
      <c r="D152" s="6" t="n"/>
      <c r="E152" s="6" t="n"/>
      <c r="F152" s="6" t="n"/>
      <c r="G152" s="6" t="n"/>
      <c r="H152" s="3" t="n"/>
      <c r="I152" s="6" t="n"/>
      <c r="J152" s="6" t="n"/>
      <c r="K152" s="6" t="n"/>
      <c r="L152" s="6" t="n"/>
      <c r="M152" s="3" t="n"/>
      <c r="N152" s="6" t="n"/>
      <c r="O152" s="6" t="n"/>
      <c r="P152" s="6" t="n"/>
      <c r="Q152" s="6" t="n"/>
      <c r="R152" s="3" t="n"/>
      <c r="S152" s="6" t="n"/>
      <c r="T152" s="6" t="n"/>
      <c r="U152" s="6" t="n"/>
      <c r="V152" s="6" t="n"/>
      <c r="W152" s="3" t="n"/>
      <c r="X152" s="6" t="n"/>
      <c r="Y152" s="6" t="n"/>
      <c r="Z152" s="6" t="n"/>
      <c r="AA152" s="6" t="n"/>
      <c r="AB152" s="3" t="n"/>
      <c r="AC152" s="6" t="n"/>
      <c r="AD152" s="6" t="n"/>
      <c r="AE152" s="6" t="n"/>
      <c r="AF152" s="6" t="n"/>
      <c r="AG152" s="3">
        <f>AF152</f>
        <v>0</v>
      </c>
      <c r="AH152" s="216">
        <f>AG152*AH15/AG15</f>
        <v>0</v>
      </c>
      <c r="AI152" s="216">
        <f>AH152*AI15/AH15</f>
        <v>0</v>
      </c>
      <c r="AJ152" s="216">
        <f>AI152*AJ15/AI15</f>
        <v>0</v>
      </c>
      <c r="AK152" s="216">
        <f>AJ152*AK15/AJ15</f>
        <v>0</v>
      </c>
      <c r="AL152" s="3">
        <f>AK152</f>
        <v>0</v>
      </c>
      <c r="AM152" s="3" t="n"/>
      <c r="AN152" s="3" t="n"/>
      <c r="AO152" s="3" t="n"/>
      <c r="AP152" s="3" t="n"/>
      <c r="AQ152" s="3" t="n"/>
      <c r="AR152" s="3" t="n"/>
      <c r="AS152" s="3" t="n"/>
      <c r="AT152" s="3" t="n"/>
      <c r="AU152" s="3" t="n"/>
      <c r="AV152" s="3" t="n"/>
      <c r="AW152" s="3" t="n"/>
      <c r="AX152" s="3" t="n"/>
      <c r="AY152" s="3" t="n"/>
      <c r="AZ152" s="3" t="n"/>
      <c r="BA152" s="3" t="n"/>
      <c r="BB152" s="3" t="n"/>
      <c r="BC152" s="3" t="n"/>
      <c r="BD152" s="3" t="n"/>
      <c r="BE152" s="3" t="n"/>
      <c r="BF152" s="3" t="n"/>
      <c r="BG152" s="3" t="n"/>
      <c r="BH152" s="3" t="n"/>
      <c r="BI152" s="3" t="n"/>
      <c r="BJ152" s="3" t="n"/>
      <c r="BK152" s="3" t="n"/>
      <c r="BL152" s="3" t="n"/>
      <c r="BM152" s="3" t="n"/>
      <c r="BN152" s="3" t="n"/>
      <c r="BO152" s="3" t="n"/>
      <c r="BP152" s="3" t="n"/>
      <c r="BQ152" s="3" t="n"/>
      <c r="BR152" s="3" t="n"/>
      <c r="BS152" s="3" t="n"/>
      <c r="BT152" s="3" t="n"/>
      <c r="BU152" s="3" t="n"/>
      <c r="BV152" s="3" t="n"/>
      <c r="BW152" s="3" t="n"/>
      <c r="BX152" s="3" t="n"/>
      <c r="BY152" s="3" t="n"/>
      <c r="BZ152" s="3" t="n"/>
      <c r="CA152" s="3" t="n"/>
      <c r="CB152" s="3" t="n"/>
      <c r="CC152" s="3" t="n"/>
      <c r="CD152" s="3" t="n"/>
      <c r="CE152" s="3" t="n"/>
      <c r="CF152" s="3" t="n"/>
      <c r="CG152" s="3" t="n"/>
      <c r="CH152" s="3" t="n"/>
      <c r="CI152" s="3" t="n"/>
      <c r="CJ152" s="3" t="n"/>
      <c r="CK152" s="3" t="n"/>
      <c r="CL152" s="3" t="n"/>
      <c r="CM152" s="3" t="n"/>
      <c r="CN152" s="3" t="n"/>
      <c r="CO152" s="3" t="n"/>
      <c r="CP152" s="3" t="n"/>
      <c r="CQ152" s="3" t="n"/>
      <c r="CR152" s="3" t="n"/>
      <c r="CS152" s="3" t="n"/>
      <c r="CT152" s="3" t="n"/>
      <c r="CU152" s="3" t="n"/>
      <c r="CV152" s="3" t="n"/>
      <c r="CW152" s="3" t="n"/>
      <c r="CX152" s="3" t="n"/>
      <c r="CY152" s="3" t="n"/>
    </row>
    <row r="153" hidden="1" outlineLevel="1">
      <c r="C153" s="52" t="inlineStr">
        <is>
          <t>Outros Créditos</t>
        </is>
      </c>
      <c r="D153" s="6" t="n"/>
      <c r="E153" s="6" t="n"/>
      <c r="F153" s="6" t="n"/>
      <c r="G153" s="6" t="n"/>
      <c r="H153" s="3" t="n"/>
      <c r="I153" s="6" t="n"/>
      <c r="J153" s="6" t="n"/>
      <c r="K153" s="6" t="n"/>
      <c r="L153" s="6" t="n"/>
      <c r="M153" s="3" t="n"/>
      <c r="N153" s="6" t="n"/>
      <c r="O153" s="6" t="n"/>
      <c r="P153" s="6" t="n"/>
      <c r="Q153" s="6" t="n"/>
      <c r="R153" s="3" t="n"/>
      <c r="S153" s="6" t="n"/>
      <c r="T153" s="6" t="n"/>
      <c r="U153" s="6" t="n"/>
      <c r="V153" s="6" t="n"/>
      <c r="W153" s="3" t="n"/>
      <c r="X153" s="6" t="n"/>
      <c r="Y153" s="6" t="n"/>
      <c r="Z153" s="6" t="n"/>
      <c r="AA153" s="6" t="n"/>
      <c r="AB153" s="3" t="n"/>
      <c r="AC153" s="6" t="n"/>
      <c r="AD153" s="6" t="n"/>
      <c r="AE153" s="6" t="n"/>
      <c r="AF153" s="6" t="n"/>
      <c r="AG153" s="3">
        <f>AF153</f>
        <v>0</v>
      </c>
      <c r="AH153" s="3">
        <f>AG153</f>
        <v>0</v>
      </c>
      <c r="AI153" s="3">
        <f>AH153</f>
        <v>0</v>
      </c>
      <c r="AJ153" s="3">
        <f>AI153</f>
        <v>0</v>
      </c>
      <c r="AK153" s="3">
        <f>AJ153</f>
        <v>0</v>
      </c>
      <c r="AL153" s="3">
        <f>AK153</f>
        <v>0</v>
      </c>
      <c r="AM153" s="3" t="n"/>
      <c r="AN153" s="3" t="n"/>
      <c r="AO153" s="3" t="n"/>
      <c r="AP153" s="3" t="n"/>
      <c r="AQ153" s="3" t="n"/>
      <c r="AR153" s="3" t="n"/>
      <c r="AS153" s="3" t="n"/>
      <c r="AT153" s="3" t="n"/>
      <c r="AU153" s="3" t="n"/>
      <c r="AV153" s="3" t="n"/>
      <c r="AW153" s="3" t="n"/>
      <c r="AX153" s="3" t="n"/>
      <c r="AY153" s="3" t="n"/>
      <c r="AZ153" s="3" t="n"/>
      <c r="BA153" s="3" t="n"/>
      <c r="BB153" s="3" t="n"/>
      <c r="BC153" s="3" t="n"/>
      <c r="BD153" s="3" t="n"/>
      <c r="BE153" s="3" t="n"/>
      <c r="BF153" s="3" t="n"/>
      <c r="BG153" s="3" t="n"/>
      <c r="BH153" s="3" t="n"/>
      <c r="BI153" s="3" t="n"/>
      <c r="BJ153" s="3" t="n"/>
      <c r="BK153" s="3" t="n"/>
      <c r="BL153" s="3" t="n"/>
      <c r="BM153" s="3" t="n"/>
      <c r="BN153" s="3" t="n"/>
      <c r="BO153" s="3" t="n"/>
      <c r="BP153" s="3" t="n"/>
      <c r="BQ153" s="3" t="n"/>
      <c r="BR153" s="3" t="n"/>
      <c r="BS153" s="3" t="n"/>
      <c r="BT153" s="3" t="n"/>
      <c r="BU153" s="3" t="n"/>
      <c r="BV153" s="3" t="n"/>
      <c r="BW153" s="3" t="n"/>
      <c r="BX153" s="3" t="n"/>
      <c r="BY153" s="3" t="n"/>
      <c r="BZ153" s="3" t="n"/>
      <c r="CA153" s="3" t="n"/>
      <c r="CB153" s="3" t="n"/>
      <c r="CC153" s="3" t="n"/>
      <c r="CD153" s="3" t="n"/>
      <c r="CE153" s="3" t="n"/>
      <c r="CF153" s="3" t="n"/>
      <c r="CG153" s="3" t="n"/>
      <c r="CH153" s="3" t="n"/>
      <c r="CI153" s="3" t="n"/>
      <c r="CJ153" s="3" t="n"/>
      <c r="CK153" s="3" t="n"/>
      <c r="CL153" s="3" t="n"/>
      <c r="CM153" s="3" t="n"/>
      <c r="CN153" s="3" t="n"/>
      <c r="CO153" s="3" t="n"/>
      <c r="CP153" s="3" t="n"/>
      <c r="CQ153" s="3" t="n"/>
      <c r="CR153" s="3" t="n"/>
      <c r="CS153" s="3" t="n"/>
      <c r="CT153" s="3" t="n"/>
      <c r="CU153" s="3" t="n"/>
      <c r="CV153" s="3" t="n"/>
      <c r="CW153" s="3" t="n"/>
      <c r="CX153" s="3" t="n"/>
      <c r="CY153" s="3" t="n"/>
    </row>
    <row r="154" hidden="1" outlineLevel="1">
      <c r="C154" s="34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n"/>
      <c r="AF154" s="3" t="n"/>
      <c r="AG154" s="3" t="n"/>
      <c r="AH154" s="3" t="n"/>
      <c r="AI154" s="3" t="n"/>
      <c r="AJ154" s="3" t="n"/>
      <c r="AK154" s="3" t="n"/>
      <c r="AL154" s="3" t="n"/>
      <c r="AM154" s="3" t="n"/>
      <c r="AN154" s="3" t="n"/>
      <c r="AO154" s="3" t="n"/>
      <c r="AP154" s="3" t="n"/>
      <c r="AQ154" s="3" t="n"/>
      <c r="AR154" s="3" t="n"/>
      <c r="AS154" s="3" t="n"/>
      <c r="AT154" s="3" t="n"/>
      <c r="AU154" s="3" t="n"/>
      <c r="AV154" s="3" t="n"/>
      <c r="AW154" s="3" t="n"/>
      <c r="AX154" s="3" t="n"/>
      <c r="AY154" s="3" t="n"/>
      <c r="AZ154" s="3" t="n"/>
      <c r="BA154" s="3" t="n"/>
      <c r="BB154" s="3" t="n"/>
      <c r="BC154" s="3" t="n"/>
      <c r="BD154" s="3" t="n"/>
      <c r="BE154" s="3" t="n"/>
      <c r="BF154" s="3" t="n"/>
      <c r="BG154" s="3" t="n"/>
      <c r="BH154" s="3" t="n"/>
      <c r="BI154" s="3" t="n"/>
      <c r="BJ154" s="3" t="n"/>
      <c r="BK154" s="3" t="n"/>
      <c r="BL154" s="3" t="n"/>
      <c r="BM154" s="3" t="n"/>
      <c r="BN154" s="3" t="n"/>
      <c r="BO154" s="3" t="n"/>
      <c r="BP154" s="3" t="n"/>
      <c r="BQ154" s="3" t="n"/>
      <c r="BR154" s="3" t="n"/>
      <c r="BS154" s="3" t="n"/>
      <c r="BT154" s="3" t="n"/>
      <c r="BU154" s="3" t="n"/>
      <c r="BV154" s="3" t="n"/>
      <c r="BW154" s="3" t="n"/>
      <c r="BX154" s="3" t="n"/>
      <c r="BY154" s="3" t="n"/>
      <c r="BZ154" s="3" t="n"/>
      <c r="CA154" s="3" t="n"/>
      <c r="CB154" s="3" t="n"/>
      <c r="CC154" s="3" t="n"/>
      <c r="CD154" s="3" t="n"/>
      <c r="CE154" s="3" t="n"/>
      <c r="CF154" s="3" t="n"/>
      <c r="CG154" s="3" t="n"/>
      <c r="CH154" s="3" t="n"/>
      <c r="CI154" s="3" t="n"/>
      <c r="CJ154" s="3" t="n"/>
      <c r="CK154" s="3" t="n"/>
      <c r="CL154" s="3" t="n"/>
      <c r="CM154" s="3" t="n"/>
      <c r="CN154" s="3" t="n"/>
      <c r="CO154" s="3" t="n"/>
      <c r="CP154" s="3" t="n"/>
      <c r="CQ154" s="3" t="n"/>
      <c r="CR154" s="3" t="n"/>
      <c r="CS154" s="3" t="n"/>
      <c r="CT154" s="3" t="n"/>
      <c r="CU154" s="3" t="n"/>
      <c r="CV154" s="3" t="n"/>
      <c r="CW154" s="3" t="n"/>
      <c r="CX154" s="3" t="n"/>
      <c r="CY154" s="3" t="n"/>
    </row>
    <row r="155" collapsed="1">
      <c r="C155" s="26" t="inlineStr">
        <is>
          <t>Equity in affiliates</t>
        </is>
      </c>
      <c r="D155" s="25">
        <f>INDEX('Inputs (2)'!$D$21:$AL$21,MATCH(D$7,'Inputs (2)'!$D$2:$AL$2,0))</f>
        <v>0</v>
      </c>
      <c r="E155" s="25">
        <f>INDEX('Inputs (2)'!$D$21:$AL$21,MATCH(E$7,'Inputs (2)'!$D$2:$AL$2,0))</f>
        <v>0</v>
      </c>
      <c r="F155" s="25">
        <f>INDEX('Inputs (2)'!$D$21:$AL$21,MATCH(F$7,'Inputs (2)'!$D$2:$AL$2,0))</f>
        <v>0</v>
      </c>
      <c r="G155" s="25">
        <f>INDEX('Inputs (2)'!$D$21:$AL$21,MATCH(G$7,'Inputs (2)'!$D$2:$AL$2,0))</f>
        <v>0</v>
      </c>
      <c r="H155" s="3">
        <f>G155</f>
        <v>0</v>
      </c>
      <c r="I155" s="25">
        <f>INDEX('Inputs (2)'!$D$21:$AL$21,MATCH(I$7,'Inputs (2)'!$D$2:$AL$2,0))</f>
        <v>0</v>
      </c>
      <c r="J155" s="25">
        <f>INDEX('Inputs (2)'!$D$21:$AL$21,MATCH(J$7,'Inputs (2)'!$D$2:$AL$2,0))</f>
        <v>0</v>
      </c>
      <c r="K155" s="25">
        <f>INDEX('Inputs (2)'!$D$21:$AL$21,MATCH(K$7,'Inputs (2)'!$D$2:$AL$2,0))</f>
        <v>0</v>
      </c>
      <c r="L155" s="25">
        <f>INDEX('Inputs (2)'!$D$21:$AL$21,MATCH(L$7,'Inputs (2)'!$D$2:$AL$2,0))</f>
        <v>0</v>
      </c>
      <c r="M155" s="3">
        <f>L155</f>
        <v>0</v>
      </c>
      <c r="N155" s="25">
        <f>INDEX('Inputs (2)'!$D$21:$AL$21,MATCH(N$7,'Inputs (2)'!$D$2:$AL$2,0))</f>
        <v>0</v>
      </c>
      <c r="O155" s="25">
        <f>INDEX('Inputs (2)'!$D$21:$AL$21,MATCH(O$7,'Inputs (2)'!$D$2:$AL$2,0))</f>
        <v>0</v>
      </c>
      <c r="P155" s="25">
        <f>INDEX('Inputs (2)'!$D$21:$AL$21,MATCH(P$7,'Inputs (2)'!$D$2:$AL$2,0))</f>
        <v>0</v>
      </c>
      <c r="Q155" s="25">
        <f>INDEX('Inputs (2)'!$D$21:$AL$21,MATCH(Q$7,'Inputs (2)'!$D$2:$AL$2,0))</f>
        <v>0</v>
      </c>
      <c r="R155" s="3">
        <f>Q155</f>
        <v>0</v>
      </c>
      <c r="S155" s="25">
        <f>INDEX('Inputs (2)'!$D$21:$AL$21,MATCH(S$7,'Inputs (2)'!$D$2:$AL$2,0))</f>
        <v>0</v>
      </c>
      <c r="T155" s="25">
        <f>INDEX('Inputs (2)'!$D$21:$AL$21,MATCH(T$7,'Inputs (2)'!$D$2:$AL$2,0))</f>
        <v>0</v>
      </c>
      <c r="U155" s="25">
        <f>INDEX('Inputs (2)'!$D$21:$AL$21,MATCH(U$7,'Inputs (2)'!$D$2:$AL$2,0))</f>
        <v>0</v>
      </c>
      <c r="V155" s="25">
        <f>INDEX('Inputs (2)'!$D$21:$AL$21,MATCH(V$7,'Inputs (2)'!$D$2:$AL$2,0))</f>
        <v>0</v>
      </c>
      <c r="W155" s="3">
        <f>V155</f>
        <v>0</v>
      </c>
      <c r="X155" s="25">
        <f>INDEX('Inputs (2)'!$D$21:$AL$21,MATCH(X$7,'Inputs (2)'!$D$2:$AL$2,0))</f>
        <v>0</v>
      </c>
      <c r="Y155" s="25">
        <f>INDEX('Inputs (2)'!$D$21:$AL$21,MATCH(Y$7,'Inputs (2)'!$D$2:$AL$2,0))</f>
        <v>0</v>
      </c>
      <c r="Z155" s="25">
        <f>INDEX('Inputs (2)'!$D$21:$AL$21,MATCH(Z$7,'Inputs (2)'!$D$2:$AL$2,0))</f>
        <v>0</v>
      </c>
      <c r="AA155" s="25">
        <f>INDEX('Inputs (2)'!$D$21:$AL$21,MATCH(AA$7,'Inputs (2)'!$D$2:$AL$2,0))</f>
        <v>0</v>
      </c>
      <c r="AB155" s="3">
        <f>AA155</f>
        <v>0</v>
      </c>
      <c r="AC155" s="25">
        <f>INDEX('Inputs (2)'!$D$21:$AL$21,MATCH(AC$7,'Inputs (2)'!$D$2:$AL$2,0))</f>
        <v>0</v>
      </c>
      <c r="AD155" s="25">
        <f>INDEX('Inputs (2)'!$D$21:$AL$21,MATCH(AD$7,'Inputs (2)'!$D$2:$AL$2,0))</f>
        <v>0</v>
      </c>
      <c r="AE155" s="25">
        <f>INDEX('Inputs (2)'!$D$21:$AL$21,MATCH(AE$7,'Inputs (2)'!$D$2:$AL$2,0))</f>
        <v>0</v>
      </c>
      <c r="AF155" s="25">
        <f>INDEX('Inputs (2)'!$D$21:$AL$21,MATCH(AF$7,'Inputs (2)'!$D$2:$AL$2,0))</f>
        <v>0</v>
      </c>
      <c r="AG155" s="3">
        <f>AF155</f>
        <v>0</v>
      </c>
      <c r="AH155" s="3">
        <f>INDEX('Inputs (2)'!$D$21:$AL$21,MATCH(AH$7,'Inputs (2)'!$D$2:$AL$2,0))</f>
        <v>0</v>
      </c>
      <c r="AI155" s="3">
        <f>INDEX('Inputs (2)'!$D$21:$AL$21,MATCH(AI$7,'Inputs (2)'!$D$2:$AL$2,0))</f>
        <v>0</v>
      </c>
      <c r="AJ155" s="3">
        <f>AI155+AJ129+AJ158</f>
        <v>0</v>
      </c>
      <c r="AK155" s="3">
        <f>AJ155+AK129+AK158</f>
        <v>0</v>
      </c>
      <c r="AL155" s="3">
        <f>AK155</f>
        <v>0</v>
      </c>
      <c r="AM155" s="3">
        <f>AL155+AM129+AM158</f>
        <v>0</v>
      </c>
      <c r="AN155" s="3">
        <f>AM155+AN129+AN158</f>
        <v>0</v>
      </c>
      <c r="AO155" s="3">
        <f>AN155+AO129+AO158</f>
        <v>0</v>
      </c>
      <c r="AP155" s="3">
        <f>AO155+AP129+AP158</f>
        <v>0</v>
      </c>
      <c r="AQ155" s="3">
        <f>AP155</f>
        <v>0</v>
      </c>
      <c r="AR155" s="3">
        <f>AQ155+AR129+AR158</f>
        <v>0</v>
      </c>
      <c r="AS155" s="3">
        <f>AR155+AS129+AS158</f>
        <v>0</v>
      </c>
      <c r="AT155" s="3">
        <f>AS155+AT129+AT158</f>
        <v>0</v>
      </c>
      <c r="AU155" s="3">
        <f>AT155+AU129+AU158</f>
        <v>0</v>
      </c>
      <c r="AV155" s="3">
        <f>AU155</f>
        <v>0</v>
      </c>
      <c r="AW155" s="3">
        <f>AV155+AW129+AW158</f>
        <v>0</v>
      </c>
      <c r="AX155" s="3">
        <f>AW155+AX129+AX158</f>
        <v>0</v>
      </c>
      <c r="AY155" s="3">
        <f>AX155+AY129+AY158</f>
        <v>0</v>
      </c>
      <c r="AZ155" s="3">
        <f>AY155+AZ129+AZ158</f>
        <v>0</v>
      </c>
      <c r="BA155" s="3">
        <f>AZ155</f>
        <v>0</v>
      </c>
      <c r="BB155" s="3">
        <f>BA155+BB129+BB158</f>
        <v>0</v>
      </c>
      <c r="BC155" s="3">
        <f>BB155+BC129+BC158</f>
        <v>0</v>
      </c>
      <c r="BD155" s="3">
        <f>BC155+BD129+BD158</f>
        <v>0</v>
      </c>
      <c r="BE155" s="3">
        <f>BD155+BE129+BE158</f>
        <v>0</v>
      </c>
      <c r="BF155" s="3">
        <f>BE155</f>
        <v>0</v>
      </c>
      <c r="BG155" s="3">
        <f>BF155+BG129+BG158</f>
        <v>0</v>
      </c>
      <c r="BH155" s="3">
        <f>BG155+BH129+BH158</f>
        <v>0</v>
      </c>
      <c r="BI155" s="3">
        <f>BH155+BI129+BI158</f>
        <v>0</v>
      </c>
      <c r="BJ155" s="3">
        <f>BI155+BJ129+BJ158</f>
        <v>0</v>
      </c>
      <c r="BK155" s="3">
        <f>BJ155</f>
        <v>0</v>
      </c>
      <c r="BL155" s="3">
        <f>BK155+BL129+BL158</f>
        <v>0</v>
      </c>
      <c r="BM155" s="3">
        <f>BL155+BM129+BM158</f>
        <v>0</v>
      </c>
      <c r="BN155" s="3">
        <f>BM155+BN129+BN158</f>
        <v>0</v>
      </c>
      <c r="BO155" s="3">
        <f>BN155+BO129+BO158</f>
        <v>0</v>
      </c>
      <c r="BP155" s="3">
        <f>BO155</f>
        <v>0</v>
      </c>
      <c r="BQ155" s="3">
        <f>BP155+BQ129+BQ158</f>
        <v>0</v>
      </c>
      <c r="BR155" s="3">
        <f>BQ155+BR129+BR158</f>
        <v>0</v>
      </c>
      <c r="BS155" s="3">
        <f>BR155+BS129+BS158</f>
        <v>0</v>
      </c>
      <c r="BT155" s="3">
        <f>BS155+BT129+BT158</f>
        <v>0</v>
      </c>
      <c r="BU155" s="3">
        <f>BT155</f>
        <v>0</v>
      </c>
      <c r="BV155" s="3">
        <f>BU155+BV129+BV158</f>
        <v>0</v>
      </c>
      <c r="BW155" s="3">
        <f>BV155+BW129+BW158</f>
        <v>0</v>
      </c>
      <c r="BX155" s="3">
        <f>BW155+BX129+BX158</f>
        <v>0</v>
      </c>
      <c r="BY155" s="3">
        <f>BX155+BY129+BY158</f>
        <v>0</v>
      </c>
      <c r="BZ155" s="3">
        <f>BY155</f>
        <v>0</v>
      </c>
      <c r="CA155" s="3">
        <f>BZ155+CA129+CA158</f>
        <v>0</v>
      </c>
      <c r="CB155" s="3">
        <f>CA155+CB129+CB158</f>
        <v>0</v>
      </c>
      <c r="CC155" s="3">
        <f>CB155+CC129+CC158</f>
        <v>0</v>
      </c>
      <c r="CD155" s="3">
        <f>CC155+CD129+CD158</f>
        <v>0</v>
      </c>
      <c r="CE155" s="3">
        <f>CD155</f>
        <v>0</v>
      </c>
      <c r="CF155" s="3">
        <f>CE155+CF129+CF158</f>
        <v>0</v>
      </c>
      <c r="CG155" s="3">
        <f>CF155+CG129+CG158</f>
        <v>0</v>
      </c>
      <c r="CH155" s="3">
        <f>CG155+CH129+CH158</f>
        <v>0</v>
      </c>
      <c r="CI155" s="3">
        <f>CH155+CI129+CI158</f>
        <v>0</v>
      </c>
      <c r="CJ155" s="3">
        <f>CI155</f>
        <v>0</v>
      </c>
      <c r="CK155" s="3">
        <f>CJ155+CK129+CK158</f>
        <v>0</v>
      </c>
      <c r="CL155" s="3">
        <f>CK155+CL129+CL158</f>
        <v>0</v>
      </c>
      <c r="CM155" s="3">
        <f>CL155+CM129+CM158</f>
        <v>0</v>
      </c>
      <c r="CN155" s="3">
        <f>CM155+CN129+CN158</f>
        <v>0</v>
      </c>
      <c r="CO155" s="3">
        <f>CN155</f>
        <v>0</v>
      </c>
      <c r="CP155" s="3">
        <f>CO155+CP129+CP158</f>
        <v>0</v>
      </c>
      <c r="CQ155" s="3">
        <f>CP155+CQ129+CQ158</f>
        <v>0</v>
      </c>
      <c r="CR155" s="3">
        <f>CQ155+CR129+CR158</f>
        <v>0</v>
      </c>
      <c r="CS155" s="3">
        <f>CR155+CS129+CS158</f>
        <v>0</v>
      </c>
      <c r="CT155" s="3">
        <f>CS155</f>
        <v>0</v>
      </c>
      <c r="CU155" s="3">
        <f>CT155+CU129+CU158</f>
        <v>0</v>
      </c>
      <c r="CV155" s="3">
        <f>CU155+CV129+CV158</f>
        <v>0</v>
      </c>
      <c r="CW155" s="3">
        <f>CV155+CW129+CW158</f>
        <v>0</v>
      </c>
      <c r="CX155" s="3">
        <f>CW155+CX129+CX158</f>
        <v>0</v>
      </c>
      <c r="CY155" s="3">
        <f>CX155</f>
        <v>0</v>
      </c>
    </row>
    <row r="156" hidden="1" outlineLevel="1">
      <c r="C156" s="34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/>
      <c r="AC156" s="3" t="n"/>
      <c r="AD156" s="3" t="n"/>
      <c r="AE156" s="3" t="n"/>
      <c r="AF156" s="3" t="n"/>
      <c r="AG156" s="3" t="n"/>
      <c r="AH156" s="3" t="n"/>
      <c r="AI156" s="3" t="n"/>
      <c r="AJ156" s="3" t="n"/>
      <c r="AK156" s="3" t="n"/>
      <c r="AL156" s="3" t="n"/>
      <c r="AM156" s="3" t="n"/>
      <c r="AN156" s="3" t="n"/>
      <c r="AO156" s="3" t="n"/>
      <c r="AP156" s="3" t="n"/>
      <c r="AQ156" s="3" t="n"/>
      <c r="AR156" s="3" t="n"/>
      <c r="AS156" s="3" t="n"/>
      <c r="AT156" s="3" t="n"/>
      <c r="AU156" s="3" t="n"/>
      <c r="AV156" s="3" t="n"/>
      <c r="AW156" s="3" t="n"/>
      <c r="AX156" s="3" t="n"/>
      <c r="AY156" s="3" t="n"/>
      <c r="AZ156" s="3" t="n"/>
      <c r="BA156" s="3" t="n"/>
      <c r="BB156" s="3" t="n"/>
      <c r="BC156" s="3" t="n"/>
      <c r="BD156" s="3" t="n"/>
      <c r="BE156" s="3" t="n"/>
      <c r="BF156" s="3" t="n"/>
      <c r="BG156" s="3" t="n"/>
      <c r="BH156" s="3" t="n"/>
      <c r="BI156" s="3" t="n"/>
      <c r="BJ156" s="3" t="n"/>
      <c r="BK156" s="3" t="n"/>
      <c r="BL156" s="3" t="n"/>
      <c r="BM156" s="3" t="n"/>
      <c r="BN156" s="3" t="n"/>
      <c r="BO156" s="3" t="n"/>
      <c r="BP156" s="3" t="n"/>
      <c r="BQ156" s="3" t="n"/>
      <c r="BR156" s="3" t="n"/>
      <c r="BS156" s="3" t="n"/>
      <c r="BT156" s="3" t="n"/>
      <c r="BU156" s="3" t="n"/>
      <c r="BV156" s="3" t="n"/>
      <c r="BW156" s="3" t="n"/>
      <c r="BX156" s="3" t="n"/>
      <c r="BY156" s="3" t="n"/>
      <c r="BZ156" s="3" t="n"/>
      <c r="CA156" s="3" t="n"/>
      <c r="CB156" s="3" t="n"/>
      <c r="CC156" s="3" t="n"/>
      <c r="CD156" s="3" t="n"/>
      <c r="CE156" s="3" t="n"/>
      <c r="CF156" s="3" t="n"/>
      <c r="CG156" s="3" t="n"/>
      <c r="CH156" s="3" t="n"/>
      <c r="CI156" s="3" t="n"/>
      <c r="CJ156" s="3" t="n"/>
      <c r="CK156" s="3" t="n"/>
      <c r="CL156" s="3" t="n"/>
      <c r="CM156" s="3" t="n"/>
      <c r="CN156" s="3" t="n"/>
      <c r="CO156" s="3" t="n"/>
      <c r="CP156" s="3" t="n"/>
      <c r="CQ156" s="3" t="n"/>
      <c r="CR156" s="3" t="n"/>
      <c r="CS156" s="3" t="n"/>
      <c r="CT156" s="3" t="n"/>
      <c r="CU156" s="3" t="n"/>
      <c r="CV156" s="3" t="n"/>
      <c r="CW156" s="3" t="n"/>
      <c r="CX156" s="3" t="n"/>
      <c r="CY156" s="3" t="n"/>
    </row>
    <row r="157" hidden="1" outlineLevel="1">
      <c r="C157" s="34" t="inlineStr">
        <is>
          <t>Equity in Income - % YoY</t>
        </is>
      </c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>
        <f>IF(I129=0,0,N129/I129-1)</f>
        <v>0</v>
      </c>
      <c r="O157" s="3">
        <f>IF(J129=0,0,O129/J129-1)</f>
        <v>0</v>
      </c>
      <c r="P157" s="3">
        <f>IF(K129=0,0,P129/K129-1)</f>
        <v>0</v>
      </c>
      <c r="Q157" s="3">
        <f>IF(L129=0,0,Q129/L129-1)</f>
        <v>0</v>
      </c>
      <c r="R157" s="3" t="n"/>
      <c r="S157" s="3">
        <f>IF(N129=0,0,S129/N129-1)</f>
        <v>0</v>
      </c>
      <c r="T157" s="3">
        <f>IF(O129=0,0,T129/O129-1)</f>
        <v>0</v>
      </c>
      <c r="U157" s="3">
        <f>IF(P129=0,0,U129/P129-1)</f>
        <v>0</v>
      </c>
      <c r="V157" s="3">
        <f>IF(Q129=0,0,V129/Q129-1)</f>
        <v>0</v>
      </c>
      <c r="W157" s="3" t="n"/>
      <c r="X157" s="3">
        <f>IF(S129=0,0,X129/S129-1)</f>
        <v>0</v>
      </c>
      <c r="Y157" s="3">
        <f>IF(T129=0,0,Y129/T129-1)</f>
        <v>0</v>
      </c>
      <c r="Z157" s="3">
        <f>IF(U129=0,0,Z129/U129-1)</f>
        <v>0</v>
      </c>
      <c r="AA157" s="3">
        <f>IF(V129=0,0,AA129/V129-1)</f>
        <v>0</v>
      </c>
      <c r="AB157" s="3" t="n"/>
      <c r="AC157" s="3">
        <f>IF(X129=0,0,AC129/X129-1)</f>
        <v>0</v>
      </c>
      <c r="AD157" s="3">
        <f>IF(Y129=0,0,AD129/Y129-1)</f>
        <v>0</v>
      </c>
      <c r="AE157" s="3">
        <f>IF(Z129=0,0,AE129/Z129-1)</f>
        <v>0</v>
      </c>
      <c r="AF157" s="3">
        <f>IF(AA129=0,0,AF129/AA129-1)</f>
        <v>0</v>
      </c>
      <c r="AG157" s="3" t="n"/>
      <c r="AH157" s="6">
        <f>IF(AC129=0,0,AH129/AC129-1)</f>
        <v>0</v>
      </c>
      <c r="AI157" s="6">
        <f>IF(AD129=0,0,AI129/AD129-1)</f>
        <v>0</v>
      </c>
      <c r="AJ157" s="6" t="n"/>
      <c r="AK157" s="6" t="n"/>
      <c r="AL157" s="3" t="n"/>
      <c r="AM157" s="6" t="n"/>
      <c r="AN157" s="6" t="n"/>
      <c r="AO157" s="6" t="n"/>
      <c r="AP157" s="6" t="n"/>
      <c r="AQ157" s="3" t="n"/>
      <c r="AR157" s="6" t="n"/>
      <c r="AS157" s="6" t="n"/>
      <c r="AT157" s="6" t="n"/>
      <c r="AU157" s="6" t="n"/>
      <c r="AV157" s="3" t="n"/>
      <c r="AW157" s="6" t="n"/>
      <c r="AX157" s="6" t="n"/>
      <c r="AY157" s="6" t="n"/>
      <c r="AZ157" s="6" t="n"/>
      <c r="BA157" s="3" t="n"/>
      <c r="BB157" s="6" t="n"/>
      <c r="BC157" s="6" t="n"/>
      <c r="BD157" s="6" t="n"/>
      <c r="BE157" s="6" t="n"/>
      <c r="BF157" s="3" t="n"/>
      <c r="BG157" s="6" t="n"/>
      <c r="BH157" s="6" t="n"/>
      <c r="BI157" s="6" t="n"/>
      <c r="BJ157" s="6" t="n"/>
      <c r="BK157" s="3" t="n"/>
      <c r="BL157" s="6" t="n"/>
      <c r="BM157" s="6" t="n"/>
      <c r="BN157" s="6" t="n"/>
      <c r="BO157" s="6" t="n"/>
      <c r="BP157" s="3" t="n"/>
      <c r="BQ157" s="6" t="n"/>
      <c r="BR157" s="6" t="n"/>
      <c r="BS157" s="6" t="n"/>
      <c r="BT157" s="6" t="n"/>
      <c r="BU157" s="3" t="n"/>
      <c r="BV157" s="6" t="n"/>
      <c r="BW157" s="6" t="n"/>
      <c r="BX157" s="6" t="n"/>
      <c r="BY157" s="6" t="n"/>
      <c r="BZ157" s="3" t="n"/>
      <c r="CA157" s="6" t="n"/>
      <c r="CB157" s="6" t="n"/>
      <c r="CC157" s="6" t="n"/>
      <c r="CD157" s="6" t="n"/>
      <c r="CE157" s="3" t="n"/>
      <c r="CF157" s="6" t="n"/>
      <c r="CG157" s="6" t="n"/>
      <c r="CH157" s="6" t="n"/>
      <c r="CI157" s="6" t="n"/>
      <c r="CJ157" s="3" t="n"/>
      <c r="CK157" s="6" t="n"/>
      <c r="CL157" s="6" t="n"/>
      <c r="CM157" s="6" t="n"/>
      <c r="CN157" s="6" t="n"/>
      <c r="CO157" s="3" t="n"/>
      <c r="CP157" s="6" t="n"/>
      <c r="CQ157" s="6" t="n"/>
      <c r="CR157" s="6" t="n"/>
      <c r="CS157" s="6" t="n"/>
      <c r="CT157" s="3" t="n"/>
      <c r="CU157" s="6" t="n"/>
      <c r="CV157" s="6" t="n"/>
      <c r="CW157" s="6" t="n"/>
      <c r="CX157" s="6" t="n"/>
      <c r="CY157" s="3" t="n"/>
    </row>
    <row r="158" hidden="1" outlineLevel="1">
      <c r="C158" s="34" t="inlineStr">
        <is>
          <t>Dividends (enter as -)</t>
        </is>
      </c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  <c r="AD158" s="3" t="n"/>
      <c r="AE158" s="3" t="n"/>
      <c r="AF158" s="3" t="n"/>
      <c r="AG158" s="3" t="n"/>
      <c r="AH158" s="6" t="n"/>
      <c r="AI158" s="6" t="n"/>
      <c r="AJ158" s="6" t="n"/>
      <c r="AK158" s="6" t="n"/>
      <c r="AL158" s="3" t="n"/>
      <c r="AM158" s="6" t="n"/>
      <c r="AN158" s="6" t="n"/>
      <c r="AO158" s="6" t="n"/>
      <c r="AP158" s="6" t="n"/>
      <c r="AQ158" s="3" t="n"/>
      <c r="AR158" s="6" t="n"/>
      <c r="AS158" s="6" t="n"/>
      <c r="AT158" s="6" t="n"/>
      <c r="AU158" s="6" t="n"/>
      <c r="AV158" s="3" t="n"/>
      <c r="AW158" s="6" t="n"/>
      <c r="AX158" s="6" t="n"/>
      <c r="AY158" s="6" t="n"/>
      <c r="AZ158" s="6" t="n"/>
      <c r="BA158" s="3" t="n"/>
      <c r="BB158" s="6" t="n"/>
      <c r="BC158" s="6" t="n"/>
      <c r="BD158" s="6" t="n"/>
      <c r="BE158" s="6" t="n"/>
      <c r="BF158" s="3" t="n"/>
      <c r="BG158" s="6" t="n"/>
      <c r="BH158" s="6" t="n"/>
      <c r="BI158" s="6" t="n"/>
      <c r="BJ158" s="6" t="n"/>
      <c r="BK158" s="3" t="n"/>
      <c r="BL158" s="6" t="n"/>
      <c r="BM158" s="6" t="n"/>
      <c r="BN158" s="6" t="n"/>
      <c r="BO158" s="6" t="n"/>
      <c r="BP158" s="3" t="n"/>
      <c r="BQ158" s="6" t="n"/>
      <c r="BR158" s="6" t="n"/>
      <c r="BS158" s="6" t="n"/>
      <c r="BT158" s="6" t="n"/>
      <c r="BU158" s="3" t="n"/>
      <c r="BV158" s="6" t="n"/>
      <c r="BW158" s="6" t="n"/>
      <c r="BX158" s="6" t="n"/>
      <c r="BY158" s="6" t="n"/>
      <c r="BZ158" s="3" t="n"/>
      <c r="CA158" s="6" t="n"/>
      <c r="CB158" s="6" t="n"/>
      <c r="CC158" s="6" t="n"/>
      <c r="CD158" s="6" t="n"/>
      <c r="CE158" s="3" t="n"/>
      <c r="CF158" s="6" t="n"/>
      <c r="CG158" s="6" t="n"/>
      <c r="CH158" s="6" t="n"/>
      <c r="CI158" s="6" t="n"/>
      <c r="CJ158" s="3" t="n"/>
      <c r="CK158" s="6" t="n"/>
      <c r="CL158" s="6" t="n"/>
      <c r="CM158" s="6" t="n"/>
      <c r="CN158" s="6" t="n"/>
      <c r="CO158" s="3" t="n"/>
      <c r="CP158" s="6" t="n"/>
      <c r="CQ158" s="6" t="n"/>
      <c r="CR158" s="6" t="n"/>
      <c r="CS158" s="6" t="n"/>
      <c r="CT158" s="3" t="n"/>
      <c r="CU158" s="6" t="n"/>
      <c r="CV158" s="6" t="n"/>
      <c r="CW158" s="6" t="n"/>
      <c r="CX158" s="6" t="n"/>
      <c r="CY158" s="3" t="n"/>
    </row>
    <row r="159" hidden="1" outlineLevel="1">
      <c r="C159" s="34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  <c r="AC159" s="3" t="n"/>
      <c r="AD159" s="3" t="n"/>
      <c r="AE159" s="3" t="n"/>
      <c r="AF159" s="3" t="n"/>
      <c r="AG159" s="3" t="n"/>
      <c r="AH159" s="3" t="n"/>
      <c r="AI159" s="3" t="n"/>
      <c r="AJ159" s="3" t="n"/>
      <c r="AK159" s="3" t="n"/>
      <c r="AL159" s="3" t="n"/>
      <c r="AM159" s="3" t="n"/>
      <c r="AN159" s="3" t="n"/>
      <c r="AO159" s="3" t="n"/>
      <c r="AP159" s="3" t="n"/>
      <c r="AQ159" s="3" t="n"/>
      <c r="AR159" s="3" t="n"/>
      <c r="AS159" s="3" t="n"/>
      <c r="AT159" s="3" t="n"/>
      <c r="AU159" s="3" t="n"/>
      <c r="AV159" s="3" t="n"/>
      <c r="AW159" s="3" t="n"/>
      <c r="AX159" s="3" t="n"/>
      <c r="AY159" s="3" t="n"/>
      <c r="AZ159" s="3" t="n"/>
      <c r="BA159" s="3" t="n"/>
      <c r="BB159" s="3" t="n"/>
      <c r="BC159" s="3" t="n"/>
      <c r="BD159" s="3" t="n"/>
      <c r="BE159" s="3" t="n"/>
      <c r="BF159" s="3" t="n"/>
      <c r="BG159" s="3" t="n"/>
      <c r="BH159" s="3" t="n"/>
      <c r="BI159" s="3" t="n"/>
      <c r="BJ159" s="3" t="n"/>
      <c r="BK159" s="3" t="n"/>
      <c r="BL159" s="3" t="n"/>
      <c r="BM159" s="3" t="n"/>
      <c r="BN159" s="3" t="n"/>
      <c r="BO159" s="3" t="n"/>
      <c r="BP159" s="3" t="n"/>
      <c r="BQ159" s="3" t="n"/>
      <c r="BR159" s="3" t="n"/>
      <c r="BS159" s="3" t="n"/>
      <c r="BT159" s="3" t="n"/>
      <c r="BU159" s="3" t="n"/>
      <c r="BV159" s="3" t="n"/>
      <c r="BW159" s="3" t="n"/>
      <c r="BX159" s="3" t="n"/>
      <c r="BY159" s="3" t="n"/>
      <c r="BZ159" s="3" t="n"/>
      <c r="CA159" s="3" t="n"/>
      <c r="CB159" s="3" t="n"/>
      <c r="CC159" s="3" t="n"/>
      <c r="CD159" s="3" t="n"/>
      <c r="CE159" s="3" t="n"/>
      <c r="CF159" s="3" t="n"/>
      <c r="CG159" s="3" t="n"/>
      <c r="CH159" s="3" t="n"/>
      <c r="CI159" s="3" t="n"/>
      <c r="CJ159" s="3" t="n"/>
      <c r="CK159" s="3" t="n"/>
      <c r="CL159" s="3" t="n"/>
      <c r="CM159" s="3" t="n"/>
      <c r="CN159" s="3" t="n"/>
      <c r="CO159" s="3" t="n"/>
      <c r="CP159" s="3" t="n"/>
      <c r="CQ159" s="3" t="n"/>
      <c r="CR159" s="3" t="n"/>
      <c r="CS159" s="3" t="n"/>
      <c r="CT159" s="3" t="n"/>
      <c r="CU159" s="3" t="n"/>
      <c r="CV159" s="3" t="n"/>
      <c r="CW159" s="3" t="n"/>
      <c r="CX159" s="3" t="n"/>
      <c r="CY159" s="3" t="n"/>
    </row>
    <row r="160" collapsed="1">
      <c r="C160" s="26" t="inlineStr">
        <is>
          <t>PP&amp;E</t>
        </is>
      </c>
      <c r="D160" s="25">
        <f>INDEX('Inputs (2)'!$D$22:$AL$22,MATCH(D$7,'Inputs (2)'!$D$2:$AL$2,0))</f>
        <v>10638</v>
      </c>
      <c r="E160" s="25">
        <f>INDEX('Inputs (2)'!$D$22:$AL$22,MATCH(E$7,'Inputs (2)'!$D$2:$AL$2,0))</f>
        <v>11009</v>
      </c>
      <c r="F160" s="25">
        <f>INDEX('Inputs (2)'!$D$22:$AL$22,MATCH(F$7,'Inputs (2)'!$D$2:$AL$2,0))</f>
        <v>11848</v>
      </c>
      <c r="G160" s="25">
        <f>INDEX('Inputs (2)'!$D$22:$AL$22,MATCH(G$7,'Inputs (2)'!$D$2:$AL$2,0))</f>
        <v>12747</v>
      </c>
      <c r="H160" s="3">
        <f>G160</f>
        <v>12747</v>
      </c>
      <c r="I160" s="25">
        <f>INDEX('Inputs (2)'!$D$22:$AL$22,MATCH(I$7,'Inputs (2)'!$D$2:$AL$2,0))</f>
        <v>13868</v>
      </c>
      <c r="J160" s="25">
        <f>INDEX('Inputs (2)'!$D$22:$AL$22,MATCH(J$7,'Inputs (2)'!$D$2:$AL$2,0))</f>
        <v>15665</v>
      </c>
      <c r="K160" s="25">
        <f>INDEX('Inputs (2)'!$D$22:$AL$22,MATCH(K$7,'Inputs (2)'!$D$2:$AL$2,0))</f>
        <v>17298</v>
      </c>
      <c r="L160" s="25">
        <f>INDEX('Inputs (2)'!$D$22:$AL$22,MATCH(L$7,'Inputs (2)'!$D$2:$AL$2,0))</f>
        <v>18884</v>
      </c>
      <c r="M160" s="3">
        <f>L160</f>
        <v>18884</v>
      </c>
      <c r="N160" s="25">
        <f>INDEX('Inputs (2)'!$D$22:$AL$22,MATCH(N$7,'Inputs (2)'!$D$2:$AL$2,0))</f>
        <v>20027</v>
      </c>
      <c r="O160" s="25">
        <f>INDEX('Inputs (2)'!$D$22:$AL$22,MATCH(O$7,'Inputs (2)'!$D$2:$AL$2,0))</f>
        <v>21093</v>
      </c>
      <c r="P160" s="25">
        <f>INDEX('Inputs (2)'!$D$22:$AL$22,MATCH(P$7,'Inputs (2)'!$D$2:$AL$2,0))</f>
        <v>21926</v>
      </c>
      <c r="Q160" s="25">
        <f>INDEX('Inputs (2)'!$D$22:$AL$22,MATCH(Q$7,'Inputs (2)'!$D$2:$AL$2,0))</f>
        <v>23548</v>
      </c>
      <c r="R160" s="3">
        <f>Q160</f>
        <v>23548</v>
      </c>
      <c r="S160" s="25">
        <f>INDEX('Inputs (2)'!$D$22:$AL$22,MATCH(S$7,'Inputs (2)'!$D$2:$AL$2,0))</f>
        <v>24969</v>
      </c>
      <c r="T160" s="25">
        <f>INDEX('Inputs (2)'!$D$22:$AL$22,MATCH(T$7,'Inputs (2)'!$D$2:$AL$2,0))</f>
        <v>26389</v>
      </c>
      <c r="U160" s="25">
        <f>INDEX('Inputs (2)'!$D$22:$AL$22,MATCH(U$7,'Inputs (2)'!$D$2:$AL$2,0))</f>
        <v>27744</v>
      </c>
      <c r="V160" s="25">
        <f>INDEX('Inputs (2)'!$D$22:$AL$22,MATCH(V$7,'Inputs (2)'!$D$2:$AL$2,0))</f>
        <v>29725</v>
      </c>
      <c r="W160" s="3">
        <f>V160</f>
        <v>29725</v>
      </c>
      <c r="X160" s="25">
        <f>INDEX('Inputs (2)'!$D$22:$AL$22,MATCH(X$7,'Inputs (2)'!$D$2:$AL$2,0))</f>
        <v>31436</v>
      </c>
      <c r="Y160" s="25">
        <f>INDEX('Inputs (2)'!$D$22:$AL$22,MATCH(Y$7,'Inputs (2)'!$D$2:$AL$2,0))</f>
        <v>32902</v>
      </c>
      <c r="Z160" s="25">
        <f>INDEX('Inputs (2)'!$D$22:$AL$22,MATCH(Z$7,'Inputs (2)'!$D$2:$AL$2,0))</f>
        <v>36116</v>
      </c>
      <c r="AA160" s="25">
        <f>INDEX('Inputs (2)'!$D$22:$AL$22,MATCH(AA$7,'Inputs (2)'!$D$2:$AL$2,0))</f>
        <v>35836</v>
      </c>
      <c r="AB160" s="3">
        <f>AA160</f>
        <v>35836</v>
      </c>
      <c r="AC160" s="25">
        <f>INDEX('Inputs (2)'!$D$22:$AL$22,MATCH(AC$7,'Inputs (2)'!$D$2:$AL$2,0))</f>
        <v>37088</v>
      </c>
      <c r="AD160" s="25">
        <f>INDEX('Inputs (2)'!$D$22:$AL$22,MATCH(AD$7,'Inputs (2)'!$D$2:$AL$2,0))</f>
        <v>38574</v>
      </c>
      <c r="AE160" s="25">
        <f>INDEX('Inputs (2)'!$D$22:$AL$22,MATCH(AE$7,'Inputs (2)'!$D$2:$AL$2,0))</f>
        <v>39407</v>
      </c>
      <c r="AF160" s="25">
        <f>INDEX('Inputs (2)'!$D$22:$AL$22,MATCH(AF$7,'Inputs (2)'!$D$2:$AL$2,0))</f>
        <v>40643</v>
      </c>
      <c r="AG160" s="3">
        <f>AF160</f>
        <v>40643</v>
      </c>
      <c r="AH160" s="3">
        <f>INDEX('Inputs (2)'!$D$22:$AL$22,MATCH(AH$7,'Inputs (2)'!$D$2:$AL$2,0))</f>
        <v>43213</v>
      </c>
      <c r="AI160" s="3">
        <f>INDEX('Inputs (2)'!$D$22:$AL$22,MATCH(AI$7,'Inputs (2)'!$D$2:$AL$2,0))</f>
        <v>47255</v>
      </c>
      <c r="AJ160" s="3">
        <f>AJ165</f>
        <v>47255</v>
      </c>
      <c r="AK160" s="3">
        <f>AK165</f>
        <v>47255</v>
      </c>
      <c r="AL160" s="3">
        <f>AK160</f>
        <v>47255</v>
      </c>
      <c r="AM160" s="3">
        <f>AM165</f>
        <v>47255</v>
      </c>
      <c r="AN160" s="3">
        <f>AN165</f>
        <v>47255</v>
      </c>
      <c r="AO160" s="3">
        <f>AO165</f>
        <v>47255</v>
      </c>
      <c r="AP160" s="3">
        <f>AP165</f>
        <v>47255</v>
      </c>
      <c r="AQ160" s="3">
        <f>AP160</f>
        <v>47255</v>
      </c>
      <c r="AR160" s="3">
        <f>AR165</f>
        <v>47255</v>
      </c>
      <c r="AS160" s="3">
        <f>AS165</f>
        <v>47255</v>
      </c>
      <c r="AT160" s="3">
        <f>AT165</f>
        <v>47255</v>
      </c>
      <c r="AU160" s="3">
        <f>AU165</f>
        <v>47255</v>
      </c>
      <c r="AV160" s="3">
        <f>AU160</f>
        <v>47255</v>
      </c>
      <c r="AW160" s="3">
        <f>AW165</f>
        <v>47255</v>
      </c>
      <c r="AX160" s="3">
        <f>AX165</f>
        <v>47255</v>
      </c>
      <c r="AY160" s="3">
        <f>AY165</f>
        <v>47255</v>
      </c>
      <c r="AZ160" s="3">
        <f>AZ165</f>
        <v>47255</v>
      </c>
      <c r="BA160" s="3">
        <f>AZ160</f>
        <v>47255</v>
      </c>
      <c r="BB160" s="3">
        <f>BB165</f>
        <v>47255</v>
      </c>
      <c r="BC160" s="3">
        <f>BC165</f>
        <v>47255</v>
      </c>
      <c r="BD160" s="3">
        <f>BD165</f>
        <v>47255</v>
      </c>
      <c r="BE160" s="3">
        <f>BE165</f>
        <v>47255</v>
      </c>
      <c r="BF160" s="3">
        <f>BE160</f>
        <v>47255</v>
      </c>
      <c r="BG160" s="3">
        <f>BG165</f>
        <v>47255</v>
      </c>
      <c r="BH160" s="3">
        <f>BH165</f>
        <v>47255</v>
      </c>
      <c r="BI160" s="3">
        <f>BI165</f>
        <v>47255</v>
      </c>
      <c r="BJ160" s="3">
        <f>BJ165</f>
        <v>47255</v>
      </c>
      <c r="BK160" s="3">
        <f>BJ160</f>
        <v>47255</v>
      </c>
      <c r="BL160" s="3">
        <f>BL165</f>
        <v>47255</v>
      </c>
      <c r="BM160" s="3">
        <f>BM165</f>
        <v>47255</v>
      </c>
      <c r="BN160" s="3">
        <f>BN165</f>
        <v>47255</v>
      </c>
      <c r="BO160" s="3">
        <f>BO165</f>
        <v>47255</v>
      </c>
      <c r="BP160" s="3">
        <f>BO160</f>
        <v>47255</v>
      </c>
      <c r="BQ160" s="3">
        <f>BQ165</f>
        <v>47255</v>
      </c>
      <c r="BR160" s="3">
        <f>BR165</f>
        <v>47255</v>
      </c>
      <c r="BS160" s="3">
        <f>BS165</f>
        <v>47255</v>
      </c>
      <c r="BT160" s="3">
        <f>BT165</f>
        <v>47255</v>
      </c>
      <c r="BU160" s="3">
        <f>BT160</f>
        <v>47255</v>
      </c>
      <c r="BV160" s="3">
        <f>BV165</f>
        <v>47255</v>
      </c>
      <c r="BW160" s="3">
        <f>BW165</f>
        <v>47255</v>
      </c>
      <c r="BX160" s="3">
        <f>BX165</f>
        <v>47255</v>
      </c>
      <c r="BY160" s="3">
        <f>BY165</f>
        <v>47255</v>
      </c>
      <c r="BZ160" s="3">
        <f>BY160</f>
        <v>47255</v>
      </c>
      <c r="CA160" s="3">
        <f>CA165</f>
        <v>47255</v>
      </c>
      <c r="CB160" s="3">
        <f>CB165</f>
        <v>47255</v>
      </c>
      <c r="CC160" s="3">
        <f>CC165</f>
        <v>47255</v>
      </c>
      <c r="CD160" s="3">
        <f>CD165</f>
        <v>47255</v>
      </c>
      <c r="CE160" s="3">
        <f>CD160</f>
        <v>47255</v>
      </c>
      <c r="CF160" s="3">
        <f>CF165</f>
        <v>47255</v>
      </c>
      <c r="CG160" s="3">
        <f>CG165</f>
        <v>47255</v>
      </c>
      <c r="CH160" s="3">
        <f>CH165</f>
        <v>47255</v>
      </c>
      <c r="CI160" s="3">
        <f>CI165</f>
        <v>47255</v>
      </c>
      <c r="CJ160" s="3">
        <f>CI160</f>
        <v>47255</v>
      </c>
      <c r="CK160" s="3">
        <f>CK165</f>
        <v>47255</v>
      </c>
      <c r="CL160" s="3">
        <f>CL165</f>
        <v>47255</v>
      </c>
      <c r="CM160" s="3">
        <f>CM165</f>
        <v>47255</v>
      </c>
      <c r="CN160" s="3">
        <f>CN165</f>
        <v>47255</v>
      </c>
      <c r="CO160" s="3">
        <f>CN160</f>
        <v>47255</v>
      </c>
      <c r="CP160" s="3">
        <f>CP165</f>
        <v>47255</v>
      </c>
      <c r="CQ160" s="3">
        <f>CQ165</f>
        <v>47255</v>
      </c>
      <c r="CR160" s="3">
        <f>CR165</f>
        <v>47255</v>
      </c>
      <c r="CS160" s="3">
        <f>CS165</f>
        <v>47255</v>
      </c>
      <c r="CT160" s="3">
        <f>CS160</f>
        <v>47255</v>
      </c>
      <c r="CU160" s="3">
        <f>CU165</f>
        <v>47255</v>
      </c>
      <c r="CV160" s="3">
        <f>CV165</f>
        <v>47255</v>
      </c>
      <c r="CW160" s="3">
        <f>CW165</f>
        <v>47255</v>
      </c>
      <c r="CX160" s="3">
        <f>CX165</f>
        <v>47255</v>
      </c>
      <c r="CY160" s="3">
        <f>CX160</f>
        <v>47255</v>
      </c>
    </row>
    <row r="161" hidden="1" outlineLevel="1">
      <c r="C161" s="34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3" t="n"/>
      <c r="AE161" s="3" t="n"/>
      <c r="AF161" s="3" t="n"/>
      <c r="AG161" s="3" t="n"/>
      <c r="AH161" s="3" t="n"/>
      <c r="AI161" s="3" t="n"/>
      <c r="AJ161" s="3" t="n"/>
      <c r="AK161" s="3" t="n"/>
      <c r="AL161" s="3" t="n"/>
      <c r="AM161" s="3" t="n"/>
      <c r="AN161" s="3" t="n"/>
      <c r="AO161" s="3" t="n"/>
      <c r="AP161" s="3" t="n"/>
      <c r="AQ161" s="3" t="n"/>
      <c r="AR161" s="3" t="n"/>
      <c r="AS161" s="3" t="n"/>
      <c r="AT161" s="3" t="n"/>
      <c r="AU161" s="3" t="n"/>
      <c r="AV161" s="3" t="n"/>
      <c r="AW161" s="3" t="n"/>
      <c r="AX161" s="3" t="n"/>
      <c r="AY161" s="3" t="n"/>
      <c r="AZ161" s="3" t="n"/>
      <c r="BA161" s="3" t="n"/>
      <c r="BB161" s="3" t="n"/>
      <c r="BC161" s="3" t="n"/>
      <c r="BD161" s="3" t="n"/>
      <c r="BE161" s="3" t="n"/>
      <c r="BF161" s="3" t="n"/>
      <c r="BG161" s="3" t="n"/>
      <c r="BH161" s="3" t="n"/>
      <c r="BI161" s="3" t="n"/>
      <c r="BJ161" s="3" t="n"/>
      <c r="BK161" s="3" t="n"/>
      <c r="BL161" s="3" t="n"/>
      <c r="BM161" s="3" t="n"/>
      <c r="BN161" s="3" t="n"/>
      <c r="BO161" s="3" t="n"/>
      <c r="BP161" s="3" t="n"/>
      <c r="BQ161" s="3" t="n"/>
      <c r="BR161" s="3" t="n"/>
      <c r="BS161" s="3" t="n"/>
      <c r="BT161" s="3" t="n"/>
      <c r="BU161" s="3" t="n"/>
      <c r="BV161" s="3" t="n"/>
      <c r="BW161" s="3" t="n"/>
      <c r="BX161" s="3" t="n"/>
      <c r="BY161" s="3" t="n"/>
      <c r="BZ161" s="3" t="n"/>
      <c r="CA161" s="3" t="n"/>
      <c r="CB161" s="3" t="n"/>
      <c r="CC161" s="3" t="n"/>
      <c r="CD161" s="3" t="n"/>
      <c r="CE161" s="3" t="n"/>
      <c r="CF161" s="3" t="n"/>
      <c r="CG161" s="3" t="n"/>
      <c r="CH161" s="3" t="n"/>
      <c r="CI161" s="3" t="n"/>
      <c r="CJ161" s="3" t="n"/>
      <c r="CK161" s="3" t="n"/>
      <c r="CL161" s="3" t="n"/>
      <c r="CM161" s="3" t="n"/>
      <c r="CN161" s="3" t="n"/>
      <c r="CO161" s="3" t="n"/>
      <c r="CP161" s="3" t="n"/>
      <c r="CQ161" s="3" t="n"/>
      <c r="CR161" s="3" t="n"/>
      <c r="CS161" s="3" t="n"/>
      <c r="CT161" s="3" t="n"/>
      <c r="CU161" s="3" t="n"/>
      <c r="CV161" s="3" t="n"/>
      <c r="CW161" s="3" t="n"/>
      <c r="CX161" s="3" t="n"/>
      <c r="CY161" s="3" t="n"/>
    </row>
    <row r="162" hidden="1" outlineLevel="1">
      <c r="C162" s="34" t="inlineStr">
        <is>
          <t>Capital expenditures</t>
        </is>
      </c>
      <c r="D162" s="3" t="n"/>
      <c r="E162" s="3">
        <f>E160-D160-E64</f>
        <v>938</v>
      </c>
      <c r="F162" s="3">
        <f>F160-E160-F64</f>
        <v>1423</v>
      </c>
      <c r="G162" s="3">
        <f>G160-F160-G64</f>
        <v>1517</v>
      </c>
      <c r="H162" s="3" t="n"/>
      <c r="I162" s="3">
        <f>I160-H160-I64</f>
        <v>1742</v>
      </c>
      <c r="J162" s="3">
        <f>J160-I160-J64</f>
        <v>2478</v>
      </c>
      <c r="K162" s="3">
        <f>K160-J160-K64</f>
        <v>2394</v>
      </c>
      <c r="L162" s="3">
        <f>L160-K160-L64</f>
        <v>2434</v>
      </c>
      <c r="M162" s="3" t="n"/>
      <c r="N162" s="3">
        <f>N160-M160-N64</f>
        <v>2023</v>
      </c>
      <c r="O162" s="3">
        <f>O160-N160-O64</f>
        <v>1988</v>
      </c>
      <c r="P162" s="3">
        <f>P160-O160-P64</f>
        <v>1789</v>
      </c>
      <c r="Q162" s="3">
        <f>Q160-P160-Q64</f>
        <v>2611</v>
      </c>
      <c r="R162" s="3" t="n"/>
      <c r="S162" s="3">
        <f>S160-R160-S64</f>
        <v>2467</v>
      </c>
      <c r="T162" s="3">
        <f>T160-S160-T64</f>
        <v>2574</v>
      </c>
      <c r="U162" s="3">
        <f>U160-T160-U64</f>
        <v>2590</v>
      </c>
      <c r="V162" s="3">
        <f>V160-U160-V64</f>
        <v>3213</v>
      </c>
      <c r="W162" s="3" t="n"/>
      <c r="X162" s="3">
        <f>X160-W160-X64</f>
        <v>2957</v>
      </c>
      <c r="Y162" s="3">
        <f>Y160-X160-Y64</f>
        <v>2744</v>
      </c>
      <c r="Z162" s="3">
        <f>Z160-Y160-Z64</f>
        <v>4562</v>
      </c>
      <c r="AA162" s="3">
        <f>AA160-Z160-AA64</f>
        <v>1216</v>
      </c>
      <c r="AB162" s="3" t="n"/>
      <c r="AC162" s="3">
        <f>AC160-AB160-AC64</f>
        <v>2699</v>
      </c>
      <c r="AD162" s="3">
        <f>AD160-AC160-AD64</f>
        <v>2919</v>
      </c>
      <c r="AE162" s="3">
        <f>AE160-AD160-AE64</f>
        <v>2458</v>
      </c>
      <c r="AF162" s="6">
        <f>AF160-AE160-AF64</f>
        <v>2879</v>
      </c>
      <c r="AG162" s="3">
        <f>SUM(AC162:AF162)</f>
        <v>10955</v>
      </c>
      <c r="AH162" s="6">
        <f>AH160-AG160-AH64</f>
        <v>4160</v>
      </c>
      <c r="AI162" s="6">
        <f>AI160-AH160-AI64</f>
        <v>5661</v>
      </c>
      <c r="AJ162" s="6" t="n"/>
      <c r="AK162" s="6" t="n"/>
      <c r="AL162" s="3" t="n"/>
      <c r="AM162" s="6" t="n"/>
      <c r="AN162" s="6" t="n"/>
      <c r="AO162" s="6" t="n"/>
      <c r="AP162" s="6" t="n"/>
      <c r="AQ162" s="3" t="n"/>
      <c r="AR162" s="6" t="n"/>
      <c r="AS162" s="6" t="n"/>
      <c r="AT162" s="6" t="n"/>
      <c r="AU162" s="6" t="n"/>
      <c r="AV162" s="3" t="n"/>
      <c r="AW162" s="6" t="n"/>
      <c r="AX162" s="6" t="n"/>
      <c r="AY162" s="6" t="n"/>
      <c r="AZ162" s="6" t="n"/>
      <c r="BA162" s="3" t="n"/>
      <c r="BB162" s="6" t="n"/>
      <c r="BC162" s="6" t="n"/>
      <c r="BD162" s="6" t="n"/>
      <c r="BE162" s="6" t="n"/>
      <c r="BF162" s="3" t="n"/>
      <c r="BG162" s="6" t="n"/>
      <c r="BH162" s="6" t="n"/>
      <c r="BI162" s="6" t="n"/>
      <c r="BJ162" s="6" t="n"/>
      <c r="BK162" s="3" t="n"/>
      <c r="BL162" s="6" t="n"/>
      <c r="BM162" s="6" t="n"/>
      <c r="BN162" s="6" t="n"/>
      <c r="BO162" s="6" t="n"/>
      <c r="BP162" s="3" t="n"/>
      <c r="BQ162" s="6" t="n"/>
      <c r="BR162" s="6" t="n"/>
      <c r="BS162" s="6" t="n"/>
      <c r="BT162" s="6" t="n"/>
      <c r="BU162" s="3" t="n"/>
      <c r="BV162" s="6" t="n"/>
      <c r="BW162" s="6" t="n"/>
      <c r="BX162" s="6" t="n"/>
      <c r="BY162" s="6" t="n"/>
      <c r="BZ162" s="3" t="n"/>
      <c r="CA162" s="6" t="n"/>
      <c r="CB162" s="6" t="n"/>
      <c r="CC162" s="6" t="n"/>
      <c r="CD162" s="6" t="n"/>
      <c r="CE162" s="3" t="n"/>
      <c r="CF162" s="6" t="n"/>
      <c r="CG162" s="6" t="n"/>
      <c r="CH162" s="6" t="n"/>
      <c r="CI162" s="6" t="n"/>
      <c r="CJ162" s="3" t="n"/>
      <c r="CK162" s="6" t="n"/>
      <c r="CL162" s="6" t="n"/>
      <c r="CM162" s="6" t="n"/>
      <c r="CN162" s="6" t="n"/>
      <c r="CO162" s="3" t="n"/>
      <c r="CP162" s="6" t="n"/>
      <c r="CQ162" s="6" t="n"/>
      <c r="CR162" s="6" t="n"/>
      <c r="CS162" s="6" t="n"/>
      <c r="CT162" s="3" t="n"/>
      <c r="CU162" s="6" t="n"/>
      <c r="CV162" s="6" t="n"/>
      <c r="CW162" s="6" t="n"/>
      <c r="CX162" s="6" t="n"/>
      <c r="CY162" s="3" t="n"/>
    </row>
    <row r="163" hidden="1" outlineLevel="1">
      <c r="C163" s="34" t="inlineStr">
        <is>
          <t>Recurring asset sales (enter as -)</t>
        </is>
      </c>
      <c r="D163" s="3" t="n"/>
      <c r="E163" s="3" t="n"/>
      <c r="F163" s="3" t="n"/>
      <c r="G163" s="3" t="n"/>
      <c r="H163" s="3">
        <f>SUM(D163:G163)</f>
        <v>0</v>
      </c>
      <c r="I163" s="3" t="n"/>
      <c r="J163" s="3" t="n"/>
      <c r="K163" s="3" t="n"/>
      <c r="L163" s="3" t="n"/>
      <c r="M163" s="3">
        <f>SUM(I163:L163)</f>
        <v>0</v>
      </c>
      <c r="N163" s="3" t="n"/>
      <c r="O163" s="3" t="n"/>
      <c r="P163" s="3" t="n"/>
      <c r="Q163" s="3" t="n"/>
      <c r="R163" s="3">
        <f>SUM(N163:Q163)</f>
        <v>0</v>
      </c>
      <c r="S163" s="3" t="n"/>
      <c r="T163" s="3" t="n"/>
      <c r="U163" s="3" t="n"/>
      <c r="V163" s="3" t="n"/>
      <c r="W163" s="3">
        <f>SUM(S163:V163)</f>
        <v>0</v>
      </c>
      <c r="X163" s="3" t="n"/>
      <c r="Y163" s="3" t="n"/>
      <c r="Z163" s="3" t="n"/>
      <c r="AA163" s="3" t="n"/>
      <c r="AB163" s="3">
        <f>SUM(X163:AA163)</f>
        <v>0</v>
      </c>
      <c r="AC163" s="3" t="n"/>
      <c r="AD163" s="3" t="n"/>
      <c r="AE163" s="3" t="n"/>
      <c r="AF163" s="6" t="n"/>
      <c r="AG163" s="3" t="n"/>
      <c r="AH163" s="6" t="n"/>
      <c r="AI163" s="6" t="n"/>
      <c r="AJ163" s="6" t="n"/>
      <c r="AK163" s="6" t="n"/>
      <c r="AL163" s="3" t="n"/>
      <c r="AM163" s="6" t="n"/>
      <c r="AN163" s="6" t="n"/>
      <c r="AO163" s="6" t="n"/>
      <c r="AP163" s="6" t="n"/>
      <c r="AQ163" s="3" t="n"/>
      <c r="AR163" s="6" t="n"/>
      <c r="AS163" s="6" t="n"/>
      <c r="AT163" s="6" t="n"/>
      <c r="AU163" s="6" t="n"/>
      <c r="AV163" s="3" t="n"/>
      <c r="AW163" s="6" t="n"/>
      <c r="AX163" s="6" t="n"/>
      <c r="AY163" s="6" t="n"/>
      <c r="AZ163" s="6" t="n"/>
      <c r="BA163" s="3" t="n"/>
      <c r="BB163" s="6" t="n"/>
      <c r="BC163" s="6" t="n"/>
      <c r="BD163" s="6" t="n"/>
      <c r="BE163" s="6" t="n"/>
      <c r="BF163" s="3" t="n"/>
      <c r="BG163" s="6" t="n"/>
      <c r="BH163" s="6" t="n"/>
      <c r="BI163" s="6" t="n"/>
      <c r="BJ163" s="6" t="n"/>
      <c r="BK163" s="3" t="n"/>
      <c r="BL163" s="6" t="n"/>
      <c r="BM163" s="6" t="n"/>
      <c r="BN163" s="6" t="n"/>
      <c r="BO163" s="6" t="n"/>
      <c r="BP163" s="3" t="n"/>
      <c r="BQ163" s="6" t="n"/>
      <c r="BR163" s="6" t="n"/>
      <c r="BS163" s="6" t="n"/>
      <c r="BT163" s="6" t="n"/>
      <c r="BU163" s="3" t="n"/>
      <c r="BV163" s="6" t="n"/>
      <c r="BW163" s="6" t="n"/>
      <c r="BX163" s="6" t="n"/>
      <c r="BY163" s="6" t="n"/>
      <c r="BZ163" s="3" t="n"/>
      <c r="CA163" s="6" t="n"/>
      <c r="CB163" s="6" t="n"/>
      <c r="CC163" s="6" t="n"/>
      <c r="CD163" s="6" t="n"/>
      <c r="CE163" s="3" t="n"/>
      <c r="CF163" s="6" t="n"/>
      <c r="CG163" s="6" t="n"/>
      <c r="CH163" s="6" t="n"/>
      <c r="CI163" s="6" t="n"/>
      <c r="CJ163" s="3" t="n"/>
      <c r="CK163" s="6" t="n"/>
      <c r="CL163" s="6" t="n"/>
      <c r="CM163" s="6" t="n"/>
      <c r="CN163" s="6" t="n"/>
      <c r="CO163" s="3" t="n"/>
      <c r="CP163" s="6" t="n"/>
      <c r="CQ163" s="6" t="n"/>
      <c r="CR163" s="6" t="n"/>
      <c r="CS163" s="6" t="n"/>
      <c r="CT163" s="3" t="n"/>
      <c r="CU163" s="6" t="n"/>
      <c r="CV163" s="6" t="n"/>
      <c r="CW163" s="6" t="n"/>
      <c r="CX163" s="6" t="n"/>
      <c r="CY163" s="3" t="n"/>
    </row>
    <row r="164" hidden="1" outlineLevel="1">
      <c r="C164" s="34" t="inlineStr">
        <is>
          <t>Depreciation</t>
        </is>
      </c>
      <c r="D164" s="3">
        <f>D64</f>
        <v>-553</v>
      </c>
      <c r="E164" s="3">
        <f>E64</f>
        <v>-567</v>
      </c>
      <c r="F164" s="3">
        <f>F64</f>
        <v>-584</v>
      </c>
      <c r="G164" s="3">
        <f>G64</f>
        <v>-618</v>
      </c>
      <c r="H164" s="3" t="n"/>
      <c r="I164" s="3">
        <f>I64</f>
        <v>-621</v>
      </c>
      <c r="J164" s="3">
        <f>J64</f>
        <v>-681</v>
      </c>
      <c r="K164" s="3">
        <f>K64</f>
        <v>-761</v>
      </c>
      <c r="L164" s="3">
        <f>L64</f>
        <v>-848</v>
      </c>
      <c r="M164" s="3" t="n"/>
      <c r="N164" s="3">
        <f>N64</f>
        <v>-880</v>
      </c>
      <c r="O164" s="3">
        <f>O64</f>
        <v>-922</v>
      </c>
      <c r="P164" s="3">
        <f>P64</f>
        <v>-956</v>
      </c>
      <c r="Q164" s="3">
        <f>Q64</f>
        <v>-989</v>
      </c>
      <c r="R164" s="3" t="n"/>
      <c r="S164" s="3">
        <f>S64</f>
        <v>-1046</v>
      </c>
      <c r="T164" s="3">
        <f>T64</f>
        <v>-1154</v>
      </c>
      <c r="U164" s="3">
        <f>U64</f>
        <v>-1235</v>
      </c>
      <c r="V164" s="3">
        <f>V64</f>
        <v>-1232</v>
      </c>
      <c r="W164" s="3" t="n"/>
      <c r="X164" s="3">
        <f>X64</f>
        <v>-1246</v>
      </c>
      <c r="Y164" s="3">
        <f>Y64</f>
        <v>-1278</v>
      </c>
      <c r="Z164" s="3">
        <f>Z64</f>
        <v>-1348</v>
      </c>
      <c r="AA164" s="3">
        <f>AA64</f>
        <v>-1496</v>
      </c>
      <c r="AB164" s="3" t="n"/>
      <c r="AC164" s="3">
        <f>AC64</f>
        <v>-1447</v>
      </c>
      <c r="AD164" s="3">
        <f>AD64</f>
        <v>-1433</v>
      </c>
      <c r="AE164" s="3">
        <f>AE64</f>
        <v>-1625</v>
      </c>
      <c r="AF164" s="3">
        <f>AF64</f>
        <v>-1643</v>
      </c>
      <c r="AG164" s="3" t="n"/>
      <c r="AH164" s="3">
        <f>AH64</f>
        <v>-1590</v>
      </c>
      <c r="AI164" s="3">
        <f>AI64</f>
        <v>-1619</v>
      </c>
      <c r="AJ164" s="3">
        <f>AJ64</f>
        <v>0</v>
      </c>
      <c r="AK164" s="3">
        <f>AK64</f>
        <v>0</v>
      </c>
      <c r="AL164" s="3" t="n"/>
      <c r="AM164" s="3">
        <f>AM64</f>
        <v>0</v>
      </c>
      <c r="AN164" s="3">
        <f>AN64</f>
        <v>0</v>
      </c>
      <c r="AO164" s="3">
        <f>AO64</f>
        <v>0</v>
      </c>
      <c r="AP164" s="3">
        <f>AP64</f>
        <v>0</v>
      </c>
      <c r="AQ164" s="3" t="n"/>
      <c r="AR164" s="3">
        <f>AR64</f>
        <v>0</v>
      </c>
      <c r="AS164" s="3">
        <f>AS64</f>
        <v>0</v>
      </c>
      <c r="AT164" s="3">
        <f>AT64</f>
        <v>0</v>
      </c>
      <c r="AU164" s="3">
        <f>AU64</f>
        <v>0</v>
      </c>
      <c r="AV164" s="3" t="n"/>
      <c r="AW164" s="3">
        <f>AW64</f>
        <v>0</v>
      </c>
      <c r="AX164" s="3">
        <f>AX64</f>
        <v>0</v>
      </c>
      <c r="AY164" s="3">
        <f>AY64</f>
        <v>0</v>
      </c>
      <c r="AZ164" s="3">
        <f>AZ64</f>
        <v>0</v>
      </c>
      <c r="BA164" s="3" t="n"/>
      <c r="BB164" s="3">
        <f>BB64</f>
        <v>0</v>
      </c>
      <c r="BC164" s="3">
        <f>BC64</f>
        <v>0</v>
      </c>
      <c r="BD164" s="3">
        <f>BD64</f>
        <v>0</v>
      </c>
      <c r="BE164" s="3">
        <f>BE64</f>
        <v>0</v>
      </c>
      <c r="BF164" s="3" t="n"/>
      <c r="BG164" s="3">
        <f>BG64</f>
        <v>0</v>
      </c>
      <c r="BH164" s="3">
        <f>BH64</f>
        <v>0</v>
      </c>
      <c r="BI164" s="3">
        <f>BI64</f>
        <v>0</v>
      </c>
      <c r="BJ164" s="3">
        <f>BJ64</f>
        <v>0</v>
      </c>
      <c r="BK164" s="3" t="n"/>
      <c r="BL164" s="3">
        <f>BL64</f>
        <v>0</v>
      </c>
      <c r="BM164" s="3">
        <f>BM64</f>
        <v>0</v>
      </c>
      <c r="BN164" s="3">
        <f>BN64</f>
        <v>0</v>
      </c>
      <c r="BO164" s="3">
        <f>BO64</f>
        <v>0</v>
      </c>
      <c r="BP164" s="3" t="n"/>
      <c r="BQ164" s="3">
        <f>BQ64</f>
        <v>0</v>
      </c>
      <c r="BR164" s="3">
        <f>BR64</f>
        <v>0</v>
      </c>
      <c r="BS164" s="3">
        <f>BS64</f>
        <v>0</v>
      </c>
      <c r="BT164" s="3">
        <f>BT64</f>
        <v>0</v>
      </c>
      <c r="BU164" s="3" t="n"/>
      <c r="BV164" s="3">
        <f>BV64</f>
        <v>0</v>
      </c>
      <c r="BW164" s="3">
        <f>BW64</f>
        <v>0</v>
      </c>
      <c r="BX164" s="3">
        <f>BX64</f>
        <v>0</v>
      </c>
      <c r="BY164" s="3">
        <f>BY64</f>
        <v>0</v>
      </c>
      <c r="BZ164" s="3" t="n"/>
      <c r="CA164" s="3">
        <f>CA64</f>
        <v>0</v>
      </c>
      <c r="CB164" s="3">
        <f>CB64</f>
        <v>0</v>
      </c>
      <c r="CC164" s="3">
        <f>CC64</f>
        <v>0</v>
      </c>
      <c r="CD164" s="3">
        <f>CD64</f>
        <v>0</v>
      </c>
      <c r="CE164" s="3" t="n"/>
      <c r="CF164" s="3">
        <f>CF64</f>
        <v>0</v>
      </c>
      <c r="CG164" s="3">
        <f>CG64</f>
        <v>0</v>
      </c>
      <c r="CH164" s="3">
        <f>CH64</f>
        <v>0</v>
      </c>
      <c r="CI164" s="3">
        <f>CI64</f>
        <v>0</v>
      </c>
      <c r="CJ164" s="3" t="n"/>
      <c r="CK164" s="3">
        <f>CK64</f>
        <v>0</v>
      </c>
      <c r="CL164" s="3">
        <f>CL64</f>
        <v>0</v>
      </c>
      <c r="CM164" s="3">
        <f>CM64</f>
        <v>0</v>
      </c>
      <c r="CN164" s="3">
        <f>CN64</f>
        <v>0</v>
      </c>
      <c r="CO164" s="3" t="n"/>
      <c r="CP164" s="3">
        <f>CP64</f>
        <v>0</v>
      </c>
      <c r="CQ164" s="3">
        <f>CQ64</f>
        <v>0</v>
      </c>
      <c r="CR164" s="3">
        <f>CR64</f>
        <v>0</v>
      </c>
      <c r="CS164" s="3">
        <f>CS64</f>
        <v>0</v>
      </c>
      <c r="CT164" s="3" t="n"/>
      <c r="CU164" s="3">
        <f>CU64</f>
        <v>0</v>
      </c>
      <c r="CV164" s="3">
        <f>CV64</f>
        <v>0</v>
      </c>
      <c r="CW164" s="3">
        <f>CW64</f>
        <v>0</v>
      </c>
      <c r="CX164" s="3">
        <f>CX64</f>
        <v>0</v>
      </c>
      <c r="CY164" s="3" t="n"/>
    </row>
    <row r="165" hidden="1" outlineLevel="1">
      <c r="C165" s="34" t="inlineStr">
        <is>
          <t>PP&amp;E</t>
        </is>
      </c>
      <c r="D165" s="3">
        <f>D160</f>
        <v>10638</v>
      </c>
      <c r="E165" s="3">
        <f>E160</f>
        <v>11009</v>
      </c>
      <c r="F165" s="3">
        <f>F160</f>
        <v>11848</v>
      </c>
      <c r="G165" s="3">
        <f>G160</f>
        <v>12747</v>
      </c>
      <c r="H165" s="3" t="n"/>
      <c r="I165" s="3">
        <f>I160</f>
        <v>13868</v>
      </c>
      <c r="J165" s="3">
        <f>J160</f>
        <v>15665</v>
      </c>
      <c r="K165" s="3">
        <f>K160</f>
        <v>17298</v>
      </c>
      <c r="L165" s="3">
        <f>L160</f>
        <v>18884</v>
      </c>
      <c r="M165" s="3" t="n"/>
      <c r="N165" s="3">
        <f>N160</f>
        <v>20027</v>
      </c>
      <c r="O165" s="3">
        <f>O160</f>
        <v>21093</v>
      </c>
      <c r="P165" s="3">
        <f>P160</f>
        <v>21926</v>
      </c>
      <c r="Q165" s="3">
        <f>Q160</f>
        <v>23548</v>
      </c>
      <c r="R165" s="3" t="n"/>
      <c r="S165" s="3">
        <f>S160</f>
        <v>24969</v>
      </c>
      <c r="T165" s="3">
        <f>T160</f>
        <v>26389</v>
      </c>
      <c r="U165" s="3">
        <f>U160</f>
        <v>27744</v>
      </c>
      <c r="V165" s="3">
        <f>V160</f>
        <v>29725</v>
      </c>
      <c r="W165" s="3" t="n"/>
      <c r="X165" s="3">
        <f>X160</f>
        <v>31436</v>
      </c>
      <c r="Y165" s="3">
        <f>Y160</f>
        <v>32902</v>
      </c>
      <c r="Z165" s="3">
        <f>Z160</f>
        <v>36116</v>
      </c>
      <c r="AA165" s="3">
        <f>Y165+SUM(AA162:AA164)</f>
        <v>32622</v>
      </c>
      <c r="AB165" s="3" t="n"/>
      <c r="AC165" s="3">
        <f>AC160</f>
        <v>37088</v>
      </c>
      <c r="AD165" s="3">
        <f>AD160</f>
        <v>38574</v>
      </c>
      <c r="AE165" s="3">
        <f>AE160</f>
        <v>39407</v>
      </c>
      <c r="AF165" s="3">
        <f>AE165+SUM(AF162:AF164)</f>
        <v>40643</v>
      </c>
      <c r="AG165" s="3" t="n"/>
      <c r="AH165" s="3">
        <f>AH160</f>
        <v>43213</v>
      </c>
      <c r="AI165" s="3">
        <f>AI160</f>
        <v>47255</v>
      </c>
      <c r="AJ165" s="3">
        <f>AI165+SUM(AJ162:AJ164)</f>
        <v>47255</v>
      </c>
      <c r="AK165" s="3">
        <f>AJ165+SUM(AK162:AK164)</f>
        <v>47255</v>
      </c>
      <c r="AL165" s="3" t="n"/>
      <c r="AM165" s="3">
        <f>AK165+SUM(AM162:AM164)</f>
        <v>47255</v>
      </c>
      <c r="AN165" s="3">
        <f>AM165+SUM(AN162:AN164)</f>
        <v>47255</v>
      </c>
      <c r="AO165" s="3">
        <f>AN165+SUM(AO162:AO164)</f>
        <v>47255</v>
      </c>
      <c r="AP165" s="3">
        <f>AO165+SUM(AP162:AP164)</f>
        <v>47255</v>
      </c>
      <c r="AQ165" s="3" t="n"/>
      <c r="AR165" s="3">
        <f>AP165+SUM(AR162:AR164)</f>
        <v>47255</v>
      </c>
      <c r="AS165" s="3">
        <f>AR165+SUM(AS162:AS164)</f>
        <v>47255</v>
      </c>
      <c r="AT165" s="3">
        <f>AS165+SUM(AT162:AT164)</f>
        <v>47255</v>
      </c>
      <c r="AU165" s="3">
        <f>AT165+SUM(AU162:AU164)</f>
        <v>47255</v>
      </c>
      <c r="AV165" s="3" t="n"/>
      <c r="AW165" s="3">
        <f>AU165+SUM(AW162:AW164)</f>
        <v>47255</v>
      </c>
      <c r="AX165" s="3">
        <f>AW165+SUM(AX162:AX164)</f>
        <v>47255</v>
      </c>
      <c r="AY165" s="3">
        <f>AX165+SUM(AY162:AY164)</f>
        <v>47255</v>
      </c>
      <c r="AZ165" s="3">
        <f>AY165+SUM(AZ162:AZ164)</f>
        <v>47255</v>
      </c>
      <c r="BA165" s="3" t="n"/>
      <c r="BB165" s="3">
        <f>AZ165+SUM(BB162:BB164)</f>
        <v>47255</v>
      </c>
      <c r="BC165" s="3">
        <f>BB165+SUM(BC162:BC164)</f>
        <v>47255</v>
      </c>
      <c r="BD165" s="3">
        <f>BC165+SUM(BD162:BD164)</f>
        <v>47255</v>
      </c>
      <c r="BE165" s="3">
        <f>BD165+SUM(BE162:BE164)</f>
        <v>47255</v>
      </c>
      <c r="BF165" s="3" t="n"/>
      <c r="BG165" s="3">
        <f>BE165+SUM(BG162:BG164)</f>
        <v>47255</v>
      </c>
      <c r="BH165" s="3">
        <f>BG165+SUM(BH162:BH164)</f>
        <v>47255</v>
      </c>
      <c r="BI165" s="3">
        <f>BH165+SUM(BI162:BI164)</f>
        <v>47255</v>
      </c>
      <c r="BJ165" s="3">
        <f>BI165+SUM(BJ162:BJ164)</f>
        <v>47255</v>
      </c>
      <c r="BK165" s="3" t="n"/>
      <c r="BL165" s="3">
        <f>BJ165+SUM(BL162:BL164)</f>
        <v>47255</v>
      </c>
      <c r="BM165" s="3">
        <f>BL165+SUM(BM162:BM164)</f>
        <v>47255</v>
      </c>
      <c r="BN165" s="3">
        <f>BM165+SUM(BN162:BN164)</f>
        <v>47255</v>
      </c>
      <c r="BO165" s="3">
        <f>BN165+SUM(BO162:BO164)</f>
        <v>47255</v>
      </c>
      <c r="BP165" s="3" t="n"/>
      <c r="BQ165" s="3">
        <f>BO165+SUM(BQ162:BQ164)</f>
        <v>47255</v>
      </c>
      <c r="BR165" s="3">
        <f>BQ165+SUM(BR162:BR164)</f>
        <v>47255</v>
      </c>
      <c r="BS165" s="3">
        <f>BR165+SUM(BS162:BS164)</f>
        <v>47255</v>
      </c>
      <c r="BT165" s="3">
        <f>BS165+SUM(BT162:BT164)</f>
        <v>47255</v>
      </c>
      <c r="BU165" s="3" t="n"/>
      <c r="BV165" s="3">
        <f>BT165+SUM(BV162:BV164)</f>
        <v>47255</v>
      </c>
      <c r="BW165" s="3">
        <f>BV165+SUM(BW162:BW164)</f>
        <v>47255</v>
      </c>
      <c r="BX165" s="3">
        <f>BW165+SUM(BX162:BX164)</f>
        <v>47255</v>
      </c>
      <c r="BY165" s="3">
        <f>BX165+SUM(BY162:BY164)</f>
        <v>47255</v>
      </c>
      <c r="BZ165" s="3" t="n"/>
      <c r="CA165" s="3">
        <f>BY165+SUM(CA162:CA164)</f>
        <v>47255</v>
      </c>
      <c r="CB165" s="3">
        <f>CA165+SUM(CB162:CB164)</f>
        <v>47255</v>
      </c>
      <c r="CC165" s="3">
        <f>CB165+SUM(CC162:CC164)</f>
        <v>47255</v>
      </c>
      <c r="CD165" s="3">
        <f>CC165+SUM(CD162:CD164)</f>
        <v>47255</v>
      </c>
      <c r="CE165" s="3" t="n"/>
      <c r="CF165" s="3">
        <f>CD165+SUM(CF162:CF164)</f>
        <v>47255</v>
      </c>
      <c r="CG165" s="3">
        <f>CF165+SUM(CG162:CG164)</f>
        <v>47255</v>
      </c>
      <c r="CH165" s="3">
        <f>CG165+SUM(CH162:CH164)</f>
        <v>47255</v>
      </c>
      <c r="CI165" s="3">
        <f>CH165+SUM(CI162:CI164)</f>
        <v>47255</v>
      </c>
      <c r="CJ165" s="3" t="n"/>
      <c r="CK165" s="3">
        <f>CI165+SUM(CK162:CK164)</f>
        <v>47255</v>
      </c>
      <c r="CL165" s="3">
        <f>CK165+SUM(CL162:CL164)</f>
        <v>47255</v>
      </c>
      <c r="CM165" s="3">
        <f>CL165+SUM(CM162:CM164)</f>
        <v>47255</v>
      </c>
      <c r="CN165" s="3">
        <f>CM165+SUM(CN162:CN164)</f>
        <v>47255</v>
      </c>
      <c r="CO165" s="3" t="n"/>
      <c r="CP165" s="3">
        <f>CN165+SUM(CP162:CP164)</f>
        <v>47255</v>
      </c>
      <c r="CQ165" s="3">
        <f>CP165+SUM(CQ162:CQ164)</f>
        <v>47255</v>
      </c>
      <c r="CR165" s="3">
        <f>CQ165+SUM(CR162:CR164)</f>
        <v>47255</v>
      </c>
      <c r="CS165" s="3">
        <f>CR165+SUM(CS162:CS164)</f>
        <v>47255</v>
      </c>
      <c r="CT165" s="3" t="n"/>
      <c r="CU165" s="3">
        <f>CS165+SUM(CU162:CU164)</f>
        <v>47255</v>
      </c>
      <c r="CV165" s="3">
        <f>CU165+SUM(CV162:CV164)</f>
        <v>47255</v>
      </c>
      <c r="CW165" s="3">
        <f>CV165+SUM(CW162:CW164)</f>
        <v>47255</v>
      </c>
      <c r="CX165" s="3">
        <f>CW165+SUM(CX162:CX164)</f>
        <v>47255</v>
      </c>
      <c r="CY165" s="3" t="n"/>
      <c r="CZ165">
        <f>CX165+SUM(CZ162:CZ164)</f>
        <v>47255</v>
      </c>
      <c r="DA165">
        <f>CZ165+SUM(DA162:DA164)</f>
        <v>47255</v>
      </c>
      <c r="DB165">
        <f>DA165+SUM(DB162:DB164)</f>
        <v>47255</v>
      </c>
      <c r="DC165">
        <f>DB165+SUM(DC162:DC164)</f>
        <v>47255</v>
      </c>
    </row>
    <row r="166" hidden="1" outlineLevel="1">
      <c r="C166" s="34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3" t="n"/>
      <c r="AE166" s="3" t="n"/>
      <c r="AF166" s="3" t="n"/>
      <c r="AG166" s="3" t="n"/>
      <c r="AH166" s="3" t="n"/>
      <c r="AI166" s="3" t="n"/>
      <c r="AJ166" s="3" t="n"/>
      <c r="AK166" s="3" t="n"/>
      <c r="AL166" s="3" t="n"/>
      <c r="AM166" s="3" t="n"/>
      <c r="AN166" s="3" t="n"/>
      <c r="AO166" s="3" t="n"/>
      <c r="AP166" s="3" t="n"/>
      <c r="AQ166" s="3" t="n"/>
      <c r="AR166" s="3" t="n"/>
      <c r="AS166" s="3" t="n"/>
      <c r="AT166" s="3" t="n"/>
      <c r="AU166" s="3" t="n"/>
      <c r="AV166" s="3" t="n"/>
      <c r="AW166" s="3" t="n"/>
      <c r="AX166" s="3" t="n"/>
      <c r="AY166" s="3" t="n"/>
      <c r="AZ166" s="3" t="n"/>
      <c r="BA166" s="3" t="n"/>
      <c r="BB166" s="3" t="n"/>
      <c r="BC166" s="3" t="n"/>
      <c r="BD166" s="3" t="n"/>
      <c r="BE166" s="3" t="n"/>
      <c r="BF166" s="3" t="n"/>
      <c r="BG166" s="3" t="n"/>
      <c r="BH166" s="3" t="n"/>
      <c r="BI166" s="3" t="n"/>
      <c r="BJ166" s="3" t="n"/>
      <c r="BK166" s="3" t="n"/>
      <c r="BL166" s="3" t="n"/>
      <c r="BM166" s="3" t="n"/>
      <c r="BN166" s="3" t="n"/>
      <c r="BO166" s="3" t="n"/>
      <c r="BP166" s="3" t="n"/>
      <c r="BQ166" s="3" t="n"/>
      <c r="BR166" s="3" t="n"/>
      <c r="BS166" s="3" t="n"/>
      <c r="BT166" s="3" t="n"/>
      <c r="BU166" s="3" t="n"/>
      <c r="BV166" s="3" t="n"/>
      <c r="BW166" s="3" t="n"/>
      <c r="BX166" s="3" t="n"/>
      <c r="BY166" s="3" t="n"/>
      <c r="BZ166" s="3" t="n"/>
      <c r="CA166" s="3" t="n"/>
      <c r="CB166" s="3" t="n"/>
      <c r="CC166" s="3" t="n"/>
      <c r="CD166" s="3" t="n"/>
      <c r="CE166" s="3" t="n"/>
      <c r="CF166" s="3" t="n"/>
      <c r="CG166" s="3" t="n"/>
      <c r="CH166" s="3" t="n"/>
      <c r="CI166" s="3" t="n"/>
      <c r="CJ166" s="3" t="n"/>
      <c r="CK166" s="3" t="n"/>
      <c r="CL166" s="3" t="n"/>
      <c r="CM166" s="3" t="n"/>
      <c r="CN166" s="3" t="n"/>
      <c r="CO166" s="3" t="n"/>
      <c r="CP166" s="3" t="n"/>
      <c r="CQ166" s="3" t="n"/>
      <c r="CR166" s="3" t="n"/>
      <c r="CS166" s="3" t="n"/>
      <c r="CT166" s="3" t="n"/>
      <c r="CU166" s="3" t="n"/>
      <c r="CV166" s="3" t="n"/>
      <c r="CW166" s="3" t="n"/>
      <c r="CX166" s="3" t="n"/>
      <c r="CY166" s="3" t="n"/>
    </row>
    <row r="167" hidden="1" outlineLevel="1">
      <c r="C167" s="34" t="inlineStr">
        <is>
          <t>Capital expenditures (% Net Revenues)</t>
        </is>
      </c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  <c r="AD167" s="3" t="n"/>
      <c r="AE167" s="3" t="n"/>
      <c r="AF167" s="40">
        <f>AF162/AF15</f>
        <v>0.115617846672824</v>
      </c>
      <c r="AG167" s="40">
        <f>AG162/AG15</f>
        <v>0.115526168707225</v>
      </c>
      <c r="AH167" s="40">
        <f>AH162/AH15</f>
        <v>0.185822128914102</v>
      </c>
      <c r="AI167" s="40">
        <f>AI162/AI15</f>
        <v>0.200488737781555</v>
      </c>
      <c r="AJ167" s="40">
        <f>AJ162/AJ15</f>
        <v>0</v>
      </c>
      <c r="AK167" s="40">
        <f>AK162/AK15</f>
        <v>0</v>
      </c>
      <c r="AL167" s="40">
        <f>AL162/AL15</f>
        <v>0</v>
      </c>
      <c r="AM167" s="40">
        <f>AM162/AM15</f>
        <v>0</v>
      </c>
      <c r="AN167" s="40">
        <f>AN162/AN15</f>
        <v>0</v>
      </c>
      <c r="AO167" s="40">
        <f>AO162/AO15</f>
        <v>0</v>
      </c>
      <c r="AP167" s="40">
        <f>AP162/AP15</f>
        <v>0</v>
      </c>
      <c r="AQ167" s="40">
        <f>AQ162/AQ15</f>
        <v>0</v>
      </c>
      <c r="AR167" s="40">
        <f>AR162/AR15</f>
        <v>0</v>
      </c>
      <c r="AS167" s="40">
        <f>AS162/AS15</f>
        <v>0</v>
      </c>
      <c r="AT167" s="40">
        <f>AT162/AT15</f>
        <v>0</v>
      </c>
      <c r="AU167" s="40">
        <f>AU162/AU15</f>
        <v>0</v>
      </c>
      <c r="AV167" s="40">
        <f>AV162/AV15</f>
        <v>0</v>
      </c>
      <c r="AW167" s="40">
        <f>AW162/AW15</f>
        <v>0</v>
      </c>
      <c r="AX167" s="40">
        <f>AX162/AX15</f>
        <v>0</v>
      </c>
      <c r="AY167" s="40">
        <f>AY162/AY15</f>
        <v>0</v>
      </c>
      <c r="AZ167" s="40">
        <f>AZ162/AZ15</f>
        <v>0</v>
      </c>
      <c r="BA167" s="40">
        <f>BA162/BA15</f>
        <v>0</v>
      </c>
      <c r="BB167" s="40">
        <f>BB162/BB15</f>
        <v>0</v>
      </c>
      <c r="BC167" s="40">
        <f>BC162/BC15</f>
        <v>0</v>
      </c>
      <c r="BD167" s="40">
        <f>BD162/BD15</f>
        <v>0</v>
      </c>
      <c r="BE167" s="40">
        <f>BE162/BE15</f>
        <v>0</v>
      </c>
      <c r="BF167" s="40">
        <f>BF162/BF15</f>
        <v>0</v>
      </c>
      <c r="BG167" s="40">
        <f>BG162/BG15</f>
        <v>0</v>
      </c>
      <c r="BH167" s="40">
        <f>BH162/BH15</f>
        <v>0</v>
      </c>
      <c r="BI167" s="40">
        <f>BI162/BI15</f>
        <v>0</v>
      </c>
      <c r="BJ167" s="40">
        <f>BJ162/BJ15</f>
        <v>0</v>
      </c>
      <c r="BK167" s="40">
        <f>BK162/BK15</f>
        <v>0</v>
      </c>
      <c r="BL167" s="40">
        <f>BL162/BL15</f>
        <v>0</v>
      </c>
      <c r="BM167" s="40">
        <f>BM162/BM15</f>
        <v>0</v>
      </c>
      <c r="BN167" s="40">
        <f>BN162/BN15</f>
        <v>0</v>
      </c>
      <c r="BO167" s="40">
        <f>BO162/BO15</f>
        <v>0</v>
      </c>
      <c r="BP167" s="40">
        <f>BP162/BP15</f>
        <v>0</v>
      </c>
      <c r="BQ167" s="40">
        <f>BQ162/BQ15</f>
        <v>0</v>
      </c>
      <c r="BR167" s="40">
        <f>BR162/BR15</f>
        <v>0</v>
      </c>
      <c r="BS167" s="40">
        <f>BS162/BS15</f>
        <v>0</v>
      </c>
      <c r="BT167" s="40">
        <f>BT162/BT15</f>
        <v>0</v>
      </c>
      <c r="BU167" s="40">
        <f>BU162/BU15</f>
        <v>0</v>
      </c>
      <c r="BV167" s="40">
        <f>BV162/BV15</f>
        <v>0</v>
      </c>
      <c r="BW167" s="40">
        <f>BW162/BW15</f>
        <v>0</v>
      </c>
      <c r="BX167" s="40">
        <f>BX162/BX15</f>
        <v>0</v>
      </c>
      <c r="BY167" s="40">
        <f>BY162/BY15</f>
        <v>0</v>
      </c>
      <c r="BZ167" s="40">
        <f>BZ162/BZ15</f>
        <v>0</v>
      </c>
      <c r="CA167" s="40">
        <f>CA162/CA15</f>
        <v>0</v>
      </c>
      <c r="CB167" s="40">
        <f>CB162/CB15</f>
        <v>0</v>
      </c>
      <c r="CC167" s="40">
        <f>CC162/CC15</f>
        <v>0</v>
      </c>
      <c r="CD167" s="40">
        <f>CD162/CD15</f>
        <v>0</v>
      </c>
      <c r="CE167" s="40">
        <f>CE162/CE15</f>
        <v>0</v>
      </c>
      <c r="CF167" s="40">
        <f>CF162/CF15</f>
        <v>0</v>
      </c>
      <c r="CG167" s="40">
        <f>CG162/CG15</f>
        <v>0</v>
      </c>
      <c r="CH167" s="40">
        <f>CH162/CH15</f>
        <v>0</v>
      </c>
      <c r="CI167" s="40">
        <f>CI162/CI15</f>
        <v>0</v>
      </c>
      <c r="CJ167" s="40">
        <f>CJ162/CJ15</f>
        <v>0</v>
      </c>
      <c r="CK167" s="40">
        <f>CK162/CK15</f>
        <v>0</v>
      </c>
      <c r="CL167" s="40">
        <f>CL162/CL15</f>
        <v>0</v>
      </c>
      <c r="CM167" s="40">
        <f>CM162/CM15</f>
        <v>0</v>
      </c>
      <c r="CN167" s="40">
        <f>CN162/CN15</f>
        <v>0</v>
      </c>
      <c r="CO167" s="40">
        <f>CO162/CO15</f>
        <v>0</v>
      </c>
      <c r="CP167" s="40">
        <f>CP162/CP15</f>
        <v>0</v>
      </c>
      <c r="CQ167" s="40">
        <f>CQ162/CQ15</f>
        <v>0</v>
      </c>
      <c r="CR167" s="40">
        <f>CR162/CR15</f>
        <v>0</v>
      </c>
      <c r="CS167" s="40">
        <f>CS162/CS15</f>
        <v>0</v>
      </c>
      <c r="CT167" s="40">
        <f>CT162/CT15</f>
        <v>0</v>
      </c>
      <c r="CU167" s="40">
        <f>CU162/CU15</f>
        <v>0</v>
      </c>
      <c r="CV167" s="40">
        <f>CV162/CV15</f>
        <v>0</v>
      </c>
      <c r="CW167" s="40">
        <f>CW162/CW15</f>
        <v>0</v>
      </c>
      <c r="CX167" s="40">
        <f>CX162/CX15</f>
        <v>0</v>
      </c>
      <c r="CY167" s="40">
        <f>CY162/CY15</f>
        <v>0</v>
      </c>
    </row>
    <row r="168" hidden="1" outlineLevel="1">
      <c r="C168" s="34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n"/>
      <c r="AE168" s="3" t="n"/>
      <c r="AF168" s="3" t="n"/>
      <c r="AG168" s="3" t="n"/>
      <c r="AH168" s="3" t="n"/>
      <c r="AI168" s="3" t="n"/>
      <c r="AJ168" s="3" t="n"/>
      <c r="AK168" s="3" t="n"/>
      <c r="AL168" s="3" t="n"/>
      <c r="AM168" s="3" t="n"/>
      <c r="AN168" s="3" t="n"/>
      <c r="AO168" s="3" t="n"/>
      <c r="AP168" s="3" t="n"/>
      <c r="AQ168" s="3" t="n"/>
      <c r="AR168" s="3" t="n"/>
      <c r="AS168" s="3" t="n"/>
      <c r="AT168" s="3" t="n"/>
      <c r="AU168" s="3" t="n"/>
      <c r="AV168" s="3" t="n"/>
      <c r="AW168" s="3" t="n"/>
      <c r="AX168" s="3" t="n"/>
      <c r="AY168" s="3" t="n"/>
      <c r="AZ168" s="3" t="n"/>
      <c r="BA168" s="3" t="n"/>
      <c r="BB168" s="3" t="n"/>
      <c r="BC168" s="3" t="n"/>
      <c r="BD168" s="3" t="n"/>
      <c r="BE168" s="3" t="n"/>
      <c r="BF168" s="3" t="n"/>
      <c r="BG168" s="3" t="n"/>
      <c r="BH168" s="3" t="n"/>
      <c r="BI168" s="3" t="n"/>
      <c r="BJ168" s="3" t="n"/>
      <c r="BK168" s="3" t="n"/>
      <c r="BL168" s="3" t="n"/>
      <c r="BM168" s="3" t="n"/>
      <c r="BN168" s="3" t="n"/>
      <c r="BO168" s="3" t="n"/>
      <c r="BP168" s="3" t="n"/>
      <c r="BQ168" s="3" t="n"/>
      <c r="BR168" s="3" t="n"/>
      <c r="BS168" s="3" t="n"/>
      <c r="BT168" s="3" t="n"/>
      <c r="BU168" s="3" t="n"/>
      <c r="BV168" s="3" t="n"/>
      <c r="BW168" s="3" t="n"/>
      <c r="BX168" s="3" t="n"/>
      <c r="BY168" s="3" t="n"/>
      <c r="BZ168" s="3" t="n"/>
      <c r="CA168" s="3" t="n"/>
      <c r="CB168" s="3" t="n"/>
      <c r="CC168" s="3" t="n"/>
      <c r="CD168" s="3" t="n"/>
      <c r="CE168" s="3" t="n"/>
      <c r="CF168" s="3" t="n"/>
      <c r="CG168" s="3" t="n"/>
      <c r="CH168" s="3" t="n"/>
      <c r="CI168" s="3" t="n"/>
      <c r="CJ168" s="3" t="n"/>
      <c r="CK168" s="3" t="n"/>
      <c r="CL168" s="3" t="n"/>
      <c r="CM168" s="3" t="n"/>
      <c r="CN168" s="3" t="n"/>
      <c r="CO168" s="3" t="n"/>
      <c r="CP168" s="3" t="n"/>
      <c r="CQ168" s="3" t="n"/>
      <c r="CR168" s="3" t="n"/>
      <c r="CS168" s="3" t="n"/>
      <c r="CT168" s="3" t="n"/>
      <c r="CU168" s="3" t="n"/>
      <c r="CV168" s="3" t="n"/>
      <c r="CW168" s="3" t="n"/>
      <c r="CX168" s="3" t="n"/>
      <c r="CY168" s="3" t="n"/>
    </row>
    <row r="169" hidden="1" outlineLevel="1">
      <c r="C169" s="34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  <c r="AD169" s="3" t="n"/>
      <c r="AE169" s="3" t="n"/>
      <c r="AF169" s="3" t="n"/>
      <c r="AG169" s="3" t="n"/>
      <c r="AH169" s="3" t="n"/>
      <c r="AI169" s="3" t="n"/>
      <c r="AJ169" s="3" t="n"/>
      <c r="AK169" s="3" t="n"/>
      <c r="AL169" s="3" t="n"/>
      <c r="AM169" s="3" t="n"/>
      <c r="AN169" s="3" t="n"/>
      <c r="AO169" s="3" t="n"/>
      <c r="AP169" s="3" t="n"/>
      <c r="AQ169" s="3" t="n"/>
      <c r="AR169" s="3" t="n"/>
      <c r="AS169" s="3" t="n"/>
      <c r="AT169" s="3" t="n"/>
      <c r="AU169" s="3" t="n"/>
      <c r="AV169" s="3" t="n"/>
      <c r="AW169" s="3" t="n"/>
      <c r="AX169" s="3" t="n"/>
      <c r="AY169" s="3" t="n"/>
      <c r="AZ169" s="3" t="n"/>
      <c r="BA169" s="3" t="n"/>
      <c r="BB169" s="3" t="n"/>
      <c r="BC169" s="3" t="n"/>
      <c r="BD169" s="3" t="n"/>
      <c r="BE169" s="3" t="n"/>
      <c r="BF169" s="3" t="n"/>
      <c r="BG169" s="3" t="n"/>
      <c r="BH169" s="3" t="n"/>
      <c r="BI169" s="3" t="n"/>
      <c r="BJ169" s="3" t="n"/>
      <c r="BK169" s="3" t="n"/>
      <c r="BL169" s="3" t="n"/>
      <c r="BM169" s="3" t="n"/>
      <c r="BN169" s="3" t="n"/>
      <c r="BO169" s="3" t="n"/>
      <c r="BP169" s="3" t="n"/>
      <c r="BQ169" s="3" t="n"/>
      <c r="BR169" s="3" t="n"/>
      <c r="BS169" s="3" t="n"/>
      <c r="BT169" s="3" t="n"/>
      <c r="BU169" s="3" t="n"/>
      <c r="BV169" s="3" t="n"/>
      <c r="BW169" s="3" t="n"/>
      <c r="BX169" s="3" t="n"/>
      <c r="BY169" s="3" t="n"/>
      <c r="BZ169" s="3" t="n"/>
      <c r="CA169" s="3" t="n"/>
      <c r="CB169" s="3" t="n"/>
      <c r="CC169" s="3" t="n"/>
      <c r="CD169" s="3" t="n"/>
      <c r="CE169" s="3" t="n"/>
      <c r="CF169" s="3" t="n"/>
      <c r="CG169" s="3" t="n"/>
      <c r="CH169" s="3" t="n"/>
      <c r="CI169" s="3" t="n"/>
      <c r="CJ169" s="3" t="n"/>
      <c r="CK169" s="3" t="n"/>
      <c r="CL169" s="3" t="n"/>
      <c r="CM169" s="3" t="n"/>
      <c r="CN169" s="3" t="n"/>
      <c r="CO169" s="3" t="n"/>
      <c r="CP169" s="3" t="n"/>
      <c r="CQ169" s="3" t="n"/>
      <c r="CR169" s="3" t="n"/>
      <c r="CS169" s="3" t="n"/>
      <c r="CT169" s="3" t="n"/>
      <c r="CU169" s="3" t="n"/>
      <c r="CV169" s="3" t="n"/>
      <c r="CW169" s="3" t="n"/>
      <c r="CX169" s="3" t="n"/>
      <c r="CY169" s="3" t="n"/>
    </row>
    <row r="170" collapsed="1">
      <c r="C170" s="26" t="inlineStr">
        <is>
          <t>Right-of-use-assets</t>
        </is>
      </c>
      <c r="D170" s="25">
        <f>INDEX('Inputs (2)'!$D$23:$AL$23,MATCH(D$7,'Inputs (2)'!$D$2:$AL$2,0))</f>
        <v>1197</v>
      </c>
      <c r="E170" s="25">
        <f>INDEX('Inputs (2)'!$D$23:$AL$23,MATCH(E$7,'Inputs (2)'!$D$2:$AL$2,0))</f>
        <v>1274</v>
      </c>
      <c r="F170" s="25">
        <f>INDEX('Inputs (2)'!$D$23:$AL$23,MATCH(F$7,'Inputs (2)'!$D$2:$AL$2,0))</f>
        <v>1375</v>
      </c>
      <c r="G170" s="25">
        <f>INDEX('Inputs (2)'!$D$23:$AL$23,MATCH(G$7,'Inputs (2)'!$D$2:$AL$2,0))</f>
        <v>1558</v>
      </c>
      <c r="H170" s="3">
        <f>G170</f>
        <v>1558</v>
      </c>
      <c r="I170" s="25">
        <f>INDEX('Inputs (2)'!$D$23:$AL$23,MATCH(I$7,'Inputs (2)'!$D$2:$AL$2,0))</f>
        <v>1647</v>
      </c>
      <c r="J170" s="25">
        <f>INDEX('Inputs (2)'!$D$23:$AL$23,MATCH(J$7,'Inputs (2)'!$D$2:$AL$2,0))</f>
        <v>1734</v>
      </c>
      <c r="K170" s="25">
        <f>INDEX('Inputs (2)'!$D$23:$AL$23,MATCH(K$7,'Inputs (2)'!$D$2:$AL$2,0))</f>
        <v>1962</v>
      </c>
      <c r="L170" s="25">
        <f>INDEX('Inputs (2)'!$D$23:$AL$23,MATCH(L$7,'Inputs (2)'!$D$2:$AL$2,0))</f>
        <v>2016</v>
      </c>
      <c r="M170" s="3">
        <f>L170</f>
        <v>2016</v>
      </c>
      <c r="N170" s="25">
        <f>INDEX('Inputs (2)'!$D$23:$AL$23,MATCH(N$7,'Inputs (2)'!$D$2:$AL$2,0))</f>
        <v>2181</v>
      </c>
      <c r="O170" s="25">
        <f>INDEX('Inputs (2)'!$D$23:$AL$23,MATCH(O$7,'Inputs (2)'!$D$2:$AL$2,0))</f>
        <v>2185</v>
      </c>
      <c r="P170" s="25">
        <f>INDEX('Inputs (2)'!$D$23:$AL$23,MATCH(P$7,'Inputs (2)'!$D$2:$AL$2,0))</f>
        <v>2251</v>
      </c>
      <c r="Q170" s="25">
        <f>INDEX('Inputs (2)'!$D$23:$AL$23,MATCH(Q$7,'Inputs (2)'!$D$2:$AL$2,0))</f>
        <v>2563</v>
      </c>
      <c r="R170" s="3">
        <f>Q170</f>
        <v>2563</v>
      </c>
      <c r="S170" s="25">
        <f>INDEX('Inputs (2)'!$D$23:$AL$23,MATCH(S$7,'Inputs (2)'!$D$2:$AL$2,0))</f>
        <v>2800</v>
      </c>
      <c r="T170" s="25">
        <f>INDEX('Inputs (2)'!$D$23:$AL$23,MATCH(T$7,'Inputs (2)'!$D$2:$AL$2,0))</f>
        <v>3352</v>
      </c>
      <c r="U170" s="25">
        <f>INDEX('Inputs (2)'!$D$23:$AL$23,MATCH(U$7,'Inputs (2)'!$D$2:$AL$2,0))</f>
        <v>3637</v>
      </c>
      <c r="V170" s="25">
        <f>INDEX('Inputs (2)'!$D$23:$AL$23,MATCH(V$7,'Inputs (2)'!$D$2:$AL$2,0))</f>
        <v>4180</v>
      </c>
      <c r="W170" s="3">
        <f>V170</f>
        <v>4180</v>
      </c>
      <c r="X170" s="25">
        <f>INDEX('Inputs (2)'!$D$23:$AL$23,MATCH(X$7,'Inputs (2)'!$D$2:$AL$2,0))</f>
        <v>4367</v>
      </c>
      <c r="Y170" s="25">
        <f>INDEX('Inputs (2)'!$D$23:$AL$23,MATCH(Y$7,'Inputs (2)'!$D$2:$AL$2,0))</f>
        <v>4563</v>
      </c>
      <c r="Z170" s="25">
        <f>INDEX('Inputs (2)'!$D$23:$AL$23,MATCH(Z$7,'Inputs (2)'!$D$2:$AL$2,0))</f>
        <v>4867</v>
      </c>
      <c r="AA170" s="25">
        <f>INDEX('Inputs (2)'!$D$23:$AL$23,MATCH(AA$7,'Inputs (2)'!$D$2:$AL$2,0))</f>
        <v>5160</v>
      </c>
      <c r="AB170" s="3">
        <f>AA170</f>
        <v>5160</v>
      </c>
      <c r="AC170" s="25">
        <f>INDEX('Inputs (2)'!$D$23:$AL$23,MATCH(AC$7,'Inputs (2)'!$D$2:$AL$2,0))</f>
        <v>5330</v>
      </c>
      <c r="AD170" s="25">
        <f>INDEX('Inputs (2)'!$D$23:$AL$23,MATCH(AD$7,'Inputs (2)'!$D$2:$AL$2,0))</f>
        <v>5633</v>
      </c>
      <c r="AE170" s="25">
        <f>INDEX('Inputs (2)'!$D$23:$AL$23,MATCH(AE$7,'Inputs (2)'!$D$2:$AL$2,0))</f>
        <v>5783</v>
      </c>
      <c r="AF170" s="25">
        <f>INDEX('Inputs (2)'!$D$23:$AL$23,MATCH(AF$7,'Inputs (2)'!$D$2:$AL$2,0))</f>
        <v>6027</v>
      </c>
      <c r="AG170" s="3">
        <f>AF170</f>
        <v>6027</v>
      </c>
      <c r="AH170" s="3">
        <f>INDEX('Inputs (2)'!$D$23:$AL$23,MATCH(AH$7,'Inputs (2)'!$D$2:$AL$2,0))</f>
        <v>6332</v>
      </c>
      <c r="AI170" s="3">
        <f>INDEX('Inputs (2)'!$D$23:$AL$23,MATCH(AI$7,'Inputs (2)'!$D$2:$AL$2,0))</f>
        <v>6386</v>
      </c>
      <c r="AJ170" s="3">
        <f>AI170</f>
        <v>6386</v>
      </c>
      <c r="AK170" s="3">
        <f>AJ170</f>
        <v>6386</v>
      </c>
      <c r="AL170" s="3">
        <f>AK170</f>
        <v>6386</v>
      </c>
      <c r="AM170" s="3">
        <f>AL170</f>
        <v>6386</v>
      </c>
      <c r="AN170" s="3">
        <f>AM170</f>
        <v>6386</v>
      </c>
      <c r="AO170" s="3">
        <f>AN170</f>
        <v>6386</v>
      </c>
      <c r="AP170" s="3">
        <f>AO170</f>
        <v>6386</v>
      </c>
      <c r="AQ170" s="3">
        <f>AP170</f>
        <v>6386</v>
      </c>
      <c r="AR170" s="3">
        <f>AQ170</f>
        <v>6386</v>
      </c>
      <c r="AS170" s="3">
        <f>AR170</f>
        <v>6386</v>
      </c>
      <c r="AT170" s="3">
        <f>AS170</f>
        <v>6386</v>
      </c>
      <c r="AU170" s="3">
        <f>AT170</f>
        <v>6386</v>
      </c>
      <c r="AV170" s="3">
        <f>AU170</f>
        <v>6386</v>
      </c>
      <c r="AW170" s="3">
        <f>AV170</f>
        <v>6386</v>
      </c>
      <c r="AX170" s="3">
        <f>AW170</f>
        <v>6386</v>
      </c>
      <c r="AY170" s="3">
        <f>AX170</f>
        <v>6386</v>
      </c>
      <c r="AZ170" s="3">
        <f>AY170</f>
        <v>6386</v>
      </c>
      <c r="BA170" s="3">
        <f>AZ170</f>
        <v>6386</v>
      </c>
      <c r="BB170" s="3">
        <f>BA170</f>
        <v>6386</v>
      </c>
      <c r="BC170" s="3">
        <f>BB170</f>
        <v>6386</v>
      </c>
      <c r="BD170" s="3">
        <f>BC170</f>
        <v>6386</v>
      </c>
      <c r="BE170" s="3">
        <f>BD170</f>
        <v>6386</v>
      </c>
      <c r="BF170" s="3">
        <f>BE170</f>
        <v>6386</v>
      </c>
      <c r="BG170" s="3">
        <f>BF170</f>
        <v>6386</v>
      </c>
      <c r="BH170" s="3">
        <f>BG170</f>
        <v>6386</v>
      </c>
      <c r="BI170" s="3">
        <f>BH170</f>
        <v>6386</v>
      </c>
      <c r="BJ170" s="3">
        <f>BI170</f>
        <v>6386</v>
      </c>
      <c r="BK170" s="3">
        <f>BJ170</f>
        <v>6386</v>
      </c>
      <c r="BL170" s="3">
        <f>BK170</f>
        <v>6386</v>
      </c>
      <c r="BM170" s="3">
        <f>BL170</f>
        <v>6386</v>
      </c>
      <c r="BN170" s="3">
        <f>BM170</f>
        <v>6386</v>
      </c>
      <c r="BO170" s="3">
        <f>BN170</f>
        <v>6386</v>
      </c>
      <c r="BP170" s="3">
        <f>BO170</f>
        <v>6386</v>
      </c>
      <c r="BQ170" s="3">
        <f>BP170</f>
        <v>6386</v>
      </c>
      <c r="BR170" s="3">
        <f>BQ170</f>
        <v>6386</v>
      </c>
      <c r="BS170" s="3">
        <f>BR170</f>
        <v>6386</v>
      </c>
      <c r="BT170" s="3">
        <f>BS170</f>
        <v>6386</v>
      </c>
      <c r="BU170" s="3">
        <f>BT170</f>
        <v>6386</v>
      </c>
      <c r="BV170" s="3">
        <f>BU170</f>
        <v>6386</v>
      </c>
      <c r="BW170" s="3">
        <f>BV170</f>
        <v>6386</v>
      </c>
      <c r="BX170" s="3">
        <f>BW170</f>
        <v>6386</v>
      </c>
      <c r="BY170" s="3">
        <f>BX170</f>
        <v>6386</v>
      </c>
      <c r="BZ170" s="3">
        <f>BY170</f>
        <v>6386</v>
      </c>
      <c r="CA170" s="3">
        <f>BZ170</f>
        <v>6386</v>
      </c>
      <c r="CB170" s="3">
        <f>CA170</f>
        <v>6386</v>
      </c>
      <c r="CC170" s="3">
        <f>CB170</f>
        <v>6386</v>
      </c>
      <c r="CD170" s="3">
        <f>CC170</f>
        <v>6386</v>
      </c>
      <c r="CE170" s="3">
        <f>CD170</f>
        <v>6386</v>
      </c>
      <c r="CF170" s="3">
        <f>CE170</f>
        <v>6386</v>
      </c>
      <c r="CG170" s="3">
        <f>CF170</f>
        <v>6386</v>
      </c>
      <c r="CH170" s="3">
        <f>CG170</f>
        <v>6386</v>
      </c>
      <c r="CI170" s="3">
        <f>CH170</f>
        <v>6386</v>
      </c>
      <c r="CJ170" s="3">
        <f>CI170</f>
        <v>6386</v>
      </c>
      <c r="CK170" s="3">
        <f>CJ170</f>
        <v>6386</v>
      </c>
      <c r="CL170" s="3">
        <f>CK170</f>
        <v>6386</v>
      </c>
      <c r="CM170" s="3">
        <f>CL170</f>
        <v>6386</v>
      </c>
      <c r="CN170" s="3">
        <f>CM170</f>
        <v>6386</v>
      </c>
      <c r="CO170" s="3">
        <f>CN170</f>
        <v>6386</v>
      </c>
      <c r="CP170" s="3">
        <f>CO170</f>
        <v>6386</v>
      </c>
      <c r="CQ170" s="3">
        <f>CP170</f>
        <v>6386</v>
      </c>
      <c r="CR170" s="3">
        <f>CQ170</f>
        <v>6386</v>
      </c>
      <c r="CS170" s="3">
        <f>CR170</f>
        <v>6386</v>
      </c>
      <c r="CT170" s="3">
        <f>CS170</f>
        <v>6386</v>
      </c>
      <c r="CU170" s="3">
        <f>CT170</f>
        <v>6386</v>
      </c>
      <c r="CV170" s="3">
        <f>CU170</f>
        <v>6386</v>
      </c>
      <c r="CW170" s="3">
        <f>CV170</f>
        <v>6386</v>
      </c>
      <c r="CX170" s="3">
        <f>CW170</f>
        <v>6386</v>
      </c>
      <c r="CY170" s="3">
        <f>CX170</f>
        <v>6386</v>
      </c>
    </row>
    <row r="171" hidden="1" outlineLevel="1">
      <c r="C171" s="38" t="inlineStr">
        <is>
          <t>%(Var.)</t>
        </is>
      </c>
      <c r="D171" s="3" t="n"/>
      <c r="E171" s="47">
        <f>IFERROR((E170-D170)/D170,0)</f>
        <v>0.064327485380117</v>
      </c>
      <c r="F171" s="47">
        <f>IFERROR((F170-E170)/E170,0)</f>
        <v>0.0792778649921507</v>
      </c>
      <c r="G171" s="47">
        <f>IFERROR((G170-F170)/F170,0)</f>
        <v>0.133090909090909</v>
      </c>
      <c r="H171" s="3" t="n"/>
      <c r="I171" s="47">
        <f>IFERROR((I170-H170)/H170,0)</f>
        <v>0.0571245186136072</v>
      </c>
      <c r="J171" s="47">
        <f>IFERROR((J170-I170)/I170,0)</f>
        <v>0.0528233151183971</v>
      </c>
      <c r="K171" s="47">
        <f>IFERROR((K170-J170)/J170,0)</f>
        <v>0.131487889273356</v>
      </c>
      <c r="L171" s="47">
        <f>IFERROR((L170-K170)/K170,0)</f>
        <v>0.0275229357798165</v>
      </c>
      <c r="M171" s="3" t="n"/>
      <c r="N171" s="47">
        <f>IFERROR((N170-M170)/M170,0)</f>
        <v>0.0818452380952381</v>
      </c>
      <c r="O171" s="47">
        <f>IFERROR((O170-N170)/N170,0)</f>
        <v>0.00183402109124255</v>
      </c>
      <c r="P171" s="47">
        <f>IFERROR((P170-O170)/O170,0)</f>
        <v>0.0302059496567506</v>
      </c>
      <c r="Q171" s="47">
        <f>IFERROR((Q170-P170)/P170,0)</f>
        <v>0.138605064415815</v>
      </c>
      <c r="R171" s="3" t="n"/>
      <c r="S171" s="47">
        <f>IFERROR((S170-R170)/R170,0)</f>
        <v>0.092469761997659</v>
      </c>
      <c r="T171" s="47">
        <f>IFERROR((T170-S170)/S170,0)</f>
        <v>0.197142857142857</v>
      </c>
      <c r="U171" s="47">
        <f>IFERROR((U170-T170)/T170,0)</f>
        <v>0.0850238663484487</v>
      </c>
      <c r="V171" s="47">
        <f>IFERROR((V170-U170)/U170,0)</f>
        <v>0.149298872697278</v>
      </c>
      <c r="W171" s="3" t="n"/>
      <c r="X171" s="47">
        <f>IFERROR((X170-W170)/W170,0)</f>
        <v>0.0447368421052632</v>
      </c>
      <c r="Y171" s="47">
        <f>IFERROR((Y170-X170)/X170,0)</f>
        <v>0.044882070070987</v>
      </c>
      <c r="Z171" s="47">
        <f>IFERROR((Z170-Y170)/Y170,0)</f>
        <v>0.0666228358536051</v>
      </c>
      <c r="AA171" s="47">
        <f>IFERROR((AA170-Z170)/Z170,0)</f>
        <v>0.060201356071502</v>
      </c>
      <c r="AB171" s="3" t="n"/>
      <c r="AC171" s="47">
        <f>IFERROR((AC170-AB170)/AB170,0)</f>
        <v>0.0329457364341085</v>
      </c>
      <c r="AD171" s="47">
        <f>IFERROR((AD170-AC170)/AC170,0)</f>
        <v>0.0568480300187617</v>
      </c>
      <c r="AE171" s="47">
        <f>IFERROR((AE170-AD170)/AD170,0)</f>
        <v>0.026628794603231</v>
      </c>
      <c r="AF171" s="218">
        <f>IFERROR((AF170-AE170)/AE170,0)</f>
        <v>0.0421926335811862</v>
      </c>
      <c r="AG171" s="3" t="n"/>
      <c r="AH171" s="218">
        <f>IFERROR((AH170-AG170)/AG170,0)</f>
        <v>0.0506056080968973</v>
      </c>
      <c r="AI171" s="218">
        <f>IFERROR((AI170-AH170)/AH170,0)</f>
        <v>0.00852811118130133</v>
      </c>
      <c r="AJ171" s="218" t="n"/>
      <c r="AK171" s="218" t="n"/>
      <c r="AL171" s="3" t="n"/>
      <c r="AM171" s="218" t="n"/>
      <c r="AN171" s="218" t="n"/>
      <c r="AO171" s="218" t="n"/>
      <c r="AP171" s="218" t="n"/>
      <c r="AQ171" s="3" t="n"/>
      <c r="AR171" s="218" t="n"/>
      <c r="AS171" s="218" t="n"/>
      <c r="AT171" s="218" t="n"/>
      <c r="AU171" s="218" t="n"/>
      <c r="AV171" s="3" t="n"/>
      <c r="AW171" s="218" t="n"/>
      <c r="AX171" s="218" t="n"/>
      <c r="AY171" s="218" t="n"/>
      <c r="AZ171" s="218" t="n"/>
      <c r="BA171" s="3" t="n"/>
      <c r="BB171" s="218" t="n"/>
      <c r="BC171" s="218" t="n"/>
      <c r="BD171" s="218" t="n"/>
      <c r="BE171" s="218" t="n"/>
      <c r="BF171" s="3" t="n"/>
      <c r="BG171" s="218" t="n"/>
      <c r="BH171" s="218" t="n"/>
      <c r="BI171" s="218" t="n"/>
      <c r="BJ171" s="218" t="n"/>
      <c r="BK171" s="3" t="n"/>
      <c r="BL171" s="218" t="n"/>
      <c r="BM171" s="218" t="n"/>
      <c r="BN171" s="218" t="n"/>
      <c r="BO171" s="218" t="n"/>
      <c r="BP171" s="3" t="n"/>
      <c r="BQ171" s="218" t="n"/>
      <c r="BR171" s="218" t="n"/>
      <c r="BS171" s="218" t="n"/>
      <c r="BT171" s="218" t="n"/>
      <c r="BU171" s="3" t="n"/>
      <c r="BV171" s="218" t="n"/>
      <c r="BW171" s="218" t="n"/>
      <c r="BX171" s="218" t="n"/>
      <c r="BY171" s="218" t="n"/>
      <c r="BZ171" s="3" t="n"/>
      <c r="CA171" s="218" t="n"/>
      <c r="CB171" s="218" t="n"/>
      <c r="CC171" s="218" t="n"/>
      <c r="CD171" s="218" t="n"/>
      <c r="CE171" s="3" t="n"/>
      <c r="CF171" s="218" t="n"/>
      <c r="CG171" s="218" t="n"/>
      <c r="CH171" s="218" t="n"/>
      <c r="CI171" s="218" t="n"/>
      <c r="CJ171" s="3" t="n"/>
      <c r="CK171" s="218" t="n"/>
      <c r="CL171" s="218" t="n"/>
      <c r="CM171" s="218" t="n"/>
      <c r="CN171" s="218" t="n"/>
      <c r="CO171" s="3" t="n"/>
      <c r="CP171" s="218" t="n"/>
      <c r="CQ171" s="218" t="n"/>
      <c r="CR171" s="218" t="n"/>
      <c r="CS171" s="218" t="n"/>
      <c r="CT171" s="3" t="n"/>
      <c r="CU171" s="218" t="n"/>
      <c r="CV171" s="218" t="n"/>
      <c r="CW171" s="218" t="n"/>
      <c r="CX171" s="218" t="n"/>
      <c r="CY171" s="3" t="n"/>
    </row>
    <row r="172" hidden="1" outlineLevel="1">
      <c r="C172" s="34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3" t="n"/>
      <c r="AG172" s="3" t="n"/>
      <c r="AH172" s="3" t="n"/>
      <c r="AI172" s="3" t="n"/>
      <c r="AJ172" s="3" t="n"/>
      <c r="AK172" s="3" t="n"/>
      <c r="AL172" s="3" t="n"/>
      <c r="AM172" s="3" t="n"/>
      <c r="AN172" s="3" t="n"/>
      <c r="AO172" s="3" t="n"/>
      <c r="AP172" s="3" t="n"/>
      <c r="AQ172" s="3" t="n"/>
      <c r="AR172" s="3" t="n"/>
      <c r="AS172" s="3" t="n"/>
      <c r="AT172" s="3" t="n"/>
      <c r="AU172" s="3" t="n"/>
      <c r="AV172" s="3" t="n"/>
      <c r="AW172" s="3" t="n"/>
      <c r="AX172" s="3" t="n"/>
      <c r="AY172" s="3" t="n"/>
      <c r="AZ172" s="3" t="n"/>
      <c r="BA172" s="3" t="n"/>
      <c r="BB172" s="3" t="n"/>
      <c r="BC172" s="3" t="n"/>
      <c r="BD172" s="3" t="n"/>
      <c r="BE172" s="3" t="n"/>
      <c r="BF172" s="3" t="n"/>
      <c r="BG172" s="3" t="n"/>
      <c r="BH172" s="3" t="n"/>
      <c r="BI172" s="3" t="n"/>
      <c r="BJ172" s="3" t="n"/>
      <c r="BK172" s="3" t="n"/>
      <c r="BL172" s="3" t="n"/>
      <c r="BM172" s="3" t="n"/>
      <c r="BN172" s="3" t="n"/>
      <c r="BO172" s="3" t="n"/>
      <c r="BP172" s="3" t="n"/>
      <c r="BQ172" s="3" t="n"/>
      <c r="BR172" s="3" t="n"/>
      <c r="BS172" s="3" t="n"/>
      <c r="BT172" s="3" t="n"/>
      <c r="BU172" s="3" t="n"/>
      <c r="BV172" s="3" t="n"/>
      <c r="BW172" s="3" t="n"/>
      <c r="BX172" s="3" t="n"/>
      <c r="BY172" s="3" t="n"/>
      <c r="BZ172" s="3" t="n"/>
      <c r="CA172" s="3" t="n"/>
      <c r="CB172" s="3" t="n"/>
      <c r="CC172" s="3" t="n"/>
      <c r="CD172" s="3" t="n"/>
      <c r="CE172" s="3" t="n"/>
      <c r="CF172" s="3" t="n"/>
      <c r="CG172" s="3" t="n"/>
      <c r="CH172" s="3" t="n"/>
      <c r="CI172" s="3" t="n"/>
      <c r="CJ172" s="3" t="n"/>
      <c r="CK172" s="3" t="n"/>
      <c r="CL172" s="3" t="n"/>
      <c r="CM172" s="3" t="n"/>
      <c r="CN172" s="3" t="n"/>
      <c r="CO172" s="3" t="n"/>
      <c r="CP172" s="3" t="n"/>
      <c r="CQ172" s="3" t="n"/>
      <c r="CR172" s="3" t="n"/>
      <c r="CS172" s="3" t="n"/>
      <c r="CT172" s="3" t="n"/>
      <c r="CU172" s="3" t="n"/>
      <c r="CV172" s="3" t="n"/>
      <c r="CW172" s="3" t="n"/>
      <c r="CX172" s="3" t="n"/>
      <c r="CY172" s="3" t="n"/>
    </row>
    <row r="173" collapsed="1">
      <c r="C173" s="26" t="inlineStr">
        <is>
          <t>Goodwill</t>
        </is>
      </c>
      <c r="D173" s="25">
        <f>INDEX('Inputs (2)'!$D$24:$AL$24,MATCH(D$7,'Inputs (2)'!$D$2:$AL$2,0))</f>
        <v>193</v>
      </c>
      <c r="E173" s="25">
        <f>INDEX('Inputs (2)'!$D$24:$AL$24,MATCH(E$7,'Inputs (2)'!$D$2:$AL$2,0))</f>
        <v>196</v>
      </c>
      <c r="F173" s="25">
        <f>INDEX('Inputs (2)'!$D$24:$AL$24,MATCH(F$7,'Inputs (2)'!$D$2:$AL$2,0))</f>
        <v>203</v>
      </c>
      <c r="G173" s="25">
        <f>INDEX('Inputs (2)'!$D$24:$AL$24,MATCH(G$7,'Inputs (2)'!$D$2:$AL$2,0))</f>
        <v>207</v>
      </c>
      <c r="H173" s="3">
        <f>G173</f>
        <v>207</v>
      </c>
      <c r="I173" s="25">
        <f>INDEX('Inputs (2)'!$D$24:$AL$24,MATCH(I$7,'Inputs (2)'!$D$2:$AL$2,0))</f>
        <v>206</v>
      </c>
      <c r="J173" s="25">
        <f>INDEX('Inputs (2)'!$D$24:$AL$24,MATCH(J$7,'Inputs (2)'!$D$2:$AL$2,0))</f>
        <v>203</v>
      </c>
      <c r="K173" s="25">
        <f>INDEX('Inputs (2)'!$D$24:$AL$24,MATCH(K$7,'Inputs (2)'!$D$2:$AL$2,0))</f>
        <v>201</v>
      </c>
      <c r="L173" s="25">
        <f>INDEX('Inputs (2)'!$D$24:$AL$24,MATCH(L$7,'Inputs (2)'!$D$2:$AL$2,0))</f>
        <v>200</v>
      </c>
      <c r="M173" s="3">
        <f>L173</f>
        <v>200</v>
      </c>
      <c r="N173" s="25">
        <f>INDEX('Inputs (2)'!$D$24:$AL$24,MATCH(N$7,'Inputs (2)'!$D$2:$AL$2,0))</f>
        <v>200</v>
      </c>
      <c r="O173" s="25">
        <f>INDEX('Inputs (2)'!$D$24:$AL$24,MATCH(O$7,'Inputs (2)'!$D$2:$AL$2,0))</f>
        <v>196</v>
      </c>
      <c r="P173" s="25">
        <f>INDEX('Inputs (2)'!$D$24:$AL$24,MATCH(P$7,'Inputs (2)'!$D$2:$AL$2,0))</f>
        <v>191</v>
      </c>
      <c r="Q173" s="25">
        <f>INDEX('Inputs (2)'!$D$24:$AL$24,MATCH(Q$7,'Inputs (2)'!$D$2:$AL$2,0))</f>
        <v>194</v>
      </c>
      <c r="R173" s="3">
        <f>Q173</f>
        <v>194</v>
      </c>
      <c r="S173" s="25">
        <f>INDEX('Inputs (2)'!$D$24:$AL$24,MATCH(S$7,'Inputs (2)'!$D$2:$AL$2,0))</f>
        <v>195</v>
      </c>
      <c r="T173" s="25">
        <f>INDEX('Inputs (2)'!$D$24:$AL$24,MATCH(T$7,'Inputs (2)'!$D$2:$AL$2,0))</f>
        <v>263</v>
      </c>
      <c r="U173" s="25">
        <f>INDEX('Inputs (2)'!$D$24:$AL$24,MATCH(U$7,'Inputs (2)'!$D$2:$AL$2,0))</f>
        <v>250</v>
      </c>
      <c r="V173" s="25">
        <f>INDEX('Inputs (2)'!$D$24:$AL$24,MATCH(V$7,'Inputs (2)'!$D$2:$AL$2,0))</f>
        <v>253</v>
      </c>
      <c r="W173" s="3">
        <f>V173</f>
        <v>253</v>
      </c>
      <c r="X173" s="25">
        <f>INDEX('Inputs (2)'!$D$24:$AL$24,MATCH(X$7,'Inputs (2)'!$D$2:$AL$2,0))</f>
        <v>250</v>
      </c>
      <c r="Y173" s="25">
        <f>INDEX('Inputs (2)'!$D$24:$AL$24,MATCH(Y$7,'Inputs (2)'!$D$2:$AL$2,0))</f>
        <v>249</v>
      </c>
      <c r="Z173" s="25">
        <f>INDEX('Inputs (2)'!$D$24:$AL$24,MATCH(Z$7,'Inputs (2)'!$D$2:$AL$2,0))</f>
        <v>253</v>
      </c>
      <c r="AA173" s="25">
        <f>INDEX('Inputs (2)'!$D$24:$AL$24,MATCH(AA$7,'Inputs (2)'!$D$2:$AL$2,0))</f>
        <v>244</v>
      </c>
      <c r="AB173" s="3">
        <f>AA173</f>
        <v>244</v>
      </c>
      <c r="AC173" s="25">
        <f>INDEX('Inputs (2)'!$D$24:$AL$24,MATCH(AC$7,'Inputs (2)'!$D$2:$AL$2,0))</f>
        <v>248</v>
      </c>
      <c r="AD173" s="25">
        <f>INDEX('Inputs (2)'!$D$24:$AL$24,MATCH(AD$7,'Inputs (2)'!$D$2:$AL$2,0))</f>
        <v>258</v>
      </c>
      <c r="AE173" s="25">
        <f>INDEX('Inputs (2)'!$D$24:$AL$24,MATCH(AE$7,'Inputs (2)'!$D$2:$AL$2,0))</f>
        <v>257</v>
      </c>
      <c r="AF173" s="25">
        <f>INDEX('Inputs (2)'!$D$24:$AL$24,MATCH(AF$7,'Inputs (2)'!$D$2:$AL$2,0))</f>
        <v>0</v>
      </c>
      <c r="AG173" s="3">
        <f>AF173</f>
        <v>0</v>
      </c>
      <c r="AH173" s="3">
        <f>INDEX('Inputs (2)'!$D$24:$AL$24,MATCH(AH$7,'Inputs (2)'!$D$2:$AL$2,0))</f>
        <v>0</v>
      </c>
      <c r="AI173" s="3">
        <f>INDEX('Inputs (2)'!$D$24:$AL$24,MATCH(AI$7,'Inputs (2)'!$D$2:$AL$2,0))</f>
        <v>0</v>
      </c>
      <c r="AJ173" s="3">
        <f>AI173</f>
        <v>0</v>
      </c>
      <c r="AK173" s="3">
        <f>AJ173</f>
        <v>0</v>
      </c>
      <c r="AL173" s="3">
        <f>AK173</f>
        <v>0</v>
      </c>
      <c r="AM173" s="3">
        <f>AL173</f>
        <v>0</v>
      </c>
      <c r="AN173" s="3">
        <f>AM173</f>
        <v>0</v>
      </c>
      <c r="AO173" s="3">
        <f>AN173</f>
        <v>0</v>
      </c>
      <c r="AP173" s="3">
        <f>AO173</f>
        <v>0</v>
      </c>
      <c r="AQ173" s="3">
        <f>AP173</f>
        <v>0</v>
      </c>
      <c r="AR173" s="3">
        <f>AQ173</f>
        <v>0</v>
      </c>
      <c r="AS173" s="3">
        <f>AR173</f>
        <v>0</v>
      </c>
      <c r="AT173" s="3">
        <f>AS173</f>
        <v>0</v>
      </c>
      <c r="AU173" s="3">
        <f>AT173</f>
        <v>0</v>
      </c>
      <c r="AV173" s="3">
        <f>AU173</f>
        <v>0</v>
      </c>
      <c r="AW173" s="3">
        <f>AV173</f>
        <v>0</v>
      </c>
      <c r="AX173" s="3">
        <f>AW173</f>
        <v>0</v>
      </c>
      <c r="AY173" s="3">
        <f>AX173</f>
        <v>0</v>
      </c>
      <c r="AZ173" s="3">
        <f>AY173</f>
        <v>0</v>
      </c>
      <c r="BA173" s="3">
        <f>AZ173</f>
        <v>0</v>
      </c>
      <c r="BB173" s="3">
        <f>BA173</f>
        <v>0</v>
      </c>
      <c r="BC173" s="3">
        <f>BB173</f>
        <v>0</v>
      </c>
      <c r="BD173" s="3">
        <f>BC173</f>
        <v>0</v>
      </c>
      <c r="BE173" s="3">
        <f>BD173</f>
        <v>0</v>
      </c>
      <c r="BF173" s="3">
        <f>BE173</f>
        <v>0</v>
      </c>
      <c r="BG173" s="3">
        <f>BF173</f>
        <v>0</v>
      </c>
      <c r="BH173" s="3">
        <f>BG173</f>
        <v>0</v>
      </c>
      <c r="BI173" s="3">
        <f>BH173</f>
        <v>0</v>
      </c>
      <c r="BJ173" s="3">
        <f>BI173</f>
        <v>0</v>
      </c>
      <c r="BK173" s="3">
        <f>BJ173</f>
        <v>0</v>
      </c>
      <c r="BL173" s="3">
        <f>BK173</f>
        <v>0</v>
      </c>
      <c r="BM173" s="3">
        <f>BL173</f>
        <v>0</v>
      </c>
      <c r="BN173" s="3">
        <f>BM173</f>
        <v>0</v>
      </c>
      <c r="BO173" s="3">
        <f>BN173</f>
        <v>0</v>
      </c>
      <c r="BP173" s="3">
        <f>BO173</f>
        <v>0</v>
      </c>
      <c r="BQ173" s="3">
        <f>BP173</f>
        <v>0</v>
      </c>
      <c r="BR173" s="3">
        <f>BQ173</f>
        <v>0</v>
      </c>
      <c r="BS173" s="3">
        <f>BR173</f>
        <v>0</v>
      </c>
      <c r="BT173" s="3">
        <f>BS173</f>
        <v>0</v>
      </c>
      <c r="BU173" s="3">
        <f>BT173</f>
        <v>0</v>
      </c>
      <c r="BV173" s="3">
        <f>BU173</f>
        <v>0</v>
      </c>
      <c r="BW173" s="3">
        <f>BV173</f>
        <v>0</v>
      </c>
      <c r="BX173" s="3">
        <f>BW173</f>
        <v>0</v>
      </c>
      <c r="BY173" s="3">
        <f>BX173</f>
        <v>0</v>
      </c>
      <c r="BZ173" s="3">
        <f>BY173</f>
        <v>0</v>
      </c>
      <c r="CA173" s="3">
        <f>BZ173</f>
        <v>0</v>
      </c>
      <c r="CB173" s="3">
        <f>CA173</f>
        <v>0</v>
      </c>
      <c r="CC173" s="3">
        <f>CB173</f>
        <v>0</v>
      </c>
      <c r="CD173" s="3">
        <f>CC173</f>
        <v>0</v>
      </c>
      <c r="CE173" s="3">
        <f>CD173</f>
        <v>0</v>
      </c>
      <c r="CF173" s="3">
        <f>CE173</f>
        <v>0</v>
      </c>
      <c r="CG173" s="3">
        <f>CF173</f>
        <v>0</v>
      </c>
      <c r="CH173" s="3">
        <f>CG173</f>
        <v>0</v>
      </c>
      <c r="CI173" s="3">
        <f>CH173</f>
        <v>0</v>
      </c>
      <c r="CJ173" s="3">
        <f>CI173</f>
        <v>0</v>
      </c>
      <c r="CK173" s="3">
        <f>CJ173</f>
        <v>0</v>
      </c>
      <c r="CL173" s="3">
        <f>CK173</f>
        <v>0</v>
      </c>
      <c r="CM173" s="3">
        <f>CL173</f>
        <v>0</v>
      </c>
      <c r="CN173" s="3">
        <f>CM173</f>
        <v>0</v>
      </c>
      <c r="CO173" s="3">
        <f>CN173</f>
        <v>0</v>
      </c>
      <c r="CP173" s="3">
        <f>CO173</f>
        <v>0</v>
      </c>
      <c r="CQ173" s="3">
        <f>CP173</f>
        <v>0</v>
      </c>
      <c r="CR173" s="3">
        <f>CQ173</f>
        <v>0</v>
      </c>
      <c r="CS173" s="3">
        <f>CR173</f>
        <v>0</v>
      </c>
      <c r="CT173" s="3">
        <f>CS173</f>
        <v>0</v>
      </c>
      <c r="CU173" s="3">
        <f>CT173</f>
        <v>0</v>
      </c>
      <c r="CV173" s="3">
        <f>CU173</f>
        <v>0</v>
      </c>
      <c r="CW173" s="3">
        <f>CV173</f>
        <v>0</v>
      </c>
      <c r="CX173" s="3">
        <f>CW173</f>
        <v>0</v>
      </c>
      <c r="CY173" s="3">
        <f>CX173</f>
        <v>0</v>
      </c>
    </row>
    <row r="174">
      <c r="C174" s="26" t="inlineStr">
        <is>
          <t>Intangibles</t>
        </is>
      </c>
      <c r="D174" s="25">
        <f>INDEX('Inputs (2)'!$D$25:$AL$25,MATCH(D$7,'Inputs (2)'!$D$2:$AL$2,0))</f>
        <v>323</v>
      </c>
      <c r="E174" s="25">
        <f>INDEX('Inputs (2)'!$D$25:$AL$25,MATCH(E$7,'Inputs (2)'!$D$2:$AL$2,0))</f>
        <v>312</v>
      </c>
      <c r="F174" s="25">
        <f>INDEX('Inputs (2)'!$D$25:$AL$25,MATCH(F$7,'Inputs (2)'!$D$2:$AL$2,0))</f>
        <v>318</v>
      </c>
      <c r="G174" s="25">
        <f>INDEX('Inputs (2)'!$D$25:$AL$25,MATCH(G$7,'Inputs (2)'!$D$2:$AL$2,0))</f>
        <v>313</v>
      </c>
      <c r="H174" s="3">
        <f>G174</f>
        <v>313</v>
      </c>
      <c r="I174" s="25">
        <f>INDEX('Inputs (2)'!$D$25:$AL$25,MATCH(I$7,'Inputs (2)'!$D$2:$AL$2,0))</f>
        <v>299</v>
      </c>
      <c r="J174" s="25">
        <f>INDEX('Inputs (2)'!$D$25:$AL$25,MATCH(J$7,'Inputs (2)'!$D$2:$AL$2,0))</f>
        <v>283</v>
      </c>
      <c r="K174" s="25">
        <f>INDEX('Inputs (2)'!$D$25:$AL$25,MATCH(K$7,'Inputs (2)'!$D$2:$AL$2,0))</f>
        <v>269</v>
      </c>
      <c r="L174" s="25">
        <f>INDEX('Inputs (2)'!$D$25:$AL$25,MATCH(L$7,'Inputs (2)'!$D$2:$AL$2,0))</f>
        <v>257</v>
      </c>
      <c r="M174" s="3">
        <f>L174</f>
        <v>257</v>
      </c>
      <c r="N174" s="25">
        <f>INDEX('Inputs (2)'!$D$25:$AL$25,MATCH(N$7,'Inputs (2)'!$D$2:$AL$2,0))</f>
        <v>254</v>
      </c>
      <c r="O174" s="25">
        <f>INDEX('Inputs (2)'!$D$25:$AL$25,MATCH(O$7,'Inputs (2)'!$D$2:$AL$2,0))</f>
        <v>241</v>
      </c>
      <c r="P174" s="25">
        <f>INDEX('Inputs (2)'!$D$25:$AL$25,MATCH(P$7,'Inputs (2)'!$D$2:$AL$2,0))</f>
        <v>228</v>
      </c>
      <c r="Q174" s="25">
        <f>INDEX('Inputs (2)'!$D$25:$AL$25,MATCH(Q$7,'Inputs (2)'!$D$2:$AL$2,0))</f>
        <v>215</v>
      </c>
      <c r="R174" s="3">
        <f>Q174</f>
        <v>215</v>
      </c>
      <c r="S174" s="25">
        <f>INDEX('Inputs (2)'!$D$25:$AL$25,MATCH(S$7,'Inputs (2)'!$D$2:$AL$2,0))</f>
        <v>204</v>
      </c>
      <c r="T174" s="25">
        <f>INDEX('Inputs (2)'!$D$25:$AL$25,MATCH(T$7,'Inputs (2)'!$D$2:$AL$2,0))</f>
        <v>202</v>
      </c>
      <c r="U174" s="25">
        <f>INDEX('Inputs (2)'!$D$25:$AL$25,MATCH(U$7,'Inputs (2)'!$D$2:$AL$2,0))</f>
        <v>191</v>
      </c>
      <c r="V174" s="25">
        <f>INDEX('Inputs (2)'!$D$25:$AL$25,MATCH(V$7,'Inputs (2)'!$D$2:$AL$2,0))</f>
        <v>178</v>
      </c>
      <c r="W174" s="3">
        <f>V174</f>
        <v>178</v>
      </c>
      <c r="X174" s="25">
        <f>INDEX('Inputs (2)'!$D$25:$AL$25,MATCH(X$7,'Inputs (2)'!$D$2:$AL$2,0))</f>
        <v>171</v>
      </c>
      <c r="Y174" s="25">
        <f>INDEX('Inputs (2)'!$D$25:$AL$25,MATCH(Y$7,'Inputs (2)'!$D$2:$AL$2,0))</f>
        <v>164</v>
      </c>
      <c r="Z174" s="25">
        <f>INDEX('Inputs (2)'!$D$25:$AL$25,MATCH(Z$7,'Inputs (2)'!$D$2:$AL$2,0))</f>
        <v>158</v>
      </c>
      <c r="AA174" s="25">
        <f>INDEX('Inputs (2)'!$D$25:$AL$25,MATCH(AA$7,'Inputs (2)'!$D$2:$AL$2,0))</f>
        <v>150</v>
      </c>
      <c r="AB174" s="3">
        <f>AA174</f>
        <v>150</v>
      </c>
      <c r="AC174" s="25">
        <f>INDEX('Inputs (2)'!$D$25:$AL$25,MATCH(AC$7,'Inputs (2)'!$D$2:$AL$2,0))</f>
        <v>144</v>
      </c>
      <c r="AD174" s="25">
        <f>INDEX('Inputs (2)'!$D$25:$AL$25,MATCH(AD$7,'Inputs (2)'!$D$2:$AL$2,0))</f>
        <v>138</v>
      </c>
      <c r="AE174" s="25">
        <f>INDEX('Inputs (2)'!$D$25:$AL$25,MATCH(AE$7,'Inputs (2)'!$D$2:$AL$2,0))</f>
        <v>131</v>
      </c>
      <c r="AF174" s="25">
        <f>INDEX('Inputs (2)'!$D$25:$AL$25,MATCH(AF$7,'Inputs (2)'!$D$2:$AL$2,0))</f>
        <v>0</v>
      </c>
      <c r="AG174" s="3">
        <f>AF174</f>
        <v>0</v>
      </c>
      <c r="AH174" s="3">
        <f>INDEX('Inputs (2)'!$D$25:$AL$25,MATCH(AH$7,'Inputs (2)'!$D$2:$AL$2,0))</f>
        <v>0</v>
      </c>
      <c r="AI174" s="3">
        <f>INDEX('Inputs (2)'!$D$25:$AL$25,MATCH(AI$7,'Inputs (2)'!$D$2:$AL$2,0))</f>
        <v>0</v>
      </c>
      <c r="AJ174" s="3" t="n"/>
      <c r="AK174" s="3" t="n"/>
      <c r="AL174" s="3">
        <f>AK174</f>
        <v>0</v>
      </c>
      <c r="AN174" s="3" t="n"/>
      <c r="AO174" s="3" t="n"/>
      <c r="AP174" s="3" t="n"/>
      <c r="AQ174" s="3">
        <f>AP174</f>
        <v>0</v>
      </c>
      <c r="AS174" s="3" t="n"/>
      <c r="AT174" s="3" t="n"/>
      <c r="AU174" s="3" t="n"/>
      <c r="AV174" s="3">
        <f>AU174</f>
        <v>0</v>
      </c>
      <c r="AX174" s="3" t="n"/>
      <c r="AY174" s="3" t="n"/>
      <c r="AZ174" s="3" t="n"/>
      <c r="BA174" s="3">
        <f>AZ174</f>
        <v>0</v>
      </c>
      <c r="BC174" s="3" t="n"/>
      <c r="BD174" s="3" t="n"/>
      <c r="BE174" s="3" t="n"/>
      <c r="BF174" s="3">
        <f>BE174</f>
        <v>0</v>
      </c>
      <c r="BH174" s="3" t="n"/>
      <c r="BI174" s="3" t="n"/>
      <c r="BJ174" s="3" t="n"/>
      <c r="BK174" s="3">
        <f>BJ174</f>
        <v>0</v>
      </c>
      <c r="BM174" s="3" t="n"/>
      <c r="BN174" s="3" t="n"/>
      <c r="BO174" s="3" t="n"/>
      <c r="BP174" s="3">
        <f>BO174</f>
        <v>0</v>
      </c>
      <c r="BR174" s="3" t="n"/>
      <c r="BS174" s="3" t="n"/>
      <c r="BT174" s="3" t="n"/>
      <c r="BU174" s="3">
        <f>BT174</f>
        <v>0</v>
      </c>
      <c r="BW174" s="3" t="n"/>
      <c r="BX174" s="3" t="n"/>
      <c r="BY174" s="3" t="n"/>
      <c r="BZ174" s="3">
        <f>BY174</f>
        <v>0</v>
      </c>
      <c r="CB174" s="3" t="n"/>
      <c r="CC174" s="3" t="n"/>
      <c r="CD174" s="3" t="n"/>
      <c r="CE174" s="3">
        <f>CD174</f>
        <v>0</v>
      </c>
      <c r="CG174" s="3" t="n"/>
      <c r="CH174" s="3" t="n"/>
      <c r="CI174" s="3" t="n"/>
      <c r="CJ174" s="3">
        <f>CI174</f>
        <v>0</v>
      </c>
      <c r="CL174" s="3" t="n"/>
      <c r="CM174" s="3" t="n"/>
      <c r="CN174" s="3" t="n"/>
      <c r="CO174" s="3">
        <f>CN174</f>
        <v>0</v>
      </c>
      <c r="CQ174" s="3" t="n"/>
      <c r="CR174" s="3" t="n"/>
      <c r="CS174" s="3" t="n"/>
      <c r="CT174" s="3">
        <f>CS174</f>
        <v>0</v>
      </c>
      <c r="CV174" s="3" t="n"/>
      <c r="CW174" s="3" t="n"/>
      <c r="CX174" s="3" t="n"/>
      <c r="CY174" s="3">
        <f>CX174</f>
        <v>0</v>
      </c>
    </row>
    <row r="175" hidden="1" outlineLevel="1">
      <c r="C175" s="34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  <c r="AD175" s="3" t="n"/>
      <c r="AE175" s="3" t="n"/>
      <c r="AF175" s="3" t="n"/>
      <c r="AG175" s="3" t="n"/>
      <c r="AH175" s="3" t="n"/>
      <c r="AI175" s="3" t="n"/>
      <c r="AJ175" s="3" t="n"/>
      <c r="AK175" s="3" t="n"/>
      <c r="AL175" s="3" t="n"/>
      <c r="AM175" s="3" t="n"/>
      <c r="AN175" s="3" t="n"/>
      <c r="AO175" s="3" t="n"/>
      <c r="AP175" s="3" t="n"/>
      <c r="AQ175" s="3" t="n"/>
      <c r="AR175" s="3" t="n"/>
      <c r="AS175" s="3" t="n"/>
      <c r="AT175" s="3" t="n"/>
      <c r="AU175" s="3" t="n"/>
      <c r="AV175" s="3" t="n"/>
      <c r="AW175" s="3" t="n"/>
      <c r="AX175" s="3" t="n"/>
      <c r="AY175" s="3" t="n"/>
      <c r="AZ175" s="3" t="n"/>
      <c r="BA175" s="3" t="n"/>
      <c r="BB175" s="3" t="n"/>
      <c r="BC175" s="3" t="n"/>
      <c r="BD175" s="3" t="n"/>
      <c r="BE175" s="3" t="n"/>
      <c r="BF175" s="3" t="n"/>
      <c r="BG175" s="3" t="n"/>
      <c r="BH175" s="3" t="n"/>
      <c r="BI175" s="3" t="n"/>
      <c r="BJ175" s="3" t="n"/>
      <c r="BK175" s="3" t="n"/>
      <c r="BL175" s="3" t="n"/>
      <c r="BM175" s="3" t="n"/>
      <c r="BN175" s="3" t="n"/>
      <c r="BO175" s="3" t="n"/>
      <c r="BP175" s="3" t="n"/>
      <c r="BQ175" s="3" t="n"/>
      <c r="BR175" s="3" t="n"/>
      <c r="BS175" s="3" t="n"/>
      <c r="BT175" s="3" t="n"/>
      <c r="BU175" s="3" t="n"/>
      <c r="BV175" s="3" t="n"/>
      <c r="BW175" s="3" t="n"/>
      <c r="BX175" s="3" t="n"/>
      <c r="BY175" s="3" t="n"/>
      <c r="BZ175" s="3" t="n"/>
      <c r="CA175" s="3" t="n"/>
      <c r="CB175" s="3" t="n"/>
      <c r="CC175" s="3" t="n"/>
      <c r="CD175" s="3" t="n"/>
      <c r="CE175" s="3" t="n"/>
      <c r="CF175" s="3" t="n"/>
      <c r="CG175" s="3" t="n"/>
      <c r="CH175" s="3" t="n"/>
      <c r="CI175" s="3" t="n"/>
      <c r="CJ175" s="3" t="n"/>
      <c r="CK175" s="3" t="n"/>
      <c r="CL175" s="3" t="n"/>
      <c r="CM175" s="3" t="n"/>
      <c r="CN175" s="3" t="n"/>
      <c r="CO175" s="3" t="n"/>
      <c r="CP175" s="3" t="n"/>
      <c r="CQ175" s="3" t="n"/>
      <c r="CR175" s="3" t="n"/>
      <c r="CS175" s="3" t="n"/>
      <c r="CT175" s="3" t="n"/>
      <c r="CU175" s="3" t="n"/>
      <c r="CV175" s="3" t="n"/>
      <c r="CW175" s="3" t="n"/>
      <c r="CX175" s="3" t="n"/>
      <c r="CY175" s="3" t="n"/>
    </row>
    <row r="176" hidden="1" outlineLevel="1">
      <c r="C176" s="34" t="inlineStr">
        <is>
          <t>Purchase of intangible assets</t>
        </is>
      </c>
      <c r="D176" s="3" t="n"/>
      <c r="E176" s="3">
        <f>E174-D174-E78</f>
        <v>-11</v>
      </c>
      <c r="F176" s="3">
        <f>F174-E174-F78</f>
        <v>6</v>
      </c>
      <c r="G176" s="3">
        <f>G174-F174-G78</f>
        <v>-5</v>
      </c>
      <c r="H176" s="3" t="n"/>
      <c r="I176" s="3">
        <f>I174-H174-I78</f>
        <v>-14</v>
      </c>
      <c r="J176" s="3">
        <f>J174-I174-J78</f>
        <v>-16</v>
      </c>
      <c r="K176" s="3">
        <f>K174-J174-K78</f>
        <v>-14</v>
      </c>
      <c r="L176" s="3">
        <f>L174-K174-L78</f>
        <v>-12</v>
      </c>
      <c r="M176" s="3" t="n"/>
      <c r="N176" s="3">
        <f>N174-M174-N78</f>
        <v>-3</v>
      </c>
      <c r="O176" s="3">
        <f>O174-N174-O78</f>
        <v>-13</v>
      </c>
      <c r="P176" s="3">
        <f>P174-O174-P78</f>
        <v>-13</v>
      </c>
      <c r="Q176" s="3">
        <f>Q174-P174-Q78</f>
        <v>-13</v>
      </c>
      <c r="R176" s="3" t="n"/>
      <c r="S176" s="3">
        <f>S174-R174-S78</f>
        <v>-11</v>
      </c>
      <c r="T176" s="3">
        <f>T174-S174-T78</f>
        <v>-2</v>
      </c>
      <c r="U176" s="3">
        <f>U174-T174-U78</f>
        <v>-11</v>
      </c>
      <c r="V176" s="3">
        <f>V174-U174-V78</f>
        <v>-13</v>
      </c>
      <c r="W176" s="3" t="n"/>
      <c r="X176" s="3">
        <f>X174-W174-X78</f>
        <v>-7</v>
      </c>
      <c r="Y176" s="3">
        <f>Y174-X174-Y78</f>
        <v>-7</v>
      </c>
      <c r="Z176" s="3">
        <f>Z174-Y174-Z78</f>
        <v>-6</v>
      </c>
      <c r="AA176" s="3">
        <f>AA174-Z174-AA78</f>
        <v>-8</v>
      </c>
      <c r="AB176" s="3" t="n"/>
      <c r="AC176" s="3">
        <f>AC174-AB174-AC78</f>
        <v>-6</v>
      </c>
      <c r="AD176" s="3">
        <f>AD174-AC174-AD78</f>
        <v>-6</v>
      </c>
      <c r="AE176" s="3">
        <f>AE174-AD174-AE78</f>
        <v>-7</v>
      </c>
      <c r="AF176" s="3" t="n"/>
      <c r="AG176" s="3" t="n"/>
      <c r="AH176" s="6">
        <f>AH174-AG174-AH78</f>
        <v>0</v>
      </c>
      <c r="AI176" s="6">
        <f>AI174-AH174-AI78</f>
        <v>0</v>
      </c>
      <c r="AJ176" s="6" t="n"/>
      <c r="AK176" s="6" t="n"/>
      <c r="AL176" s="3" t="n"/>
      <c r="AM176" s="6" t="n"/>
      <c r="AN176" s="6" t="n"/>
      <c r="AO176" s="6" t="n"/>
      <c r="AP176" s="6" t="n"/>
      <c r="AQ176" s="3" t="n"/>
      <c r="AR176" s="6" t="n"/>
      <c r="AS176" s="6" t="n"/>
      <c r="AT176" s="6" t="n"/>
      <c r="AU176" s="6" t="n"/>
      <c r="AV176" s="3" t="n"/>
      <c r="AW176" s="6" t="n"/>
      <c r="AX176" s="6" t="n"/>
      <c r="AY176" s="6" t="n"/>
      <c r="AZ176" s="6" t="n"/>
      <c r="BA176" s="3" t="n"/>
      <c r="BB176" s="6" t="n"/>
      <c r="BC176" s="6" t="n"/>
      <c r="BD176" s="6" t="n"/>
      <c r="BE176" s="6" t="n"/>
      <c r="BF176" s="3" t="n"/>
      <c r="BG176" s="6" t="n"/>
      <c r="BH176" s="6" t="n"/>
      <c r="BI176" s="6" t="n"/>
      <c r="BJ176" s="6" t="n"/>
      <c r="BK176" s="3" t="n"/>
      <c r="BL176" s="6" t="n"/>
      <c r="BM176" s="6" t="n"/>
      <c r="BN176" s="6" t="n"/>
      <c r="BO176" s="6" t="n"/>
      <c r="BP176" s="3" t="n"/>
      <c r="BQ176" s="6" t="n"/>
      <c r="BR176" s="6" t="n"/>
      <c r="BS176" s="6" t="n"/>
      <c r="BT176" s="6" t="n"/>
      <c r="BU176" s="3" t="n"/>
      <c r="BV176" s="6" t="n"/>
      <c r="BW176" s="6" t="n"/>
      <c r="BX176" s="6" t="n"/>
      <c r="BY176" s="6" t="n"/>
      <c r="BZ176" s="3" t="n"/>
      <c r="CA176" s="6" t="n"/>
      <c r="CB176" s="6" t="n"/>
      <c r="CC176" s="6" t="n"/>
      <c r="CD176" s="6" t="n"/>
      <c r="CE176" s="3" t="n"/>
      <c r="CF176" s="6" t="n"/>
      <c r="CG176" s="6" t="n"/>
      <c r="CH176" s="6" t="n"/>
      <c r="CI176" s="6" t="n"/>
      <c r="CJ176" s="3" t="n"/>
      <c r="CK176" s="6" t="n"/>
      <c r="CL176" s="6" t="n"/>
      <c r="CM176" s="6" t="n"/>
      <c r="CN176" s="6" t="n"/>
      <c r="CO176" s="3" t="n"/>
      <c r="CP176" s="6" t="n"/>
      <c r="CQ176" s="6" t="n"/>
      <c r="CR176" s="6" t="n"/>
      <c r="CS176" s="6" t="n"/>
      <c r="CT176" s="3" t="n"/>
      <c r="CU176" s="6" t="n"/>
      <c r="CV176" s="6" t="n"/>
      <c r="CW176" s="6" t="n"/>
      <c r="CX176" s="6" t="n"/>
      <c r="CY176" s="3" t="n"/>
    </row>
    <row r="177" hidden="1" outlineLevel="1">
      <c r="C177" s="34" t="inlineStr">
        <is>
          <t>Amortization (enter as -)</t>
        </is>
      </c>
      <c r="D177" s="3" t="n"/>
      <c r="E177" s="3">
        <f>E77</f>
        <v>0</v>
      </c>
      <c r="F177" s="3">
        <f>F77</f>
        <v>0</v>
      </c>
      <c r="G177" s="3">
        <f>G77</f>
        <v>0</v>
      </c>
      <c r="H177" s="3" t="n"/>
      <c r="I177" s="3">
        <f>I77</f>
        <v>0</v>
      </c>
      <c r="J177" s="3">
        <f>J77</f>
        <v>0</v>
      </c>
      <c r="K177" s="3">
        <f>K77</f>
        <v>0</v>
      </c>
      <c r="L177" s="3">
        <f>L77</f>
        <v>0</v>
      </c>
      <c r="M177" s="3" t="n"/>
      <c r="N177" s="3">
        <f>N77</f>
        <v>0</v>
      </c>
      <c r="O177" s="3">
        <f>O77</f>
        <v>0</v>
      </c>
      <c r="P177" s="3">
        <f>P77</f>
        <v>0</v>
      </c>
      <c r="Q177" s="3">
        <f>Q77</f>
        <v>0</v>
      </c>
      <c r="R177" s="3" t="n"/>
      <c r="S177" s="3">
        <f>S77</f>
        <v>0</v>
      </c>
      <c r="T177" s="3">
        <f>T77</f>
        <v>0</v>
      </c>
      <c r="U177" s="3">
        <f>U77</f>
        <v>0</v>
      </c>
      <c r="V177" s="3">
        <f>V77</f>
        <v>0</v>
      </c>
      <c r="W177" s="3" t="n"/>
      <c r="X177" s="3">
        <f>X77</f>
        <v>0</v>
      </c>
      <c r="Y177" s="3">
        <f>Y77</f>
        <v>0</v>
      </c>
      <c r="Z177" s="3">
        <f>Z77</f>
        <v>0</v>
      </c>
      <c r="AA177" s="3">
        <f>AA77</f>
        <v>0</v>
      </c>
      <c r="AB177" s="3" t="n"/>
      <c r="AC177" s="3">
        <f>AC77</f>
        <v>0</v>
      </c>
      <c r="AD177" s="3">
        <f>AD77</f>
        <v>0</v>
      </c>
      <c r="AE177" s="3">
        <f>AE77</f>
        <v>0</v>
      </c>
      <c r="AF177" s="3" t="n"/>
      <c r="AG177" s="3" t="n"/>
      <c r="AH177" s="3">
        <f>AH77</f>
        <v>0</v>
      </c>
      <c r="AI177" s="6">
        <f>AI77</f>
        <v>0</v>
      </c>
      <c r="AJ177" s="6" t="n"/>
      <c r="AK177" s="6" t="n"/>
      <c r="AL177" s="3" t="n"/>
      <c r="AM177" s="6" t="n"/>
      <c r="AN177" s="6" t="n"/>
      <c r="AO177" s="6" t="n"/>
      <c r="AP177" s="6" t="n"/>
      <c r="AQ177" s="3" t="n"/>
      <c r="AR177" s="6" t="n"/>
      <c r="AS177" s="6" t="n"/>
      <c r="AT177" s="6" t="n"/>
      <c r="AU177" s="6" t="n"/>
      <c r="AV177" s="3" t="n"/>
      <c r="AW177" s="6" t="n"/>
      <c r="AX177" s="6" t="n"/>
      <c r="AY177" s="6" t="n"/>
      <c r="AZ177" s="6" t="n"/>
      <c r="BA177" s="3" t="n"/>
      <c r="BB177" s="6" t="n"/>
      <c r="BC177" s="6" t="n"/>
      <c r="BD177" s="6" t="n"/>
      <c r="BE177" s="6" t="n"/>
      <c r="BF177" s="3" t="n"/>
      <c r="BG177" s="6" t="n"/>
      <c r="BH177" s="6" t="n"/>
      <c r="BI177" s="6" t="n"/>
      <c r="BJ177" s="6" t="n"/>
      <c r="BK177" s="3" t="n"/>
      <c r="BL177" s="6" t="n"/>
      <c r="BM177" s="6" t="n"/>
      <c r="BN177" s="6" t="n"/>
      <c r="BO177" s="6" t="n"/>
      <c r="BP177" s="3" t="n"/>
      <c r="BQ177" s="6" t="n"/>
      <c r="BR177" s="6" t="n"/>
      <c r="BS177" s="6" t="n"/>
      <c r="BT177" s="6" t="n"/>
      <c r="BU177" s="3" t="n"/>
      <c r="BV177" s="6" t="n"/>
      <c r="BW177" s="6" t="n"/>
      <c r="BX177" s="6" t="n"/>
      <c r="BY177" s="6" t="n"/>
      <c r="BZ177" s="3" t="n"/>
      <c r="CA177" s="6" t="n"/>
      <c r="CB177" s="6" t="n"/>
      <c r="CC177" s="6" t="n"/>
      <c r="CD177" s="6" t="n"/>
      <c r="CE177" s="3" t="n"/>
      <c r="CF177" s="6" t="n"/>
      <c r="CG177" s="6" t="n"/>
      <c r="CH177" s="6" t="n"/>
      <c r="CI177" s="6" t="n"/>
      <c r="CJ177" s="3" t="n"/>
      <c r="CK177" s="6" t="n"/>
      <c r="CL177" s="6" t="n"/>
      <c r="CM177" s="6" t="n"/>
      <c r="CN177" s="6" t="n"/>
      <c r="CO177" s="3" t="n"/>
      <c r="CP177" s="6" t="n"/>
      <c r="CQ177" s="6" t="n"/>
      <c r="CR177" s="6" t="n"/>
      <c r="CS177" s="6" t="n"/>
      <c r="CT177" s="3" t="n"/>
      <c r="CU177" s="6" t="n"/>
      <c r="CV177" s="6" t="n"/>
      <c r="CW177" s="6" t="n"/>
      <c r="CX177" s="6" t="n"/>
      <c r="CY177" s="3" t="n"/>
    </row>
    <row r="178" hidden="1" outlineLevel="1">
      <c r="C178" s="34" t="inlineStr">
        <is>
          <t>Intangibles</t>
        </is>
      </c>
      <c r="D178" s="3" t="n"/>
      <c r="E178" s="3">
        <f>E174</f>
        <v>312</v>
      </c>
      <c r="F178" s="3">
        <f>F174</f>
        <v>318</v>
      </c>
      <c r="G178" s="3">
        <f>G174</f>
        <v>313</v>
      </c>
      <c r="H178" s="3" t="n"/>
      <c r="I178" s="3">
        <f>I174</f>
        <v>299</v>
      </c>
      <c r="J178" s="3">
        <f>J174</f>
        <v>283</v>
      </c>
      <c r="K178" s="3">
        <f>K174</f>
        <v>269</v>
      </c>
      <c r="L178" s="3">
        <f>L174</f>
        <v>257</v>
      </c>
      <c r="M178" s="3" t="n"/>
      <c r="N178" s="3">
        <f>N174</f>
        <v>254</v>
      </c>
      <c r="O178" s="3">
        <f>O174</f>
        <v>241</v>
      </c>
      <c r="P178" s="3">
        <f>P174</f>
        <v>228</v>
      </c>
      <c r="Q178" s="3">
        <f>Q174</f>
        <v>215</v>
      </c>
      <c r="R178" s="3" t="n"/>
      <c r="S178" s="3">
        <f>S174</f>
        <v>204</v>
      </c>
      <c r="T178" s="3">
        <f>T174</f>
        <v>202</v>
      </c>
      <c r="U178" s="3">
        <f>U174</f>
        <v>191</v>
      </c>
      <c r="V178" s="3">
        <f>V174</f>
        <v>178</v>
      </c>
      <c r="W178" s="3" t="n"/>
      <c r="X178" s="3">
        <f>X174</f>
        <v>171</v>
      </c>
      <c r="Y178" s="3">
        <f>Y174</f>
        <v>164</v>
      </c>
      <c r="Z178" s="3">
        <f>Z174</f>
        <v>158</v>
      </c>
      <c r="AA178" s="3">
        <f>AA174</f>
        <v>150</v>
      </c>
      <c r="AB178" s="3" t="n"/>
      <c r="AC178" s="3">
        <f>AC174</f>
        <v>144</v>
      </c>
      <c r="AD178" s="3">
        <f>AD174</f>
        <v>138</v>
      </c>
      <c r="AE178" s="3">
        <f>AE174</f>
        <v>131</v>
      </c>
      <c r="AF178" s="3">
        <f>AF174</f>
        <v>0</v>
      </c>
      <c r="AG178" s="3" t="n"/>
      <c r="AH178" s="3">
        <f>AH174</f>
        <v>0</v>
      </c>
      <c r="AI178" s="3">
        <f>AI174</f>
        <v>0</v>
      </c>
      <c r="AJ178" s="3">
        <f>AI178+SUM(AJ176:AJ177)</f>
        <v>0</v>
      </c>
      <c r="AK178" s="3">
        <f>AJ178+SUM(AK176:AK177)</f>
        <v>0</v>
      </c>
      <c r="AL178" s="3" t="n"/>
      <c r="AM178" s="3">
        <f>AK178+SUM(AM176:AM177)</f>
        <v>0</v>
      </c>
      <c r="AN178" s="3">
        <f>AM178+SUM(AN176:AN177)</f>
        <v>0</v>
      </c>
      <c r="AO178" s="3">
        <f>AN178+SUM(AO176:AO177)</f>
        <v>0</v>
      </c>
      <c r="AP178" s="3">
        <f>AO178+SUM(AP176:AP177)</f>
        <v>0</v>
      </c>
      <c r="AQ178" s="3" t="n"/>
      <c r="AR178" s="3">
        <f>AP178+SUM(AR176:AR177)</f>
        <v>0</v>
      </c>
      <c r="AS178" s="3">
        <f>AR178+SUM(AS176:AS177)</f>
        <v>0</v>
      </c>
      <c r="AT178" s="3">
        <f>AS178+SUM(AT176:AT177)</f>
        <v>0</v>
      </c>
      <c r="AU178" s="3">
        <f>AT178+SUM(AU176:AU177)</f>
        <v>0</v>
      </c>
      <c r="AV178" s="3" t="n"/>
      <c r="AW178" s="3">
        <f>AU178+SUM(AW176:AW177)</f>
        <v>0</v>
      </c>
      <c r="AX178" s="3">
        <f>AW178+SUM(AX176:AX177)</f>
        <v>0</v>
      </c>
      <c r="AY178" s="3">
        <f>AX178+SUM(AY176:AY177)</f>
        <v>0</v>
      </c>
      <c r="AZ178" s="3">
        <f>AY178+SUM(AZ176:AZ177)</f>
        <v>0</v>
      </c>
      <c r="BA178" s="3" t="n"/>
      <c r="BB178" s="3">
        <f>AZ178+SUM(BB176:BB177)</f>
        <v>0</v>
      </c>
      <c r="BC178" s="3">
        <f>BB178+SUM(BC176:BC177)</f>
        <v>0</v>
      </c>
      <c r="BD178" s="3">
        <f>BC178+SUM(BD176:BD177)</f>
        <v>0</v>
      </c>
      <c r="BE178" s="3">
        <f>BD178+SUM(BE176:BE177)</f>
        <v>0</v>
      </c>
      <c r="BF178" s="3" t="n"/>
      <c r="BG178" s="3">
        <f>BE178+SUM(BG176:BG177)</f>
        <v>0</v>
      </c>
      <c r="BH178" s="3">
        <f>BG178+SUM(BH176:BH177)</f>
        <v>0</v>
      </c>
      <c r="BI178" s="3">
        <f>BH178+SUM(BI176:BI177)</f>
        <v>0</v>
      </c>
      <c r="BJ178" s="3">
        <f>BI178+SUM(BJ176:BJ177)</f>
        <v>0</v>
      </c>
      <c r="BK178" s="3" t="n"/>
      <c r="BL178" s="3">
        <f>BJ178+SUM(BL176:BL177)</f>
        <v>0</v>
      </c>
      <c r="BM178" s="3">
        <f>BL178+SUM(BM176:BM177)</f>
        <v>0</v>
      </c>
      <c r="BN178" s="3">
        <f>BM178+SUM(BN176:BN177)</f>
        <v>0</v>
      </c>
      <c r="BO178" s="3">
        <f>BN178+SUM(BO176:BO177)</f>
        <v>0</v>
      </c>
      <c r="BP178" s="3" t="n"/>
      <c r="BQ178" s="3">
        <f>BO178+SUM(BQ176:BQ177)</f>
        <v>0</v>
      </c>
      <c r="BR178" s="3">
        <f>BQ178+SUM(BR176:BR177)</f>
        <v>0</v>
      </c>
      <c r="BS178" s="3">
        <f>BR178+SUM(BS176:BS177)</f>
        <v>0</v>
      </c>
      <c r="BT178" s="3">
        <f>BS178+SUM(BT176:BT177)</f>
        <v>0</v>
      </c>
      <c r="BU178" s="3" t="n"/>
      <c r="BV178" s="3">
        <f>BT178+SUM(BV176:BV177)</f>
        <v>0</v>
      </c>
      <c r="BW178" s="3">
        <f>BV178+SUM(BW176:BW177)</f>
        <v>0</v>
      </c>
      <c r="BX178" s="3">
        <f>BW178+SUM(BX176:BX177)</f>
        <v>0</v>
      </c>
      <c r="BY178" s="3">
        <f>BX178+SUM(BY176:BY177)</f>
        <v>0</v>
      </c>
      <c r="BZ178" s="3" t="n"/>
      <c r="CA178" s="3">
        <f>BY178+SUM(CA176:CA177)</f>
        <v>0</v>
      </c>
      <c r="CB178" s="3">
        <f>CA178+SUM(CB176:CB177)</f>
        <v>0</v>
      </c>
      <c r="CC178" s="3">
        <f>CB178+SUM(CC176:CC177)</f>
        <v>0</v>
      </c>
      <c r="CD178" s="3">
        <f>CC178+SUM(CD176:CD177)</f>
        <v>0</v>
      </c>
      <c r="CE178" s="3" t="n"/>
      <c r="CF178" s="3">
        <f>CD178+SUM(CF176:CF177)</f>
        <v>0</v>
      </c>
      <c r="CG178" s="3">
        <f>CF178+SUM(CG176:CG177)</f>
        <v>0</v>
      </c>
      <c r="CH178" s="3">
        <f>CG178+SUM(CH176:CH177)</f>
        <v>0</v>
      </c>
      <c r="CI178" s="3">
        <f>CH178+SUM(CI176:CI177)</f>
        <v>0</v>
      </c>
      <c r="CJ178" s="3" t="n"/>
      <c r="CK178" s="3">
        <f>CI178+SUM(CK176:CK177)</f>
        <v>0</v>
      </c>
      <c r="CL178" s="3">
        <f>CK178+SUM(CL176:CL177)</f>
        <v>0</v>
      </c>
      <c r="CM178" s="3">
        <f>CL178+SUM(CM176:CM177)</f>
        <v>0</v>
      </c>
      <c r="CN178" s="3">
        <f>CM178+SUM(CN176:CN177)</f>
        <v>0</v>
      </c>
      <c r="CO178" s="3" t="n"/>
      <c r="CP178" s="3">
        <f>CN178+SUM(CP176:CP177)</f>
        <v>0</v>
      </c>
      <c r="CQ178" s="3">
        <f>CP178+SUM(CQ176:CQ177)</f>
        <v>0</v>
      </c>
      <c r="CR178" s="3">
        <f>CQ178+SUM(CR176:CR177)</f>
        <v>0</v>
      </c>
      <c r="CS178" s="3">
        <f>CR178+SUM(CS176:CS177)</f>
        <v>0</v>
      </c>
      <c r="CT178" s="3" t="n"/>
      <c r="CU178" s="3">
        <f>CS178+SUM(CU176:CU177)</f>
        <v>0</v>
      </c>
      <c r="CV178" s="3">
        <f>CU178+SUM(CV176:CV177)</f>
        <v>0</v>
      </c>
      <c r="CW178" s="3">
        <f>CV178+SUM(CW176:CW177)</f>
        <v>0</v>
      </c>
      <c r="CX178" s="3">
        <f>CW178+SUM(CX176:CX177)</f>
        <v>0</v>
      </c>
      <c r="CY178" s="3" t="n"/>
      <c r="CZ178">
        <f>CX178+SUM(CZ176:CZ177)</f>
        <v>0</v>
      </c>
      <c r="DA178">
        <f>CZ178+SUM(DA176:DA177)</f>
        <v>0</v>
      </c>
      <c r="DB178">
        <f>DA178+SUM(DB176:DB177)</f>
        <v>0</v>
      </c>
      <c r="DC178">
        <f>DB178+SUM(DC176:DC177)</f>
        <v>0</v>
      </c>
    </row>
    <row r="179" hidden="1" outlineLevel="1">
      <c r="C179" s="34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  <c r="AC179" s="3" t="n"/>
      <c r="AD179" s="3" t="n"/>
      <c r="AE179" s="3" t="n"/>
      <c r="AF179" s="3" t="n"/>
      <c r="AG179" s="3" t="n"/>
      <c r="AH179" s="3" t="n"/>
      <c r="AI179" s="3" t="n"/>
      <c r="AJ179" s="3" t="n"/>
      <c r="AK179" s="3" t="n"/>
      <c r="AL179" s="3" t="n"/>
      <c r="AM179" s="3" t="n"/>
      <c r="AN179" s="3" t="n"/>
      <c r="AO179" s="3" t="n"/>
      <c r="AP179" s="3" t="n"/>
      <c r="AQ179" s="3" t="n"/>
      <c r="AR179" s="3" t="n"/>
      <c r="AS179" s="3" t="n"/>
      <c r="AT179" s="3" t="n"/>
      <c r="AU179" s="3" t="n"/>
      <c r="AV179" s="3" t="n"/>
      <c r="AW179" s="3" t="n"/>
      <c r="AX179" s="3" t="n"/>
      <c r="AY179" s="3" t="n"/>
      <c r="AZ179" s="3" t="n"/>
      <c r="BA179" s="3" t="n"/>
      <c r="BB179" s="3" t="n"/>
      <c r="BC179" s="3" t="n"/>
      <c r="BD179" s="3" t="n"/>
      <c r="BE179" s="3" t="n"/>
      <c r="BF179" s="3" t="n"/>
      <c r="BG179" s="3" t="n"/>
      <c r="BH179" s="3" t="n"/>
      <c r="BI179" s="3" t="n"/>
      <c r="BJ179" s="3" t="n"/>
      <c r="BK179" s="3" t="n"/>
      <c r="BL179" s="3" t="n"/>
      <c r="BM179" s="3" t="n"/>
      <c r="BN179" s="3" t="n"/>
      <c r="BO179" s="3" t="n"/>
      <c r="BP179" s="3" t="n"/>
      <c r="BQ179" s="3" t="n"/>
      <c r="BR179" s="3" t="n"/>
      <c r="BS179" s="3" t="n"/>
      <c r="BT179" s="3" t="n"/>
      <c r="BU179" s="3" t="n"/>
      <c r="BV179" s="3" t="n"/>
      <c r="BW179" s="3" t="n"/>
      <c r="BX179" s="3" t="n"/>
      <c r="BY179" s="3" t="n"/>
      <c r="BZ179" s="3" t="n"/>
      <c r="CA179" s="3" t="n"/>
      <c r="CB179" s="3" t="n"/>
      <c r="CC179" s="3" t="n"/>
      <c r="CD179" s="3" t="n"/>
      <c r="CE179" s="3" t="n"/>
      <c r="CF179" s="3" t="n"/>
      <c r="CG179" s="3" t="n"/>
      <c r="CH179" s="3" t="n"/>
      <c r="CI179" s="3" t="n"/>
      <c r="CJ179" s="3" t="n"/>
      <c r="CK179" s="3" t="n"/>
      <c r="CL179" s="3" t="n"/>
      <c r="CM179" s="3" t="n"/>
      <c r="CN179" s="3" t="n"/>
      <c r="CO179" s="3" t="n"/>
      <c r="CP179" s="3" t="n"/>
      <c r="CQ179" s="3" t="n"/>
      <c r="CR179" s="3" t="n"/>
      <c r="CS179" s="3" t="n"/>
      <c r="CT179" s="3" t="n"/>
      <c r="CU179" s="3" t="n"/>
      <c r="CV179" s="3" t="n"/>
      <c r="CW179" s="3" t="n"/>
      <c r="CX179" s="3" t="n"/>
      <c r="CY179" s="3" t="n"/>
    </row>
    <row r="180" hidden="1" outlineLevel="1">
      <c r="C180" s="34" t="inlineStr">
        <is>
          <t>Definir % do D&amp;A No PPE and Intagibles</t>
        </is>
      </c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  <c r="AD180" s="3" t="n"/>
      <c r="AE180" s="3" t="n"/>
      <c r="AF180" s="3" t="n"/>
      <c r="AG180" s="3" t="n"/>
      <c r="AH180" s="3" t="n"/>
      <c r="AI180" s="3" t="n"/>
      <c r="AJ180" s="3" t="n"/>
      <c r="AK180" s="3" t="n"/>
      <c r="AL180" s="3" t="n"/>
      <c r="AM180" s="3" t="n"/>
      <c r="AN180" s="3" t="n"/>
      <c r="AO180" s="3" t="n"/>
      <c r="AP180" s="3" t="n"/>
      <c r="AQ180" s="3" t="n"/>
      <c r="AR180" s="3" t="n"/>
      <c r="AS180" s="3" t="n"/>
      <c r="AT180" s="3" t="n"/>
      <c r="AU180" s="3" t="n"/>
      <c r="AV180" s="3" t="n"/>
      <c r="AW180" s="3" t="n"/>
      <c r="AX180" s="3" t="n"/>
      <c r="AY180" s="3" t="n"/>
      <c r="AZ180" s="3" t="n"/>
      <c r="BA180" s="3" t="n"/>
      <c r="BB180" s="3" t="n"/>
      <c r="BC180" s="3" t="n"/>
      <c r="BD180" s="3" t="n"/>
      <c r="BE180" s="3" t="n"/>
      <c r="BF180" s="3" t="n"/>
      <c r="BG180" s="3" t="n"/>
      <c r="BH180" s="3" t="n"/>
      <c r="BI180" s="3" t="n"/>
      <c r="BJ180" s="3" t="n"/>
      <c r="BK180" s="3" t="n"/>
      <c r="BL180" s="3" t="n"/>
      <c r="BM180" s="3" t="n"/>
      <c r="BN180" s="3" t="n"/>
      <c r="BO180" s="3" t="n"/>
      <c r="BP180" s="3" t="n"/>
      <c r="BQ180" s="3" t="n"/>
      <c r="BR180" s="3" t="n"/>
      <c r="BS180" s="3" t="n"/>
      <c r="BT180" s="3" t="n"/>
      <c r="BU180" s="3" t="n"/>
      <c r="BV180" s="3" t="n"/>
      <c r="BW180" s="3" t="n"/>
      <c r="BX180" s="3" t="n"/>
      <c r="BY180" s="3" t="n"/>
      <c r="BZ180" s="3" t="n"/>
      <c r="CA180" s="3" t="n"/>
      <c r="CB180" s="3" t="n"/>
      <c r="CC180" s="3" t="n"/>
      <c r="CD180" s="3" t="n"/>
      <c r="CE180" s="3" t="n"/>
      <c r="CF180" s="3" t="n"/>
      <c r="CG180" s="3" t="n"/>
      <c r="CH180" s="3" t="n"/>
      <c r="CI180" s="3" t="n"/>
      <c r="CJ180" s="3" t="n"/>
      <c r="CK180" s="3" t="n"/>
      <c r="CL180" s="3" t="n"/>
      <c r="CM180" s="3" t="n"/>
      <c r="CN180" s="3" t="n"/>
      <c r="CO180" s="3" t="n"/>
      <c r="CP180" s="3" t="n"/>
      <c r="CQ180" s="3" t="n"/>
      <c r="CR180" s="3" t="n"/>
      <c r="CS180" s="3" t="n"/>
      <c r="CT180" s="3" t="n"/>
      <c r="CU180" s="3" t="n"/>
      <c r="CV180" s="3" t="n"/>
      <c r="CW180" s="3" t="n"/>
      <c r="CX180" s="3" t="n"/>
      <c r="CY180" s="3" t="n"/>
    </row>
    <row r="181" hidden="1" outlineLevel="1">
      <c r="C181" s="34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  <c r="AC181" s="3" t="n"/>
      <c r="AD181" s="3" t="n"/>
      <c r="AE181" s="3" t="n"/>
      <c r="AF181" s="3" t="n"/>
      <c r="AG181" s="3" t="n"/>
      <c r="AH181" s="3" t="n"/>
      <c r="AI181" s="3" t="n"/>
      <c r="AJ181" s="3" t="n"/>
      <c r="AK181" s="3" t="n"/>
      <c r="AL181" s="3" t="n"/>
      <c r="AM181" s="3" t="n"/>
      <c r="AN181" s="3" t="n"/>
      <c r="AO181" s="3" t="n"/>
      <c r="AP181" s="3" t="n"/>
      <c r="AQ181" s="3" t="n"/>
      <c r="AR181" s="3" t="n"/>
      <c r="AS181" s="3" t="n"/>
      <c r="AT181" s="3" t="n"/>
      <c r="AU181" s="3" t="n"/>
      <c r="AV181" s="3" t="n"/>
      <c r="AW181" s="3" t="n"/>
      <c r="AX181" s="3" t="n"/>
      <c r="AY181" s="3" t="n"/>
      <c r="AZ181" s="3" t="n"/>
      <c r="BA181" s="3" t="n"/>
      <c r="BB181" s="3" t="n"/>
      <c r="BC181" s="3" t="n"/>
      <c r="BD181" s="3" t="n"/>
      <c r="BE181" s="3" t="n"/>
      <c r="BF181" s="3" t="n"/>
      <c r="BG181" s="3" t="n"/>
      <c r="BH181" s="3" t="n"/>
      <c r="BI181" s="3" t="n"/>
      <c r="BJ181" s="3" t="n"/>
      <c r="BK181" s="3" t="n"/>
      <c r="BL181" s="3" t="n"/>
      <c r="BM181" s="3" t="n"/>
      <c r="BN181" s="3" t="n"/>
      <c r="BO181" s="3" t="n"/>
      <c r="BP181" s="3" t="n"/>
      <c r="BQ181" s="3" t="n"/>
      <c r="BR181" s="3" t="n"/>
      <c r="BS181" s="3" t="n"/>
      <c r="BT181" s="3" t="n"/>
      <c r="BU181" s="3" t="n"/>
      <c r="BV181" s="3" t="n"/>
      <c r="BW181" s="3" t="n"/>
      <c r="BX181" s="3" t="n"/>
      <c r="BY181" s="3" t="n"/>
      <c r="BZ181" s="3" t="n"/>
      <c r="CA181" s="3" t="n"/>
      <c r="CB181" s="3" t="n"/>
      <c r="CC181" s="3" t="n"/>
      <c r="CD181" s="3" t="n"/>
      <c r="CE181" s="3" t="n"/>
      <c r="CF181" s="3" t="n"/>
      <c r="CG181" s="3" t="n"/>
      <c r="CH181" s="3" t="n"/>
      <c r="CI181" s="3" t="n"/>
      <c r="CJ181" s="3" t="n"/>
      <c r="CK181" s="3" t="n"/>
      <c r="CL181" s="3" t="n"/>
      <c r="CM181" s="3" t="n"/>
      <c r="CN181" s="3" t="n"/>
      <c r="CO181" s="3" t="n"/>
      <c r="CP181" s="3" t="n"/>
      <c r="CQ181" s="3" t="n"/>
      <c r="CR181" s="3" t="n"/>
      <c r="CS181" s="3" t="n"/>
      <c r="CT181" s="3" t="n"/>
      <c r="CU181" s="3" t="n"/>
      <c r="CV181" s="3" t="n"/>
      <c r="CW181" s="3" t="n"/>
      <c r="CX181" s="3" t="n"/>
      <c r="CY181" s="3" t="n"/>
    </row>
    <row r="182" hidden="1" outlineLevel="1">
      <c r="C182" s="34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  <c r="AB182" s="3" t="n"/>
      <c r="AC182" s="3" t="n"/>
      <c r="AD182" s="3" t="n"/>
      <c r="AE182" s="3" t="n"/>
      <c r="AF182" s="3" t="n"/>
      <c r="AG182" s="3" t="n"/>
      <c r="AH182" s="3" t="n"/>
      <c r="AI182" s="3" t="n"/>
      <c r="AJ182" s="3" t="n"/>
      <c r="AK182" s="3" t="n"/>
      <c r="AL182" s="3" t="n"/>
      <c r="AM182" s="3" t="n"/>
      <c r="AN182" s="3" t="n"/>
      <c r="AO182" s="3" t="n"/>
      <c r="AP182" s="3" t="n"/>
      <c r="AQ182" s="3" t="n"/>
      <c r="AR182" s="3" t="n"/>
      <c r="AS182" s="3" t="n"/>
      <c r="AT182" s="3" t="n"/>
      <c r="AU182" s="3" t="n"/>
      <c r="AV182" s="3" t="n"/>
      <c r="AW182" s="3" t="n"/>
      <c r="AX182" s="3" t="n"/>
      <c r="AY182" s="3" t="n"/>
      <c r="AZ182" s="3" t="n"/>
      <c r="BA182" s="3" t="n"/>
      <c r="BB182" s="3" t="n"/>
      <c r="BC182" s="3" t="n"/>
      <c r="BD182" s="3" t="n"/>
      <c r="BE182" s="3" t="n"/>
      <c r="BF182" s="3" t="n"/>
      <c r="BG182" s="3" t="n"/>
      <c r="BH182" s="3" t="n"/>
      <c r="BI182" s="3" t="n"/>
      <c r="BJ182" s="3" t="n"/>
      <c r="BK182" s="3" t="n"/>
      <c r="BL182" s="3" t="n"/>
      <c r="BM182" s="3" t="n"/>
      <c r="BN182" s="3" t="n"/>
      <c r="BO182" s="3" t="n"/>
      <c r="BP182" s="3" t="n"/>
      <c r="BQ182" s="3" t="n"/>
      <c r="BR182" s="3" t="n"/>
      <c r="BS182" s="3" t="n"/>
      <c r="BT182" s="3" t="n"/>
      <c r="BU182" s="3" t="n"/>
      <c r="BV182" s="3" t="n"/>
      <c r="BW182" s="3" t="n"/>
      <c r="BX182" s="3" t="n"/>
      <c r="BY182" s="3" t="n"/>
      <c r="BZ182" s="3" t="n"/>
      <c r="CA182" s="3" t="n"/>
      <c r="CB182" s="3" t="n"/>
      <c r="CC182" s="3" t="n"/>
      <c r="CD182" s="3" t="n"/>
      <c r="CE182" s="3" t="n"/>
      <c r="CF182" s="3" t="n"/>
      <c r="CG182" s="3" t="n"/>
      <c r="CH182" s="3" t="n"/>
      <c r="CI182" s="3" t="n"/>
      <c r="CJ182" s="3" t="n"/>
      <c r="CK182" s="3" t="n"/>
      <c r="CL182" s="3" t="n"/>
      <c r="CM182" s="3" t="n"/>
      <c r="CN182" s="3" t="n"/>
      <c r="CO182" s="3" t="n"/>
      <c r="CP182" s="3" t="n"/>
      <c r="CQ182" s="3" t="n"/>
      <c r="CR182" s="3" t="n"/>
      <c r="CS182" s="3" t="n"/>
      <c r="CT182" s="3" t="n"/>
      <c r="CU182" s="3" t="n"/>
      <c r="CV182" s="3" t="n"/>
      <c r="CW182" s="3" t="n"/>
      <c r="CX182" s="3" t="n"/>
      <c r="CY182" s="3" t="n"/>
    </row>
    <row r="183" collapsed="1">
      <c r="C183" s="26" t="inlineStr">
        <is>
          <t>Other non-current assets</t>
        </is>
      </c>
      <c r="D183" s="25">
        <f>INDEX('Inputs (2)'!$D$26:$AL$26,MATCH(D$7,'Inputs (2)'!$D$2:$AL$2,0))</f>
        <v>10006</v>
      </c>
      <c r="E183" s="25">
        <f>INDEX('Inputs (2)'!$D$26:$AL$26,MATCH(E$7,'Inputs (2)'!$D$2:$AL$2,0))</f>
        <v>10008</v>
      </c>
      <c r="F183" s="25">
        <f>INDEX('Inputs (2)'!$D$26:$AL$26,MATCH(F$7,'Inputs (2)'!$D$2:$AL$2,0))</f>
        <v>10203</v>
      </c>
      <c r="G183" s="25">
        <f>INDEX('Inputs (2)'!$D$26:$AL$26,MATCH(G$7,'Inputs (2)'!$D$2:$AL$2,0))</f>
        <v>10606</v>
      </c>
      <c r="H183" s="3">
        <f>G183</f>
        <v>10606</v>
      </c>
      <c r="I183" s="25">
        <f>INDEX('Inputs (2)'!$D$26:$AL$26,MATCH(I$7,'Inputs (2)'!$D$2:$AL$2,0))</f>
        <v>12247</v>
      </c>
      <c r="J183" s="25">
        <f>INDEX('Inputs (2)'!$D$26:$AL$26,MATCH(J$7,'Inputs (2)'!$D$2:$AL$2,0))</f>
        <v>12568</v>
      </c>
      <c r="K183" s="25">
        <f>INDEX('Inputs (2)'!$D$26:$AL$26,MATCH(K$7,'Inputs (2)'!$D$2:$AL$2,0))</f>
        <v>13102</v>
      </c>
      <c r="L183" s="25">
        <f>INDEX('Inputs (2)'!$D$26:$AL$26,MATCH(L$7,'Inputs (2)'!$D$2:$AL$2,0))</f>
        <v>13674</v>
      </c>
      <c r="M183" s="3">
        <f>L183</f>
        <v>13674</v>
      </c>
      <c r="N183" s="25">
        <f>INDEX('Inputs (2)'!$D$26:$AL$26,MATCH(N$7,'Inputs (2)'!$D$2:$AL$2,0))</f>
        <v>14326</v>
      </c>
      <c r="O183" s="25">
        <f>INDEX('Inputs (2)'!$D$26:$AL$26,MATCH(O$7,'Inputs (2)'!$D$2:$AL$2,0))</f>
        <v>13576</v>
      </c>
      <c r="P183" s="25">
        <f>INDEX('Inputs (2)'!$D$26:$AL$26,MATCH(P$7,'Inputs (2)'!$D$2:$AL$2,0))</f>
        <v>13840</v>
      </c>
      <c r="Q183" s="25">
        <f>INDEX('Inputs (2)'!$D$26:$AL$26,MATCH(Q$7,'Inputs (2)'!$D$2:$AL$2,0))</f>
        <v>14901</v>
      </c>
      <c r="R183" s="3">
        <f>Q183</f>
        <v>14901</v>
      </c>
      <c r="S183" s="25">
        <f>INDEX('Inputs (2)'!$D$26:$AL$26,MATCH(S$7,'Inputs (2)'!$D$2:$AL$2,0))</f>
        <v>15668</v>
      </c>
      <c r="T183" s="25">
        <f>INDEX('Inputs (2)'!$D$26:$AL$26,MATCH(T$7,'Inputs (2)'!$D$2:$AL$2,0))</f>
        <v>16510</v>
      </c>
      <c r="U183" s="25">
        <f>INDEX('Inputs (2)'!$D$26:$AL$26,MATCH(U$7,'Inputs (2)'!$D$2:$AL$2,0))</f>
        <v>17093</v>
      </c>
      <c r="V183" s="25">
        <f>INDEX('Inputs (2)'!$D$26:$AL$26,MATCH(V$7,'Inputs (2)'!$D$2:$AL$2,0))</f>
        <v>15933</v>
      </c>
      <c r="W183" s="3">
        <f>V183</f>
        <v>15933</v>
      </c>
      <c r="X183" s="25">
        <f>INDEX('Inputs (2)'!$D$26:$AL$26,MATCH(X$7,'Inputs (2)'!$D$2:$AL$2,0))</f>
        <v>15698</v>
      </c>
      <c r="Y183" s="25">
        <f>INDEX('Inputs (2)'!$D$26:$AL$26,MATCH(Y$7,'Inputs (2)'!$D$2:$AL$2,0))</f>
        <v>15285</v>
      </c>
      <c r="Z183" s="25">
        <f>INDEX('Inputs (2)'!$D$26:$AL$26,MATCH(Z$7,'Inputs (2)'!$D$2:$AL$2,0))</f>
        <v>15593</v>
      </c>
      <c r="AA183" s="25">
        <f>INDEX('Inputs (2)'!$D$26:$AL$26,MATCH(AA$7,'Inputs (2)'!$D$2:$AL$2,0))</f>
        <v>15796</v>
      </c>
      <c r="AB183" s="3">
        <f>AA183</f>
        <v>15796</v>
      </c>
      <c r="AC183" s="25">
        <f>INDEX('Inputs (2)'!$D$26:$AL$26,MATCH(AC$7,'Inputs (2)'!$D$2:$AL$2,0))</f>
        <v>16225</v>
      </c>
      <c r="AD183" s="25">
        <f>INDEX('Inputs (2)'!$D$26:$AL$26,MATCH(AD$7,'Inputs (2)'!$D$2:$AL$2,0))</f>
        <v>16110</v>
      </c>
      <c r="AE183" s="25">
        <f>INDEX('Inputs (2)'!$D$26:$AL$26,MATCH(AE$7,'Inputs (2)'!$D$2:$AL$2,0))</f>
        <v>16867</v>
      </c>
      <c r="AF183" s="25">
        <f>INDEX('Inputs (2)'!$D$26:$AL$26,MATCH(AF$7,'Inputs (2)'!$D$2:$AL$2,0))</f>
        <v>15569</v>
      </c>
      <c r="AG183" s="3">
        <f>AF183</f>
        <v>15569</v>
      </c>
      <c r="AH183" s="3">
        <f>INDEX('Inputs (2)'!$D$26:$AL$26,MATCH(AH$7,'Inputs (2)'!$D$2:$AL$2,0))</f>
        <v>17371</v>
      </c>
      <c r="AI183" s="3">
        <f>INDEX('Inputs (2)'!$D$26:$AL$26,MATCH(AI$7,'Inputs (2)'!$D$2:$AL$2,0))</f>
        <v>18890</v>
      </c>
      <c r="AJ183" s="3">
        <f>AI183</f>
        <v>18890</v>
      </c>
      <c r="AK183" s="3">
        <f>AJ183</f>
        <v>18890</v>
      </c>
      <c r="AL183" s="3">
        <f>AK183</f>
        <v>18890</v>
      </c>
      <c r="AM183" s="3">
        <f>AL183</f>
        <v>18890</v>
      </c>
      <c r="AN183" s="3">
        <f>AM183</f>
        <v>18890</v>
      </c>
      <c r="AO183" s="3">
        <f>AN183</f>
        <v>18890</v>
      </c>
      <c r="AP183" s="3">
        <f>AO183</f>
        <v>18890</v>
      </c>
      <c r="AQ183" s="3">
        <f>AP183</f>
        <v>18890</v>
      </c>
      <c r="AR183" s="3">
        <f>AQ183</f>
        <v>18890</v>
      </c>
      <c r="AS183" s="3">
        <f>AR183</f>
        <v>18890</v>
      </c>
      <c r="AT183" s="3">
        <f>AS183</f>
        <v>18890</v>
      </c>
      <c r="AU183" s="3">
        <f>AT183</f>
        <v>18890</v>
      </c>
      <c r="AV183" s="3">
        <f>AU183</f>
        <v>18890</v>
      </c>
      <c r="AW183" s="3">
        <f>AV183</f>
        <v>18890</v>
      </c>
      <c r="AX183" s="3">
        <f>AW183</f>
        <v>18890</v>
      </c>
      <c r="AY183" s="3">
        <f>AX183</f>
        <v>18890</v>
      </c>
      <c r="AZ183" s="3">
        <f>AY183</f>
        <v>18890</v>
      </c>
      <c r="BA183" s="3">
        <f>AZ183</f>
        <v>18890</v>
      </c>
      <c r="BB183" s="3">
        <f>BA183</f>
        <v>18890</v>
      </c>
      <c r="BC183" s="3">
        <f>BB183</f>
        <v>18890</v>
      </c>
      <c r="BD183" s="3">
        <f>BC183</f>
        <v>18890</v>
      </c>
      <c r="BE183" s="3">
        <f>BD183</f>
        <v>18890</v>
      </c>
      <c r="BF183" s="3">
        <f>BE183</f>
        <v>18890</v>
      </c>
      <c r="BG183" s="3">
        <f>BF183</f>
        <v>18890</v>
      </c>
      <c r="BH183" s="3">
        <f>BG183</f>
        <v>18890</v>
      </c>
      <c r="BI183" s="3">
        <f>BH183</f>
        <v>18890</v>
      </c>
      <c r="BJ183" s="3">
        <f>BI183</f>
        <v>18890</v>
      </c>
      <c r="BK183" s="3">
        <f>BJ183</f>
        <v>18890</v>
      </c>
      <c r="BL183" s="3">
        <f>BK183</f>
        <v>18890</v>
      </c>
      <c r="BM183" s="3">
        <f>BL183</f>
        <v>18890</v>
      </c>
      <c r="BN183" s="3">
        <f>BM183</f>
        <v>18890</v>
      </c>
      <c r="BO183" s="3">
        <f>BN183</f>
        <v>18890</v>
      </c>
      <c r="BP183" s="3">
        <f>BO183</f>
        <v>18890</v>
      </c>
      <c r="BQ183" s="3">
        <f>BP183</f>
        <v>18890</v>
      </c>
      <c r="BR183" s="3">
        <f>BQ183</f>
        <v>18890</v>
      </c>
      <c r="BS183" s="3">
        <f>BR183</f>
        <v>18890</v>
      </c>
      <c r="BT183" s="3">
        <f>BS183</f>
        <v>18890</v>
      </c>
      <c r="BU183" s="3">
        <f>BT183</f>
        <v>18890</v>
      </c>
      <c r="BV183" s="3">
        <f>BU183</f>
        <v>18890</v>
      </c>
      <c r="BW183" s="3">
        <f>BV183</f>
        <v>18890</v>
      </c>
      <c r="BX183" s="3">
        <f>BW183</f>
        <v>18890</v>
      </c>
      <c r="BY183" s="3">
        <f>BX183</f>
        <v>18890</v>
      </c>
      <c r="BZ183" s="3">
        <f>BY183</f>
        <v>18890</v>
      </c>
      <c r="CA183" s="3">
        <f>BZ183</f>
        <v>18890</v>
      </c>
      <c r="CB183" s="3">
        <f>CA183</f>
        <v>18890</v>
      </c>
      <c r="CC183" s="3">
        <f>CB183</f>
        <v>18890</v>
      </c>
      <c r="CD183" s="3">
        <f>CC183</f>
        <v>18890</v>
      </c>
      <c r="CE183" s="3">
        <f>CD183</f>
        <v>18890</v>
      </c>
      <c r="CF183" s="3">
        <f>CE183</f>
        <v>18890</v>
      </c>
      <c r="CG183" s="3">
        <f>CF183</f>
        <v>18890</v>
      </c>
      <c r="CH183" s="3">
        <f>CG183</f>
        <v>18890</v>
      </c>
      <c r="CI183" s="3">
        <f>CH183</f>
        <v>18890</v>
      </c>
      <c r="CJ183" s="3">
        <f>CI183</f>
        <v>18890</v>
      </c>
      <c r="CK183" s="3">
        <f>CJ183</f>
        <v>18890</v>
      </c>
      <c r="CL183" s="3">
        <f>CK183</f>
        <v>18890</v>
      </c>
      <c r="CM183" s="3">
        <f>CL183</f>
        <v>18890</v>
      </c>
      <c r="CN183" s="3">
        <f>CM183</f>
        <v>18890</v>
      </c>
      <c r="CO183" s="3">
        <f>CN183</f>
        <v>18890</v>
      </c>
      <c r="CP183" s="3">
        <f>CO183</f>
        <v>18890</v>
      </c>
      <c r="CQ183" s="3">
        <f>CP183</f>
        <v>18890</v>
      </c>
      <c r="CR183" s="3">
        <f>CQ183</f>
        <v>18890</v>
      </c>
      <c r="CS183" s="3">
        <f>CR183</f>
        <v>18890</v>
      </c>
      <c r="CT183" s="3">
        <f>CS183</f>
        <v>18890</v>
      </c>
      <c r="CU183" s="3">
        <f>CT183</f>
        <v>18890</v>
      </c>
      <c r="CV183" s="3">
        <f>CU183</f>
        <v>18890</v>
      </c>
      <c r="CW183" s="3">
        <f>CV183</f>
        <v>18890</v>
      </c>
      <c r="CX183" s="3">
        <f>CW183</f>
        <v>18890</v>
      </c>
      <c r="CY183" s="3">
        <f>CX183</f>
        <v>18890</v>
      </c>
    </row>
    <row r="184" hidden="1" outlineLevel="1">
      <c r="C184" s="38" t="inlineStr">
        <is>
          <t>%(Var.)</t>
        </is>
      </c>
      <c r="D184" s="3" t="n"/>
      <c r="E184" s="47">
        <f>(E183-D183)/D183</f>
        <v>0.000199880071956826</v>
      </c>
      <c r="F184" s="47">
        <f>(F183-E183)/E183</f>
        <v>0.019484412470024</v>
      </c>
      <c r="G184" s="47">
        <f>(G183-F183)/F183</f>
        <v>0.0394981868078016</v>
      </c>
      <c r="H184" s="3" t="n"/>
      <c r="I184" s="47">
        <f>(I183-H183)/H183</f>
        <v>0.154723741278522</v>
      </c>
      <c r="J184" s="47">
        <f>(J183-I183)/I183</f>
        <v>0.0262105005307422</v>
      </c>
      <c r="K184" s="47">
        <f>(K183-J183)/J183</f>
        <v>0.042488860598345</v>
      </c>
      <c r="L184" s="47">
        <f>(L183-K183)/K183</f>
        <v>0.0436574568768127</v>
      </c>
      <c r="M184" s="3" t="n"/>
      <c r="N184" s="47">
        <f>(N183-M183)/M183</f>
        <v>0.0476817317536931</v>
      </c>
      <c r="O184" s="47">
        <f>(O183-N183)/N183</f>
        <v>-0.052352366326958</v>
      </c>
      <c r="P184" s="47">
        <f>(P183-O183)/O183</f>
        <v>0.0194460813199764</v>
      </c>
      <c r="Q184" s="47">
        <f>(Q183-P183)/P183</f>
        <v>0.0766618497109827</v>
      </c>
      <c r="R184" s="3" t="n"/>
      <c r="S184" s="47">
        <f>(S183-R183)/R183</f>
        <v>0.0514730554996309</v>
      </c>
      <c r="T184" s="47">
        <f>(T183-S183)/S183</f>
        <v>0.053740107224917</v>
      </c>
      <c r="U184" s="47">
        <f>(U183-T183)/T183</f>
        <v>0.0353119321623259</v>
      </c>
      <c r="V184" s="47">
        <f>(V183-U183)/U183</f>
        <v>-0.0678640379102557</v>
      </c>
      <c r="W184" s="3" t="n"/>
      <c r="X184" s="47">
        <f>(X183-W183)/W183</f>
        <v>-0.0147492625368732</v>
      </c>
      <c r="Y184" s="47">
        <f>(Y183-X183)/X183</f>
        <v>-0.0263090839597401</v>
      </c>
      <c r="Z184" s="47">
        <f>(Z183-Y183)/Y183</f>
        <v>0.02015047432123</v>
      </c>
      <c r="AA184" s="47">
        <f>(AA183-Z183)/Z183</f>
        <v>0.013018662220227</v>
      </c>
      <c r="AB184" s="3" t="n"/>
      <c r="AC184" s="47">
        <f>(AC183-AB183)/AB183</f>
        <v>0.0271587743732591</v>
      </c>
      <c r="AD184" s="47">
        <f>(AD183-AC183)/AC183</f>
        <v>-0.00708782742681048</v>
      </c>
      <c r="AE184" s="47">
        <f>(AE183-AD183)/AD183</f>
        <v>0.0469894475481068</v>
      </c>
      <c r="AF184" s="218">
        <f>(AF183-AE183)/AE183</f>
        <v>-0.0769550008893105</v>
      </c>
      <c r="AG184" s="3" t="n"/>
      <c r="AH184" s="218">
        <f>(AH183-AG183)/AG183</f>
        <v>0.115742822275034</v>
      </c>
      <c r="AI184" s="218">
        <f>(AI183-AH183)/AH183</f>
        <v>0.0874445915606471</v>
      </c>
      <c r="AJ184" s="218" t="n"/>
      <c r="AK184" s="218" t="n"/>
      <c r="AL184" s="3" t="n"/>
      <c r="AM184" s="218" t="n"/>
      <c r="AN184" s="218" t="n"/>
      <c r="AO184" s="218" t="n"/>
      <c r="AP184" s="218" t="n"/>
      <c r="AQ184" s="3" t="n"/>
      <c r="AR184" s="218" t="n"/>
      <c r="AS184" s="218" t="n"/>
      <c r="AT184" s="218" t="n"/>
      <c r="AU184" s="218" t="n"/>
      <c r="AV184" s="3" t="n"/>
      <c r="AW184" s="218" t="n"/>
      <c r="AX184" s="218" t="n"/>
      <c r="AY184" s="218" t="n"/>
      <c r="AZ184" s="218" t="n"/>
      <c r="BA184" s="3" t="n"/>
      <c r="BB184" s="218" t="n"/>
      <c r="BC184" s="218" t="n"/>
      <c r="BD184" s="218" t="n"/>
      <c r="BE184" s="218" t="n"/>
      <c r="BF184" s="3" t="n"/>
      <c r="BG184" s="218" t="n"/>
      <c r="BH184" s="218" t="n"/>
      <c r="BI184" s="218" t="n"/>
      <c r="BJ184" s="218" t="n"/>
      <c r="BK184" s="3" t="n"/>
      <c r="BL184" s="218" t="n"/>
      <c r="BM184" s="218" t="n"/>
      <c r="BN184" s="218" t="n"/>
      <c r="BO184" s="218" t="n"/>
      <c r="BP184" s="3" t="n"/>
      <c r="BQ184" s="218" t="n"/>
      <c r="BR184" s="218" t="n"/>
      <c r="BS184" s="218" t="n"/>
      <c r="BT184" s="218" t="n"/>
      <c r="BU184" s="3" t="n"/>
      <c r="BV184" s="218" t="n"/>
      <c r="BW184" s="218" t="n"/>
      <c r="BX184" s="218" t="n"/>
      <c r="BY184" s="218" t="n"/>
      <c r="BZ184" s="3" t="n"/>
      <c r="CA184" s="218" t="n"/>
      <c r="CB184" s="218" t="n"/>
      <c r="CC184" s="218" t="n"/>
      <c r="CD184" s="218" t="n"/>
      <c r="CE184" s="3" t="n"/>
      <c r="CF184" s="218" t="n"/>
      <c r="CG184" s="218" t="n"/>
      <c r="CH184" s="218" t="n"/>
      <c r="CI184" s="218" t="n"/>
      <c r="CJ184" s="3" t="n"/>
      <c r="CK184" s="218" t="n"/>
      <c r="CL184" s="218" t="n"/>
      <c r="CM184" s="218" t="n"/>
      <c r="CN184" s="218" t="n"/>
      <c r="CO184" s="3" t="n"/>
      <c r="CP184" s="218" t="n"/>
      <c r="CQ184" s="218" t="n"/>
      <c r="CR184" s="218" t="n"/>
      <c r="CS184" s="218" t="n"/>
      <c r="CT184" s="3" t="n"/>
      <c r="CU184" s="218" t="n"/>
      <c r="CV184" s="218" t="n"/>
      <c r="CW184" s="218" t="n"/>
      <c r="CX184" s="218" t="n"/>
      <c r="CY184" s="3" t="n"/>
    </row>
    <row r="185" hidden="1" outlineLevel="1">
      <c r="C185" s="34" t="n"/>
      <c r="D185" s="3" t="n"/>
      <c r="E185" s="47" t="n"/>
      <c r="F185" s="47" t="n"/>
      <c r="G185" s="47" t="n"/>
      <c r="H185" s="3" t="n"/>
      <c r="I185" s="47" t="n"/>
      <c r="J185" s="47" t="n"/>
      <c r="K185" s="47" t="n"/>
      <c r="L185" s="47" t="n"/>
      <c r="M185" s="3" t="n"/>
      <c r="N185" s="47" t="n"/>
      <c r="O185" s="47" t="n"/>
      <c r="P185" s="47" t="n"/>
      <c r="Q185" s="47" t="n"/>
      <c r="R185" s="3" t="n"/>
      <c r="S185" s="47" t="n"/>
      <c r="T185" s="47" t="n"/>
      <c r="U185" s="47" t="n"/>
      <c r="V185" s="47" t="n"/>
      <c r="W185" s="3" t="n"/>
      <c r="X185" s="47" t="n"/>
      <c r="Y185" s="47" t="n"/>
      <c r="Z185" s="47" t="n"/>
      <c r="AA185" s="47" t="n"/>
      <c r="AB185" s="3" t="n"/>
      <c r="AC185" s="47" t="n"/>
      <c r="AD185" s="47" t="n"/>
      <c r="AE185" s="47" t="n"/>
      <c r="AF185" s="218" t="n"/>
      <c r="AG185" s="3" t="n"/>
      <c r="AH185" s="218" t="n"/>
      <c r="AI185" s="218" t="n"/>
      <c r="AJ185" s="218" t="n"/>
      <c r="AK185" s="218" t="n"/>
      <c r="AL185" s="3" t="n"/>
      <c r="AM185" s="218" t="n"/>
      <c r="AN185" s="218" t="n"/>
      <c r="AO185" s="218" t="n"/>
      <c r="AP185" s="218" t="n"/>
      <c r="AQ185" s="3" t="n"/>
      <c r="AR185" s="218" t="n"/>
      <c r="AS185" s="218" t="n"/>
      <c r="AT185" s="218" t="n"/>
      <c r="AU185" s="218" t="n"/>
      <c r="AV185" s="3" t="n"/>
      <c r="AW185" s="218" t="n"/>
      <c r="AX185" s="218" t="n"/>
      <c r="AY185" s="218" t="n"/>
      <c r="AZ185" s="218" t="n"/>
      <c r="BA185" s="3" t="n"/>
      <c r="BB185" s="218" t="n"/>
      <c r="BC185" s="218" t="n"/>
      <c r="BD185" s="218" t="n"/>
      <c r="BE185" s="218" t="n"/>
      <c r="BF185" s="3" t="n"/>
      <c r="BG185" s="218" t="n"/>
      <c r="BH185" s="218" t="n"/>
      <c r="BI185" s="218" t="n"/>
      <c r="BJ185" s="218" t="n"/>
      <c r="BK185" s="3" t="n"/>
      <c r="BL185" s="218" t="n"/>
      <c r="BM185" s="218" t="n"/>
      <c r="BN185" s="218" t="n"/>
      <c r="BO185" s="218" t="n"/>
      <c r="BP185" s="3" t="n"/>
      <c r="BQ185" s="218" t="n"/>
      <c r="BR185" s="218" t="n"/>
      <c r="BS185" s="218" t="n"/>
      <c r="BT185" s="218" t="n"/>
      <c r="BU185" s="3" t="n"/>
      <c r="BV185" s="218" t="n"/>
      <c r="BW185" s="218" t="n"/>
      <c r="BX185" s="218" t="n"/>
      <c r="BY185" s="218" t="n"/>
      <c r="BZ185" s="3" t="n"/>
      <c r="CA185" s="218" t="n"/>
      <c r="CB185" s="218" t="n"/>
      <c r="CC185" s="218" t="n"/>
      <c r="CD185" s="218" t="n"/>
      <c r="CE185" s="3" t="n"/>
      <c r="CF185" s="218" t="n"/>
      <c r="CG185" s="218" t="n"/>
      <c r="CH185" s="218" t="n"/>
      <c r="CI185" s="218" t="n"/>
      <c r="CJ185" s="3" t="n"/>
      <c r="CK185" s="218" t="n"/>
      <c r="CL185" s="218" t="n"/>
      <c r="CM185" s="218" t="n"/>
      <c r="CN185" s="218" t="n"/>
      <c r="CO185" s="3" t="n"/>
      <c r="CP185" s="218" t="n"/>
      <c r="CQ185" s="218" t="n"/>
      <c r="CR185" s="218" t="n"/>
      <c r="CS185" s="218" t="n"/>
      <c r="CT185" s="3" t="n"/>
      <c r="CU185" s="218" t="n"/>
      <c r="CV185" s="218" t="n"/>
      <c r="CW185" s="218" t="n"/>
      <c r="CX185" s="218" t="n"/>
      <c r="CY185" s="3" t="n"/>
    </row>
    <row r="186" hidden="1" outlineLevel="1">
      <c r="C186" s="52" t="inlineStr">
        <is>
          <t>Outros Créditos - LP</t>
        </is>
      </c>
      <c r="D186" s="6" t="n"/>
      <c r="E186" s="6" t="n"/>
      <c r="F186" s="6" t="n"/>
      <c r="G186" s="6" t="n"/>
      <c r="H186" s="3" t="n"/>
      <c r="I186" s="6" t="n"/>
      <c r="J186" s="6" t="n"/>
      <c r="K186" s="6" t="n"/>
      <c r="L186" s="6" t="n"/>
      <c r="M186" s="3" t="n"/>
      <c r="N186" s="6" t="n"/>
      <c r="O186" s="6" t="n"/>
      <c r="P186" s="6" t="n"/>
      <c r="Q186" s="6" t="n"/>
      <c r="R186" s="3" t="n"/>
      <c r="S186" s="6" t="n"/>
      <c r="T186" s="6" t="n"/>
      <c r="U186" s="6" t="n"/>
      <c r="V186" s="6" t="n"/>
      <c r="W186" s="3" t="n"/>
      <c r="X186" s="6" t="n"/>
      <c r="Y186" s="6" t="n"/>
      <c r="Z186" s="6" t="n"/>
      <c r="AA186" s="6" t="n"/>
      <c r="AB186" s="3" t="n"/>
      <c r="AC186" s="6" t="n"/>
      <c r="AD186" s="6" t="n"/>
      <c r="AE186" s="6" t="n"/>
      <c r="AF186" s="6" t="n"/>
      <c r="AG186" s="3" t="n"/>
      <c r="AH186" s="3" t="n"/>
      <c r="AI186" s="3" t="n"/>
      <c r="AJ186" s="3" t="n"/>
      <c r="AK186" s="3" t="n"/>
      <c r="AL186" s="3" t="n"/>
      <c r="AM186" s="3" t="n"/>
      <c r="AN186" s="3" t="n"/>
      <c r="AO186" s="3" t="n"/>
      <c r="AP186" s="3" t="n"/>
      <c r="AQ186" s="3" t="n"/>
      <c r="AR186" s="3" t="n"/>
      <c r="AS186" s="3" t="n"/>
      <c r="AT186" s="3" t="n"/>
      <c r="AU186" s="3" t="n"/>
      <c r="AV186" s="3" t="n"/>
      <c r="AW186" s="3" t="n"/>
      <c r="AX186" s="3" t="n"/>
      <c r="AY186" s="3" t="n"/>
      <c r="AZ186" s="3" t="n"/>
      <c r="BA186" s="3" t="n"/>
      <c r="BB186" s="3" t="n"/>
      <c r="BC186" s="3" t="n"/>
      <c r="BD186" s="3" t="n"/>
      <c r="BE186" s="3" t="n"/>
      <c r="BF186" s="3" t="n"/>
      <c r="BG186" s="3" t="n"/>
      <c r="BH186" s="3" t="n"/>
      <c r="BI186" s="3" t="n"/>
      <c r="BJ186" s="3" t="n"/>
      <c r="BK186" s="3" t="n"/>
      <c r="BL186" s="3" t="n"/>
      <c r="BM186" s="3" t="n"/>
      <c r="BN186" s="3" t="n"/>
      <c r="BO186" s="3" t="n"/>
      <c r="BP186" s="3" t="n"/>
      <c r="BQ186" s="3" t="n"/>
      <c r="BR186" s="3" t="n"/>
      <c r="BS186" s="3" t="n"/>
      <c r="BT186" s="3" t="n"/>
      <c r="BU186" s="3" t="n"/>
      <c r="BV186" s="3" t="n"/>
      <c r="BW186" s="3" t="n"/>
      <c r="BX186" s="3" t="n"/>
      <c r="BY186" s="3" t="n"/>
      <c r="BZ186" s="3" t="n"/>
      <c r="CA186" s="3" t="n"/>
      <c r="CB186" s="3" t="n"/>
      <c r="CC186" s="3" t="n"/>
      <c r="CD186" s="3" t="n"/>
      <c r="CE186" s="3" t="n"/>
      <c r="CF186" s="3" t="n"/>
      <c r="CG186" s="3" t="n"/>
      <c r="CH186" s="3" t="n"/>
      <c r="CI186" s="3" t="n"/>
      <c r="CJ186" s="3" t="n"/>
      <c r="CK186" s="3" t="n"/>
      <c r="CL186" s="3" t="n"/>
      <c r="CM186" s="3" t="n"/>
      <c r="CN186" s="3" t="n"/>
      <c r="CO186" s="3" t="n"/>
      <c r="CP186" s="3" t="n"/>
      <c r="CQ186" s="3" t="n"/>
      <c r="CR186" s="3" t="n"/>
      <c r="CS186" s="3" t="n"/>
      <c r="CT186" s="3" t="n"/>
      <c r="CU186" s="3" t="n"/>
      <c r="CV186" s="3" t="n"/>
      <c r="CW186" s="3" t="n"/>
      <c r="CX186" s="3" t="n"/>
      <c r="CY186" s="3" t="n"/>
    </row>
    <row r="187" hidden="1" outlineLevel="1">
      <c r="C187" s="52" t="inlineStr">
        <is>
          <t xml:space="preserve">Impostos e Contribuições a Recuperar </t>
        </is>
      </c>
      <c r="D187" s="6" t="n"/>
      <c r="E187" s="6" t="n"/>
      <c r="F187" s="6" t="n"/>
      <c r="G187" s="6" t="n"/>
      <c r="H187" s="3" t="n"/>
      <c r="I187" s="6" t="n"/>
      <c r="J187" s="6" t="n"/>
      <c r="K187" s="6" t="n"/>
      <c r="L187" s="6" t="n"/>
      <c r="M187" s="3" t="n"/>
      <c r="N187" s="6" t="n"/>
      <c r="O187" s="6" t="n"/>
      <c r="P187" s="6" t="n"/>
      <c r="Q187" s="6" t="n"/>
      <c r="R187" s="3" t="n"/>
      <c r="S187" s="6" t="n"/>
      <c r="T187" s="6" t="n"/>
      <c r="U187" s="6" t="n"/>
      <c r="V187" s="6" t="n"/>
      <c r="W187" s="3" t="n"/>
      <c r="X187" s="6" t="n"/>
      <c r="Y187" s="6" t="n"/>
      <c r="Z187" s="6" t="n"/>
      <c r="AA187" s="6" t="n"/>
      <c r="AB187" s="3" t="n"/>
      <c r="AC187" s="6" t="n"/>
      <c r="AD187" s="6" t="n"/>
      <c r="AE187" s="6" t="n"/>
      <c r="AF187" s="6" t="n"/>
      <c r="AG187" s="3" t="n"/>
      <c r="AH187" s="3" t="n"/>
      <c r="AI187" s="3" t="n"/>
      <c r="AJ187" s="3" t="n"/>
      <c r="AK187" s="3" t="n"/>
      <c r="AL187" s="3" t="n"/>
      <c r="AM187" s="3" t="n"/>
      <c r="AN187" s="3" t="n"/>
      <c r="AO187" s="3" t="n"/>
      <c r="AP187" s="3" t="n"/>
      <c r="AQ187" s="3" t="n"/>
      <c r="AR187" s="3" t="n"/>
      <c r="AS187" s="3" t="n"/>
      <c r="AT187" s="3" t="n"/>
      <c r="AU187" s="3" t="n"/>
      <c r="AV187" s="3" t="n"/>
      <c r="AW187" s="3" t="n"/>
      <c r="AX187" s="3" t="n"/>
      <c r="AY187" s="3" t="n"/>
      <c r="AZ187" s="3" t="n"/>
      <c r="BA187" s="3" t="n"/>
      <c r="BB187" s="3" t="n"/>
      <c r="BC187" s="3" t="n"/>
      <c r="BD187" s="3" t="n"/>
      <c r="BE187" s="3" t="n"/>
      <c r="BF187" s="3" t="n"/>
      <c r="BG187" s="3" t="n"/>
      <c r="BH187" s="3" t="n"/>
      <c r="BI187" s="3" t="n"/>
      <c r="BJ187" s="3" t="n"/>
      <c r="BK187" s="3" t="n"/>
      <c r="BL187" s="3" t="n"/>
      <c r="BM187" s="3" t="n"/>
      <c r="BN187" s="3" t="n"/>
      <c r="BO187" s="3" t="n"/>
      <c r="BP187" s="3" t="n"/>
      <c r="BQ187" s="3" t="n"/>
      <c r="BR187" s="3" t="n"/>
      <c r="BS187" s="3" t="n"/>
      <c r="BT187" s="3" t="n"/>
      <c r="BU187" s="3" t="n"/>
      <c r="BV187" s="3" t="n"/>
      <c r="BW187" s="3" t="n"/>
      <c r="BX187" s="3" t="n"/>
      <c r="BY187" s="3" t="n"/>
      <c r="BZ187" s="3" t="n"/>
      <c r="CA187" s="3" t="n"/>
      <c r="CB187" s="3" t="n"/>
      <c r="CC187" s="3" t="n"/>
      <c r="CD187" s="3" t="n"/>
      <c r="CE187" s="3" t="n"/>
      <c r="CF187" s="3" t="n"/>
      <c r="CG187" s="3" t="n"/>
      <c r="CH187" s="3" t="n"/>
      <c r="CI187" s="3" t="n"/>
      <c r="CJ187" s="3" t="n"/>
      <c r="CK187" s="3" t="n"/>
      <c r="CL187" s="3" t="n"/>
      <c r="CM187" s="3" t="n"/>
      <c r="CN187" s="3" t="n"/>
      <c r="CO187" s="3" t="n"/>
      <c r="CP187" s="3" t="n"/>
      <c r="CQ187" s="3" t="n"/>
      <c r="CR187" s="3" t="n"/>
      <c r="CS187" s="3" t="n"/>
      <c r="CT187" s="3" t="n"/>
      <c r="CU187" s="3" t="n"/>
      <c r="CV187" s="3" t="n"/>
      <c r="CW187" s="3" t="n"/>
      <c r="CX187" s="3" t="n"/>
      <c r="CY187" s="3" t="n"/>
    </row>
    <row r="188" hidden="1" outlineLevel="1">
      <c r="C188" s="52" t="inlineStr">
        <is>
          <t xml:space="preserve">Imposto de Renda e Contribuição Social Diferidos </t>
        </is>
      </c>
      <c r="D188" s="6" t="n"/>
      <c r="E188" s="6" t="n"/>
      <c r="F188" s="6" t="n"/>
      <c r="G188" s="6" t="n"/>
      <c r="H188" s="3" t="n"/>
      <c r="I188" s="6" t="n"/>
      <c r="J188" s="6" t="n"/>
      <c r="K188" s="6" t="n"/>
      <c r="L188" s="6" t="n"/>
      <c r="M188" s="3" t="n"/>
      <c r="N188" s="6" t="n"/>
      <c r="O188" s="6" t="n"/>
      <c r="P188" s="6" t="n"/>
      <c r="Q188" s="6" t="n"/>
      <c r="R188" s="3" t="n"/>
      <c r="S188" s="6" t="n"/>
      <c r="T188" s="6" t="n"/>
      <c r="U188" s="6" t="n"/>
      <c r="V188" s="6" t="n"/>
      <c r="W188" s="3" t="n"/>
      <c r="X188" s="6" t="n"/>
      <c r="Y188" s="6" t="n"/>
      <c r="Z188" s="6" t="n"/>
      <c r="AA188" s="6" t="n"/>
      <c r="AB188" s="3" t="n"/>
      <c r="AC188" s="6" t="n"/>
      <c r="AD188" s="6" t="n"/>
      <c r="AE188" s="6" t="n"/>
      <c r="AF188" s="6" t="n"/>
      <c r="AG188" s="3" t="n"/>
      <c r="AH188" s="3" t="n"/>
      <c r="AI188" s="3" t="n"/>
      <c r="AJ188" s="3" t="n"/>
      <c r="AK188" s="3" t="n"/>
      <c r="AL188" s="3" t="n"/>
      <c r="AM188" s="3" t="n"/>
      <c r="AN188" s="3" t="n"/>
      <c r="AO188" s="3" t="n"/>
      <c r="AP188" s="3" t="n"/>
      <c r="AQ188" s="3" t="n"/>
      <c r="AR188" s="3" t="n"/>
      <c r="AS188" s="3" t="n"/>
      <c r="AT188" s="3" t="n"/>
      <c r="AU188" s="3" t="n"/>
      <c r="AV188" s="3" t="n"/>
      <c r="AW188" s="3" t="n"/>
      <c r="AX188" s="3" t="n"/>
      <c r="AY188" s="3" t="n"/>
      <c r="AZ188" s="3" t="n"/>
      <c r="BA188" s="3" t="n"/>
      <c r="BB188" s="3" t="n"/>
      <c r="BC188" s="3" t="n"/>
      <c r="BD188" s="3" t="n"/>
      <c r="BE188" s="3" t="n"/>
      <c r="BF188" s="3" t="n"/>
      <c r="BG188" s="3" t="n"/>
      <c r="BH188" s="3" t="n"/>
      <c r="BI188" s="3" t="n"/>
      <c r="BJ188" s="3" t="n"/>
      <c r="BK188" s="3" t="n"/>
      <c r="BL188" s="3" t="n"/>
      <c r="BM188" s="3" t="n"/>
      <c r="BN188" s="3" t="n"/>
      <c r="BO188" s="3" t="n"/>
      <c r="BP188" s="3" t="n"/>
      <c r="BQ188" s="3" t="n"/>
      <c r="BR188" s="3" t="n"/>
      <c r="BS188" s="3" t="n"/>
      <c r="BT188" s="3" t="n"/>
      <c r="BU188" s="3" t="n"/>
      <c r="BV188" s="3" t="n"/>
      <c r="BW188" s="3" t="n"/>
      <c r="BX188" s="3" t="n"/>
      <c r="BY188" s="3" t="n"/>
      <c r="BZ188" s="3" t="n"/>
      <c r="CA188" s="3" t="n"/>
      <c r="CB188" s="3" t="n"/>
      <c r="CC188" s="3" t="n"/>
      <c r="CD188" s="3" t="n"/>
      <c r="CE188" s="3" t="n"/>
      <c r="CF188" s="3" t="n"/>
      <c r="CG188" s="3" t="n"/>
      <c r="CH188" s="3" t="n"/>
      <c r="CI188" s="3" t="n"/>
      <c r="CJ188" s="3" t="n"/>
      <c r="CK188" s="3" t="n"/>
      <c r="CL188" s="3" t="n"/>
      <c r="CM188" s="3" t="n"/>
      <c r="CN188" s="3" t="n"/>
      <c r="CO188" s="3" t="n"/>
      <c r="CP188" s="3" t="n"/>
      <c r="CQ188" s="3" t="n"/>
      <c r="CR188" s="3" t="n"/>
      <c r="CS188" s="3" t="n"/>
      <c r="CT188" s="3" t="n"/>
      <c r="CU188" s="3" t="n"/>
      <c r="CV188" s="3" t="n"/>
      <c r="CW188" s="3" t="n"/>
      <c r="CX188" s="3" t="n"/>
      <c r="CY188" s="3" t="n"/>
    </row>
    <row r="189" hidden="1" outlineLevel="1">
      <c r="C189" s="52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  <c r="AC189" s="3" t="n"/>
      <c r="AD189" s="3" t="n"/>
      <c r="AE189" s="3" t="n"/>
      <c r="AF189" s="3" t="n"/>
      <c r="AG189" s="3" t="n"/>
      <c r="AH189" s="3" t="n"/>
      <c r="AI189" s="3" t="n"/>
      <c r="AJ189" s="3" t="n"/>
      <c r="AK189" s="3" t="n"/>
      <c r="AL189" s="3" t="n"/>
      <c r="AM189" s="3" t="n"/>
      <c r="AN189" s="3" t="n"/>
      <c r="AO189" s="3" t="n"/>
      <c r="AP189" s="3" t="n"/>
      <c r="AQ189" s="3" t="n"/>
      <c r="AR189" s="3" t="n"/>
      <c r="AS189" s="3" t="n"/>
      <c r="AT189" s="3" t="n"/>
      <c r="AU189" s="3" t="n"/>
      <c r="AV189" s="3" t="n"/>
      <c r="AW189" s="3" t="n"/>
      <c r="AX189" s="3" t="n"/>
      <c r="AY189" s="3" t="n"/>
      <c r="AZ189" s="3" t="n"/>
      <c r="BA189" s="3" t="n"/>
      <c r="BB189" s="3" t="n"/>
      <c r="BC189" s="3" t="n"/>
      <c r="BD189" s="3" t="n"/>
      <c r="BE189" s="3" t="n"/>
      <c r="BF189" s="3" t="n"/>
      <c r="BG189" s="3" t="n"/>
      <c r="BH189" s="3" t="n"/>
      <c r="BI189" s="3" t="n"/>
      <c r="BJ189" s="3" t="n"/>
      <c r="BK189" s="3" t="n"/>
      <c r="BL189" s="3" t="n"/>
      <c r="BM189" s="3" t="n"/>
      <c r="BN189" s="3" t="n"/>
      <c r="BO189" s="3" t="n"/>
      <c r="BP189" s="3" t="n"/>
      <c r="BQ189" s="3" t="n"/>
      <c r="BR189" s="3" t="n"/>
      <c r="BS189" s="3" t="n"/>
      <c r="BT189" s="3" t="n"/>
      <c r="BU189" s="3" t="n"/>
      <c r="BV189" s="3" t="n"/>
      <c r="BW189" s="3" t="n"/>
      <c r="BX189" s="3" t="n"/>
      <c r="BY189" s="3" t="n"/>
      <c r="BZ189" s="3" t="n"/>
      <c r="CA189" s="3" t="n"/>
      <c r="CB189" s="3" t="n"/>
      <c r="CC189" s="3" t="n"/>
      <c r="CD189" s="3" t="n"/>
      <c r="CE189" s="3" t="n"/>
      <c r="CF189" s="3" t="n"/>
      <c r="CG189" s="3" t="n"/>
      <c r="CH189" s="3" t="n"/>
      <c r="CI189" s="3" t="n"/>
      <c r="CJ189" s="3" t="n"/>
      <c r="CK189" s="3" t="n"/>
      <c r="CL189" s="3" t="n"/>
      <c r="CM189" s="3" t="n"/>
      <c r="CN189" s="3" t="n"/>
      <c r="CO189" s="3" t="n"/>
      <c r="CP189" s="3" t="n"/>
      <c r="CQ189" s="3" t="n"/>
      <c r="CR189" s="3" t="n"/>
      <c r="CS189" s="3" t="n"/>
      <c r="CT189" s="3" t="n"/>
      <c r="CU189" s="3" t="n"/>
      <c r="CV189" s="3" t="n"/>
      <c r="CW189" s="3" t="n"/>
      <c r="CX189" s="3" t="n"/>
      <c r="CY189" s="3" t="n"/>
    </row>
    <row r="190" hidden="1" outlineLevel="1">
      <c r="C190" s="34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3" t="n"/>
      <c r="AE190" s="3" t="n"/>
      <c r="AF190" s="3" t="n"/>
      <c r="AG190" s="3" t="n"/>
      <c r="AH190" s="3" t="n"/>
      <c r="AI190" s="3" t="n"/>
      <c r="AJ190" s="3" t="n"/>
      <c r="AK190" s="3" t="n"/>
      <c r="AL190" s="3" t="n"/>
      <c r="AM190" s="3" t="n"/>
      <c r="AN190" s="3" t="n"/>
      <c r="AO190" s="3" t="n"/>
      <c r="AP190" s="3" t="n"/>
      <c r="AQ190" s="3" t="n"/>
      <c r="AR190" s="3" t="n"/>
      <c r="AS190" s="3" t="n"/>
      <c r="AT190" s="3" t="n"/>
      <c r="AU190" s="3" t="n"/>
      <c r="AV190" s="3" t="n"/>
      <c r="AW190" s="3" t="n"/>
      <c r="AX190" s="3" t="n"/>
      <c r="AY190" s="3" t="n"/>
      <c r="AZ190" s="3" t="n"/>
      <c r="BA190" s="3" t="n"/>
      <c r="BB190" s="3" t="n"/>
      <c r="BC190" s="3" t="n"/>
      <c r="BD190" s="3" t="n"/>
      <c r="BE190" s="3" t="n"/>
      <c r="BF190" s="3" t="n"/>
      <c r="BG190" s="3" t="n"/>
      <c r="BH190" s="3" t="n"/>
      <c r="BI190" s="3" t="n"/>
      <c r="BJ190" s="3" t="n"/>
      <c r="BK190" s="3" t="n"/>
      <c r="BL190" s="3" t="n"/>
      <c r="BM190" s="3" t="n"/>
      <c r="BN190" s="3" t="n"/>
      <c r="BO190" s="3" t="n"/>
      <c r="BP190" s="3" t="n"/>
      <c r="BQ190" s="3" t="n"/>
      <c r="BR190" s="3" t="n"/>
      <c r="BS190" s="3" t="n"/>
      <c r="BT190" s="3" t="n"/>
      <c r="BU190" s="3" t="n"/>
      <c r="BV190" s="3" t="n"/>
      <c r="BW190" s="3" t="n"/>
      <c r="BX190" s="3" t="n"/>
      <c r="BY190" s="3" t="n"/>
      <c r="BZ190" s="3" t="n"/>
      <c r="CA190" s="3" t="n"/>
      <c r="CB190" s="3" t="n"/>
      <c r="CC190" s="3" t="n"/>
      <c r="CD190" s="3" t="n"/>
      <c r="CE190" s="3" t="n"/>
      <c r="CF190" s="3" t="n"/>
      <c r="CG190" s="3" t="n"/>
      <c r="CH190" s="3" t="n"/>
      <c r="CI190" s="3" t="n"/>
      <c r="CJ190" s="3" t="n"/>
      <c r="CK190" s="3" t="n"/>
      <c r="CL190" s="3" t="n"/>
      <c r="CM190" s="3" t="n"/>
      <c r="CN190" s="3" t="n"/>
      <c r="CO190" s="3" t="n"/>
      <c r="CP190" s="3" t="n"/>
      <c r="CQ190" s="3" t="n"/>
      <c r="CR190" s="3" t="n"/>
      <c r="CS190" s="3" t="n"/>
      <c r="CT190" s="3" t="n"/>
      <c r="CU190" s="3" t="n"/>
      <c r="CV190" s="3" t="n"/>
      <c r="CW190" s="3" t="n"/>
      <c r="CX190" s="3" t="n"/>
      <c r="CY190" s="3" t="n"/>
    </row>
    <row r="191" collapsed="1" customFormat="1" s="17">
      <c r="A191" s="13" t="n"/>
      <c r="B191" s="1" t="n"/>
      <c r="C191" s="14" t="inlineStr">
        <is>
          <t>Total Assets</t>
        </is>
      </c>
      <c r="D191" s="16">
        <f>(D138+D139+D143+D147+D148+D149+D155+D160+D170+D173+D174+D183)</f>
        <v>37250</v>
      </c>
      <c r="E191" s="16">
        <f>(E138+E139+E143+E147+E148+E149+E155+E160+E170+E173+E174+E183)</f>
        <v>38135</v>
      </c>
      <c r="F191" s="16">
        <f>(F138+F139+F143+F147+F148+F149+F155+F160+F170+F173+F174+F183)</f>
        <v>45691</v>
      </c>
      <c r="G191" s="16">
        <f>(G138+G139+G143+G147+G148+G149+G155+G160+G170+G173+G174+G183)</f>
        <v>52148</v>
      </c>
      <c r="H191" s="16">
        <f>SUM(H138,H139,H143,H147,H148,H149,H155,H170,H173,H174,H183,H160)</f>
        <v>52148</v>
      </c>
      <c r="I191" s="16">
        <f>(I138+I139+I143+I147+I148+I149+I155+I160+I170+I173+I174+I183)</f>
        <v>52972</v>
      </c>
      <c r="J191" s="16">
        <f>(J138+J139+J143+J147+J148+J149+J155+J160+J170+J173+J174+J183)</f>
        <v>55146</v>
      </c>
      <c r="K191" s="16">
        <f>(K138+K139+K143+K147+K148+K149+K155+K160+K170+K173+K174+K183)</f>
        <v>57834</v>
      </c>
      <c r="L191" s="16">
        <f>(L138+L139+L143+L147+L148+L149+L155+L160+L170+L173+L174+L183)</f>
        <v>62131</v>
      </c>
      <c r="M191" s="16">
        <f>SUM(M138,M139,M143,M147,M148,M149,M155,M170,M173,M174,M183,M160)</f>
        <v>62131</v>
      </c>
      <c r="N191" s="16">
        <f>(N138+N139+N143+N147+N148+N149+N155+N160+N170+N173+N174+N183)</f>
        <v>66038</v>
      </c>
      <c r="O191" s="16">
        <f>(O138+O139+O143+O147+O148+O149+O155+O160+O170+O173+O174+O183)</f>
        <v>68513</v>
      </c>
      <c r="P191" s="16">
        <f>(P138+P139+P143+P147+P148+P149+P155+P160+P170+P173+P174+P183)</f>
        <v>74426</v>
      </c>
      <c r="Q191" s="16">
        <f>(Q138+Q139+Q143+Q147+Q148+Q149+Q155+Q160+Q170+Q173+Q174+Q183)</f>
        <v>82338</v>
      </c>
      <c r="R191" s="16">
        <f>SUM(R138,R139,R143,R147,R148,R149,R155,R170,R173,R174,R183,R160)</f>
        <v>82338</v>
      </c>
      <c r="S191" s="16">
        <f>(S138+S139+S143+S147+S148+S149+S155+S160+S170+S173+S174+S183)</f>
        <v>86833</v>
      </c>
      <c r="T191" s="16">
        <f>(T138+T139+T143+T147+T148+T149+T155+T160+T170+T173+T174+T183)</f>
        <v>90591</v>
      </c>
      <c r="U191" s="16">
        <f>(U138+U139+U143+U147+U148+U149+U155+U160+U170+U173+U174+U183)</f>
        <v>93941</v>
      </c>
      <c r="V191" s="16">
        <f>(V138+V139+V143+V147+V148+V149+V155+V160+V170+V173+V174+V183)</f>
        <v>106618</v>
      </c>
      <c r="W191" s="16">
        <f>SUM(W138,W139,W143,W147,W148,W149,W155,W170,W173,W174,W183,W160)</f>
        <v>106618</v>
      </c>
      <c r="X191" s="16">
        <f>(X138+X139+X143+X147+X148+X149+X155+X160+X170+X173+X174+X183)</f>
        <v>109226</v>
      </c>
      <c r="Y191" s="16">
        <f>(Y138+Y139+Y143+Y147+Y148+Y149+Y155+Y160+Y170+Y173+Y174+Y183)</f>
        <v>112832</v>
      </c>
      <c r="Z191" s="16">
        <f>(Z138+Z139+Z143+Z147+Z148+Z149+Z155+Z160+Z170+Z173+Z174+Z183)</f>
        <v>119852</v>
      </c>
      <c r="AA191" s="16">
        <f>(AA138+AA139+AA143+AA147+AA148+AA149+AA155+AA160+AA170+AA173+AA174+AA183)</f>
        <v>122070</v>
      </c>
      <c r="AB191" s="16">
        <f>SUM(AB138,AB139,AB143,AB147,AB148,AB149,AB155,AB170,AB173,AB174,AB183,AB160)</f>
        <v>122070</v>
      </c>
      <c r="AC191" s="16">
        <f>(AC138+AC139+AC143+AC147+AC148+AC149+AC155+AC160+AC170+AC173+AC174+AC183)</f>
        <v>125111</v>
      </c>
      <c r="AD191" s="16">
        <f>(AD138+AD139+AD143+AD147+AD148+AD149+AD155+AD160+AD170+AD173+AD174+AD183)</f>
        <v>128567</v>
      </c>
      <c r="AE191" s="16">
        <f>(AE138+AE139+AE143+AE147+AE148+AE149+AE155+AE160+AE170+AE173+AE174+AE183)</f>
        <v>133735</v>
      </c>
      <c r="AF191" s="16">
        <f>(AF138+AF139+AF143+AF147+AF148+AF149+AF155+AF160+AF170+AF173+AF174+AF183)</f>
        <v>137806</v>
      </c>
      <c r="AG191" s="16">
        <f>SUM(AG138,AG139,AG143,AG147,AG148,AG149,AG155,AG170,AG173,AG174,AG183,AG160)</f>
        <v>137806</v>
      </c>
      <c r="AH191" s="16">
        <f>(AH138+AH139+AH143+AH147+AH148+AH149+AH155+AH160+AH170+AH173+AH174+AH183)</f>
        <v>143724</v>
      </c>
      <c r="AI191" s="16">
        <f>(AI138+AI139+AI143+AI147+AI148+AI149+AI155+AI160+AI170+AI173+AI174+AI183)</f>
        <v>148524</v>
      </c>
      <c r="AJ191" s="16">
        <f>(AJ138+AJ139+AJ143+AJ147+AJ148+AJ149+AJ155+AJ160+AJ170+AJ173+AJ174+AJ183)</f>
        <v>133099</v>
      </c>
      <c r="AK191" s="16">
        <f>(AK138+AK139+AK143+AK147+AK148+AK149+AK155+AK160+AK170+AK173+AK174+AK183)</f>
        <v>134111</v>
      </c>
      <c r="AL191" s="16">
        <f>SUM(AL138,AL139,AL143,AL147,AL148,AL149,AL155,AL170,AL173,AL174,AL183,AL160)</f>
        <v>134111</v>
      </c>
      <c r="AM191" s="16" t="e">
        <f>(AM138+AM139+AM143+AM147+AM148+AM149+AM155+AM160+AM170+AM173+AM174+AM183)</f>
        <v>#DIV/0!</v>
      </c>
      <c r="AN191" s="16" t="e">
        <f>(AN138+AN139+AN143+AN147+AN148+AN149+AN155+AN160+AN170+AN173+AN174+AN183)</f>
        <v>#DIV/0!</v>
      </c>
      <c r="AO191" s="16" t="e">
        <f>(AO138+AO139+AO143+AO147+AO148+AO149+AO155+AO160+AO170+AO173+AO174+AO183)</f>
        <v>#DIV/0!</v>
      </c>
      <c r="AP191" s="16" t="e">
        <f>(AP138+AP139+AP143+AP147+AP148+AP149+AP155+AP160+AP170+AP173+AP174+AP183)</f>
        <v>#DIV/0!</v>
      </c>
      <c r="AQ191" s="16" t="e">
        <f>SUM(AQ138,AQ139,AQ143,AQ147,AQ148,AQ149,AQ155,AQ170,AQ173,AQ174,AQ183,AQ160)</f>
        <v>#DIV/0!</v>
      </c>
      <c r="AR191" s="16" t="e">
        <f>(AR138+AR139+AR143+AR147+AR148+AR149+AR155+AR160+AR170+AR173+AR174+AR183)</f>
        <v>#DIV/0!</v>
      </c>
      <c r="AS191" s="16" t="e">
        <f>(AS138+AS139+AS143+AS147+AS148+AS149+AS155+AS160+AS170+AS173+AS174+AS183)</f>
        <v>#DIV/0!</v>
      </c>
      <c r="AT191" s="16" t="e">
        <f>(AT138+AT139+AT143+AT147+AT148+AT149+AT155+AT160+AT170+AT173+AT174+AT183)</f>
        <v>#DIV/0!</v>
      </c>
      <c r="AU191" s="16" t="e">
        <f>(AU138+AU139+AU143+AU147+AU148+AU149+AU155+AU160+AU170+AU173+AU174+AU183)</f>
        <v>#DIV/0!</v>
      </c>
      <c r="AV191" s="16" t="e">
        <f>SUM(AV138,AV139,AV143,AV147,AV148,AV149,AV155,AV170,AV173,AV174,AV183,AV160)</f>
        <v>#DIV/0!</v>
      </c>
      <c r="AW191" s="16" t="e">
        <f>(AW138+AW139+AW143+AW147+AW148+AW149+AW155+AW160+AW170+AW173+AW174+AW183)</f>
        <v>#DIV/0!</v>
      </c>
      <c r="AX191" s="16" t="e">
        <f>(AX138+AX139+AX143+AX147+AX148+AX149+AX155+AX160+AX170+AX173+AX174+AX183)</f>
        <v>#DIV/0!</v>
      </c>
      <c r="AY191" s="16" t="e">
        <f>(AY138+AY139+AY143+AY147+AY148+AY149+AY155+AY160+AY170+AY173+AY174+AY183)</f>
        <v>#DIV/0!</v>
      </c>
      <c r="AZ191" s="16" t="e">
        <f>(AZ138+AZ139+AZ143+AZ147+AZ148+AZ149+AZ155+AZ160+AZ170+AZ173+AZ174+AZ183)</f>
        <v>#DIV/0!</v>
      </c>
      <c r="BA191" s="16" t="e">
        <f>SUM(BA138,BA139,BA143,BA147,BA148,BA149,BA155,BA170,BA173,BA174,BA183,BA160)</f>
        <v>#DIV/0!</v>
      </c>
      <c r="BB191" s="16" t="e">
        <f>(BB138+BB139+BB143+BB147+BB148+BB149+BB155+BB160+BB170+BB173+BB174+BB183)</f>
        <v>#DIV/0!</v>
      </c>
      <c r="BC191" s="16" t="e">
        <f>(BC138+BC139+BC143+BC147+BC148+BC149+BC155+BC160+BC170+BC173+BC174+BC183)</f>
        <v>#DIV/0!</v>
      </c>
      <c r="BD191" s="16" t="e">
        <f>(BD138+BD139+BD143+BD147+BD148+BD149+BD155+BD160+BD170+BD173+BD174+BD183)</f>
        <v>#DIV/0!</v>
      </c>
      <c r="BE191" s="16" t="e">
        <f>(BE138+BE139+BE143+BE147+BE148+BE149+BE155+BE160+BE170+BE173+BE174+BE183)</f>
        <v>#DIV/0!</v>
      </c>
      <c r="BF191" s="16" t="e">
        <f>SUM(BF138,BF139,BF143,BF147,BF148,BF149,BF155,BF170,BF173,BF174,BF183,BF160)</f>
        <v>#DIV/0!</v>
      </c>
      <c r="BG191" s="16" t="e">
        <f>(BG138+BG139+BG143+BG147+BG148+BG149+BG155+BG160+BG170+BG173+BG174+BG183)</f>
        <v>#DIV/0!</v>
      </c>
      <c r="BH191" s="16" t="e">
        <f>(BH138+BH139+BH143+BH147+BH148+BH149+BH155+BH160+BH170+BH173+BH174+BH183)</f>
        <v>#DIV/0!</v>
      </c>
      <c r="BI191" s="16" t="e">
        <f>(BI138+BI139+BI143+BI147+BI148+BI149+BI155+BI160+BI170+BI173+BI174+BI183)</f>
        <v>#DIV/0!</v>
      </c>
      <c r="BJ191" s="16" t="e">
        <f>(BJ138+BJ139+BJ143+BJ147+BJ148+BJ149+BJ155+BJ160+BJ170+BJ173+BJ174+BJ183)</f>
        <v>#DIV/0!</v>
      </c>
      <c r="BK191" s="16" t="e">
        <f>SUM(BK138,BK139,BK143,BK147,BK148,BK149,BK155,BK170,BK173,BK174,BK183,BK160)</f>
        <v>#DIV/0!</v>
      </c>
      <c r="BL191" s="16" t="e">
        <f>(BL138+BL139+BL143+BL147+BL148+BL149+BL155+BL160+BL170+BL173+BL174+BL183)</f>
        <v>#DIV/0!</v>
      </c>
      <c r="BM191" s="16" t="e">
        <f>(BM138+BM139+BM143+BM147+BM148+BM149+BM155+BM160+BM170+BM173+BM174+BM183)</f>
        <v>#DIV/0!</v>
      </c>
      <c r="BN191" s="16" t="e">
        <f>(BN138+BN139+BN143+BN147+BN148+BN149+BN155+BN160+BN170+BN173+BN174+BN183)</f>
        <v>#DIV/0!</v>
      </c>
      <c r="BO191" s="16" t="e">
        <f>(BO138+BO139+BO143+BO147+BO148+BO149+BO155+BO160+BO170+BO173+BO174+BO183)</f>
        <v>#DIV/0!</v>
      </c>
      <c r="BP191" s="16" t="e">
        <f>SUM(BP138,BP139,BP143,BP147,BP148,BP149,BP155,BP170,BP173,BP174,BP183,BP160)</f>
        <v>#DIV/0!</v>
      </c>
      <c r="BQ191" s="16" t="e">
        <f>(BQ138+BQ139+BQ143+BQ147+BQ148+BQ149+BQ155+BQ160+BQ170+BQ173+BQ174+BQ183)</f>
        <v>#DIV/0!</v>
      </c>
      <c r="BR191" s="16" t="e">
        <f>(BR138+BR139+BR143+BR147+BR148+BR149+BR155+BR160+BR170+BR173+BR174+BR183)</f>
        <v>#DIV/0!</v>
      </c>
      <c r="BS191" s="16" t="e">
        <f>(BS138+BS139+BS143+BS147+BS148+BS149+BS155+BS160+BS170+BS173+BS174+BS183)</f>
        <v>#DIV/0!</v>
      </c>
      <c r="BT191" s="16" t="e">
        <f>(BT138+BT139+BT143+BT147+BT148+BT149+BT155+BT160+BT170+BT173+BT174+BT183)</f>
        <v>#DIV/0!</v>
      </c>
      <c r="BU191" s="16" t="e">
        <f>SUM(BU138,BU139,BU143,BU147,BU148,BU149,BU155,BU170,BU173,BU174,BU183,BU160)</f>
        <v>#DIV/0!</v>
      </c>
      <c r="BV191" s="16" t="e">
        <f>(BV138+BV139+BV143+BV147+BV148+BV149+BV155+BV160+BV170+BV173+BV174+BV183)</f>
        <v>#DIV/0!</v>
      </c>
      <c r="BW191" s="16" t="e">
        <f>(BW138+BW139+BW143+BW147+BW148+BW149+BW155+BW160+BW170+BW173+BW174+BW183)</f>
        <v>#DIV/0!</v>
      </c>
      <c r="BX191" s="16" t="e">
        <f>(BX138+BX139+BX143+BX147+BX148+BX149+BX155+BX160+BX170+BX173+BX174+BX183)</f>
        <v>#DIV/0!</v>
      </c>
      <c r="BY191" s="16" t="e">
        <f>(BY138+BY139+BY143+BY147+BY148+BY149+BY155+BY160+BY170+BY173+BY174+BY183)</f>
        <v>#DIV/0!</v>
      </c>
      <c r="BZ191" s="16" t="e">
        <f>SUM(BZ138,BZ139,BZ143,BZ147,BZ148,BZ149,BZ155,BZ170,BZ173,BZ174,BZ183,BZ160)</f>
        <v>#DIV/0!</v>
      </c>
      <c r="CA191" s="16" t="e">
        <f>(CA138+CA139+CA143+CA147+CA148+CA149+CA155+CA160+CA170+CA173+CA174+CA183)</f>
        <v>#DIV/0!</v>
      </c>
      <c r="CB191" s="16" t="e">
        <f>(CB138+CB139+CB143+CB147+CB148+CB149+CB155+CB160+CB170+CB173+CB174+CB183)</f>
        <v>#DIV/0!</v>
      </c>
      <c r="CC191" s="16" t="e">
        <f>(CC138+CC139+CC143+CC147+CC148+CC149+CC155+CC160+CC170+CC173+CC174+CC183)</f>
        <v>#DIV/0!</v>
      </c>
      <c r="CD191" s="16" t="e">
        <f>(CD138+CD139+CD143+CD147+CD148+CD149+CD155+CD160+CD170+CD173+CD174+CD183)</f>
        <v>#DIV/0!</v>
      </c>
      <c r="CE191" s="16" t="e">
        <f>SUM(CE138,CE139,CE143,CE147,CE148,CE149,CE155,CE170,CE173,CE174,CE183,CE160)</f>
        <v>#DIV/0!</v>
      </c>
      <c r="CF191" s="16" t="e">
        <f>(CF138+CF139+CF143+CF147+CF148+CF149+CF155+CF160+CF170+CF173+CF174+CF183)</f>
        <v>#DIV/0!</v>
      </c>
      <c r="CG191" s="16" t="e">
        <f>(CG138+CG139+CG143+CG147+CG148+CG149+CG155+CG160+CG170+CG173+CG174+CG183)</f>
        <v>#DIV/0!</v>
      </c>
      <c r="CH191" s="16" t="e">
        <f>(CH138+CH139+CH143+CH147+CH148+CH149+CH155+CH160+CH170+CH173+CH174+CH183)</f>
        <v>#DIV/0!</v>
      </c>
      <c r="CI191" s="16" t="e">
        <f>(CI138+CI139+CI143+CI147+CI148+CI149+CI155+CI160+CI170+CI173+CI174+CI183)</f>
        <v>#DIV/0!</v>
      </c>
      <c r="CJ191" s="16" t="e">
        <f>SUM(CJ138,CJ139,CJ143,CJ147,CJ148,CJ149,CJ155,CJ170,CJ173,CJ174,CJ183,CJ160)</f>
        <v>#DIV/0!</v>
      </c>
      <c r="CK191" s="16" t="e">
        <f>(CK138+CK139+CK143+CK147+CK148+CK149+CK155+CK160+CK170+CK173+CK174+CK183)</f>
        <v>#DIV/0!</v>
      </c>
      <c r="CL191" s="16" t="e">
        <f>(CL138+CL139+CL143+CL147+CL148+CL149+CL155+CL160+CL170+CL173+CL174+CL183)</f>
        <v>#DIV/0!</v>
      </c>
      <c r="CM191" s="16" t="e">
        <f>(CM138+CM139+CM143+CM147+CM148+CM149+CM155+CM160+CM170+CM173+CM174+CM183)</f>
        <v>#DIV/0!</v>
      </c>
      <c r="CN191" s="16" t="e">
        <f>(CN138+CN139+CN143+CN147+CN148+CN149+CN155+CN160+CN170+CN173+CN174+CN183)</f>
        <v>#DIV/0!</v>
      </c>
      <c r="CO191" s="16" t="e">
        <f>SUM(CO138,CO139,CO143,CO147,CO148,CO149,CO155,CO170,CO173,CO174,CO183,CO160)</f>
        <v>#DIV/0!</v>
      </c>
      <c r="CP191" s="16" t="e">
        <f>(CP138+CP139+CP143+CP147+CP148+CP149+CP155+CP160+CP170+CP173+CP174+CP183)</f>
        <v>#DIV/0!</v>
      </c>
      <c r="CQ191" s="16" t="e">
        <f>(CQ138+CQ139+CQ143+CQ147+CQ148+CQ149+CQ155+CQ160+CQ170+CQ173+CQ174+CQ183)</f>
        <v>#DIV/0!</v>
      </c>
      <c r="CR191" s="16" t="e">
        <f>(CR138+CR139+CR143+CR147+CR148+CR149+CR155+CR160+CR170+CR173+CR174+CR183)</f>
        <v>#DIV/0!</v>
      </c>
      <c r="CS191" s="16" t="e">
        <f>(CS138+CS139+CS143+CS147+CS148+CS149+CS155+CS160+CS170+CS173+CS174+CS183)</f>
        <v>#DIV/0!</v>
      </c>
      <c r="CT191" s="16" t="e">
        <f>SUM(CT138,CT139,CT143,CT147,CT148,CT149,CT155,CT170,CT173,CT174,CT183,CT160)</f>
        <v>#DIV/0!</v>
      </c>
      <c r="CU191" s="16" t="e">
        <f>(CU138+CU139+CU143+CU147+CU148+CU149+CU155+CU160+CU170+CU173+CU174+CU183)</f>
        <v>#DIV/0!</v>
      </c>
      <c r="CV191" s="16" t="e">
        <f>(CV138+CV139+CV143+CV147+CV148+CV149+CV155+CV160+CV170+CV173+CV174+CV183)</f>
        <v>#DIV/0!</v>
      </c>
      <c r="CW191" s="16" t="e">
        <f>(CW138+CW139+CW143+CW147+CW148+CW149+CW155+CW160+CW170+CW173+CW174+CW183)</f>
        <v>#DIV/0!</v>
      </c>
      <c r="CX191" s="16" t="e">
        <f>(CX138+CX139+CX143+CX147+CX148+CX149+CX155+CX160+CX170+CX173+CX174+CX183)</f>
        <v>#DIV/0!</v>
      </c>
      <c r="CY191" s="16" t="e">
        <f>SUM(CY138,CY139,CY143,CY147,CY148,CY149,CY155,CY170,CY173,CY174,CY183,CY160)</f>
        <v>#DIV/0!</v>
      </c>
    </row>
    <row r="192">
      <c r="C192" s="26" t="inlineStr">
        <is>
          <t>Accounts payable</t>
        </is>
      </c>
      <c r="D192" s="25">
        <f>INDEX('Inputs (2)'!$D$28:$AL$28,MATCH(D$7,'Inputs (2)'!$D$2:$AL$2,0))</f>
        <v>3970</v>
      </c>
      <c r="E192" s="25">
        <f>INDEX('Inputs (2)'!$D$28:$AL$28,MATCH(E$7,'Inputs (2)'!$D$2:$AL$2,0))</f>
        <v>3638</v>
      </c>
      <c r="F192" s="25">
        <f>INDEX('Inputs (2)'!$D$28:$AL$28,MATCH(F$7,'Inputs (2)'!$D$2:$AL$2,0))</f>
        <v>4958</v>
      </c>
      <c r="G192" s="25">
        <f>INDEX('Inputs (2)'!$D$28:$AL$28,MATCH(G$7,'Inputs (2)'!$D$2:$AL$2,0))</f>
        <v>6051</v>
      </c>
      <c r="H192" s="3">
        <f>G192</f>
        <v>6051</v>
      </c>
      <c r="I192" s="25">
        <f>INDEX('Inputs (2)'!$D$28:$AL$28,MATCH(I$7,'Inputs (2)'!$D$2:$AL$2,0))</f>
        <v>6648</v>
      </c>
      <c r="J192" s="25">
        <f>INDEX('Inputs (2)'!$D$28:$AL$28,MATCH(J$7,'Inputs (2)'!$D$2:$AL$2,0))</f>
        <v>7558</v>
      </c>
      <c r="K192" s="25">
        <f>INDEX('Inputs (2)'!$D$28:$AL$28,MATCH(K$7,'Inputs (2)'!$D$2:$AL$2,0))</f>
        <v>8260</v>
      </c>
      <c r="L192" s="25">
        <f>INDEX('Inputs (2)'!$D$28:$AL$28,MATCH(L$7,'Inputs (2)'!$D$2:$AL$2,0))</f>
        <v>10025</v>
      </c>
      <c r="M192" s="3">
        <f>L192</f>
        <v>10025</v>
      </c>
      <c r="N192" s="25">
        <f>INDEX('Inputs (2)'!$D$28:$AL$28,MATCH(N$7,'Inputs (2)'!$D$2:$AL$2,0))</f>
        <v>11171</v>
      </c>
      <c r="O192" s="25">
        <f>INDEX('Inputs (2)'!$D$28:$AL$28,MATCH(O$7,'Inputs (2)'!$D$2:$AL$2,0))</f>
        <v>11212</v>
      </c>
      <c r="P192" s="25">
        <f>INDEX('Inputs (2)'!$D$28:$AL$28,MATCH(P$7,'Inputs (2)'!$D$2:$AL$2,0))</f>
        <v>13897</v>
      </c>
      <c r="Q192" s="25">
        <f>INDEX('Inputs (2)'!$D$28:$AL$28,MATCH(Q$7,'Inputs (2)'!$D$2:$AL$2,0))</f>
        <v>15255</v>
      </c>
      <c r="R192" s="3">
        <f>Q192</f>
        <v>15255</v>
      </c>
      <c r="S192" s="25">
        <f>INDEX('Inputs (2)'!$D$28:$AL$28,MATCH(S$7,'Inputs (2)'!$D$2:$AL$2,0))</f>
        <v>15904</v>
      </c>
      <c r="T192" s="25">
        <f>INDEX('Inputs (2)'!$D$28:$AL$28,MATCH(T$7,'Inputs (2)'!$D$2:$AL$2,0))</f>
        <v>15273</v>
      </c>
      <c r="U192" s="25">
        <f>INDEX('Inputs (2)'!$D$28:$AL$28,MATCH(U$7,'Inputs (2)'!$D$2:$AL$2,0))</f>
        <v>13937</v>
      </c>
      <c r="V192" s="25">
        <f>INDEX('Inputs (2)'!$D$28:$AL$28,MATCH(V$7,'Inputs (2)'!$D$2:$AL$2,0))</f>
        <v>14431</v>
      </c>
      <c r="W192" s="3">
        <f>V192</f>
        <v>14431</v>
      </c>
      <c r="X192" s="25">
        <f>INDEX('Inputs (2)'!$D$28:$AL$28,MATCH(X$7,'Inputs (2)'!$D$2:$AL$2,0))</f>
        <v>14725</v>
      </c>
      <c r="Y192" s="25">
        <f>INDEX('Inputs (2)'!$D$28:$AL$28,MATCH(Y$7,'Inputs (2)'!$D$2:$AL$2,0))</f>
        <v>13056</v>
      </c>
      <c r="Z192" s="25">
        <f>INDEX('Inputs (2)'!$D$28:$AL$28,MATCH(Z$7,'Inputs (2)'!$D$2:$AL$2,0))</f>
        <v>14654</v>
      </c>
      <c r="AA192" s="25">
        <f>INDEX('Inputs (2)'!$D$28:$AL$28,MATCH(AA$7,'Inputs (2)'!$D$2:$AL$2,0))</f>
        <v>12474</v>
      </c>
      <c r="AB192" s="3">
        <f>AA192</f>
        <v>12474</v>
      </c>
      <c r="AC192" s="25">
        <f>INDEX('Inputs (2)'!$D$28:$AL$28,MATCH(AC$7,'Inputs (2)'!$D$2:$AL$2,0))</f>
        <v>13471</v>
      </c>
      <c r="AD192" s="25">
        <f>INDEX('Inputs (2)'!$D$28:$AL$28,MATCH(AD$7,'Inputs (2)'!$D$2:$AL$2,0))</f>
        <v>13212</v>
      </c>
      <c r="AE192" s="25">
        <f>INDEX('Inputs (2)'!$D$28:$AL$28,MATCH(AE$7,'Inputs (2)'!$D$2:$AL$2,0))</f>
        <v>12819</v>
      </c>
      <c r="AF192" s="25">
        <f>INDEX('Inputs (2)'!$D$28:$AL$28,MATCH(AF$7,'Inputs (2)'!$D$2:$AL$2,0))</f>
        <v>13371</v>
      </c>
      <c r="AG192" s="3">
        <f>AF192</f>
        <v>13371</v>
      </c>
      <c r="AH192" s="3">
        <f>INDEX('Inputs (2)'!$D$28:$AL$28,MATCH(AH$7,'Inputs (2)'!$D$2:$AL$2,0))</f>
        <v>14696</v>
      </c>
      <c r="AI192" s="3">
        <f>INDEX('Inputs (2)'!$D$28:$AL$28,MATCH(AI$7,'Inputs (2)'!$D$2:$AL$2,0))</f>
        <v>15324</v>
      </c>
      <c r="AJ192" s="3">
        <f>(AJ193/(AJ$5-AI$5))*-AJ48</f>
        <v>0</v>
      </c>
      <c r="AK192" s="3">
        <f>(AK193/(AK$5-AJ$5))*-AK48</f>
        <v>0</v>
      </c>
      <c r="AL192" s="3">
        <f>AK192</f>
        <v>0</v>
      </c>
      <c r="AM192" s="3">
        <f>(AM193/(AM$5-AL$5))*-AM48</f>
        <v>0</v>
      </c>
      <c r="AN192" s="3">
        <f>(AN193/(AN$5-AM$5))*-AN48</f>
        <v>0</v>
      </c>
      <c r="AO192" s="3">
        <f>(AO193/(AO$5-AN$5))*-AO48</f>
        <v>0</v>
      </c>
      <c r="AP192" s="3">
        <f>(AP193/(AP$5-AO$5))*-AP48</f>
        <v>0</v>
      </c>
      <c r="AQ192" s="3">
        <f>AP192</f>
        <v>0</v>
      </c>
      <c r="AR192" s="3">
        <f>(AR193/(AR$5-AQ$5))*-AR48</f>
        <v>0</v>
      </c>
      <c r="AS192" s="3">
        <f>(AS193/(AS$5-AR$5))*-AS48</f>
        <v>0</v>
      </c>
      <c r="AT192" s="3">
        <f>(AT193/(AT$5-AS$5))*-AT48</f>
        <v>0</v>
      </c>
      <c r="AU192" s="3">
        <f>(AU193/(AU$5-AT$5))*-AU48</f>
        <v>0</v>
      </c>
      <c r="AV192" s="3">
        <f>AU192</f>
        <v>0</v>
      </c>
      <c r="AW192" s="3">
        <f>(AW193/(AW$5-AV$5))*-AW48</f>
        <v>0</v>
      </c>
      <c r="AX192" s="3">
        <f>(AX193/(AX$5-AW$5))*-AX48</f>
        <v>0</v>
      </c>
      <c r="AY192" s="3">
        <f>(AY193/(AY$5-AX$5))*-AY48</f>
        <v>0</v>
      </c>
      <c r="AZ192" s="3">
        <f>(AZ193/(AZ$5-AY$5))*-AZ48</f>
        <v>0</v>
      </c>
      <c r="BA192" s="3">
        <f>AZ192</f>
        <v>0</v>
      </c>
      <c r="BB192" s="3">
        <f>(BB193/(BB$5-BA$5))*-BB48</f>
        <v>0</v>
      </c>
      <c r="BC192" s="3">
        <f>(BC193/(BC$5-BB$5))*-BC48</f>
        <v>0</v>
      </c>
      <c r="BD192" s="3">
        <f>(BD193/(BD$5-BC$5))*-BD48</f>
        <v>0</v>
      </c>
      <c r="BE192" s="3">
        <f>(BE193/(BE$5-BD$5))*-BE48</f>
        <v>0</v>
      </c>
      <c r="BF192" s="3">
        <f>BE192</f>
        <v>0</v>
      </c>
      <c r="BG192" s="3">
        <f>(BG193/(BG$5-BF$5))*-BG48</f>
        <v>0</v>
      </c>
      <c r="BH192" s="3">
        <f>(BH193/(BH$5-BG$5))*-BH48</f>
        <v>0</v>
      </c>
      <c r="BI192" s="3">
        <f>(BI193/(BI$5-BH$5))*-BI48</f>
        <v>0</v>
      </c>
      <c r="BJ192" s="3">
        <f>(BJ193/(BJ$5-BI$5))*-BJ48</f>
        <v>0</v>
      </c>
      <c r="BK192" s="3">
        <f>BJ192</f>
        <v>0</v>
      </c>
      <c r="BL192" s="3">
        <f>(BL193/(BL$5-BK$5))*-BL48</f>
        <v>0</v>
      </c>
      <c r="BM192" s="3">
        <f>(BM193/(BM$5-BL$5))*-BM48</f>
        <v>0</v>
      </c>
      <c r="BN192" s="3">
        <f>(BN193/(BN$5-BM$5))*-BN48</f>
        <v>0</v>
      </c>
      <c r="BO192" s="3">
        <f>(BO193/(BO$5-BN$5))*-BO48</f>
        <v>0</v>
      </c>
      <c r="BP192" s="3">
        <f>BO192</f>
        <v>0</v>
      </c>
      <c r="BQ192" s="3">
        <f>(BQ193/(BQ$5-BP$5))*-BQ48</f>
        <v>0</v>
      </c>
      <c r="BR192" s="3">
        <f>(BR193/(BR$5-BQ$5))*-BR48</f>
        <v>0</v>
      </c>
      <c r="BS192" s="3">
        <f>(BS193/(BS$5-BR$5))*-BS48</f>
        <v>0</v>
      </c>
      <c r="BT192" s="3">
        <f>(BT193/(BT$5-BS$5))*-BT48</f>
        <v>0</v>
      </c>
      <c r="BU192" s="3">
        <f>BT192</f>
        <v>0</v>
      </c>
      <c r="BV192" s="3">
        <f>(BV193/(BV$5-BU$5))*-BV48</f>
        <v>0</v>
      </c>
      <c r="BW192" s="3">
        <f>(BW193/(BW$5-BV$5))*-BW48</f>
        <v>0</v>
      </c>
      <c r="BX192" s="3">
        <f>(BX193/(BX$5-BW$5))*-BX48</f>
        <v>0</v>
      </c>
      <c r="BY192" s="3">
        <f>(BY193/(BY$5-BX$5))*-BY48</f>
        <v>0</v>
      </c>
      <c r="BZ192" s="3">
        <f>BY192</f>
        <v>0</v>
      </c>
      <c r="CA192" s="3">
        <f>(CA193/(CA$5-BZ$5))*-CA48</f>
        <v>0</v>
      </c>
      <c r="CB192" s="3">
        <f>(CB193/(CB$5-CA$5))*-CB48</f>
        <v>0</v>
      </c>
      <c r="CC192" s="3">
        <f>(CC193/(CC$5-CB$5))*-CC48</f>
        <v>0</v>
      </c>
      <c r="CD192" s="3">
        <f>(CD193/(CD$5-CC$5))*-CD48</f>
        <v>0</v>
      </c>
      <c r="CE192" s="3">
        <f>CD192</f>
        <v>0</v>
      </c>
      <c r="CF192" s="3">
        <f>(CF193/(CF$5-CE$5))*-CF48</f>
        <v>0</v>
      </c>
      <c r="CG192" s="3">
        <f>(CG193/(CG$5-CF$5))*-CG48</f>
        <v>0</v>
      </c>
      <c r="CH192" s="3">
        <f>(CH193/(CH$5-CG$5))*-CH48</f>
        <v>0</v>
      </c>
      <c r="CI192" s="3">
        <f>(CI193/(CI$5-CH$5))*-CI48</f>
        <v>0</v>
      </c>
      <c r="CJ192" s="3">
        <f>CI192</f>
        <v>0</v>
      </c>
      <c r="CK192" s="3">
        <f>(CK193/(CK$5-CJ$5))*-CK48</f>
        <v>0</v>
      </c>
      <c r="CL192" s="3">
        <f>(CL193/(CL$5-CK$5))*-CL48</f>
        <v>0</v>
      </c>
      <c r="CM192" s="3">
        <f>(CM193/(CM$5-CL$5))*-CM48</f>
        <v>0</v>
      </c>
      <c r="CN192" s="3">
        <f>(CN193/(CN$5-CM$5))*-CN48</f>
        <v>0</v>
      </c>
      <c r="CO192" s="3">
        <f>CN192</f>
        <v>0</v>
      </c>
      <c r="CP192" s="3">
        <f>(CP193/(CP$5-CO$5))*-CP48</f>
        <v>0</v>
      </c>
      <c r="CQ192" s="3">
        <f>(CQ193/(CQ$5-CP$5))*-CQ48</f>
        <v>0</v>
      </c>
      <c r="CR192" s="3">
        <f>(CR193/(CR$5-CQ$5))*-CR48</f>
        <v>0</v>
      </c>
      <c r="CS192" s="3">
        <f>(CS193/(CS$5-CR$5))*-CS48</f>
        <v>0</v>
      </c>
      <c r="CT192" s="3">
        <f>CS192</f>
        <v>0</v>
      </c>
      <c r="CU192" s="3">
        <f>(CU193/(CU$5-CT$5))*-CU48</f>
        <v>0</v>
      </c>
      <c r="CV192" s="3">
        <f>(CV193/(CV$5-CU$5))*-CV48</f>
        <v>0</v>
      </c>
      <c r="CW192" s="3">
        <f>(CW193/(CW$5-CV$5))*-CW48</f>
        <v>0</v>
      </c>
      <c r="CX192" s="3">
        <f>(CX193/(CX$5-CW$5))*-CX48</f>
        <v>0</v>
      </c>
      <c r="CY192" s="3">
        <f>CX192</f>
        <v>0</v>
      </c>
    </row>
    <row r="193" hidden="1" outlineLevel="1">
      <c r="C193" s="34" t="inlineStr">
        <is>
          <t>DPO</t>
        </is>
      </c>
      <c r="D193" s="3" t="n"/>
      <c r="E193" s="3">
        <f>-(E192/E$48)*(E$5-D$5)</f>
        <v>69.4187460683582</v>
      </c>
      <c r="F193" s="3">
        <f>-(F192/F$48)*(F$5-E$5)</f>
        <v>67.9988073941562</v>
      </c>
      <c r="G193" s="3">
        <f>-(G192/G$48)*(G$5-F$5)</f>
        <v>64.1498041023277</v>
      </c>
      <c r="H193" s="3" t="n"/>
      <c r="I193" s="3">
        <f>-(I192/I$48)*(I$5-H$5)</f>
        <v>73.1979447027159</v>
      </c>
      <c r="J193" s="3">
        <f>-(J192/J$48)*(J$5-I$5)</f>
        <v>75.7965616045845</v>
      </c>
      <c r="K193" s="3">
        <f>-(K192/K$48)*(K$5-J$5)</f>
        <v>75.2619589977221</v>
      </c>
      <c r="L193" s="3">
        <f>-(L192/L$48)*(L$5-K$5)</f>
        <v>71.6516469857054</v>
      </c>
      <c r="M193" s="3" t="n"/>
      <c r="N193" s="3">
        <f>-(N192/N$48)*(N$5-M$5)</f>
        <v>75.6159747292419</v>
      </c>
      <c r="O193" s="3">
        <f>-(O192/O$48)*(O$5-N$5)</f>
        <v>80.3379527559055</v>
      </c>
      <c r="P193" s="3">
        <f>-(P192/P$48)*(P$5-O$5)</f>
        <v>79.5497760079642</v>
      </c>
      <c r="Q193" s="3">
        <f>-(Q192/Q$48)*(Q$5-P$5)</f>
        <v>75.6949463351491</v>
      </c>
      <c r="R193" s="3" t="n"/>
      <c r="S193" s="3">
        <f>-(S192/S$48)*(S$5-R$5)</f>
        <v>76.0633436071846</v>
      </c>
      <c r="T193" s="3">
        <f>-(T192/T$48)*(T$5-S$5)</f>
        <v>68.1496028243601</v>
      </c>
      <c r="U193" s="3">
        <f>-(U192/U$48)*(U$5-T$5)</f>
        <v>66.878990194033</v>
      </c>
      <c r="V193" s="3">
        <f>-(V192/V$48)*(V$5-U$5)</f>
        <v>64.0480486275267</v>
      </c>
      <c r="W193" s="3" t="n"/>
      <c r="X193" s="3">
        <f>-(X192/X$48)*(X$5-W$5)</f>
        <v>76.1133200795229</v>
      </c>
      <c r="Y193" s="3">
        <f>-(Y192/Y$48)*(Y$5-X$5)</f>
        <v>56.7869228563235</v>
      </c>
      <c r="Z193" s="3">
        <f>-(Z192/Z$48)*(Z$5-Y$5)</f>
        <v>66.7905870696062</v>
      </c>
      <c r="AA193" s="3">
        <f>-(AA192/AA$48)*(AA$5-Z$5)</f>
        <v>53.3076923076923</v>
      </c>
      <c r="AB193" s="3" t="n"/>
      <c r="AC193" s="3">
        <f>-(AC192/AC$48)*(AC$5-AB$5)</f>
        <v>74.9221357063404</v>
      </c>
      <c r="AD193" s="3">
        <f>-(AD192/AD$48)*(AD$5-AC$5)</f>
        <v>64.5768611021592</v>
      </c>
      <c r="AE193" s="3">
        <f>-(AE192/AE$48)*(AE$5-AD$5)</f>
        <v>51.1847576060067</v>
      </c>
      <c r="AF193" s="6">
        <f>-(AF192/AF$48)*(AF$5-AE$5)</f>
        <v>61.8405389101146</v>
      </c>
      <c r="AG193" s="3" t="n"/>
      <c r="AH193" s="6">
        <f>-(AH192/AH$48)*(AH$5-AG$5)</f>
        <v>74.8650025471218</v>
      </c>
      <c r="AI193" s="6">
        <f>-(AI192/AI$48)*(AI$5-AH$5)</f>
        <v>59.3776453055142</v>
      </c>
      <c r="AJ193" s="6" t="n"/>
      <c r="AK193" s="6" t="n"/>
      <c r="AL193" s="3" t="n"/>
      <c r="AM193" s="6" t="n"/>
      <c r="AN193" s="6" t="n"/>
      <c r="AO193" s="6" t="n"/>
      <c r="AP193" s="6" t="n"/>
      <c r="AQ193" s="3" t="n"/>
      <c r="AR193" s="6" t="n"/>
      <c r="AS193" s="6" t="n"/>
      <c r="AT193" s="6" t="n"/>
      <c r="AU193" s="6" t="n"/>
      <c r="AV193" s="3" t="n"/>
      <c r="AW193" s="6" t="n"/>
      <c r="AX193" s="6" t="n"/>
      <c r="AY193" s="6" t="n"/>
      <c r="AZ193" s="6" t="n"/>
      <c r="BA193" s="3" t="n"/>
      <c r="BB193" s="6" t="n"/>
      <c r="BC193" s="6" t="n"/>
      <c r="BD193" s="6" t="n"/>
      <c r="BE193" s="6" t="n"/>
      <c r="BF193" s="3" t="n"/>
      <c r="BG193" s="6" t="n"/>
      <c r="BH193" s="6" t="n"/>
      <c r="BI193" s="6" t="n"/>
      <c r="BJ193" s="6" t="n"/>
      <c r="BK193" s="3" t="n"/>
      <c r="BL193" s="6" t="n"/>
      <c r="BM193" s="6" t="n"/>
      <c r="BN193" s="6" t="n"/>
      <c r="BO193" s="6" t="n"/>
      <c r="BP193" s="3" t="n"/>
      <c r="BQ193" s="6" t="n"/>
      <c r="BR193" s="6" t="n"/>
      <c r="BS193" s="6" t="n"/>
      <c r="BT193" s="6" t="n"/>
      <c r="BU193" s="3" t="n"/>
      <c r="BV193" s="6" t="n"/>
      <c r="BW193" s="6" t="n"/>
      <c r="BX193" s="6" t="n"/>
      <c r="BY193" s="6" t="n"/>
      <c r="BZ193" s="3" t="n"/>
      <c r="CA193" s="6" t="n"/>
      <c r="CB193" s="6" t="n"/>
      <c r="CC193" s="6" t="n"/>
      <c r="CD193" s="6" t="n"/>
      <c r="CE193" s="3" t="n"/>
      <c r="CF193" s="6" t="n"/>
      <c r="CG193" s="6" t="n"/>
      <c r="CH193" s="6" t="n"/>
      <c r="CI193" s="6" t="n"/>
      <c r="CJ193" s="3" t="n"/>
      <c r="CK193" s="6" t="n"/>
      <c r="CL193" s="6" t="n"/>
      <c r="CM193" s="6" t="n"/>
      <c r="CN193" s="6" t="n"/>
      <c r="CO193" s="3" t="n"/>
      <c r="CP193" s="6" t="n"/>
      <c r="CQ193" s="6" t="n"/>
      <c r="CR193" s="6" t="n"/>
      <c r="CS193" s="6" t="n"/>
      <c r="CT193" s="3" t="n"/>
      <c r="CU193" s="6" t="n"/>
      <c r="CV193" s="6" t="n"/>
      <c r="CW193" s="6" t="n"/>
      <c r="CX193" s="6" t="n"/>
      <c r="CY193" s="3" t="n"/>
    </row>
    <row r="194" hidden="1" outlineLevel="1">
      <c r="C194" s="34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3" t="n"/>
      <c r="AD194" s="3" t="n"/>
      <c r="AE194" s="3" t="n"/>
      <c r="AF194" s="3" t="n"/>
      <c r="AG194" s="3" t="n"/>
      <c r="AH194" s="3" t="n"/>
      <c r="AI194" s="3" t="n"/>
      <c r="AJ194" s="3" t="n"/>
      <c r="AK194" s="3" t="n"/>
      <c r="AL194" s="3" t="n"/>
      <c r="AM194" s="3" t="n"/>
      <c r="AN194" s="3" t="n"/>
      <c r="AO194" s="3" t="n"/>
      <c r="AP194" s="3" t="n"/>
      <c r="AQ194" s="3" t="n"/>
      <c r="AR194" s="3" t="n"/>
      <c r="AS194" s="3" t="n"/>
      <c r="AT194" s="3" t="n"/>
      <c r="AU194" s="3" t="n"/>
      <c r="AV194" s="3" t="n"/>
      <c r="AW194" s="3" t="n"/>
      <c r="AX194" s="3" t="n"/>
      <c r="AY194" s="3" t="n"/>
      <c r="AZ194" s="3" t="n"/>
      <c r="BA194" s="3" t="n"/>
      <c r="BB194" s="3" t="n"/>
      <c r="BC194" s="3" t="n"/>
      <c r="BD194" s="3" t="n"/>
      <c r="BE194" s="3" t="n"/>
      <c r="BF194" s="3" t="n"/>
      <c r="BG194" s="3" t="n"/>
      <c r="BH194" s="3" t="n"/>
      <c r="BI194" s="3" t="n"/>
      <c r="BJ194" s="3" t="n"/>
      <c r="BK194" s="3" t="n"/>
      <c r="BL194" s="3" t="n"/>
      <c r="BM194" s="3" t="n"/>
      <c r="BN194" s="3" t="n"/>
      <c r="BO194" s="3" t="n"/>
      <c r="BP194" s="3" t="n"/>
      <c r="BQ194" s="3" t="n"/>
      <c r="BR194" s="3" t="n"/>
      <c r="BS194" s="3" t="n"/>
      <c r="BT194" s="3" t="n"/>
      <c r="BU194" s="3" t="n"/>
      <c r="BV194" s="3" t="n"/>
      <c r="BW194" s="3" t="n"/>
      <c r="BX194" s="3" t="n"/>
      <c r="BY194" s="3" t="n"/>
      <c r="BZ194" s="3" t="n"/>
      <c r="CA194" s="3" t="n"/>
      <c r="CB194" s="3" t="n"/>
      <c r="CC194" s="3" t="n"/>
      <c r="CD194" s="3" t="n"/>
      <c r="CE194" s="3" t="n"/>
      <c r="CF194" s="3" t="n"/>
      <c r="CG194" s="3" t="n"/>
      <c r="CH194" s="3" t="n"/>
      <c r="CI194" s="3" t="n"/>
      <c r="CJ194" s="3" t="n"/>
      <c r="CK194" s="3" t="n"/>
      <c r="CL194" s="3" t="n"/>
      <c r="CM194" s="3" t="n"/>
      <c r="CN194" s="3" t="n"/>
      <c r="CO194" s="3" t="n"/>
      <c r="CP194" s="3" t="n"/>
      <c r="CQ194" s="3" t="n"/>
      <c r="CR194" s="3" t="n"/>
      <c r="CS194" s="3" t="n"/>
      <c r="CT194" s="3" t="n"/>
      <c r="CU194" s="3" t="n"/>
      <c r="CV194" s="3" t="n"/>
      <c r="CW194" s="3" t="n"/>
      <c r="CX194" s="3" t="n"/>
      <c r="CY194" s="3" t="n"/>
    </row>
    <row r="195" hidden="1" outlineLevel="1">
      <c r="C195" s="34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  <c r="AD195" s="3" t="n"/>
      <c r="AE195" s="3" t="n"/>
      <c r="AF195" s="3" t="n"/>
      <c r="AG195" s="3" t="n"/>
      <c r="AH195" s="3" t="n"/>
      <c r="AI195" s="3" t="n"/>
      <c r="AJ195" s="3" t="n"/>
      <c r="AK195" s="3" t="n"/>
      <c r="AL195" s="3" t="n"/>
      <c r="AM195" s="3" t="n"/>
      <c r="AN195" s="3" t="n"/>
      <c r="AO195" s="3" t="n"/>
      <c r="AP195" s="3" t="n"/>
      <c r="AQ195" s="3" t="n"/>
      <c r="AR195" s="3" t="n"/>
      <c r="AS195" s="3" t="n"/>
      <c r="AT195" s="3" t="n"/>
      <c r="AU195" s="3" t="n"/>
      <c r="AV195" s="3" t="n"/>
      <c r="AW195" s="3" t="n"/>
      <c r="AX195" s="3" t="n"/>
      <c r="AY195" s="3" t="n"/>
      <c r="AZ195" s="3" t="n"/>
      <c r="BA195" s="3" t="n"/>
      <c r="BB195" s="3" t="n"/>
      <c r="BC195" s="3" t="n"/>
      <c r="BD195" s="3" t="n"/>
      <c r="BE195" s="3" t="n"/>
      <c r="BF195" s="3" t="n"/>
      <c r="BG195" s="3" t="n"/>
      <c r="BH195" s="3" t="n"/>
      <c r="BI195" s="3" t="n"/>
      <c r="BJ195" s="3" t="n"/>
      <c r="BK195" s="3" t="n"/>
      <c r="BL195" s="3" t="n"/>
      <c r="BM195" s="3" t="n"/>
      <c r="BN195" s="3" t="n"/>
      <c r="BO195" s="3" t="n"/>
      <c r="BP195" s="3" t="n"/>
      <c r="BQ195" s="3" t="n"/>
      <c r="BR195" s="3" t="n"/>
      <c r="BS195" s="3" t="n"/>
      <c r="BT195" s="3" t="n"/>
      <c r="BU195" s="3" t="n"/>
      <c r="BV195" s="3" t="n"/>
      <c r="BW195" s="3" t="n"/>
      <c r="BX195" s="3" t="n"/>
      <c r="BY195" s="3" t="n"/>
      <c r="BZ195" s="3" t="n"/>
      <c r="CA195" s="3" t="n"/>
      <c r="CB195" s="3" t="n"/>
      <c r="CC195" s="3" t="n"/>
      <c r="CD195" s="3" t="n"/>
      <c r="CE195" s="3" t="n"/>
      <c r="CF195" s="3" t="n"/>
      <c r="CG195" s="3" t="n"/>
      <c r="CH195" s="3" t="n"/>
      <c r="CI195" s="3" t="n"/>
      <c r="CJ195" s="3" t="n"/>
      <c r="CK195" s="3" t="n"/>
      <c r="CL195" s="3" t="n"/>
      <c r="CM195" s="3" t="n"/>
      <c r="CN195" s="3" t="n"/>
      <c r="CO195" s="3" t="n"/>
      <c r="CP195" s="3" t="n"/>
      <c r="CQ195" s="3" t="n"/>
      <c r="CR195" s="3" t="n"/>
      <c r="CS195" s="3" t="n"/>
      <c r="CT195" s="3" t="n"/>
      <c r="CU195" s="3" t="n"/>
      <c r="CV195" s="3" t="n"/>
      <c r="CW195" s="3" t="n"/>
      <c r="CX195" s="3" t="n"/>
      <c r="CY195" s="3" t="n"/>
    </row>
    <row r="196" collapsed="1">
      <c r="C196" s="26" t="inlineStr">
        <is>
          <t>Accrued expenses</t>
        </is>
      </c>
      <c r="D196" s="25">
        <f>INDEX('Inputs (2)'!$D$29:$AL$29,MATCH(D$7,'Inputs (2)'!$D$2:$AL$2,0))</f>
        <v>0</v>
      </c>
      <c r="E196" s="25">
        <f>INDEX('Inputs (2)'!$D$29:$AL$29,MATCH(E$7,'Inputs (2)'!$D$2:$AL$2,0))</f>
        <v>0</v>
      </c>
      <c r="F196" s="25">
        <f>INDEX('Inputs (2)'!$D$29:$AL$29,MATCH(F$7,'Inputs (2)'!$D$2:$AL$2,0))</f>
        <v>0</v>
      </c>
      <c r="G196" s="25">
        <f>INDEX('Inputs (2)'!$D$29:$AL$29,MATCH(G$7,'Inputs (2)'!$D$2:$AL$2,0))</f>
        <v>0</v>
      </c>
      <c r="H196" s="3">
        <f>G196</f>
        <v>0</v>
      </c>
      <c r="I196" s="25">
        <f>INDEX('Inputs (2)'!$D$29:$AL$29,MATCH(I$7,'Inputs (2)'!$D$2:$AL$2,0))</f>
        <v>0</v>
      </c>
      <c r="J196" s="25">
        <f>INDEX('Inputs (2)'!$D$29:$AL$29,MATCH(J$7,'Inputs (2)'!$D$2:$AL$2,0))</f>
        <v>0</v>
      </c>
      <c r="K196" s="25">
        <f>INDEX('Inputs (2)'!$D$29:$AL$29,MATCH(K$7,'Inputs (2)'!$D$2:$AL$2,0))</f>
        <v>0</v>
      </c>
      <c r="L196" s="25">
        <f>INDEX('Inputs (2)'!$D$29:$AL$29,MATCH(L$7,'Inputs (2)'!$D$2:$AL$2,0))</f>
        <v>0</v>
      </c>
      <c r="M196" s="3">
        <f>L196</f>
        <v>0</v>
      </c>
      <c r="N196" s="25">
        <f>INDEX('Inputs (2)'!$D$29:$AL$29,MATCH(N$7,'Inputs (2)'!$D$2:$AL$2,0))</f>
        <v>0</v>
      </c>
      <c r="O196" s="25">
        <f>INDEX('Inputs (2)'!$D$29:$AL$29,MATCH(O$7,'Inputs (2)'!$D$2:$AL$2,0))</f>
        <v>0</v>
      </c>
      <c r="P196" s="25">
        <f>INDEX('Inputs (2)'!$D$29:$AL$29,MATCH(P$7,'Inputs (2)'!$D$2:$AL$2,0))</f>
        <v>0</v>
      </c>
      <c r="Q196" s="25">
        <f>INDEX('Inputs (2)'!$D$29:$AL$29,MATCH(Q$7,'Inputs (2)'!$D$2:$AL$2,0))</f>
        <v>0</v>
      </c>
      <c r="R196" s="3">
        <f>Q196</f>
        <v>0</v>
      </c>
      <c r="S196" s="25">
        <f>INDEX('Inputs (2)'!$D$29:$AL$29,MATCH(S$7,'Inputs (2)'!$D$2:$AL$2,0))</f>
        <v>0</v>
      </c>
      <c r="T196" s="25">
        <f>INDEX('Inputs (2)'!$D$29:$AL$29,MATCH(T$7,'Inputs (2)'!$D$2:$AL$2,0))</f>
        <v>0</v>
      </c>
      <c r="U196" s="25">
        <f>INDEX('Inputs (2)'!$D$29:$AL$29,MATCH(U$7,'Inputs (2)'!$D$2:$AL$2,0))</f>
        <v>0</v>
      </c>
      <c r="V196" s="25">
        <f>INDEX('Inputs (2)'!$D$29:$AL$29,MATCH(V$7,'Inputs (2)'!$D$2:$AL$2,0))</f>
        <v>0</v>
      </c>
      <c r="W196" s="3">
        <f>V196</f>
        <v>0</v>
      </c>
      <c r="X196" s="25">
        <f>INDEX('Inputs (2)'!$D$29:$AL$29,MATCH(X$7,'Inputs (2)'!$D$2:$AL$2,0))</f>
        <v>0</v>
      </c>
      <c r="Y196" s="25">
        <f>INDEX('Inputs (2)'!$D$29:$AL$29,MATCH(Y$7,'Inputs (2)'!$D$2:$AL$2,0))</f>
        <v>0</v>
      </c>
      <c r="Z196" s="25">
        <f>INDEX('Inputs (2)'!$D$29:$AL$29,MATCH(Z$7,'Inputs (2)'!$D$2:$AL$2,0))</f>
        <v>0</v>
      </c>
      <c r="AA196" s="25">
        <f>INDEX('Inputs (2)'!$D$29:$AL$29,MATCH(AA$7,'Inputs (2)'!$D$2:$AL$2,0))</f>
        <v>0</v>
      </c>
      <c r="AB196" s="3">
        <f>AA196</f>
        <v>0</v>
      </c>
      <c r="AC196" s="25">
        <f>INDEX('Inputs (2)'!$D$29:$AL$29,MATCH(AC$7,'Inputs (2)'!$D$2:$AL$2,0))</f>
        <v>0</v>
      </c>
      <c r="AD196" s="25">
        <f>INDEX('Inputs (2)'!$D$29:$AL$29,MATCH(AD$7,'Inputs (2)'!$D$2:$AL$2,0))</f>
        <v>0</v>
      </c>
      <c r="AE196" s="25">
        <f>INDEX('Inputs (2)'!$D$29:$AL$29,MATCH(AE$7,'Inputs (2)'!$D$2:$AL$2,0))</f>
        <v>0</v>
      </c>
      <c r="AF196" s="25">
        <f>INDEX('Inputs (2)'!$D$29:$AL$29,MATCH(AF$7,'Inputs (2)'!$D$2:$AL$2,0))</f>
        <v>0</v>
      </c>
      <c r="AG196" s="3">
        <f>AF196</f>
        <v>0</v>
      </c>
      <c r="AH196" s="3">
        <f>INDEX('Inputs (2)'!$D$29:$AL$29,MATCH(AH$7,'Inputs (2)'!$D$2:$AL$2,0))</f>
        <v>0</v>
      </c>
      <c r="AI196" s="3">
        <f>INDEX('Inputs (2)'!$D$29:$AL$29,MATCH(AI$7,'Inputs (2)'!$D$2:$AL$2,0))</f>
        <v>0</v>
      </c>
      <c r="AJ196" s="3">
        <f>AH196*AJ52/AH52</f>
        <v>0</v>
      </c>
      <c r="AK196" s="3">
        <f>AI196*AK52/AI52</f>
        <v>0</v>
      </c>
      <c r="AL196" s="3">
        <f>AK196</f>
        <v>0</v>
      </c>
      <c r="AM196" s="3" t="e">
        <f>AK196*AM52/AK52</f>
        <v>#DIV/0!</v>
      </c>
      <c r="AN196" s="3">
        <f>AL196*AN52/AL52</f>
        <v>0</v>
      </c>
      <c r="AO196" s="3" t="e">
        <f>AM196*AO52/AM52</f>
        <v>#DIV/0!</v>
      </c>
      <c r="AP196" s="3" t="e">
        <f>AN196*AP52/AN52</f>
        <v>#DIV/0!</v>
      </c>
      <c r="AQ196" s="3" t="e">
        <f>AP196</f>
        <v>#DIV/0!</v>
      </c>
      <c r="AR196" s="3" t="e">
        <f>AP196*AR52/AP52</f>
        <v>#DIV/0!</v>
      </c>
      <c r="AS196" s="3" t="e">
        <f>AQ196*AS52/AQ52</f>
        <v>#DIV/0!</v>
      </c>
      <c r="AT196" s="3" t="e">
        <f>AR196*AT52/AR52</f>
        <v>#DIV/0!</v>
      </c>
      <c r="AU196" s="3" t="e">
        <f>AS196*AU52/AS52</f>
        <v>#DIV/0!</v>
      </c>
      <c r="AV196" s="3" t="e">
        <f>AU196</f>
        <v>#DIV/0!</v>
      </c>
      <c r="AW196" s="3" t="e">
        <f>AU196*AW52/AU52</f>
        <v>#DIV/0!</v>
      </c>
      <c r="AX196" s="3" t="e">
        <f>AV196*AX52/AV52</f>
        <v>#DIV/0!</v>
      </c>
      <c r="AY196" s="3" t="e">
        <f>AW196*AY52/AW52</f>
        <v>#DIV/0!</v>
      </c>
      <c r="AZ196" s="3" t="e">
        <f>AX196*AZ52/AX52</f>
        <v>#DIV/0!</v>
      </c>
      <c r="BA196" s="3" t="e">
        <f>AZ196</f>
        <v>#DIV/0!</v>
      </c>
      <c r="BB196" s="3" t="e">
        <f>AZ196*BB52/AZ52</f>
        <v>#DIV/0!</v>
      </c>
      <c r="BC196" s="3" t="e">
        <f>BA196*BC52/BA52</f>
        <v>#DIV/0!</v>
      </c>
      <c r="BD196" s="3" t="e">
        <f>BB196*BD52/BB52</f>
        <v>#DIV/0!</v>
      </c>
      <c r="BE196" s="3" t="e">
        <f>BC196*BE52/BC52</f>
        <v>#DIV/0!</v>
      </c>
      <c r="BF196" s="3" t="e">
        <f>BE196</f>
        <v>#DIV/0!</v>
      </c>
      <c r="BG196" s="3" t="e">
        <f>BE196*BG52/BE52</f>
        <v>#DIV/0!</v>
      </c>
      <c r="BH196" s="3" t="e">
        <f>BF196*BH52/BF52</f>
        <v>#DIV/0!</v>
      </c>
      <c r="BI196" s="3" t="e">
        <f>BG196*BI52/BG52</f>
        <v>#DIV/0!</v>
      </c>
      <c r="BJ196" s="3" t="e">
        <f>BH196*BJ52/BH52</f>
        <v>#DIV/0!</v>
      </c>
      <c r="BK196" s="3" t="e">
        <f>BJ196</f>
        <v>#DIV/0!</v>
      </c>
      <c r="BL196" s="3" t="e">
        <f>BJ196*BL52/BJ52</f>
        <v>#DIV/0!</v>
      </c>
      <c r="BM196" s="3" t="e">
        <f>BK196*BM52/BK52</f>
        <v>#DIV/0!</v>
      </c>
      <c r="BN196" s="3" t="e">
        <f>BL196*BN52/BL52</f>
        <v>#DIV/0!</v>
      </c>
      <c r="BO196" s="3" t="e">
        <f>BM196*BO52/BM52</f>
        <v>#DIV/0!</v>
      </c>
      <c r="BP196" s="3" t="e">
        <f>BO196</f>
        <v>#DIV/0!</v>
      </c>
      <c r="BQ196" s="3" t="e">
        <f>BO196*BQ52/BO52</f>
        <v>#DIV/0!</v>
      </c>
      <c r="BR196" s="3" t="e">
        <f>BP196*BR52/BP52</f>
        <v>#DIV/0!</v>
      </c>
      <c r="BS196" s="3" t="e">
        <f>BQ196*BS52/BQ52</f>
        <v>#DIV/0!</v>
      </c>
      <c r="BT196" s="3" t="e">
        <f>BR196*BT52/BR52</f>
        <v>#DIV/0!</v>
      </c>
      <c r="BU196" s="3" t="e">
        <f>BT196</f>
        <v>#DIV/0!</v>
      </c>
      <c r="BV196" s="3" t="e">
        <f>BT196*BV52/BT52</f>
        <v>#DIV/0!</v>
      </c>
      <c r="BW196" s="3" t="e">
        <f>BU196*BW52/BU52</f>
        <v>#DIV/0!</v>
      </c>
      <c r="BX196" s="3" t="e">
        <f>BV196*BX52/BV52</f>
        <v>#DIV/0!</v>
      </c>
      <c r="BY196" s="3" t="e">
        <f>BW196*BY52/BW52</f>
        <v>#DIV/0!</v>
      </c>
      <c r="BZ196" s="3" t="e">
        <f>BY196</f>
        <v>#DIV/0!</v>
      </c>
      <c r="CA196" s="3" t="e">
        <f>BY196*CA52/BY52</f>
        <v>#DIV/0!</v>
      </c>
      <c r="CB196" s="3" t="e">
        <f>BZ196*CB52/BZ52</f>
        <v>#DIV/0!</v>
      </c>
      <c r="CC196" s="3" t="e">
        <f>CA196*CC52/CA52</f>
        <v>#DIV/0!</v>
      </c>
      <c r="CD196" s="3" t="e">
        <f>CB196*CD52/CB52</f>
        <v>#DIV/0!</v>
      </c>
      <c r="CE196" s="3" t="e">
        <f>CD196</f>
        <v>#DIV/0!</v>
      </c>
      <c r="CF196" s="3" t="e">
        <f>CD196*CF52/CD52</f>
        <v>#DIV/0!</v>
      </c>
      <c r="CG196" s="3" t="e">
        <f>CE196*CG52/CE52</f>
        <v>#DIV/0!</v>
      </c>
      <c r="CH196" s="3" t="e">
        <f>CF196*CH52/CF52</f>
        <v>#DIV/0!</v>
      </c>
      <c r="CI196" s="3" t="e">
        <f>CG196*CI52/CG52</f>
        <v>#DIV/0!</v>
      </c>
      <c r="CJ196" s="3" t="e">
        <f>CI196</f>
        <v>#DIV/0!</v>
      </c>
      <c r="CK196" s="3" t="e">
        <f>CI196*CK52/CI52</f>
        <v>#DIV/0!</v>
      </c>
      <c r="CL196" s="3" t="e">
        <f>CJ196*CL52/CJ52</f>
        <v>#DIV/0!</v>
      </c>
      <c r="CM196" s="3" t="e">
        <f>CK196*CM52/CK52</f>
        <v>#DIV/0!</v>
      </c>
      <c r="CN196" s="3" t="e">
        <f>CL196*CN52/CL52</f>
        <v>#DIV/0!</v>
      </c>
      <c r="CO196" s="3" t="e">
        <f>CN196</f>
        <v>#DIV/0!</v>
      </c>
      <c r="CP196" s="3" t="e">
        <f>CN196*CP52/CN52</f>
        <v>#DIV/0!</v>
      </c>
      <c r="CQ196" s="3" t="e">
        <f>CO196*CQ52/CO52</f>
        <v>#DIV/0!</v>
      </c>
      <c r="CR196" s="3" t="e">
        <f>CP196*CR52/CP52</f>
        <v>#DIV/0!</v>
      </c>
      <c r="CS196" s="3" t="e">
        <f>CQ196*CS52/CQ52</f>
        <v>#DIV/0!</v>
      </c>
      <c r="CT196" s="3" t="e">
        <f>CS196</f>
        <v>#DIV/0!</v>
      </c>
      <c r="CU196" s="3" t="e">
        <f>CS196*CU52/CS52</f>
        <v>#DIV/0!</v>
      </c>
      <c r="CV196" s="3" t="e">
        <f>CT196*CV52/CT52</f>
        <v>#DIV/0!</v>
      </c>
      <c r="CW196" s="3" t="e">
        <f>CU196*CW52/CU52</f>
        <v>#DIV/0!</v>
      </c>
      <c r="CX196" s="3" t="e">
        <f>CV196*CX52/CV52</f>
        <v>#DIV/0!</v>
      </c>
      <c r="CY196" s="3" t="e">
        <f>CX196</f>
        <v>#DIV/0!</v>
      </c>
    </row>
    <row r="197" hidden="1" outlineLevel="1">
      <c r="C197" s="38" t="inlineStr">
        <is>
          <t>%(Var.)</t>
        </is>
      </c>
      <c r="D197" s="3" t="n"/>
      <c r="E197" s="47" t="str">
        <f>IFERROR((E196-D196)/D196,"")</f>
        <v/>
      </c>
      <c r="F197" s="47" t="str">
        <f>IFERROR((F196-E196)/E196,"")</f>
        <v/>
      </c>
      <c r="G197" s="47" t="str">
        <f>IFERROR((G196-F196)/F196,"")</f>
        <v/>
      </c>
      <c r="H197" s="3" t="n"/>
      <c r="I197" s="47" t="str">
        <f>IFERROR((I196-H196)/H196,"")</f>
        <v/>
      </c>
      <c r="J197" s="47" t="str">
        <f>IFERROR((J196-I196)/I196,"")</f>
        <v/>
      </c>
      <c r="K197" s="47" t="str">
        <f>IFERROR((K196-J196)/J196,"")</f>
        <v/>
      </c>
      <c r="L197" s="47" t="str">
        <f>IFERROR((L196-K196)/K196,"")</f>
        <v/>
      </c>
      <c r="M197" s="3" t="n"/>
      <c r="N197" s="47" t="str">
        <f>IFERROR((N196-M196)/M196,"")</f>
        <v/>
      </c>
      <c r="O197" s="47" t="str">
        <f>IFERROR((O196-N196)/N196,"")</f>
        <v/>
      </c>
      <c r="P197" s="47" t="str">
        <f>IFERROR((P196-O196)/O196,"")</f>
        <v/>
      </c>
      <c r="Q197" s="47" t="str">
        <f>IFERROR((Q196-P196)/P196,"")</f>
        <v/>
      </c>
      <c r="R197" s="3" t="n"/>
      <c r="S197" s="47" t="str">
        <f>IFERROR((S196-R196)/R196,"")</f>
        <v/>
      </c>
      <c r="T197" s="47" t="str">
        <f>IFERROR((T196-S196)/S196,"")</f>
        <v/>
      </c>
      <c r="U197" s="47" t="str">
        <f>IFERROR((U196-T196)/T196,"")</f>
        <v/>
      </c>
      <c r="V197" s="47" t="str">
        <f>IFERROR((V196-U196)/U196,"")</f>
        <v/>
      </c>
      <c r="W197" s="3" t="n"/>
      <c r="X197" s="47" t="str">
        <f>IFERROR((X196-W196)/W196,"")</f>
        <v/>
      </c>
      <c r="Y197" s="47" t="str">
        <f>IFERROR((Y196-X196)/X196,"")</f>
        <v/>
      </c>
      <c r="Z197" s="47" t="str">
        <f>IFERROR((Z196-Y196)/Y196,"")</f>
        <v/>
      </c>
      <c r="AA197" s="47" t="str">
        <f>IFERROR((AA196-Z196)/Z196,"")</f>
        <v/>
      </c>
      <c r="AB197" s="3" t="n"/>
      <c r="AC197" s="47" t="str">
        <f>IFERROR((AC196-AB196)/AB196,"")</f>
        <v/>
      </c>
      <c r="AD197" s="47" t="str">
        <f>IFERROR((AD196-AC196)/AC196,"")</f>
        <v/>
      </c>
      <c r="AE197" s="47" t="str">
        <f>IFERROR((AE196-AD196)/AD196,"")</f>
        <v/>
      </c>
      <c r="AF197" s="218" t="str">
        <f>IFERROR((AF196-AE196)/AE196,"")</f>
        <v/>
      </c>
      <c r="AG197" s="3" t="n"/>
      <c r="AH197" s="218" t="str">
        <f>IFERROR((AH196-AG196)/AG196,"")</f>
        <v/>
      </c>
      <c r="AI197" s="218" t="str">
        <f>IFERROR((AI196-AH196)/AH196,"")</f>
        <v/>
      </c>
      <c r="AJ197" s="218" t="n"/>
      <c r="AK197" s="218" t="n"/>
      <c r="AL197" s="3" t="n"/>
      <c r="AM197" s="218" t="n"/>
      <c r="AN197" s="218" t="n"/>
      <c r="AO197" s="218" t="n"/>
      <c r="AP197" s="218" t="n"/>
      <c r="AQ197" s="3" t="n"/>
      <c r="AR197" s="218" t="n"/>
      <c r="AS197" s="218" t="n"/>
      <c r="AT197" s="218" t="n"/>
      <c r="AU197" s="218" t="n"/>
      <c r="AV197" s="3" t="n"/>
      <c r="AW197" s="218" t="n"/>
      <c r="AX197" s="218" t="n"/>
      <c r="AY197" s="218" t="n"/>
      <c r="AZ197" s="218" t="n"/>
      <c r="BA197" s="3" t="n"/>
      <c r="BB197" s="218" t="n"/>
      <c r="BC197" s="218" t="n"/>
      <c r="BD197" s="218" t="n"/>
      <c r="BE197" s="218" t="n"/>
      <c r="BF197" s="3" t="n"/>
      <c r="BG197" s="218" t="n"/>
      <c r="BH197" s="218" t="n"/>
      <c r="BI197" s="218" t="n"/>
      <c r="BJ197" s="218" t="n"/>
      <c r="BK197" s="3" t="n"/>
      <c r="BL197" s="218" t="n"/>
      <c r="BM197" s="218" t="n"/>
      <c r="BN197" s="218" t="n"/>
      <c r="BO197" s="218" t="n"/>
      <c r="BP197" s="3" t="n"/>
      <c r="BQ197" s="218" t="n"/>
      <c r="BR197" s="218" t="n"/>
      <c r="BS197" s="218" t="n"/>
      <c r="BT197" s="218" t="n"/>
      <c r="BU197" s="3" t="n"/>
      <c r="BV197" s="218" t="n"/>
      <c r="BW197" s="218" t="n"/>
      <c r="BX197" s="218" t="n"/>
      <c r="BY197" s="218" t="n"/>
      <c r="BZ197" s="3" t="n"/>
      <c r="CA197" s="218" t="n"/>
      <c r="CB197" s="218" t="n"/>
      <c r="CC197" s="218" t="n"/>
      <c r="CD197" s="218" t="n"/>
      <c r="CE197" s="3" t="n"/>
      <c r="CF197" s="218" t="n"/>
      <c r="CG197" s="218" t="n"/>
      <c r="CH197" s="218" t="n"/>
      <c r="CI197" s="218" t="n"/>
      <c r="CJ197" s="3" t="n"/>
      <c r="CK197" s="218" t="n"/>
      <c r="CL197" s="218" t="n"/>
      <c r="CM197" s="218" t="n"/>
      <c r="CN197" s="218" t="n"/>
      <c r="CO197" s="3" t="n"/>
      <c r="CP197" s="218" t="n"/>
      <c r="CQ197" s="218" t="n"/>
      <c r="CR197" s="218" t="n"/>
      <c r="CS197" s="218" t="n"/>
      <c r="CT197" s="3" t="n"/>
      <c r="CU197" s="218" t="n"/>
      <c r="CV197" s="218" t="n"/>
      <c r="CW197" s="218" t="n"/>
      <c r="CX197" s="218" t="n"/>
      <c r="CY197" s="3" t="n"/>
    </row>
    <row r="198" collapsed="1">
      <c r="C198" s="26" t="inlineStr">
        <is>
          <t>Taxes payable</t>
        </is>
      </c>
      <c r="D198" s="25">
        <f>INDEX('Inputs (2)'!$D$30:$AL$30,MATCH(D$7,'Inputs (2)'!$D$2:$AL$2,0))</f>
        <v>0</v>
      </c>
      <c r="E198" s="25">
        <f>INDEX('Inputs (2)'!$D$30:$AL$30,MATCH(E$7,'Inputs (2)'!$D$2:$AL$2,0))</f>
        <v>0</v>
      </c>
      <c r="F198" s="25">
        <f>INDEX('Inputs (2)'!$D$30:$AL$30,MATCH(F$7,'Inputs (2)'!$D$2:$AL$2,0))</f>
        <v>0</v>
      </c>
      <c r="G198" s="25">
        <f>INDEX('Inputs (2)'!$D$30:$AL$30,MATCH(G$7,'Inputs (2)'!$D$2:$AL$2,0))</f>
        <v>0</v>
      </c>
      <c r="H198" s="3">
        <f>G198</f>
        <v>0</v>
      </c>
      <c r="I198" s="25">
        <f>INDEX('Inputs (2)'!$D$30:$AL$30,MATCH(I$7,'Inputs (2)'!$D$2:$AL$2,0))</f>
        <v>0</v>
      </c>
      <c r="J198" s="25">
        <f>INDEX('Inputs (2)'!$D$30:$AL$30,MATCH(J$7,'Inputs (2)'!$D$2:$AL$2,0))</f>
        <v>0</v>
      </c>
      <c r="K198" s="25">
        <f>INDEX('Inputs (2)'!$D$30:$AL$30,MATCH(K$7,'Inputs (2)'!$D$2:$AL$2,0))</f>
        <v>0</v>
      </c>
      <c r="L198" s="25">
        <f>INDEX('Inputs (2)'!$D$30:$AL$30,MATCH(L$7,'Inputs (2)'!$D$2:$AL$2,0))</f>
        <v>0</v>
      </c>
      <c r="M198" s="3">
        <f>L198</f>
        <v>0</v>
      </c>
      <c r="N198" s="25">
        <f>INDEX('Inputs (2)'!$D$30:$AL$30,MATCH(N$7,'Inputs (2)'!$D$2:$AL$2,0))</f>
        <v>0</v>
      </c>
      <c r="O198" s="25">
        <f>INDEX('Inputs (2)'!$D$30:$AL$30,MATCH(O$7,'Inputs (2)'!$D$2:$AL$2,0))</f>
        <v>0</v>
      </c>
      <c r="P198" s="25">
        <f>INDEX('Inputs (2)'!$D$30:$AL$30,MATCH(P$7,'Inputs (2)'!$D$2:$AL$2,0))</f>
        <v>0</v>
      </c>
      <c r="Q198" s="25">
        <f>INDEX('Inputs (2)'!$D$30:$AL$30,MATCH(Q$7,'Inputs (2)'!$D$2:$AL$2,0))</f>
        <v>0</v>
      </c>
      <c r="R198" s="3">
        <f>Q198</f>
        <v>0</v>
      </c>
      <c r="S198" s="25">
        <f>INDEX('Inputs (2)'!$D$30:$AL$30,MATCH(S$7,'Inputs (2)'!$D$2:$AL$2,0))</f>
        <v>0</v>
      </c>
      <c r="T198" s="25">
        <f>INDEX('Inputs (2)'!$D$30:$AL$30,MATCH(T$7,'Inputs (2)'!$D$2:$AL$2,0))</f>
        <v>0</v>
      </c>
      <c r="U198" s="25">
        <f>INDEX('Inputs (2)'!$D$30:$AL$30,MATCH(U$7,'Inputs (2)'!$D$2:$AL$2,0))</f>
        <v>0</v>
      </c>
      <c r="V198" s="25">
        <f>INDEX('Inputs (2)'!$D$30:$AL$30,MATCH(V$7,'Inputs (2)'!$D$2:$AL$2,0))</f>
        <v>0</v>
      </c>
      <c r="W198" s="3">
        <f>V198</f>
        <v>0</v>
      </c>
      <c r="X198" s="25">
        <f>INDEX('Inputs (2)'!$D$30:$AL$30,MATCH(X$7,'Inputs (2)'!$D$2:$AL$2,0))</f>
        <v>0</v>
      </c>
      <c r="Y198" s="25">
        <f>INDEX('Inputs (2)'!$D$30:$AL$30,MATCH(Y$7,'Inputs (2)'!$D$2:$AL$2,0))</f>
        <v>0</v>
      </c>
      <c r="Z198" s="25">
        <f>INDEX('Inputs (2)'!$D$30:$AL$30,MATCH(Z$7,'Inputs (2)'!$D$2:$AL$2,0))</f>
        <v>0</v>
      </c>
      <c r="AA198" s="25">
        <f>INDEX('Inputs (2)'!$D$30:$AL$30,MATCH(AA$7,'Inputs (2)'!$D$2:$AL$2,0))</f>
        <v>0</v>
      </c>
      <c r="AB198" s="3">
        <f>AA198</f>
        <v>0</v>
      </c>
      <c r="AC198" s="25">
        <f>INDEX('Inputs (2)'!$D$30:$AL$30,MATCH(AC$7,'Inputs (2)'!$D$2:$AL$2,0))</f>
        <v>0</v>
      </c>
      <c r="AD198" s="25">
        <f>INDEX('Inputs (2)'!$D$30:$AL$30,MATCH(AD$7,'Inputs (2)'!$D$2:$AL$2,0))</f>
        <v>0</v>
      </c>
      <c r="AE198" s="25">
        <f>INDEX('Inputs (2)'!$D$30:$AL$30,MATCH(AE$7,'Inputs (2)'!$D$2:$AL$2,0))</f>
        <v>0</v>
      </c>
      <c r="AF198" s="25">
        <f>INDEX('Inputs (2)'!$D$30:$AL$30,MATCH(AF$7,'Inputs (2)'!$D$2:$AL$2,0))</f>
        <v>0</v>
      </c>
      <c r="AG198" s="3">
        <f>AF198</f>
        <v>0</v>
      </c>
      <c r="AH198" s="3">
        <f>INDEX('Inputs (2)'!$D$30:$AL$30,MATCH(AH$7,'Inputs (2)'!$D$2:$AL$2,0))</f>
        <v>0</v>
      </c>
      <c r="AI198" s="3">
        <f>INDEX('Inputs (2)'!$D$30:$AL$30,MATCH(AI$7,'Inputs (2)'!$D$2:$AL$2,0))</f>
        <v>0</v>
      </c>
      <c r="AJ198" s="3">
        <f>AH198*AJ125/AH125</f>
        <v>0</v>
      </c>
      <c r="AK198" s="3">
        <f>AI198*AK125/AI125</f>
        <v>0</v>
      </c>
      <c r="AL198" s="3">
        <f>AK198</f>
        <v>0</v>
      </c>
      <c r="AM198" s="3" t="e">
        <f>AK198*AM125/AK125</f>
        <v>#DIV/0!</v>
      </c>
      <c r="AN198" s="3">
        <f>AL198*AN125/AL125</f>
        <v>0</v>
      </c>
      <c r="AO198" s="3" t="e">
        <f>AM198*AO125/AM125</f>
        <v>#DIV/0!</v>
      </c>
      <c r="AP198" s="3" t="e">
        <f>AN198*AP125/AN125</f>
        <v>#DIV/0!</v>
      </c>
      <c r="AQ198" s="3" t="e">
        <f>AP198</f>
        <v>#DIV/0!</v>
      </c>
      <c r="AR198" s="3" t="e">
        <f>AP198*AR125/AP125</f>
        <v>#DIV/0!</v>
      </c>
      <c r="AS198" s="3" t="e">
        <f>AQ198*AS125/AQ125</f>
        <v>#DIV/0!</v>
      </c>
      <c r="AT198" s="3" t="e">
        <f>AR198*AT125/AR125</f>
        <v>#DIV/0!</v>
      </c>
      <c r="AU198" s="3" t="e">
        <f>AS198*AU125/AS125</f>
        <v>#DIV/0!</v>
      </c>
      <c r="AV198" s="3" t="e">
        <f>AU198</f>
        <v>#DIV/0!</v>
      </c>
      <c r="AW198" s="3" t="e">
        <f>AU198*AW125/AU125</f>
        <v>#DIV/0!</v>
      </c>
      <c r="AX198" s="3" t="e">
        <f>AV198*AX125/AV125</f>
        <v>#DIV/0!</v>
      </c>
      <c r="AY198" s="3" t="e">
        <f>AW198*AY125/AW125</f>
        <v>#DIV/0!</v>
      </c>
      <c r="AZ198" s="3" t="e">
        <f>AX198*AZ125/AX125</f>
        <v>#DIV/0!</v>
      </c>
      <c r="BA198" s="3" t="e">
        <f>AZ198</f>
        <v>#DIV/0!</v>
      </c>
      <c r="BB198" s="3" t="e">
        <f>AZ198*BB125/AZ125</f>
        <v>#DIV/0!</v>
      </c>
      <c r="BC198" s="3" t="e">
        <f>BA198*BC125/BA125</f>
        <v>#DIV/0!</v>
      </c>
      <c r="BD198" s="3" t="e">
        <f>BB198*BD125/BB125</f>
        <v>#DIV/0!</v>
      </c>
      <c r="BE198" s="3" t="e">
        <f>BC198*BE125/BC125</f>
        <v>#DIV/0!</v>
      </c>
      <c r="BF198" s="3" t="e">
        <f>BE198</f>
        <v>#DIV/0!</v>
      </c>
      <c r="BG198" s="3" t="e">
        <f>BE198*BG125/BE125</f>
        <v>#DIV/0!</v>
      </c>
      <c r="BH198" s="3" t="e">
        <f>BF198*BH125/BF125</f>
        <v>#DIV/0!</v>
      </c>
      <c r="BI198" s="3" t="e">
        <f>BG198*BI125/BG125</f>
        <v>#DIV/0!</v>
      </c>
      <c r="BJ198" s="3" t="e">
        <f>BH198*BJ125/BH125</f>
        <v>#DIV/0!</v>
      </c>
      <c r="BK198" s="3" t="e">
        <f>BJ198</f>
        <v>#DIV/0!</v>
      </c>
      <c r="BL198" s="3" t="e">
        <f>BJ198*BL125/BJ125</f>
        <v>#DIV/0!</v>
      </c>
      <c r="BM198" s="3" t="e">
        <f>BK198*BM125/BK125</f>
        <v>#DIV/0!</v>
      </c>
      <c r="BN198" s="3" t="e">
        <f>BL198*BN125/BL125</f>
        <v>#DIV/0!</v>
      </c>
      <c r="BO198" s="3" t="e">
        <f>BM198*BO125/BM125</f>
        <v>#DIV/0!</v>
      </c>
      <c r="BP198" s="3" t="e">
        <f>BO198</f>
        <v>#DIV/0!</v>
      </c>
      <c r="BQ198" s="3" t="e">
        <f>BO198*BQ125/BO125</f>
        <v>#DIV/0!</v>
      </c>
      <c r="BR198" s="3" t="e">
        <f>BP198*BR125/BP125</f>
        <v>#DIV/0!</v>
      </c>
      <c r="BS198" s="3" t="e">
        <f>BQ198*BS125/BQ125</f>
        <v>#DIV/0!</v>
      </c>
      <c r="BT198" s="3" t="e">
        <f>BR198*BT125/BR125</f>
        <v>#DIV/0!</v>
      </c>
      <c r="BU198" s="3" t="e">
        <f>BT198</f>
        <v>#DIV/0!</v>
      </c>
      <c r="BV198" s="3" t="e">
        <f>BT198*BV125/BT125</f>
        <v>#DIV/0!</v>
      </c>
      <c r="BW198" s="3" t="e">
        <f>BU198*BW125/BU125</f>
        <v>#DIV/0!</v>
      </c>
      <c r="BX198" s="3" t="e">
        <f>BV198*BX125/BV125</f>
        <v>#DIV/0!</v>
      </c>
      <c r="BY198" s="3" t="e">
        <f>BW198*BY125/BW125</f>
        <v>#DIV/0!</v>
      </c>
      <c r="BZ198" s="3" t="e">
        <f>BY198</f>
        <v>#DIV/0!</v>
      </c>
      <c r="CA198" s="3" t="e">
        <f>BY198*CA125/BY125</f>
        <v>#DIV/0!</v>
      </c>
      <c r="CB198" s="3" t="e">
        <f>BZ198*CB125/BZ125</f>
        <v>#DIV/0!</v>
      </c>
      <c r="CC198" s="3" t="e">
        <f>CA198*CC125/CA125</f>
        <v>#DIV/0!</v>
      </c>
      <c r="CD198" s="3" t="e">
        <f>CB198*CD125/CB125</f>
        <v>#DIV/0!</v>
      </c>
      <c r="CE198" s="3" t="e">
        <f>CD198</f>
        <v>#DIV/0!</v>
      </c>
      <c r="CF198" s="3" t="e">
        <f>CD198*CF125/CD125</f>
        <v>#DIV/0!</v>
      </c>
      <c r="CG198" s="3" t="e">
        <f>CE198*CG125/CE125</f>
        <v>#DIV/0!</v>
      </c>
      <c r="CH198" s="3" t="e">
        <f>CF198*CH125/CF125</f>
        <v>#DIV/0!</v>
      </c>
      <c r="CI198" s="3" t="e">
        <f>CG198*CI125/CG125</f>
        <v>#DIV/0!</v>
      </c>
      <c r="CJ198" s="3" t="e">
        <f>CI198</f>
        <v>#DIV/0!</v>
      </c>
      <c r="CK198" s="3" t="e">
        <f>CI198*CK125/CI125</f>
        <v>#DIV/0!</v>
      </c>
      <c r="CL198" s="3" t="e">
        <f>CJ198*CL125/CJ125</f>
        <v>#DIV/0!</v>
      </c>
      <c r="CM198" s="3" t="e">
        <f>CK198*CM125/CK125</f>
        <v>#DIV/0!</v>
      </c>
      <c r="CN198" s="3" t="e">
        <f>CL198*CN125/CL125</f>
        <v>#DIV/0!</v>
      </c>
      <c r="CO198" s="3" t="e">
        <f>CN198</f>
        <v>#DIV/0!</v>
      </c>
      <c r="CP198" s="3" t="e">
        <f>CN198*CP125/CN125</f>
        <v>#DIV/0!</v>
      </c>
      <c r="CQ198" s="3" t="e">
        <f>CO198*CQ125/CO125</f>
        <v>#DIV/0!</v>
      </c>
      <c r="CR198" s="3" t="e">
        <f>CP198*CR125/CP125</f>
        <v>#DIV/0!</v>
      </c>
      <c r="CS198" s="3" t="e">
        <f>CQ198*CS125/CQ125</f>
        <v>#DIV/0!</v>
      </c>
      <c r="CT198" s="3" t="e">
        <f>CS198</f>
        <v>#DIV/0!</v>
      </c>
      <c r="CU198" s="3" t="e">
        <f>CS198*CU125/CS125</f>
        <v>#DIV/0!</v>
      </c>
      <c r="CV198" s="3" t="e">
        <f>CT198*CV125/CT125</f>
        <v>#DIV/0!</v>
      </c>
      <c r="CW198" s="3" t="e">
        <f>CU198*CW125/CU125</f>
        <v>#DIV/0!</v>
      </c>
      <c r="CX198" s="3" t="e">
        <f>CV198*CX125/CV125</f>
        <v>#DIV/0!</v>
      </c>
      <c r="CY198" s="3" t="e">
        <f>CX198</f>
        <v>#DIV/0!</v>
      </c>
    </row>
    <row r="199">
      <c r="C199" s="26" t="inlineStr">
        <is>
          <t>Other current liabilities (non-debt)</t>
        </is>
      </c>
      <c r="D199" s="25">
        <f>INDEX('Inputs (2)'!$D$31:$AL$31,MATCH(D$7,'Inputs (2)'!$D$2:$AL$2,0))</f>
        <v>8016</v>
      </c>
      <c r="E199" s="25">
        <f>INDEX('Inputs (2)'!$D$31:$AL$31,MATCH(E$7,'Inputs (2)'!$D$2:$AL$2,0))</f>
        <v>8632</v>
      </c>
      <c r="F199" s="25">
        <f>INDEX('Inputs (2)'!$D$31:$AL$31,MATCH(F$7,'Inputs (2)'!$D$2:$AL$2,0))</f>
        <v>8344</v>
      </c>
      <c r="G199" s="25">
        <f>INDEX('Inputs (2)'!$D$31:$AL$31,MATCH(G$7,'Inputs (2)'!$D$2:$AL$2,0))</f>
        <v>8197</v>
      </c>
      <c r="H199" s="3">
        <f>G199</f>
        <v>8197</v>
      </c>
      <c r="I199" s="25">
        <f>INDEX('Inputs (2)'!$D$31:$AL$31,MATCH(I$7,'Inputs (2)'!$D$2:$AL$2,0))</f>
        <v>8229</v>
      </c>
      <c r="J199" s="25">
        <f>INDEX('Inputs (2)'!$D$31:$AL$31,MATCH(J$7,'Inputs (2)'!$D$2:$AL$2,0))</f>
        <v>8813</v>
      </c>
      <c r="K199" s="25">
        <f>INDEX('Inputs (2)'!$D$31:$AL$31,MATCH(K$7,'Inputs (2)'!$D$2:$AL$2,0))</f>
        <v>9791</v>
      </c>
      <c r="L199" s="25">
        <f>INDEX('Inputs (2)'!$D$31:$AL$31,MATCH(L$7,'Inputs (2)'!$D$2:$AL$2,0))</f>
        <v>9680</v>
      </c>
      <c r="M199" s="3">
        <f>L199</f>
        <v>9680</v>
      </c>
      <c r="N199" s="25">
        <f>INDEX('Inputs (2)'!$D$31:$AL$31,MATCH(N$7,'Inputs (2)'!$D$2:$AL$2,0))</f>
        <v>10284</v>
      </c>
      <c r="O199" s="25">
        <f>INDEX('Inputs (2)'!$D$31:$AL$31,MATCH(O$7,'Inputs (2)'!$D$2:$AL$2,0))</f>
        <v>10609</v>
      </c>
      <c r="P199" s="25">
        <f>INDEX('Inputs (2)'!$D$31:$AL$31,MATCH(P$7,'Inputs (2)'!$D$2:$AL$2,0))</f>
        <v>10714</v>
      </c>
      <c r="Q199" s="25">
        <f>INDEX('Inputs (2)'!$D$31:$AL$31,MATCH(Q$7,'Inputs (2)'!$D$2:$AL$2,0))</f>
        <v>11454</v>
      </c>
      <c r="R199" s="3">
        <f>Q199</f>
        <v>11454</v>
      </c>
      <c r="S199" s="25">
        <f>INDEX('Inputs (2)'!$D$31:$AL$31,MATCH(S$7,'Inputs (2)'!$D$2:$AL$2,0))</f>
        <v>11532</v>
      </c>
      <c r="T199" s="25">
        <f>INDEX('Inputs (2)'!$D$31:$AL$31,MATCH(T$7,'Inputs (2)'!$D$2:$AL$2,0))</f>
        <v>12319</v>
      </c>
      <c r="U199" s="25">
        <f>INDEX('Inputs (2)'!$D$31:$AL$31,MATCH(U$7,'Inputs (2)'!$D$2:$AL$2,0))</f>
        <v>12703</v>
      </c>
      <c r="V199" s="25">
        <f>INDEX('Inputs (2)'!$D$31:$AL$31,MATCH(V$7,'Inputs (2)'!$D$2:$AL$2,0))</f>
        <v>14317</v>
      </c>
      <c r="W199" s="3">
        <f>V199</f>
        <v>14317</v>
      </c>
      <c r="X199" s="25">
        <f>INDEX('Inputs (2)'!$D$31:$AL$31,MATCH(X$7,'Inputs (2)'!$D$2:$AL$2,0))</f>
        <v>14728</v>
      </c>
      <c r="Y199" s="25">
        <f>INDEX('Inputs (2)'!$D$31:$AL$31,MATCH(Y$7,'Inputs (2)'!$D$2:$AL$2,0))</f>
        <v>14673</v>
      </c>
      <c r="Z199" s="25">
        <f>INDEX('Inputs (2)'!$D$31:$AL$31,MATCH(Z$7,'Inputs (2)'!$D$2:$AL$2,0))</f>
        <v>15923</v>
      </c>
      <c r="AA199" s="25">
        <f>INDEX('Inputs (2)'!$D$31:$AL$31,MATCH(AA$7,'Inputs (2)'!$D$2:$AL$2,0))</f>
        <v>16347</v>
      </c>
      <c r="AB199" s="3">
        <f>AA199</f>
        <v>16347</v>
      </c>
      <c r="AC199" s="25">
        <f>INDEX('Inputs (2)'!$D$31:$AL$31,MATCH(AC$7,'Inputs (2)'!$D$2:$AL$2,0))</f>
        <v>16282</v>
      </c>
      <c r="AD199" s="25">
        <f>INDEX('Inputs (2)'!$D$31:$AL$31,MATCH(AD$7,'Inputs (2)'!$D$2:$AL$2,0))</f>
        <v>16796</v>
      </c>
      <c r="AE199" s="25">
        <f>INDEX('Inputs (2)'!$D$31:$AL$31,MATCH(AE$7,'Inputs (2)'!$D$2:$AL$2,0))</f>
        <v>18471</v>
      </c>
      <c r="AF199" s="25">
        <f>INDEX('Inputs (2)'!$D$31:$AL$31,MATCH(AF$7,'Inputs (2)'!$D$2:$AL$2,0))</f>
        <v>18343</v>
      </c>
      <c r="AG199" s="3">
        <f>AF199</f>
        <v>18343</v>
      </c>
      <c r="AH199" s="3">
        <f>INDEX('Inputs (2)'!$D$31:$AL$31,MATCH(AH$7,'Inputs (2)'!$D$2:$AL$2,0))</f>
        <v>19442</v>
      </c>
      <c r="AI199" s="3">
        <f>INDEX('Inputs (2)'!$D$31:$AL$31,MATCH(AI$7,'Inputs (2)'!$D$2:$AL$2,0))</f>
        <v>20101</v>
      </c>
      <c r="AJ199" s="3">
        <f>AI199</f>
        <v>20101</v>
      </c>
      <c r="AK199" s="3">
        <f>AJ199</f>
        <v>20101</v>
      </c>
      <c r="AL199" s="3">
        <f>AK199</f>
        <v>20101</v>
      </c>
      <c r="AM199" s="3">
        <f>AL199</f>
        <v>20101</v>
      </c>
      <c r="AN199" s="3">
        <f>AM199</f>
        <v>20101</v>
      </c>
      <c r="AO199" s="3">
        <f>AN199</f>
        <v>20101</v>
      </c>
      <c r="AP199" s="3">
        <f>AO199</f>
        <v>20101</v>
      </c>
      <c r="AQ199" s="3">
        <f>AP199</f>
        <v>20101</v>
      </c>
      <c r="AR199" s="3">
        <f>AQ199</f>
        <v>20101</v>
      </c>
      <c r="AS199" s="3">
        <f>AR199</f>
        <v>20101</v>
      </c>
      <c r="AT199" s="3">
        <f>AS199</f>
        <v>20101</v>
      </c>
      <c r="AU199" s="3">
        <f>AT199</f>
        <v>20101</v>
      </c>
      <c r="AV199" s="3">
        <f>AU199</f>
        <v>20101</v>
      </c>
      <c r="AW199" s="3">
        <f>AV199</f>
        <v>20101</v>
      </c>
      <c r="AX199" s="3">
        <f>AW199</f>
        <v>20101</v>
      </c>
      <c r="AY199" s="3">
        <f>AX199</f>
        <v>20101</v>
      </c>
      <c r="AZ199" s="3">
        <f>AY199</f>
        <v>20101</v>
      </c>
      <c r="BA199" s="3">
        <f>AZ199</f>
        <v>20101</v>
      </c>
      <c r="BB199" s="3">
        <f>BA199</f>
        <v>20101</v>
      </c>
      <c r="BC199" s="3">
        <f>BB199</f>
        <v>20101</v>
      </c>
      <c r="BD199" s="3">
        <f>BC199</f>
        <v>20101</v>
      </c>
      <c r="BE199" s="3">
        <f>BD199</f>
        <v>20101</v>
      </c>
      <c r="BF199" s="3">
        <f>BE199</f>
        <v>20101</v>
      </c>
      <c r="BG199" s="3">
        <f>BF199</f>
        <v>20101</v>
      </c>
      <c r="BH199" s="3">
        <f>BG199</f>
        <v>20101</v>
      </c>
      <c r="BI199" s="3">
        <f>BH199</f>
        <v>20101</v>
      </c>
      <c r="BJ199" s="3">
        <f>BI199</f>
        <v>20101</v>
      </c>
      <c r="BK199" s="3">
        <f>BJ199</f>
        <v>20101</v>
      </c>
      <c r="BL199" s="3">
        <f>BK199</f>
        <v>20101</v>
      </c>
      <c r="BM199" s="3">
        <f>BL199</f>
        <v>20101</v>
      </c>
      <c r="BN199" s="3">
        <f>BM199</f>
        <v>20101</v>
      </c>
      <c r="BO199" s="3">
        <f>BN199</f>
        <v>20101</v>
      </c>
      <c r="BP199" s="3">
        <f>BO199</f>
        <v>20101</v>
      </c>
      <c r="BQ199" s="3">
        <f>BP199</f>
        <v>20101</v>
      </c>
      <c r="BR199" s="3">
        <f>BQ199</f>
        <v>20101</v>
      </c>
      <c r="BS199" s="3">
        <f>BR199</f>
        <v>20101</v>
      </c>
      <c r="BT199" s="3">
        <f>BS199</f>
        <v>20101</v>
      </c>
      <c r="BU199" s="3">
        <f>BT199</f>
        <v>20101</v>
      </c>
      <c r="BV199" s="3">
        <f>BU199</f>
        <v>20101</v>
      </c>
      <c r="BW199" s="3">
        <f>BV199</f>
        <v>20101</v>
      </c>
      <c r="BX199" s="3">
        <f>BW199</f>
        <v>20101</v>
      </c>
      <c r="BY199" s="3">
        <f>BX199</f>
        <v>20101</v>
      </c>
      <c r="BZ199" s="3">
        <f>BY199</f>
        <v>20101</v>
      </c>
      <c r="CA199" s="3">
        <f>BZ199</f>
        <v>20101</v>
      </c>
      <c r="CB199" s="3">
        <f>CA199</f>
        <v>20101</v>
      </c>
      <c r="CC199" s="3">
        <f>CB199</f>
        <v>20101</v>
      </c>
      <c r="CD199" s="3">
        <f>CC199</f>
        <v>20101</v>
      </c>
      <c r="CE199" s="3">
        <f>CD199</f>
        <v>20101</v>
      </c>
      <c r="CF199" s="3">
        <f>CE199</f>
        <v>20101</v>
      </c>
      <c r="CG199" s="3">
        <f>CF199</f>
        <v>20101</v>
      </c>
      <c r="CH199" s="3">
        <f>CG199</f>
        <v>20101</v>
      </c>
      <c r="CI199" s="3">
        <f>CH199</f>
        <v>20101</v>
      </c>
      <c r="CJ199" s="3">
        <f>CI199</f>
        <v>20101</v>
      </c>
      <c r="CK199" s="3">
        <f>CJ199</f>
        <v>20101</v>
      </c>
      <c r="CL199" s="3">
        <f>CK199</f>
        <v>20101</v>
      </c>
      <c r="CM199" s="3">
        <f>CL199</f>
        <v>20101</v>
      </c>
      <c r="CN199" s="3">
        <f>CM199</f>
        <v>20101</v>
      </c>
      <c r="CO199" s="3">
        <f>CN199</f>
        <v>20101</v>
      </c>
      <c r="CP199" s="3">
        <f>CO199</f>
        <v>20101</v>
      </c>
      <c r="CQ199" s="3">
        <f>CP199</f>
        <v>20101</v>
      </c>
      <c r="CR199" s="3">
        <f>CQ199</f>
        <v>20101</v>
      </c>
      <c r="CS199" s="3">
        <f>CR199</f>
        <v>20101</v>
      </c>
      <c r="CT199" s="3">
        <f>CS199</f>
        <v>20101</v>
      </c>
      <c r="CU199" s="3">
        <f>CT199</f>
        <v>20101</v>
      </c>
      <c r="CV199" s="3">
        <f>CU199</f>
        <v>20101</v>
      </c>
      <c r="CW199" s="3">
        <f>CV199</f>
        <v>20101</v>
      </c>
      <c r="CX199" s="3">
        <f>CW199</f>
        <v>20101</v>
      </c>
      <c r="CY199" s="3">
        <f>CX199</f>
        <v>20101</v>
      </c>
    </row>
    <row r="200" hidden="1" outlineLevel="1">
      <c r="C200" s="38" t="inlineStr">
        <is>
          <t>%(Var.)</t>
        </is>
      </c>
      <c r="D200" s="3" t="n"/>
      <c r="E200" s="47">
        <f>(E199-D199)/D199</f>
        <v>0.0768463073852296</v>
      </c>
      <c r="F200" s="47">
        <f>(F199-E199)/E199</f>
        <v>-0.0333642261353105</v>
      </c>
      <c r="G200" s="47">
        <f>(G199-F199)/F199</f>
        <v>-0.0176174496644295</v>
      </c>
      <c r="H200" s="3" t="n"/>
      <c r="I200" s="47">
        <f>(I199-H199)/H199</f>
        <v>0.00390386726851287</v>
      </c>
      <c r="J200" s="47">
        <f>(J199-I199)/I199</f>
        <v>0.0709685259448293</v>
      </c>
      <c r="K200" s="47">
        <f>(K199-J199)/J199</f>
        <v>0.110972427096335</v>
      </c>
      <c r="L200" s="47">
        <f>(L199-K199)/K199</f>
        <v>-0.0113369420896742</v>
      </c>
      <c r="M200" s="3" t="n"/>
      <c r="N200" s="47">
        <f>(N199-M199)/M199</f>
        <v>0.062396694214876</v>
      </c>
      <c r="O200" s="47">
        <f>(O199-N199)/N199</f>
        <v>0.0316024893037729</v>
      </c>
      <c r="P200" s="47">
        <f>(P199-O199)/O199</f>
        <v>0.00989725704590442</v>
      </c>
      <c r="Q200" s="47">
        <f>(Q199-P199)/P199</f>
        <v>0.0690685084935598</v>
      </c>
      <c r="R200" s="3" t="n"/>
      <c r="S200" s="47">
        <f>(S199-R199)/R199</f>
        <v>0.00680984808800419</v>
      </c>
      <c r="T200" s="47">
        <f>(T199-S199)/S199</f>
        <v>0.0682448838015956</v>
      </c>
      <c r="U200" s="47">
        <f>(U199-T199)/T199</f>
        <v>0.0311713613117948</v>
      </c>
      <c r="V200" s="47">
        <f>(V199-U199)/U199</f>
        <v>0.12705660080296</v>
      </c>
      <c r="W200" s="3" t="n"/>
      <c r="X200" s="47">
        <f>(X199-W199)/W199</f>
        <v>0.0287071313822728</v>
      </c>
      <c r="Y200" s="47">
        <f>(Y199-X199)/X199</f>
        <v>-0.0037343834872352</v>
      </c>
      <c r="Z200" s="47">
        <f>(Z199-Y199)/Y199</f>
        <v>0.0851904859265317</v>
      </c>
      <c r="AA200" s="47">
        <f>(AA199-Z199)/Z199</f>
        <v>0.0266281479620675</v>
      </c>
      <c r="AB200" s="3" t="n"/>
      <c r="AC200" s="47">
        <f>(AC199-AB199)/AB199</f>
        <v>-0.00397626475805958</v>
      </c>
      <c r="AD200" s="47">
        <f>(AD199-AC199)/AC199</f>
        <v>0.0315686033656799</v>
      </c>
      <c r="AE200" s="47">
        <f>(AE199-AD199)/AD199</f>
        <v>0.0997261252679209</v>
      </c>
      <c r="AF200" s="218">
        <f>(AF199-AE199)/AE199</f>
        <v>-0.00692978182015051</v>
      </c>
      <c r="AG200" s="3" t="n"/>
      <c r="AH200" s="218">
        <f>(AH199-AG199)/AG199</f>
        <v>0.0599138635991932</v>
      </c>
      <c r="AI200" s="218">
        <f>(AI199-AH199)/AH199</f>
        <v>0.0338956897438535</v>
      </c>
      <c r="AJ200" s="218" t="n"/>
      <c r="AK200" s="218" t="n"/>
      <c r="AL200" s="3" t="n"/>
      <c r="AM200" s="218" t="n"/>
      <c r="AN200" s="218" t="n"/>
      <c r="AO200" s="218" t="n"/>
      <c r="AP200" s="218" t="n"/>
      <c r="AQ200" s="3" t="n"/>
      <c r="AR200" s="218" t="n"/>
      <c r="AS200" s="218" t="n"/>
      <c r="AT200" s="218" t="n"/>
      <c r="AU200" s="218" t="n"/>
      <c r="AV200" s="3" t="n"/>
      <c r="AW200" s="218" t="n"/>
      <c r="AX200" s="218" t="n"/>
      <c r="AY200" s="218" t="n"/>
      <c r="AZ200" s="218" t="n"/>
      <c r="BA200" s="3" t="n"/>
      <c r="BB200" s="218" t="n"/>
      <c r="BC200" s="218" t="n"/>
      <c r="BD200" s="218" t="n"/>
      <c r="BE200" s="218" t="n"/>
      <c r="BF200" s="3" t="n"/>
      <c r="BG200" s="218" t="n"/>
      <c r="BH200" s="218" t="n"/>
      <c r="BI200" s="218" t="n"/>
      <c r="BJ200" s="218" t="n"/>
      <c r="BK200" s="3" t="n"/>
      <c r="BL200" s="218" t="n"/>
      <c r="BM200" s="218" t="n"/>
      <c r="BN200" s="218" t="n"/>
      <c r="BO200" s="218" t="n"/>
      <c r="BP200" s="3" t="n"/>
      <c r="BQ200" s="218" t="n"/>
      <c r="BR200" s="218" t="n"/>
      <c r="BS200" s="218" t="n"/>
      <c r="BT200" s="218" t="n"/>
      <c r="BU200" s="3" t="n"/>
      <c r="BV200" s="218" t="n"/>
      <c r="BW200" s="218" t="n"/>
      <c r="BX200" s="218" t="n"/>
      <c r="BY200" s="218" t="n"/>
      <c r="BZ200" s="3" t="n"/>
      <c r="CA200" s="218" t="n"/>
      <c r="CB200" s="218" t="n"/>
      <c r="CC200" s="218" t="n"/>
      <c r="CD200" s="218" t="n"/>
      <c r="CE200" s="3" t="n"/>
      <c r="CF200" s="218" t="n"/>
      <c r="CG200" s="218" t="n"/>
      <c r="CH200" s="218" t="n"/>
      <c r="CI200" s="218" t="n"/>
      <c r="CJ200" s="3" t="n"/>
      <c r="CK200" s="218" t="n"/>
      <c r="CL200" s="218" t="n"/>
      <c r="CM200" s="218" t="n"/>
      <c r="CN200" s="218" t="n"/>
      <c r="CO200" s="3" t="n"/>
      <c r="CP200" s="218" t="n"/>
      <c r="CQ200" s="218" t="n"/>
      <c r="CR200" s="218" t="n"/>
      <c r="CS200" s="218" t="n"/>
      <c r="CT200" s="3" t="n"/>
      <c r="CU200" s="218" t="n"/>
      <c r="CV200" s="218" t="n"/>
      <c r="CW200" s="218" t="n"/>
      <c r="CX200" s="218" t="n"/>
      <c r="CY200" s="3" t="n"/>
    </row>
    <row r="201" hidden="1" outlineLevel="1">
      <c r="C201" s="34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/>
      <c r="AF201" s="3" t="n"/>
      <c r="AG201" s="3" t="n"/>
      <c r="AH201" s="3" t="n"/>
      <c r="AI201" s="3" t="n"/>
      <c r="AJ201" s="3" t="n"/>
      <c r="AK201" s="3" t="n"/>
      <c r="AL201" s="3" t="n"/>
      <c r="AM201" s="3" t="n"/>
      <c r="AN201" s="3" t="n"/>
      <c r="AO201" s="3" t="n"/>
      <c r="AP201" s="3" t="n"/>
      <c r="AQ201" s="3" t="n"/>
      <c r="AR201" s="3" t="n"/>
      <c r="AS201" s="3" t="n"/>
      <c r="AT201" s="3" t="n"/>
      <c r="AU201" s="3" t="n"/>
      <c r="AV201" s="3" t="n"/>
      <c r="AW201" s="3" t="n"/>
      <c r="AX201" s="3" t="n"/>
      <c r="AY201" s="3" t="n"/>
      <c r="AZ201" s="3" t="n"/>
      <c r="BA201" s="3" t="n"/>
      <c r="BB201" s="3" t="n"/>
      <c r="BC201" s="3" t="n"/>
      <c r="BD201" s="3" t="n"/>
      <c r="BE201" s="3" t="n"/>
      <c r="BF201" s="3" t="n"/>
      <c r="BG201" s="3" t="n"/>
      <c r="BH201" s="3" t="n"/>
      <c r="BI201" s="3" t="n"/>
      <c r="BJ201" s="3" t="n"/>
      <c r="BK201" s="3" t="n"/>
      <c r="BL201" s="3" t="n"/>
      <c r="BM201" s="3" t="n"/>
      <c r="BN201" s="3" t="n"/>
      <c r="BO201" s="3" t="n"/>
      <c r="BP201" s="3" t="n"/>
      <c r="BQ201" s="3" t="n"/>
      <c r="BR201" s="3" t="n"/>
      <c r="BS201" s="3" t="n"/>
      <c r="BT201" s="3" t="n"/>
      <c r="BU201" s="3" t="n"/>
      <c r="BV201" s="3" t="n"/>
      <c r="BW201" s="3" t="n"/>
      <c r="BX201" s="3" t="n"/>
      <c r="BY201" s="3" t="n"/>
      <c r="BZ201" s="3" t="n"/>
      <c r="CA201" s="3" t="n"/>
      <c r="CB201" s="3" t="n"/>
      <c r="CC201" s="3" t="n"/>
      <c r="CD201" s="3" t="n"/>
      <c r="CE201" s="3" t="n"/>
      <c r="CF201" s="3" t="n"/>
      <c r="CG201" s="3" t="n"/>
      <c r="CH201" s="3" t="n"/>
      <c r="CI201" s="3" t="n"/>
      <c r="CJ201" s="3" t="n"/>
      <c r="CK201" s="3" t="n"/>
      <c r="CL201" s="3" t="n"/>
      <c r="CM201" s="3" t="n"/>
      <c r="CN201" s="3" t="n"/>
      <c r="CO201" s="3" t="n"/>
      <c r="CP201" s="3" t="n"/>
      <c r="CQ201" s="3" t="n"/>
      <c r="CR201" s="3" t="n"/>
      <c r="CS201" s="3" t="n"/>
      <c r="CT201" s="3" t="n"/>
      <c r="CU201" s="3" t="n"/>
      <c r="CV201" s="3" t="n"/>
      <c r="CW201" s="3" t="n"/>
      <c r="CX201" s="3" t="n"/>
      <c r="CY201" s="3" t="n"/>
    </row>
    <row r="202" hidden="1" outlineLevel="1">
      <c r="C202" s="34" t="inlineStr">
        <is>
          <t xml:space="preserve">Dividendos a Pagar </t>
        </is>
      </c>
      <c r="D202" s="6" t="n"/>
      <c r="E202" s="6" t="n"/>
      <c r="F202" s="6" t="n"/>
      <c r="G202" s="6" t="n"/>
      <c r="H202" s="3" t="n"/>
      <c r="I202" s="6" t="n"/>
      <c r="J202" s="6" t="n"/>
      <c r="K202" s="6" t="n"/>
      <c r="L202" s="6" t="n"/>
      <c r="M202" s="3" t="n"/>
      <c r="N202" s="6" t="n"/>
      <c r="O202" s="6" t="n"/>
      <c r="P202" s="6" t="n"/>
      <c r="Q202" s="6" t="n"/>
      <c r="R202" s="3" t="n"/>
      <c r="S202" s="6" t="n"/>
      <c r="T202" s="6" t="n"/>
      <c r="U202" s="6" t="n"/>
      <c r="V202" s="6" t="n"/>
      <c r="W202" s="3" t="n"/>
      <c r="X202" s="6" t="n"/>
      <c r="Y202" s="6" t="n"/>
      <c r="Z202" s="6" t="n"/>
      <c r="AA202" s="6" t="n"/>
      <c r="AB202" s="3" t="n"/>
      <c r="AC202" s="6" t="n"/>
      <c r="AD202" s="6" t="n"/>
      <c r="AE202" s="6" t="n"/>
      <c r="AF202" s="6" t="n"/>
      <c r="AG202" s="3" t="n"/>
      <c r="AH202" s="6" t="n"/>
      <c r="AI202" s="6" t="n"/>
      <c r="AJ202" s="6" t="n"/>
      <c r="AK202" s="6" t="n"/>
      <c r="AL202" s="3" t="n"/>
      <c r="AM202" s="6" t="n"/>
      <c r="AN202" s="6" t="n"/>
      <c r="AO202" s="6" t="n"/>
      <c r="AP202" s="6" t="n"/>
      <c r="AQ202" s="3" t="n"/>
      <c r="AR202" s="6" t="n"/>
      <c r="AS202" s="6" t="n"/>
      <c r="AT202" s="6" t="n"/>
      <c r="AU202" s="6" t="n"/>
      <c r="AV202" s="3" t="n"/>
      <c r="AW202" s="6" t="n"/>
      <c r="AX202" s="6" t="n"/>
      <c r="AY202" s="6" t="n"/>
      <c r="AZ202" s="6" t="n"/>
      <c r="BA202" s="3" t="n"/>
      <c r="BB202" s="6" t="n"/>
      <c r="BC202" s="6" t="n"/>
      <c r="BD202" s="6" t="n"/>
      <c r="BE202" s="6" t="n"/>
      <c r="BF202" s="3" t="n"/>
      <c r="BG202" s="6" t="n"/>
      <c r="BH202" s="6" t="n"/>
      <c r="BI202" s="6" t="n"/>
      <c r="BJ202" s="6" t="n"/>
      <c r="BK202" s="3" t="n"/>
      <c r="BL202" s="6" t="n"/>
      <c r="BM202" s="6" t="n"/>
      <c r="BN202" s="6" t="n"/>
      <c r="BO202" s="6" t="n"/>
      <c r="BP202" s="3" t="n"/>
      <c r="BQ202" s="6" t="n"/>
      <c r="BR202" s="6" t="n"/>
      <c r="BS202" s="6" t="n"/>
      <c r="BT202" s="6" t="n"/>
      <c r="BU202" s="3" t="n"/>
      <c r="BV202" s="6" t="n"/>
      <c r="BW202" s="6" t="n"/>
      <c r="BX202" s="6" t="n"/>
      <c r="BY202" s="6" t="n"/>
      <c r="BZ202" s="3" t="n"/>
      <c r="CA202" s="6" t="n"/>
      <c r="CB202" s="6" t="n"/>
      <c r="CC202" s="6" t="n"/>
      <c r="CD202" s="6" t="n"/>
      <c r="CE202" s="3" t="n"/>
      <c r="CF202" s="6" t="n"/>
      <c r="CG202" s="6" t="n"/>
      <c r="CH202" s="6" t="n"/>
      <c r="CI202" s="6" t="n"/>
      <c r="CJ202" s="3" t="n"/>
      <c r="CK202" s="6" t="n"/>
      <c r="CL202" s="6" t="n"/>
      <c r="CM202" s="6" t="n"/>
      <c r="CN202" s="6" t="n"/>
      <c r="CO202" s="3" t="n"/>
      <c r="CP202" s="6" t="n"/>
      <c r="CQ202" s="6" t="n"/>
      <c r="CR202" s="6" t="n"/>
      <c r="CS202" s="6" t="n"/>
      <c r="CT202" s="3" t="n"/>
      <c r="CU202" s="6" t="n"/>
      <c r="CV202" s="6" t="n"/>
      <c r="CW202" s="6" t="n"/>
      <c r="CX202" s="6" t="n"/>
      <c r="CY202" s="3" t="n"/>
    </row>
    <row r="203" hidden="1" outlineLevel="1">
      <c r="C203" s="34" t="inlineStr">
        <is>
          <t>Contas a pagar pela aquisição de controladas</t>
        </is>
      </c>
      <c r="D203" s="6" t="n"/>
      <c r="E203" s="6" t="n"/>
      <c r="F203" s="6" t="n"/>
      <c r="G203" s="6" t="n"/>
      <c r="H203" s="3" t="n"/>
      <c r="I203" s="6" t="n"/>
      <c r="J203" s="6" t="n"/>
      <c r="K203" s="6" t="n"/>
      <c r="L203" s="6" t="n"/>
      <c r="M203" s="3" t="n"/>
      <c r="N203" s="6" t="n"/>
      <c r="O203" s="6" t="n"/>
      <c r="P203" s="6" t="n"/>
      <c r="Q203" s="6" t="n"/>
      <c r="R203" s="3" t="n"/>
      <c r="S203" s="6" t="n"/>
      <c r="T203" s="6" t="n"/>
      <c r="U203" s="6" t="n"/>
      <c r="V203" s="6" t="n"/>
      <c r="W203" s="3" t="n"/>
      <c r="X203" s="6" t="n"/>
      <c r="Y203" s="6" t="n"/>
      <c r="Z203" s="6" t="n"/>
      <c r="AA203" s="6" t="n"/>
      <c r="AB203" s="3" t="n"/>
      <c r="AC203" s="6" t="n"/>
      <c r="AD203" s="6" t="n"/>
      <c r="AE203" s="6" t="n"/>
      <c r="AF203" s="6" t="n"/>
      <c r="AG203" s="3" t="n"/>
      <c r="AH203" s="6" t="n"/>
      <c r="AI203" s="6" t="n"/>
      <c r="AJ203" s="6" t="n"/>
      <c r="AK203" s="6" t="n"/>
      <c r="AL203" s="3" t="n"/>
      <c r="AM203" s="6" t="n"/>
      <c r="AN203" s="6" t="n"/>
      <c r="AO203" s="6" t="n"/>
      <c r="AP203" s="6" t="n"/>
      <c r="AQ203" s="3" t="n"/>
      <c r="AR203" s="6" t="n"/>
      <c r="AS203" s="6" t="n"/>
      <c r="AT203" s="6" t="n"/>
      <c r="AU203" s="6" t="n"/>
      <c r="AV203" s="3" t="n"/>
      <c r="AW203" s="6" t="n"/>
      <c r="AX203" s="6" t="n"/>
      <c r="AY203" s="6" t="n"/>
      <c r="AZ203" s="6" t="n"/>
      <c r="BA203" s="3" t="n"/>
      <c r="BB203" s="6" t="n"/>
      <c r="BC203" s="6" t="n"/>
      <c r="BD203" s="6" t="n"/>
      <c r="BE203" s="6" t="n"/>
      <c r="BF203" s="3" t="n"/>
      <c r="BG203" s="6" t="n"/>
      <c r="BH203" s="6" t="n"/>
      <c r="BI203" s="6" t="n"/>
      <c r="BJ203" s="6" t="n"/>
      <c r="BK203" s="3" t="n"/>
      <c r="BL203" s="6" t="n"/>
      <c r="BM203" s="6" t="n"/>
      <c r="BN203" s="6" t="n"/>
      <c r="BO203" s="6" t="n"/>
      <c r="BP203" s="3" t="n"/>
      <c r="BQ203" s="6" t="n"/>
      <c r="BR203" s="6" t="n"/>
      <c r="BS203" s="6" t="n"/>
      <c r="BT203" s="6" t="n"/>
      <c r="BU203" s="3" t="n"/>
      <c r="BV203" s="6" t="n"/>
      <c r="BW203" s="6" t="n"/>
      <c r="BX203" s="6" t="n"/>
      <c r="BY203" s="6" t="n"/>
      <c r="BZ203" s="3" t="n"/>
      <c r="CA203" s="6" t="n"/>
      <c r="CB203" s="6" t="n"/>
      <c r="CC203" s="6" t="n"/>
      <c r="CD203" s="6" t="n"/>
      <c r="CE203" s="3" t="n"/>
      <c r="CF203" s="6" t="n"/>
      <c r="CG203" s="6" t="n"/>
      <c r="CH203" s="6" t="n"/>
      <c r="CI203" s="6" t="n"/>
      <c r="CJ203" s="3" t="n"/>
      <c r="CK203" s="6" t="n"/>
      <c r="CL203" s="6" t="n"/>
      <c r="CM203" s="6" t="n"/>
      <c r="CN203" s="6" t="n"/>
      <c r="CO203" s="3" t="n"/>
      <c r="CP203" s="6" t="n"/>
      <c r="CQ203" s="6" t="n"/>
      <c r="CR203" s="6" t="n"/>
      <c r="CS203" s="6" t="n"/>
      <c r="CT203" s="3" t="n"/>
      <c r="CU203" s="6" t="n"/>
      <c r="CV203" s="6" t="n"/>
      <c r="CW203" s="6" t="n"/>
      <c r="CX203" s="6" t="n"/>
      <c r="CY203" s="3" t="n"/>
    </row>
    <row r="204" hidden="1" outlineLevel="1">
      <c r="C204" s="34" t="inlineStr">
        <is>
          <t>Outros</t>
        </is>
      </c>
      <c r="D204" s="6" t="n"/>
      <c r="E204" s="6" t="n"/>
      <c r="F204" s="6" t="n"/>
      <c r="G204" s="6" t="n"/>
      <c r="H204" s="3" t="n"/>
      <c r="I204" s="6" t="n"/>
      <c r="J204" s="6" t="n"/>
      <c r="K204" s="6" t="n"/>
      <c r="L204" s="6" t="n"/>
      <c r="M204" s="3" t="n"/>
      <c r="N204" s="6" t="n"/>
      <c r="O204" s="6" t="n"/>
      <c r="P204" s="6" t="n"/>
      <c r="Q204" s="6" t="n"/>
      <c r="R204" s="3" t="n"/>
      <c r="S204" s="6" t="n"/>
      <c r="T204" s="6" t="n"/>
      <c r="U204" s="6" t="n"/>
      <c r="V204" s="6" t="n"/>
      <c r="W204" s="3" t="n"/>
      <c r="X204" s="6" t="n"/>
      <c r="Y204" s="6" t="n"/>
      <c r="Z204" s="6" t="n"/>
      <c r="AA204" s="6" t="n"/>
      <c r="AB204" s="3" t="n"/>
      <c r="AC204" s="6" t="n"/>
      <c r="AD204" s="6" t="n"/>
      <c r="AE204" s="6" t="n"/>
      <c r="AF204" s="6" t="n"/>
      <c r="AG204" s="3" t="n"/>
      <c r="AH204" s="6" t="n"/>
      <c r="AI204" s="6" t="n"/>
      <c r="AJ204" s="6" t="n"/>
      <c r="AK204" s="6" t="n"/>
      <c r="AL204" s="3" t="n"/>
      <c r="AM204" s="6" t="n"/>
      <c r="AN204" s="6" t="n"/>
      <c r="AO204" s="6" t="n"/>
      <c r="AP204" s="6" t="n"/>
      <c r="AQ204" s="3" t="n"/>
      <c r="AR204" s="6" t="n"/>
      <c r="AS204" s="6" t="n"/>
      <c r="AT204" s="6" t="n"/>
      <c r="AU204" s="6" t="n"/>
      <c r="AV204" s="3" t="n"/>
      <c r="AW204" s="6" t="n"/>
      <c r="AX204" s="6" t="n"/>
      <c r="AY204" s="6" t="n"/>
      <c r="AZ204" s="6" t="n"/>
      <c r="BA204" s="3" t="n"/>
      <c r="BB204" s="6" t="n"/>
      <c r="BC204" s="6" t="n"/>
      <c r="BD204" s="6" t="n"/>
      <c r="BE204" s="6" t="n"/>
      <c r="BF204" s="3" t="n"/>
      <c r="BG204" s="6" t="n"/>
      <c r="BH204" s="6" t="n"/>
      <c r="BI204" s="6" t="n"/>
      <c r="BJ204" s="6" t="n"/>
      <c r="BK204" s="3" t="n"/>
      <c r="BL204" s="6" t="n"/>
      <c r="BM204" s="6" t="n"/>
      <c r="BN204" s="6" t="n"/>
      <c r="BO204" s="6" t="n"/>
      <c r="BP204" s="3" t="n"/>
      <c r="BQ204" s="6" t="n"/>
      <c r="BR204" s="6" t="n"/>
      <c r="BS204" s="6" t="n"/>
      <c r="BT204" s="6" t="n"/>
      <c r="BU204" s="3" t="n"/>
      <c r="BV204" s="6" t="n"/>
      <c r="BW204" s="6" t="n"/>
      <c r="BX204" s="6" t="n"/>
      <c r="BY204" s="6" t="n"/>
      <c r="BZ204" s="3" t="n"/>
      <c r="CA204" s="6" t="n"/>
      <c r="CB204" s="6" t="n"/>
      <c r="CC204" s="6" t="n"/>
      <c r="CD204" s="6" t="n"/>
      <c r="CE204" s="3" t="n"/>
      <c r="CF204" s="6" t="n"/>
      <c r="CG204" s="6" t="n"/>
      <c r="CH204" s="6" t="n"/>
      <c r="CI204" s="6" t="n"/>
      <c r="CJ204" s="3" t="n"/>
      <c r="CK204" s="6" t="n"/>
      <c r="CL204" s="6" t="n"/>
      <c r="CM204" s="6" t="n"/>
      <c r="CN204" s="6" t="n"/>
      <c r="CO204" s="3" t="n"/>
      <c r="CP204" s="6" t="n"/>
      <c r="CQ204" s="6" t="n"/>
      <c r="CR204" s="6" t="n"/>
      <c r="CS204" s="6" t="n"/>
      <c r="CT204" s="3" t="n"/>
      <c r="CU204" s="6" t="n"/>
      <c r="CV204" s="6" t="n"/>
      <c r="CW204" s="6" t="n"/>
      <c r="CX204" s="6" t="n"/>
      <c r="CY204" s="3" t="n"/>
    </row>
    <row r="205" hidden="1" outlineLevel="1">
      <c r="C205" s="34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  <c r="AB205" s="3" t="n"/>
      <c r="AC205" s="3" t="n"/>
      <c r="AD205" s="3" t="n"/>
      <c r="AE205" s="3" t="n"/>
      <c r="AF205" s="3" t="n"/>
      <c r="AG205" s="3" t="n"/>
      <c r="AH205" s="3" t="n"/>
      <c r="AI205" s="3" t="n"/>
      <c r="AJ205" s="3" t="n"/>
      <c r="AK205" s="3" t="n"/>
      <c r="AL205" s="3" t="n"/>
      <c r="AM205" s="3" t="n"/>
      <c r="AN205" s="3" t="n"/>
      <c r="AO205" s="3" t="n"/>
      <c r="AP205" s="3" t="n"/>
      <c r="AQ205" s="3" t="n"/>
      <c r="AR205" s="3" t="n"/>
      <c r="AS205" s="3" t="n"/>
      <c r="AT205" s="3" t="n"/>
      <c r="AU205" s="3" t="n"/>
      <c r="AV205" s="3" t="n"/>
      <c r="AW205" s="3" t="n"/>
      <c r="AX205" s="3" t="n"/>
      <c r="AY205" s="3" t="n"/>
      <c r="AZ205" s="3" t="n"/>
      <c r="BA205" s="3" t="n"/>
      <c r="BB205" s="3" t="n"/>
      <c r="BC205" s="3" t="n"/>
      <c r="BD205" s="3" t="n"/>
      <c r="BE205" s="3" t="n"/>
      <c r="BF205" s="3" t="n"/>
      <c r="BG205" s="3" t="n"/>
      <c r="BH205" s="3" t="n"/>
      <c r="BI205" s="3" t="n"/>
      <c r="BJ205" s="3" t="n"/>
      <c r="BK205" s="3" t="n"/>
      <c r="BL205" s="3" t="n"/>
      <c r="BM205" s="3" t="n"/>
      <c r="BN205" s="3" t="n"/>
      <c r="BO205" s="3" t="n"/>
      <c r="BP205" s="3" t="n"/>
      <c r="BQ205" s="3" t="n"/>
      <c r="BR205" s="3" t="n"/>
      <c r="BS205" s="3" t="n"/>
      <c r="BT205" s="3" t="n"/>
      <c r="BU205" s="3" t="n"/>
      <c r="BV205" s="3" t="n"/>
      <c r="BW205" s="3" t="n"/>
      <c r="BX205" s="3" t="n"/>
      <c r="BY205" s="3" t="n"/>
      <c r="BZ205" s="3" t="n"/>
      <c r="CA205" s="3" t="n"/>
      <c r="CB205" s="3" t="n"/>
      <c r="CC205" s="3" t="n"/>
      <c r="CD205" s="3" t="n"/>
      <c r="CE205" s="3" t="n"/>
      <c r="CF205" s="3" t="n"/>
      <c r="CG205" s="3" t="n"/>
      <c r="CH205" s="3" t="n"/>
      <c r="CI205" s="3" t="n"/>
      <c r="CJ205" s="3" t="n"/>
      <c r="CK205" s="3" t="n"/>
      <c r="CL205" s="3" t="n"/>
      <c r="CM205" s="3" t="n"/>
      <c r="CN205" s="3" t="n"/>
      <c r="CO205" s="3" t="n"/>
      <c r="CP205" s="3" t="n"/>
      <c r="CQ205" s="3" t="n"/>
      <c r="CR205" s="3" t="n"/>
      <c r="CS205" s="3" t="n"/>
      <c r="CT205" s="3" t="n"/>
      <c r="CU205" s="3" t="n"/>
      <c r="CV205" s="3" t="n"/>
      <c r="CW205" s="3" t="n"/>
      <c r="CX205" s="3" t="n"/>
      <c r="CY205" s="3" t="n"/>
    </row>
    <row r="206" collapsed="1">
      <c r="C206" s="26" t="inlineStr">
        <is>
          <t>Current portion of long-term debt</t>
        </is>
      </c>
      <c r="D206" s="25">
        <f>INDEX('Inputs (2)'!$D$32:$AL$32,MATCH(D$7,'Inputs (2)'!$D$2:$AL$2,0))</f>
        <v>0</v>
      </c>
      <c r="E206" s="25">
        <f>INDEX('Inputs (2)'!$D$32:$AL$32,MATCH(E$7,'Inputs (2)'!$D$2:$AL$2,0))</f>
        <v>0</v>
      </c>
      <c r="F206" s="25">
        <f>INDEX('Inputs (2)'!$D$32:$AL$32,MATCH(F$7,'Inputs (2)'!$D$2:$AL$2,0))</f>
        <v>0</v>
      </c>
      <c r="G206" s="25">
        <f>INDEX('Inputs (2)'!$D$32:$AL$32,MATCH(G$7,'Inputs (2)'!$D$2:$AL$2,0))</f>
        <v>0</v>
      </c>
      <c r="H206" s="3">
        <f>G206</f>
        <v>0</v>
      </c>
      <c r="I206" s="25">
        <f>INDEX('Inputs (2)'!$D$32:$AL$32,MATCH(I$7,'Inputs (2)'!$D$2:$AL$2,0))</f>
        <v>0</v>
      </c>
      <c r="J206" s="25">
        <f>INDEX('Inputs (2)'!$D$32:$AL$32,MATCH(J$7,'Inputs (2)'!$D$2:$AL$2,0))</f>
        <v>0</v>
      </c>
      <c r="K206" s="25">
        <f>INDEX('Inputs (2)'!$D$32:$AL$32,MATCH(K$7,'Inputs (2)'!$D$2:$AL$2,0))</f>
        <v>0</v>
      </c>
      <c r="L206" s="25">
        <f>INDEX('Inputs (2)'!$D$32:$AL$32,MATCH(L$7,'Inputs (2)'!$D$2:$AL$2,0))</f>
        <v>0</v>
      </c>
      <c r="M206" s="3">
        <f>L206</f>
        <v>0</v>
      </c>
      <c r="N206" s="25">
        <f>INDEX('Inputs (2)'!$D$32:$AL$32,MATCH(N$7,'Inputs (2)'!$D$2:$AL$2,0))</f>
        <v>0</v>
      </c>
      <c r="O206" s="25">
        <f>INDEX('Inputs (2)'!$D$32:$AL$32,MATCH(O$7,'Inputs (2)'!$D$2:$AL$2,0))</f>
        <v>0</v>
      </c>
      <c r="P206" s="25">
        <f>INDEX('Inputs (2)'!$D$32:$AL$32,MATCH(P$7,'Inputs (2)'!$D$2:$AL$2,0))</f>
        <v>0</v>
      </c>
      <c r="Q206" s="25">
        <f>INDEX('Inputs (2)'!$D$32:$AL$32,MATCH(Q$7,'Inputs (2)'!$D$2:$AL$2,0))</f>
        <v>0</v>
      </c>
      <c r="R206" s="3">
        <f>Q206</f>
        <v>0</v>
      </c>
      <c r="S206" s="25">
        <f>INDEX('Inputs (2)'!$D$32:$AL$32,MATCH(S$7,'Inputs (2)'!$D$2:$AL$2,0))</f>
        <v>0</v>
      </c>
      <c r="T206" s="25">
        <f>INDEX('Inputs (2)'!$D$32:$AL$32,MATCH(T$7,'Inputs (2)'!$D$2:$AL$2,0))</f>
        <v>0</v>
      </c>
      <c r="U206" s="25">
        <f>INDEX('Inputs (2)'!$D$32:$AL$32,MATCH(U$7,'Inputs (2)'!$D$2:$AL$2,0))</f>
        <v>0</v>
      </c>
      <c r="V206" s="25">
        <f>INDEX('Inputs (2)'!$D$32:$AL$32,MATCH(V$7,'Inputs (2)'!$D$2:$AL$2,0))</f>
        <v>0</v>
      </c>
      <c r="W206" s="3">
        <f>V206</f>
        <v>0</v>
      </c>
      <c r="X206" s="25">
        <f>INDEX('Inputs (2)'!$D$32:$AL$32,MATCH(X$7,'Inputs (2)'!$D$2:$AL$2,0))</f>
        <v>0</v>
      </c>
      <c r="Y206" s="25">
        <f>INDEX('Inputs (2)'!$D$32:$AL$32,MATCH(Y$7,'Inputs (2)'!$D$2:$AL$2,0))</f>
        <v>0</v>
      </c>
      <c r="Z206" s="25">
        <f>INDEX('Inputs (2)'!$D$32:$AL$32,MATCH(Z$7,'Inputs (2)'!$D$2:$AL$2,0))</f>
        <v>0</v>
      </c>
      <c r="AA206" s="25">
        <f>INDEX('Inputs (2)'!$D$32:$AL$32,MATCH(AA$7,'Inputs (2)'!$D$2:$AL$2,0))</f>
        <v>0</v>
      </c>
      <c r="AB206" s="3">
        <f>AA206</f>
        <v>0</v>
      </c>
      <c r="AC206" s="25">
        <f>INDEX('Inputs (2)'!$D$32:$AL$32,MATCH(AC$7,'Inputs (2)'!$D$2:$AL$2,0))</f>
        <v>0</v>
      </c>
      <c r="AD206" s="25">
        <f>INDEX('Inputs (2)'!$D$32:$AL$32,MATCH(AD$7,'Inputs (2)'!$D$2:$AL$2,0))</f>
        <v>0</v>
      </c>
      <c r="AE206" s="25">
        <f>INDEX('Inputs (2)'!$D$32:$AL$32,MATCH(AE$7,'Inputs (2)'!$D$2:$AL$2,0))</f>
        <v>0</v>
      </c>
      <c r="AF206" s="25">
        <f>INDEX('Inputs (2)'!$D$32:$AL$32,MATCH(AF$7,'Inputs (2)'!$D$2:$AL$2,0))</f>
        <v>0</v>
      </c>
      <c r="AG206" s="3">
        <f>AF206</f>
        <v>0</v>
      </c>
      <c r="AH206" s="3">
        <f>INDEX('Inputs (2)'!$D$32:$AL$32,MATCH(AH$7,'Inputs (2)'!$D$2:$AL$2,0))</f>
        <v>0</v>
      </c>
      <c r="AI206" s="3">
        <f>INDEX('Inputs (2)'!$D$32:$AL$32,MATCH(AI$7,'Inputs (2)'!$D$2:$AL$2,0))</f>
        <v>0</v>
      </c>
      <c r="AJ206" s="3">
        <f>AI206</f>
        <v>0</v>
      </c>
      <c r="AK206" s="3">
        <f>AJ206</f>
        <v>0</v>
      </c>
      <c r="AL206" s="3">
        <f>AK206</f>
        <v>0</v>
      </c>
      <c r="AM206" s="3">
        <f>AL206</f>
        <v>0</v>
      </c>
      <c r="AN206" s="3">
        <f>AM206</f>
        <v>0</v>
      </c>
      <c r="AO206" s="3">
        <f>AN206</f>
        <v>0</v>
      </c>
      <c r="AP206" s="3">
        <f>AO206</f>
        <v>0</v>
      </c>
      <c r="AQ206" s="3">
        <f>AP206</f>
        <v>0</v>
      </c>
      <c r="AR206" s="3">
        <f>AQ206</f>
        <v>0</v>
      </c>
      <c r="AS206" s="3">
        <f>AR206</f>
        <v>0</v>
      </c>
      <c r="AT206" s="3">
        <f>AS206</f>
        <v>0</v>
      </c>
      <c r="AU206" s="3">
        <f>AT206</f>
        <v>0</v>
      </c>
      <c r="AV206" s="3">
        <f>AU206</f>
        <v>0</v>
      </c>
      <c r="AW206" s="3">
        <f>AV206</f>
        <v>0</v>
      </c>
      <c r="AX206" s="3">
        <f>AW206</f>
        <v>0</v>
      </c>
      <c r="AY206" s="3">
        <f>AX206</f>
        <v>0</v>
      </c>
      <c r="AZ206" s="3">
        <f>AY206</f>
        <v>0</v>
      </c>
      <c r="BA206" s="3">
        <f>AZ206</f>
        <v>0</v>
      </c>
      <c r="BB206" s="3">
        <f>BA206</f>
        <v>0</v>
      </c>
      <c r="BC206" s="3">
        <f>BB206</f>
        <v>0</v>
      </c>
      <c r="BD206" s="3">
        <f>BC206</f>
        <v>0</v>
      </c>
      <c r="BE206" s="3">
        <f>BD206</f>
        <v>0</v>
      </c>
      <c r="BF206" s="3">
        <f>BE206</f>
        <v>0</v>
      </c>
      <c r="BG206" s="3">
        <f>BF206</f>
        <v>0</v>
      </c>
      <c r="BH206" s="3">
        <f>BG206</f>
        <v>0</v>
      </c>
      <c r="BI206" s="3">
        <f>BH206</f>
        <v>0</v>
      </c>
      <c r="BJ206" s="3">
        <f>BI206</f>
        <v>0</v>
      </c>
      <c r="BK206" s="3">
        <f>BJ206</f>
        <v>0</v>
      </c>
      <c r="BL206" s="3">
        <f>BK206</f>
        <v>0</v>
      </c>
      <c r="BM206" s="3">
        <f>BL206</f>
        <v>0</v>
      </c>
      <c r="BN206" s="3">
        <f>BM206</f>
        <v>0</v>
      </c>
      <c r="BO206" s="3">
        <f>BN206</f>
        <v>0</v>
      </c>
      <c r="BP206" s="3">
        <f>BO206</f>
        <v>0</v>
      </c>
      <c r="BQ206" s="3">
        <f>BP206</f>
        <v>0</v>
      </c>
      <c r="BR206" s="3">
        <f>BQ206</f>
        <v>0</v>
      </c>
      <c r="BS206" s="3">
        <f>BR206</f>
        <v>0</v>
      </c>
      <c r="BT206" s="3">
        <f>BS206</f>
        <v>0</v>
      </c>
      <c r="BU206" s="3">
        <f>BT206</f>
        <v>0</v>
      </c>
      <c r="BV206" s="3">
        <f>BU206</f>
        <v>0</v>
      </c>
      <c r="BW206" s="3">
        <f>BV206</f>
        <v>0</v>
      </c>
      <c r="BX206" s="3">
        <f>BW206</f>
        <v>0</v>
      </c>
      <c r="BY206" s="3">
        <f>BX206</f>
        <v>0</v>
      </c>
      <c r="BZ206" s="3">
        <f>BY206</f>
        <v>0</v>
      </c>
      <c r="CA206" s="3">
        <f>BZ206</f>
        <v>0</v>
      </c>
      <c r="CB206" s="3">
        <f>CA206</f>
        <v>0</v>
      </c>
      <c r="CC206" s="3">
        <f>CB206</f>
        <v>0</v>
      </c>
      <c r="CD206" s="3">
        <f>CC206</f>
        <v>0</v>
      </c>
      <c r="CE206" s="3">
        <f>CD206</f>
        <v>0</v>
      </c>
      <c r="CF206" s="3">
        <f>CE206</f>
        <v>0</v>
      </c>
      <c r="CG206" s="3">
        <f>CF206</f>
        <v>0</v>
      </c>
      <c r="CH206" s="3">
        <f>CG206</f>
        <v>0</v>
      </c>
      <c r="CI206" s="3">
        <f>CH206</f>
        <v>0</v>
      </c>
      <c r="CJ206" s="3">
        <f>CI206</f>
        <v>0</v>
      </c>
      <c r="CK206" s="3">
        <f>CJ206</f>
        <v>0</v>
      </c>
      <c r="CL206" s="3">
        <f>CK206</f>
        <v>0</v>
      </c>
      <c r="CM206" s="3">
        <f>CL206</f>
        <v>0</v>
      </c>
      <c r="CN206" s="3">
        <f>CM206</f>
        <v>0</v>
      </c>
      <c r="CO206" s="3">
        <f>CN206</f>
        <v>0</v>
      </c>
      <c r="CP206" s="3">
        <f>CO206</f>
        <v>0</v>
      </c>
      <c r="CQ206" s="3">
        <f>CP206</f>
        <v>0</v>
      </c>
      <c r="CR206" s="3">
        <f>CQ206</f>
        <v>0</v>
      </c>
      <c r="CS206" s="3">
        <f>CR206</f>
        <v>0</v>
      </c>
      <c r="CT206" s="3">
        <f>CS206</f>
        <v>0</v>
      </c>
      <c r="CU206" s="3">
        <f>CT206</f>
        <v>0</v>
      </c>
      <c r="CV206" s="3">
        <f>CU206</f>
        <v>0</v>
      </c>
      <c r="CW206" s="3">
        <f>CV206</f>
        <v>0</v>
      </c>
      <c r="CX206" s="3">
        <f>CW206</f>
        <v>0</v>
      </c>
      <c r="CY206" s="3">
        <f>CX206</f>
        <v>0</v>
      </c>
    </row>
    <row r="207">
      <c r="C207" s="26" t="inlineStr">
        <is>
          <t>Short term debt (Revolving credit facility)</t>
        </is>
      </c>
      <c r="D207" s="25">
        <f>INDEX('Inputs (2)'!$D$33:$AL$33,MATCH(D$7,'Inputs (2)'!$D$2:$AL$2,0))</f>
        <v>0</v>
      </c>
      <c r="E207" s="25">
        <f>INDEX('Inputs (2)'!$D$33:$AL$33,MATCH(E$7,'Inputs (2)'!$D$2:$AL$2,0))</f>
        <v>0</v>
      </c>
      <c r="F207" s="25">
        <f>INDEX('Inputs (2)'!$D$33:$AL$33,MATCH(F$7,'Inputs (2)'!$D$2:$AL$2,0))</f>
        <v>0</v>
      </c>
      <c r="G207" s="25">
        <f>INDEX('Inputs (2)'!$D$33:$AL$33,MATCH(G$7,'Inputs (2)'!$D$2:$AL$2,0))</f>
        <v>0</v>
      </c>
      <c r="H207" s="3">
        <f>G207</f>
        <v>0</v>
      </c>
      <c r="I207" s="25">
        <f>INDEX('Inputs (2)'!$D$33:$AL$33,MATCH(I$7,'Inputs (2)'!$D$2:$AL$2,0))</f>
        <v>0</v>
      </c>
      <c r="J207" s="25">
        <f>INDEX('Inputs (2)'!$D$33:$AL$33,MATCH(J$7,'Inputs (2)'!$D$2:$AL$2,0))</f>
        <v>0</v>
      </c>
      <c r="K207" s="25">
        <f>INDEX('Inputs (2)'!$D$33:$AL$33,MATCH(K$7,'Inputs (2)'!$D$2:$AL$2,0))</f>
        <v>0</v>
      </c>
      <c r="L207" s="25">
        <f>INDEX('Inputs (2)'!$D$33:$AL$33,MATCH(L$7,'Inputs (2)'!$D$2:$AL$2,0))</f>
        <v>0</v>
      </c>
      <c r="M207" s="3">
        <f>L207</f>
        <v>0</v>
      </c>
      <c r="N207" s="25">
        <f>INDEX('Inputs (2)'!$D$33:$AL$33,MATCH(N$7,'Inputs (2)'!$D$2:$AL$2,0))</f>
        <v>0</v>
      </c>
      <c r="O207" s="25">
        <f>INDEX('Inputs (2)'!$D$33:$AL$33,MATCH(O$7,'Inputs (2)'!$D$2:$AL$2,0))</f>
        <v>0</v>
      </c>
      <c r="P207" s="25">
        <f>INDEX('Inputs (2)'!$D$33:$AL$33,MATCH(P$7,'Inputs (2)'!$D$2:$AL$2,0))</f>
        <v>0</v>
      </c>
      <c r="Q207" s="25">
        <f>INDEX('Inputs (2)'!$D$33:$AL$33,MATCH(Q$7,'Inputs (2)'!$D$2:$AL$2,0))</f>
        <v>0</v>
      </c>
      <c r="R207" s="3">
        <f>Q207</f>
        <v>0</v>
      </c>
      <c r="S207" s="25">
        <f>INDEX('Inputs (2)'!$D$33:$AL$33,MATCH(S$7,'Inputs (2)'!$D$2:$AL$2,0))</f>
        <v>0</v>
      </c>
      <c r="T207" s="25">
        <f>INDEX('Inputs (2)'!$D$33:$AL$33,MATCH(T$7,'Inputs (2)'!$D$2:$AL$2,0))</f>
        <v>0</v>
      </c>
      <c r="U207" s="25">
        <f>INDEX('Inputs (2)'!$D$33:$AL$33,MATCH(U$7,'Inputs (2)'!$D$2:$AL$2,0))</f>
        <v>0</v>
      </c>
      <c r="V207" s="25">
        <f>INDEX('Inputs (2)'!$D$33:$AL$33,MATCH(V$7,'Inputs (2)'!$D$2:$AL$2,0))</f>
        <v>0</v>
      </c>
      <c r="W207" s="3">
        <f>V207</f>
        <v>0</v>
      </c>
      <c r="X207" s="25">
        <f>INDEX('Inputs (2)'!$D$33:$AL$33,MATCH(X$7,'Inputs (2)'!$D$2:$AL$2,0))</f>
        <v>0</v>
      </c>
      <c r="Y207" s="25">
        <f>INDEX('Inputs (2)'!$D$33:$AL$33,MATCH(Y$7,'Inputs (2)'!$D$2:$AL$2,0))</f>
        <v>0</v>
      </c>
      <c r="Z207" s="25">
        <f>INDEX('Inputs (2)'!$D$33:$AL$33,MATCH(Z$7,'Inputs (2)'!$D$2:$AL$2,0))</f>
        <v>0</v>
      </c>
      <c r="AA207" s="25">
        <f>INDEX('Inputs (2)'!$D$33:$AL$33,MATCH(AA$7,'Inputs (2)'!$D$2:$AL$2,0))</f>
        <v>0</v>
      </c>
      <c r="AB207" s="3">
        <f>AA207</f>
        <v>0</v>
      </c>
      <c r="AC207" s="25">
        <f>INDEX('Inputs (2)'!$D$33:$AL$33,MATCH(AC$7,'Inputs (2)'!$D$2:$AL$2,0))</f>
        <v>0</v>
      </c>
      <c r="AD207" s="25">
        <f>INDEX('Inputs (2)'!$D$33:$AL$33,MATCH(AD$7,'Inputs (2)'!$D$2:$AL$2,0))</f>
        <v>0</v>
      </c>
      <c r="AE207" s="25">
        <f>INDEX('Inputs (2)'!$D$33:$AL$33,MATCH(AE$7,'Inputs (2)'!$D$2:$AL$2,0))</f>
        <v>0</v>
      </c>
      <c r="AF207" s="25">
        <f>INDEX('Inputs (2)'!$D$33:$AL$33,MATCH(AF$7,'Inputs (2)'!$D$2:$AL$2,0))</f>
        <v>0</v>
      </c>
      <c r="AG207" s="3">
        <f>AF207</f>
        <v>0</v>
      </c>
      <c r="AH207" s="3">
        <f>INDEX('Inputs (2)'!$D$33:$AL$33,MATCH(AH$7,'Inputs (2)'!$D$2:$AL$2,0))</f>
        <v>0</v>
      </c>
      <c r="AI207" s="3">
        <f>INDEX('Inputs (2)'!$D$33:$AL$33,MATCH(AI$7,'Inputs (2)'!$D$2:$AL$2,0))</f>
        <v>0</v>
      </c>
      <c r="AJ207" s="3">
        <f>AI207</f>
        <v>0</v>
      </c>
      <c r="AK207" s="3">
        <f>AJ207</f>
        <v>0</v>
      </c>
      <c r="AL207" s="3">
        <f>AK207</f>
        <v>0</v>
      </c>
      <c r="AM207" s="3">
        <f>AL207</f>
        <v>0</v>
      </c>
      <c r="AN207" s="3">
        <f>AM207</f>
        <v>0</v>
      </c>
      <c r="AO207" s="3">
        <f>AN207</f>
        <v>0</v>
      </c>
      <c r="AP207" s="3">
        <f>AO207</f>
        <v>0</v>
      </c>
      <c r="AQ207" s="3">
        <f>AP207</f>
        <v>0</v>
      </c>
      <c r="AR207" s="3">
        <f>AQ207</f>
        <v>0</v>
      </c>
      <c r="AS207" s="3">
        <f>AR207</f>
        <v>0</v>
      </c>
      <c r="AT207" s="3">
        <f>AS207</f>
        <v>0</v>
      </c>
      <c r="AU207" s="3">
        <f>AT207</f>
        <v>0</v>
      </c>
      <c r="AV207" s="3">
        <f>AU207</f>
        <v>0</v>
      </c>
      <c r="AW207" s="3">
        <f>AV207</f>
        <v>0</v>
      </c>
      <c r="AX207" s="3">
        <f>AW207</f>
        <v>0</v>
      </c>
      <c r="AY207" s="3">
        <f>AX207</f>
        <v>0</v>
      </c>
      <c r="AZ207" s="3">
        <f>AY207</f>
        <v>0</v>
      </c>
      <c r="BA207" s="3">
        <f>AZ207</f>
        <v>0</v>
      </c>
      <c r="BB207" s="3">
        <f>BA207</f>
        <v>0</v>
      </c>
      <c r="BC207" s="3">
        <f>BB207</f>
        <v>0</v>
      </c>
      <c r="BD207" s="3">
        <f>BC207</f>
        <v>0</v>
      </c>
      <c r="BE207" s="3">
        <f>BD207</f>
        <v>0</v>
      </c>
      <c r="BF207" s="3">
        <f>BE207</f>
        <v>0</v>
      </c>
      <c r="BG207" s="3">
        <f>BF207</f>
        <v>0</v>
      </c>
      <c r="BH207" s="3">
        <f>BG207</f>
        <v>0</v>
      </c>
      <c r="BI207" s="3">
        <f>BH207</f>
        <v>0</v>
      </c>
      <c r="BJ207" s="3">
        <f>BI207</f>
        <v>0</v>
      </c>
      <c r="BK207" s="3">
        <f>BJ207</f>
        <v>0</v>
      </c>
      <c r="BL207" s="3">
        <f>BK207</f>
        <v>0</v>
      </c>
      <c r="BM207" s="3">
        <f>BL207</f>
        <v>0</v>
      </c>
      <c r="BN207" s="3">
        <f>BM207</f>
        <v>0</v>
      </c>
      <c r="BO207" s="3">
        <f>BN207</f>
        <v>0</v>
      </c>
      <c r="BP207" s="3">
        <f>BO207</f>
        <v>0</v>
      </c>
      <c r="BQ207" s="3">
        <f>BP207</f>
        <v>0</v>
      </c>
      <c r="BR207" s="3">
        <f>BQ207</f>
        <v>0</v>
      </c>
      <c r="BS207" s="3">
        <f>BR207</f>
        <v>0</v>
      </c>
      <c r="BT207" s="3">
        <f>BS207</f>
        <v>0</v>
      </c>
      <c r="BU207" s="3">
        <f>BT207</f>
        <v>0</v>
      </c>
      <c r="BV207" s="3">
        <f>BU207</f>
        <v>0</v>
      </c>
      <c r="BW207" s="3">
        <f>BV207</f>
        <v>0</v>
      </c>
      <c r="BX207" s="3">
        <f>BW207</f>
        <v>0</v>
      </c>
      <c r="BY207" s="3">
        <f>BX207</f>
        <v>0</v>
      </c>
      <c r="BZ207" s="3">
        <f>BY207</f>
        <v>0</v>
      </c>
      <c r="CA207" s="3">
        <f>BZ207</f>
        <v>0</v>
      </c>
      <c r="CB207" s="3">
        <f>CA207</f>
        <v>0</v>
      </c>
      <c r="CC207" s="3">
        <f>CB207</f>
        <v>0</v>
      </c>
      <c r="CD207" s="3">
        <f>CC207</f>
        <v>0</v>
      </c>
      <c r="CE207" s="3">
        <f>CD207</f>
        <v>0</v>
      </c>
      <c r="CF207" s="3">
        <f>CE207</f>
        <v>0</v>
      </c>
      <c r="CG207" s="3">
        <f>CF207</f>
        <v>0</v>
      </c>
      <c r="CH207" s="3">
        <f>CG207</f>
        <v>0</v>
      </c>
      <c r="CI207" s="3">
        <f>CH207</f>
        <v>0</v>
      </c>
      <c r="CJ207" s="3">
        <f>CI207</f>
        <v>0</v>
      </c>
      <c r="CK207" s="3">
        <f>CJ207</f>
        <v>0</v>
      </c>
      <c r="CL207" s="3">
        <f>CK207</f>
        <v>0</v>
      </c>
      <c r="CM207" s="3">
        <f>CL207</f>
        <v>0</v>
      </c>
      <c r="CN207" s="3">
        <f>CM207</f>
        <v>0</v>
      </c>
      <c r="CO207" s="3">
        <f>CN207</f>
        <v>0</v>
      </c>
      <c r="CP207" s="3">
        <f>CO207</f>
        <v>0</v>
      </c>
      <c r="CQ207" s="3">
        <f>CP207</f>
        <v>0</v>
      </c>
      <c r="CR207" s="3">
        <f>CQ207</f>
        <v>0</v>
      </c>
      <c r="CS207" s="3">
        <f>CR207</f>
        <v>0</v>
      </c>
      <c r="CT207" s="3">
        <f>CS207</f>
        <v>0</v>
      </c>
      <c r="CU207" s="3">
        <f>CT207</f>
        <v>0</v>
      </c>
      <c r="CV207" s="3">
        <f>CU207</f>
        <v>0</v>
      </c>
      <c r="CW207" s="3">
        <f>CV207</f>
        <v>0</v>
      </c>
      <c r="CX207" s="3">
        <f>CW207</f>
        <v>0</v>
      </c>
      <c r="CY207" s="3">
        <f>CX207</f>
        <v>0</v>
      </c>
    </row>
    <row r="208">
      <c r="C208" s="26" t="inlineStr">
        <is>
          <t>Short term operating leases</t>
        </is>
      </c>
      <c r="D208" s="25">
        <f>INDEX('Inputs (2)'!$D$34:$AL$34,MATCH(D$7,'Inputs (2)'!$D$2:$AL$2,0))</f>
        <v>0</v>
      </c>
      <c r="E208" s="25">
        <f>INDEX('Inputs (2)'!$D$34:$AL$34,MATCH(E$7,'Inputs (2)'!$D$2:$AL$2,0))</f>
        <v>0</v>
      </c>
      <c r="F208" s="25">
        <f>INDEX('Inputs (2)'!$D$34:$AL$34,MATCH(F$7,'Inputs (2)'!$D$2:$AL$2,0))</f>
        <v>0</v>
      </c>
      <c r="G208" s="25">
        <f>INDEX('Inputs (2)'!$D$34:$AL$34,MATCH(G$7,'Inputs (2)'!$D$2:$AL$2,0))</f>
        <v>0</v>
      </c>
      <c r="H208" s="3">
        <f>G208</f>
        <v>0</v>
      </c>
      <c r="I208" s="25">
        <f>INDEX('Inputs (2)'!$D$34:$AL$34,MATCH(I$7,'Inputs (2)'!$D$2:$AL$2,0))</f>
        <v>0</v>
      </c>
      <c r="J208" s="25">
        <f>INDEX('Inputs (2)'!$D$34:$AL$34,MATCH(J$7,'Inputs (2)'!$D$2:$AL$2,0))</f>
        <v>0</v>
      </c>
      <c r="K208" s="25">
        <f>INDEX('Inputs (2)'!$D$34:$AL$34,MATCH(K$7,'Inputs (2)'!$D$2:$AL$2,0))</f>
        <v>0</v>
      </c>
      <c r="L208" s="25">
        <f>INDEX('Inputs (2)'!$D$34:$AL$34,MATCH(L$7,'Inputs (2)'!$D$2:$AL$2,0))</f>
        <v>0</v>
      </c>
      <c r="M208" s="3">
        <f>L208</f>
        <v>0</v>
      </c>
      <c r="N208" s="25">
        <f>INDEX('Inputs (2)'!$D$34:$AL$34,MATCH(N$7,'Inputs (2)'!$D$2:$AL$2,0))</f>
        <v>0</v>
      </c>
      <c r="O208" s="25">
        <f>INDEX('Inputs (2)'!$D$34:$AL$34,MATCH(O$7,'Inputs (2)'!$D$2:$AL$2,0))</f>
        <v>0</v>
      </c>
      <c r="P208" s="25">
        <f>INDEX('Inputs (2)'!$D$34:$AL$34,MATCH(P$7,'Inputs (2)'!$D$2:$AL$2,0))</f>
        <v>0</v>
      </c>
      <c r="Q208" s="25">
        <f>INDEX('Inputs (2)'!$D$34:$AL$34,MATCH(Q$7,'Inputs (2)'!$D$2:$AL$2,0))</f>
        <v>0</v>
      </c>
      <c r="R208" s="3">
        <f>Q208</f>
        <v>0</v>
      </c>
      <c r="S208" s="25">
        <f>INDEX('Inputs (2)'!$D$34:$AL$34,MATCH(S$7,'Inputs (2)'!$D$2:$AL$2,0))</f>
        <v>0</v>
      </c>
      <c r="T208" s="25">
        <f>INDEX('Inputs (2)'!$D$34:$AL$34,MATCH(T$7,'Inputs (2)'!$D$2:$AL$2,0))</f>
        <v>0</v>
      </c>
      <c r="U208" s="25">
        <f>INDEX('Inputs (2)'!$D$34:$AL$34,MATCH(U$7,'Inputs (2)'!$D$2:$AL$2,0))</f>
        <v>0</v>
      </c>
      <c r="V208" s="25">
        <f>INDEX('Inputs (2)'!$D$34:$AL$34,MATCH(V$7,'Inputs (2)'!$D$2:$AL$2,0))</f>
        <v>0</v>
      </c>
      <c r="W208" s="3">
        <f>V208</f>
        <v>0</v>
      </c>
      <c r="X208" s="25">
        <f>INDEX('Inputs (2)'!$D$34:$AL$34,MATCH(X$7,'Inputs (2)'!$D$2:$AL$2,0))</f>
        <v>0</v>
      </c>
      <c r="Y208" s="25">
        <f>INDEX('Inputs (2)'!$D$34:$AL$34,MATCH(Y$7,'Inputs (2)'!$D$2:$AL$2,0))</f>
        <v>0</v>
      </c>
      <c r="Z208" s="25">
        <f>INDEX('Inputs (2)'!$D$34:$AL$34,MATCH(Z$7,'Inputs (2)'!$D$2:$AL$2,0))</f>
        <v>0</v>
      </c>
      <c r="AA208" s="25">
        <f>INDEX('Inputs (2)'!$D$34:$AL$34,MATCH(AA$7,'Inputs (2)'!$D$2:$AL$2,0))</f>
        <v>0</v>
      </c>
      <c r="AB208" s="3">
        <f>AA208</f>
        <v>0</v>
      </c>
      <c r="AC208" s="25">
        <f>INDEX('Inputs (2)'!$D$34:$AL$34,MATCH(AC$7,'Inputs (2)'!$D$2:$AL$2,0))</f>
        <v>0</v>
      </c>
      <c r="AD208" s="25">
        <f>INDEX('Inputs (2)'!$D$34:$AL$34,MATCH(AD$7,'Inputs (2)'!$D$2:$AL$2,0))</f>
        <v>0</v>
      </c>
      <c r="AE208" s="25">
        <f>INDEX('Inputs (2)'!$D$34:$AL$34,MATCH(AE$7,'Inputs (2)'!$D$2:$AL$2,0))</f>
        <v>0</v>
      </c>
      <c r="AF208" s="25">
        <f>INDEX('Inputs (2)'!$D$34:$AL$34,MATCH(AF$7,'Inputs (2)'!$D$2:$AL$2,0))</f>
        <v>0</v>
      </c>
      <c r="AG208" s="3">
        <f>AF208</f>
        <v>0</v>
      </c>
      <c r="AH208" s="3">
        <f>INDEX('Inputs (2)'!$D$34:$AL$34,MATCH(AH$7,'Inputs (2)'!$D$2:$AL$2,0))</f>
        <v>0</v>
      </c>
      <c r="AI208" s="3">
        <f>INDEX('Inputs (2)'!$D$34:$AL$34,MATCH(AI$7,'Inputs (2)'!$D$2:$AL$2,0))</f>
        <v>0</v>
      </c>
      <c r="AJ208" s="3">
        <f>AI208</f>
        <v>0</v>
      </c>
      <c r="AK208" s="3">
        <f>AJ208</f>
        <v>0</v>
      </c>
      <c r="AL208" s="3">
        <f>AK208</f>
        <v>0</v>
      </c>
      <c r="AM208" s="3">
        <f>AL208</f>
        <v>0</v>
      </c>
      <c r="AN208" s="3">
        <f>AM208</f>
        <v>0</v>
      </c>
      <c r="AO208" s="3">
        <f>AN208</f>
        <v>0</v>
      </c>
      <c r="AP208" s="3">
        <f>AO208</f>
        <v>0</v>
      </c>
      <c r="AQ208" s="3">
        <f>AP208</f>
        <v>0</v>
      </c>
      <c r="AR208" s="3">
        <f>AQ208</f>
        <v>0</v>
      </c>
      <c r="AS208" s="3">
        <f>AR208</f>
        <v>0</v>
      </c>
      <c r="AT208" s="3">
        <f>AS208</f>
        <v>0</v>
      </c>
      <c r="AU208" s="3">
        <f>AT208</f>
        <v>0</v>
      </c>
      <c r="AV208" s="3">
        <f>AU208</f>
        <v>0</v>
      </c>
      <c r="AW208" s="3">
        <f>AV208</f>
        <v>0</v>
      </c>
      <c r="AX208" s="3">
        <f>AW208</f>
        <v>0</v>
      </c>
      <c r="AY208" s="3">
        <f>AX208</f>
        <v>0</v>
      </c>
      <c r="AZ208" s="3">
        <f>AY208</f>
        <v>0</v>
      </c>
      <c r="BA208" s="3">
        <f>AZ208</f>
        <v>0</v>
      </c>
      <c r="BB208" s="3">
        <f>BA208</f>
        <v>0</v>
      </c>
      <c r="BC208" s="3">
        <f>BB208</f>
        <v>0</v>
      </c>
      <c r="BD208" s="3">
        <f>BC208</f>
        <v>0</v>
      </c>
      <c r="BE208" s="3">
        <f>BD208</f>
        <v>0</v>
      </c>
      <c r="BF208" s="3">
        <f>BE208</f>
        <v>0</v>
      </c>
      <c r="BG208" s="3">
        <f>BF208</f>
        <v>0</v>
      </c>
      <c r="BH208" s="3">
        <f>BG208</f>
        <v>0</v>
      </c>
      <c r="BI208" s="3">
        <f>BH208</f>
        <v>0</v>
      </c>
      <c r="BJ208" s="3">
        <f>BI208</f>
        <v>0</v>
      </c>
      <c r="BK208" s="3">
        <f>BJ208</f>
        <v>0</v>
      </c>
      <c r="BL208" s="3">
        <f>BK208</f>
        <v>0</v>
      </c>
      <c r="BM208" s="3">
        <f>BL208</f>
        <v>0</v>
      </c>
      <c r="BN208" s="3">
        <f>BM208</f>
        <v>0</v>
      </c>
      <c r="BO208" s="3">
        <f>BN208</f>
        <v>0</v>
      </c>
      <c r="BP208" s="3">
        <f>BO208</f>
        <v>0</v>
      </c>
      <c r="BQ208" s="3">
        <f>BP208</f>
        <v>0</v>
      </c>
      <c r="BR208" s="3">
        <f>BQ208</f>
        <v>0</v>
      </c>
      <c r="BS208" s="3">
        <f>BR208</f>
        <v>0</v>
      </c>
      <c r="BT208" s="3">
        <f>BS208</f>
        <v>0</v>
      </c>
      <c r="BU208" s="3">
        <f>BT208</f>
        <v>0</v>
      </c>
      <c r="BV208" s="3">
        <f>BU208</f>
        <v>0</v>
      </c>
      <c r="BW208" s="3">
        <f>BV208</f>
        <v>0</v>
      </c>
      <c r="BX208" s="3">
        <f>BW208</f>
        <v>0</v>
      </c>
      <c r="BY208" s="3">
        <f>BX208</f>
        <v>0</v>
      </c>
      <c r="BZ208" s="3">
        <f>BY208</f>
        <v>0</v>
      </c>
      <c r="CA208" s="3">
        <f>BZ208</f>
        <v>0</v>
      </c>
      <c r="CB208" s="3">
        <f>CA208</f>
        <v>0</v>
      </c>
      <c r="CC208" s="3">
        <f>CB208</f>
        <v>0</v>
      </c>
      <c r="CD208" s="3">
        <f>CC208</f>
        <v>0</v>
      </c>
      <c r="CE208" s="3">
        <f>CD208</f>
        <v>0</v>
      </c>
      <c r="CF208" s="3">
        <f>CE208</f>
        <v>0</v>
      </c>
      <c r="CG208" s="3">
        <f>CF208</f>
        <v>0</v>
      </c>
      <c r="CH208" s="3">
        <f>CG208</f>
        <v>0</v>
      </c>
      <c r="CI208" s="3">
        <f>CH208</f>
        <v>0</v>
      </c>
      <c r="CJ208" s="3">
        <f>CI208</f>
        <v>0</v>
      </c>
      <c r="CK208" s="3">
        <f>CJ208</f>
        <v>0</v>
      </c>
      <c r="CL208" s="3">
        <f>CK208</f>
        <v>0</v>
      </c>
      <c r="CM208" s="3">
        <f>CL208</f>
        <v>0</v>
      </c>
      <c r="CN208" s="3">
        <f>CM208</f>
        <v>0</v>
      </c>
      <c r="CO208" s="3">
        <f>CN208</f>
        <v>0</v>
      </c>
      <c r="CP208" s="3">
        <f>CO208</f>
        <v>0</v>
      </c>
      <c r="CQ208" s="3">
        <f>CP208</f>
        <v>0</v>
      </c>
      <c r="CR208" s="3">
        <f>CQ208</f>
        <v>0</v>
      </c>
      <c r="CS208" s="3">
        <f>CR208</f>
        <v>0</v>
      </c>
      <c r="CT208" s="3">
        <f>CS208</f>
        <v>0</v>
      </c>
      <c r="CU208" s="3">
        <f>CT208</f>
        <v>0</v>
      </c>
      <c r="CV208" s="3">
        <f>CU208</f>
        <v>0</v>
      </c>
      <c r="CW208" s="3">
        <f>CV208</f>
        <v>0</v>
      </c>
      <c r="CX208" s="3">
        <f>CW208</f>
        <v>0</v>
      </c>
      <c r="CY208" s="3">
        <f>CX208</f>
        <v>0</v>
      </c>
    </row>
    <row r="209" hidden="1" outlineLevel="1">
      <c r="C209" s="38" t="inlineStr">
        <is>
          <t>%(Var.)</t>
        </is>
      </c>
      <c r="D209" s="3" t="n"/>
      <c r="E209" s="47">
        <f>IFERROR((E208-D208)/D208,0)</f>
        <v>0</v>
      </c>
      <c r="F209" s="47">
        <f>IFERROR((F208-E208)/E208,0)</f>
        <v>0</v>
      </c>
      <c r="G209" s="47">
        <f>IFERROR((G208-F208)/F208,0)</f>
        <v>0</v>
      </c>
      <c r="H209" s="3" t="n"/>
      <c r="I209" s="47">
        <f>IFERROR((I208-H208)/H208,0)</f>
        <v>0</v>
      </c>
      <c r="J209" s="47">
        <f>IFERROR((J208-I208)/I208,0)</f>
        <v>0</v>
      </c>
      <c r="K209" s="47">
        <f>IFERROR((K208-J208)/J208,0)</f>
        <v>0</v>
      </c>
      <c r="L209" s="47">
        <f>IFERROR((L208-K208)/K208,0)</f>
        <v>0</v>
      </c>
      <c r="M209" s="3" t="n"/>
      <c r="N209" s="47">
        <f>IFERROR((N208-M208)/M208,0)</f>
        <v>0</v>
      </c>
      <c r="O209" s="47">
        <f>IFERROR((O208-N208)/N208,0)</f>
        <v>0</v>
      </c>
      <c r="P209" s="47">
        <f>IFERROR((P208-O208)/O208,0)</f>
        <v>0</v>
      </c>
      <c r="Q209" s="47">
        <f>IFERROR((Q208-P208)/P208,0)</f>
        <v>0</v>
      </c>
      <c r="R209" s="3" t="n"/>
      <c r="S209" s="47">
        <f>IFERROR((S208-R208)/R208,0)</f>
        <v>0</v>
      </c>
      <c r="T209" s="47">
        <f>IFERROR((T208-S208)/S208,0)</f>
        <v>0</v>
      </c>
      <c r="U209" s="47">
        <f>IFERROR((U208-T208)/T208,0)</f>
        <v>0</v>
      </c>
      <c r="V209" s="47">
        <f>IFERROR((V208-U208)/U208,0)</f>
        <v>0</v>
      </c>
      <c r="W209" s="3" t="n"/>
      <c r="X209" s="47">
        <f>IFERROR((X208-W208)/W208,0)</f>
        <v>0</v>
      </c>
      <c r="Y209" s="47">
        <f>IFERROR((Y208-X208)/X208,0)</f>
        <v>0</v>
      </c>
      <c r="Z209" s="47">
        <f>IFERROR((Z208-Y208)/Y208,0)</f>
        <v>0</v>
      </c>
      <c r="AA209" s="47">
        <f>IFERROR((AA208-Z208)/Z208,0)</f>
        <v>0</v>
      </c>
      <c r="AB209" s="3" t="n"/>
      <c r="AC209" s="47">
        <f>IFERROR((AC208-AB208)/AB208,0)</f>
        <v>0</v>
      </c>
      <c r="AD209" s="47">
        <f>IFERROR((AD208-AC208)/AC208,0)</f>
        <v>0</v>
      </c>
      <c r="AE209" s="47">
        <f>IFERROR((AE208-AD208)/AD208,0)</f>
        <v>0</v>
      </c>
      <c r="AF209" s="6">
        <f>IFERROR((AF208-AE208)/AE208,0)</f>
        <v>0</v>
      </c>
      <c r="AG209" s="3" t="n"/>
      <c r="AH209" s="6">
        <f>IFERROR((AH208-AG208)/AG208,0)</f>
        <v>0</v>
      </c>
      <c r="AI209" s="6">
        <f>IFERROR((AI208-AH208)/AH208,0)</f>
        <v>0</v>
      </c>
      <c r="AJ209" s="6" t="n"/>
      <c r="AK209" s="6" t="n"/>
      <c r="AL209" s="3" t="n"/>
      <c r="AM209" s="6" t="n"/>
      <c r="AN209" s="6" t="n"/>
      <c r="AO209" s="6" t="n"/>
      <c r="AP209" s="6" t="n"/>
      <c r="AQ209" s="3" t="n"/>
      <c r="AR209" s="6" t="n"/>
      <c r="AS209" s="6" t="n"/>
      <c r="AT209" s="6" t="n"/>
      <c r="AU209" s="6" t="n"/>
      <c r="AV209" s="3" t="n"/>
      <c r="AW209" s="6" t="n"/>
      <c r="AX209" s="6" t="n"/>
      <c r="AY209" s="6" t="n"/>
      <c r="AZ209" s="6" t="n"/>
      <c r="BA209" s="3" t="n"/>
      <c r="BB209" s="6" t="n"/>
      <c r="BC209" s="6" t="n"/>
      <c r="BD209" s="6" t="n"/>
      <c r="BE209" s="6" t="n"/>
      <c r="BF209" s="3" t="n"/>
      <c r="BG209" s="6" t="n"/>
      <c r="BH209" s="6" t="n"/>
      <c r="BI209" s="6" t="n"/>
      <c r="BJ209" s="6" t="n"/>
      <c r="BK209" s="3" t="n"/>
      <c r="BL209" s="6" t="n"/>
      <c r="BM209" s="6" t="n"/>
      <c r="BN209" s="6" t="n"/>
      <c r="BO209" s="6" t="n"/>
      <c r="BP209" s="3" t="n"/>
      <c r="BQ209" s="6" t="n"/>
      <c r="BR209" s="6" t="n"/>
      <c r="BS209" s="6" t="n"/>
      <c r="BT209" s="6" t="n"/>
      <c r="BU209" s="3" t="n"/>
      <c r="BV209" s="6" t="n"/>
      <c r="BW209" s="6" t="n"/>
      <c r="BX209" s="6" t="n"/>
      <c r="BY209" s="6" t="n"/>
      <c r="BZ209" s="3" t="n"/>
      <c r="CA209" s="6" t="n"/>
      <c r="CB209" s="6" t="n"/>
      <c r="CC209" s="6" t="n"/>
      <c r="CD209" s="6" t="n"/>
      <c r="CE209" s="3" t="n"/>
      <c r="CF209" s="6" t="n"/>
      <c r="CG209" s="6" t="n"/>
      <c r="CH209" s="6" t="n"/>
      <c r="CI209" s="6" t="n"/>
      <c r="CJ209" s="3" t="n"/>
      <c r="CK209" s="6" t="n"/>
      <c r="CL209" s="6" t="n"/>
      <c r="CM209" s="6" t="n"/>
      <c r="CN209" s="6" t="n"/>
      <c r="CO209" s="3" t="n"/>
      <c r="CP209" s="6" t="n"/>
      <c r="CQ209" s="6" t="n"/>
      <c r="CR209" s="6" t="n"/>
      <c r="CS209" s="6" t="n"/>
      <c r="CT209" s="3" t="n"/>
      <c r="CU209" s="6" t="n"/>
      <c r="CV209" s="6" t="n"/>
      <c r="CW209" s="6" t="n"/>
      <c r="CX209" s="6" t="n"/>
      <c r="CY209" s="3" t="n"/>
    </row>
    <row r="210" hidden="1" outlineLevel="1">
      <c r="C210" s="34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  <c r="AB210" s="3" t="n"/>
      <c r="AC210" s="3" t="n"/>
      <c r="AD210" s="3" t="n"/>
      <c r="AE210" s="3" t="n"/>
      <c r="AF210" s="3" t="n"/>
      <c r="AG210" s="3" t="n"/>
      <c r="AH210" s="3" t="n"/>
      <c r="AI210" s="3" t="n"/>
      <c r="AJ210" s="3" t="n"/>
      <c r="AK210" s="3" t="n"/>
      <c r="AL210" s="3" t="n"/>
      <c r="AM210" s="3" t="n"/>
      <c r="AN210" s="3" t="n"/>
      <c r="AO210" s="3" t="n"/>
      <c r="AP210" s="3" t="n"/>
      <c r="AQ210" s="3" t="n"/>
      <c r="AR210" s="3" t="n"/>
      <c r="AS210" s="3" t="n"/>
      <c r="AT210" s="3" t="n"/>
      <c r="AU210" s="3" t="n"/>
      <c r="AV210" s="3" t="n"/>
      <c r="AW210" s="3" t="n"/>
      <c r="AX210" s="3" t="n"/>
      <c r="AY210" s="3" t="n"/>
      <c r="AZ210" s="3" t="n"/>
      <c r="BA210" s="3" t="n"/>
      <c r="BB210" s="3" t="n"/>
      <c r="BC210" s="3" t="n"/>
      <c r="BD210" s="3" t="n"/>
      <c r="BE210" s="3" t="n"/>
      <c r="BF210" s="3" t="n"/>
      <c r="BG210" s="3" t="n"/>
      <c r="BH210" s="3" t="n"/>
      <c r="BI210" s="3" t="n"/>
      <c r="BJ210" s="3" t="n"/>
      <c r="BK210" s="3" t="n"/>
      <c r="BL210" s="3" t="n"/>
      <c r="BM210" s="3" t="n"/>
      <c r="BN210" s="3" t="n"/>
      <c r="BO210" s="3" t="n"/>
      <c r="BP210" s="3" t="n"/>
      <c r="BQ210" s="3" t="n"/>
      <c r="BR210" s="3" t="n"/>
      <c r="BS210" s="3" t="n"/>
      <c r="BT210" s="3" t="n"/>
      <c r="BU210" s="3" t="n"/>
      <c r="BV210" s="3" t="n"/>
      <c r="BW210" s="3" t="n"/>
      <c r="BX210" s="3" t="n"/>
      <c r="BY210" s="3" t="n"/>
      <c r="BZ210" s="3" t="n"/>
      <c r="CA210" s="3" t="n"/>
      <c r="CB210" s="3" t="n"/>
      <c r="CC210" s="3" t="n"/>
      <c r="CD210" s="3" t="n"/>
      <c r="CE210" s="3" t="n"/>
      <c r="CF210" s="3" t="n"/>
      <c r="CG210" s="3" t="n"/>
      <c r="CH210" s="3" t="n"/>
      <c r="CI210" s="3" t="n"/>
      <c r="CJ210" s="3" t="n"/>
      <c r="CK210" s="3" t="n"/>
      <c r="CL210" s="3" t="n"/>
      <c r="CM210" s="3" t="n"/>
      <c r="CN210" s="3" t="n"/>
      <c r="CO210" s="3" t="n"/>
      <c r="CP210" s="3" t="n"/>
      <c r="CQ210" s="3" t="n"/>
      <c r="CR210" s="3" t="n"/>
      <c r="CS210" s="3" t="n"/>
      <c r="CT210" s="3" t="n"/>
      <c r="CU210" s="3" t="n"/>
      <c r="CV210" s="3" t="n"/>
      <c r="CW210" s="3" t="n"/>
      <c r="CX210" s="3" t="n"/>
      <c r="CY210" s="3" t="n"/>
    </row>
    <row r="211" collapsed="1">
      <c r="C211" s="26" t="inlineStr">
        <is>
          <t>Long term debt</t>
        </is>
      </c>
      <c r="D211" s="25">
        <f>INDEX('Inputs (2)'!$D$35:$AL$35,MATCH(D$7,'Inputs (2)'!$D$2:$AL$2,0))</f>
        <v>0</v>
      </c>
      <c r="E211" s="25">
        <f>INDEX('Inputs (2)'!$D$35:$AL$35,MATCH(E$7,'Inputs (2)'!$D$2:$AL$2,0))</f>
        <v>0</v>
      </c>
      <c r="F211" s="25">
        <f>INDEX('Inputs (2)'!$D$35:$AL$35,MATCH(F$7,'Inputs (2)'!$D$2:$AL$2,0))</f>
        <v>0</v>
      </c>
      <c r="G211" s="25">
        <f>INDEX('Inputs (2)'!$D$35:$AL$35,MATCH(G$7,'Inputs (2)'!$D$2:$AL$2,0))</f>
        <v>0</v>
      </c>
      <c r="H211" s="3">
        <f>G211</f>
        <v>0</v>
      </c>
      <c r="I211" s="25">
        <f>INDEX('Inputs (2)'!$D$35:$AL$35,MATCH(I$7,'Inputs (2)'!$D$2:$AL$2,0))</f>
        <v>0</v>
      </c>
      <c r="J211" s="25">
        <f>INDEX('Inputs (2)'!$D$35:$AL$35,MATCH(J$7,'Inputs (2)'!$D$2:$AL$2,0))</f>
        <v>0</v>
      </c>
      <c r="K211" s="25">
        <f>INDEX('Inputs (2)'!$D$35:$AL$35,MATCH(K$7,'Inputs (2)'!$D$2:$AL$2,0))</f>
        <v>0</v>
      </c>
      <c r="L211" s="25">
        <f>INDEX('Inputs (2)'!$D$35:$AL$35,MATCH(L$7,'Inputs (2)'!$D$2:$AL$2,0))</f>
        <v>0</v>
      </c>
      <c r="M211" s="3">
        <f>L211</f>
        <v>0</v>
      </c>
      <c r="N211" s="25">
        <f>INDEX('Inputs (2)'!$D$35:$AL$35,MATCH(N$7,'Inputs (2)'!$D$2:$AL$2,0))</f>
        <v>0</v>
      </c>
      <c r="O211" s="25">
        <f>INDEX('Inputs (2)'!$D$35:$AL$35,MATCH(O$7,'Inputs (2)'!$D$2:$AL$2,0))</f>
        <v>0</v>
      </c>
      <c r="P211" s="25">
        <f>INDEX('Inputs (2)'!$D$35:$AL$35,MATCH(P$7,'Inputs (2)'!$D$2:$AL$2,0))</f>
        <v>0</v>
      </c>
      <c r="Q211" s="25">
        <f>INDEX('Inputs (2)'!$D$35:$AL$35,MATCH(Q$7,'Inputs (2)'!$D$2:$AL$2,0))</f>
        <v>0</v>
      </c>
      <c r="R211" s="3">
        <f>Q211</f>
        <v>0</v>
      </c>
      <c r="S211" s="25">
        <f>INDEX('Inputs (2)'!$D$35:$AL$35,MATCH(S$7,'Inputs (2)'!$D$2:$AL$2,0))</f>
        <v>0</v>
      </c>
      <c r="T211" s="25">
        <f>INDEX('Inputs (2)'!$D$35:$AL$35,MATCH(T$7,'Inputs (2)'!$D$2:$AL$2,0))</f>
        <v>0</v>
      </c>
      <c r="U211" s="25">
        <f>INDEX('Inputs (2)'!$D$35:$AL$35,MATCH(U$7,'Inputs (2)'!$D$2:$AL$2,0))</f>
        <v>0</v>
      </c>
      <c r="V211" s="25">
        <f>INDEX('Inputs (2)'!$D$35:$AL$35,MATCH(V$7,'Inputs (2)'!$D$2:$AL$2,0))</f>
        <v>0</v>
      </c>
      <c r="W211" s="3">
        <f>V211</f>
        <v>0</v>
      </c>
      <c r="X211" s="25">
        <f>INDEX('Inputs (2)'!$D$35:$AL$35,MATCH(X$7,'Inputs (2)'!$D$2:$AL$2,0))</f>
        <v>0</v>
      </c>
      <c r="Y211" s="25">
        <f>INDEX('Inputs (2)'!$D$35:$AL$35,MATCH(Y$7,'Inputs (2)'!$D$2:$AL$2,0))</f>
        <v>0</v>
      </c>
      <c r="Z211" s="25">
        <f>INDEX('Inputs (2)'!$D$35:$AL$35,MATCH(Z$7,'Inputs (2)'!$D$2:$AL$2,0))</f>
        <v>0</v>
      </c>
      <c r="AA211" s="25">
        <f>INDEX('Inputs (2)'!$D$35:$AL$35,MATCH(AA$7,'Inputs (2)'!$D$2:$AL$2,0))</f>
        <v>0</v>
      </c>
      <c r="AB211" s="3">
        <f>AA211</f>
        <v>0</v>
      </c>
      <c r="AC211" s="25">
        <f>INDEX('Inputs (2)'!$D$35:$AL$35,MATCH(AC$7,'Inputs (2)'!$D$2:$AL$2,0))</f>
        <v>0</v>
      </c>
      <c r="AD211" s="25">
        <f>INDEX('Inputs (2)'!$D$35:$AL$35,MATCH(AD$7,'Inputs (2)'!$D$2:$AL$2,0))</f>
        <v>0</v>
      </c>
      <c r="AE211" s="25">
        <f>INDEX('Inputs (2)'!$D$35:$AL$35,MATCH(AE$7,'Inputs (2)'!$D$2:$AL$2,0))</f>
        <v>0</v>
      </c>
      <c r="AF211" s="25">
        <f>INDEX('Inputs (2)'!$D$35:$AL$35,MATCH(AF$7,'Inputs (2)'!$D$2:$AL$2,0))</f>
        <v>0</v>
      </c>
      <c r="AG211" s="3">
        <f>AF211</f>
        <v>0</v>
      </c>
      <c r="AH211" s="3">
        <f>INDEX('Inputs (2)'!$D$35:$AL$35,MATCH(AH$7,'Inputs (2)'!$D$2:$AL$2,0))</f>
        <v>0</v>
      </c>
      <c r="AI211" s="3">
        <f>INDEX('Inputs (2)'!$D$35:$AL$35,MATCH(AI$7,'Inputs (2)'!$D$2:$AL$2,0))</f>
        <v>0</v>
      </c>
      <c r="AJ211" s="3">
        <f>AJ217</f>
        <v>0</v>
      </c>
      <c r="AK211" s="3">
        <f>AK217</f>
        <v>0</v>
      </c>
      <c r="AL211" s="3">
        <f>AK211</f>
        <v>0</v>
      </c>
      <c r="AM211" s="3">
        <f>AM217</f>
        <v>0</v>
      </c>
      <c r="AN211" s="3">
        <f>AN217</f>
        <v>0</v>
      </c>
      <c r="AO211" s="3">
        <f>AO217</f>
        <v>0</v>
      </c>
      <c r="AP211" s="3">
        <f>AP217</f>
        <v>0</v>
      </c>
      <c r="AQ211" s="3">
        <f>AP211</f>
        <v>0</v>
      </c>
      <c r="AR211" s="3">
        <f>AR217</f>
        <v>0</v>
      </c>
      <c r="AS211" s="3">
        <f>AS217</f>
        <v>0</v>
      </c>
      <c r="AT211" s="3">
        <f>AT217</f>
        <v>0</v>
      </c>
      <c r="AU211" s="3">
        <f>AU217</f>
        <v>0</v>
      </c>
      <c r="AV211" s="3">
        <f>AU211</f>
        <v>0</v>
      </c>
      <c r="AW211" s="3">
        <f>AW217</f>
        <v>0</v>
      </c>
      <c r="AX211" s="3">
        <f>AX217</f>
        <v>0</v>
      </c>
      <c r="AY211" s="3">
        <f>AY217</f>
        <v>0</v>
      </c>
      <c r="AZ211" s="3">
        <f>AZ217</f>
        <v>0</v>
      </c>
      <c r="BA211" s="3">
        <f>AZ211</f>
        <v>0</v>
      </c>
      <c r="BB211" s="3">
        <f>BB217</f>
        <v>0</v>
      </c>
      <c r="BC211" s="3">
        <f>BC217</f>
        <v>0</v>
      </c>
      <c r="BD211" s="3">
        <f>BD217</f>
        <v>0</v>
      </c>
      <c r="BE211" s="3">
        <f>BE217</f>
        <v>0</v>
      </c>
      <c r="BF211" s="3">
        <f>BE211</f>
        <v>0</v>
      </c>
      <c r="BG211" s="3">
        <f>BG217</f>
        <v>0</v>
      </c>
      <c r="BH211" s="3">
        <f>BH217</f>
        <v>0</v>
      </c>
      <c r="BI211" s="3">
        <f>BI217</f>
        <v>0</v>
      </c>
      <c r="BJ211" s="3">
        <f>BJ217</f>
        <v>0</v>
      </c>
      <c r="BK211" s="3">
        <f>BJ211</f>
        <v>0</v>
      </c>
      <c r="BL211" s="3">
        <f>BL217</f>
        <v>0</v>
      </c>
      <c r="BM211" s="3">
        <f>BM217</f>
        <v>0</v>
      </c>
      <c r="BN211" s="3">
        <f>BN217</f>
        <v>0</v>
      </c>
      <c r="BO211" s="3">
        <f>BO217</f>
        <v>0</v>
      </c>
      <c r="BP211" s="3">
        <f>BO211</f>
        <v>0</v>
      </c>
      <c r="BQ211" s="3">
        <f>BQ217</f>
        <v>0</v>
      </c>
      <c r="BR211" s="3">
        <f>BR217</f>
        <v>0</v>
      </c>
      <c r="BS211" s="3">
        <f>BS217</f>
        <v>0</v>
      </c>
      <c r="BT211" s="3">
        <f>BT217</f>
        <v>0</v>
      </c>
      <c r="BU211" s="3">
        <f>BT211</f>
        <v>0</v>
      </c>
      <c r="BV211" s="3">
        <f>BV217</f>
        <v>0</v>
      </c>
      <c r="BW211" s="3">
        <f>BW217</f>
        <v>0</v>
      </c>
      <c r="BX211" s="3">
        <f>BX217</f>
        <v>0</v>
      </c>
      <c r="BY211" s="3">
        <f>BY217</f>
        <v>0</v>
      </c>
      <c r="BZ211" s="3">
        <f>BY211</f>
        <v>0</v>
      </c>
      <c r="CA211" s="3">
        <f>CA217</f>
        <v>0</v>
      </c>
      <c r="CB211" s="3">
        <f>CB217</f>
        <v>0</v>
      </c>
      <c r="CC211" s="3">
        <f>CC217</f>
        <v>0</v>
      </c>
      <c r="CD211" s="3">
        <f>CD217</f>
        <v>0</v>
      </c>
      <c r="CE211" s="3">
        <f>CD211</f>
        <v>0</v>
      </c>
      <c r="CF211" s="3">
        <f>CF217</f>
        <v>0</v>
      </c>
      <c r="CG211" s="3">
        <f>CG217</f>
        <v>0</v>
      </c>
      <c r="CH211" s="3">
        <f>CH217</f>
        <v>0</v>
      </c>
      <c r="CI211" s="3">
        <f>CI217</f>
        <v>0</v>
      </c>
      <c r="CJ211" s="3">
        <f>CI211</f>
        <v>0</v>
      </c>
      <c r="CK211" s="3">
        <f>CK217</f>
        <v>0</v>
      </c>
      <c r="CL211" s="3">
        <f>CL217</f>
        <v>0</v>
      </c>
      <c r="CM211" s="3">
        <f>CM217</f>
        <v>0</v>
      </c>
      <c r="CN211" s="3">
        <f>CN217</f>
        <v>0</v>
      </c>
      <c r="CO211" s="3">
        <f>CN211</f>
        <v>0</v>
      </c>
      <c r="CP211" s="3">
        <f>CP217</f>
        <v>0</v>
      </c>
      <c r="CQ211" s="3">
        <f>CQ217</f>
        <v>0</v>
      </c>
      <c r="CR211" s="3">
        <f>CR217</f>
        <v>0</v>
      </c>
      <c r="CS211" s="3">
        <f>CS217</f>
        <v>0</v>
      </c>
      <c r="CT211" s="3">
        <f>CS211</f>
        <v>0</v>
      </c>
      <c r="CU211" s="3">
        <f>CU217</f>
        <v>0</v>
      </c>
      <c r="CV211" s="3">
        <f>CV217</f>
        <v>0</v>
      </c>
      <c r="CW211" s="3">
        <f>CW217</f>
        <v>0</v>
      </c>
      <c r="CX211" s="3">
        <f>CX217</f>
        <v>0</v>
      </c>
      <c r="CY211" s="3">
        <f>CX211</f>
        <v>0</v>
      </c>
    </row>
    <row r="212" hidden="1" outlineLevel="1">
      <c r="C212" s="34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  <c r="AC212" s="3" t="n"/>
      <c r="AD212" s="3" t="n"/>
      <c r="AE212" s="3" t="n"/>
      <c r="AF212" s="3" t="n"/>
      <c r="AG212" s="3" t="n"/>
      <c r="AH212" s="3" t="n"/>
      <c r="AI212" s="3" t="n"/>
      <c r="AJ212" s="3" t="n"/>
      <c r="AK212" s="3" t="n"/>
      <c r="AL212" s="3" t="n"/>
      <c r="AM212" s="3" t="n"/>
      <c r="AN212" s="3" t="n"/>
      <c r="AO212" s="3" t="n"/>
      <c r="AP212" s="3" t="n"/>
      <c r="AQ212" s="3" t="n"/>
      <c r="AR212" s="3" t="n"/>
      <c r="AS212" s="3" t="n"/>
      <c r="AT212" s="3" t="n"/>
      <c r="AU212" s="3" t="n"/>
      <c r="AV212" s="3" t="n"/>
      <c r="AW212" s="3" t="n"/>
      <c r="AX212" s="3" t="n"/>
      <c r="AY212" s="3" t="n"/>
      <c r="AZ212" s="3" t="n"/>
      <c r="BA212" s="3" t="n"/>
      <c r="BB212" s="3" t="n"/>
      <c r="BC212" s="3" t="n"/>
      <c r="BD212" s="3" t="n"/>
      <c r="BE212" s="3" t="n"/>
      <c r="BF212" s="3" t="n"/>
      <c r="BG212" s="3" t="n"/>
      <c r="BH212" s="3" t="n"/>
      <c r="BI212" s="3" t="n"/>
      <c r="BJ212" s="3" t="n"/>
      <c r="BK212" s="3" t="n"/>
      <c r="BL212" s="3" t="n"/>
      <c r="BM212" s="3" t="n"/>
      <c r="BN212" s="3" t="n"/>
      <c r="BO212" s="3" t="n"/>
      <c r="BP212" s="3" t="n"/>
      <c r="BQ212" s="3" t="n"/>
      <c r="BR212" s="3" t="n"/>
      <c r="BS212" s="3" t="n"/>
      <c r="BT212" s="3" t="n"/>
      <c r="BU212" s="3" t="n"/>
      <c r="BV212" s="3" t="n"/>
      <c r="BW212" s="3" t="n"/>
      <c r="BX212" s="3" t="n"/>
      <c r="BY212" s="3" t="n"/>
      <c r="BZ212" s="3" t="n"/>
      <c r="CA212" s="3" t="n"/>
      <c r="CB212" s="3" t="n"/>
      <c r="CC212" s="3" t="n"/>
      <c r="CD212" s="3" t="n"/>
      <c r="CE212" s="3" t="n"/>
      <c r="CF212" s="3" t="n"/>
      <c r="CG212" s="3" t="n"/>
      <c r="CH212" s="3" t="n"/>
      <c r="CI212" s="3" t="n"/>
      <c r="CJ212" s="3" t="n"/>
      <c r="CK212" s="3" t="n"/>
      <c r="CL212" s="3" t="n"/>
      <c r="CM212" s="3" t="n"/>
      <c r="CN212" s="3" t="n"/>
      <c r="CO212" s="3" t="n"/>
      <c r="CP212" s="3" t="n"/>
      <c r="CQ212" s="3" t="n"/>
      <c r="CR212" s="3" t="n"/>
      <c r="CS212" s="3" t="n"/>
      <c r="CT212" s="3" t="n"/>
      <c r="CU212" s="3" t="n"/>
      <c r="CV212" s="3" t="n"/>
      <c r="CW212" s="3" t="n"/>
      <c r="CX212" s="3" t="n"/>
      <c r="CY212" s="3" t="n"/>
    </row>
    <row r="213" hidden="1" outlineLevel="1">
      <c r="C213" s="34" t="inlineStr">
        <is>
          <t>Current portion of LTD</t>
        </is>
      </c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/>
      <c r="AC213" s="3" t="n"/>
      <c r="AD213" s="3" t="n"/>
      <c r="AE213" s="3" t="n"/>
      <c r="AF213" s="3" t="n"/>
      <c r="AG213" s="3" t="n"/>
      <c r="AH213" s="3">
        <f>AF206</f>
        <v>0</v>
      </c>
      <c r="AI213" s="35" t="n"/>
      <c r="AJ213" s="35" t="n"/>
      <c r="AK213" s="35" t="n"/>
      <c r="AL213" s="3" t="n"/>
      <c r="AM213" s="3">
        <f>AK206</f>
        <v>0</v>
      </c>
      <c r="AN213" s="35" t="n"/>
      <c r="AO213" s="35" t="n"/>
      <c r="AP213" s="35" t="n"/>
      <c r="AQ213" s="3" t="n"/>
      <c r="AR213" s="3">
        <f>AP206</f>
        <v>0</v>
      </c>
      <c r="AS213" s="35" t="n"/>
      <c r="AT213" s="35" t="n"/>
      <c r="AU213" s="35" t="n"/>
      <c r="AV213" s="3" t="n"/>
      <c r="AW213" s="3">
        <f>AU206</f>
        <v>0</v>
      </c>
      <c r="AX213" s="35" t="n"/>
      <c r="AY213" s="35" t="n"/>
      <c r="AZ213" s="35" t="n"/>
      <c r="BA213" s="3" t="n"/>
      <c r="BB213" s="3">
        <f>AZ206</f>
        <v>0</v>
      </c>
      <c r="BC213" s="35" t="n"/>
      <c r="BD213" s="35" t="n"/>
      <c r="BE213" s="35" t="n"/>
      <c r="BF213" s="3" t="n"/>
      <c r="BG213" s="3">
        <f>BE206</f>
        <v>0</v>
      </c>
      <c r="BH213" s="35" t="n"/>
      <c r="BI213" s="35" t="n"/>
      <c r="BJ213" s="35" t="n"/>
      <c r="BK213" s="3" t="n"/>
      <c r="BL213" s="3">
        <f>BJ206</f>
        <v>0</v>
      </c>
      <c r="BM213" s="35" t="n"/>
      <c r="BN213" s="35" t="n"/>
      <c r="BO213" s="35" t="n"/>
      <c r="BP213" s="3" t="n"/>
      <c r="BQ213" s="3">
        <f>BO206</f>
        <v>0</v>
      </c>
      <c r="BR213" s="35" t="n"/>
      <c r="BS213" s="35" t="n"/>
      <c r="BT213" s="35" t="n"/>
      <c r="BU213" s="3" t="n"/>
      <c r="BV213" s="3">
        <f>BT206</f>
        <v>0</v>
      </c>
      <c r="BW213" s="35" t="n"/>
      <c r="BX213" s="35" t="n"/>
      <c r="BY213" s="35" t="n"/>
      <c r="BZ213" s="3" t="n"/>
      <c r="CA213" s="3">
        <f>BY206</f>
        <v>0</v>
      </c>
      <c r="CB213" s="35" t="n"/>
      <c r="CC213" s="35" t="n"/>
      <c r="CD213" s="35" t="n"/>
      <c r="CE213" s="3" t="n"/>
      <c r="CF213" s="3">
        <f>CD206</f>
        <v>0</v>
      </c>
      <c r="CG213" s="35" t="n"/>
      <c r="CH213" s="35" t="n"/>
      <c r="CI213" s="35" t="n"/>
      <c r="CJ213" s="3" t="n"/>
      <c r="CK213" s="3">
        <f>CI206</f>
        <v>0</v>
      </c>
      <c r="CL213" s="35" t="n"/>
      <c r="CM213" s="35" t="n"/>
      <c r="CN213" s="35" t="n"/>
      <c r="CO213" s="3" t="n"/>
      <c r="CP213" s="3">
        <f>CN206</f>
        <v>0</v>
      </c>
      <c r="CQ213" s="35" t="n"/>
      <c r="CR213" s="35" t="n"/>
      <c r="CS213" s="35" t="n"/>
      <c r="CT213" s="3" t="n"/>
      <c r="CU213" s="3">
        <f>CS206</f>
        <v>0</v>
      </c>
      <c r="CV213" s="35" t="n"/>
      <c r="CW213" s="35" t="n"/>
      <c r="CX213" s="35" t="n"/>
      <c r="CY213" s="3" t="n"/>
    </row>
    <row r="214" hidden="1" outlineLevel="1">
      <c r="C214" s="34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  <c r="AB214" s="3" t="n"/>
      <c r="AC214" s="3" t="n"/>
      <c r="AD214" s="3" t="n"/>
      <c r="AE214" s="3" t="n"/>
      <c r="AF214" s="3" t="n"/>
      <c r="AG214" s="3" t="n"/>
      <c r="AH214" s="3" t="n"/>
      <c r="AI214" s="3" t="n"/>
      <c r="AJ214" s="3" t="n"/>
      <c r="AK214" s="3" t="n"/>
      <c r="AL214" s="3" t="n"/>
      <c r="AM214" s="3" t="n"/>
      <c r="AN214" s="3" t="n"/>
      <c r="AO214" s="3" t="n"/>
      <c r="AP214" s="3" t="n"/>
      <c r="AQ214" s="3" t="n"/>
      <c r="AR214" s="3" t="n"/>
      <c r="AS214" s="3" t="n"/>
      <c r="AT214" s="3" t="n"/>
      <c r="AU214" s="3" t="n"/>
      <c r="AV214" s="3" t="n"/>
      <c r="AW214" s="3" t="n"/>
      <c r="AX214" s="3" t="n"/>
      <c r="AY214" s="3" t="n"/>
      <c r="AZ214" s="3" t="n"/>
      <c r="BA214" s="3" t="n"/>
      <c r="BB214" s="3" t="n"/>
      <c r="BC214" s="3" t="n"/>
      <c r="BD214" s="3" t="n"/>
      <c r="BE214" s="3" t="n"/>
      <c r="BF214" s="3" t="n"/>
      <c r="BG214" s="3" t="n"/>
      <c r="BH214" s="3" t="n"/>
      <c r="BI214" s="3" t="n"/>
      <c r="BJ214" s="3" t="n"/>
      <c r="BK214" s="3" t="n"/>
      <c r="BL214" s="3" t="n"/>
      <c r="BM214" s="3" t="n"/>
      <c r="BN214" s="3" t="n"/>
      <c r="BO214" s="3" t="n"/>
      <c r="BP214" s="3" t="n"/>
      <c r="BQ214" s="3" t="n"/>
      <c r="BR214" s="3" t="n"/>
      <c r="BS214" s="3" t="n"/>
      <c r="BT214" s="3" t="n"/>
      <c r="BU214" s="3" t="n"/>
      <c r="BV214" s="3" t="n"/>
      <c r="BW214" s="3" t="n"/>
      <c r="BX214" s="3" t="n"/>
      <c r="BY214" s="3" t="n"/>
      <c r="BZ214" s="3" t="n"/>
      <c r="CA214" s="3" t="n"/>
      <c r="CB214" s="3" t="n"/>
      <c r="CC214" s="3" t="n"/>
      <c r="CD214" s="3" t="n"/>
      <c r="CE214" s="3" t="n"/>
      <c r="CF214" s="3" t="n"/>
      <c r="CG214" s="3" t="n"/>
      <c r="CH214" s="3" t="n"/>
      <c r="CI214" s="3" t="n"/>
      <c r="CJ214" s="3" t="n"/>
      <c r="CK214" s="3" t="n"/>
      <c r="CL214" s="3" t="n"/>
      <c r="CM214" s="3" t="n"/>
      <c r="CN214" s="3" t="n"/>
      <c r="CO214" s="3" t="n"/>
      <c r="CP214" s="3" t="n"/>
      <c r="CQ214" s="3" t="n"/>
      <c r="CR214" s="3" t="n"/>
      <c r="CS214" s="3" t="n"/>
      <c r="CT214" s="3" t="n"/>
      <c r="CU214" s="3" t="n"/>
      <c r="CV214" s="3" t="n"/>
      <c r="CW214" s="3" t="n"/>
      <c r="CX214" s="3" t="n"/>
      <c r="CY214" s="3" t="n"/>
    </row>
    <row r="215" hidden="1" outlineLevel="1">
      <c r="C215" s="34" t="inlineStr">
        <is>
          <t>Reclassification of LTD to CP of LTD</t>
        </is>
      </c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/>
      <c r="AC215" s="3" t="n"/>
      <c r="AD215" s="3" t="n"/>
      <c r="AE215" s="3" t="n"/>
      <c r="AF215" s="3" t="n"/>
      <c r="AG215" s="3" t="n"/>
      <c r="AH215" s="3" t="n"/>
      <c r="AI215" s="3">
        <f>-AI213</f>
        <v>0</v>
      </c>
      <c r="AJ215" s="3">
        <f>-AJ213</f>
        <v>0</v>
      </c>
      <c r="AK215" s="3">
        <f>-AK213</f>
        <v>0</v>
      </c>
      <c r="AL215" s="3" t="n"/>
      <c r="AM215" s="3" t="n"/>
      <c r="AN215" s="3">
        <f>-AN213</f>
        <v>0</v>
      </c>
      <c r="AO215" s="3">
        <f>-AO213</f>
        <v>0</v>
      </c>
      <c r="AP215" s="3">
        <f>-AP213</f>
        <v>0</v>
      </c>
      <c r="AQ215" s="3" t="n"/>
      <c r="AR215" s="3" t="n"/>
      <c r="AS215" s="3">
        <f>-AS213</f>
        <v>0</v>
      </c>
      <c r="AT215" s="3">
        <f>-AT213</f>
        <v>0</v>
      </c>
      <c r="AU215" s="3">
        <f>-AU213</f>
        <v>0</v>
      </c>
      <c r="AV215" s="3" t="n"/>
      <c r="AW215" s="3" t="n"/>
      <c r="AX215" s="3">
        <f>-AX213</f>
        <v>0</v>
      </c>
      <c r="AY215" s="3">
        <f>-AY213</f>
        <v>0</v>
      </c>
      <c r="AZ215" s="3">
        <f>-AZ213</f>
        <v>0</v>
      </c>
      <c r="BA215" s="3" t="n"/>
      <c r="BB215" s="3" t="n"/>
      <c r="BC215" s="3">
        <f>-BC213</f>
        <v>0</v>
      </c>
      <c r="BD215" s="3">
        <f>-BD213</f>
        <v>0</v>
      </c>
      <c r="BE215" s="3">
        <f>-BE213</f>
        <v>0</v>
      </c>
      <c r="BF215" s="3" t="n"/>
      <c r="BG215" s="3" t="n"/>
      <c r="BH215" s="3">
        <f>-BH213</f>
        <v>0</v>
      </c>
      <c r="BI215" s="3">
        <f>-BI213</f>
        <v>0</v>
      </c>
      <c r="BJ215" s="3">
        <f>-BJ213</f>
        <v>0</v>
      </c>
      <c r="BK215" s="3" t="n"/>
      <c r="BL215" s="3" t="n"/>
      <c r="BM215" s="3">
        <f>-BM213</f>
        <v>0</v>
      </c>
      <c r="BN215" s="3">
        <f>-BN213</f>
        <v>0</v>
      </c>
      <c r="BO215" s="3">
        <f>-BO213</f>
        <v>0</v>
      </c>
      <c r="BP215" s="3" t="n"/>
      <c r="BQ215" s="3" t="n"/>
      <c r="BR215" s="3">
        <f>-BR213</f>
        <v>0</v>
      </c>
      <c r="BS215" s="3">
        <f>-BS213</f>
        <v>0</v>
      </c>
      <c r="BT215" s="3">
        <f>-BT213</f>
        <v>0</v>
      </c>
      <c r="BU215" s="3" t="n"/>
      <c r="BV215" s="3" t="n"/>
      <c r="BW215" s="3">
        <f>-BW213</f>
        <v>0</v>
      </c>
      <c r="BX215" s="3">
        <f>-BX213</f>
        <v>0</v>
      </c>
      <c r="BY215" s="3">
        <f>-BY213</f>
        <v>0</v>
      </c>
      <c r="BZ215" s="3" t="n"/>
      <c r="CA215" s="3" t="n"/>
      <c r="CB215" s="3">
        <f>-CB213</f>
        <v>0</v>
      </c>
      <c r="CC215" s="3">
        <f>-CC213</f>
        <v>0</v>
      </c>
      <c r="CD215" s="3">
        <f>-CD213</f>
        <v>0</v>
      </c>
      <c r="CE215" s="3" t="n"/>
      <c r="CF215" s="3" t="n"/>
      <c r="CG215" s="3">
        <f>-CG213</f>
        <v>0</v>
      </c>
      <c r="CH215" s="3">
        <f>-CH213</f>
        <v>0</v>
      </c>
      <c r="CI215" s="3">
        <f>-CI213</f>
        <v>0</v>
      </c>
      <c r="CJ215" s="3" t="n"/>
      <c r="CK215" s="3" t="n"/>
      <c r="CL215" s="3">
        <f>-CL213</f>
        <v>0</v>
      </c>
      <c r="CM215" s="3">
        <f>-CM213</f>
        <v>0</v>
      </c>
      <c r="CN215" s="3">
        <f>-CN213</f>
        <v>0</v>
      </c>
      <c r="CO215" s="3" t="n"/>
      <c r="CP215" s="3" t="n"/>
      <c r="CQ215" s="3">
        <f>-CQ213</f>
        <v>0</v>
      </c>
      <c r="CR215" s="3">
        <f>-CR213</f>
        <v>0</v>
      </c>
      <c r="CS215" s="3">
        <f>-CS213</f>
        <v>0</v>
      </c>
      <c r="CT215" s="3" t="n"/>
      <c r="CU215" s="3" t="n"/>
      <c r="CV215" s="3">
        <f>-CV213</f>
        <v>0</v>
      </c>
      <c r="CW215" s="3">
        <f>-CW213</f>
        <v>0</v>
      </c>
      <c r="CX215" s="3">
        <f>-CX213</f>
        <v>0</v>
      </c>
      <c r="CY215" s="3" t="n"/>
    </row>
    <row r="216" hidden="1" outlineLevel="1">
      <c r="C216" s="34" t="inlineStr">
        <is>
          <t>Discretionary (paydown)/borrowing of long term debt</t>
        </is>
      </c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  <c r="AC216" s="3" t="n"/>
      <c r="AD216" s="3" t="n"/>
      <c r="AE216" s="3" t="n"/>
      <c r="AF216" s="3" t="n"/>
      <c r="AG216" s="3" t="n"/>
      <c r="AH216" s="35" t="n"/>
      <c r="AI216" s="35" t="n"/>
      <c r="AJ216" s="35" t="n"/>
      <c r="AK216" s="35" t="n"/>
      <c r="AL216" s="3" t="n"/>
      <c r="AM216" s="35" t="n"/>
      <c r="AN216" s="35" t="n"/>
      <c r="AO216" s="35" t="n"/>
      <c r="AP216" s="35" t="n"/>
      <c r="AQ216" s="3" t="n"/>
      <c r="AR216" s="35" t="n"/>
      <c r="AS216" s="35" t="n"/>
      <c r="AT216" s="35" t="n"/>
      <c r="AU216" s="35" t="n"/>
      <c r="AV216" s="3" t="n"/>
      <c r="AW216" s="35" t="n"/>
      <c r="AX216" s="35" t="n"/>
      <c r="AY216" s="35" t="n"/>
      <c r="AZ216" s="35" t="n"/>
      <c r="BA216" s="3" t="n"/>
      <c r="BB216" s="35" t="n"/>
      <c r="BC216" s="35" t="n"/>
      <c r="BD216" s="35" t="n"/>
      <c r="BE216" s="35" t="n"/>
      <c r="BF216" s="3" t="n"/>
      <c r="BG216" s="35" t="n"/>
      <c r="BH216" s="35" t="n"/>
      <c r="BI216" s="35" t="n"/>
      <c r="BJ216" s="35" t="n"/>
      <c r="BK216" s="3" t="n"/>
      <c r="BL216" s="35" t="n"/>
      <c r="BM216" s="35" t="n"/>
      <c r="BN216" s="35" t="n"/>
      <c r="BO216" s="35" t="n"/>
      <c r="BP216" s="3" t="n"/>
      <c r="BQ216" s="35" t="n"/>
      <c r="BR216" s="35" t="n"/>
      <c r="BS216" s="35" t="n"/>
      <c r="BT216" s="35" t="n"/>
      <c r="BU216" s="3" t="n"/>
      <c r="BV216" s="35" t="n"/>
      <c r="BW216" s="35" t="n"/>
      <c r="BX216" s="35" t="n"/>
      <c r="BY216" s="35" t="n"/>
      <c r="BZ216" s="3" t="n"/>
      <c r="CA216" s="35" t="n"/>
      <c r="CB216" s="35" t="n"/>
      <c r="CC216" s="35" t="n"/>
      <c r="CD216" s="35" t="n"/>
      <c r="CE216" s="3" t="n"/>
      <c r="CF216" s="35" t="n"/>
      <c r="CG216" s="35" t="n"/>
      <c r="CH216" s="35" t="n"/>
      <c r="CI216" s="35" t="n"/>
      <c r="CJ216" s="3" t="n"/>
      <c r="CK216" s="35" t="n"/>
      <c r="CL216" s="35" t="n"/>
      <c r="CM216" s="35" t="n"/>
      <c r="CN216" s="35" t="n"/>
      <c r="CO216" s="3" t="n"/>
      <c r="CP216" s="35" t="n"/>
      <c r="CQ216" s="35" t="n"/>
      <c r="CR216" s="35" t="n"/>
      <c r="CS216" s="35" t="n"/>
      <c r="CT216" s="3" t="n"/>
      <c r="CU216" s="35" t="n"/>
      <c r="CV216" s="35" t="n"/>
      <c r="CW216" s="35" t="n"/>
      <c r="CX216" s="35" t="n"/>
      <c r="CY216" s="3" t="n"/>
    </row>
    <row r="217" hidden="1" outlineLevel="1">
      <c r="C217" s="34" t="inlineStr">
        <is>
          <t>Long term debt</t>
        </is>
      </c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  <c r="AC217" s="3" t="n"/>
      <c r="AD217" s="3" t="n"/>
      <c r="AE217" s="3" t="n"/>
      <c r="AF217" s="3" t="n"/>
      <c r="AG217" s="3" t="n"/>
      <c r="AH217" s="3">
        <f>AF211+SUM(AH215:AH216)</f>
        <v>0</v>
      </c>
      <c r="AI217" s="3">
        <f>AH217+SUM(AI215:AI216)</f>
        <v>0</v>
      </c>
      <c r="AJ217" s="3">
        <f>AI211+SUM(AJ215:AJ216)</f>
        <v>0</v>
      </c>
      <c r="AK217" s="3">
        <f>AJ217+SUM(AK215:AK216)</f>
        <v>0</v>
      </c>
      <c r="AL217" s="3" t="n"/>
      <c r="AM217" s="3">
        <f>AK217+SUM(AM215:AM216)</f>
        <v>0</v>
      </c>
      <c r="AN217" s="3">
        <f>AM217+SUM(AN215:AN216)</f>
        <v>0</v>
      </c>
      <c r="AO217" s="3">
        <f>AN217+SUM(AO215:AO216)</f>
        <v>0</v>
      </c>
      <c r="AP217" s="3">
        <f>AO217+SUM(AP215:AP216)</f>
        <v>0</v>
      </c>
      <c r="AQ217" s="3" t="n"/>
      <c r="AR217" s="3">
        <f>AP217+SUM(AR215:AR216)</f>
        <v>0</v>
      </c>
      <c r="AS217" s="3">
        <f>AR217+SUM(AS215:AS216)</f>
        <v>0</v>
      </c>
      <c r="AT217" s="3">
        <f>AS217+SUM(AT215:AT216)</f>
        <v>0</v>
      </c>
      <c r="AU217" s="3">
        <f>AT217+SUM(AU215:AU216)</f>
        <v>0</v>
      </c>
      <c r="AV217" s="3" t="n"/>
      <c r="AW217" s="3">
        <f>AU217+SUM(AW215:AW216)</f>
        <v>0</v>
      </c>
      <c r="AX217" s="3">
        <f>AW217+SUM(AX215:AX216)</f>
        <v>0</v>
      </c>
      <c r="AY217" s="3">
        <f>AX217+SUM(AY215:AY216)</f>
        <v>0</v>
      </c>
      <c r="AZ217" s="3">
        <f>AY217+SUM(AZ215:AZ216)</f>
        <v>0</v>
      </c>
      <c r="BA217" s="3" t="n"/>
      <c r="BB217" s="3">
        <f>AZ217+SUM(BB215:BB216)</f>
        <v>0</v>
      </c>
      <c r="BC217" s="3">
        <f>BB217+SUM(BC215:BC216)</f>
        <v>0</v>
      </c>
      <c r="BD217" s="3">
        <f>BC217+SUM(BD215:BD216)</f>
        <v>0</v>
      </c>
      <c r="BE217" s="3">
        <f>BD217+SUM(BE215:BE216)</f>
        <v>0</v>
      </c>
      <c r="BF217" s="3" t="n"/>
      <c r="BG217" s="3">
        <f>BE217+SUM(BG215:BG216)</f>
        <v>0</v>
      </c>
      <c r="BH217" s="3">
        <f>BG217+SUM(BH215:BH216)</f>
        <v>0</v>
      </c>
      <c r="BI217" s="3">
        <f>BH217+SUM(BI215:BI216)</f>
        <v>0</v>
      </c>
      <c r="BJ217" s="3">
        <f>BI217+SUM(BJ215:BJ216)</f>
        <v>0</v>
      </c>
      <c r="BK217" s="3" t="n"/>
      <c r="BL217" s="3">
        <f>BJ217+SUM(BL215:BL216)</f>
        <v>0</v>
      </c>
      <c r="BM217" s="3">
        <f>BL217+SUM(BM215:BM216)</f>
        <v>0</v>
      </c>
      <c r="BN217" s="3">
        <f>BM217+SUM(BN215:BN216)</f>
        <v>0</v>
      </c>
      <c r="BO217" s="3">
        <f>BN217+SUM(BO215:BO216)</f>
        <v>0</v>
      </c>
      <c r="BP217" s="3" t="n"/>
      <c r="BQ217" s="3">
        <f>BO217+SUM(BQ215:BQ216)</f>
        <v>0</v>
      </c>
      <c r="BR217" s="3">
        <f>BQ217+SUM(BR215:BR216)</f>
        <v>0</v>
      </c>
      <c r="BS217" s="3">
        <f>BR217+SUM(BS215:BS216)</f>
        <v>0</v>
      </c>
      <c r="BT217" s="3">
        <f>BS217+SUM(BT215:BT216)</f>
        <v>0</v>
      </c>
      <c r="BU217" s="3" t="n"/>
      <c r="BV217" s="3">
        <f>BT217+SUM(BV215:BV216)</f>
        <v>0</v>
      </c>
      <c r="BW217" s="3">
        <f>BV217+SUM(BW215:BW216)</f>
        <v>0</v>
      </c>
      <c r="BX217" s="3">
        <f>BW217+SUM(BX215:BX216)</f>
        <v>0</v>
      </c>
      <c r="BY217" s="3">
        <f>BX217+SUM(BY215:BY216)</f>
        <v>0</v>
      </c>
      <c r="BZ217" s="3" t="n"/>
      <c r="CA217" s="3">
        <f>BY217+SUM(CA215:CA216)</f>
        <v>0</v>
      </c>
      <c r="CB217" s="3">
        <f>CA217+SUM(CB215:CB216)</f>
        <v>0</v>
      </c>
      <c r="CC217" s="3">
        <f>CB217+SUM(CC215:CC216)</f>
        <v>0</v>
      </c>
      <c r="CD217" s="3">
        <f>CC217+SUM(CD215:CD216)</f>
        <v>0</v>
      </c>
      <c r="CE217" s="3" t="n"/>
      <c r="CF217" s="3">
        <f>CD217+SUM(CF215:CF216)</f>
        <v>0</v>
      </c>
      <c r="CG217" s="3">
        <f>CF217+SUM(CG215:CG216)</f>
        <v>0</v>
      </c>
      <c r="CH217" s="3">
        <f>CG217+SUM(CH215:CH216)</f>
        <v>0</v>
      </c>
      <c r="CI217" s="3">
        <f>CH217+SUM(CI215:CI216)</f>
        <v>0</v>
      </c>
      <c r="CJ217" s="3" t="n"/>
      <c r="CK217" s="3">
        <f>CI217+SUM(CK215:CK216)</f>
        <v>0</v>
      </c>
      <c r="CL217" s="3">
        <f>CK217+SUM(CL215:CL216)</f>
        <v>0</v>
      </c>
      <c r="CM217" s="3">
        <f>CL217+SUM(CM215:CM216)</f>
        <v>0</v>
      </c>
      <c r="CN217" s="3">
        <f>CM217+SUM(CN215:CN216)</f>
        <v>0</v>
      </c>
      <c r="CO217" s="3" t="n"/>
      <c r="CP217" s="3">
        <f>CN217+SUM(CP215:CP216)</f>
        <v>0</v>
      </c>
      <c r="CQ217" s="3">
        <f>CP217+SUM(CQ215:CQ216)</f>
        <v>0</v>
      </c>
      <c r="CR217" s="3">
        <f>CQ217+SUM(CR215:CR216)</f>
        <v>0</v>
      </c>
      <c r="CS217" s="3">
        <f>CR217+SUM(CS215:CS216)</f>
        <v>0</v>
      </c>
      <c r="CT217" s="3" t="n"/>
      <c r="CU217" s="3">
        <f>CS217+SUM(CU215:CU216)</f>
        <v>0</v>
      </c>
      <c r="CV217" s="3">
        <f>CU217+SUM(CV215:CV216)</f>
        <v>0</v>
      </c>
      <c r="CW217" s="3">
        <f>CV217+SUM(CW215:CW216)</f>
        <v>0</v>
      </c>
      <c r="CX217" s="3">
        <f>CW217+SUM(CX215:CX216)</f>
        <v>0</v>
      </c>
      <c r="CY217" s="3" t="n"/>
      <c r="CZ217">
        <f>CX217+SUM(CZ215:CZ216)</f>
        <v>0</v>
      </c>
      <c r="DA217">
        <f>CZ217+SUM(DA215:DA216)</f>
        <v>0</v>
      </c>
      <c r="DB217">
        <f>DA217+SUM(DB215:DB216)</f>
        <v>0</v>
      </c>
      <c r="DC217">
        <f>DB217+SUM(DC215:DC216)</f>
        <v>0</v>
      </c>
    </row>
    <row r="218" hidden="1" outlineLevel="1">
      <c r="C218" s="34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  <c r="AB218" s="3" t="n"/>
      <c r="AC218" s="3" t="n"/>
      <c r="AD218" s="3" t="n"/>
      <c r="AE218" s="3" t="n"/>
      <c r="AF218" s="3" t="n"/>
      <c r="AG218" s="3" t="n"/>
      <c r="AH218" s="3" t="n"/>
      <c r="AI218" s="3" t="n"/>
      <c r="AJ218" s="3" t="n"/>
      <c r="AK218" s="3" t="n"/>
      <c r="AL218" s="3" t="n"/>
      <c r="AM218" s="3" t="n"/>
      <c r="AN218" s="3" t="n"/>
      <c r="AO218" s="3" t="n"/>
      <c r="AP218" s="3" t="n"/>
      <c r="AQ218" s="3" t="n"/>
      <c r="AR218" s="3" t="n"/>
      <c r="AS218" s="3" t="n"/>
      <c r="AT218" s="3" t="n"/>
      <c r="AU218" s="3" t="n"/>
      <c r="AV218" s="3" t="n"/>
      <c r="AW218" s="3" t="n"/>
      <c r="AX218" s="3" t="n"/>
      <c r="AY218" s="3" t="n"/>
      <c r="AZ218" s="3" t="n"/>
      <c r="BA218" s="3" t="n"/>
      <c r="BB218" s="3" t="n"/>
      <c r="BC218" s="3" t="n"/>
      <c r="BD218" s="3" t="n"/>
      <c r="BE218" s="3" t="n"/>
      <c r="BF218" s="3" t="n"/>
      <c r="BG218" s="3" t="n"/>
      <c r="BH218" s="3" t="n"/>
      <c r="BI218" s="3" t="n"/>
      <c r="BJ218" s="3" t="n"/>
      <c r="BK218" s="3" t="n"/>
      <c r="BL218" s="3" t="n"/>
      <c r="BM218" s="3" t="n"/>
      <c r="BN218" s="3" t="n"/>
      <c r="BO218" s="3" t="n"/>
      <c r="BP218" s="3" t="n"/>
      <c r="BQ218" s="3" t="n"/>
      <c r="BR218" s="3" t="n"/>
      <c r="BS218" s="3" t="n"/>
      <c r="BT218" s="3" t="n"/>
      <c r="BU218" s="3" t="n"/>
      <c r="BV218" s="3" t="n"/>
      <c r="BW218" s="3" t="n"/>
      <c r="BX218" s="3" t="n"/>
      <c r="BY218" s="3" t="n"/>
      <c r="BZ218" s="3" t="n"/>
      <c r="CA218" s="3" t="n"/>
      <c r="CB218" s="3" t="n"/>
      <c r="CC218" s="3" t="n"/>
      <c r="CD218" s="3" t="n"/>
      <c r="CE218" s="3" t="n"/>
      <c r="CF218" s="3" t="n"/>
      <c r="CG218" s="3" t="n"/>
      <c r="CH218" s="3" t="n"/>
      <c r="CI218" s="3" t="n"/>
      <c r="CJ218" s="3" t="n"/>
      <c r="CK218" s="3" t="n"/>
      <c r="CL218" s="3" t="n"/>
      <c r="CM218" s="3" t="n"/>
      <c r="CN218" s="3" t="n"/>
      <c r="CO218" s="3" t="n"/>
      <c r="CP218" s="3" t="n"/>
      <c r="CQ218" s="3" t="n"/>
      <c r="CR218" s="3" t="n"/>
      <c r="CS218" s="3" t="n"/>
      <c r="CT218" s="3" t="n"/>
      <c r="CU218" s="3" t="n"/>
      <c r="CV218" s="3" t="n"/>
      <c r="CW218" s="3" t="n"/>
      <c r="CX218" s="3" t="n"/>
      <c r="CY218" s="3" t="n"/>
    </row>
    <row r="219" hidden="1" outlineLevel="1">
      <c r="C219" s="34" t="inlineStr">
        <is>
          <t>Discretionary (paydown)/borrowing of convertible debt</t>
        </is>
      </c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  <c r="AB219" s="3" t="n"/>
      <c r="AC219" s="3" t="n"/>
      <c r="AD219" s="3" t="n"/>
      <c r="AE219" s="3" t="n"/>
      <c r="AF219" s="3" t="n"/>
      <c r="AG219" s="3" t="n"/>
      <c r="AH219" s="35" t="n"/>
      <c r="AI219" s="35" t="n"/>
      <c r="AJ219" s="35" t="n"/>
      <c r="AK219" s="35" t="n"/>
      <c r="AL219" s="3" t="n"/>
      <c r="AM219" s="35" t="n"/>
      <c r="AN219" s="35" t="n"/>
      <c r="AO219" s="35" t="n"/>
      <c r="AP219" s="35" t="n"/>
      <c r="AQ219" s="3" t="n"/>
      <c r="AR219" s="35" t="n"/>
      <c r="AS219" s="35" t="n"/>
      <c r="AT219" s="35" t="n"/>
      <c r="AU219" s="35" t="n"/>
      <c r="AV219" s="3" t="n"/>
      <c r="AW219" s="35" t="n"/>
      <c r="AX219" s="35" t="n"/>
      <c r="AY219" s="35" t="n"/>
      <c r="AZ219" s="35" t="n"/>
      <c r="BA219" s="3" t="n"/>
      <c r="BB219" s="35" t="n"/>
      <c r="BC219" s="35" t="n"/>
      <c r="BD219" s="35" t="n"/>
      <c r="BE219" s="35" t="n"/>
      <c r="BF219" s="3" t="n"/>
      <c r="BG219" s="35" t="n"/>
      <c r="BH219" s="35" t="n"/>
      <c r="BI219" s="35" t="n"/>
      <c r="BJ219" s="35" t="n"/>
      <c r="BK219" s="3" t="n"/>
      <c r="BL219" s="35" t="n"/>
      <c r="BM219" s="35" t="n"/>
      <c r="BN219" s="35" t="n"/>
      <c r="BO219" s="35" t="n"/>
      <c r="BP219" s="3" t="n"/>
      <c r="BQ219" s="35" t="n"/>
      <c r="BR219" s="35" t="n"/>
      <c r="BS219" s="35" t="n"/>
      <c r="BT219" s="35" t="n"/>
      <c r="BU219" s="3" t="n"/>
      <c r="BV219" s="35" t="n"/>
      <c r="BW219" s="35" t="n"/>
      <c r="BX219" s="35" t="n"/>
      <c r="BY219" s="35" t="n"/>
      <c r="BZ219" s="3" t="n"/>
      <c r="CA219" s="35" t="n"/>
      <c r="CB219" s="35" t="n"/>
      <c r="CC219" s="35" t="n"/>
      <c r="CD219" s="35" t="n"/>
      <c r="CE219" s="3" t="n"/>
      <c r="CF219" s="35" t="n"/>
      <c r="CG219" s="35" t="n"/>
      <c r="CH219" s="35" t="n"/>
      <c r="CI219" s="35" t="n"/>
      <c r="CJ219" s="3" t="n"/>
      <c r="CK219" s="35" t="n"/>
      <c r="CL219" s="35" t="n"/>
      <c r="CM219" s="35" t="n"/>
      <c r="CN219" s="35" t="n"/>
      <c r="CO219" s="3" t="n"/>
      <c r="CP219" s="35" t="n"/>
      <c r="CQ219" s="35" t="n"/>
      <c r="CR219" s="35" t="n"/>
      <c r="CS219" s="35" t="n"/>
      <c r="CT219" s="3" t="n"/>
      <c r="CU219" s="35" t="n"/>
      <c r="CV219" s="35" t="n"/>
      <c r="CW219" s="35" t="n"/>
      <c r="CX219" s="35" t="n"/>
      <c r="CY219" s="3" t="n"/>
    </row>
    <row r="220" hidden="1" outlineLevel="1">
      <c r="C220" s="34" t="inlineStr">
        <is>
          <t>Convertible debt</t>
        </is>
      </c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  <c r="AC220" s="3" t="n"/>
      <c r="AD220" s="3" t="n"/>
      <c r="AE220" s="3" t="n"/>
      <c r="AF220" s="3" t="n"/>
      <c r="AG220" s="3" t="n"/>
      <c r="AH220" s="3">
        <f>AH232</f>
        <v>0</v>
      </c>
      <c r="AI220" s="3">
        <f>AH220+SUM(AI219)</f>
        <v>0</v>
      </c>
      <c r="AJ220" s="3">
        <f>AI220+SUM(AJ219)</f>
        <v>0</v>
      </c>
      <c r="AK220" s="3">
        <f>AJ220+SUM(AK219)</f>
        <v>0</v>
      </c>
      <c r="AL220" s="3" t="n"/>
      <c r="AM220" s="3">
        <f>AM232</f>
        <v>0</v>
      </c>
      <c r="AN220" s="3">
        <f>AM220+SUM(AN219)</f>
        <v>0</v>
      </c>
      <c r="AO220" s="3">
        <f>AN220+SUM(AO219)</f>
        <v>0</v>
      </c>
      <c r="AP220" s="3">
        <f>AO220+SUM(AP219)</f>
        <v>0</v>
      </c>
      <c r="AQ220" s="3" t="n"/>
      <c r="AR220" s="3">
        <f>AR232</f>
        <v>0</v>
      </c>
      <c r="AS220" s="3">
        <f>AR220+SUM(AS219)</f>
        <v>0</v>
      </c>
      <c r="AT220" s="3">
        <f>AS220+SUM(AT219)</f>
        <v>0</v>
      </c>
      <c r="AU220" s="3">
        <f>AT220+SUM(AU219)</f>
        <v>0</v>
      </c>
      <c r="AV220" s="3" t="n"/>
      <c r="AW220" s="3">
        <f>AW232</f>
        <v>0</v>
      </c>
      <c r="AX220" s="3">
        <f>AW220+SUM(AX219)</f>
        <v>0</v>
      </c>
      <c r="AY220" s="3">
        <f>AX220+SUM(AY219)</f>
        <v>0</v>
      </c>
      <c r="AZ220" s="3">
        <f>AY220+SUM(AZ219)</f>
        <v>0</v>
      </c>
      <c r="BA220" s="3" t="n"/>
      <c r="BB220" s="3">
        <f>BB232</f>
        <v>0</v>
      </c>
      <c r="BC220" s="3">
        <f>BB220+SUM(BC219)</f>
        <v>0</v>
      </c>
      <c r="BD220" s="3">
        <f>BC220+SUM(BD219)</f>
        <v>0</v>
      </c>
      <c r="BE220" s="3">
        <f>BD220+SUM(BE219)</f>
        <v>0</v>
      </c>
      <c r="BF220" s="3" t="n"/>
      <c r="BG220" s="3">
        <f>BG232</f>
        <v>0</v>
      </c>
      <c r="BH220" s="3">
        <f>BG220+SUM(BH219)</f>
        <v>0</v>
      </c>
      <c r="BI220" s="3">
        <f>BH220+SUM(BI219)</f>
        <v>0</v>
      </c>
      <c r="BJ220" s="3">
        <f>BI220+SUM(BJ219)</f>
        <v>0</v>
      </c>
      <c r="BK220" s="3" t="n"/>
      <c r="BL220" s="3">
        <f>BL232</f>
        <v>0</v>
      </c>
      <c r="BM220" s="3">
        <f>BL220+SUM(BM219)</f>
        <v>0</v>
      </c>
      <c r="BN220" s="3">
        <f>BM220+SUM(BN219)</f>
        <v>0</v>
      </c>
      <c r="BO220" s="3">
        <f>BN220+SUM(BO219)</f>
        <v>0</v>
      </c>
      <c r="BP220" s="3" t="n"/>
      <c r="BQ220" s="3">
        <f>BQ232</f>
        <v>0</v>
      </c>
      <c r="BR220" s="3">
        <f>BQ220+SUM(BR219)</f>
        <v>0</v>
      </c>
      <c r="BS220" s="3">
        <f>BR220+SUM(BS219)</f>
        <v>0</v>
      </c>
      <c r="BT220" s="3">
        <f>BS220+SUM(BT219)</f>
        <v>0</v>
      </c>
      <c r="BU220" s="3" t="n"/>
      <c r="BV220" s="3">
        <f>BV232</f>
        <v>0</v>
      </c>
      <c r="BW220" s="3">
        <f>BV220+SUM(BW219)</f>
        <v>0</v>
      </c>
      <c r="BX220" s="3">
        <f>BW220+SUM(BX219)</f>
        <v>0</v>
      </c>
      <c r="BY220" s="3">
        <f>BX220+SUM(BY219)</f>
        <v>0</v>
      </c>
      <c r="BZ220" s="3" t="n"/>
      <c r="CA220" s="3">
        <f>CA232</f>
        <v>0</v>
      </c>
      <c r="CB220" s="3">
        <f>CA220+SUM(CB219)</f>
        <v>0</v>
      </c>
      <c r="CC220" s="3">
        <f>CB220+SUM(CC219)</f>
        <v>0</v>
      </c>
      <c r="CD220" s="3">
        <f>CC220+SUM(CD219)</f>
        <v>0</v>
      </c>
      <c r="CE220" s="3" t="n"/>
      <c r="CF220" s="3">
        <f>CF232</f>
        <v>0</v>
      </c>
      <c r="CG220" s="3">
        <f>CF220+SUM(CG219)</f>
        <v>0</v>
      </c>
      <c r="CH220" s="3">
        <f>CG220+SUM(CH219)</f>
        <v>0</v>
      </c>
      <c r="CI220" s="3">
        <f>CH220+SUM(CI219)</f>
        <v>0</v>
      </c>
      <c r="CJ220" s="3" t="n"/>
      <c r="CK220" s="3">
        <f>CK232</f>
        <v>0</v>
      </c>
      <c r="CL220" s="3">
        <f>CK220+SUM(CL219)</f>
        <v>0</v>
      </c>
      <c r="CM220" s="3">
        <f>CL220+SUM(CM219)</f>
        <v>0</v>
      </c>
      <c r="CN220" s="3">
        <f>CM220+SUM(CN219)</f>
        <v>0</v>
      </c>
      <c r="CO220" s="3" t="n"/>
      <c r="CP220" s="3">
        <f>CP232</f>
        <v>0</v>
      </c>
      <c r="CQ220" s="3">
        <f>CP220+SUM(CQ219)</f>
        <v>0</v>
      </c>
      <c r="CR220" s="3">
        <f>CQ220+SUM(CR219)</f>
        <v>0</v>
      </c>
      <c r="CS220" s="3">
        <f>CR220+SUM(CS219)</f>
        <v>0</v>
      </c>
      <c r="CT220" s="3" t="n"/>
      <c r="CU220" s="3">
        <f>CU232</f>
        <v>0</v>
      </c>
      <c r="CV220" s="3">
        <f>CU220+SUM(CV219)</f>
        <v>0</v>
      </c>
      <c r="CW220" s="3">
        <f>CV220+SUM(CW219)</f>
        <v>0</v>
      </c>
      <c r="CX220" s="3">
        <f>CW220+SUM(CX219)</f>
        <v>0</v>
      </c>
      <c r="CY220" s="3" t="n"/>
    </row>
    <row r="221" hidden="1" outlineLevel="1">
      <c r="C221" s="34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/>
      <c r="AC221" s="3" t="n"/>
      <c r="AD221" s="3" t="n"/>
      <c r="AE221" s="3" t="n"/>
      <c r="AF221" s="3" t="n"/>
      <c r="AG221" s="3" t="n"/>
      <c r="AI221" s="3" t="n"/>
      <c r="AJ221" s="3" t="n"/>
      <c r="AK221" s="3" t="n"/>
      <c r="AL221" s="3" t="n"/>
      <c r="AN221" s="3" t="n"/>
      <c r="AO221" s="3" t="n"/>
      <c r="AP221" s="3" t="n"/>
      <c r="AQ221" s="3" t="n"/>
      <c r="AS221" s="3" t="n"/>
      <c r="AT221" s="3" t="n"/>
      <c r="AU221" s="3" t="n"/>
      <c r="AV221" s="3" t="n"/>
      <c r="AX221" s="3" t="n"/>
      <c r="AY221" s="3" t="n"/>
      <c r="AZ221" s="3" t="n"/>
      <c r="BA221" s="3" t="n"/>
      <c r="BC221" s="3" t="n"/>
      <c r="BD221" s="3" t="n"/>
      <c r="BE221" s="3" t="n"/>
      <c r="BF221" s="3" t="n"/>
      <c r="BH221" s="3" t="n"/>
      <c r="BI221" s="3" t="n"/>
      <c r="BJ221" s="3" t="n"/>
      <c r="BK221" s="3" t="n"/>
      <c r="BM221" s="3" t="n"/>
      <c r="BN221" s="3" t="n"/>
      <c r="BO221" s="3" t="n"/>
      <c r="BP221" s="3" t="n"/>
      <c r="BR221" s="3" t="n"/>
      <c r="BS221" s="3" t="n"/>
      <c r="BT221" s="3" t="n"/>
      <c r="BU221" s="3" t="n"/>
      <c r="BW221" s="3" t="n"/>
      <c r="BX221" s="3" t="n"/>
      <c r="BY221" s="3" t="n"/>
      <c r="BZ221" s="3" t="n"/>
      <c r="CB221" s="3" t="n"/>
      <c r="CC221" s="3" t="n"/>
      <c r="CD221" s="3" t="n"/>
      <c r="CE221" s="3" t="n"/>
      <c r="CG221" s="3" t="n"/>
      <c r="CH221" s="3" t="n"/>
      <c r="CI221" s="3" t="n"/>
      <c r="CJ221" s="3" t="n"/>
      <c r="CL221" s="3" t="n"/>
      <c r="CM221" s="3" t="n"/>
      <c r="CN221" s="3" t="n"/>
      <c r="CO221" s="3" t="n"/>
      <c r="CQ221" s="3" t="n"/>
      <c r="CR221" s="3" t="n"/>
      <c r="CS221" s="3" t="n"/>
      <c r="CT221" s="3" t="n"/>
      <c r="CV221" s="3" t="n"/>
      <c r="CW221" s="3" t="n"/>
      <c r="CX221" s="3" t="n"/>
      <c r="CY221" s="3" t="n"/>
    </row>
    <row r="222" hidden="1" outlineLevel="1">
      <c r="C222" s="34" t="inlineStr">
        <is>
          <t>Calculation of short term debt</t>
        </is>
      </c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  <c r="AB222" s="3" t="n"/>
      <c r="AC222" s="3" t="n"/>
      <c r="AD222" s="3" t="n"/>
      <c r="AE222" s="3" t="n"/>
      <c r="AF222" s="3" t="n"/>
      <c r="AG222" s="3" t="n"/>
      <c r="AH222" s="3" t="n"/>
      <c r="AI222" s="3" t="n"/>
      <c r="AJ222" s="3" t="n"/>
      <c r="AK222" s="3" t="n"/>
      <c r="AL222" s="3" t="n"/>
      <c r="AM222" s="3" t="n"/>
      <c r="AN222" s="3" t="n"/>
      <c r="AO222" s="3" t="n"/>
      <c r="AP222" s="3" t="n"/>
      <c r="AQ222" s="3" t="n"/>
      <c r="AR222" s="3" t="n"/>
      <c r="AS222" s="3" t="n"/>
      <c r="AT222" s="3" t="n"/>
      <c r="AU222" s="3" t="n"/>
      <c r="AV222" s="3" t="n"/>
      <c r="AW222" s="3" t="n"/>
      <c r="AX222" s="3" t="n"/>
      <c r="AY222" s="3" t="n"/>
      <c r="AZ222" s="3" t="n"/>
      <c r="BA222" s="3" t="n"/>
      <c r="BB222" s="3" t="n"/>
      <c r="BC222" s="3" t="n"/>
      <c r="BD222" s="3" t="n"/>
      <c r="BE222" s="3" t="n"/>
      <c r="BF222" s="3" t="n"/>
      <c r="BG222" s="3" t="n"/>
      <c r="BH222" s="3" t="n"/>
      <c r="BI222" s="3" t="n"/>
      <c r="BJ222" s="3" t="n"/>
      <c r="BK222" s="3" t="n"/>
      <c r="BL222" s="3" t="n"/>
      <c r="BM222" s="3" t="n"/>
      <c r="BN222" s="3" t="n"/>
      <c r="BO222" s="3" t="n"/>
      <c r="BP222" s="3" t="n"/>
      <c r="BQ222" s="3" t="n"/>
      <c r="BR222" s="3" t="n"/>
      <c r="BS222" s="3" t="n"/>
      <c r="BT222" s="3" t="n"/>
      <c r="BU222" s="3" t="n"/>
      <c r="BV222" s="3" t="n"/>
      <c r="BW222" s="3" t="n"/>
      <c r="BX222" s="3" t="n"/>
      <c r="BY222" s="3" t="n"/>
      <c r="BZ222" s="3" t="n"/>
      <c r="CA222" s="3" t="n"/>
      <c r="CB222" s="3" t="n"/>
      <c r="CC222" s="3" t="n"/>
      <c r="CD222" s="3" t="n"/>
      <c r="CE222" s="3" t="n"/>
      <c r="CF222" s="3" t="n"/>
      <c r="CG222" s="3" t="n"/>
      <c r="CH222" s="3" t="n"/>
      <c r="CI222" s="3" t="n"/>
      <c r="CJ222" s="3" t="n"/>
      <c r="CK222" s="3" t="n"/>
      <c r="CL222" s="3" t="n"/>
      <c r="CM222" s="3" t="n"/>
      <c r="CN222" s="3" t="n"/>
      <c r="CO222" s="3" t="n"/>
      <c r="CP222" s="3" t="n"/>
      <c r="CQ222" s="3" t="n"/>
      <c r="CR222" s="3" t="n"/>
      <c r="CS222" s="3" t="n"/>
      <c r="CT222" s="3" t="n"/>
      <c r="CU222" s="3" t="n"/>
      <c r="CV222" s="3" t="n"/>
      <c r="CW222" s="3" t="n"/>
      <c r="CX222" s="3" t="n"/>
      <c r="CY222" s="3" t="n"/>
    </row>
    <row r="223" hidden="1" outlineLevel="1">
      <c r="C223" s="34" t="inlineStr">
        <is>
          <t>Cash @ beginning of the period (end of last period)</t>
        </is>
      </c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  <c r="AB223" s="3" t="n"/>
      <c r="AC223" s="3" t="n"/>
      <c r="AD223" s="3" t="n"/>
      <c r="AE223" s="3" t="n"/>
      <c r="AF223" s="3" t="n"/>
      <c r="AG223" s="3" t="n"/>
      <c r="AH223" s="36">
        <f>AG138</f>
        <v>44059</v>
      </c>
      <c r="AI223" s="3" t="n"/>
      <c r="AJ223" s="3" t="n"/>
      <c r="AK223" s="3" t="n"/>
      <c r="AL223" s="3" t="n"/>
      <c r="AM223" s="36">
        <f>AL138</f>
        <v>46950</v>
      </c>
      <c r="AN223" s="3" t="n"/>
      <c r="AO223" s="3" t="n"/>
      <c r="AP223" s="3" t="n"/>
      <c r="AQ223" s="3" t="n"/>
      <c r="AR223" s="36" t="e">
        <f>AQ138</f>
        <v>#DIV/0!</v>
      </c>
      <c r="AS223" s="3" t="n"/>
      <c r="AT223" s="3" t="n"/>
      <c r="AU223" s="3" t="n"/>
      <c r="AV223" s="3" t="n"/>
      <c r="AW223" s="36" t="e">
        <f>AV138</f>
        <v>#DIV/0!</v>
      </c>
      <c r="AX223" s="3" t="n"/>
      <c r="AY223" s="3" t="n"/>
      <c r="AZ223" s="3" t="n"/>
      <c r="BA223" s="3" t="n"/>
      <c r="BB223" s="36" t="e">
        <f>BA138</f>
        <v>#DIV/0!</v>
      </c>
      <c r="BC223" s="3" t="n"/>
      <c r="BD223" s="3" t="n"/>
      <c r="BE223" s="3" t="n"/>
      <c r="BF223" s="3" t="n"/>
      <c r="BG223" s="36" t="e">
        <f>BF138</f>
        <v>#DIV/0!</v>
      </c>
      <c r="BH223" s="3" t="n"/>
      <c r="BI223" s="3" t="n"/>
      <c r="BJ223" s="3" t="n"/>
      <c r="BK223" s="3" t="n"/>
      <c r="BL223" s="36" t="e">
        <f>BK138</f>
        <v>#DIV/0!</v>
      </c>
      <c r="BM223" s="3" t="n"/>
      <c r="BN223" s="3" t="n"/>
      <c r="BO223" s="3" t="n"/>
      <c r="BP223" s="3" t="n"/>
      <c r="BQ223" s="36" t="e">
        <f>BP138</f>
        <v>#DIV/0!</v>
      </c>
      <c r="BR223" s="3" t="n"/>
      <c r="BS223" s="3" t="n"/>
      <c r="BT223" s="3" t="n"/>
      <c r="BU223" s="3" t="n"/>
      <c r="BV223" s="36" t="e">
        <f>BU138</f>
        <v>#DIV/0!</v>
      </c>
      <c r="BW223" s="3" t="n"/>
      <c r="BX223" s="3" t="n"/>
      <c r="BY223" s="3" t="n"/>
      <c r="BZ223" s="3" t="n"/>
      <c r="CA223" s="36" t="e">
        <f>BZ138</f>
        <v>#DIV/0!</v>
      </c>
      <c r="CB223" s="3" t="n"/>
      <c r="CC223" s="3" t="n"/>
      <c r="CD223" s="3" t="n"/>
      <c r="CE223" s="3" t="n"/>
      <c r="CF223" s="36" t="e">
        <f>CE138</f>
        <v>#DIV/0!</v>
      </c>
      <c r="CG223" s="3" t="n"/>
      <c r="CH223" s="3" t="n"/>
      <c r="CI223" s="3" t="n"/>
      <c r="CJ223" s="3" t="n"/>
      <c r="CK223" s="36" t="e">
        <f>CJ138</f>
        <v>#DIV/0!</v>
      </c>
      <c r="CL223" s="3" t="n"/>
      <c r="CM223" s="3" t="n"/>
      <c r="CN223" s="3" t="n"/>
      <c r="CO223" s="3" t="n"/>
      <c r="CP223" s="36" t="e">
        <f>CO138</f>
        <v>#DIV/0!</v>
      </c>
      <c r="CQ223" s="3" t="n"/>
      <c r="CR223" s="3" t="n"/>
      <c r="CS223" s="3" t="n"/>
      <c r="CT223" s="3" t="n"/>
      <c r="CU223" s="36" t="e">
        <f>CT138</f>
        <v>#DIV/0!</v>
      </c>
      <c r="CV223" s="3" t="n"/>
      <c r="CW223" s="3" t="n"/>
      <c r="CX223" s="3" t="n"/>
      <c r="CY223" s="3" t="n"/>
    </row>
    <row r="224" hidden="1" outlineLevel="1">
      <c r="C224" s="34" t="inlineStr">
        <is>
          <t>Plus: Free cash flows prior to debt during period</t>
        </is>
      </c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  <c r="AB224" s="3" t="n"/>
      <c r="AC224" s="3" t="n"/>
      <c r="AD224" s="3" t="n"/>
      <c r="AE224" s="3" t="n"/>
      <c r="AF224" s="3" t="n"/>
      <c r="AG224" s="3" t="inlineStr">
        <is>
          <t>% of sales</t>
        </is>
      </c>
      <c r="AH224" s="37">
        <f>SUM(AH287,AH294)+SUM(AH296:AH302)</f>
        <v>684</v>
      </c>
      <c r="AI224" s="37">
        <f>SUM(AI287,AI294)+SUM(AI296:AI302)</f>
        <v>-1219</v>
      </c>
      <c r="AJ224" s="37">
        <f>SUM(AJ287,AJ294)+SUM(AJ296:AJ302)</f>
        <v>2414</v>
      </c>
      <c r="AK224" s="37">
        <f>SUM(AK287,AK294)+SUM(AK296:AK302)</f>
        <v>1012</v>
      </c>
      <c r="AL224" s="3" t="n"/>
      <c r="AM224" s="37" t="e">
        <f>SUM(AM287,AM294)+SUM(AM296:AM302)</f>
        <v>#DIV/0!</v>
      </c>
      <c r="AN224" s="37" t="e">
        <f>SUM(AN287,AN294)+SUM(AN296:AN302)</f>
        <v>#DIV/0!</v>
      </c>
      <c r="AO224" s="37" t="e">
        <f>SUM(AO287,AO294)+SUM(AO296:AO302)</f>
        <v>#DIV/0!</v>
      </c>
      <c r="AP224" s="37" t="e">
        <f>SUM(AP287,AP294)+SUM(AP296:AP302)</f>
        <v>#DIV/0!</v>
      </c>
      <c r="AQ224" s="3" t="n"/>
      <c r="AR224" s="37" t="e">
        <f>SUM(AR287,AR294)+SUM(AR296:AR302)</f>
        <v>#DIV/0!</v>
      </c>
      <c r="AS224" s="37" t="e">
        <f>SUM(AS287,AS294)+SUM(AS296:AS302)</f>
        <v>#DIV/0!</v>
      </c>
      <c r="AT224" s="37" t="e">
        <f>SUM(AT287,AT294)+SUM(AT296:AT302)</f>
        <v>#DIV/0!</v>
      </c>
      <c r="AU224" s="37" t="e">
        <f>SUM(AU287,AU294)+SUM(AU296:AU302)</f>
        <v>#DIV/0!</v>
      </c>
      <c r="AV224" s="3" t="n"/>
      <c r="AW224" s="37" t="e">
        <f>SUM(AW287,AW294)+SUM(AW296:AW302)</f>
        <v>#DIV/0!</v>
      </c>
      <c r="AX224" s="37" t="e">
        <f>SUM(AX287,AX294)+SUM(AX296:AX302)</f>
        <v>#DIV/0!</v>
      </c>
      <c r="AY224" s="37" t="e">
        <f>SUM(AY287,AY294)+SUM(AY296:AY302)</f>
        <v>#DIV/0!</v>
      </c>
      <c r="AZ224" s="37" t="e">
        <f>SUM(AZ287,AZ294)+SUM(AZ296:AZ302)</f>
        <v>#DIV/0!</v>
      </c>
      <c r="BA224" s="3" t="n"/>
      <c r="BB224" s="37" t="e">
        <f>SUM(BB287,BB294)+SUM(BB296:BB302)</f>
        <v>#DIV/0!</v>
      </c>
      <c r="BC224" s="37" t="e">
        <f>SUM(BC287,BC294)+SUM(BC296:BC302)</f>
        <v>#DIV/0!</v>
      </c>
      <c r="BD224" s="37" t="e">
        <f>SUM(BD287,BD294)+SUM(BD296:BD302)</f>
        <v>#DIV/0!</v>
      </c>
      <c r="BE224" s="37" t="e">
        <f>SUM(BE287,BE294)+SUM(BE296:BE302)</f>
        <v>#DIV/0!</v>
      </c>
      <c r="BF224" s="3" t="n"/>
      <c r="BG224" s="37" t="e">
        <f>SUM(BG287,BG294)+SUM(BG296:BG302)</f>
        <v>#DIV/0!</v>
      </c>
      <c r="BH224" s="37" t="e">
        <f>SUM(BH287,BH294)+SUM(BH296:BH302)</f>
        <v>#DIV/0!</v>
      </c>
      <c r="BI224" s="37" t="e">
        <f>SUM(BI287,BI294)+SUM(BI296:BI302)</f>
        <v>#DIV/0!</v>
      </c>
      <c r="BJ224" s="37" t="e">
        <f>SUM(BJ287,BJ294)+SUM(BJ296:BJ302)</f>
        <v>#DIV/0!</v>
      </c>
      <c r="BK224" s="3" t="n"/>
      <c r="BL224" s="37" t="e">
        <f>SUM(BL287,BL294)+SUM(BL296:BL302)</f>
        <v>#DIV/0!</v>
      </c>
      <c r="BM224" s="37" t="e">
        <f>SUM(BM287,BM294)+SUM(BM296:BM302)</f>
        <v>#DIV/0!</v>
      </c>
      <c r="BN224" s="37" t="e">
        <f>SUM(BN287,BN294)+SUM(BN296:BN302)</f>
        <v>#DIV/0!</v>
      </c>
      <c r="BO224" s="37" t="e">
        <f>SUM(BO287,BO294)+SUM(BO296:BO302)</f>
        <v>#DIV/0!</v>
      </c>
      <c r="BP224" s="3" t="n"/>
      <c r="BQ224" s="37" t="e">
        <f>SUM(BQ287,BQ294)+SUM(BQ296:BQ302)</f>
        <v>#DIV/0!</v>
      </c>
      <c r="BR224" s="37" t="e">
        <f>SUM(BR287,BR294)+SUM(BR296:BR302)</f>
        <v>#DIV/0!</v>
      </c>
      <c r="BS224" s="37" t="e">
        <f>SUM(BS287,BS294)+SUM(BS296:BS302)</f>
        <v>#DIV/0!</v>
      </c>
      <c r="BT224" s="37" t="e">
        <f>SUM(BT287,BT294)+SUM(BT296:BT302)</f>
        <v>#DIV/0!</v>
      </c>
      <c r="BU224" s="3" t="n"/>
      <c r="BV224" s="37" t="e">
        <f>SUM(BV287,BV294)+SUM(BV296:BV302)</f>
        <v>#DIV/0!</v>
      </c>
      <c r="BW224" s="37" t="e">
        <f>SUM(BW287,BW294)+SUM(BW296:BW302)</f>
        <v>#DIV/0!</v>
      </c>
      <c r="BX224" s="37" t="e">
        <f>SUM(BX287,BX294)+SUM(BX296:BX302)</f>
        <v>#DIV/0!</v>
      </c>
      <c r="BY224" s="37" t="e">
        <f>SUM(BY287,BY294)+SUM(BY296:BY302)</f>
        <v>#DIV/0!</v>
      </c>
      <c r="BZ224" s="3" t="n"/>
      <c r="CA224" s="37" t="e">
        <f>SUM(CA287,CA294)+SUM(CA296:CA302)</f>
        <v>#DIV/0!</v>
      </c>
      <c r="CB224" s="37" t="e">
        <f>SUM(CB287,CB294)+SUM(CB296:CB302)</f>
        <v>#DIV/0!</v>
      </c>
      <c r="CC224" s="37" t="e">
        <f>SUM(CC287,CC294)+SUM(CC296:CC302)</f>
        <v>#DIV/0!</v>
      </c>
      <c r="CD224" s="37" t="e">
        <f>SUM(CD287,CD294)+SUM(CD296:CD302)</f>
        <v>#DIV/0!</v>
      </c>
      <c r="CE224" s="3" t="n"/>
      <c r="CF224" s="37" t="e">
        <f>SUM(CF287,CF294)+SUM(CF296:CF302)</f>
        <v>#DIV/0!</v>
      </c>
      <c r="CG224" s="37" t="e">
        <f>SUM(CG287,CG294)+SUM(CG296:CG302)</f>
        <v>#DIV/0!</v>
      </c>
      <c r="CH224" s="37" t="e">
        <f>SUM(CH287,CH294)+SUM(CH296:CH302)</f>
        <v>#DIV/0!</v>
      </c>
      <c r="CI224" s="37" t="e">
        <f>SUM(CI287,CI294)+SUM(CI296:CI302)</f>
        <v>#DIV/0!</v>
      </c>
      <c r="CJ224" s="3" t="n"/>
      <c r="CK224" s="37" t="e">
        <f>SUM(CK287,CK294)+SUM(CK296:CK302)</f>
        <v>#DIV/0!</v>
      </c>
      <c r="CL224" s="37" t="e">
        <f>SUM(CL287,CL294)+SUM(CL296:CL302)</f>
        <v>#DIV/0!</v>
      </c>
      <c r="CM224" s="37" t="e">
        <f>SUM(CM287,CM294)+SUM(CM296:CM302)</f>
        <v>#DIV/0!</v>
      </c>
      <c r="CN224" s="37" t="e">
        <f>SUM(CN287,CN294)+SUM(CN296:CN302)</f>
        <v>#DIV/0!</v>
      </c>
      <c r="CO224" s="3" t="n"/>
      <c r="CP224" s="37" t="e">
        <f>SUM(CP287,CP294)+SUM(CP296:CP302)</f>
        <v>#DIV/0!</v>
      </c>
      <c r="CQ224" s="37" t="e">
        <f>SUM(CQ287,CQ294)+SUM(CQ296:CQ302)</f>
        <v>#DIV/0!</v>
      </c>
      <c r="CR224" s="37" t="e">
        <f>SUM(CR287,CR294)+SUM(CR296:CR302)</f>
        <v>#DIV/0!</v>
      </c>
      <c r="CS224" s="37" t="e">
        <f>SUM(CS287,CS294)+SUM(CS296:CS302)</f>
        <v>#DIV/0!</v>
      </c>
      <c r="CT224" s="3" t="n"/>
      <c r="CU224" s="37" t="e">
        <f>SUM(CU287,CU294)+SUM(CU296:CU302)</f>
        <v>#DIV/0!</v>
      </c>
      <c r="CV224" s="37" t="e">
        <f>SUM(CV287,CV294)+SUM(CV296:CV302)</f>
        <v>#DIV/0!</v>
      </c>
      <c r="CW224" s="37" t="e">
        <f>SUM(CW287,CW294)+SUM(CW296:CW302)</f>
        <v>#DIV/0!</v>
      </c>
      <c r="CX224" s="37" t="e">
        <f>SUM(CX287,CX294)+SUM(CX296:CX302)</f>
        <v>#DIV/0!</v>
      </c>
      <c r="CY224" s="3" t="n"/>
    </row>
    <row r="225" hidden="1" outlineLevel="1">
      <c r="C225" s="34" t="inlineStr">
        <is>
          <t>Less: Minimum cash balance</t>
        </is>
      </c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  <c r="AC225" s="3" t="n"/>
      <c r="AD225" s="3" t="n"/>
      <c r="AE225" s="3" t="n"/>
      <c r="AF225" s="3" t="n"/>
      <c r="AG225" s="250" t="n"/>
      <c r="AH225" s="3">
        <f>($AG$225*AH15)</f>
        <v>0</v>
      </c>
      <c r="AI225" s="3">
        <f>($AG$225*AI15)</f>
        <v>0</v>
      </c>
      <c r="AJ225" s="3">
        <f>($AG$225*AJ15)</f>
        <v>0</v>
      </c>
      <c r="AK225" s="3">
        <f>($AG$225*AK15)</f>
        <v>0</v>
      </c>
      <c r="AL225" s="3" t="n"/>
      <c r="AM225" s="3">
        <f>($AG$225*AM15)</f>
        <v>0</v>
      </c>
      <c r="AN225" s="3">
        <f>($AG$225*AN15)</f>
        <v>0</v>
      </c>
      <c r="AO225" s="3">
        <f>($AG$225*AO15)</f>
        <v>0</v>
      </c>
      <c r="AP225" s="3">
        <f>($AG$225*AP15)</f>
        <v>0</v>
      </c>
      <c r="AQ225" s="3" t="n"/>
      <c r="AR225" s="3">
        <f>($AG$225*AR15)</f>
        <v>0</v>
      </c>
      <c r="AS225" s="3">
        <f>($AG$225*AS15)</f>
        <v>0</v>
      </c>
      <c r="AT225" s="3">
        <f>($AG$225*AT15)</f>
        <v>0</v>
      </c>
      <c r="AU225" s="3">
        <f>($AG$225*AU15)</f>
        <v>0</v>
      </c>
      <c r="AV225" s="3" t="n"/>
      <c r="AW225" s="3">
        <f>($AG$225*AW15)</f>
        <v>0</v>
      </c>
      <c r="AX225" s="3">
        <f>($AG$225*AX15)</f>
        <v>0</v>
      </c>
      <c r="AY225" s="3">
        <f>($AG$225*AY15)</f>
        <v>0</v>
      </c>
      <c r="AZ225" s="3">
        <f>($AG$225*AZ15)</f>
        <v>0</v>
      </c>
      <c r="BA225" s="3" t="n"/>
      <c r="BB225" s="3">
        <f>($AG$225*BB15)</f>
        <v>0</v>
      </c>
      <c r="BC225" s="3">
        <f>($AG$225*BC15)</f>
        <v>0</v>
      </c>
      <c r="BD225" s="3">
        <f>($AG$225*BD15)</f>
        <v>0</v>
      </c>
      <c r="BE225" s="3">
        <f>($AG$225*BE15)</f>
        <v>0</v>
      </c>
      <c r="BF225" s="3" t="n"/>
      <c r="BG225" s="3">
        <f>($AG$225*BG15)</f>
        <v>0</v>
      </c>
      <c r="BH225" s="3">
        <f>($AG$225*BH15)</f>
        <v>0</v>
      </c>
      <c r="BI225" s="3">
        <f>($AG$225*BI15)</f>
        <v>0</v>
      </c>
      <c r="BJ225" s="3">
        <f>($AG$225*BJ15)</f>
        <v>0</v>
      </c>
      <c r="BK225" s="3" t="n"/>
      <c r="BL225" s="3">
        <f>($AG$225*BL15)</f>
        <v>0</v>
      </c>
      <c r="BM225" s="3">
        <f>($AG$225*BM15)</f>
        <v>0</v>
      </c>
      <c r="BN225" s="3">
        <f>($AG$225*BN15)</f>
        <v>0</v>
      </c>
      <c r="BO225" s="3">
        <f>($AG$225*BO15)</f>
        <v>0</v>
      </c>
      <c r="BP225" s="3" t="n"/>
      <c r="BQ225" s="3">
        <f>($AG$225*BQ15)</f>
        <v>0</v>
      </c>
      <c r="BR225" s="3">
        <f>($AG$225*BR15)</f>
        <v>0</v>
      </c>
      <c r="BS225" s="3">
        <f>($AG$225*BS15)</f>
        <v>0</v>
      </c>
      <c r="BT225" s="3">
        <f>($AG$225*BT15)</f>
        <v>0</v>
      </c>
      <c r="BU225" s="3" t="n"/>
      <c r="BV225" s="3">
        <f>($AG$225*BV15)</f>
        <v>0</v>
      </c>
      <c r="BW225" s="3">
        <f>($AG$225*BW15)</f>
        <v>0</v>
      </c>
      <c r="BX225" s="3">
        <f>($AG$225*BX15)</f>
        <v>0</v>
      </c>
      <c r="BY225" s="3">
        <f>($AG$225*BY15)</f>
        <v>0</v>
      </c>
      <c r="BZ225" s="3" t="n"/>
      <c r="CA225" s="3">
        <f>($AG$225*CA15)</f>
        <v>0</v>
      </c>
      <c r="CB225" s="3">
        <f>($AG$225*CB15)</f>
        <v>0</v>
      </c>
      <c r="CC225" s="3">
        <f>($AG$225*CC15)</f>
        <v>0</v>
      </c>
      <c r="CD225" s="3">
        <f>($AG$225*CD15)</f>
        <v>0</v>
      </c>
      <c r="CE225" s="3" t="n"/>
      <c r="CF225" s="3">
        <f>($AG$225*CF15)</f>
        <v>0</v>
      </c>
      <c r="CG225" s="3">
        <f>($AG$225*CG15)</f>
        <v>0</v>
      </c>
      <c r="CH225" s="3">
        <f>($AG$225*CH15)</f>
        <v>0</v>
      </c>
      <c r="CI225" s="3">
        <f>($AG$225*CI15)</f>
        <v>0</v>
      </c>
      <c r="CJ225" s="3" t="n"/>
      <c r="CK225" s="3">
        <f>($AG$225*CK15)</f>
        <v>0</v>
      </c>
      <c r="CL225" s="3">
        <f>($AG$225*CL15)</f>
        <v>0</v>
      </c>
      <c r="CM225" s="3">
        <f>($AG$225*CM15)</f>
        <v>0</v>
      </c>
      <c r="CN225" s="3">
        <f>($AG$225*CN15)</f>
        <v>0</v>
      </c>
      <c r="CO225" s="3" t="n"/>
      <c r="CP225" s="3">
        <f>($AG$225*CP15)</f>
        <v>0</v>
      </c>
      <c r="CQ225" s="3">
        <f>($AG$225*CQ15)</f>
        <v>0</v>
      </c>
      <c r="CR225" s="3">
        <f>($AG$225*CR15)</f>
        <v>0</v>
      </c>
      <c r="CS225" s="3">
        <f>($AG$225*CS15)</f>
        <v>0</v>
      </c>
      <c r="CT225" s="3" t="n"/>
      <c r="CU225" s="3">
        <f>($AG$225*CU15)</f>
        <v>0</v>
      </c>
      <c r="CV225" s="3">
        <f>($AG$225*CV15)</f>
        <v>0</v>
      </c>
      <c r="CW225" s="3">
        <f>($AG$225*CW15)</f>
        <v>0</v>
      </c>
      <c r="CX225" s="3">
        <f>($AG$225*CX15)</f>
        <v>0</v>
      </c>
      <c r="CY225" s="3" t="n"/>
    </row>
    <row r="226" hidden="1" outlineLevel="1">
      <c r="C226" s="34" t="inlineStr">
        <is>
          <t>Total cash available / (debt required) for short term debt paydown</t>
        </is>
      </c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  <c r="AB226" s="3" t="n"/>
      <c r="AC226" s="3" t="n"/>
      <c r="AD226" s="3" t="n"/>
      <c r="AE226" s="3" t="n"/>
      <c r="AF226" s="3" t="n"/>
      <c r="AG226" s="3" t="n"/>
      <c r="AH226" s="1">
        <f>AH223+AH224-AH225-AF213+AH215+AH219</f>
        <v>44743</v>
      </c>
      <c r="AI226" s="1">
        <f>AI223+AI224-AI225-AG213+AI215+AI219</f>
        <v>-1219</v>
      </c>
      <c r="AJ226" s="1">
        <f>AJ223+AJ224-AJ225-AH213+AJ215+AJ219</f>
        <v>2414</v>
      </c>
      <c r="AK226" s="1">
        <f>AK223+AK224-AK225-AI213+AK215+AK219</f>
        <v>1012</v>
      </c>
      <c r="AL226" s="3" t="n"/>
      <c r="AM226" s="1" t="e">
        <f>AM223+AM224-AM225-AK213+AM215+AM219</f>
        <v>#DIV/0!</v>
      </c>
      <c r="AN226" s="1" t="e">
        <f>AN223+AN224-AN225-AL213+AN215+AN219</f>
        <v>#DIV/0!</v>
      </c>
      <c r="AO226" s="1" t="e">
        <f>AO223+AO224-AO225-AM213+AO215+AO219</f>
        <v>#DIV/0!</v>
      </c>
      <c r="AP226" s="1" t="e">
        <f>AP223+AP224-AP225-AN213+AP215+AP219</f>
        <v>#DIV/0!</v>
      </c>
      <c r="AQ226" s="3" t="n"/>
      <c r="AR226" s="1" t="e">
        <f>AR223+AR224-AR225-AP213+AR215+AR219</f>
        <v>#DIV/0!</v>
      </c>
      <c r="AS226" s="1" t="e">
        <f>AS223+AS224-AS225-AQ213+AS215+AS219</f>
        <v>#DIV/0!</v>
      </c>
      <c r="AT226" s="1" t="e">
        <f>AT223+AT224-AT225-AR213+AT215+AT219</f>
        <v>#DIV/0!</v>
      </c>
      <c r="AU226" s="1" t="e">
        <f>AU223+AU224-AU225-AS213+AU215+AU219</f>
        <v>#DIV/0!</v>
      </c>
      <c r="AV226" s="3" t="n"/>
      <c r="AW226" s="1" t="e">
        <f>AW223+AW224-AW225-AU213+AW215+AW219</f>
        <v>#DIV/0!</v>
      </c>
      <c r="AX226" s="1" t="e">
        <f>AX223+AX224-AX225-AV213+AX215+AX219</f>
        <v>#DIV/0!</v>
      </c>
      <c r="AY226" s="1" t="e">
        <f>AY223+AY224-AY225-AW213+AY215+AY219</f>
        <v>#DIV/0!</v>
      </c>
      <c r="AZ226" s="1" t="e">
        <f>AZ223+AZ224-AZ225-AX213+AZ215+AZ219</f>
        <v>#DIV/0!</v>
      </c>
      <c r="BA226" s="3" t="n"/>
      <c r="BB226" s="1" t="e">
        <f>BB223+BB224-BB225-AZ213+BB215+BB219</f>
        <v>#DIV/0!</v>
      </c>
      <c r="BC226" s="1" t="e">
        <f>BC223+BC224-BC225-BA213+BC215+BC219</f>
        <v>#DIV/0!</v>
      </c>
      <c r="BD226" s="1" t="e">
        <f>BD223+BD224-BD225-BB213+BD215+BD219</f>
        <v>#DIV/0!</v>
      </c>
      <c r="BE226" s="1" t="e">
        <f>BE223+BE224-BE225-BC213+BE215+BE219</f>
        <v>#DIV/0!</v>
      </c>
      <c r="BF226" s="3" t="n"/>
      <c r="BG226" s="1" t="e">
        <f>BG223+BG224-BG225-BE213+BG215+BG219</f>
        <v>#DIV/0!</v>
      </c>
      <c r="BH226" s="1" t="e">
        <f>BH223+BH224-BH225-BF213+BH215+BH219</f>
        <v>#DIV/0!</v>
      </c>
      <c r="BI226" s="1" t="e">
        <f>BI223+BI224-BI225-BG213+BI215+BI219</f>
        <v>#DIV/0!</v>
      </c>
      <c r="BJ226" s="1" t="e">
        <f>BJ223+BJ224-BJ225-BH213+BJ215+BJ219</f>
        <v>#DIV/0!</v>
      </c>
      <c r="BK226" s="3" t="n"/>
      <c r="BL226" s="1" t="e">
        <f>BL223+BL224-BL225-BJ213+BL215+BL219</f>
        <v>#DIV/0!</v>
      </c>
      <c r="BM226" s="1" t="e">
        <f>BM223+BM224-BM225-BK213+BM215+BM219</f>
        <v>#DIV/0!</v>
      </c>
      <c r="BN226" s="1" t="e">
        <f>BN223+BN224-BN225-BL213+BN215+BN219</f>
        <v>#DIV/0!</v>
      </c>
      <c r="BO226" s="1" t="e">
        <f>BO223+BO224-BO225-BM213+BO215+BO219</f>
        <v>#DIV/0!</v>
      </c>
      <c r="BP226" s="3" t="n"/>
      <c r="BQ226" s="1" t="e">
        <f>BQ223+BQ224-BQ225-BO213+BQ215+BQ219</f>
        <v>#DIV/0!</v>
      </c>
      <c r="BR226" s="1" t="e">
        <f>BR223+BR224-BR225-BP213+BR215+BR219</f>
        <v>#DIV/0!</v>
      </c>
      <c r="BS226" s="1" t="e">
        <f>BS223+BS224-BS225-BQ213+BS215+BS219</f>
        <v>#DIV/0!</v>
      </c>
      <c r="BT226" s="1" t="e">
        <f>BT223+BT224-BT225-BR213+BT215+BT219</f>
        <v>#DIV/0!</v>
      </c>
      <c r="BU226" s="3" t="n"/>
      <c r="BV226" s="1" t="e">
        <f>BV223+BV224-BV225-BT213+BV215+BV219</f>
        <v>#DIV/0!</v>
      </c>
      <c r="BW226" s="1" t="e">
        <f>BW223+BW224-BW225-BU213+BW215+BW219</f>
        <v>#DIV/0!</v>
      </c>
      <c r="BX226" s="1" t="e">
        <f>BX223+BX224-BX225-BV213+BX215+BX219</f>
        <v>#DIV/0!</v>
      </c>
      <c r="BY226" s="1" t="e">
        <f>BY223+BY224-BY225-BW213+BY215+BY219</f>
        <v>#DIV/0!</v>
      </c>
      <c r="BZ226" s="3" t="n"/>
      <c r="CA226" s="1" t="e">
        <f>CA223+CA224-CA225-BY213+CA215+CA219</f>
        <v>#DIV/0!</v>
      </c>
      <c r="CB226" s="1" t="e">
        <f>CB223+CB224-CB225-BZ213+CB215+CB219</f>
        <v>#DIV/0!</v>
      </c>
      <c r="CC226" s="1" t="e">
        <f>CC223+CC224-CC225-CA213+CC215+CC219</f>
        <v>#DIV/0!</v>
      </c>
      <c r="CD226" s="1" t="e">
        <f>CD223+CD224-CD225-CB213+CD215+CD219</f>
        <v>#DIV/0!</v>
      </c>
      <c r="CE226" s="3" t="n"/>
      <c r="CF226" s="1" t="e">
        <f>CF223+CF224-CF225-CD213+CF215+CF219</f>
        <v>#DIV/0!</v>
      </c>
      <c r="CG226" s="1" t="e">
        <f>CG223+CG224-CG225-CE213+CG215+CG219</f>
        <v>#DIV/0!</v>
      </c>
      <c r="CH226" s="1" t="e">
        <f>CH223+CH224-CH225-CF213+CH215+CH219</f>
        <v>#DIV/0!</v>
      </c>
      <c r="CI226" s="1" t="e">
        <f>CI223+CI224-CI225-CG213+CI215+CI219</f>
        <v>#DIV/0!</v>
      </c>
      <c r="CJ226" s="3" t="n"/>
      <c r="CK226" s="1" t="e">
        <f>CK223+CK224-CK225-CI213+CK215+CK219</f>
        <v>#DIV/0!</v>
      </c>
      <c r="CL226" s="1" t="e">
        <f>CL223+CL224-CL225-CJ213+CL215+CL219</f>
        <v>#DIV/0!</v>
      </c>
      <c r="CM226" s="1" t="e">
        <f>CM223+CM224-CM225-CK213+CM215+CM219</f>
        <v>#DIV/0!</v>
      </c>
      <c r="CN226" s="1" t="e">
        <f>CN223+CN224-CN225-CL213+CN215+CN219</f>
        <v>#DIV/0!</v>
      </c>
      <c r="CO226" s="3" t="n"/>
      <c r="CP226" s="1" t="e">
        <f>CP223+CP224-CP225-CN213+CP215+CP219</f>
        <v>#DIV/0!</v>
      </c>
      <c r="CQ226" s="1" t="e">
        <f>CQ223+CQ224-CQ225-CO213+CQ215+CQ219</f>
        <v>#DIV/0!</v>
      </c>
      <c r="CR226" s="1" t="e">
        <f>CR223+CR224-CR225-CP213+CR215+CR219</f>
        <v>#DIV/0!</v>
      </c>
      <c r="CS226" s="1" t="e">
        <f>CS223+CS224-CS225-CQ213+CS215+CS219</f>
        <v>#DIV/0!</v>
      </c>
      <c r="CT226" s="3" t="n"/>
      <c r="CU226" s="1" t="e">
        <f>CU223+CU224-CU225-CS213+CU215+CU219</f>
        <v>#DIV/0!</v>
      </c>
      <c r="CV226" s="1" t="e">
        <f>CV223+CV224-CV225-CT213+CV215+CV219</f>
        <v>#DIV/0!</v>
      </c>
      <c r="CW226" s="1" t="e">
        <f>CW223+CW224-CW225-CU213+CW215+CW219</f>
        <v>#DIV/0!</v>
      </c>
      <c r="CX226" s="1" t="e">
        <f>CX223+CX224-CX225-CV213+CX215+CX219</f>
        <v>#DIV/0!</v>
      </c>
      <c r="CY226" s="3" t="n"/>
    </row>
    <row r="227" hidden="1" outlineLevel="1">
      <c r="C227" s="34" t="inlineStr">
        <is>
          <t>Short term debt</t>
        </is>
      </c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  <c r="AB227" s="3" t="n"/>
      <c r="AC227" s="3" t="n"/>
      <c r="AD227" s="3" t="n"/>
      <c r="AE227" s="3" t="n"/>
      <c r="AF227" s="3" t="n"/>
      <c r="AG227" s="3" t="n"/>
      <c r="AH227" s="3">
        <f>AH207</f>
        <v>0</v>
      </c>
      <c r="AI227" s="3">
        <f>MAX(0,AH227-AI226)</f>
        <v>1219</v>
      </c>
      <c r="AJ227" s="3">
        <f>MAX(0,AI227-AJ226)</f>
        <v>0</v>
      </c>
      <c r="AK227" s="3">
        <f>MAX(0,AJ227-AK226)</f>
        <v>0</v>
      </c>
      <c r="AL227" s="3" t="n"/>
      <c r="AM227" s="3">
        <f>AM207</f>
        <v>0</v>
      </c>
      <c r="AN227" s="3" t="e">
        <f>MAX(0,AM227-AN226)</f>
        <v>#DIV/0!</v>
      </c>
      <c r="AO227" s="3" t="e">
        <f>MAX(0,AN227-AO226)</f>
        <v>#DIV/0!</v>
      </c>
      <c r="AP227" s="3" t="e">
        <f>MAX(0,AO227-AP226)</f>
        <v>#DIV/0!</v>
      </c>
      <c r="AQ227" s="3" t="n"/>
      <c r="AR227" s="3">
        <f>AR207</f>
        <v>0</v>
      </c>
      <c r="AS227" s="3" t="e">
        <f>MAX(0,AR227-AS226)</f>
        <v>#DIV/0!</v>
      </c>
      <c r="AT227" s="3" t="e">
        <f>MAX(0,AS227-AT226)</f>
        <v>#DIV/0!</v>
      </c>
      <c r="AU227" s="3" t="e">
        <f>MAX(0,AT227-AU226)</f>
        <v>#DIV/0!</v>
      </c>
      <c r="AV227" s="3" t="n"/>
      <c r="AW227" s="3">
        <f>AW207</f>
        <v>0</v>
      </c>
      <c r="AX227" s="3" t="e">
        <f>MAX(0,AW227-AX226)</f>
        <v>#DIV/0!</v>
      </c>
      <c r="AY227" s="3" t="e">
        <f>MAX(0,AX227-AY226)</f>
        <v>#DIV/0!</v>
      </c>
      <c r="AZ227" s="3" t="e">
        <f>MAX(0,AY227-AZ226)</f>
        <v>#DIV/0!</v>
      </c>
      <c r="BA227" s="3" t="n"/>
      <c r="BB227" s="3">
        <f>BB207</f>
        <v>0</v>
      </c>
      <c r="BC227" s="3" t="e">
        <f>MAX(0,BB227-BC226)</f>
        <v>#DIV/0!</v>
      </c>
      <c r="BD227" s="3" t="e">
        <f>MAX(0,BC227-BD226)</f>
        <v>#DIV/0!</v>
      </c>
      <c r="BE227" s="3" t="e">
        <f>MAX(0,BD227-BE226)</f>
        <v>#DIV/0!</v>
      </c>
      <c r="BF227" s="3" t="n"/>
      <c r="BG227" s="3">
        <f>BG207</f>
        <v>0</v>
      </c>
      <c r="BH227" s="3" t="e">
        <f>MAX(0,BG227-BH226)</f>
        <v>#DIV/0!</v>
      </c>
      <c r="BI227" s="3" t="e">
        <f>MAX(0,BH227-BI226)</f>
        <v>#DIV/0!</v>
      </c>
      <c r="BJ227" s="3" t="e">
        <f>MAX(0,BI227-BJ226)</f>
        <v>#DIV/0!</v>
      </c>
      <c r="BK227" s="3" t="n"/>
      <c r="BL227" s="3">
        <f>BL207</f>
        <v>0</v>
      </c>
      <c r="BM227" s="3" t="e">
        <f>MAX(0,BL227-BM226)</f>
        <v>#DIV/0!</v>
      </c>
      <c r="BN227" s="3" t="e">
        <f>MAX(0,BM227-BN226)</f>
        <v>#DIV/0!</v>
      </c>
      <c r="BO227" s="3" t="e">
        <f>MAX(0,BN227-BO226)</f>
        <v>#DIV/0!</v>
      </c>
      <c r="BP227" s="3" t="n"/>
      <c r="BQ227" s="3">
        <f>BQ207</f>
        <v>0</v>
      </c>
      <c r="BR227" s="3" t="e">
        <f>MAX(0,BQ227-BR226)</f>
        <v>#DIV/0!</v>
      </c>
      <c r="BS227" s="3" t="e">
        <f>MAX(0,BR227-BS226)</f>
        <v>#DIV/0!</v>
      </c>
      <c r="BT227" s="3" t="e">
        <f>MAX(0,BS227-BT226)</f>
        <v>#DIV/0!</v>
      </c>
      <c r="BU227" s="3" t="n"/>
      <c r="BV227" s="3">
        <f>BV207</f>
        <v>0</v>
      </c>
      <c r="BW227" s="3" t="e">
        <f>MAX(0,BV227-BW226)</f>
        <v>#DIV/0!</v>
      </c>
      <c r="BX227" s="3" t="e">
        <f>MAX(0,BW227-BX226)</f>
        <v>#DIV/0!</v>
      </c>
      <c r="BY227" s="3" t="e">
        <f>MAX(0,BX227-BY226)</f>
        <v>#DIV/0!</v>
      </c>
      <c r="BZ227" s="3" t="n"/>
      <c r="CA227" s="3">
        <f>CA207</f>
        <v>0</v>
      </c>
      <c r="CB227" s="3" t="e">
        <f>MAX(0,CA227-CB226)</f>
        <v>#DIV/0!</v>
      </c>
      <c r="CC227" s="3" t="e">
        <f>MAX(0,CB227-CC226)</f>
        <v>#DIV/0!</v>
      </c>
      <c r="CD227" s="3" t="e">
        <f>MAX(0,CC227-CD226)</f>
        <v>#DIV/0!</v>
      </c>
      <c r="CE227" s="3" t="n"/>
      <c r="CF227" s="3">
        <f>CF207</f>
        <v>0</v>
      </c>
      <c r="CG227" s="3" t="e">
        <f>MAX(0,CF227-CG226)</f>
        <v>#DIV/0!</v>
      </c>
      <c r="CH227" s="3" t="e">
        <f>MAX(0,CG227-CH226)</f>
        <v>#DIV/0!</v>
      </c>
      <c r="CI227" s="3" t="e">
        <f>MAX(0,CH227-CI226)</f>
        <v>#DIV/0!</v>
      </c>
      <c r="CJ227" s="3" t="n"/>
      <c r="CK227" s="3">
        <f>CK207</f>
        <v>0</v>
      </c>
      <c r="CL227" s="3" t="e">
        <f>MAX(0,CK227-CL226)</f>
        <v>#DIV/0!</v>
      </c>
      <c r="CM227" s="3" t="e">
        <f>MAX(0,CL227-CM226)</f>
        <v>#DIV/0!</v>
      </c>
      <c r="CN227" s="3" t="e">
        <f>MAX(0,CM227-CN226)</f>
        <v>#DIV/0!</v>
      </c>
      <c r="CO227" s="3" t="n"/>
      <c r="CP227" s="3">
        <f>CP207</f>
        <v>0</v>
      </c>
      <c r="CQ227" s="3" t="e">
        <f>MAX(0,CP227-CQ226)</f>
        <v>#DIV/0!</v>
      </c>
      <c r="CR227" s="3" t="e">
        <f>MAX(0,CQ227-CR226)</f>
        <v>#DIV/0!</v>
      </c>
      <c r="CS227" s="3" t="e">
        <f>MAX(0,CR227-CS226)</f>
        <v>#DIV/0!</v>
      </c>
      <c r="CT227" s="3" t="n"/>
      <c r="CU227" s="3">
        <f>CU207</f>
        <v>0</v>
      </c>
      <c r="CV227" s="3" t="e">
        <f>MAX(0,CU227-CV226)</f>
        <v>#DIV/0!</v>
      </c>
      <c r="CW227" s="3" t="e">
        <f>MAX(0,CV227-CW226)</f>
        <v>#DIV/0!</v>
      </c>
      <c r="CX227" s="3" t="e">
        <f>MAX(0,CW227-CX226)</f>
        <v>#DIV/0!</v>
      </c>
      <c r="CY227" s="3" t="n"/>
    </row>
    <row r="228" hidden="1" outlineLevel="1">
      <c r="C228" s="34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  <c r="AB228" s="3" t="n"/>
      <c r="AC228" s="3" t="n"/>
      <c r="AD228" s="3" t="n"/>
      <c r="AE228" s="3" t="n"/>
      <c r="AF228" s="3" t="n"/>
      <c r="AG228" s="3" t="n"/>
      <c r="AH228" s="3" t="n"/>
      <c r="AI228" s="3" t="n"/>
      <c r="AJ228" s="3" t="n"/>
      <c r="AK228" s="3" t="n"/>
      <c r="AL228" s="3" t="n"/>
      <c r="AM228" s="3" t="n"/>
      <c r="AN228" s="3" t="n"/>
      <c r="AO228" s="3" t="n"/>
      <c r="AP228" s="3" t="n"/>
      <c r="AQ228" s="3" t="n"/>
      <c r="AR228" s="3" t="n"/>
      <c r="AS228" s="3" t="n"/>
      <c r="AT228" s="3" t="n"/>
      <c r="AU228" s="3" t="n"/>
      <c r="AV228" s="3" t="n"/>
      <c r="AW228" s="3" t="n"/>
      <c r="AX228" s="3" t="n"/>
      <c r="AY228" s="3" t="n"/>
      <c r="AZ228" s="3" t="n"/>
      <c r="BA228" s="3" t="n"/>
      <c r="BB228" s="3" t="n"/>
      <c r="BC228" s="3" t="n"/>
      <c r="BD228" s="3" t="n"/>
      <c r="BE228" s="3" t="n"/>
      <c r="BF228" s="3" t="n"/>
      <c r="BG228" s="3" t="n"/>
      <c r="BH228" s="3" t="n"/>
      <c r="BI228" s="3" t="n"/>
      <c r="BJ228" s="3" t="n"/>
      <c r="BK228" s="3" t="n"/>
      <c r="BL228" s="3" t="n"/>
      <c r="BM228" s="3" t="n"/>
      <c r="BN228" s="3" t="n"/>
      <c r="BO228" s="3" t="n"/>
      <c r="BP228" s="3" t="n"/>
      <c r="BQ228" s="3" t="n"/>
      <c r="BR228" s="3" t="n"/>
      <c r="BS228" s="3" t="n"/>
      <c r="BT228" s="3" t="n"/>
      <c r="BU228" s="3" t="n"/>
      <c r="BV228" s="3" t="n"/>
      <c r="BW228" s="3" t="n"/>
      <c r="BX228" s="3" t="n"/>
      <c r="BY228" s="3" t="n"/>
      <c r="BZ228" s="3" t="n"/>
      <c r="CA228" s="3" t="n"/>
      <c r="CB228" s="3" t="n"/>
      <c r="CC228" s="3" t="n"/>
      <c r="CD228" s="3" t="n"/>
      <c r="CE228" s="3" t="n"/>
      <c r="CF228" s="3" t="n"/>
      <c r="CG228" s="3" t="n"/>
      <c r="CH228" s="3" t="n"/>
      <c r="CI228" s="3" t="n"/>
      <c r="CJ228" s="3" t="n"/>
      <c r="CK228" s="3" t="n"/>
      <c r="CL228" s="3" t="n"/>
      <c r="CM228" s="3" t="n"/>
      <c r="CN228" s="3" t="n"/>
      <c r="CO228" s="3" t="n"/>
      <c r="CP228" s="3" t="n"/>
      <c r="CQ228" s="3" t="n"/>
      <c r="CR228" s="3" t="n"/>
      <c r="CS228" s="3" t="n"/>
      <c r="CT228" s="3" t="n"/>
      <c r="CU228" s="3" t="n"/>
      <c r="CV228" s="3" t="n"/>
      <c r="CW228" s="3" t="n"/>
      <c r="CX228" s="3" t="n"/>
      <c r="CY228" s="3" t="n"/>
    </row>
    <row r="229" collapsed="1">
      <c r="C229" s="26" t="inlineStr">
        <is>
          <t>Long term operating leases</t>
        </is>
      </c>
      <c r="D229" s="25">
        <f>INDEX('Inputs (2)'!$D$36:$AL$36,MATCH(D$7,'Inputs (2)'!$D$2:$AL$2,0))</f>
        <v>0</v>
      </c>
      <c r="E229" s="25">
        <f>INDEX('Inputs (2)'!$D$36:$AL$36,MATCH(E$7,'Inputs (2)'!$D$2:$AL$2,0))</f>
        <v>0</v>
      </c>
      <c r="F229" s="25">
        <f>INDEX('Inputs (2)'!$D$36:$AL$36,MATCH(F$7,'Inputs (2)'!$D$2:$AL$2,0))</f>
        <v>0</v>
      </c>
      <c r="G229" s="25">
        <f>INDEX('Inputs (2)'!$D$36:$AL$36,MATCH(G$7,'Inputs (2)'!$D$2:$AL$2,0))</f>
        <v>0</v>
      </c>
      <c r="H229" s="3">
        <f>G229</f>
        <v>0</v>
      </c>
      <c r="I229" s="25">
        <f>INDEX('Inputs (2)'!$D$36:$AL$36,MATCH(I$7,'Inputs (2)'!$D$2:$AL$2,0))</f>
        <v>0</v>
      </c>
      <c r="J229" s="25">
        <f>INDEX('Inputs (2)'!$D$36:$AL$36,MATCH(J$7,'Inputs (2)'!$D$2:$AL$2,0))</f>
        <v>0</v>
      </c>
      <c r="K229" s="25">
        <f>INDEX('Inputs (2)'!$D$36:$AL$36,MATCH(K$7,'Inputs (2)'!$D$2:$AL$2,0))</f>
        <v>0</v>
      </c>
      <c r="L229" s="25">
        <f>INDEX('Inputs (2)'!$D$36:$AL$36,MATCH(L$7,'Inputs (2)'!$D$2:$AL$2,0))</f>
        <v>0</v>
      </c>
      <c r="M229" s="3">
        <f>L229</f>
        <v>0</v>
      </c>
      <c r="N229" s="25">
        <f>INDEX('Inputs (2)'!$D$36:$AL$36,MATCH(N$7,'Inputs (2)'!$D$2:$AL$2,0))</f>
        <v>0</v>
      </c>
      <c r="O229" s="25">
        <f>INDEX('Inputs (2)'!$D$36:$AL$36,MATCH(O$7,'Inputs (2)'!$D$2:$AL$2,0))</f>
        <v>0</v>
      </c>
      <c r="P229" s="25">
        <f>INDEX('Inputs (2)'!$D$36:$AL$36,MATCH(P$7,'Inputs (2)'!$D$2:$AL$2,0))</f>
        <v>0</v>
      </c>
      <c r="Q229" s="25">
        <f>INDEX('Inputs (2)'!$D$36:$AL$36,MATCH(Q$7,'Inputs (2)'!$D$2:$AL$2,0))</f>
        <v>0</v>
      </c>
      <c r="R229" s="3">
        <f>Q229</f>
        <v>0</v>
      </c>
      <c r="S229" s="25">
        <f>INDEX('Inputs (2)'!$D$36:$AL$36,MATCH(S$7,'Inputs (2)'!$D$2:$AL$2,0))</f>
        <v>0</v>
      </c>
      <c r="T229" s="25">
        <f>INDEX('Inputs (2)'!$D$36:$AL$36,MATCH(T$7,'Inputs (2)'!$D$2:$AL$2,0))</f>
        <v>0</v>
      </c>
      <c r="U229" s="25">
        <f>INDEX('Inputs (2)'!$D$36:$AL$36,MATCH(U$7,'Inputs (2)'!$D$2:$AL$2,0))</f>
        <v>0</v>
      </c>
      <c r="V229" s="25">
        <f>INDEX('Inputs (2)'!$D$36:$AL$36,MATCH(V$7,'Inputs (2)'!$D$2:$AL$2,0))</f>
        <v>0</v>
      </c>
      <c r="W229" s="3">
        <f>V229</f>
        <v>0</v>
      </c>
      <c r="X229" s="25">
        <f>INDEX('Inputs (2)'!$D$36:$AL$36,MATCH(X$7,'Inputs (2)'!$D$2:$AL$2,0))</f>
        <v>0</v>
      </c>
      <c r="Y229" s="25">
        <f>INDEX('Inputs (2)'!$D$36:$AL$36,MATCH(Y$7,'Inputs (2)'!$D$2:$AL$2,0))</f>
        <v>0</v>
      </c>
      <c r="Z229" s="25">
        <f>INDEX('Inputs (2)'!$D$36:$AL$36,MATCH(Z$7,'Inputs (2)'!$D$2:$AL$2,0))</f>
        <v>0</v>
      </c>
      <c r="AA229" s="25">
        <f>INDEX('Inputs (2)'!$D$36:$AL$36,MATCH(AA$7,'Inputs (2)'!$D$2:$AL$2,0))</f>
        <v>0</v>
      </c>
      <c r="AB229" s="3">
        <f>AA229</f>
        <v>0</v>
      </c>
      <c r="AC229" s="25">
        <f>INDEX('Inputs (2)'!$D$36:$AL$36,MATCH(AC$7,'Inputs (2)'!$D$2:$AL$2,0))</f>
        <v>0</v>
      </c>
      <c r="AD229" s="25">
        <f>INDEX('Inputs (2)'!$D$36:$AL$36,MATCH(AD$7,'Inputs (2)'!$D$2:$AL$2,0))</f>
        <v>0</v>
      </c>
      <c r="AE229" s="25">
        <f>INDEX('Inputs (2)'!$D$36:$AL$36,MATCH(AE$7,'Inputs (2)'!$D$2:$AL$2,0))</f>
        <v>0</v>
      </c>
      <c r="AF229" s="25">
        <f>INDEX('Inputs (2)'!$D$36:$AL$36,MATCH(AF$7,'Inputs (2)'!$D$2:$AL$2,0))</f>
        <v>0</v>
      </c>
      <c r="AG229" s="3">
        <f>AF229</f>
        <v>0</v>
      </c>
      <c r="AH229" s="3">
        <f>INDEX('Inputs (2)'!$D$36:$AL$36,MATCH(AH$7,'Inputs (2)'!$D$2:$AL$2,0))</f>
        <v>0</v>
      </c>
      <c r="AI229" s="3">
        <f>INDEX('Inputs (2)'!$D$36:$AL$36,MATCH(AI$7,'Inputs (2)'!$D$2:$AL$2,0))</f>
        <v>0</v>
      </c>
      <c r="AJ229" s="3">
        <f>AI229</f>
        <v>0</v>
      </c>
      <c r="AK229" s="3">
        <f>AJ229</f>
        <v>0</v>
      </c>
      <c r="AL229" s="3">
        <f>AK229</f>
        <v>0</v>
      </c>
      <c r="AM229" s="3">
        <f>AL229</f>
        <v>0</v>
      </c>
      <c r="AN229" s="3">
        <f>AM229</f>
        <v>0</v>
      </c>
      <c r="AO229" s="3">
        <f>AN229</f>
        <v>0</v>
      </c>
      <c r="AP229" s="3">
        <f>AO229</f>
        <v>0</v>
      </c>
      <c r="AQ229" s="3">
        <f>AP229</f>
        <v>0</v>
      </c>
      <c r="AR229" s="3">
        <f>AQ229</f>
        <v>0</v>
      </c>
      <c r="AS229" s="3">
        <f>AR229</f>
        <v>0</v>
      </c>
      <c r="AT229" s="3">
        <f>AS229</f>
        <v>0</v>
      </c>
      <c r="AU229" s="3">
        <f>AT229</f>
        <v>0</v>
      </c>
      <c r="AV229" s="3">
        <f>AU229</f>
        <v>0</v>
      </c>
      <c r="AW229" s="3">
        <f>AV229</f>
        <v>0</v>
      </c>
      <c r="AX229" s="3">
        <f>AW229</f>
        <v>0</v>
      </c>
      <c r="AY229" s="3">
        <f>AX229</f>
        <v>0</v>
      </c>
      <c r="AZ229" s="3">
        <f>AY229</f>
        <v>0</v>
      </c>
      <c r="BA229" s="3">
        <f>AZ229</f>
        <v>0</v>
      </c>
      <c r="BB229" s="3">
        <f>BA229</f>
        <v>0</v>
      </c>
      <c r="BC229" s="3">
        <f>BB229</f>
        <v>0</v>
      </c>
      <c r="BD229" s="3">
        <f>BC229</f>
        <v>0</v>
      </c>
      <c r="BE229" s="3">
        <f>BD229</f>
        <v>0</v>
      </c>
      <c r="BF229" s="3">
        <f>BE229</f>
        <v>0</v>
      </c>
      <c r="BG229" s="3">
        <f>BF229</f>
        <v>0</v>
      </c>
      <c r="BH229" s="3">
        <f>BG229</f>
        <v>0</v>
      </c>
      <c r="BI229" s="3">
        <f>BH229</f>
        <v>0</v>
      </c>
      <c r="BJ229" s="3">
        <f>BI229</f>
        <v>0</v>
      </c>
      <c r="BK229" s="3">
        <f>BJ229</f>
        <v>0</v>
      </c>
      <c r="BL229" s="3">
        <f>BK229</f>
        <v>0</v>
      </c>
      <c r="BM229" s="3">
        <f>BL229</f>
        <v>0</v>
      </c>
      <c r="BN229" s="3">
        <f>BM229</f>
        <v>0</v>
      </c>
      <c r="BO229" s="3">
        <f>BN229</f>
        <v>0</v>
      </c>
      <c r="BP229" s="3">
        <f>BO229</f>
        <v>0</v>
      </c>
      <c r="BQ229" s="3">
        <f>BP229</f>
        <v>0</v>
      </c>
      <c r="BR229" s="3">
        <f>BQ229</f>
        <v>0</v>
      </c>
      <c r="BS229" s="3">
        <f>BR229</f>
        <v>0</v>
      </c>
      <c r="BT229" s="3">
        <f>BS229</f>
        <v>0</v>
      </c>
      <c r="BU229" s="3">
        <f>BT229</f>
        <v>0</v>
      </c>
      <c r="BV229" s="3">
        <f>BU229</f>
        <v>0</v>
      </c>
      <c r="BW229" s="3">
        <f>BV229</f>
        <v>0</v>
      </c>
      <c r="BX229" s="3">
        <f>BW229</f>
        <v>0</v>
      </c>
      <c r="BY229" s="3">
        <f>BX229</f>
        <v>0</v>
      </c>
      <c r="BZ229" s="3">
        <f>BY229</f>
        <v>0</v>
      </c>
      <c r="CA229" s="3">
        <f>BZ229</f>
        <v>0</v>
      </c>
      <c r="CB229" s="3">
        <f>CA229</f>
        <v>0</v>
      </c>
      <c r="CC229" s="3">
        <f>CB229</f>
        <v>0</v>
      </c>
      <c r="CD229" s="3">
        <f>CC229</f>
        <v>0</v>
      </c>
      <c r="CE229" s="3">
        <f>CD229</f>
        <v>0</v>
      </c>
      <c r="CF229" s="3">
        <f>CE229</f>
        <v>0</v>
      </c>
      <c r="CG229" s="3">
        <f>CF229</f>
        <v>0</v>
      </c>
      <c r="CH229" s="3">
        <f>CG229</f>
        <v>0</v>
      </c>
      <c r="CI229" s="3">
        <f>CH229</f>
        <v>0</v>
      </c>
      <c r="CJ229" s="3">
        <f>CI229</f>
        <v>0</v>
      </c>
      <c r="CK229" s="3">
        <f>CJ229</f>
        <v>0</v>
      </c>
      <c r="CL229" s="3">
        <f>CK229</f>
        <v>0</v>
      </c>
      <c r="CM229" s="3">
        <f>CL229</f>
        <v>0</v>
      </c>
      <c r="CN229" s="3">
        <f>CM229</f>
        <v>0</v>
      </c>
      <c r="CO229" s="3">
        <f>CN229</f>
        <v>0</v>
      </c>
      <c r="CP229" s="3">
        <f>CO229</f>
        <v>0</v>
      </c>
      <c r="CQ229" s="3">
        <f>CP229</f>
        <v>0</v>
      </c>
      <c r="CR229" s="3">
        <f>CQ229</f>
        <v>0</v>
      </c>
      <c r="CS229" s="3">
        <f>CR229</f>
        <v>0</v>
      </c>
      <c r="CT229" s="3">
        <f>CS229</f>
        <v>0</v>
      </c>
      <c r="CU229" s="3">
        <f>CT229</f>
        <v>0</v>
      </c>
      <c r="CV229" s="3">
        <f>CU229</f>
        <v>0</v>
      </c>
      <c r="CW229" s="3">
        <f>CV229</f>
        <v>0</v>
      </c>
      <c r="CX229" s="3">
        <f>CW229</f>
        <v>0</v>
      </c>
      <c r="CY229" s="3">
        <f>CX229</f>
        <v>0</v>
      </c>
    </row>
    <row r="230" hidden="1" outlineLevel="1">
      <c r="C230" s="38" t="inlineStr">
        <is>
          <t>%(Var.)</t>
        </is>
      </c>
      <c r="D230" s="3" t="n"/>
      <c r="E230" s="47">
        <f>IFERROR((E229-D229)/D229,0)</f>
        <v>0</v>
      </c>
      <c r="F230" s="47">
        <f>IFERROR((F229-E229)/E229,0)</f>
        <v>0</v>
      </c>
      <c r="G230" s="47">
        <f>IFERROR((G229-F229)/F229,0)</f>
        <v>0</v>
      </c>
      <c r="H230" s="3" t="n"/>
      <c r="I230" s="47">
        <f>IFERROR((I229-H229)/H229,0)</f>
        <v>0</v>
      </c>
      <c r="J230" s="47">
        <f>IFERROR((J229-I229)/I229,0)</f>
        <v>0</v>
      </c>
      <c r="K230" s="47">
        <f>IFERROR((K229-J229)/J229,0)</f>
        <v>0</v>
      </c>
      <c r="L230" s="47">
        <f>IFERROR((L229-K229)/K229,0)</f>
        <v>0</v>
      </c>
      <c r="M230" s="3" t="n"/>
      <c r="N230" s="47">
        <f>IFERROR((N229-M229)/M229,0)</f>
        <v>0</v>
      </c>
      <c r="O230" s="47">
        <f>IFERROR((O229-N229)/N229,0)</f>
        <v>0</v>
      </c>
      <c r="P230" s="47">
        <f>IFERROR((P229-O229)/O229,0)</f>
        <v>0</v>
      </c>
      <c r="Q230" s="47">
        <f>IFERROR((Q229-P229)/P229,0)</f>
        <v>0</v>
      </c>
      <c r="R230" s="3" t="n"/>
      <c r="S230" s="47">
        <f>IFERROR((S229-R229)/R229,0)</f>
        <v>0</v>
      </c>
      <c r="T230" s="47">
        <f>IFERROR((T229-S229)/S229,0)</f>
        <v>0</v>
      </c>
      <c r="U230" s="47">
        <f>IFERROR((U229-T229)/T229,0)</f>
        <v>0</v>
      </c>
      <c r="V230" s="47">
        <f>IFERROR((V229-U229)/U229,0)</f>
        <v>0</v>
      </c>
      <c r="W230" s="3" t="n"/>
      <c r="X230" s="47">
        <f>IFERROR((X229-W229)/W229,0)</f>
        <v>0</v>
      </c>
      <c r="Y230" s="47">
        <f>IFERROR((Y229-X229)/X229,0)</f>
        <v>0</v>
      </c>
      <c r="Z230" s="47">
        <f>IFERROR((Z229-Y229)/Y229,0)</f>
        <v>0</v>
      </c>
      <c r="AA230" s="47">
        <f>IFERROR((AA229-Z229)/Z229,0)</f>
        <v>0</v>
      </c>
      <c r="AB230" s="3" t="n"/>
      <c r="AC230" s="47">
        <f>IFERROR((AC229-AB229)/AB229,0)</f>
        <v>0</v>
      </c>
      <c r="AD230" s="47">
        <f>IFERROR((AD229-AC229)/AC229,0)</f>
        <v>0</v>
      </c>
      <c r="AE230" s="47">
        <f>IFERROR((AE229-AD229)/AD229,0)</f>
        <v>0</v>
      </c>
      <c r="AF230" s="230">
        <f>IFERROR((AF229-AE229)/AE229,0)</f>
        <v>0</v>
      </c>
      <c r="AG230" s="3" t="n"/>
      <c r="AH230" s="6">
        <f>IFERROR((AH229-AG229)/AG229,0)</f>
        <v>0</v>
      </c>
      <c r="AI230" s="6">
        <f>IFERROR((AI229-AH229)/AH229,0)</f>
        <v>0</v>
      </c>
      <c r="AJ230" s="6" t="n"/>
      <c r="AK230" s="6" t="n"/>
      <c r="AL230" s="3" t="n"/>
      <c r="AM230" s="6" t="n"/>
      <c r="AN230" s="6" t="n"/>
      <c r="AO230" s="6" t="n"/>
      <c r="AP230" s="6" t="n"/>
      <c r="AQ230" s="3" t="n"/>
      <c r="AR230" s="6" t="n"/>
      <c r="AS230" s="6" t="n"/>
      <c r="AT230" s="6" t="n"/>
      <c r="AU230" s="6" t="n"/>
      <c r="AV230" s="3" t="n"/>
      <c r="AW230" s="6" t="n"/>
      <c r="AX230" s="6" t="n"/>
      <c r="AY230" s="6" t="n"/>
      <c r="AZ230" s="6" t="n"/>
      <c r="BA230" s="3" t="n"/>
      <c r="BB230" s="6" t="n"/>
      <c r="BC230" s="6" t="n"/>
      <c r="BD230" s="6" t="n"/>
      <c r="BE230" s="6" t="n"/>
      <c r="BF230" s="3" t="n"/>
      <c r="BG230" s="6" t="n"/>
      <c r="BH230" s="6" t="n"/>
      <c r="BI230" s="6" t="n"/>
      <c r="BJ230" s="6" t="n"/>
      <c r="BK230" s="3" t="n"/>
      <c r="BL230" s="6" t="n"/>
      <c r="BM230" s="6" t="n"/>
      <c r="BN230" s="6" t="n"/>
      <c r="BO230" s="6" t="n"/>
      <c r="BP230" s="3" t="n"/>
      <c r="BQ230" s="6" t="n"/>
      <c r="BR230" s="6" t="n"/>
      <c r="BS230" s="6" t="n"/>
      <c r="BT230" s="6" t="n"/>
      <c r="BU230" s="3" t="n"/>
      <c r="BV230" s="6" t="n"/>
      <c r="BW230" s="6" t="n"/>
      <c r="BX230" s="6" t="n"/>
      <c r="BY230" s="6" t="n"/>
      <c r="BZ230" s="3" t="n"/>
      <c r="CA230" s="6" t="n"/>
      <c r="CB230" s="6" t="n"/>
      <c r="CC230" s="6" t="n"/>
      <c r="CD230" s="6" t="n"/>
      <c r="CE230" s="3" t="n"/>
      <c r="CF230" s="6" t="n"/>
      <c r="CG230" s="6" t="n"/>
      <c r="CH230" s="6" t="n"/>
      <c r="CI230" s="6" t="n"/>
      <c r="CJ230" s="3" t="n"/>
      <c r="CK230" s="6" t="n"/>
      <c r="CL230" s="6" t="n"/>
      <c r="CM230" s="6" t="n"/>
      <c r="CN230" s="6" t="n"/>
      <c r="CO230" s="3" t="n"/>
      <c r="CP230" s="6" t="n"/>
      <c r="CQ230" s="6" t="n"/>
      <c r="CR230" s="6" t="n"/>
      <c r="CS230" s="6" t="n"/>
      <c r="CT230" s="3" t="n"/>
      <c r="CU230" s="6" t="n"/>
      <c r="CV230" s="6" t="n"/>
      <c r="CW230" s="6" t="n"/>
      <c r="CX230" s="6" t="n"/>
      <c r="CY230" s="3" t="n"/>
    </row>
    <row r="231" hidden="1" outlineLevel="1">
      <c r="C231" s="34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  <c r="AB231" s="3" t="n"/>
      <c r="AC231" s="3" t="n"/>
      <c r="AD231" s="3" t="n"/>
      <c r="AE231" s="3" t="n"/>
      <c r="AF231" s="3" t="n"/>
      <c r="AG231" s="3" t="n"/>
      <c r="AH231" s="3" t="n"/>
      <c r="AI231" s="3" t="n"/>
      <c r="AJ231" s="3" t="n"/>
      <c r="AK231" s="3" t="n"/>
      <c r="AL231" s="3" t="n"/>
      <c r="AM231" s="3" t="n"/>
      <c r="AN231" s="3" t="n"/>
      <c r="AO231" s="3" t="n"/>
      <c r="AP231" s="3" t="n"/>
      <c r="AQ231" s="3" t="n"/>
      <c r="AR231" s="3" t="n"/>
      <c r="AS231" s="3" t="n"/>
      <c r="AT231" s="3" t="n"/>
      <c r="AU231" s="3" t="n"/>
      <c r="AV231" s="3" t="n"/>
      <c r="AW231" s="3" t="n"/>
      <c r="AX231" s="3" t="n"/>
      <c r="AY231" s="3" t="n"/>
      <c r="AZ231" s="3" t="n"/>
      <c r="BA231" s="3" t="n"/>
      <c r="BB231" s="3" t="n"/>
      <c r="BC231" s="3" t="n"/>
      <c r="BD231" s="3" t="n"/>
      <c r="BE231" s="3" t="n"/>
      <c r="BF231" s="3" t="n"/>
      <c r="BG231" s="3" t="n"/>
      <c r="BH231" s="3" t="n"/>
      <c r="BI231" s="3" t="n"/>
      <c r="BJ231" s="3" t="n"/>
      <c r="BK231" s="3" t="n"/>
      <c r="BL231" s="3" t="n"/>
      <c r="BM231" s="3" t="n"/>
      <c r="BN231" s="3" t="n"/>
      <c r="BO231" s="3" t="n"/>
      <c r="BP231" s="3" t="n"/>
      <c r="BQ231" s="3" t="n"/>
      <c r="BR231" s="3" t="n"/>
      <c r="BS231" s="3" t="n"/>
      <c r="BT231" s="3" t="n"/>
      <c r="BU231" s="3" t="n"/>
      <c r="BV231" s="3" t="n"/>
      <c r="BW231" s="3" t="n"/>
      <c r="BX231" s="3" t="n"/>
      <c r="BY231" s="3" t="n"/>
      <c r="BZ231" s="3" t="n"/>
      <c r="CA231" s="3" t="n"/>
      <c r="CB231" s="3" t="n"/>
      <c r="CC231" s="3" t="n"/>
      <c r="CD231" s="3" t="n"/>
      <c r="CE231" s="3" t="n"/>
      <c r="CF231" s="3" t="n"/>
      <c r="CG231" s="3" t="n"/>
      <c r="CH231" s="3" t="n"/>
      <c r="CI231" s="3" t="n"/>
      <c r="CJ231" s="3" t="n"/>
      <c r="CK231" s="3" t="n"/>
      <c r="CL231" s="3" t="n"/>
      <c r="CM231" s="3" t="n"/>
      <c r="CN231" s="3" t="n"/>
      <c r="CO231" s="3" t="n"/>
      <c r="CP231" s="3" t="n"/>
      <c r="CQ231" s="3" t="n"/>
      <c r="CR231" s="3" t="n"/>
      <c r="CS231" s="3" t="n"/>
      <c r="CT231" s="3" t="n"/>
      <c r="CU231" s="3" t="n"/>
      <c r="CV231" s="3" t="n"/>
      <c r="CW231" s="3" t="n"/>
      <c r="CX231" s="3" t="n"/>
      <c r="CY231" s="3" t="n"/>
    </row>
    <row r="232" collapsed="1">
      <c r="C232" s="26" t="inlineStr">
        <is>
          <t>Convertible debt</t>
        </is>
      </c>
      <c r="D232" s="25">
        <f>INDEX('Inputs (2)'!$D$37:$AL$37,MATCH(D$7,'Inputs (2)'!$D$2:$AL$2,0))</f>
        <v>0</v>
      </c>
      <c r="E232" s="25">
        <f>INDEX('Inputs (2)'!$D$37:$AL$37,MATCH(E$7,'Inputs (2)'!$D$2:$AL$2,0))</f>
        <v>0</v>
      </c>
      <c r="F232" s="25">
        <f>INDEX('Inputs (2)'!$D$37:$AL$37,MATCH(F$7,'Inputs (2)'!$D$2:$AL$2,0))</f>
        <v>0</v>
      </c>
      <c r="G232" s="25">
        <f>INDEX('Inputs (2)'!$D$37:$AL$37,MATCH(G$7,'Inputs (2)'!$D$2:$AL$2,0))</f>
        <v>0</v>
      </c>
      <c r="H232" s="3">
        <f>G232</f>
        <v>0</v>
      </c>
      <c r="I232" s="25">
        <f>INDEX('Inputs (2)'!$D$37:$AL$37,MATCH(I$7,'Inputs (2)'!$D$2:$AL$2,0))</f>
        <v>0</v>
      </c>
      <c r="J232" s="25">
        <f>INDEX('Inputs (2)'!$D$37:$AL$37,MATCH(J$7,'Inputs (2)'!$D$2:$AL$2,0))</f>
        <v>0</v>
      </c>
      <c r="K232" s="25">
        <f>INDEX('Inputs (2)'!$D$37:$AL$37,MATCH(K$7,'Inputs (2)'!$D$2:$AL$2,0))</f>
        <v>0</v>
      </c>
      <c r="L232" s="25">
        <f>INDEX('Inputs (2)'!$D$37:$AL$37,MATCH(L$7,'Inputs (2)'!$D$2:$AL$2,0))</f>
        <v>0</v>
      </c>
      <c r="M232" s="3">
        <f>L232</f>
        <v>0</v>
      </c>
      <c r="N232" s="25">
        <f>INDEX('Inputs (2)'!$D$37:$AL$37,MATCH(N$7,'Inputs (2)'!$D$2:$AL$2,0))</f>
        <v>0</v>
      </c>
      <c r="O232" s="25">
        <f>INDEX('Inputs (2)'!$D$37:$AL$37,MATCH(O$7,'Inputs (2)'!$D$2:$AL$2,0))</f>
        <v>0</v>
      </c>
      <c r="P232" s="25">
        <f>INDEX('Inputs (2)'!$D$37:$AL$37,MATCH(P$7,'Inputs (2)'!$D$2:$AL$2,0))</f>
        <v>0</v>
      </c>
      <c r="Q232" s="25">
        <f>INDEX('Inputs (2)'!$D$37:$AL$37,MATCH(Q$7,'Inputs (2)'!$D$2:$AL$2,0))</f>
        <v>0</v>
      </c>
      <c r="R232" s="3">
        <f>Q232</f>
        <v>0</v>
      </c>
      <c r="S232" s="25">
        <f>INDEX('Inputs (2)'!$D$37:$AL$37,MATCH(S$7,'Inputs (2)'!$D$2:$AL$2,0))</f>
        <v>0</v>
      </c>
      <c r="T232" s="25">
        <f>INDEX('Inputs (2)'!$D$37:$AL$37,MATCH(T$7,'Inputs (2)'!$D$2:$AL$2,0))</f>
        <v>0</v>
      </c>
      <c r="U232" s="25">
        <f>INDEX('Inputs (2)'!$D$37:$AL$37,MATCH(U$7,'Inputs (2)'!$D$2:$AL$2,0))</f>
        <v>0</v>
      </c>
      <c r="V232" s="25">
        <f>INDEX('Inputs (2)'!$D$37:$AL$37,MATCH(V$7,'Inputs (2)'!$D$2:$AL$2,0))</f>
        <v>0</v>
      </c>
      <c r="W232" s="3">
        <f>V232</f>
        <v>0</v>
      </c>
      <c r="X232" s="25">
        <f>INDEX('Inputs (2)'!$D$37:$AL$37,MATCH(X$7,'Inputs (2)'!$D$2:$AL$2,0))</f>
        <v>0</v>
      </c>
      <c r="Y232" s="25">
        <f>INDEX('Inputs (2)'!$D$37:$AL$37,MATCH(Y$7,'Inputs (2)'!$D$2:$AL$2,0))</f>
        <v>0</v>
      </c>
      <c r="Z232" s="25">
        <f>INDEX('Inputs (2)'!$D$37:$AL$37,MATCH(Z$7,'Inputs (2)'!$D$2:$AL$2,0))</f>
        <v>0</v>
      </c>
      <c r="AA232" s="25">
        <f>INDEX('Inputs (2)'!$D$37:$AL$37,MATCH(AA$7,'Inputs (2)'!$D$2:$AL$2,0))</f>
        <v>0</v>
      </c>
      <c r="AB232" s="3">
        <f>AA232</f>
        <v>0</v>
      </c>
      <c r="AC232" s="25">
        <f>INDEX('Inputs (2)'!$D$37:$AL$37,MATCH(AC$7,'Inputs (2)'!$D$2:$AL$2,0))</f>
        <v>0</v>
      </c>
      <c r="AD232" s="25">
        <f>INDEX('Inputs (2)'!$D$37:$AL$37,MATCH(AD$7,'Inputs (2)'!$D$2:$AL$2,0))</f>
        <v>0</v>
      </c>
      <c r="AE232" s="25">
        <f>INDEX('Inputs (2)'!$D$37:$AL$37,MATCH(AE$7,'Inputs (2)'!$D$2:$AL$2,0))</f>
        <v>0</v>
      </c>
      <c r="AF232" s="25">
        <f>INDEX('Inputs (2)'!$D$37:$AL$37,MATCH(AF$7,'Inputs (2)'!$D$2:$AL$2,0))</f>
        <v>0</v>
      </c>
      <c r="AG232" s="3">
        <f>AF232</f>
        <v>0</v>
      </c>
      <c r="AH232" s="3">
        <f>INDEX('Inputs (2)'!$D$37:$AL$37,MATCH(AH$7,'Inputs (2)'!$D$2:$AL$2,0))</f>
        <v>0</v>
      </c>
      <c r="AI232" s="3">
        <f>INDEX('Inputs (2)'!$D$37:$AL$37,MATCH(AI$7,'Inputs (2)'!$D$2:$AL$2,0))</f>
        <v>0</v>
      </c>
      <c r="AJ232" s="3">
        <f>AI232</f>
        <v>0</v>
      </c>
      <c r="AK232" s="3">
        <f>AJ232</f>
        <v>0</v>
      </c>
      <c r="AL232" s="3">
        <f>AK232</f>
        <v>0</v>
      </c>
      <c r="AM232" s="3">
        <f>AL232</f>
        <v>0</v>
      </c>
      <c r="AN232" s="3">
        <f>AM232</f>
        <v>0</v>
      </c>
      <c r="AO232" s="3">
        <f>AN232</f>
        <v>0</v>
      </c>
      <c r="AP232" s="3">
        <f>AO232</f>
        <v>0</v>
      </c>
      <c r="AQ232" s="3">
        <f>AP232</f>
        <v>0</v>
      </c>
      <c r="AR232" s="3">
        <f>AQ232</f>
        <v>0</v>
      </c>
      <c r="AS232" s="3">
        <f>AR232</f>
        <v>0</v>
      </c>
      <c r="AT232" s="3">
        <f>AS232</f>
        <v>0</v>
      </c>
      <c r="AU232" s="3">
        <f>AT232</f>
        <v>0</v>
      </c>
      <c r="AV232" s="3">
        <f>AU232</f>
        <v>0</v>
      </c>
      <c r="AW232" s="3">
        <f>AV232</f>
        <v>0</v>
      </c>
      <c r="AX232" s="3">
        <f>AW232</f>
        <v>0</v>
      </c>
      <c r="AY232" s="3">
        <f>AX232</f>
        <v>0</v>
      </c>
      <c r="AZ232" s="3">
        <f>AY232</f>
        <v>0</v>
      </c>
      <c r="BA232" s="3">
        <f>AZ232</f>
        <v>0</v>
      </c>
      <c r="BB232" s="3">
        <f>BA232</f>
        <v>0</v>
      </c>
      <c r="BC232" s="3">
        <f>BB232</f>
        <v>0</v>
      </c>
      <c r="BD232" s="3">
        <f>BC232</f>
        <v>0</v>
      </c>
      <c r="BE232" s="3">
        <f>BD232</f>
        <v>0</v>
      </c>
      <c r="BF232" s="3">
        <f>BE232</f>
        <v>0</v>
      </c>
      <c r="BG232" s="3">
        <f>BF232</f>
        <v>0</v>
      </c>
      <c r="BH232" s="3">
        <f>BG232</f>
        <v>0</v>
      </c>
      <c r="BI232" s="3">
        <f>BH232</f>
        <v>0</v>
      </c>
      <c r="BJ232" s="3">
        <f>BI232</f>
        <v>0</v>
      </c>
      <c r="BK232" s="3">
        <f>BJ232</f>
        <v>0</v>
      </c>
      <c r="BL232" s="3">
        <f>BK232</f>
        <v>0</v>
      </c>
      <c r="BM232" s="3">
        <f>BL232</f>
        <v>0</v>
      </c>
      <c r="BN232" s="3">
        <f>BM232</f>
        <v>0</v>
      </c>
      <c r="BO232" s="3">
        <f>BN232</f>
        <v>0</v>
      </c>
      <c r="BP232" s="3">
        <f>BO232</f>
        <v>0</v>
      </c>
      <c r="BQ232" s="3">
        <f>BP232</f>
        <v>0</v>
      </c>
      <c r="BR232" s="3">
        <f>BQ232</f>
        <v>0</v>
      </c>
      <c r="BS232" s="3">
        <f>BR232</f>
        <v>0</v>
      </c>
      <c r="BT232" s="3">
        <f>BS232</f>
        <v>0</v>
      </c>
      <c r="BU232" s="3">
        <f>BT232</f>
        <v>0</v>
      </c>
      <c r="BV232" s="3">
        <f>BU232</f>
        <v>0</v>
      </c>
      <c r="BW232" s="3">
        <f>BV232</f>
        <v>0</v>
      </c>
      <c r="BX232" s="3">
        <f>BW232</f>
        <v>0</v>
      </c>
      <c r="BY232" s="3">
        <f>BX232</f>
        <v>0</v>
      </c>
      <c r="BZ232" s="3">
        <f>BY232</f>
        <v>0</v>
      </c>
      <c r="CA232" s="3">
        <f>BZ232</f>
        <v>0</v>
      </c>
      <c r="CB232" s="3">
        <f>CA232</f>
        <v>0</v>
      </c>
      <c r="CC232" s="3">
        <f>CB232</f>
        <v>0</v>
      </c>
      <c r="CD232" s="3">
        <f>CC232</f>
        <v>0</v>
      </c>
      <c r="CE232" s="3">
        <f>CD232</f>
        <v>0</v>
      </c>
      <c r="CF232" s="3">
        <f>CE232</f>
        <v>0</v>
      </c>
      <c r="CG232" s="3">
        <f>CF232</f>
        <v>0</v>
      </c>
      <c r="CH232" s="3">
        <f>CG232</f>
        <v>0</v>
      </c>
      <c r="CI232" s="3">
        <f>CH232</f>
        <v>0</v>
      </c>
      <c r="CJ232" s="3">
        <f>CI232</f>
        <v>0</v>
      </c>
      <c r="CK232" s="3">
        <f>CJ232</f>
        <v>0</v>
      </c>
      <c r="CL232" s="3">
        <f>CK232</f>
        <v>0</v>
      </c>
      <c r="CM232" s="3">
        <f>CL232</f>
        <v>0</v>
      </c>
      <c r="CN232" s="3">
        <f>CM232</f>
        <v>0</v>
      </c>
      <c r="CO232" s="3">
        <f>CN232</f>
        <v>0</v>
      </c>
      <c r="CP232" s="3">
        <f>CO232</f>
        <v>0</v>
      </c>
      <c r="CQ232" s="3">
        <f>CP232</f>
        <v>0</v>
      </c>
      <c r="CR232" s="3">
        <f>CQ232</f>
        <v>0</v>
      </c>
      <c r="CS232" s="3">
        <f>CR232</f>
        <v>0</v>
      </c>
      <c r="CT232" s="3">
        <f>CS232</f>
        <v>0</v>
      </c>
      <c r="CU232" s="3">
        <f>CT232</f>
        <v>0</v>
      </c>
      <c r="CV232" s="3">
        <f>CU232</f>
        <v>0</v>
      </c>
      <c r="CW232" s="3">
        <f>CV232</f>
        <v>0</v>
      </c>
      <c r="CX232" s="3">
        <f>CW232</f>
        <v>0</v>
      </c>
      <c r="CY232" s="3">
        <f>CX232</f>
        <v>0</v>
      </c>
    </row>
    <row r="233">
      <c r="C233" s="26" t="inlineStr">
        <is>
          <t>Deferred income taxes</t>
        </is>
      </c>
      <c r="D233" s="25">
        <f>INDEX('Inputs (2)'!$D$38:$AL$38,MATCH(D$7,'Inputs (2)'!$D$2:$AL$2,0))</f>
        <v>0</v>
      </c>
      <c r="E233" s="25">
        <f>INDEX('Inputs (2)'!$D$38:$AL$38,MATCH(E$7,'Inputs (2)'!$D$2:$AL$2,0))</f>
        <v>0</v>
      </c>
      <c r="F233" s="25">
        <f>INDEX('Inputs (2)'!$D$38:$AL$38,MATCH(F$7,'Inputs (2)'!$D$2:$AL$2,0))</f>
        <v>0</v>
      </c>
      <c r="G233" s="25">
        <f>INDEX('Inputs (2)'!$D$38:$AL$38,MATCH(G$7,'Inputs (2)'!$D$2:$AL$2,0))</f>
        <v>0</v>
      </c>
      <c r="H233" s="3">
        <f>G233</f>
        <v>0</v>
      </c>
      <c r="I233" s="25">
        <f>INDEX('Inputs (2)'!$D$38:$AL$38,MATCH(I$7,'Inputs (2)'!$D$2:$AL$2,0))</f>
        <v>0</v>
      </c>
      <c r="J233" s="25">
        <f>INDEX('Inputs (2)'!$D$38:$AL$38,MATCH(J$7,'Inputs (2)'!$D$2:$AL$2,0))</f>
        <v>0</v>
      </c>
      <c r="K233" s="25">
        <f>INDEX('Inputs (2)'!$D$38:$AL$38,MATCH(K$7,'Inputs (2)'!$D$2:$AL$2,0))</f>
        <v>0</v>
      </c>
      <c r="L233" s="25">
        <f>INDEX('Inputs (2)'!$D$38:$AL$38,MATCH(L$7,'Inputs (2)'!$D$2:$AL$2,0))</f>
        <v>0</v>
      </c>
      <c r="M233" s="3">
        <f>L233</f>
        <v>0</v>
      </c>
      <c r="N233" s="25">
        <f>INDEX('Inputs (2)'!$D$38:$AL$38,MATCH(N$7,'Inputs (2)'!$D$2:$AL$2,0))</f>
        <v>0</v>
      </c>
      <c r="O233" s="25">
        <f>INDEX('Inputs (2)'!$D$38:$AL$38,MATCH(O$7,'Inputs (2)'!$D$2:$AL$2,0))</f>
        <v>0</v>
      </c>
      <c r="P233" s="25">
        <f>INDEX('Inputs (2)'!$D$38:$AL$38,MATCH(P$7,'Inputs (2)'!$D$2:$AL$2,0))</f>
        <v>0</v>
      </c>
      <c r="Q233" s="25">
        <f>INDEX('Inputs (2)'!$D$38:$AL$38,MATCH(Q$7,'Inputs (2)'!$D$2:$AL$2,0))</f>
        <v>0</v>
      </c>
      <c r="R233" s="3">
        <f>Q233</f>
        <v>0</v>
      </c>
      <c r="S233" s="25">
        <f>INDEX('Inputs (2)'!$D$38:$AL$38,MATCH(S$7,'Inputs (2)'!$D$2:$AL$2,0))</f>
        <v>0</v>
      </c>
      <c r="T233" s="25">
        <f>INDEX('Inputs (2)'!$D$38:$AL$38,MATCH(T$7,'Inputs (2)'!$D$2:$AL$2,0))</f>
        <v>0</v>
      </c>
      <c r="U233" s="25">
        <f>INDEX('Inputs (2)'!$D$38:$AL$38,MATCH(U$7,'Inputs (2)'!$D$2:$AL$2,0))</f>
        <v>0</v>
      </c>
      <c r="V233" s="25">
        <f>INDEX('Inputs (2)'!$D$38:$AL$38,MATCH(V$7,'Inputs (2)'!$D$2:$AL$2,0))</f>
        <v>0</v>
      </c>
      <c r="W233" s="3">
        <f>V233</f>
        <v>0</v>
      </c>
      <c r="X233" s="25">
        <f>INDEX('Inputs (2)'!$D$38:$AL$38,MATCH(X$7,'Inputs (2)'!$D$2:$AL$2,0))</f>
        <v>0</v>
      </c>
      <c r="Y233" s="25">
        <f>INDEX('Inputs (2)'!$D$38:$AL$38,MATCH(Y$7,'Inputs (2)'!$D$2:$AL$2,0))</f>
        <v>0</v>
      </c>
      <c r="Z233" s="25">
        <f>INDEX('Inputs (2)'!$D$38:$AL$38,MATCH(Z$7,'Inputs (2)'!$D$2:$AL$2,0))</f>
        <v>0</v>
      </c>
      <c r="AA233" s="25">
        <f>INDEX('Inputs (2)'!$D$38:$AL$38,MATCH(AA$7,'Inputs (2)'!$D$2:$AL$2,0))</f>
        <v>0</v>
      </c>
      <c r="AB233" s="3">
        <f>AA233</f>
        <v>0</v>
      </c>
      <c r="AC233" s="25">
        <f>INDEX('Inputs (2)'!$D$38:$AL$38,MATCH(AC$7,'Inputs (2)'!$D$2:$AL$2,0))</f>
        <v>0</v>
      </c>
      <c r="AD233" s="25">
        <f>INDEX('Inputs (2)'!$D$38:$AL$38,MATCH(AD$7,'Inputs (2)'!$D$2:$AL$2,0))</f>
        <v>0</v>
      </c>
      <c r="AE233" s="25">
        <f>INDEX('Inputs (2)'!$D$38:$AL$38,MATCH(AE$7,'Inputs (2)'!$D$2:$AL$2,0))</f>
        <v>0</v>
      </c>
      <c r="AF233" s="25">
        <f>INDEX('Inputs (2)'!$D$38:$AL$38,MATCH(AF$7,'Inputs (2)'!$D$2:$AL$2,0))</f>
        <v>0</v>
      </c>
      <c r="AG233" s="3">
        <f>AF233</f>
        <v>0</v>
      </c>
      <c r="AH233" s="3">
        <f>INDEX('Inputs (2)'!$D$38:$AL$38,MATCH(AH$7,'Inputs (2)'!$D$2:$AL$2,0))</f>
        <v>0</v>
      </c>
      <c r="AI233" s="3">
        <f>INDEX('Inputs (2)'!$D$38:$AL$38,MATCH(AI$7,'Inputs (2)'!$D$2:$AL$2,0))</f>
        <v>0</v>
      </c>
      <c r="AJ233" s="3">
        <f>AI233</f>
        <v>0</v>
      </c>
      <c r="AK233" s="3">
        <f>AJ233</f>
        <v>0</v>
      </c>
      <c r="AL233" s="3">
        <f>AK233</f>
        <v>0</v>
      </c>
      <c r="AM233" s="3">
        <f>AL233</f>
        <v>0</v>
      </c>
      <c r="AN233" s="3">
        <f>AM233</f>
        <v>0</v>
      </c>
      <c r="AO233" s="3">
        <f>AN233</f>
        <v>0</v>
      </c>
      <c r="AP233" s="3">
        <f>AO233</f>
        <v>0</v>
      </c>
      <c r="AQ233" s="3">
        <f>AP233</f>
        <v>0</v>
      </c>
      <c r="AR233" s="3">
        <f>AQ233</f>
        <v>0</v>
      </c>
      <c r="AS233" s="3">
        <f>AR233</f>
        <v>0</v>
      </c>
      <c r="AT233" s="3">
        <f>AS233</f>
        <v>0</v>
      </c>
      <c r="AU233" s="3">
        <f>AT233</f>
        <v>0</v>
      </c>
      <c r="AV233" s="3">
        <f>AU233</f>
        <v>0</v>
      </c>
      <c r="AW233" s="3">
        <f>AV233</f>
        <v>0</v>
      </c>
      <c r="AX233" s="3">
        <f>AW233</f>
        <v>0</v>
      </c>
      <c r="AY233" s="3">
        <f>AX233</f>
        <v>0</v>
      </c>
      <c r="AZ233" s="3">
        <f>AY233</f>
        <v>0</v>
      </c>
      <c r="BA233" s="3">
        <f>AZ233</f>
        <v>0</v>
      </c>
      <c r="BB233" s="3">
        <f>BA233</f>
        <v>0</v>
      </c>
      <c r="BC233" s="3">
        <f>BB233</f>
        <v>0</v>
      </c>
      <c r="BD233" s="3">
        <f>BC233</f>
        <v>0</v>
      </c>
      <c r="BE233" s="3">
        <f>BD233</f>
        <v>0</v>
      </c>
      <c r="BF233" s="3">
        <f>BE233</f>
        <v>0</v>
      </c>
      <c r="BG233" s="3">
        <f>BF233</f>
        <v>0</v>
      </c>
      <c r="BH233" s="3">
        <f>BG233</f>
        <v>0</v>
      </c>
      <c r="BI233" s="3">
        <f>BH233</f>
        <v>0</v>
      </c>
      <c r="BJ233" s="3">
        <f>BI233</f>
        <v>0</v>
      </c>
      <c r="BK233" s="3">
        <f>BJ233</f>
        <v>0</v>
      </c>
      <c r="BL233" s="3">
        <f>BK233</f>
        <v>0</v>
      </c>
      <c r="BM233" s="3">
        <f>BL233</f>
        <v>0</v>
      </c>
      <c r="BN233" s="3">
        <f>BM233</f>
        <v>0</v>
      </c>
      <c r="BO233" s="3">
        <f>BN233</f>
        <v>0</v>
      </c>
      <c r="BP233" s="3">
        <f>BO233</f>
        <v>0</v>
      </c>
      <c r="BQ233" s="3">
        <f>BP233</f>
        <v>0</v>
      </c>
      <c r="BR233" s="3">
        <f>BQ233</f>
        <v>0</v>
      </c>
      <c r="BS233" s="3">
        <f>BR233</f>
        <v>0</v>
      </c>
      <c r="BT233" s="3">
        <f>BS233</f>
        <v>0</v>
      </c>
      <c r="BU233" s="3">
        <f>BT233</f>
        <v>0</v>
      </c>
      <c r="BV233" s="3">
        <f>BU233</f>
        <v>0</v>
      </c>
      <c r="BW233" s="3">
        <f>BV233</f>
        <v>0</v>
      </c>
      <c r="BX233" s="3">
        <f>BW233</f>
        <v>0</v>
      </c>
      <c r="BY233" s="3">
        <f>BX233</f>
        <v>0</v>
      </c>
      <c r="BZ233" s="3">
        <f>BY233</f>
        <v>0</v>
      </c>
      <c r="CA233" s="3">
        <f>BZ233</f>
        <v>0</v>
      </c>
      <c r="CB233" s="3">
        <f>CA233</f>
        <v>0</v>
      </c>
      <c r="CC233" s="3">
        <f>CB233</f>
        <v>0</v>
      </c>
      <c r="CD233" s="3">
        <f>CC233</f>
        <v>0</v>
      </c>
      <c r="CE233" s="3">
        <f>CD233</f>
        <v>0</v>
      </c>
      <c r="CF233" s="3">
        <f>CE233</f>
        <v>0</v>
      </c>
      <c r="CG233" s="3">
        <f>CF233</f>
        <v>0</v>
      </c>
      <c r="CH233" s="3">
        <f>CG233</f>
        <v>0</v>
      </c>
      <c r="CI233" s="3">
        <f>CH233</f>
        <v>0</v>
      </c>
      <c r="CJ233" s="3">
        <f>CI233</f>
        <v>0</v>
      </c>
      <c r="CK233" s="3">
        <f>CJ233</f>
        <v>0</v>
      </c>
      <c r="CL233" s="3">
        <f>CK233</f>
        <v>0</v>
      </c>
      <c r="CM233" s="3">
        <f>CL233</f>
        <v>0</v>
      </c>
      <c r="CN233" s="3">
        <f>CM233</f>
        <v>0</v>
      </c>
      <c r="CO233" s="3">
        <f>CN233</f>
        <v>0</v>
      </c>
      <c r="CP233" s="3">
        <f>CO233</f>
        <v>0</v>
      </c>
      <c r="CQ233" s="3">
        <f>CP233</f>
        <v>0</v>
      </c>
      <c r="CR233" s="3">
        <f>CQ233</f>
        <v>0</v>
      </c>
      <c r="CS233" s="3">
        <f>CR233</f>
        <v>0</v>
      </c>
      <c r="CT233" s="3">
        <f>CS233</f>
        <v>0</v>
      </c>
      <c r="CU233" s="3">
        <f>CT233</f>
        <v>0</v>
      </c>
      <c r="CV233" s="3">
        <f>CU233</f>
        <v>0</v>
      </c>
      <c r="CW233" s="3">
        <f>CV233</f>
        <v>0</v>
      </c>
      <c r="CX233" s="3">
        <f>CW233</f>
        <v>0</v>
      </c>
      <c r="CY233" s="3">
        <f>CX233</f>
        <v>0</v>
      </c>
    </row>
    <row r="234">
      <c r="C234" s="26" t="inlineStr">
        <is>
          <t>Other non-current liabilities</t>
        </is>
      </c>
      <c r="D234" s="25">
        <f>INDEX('Inputs (2)'!$D$39:$AL$39,MATCH(D$7,'Inputs (2)'!$D$2:$AL$2,0))</f>
        <v>14532</v>
      </c>
      <c r="E234" s="25">
        <f>INDEX('Inputs (2)'!$D$39:$AL$39,MATCH(E$7,'Inputs (2)'!$D$2:$AL$2,0))</f>
        <v>14484</v>
      </c>
      <c r="F234" s="25">
        <f>INDEX('Inputs (2)'!$D$39:$AL$39,MATCH(F$7,'Inputs (2)'!$D$2:$AL$2,0))</f>
        <v>14841</v>
      </c>
      <c r="G234" s="25">
        <f>INDEX('Inputs (2)'!$D$39:$AL$39,MATCH(G$7,'Inputs (2)'!$D$2:$AL$2,0))</f>
        <v>14170</v>
      </c>
      <c r="H234" s="3">
        <f>G234</f>
        <v>14170</v>
      </c>
      <c r="I234" s="25">
        <f>INDEX('Inputs (2)'!$D$39:$AL$39,MATCH(I$7,'Inputs (2)'!$D$2:$AL$2,0))</f>
        <v>13630</v>
      </c>
      <c r="J234" s="25">
        <f>INDEX('Inputs (2)'!$D$39:$AL$39,MATCH(J$7,'Inputs (2)'!$D$2:$AL$2,0))</f>
        <v>12525</v>
      </c>
      <c r="K234" s="25">
        <f>INDEX('Inputs (2)'!$D$39:$AL$39,MATCH(K$7,'Inputs (2)'!$D$2:$AL$2,0))</f>
        <v>11289</v>
      </c>
      <c r="L234" s="25">
        <f>INDEX('Inputs (2)'!$D$39:$AL$39,MATCH(L$7,'Inputs (2)'!$D$2:$AL$2,0))</f>
        <v>10843</v>
      </c>
      <c r="M234" s="3">
        <f>L234</f>
        <v>10843</v>
      </c>
      <c r="N234" s="25">
        <f>INDEX('Inputs (2)'!$D$39:$AL$39,MATCH(N$7,'Inputs (2)'!$D$2:$AL$2,0))</f>
        <v>9177</v>
      </c>
      <c r="O234" s="25">
        <f>INDEX('Inputs (2)'!$D$39:$AL$39,MATCH(O$7,'Inputs (2)'!$D$2:$AL$2,0))</f>
        <v>9034</v>
      </c>
      <c r="P234" s="25">
        <f>INDEX('Inputs (2)'!$D$39:$AL$39,MATCH(P$7,'Inputs (2)'!$D$2:$AL$2,0))</f>
        <v>8691</v>
      </c>
      <c r="Q234" s="25">
        <f>INDEX('Inputs (2)'!$D$39:$AL$39,MATCH(Q$7,'Inputs (2)'!$D$2:$AL$2,0))</f>
        <v>9731</v>
      </c>
      <c r="R234" s="3">
        <f>Q234</f>
        <v>9731</v>
      </c>
      <c r="S234" s="25">
        <f>INDEX('Inputs (2)'!$D$39:$AL$39,MATCH(S$7,'Inputs (2)'!$D$2:$AL$2,0))</f>
        <v>10162</v>
      </c>
      <c r="T234" s="25">
        <f>INDEX('Inputs (2)'!$D$39:$AL$39,MATCH(T$7,'Inputs (2)'!$D$2:$AL$2,0))</f>
        <v>10817</v>
      </c>
      <c r="U234" s="25">
        <f>INDEX('Inputs (2)'!$D$39:$AL$39,MATCH(U$7,'Inputs (2)'!$D$2:$AL$2,0))</f>
        <v>12806</v>
      </c>
      <c r="V234" s="25">
        <f>INDEX('Inputs (2)'!$D$39:$AL$39,MATCH(V$7,'Inputs (2)'!$D$2:$AL$2,0))</f>
        <v>14261</v>
      </c>
      <c r="W234" s="3">
        <f>V234</f>
        <v>14261</v>
      </c>
      <c r="X234" s="25">
        <f>INDEX('Inputs (2)'!$D$39:$AL$39,MATCH(X$7,'Inputs (2)'!$D$2:$AL$2,0))</f>
        <v>14593</v>
      </c>
      <c r="Y234" s="25">
        <f>INDEX('Inputs (2)'!$D$39:$AL$39,MATCH(Y$7,'Inputs (2)'!$D$2:$AL$2,0))</f>
        <v>17840</v>
      </c>
      <c r="Z234" s="25">
        <f>INDEX('Inputs (2)'!$D$39:$AL$39,MATCH(Z$7,'Inputs (2)'!$D$2:$AL$2,0))</f>
        <v>18565</v>
      </c>
      <c r="AA234" s="25">
        <f>INDEX('Inputs (2)'!$D$39:$AL$39,MATCH(AA$7,'Inputs (2)'!$D$2:$AL$2,0))</f>
        <v>19569</v>
      </c>
      <c r="AB234" s="3">
        <f>AA234</f>
        <v>19569</v>
      </c>
      <c r="AC234" s="25">
        <f>INDEX('Inputs (2)'!$D$39:$AL$39,MATCH(AC$7,'Inputs (2)'!$D$2:$AL$2,0))</f>
        <v>19940</v>
      </c>
      <c r="AD234" s="25">
        <f>INDEX('Inputs (2)'!$D$39:$AL$39,MATCH(AD$7,'Inputs (2)'!$D$2:$AL$2,0))</f>
        <v>20487</v>
      </c>
      <c r="AE234" s="25">
        <f>INDEX('Inputs (2)'!$D$39:$AL$39,MATCH(AE$7,'Inputs (2)'!$D$2:$AL$2,0))</f>
        <v>21729</v>
      </c>
      <c r="AF234" s="25">
        <f>INDEX('Inputs (2)'!$D$39:$AL$39,MATCH(AF$7,'Inputs (2)'!$D$2:$AL$2,0))</f>
        <v>23227</v>
      </c>
      <c r="AG234" s="3">
        <f>AF234</f>
        <v>23227</v>
      </c>
      <c r="AH234" s="3">
        <f>INDEX('Inputs (2)'!$D$39:$AL$39,MATCH(AH$7,'Inputs (2)'!$D$2:$AL$2,0))</f>
        <v>24784</v>
      </c>
      <c r="AI234" s="3">
        <f>INDEX('Inputs (2)'!$D$39:$AL$39,MATCH(AI$7,'Inputs (2)'!$D$2:$AL$2,0))</f>
        <v>25580</v>
      </c>
      <c r="AJ234" s="3">
        <f>AI234</f>
        <v>25580</v>
      </c>
      <c r="AK234" s="3">
        <f>AJ234</f>
        <v>25580</v>
      </c>
      <c r="AL234" s="3">
        <f>AK234</f>
        <v>25580</v>
      </c>
      <c r="AM234" s="3">
        <f>AL234</f>
        <v>25580</v>
      </c>
      <c r="AN234" s="3">
        <f>AM234</f>
        <v>25580</v>
      </c>
      <c r="AO234" s="3">
        <f>AN234</f>
        <v>25580</v>
      </c>
      <c r="AP234" s="3">
        <f>AO234</f>
        <v>25580</v>
      </c>
      <c r="AQ234" s="3">
        <f>AP234</f>
        <v>25580</v>
      </c>
      <c r="AR234" s="3">
        <f>AQ234</f>
        <v>25580</v>
      </c>
      <c r="AS234" s="3">
        <f>AR234</f>
        <v>25580</v>
      </c>
      <c r="AT234" s="3">
        <f>AS234</f>
        <v>25580</v>
      </c>
      <c r="AU234" s="3">
        <f>AT234</f>
        <v>25580</v>
      </c>
      <c r="AV234" s="3">
        <f>AU234</f>
        <v>25580</v>
      </c>
      <c r="AW234" s="3">
        <f>AV234</f>
        <v>25580</v>
      </c>
      <c r="AX234" s="3">
        <f>AW234</f>
        <v>25580</v>
      </c>
      <c r="AY234" s="3">
        <f>AX234</f>
        <v>25580</v>
      </c>
      <c r="AZ234" s="3">
        <f>AY234</f>
        <v>25580</v>
      </c>
      <c r="BA234" s="3">
        <f>AZ234</f>
        <v>25580</v>
      </c>
      <c r="BB234" s="3">
        <f>BA234</f>
        <v>25580</v>
      </c>
      <c r="BC234" s="3">
        <f>BB234</f>
        <v>25580</v>
      </c>
      <c r="BD234" s="3">
        <f>BC234</f>
        <v>25580</v>
      </c>
      <c r="BE234" s="3">
        <f>BD234</f>
        <v>25580</v>
      </c>
      <c r="BF234" s="3">
        <f>BE234</f>
        <v>25580</v>
      </c>
      <c r="BG234" s="3">
        <f>BF234</f>
        <v>25580</v>
      </c>
      <c r="BH234" s="3">
        <f>BG234</f>
        <v>25580</v>
      </c>
      <c r="BI234" s="3">
        <f>BH234</f>
        <v>25580</v>
      </c>
      <c r="BJ234" s="3">
        <f>BI234</f>
        <v>25580</v>
      </c>
      <c r="BK234" s="3">
        <f>BJ234</f>
        <v>25580</v>
      </c>
      <c r="BL234" s="3">
        <f>BK234</f>
        <v>25580</v>
      </c>
      <c r="BM234" s="3">
        <f>BL234</f>
        <v>25580</v>
      </c>
      <c r="BN234" s="3">
        <f>BM234</f>
        <v>25580</v>
      </c>
      <c r="BO234" s="3">
        <f>BN234</f>
        <v>25580</v>
      </c>
      <c r="BP234" s="3">
        <f>BO234</f>
        <v>25580</v>
      </c>
      <c r="BQ234" s="3">
        <f>BP234</f>
        <v>25580</v>
      </c>
      <c r="BR234" s="3">
        <f>BQ234</f>
        <v>25580</v>
      </c>
      <c r="BS234" s="3">
        <f>BR234</f>
        <v>25580</v>
      </c>
      <c r="BT234" s="3">
        <f>BS234</f>
        <v>25580</v>
      </c>
      <c r="BU234" s="3">
        <f>BT234</f>
        <v>25580</v>
      </c>
      <c r="BV234" s="3">
        <f>BU234</f>
        <v>25580</v>
      </c>
      <c r="BW234" s="3">
        <f>BV234</f>
        <v>25580</v>
      </c>
      <c r="BX234" s="3">
        <f>BW234</f>
        <v>25580</v>
      </c>
      <c r="BY234" s="3">
        <f>BX234</f>
        <v>25580</v>
      </c>
      <c r="BZ234" s="3">
        <f>BY234</f>
        <v>25580</v>
      </c>
      <c r="CA234" s="3">
        <f>BZ234</f>
        <v>25580</v>
      </c>
      <c r="CB234" s="3">
        <f>CA234</f>
        <v>25580</v>
      </c>
      <c r="CC234" s="3">
        <f>CB234</f>
        <v>25580</v>
      </c>
      <c r="CD234" s="3">
        <f>CC234</f>
        <v>25580</v>
      </c>
      <c r="CE234" s="3">
        <f>CD234</f>
        <v>25580</v>
      </c>
      <c r="CF234" s="3">
        <f>CE234</f>
        <v>25580</v>
      </c>
      <c r="CG234" s="3">
        <f>CF234</f>
        <v>25580</v>
      </c>
      <c r="CH234" s="3">
        <f>CG234</f>
        <v>25580</v>
      </c>
      <c r="CI234" s="3">
        <f>CH234</f>
        <v>25580</v>
      </c>
      <c r="CJ234" s="3">
        <f>CI234</f>
        <v>25580</v>
      </c>
      <c r="CK234" s="3">
        <f>CJ234</f>
        <v>25580</v>
      </c>
      <c r="CL234" s="3">
        <f>CK234</f>
        <v>25580</v>
      </c>
      <c r="CM234" s="3">
        <f>CL234</f>
        <v>25580</v>
      </c>
      <c r="CN234" s="3">
        <f>CM234</f>
        <v>25580</v>
      </c>
      <c r="CO234" s="3">
        <f>CN234</f>
        <v>25580</v>
      </c>
      <c r="CP234" s="3">
        <f>CO234</f>
        <v>25580</v>
      </c>
      <c r="CQ234" s="3">
        <f>CP234</f>
        <v>25580</v>
      </c>
      <c r="CR234" s="3">
        <f>CQ234</f>
        <v>25580</v>
      </c>
      <c r="CS234" s="3">
        <f>CR234</f>
        <v>25580</v>
      </c>
      <c r="CT234" s="3">
        <f>CS234</f>
        <v>25580</v>
      </c>
      <c r="CU234" s="3">
        <f>CT234</f>
        <v>25580</v>
      </c>
      <c r="CV234" s="3">
        <f>CU234</f>
        <v>25580</v>
      </c>
      <c r="CW234" s="3">
        <f>CV234</f>
        <v>25580</v>
      </c>
      <c r="CX234" s="3">
        <f>CW234</f>
        <v>25580</v>
      </c>
      <c r="CY234" s="3">
        <f>CX234</f>
        <v>25580</v>
      </c>
    </row>
    <row r="235" hidden="1" outlineLevel="1" ht="12" customHeight="1">
      <c r="C235" s="38" t="inlineStr">
        <is>
          <t>%(Var.)</t>
        </is>
      </c>
      <c r="D235" s="3" t="n"/>
      <c r="E235" s="47">
        <f>(E234-D234)/D234</f>
        <v>-0.00330305532617671</v>
      </c>
      <c r="F235" s="47">
        <f>(F234-E234)/E234</f>
        <v>0.0246478873239437</v>
      </c>
      <c r="G235" s="47">
        <f>(G234-F234)/F234</f>
        <v>-0.0452125867529142</v>
      </c>
      <c r="H235" s="3" t="n"/>
      <c r="I235" s="47">
        <f>(I234-H234)/H234</f>
        <v>-0.0381086803105152</v>
      </c>
      <c r="J235" s="47">
        <f>(J234-I234)/I234</f>
        <v>-0.0810711665443874</v>
      </c>
      <c r="K235" s="47">
        <f>(K234-J234)/J234</f>
        <v>-0.0986826347305389</v>
      </c>
      <c r="L235" s="47">
        <f>(L234-K234)/K234</f>
        <v>-0.0395074851625476</v>
      </c>
      <c r="M235" s="3" t="n"/>
      <c r="N235" s="47">
        <f>(N234-M234)/M234</f>
        <v>-0.1536475145255</v>
      </c>
      <c r="O235" s="47">
        <f>(O234-N234)/N234</f>
        <v>-0.0155824343467364</v>
      </c>
      <c r="P235" s="47">
        <f>(P234-O234)/O234</f>
        <v>-0.0379676776621652</v>
      </c>
      <c r="Q235" s="47">
        <f>(Q234-P234)/P234</f>
        <v>0.119664020250834</v>
      </c>
      <c r="R235" s="3" t="n"/>
      <c r="S235" s="47">
        <f>(S234-R234)/R234</f>
        <v>0.0442914397287021</v>
      </c>
      <c r="T235" s="47">
        <f>(T234-S234)/S234</f>
        <v>0.0644558157842944</v>
      </c>
      <c r="U235" s="47">
        <f>(U234-T234)/T234</f>
        <v>0.183877230285661</v>
      </c>
      <c r="V235" s="47">
        <f>(V234-U234)/U234</f>
        <v>0.113618616273622</v>
      </c>
      <c r="W235" s="3" t="n"/>
      <c r="X235" s="47">
        <f>(X234-W234)/W234</f>
        <v>0.0232802748755347</v>
      </c>
      <c r="Y235" s="47">
        <f>(Y234-X234)/X234</f>
        <v>0.222503940245323</v>
      </c>
      <c r="Z235" s="47">
        <f>(Z234-Y234)/Y234</f>
        <v>0.0406390134529148</v>
      </c>
      <c r="AA235" s="47">
        <f>(AA234-Z234)/Z234</f>
        <v>0.0540802585510369</v>
      </c>
      <c r="AB235" s="3" t="n"/>
      <c r="AC235" s="47">
        <f>(AC234-AB234)/AB234</f>
        <v>0.0189585569012213</v>
      </c>
      <c r="AD235" s="47">
        <f>(AD234-AC234)/AC234</f>
        <v>0.027432296890672</v>
      </c>
      <c r="AE235" s="47">
        <f>(AE234-AD234)/AD234</f>
        <v>0.0606238102211158</v>
      </c>
      <c r="AF235" s="230">
        <f>(AF234-AE234)/AE234</f>
        <v>0.068940126098762</v>
      </c>
      <c r="AG235" s="3" t="n"/>
      <c r="AH235" s="230">
        <f>(AH234-AG234)/AG234</f>
        <v>0.0670340551943859</v>
      </c>
      <c r="AI235" s="230">
        <f>(AI234-AH234)/AH234</f>
        <v>0.0321174951581666</v>
      </c>
      <c r="AJ235" s="230" t="n"/>
      <c r="AK235" s="230" t="n"/>
      <c r="AL235" s="3" t="n"/>
      <c r="AM235" s="230" t="n"/>
      <c r="AN235" s="230" t="n"/>
      <c r="AO235" s="230" t="n"/>
      <c r="AP235" s="230" t="n"/>
      <c r="AQ235" s="3" t="n"/>
      <c r="AR235" s="230" t="n"/>
      <c r="AS235" s="230" t="n"/>
      <c r="AT235" s="230" t="n"/>
      <c r="AU235" s="230" t="n"/>
      <c r="AV235" s="3" t="n"/>
      <c r="AW235" s="230" t="n"/>
      <c r="AX235" s="230" t="n"/>
      <c r="AY235" s="230" t="n"/>
      <c r="AZ235" s="230" t="n"/>
      <c r="BA235" s="3" t="n"/>
      <c r="BB235" s="230" t="n"/>
      <c r="BC235" s="230" t="n"/>
      <c r="BD235" s="230" t="n"/>
      <c r="BE235" s="230" t="n"/>
      <c r="BF235" s="3" t="n"/>
      <c r="BG235" s="230" t="n"/>
      <c r="BH235" s="230" t="n"/>
      <c r="BI235" s="230" t="n"/>
      <c r="BJ235" s="230" t="n"/>
      <c r="BK235" s="3" t="n"/>
      <c r="BL235" s="230" t="n"/>
      <c r="BM235" s="230" t="n"/>
      <c r="BN235" s="230" t="n"/>
      <c r="BO235" s="230" t="n"/>
      <c r="BP235" s="3" t="n"/>
      <c r="BQ235" s="230" t="n"/>
      <c r="BR235" s="230" t="n"/>
      <c r="BS235" s="230" t="n"/>
      <c r="BT235" s="230" t="n"/>
      <c r="BU235" s="3" t="n"/>
      <c r="BV235" s="230" t="n"/>
      <c r="BW235" s="230" t="n"/>
      <c r="BX235" s="230" t="n"/>
      <c r="BY235" s="230" t="n"/>
      <c r="BZ235" s="3" t="n"/>
      <c r="CA235" s="230" t="n"/>
      <c r="CB235" s="230" t="n"/>
      <c r="CC235" s="230" t="n"/>
      <c r="CD235" s="230" t="n"/>
      <c r="CE235" s="3" t="n"/>
      <c r="CF235" s="230" t="n"/>
      <c r="CG235" s="230" t="n"/>
      <c r="CH235" s="230" t="n"/>
      <c r="CI235" s="230" t="n"/>
      <c r="CJ235" s="3" t="n"/>
      <c r="CK235" s="230" t="n"/>
      <c r="CL235" s="230" t="n"/>
      <c r="CM235" s="230" t="n"/>
      <c r="CN235" s="230" t="n"/>
      <c r="CO235" s="3" t="n"/>
      <c r="CP235" s="230" t="n"/>
      <c r="CQ235" s="230" t="n"/>
      <c r="CR235" s="230" t="n"/>
      <c r="CS235" s="230" t="n"/>
      <c r="CT235" s="3" t="n"/>
      <c r="CU235" s="230" t="n"/>
      <c r="CV235" s="230" t="n"/>
      <c r="CW235" s="230" t="n"/>
      <c r="CX235" s="230" t="n"/>
      <c r="CY235" s="3" t="n"/>
    </row>
    <row r="236" hidden="1" outlineLevel="1" ht="12" customHeight="1">
      <c r="C236" s="38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  <c r="AC236" s="3" t="n"/>
      <c r="AD236" s="3" t="n"/>
      <c r="AE236" s="3" t="n"/>
      <c r="AF236" s="3" t="n"/>
      <c r="AG236" s="3" t="n"/>
      <c r="AH236" s="3" t="n"/>
      <c r="AI236" s="3" t="n"/>
      <c r="AJ236" s="3" t="n"/>
      <c r="AK236" s="3" t="n"/>
      <c r="AL236" s="3" t="n"/>
      <c r="AM236" s="3" t="n"/>
      <c r="AN236" s="3" t="n"/>
      <c r="AO236" s="3" t="n"/>
      <c r="AP236" s="3" t="n"/>
      <c r="AQ236" s="3" t="n"/>
      <c r="AR236" s="3" t="n"/>
      <c r="AS236" s="3" t="n"/>
      <c r="AT236" s="3" t="n"/>
      <c r="AU236" s="3" t="n"/>
      <c r="AV236" s="3" t="n"/>
      <c r="AW236" s="3" t="n"/>
      <c r="AX236" s="3" t="n"/>
      <c r="AY236" s="3" t="n"/>
      <c r="AZ236" s="3" t="n"/>
      <c r="BA236" s="3" t="n"/>
      <c r="BB236" s="3" t="n"/>
      <c r="BC236" s="3" t="n"/>
      <c r="BD236" s="3" t="n"/>
      <c r="BE236" s="3" t="n"/>
      <c r="BF236" s="3" t="n"/>
      <c r="BG236" s="3" t="n"/>
      <c r="BH236" s="3" t="n"/>
      <c r="BI236" s="3" t="n"/>
      <c r="BJ236" s="3" t="n"/>
      <c r="BK236" s="3" t="n"/>
      <c r="BL236" s="3" t="n"/>
      <c r="BM236" s="3" t="n"/>
      <c r="BN236" s="3" t="n"/>
      <c r="BO236" s="3" t="n"/>
      <c r="BP236" s="3" t="n"/>
      <c r="BQ236" s="3" t="n"/>
      <c r="BR236" s="3" t="n"/>
      <c r="BS236" s="3" t="n"/>
      <c r="BT236" s="3" t="n"/>
      <c r="BU236" s="3" t="n"/>
      <c r="BV236" s="3" t="n"/>
      <c r="BW236" s="3" t="n"/>
      <c r="BX236" s="3" t="n"/>
      <c r="BY236" s="3" t="n"/>
      <c r="BZ236" s="3" t="n"/>
      <c r="CA236" s="3" t="n"/>
      <c r="CB236" s="3" t="n"/>
      <c r="CC236" s="3" t="n"/>
      <c r="CD236" s="3" t="n"/>
      <c r="CE236" s="3" t="n"/>
      <c r="CF236" s="3" t="n"/>
      <c r="CG236" s="3" t="n"/>
      <c r="CH236" s="3" t="n"/>
      <c r="CI236" s="3" t="n"/>
      <c r="CJ236" s="3" t="n"/>
      <c r="CK236" s="3" t="n"/>
      <c r="CL236" s="3" t="n"/>
      <c r="CM236" s="3" t="n"/>
      <c r="CN236" s="3" t="n"/>
      <c r="CO236" s="3" t="n"/>
      <c r="CP236" s="3" t="n"/>
      <c r="CQ236" s="3" t="n"/>
      <c r="CR236" s="3" t="n"/>
      <c r="CS236" s="3" t="n"/>
      <c r="CT236" s="3" t="n"/>
      <c r="CU236" s="3" t="n"/>
      <c r="CV236" s="3" t="n"/>
      <c r="CW236" s="3" t="n"/>
      <c r="CX236" s="3" t="n"/>
      <c r="CY236" s="3" t="n"/>
    </row>
    <row r="237" hidden="1" outlineLevel="1">
      <c r="C237" s="34" t="inlineStr">
        <is>
          <t>Contas a pagar pela aquisição de controladas</t>
        </is>
      </c>
      <c r="D237" s="6" t="n"/>
      <c r="E237" s="6" t="n"/>
      <c r="F237" s="6" t="n"/>
      <c r="G237" s="6" t="n"/>
      <c r="H237" s="3" t="n"/>
      <c r="I237" s="6" t="n"/>
      <c r="J237" s="6" t="n"/>
      <c r="K237" s="6" t="n"/>
      <c r="L237" s="6" t="n"/>
      <c r="M237" s="3" t="n"/>
      <c r="N237" s="6" t="n"/>
      <c r="O237" s="6" t="n"/>
      <c r="P237" s="6" t="n"/>
      <c r="Q237" s="6" t="n"/>
      <c r="R237" s="3" t="n"/>
      <c r="S237" s="6" t="n"/>
      <c r="T237" s="6" t="n"/>
      <c r="U237" s="6" t="n"/>
      <c r="V237" s="6" t="n"/>
      <c r="W237" s="3" t="n"/>
      <c r="X237" s="6" t="n"/>
      <c r="Y237" s="6" t="n"/>
      <c r="Z237" s="6" t="n"/>
      <c r="AA237" s="6" t="n"/>
      <c r="AB237" s="3" t="n"/>
      <c r="AC237" s="6" t="n"/>
      <c r="AD237" s="6" t="n"/>
      <c r="AE237" s="6" t="n"/>
      <c r="AF237" s="6" t="n"/>
      <c r="AG237" s="3" t="n"/>
      <c r="AH237" s="3" t="n"/>
      <c r="AI237" s="3" t="n"/>
      <c r="AJ237" s="3" t="n"/>
      <c r="AK237" s="3" t="n"/>
      <c r="AL237" s="3" t="n"/>
      <c r="AM237" s="3" t="n"/>
      <c r="AN237" s="3" t="n"/>
      <c r="AO237" s="3" t="n"/>
      <c r="AP237" s="3" t="n"/>
      <c r="AQ237" s="3" t="n"/>
      <c r="AR237" s="3" t="n"/>
      <c r="AS237" s="3" t="n"/>
      <c r="AT237" s="3" t="n"/>
      <c r="AU237" s="3" t="n"/>
      <c r="AV237" s="3" t="n"/>
      <c r="AW237" s="3" t="n"/>
      <c r="AX237" s="3" t="n"/>
      <c r="AY237" s="3" t="n"/>
      <c r="AZ237" s="3" t="n"/>
      <c r="BA237" s="3" t="n"/>
      <c r="BB237" s="3" t="n"/>
      <c r="BC237" s="3" t="n"/>
      <c r="BD237" s="3" t="n"/>
      <c r="BE237" s="3" t="n"/>
      <c r="BF237" s="3" t="n"/>
      <c r="BG237" s="3" t="n"/>
      <c r="BH237" s="3" t="n"/>
      <c r="BI237" s="3" t="n"/>
      <c r="BJ237" s="3" t="n"/>
      <c r="BK237" s="3" t="n"/>
      <c r="BL237" s="3" t="n"/>
      <c r="BM237" s="3" t="n"/>
      <c r="BN237" s="3" t="n"/>
      <c r="BO237" s="3" t="n"/>
      <c r="BP237" s="3" t="n"/>
      <c r="BQ237" s="3" t="n"/>
      <c r="BR237" s="3" t="n"/>
      <c r="BS237" s="3" t="n"/>
      <c r="BT237" s="3" t="n"/>
      <c r="BU237" s="3" t="n"/>
      <c r="BV237" s="3" t="n"/>
      <c r="BW237" s="3" t="n"/>
      <c r="BX237" s="3" t="n"/>
      <c r="BY237" s="3" t="n"/>
      <c r="BZ237" s="3" t="n"/>
      <c r="CA237" s="3" t="n"/>
      <c r="CB237" s="3" t="n"/>
      <c r="CC237" s="3" t="n"/>
      <c r="CD237" s="3" t="n"/>
      <c r="CE237" s="3" t="n"/>
      <c r="CF237" s="3" t="n"/>
      <c r="CG237" s="3" t="n"/>
      <c r="CH237" s="3" t="n"/>
      <c r="CI237" s="3" t="n"/>
      <c r="CJ237" s="3" t="n"/>
      <c r="CK237" s="3" t="n"/>
      <c r="CL237" s="3" t="n"/>
      <c r="CM237" s="3" t="n"/>
      <c r="CN237" s="3" t="n"/>
      <c r="CO237" s="3" t="n"/>
      <c r="CP237" s="3" t="n"/>
      <c r="CQ237" s="3" t="n"/>
      <c r="CR237" s="3" t="n"/>
      <c r="CS237" s="3" t="n"/>
      <c r="CT237" s="3" t="n"/>
      <c r="CU237" s="3" t="n"/>
      <c r="CV237" s="3" t="n"/>
      <c r="CW237" s="3" t="n"/>
      <c r="CX237" s="3" t="n"/>
      <c r="CY237" s="3" t="n"/>
    </row>
    <row r="238" hidden="1" outlineLevel="1">
      <c r="C238" s="34" t="inlineStr">
        <is>
          <t xml:space="preserve">Outras Obrigações </t>
        </is>
      </c>
      <c r="D238" s="6" t="n"/>
      <c r="E238" s="6" t="n"/>
      <c r="F238" s="6" t="n"/>
      <c r="G238" s="6" t="n"/>
      <c r="H238" s="3" t="n"/>
      <c r="I238" s="6" t="n"/>
      <c r="J238" s="6" t="n"/>
      <c r="K238" s="6" t="n"/>
      <c r="L238" s="6" t="n"/>
      <c r="M238" s="3" t="n"/>
      <c r="N238" s="6" t="n"/>
      <c r="O238" s="6" t="n"/>
      <c r="P238" s="6" t="n"/>
      <c r="Q238" s="6" t="n"/>
      <c r="R238" s="3" t="n"/>
      <c r="S238" s="6" t="n"/>
      <c r="T238" s="6" t="n"/>
      <c r="U238" s="6" t="n"/>
      <c r="V238" s="6" t="n"/>
      <c r="W238" s="3" t="n"/>
      <c r="X238" s="6" t="n"/>
      <c r="Y238" s="6" t="n"/>
      <c r="Z238" s="6" t="n"/>
      <c r="AA238" s="6" t="n"/>
      <c r="AB238" s="3" t="n"/>
      <c r="AC238" s="6" t="n"/>
      <c r="AD238" s="6" t="n"/>
      <c r="AE238" s="6" t="n"/>
      <c r="AF238" s="6" t="n"/>
      <c r="AG238" s="3" t="n"/>
      <c r="AH238" s="3" t="n"/>
      <c r="AI238" s="3" t="n"/>
      <c r="AJ238" s="3" t="n"/>
      <c r="AK238" s="3" t="n"/>
      <c r="AL238" s="3" t="n"/>
      <c r="AM238" s="3" t="n"/>
      <c r="AN238" s="3" t="n"/>
      <c r="AO238" s="3" t="n"/>
      <c r="AP238" s="3" t="n"/>
      <c r="AQ238" s="3" t="n"/>
      <c r="AR238" s="3" t="n"/>
      <c r="AS238" s="3" t="n"/>
      <c r="AT238" s="3" t="n"/>
      <c r="AU238" s="3" t="n"/>
      <c r="AV238" s="3" t="n"/>
      <c r="AW238" s="3" t="n"/>
      <c r="AX238" s="3" t="n"/>
      <c r="AY238" s="3" t="n"/>
      <c r="AZ238" s="3" t="n"/>
      <c r="BA238" s="3" t="n"/>
      <c r="BB238" s="3" t="n"/>
      <c r="BC238" s="3" t="n"/>
      <c r="BD238" s="3" t="n"/>
      <c r="BE238" s="3" t="n"/>
      <c r="BF238" s="3" t="n"/>
      <c r="BG238" s="3" t="n"/>
      <c r="BH238" s="3" t="n"/>
      <c r="BI238" s="3" t="n"/>
      <c r="BJ238" s="3" t="n"/>
      <c r="BK238" s="3" t="n"/>
      <c r="BL238" s="3" t="n"/>
      <c r="BM238" s="3" t="n"/>
      <c r="BN238" s="3" t="n"/>
      <c r="BO238" s="3" t="n"/>
      <c r="BP238" s="3" t="n"/>
      <c r="BQ238" s="3" t="n"/>
      <c r="BR238" s="3" t="n"/>
      <c r="BS238" s="3" t="n"/>
      <c r="BT238" s="3" t="n"/>
      <c r="BU238" s="3" t="n"/>
      <c r="BV238" s="3" t="n"/>
      <c r="BW238" s="3" t="n"/>
      <c r="BX238" s="3" t="n"/>
      <c r="BY238" s="3" t="n"/>
      <c r="BZ238" s="3" t="n"/>
      <c r="CA238" s="3" t="n"/>
      <c r="CB238" s="3" t="n"/>
      <c r="CC238" s="3" t="n"/>
      <c r="CD238" s="3" t="n"/>
      <c r="CE238" s="3" t="n"/>
      <c r="CF238" s="3" t="n"/>
      <c r="CG238" s="3" t="n"/>
      <c r="CH238" s="3" t="n"/>
      <c r="CI238" s="3" t="n"/>
      <c r="CJ238" s="3" t="n"/>
      <c r="CK238" s="3" t="n"/>
      <c r="CL238" s="3" t="n"/>
      <c r="CM238" s="3" t="n"/>
      <c r="CN238" s="3" t="n"/>
      <c r="CO238" s="3" t="n"/>
      <c r="CP238" s="3" t="n"/>
      <c r="CQ238" s="3" t="n"/>
      <c r="CR238" s="3" t="n"/>
      <c r="CS238" s="3" t="n"/>
      <c r="CT238" s="3" t="n"/>
      <c r="CU238" s="3" t="n"/>
      <c r="CV238" s="3" t="n"/>
      <c r="CW238" s="3" t="n"/>
      <c r="CX238" s="3" t="n"/>
      <c r="CY238" s="3" t="n"/>
    </row>
    <row r="239" hidden="1" outlineLevel="1">
      <c r="C239" s="34" t="inlineStr">
        <is>
          <t xml:space="preserve">Provisão de Risco Cíveis, Trabalhistas e Tributários </t>
        </is>
      </c>
      <c r="D239" s="6" t="n"/>
      <c r="E239" s="6" t="n"/>
      <c r="F239" s="6" t="n"/>
      <c r="G239" s="6" t="n"/>
      <c r="H239" s="3" t="n"/>
      <c r="I239" s="6" t="n"/>
      <c r="J239" s="6" t="n"/>
      <c r="K239" s="6" t="n"/>
      <c r="L239" s="6" t="n"/>
      <c r="M239" s="3" t="n"/>
      <c r="N239" s="6" t="n"/>
      <c r="O239" s="6" t="n"/>
      <c r="P239" s="6" t="n"/>
      <c r="Q239" s="6" t="n"/>
      <c r="R239" s="3" t="n"/>
      <c r="S239" s="6" t="n"/>
      <c r="T239" s="6" t="n"/>
      <c r="U239" s="6" t="n"/>
      <c r="V239" s="6" t="n"/>
      <c r="W239" s="3" t="n"/>
      <c r="X239" s="6" t="n"/>
      <c r="Y239" s="6" t="n"/>
      <c r="Z239" s="6" t="n"/>
      <c r="AA239" s="6" t="n"/>
      <c r="AB239" s="3" t="n"/>
      <c r="AC239" s="6" t="n"/>
      <c r="AD239" s="6" t="n"/>
      <c r="AE239" s="6" t="n"/>
      <c r="AF239" s="6" t="n"/>
      <c r="AG239" s="3" t="n"/>
      <c r="AH239" s="3" t="n"/>
      <c r="AI239" s="3" t="n"/>
      <c r="AJ239" s="3" t="n"/>
      <c r="AK239" s="3" t="n"/>
      <c r="AL239" s="3" t="n"/>
      <c r="AM239" s="3" t="n"/>
      <c r="AN239" s="3" t="n"/>
      <c r="AO239" s="3" t="n"/>
      <c r="AP239" s="3" t="n"/>
      <c r="AQ239" s="3" t="n"/>
      <c r="AR239" s="3" t="n"/>
      <c r="AS239" s="3" t="n"/>
      <c r="AT239" s="3" t="n"/>
      <c r="AU239" s="3" t="n"/>
      <c r="AV239" s="3" t="n"/>
      <c r="AW239" s="3" t="n"/>
      <c r="AX239" s="3" t="n"/>
      <c r="AY239" s="3" t="n"/>
      <c r="AZ239" s="3" t="n"/>
      <c r="BA239" s="3" t="n"/>
      <c r="BB239" s="3" t="n"/>
      <c r="BC239" s="3" t="n"/>
      <c r="BD239" s="3" t="n"/>
      <c r="BE239" s="3" t="n"/>
      <c r="BF239" s="3" t="n"/>
      <c r="BG239" s="3" t="n"/>
      <c r="BH239" s="3" t="n"/>
      <c r="BI239" s="3" t="n"/>
      <c r="BJ239" s="3" t="n"/>
      <c r="BK239" s="3" t="n"/>
      <c r="BL239" s="3" t="n"/>
      <c r="BM239" s="3" t="n"/>
      <c r="BN239" s="3" t="n"/>
      <c r="BO239" s="3" t="n"/>
      <c r="BP239" s="3" t="n"/>
      <c r="BQ239" s="3" t="n"/>
      <c r="BR239" s="3" t="n"/>
      <c r="BS239" s="3" t="n"/>
      <c r="BT239" s="3" t="n"/>
      <c r="BU239" s="3" t="n"/>
      <c r="BV239" s="3" t="n"/>
      <c r="BW239" s="3" t="n"/>
      <c r="BX239" s="3" t="n"/>
      <c r="BY239" s="3" t="n"/>
      <c r="BZ239" s="3" t="n"/>
      <c r="CA239" s="3" t="n"/>
      <c r="CB239" s="3" t="n"/>
      <c r="CC239" s="3" t="n"/>
      <c r="CD239" s="3" t="n"/>
      <c r="CE239" s="3" t="n"/>
      <c r="CF239" s="3" t="n"/>
      <c r="CG239" s="3" t="n"/>
      <c r="CH239" s="3" t="n"/>
      <c r="CI239" s="3" t="n"/>
      <c r="CJ239" s="3" t="n"/>
      <c r="CK239" s="3" t="n"/>
      <c r="CL239" s="3" t="n"/>
      <c r="CM239" s="3" t="n"/>
      <c r="CN239" s="3" t="n"/>
      <c r="CO239" s="3" t="n"/>
      <c r="CP239" s="3" t="n"/>
      <c r="CQ239" s="3" t="n"/>
      <c r="CR239" s="3" t="n"/>
      <c r="CS239" s="3" t="n"/>
      <c r="CT239" s="3" t="n"/>
      <c r="CU239" s="3" t="n"/>
      <c r="CV239" s="3" t="n"/>
      <c r="CW239" s="3" t="n"/>
      <c r="CX239" s="3" t="n"/>
      <c r="CY239" s="3" t="n"/>
    </row>
    <row r="240" hidden="1" outlineLevel="1">
      <c r="C240" s="34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  <c r="AB240" s="3" t="n"/>
      <c r="AC240" s="3" t="n"/>
      <c r="AD240" s="3" t="n"/>
      <c r="AE240" s="3" t="n"/>
      <c r="AF240" s="3" t="n"/>
      <c r="AG240" s="3" t="n"/>
      <c r="AH240" s="3" t="n"/>
      <c r="AI240" s="3" t="n"/>
      <c r="AJ240" s="3" t="n"/>
      <c r="AK240" s="3" t="n"/>
      <c r="AL240" s="3" t="n"/>
      <c r="AM240" s="3" t="n"/>
      <c r="AN240" s="3" t="n"/>
      <c r="AO240" s="3" t="n"/>
      <c r="AP240" s="3" t="n"/>
      <c r="AQ240" s="3" t="n"/>
      <c r="AR240" s="3" t="n"/>
      <c r="AS240" s="3" t="n"/>
      <c r="AT240" s="3" t="n"/>
      <c r="AU240" s="3" t="n"/>
      <c r="AV240" s="3" t="n"/>
      <c r="AW240" s="3" t="n"/>
      <c r="AX240" s="3" t="n"/>
      <c r="AY240" s="3" t="n"/>
      <c r="AZ240" s="3" t="n"/>
      <c r="BA240" s="3" t="n"/>
      <c r="BB240" s="3" t="n"/>
      <c r="BC240" s="3" t="n"/>
      <c r="BD240" s="3" t="n"/>
      <c r="BE240" s="3" t="n"/>
      <c r="BF240" s="3" t="n"/>
      <c r="BG240" s="3" t="n"/>
      <c r="BH240" s="3" t="n"/>
      <c r="BI240" s="3" t="n"/>
      <c r="BJ240" s="3" t="n"/>
      <c r="BK240" s="3" t="n"/>
      <c r="BL240" s="3" t="n"/>
      <c r="BM240" s="3" t="n"/>
      <c r="BN240" s="3" t="n"/>
      <c r="BO240" s="3" t="n"/>
      <c r="BP240" s="3" t="n"/>
      <c r="BQ240" s="3" t="n"/>
      <c r="BR240" s="3" t="n"/>
      <c r="BS240" s="3" t="n"/>
      <c r="BT240" s="3" t="n"/>
      <c r="BU240" s="3" t="n"/>
      <c r="BV240" s="3" t="n"/>
      <c r="BW240" s="3" t="n"/>
      <c r="BX240" s="3" t="n"/>
      <c r="BY240" s="3" t="n"/>
      <c r="BZ240" s="3" t="n"/>
      <c r="CA240" s="3" t="n"/>
      <c r="CB240" s="3" t="n"/>
      <c r="CC240" s="3" t="n"/>
      <c r="CD240" s="3" t="n"/>
      <c r="CE240" s="3" t="n"/>
      <c r="CF240" s="3" t="n"/>
      <c r="CG240" s="3" t="n"/>
      <c r="CH240" s="3" t="n"/>
      <c r="CI240" s="3" t="n"/>
      <c r="CJ240" s="3" t="n"/>
      <c r="CK240" s="3" t="n"/>
      <c r="CL240" s="3" t="n"/>
      <c r="CM240" s="3" t="n"/>
      <c r="CN240" s="3" t="n"/>
      <c r="CO240" s="3" t="n"/>
      <c r="CP240" s="3" t="n"/>
      <c r="CQ240" s="3" t="n"/>
      <c r="CR240" s="3" t="n"/>
      <c r="CS240" s="3" t="n"/>
      <c r="CT240" s="3" t="n"/>
      <c r="CU240" s="3" t="n"/>
      <c r="CV240" s="3" t="n"/>
      <c r="CW240" s="3" t="n"/>
      <c r="CX240" s="3" t="n"/>
      <c r="CY240" s="3" t="n"/>
    </row>
    <row r="241" collapsed="1" customFormat="1" s="17">
      <c r="A241" s="13" t="n"/>
      <c r="B241" s="13" t="n"/>
      <c r="C241" s="27" t="inlineStr">
        <is>
          <t>Total Liabilities</t>
        </is>
      </c>
      <c r="D241" s="16">
        <f>SUM(D192+D196+D198+D199+D206+D207+D208+D211+D229+D232+D233+D234)</f>
        <v>26518</v>
      </c>
      <c r="E241" s="16">
        <f>SUM(E192+E196+E198+E199+E206+E207+E208+E211+E229+E232+E233+E234)</f>
        <v>26754</v>
      </c>
      <c r="F241" s="16">
        <f>SUM(F192+F196+F198+F199+F206+F207+F208+F211+F229+F232+F233+F234)</f>
        <v>28143</v>
      </c>
      <c r="G241" s="16">
        <f>SUM(G192+G196+G198+G199+G206+G207+G208+G211+G229+G232+G233+G234)</f>
        <v>28418</v>
      </c>
      <c r="H241" s="16">
        <f>SUM(H192,H196,H198,H199,H206,H207,H211,H208,H229,H232,H233,H234)</f>
        <v>28418</v>
      </c>
      <c r="I241" s="16">
        <f>SUM(I192+I196+I198+I199+I206+I207+I208+I211+I229+I232+I233+I234)</f>
        <v>28507</v>
      </c>
      <c r="J241" s="16">
        <f>SUM(J192+J196+J198+J199+J206+J207+J208+J211+J229+J232+J233+J234)</f>
        <v>28896</v>
      </c>
      <c r="K241" s="16">
        <f>SUM(K192+K196+K198+K199+K206+K207+K208+K211+K229+K232+K233+K234)</f>
        <v>29340</v>
      </c>
      <c r="L241" s="16">
        <f>SUM(L192+L196+L198+L199+L206+L207+L208+L211+L229+L232+L233+L234)</f>
        <v>30548</v>
      </c>
      <c r="M241" s="16">
        <f>SUM(M192,M196,M198,M199,M206,M207,M211,M208,M229,M232,M233,M234)</f>
        <v>30548</v>
      </c>
      <c r="N241" s="16">
        <f>SUM(N192+N196+N198+N199+N206+N207+N208+N211+N229+N232+N233+N234)</f>
        <v>30632</v>
      </c>
      <c r="O241" s="16">
        <f>SUM(O192+O196+O198+O199+O206+O207+O208+O211+O229+O232+O233+O234)</f>
        <v>30855</v>
      </c>
      <c r="P241" s="16">
        <f>SUM(P192+P196+P198+P199+P206+P207+P208+P211+P229+P232+P233+P234)</f>
        <v>33302</v>
      </c>
      <c r="Q241" s="16">
        <f>SUM(Q192+Q196+Q198+Q199+Q206+Q207+Q208+Q211+Q229+Q232+Q233+Q234)</f>
        <v>36440</v>
      </c>
      <c r="R241" s="16">
        <f>SUM(R192,R196,R198,R199,R206,R207,R211,R208,R229,R232,R233,R234)</f>
        <v>36440</v>
      </c>
      <c r="S241" s="16">
        <f>SUM(S192+S196+S198+S199+S206+S207+S208+S211+S229+S232+S233+S234)</f>
        <v>37598</v>
      </c>
      <c r="T241" s="16">
        <f>SUM(T192+T196+T198+T199+T206+T207+T208+T211+T229+T232+T233+T234)</f>
        <v>38409</v>
      </c>
      <c r="U241" s="16">
        <f>SUM(U192+U196+U198+U199+U206+U207+U208+U211+U229+U232+U233+U234)</f>
        <v>39446</v>
      </c>
      <c r="V241" s="16">
        <f>SUM(V192+V196+V198+V199+V206+V207+V208+V211+V229+V232+V233+V234)</f>
        <v>43009</v>
      </c>
      <c r="W241" s="16">
        <f>SUM(W192,W196,W198,W199,W206,W207,W211,W208,W229,W232,W233,W234)</f>
        <v>43009</v>
      </c>
      <c r="X241" s="16">
        <f>SUM(X192+X196+X198+X199+X206+X207+X208+X211+X229+X232+X233+X234)</f>
        <v>44046</v>
      </c>
      <c r="Y241" s="16">
        <f>SUM(Y192+Y196+Y198+Y199+Y206+Y207+Y208+Y211+Y229+Y232+Y233+Y234)</f>
        <v>45569</v>
      </c>
      <c r="Z241" s="16">
        <f>SUM(Z192+Z196+Z198+Z199+Z206+Z207+Z208+Z211+Z229+Z232+Z233+Z234)</f>
        <v>49142</v>
      </c>
      <c r="AA241" s="16">
        <f>SUM(AA192+AA196+AA198+AA199+AA206+AA207+AA208+AA211+AA229+AA232+AA233+AA234)</f>
        <v>48390</v>
      </c>
      <c r="AB241" s="16">
        <f>SUM(AB192,AB196,AB198,AB199,AB206,AB207,AB211,AB208,AB229,AB232,AB233,AB234)</f>
        <v>48390</v>
      </c>
      <c r="AC241" s="16">
        <f>SUM(AC192+AC196+AC198+AC199+AC206+AC207+AC208+AC211+AC229+AC232+AC233+AC234)</f>
        <v>49693</v>
      </c>
      <c r="AD241" s="16">
        <f>SUM(AD192+AD196+AD198+AD199+AD206+AD207+AD208+AD211+AD229+AD232+AD233+AD234)</f>
        <v>50495</v>
      </c>
      <c r="AE241" s="16">
        <f>SUM(AE192+AE196+AE198+AE199+AE206+AE207+AE208+AE211+AE229+AE232+AE233+AE234)</f>
        <v>53019</v>
      </c>
      <c r="AF241" s="16">
        <f>SUM(AF192+AF196+AF198+AF199+AF206+AF207+AF208+AF211+AF229+AF232+AF233+AF234)</f>
        <v>54941</v>
      </c>
      <c r="AG241" s="16">
        <f>SUM(AG192,AG196,AG198,AG199,AG206,AG207,AG211,AG208,AG229,AG232,AG233,AG234)</f>
        <v>54941</v>
      </c>
      <c r="AH241" s="16">
        <f>SUM(AH192+AH196+AH198+AH199+AH206+AH207+AH208+AH211+AH229+AH232+AH233+AH234)</f>
        <v>58922</v>
      </c>
      <c r="AI241" s="16">
        <f>SUM(AI192+AI196+AI198+AI199+AI206+AI207+AI208+AI211+AI229+AI232+AI233+AI234)</f>
        <v>61005</v>
      </c>
      <c r="AJ241" s="16">
        <f>SUM(AJ192+AJ196+AJ198+AJ199+AJ206+AJ207+AJ208+AJ211+AJ229+AJ232+AJ233+AJ234)</f>
        <v>45681</v>
      </c>
      <c r="AK241" s="16">
        <f>SUM(AK192+AK196+AK198+AK199+AK206+AK207+AK208+AK211+AK229+AK232+AK233+AK234)</f>
        <v>45681</v>
      </c>
      <c r="AL241" s="16">
        <f>SUM(AL192,AL196,AL198,AL199,AL206,AL207,AL211,AL208,AL229,AL232,AL233,AL234)</f>
        <v>45681</v>
      </c>
      <c r="AM241" s="16" t="e">
        <f>SUM(AM192+AM196+AM198+AM199+AM206+AM207+AM208+AM211+AM229+AM232+AM233+AM234)</f>
        <v>#DIV/0!</v>
      </c>
      <c r="AN241" s="16">
        <f>SUM(AN192+AN196+AN198+AN199+AN206+AN207+AN208+AN211+AN229+AN232+AN233+AN234)</f>
        <v>45681</v>
      </c>
      <c r="AO241" s="16" t="e">
        <f>SUM(AO192+AO196+AO198+AO199+AO206+AO207+AO208+AO211+AO229+AO232+AO233+AO234)</f>
        <v>#DIV/0!</v>
      </c>
      <c r="AP241" s="16" t="e">
        <f>SUM(AP192+AP196+AP198+AP199+AP206+AP207+AP208+AP211+AP229+AP232+AP233+AP234)</f>
        <v>#DIV/0!</v>
      </c>
      <c r="AQ241" s="16" t="e">
        <f>SUM(AQ192,AQ196,AQ198,AQ199,AQ206,AQ207,AQ211,AQ208,AQ229,AQ232,AQ233,AQ234)</f>
        <v>#DIV/0!</v>
      </c>
      <c r="AR241" s="16" t="e">
        <f>SUM(AR192+AR196+AR198+AR199+AR206+AR207+AR208+AR211+AR229+AR232+AR233+AR234)</f>
        <v>#DIV/0!</v>
      </c>
      <c r="AS241" s="16" t="e">
        <f>SUM(AS192+AS196+AS198+AS199+AS206+AS207+AS208+AS211+AS229+AS232+AS233+AS234)</f>
        <v>#DIV/0!</v>
      </c>
      <c r="AT241" s="16" t="e">
        <f>SUM(AT192+AT196+AT198+AT199+AT206+AT207+AT208+AT211+AT229+AT232+AT233+AT234)</f>
        <v>#DIV/0!</v>
      </c>
      <c r="AU241" s="16" t="e">
        <f>SUM(AU192+AU196+AU198+AU199+AU206+AU207+AU208+AU211+AU229+AU232+AU233+AU234)</f>
        <v>#DIV/0!</v>
      </c>
      <c r="AV241" s="16" t="e">
        <f>SUM(AV192,AV196,AV198,AV199,AV206,AV207,AV211,AV208,AV229,AV232,AV233,AV234)</f>
        <v>#DIV/0!</v>
      </c>
      <c r="AW241" s="16" t="e">
        <f>SUM(AW192+AW196+AW198+AW199+AW206+AW207+AW208+AW211+AW229+AW232+AW233+AW234)</f>
        <v>#DIV/0!</v>
      </c>
      <c r="AX241" s="16" t="e">
        <f>SUM(AX192+AX196+AX198+AX199+AX206+AX207+AX208+AX211+AX229+AX232+AX233+AX234)</f>
        <v>#DIV/0!</v>
      </c>
      <c r="AY241" s="16" t="e">
        <f>SUM(AY192+AY196+AY198+AY199+AY206+AY207+AY208+AY211+AY229+AY232+AY233+AY234)</f>
        <v>#DIV/0!</v>
      </c>
      <c r="AZ241" s="16" t="e">
        <f>SUM(AZ192+AZ196+AZ198+AZ199+AZ206+AZ207+AZ208+AZ211+AZ229+AZ232+AZ233+AZ234)</f>
        <v>#DIV/0!</v>
      </c>
      <c r="BA241" s="16" t="e">
        <f>SUM(BA192,BA196,BA198,BA199,BA206,BA207,BA211,BA208,BA229,BA232,BA233,BA234)</f>
        <v>#DIV/0!</v>
      </c>
      <c r="BB241" s="16" t="e">
        <f>SUM(BB192+BB196+BB198+BB199+BB206+BB207+BB208+BB211+BB229+BB232+BB233+BB234)</f>
        <v>#DIV/0!</v>
      </c>
      <c r="BC241" s="16" t="e">
        <f>SUM(BC192+BC196+BC198+BC199+BC206+BC207+BC208+BC211+BC229+BC232+BC233+BC234)</f>
        <v>#DIV/0!</v>
      </c>
      <c r="BD241" s="16" t="e">
        <f>SUM(BD192+BD196+BD198+BD199+BD206+BD207+BD208+BD211+BD229+BD232+BD233+BD234)</f>
        <v>#DIV/0!</v>
      </c>
      <c r="BE241" s="16" t="e">
        <f>SUM(BE192+BE196+BE198+BE199+BE206+BE207+BE208+BE211+BE229+BE232+BE233+BE234)</f>
        <v>#DIV/0!</v>
      </c>
      <c r="BF241" s="16" t="e">
        <f>SUM(BF192,BF196,BF198,BF199,BF206,BF207,BF211,BF208,BF229,BF232,BF233,BF234)</f>
        <v>#DIV/0!</v>
      </c>
      <c r="BG241" s="16" t="e">
        <f>SUM(BG192+BG196+BG198+BG199+BG206+BG207+BG208+BG211+BG229+BG232+BG233+BG234)</f>
        <v>#DIV/0!</v>
      </c>
      <c r="BH241" s="16" t="e">
        <f>SUM(BH192+BH196+BH198+BH199+BH206+BH207+BH208+BH211+BH229+BH232+BH233+BH234)</f>
        <v>#DIV/0!</v>
      </c>
      <c r="BI241" s="16" t="e">
        <f>SUM(BI192+BI196+BI198+BI199+BI206+BI207+BI208+BI211+BI229+BI232+BI233+BI234)</f>
        <v>#DIV/0!</v>
      </c>
      <c r="BJ241" s="16" t="e">
        <f>SUM(BJ192+BJ196+BJ198+BJ199+BJ206+BJ207+BJ208+BJ211+BJ229+BJ232+BJ233+BJ234)</f>
        <v>#DIV/0!</v>
      </c>
      <c r="BK241" s="16" t="e">
        <f>SUM(BK192,BK196,BK198,BK199,BK206,BK207,BK211,BK208,BK229,BK232,BK233,BK234)</f>
        <v>#DIV/0!</v>
      </c>
      <c r="BL241" s="16" t="e">
        <f>SUM(BL192+BL196+BL198+BL199+BL206+BL207+BL208+BL211+BL229+BL232+BL233+BL234)</f>
        <v>#DIV/0!</v>
      </c>
      <c r="BM241" s="16" t="e">
        <f>SUM(BM192+BM196+BM198+BM199+BM206+BM207+BM208+BM211+BM229+BM232+BM233+BM234)</f>
        <v>#DIV/0!</v>
      </c>
      <c r="BN241" s="16" t="e">
        <f>SUM(BN192+BN196+BN198+BN199+BN206+BN207+BN208+BN211+BN229+BN232+BN233+BN234)</f>
        <v>#DIV/0!</v>
      </c>
      <c r="BO241" s="16" t="e">
        <f>SUM(BO192+BO196+BO198+BO199+BO206+BO207+BO208+BO211+BO229+BO232+BO233+BO234)</f>
        <v>#DIV/0!</v>
      </c>
      <c r="BP241" s="16" t="e">
        <f>SUM(BP192,BP196,BP198,BP199,BP206,BP207,BP211,BP208,BP229,BP232,BP233,BP234)</f>
        <v>#DIV/0!</v>
      </c>
      <c r="BQ241" s="16" t="e">
        <f>SUM(BQ192+BQ196+BQ198+BQ199+BQ206+BQ207+BQ208+BQ211+BQ229+BQ232+BQ233+BQ234)</f>
        <v>#DIV/0!</v>
      </c>
      <c r="BR241" s="16" t="e">
        <f>SUM(BR192+BR196+BR198+BR199+BR206+BR207+BR208+BR211+BR229+BR232+BR233+BR234)</f>
        <v>#DIV/0!</v>
      </c>
      <c r="BS241" s="16" t="e">
        <f>SUM(BS192+BS196+BS198+BS199+BS206+BS207+BS208+BS211+BS229+BS232+BS233+BS234)</f>
        <v>#DIV/0!</v>
      </c>
      <c r="BT241" s="16" t="e">
        <f>SUM(BT192+BT196+BT198+BT199+BT206+BT207+BT208+BT211+BT229+BT232+BT233+BT234)</f>
        <v>#DIV/0!</v>
      </c>
      <c r="BU241" s="16" t="e">
        <f>SUM(BU192,BU196,BU198,BU199,BU206,BU207,BU211,BU208,BU229,BU232,BU233,BU234)</f>
        <v>#DIV/0!</v>
      </c>
      <c r="BV241" s="16" t="e">
        <f>SUM(BV192+BV196+BV198+BV199+BV206+BV207+BV208+BV211+BV229+BV232+BV233+BV234)</f>
        <v>#DIV/0!</v>
      </c>
      <c r="BW241" s="16" t="e">
        <f>SUM(BW192+BW196+BW198+BW199+BW206+BW207+BW208+BW211+BW229+BW232+BW233+BW234)</f>
        <v>#DIV/0!</v>
      </c>
      <c r="BX241" s="16" t="e">
        <f>SUM(BX192+BX196+BX198+BX199+BX206+BX207+BX208+BX211+BX229+BX232+BX233+BX234)</f>
        <v>#DIV/0!</v>
      </c>
      <c r="BY241" s="16" t="e">
        <f>SUM(BY192+BY196+BY198+BY199+BY206+BY207+BY208+BY211+BY229+BY232+BY233+BY234)</f>
        <v>#DIV/0!</v>
      </c>
      <c r="BZ241" s="16" t="e">
        <f>SUM(BZ192,BZ196,BZ198,BZ199,BZ206,BZ207,BZ211,BZ208,BZ229,BZ232,BZ233,BZ234)</f>
        <v>#DIV/0!</v>
      </c>
      <c r="CA241" s="16" t="e">
        <f>SUM(CA192+CA196+CA198+CA199+CA206+CA207+CA208+CA211+CA229+CA232+CA233+CA234)</f>
        <v>#DIV/0!</v>
      </c>
      <c r="CB241" s="16" t="e">
        <f>SUM(CB192+CB196+CB198+CB199+CB206+CB207+CB208+CB211+CB229+CB232+CB233+CB234)</f>
        <v>#DIV/0!</v>
      </c>
      <c r="CC241" s="16" t="e">
        <f>SUM(CC192+CC196+CC198+CC199+CC206+CC207+CC208+CC211+CC229+CC232+CC233+CC234)</f>
        <v>#DIV/0!</v>
      </c>
      <c r="CD241" s="16" t="e">
        <f>SUM(CD192+CD196+CD198+CD199+CD206+CD207+CD208+CD211+CD229+CD232+CD233+CD234)</f>
        <v>#DIV/0!</v>
      </c>
      <c r="CE241" s="16" t="e">
        <f>SUM(CE192,CE196,CE198,CE199,CE206,CE207,CE211,CE208,CE229,CE232,CE233,CE234)</f>
        <v>#DIV/0!</v>
      </c>
      <c r="CF241" s="16" t="e">
        <f>SUM(CF192+CF196+CF198+CF199+CF206+CF207+CF208+CF211+CF229+CF232+CF233+CF234)</f>
        <v>#DIV/0!</v>
      </c>
      <c r="CG241" s="16" t="e">
        <f>SUM(CG192+CG196+CG198+CG199+CG206+CG207+CG208+CG211+CG229+CG232+CG233+CG234)</f>
        <v>#DIV/0!</v>
      </c>
      <c r="CH241" s="16" t="e">
        <f>SUM(CH192+CH196+CH198+CH199+CH206+CH207+CH208+CH211+CH229+CH232+CH233+CH234)</f>
        <v>#DIV/0!</v>
      </c>
      <c r="CI241" s="16" t="e">
        <f>SUM(CI192+CI196+CI198+CI199+CI206+CI207+CI208+CI211+CI229+CI232+CI233+CI234)</f>
        <v>#DIV/0!</v>
      </c>
      <c r="CJ241" s="16" t="e">
        <f>SUM(CJ192,CJ196,CJ198,CJ199,CJ206,CJ207,CJ211,CJ208,CJ229,CJ232,CJ233,CJ234)</f>
        <v>#DIV/0!</v>
      </c>
      <c r="CK241" s="16" t="e">
        <f>SUM(CK192+CK196+CK198+CK199+CK206+CK207+CK208+CK211+CK229+CK232+CK233+CK234)</f>
        <v>#DIV/0!</v>
      </c>
      <c r="CL241" s="16" t="e">
        <f>SUM(CL192+CL196+CL198+CL199+CL206+CL207+CL208+CL211+CL229+CL232+CL233+CL234)</f>
        <v>#DIV/0!</v>
      </c>
      <c r="CM241" s="16" t="e">
        <f>SUM(CM192+CM196+CM198+CM199+CM206+CM207+CM208+CM211+CM229+CM232+CM233+CM234)</f>
        <v>#DIV/0!</v>
      </c>
      <c r="CN241" s="16" t="e">
        <f>SUM(CN192+CN196+CN198+CN199+CN206+CN207+CN208+CN211+CN229+CN232+CN233+CN234)</f>
        <v>#DIV/0!</v>
      </c>
      <c r="CO241" s="16" t="e">
        <f>SUM(CO192,CO196,CO198,CO199,CO206,CO207,CO211,CO208,CO229,CO232,CO233,CO234)</f>
        <v>#DIV/0!</v>
      </c>
      <c r="CP241" s="16" t="e">
        <f>SUM(CP192+CP196+CP198+CP199+CP206+CP207+CP208+CP211+CP229+CP232+CP233+CP234)</f>
        <v>#DIV/0!</v>
      </c>
      <c r="CQ241" s="16" t="e">
        <f>SUM(CQ192+CQ196+CQ198+CQ199+CQ206+CQ207+CQ208+CQ211+CQ229+CQ232+CQ233+CQ234)</f>
        <v>#DIV/0!</v>
      </c>
      <c r="CR241" s="16" t="e">
        <f>SUM(CR192+CR196+CR198+CR199+CR206+CR207+CR208+CR211+CR229+CR232+CR233+CR234)</f>
        <v>#DIV/0!</v>
      </c>
      <c r="CS241" s="16" t="e">
        <f>SUM(CS192+CS196+CS198+CS199+CS206+CS207+CS208+CS211+CS229+CS232+CS233+CS234)</f>
        <v>#DIV/0!</v>
      </c>
      <c r="CT241" s="16" t="e">
        <f>SUM(CT192,CT196,CT198,CT199,CT206,CT207,CT211,CT208,CT229,CT232,CT233,CT234)</f>
        <v>#DIV/0!</v>
      </c>
      <c r="CU241" s="16" t="e">
        <f>SUM(CU192+CU196+CU198+CU199+CU206+CU207+CU208+CU211+CU229+CU232+CU233+CU234)</f>
        <v>#DIV/0!</v>
      </c>
      <c r="CV241" s="16" t="e">
        <f>SUM(CV192+CV196+CV198+CV199+CV206+CV207+CV208+CV211+CV229+CV232+CV233+CV234)</f>
        <v>#DIV/0!</v>
      </c>
      <c r="CW241" s="16" t="e">
        <f>SUM(CW192+CW196+CW198+CW199+CW206+CW207+CW208+CW211+CW229+CW232+CW233+CW234)</f>
        <v>#DIV/0!</v>
      </c>
      <c r="CX241" s="16" t="e">
        <f>SUM(CX192+CX196+CX198+CX199+CX206+CX207+CX208+CX211+CX229+CX232+CX233+CX234)</f>
        <v>#DIV/0!</v>
      </c>
      <c r="CY241" s="16" t="e">
        <f>SUM(CY192,CY196,CY198,CY199,CY206,CY207,CY211,CY208,CY229,CY232,CY233,CY234)</f>
        <v>#DIV/0!</v>
      </c>
    </row>
    <row r="242">
      <c r="C242" s="26" t="inlineStr">
        <is>
          <t>Minority interest</t>
        </is>
      </c>
      <c r="D242" s="25">
        <f>INDEX('Inputs (2)'!$D$41:$AL$41,MATCH(D$7,'Inputs (2)'!$D$2:$AL$2,0))</f>
        <v>1499</v>
      </c>
      <c r="E242" s="25">
        <f>INDEX('Inputs (2)'!$D$41:$AL$41,MATCH(E$7,'Inputs (2)'!$D$2:$AL$2,0))</f>
        <v>1482</v>
      </c>
      <c r="F242" s="25">
        <f>INDEX('Inputs (2)'!$D$41:$AL$41,MATCH(F$7,'Inputs (2)'!$D$2:$AL$2,0))</f>
        <v>1469</v>
      </c>
      <c r="G242" s="25">
        <f>INDEX('Inputs (2)'!$D$41:$AL$41,MATCH(G$7,'Inputs (2)'!$D$2:$AL$2,0))</f>
        <v>1454</v>
      </c>
      <c r="H242" s="3">
        <f>G242</f>
        <v>1454</v>
      </c>
      <c r="I242" s="25">
        <f>INDEX('Inputs (2)'!$D$41:$AL$41,MATCH(I$7,'Inputs (2)'!$D$2:$AL$2,0))</f>
        <v>1448</v>
      </c>
      <c r="J242" s="25">
        <f>INDEX('Inputs (2)'!$D$41:$AL$41,MATCH(J$7,'Inputs (2)'!$D$2:$AL$2,0))</f>
        <v>1446</v>
      </c>
      <c r="K242" s="25">
        <f>INDEX('Inputs (2)'!$D$41:$AL$41,MATCH(K$7,'Inputs (2)'!$D$2:$AL$2,0))</f>
        <v>1441</v>
      </c>
      <c r="L242" s="25">
        <f>INDEX('Inputs (2)'!$D$41:$AL$41,MATCH(L$7,'Inputs (2)'!$D$2:$AL$2,0))</f>
        <v>1394</v>
      </c>
      <c r="M242" s="3">
        <f>L242</f>
        <v>1394</v>
      </c>
      <c r="N242" s="25">
        <f>INDEX('Inputs (2)'!$D$41:$AL$41,MATCH(N$7,'Inputs (2)'!$D$2:$AL$2,0))</f>
        <v>1321</v>
      </c>
      <c r="O242" s="25">
        <f>INDEX('Inputs (2)'!$D$41:$AL$41,MATCH(O$7,'Inputs (2)'!$D$2:$AL$2,0))</f>
        <v>1282</v>
      </c>
      <c r="P242" s="25">
        <f>INDEX('Inputs (2)'!$D$41:$AL$41,MATCH(P$7,'Inputs (2)'!$D$2:$AL$2,0))</f>
        <v>1273</v>
      </c>
      <c r="Q242" s="25">
        <f>INDEX('Inputs (2)'!$D$41:$AL$41,MATCH(Q$7,'Inputs (2)'!$D$2:$AL$2,0))</f>
        <v>1194</v>
      </c>
      <c r="R242" s="3">
        <f>Q242</f>
        <v>1194</v>
      </c>
      <c r="S242" s="25">
        <f>INDEX('Inputs (2)'!$D$41:$AL$41,MATCH(S$7,'Inputs (2)'!$D$2:$AL$2,0))</f>
        <v>1181</v>
      </c>
      <c r="T242" s="25">
        <f>INDEX('Inputs (2)'!$D$41:$AL$41,MATCH(T$7,'Inputs (2)'!$D$2:$AL$2,0))</f>
        <v>1052</v>
      </c>
      <c r="U242" s="25">
        <f>INDEX('Inputs (2)'!$D$41:$AL$41,MATCH(U$7,'Inputs (2)'!$D$2:$AL$2,0))</f>
        <v>1029</v>
      </c>
      <c r="V242" s="25">
        <f>INDEX('Inputs (2)'!$D$41:$AL$41,MATCH(V$7,'Inputs (2)'!$D$2:$AL$2,0))</f>
        <v>975</v>
      </c>
      <c r="W242" s="3">
        <f>V242</f>
        <v>975</v>
      </c>
      <c r="X242" s="25">
        <f>INDEX('Inputs (2)'!$D$41:$AL$41,MATCH(X$7,'Inputs (2)'!$D$2:$AL$2,0))</f>
        <v>802</v>
      </c>
      <c r="Y242" s="25">
        <f>INDEX('Inputs (2)'!$D$41:$AL$41,MATCH(Y$7,'Inputs (2)'!$D$2:$AL$2,0))</f>
        <v>795</v>
      </c>
      <c r="Z242" s="25">
        <f>INDEX('Inputs (2)'!$D$41:$AL$41,MATCH(Z$7,'Inputs (2)'!$D$2:$AL$2,0))</f>
        <v>779</v>
      </c>
      <c r="AA242" s="25">
        <f>INDEX('Inputs (2)'!$D$41:$AL$41,MATCH(AA$7,'Inputs (2)'!$D$2:$AL$2,0))</f>
        <v>767</v>
      </c>
      <c r="AB242" s="3">
        <f>AA242</f>
        <v>767</v>
      </c>
      <c r="AC242" s="25">
        <f>INDEX('Inputs (2)'!$D$41:$AL$41,MATCH(AC$7,'Inputs (2)'!$D$2:$AL$2,0))</f>
        <v>765</v>
      </c>
      <c r="AD242" s="25">
        <f>INDEX('Inputs (2)'!$D$41:$AL$41,MATCH(AD$7,'Inputs (2)'!$D$2:$AL$2,0))</f>
        <v>758</v>
      </c>
      <c r="AE242" s="25">
        <f>INDEX('Inputs (2)'!$D$41:$AL$41,MATCH(AE$7,'Inputs (2)'!$D$2:$AL$2,0))</f>
        <v>746</v>
      </c>
      <c r="AF242" s="25">
        <f>INDEX('Inputs (2)'!$D$41:$AL$41,MATCH(AF$7,'Inputs (2)'!$D$2:$AL$2,0))</f>
        <v>728</v>
      </c>
      <c r="AG242" s="3">
        <f>AF242</f>
        <v>728</v>
      </c>
      <c r="AH242" s="3">
        <f>INDEX('Inputs (2)'!$D$41:$AL$41,MATCH(AH$7,'Inputs (2)'!$D$2:$AL$2,0))</f>
        <v>686</v>
      </c>
      <c r="AI242" s="3">
        <f>INDEX('Inputs (2)'!$D$41:$AL$41,MATCH(AI$7,'Inputs (2)'!$D$2:$AL$2,0))</f>
        <v>661</v>
      </c>
      <c r="AJ242" s="3">
        <f>AI242-AJ130+AJ245</f>
        <v>677</v>
      </c>
      <c r="AK242" s="3">
        <f>AJ242-AK130+AK245</f>
        <v>693</v>
      </c>
      <c r="AL242" s="3">
        <f>AK242</f>
        <v>693</v>
      </c>
      <c r="AM242" s="3">
        <f>AL242-AM130+AM245</f>
        <v>707</v>
      </c>
      <c r="AN242" s="3">
        <f>AM242-AN130+AN245</f>
        <v>721</v>
      </c>
      <c r="AO242" s="3">
        <f>AN242-AO130+AO245</f>
        <v>737</v>
      </c>
      <c r="AP242" s="3">
        <f>AO242-AP130+AP245</f>
        <v>753</v>
      </c>
      <c r="AQ242" s="3">
        <f>AP242</f>
        <v>753</v>
      </c>
      <c r="AR242" s="3">
        <f>AQ242-AR130+AR245</f>
        <v>767</v>
      </c>
      <c r="AS242" s="3">
        <f>AR242-AS130+AS245</f>
        <v>781</v>
      </c>
      <c r="AT242" s="3">
        <f>AS242-AT130+AT245</f>
        <v>797</v>
      </c>
      <c r="AU242" s="3">
        <f>AT242-AU130+AU245</f>
        <v>813</v>
      </c>
      <c r="AV242" s="3">
        <f>AU242</f>
        <v>813</v>
      </c>
      <c r="AW242" s="3">
        <f>AV242-AW130+AW245</f>
        <v>827</v>
      </c>
      <c r="AX242" s="3">
        <f>AW242-AX130+AX245</f>
        <v>841</v>
      </c>
      <c r="AY242" s="3">
        <f>AX242-AY130+AY245</f>
        <v>857</v>
      </c>
      <c r="AZ242" s="3">
        <f>AY242-AZ130+AZ245</f>
        <v>873</v>
      </c>
      <c r="BA242" s="3">
        <f>AZ242</f>
        <v>873</v>
      </c>
      <c r="BB242" s="3">
        <f>BA242-BB130+BB245</f>
        <v>887</v>
      </c>
      <c r="BC242" s="3">
        <f>BB242-BC130+BC245</f>
        <v>901</v>
      </c>
      <c r="BD242" s="3">
        <f>BC242-BD130+BD245</f>
        <v>917</v>
      </c>
      <c r="BE242" s="3">
        <f>BD242-BE130+BE245</f>
        <v>933</v>
      </c>
      <c r="BF242" s="3">
        <f>BE242</f>
        <v>933</v>
      </c>
      <c r="BG242" s="3">
        <f>BF242-BG130+BG245</f>
        <v>947</v>
      </c>
      <c r="BH242" s="3">
        <f>BG242-BH130+BH245</f>
        <v>961</v>
      </c>
      <c r="BI242" s="3">
        <f>BH242-BI130+BI245</f>
        <v>977</v>
      </c>
      <c r="BJ242" s="3">
        <f>BI242-BJ130+BJ245</f>
        <v>993</v>
      </c>
      <c r="BK242" s="3">
        <f>BJ242</f>
        <v>993</v>
      </c>
      <c r="BL242" s="3">
        <f>BK242-BL130+BL245</f>
        <v>1007</v>
      </c>
      <c r="BM242" s="3">
        <f>BL242-BM130+BM245</f>
        <v>1021</v>
      </c>
      <c r="BN242" s="3">
        <f>BM242-BN130+BN245</f>
        <v>1037</v>
      </c>
      <c r="BO242" s="3">
        <f>BN242-BO130+BO245</f>
        <v>1053</v>
      </c>
      <c r="BP242" s="3">
        <f>BO242</f>
        <v>1053</v>
      </c>
      <c r="BQ242" s="3">
        <f>BP242-BQ130+BQ245</f>
        <v>1067</v>
      </c>
      <c r="BR242" s="3">
        <f>BQ242-BR130+BR245</f>
        <v>1081</v>
      </c>
      <c r="BS242" s="3">
        <f>BR242-BS130+BS245</f>
        <v>1097</v>
      </c>
      <c r="BT242" s="3">
        <f>BS242-BT130+BT245</f>
        <v>1113</v>
      </c>
      <c r="BU242" s="3">
        <f>BT242</f>
        <v>1113</v>
      </c>
      <c r="BV242" s="3">
        <f>BU242-BV130+BV245</f>
        <v>1127</v>
      </c>
      <c r="BW242" s="3">
        <f>BV242-BW130+BW245</f>
        <v>1141</v>
      </c>
      <c r="BX242" s="3">
        <f>BW242-BX130+BX245</f>
        <v>1157</v>
      </c>
      <c r="BY242" s="3">
        <f>BX242-BY130+BY245</f>
        <v>1173</v>
      </c>
      <c r="BZ242" s="3">
        <f>BY242</f>
        <v>1173</v>
      </c>
      <c r="CA242" s="3">
        <f>BZ242-CA130+CA245</f>
        <v>1187</v>
      </c>
      <c r="CB242" s="3">
        <f>CA242-CB130+CB245</f>
        <v>1201</v>
      </c>
      <c r="CC242" s="3">
        <f>CB242-CC130+CC245</f>
        <v>1217</v>
      </c>
      <c r="CD242" s="3">
        <f>CC242-CD130+CD245</f>
        <v>1233</v>
      </c>
      <c r="CE242" s="3">
        <f>CD242</f>
        <v>1233</v>
      </c>
      <c r="CF242" s="3">
        <f>CE242-CF130+CF245</f>
        <v>1247</v>
      </c>
      <c r="CG242" s="3">
        <f>CF242-CG130+CG245</f>
        <v>1261</v>
      </c>
      <c r="CH242" s="3">
        <f>CG242-CH130+CH245</f>
        <v>1277</v>
      </c>
      <c r="CI242" s="3">
        <f>CH242-CI130+CI245</f>
        <v>1293</v>
      </c>
      <c r="CJ242" s="3">
        <f>CI242</f>
        <v>1293</v>
      </c>
      <c r="CK242" s="3">
        <f>CJ242-CK130+CK245</f>
        <v>1307</v>
      </c>
      <c r="CL242" s="3">
        <f>CK242-CL130+CL245</f>
        <v>1321</v>
      </c>
      <c r="CM242" s="3">
        <f>CL242-CM130+CM245</f>
        <v>1337</v>
      </c>
      <c r="CN242" s="3">
        <f>CM242-CN130+CN245</f>
        <v>1353</v>
      </c>
      <c r="CO242" s="3">
        <f>CN242</f>
        <v>1353</v>
      </c>
      <c r="CP242" s="3">
        <f>CO242-CP130+CP245</f>
        <v>1367</v>
      </c>
      <c r="CQ242" s="3">
        <f>CP242-CQ130+CQ245</f>
        <v>1381</v>
      </c>
      <c r="CR242" s="3">
        <f>CQ242-CR130+CR245</f>
        <v>1397</v>
      </c>
      <c r="CS242" s="3">
        <f>CR242-CS130+CS245</f>
        <v>1413</v>
      </c>
      <c r="CT242" s="3">
        <f>CS242</f>
        <v>1413</v>
      </c>
      <c r="CU242" s="3">
        <f>CT242-CU130+CU245</f>
        <v>1427</v>
      </c>
      <c r="CV242" s="3">
        <f>CU242-CV130+CV245</f>
        <v>1441</v>
      </c>
      <c r="CW242" s="3">
        <f>CV242-CW130+CW245</f>
        <v>1457</v>
      </c>
      <c r="CX242" s="3">
        <f>CW242-CX130+CX245</f>
        <v>1473</v>
      </c>
      <c r="CY242" s="3">
        <f>CX242</f>
        <v>1473</v>
      </c>
    </row>
    <row r="243" hidden="1" outlineLevel="1" customFormat="1" s="39">
      <c r="A243" s="19" t="n"/>
      <c r="B243" s="19" t="n"/>
      <c r="C243" s="38" t="n"/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2" t="n"/>
      <c r="M243" s="22" t="n"/>
      <c r="N243" s="22" t="n"/>
      <c r="O243" s="22" t="n"/>
      <c r="P243" s="22" t="n"/>
      <c r="Q243" s="22" t="n"/>
      <c r="R243" s="22" t="n"/>
      <c r="S243" s="22" t="n"/>
      <c r="T243" s="22" t="n"/>
      <c r="U243" s="22" t="n"/>
      <c r="V243" s="22" t="n"/>
      <c r="W243" s="22" t="n"/>
      <c r="X243" s="22" t="n"/>
      <c r="Y243" s="22" t="n"/>
      <c r="Z243" s="22" t="n"/>
      <c r="AA243" s="22" t="n"/>
      <c r="AB243" s="22" t="n"/>
      <c r="AC243" s="22" t="n"/>
      <c r="AD243" s="22" t="n"/>
      <c r="AE243" s="22" t="n"/>
      <c r="AF243" s="22" t="n"/>
      <c r="AG243" s="22" t="n"/>
      <c r="AH243" s="22" t="n"/>
      <c r="AI243" s="22" t="n"/>
      <c r="AJ243" s="22" t="n"/>
      <c r="AK243" s="22" t="n"/>
      <c r="AL243" s="22" t="n"/>
      <c r="AM243" s="22" t="n"/>
      <c r="AN243" s="22" t="n"/>
      <c r="AO243" s="22" t="n"/>
      <c r="AP243" s="22" t="n"/>
      <c r="AQ243" s="22" t="n"/>
      <c r="AR243" s="22" t="n"/>
      <c r="AS243" s="22" t="n"/>
      <c r="AT243" s="22" t="n"/>
      <c r="AU243" s="22" t="n"/>
      <c r="AV243" s="22" t="n"/>
      <c r="AW243" s="22" t="n"/>
      <c r="AX243" s="22" t="n"/>
      <c r="AY243" s="22" t="n"/>
      <c r="AZ243" s="22" t="n"/>
      <c r="BA243" s="22" t="n"/>
      <c r="BB243" s="22" t="n"/>
      <c r="BC243" s="22" t="n"/>
      <c r="BD243" s="22" t="n"/>
      <c r="BE243" s="22" t="n"/>
      <c r="BF243" s="22" t="n"/>
      <c r="BG243" s="22" t="n"/>
      <c r="BH243" s="22" t="n"/>
      <c r="BI243" s="22" t="n"/>
      <c r="BJ243" s="22" t="n"/>
      <c r="BK243" s="22" t="n"/>
      <c r="BL243" s="22" t="n"/>
      <c r="BM243" s="22" t="n"/>
      <c r="BN243" s="22" t="n"/>
      <c r="BO243" s="22" t="n"/>
      <c r="BP243" s="22" t="n"/>
      <c r="BQ243" s="22" t="n"/>
      <c r="BR243" s="22" t="n"/>
      <c r="BS243" s="22" t="n"/>
      <c r="BT243" s="22" t="n"/>
      <c r="BU243" s="22" t="n"/>
      <c r="BV243" s="22" t="n"/>
      <c r="BW243" s="22" t="n"/>
      <c r="BX243" s="22" t="n"/>
      <c r="BY243" s="22" t="n"/>
      <c r="BZ243" s="22" t="n"/>
      <c r="CA243" s="22" t="n"/>
      <c r="CB243" s="22" t="n"/>
      <c r="CC243" s="22" t="n"/>
      <c r="CD243" s="22" t="n"/>
      <c r="CE243" s="22" t="n"/>
      <c r="CF243" s="22" t="n"/>
      <c r="CG243" s="22" t="n"/>
      <c r="CH243" s="22" t="n"/>
      <c r="CI243" s="22" t="n"/>
      <c r="CJ243" s="22" t="n"/>
      <c r="CK243" s="22" t="n"/>
      <c r="CL243" s="22" t="n"/>
      <c r="CM243" s="22" t="n"/>
      <c r="CN243" s="22" t="n"/>
      <c r="CO243" s="22" t="n"/>
      <c r="CP243" s="22" t="n"/>
      <c r="CQ243" s="22" t="n"/>
      <c r="CR243" s="22" t="n"/>
      <c r="CS243" s="22" t="n"/>
      <c r="CT243" s="22" t="n"/>
      <c r="CU243" s="22" t="n"/>
      <c r="CV243" s="22" t="n"/>
      <c r="CW243" s="22" t="n"/>
      <c r="CX243" s="22" t="n"/>
      <c r="CY243" s="22" t="n"/>
    </row>
    <row r="244" hidden="1" outlineLevel="1" customFormat="1" s="39">
      <c r="A244" s="19" t="n"/>
      <c r="B244" s="19" t="n"/>
      <c r="C244" s="34" t="inlineStr">
        <is>
          <t>Minority Interest Expense - % YoY</t>
        </is>
      </c>
      <c r="D244" s="22" t="n"/>
      <c r="E244" s="40">
        <f>IF(D129=0,0,E129/D129-1)</f>
        <v>0</v>
      </c>
      <c r="F244" s="22" t="n"/>
      <c r="G244" s="22" t="n"/>
      <c r="H244" s="40" t="n"/>
      <c r="I244" s="22" t="n"/>
      <c r="J244" s="40">
        <f>IF(I129=0,0,J129/I129-1)</f>
        <v>0</v>
      </c>
      <c r="K244" s="22" t="n"/>
      <c r="L244" s="22" t="n"/>
      <c r="M244" s="40" t="n"/>
      <c r="N244" s="40">
        <f>IF(I129=0,0,N129/I129-1)</f>
        <v>0</v>
      </c>
      <c r="O244" s="40">
        <f>IF(J129=0,0,O129/J129-1)</f>
        <v>0</v>
      </c>
      <c r="P244" s="40">
        <f>IF(K129=0,0,P129/K129-1)</f>
        <v>0</v>
      </c>
      <c r="Q244" s="40">
        <f>IF(L129=0,0,Q129/L129-1)</f>
        <v>0</v>
      </c>
      <c r="R244" s="40" t="n"/>
      <c r="S244" s="40">
        <f>IF(N129=0,0,S129/N129-1)</f>
        <v>0</v>
      </c>
      <c r="T244" s="40">
        <f>IF(O129=0,0,T129/O129-1)</f>
        <v>0</v>
      </c>
      <c r="U244" s="40">
        <f>IF(P129=0,0,U129/P129-1)</f>
        <v>0</v>
      </c>
      <c r="V244" s="40">
        <f>IF(Q129=0,0,V129/Q129-1)</f>
        <v>0</v>
      </c>
      <c r="W244" s="40">
        <f>IF(R130=0,0,W130/R130-1)</f>
        <v>-1.74193548387097</v>
      </c>
      <c r="X244" s="40">
        <f>IF(S129=0,0,X129/S129-1)</f>
        <v>0</v>
      </c>
      <c r="Y244" s="40">
        <f>IF(T129=0,0,Y129/T129-1)</f>
        <v>0</v>
      </c>
      <c r="Z244" s="40">
        <f>IF(U129=0,0,Z129/U129-1)</f>
        <v>0</v>
      </c>
      <c r="AA244" s="40">
        <f>IF(V129=0,0,AA129/V129-1)</f>
        <v>0</v>
      </c>
      <c r="AB244" s="40">
        <f>IF(W130=0,0,AB130/W130-1)</f>
        <v>-3.69565217391304</v>
      </c>
      <c r="AC244" s="40">
        <f>IF(X129=0,0,AC129/X129-1)</f>
        <v>0</v>
      </c>
      <c r="AD244" s="40">
        <f>IF(Y129=0,0,AD129/Y129-1)</f>
        <v>0</v>
      </c>
      <c r="AE244" s="40">
        <f>IF(Z129=0,0,AE129/Z129-1)</f>
        <v>0</v>
      </c>
      <c r="AF244" s="40">
        <f>IF(AA129=0,0,AF129/AA129-1)</f>
        <v>0</v>
      </c>
      <c r="AG244" s="40">
        <f>IF(AB130=0,0,AG130/AB130-1)</f>
        <v>-0.0161290322580645</v>
      </c>
      <c r="AH244" s="35">
        <f>IF(AC129=0,0,AH129/AC129-1)</f>
        <v>0</v>
      </c>
      <c r="AI244" s="35">
        <f>IF(AD129=0,0,AI129/AD129-1)</f>
        <v>0</v>
      </c>
      <c r="AJ244" s="35" t="n"/>
      <c r="AK244" s="35" t="n"/>
      <c r="AL244" s="40">
        <f>IF(AG130=0,0,AL130/AG130-1)</f>
        <v>-0.0163934426229508</v>
      </c>
      <c r="AM244" s="35" t="n"/>
      <c r="AN244" s="35" t="n"/>
      <c r="AO244" s="35" t="n"/>
      <c r="AP244" s="35" t="n"/>
      <c r="AQ244" s="40">
        <f>IF(AL130=0,0,AQ130/AL130-1)</f>
        <v>0</v>
      </c>
      <c r="AR244" s="35" t="n"/>
      <c r="AS244" s="35" t="n"/>
      <c r="AT244" s="35" t="n"/>
      <c r="AU244" s="35" t="n"/>
      <c r="AV244" s="40">
        <f>IF(AQ130=0,0,AV130/AQ130-1)</f>
        <v>0</v>
      </c>
      <c r="AW244" s="35" t="n"/>
      <c r="AX244" s="35" t="n"/>
      <c r="AY244" s="35" t="n"/>
      <c r="AZ244" s="35" t="n"/>
      <c r="BA244" s="40">
        <f>IF(AV130=0,0,BA130/AV130-1)</f>
        <v>0</v>
      </c>
      <c r="BB244" s="35" t="n"/>
      <c r="BC244" s="35" t="n"/>
      <c r="BD244" s="35" t="n"/>
      <c r="BE244" s="35" t="n"/>
      <c r="BF244" s="40">
        <f>IF(BA130=0,0,BF130/BA130-1)</f>
        <v>0</v>
      </c>
      <c r="BG244" s="35" t="n"/>
      <c r="BH244" s="35" t="n"/>
      <c r="BI244" s="35" t="n"/>
      <c r="BJ244" s="35" t="n"/>
      <c r="BK244" s="40">
        <f>IF(BF130=0,0,BK130/BF130-1)</f>
        <v>0</v>
      </c>
      <c r="BL244" s="35" t="n"/>
      <c r="BM244" s="35" t="n"/>
      <c r="BN244" s="35" t="n"/>
      <c r="BO244" s="35" t="n"/>
      <c r="BP244" s="40">
        <f>IF(BK130=0,0,BP130/BK130-1)</f>
        <v>0</v>
      </c>
      <c r="BQ244" s="35" t="n"/>
      <c r="BR244" s="35" t="n"/>
      <c r="BS244" s="35" t="n"/>
      <c r="BT244" s="35" t="n"/>
      <c r="BU244" s="40">
        <f>IF(BP130=0,0,BU130/BP130-1)</f>
        <v>0</v>
      </c>
      <c r="BV244" s="35" t="n"/>
      <c r="BW244" s="35" t="n"/>
      <c r="BX244" s="35" t="n"/>
      <c r="BY244" s="35" t="n"/>
      <c r="BZ244" s="40">
        <f>IF(BU130=0,0,BZ130/BU130-1)</f>
        <v>0</v>
      </c>
      <c r="CA244" s="35" t="n"/>
      <c r="CB244" s="35" t="n"/>
      <c r="CC244" s="35" t="n"/>
      <c r="CD244" s="35" t="n"/>
      <c r="CE244" s="40">
        <f>IF(BZ130=0,0,CE130/BZ130-1)</f>
        <v>0</v>
      </c>
      <c r="CF244" s="35" t="n"/>
      <c r="CG244" s="35" t="n"/>
      <c r="CH244" s="35" t="n"/>
      <c r="CI244" s="35" t="n"/>
      <c r="CJ244" s="40">
        <f>IF(CE130=0,0,CJ130/CE130-1)</f>
        <v>0</v>
      </c>
      <c r="CK244" s="35" t="n"/>
      <c r="CL244" s="35" t="n"/>
      <c r="CM244" s="35" t="n"/>
      <c r="CN244" s="35" t="n"/>
      <c r="CO244" s="40">
        <f>IF(CJ130=0,0,CO130/CJ130-1)</f>
        <v>0</v>
      </c>
      <c r="CP244" s="35" t="n"/>
      <c r="CQ244" s="35" t="n"/>
      <c r="CR244" s="35" t="n"/>
      <c r="CS244" s="35" t="n"/>
      <c r="CT244" s="40">
        <f>IF(CO130=0,0,CT130/CO130-1)</f>
        <v>0</v>
      </c>
      <c r="CU244" s="35" t="n"/>
      <c r="CV244" s="35" t="n"/>
      <c r="CW244" s="35" t="n"/>
      <c r="CX244" s="35" t="n"/>
      <c r="CY244" s="40">
        <f>IF(CT130=0,0,CY130/CT130-1)</f>
        <v>0</v>
      </c>
    </row>
    <row r="245" hidden="1" outlineLevel="1" customFormat="1" s="39">
      <c r="A245" s="19" t="n"/>
      <c r="B245" s="19" t="n"/>
      <c r="C245" s="34" t="inlineStr">
        <is>
          <t>Dividends (enter as -)</t>
        </is>
      </c>
      <c r="D245" s="22" t="n"/>
      <c r="E245" s="22" t="n"/>
      <c r="F245" s="22" t="n"/>
      <c r="G245" s="22" t="n"/>
      <c r="H245" s="22" t="n"/>
      <c r="I245" s="22" t="n"/>
      <c r="J245" s="22" t="n"/>
      <c r="K245" s="22" t="n"/>
      <c r="L245" s="22" t="n"/>
      <c r="M245" s="22" t="n"/>
      <c r="N245" s="22" t="n"/>
      <c r="O245" s="22" t="n"/>
      <c r="P245" s="22" t="n"/>
      <c r="Q245" s="22" t="n"/>
      <c r="R245" s="22" t="n"/>
      <c r="S245" s="22" t="n"/>
      <c r="T245" s="22" t="n"/>
      <c r="U245" s="22" t="n"/>
      <c r="V245" s="22" t="n"/>
      <c r="W245" s="22" t="n"/>
      <c r="X245" s="22" t="n"/>
      <c r="Y245" s="22" t="n"/>
      <c r="Z245" s="22" t="n"/>
      <c r="AA245" s="22" t="n"/>
      <c r="AB245" s="22" t="n"/>
      <c r="AC245" s="22" t="n"/>
      <c r="AD245" s="22" t="n"/>
      <c r="AE245" s="22" t="n"/>
      <c r="AF245" s="22" t="n"/>
      <c r="AG245" s="22" t="n"/>
      <c r="AH245" s="35" t="n"/>
      <c r="AI245" s="35" t="n"/>
      <c r="AJ245" s="35" t="n"/>
      <c r="AK245" s="35" t="n"/>
      <c r="AL245" s="22" t="n"/>
      <c r="AM245" s="35" t="n"/>
      <c r="AN245" s="35" t="n"/>
      <c r="AO245" s="35" t="n"/>
      <c r="AP245" s="35" t="n"/>
      <c r="AQ245" s="22" t="n"/>
      <c r="AR245" s="35" t="n"/>
      <c r="AS245" s="35" t="n"/>
      <c r="AT245" s="35" t="n"/>
      <c r="AU245" s="35" t="n"/>
      <c r="AV245" s="22" t="n"/>
      <c r="AW245" s="35" t="n"/>
      <c r="AX245" s="35" t="n"/>
      <c r="AY245" s="35" t="n"/>
      <c r="AZ245" s="35" t="n"/>
      <c r="BA245" s="22" t="n"/>
      <c r="BB245" s="35" t="n"/>
      <c r="BC245" s="35" t="n"/>
      <c r="BD245" s="35" t="n"/>
      <c r="BE245" s="35" t="n"/>
      <c r="BF245" s="22" t="n"/>
      <c r="BG245" s="35" t="n"/>
      <c r="BH245" s="35" t="n"/>
      <c r="BI245" s="35" t="n"/>
      <c r="BJ245" s="35" t="n"/>
      <c r="BK245" s="22" t="n"/>
      <c r="BL245" s="35" t="n"/>
      <c r="BM245" s="35" t="n"/>
      <c r="BN245" s="35" t="n"/>
      <c r="BO245" s="35" t="n"/>
      <c r="BP245" s="22" t="n"/>
      <c r="BQ245" s="35" t="n"/>
      <c r="BR245" s="35" t="n"/>
      <c r="BS245" s="35" t="n"/>
      <c r="BT245" s="35" t="n"/>
      <c r="BU245" s="22" t="n"/>
      <c r="BV245" s="35" t="n"/>
      <c r="BW245" s="35" t="n"/>
      <c r="BX245" s="35" t="n"/>
      <c r="BY245" s="35" t="n"/>
      <c r="BZ245" s="22" t="n"/>
      <c r="CA245" s="35" t="n"/>
      <c r="CB245" s="35" t="n"/>
      <c r="CC245" s="35" t="n"/>
      <c r="CD245" s="35" t="n"/>
      <c r="CE245" s="22" t="n"/>
      <c r="CF245" s="35" t="n"/>
      <c r="CG245" s="35" t="n"/>
      <c r="CH245" s="35" t="n"/>
      <c r="CI245" s="35" t="n"/>
      <c r="CJ245" s="22" t="n"/>
      <c r="CK245" s="35" t="n"/>
      <c r="CL245" s="35" t="n"/>
      <c r="CM245" s="35" t="n"/>
      <c r="CN245" s="35" t="n"/>
      <c r="CO245" s="22" t="n"/>
      <c r="CP245" s="35" t="n"/>
      <c r="CQ245" s="35" t="n"/>
      <c r="CR245" s="35" t="n"/>
      <c r="CS245" s="35" t="n"/>
      <c r="CT245" s="22" t="n"/>
      <c r="CU245" s="35" t="n"/>
      <c r="CV245" s="35" t="n"/>
      <c r="CW245" s="35" t="n"/>
      <c r="CX245" s="35" t="n"/>
      <c r="CY245" s="22" t="n"/>
    </row>
    <row r="246" hidden="1" outlineLevel="1" customFormat="1" s="39">
      <c r="A246" s="19" t="n"/>
      <c r="B246" s="19" t="n"/>
      <c r="C246" s="38" t="n"/>
      <c r="D246" s="22" t="n"/>
      <c r="E246" s="22" t="n"/>
      <c r="F246" s="22" t="n"/>
      <c r="G246" s="22" t="n"/>
      <c r="H246" s="22" t="n"/>
      <c r="I246" s="22" t="n"/>
      <c r="J246" s="22" t="n"/>
      <c r="K246" s="22" t="n"/>
      <c r="L246" s="22" t="n"/>
      <c r="M246" s="22" t="n"/>
      <c r="N246" s="22" t="n"/>
      <c r="O246" s="22" t="n"/>
      <c r="P246" s="22" t="n"/>
      <c r="Q246" s="22" t="n"/>
      <c r="R246" s="22" t="n"/>
      <c r="S246" s="22" t="n"/>
      <c r="T246" s="22" t="n"/>
      <c r="U246" s="22" t="n"/>
      <c r="V246" s="22" t="n"/>
      <c r="W246" s="22" t="n"/>
      <c r="X246" s="22" t="n"/>
      <c r="Y246" s="22" t="n"/>
      <c r="Z246" s="22" t="n"/>
      <c r="AA246" s="22" t="n"/>
      <c r="AB246" s="22" t="n"/>
      <c r="AC246" s="22" t="n"/>
      <c r="AD246" s="22" t="n"/>
      <c r="AE246" s="22" t="n"/>
      <c r="AF246" s="22" t="n"/>
      <c r="AG246" s="22" t="n"/>
      <c r="AH246" s="22" t="n"/>
      <c r="AI246" s="22" t="n"/>
      <c r="AJ246" s="22" t="n"/>
      <c r="AK246" s="22" t="n"/>
      <c r="AL246" s="22" t="n"/>
      <c r="AM246" s="22" t="n"/>
      <c r="AN246" s="22" t="n"/>
      <c r="AO246" s="22" t="n"/>
      <c r="AP246" s="22" t="n"/>
      <c r="AQ246" s="22" t="n"/>
      <c r="AR246" s="22" t="n"/>
      <c r="AS246" s="22" t="n"/>
      <c r="AT246" s="22" t="n"/>
      <c r="AU246" s="22" t="n"/>
      <c r="AV246" s="22" t="n"/>
      <c r="AW246" s="22" t="n"/>
      <c r="AX246" s="22" t="n"/>
      <c r="AY246" s="22" t="n"/>
      <c r="AZ246" s="22" t="n"/>
      <c r="BA246" s="22" t="n"/>
      <c r="BB246" s="22" t="n"/>
      <c r="BC246" s="22" t="n"/>
      <c r="BD246" s="22" t="n"/>
      <c r="BE246" s="22" t="n"/>
      <c r="BF246" s="22" t="n"/>
      <c r="BG246" s="22" t="n"/>
      <c r="BH246" s="22" t="n"/>
      <c r="BI246" s="22" t="n"/>
      <c r="BJ246" s="22" t="n"/>
      <c r="BK246" s="22" t="n"/>
      <c r="BL246" s="22" t="n"/>
      <c r="BM246" s="22" t="n"/>
      <c r="BN246" s="22" t="n"/>
      <c r="BO246" s="22" t="n"/>
      <c r="BP246" s="22" t="n"/>
      <c r="BQ246" s="22" t="n"/>
      <c r="BR246" s="22" t="n"/>
      <c r="BS246" s="22" t="n"/>
      <c r="BT246" s="22" t="n"/>
      <c r="BU246" s="22" t="n"/>
      <c r="BV246" s="22" t="n"/>
      <c r="BW246" s="22" t="n"/>
      <c r="BX246" s="22" t="n"/>
      <c r="BY246" s="22" t="n"/>
      <c r="BZ246" s="22" t="n"/>
      <c r="CA246" s="22" t="n"/>
      <c r="CB246" s="22" t="n"/>
      <c r="CC246" s="22" t="n"/>
      <c r="CD246" s="22" t="n"/>
      <c r="CE246" s="22" t="n"/>
      <c r="CF246" s="22" t="n"/>
      <c r="CG246" s="22" t="n"/>
      <c r="CH246" s="22" t="n"/>
      <c r="CI246" s="22" t="n"/>
      <c r="CJ246" s="22" t="n"/>
      <c r="CK246" s="22" t="n"/>
      <c r="CL246" s="22" t="n"/>
      <c r="CM246" s="22" t="n"/>
      <c r="CN246" s="22" t="n"/>
      <c r="CO246" s="22" t="n"/>
      <c r="CP246" s="22" t="n"/>
      <c r="CQ246" s="22" t="n"/>
      <c r="CR246" s="22" t="n"/>
      <c r="CS246" s="22" t="n"/>
      <c r="CT246" s="22" t="n"/>
      <c r="CU246" s="22" t="n"/>
      <c r="CV246" s="22" t="n"/>
      <c r="CW246" s="22" t="n"/>
      <c r="CX246" s="22" t="n"/>
      <c r="CY246" s="22" t="n"/>
    </row>
    <row r="247" collapsed="1">
      <c r="C247" s="26" t="inlineStr">
        <is>
          <t>Convertible Preferred Stock</t>
        </is>
      </c>
      <c r="D247" s="25" t="n"/>
      <c r="E247" s="25" t="n"/>
      <c r="F247" s="25" t="n"/>
      <c r="G247" s="25" t="n"/>
      <c r="H247" s="3">
        <f>G247</f>
        <v>0</v>
      </c>
      <c r="I247" s="25" t="n"/>
      <c r="J247" s="25" t="n"/>
      <c r="K247" s="25" t="n"/>
      <c r="L247" s="25" t="n"/>
      <c r="M247" s="3">
        <f>L247</f>
        <v>0</v>
      </c>
      <c r="N247" s="25" t="n"/>
      <c r="O247" s="25" t="n"/>
      <c r="P247" s="25" t="n"/>
      <c r="Q247" s="25" t="n"/>
      <c r="R247" s="3">
        <f>Q247</f>
        <v>0</v>
      </c>
      <c r="S247" s="25" t="n"/>
      <c r="T247" s="25" t="n"/>
      <c r="U247" s="25" t="n"/>
      <c r="V247" s="25" t="n"/>
      <c r="W247" s="3">
        <f>V247</f>
        <v>0</v>
      </c>
      <c r="X247" s="25" t="n"/>
      <c r="Y247" s="25" t="n"/>
      <c r="Z247" s="25" t="n"/>
      <c r="AA247" s="25" t="n"/>
      <c r="AB247" s="3">
        <f>AA247</f>
        <v>0</v>
      </c>
      <c r="AC247" s="25" t="n"/>
      <c r="AD247" s="25" t="n"/>
      <c r="AE247" s="25" t="n"/>
      <c r="AF247" s="25" t="n"/>
      <c r="AG247" s="3">
        <f>AF247</f>
        <v>0</v>
      </c>
      <c r="AH247" s="3">
        <f>AG247</f>
        <v>0</v>
      </c>
      <c r="AI247" s="3">
        <f>AH247</f>
        <v>0</v>
      </c>
      <c r="AJ247" s="3">
        <f>AI247</f>
        <v>0</v>
      </c>
      <c r="AK247" s="3">
        <f>AJ247</f>
        <v>0</v>
      </c>
      <c r="AL247" s="3">
        <f>AK247</f>
        <v>0</v>
      </c>
      <c r="AM247" s="3">
        <f>AL247</f>
        <v>0</v>
      </c>
      <c r="AN247" s="3">
        <f>AM247</f>
        <v>0</v>
      </c>
      <c r="AO247" s="3">
        <f>AN247</f>
        <v>0</v>
      </c>
      <c r="AP247" s="3">
        <f>AO247</f>
        <v>0</v>
      </c>
      <c r="AQ247" s="3">
        <f>AP247</f>
        <v>0</v>
      </c>
      <c r="AR247" s="3">
        <f>AQ247</f>
        <v>0</v>
      </c>
      <c r="AS247" s="3">
        <f>AR247</f>
        <v>0</v>
      </c>
      <c r="AT247" s="3">
        <f>AS247</f>
        <v>0</v>
      </c>
      <c r="AU247" s="3">
        <f>AT247</f>
        <v>0</v>
      </c>
      <c r="AV247" s="3">
        <f>AU247</f>
        <v>0</v>
      </c>
      <c r="AW247" s="3">
        <f>AV247</f>
        <v>0</v>
      </c>
      <c r="AX247" s="3">
        <f>AW247</f>
        <v>0</v>
      </c>
      <c r="AY247" s="3">
        <f>AX247</f>
        <v>0</v>
      </c>
      <c r="AZ247" s="3">
        <f>AY247</f>
        <v>0</v>
      </c>
      <c r="BA247" s="3">
        <f>AZ247</f>
        <v>0</v>
      </c>
      <c r="BB247" s="3">
        <f>BA247</f>
        <v>0</v>
      </c>
      <c r="BC247" s="3">
        <f>BB247</f>
        <v>0</v>
      </c>
      <c r="BD247" s="3">
        <f>BC247</f>
        <v>0</v>
      </c>
      <c r="BE247" s="3">
        <f>BD247</f>
        <v>0</v>
      </c>
      <c r="BF247" s="3">
        <f>BE247</f>
        <v>0</v>
      </c>
      <c r="BG247" s="3">
        <f>BF247</f>
        <v>0</v>
      </c>
      <c r="BH247" s="3">
        <f>BG247</f>
        <v>0</v>
      </c>
      <c r="BI247" s="3">
        <f>BH247</f>
        <v>0</v>
      </c>
      <c r="BJ247" s="3">
        <f>BI247</f>
        <v>0</v>
      </c>
      <c r="BK247" s="3">
        <f>BJ247</f>
        <v>0</v>
      </c>
      <c r="BL247" s="3">
        <f>BK247</f>
        <v>0</v>
      </c>
      <c r="BM247" s="3">
        <f>BL247</f>
        <v>0</v>
      </c>
      <c r="BN247" s="3">
        <f>BM247</f>
        <v>0</v>
      </c>
      <c r="BO247" s="3">
        <f>BN247</f>
        <v>0</v>
      </c>
      <c r="BP247" s="3">
        <f>BO247</f>
        <v>0</v>
      </c>
      <c r="BQ247" s="3">
        <f>BP247</f>
        <v>0</v>
      </c>
      <c r="BR247" s="3">
        <f>BQ247</f>
        <v>0</v>
      </c>
      <c r="BS247" s="3">
        <f>BR247</f>
        <v>0</v>
      </c>
      <c r="BT247" s="3">
        <f>BS247</f>
        <v>0</v>
      </c>
      <c r="BU247" s="3">
        <f>BT247</f>
        <v>0</v>
      </c>
      <c r="BV247" s="3">
        <f>BU247</f>
        <v>0</v>
      </c>
      <c r="BW247" s="3">
        <f>BV247</f>
        <v>0</v>
      </c>
      <c r="BX247" s="3">
        <f>BW247</f>
        <v>0</v>
      </c>
      <c r="BY247" s="3">
        <f>BX247</f>
        <v>0</v>
      </c>
      <c r="BZ247" s="3">
        <f>BY247</f>
        <v>0</v>
      </c>
      <c r="CA247" s="3">
        <f>BZ247</f>
        <v>0</v>
      </c>
      <c r="CB247" s="3">
        <f>CA247</f>
        <v>0</v>
      </c>
      <c r="CC247" s="3">
        <f>CB247</f>
        <v>0</v>
      </c>
      <c r="CD247" s="3">
        <f>CC247</f>
        <v>0</v>
      </c>
      <c r="CE247" s="3">
        <f>CD247</f>
        <v>0</v>
      </c>
      <c r="CF247" s="3">
        <f>CE247</f>
        <v>0</v>
      </c>
      <c r="CG247" s="3">
        <f>CF247</f>
        <v>0</v>
      </c>
      <c r="CH247" s="3">
        <f>CG247</f>
        <v>0</v>
      </c>
      <c r="CI247" s="3">
        <f>CH247</f>
        <v>0</v>
      </c>
      <c r="CJ247" s="3">
        <f>CI247</f>
        <v>0</v>
      </c>
      <c r="CK247" s="3">
        <f>CJ247</f>
        <v>0</v>
      </c>
      <c r="CL247" s="3">
        <f>CK247</f>
        <v>0</v>
      </c>
      <c r="CM247" s="3">
        <f>CL247</f>
        <v>0</v>
      </c>
      <c r="CN247" s="3">
        <f>CM247</f>
        <v>0</v>
      </c>
      <c r="CO247" s="3">
        <f>CN247</f>
        <v>0</v>
      </c>
      <c r="CP247" s="3">
        <f>CO247</f>
        <v>0</v>
      </c>
      <c r="CQ247" s="3">
        <f>CP247</f>
        <v>0</v>
      </c>
      <c r="CR247" s="3">
        <f>CQ247</f>
        <v>0</v>
      </c>
      <c r="CS247" s="3">
        <f>CR247</f>
        <v>0</v>
      </c>
      <c r="CT247" s="3">
        <f>CS247</f>
        <v>0</v>
      </c>
      <c r="CU247" s="3">
        <f>CT247</f>
        <v>0</v>
      </c>
      <c r="CV247" s="3">
        <f>CU247</f>
        <v>0</v>
      </c>
      <c r="CW247" s="3">
        <f>CV247</f>
        <v>0</v>
      </c>
      <c r="CX247" s="3">
        <f>CW247</f>
        <v>0</v>
      </c>
      <c r="CY247" s="3">
        <f>CX247</f>
        <v>0</v>
      </c>
    </row>
    <row r="248">
      <c r="C248" s="24" t="inlineStr">
        <is>
          <t>Common Stock and APIC</t>
        </is>
      </c>
      <c r="D248" s="25">
        <f>INDEX('Inputs (2)'!$D$43:$AL$43,MATCH(D$7,'Inputs (2)'!$D$2:$AL$2,0))</f>
        <v>15390</v>
      </c>
      <c r="E248" s="25">
        <f>INDEX('Inputs (2)'!$D$43:$AL$43,MATCH(E$7,'Inputs (2)'!$D$2:$AL$2,0))</f>
        <v>15895</v>
      </c>
      <c r="F248" s="25">
        <f>INDEX('Inputs (2)'!$D$43:$AL$43,MATCH(F$7,'Inputs (2)'!$D$2:$AL$2,0))</f>
        <v>21575</v>
      </c>
      <c r="G248" s="25">
        <f>INDEX('Inputs (2)'!$D$43:$AL$43,MATCH(G$7,'Inputs (2)'!$D$2:$AL$2,0))</f>
        <v>27261</v>
      </c>
      <c r="H248" s="3">
        <f>G248</f>
        <v>27261</v>
      </c>
      <c r="I248" s="25">
        <f>INDEX('Inputs (2)'!$D$43:$AL$43,MATCH(I$7,'Inputs (2)'!$D$2:$AL$2,0))</f>
        <v>27624</v>
      </c>
      <c r="J248" s="25">
        <f>INDEX('Inputs (2)'!$D$43:$AL$43,MATCH(J$7,'Inputs (2)'!$D$2:$AL$2,0))</f>
        <v>28206</v>
      </c>
      <c r="K248" s="25">
        <f>INDEX('Inputs (2)'!$D$43:$AL$43,MATCH(K$7,'Inputs (2)'!$D$2:$AL$2,0))</f>
        <v>28923</v>
      </c>
      <c r="L248" s="25">
        <f>INDEX('Inputs (2)'!$D$43:$AL$43,MATCH(L$7,'Inputs (2)'!$D$2:$AL$2,0))</f>
        <v>29804</v>
      </c>
      <c r="M248" s="3">
        <f>L248</f>
        <v>29804</v>
      </c>
      <c r="N248" s="25">
        <f>INDEX('Inputs (2)'!$D$43:$AL$43,MATCH(N$7,'Inputs (2)'!$D$2:$AL$2,0))</f>
        <v>30486</v>
      </c>
      <c r="O248" s="25">
        <f>INDEX('Inputs (2)'!$D$43:$AL$43,MATCH(O$7,'Inputs (2)'!$D$2:$AL$2,0))</f>
        <v>30945</v>
      </c>
      <c r="P248" s="25">
        <f>INDEX('Inputs (2)'!$D$43:$AL$43,MATCH(P$7,'Inputs (2)'!$D$2:$AL$2,0))</f>
        <v>31595</v>
      </c>
      <c r="Q248" s="25">
        <f>INDEX('Inputs (2)'!$D$43:$AL$43,MATCH(Q$7,'Inputs (2)'!$D$2:$AL$2,0))</f>
        <v>32180</v>
      </c>
      <c r="R248" s="3">
        <f>Q248</f>
        <v>32180</v>
      </c>
      <c r="S248" s="25">
        <f>INDEX('Inputs (2)'!$D$43:$AL$43,MATCH(S$7,'Inputs (2)'!$D$2:$AL$2,0))</f>
        <v>32881</v>
      </c>
      <c r="T248" s="25">
        <f>INDEX('Inputs (2)'!$D$43:$AL$43,MATCH(T$7,'Inputs (2)'!$D$2:$AL$2,0))</f>
        <v>33439</v>
      </c>
      <c r="U248" s="25">
        <f>INDEX('Inputs (2)'!$D$43:$AL$43,MATCH(U$7,'Inputs (2)'!$D$2:$AL$2,0))</f>
        <v>34204</v>
      </c>
      <c r="V248" s="25">
        <f>INDEX('Inputs (2)'!$D$43:$AL$43,MATCH(V$7,'Inputs (2)'!$D$2:$AL$2,0))</f>
        <v>34895</v>
      </c>
      <c r="W248" s="3">
        <f>V248</f>
        <v>34895</v>
      </c>
      <c r="X248" s="25">
        <f>INDEX('Inputs (2)'!$D$43:$AL$43,MATCH(X$7,'Inputs (2)'!$D$2:$AL$2,0))</f>
        <v>35766</v>
      </c>
      <c r="Y248" s="25">
        <f>INDEX('Inputs (2)'!$D$43:$AL$43,MATCH(Y$7,'Inputs (2)'!$D$2:$AL$2,0))</f>
        <v>36446</v>
      </c>
      <c r="Z248" s="25">
        <f>INDEX('Inputs (2)'!$D$43:$AL$43,MATCH(Z$7,'Inputs (2)'!$D$2:$AL$2,0))</f>
        <v>37289</v>
      </c>
      <c r="AA248" s="25">
        <f>INDEX('Inputs (2)'!$D$43:$AL$43,MATCH(AA$7,'Inputs (2)'!$D$2:$AL$2,0))</f>
        <v>38374</v>
      </c>
      <c r="AB248" s="3">
        <f>AA248</f>
        <v>38374</v>
      </c>
      <c r="AC248" s="25">
        <f>INDEX('Inputs (2)'!$D$43:$AL$43,MATCH(AC$7,'Inputs (2)'!$D$2:$AL$2,0))</f>
        <v>39459</v>
      </c>
      <c r="AD248" s="25">
        <f>INDEX('Inputs (2)'!$D$43:$AL$43,MATCH(AD$7,'Inputs (2)'!$D$2:$AL$2,0))</f>
        <v>40366</v>
      </c>
      <c r="AE248" s="25">
        <f>INDEX('Inputs (2)'!$D$43:$AL$43,MATCH(AE$7,'Inputs (2)'!$D$2:$AL$2,0))</f>
        <v>41600</v>
      </c>
      <c r="AF248" s="25">
        <f>INDEX('Inputs (2)'!$D$43:$AL$43,MATCH(AF$7,'Inputs (2)'!$D$2:$AL$2,0))</f>
        <v>42773</v>
      </c>
      <c r="AG248" s="3">
        <f>AF248</f>
        <v>42773</v>
      </c>
      <c r="AH248" s="3">
        <f>INDEX('Inputs (2)'!$D$43:$AL$43,MATCH(AH$7,'Inputs (2)'!$D$2:$AL$2,0))</f>
        <v>44302</v>
      </c>
      <c r="AI248" s="3">
        <f>INDEX('Inputs (2)'!$D$43:$AL$43,MATCH(AI$7,'Inputs (2)'!$D$2:$AL$2,0))</f>
        <v>45863</v>
      </c>
      <c r="AJ248" s="3">
        <f>AI248+AJ252</f>
        <v>45863</v>
      </c>
      <c r="AK248" s="3">
        <f>AJ248+AK252</f>
        <v>45863</v>
      </c>
      <c r="AL248" s="3">
        <f>AK248</f>
        <v>45863</v>
      </c>
      <c r="AM248" s="3">
        <f>AL248+AM252</f>
        <v>45863</v>
      </c>
      <c r="AN248" s="3">
        <f>AM248+AN252</f>
        <v>45863</v>
      </c>
      <c r="AO248" s="3">
        <f>AN248+AO252</f>
        <v>45863</v>
      </c>
      <c r="AP248" s="3">
        <f>AO248+AP252</f>
        <v>45863</v>
      </c>
      <c r="AQ248" s="3">
        <f>AP248</f>
        <v>45863</v>
      </c>
      <c r="AR248" s="3">
        <f>AQ248+AR252</f>
        <v>45863</v>
      </c>
      <c r="AS248" s="3">
        <f>AR248+AS252</f>
        <v>45863</v>
      </c>
      <c r="AT248" s="3">
        <f>AS248+AT252</f>
        <v>45863</v>
      </c>
      <c r="AU248" s="3">
        <f>AT248+AU252</f>
        <v>45863</v>
      </c>
      <c r="AV248" s="3">
        <f>AU248</f>
        <v>45863</v>
      </c>
      <c r="AW248" s="3">
        <f>AV248+AW252</f>
        <v>45863</v>
      </c>
      <c r="AX248" s="3">
        <f>AW248+AX252</f>
        <v>45863</v>
      </c>
      <c r="AY248" s="3">
        <f>AX248+AY252</f>
        <v>45863</v>
      </c>
      <c r="AZ248" s="3">
        <f>AY248+AZ252</f>
        <v>45863</v>
      </c>
      <c r="BA248" s="3">
        <f>AZ248</f>
        <v>45863</v>
      </c>
      <c r="BB248" s="3">
        <f>BA248+BB252</f>
        <v>45863</v>
      </c>
      <c r="BC248" s="3">
        <f>BB248+BC252</f>
        <v>45863</v>
      </c>
      <c r="BD248" s="3">
        <f>BC248+BD252</f>
        <v>45863</v>
      </c>
      <c r="BE248" s="3">
        <f>BD248+BE252</f>
        <v>45863</v>
      </c>
      <c r="BF248" s="3">
        <f>BE248</f>
        <v>45863</v>
      </c>
      <c r="BG248" s="3">
        <f>BF248+BG252</f>
        <v>45863</v>
      </c>
      <c r="BH248" s="3">
        <f>BG248+BH252</f>
        <v>45863</v>
      </c>
      <c r="BI248" s="3">
        <f>BH248+BI252</f>
        <v>45863</v>
      </c>
      <c r="BJ248" s="3">
        <f>BI248+BJ252</f>
        <v>45863</v>
      </c>
      <c r="BK248" s="3">
        <f>BJ248</f>
        <v>45863</v>
      </c>
      <c r="BL248" s="3">
        <f>BK248+BL252</f>
        <v>45863</v>
      </c>
      <c r="BM248" s="3">
        <f>BL248+BM252</f>
        <v>45863</v>
      </c>
      <c r="BN248" s="3">
        <f>BM248+BN252</f>
        <v>45863</v>
      </c>
      <c r="BO248" s="3">
        <f>BN248+BO252</f>
        <v>45863</v>
      </c>
      <c r="BP248" s="3">
        <f>BO248</f>
        <v>45863</v>
      </c>
      <c r="BQ248" s="3">
        <f>BP248+BQ252</f>
        <v>45863</v>
      </c>
      <c r="BR248" s="3">
        <f>BQ248+BR252</f>
        <v>45863</v>
      </c>
      <c r="BS248" s="3">
        <f>BR248+BS252</f>
        <v>45863</v>
      </c>
      <c r="BT248" s="3">
        <f>BS248+BT252</f>
        <v>45863</v>
      </c>
      <c r="BU248" s="3">
        <f>BT248</f>
        <v>45863</v>
      </c>
      <c r="BV248" s="3">
        <f>BU248+BV252</f>
        <v>45863</v>
      </c>
      <c r="BW248" s="3">
        <f>BV248+BW252</f>
        <v>45863</v>
      </c>
      <c r="BX248" s="3">
        <f>BW248+BX252</f>
        <v>45863</v>
      </c>
      <c r="BY248" s="3">
        <f>BX248+BY252</f>
        <v>45863</v>
      </c>
      <c r="BZ248" s="3">
        <f>BY248</f>
        <v>45863</v>
      </c>
      <c r="CA248" s="3">
        <f>BZ248+CA252</f>
        <v>45863</v>
      </c>
      <c r="CB248" s="3">
        <f>CA248+CB252</f>
        <v>45863</v>
      </c>
      <c r="CC248" s="3">
        <f>CB248+CC252</f>
        <v>45863</v>
      </c>
      <c r="CD248" s="3">
        <f>CC248+CD252</f>
        <v>45863</v>
      </c>
      <c r="CE248" s="3">
        <f>CD248</f>
        <v>45863</v>
      </c>
      <c r="CF248" s="3">
        <f>CE248+CF252</f>
        <v>45863</v>
      </c>
      <c r="CG248" s="3">
        <f>CF248+CG252</f>
        <v>45863</v>
      </c>
      <c r="CH248" s="3">
        <f>CG248+CH252</f>
        <v>45863</v>
      </c>
      <c r="CI248" s="3">
        <f>CH248+CI252</f>
        <v>45863</v>
      </c>
      <c r="CJ248" s="3">
        <f>CI248</f>
        <v>45863</v>
      </c>
      <c r="CK248" s="3">
        <f>CJ248+CK252</f>
        <v>45863</v>
      </c>
      <c r="CL248" s="3">
        <f>CK248+CL252</f>
        <v>45863</v>
      </c>
      <c r="CM248" s="3">
        <f>CL248+CM252</f>
        <v>45863</v>
      </c>
      <c r="CN248" s="3">
        <f>CM248+CN252</f>
        <v>45863</v>
      </c>
      <c r="CO248" s="3">
        <f>CN248</f>
        <v>45863</v>
      </c>
      <c r="CP248" s="3">
        <f>CO248+CP252</f>
        <v>45863</v>
      </c>
      <c r="CQ248" s="3">
        <f>CP248+CQ252</f>
        <v>45863</v>
      </c>
      <c r="CR248" s="3">
        <f>CQ248+CR252</f>
        <v>45863</v>
      </c>
      <c r="CS248" s="3">
        <f>CR248+CS252</f>
        <v>45863</v>
      </c>
      <c r="CT248" s="3">
        <f>CS248</f>
        <v>45863</v>
      </c>
      <c r="CU248" s="3">
        <f>CT248+CU252</f>
        <v>45863</v>
      </c>
      <c r="CV248" s="3">
        <f>CU248+CV252</f>
        <v>45863</v>
      </c>
      <c r="CW248" s="3">
        <f>CV248+CW252</f>
        <v>45863</v>
      </c>
      <c r="CX248" s="3">
        <f>CW248+CX252</f>
        <v>45863</v>
      </c>
      <c r="CY248" s="3">
        <f>CX248</f>
        <v>45863</v>
      </c>
    </row>
    <row r="249" hidden="1" outlineLevel="1" customFormat="1" s="39">
      <c r="A249" s="19" t="n"/>
      <c r="B249" s="19" t="n"/>
      <c r="C249" s="41" t="n"/>
      <c r="D249" s="22" t="n"/>
      <c r="E249" s="22" t="n"/>
      <c r="F249" s="22" t="n"/>
      <c r="G249" s="22" t="n"/>
      <c r="H249" s="22" t="n"/>
      <c r="I249" s="22" t="n"/>
      <c r="J249" s="22" t="n"/>
      <c r="K249" s="22" t="n"/>
      <c r="L249" s="22" t="n"/>
      <c r="M249" s="22" t="n"/>
      <c r="N249" s="22" t="n"/>
      <c r="O249" s="22" t="n"/>
      <c r="P249" s="22" t="n"/>
      <c r="Q249" s="22" t="n"/>
      <c r="R249" s="22" t="n"/>
      <c r="S249" s="22" t="n"/>
      <c r="T249" s="22" t="n"/>
      <c r="U249" s="22" t="n"/>
      <c r="V249" s="22" t="n"/>
      <c r="W249" s="22" t="n"/>
      <c r="X249" s="22" t="n"/>
      <c r="Y249" s="22" t="n"/>
      <c r="Z249" s="22" t="n"/>
      <c r="AA249" s="22" t="n"/>
      <c r="AB249" s="22" t="n"/>
      <c r="AC249" s="22" t="n"/>
      <c r="AD249" s="22" t="n"/>
      <c r="AE249" s="22" t="n"/>
      <c r="AF249" s="22" t="n"/>
      <c r="AG249" s="22" t="n"/>
      <c r="AH249" s="22" t="n"/>
      <c r="AI249" s="22" t="n"/>
      <c r="AJ249" s="22" t="n"/>
      <c r="AK249" s="22" t="n"/>
      <c r="AL249" s="22" t="n"/>
      <c r="AM249" s="22" t="n"/>
      <c r="AN249" s="22" t="n"/>
      <c r="AO249" s="22" t="n"/>
      <c r="AP249" s="22" t="n"/>
      <c r="AQ249" s="22" t="n"/>
      <c r="AR249" s="22" t="n"/>
      <c r="AS249" s="22" t="n"/>
      <c r="AT249" s="22" t="n"/>
      <c r="AU249" s="22" t="n"/>
      <c r="AV249" s="22" t="n"/>
      <c r="AW249" s="22" t="n"/>
      <c r="AX249" s="22" t="n"/>
      <c r="AY249" s="22" t="n"/>
      <c r="AZ249" s="22" t="n"/>
      <c r="BA249" s="22" t="n"/>
      <c r="BB249" s="22" t="n"/>
      <c r="BC249" s="22" t="n"/>
      <c r="BD249" s="22" t="n"/>
      <c r="BE249" s="22" t="n"/>
      <c r="BF249" s="22" t="n"/>
      <c r="BG249" s="22" t="n"/>
      <c r="BH249" s="22" t="n"/>
      <c r="BI249" s="22" t="n"/>
      <c r="BJ249" s="22" t="n"/>
      <c r="BK249" s="22" t="n"/>
      <c r="BL249" s="22" t="n"/>
      <c r="BM249" s="22" t="n"/>
      <c r="BN249" s="22" t="n"/>
      <c r="BO249" s="22" t="n"/>
      <c r="BP249" s="22" t="n"/>
      <c r="BQ249" s="22" t="n"/>
      <c r="BR249" s="22" t="n"/>
      <c r="BS249" s="22" t="n"/>
      <c r="BT249" s="22" t="n"/>
      <c r="BU249" s="22" t="n"/>
      <c r="BV249" s="22" t="n"/>
      <c r="BW249" s="22" t="n"/>
      <c r="BX249" s="22" t="n"/>
      <c r="BY249" s="22" t="n"/>
      <c r="BZ249" s="22" t="n"/>
      <c r="CA249" s="22" t="n"/>
      <c r="CB249" s="22" t="n"/>
      <c r="CC249" s="22" t="n"/>
      <c r="CD249" s="22" t="n"/>
      <c r="CE249" s="22" t="n"/>
      <c r="CF249" s="22" t="n"/>
      <c r="CG249" s="22" t="n"/>
      <c r="CH249" s="22" t="n"/>
      <c r="CI249" s="22" t="n"/>
      <c r="CJ249" s="22" t="n"/>
      <c r="CK249" s="22" t="n"/>
      <c r="CL249" s="22" t="n"/>
      <c r="CM249" s="22" t="n"/>
      <c r="CN249" s="22" t="n"/>
      <c r="CO249" s="22" t="n"/>
      <c r="CP249" s="22" t="n"/>
      <c r="CQ249" s="22" t="n"/>
      <c r="CR249" s="22" t="n"/>
      <c r="CS249" s="22" t="n"/>
      <c r="CT249" s="22" t="n"/>
      <c r="CU249" s="22" t="n"/>
      <c r="CV249" s="22" t="n"/>
      <c r="CW249" s="22" t="n"/>
      <c r="CX249" s="22" t="n"/>
      <c r="CY249" s="22" t="n"/>
    </row>
    <row r="250" hidden="1" outlineLevel="1" customFormat="1" s="39">
      <c r="A250" s="19" t="n"/>
      <c r="B250" s="19" t="n"/>
      <c r="C250" s="41" t="inlineStr">
        <is>
          <t>Diluted Shares outstanding</t>
        </is>
      </c>
      <c r="D250" s="22" t="n"/>
      <c r="E250" s="22" t="n"/>
      <c r="F250" s="22" t="n"/>
      <c r="G250" s="22" t="n"/>
      <c r="H250" s="22" t="n"/>
      <c r="I250" s="22" t="n"/>
      <c r="J250" s="22" t="n"/>
      <c r="K250" s="22" t="n"/>
      <c r="L250" s="22" t="n"/>
      <c r="M250" s="22" t="n"/>
      <c r="N250" s="22" t="n"/>
      <c r="O250" s="22" t="n"/>
      <c r="P250" s="22" t="n"/>
      <c r="Q250" s="22" t="n"/>
      <c r="R250" s="22" t="n"/>
      <c r="S250" s="22" t="n"/>
      <c r="T250" s="22" t="n"/>
      <c r="U250" s="22" t="n"/>
      <c r="V250" s="22" t="n"/>
      <c r="W250" s="22" t="n"/>
      <c r="X250" s="22" t="n"/>
      <c r="Y250" s="22" t="n"/>
      <c r="Z250" s="22" t="n"/>
      <c r="AA250" s="22" t="n"/>
      <c r="AB250" s="22" t="n"/>
      <c r="AC250" s="22" t="n"/>
      <c r="AD250" s="22" t="n"/>
      <c r="AE250" s="22" t="n"/>
      <c r="AF250" s="22" t="n"/>
      <c r="AG250" s="22" t="n"/>
      <c r="AH250" s="22" t="n"/>
      <c r="AI250" s="22" t="n"/>
      <c r="AJ250" s="22" t="n"/>
      <c r="AK250" s="22" t="n"/>
      <c r="AL250" s="22" t="n"/>
      <c r="AM250" s="22" t="n"/>
      <c r="AN250" s="22" t="n"/>
      <c r="AO250" s="22" t="n"/>
      <c r="AP250" s="22" t="n"/>
      <c r="AQ250" s="22" t="n"/>
      <c r="AR250" s="22" t="n"/>
      <c r="AS250" s="22" t="n"/>
      <c r="AT250" s="22" t="n"/>
      <c r="AU250" s="22" t="n"/>
      <c r="AV250" s="22" t="n"/>
      <c r="AW250" s="22" t="n"/>
      <c r="AX250" s="22" t="n"/>
      <c r="AY250" s="22" t="n"/>
      <c r="AZ250" s="22" t="n"/>
      <c r="BA250" s="22" t="n"/>
      <c r="BB250" s="22" t="n"/>
      <c r="BC250" s="22" t="n"/>
      <c r="BD250" s="22" t="n"/>
      <c r="BE250" s="22" t="n"/>
      <c r="BF250" s="22" t="n"/>
      <c r="BG250" s="22" t="n"/>
      <c r="BH250" s="22" t="n"/>
      <c r="BI250" s="22" t="n"/>
      <c r="BJ250" s="22" t="n"/>
      <c r="BK250" s="22" t="n"/>
      <c r="BL250" s="22" t="n"/>
      <c r="BM250" s="22" t="n"/>
      <c r="BN250" s="22" t="n"/>
      <c r="BO250" s="22" t="n"/>
      <c r="BP250" s="22" t="n"/>
      <c r="BQ250" s="22" t="n"/>
      <c r="BR250" s="22" t="n"/>
      <c r="BS250" s="22" t="n"/>
      <c r="BT250" s="22" t="n"/>
      <c r="BU250" s="22" t="n"/>
      <c r="BV250" s="22" t="n"/>
      <c r="BW250" s="22" t="n"/>
      <c r="BX250" s="22" t="n"/>
      <c r="BY250" s="22" t="n"/>
      <c r="BZ250" s="22" t="n"/>
      <c r="CA250" s="22" t="n"/>
      <c r="CB250" s="22" t="n"/>
      <c r="CC250" s="22" t="n"/>
      <c r="CD250" s="22" t="n"/>
      <c r="CE250" s="22" t="n"/>
      <c r="CF250" s="22" t="n"/>
      <c r="CG250" s="22" t="n"/>
      <c r="CH250" s="22" t="n"/>
      <c r="CI250" s="22" t="n"/>
      <c r="CJ250" s="22" t="n"/>
      <c r="CK250" s="22" t="n"/>
      <c r="CL250" s="22" t="n"/>
      <c r="CM250" s="22" t="n"/>
      <c r="CN250" s="22" t="n"/>
      <c r="CO250" s="22" t="n"/>
      <c r="CP250" s="22" t="n"/>
      <c r="CQ250" s="22" t="n"/>
      <c r="CR250" s="22" t="n"/>
      <c r="CS250" s="22" t="n"/>
      <c r="CT250" s="22" t="n"/>
      <c r="CU250" s="22" t="n"/>
      <c r="CV250" s="22" t="n"/>
      <c r="CW250" s="22" t="n"/>
      <c r="CX250" s="22" t="n"/>
      <c r="CY250" s="22" t="n"/>
    </row>
    <row r="251" hidden="1" outlineLevel="1" customFormat="1" s="39">
      <c r="A251" s="19" t="n"/>
      <c r="B251" s="19" t="n"/>
      <c r="C251" s="41" t="inlineStr">
        <is>
          <t>Treasury share $ repurchases</t>
        </is>
      </c>
      <c r="D251" s="22" t="n"/>
      <c r="E251" s="22" t="n"/>
      <c r="F251" s="22" t="n"/>
      <c r="G251" s="22" t="n"/>
      <c r="H251" s="22" t="n"/>
      <c r="I251" s="22" t="n"/>
      <c r="J251" s="22" t="n"/>
      <c r="K251" s="22" t="n"/>
      <c r="L251" s="22" t="n"/>
      <c r="M251" s="22" t="n"/>
      <c r="N251" s="22" t="n"/>
      <c r="O251" s="22" t="n"/>
      <c r="P251" s="22" t="n"/>
      <c r="Q251" s="22" t="n"/>
      <c r="R251" s="22" t="n"/>
      <c r="S251" s="22" t="n"/>
      <c r="T251" s="22" t="n"/>
      <c r="U251" s="22" t="n"/>
      <c r="V251" s="22" t="n"/>
      <c r="W251" s="22" t="n"/>
      <c r="X251" s="22" t="n"/>
      <c r="Y251" s="22" t="n"/>
      <c r="Z251" s="22" t="n"/>
      <c r="AA251" s="22" t="n"/>
      <c r="AB251" s="22" t="n"/>
      <c r="AC251" s="22" t="n"/>
      <c r="AD251" s="22" t="n"/>
      <c r="AE251" s="22" t="n"/>
      <c r="AF251" s="22" t="n"/>
      <c r="AG251" s="22" t="n"/>
      <c r="AH251" s="6" t="n"/>
      <c r="AI251" s="6" t="n"/>
      <c r="AJ251" s="6" t="n"/>
      <c r="AK251" s="6" t="n"/>
      <c r="AL251" s="22" t="n"/>
      <c r="AM251" s="6" t="n"/>
      <c r="AN251" s="6" t="n"/>
      <c r="AO251" s="6" t="n"/>
      <c r="AP251" s="6" t="n"/>
      <c r="AQ251" s="22" t="n"/>
      <c r="AR251" s="6" t="n"/>
      <c r="AS251" s="6" t="n"/>
      <c r="AT251" s="6" t="n"/>
      <c r="AU251" s="6" t="n"/>
      <c r="AV251" s="22" t="n"/>
      <c r="AW251" s="6" t="n"/>
      <c r="AX251" s="6" t="n"/>
      <c r="AY251" s="6" t="n"/>
      <c r="AZ251" s="6" t="n"/>
      <c r="BA251" s="22" t="n"/>
      <c r="BB251" s="6" t="n"/>
      <c r="BC251" s="6" t="n"/>
      <c r="BD251" s="6" t="n"/>
      <c r="BE251" s="6" t="n"/>
      <c r="BF251" s="22" t="n"/>
      <c r="BG251" s="6" t="n"/>
      <c r="BH251" s="6" t="n"/>
      <c r="BI251" s="6" t="n"/>
      <c r="BJ251" s="6" t="n"/>
      <c r="BK251" s="22" t="n"/>
      <c r="BL251" s="6" t="n"/>
      <c r="BM251" s="6" t="n"/>
      <c r="BN251" s="6" t="n"/>
      <c r="BO251" s="6" t="n"/>
      <c r="BP251" s="22" t="n"/>
      <c r="BQ251" s="6" t="n"/>
      <c r="BR251" s="6" t="n"/>
      <c r="BS251" s="6" t="n"/>
      <c r="BT251" s="6" t="n"/>
      <c r="BU251" s="22" t="n"/>
      <c r="BV251" s="6" t="n"/>
      <c r="BW251" s="6" t="n"/>
      <c r="BX251" s="6" t="n"/>
      <c r="BY251" s="6" t="n"/>
      <c r="BZ251" s="22" t="n"/>
      <c r="CA251" s="6" t="n"/>
      <c r="CB251" s="6" t="n"/>
      <c r="CC251" s="6" t="n"/>
      <c r="CD251" s="6" t="n"/>
      <c r="CE251" s="22" t="n"/>
      <c r="CF251" s="6" t="n"/>
      <c r="CG251" s="6" t="n"/>
      <c r="CH251" s="6" t="n"/>
      <c r="CI251" s="6" t="n"/>
      <c r="CJ251" s="22" t="n"/>
      <c r="CK251" s="6" t="n"/>
      <c r="CL251" s="6" t="n"/>
      <c r="CM251" s="6" t="n"/>
      <c r="CN251" s="6" t="n"/>
      <c r="CO251" s="22" t="n"/>
      <c r="CP251" s="6" t="n"/>
      <c r="CQ251" s="6" t="n"/>
      <c r="CR251" s="6" t="n"/>
      <c r="CS251" s="6" t="n"/>
      <c r="CT251" s="22" t="n"/>
      <c r="CU251" s="6" t="n"/>
      <c r="CV251" s="6" t="n"/>
      <c r="CW251" s="6" t="n"/>
      <c r="CX251" s="6" t="n"/>
      <c r="CY251" s="22" t="n"/>
    </row>
    <row r="252" hidden="1" outlineLevel="1" customFormat="1" s="39">
      <c r="A252" s="19" t="n"/>
      <c r="B252" s="19" t="n"/>
      <c r="C252" s="41" t="inlineStr">
        <is>
          <t>Value of shares issued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2" t="n"/>
      <c r="M252" s="22" t="n"/>
      <c r="N252" s="22" t="n"/>
      <c r="O252" s="22" t="n"/>
      <c r="P252" s="22" t="n"/>
      <c r="Q252" s="22" t="n"/>
      <c r="R252" s="22" t="n"/>
      <c r="S252" s="22" t="n"/>
      <c r="T252" s="22" t="n"/>
      <c r="U252" s="22" t="n"/>
      <c r="V252" s="22" t="n"/>
      <c r="W252" s="22" t="n"/>
      <c r="X252" s="22" t="n"/>
      <c r="Y252" s="22" t="n"/>
      <c r="Z252" s="22" t="n"/>
      <c r="AA252" s="22" t="n"/>
      <c r="AB252" s="22" t="n"/>
      <c r="AC252" s="22" t="n"/>
      <c r="AD252" s="22" t="n"/>
      <c r="AE252" s="22" t="n"/>
      <c r="AF252" s="22" t="n"/>
      <c r="AG252" s="22" t="n"/>
      <c r="AH252" s="6" t="n"/>
      <c r="AI252" s="6" t="n"/>
      <c r="AJ252" s="6" t="n"/>
      <c r="AK252" s="6" t="n"/>
      <c r="AL252" s="22" t="n"/>
      <c r="AM252" s="6" t="n"/>
      <c r="AN252" s="6" t="n"/>
      <c r="AO252" s="6" t="n"/>
      <c r="AP252" s="6" t="n"/>
      <c r="AQ252" s="22" t="n"/>
      <c r="AR252" s="6" t="n"/>
      <c r="AS252" s="6" t="n"/>
      <c r="AT252" s="6" t="n"/>
      <c r="AU252" s="6" t="n"/>
      <c r="AV252" s="22" t="n"/>
      <c r="AW252" s="6" t="n"/>
      <c r="AX252" s="6" t="n"/>
      <c r="AY252" s="6" t="n"/>
      <c r="AZ252" s="6" t="n"/>
      <c r="BA252" s="22" t="n"/>
      <c r="BB252" s="6" t="n"/>
      <c r="BC252" s="6" t="n"/>
      <c r="BD252" s="6" t="n"/>
      <c r="BE252" s="6" t="n"/>
      <c r="BF252" s="22" t="n"/>
      <c r="BG252" s="6" t="n"/>
      <c r="BH252" s="6" t="n"/>
      <c r="BI252" s="6" t="n"/>
      <c r="BJ252" s="6" t="n"/>
      <c r="BK252" s="22" t="n"/>
      <c r="BL252" s="6" t="n"/>
      <c r="BM252" s="6" t="n"/>
      <c r="BN252" s="6" t="n"/>
      <c r="BO252" s="6" t="n"/>
      <c r="BP252" s="22" t="n"/>
      <c r="BQ252" s="6" t="n"/>
      <c r="BR252" s="6" t="n"/>
      <c r="BS252" s="6" t="n"/>
      <c r="BT252" s="6" t="n"/>
      <c r="BU252" s="22" t="n"/>
      <c r="BV252" s="6" t="n"/>
      <c r="BW252" s="6" t="n"/>
      <c r="BX252" s="6" t="n"/>
      <c r="BY252" s="6" t="n"/>
      <c r="BZ252" s="22" t="n"/>
      <c r="CA252" s="6" t="n"/>
      <c r="CB252" s="6" t="n"/>
      <c r="CC252" s="6" t="n"/>
      <c r="CD252" s="6" t="n"/>
      <c r="CE252" s="22" t="n"/>
      <c r="CF252" s="6" t="n"/>
      <c r="CG252" s="6" t="n"/>
      <c r="CH252" s="6" t="n"/>
      <c r="CI252" s="6" t="n"/>
      <c r="CJ252" s="22" t="n"/>
      <c r="CK252" s="6" t="n"/>
      <c r="CL252" s="6" t="n"/>
      <c r="CM252" s="6" t="n"/>
      <c r="CN252" s="6" t="n"/>
      <c r="CO252" s="22" t="n"/>
      <c r="CP252" s="6" t="n"/>
      <c r="CQ252" s="6" t="n"/>
      <c r="CR252" s="6" t="n"/>
      <c r="CS252" s="6" t="n"/>
      <c r="CT252" s="22" t="n"/>
      <c r="CU252" s="6" t="n"/>
      <c r="CV252" s="6" t="n"/>
      <c r="CW252" s="6" t="n"/>
      <c r="CX252" s="6" t="n"/>
      <c r="CY252" s="22" t="n"/>
    </row>
    <row r="253" hidden="1" outlineLevel="1" customFormat="1" s="39">
      <c r="A253" s="19" t="n"/>
      <c r="B253" s="19" t="n"/>
      <c r="C253" s="41" t="inlineStr">
        <is>
          <t>Expected average share price</t>
        </is>
      </c>
      <c r="D253" s="22" t="n"/>
      <c r="E253" s="22" t="n"/>
      <c r="F253" s="22" t="n"/>
      <c r="G253" s="22" t="n"/>
      <c r="H253" s="22" t="n"/>
      <c r="I253" s="22" t="n"/>
      <c r="J253" s="22" t="n"/>
      <c r="K253" s="22" t="n"/>
      <c r="L253" s="22" t="n"/>
      <c r="M253" s="22" t="n"/>
      <c r="N253" s="22" t="n"/>
      <c r="O253" s="22" t="n"/>
      <c r="P253" s="22" t="n"/>
      <c r="Q253" s="22" t="n"/>
      <c r="R253" s="22" t="n"/>
      <c r="S253" s="22" t="n"/>
      <c r="T253" s="22" t="n"/>
      <c r="U253" s="22" t="n"/>
      <c r="V253" s="22" t="n"/>
      <c r="W253" s="22" t="n"/>
      <c r="X253" s="22" t="n"/>
      <c r="Y253" s="22" t="n"/>
      <c r="Z253" s="22" t="n"/>
      <c r="AA253" s="22" t="n"/>
      <c r="AB253" s="22" t="n"/>
      <c r="AC253" s="22" t="n"/>
      <c r="AD253" s="22" t="n"/>
      <c r="AE253" s="22" t="n"/>
      <c r="AF253" s="22" t="n"/>
      <c r="AG253" s="251" t="n"/>
      <c r="AH253" s="42">
        <f>AG253*(1+AH254)</f>
        <v>0</v>
      </c>
      <c r="AI253" s="42">
        <f>AH253*(1+AI254)</f>
        <v>0</v>
      </c>
      <c r="AJ253" s="42">
        <f>AI253*(1+AJ254)</f>
        <v>0</v>
      </c>
      <c r="AK253" s="42">
        <f>AJ253*(1+AK254)</f>
        <v>0</v>
      </c>
      <c r="AL253" s="22" t="n"/>
      <c r="AM253" s="42">
        <f>AK253*(1+AM254)</f>
        <v>0</v>
      </c>
      <c r="AN253" s="42">
        <f>AM253*(1+AN254)</f>
        <v>0</v>
      </c>
      <c r="AO253" s="42">
        <f>AN253*(1+AO254)</f>
        <v>0</v>
      </c>
      <c r="AP253" s="42">
        <f>AO253*(1+AP254)</f>
        <v>0</v>
      </c>
      <c r="AQ253" s="22" t="n"/>
      <c r="AR253" s="42">
        <f>AP253*(1+AR254)</f>
        <v>0</v>
      </c>
      <c r="AS253" s="42">
        <f>AR253*(1+AS254)</f>
        <v>0</v>
      </c>
      <c r="AT253" s="42">
        <f>AS253*(1+AT254)</f>
        <v>0</v>
      </c>
      <c r="AU253" s="42">
        <f>AT253*(1+AU254)</f>
        <v>0</v>
      </c>
      <c r="AV253" s="22" t="n"/>
      <c r="AW253" s="42">
        <f>AU253*(1+AW254)</f>
        <v>0</v>
      </c>
      <c r="AX253" s="42">
        <f>AW253*(1+AX254)</f>
        <v>0</v>
      </c>
      <c r="AY253" s="42">
        <f>AX253*(1+AY254)</f>
        <v>0</v>
      </c>
      <c r="AZ253" s="42">
        <f>AY253*(1+AZ254)</f>
        <v>0</v>
      </c>
      <c r="BA253" s="22" t="n"/>
      <c r="BB253" s="42">
        <f>AZ253*(1+BB254)</f>
        <v>0</v>
      </c>
      <c r="BC253" s="42">
        <f>BB253*(1+BC254)</f>
        <v>0</v>
      </c>
      <c r="BD253" s="42">
        <f>BC253*(1+BD254)</f>
        <v>0</v>
      </c>
      <c r="BE253" s="42">
        <f>BD253*(1+BE254)</f>
        <v>0</v>
      </c>
      <c r="BF253" s="22" t="n"/>
      <c r="BG253" s="42">
        <f>BE253*(1+BG254)</f>
        <v>0</v>
      </c>
      <c r="BH253" s="42">
        <f>BG253*(1+BH254)</f>
        <v>0</v>
      </c>
      <c r="BI253" s="42">
        <f>BH253*(1+BI254)</f>
        <v>0</v>
      </c>
      <c r="BJ253" s="42">
        <f>BI253*(1+BJ254)</f>
        <v>0</v>
      </c>
      <c r="BK253" s="22" t="n"/>
      <c r="BL253" s="42">
        <f>BJ253*(1+BL254)</f>
        <v>0</v>
      </c>
      <c r="BM253" s="42">
        <f>BL253*(1+BM254)</f>
        <v>0</v>
      </c>
      <c r="BN253" s="42">
        <f>BM253*(1+BN254)</f>
        <v>0</v>
      </c>
      <c r="BO253" s="42">
        <f>BN253*(1+BO254)</f>
        <v>0</v>
      </c>
      <c r="BP253" s="22" t="n"/>
      <c r="BQ253" s="42">
        <f>BO253*(1+BQ254)</f>
        <v>0</v>
      </c>
      <c r="BR253" s="42">
        <f>BQ253*(1+BR254)</f>
        <v>0</v>
      </c>
      <c r="BS253" s="42">
        <f>BR253*(1+BS254)</f>
        <v>0</v>
      </c>
      <c r="BT253" s="42">
        <f>BS253*(1+BT254)</f>
        <v>0</v>
      </c>
      <c r="BU253" s="22" t="n"/>
      <c r="BV253" s="42">
        <f>BT253*(1+BV254)</f>
        <v>0</v>
      </c>
      <c r="BW253" s="42">
        <f>BV253*(1+BW254)</f>
        <v>0</v>
      </c>
      <c r="BX253" s="42">
        <f>BW253*(1+BX254)</f>
        <v>0</v>
      </c>
      <c r="BY253" s="42">
        <f>BX253*(1+BY254)</f>
        <v>0</v>
      </c>
      <c r="BZ253" s="22" t="n"/>
      <c r="CA253" s="42">
        <f>BY253*(1+CA254)</f>
        <v>0</v>
      </c>
      <c r="CB253" s="42">
        <f>CA253*(1+CB254)</f>
        <v>0</v>
      </c>
      <c r="CC253" s="42">
        <f>CB253*(1+CC254)</f>
        <v>0</v>
      </c>
      <c r="CD253" s="42">
        <f>CC253*(1+CD254)</f>
        <v>0</v>
      </c>
      <c r="CE253" s="22" t="n"/>
      <c r="CF253" s="42">
        <f>CD253*(1+CF254)</f>
        <v>0</v>
      </c>
      <c r="CG253" s="42">
        <f>CF253*(1+CG254)</f>
        <v>0</v>
      </c>
      <c r="CH253" s="42">
        <f>CG253*(1+CH254)</f>
        <v>0</v>
      </c>
      <c r="CI253" s="42">
        <f>CH253*(1+CI254)</f>
        <v>0</v>
      </c>
      <c r="CJ253" s="22" t="n"/>
      <c r="CK253" s="42">
        <f>CI253*(1+CK254)</f>
        <v>0</v>
      </c>
      <c r="CL253" s="42">
        <f>CK253*(1+CL254)</f>
        <v>0</v>
      </c>
      <c r="CM253" s="42">
        <f>CL253*(1+CM254)</f>
        <v>0</v>
      </c>
      <c r="CN253" s="42">
        <f>CM253*(1+CN254)</f>
        <v>0</v>
      </c>
      <c r="CO253" s="22" t="n"/>
      <c r="CP253" s="42">
        <f>CN253*(1+CP254)</f>
        <v>0</v>
      </c>
      <c r="CQ253" s="42">
        <f>CP253*(1+CQ254)</f>
        <v>0</v>
      </c>
      <c r="CR253" s="42">
        <f>CQ253*(1+CR254)</f>
        <v>0</v>
      </c>
      <c r="CS253" s="42">
        <f>CR253*(1+CS254)</f>
        <v>0</v>
      </c>
      <c r="CT253" s="22" t="n"/>
      <c r="CU253" s="42">
        <f>CS253*(1+CU254)</f>
        <v>0</v>
      </c>
      <c r="CV253" s="42">
        <f>CU253*(1+CV254)</f>
        <v>0</v>
      </c>
      <c r="CW253" s="42">
        <f>CV253*(1+CW254)</f>
        <v>0</v>
      </c>
      <c r="CX253" s="42">
        <f>CW253*(1+CX254)</f>
        <v>0</v>
      </c>
      <c r="CY253" s="22" t="n"/>
      <c r="CZ253">
        <f>CX253*(1+CZ254)</f>
        <v>0</v>
      </c>
      <c r="DA253">
        <f>CZ253*(1+DA254)</f>
        <v>0</v>
      </c>
      <c r="DB253">
        <f>DA253*(1+DB254)</f>
        <v>0</v>
      </c>
      <c r="DC253">
        <f>DB253*(1+DC254)</f>
        <v>0</v>
      </c>
    </row>
    <row r="254" hidden="1" outlineLevel="1" customFormat="1" s="39">
      <c r="A254" s="19" t="n"/>
      <c r="B254" s="19" t="n"/>
      <c r="C254" s="41" t="inlineStr">
        <is>
          <t>Consensus EPS growth</t>
        </is>
      </c>
      <c r="D254" s="22" t="n"/>
      <c r="E254" s="22" t="n"/>
      <c r="F254" s="22" t="n"/>
      <c r="G254" s="22" t="n"/>
      <c r="H254" s="22" t="n"/>
      <c r="I254" s="22" t="n"/>
      <c r="J254" s="22" t="n"/>
      <c r="K254" s="22" t="n"/>
      <c r="L254" s="22" t="n"/>
      <c r="M254" s="22" t="n"/>
      <c r="N254" s="22" t="n"/>
      <c r="O254" s="22" t="n"/>
      <c r="P254" s="22" t="n"/>
      <c r="Q254" s="22" t="n"/>
      <c r="R254" s="22" t="n"/>
      <c r="S254" s="22" t="n"/>
      <c r="T254" s="22" t="n"/>
      <c r="U254" s="22" t="n"/>
      <c r="V254" s="22" t="n"/>
      <c r="W254" s="22" t="n"/>
      <c r="X254" s="22" t="n"/>
      <c r="Y254" s="22" t="n"/>
      <c r="Z254" s="22" t="n"/>
      <c r="AA254" s="22" t="n"/>
      <c r="AB254" s="22" t="n"/>
      <c r="AC254" s="22" t="n"/>
      <c r="AD254" s="22" t="n"/>
      <c r="AE254" s="22" t="n"/>
      <c r="AF254" s="22" t="n"/>
      <c r="AG254" s="22" t="n"/>
      <c r="AH254" s="40">
        <f>$AL$259</f>
        <v>0</v>
      </c>
      <c r="AI254" s="40">
        <f>$AL$259</f>
        <v>0</v>
      </c>
      <c r="AJ254" s="40">
        <f>$AL$259</f>
        <v>0</v>
      </c>
      <c r="AK254" s="40">
        <f>$AL$259</f>
        <v>0</v>
      </c>
      <c r="AL254" s="22" t="n"/>
      <c r="AM254" s="40">
        <f>$AL$259</f>
        <v>0</v>
      </c>
      <c r="AN254" s="40">
        <f>$AL$259</f>
        <v>0</v>
      </c>
      <c r="AO254" s="40">
        <f>$AL$259</f>
        <v>0</v>
      </c>
      <c r="AP254" s="40">
        <f>$AL$259</f>
        <v>0</v>
      </c>
      <c r="AQ254" s="22" t="n"/>
      <c r="AR254" s="40">
        <f>$AL$259</f>
        <v>0</v>
      </c>
      <c r="AS254" s="40">
        <f>$AL$259</f>
        <v>0</v>
      </c>
      <c r="AT254" s="40">
        <f>$AL$259</f>
        <v>0</v>
      </c>
      <c r="AU254" s="40">
        <f>$AL$259</f>
        <v>0</v>
      </c>
      <c r="AV254" s="22" t="n"/>
      <c r="AW254" s="40">
        <f>$AL$259</f>
        <v>0</v>
      </c>
      <c r="AX254" s="40">
        <f>$AL$259</f>
        <v>0</v>
      </c>
      <c r="AY254" s="40">
        <f>$AL$259</f>
        <v>0</v>
      </c>
      <c r="AZ254" s="40">
        <f>$AL$259</f>
        <v>0</v>
      </c>
      <c r="BA254" s="22" t="n"/>
      <c r="BB254" s="40">
        <f>$AL$259</f>
        <v>0</v>
      </c>
      <c r="BC254" s="40">
        <f>$AL$259</f>
        <v>0</v>
      </c>
      <c r="BD254" s="40">
        <f>$AL$259</f>
        <v>0</v>
      </c>
      <c r="BE254" s="40">
        <f>$AL$259</f>
        <v>0</v>
      </c>
      <c r="BF254" s="22" t="n"/>
      <c r="BG254" s="40">
        <f>$AL$259</f>
        <v>0</v>
      </c>
      <c r="BH254" s="40">
        <f>$AL$259</f>
        <v>0</v>
      </c>
      <c r="BI254" s="40">
        <f>$AL$259</f>
        <v>0</v>
      </c>
      <c r="BJ254" s="40">
        <f>$AL$259</f>
        <v>0</v>
      </c>
      <c r="BK254" s="22" t="n"/>
      <c r="BL254" s="40">
        <f>$AL$259</f>
        <v>0</v>
      </c>
      <c r="BM254" s="40">
        <f>$AL$259</f>
        <v>0</v>
      </c>
      <c r="BN254" s="40">
        <f>$AL$259</f>
        <v>0</v>
      </c>
      <c r="BO254" s="40">
        <f>$AL$259</f>
        <v>0</v>
      </c>
      <c r="BP254" s="22" t="n"/>
      <c r="BQ254" s="40">
        <f>$AL$259</f>
        <v>0</v>
      </c>
      <c r="BR254" s="40">
        <f>$AL$259</f>
        <v>0</v>
      </c>
      <c r="BS254" s="40">
        <f>$AL$259</f>
        <v>0</v>
      </c>
      <c r="BT254" s="40">
        <f>$AL$259</f>
        <v>0</v>
      </c>
      <c r="BU254" s="22" t="n"/>
      <c r="BV254" s="40">
        <f>$AL$259</f>
        <v>0</v>
      </c>
      <c r="BW254" s="40">
        <f>$AL$259</f>
        <v>0</v>
      </c>
      <c r="BX254" s="40">
        <f>$AL$259</f>
        <v>0</v>
      </c>
      <c r="BY254" s="40">
        <f>$AL$259</f>
        <v>0</v>
      </c>
      <c r="BZ254" s="22" t="n"/>
      <c r="CA254" s="40">
        <f>$AL$259</f>
        <v>0</v>
      </c>
      <c r="CB254" s="40">
        <f>$AL$259</f>
        <v>0</v>
      </c>
      <c r="CC254" s="40">
        <f>$AL$259</f>
        <v>0</v>
      </c>
      <c r="CD254" s="40">
        <f>$AL$259</f>
        <v>0</v>
      </c>
      <c r="CE254" s="22" t="n"/>
      <c r="CF254" s="40">
        <f>$AL$259</f>
        <v>0</v>
      </c>
      <c r="CG254" s="40">
        <f>$AL$259</f>
        <v>0</v>
      </c>
      <c r="CH254" s="40">
        <f>$AL$259</f>
        <v>0</v>
      </c>
      <c r="CI254" s="40">
        <f>$AL$259</f>
        <v>0</v>
      </c>
      <c r="CJ254" s="22" t="n"/>
      <c r="CK254" s="40">
        <f>$AL$259</f>
        <v>0</v>
      </c>
      <c r="CL254" s="40">
        <f>$AL$259</f>
        <v>0</v>
      </c>
      <c r="CM254" s="40">
        <f>$AL$259</f>
        <v>0</v>
      </c>
      <c r="CN254" s="40">
        <f>$AL$259</f>
        <v>0</v>
      </c>
      <c r="CO254" s="22" t="n"/>
      <c r="CP254" s="40">
        <f>$AL$259</f>
        <v>0</v>
      </c>
      <c r="CQ254" s="40">
        <f>$AL$259</f>
        <v>0</v>
      </c>
      <c r="CR254" s="40">
        <f>$AL$259</f>
        <v>0</v>
      </c>
      <c r="CS254" s="40">
        <f>$AL$259</f>
        <v>0</v>
      </c>
      <c r="CT254" s="22" t="n"/>
      <c r="CU254" s="40">
        <f>$AL$259</f>
        <v>0</v>
      </c>
      <c r="CV254" s="40">
        <f>$AL$259</f>
        <v>0</v>
      </c>
      <c r="CW254" s="40">
        <f>$AL$259</f>
        <v>0</v>
      </c>
      <c r="CX254" s="40">
        <f>$AL$259</f>
        <v>0</v>
      </c>
      <c r="CY254" s="22" t="n"/>
    </row>
    <row r="255" hidden="1" outlineLevel="1" customFormat="1" s="39">
      <c r="A255" s="19" t="n"/>
      <c r="B255" s="19" t="n"/>
      <c r="C255" s="41" t="n"/>
      <c r="D255" s="22" t="n"/>
      <c r="E255" s="22" t="n"/>
      <c r="F255" s="22" t="n"/>
      <c r="G255" s="22" t="n"/>
      <c r="H255" s="22" t="n"/>
      <c r="I255" s="22" t="n"/>
      <c r="J255" s="22" t="n"/>
      <c r="K255" s="22" t="n"/>
      <c r="L255" s="22" t="n"/>
      <c r="M255" s="22" t="n"/>
      <c r="N255" s="22" t="n"/>
      <c r="O255" s="22" t="n"/>
      <c r="P255" s="22" t="n"/>
      <c r="Q255" s="22" t="n"/>
      <c r="R255" s="22" t="n"/>
      <c r="S255" s="22" t="n"/>
      <c r="T255" s="22" t="n"/>
      <c r="U255" s="22" t="n"/>
      <c r="V255" s="22" t="n"/>
      <c r="W255" s="22" t="n"/>
      <c r="X255" s="22" t="n"/>
      <c r="Y255" s="22" t="n"/>
      <c r="Z255" s="22" t="n"/>
      <c r="AA255" s="22" t="n"/>
      <c r="AB255" s="22" t="n"/>
      <c r="AC255" s="22" t="n"/>
      <c r="AD255" s="22" t="n"/>
      <c r="AE255" s="22" t="n"/>
      <c r="AF255" s="22" t="n"/>
      <c r="AG255" s="22" t="n"/>
      <c r="AH255" s="3" t="n"/>
      <c r="AI255" s="3" t="n"/>
      <c r="AJ255" s="3" t="n"/>
      <c r="AK255" s="3" t="n"/>
      <c r="AL255" s="22" t="n"/>
      <c r="AM255" s="3" t="n"/>
      <c r="AN255" s="3" t="n"/>
      <c r="AO255" s="3" t="n"/>
      <c r="AP255" s="3" t="n"/>
      <c r="AQ255" s="22" t="n"/>
      <c r="AR255" s="3" t="n"/>
      <c r="AS255" s="3" t="n"/>
      <c r="AT255" s="3" t="n"/>
      <c r="AU255" s="3" t="n"/>
      <c r="AV255" s="22" t="n"/>
      <c r="AW255" s="3" t="n"/>
      <c r="AX255" s="3" t="n"/>
      <c r="AY255" s="3" t="n"/>
      <c r="AZ255" s="3" t="n"/>
      <c r="BA255" s="22" t="n"/>
      <c r="BB255" s="3" t="n"/>
      <c r="BC255" s="3" t="n"/>
      <c r="BD255" s="3" t="n"/>
      <c r="BE255" s="3" t="n"/>
      <c r="BF255" s="22" t="n"/>
      <c r="BG255" s="3" t="n"/>
      <c r="BH255" s="3" t="n"/>
      <c r="BI255" s="3" t="n"/>
      <c r="BJ255" s="3" t="n"/>
      <c r="BK255" s="22" t="n"/>
      <c r="BL255" s="3" t="n"/>
      <c r="BM255" s="3" t="n"/>
      <c r="BN255" s="3" t="n"/>
      <c r="BO255" s="3" t="n"/>
      <c r="BP255" s="22" t="n"/>
      <c r="BQ255" s="3" t="n"/>
      <c r="BR255" s="3" t="n"/>
      <c r="BS255" s="3" t="n"/>
      <c r="BT255" s="3" t="n"/>
      <c r="BU255" s="22" t="n"/>
      <c r="BV255" s="3" t="n"/>
      <c r="BW255" s="3" t="n"/>
      <c r="BX255" s="3" t="n"/>
      <c r="BY255" s="3" t="n"/>
      <c r="BZ255" s="22" t="n"/>
      <c r="CA255" s="3" t="n"/>
      <c r="CB255" s="3" t="n"/>
      <c r="CC255" s="3" t="n"/>
      <c r="CD255" s="3" t="n"/>
      <c r="CE255" s="22" t="n"/>
      <c r="CF255" s="3" t="n"/>
      <c r="CG255" s="3" t="n"/>
      <c r="CH255" s="3" t="n"/>
      <c r="CI255" s="3" t="n"/>
      <c r="CJ255" s="22" t="n"/>
      <c r="CK255" s="3" t="n"/>
      <c r="CL255" s="3" t="n"/>
      <c r="CM255" s="3" t="n"/>
      <c r="CN255" s="3" t="n"/>
      <c r="CO255" s="22" t="n"/>
      <c r="CP255" s="3" t="n"/>
      <c r="CQ255" s="3" t="n"/>
      <c r="CR255" s="3" t="n"/>
      <c r="CS255" s="3" t="n"/>
      <c r="CT255" s="22" t="n"/>
      <c r="CU255" s="3" t="n"/>
      <c r="CV255" s="3" t="n"/>
      <c r="CW255" s="3" t="n"/>
      <c r="CX255" s="3" t="n"/>
      <c r="CY255" s="22" t="n"/>
    </row>
    <row r="256" hidden="1" outlineLevel="1" customFormat="1" s="39">
      <c r="A256" s="19" t="n"/>
      <c r="B256" s="19" t="n"/>
      <c r="C256" s="41" t="inlineStr">
        <is>
          <t>Shares repurchased</t>
        </is>
      </c>
      <c r="D256" s="22" t="n"/>
      <c r="E256" s="22" t="n"/>
      <c r="F256" s="22" t="n"/>
      <c r="G256" s="22" t="n"/>
      <c r="H256" s="22" t="n"/>
      <c r="I256" s="22" t="n"/>
      <c r="J256" s="22" t="n"/>
      <c r="K256" s="22" t="n"/>
      <c r="L256" s="22" t="n"/>
      <c r="M256" s="22" t="n"/>
      <c r="N256" s="22" t="n"/>
      <c r="O256" s="22" t="n"/>
      <c r="P256" s="22" t="n"/>
      <c r="Q256" s="22" t="n"/>
      <c r="R256" s="22" t="n"/>
      <c r="S256" s="22" t="n"/>
      <c r="T256" s="22" t="n"/>
      <c r="U256" s="22" t="n"/>
      <c r="V256" s="22" t="n"/>
      <c r="W256" s="22" t="n"/>
      <c r="X256" s="22" t="n"/>
      <c r="Y256" s="22" t="n"/>
      <c r="Z256" s="22" t="n"/>
      <c r="AA256" s="22" t="n"/>
      <c r="AB256" s="22" t="n"/>
      <c r="AC256" s="22" t="n"/>
      <c r="AD256" s="22" t="n"/>
      <c r="AE256" s="22" t="n"/>
      <c r="AF256" s="22" t="n"/>
      <c r="AG256" s="22" t="n"/>
      <c r="AH256" s="43" t="n"/>
      <c r="AI256" s="43" t="n"/>
      <c r="AJ256" s="43" t="e">
        <f>-AJ251/AJ253</f>
        <v>#DIV/0!</v>
      </c>
      <c r="AK256" s="43" t="e">
        <f>-AK251/AK253</f>
        <v>#DIV/0!</v>
      </c>
      <c r="AL256" s="22" t="n"/>
      <c r="AM256" s="43" t="e">
        <f>-AM251/AM253</f>
        <v>#DIV/0!</v>
      </c>
      <c r="AN256" s="43" t="e">
        <f>-AN251/AN253</f>
        <v>#DIV/0!</v>
      </c>
      <c r="AO256" s="43" t="e">
        <f>-AO251/AO253</f>
        <v>#DIV/0!</v>
      </c>
      <c r="AP256" s="43" t="e">
        <f>-AP251/AP253</f>
        <v>#DIV/0!</v>
      </c>
      <c r="AQ256" s="22" t="n"/>
      <c r="AR256" s="43" t="e">
        <f>-AR251/AR253</f>
        <v>#DIV/0!</v>
      </c>
      <c r="AS256" s="43" t="e">
        <f>-AS251/AS253</f>
        <v>#DIV/0!</v>
      </c>
      <c r="AT256" s="43" t="e">
        <f>-AT251/AT253</f>
        <v>#DIV/0!</v>
      </c>
      <c r="AU256" s="43" t="e">
        <f>-AU251/AU253</f>
        <v>#DIV/0!</v>
      </c>
      <c r="AV256" s="22" t="n"/>
      <c r="AW256" s="43" t="e">
        <f>-AW251/AW253</f>
        <v>#DIV/0!</v>
      </c>
      <c r="AX256" s="43" t="e">
        <f>-AX251/AX253</f>
        <v>#DIV/0!</v>
      </c>
      <c r="AY256" s="43" t="e">
        <f>-AY251/AY253</f>
        <v>#DIV/0!</v>
      </c>
      <c r="AZ256" s="43" t="e">
        <f>-AZ251/AZ253</f>
        <v>#DIV/0!</v>
      </c>
      <c r="BA256" s="22" t="n"/>
      <c r="BB256" s="43" t="e">
        <f>-BB251/BB253</f>
        <v>#DIV/0!</v>
      </c>
      <c r="BC256" s="43" t="e">
        <f>-BC251/BC253</f>
        <v>#DIV/0!</v>
      </c>
      <c r="BD256" s="43" t="e">
        <f>-BD251/BD253</f>
        <v>#DIV/0!</v>
      </c>
      <c r="BE256" s="43" t="e">
        <f>-BE251/BE253</f>
        <v>#DIV/0!</v>
      </c>
      <c r="BF256" s="22" t="n"/>
      <c r="BG256" s="43" t="e">
        <f>-BG251/BG253</f>
        <v>#DIV/0!</v>
      </c>
      <c r="BH256" s="43" t="e">
        <f>-BH251/BH253</f>
        <v>#DIV/0!</v>
      </c>
      <c r="BI256" s="43" t="e">
        <f>-BI251/BI253</f>
        <v>#DIV/0!</v>
      </c>
      <c r="BJ256" s="43" t="e">
        <f>-BJ251/BJ253</f>
        <v>#DIV/0!</v>
      </c>
      <c r="BK256" s="22" t="n"/>
      <c r="BL256" s="43" t="e">
        <f>-BL251/BL253</f>
        <v>#DIV/0!</v>
      </c>
      <c r="BM256" s="43" t="e">
        <f>-BM251/BM253</f>
        <v>#DIV/0!</v>
      </c>
      <c r="BN256" s="43" t="e">
        <f>-BN251/BN253</f>
        <v>#DIV/0!</v>
      </c>
      <c r="BO256" s="43" t="e">
        <f>-BO251/BO253</f>
        <v>#DIV/0!</v>
      </c>
      <c r="BP256" s="22" t="n"/>
      <c r="BQ256" s="43" t="e">
        <f>-BQ251/BQ253</f>
        <v>#DIV/0!</v>
      </c>
      <c r="BR256" s="43" t="e">
        <f>-BR251/BR253</f>
        <v>#DIV/0!</v>
      </c>
      <c r="BS256" s="43" t="e">
        <f>-BS251/BS253</f>
        <v>#DIV/0!</v>
      </c>
      <c r="BT256" s="43" t="e">
        <f>-BT251/BT253</f>
        <v>#DIV/0!</v>
      </c>
      <c r="BU256" s="22" t="n"/>
      <c r="BV256" s="43" t="e">
        <f>-BV251/BV253</f>
        <v>#DIV/0!</v>
      </c>
      <c r="BW256" s="43" t="e">
        <f>-BW251/BW253</f>
        <v>#DIV/0!</v>
      </c>
      <c r="BX256" s="43" t="e">
        <f>-BX251/BX253</f>
        <v>#DIV/0!</v>
      </c>
      <c r="BY256" s="43" t="e">
        <f>-BY251/BY253</f>
        <v>#DIV/0!</v>
      </c>
      <c r="BZ256" s="22" t="n"/>
      <c r="CA256" s="43" t="e">
        <f>-CA251/CA253</f>
        <v>#DIV/0!</v>
      </c>
      <c r="CB256" s="43" t="e">
        <f>-CB251/CB253</f>
        <v>#DIV/0!</v>
      </c>
      <c r="CC256" s="43" t="e">
        <f>-CC251/CC253</f>
        <v>#DIV/0!</v>
      </c>
      <c r="CD256" s="43" t="e">
        <f>-CD251/CD253</f>
        <v>#DIV/0!</v>
      </c>
      <c r="CE256" s="22" t="n"/>
      <c r="CF256" s="43" t="e">
        <f>-CF251/CF253</f>
        <v>#DIV/0!</v>
      </c>
      <c r="CG256" s="43" t="e">
        <f>-CG251/CG253</f>
        <v>#DIV/0!</v>
      </c>
      <c r="CH256" s="43" t="e">
        <f>-CH251/CH253</f>
        <v>#DIV/0!</v>
      </c>
      <c r="CI256" s="43" t="e">
        <f>-CI251/CI253</f>
        <v>#DIV/0!</v>
      </c>
      <c r="CJ256" s="22" t="n"/>
      <c r="CK256" s="43" t="e">
        <f>-CK251/CK253</f>
        <v>#DIV/0!</v>
      </c>
      <c r="CL256" s="43" t="e">
        <f>-CL251/CL253</f>
        <v>#DIV/0!</v>
      </c>
      <c r="CM256" s="43" t="e">
        <f>-CM251/CM253</f>
        <v>#DIV/0!</v>
      </c>
      <c r="CN256" s="43" t="e">
        <f>-CN251/CN253</f>
        <v>#DIV/0!</v>
      </c>
      <c r="CO256" s="22" t="n"/>
      <c r="CP256" s="43" t="e">
        <f>-CP251/CP253</f>
        <v>#DIV/0!</v>
      </c>
      <c r="CQ256" s="43" t="e">
        <f>-CQ251/CQ253</f>
        <v>#DIV/0!</v>
      </c>
      <c r="CR256" s="43" t="e">
        <f>-CR251/CR253</f>
        <v>#DIV/0!</v>
      </c>
      <c r="CS256" s="43" t="e">
        <f>-CS251/CS253</f>
        <v>#DIV/0!</v>
      </c>
      <c r="CT256" s="22" t="n"/>
      <c r="CU256" s="43" t="e">
        <f>-CU251/CU253</f>
        <v>#DIV/0!</v>
      </c>
      <c r="CV256" s="43" t="e">
        <f>-CV251/CV253</f>
        <v>#DIV/0!</v>
      </c>
      <c r="CW256" s="43" t="e">
        <f>-CW251/CW253</f>
        <v>#DIV/0!</v>
      </c>
      <c r="CX256" s="43" t="e">
        <f>-CX251/CX253</f>
        <v>#DIV/0!</v>
      </c>
      <c r="CY256" s="22" t="n"/>
    </row>
    <row r="257" hidden="1" outlineLevel="1" customFormat="1" s="39">
      <c r="A257" s="19" t="n"/>
      <c r="B257" s="19" t="n"/>
      <c r="C257" s="41" t="inlineStr">
        <is>
          <t>Shares issued</t>
        </is>
      </c>
      <c r="D257" s="22" t="n"/>
      <c r="E257" s="22" t="n"/>
      <c r="F257" s="22" t="n"/>
      <c r="G257" s="22" t="n"/>
      <c r="H257" s="22" t="n"/>
      <c r="I257" s="22" t="n"/>
      <c r="J257" s="22" t="n"/>
      <c r="K257" s="22" t="n"/>
      <c r="L257" s="22" t="n"/>
      <c r="M257" s="22" t="n"/>
      <c r="N257" s="22" t="n"/>
      <c r="O257" s="22" t="n"/>
      <c r="P257" s="22" t="n"/>
      <c r="Q257" s="22" t="n"/>
      <c r="R257" s="22" t="n"/>
      <c r="S257" s="22" t="n"/>
      <c r="T257" s="22" t="n"/>
      <c r="U257" s="22" t="n"/>
      <c r="V257" s="22" t="n"/>
      <c r="W257" s="22" t="n"/>
      <c r="X257" s="22" t="n"/>
      <c r="Y257" s="22" t="n"/>
      <c r="Z257" s="22" t="n"/>
      <c r="AA257" s="22" t="n"/>
      <c r="AB257" s="22" t="n"/>
      <c r="AC257" s="22" t="n"/>
      <c r="AD257" s="22" t="n"/>
      <c r="AE257" s="22" t="n"/>
      <c r="AF257" s="46" t="n"/>
      <c r="AG257" s="22" t="n"/>
      <c r="AH257" s="43" t="n"/>
      <c r="AI257" s="43" t="n"/>
      <c r="AJ257" s="43" t="e">
        <f>AJ252/AJ253</f>
        <v>#DIV/0!</v>
      </c>
      <c r="AK257" s="43" t="e">
        <f>AK252/AK253</f>
        <v>#DIV/0!</v>
      </c>
      <c r="AL257" s="22" t="n"/>
      <c r="AM257" s="43" t="e">
        <f>AM252/AM253</f>
        <v>#DIV/0!</v>
      </c>
      <c r="AN257" s="43" t="e">
        <f>AN252/AN253</f>
        <v>#DIV/0!</v>
      </c>
      <c r="AO257" s="43" t="e">
        <f>AO252/AO253</f>
        <v>#DIV/0!</v>
      </c>
      <c r="AP257" s="43" t="e">
        <f>AP252/AP253</f>
        <v>#DIV/0!</v>
      </c>
      <c r="AQ257" s="22" t="n"/>
      <c r="AR257" s="43" t="e">
        <f>AR252/AR253</f>
        <v>#DIV/0!</v>
      </c>
      <c r="AS257" s="43" t="e">
        <f>AS252/AS253</f>
        <v>#DIV/0!</v>
      </c>
      <c r="AT257" s="43" t="e">
        <f>AT252/AT253</f>
        <v>#DIV/0!</v>
      </c>
      <c r="AU257" s="43" t="e">
        <f>AU252/AU253</f>
        <v>#DIV/0!</v>
      </c>
      <c r="AV257" s="22" t="n"/>
      <c r="AW257" s="43" t="e">
        <f>AW252/AW253</f>
        <v>#DIV/0!</v>
      </c>
      <c r="AX257" s="43" t="e">
        <f>AX252/AX253</f>
        <v>#DIV/0!</v>
      </c>
      <c r="AY257" s="43" t="e">
        <f>AY252/AY253</f>
        <v>#DIV/0!</v>
      </c>
      <c r="AZ257" s="43" t="e">
        <f>AZ252/AZ253</f>
        <v>#DIV/0!</v>
      </c>
      <c r="BA257" s="22" t="n"/>
      <c r="BB257" s="43" t="e">
        <f>BB252/BB253</f>
        <v>#DIV/0!</v>
      </c>
      <c r="BC257" s="43" t="e">
        <f>BC252/BC253</f>
        <v>#DIV/0!</v>
      </c>
      <c r="BD257" s="43" t="e">
        <f>BD252/BD253</f>
        <v>#DIV/0!</v>
      </c>
      <c r="BE257" s="43" t="e">
        <f>BE252/BE253</f>
        <v>#DIV/0!</v>
      </c>
      <c r="BF257" s="22" t="n"/>
      <c r="BG257" s="43" t="e">
        <f>BG252/BG253</f>
        <v>#DIV/0!</v>
      </c>
      <c r="BH257" s="43" t="e">
        <f>BH252/BH253</f>
        <v>#DIV/0!</v>
      </c>
      <c r="BI257" s="43" t="e">
        <f>BI252/BI253</f>
        <v>#DIV/0!</v>
      </c>
      <c r="BJ257" s="43" t="e">
        <f>BJ252/BJ253</f>
        <v>#DIV/0!</v>
      </c>
      <c r="BK257" s="22" t="n"/>
      <c r="BL257" s="43" t="e">
        <f>BL252/BL253</f>
        <v>#DIV/0!</v>
      </c>
      <c r="BM257" s="43" t="e">
        <f>BM252/BM253</f>
        <v>#DIV/0!</v>
      </c>
      <c r="BN257" s="43" t="e">
        <f>BN252/BN253</f>
        <v>#DIV/0!</v>
      </c>
      <c r="BO257" s="43" t="e">
        <f>BO252/BO253</f>
        <v>#DIV/0!</v>
      </c>
      <c r="BP257" s="22" t="n"/>
      <c r="BQ257" s="43" t="e">
        <f>BQ252/BQ253</f>
        <v>#DIV/0!</v>
      </c>
      <c r="BR257" s="43" t="e">
        <f>BR252/BR253</f>
        <v>#DIV/0!</v>
      </c>
      <c r="BS257" s="43" t="e">
        <f>BS252/BS253</f>
        <v>#DIV/0!</v>
      </c>
      <c r="BT257" s="43" t="e">
        <f>BT252/BT253</f>
        <v>#DIV/0!</v>
      </c>
      <c r="BU257" s="22" t="n"/>
      <c r="BV257" s="43" t="e">
        <f>BV252/BV253</f>
        <v>#DIV/0!</v>
      </c>
      <c r="BW257" s="43" t="e">
        <f>BW252/BW253</f>
        <v>#DIV/0!</v>
      </c>
      <c r="BX257" s="43" t="e">
        <f>BX252/BX253</f>
        <v>#DIV/0!</v>
      </c>
      <c r="BY257" s="43" t="e">
        <f>BY252/BY253</f>
        <v>#DIV/0!</v>
      </c>
      <c r="BZ257" s="22" t="n"/>
      <c r="CA257" s="43" t="e">
        <f>CA252/CA253</f>
        <v>#DIV/0!</v>
      </c>
      <c r="CB257" s="43" t="e">
        <f>CB252/CB253</f>
        <v>#DIV/0!</v>
      </c>
      <c r="CC257" s="43" t="e">
        <f>CC252/CC253</f>
        <v>#DIV/0!</v>
      </c>
      <c r="CD257" s="43" t="e">
        <f>CD252/CD253</f>
        <v>#DIV/0!</v>
      </c>
      <c r="CE257" s="22" t="n"/>
      <c r="CF257" s="43" t="e">
        <f>CF252/CF253</f>
        <v>#DIV/0!</v>
      </c>
      <c r="CG257" s="43" t="e">
        <f>CG252/CG253</f>
        <v>#DIV/0!</v>
      </c>
      <c r="CH257" s="43" t="e">
        <f>CH252/CH253</f>
        <v>#DIV/0!</v>
      </c>
      <c r="CI257" s="43" t="e">
        <f>CI252/CI253</f>
        <v>#DIV/0!</v>
      </c>
      <c r="CJ257" s="22" t="n"/>
      <c r="CK257" s="43" t="e">
        <f>CK252/CK253</f>
        <v>#DIV/0!</v>
      </c>
      <c r="CL257" s="43" t="e">
        <f>CL252/CL253</f>
        <v>#DIV/0!</v>
      </c>
      <c r="CM257" s="43" t="e">
        <f>CM252/CM253</f>
        <v>#DIV/0!</v>
      </c>
      <c r="CN257" s="43" t="e">
        <f>CN252/CN253</f>
        <v>#DIV/0!</v>
      </c>
      <c r="CO257" s="22" t="n"/>
      <c r="CP257" s="43" t="e">
        <f>CP252/CP253</f>
        <v>#DIV/0!</v>
      </c>
      <c r="CQ257" s="43" t="e">
        <f>CQ252/CQ253</f>
        <v>#DIV/0!</v>
      </c>
      <c r="CR257" s="43" t="e">
        <f>CR252/CR253</f>
        <v>#DIV/0!</v>
      </c>
      <c r="CS257" s="43" t="e">
        <f>CS252/CS253</f>
        <v>#DIV/0!</v>
      </c>
      <c r="CT257" s="22" t="n"/>
      <c r="CU257" s="43" t="e">
        <f>CU252/CU253</f>
        <v>#DIV/0!</v>
      </c>
      <c r="CV257" s="43" t="e">
        <f>CV252/CV253</f>
        <v>#DIV/0!</v>
      </c>
      <c r="CW257" s="43" t="e">
        <f>CW252/CW253</f>
        <v>#DIV/0!</v>
      </c>
      <c r="CX257" s="43" t="e">
        <f>CX252/CX253</f>
        <v>#DIV/0!</v>
      </c>
      <c r="CY257" s="22" t="n"/>
    </row>
    <row r="258" hidden="1" outlineLevel="1" customFormat="1" s="39">
      <c r="A258" s="19" t="n"/>
      <c r="B258" s="19" t="n"/>
      <c r="C258" s="41" t="inlineStr">
        <is>
          <t>End of period basic shares outstanding</t>
        </is>
      </c>
      <c r="D258" s="22" t="n"/>
      <c r="E258" s="22" t="n"/>
      <c r="F258" s="22" t="n"/>
      <c r="G258" s="22" t="n"/>
      <c r="H258" s="22" t="n"/>
      <c r="I258" s="22" t="n"/>
      <c r="J258" s="22" t="n"/>
      <c r="K258" s="22" t="n"/>
      <c r="L258" s="22" t="n"/>
      <c r="M258" s="22" t="n"/>
      <c r="N258" s="22" t="n"/>
      <c r="O258" s="22" t="n"/>
      <c r="P258" s="22" t="n"/>
      <c r="Q258" s="22" t="n"/>
      <c r="R258" s="22" t="n"/>
      <c r="S258" s="22" t="n"/>
      <c r="T258" s="22" t="n"/>
      <c r="U258" s="22" t="n"/>
      <c r="V258" s="22" t="n"/>
      <c r="W258" s="22" t="n"/>
      <c r="X258" s="22" t="n"/>
      <c r="Y258" s="22" t="n"/>
      <c r="Z258" s="22" t="n"/>
      <c r="AA258" s="22" t="n"/>
      <c r="AB258" s="22" t="n"/>
      <c r="AC258" s="22" t="n"/>
      <c r="AD258" s="22" t="n"/>
      <c r="AE258" s="22" t="n"/>
      <c r="AF258" s="22" t="n"/>
      <c r="AG258" s="251" t="n"/>
      <c r="AH258" s="1">
        <f>AG258+AH257-AH256</f>
        <v>0</v>
      </c>
      <c r="AI258" s="1">
        <f>AH258+AI257-AI256</f>
        <v>0</v>
      </c>
      <c r="AJ258" s="43" t="e">
        <f>AI258+AJ257-AJ256</f>
        <v>#DIV/0!</v>
      </c>
      <c r="AK258" s="43" t="e">
        <f>AJ258+AK257-AK256</f>
        <v>#DIV/0!</v>
      </c>
      <c r="AL258" s="22" t="n"/>
      <c r="AM258" s="1" t="e">
        <f>AK258+AM257-AM256</f>
        <v>#DIV/0!</v>
      </c>
      <c r="AN258" s="1" t="e">
        <f>AM258+AN257-AN256</f>
        <v>#DIV/0!</v>
      </c>
      <c r="AO258" s="43" t="e">
        <f>AN258+AO257-AO256</f>
        <v>#DIV/0!</v>
      </c>
      <c r="AP258" s="43" t="e">
        <f>AO258+AP257-AP256</f>
        <v>#DIV/0!</v>
      </c>
      <c r="AQ258" s="22" t="n"/>
      <c r="AR258" s="1" t="e">
        <f>AP258+AR257-AR256</f>
        <v>#DIV/0!</v>
      </c>
      <c r="AS258" s="1" t="e">
        <f>AR258+AS257-AS256</f>
        <v>#DIV/0!</v>
      </c>
      <c r="AT258" s="43" t="e">
        <f>AS258+AT257-AT256</f>
        <v>#DIV/0!</v>
      </c>
      <c r="AU258" s="43" t="e">
        <f>AT258+AU257-AU256</f>
        <v>#DIV/0!</v>
      </c>
      <c r="AV258" s="22" t="n"/>
      <c r="AW258" s="1" t="e">
        <f>AU258+AW257-AW256</f>
        <v>#DIV/0!</v>
      </c>
      <c r="AX258" s="1" t="e">
        <f>AW258+AX257-AX256</f>
        <v>#DIV/0!</v>
      </c>
      <c r="AY258" s="43" t="e">
        <f>AX258+AY257-AY256</f>
        <v>#DIV/0!</v>
      </c>
      <c r="AZ258" s="43" t="e">
        <f>AY258+AZ257-AZ256</f>
        <v>#DIV/0!</v>
      </c>
      <c r="BA258" s="22" t="n"/>
      <c r="BB258" s="1" t="e">
        <f>AZ258+BB257-BB256</f>
        <v>#DIV/0!</v>
      </c>
      <c r="BC258" s="1" t="e">
        <f>BB258+BC257-BC256</f>
        <v>#DIV/0!</v>
      </c>
      <c r="BD258" s="43" t="e">
        <f>BC258+BD257-BD256</f>
        <v>#DIV/0!</v>
      </c>
      <c r="BE258" s="43" t="e">
        <f>BD258+BE257-BE256</f>
        <v>#DIV/0!</v>
      </c>
      <c r="BF258" s="22" t="n"/>
      <c r="BG258" s="1" t="e">
        <f>BE258+BG257-BG256</f>
        <v>#DIV/0!</v>
      </c>
      <c r="BH258" s="1" t="e">
        <f>BG258+BH257-BH256</f>
        <v>#DIV/0!</v>
      </c>
      <c r="BI258" s="43" t="e">
        <f>BH258+BI257-BI256</f>
        <v>#DIV/0!</v>
      </c>
      <c r="BJ258" s="43" t="e">
        <f>BI258+BJ257-BJ256</f>
        <v>#DIV/0!</v>
      </c>
      <c r="BK258" s="22" t="n"/>
      <c r="BL258" s="1" t="e">
        <f>BJ258+BL257-BL256</f>
        <v>#DIV/0!</v>
      </c>
      <c r="BM258" s="1" t="e">
        <f>BL258+BM257-BM256</f>
        <v>#DIV/0!</v>
      </c>
      <c r="BN258" s="43" t="e">
        <f>BM258+BN257-BN256</f>
        <v>#DIV/0!</v>
      </c>
      <c r="BO258" s="43" t="e">
        <f>BN258+BO257-BO256</f>
        <v>#DIV/0!</v>
      </c>
      <c r="BP258" s="22" t="n"/>
      <c r="BQ258" s="1" t="e">
        <f>BO258+BQ257-BQ256</f>
        <v>#DIV/0!</v>
      </c>
      <c r="BR258" s="1" t="e">
        <f>BQ258+BR257-BR256</f>
        <v>#DIV/0!</v>
      </c>
      <c r="BS258" s="43" t="e">
        <f>BR258+BS257-BS256</f>
        <v>#DIV/0!</v>
      </c>
      <c r="BT258" s="43" t="e">
        <f>BS258+BT257-BT256</f>
        <v>#DIV/0!</v>
      </c>
      <c r="BU258" s="22" t="n"/>
      <c r="BV258" s="1" t="e">
        <f>BT258+BV257-BV256</f>
        <v>#DIV/0!</v>
      </c>
      <c r="BW258" s="1" t="e">
        <f>BV258+BW257-BW256</f>
        <v>#DIV/0!</v>
      </c>
      <c r="BX258" s="43" t="e">
        <f>BW258+BX257-BX256</f>
        <v>#DIV/0!</v>
      </c>
      <c r="BY258" s="43" t="e">
        <f>BX258+BY257-BY256</f>
        <v>#DIV/0!</v>
      </c>
      <c r="BZ258" s="22" t="n"/>
      <c r="CA258" s="1" t="e">
        <f>BY258+CA257-CA256</f>
        <v>#DIV/0!</v>
      </c>
      <c r="CB258" s="1" t="e">
        <f>CA258+CB257-CB256</f>
        <v>#DIV/0!</v>
      </c>
      <c r="CC258" s="43" t="e">
        <f>CB258+CC257-CC256</f>
        <v>#DIV/0!</v>
      </c>
      <c r="CD258" s="43" t="e">
        <f>CC258+CD257-CD256</f>
        <v>#DIV/0!</v>
      </c>
      <c r="CE258" s="22" t="n"/>
      <c r="CF258" s="1" t="e">
        <f>CD258+CF257-CF256</f>
        <v>#DIV/0!</v>
      </c>
      <c r="CG258" s="1" t="e">
        <f>CF258+CG257-CG256</f>
        <v>#DIV/0!</v>
      </c>
      <c r="CH258" s="43" t="e">
        <f>CG258+CH257-CH256</f>
        <v>#DIV/0!</v>
      </c>
      <c r="CI258" s="43" t="e">
        <f>CH258+CI257-CI256</f>
        <v>#DIV/0!</v>
      </c>
      <c r="CJ258" s="22" t="n"/>
      <c r="CK258" s="1" t="e">
        <f>CI258+CK257-CK256</f>
        <v>#DIV/0!</v>
      </c>
      <c r="CL258" s="1" t="e">
        <f>CK258+CL257-CL256</f>
        <v>#DIV/0!</v>
      </c>
      <c r="CM258" s="43" t="e">
        <f>CL258+CM257-CM256</f>
        <v>#DIV/0!</v>
      </c>
      <c r="CN258" s="43" t="e">
        <f>CM258+CN257-CN256</f>
        <v>#DIV/0!</v>
      </c>
      <c r="CO258" s="22" t="n"/>
      <c r="CP258" s="1" t="e">
        <f>CN258+CP257-CP256</f>
        <v>#DIV/0!</v>
      </c>
      <c r="CQ258" s="1" t="e">
        <f>CP258+CQ257-CQ256</f>
        <v>#DIV/0!</v>
      </c>
      <c r="CR258" s="43" t="e">
        <f>CQ258+CR257-CR256</f>
        <v>#DIV/0!</v>
      </c>
      <c r="CS258" s="43" t="e">
        <f>CR258+CS257-CS256</f>
        <v>#DIV/0!</v>
      </c>
      <c r="CT258" s="22" t="n"/>
      <c r="CU258" s="1" t="e">
        <f>CS258+CU257-CU256</f>
        <v>#DIV/0!</v>
      </c>
      <c r="CV258" s="1" t="e">
        <f>CU258+CV257-CV256</f>
        <v>#DIV/0!</v>
      </c>
      <c r="CW258" s="43" t="e">
        <f>CV258+CW257-CW256</f>
        <v>#DIV/0!</v>
      </c>
      <c r="CX258" s="43" t="e">
        <f>CW258+CX257-CX256</f>
        <v>#DIV/0!</v>
      </c>
      <c r="CY258" s="22" t="n"/>
      <c r="CZ258" t="e">
        <f>CX258+CZ257-CZ256</f>
        <v>#DIV/0!</v>
      </c>
      <c r="DA258" t="e">
        <f>CZ258+DA257-DA256</f>
        <v>#DIV/0!</v>
      </c>
      <c r="DB258" t="e">
        <f>DA258+DB257-DB256</f>
        <v>#DIV/0!</v>
      </c>
      <c r="DC258" t="e">
        <f>DB258+DC257-DC256</f>
        <v>#DIV/0!</v>
      </c>
    </row>
    <row r="259" hidden="1" outlineLevel="1" customFormat="1" s="39">
      <c r="A259" s="19" t="n"/>
      <c r="B259" s="19" t="n"/>
      <c r="C259" s="41" t="inlineStr">
        <is>
          <t>Weighted average basic shares outstanding</t>
        </is>
      </c>
      <c r="D259" s="22" t="n"/>
      <c r="E259" s="22" t="n"/>
      <c r="F259" s="22" t="n"/>
      <c r="G259" s="22" t="n"/>
      <c r="H259" s="22" t="n"/>
      <c r="I259" s="22" t="n"/>
      <c r="J259" s="22" t="n"/>
      <c r="K259" s="22" t="n"/>
      <c r="L259" s="22" t="n"/>
      <c r="M259" s="22" t="n"/>
      <c r="N259" s="22" t="n"/>
      <c r="O259" s="22" t="n"/>
      <c r="P259" s="22" t="n"/>
      <c r="Q259" s="22" t="n"/>
      <c r="R259" s="22" t="n"/>
      <c r="S259" s="22" t="n"/>
      <c r="T259" s="22" t="n"/>
      <c r="U259" s="22" t="n"/>
      <c r="V259" s="22" t="n"/>
      <c r="W259" s="22" t="n"/>
      <c r="X259" s="22" t="n"/>
      <c r="Y259" s="22" t="n"/>
      <c r="Z259" s="22" t="n"/>
      <c r="AA259" s="22" t="n"/>
      <c r="AB259" s="22" t="n"/>
      <c r="AC259" s="22" t="n"/>
      <c r="AD259" s="22" t="n"/>
      <c r="AE259" s="22" t="n"/>
      <c r="AF259" s="22" t="n"/>
      <c r="AG259" s="22" t="n"/>
      <c r="AH259" s="43">
        <f>AVERAGE(AG258,AH258)</f>
        <v>0</v>
      </c>
      <c r="AI259" s="43">
        <f>AVERAGE(AH258,AI258)</f>
        <v>0</v>
      </c>
      <c r="AJ259" s="43" t="e">
        <f>AVERAGE(AI258,AJ258)</f>
        <v>#DIV/0!</v>
      </c>
      <c r="AK259" s="43" t="e">
        <f>AVERAGE(AJ258,AK258)</f>
        <v>#DIV/0!</v>
      </c>
      <c r="AL259" s="22" t="n"/>
      <c r="AM259" s="43" t="e">
        <f>AVERAGE(AK258,AM258)</f>
        <v>#DIV/0!</v>
      </c>
      <c r="AN259" s="43" t="e">
        <f>AVERAGE(AM258,AN258)</f>
        <v>#DIV/0!</v>
      </c>
      <c r="AO259" s="43" t="e">
        <f>AVERAGE(AN258,AO258)</f>
        <v>#DIV/0!</v>
      </c>
      <c r="AP259" s="43" t="e">
        <f>AVERAGE(AO258,AP258)</f>
        <v>#DIV/0!</v>
      </c>
      <c r="AQ259" s="22" t="n"/>
      <c r="AR259" s="43" t="e">
        <f>AVERAGE(AP258,AR258)</f>
        <v>#DIV/0!</v>
      </c>
      <c r="AS259" s="43" t="e">
        <f>AVERAGE(AR258,AS258)</f>
        <v>#DIV/0!</v>
      </c>
      <c r="AT259" s="43" t="e">
        <f>AVERAGE(AS258,AT258)</f>
        <v>#DIV/0!</v>
      </c>
      <c r="AU259" s="43" t="e">
        <f>AVERAGE(AT258,AU258)</f>
        <v>#DIV/0!</v>
      </c>
      <c r="AV259" s="22" t="n"/>
      <c r="AW259" s="43" t="e">
        <f>AVERAGE(AU258,AW258)</f>
        <v>#DIV/0!</v>
      </c>
      <c r="AX259" s="43" t="e">
        <f>AVERAGE(AW258,AX258)</f>
        <v>#DIV/0!</v>
      </c>
      <c r="AY259" s="43" t="e">
        <f>AVERAGE(AX258,AY258)</f>
        <v>#DIV/0!</v>
      </c>
      <c r="AZ259" s="43" t="e">
        <f>AVERAGE(AY258,AZ258)</f>
        <v>#DIV/0!</v>
      </c>
      <c r="BA259" s="22" t="n"/>
      <c r="BB259" s="43" t="e">
        <f>AVERAGE(AZ258,BB258)</f>
        <v>#DIV/0!</v>
      </c>
      <c r="BC259" s="43" t="e">
        <f>AVERAGE(BB258,BC258)</f>
        <v>#DIV/0!</v>
      </c>
      <c r="BD259" s="43" t="e">
        <f>AVERAGE(BC258,BD258)</f>
        <v>#DIV/0!</v>
      </c>
      <c r="BE259" s="43" t="e">
        <f>AVERAGE(BD258,BE258)</f>
        <v>#DIV/0!</v>
      </c>
      <c r="BF259" s="22" t="n"/>
      <c r="BG259" s="43" t="e">
        <f>AVERAGE(BE258,BG258)</f>
        <v>#DIV/0!</v>
      </c>
      <c r="BH259" s="43" t="e">
        <f>AVERAGE(BG258,BH258)</f>
        <v>#DIV/0!</v>
      </c>
      <c r="BI259" s="43" t="e">
        <f>AVERAGE(BH258,BI258)</f>
        <v>#DIV/0!</v>
      </c>
      <c r="BJ259" s="43" t="e">
        <f>AVERAGE(BI258,BJ258)</f>
        <v>#DIV/0!</v>
      </c>
      <c r="BK259" s="22" t="n"/>
      <c r="BL259" s="43" t="e">
        <f>AVERAGE(BJ258,BL258)</f>
        <v>#DIV/0!</v>
      </c>
      <c r="BM259" s="43" t="e">
        <f>AVERAGE(BL258,BM258)</f>
        <v>#DIV/0!</v>
      </c>
      <c r="BN259" s="43" t="e">
        <f>AVERAGE(BM258,BN258)</f>
        <v>#DIV/0!</v>
      </c>
      <c r="BO259" s="43" t="e">
        <f>AVERAGE(BN258,BO258)</f>
        <v>#DIV/0!</v>
      </c>
      <c r="BP259" s="22" t="n"/>
      <c r="BQ259" s="43" t="e">
        <f>AVERAGE(BO258,BQ258)</f>
        <v>#DIV/0!</v>
      </c>
      <c r="BR259" s="43" t="e">
        <f>AVERAGE(BQ258,BR258)</f>
        <v>#DIV/0!</v>
      </c>
      <c r="BS259" s="43" t="e">
        <f>AVERAGE(BR258,BS258)</f>
        <v>#DIV/0!</v>
      </c>
      <c r="BT259" s="43" t="e">
        <f>AVERAGE(BS258,BT258)</f>
        <v>#DIV/0!</v>
      </c>
      <c r="BU259" s="22" t="n"/>
      <c r="BV259" s="43" t="e">
        <f>AVERAGE(BT258,BV258)</f>
        <v>#DIV/0!</v>
      </c>
      <c r="BW259" s="43" t="e">
        <f>AVERAGE(BV258,BW258)</f>
        <v>#DIV/0!</v>
      </c>
      <c r="BX259" s="43" t="e">
        <f>AVERAGE(BW258,BX258)</f>
        <v>#DIV/0!</v>
      </c>
      <c r="BY259" s="43" t="e">
        <f>AVERAGE(BX258,BY258)</f>
        <v>#DIV/0!</v>
      </c>
      <c r="BZ259" s="22" t="n"/>
      <c r="CA259" s="43" t="e">
        <f>AVERAGE(BY258,CA258)</f>
        <v>#DIV/0!</v>
      </c>
      <c r="CB259" s="43" t="e">
        <f>AVERAGE(CA258,CB258)</f>
        <v>#DIV/0!</v>
      </c>
      <c r="CC259" s="43" t="e">
        <f>AVERAGE(CB258,CC258)</f>
        <v>#DIV/0!</v>
      </c>
      <c r="CD259" s="43" t="e">
        <f>AVERAGE(CC258,CD258)</f>
        <v>#DIV/0!</v>
      </c>
      <c r="CE259" s="22" t="n"/>
      <c r="CF259" s="43" t="e">
        <f>AVERAGE(CD258,CF258)</f>
        <v>#DIV/0!</v>
      </c>
      <c r="CG259" s="43" t="e">
        <f>AVERAGE(CF258,CG258)</f>
        <v>#DIV/0!</v>
      </c>
      <c r="CH259" s="43" t="e">
        <f>AVERAGE(CG258,CH258)</f>
        <v>#DIV/0!</v>
      </c>
      <c r="CI259" s="43" t="e">
        <f>AVERAGE(CH258,CI258)</f>
        <v>#DIV/0!</v>
      </c>
      <c r="CJ259" s="22" t="n"/>
      <c r="CK259" s="43" t="e">
        <f>AVERAGE(CI258,CK258)</f>
        <v>#DIV/0!</v>
      </c>
      <c r="CL259" s="43" t="e">
        <f>AVERAGE(CK258,CL258)</f>
        <v>#DIV/0!</v>
      </c>
      <c r="CM259" s="43" t="e">
        <f>AVERAGE(CL258,CM258)</f>
        <v>#DIV/0!</v>
      </c>
      <c r="CN259" s="43" t="e">
        <f>AVERAGE(CM258,CN258)</f>
        <v>#DIV/0!</v>
      </c>
      <c r="CO259" s="22" t="n"/>
      <c r="CP259" s="43" t="e">
        <f>AVERAGE(CN258,CP258)</f>
        <v>#DIV/0!</v>
      </c>
      <c r="CQ259" s="43" t="e">
        <f>AVERAGE(CP258,CQ258)</f>
        <v>#DIV/0!</v>
      </c>
      <c r="CR259" s="43" t="e">
        <f>AVERAGE(CQ258,CR258)</f>
        <v>#DIV/0!</v>
      </c>
      <c r="CS259" s="43" t="e">
        <f>AVERAGE(CR258,CS258)</f>
        <v>#DIV/0!</v>
      </c>
      <c r="CT259" s="22" t="n"/>
      <c r="CU259" s="43" t="e">
        <f>AVERAGE(CS258,CU258)</f>
        <v>#DIV/0!</v>
      </c>
      <c r="CV259" s="43" t="e">
        <f>AVERAGE(CU258,CV258)</f>
        <v>#DIV/0!</v>
      </c>
      <c r="CW259" s="43" t="e">
        <f>AVERAGE(CV258,CW258)</f>
        <v>#DIV/0!</v>
      </c>
      <c r="CX259" s="43" t="e">
        <f>AVERAGE(CW258,CX258)</f>
        <v>#DIV/0!</v>
      </c>
      <c r="CY259" s="22" t="n"/>
      <c r="CZ259" t="e">
        <f>AVERAGE(CX258,CZ258)</f>
        <v>#DIV/0!</v>
      </c>
      <c r="DA259" t="e">
        <f>AVERAGE(CZ258,DA258)</f>
        <v>#DIV/0!</v>
      </c>
      <c r="DB259" t="e">
        <f>AVERAGE(DA258,DB258)</f>
        <v>#DIV/0!</v>
      </c>
      <c r="DC259" t="e">
        <f>AVERAGE(DB258,DC258)</f>
        <v>#DIV/0!</v>
      </c>
    </row>
    <row r="260" hidden="1" outlineLevel="1" customFormat="1" s="39">
      <c r="A260" s="19" t="n"/>
      <c r="B260" s="19" t="n"/>
      <c r="C260" s="41" t="n"/>
      <c r="D260" s="22" t="n"/>
      <c r="E260" s="22" t="n"/>
      <c r="F260" s="22" t="n"/>
      <c r="G260" s="22" t="n"/>
      <c r="H260" s="3" t="n"/>
      <c r="I260" s="22" t="n"/>
      <c r="J260" s="22" t="n"/>
      <c r="K260" s="22" t="n"/>
      <c r="L260" s="22" t="n"/>
      <c r="M260" s="3" t="n"/>
      <c r="N260" s="22" t="n"/>
      <c r="O260" s="22" t="n"/>
      <c r="P260" s="22" t="n"/>
      <c r="Q260" s="22" t="n"/>
      <c r="R260" s="3" t="n"/>
      <c r="S260" s="22" t="n"/>
      <c r="T260" s="22" t="n"/>
      <c r="U260" s="22" t="n"/>
      <c r="V260" s="22" t="n"/>
      <c r="W260" s="3" t="n"/>
      <c r="X260" s="22" t="n"/>
      <c r="Y260" s="22" t="n"/>
      <c r="Z260" s="22" t="n"/>
      <c r="AA260" s="22" t="n"/>
      <c r="AB260" s="3" t="n"/>
      <c r="AC260" s="22" t="n"/>
      <c r="AD260" s="22" t="n"/>
      <c r="AE260" s="22" t="n"/>
      <c r="AF260" s="22" t="n"/>
      <c r="AG260" s="3" t="n"/>
      <c r="AH260" s="22" t="n"/>
      <c r="AI260" s="22" t="n"/>
      <c r="AJ260" s="22" t="n"/>
      <c r="AK260" s="22" t="n"/>
      <c r="AL260" s="3" t="n"/>
      <c r="AM260" s="22" t="n"/>
      <c r="AN260" s="22" t="n"/>
      <c r="AO260" s="22" t="n"/>
      <c r="AP260" s="22" t="n"/>
      <c r="AQ260" s="3" t="n"/>
      <c r="AR260" s="22" t="n"/>
      <c r="AS260" s="22" t="n"/>
      <c r="AT260" s="22" t="n"/>
      <c r="AU260" s="22" t="n"/>
      <c r="AV260" s="3" t="n"/>
      <c r="AW260" s="22" t="n"/>
      <c r="AX260" s="22" t="n"/>
      <c r="AY260" s="22" t="n"/>
      <c r="AZ260" s="22" t="n"/>
      <c r="BA260" s="3" t="n"/>
      <c r="BB260" s="22" t="n"/>
      <c r="BC260" s="22" t="n"/>
      <c r="BD260" s="22" t="n"/>
      <c r="BE260" s="22" t="n"/>
      <c r="BF260" s="3" t="n"/>
      <c r="BG260" s="22" t="n"/>
      <c r="BH260" s="22" t="n"/>
      <c r="BI260" s="22" t="n"/>
      <c r="BJ260" s="22" t="n"/>
      <c r="BK260" s="3" t="n"/>
      <c r="BL260" s="22" t="n"/>
      <c r="BM260" s="22" t="n"/>
      <c r="BN260" s="22" t="n"/>
      <c r="BO260" s="22" t="n"/>
      <c r="BP260" s="3" t="n"/>
      <c r="BQ260" s="22" t="n"/>
      <c r="BR260" s="22" t="n"/>
      <c r="BS260" s="22" t="n"/>
      <c r="BT260" s="22" t="n"/>
      <c r="BU260" s="3" t="n"/>
      <c r="BV260" s="22" t="n"/>
      <c r="BW260" s="22" t="n"/>
      <c r="BX260" s="22" t="n"/>
      <c r="BY260" s="22" t="n"/>
      <c r="BZ260" s="3" t="n"/>
      <c r="CA260" s="22" t="n"/>
      <c r="CB260" s="22" t="n"/>
      <c r="CC260" s="22" t="n"/>
      <c r="CD260" s="22" t="n"/>
      <c r="CE260" s="3" t="n"/>
      <c r="CF260" s="22" t="n"/>
      <c r="CG260" s="22" t="n"/>
      <c r="CH260" s="22" t="n"/>
      <c r="CI260" s="22" t="n"/>
      <c r="CJ260" s="3" t="n"/>
      <c r="CK260" s="22" t="n"/>
      <c r="CL260" s="22" t="n"/>
      <c r="CM260" s="22" t="n"/>
      <c r="CN260" s="22" t="n"/>
      <c r="CO260" s="3" t="n"/>
      <c r="CP260" s="22" t="n"/>
      <c r="CQ260" s="22" t="n"/>
      <c r="CR260" s="22" t="n"/>
      <c r="CS260" s="22" t="n"/>
      <c r="CT260" s="3" t="n"/>
      <c r="CU260" s="22" t="n"/>
      <c r="CV260" s="22" t="n"/>
      <c r="CW260" s="22" t="n"/>
      <c r="CX260" s="22" t="n"/>
      <c r="CY260" s="3" t="n"/>
    </row>
    <row r="261" collapsed="1">
      <c r="C261" s="26" t="inlineStr">
        <is>
          <t>Treasury stock (contra account)</t>
        </is>
      </c>
      <c r="D261" s="25">
        <f>INDEX('Inputs (2)'!$D$44:$AL$44,MATCH(D$7,'Inputs (2)'!$D$2:$AL$2,0))</f>
        <v>0</v>
      </c>
      <c r="E261" s="25">
        <f>INDEX('Inputs (2)'!$D$44:$AL$44,MATCH(E$7,'Inputs (2)'!$D$2:$AL$2,0))</f>
        <v>0</v>
      </c>
      <c r="F261" s="25">
        <f>INDEX('Inputs (2)'!$D$44:$AL$44,MATCH(F$7,'Inputs (2)'!$D$2:$AL$2,0))</f>
        <v>0</v>
      </c>
      <c r="G261" s="25">
        <f>INDEX('Inputs (2)'!$D$44:$AL$44,MATCH(G$7,'Inputs (2)'!$D$2:$AL$2,0))</f>
        <v>0</v>
      </c>
      <c r="H261" s="3">
        <f>G261</f>
        <v>0</v>
      </c>
      <c r="I261" s="25">
        <f>INDEX('Inputs (2)'!$D$44:$AL$44,MATCH(I$7,'Inputs (2)'!$D$2:$AL$2,0))</f>
        <v>0</v>
      </c>
      <c r="J261" s="25">
        <f>INDEX('Inputs (2)'!$D$44:$AL$44,MATCH(J$7,'Inputs (2)'!$D$2:$AL$2,0))</f>
        <v>0</v>
      </c>
      <c r="K261" s="25">
        <f>INDEX('Inputs (2)'!$D$44:$AL$44,MATCH(K$7,'Inputs (2)'!$D$2:$AL$2,0))</f>
        <v>0</v>
      </c>
      <c r="L261" s="25">
        <f>INDEX('Inputs (2)'!$D$44:$AL$44,MATCH(L$7,'Inputs (2)'!$D$2:$AL$2,0))</f>
        <v>0</v>
      </c>
      <c r="M261" s="3">
        <f>L261</f>
        <v>0</v>
      </c>
      <c r="N261" s="25">
        <f>INDEX('Inputs (2)'!$D$44:$AL$44,MATCH(N$7,'Inputs (2)'!$D$2:$AL$2,0))</f>
        <v>0</v>
      </c>
      <c r="O261" s="25">
        <f>INDEX('Inputs (2)'!$D$44:$AL$44,MATCH(O$7,'Inputs (2)'!$D$2:$AL$2,0))</f>
        <v>0</v>
      </c>
      <c r="P261" s="25">
        <f>INDEX('Inputs (2)'!$D$44:$AL$44,MATCH(P$7,'Inputs (2)'!$D$2:$AL$2,0))</f>
        <v>0</v>
      </c>
      <c r="Q261" s="25">
        <f>INDEX('Inputs (2)'!$D$44:$AL$44,MATCH(Q$7,'Inputs (2)'!$D$2:$AL$2,0))</f>
        <v>0</v>
      </c>
      <c r="R261" s="3">
        <f>Q261</f>
        <v>0</v>
      </c>
      <c r="S261" s="25">
        <f>INDEX('Inputs (2)'!$D$44:$AL$44,MATCH(S$7,'Inputs (2)'!$D$2:$AL$2,0))</f>
        <v>0</v>
      </c>
      <c r="T261" s="25">
        <f>INDEX('Inputs (2)'!$D$44:$AL$44,MATCH(T$7,'Inputs (2)'!$D$2:$AL$2,0))</f>
        <v>0</v>
      </c>
      <c r="U261" s="25">
        <f>INDEX('Inputs (2)'!$D$44:$AL$44,MATCH(U$7,'Inputs (2)'!$D$2:$AL$2,0))</f>
        <v>0</v>
      </c>
      <c r="V261" s="25">
        <f>INDEX('Inputs (2)'!$D$44:$AL$44,MATCH(V$7,'Inputs (2)'!$D$2:$AL$2,0))</f>
        <v>0</v>
      </c>
      <c r="W261" s="3">
        <f>V261</f>
        <v>0</v>
      </c>
      <c r="X261" s="25">
        <f>INDEX('Inputs (2)'!$D$44:$AL$44,MATCH(X$7,'Inputs (2)'!$D$2:$AL$2,0))</f>
        <v>0</v>
      </c>
      <c r="Y261" s="25">
        <f>INDEX('Inputs (2)'!$D$44:$AL$44,MATCH(Y$7,'Inputs (2)'!$D$2:$AL$2,0))</f>
        <v>0</v>
      </c>
      <c r="Z261" s="25">
        <f>INDEX('Inputs (2)'!$D$44:$AL$44,MATCH(Z$7,'Inputs (2)'!$D$2:$AL$2,0))</f>
        <v>0</v>
      </c>
      <c r="AA261" s="25">
        <f>INDEX('Inputs (2)'!$D$44:$AL$44,MATCH(AA$7,'Inputs (2)'!$D$2:$AL$2,0))</f>
        <v>0</v>
      </c>
      <c r="AB261" s="3">
        <f>AA261</f>
        <v>0</v>
      </c>
      <c r="AC261" s="25">
        <f>INDEX('Inputs (2)'!$D$44:$AL$44,MATCH(AC$7,'Inputs (2)'!$D$2:$AL$2,0))</f>
        <v>0</v>
      </c>
      <c r="AD261" s="25">
        <f>INDEX('Inputs (2)'!$D$44:$AL$44,MATCH(AD$7,'Inputs (2)'!$D$2:$AL$2,0))</f>
        <v>0</v>
      </c>
      <c r="AE261" s="25">
        <f>INDEX('Inputs (2)'!$D$44:$AL$44,MATCH(AE$7,'Inputs (2)'!$D$2:$AL$2,0))</f>
        <v>0</v>
      </c>
      <c r="AF261" s="25">
        <f>INDEX('Inputs (2)'!$D$44:$AL$44,MATCH(AF$7,'Inputs (2)'!$D$2:$AL$2,0))</f>
        <v>0</v>
      </c>
      <c r="AG261" s="3">
        <f>AF261</f>
        <v>0</v>
      </c>
      <c r="AH261" s="3">
        <f>INDEX('Inputs (2)'!$D$44:$AL$44,MATCH(AH$7,'Inputs (2)'!$D$2:$AL$2,0))</f>
        <v>0</v>
      </c>
      <c r="AI261" s="3">
        <f>INDEX('Inputs (2)'!$D$44:$AL$44,MATCH(AI$7,'Inputs (2)'!$D$2:$AL$2,0))</f>
        <v>0</v>
      </c>
      <c r="AJ261" s="3">
        <f>AI261+AJ251</f>
        <v>0</v>
      </c>
      <c r="AK261" s="3">
        <f>AJ261+AK251</f>
        <v>0</v>
      </c>
      <c r="AL261" s="3">
        <f>AK261</f>
        <v>0</v>
      </c>
      <c r="AM261" s="3">
        <f>AL261+AM251</f>
        <v>0</v>
      </c>
      <c r="AN261" s="3">
        <f>AM261+AN251</f>
        <v>0</v>
      </c>
      <c r="AO261" s="3">
        <f>AN261+AO251</f>
        <v>0</v>
      </c>
      <c r="AP261" s="3">
        <f>AO261+AP251</f>
        <v>0</v>
      </c>
      <c r="AQ261" s="3">
        <f>AP261</f>
        <v>0</v>
      </c>
      <c r="AR261" s="3">
        <f>AQ261+AR251</f>
        <v>0</v>
      </c>
      <c r="AS261" s="3">
        <f>AR261+AS251</f>
        <v>0</v>
      </c>
      <c r="AT261" s="3">
        <f>AS261+AT251</f>
        <v>0</v>
      </c>
      <c r="AU261" s="3">
        <f>AT261+AU251</f>
        <v>0</v>
      </c>
      <c r="AV261" s="3">
        <f>AU261</f>
        <v>0</v>
      </c>
      <c r="AW261" s="3">
        <f>AV261+AW251</f>
        <v>0</v>
      </c>
      <c r="AX261" s="3">
        <f>AW261+AX251</f>
        <v>0</v>
      </c>
      <c r="AY261" s="3">
        <f>AX261+AY251</f>
        <v>0</v>
      </c>
      <c r="AZ261" s="3">
        <f>AY261+AZ251</f>
        <v>0</v>
      </c>
      <c r="BA261" s="3">
        <f>AZ261</f>
        <v>0</v>
      </c>
      <c r="BB261" s="3">
        <f>BA261+BB251</f>
        <v>0</v>
      </c>
      <c r="BC261" s="3">
        <f>BB261+BC251</f>
        <v>0</v>
      </c>
      <c r="BD261" s="3">
        <f>BC261+BD251</f>
        <v>0</v>
      </c>
      <c r="BE261" s="3">
        <f>BD261+BE251</f>
        <v>0</v>
      </c>
      <c r="BF261" s="3">
        <f>BE261</f>
        <v>0</v>
      </c>
      <c r="BG261" s="3">
        <f>BF261+BG251</f>
        <v>0</v>
      </c>
      <c r="BH261" s="3">
        <f>BG261+BH251</f>
        <v>0</v>
      </c>
      <c r="BI261" s="3">
        <f>BH261+BI251</f>
        <v>0</v>
      </c>
      <c r="BJ261" s="3">
        <f>BI261+BJ251</f>
        <v>0</v>
      </c>
      <c r="BK261" s="3">
        <f>BJ261</f>
        <v>0</v>
      </c>
      <c r="BL261" s="3">
        <f>BK261+BL251</f>
        <v>0</v>
      </c>
      <c r="BM261" s="3">
        <f>BL261+BM251</f>
        <v>0</v>
      </c>
      <c r="BN261" s="3">
        <f>BM261+BN251</f>
        <v>0</v>
      </c>
      <c r="BO261" s="3">
        <f>BN261+BO251</f>
        <v>0</v>
      </c>
      <c r="BP261" s="3">
        <f>BO261</f>
        <v>0</v>
      </c>
      <c r="BQ261" s="3">
        <f>BP261+BQ251</f>
        <v>0</v>
      </c>
      <c r="BR261" s="3">
        <f>BQ261+BR251</f>
        <v>0</v>
      </c>
      <c r="BS261" s="3">
        <f>BR261+BS251</f>
        <v>0</v>
      </c>
      <c r="BT261" s="3">
        <f>BS261+BT251</f>
        <v>0</v>
      </c>
      <c r="BU261" s="3">
        <f>BT261</f>
        <v>0</v>
      </c>
      <c r="BV261" s="3">
        <f>BU261+BV251</f>
        <v>0</v>
      </c>
      <c r="BW261" s="3">
        <f>BV261+BW251</f>
        <v>0</v>
      </c>
      <c r="BX261" s="3">
        <f>BW261+BX251</f>
        <v>0</v>
      </c>
      <c r="BY261" s="3">
        <f>BX261+BY251</f>
        <v>0</v>
      </c>
      <c r="BZ261" s="3">
        <f>BY261</f>
        <v>0</v>
      </c>
      <c r="CA261" s="3">
        <f>BZ261+CA251</f>
        <v>0</v>
      </c>
      <c r="CB261" s="3">
        <f>CA261+CB251</f>
        <v>0</v>
      </c>
      <c r="CC261" s="3">
        <f>CB261+CC251</f>
        <v>0</v>
      </c>
      <c r="CD261" s="3">
        <f>CC261+CD251</f>
        <v>0</v>
      </c>
      <c r="CE261" s="3">
        <f>CD261</f>
        <v>0</v>
      </c>
      <c r="CF261" s="3">
        <f>CE261+CF251</f>
        <v>0</v>
      </c>
      <c r="CG261" s="3">
        <f>CF261+CG251</f>
        <v>0</v>
      </c>
      <c r="CH261" s="3">
        <f>CG261+CH251</f>
        <v>0</v>
      </c>
      <c r="CI261" s="3">
        <f>CH261+CI251</f>
        <v>0</v>
      </c>
      <c r="CJ261" s="3">
        <f>CI261</f>
        <v>0</v>
      </c>
      <c r="CK261" s="3">
        <f>CJ261+CK251</f>
        <v>0</v>
      </c>
      <c r="CL261" s="3">
        <f>CK261+CL251</f>
        <v>0</v>
      </c>
      <c r="CM261" s="3">
        <f>CL261+CM251</f>
        <v>0</v>
      </c>
      <c r="CN261" s="3">
        <f>CM261+CN251</f>
        <v>0</v>
      </c>
      <c r="CO261" s="3">
        <f>CN261</f>
        <v>0</v>
      </c>
      <c r="CP261" s="3">
        <f>CO261+CP251</f>
        <v>0</v>
      </c>
      <c r="CQ261" s="3">
        <f>CP261+CQ251</f>
        <v>0</v>
      </c>
      <c r="CR261" s="3">
        <f>CQ261+CR251</f>
        <v>0</v>
      </c>
      <c r="CS261" s="3">
        <f>CR261+CS251</f>
        <v>0</v>
      </c>
      <c r="CT261" s="3">
        <f>CS261</f>
        <v>0</v>
      </c>
      <c r="CU261" s="3">
        <f>CT261+CU251</f>
        <v>0</v>
      </c>
      <c r="CV261" s="3">
        <f>CU261+CV251</f>
        <v>0</v>
      </c>
      <c r="CW261" s="3">
        <f>CV261+CW251</f>
        <v>0</v>
      </c>
      <c r="CX261" s="3">
        <f>CW261+CX251</f>
        <v>0</v>
      </c>
      <c r="CY261" s="3">
        <f>CX261</f>
        <v>0</v>
      </c>
    </row>
    <row r="262">
      <c r="C262" s="26" t="inlineStr">
        <is>
          <t>Comprehensive (accumulated) loss</t>
        </is>
      </c>
      <c r="D262" s="25">
        <f>INDEX('Inputs (2)'!$D$45:$AL$45,MATCH(D$7,'Inputs (2)'!$D$2:$AL$2,0))</f>
        <v>-113</v>
      </c>
      <c r="E262" s="25">
        <f>INDEX('Inputs (2)'!$D$45:$AL$45,MATCH(E$7,'Inputs (2)'!$D$2:$AL$2,0))</f>
        <v>-40</v>
      </c>
      <c r="F262" s="25">
        <f>INDEX('Inputs (2)'!$D$45:$AL$45,MATCH(F$7,'Inputs (2)'!$D$2:$AL$2,0))</f>
        <v>125</v>
      </c>
      <c r="G262" s="25">
        <f>INDEX('Inputs (2)'!$D$45:$AL$45,MATCH(G$7,'Inputs (2)'!$D$2:$AL$2,0))</f>
        <v>363</v>
      </c>
      <c r="H262" s="3">
        <f>G262</f>
        <v>363</v>
      </c>
      <c r="I262" s="25">
        <f>INDEX('Inputs (2)'!$D$45:$AL$45,MATCH(I$7,'Inputs (2)'!$D$2:$AL$2,0))</f>
        <v>143</v>
      </c>
      <c r="J262" s="25">
        <f>INDEX('Inputs (2)'!$D$45:$AL$45,MATCH(J$7,'Inputs (2)'!$D$2:$AL$2,0))</f>
        <v>206</v>
      </c>
      <c r="K262" s="25">
        <f>INDEX('Inputs (2)'!$D$45:$AL$45,MATCH(K$7,'Inputs (2)'!$D$2:$AL$2,0))</f>
        <v>120</v>
      </c>
      <c r="L262" s="25">
        <f>INDEX('Inputs (2)'!$D$45:$AL$45,MATCH(L$7,'Inputs (2)'!$D$2:$AL$2,0))</f>
        <v>54</v>
      </c>
      <c r="M262" s="3">
        <f>L262</f>
        <v>54</v>
      </c>
      <c r="N262" s="25">
        <f>INDEX('Inputs (2)'!$D$45:$AL$45,MATCH(N$7,'Inputs (2)'!$D$2:$AL$2,0))</f>
        <v>-50</v>
      </c>
      <c r="O262" s="25">
        <f>INDEX('Inputs (2)'!$D$45:$AL$45,MATCH(O$7,'Inputs (2)'!$D$2:$AL$2,0))</f>
        <v>-477</v>
      </c>
      <c r="P262" s="25">
        <f>INDEX('Inputs (2)'!$D$45:$AL$45,MATCH(P$7,'Inputs (2)'!$D$2:$AL$2,0))</f>
        <v>-942</v>
      </c>
      <c r="Q262" s="25">
        <f>INDEX('Inputs (2)'!$D$45:$AL$45,MATCH(Q$7,'Inputs (2)'!$D$2:$AL$2,0))</f>
        <v>-361</v>
      </c>
      <c r="R262" s="3">
        <f>Q262</f>
        <v>-361</v>
      </c>
      <c r="S262" s="25">
        <f>INDEX('Inputs (2)'!$D$45:$AL$45,MATCH(S$7,'Inputs (2)'!$D$2:$AL$2,0))</f>
        <v>-225</v>
      </c>
      <c r="T262" s="25">
        <f>INDEX('Inputs (2)'!$D$45:$AL$45,MATCH(T$7,'Inputs (2)'!$D$2:$AL$2,0))</f>
        <v>-410</v>
      </c>
      <c r="U262" s="25">
        <f>INDEX('Inputs (2)'!$D$45:$AL$45,MATCH(U$7,'Inputs (2)'!$D$2:$AL$2,0))</f>
        <v>-692</v>
      </c>
      <c r="V262" s="25">
        <f>INDEX('Inputs (2)'!$D$45:$AL$45,MATCH(V$7,'Inputs (2)'!$D$2:$AL$2,0))</f>
        <v>-143</v>
      </c>
      <c r="W262" s="3">
        <f>V262</f>
        <v>-143</v>
      </c>
      <c r="X262" s="25">
        <f>INDEX('Inputs (2)'!$D$45:$AL$45,MATCH(X$7,'Inputs (2)'!$D$2:$AL$2,0))</f>
        <v>-399</v>
      </c>
      <c r="Y262" s="25">
        <f>INDEX('Inputs (2)'!$D$45:$AL$45,MATCH(Y$7,'Inputs (2)'!$D$2:$AL$2,0))</f>
        <v>-467</v>
      </c>
      <c r="Z262" s="25">
        <f>INDEX('Inputs (2)'!$D$45:$AL$45,MATCH(Z$7,'Inputs (2)'!$D$2:$AL$2,0))</f>
        <v>-14</v>
      </c>
      <c r="AA262" s="25">
        <f>INDEX('Inputs (2)'!$D$45:$AL$45,MATCH(AA$7,'Inputs (2)'!$D$2:$AL$2,0))</f>
        <v>-670</v>
      </c>
      <c r="AB262" s="3">
        <f>AA262</f>
        <v>-670</v>
      </c>
      <c r="AC262" s="25">
        <f>INDEX('Inputs (2)'!$D$45:$AL$45,MATCH(AC$7,'Inputs (2)'!$D$2:$AL$2,0))</f>
        <v>-424</v>
      </c>
      <c r="AD262" s="25">
        <f>INDEX('Inputs (2)'!$D$45:$AL$45,MATCH(AD$7,'Inputs (2)'!$D$2:$AL$2,0))</f>
        <v>158</v>
      </c>
      <c r="AE262" s="25">
        <f>INDEX('Inputs (2)'!$D$45:$AL$45,MATCH(AE$7,'Inputs (2)'!$D$2:$AL$2,0))</f>
        <v>207</v>
      </c>
      <c r="AF262" s="25">
        <f>INDEX('Inputs (2)'!$D$45:$AL$45,MATCH(AF$7,'Inputs (2)'!$D$2:$AL$2,0))</f>
        <v>361</v>
      </c>
      <c r="AG262" s="3">
        <f>AF262</f>
        <v>361</v>
      </c>
      <c r="AH262" s="3">
        <f>INDEX('Inputs (2)'!$D$45:$AL$45,MATCH(AH$7,'Inputs (2)'!$D$2:$AL$2,0))</f>
        <v>334</v>
      </c>
      <c r="AI262" s="3">
        <f>INDEX('Inputs (2)'!$D$45:$AL$45,MATCH(AI$7,'Inputs (2)'!$D$2:$AL$2,0))</f>
        <v>401</v>
      </c>
      <c r="AJ262" s="3">
        <f>AI262</f>
        <v>401</v>
      </c>
      <c r="AK262" s="3">
        <f>AJ262</f>
        <v>401</v>
      </c>
      <c r="AL262" s="3">
        <f>AK262</f>
        <v>401</v>
      </c>
      <c r="AM262" s="3">
        <f>AL262</f>
        <v>401</v>
      </c>
      <c r="AN262" s="3">
        <f>AM262</f>
        <v>401</v>
      </c>
      <c r="AO262" s="3">
        <f>AN262</f>
        <v>401</v>
      </c>
      <c r="AP262" s="3">
        <f>AO262</f>
        <v>401</v>
      </c>
      <c r="AQ262" s="3">
        <f>AP262</f>
        <v>401</v>
      </c>
      <c r="AR262" s="3">
        <f>AQ262</f>
        <v>401</v>
      </c>
      <c r="AS262" s="3">
        <f>AR262</f>
        <v>401</v>
      </c>
      <c r="AT262" s="3">
        <f>AS262</f>
        <v>401</v>
      </c>
      <c r="AU262" s="3">
        <f>AT262</f>
        <v>401</v>
      </c>
      <c r="AV262" s="3">
        <f>AU262</f>
        <v>401</v>
      </c>
      <c r="AW262" s="3">
        <f>AV262</f>
        <v>401</v>
      </c>
      <c r="AX262" s="3">
        <f>AW262</f>
        <v>401</v>
      </c>
      <c r="AY262" s="3">
        <f>AX262</f>
        <v>401</v>
      </c>
      <c r="AZ262" s="3">
        <f>AY262</f>
        <v>401</v>
      </c>
      <c r="BA262" s="3">
        <f>AZ262</f>
        <v>401</v>
      </c>
      <c r="BB262" s="3">
        <f>BA262</f>
        <v>401</v>
      </c>
      <c r="BC262" s="3">
        <f>BB262</f>
        <v>401</v>
      </c>
      <c r="BD262" s="3">
        <f>BC262</f>
        <v>401</v>
      </c>
      <c r="BE262" s="3">
        <f>BD262</f>
        <v>401</v>
      </c>
      <c r="BF262" s="3">
        <f>BE262</f>
        <v>401</v>
      </c>
      <c r="BG262" s="3">
        <f>BF262</f>
        <v>401</v>
      </c>
      <c r="BH262" s="3">
        <f>BG262</f>
        <v>401</v>
      </c>
      <c r="BI262" s="3">
        <f>BH262</f>
        <v>401</v>
      </c>
      <c r="BJ262" s="3">
        <f>BI262</f>
        <v>401</v>
      </c>
      <c r="BK262" s="3">
        <f>BJ262</f>
        <v>401</v>
      </c>
      <c r="BL262" s="3">
        <f>BK262</f>
        <v>401</v>
      </c>
      <c r="BM262" s="3">
        <f>BL262</f>
        <v>401</v>
      </c>
      <c r="BN262" s="3">
        <f>BM262</f>
        <v>401</v>
      </c>
      <c r="BO262" s="3">
        <f>BN262</f>
        <v>401</v>
      </c>
      <c r="BP262" s="3">
        <f>BO262</f>
        <v>401</v>
      </c>
      <c r="BQ262" s="3">
        <f>BP262</f>
        <v>401</v>
      </c>
      <c r="BR262" s="3">
        <f>BQ262</f>
        <v>401</v>
      </c>
      <c r="BS262" s="3">
        <f>BR262</f>
        <v>401</v>
      </c>
      <c r="BT262" s="3">
        <f>BS262</f>
        <v>401</v>
      </c>
      <c r="BU262" s="3">
        <f>BT262</f>
        <v>401</v>
      </c>
      <c r="BV262" s="3">
        <f>BU262</f>
        <v>401</v>
      </c>
      <c r="BW262" s="3">
        <f>BV262</f>
        <v>401</v>
      </c>
      <c r="BX262" s="3">
        <f>BW262</f>
        <v>401</v>
      </c>
      <c r="BY262" s="3">
        <f>BX262</f>
        <v>401</v>
      </c>
      <c r="BZ262" s="3">
        <f>BY262</f>
        <v>401</v>
      </c>
      <c r="CA262" s="3">
        <f>BZ262</f>
        <v>401</v>
      </c>
      <c r="CB262" s="3">
        <f>CA262</f>
        <v>401</v>
      </c>
      <c r="CC262" s="3">
        <f>CB262</f>
        <v>401</v>
      </c>
      <c r="CD262" s="3">
        <f>CC262</f>
        <v>401</v>
      </c>
      <c r="CE262" s="3">
        <f>CD262</f>
        <v>401</v>
      </c>
      <c r="CF262" s="3">
        <f>CE262</f>
        <v>401</v>
      </c>
      <c r="CG262" s="3">
        <f>CF262</f>
        <v>401</v>
      </c>
      <c r="CH262" s="3">
        <f>CG262</f>
        <v>401</v>
      </c>
      <c r="CI262" s="3">
        <f>CH262</f>
        <v>401</v>
      </c>
      <c r="CJ262" s="3">
        <f>CI262</f>
        <v>401</v>
      </c>
      <c r="CK262" s="3">
        <f>CJ262</f>
        <v>401</v>
      </c>
      <c r="CL262" s="3">
        <f>CK262</f>
        <v>401</v>
      </c>
      <c r="CM262" s="3">
        <f>CL262</f>
        <v>401</v>
      </c>
      <c r="CN262" s="3">
        <f>CM262</f>
        <v>401</v>
      </c>
      <c r="CO262" s="3">
        <f>CN262</f>
        <v>401</v>
      </c>
      <c r="CP262" s="3">
        <f>CO262</f>
        <v>401</v>
      </c>
      <c r="CQ262" s="3">
        <f>CP262</f>
        <v>401</v>
      </c>
      <c r="CR262" s="3">
        <f>CQ262</f>
        <v>401</v>
      </c>
      <c r="CS262" s="3">
        <f>CR262</f>
        <v>401</v>
      </c>
      <c r="CT262" s="3">
        <f>CS262</f>
        <v>401</v>
      </c>
      <c r="CU262" s="3">
        <f>CT262</f>
        <v>401</v>
      </c>
      <c r="CV262" s="3">
        <f>CU262</f>
        <v>401</v>
      </c>
      <c r="CW262" s="3">
        <f>CV262</f>
        <v>401</v>
      </c>
      <c r="CX262" s="3">
        <f>CW262</f>
        <v>401</v>
      </c>
      <c r="CY262" s="3">
        <f>CX262</f>
        <v>401</v>
      </c>
    </row>
    <row r="263">
      <c r="C263" s="26" t="inlineStr">
        <is>
          <t>Other equity account</t>
        </is>
      </c>
      <c r="D263" s="25">
        <f>INDEX('Inputs (2)'!$D$46:$AL$46,MATCH(D$7,'Inputs (2)'!$D$2:$AL$2,0))</f>
        <v>60</v>
      </c>
      <c r="E263" s="25">
        <f>INDEX('Inputs (2)'!$D$46:$AL$46,MATCH(E$7,'Inputs (2)'!$D$2:$AL$2,0))</f>
        <v>44</v>
      </c>
      <c r="F263" s="25">
        <f>INDEX('Inputs (2)'!$D$46:$AL$46,MATCH(F$7,'Inputs (2)'!$D$2:$AL$2,0))</f>
        <v>48</v>
      </c>
      <c r="G263" s="25">
        <f>INDEX('Inputs (2)'!$D$46:$AL$46,MATCH(G$7,'Inputs (2)'!$D$2:$AL$2,0))</f>
        <v>51</v>
      </c>
      <c r="H263" s="3">
        <f>G263</f>
        <v>51</v>
      </c>
      <c r="I263" s="25">
        <f>INDEX('Inputs (2)'!$D$46:$AL$46,MATCH(I$7,'Inputs (2)'!$D$2:$AL$2,0))</f>
        <v>0</v>
      </c>
      <c r="J263" s="25">
        <f>INDEX('Inputs (2)'!$D$46:$AL$46,MATCH(J$7,'Inputs (2)'!$D$2:$AL$2,0))</f>
        <v>0</v>
      </c>
      <c r="K263" s="25">
        <f>INDEX('Inputs (2)'!$D$46:$AL$46,MATCH(K$7,'Inputs (2)'!$D$2:$AL$2,0))</f>
        <v>0</v>
      </c>
      <c r="L263" s="25">
        <f>INDEX('Inputs (2)'!$D$46:$AL$46,MATCH(L$7,'Inputs (2)'!$D$2:$AL$2,0))</f>
        <v>0</v>
      </c>
      <c r="M263" s="3">
        <f>L263</f>
        <v>0</v>
      </c>
      <c r="N263" s="25">
        <f>INDEX('Inputs (2)'!$D$46:$AL$46,MATCH(N$7,'Inputs (2)'!$D$2:$AL$2,0))</f>
        <v>0</v>
      </c>
      <c r="O263" s="25">
        <f>INDEX('Inputs (2)'!$D$46:$AL$46,MATCH(O$7,'Inputs (2)'!$D$2:$AL$2,0))</f>
        <v>0</v>
      </c>
      <c r="P263" s="25">
        <f>INDEX('Inputs (2)'!$D$46:$AL$46,MATCH(P$7,'Inputs (2)'!$D$2:$AL$2,0))</f>
        <v>0</v>
      </c>
      <c r="Q263" s="25">
        <f>INDEX('Inputs (2)'!$D$46:$AL$46,MATCH(Q$7,'Inputs (2)'!$D$2:$AL$2,0))</f>
        <v>0</v>
      </c>
      <c r="R263" s="3">
        <f>Q263</f>
        <v>0</v>
      </c>
      <c r="S263" s="25">
        <f>INDEX('Inputs (2)'!$D$46:$AL$46,MATCH(S$7,'Inputs (2)'!$D$2:$AL$2,0))</f>
        <v>0</v>
      </c>
      <c r="T263" s="25">
        <f>INDEX('Inputs (2)'!$D$46:$AL$46,MATCH(T$7,'Inputs (2)'!$D$2:$AL$2,0))</f>
        <v>0</v>
      </c>
      <c r="U263" s="25">
        <f>INDEX('Inputs (2)'!$D$46:$AL$46,MATCH(U$7,'Inputs (2)'!$D$2:$AL$2,0))</f>
        <v>0</v>
      </c>
      <c r="V263" s="25">
        <f>INDEX('Inputs (2)'!$D$46:$AL$46,MATCH(V$7,'Inputs (2)'!$D$2:$AL$2,0))</f>
        <v>0</v>
      </c>
      <c r="W263" s="3">
        <f>V263</f>
        <v>0</v>
      </c>
      <c r="X263" s="25">
        <f>INDEX('Inputs (2)'!$D$46:$AL$46,MATCH(X$7,'Inputs (2)'!$D$2:$AL$2,0))</f>
        <v>0</v>
      </c>
      <c r="Y263" s="25">
        <f>INDEX('Inputs (2)'!$D$46:$AL$46,MATCH(Y$7,'Inputs (2)'!$D$2:$AL$2,0))</f>
        <v>0</v>
      </c>
      <c r="Z263" s="25">
        <f>INDEX('Inputs (2)'!$D$46:$AL$46,MATCH(Z$7,'Inputs (2)'!$D$2:$AL$2,0))</f>
        <v>0</v>
      </c>
      <c r="AA263" s="25">
        <f>INDEX('Inputs (2)'!$D$46:$AL$46,MATCH(AA$7,'Inputs (2)'!$D$2:$AL$2,0))</f>
        <v>0</v>
      </c>
      <c r="AB263" s="3">
        <f>AA263</f>
        <v>0</v>
      </c>
      <c r="AC263" s="25">
        <f>INDEX('Inputs (2)'!$D$46:$AL$46,MATCH(AC$7,'Inputs (2)'!$D$2:$AL$2,0))</f>
        <v>0</v>
      </c>
      <c r="AD263" s="25">
        <f>INDEX('Inputs (2)'!$D$46:$AL$46,MATCH(AD$7,'Inputs (2)'!$D$2:$AL$2,0))</f>
        <v>0</v>
      </c>
      <c r="AE263" s="25">
        <f>INDEX('Inputs (2)'!$D$46:$AL$46,MATCH(AE$7,'Inputs (2)'!$D$2:$AL$2,0))</f>
        <v>0</v>
      </c>
      <c r="AF263" s="25">
        <f>INDEX('Inputs (2)'!$D$46:$AL$46,MATCH(AF$7,'Inputs (2)'!$D$2:$AL$2,0))</f>
        <v>0</v>
      </c>
      <c r="AG263" s="3">
        <f>AF263</f>
        <v>0</v>
      </c>
      <c r="AH263" s="3">
        <f>INDEX('Inputs (2)'!$D$46:$AL$46,MATCH(AH$7,'Inputs (2)'!$D$2:$AL$2,0))</f>
        <v>0</v>
      </c>
      <c r="AI263" s="3">
        <f>INDEX('Inputs (2)'!$D$46:$AL$46,MATCH(AI$7,'Inputs (2)'!$D$2:$AL$2,0))</f>
        <v>0</v>
      </c>
      <c r="AJ263" s="3">
        <f>AI263</f>
        <v>0</v>
      </c>
      <c r="AK263" s="3">
        <f>AJ263</f>
        <v>0</v>
      </c>
      <c r="AL263" s="3">
        <f>AK263</f>
        <v>0</v>
      </c>
      <c r="AM263" s="3">
        <f>AL263</f>
        <v>0</v>
      </c>
      <c r="AN263" s="3">
        <f>AM263</f>
        <v>0</v>
      </c>
      <c r="AO263" s="3">
        <f>AN263</f>
        <v>0</v>
      </c>
      <c r="AP263" s="3">
        <f>AO263</f>
        <v>0</v>
      </c>
      <c r="AQ263" s="3">
        <f>AP263</f>
        <v>0</v>
      </c>
      <c r="AR263" s="3">
        <f>AQ263</f>
        <v>0</v>
      </c>
      <c r="AS263" s="3">
        <f>AR263</f>
        <v>0</v>
      </c>
      <c r="AT263" s="3">
        <f>AS263</f>
        <v>0</v>
      </c>
      <c r="AU263" s="3">
        <f>AT263</f>
        <v>0</v>
      </c>
      <c r="AV263" s="3">
        <f>AU263</f>
        <v>0</v>
      </c>
      <c r="AW263" s="3">
        <f>AV263</f>
        <v>0</v>
      </c>
      <c r="AX263" s="3">
        <f>AW263</f>
        <v>0</v>
      </c>
      <c r="AY263" s="3">
        <f>AX263</f>
        <v>0</v>
      </c>
      <c r="AZ263" s="3">
        <f>AY263</f>
        <v>0</v>
      </c>
      <c r="BA263" s="3">
        <f>AZ263</f>
        <v>0</v>
      </c>
      <c r="BB263" s="3">
        <f>BA263</f>
        <v>0</v>
      </c>
      <c r="BC263" s="3">
        <f>BB263</f>
        <v>0</v>
      </c>
      <c r="BD263" s="3">
        <f>BC263</f>
        <v>0</v>
      </c>
      <c r="BE263" s="3">
        <f>BD263</f>
        <v>0</v>
      </c>
      <c r="BF263" s="3">
        <f>BE263</f>
        <v>0</v>
      </c>
      <c r="BG263" s="3">
        <f>BF263</f>
        <v>0</v>
      </c>
      <c r="BH263" s="3">
        <f>BG263</f>
        <v>0</v>
      </c>
      <c r="BI263" s="3">
        <f>BH263</f>
        <v>0</v>
      </c>
      <c r="BJ263" s="3">
        <f>BI263</f>
        <v>0</v>
      </c>
      <c r="BK263" s="3">
        <f>BJ263</f>
        <v>0</v>
      </c>
      <c r="BL263" s="3">
        <f>BK263</f>
        <v>0</v>
      </c>
      <c r="BM263" s="3">
        <f>BL263</f>
        <v>0</v>
      </c>
      <c r="BN263" s="3">
        <f>BM263</f>
        <v>0</v>
      </c>
      <c r="BO263" s="3">
        <f>BN263</f>
        <v>0</v>
      </c>
      <c r="BP263" s="3">
        <f>BO263</f>
        <v>0</v>
      </c>
      <c r="BQ263" s="3">
        <f>BP263</f>
        <v>0</v>
      </c>
      <c r="BR263" s="3">
        <f>BQ263</f>
        <v>0</v>
      </c>
      <c r="BS263" s="3">
        <f>BR263</f>
        <v>0</v>
      </c>
      <c r="BT263" s="3">
        <f>BS263</f>
        <v>0</v>
      </c>
      <c r="BU263" s="3">
        <f>BT263</f>
        <v>0</v>
      </c>
      <c r="BV263" s="3">
        <f>BU263</f>
        <v>0</v>
      </c>
      <c r="BW263" s="3">
        <f>BV263</f>
        <v>0</v>
      </c>
      <c r="BX263" s="3">
        <f>BW263</f>
        <v>0</v>
      </c>
      <c r="BY263" s="3">
        <f>BX263</f>
        <v>0</v>
      </c>
      <c r="BZ263" s="3">
        <f>BY263</f>
        <v>0</v>
      </c>
      <c r="CA263" s="3">
        <f>BZ263</f>
        <v>0</v>
      </c>
      <c r="CB263" s="3">
        <f>CA263</f>
        <v>0</v>
      </c>
      <c r="CC263" s="3">
        <f>CB263</f>
        <v>0</v>
      </c>
      <c r="CD263" s="3">
        <f>CC263</f>
        <v>0</v>
      </c>
      <c r="CE263" s="3">
        <f>CD263</f>
        <v>0</v>
      </c>
      <c r="CF263" s="3">
        <f>CE263</f>
        <v>0</v>
      </c>
      <c r="CG263" s="3">
        <f>CF263</f>
        <v>0</v>
      </c>
      <c r="CH263" s="3">
        <f>CG263</f>
        <v>0</v>
      </c>
      <c r="CI263" s="3">
        <f>CH263</f>
        <v>0</v>
      </c>
      <c r="CJ263" s="3">
        <f>CI263</f>
        <v>0</v>
      </c>
      <c r="CK263" s="3">
        <f>CJ263</f>
        <v>0</v>
      </c>
      <c r="CL263" s="3">
        <f>CK263</f>
        <v>0</v>
      </c>
      <c r="CM263" s="3">
        <f>CL263</f>
        <v>0</v>
      </c>
      <c r="CN263" s="3">
        <f>CM263</f>
        <v>0</v>
      </c>
      <c r="CO263" s="3">
        <f>CN263</f>
        <v>0</v>
      </c>
      <c r="CP263" s="3">
        <f>CO263</f>
        <v>0</v>
      </c>
      <c r="CQ263" s="3">
        <f>CP263</f>
        <v>0</v>
      </c>
      <c r="CR263" s="3">
        <f>CQ263</f>
        <v>0</v>
      </c>
      <c r="CS263" s="3">
        <f>CR263</f>
        <v>0</v>
      </c>
      <c r="CT263" s="3">
        <f>CS263</f>
        <v>0</v>
      </c>
      <c r="CU263" s="3">
        <f>CT263</f>
        <v>0</v>
      </c>
      <c r="CV263" s="3">
        <f>CU263</f>
        <v>0</v>
      </c>
      <c r="CW263" s="3">
        <f>CV263</f>
        <v>0</v>
      </c>
      <c r="CX263" s="3">
        <f>CW263</f>
        <v>0</v>
      </c>
      <c r="CY263" s="3">
        <f>CX263</f>
        <v>0</v>
      </c>
    </row>
    <row r="264">
      <c r="C264" s="28" t="inlineStr">
        <is>
          <t>Retained earnings</t>
        </is>
      </c>
      <c r="D264" s="25">
        <f>INDEX('Inputs (2)'!$D$47:$AL$47,MATCH(D$7,'Inputs (2)'!$D$2:$AL$2,0))</f>
        <v>-6104</v>
      </c>
      <c r="E264" s="25">
        <f>INDEX('Inputs (2)'!$D$47:$AL$47,MATCH(E$7,'Inputs (2)'!$D$2:$AL$2,0))</f>
        <v>-6000</v>
      </c>
      <c r="F264" s="25">
        <f>INDEX('Inputs (2)'!$D$47:$AL$47,MATCH(F$7,'Inputs (2)'!$D$2:$AL$2,0))</f>
        <v>-5669</v>
      </c>
      <c r="G264" s="25">
        <f>INDEX('Inputs (2)'!$D$47:$AL$47,MATCH(G$7,'Inputs (2)'!$D$2:$AL$2,0))</f>
        <v>-5399</v>
      </c>
      <c r="H264" s="3">
        <f>G264</f>
        <v>-5399</v>
      </c>
      <c r="I264" s="25">
        <f>INDEX('Inputs (2)'!$D$47:$AL$47,MATCH(I$7,'Inputs (2)'!$D$2:$AL$2,0))</f>
        <v>-4750</v>
      </c>
      <c r="J264" s="25">
        <f>INDEX('Inputs (2)'!$D$47:$AL$47,MATCH(J$7,'Inputs (2)'!$D$2:$AL$2,0))</f>
        <v>-3608</v>
      </c>
      <c r="K264" s="25">
        <f>INDEX('Inputs (2)'!$D$47:$AL$47,MATCH(K$7,'Inputs (2)'!$D$2:$AL$2,0))</f>
        <v>-1990</v>
      </c>
      <c r="L264" s="25">
        <f>INDEX('Inputs (2)'!$D$47:$AL$47,MATCH(L$7,'Inputs (2)'!$D$2:$AL$2,0))</f>
        <v>331</v>
      </c>
      <c r="M264" s="3">
        <f>L264</f>
        <v>331</v>
      </c>
      <c r="N264" s="25">
        <f>INDEX('Inputs (2)'!$D$47:$AL$47,MATCH(N$7,'Inputs (2)'!$D$2:$AL$2,0))</f>
        <v>3649</v>
      </c>
      <c r="O264" s="25">
        <f>INDEX('Inputs (2)'!$D$47:$AL$47,MATCH(O$7,'Inputs (2)'!$D$2:$AL$2,0))</f>
        <v>5908</v>
      </c>
      <c r="P264" s="25">
        <f>INDEX('Inputs (2)'!$D$47:$AL$47,MATCH(P$7,'Inputs (2)'!$D$2:$AL$2,0))</f>
        <v>9198</v>
      </c>
      <c r="Q264" s="25">
        <f>INDEX('Inputs (2)'!$D$47:$AL$47,MATCH(Q$7,'Inputs (2)'!$D$2:$AL$2,0))</f>
        <v>12885</v>
      </c>
      <c r="R264" s="3">
        <f>Q264</f>
        <v>12885</v>
      </c>
      <c r="S264" s="25">
        <f>INDEX('Inputs (2)'!$D$47:$AL$47,MATCH(S$7,'Inputs (2)'!$D$2:$AL$2,0))</f>
        <v>15398</v>
      </c>
      <c r="T264" s="25">
        <f>INDEX('Inputs (2)'!$D$47:$AL$47,MATCH(T$7,'Inputs (2)'!$D$2:$AL$2,0))</f>
        <v>18101</v>
      </c>
      <c r="U264" s="25">
        <f>INDEX('Inputs (2)'!$D$47:$AL$47,MATCH(U$7,'Inputs (2)'!$D$2:$AL$2,0))</f>
        <v>19954</v>
      </c>
      <c r="V264" s="25">
        <f>INDEX('Inputs (2)'!$D$47:$AL$47,MATCH(V$7,'Inputs (2)'!$D$2:$AL$2,0))</f>
        <v>27882</v>
      </c>
      <c r="W264" s="3">
        <f>V264</f>
        <v>27882</v>
      </c>
      <c r="X264" s="25">
        <f>INDEX('Inputs (2)'!$D$47:$AL$47,MATCH(X$7,'Inputs (2)'!$D$2:$AL$2,0))</f>
        <v>29011</v>
      </c>
      <c r="Y264" s="25">
        <f>INDEX('Inputs (2)'!$D$47:$AL$47,MATCH(Y$7,'Inputs (2)'!$D$2:$AL$2,0))</f>
        <v>30489</v>
      </c>
      <c r="Z264" s="25">
        <f>INDEX('Inputs (2)'!$D$47:$AL$47,MATCH(Z$7,'Inputs (2)'!$D$2:$AL$2,0))</f>
        <v>32656</v>
      </c>
      <c r="AA264" s="25">
        <f>INDEX('Inputs (2)'!$D$47:$AL$47,MATCH(AA$7,'Inputs (2)'!$D$2:$AL$2,0))</f>
        <v>35209</v>
      </c>
      <c r="AB264" s="3">
        <f>AA264</f>
        <v>35209</v>
      </c>
      <c r="AC264" s="25">
        <f>INDEX('Inputs (2)'!$D$47:$AL$47,MATCH(AC$7,'Inputs (2)'!$D$2:$AL$2,0))</f>
        <v>35618</v>
      </c>
      <c r="AD264" s="25">
        <f>INDEX('Inputs (2)'!$D$47:$AL$47,MATCH(AD$7,'Inputs (2)'!$D$2:$AL$2,0))</f>
        <v>36790</v>
      </c>
      <c r="AE264" s="25">
        <f>INDEX('Inputs (2)'!$D$47:$AL$47,MATCH(AE$7,'Inputs (2)'!$D$2:$AL$2,0))</f>
        <v>38163</v>
      </c>
      <c r="AF264" s="25">
        <f>INDEX('Inputs (2)'!$D$47:$AL$47,MATCH(AF$7,'Inputs (2)'!$D$2:$AL$2,0))</f>
        <v>39003</v>
      </c>
      <c r="AG264" s="3">
        <f>AF264</f>
        <v>39003</v>
      </c>
      <c r="AH264" s="3">
        <f>INDEX('Inputs (2)'!$D$47:$AL$47,MATCH(AH$7,'Inputs (2)'!$D$2:$AL$2,0))</f>
        <v>39480</v>
      </c>
      <c r="AI264" s="3">
        <f>INDEX('Inputs (2)'!$D$47:$AL$47,MATCH(AI$7,'Inputs (2)'!$D$2:$AL$2,0))</f>
        <v>40594</v>
      </c>
      <c r="AJ264" s="3">
        <f>AI264+AJ131+AJ132</f>
        <v>40477</v>
      </c>
      <c r="AK264" s="3">
        <f>AJ264+AK131+AK132</f>
        <v>41473</v>
      </c>
      <c r="AL264" s="3">
        <f>AK264</f>
        <v>41473</v>
      </c>
      <c r="AM264" s="3">
        <f>AL264+AM131+AM132</f>
        <v>42471</v>
      </c>
      <c r="AN264" s="3">
        <f>AM264+AN131+AN132</f>
        <v>44279</v>
      </c>
      <c r="AO264" s="3">
        <f>AN264+AO131+AO132</f>
        <v>45275</v>
      </c>
      <c r="AP264" s="3">
        <f>AO264+AP131+AP132</f>
        <v>47081</v>
      </c>
      <c r="AQ264" s="3">
        <f>AP264</f>
        <v>47081</v>
      </c>
      <c r="AR264" s="3">
        <f>AQ264+AR131+AR132</f>
        <v>48889</v>
      </c>
      <c r="AS264" s="3">
        <f>AR264+AS131+AS132</f>
        <v>54543</v>
      </c>
      <c r="AT264" s="3">
        <f>AS264+AT131+AT132</f>
        <v>56349</v>
      </c>
      <c r="AU264" s="3">
        <f>AT264+AU131+AU132</f>
        <v>62001</v>
      </c>
      <c r="AV264" s="3">
        <f>AU264</f>
        <v>62001</v>
      </c>
      <c r="AW264" s="3">
        <f>AV264+AW131+AW132</f>
        <v>67655</v>
      </c>
      <c r="AX264" s="3">
        <f>AW264+AX131+AX132</f>
        <v>82621</v>
      </c>
      <c r="AY264" s="3">
        <f>AX264+AY131+AY132</f>
        <v>88273</v>
      </c>
      <c r="AZ264" s="3">
        <f>AY264+AZ131+AZ132</f>
        <v>103237</v>
      </c>
      <c r="BA264" s="3">
        <f>AZ264</f>
        <v>103237</v>
      </c>
      <c r="BB264" s="3">
        <f>BA264+BB131+BB132</f>
        <v>118203</v>
      </c>
      <c r="BC264" s="3">
        <f>BB264+BC131+BC132</f>
        <v>159485</v>
      </c>
      <c r="BD264" s="3">
        <f>BC264+BD131+BD132</f>
        <v>174449</v>
      </c>
      <c r="BE264" s="3">
        <f>BD264+BE131+BE132</f>
        <v>215729</v>
      </c>
      <c r="BF264" s="3">
        <f>BE264</f>
        <v>215729</v>
      </c>
      <c r="BG264" s="3">
        <f>BF264+BG131+BG132</f>
        <v>257011</v>
      </c>
      <c r="BH264" s="3">
        <f>BG264+BH131+BH132</f>
        <v>369549</v>
      </c>
      <c r="BI264" s="3">
        <f>BH264+BI131+BI132</f>
        <v>410829</v>
      </c>
      <c r="BJ264" s="3">
        <f>BI264+BJ131+BJ132</f>
        <v>523365</v>
      </c>
      <c r="BK264" s="3">
        <f>BJ264</f>
        <v>523365</v>
      </c>
      <c r="BL264" s="3">
        <f>BK264+BL131+BL132</f>
        <v>635903</v>
      </c>
      <c r="BM264" s="3">
        <f>BL264+BM131+BM132</f>
        <v>943585</v>
      </c>
      <c r="BN264" s="3">
        <f>BM264+BN131+BN132</f>
        <v>1056121</v>
      </c>
      <c r="BO264" s="3">
        <f>BN264+BO131+BO132</f>
        <v>1363801</v>
      </c>
      <c r="BP264" s="3">
        <f>BO264</f>
        <v>1363801</v>
      </c>
      <c r="BQ264" s="3">
        <f>BP264+BQ131+BQ132</f>
        <v>1671483</v>
      </c>
      <c r="BR264" s="3">
        <f>BQ264+BR131+BR132</f>
        <v>2511965</v>
      </c>
      <c r="BS264" s="3">
        <f>BR264+BS131+BS132</f>
        <v>2819645</v>
      </c>
      <c r="BT264" s="3">
        <f>BS264+BT131+BT132</f>
        <v>3660125</v>
      </c>
      <c r="BU264" s="3">
        <f>BT264</f>
        <v>3660125</v>
      </c>
      <c r="BV264" s="3">
        <f>BU264+BV131+BV132</f>
        <v>4500607</v>
      </c>
      <c r="BW264" s="3">
        <f>BV264+BW131+BW132</f>
        <v>6796977</v>
      </c>
      <c r="BX264" s="3">
        <f>BW264+BX131+BX132</f>
        <v>7637457</v>
      </c>
      <c r="BY264" s="3">
        <f>BX264+BY131+BY132</f>
        <v>9933825</v>
      </c>
      <c r="BZ264" s="3">
        <f>BY264</f>
        <v>9933825</v>
      </c>
      <c r="CA264" s="3">
        <f>BZ264+CA131+CA132</f>
        <v>12230195</v>
      </c>
      <c r="CB264" s="3">
        <f>CA264+CB131+CB132</f>
        <v>18503941</v>
      </c>
      <c r="CC264" s="3">
        <f>CB264+CC131+CC132</f>
        <v>20800309</v>
      </c>
      <c r="CD264" s="3">
        <f>CC264+CD131+CD132</f>
        <v>27074053</v>
      </c>
      <c r="CE264" s="3">
        <f>CD264</f>
        <v>27074053</v>
      </c>
      <c r="CF264" s="3">
        <f>CE264+CF131+CF132</f>
        <v>33347799</v>
      </c>
      <c r="CG264" s="3">
        <f>CF264+CG131+CG132</f>
        <v>50488073</v>
      </c>
      <c r="CH264" s="3">
        <f>CG264+CH131+CH132</f>
        <v>56761817</v>
      </c>
      <c r="CI264" s="3">
        <f>CH264+CI131+CI132</f>
        <v>73902089</v>
      </c>
      <c r="CJ264" s="3">
        <f>CI264</f>
        <v>73902089</v>
      </c>
      <c r="CK264" s="3">
        <f>CJ264+CK131+CK132</f>
        <v>91042363</v>
      </c>
      <c r="CL264" s="3">
        <f>CK264+CL131+CL132</f>
        <v>137870445</v>
      </c>
      <c r="CM264" s="3">
        <f>CL264+CM131+CM132</f>
        <v>155010717</v>
      </c>
      <c r="CN264" s="3">
        <f>CM264+CN131+CN132</f>
        <v>201838797</v>
      </c>
      <c r="CO264" s="3">
        <f>CN264</f>
        <v>201838797</v>
      </c>
      <c r="CP264" s="3">
        <f>CO264+CP131+CP132</f>
        <v>248666879</v>
      </c>
      <c r="CQ264" s="3">
        <f>CP264+CQ131+CQ132</f>
        <v>376603633</v>
      </c>
      <c r="CR264" s="3">
        <f>CQ264+CR131+CR132</f>
        <v>423431713</v>
      </c>
      <c r="CS264" s="3">
        <f>CR264+CS131+CS132</f>
        <v>551368465</v>
      </c>
      <c r="CT264" s="3">
        <f>CS264</f>
        <v>551368465</v>
      </c>
      <c r="CU264" s="3">
        <f>CT264+CU131+CU132</f>
        <v>679305219</v>
      </c>
      <c r="CV264" s="3">
        <f>CU264+CV131+CV132</f>
        <v>1028834933</v>
      </c>
      <c r="CW264" s="3">
        <f>CV264+CW131+CW132</f>
        <v>1156771685</v>
      </c>
      <c r="CX264" s="3">
        <f>CW264+CX131+CX132</f>
        <v>1506301397</v>
      </c>
      <c r="CY264" s="3">
        <f>CX264</f>
        <v>1506301397</v>
      </c>
    </row>
    <row r="265" customFormat="1" s="17">
      <c r="A265" s="13" t="inlineStr">
        <is>
          <t xml:space="preserve"> </t>
        </is>
      </c>
      <c r="B265" s="13" t="n"/>
      <c r="C265" s="27" t="inlineStr">
        <is>
          <t>Total Shareholders' Equity</t>
        </is>
      </c>
      <c r="D265" s="16">
        <f>SUM(D242+D247+D248+D261+D262+D263+D264)</f>
        <v>10732</v>
      </c>
      <c r="E265" s="16">
        <f>SUM(E242+E247+E248+E261+E262+E263+E264)</f>
        <v>11381</v>
      </c>
      <c r="F265" s="16">
        <f>SUM(F242+F247+F248+F261+F262+F263+F264)</f>
        <v>17548</v>
      </c>
      <c r="G265" s="16">
        <f>SUM(G242+G247+G248+G261+G262+G263+G264)</f>
        <v>23730</v>
      </c>
      <c r="H265" s="16">
        <f>SUM(H242,H247,H248,H261,H262,H263,H264)</f>
        <v>23730</v>
      </c>
      <c r="I265" s="16">
        <f>SUM(I242+I247+I248+I261+I262+I263+I264)</f>
        <v>24465</v>
      </c>
      <c r="J265" s="16">
        <f>SUM(J242+J247+J248+J261+J262+J263+J264)</f>
        <v>26250</v>
      </c>
      <c r="K265" s="16">
        <f>SUM(K242+K247+K248+K261+K262+K263+K264)</f>
        <v>28494</v>
      </c>
      <c r="L265" s="16">
        <f>SUM(L242+L247+L248+L261+L262+L263+L264)</f>
        <v>31583</v>
      </c>
      <c r="M265" s="16">
        <f>SUM(M242,M247,M248,M261,M262,M263,M264)</f>
        <v>31583</v>
      </c>
      <c r="N265" s="16">
        <f>SUM(N242+N247+N248+N261+N262+N263+N264)</f>
        <v>35406</v>
      </c>
      <c r="O265" s="16">
        <f>SUM(O242+O247+O248+O261+O262+O263+O264)</f>
        <v>37658</v>
      </c>
      <c r="P265" s="16">
        <f>SUM(P242+P247+P248+P261+P262+P263+P264)</f>
        <v>41124</v>
      </c>
      <c r="Q265" s="16">
        <f>SUM(Q242+Q247+Q248+Q261+Q262+Q263+Q264)</f>
        <v>45898</v>
      </c>
      <c r="R265" s="16">
        <f>SUM(R242,R247,R248,R261,R262,R263,R264)</f>
        <v>45898</v>
      </c>
      <c r="S265" s="16">
        <f>SUM(S242+S247+S248+S261+S262+S263+S264)</f>
        <v>49235</v>
      </c>
      <c r="T265" s="16">
        <f>SUM(T242+T247+T248+T261+T262+T263+T264)</f>
        <v>52182</v>
      </c>
      <c r="U265" s="16">
        <f>SUM(U242+U247+U248+U261+U262+U263+U264)</f>
        <v>54495</v>
      </c>
      <c r="V265" s="16">
        <f>SUM(V242+V247+V248+V261+V262+V263+V264)</f>
        <v>63609</v>
      </c>
      <c r="W265" s="16">
        <f>SUM(W242,W247,W248,W261,W262,W263,W264)</f>
        <v>63609</v>
      </c>
      <c r="X265" s="16">
        <f>SUM(X242+X247+X248+X261+X262+X263+X264)</f>
        <v>65180</v>
      </c>
      <c r="Y265" s="16">
        <f>SUM(Y242+Y247+Y248+Y261+Y262+Y263+Y264)</f>
        <v>67263</v>
      </c>
      <c r="Z265" s="16">
        <f>SUM(Z242+Z247+Z248+Z261+Z262+Z263+Z264)</f>
        <v>70710</v>
      </c>
      <c r="AA265" s="16">
        <f>SUM(AA242+AA247+AA248+AA261+AA262+AA263+AA264)</f>
        <v>73680</v>
      </c>
      <c r="AB265" s="16">
        <f>SUM(AB242,AB247,AB248,AB261,AB262,AB263,AB264)</f>
        <v>73680</v>
      </c>
      <c r="AC265" s="16">
        <f>SUM(AC242+AC247+AC248+AC261+AC262+AC263+AC264)</f>
        <v>75418</v>
      </c>
      <c r="AD265" s="16">
        <f>SUM(AD242+AD247+AD248+AD261+AD262+AD263+AD264)</f>
        <v>78072</v>
      </c>
      <c r="AE265" s="16">
        <f>SUM(AE242+AE247+AE248+AE261+AE262+AE263+AE264)</f>
        <v>80716</v>
      </c>
      <c r="AF265" s="16">
        <f>SUM(AF242+AF247+AF248+AF261+AF262+AF263+AF264)</f>
        <v>82865</v>
      </c>
      <c r="AG265" s="16">
        <f>SUM(AG242,AG247,AG248,AG261,AG262,AG263,AG264)</f>
        <v>82865</v>
      </c>
      <c r="AH265" s="16">
        <f>SUM(AH242+AH247+AH248+AH261+AH262+AH263+AH264)</f>
        <v>84802</v>
      </c>
      <c r="AI265" s="16">
        <f>SUM(AI242+AI247+AI248+AI261+AI262+AI263+AI264)</f>
        <v>87519</v>
      </c>
      <c r="AJ265" s="16">
        <f>SUM(AJ242+AJ247+AJ248+AJ261+AJ262+AJ263+AJ264)</f>
        <v>87418</v>
      </c>
      <c r="AK265" s="16">
        <f>SUM(AK242+AK247+AK248+AK261+AK262+AK263+AK264)</f>
        <v>88430</v>
      </c>
      <c r="AL265" s="16">
        <f>SUM(AL242,AL247,AL248,AL261,AL262,AL263,AL264)</f>
        <v>88430</v>
      </c>
      <c r="AM265" s="16">
        <f>SUM(AM242+AM247+AM248+AM261+AM262+AM263+AM264)</f>
        <v>89442</v>
      </c>
      <c r="AN265" s="16">
        <f>SUM(AN242+AN247+AN248+AN261+AN262+AN263+AN264)</f>
        <v>91264</v>
      </c>
      <c r="AO265" s="16">
        <f>SUM(AO242+AO247+AO248+AO261+AO262+AO263+AO264)</f>
        <v>92276</v>
      </c>
      <c r="AP265" s="16">
        <f>SUM(AP242+AP247+AP248+AP261+AP262+AP263+AP264)</f>
        <v>94098</v>
      </c>
      <c r="AQ265" s="16">
        <f>SUM(AQ242,AQ247,AQ248,AQ261,AQ262,AQ263,AQ264)</f>
        <v>94098</v>
      </c>
      <c r="AR265" s="16">
        <f>SUM(AR242+AR247+AR248+AR261+AR262+AR263+AR264)</f>
        <v>95920</v>
      </c>
      <c r="AS265" s="16">
        <f>SUM(AS242+AS247+AS248+AS261+AS262+AS263+AS264)</f>
        <v>101588</v>
      </c>
      <c r="AT265" s="16">
        <f>SUM(AT242+AT247+AT248+AT261+AT262+AT263+AT264)</f>
        <v>103410</v>
      </c>
      <c r="AU265" s="16">
        <f>SUM(AU242+AU247+AU248+AU261+AU262+AU263+AU264)</f>
        <v>109078</v>
      </c>
      <c r="AV265" s="16">
        <f>SUM(AV242,AV247,AV248,AV261,AV262,AV263,AV264)</f>
        <v>109078</v>
      </c>
      <c r="AW265" s="16">
        <f>SUM(AW242+AW247+AW248+AW261+AW262+AW263+AW264)</f>
        <v>114746</v>
      </c>
      <c r="AX265" s="16">
        <f>SUM(AX242+AX247+AX248+AX261+AX262+AX263+AX264)</f>
        <v>129726</v>
      </c>
      <c r="AY265" s="16">
        <f>SUM(AY242+AY247+AY248+AY261+AY262+AY263+AY264)</f>
        <v>135394</v>
      </c>
      <c r="AZ265" s="16">
        <f>SUM(AZ242+AZ247+AZ248+AZ261+AZ262+AZ263+AZ264)</f>
        <v>150374</v>
      </c>
      <c r="BA265" s="16">
        <f>SUM(BA242,BA247,BA248,BA261,BA262,BA263,BA264)</f>
        <v>150374</v>
      </c>
      <c r="BB265" s="16">
        <f>SUM(BB242+BB247+BB248+BB261+BB262+BB263+BB264)</f>
        <v>165354</v>
      </c>
      <c r="BC265" s="16">
        <f>SUM(BC242+BC247+BC248+BC261+BC262+BC263+BC264)</f>
        <v>206650</v>
      </c>
      <c r="BD265" s="16">
        <f>SUM(BD242+BD247+BD248+BD261+BD262+BD263+BD264)</f>
        <v>221630</v>
      </c>
      <c r="BE265" s="16">
        <f>SUM(BE242+BE247+BE248+BE261+BE262+BE263+BE264)</f>
        <v>262926</v>
      </c>
      <c r="BF265" s="16">
        <f>SUM(BF242,BF247,BF248,BF261,BF262,BF263,BF264)</f>
        <v>262926</v>
      </c>
      <c r="BG265" s="16">
        <f>SUM(BG242+BG247+BG248+BG261+BG262+BG263+BG264)</f>
        <v>304222</v>
      </c>
      <c r="BH265" s="16">
        <f>SUM(BH242+BH247+BH248+BH261+BH262+BH263+BH264)</f>
        <v>416774</v>
      </c>
      <c r="BI265" s="16">
        <f>SUM(BI242+BI247+BI248+BI261+BI262+BI263+BI264)</f>
        <v>458070</v>
      </c>
      <c r="BJ265" s="16">
        <f>SUM(BJ242+BJ247+BJ248+BJ261+BJ262+BJ263+BJ264)</f>
        <v>570622</v>
      </c>
      <c r="BK265" s="16">
        <f>SUM(BK242,BK247,BK248,BK261,BK262,BK263,BK264)</f>
        <v>570622</v>
      </c>
      <c r="BL265" s="16">
        <f>SUM(BL242+BL247+BL248+BL261+BL262+BL263+BL264)</f>
        <v>683174</v>
      </c>
      <c r="BM265" s="16">
        <f>SUM(BM242+BM247+BM248+BM261+BM262+BM263+BM264)</f>
        <v>990870</v>
      </c>
      <c r="BN265" s="16">
        <f>SUM(BN242+BN247+BN248+BN261+BN262+BN263+BN264)</f>
        <v>1103422</v>
      </c>
      <c r="BO265" s="16">
        <f>SUM(BO242+BO247+BO248+BO261+BO262+BO263+BO264)</f>
        <v>1411118</v>
      </c>
      <c r="BP265" s="16">
        <f>SUM(BP242,BP247,BP248,BP261,BP262,BP263,BP264)</f>
        <v>1411118</v>
      </c>
      <c r="BQ265" s="16">
        <f>SUM(BQ242+BQ247+BQ248+BQ261+BQ262+BQ263+BQ264)</f>
        <v>1718814</v>
      </c>
      <c r="BR265" s="16">
        <f>SUM(BR242+BR247+BR248+BR261+BR262+BR263+BR264)</f>
        <v>2559310</v>
      </c>
      <c r="BS265" s="16">
        <f>SUM(BS242+BS247+BS248+BS261+BS262+BS263+BS264)</f>
        <v>2867006</v>
      </c>
      <c r="BT265" s="16">
        <f>SUM(BT242+BT247+BT248+BT261+BT262+BT263+BT264)</f>
        <v>3707502</v>
      </c>
      <c r="BU265" s="16">
        <f>SUM(BU242,BU247,BU248,BU261,BU262,BU263,BU264)</f>
        <v>3707502</v>
      </c>
      <c r="BV265" s="16">
        <f>SUM(BV242+BV247+BV248+BV261+BV262+BV263+BV264)</f>
        <v>4547998</v>
      </c>
      <c r="BW265" s="16">
        <f>SUM(BW242+BW247+BW248+BW261+BW262+BW263+BW264)</f>
        <v>6844382</v>
      </c>
      <c r="BX265" s="16">
        <f>SUM(BX242+BX247+BX248+BX261+BX262+BX263+BX264)</f>
        <v>7684878</v>
      </c>
      <c r="BY265" s="16">
        <f>SUM(BY242+BY247+BY248+BY261+BY262+BY263+BY264)</f>
        <v>9981262</v>
      </c>
      <c r="BZ265" s="16">
        <f>SUM(BZ242,BZ247,BZ248,BZ261,BZ262,BZ263,BZ264)</f>
        <v>9981262</v>
      </c>
      <c r="CA265" s="16">
        <f>SUM(CA242+CA247+CA248+CA261+CA262+CA263+CA264)</f>
        <v>12277646</v>
      </c>
      <c r="CB265" s="16">
        <f>SUM(CB242+CB247+CB248+CB261+CB262+CB263+CB264)</f>
        <v>18551406</v>
      </c>
      <c r="CC265" s="16">
        <f>SUM(CC242+CC247+CC248+CC261+CC262+CC263+CC264)</f>
        <v>20847790</v>
      </c>
      <c r="CD265" s="16">
        <f>SUM(CD242+CD247+CD248+CD261+CD262+CD263+CD264)</f>
        <v>27121550</v>
      </c>
      <c r="CE265" s="16">
        <f>SUM(CE242,CE247,CE248,CE261,CE262,CE263,CE264)</f>
        <v>27121550</v>
      </c>
      <c r="CF265" s="16">
        <f>SUM(CF242+CF247+CF248+CF261+CF262+CF263+CF264)</f>
        <v>33395310</v>
      </c>
      <c r="CG265" s="16">
        <f>SUM(CG242+CG247+CG248+CG261+CG262+CG263+CG264)</f>
        <v>50535598</v>
      </c>
      <c r="CH265" s="16">
        <f>SUM(CH242+CH247+CH248+CH261+CH262+CH263+CH264)</f>
        <v>56809358</v>
      </c>
      <c r="CI265" s="16">
        <f>SUM(CI242+CI247+CI248+CI261+CI262+CI263+CI264)</f>
        <v>73949646</v>
      </c>
      <c r="CJ265" s="16">
        <f>SUM(CJ242,CJ247,CJ248,CJ261,CJ262,CJ263,CJ264)</f>
        <v>73949646</v>
      </c>
      <c r="CK265" s="16">
        <f>SUM(CK242+CK247+CK248+CK261+CK262+CK263+CK264)</f>
        <v>91089934</v>
      </c>
      <c r="CL265" s="16">
        <f>SUM(CL242+CL247+CL248+CL261+CL262+CL263+CL264)</f>
        <v>137918030</v>
      </c>
      <c r="CM265" s="16">
        <f>SUM(CM242+CM247+CM248+CM261+CM262+CM263+CM264)</f>
        <v>155058318</v>
      </c>
      <c r="CN265" s="16">
        <f>SUM(CN242+CN247+CN248+CN261+CN262+CN263+CN264)</f>
        <v>201886414</v>
      </c>
      <c r="CO265" s="16">
        <f>SUM(CO242,CO247,CO248,CO261,CO262,CO263,CO264)</f>
        <v>201886414</v>
      </c>
      <c r="CP265" s="16">
        <f>SUM(CP242+CP247+CP248+CP261+CP262+CP263+CP264)</f>
        <v>248714510</v>
      </c>
      <c r="CQ265" s="16">
        <f>SUM(CQ242+CQ247+CQ248+CQ261+CQ262+CQ263+CQ264)</f>
        <v>376651278</v>
      </c>
      <c r="CR265" s="16">
        <f>SUM(CR242+CR247+CR248+CR261+CR262+CR263+CR264)</f>
        <v>423479374</v>
      </c>
      <c r="CS265" s="16">
        <f>SUM(CS242+CS247+CS248+CS261+CS262+CS263+CS264)</f>
        <v>551416142</v>
      </c>
      <c r="CT265" s="16">
        <f>SUM(CT242,CT247,CT248,CT261,CT262,CT263,CT264)</f>
        <v>551416142</v>
      </c>
      <c r="CU265" s="16">
        <f>SUM(CU242+CU247+CU248+CU261+CU262+CU263+CU264)</f>
        <v>679352910</v>
      </c>
      <c r="CV265" s="16">
        <f>SUM(CV242+CV247+CV248+CV261+CV262+CV263+CV264)</f>
        <v>1028882638</v>
      </c>
      <c r="CW265" s="16">
        <f>SUM(CW242+CW247+CW248+CW261+CW262+CW263+CW264)</f>
        <v>1156819406</v>
      </c>
      <c r="CX265" s="16">
        <f>SUM(CX242+CX247+CX248+CX261+CX262+CX263+CX264)</f>
        <v>1506349134</v>
      </c>
      <c r="CY265" s="16">
        <f>SUM(CY242,CY247,CY248,CY261,CY262,CY263,CY264)</f>
        <v>1506349134</v>
      </c>
    </row>
    <row r="266">
      <c r="C266" s="29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/>
      <c r="AD266" s="3" t="n"/>
      <c r="AE266" s="3" t="n"/>
      <c r="AF266" s="3" t="n"/>
      <c r="AG266" s="3" t="n"/>
      <c r="AH266" s="3" t="n"/>
      <c r="AI266" s="3" t="n"/>
      <c r="AJ266" s="3" t="n"/>
      <c r="AK266" s="3" t="n"/>
      <c r="AL266" s="3" t="n"/>
      <c r="AM266" s="3" t="n"/>
      <c r="AN266" s="3" t="n"/>
      <c r="AO266" s="3" t="n"/>
      <c r="AP266" s="3" t="n"/>
      <c r="AQ266" s="3" t="n"/>
      <c r="AR266" s="3" t="n"/>
      <c r="AS266" s="3" t="n"/>
      <c r="AT266" s="3" t="n"/>
      <c r="AU266" s="3" t="n"/>
      <c r="AV266" s="3" t="n"/>
      <c r="AW266" s="3" t="n"/>
      <c r="AX266" s="3" t="n"/>
      <c r="AY266" s="3" t="n"/>
      <c r="AZ266" s="3" t="n"/>
      <c r="BA266" s="3" t="n"/>
      <c r="BB266" s="3" t="n"/>
      <c r="BC266" s="3" t="n"/>
      <c r="BD266" s="3" t="n"/>
      <c r="BE266" s="3" t="n"/>
      <c r="BF266" s="3" t="n"/>
      <c r="BG266" s="3" t="n"/>
      <c r="BH266" s="3" t="n"/>
      <c r="BI266" s="3" t="n"/>
      <c r="BJ266" s="3" t="n"/>
      <c r="BK266" s="3" t="n"/>
      <c r="BL266" s="3" t="n"/>
      <c r="BM266" s="3" t="n"/>
      <c r="BN266" s="3" t="n"/>
      <c r="BO266" s="3" t="n"/>
      <c r="BP266" s="3" t="n"/>
      <c r="BQ266" s="3" t="n"/>
      <c r="BR266" s="3" t="n"/>
      <c r="BS266" s="3" t="n"/>
      <c r="BT266" s="3" t="n"/>
      <c r="BU266" s="3" t="n"/>
      <c r="BV266" s="3" t="n"/>
      <c r="BW266" s="3" t="n"/>
      <c r="BX266" s="3" t="n"/>
      <c r="BY266" s="3" t="n"/>
      <c r="BZ266" s="3" t="n"/>
      <c r="CA266" s="3" t="n"/>
      <c r="CB266" s="3" t="n"/>
      <c r="CC266" s="3" t="n"/>
      <c r="CD266" s="3" t="n"/>
      <c r="CE266" s="3" t="n"/>
      <c r="CF266" s="3" t="n"/>
      <c r="CG266" s="3" t="n"/>
      <c r="CH266" s="3" t="n"/>
      <c r="CI266" s="3" t="n"/>
      <c r="CJ266" s="3" t="n"/>
      <c r="CK266" s="3" t="n"/>
      <c r="CL266" s="3" t="n"/>
      <c r="CM266" s="3" t="n"/>
      <c r="CN266" s="3" t="n"/>
      <c r="CO266" s="3" t="n"/>
      <c r="CP266" s="3" t="n"/>
      <c r="CQ266" s="3" t="n"/>
      <c r="CR266" s="3" t="n"/>
      <c r="CS266" s="3" t="n"/>
      <c r="CT266" s="3" t="n"/>
      <c r="CU266" s="3" t="n"/>
      <c r="CV266" s="3" t="n"/>
      <c r="CW266" s="3" t="n"/>
      <c r="CX266" s="3" t="n"/>
      <c r="CY266" s="3" t="n"/>
    </row>
    <row r="267" customFormat="1" s="17">
      <c r="A267" s="13" t="n"/>
      <c r="B267" s="1" t="n"/>
      <c r="C267" s="14" t="inlineStr">
        <is>
          <t>Total Liabilities + Shareholders' Equity</t>
        </is>
      </c>
      <c r="D267" s="16">
        <f>D265+D241</f>
        <v>37250</v>
      </c>
      <c r="E267" s="16">
        <f>E265+E241</f>
        <v>38135</v>
      </c>
      <c r="F267" s="16">
        <f>F265+F241</f>
        <v>45691</v>
      </c>
      <c r="G267" s="16">
        <f>G265+G241</f>
        <v>52148</v>
      </c>
      <c r="H267" s="16">
        <f>H265+H241</f>
        <v>52148</v>
      </c>
      <c r="I267" s="16">
        <f>I265+I241</f>
        <v>52972</v>
      </c>
      <c r="J267" s="16">
        <f>J265+J241</f>
        <v>55146</v>
      </c>
      <c r="K267" s="16">
        <f>K265+K241</f>
        <v>57834</v>
      </c>
      <c r="L267" s="16">
        <f>L265+L241</f>
        <v>62131</v>
      </c>
      <c r="M267" s="16">
        <f>M265+M241</f>
        <v>62131</v>
      </c>
      <c r="N267" s="16">
        <f>N265+N241</f>
        <v>66038</v>
      </c>
      <c r="O267" s="16">
        <f>O265+O241</f>
        <v>68513</v>
      </c>
      <c r="P267" s="16">
        <f>P265+P241</f>
        <v>74426</v>
      </c>
      <c r="Q267" s="16">
        <f>Q265+Q241</f>
        <v>82338</v>
      </c>
      <c r="R267" s="16">
        <f>R265+R241</f>
        <v>82338</v>
      </c>
      <c r="S267" s="16">
        <f>S265+S241</f>
        <v>86833</v>
      </c>
      <c r="T267" s="16">
        <f>T265+T241</f>
        <v>90591</v>
      </c>
      <c r="U267" s="16">
        <f>U265+U241</f>
        <v>93941</v>
      </c>
      <c r="V267" s="16">
        <f>V265+V241</f>
        <v>106618</v>
      </c>
      <c r="W267" s="16">
        <f>W265+W241</f>
        <v>106618</v>
      </c>
      <c r="X267" s="16">
        <f>X265+X241</f>
        <v>109226</v>
      </c>
      <c r="Y267" s="16">
        <f>Y265+Y241</f>
        <v>112832</v>
      </c>
      <c r="Z267" s="16">
        <f>Z265+Z241</f>
        <v>119852</v>
      </c>
      <c r="AA267" s="16">
        <f>AA265+AA241</f>
        <v>122070</v>
      </c>
      <c r="AB267" s="16">
        <f>AB265+AB241</f>
        <v>122070</v>
      </c>
      <c r="AC267" s="16">
        <f>AC265+AC241</f>
        <v>125111</v>
      </c>
      <c r="AD267" s="16">
        <f>AD265+AD241</f>
        <v>128567</v>
      </c>
      <c r="AE267" s="16">
        <f>AE265+AE241</f>
        <v>133735</v>
      </c>
      <c r="AF267" s="16">
        <f>AF265+AF241</f>
        <v>137806</v>
      </c>
      <c r="AG267" s="16">
        <f>AG265+AG241</f>
        <v>137806</v>
      </c>
      <c r="AH267" s="16">
        <f>AH265+AH241</f>
        <v>143724</v>
      </c>
      <c r="AI267" s="16">
        <f>AI265+AI241</f>
        <v>148524</v>
      </c>
      <c r="AJ267" s="16">
        <f>AJ265+AJ241</f>
        <v>133099</v>
      </c>
      <c r="AK267" s="16">
        <f>AK265+AK241</f>
        <v>134111</v>
      </c>
      <c r="AL267" s="16">
        <f>AL265+AL241</f>
        <v>134111</v>
      </c>
      <c r="AM267" s="16" t="e">
        <f>AM265+AM241</f>
        <v>#DIV/0!</v>
      </c>
      <c r="AN267" s="16">
        <f>AN265+AN241</f>
        <v>136945</v>
      </c>
      <c r="AO267" s="16" t="e">
        <f>AO265+AO241</f>
        <v>#DIV/0!</v>
      </c>
      <c r="AP267" s="16" t="e">
        <f>AP265+AP241</f>
        <v>#DIV/0!</v>
      </c>
      <c r="AQ267" s="16" t="e">
        <f>AQ265+AQ241</f>
        <v>#DIV/0!</v>
      </c>
      <c r="AR267" s="16" t="e">
        <f>AR265+AR241</f>
        <v>#DIV/0!</v>
      </c>
      <c r="AS267" s="16" t="e">
        <f>AS265+AS241</f>
        <v>#DIV/0!</v>
      </c>
      <c r="AT267" s="16" t="e">
        <f>AT265+AT241</f>
        <v>#DIV/0!</v>
      </c>
      <c r="AU267" s="16" t="e">
        <f>AU265+AU241</f>
        <v>#DIV/0!</v>
      </c>
      <c r="AV267" s="16" t="e">
        <f>AV265+AV241</f>
        <v>#DIV/0!</v>
      </c>
      <c r="AW267" s="16" t="e">
        <f>AW265+AW241</f>
        <v>#DIV/0!</v>
      </c>
      <c r="AX267" s="16" t="e">
        <f>AX265+AX241</f>
        <v>#DIV/0!</v>
      </c>
      <c r="AY267" s="16" t="e">
        <f>AY265+AY241</f>
        <v>#DIV/0!</v>
      </c>
      <c r="AZ267" s="16" t="e">
        <f>AZ265+AZ241</f>
        <v>#DIV/0!</v>
      </c>
      <c r="BA267" s="16" t="e">
        <f>BA265+BA241</f>
        <v>#DIV/0!</v>
      </c>
      <c r="BB267" s="16" t="e">
        <f>BB265+BB241</f>
        <v>#DIV/0!</v>
      </c>
      <c r="BC267" s="16" t="e">
        <f>BC265+BC241</f>
        <v>#DIV/0!</v>
      </c>
      <c r="BD267" s="16" t="e">
        <f>BD265+BD241</f>
        <v>#DIV/0!</v>
      </c>
      <c r="BE267" s="16" t="e">
        <f>BE265+BE241</f>
        <v>#DIV/0!</v>
      </c>
      <c r="BF267" s="16" t="e">
        <f>BF265+BF241</f>
        <v>#DIV/0!</v>
      </c>
      <c r="BG267" s="16" t="e">
        <f>BG265+BG241</f>
        <v>#DIV/0!</v>
      </c>
      <c r="BH267" s="16" t="e">
        <f>BH265+BH241</f>
        <v>#DIV/0!</v>
      </c>
      <c r="BI267" s="16" t="e">
        <f>BI265+BI241</f>
        <v>#DIV/0!</v>
      </c>
      <c r="BJ267" s="16" t="e">
        <f>BJ265+BJ241</f>
        <v>#DIV/0!</v>
      </c>
      <c r="BK267" s="16" t="e">
        <f>BK265+BK241</f>
        <v>#DIV/0!</v>
      </c>
      <c r="BL267" s="16" t="e">
        <f>BL265+BL241</f>
        <v>#DIV/0!</v>
      </c>
      <c r="BM267" s="16" t="e">
        <f>BM265+BM241</f>
        <v>#DIV/0!</v>
      </c>
      <c r="BN267" s="16" t="e">
        <f>BN265+BN241</f>
        <v>#DIV/0!</v>
      </c>
      <c r="BO267" s="16" t="e">
        <f>BO265+BO241</f>
        <v>#DIV/0!</v>
      </c>
      <c r="BP267" s="16" t="e">
        <f>BP265+BP241</f>
        <v>#DIV/0!</v>
      </c>
      <c r="BQ267" s="16" t="e">
        <f>BQ265+BQ241</f>
        <v>#DIV/0!</v>
      </c>
      <c r="BR267" s="16" t="e">
        <f>BR265+BR241</f>
        <v>#DIV/0!</v>
      </c>
      <c r="BS267" s="16" t="e">
        <f>BS265+BS241</f>
        <v>#DIV/0!</v>
      </c>
      <c r="BT267" s="16" t="e">
        <f>BT265+BT241</f>
        <v>#DIV/0!</v>
      </c>
      <c r="BU267" s="16" t="e">
        <f>BU265+BU241</f>
        <v>#DIV/0!</v>
      </c>
      <c r="BV267" s="16" t="e">
        <f>BV265+BV241</f>
        <v>#DIV/0!</v>
      </c>
      <c r="BW267" s="16" t="e">
        <f>BW265+BW241</f>
        <v>#DIV/0!</v>
      </c>
      <c r="BX267" s="16" t="e">
        <f>BX265+BX241</f>
        <v>#DIV/0!</v>
      </c>
      <c r="BY267" s="16" t="e">
        <f>BY265+BY241</f>
        <v>#DIV/0!</v>
      </c>
      <c r="BZ267" s="16" t="e">
        <f>BZ265+BZ241</f>
        <v>#DIV/0!</v>
      </c>
      <c r="CA267" s="16" t="e">
        <f>CA265+CA241</f>
        <v>#DIV/0!</v>
      </c>
      <c r="CB267" s="16" t="e">
        <f>CB265+CB241</f>
        <v>#DIV/0!</v>
      </c>
      <c r="CC267" s="16" t="e">
        <f>CC265+CC241</f>
        <v>#DIV/0!</v>
      </c>
      <c r="CD267" s="16" t="e">
        <f>CD265+CD241</f>
        <v>#DIV/0!</v>
      </c>
      <c r="CE267" s="16" t="e">
        <f>CE265+CE241</f>
        <v>#DIV/0!</v>
      </c>
      <c r="CF267" s="16" t="e">
        <f>CF265+CF241</f>
        <v>#DIV/0!</v>
      </c>
      <c r="CG267" s="16" t="e">
        <f>CG265+CG241</f>
        <v>#DIV/0!</v>
      </c>
      <c r="CH267" s="16" t="e">
        <f>CH265+CH241</f>
        <v>#DIV/0!</v>
      </c>
      <c r="CI267" s="16" t="e">
        <f>CI265+CI241</f>
        <v>#DIV/0!</v>
      </c>
      <c r="CJ267" s="16" t="e">
        <f>CJ265+CJ241</f>
        <v>#DIV/0!</v>
      </c>
      <c r="CK267" s="16" t="e">
        <f>CK265+CK241</f>
        <v>#DIV/0!</v>
      </c>
      <c r="CL267" s="16" t="e">
        <f>CL265+CL241</f>
        <v>#DIV/0!</v>
      </c>
      <c r="CM267" s="16" t="e">
        <f>CM265+CM241</f>
        <v>#DIV/0!</v>
      </c>
      <c r="CN267" s="16" t="e">
        <f>CN265+CN241</f>
        <v>#DIV/0!</v>
      </c>
      <c r="CO267" s="16" t="e">
        <f>CO265+CO241</f>
        <v>#DIV/0!</v>
      </c>
      <c r="CP267" s="16" t="e">
        <f>CP265+CP241</f>
        <v>#DIV/0!</v>
      </c>
      <c r="CQ267" s="16" t="e">
        <f>CQ265+CQ241</f>
        <v>#DIV/0!</v>
      </c>
      <c r="CR267" s="16" t="e">
        <f>CR265+CR241</f>
        <v>#DIV/0!</v>
      </c>
      <c r="CS267" s="16" t="e">
        <f>CS265+CS241</f>
        <v>#DIV/0!</v>
      </c>
      <c r="CT267" s="16" t="e">
        <f>CT265+CT241</f>
        <v>#DIV/0!</v>
      </c>
      <c r="CU267" s="16" t="e">
        <f>CU265+CU241</f>
        <v>#DIV/0!</v>
      </c>
      <c r="CV267" s="16" t="e">
        <f>CV265+CV241</f>
        <v>#DIV/0!</v>
      </c>
      <c r="CW267" s="16" t="e">
        <f>CW265+CW241</f>
        <v>#DIV/0!</v>
      </c>
      <c r="CX267" s="16" t="e">
        <f>CX265+CX241</f>
        <v>#DIV/0!</v>
      </c>
      <c r="CY267" s="16" t="e">
        <f>CY265+CY241</f>
        <v>#DIV/0!</v>
      </c>
    </row>
    <row r="268">
      <c r="C268" s="5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  <c r="AF268" s="1" t="n"/>
      <c r="AG268" s="1" t="n"/>
      <c r="AH268" s="1" t="n"/>
      <c r="AI268" s="1" t="n"/>
      <c r="AJ268" s="1" t="n"/>
      <c r="AK268" s="1" t="n"/>
      <c r="AL268" s="1" t="n"/>
      <c r="AM268" s="1" t="n"/>
      <c r="AN268" s="1" t="n"/>
      <c r="AO268" s="1" t="n"/>
      <c r="AP268" s="1" t="n"/>
      <c r="AQ268" s="1" t="n"/>
      <c r="AR268" s="1" t="n"/>
      <c r="AS268" s="1" t="n"/>
      <c r="AT268" s="1" t="n"/>
      <c r="AU268" s="1" t="n"/>
      <c r="AV268" s="1" t="n"/>
      <c r="AW268" s="1" t="n"/>
      <c r="AX268" s="1" t="n"/>
      <c r="AY268" s="1" t="n"/>
      <c r="AZ268" s="1" t="n"/>
      <c r="BA268" s="1" t="n"/>
      <c r="BB268" s="1" t="n"/>
      <c r="BC268" s="1" t="n"/>
      <c r="BD268" s="1" t="n"/>
      <c r="BE268" s="1" t="n"/>
      <c r="BF268" s="1" t="n"/>
      <c r="BG268" s="1" t="n"/>
      <c r="BH268" s="1" t="n"/>
      <c r="BI268" s="1" t="n"/>
      <c r="BJ268" s="1" t="n"/>
      <c r="BK268" s="1" t="n"/>
      <c r="BL268" s="1" t="n"/>
      <c r="BM268" s="1" t="n"/>
      <c r="BN268" s="1" t="n"/>
      <c r="BO268" s="1" t="n"/>
      <c r="BP268" s="1" t="n"/>
      <c r="BQ268" s="1" t="n"/>
      <c r="BR268" s="1" t="n"/>
      <c r="BS268" s="1" t="n"/>
      <c r="BT268" s="1" t="n"/>
      <c r="BU268" s="1" t="n"/>
      <c r="BV268" s="1" t="n"/>
      <c r="BW268" s="1" t="n"/>
      <c r="BX268" s="1" t="n"/>
      <c r="BY268" s="1" t="n"/>
      <c r="BZ268" s="1" t="n"/>
      <c r="CA268" s="1" t="n"/>
      <c r="CB268" s="1" t="n"/>
      <c r="CC268" s="1" t="n"/>
      <c r="CD268" s="1" t="n"/>
      <c r="CE268" s="1" t="n"/>
      <c r="CF268" s="1" t="n"/>
      <c r="CG268" s="1" t="n"/>
      <c r="CH268" s="1" t="n"/>
      <c r="CI268" s="1" t="n"/>
      <c r="CJ268" s="1" t="n"/>
      <c r="CK268" s="1" t="n"/>
      <c r="CL268" s="1" t="n"/>
      <c r="CM268" s="1" t="n"/>
      <c r="CN268" s="1" t="n"/>
      <c r="CO268" s="1" t="n"/>
      <c r="CP268" s="1" t="n"/>
      <c r="CQ268" s="1" t="n"/>
      <c r="CR268" s="1" t="n"/>
      <c r="CS268" s="1" t="n"/>
      <c r="CT268" s="1" t="n"/>
      <c r="CU268" s="1" t="n"/>
      <c r="CV268" s="1" t="n"/>
      <c r="CW268" s="1" t="n"/>
      <c r="CX268" s="1" t="n"/>
      <c r="CY268" s="1" t="n"/>
    </row>
    <row r="269" customFormat="1" s="17">
      <c r="A269" s="13" t="n"/>
      <c r="B269" s="13" t="n"/>
      <c r="C269" s="12" t="inlineStr">
        <is>
          <t>Cash Flow Statement</t>
        </is>
      </c>
      <c r="D269" s="232" t="str">
        <f>D136</f>
        <v>1Q20</v>
      </c>
      <c r="E269" s="232" t="str">
        <f>E136</f>
        <v>2Q20</v>
      </c>
      <c r="F269" s="232" t="str">
        <f>F136</f>
        <v>3Q20</v>
      </c>
      <c r="G269" s="232" t="str">
        <f>G136</f>
        <v>4Q20</v>
      </c>
      <c r="H269" s="232">
        <f>H136</f>
        <v>2020</v>
      </c>
      <c r="I269" s="232" t="str">
        <f>I136</f>
        <v>1Q21</v>
      </c>
      <c r="J269" s="232" t="str">
        <f>J136</f>
        <v>2Q21</v>
      </c>
      <c r="K269" s="232" t="str">
        <f>K136</f>
        <v>3Q21</v>
      </c>
      <c r="L269" s="232" t="str">
        <f>L136</f>
        <v>4Q21</v>
      </c>
      <c r="M269" s="232">
        <f>M136</f>
        <v>2021</v>
      </c>
      <c r="N269" s="232" t="str">
        <f>N136</f>
        <v>1Q22</v>
      </c>
      <c r="O269" s="232" t="str">
        <f>O136</f>
        <v>2Q22</v>
      </c>
      <c r="P269" s="232" t="str">
        <f>P136</f>
        <v>3Q22</v>
      </c>
      <c r="Q269" s="232" t="str">
        <f>Q136</f>
        <v>4Q22</v>
      </c>
      <c r="R269" s="232">
        <f>R136</f>
        <v>2022</v>
      </c>
      <c r="S269" s="232" t="str">
        <f>S136</f>
        <v>1Q23</v>
      </c>
      <c r="T269" s="232" t="str">
        <f>T136</f>
        <v>2Q23</v>
      </c>
      <c r="U269" s="232" t="str">
        <f>U136</f>
        <v>3Q23</v>
      </c>
      <c r="V269" s="232" t="str">
        <f>V136</f>
        <v>4Q23</v>
      </c>
      <c r="W269" s="232">
        <f>W136</f>
        <v>2023</v>
      </c>
      <c r="X269" s="232" t="str">
        <f>X136</f>
        <v>1Q24</v>
      </c>
      <c r="Y269" s="232" t="str">
        <f>Y136</f>
        <v>2Q24</v>
      </c>
      <c r="Z269" s="232" t="str">
        <f>Z136</f>
        <v>3Q24</v>
      </c>
      <c r="AA269" s="232" t="str">
        <f>AA136</f>
        <v>4Q24</v>
      </c>
      <c r="AB269" s="232">
        <f>AB136</f>
        <v>2024</v>
      </c>
      <c r="AC269" s="232" t="str">
        <f>AC136</f>
        <v>1Q25</v>
      </c>
      <c r="AD269" s="232" t="str">
        <f>AD136</f>
        <v>2Q25</v>
      </c>
      <c r="AE269" s="232" t="str">
        <f>AE136</f>
        <v>3Q25</v>
      </c>
      <c r="AF269" s="232" t="str">
        <f>AF136</f>
        <v>4Q25</v>
      </c>
      <c r="AG269" s="232">
        <f>AG136</f>
        <v>2025</v>
      </c>
      <c r="AH269" s="232" t="str">
        <f>AH136</f>
        <v>1Q26</v>
      </c>
      <c r="AI269" s="232" t="str">
        <f>AI136</f>
        <v>2Q26</v>
      </c>
      <c r="AJ269" s="232" t="str">
        <f>AJ136</f>
        <v>3Q26</v>
      </c>
      <c r="AK269" s="232" t="str">
        <f>AK136</f>
        <v>4Q26</v>
      </c>
      <c r="AL269" s="232">
        <f>AL136</f>
        <v>2026</v>
      </c>
      <c r="AM269" s="232" t="str">
        <f>AM136</f>
        <v>1Q27</v>
      </c>
      <c r="AN269" s="232" t="str">
        <f>AN136</f>
        <v>2Q27</v>
      </c>
      <c r="AO269" s="232" t="str">
        <f>AO136</f>
        <v>3Q27</v>
      </c>
      <c r="AP269" s="232" t="str">
        <f>AP136</f>
        <v>4Q27</v>
      </c>
      <c r="AQ269" s="232">
        <f>AQ136</f>
        <v>2027</v>
      </c>
      <c r="AR269" s="232" t="str">
        <f>AR136</f>
        <v>1Q28</v>
      </c>
      <c r="AS269" s="232" t="str">
        <f>AS136</f>
        <v>2Q28</v>
      </c>
      <c r="AT269" s="232" t="str">
        <f>AT136</f>
        <v>3Q28</v>
      </c>
      <c r="AU269" s="232" t="str">
        <f>AU136</f>
        <v>4Q28</v>
      </c>
      <c r="AV269" s="232">
        <f>AV136</f>
        <v>2028</v>
      </c>
      <c r="AW269" s="232" t="str">
        <f>AW136</f>
        <v>1Q29</v>
      </c>
      <c r="AX269" s="232" t="str">
        <f>AX136</f>
        <v>2Q29</v>
      </c>
      <c r="AY269" s="232" t="str">
        <f>AY136</f>
        <v>3Q29</v>
      </c>
      <c r="AZ269" s="232" t="str">
        <f>AZ136</f>
        <v>4Q29</v>
      </c>
      <c r="BA269" s="232">
        <f>BA136</f>
        <v>2029</v>
      </c>
      <c r="BB269" s="232" t="str">
        <f>BB136</f>
        <v>1Q30</v>
      </c>
      <c r="BC269" s="232" t="str">
        <f>BC136</f>
        <v>2Q30</v>
      </c>
      <c r="BD269" s="232" t="str">
        <f>BD136</f>
        <v>3Q30</v>
      </c>
      <c r="BE269" s="232" t="str">
        <f>BE136</f>
        <v>4Q30</v>
      </c>
      <c r="BF269" s="232">
        <f>BF136</f>
        <v>2030</v>
      </c>
      <c r="BG269" s="232" t="str">
        <f>BG136</f>
        <v>1Q31</v>
      </c>
      <c r="BH269" s="232" t="str">
        <f>BH136</f>
        <v>2Q31</v>
      </c>
      <c r="BI269" s="232" t="str">
        <f>BI136</f>
        <v>3Q31</v>
      </c>
      <c r="BJ269" s="232" t="str">
        <f>BJ136</f>
        <v>4Q31</v>
      </c>
      <c r="BK269" s="232">
        <f>BK136</f>
        <v>2031</v>
      </c>
      <c r="BL269" s="232" t="str">
        <f>BL136</f>
        <v>1Q32</v>
      </c>
      <c r="BM269" s="232" t="str">
        <f>BM136</f>
        <v>2Q32</v>
      </c>
      <c r="BN269" s="232" t="str">
        <f>BN136</f>
        <v>3Q32</v>
      </c>
      <c r="BO269" s="232" t="str">
        <f>BO136</f>
        <v>4Q32</v>
      </c>
      <c r="BP269" s="232">
        <f>BP136</f>
        <v>2032</v>
      </c>
      <c r="BQ269" s="232" t="str">
        <f>BQ136</f>
        <v>1Q33</v>
      </c>
      <c r="BR269" s="232" t="str">
        <f>BR136</f>
        <v>2Q33</v>
      </c>
      <c r="BS269" s="232" t="str">
        <f>BS136</f>
        <v>3Q33</v>
      </c>
      <c r="BT269" s="232" t="str">
        <f>BT136</f>
        <v>4Q33</v>
      </c>
      <c r="BU269" s="232">
        <f>BU136</f>
        <v>2033</v>
      </c>
      <c r="BV269" s="232" t="str">
        <f>BV136</f>
        <v>1Q34</v>
      </c>
      <c r="BW269" s="232" t="str">
        <f>BW136</f>
        <v>2Q34</v>
      </c>
      <c r="BX269" s="232" t="str">
        <f>BX136</f>
        <v>3Q34</v>
      </c>
      <c r="BY269" s="232" t="str">
        <f>BY136</f>
        <v>4Q34</v>
      </c>
      <c r="BZ269" s="232">
        <f>BZ136</f>
        <v>2034</v>
      </c>
      <c r="CA269" s="232" t="str">
        <f>CA136</f>
        <v>1Q35</v>
      </c>
      <c r="CB269" s="232" t="str">
        <f>CB136</f>
        <v>2Q35</v>
      </c>
      <c r="CC269" s="232" t="str">
        <f>CC136</f>
        <v>3Q35</v>
      </c>
      <c r="CD269" s="232" t="str">
        <f>CD136</f>
        <v>4Q35</v>
      </c>
      <c r="CE269" s="232">
        <f>CE136</f>
        <v>2035</v>
      </c>
      <c r="CF269" s="232" t="str">
        <f>CF136</f>
        <v>1Q36</v>
      </c>
      <c r="CG269" s="232" t="str">
        <f>CG136</f>
        <v>2Q36</v>
      </c>
      <c r="CH269" s="232" t="str">
        <f>CH136</f>
        <v>3Q36</v>
      </c>
      <c r="CI269" s="232" t="str">
        <f>CI136</f>
        <v>4Q36</v>
      </c>
      <c r="CJ269" s="232">
        <f>CJ136</f>
        <v>2036</v>
      </c>
      <c r="CK269" s="232" t="str">
        <f>CK136</f>
        <v>1Q37</v>
      </c>
      <c r="CL269" s="232" t="str">
        <f>CL136</f>
        <v>2Q37</v>
      </c>
      <c r="CM269" s="232" t="str">
        <f>CM136</f>
        <v>3Q37</v>
      </c>
      <c r="CN269" s="232" t="str">
        <f>CN136</f>
        <v>4Q37</v>
      </c>
      <c r="CO269" s="232">
        <f>CO136</f>
        <v>2037</v>
      </c>
      <c r="CP269" s="232" t="str">
        <f>CP136</f>
        <v>1Q38</v>
      </c>
      <c r="CQ269" s="232" t="str">
        <f>CQ136</f>
        <v>2Q38</v>
      </c>
      <c r="CR269" s="232" t="str">
        <f>CR136</f>
        <v>3Q38</v>
      </c>
      <c r="CS269" s="232" t="str">
        <f>CS136</f>
        <v>4Q38</v>
      </c>
      <c r="CT269" s="232">
        <f>CT136</f>
        <v>2038</v>
      </c>
      <c r="CU269" s="232" t="str">
        <f>CU136</f>
        <v>1Q39</v>
      </c>
      <c r="CV269" s="232" t="str">
        <f>CV136</f>
        <v>2Q39</v>
      </c>
      <c r="CW269" s="232" t="str">
        <f>CW136</f>
        <v>3Q39</v>
      </c>
      <c r="CX269" s="232" t="str">
        <f>CX136</f>
        <v>4Q39</v>
      </c>
      <c r="CY269" s="232">
        <f>CY136</f>
        <v>2039</v>
      </c>
    </row>
    <row r="270">
      <c r="C270" s="5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  <c r="AF270" s="1" t="n"/>
      <c r="AG270" s="1" t="n"/>
      <c r="AH270" s="1" t="n"/>
      <c r="AI270" s="1" t="n"/>
      <c r="AJ270" s="1" t="n"/>
      <c r="AK270" s="1" t="n"/>
      <c r="AL270" s="1" t="n"/>
      <c r="AM270" s="1" t="n"/>
      <c r="AN270" s="1" t="n"/>
      <c r="AO270" s="1" t="n"/>
      <c r="AP270" s="1" t="n"/>
      <c r="AQ270" s="1" t="n"/>
      <c r="AR270" s="1" t="n"/>
      <c r="AS270" s="1" t="n"/>
      <c r="AT270" s="1" t="n"/>
      <c r="AU270" s="1" t="n"/>
      <c r="AV270" s="1" t="n"/>
      <c r="AW270" s="1" t="n"/>
      <c r="AX270" s="1" t="n"/>
      <c r="AY270" s="1" t="n"/>
      <c r="AZ270" s="1" t="n"/>
      <c r="BA270" s="1" t="n"/>
      <c r="BB270" s="1" t="n"/>
      <c r="BC270" s="1" t="n"/>
      <c r="BD270" s="1" t="n"/>
      <c r="BE270" s="1" t="n"/>
      <c r="BF270" s="1" t="n"/>
      <c r="BG270" s="1" t="n"/>
      <c r="BH270" s="1" t="n"/>
      <c r="BI270" s="1" t="n"/>
      <c r="BJ270" s="1" t="n"/>
      <c r="BK270" s="1" t="n"/>
      <c r="BL270" s="1" t="n"/>
      <c r="BM270" s="1" t="n"/>
      <c r="BN270" s="1" t="n"/>
      <c r="BO270" s="1" t="n"/>
      <c r="BP270" s="1" t="n"/>
      <c r="BQ270" s="1" t="n"/>
      <c r="BR270" s="1" t="n"/>
      <c r="BS270" s="1" t="n"/>
      <c r="BT270" s="1" t="n"/>
      <c r="BU270" s="1" t="n"/>
      <c r="BV270" s="1" t="n"/>
      <c r="BW270" s="1" t="n"/>
      <c r="BX270" s="1" t="n"/>
      <c r="BY270" s="1" t="n"/>
      <c r="BZ270" s="1" t="n"/>
      <c r="CA270" s="1" t="n"/>
      <c r="CB270" s="1" t="n"/>
      <c r="CC270" s="1" t="n"/>
      <c r="CD270" s="1" t="n"/>
      <c r="CE270" s="1" t="n"/>
      <c r="CF270" s="1" t="n"/>
      <c r="CG270" s="1" t="n"/>
      <c r="CH270" s="1" t="n"/>
      <c r="CI270" s="1" t="n"/>
      <c r="CJ270" s="1" t="n"/>
      <c r="CK270" s="1" t="n"/>
      <c r="CL270" s="1" t="n"/>
      <c r="CM270" s="1" t="n"/>
      <c r="CN270" s="1" t="n"/>
      <c r="CO270" s="1" t="n"/>
      <c r="CP270" s="1" t="n"/>
      <c r="CQ270" s="1" t="n"/>
      <c r="CR270" s="1" t="n"/>
      <c r="CS270" s="1" t="n"/>
      <c r="CT270" s="1" t="n"/>
      <c r="CU270" s="1" t="n"/>
      <c r="CV270" s="1" t="n"/>
      <c r="CW270" s="1" t="n"/>
      <c r="CX270" s="1" t="n"/>
      <c r="CY270" s="1" t="n"/>
    </row>
    <row r="271">
      <c r="C271" s="29" t="inlineStr">
        <is>
          <t>Net Income</t>
        </is>
      </c>
      <c r="D271" s="3" t="n"/>
      <c r="E271" s="3">
        <f>E131</f>
        <v>104</v>
      </c>
      <c r="F271" s="3">
        <f>F131</f>
        <v>331</v>
      </c>
      <c r="G271" s="3">
        <f>G131</f>
        <v>270</v>
      </c>
      <c r="H271" s="3">
        <f>SUM(D271:G271)</f>
        <v>705</v>
      </c>
      <c r="I271" s="3">
        <f>I131</f>
        <v>438</v>
      </c>
      <c r="J271" s="3">
        <f>J131</f>
        <v>1142</v>
      </c>
      <c r="K271" s="3">
        <f>K131</f>
        <v>1618</v>
      </c>
      <c r="L271" s="3">
        <f>L131</f>
        <v>2321</v>
      </c>
      <c r="M271" s="3">
        <f>SUM(I271:L271)</f>
        <v>5519</v>
      </c>
      <c r="N271" s="3">
        <f>N131</f>
        <v>3318</v>
      </c>
      <c r="O271" s="3">
        <f>O131</f>
        <v>2259</v>
      </c>
      <c r="P271" s="3">
        <f>P131</f>
        <v>3292</v>
      </c>
      <c r="Q271" s="3">
        <f>Q131</f>
        <v>3687</v>
      </c>
      <c r="R271" s="3">
        <f>SUM(N271:Q271)</f>
        <v>12556</v>
      </c>
      <c r="S271" s="3">
        <f>S131</f>
        <v>2513</v>
      </c>
      <c r="T271" s="3">
        <f>T131</f>
        <v>2703</v>
      </c>
      <c r="U271" s="3">
        <f>U131</f>
        <v>1853</v>
      </c>
      <c r="V271" s="3">
        <f>V131</f>
        <v>7928</v>
      </c>
      <c r="W271" s="3">
        <f>SUM(S271:V271)</f>
        <v>14997</v>
      </c>
      <c r="X271" s="3">
        <f>X131</f>
        <v>1390</v>
      </c>
      <c r="Y271" s="3">
        <f>Y131</f>
        <v>1400</v>
      </c>
      <c r="Z271" s="3">
        <f>Z131</f>
        <v>2173</v>
      </c>
      <c r="AA271" s="3">
        <f>AA131</f>
        <v>2128</v>
      </c>
      <c r="AB271" s="3">
        <f>SUM(X271:AA271)</f>
        <v>7091</v>
      </c>
      <c r="AC271" s="3">
        <f>AC131</f>
        <v>409</v>
      </c>
      <c r="AD271" s="3">
        <f>AD131</f>
        <v>1172</v>
      </c>
      <c r="AE271" s="3">
        <f>AE131</f>
        <v>1373</v>
      </c>
      <c r="AF271" s="3">
        <f>AF131</f>
        <v>840</v>
      </c>
      <c r="AG271" s="3">
        <f>SUM(AC271:AF271)</f>
        <v>3794</v>
      </c>
      <c r="AH271" s="3">
        <f>AH131</f>
        <v>477</v>
      </c>
      <c r="AI271" s="3">
        <f>AI131</f>
        <v>1114</v>
      </c>
      <c r="AJ271" s="3">
        <f>AJ131</f>
        <v>-117</v>
      </c>
      <c r="AK271" s="3">
        <f>AK131</f>
        <v>996</v>
      </c>
      <c r="AL271" s="3">
        <f>SUM(AH271:AK271)</f>
        <v>2470</v>
      </c>
      <c r="AM271" s="3">
        <f>AM131</f>
        <v>998</v>
      </c>
      <c r="AN271" s="3">
        <f>AN131</f>
        <v>1808</v>
      </c>
      <c r="AO271" s="3">
        <f>AO131</f>
        <v>996</v>
      </c>
      <c r="AP271" s="3">
        <f>AP131</f>
        <v>1806</v>
      </c>
      <c r="AQ271" s="3">
        <f>SUM(AM271:AP271)</f>
        <v>5608</v>
      </c>
      <c r="AR271" s="3">
        <f>AR131</f>
        <v>1808</v>
      </c>
      <c r="AS271" s="3">
        <f>AS131</f>
        <v>5654</v>
      </c>
      <c r="AT271" s="3">
        <f>AT131</f>
        <v>1806</v>
      </c>
      <c r="AU271" s="3">
        <f>AU131</f>
        <v>5652</v>
      </c>
      <c r="AV271" s="3">
        <f>SUM(AR271:AU271)</f>
        <v>14920</v>
      </c>
      <c r="AW271" s="3">
        <f>AW131</f>
        <v>5654</v>
      </c>
      <c r="AX271" s="3">
        <f>AX131</f>
        <v>14966</v>
      </c>
      <c r="AY271" s="3">
        <f>AY131</f>
        <v>5652</v>
      </c>
      <c r="AZ271" s="3">
        <f>AZ131</f>
        <v>14964</v>
      </c>
      <c r="BA271" s="3">
        <f>SUM(AW271:AZ271)</f>
        <v>41236</v>
      </c>
      <c r="BB271" s="3">
        <f>BB131</f>
        <v>14966</v>
      </c>
      <c r="BC271" s="3">
        <f>BC131</f>
        <v>41282</v>
      </c>
      <c r="BD271" s="3">
        <f>BD131</f>
        <v>14964</v>
      </c>
      <c r="BE271" s="3">
        <f>BE131</f>
        <v>41280</v>
      </c>
      <c r="BF271" s="3">
        <f>SUM(BB271:BE271)</f>
        <v>112492</v>
      </c>
      <c r="BG271" s="3">
        <f>BG131</f>
        <v>41282</v>
      </c>
      <c r="BH271" s="3">
        <f>BH131</f>
        <v>112538</v>
      </c>
      <c r="BI271" s="3">
        <f>BI131</f>
        <v>41280</v>
      </c>
      <c r="BJ271" s="3">
        <f>BJ131</f>
        <v>112536</v>
      </c>
      <c r="BK271" s="3">
        <f>SUM(BG271:BJ271)</f>
        <v>307636</v>
      </c>
      <c r="BL271" s="3">
        <f>BL131</f>
        <v>112538</v>
      </c>
      <c r="BM271" s="3">
        <f>BM131</f>
        <v>307682</v>
      </c>
      <c r="BN271" s="3">
        <f>BN131</f>
        <v>112536</v>
      </c>
      <c r="BO271" s="3">
        <f>BO131</f>
        <v>307680</v>
      </c>
      <c r="BP271" s="3">
        <f>SUM(BL271:BO271)</f>
        <v>840436</v>
      </c>
      <c r="BQ271" s="3">
        <f>BQ131</f>
        <v>307682</v>
      </c>
      <c r="BR271" s="3">
        <f>BR131</f>
        <v>840482</v>
      </c>
      <c r="BS271" s="3">
        <f>BS131</f>
        <v>307680</v>
      </c>
      <c r="BT271" s="3">
        <f>BT131</f>
        <v>840480</v>
      </c>
      <c r="BU271" s="3">
        <f>SUM(BQ271:BT271)</f>
        <v>2296324</v>
      </c>
      <c r="BV271" s="3">
        <f>BV131</f>
        <v>840482</v>
      </c>
      <c r="BW271" s="3">
        <f>BW131</f>
        <v>2296370</v>
      </c>
      <c r="BX271" s="3">
        <f>BX131</f>
        <v>840480</v>
      </c>
      <c r="BY271" s="3">
        <f>BY131</f>
        <v>2296368</v>
      </c>
      <c r="BZ271" s="3">
        <f>SUM(BV271:BY271)</f>
        <v>6273700</v>
      </c>
      <c r="CA271" s="3">
        <f>CA131</f>
        <v>2296370</v>
      </c>
      <c r="CB271" s="3">
        <f>CB131</f>
        <v>6273746</v>
      </c>
      <c r="CC271" s="3">
        <f>CC131</f>
        <v>2296368</v>
      </c>
      <c r="CD271" s="3">
        <f>CD131</f>
        <v>6273744</v>
      </c>
      <c r="CE271" s="3">
        <f>SUM(CA271:CD271)</f>
        <v>17140228</v>
      </c>
      <c r="CF271" s="3">
        <f>CF131</f>
        <v>6273746</v>
      </c>
      <c r="CG271" s="3">
        <f>CG131</f>
        <v>17140274</v>
      </c>
      <c r="CH271" s="3">
        <f>CH131</f>
        <v>6273744</v>
      </c>
      <c r="CI271" s="3">
        <f>CI131</f>
        <v>17140272</v>
      </c>
      <c r="CJ271" s="3">
        <f>SUM(CF271:CI271)</f>
        <v>46828036</v>
      </c>
      <c r="CK271" s="3">
        <f>CK131</f>
        <v>17140274</v>
      </c>
      <c r="CL271" s="3">
        <f>CL131</f>
        <v>46828082</v>
      </c>
      <c r="CM271" s="3">
        <f>CM131</f>
        <v>17140272</v>
      </c>
      <c r="CN271" s="3">
        <f>CN131</f>
        <v>46828080</v>
      </c>
      <c r="CO271" s="3">
        <f>SUM(CK271:CN271)</f>
        <v>127936708</v>
      </c>
      <c r="CP271" s="3">
        <f>CP131</f>
        <v>46828082</v>
      </c>
      <c r="CQ271" s="3">
        <f>CQ131</f>
        <v>127936754</v>
      </c>
      <c r="CR271" s="3">
        <f>CR131</f>
        <v>46828080</v>
      </c>
      <c r="CS271" s="3">
        <f>CS131</f>
        <v>127936752</v>
      </c>
      <c r="CT271" s="3">
        <f>SUM(CP271:CS271)</f>
        <v>349529668</v>
      </c>
      <c r="CU271" s="3">
        <f>CU131</f>
        <v>127936754</v>
      </c>
      <c r="CV271" s="3">
        <f>CV131</f>
        <v>349529714</v>
      </c>
      <c r="CW271" s="3">
        <f>CW131</f>
        <v>127936752</v>
      </c>
      <c r="CX271" s="3">
        <f>CX131</f>
        <v>349529712</v>
      </c>
      <c r="CY271" s="3">
        <f>SUM(CU271:CX271)</f>
        <v>954932932</v>
      </c>
    </row>
    <row r="272">
      <c r="C272" s="29" t="inlineStr">
        <is>
          <t>Depreciation &amp; amortization</t>
        </is>
      </c>
      <c r="D272" s="3" t="n"/>
      <c r="E272" s="3">
        <f>-E64</f>
        <v>567</v>
      </c>
      <c r="F272" s="3">
        <f>-F64</f>
        <v>584</v>
      </c>
      <c r="G272" s="3">
        <f>-G64</f>
        <v>618</v>
      </c>
      <c r="H272" s="3">
        <f>SUM(D272:G272)</f>
        <v>1769</v>
      </c>
      <c r="I272" s="3">
        <f>-I64</f>
        <v>621</v>
      </c>
      <c r="J272" s="3">
        <f>-J64</f>
        <v>681</v>
      </c>
      <c r="K272" s="3">
        <f>-K64</f>
        <v>761</v>
      </c>
      <c r="L272" s="3">
        <f>-L64</f>
        <v>848</v>
      </c>
      <c r="M272" s="3">
        <f>SUM(I272:L272)</f>
        <v>2911</v>
      </c>
      <c r="N272" s="3">
        <f>-N64</f>
        <v>880</v>
      </c>
      <c r="O272" s="3">
        <f>-O64</f>
        <v>922</v>
      </c>
      <c r="P272" s="3">
        <f>-P64</f>
        <v>956</v>
      </c>
      <c r="Q272" s="3">
        <f>-Q64</f>
        <v>989</v>
      </c>
      <c r="R272" s="3">
        <f>SUM(N272:Q272)</f>
        <v>3747</v>
      </c>
      <c r="S272" s="3">
        <f>-S64</f>
        <v>1046</v>
      </c>
      <c r="T272" s="3">
        <f>-T64</f>
        <v>1154</v>
      </c>
      <c r="U272" s="3">
        <f>-U64</f>
        <v>1235</v>
      </c>
      <c r="V272" s="3">
        <f>-V64</f>
        <v>1232</v>
      </c>
      <c r="W272" s="3">
        <f>SUM(S272:V272)</f>
        <v>4667</v>
      </c>
      <c r="X272" s="3">
        <f>-X64</f>
        <v>1246</v>
      </c>
      <c r="Y272" s="3">
        <f>-Y64</f>
        <v>1278</v>
      </c>
      <c r="Z272" s="3">
        <f>-Z64</f>
        <v>1348</v>
      </c>
      <c r="AA272" s="3">
        <f>-AA64</f>
        <v>1496</v>
      </c>
      <c r="AB272" s="3">
        <f>SUM(X272:AA272)</f>
        <v>5368</v>
      </c>
      <c r="AC272" s="3">
        <f>-AC64</f>
        <v>1447</v>
      </c>
      <c r="AD272" s="3">
        <f>-AD64</f>
        <v>1433</v>
      </c>
      <c r="AE272" s="3">
        <f>-AE64</f>
        <v>1625</v>
      </c>
      <c r="AF272" s="3">
        <f>-AF64</f>
        <v>1643</v>
      </c>
      <c r="AG272" s="3">
        <f>SUM(AC272:AF272)</f>
        <v>6148</v>
      </c>
      <c r="AH272" s="3">
        <f>-AH64</f>
        <v>1590</v>
      </c>
      <c r="AI272" s="3">
        <f>-AI64</f>
        <v>1619</v>
      </c>
      <c r="AJ272" s="3">
        <f>-AJ64</f>
        <v>0</v>
      </c>
      <c r="AK272" s="3">
        <f>-AK64</f>
        <v>0</v>
      </c>
      <c r="AL272" s="3">
        <f>SUM(AH272:AK272)</f>
        <v>3209</v>
      </c>
      <c r="AM272" s="3">
        <f>-AM64</f>
        <v>0</v>
      </c>
      <c r="AN272" s="3">
        <f>-AN64</f>
        <v>0</v>
      </c>
      <c r="AO272" s="3">
        <f>-AO64</f>
        <v>0</v>
      </c>
      <c r="AP272" s="3">
        <f>-AP64</f>
        <v>0</v>
      </c>
      <c r="AQ272" s="3">
        <f>SUM(AM272:AP272)</f>
        <v>0</v>
      </c>
      <c r="AR272" s="3">
        <f>-AR64</f>
        <v>0</v>
      </c>
      <c r="AS272" s="3">
        <f>-AS64</f>
        <v>0</v>
      </c>
      <c r="AT272" s="3">
        <f>-AT64</f>
        <v>0</v>
      </c>
      <c r="AU272" s="3">
        <f>-AU64</f>
        <v>0</v>
      </c>
      <c r="AV272" s="3">
        <f>SUM(AR272:AU272)</f>
        <v>0</v>
      </c>
      <c r="AW272" s="3">
        <f>-AW64</f>
        <v>0</v>
      </c>
      <c r="AX272" s="3">
        <f>-AX64</f>
        <v>0</v>
      </c>
      <c r="AY272" s="3">
        <f>-AY64</f>
        <v>0</v>
      </c>
      <c r="AZ272" s="3">
        <f>-AZ64</f>
        <v>0</v>
      </c>
      <c r="BA272" s="3">
        <f>SUM(AW272:AZ272)</f>
        <v>0</v>
      </c>
      <c r="BB272" s="3">
        <f>-BB64</f>
        <v>0</v>
      </c>
      <c r="BC272" s="3">
        <f>-BC64</f>
        <v>0</v>
      </c>
      <c r="BD272" s="3">
        <f>-BD64</f>
        <v>0</v>
      </c>
      <c r="BE272" s="3">
        <f>-BE64</f>
        <v>0</v>
      </c>
      <c r="BF272" s="3">
        <f>SUM(BB272:BE272)</f>
        <v>0</v>
      </c>
      <c r="BG272" s="3">
        <f>-BG64</f>
        <v>0</v>
      </c>
      <c r="BH272" s="3">
        <f>-BH64</f>
        <v>0</v>
      </c>
      <c r="BI272" s="3">
        <f>-BI64</f>
        <v>0</v>
      </c>
      <c r="BJ272" s="3">
        <f>-BJ64</f>
        <v>0</v>
      </c>
      <c r="BK272" s="3">
        <f>SUM(BG272:BJ272)</f>
        <v>0</v>
      </c>
      <c r="BL272" s="3">
        <f>-BL64</f>
        <v>0</v>
      </c>
      <c r="BM272" s="3">
        <f>-BM64</f>
        <v>0</v>
      </c>
      <c r="BN272" s="3">
        <f>-BN64</f>
        <v>0</v>
      </c>
      <c r="BO272" s="3">
        <f>-BO64</f>
        <v>0</v>
      </c>
      <c r="BP272" s="3">
        <f>SUM(BL272:BO272)</f>
        <v>0</v>
      </c>
      <c r="BQ272" s="3">
        <f>-BQ64</f>
        <v>0</v>
      </c>
      <c r="BR272" s="3">
        <f>-BR64</f>
        <v>0</v>
      </c>
      <c r="BS272" s="3">
        <f>-BS64</f>
        <v>0</v>
      </c>
      <c r="BT272" s="3">
        <f>-BT64</f>
        <v>0</v>
      </c>
      <c r="BU272" s="3">
        <f>SUM(BQ272:BT272)</f>
        <v>0</v>
      </c>
      <c r="BV272" s="3">
        <f>-BV64</f>
        <v>0</v>
      </c>
      <c r="BW272" s="3">
        <f>-BW64</f>
        <v>0</v>
      </c>
      <c r="BX272" s="3">
        <f>-BX64</f>
        <v>0</v>
      </c>
      <c r="BY272" s="3">
        <f>-BY64</f>
        <v>0</v>
      </c>
      <c r="BZ272" s="3">
        <f>SUM(BV272:BY272)</f>
        <v>0</v>
      </c>
      <c r="CA272" s="3">
        <f>-CA64</f>
        <v>0</v>
      </c>
      <c r="CB272" s="3">
        <f>-CB64</f>
        <v>0</v>
      </c>
      <c r="CC272" s="3">
        <f>-CC64</f>
        <v>0</v>
      </c>
      <c r="CD272" s="3">
        <f>-CD64</f>
        <v>0</v>
      </c>
      <c r="CE272" s="3">
        <f>SUM(CA272:CD272)</f>
        <v>0</v>
      </c>
      <c r="CF272" s="3">
        <f>-CF64</f>
        <v>0</v>
      </c>
      <c r="CG272" s="3">
        <f>-CG64</f>
        <v>0</v>
      </c>
      <c r="CH272" s="3">
        <f>-CH64</f>
        <v>0</v>
      </c>
      <c r="CI272" s="3">
        <f>-CI64</f>
        <v>0</v>
      </c>
      <c r="CJ272" s="3">
        <f>SUM(CF272:CI272)</f>
        <v>0</v>
      </c>
      <c r="CK272" s="3">
        <f>-CK64</f>
        <v>0</v>
      </c>
      <c r="CL272" s="3">
        <f>-CL64</f>
        <v>0</v>
      </c>
      <c r="CM272" s="3">
        <f>-CM64</f>
        <v>0</v>
      </c>
      <c r="CN272" s="3">
        <f>-CN64</f>
        <v>0</v>
      </c>
      <c r="CO272" s="3">
        <f>SUM(CK272:CN272)</f>
        <v>0</v>
      </c>
      <c r="CP272" s="3">
        <f>-CP64</f>
        <v>0</v>
      </c>
      <c r="CQ272" s="3">
        <f>-CQ64</f>
        <v>0</v>
      </c>
      <c r="CR272" s="3">
        <f>-CR64</f>
        <v>0</v>
      </c>
      <c r="CS272" s="3">
        <f>-CS64</f>
        <v>0</v>
      </c>
      <c r="CT272" s="3">
        <f>SUM(CP272:CS272)</f>
        <v>0</v>
      </c>
      <c r="CU272" s="3">
        <f>-CU64</f>
        <v>0</v>
      </c>
      <c r="CV272" s="3">
        <f>-CV64</f>
        <v>0</v>
      </c>
      <c r="CW272" s="3">
        <f>-CW64</f>
        <v>0</v>
      </c>
      <c r="CX272" s="3">
        <f>-CX64</f>
        <v>0</v>
      </c>
      <c r="CY272" s="3">
        <f>SUM(CU272:CX272)</f>
        <v>0</v>
      </c>
    </row>
    <row r="273">
      <c r="C273" s="29" t="inlineStr">
        <is>
          <t xml:space="preserve">Changes in working capital </t>
        </is>
      </c>
      <c r="D273" s="3" t="n"/>
      <c r="E273" s="3">
        <f>SUM(E274:E283)</f>
        <v>376</v>
      </c>
      <c r="F273" s="3">
        <f>SUM(F274:F283)</f>
        <v>540</v>
      </c>
      <c r="G273" s="3">
        <f>SUM(G274:G283)</f>
        <v>826</v>
      </c>
      <c r="H273" s="3">
        <f>SUM(D273:G273)</f>
        <v>1742</v>
      </c>
      <c r="I273" s="3">
        <f>SUM(I274:I283)</f>
        <v>398</v>
      </c>
      <c r="J273" s="3">
        <f>SUM(J274:J283)</f>
        <v>594</v>
      </c>
      <c r="K273" s="3">
        <f>SUM(K274:K283)</f>
        <v>1237</v>
      </c>
      <c r="L273" s="3">
        <f>SUM(L274:L283)</f>
        <v>1168</v>
      </c>
      <c r="M273" s="3">
        <f>SUM(I273:L273)</f>
        <v>3397</v>
      </c>
      <c r="N273" s="3">
        <f>SUM(N274:N283)</f>
        <v>106</v>
      </c>
      <c r="O273" s="3">
        <f>SUM(O274:O283)</f>
        <v>-904</v>
      </c>
      <c r="P273" s="3">
        <f>SUM(P274:P283)</f>
        <v>214</v>
      </c>
      <c r="Q273" s="3">
        <f>SUM(Q274:Q283)</f>
        <v>-1751</v>
      </c>
      <c r="R273" s="3">
        <f>SUM(N273:Q273)</f>
        <v>-2335</v>
      </c>
      <c r="S273" s="3">
        <f>SUM(S274:S283)</f>
        <v>-1136</v>
      </c>
      <c r="T273" s="3">
        <f>SUM(T274:T283)</f>
        <v>-49</v>
      </c>
      <c r="U273" s="3">
        <f>SUM(U274:U283)</f>
        <v>899</v>
      </c>
      <c r="V273" s="3">
        <f>SUM(V274:V283)</f>
        <v>-6198</v>
      </c>
      <c r="W273" s="3">
        <f>SUM(S273:V273)</f>
        <v>-6484</v>
      </c>
      <c r="X273" s="3">
        <f>SUM(X274:X283)</f>
        <v>-2481</v>
      </c>
      <c r="Y273" s="3">
        <f>SUM(Y274:Y283)</f>
        <v>-232</v>
      </c>
      <c r="Z273" s="3">
        <f>SUM(Z274:Z283)</f>
        <v>2580</v>
      </c>
      <c r="AA273" s="3">
        <f>SUM(AA274:AA283)</f>
        <v>-860</v>
      </c>
      <c r="AB273" s="3">
        <f>SUM(X273:AA273)</f>
        <v>-993</v>
      </c>
      <c r="AC273" s="3">
        <f>SUM(AC274:AC283)</f>
        <v>173</v>
      </c>
      <c r="AD273" s="3">
        <f>SUM(AD274:AD283)</f>
        <v>-1737</v>
      </c>
      <c r="AE273" s="3">
        <f>SUM(AE274:AE283)</f>
        <v>2711</v>
      </c>
      <c r="AF273" s="3">
        <f>SUM(AF274:AF283)</f>
        <v>-1441</v>
      </c>
      <c r="AG273" s="3">
        <f>SUM(AC273:AF273)</f>
        <v>-294</v>
      </c>
      <c r="AH273" s="3">
        <f>SUM(AH274:AH283)</f>
        <v>1867</v>
      </c>
      <c r="AI273" s="3">
        <f>SUM(AI274:AI283)</f>
        <v>883</v>
      </c>
      <c r="AJ273" s="3">
        <f>SUM(AJ274:AJ283)</f>
        <v>2515</v>
      </c>
      <c r="AK273" s="3">
        <f>SUM(AK274:AK283)</f>
        <v>0</v>
      </c>
      <c r="AL273" s="3">
        <f>SUM(AH273:AK273)</f>
        <v>5265</v>
      </c>
      <c r="AM273" s="3" t="e">
        <f>SUM(AM274:AM283)</f>
        <v>#DIV/0!</v>
      </c>
      <c r="AN273" s="3" t="e">
        <f>SUM(AN274:AN283)</f>
        <v>#DIV/0!</v>
      </c>
      <c r="AO273" s="3" t="e">
        <f>SUM(AO274:AO283)</f>
        <v>#DIV/0!</v>
      </c>
      <c r="AP273" s="3" t="e">
        <f>SUM(AP274:AP283)</f>
        <v>#DIV/0!</v>
      </c>
      <c r="AQ273" s="3" t="e">
        <f>SUM(AM273:AP273)</f>
        <v>#DIV/0!</v>
      </c>
      <c r="AR273" s="3" t="e">
        <f>SUM(AR274:AR283)</f>
        <v>#DIV/0!</v>
      </c>
      <c r="AS273" s="3" t="e">
        <f>SUM(AS274:AS283)</f>
        <v>#DIV/0!</v>
      </c>
      <c r="AT273" s="3" t="e">
        <f>SUM(AT274:AT283)</f>
        <v>#DIV/0!</v>
      </c>
      <c r="AU273" s="3" t="e">
        <f>SUM(AU274:AU283)</f>
        <v>#DIV/0!</v>
      </c>
      <c r="AV273" s="3" t="e">
        <f>SUM(AR273:AU273)</f>
        <v>#DIV/0!</v>
      </c>
      <c r="AW273" s="3" t="e">
        <f>SUM(AW274:AW283)</f>
        <v>#DIV/0!</v>
      </c>
      <c r="AX273" s="3" t="e">
        <f>SUM(AX274:AX283)</f>
        <v>#DIV/0!</v>
      </c>
      <c r="AY273" s="3" t="e">
        <f>SUM(AY274:AY283)</f>
        <v>#DIV/0!</v>
      </c>
      <c r="AZ273" s="3" t="e">
        <f>SUM(AZ274:AZ283)</f>
        <v>#DIV/0!</v>
      </c>
      <c r="BA273" s="3" t="e">
        <f>SUM(AW273:AZ273)</f>
        <v>#DIV/0!</v>
      </c>
      <c r="BB273" s="3" t="e">
        <f>SUM(BB274:BB283)</f>
        <v>#DIV/0!</v>
      </c>
      <c r="BC273" s="3" t="e">
        <f>SUM(BC274:BC283)</f>
        <v>#DIV/0!</v>
      </c>
      <c r="BD273" s="3" t="e">
        <f>SUM(BD274:BD283)</f>
        <v>#DIV/0!</v>
      </c>
      <c r="BE273" s="3" t="e">
        <f>SUM(BE274:BE283)</f>
        <v>#DIV/0!</v>
      </c>
      <c r="BF273" s="3" t="e">
        <f>SUM(BB273:BE273)</f>
        <v>#DIV/0!</v>
      </c>
      <c r="BG273" s="3" t="e">
        <f>SUM(BG274:BG283)</f>
        <v>#DIV/0!</v>
      </c>
      <c r="BH273" s="3" t="e">
        <f>SUM(BH274:BH283)</f>
        <v>#DIV/0!</v>
      </c>
      <c r="BI273" s="3" t="e">
        <f>SUM(BI274:BI283)</f>
        <v>#DIV/0!</v>
      </c>
      <c r="BJ273" s="3" t="e">
        <f>SUM(BJ274:BJ283)</f>
        <v>#DIV/0!</v>
      </c>
      <c r="BK273" s="3" t="e">
        <f>SUM(BG273:BJ273)</f>
        <v>#DIV/0!</v>
      </c>
      <c r="BL273" s="3" t="e">
        <f>SUM(BL274:BL283)</f>
        <v>#DIV/0!</v>
      </c>
      <c r="BM273" s="3" t="e">
        <f>SUM(BM274:BM283)</f>
        <v>#DIV/0!</v>
      </c>
      <c r="BN273" s="3" t="e">
        <f>SUM(BN274:BN283)</f>
        <v>#DIV/0!</v>
      </c>
      <c r="BO273" s="3" t="e">
        <f>SUM(BO274:BO283)</f>
        <v>#DIV/0!</v>
      </c>
      <c r="BP273" s="3" t="e">
        <f>SUM(BL273:BO273)</f>
        <v>#DIV/0!</v>
      </c>
      <c r="BQ273" s="3" t="e">
        <f>SUM(BQ274:BQ283)</f>
        <v>#DIV/0!</v>
      </c>
      <c r="BR273" s="3" t="e">
        <f>SUM(BR274:BR283)</f>
        <v>#DIV/0!</v>
      </c>
      <c r="BS273" s="3" t="e">
        <f>SUM(BS274:BS283)</f>
        <v>#DIV/0!</v>
      </c>
      <c r="BT273" s="3" t="e">
        <f>SUM(BT274:BT283)</f>
        <v>#DIV/0!</v>
      </c>
      <c r="BU273" s="3" t="e">
        <f>SUM(BQ273:BT273)</f>
        <v>#DIV/0!</v>
      </c>
      <c r="BV273" s="3" t="e">
        <f>SUM(BV274:BV283)</f>
        <v>#DIV/0!</v>
      </c>
      <c r="BW273" s="3" t="e">
        <f>SUM(BW274:BW283)</f>
        <v>#DIV/0!</v>
      </c>
      <c r="BX273" s="3" t="e">
        <f>SUM(BX274:BX283)</f>
        <v>#DIV/0!</v>
      </c>
      <c r="BY273" s="3" t="e">
        <f>SUM(BY274:BY283)</f>
        <v>#DIV/0!</v>
      </c>
      <c r="BZ273" s="3" t="e">
        <f>SUM(BV273:BY273)</f>
        <v>#DIV/0!</v>
      </c>
      <c r="CA273" s="3" t="e">
        <f>SUM(CA274:CA283)</f>
        <v>#DIV/0!</v>
      </c>
      <c r="CB273" s="3" t="e">
        <f>SUM(CB274:CB283)</f>
        <v>#DIV/0!</v>
      </c>
      <c r="CC273" s="3" t="e">
        <f>SUM(CC274:CC283)</f>
        <v>#DIV/0!</v>
      </c>
      <c r="CD273" s="3" t="e">
        <f>SUM(CD274:CD283)</f>
        <v>#DIV/0!</v>
      </c>
      <c r="CE273" s="3" t="e">
        <f>SUM(CA273:CD273)</f>
        <v>#DIV/0!</v>
      </c>
      <c r="CF273" s="3" t="e">
        <f>SUM(CF274:CF283)</f>
        <v>#DIV/0!</v>
      </c>
      <c r="CG273" s="3" t="e">
        <f>SUM(CG274:CG283)</f>
        <v>#DIV/0!</v>
      </c>
      <c r="CH273" s="3" t="e">
        <f>SUM(CH274:CH283)</f>
        <v>#DIV/0!</v>
      </c>
      <c r="CI273" s="3" t="e">
        <f>SUM(CI274:CI283)</f>
        <v>#DIV/0!</v>
      </c>
      <c r="CJ273" s="3" t="e">
        <f>SUM(CF273:CI273)</f>
        <v>#DIV/0!</v>
      </c>
      <c r="CK273" s="3" t="e">
        <f>SUM(CK274:CK283)</f>
        <v>#DIV/0!</v>
      </c>
      <c r="CL273" s="3" t="e">
        <f>SUM(CL274:CL283)</f>
        <v>#DIV/0!</v>
      </c>
      <c r="CM273" s="3" t="e">
        <f>SUM(CM274:CM283)</f>
        <v>#DIV/0!</v>
      </c>
      <c r="CN273" s="3" t="e">
        <f>SUM(CN274:CN283)</f>
        <v>#DIV/0!</v>
      </c>
      <c r="CO273" s="3" t="e">
        <f>SUM(CK273:CN273)</f>
        <v>#DIV/0!</v>
      </c>
      <c r="CP273" s="3" t="e">
        <f>SUM(CP274:CP283)</f>
        <v>#DIV/0!</v>
      </c>
      <c r="CQ273" s="3" t="e">
        <f>SUM(CQ274:CQ283)</f>
        <v>#DIV/0!</v>
      </c>
      <c r="CR273" s="3" t="e">
        <f>SUM(CR274:CR283)</f>
        <v>#DIV/0!</v>
      </c>
      <c r="CS273" s="3" t="e">
        <f>SUM(CS274:CS283)</f>
        <v>#DIV/0!</v>
      </c>
      <c r="CT273" s="3" t="e">
        <f>SUM(CP273:CS273)</f>
        <v>#DIV/0!</v>
      </c>
      <c r="CU273" s="3" t="e">
        <f>SUM(CU274:CU283)</f>
        <v>#DIV/0!</v>
      </c>
      <c r="CV273" s="3" t="e">
        <f>SUM(CV274:CV283)</f>
        <v>#DIV/0!</v>
      </c>
      <c r="CW273" s="3" t="e">
        <f>SUM(CW274:CW283)</f>
        <v>#DIV/0!</v>
      </c>
      <c r="CX273" s="3" t="e">
        <f>SUM(CX274:CX283)</f>
        <v>#DIV/0!</v>
      </c>
      <c r="CY273" s="3" t="e">
        <f>SUM(CU273:CX273)</f>
        <v>#DIV/0!</v>
      </c>
    </row>
    <row r="274" hidden="1" outlineLevel="1">
      <c r="C274" s="29" t="inlineStr">
        <is>
          <t>Accounts receivable</t>
        </is>
      </c>
      <c r="D274" s="3" t="n"/>
      <c r="E274" s="3">
        <f>(E139-D139)*-1</f>
        <v>-211</v>
      </c>
      <c r="F274" s="3">
        <f>(F139-E139)*-1</f>
        <v>-272</v>
      </c>
      <c r="G274" s="3">
        <f>(G139-F139)*-1</f>
        <v>-129</v>
      </c>
      <c r="H274" s="3">
        <f>SUM(D274:G274)</f>
        <v>-612</v>
      </c>
      <c r="I274" s="3">
        <f>(I139-H139)*-1</f>
        <v>-4</v>
      </c>
      <c r="J274" s="3">
        <f>(J139-I139)*-1</f>
        <v>-239</v>
      </c>
      <c r="K274" s="3">
        <f>(K139-J139)*-1</f>
        <v>167</v>
      </c>
      <c r="L274" s="3">
        <f>(L139-K139)*-1</f>
        <v>49</v>
      </c>
      <c r="M274" s="3">
        <f>SUM(I274:L274)</f>
        <v>-27</v>
      </c>
      <c r="N274" s="3">
        <f>(N139-M139)*-1</f>
        <v>-398</v>
      </c>
      <c r="O274" s="3">
        <f>(O139-N139)*-1</f>
        <v>230</v>
      </c>
      <c r="P274" s="3">
        <f>(P139-O139)*-1</f>
        <v>-111</v>
      </c>
      <c r="Q274" s="3">
        <f>(Q139-P139)*-1</f>
        <v>-760</v>
      </c>
      <c r="R274" s="3">
        <f>SUM(N274:Q274)</f>
        <v>-1039</v>
      </c>
      <c r="S274" s="3">
        <f>(S139-R139)*-1</f>
        <v>-41</v>
      </c>
      <c r="T274" s="3">
        <f>(T139-S139)*-1</f>
        <v>-454</v>
      </c>
      <c r="U274" s="3">
        <f>(U139-T139)*-1</f>
        <v>927</v>
      </c>
      <c r="V274" s="3">
        <f>(V139-U139)*-1</f>
        <v>-988</v>
      </c>
      <c r="W274" s="3">
        <f>SUM(S274:V274)</f>
        <v>-556</v>
      </c>
      <c r="X274" s="3">
        <f>(X139-W139)*-1</f>
        <v>-379</v>
      </c>
      <c r="Y274" s="3">
        <f>(Y139-X139)*-1</f>
        <v>150</v>
      </c>
      <c r="Z274" s="3">
        <f>(Z139-Y139)*-1</f>
        <v>424</v>
      </c>
      <c r="AA274" s="3">
        <f>(AA139-Z139)*-1</f>
        <v>-1105</v>
      </c>
      <c r="AB274" s="3">
        <f>SUM(X274:AA274)</f>
        <v>-910</v>
      </c>
      <c r="AC274" s="3">
        <f>(AC139-AB139)*-1</f>
        <v>636</v>
      </c>
      <c r="AD274" s="3">
        <f>(AD139-AC139)*-1</f>
        <v>-56</v>
      </c>
      <c r="AE274" s="3">
        <f>(AE139-AD139)*-1</f>
        <v>-865</v>
      </c>
      <c r="AF274" s="3">
        <f>(AF139-AE139)*-1</f>
        <v>127</v>
      </c>
      <c r="AG274" s="3">
        <f>SUM(AC274:AF274)</f>
        <v>-158</v>
      </c>
      <c r="AH274" s="3">
        <f>(AH139-AG139)*-1</f>
        <v>617</v>
      </c>
      <c r="AI274" s="3">
        <f>(AI139-AH139)*-1</f>
        <v>-128</v>
      </c>
      <c r="AJ274" s="3">
        <f>(AJ139-AI139)*-1</f>
        <v>4087</v>
      </c>
      <c r="AK274" s="3">
        <f>(AK139-AJ139)*-1</f>
        <v>0</v>
      </c>
      <c r="AL274" s="3">
        <f>SUM(AH274:AK274)</f>
        <v>4576</v>
      </c>
      <c r="AM274" s="3">
        <f>(AM139-AL139)*-1</f>
        <v>0</v>
      </c>
      <c r="AN274" s="3">
        <f>(AN139-AM139)*-1</f>
        <v>0</v>
      </c>
      <c r="AO274" s="3">
        <f>(AO139-AN139)*-1</f>
        <v>0</v>
      </c>
      <c r="AP274" s="3">
        <f>(AP139-AO139)*-1</f>
        <v>0</v>
      </c>
      <c r="AQ274" s="3">
        <f>SUM(AM274:AP274)</f>
        <v>0</v>
      </c>
      <c r="AR274" s="3">
        <f>(AR139-AQ139)*-1</f>
        <v>0</v>
      </c>
      <c r="AS274" s="3">
        <f>(AS139-AR139)*-1</f>
        <v>0</v>
      </c>
      <c r="AT274" s="3">
        <f>(AT139-AS139)*-1</f>
        <v>0</v>
      </c>
      <c r="AU274" s="3">
        <f>(AU139-AT139)*-1</f>
        <v>0</v>
      </c>
      <c r="AV274" s="3">
        <f>SUM(AR274:AU274)</f>
        <v>0</v>
      </c>
      <c r="AW274" s="3">
        <f>(AW139-AV139)*-1</f>
        <v>0</v>
      </c>
      <c r="AX274" s="3">
        <f>(AX139-AW139)*-1</f>
        <v>0</v>
      </c>
      <c r="AY274" s="3">
        <f>(AY139-AX139)*-1</f>
        <v>0</v>
      </c>
      <c r="AZ274" s="3">
        <f>(AZ139-AY139)*-1</f>
        <v>0</v>
      </c>
      <c r="BA274" s="3">
        <f>SUM(AW274:AZ274)</f>
        <v>0</v>
      </c>
      <c r="BB274" s="3">
        <f>(BB139-BA139)*-1</f>
        <v>0</v>
      </c>
      <c r="BC274" s="3">
        <f>(BC139-BB139)*-1</f>
        <v>0</v>
      </c>
      <c r="BD274" s="3">
        <f>(BD139-BC139)*-1</f>
        <v>0</v>
      </c>
      <c r="BE274" s="3">
        <f>(BE139-BD139)*-1</f>
        <v>0</v>
      </c>
      <c r="BF274" s="3">
        <f>SUM(BB274:BE274)</f>
        <v>0</v>
      </c>
      <c r="BG274" s="3">
        <f>(BG139-BF139)*-1</f>
        <v>0</v>
      </c>
      <c r="BH274" s="3">
        <f>(BH139-BG139)*-1</f>
        <v>0</v>
      </c>
      <c r="BI274" s="3">
        <f>(BI139-BH139)*-1</f>
        <v>0</v>
      </c>
      <c r="BJ274" s="3">
        <f>(BJ139-BI139)*-1</f>
        <v>0</v>
      </c>
      <c r="BK274" s="3">
        <f>SUM(BG274:BJ274)</f>
        <v>0</v>
      </c>
      <c r="BL274" s="3">
        <f>(BL139-BK139)*-1</f>
        <v>0</v>
      </c>
      <c r="BM274" s="3">
        <f>(BM139-BL139)*-1</f>
        <v>0</v>
      </c>
      <c r="BN274" s="3">
        <f>(BN139-BM139)*-1</f>
        <v>0</v>
      </c>
      <c r="BO274" s="3">
        <f>(BO139-BN139)*-1</f>
        <v>0</v>
      </c>
      <c r="BP274" s="3">
        <f>SUM(BL274:BO274)</f>
        <v>0</v>
      </c>
      <c r="BQ274" s="3">
        <f>(BQ139-BP139)*-1</f>
        <v>0</v>
      </c>
      <c r="BR274" s="3">
        <f>(BR139-BQ139)*-1</f>
        <v>0</v>
      </c>
      <c r="BS274" s="3">
        <f>(BS139-BR139)*-1</f>
        <v>0</v>
      </c>
      <c r="BT274" s="3">
        <f>(BT139-BS139)*-1</f>
        <v>0</v>
      </c>
      <c r="BU274" s="3">
        <f>SUM(BQ274:BT274)</f>
        <v>0</v>
      </c>
      <c r="BV274" s="3">
        <f>(BV139-BU139)*-1</f>
        <v>0</v>
      </c>
      <c r="BW274" s="3">
        <f>(BW139-BV139)*-1</f>
        <v>0</v>
      </c>
      <c r="BX274" s="3">
        <f>(BX139-BW139)*-1</f>
        <v>0</v>
      </c>
      <c r="BY274" s="3">
        <f>(BY139-BX139)*-1</f>
        <v>0</v>
      </c>
      <c r="BZ274" s="3">
        <f>SUM(BV274:BY274)</f>
        <v>0</v>
      </c>
      <c r="CA274" s="3">
        <f>(CA139-BZ139)*-1</f>
        <v>0</v>
      </c>
      <c r="CB274" s="3">
        <f>(CB139-CA139)*-1</f>
        <v>0</v>
      </c>
      <c r="CC274" s="3">
        <f>(CC139-CB139)*-1</f>
        <v>0</v>
      </c>
      <c r="CD274" s="3">
        <f>(CD139-CC139)*-1</f>
        <v>0</v>
      </c>
      <c r="CE274" s="3">
        <f>SUM(CA274:CD274)</f>
        <v>0</v>
      </c>
      <c r="CF274" s="3">
        <f>(CF139-CE139)*-1</f>
        <v>0</v>
      </c>
      <c r="CG274" s="3">
        <f>(CG139-CF139)*-1</f>
        <v>0</v>
      </c>
      <c r="CH274" s="3">
        <f>(CH139-CG139)*-1</f>
        <v>0</v>
      </c>
      <c r="CI274" s="3">
        <f>(CI139-CH139)*-1</f>
        <v>0</v>
      </c>
      <c r="CJ274" s="3">
        <f>SUM(CF274:CI274)</f>
        <v>0</v>
      </c>
      <c r="CK274" s="3">
        <f>(CK139-CJ139)*-1</f>
        <v>0</v>
      </c>
      <c r="CL274" s="3">
        <f>(CL139-CK139)*-1</f>
        <v>0</v>
      </c>
      <c r="CM274" s="3">
        <f>(CM139-CL139)*-1</f>
        <v>0</v>
      </c>
      <c r="CN274" s="3">
        <f>(CN139-CM139)*-1</f>
        <v>0</v>
      </c>
      <c r="CO274" s="3">
        <f>SUM(CK274:CN274)</f>
        <v>0</v>
      </c>
      <c r="CP274" s="3">
        <f>(CP139-CO139)*-1</f>
        <v>0</v>
      </c>
      <c r="CQ274" s="3">
        <f>(CQ139-CP139)*-1</f>
        <v>0</v>
      </c>
      <c r="CR274" s="3">
        <f>(CR139-CQ139)*-1</f>
        <v>0</v>
      </c>
      <c r="CS274" s="3">
        <f>(CS139-CR139)*-1</f>
        <v>0</v>
      </c>
      <c r="CT274" s="3">
        <f>SUM(CP274:CS274)</f>
        <v>0</v>
      </c>
      <c r="CU274" s="3">
        <f>(CU139-CT139)*-1</f>
        <v>0</v>
      </c>
      <c r="CV274" s="3">
        <f>(CV139-CU139)*-1</f>
        <v>0</v>
      </c>
      <c r="CW274" s="3">
        <f>(CW139-CV139)*-1</f>
        <v>0</v>
      </c>
      <c r="CX274" s="3">
        <f>(CX139-CW139)*-1</f>
        <v>0</v>
      </c>
      <c r="CY274" s="3">
        <f>SUM(CU274:CX274)</f>
        <v>0</v>
      </c>
    </row>
    <row r="275" hidden="1" outlineLevel="1">
      <c r="C275" s="29" t="inlineStr">
        <is>
          <t>Inventories</t>
        </is>
      </c>
      <c r="D275" s="3" t="n"/>
      <c r="E275" s="3">
        <f>(E143-D143)*-1</f>
        <v>476</v>
      </c>
      <c r="F275" s="3">
        <f>(F143-E143)*-1</f>
        <v>-200</v>
      </c>
      <c r="G275" s="3">
        <f>(G143-F143)*-1</f>
        <v>117</v>
      </c>
      <c r="H275" s="3">
        <f>SUM(D275:G275)</f>
        <v>393</v>
      </c>
      <c r="I275" s="3">
        <f>(I143-H143)*-1</f>
        <v>-31</v>
      </c>
      <c r="J275" s="3">
        <f>(J143-I143)*-1</f>
        <v>-601</v>
      </c>
      <c r="K275" s="3">
        <f>(K143-J143)*-1</f>
        <v>-466</v>
      </c>
      <c r="L275" s="3">
        <f>(L143-K143)*-1</f>
        <v>-558</v>
      </c>
      <c r="M275" s="3">
        <f>SUM(I275:L275)</f>
        <v>-1656</v>
      </c>
      <c r="N275" s="3">
        <f>(N143-M143)*-1</f>
        <v>-934</v>
      </c>
      <c r="O275" s="3">
        <f>(O143-N143)*-1</f>
        <v>-1417</v>
      </c>
      <c r="P275" s="3">
        <f>(P143-O143)*-1</f>
        <v>-2219</v>
      </c>
      <c r="Q275" s="3">
        <f>(Q143-P143)*-1</f>
        <v>-2512</v>
      </c>
      <c r="R275" s="3">
        <f>SUM(N275:Q275)</f>
        <v>-7082</v>
      </c>
      <c r="S275" s="3">
        <f>(S143-R143)*-1</f>
        <v>-1536</v>
      </c>
      <c r="T275" s="3">
        <f>(T143-S143)*-1</f>
        <v>19</v>
      </c>
      <c r="U275" s="3">
        <f>(U143-T143)*-1</f>
        <v>635</v>
      </c>
      <c r="V275" s="3">
        <f>(V143-U143)*-1</f>
        <v>95</v>
      </c>
      <c r="W275" s="3">
        <f>SUM(S275:V275)</f>
        <v>-787</v>
      </c>
      <c r="X275" s="3">
        <f>(X143-W143)*-1</f>
        <v>-2407</v>
      </c>
      <c r="Y275" s="3">
        <f>(Y143-X143)*-1</f>
        <v>1838</v>
      </c>
      <c r="Z275" s="3">
        <f>(Z143-Y143)*-1</f>
        <v>-335</v>
      </c>
      <c r="AA275" s="3">
        <f>(AA143-Z143)*-1</f>
        <v>2513</v>
      </c>
      <c r="AB275" s="3">
        <f>SUM(X275:AA275)</f>
        <v>1609</v>
      </c>
      <c r="AC275" s="3">
        <f>(AC143-AB143)*-1</f>
        <v>-1689</v>
      </c>
      <c r="AD275" s="3">
        <f>(AD143-AC143)*-1</f>
        <v>-864</v>
      </c>
      <c r="AE275" s="3">
        <f>(AE143-AD143)*-1</f>
        <v>2294</v>
      </c>
      <c r="AF275" s="3">
        <f>(AF143-AE143)*-1</f>
        <v>-116</v>
      </c>
      <c r="AG275" s="3">
        <f>SUM(AC275:AF275)</f>
        <v>-375</v>
      </c>
      <c r="AH275" s="3">
        <f>(AH143-AG143)*-1</f>
        <v>-2042</v>
      </c>
      <c r="AI275" s="3">
        <f>(AI143-AH143)*-1</f>
        <v>682</v>
      </c>
      <c r="AJ275" s="3">
        <f>(AJ143-AI143)*-1</f>
        <v>13752</v>
      </c>
      <c r="AK275" s="3">
        <f>(AK143-AJ143)*-1</f>
        <v>0</v>
      </c>
      <c r="AL275" s="3">
        <f>SUM(AH275:AK275)</f>
        <v>12392</v>
      </c>
      <c r="AM275" s="3">
        <f>(AM143-AL143)*-1</f>
        <v>0</v>
      </c>
      <c r="AN275" s="3">
        <f>(AN143-AM143)*-1</f>
        <v>0</v>
      </c>
      <c r="AO275" s="3">
        <f>(AO143-AN143)*-1</f>
        <v>0</v>
      </c>
      <c r="AP275" s="3">
        <f>(AP143-AO143)*-1</f>
        <v>0</v>
      </c>
      <c r="AQ275" s="3">
        <f>SUM(AM275:AP275)</f>
        <v>0</v>
      </c>
      <c r="AR275" s="3">
        <f>(AR143-AQ143)*-1</f>
        <v>0</v>
      </c>
      <c r="AS275" s="3">
        <f>(AS143-AR143)*-1</f>
        <v>0</v>
      </c>
      <c r="AT275" s="3">
        <f>(AT143-AS143)*-1</f>
        <v>0</v>
      </c>
      <c r="AU275" s="3">
        <f>(AU143-AT143)*-1</f>
        <v>0</v>
      </c>
      <c r="AV275" s="3">
        <f>SUM(AR275:AU275)</f>
        <v>0</v>
      </c>
      <c r="AW275" s="3">
        <f>(AW143-AV143)*-1</f>
        <v>0</v>
      </c>
      <c r="AX275" s="3">
        <f>(AX143-AW143)*-1</f>
        <v>0</v>
      </c>
      <c r="AY275" s="3">
        <f>(AY143-AX143)*-1</f>
        <v>0</v>
      </c>
      <c r="AZ275" s="3">
        <f>(AZ143-AY143)*-1</f>
        <v>0</v>
      </c>
      <c r="BA275" s="3">
        <f>SUM(AW275:AZ275)</f>
        <v>0</v>
      </c>
      <c r="BB275" s="3">
        <f>(BB143-BA143)*-1</f>
        <v>0</v>
      </c>
      <c r="BC275" s="3">
        <f>(BC143-BB143)*-1</f>
        <v>0</v>
      </c>
      <c r="BD275" s="3">
        <f>(BD143-BC143)*-1</f>
        <v>0</v>
      </c>
      <c r="BE275" s="3">
        <f>(BE143-BD143)*-1</f>
        <v>0</v>
      </c>
      <c r="BF275" s="3">
        <f>SUM(BB275:BE275)</f>
        <v>0</v>
      </c>
      <c r="BG275" s="3">
        <f>(BG143-BF143)*-1</f>
        <v>0</v>
      </c>
      <c r="BH275" s="3">
        <f>(BH143-BG143)*-1</f>
        <v>0</v>
      </c>
      <c r="BI275" s="3">
        <f>(BI143-BH143)*-1</f>
        <v>0</v>
      </c>
      <c r="BJ275" s="3">
        <f>(BJ143-BI143)*-1</f>
        <v>0</v>
      </c>
      <c r="BK275" s="3">
        <f>SUM(BG275:BJ275)</f>
        <v>0</v>
      </c>
      <c r="BL275" s="3">
        <f>(BL143-BK143)*-1</f>
        <v>0</v>
      </c>
      <c r="BM275" s="3">
        <f>(BM143-BL143)*-1</f>
        <v>0</v>
      </c>
      <c r="BN275" s="3">
        <f>(BN143-BM143)*-1</f>
        <v>0</v>
      </c>
      <c r="BO275" s="3">
        <f>(BO143-BN143)*-1</f>
        <v>0</v>
      </c>
      <c r="BP275" s="3">
        <f>SUM(BL275:BO275)</f>
        <v>0</v>
      </c>
      <c r="BQ275" s="3">
        <f>(BQ143-BP143)*-1</f>
        <v>0</v>
      </c>
      <c r="BR275" s="3">
        <f>(BR143-BQ143)*-1</f>
        <v>0</v>
      </c>
      <c r="BS275" s="3">
        <f>(BS143-BR143)*-1</f>
        <v>0</v>
      </c>
      <c r="BT275" s="3">
        <f>(BT143-BS143)*-1</f>
        <v>0</v>
      </c>
      <c r="BU275" s="3">
        <f>SUM(BQ275:BT275)</f>
        <v>0</v>
      </c>
      <c r="BV275" s="3">
        <f>(BV143-BU143)*-1</f>
        <v>0</v>
      </c>
      <c r="BW275" s="3">
        <f>(BW143-BV143)*-1</f>
        <v>0</v>
      </c>
      <c r="BX275" s="3">
        <f>(BX143-BW143)*-1</f>
        <v>0</v>
      </c>
      <c r="BY275" s="3">
        <f>(BY143-BX143)*-1</f>
        <v>0</v>
      </c>
      <c r="BZ275" s="3">
        <f>SUM(BV275:BY275)</f>
        <v>0</v>
      </c>
      <c r="CA275" s="3">
        <f>(CA143-BZ143)*-1</f>
        <v>0</v>
      </c>
      <c r="CB275" s="3">
        <f>(CB143-CA143)*-1</f>
        <v>0</v>
      </c>
      <c r="CC275" s="3">
        <f>(CC143-CB143)*-1</f>
        <v>0</v>
      </c>
      <c r="CD275" s="3">
        <f>(CD143-CC143)*-1</f>
        <v>0</v>
      </c>
      <c r="CE275" s="3">
        <f>SUM(CA275:CD275)</f>
        <v>0</v>
      </c>
      <c r="CF275" s="3">
        <f>(CF143-CE143)*-1</f>
        <v>0</v>
      </c>
      <c r="CG275" s="3">
        <f>(CG143-CF143)*-1</f>
        <v>0</v>
      </c>
      <c r="CH275" s="3">
        <f>(CH143-CG143)*-1</f>
        <v>0</v>
      </c>
      <c r="CI275" s="3">
        <f>(CI143-CH143)*-1</f>
        <v>0</v>
      </c>
      <c r="CJ275" s="3">
        <f>SUM(CF275:CI275)</f>
        <v>0</v>
      </c>
      <c r="CK275" s="3">
        <f>(CK143-CJ143)*-1</f>
        <v>0</v>
      </c>
      <c r="CL275" s="3">
        <f>(CL143-CK143)*-1</f>
        <v>0</v>
      </c>
      <c r="CM275" s="3">
        <f>(CM143-CL143)*-1</f>
        <v>0</v>
      </c>
      <c r="CN275" s="3">
        <f>(CN143-CM143)*-1</f>
        <v>0</v>
      </c>
      <c r="CO275" s="3">
        <f>SUM(CK275:CN275)</f>
        <v>0</v>
      </c>
      <c r="CP275" s="3">
        <f>(CP143-CO143)*-1</f>
        <v>0</v>
      </c>
      <c r="CQ275" s="3">
        <f>(CQ143-CP143)*-1</f>
        <v>0</v>
      </c>
      <c r="CR275" s="3">
        <f>(CR143-CQ143)*-1</f>
        <v>0</v>
      </c>
      <c r="CS275" s="3">
        <f>(CS143-CR143)*-1</f>
        <v>0</v>
      </c>
      <c r="CT275" s="3">
        <f>SUM(CP275:CS275)</f>
        <v>0</v>
      </c>
      <c r="CU275" s="3">
        <f>(CU143-CT143)*-1</f>
        <v>0</v>
      </c>
      <c r="CV275" s="3">
        <f>(CV143-CU143)*-1</f>
        <v>0</v>
      </c>
      <c r="CW275" s="3">
        <f>(CW143-CV143)*-1</f>
        <v>0</v>
      </c>
      <c r="CX275" s="3">
        <f>(CX143-CW143)*-1</f>
        <v>0</v>
      </c>
      <c r="CY275" s="3">
        <f>SUM(CU275:CX275)</f>
        <v>0</v>
      </c>
    </row>
    <row r="276" hidden="1" outlineLevel="1">
      <c r="C276" s="29" t="inlineStr">
        <is>
          <t>Deferred income taxes</t>
        </is>
      </c>
      <c r="D276" s="3" t="n"/>
      <c r="E276" s="3">
        <f>(E147-D147)*-1</f>
        <v>0</v>
      </c>
      <c r="F276" s="3">
        <f>(F147-E147)*-1</f>
        <v>0</v>
      </c>
      <c r="G276" s="3">
        <f>(G147-F147)*-1</f>
        <v>0</v>
      </c>
      <c r="H276" s="3">
        <f>SUM(D276:G276)</f>
        <v>0</v>
      </c>
      <c r="I276" s="3">
        <f>(I147-H147)*-1</f>
        <v>0</v>
      </c>
      <c r="J276" s="3">
        <f>(J147-I147)*-1</f>
        <v>0</v>
      </c>
      <c r="K276" s="3">
        <f>(K147-J147)*-1</f>
        <v>0</v>
      </c>
      <c r="L276" s="3">
        <f>(L147-K147)*-1</f>
        <v>0</v>
      </c>
      <c r="M276" s="3">
        <f>SUM(I276:L276)</f>
        <v>0</v>
      </c>
      <c r="N276" s="3">
        <f>(N147-M147)*-1</f>
        <v>0</v>
      </c>
      <c r="O276" s="3">
        <f>(O147-N147)*-1</f>
        <v>0</v>
      </c>
      <c r="P276" s="3">
        <f>(P147-O147)*-1</f>
        <v>0</v>
      </c>
      <c r="Q276" s="3">
        <f>(Q147-P147)*-1</f>
        <v>0</v>
      </c>
      <c r="R276" s="3">
        <f>SUM(N276:Q276)</f>
        <v>0</v>
      </c>
      <c r="S276" s="3">
        <f>(S147-R147)*-1</f>
        <v>0</v>
      </c>
      <c r="T276" s="3">
        <f>(T147-S147)*-1</f>
        <v>0</v>
      </c>
      <c r="U276" s="3">
        <f>(U147-T147)*-1</f>
        <v>0</v>
      </c>
      <c r="V276" s="3">
        <f>(V147-U147)*-1</f>
        <v>-6733</v>
      </c>
      <c r="W276" s="3">
        <f>SUM(S276:V276)</f>
        <v>-6733</v>
      </c>
      <c r="X276" s="3">
        <f>(X147-W147)*-1</f>
        <v>-36</v>
      </c>
      <c r="Y276" s="3">
        <f>(Y147-X147)*-1</f>
        <v>77</v>
      </c>
      <c r="Z276" s="3">
        <f>(Z147-Y147)*-1</f>
        <v>206</v>
      </c>
      <c r="AA276" s="3">
        <f>(AA147-Z147)*-1</f>
        <v>-38</v>
      </c>
      <c r="AB276" s="3">
        <f>SUM(X276:AA276)</f>
        <v>209</v>
      </c>
      <c r="AC276" s="3">
        <f>(AC147-AB147)*-1</f>
        <v>-163</v>
      </c>
      <c r="AD276" s="3">
        <f>(AD147-AC147)*-1</f>
        <v>-34</v>
      </c>
      <c r="AE276" s="3">
        <f>(AE147-AD147)*-1</f>
        <v>84</v>
      </c>
      <c r="AF276" s="3">
        <f>(AF147-AE147)*-1</f>
        <v>-288</v>
      </c>
      <c r="AG276" s="3">
        <f>SUM(AC276:AF276)</f>
        <v>-401</v>
      </c>
      <c r="AH276" s="3">
        <f>(AH147-AG147)*-1</f>
        <v>-135</v>
      </c>
      <c r="AI276" s="3">
        <f>(AI147-AH147)*-1</f>
        <v>-175</v>
      </c>
      <c r="AJ276" s="3">
        <f>(AJ147-AI147)*-1</f>
        <v>0</v>
      </c>
      <c r="AK276" s="3">
        <f>(AK147-AJ147)*-1</f>
        <v>0</v>
      </c>
      <c r="AL276" s="3">
        <f>SUM(AH276:AK276)</f>
        <v>-310</v>
      </c>
      <c r="AM276" s="3">
        <f>(AM147-AL147)*-1</f>
        <v>0</v>
      </c>
      <c r="AN276" s="3">
        <f>(AN147-AM147)*-1</f>
        <v>0</v>
      </c>
      <c r="AO276" s="3">
        <f>(AO147-AN147)*-1</f>
        <v>0</v>
      </c>
      <c r="AP276" s="3">
        <f>(AP147-AO147)*-1</f>
        <v>0</v>
      </c>
      <c r="AQ276" s="3">
        <f>SUM(AM276:AP276)</f>
        <v>0</v>
      </c>
      <c r="AR276" s="3">
        <f>(AR147-AQ147)*-1</f>
        <v>0</v>
      </c>
      <c r="AS276" s="3">
        <f>(AS147-AR147)*-1</f>
        <v>0</v>
      </c>
      <c r="AT276" s="3">
        <f>(AT147-AS147)*-1</f>
        <v>0</v>
      </c>
      <c r="AU276" s="3">
        <f>(AU147-AT147)*-1</f>
        <v>0</v>
      </c>
      <c r="AV276" s="3">
        <f>SUM(AR276:AU276)</f>
        <v>0</v>
      </c>
      <c r="AW276" s="3">
        <f>(AW147-AV147)*-1</f>
        <v>0</v>
      </c>
      <c r="AX276" s="3">
        <f>(AX147-AW147)*-1</f>
        <v>0</v>
      </c>
      <c r="AY276" s="3">
        <f>(AY147-AX147)*-1</f>
        <v>0</v>
      </c>
      <c r="AZ276" s="3">
        <f>(AZ147-AY147)*-1</f>
        <v>0</v>
      </c>
      <c r="BA276" s="3">
        <f>SUM(AW276:AZ276)</f>
        <v>0</v>
      </c>
      <c r="BB276" s="3">
        <f>(BB147-BA147)*-1</f>
        <v>0</v>
      </c>
      <c r="BC276" s="3">
        <f>(BC147-BB147)*-1</f>
        <v>0</v>
      </c>
      <c r="BD276" s="3">
        <f>(BD147-BC147)*-1</f>
        <v>0</v>
      </c>
      <c r="BE276" s="3">
        <f>(BE147-BD147)*-1</f>
        <v>0</v>
      </c>
      <c r="BF276" s="3">
        <f>SUM(BB276:BE276)</f>
        <v>0</v>
      </c>
      <c r="BG276" s="3">
        <f>(BG147-BF147)*-1</f>
        <v>0</v>
      </c>
      <c r="BH276" s="3">
        <f>(BH147-BG147)*-1</f>
        <v>0</v>
      </c>
      <c r="BI276" s="3">
        <f>(BI147-BH147)*-1</f>
        <v>0</v>
      </c>
      <c r="BJ276" s="3">
        <f>(BJ147-BI147)*-1</f>
        <v>0</v>
      </c>
      <c r="BK276" s="3">
        <f>SUM(BG276:BJ276)</f>
        <v>0</v>
      </c>
      <c r="BL276" s="3">
        <f>(BL147-BK147)*-1</f>
        <v>0</v>
      </c>
      <c r="BM276" s="3">
        <f>(BM147-BL147)*-1</f>
        <v>0</v>
      </c>
      <c r="BN276" s="3">
        <f>(BN147-BM147)*-1</f>
        <v>0</v>
      </c>
      <c r="BO276" s="3">
        <f>(BO147-BN147)*-1</f>
        <v>0</v>
      </c>
      <c r="BP276" s="3">
        <f>SUM(BL276:BO276)</f>
        <v>0</v>
      </c>
      <c r="BQ276" s="3">
        <f>(BQ147-BP147)*-1</f>
        <v>0</v>
      </c>
      <c r="BR276" s="3">
        <f>(BR147-BQ147)*-1</f>
        <v>0</v>
      </c>
      <c r="BS276" s="3">
        <f>(BS147-BR147)*-1</f>
        <v>0</v>
      </c>
      <c r="BT276" s="3">
        <f>(BT147-BS147)*-1</f>
        <v>0</v>
      </c>
      <c r="BU276" s="3">
        <f>SUM(BQ276:BT276)</f>
        <v>0</v>
      </c>
      <c r="BV276" s="3">
        <f>(BV147-BU147)*-1</f>
        <v>0</v>
      </c>
      <c r="BW276" s="3">
        <f>(BW147-BV147)*-1</f>
        <v>0</v>
      </c>
      <c r="BX276" s="3">
        <f>(BX147-BW147)*-1</f>
        <v>0</v>
      </c>
      <c r="BY276" s="3">
        <f>(BY147-BX147)*-1</f>
        <v>0</v>
      </c>
      <c r="BZ276" s="3">
        <f>SUM(BV276:BY276)</f>
        <v>0</v>
      </c>
      <c r="CA276" s="3">
        <f>(CA147-BZ147)*-1</f>
        <v>0</v>
      </c>
      <c r="CB276" s="3">
        <f>(CB147-CA147)*-1</f>
        <v>0</v>
      </c>
      <c r="CC276" s="3">
        <f>(CC147-CB147)*-1</f>
        <v>0</v>
      </c>
      <c r="CD276" s="3">
        <f>(CD147-CC147)*-1</f>
        <v>0</v>
      </c>
      <c r="CE276" s="3">
        <f>SUM(CA276:CD276)</f>
        <v>0</v>
      </c>
      <c r="CF276" s="3">
        <f>(CF147-CE147)*-1</f>
        <v>0</v>
      </c>
      <c r="CG276" s="3">
        <f>(CG147-CF147)*-1</f>
        <v>0</v>
      </c>
      <c r="CH276" s="3">
        <f>(CH147-CG147)*-1</f>
        <v>0</v>
      </c>
      <c r="CI276" s="3">
        <f>(CI147-CH147)*-1</f>
        <v>0</v>
      </c>
      <c r="CJ276" s="3">
        <f>SUM(CF276:CI276)</f>
        <v>0</v>
      </c>
      <c r="CK276" s="3">
        <f>(CK147-CJ147)*-1</f>
        <v>0</v>
      </c>
      <c r="CL276" s="3">
        <f>(CL147-CK147)*-1</f>
        <v>0</v>
      </c>
      <c r="CM276" s="3">
        <f>(CM147-CL147)*-1</f>
        <v>0</v>
      </c>
      <c r="CN276" s="3">
        <f>(CN147-CM147)*-1</f>
        <v>0</v>
      </c>
      <c r="CO276" s="3">
        <f>SUM(CK276:CN276)</f>
        <v>0</v>
      </c>
      <c r="CP276" s="3">
        <f>(CP147-CO147)*-1</f>
        <v>0</v>
      </c>
      <c r="CQ276" s="3">
        <f>(CQ147-CP147)*-1</f>
        <v>0</v>
      </c>
      <c r="CR276" s="3">
        <f>(CR147-CQ147)*-1</f>
        <v>0</v>
      </c>
      <c r="CS276" s="3">
        <f>(CS147-CR147)*-1</f>
        <v>0</v>
      </c>
      <c r="CT276" s="3">
        <f>SUM(CP276:CS276)</f>
        <v>0</v>
      </c>
      <c r="CU276" s="3">
        <f>(CU147-CT147)*-1</f>
        <v>0</v>
      </c>
      <c r="CV276" s="3">
        <f>(CV147-CU147)*-1</f>
        <v>0</v>
      </c>
      <c r="CW276" s="3">
        <f>(CW147-CV147)*-1</f>
        <v>0</v>
      </c>
      <c r="CX276" s="3">
        <f>(CX147-CW147)*-1</f>
        <v>0</v>
      </c>
      <c r="CY276" s="3">
        <f>SUM(CU276:CX276)</f>
        <v>0</v>
      </c>
    </row>
    <row r="277" hidden="1" outlineLevel="1">
      <c r="C277" s="29" t="inlineStr">
        <is>
          <t>Prepaid expenses</t>
        </is>
      </c>
      <c r="D277" s="3" t="n"/>
      <c r="E277" s="3">
        <f>(E148-D148)*-1</f>
        <v>0</v>
      </c>
      <c r="F277" s="3">
        <f>(F148-E148)*-1</f>
        <v>0</v>
      </c>
      <c r="G277" s="3">
        <f>(G148-F148)*-1</f>
        <v>0</v>
      </c>
      <c r="H277" s="3">
        <f>SUM(D277:G277)</f>
        <v>0</v>
      </c>
      <c r="I277" s="3">
        <f>(I148-H148)*-1</f>
        <v>0</v>
      </c>
      <c r="J277" s="3">
        <f>(J148-I148)*-1</f>
        <v>0</v>
      </c>
      <c r="K277" s="3">
        <f>(K148-J148)*-1</f>
        <v>0</v>
      </c>
      <c r="L277" s="3">
        <f>(L148-K148)*-1</f>
        <v>0</v>
      </c>
      <c r="M277" s="3">
        <f>SUM(I277:L277)</f>
        <v>0</v>
      </c>
      <c r="N277" s="3">
        <f>(N148-M148)*-1</f>
        <v>0</v>
      </c>
      <c r="O277" s="3">
        <f>(O148-N148)*-1</f>
        <v>0</v>
      </c>
      <c r="P277" s="3">
        <f>(P148-O148)*-1</f>
        <v>0</v>
      </c>
      <c r="Q277" s="3">
        <f>(Q148-P148)*-1</f>
        <v>0</v>
      </c>
      <c r="R277" s="3">
        <f>SUM(N277:Q277)</f>
        <v>0</v>
      </c>
      <c r="S277" s="3">
        <f>(S148-R148)*-1</f>
        <v>0</v>
      </c>
      <c r="T277" s="3">
        <f>(T148-S148)*-1</f>
        <v>0</v>
      </c>
      <c r="U277" s="3">
        <f>(U148-T148)*-1</f>
        <v>0</v>
      </c>
      <c r="V277" s="3">
        <f>(V148-U148)*-1</f>
        <v>0</v>
      </c>
      <c r="W277" s="3">
        <f>SUM(S277:V277)</f>
        <v>0</v>
      </c>
      <c r="X277" s="3">
        <f>(X148-W148)*-1</f>
        <v>0</v>
      </c>
      <c r="Y277" s="3">
        <f>(Y148-X148)*-1</f>
        <v>0</v>
      </c>
      <c r="Z277" s="3">
        <f>(Z148-Y148)*-1</f>
        <v>0</v>
      </c>
      <c r="AA277" s="3">
        <f>(AA148-Z148)*-1</f>
        <v>0</v>
      </c>
      <c r="AB277" s="3">
        <f>SUM(X277:AA277)</f>
        <v>0</v>
      </c>
      <c r="AC277" s="3">
        <f>(AC148-AB148)*-1</f>
        <v>0</v>
      </c>
      <c r="AD277" s="3">
        <f>(AD148-AC148)*-1</f>
        <v>0</v>
      </c>
      <c r="AE277" s="3">
        <f>(AE148-AD148)*-1</f>
        <v>0</v>
      </c>
      <c r="AF277" s="3">
        <f>(AF148-AE148)*-1</f>
        <v>0</v>
      </c>
      <c r="AG277" s="3">
        <f>SUM(AC277:AF277)</f>
        <v>0</v>
      </c>
      <c r="AH277" s="3">
        <f>(AH148-AG148)*-1</f>
        <v>0</v>
      </c>
      <c r="AI277" s="3">
        <f>(AI148-AH148)*-1</f>
        <v>0</v>
      </c>
      <c r="AJ277" s="3">
        <f>(AJ148-AI148)*-1</f>
        <v>0</v>
      </c>
      <c r="AK277" s="3">
        <f>(AK148-AJ148)*-1</f>
        <v>0</v>
      </c>
      <c r="AL277" s="3">
        <f>SUM(AH277:AK277)</f>
        <v>0</v>
      </c>
      <c r="AM277" s="3">
        <f>(AM148-AL148)*-1</f>
        <v>0</v>
      </c>
      <c r="AN277" s="3">
        <f>(AN148-AM148)*-1</f>
        <v>0</v>
      </c>
      <c r="AO277" s="3">
        <f>(AO148-AN148)*-1</f>
        <v>0</v>
      </c>
      <c r="AP277" s="3">
        <f>(AP148-AO148)*-1</f>
        <v>0</v>
      </c>
      <c r="AQ277" s="3">
        <f>SUM(AM277:AP277)</f>
        <v>0</v>
      </c>
      <c r="AR277" s="3">
        <f>(AR148-AQ148)*-1</f>
        <v>0</v>
      </c>
      <c r="AS277" s="3">
        <f>(AS148-AR148)*-1</f>
        <v>0</v>
      </c>
      <c r="AT277" s="3">
        <f>(AT148-AS148)*-1</f>
        <v>0</v>
      </c>
      <c r="AU277" s="3">
        <f>(AU148-AT148)*-1</f>
        <v>0</v>
      </c>
      <c r="AV277" s="3">
        <f>SUM(AR277:AU277)</f>
        <v>0</v>
      </c>
      <c r="AW277" s="3">
        <f>(AW148-AV148)*-1</f>
        <v>0</v>
      </c>
      <c r="AX277" s="3">
        <f>(AX148-AW148)*-1</f>
        <v>0</v>
      </c>
      <c r="AY277" s="3">
        <f>(AY148-AX148)*-1</f>
        <v>0</v>
      </c>
      <c r="AZ277" s="3">
        <f>(AZ148-AY148)*-1</f>
        <v>0</v>
      </c>
      <c r="BA277" s="3">
        <f>SUM(AW277:AZ277)</f>
        <v>0</v>
      </c>
      <c r="BB277" s="3">
        <f>(BB148-BA148)*-1</f>
        <v>0</v>
      </c>
      <c r="BC277" s="3">
        <f>(BC148-BB148)*-1</f>
        <v>0</v>
      </c>
      <c r="BD277" s="3">
        <f>(BD148-BC148)*-1</f>
        <v>0</v>
      </c>
      <c r="BE277" s="3">
        <f>(BE148-BD148)*-1</f>
        <v>0</v>
      </c>
      <c r="BF277" s="3">
        <f>SUM(BB277:BE277)</f>
        <v>0</v>
      </c>
      <c r="BG277" s="3">
        <f>(BG148-BF148)*-1</f>
        <v>0</v>
      </c>
      <c r="BH277" s="3">
        <f>(BH148-BG148)*-1</f>
        <v>0</v>
      </c>
      <c r="BI277" s="3">
        <f>(BI148-BH148)*-1</f>
        <v>0</v>
      </c>
      <c r="BJ277" s="3">
        <f>(BJ148-BI148)*-1</f>
        <v>0</v>
      </c>
      <c r="BK277" s="3">
        <f>SUM(BG277:BJ277)</f>
        <v>0</v>
      </c>
      <c r="BL277" s="3">
        <f>(BL148-BK148)*-1</f>
        <v>0</v>
      </c>
      <c r="BM277" s="3">
        <f>(BM148-BL148)*-1</f>
        <v>0</v>
      </c>
      <c r="BN277" s="3">
        <f>(BN148-BM148)*-1</f>
        <v>0</v>
      </c>
      <c r="BO277" s="3">
        <f>(BO148-BN148)*-1</f>
        <v>0</v>
      </c>
      <c r="BP277" s="3">
        <f>SUM(BL277:BO277)</f>
        <v>0</v>
      </c>
      <c r="BQ277" s="3">
        <f>(BQ148-BP148)*-1</f>
        <v>0</v>
      </c>
      <c r="BR277" s="3">
        <f>(BR148-BQ148)*-1</f>
        <v>0</v>
      </c>
      <c r="BS277" s="3">
        <f>(BS148-BR148)*-1</f>
        <v>0</v>
      </c>
      <c r="BT277" s="3">
        <f>(BT148-BS148)*-1</f>
        <v>0</v>
      </c>
      <c r="BU277" s="3">
        <f>SUM(BQ277:BT277)</f>
        <v>0</v>
      </c>
      <c r="BV277" s="3">
        <f>(BV148-BU148)*-1</f>
        <v>0</v>
      </c>
      <c r="BW277" s="3">
        <f>(BW148-BV148)*-1</f>
        <v>0</v>
      </c>
      <c r="BX277" s="3">
        <f>(BX148-BW148)*-1</f>
        <v>0</v>
      </c>
      <c r="BY277" s="3">
        <f>(BY148-BX148)*-1</f>
        <v>0</v>
      </c>
      <c r="BZ277" s="3">
        <f>SUM(BV277:BY277)</f>
        <v>0</v>
      </c>
      <c r="CA277" s="3">
        <f>(CA148-BZ148)*-1</f>
        <v>0</v>
      </c>
      <c r="CB277" s="3">
        <f>(CB148-CA148)*-1</f>
        <v>0</v>
      </c>
      <c r="CC277" s="3">
        <f>(CC148-CB148)*-1</f>
        <v>0</v>
      </c>
      <c r="CD277" s="3">
        <f>(CD148-CC148)*-1</f>
        <v>0</v>
      </c>
      <c r="CE277" s="3">
        <f>SUM(CA277:CD277)</f>
        <v>0</v>
      </c>
      <c r="CF277" s="3">
        <f>(CF148-CE148)*-1</f>
        <v>0</v>
      </c>
      <c r="CG277" s="3">
        <f>(CG148-CF148)*-1</f>
        <v>0</v>
      </c>
      <c r="CH277" s="3">
        <f>(CH148-CG148)*-1</f>
        <v>0</v>
      </c>
      <c r="CI277" s="3">
        <f>(CI148-CH148)*-1</f>
        <v>0</v>
      </c>
      <c r="CJ277" s="3">
        <f>SUM(CF277:CI277)</f>
        <v>0</v>
      </c>
      <c r="CK277" s="3">
        <f>(CK148-CJ148)*-1</f>
        <v>0</v>
      </c>
      <c r="CL277" s="3">
        <f>(CL148-CK148)*-1</f>
        <v>0</v>
      </c>
      <c r="CM277" s="3">
        <f>(CM148-CL148)*-1</f>
        <v>0</v>
      </c>
      <c r="CN277" s="3">
        <f>(CN148-CM148)*-1</f>
        <v>0</v>
      </c>
      <c r="CO277" s="3">
        <f>SUM(CK277:CN277)</f>
        <v>0</v>
      </c>
      <c r="CP277" s="3">
        <f>(CP148-CO148)*-1</f>
        <v>0</v>
      </c>
      <c r="CQ277" s="3">
        <f>(CQ148-CP148)*-1</f>
        <v>0</v>
      </c>
      <c r="CR277" s="3">
        <f>(CR148-CQ148)*-1</f>
        <v>0</v>
      </c>
      <c r="CS277" s="3">
        <f>(CS148-CR148)*-1</f>
        <v>0</v>
      </c>
      <c r="CT277" s="3">
        <f>SUM(CP277:CS277)</f>
        <v>0</v>
      </c>
      <c r="CU277" s="3">
        <f>(CU148-CT148)*-1</f>
        <v>0</v>
      </c>
      <c r="CV277" s="3">
        <f>(CV148-CU148)*-1</f>
        <v>0</v>
      </c>
      <c r="CW277" s="3">
        <f>(CW148-CV148)*-1</f>
        <v>0</v>
      </c>
      <c r="CX277" s="3">
        <f>(CX148-CW148)*-1</f>
        <v>0</v>
      </c>
      <c r="CY277" s="3">
        <f>SUM(CU277:CX277)</f>
        <v>0</v>
      </c>
    </row>
    <row r="278" hidden="1" outlineLevel="1">
      <c r="C278" s="29" t="inlineStr">
        <is>
          <t>Other current assets</t>
        </is>
      </c>
      <c r="D278" s="3" t="n"/>
      <c r="E278" s="3">
        <f>(E149-D149)*-1</f>
        <v>-173</v>
      </c>
      <c r="F278" s="3">
        <f>(F149-E149)*-1</f>
        <v>-20</v>
      </c>
      <c r="G278" s="3">
        <f>(G149-F149)*-1</f>
        <v>-108</v>
      </c>
      <c r="H278" s="3">
        <f>SUM(D278:G278)</f>
        <v>-301</v>
      </c>
      <c r="I278" s="3">
        <f>(I149-H149)*-1</f>
        <v>-196</v>
      </c>
      <c r="J278" s="3">
        <f>(J149-I149)*-1</f>
        <v>-60</v>
      </c>
      <c r="K278" s="3">
        <f>(K149-J149)*-1</f>
        <v>-144</v>
      </c>
      <c r="L278" s="3">
        <f>(L149-K149)*-1</f>
        <v>23</v>
      </c>
      <c r="M278" s="3">
        <f>SUM(I278:L278)</f>
        <v>-377</v>
      </c>
      <c r="N278" s="3">
        <f>(N149-M149)*-1</f>
        <v>-312</v>
      </c>
      <c r="O278" s="3">
        <f>(O149-N149)*-1</f>
        <v>-83</v>
      </c>
      <c r="P278" s="3">
        <f>(P149-O149)*-1</f>
        <v>-246</v>
      </c>
      <c r="Q278" s="3">
        <f>(Q149-P149)*-1</f>
        <v>-577</v>
      </c>
      <c r="R278" s="3">
        <f>SUM(N278:Q278)</f>
        <v>-1218</v>
      </c>
      <c r="S278" s="3">
        <f>(S149-R149)*-1</f>
        <v>-286</v>
      </c>
      <c r="T278" s="3">
        <f>(T149-S149)*-1</f>
        <v>230</v>
      </c>
      <c r="U278" s="3">
        <f>(U149-T149)*-1</f>
        <v>289</v>
      </c>
      <c r="V278" s="3">
        <f>(V149-U149)*-1</f>
        <v>-680</v>
      </c>
      <c r="W278" s="3">
        <f>SUM(S278:V278)</f>
        <v>-447</v>
      </c>
      <c r="X278" s="3">
        <f>(X149-W149)*-1</f>
        <v>-364</v>
      </c>
      <c r="Y278" s="3">
        <f>(Y149-X149)*-1</f>
        <v>-573</v>
      </c>
      <c r="Z278" s="3">
        <f>(Z149-Y149)*-1</f>
        <v>-563</v>
      </c>
      <c r="AA278" s="3">
        <f>(AA149-Z149)*-1</f>
        <v>-474</v>
      </c>
      <c r="AB278" s="3">
        <f>SUM(X278:AA278)</f>
        <v>-1974</v>
      </c>
      <c r="AC278" s="3">
        <f>(AC149-AB149)*-1</f>
        <v>457</v>
      </c>
      <c r="AD278" s="3">
        <f>(AD149-AC149)*-1</f>
        <v>-1038</v>
      </c>
      <c r="AE278" s="3">
        <f>(AE149-AD149)*-1</f>
        <v>-84</v>
      </c>
      <c r="AF278" s="3">
        <f>(AF149-AE149)*-1</f>
        <v>-1588</v>
      </c>
      <c r="AG278" s="3">
        <f>SUM(AC278:AF278)</f>
        <v>-2253</v>
      </c>
      <c r="AH278" s="3">
        <f>(AH149-AG149)*-1</f>
        <v>1003</v>
      </c>
      <c r="AI278" s="3">
        <f>(AI149-AH149)*-1</f>
        <v>-783</v>
      </c>
      <c r="AJ278" s="3">
        <f>(AJ149-AI149)*-1</f>
        <v>0</v>
      </c>
      <c r="AK278" s="3">
        <f>(AK149-AJ149)*-1</f>
        <v>0</v>
      </c>
      <c r="AL278" s="3">
        <f>SUM(AH278:AK278)</f>
        <v>220</v>
      </c>
      <c r="AM278" s="3">
        <f>(AM149-AL149)*-1</f>
        <v>0</v>
      </c>
      <c r="AN278" s="3">
        <f>(AN149-AM149)*-1</f>
        <v>0</v>
      </c>
      <c r="AO278" s="3">
        <f>(AO149-AN149)*-1</f>
        <v>0</v>
      </c>
      <c r="AP278" s="3">
        <f>(AP149-AO149)*-1</f>
        <v>0</v>
      </c>
      <c r="AQ278" s="3">
        <f>SUM(AM278:AP278)</f>
        <v>0</v>
      </c>
      <c r="AR278" s="3">
        <f>(AR149-AQ149)*-1</f>
        <v>0</v>
      </c>
      <c r="AS278" s="3">
        <f>(AS149-AR149)*-1</f>
        <v>0</v>
      </c>
      <c r="AT278" s="3">
        <f>(AT149-AS149)*-1</f>
        <v>0</v>
      </c>
      <c r="AU278" s="3">
        <f>(AU149-AT149)*-1</f>
        <v>0</v>
      </c>
      <c r="AV278" s="3">
        <f>SUM(AR278:AU278)</f>
        <v>0</v>
      </c>
      <c r="AW278" s="3">
        <f>(AW149-AV149)*-1</f>
        <v>0</v>
      </c>
      <c r="AX278" s="3">
        <f>(AX149-AW149)*-1</f>
        <v>0</v>
      </c>
      <c r="AY278" s="3">
        <f>(AY149-AX149)*-1</f>
        <v>0</v>
      </c>
      <c r="AZ278" s="3">
        <f>(AZ149-AY149)*-1</f>
        <v>0</v>
      </c>
      <c r="BA278" s="3">
        <f>SUM(AW278:AZ278)</f>
        <v>0</v>
      </c>
      <c r="BB278" s="3">
        <f>(BB149-BA149)*-1</f>
        <v>0</v>
      </c>
      <c r="BC278" s="3">
        <f>(BC149-BB149)*-1</f>
        <v>0</v>
      </c>
      <c r="BD278" s="3">
        <f>(BD149-BC149)*-1</f>
        <v>0</v>
      </c>
      <c r="BE278" s="3">
        <f>(BE149-BD149)*-1</f>
        <v>0</v>
      </c>
      <c r="BF278" s="3">
        <f>SUM(BB278:BE278)</f>
        <v>0</v>
      </c>
      <c r="BG278" s="3">
        <f>(BG149-BF149)*-1</f>
        <v>0</v>
      </c>
      <c r="BH278" s="3">
        <f>(BH149-BG149)*-1</f>
        <v>0</v>
      </c>
      <c r="BI278" s="3">
        <f>(BI149-BH149)*-1</f>
        <v>0</v>
      </c>
      <c r="BJ278" s="3">
        <f>(BJ149-BI149)*-1</f>
        <v>0</v>
      </c>
      <c r="BK278" s="3">
        <f>SUM(BG278:BJ278)</f>
        <v>0</v>
      </c>
      <c r="BL278" s="3">
        <f>(BL149-BK149)*-1</f>
        <v>0</v>
      </c>
      <c r="BM278" s="3">
        <f>(BM149-BL149)*-1</f>
        <v>0</v>
      </c>
      <c r="BN278" s="3">
        <f>(BN149-BM149)*-1</f>
        <v>0</v>
      </c>
      <c r="BO278" s="3">
        <f>(BO149-BN149)*-1</f>
        <v>0</v>
      </c>
      <c r="BP278" s="3">
        <f>SUM(BL278:BO278)</f>
        <v>0</v>
      </c>
      <c r="BQ278" s="3">
        <f>(BQ149-BP149)*-1</f>
        <v>0</v>
      </c>
      <c r="BR278" s="3">
        <f>(BR149-BQ149)*-1</f>
        <v>0</v>
      </c>
      <c r="BS278" s="3">
        <f>(BS149-BR149)*-1</f>
        <v>0</v>
      </c>
      <c r="BT278" s="3">
        <f>(BT149-BS149)*-1</f>
        <v>0</v>
      </c>
      <c r="BU278" s="3">
        <f>SUM(BQ278:BT278)</f>
        <v>0</v>
      </c>
      <c r="BV278" s="3">
        <f>(BV149-BU149)*-1</f>
        <v>0</v>
      </c>
      <c r="BW278" s="3">
        <f>(BW149-BV149)*-1</f>
        <v>0</v>
      </c>
      <c r="BX278" s="3">
        <f>(BX149-BW149)*-1</f>
        <v>0</v>
      </c>
      <c r="BY278" s="3">
        <f>(BY149-BX149)*-1</f>
        <v>0</v>
      </c>
      <c r="BZ278" s="3">
        <f>SUM(BV278:BY278)</f>
        <v>0</v>
      </c>
      <c r="CA278" s="3">
        <f>(CA149-BZ149)*-1</f>
        <v>0</v>
      </c>
      <c r="CB278" s="3">
        <f>(CB149-CA149)*-1</f>
        <v>0</v>
      </c>
      <c r="CC278" s="3">
        <f>(CC149-CB149)*-1</f>
        <v>0</v>
      </c>
      <c r="CD278" s="3">
        <f>(CD149-CC149)*-1</f>
        <v>0</v>
      </c>
      <c r="CE278" s="3">
        <f>SUM(CA278:CD278)</f>
        <v>0</v>
      </c>
      <c r="CF278" s="3">
        <f>(CF149-CE149)*-1</f>
        <v>0</v>
      </c>
      <c r="CG278" s="3">
        <f>(CG149-CF149)*-1</f>
        <v>0</v>
      </c>
      <c r="CH278" s="3">
        <f>(CH149-CG149)*-1</f>
        <v>0</v>
      </c>
      <c r="CI278" s="3">
        <f>(CI149-CH149)*-1</f>
        <v>0</v>
      </c>
      <c r="CJ278" s="3">
        <f>SUM(CF278:CI278)</f>
        <v>0</v>
      </c>
      <c r="CK278" s="3">
        <f>(CK149-CJ149)*-1</f>
        <v>0</v>
      </c>
      <c r="CL278" s="3">
        <f>(CL149-CK149)*-1</f>
        <v>0</v>
      </c>
      <c r="CM278" s="3">
        <f>(CM149-CL149)*-1</f>
        <v>0</v>
      </c>
      <c r="CN278" s="3">
        <f>(CN149-CM149)*-1</f>
        <v>0</v>
      </c>
      <c r="CO278" s="3">
        <f>SUM(CK278:CN278)</f>
        <v>0</v>
      </c>
      <c r="CP278" s="3">
        <f>(CP149-CO149)*-1</f>
        <v>0</v>
      </c>
      <c r="CQ278" s="3">
        <f>(CQ149-CP149)*-1</f>
        <v>0</v>
      </c>
      <c r="CR278" s="3">
        <f>(CR149-CQ149)*-1</f>
        <v>0</v>
      </c>
      <c r="CS278" s="3">
        <f>(CS149-CR149)*-1</f>
        <v>0</v>
      </c>
      <c r="CT278" s="3">
        <f>SUM(CP278:CS278)</f>
        <v>0</v>
      </c>
      <c r="CU278" s="3">
        <f>(CU149-CT149)*-1</f>
        <v>0</v>
      </c>
      <c r="CV278" s="3">
        <f>(CV149-CU149)*-1</f>
        <v>0</v>
      </c>
      <c r="CW278" s="3">
        <f>(CW149-CV149)*-1</f>
        <v>0</v>
      </c>
      <c r="CX278" s="3">
        <f>(CX149-CW149)*-1</f>
        <v>0</v>
      </c>
      <c r="CY278" s="3">
        <f>SUM(CU278:CX278)</f>
        <v>0</v>
      </c>
    </row>
    <row r="279" hidden="1" outlineLevel="1">
      <c r="C279" s="29" t="inlineStr">
        <is>
          <t>Accounts payable</t>
        </is>
      </c>
      <c r="D279" s="3" t="n"/>
      <c r="E279" s="3">
        <f>E192-D192</f>
        <v>-332</v>
      </c>
      <c r="F279" s="3">
        <f>F192-E192</f>
        <v>1320</v>
      </c>
      <c r="G279" s="3">
        <f>G192-F192</f>
        <v>1093</v>
      </c>
      <c r="H279" s="3">
        <f>SUM(D279:G279)</f>
        <v>2081</v>
      </c>
      <c r="I279" s="3">
        <f>I192-H192</f>
        <v>597</v>
      </c>
      <c r="J279" s="3">
        <f>J192-I192</f>
        <v>910</v>
      </c>
      <c r="K279" s="3">
        <f>K192-J192</f>
        <v>702</v>
      </c>
      <c r="L279" s="3">
        <f>L192-K192</f>
        <v>1765</v>
      </c>
      <c r="M279" s="3">
        <f>SUM(I279:L279)</f>
        <v>3974</v>
      </c>
      <c r="N279" s="3">
        <f>N192-M192</f>
        <v>1146</v>
      </c>
      <c r="O279" s="3">
        <f>O192-N192</f>
        <v>41</v>
      </c>
      <c r="P279" s="3">
        <f>P192-O192</f>
        <v>2685</v>
      </c>
      <c r="Q279" s="3">
        <f>Q192-P192</f>
        <v>1358</v>
      </c>
      <c r="R279" s="3">
        <f>SUM(N279:Q279)</f>
        <v>5230</v>
      </c>
      <c r="S279" s="3">
        <f>S192-R192</f>
        <v>649</v>
      </c>
      <c r="T279" s="3">
        <f>T192-S192</f>
        <v>-631</v>
      </c>
      <c r="U279" s="3">
        <f>U192-T192</f>
        <v>-1336</v>
      </c>
      <c r="V279" s="3">
        <f>V192-U192</f>
        <v>494</v>
      </c>
      <c r="W279" s="3">
        <f>SUM(S279:V279)</f>
        <v>-824</v>
      </c>
      <c r="X279" s="3">
        <f>X192-W192</f>
        <v>294</v>
      </c>
      <c r="Y279" s="3">
        <f>Y192-X192</f>
        <v>-1669</v>
      </c>
      <c r="Z279" s="3">
        <f>Z192-Y192</f>
        <v>1598</v>
      </c>
      <c r="AA279" s="3">
        <f>AA192-Z192</f>
        <v>-2180</v>
      </c>
      <c r="AB279" s="3">
        <f>SUM(X279:AA279)</f>
        <v>-1957</v>
      </c>
      <c r="AC279" s="3">
        <f>AC192-AB192</f>
        <v>997</v>
      </c>
      <c r="AD279" s="3">
        <f>AD192-AC192</f>
        <v>-259</v>
      </c>
      <c r="AE279" s="3">
        <f>AE192-AD192</f>
        <v>-393</v>
      </c>
      <c r="AF279" s="3">
        <f>AF192-AE192</f>
        <v>552</v>
      </c>
      <c r="AG279" s="3">
        <f>SUM(AC279:AF279)</f>
        <v>897</v>
      </c>
      <c r="AH279" s="3">
        <f>AH192-AG192</f>
        <v>1325</v>
      </c>
      <c r="AI279" s="3">
        <f>AI192-AH192</f>
        <v>628</v>
      </c>
      <c r="AJ279" s="3">
        <f>AJ192-AI192</f>
        <v>-15324</v>
      </c>
      <c r="AK279" s="3">
        <f>AK192-AJ192</f>
        <v>0</v>
      </c>
      <c r="AL279" s="3">
        <f>SUM(AH279:AK279)</f>
        <v>-13371</v>
      </c>
      <c r="AM279" s="3">
        <f>AM192-AL192</f>
        <v>0</v>
      </c>
      <c r="AN279" s="3">
        <f>AN192-AM192</f>
        <v>0</v>
      </c>
      <c r="AO279" s="3">
        <f>AO192-AN192</f>
        <v>0</v>
      </c>
      <c r="AP279" s="3">
        <f>AP192-AO192</f>
        <v>0</v>
      </c>
      <c r="AQ279" s="3">
        <f>SUM(AM279:AP279)</f>
        <v>0</v>
      </c>
      <c r="AR279" s="3">
        <f>AR192-AQ192</f>
        <v>0</v>
      </c>
      <c r="AS279" s="3">
        <f>AS192-AR192</f>
        <v>0</v>
      </c>
      <c r="AT279" s="3">
        <f>AT192-AS192</f>
        <v>0</v>
      </c>
      <c r="AU279" s="3">
        <f>AU192-AT192</f>
        <v>0</v>
      </c>
      <c r="AV279" s="3">
        <f>SUM(AR279:AU279)</f>
        <v>0</v>
      </c>
      <c r="AW279" s="3">
        <f>AW192-AV192</f>
        <v>0</v>
      </c>
      <c r="AX279" s="3">
        <f>AX192-AW192</f>
        <v>0</v>
      </c>
      <c r="AY279" s="3">
        <f>AY192-AX192</f>
        <v>0</v>
      </c>
      <c r="AZ279" s="3">
        <f>AZ192-AY192</f>
        <v>0</v>
      </c>
      <c r="BA279" s="3">
        <f>SUM(AW279:AZ279)</f>
        <v>0</v>
      </c>
      <c r="BB279" s="3">
        <f>BB192-BA192</f>
        <v>0</v>
      </c>
      <c r="BC279" s="3">
        <f>BC192-BB192</f>
        <v>0</v>
      </c>
      <c r="BD279" s="3">
        <f>BD192-BC192</f>
        <v>0</v>
      </c>
      <c r="BE279" s="3">
        <f>BE192-BD192</f>
        <v>0</v>
      </c>
      <c r="BF279" s="3">
        <f>SUM(BB279:BE279)</f>
        <v>0</v>
      </c>
      <c r="BG279" s="3">
        <f>BG192-BF192</f>
        <v>0</v>
      </c>
      <c r="BH279" s="3">
        <f>BH192-BG192</f>
        <v>0</v>
      </c>
      <c r="BI279" s="3">
        <f>BI192-BH192</f>
        <v>0</v>
      </c>
      <c r="BJ279" s="3">
        <f>BJ192-BI192</f>
        <v>0</v>
      </c>
      <c r="BK279" s="3">
        <f>SUM(BG279:BJ279)</f>
        <v>0</v>
      </c>
      <c r="BL279" s="3">
        <f>BL192-BK192</f>
        <v>0</v>
      </c>
      <c r="BM279" s="3">
        <f>BM192-BL192</f>
        <v>0</v>
      </c>
      <c r="BN279" s="3">
        <f>BN192-BM192</f>
        <v>0</v>
      </c>
      <c r="BO279" s="3">
        <f>BO192-BN192</f>
        <v>0</v>
      </c>
      <c r="BP279" s="3">
        <f>SUM(BL279:BO279)</f>
        <v>0</v>
      </c>
      <c r="BQ279" s="3">
        <f>BQ192-BP192</f>
        <v>0</v>
      </c>
      <c r="BR279" s="3">
        <f>BR192-BQ192</f>
        <v>0</v>
      </c>
      <c r="BS279" s="3">
        <f>BS192-BR192</f>
        <v>0</v>
      </c>
      <c r="BT279" s="3">
        <f>BT192-BS192</f>
        <v>0</v>
      </c>
      <c r="BU279" s="3">
        <f>SUM(BQ279:BT279)</f>
        <v>0</v>
      </c>
      <c r="BV279" s="3">
        <f>BV192-BU192</f>
        <v>0</v>
      </c>
      <c r="BW279" s="3">
        <f>BW192-BV192</f>
        <v>0</v>
      </c>
      <c r="BX279" s="3">
        <f>BX192-BW192</f>
        <v>0</v>
      </c>
      <c r="BY279" s="3">
        <f>BY192-BX192</f>
        <v>0</v>
      </c>
      <c r="BZ279" s="3">
        <f>SUM(BV279:BY279)</f>
        <v>0</v>
      </c>
      <c r="CA279" s="3">
        <f>CA192-BZ192</f>
        <v>0</v>
      </c>
      <c r="CB279" s="3">
        <f>CB192-CA192</f>
        <v>0</v>
      </c>
      <c r="CC279" s="3">
        <f>CC192-CB192</f>
        <v>0</v>
      </c>
      <c r="CD279" s="3">
        <f>CD192-CC192</f>
        <v>0</v>
      </c>
      <c r="CE279" s="3">
        <f>SUM(CA279:CD279)</f>
        <v>0</v>
      </c>
      <c r="CF279" s="3">
        <f>CF192-CE192</f>
        <v>0</v>
      </c>
      <c r="CG279" s="3">
        <f>CG192-CF192</f>
        <v>0</v>
      </c>
      <c r="CH279" s="3">
        <f>CH192-CG192</f>
        <v>0</v>
      </c>
      <c r="CI279" s="3">
        <f>CI192-CH192</f>
        <v>0</v>
      </c>
      <c r="CJ279" s="3">
        <f>SUM(CF279:CI279)</f>
        <v>0</v>
      </c>
      <c r="CK279" s="3">
        <f>CK192-CJ192</f>
        <v>0</v>
      </c>
      <c r="CL279" s="3">
        <f>CL192-CK192</f>
        <v>0</v>
      </c>
      <c r="CM279" s="3">
        <f>CM192-CL192</f>
        <v>0</v>
      </c>
      <c r="CN279" s="3">
        <f>CN192-CM192</f>
        <v>0</v>
      </c>
      <c r="CO279" s="3">
        <f>SUM(CK279:CN279)</f>
        <v>0</v>
      </c>
      <c r="CP279" s="3">
        <f>CP192-CO192</f>
        <v>0</v>
      </c>
      <c r="CQ279" s="3">
        <f>CQ192-CP192</f>
        <v>0</v>
      </c>
      <c r="CR279" s="3">
        <f>CR192-CQ192</f>
        <v>0</v>
      </c>
      <c r="CS279" s="3">
        <f>CS192-CR192</f>
        <v>0</v>
      </c>
      <c r="CT279" s="3">
        <f>SUM(CP279:CS279)</f>
        <v>0</v>
      </c>
      <c r="CU279" s="3">
        <f>CU192-CT192</f>
        <v>0</v>
      </c>
      <c r="CV279" s="3">
        <f>CV192-CU192</f>
        <v>0</v>
      </c>
      <c r="CW279" s="3">
        <f>CW192-CV192</f>
        <v>0</v>
      </c>
      <c r="CX279" s="3">
        <f>CX192-CW192</f>
        <v>0</v>
      </c>
      <c r="CY279" s="3">
        <f>SUM(CU279:CX279)</f>
        <v>0</v>
      </c>
    </row>
    <row r="280" hidden="1" outlineLevel="1">
      <c r="C280" s="29" t="inlineStr">
        <is>
          <t>Accrued expenses</t>
        </is>
      </c>
      <c r="D280" s="3" t="n"/>
      <c r="E280" s="3">
        <f>E196-D196</f>
        <v>0</v>
      </c>
      <c r="F280" s="3">
        <f>F196-E196</f>
        <v>0</v>
      </c>
      <c r="G280" s="3">
        <f>G196-F196</f>
        <v>0</v>
      </c>
      <c r="H280" s="3">
        <f>SUM(D280:G280)</f>
        <v>0</v>
      </c>
      <c r="I280" s="3">
        <f>I196-H196</f>
        <v>0</v>
      </c>
      <c r="J280" s="3">
        <f>J196-I196</f>
        <v>0</v>
      </c>
      <c r="K280" s="3">
        <f>K196-J196</f>
        <v>0</v>
      </c>
      <c r="L280" s="3">
        <f>L196-K196</f>
        <v>0</v>
      </c>
      <c r="M280" s="3">
        <f>SUM(I280:L280)</f>
        <v>0</v>
      </c>
      <c r="N280" s="3">
        <f>N196-M196</f>
        <v>0</v>
      </c>
      <c r="O280" s="3">
        <f>O196-N196</f>
        <v>0</v>
      </c>
      <c r="P280" s="3">
        <f>P196-O196</f>
        <v>0</v>
      </c>
      <c r="Q280" s="3">
        <f>Q196-P196</f>
        <v>0</v>
      </c>
      <c r="R280" s="3">
        <f>SUM(N280:Q280)</f>
        <v>0</v>
      </c>
      <c r="S280" s="3">
        <f>S196-R196</f>
        <v>0</v>
      </c>
      <c r="T280" s="3">
        <f>T196-S196</f>
        <v>0</v>
      </c>
      <c r="U280" s="3">
        <f>U196-T196</f>
        <v>0</v>
      </c>
      <c r="V280" s="3">
        <f>V196-U196</f>
        <v>0</v>
      </c>
      <c r="W280" s="3">
        <f>SUM(S280:V280)</f>
        <v>0</v>
      </c>
      <c r="X280" s="3">
        <f>X196-W196</f>
        <v>0</v>
      </c>
      <c r="Y280" s="3">
        <f>Y196-X196</f>
        <v>0</v>
      </c>
      <c r="Z280" s="3">
        <f>Z196-Y196</f>
        <v>0</v>
      </c>
      <c r="AA280" s="3">
        <f>AA196-Z196</f>
        <v>0</v>
      </c>
      <c r="AB280" s="3">
        <f>SUM(X280:AA280)</f>
        <v>0</v>
      </c>
      <c r="AC280" s="3">
        <f>AC196-AB196</f>
        <v>0</v>
      </c>
      <c r="AD280" s="3">
        <f>AD196-AC196</f>
        <v>0</v>
      </c>
      <c r="AE280" s="3">
        <f>AE196-AD196</f>
        <v>0</v>
      </c>
      <c r="AF280" s="3">
        <f>AF196-AE196</f>
        <v>0</v>
      </c>
      <c r="AG280" s="3">
        <f>SUM(AC280:AF280)</f>
        <v>0</v>
      </c>
      <c r="AH280" s="3">
        <f>AH196-AG196</f>
        <v>0</v>
      </c>
      <c r="AI280" s="3">
        <f>AI196-AH196</f>
        <v>0</v>
      </c>
      <c r="AJ280" s="3">
        <f>AJ196-AI196</f>
        <v>0</v>
      </c>
      <c r="AK280" s="3">
        <f>AK196-AJ196</f>
        <v>0</v>
      </c>
      <c r="AL280" s="3">
        <f>SUM(AH280:AK280)</f>
        <v>0</v>
      </c>
      <c r="AM280" s="3" t="e">
        <f>AM196-AL196</f>
        <v>#DIV/0!</v>
      </c>
      <c r="AN280" s="3" t="e">
        <f>AN196-AM196</f>
        <v>#DIV/0!</v>
      </c>
      <c r="AO280" s="3" t="e">
        <f>AO196-AN196</f>
        <v>#DIV/0!</v>
      </c>
      <c r="AP280" s="3" t="e">
        <f>AP196-AO196</f>
        <v>#DIV/0!</v>
      </c>
      <c r="AQ280" s="3" t="e">
        <f>SUM(AM280:AP280)</f>
        <v>#DIV/0!</v>
      </c>
      <c r="AR280" s="3" t="e">
        <f>AR196-AQ196</f>
        <v>#DIV/0!</v>
      </c>
      <c r="AS280" s="3" t="e">
        <f>AS196-AR196</f>
        <v>#DIV/0!</v>
      </c>
      <c r="AT280" s="3" t="e">
        <f>AT196-AS196</f>
        <v>#DIV/0!</v>
      </c>
      <c r="AU280" s="3" t="e">
        <f>AU196-AT196</f>
        <v>#DIV/0!</v>
      </c>
      <c r="AV280" s="3" t="e">
        <f>SUM(AR280:AU280)</f>
        <v>#DIV/0!</v>
      </c>
      <c r="AW280" s="3" t="e">
        <f>AW196-AV196</f>
        <v>#DIV/0!</v>
      </c>
      <c r="AX280" s="3" t="e">
        <f>AX196-AW196</f>
        <v>#DIV/0!</v>
      </c>
      <c r="AY280" s="3" t="e">
        <f>AY196-AX196</f>
        <v>#DIV/0!</v>
      </c>
      <c r="AZ280" s="3" t="e">
        <f>AZ196-AY196</f>
        <v>#DIV/0!</v>
      </c>
      <c r="BA280" s="3" t="e">
        <f>SUM(AW280:AZ280)</f>
        <v>#DIV/0!</v>
      </c>
      <c r="BB280" s="3" t="e">
        <f>BB196-BA196</f>
        <v>#DIV/0!</v>
      </c>
      <c r="BC280" s="3" t="e">
        <f>BC196-BB196</f>
        <v>#DIV/0!</v>
      </c>
      <c r="BD280" s="3" t="e">
        <f>BD196-BC196</f>
        <v>#DIV/0!</v>
      </c>
      <c r="BE280" s="3" t="e">
        <f>BE196-BD196</f>
        <v>#DIV/0!</v>
      </c>
      <c r="BF280" s="3" t="e">
        <f>SUM(BB280:BE280)</f>
        <v>#DIV/0!</v>
      </c>
      <c r="BG280" s="3" t="e">
        <f>BG196-BF196</f>
        <v>#DIV/0!</v>
      </c>
      <c r="BH280" s="3" t="e">
        <f>BH196-BG196</f>
        <v>#DIV/0!</v>
      </c>
      <c r="BI280" s="3" t="e">
        <f>BI196-BH196</f>
        <v>#DIV/0!</v>
      </c>
      <c r="BJ280" s="3" t="e">
        <f>BJ196-BI196</f>
        <v>#DIV/0!</v>
      </c>
      <c r="BK280" s="3" t="e">
        <f>SUM(BG280:BJ280)</f>
        <v>#DIV/0!</v>
      </c>
      <c r="BL280" s="3" t="e">
        <f>BL196-BK196</f>
        <v>#DIV/0!</v>
      </c>
      <c r="BM280" s="3" t="e">
        <f>BM196-BL196</f>
        <v>#DIV/0!</v>
      </c>
      <c r="BN280" s="3" t="e">
        <f>BN196-BM196</f>
        <v>#DIV/0!</v>
      </c>
      <c r="BO280" s="3" t="e">
        <f>BO196-BN196</f>
        <v>#DIV/0!</v>
      </c>
      <c r="BP280" s="3" t="e">
        <f>SUM(BL280:BO280)</f>
        <v>#DIV/0!</v>
      </c>
      <c r="BQ280" s="3" t="e">
        <f>BQ196-BP196</f>
        <v>#DIV/0!</v>
      </c>
      <c r="BR280" s="3" t="e">
        <f>BR196-BQ196</f>
        <v>#DIV/0!</v>
      </c>
      <c r="BS280" s="3" t="e">
        <f>BS196-BR196</f>
        <v>#DIV/0!</v>
      </c>
      <c r="BT280" s="3" t="e">
        <f>BT196-BS196</f>
        <v>#DIV/0!</v>
      </c>
      <c r="BU280" s="3" t="e">
        <f>SUM(BQ280:BT280)</f>
        <v>#DIV/0!</v>
      </c>
      <c r="BV280" s="3" t="e">
        <f>BV196-BU196</f>
        <v>#DIV/0!</v>
      </c>
      <c r="BW280" s="3" t="e">
        <f>BW196-BV196</f>
        <v>#DIV/0!</v>
      </c>
      <c r="BX280" s="3" t="e">
        <f>BX196-BW196</f>
        <v>#DIV/0!</v>
      </c>
      <c r="BY280" s="3" t="e">
        <f>BY196-BX196</f>
        <v>#DIV/0!</v>
      </c>
      <c r="BZ280" s="3" t="e">
        <f>SUM(BV280:BY280)</f>
        <v>#DIV/0!</v>
      </c>
      <c r="CA280" s="3" t="e">
        <f>CA196-BZ196</f>
        <v>#DIV/0!</v>
      </c>
      <c r="CB280" s="3" t="e">
        <f>CB196-CA196</f>
        <v>#DIV/0!</v>
      </c>
      <c r="CC280" s="3" t="e">
        <f>CC196-CB196</f>
        <v>#DIV/0!</v>
      </c>
      <c r="CD280" s="3" t="e">
        <f>CD196-CC196</f>
        <v>#DIV/0!</v>
      </c>
      <c r="CE280" s="3" t="e">
        <f>SUM(CA280:CD280)</f>
        <v>#DIV/0!</v>
      </c>
      <c r="CF280" s="3" t="e">
        <f>CF196-CE196</f>
        <v>#DIV/0!</v>
      </c>
      <c r="CG280" s="3" t="e">
        <f>CG196-CF196</f>
        <v>#DIV/0!</v>
      </c>
      <c r="CH280" s="3" t="e">
        <f>CH196-CG196</f>
        <v>#DIV/0!</v>
      </c>
      <c r="CI280" s="3" t="e">
        <f>CI196-CH196</f>
        <v>#DIV/0!</v>
      </c>
      <c r="CJ280" s="3" t="e">
        <f>SUM(CF280:CI280)</f>
        <v>#DIV/0!</v>
      </c>
      <c r="CK280" s="3" t="e">
        <f>CK196-CJ196</f>
        <v>#DIV/0!</v>
      </c>
      <c r="CL280" s="3" t="e">
        <f>CL196-CK196</f>
        <v>#DIV/0!</v>
      </c>
      <c r="CM280" s="3" t="e">
        <f>CM196-CL196</f>
        <v>#DIV/0!</v>
      </c>
      <c r="CN280" s="3" t="e">
        <f>CN196-CM196</f>
        <v>#DIV/0!</v>
      </c>
      <c r="CO280" s="3" t="e">
        <f>SUM(CK280:CN280)</f>
        <v>#DIV/0!</v>
      </c>
      <c r="CP280" s="3" t="e">
        <f>CP196-CO196</f>
        <v>#DIV/0!</v>
      </c>
      <c r="CQ280" s="3" t="e">
        <f>CQ196-CP196</f>
        <v>#DIV/0!</v>
      </c>
      <c r="CR280" s="3" t="e">
        <f>CR196-CQ196</f>
        <v>#DIV/0!</v>
      </c>
      <c r="CS280" s="3" t="e">
        <f>CS196-CR196</f>
        <v>#DIV/0!</v>
      </c>
      <c r="CT280" s="3" t="e">
        <f>SUM(CP280:CS280)</f>
        <v>#DIV/0!</v>
      </c>
      <c r="CU280" s="3" t="e">
        <f>CU196-CT196</f>
        <v>#DIV/0!</v>
      </c>
      <c r="CV280" s="3" t="e">
        <f>CV196-CU196</f>
        <v>#DIV/0!</v>
      </c>
      <c r="CW280" s="3" t="e">
        <f>CW196-CV196</f>
        <v>#DIV/0!</v>
      </c>
      <c r="CX280" s="3" t="e">
        <f>CX196-CW196</f>
        <v>#DIV/0!</v>
      </c>
      <c r="CY280" s="3" t="e">
        <f>SUM(CU280:CX280)</f>
        <v>#DIV/0!</v>
      </c>
    </row>
    <row r="281" hidden="1" outlineLevel="1">
      <c r="C281" s="29" t="inlineStr">
        <is>
          <t>Taxes payable</t>
        </is>
      </c>
      <c r="D281" s="3" t="n"/>
      <c r="E281" s="3">
        <f>E198-D198</f>
        <v>0</v>
      </c>
      <c r="F281" s="3">
        <f>F198-E198</f>
        <v>0</v>
      </c>
      <c r="G281" s="3">
        <f>G198-F198</f>
        <v>0</v>
      </c>
      <c r="H281" s="3">
        <f>SUM(D281:G281)</f>
        <v>0</v>
      </c>
      <c r="I281" s="3">
        <f>I198-H198</f>
        <v>0</v>
      </c>
      <c r="J281" s="3">
        <f>J198-I198</f>
        <v>0</v>
      </c>
      <c r="K281" s="3">
        <f>K198-J198</f>
        <v>0</v>
      </c>
      <c r="L281" s="3">
        <f>L198-K198</f>
        <v>0</v>
      </c>
      <c r="M281" s="3">
        <f>SUM(I281:L281)</f>
        <v>0</v>
      </c>
      <c r="N281" s="3">
        <f>N198-M198</f>
        <v>0</v>
      </c>
      <c r="O281" s="3">
        <f>O198-N198</f>
        <v>0</v>
      </c>
      <c r="P281" s="3">
        <f>P198-O198</f>
        <v>0</v>
      </c>
      <c r="Q281" s="3">
        <f>Q198-P198</f>
        <v>0</v>
      </c>
      <c r="R281" s="3">
        <f>SUM(N281:Q281)</f>
        <v>0</v>
      </c>
      <c r="S281" s="3">
        <f>S198-R198</f>
        <v>0</v>
      </c>
      <c r="T281" s="3">
        <f>T198-S198</f>
        <v>0</v>
      </c>
      <c r="U281" s="3">
        <f>U198-T198</f>
        <v>0</v>
      </c>
      <c r="V281" s="3">
        <f>V198-U198</f>
        <v>0</v>
      </c>
      <c r="W281" s="3">
        <f>SUM(S281:V281)</f>
        <v>0</v>
      </c>
      <c r="X281" s="3">
        <f>X198-W198</f>
        <v>0</v>
      </c>
      <c r="Y281" s="3">
        <f>Y198-X198</f>
        <v>0</v>
      </c>
      <c r="Z281" s="3">
        <f>Z198-Y198</f>
        <v>0</v>
      </c>
      <c r="AA281" s="3">
        <f>AA198-Z198</f>
        <v>0</v>
      </c>
      <c r="AB281" s="3">
        <f>SUM(X281:AA281)</f>
        <v>0</v>
      </c>
      <c r="AC281" s="3">
        <f>AC198-AB198</f>
        <v>0</v>
      </c>
      <c r="AD281" s="3">
        <f>AD198-AC198</f>
        <v>0</v>
      </c>
      <c r="AE281" s="3">
        <f>AE198-AD198</f>
        <v>0</v>
      </c>
      <c r="AF281" s="3">
        <f>AF198-AE198</f>
        <v>0</v>
      </c>
      <c r="AG281" s="3">
        <f>SUM(AC281:AF281)</f>
        <v>0</v>
      </c>
      <c r="AH281" s="3">
        <f>AH198-AG198</f>
        <v>0</v>
      </c>
      <c r="AI281" s="3">
        <f>AI198-AH198</f>
        <v>0</v>
      </c>
      <c r="AJ281" s="3">
        <f>AJ198-AI198</f>
        <v>0</v>
      </c>
      <c r="AK281" s="3">
        <f>AK198-AJ198</f>
        <v>0</v>
      </c>
      <c r="AL281" s="3">
        <f>SUM(AH281:AK281)</f>
        <v>0</v>
      </c>
      <c r="AM281" s="3" t="e">
        <f>AM198-AL198</f>
        <v>#DIV/0!</v>
      </c>
      <c r="AN281" s="3" t="e">
        <f>AN198-AM198</f>
        <v>#DIV/0!</v>
      </c>
      <c r="AO281" s="3" t="e">
        <f>AO198-AN198</f>
        <v>#DIV/0!</v>
      </c>
      <c r="AP281" s="3" t="e">
        <f>AP198-AO198</f>
        <v>#DIV/0!</v>
      </c>
      <c r="AQ281" s="3" t="e">
        <f>SUM(AM281:AP281)</f>
        <v>#DIV/0!</v>
      </c>
      <c r="AR281" s="3" t="e">
        <f>AR198-AQ198</f>
        <v>#DIV/0!</v>
      </c>
      <c r="AS281" s="3" t="e">
        <f>AS198-AR198</f>
        <v>#DIV/0!</v>
      </c>
      <c r="AT281" s="3" t="e">
        <f>AT198-AS198</f>
        <v>#DIV/0!</v>
      </c>
      <c r="AU281" s="3" t="e">
        <f>AU198-AT198</f>
        <v>#DIV/0!</v>
      </c>
      <c r="AV281" s="3" t="e">
        <f>SUM(AR281:AU281)</f>
        <v>#DIV/0!</v>
      </c>
      <c r="AW281" s="3" t="e">
        <f>AW198-AV198</f>
        <v>#DIV/0!</v>
      </c>
      <c r="AX281" s="3" t="e">
        <f>AX198-AW198</f>
        <v>#DIV/0!</v>
      </c>
      <c r="AY281" s="3" t="e">
        <f>AY198-AX198</f>
        <v>#DIV/0!</v>
      </c>
      <c r="AZ281" s="3" t="e">
        <f>AZ198-AY198</f>
        <v>#DIV/0!</v>
      </c>
      <c r="BA281" s="3" t="e">
        <f>SUM(AW281:AZ281)</f>
        <v>#DIV/0!</v>
      </c>
      <c r="BB281" s="3" t="e">
        <f>BB198-BA198</f>
        <v>#DIV/0!</v>
      </c>
      <c r="BC281" s="3" t="e">
        <f>BC198-BB198</f>
        <v>#DIV/0!</v>
      </c>
      <c r="BD281" s="3" t="e">
        <f>BD198-BC198</f>
        <v>#DIV/0!</v>
      </c>
      <c r="BE281" s="3" t="e">
        <f>BE198-BD198</f>
        <v>#DIV/0!</v>
      </c>
      <c r="BF281" s="3" t="e">
        <f>SUM(BB281:BE281)</f>
        <v>#DIV/0!</v>
      </c>
      <c r="BG281" s="3" t="e">
        <f>BG198-BF198</f>
        <v>#DIV/0!</v>
      </c>
      <c r="BH281" s="3" t="e">
        <f>BH198-BG198</f>
        <v>#DIV/0!</v>
      </c>
      <c r="BI281" s="3" t="e">
        <f>BI198-BH198</f>
        <v>#DIV/0!</v>
      </c>
      <c r="BJ281" s="3" t="e">
        <f>BJ198-BI198</f>
        <v>#DIV/0!</v>
      </c>
      <c r="BK281" s="3" t="e">
        <f>SUM(BG281:BJ281)</f>
        <v>#DIV/0!</v>
      </c>
      <c r="BL281" s="3" t="e">
        <f>BL198-BK198</f>
        <v>#DIV/0!</v>
      </c>
      <c r="BM281" s="3" t="e">
        <f>BM198-BL198</f>
        <v>#DIV/0!</v>
      </c>
      <c r="BN281" s="3" t="e">
        <f>BN198-BM198</f>
        <v>#DIV/0!</v>
      </c>
      <c r="BO281" s="3" t="e">
        <f>BO198-BN198</f>
        <v>#DIV/0!</v>
      </c>
      <c r="BP281" s="3" t="e">
        <f>SUM(BL281:BO281)</f>
        <v>#DIV/0!</v>
      </c>
      <c r="BQ281" s="3" t="e">
        <f>BQ198-BP198</f>
        <v>#DIV/0!</v>
      </c>
      <c r="BR281" s="3" t="e">
        <f>BR198-BQ198</f>
        <v>#DIV/0!</v>
      </c>
      <c r="BS281" s="3" t="e">
        <f>BS198-BR198</f>
        <v>#DIV/0!</v>
      </c>
      <c r="BT281" s="3" t="e">
        <f>BT198-BS198</f>
        <v>#DIV/0!</v>
      </c>
      <c r="BU281" s="3" t="e">
        <f>SUM(BQ281:BT281)</f>
        <v>#DIV/0!</v>
      </c>
      <c r="BV281" s="3" t="e">
        <f>BV198-BU198</f>
        <v>#DIV/0!</v>
      </c>
      <c r="BW281" s="3" t="e">
        <f>BW198-BV198</f>
        <v>#DIV/0!</v>
      </c>
      <c r="BX281" s="3" t="e">
        <f>BX198-BW198</f>
        <v>#DIV/0!</v>
      </c>
      <c r="BY281" s="3" t="e">
        <f>BY198-BX198</f>
        <v>#DIV/0!</v>
      </c>
      <c r="BZ281" s="3" t="e">
        <f>SUM(BV281:BY281)</f>
        <v>#DIV/0!</v>
      </c>
      <c r="CA281" s="3" t="e">
        <f>CA198-BZ198</f>
        <v>#DIV/0!</v>
      </c>
      <c r="CB281" s="3" t="e">
        <f>CB198-CA198</f>
        <v>#DIV/0!</v>
      </c>
      <c r="CC281" s="3" t="e">
        <f>CC198-CB198</f>
        <v>#DIV/0!</v>
      </c>
      <c r="CD281" s="3" t="e">
        <f>CD198-CC198</f>
        <v>#DIV/0!</v>
      </c>
      <c r="CE281" s="3" t="e">
        <f>SUM(CA281:CD281)</f>
        <v>#DIV/0!</v>
      </c>
      <c r="CF281" s="3" t="e">
        <f>CF198-CE198</f>
        <v>#DIV/0!</v>
      </c>
      <c r="CG281" s="3" t="e">
        <f>CG198-CF198</f>
        <v>#DIV/0!</v>
      </c>
      <c r="CH281" s="3" t="e">
        <f>CH198-CG198</f>
        <v>#DIV/0!</v>
      </c>
      <c r="CI281" s="3" t="e">
        <f>CI198-CH198</f>
        <v>#DIV/0!</v>
      </c>
      <c r="CJ281" s="3" t="e">
        <f>SUM(CF281:CI281)</f>
        <v>#DIV/0!</v>
      </c>
      <c r="CK281" s="3" t="e">
        <f>CK198-CJ198</f>
        <v>#DIV/0!</v>
      </c>
      <c r="CL281" s="3" t="e">
        <f>CL198-CK198</f>
        <v>#DIV/0!</v>
      </c>
      <c r="CM281" s="3" t="e">
        <f>CM198-CL198</f>
        <v>#DIV/0!</v>
      </c>
      <c r="CN281" s="3" t="e">
        <f>CN198-CM198</f>
        <v>#DIV/0!</v>
      </c>
      <c r="CO281" s="3" t="e">
        <f>SUM(CK281:CN281)</f>
        <v>#DIV/0!</v>
      </c>
      <c r="CP281" s="3" t="e">
        <f>CP198-CO198</f>
        <v>#DIV/0!</v>
      </c>
      <c r="CQ281" s="3" t="e">
        <f>CQ198-CP198</f>
        <v>#DIV/0!</v>
      </c>
      <c r="CR281" s="3" t="e">
        <f>CR198-CQ198</f>
        <v>#DIV/0!</v>
      </c>
      <c r="CS281" s="3" t="e">
        <f>CS198-CR198</f>
        <v>#DIV/0!</v>
      </c>
      <c r="CT281" s="3" t="e">
        <f>SUM(CP281:CS281)</f>
        <v>#DIV/0!</v>
      </c>
      <c r="CU281" s="3" t="e">
        <f>CU198-CT198</f>
        <v>#DIV/0!</v>
      </c>
      <c r="CV281" s="3" t="e">
        <f>CV198-CU198</f>
        <v>#DIV/0!</v>
      </c>
      <c r="CW281" s="3" t="e">
        <f>CW198-CV198</f>
        <v>#DIV/0!</v>
      </c>
      <c r="CX281" s="3" t="e">
        <f>CX198-CW198</f>
        <v>#DIV/0!</v>
      </c>
      <c r="CY281" s="3" t="e">
        <f>SUM(CU281:CX281)</f>
        <v>#DIV/0!</v>
      </c>
    </row>
    <row r="282" hidden="1" outlineLevel="1">
      <c r="C282" s="29" t="inlineStr">
        <is>
          <t>Other current liabilities (non-debt)</t>
        </is>
      </c>
      <c r="D282" s="3" t="n"/>
      <c r="E282" s="3">
        <f>E199-D199</f>
        <v>616</v>
      </c>
      <c r="F282" s="3">
        <f>F199-E199</f>
        <v>-288</v>
      </c>
      <c r="G282" s="3">
        <f>G199-F199</f>
        <v>-147</v>
      </c>
      <c r="H282" s="3">
        <f>SUM(D282:G282)</f>
        <v>181</v>
      </c>
      <c r="I282" s="3">
        <f>I199-H199</f>
        <v>32</v>
      </c>
      <c r="J282" s="3">
        <f>J199-I199</f>
        <v>584</v>
      </c>
      <c r="K282" s="3">
        <f>K199-J199</f>
        <v>978</v>
      </c>
      <c r="L282" s="3">
        <f>L199-K199</f>
        <v>-111</v>
      </c>
      <c r="M282" s="3">
        <f>SUM(I282:L282)</f>
        <v>1483</v>
      </c>
      <c r="N282" s="3">
        <f>N199-M199</f>
        <v>604</v>
      </c>
      <c r="O282" s="3">
        <f>O199-N199</f>
        <v>325</v>
      </c>
      <c r="P282" s="3">
        <f>P199-O199</f>
        <v>105</v>
      </c>
      <c r="Q282" s="3">
        <f>Q199-P199</f>
        <v>740</v>
      </c>
      <c r="R282" s="3">
        <f>SUM(N282:Q282)</f>
        <v>1774</v>
      </c>
      <c r="S282" s="3">
        <f>S199-R199</f>
        <v>78</v>
      </c>
      <c r="T282" s="3">
        <f>T199-S199</f>
        <v>787</v>
      </c>
      <c r="U282" s="3">
        <f>U199-T199</f>
        <v>384</v>
      </c>
      <c r="V282" s="3">
        <f>V199-U199</f>
        <v>1614</v>
      </c>
      <c r="W282" s="3">
        <f>SUM(S282:V282)</f>
        <v>2863</v>
      </c>
      <c r="X282" s="3">
        <f>X199-W199</f>
        <v>411</v>
      </c>
      <c r="Y282" s="3">
        <f>Y199-X199</f>
        <v>-55</v>
      </c>
      <c r="Z282" s="3">
        <f>Z199-Y199</f>
        <v>1250</v>
      </c>
      <c r="AA282" s="3">
        <f>AA199-Z199</f>
        <v>424</v>
      </c>
      <c r="AB282" s="3">
        <f>SUM(X282:AA282)</f>
        <v>2030</v>
      </c>
      <c r="AC282" s="3">
        <f>AC199-AB199</f>
        <v>-65</v>
      </c>
      <c r="AD282" s="3">
        <f>AD199-AC199</f>
        <v>514</v>
      </c>
      <c r="AE282" s="3">
        <f>AE199-AD199</f>
        <v>1675</v>
      </c>
      <c r="AF282" s="3">
        <f>AF199-AE199</f>
        <v>-128</v>
      </c>
      <c r="AG282" s="3">
        <f>SUM(AC282:AF282)</f>
        <v>1996</v>
      </c>
      <c r="AH282" s="3">
        <f>AH199-AG199</f>
        <v>1099</v>
      </c>
      <c r="AI282" s="3">
        <f>AI199-AH199</f>
        <v>659</v>
      </c>
      <c r="AJ282" s="3">
        <f>AJ199-AI199</f>
        <v>0</v>
      </c>
      <c r="AK282" s="3">
        <f>AK199-AJ199</f>
        <v>0</v>
      </c>
      <c r="AL282" s="3">
        <f>SUM(AH282:AK282)</f>
        <v>1758</v>
      </c>
      <c r="AM282" s="3">
        <f>AM199-AL199</f>
        <v>0</v>
      </c>
      <c r="AN282" s="3">
        <f>AN199-AM199</f>
        <v>0</v>
      </c>
      <c r="AO282" s="3">
        <f>AO199-AN199</f>
        <v>0</v>
      </c>
      <c r="AP282" s="3">
        <f>AP199-AO199</f>
        <v>0</v>
      </c>
      <c r="AQ282" s="3">
        <f>SUM(AM282:AP282)</f>
        <v>0</v>
      </c>
      <c r="AR282" s="3">
        <f>AR199-AQ199</f>
        <v>0</v>
      </c>
      <c r="AS282" s="3">
        <f>AS199-AR199</f>
        <v>0</v>
      </c>
      <c r="AT282" s="3">
        <f>AT199-AS199</f>
        <v>0</v>
      </c>
      <c r="AU282" s="3">
        <f>AU199-AT199</f>
        <v>0</v>
      </c>
      <c r="AV282" s="3">
        <f>SUM(AR282:AU282)</f>
        <v>0</v>
      </c>
      <c r="AW282" s="3">
        <f>AW199-AV199</f>
        <v>0</v>
      </c>
      <c r="AX282" s="3">
        <f>AX199-AW199</f>
        <v>0</v>
      </c>
      <c r="AY282" s="3">
        <f>AY199-AX199</f>
        <v>0</v>
      </c>
      <c r="AZ282" s="3">
        <f>AZ199-AY199</f>
        <v>0</v>
      </c>
      <c r="BA282" s="3">
        <f>SUM(AW282:AZ282)</f>
        <v>0</v>
      </c>
      <c r="BB282" s="3">
        <f>BB199-BA199</f>
        <v>0</v>
      </c>
      <c r="BC282" s="3">
        <f>BC199-BB199</f>
        <v>0</v>
      </c>
      <c r="BD282" s="3">
        <f>BD199-BC199</f>
        <v>0</v>
      </c>
      <c r="BE282" s="3">
        <f>BE199-BD199</f>
        <v>0</v>
      </c>
      <c r="BF282" s="3">
        <f>SUM(BB282:BE282)</f>
        <v>0</v>
      </c>
      <c r="BG282" s="3">
        <f>BG199-BF199</f>
        <v>0</v>
      </c>
      <c r="BH282" s="3">
        <f>BH199-BG199</f>
        <v>0</v>
      </c>
      <c r="BI282" s="3">
        <f>BI199-BH199</f>
        <v>0</v>
      </c>
      <c r="BJ282" s="3">
        <f>BJ199-BI199</f>
        <v>0</v>
      </c>
      <c r="BK282" s="3">
        <f>SUM(BG282:BJ282)</f>
        <v>0</v>
      </c>
      <c r="BL282" s="3">
        <f>BL199-BK199</f>
        <v>0</v>
      </c>
      <c r="BM282" s="3">
        <f>BM199-BL199</f>
        <v>0</v>
      </c>
      <c r="BN282" s="3">
        <f>BN199-BM199</f>
        <v>0</v>
      </c>
      <c r="BO282" s="3">
        <f>BO199-BN199</f>
        <v>0</v>
      </c>
      <c r="BP282" s="3">
        <f>SUM(BL282:BO282)</f>
        <v>0</v>
      </c>
      <c r="BQ282" s="3">
        <f>BQ199-BP199</f>
        <v>0</v>
      </c>
      <c r="BR282" s="3">
        <f>BR199-BQ199</f>
        <v>0</v>
      </c>
      <c r="BS282" s="3">
        <f>BS199-BR199</f>
        <v>0</v>
      </c>
      <c r="BT282" s="3">
        <f>BT199-BS199</f>
        <v>0</v>
      </c>
      <c r="BU282" s="3">
        <f>SUM(BQ282:BT282)</f>
        <v>0</v>
      </c>
      <c r="BV282" s="3">
        <f>BV199-BU199</f>
        <v>0</v>
      </c>
      <c r="BW282" s="3">
        <f>BW199-BV199</f>
        <v>0</v>
      </c>
      <c r="BX282" s="3">
        <f>BX199-BW199</f>
        <v>0</v>
      </c>
      <c r="BY282" s="3">
        <f>BY199-BX199</f>
        <v>0</v>
      </c>
      <c r="BZ282" s="3">
        <f>SUM(BV282:BY282)</f>
        <v>0</v>
      </c>
      <c r="CA282" s="3">
        <f>CA199-BZ199</f>
        <v>0</v>
      </c>
      <c r="CB282" s="3">
        <f>CB199-CA199</f>
        <v>0</v>
      </c>
      <c r="CC282" s="3">
        <f>CC199-CB199</f>
        <v>0</v>
      </c>
      <c r="CD282" s="3">
        <f>CD199-CC199</f>
        <v>0</v>
      </c>
      <c r="CE282" s="3">
        <f>SUM(CA282:CD282)</f>
        <v>0</v>
      </c>
      <c r="CF282" s="3">
        <f>CF199-CE199</f>
        <v>0</v>
      </c>
      <c r="CG282" s="3">
        <f>CG199-CF199</f>
        <v>0</v>
      </c>
      <c r="CH282" s="3">
        <f>CH199-CG199</f>
        <v>0</v>
      </c>
      <c r="CI282" s="3">
        <f>CI199-CH199</f>
        <v>0</v>
      </c>
      <c r="CJ282" s="3">
        <f>SUM(CF282:CI282)</f>
        <v>0</v>
      </c>
      <c r="CK282" s="3">
        <f>CK199-CJ199</f>
        <v>0</v>
      </c>
      <c r="CL282" s="3">
        <f>CL199-CK199</f>
        <v>0</v>
      </c>
      <c r="CM282" s="3">
        <f>CM199-CL199</f>
        <v>0</v>
      </c>
      <c r="CN282" s="3">
        <f>CN199-CM199</f>
        <v>0</v>
      </c>
      <c r="CO282" s="3">
        <f>SUM(CK282:CN282)</f>
        <v>0</v>
      </c>
      <c r="CP282" s="3">
        <f>CP199-CO199</f>
        <v>0</v>
      </c>
      <c r="CQ282" s="3">
        <f>CQ199-CP199</f>
        <v>0</v>
      </c>
      <c r="CR282" s="3">
        <f>CR199-CQ199</f>
        <v>0</v>
      </c>
      <c r="CS282" s="3">
        <f>CS199-CR199</f>
        <v>0</v>
      </c>
      <c r="CT282" s="3">
        <f>SUM(CP282:CS282)</f>
        <v>0</v>
      </c>
      <c r="CU282" s="3">
        <f>CU199-CT199</f>
        <v>0</v>
      </c>
      <c r="CV282" s="3">
        <f>CV199-CU199</f>
        <v>0</v>
      </c>
      <c r="CW282" s="3">
        <f>CW199-CV199</f>
        <v>0</v>
      </c>
      <c r="CX282" s="3">
        <f>CX199-CW199</f>
        <v>0</v>
      </c>
      <c r="CY282" s="3">
        <f>SUM(CU282:CX282)</f>
        <v>0</v>
      </c>
    </row>
    <row r="283" hidden="1" outlineLevel="1">
      <c r="C283" s="29" t="inlineStr">
        <is>
          <t>Deferred income taxes</t>
        </is>
      </c>
      <c r="D283" s="3" t="n"/>
      <c r="E283" s="3">
        <f>E233-D233</f>
        <v>0</v>
      </c>
      <c r="F283" s="3">
        <f>F233-E233</f>
        <v>0</v>
      </c>
      <c r="G283" s="3">
        <f>G233-F233</f>
        <v>0</v>
      </c>
      <c r="H283" s="3">
        <f>SUM(D283:G283)</f>
        <v>0</v>
      </c>
      <c r="I283" s="3">
        <f>I233-H233</f>
        <v>0</v>
      </c>
      <c r="J283" s="3">
        <f>J233-I233</f>
        <v>0</v>
      </c>
      <c r="K283" s="3">
        <f>K233-J233</f>
        <v>0</v>
      </c>
      <c r="L283" s="3">
        <f>L233-K233</f>
        <v>0</v>
      </c>
      <c r="M283" s="3">
        <f>SUM(I283:L283)</f>
        <v>0</v>
      </c>
      <c r="N283" s="3">
        <f>N233-M233</f>
        <v>0</v>
      </c>
      <c r="O283" s="3">
        <f>O233-N233</f>
        <v>0</v>
      </c>
      <c r="P283" s="3">
        <f>P233-O233</f>
        <v>0</v>
      </c>
      <c r="Q283" s="3">
        <f>Q233-P233</f>
        <v>0</v>
      </c>
      <c r="R283" s="3">
        <f>SUM(N283:Q283)</f>
        <v>0</v>
      </c>
      <c r="S283" s="3">
        <f>S233-R233</f>
        <v>0</v>
      </c>
      <c r="T283" s="3">
        <f>T233-S233</f>
        <v>0</v>
      </c>
      <c r="U283" s="3">
        <f>U233-T233</f>
        <v>0</v>
      </c>
      <c r="V283" s="3">
        <f>V233-U233</f>
        <v>0</v>
      </c>
      <c r="W283" s="3">
        <f>SUM(S283:V283)</f>
        <v>0</v>
      </c>
      <c r="X283" s="3">
        <f>X233-W233</f>
        <v>0</v>
      </c>
      <c r="Y283" s="3">
        <f>Y233-X233</f>
        <v>0</v>
      </c>
      <c r="Z283" s="3">
        <f>Z233-Y233</f>
        <v>0</v>
      </c>
      <c r="AA283" s="3">
        <f>AA233-Z233</f>
        <v>0</v>
      </c>
      <c r="AB283" s="3">
        <f>SUM(X283:AA283)</f>
        <v>0</v>
      </c>
      <c r="AC283" s="3">
        <f>AC233-AB233</f>
        <v>0</v>
      </c>
      <c r="AD283" s="3">
        <f>AD233-AC233</f>
        <v>0</v>
      </c>
      <c r="AE283" s="3">
        <f>AE233-AD233</f>
        <v>0</v>
      </c>
      <c r="AF283" s="3">
        <f>AF233-AE233</f>
        <v>0</v>
      </c>
      <c r="AG283" s="3">
        <f>SUM(AC283:AF283)</f>
        <v>0</v>
      </c>
      <c r="AH283" s="3">
        <f>AH233-AG233</f>
        <v>0</v>
      </c>
      <c r="AI283" s="3">
        <f>AI233-AH233</f>
        <v>0</v>
      </c>
      <c r="AJ283" s="3">
        <f>AJ233-AI233</f>
        <v>0</v>
      </c>
      <c r="AK283" s="3">
        <f>AK233-AJ233</f>
        <v>0</v>
      </c>
      <c r="AL283" s="3">
        <f>SUM(AH283:AK283)</f>
        <v>0</v>
      </c>
      <c r="AM283" s="3">
        <f>AM233-AL233</f>
        <v>0</v>
      </c>
      <c r="AN283" s="3">
        <f>AN233-AM233</f>
        <v>0</v>
      </c>
      <c r="AO283" s="3">
        <f>AO233-AN233</f>
        <v>0</v>
      </c>
      <c r="AP283" s="3">
        <f>AP233-AO233</f>
        <v>0</v>
      </c>
      <c r="AQ283" s="3">
        <f>SUM(AM283:AP283)</f>
        <v>0</v>
      </c>
      <c r="AR283" s="3">
        <f>AR233-AQ233</f>
        <v>0</v>
      </c>
      <c r="AS283" s="3">
        <f>AS233-AR233</f>
        <v>0</v>
      </c>
      <c r="AT283" s="3">
        <f>AT233-AS233</f>
        <v>0</v>
      </c>
      <c r="AU283" s="3">
        <f>AU233-AT233</f>
        <v>0</v>
      </c>
      <c r="AV283" s="3">
        <f>SUM(AR283:AU283)</f>
        <v>0</v>
      </c>
      <c r="AW283" s="3">
        <f>AW233-AV233</f>
        <v>0</v>
      </c>
      <c r="AX283" s="3">
        <f>AX233-AW233</f>
        <v>0</v>
      </c>
      <c r="AY283" s="3">
        <f>AY233-AX233</f>
        <v>0</v>
      </c>
      <c r="AZ283" s="3">
        <f>AZ233-AY233</f>
        <v>0</v>
      </c>
      <c r="BA283" s="3">
        <f>SUM(AW283:AZ283)</f>
        <v>0</v>
      </c>
      <c r="BB283" s="3">
        <f>BB233-BA233</f>
        <v>0</v>
      </c>
      <c r="BC283" s="3">
        <f>BC233-BB233</f>
        <v>0</v>
      </c>
      <c r="BD283" s="3">
        <f>BD233-BC233</f>
        <v>0</v>
      </c>
      <c r="BE283" s="3">
        <f>BE233-BD233</f>
        <v>0</v>
      </c>
      <c r="BF283" s="3">
        <f>SUM(BB283:BE283)</f>
        <v>0</v>
      </c>
      <c r="BG283" s="3">
        <f>BG233-BF233</f>
        <v>0</v>
      </c>
      <c r="BH283" s="3">
        <f>BH233-BG233</f>
        <v>0</v>
      </c>
      <c r="BI283" s="3">
        <f>BI233-BH233</f>
        <v>0</v>
      </c>
      <c r="BJ283" s="3">
        <f>BJ233-BI233</f>
        <v>0</v>
      </c>
      <c r="BK283" s="3">
        <f>SUM(BG283:BJ283)</f>
        <v>0</v>
      </c>
      <c r="BL283" s="3">
        <f>BL233-BK233</f>
        <v>0</v>
      </c>
      <c r="BM283" s="3">
        <f>BM233-BL233</f>
        <v>0</v>
      </c>
      <c r="BN283" s="3">
        <f>BN233-BM233</f>
        <v>0</v>
      </c>
      <c r="BO283" s="3">
        <f>BO233-BN233</f>
        <v>0</v>
      </c>
      <c r="BP283" s="3">
        <f>SUM(BL283:BO283)</f>
        <v>0</v>
      </c>
      <c r="BQ283" s="3">
        <f>BQ233-BP233</f>
        <v>0</v>
      </c>
      <c r="BR283" s="3">
        <f>BR233-BQ233</f>
        <v>0</v>
      </c>
      <c r="BS283" s="3">
        <f>BS233-BR233</f>
        <v>0</v>
      </c>
      <c r="BT283" s="3">
        <f>BT233-BS233</f>
        <v>0</v>
      </c>
      <c r="BU283" s="3">
        <f>SUM(BQ283:BT283)</f>
        <v>0</v>
      </c>
      <c r="BV283" s="3">
        <f>BV233-BU233</f>
        <v>0</v>
      </c>
      <c r="BW283" s="3">
        <f>BW233-BV233</f>
        <v>0</v>
      </c>
      <c r="BX283" s="3">
        <f>BX233-BW233</f>
        <v>0</v>
      </c>
      <c r="BY283" s="3">
        <f>BY233-BX233</f>
        <v>0</v>
      </c>
      <c r="BZ283" s="3">
        <f>SUM(BV283:BY283)</f>
        <v>0</v>
      </c>
      <c r="CA283" s="3">
        <f>CA233-BZ233</f>
        <v>0</v>
      </c>
      <c r="CB283" s="3">
        <f>CB233-CA233</f>
        <v>0</v>
      </c>
      <c r="CC283" s="3">
        <f>CC233-CB233</f>
        <v>0</v>
      </c>
      <c r="CD283" s="3">
        <f>CD233-CC233</f>
        <v>0</v>
      </c>
      <c r="CE283" s="3">
        <f>SUM(CA283:CD283)</f>
        <v>0</v>
      </c>
      <c r="CF283" s="3">
        <f>CF233-CE233</f>
        <v>0</v>
      </c>
      <c r="CG283" s="3">
        <f>CG233-CF233</f>
        <v>0</v>
      </c>
      <c r="CH283" s="3">
        <f>CH233-CG233</f>
        <v>0</v>
      </c>
      <c r="CI283" s="3">
        <f>CI233-CH233</f>
        <v>0</v>
      </c>
      <c r="CJ283" s="3">
        <f>SUM(CF283:CI283)</f>
        <v>0</v>
      </c>
      <c r="CK283" s="3">
        <f>CK233-CJ233</f>
        <v>0</v>
      </c>
      <c r="CL283" s="3">
        <f>CL233-CK233</f>
        <v>0</v>
      </c>
      <c r="CM283" s="3">
        <f>CM233-CL233</f>
        <v>0</v>
      </c>
      <c r="CN283" s="3">
        <f>CN233-CM233</f>
        <v>0</v>
      </c>
      <c r="CO283" s="3">
        <f>SUM(CK283:CN283)</f>
        <v>0</v>
      </c>
      <c r="CP283" s="3">
        <f>CP233-CO233</f>
        <v>0</v>
      </c>
      <c r="CQ283" s="3">
        <f>CQ233-CP233</f>
        <v>0</v>
      </c>
      <c r="CR283" s="3">
        <f>CR233-CQ233</f>
        <v>0</v>
      </c>
      <c r="CS283" s="3">
        <f>CS233-CR233</f>
        <v>0</v>
      </c>
      <c r="CT283" s="3">
        <f>SUM(CP283:CS283)</f>
        <v>0</v>
      </c>
      <c r="CU283" s="3">
        <f>CU233-CT233</f>
        <v>0</v>
      </c>
      <c r="CV283" s="3">
        <f>CV233-CU233</f>
        <v>0</v>
      </c>
      <c r="CW283" s="3">
        <f>CW233-CV233</f>
        <v>0</v>
      </c>
      <c r="CX283" s="3">
        <f>CX233-CW233</f>
        <v>0</v>
      </c>
      <c r="CY283" s="3">
        <f>SUM(CU283:CX283)</f>
        <v>0</v>
      </c>
    </row>
    <row r="284" collapsed="1">
      <c r="C284" s="29" t="inlineStr">
        <is>
          <t>Equity income in affiliates</t>
        </is>
      </c>
      <c r="D284" s="3" t="n"/>
      <c r="E284" s="3">
        <f>(E155-D155)*-1</f>
        <v>0</v>
      </c>
      <c r="F284" s="3">
        <f>(F155-E155)*-1</f>
        <v>0</v>
      </c>
      <c r="G284" s="3">
        <f>(G155-F155)*-1</f>
        <v>0</v>
      </c>
      <c r="H284" s="3">
        <f>SUM(D284:G284)</f>
        <v>0</v>
      </c>
      <c r="I284" s="3">
        <f>(I155-H155)*-1</f>
        <v>0</v>
      </c>
      <c r="J284" s="3">
        <f>(J155-I155)*-1</f>
        <v>0</v>
      </c>
      <c r="K284" s="3">
        <f>(K155-J155)*-1</f>
        <v>0</v>
      </c>
      <c r="L284" s="3">
        <f>(L155-K155)*-1</f>
        <v>0</v>
      </c>
      <c r="M284" s="3">
        <f>SUM(I284:L284)</f>
        <v>0</v>
      </c>
      <c r="N284" s="3">
        <f>(N155-M155)*-1</f>
        <v>0</v>
      </c>
      <c r="O284" s="3">
        <f>(O155-N155)*-1</f>
        <v>0</v>
      </c>
      <c r="P284" s="3">
        <f>(P155-O155)*-1</f>
        <v>0</v>
      </c>
      <c r="Q284" s="3">
        <f>(Q155-P155)*-1</f>
        <v>0</v>
      </c>
      <c r="R284" s="3">
        <f>SUM(N284:Q284)</f>
        <v>0</v>
      </c>
      <c r="S284" s="3">
        <f>(S155-R155)*-1</f>
        <v>0</v>
      </c>
      <c r="T284" s="3">
        <f>(T155-S155)*-1</f>
        <v>0</v>
      </c>
      <c r="U284" s="3">
        <f>(U155-T155)*-1</f>
        <v>0</v>
      </c>
      <c r="V284" s="3">
        <f>(V155-U155)*-1</f>
        <v>0</v>
      </c>
      <c r="W284" s="3">
        <f>SUM(S284:V284)</f>
        <v>0</v>
      </c>
      <c r="X284" s="3">
        <f>(X155-W155)*-1</f>
        <v>0</v>
      </c>
      <c r="Y284" s="3">
        <f>(Y155-X155)*-1</f>
        <v>0</v>
      </c>
      <c r="Z284" s="3">
        <f>(Z155-Y155)*-1</f>
        <v>0</v>
      </c>
      <c r="AA284" s="3">
        <f>(AA155-Z155)*-1</f>
        <v>0</v>
      </c>
      <c r="AB284" s="3">
        <f>SUM(X284:AA284)</f>
        <v>0</v>
      </c>
      <c r="AC284" s="3">
        <f>(AC155-AB155)*-1</f>
        <v>0</v>
      </c>
      <c r="AD284" s="3">
        <f>(AD155-AC155)*-1</f>
        <v>0</v>
      </c>
      <c r="AE284" s="3">
        <f>(AE155-AD155)*-1</f>
        <v>0</v>
      </c>
      <c r="AF284" s="3">
        <f>(AF155-AE155)*-1</f>
        <v>0</v>
      </c>
      <c r="AG284" s="3">
        <f>SUM(AC284:AF284)</f>
        <v>0</v>
      </c>
      <c r="AH284" s="3">
        <f>(AH155-AG155)*-1</f>
        <v>0</v>
      </c>
      <c r="AI284" s="3">
        <f>(AI155-AH155)*-1</f>
        <v>0</v>
      </c>
      <c r="AJ284" s="3">
        <f>(AJ155-AI155)*-1</f>
        <v>0</v>
      </c>
      <c r="AK284" s="3">
        <f>(AK155-AJ155)*-1</f>
        <v>0</v>
      </c>
      <c r="AL284" s="3">
        <f>SUM(AH284:AK284)</f>
        <v>0</v>
      </c>
      <c r="AM284" s="3">
        <f>(AM155-AL155)*-1</f>
        <v>0</v>
      </c>
      <c r="AN284" s="3">
        <f>(AN155-AM155)*-1</f>
        <v>0</v>
      </c>
      <c r="AO284" s="3">
        <f>(AO155-AN155)*-1</f>
        <v>0</v>
      </c>
      <c r="AP284" s="3">
        <f>(AP155-AO155)*-1</f>
        <v>0</v>
      </c>
      <c r="AQ284" s="3">
        <f>SUM(AM284:AP284)</f>
        <v>0</v>
      </c>
      <c r="AR284" s="3">
        <f>(AR155-AQ155)*-1</f>
        <v>0</v>
      </c>
      <c r="AS284" s="3">
        <f>(AS155-AR155)*-1</f>
        <v>0</v>
      </c>
      <c r="AT284" s="3">
        <f>(AT155-AS155)*-1</f>
        <v>0</v>
      </c>
      <c r="AU284" s="3">
        <f>(AU155-AT155)*-1</f>
        <v>0</v>
      </c>
      <c r="AV284" s="3">
        <f>SUM(AR284:AU284)</f>
        <v>0</v>
      </c>
      <c r="AW284" s="3">
        <f>(AW155-AV155)*-1</f>
        <v>0</v>
      </c>
      <c r="AX284" s="3">
        <f>(AX155-AW155)*-1</f>
        <v>0</v>
      </c>
      <c r="AY284" s="3">
        <f>(AY155-AX155)*-1</f>
        <v>0</v>
      </c>
      <c r="AZ284" s="3">
        <f>(AZ155-AY155)*-1</f>
        <v>0</v>
      </c>
      <c r="BA284" s="3">
        <f>SUM(AW284:AZ284)</f>
        <v>0</v>
      </c>
      <c r="BB284" s="3">
        <f>(BB155-BA155)*-1</f>
        <v>0</v>
      </c>
      <c r="BC284" s="3">
        <f>(BC155-BB155)*-1</f>
        <v>0</v>
      </c>
      <c r="BD284" s="3">
        <f>(BD155-BC155)*-1</f>
        <v>0</v>
      </c>
      <c r="BE284" s="3">
        <f>(BE155-BD155)*-1</f>
        <v>0</v>
      </c>
      <c r="BF284" s="3">
        <f>SUM(BB284:BE284)</f>
        <v>0</v>
      </c>
      <c r="BG284" s="3">
        <f>(BG155-BF155)*-1</f>
        <v>0</v>
      </c>
      <c r="BH284" s="3">
        <f>(BH155-BG155)*-1</f>
        <v>0</v>
      </c>
      <c r="BI284" s="3">
        <f>(BI155-BH155)*-1</f>
        <v>0</v>
      </c>
      <c r="BJ284" s="3">
        <f>(BJ155-BI155)*-1</f>
        <v>0</v>
      </c>
      <c r="BK284" s="3">
        <f>SUM(BG284:BJ284)</f>
        <v>0</v>
      </c>
      <c r="BL284" s="3">
        <f>(BL155-BK155)*-1</f>
        <v>0</v>
      </c>
      <c r="BM284" s="3">
        <f>(BM155-BL155)*-1</f>
        <v>0</v>
      </c>
      <c r="BN284" s="3">
        <f>(BN155-BM155)*-1</f>
        <v>0</v>
      </c>
      <c r="BO284" s="3">
        <f>(BO155-BN155)*-1</f>
        <v>0</v>
      </c>
      <c r="BP284" s="3">
        <f>SUM(BL284:BO284)</f>
        <v>0</v>
      </c>
      <c r="BQ284" s="3">
        <f>(BQ155-BP155)*-1</f>
        <v>0</v>
      </c>
      <c r="BR284" s="3">
        <f>(BR155-BQ155)*-1</f>
        <v>0</v>
      </c>
      <c r="BS284" s="3">
        <f>(BS155-BR155)*-1</f>
        <v>0</v>
      </c>
      <c r="BT284" s="3">
        <f>(BT155-BS155)*-1</f>
        <v>0</v>
      </c>
      <c r="BU284" s="3">
        <f>SUM(BQ284:BT284)</f>
        <v>0</v>
      </c>
      <c r="BV284" s="3">
        <f>(BV155-BU155)*-1</f>
        <v>0</v>
      </c>
      <c r="BW284" s="3">
        <f>(BW155-BV155)*-1</f>
        <v>0</v>
      </c>
      <c r="BX284" s="3">
        <f>(BX155-BW155)*-1</f>
        <v>0</v>
      </c>
      <c r="BY284" s="3">
        <f>(BY155-BX155)*-1</f>
        <v>0</v>
      </c>
      <c r="BZ284" s="3">
        <f>SUM(BV284:BY284)</f>
        <v>0</v>
      </c>
      <c r="CA284" s="3">
        <f>(CA155-BZ155)*-1</f>
        <v>0</v>
      </c>
      <c r="CB284" s="3">
        <f>(CB155-CA155)*-1</f>
        <v>0</v>
      </c>
      <c r="CC284" s="3">
        <f>(CC155-CB155)*-1</f>
        <v>0</v>
      </c>
      <c r="CD284" s="3">
        <f>(CD155-CC155)*-1</f>
        <v>0</v>
      </c>
      <c r="CE284" s="3">
        <f>SUM(CA284:CD284)</f>
        <v>0</v>
      </c>
      <c r="CF284" s="3">
        <f>(CF155-CE155)*-1</f>
        <v>0</v>
      </c>
      <c r="CG284" s="3">
        <f>(CG155-CF155)*-1</f>
        <v>0</v>
      </c>
      <c r="CH284" s="3">
        <f>(CH155-CG155)*-1</f>
        <v>0</v>
      </c>
      <c r="CI284" s="3">
        <f>(CI155-CH155)*-1</f>
        <v>0</v>
      </c>
      <c r="CJ284" s="3">
        <f>SUM(CF284:CI284)</f>
        <v>0</v>
      </c>
      <c r="CK284" s="3">
        <f>(CK155-CJ155)*-1</f>
        <v>0</v>
      </c>
      <c r="CL284" s="3">
        <f>(CL155-CK155)*-1</f>
        <v>0</v>
      </c>
      <c r="CM284" s="3">
        <f>(CM155-CL155)*-1</f>
        <v>0</v>
      </c>
      <c r="CN284" s="3">
        <f>(CN155-CM155)*-1</f>
        <v>0</v>
      </c>
      <c r="CO284" s="3">
        <f>SUM(CK284:CN284)</f>
        <v>0</v>
      </c>
      <c r="CP284" s="3">
        <f>(CP155-CO155)*-1</f>
        <v>0</v>
      </c>
      <c r="CQ284" s="3">
        <f>(CQ155-CP155)*-1</f>
        <v>0</v>
      </c>
      <c r="CR284" s="3">
        <f>(CR155-CQ155)*-1</f>
        <v>0</v>
      </c>
      <c r="CS284" s="3">
        <f>(CS155-CR155)*-1</f>
        <v>0</v>
      </c>
      <c r="CT284" s="3">
        <f>SUM(CP284:CS284)</f>
        <v>0</v>
      </c>
      <c r="CU284" s="3">
        <f>(CU155-CT155)*-1</f>
        <v>0</v>
      </c>
      <c r="CV284" s="3">
        <f>(CV155-CU155)*-1</f>
        <v>0</v>
      </c>
      <c r="CW284" s="3">
        <f>(CW155-CV155)*-1</f>
        <v>0</v>
      </c>
      <c r="CX284" s="3">
        <f>(CX155-CW155)*-1</f>
        <v>0</v>
      </c>
      <c r="CY284" s="3">
        <f>SUM(CU284:CX284)</f>
        <v>0</v>
      </c>
    </row>
    <row r="285">
      <c r="C285" s="29" t="inlineStr">
        <is>
          <t>Dividends received from affiliates</t>
        </is>
      </c>
      <c r="D285" s="3" t="n"/>
      <c r="E285" s="3">
        <f>-E158</f>
        <v>0</v>
      </c>
      <c r="F285" s="3">
        <f>-F158</f>
        <v>0</v>
      </c>
      <c r="G285" s="3">
        <f>-G158</f>
        <v>0</v>
      </c>
      <c r="H285" s="3">
        <f>SUM(D285:G285)</f>
        <v>0</v>
      </c>
      <c r="I285" s="3">
        <f>-I158</f>
        <v>0</v>
      </c>
      <c r="J285" s="3">
        <f>-J158</f>
        <v>0</v>
      </c>
      <c r="K285" s="3">
        <f>-K158</f>
        <v>0</v>
      </c>
      <c r="L285" s="3">
        <f>-L158</f>
        <v>0</v>
      </c>
      <c r="M285" s="3">
        <f>SUM(I285:L285)</f>
        <v>0</v>
      </c>
      <c r="N285" s="3">
        <f>-N158</f>
        <v>0</v>
      </c>
      <c r="O285" s="3">
        <f>-O158</f>
        <v>0</v>
      </c>
      <c r="P285" s="3">
        <f>-P158</f>
        <v>0</v>
      </c>
      <c r="Q285" s="3">
        <f>-Q158</f>
        <v>0</v>
      </c>
      <c r="R285" s="3">
        <f>SUM(N285:Q285)</f>
        <v>0</v>
      </c>
      <c r="S285" s="3">
        <f>-S158</f>
        <v>0</v>
      </c>
      <c r="T285" s="3">
        <f>-T158</f>
        <v>0</v>
      </c>
      <c r="U285" s="3">
        <f>-U158</f>
        <v>0</v>
      </c>
      <c r="V285" s="3">
        <f>-V158</f>
        <v>0</v>
      </c>
      <c r="W285" s="3">
        <f>SUM(S285:V285)</f>
        <v>0</v>
      </c>
      <c r="X285" s="3">
        <f>-X158</f>
        <v>0</v>
      </c>
      <c r="Y285" s="3">
        <f>-Y158</f>
        <v>0</v>
      </c>
      <c r="Z285" s="3">
        <f>-Z158</f>
        <v>0</v>
      </c>
      <c r="AA285" s="3">
        <f>-AA158</f>
        <v>0</v>
      </c>
      <c r="AB285" s="3">
        <f>SUM(X285:AA285)</f>
        <v>0</v>
      </c>
      <c r="AC285" s="3">
        <f>-AC158</f>
        <v>0</v>
      </c>
      <c r="AD285" s="3">
        <f>-AD158</f>
        <v>0</v>
      </c>
      <c r="AE285" s="3">
        <f>-AE158</f>
        <v>0</v>
      </c>
      <c r="AF285" s="3">
        <f>-AF158</f>
        <v>0</v>
      </c>
      <c r="AG285" s="3">
        <f>SUM(AC285:AF285)</f>
        <v>0</v>
      </c>
      <c r="AH285" s="3">
        <f>-AH158</f>
        <v>0</v>
      </c>
      <c r="AI285" s="3">
        <f>-AI158</f>
        <v>0</v>
      </c>
      <c r="AJ285" s="3">
        <f>-AJ158</f>
        <v>0</v>
      </c>
      <c r="AK285" s="3">
        <f>-AK158</f>
        <v>0</v>
      </c>
      <c r="AL285" s="3">
        <f>SUM(AH285:AK285)</f>
        <v>0</v>
      </c>
      <c r="AM285" s="3">
        <f>-AM158</f>
        <v>0</v>
      </c>
      <c r="AN285" s="3">
        <f>-AN158</f>
        <v>0</v>
      </c>
      <c r="AO285" s="3">
        <f>-AO158</f>
        <v>0</v>
      </c>
      <c r="AP285" s="3">
        <f>-AP158</f>
        <v>0</v>
      </c>
      <c r="AQ285" s="3">
        <f>SUM(AM285:AP285)</f>
        <v>0</v>
      </c>
      <c r="AR285" s="3">
        <f>-AR158</f>
        <v>0</v>
      </c>
      <c r="AS285" s="3">
        <f>-AS158</f>
        <v>0</v>
      </c>
      <c r="AT285" s="3">
        <f>-AT158</f>
        <v>0</v>
      </c>
      <c r="AU285" s="3">
        <f>-AU158</f>
        <v>0</v>
      </c>
      <c r="AV285" s="3">
        <f>SUM(AR285:AU285)</f>
        <v>0</v>
      </c>
      <c r="AW285" s="3">
        <f>-AW158</f>
        <v>0</v>
      </c>
      <c r="AX285" s="3">
        <f>-AX158</f>
        <v>0</v>
      </c>
      <c r="AY285" s="3">
        <f>-AY158</f>
        <v>0</v>
      </c>
      <c r="AZ285" s="3">
        <f>-AZ158</f>
        <v>0</v>
      </c>
      <c r="BA285" s="3">
        <f>SUM(AW285:AZ285)</f>
        <v>0</v>
      </c>
      <c r="BB285" s="3">
        <f>-BB158</f>
        <v>0</v>
      </c>
      <c r="BC285" s="3">
        <f>-BC158</f>
        <v>0</v>
      </c>
      <c r="BD285" s="3">
        <f>-BD158</f>
        <v>0</v>
      </c>
      <c r="BE285" s="3">
        <f>-BE158</f>
        <v>0</v>
      </c>
      <c r="BF285" s="3">
        <f>SUM(BB285:BE285)</f>
        <v>0</v>
      </c>
      <c r="BG285" s="3">
        <f>-BG158</f>
        <v>0</v>
      </c>
      <c r="BH285" s="3">
        <f>-BH158</f>
        <v>0</v>
      </c>
      <c r="BI285" s="3">
        <f>-BI158</f>
        <v>0</v>
      </c>
      <c r="BJ285" s="3">
        <f>-BJ158</f>
        <v>0</v>
      </c>
      <c r="BK285" s="3">
        <f>SUM(BG285:BJ285)</f>
        <v>0</v>
      </c>
      <c r="BL285" s="3">
        <f>-BL158</f>
        <v>0</v>
      </c>
      <c r="BM285" s="3">
        <f>-BM158</f>
        <v>0</v>
      </c>
      <c r="BN285" s="3">
        <f>-BN158</f>
        <v>0</v>
      </c>
      <c r="BO285" s="3">
        <f>-BO158</f>
        <v>0</v>
      </c>
      <c r="BP285" s="3">
        <f>SUM(BL285:BO285)</f>
        <v>0</v>
      </c>
      <c r="BQ285" s="3">
        <f>-BQ158</f>
        <v>0</v>
      </c>
      <c r="BR285" s="3">
        <f>-BR158</f>
        <v>0</v>
      </c>
      <c r="BS285" s="3">
        <f>-BS158</f>
        <v>0</v>
      </c>
      <c r="BT285" s="3">
        <f>-BT158</f>
        <v>0</v>
      </c>
      <c r="BU285" s="3">
        <f>SUM(BQ285:BT285)</f>
        <v>0</v>
      </c>
      <c r="BV285" s="3">
        <f>-BV158</f>
        <v>0</v>
      </c>
      <c r="BW285" s="3">
        <f>-BW158</f>
        <v>0</v>
      </c>
      <c r="BX285" s="3">
        <f>-BX158</f>
        <v>0</v>
      </c>
      <c r="BY285" s="3">
        <f>-BY158</f>
        <v>0</v>
      </c>
      <c r="BZ285" s="3">
        <f>SUM(BV285:BY285)</f>
        <v>0</v>
      </c>
      <c r="CA285" s="3">
        <f>-CA158</f>
        <v>0</v>
      </c>
      <c r="CB285" s="3">
        <f>-CB158</f>
        <v>0</v>
      </c>
      <c r="CC285" s="3">
        <f>-CC158</f>
        <v>0</v>
      </c>
      <c r="CD285" s="3">
        <f>-CD158</f>
        <v>0</v>
      </c>
      <c r="CE285" s="3">
        <f>SUM(CA285:CD285)</f>
        <v>0</v>
      </c>
      <c r="CF285" s="3">
        <f>-CF158</f>
        <v>0</v>
      </c>
      <c r="CG285" s="3">
        <f>-CG158</f>
        <v>0</v>
      </c>
      <c r="CH285" s="3">
        <f>-CH158</f>
        <v>0</v>
      </c>
      <c r="CI285" s="3">
        <f>-CI158</f>
        <v>0</v>
      </c>
      <c r="CJ285" s="3">
        <f>SUM(CF285:CI285)</f>
        <v>0</v>
      </c>
      <c r="CK285" s="3">
        <f>-CK158</f>
        <v>0</v>
      </c>
      <c r="CL285" s="3">
        <f>-CL158</f>
        <v>0</v>
      </c>
      <c r="CM285" s="3">
        <f>-CM158</f>
        <v>0</v>
      </c>
      <c r="CN285" s="3">
        <f>-CN158</f>
        <v>0</v>
      </c>
      <c r="CO285" s="3">
        <f>SUM(CK285:CN285)</f>
        <v>0</v>
      </c>
      <c r="CP285" s="3">
        <f>-CP158</f>
        <v>0</v>
      </c>
      <c r="CQ285" s="3">
        <f>-CQ158</f>
        <v>0</v>
      </c>
      <c r="CR285" s="3">
        <f>-CR158</f>
        <v>0</v>
      </c>
      <c r="CS285" s="3">
        <f>-CS158</f>
        <v>0</v>
      </c>
      <c r="CT285" s="3">
        <f>SUM(CP285:CS285)</f>
        <v>0</v>
      </c>
      <c r="CU285" s="3">
        <f>-CU158</f>
        <v>0</v>
      </c>
      <c r="CV285" s="3">
        <f>-CV158</f>
        <v>0</v>
      </c>
      <c r="CW285" s="3">
        <f>-CW158</f>
        <v>0</v>
      </c>
      <c r="CX285" s="3">
        <f>-CX158</f>
        <v>0</v>
      </c>
      <c r="CY285" s="3">
        <f>SUM(CU285:CX285)</f>
        <v>0</v>
      </c>
    </row>
    <row r="286">
      <c r="C286" s="30" t="inlineStr">
        <is>
          <t>Minority interest expense</t>
        </is>
      </c>
      <c r="D286" s="3" t="n"/>
      <c r="E286" s="3">
        <f>-E130</f>
        <v>25</v>
      </c>
      <c r="F286" s="3">
        <f>-F130</f>
        <v>38</v>
      </c>
      <c r="G286" s="3">
        <f>-G130</f>
        <v>26</v>
      </c>
      <c r="H286" s="3">
        <f>SUM(D286:G286)</f>
        <v>89</v>
      </c>
      <c r="I286" s="3">
        <f>-I130</f>
        <v>26</v>
      </c>
      <c r="J286" s="3">
        <f>-J130</f>
        <v>36</v>
      </c>
      <c r="K286" s="3">
        <f>-K130</f>
        <v>41</v>
      </c>
      <c r="L286" s="3">
        <f>-L130</f>
        <v>22</v>
      </c>
      <c r="M286" s="3">
        <f>SUM(I286:L286)</f>
        <v>125</v>
      </c>
      <c r="N286" s="3">
        <f>-N130</f>
        <v>-38</v>
      </c>
      <c r="O286" s="3">
        <f>-O130</f>
        <v>10</v>
      </c>
      <c r="P286" s="3">
        <f>-P130</f>
        <v>39</v>
      </c>
      <c r="Q286" s="3">
        <f>-Q130</f>
        <v>20</v>
      </c>
      <c r="R286" s="3">
        <f>SUM(N286:Q286)</f>
        <v>31</v>
      </c>
      <c r="S286" s="3">
        <f>-S130</f>
        <v>26</v>
      </c>
      <c r="T286" s="3">
        <f>-T130</f>
        <v>-89</v>
      </c>
      <c r="U286" s="3">
        <f>-U130</f>
        <v>25</v>
      </c>
      <c r="V286" s="3">
        <f>-V130</f>
        <v>15</v>
      </c>
      <c r="W286" s="3">
        <f>SUM(S286:V286)</f>
        <v>-23</v>
      </c>
      <c r="X286" s="3">
        <f>-X130</f>
        <v>15</v>
      </c>
      <c r="Y286" s="3">
        <f>-Y130</f>
        <v>16</v>
      </c>
      <c r="Z286" s="3">
        <f>-Z130</f>
        <v>16</v>
      </c>
      <c r="AA286" s="3">
        <f>-AA130</f>
        <v>15</v>
      </c>
      <c r="AB286" s="3">
        <f>SUM(X286:AA286)</f>
        <v>62</v>
      </c>
      <c r="AC286" s="3">
        <f>-AC130</f>
        <v>11</v>
      </c>
      <c r="AD286" s="3">
        <f>-AD130</f>
        <v>18</v>
      </c>
      <c r="AE286" s="3">
        <f>-AE130</f>
        <v>16</v>
      </c>
      <c r="AF286" s="3">
        <f>-AF130</f>
        <v>16</v>
      </c>
      <c r="AG286" s="3">
        <f>SUM(AC286:AF286)</f>
        <v>61</v>
      </c>
      <c r="AH286" s="3">
        <f>-AH130</f>
        <v>14</v>
      </c>
      <c r="AI286" s="3">
        <f>-AI130</f>
        <v>14</v>
      </c>
      <c r="AJ286" s="3">
        <f>-AJ130</f>
        <v>16</v>
      </c>
      <c r="AK286" s="3">
        <f>-AK130</f>
        <v>16</v>
      </c>
      <c r="AL286" s="3">
        <f>SUM(AH286:AK286)</f>
        <v>60</v>
      </c>
      <c r="AM286" s="3">
        <f>-AM130</f>
        <v>14</v>
      </c>
      <c r="AN286" s="3">
        <f>-AN130</f>
        <v>14</v>
      </c>
      <c r="AO286" s="3">
        <f>-AO130</f>
        <v>16</v>
      </c>
      <c r="AP286" s="3">
        <f>-AP130</f>
        <v>16</v>
      </c>
      <c r="AQ286" s="3">
        <f>SUM(AM286:AP286)</f>
        <v>60</v>
      </c>
      <c r="AR286" s="3">
        <f>-AR130</f>
        <v>14</v>
      </c>
      <c r="AS286" s="3">
        <f>-AS130</f>
        <v>14</v>
      </c>
      <c r="AT286" s="3">
        <f>-AT130</f>
        <v>16</v>
      </c>
      <c r="AU286" s="3">
        <f>-AU130</f>
        <v>16</v>
      </c>
      <c r="AV286" s="3">
        <f>SUM(AR286:AU286)</f>
        <v>60</v>
      </c>
      <c r="AW286" s="3">
        <f>-AW130</f>
        <v>14</v>
      </c>
      <c r="AX286" s="3">
        <f>-AX130</f>
        <v>14</v>
      </c>
      <c r="AY286" s="3">
        <f>-AY130</f>
        <v>16</v>
      </c>
      <c r="AZ286" s="3">
        <f>-AZ130</f>
        <v>16</v>
      </c>
      <c r="BA286" s="3">
        <f>SUM(AW286:AZ286)</f>
        <v>60</v>
      </c>
      <c r="BB286" s="3">
        <f>-BB130</f>
        <v>14</v>
      </c>
      <c r="BC286" s="3">
        <f>-BC130</f>
        <v>14</v>
      </c>
      <c r="BD286" s="3">
        <f>-BD130</f>
        <v>16</v>
      </c>
      <c r="BE286" s="3">
        <f>-BE130</f>
        <v>16</v>
      </c>
      <c r="BF286" s="3">
        <f>SUM(BB286:BE286)</f>
        <v>60</v>
      </c>
      <c r="BG286" s="3">
        <f>-BG130</f>
        <v>14</v>
      </c>
      <c r="BH286" s="3">
        <f>-BH130</f>
        <v>14</v>
      </c>
      <c r="BI286" s="3">
        <f>-BI130</f>
        <v>16</v>
      </c>
      <c r="BJ286" s="3">
        <f>-BJ130</f>
        <v>16</v>
      </c>
      <c r="BK286" s="3">
        <f>SUM(BG286:BJ286)</f>
        <v>60</v>
      </c>
      <c r="BL286" s="3">
        <f>-BL130</f>
        <v>14</v>
      </c>
      <c r="BM286" s="3">
        <f>-BM130</f>
        <v>14</v>
      </c>
      <c r="BN286" s="3">
        <f>-BN130</f>
        <v>16</v>
      </c>
      <c r="BO286" s="3">
        <f>-BO130</f>
        <v>16</v>
      </c>
      <c r="BP286" s="3">
        <f>SUM(BL286:BO286)</f>
        <v>60</v>
      </c>
      <c r="BQ286" s="3">
        <f>-BQ130</f>
        <v>14</v>
      </c>
      <c r="BR286" s="3">
        <f>-BR130</f>
        <v>14</v>
      </c>
      <c r="BS286" s="3">
        <f>-BS130</f>
        <v>16</v>
      </c>
      <c r="BT286" s="3">
        <f>-BT130</f>
        <v>16</v>
      </c>
      <c r="BU286" s="3">
        <f>SUM(BQ286:BT286)</f>
        <v>60</v>
      </c>
      <c r="BV286" s="3">
        <f>-BV130</f>
        <v>14</v>
      </c>
      <c r="BW286" s="3">
        <f>-BW130</f>
        <v>14</v>
      </c>
      <c r="BX286" s="3">
        <f>-BX130</f>
        <v>16</v>
      </c>
      <c r="BY286" s="3">
        <f>-BY130</f>
        <v>16</v>
      </c>
      <c r="BZ286" s="3">
        <f>SUM(BV286:BY286)</f>
        <v>60</v>
      </c>
      <c r="CA286" s="3">
        <f>-CA130</f>
        <v>14</v>
      </c>
      <c r="CB286" s="3">
        <f>-CB130</f>
        <v>14</v>
      </c>
      <c r="CC286" s="3">
        <f>-CC130</f>
        <v>16</v>
      </c>
      <c r="CD286" s="3">
        <f>-CD130</f>
        <v>16</v>
      </c>
      <c r="CE286" s="3">
        <f>SUM(CA286:CD286)</f>
        <v>60</v>
      </c>
      <c r="CF286" s="3">
        <f>-CF130</f>
        <v>14</v>
      </c>
      <c r="CG286" s="3">
        <f>-CG130</f>
        <v>14</v>
      </c>
      <c r="CH286" s="3">
        <f>-CH130</f>
        <v>16</v>
      </c>
      <c r="CI286" s="3">
        <f>-CI130</f>
        <v>16</v>
      </c>
      <c r="CJ286" s="3">
        <f>SUM(CF286:CI286)</f>
        <v>60</v>
      </c>
      <c r="CK286" s="3">
        <f>-CK130</f>
        <v>14</v>
      </c>
      <c r="CL286" s="3">
        <f>-CL130</f>
        <v>14</v>
      </c>
      <c r="CM286" s="3">
        <f>-CM130</f>
        <v>16</v>
      </c>
      <c r="CN286" s="3">
        <f>-CN130</f>
        <v>16</v>
      </c>
      <c r="CO286" s="3">
        <f>SUM(CK286:CN286)</f>
        <v>60</v>
      </c>
      <c r="CP286" s="3">
        <f>-CP130</f>
        <v>14</v>
      </c>
      <c r="CQ286" s="3">
        <f>-CQ130</f>
        <v>14</v>
      </c>
      <c r="CR286" s="3">
        <f>-CR130</f>
        <v>16</v>
      </c>
      <c r="CS286" s="3">
        <f>-CS130</f>
        <v>16</v>
      </c>
      <c r="CT286" s="3">
        <f>SUM(CP286:CS286)</f>
        <v>60</v>
      </c>
      <c r="CU286" s="3">
        <f>-CU130</f>
        <v>14</v>
      </c>
      <c r="CV286" s="3">
        <f>-CV130</f>
        <v>14</v>
      </c>
      <c r="CW286" s="3">
        <f>-CW130</f>
        <v>16</v>
      </c>
      <c r="CX286" s="3">
        <f>-CX130</f>
        <v>16</v>
      </c>
      <c r="CY286" s="3">
        <f>SUM(CU286:CX286)</f>
        <v>60</v>
      </c>
    </row>
    <row r="287">
      <c r="C287" s="26" t="inlineStr">
        <is>
          <t>Cash from operations</t>
        </is>
      </c>
      <c r="D287" s="3" t="n"/>
      <c r="E287" s="3">
        <f>SUM(E271,E272,E273,E284,E285,E286)</f>
        <v>1072</v>
      </c>
      <c r="F287" s="3">
        <f>SUM(F271,F272,F273,F284,F285,F286)</f>
        <v>1493</v>
      </c>
      <c r="G287" s="3">
        <f>SUM(G271,G272,G273,G284,G285,G286)</f>
        <v>1740</v>
      </c>
      <c r="H287" s="3">
        <f>SUM(H271,H272,H273,H284,H285,H286)</f>
        <v>4305</v>
      </c>
      <c r="I287" s="3">
        <f>SUM(I271,I272,I273,I284,I285,I286)</f>
        <v>1483</v>
      </c>
      <c r="J287" s="3">
        <f>SUM(J271,J272,J273,J284,J285,J286)</f>
        <v>2453</v>
      </c>
      <c r="K287" s="3">
        <f>SUM(K271,K272,K273,K284,K285,K286)</f>
        <v>3657</v>
      </c>
      <c r="L287" s="3">
        <f>SUM(L271,L272,L273,L284,L285,L286)</f>
        <v>4359</v>
      </c>
      <c r="M287" s="3">
        <f>SUM(M271,M272,M273,M284,M285,M286)</f>
        <v>11952</v>
      </c>
      <c r="N287" s="3">
        <f>SUM(N271,N272,N273,N284,N285,N286)</f>
        <v>4266</v>
      </c>
      <c r="O287" s="3">
        <f>SUM(O271,O272,O273,O284,O285,O286)</f>
        <v>2287</v>
      </c>
      <c r="P287" s="3">
        <f>SUM(P271,P272,P273,P284,P285,P286)</f>
        <v>4501</v>
      </c>
      <c r="Q287" s="3">
        <f>SUM(Q271,Q272,Q273,Q284,Q285,Q286)</f>
        <v>2945</v>
      </c>
      <c r="R287" s="3">
        <f>SUM(R271,R272,R273,R284,R285,R286)</f>
        <v>13999</v>
      </c>
      <c r="S287" s="3">
        <f>SUM(S271,S272,S273,S284,S285,S286)</f>
        <v>2449</v>
      </c>
      <c r="T287" s="3">
        <f>SUM(T271,T272,T273,T284,T285,T286)</f>
        <v>3719</v>
      </c>
      <c r="U287" s="3">
        <f>SUM(U271,U272,U273,U284,U285,U286)</f>
        <v>4012</v>
      </c>
      <c r="V287" s="3">
        <f>SUM(V271,V272,V273,V284,V285,V286)</f>
        <v>2977</v>
      </c>
      <c r="W287" s="3">
        <f>SUM(W271,W272,W273,W284,W285,W286)</f>
        <v>13157</v>
      </c>
      <c r="X287" s="3">
        <f>SUM(X271,X272,X273,X284,X285,X286)</f>
        <v>170</v>
      </c>
      <c r="Y287" s="3">
        <f>SUM(Y271,Y272,Y273,Y284,Y285,Y286)</f>
        <v>2462</v>
      </c>
      <c r="Z287" s="3">
        <f>SUM(Z271,Z272,Z273,Z284,Z285,Z286)</f>
        <v>6117</v>
      </c>
      <c r="AA287" s="3">
        <f>SUM(AA271,AA272,AA273,AA284,AA285,AA286)</f>
        <v>2779</v>
      </c>
      <c r="AB287" s="3">
        <f>SUM(AB271,AB272,AB273,AB284,AB285,AB286)</f>
        <v>11528</v>
      </c>
      <c r="AC287" s="3">
        <f>SUM(AC271,AC272,AC273,AC284,AC285,AC286)</f>
        <v>2040</v>
      </c>
      <c r="AD287" s="3">
        <f>SUM(AD271,AD272,AD273,AD284,AD285,AD286)</f>
        <v>886</v>
      </c>
      <c r="AE287" s="3">
        <f>SUM(AE271,AE272,AE273,AE284,AE285,AE286)</f>
        <v>5725</v>
      </c>
      <c r="AF287" s="3">
        <f>SUM(AF271,AF272,AF273,AF284,AF285,AF286)</f>
        <v>1058</v>
      </c>
      <c r="AG287" s="3">
        <f>SUM(AG271,AG272,AG273,AG284,AG285,AG286)</f>
        <v>9709</v>
      </c>
      <c r="AH287" s="3">
        <f>SUM(AH271,AH272,AH273,AH284,AH285,AH286)</f>
        <v>3948</v>
      </c>
      <c r="AI287" s="3">
        <f>SUM(AI271,AI272,AI273,AI284,AI285,AI286)</f>
        <v>3630</v>
      </c>
      <c r="AJ287" s="3">
        <f>SUM(AJ271,AJ272,AJ273,AJ284,AJ285,AJ286)</f>
        <v>2414</v>
      </c>
      <c r="AK287" s="3">
        <f>SUM(AK271,AK272,AK273,AK284,AK285,AK286)</f>
        <v>1012</v>
      </c>
      <c r="AL287" s="3">
        <f>SUM(AL271,AL272,AL273,AL284,AL285,AL286)</f>
        <v>11004</v>
      </c>
      <c r="AM287" s="3" t="e">
        <f>SUM(AM271,AM272,AM273,AM284,AM285,AM286)</f>
        <v>#DIV/0!</v>
      </c>
      <c r="AN287" s="3" t="e">
        <f>SUM(AN271,AN272,AN273,AN284,AN285,AN286)</f>
        <v>#DIV/0!</v>
      </c>
      <c r="AO287" s="3" t="e">
        <f>SUM(AO271,AO272,AO273,AO284,AO285,AO286)</f>
        <v>#DIV/0!</v>
      </c>
      <c r="AP287" s="3" t="e">
        <f>SUM(AP271,AP272,AP273,AP284,AP285,AP286)</f>
        <v>#DIV/0!</v>
      </c>
      <c r="AQ287" s="3" t="e">
        <f>SUM(AQ271,AQ272,AQ273,AQ284,AQ285,AQ286)</f>
        <v>#DIV/0!</v>
      </c>
      <c r="AR287" s="3" t="e">
        <f>SUM(AR271,AR272,AR273,AR284,AR285,AR286)</f>
        <v>#DIV/0!</v>
      </c>
      <c r="AS287" s="3" t="e">
        <f>SUM(AS271,AS272,AS273,AS284,AS285,AS286)</f>
        <v>#DIV/0!</v>
      </c>
      <c r="AT287" s="3" t="e">
        <f>SUM(AT271,AT272,AT273,AT284,AT285,AT286)</f>
        <v>#DIV/0!</v>
      </c>
      <c r="AU287" s="3" t="e">
        <f>SUM(AU271,AU272,AU273,AU284,AU285,AU286)</f>
        <v>#DIV/0!</v>
      </c>
      <c r="AV287" s="3" t="e">
        <f>SUM(AV271,AV272,AV273,AV284,AV285,AV286)</f>
        <v>#DIV/0!</v>
      </c>
      <c r="AW287" s="3" t="e">
        <f>SUM(AW271,AW272,AW273,AW284,AW285,AW286)</f>
        <v>#DIV/0!</v>
      </c>
      <c r="AX287" s="3" t="e">
        <f>SUM(AX271,AX272,AX273,AX284,AX285,AX286)</f>
        <v>#DIV/0!</v>
      </c>
      <c r="AY287" s="3" t="e">
        <f>SUM(AY271,AY272,AY273,AY284,AY285,AY286)</f>
        <v>#DIV/0!</v>
      </c>
      <c r="AZ287" s="3" t="e">
        <f>SUM(AZ271,AZ272,AZ273,AZ284,AZ285,AZ286)</f>
        <v>#DIV/0!</v>
      </c>
      <c r="BA287" s="3" t="e">
        <f>SUM(BA271,BA272,BA273,BA284,BA285,BA286)</f>
        <v>#DIV/0!</v>
      </c>
      <c r="BB287" s="3" t="e">
        <f>SUM(BB271,BB272,BB273,BB284,BB285,BB286)</f>
        <v>#DIV/0!</v>
      </c>
      <c r="BC287" s="3" t="e">
        <f>SUM(BC271,BC272,BC273,BC284,BC285,BC286)</f>
        <v>#DIV/0!</v>
      </c>
      <c r="BD287" s="3" t="e">
        <f>SUM(BD271,BD272,BD273,BD284,BD285,BD286)</f>
        <v>#DIV/0!</v>
      </c>
      <c r="BE287" s="3" t="e">
        <f>SUM(BE271,BE272,BE273,BE284,BE285,BE286)</f>
        <v>#DIV/0!</v>
      </c>
      <c r="BF287" s="3" t="e">
        <f>SUM(BF271,BF272,BF273,BF284,BF285,BF286)</f>
        <v>#DIV/0!</v>
      </c>
      <c r="BG287" s="3" t="e">
        <f>SUM(BG271,BG272,BG273,BG284,BG285,BG286)</f>
        <v>#DIV/0!</v>
      </c>
      <c r="BH287" s="3" t="e">
        <f>SUM(BH271,BH272,BH273,BH284,BH285,BH286)</f>
        <v>#DIV/0!</v>
      </c>
      <c r="BI287" s="3" t="e">
        <f>SUM(BI271,BI272,BI273,BI284,BI285,BI286)</f>
        <v>#DIV/0!</v>
      </c>
      <c r="BJ287" s="3" t="e">
        <f>SUM(BJ271,BJ272,BJ273,BJ284,BJ285,BJ286)</f>
        <v>#DIV/0!</v>
      </c>
      <c r="BK287" s="3" t="e">
        <f>SUM(BK271,BK272,BK273,BK284,BK285,BK286)</f>
        <v>#DIV/0!</v>
      </c>
      <c r="BL287" s="3" t="e">
        <f>SUM(BL271,BL272,BL273,BL284,BL285,BL286)</f>
        <v>#DIV/0!</v>
      </c>
      <c r="BM287" s="3" t="e">
        <f>SUM(BM271,BM272,BM273,BM284,BM285,BM286)</f>
        <v>#DIV/0!</v>
      </c>
      <c r="BN287" s="3" t="e">
        <f>SUM(BN271,BN272,BN273,BN284,BN285,BN286)</f>
        <v>#DIV/0!</v>
      </c>
      <c r="BO287" s="3" t="e">
        <f>SUM(BO271,BO272,BO273,BO284,BO285,BO286)</f>
        <v>#DIV/0!</v>
      </c>
      <c r="BP287" s="3" t="e">
        <f>SUM(BP271,BP272,BP273,BP284,BP285,BP286)</f>
        <v>#DIV/0!</v>
      </c>
      <c r="BQ287" s="3" t="e">
        <f>SUM(BQ271,BQ272,BQ273,BQ284,BQ285,BQ286)</f>
        <v>#DIV/0!</v>
      </c>
      <c r="BR287" s="3" t="e">
        <f>SUM(BR271,BR272,BR273,BR284,BR285,BR286)</f>
        <v>#DIV/0!</v>
      </c>
      <c r="BS287" s="3" t="e">
        <f>SUM(BS271,BS272,BS273,BS284,BS285,BS286)</f>
        <v>#DIV/0!</v>
      </c>
      <c r="BT287" s="3" t="e">
        <f>SUM(BT271,BT272,BT273,BT284,BT285,BT286)</f>
        <v>#DIV/0!</v>
      </c>
      <c r="BU287" s="3" t="e">
        <f>SUM(BU271,BU272,BU273,BU284,BU285,BU286)</f>
        <v>#DIV/0!</v>
      </c>
      <c r="BV287" s="3" t="e">
        <f>SUM(BV271,BV272,BV273,BV284,BV285,BV286)</f>
        <v>#DIV/0!</v>
      </c>
      <c r="BW287" s="3" t="e">
        <f>SUM(BW271,BW272,BW273,BW284,BW285,BW286)</f>
        <v>#DIV/0!</v>
      </c>
      <c r="BX287" s="3" t="e">
        <f>SUM(BX271,BX272,BX273,BX284,BX285,BX286)</f>
        <v>#DIV/0!</v>
      </c>
      <c r="BY287" s="3" t="e">
        <f>SUM(BY271,BY272,BY273,BY284,BY285,BY286)</f>
        <v>#DIV/0!</v>
      </c>
      <c r="BZ287" s="3" t="e">
        <f>SUM(BZ271,BZ272,BZ273,BZ284,BZ285,BZ286)</f>
        <v>#DIV/0!</v>
      </c>
      <c r="CA287" s="3" t="e">
        <f>SUM(CA271,CA272,CA273,CA284,CA285,CA286)</f>
        <v>#DIV/0!</v>
      </c>
      <c r="CB287" s="3" t="e">
        <f>SUM(CB271,CB272,CB273,CB284,CB285,CB286)</f>
        <v>#DIV/0!</v>
      </c>
      <c r="CC287" s="3" t="e">
        <f>SUM(CC271,CC272,CC273,CC284,CC285,CC286)</f>
        <v>#DIV/0!</v>
      </c>
      <c r="CD287" s="3" t="e">
        <f>SUM(CD271,CD272,CD273,CD284,CD285,CD286)</f>
        <v>#DIV/0!</v>
      </c>
      <c r="CE287" s="3" t="e">
        <f>SUM(CE271,CE272,CE273,CE284,CE285,CE286)</f>
        <v>#DIV/0!</v>
      </c>
      <c r="CF287" s="3" t="e">
        <f>SUM(CF271,CF272,CF273,CF284,CF285,CF286)</f>
        <v>#DIV/0!</v>
      </c>
      <c r="CG287" s="3" t="e">
        <f>SUM(CG271,CG272,CG273,CG284,CG285,CG286)</f>
        <v>#DIV/0!</v>
      </c>
      <c r="CH287" s="3" t="e">
        <f>SUM(CH271,CH272,CH273,CH284,CH285,CH286)</f>
        <v>#DIV/0!</v>
      </c>
      <c r="CI287" s="3" t="e">
        <f>SUM(CI271,CI272,CI273,CI284,CI285,CI286)</f>
        <v>#DIV/0!</v>
      </c>
      <c r="CJ287" s="3" t="e">
        <f>SUM(CJ271,CJ272,CJ273,CJ284,CJ285,CJ286)</f>
        <v>#DIV/0!</v>
      </c>
      <c r="CK287" s="3" t="e">
        <f>SUM(CK271,CK272,CK273,CK284,CK285,CK286)</f>
        <v>#DIV/0!</v>
      </c>
      <c r="CL287" s="3" t="e">
        <f>SUM(CL271,CL272,CL273,CL284,CL285,CL286)</f>
        <v>#DIV/0!</v>
      </c>
      <c r="CM287" s="3" t="e">
        <f>SUM(CM271,CM272,CM273,CM284,CM285,CM286)</f>
        <v>#DIV/0!</v>
      </c>
      <c r="CN287" s="3" t="e">
        <f>SUM(CN271,CN272,CN273,CN284,CN285,CN286)</f>
        <v>#DIV/0!</v>
      </c>
      <c r="CO287" s="3" t="e">
        <f>SUM(CO271,CO272,CO273,CO284,CO285,CO286)</f>
        <v>#DIV/0!</v>
      </c>
      <c r="CP287" s="3" t="e">
        <f>SUM(CP271,CP272,CP273,CP284,CP285,CP286)</f>
        <v>#DIV/0!</v>
      </c>
      <c r="CQ287" s="3" t="e">
        <f>SUM(CQ271,CQ272,CQ273,CQ284,CQ285,CQ286)</f>
        <v>#DIV/0!</v>
      </c>
      <c r="CR287" s="3" t="e">
        <f>SUM(CR271,CR272,CR273,CR284,CR285,CR286)</f>
        <v>#DIV/0!</v>
      </c>
      <c r="CS287" s="3" t="e">
        <f>SUM(CS271,CS272,CS273,CS284,CS285,CS286)</f>
        <v>#DIV/0!</v>
      </c>
      <c r="CT287" s="3" t="e">
        <f>SUM(CT271,CT272,CT273,CT284,CT285,CT286)</f>
        <v>#DIV/0!</v>
      </c>
      <c r="CU287" s="3" t="e">
        <f>SUM(CU271,CU272,CU273,CU284,CU285,CU286)</f>
        <v>#DIV/0!</v>
      </c>
      <c r="CV287" s="3" t="e">
        <f>SUM(CV271,CV272,CV273,CV284,CV285,CV286)</f>
        <v>#DIV/0!</v>
      </c>
      <c r="CW287" s="3" t="e">
        <f>SUM(CW271,CW272,CW273,CW284,CW285,CW286)</f>
        <v>#DIV/0!</v>
      </c>
      <c r="CX287" s="3" t="e">
        <f>SUM(CX271,CX272,CX273,CX284,CX285,CX286)</f>
        <v>#DIV/0!</v>
      </c>
      <c r="CY287" s="3" t="e">
        <f>SUM(CY271,CY272,CY273,CY284,CY285,CY286)</f>
        <v>#DIV/0!</v>
      </c>
    </row>
    <row r="288">
      <c r="C288" s="26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  <c r="AB288" s="3" t="n"/>
      <c r="AC288" s="3" t="n"/>
      <c r="AD288" s="3" t="n"/>
      <c r="AE288" s="3" t="n"/>
      <c r="AF288" s="3" t="n"/>
      <c r="AG288" s="3" t="n"/>
      <c r="AH288" s="3" t="n"/>
      <c r="AI288" s="3" t="n"/>
      <c r="AJ288" s="3" t="n"/>
      <c r="AK288" s="3" t="n"/>
      <c r="AL288" s="3" t="n"/>
      <c r="AM288" s="3" t="n"/>
      <c r="AN288" s="3" t="n"/>
      <c r="AO288" s="3" t="n"/>
      <c r="AP288" s="3" t="n"/>
      <c r="AQ288" s="3" t="n"/>
      <c r="AR288" s="3" t="n"/>
      <c r="AS288" s="3" t="n"/>
      <c r="AT288" s="3" t="n"/>
      <c r="AU288" s="3" t="n"/>
      <c r="AV288" s="3" t="n"/>
      <c r="AW288" s="3" t="n"/>
      <c r="AX288" s="3" t="n"/>
      <c r="AY288" s="3" t="n"/>
      <c r="AZ288" s="3" t="n"/>
      <c r="BA288" s="3" t="n"/>
      <c r="BB288" s="3" t="n"/>
      <c r="BC288" s="3" t="n"/>
      <c r="BD288" s="3" t="n"/>
      <c r="BE288" s="3" t="n"/>
      <c r="BF288" s="3" t="n"/>
      <c r="BG288" s="3" t="n"/>
      <c r="BH288" s="3" t="n"/>
      <c r="BI288" s="3" t="n"/>
      <c r="BJ288" s="3" t="n"/>
      <c r="BK288" s="3" t="n"/>
      <c r="BL288" s="3" t="n"/>
      <c r="BM288" s="3" t="n"/>
      <c r="BN288" s="3" t="n"/>
      <c r="BO288" s="3" t="n"/>
      <c r="BP288" s="3" t="n"/>
      <c r="BQ288" s="3" t="n"/>
      <c r="BR288" s="3" t="n"/>
      <c r="BS288" s="3" t="n"/>
      <c r="BT288" s="3" t="n"/>
      <c r="BU288" s="3" t="n"/>
      <c r="BV288" s="3" t="n"/>
      <c r="BW288" s="3" t="n"/>
      <c r="BX288" s="3" t="n"/>
      <c r="BY288" s="3" t="n"/>
      <c r="BZ288" s="3" t="n"/>
      <c r="CA288" s="3" t="n"/>
      <c r="CB288" s="3" t="n"/>
      <c r="CC288" s="3" t="n"/>
      <c r="CD288" s="3" t="n"/>
      <c r="CE288" s="3" t="n"/>
      <c r="CF288" s="3" t="n"/>
      <c r="CG288" s="3" t="n"/>
      <c r="CH288" s="3" t="n"/>
      <c r="CI288" s="3" t="n"/>
      <c r="CJ288" s="3" t="n"/>
      <c r="CK288" s="3" t="n"/>
      <c r="CL288" s="3" t="n"/>
      <c r="CM288" s="3" t="n"/>
      <c r="CN288" s="3" t="n"/>
      <c r="CO288" s="3" t="n"/>
      <c r="CP288" s="3" t="n"/>
      <c r="CQ288" s="3" t="n"/>
      <c r="CR288" s="3" t="n"/>
      <c r="CS288" s="3" t="n"/>
      <c r="CT288" s="3" t="n"/>
      <c r="CU288" s="3" t="n"/>
      <c r="CV288" s="3" t="n"/>
      <c r="CW288" s="3" t="n"/>
      <c r="CX288" s="3" t="n"/>
      <c r="CY288" s="3" t="n"/>
    </row>
    <row r="289">
      <c r="C289" s="29" t="inlineStr">
        <is>
          <t>Purchase of fixed assets (capital expenditures)</t>
        </is>
      </c>
      <c r="D289" s="3" t="n"/>
      <c r="E289" s="3">
        <f>-E162</f>
        <v>-938</v>
      </c>
      <c r="F289" s="3">
        <f>-F162</f>
        <v>-1423</v>
      </c>
      <c r="G289" s="3">
        <f>-G162</f>
        <v>-1517</v>
      </c>
      <c r="H289" s="3">
        <f>SUM(D289:G289)</f>
        <v>-3878</v>
      </c>
      <c r="I289" s="3">
        <f>-I162</f>
        <v>-1742</v>
      </c>
      <c r="J289" s="3">
        <f>-J162</f>
        <v>-2478</v>
      </c>
      <c r="K289" s="3">
        <f>-K162</f>
        <v>-2394</v>
      </c>
      <c r="L289" s="3">
        <f>-L162</f>
        <v>-2434</v>
      </c>
      <c r="M289" s="3">
        <f>SUM(I289:L289)</f>
        <v>-9048</v>
      </c>
      <c r="N289" s="3">
        <f>-N162</f>
        <v>-2023</v>
      </c>
      <c r="O289" s="3">
        <f>-O162</f>
        <v>-1988</v>
      </c>
      <c r="P289" s="3">
        <f>-P162</f>
        <v>-1789</v>
      </c>
      <c r="Q289" s="3">
        <f>-Q162</f>
        <v>-2611</v>
      </c>
      <c r="R289" s="3">
        <f>SUM(N289:Q289)</f>
        <v>-8411</v>
      </c>
      <c r="S289" s="3">
        <f>-S162</f>
        <v>-2467</v>
      </c>
      <c r="T289" s="3">
        <f>-T162</f>
        <v>-2574</v>
      </c>
      <c r="U289" s="3">
        <f>-U162</f>
        <v>-2590</v>
      </c>
      <c r="V289" s="3">
        <f>-V162</f>
        <v>-3213</v>
      </c>
      <c r="W289" s="3">
        <f>SUM(S289:V289)</f>
        <v>-10844</v>
      </c>
      <c r="X289" s="3">
        <f>-X162</f>
        <v>-2957</v>
      </c>
      <c r="Y289" s="3">
        <f>-Y162</f>
        <v>-2744</v>
      </c>
      <c r="Z289" s="3">
        <f>-Z162</f>
        <v>-4562</v>
      </c>
      <c r="AA289" s="3">
        <f>-AA162</f>
        <v>-1216</v>
      </c>
      <c r="AB289" s="3">
        <f>SUM(X289:AA289)</f>
        <v>-11479</v>
      </c>
      <c r="AC289" s="3">
        <f>-AC162</f>
        <v>-2699</v>
      </c>
      <c r="AD289" s="3">
        <f>-AD162</f>
        <v>-2919</v>
      </c>
      <c r="AE289" s="3">
        <f>-AE162</f>
        <v>-2458</v>
      </c>
      <c r="AF289" s="3">
        <f>-AF162</f>
        <v>-2879</v>
      </c>
      <c r="AG289" s="3">
        <f>SUM(AC289:AF289)</f>
        <v>-10955</v>
      </c>
      <c r="AH289" s="3">
        <f>-AH162</f>
        <v>-4160</v>
      </c>
      <c r="AI289" s="3">
        <f>-AI162</f>
        <v>-5661</v>
      </c>
      <c r="AJ289" s="3">
        <f>-AJ162</f>
        <v>0</v>
      </c>
      <c r="AK289" s="3">
        <f>-AK162</f>
        <v>0</v>
      </c>
      <c r="AL289" s="3">
        <f>SUM(AH289:AK289)</f>
        <v>-9821</v>
      </c>
      <c r="AM289" s="3">
        <f>-AM162</f>
        <v>0</v>
      </c>
      <c r="AN289" s="3">
        <f>-AN162</f>
        <v>0</v>
      </c>
      <c r="AO289" s="3">
        <f>-AO162</f>
        <v>0</v>
      </c>
      <c r="AP289" s="3">
        <f>-AP162</f>
        <v>0</v>
      </c>
      <c r="AQ289" s="3">
        <f>SUM(AM289:AP289)</f>
        <v>0</v>
      </c>
      <c r="AR289" s="3">
        <f>-AR162</f>
        <v>0</v>
      </c>
      <c r="AS289" s="3">
        <f>-AS162</f>
        <v>0</v>
      </c>
      <c r="AT289" s="3">
        <f>-AT162</f>
        <v>0</v>
      </c>
      <c r="AU289" s="3">
        <f>-AU162</f>
        <v>0</v>
      </c>
      <c r="AV289" s="3">
        <f>SUM(AR289:AU289)</f>
        <v>0</v>
      </c>
      <c r="AW289" s="3">
        <f>-AW162</f>
        <v>0</v>
      </c>
      <c r="AX289" s="3">
        <f>-AX162</f>
        <v>0</v>
      </c>
      <c r="AY289" s="3">
        <f>-AY162</f>
        <v>0</v>
      </c>
      <c r="AZ289" s="3">
        <f>-AZ162</f>
        <v>0</v>
      </c>
      <c r="BA289" s="3">
        <f>SUM(AW289:AZ289)</f>
        <v>0</v>
      </c>
      <c r="BB289" s="3">
        <f>-BB162</f>
        <v>0</v>
      </c>
      <c r="BC289" s="3">
        <f>-BC162</f>
        <v>0</v>
      </c>
      <c r="BD289" s="3">
        <f>-BD162</f>
        <v>0</v>
      </c>
      <c r="BE289" s="3">
        <f>-BE162</f>
        <v>0</v>
      </c>
      <c r="BF289" s="3">
        <f>SUM(BB289:BE289)</f>
        <v>0</v>
      </c>
      <c r="BG289" s="3">
        <f>-BG162</f>
        <v>0</v>
      </c>
      <c r="BH289" s="3">
        <f>-BH162</f>
        <v>0</v>
      </c>
      <c r="BI289" s="3">
        <f>-BI162</f>
        <v>0</v>
      </c>
      <c r="BJ289" s="3">
        <f>-BJ162</f>
        <v>0</v>
      </c>
      <c r="BK289" s="3">
        <f>SUM(BG289:BJ289)</f>
        <v>0</v>
      </c>
      <c r="BL289" s="3">
        <f>-BL162</f>
        <v>0</v>
      </c>
      <c r="BM289" s="3">
        <f>-BM162</f>
        <v>0</v>
      </c>
      <c r="BN289" s="3">
        <f>-BN162</f>
        <v>0</v>
      </c>
      <c r="BO289" s="3">
        <f>-BO162</f>
        <v>0</v>
      </c>
      <c r="BP289" s="3">
        <f>SUM(BL289:BO289)</f>
        <v>0</v>
      </c>
      <c r="BQ289" s="3">
        <f>-BQ162</f>
        <v>0</v>
      </c>
      <c r="BR289" s="3">
        <f>-BR162</f>
        <v>0</v>
      </c>
      <c r="BS289" s="3">
        <f>-BS162</f>
        <v>0</v>
      </c>
      <c r="BT289" s="3">
        <f>-BT162</f>
        <v>0</v>
      </c>
      <c r="BU289" s="3">
        <f>SUM(BQ289:BT289)</f>
        <v>0</v>
      </c>
      <c r="BV289" s="3">
        <f>-BV162</f>
        <v>0</v>
      </c>
      <c r="BW289" s="3">
        <f>-BW162</f>
        <v>0</v>
      </c>
      <c r="BX289" s="3">
        <f>-BX162</f>
        <v>0</v>
      </c>
      <c r="BY289" s="3">
        <f>-BY162</f>
        <v>0</v>
      </c>
      <c r="BZ289" s="3">
        <f>SUM(BV289:BY289)</f>
        <v>0</v>
      </c>
      <c r="CA289" s="3">
        <f>-CA162</f>
        <v>0</v>
      </c>
      <c r="CB289" s="3">
        <f>-CB162</f>
        <v>0</v>
      </c>
      <c r="CC289" s="3">
        <f>-CC162</f>
        <v>0</v>
      </c>
      <c r="CD289" s="3">
        <f>-CD162</f>
        <v>0</v>
      </c>
      <c r="CE289" s="3">
        <f>SUM(CA289:CD289)</f>
        <v>0</v>
      </c>
      <c r="CF289" s="3">
        <f>-CF162</f>
        <v>0</v>
      </c>
      <c r="CG289" s="3">
        <f>-CG162</f>
        <v>0</v>
      </c>
      <c r="CH289" s="3">
        <f>-CH162</f>
        <v>0</v>
      </c>
      <c r="CI289" s="3">
        <f>-CI162</f>
        <v>0</v>
      </c>
      <c r="CJ289" s="3">
        <f>SUM(CF289:CI289)</f>
        <v>0</v>
      </c>
      <c r="CK289" s="3">
        <f>-CK162</f>
        <v>0</v>
      </c>
      <c r="CL289" s="3">
        <f>-CL162</f>
        <v>0</v>
      </c>
      <c r="CM289" s="3">
        <f>-CM162</f>
        <v>0</v>
      </c>
      <c r="CN289" s="3">
        <f>-CN162</f>
        <v>0</v>
      </c>
      <c r="CO289" s="3">
        <f>SUM(CK289:CN289)</f>
        <v>0</v>
      </c>
      <c r="CP289" s="3">
        <f>-CP162</f>
        <v>0</v>
      </c>
      <c r="CQ289" s="3">
        <f>-CQ162</f>
        <v>0</v>
      </c>
      <c r="CR289" s="3">
        <f>-CR162</f>
        <v>0</v>
      </c>
      <c r="CS289" s="3">
        <f>-CS162</f>
        <v>0</v>
      </c>
      <c r="CT289" s="3">
        <f>SUM(CP289:CS289)</f>
        <v>0</v>
      </c>
      <c r="CU289" s="3">
        <f>-CU162</f>
        <v>0</v>
      </c>
      <c r="CV289" s="3">
        <f>-CV162</f>
        <v>0</v>
      </c>
      <c r="CW289" s="3">
        <f>-CW162</f>
        <v>0</v>
      </c>
      <c r="CX289" s="3">
        <f>-CX162</f>
        <v>0</v>
      </c>
      <c r="CY289" s="3">
        <f>SUM(CU289:CX289)</f>
        <v>0</v>
      </c>
    </row>
    <row r="290">
      <c r="C290" s="29" t="inlineStr">
        <is>
          <t>Proceeds from sale of fixed assets</t>
        </is>
      </c>
      <c r="D290" s="3" t="n"/>
      <c r="E290" s="3">
        <f>-E163</f>
        <v>0</v>
      </c>
      <c r="F290" s="3">
        <f>-F163</f>
        <v>0</v>
      </c>
      <c r="G290" s="3">
        <f>-G163</f>
        <v>0</v>
      </c>
      <c r="H290" s="3">
        <f>SUM(D290:G290)</f>
        <v>0</v>
      </c>
      <c r="I290" s="3">
        <f>-I163</f>
        <v>0</v>
      </c>
      <c r="J290" s="3">
        <f>-J163</f>
        <v>0</v>
      </c>
      <c r="K290" s="3">
        <f>-K163</f>
        <v>0</v>
      </c>
      <c r="L290" s="3">
        <f>-L163</f>
        <v>0</v>
      </c>
      <c r="M290" s="3">
        <f>SUM(I290:L290)</f>
        <v>0</v>
      </c>
      <c r="N290" s="3">
        <f>-N163</f>
        <v>0</v>
      </c>
      <c r="O290" s="3">
        <f>-O163</f>
        <v>0</v>
      </c>
      <c r="P290" s="3">
        <f>-P163</f>
        <v>0</v>
      </c>
      <c r="Q290" s="3">
        <f>-Q163</f>
        <v>0</v>
      </c>
      <c r="R290" s="3">
        <f>SUM(N290:Q290)</f>
        <v>0</v>
      </c>
      <c r="S290" s="3">
        <f>-S163</f>
        <v>0</v>
      </c>
      <c r="T290" s="3">
        <f>-T163</f>
        <v>0</v>
      </c>
      <c r="U290" s="3">
        <f>-U163</f>
        <v>0</v>
      </c>
      <c r="V290" s="3">
        <f>-V163</f>
        <v>0</v>
      </c>
      <c r="W290" s="3">
        <f>SUM(S290:V290)</f>
        <v>0</v>
      </c>
      <c r="X290" s="3">
        <f>-X163</f>
        <v>0</v>
      </c>
      <c r="Y290" s="3">
        <f>-Y163</f>
        <v>0</v>
      </c>
      <c r="Z290" s="3">
        <f>-Z163</f>
        <v>0</v>
      </c>
      <c r="AA290" s="3">
        <f>-AA163</f>
        <v>0</v>
      </c>
      <c r="AB290" s="3">
        <f>SUM(X290:AA290)</f>
        <v>0</v>
      </c>
      <c r="AC290" s="3">
        <f>-AC163</f>
        <v>0</v>
      </c>
      <c r="AD290" s="3">
        <f>-AD163</f>
        <v>0</v>
      </c>
      <c r="AE290" s="3">
        <f>-AE163</f>
        <v>0</v>
      </c>
      <c r="AF290" s="3">
        <f>-AF163</f>
        <v>0</v>
      </c>
      <c r="AG290" s="3">
        <f>SUM(AC290:AF290)</f>
        <v>0</v>
      </c>
      <c r="AH290" s="3">
        <f>-AH163</f>
        <v>0</v>
      </c>
      <c r="AI290" s="3">
        <f>-AI163</f>
        <v>0</v>
      </c>
      <c r="AJ290" s="3">
        <f>-AJ163</f>
        <v>0</v>
      </c>
      <c r="AK290" s="3">
        <f>-AK163</f>
        <v>0</v>
      </c>
      <c r="AL290" s="3">
        <f>SUM(AH290:AK290)</f>
        <v>0</v>
      </c>
      <c r="AM290" s="3">
        <f>-AM163</f>
        <v>0</v>
      </c>
      <c r="AN290" s="3">
        <f>-AN163</f>
        <v>0</v>
      </c>
      <c r="AO290" s="3">
        <f>-AO163</f>
        <v>0</v>
      </c>
      <c r="AP290" s="3">
        <f>-AP163</f>
        <v>0</v>
      </c>
      <c r="AQ290" s="3">
        <f>SUM(AM290:AP290)</f>
        <v>0</v>
      </c>
      <c r="AR290" s="3">
        <f>-AR163</f>
        <v>0</v>
      </c>
      <c r="AS290" s="3">
        <f>-AS163</f>
        <v>0</v>
      </c>
      <c r="AT290" s="3">
        <f>-AT163</f>
        <v>0</v>
      </c>
      <c r="AU290" s="3">
        <f>-AU163</f>
        <v>0</v>
      </c>
      <c r="AV290" s="3">
        <f>SUM(AR290:AU290)</f>
        <v>0</v>
      </c>
      <c r="AW290" s="3">
        <f>-AW163</f>
        <v>0</v>
      </c>
      <c r="AX290" s="3">
        <f>-AX163</f>
        <v>0</v>
      </c>
      <c r="AY290" s="3">
        <f>-AY163</f>
        <v>0</v>
      </c>
      <c r="AZ290" s="3">
        <f>-AZ163</f>
        <v>0</v>
      </c>
      <c r="BA290" s="3">
        <f>SUM(AW290:AZ290)</f>
        <v>0</v>
      </c>
      <c r="BB290" s="3">
        <f>-BB163</f>
        <v>0</v>
      </c>
      <c r="BC290" s="3">
        <f>-BC163</f>
        <v>0</v>
      </c>
      <c r="BD290" s="3">
        <f>-BD163</f>
        <v>0</v>
      </c>
      <c r="BE290" s="3">
        <f>-BE163</f>
        <v>0</v>
      </c>
      <c r="BF290" s="3">
        <f>SUM(BB290:BE290)</f>
        <v>0</v>
      </c>
      <c r="BG290" s="3">
        <f>-BG163</f>
        <v>0</v>
      </c>
      <c r="BH290" s="3">
        <f>-BH163</f>
        <v>0</v>
      </c>
      <c r="BI290" s="3">
        <f>-BI163</f>
        <v>0</v>
      </c>
      <c r="BJ290" s="3">
        <f>-BJ163</f>
        <v>0</v>
      </c>
      <c r="BK290" s="3">
        <f>SUM(BG290:BJ290)</f>
        <v>0</v>
      </c>
      <c r="BL290" s="3">
        <f>-BL163</f>
        <v>0</v>
      </c>
      <c r="BM290" s="3">
        <f>-BM163</f>
        <v>0</v>
      </c>
      <c r="BN290" s="3">
        <f>-BN163</f>
        <v>0</v>
      </c>
      <c r="BO290" s="3">
        <f>-BO163</f>
        <v>0</v>
      </c>
      <c r="BP290" s="3">
        <f>SUM(BL290:BO290)</f>
        <v>0</v>
      </c>
      <c r="BQ290" s="3">
        <f>-BQ163</f>
        <v>0</v>
      </c>
      <c r="BR290" s="3">
        <f>-BR163</f>
        <v>0</v>
      </c>
      <c r="BS290" s="3">
        <f>-BS163</f>
        <v>0</v>
      </c>
      <c r="BT290" s="3">
        <f>-BT163</f>
        <v>0</v>
      </c>
      <c r="BU290" s="3">
        <f>SUM(BQ290:BT290)</f>
        <v>0</v>
      </c>
      <c r="BV290" s="3">
        <f>-BV163</f>
        <v>0</v>
      </c>
      <c r="BW290" s="3">
        <f>-BW163</f>
        <v>0</v>
      </c>
      <c r="BX290" s="3">
        <f>-BX163</f>
        <v>0</v>
      </c>
      <c r="BY290" s="3">
        <f>-BY163</f>
        <v>0</v>
      </c>
      <c r="BZ290" s="3">
        <f>SUM(BV290:BY290)</f>
        <v>0</v>
      </c>
      <c r="CA290" s="3">
        <f>-CA163</f>
        <v>0</v>
      </c>
      <c r="CB290" s="3">
        <f>-CB163</f>
        <v>0</v>
      </c>
      <c r="CC290" s="3">
        <f>-CC163</f>
        <v>0</v>
      </c>
      <c r="CD290" s="3">
        <f>-CD163</f>
        <v>0</v>
      </c>
      <c r="CE290" s="3">
        <f>SUM(CA290:CD290)</f>
        <v>0</v>
      </c>
      <c r="CF290" s="3">
        <f>-CF163</f>
        <v>0</v>
      </c>
      <c r="CG290" s="3">
        <f>-CG163</f>
        <v>0</v>
      </c>
      <c r="CH290" s="3">
        <f>-CH163</f>
        <v>0</v>
      </c>
      <c r="CI290" s="3">
        <f>-CI163</f>
        <v>0</v>
      </c>
      <c r="CJ290" s="3">
        <f>SUM(CF290:CI290)</f>
        <v>0</v>
      </c>
      <c r="CK290" s="3">
        <f>-CK163</f>
        <v>0</v>
      </c>
      <c r="CL290" s="3">
        <f>-CL163</f>
        <v>0</v>
      </c>
      <c r="CM290" s="3">
        <f>-CM163</f>
        <v>0</v>
      </c>
      <c r="CN290" s="3">
        <f>-CN163</f>
        <v>0</v>
      </c>
      <c r="CO290" s="3">
        <f>SUM(CK290:CN290)</f>
        <v>0</v>
      </c>
      <c r="CP290" s="3">
        <f>-CP163</f>
        <v>0</v>
      </c>
      <c r="CQ290" s="3">
        <f>-CQ163</f>
        <v>0</v>
      </c>
      <c r="CR290" s="3">
        <f>-CR163</f>
        <v>0</v>
      </c>
      <c r="CS290" s="3">
        <f>-CS163</f>
        <v>0</v>
      </c>
      <c r="CT290" s="3">
        <f>SUM(CP290:CS290)</f>
        <v>0</v>
      </c>
      <c r="CU290" s="3">
        <f>-CU163</f>
        <v>0</v>
      </c>
      <c r="CV290" s="3">
        <f>-CV163</f>
        <v>0</v>
      </c>
      <c r="CW290" s="3">
        <f>-CW163</f>
        <v>0</v>
      </c>
      <c r="CX290" s="3">
        <f>-CX163</f>
        <v>0</v>
      </c>
      <c r="CY290" s="3">
        <f>SUM(CU290:CX290)</f>
        <v>0</v>
      </c>
    </row>
    <row r="291">
      <c r="C291" s="29" t="inlineStr">
        <is>
          <t>Var.Right-of-use-assets</t>
        </is>
      </c>
      <c r="D291" s="3" t="n"/>
      <c r="E291" s="3">
        <f>(E170-D170)*-1</f>
        <v>-77</v>
      </c>
      <c r="F291" s="3">
        <f>(F170-E170)*-1</f>
        <v>-101</v>
      </c>
      <c r="G291" s="3">
        <f>(G170-F170)*-1</f>
        <v>-183</v>
      </c>
      <c r="H291" s="3">
        <f>SUM(D291:G291)</f>
        <v>-361</v>
      </c>
      <c r="I291" s="3">
        <f>(I170-H170)*-1</f>
        <v>-89</v>
      </c>
      <c r="J291" s="3">
        <f>(J170-I170)*-1</f>
        <v>-87</v>
      </c>
      <c r="K291" s="3">
        <f>(K170-J170)*-1</f>
        <v>-228</v>
      </c>
      <c r="L291" s="3">
        <f>(L170-K170)*-1</f>
        <v>-54</v>
      </c>
      <c r="M291" s="3">
        <f>SUM(I291:L291)</f>
        <v>-458</v>
      </c>
      <c r="N291" s="3">
        <f>(N170-M170)*-1</f>
        <v>-165</v>
      </c>
      <c r="O291" s="3">
        <f>(O170-N170)*-1</f>
        <v>-4</v>
      </c>
      <c r="P291" s="3">
        <f>(P170-O170)*-1</f>
        <v>-66</v>
      </c>
      <c r="Q291" s="3">
        <f>(Q170-P170)*-1</f>
        <v>-312</v>
      </c>
      <c r="R291" s="3">
        <f>SUM(N291:Q291)</f>
        <v>-547</v>
      </c>
      <c r="S291" s="3">
        <f>(S170-R170)*-1</f>
        <v>-237</v>
      </c>
      <c r="T291" s="3">
        <f>(T170-S170)*-1</f>
        <v>-552</v>
      </c>
      <c r="U291" s="3">
        <f>(U170-T170)*-1</f>
        <v>-285</v>
      </c>
      <c r="V291" s="3">
        <f>(V170-U170)*-1</f>
        <v>-543</v>
      </c>
      <c r="W291" s="3">
        <f>SUM(S291:V291)</f>
        <v>-1617</v>
      </c>
      <c r="X291" s="3">
        <f>(X170-W170)*-1</f>
        <v>-187</v>
      </c>
      <c r="Y291" s="3">
        <f>(Y170-X170)*-1</f>
        <v>-196</v>
      </c>
      <c r="Z291" s="3">
        <f>(Z170-Y170)*-1</f>
        <v>-304</v>
      </c>
      <c r="AA291" s="3">
        <f>(AA170-Z170)*-1</f>
        <v>-293</v>
      </c>
      <c r="AB291" s="3">
        <f>SUM(X291:AA291)</f>
        <v>-980</v>
      </c>
      <c r="AC291" s="3">
        <f>(AC170-AB170)*-1</f>
        <v>-170</v>
      </c>
      <c r="AD291" s="3">
        <f>(AD170-AC170)*-1</f>
        <v>-303</v>
      </c>
      <c r="AE291" s="3">
        <f>(AE170-AD170)*-1</f>
        <v>-150</v>
      </c>
      <c r="AF291" s="3">
        <f>(AF170-AE170)*-1</f>
        <v>-244</v>
      </c>
      <c r="AG291" s="3">
        <f>SUM(AC291:AF291)</f>
        <v>-867</v>
      </c>
      <c r="AH291" s="3">
        <f>(AH170-AG170)*-1</f>
        <v>-305</v>
      </c>
      <c r="AI291" s="3">
        <f>(AI170-AH170)*-1</f>
        <v>-54</v>
      </c>
      <c r="AJ291" s="3">
        <f>(AJ170-AI170)*-1</f>
        <v>0</v>
      </c>
      <c r="AK291" s="3">
        <f>(AK170-AJ170)*-1</f>
        <v>0</v>
      </c>
      <c r="AL291" s="3">
        <f>SUM(AH291:AK291)</f>
        <v>-359</v>
      </c>
      <c r="AM291" s="3">
        <f>(AM170-AL170)*-1</f>
        <v>0</v>
      </c>
      <c r="AN291" s="3">
        <f>(AN170-AM170)*-1</f>
        <v>0</v>
      </c>
      <c r="AO291" s="3">
        <f>(AO170-AN170)*-1</f>
        <v>0</v>
      </c>
      <c r="AP291" s="3">
        <f>(AP170-AO170)*-1</f>
        <v>0</v>
      </c>
      <c r="AQ291" s="3">
        <f>SUM(AM291:AP291)</f>
        <v>0</v>
      </c>
      <c r="AR291" s="3">
        <f>(AR170-AQ170)*-1</f>
        <v>0</v>
      </c>
      <c r="AS291" s="3">
        <f>(AS170-AR170)*-1</f>
        <v>0</v>
      </c>
      <c r="AT291" s="3">
        <f>(AT170-AS170)*-1</f>
        <v>0</v>
      </c>
      <c r="AU291" s="3">
        <f>(AU170-AT170)*-1</f>
        <v>0</v>
      </c>
      <c r="AV291" s="3">
        <f>SUM(AR291:AU291)</f>
        <v>0</v>
      </c>
      <c r="AW291" s="3">
        <f>(AW170-AV170)*-1</f>
        <v>0</v>
      </c>
      <c r="AX291" s="3">
        <f>(AX170-AW170)*-1</f>
        <v>0</v>
      </c>
      <c r="AY291" s="3">
        <f>(AY170-AX170)*-1</f>
        <v>0</v>
      </c>
      <c r="AZ291" s="3">
        <f>(AZ170-AY170)*-1</f>
        <v>0</v>
      </c>
      <c r="BA291" s="3">
        <f>SUM(AW291:AZ291)</f>
        <v>0</v>
      </c>
      <c r="BB291" s="3">
        <f>(BB170-BA170)*-1</f>
        <v>0</v>
      </c>
      <c r="BC291" s="3">
        <f>(BC170-BB170)*-1</f>
        <v>0</v>
      </c>
      <c r="BD291" s="3">
        <f>(BD170-BC170)*-1</f>
        <v>0</v>
      </c>
      <c r="BE291" s="3">
        <f>(BE170-BD170)*-1</f>
        <v>0</v>
      </c>
      <c r="BF291" s="3">
        <f>SUM(BB291:BE291)</f>
        <v>0</v>
      </c>
      <c r="BG291" s="3">
        <f>(BG170-BF170)*-1</f>
        <v>0</v>
      </c>
      <c r="BH291" s="3">
        <f>(BH170-BG170)*-1</f>
        <v>0</v>
      </c>
      <c r="BI291" s="3">
        <f>(BI170-BH170)*-1</f>
        <v>0</v>
      </c>
      <c r="BJ291" s="3">
        <f>(BJ170-BI170)*-1</f>
        <v>0</v>
      </c>
      <c r="BK291" s="3">
        <f>SUM(BG291:BJ291)</f>
        <v>0</v>
      </c>
      <c r="BL291" s="3">
        <f>(BL170-BK170)*-1</f>
        <v>0</v>
      </c>
      <c r="BM291" s="3">
        <f>(BM170-BL170)*-1</f>
        <v>0</v>
      </c>
      <c r="BN291" s="3">
        <f>(BN170-BM170)*-1</f>
        <v>0</v>
      </c>
      <c r="BO291" s="3">
        <f>(BO170-BN170)*-1</f>
        <v>0</v>
      </c>
      <c r="BP291" s="3">
        <f>SUM(BL291:BO291)</f>
        <v>0</v>
      </c>
      <c r="BQ291" s="3">
        <f>(BQ170-BP170)*-1</f>
        <v>0</v>
      </c>
      <c r="BR291" s="3">
        <f>(BR170-BQ170)*-1</f>
        <v>0</v>
      </c>
      <c r="BS291" s="3">
        <f>(BS170-BR170)*-1</f>
        <v>0</v>
      </c>
      <c r="BT291" s="3">
        <f>(BT170-BS170)*-1</f>
        <v>0</v>
      </c>
      <c r="BU291" s="3">
        <f>SUM(BQ291:BT291)</f>
        <v>0</v>
      </c>
      <c r="BV291" s="3">
        <f>(BV170-BU170)*-1</f>
        <v>0</v>
      </c>
      <c r="BW291" s="3">
        <f>(BW170-BV170)*-1</f>
        <v>0</v>
      </c>
      <c r="BX291" s="3">
        <f>(BX170-BW170)*-1</f>
        <v>0</v>
      </c>
      <c r="BY291" s="3">
        <f>(BY170-BX170)*-1</f>
        <v>0</v>
      </c>
      <c r="BZ291" s="3">
        <f>SUM(BV291:BY291)</f>
        <v>0</v>
      </c>
      <c r="CA291" s="3">
        <f>(CA170-BZ170)*-1</f>
        <v>0</v>
      </c>
      <c r="CB291" s="3">
        <f>(CB170-CA170)*-1</f>
        <v>0</v>
      </c>
      <c r="CC291" s="3">
        <f>(CC170-CB170)*-1</f>
        <v>0</v>
      </c>
      <c r="CD291" s="3">
        <f>(CD170-CC170)*-1</f>
        <v>0</v>
      </c>
      <c r="CE291" s="3">
        <f>SUM(CA291:CD291)</f>
        <v>0</v>
      </c>
      <c r="CF291" s="3">
        <f>(CF170-CE170)*-1</f>
        <v>0</v>
      </c>
      <c r="CG291" s="3">
        <f>(CG170-CF170)*-1</f>
        <v>0</v>
      </c>
      <c r="CH291" s="3">
        <f>(CH170-CG170)*-1</f>
        <v>0</v>
      </c>
      <c r="CI291" s="3">
        <f>(CI170-CH170)*-1</f>
        <v>0</v>
      </c>
      <c r="CJ291" s="3">
        <f>SUM(CF291:CI291)</f>
        <v>0</v>
      </c>
      <c r="CK291" s="3">
        <f>(CK170-CJ170)*-1</f>
        <v>0</v>
      </c>
      <c r="CL291" s="3">
        <f>(CL170-CK170)*-1</f>
        <v>0</v>
      </c>
      <c r="CM291" s="3">
        <f>(CM170-CL170)*-1</f>
        <v>0</v>
      </c>
      <c r="CN291" s="3">
        <f>(CN170-CM170)*-1</f>
        <v>0</v>
      </c>
      <c r="CO291" s="3">
        <f>SUM(CK291:CN291)</f>
        <v>0</v>
      </c>
      <c r="CP291" s="3">
        <f>(CP170-CO170)*-1</f>
        <v>0</v>
      </c>
      <c r="CQ291" s="3">
        <f>(CQ170-CP170)*-1</f>
        <v>0</v>
      </c>
      <c r="CR291" s="3">
        <f>(CR170-CQ170)*-1</f>
        <v>0</v>
      </c>
      <c r="CS291" s="3">
        <f>(CS170-CR170)*-1</f>
        <v>0</v>
      </c>
      <c r="CT291" s="3">
        <f>SUM(CP291:CS291)</f>
        <v>0</v>
      </c>
      <c r="CU291" s="3">
        <f>(CU170-CT170)*-1</f>
        <v>0</v>
      </c>
      <c r="CV291" s="3">
        <f>(CV170-CU170)*-1</f>
        <v>0</v>
      </c>
      <c r="CW291" s="3">
        <f>(CW170-CV170)*-1</f>
        <v>0</v>
      </c>
      <c r="CX291" s="3">
        <f>(CX170-CW170)*-1</f>
        <v>0</v>
      </c>
      <c r="CY291" s="3">
        <f>SUM(CU291:CX291)</f>
        <v>0</v>
      </c>
      <c r="CZ291" s="3" t="n"/>
      <c r="DA291" s="3" t="n"/>
      <c r="DB291" s="3" t="n"/>
      <c r="DC291" s="3" t="n"/>
    </row>
    <row r="292">
      <c r="C292" s="29" t="inlineStr">
        <is>
          <t>Purchases of intangible assets</t>
        </is>
      </c>
      <c r="D292" s="3" t="n"/>
      <c r="E292" s="3">
        <f>((E174-D174)*-1)+((E173-D173)*-1)</f>
        <v>8</v>
      </c>
      <c r="F292" s="3">
        <f>((F174-E174)*-1)+((F173-E173)*-1)</f>
        <v>-13</v>
      </c>
      <c r="G292" s="3">
        <f>((G174-F174)*-1)+((G173-F173)*-1)</f>
        <v>1</v>
      </c>
      <c r="H292" s="3">
        <f>SUM(D292:G292)</f>
        <v>-4</v>
      </c>
      <c r="I292" s="3">
        <f>((I174-H174)*-1)+((I173-H173)*-1)</f>
        <v>15</v>
      </c>
      <c r="J292" s="3">
        <f>((J174-I174)*-1)+((J173-I173)*-1)</f>
        <v>19</v>
      </c>
      <c r="K292" s="3">
        <f>((K174-J174)*-1)+((K173-J173)*-1)</f>
        <v>16</v>
      </c>
      <c r="L292" s="3">
        <f>((L174-K174)*-1)+((L173-K173)*-1)</f>
        <v>13</v>
      </c>
      <c r="M292" s="3">
        <f>SUM(I292:L292)</f>
        <v>63</v>
      </c>
      <c r="N292" s="3">
        <f>((N174-M174)*-1)+((N173-M173)*-1)</f>
        <v>3</v>
      </c>
      <c r="O292" s="3">
        <f>((O174-N174)*-1)+((O173-N173)*-1)</f>
        <v>17</v>
      </c>
      <c r="P292" s="3">
        <f>((P174-O174)*-1)+((P173-O173)*-1)</f>
        <v>18</v>
      </c>
      <c r="Q292" s="3">
        <f>((Q174-P174)*-1)+((Q173-P173)*-1)</f>
        <v>10</v>
      </c>
      <c r="R292" s="3">
        <f>SUM(N292:Q292)</f>
        <v>48</v>
      </c>
      <c r="S292" s="3">
        <f>((S174-R174)*-1)+((S173-R173)*-1)</f>
        <v>10</v>
      </c>
      <c r="T292" s="3">
        <f>((T174-S174)*-1)+((T173-S173)*-1)</f>
        <v>-66</v>
      </c>
      <c r="U292" s="3">
        <f>((U174-T174)*-1)+((U173-T173)*-1)</f>
        <v>24</v>
      </c>
      <c r="V292" s="3">
        <f>((V174-U174)*-1)+((V173-U173)*-1)</f>
        <v>10</v>
      </c>
      <c r="W292" s="3">
        <f>SUM(S292:V292)</f>
        <v>-22</v>
      </c>
      <c r="X292" s="3">
        <f>((X174-W174)*-1)+((X173-W173)*-1)</f>
        <v>10</v>
      </c>
      <c r="Y292" s="3">
        <f>((Y174-X174)*-1)+((Y173-X173)*-1)</f>
        <v>8</v>
      </c>
      <c r="Z292" s="3">
        <f>((Z174-Y174)*-1)+((Z173-Y173)*-1)</f>
        <v>2</v>
      </c>
      <c r="AA292" s="3">
        <f>((AA174-Z174)*-1)+((AA173-Z173)*-1)</f>
        <v>17</v>
      </c>
      <c r="AB292" s="3">
        <f>SUM(X292:AA292)</f>
        <v>37</v>
      </c>
      <c r="AC292" s="3">
        <f>((AC174-AB174)*-1)+((AC173-AB173)*-1)</f>
        <v>2</v>
      </c>
      <c r="AD292" s="3">
        <f>((AD174-AC174)*-1)+((AD173-AC173)*-1)</f>
        <v>-4</v>
      </c>
      <c r="AE292" s="3">
        <f>((AE174-AD174)*-1)+((AE173-AD173)*-1)</f>
        <v>8</v>
      </c>
      <c r="AF292" s="3">
        <f>((AF174-AE174)*-1)+((AF173-AE173)*-1)</f>
        <v>388</v>
      </c>
      <c r="AG292" s="3">
        <f>SUM(AC292:AF292)</f>
        <v>394</v>
      </c>
      <c r="AH292" s="3">
        <f>((AH174-AG174)*-1)+((AH173-AG173)*-1)</f>
        <v>0</v>
      </c>
      <c r="AI292" s="3">
        <f>((AI174-AH174)*-1)+((AI173-AH173)*-1)</f>
        <v>0</v>
      </c>
      <c r="AJ292" s="3">
        <f>((AJ174-AI174)*-1)+((AJ173-AI173)*-1)</f>
        <v>0</v>
      </c>
      <c r="AK292" s="3">
        <f>((AK174-AJ174)*-1)+((AK173-AJ173)*-1)</f>
        <v>0</v>
      </c>
      <c r="AL292" s="3">
        <f>SUM(AH292:AK292)</f>
        <v>0</v>
      </c>
      <c r="AM292" s="3">
        <f>((AM174-AL174)*-1)+((AM173-AL173)*-1)</f>
        <v>0</v>
      </c>
      <c r="AN292" s="3">
        <f>((AN174-AM174)*-1)+((AN173-AM173)*-1)</f>
        <v>0</v>
      </c>
      <c r="AO292" s="3">
        <f>((AO174-AN174)*-1)+((AO173-AN173)*-1)</f>
        <v>0</v>
      </c>
      <c r="AP292" s="3">
        <f>((AP174-AO174)*-1)+((AP173-AO173)*-1)</f>
        <v>0</v>
      </c>
      <c r="AQ292" s="3">
        <f>SUM(AM292:AP292)</f>
        <v>0</v>
      </c>
      <c r="AR292" s="3">
        <f>((AR174-AQ174)*-1)+((AR173-AQ173)*-1)</f>
        <v>0</v>
      </c>
      <c r="AS292" s="3">
        <f>((AS174-AR174)*-1)+((AS173-AR173)*-1)</f>
        <v>0</v>
      </c>
      <c r="AT292" s="3">
        <f>((AT174-AS174)*-1)+((AT173-AS173)*-1)</f>
        <v>0</v>
      </c>
      <c r="AU292" s="3">
        <f>((AU174-AT174)*-1)+((AU173-AT173)*-1)</f>
        <v>0</v>
      </c>
      <c r="AV292" s="3">
        <f>SUM(AR292:AU292)</f>
        <v>0</v>
      </c>
      <c r="AW292" s="3">
        <f>((AW174-AV174)*-1)+((AW173-AV173)*-1)</f>
        <v>0</v>
      </c>
      <c r="AX292" s="3">
        <f>((AX174-AW174)*-1)+((AX173-AW173)*-1)</f>
        <v>0</v>
      </c>
      <c r="AY292" s="3">
        <f>((AY174-AX174)*-1)+((AY173-AX173)*-1)</f>
        <v>0</v>
      </c>
      <c r="AZ292" s="3">
        <f>((AZ174-AY174)*-1)+((AZ173-AY173)*-1)</f>
        <v>0</v>
      </c>
      <c r="BA292" s="3">
        <f>SUM(AW292:AZ292)</f>
        <v>0</v>
      </c>
      <c r="BB292" s="3">
        <f>((BB174-BA174)*-1)+((BB173-BA173)*-1)</f>
        <v>0</v>
      </c>
      <c r="BC292" s="3">
        <f>((BC174-BB174)*-1)+((BC173-BB173)*-1)</f>
        <v>0</v>
      </c>
      <c r="BD292" s="3">
        <f>((BD174-BC174)*-1)+((BD173-BC173)*-1)</f>
        <v>0</v>
      </c>
      <c r="BE292" s="3">
        <f>((BE174-BD174)*-1)+((BE173-BD173)*-1)</f>
        <v>0</v>
      </c>
      <c r="BF292" s="3">
        <f>SUM(BB292:BE292)</f>
        <v>0</v>
      </c>
      <c r="BG292" s="3">
        <f>((BG174-BF174)*-1)+((BG173-BF173)*-1)</f>
        <v>0</v>
      </c>
      <c r="BH292" s="3">
        <f>((BH174-BG174)*-1)+((BH173-BG173)*-1)</f>
        <v>0</v>
      </c>
      <c r="BI292" s="3">
        <f>((BI174-BH174)*-1)+((BI173-BH173)*-1)</f>
        <v>0</v>
      </c>
      <c r="BJ292" s="3">
        <f>((BJ174-BI174)*-1)+((BJ173-BI173)*-1)</f>
        <v>0</v>
      </c>
      <c r="BK292" s="3">
        <f>SUM(BG292:BJ292)</f>
        <v>0</v>
      </c>
      <c r="BL292" s="3">
        <f>((BL174-BK174)*-1)+((BL173-BK173)*-1)</f>
        <v>0</v>
      </c>
      <c r="BM292" s="3">
        <f>((BM174-BL174)*-1)+((BM173-BL173)*-1)</f>
        <v>0</v>
      </c>
      <c r="BN292" s="3">
        <f>((BN174-BM174)*-1)+((BN173-BM173)*-1)</f>
        <v>0</v>
      </c>
      <c r="BO292" s="3">
        <f>((BO174-BN174)*-1)+((BO173-BN173)*-1)</f>
        <v>0</v>
      </c>
      <c r="BP292" s="3">
        <f>SUM(BL292:BO292)</f>
        <v>0</v>
      </c>
      <c r="BQ292" s="3">
        <f>((BQ174-BP174)*-1)+((BQ173-BP173)*-1)</f>
        <v>0</v>
      </c>
      <c r="BR292" s="3">
        <f>((BR174-BQ174)*-1)+((BR173-BQ173)*-1)</f>
        <v>0</v>
      </c>
      <c r="BS292" s="3">
        <f>((BS174-BR174)*-1)+((BS173-BR173)*-1)</f>
        <v>0</v>
      </c>
      <c r="BT292" s="3">
        <f>((BT174-BS174)*-1)+((BT173-BS173)*-1)</f>
        <v>0</v>
      </c>
      <c r="BU292" s="3">
        <f>SUM(BQ292:BT292)</f>
        <v>0</v>
      </c>
      <c r="BV292" s="3">
        <f>((BV174-BU174)*-1)+((BV173-BU173)*-1)</f>
        <v>0</v>
      </c>
      <c r="BW292" s="3">
        <f>((BW174-BV174)*-1)+((BW173-BV173)*-1)</f>
        <v>0</v>
      </c>
      <c r="BX292" s="3">
        <f>((BX174-BW174)*-1)+((BX173-BW173)*-1)</f>
        <v>0</v>
      </c>
      <c r="BY292" s="3">
        <f>((BY174-BX174)*-1)+((BY173-BX173)*-1)</f>
        <v>0</v>
      </c>
      <c r="BZ292" s="3">
        <f>SUM(BV292:BY292)</f>
        <v>0</v>
      </c>
      <c r="CA292" s="3">
        <f>((CA174-BZ174)*-1)+((CA173-BZ173)*-1)</f>
        <v>0</v>
      </c>
      <c r="CB292" s="3">
        <f>((CB174-CA174)*-1)+((CB173-CA173)*-1)</f>
        <v>0</v>
      </c>
      <c r="CC292" s="3">
        <f>((CC174-CB174)*-1)+((CC173-CB173)*-1)</f>
        <v>0</v>
      </c>
      <c r="CD292" s="3">
        <f>((CD174-CC174)*-1)+((CD173-CC173)*-1)</f>
        <v>0</v>
      </c>
      <c r="CE292" s="3">
        <f>SUM(CA292:CD292)</f>
        <v>0</v>
      </c>
      <c r="CF292" s="3">
        <f>((CF174-CE174)*-1)+((CF173-CE173)*-1)</f>
        <v>0</v>
      </c>
      <c r="CG292" s="3">
        <f>((CG174-CF174)*-1)+((CG173-CF173)*-1)</f>
        <v>0</v>
      </c>
      <c r="CH292" s="3">
        <f>((CH174-CG174)*-1)+((CH173-CG173)*-1)</f>
        <v>0</v>
      </c>
      <c r="CI292" s="3">
        <f>((CI174-CH174)*-1)+((CI173-CH173)*-1)</f>
        <v>0</v>
      </c>
      <c r="CJ292" s="3">
        <f>SUM(CF292:CI292)</f>
        <v>0</v>
      </c>
      <c r="CK292" s="3">
        <f>((CK174-CJ174)*-1)+((CK173-CJ173)*-1)</f>
        <v>0</v>
      </c>
      <c r="CL292" s="3">
        <f>((CL174-CK174)*-1)+((CL173-CK173)*-1)</f>
        <v>0</v>
      </c>
      <c r="CM292" s="3">
        <f>((CM174-CL174)*-1)+((CM173-CL173)*-1)</f>
        <v>0</v>
      </c>
      <c r="CN292" s="3">
        <f>((CN174-CM174)*-1)+((CN173-CM173)*-1)</f>
        <v>0</v>
      </c>
      <c r="CO292" s="3">
        <f>SUM(CK292:CN292)</f>
        <v>0</v>
      </c>
      <c r="CP292" s="3">
        <f>((CP174-CO174)*-1)+((CP173-CO173)*-1)</f>
        <v>0</v>
      </c>
      <c r="CQ292" s="3">
        <f>((CQ174-CP174)*-1)+((CQ173-CP173)*-1)</f>
        <v>0</v>
      </c>
      <c r="CR292" s="3">
        <f>((CR174-CQ174)*-1)+((CR173-CQ173)*-1)</f>
        <v>0</v>
      </c>
      <c r="CS292" s="3">
        <f>((CS174-CR174)*-1)+((CS173-CR173)*-1)</f>
        <v>0</v>
      </c>
      <c r="CT292" s="3">
        <f>SUM(CP292:CS292)</f>
        <v>0</v>
      </c>
      <c r="CU292" s="3">
        <f>((CU174-CT174)*-1)+((CU173-CT173)*-1)</f>
        <v>0</v>
      </c>
      <c r="CV292" s="3">
        <f>((CV174-CU174)*-1)+((CV173-CU173)*-1)</f>
        <v>0</v>
      </c>
      <c r="CW292" s="3">
        <f>((CW174-CV174)*-1)+((CW173-CV173)*-1)</f>
        <v>0</v>
      </c>
      <c r="CX292" s="3">
        <f>((CX174-CW174)*-1)+((CX173-CW173)*-1)</f>
        <v>0</v>
      </c>
      <c r="CY292" s="3">
        <f>SUM(CU292:CX292)</f>
        <v>0</v>
      </c>
      <c r="CZ292" s="3" t="n"/>
      <c r="DA292" s="3" t="n"/>
      <c r="DB292" s="3" t="n"/>
      <c r="DC292" s="3" t="n"/>
    </row>
    <row r="293">
      <c r="C293" s="30" t="inlineStr">
        <is>
          <t>Purchases/Proceeds from other long-term assets</t>
        </is>
      </c>
      <c r="D293" s="3" t="n"/>
      <c r="E293" s="3">
        <f>((E183-D183)*-1)+(E234-D234)</f>
        <v>-50</v>
      </c>
      <c r="F293" s="3">
        <f>((F183-E183)*-1)+(F234-E234)</f>
        <v>162</v>
      </c>
      <c r="G293" s="3">
        <f>((G183-F183)*-1)+(G234-F234)</f>
        <v>-1074</v>
      </c>
      <c r="H293" s="3">
        <f>SUM(D293:G293)</f>
        <v>-962</v>
      </c>
      <c r="I293" s="3">
        <f>((I183-H183)*-1)+(I234-H234)</f>
        <v>-2181</v>
      </c>
      <c r="J293" s="3">
        <f>((J183-I183)*-1)+(J234-I234)</f>
        <v>-1426</v>
      </c>
      <c r="K293" s="3">
        <f>((K183-J183)*-1)+(K234-J234)</f>
        <v>-1770</v>
      </c>
      <c r="L293" s="3">
        <f>((L183-K183)*-1)+(L234-K234)</f>
        <v>-1018</v>
      </c>
      <c r="M293" s="3">
        <f>SUM(I293:L293)</f>
        <v>-6395</v>
      </c>
      <c r="N293" s="3">
        <f>((N183-M183)*-1)+(N234-M234)</f>
        <v>-2318</v>
      </c>
      <c r="O293" s="3">
        <f>((O183-N183)*-1)+(O234-N234)</f>
        <v>607</v>
      </c>
      <c r="P293" s="3">
        <f>((P183-O183)*-1)+(P234-O234)</f>
        <v>-607</v>
      </c>
      <c r="Q293" s="3">
        <f>((Q183-P183)*-1)+(Q234-P234)</f>
        <v>-21</v>
      </c>
      <c r="R293" s="3">
        <f>SUM(N293:Q293)</f>
        <v>-2339</v>
      </c>
      <c r="S293" s="3">
        <f>((S183-R183)*-1)+(S234-R234)</f>
        <v>-336</v>
      </c>
      <c r="T293" s="3">
        <f>((T183-S183)*-1)+(T234-S234)</f>
        <v>-187</v>
      </c>
      <c r="U293" s="3">
        <f>((U183-T183)*-1)+(U234-T234)</f>
        <v>1406</v>
      </c>
      <c r="V293" s="3">
        <f>((V183-U183)*-1)+(V234-U234)</f>
        <v>2615</v>
      </c>
      <c r="W293" s="3">
        <f>SUM(S293:V293)</f>
        <v>3498</v>
      </c>
      <c r="X293" s="3">
        <f>((X183-W183)*-1)+(X234-W234)</f>
        <v>567</v>
      </c>
      <c r="Y293" s="3">
        <f>((Y183-X183)*-1)+(Y234-X234)</f>
        <v>3660</v>
      </c>
      <c r="Z293" s="3">
        <f>((Z183-Y183)*-1)+(Z234-Y234)</f>
        <v>417</v>
      </c>
      <c r="AA293" s="3">
        <f>((AA183-Z183)*-1)+(AA234-Z234)</f>
        <v>801</v>
      </c>
      <c r="AB293" s="3">
        <f>SUM(X293:AA293)</f>
        <v>5445</v>
      </c>
      <c r="AC293" s="3">
        <f>((AC183-AB183)*-1)+(AC234-AB234)</f>
        <v>-58</v>
      </c>
      <c r="AD293" s="3">
        <f>((AD183-AC183)*-1)+(AD234-AC234)</f>
        <v>662</v>
      </c>
      <c r="AE293" s="3">
        <f>((AE183-AD183)*-1)+(AE234-AD234)</f>
        <v>485</v>
      </c>
      <c r="AF293" s="3">
        <f>((AF183-AE183)*-1)+(AF234-AE234)</f>
        <v>2796</v>
      </c>
      <c r="AG293" s="3">
        <f>SUM(AC293:AF293)</f>
        <v>3885</v>
      </c>
      <c r="AH293" s="3">
        <f>((AH183-AG183)*-1)+(AH234-AG234)</f>
        <v>-245</v>
      </c>
      <c r="AI293" s="3">
        <f>((AI183-AH183)*-1)+(AI234-AH234)</f>
        <v>-723</v>
      </c>
      <c r="AJ293" s="3">
        <f>((AJ183-AI183)*-1)+(AJ234-AI234)</f>
        <v>0</v>
      </c>
      <c r="AK293" s="3">
        <f>((AK183-AJ183)*-1)+(AK234-AJ234)</f>
        <v>0</v>
      </c>
      <c r="AL293" s="3">
        <f>SUM(AH293:AK293)</f>
        <v>-968</v>
      </c>
      <c r="AM293" s="3">
        <f>((AM183-AL183)*-1)+(AM234-AL234)</f>
        <v>0</v>
      </c>
      <c r="AN293" s="3">
        <f>((AN183-AM183)*-1)+(AN234-AM234)</f>
        <v>0</v>
      </c>
      <c r="AO293" s="3">
        <f>((AO183-AN183)*-1)+(AO234-AN234)</f>
        <v>0</v>
      </c>
      <c r="AP293" s="3">
        <f>((AP183-AO183)*-1)+(AP234-AO234)</f>
        <v>0</v>
      </c>
      <c r="AQ293" s="3">
        <f>SUM(AM293:AP293)</f>
        <v>0</v>
      </c>
      <c r="AR293" s="3">
        <f>((AR183-AQ183)*-1)+(AR234-AQ234)</f>
        <v>0</v>
      </c>
      <c r="AS293" s="3">
        <f>((AS183-AR183)*-1)+(AS234-AR234)</f>
        <v>0</v>
      </c>
      <c r="AT293" s="3">
        <f>((AT183-AS183)*-1)+(AT234-AS234)</f>
        <v>0</v>
      </c>
      <c r="AU293" s="3">
        <f>((AU183-AT183)*-1)+(AU234-AT234)</f>
        <v>0</v>
      </c>
      <c r="AV293" s="3">
        <f>SUM(AR293:AU293)</f>
        <v>0</v>
      </c>
      <c r="AW293" s="3">
        <f>((AW183-AV183)*-1)+(AW234-AV234)</f>
        <v>0</v>
      </c>
      <c r="AX293" s="3">
        <f>((AX183-AW183)*-1)+(AX234-AW234)</f>
        <v>0</v>
      </c>
      <c r="AY293" s="3">
        <f>((AY183-AX183)*-1)+(AY234-AX234)</f>
        <v>0</v>
      </c>
      <c r="AZ293" s="3">
        <f>((AZ183-AY183)*-1)+(AZ234-AY234)</f>
        <v>0</v>
      </c>
      <c r="BA293" s="3">
        <f>SUM(AW293:AZ293)</f>
        <v>0</v>
      </c>
      <c r="BB293" s="3">
        <f>((BB183-BA183)*-1)+(BB234-BA234)</f>
        <v>0</v>
      </c>
      <c r="BC293" s="3">
        <f>((BC183-BB183)*-1)+(BC234-BB234)</f>
        <v>0</v>
      </c>
      <c r="BD293" s="3">
        <f>((BD183-BC183)*-1)+(BD234-BC234)</f>
        <v>0</v>
      </c>
      <c r="BE293" s="3">
        <f>((BE183-BD183)*-1)+(BE234-BD234)</f>
        <v>0</v>
      </c>
      <c r="BF293" s="3">
        <f>SUM(BB293:BE293)</f>
        <v>0</v>
      </c>
      <c r="BG293" s="3">
        <f>((BG183-BF183)*-1)+(BG234-BF234)</f>
        <v>0</v>
      </c>
      <c r="BH293" s="3">
        <f>((BH183-BG183)*-1)+(BH234-BG234)</f>
        <v>0</v>
      </c>
      <c r="BI293" s="3">
        <f>((BI183-BH183)*-1)+(BI234-BH234)</f>
        <v>0</v>
      </c>
      <c r="BJ293" s="3">
        <f>((BJ183-BI183)*-1)+(BJ234-BI234)</f>
        <v>0</v>
      </c>
      <c r="BK293" s="3">
        <f>SUM(BG293:BJ293)</f>
        <v>0</v>
      </c>
      <c r="BL293" s="3">
        <f>((BL183-BK183)*-1)+(BL234-BK234)</f>
        <v>0</v>
      </c>
      <c r="BM293" s="3">
        <f>((BM183-BL183)*-1)+(BM234-BL234)</f>
        <v>0</v>
      </c>
      <c r="BN293" s="3">
        <f>((BN183-BM183)*-1)+(BN234-BM234)</f>
        <v>0</v>
      </c>
      <c r="BO293" s="3">
        <f>((BO183-BN183)*-1)+(BO234-BN234)</f>
        <v>0</v>
      </c>
      <c r="BP293" s="3">
        <f>SUM(BL293:BO293)</f>
        <v>0</v>
      </c>
      <c r="BQ293" s="3">
        <f>((BQ183-BP183)*-1)+(BQ234-BP234)</f>
        <v>0</v>
      </c>
      <c r="BR293" s="3">
        <f>((BR183-BQ183)*-1)+(BR234-BQ234)</f>
        <v>0</v>
      </c>
      <c r="BS293" s="3">
        <f>((BS183-BR183)*-1)+(BS234-BR234)</f>
        <v>0</v>
      </c>
      <c r="BT293" s="3">
        <f>((BT183-BS183)*-1)+(BT234-BS234)</f>
        <v>0</v>
      </c>
      <c r="BU293" s="3">
        <f>SUM(BQ293:BT293)</f>
        <v>0</v>
      </c>
      <c r="BV293" s="3">
        <f>((BV183-BU183)*-1)+(BV234-BU234)</f>
        <v>0</v>
      </c>
      <c r="BW293" s="3">
        <f>((BW183-BV183)*-1)+(BW234-BV234)</f>
        <v>0</v>
      </c>
      <c r="BX293" s="3">
        <f>((BX183-BW183)*-1)+(BX234-BW234)</f>
        <v>0</v>
      </c>
      <c r="BY293" s="3">
        <f>((BY183-BX183)*-1)+(BY234-BX234)</f>
        <v>0</v>
      </c>
      <c r="BZ293" s="3">
        <f>SUM(BV293:BY293)</f>
        <v>0</v>
      </c>
      <c r="CA293" s="3">
        <f>((CA183-BZ183)*-1)+(CA234-BZ234)</f>
        <v>0</v>
      </c>
      <c r="CB293" s="3">
        <f>((CB183-CA183)*-1)+(CB234-CA234)</f>
        <v>0</v>
      </c>
      <c r="CC293" s="3">
        <f>((CC183-CB183)*-1)+(CC234-CB234)</f>
        <v>0</v>
      </c>
      <c r="CD293" s="3">
        <f>((CD183-CC183)*-1)+(CD234-CC234)</f>
        <v>0</v>
      </c>
      <c r="CE293" s="3">
        <f>SUM(CA293:CD293)</f>
        <v>0</v>
      </c>
      <c r="CF293" s="3">
        <f>((CF183-CE183)*-1)+(CF234-CE234)</f>
        <v>0</v>
      </c>
      <c r="CG293" s="3">
        <f>((CG183-CF183)*-1)+(CG234-CF234)</f>
        <v>0</v>
      </c>
      <c r="CH293" s="3">
        <f>((CH183-CG183)*-1)+(CH234-CG234)</f>
        <v>0</v>
      </c>
      <c r="CI293" s="3">
        <f>((CI183-CH183)*-1)+(CI234-CH234)</f>
        <v>0</v>
      </c>
      <c r="CJ293" s="3">
        <f>SUM(CF293:CI293)</f>
        <v>0</v>
      </c>
      <c r="CK293" s="3">
        <f>((CK183-CJ183)*-1)+(CK234-CJ234)</f>
        <v>0</v>
      </c>
      <c r="CL293" s="3">
        <f>((CL183-CK183)*-1)+(CL234-CK234)</f>
        <v>0</v>
      </c>
      <c r="CM293" s="3">
        <f>((CM183-CL183)*-1)+(CM234-CL234)</f>
        <v>0</v>
      </c>
      <c r="CN293" s="3">
        <f>((CN183-CM183)*-1)+(CN234-CM234)</f>
        <v>0</v>
      </c>
      <c r="CO293" s="3">
        <f>SUM(CK293:CN293)</f>
        <v>0</v>
      </c>
      <c r="CP293" s="3">
        <f>((CP183-CO183)*-1)+(CP234-CO234)</f>
        <v>0</v>
      </c>
      <c r="CQ293" s="3">
        <f>((CQ183-CP183)*-1)+(CQ234-CP234)</f>
        <v>0</v>
      </c>
      <c r="CR293" s="3">
        <f>((CR183-CQ183)*-1)+(CR234-CQ234)</f>
        <v>0</v>
      </c>
      <c r="CS293" s="3">
        <f>((CS183-CR183)*-1)+(CS234-CR234)</f>
        <v>0</v>
      </c>
      <c r="CT293" s="3">
        <f>SUM(CP293:CS293)</f>
        <v>0</v>
      </c>
      <c r="CU293" s="3">
        <f>((CU183-CT183)*-1)+(CU234-CT234)</f>
        <v>0</v>
      </c>
      <c r="CV293" s="3">
        <f>((CV183-CU183)*-1)+(CV234-CU234)</f>
        <v>0</v>
      </c>
      <c r="CW293" s="3">
        <f>((CW183-CV183)*-1)+(CW234-CV234)</f>
        <v>0</v>
      </c>
      <c r="CX293" s="3">
        <f>((CX183-CW183)*-1)+(CX234-CW234)</f>
        <v>0</v>
      </c>
      <c r="CY293" s="3">
        <f>SUM(CU293:CX293)</f>
        <v>0</v>
      </c>
    </row>
    <row r="294">
      <c r="C294" s="26" t="inlineStr">
        <is>
          <t>Cash from investing</t>
        </is>
      </c>
      <c r="D294" s="3" t="n"/>
      <c r="E294" s="3">
        <f>SUM(E289,E290,E292,E293,E291)</f>
        <v>-1057</v>
      </c>
      <c r="F294" s="3">
        <f>SUM(F289,F290,F292,F293,F291)</f>
        <v>-1375</v>
      </c>
      <c r="G294" s="3">
        <f>SUM(G289,G290,G292,G293,G291)</f>
        <v>-2773</v>
      </c>
      <c r="H294" s="3">
        <f>SUM(H289,H290,H292,H293)</f>
        <v>-4844</v>
      </c>
      <c r="I294" s="3">
        <f>SUM(I289,I290,I292,I293,I291)</f>
        <v>-3997</v>
      </c>
      <c r="J294" s="3">
        <f>SUM(J289,J290,J292,J293,J291)</f>
        <v>-3972</v>
      </c>
      <c r="K294" s="3">
        <f>SUM(K289,K290,K292,K293,K291)</f>
        <v>-4376</v>
      </c>
      <c r="L294" s="3">
        <f>SUM(L289,L290,L292,L293,L291)</f>
        <v>-3493</v>
      </c>
      <c r="M294" s="3">
        <f>SUM(M289,M290,M292,M293)</f>
        <v>-15380</v>
      </c>
      <c r="N294" s="3">
        <f>SUM(N289,N290,N292,N293,N291)</f>
        <v>-4503</v>
      </c>
      <c r="O294" s="3">
        <f>SUM(O289,O290,O292,O293,O291)</f>
        <v>-1368</v>
      </c>
      <c r="P294" s="3">
        <f>SUM(P289,P290,P292,P293,P291)</f>
        <v>-2444</v>
      </c>
      <c r="Q294" s="3">
        <f>SUM(Q289,Q290,Q292,Q293,Q291)</f>
        <v>-2934</v>
      </c>
      <c r="R294" s="3">
        <f>SUM(R289,R290,R292,R293)</f>
        <v>-10702</v>
      </c>
      <c r="S294" s="3">
        <f>SUM(S289,S290,S292,S293,S291)</f>
        <v>-3030</v>
      </c>
      <c r="T294" s="3">
        <f>SUM(T289,T290,T292,T293,T291)</f>
        <v>-3379</v>
      </c>
      <c r="U294" s="3">
        <f>SUM(U289,U290,U292,U293,U291)</f>
        <v>-1445</v>
      </c>
      <c r="V294" s="3">
        <f>SUM(V289,V290,V292,V293,V291)</f>
        <v>-1131</v>
      </c>
      <c r="W294" s="3">
        <f>SUM(W289,W290,W292,W293)</f>
        <v>-7368</v>
      </c>
      <c r="X294" s="3">
        <f>SUM(X289,X290,X292,X293,X291)</f>
        <v>-2567</v>
      </c>
      <c r="Y294" s="3">
        <f>SUM(Y289,Y290,Y292,Y293,Y291)</f>
        <v>728</v>
      </c>
      <c r="Z294" s="3">
        <f>SUM(Z289,Z290,Z292,Z293,Z291)</f>
        <v>-4447</v>
      </c>
      <c r="AA294" s="3">
        <f>SUM(AA289,AA290,AA292,AA293,AA291)</f>
        <v>-691</v>
      </c>
      <c r="AB294" s="3">
        <f>SUM(AB289,AB290,AB292,AB293)</f>
        <v>-5997</v>
      </c>
      <c r="AC294" s="3">
        <f>SUM(AC289,AC290,AC292,AC293,AC291)</f>
        <v>-2925</v>
      </c>
      <c r="AD294" s="3">
        <f>SUM(AD289,AD290,AD292,AD293,AD291)</f>
        <v>-2564</v>
      </c>
      <c r="AE294" s="3">
        <f>SUM(AE289,AE290,AE292,AE293,AE291)</f>
        <v>-2115</v>
      </c>
      <c r="AF294" s="3">
        <f>SUM(AF289,AF290,AF292,AF293,AF291)</f>
        <v>61</v>
      </c>
      <c r="AG294" s="3">
        <f>SUM(AG289,AG290,AG292,AG293)</f>
        <v>-6676</v>
      </c>
      <c r="AH294" s="3">
        <f>SUM(AH289,AH290,AH292,AH293,AH291)</f>
        <v>-4710</v>
      </c>
      <c r="AI294" s="3">
        <f>SUM(AI289,AI290,AI292,AI293,AI291)</f>
        <v>-6438</v>
      </c>
      <c r="AJ294" s="3">
        <f>SUM(AJ289,AJ290,AJ292,AJ293,AJ291)</f>
        <v>0</v>
      </c>
      <c r="AK294" s="3">
        <f>SUM(AK289,AK290,AK292,AK293,AK291)</f>
        <v>0</v>
      </c>
      <c r="AL294" s="3">
        <f>SUM(AL289,AL290,AL292,AL293)</f>
        <v>-10789</v>
      </c>
      <c r="AM294" s="3">
        <f>SUM(AM289,AM290,AM292,AM293,AM291)</f>
        <v>0</v>
      </c>
      <c r="AN294" s="3">
        <f>SUM(AN289,AN290,AN292,AN293,AN291)</f>
        <v>0</v>
      </c>
      <c r="AO294" s="3">
        <f>SUM(AO289,AO290,AO292,AO293,AO291)</f>
        <v>0</v>
      </c>
      <c r="AP294" s="3">
        <f>SUM(AP289,AP290,AP292,AP293,AP291)</f>
        <v>0</v>
      </c>
      <c r="AQ294" s="3">
        <f>SUM(AQ289,AQ290,AQ292,AQ293)</f>
        <v>0</v>
      </c>
      <c r="AR294" s="3">
        <f>SUM(AR289,AR290,AR292,AR293,AR291)</f>
        <v>0</v>
      </c>
      <c r="AS294" s="3">
        <f>SUM(AS289,AS290,AS292,AS293,AS291)</f>
        <v>0</v>
      </c>
      <c r="AT294" s="3">
        <f>SUM(AT289,AT290,AT292,AT293,AT291)</f>
        <v>0</v>
      </c>
      <c r="AU294" s="3">
        <f>SUM(AU289,AU290,AU292,AU293,AU291)</f>
        <v>0</v>
      </c>
      <c r="AV294" s="3">
        <f>SUM(AV289,AV290,AV292,AV293)</f>
        <v>0</v>
      </c>
      <c r="AW294" s="3">
        <f>SUM(AW289,AW290,AW292,AW293,AW291)</f>
        <v>0</v>
      </c>
      <c r="AX294" s="3">
        <f>SUM(AX289,AX290,AX292,AX293,AX291)</f>
        <v>0</v>
      </c>
      <c r="AY294" s="3">
        <f>SUM(AY289,AY290,AY292,AY293,AY291)</f>
        <v>0</v>
      </c>
      <c r="AZ294" s="3">
        <f>SUM(AZ289,AZ290,AZ292,AZ293,AZ291)</f>
        <v>0</v>
      </c>
      <c r="BA294" s="3">
        <f>SUM(BA289,BA290,BA292,BA293)</f>
        <v>0</v>
      </c>
      <c r="BB294" s="3">
        <f>SUM(BB289,BB290,BB292,BB293,BB291)</f>
        <v>0</v>
      </c>
      <c r="BC294" s="3">
        <f>SUM(BC289,BC290,BC292,BC293,BC291)</f>
        <v>0</v>
      </c>
      <c r="BD294" s="3">
        <f>SUM(BD289,BD290,BD292,BD293,BD291)</f>
        <v>0</v>
      </c>
      <c r="BE294" s="3">
        <f>SUM(BE289,BE290,BE292,BE293,BE291)</f>
        <v>0</v>
      </c>
      <c r="BF294" s="3">
        <f>SUM(BF289,BF290,BF292,BF293)</f>
        <v>0</v>
      </c>
      <c r="BG294" s="3">
        <f>SUM(BG289,BG290,BG292,BG293,BG291)</f>
        <v>0</v>
      </c>
      <c r="BH294" s="3">
        <f>SUM(BH289,BH290,BH292,BH293,BH291)</f>
        <v>0</v>
      </c>
      <c r="BI294" s="3">
        <f>SUM(BI289,BI290,BI292,BI293,BI291)</f>
        <v>0</v>
      </c>
      <c r="BJ294" s="3">
        <f>SUM(BJ289,BJ290,BJ292,BJ293,BJ291)</f>
        <v>0</v>
      </c>
      <c r="BK294" s="3">
        <f>SUM(BK289,BK290,BK292,BK293)</f>
        <v>0</v>
      </c>
      <c r="BL294" s="3">
        <f>SUM(BL289,BL290,BL292,BL293,BL291)</f>
        <v>0</v>
      </c>
      <c r="BM294" s="3">
        <f>SUM(BM289,BM290,BM292,BM293,BM291)</f>
        <v>0</v>
      </c>
      <c r="BN294" s="3">
        <f>SUM(BN289,BN290,BN292,BN293,BN291)</f>
        <v>0</v>
      </c>
      <c r="BO294" s="3">
        <f>SUM(BO289,BO290,BO292,BO293,BO291)</f>
        <v>0</v>
      </c>
      <c r="BP294" s="3">
        <f>SUM(BP289,BP290,BP292,BP293)</f>
        <v>0</v>
      </c>
      <c r="BQ294" s="3">
        <f>SUM(BQ289,BQ290,BQ292,BQ293,BQ291)</f>
        <v>0</v>
      </c>
      <c r="BR294" s="3">
        <f>SUM(BR289,BR290,BR292,BR293,BR291)</f>
        <v>0</v>
      </c>
      <c r="BS294" s="3">
        <f>SUM(BS289,BS290,BS292,BS293,BS291)</f>
        <v>0</v>
      </c>
      <c r="BT294" s="3">
        <f>SUM(BT289,BT290,BT292,BT293,BT291)</f>
        <v>0</v>
      </c>
      <c r="BU294" s="3">
        <f>SUM(BU289,BU290,BU292,BU293)</f>
        <v>0</v>
      </c>
      <c r="BV294" s="3">
        <f>SUM(BV289,BV290,BV292,BV293,BV291)</f>
        <v>0</v>
      </c>
      <c r="BW294" s="3">
        <f>SUM(BW289,BW290,BW292,BW293,BW291)</f>
        <v>0</v>
      </c>
      <c r="BX294" s="3">
        <f>SUM(BX289,BX290,BX292,BX293,BX291)</f>
        <v>0</v>
      </c>
      <c r="BY294" s="3">
        <f>SUM(BY289,BY290,BY292,BY293,BY291)</f>
        <v>0</v>
      </c>
      <c r="BZ294" s="3">
        <f>SUM(BZ289,BZ290,BZ292,BZ293)</f>
        <v>0</v>
      </c>
      <c r="CA294" s="3">
        <f>SUM(CA289,CA290,CA292,CA293,CA291)</f>
        <v>0</v>
      </c>
      <c r="CB294" s="3">
        <f>SUM(CB289,CB290,CB292,CB293,CB291)</f>
        <v>0</v>
      </c>
      <c r="CC294" s="3">
        <f>SUM(CC289,CC290,CC292,CC293,CC291)</f>
        <v>0</v>
      </c>
      <c r="CD294" s="3">
        <f>SUM(CD289,CD290,CD292,CD293,CD291)</f>
        <v>0</v>
      </c>
      <c r="CE294" s="3">
        <f>SUM(CE289,CE290,CE292,CE293)</f>
        <v>0</v>
      </c>
      <c r="CF294" s="3">
        <f>SUM(CF289,CF290,CF292,CF293,CF291)</f>
        <v>0</v>
      </c>
      <c r="CG294" s="3">
        <f>SUM(CG289,CG290,CG292,CG293,CG291)</f>
        <v>0</v>
      </c>
      <c r="CH294" s="3">
        <f>SUM(CH289,CH290,CH292,CH293,CH291)</f>
        <v>0</v>
      </c>
      <c r="CI294" s="3">
        <f>SUM(CI289,CI290,CI292,CI293,CI291)</f>
        <v>0</v>
      </c>
      <c r="CJ294" s="3">
        <f>SUM(CJ289,CJ290,CJ292,CJ293)</f>
        <v>0</v>
      </c>
      <c r="CK294" s="3">
        <f>SUM(CK289,CK290,CK292,CK293,CK291)</f>
        <v>0</v>
      </c>
      <c r="CL294" s="3">
        <f>SUM(CL289,CL290,CL292,CL293,CL291)</f>
        <v>0</v>
      </c>
      <c r="CM294" s="3">
        <f>SUM(CM289,CM290,CM292,CM293,CM291)</f>
        <v>0</v>
      </c>
      <c r="CN294" s="3">
        <f>SUM(CN289,CN290,CN292,CN293,CN291)</f>
        <v>0</v>
      </c>
      <c r="CO294" s="3">
        <f>SUM(CO289,CO290,CO292,CO293)</f>
        <v>0</v>
      </c>
      <c r="CP294" s="3">
        <f>SUM(CP289,CP290,CP292,CP293,CP291)</f>
        <v>0</v>
      </c>
      <c r="CQ294" s="3">
        <f>SUM(CQ289,CQ290,CQ292,CQ293,CQ291)</f>
        <v>0</v>
      </c>
      <c r="CR294" s="3">
        <f>SUM(CR289,CR290,CR292,CR293,CR291)</f>
        <v>0</v>
      </c>
      <c r="CS294" s="3">
        <f>SUM(CS289,CS290,CS292,CS293,CS291)</f>
        <v>0</v>
      </c>
      <c r="CT294" s="3">
        <f>SUM(CT289,CT290,CT292,CT293)</f>
        <v>0</v>
      </c>
      <c r="CU294" s="3">
        <f>SUM(CU289,CU290,CU292,CU293,CU291)</f>
        <v>0</v>
      </c>
      <c r="CV294" s="3">
        <f>SUM(CV289,CV290,CV292,CV293,CV291)</f>
        <v>0</v>
      </c>
      <c r="CW294" s="3">
        <f>SUM(CW289,CW290,CW292,CW293,CW291)</f>
        <v>0</v>
      </c>
      <c r="CX294" s="3">
        <f>SUM(CX289,CX290,CX292,CX293,CX291)</f>
        <v>0</v>
      </c>
      <c r="CY294" s="3">
        <f>SUM(CY289,CY290,CY292,CY293)</f>
        <v>0</v>
      </c>
    </row>
    <row r="295">
      <c r="C295" s="26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3" t="n"/>
      <c r="AB295" s="3" t="n"/>
      <c r="AC295" s="3" t="n"/>
      <c r="AD295" s="3" t="n"/>
      <c r="AE295" s="3" t="n"/>
      <c r="AF295" s="3" t="n"/>
      <c r="AG295" s="3" t="n"/>
      <c r="AH295" s="3" t="n"/>
      <c r="AI295" s="3" t="n"/>
      <c r="AJ295" s="3" t="n"/>
      <c r="AK295" s="3" t="n"/>
      <c r="AL295" s="3" t="n"/>
      <c r="AM295" s="3" t="n"/>
      <c r="AN295" s="3" t="n"/>
      <c r="AO295" s="3" t="n"/>
      <c r="AP295" s="3" t="n"/>
      <c r="AQ295" s="3" t="n"/>
      <c r="AR295" s="3" t="n"/>
      <c r="AS295" s="3" t="n"/>
      <c r="AT295" s="3" t="n"/>
      <c r="AU295" s="3" t="n"/>
      <c r="AV295" s="3" t="n"/>
      <c r="AW295" s="3" t="n"/>
      <c r="AX295" s="3" t="n"/>
      <c r="AY295" s="3" t="n"/>
      <c r="AZ295" s="3" t="n"/>
      <c r="BA295" s="3" t="n"/>
      <c r="BB295" s="3" t="n"/>
      <c r="BC295" s="3" t="n"/>
      <c r="BD295" s="3" t="n"/>
      <c r="BE295" s="3" t="n"/>
      <c r="BF295" s="3" t="n"/>
      <c r="BG295" s="3" t="n"/>
      <c r="BH295" s="3" t="n"/>
      <c r="BI295" s="3" t="n"/>
      <c r="BJ295" s="3" t="n"/>
      <c r="BK295" s="3" t="n"/>
      <c r="BL295" s="3" t="n"/>
      <c r="BM295" s="3" t="n"/>
      <c r="BN295" s="3" t="n"/>
      <c r="BO295" s="3" t="n"/>
      <c r="BP295" s="3" t="n"/>
      <c r="BQ295" s="3" t="n"/>
      <c r="BR295" s="3" t="n"/>
      <c r="BS295" s="3" t="n"/>
      <c r="BT295" s="3" t="n"/>
      <c r="BU295" s="3" t="n"/>
      <c r="BV295" s="3" t="n"/>
      <c r="BW295" s="3" t="n"/>
      <c r="BX295" s="3" t="n"/>
      <c r="BY295" s="3" t="n"/>
      <c r="BZ295" s="3" t="n"/>
      <c r="CA295" s="3" t="n"/>
      <c r="CB295" s="3" t="n"/>
      <c r="CC295" s="3" t="n"/>
      <c r="CD295" s="3" t="n"/>
      <c r="CE295" s="3" t="n"/>
      <c r="CF295" s="3" t="n"/>
      <c r="CG295" s="3" t="n"/>
      <c r="CH295" s="3" t="n"/>
      <c r="CI295" s="3" t="n"/>
      <c r="CJ295" s="3" t="n"/>
      <c r="CK295" s="3" t="n"/>
      <c r="CL295" s="3" t="n"/>
      <c r="CM295" s="3" t="n"/>
      <c r="CN295" s="3" t="n"/>
      <c r="CO295" s="3" t="n"/>
      <c r="CP295" s="3" t="n"/>
      <c r="CQ295" s="3" t="n"/>
      <c r="CR295" s="3" t="n"/>
      <c r="CS295" s="3" t="n"/>
      <c r="CT295" s="3" t="n"/>
      <c r="CU295" s="3" t="n"/>
      <c r="CV295" s="3" t="n"/>
      <c r="CW295" s="3" t="n"/>
      <c r="CX295" s="3" t="n"/>
      <c r="CY295" s="3" t="n"/>
    </row>
    <row r="296">
      <c r="C296" s="26" t="inlineStr">
        <is>
          <t>Convertible preferred stock</t>
        </is>
      </c>
      <c r="D296" s="3" t="n"/>
      <c r="E296" s="3">
        <f>E247-D247</f>
        <v>0</v>
      </c>
      <c r="F296" s="3">
        <f>F247-E247</f>
        <v>0</v>
      </c>
      <c r="G296" s="3">
        <f>G247-F247</f>
        <v>0</v>
      </c>
      <c r="H296" s="3">
        <f>SUM(D296:G296)</f>
        <v>0</v>
      </c>
      <c r="I296" s="3">
        <f>I247-H247</f>
        <v>0</v>
      </c>
      <c r="J296" s="3">
        <f>J247-I247</f>
        <v>0</v>
      </c>
      <c r="K296" s="3">
        <f>K247-J247</f>
        <v>0</v>
      </c>
      <c r="L296" s="3">
        <f>L247-K247</f>
        <v>0</v>
      </c>
      <c r="M296" s="3">
        <f>SUM(I296:L296)</f>
        <v>0</v>
      </c>
      <c r="N296" s="3">
        <f>N247-M247</f>
        <v>0</v>
      </c>
      <c r="O296" s="3">
        <f>O247-N247</f>
        <v>0</v>
      </c>
      <c r="P296" s="3">
        <f>P247-O247</f>
        <v>0</v>
      </c>
      <c r="Q296" s="3">
        <f>Q247-P247</f>
        <v>0</v>
      </c>
      <c r="R296" s="3">
        <f>SUM(N296:Q296)</f>
        <v>0</v>
      </c>
      <c r="S296" s="3">
        <f>S247-R247</f>
        <v>0</v>
      </c>
      <c r="T296" s="3">
        <f>T247-S247</f>
        <v>0</v>
      </c>
      <c r="U296" s="3">
        <f>U247-T247</f>
        <v>0</v>
      </c>
      <c r="V296" s="3">
        <f>V247-U247</f>
        <v>0</v>
      </c>
      <c r="W296" s="3">
        <f>SUM(S296:V296)</f>
        <v>0</v>
      </c>
      <c r="X296" s="3">
        <f>X247-W247</f>
        <v>0</v>
      </c>
      <c r="Y296" s="3">
        <f>Y247-X247</f>
        <v>0</v>
      </c>
      <c r="Z296" s="3">
        <f>Z247-Y247</f>
        <v>0</v>
      </c>
      <c r="AA296" s="3">
        <f>AA247-Z247</f>
        <v>0</v>
      </c>
      <c r="AB296" s="3">
        <f>SUM(X296:AA296)</f>
        <v>0</v>
      </c>
      <c r="AC296" s="3">
        <f>AC247-AB247</f>
        <v>0</v>
      </c>
      <c r="AD296" s="3">
        <f>AD247-AC247</f>
        <v>0</v>
      </c>
      <c r="AE296" s="3">
        <f>AE247-AD247</f>
        <v>0</v>
      </c>
      <c r="AF296" s="3">
        <f>AF247-AE247</f>
        <v>0</v>
      </c>
      <c r="AG296" s="3">
        <f>SUM(AC296:AF296)</f>
        <v>0</v>
      </c>
      <c r="AH296" s="3">
        <f>AH247-AG247</f>
        <v>0</v>
      </c>
      <c r="AI296" s="3">
        <f>AI247-AH247</f>
        <v>0</v>
      </c>
      <c r="AJ296" s="3">
        <f>AJ247-AI247</f>
        <v>0</v>
      </c>
      <c r="AK296" s="3">
        <f>AK247-AJ247</f>
        <v>0</v>
      </c>
      <c r="AL296" s="3">
        <f>SUM(AH296:AK296)</f>
        <v>0</v>
      </c>
      <c r="AM296" s="3">
        <f>AM247-AL247</f>
        <v>0</v>
      </c>
      <c r="AN296" s="3">
        <f>AN247-AM247</f>
        <v>0</v>
      </c>
      <c r="AO296" s="3">
        <f>AO247-AN247</f>
        <v>0</v>
      </c>
      <c r="AP296" s="3">
        <f>AP247-AO247</f>
        <v>0</v>
      </c>
      <c r="AQ296" s="3">
        <f>SUM(AM296:AP296)</f>
        <v>0</v>
      </c>
      <c r="AR296" s="3">
        <f>AR247-AQ247</f>
        <v>0</v>
      </c>
      <c r="AS296" s="3">
        <f>AS247-AR247</f>
        <v>0</v>
      </c>
      <c r="AT296" s="3">
        <f>AT247-AS247</f>
        <v>0</v>
      </c>
      <c r="AU296" s="3">
        <f>AU247-AT247</f>
        <v>0</v>
      </c>
      <c r="AV296" s="3">
        <f>SUM(AR296:AU296)</f>
        <v>0</v>
      </c>
      <c r="AW296" s="3">
        <f>AW247-AV247</f>
        <v>0</v>
      </c>
      <c r="AX296" s="3">
        <f>AX247-AW247</f>
        <v>0</v>
      </c>
      <c r="AY296" s="3">
        <f>AY247-AX247</f>
        <v>0</v>
      </c>
      <c r="AZ296" s="3">
        <f>AZ247-AY247</f>
        <v>0</v>
      </c>
      <c r="BA296" s="3">
        <f>SUM(AW296:AZ296)</f>
        <v>0</v>
      </c>
      <c r="BB296" s="3">
        <f>BB247-BA247</f>
        <v>0</v>
      </c>
      <c r="BC296" s="3">
        <f>BC247-BB247</f>
        <v>0</v>
      </c>
      <c r="BD296" s="3">
        <f>BD247-BC247</f>
        <v>0</v>
      </c>
      <c r="BE296" s="3">
        <f>BE247-BD247</f>
        <v>0</v>
      </c>
      <c r="BF296" s="3">
        <f>SUM(BB296:BE296)</f>
        <v>0</v>
      </c>
      <c r="BG296" s="3">
        <f>BG247-BF247</f>
        <v>0</v>
      </c>
      <c r="BH296" s="3">
        <f>BH247-BG247</f>
        <v>0</v>
      </c>
      <c r="BI296" s="3">
        <f>BI247-BH247</f>
        <v>0</v>
      </c>
      <c r="BJ296" s="3">
        <f>BJ247-BI247</f>
        <v>0</v>
      </c>
      <c r="BK296" s="3">
        <f>SUM(BG296:BJ296)</f>
        <v>0</v>
      </c>
      <c r="BL296" s="3">
        <f>BL247-BK247</f>
        <v>0</v>
      </c>
      <c r="BM296" s="3">
        <f>BM247-BL247</f>
        <v>0</v>
      </c>
      <c r="BN296" s="3">
        <f>BN247-BM247</f>
        <v>0</v>
      </c>
      <c r="BO296" s="3">
        <f>BO247-BN247</f>
        <v>0</v>
      </c>
      <c r="BP296" s="3">
        <f>SUM(BL296:BO296)</f>
        <v>0</v>
      </c>
      <c r="BQ296" s="3">
        <f>BQ247-BP247</f>
        <v>0</v>
      </c>
      <c r="BR296" s="3">
        <f>BR247-BQ247</f>
        <v>0</v>
      </c>
      <c r="BS296" s="3">
        <f>BS247-BR247</f>
        <v>0</v>
      </c>
      <c r="BT296" s="3">
        <f>BT247-BS247</f>
        <v>0</v>
      </c>
      <c r="BU296" s="3">
        <f>SUM(BQ296:BT296)</f>
        <v>0</v>
      </c>
      <c r="BV296" s="3">
        <f>BV247-BU247</f>
        <v>0</v>
      </c>
      <c r="BW296" s="3">
        <f>BW247-BV247</f>
        <v>0</v>
      </c>
      <c r="BX296" s="3">
        <f>BX247-BW247</f>
        <v>0</v>
      </c>
      <c r="BY296" s="3">
        <f>BY247-BX247</f>
        <v>0</v>
      </c>
      <c r="BZ296" s="3">
        <f>SUM(BV296:BY296)</f>
        <v>0</v>
      </c>
      <c r="CA296" s="3">
        <f>CA247-BZ247</f>
        <v>0</v>
      </c>
      <c r="CB296" s="3">
        <f>CB247-CA247</f>
        <v>0</v>
      </c>
      <c r="CC296" s="3">
        <f>CC247-CB247</f>
        <v>0</v>
      </c>
      <c r="CD296" s="3">
        <f>CD247-CC247</f>
        <v>0</v>
      </c>
      <c r="CE296" s="3">
        <f>SUM(CA296:CD296)</f>
        <v>0</v>
      </c>
      <c r="CF296" s="3">
        <f>CF247-CE247</f>
        <v>0</v>
      </c>
      <c r="CG296" s="3">
        <f>CG247-CF247</f>
        <v>0</v>
      </c>
      <c r="CH296" s="3">
        <f>CH247-CG247</f>
        <v>0</v>
      </c>
      <c r="CI296" s="3">
        <f>CI247-CH247</f>
        <v>0</v>
      </c>
      <c r="CJ296" s="3">
        <f>SUM(CF296:CI296)</f>
        <v>0</v>
      </c>
      <c r="CK296" s="3">
        <f>CK247-CJ247</f>
        <v>0</v>
      </c>
      <c r="CL296" s="3">
        <f>CL247-CK247</f>
        <v>0</v>
      </c>
      <c r="CM296" s="3">
        <f>CM247-CL247</f>
        <v>0</v>
      </c>
      <c r="CN296" s="3">
        <f>CN247-CM247</f>
        <v>0</v>
      </c>
      <c r="CO296" s="3">
        <f>SUM(CK296:CN296)</f>
        <v>0</v>
      </c>
      <c r="CP296" s="3">
        <f>CP247-CO247</f>
        <v>0</v>
      </c>
      <c r="CQ296" s="3">
        <f>CQ247-CP247</f>
        <v>0</v>
      </c>
      <c r="CR296" s="3">
        <f>CR247-CQ247</f>
        <v>0</v>
      </c>
      <c r="CS296" s="3">
        <f>CS247-CR247</f>
        <v>0</v>
      </c>
      <c r="CT296" s="3">
        <f>SUM(CP296:CS296)</f>
        <v>0</v>
      </c>
      <c r="CU296" s="3">
        <f>CU247-CT247</f>
        <v>0</v>
      </c>
      <c r="CV296" s="3">
        <f>CV247-CU247</f>
        <v>0</v>
      </c>
      <c r="CW296" s="3">
        <f>CW247-CV247</f>
        <v>0</v>
      </c>
      <c r="CX296" s="3">
        <f>CX247-CW247</f>
        <v>0</v>
      </c>
      <c r="CY296" s="3">
        <f>SUM(CU296:CX296)</f>
        <v>0</v>
      </c>
    </row>
    <row r="297">
      <c r="C297" s="26" t="inlineStr">
        <is>
          <t>Common stock and APIC</t>
        </is>
      </c>
      <c r="D297" s="3" t="n"/>
      <c r="E297" s="3">
        <f>E248-D248</f>
        <v>505</v>
      </c>
      <c r="F297" s="3">
        <f>F248-E248</f>
        <v>5680</v>
      </c>
      <c r="G297" s="3">
        <f>G248-F248</f>
        <v>5686</v>
      </c>
      <c r="H297" s="3">
        <f>SUM(D297:G297)</f>
        <v>11871</v>
      </c>
      <c r="I297" s="3">
        <f>I248-H248</f>
        <v>363</v>
      </c>
      <c r="J297" s="3">
        <f>J248-I248</f>
        <v>582</v>
      </c>
      <c r="K297" s="3">
        <f>K248-J248</f>
        <v>717</v>
      </c>
      <c r="L297" s="3">
        <f>L248-K248</f>
        <v>881</v>
      </c>
      <c r="M297" s="3">
        <f>SUM(I297:L297)</f>
        <v>2543</v>
      </c>
      <c r="N297" s="3">
        <f>N248-M248</f>
        <v>682</v>
      </c>
      <c r="O297" s="3">
        <f>O248-N248</f>
        <v>459</v>
      </c>
      <c r="P297" s="3">
        <f>P248-O248</f>
        <v>650</v>
      </c>
      <c r="Q297" s="3">
        <f>Q248-P248</f>
        <v>585</v>
      </c>
      <c r="R297" s="3">
        <f>SUM(N297:Q297)</f>
        <v>2376</v>
      </c>
      <c r="S297" s="3">
        <f>S248-R248</f>
        <v>701</v>
      </c>
      <c r="T297" s="3">
        <f>T248-S248</f>
        <v>558</v>
      </c>
      <c r="U297" s="3">
        <f>U248-T248</f>
        <v>765</v>
      </c>
      <c r="V297" s="3">
        <f>V248-U248</f>
        <v>691</v>
      </c>
      <c r="W297" s="3">
        <f>SUM(S297:V297)</f>
        <v>2715</v>
      </c>
      <c r="X297" s="3">
        <f>X248-W248</f>
        <v>871</v>
      </c>
      <c r="Y297" s="3">
        <f>Y248-X248</f>
        <v>680</v>
      </c>
      <c r="Z297" s="3">
        <f>Z248-Y248</f>
        <v>843</v>
      </c>
      <c r="AA297" s="3">
        <f>AA248-Z248</f>
        <v>1085</v>
      </c>
      <c r="AB297" s="3">
        <f>SUM(X297:AA297)</f>
        <v>3479</v>
      </c>
      <c r="AC297" s="3">
        <f>AC248-AB248</f>
        <v>1085</v>
      </c>
      <c r="AD297" s="3">
        <f>AD248-AC248</f>
        <v>907</v>
      </c>
      <c r="AE297" s="3">
        <f>AE248-AD248</f>
        <v>1234</v>
      </c>
      <c r="AF297" s="3">
        <f>AF248-AE248</f>
        <v>1173</v>
      </c>
      <c r="AG297" s="3">
        <f>SUM(AC297:AF297)</f>
        <v>4399</v>
      </c>
      <c r="AH297" s="3">
        <f>AH248-AG248</f>
        <v>1529</v>
      </c>
      <c r="AI297" s="3">
        <f>AI248-AH248</f>
        <v>1561</v>
      </c>
      <c r="AJ297" s="3">
        <f>AJ248-AI248</f>
        <v>0</v>
      </c>
      <c r="AK297" s="3">
        <f>AK248-AJ248</f>
        <v>0</v>
      </c>
      <c r="AL297" s="3">
        <f>SUM(AH297:AK297)</f>
        <v>3090</v>
      </c>
      <c r="AM297" s="3">
        <f>AM248-AL248</f>
        <v>0</v>
      </c>
      <c r="AN297" s="3">
        <f>AN248-AM248</f>
        <v>0</v>
      </c>
      <c r="AO297" s="3">
        <f>AO248-AN248</f>
        <v>0</v>
      </c>
      <c r="AP297" s="3">
        <f>AP248-AO248</f>
        <v>0</v>
      </c>
      <c r="AQ297" s="3">
        <f>SUM(AM297:AP297)</f>
        <v>0</v>
      </c>
      <c r="AR297" s="3">
        <f>AR248-AQ248</f>
        <v>0</v>
      </c>
      <c r="AS297" s="3">
        <f>AS248-AR248</f>
        <v>0</v>
      </c>
      <c r="AT297" s="3">
        <f>AT248-AS248</f>
        <v>0</v>
      </c>
      <c r="AU297" s="3">
        <f>AU248-AT248</f>
        <v>0</v>
      </c>
      <c r="AV297" s="3">
        <f>SUM(AR297:AU297)</f>
        <v>0</v>
      </c>
      <c r="AW297" s="3">
        <f>AW248-AV248</f>
        <v>0</v>
      </c>
      <c r="AX297" s="3">
        <f>AX248-AW248</f>
        <v>0</v>
      </c>
      <c r="AY297" s="3">
        <f>AY248-AX248</f>
        <v>0</v>
      </c>
      <c r="AZ297" s="3">
        <f>AZ248-AY248</f>
        <v>0</v>
      </c>
      <c r="BA297" s="3">
        <f>SUM(AW297:AZ297)</f>
        <v>0</v>
      </c>
      <c r="BB297" s="3">
        <f>BB248-BA248</f>
        <v>0</v>
      </c>
      <c r="BC297" s="3">
        <f>BC248-BB248</f>
        <v>0</v>
      </c>
      <c r="BD297" s="3">
        <f>BD248-BC248</f>
        <v>0</v>
      </c>
      <c r="BE297" s="3">
        <f>BE248-BD248</f>
        <v>0</v>
      </c>
      <c r="BF297" s="3">
        <f>SUM(BB297:BE297)</f>
        <v>0</v>
      </c>
      <c r="BG297" s="3">
        <f>BG248-BF248</f>
        <v>0</v>
      </c>
      <c r="BH297" s="3">
        <f>BH248-BG248</f>
        <v>0</v>
      </c>
      <c r="BI297" s="3">
        <f>BI248-BH248</f>
        <v>0</v>
      </c>
      <c r="BJ297" s="3">
        <f>BJ248-BI248</f>
        <v>0</v>
      </c>
      <c r="BK297" s="3">
        <f>SUM(BG297:BJ297)</f>
        <v>0</v>
      </c>
      <c r="BL297" s="3">
        <f>BL248-BK248</f>
        <v>0</v>
      </c>
      <c r="BM297" s="3">
        <f>BM248-BL248</f>
        <v>0</v>
      </c>
      <c r="BN297" s="3">
        <f>BN248-BM248</f>
        <v>0</v>
      </c>
      <c r="BO297" s="3">
        <f>BO248-BN248</f>
        <v>0</v>
      </c>
      <c r="BP297" s="3">
        <f>SUM(BL297:BO297)</f>
        <v>0</v>
      </c>
      <c r="BQ297" s="3">
        <f>BQ248-BP248</f>
        <v>0</v>
      </c>
      <c r="BR297" s="3">
        <f>BR248-BQ248</f>
        <v>0</v>
      </c>
      <c r="BS297" s="3">
        <f>BS248-BR248</f>
        <v>0</v>
      </c>
      <c r="BT297" s="3">
        <f>BT248-BS248</f>
        <v>0</v>
      </c>
      <c r="BU297" s="3">
        <f>SUM(BQ297:BT297)</f>
        <v>0</v>
      </c>
      <c r="BV297" s="3">
        <f>BV248-BU248</f>
        <v>0</v>
      </c>
      <c r="BW297" s="3">
        <f>BW248-BV248</f>
        <v>0</v>
      </c>
      <c r="BX297" s="3">
        <f>BX248-BW248</f>
        <v>0</v>
      </c>
      <c r="BY297" s="3">
        <f>BY248-BX248</f>
        <v>0</v>
      </c>
      <c r="BZ297" s="3">
        <f>SUM(BV297:BY297)</f>
        <v>0</v>
      </c>
      <c r="CA297" s="3">
        <f>CA248-BZ248</f>
        <v>0</v>
      </c>
      <c r="CB297" s="3">
        <f>CB248-CA248</f>
        <v>0</v>
      </c>
      <c r="CC297" s="3">
        <f>CC248-CB248</f>
        <v>0</v>
      </c>
      <c r="CD297" s="3">
        <f>CD248-CC248</f>
        <v>0</v>
      </c>
      <c r="CE297" s="3">
        <f>SUM(CA297:CD297)</f>
        <v>0</v>
      </c>
      <c r="CF297" s="3">
        <f>CF248-CE248</f>
        <v>0</v>
      </c>
      <c r="CG297" s="3">
        <f>CG248-CF248</f>
        <v>0</v>
      </c>
      <c r="CH297" s="3">
        <f>CH248-CG248</f>
        <v>0</v>
      </c>
      <c r="CI297" s="3">
        <f>CI248-CH248</f>
        <v>0</v>
      </c>
      <c r="CJ297" s="3">
        <f>SUM(CF297:CI297)</f>
        <v>0</v>
      </c>
      <c r="CK297" s="3">
        <f>CK248-CJ248</f>
        <v>0</v>
      </c>
      <c r="CL297" s="3">
        <f>CL248-CK248</f>
        <v>0</v>
      </c>
      <c r="CM297" s="3">
        <f>CM248-CL248</f>
        <v>0</v>
      </c>
      <c r="CN297" s="3">
        <f>CN248-CM248</f>
        <v>0</v>
      </c>
      <c r="CO297" s="3">
        <f>SUM(CK297:CN297)</f>
        <v>0</v>
      </c>
      <c r="CP297" s="3">
        <f>CP248-CO248</f>
        <v>0</v>
      </c>
      <c r="CQ297" s="3">
        <f>CQ248-CP248</f>
        <v>0</v>
      </c>
      <c r="CR297" s="3">
        <f>CR248-CQ248</f>
        <v>0</v>
      </c>
      <c r="CS297" s="3">
        <f>CS248-CR248</f>
        <v>0</v>
      </c>
      <c r="CT297" s="3">
        <f>SUM(CP297:CS297)</f>
        <v>0</v>
      </c>
      <c r="CU297" s="3">
        <f>CU248-CT248</f>
        <v>0</v>
      </c>
      <c r="CV297" s="3">
        <f>CV248-CU248</f>
        <v>0</v>
      </c>
      <c r="CW297" s="3">
        <f>CW248-CV248</f>
        <v>0</v>
      </c>
      <c r="CX297" s="3">
        <f>CX248-CW248</f>
        <v>0</v>
      </c>
      <c r="CY297" s="3">
        <f>SUM(CU297:CX297)</f>
        <v>0</v>
      </c>
    </row>
    <row r="298">
      <c r="C298" s="26" t="inlineStr">
        <is>
          <t>Treasury stock repurchases</t>
        </is>
      </c>
      <c r="D298" s="3" t="n"/>
      <c r="E298" s="3">
        <f>E261-D261</f>
        <v>0</v>
      </c>
      <c r="F298" s="3">
        <f>F261-E261</f>
        <v>0</v>
      </c>
      <c r="G298" s="3">
        <f>G261-F261</f>
        <v>0</v>
      </c>
      <c r="H298" s="3">
        <f>SUM(D298:G298)</f>
        <v>0</v>
      </c>
      <c r="I298" s="3">
        <f>I261-H261</f>
        <v>0</v>
      </c>
      <c r="J298" s="3">
        <f>J261-I261</f>
        <v>0</v>
      </c>
      <c r="K298" s="3">
        <f>K261-J261</f>
        <v>0</v>
      </c>
      <c r="L298" s="3">
        <f>L261-K261</f>
        <v>0</v>
      </c>
      <c r="M298" s="3">
        <f>SUM(I298:L298)</f>
        <v>0</v>
      </c>
      <c r="N298" s="3">
        <f>N261-M261</f>
        <v>0</v>
      </c>
      <c r="O298" s="3">
        <f>O261-N261</f>
        <v>0</v>
      </c>
      <c r="P298" s="3">
        <f>P261-O261</f>
        <v>0</v>
      </c>
      <c r="Q298" s="3">
        <f>Q261-P261</f>
        <v>0</v>
      </c>
      <c r="R298" s="3">
        <f>SUM(N298:Q298)</f>
        <v>0</v>
      </c>
      <c r="S298" s="3">
        <f>S261-R261</f>
        <v>0</v>
      </c>
      <c r="T298" s="3">
        <f>T261-S261</f>
        <v>0</v>
      </c>
      <c r="U298" s="3">
        <f>U261-T261</f>
        <v>0</v>
      </c>
      <c r="V298" s="3">
        <f>V261-U261</f>
        <v>0</v>
      </c>
      <c r="W298" s="3">
        <f>SUM(S298:V298)</f>
        <v>0</v>
      </c>
      <c r="X298" s="3">
        <f>X261-W261</f>
        <v>0</v>
      </c>
      <c r="Y298" s="3">
        <f>Y261-X261</f>
        <v>0</v>
      </c>
      <c r="Z298" s="3">
        <f>Z261-Y261</f>
        <v>0</v>
      </c>
      <c r="AA298" s="3">
        <f>AA261-Z261</f>
        <v>0</v>
      </c>
      <c r="AB298" s="3">
        <f>SUM(X298:AA298)</f>
        <v>0</v>
      </c>
      <c r="AC298" s="3">
        <f>AC261-AB261</f>
        <v>0</v>
      </c>
      <c r="AD298" s="3">
        <f>AD261-AC261</f>
        <v>0</v>
      </c>
      <c r="AE298" s="3">
        <f>AE261-AD261</f>
        <v>0</v>
      </c>
      <c r="AF298" s="3">
        <f>AF261-AE261</f>
        <v>0</v>
      </c>
      <c r="AG298" s="3">
        <f>SUM(AC298:AF298)</f>
        <v>0</v>
      </c>
      <c r="AH298" s="3">
        <f>AH261-AG261</f>
        <v>0</v>
      </c>
      <c r="AI298" s="3">
        <f>AI261-AH261</f>
        <v>0</v>
      </c>
      <c r="AJ298" s="3">
        <f>AJ261-AI261</f>
        <v>0</v>
      </c>
      <c r="AK298" s="3">
        <f>AK261-AJ261</f>
        <v>0</v>
      </c>
      <c r="AL298" s="3">
        <f>SUM(AH298:AK298)</f>
        <v>0</v>
      </c>
      <c r="AM298" s="3">
        <f>AM261-AL261</f>
        <v>0</v>
      </c>
      <c r="AN298" s="3">
        <f>AN261-AM261</f>
        <v>0</v>
      </c>
      <c r="AO298" s="3">
        <f>AO261-AN261</f>
        <v>0</v>
      </c>
      <c r="AP298" s="3">
        <f>AP261-AO261</f>
        <v>0</v>
      </c>
      <c r="AQ298" s="3">
        <f>SUM(AM298:AP298)</f>
        <v>0</v>
      </c>
      <c r="AR298" s="3">
        <f>AR261-AQ261</f>
        <v>0</v>
      </c>
      <c r="AS298" s="3">
        <f>AS261-AR261</f>
        <v>0</v>
      </c>
      <c r="AT298" s="3">
        <f>AT261-AS261</f>
        <v>0</v>
      </c>
      <c r="AU298" s="3">
        <f>AU261-AT261</f>
        <v>0</v>
      </c>
      <c r="AV298" s="3">
        <f>SUM(AR298:AU298)</f>
        <v>0</v>
      </c>
      <c r="AW298" s="3">
        <f>AW261-AV261</f>
        <v>0</v>
      </c>
      <c r="AX298" s="3">
        <f>AX261-AW261</f>
        <v>0</v>
      </c>
      <c r="AY298" s="3">
        <f>AY261-AX261</f>
        <v>0</v>
      </c>
      <c r="AZ298" s="3">
        <f>AZ261-AY261</f>
        <v>0</v>
      </c>
      <c r="BA298" s="3">
        <f>SUM(AW298:AZ298)</f>
        <v>0</v>
      </c>
      <c r="BB298" s="3">
        <f>BB261-BA261</f>
        <v>0</v>
      </c>
      <c r="BC298" s="3">
        <f>BC261-BB261</f>
        <v>0</v>
      </c>
      <c r="BD298" s="3">
        <f>BD261-BC261</f>
        <v>0</v>
      </c>
      <c r="BE298" s="3">
        <f>BE261-BD261</f>
        <v>0</v>
      </c>
      <c r="BF298" s="3">
        <f>SUM(BB298:BE298)</f>
        <v>0</v>
      </c>
      <c r="BG298" s="3">
        <f>BG261-BF261</f>
        <v>0</v>
      </c>
      <c r="BH298" s="3">
        <f>BH261-BG261</f>
        <v>0</v>
      </c>
      <c r="BI298" s="3">
        <f>BI261-BH261</f>
        <v>0</v>
      </c>
      <c r="BJ298" s="3">
        <f>BJ261-BI261</f>
        <v>0</v>
      </c>
      <c r="BK298" s="3">
        <f>SUM(BG298:BJ298)</f>
        <v>0</v>
      </c>
      <c r="BL298" s="3">
        <f>BL261-BK261</f>
        <v>0</v>
      </c>
      <c r="BM298" s="3">
        <f>BM261-BL261</f>
        <v>0</v>
      </c>
      <c r="BN298" s="3">
        <f>BN261-BM261</f>
        <v>0</v>
      </c>
      <c r="BO298" s="3">
        <f>BO261-BN261</f>
        <v>0</v>
      </c>
      <c r="BP298" s="3">
        <f>SUM(BL298:BO298)</f>
        <v>0</v>
      </c>
      <c r="BQ298" s="3">
        <f>BQ261-BP261</f>
        <v>0</v>
      </c>
      <c r="BR298" s="3">
        <f>BR261-BQ261</f>
        <v>0</v>
      </c>
      <c r="BS298" s="3">
        <f>BS261-BR261</f>
        <v>0</v>
      </c>
      <c r="BT298" s="3">
        <f>BT261-BS261</f>
        <v>0</v>
      </c>
      <c r="BU298" s="3">
        <f>SUM(BQ298:BT298)</f>
        <v>0</v>
      </c>
      <c r="BV298" s="3">
        <f>BV261-BU261</f>
        <v>0</v>
      </c>
      <c r="BW298" s="3">
        <f>BW261-BV261</f>
        <v>0</v>
      </c>
      <c r="BX298" s="3">
        <f>BX261-BW261</f>
        <v>0</v>
      </c>
      <c r="BY298" s="3">
        <f>BY261-BX261</f>
        <v>0</v>
      </c>
      <c r="BZ298" s="3">
        <f>SUM(BV298:BY298)</f>
        <v>0</v>
      </c>
      <c r="CA298" s="3">
        <f>CA261-BZ261</f>
        <v>0</v>
      </c>
      <c r="CB298" s="3">
        <f>CB261-CA261</f>
        <v>0</v>
      </c>
      <c r="CC298" s="3">
        <f>CC261-CB261</f>
        <v>0</v>
      </c>
      <c r="CD298" s="3">
        <f>CD261-CC261</f>
        <v>0</v>
      </c>
      <c r="CE298" s="3">
        <f>SUM(CA298:CD298)</f>
        <v>0</v>
      </c>
      <c r="CF298" s="3">
        <f>CF261-CE261</f>
        <v>0</v>
      </c>
      <c r="CG298" s="3">
        <f>CG261-CF261</f>
        <v>0</v>
      </c>
      <c r="CH298" s="3">
        <f>CH261-CG261</f>
        <v>0</v>
      </c>
      <c r="CI298" s="3">
        <f>CI261-CH261</f>
        <v>0</v>
      </c>
      <c r="CJ298" s="3">
        <f>SUM(CF298:CI298)</f>
        <v>0</v>
      </c>
      <c r="CK298" s="3">
        <f>CK261-CJ261</f>
        <v>0</v>
      </c>
      <c r="CL298" s="3">
        <f>CL261-CK261</f>
        <v>0</v>
      </c>
      <c r="CM298" s="3">
        <f>CM261-CL261</f>
        <v>0</v>
      </c>
      <c r="CN298" s="3">
        <f>CN261-CM261</f>
        <v>0</v>
      </c>
      <c r="CO298" s="3">
        <f>SUM(CK298:CN298)</f>
        <v>0</v>
      </c>
      <c r="CP298" s="3">
        <f>CP261-CO261</f>
        <v>0</v>
      </c>
      <c r="CQ298" s="3">
        <f>CQ261-CP261</f>
        <v>0</v>
      </c>
      <c r="CR298" s="3">
        <f>CR261-CQ261</f>
        <v>0</v>
      </c>
      <c r="CS298" s="3">
        <f>CS261-CR261</f>
        <v>0</v>
      </c>
      <c r="CT298" s="3">
        <f>SUM(CP298:CS298)</f>
        <v>0</v>
      </c>
      <c r="CU298" s="3">
        <f>CU261-CT261</f>
        <v>0</v>
      </c>
      <c r="CV298" s="3">
        <f>CV261-CU261</f>
        <v>0</v>
      </c>
      <c r="CW298" s="3">
        <f>CW261-CV261</f>
        <v>0</v>
      </c>
      <c r="CX298" s="3">
        <f>CX261-CW261</f>
        <v>0</v>
      </c>
      <c r="CY298" s="3">
        <f>SUM(CU298:CX298)</f>
        <v>0</v>
      </c>
    </row>
    <row r="299">
      <c r="C299" s="26" t="inlineStr">
        <is>
          <t>Comprehensive accumulated loss</t>
        </is>
      </c>
      <c r="D299" s="3" t="n"/>
      <c r="E299" s="3">
        <f>E262-D262</f>
        <v>73</v>
      </c>
      <c r="F299" s="3">
        <f>F262-E262</f>
        <v>165</v>
      </c>
      <c r="G299" s="3">
        <f>G262-F262</f>
        <v>238</v>
      </c>
      <c r="H299" s="3">
        <f>SUM(D299:G299)</f>
        <v>476</v>
      </c>
      <c r="I299" s="3">
        <f>I262-H262</f>
        <v>-220</v>
      </c>
      <c r="J299" s="3">
        <f>J262-I262</f>
        <v>63</v>
      </c>
      <c r="K299" s="3">
        <f>K262-J262</f>
        <v>-86</v>
      </c>
      <c r="L299" s="3">
        <f>L262-K262</f>
        <v>-66</v>
      </c>
      <c r="M299" s="3">
        <f>SUM(I299:L299)</f>
        <v>-309</v>
      </c>
      <c r="N299" s="3">
        <f>N262-M262</f>
        <v>-104</v>
      </c>
      <c r="O299" s="3">
        <f>O262-N262</f>
        <v>-427</v>
      </c>
      <c r="P299" s="3">
        <f>P262-O262</f>
        <v>-465</v>
      </c>
      <c r="Q299" s="3">
        <f>Q262-P262</f>
        <v>581</v>
      </c>
      <c r="R299" s="3">
        <f>SUM(N299:Q299)</f>
        <v>-415</v>
      </c>
      <c r="S299" s="3">
        <f>S262-R262</f>
        <v>136</v>
      </c>
      <c r="T299" s="3">
        <f>T262-S262</f>
        <v>-185</v>
      </c>
      <c r="U299" s="3">
        <f>U262-T262</f>
        <v>-282</v>
      </c>
      <c r="V299" s="3">
        <f>V262-U262</f>
        <v>549</v>
      </c>
      <c r="W299" s="3">
        <f>SUM(S299:V299)</f>
        <v>218</v>
      </c>
      <c r="X299" s="3">
        <f>X262-W262</f>
        <v>-256</v>
      </c>
      <c r="Y299" s="3">
        <f>Y262-X262</f>
        <v>-68</v>
      </c>
      <c r="Z299" s="3">
        <f>Z262-Y262</f>
        <v>453</v>
      </c>
      <c r="AA299" s="3">
        <f>AA262-Z262</f>
        <v>-656</v>
      </c>
      <c r="AB299" s="3">
        <f>SUM(X299:AA299)</f>
        <v>-527</v>
      </c>
      <c r="AC299" s="3">
        <f>AC262-AB262</f>
        <v>246</v>
      </c>
      <c r="AD299" s="3">
        <f>AD262-AC262</f>
        <v>582</v>
      </c>
      <c r="AE299" s="3">
        <f>AE262-AD262</f>
        <v>49</v>
      </c>
      <c r="AF299" s="3">
        <f>AF262-AE262</f>
        <v>154</v>
      </c>
      <c r="AG299" s="3">
        <f>SUM(AC299:AF299)</f>
        <v>1031</v>
      </c>
      <c r="AH299" s="3">
        <f>AH262-AG262</f>
        <v>-27</v>
      </c>
      <c r="AI299" s="3">
        <f>AI262-AH262</f>
        <v>67</v>
      </c>
      <c r="AJ299" s="3">
        <f>AJ262-AI262</f>
        <v>0</v>
      </c>
      <c r="AK299" s="3">
        <f>AK262-AJ262</f>
        <v>0</v>
      </c>
      <c r="AL299" s="3">
        <f>SUM(AH299:AK299)</f>
        <v>40</v>
      </c>
      <c r="AM299" s="3">
        <f>AM262-AL262</f>
        <v>0</v>
      </c>
      <c r="AN299" s="3">
        <f>AN262-AM262</f>
        <v>0</v>
      </c>
      <c r="AO299" s="3">
        <f>AO262-AN262</f>
        <v>0</v>
      </c>
      <c r="AP299" s="3">
        <f>AP262-AO262</f>
        <v>0</v>
      </c>
      <c r="AQ299" s="3">
        <f>SUM(AM299:AP299)</f>
        <v>0</v>
      </c>
      <c r="AR299" s="3">
        <f>AR262-AQ262</f>
        <v>0</v>
      </c>
      <c r="AS299" s="3">
        <f>AS262-AR262</f>
        <v>0</v>
      </c>
      <c r="AT299" s="3">
        <f>AT262-AS262</f>
        <v>0</v>
      </c>
      <c r="AU299" s="3">
        <f>AU262-AT262</f>
        <v>0</v>
      </c>
      <c r="AV299" s="3">
        <f>SUM(AR299:AU299)</f>
        <v>0</v>
      </c>
      <c r="AW299" s="3">
        <f>AW262-AV262</f>
        <v>0</v>
      </c>
      <c r="AX299" s="3">
        <f>AX262-AW262</f>
        <v>0</v>
      </c>
      <c r="AY299" s="3">
        <f>AY262-AX262</f>
        <v>0</v>
      </c>
      <c r="AZ299" s="3">
        <f>AZ262-AY262</f>
        <v>0</v>
      </c>
      <c r="BA299" s="3">
        <f>SUM(AW299:AZ299)</f>
        <v>0</v>
      </c>
      <c r="BB299" s="3">
        <f>BB262-BA262</f>
        <v>0</v>
      </c>
      <c r="BC299" s="3">
        <f>BC262-BB262</f>
        <v>0</v>
      </c>
      <c r="BD299" s="3">
        <f>BD262-BC262</f>
        <v>0</v>
      </c>
      <c r="BE299" s="3">
        <f>BE262-BD262</f>
        <v>0</v>
      </c>
      <c r="BF299" s="3">
        <f>SUM(BB299:BE299)</f>
        <v>0</v>
      </c>
      <c r="BG299" s="3">
        <f>BG262-BF262</f>
        <v>0</v>
      </c>
      <c r="BH299" s="3">
        <f>BH262-BG262</f>
        <v>0</v>
      </c>
      <c r="BI299" s="3">
        <f>BI262-BH262</f>
        <v>0</v>
      </c>
      <c r="BJ299" s="3">
        <f>BJ262-BI262</f>
        <v>0</v>
      </c>
      <c r="BK299" s="3">
        <f>SUM(BG299:BJ299)</f>
        <v>0</v>
      </c>
      <c r="BL299" s="3">
        <f>BL262-BK262</f>
        <v>0</v>
      </c>
      <c r="BM299" s="3">
        <f>BM262-BL262</f>
        <v>0</v>
      </c>
      <c r="BN299" s="3">
        <f>BN262-BM262</f>
        <v>0</v>
      </c>
      <c r="BO299" s="3">
        <f>BO262-BN262</f>
        <v>0</v>
      </c>
      <c r="BP299" s="3">
        <f>SUM(BL299:BO299)</f>
        <v>0</v>
      </c>
      <c r="BQ299" s="3">
        <f>BQ262-BP262</f>
        <v>0</v>
      </c>
      <c r="BR299" s="3">
        <f>BR262-BQ262</f>
        <v>0</v>
      </c>
      <c r="BS299" s="3">
        <f>BS262-BR262</f>
        <v>0</v>
      </c>
      <c r="BT299" s="3">
        <f>BT262-BS262</f>
        <v>0</v>
      </c>
      <c r="BU299" s="3">
        <f>SUM(BQ299:BT299)</f>
        <v>0</v>
      </c>
      <c r="BV299" s="3">
        <f>BV262-BU262</f>
        <v>0</v>
      </c>
      <c r="BW299" s="3">
        <f>BW262-BV262</f>
        <v>0</v>
      </c>
      <c r="BX299" s="3">
        <f>BX262-BW262</f>
        <v>0</v>
      </c>
      <c r="BY299" s="3">
        <f>BY262-BX262</f>
        <v>0</v>
      </c>
      <c r="BZ299" s="3">
        <f>SUM(BV299:BY299)</f>
        <v>0</v>
      </c>
      <c r="CA299" s="3">
        <f>CA262-BZ262</f>
        <v>0</v>
      </c>
      <c r="CB299" s="3">
        <f>CB262-CA262</f>
        <v>0</v>
      </c>
      <c r="CC299" s="3">
        <f>CC262-CB262</f>
        <v>0</v>
      </c>
      <c r="CD299" s="3">
        <f>CD262-CC262</f>
        <v>0</v>
      </c>
      <c r="CE299" s="3">
        <f>SUM(CA299:CD299)</f>
        <v>0</v>
      </c>
      <c r="CF299" s="3">
        <f>CF262-CE262</f>
        <v>0</v>
      </c>
      <c r="CG299" s="3">
        <f>CG262-CF262</f>
        <v>0</v>
      </c>
      <c r="CH299" s="3">
        <f>CH262-CG262</f>
        <v>0</v>
      </c>
      <c r="CI299" s="3">
        <f>CI262-CH262</f>
        <v>0</v>
      </c>
      <c r="CJ299" s="3">
        <f>SUM(CF299:CI299)</f>
        <v>0</v>
      </c>
      <c r="CK299" s="3">
        <f>CK262-CJ262</f>
        <v>0</v>
      </c>
      <c r="CL299" s="3">
        <f>CL262-CK262</f>
        <v>0</v>
      </c>
      <c r="CM299" s="3">
        <f>CM262-CL262</f>
        <v>0</v>
      </c>
      <c r="CN299" s="3">
        <f>CN262-CM262</f>
        <v>0</v>
      </c>
      <c r="CO299" s="3">
        <f>SUM(CK299:CN299)</f>
        <v>0</v>
      </c>
      <c r="CP299" s="3">
        <f>CP262-CO262</f>
        <v>0</v>
      </c>
      <c r="CQ299" s="3">
        <f>CQ262-CP262</f>
        <v>0</v>
      </c>
      <c r="CR299" s="3">
        <f>CR262-CQ262</f>
        <v>0</v>
      </c>
      <c r="CS299" s="3">
        <f>CS262-CR262</f>
        <v>0</v>
      </c>
      <c r="CT299" s="3">
        <f>SUM(CP299:CS299)</f>
        <v>0</v>
      </c>
      <c r="CU299" s="3">
        <f>CU262-CT262</f>
        <v>0</v>
      </c>
      <c r="CV299" s="3">
        <f>CV262-CU262</f>
        <v>0</v>
      </c>
      <c r="CW299" s="3">
        <f>CW262-CV262</f>
        <v>0</v>
      </c>
      <c r="CX299" s="3">
        <f>CX262-CW262</f>
        <v>0</v>
      </c>
      <c r="CY299" s="3">
        <f>SUM(CU299:CX299)</f>
        <v>0</v>
      </c>
    </row>
    <row r="300">
      <c r="C300" s="26" t="inlineStr">
        <is>
          <t>Other equity account</t>
        </is>
      </c>
      <c r="D300" s="3" t="n"/>
      <c r="E300" s="3">
        <f>E263-D263</f>
        <v>-16</v>
      </c>
      <c r="F300" s="3">
        <f>F263-E263</f>
        <v>4</v>
      </c>
      <c r="G300" s="3">
        <f>G263-F263</f>
        <v>3</v>
      </c>
      <c r="H300" s="3">
        <f>SUM(D300:G300)</f>
        <v>-9</v>
      </c>
      <c r="I300" s="3">
        <f>I263-H263</f>
        <v>-51</v>
      </c>
      <c r="J300" s="3">
        <f>J263-I263</f>
        <v>0</v>
      </c>
      <c r="K300" s="3">
        <f>K263-J263</f>
        <v>0</v>
      </c>
      <c r="L300" s="3">
        <f>L263-K263</f>
        <v>0</v>
      </c>
      <c r="M300" s="3">
        <f>SUM(I300:L300)</f>
        <v>-51</v>
      </c>
      <c r="N300" s="3">
        <f>N263-M263</f>
        <v>0</v>
      </c>
      <c r="O300" s="3">
        <f>O263-N263</f>
        <v>0</v>
      </c>
      <c r="P300" s="3">
        <f>P263-O263</f>
        <v>0</v>
      </c>
      <c r="Q300" s="3">
        <f>Q263-P263</f>
        <v>0</v>
      </c>
      <c r="R300" s="3">
        <f>SUM(N300:Q300)</f>
        <v>0</v>
      </c>
      <c r="S300" s="3">
        <f>S263-R263</f>
        <v>0</v>
      </c>
      <c r="T300" s="3">
        <f>T263-S263</f>
        <v>0</v>
      </c>
      <c r="U300" s="3">
        <f>U263-T263</f>
        <v>0</v>
      </c>
      <c r="V300" s="3">
        <f>V263-U263</f>
        <v>0</v>
      </c>
      <c r="W300" s="3">
        <f>SUM(S300:V300)</f>
        <v>0</v>
      </c>
      <c r="X300" s="3">
        <f>X263-W263</f>
        <v>0</v>
      </c>
      <c r="Y300" s="3">
        <f>Y263-X263</f>
        <v>0</v>
      </c>
      <c r="Z300" s="3">
        <f>Z263-Y263</f>
        <v>0</v>
      </c>
      <c r="AA300" s="3">
        <f>AA263-Z263</f>
        <v>0</v>
      </c>
      <c r="AB300" s="3">
        <f>SUM(X300:AA300)</f>
        <v>0</v>
      </c>
      <c r="AC300" s="3">
        <f>AC263-AB263</f>
        <v>0</v>
      </c>
      <c r="AD300" s="3">
        <f>AD263-AC263</f>
        <v>0</v>
      </c>
      <c r="AE300" s="3">
        <f>AE263-AD263</f>
        <v>0</v>
      </c>
      <c r="AF300" s="3">
        <f>AF263-AE263</f>
        <v>0</v>
      </c>
      <c r="AG300" s="3">
        <f>SUM(AC300:AF300)</f>
        <v>0</v>
      </c>
      <c r="AH300" s="3">
        <f>AH263-AG263</f>
        <v>0</v>
      </c>
      <c r="AI300" s="3">
        <f>AI263-AH263</f>
        <v>0</v>
      </c>
      <c r="AJ300" s="3">
        <f>AJ263-AI263</f>
        <v>0</v>
      </c>
      <c r="AK300" s="3">
        <f>AK263-AJ263</f>
        <v>0</v>
      </c>
      <c r="AL300" s="3">
        <f>SUM(AH300:AK300)</f>
        <v>0</v>
      </c>
      <c r="AM300" s="3">
        <f>AM263-AL263</f>
        <v>0</v>
      </c>
      <c r="AN300" s="3">
        <f>AN263-AM263</f>
        <v>0</v>
      </c>
      <c r="AO300" s="3">
        <f>AO263-AN263</f>
        <v>0</v>
      </c>
      <c r="AP300" s="3">
        <f>AP263-AO263</f>
        <v>0</v>
      </c>
      <c r="AQ300" s="3">
        <f>SUM(AM300:AP300)</f>
        <v>0</v>
      </c>
      <c r="AR300" s="3">
        <f>AR263-AQ263</f>
        <v>0</v>
      </c>
      <c r="AS300" s="3">
        <f>AS263-AR263</f>
        <v>0</v>
      </c>
      <c r="AT300" s="3">
        <f>AT263-AS263</f>
        <v>0</v>
      </c>
      <c r="AU300" s="3">
        <f>AU263-AT263</f>
        <v>0</v>
      </c>
      <c r="AV300" s="3">
        <f>SUM(AR300:AU300)</f>
        <v>0</v>
      </c>
      <c r="AW300" s="3">
        <f>AW263-AV263</f>
        <v>0</v>
      </c>
      <c r="AX300" s="3">
        <f>AX263-AW263</f>
        <v>0</v>
      </c>
      <c r="AY300" s="3">
        <f>AY263-AX263</f>
        <v>0</v>
      </c>
      <c r="AZ300" s="3">
        <f>AZ263-AY263</f>
        <v>0</v>
      </c>
      <c r="BA300" s="3">
        <f>SUM(AW300:AZ300)</f>
        <v>0</v>
      </c>
      <c r="BB300" s="3">
        <f>BB263-BA263</f>
        <v>0</v>
      </c>
      <c r="BC300" s="3">
        <f>BC263-BB263</f>
        <v>0</v>
      </c>
      <c r="BD300" s="3">
        <f>BD263-BC263</f>
        <v>0</v>
      </c>
      <c r="BE300" s="3">
        <f>BE263-BD263</f>
        <v>0</v>
      </c>
      <c r="BF300" s="3">
        <f>SUM(BB300:BE300)</f>
        <v>0</v>
      </c>
      <c r="BG300" s="3">
        <f>BG263-BF263</f>
        <v>0</v>
      </c>
      <c r="BH300" s="3">
        <f>BH263-BG263</f>
        <v>0</v>
      </c>
      <c r="BI300" s="3">
        <f>BI263-BH263</f>
        <v>0</v>
      </c>
      <c r="BJ300" s="3">
        <f>BJ263-BI263</f>
        <v>0</v>
      </c>
      <c r="BK300" s="3">
        <f>SUM(BG300:BJ300)</f>
        <v>0</v>
      </c>
      <c r="BL300" s="3">
        <f>BL263-BK263</f>
        <v>0</v>
      </c>
      <c r="BM300" s="3">
        <f>BM263-BL263</f>
        <v>0</v>
      </c>
      <c r="BN300" s="3">
        <f>BN263-BM263</f>
        <v>0</v>
      </c>
      <c r="BO300" s="3">
        <f>BO263-BN263</f>
        <v>0</v>
      </c>
      <c r="BP300" s="3">
        <f>SUM(BL300:BO300)</f>
        <v>0</v>
      </c>
      <c r="BQ300" s="3">
        <f>BQ263-BP263</f>
        <v>0</v>
      </c>
      <c r="BR300" s="3">
        <f>BR263-BQ263</f>
        <v>0</v>
      </c>
      <c r="BS300" s="3">
        <f>BS263-BR263</f>
        <v>0</v>
      </c>
      <c r="BT300" s="3">
        <f>BT263-BS263</f>
        <v>0</v>
      </c>
      <c r="BU300" s="3">
        <f>SUM(BQ300:BT300)</f>
        <v>0</v>
      </c>
      <c r="BV300" s="3">
        <f>BV263-BU263</f>
        <v>0</v>
      </c>
      <c r="BW300" s="3">
        <f>BW263-BV263</f>
        <v>0</v>
      </c>
      <c r="BX300" s="3">
        <f>BX263-BW263</f>
        <v>0</v>
      </c>
      <c r="BY300" s="3">
        <f>BY263-BX263</f>
        <v>0</v>
      </c>
      <c r="BZ300" s="3">
        <f>SUM(BV300:BY300)</f>
        <v>0</v>
      </c>
      <c r="CA300" s="3">
        <f>CA263-BZ263</f>
        <v>0</v>
      </c>
      <c r="CB300" s="3">
        <f>CB263-CA263</f>
        <v>0</v>
      </c>
      <c r="CC300" s="3">
        <f>CC263-CB263</f>
        <v>0</v>
      </c>
      <c r="CD300" s="3">
        <f>CD263-CC263</f>
        <v>0</v>
      </c>
      <c r="CE300" s="3">
        <f>SUM(CA300:CD300)</f>
        <v>0</v>
      </c>
      <c r="CF300" s="3">
        <f>CF263-CE263</f>
        <v>0</v>
      </c>
      <c r="CG300" s="3">
        <f>CG263-CF263</f>
        <v>0</v>
      </c>
      <c r="CH300" s="3">
        <f>CH263-CG263</f>
        <v>0</v>
      </c>
      <c r="CI300" s="3">
        <f>CI263-CH263</f>
        <v>0</v>
      </c>
      <c r="CJ300" s="3">
        <f>SUM(CF300:CI300)</f>
        <v>0</v>
      </c>
      <c r="CK300" s="3">
        <f>CK263-CJ263</f>
        <v>0</v>
      </c>
      <c r="CL300" s="3">
        <f>CL263-CK263</f>
        <v>0</v>
      </c>
      <c r="CM300" s="3">
        <f>CM263-CL263</f>
        <v>0</v>
      </c>
      <c r="CN300" s="3">
        <f>CN263-CM263</f>
        <v>0</v>
      </c>
      <c r="CO300" s="3">
        <f>SUM(CK300:CN300)</f>
        <v>0</v>
      </c>
      <c r="CP300" s="3">
        <f>CP263-CO263</f>
        <v>0</v>
      </c>
      <c r="CQ300" s="3">
        <f>CQ263-CP263</f>
        <v>0</v>
      </c>
      <c r="CR300" s="3">
        <f>CR263-CQ263</f>
        <v>0</v>
      </c>
      <c r="CS300" s="3">
        <f>CS263-CR263</f>
        <v>0</v>
      </c>
      <c r="CT300" s="3">
        <f>SUM(CP300:CS300)</f>
        <v>0</v>
      </c>
      <c r="CU300" s="3">
        <f>CU263-CT263</f>
        <v>0</v>
      </c>
      <c r="CV300" s="3">
        <f>CV263-CU263</f>
        <v>0</v>
      </c>
      <c r="CW300" s="3">
        <f>CW263-CV263</f>
        <v>0</v>
      </c>
      <c r="CX300" s="3">
        <f>CX263-CW263</f>
        <v>0</v>
      </c>
      <c r="CY300" s="3">
        <f>SUM(CU300:CX300)</f>
        <v>0</v>
      </c>
    </row>
    <row r="301">
      <c r="C301" s="29" t="inlineStr">
        <is>
          <t>Common and preferred dividends</t>
        </is>
      </c>
      <c r="D301" s="3" t="n"/>
      <c r="E301" s="3">
        <f>(E264-D264)-E271</f>
        <v>0</v>
      </c>
      <c r="F301" s="3">
        <f>(F264-E264)-F271</f>
        <v>0</v>
      </c>
      <c r="G301" s="3">
        <f>(G264-F264)-G271</f>
        <v>0</v>
      </c>
      <c r="H301" s="3">
        <f>SUM(D301:G301)</f>
        <v>0</v>
      </c>
      <c r="I301" s="3">
        <f>(I264-H264)-I271</f>
        <v>211</v>
      </c>
      <c r="J301" s="3">
        <f>(J264-I264)-J271</f>
        <v>0</v>
      </c>
      <c r="K301" s="3">
        <f>(K264-J264)-K271</f>
        <v>0</v>
      </c>
      <c r="L301" s="3">
        <f>(L264-K264)-L271</f>
        <v>0</v>
      </c>
      <c r="M301" s="3">
        <f>SUM(I301:L301)</f>
        <v>211</v>
      </c>
      <c r="N301" s="3">
        <f>(N264-M264)-N271</f>
        <v>0</v>
      </c>
      <c r="O301" s="3">
        <f>(O264-N264)-O271</f>
        <v>0</v>
      </c>
      <c r="P301" s="3">
        <f>(P264-O264)-P271</f>
        <v>-2</v>
      </c>
      <c r="Q301" s="3">
        <f>(Q264-P264)-Q271</f>
        <v>0</v>
      </c>
      <c r="R301" s="3">
        <f>SUM(N301:Q301)</f>
        <v>-2</v>
      </c>
      <c r="S301" s="3">
        <f>(S264-R264)-S271</f>
        <v>0</v>
      </c>
      <c r="T301" s="3">
        <f>(T264-S264)-T271</f>
        <v>0</v>
      </c>
      <c r="U301" s="3">
        <f>(U264-T264)-U271</f>
        <v>0</v>
      </c>
      <c r="V301" s="3">
        <f>(V264-U264)-V271</f>
        <v>0</v>
      </c>
      <c r="W301" s="3">
        <f>SUM(S301:V301)</f>
        <v>0</v>
      </c>
      <c r="X301" s="3">
        <f>(X264-W264)-X271</f>
        <v>-261</v>
      </c>
      <c r="Y301" s="3">
        <f>(Y264-X264)-Y271</f>
        <v>78</v>
      </c>
      <c r="Z301" s="3">
        <f>(Z264-Y264)-Z271</f>
        <v>-6</v>
      </c>
      <c r="AA301" s="3">
        <f>(AA264-Z264)-AA271</f>
        <v>425</v>
      </c>
      <c r="AB301" s="3">
        <f>SUM(X301:AA301)</f>
        <v>236</v>
      </c>
      <c r="AC301" s="3">
        <f>(AC264-AB264)-AC271</f>
        <v>0</v>
      </c>
      <c r="AD301" s="3">
        <f>(AD264-AC264)-AD271</f>
        <v>0</v>
      </c>
      <c r="AE301" s="3">
        <f>(AE264-AD264)-AE271</f>
        <v>0</v>
      </c>
      <c r="AF301" s="3">
        <f>(AF264-AE264)-AF271</f>
        <v>0</v>
      </c>
      <c r="AG301" s="3">
        <f>SUM(AC301:AF301)</f>
        <v>0</v>
      </c>
      <c r="AH301" s="3">
        <f>(AH264-AG264)-AH271</f>
        <v>0</v>
      </c>
      <c r="AI301" s="3">
        <f>(AI264-AH264)-AI271</f>
        <v>0</v>
      </c>
      <c r="AJ301" s="3">
        <f>(AJ264-AI264)-AJ271</f>
        <v>0</v>
      </c>
      <c r="AK301" s="3">
        <f>(AK264-AJ264)-AK271</f>
        <v>0</v>
      </c>
      <c r="AL301" s="3">
        <f>SUM(AH301:AK301)</f>
        <v>0</v>
      </c>
      <c r="AM301" s="3">
        <f>(AM264-AL264)-AM271</f>
        <v>0</v>
      </c>
      <c r="AN301" s="3">
        <f>(AN264-AM264)-AN271</f>
        <v>0</v>
      </c>
      <c r="AO301" s="3">
        <f>(AO264-AN264)-AO271</f>
        <v>0</v>
      </c>
      <c r="AP301" s="3">
        <f>(AP264-AO264)-AP271</f>
        <v>0</v>
      </c>
      <c r="AQ301" s="3">
        <f>SUM(AM301:AP301)</f>
        <v>0</v>
      </c>
      <c r="AR301" s="3">
        <f>(AR264-AQ264)-AR271</f>
        <v>0</v>
      </c>
      <c r="AS301" s="3">
        <f>(AS264-AR264)-AS271</f>
        <v>0</v>
      </c>
      <c r="AT301" s="3">
        <f>(AT264-AS264)-AT271</f>
        <v>0</v>
      </c>
      <c r="AU301" s="3">
        <f>(AU264-AT264)-AU271</f>
        <v>0</v>
      </c>
      <c r="AV301" s="3">
        <f>SUM(AR301:AU301)</f>
        <v>0</v>
      </c>
      <c r="AW301" s="3">
        <f>(AW264-AV264)-AW271</f>
        <v>0</v>
      </c>
      <c r="AX301" s="3">
        <f>(AX264-AW264)-AX271</f>
        <v>0</v>
      </c>
      <c r="AY301" s="3">
        <f>(AY264-AX264)-AY271</f>
        <v>0</v>
      </c>
      <c r="AZ301" s="3">
        <f>(AZ264-AY264)-AZ271</f>
        <v>0</v>
      </c>
      <c r="BA301" s="3">
        <f>SUM(AW301:AZ301)</f>
        <v>0</v>
      </c>
      <c r="BB301" s="3">
        <f>(BB264-BA264)-BB271</f>
        <v>0</v>
      </c>
      <c r="BC301" s="3">
        <f>(BC264-BB264)-BC271</f>
        <v>0</v>
      </c>
      <c r="BD301" s="3">
        <f>(BD264-BC264)-BD271</f>
        <v>0</v>
      </c>
      <c r="BE301" s="3">
        <f>(BE264-BD264)-BE271</f>
        <v>0</v>
      </c>
      <c r="BF301" s="3">
        <f>SUM(BB301:BE301)</f>
        <v>0</v>
      </c>
      <c r="BG301" s="3">
        <f>(BG264-BF264)-BG271</f>
        <v>0</v>
      </c>
      <c r="BH301" s="3">
        <f>(BH264-BG264)-BH271</f>
        <v>0</v>
      </c>
      <c r="BI301" s="3">
        <f>(BI264-BH264)-BI271</f>
        <v>0</v>
      </c>
      <c r="BJ301" s="3">
        <f>(BJ264-BI264)-BJ271</f>
        <v>0</v>
      </c>
      <c r="BK301" s="3">
        <f>SUM(BG301:BJ301)</f>
        <v>0</v>
      </c>
      <c r="BL301" s="3">
        <f>(BL264-BK264)-BL271</f>
        <v>0</v>
      </c>
      <c r="BM301" s="3">
        <f>(BM264-BL264)-BM271</f>
        <v>0</v>
      </c>
      <c r="BN301" s="3">
        <f>(BN264-BM264)-BN271</f>
        <v>0</v>
      </c>
      <c r="BO301" s="3">
        <f>(BO264-BN264)-BO271</f>
        <v>0</v>
      </c>
      <c r="BP301" s="3">
        <f>SUM(BL301:BO301)</f>
        <v>0</v>
      </c>
      <c r="BQ301" s="3">
        <f>(BQ264-BP264)-BQ271</f>
        <v>0</v>
      </c>
      <c r="BR301" s="3">
        <f>(BR264-BQ264)-BR271</f>
        <v>0</v>
      </c>
      <c r="BS301" s="3">
        <f>(BS264-BR264)-BS271</f>
        <v>0</v>
      </c>
      <c r="BT301" s="3">
        <f>(BT264-BS264)-BT271</f>
        <v>0</v>
      </c>
      <c r="BU301" s="3">
        <f>SUM(BQ301:BT301)</f>
        <v>0</v>
      </c>
      <c r="BV301" s="3">
        <f>(BV264-BU264)-BV271</f>
        <v>0</v>
      </c>
      <c r="BW301" s="3">
        <f>(BW264-BV264)-BW271</f>
        <v>0</v>
      </c>
      <c r="BX301" s="3">
        <f>(BX264-BW264)-BX271</f>
        <v>0</v>
      </c>
      <c r="BY301" s="3">
        <f>(BY264-BX264)-BY271</f>
        <v>0</v>
      </c>
      <c r="BZ301" s="3">
        <f>SUM(BV301:BY301)</f>
        <v>0</v>
      </c>
      <c r="CA301" s="3">
        <f>(CA264-BZ264)-CA271</f>
        <v>0</v>
      </c>
      <c r="CB301" s="3">
        <f>(CB264-CA264)-CB271</f>
        <v>0</v>
      </c>
      <c r="CC301" s="3">
        <f>(CC264-CB264)-CC271</f>
        <v>0</v>
      </c>
      <c r="CD301" s="3">
        <f>(CD264-CC264)-CD271</f>
        <v>0</v>
      </c>
      <c r="CE301" s="3">
        <f>SUM(CA301:CD301)</f>
        <v>0</v>
      </c>
      <c r="CF301" s="3">
        <f>(CF264-CE264)-CF271</f>
        <v>0</v>
      </c>
      <c r="CG301" s="3">
        <f>(CG264-CF264)-CG271</f>
        <v>0</v>
      </c>
      <c r="CH301" s="3">
        <f>(CH264-CG264)-CH271</f>
        <v>0</v>
      </c>
      <c r="CI301" s="3">
        <f>(CI264-CH264)-CI271</f>
        <v>0</v>
      </c>
      <c r="CJ301" s="3">
        <f>SUM(CF301:CI301)</f>
        <v>0</v>
      </c>
      <c r="CK301" s="3">
        <f>(CK264-CJ264)-CK271</f>
        <v>0</v>
      </c>
      <c r="CL301" s="3">
        <f>(CL264-CK264)-CL271</f>
        <v>0</v>
      </c>
      <c r="CM301" s="3">
        <f>(CM264-CL264)-CM271</f>
        <v>0</v>
      </c>
      <c r="CN301" s="3">
        <f>(CN264-CM264)-CN271</f>
        <v>0</v>
      </c>
      <c r="CO301" s="3">
        <f>SUM(CK301:CN301)</f>
        <v>0</v>
      </c>
      <c r="CP301" s="3">
        <f>(CP264-CO264)-CP271</f>
        <v>0</v>
      </c>
      <c r="CQ301" s="3">
        <f>(CQ264-CP264)-CQ271</f>
        <v>0</v>
      </c>
      <c r="CR301" s="3">
        <f>(CR264-CQ264)-CR271</f>
        <v>0</v>
      </c>
      <c r="CS301" s="3">
        <f>(CS264-CR264)-CS271</f>
        <v>0</v>
      </c>
      <c r="CT301" s="3">
        <f>SUM(CP301:CS301)</f>
        <v>0</v>
      </c>
      <c r="CU301" s="3">
        <f>(CU264-CT264)-CU271</f>
        <v>0</v>
      </c>
      <c r="CV301" s="3">
        <f>(CV264-CU264)-CV271</f>
        <v>0</v>
      </c>
      <c r="CW301" s="3">
        <f>(CW264-CV264)-CW271</f>
        <v>0</v>
      </c>
      <c r="CX301" s="3">
        <f>(CX264-CW264)-CX271</f>
        <v>0</v>
      </c>
      <c r="CY301" s="3">
        <f>SUM(CU301:CX301)</f>
        <v>0</v>
      </c>
    </row>
    <row r="302">
      <c r="C302" s="26" t="inlineStr">
        <is>
          <t>Dividends to minority interests</t>
        </is>
      </c>
      <c r="D302" s="3" t="n"/>
      <c r="E302" s="3">
        <f>(E242-D242)+E130</f>
        <v>-42</v>
      </c>
      <c r="F302" s="3">
        <f>(F242-E242)+F130</f>
        <v>-51</v>
      </c>
      <c r="G302" s="3">
        <f>(G242-F242)+G130</f>
        <v>-41</v>
      </c>
      <c r="H302" s="3">
        <f>SUM(D302:G302)</f>
        <v>-134</v>
      </c>
      <c r="I302" s="3">
        <f>(I242-H242)+I130</f>
        <v>-32</v>
      </c>
      <c r="J302" s="3">
        <f>(J242-I242)+J130</f>
        <v>-38</v>
      </c>
      <c r="K302" s="3">
        <f>(K242-J242)+K130</f>
        <v>-46</v>
      </c>
      <c r="L302" s="3">
        <f>(L242-K242)+L130</f>
        <v>-69</v>
      </c>
      <c r="M302" s="3">
        <f>SUM(I302:L302)</f>
        <v>-185</v>
      </c>
      <c r="N302" s="3">
        <f>(N242-M242)+N130</f>
        <v>-35</v>
      </c>
      <c r="O302" s="3">
        <f>(O242-N242)+O130</f>
        <v>-49</v>
      </c>
      <c r="P302" s="3">
        <f>(P242-O242)+P130</f>
        <v>-48</v>
      </c>
      <c r="Q302" s="3">
        <f>(Q242-P242)+Q130</f>
        <v>-99</v>
      </c>
      <c r="R302" s="3">
        <f>SUM(N302:Q302)</f>
        <v>-231</v>
      </c>
      <c r="S302" s="3">
        <f>(S242-R242)+S130</f>
        <v>-39</v>
      </c>
      <c r="T302" s="3">
        <f>(T242-S242)+T130</f>
        <v>-40</v>
      </c>
      <c r="U302" s="3">
        <f>(U242-T242)+U130</f>
        <v>-48</v>
      </c>
      <c r="V302" s="3">
        <f>(V242-U242)+V130</f>
        <v>-69</v>
      </c>
      <c r="W302" s="3">
        <f>SUM(S302:V302)</f>
        <v>-196</v>
      </c>
      <c r="X302" s="3">
        <f>(X242-W242)+X130</f>
        <v>-188</v>
      </c>
      <c r="Y302" s="3">
        <f>(Y242-X242)+Y130</f>
        <v>-23</v>
      </c>
      <c r="Z302" s="3">
        <f>(Z242-Y242)+Z130</f>
        <v>-32</v>
      </c>
      <c r="AA302" s="3">
        <f>(AA242-Z242)+AA130</f>
        <v>-27</v>
      </c>
      <c r="AB302" s="3">
        <f>SUM(X302:AA302)</f>
        <v>-270</v>
      </c>
      <c r="AC302" s="3">
        <f>(AC242-AB242)+AC130</f>
        <v>-13</v>
      </c>
      <c r="AD302" s="3">
        <f>(AD242-AC242)+AD130</f>
        <v>-25</v>
      </c>
      <c r="AE302" s="3">
        <f>(AE242-AD242)+AE130</f>
        <v>-28</v>
      </c>
      <c r="AF302" s="3">
        <f>(AF242-AE242)+AF130</f>
        <v>-34</v>
      </c>
      <c r="AG302" s="3">
        <f>SUM(AC302:AF302)</f>
        <v>-100</v>
      </c>
      <c r="AH302" s="3">
        <f>(AH242-AG242)+AH130</f>
        <v>-56</v>
      </c>
      <c r="AI302" s="3">
        <f>(AI242-AH242)+AI130</f>
        <v>-39</v>
      </c>
      <c r="AJ302" s="3">
        <f>(AJ242-AI242)+AJ130</f>
        <v>0</v>
      </c>
      <c r="AK302" s="3">
        <f>(AK242-AJ242)+AK130</f>
        <v>0</v>
      </c>
      <c r="AL302" s="3">
        <f>SUM(AH302:AK302)</f>
        <v>-95</v>
      </c>
      <c r="AM302" s="3">
        <f>(AM242-AL242)+AM130</f>
        <v>0</v>
      </c>
      <c r="AN302" s="3">
        <f>(AN242-AM242)+AN130</f>
        <v>0</v>
      </c>
      <c r="AO302" s="3">
        <f>(AO242-AN242)+AO130</f>
        <v>0</v>
      </c>
      <c r="AP302" s="3">
        <f>(AP242-AO242)+AP130</f>
        <v>0</v>
      </c>
      <c r="AQ302" s="3">
        <f>SUM(AM302:AP302)</f>
        <v>0</v>
      </c>
      <c r="AR302" s="3">
        <f>(AR242-AQ242)+AR130</f>
        <v>0</v>
      </c>
      <c r="AS302" s="3">
        <f>(AS242-AR242)+AS130</f>
        <v>0</v>
      </c>
      <c r="AT302" s="3">
        <f>(AT242-AS242)+AT130</f>
        <v>0</v>
      </c>
      <c r="AU302" s="3">
        <f>(AU242-AT242)+AU130</f>
        <v>0</v>
      </c>
      <c r="AV302" s="3">
        <f>SUM(AR302:AU302)</f>
        <v>0</v>
      </c>
      <c r="AW302" s="3">
        <f>(AW242-AV242)+AW130</f>
        <v>0</v>
      </c>
      <c r="AX302" s="3">
        <f>(AX242-AW242)+AX130</f>
        <v>0</v>
      </c>
      <c r="AY302" s="3">
        <f>(AY242-AX242)+AY130</f>
        <v>0</v>
      </c>
      <c r="AZ302" s="3">
        <f>(AZ242-AY242)+AZ130</f>
        <v>0</v>
      </c>
      <c r="BA302" s="3">
        <f>SUM(AW302:AZ302)</f>
        <v>0</v>
      </c>
      <c r="BB302" s="3">
        <f>(BB242-BA242)+BB130</f>
        <v>0</v>
      </c>
      <c r="BC302" s="3">
        <f>(BC242-BB242)+BC130</f>
        <v>0</v>
      </c>
      <c r="BD302" s="3">
        <f>(BD242-BC242)+BD130</f>
        <v>0</v>
      </c>
      <c r="BE302" s="3">
        <f>(BE242-BD242)+BE130</f>
        <v>0</v>
      </c>
      <c r="BF302" s="3">
        <f>SUM(BB302:BE302)</f>
        <v>0</v>
      </c>
      <c r="BG302" s="3">
        <f>(BG242-BF242)+BG130</f>
        <v>0</v>
      </c>
      <c r="BH302" s="3">
        <f>(BH242-BG242)+BH130</f>
        <v>0</v>
      </c>
      <c r="BI302" s="3">
        <f>(BI242-BH242)+BI130</f>
        <v>0</v>
      </c>
      <c r="BJ302" s="3">
        <f>(BJ242-BI242)+BJ130</f>
        <v>0</v>
      </c>
      <c r="BK302" s="3">
        <f>SUM(BG302:BJ302)</f>
        <v>0</v>
      </c>
      <c r="BL302" s="3">
        <f>(BL242-BK242)+BL130</f>
        <v>0</v>
      </c>
      <c r="BM302" s="3">
        <f>(BM242-BL242)+BM130</f>
        <v>0</v>
      </c>
      <c r="BN302" s="3">
        <f>(BN242-BM242)+BN130</f>
        <v>0</v>
      </c>
      <c r="BO302" s="3">
        <f>(BO242-BN242)+BO130</f>
        <v>0</v>
      </c>
      <c r="BP302" s="3">
        <f>SUM(BL302:BO302)</f>
        <v>0</v>
      </c>
      <c r="BQ302" s="3">
        <f>(BQ242-BP242)+BQ130</f>
        <v>0</v>
      </c>
      <c r="BR302" s="3">
        <f>(BR242-BQ242)+BR130</f>
        <v>0</v>
      </c>
      <c r="BS302" s="3">
        <f>(BS242-BR242)+BS130</f>
        <v>0</v>
      </c>
      <c r="BT302" s="3">
        <f>(BT242-BS242)+BT130</f>
        <v>0</v>
      </c>
      <c r="BU302" s="3">
        <f>SUM(BQ302:BT302)</f>
        <v>0</v>
      </c>
      <c r="BV302" s="3">
        <f>(BV242-BU242)+BV130</f>
        <v>0</v>
      </c>
      <c r="BW302" s="3">
        <f>(BW242-BV242)+BW130</f>
        <v>0</v>
      </c>
      <c r="BX302" s="3">
        <f>(BX242-BW242)+BX130</f>
        <v>0</v>
      </c>
      <c r="BY302" s="3">
        <f>(BY242-BX242)+BY130</f>
        <v>0</v>
      </c>
      <c r="BZ302" s="3">
        <f>SUM(BV302:BY302)</f>
        <v>0</v>
      </c>
      <c r="CA302" s="3">
        <f>(CA242-BZ242)+CA130</f>
        <v>0</v>
      </c>
      <c r="CB302" s="3">
        <f>(CB242-CA242)+CB130</f>
        <v>0</v>
      </c>
      <c r="CC302" s="3">
        <f>(CC242-CB242)+CC130</f>
        <v>0</v>
      </c>
      <c r="CD302" s="3">
        <f>(CD242-CC242)+CD130</f>
        <v>0</v>
      </c>
      <c r="CE302" s="3">
        <f>SUM(CA302:CD302)</f>
        <v>0</v>
      </c>
      <c r="CF302" s="3">
        <f>(CF242-CE242)+CF130</f>
        <v>0</v>
      </c>
      <c r="CG302" s="3">
        <f>(CG242-CF242)+CG130</f>
        <v>0</v>
      </c>
      <c r="CH302" s="3">
        <f>(CH242-CG242)+CH130</f>
        <v>0</v>
      </c>
      <c r="CI302" s="3">
        <f>(CI242-CH242)+CI130</f>
        <v>0</v>
      </c>
      <c r="CJ302" s="3">
        <f>SUM(CF302:CI302)</f>
        <v>0</v>
      </c>
      <c r="CK302" s="3">
        <f>(CK242-CJ242)+CK130</f>
        <v>0</v>
      </c>
      <c r="CL302" s="3">
        <f>(CL242-CK242)+CL130</f>
        <v>0</v>
      </c>
      <c r="CM302" s="3">
        <f>(CM242-CL242)+CM130</f>
        <v>0</v>
      </c>
      <c r="CN302" s="3">
        <f>(CN242-CM242)+CN130</f>
        <v>0</v>
      </c>
      <c r="CO302" s="3">
        <f>SUM(CK302:CN302)</f>
        <v>0</v>
      </c>
      <c r="CP302" s="3">
        <f>(CP242-CO242)+CP130</f>
        <v>0</v>
      </c>
      <c r="CQ302" s="3">
        <f>(CQ242-CP242)+CQ130</f>
        <v>0</v>
      </c>
      <c r="CR302" s="3">
        <f>(CR242-CQ242)+CR130</f>
        <v>0</v>
      </c>
      <c r="CS302" s="3">
        <f>(CS242-CR242)+CS130</f>
        <v>0</v>
      </c>
      <c r="CT302" s="3">
        <f>SUM(CP302:CS302)</f>
        <v>0</v>
      </c>
      <c r="CU302" s="3">
        <f>(CU242-CT242)+CU130</f>
        <v>0</v>
      </c>
      <c r="CV302" s="3">
        <f>(CV242-CU242)+CV130</f>
        <v>0</v>
      </c>
      <c r="CW302" s="3">
        <f>(CW242-CV242)+CW130</f>
        <v>0</v>
      </c>
      <c r="CX302" s="3">
        <f>(CX242-CW242)+CX130</f>
        <v>0</v>
      </c>
      <c r="CY302" s="3">
        <f>SUM(CU302:CX302)</f>
        <v>0</v>
      </c>
    </row>
    <row r="303">
      <c r="C303" s="28" t="inlineStr">
        <is>
          <t>Increases / (decreases) in debt</t>
        </is>
      </c>
      <c r="D303" s="3" t="n"/>
      <c r="E303" s="3">
        <f>SUM(E206:E208,E211,E232,E229)-SUM(D206:D208,D211,D232,D229)</f>
        <v>0</v>
      </c>
      <c r="F303" s="3">
        <f>SUM(F206:F208,F211,F232,F229)-SUM(E206:E208,E211,E232,E229)</f>
        <v>0</v>
      </c>
      <c r="G303" s="3">
        <f>SUM(G206:G208,G211,G232,G229)-SUM(F206:F208,F211,F232,F229)</f>
        <v>0</v>
      </c>
      <c r="H303" s="3">
        <f>SUM(D303:G303)</f>
        <v>0</v>
      </c>
      <c r="I303" s="3">
        <f>SUM(I206:I208,I211,I232,I229)-SUM(H206:H208,H211,H232,H229)</f>
        <v>0</v>
      </c>
      <c r="J303" s="3">
        <f>SUM(J206:J208,J211,J232,J229)-SUM(I206:I208,I211,I232,I229)</f>
        <v>0</v>
      </c>
      <c r="K303" s="3">
        <f>SUM(K206:K208,K211,K232,K229)-SUM(J206:J208,J211,J232,J229)</f>
        <v>0</v>
      </c>
      <c r="L303" s="3">
        <f>SUM(L206:L208,L211,L232,L229)-SUM(K206:K208,K211,K232,K229)</f>
        <v>0</v>
      </c>
      <c r="M303" s="3">
        <f>SUM(I303:L303)</f>
        <v>0</v>
      </c>
      <c r="N303" s="3">
        <f>SUM(N206:N208,N211,N232,N229)-SUM(M206:M208,M211,M232,M229)</f>
        <v>0</v>
      </c>
      <c r="O303" s="3">
        <f>SUM(O206:O208,O211,O232,O229)-SUM(N206:N208,N211,N232,N229)</f>
        <v>0</v>
      </c>
      <c r="P303" s="3">
        <f>SUM(P206:P208,P211,P232,P229)-SUM(O206:O208,O211,O232,O229)</f>
        <v>0</v>
      </c>
      <c r="Q303" s="3">
        <f>SUM(Q206:Q208,Q211,Q232,Q229)-SUM(P206:P208,P211,P232,P229)</f>
        <v>0</v>
      </c>
      <c r="R303" s="3">
        <f>SUM(N303:Q303)</f>
        <v>0</v>
      </c>
      <c r="S303" s="3">
        <f>SUM(S206:S208,S211,S232,S229)-SUM(R206:R208,R211,R232,R229)</f>
        <v>0</v>
      </c>
      <c r="T303" s="3">
        <f>SUM(T206:T208,T211,T232,T229)-SUM(S206:S208,S211,S232,S229)</f>
        <v>0</v>
      </c>
      <c r="U303" s="3">
        <f>SUM(U206:U208,U211,U232,U229)-SUM(T206:T208,T211,T232,T229)</f>
        <v>0</v>
      </c>
      <c r="V303" s="3">
        <f>SUM(V206:V208,V211,V232,V229)-SUM(U206:U208,U211,U232,U229)</f>
        <v>0</v>
      </c>
      <c r="W303" s="3">
        <f>SUM(S303:V303)</f>
        <v>0</v>
      </c>
      <c r="X303" s="3">
        <f>SUM(X206:X208,X211,X232,X229)-SUM(W206:W208,W211,W232,W229)</f>
        <v>0</v>
      </c>
      <c r="Y303" s="3">
        <f>SUM(Y206:Y208,Y211,Y232,Y229)-SUM(X206:X208,X211,X232,X229)</f>
        <v>0</v>
      </c>
      <c r="Z303" s="3">
        <f>SUM(Z206:Z208,Z211,Z232,Z229)-SUM(Y206:Y208,Y211,Y232,Y229)</f>
        <v>0</v>
      </c>
      <c r="AA303" s="3">
        <f>SUM(AA206:AA208,AA211,AA232,AA229)-SUM(Z206:Z208,Z211,Z232,Z229)</f>
        <v>0</v>
      </c>
      <c r="AB303" s="3">
        <f>SUM(X303:AA303)</f>
        <v>0</v>
      </c>
      <c r="AC303" s="3">
        <f>SUM(AC206:AC208,AC211,AC232,AC229)-SUM(AB206:AB208,AB211,AB232,AB229)</f>
        <v>0</v>
      </c>
      <c r="AD303" s="3">
        <f>SUM(AD206:AD208,AD211,AD232,AD229)-SUM(AC206:AC208,AC211,AC232,AC229)</f>
        <v>0</v>
      </c>
      <c r="AE303" s="3">
        <f>SUM(AE206:AE208,AE211,AE232,AE229)-SUM(AD206:AD208,AD211,AD232,AD229)</f>
        <v>0</v>
      </c>
      <c r="AF303" s="3">
        <f>SUM(AF206:AF208,AF211,AF232,AF229)-SUM(AE206:AE208,AE211,AE232,AE229)</f>
        <v>0</v>
      </c>
      <c r="AG303" s="3">
        <f>SUM(AC303:AF303)</f>
        <v>0</v>
      </c>
      <c r="AH303" s="3">
        <f>SUM(AH206:AH208,AH211,AH232,AH229)-SUM(AG206:AG208,AG211,AG232,AG229)</f>
        <v>0</v>
      </c>
      <c r="AI303" s="3">
        <f>SUM(AI206:AI208,AI211,AI232,AI229)-SUM(AH206:AH208,AH211,AH232,AH229)</f>
        <v>0</v>
      </c>
      <c r="AJ303" s="3">
        <f>SUM(AJ206:AJ208,AJ211,AJ232,AJ229)-SUM(AI206:AI208,AI211,AI232,AI229)</f>
        <v>0</v>
      </c>
      <c r="AK303" s="3">
        <f>SUM(AK206:AK208,AK211,AK232,AK229)-SUM(AJ206:AJ208,AJ211,AJ232,AJ229)</f>
        <v>0</v>
      </c>
      <c r="AL303" s="3">
        <f>SUM(AH303:AK303)</f>
        <v>0</v>
      </c>
      <c r="AM303" s="3">
        <f>SUM(AM206:AM208,AM211,AM232,AM229)-SUM(AL206:AL208,AL211,AL232,AL229)</f>
        <v>0</v>
      </c>
      <c r="AN303" s="3">
        <f>SUM(AN206:AN208,AN211,AN232,AN229)-SUM(AM206:AM208,AM211,AM232,AM229)</f>
        <v>0</v>
      </c>
      <c r="AO303" s="3">
        <f>SUM(AO206:AO208,AO211,AO232,AO229)-SUM(AN206:AN208,AN211,AN232,AN229)</f>
        <v>0</v>
      </c>
      <c r="AP303" s="3">
        <f>SUM(AP206:AP208,AP211,AP232,AP229)-SUM(AO206:AO208,AO211,AO232,AO229)</f>
        <v>0</v>
      </c>
      <c r="AQ303" s="3">
        <f>SUM(AM303:AP303)</f>
        <v>0</v>
      </c>
      <c r="AR303" s="3">
        <f>SUM(AR206:AR208,AR211,AR232,AR229)-SUM(AQ206:AQ208,AQ211,AQ232,AQ229)</f>
        <v>0</v>
      </c>
      <c r="AS303" s="3">
        <f>SUM(AS206:AS208,AS211,AS232,AS229)-SUM(AR206:AR208,AR211,AR232,AR229)</f>
        <v>0</v>
      </c>
      <c r="AT303" s="3">
        <f>SUM(AT206:AT208,AT211,AT232,AT229)-SUM(AS206:AS208,AS211,AS232,AS229)</f>
        <v>0</v>
      </c>
      <c r="AU303" s="3">
        <f>SUM(AU206:AU208,AU211,AU232,AU229)-SUM(AT206:AT208,AT211,AT232,AT229)</f>
        <v>0</v>
      </c>
      <c r="AV303" s="3">
        <f>SUM(AR303:AU303)</f>
        <v>0</v>
      </c>
      <c r="AW303" s="3">
        <f>SUM(AW206:AW208,AW211,AW232,AW229)-SUM(AV206:AV208,AV211,AV232,AV229)</f>
        <v>0</v>
      </c>
      <c r="AX303" s="3">
        <f>SUM(AX206:AX208,AX211,AX232,AX229)-SUM(AW206:AW208,AW211,AW232,AW229)</f>
        <v>0</v>
      </c>
      <c r="AY303" s="3">
        <f>SUM(AY206:AY208,AY211,AY232,AY229)-SUM(AX206:AX208,AX211,AX232,AX229)</f>
        <v>0</v>
      </c>
      <c r="AZ303" s="3">
        <f>SUM(AZ206:AZ208,AZ211,AZ232,AZ229)-SUM(AY206:AY208,AY211,AY232,AY229)</f>
        <v>0</v>
      </c>
      <c r="BA303" s="3">
        <f>SUM(AW303:AZ303)</f>
        <v>0</v>
      </c>
      <c r="BB303" s="3">
        <f>SUM(BB206:BB208,BB211,BB232,BB229)-SUM(BA206:BA208,BA211,BA232,BA229)</f>
        <v>0</v>
      </c>
      <c r="BC303" s="3">
        <f>SUM(BC206:BC208,BC211,BC232,BC229)-SUM(BB206:BB208,BB211,BB232,BB229)</f>
        <v>0</v>
      </c>
      <c r="BD303" s="3">
        <f>SUM(BD206:BD208,BD211,BD232,BD229)-SUM(BC206:BC208,BC211,BC232,BC229)</f>
        <v>0</v>
      </c>
      <c r="BE303" s="3">
        <f>SUM(BE206:BE208,BE211,BE232,BE229)-SUM(BD206:BD208,BD211,BD232,BD229)</f>
        <v>0</v>
      </c>
      <c r="BF303" s="3">
        <f>SUM(BB303:BE303)</f>
        <v>0</v>
      </c>
      <c r="BG303" s="3">
        <f>SUM(BG206:BG208,BG211,BG232,BG229)-SUM(BF206:BF208,BF211,BF232,BF229)</f>
        <v>0</v>
      </c>
      <c r="BH303" s="3">
        <f>SUM(BH206:BH208,BH211,BH232,BH229)-SUM(BG206:BG208,BG211,BG232,BG229)</f>
        <v>0</v>
      </c>
      <c r="BI303" s="3">
        <f>SUM(BI206:BI208,BI211,BI232,BI229)-SUM(BH206:BH208,BH211,BH232,BH229)</f>
        <v>0</v>
      </c>
      <c r="BJ303" s="3">
        <f>SUM(BJ206:BJ208,BJ211,BJ232,BJ229)-SUM(BI206:BI208,BI211,BI232,BI229)</f>
        <v>0</v>
      </c>
      <c r="BK303" s="3">
        <f>SUM(BG303:BJ303)</f>
        <v>0</v>
      </c>
      <c r="BL303" s="3">
        <f>SUM(BL206:BL208,BL211,BL232,BL229)-SUM(BK206:BK208,BK211,BK232,BK229)</f>
        <v>0</v>
      </c>
      <c r="BM303" s="3">
        <f>SUM(BM206:BM208,BM211,BM232,BM229)-SUM(BL206:BL208,BL211,BL232,BL229)</f>
        <v>0</v>
      </c>
      <c r="BN303" s="3">
        <f>SUM(BN206:BN208,BN211,BN232,BN229)-SUM(BM206:BM208,BM211,BM232,BM229)</f>
        <v>0</v>
      </c>
      <c r="BO303" s="3">
        <f>SUM(BO206:BO208,BO211,BO232,BO229)-SUM(BN206:BN208,BN211,BN232,BN229)</f>
        <v>0</v>
      </c>
      <c r="BP303" s="3">
        <f>SUM(BL303:BO303)</f>
        <v>0</v>
      </c>
      <c r="BQ303" s="3">
        <f>SUM(BQ206:BQ208,BQ211,BQ232,BQ229)-SUM(BP206:BP208,BP211,BP232,BP229)</f>
        <v>0</v>
      </c>
      <c r="BR303" s="3">
        <f>SUM(BR206:BR208,BR211,BR232,BR229)-SUM(BQ206:BQ208,BQ211,BQ232,BQ229)</f>
        <v>0</v>
      </c>
      <c r="BS303" s="3">
        <f>SUM(BS206:BS208,BS211,BS232,BS229)-SUM(BR206:BR208,BR211,BR232,BR229)</f>
        <v>0</v>
      </c>
      <c r="BT303" s="3">
        <f>SUM(BT206:BT208,BT211,BT232,BT229)-SUM(BS206:BS208,BS211,BS232,BS229)</f>
        <v>0</v>
      </c>
      <c r="BU303" s="3">
        <f>SUM(BQ303:BT303)</f>
        <v>0</v>
      </c>
      <c r="BV303" s="3">
        <f>SUM(BV206:BV208,BV211,BV232,BV229)-SUM(BU206:BU208,BU211,BU232,BU229)</f>
        <v>0</v>
      </c>
      <c r="BW303" s="3">
        <f>SUM(BW206:BW208,BW211,BW232,BW229)-SUM(BV206:BV208,BV211,BV232,BV229)</f>
        <v>0</v>
      </c>
      <c r="BX303" s="3">
        <f>SUM(BX206:BX208,BX211,BX232,BX229)-SUM(BW206:BW208,BW211,BW232,BW229)</f>
        <v>0</v>
      </c>
      <c r="BY303" s="3">
        <f>SUM(BY206:BY208,BY211,BY232,BY229)-SUM(BX206:BX208,BX211,BX232,BX229)</f>
        <v>0</v>
      </c>
      <c r="BZ303" s="3">
        <f>SUM(BV303:BY303)</f>
        <v>0</v>
      </c>
      <c r="CA303" s="3">
        <f>SUM(CA206:CA208,CA211,CA232,CA229)-SUM(BZ206:BZ208,BZ211,BZ232,BZ229)</f>
        <v>0</v>
      </c>
      <c r="CB303" s="3">
        <f>SUM(CB206:CB208,CB211,CB232,CB229)-SUM(CA206:CA208,CA211,CA232,CA229)</f>
        <v>0</v>
      </c>
      <c r="CC303" s="3">
        <f>SUM(CC206:CC208,CC211,CC232,CC229)-SUM(CB206:CB208,CB211,CB232,CB229)</f>
        <v>0</v>
      </c>
      <c r="CD303" s="3">
        <f>SUM(CD206:CD208,CD211,CD232,CD229)-SUM(CC206:CC208,CC211,CC232,CC229)</f>
        <v>0</v>
      </c>
      <c r="CE303" s="3">
        <f>SUM(CA303:CD303)</f>
        <v>0</v>
      </c>
      <c r="CF303" s="3">
        <f>SUM(CF206:CF208,CF211,CF232,CF229)-SUM(CE206:CE208,CE211,CE232,CE229)</f>
        <v>0</v>
      </c>
      <c r="CG303" s="3">
        <f>SUM(CG206:CG208,CG211,CG232,CG229)-SUM(CF206:CF208,CF211,CF232,CF229)</f>
        <v>0</v>
      </c>
      <c r="CH303" s="3">
        <f>SUM(CH206:CH208,CH211,CH232,CH229)-SUM(CG206:CG208,CG211,CG232,CG229)</f>
        <v>0</v>
      </c>
      <c r="CI303" s="3">
        <f>SUM(CI206:CI208,CI211,CI232,CI229)-SUM(CH206:CH208,CH211,CH232,CH229)</f>
        <v>0</v>
      </c>
      <c r="CJ303" s="3">
        <f>SUM(CF303:CI303)</f>
        <v>0</v>
      </c>
      <c r="CK303" s="3">
        <f>SUM(CK206:CK208,CK211,CK232,CK229)-SUM(CJ206:CJ208,CJ211,CJ232,CJ229)</f>
        <v>0</v>
      </c>
      <c r="CL303" s="3">
        <f>SUM(CL206:CL208,CL211,CL232,CL229)-SUM(CK206:CK208,CK211,CK232,CK229)</f>
        <v>0</v>
      </c>
      <c r="CM303" s="3">
        <f>SUM(CM206:CM208,CM211,CM232,CM229)-SUM(CL206:CL208,CL211,CL232,CL229)</f>
        <v>0</v>
      </c>
      <c r="CN303" s="3">
        <f>SUM(CN206:CN208,CN211,CN232,CN229)-SUM(CM206:CM208,CM211,CM232,CM229)</f>
        <v>0</v>
      </c>
      <c r="CO303" s="3">
        <f>SUM(CK303:CN303)</f>
        <v>0</v>
      </c>
      <c r="CP303" s="3">
        <f>SUM(CP206:CP208,CP211,CP232,CP229)-SUM(CO206:CO208,CO211,CO232,CO229)</f>
        <v>0</v>
      </c>
      <c r="CQ303" s="3">
        <f>SUM(CQ206:CQ208,CQ211,CQ232,CQ229)-SUM(CP206:CP208,CP211,CP232,CP229)</f>
        <v>0</v>
      </c>
      <c r="CR303" s="3">
        <f>SUM(CR206:CR208,CR211,CR232,CR229)-SUM(CQ206:CQ208,CQ211,CQ232,CQ229)</f>
        <v>0</v>
      </c>
      <c r="CS303" s="3">
        <f>SUM(CS206:CS208,CS211,CS232,CS229)-SUM(CR206:CR208,CR211,CR232,CR229)</f>
        <v>0</v>
      </c>
      <c r="CT303" s="3">
        <f>SUM(CP303:CS303)</f>
        <v>0</v>
      </c>
      <c r="CU303" s="3">
        <f>SUM(CU206:CU208,CU211,CU232,CU229)-SUM(CT206:CT208,CT211,CT232,CT229)</f>
        <v>0</v>
      </c>
      <c r="CV303" s="3">
        <f>SUM(CV206:CV208,CV211,CV232,CV229)-SUM(CU206:CU208,CU211,CU232,CU229)</f>
        <v>0</v>
      </c>
      <c r="CW303" s="3">
        <f>SUM(CW206:CW208,CW211,CW232,CW229)-SUM(CV206:CV208,CV211,CV232,CV229)</f>
        <v>0</v>
      </c>
      <c r="CX303" s="3">
        <f>SUM(CX206:CX208,CX211,CX232,CX229)-SUM(CW206:CW208,CW211,CW232,CW229)</f>
        <v>0</v>
      </c>
      <c r="CY303" s="3">
        <f>SUM(CU303:CX303)</f>
        <v>0</v>
      </c>
      <c r="CZ303" s="3" t="n"/>
      <c r="DA303" s="3" t="n"/>
      <c r="DB303" s="3" t="n"/>
      <c r="DC303" s="3" t="n"/>
    </row>
    <row r="304">
      <c r="C304" s="26" t="inlineStr">
        <is>
          <t>Cash from financing</t>
        </is>
      </c>
      <c r="D304" s="3" t="n"/>
      <c r="E304" s="3">
        <f>SUM(E296,E297,E298,E299,E300,E301,E302,E303)</f>
        <v>520</v>
      </c>
      <c r="F304" s="3">
        <f>SUM(F296,F297,F298,F299,F300,F301,F302,F303)</f>
        <v>5798</v>
      </c>
      <c r="G304" s="3">
        <f>SUM(G296,G297,G298,G299,G300,G301,G302,G303)</f>
        <v>5886</v>
      </c>
      <c r="H304" s="3">
        <f>SUM(H296,H297,H298,H299,H300,H301,H302,H303)</f>
        <v>12204</v>
      </c>
      <c r="I304" s="3">
        <f>SUM(I296,I297,I298,I299,I300,I301,I302,I303)</f>
        <v>271</v>
      </c>
      <c r="J304" s="3">
        <f>SUM(J296,J297,J298,J299,J300,J301,J302,J303)</f>
        <v>607</v>
      </c>
      <c r="K304" s="3">
        <f>SUM(K296,K297,K298,K299,K300,K301,K302,K303)</f>
        <v>585</v>
      </c>
      <c r="L304" s="3">
        <f>SUM(L296,L297,L298,L299,L300,L301,L302,L303)</f>
        <v>746</v>
      </c>
      <c r="M304" s="3">
        <f>SUM(M296,M297,M298,M299,M300,M301,M302,M303)</f>
        <v>2209</v>
      </c>
      <c r="N304" s="3">
        <f>SUM(N296,N297,N298,N299,N300,N301,N302,N303)</f>
        <v>543</v>
      </c>
      <c r="O304" s="3">
        <f>SUM(O296,O297,O298,O299,O300,O301,O302,O303)</f>
        <v>-17</v>
      </c>
      <c r="P304" s="3">
        <f>SUM(P296,P297,P298,P299,P300,P301,P302,P303)</f>
        <v>135</v>
      </c>
      <c r="Q304" s="3">
        <f>SUM(Q296,Q297,Q298,Q299,Q300,Q301,Q302,Q303)</f>
        <v>1067</v>
      </c>
      <c r="R304" s="3">
        <f>SUM(R296,R297,R298,R299,R300,R301,R302,R303)</f>
        <v>1728</v>
      </c>
      <c r="S304" s="3">
        <f>SUM(S296,S297,S298,S299,S300,S301,S302,S303)</f>
        <v>798</v>
      </c>
      <c r="T304" s="3">
        <f>SUM(T296,T297,T298,T299,T300,T301,T302,T303)</f>
        <v>333</v>
      </c>
      <c r="U304" s="3">
        <f>SUM(U296,U297,U298,U299,U300,U301,U302,U303)</f>
        <v>435</v>
      </c>
      <c r="V304" s="3">
        <f>SUM(V296,V297,V298,V299,V300,V301,V302,V303)</f>
        <v>1171</v>
      </c>
      <c r="W304" s="3">
        <f>SUM(W296,W297,W298,W299,W300,W301,W302,W303)</f>
        <v>2737</v>
      </c>
      <c r="X304" s="3">
        <f>SUM(X296,X297,X298,X299,X300,X301,X302,X303)</f>
        <v>166</v>
      </c>
      <c r="Y304" s="3">
        <f>SUM(Y296,Y297,Y298,Y299,Y300,Y301,Y302,Y303)</f>
        <v>667</v>
      </c>
      <c r="Z304" s="3">
        <f>SUM(Z296,Z297,Z298,Z299,Z300,Z301,Z302,Z303)</f>
        <v>1258</v>
      </c>
      <c r="AA304" s="3">
        <f>SUM(AA296,AA297,AA298,AA299,AA300,AA301,AA302,AA303)</f>
        <v>827</v>
      </c>
      <c r="AB304" s="3">
        <f>SUM(AB296,AB297,AB298,AB299,AB300,AB301,AB302,AB303)</f>
        <v>2918</v>
      </c>
      <c r="AC304" s="3">
        <f>SUM(AC296,AC297,AC298,AC299,AC300,AC301,AC302,AC303)</f>
        <v>1318</v>
      </c>
      <c r="AD304" s="3">
        <f>SUM(AD296,AD297,AD298,AD299,AD300,AD301,AD302,AD303)</f>
        <v>1464</v>
      </c>
      <c r="AE304" s="3">
        <f>SUM(AE296,AE297,AE298,AE299,AE300,AE301,AE302,AE303)</f>
        <v>1255</v>
      </c>
      <c r="AF304" s="3">
        <f>SUM(AF296,AF297,AF298,AF299,AF300,AF301,AF302,AF303)</f>
        <v>1293</v>
      </c>
      <c r="AG304" s="3">
        <f>SUM(AG296,AG297,AG298,AG299,AG300,AG301,AG302,AG303)</f>
        <v>5330</v>
      </c>
      <c r="AH304" s="3">
        <f>SUM(AH296,AH297,AH298,AH299,AH300,AH301,AH302,AH303)</f>
        <v>1446</v>
      </c>
      <c r="AI304" s="3">
        <f>SUM(AI296,AI297,AI298,AI299,AI300,AI301,AI302,AI303)</f>
        <v>1589</v>
      </c>
      <c r="AJ304" s="3">
        <f>SUM(AJ296,AJ297,AJ298,AJ299,AJ300,AJ301,AJ302,AJ303)</f>
        <v>0</v>
      </c>
      <c r="AK304" s="3">
        <f>SUM(AK296,AK297,AK298,AK299,AK300,AK301,AK302,AK303)</f>
        <v>0</v>
      </c>
      <c r="AL304" s="3">
        <f>SUM(AL296,AL297,AL298,AL299,AL300,AL301,AL302,AL303)</f>
        <v>3035</v>
      </c>
      <c r="AM304" s="3">
        <f>SUM(AM296,AM297,AM298,AM299,AM300,AM301,AM302,AM303)</f>
        <v>0</v>
      </c>
      <c r="AN304" s="3">
        <f>SUM(AN296,AN297,AN298,AN299,AN300,AN301,AN302,AN303)</f>
        <v>0</v>
      </c>
      <c r="AO304" s="3">
        <f>SUM(AO296,AO297,AO298,AO299,AO300,AO301,AO302,AO303)</f>
        <v>0</v>
      </c>
      <c r="AP304" s="3">
        <f>SUM(AP296,AP297,AP298,AP299,AP300,AP301,AP302,AP303)</f>
        <v>0</v>
      </c>
      <c r="AQ304" s="3">
        <f>SUM(AQ296,AQ297,AQ298,AQ299,AQ300,AQ301,AQ302,AQ303)</f>
        <v>0</v>
      </c>
      <c r="AR304" s="3">
        <f>SUM(AR296,AR297,AR298,AR299,AR300,AR301,AR302,AR303)</f>
        <v>0</v>
      </c>
      <c r="AS304" s="3">
        <f>SUM(AS296,AS297,AS298,AS299,AS300,AS301,AS302,AS303)</f>
        <v>0</v>
      </c>
      <c r="AT304" s="3">
        <f>SUM(AT296,AT297,AT298,AT299,AT300,AT301,AT302,AT303)</f>
        <v>0</v>
      </c>
      <c r="AU304" s="3">
        <f>SUM(AU296,AU297,AU298,AU299,AU300,AU301,AU302,AU303)</f>
        <v>0</v>
      </c>
      <c r="AV304" s="3">
        <f>SUM(AV296,AV297,AV298,AV299,AV300,AV301,AV302,AV303)</f>
        <v>0</v>
      </c>
      <c r="AW304" s="3">
        <f>SUM(AW296,AW297,AW298,AW299,AW300,AW301,AW302,AW303)</f>
        <v>0</v>
      </c>
      <c r="AX304" s="3">
        <f>SUM(AX296,AX297,AX298,AX299,AX300,AX301,AX302,AX303)</f>
        <v>0</v>
      </c>
      <c r="AY304" s="3">
        <f>SUM(AY296,AY297,AY298,AY299,AY300,AY301,AY302,AY303)</f>
        <v>0</v>
      </c>
      <c r="AZ304" s="3">
        <f>SUM(AZ296,AZ297,AZ298,AZ299,AZ300,AZ301,AZ302,AZ303)</f>
        <v>0</v>
      </c>
      <c r="BA304" s="3">
        <f>SUM(BA296,BA297,BA298,BA299,BA300,BA301,BA302,BA303)</f>
        <v>0</v>
      </c>
      <c r="BB304" s="3">
        <f>SUM(BB296,BB297,BB298,BB299,BB300,BB301,BB302,BB303)</f>
        <v>0</v>
      </c>
      <c r="BC304" s="3">
        <f>SUM(BC296,BC297,BC298,BC299,BC300,BC301,BC302,BC303)</f>
        <v>0</v>
      </c>
      <c r="BD304" s="3">
        <f>SUM(BD296,BD297,BD298,BD299,BD300,BD301,BD302,BD303)</f>
        <v>0</v>
      </c>
      <c r="BE304" s="3">
        <f>SUM(BE296,BE297,BE298,BE299,BE300,BE301,BE302,BE303)</f>
        <v>0</v>
      </c>
      <c r="BF304" s="3">
        <f>SUM(BF296,BF297,BF298,BF299,BF300,BF301,BF302,BF303)</f>
        <v>0</v>
      </c>
      <c r="BG304" s="3">
        <f>SUM(BG296,BG297,BG298,BG299,BG300,BG301,BG302,BG303)</f>
        <v>0</v>
      </c>
      <c r="BH304" s="3">
        <f>SUM(BH296,BH297,BH298,BH299,BH300,BH301,BH302,BH303)</f>
        <v>0</v>
      </c>
      <c r="BI304" s="3">
        <f>SUM(BI296,BI297,BI298,BI299,BI300,BI301,BI302,BI303)</f>
        <v>0</v>
      </c>
      <c r="BJ304" s="3">
        <f>SUM(BJ296,BJ297,BJ298,BJ299,BJ300,BJ301,BJ302,BJ303)</f>
        <v>0</v>
      </c>
      <c r="BK304" s="3">
        <f>SUM(BK296,BK297,BK298,BK299,BK300,BK301,BK302,BK303)</f>
        <v>0</v>
      </c>
      <c r="BL304" s="3">
        <f>SUM(BL296,BL297,BL298,BL299,BL300,BL301,BL302,BL303)</f>
        <v>0</v>
      </c>
      <c r="BM304" s="3">
        <f>SUM(BM296,BM297,BM298,BM299,BM300,BM301,BM302,BM303)</f>
        <v>0</v>
      </c>
      <c r="BN304" s="3">
        <f>SUM(BN296,BN297,BN298,BN299,BN300,BN301,BN302,BN303)</f>
        <v>0</v>
      </c>
      <c r="BO304" s="3">
        <f>SUM(BO296,BO297,BO298,BO299,BO300,BO301,BO302,BO303)</f>
        <v>0</v>
      </c>
      <c r="BP304" s="3">
        <f>SUM(BP296,BP297,BP298,BP299,BP300,BP301,BP302,BP303)</f>
        <v>0</v>
      </c>
      <c r="BQ304" s="3">
        <f>SUM(BQ296,BQ297,BQ298,BQ299,BQ300,BQ301,BQ302,BQ303)</f>
        <v>0</v>
      </c>
      <c r="BR304" s="3">
        <f>SUM(BR296,BR297,BR298,BR299,BR300,BR301,BR302,BR303)</f>
        <v>0</v>
      </c>
      <c r="BS304" s="3">
        <f>SUM(BS296,BS297,BS298,BS299,BS300,BS301,BS302,BS303)</f>
        <v>0</v>
      </c>
      <c r="BT304" s="3">
        <f>SUM(BT296,BT297,BT298,BT299,BT300,BT301,BT302,BT303)</f>
        <v>0</v>
      </c>
      <c r="BU304" s="3">
        <f>SUM(BU296,BU297,BU298,BU299,BU300,BU301,BU302,BU303)</f>
        <v>0</v>
      </c>
      <c r="BV304" s="3">
        <f>SUM(BV296,BV297,BV298,BV299,BV300,BV301,BV302,BV303)</f>
        <v>0</v>
      </c>
      <c r="BW304" s="3">
        <f>SUM(BW296,BW297,BW298,BW299,BW300,BW301,BW302,BW303)</f>
        <v>0</v>
      </c>
      <c r="BX304" s="3">
        <f>SUM(BX296,BX297,BX298,BX299,BX300,BX301,BX302,BX303)</f>
        <v>0</v>
      </c>
      <c r="BY304" s="3">
        <f>SUM(BY296,BY297,BY298,BY299,BY300,BY301,BY302,BY303)</f>
        <v>0</v>
      </c>
      <c r="BZ304" s="3">
        <f>SUM(BZ296,BZ297,BZ298,BZ299,BZ300,BZ301,BZ302,BZ303)</f>
        <v>0</v>
      </c>
      <c r="CA304" s="3">
        <f>SUM(CA296,CA297,CA298,CA299,CA300,CA301,CA302,CA303)</f>
        <v>0</v>
      </c>
      <c r="CB304" s="3">
        <f>SUM(CB296,CB297,CB298,CB299,CB300,CB301,CB302,CB303)</f>
        <v>0</v>
      </c>
      <c r="CC304" s="3">
        <f>SUM(CC296,CC297,CC298,CC299,CC300,CC301,CC302,CC303)</f>
        <v>0</v>
      </c>
      <c r="CD304" s="3">
        <f>SUM(CD296,CD297,CD298,CD299,CD300,CD301,CD302,CD303)</f>
        <v>0</v>
      </c>
      <c r="CE304" s="3">
        <f>SUM(CE296,CE297,CE298,CE299,CE300,CE301,CE302,CE303)</f>
        <v>0</v>
      </c>
      <c r="CF304" s="3">
        <f>SUM(CF296,CF297,CF298,CF299,CF300,CF301,CF302,CF303)</f>
        <v>0</v>
      </c>
      <c r="CG304" s="3">
        <f>SUM(CG296,CG297,CG298,CG299,CG300,CG301,CG302,CG303)</f>
        <v>0</v>
      </c>
      <c r="CH304" s="3">
        <f>SUM(CH296,CH297,CH298,CH299,CH300,CH301,CH302,CH303)</f>
        <v>0</v>
      </c>
      <c r="CI304" s="3">
        <f>SUM(CI296,CI297,CI298,CI299,CI300,CI301,CI302,CI303)</f>
        <v>0</v>
      </c>
      <c r="CJ304" s="3">
        <f>SUM(CJ296,CJ297,CJ298,CJ299,CJ300,CJ301,CJ302,CJ303)</f>
        <v>0</v>
      </c>
      <c r="CK304" s="3">
        <f>SUM(CK296,CK297,CK298,CK299,CK300,CK301,CK302,CK303)</f>
        <v>0</v>
      </c>
      <c r="CL304" s="3">
        <f>SUM(CL296,CL297,CL298,CL299,CL300,CL301,CL302,CL303)</f>
        <v>0</v>
      </c>
      <c r="CM304" s="3">
        <f>SUM(CM296,CM297,CM298,CM299,CM300,CM301,CM302,CM303)</f>
        <v>0</v>
      </c>
      <c r="CN304" s="3">
        <f>SUM(CN296,CN297,CN298,CN299,CN300,CN301,CN302,CN303)</f>
        <v>0</v>
      </c>
      <c r="CO304" s="3">
        <f>SUM(CO296,CO297,CO298,CO299,CO300,CO301,CO302,CO303)</f>
        <v>0</v>
      </c>
      <c r="CP304" s="3">
        <f>SUM(CP296,CP297,CP298,CP299,CP300,CP301,CP302,CP303)</f>
        <v>0</v>
      </c>
      <c r="CQ304" s="3">
        <f>SUM(CQ296,CQ297,CQ298,CQ299,CQ300,CQ301,CQ302,CQ303)</f>
        <v>0</v>
      </c>
      <c r="CR304" s="3">
        <f>SUM(CR296,CR297,CR298,CR299,CR300,CR301,CR302,CR303)</f>
        <v>0</v>
      </c>
      <c r="CS304" s="3">
        <f>SUM(CS296,CS297,CS298,CS299,CS300,CS301,CS302,CS303)</f>
        <v>0</v>
      </c>
      <c r="CT304" s="3">
        <f>SUM(CT296,CT297,CT298,CT299,CT300,CT301,CT302,CT303)</f>
        <v>0</v>
      </c>
      <c r="CU304" s="3">
        <f>SUM(CU296,CU297,CU298,CU299,CU300,CU301,CU302,CU303)</f>
        <v>0</v>
      </c>
      <c r="CV304" s="3">
        <f>SUM(CV296,CV297,CV298,CV299,CV300,CV301,CV302,CV303)</f>
        <v>0</v>
      </c>
      <c r="CW304" s="3">
        <f>SUM(CW296,CW297,CW298,CW299,CW300,CW301,CW302,CW303)</f>
        <v>0</v>
      </c>
      <c r="CX304" s="3">
        <f>SUM(CX296,CX297,CX298,CX299,CX300,CX301,CX302,CX303)</f>
        <v>0</v>
      </c>
      <c r="CY304" s="3">
        <f>SUM(CY296,CY297,CY298,CY299,CY300,CY301,CY302,CY303)</f>
        <v>0</v>
      </c>
    </row>
    <row r="305">
      <c r="C305" s="26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  <c r="AA305" s="3" t="n"/>
      <c r="AB305" s="3" t="n"/>
      <c r="AC305" s="3" t="n"/>
      <c r="AD305" s="3" t="n"/>
      <c r="AE305" s="3" t="n"/>
      <c r="AF305" s="3" t="n"/>
      <c r="AG305" s="3" t="n"/>
      <c r="AH305" s="3" t="n"/>
      <c r="AI305" s="3" t="n"/>
      <c r="AJ305" s="3" t="n"/>
      <c r="AK305" s="3" t="n"/>
      <c r="AL305" s="3" t="n"/>
      <c r="AM305" s="3" t="n"/>
      <c r="AN305" s="3" t="n"/>
      <c r="AO305" s="3" t="n"/>
      <c r="AP305" s="3" t="n"/>
      <c r="AQ305" s="3" t="n"/>
      <c r="AR305" s="3" t="n"/>
      <c r="AS305" s="3" t="n"/>
      <c r="AT305" s="3" t="n"/>
      <c r="AU305" s="3" t="n"/>
      <c r="AV305" s="3" t="n"/>
      <c r="AW305" s="3" t="n"/>
      <c r="AX305" s="3" t="n"/>
      <c r="AY305" s="3" t="n"/>
      <c r="AZ305" s="3" t="n"/>
      <c r="BA305" s="3" t="n"/>
      <c r="BB305" s="3" t="n"/>
      <c r="BC305" s="3" t="n"/>
      <c r="BD305" s="3" t="n"/>
      <c r="BE305" s="3" t="n"/>
      <c r="BF305" s="3" t="n"/>
      <c r="BG305" s="3" t="n"/>
      <c r="BH305" s="3" t="n"/>
      <c r="BI305" s="3" t="n"/>
      <c r="BJ305" s="3" t="n"/>
      <c r="BK305" s="3" t="n"/>
      <c r="BL305" s="3" t="n"/>
      <c r="BM305" s="3" t="n"/>
      <c r="BN305" s="3" t="n"/>
      <c r="BO305" s="3" t="n"/>
      <c r="BP305" s="3" t="n"/>
      <c r="BQ305" s="3" t="n"/>
      <c r="BR305" s="3" t="n"/>
      <c r="BS305" s="3" t="n"/>
      <c r="BT305" s="3" t="n"/>
      <c r="BU305" s="3" t="n"/>
      <c r="BV305" s="3" t="n"/>
      <c r="BW305" s="3" t="n"/>
      <c r="BX305" s="3" t="n"/>
      <c r="BY305" s="3" t="n"/>
      <c r="BZ305" s="3" t="n"/>
      <c r="CA305" s="3" t="n"/>
      <c r="CB305" s="3" t="n"/>
      <c r="CC305" s="3" t="n"/>
      <c r="CD305" s="3" t="n"/>
      <c r="CE305" s="3" t="n"/>
      <c r="CF305" s="3" t="n"/>
      <c r="CG305" s="3" t="n"/>
      <c r="CH305" s="3" t="n"/>
      <c r="CI305" s="3" t="n"/>
      <c r="CJ305" s="3" t="n"/>
      <c r="CK305" s="3" t="n"/>
      <c r="CL305" s="3" t="n"/>
      <c r="CM305" s="3" t="n"/>
      <c r="CN305" s="3" t="n"/>
      <c r="CO305" s="3" t="n"/>
      <c r="CP305" s="3" t="n"/>
      <c r="CQ305" s="3" t="n"/>
      <c r="CR305" s="3" t="n"/>
      <c r="CS305" s="3" t="n"/>
      <c r="CT305" s="3" t="n"/>
      <c r="CU305" s="3" t="n"/>
      <c r="CV305" s="3" t="n"/>
      <c r="CW305" s="3" t="n"/>
      <c r="CX305" s="3" t="n"/>
      <c r="CY305" s="3" t="n"/>
    </row>
    <row r="306">
      <c r="C306" s="26" t="inlineStr">
        <is>
          <t>Others</t>
        </is>
      </c>
      <c r="D306" s="3" t="n"/>
      <c r="E306" s="3" t="n"/>
      <c r="F306" s="3" t="n"/>
      <c r="G306" s="3" t="n"/>
      <c r="H306" s="3">
        <f>SUM(D306:G306)</f>
        <v>0</v>
      </c>
      <c r="I306" s="3" t="n"/>
      <c r="J306" s="3" t="n"/>
      <c r="K306" s="3" t="n"/>
      <c r="L306" s="3" t="n"/>
      <c r="M306" s="3">
        <f>SUM(I306:L306)</f>
        <v>0</v>
      </c>
      <c r="N306" s="3" t="n"/>
      <c r="O306" s="3" t="n"/>
      <c r="P306" s="3" t="n"/>
      <c r="Q306" s="3" t="n"/>
      <c r="R306" s="3">
        <f>SUM(N306:Q306)</f>
        <v>0</v>
      </c>
      <c r="S306" s="3" t="n"/>
      <c r="T306" s="3" t="n"/>
      <c r="U306" s="3" t="n"/>
      <c r="V306" s="3" t="n"/>
      <c r="W306" s="3">
        <f>SUM(S306:V306)</f>
        <v>0</v>
      </c>
      <c r="X306" s="3" t="n"/>
      <c r="Y306" s="3" t="n"/>
      <c r="Z306" s="3" t="n"/>
      <c r="AA306" s="3" t="n"/>
      <c r="AB306" s="3">
        <f>SUM(X306:AA306)</f>
        <v>0</v>
      </c>
      <c r="AC306" s="3" t="n"/>
      <c r="AD306" s="3" t="n"/>
      <c r="AE306" s="3" t="n"/>
      <c r="AF306" s="3" t="n"/>
      <c r="AG306" s="3">
        <f>SUM(AC306:AF306)</f>
        <v>0</v>
      </c>
      <c r="AH306" s="3" t="n"/>
      <c r="AI306" s="3" t="n"/>
      <c r="AJ306" s="3" t="n"/>
      <c r="AK306" s="3" t="n"/>
      <c r="AL306" s="3">
        <f>SUM(AH306:AK306)</f>
        <v>0</v>
      </c>
      <c r="AM306" s="3" t="n"/>
      <c r="AN306" s="3" t="n"/>
      <c r="AO306" s="3" t="n"/>
      <c r="AP306" s="3" t="n"/>
      <c r="AQ306" s="3">
        <f>SUM(AM306:AP306)</f>
        <v>0</v>
      </c>
      <c r="AR306" s="3" t="n"/>
      <c r="AS306" s="3" t="n"/>
      <c r="AT306" s="3" t="n"/>
      <c r="AU306" s="3" t="n"/>
      <c r="AV306" s="3">
        <f>SUM(AR306:AU306)</f>
        <v>0</v>
      </c>
      <c r="AW306" s="3" t="n"/>
      <c r="AX306" s="3" t="n"/>
      <c r="AY306" s="3" t="n"/>
      <c r="AZ306" s="3" t="n"/>
      <c r="BA306" s="3">
        <f>SUM(AW306:AZ306)</f>
        <v>0</v>
      </c>
      <c r="BB306" s="3" t="n"/>
      <c r="BC306" s="3" t="n"/>
      <c r="BD306" s="3" t="n"/>
      <c r="BE306" s="3" t="n"/>
      <c r="BF306" s="3">
        <f>SUM(BB306:BE306)</f>
        <v>0</v>
      </c>
      <c r="BG306" s="3" t="n"/>
      <c r="BH306" s="3" t="n"/>
      <c r="BI306" s="3" t="n"/>
      <c r="BJ306" s="3" t="n"/>
      <c r="BK306" s="3">
        <f>SUM(BG306:BJ306)</f>
        <v>0</v>
      </c>
      <c r="BL306" s="3" t="n"/>
      <c r="BM306" s="3" t="n"/>
      <c r="BN306" s="3" t="n"/>
      <c r="BO306" s="3" t="n"/>
      <c r="BP306" s="3">
        <f>SUM(BL306:BO306)</f>
        <v>0</v>
      </c>
      <c r="BQ306" s="3" t="n"/>
      <c r="BR306" s="3" t="n"/>
      <c r="BS306" s="3" t="n"/>
      <c r="BT306" s="3" t="n"/>
      <c r="BU306" s="3">
        <f>SUM(BQ306:BT306)</f>
        <v>0</v>
      </c>
      <c r="BV306" s="3" t="n"/>
      <c r="BW306" s="3" t="n"/>
      <c r="BX306" s="3" t="n"/>
      <c r="BY306" s="3" t="n"/>
      <c r="BZ306" s="3">
        <f>SUM(BV306:BY306)</f>
        <v>0</v>
      </c>
      <c r="CA306" s="3" t="n"/>
      <c r="CB306" s="3" t="n"/>
      <c r="CC306" s="3" t="n"/>
      <c r="CD306" s="3" t="n"/>
      <c r="CE306" s="3">
        <f>SUM(CA306:CD306)</f>
        <v>0</v>
      </c>
      <c r="CF306" s="3" t="n"/>
      <c r="CG306" s="3" t="n"/>
      <c r="CH306" s="3" t="n"/>
      <c r="CI306" s="3" t="n"/>
      <c r="CJ306" s="3">
        <f>SUM(CF306:CI306)</f>
        <v>0</v>
      </c>
      <c r="CK306" s="3" t="n"/>
      <c r="CL306" s="3" t="n"/>
      <c r="CM306" s="3" t="n"/>
      <c r="CN306" s="3" t="n"/>
      <c r="CO306" s="3">
        <f>SUM(CK306:CN306)</f>
        <v>0</v>
      </c>
      <c r="CP306" s="3" t="n"/>
      <c r="CQ306" s="3" t="n"/>
      <c r="CR306" s="3" t="n"/>
      <c r="CS306" s="3" t="n"/>
      <c r="CT306" s="3">
        <f>SUM(CP306:CS306)</f>
        <v>0</v>
      </c>
      <c r="CU306" s="3" t="n"/>
      <c r="CV306" s="3" t="n"/>
      <c r="CW306" s="3" t="n"/>
      <c r="CX306" s="3" t="n"/>
      <c r="CY306" s="3">
        <f>SUM(CU306:CX306)</f>
        <v>0</v>
      </c>
    </row>
    <row r="307">
      <c r="C307" s="26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  <c r="AA307" s="3" t="n"/>
      <c r="AB307" s="3" t="n"/>
      <c r="AC307" s="3" t="n"/>
      <c r="AD307" s="3" t="n"/>
      <c r="AE307" s="3" t="n"/>
      <c r="AF307" s="3" t="n"/>
      <c r="AG307" s="3" t="n"/>
      <c r="AH307" s="3" t="n"/>
      <c r="AI307" s="3" t="n"/>
      <c r="AJ307" s="3" t="n"/>
      <c r="AK307" s="3" t="n"/>
      <c r="AL307" s="3" t="n"/>
      <c r="AM307" s="3" t="n"/>
      <c r="AN307" s="3" t="n"/>
      <c r="AO307" s="3" t="n"/>
      <c r="AP307" s="3" t="n"/>
      <c r="AQ307" s="3" t="n"/>
      <c r="AR307" s="3" t="n"/>
      <c r="AS307" s="3" t="n"/>
      <c r="AT307" s="3" t="n"/>
      <c r="AU307" s="3" t="n"/>
      <c r="AV307" s="3" t="n"/>
      <c r="AW307" s="3" t="n"/>
      <c r="AX307" s="3" t="n"/>
      <c r="AY307" s="3" t="n"/>
      <c r="AZ307" s="3" t="n"/>
      <c r="BA307" s="3" t="n"/>
      <c r="BB307" s="3" t="n"/>
      <c r="BC307" s="3" t="n"/>
      <c r="BD307" s="3" t="n"/>
      <c r="BE307" s="3" t="n"/>
      <c r="BF307" s="3" t="n"/>
      <c r="BG307" s="3" t="n"/>
      <c r="BH307" s="3" t="n"/>
      <c r="BI307" s="3" t="n"/>
      <c r="BJ307" s="3" t="n"/>
      <c r="BK307" s="3" t="n"/>
      <c r="BL307" s="3" t="n"/>
      <c r="BM307" s="3" t="n"/>
      <c r="BN307" s="3" t="n"/>
      <c r="BO307" s="3" t="n"/>
      <c r="BP307" s="3" t="n"/>
      <c r="BQ307" s="3" t="n"/>
      <c r="BR307" s="3" t="n"/>
      <c r="BS307" s="3" t="n"/>
      <c r="BT307" s="3" t="n"/>
      <c r="BU307" s="3" t="n"/>
      <c r="BV307" s="3" t="n"/>
      <c r="BW307" s="3" t="n"/>
      <c r="BX307" s="3" t="n"/>
      <c r="BY307" s="3" t="n"/>
      <c r="BZ307" s="3" t="n"/>
      <c r="CA307" s="3" t="n"/>
      <c r="CB307" s="3" t="n"/>
      <c r="CC307" s="3" t="n"/>
      <c r="CD307" s="3" t="n"/>
      <c r="CE307" s="3" t="n"/>
      <c r="CF307" s="3" t="n"/>
      <c r="CG307" s="3" t="n"/>
      <c r="CH307" s="3" t="n"/>
      <c r="CI307" s="3" t="n"/>
      <c r="CJ307" s="3" t="n"/>
      <c r="CK307" s="3" t="n"/>
      <c r="CL307" s="3" t="n"/>
      <c r="CM307" s="3" t="n"/>
      <c r="CN307" s="3" t="n"/>
      <c r="CO307" s="3" t="n"/>
      <c r="CP307" s="3" t="n"/>
      <c r="CQ307" s="3" t="n"/>
      <c r="CR307" s="3" t="n"/>
      <c r="CS307" s="3" t="n"/>
      <c r="CT307" s="3" t="n"/>
      <c r="CU307" s="3" t="n"/>
      <c r="CV307" s="3" t="n"/>
      <c r="CW307" s="3" t="n"/>
      <c r="CX307" s="3" t="n"/>
      <c r="CY307" s="3" t="n"/>
    </row>
    <row r="308">
      <c r="C308" s="26" t="inlineStr">
        <is>
          <t>Total increase/decrease of cash</t>
        </is>
      </c>
      <c r="D308" s="3" t="n"/>
      <c r="E308" s="3">
        <f>SUM(E287,E294,E304,E306)</f>
        <v>535</v>
      </c>
      <c r="F308" s="3">
        <f>SUM(F287,F294,F304,F306)</f>
        <v>5916</v>
      </c>
      <c r="G308" s="3">
        <f>SUM(G287,G294,G304,G306)</f>
        <v>4853</v>
      </c>
      <c r="H308" s="3">
        <f>SUM(D308:G308)</f>
        <v>11304</v>
      </c>
      <c r="I308" s="3">
        <f>SUM(I287,I294,I304,I306)</f>
        <v>-2243</v>
      </c>
      <c r="J308" s="3">
        <f>SUM(J287,J294,J304,J306)</f>
        <v>-912</v>
      </c>
      <c r="K308" s="3">
        <f>SUM(K287,K294,K304,K306)</f>
        <v>-134</v>
      </c>
      <c r="L308" s="3">
        <f>SUM(L287,L294,L304,L306)</f>
        <v>1612</v>
      </c>
      <c r="M308" s="3">
        <f>SUM(I308:L308)</f>
        <v>-1677</v>
      </c>
      <c r="N308" s="3">
        <f>SUM(N287,N294,N304,N306)</f>
        <v>306</v>
      </c>
      <c r="O308" s="3">
        <f>SUM(O287,O294,O304,O306)</f>
        <v>902</v>
      </c>
      <c r="P308" s="3">
        <f>SUM(P287,P294,P304,P306)</f>
        <v>2192</v>
      </c>
      <c r="Q308" s="3">
        <f>SUM(Q287,Q294,Q304,Q306)</f>
        <v>1078</v>
      </c>
      <c r="R308" s="3">
        <f>SUM(N308:Q308)</f>
        <v>4478</v>
      </c>
      <c r="S308" s="3">
        <f>SUM(S287,S294,S304,S306)</f>
        <v>217</v>
      </c>
      <c r="T308" s="3">
        <f>SUM(T287,T294,T304,T306)</f>
        <v>673</v>
      </c>
      <c r="U308" s="3">
        <f>SUM(U287,U294,U304,U306)</f>
        <v>3002</v>
      </c>
      <c r="V308" s="3">
        <f>SUM(V287,V294,V304,V306)</f>
        <v>3017</v>
      </c>
      <c r="W308" s="3">
        <f>SUM(S308:V308)</f>
        <v>6909</v>
      </c>
      <c r="X308" s="3">
        <f>SUM(X287,X294,X304,X306)</f>
        <v>-2231</v>
      </c>
      <c r="Y308" s="3">
        <f>SUM(Y287,Y294,Y304,Y306)</f>
        <v>3857</v>
      </c>
      <c r="Z308" s="3">
        <f>SUM(Z287,Z294,Z304,Z306)</f>
        <v>2928</v>
      </c>
      <c r="AA308" s="3">
        <f>SUM(AA287,AA294,AA304,AA306)</f>
        <v>2915</v>
      </c>
      <c r="AB308" s="3">
        <f>SUM(X308:AA308)</f>
        <v>7469</v>
      </c>
      <c r="AC308" s="3">
        <f>SUM(AC287,AC294,AC304,AC306)</f>
        <v>433</v>
      </c>
      <c r="AD308" s="3">
        <f>SUM(AD287,AD294,AD304,AD306)</f>
        <v>-214</v>
      </c>
      <c r="AE308" s="3">
        <f>SUM(AE287,AE294,AE304,AE306)</f>
        <v>4865</v>
      </c>
      <c r="AF308" s="3">
        <f>SUM(AF287,AF294,AF304,AF306)</f>
        <v>2412</v>
      </c>
      <c r="AG308" s="3">
        <f>SUM(AC308:AF308)</f>
        <v>7496</v>
      </c>
      <c r="AH308" s="3">
        <f>SUM(AH287,AH294,AH304,AH306)</f>
        <v>684</v>
      </c>
      <c r="AI308" s="3">
        <f>SUM(AI287,AI294,AI304,AI306)</f>
        <v>-1219</v>
      </c>
      <c r="AJ308" s="3">
        <f>SUM(AJ287,AJ294,AJ304,AJ306)</f>
        <v>2414</v>
      </c>
      <c r="AK308" s="3">
        <f>SUM(AK287,AK294,AK304,AK306)</f>
        <v>1012</v>
      </c>
      <c r="AL308" s="3">
        <f>SUM(AH308:AK308)</f>
        <v>2891</v>
      </c>
      <c r="AM308" s="3" t="e">
        <f>SUM(AM287,AM294,AM304,AM306)</f>
        <v>#DIV/0!</v>
      </c>
      <c r="AN308" s="3" t="e">
        <f>SUM(AN287,AN294,AN304,AN306)</f>
        <v>#DIV/0!</v>
      </c>
      <c r="AO308" s="3" t="e">
        <f>SUM(AO287,AO294,AO304,AO306)</f>
        <v>#DIV/0!</v>
      </c>
      <c r="AP308" s="3" t="e">
        <f>SUM(AP287,AP294,AP304,AP306)</f>
        <v>#DIV/0!</v>
      </c>
      <c r="AQ308" s="3" t="e">
        <f>SUM(AM308:AP308)</f>
        <v>#DIV/0!</v>
      </c>
      <c r="AR308" s="3" t="e">
        <f>SUM(AR287,AR294,AR304,AR306)</f>
        <v>#DIV/0!</v>
      </c>
      <c r="AS308" s="3" t="e">
        <f>SUM(AS287,AS294,AS304,AS306)</f>
        <v>#DIV/0!</v>
      </c>
      <c r="AT308" s="3" t="e">
        <f>SUM(AT287,AT294,AT304,AT306)</f>
        <v>#DIV/0!</v>
      </c>
      <c r="AU308" s="3" t="e">
        <f>SUM(AU287,AU294,AU304,AU306)</f>
        <v>#DIV/0!</v>
      </c>
      <c r="AV308" s="3" t="e">
        <f>SUM(AR308:AU308)</f>
        <v>#DIV/0!</v>
      </c>
      <c r="AW308" s="3" t="e">
        <f>SUM(AW287,AW294,AW304,AW306)</f>
        <v>#DIV/0!</v>
      </c>
      <c r="AX308" s="3" t="e">
        <f>SUM(AX287,AX294,AX304,AX306)</f>
        <v>#DIV/0!</v>
      </c>
      <c r="AY308" s="3" t="e">
        <f>SUM(AY287,AY294,AY304,AY306)</f>
        <v>#DIV/0!</v>
      </c>
      <c r="AZ308" s="3" t="e">
        <f>SUM(AZ287,AZ294,AZ304,AZ306)</f>
        <v>#DIV/0!</v>
      </c>
      <c r="BA308" s="3" t="e">
        <f>SUM(AW308:AZ308)</f>
        <v>#DIV/0!</v>
      </c>
      <c r="BB308" s="3" t="e">
        <f>SUM(BB287,BB294,BB304,BB306)</f>
        <v>#DIV/0!</v>
      </c>
      <c r="BC308" s="3" t="e">
        <f>SUM(BC287,BC294,BC304,BC306)</f>
        <v>#DIV/0!</v>
      </c>
      <c r="BD308" s="3" t="e">
        <f>SUM(BD287,BD294,BD304,BD306)</f>
        <v>#DIV/0!</v>
      </c>
      <c r="BE308" s="3" t="e">
        <f>SUM(BE287,BE294,BE304,BE306)</f>
        <v>#DIV/0!</v>
      </c>
      <c r="BF308" s="3" t="e">
        <f>SUM(BB308:BE308)</f>
        <v>#DIV/0!</v>
      </c>
      <c r="BG308" s="3" t="e">
        <f>SUM(BG287,BG294,BG304,BG306)</f>
        <v>#DIV/0!</v>
      </c>
      <c r="BH308" s="3" t="e">
        <f>SUM(BH287,BH294,BH304,BH306)</f>
        <v>#DIV/0!</v>
      </c>
      <c r="BI308" s="3" t="e">
        <f>SUM(BI287,BI294,BI304,BI306)</f>
        <v>#DIV/0!</v>
      </c>
      <c r="BJ308" s="3" t="e">
        <f>SUM(BJ287,BJ294,BJ304,BJ306)</f>
        <v>#DIV/0!</v>
      </c>
      <c r="BK308" s="3" t="e">
        <f>SUM(BG308:BJ308)</f>
        <v>#DIV/0!</v>
      </c>
      <c r="BL308" s="3" t="e">
        <f>SUM(BL287,BL294,BL304,BL306)</f>
        <v>#DIV/0!</v>
      </c>
      <c r="BM308" s="3" t="e">
        <f>SUM(BM287,BM294,BM304,BM306)</f>
        <v>#DIV/0!</v>
      </c>
      <c r="BN308" s="3" t="e">
        <f>SUM(BN287,BN294,BN304,BN306)</f>
        <v>#DIV/0!</v>
      </c>
      <c r="BO308" s="3" t="e">
        <f>SUM(BO287,BO294,BO304,BO306)</f>
        <v>#DIV/0!</v>
      </c>
      <c r="BP308" s="3" t="e">
        <f>SUM(BL308:BO308)</f>
        <v>#DIV/0!</v>
      </c>
      <c r="BQ308" s="3" t="e">
        <f>SUM(BQ287,BQ294,BQ304,BQ306)</f>
        <v>#DIV/0!</v>
      </c>
      <c r="BR308" s="3" t="e">
        <f>SUM(BR287,BR294,BR304,BR306)</f>
        <v>#DIV/0!</v>
      </c>
      <c r="BS308" s="3" t="e">
        <f>SUM(BS287,BS294,BS304,BS306)</f>
        <v>#DIV/0!</v>
      </c>
      <c r="BT308" s="3" t="e">
        <f>SUM(BT287,BT294,BT304,BT306)</f>
        <v>#DIV/0!</v>
      </c>
      <c r="BU308" s="3" t="e">
        <f>SUM(BQ308:BT308)</f>
        <v>#DIV/0!</v>
      </c>
      <c r="BV308" s="3" t="e">
        <f>SUM(BV287,BV294,BV304,BV306)</f>
        <v>#DIV/0!</v>
      </c>
      <c r="BW308" s="3" t="e">
        <f>SUM(BW287,BW294,BW304,BW306)</f>
        <v>#DIV/0!</v>
      </c>
      <c r="BX308" s="3" t="e">
        <f>SUM(BX287,BX294,BX304,BX306)</f>
        <v>#DIV/0!</v>
      </c>
      <c r="BY308" s="3" t="e">
        <f>SUM(BY287,BY294,BY304,BY306)</f>
        <v>#DIV/0!</v>
      </c>
      <c r="BZ308" s="3" t="e">
        <f>SUM(BV308:BY308)</f>
        <v>#DIV/0!</v>
      </c>
      <c r="CA308" s="3" t="e">
        <f>SUM(CA287,CA294,CA304,CA306)</f>
        <v>#DIV/0!</v>
      </c>
      <c r="CB308" s="3" t="e">
        <f>SUM(CB287,CB294,CB304,CB306)</f>
        <v>#DIV/0!</v>
      </c>
      <c r="CC308" s="3" t="e">
        <f>SUM(CC287,CC294,CC304,CC306)</f>
        <v>#DIV/0!</v>
      </c>
      <c r="CD308" s="3" t="e">
        <f>SUM(CD287,CD294,CD304,CD306)</f>
        <v>#DIV/0!</v>
      </c>
      <c r="CE308" s="3" t="e">
        <f>SUM(CA308:CD308)</f>
        <v>#DIV/0!</v>
      </c>
      <c r="CF308" s="3" t="e">
        <f>SUM(CF287,CF294,CF304,CF306)</f>
        <v>#DIV/0!</v>
      </c>
      <c r="CG308" s="3" t="e">
        <f>SUM(CG287,CG294,CG304,CG306)</f>
        <v>#DIV/0!</v>
      </c>
      <c r="CH308" s="3" t="e">
        <f>SUM(CH287,CH294,CH304,CH306)</f>
        <v>#DIV/0!</v>
      </c>
      <c r="CI308" s="3" t="e">
        <f>SUM(CI287,CI294,CI304,CI306)</f>
        <v>#DIV/0!</v>
      </c>
      <c r="CJ308" s="3" t="e">
        <f>SUM(CF308:CI308)</f>
        <v>#DIV/0!</v>
      </c>
      <c r="CK308" s="3" t="e">
        <f>SUM(CK287,CK294,CK304,CK306)</f>
        <v>#DIV/0!</v>
      </c>
      <c r="CL308" s="3" t="e">
        <f>SUM(CL287,CL294,CL304,CL306)</f>
        <v>#DIV/0!</v>
      </c>
      <c r="CM308" s="3" t="e">
        <f>SUM(CM287,CM294,CM304,CM306)</f>
        <v>#DIV/0!</v>
      </c>
      <c r="CN308" s="3" t="e">
        <f>SUM(CN287,CN294,CN304,CN306)</f>
        <v>#DIV/0!</v>
      </c>
      <c r="CO308" s="3" t="e">
        <f>SUM(CK308:CN308)</f>
        <v>#DIV/0!</v>
      </c>
      <c r="CP308" s="3" t="e">
        <f>SUM(CP287,CP294,CP304,CP306)</f>
        <v>#DIV/0!</v>
      </c>
      <c r="CQ308" s="3" t="e">
        <f>SUM(CQ287,CQ294,CQ304,CQ306)</f>
        <v>#DIV/0!</v>
      </c>
      <c r="CR308" s="3" t="e">
        <f>SUM(CR287,CR294,CR304,CR306)</f>
        <v>#DIV/0!</v>
      </c>
      <c r="CS308" s="3" t="e">
        <f>SUM(CS287,CS294,CS304,CS306)</f>
        <v>#DIV/0!</v>
      </c>
      <c r="CT308" s="3" t="e">
        <f>SUM(CP308:CS308)</f>
        <v>#DIV/0!</v>
      </c>
      <c r="CU308" s="3" t="e">
        <f>SUM(CU287,CU294,CU304,CU306)</f>
        <v>#DIV/0!</v>
      </c>
      <c r="CV308" s="3" t="e">
        <f>SUM(CV287,CV294,CV304,CV306)</f>
        <v>#DIV/0!</v>
      </c>
      <c r="CW308" s="3" t="e">
        <f>SUM(CW287,CW294,CW304,CW306)</f>
        <v>#DIV/0!</v>
      </c>
      <c r="CX308" s="3" t="e">
        <f>SUM(CX287,CX294,CX304,CX306)</f>
        <v>#DIV/0!</v>
      </c>
      <c r="CY308" s="3" t="e">
        <f>SUM(CU308:CX308)</f>
        <v>#DIV/0!</v>
      </c>
    </row>
    <row r="309">
      <c r="C309" s="4" t="inlineStr">
        <is>
          <t>Check</t>
        </is>
      </c>
      <c r="E309" s="51">
        <f>(E308)-(E138-D138)</f>
        <v>0</v>
      </c>
      <c r="F309" s="51">
        <f>(F308)-(F138-E138)</f>
        <v>0</v>
      </c>
      <c r="G309" s="51">
        <f>(G308)-(G138-F138)</f>
        <v>0</v>
      </c>
      <c r="I309" s="51">
        <f>(I308)-(I138-H138)</f>
        <v>0</v>
      </c>
      <c r="J309" s="51">
        <f>(J308)-(J138-I138)</f>
        <v>0</v>
      </c>
      <c r="K309" s="51">
        <f>(K308)-(K138-J138)</f>
        <v>0</v>
      </c>
      <c r="L309" s="51">
        <f>(L308)-(L138-K138)</f>
        <v>0</v>
      </c>
      <c r="N309" s="51">
        <f>(N308)-(N138-M138)</f>
        <v>0</v>
      </c>
      <c r="O309" s="51">
        <f>(O308)-(O138-N138)</f>
        <v>0</v>
      </c>
      <c r="P309" s="51">
        <f>(P308)-(P138-O138)</f>
        <v>0</v>
      </c>
      <c r="Q309" s="51">
        <f>(Q308)-(Q138-P138)</f>
        <v>0</v>
      </c>
      <c r="S309" s="51">
        <f>(S308)-(S138-R138)</f>
        <v>0</v>
      </c>
      <c r="T309" s="51">
        <f>(T308)-(T138-S138)</f>
        <v>0</v>
      </c>
      <c r="U309" s="51">
        <f>(U308)-(U138-T138)</f>
        <v>0</v>
      </c>
      <c r="V309" s="51">
        <f>(V308)-(V138-U138)</f>
        <v>0</v>
      </c>
      <c r="X309" s="51">
        <f>(X308)-(X138-W138)</f>
        <v>0</v>
      </c>
      <c r="Y309" s="51">
        <f>(Y308)-(Y138-X138)</f>
        <v>0</v>
      </c>
      <c r="Z309" s="51">
        <f>(Z308)-(Z138-Y138)</f>
        <v>0</v>
      </c>
      <c r="AA309" s="51">
        <f>(AA308)-(AA138-Z138)</f>
        <v>0</v>
      </c>
      <c r="AC309" s="51">
        <f>(AC308)-(AC138-AB138)</f>
        <v>0</v>
      </c>
      <c r="AD309" s="51">
        <f>(AD308)-(AD138-AC138)</f>
        <v>0</v>
      </c>
      <c r="AE309" s="51">
        <f>(AE308)-(AE138-AD138)</f>
        <v>0</v>
      </c>
      <c r="AF309" s="51">
        <f>(AF308)-(AF138-AE138)</f>
        <v>0</v>
      </c>
      <c r="AH309" s="51">
        <f>(AH308)-(AH138-AG138)</f>
        <v>0</v>
      </c>
      <c r="AI309" s="51">
        <f>(AI308)-(AI138-AH138)</f>
        <v>0</v>
      </c>
      <c r="AJ309" s="51">
        <f>(AJ308)-(AJ138-AI138)</f>
        <v>0</v>
      </c>
      <c r="AK309" s="51">
        <f>(AK308)-(AK138-AJ138)</f>
        <v>0</v>
      </c>
      <c r="AM309" s="51" t="e">
        <f>(AM308)-(AM138-AL138)</f>
        <v>#DIV/0!</v>
      </c>
      <c r="AN309" s="51" t="e">
        <f>(AN308)-(AN138-AM138)</f>
        <v>#DIV/0!</v>
      </c>
      <c r="AO309" s="51" t="e">
        <f>(AO308)-(AO138-AN138)</f>
        <v>#DIV/0!</v>
      </c>
      <c r="AP309" s="51" t="e">
        <f>(AP308)-(AP138-AO138)</f>
        <v>#DIV/0!</v>
      </c>
      <c r="AR309" s="51" t="e">
        <f>(AR308)-(AR138-AQ138)</f>
        <v>#DIV/0!</v>
      </c>
      <c r="AS309" s="51" t="e">
        <f>(AS308)-(AS138-AR138)</f>
        <v>#DIV/0!</v>
      </c>
      <c r="AT309" s="51" t="e">
        <f>(AT308)-(AT138-AS138)</f>
        <v>#DIV/0!</v>
      </c>
      <c r="AU309" s="51" t="e">
        <f>(AU308)-(AU138-AT138)</f>
        <v>#DIV/0!</v>
      </c>
      <c r="AW309" s="51" t="e">
        <f>(AW308)-(AW138-AV138)</f>
        <v>#DIV/0!</v>
      </c>
      <c r="AX309" s="51" t="e">
        <f>(AX308)-(AX138-AW138)</f>
        <v>#DIV/0!</v>
      </c>
      <c r="AY309" s="51" t="e">
        <f>(AY308)-(AY138-AX138)</f>
        <v>#DIV/0!</v>
      </c>
      <c r="AZ309" s="51" t="e">
        <f>(AZ308)-(AZ138-AY138)</f>
        <v>#DIV/0!</v>
      </c>
      <c r="BB309" s="51" t="e">
        <f>(BB308)-(BB138-BA138)</f>
        <v>#DIV/0!</v>
      </c>
      <c r="BC309" s="51" t="e">
        <f>(BC308)-(BC138-BB138)</f>
        <v>#DIV/0!</v>
      </c>
      <c r="BD309" s="51" t="e">
        <f>(BD308)-(BD138-BC138)</f>
        <v>#DIV/0!</v>
      </c>
      <c r="BE309" s="51" t="e">
        <f>(BE308)-(BE138-BD138)</f>
        <v>#DIV/0!</v>
      </c>
      <c r="BG309" s="51" t="e">
        <f>(BG308)-(BG138-BF138)</f>
        <v>#DIV/0!</v>
      </c>
      <c r="BH309" s="51" t="e">
        <f>(BH308)-(BH138-BG138)</f>
        <v>#DIV/0!</v>
      </c>
      <c r="BI309" s="51" t="e">
        <f>(BI308)-(BI138-BH138)</f>
        <v>#DIV/0!</v>
      </c>
      <c r="BJ309" s="51" t="e">
        <f>(BJ308)-(BJ138-BI138)</f>
        <v>#DIV/0!</v>
      </c>
      <c r="BL309" s="51" t="e">
        <f>(BL308)-(BL138-BK138)</f>
        <v>#DIV/0!</v>
      </c>
      <c r="BM309" s="51" t="e">
        <f>(BM308)-(BM138-BL138)</f>
        <v>#DIV/0!</v>
      </c>
      <c r="BN309" s="51" t="e">
        <f>(BN308)-(BN138-BM138)</f>
        <v>#DIV/0!</v>
      </c>
      <c r="BO309" s="51" t="e">
        <f>(BO308)-(BO138-BN138)</f>
        <v>#DIV/0!</v>
      </c>
      <c r="BQ309" s="51" t="e">
        <f>(BQ308)-(BQ138-BP138)</f>
        <v>#DIV/0!</v>
      </c>
      <c r="BR309" s="51" t="e">
        <f>(BR308)-(BR138-BQ138)</f>
        <v>#DIV/0!</v>
      </c>
      <c r="BS309" s="51" t="e">
        <f>(BS308)-(BS138-BR138)</f>
        <v>#DIV/0!</v>
      </c>
      <c r="BT309" s="51" t="e">
        <f>(BT308)-(BT138-BS138)</f>
        <v>#DIV/0!</v>
      </c>
      <c r="BV309" s="51" t="e">
        <f>(BV308)-(BV138-BU138)</f>
        <v>#DIV/0!</v>
      </c>
      <c r="BW309" s="51" t="e">
        <f>(BW308)-(BW138-BV138)</f>
        <v>#DIV/0!</v>
      </c>
      <c r="BX309" s="51" t="e">
        <f>(BX308)-(BX138-BW138)</f>
        <v>#DIV/0!</v>
      </c>
      <c r="BY309" s="51" t="e">
        <f>(BY308)-(BY138-BX138)</f>
        <v>#DIV/0!</v>
      </c>
      <c r="CA309" s="51" t="e">
        <f>(CA308)-(CA138-BZ138)</f>
        <v>#DIV/0!</v>
      </c>
      <c r="CB309" s="51" t="e">
        <f>(CB308)-(CB138-CA138)</f>
        <v>#DIV/0!</v>
      </c>
      <c r="CC309" s="51" t="e">
        <f>(CC308)-(CC138-CB138)</f>
        <v>#DIV/0!</v>
      </c>
      <c r="CD309" s="51" t="e">
        <f>(CD308)-(CD138-CC138)</f>
        <v>#DIV/0!</v>
      </c>
      <c r="CF309" s="51" t="e">
        <f>(CF308)-(CF138-CE138)</f>
        <v>#DIV/0!</v>
      </c>
      <c r="CG309" s="51" t="e">
        <f>(CG308)-(CG138-CF138)</f>
        <v>#DIV/0!</v>
      </c>
      <c r="CH309" s="51" t="e">
        <f>(CH308)-(CH138-CG138)</f>
        <v>#DIV/0!</v>
      </c>
      <c r="CI309" s="51" t="e">
        <f>(CI308)-(CI138-CH138)</f>
        <v>#DIV/0!</v>
      </c>
      <c r="CK309" s="51" t="e">
        <f>(CK308)-(CK138-CJ138)</f>
        <v>#DIV/0!</v>
      </c>
      <c r="CL309" s="51" t="e">
        <f>(CL308)-(CL138-CK138)</f>
        <v>#DIV/0!</v>
      </c>
      <c r="CM309" s="51" t="e">
        <f>(CM308)-(CM138-CL138)</f>
        <v>#DIV/0!</v>
      </c>
      <c r="CN309" s="51" t="e">
        <f>(CN308)-(CN138-CM138)</f>
        <v>#DIV/0!</v>
      </c>
      <c r="CP309" s="51" t="e">
        <f>(CP308)-(CP138-CO138)</f>
        <v>#DIV/0!</v>
      </c>
      <c r="CQ309" s="51" t="e">
        <f>(CQ308)-(CQ138-CP138)</f>
        <v>#DIV/0!</v>
      </c>
      <c r="CR309" s="51" t="e">
        <f>(CR308)-(CR138-CQ138)</f>
        <v>#DIV/0!</v>
      </c>
      <c r="CS309" s="51" t="e">
        <f>(CS308)-(CS138-CR138)</f>
        <v>#DIV/0!</v>
      </c>
      <c r="CU309" s="51" t="e">
        <f>(CU308)-(CU138-CT138)</f>
        <v>#DIV/0!</v>
      </c>
      <c r="CV309" s="51" t="e">
        <f>(CV308)-(CV138-CU138)</f>
        <v>#DIV/0!</v>
      </c>
      <c r="CW309" s="51" t="e">
        <f>(CW308)-(CW138-CV138)</f>
        <v>#DIV/0!</v>
      </c>
      <c r="CX309" s="51" t="e">
        <f>(CX308)-(CX138-CW138)</f>
        <v>#DIV/0!</v>
      </c>
    </row>
    <row r="311">
      <c r="C311" s="53" t="inlineStr">
        <is>
          <t>Ratio Analysis</t>
        </is>
      </c>
      <c r="D311" s="53" t="n"/>
      <c r="E311" s="53" t="n"/>
      <c r="F311" s="53" t="n"/>
      <c r="G311" s="53" t="n"/>
      <c r="H311" s="53" t="n"/>
      <c r="I311" s="53" t="n"/>
      <c r="J311" s="53" t="n"/>
      <c r="K311" s="53" t="n"/>
      <c r="L311" s="53" t="n"/>
      <c r="M311" s="53" t="n"/>
      <c r="N311" s="53" t="n"/>
      <c r="O311" s="53" t="n"/>
      <c r="P311" s="53" t="n"/>
      <c r="Q311" s="53" t="n"/>
      <c r="R311" s="53" t="n"/>
      <c r="S311" s="53" t="n"/>
      <c r="T311" s="53" t="n"/>
      <c r="U311" s="53" t="n"/>
      <c r="V311" s="53" t="n"/>
      <c r="W311" s="53" t="n"/>
      <c r="X311" s="53" t="n"/>
      <c r="Y311" s="53" t="n"/>
      <c r="Z311" s="53" t="n"/>
      <c r="AA311" s="53" t="n"/>
      <c r="AB311" s="53" t="n"/>
      <c r="AC311" s="53" t="n"/>
      <c r="AD311" s="53" t="n"/>
      <c r="AE311" s="53" t="n"/>
      <c r="AF311" s="53" t="n"/>
      <c r="AG311" s="53" t="n"/>
      <c r="AH311" s="53" t="n"/>
      <c r="AI311" s="53" t="n"/>
      <c r="AJ311" s="53" t="n"/>
      <c r="AK311" s="53" t="n"/>
      <c r="AL311" s="53" t="n"/>
      <c r="AM311" s="53" t="n"/>
      <c r="AN311" s="53" t="n"/>
      <c r="AO311" s="53" t="n"/>
      <c r="AP311" s="53" t="n"/>
      <c r="AQ311" s="53" t="n"/>
      <c r="AR311" s="53" t="n"/>
      <c r="AS311" s="53" t="n"/>
      <c r="AT311" s="53" t="n"/>
      <c r="AU311" s="53" t="n"/>
      <c r="AV311" s="53" t="n"/>
      <c r="AW311" s="53" t="n"/>
      <c r="AX311" s="53" t="n"/>
      <c r="AY311" s="53" t="n"/>
      <c r="AZ311" s="53" t="n"/>
      <c r="BA311" s="53" t="n"/>
      <c r="BB311" s="53" t="n"/>
      <c r="BC311" s="53" t="n"/>
      <c r="BD311" s="53" t="n"/>
      <c r="BE311" s="53" t="n"/>
      <c r="BF311" s="53" t="n"/>
      <c r="BG311" s="53" t="n"/>
      <c r="BH311" s="53" t="n"/>
      <c r="BI311" s="53" t="n"/>
      <c r="BJ311" s="53" t="n"/>
      <c r="BK311" s="53" t="n"/>
      <c r="BL311" s="53" t="n"/>
      <c r="BM311" s="53" t="n"/>
      <c r="BN311" s="53" t="n"/>
      <c r="BO311" s="53" t="n"/>
      <c r="BP311" s="53" t="n"/>
      <c r="BQ311" s="53" t="n"/>
      <c r="BR311" s="53" t="n"/>
      <c r="BS311" s="53" t="n"/>
      <c r="BT311" s="53" t="n"/>
      <c r="BU311" s="53" t="n"/>
      <c r="BV311" s="53" t="n"/>
      <c r="BW311" s="53" t="n"/>
      <c r="BX311" s="53" t="n"/>
      <c r="BY311" s="53" t="n"/>
      <c r="BZ311" s="53" t="n"/>
      <c r="CA311" s="53" t="n"/>
      <c r="CB311" s="53" t="n"/>
      <c r="CC311" s="53" t="n"/>
      <c r="CD311" s="53" t="n"/>
      <c r="CE311" s="53" t="n"/>
      <c r="CF311" s="53" t="n"/>
      <c r="CG311" s="53" t="n"/>
      <c r="CH311" s="53" t="n"/>
      <c r="CI311" s="53" t="n"/>
      <c r="CJ311" s="53" t="n"/>
      <c r="CK311" s="53" t="n"/>
      <c r="CL311" s="53" t="n"/>
      <c r="CM311" s="53" t="n"/>
      <c r="CN311" s="53" t="n"/>
      <c r="CO311" s="53" t="n"/>
      <c r="CP311" s="53" t="n"/>
      <c r="CQ311" s="53" t="n"/>
      <c r="CR311" s="53" t="n"/>
      <c r="CS311" s="53" t="n"/>
      <c r="CT311" s="53" t="n"/>
      <c r="CU311" s="53" t="n"/>
      <c r="CV311" s="53" t="n"/>
      <c r="CW311" s="53" t="n"/>
      <c r="CX311" s="53" t="n"/>
      <c r="CY311" s="53" t="n"/>
    </row>
    <row r="313" customFormat="1" s="234">
      <c r="C313" s="234" t="inlineStr">
        <is>
          <t>YEAR</t>
        </is>
      </c>
      <c r="D313" s="234" t="str">
        <f>D269</f>
        <v>1Q20</v>
      </c>
      <c r="E313" s="235" t="str">
        <f>E269</f>
        <v>2Q20</v>
      </c>
      <c r="F313" s="235" t="str">
        <f>F269</f>
        <v>3Q20</v>
      </c>
      <c r="G313" s="235" t="str">
        <f>G269</f>
        <v>4Q20</v>
      </c>
      <c r="H313" s="235">
        <f>H269</f>
        <v>2020</v>
      </c>
      <c r="I313" s="235" t="str">
        <f>I269</f>
        <v>1Q21</v>
      </c>
      <c r="J313" s="235" t="str">
        <f>J269</f>
        <v>2Q21</v>
      </c>
      <c r="K313" s="235" t="str">
        <f>K269</f>
        <v>3Q21</v>
      </c>
      <c r="L313" s="235" t="str">
        <f>L269</f>
        <v>4Q21</v>
      </c>
      <c r="M313" s="235">
        <f>M269</f>
        <v>2021</v>
      </c>
      <c r="N313" s="235" t="str">
        <f>N269</f>
        <v>1Q22</v>
      </c>
      <c r="O313" s="235" t="str">
        <f>O269</f>
        <v>2Q22</v>
      </c>
      <c r="P313" s="235" t="str">
        <f>P269</f>
        <v>3Q22</v>
      </c>
      <c r="Q313" s="235" t="str">
        <f>Q269</f>
        <v>4Q22</v>
      </c>
      <c r="R313" s="235">
        <f>R269</f>
        <v>2022</v>
      </c>
      <c r="S313" s="235" t="str">
        <f>S269</f>
        <v>1Q23</v>
      </c>
      <c r="T313" s="235" t="str">
        <f>T269</f>
        <v>2Q23</v>
      </c>
      <c r="U313" s="235" t="str">
        <f>U269</f>
        <v>3Q23</v>
      </c>
      <c r="V313" s="235" t="str">
        <f>V269</f>
        <v>4Q23</v>
      </c>
      <c r="W313" s="235">
        <f>W269</f>
        <v>2023</v>
      </c>
      <c r="X313" s="235" t="str">
        <f>X269</f>
        <v>1Q24</v>
      </c>
      <c r="Y313" s="235" t="str">
        <f>Y269</f>
        <v>2Q24</v>
      </c>
      <c r="Z313" s="235" t="str">
        <f>Z269</f>
        <v>3Q24</v>
      </c>
      <c r="AA313" s="235" t="str">
        <f>AA269</f>
        <v>4Q24</v>
      </c>
      <c r="AB313" s="235">
        <f>AB269</f>
        <v>2024</v>
      </c>
      <c r="AC313" s="235" t="str">
        <f>AC269</f>
        <v>1Q25</v>
      </c>
      <c r="AD313" s="235" t="str">
        <f>AD269</f>
        <v>2Q25</v>
      </c>
      <c r="AE313" s="235" t="str">
        <f>AE269</f>
        <v>3Q25</v>
      </c>
      <c r="AF313" s="235" t="str">
        <f>AF269</f>
        <v>4Q25</v>
      </c>
      <c r="AG313" s="235">
        <f>AG269</f>
        <v>2025</v>
      </c>
      <c r="AH313" s="235" t="str">
        <f>AH269</f>
        <v>1Q26</v>
      </c>
      <c r="AI313" s="235" t="str">
        <f>AI269</f>
        <v>2Q26</v>
      </c>
      <c r="AJ313" s="235" t="str">
        <f>AJ269</f>
        <v>3Q26</v>
      </c>
      <c r="AK313" s="235" t="str">
        <f>AK269</f>
        <v>4Q26</v>
      </c>
      <c r="AL313" s="235">
        <f>AL269</f>
        <v>2026</v>
      </c>
      <c r="AM313" s="235" t="str">
        <f>AM269</f>
        <v>1Q27</v>
      </c>
      <c r="AN313" s="235" t="str">
        <f>AN269</f>
        <v>2Q27</v>
      </c>
      <c r="AO313" s="235" t="str">
        <f>AO269</f>
        <v>3Q27</v>
      </c>
      <c r="AP313" s="235" t="str">
        <f>AP269</f>
        <v>4Q27</v>
      </c>
      <c r="AQ313" s="235">
        <f>AQ269</f>
        <v>2027</v>
      </c>
      <c r="AR313" s="235" t="str">
        <f>AR269</f>
        <v>1Q28</v>
      </c>
      <c r="AS313" s="235" t="str">
        <f>AS269</f>
        <v>2Q28</v>
      </c>
      <c r="AT313" s="235" t="str">
        <f>AT269</f>
        <v>3Q28</v>
      </c>
      <c r="AU313" s="235" t="str">
        <f>AU269</f>
        <v>4Q28</v>
      </c>
      <c r="AV313" s="235">
        <f>AV269</f>
        <v>2028</v>
      </c>
      <c r="AW313" s="235" t="str">
        <f>AW269</f>
        <v>1Q29</v>
      </c>
      <c r="AX313" s="235" t="str">
        <f>AX269</f>
        <v>2Q29</v>
      </c>
      <c r="AY313" s="235" t="str">
        <f>AY269</f>
        <v>3Q29</v>
      </c>
      <c r="AZ313" s="235" t="str">
        <f>AZ269</f>
        <v>4Q29</v>
      </c>
      <c r="BA313" s="235">
        <f>BA269</f>
        <v>2029</v>
      </c>
      <c r="BB313" s="235" t="str">
        <f>BB269</f>
        <v>1Q30</v>
      </c>
      <c r="BC313" s="235" t="str">
        <f>BC269</f>
        <v>2Q30</v>
      </c>
      <c r="BD313" s="235" t="str">
        <f>BD269</f>
        <v>3Q30</v>
      </c>
      <c r="BE313" s="235" t="str">
        <f>BE269</f>
        <v>4Q30</v>
      </c>
      <c r="BF313" s="235">
        <f>BF269</f>
        <v>2030</v>
      </c>
      <c r="BG313" s="235" t="str">
        <f>BG269</f>
        <v>1Q31</v>
      </c>
      <c r="BH313" s="235" t="str">
        <f>BH269</f>
        <v>2Q31</v>
      </c>
      <c r="BI313" s="235" t="str">
        <f>BI269</f>
        <v>3Q31</v>
      </c>
      <c r="BJ313" s="235" t="str">
        <f>BJ269</f>
        <v>4Q31</v>
      </c>
      <c r="BK313" s="235">
        <f>BK269</f>
        <v>2031</v>
      </c>
      <c r="BL313" s="235" t="str">
        <f>BL269</f>
        <v>1Q32</v>
      </c>
      <c r="BM313" s="235" t="str">
        <f>BM269</f>
        <v>2Q32</v>
      </c>
      <c r="BN313" s="235" t="str">
        <f>BN269</f>
        <v>3Q32</v>
      </c>
      <c r="BO313" s="235" t="str">
        <f>BO269</f>
        <v>4Q32</v>
      </c>
      <c r="BP313" s="235">
        <f>BP269</f>
        <v>2032</v>
      </c>
      <c r="BQ313" s="235" t="str">
        <f>BQ269</f>
        <v>1Q33</v>
      </c>
      <c r="BR313" s="235" t="str">
        <f>BR269</f>
        <v>2Q33</v>
      </c>
      <c r="BS313" s="235" t="str">
        <f>BS269</f>
        <v>3Q33</v>
      </c>
      <c r="BT313" s="235" t="str">
        <f>BT269</f>
        <v>4Q33</v>
      </c>
      <c r="BU313" s="235">
        <f>BU269</f>
        <v>2033</v>
      </c>
      <c r="BV313" s="235" t="str">
        <f>BV269</f>
        <v>1Q34</v>
      </c>
      <c r="BW313" s="235" t="str">
        <f>BW269</f>
        <v>2Q34</v>
      </c>
      <c r="BX313" s="235" t="str">
        <f>BX269</f>
        <v>3Q34</v>
      </c>
      <c r="BY313" s="235" t="str">
        <f>BY269</f>
        <v>4Q34</v>
      </c>
      <c r="BZ313" s="235">
        <f>BZ269</f>
        <v>2034</v>
      </c>
      <c r="CA313" s="235" t="str">
        <f>CA269</f>
        <v>1Q35</v>
      </c>
      <c r="CB313" s="235" t="str">
        <f>CB269</f>
        <v>2Q35</v>
      </c>
      <c r="CC313" s="235" t="str">
        <f>CC269</f>
        <v>3Q35</v>
      </c>
      <c r="CD313" s="235" t="str">
        <f>CD269</f>
        <v>4Q35</v>
      </c>
      <c r="CE313" s="235">
        <f>CE269</f>
        <v>2035</v>
      </c>
      <c r="CF313" s="235" t="str">
        <f>CF269</f>
        <v>1Q36</v>
      </c>
      <c r="CG313" s="235" t="str">
        <f>CG269</f>
        <v>2Q36</v>
      </c>
      <c r="CH313" s="235" t="str">
        <f>CH269</f>
        <v>3Q36</v>
      </c>
      <c r="CI313" s="235" t="str">
        <f>CI269</f>
        <v>4Q36</v>
      </c>
      <c r="CJ313" s="235">
        <f>CJ269</f>
        <v>2036</v>
      </c>
      <c r="CK313" s="235" t="str">
        <f>CK269</f>
        <v>1Q37</v>
      </c>
      <c r="CL313" s="235" t="str">
        <f>CL269</f>
        <v>2Q37</v>
      </c>
      <c r="CM313" s="235" t="str">
        <f>CM269</f>
        <v>3Q37</v>
      </c>
      <c r="CN313" s="235" t="str">
        <f>CN269</f>
        <v>4Q37</v>
      </c>
      <c r="CO313" s="235">
        <f>CO269</f>
        <v>2037</v>
      </c>
      <c r="CP313" s="235" t="str">
        <f>CP269</f>
        <v>1Q38</v>
      </c>
      <c r="CQ313" s="235" t="str">
        <f>CQ269</f>
        <v>2Q38</v>
      </c>
      <c r="CR313" s="235" t="str">
        <f>CR269</f>
        <v>3Q38</v>
      </c>
      <c r="CS313" s="235" t="str">
        <f>CS269</f>
        <v>4Q38</v>
      </c>
      <c r="CT313" s="235">
        <f>CT269</f>
        <v>2038</v>
      </c>
      <c r="CU313" s="235" t="str">
        <f>CU269</f>
        <v>1Q39</v>
      </c>
      <c r="CV313" s="235" t="str">
        <f>CV269</f>
        <v>2Q39</v>
      </c>
      <c r="CW313" s="235" t="str">
        <f>CW269</f>
        <v>3Q39</v>
      </c>
      <c r="CX313" s="235" t="str">
        <f>CX269</f>
        <v>4Q39</v>
      </c>
      <c r="CY313" s="235">
        <f>CY269</f>
        <v>2039</v>
      </c>
    </row>
    <row r="314" customFormat="1" s="233">
      <c r="A314" s="224" t="n"/>
      <c r="B314" s="224" t="n"/>
      <c r="C314" s="234" t="inlineStr">
        <is>
          <t>GROWTH &amp; MARGINS</t>
        </is>
      </c>
    </row>
    <row r="315" customFormat="1" s="233">
      <c r="A315" s="224" t="n"/>
      <c r="B315" s="224" t="n"/>
      <c r="C315" s="233" t="inlineStr">
        <is>
          <t>NET REVENUE GROWTH</t>
        </is>
      </c>
      <c r="E315" s="236">
        <f>E15/D15-1</f>
        <v>0.00852130325814526</v>
      </c>
      <c r="F315" s="236">
        <f>F15/E15-1</f>
        <v>0.45311464546057</v>
      </c>
      <c r="G315" s="236">
        <f>G15/F15-1</f>
        <v>0.224945844259492</v>
      </c>
      <c r="H315" s="236" t="n"/>
      <c r="I315" s="220">
        <f>I15/H15-1</f>
        <v>-0.67056697108067</v>
      </c>
      <c r="J315" s="220">
        <f>J15/I15-1</f>
        <v>0.15102512272596</v>
      </c>
      <c r="K315" s="220">
        <f>K15/J15-1</f>
        <v>0.15044321792942</v>
      </c>
      <c r="L315" s="220">
        <f>L15/K15-1</f>
        <v>0.287998836955732</v>
      </c>
      <c r="M315" s="236" t="n"/>
      <c r="N315" s="220">
        <f>N15/M15-1</f>
        <v>-0.651524441224012</v>
      </c>
      <c r="O315" s="220">
        <f>O15/N15-1</f>
        <v>-0.0971422478140328</v>
      </c>
      <c r="P315" s="220">
        <f>P15/O15-1</f>
        <v>0.266918625250974</v>
      </c>
      <c r="Q315" s="220">
        <f>Q15/P15-1</f>
        <v>0.133494919362357</v>
      </c>
      <c r="R315" s="236" t="n"/>
      <c r="S315" s="220">
        <f>S15/R15-1</f>
        <v>-0.713621074856989</v>
      </c>
      <c r="T315" s="220">
        <f>T15/S15-1</f>
        <v>0.0684984354237215</v>
      </c>
      <c r="U315" s="220">
        <f>U15/T15-1</f>
        <v>-0.0632647330204196</v>
      </c>
      <c r="V315" s="220">
        <f>V15/U15-1</f>
        <v>0.0778158458244112</v>
      </c>
      <c r="W315" s="236" t="n"/>
      <c r="X315" s="220">
        <f>X15/W15-1</f>
        <v>-0.779886951939074</v>
      </c>
      <c r="Y315" s="220">
        <f>Y15/X15-1</f>
        <v>0.197126895450918</v>
      </c>
      <c r="Z315" s="220">
        <f>Z15/Y15-1</f>
        <v>-0.0124705882352941</v>
      </c>
      <c r="AA315" s="220">
        <f>AA15/Z15-1</f>
        <v>0.0208482249225637</v>
      </c>
      <c r="AB315" s="236" t="n"/>
      <c r="AC315" s="220">
        <f>AC15/AB15-1</f>
        <v>-0.802078001842563</v>
      </c>
      <c r="AD315" s="220">
        <f>AD15/AC15-1</f>
        <v>0.16348590638738</v>
      </c>
      <c r="AE315" s="220">
        <f>AE15/AD15-1</f>
        <v>0.248888691322902</v>
      </c>
      <c r="AF315" s="220">
        <f>AF15/AE15-1</f>
        <v>-0.113685709200925</v>
      </c>
      <c r="AG315" s="236" t="n"/>
      <c r="AH315" s="220">
        <f>AH15/AG15-1</f>
        <v>-0.763917449671507</v>
      </c>
      <c r="AI315" s="220">
        <f>AI15/AH15-1</f>
        <v>0.261267700004467</v>
      </c>
      <c r="AJ315" s="220">
        <f>AJ15/AI15-1</f>
        <v>-0.00499362515937096</v>
      </c>
      <c r="AK315" s="220">
        <f>AK15/AJ15-1</f>
        <v>-0.113685709200925</v>
      </c>
      <c r="AL315" s="236" t="n"/>
      <c r="AM315" s="220">
        <f>AM15/AL15-1</f>
        <v>-0.783948889682394</v>
      </c>
      <c r="AN315" s="220">
        <f>AN15/AM15-1</f>
        <v>0.261267700004467</v>
      </c>
      <c r="AO315" s="220">
        <f>AO15/AN15-1</f>
        <v>-0.00499362515937096</v>
      </c>
      <c r="AP315" s="220">
        <f>AP15/AO15-1</f>
        <v>-0.113685709200925</v>
      </c>
      <c r="AQ315" s="236" t="n"/>
      <c r="AR315" s="220">
        <f>AR15/AQ15-1</f>
        <v>-0.783948889682394</v>
      </c>
      <c r="AS315" s="220">
        <f>AS15/AR15-1</f>
        <v>0.261267700004467</v>
      </c>
      <c r="AT315" s="220">
        <f>AT15/AS15-1</f>
        <v>-0.00499362515937096</v>
      </c>
      <c r="AU315" s="220">
        <f>AU15/AT15-1</f>
        <v>-0.113685709200925</v>
      </c>
      <c r="AV315" s="236" t="n"/>
      <c r="AW315" s="220">
        <f>AW15/AV15-1</f>
        <v>-0.783948889682394</v>
      </c>
      <c r="AX315" s="220">
        <f>AX15/AW15-1</f>
        <v>0.261267700004467</v>
      </c>
      <c r="AY315" s="220">
        <f>AY15/AX15-1</f>
        <v>-0.00499362515937096</v>
      </c>
      <c r="AZ315" s="220">
        <f>AZ15/AY15-1</f>
        <v>-0.113685709200925</v>
      </c>
      <c r="BA315" s="236" t="n"/>
      <c r="BB315" s="220">
        <f>BB15/BA15-1</f>
        <v>-0.783948889682394</v>
      </c>
      <c r="BC315" s="220">
        <f>BC15/BB15-1</f>
        <v>0.261267700004467</v>
      </c>
      <c r="BD315" s="220">
        <f>BD15/BC15-1</f>
        <v>-0.00499362515937096</v>
      </c>
      <c r="BE315" s="220">
        <f>BE15/BD15-1</f>
        <v>-0.113685709200925</v>
      </c>
      <c r="BF315" s="236" t="n"/>
      <c r="BG315" s="220">
        <f>BG15/BF15-1</f>
        <v>-0.783948889682394</v>
      </c>
      <c r="BH315" s="220">
        <f>BH15/BG15-1</f>
        <v>0.261267700004467</v>
      </c>
      <c r="BI315" s="220">
        <f>BI15/BH15-1</f>
        <v>-0.00499362515937096</v>
      </c>
      <c r="BJ315" s="220">
        <f>BJ15/BI15-1</f>
        <v>-0.113685709200925</v>
      </c>
      <c r="BK315" s="236" t="n"/>
      <c r="BL315" s="220">
        <f>BL15/BK15-1</f>
        <v>-0.783948889682394</v>
      </c>
      <c r="BM315" s="220">
        <f>BM15/BL15-1</f>
        <v>0.261267700004467</v>
      </c>
      <c r="BN315" s="220">
        <f>BN15/BM15-1</f>
        <v>-0.00499362515937096</v>
      </c>
      <c r="BO315" s="220">
        <f>BO15/BN15-1</f>
        <v>-0.113685709200925</v>
      </c>
      <c r="BP315" s="236" t="n"/>
      <c r="BQ315" s="220">
        <f>BQ15/BP15-1</f>
        <v>-0.783948889682394</v>
      </c>
      <c r="BR315" s="220">
        <f>BR15/BQ15-1</f>
        <v>0.261267700004467</v>
      </c>
      <c r="BS315" s="220">
        <f>BS15/BR15-1</f>
        <v>-0.00499362515937096</v>
      </c>
      <c r="BT315" s="220">
        <f>BT15/BS15-1</f>
        <v>-0.113685709200925</v>
      </c>
      <c r="BU315" s="236" t="n"/>
      <c r="BV315" s="220">
        <f>BV15/BU15-1</f>
        <v>-0.783948889682394</v>
      </c>
      <c r="BW315" s="220">
        <f>BW15/BV15-1</f>
        <v>0.261267700004467</v>
      </c>
      <c r="BX315" s="220">
        <f>BX15/BW15-1</f>
        <v>-0.00499362515937096</v>
      </c>
      <c r="BY315" s="220">
        <f>BY15/BX15-1</f>
        <v>-0.113685709200925</v>
      </c>
      <c r="BZ315" s="236" t="n"/>
      <c r="CA315" s="220">
        <f>CA15/BZ15-1</f>
        <v>-0.783948889682394</v>
      </c>
      <c r="CB315" s="220">
        <f>CB15/CA15-1</f>
        <v>0.261267700004467</v>
      </c>
      <c r="CC315" s="220">
        <f>CC15/CB15-1</f>
        <v>-0.00499362515937096</v>
      </c>
      <c r="CD315" s="220">
        <f>CD15/CC15-1</f>
        <v>-0.113685709200925</v>
      </c>
      <c r="CE315" s="236" t="n"/>
      <c r="CF315" s="220">
        <f>CF15/CE15-1</f>
        <v>-0.783948889682394</v>
      </c>
      <c r="CG315" s="220">
        <f>CG15/CF15-1</f>
        <v>0.261267700004467</v>
      </c>
      <c r="CH315" s="220">
        <f>CH15/CG15-1</f>
        <v>-0.00499362515937096</v>
      </c>
      <c r="CI315" s="220">
        <f>CI15/CH15-1</f>
        <v>-0.113685709200925</v>
      </c>
      <c r="CJ315" s="236" t="n"/>
      <c r="CK315" s="220">
        <f>CK15/CJ15-1</f>
        <v>-0.783948889682394</v>
      </c>
      <c r="CL315" s="220">
        <f>CL15/CK15-1</f>
        <v>0.261267700004467</v>
      </c>
      <c r="CM315" s="220">
        <f>CM15/CL15-1</f>
        <v>-0.00499362515937096</v>
      </c>
      <c r="CN315" s="220">
        <f>CN15/CM15-1</f>
        <v>-0.113685709200925</v>
      </c>
      <c r="CO315" s="236" t="n"/>
      <c r="CP315" s="220">
        <f>CP15/CO15-1</f>
        <v>-0.783948889682394</v>
      </c>
      <c r="CQ315" s="220">
        <f>CQ15/CP15-1</f>
        <v>0.261267700004467</v>
      </c>
      <c r="CR315" s="220">
        <f>CR15/CQ15-1</f>
        <v>-0.00499362515937096</v>
      </c>
      <c r="CS315" s="220">
        <f>CS15/CR15-1</f>
        <v>-0.113685709200925</v>
      </c>
      <c r="CT315" s="236" t="n"/>
      <c r="CU315" s="220">
        <f>CU15/CT15-1</f>
        <v>-0.783948889682394</v>
      </c>
      <c r="CV315" s="220">
        <f>CV15/CU15-1</f>
        <v>0.261267700004467</v>
      </c>
      <c r="CW315" s="220">
        <f>CW15/CV15-1</f>
        <v>-0.00499362515937096</v>
      </c>
      <c r="CX315" s="220">
        <f>CX15/CW15-1</f>
        <v>-0.113685709200925</v>
      </c>
      <c r="CY315" s="236" t="n"/>
    </row>
    <row r="316" customFormat="1" s="233">
      <c r="A316" s="224" t="n"/>
      <c r="B316" s="224" t="n"/>
      <c r="C316" s="233" t="inlineStr">
        <is>
          <t>GROSS MARGIN</t>
        </is>
      </c>
      <c r="D316" s="220">
        <f>SUM(D15,D48)/D15</f>
        <v>0.206182121971596</v>
      </c>
      <c r="E316" s="220">
        <f>SUM(E15,E48)/E15</f>
        <v>0.209907223326706</v>
      </c>
      <c r="F316" s="220">
        <f>SUM(F15,F48)/F15</f>
        <v>0.235206931934785</v>
      </c>
      <c r="G316" s="220">
        <f>SUM(G15,G48)/G15</f>
        <v>0.192293373045421</v>
      </c>
      <c r="I316" s="221">
        <f>SUM(I15,I48)/I15</f>
        <v>0.213206275868707</v>
      </c>
      <c r="J316" s="221">
        <f>SUM(J15,J48)/J15</f>
        <v>0.241177454423817</v>
      </c>
      <c r="K316" s="221">
        <f>SUM(K15,K48)/K15</f>
        <v>0.266046376390201</v>
      </c>
      <c r="L316" s="221">
        <f>SUM(L15,L48)/L15</f>
        <v>0.273548168632541</v>
      </c>
      <c r="N316" s="221">
        <f>SUM(N15,N48)/N15</f>
        <v>0.291106845809341</v>
      </c>
      <c r="O316" s="221">
        <f>SUM(O15,O48)/O15</f>
        <v>0.250029526396599</v>
      </c>
      <c r="P316" s="221">
        <f>SUM(P15,P48)/P15</f>
        <v>0.25086231005873</v>
      </c>
      <c r="Q316" s="221">
        <f>SUM(Q15,Q48)/Q15</f>
        <v>0.2375606546591</v>
      </c>
      <c r="S316" s="221">
        <f>SUM(S15,S48)/S15</f>
        <v>0.193364481975224</v>
      </c>
      <c r="T316" s="221">
        <f>SUM(T15,T48)/T15</f>
        <v>0.181851004934408</v>
      </c>
      <c r="U316" s="221">
        <f>SUM(U15,U48)/U15</f>
        <v>0.178929336188437</v>
      </c>
      <c r="V316" s="221">
        <f>SUM(V15,V48)/V15</f>
        <v>0.176342035204832</v>
      </c>
      <c r="X316" s="221">
        <f>SUM(X15,X48)/X15</f>
        <v>0.173512980611239</v>
      </c>
      <c r="Y316" s="221">
        <f>SUM(Y15,Y48)/Y15</f>
        <v>0.179529411764706</v>
      </c>
      <c r="Z316" s="221">
        <f>SUM(Z15,Z48)/Z15</f>
        <v>0.198435390358192</v>
      </c>
      <c r="AA316" s="221">
        <f>SUM(AA15,AA48)/AA15</f>
        <v>0.16256272610573</v>
      </c>
      <c r="AC316" s="221">
        <f>SUM(AC15,AC48)/AC15</f>
        <v>0.163072148952677</v>
      </c>
      <c r="AD316" s="221">
        <f>SUM(AD15,AD48)/AD15</f>
        <v>0.172386201991465</v>
      </c>
      <c r="AE316" s="221">
        <f>SUM(AE15,AE48)/AE15</f>
        <v>0.179889660081865</v>
      </c>
      <c r="AF316" s="221">
        <f>SUM(AF15,AF48)/AF15</f>
        <v>0.201156580057026</v>
      </c>
      <c r="AH316" s="221">
        <f>SUM(AH15,AH48)/AH15</f>
        <v>0.210836646267923</v>
      </c>
      <c r="AI316" s="221">
        <f>SUM(AI15,AI48)/AI15</f>
        <v>0.168260376823913</v>
      </c>
      <c r="AJ316" s="221">
        <f>SUM(AJ15,AJ48)/AJ15</f>
        <v>0</v>
      </c>
      <c r="AK316" s="221">
        <f>SUM(AK15,AK48)/AK15</f>
        <v>0</v>
      </c>
      <c r="AM316" s="221">
        <f>SUM(AM15,AM48)/AM15</f>
        <v>0</v>
      </c>
      <c r="AN316" s="221">
        <f>SUM(AN15,AN48)/AN15</f>
        <v>0</v>
      </c>
      <c r="AO316" s="221">
        <f>SUM(AO15,AO48)/AO15</f>
        <v>0</v>
      </c>
      <c r="AP316" s="221">
        <f>SUM(AP15,AP48)/AP15</f>
        <v>0</v>
      </c>
      <c r="AR316" s="221">
        <f>SUM(AR15,AR48)/AR15</f>
        <v>0</v>
      </c>
      <c r="AS316" s="221">
        <f>SUM(AS15,AS48)/AS15</f>
        <v>0</v>
      </c>
      <c r="AT316" s="221">
        <f>SUM(AT15,AT48)/AT15</f>
        <v>0</v>
      </c>
      <c r="AU316" s="221">
        <f>SUM(AU15,AU48)/AU15</f>
        <v>0</v>
      </c>
      <c r="AW316" s="221">
        <f>SUM(AW15,AW48)/AW15</f>
        <v>0</v>
      </c>
      <c r="AX316" s="221">
        <f>SUM(AX15,AX48)/AX15</f>
        <v>0</v>
      </c>
      <c r="AY316" s="221">
        <f>SUM(AY15,AY48)/AY15</f>
        <v>0</v>
      </c>
      <c r="AZ316" s="221">
        <f>SUM(AZ15,AZ48)/AZ15</f>
        <v>0</v>
      </c>
      <c r="BB316" s="221">
        <f>SUM(BB15,BB48)/BB15</f>
        <v>0</v>
      </c>
      <c r="BC316" s="221">
        <f>SUM(BC15,BC48)/BC15</f>
        <v>0</v>
      </c>
      <c r="BD316" s="221">
        <f>SUM(BD15,BD48)/BD15</f>
        <v>0</v>
      </c>
      <c r="BE316" s="221">
        <f>SUM(BE15,BE48)/BE15</f>
        <v>0</v>
      </c>
      <c r="BG316" s="221">
        <f>SUM(BG15,BG48)/BG15</f>
        <v>0</v>
      </c>
      <c r="BH316" s="221">
        <f>SUM(BH15,BH48)/BH15</f>
        <v>0</v>
      </c>
      <c r="BI316" s="221">
        <f>SUM(BI15,BI48)/BI15</f>
        <v>0</v>
      </c>
      <c r="BJ316" s="221">
        <f>SUM(BJ15,BJ48)/BJ15</f>
        <v>0</v>
      </c>
      <c r="BL316" s="221">
        <f>SUM(BL15,BL48)/BL15</f>
        <v>0</v>
      </c>
      <c r="BM316" s="221">
        <f>SUM(BM15,BM48)/BM15</f>
        <v>0</v>
      </c>
      <c r="BN316" s="221">
        <f>SUM(BN15,BN48)/BN15</f>
        <v>0</v>
      </c>
      <c r="BO316" s="221">
        <f>SUM(BO15,BO48)/BO15</f>
        <v>0</v>
      </c>
      <c r="BQ316" s="221">
        <f>SUM(BQ15,BQ48)/BQ15</f>
        <v>0</v>
      </c>
      <c r="BR316" s="221">
        <f>SUM(BR15,BR48)/BR15</f>
        <v>0</v>
      </c>
      <c r="BS316" s="221">
        <f>SUM(BS15,BS48)/BS15</f>
        <v>0</v>
      </c>
      <c r="BT316" s="221">
        <f>SUM(BT15,BT48)/BT15</f>
        <v>0</v>
      </c>
      <c r="BV316" s="221">
        <f>SUM(BV15,BV48)/BV15</f>
        <v>0</v>
      </c>
      <c r="BW316" s="221">
        <f>SUM(BW15,BW48)/BW15</f>
        <v>0</v>
      </c>
      <c r="BX316" s="221">
        <f>SUM(BX15,BX48)/BX15</f>
        <v>0</v>
      </c>
      <c r="BY316" s="221">
        <f>SUM(BY15,BY48)/BY15</f>
        <v>0</v>
      </c>
      <c r="CA316" s="221">
        <f>SUM(CA15,CA48)/CA15</f>
        <v>0</v>
      </c>
      <c r="CB316" s="221">
        <f>SUM(CB15,CB48)/CB15</f>
        <v>0</v>
      </c>
      <c r="CC316" s="221">
        <f>SUM(CC15,CC48)/CC15</f>
        <v>0</v>
      </c>
      <c r="CD316" s="221">
        <f>SUM(CD15,CD48)/CD15</f>
        <v>0</v>
      </c>
      <c r="CF316" s="221">
        <f>SUM(CF15,CF48)/CF15</f>
        <v>0</v>
      </c>
      <c r="CG316" s="221">
        <f>SUM(CG15,CG48)/CG15</f>
        <v>0</v>
      </c>
      <c r="CH316" s="221">
        <f>SUM(CH15,CH48)/CH15</f>
        <v>0</v>
      </c>
      <c r="CI316" s="221">
        <f>SUM(CI15,CI48)/CI15</f>
        <v>0</v>
      </c>
      <c r="CK316" s="221">
        <f>SUM(CK15,CK48)/CK15</f>
        <v>0</v>
      </c>
      <c r="CL316" s="221">
        <f>SUM(CL15,CL48)/CL15</f>
        <v>0</v>
      </c>
      <c r="CM316" s="221">
        <f>SUM(CM15,CM48)/CM15</f>
        <v>0</v>
      </c>
      <c r="CN316" s="221">
        <f>SUM(CN15,CN48)/CN15</f>
        <v>0</v>
      </c>
      <c r="CP316" s="221">
        <f>SUM(CP15,CP48)/CP15</f>
        <v>0</v>
      </c>
      <c r="CQ316" s="221">
        <f>SUM(CQ15,CQ48)/CQ15</f>
        <v>0</v>
      </c>
      <c r="CR316" s="221">
        <f>SUM(CR15,CR48)/CR15</f>
        <v>0</v>
      </c>
      <c r="CS316" s="221">
        <f>SUM(CS15,CS48)/CS15</f>
        <v>0</v>
      </c>
      <c r="CU316" s="221">
        <f>SUM(CU15,CU48)/CU15</f>
        <v>0</v>
      </c>
      <c r="CV316" s="221">
        <f>SUM(CV15,CV48)/CV15</f>
        <v>0</v>
      </c>
      <c r="CW316" s="221">
        <f>SUM(CW15,CW48)/CW15</f>
        <v>0</v>
      </c>
      <c r="CX316" s="221">
        <f>SUM(CX15,CX48)/CX15</f>
        <v>0</v>
      </c>
    </row>
    <row r="317" customFormat="1" s="233">
      <c r="A317" s="224" t="n"/>
      <c r="B317" s="224" t="n"/>
      <c r="C317" s="233" t="inlineStr">
        <is>
          <t>EBIT MARGIN</t>
        </is>
      </c>
      <c r="D317" s="236">
        <f>(D67/D15)</f>
        <v>0.0472848788638262</v>
      </c>
      <c r="E317" s="236">
        <f>(E67/E15)</f>
        <v>0.0541749502982107</v>
      </c>
      <c r="F317" s="236">
        <f>(F67/F15)</f>
        <v>0.0922357769923612</v>
      </c>
      <c r="G317" s="236">
        <f>(G67/G15)</f>
        <v>0.053518242740134</v>
      </c>
      <c r="I317" s="222">
        <f>(I67/I15)</f>
        <v>0.0571758590817211</v>
      </c>
      <c r="J317" s="222">
        <f>(J67/J15)</f>
        <v>0.109717344037464</v>
      </c>
      <c r="K317" s="222">
        <f>(K67/K15)</f>
        <v>0.145671294613651</v>
      </c>
      <c r="L317" s="222">
        <f>(L67/L15)</f>
        <v>0.147468818782098</v>
      </c>
      <c r="N317" s="222">
        <f>(N67/N15)</f>
        <v>0.192098528470889</v>
      </c>
      <c r="O317" s="222">
        <f>(O67/O15)</f>
        <v>0.145506082437699</v>
      </c>
      <c r="P317" s="222">
        <f>(P67/P15)</f>
        <v>0.17190267549175</v>
      </c>
      <c r="Q317" s="222">
        <f>(Q67/Q15)</f>
        <v>0.160416152644132</v>
      </c>
      <c r="S317" s="222">
        <f>(S67/S15)</f>
        <v>0.114192635775215</v>
      </c>
      <c r="T317" s="222">
        <f>(T67/T15)</f>
        <v>0.0962410237894652</v>
      </c>
      <c r="U317" s="222">
        <f>(U67/U15)</f>
        <v>0.0755460385438972</v>
      </c>
      <c r="V317" s="222">
        <f>(V67/V15)</f>
        <v>0.0820121587793539</v>
      </c>
      <c r="X317" s="222">
        <f>(X67/X15)</f>
        <v>0.0549739448852167</v>
      </c>
      <c r="Y317" s="222">
        <f>(Y67/Y15)</f>
        <v>0.0629411764705882</v>
      </c>
      <c r="Z317" s="222">
        <f>(Z67/Z15)</f>
        <v>0.107894527837344</v>
      </c>
      <c r="AA317" s="222">
        <f>(AA67/AA15)</f>
        <v>0.0615785583693158</v>
      </c>
      <c r="AC317" s="222">
        <f>(AC67/AC15)</f>
        <v>0.0206361520558573</v>
      </c>
      <c r="AD317" s="222">
        <f>(AD67/AD15)</f>
        <v>0.0410295163584637</v>
      </c>
      <c r="AE317" s="222">
        <f>(AE67/AE15)</f>
        <v>0.0578038796938957</v>
      </c>
      <c r="AF317" s="222">
        <f>(AF67/AF15)</f>
        <v>0.056584072928798</v>
      </c>
      <c r="AH317" s="222">
        <f>(AH67/AH15)</f>
        <v>0.0420333229106178</v>
      </c>
      <c r="AI317" s="222">
        <f>(AI67/AI15)</f>
        <v>0.0140954809463097</v>
      </c>
      <c r="AJ317" s="222">
        <f>(AJ67/AJ15)</f>
        <v>0</v>
      </c>
      <c r="AK317" s="222">
        <f>(AK67/AK15)</f>
        <v>0</v>
      </c>
      <c r="AM317" s="222">
        <f>(AM67/AM15)</f>
        <v>0</v>
      </c>
      <c r="AN317" s="222">
        <f>(AN67/AN15)</f>
        <v>0</v>
      </c>
      <c r="AO317" s="222">
        <f>(AO67/AO15)</f>
        <v>0</v>
      </c>
      <c r="AP317" s="222">
        <f>(AP67/AP15)</f>
        <v>0</v>
      </c>
      <c r="AR317" s="222">
        <f>(AR67/AR15)</f>
        <v>0</v>
      </c>
      <c r="AS317" s="222">
        <f>(AS67/AS15)</f>
        <v>0</v>
      </c>
      <c r="AT317" s="222">
        <f>(AT67/AT15)</f>
        <v>0</v>
      </c>
      <c r="AU317" s="222">
        <f>(AU67/AU15)</f>
        <v>0</v>
      </c>
      <c r="AW317" s="222">
        <f>(AW67/AW15)</f>
        <v>0</v>
      </c>
      <c r="AX317" s="222">
        <f>(AX67/AX15)</f>
        <v>0</v>
      </c>
      <c r="AY317" s="222">
        <f>(AY67/AY15)</f>
        <v>0</v>
      </c>
      <c r="AZ317" s="222">
        <f>(AZ67/AZ15)</f>
        <v>0</v>
      </c>
      <c r="BB317" s="222">
        <f>(BB67/BB15)</f>
        <v>0</v>
      </c>
      <c r="BC317" s="222">
        <f>(BC67/BC15)</f>
        <v>0</v>
      </c>
      <c r="BD317" s="222">
        <f>(BD67/BD15)</f>
        <v>0</v>
      </c>
      <c r="BE317" s="222">
        <f>(BE67/BE15)</f>
        <v>0</v>
      </c>
      <c r="BG317" s="222">
        <f>(BG67/BG15)</f>
        <v>0</v>
      </c>
      <c r="BH317" s="222">
        <f>(BH67/BH15)</f>
        <v>0</v>
      </c>
      <c r="BI317" s="222">
        <f>(BI67/BI15)</f>
        <v>0</v>
      </c>
      <c r="BJ317" s="222">
        <f>(BJ67/BJ15)</f>
        <v>0</v>
      </c>
      <c r="BL317" s="222">
        <f>(BL67/BL15)</f>
        <v>0</v>
      </c>
      <c r="BM317" s="222">
        <f>(BM67/BM15)</f>
        <v>0</v>
      </c>
      <c r="BN317" s="222">
        <f>(BN67/BN15)</f>
        <v>0</v>
      </c>
      <c r="BO317" s="222">
        <f>(BO67/BO15)</f>
        <v>0</v>
      </c>
      <c r="BQ317" s="222">
        <f>(BQ67/BQ15)</f>
        <v>0</v>
      </c>
      <c r="BR317" s="222">
        <f>(BR67/BR15)</f>
        <v>0</v>
      </c>
      <c r="BS317" s="222">
        <f>(BS67/BS15)</f>
        <v>0</v>
      </c>
      <c r="BT317" s="222">
        <f>(BT67/BT15)</f>
        <v>0</v>
      </c>
      <c r="BV317" s="222">
        <f>(BV67/BV15)</f>
        <v>0</v>
      </c>
      <c r="BW317" s="222">
        <f>(BW67/BW15)</f>
        <v>0</v>
      </c>
      <c r="BX317" s="222">
        <f>(BX67/BX15)</f>
        <v>0</v>
      </c>
      <c r="BY317" s="222">
        <f>(BY67/BY15)</f>
        <v>0</v>
      </c>
      <c r="CA317" s="222">
        <f>(CA67/CA15)</f>
        <v>0</v>
      </c>
      <c r="CB317" s="222">
        <f>(CB67/CB15)</f>
        <v>0</v>
      </c>
      <c r="CC317" s="222">
        <f>(CC67/CC15)</f>
        <v>0</v>
      </c>
      <c r="CD317" s="222">
        <f>(CD67/CD15)</f>
        <v>0</v>
      </c>
      <c r="CF317" s="222">
        <f>(CF67/CF15)</f>
        <v>0</v>
      </c>
      <c r="CG317" s="222">
        <f>(CG67/CG15)</f>
        <v>0</v>
      </c>
      <c r="CH317" s="222">
        <f>(CH67/CH15)</f>
        <v>0</v>
      </c>
      <c r="CI317" s="222">
        <f>(CI67/CI15)</f>
        <v>0</v>
      </c>
      <c r="CK317" s="222">
        <f>(CK67/CK15)</f>
        <v>0</v>
      </c>
      <c r="CL317" s="222">
        <f>(CL67/CL15)</f>
        <v>0</v>
      </c>
      <c r="CM317" s="222">
        <f>(CM67/CM15)</f>
        <v>0</v>
      </c>
      <c r="CN317" s="222">
        <f>(CN67/CN15)</f>
        <v>0</v>
      </c>
      <c r="CP317" s="222">
        <f>(CP67/CP15)</f>
        <v>0</v>
      </c>
      <c r="CQ317" s="222">
        <f>(CQ67/CQ15)</f>
        <v>0</v>
      </c>
      <c r="CR317" s="222">
        <f>(CR67/CR15)</f>
        <v>0</v>
      </c>
      <c r="CS317" s="222">
        <f>(CS67/CS15)</f>
        <v>0</v>
      </c>
      <c r="CU317" s="222">
        <f>(CU67/CU15)</f>
        <v>0</v>
      </c>
      <c r="CV317" s="222">
        <f>(CV67/CV15)</f>
        <v>0</v>
      </c>
      <c r="CW317" s="222">
        <f>(CW67/CW15)</f>
        <v>0</v>
      </c>
      <c r="CX317" s="222">
        <f>(CX67/CX15)</f>
        <v>0</v>
      </c>
    </row>
    <row r="318" customFormat="1" s="233">
      <c r="A318" s="224" t="n"/>
      <c r="B318" s="224" t="n"/>
      <c r="C318" s="233" t="inlineStr">
        <is>
          <t>EBITDA MARTGIN</t>
        </is>
      </c>
      <c r="D318" s="236">
        <f>D63/D15</f>
        <v>0.13968253968254</v>
      </c>
      <c r="E318" s="236">
        <f>E63/E15</f>
        <v>0.148111332007952</v>
      </c>
      <c r="F318" s="236">
        <f>F63/F15</f>
        <v>0.158818834796488</v>
      </c>
      <c r="G318" s="236">
        <f>G63/G15</f>
        <v>0.111038719285182</v>
      </c>
      <c r="I318" s="222">
        <f>I63/I15</f>
        <v>0.116950620848975</v>
      </c>
      <c r="J318" s="222">
        <f>J63/J15</f>
        <v>0.166666666666667</v>
      </c>
      <c r="K318" s="222">
        <f>K63/K15</f>
        <v>0.200988587628117</v>
      </c>
      <c r="L318" s="222">
        <f>L63/L15</f>
        <v>0.195327050059258</v>
      </c>
      <c r="N318" s="222">
        <f>N63/N15</f>
        <v>0.239016847941992</v>
      </c>
      <c r="O318" s="222">
        <f>O63/O15</f>
        <v>0.199952757765442</v>
      </c>
      <c r="P318" s="222">
        <f>P63/P15</f>
        <v>0.21646313041857</v>
      </c>
      <c r="Q318" s="222">
        <f>Q63/Q15</f>
        <v>0.201085615593388</v>
      </c>
      <c r="S318" s="222">
        <f>S63/S15</f>
        <v>0.159029534056325</v>
      </c>
      <c r="T318" s="222">
        <f>T63/T15</f>
        <v>0.142536205720704</v>
      </c>
      <c r="U318" s="222">
        <f>U63/U15</f>
        <v>0.128436830835118</v>
      </c>
      <c r="V318" s="222">
        <f>V63/V15</f>
        <v>0.130965152779433</v>
      </c>
      <c r="X318" s="222">
        <f>X63/X15</f>
        <v>0.113468851227642</v>
      </c>
      <c r="Y318" s="222">
        <f>Y63/Y15</f>
        <v>0.113058823529412</v>
      </c>
      <c r="Z318" s="222">
        <f>Z63/Z15</f>
        <v>0.161424827257565</v>
      </c>
      <c r="AA318" s="222">
        <f>AA63/AA15</f>
        <v>0.119772824522504</v>
      </c>
      <c r="AC318" s="222">
        <f>AC63/AC15</f>
        <v>0.095474528057926</v>
      </c>
      <c r="AD318" s="222">
        <f>AD63/AD15</f>
        <v>0.10472972972973</v>
      </c>
      <c r="AE318" s="222">
        <f>AE63/AE15</f>
        <v>0.11564335290977</v>
      </c>
      <c r="AF318" s="222">
        <f>AF63/AF15</f>
        <v>0.122565358820931</v>
      </c>
      <c r="AH318" s="222">
        <f>AH63/AH15</f>
        <v>0.113056684683075</v>
      </c>
      <c r="AI318" s="222">
        <f>AI63/AI15</f>
        <v>0.071433630825896</v>
      </c>
      <c r="AJ318" s="222">
        <f>AJ63/AJ15</f>
        <v>0</v>
      </c>
      <c r="AK318" s="222">
        <f>AK63/AK15</f>
        <v>0</v>
      </c>
      <c r="AM318" s="222">
        <f>AM63/AM15</f>
        <v>0</v>
      </c>
      <c r="AN318" s="222">
        <f>AN63/AN15</f>
        <v>0</v>
      </c>
      <c r="AO318" s="222">
        <f>AO63/AO15</f>
        <v>0</v>
      </c>
      <c r="AP318" s="222">
        <f>AP63/AP15</f>
        <v>0</v>
      </c>
      <c r="AR318" s="222">
        <f>AR63/AR15</f>
        <v>0</v>
      </c>
      <c r="AS318" s="222">
        <f>AS63/AS15</f>
        <v>0</v>
      </c>
      <c r="AT318" s="222">
        <f>AT63/AT15</f>
        <v>0</v>
      </c>
      <c r="AU318" s="222">
        <f>AU63/AU15</f>
        <v>0</v>
      </c>
      <c r="AW318" s="222">
        <f>AW63/AW15</f>
        <v>0</v>
      </c>
      <c r="AX318" s="222">
        <f>AX63/AX15</f>
        <v>0</v>
      </c>
      <c r="AY318" s="222">
        <f>AY63/AY15</f>
        <v>0</v>
      </c>
      <c r="AZ318" s="222">
        <f>AZ63/AZ15</f>
        <v>0</v>
      </c>
      <c r="BB318" s="222">
        <f>BB63/BB15</f>
        <v>0</v>
      </c>
      <c r="BC318" s="222">
        <f>BC63/BC15</f>
        <v>0</v>
      </c>
      <c r="BD318" s="222">
        <f>BD63/BD15</f>
        <v>0</v>
      </c>
      <c r="BE318" s="222">
        <f>BE63/BE15</f>
        <v>0</v>
      </c>
      <c r="BG318" s="222">
        <f>BG63/BG15</f>
        <v>0</v>
      </c>
      <c r="BH318" s="222">
        <f>BH63/BH15</f>
        <v>0</v>
      </c>
      <c r="BI318" s="222">
        <f>BI63/BI15</f>
        <v>0</v>
      </c>
      <c r="BJ318" s="222">
        <f>BJ63/BJ15</f>
        <v>0</v>
      </c>
      <c r="BL318" s="222">
        <f>BL63/BL15</f>
        <v>0</v>
      </c>
      <c r="BM318" s="222">
        <f>BM63/BM15</f>
        <v>0</v>
      </c>
      <c r="BN318" s="222">
        <f>BN63/BN15</f>
        <v>0</v>
      </c>
      <c r="BO318" s="222">
        <f>BO63/BO15</f>
        <v>0</v>
      </c>
      <c r="BQ318" s="222">
        <f>BQ63/BQ15</f>
        <v>0</v>
      </c>
      <c r="BR318" s="222">
        <f>BR63/BR15</f>
        <v>0</v>
      </c>
      <c r="BS318" s="222">
        <f>BS63/BS15</f>
        <v>0</v>
      </c>
      <c r="BT318" s="222">
        <f>BT63/BT15</f>
        <v>0</v>
      </c>
      <c r="BV318" s="222">
        <f>BV63/BV15</f>
        <v>0</v>
      </c>
      <c r="BW318" s="222">
        <f>BW63/BW15</f>
        <v>0</v>
      </c>
      <c r="BX318" s="222">
        <f>BX63/BX15</f>
        <v>0</v>
      </c>
      <c r="BY318" s="222">
        <f>BY63/BY15</f>
        <v>0</v>
      </c>
      <c r="CA318" s="222">
        <f>CA63/CA15</f>
        <v>0</v>
      </c>
      <c r="CB318" s="222">
        <f>CB63/CB15</f>
        <v>0</v>
      </c>
      <c r="CC318" s="222">
        <f>CC63/CC15</f>
        <v>0</v>
      </c>
      <c r="CD318" s="222">
        <f>CD63/CD15</f>
        <v>0</v>
      </c>
      <c r="CF318" s="222">
        <f>CF63/CF15</f>
        <v>0</v>
      </c>
      <c r="CG318" s="222">
        <f>CG63/CG15</f>
        <v>0</v>
      </c>
      <c r="CH318" s="222">
        <f>CH63/CH15</f>
        <v>0</v>
      </c>
      <c r="CI318" s="222">
        <f>CI63/CI15</f>
        <v>0</v>
      </c>
      <c r="CK318" s="222">
        <f>CK63/CK15</f>
        <v>0</v>
      </c>
      <c r="CL318" s="222">
        <f>CL63/CL15</f>
        <v>0</v>
      </c>
      <c r="CM318" s="222">
        <f>CM63/CM15</f>
        <v>0</v>
      </c>
      <c r="CN318" s="222">
        <f>CN63/CN15</f>
        <v>0</v>
      </c>
      <c r="CP318" s="222">
        <f>CP63/CP15</f>
        <v>0</v>
      </c>
      <c r="CQ318" s="222">
        <f>CQ63/CQ15</f>
        <v>0</v>
      </c>
      <c r="CR318" s="222">
        <f>CR63/CR15</f>
        <v>0</v>
      </c>
      <c r="CS318" s="222">
        <f>CS63/CS15</f>
        <v>0</v>
      </c>
      <c r="CU318" s="222">
        <f>CU63/CU15</f>
        <v>0</v>
      </c>
      <c r="CV318" s="222">
        <f>CV63/CV15</f>
        <v>0</v>
      </c>
      <c r="CW318" s="222">
        <f>CW63/CW15</f>
        <v>0</v>
      </c>
      <c r="CX318" s="222">
        <f>CX63/CX15</f>
        <v>0</v>
      </c>
    </row>
    <row r="319" customFormat="1" s="233">
      <c r="A319" s="224" t="n"/>
      <c r="B319" s="224" t="n"/>
      <c r="C319" s="233" t="inlineStr">
        <is>
          <t>ETR</t>
        </is>
      </c>
      <c r="D319" s="236">
        <f>-D125/D124</f>
        <v>0.0285714285714286</v>
      </c>
      <c r="E319" s="236">
        <f>-E125/E124</f>
        <v>0.14</v>
      </c>
      <c r="F319" s="236">
        <f>-F125/F124</f>
        <v>0.335135135135135</v>
      </c>
      <c r="G319" s="236">
        <f>-G125/G124</f>
        <v>0.218997361477573</v>
      </c>
      <c r="I319" s="222">
        <f>-I125/I124</f>
        <v>0.129455909943715</v>
      </c>
      <c r="J319" s="222">
        <f>-J125/J124</f>
        <v>0.0889404485692189</v>
      </c>
      <c r="K319" s="222">
        <f>-K125/K124</f>
        <v>0.118490967056323</v>
      </c>
      <c r="L319" s="222">
        <f>-L125/L124</f>
        <v>0.110815939278937</v>
      </c>
      <c r="N319" s="222">
        <f>-N125/N124</f>
        <v>0.0954219525648097</v>
      </c>
      <c r="O319" s="222">
        <f>-O125/O124</f>
        <v>0.0828617623282134</v>
      </c>
      <c r="P319" s="222">
        <f>-P125/P124</f>
        <v>0.0838833883388339</v>
      </c>
      <c r="Q319" s="222">
        <f>-Q125/Q124</f>
        <v>0.0692945016319357</v>
      </c>
      <c r="S319" s="222">
        <f>-S125/S124</f>
        <v>0.0932142857142857</v>
      </c>
      <c r="T319" s="222">
        <f>-T125/T124</f>
        <v>0.109976166155941</v>
      </c>
      <c r="U319" s="222">
        <f>-U125/U124</f>
        <v>0.0816625916870416</v>
      </c>
      <c r="V319" s="222">
        <f>-V125/V124</f>
        <v>-2.62528525787312</v>
      </c>
      <c r="X319" s="222">
        <f>-X125/X124</f>
        <v>0.255826271186441</v>
      </c>
      <c r="Y319" s="222">
        <f>-Y125/Y124</f>
        <v>0.207610520425294</v>
      </c>
      <c r="Z319" s="222">
        <f>-Z125/Z124</f>
        <v>0.215693299892512</v>
      </c>
      <c r="AA319" s="222">
        <f>-AA125/AA124</f>
        <v>0.15095087163233</v>
      </c>
      <c r="AC319" s="222">
        <f>-AC125/AC124</f>
        <v>0.286926994906621</v>
      </c>
      <c r="AD319" s="222">
        <f>-AD125/AD124</f>
        <v>0.231762427372498</v>
      </c>
      <c r="AE319" s="222">
        <f>-AE125/AE124</f>
        <v>0.290964777947933</v>
      </c>
      <c r="AF319" s="222">
        <f>-AF125/AF124</f>
        <v>0.275190516511431</v>
      </c>
      <c r="AH319" s="222">
        <f>-AH125/AH124</f>
        <v>0.343582887700535</v>
      </c>
      <c r="AI319" s="222">
        <f>-AI125/AI124</f>
        <v>0.151241534988713</v>
      </c>
      <c r="AJ319" s="222">
        <f>-AJ125/AJ124</f>
        <v>0</v>
      </c>
      <c r="AK319" s="222">
        <f>-AK125/AK124</f>
        <v>0</v>
      </c>
      <c r="AM319" s="222">
        <f>-AM125/AM124</f>
        <v>0</v>
      </c>
      <c r="AN319" s="222">
        <f>-AN125/AN124</f>
        <v>0</v>
      </c>
      <c r="AO319" s="222">
        <f>-AO125/AO124</f>
        <v>0</v>
      </c>
      <c r="AP319" s="222">
        <f>-AP125/AP124</f>
        <v>0</v>
      </c>
      <c r="AR319" s="222">
        <f>-AR125/AR124</f>
        <v>0</v>
      </c>
      <c r="AS319" s="222">
        <f>-AS125/AS124</f>
        <v>0</v>
      </c>
      <c r="AT319" s="222">
        <f>-AT125/AT124</f>
        <v>0</v>
      </c>
      <c r="AU319" s="222">
        <f>-AU125/AU124</f>
        <v>0</v>
      </c>
      <c r="AW319" s="222">
        <f>-AW125/AW124</f>
        <v>0</v>
      </c>
      <c r="AX319" s="222">
        <f>-AX125/AX124</f>
        <v>0</v>
      </c>
      <c r="AY319" s="222">
        <f>-AY125/AY124</f>
        <v>0</v>
      </c>
      <c r="AZ319" s="222">
        <f>-AZ125/AZ124</f>
        <v>0</v>
      </c>
      <c r="BB319" s="222">
        <f>-BB125/BB124</f>
        <v>0</v>
      </c>
      <c r="BC319" s="222">
        <f>-BC125/BC124</f>
        <v>0</v>
      </c>
      <c r="BD319" s="222">
        <f>-BD125/BD124</f>
        <v>0</v>
      </c>
      <c r="BE319" s="222">
        <f>-BE125/BE124</f>
        <v>0</v>
      </c>
      <c r="BG319" s="222">
        <f>-BG125/BG124</f>
        <v>0</v>
      </c>
      <c r="BH319" s="222">
        <f>-BH125/BH124</f>
        <v>0</v>
      </c>
      <c r="BI319" s="222">
        <f>-BI125/BI124</f>
        <v>0</v>
      </c>
      <c r="BJ319" s="222">
        <f>-BJ125/BJ124</f>
        <v>0</v>
      </c>
      <c r="BL319" s="222">
        <f>-BL125/BL124</f>
        <v>0</v>
      </c>
      <c r="BM319" s="222">
        <f>-BM125/BM124</f>
        <v>0</v>
      </c>
      <c r="BN319" s="222">
        <f>-BN125/BN124</f>
        <v>0</v>
      </c>
      <c r="BO319" s="222">
        <f>-BO125/BO124</f>
        <v>0</v>
      </c>
      <c r="BQ319" s="222">
        <f>-BQ125/BQ124</f>
        <v>0</v>
      </c>
      <c r="BR319" s="222">
        <f>-BR125/BR124</f>
        <v>0</v>
      </c>
      <c r="BS319" s="222">
        <f>-BS125/BS124</f>
        <v>0</v>
      </c>
      <c r="BT319" s="222">
        <f>-BT125/BT124</f>
        <v>0</v>
      </c>
      <c r="BV319" s="222">
        <f>-BV125/BV124</f>
        <v>0</v>
      </c>
      <c r="BW319" s="222">
        <f>-BW125/BW124</f>
        <v>0</v>
      </c>
      <c r="BX319" s="222">
        <f>-BX125/BX124</f>
        <v>0</v>
      </c>
      <c r="BY319" s="222">
        <f>-BY125/BY124</f>
        <v>0</v>
      </c>
      <c r="CA319" s="222">
        <f>-CA125/CA124</f>
        <v>0</v>
      </c>
      <c r="CB319" s="222">
        <f>-CB125/CB124</f>
        <v>0</v>
      </c>
      <c r="CC319" s="222">
        <f>-CC125/CC124</f>
        <v>0</v>
      </c>
      <c r="CD319" s="222">
        <f>-CD125/CD124</f>
        <v>0</v>
      </c>
      <c r="CF319" s="222">
        <f>-CF125/CF124</f>
        <v>0</v>
      </c>
      <c r="CG319" s="222">
        <f>-CG125/CG124</f>
        <v>0</v>
      </c>
      <c r="CH319" s="222">
        <f>-CH125/CH124</f>
        <v>0</v>
      </c>
      <c r="CI319" s="222">
        <f>-CI125/CI124</f>
        <v>0</v>
      </c>
      <c r="CK319" s="222">
        <f>-CK125/CK124</f>
        <v>0</v>
      </c>
      <c r="CL319" s="222">
        <f>-CL125/CL124</f>
        <v>0</v>
      </c>
      <c r="CM319" s="222">
        <f>-CM125/CM124</f>
        <v>0</v>
      </c>
      <c r="CN319" s="222">
        <f>-CN125/CN124</f>
        <v>0</v>
      </c>
      <c r="CP319" s="222">
        <f>-CP125/CP124</f>
        <v>0</v>
      </c>
      <c r="CQ319" s="222">
        <f>-CQ125/CQ124</f>
        <v>0</v>
      </c>
      <c r="CR319" s="222">
        <f>-CR125/CR124</f>
        <v>0</v>
      </c>
      <c r="CS319" s="222">
        <f>-CS125/CS124</f>
        <v>0</v>
      </c>
      <c r="CU319" s="222">
        <f>-CU125/CU124</f>
        <v>0</v>
      </c>
      <c r="CV319" s="222">
        <f>-CV125/CV124</f>
        <v>0</v>
      </c>
      <c r="CW319" s="222">
        <f>-CW125/CW124</f>
        <v>0</v>
      </c>
      <c r="CX319" s="222">
        <f>-CX125/CX124</f>
        <v>0</v>
      </c>
    </row>
    <row r="320" customFormat="1" s="233">
      <c r="A320" s="224" t="n"/>
      <c r="B320" s="224" t="n"/>
    </row>
    <row r="321" customFormat="1" s="233">
      <c r="A321" s="224" t="n"/>
      <c r="B321" s="224" t="n"/>
      <c r="C321" s="234" t="inlineStr">
        <is>
          <t>CAPITAL STRUCTURE</t>
        </is>
      </c>
    </row>
    <row r="322" customFormat="1" s="233">
      <c r="A322" s="224" t="n"/>
      <c r="B322" s="224" t="n"/>
      <c r="C322" s="233" t="inlineStr">
        <is>
          <t>MARKET DEBT / EQUITY</t>
        </is>
      </c>
    </row>
    <row r="323" customFormat="1" s="233">
      <c r="A323" s="224" t="n"/>
      <c r="B323" s="224" t="n"/>
      <c r="C323" s="233" t="inlineStr">
        <is>
          <t>NET DEBT / (NET DEBT + MARKET CAP)</t>
        </is>
      </c>
    </row>
    <row r="324" customFormat="1" s="233">
      <c r="A324" s="224" t="n"/>
      <c r="B324" s="224" t="n"/>
    </row>
    <row r="325" customFormat="1" s="233">
      <c r="A325" s="224" t="n"/>
      <c r="B325" s="224" t="n"/>
      <c r="C325" s="234" t="inlineStr">
        <is>
          <t>FINANCIAL RISK RATIOS</t>
        </is>
      </c>
    </row>
    <row r="326" customFormat="1" s="233">
      <c r="A326" s="224" t="n"/>
      <c r="B326" s="224" t="n"/>
      <c r="C326" s="233" t="inlineStr">
        <is>
          <t>EBITDA / TOTAL INTEREST</t>
        </is>
      </c>
      <c r="D326" s="219">
        <f>D63/-D68</f>
        <v>4.94674556213018</v>
      </c>
      <c r="E326" s="219">
        <f>E63/-E68</f>
        <v>5.25882352941177</v>
      </c>
      <c r="F326" s="219">
        <f>F63/-F68</f>
        <v>8.54601226993865</v>
      </c>
      <c r="G326" s="219">
        <f>G63/-G68</f>
        <v>4.84959349593496</v>
      </c>
      <c r="I326" s="219">
        <f>I63/-I68</f>
        <v>12.2727272727273</v>
      </c>
      <c r="J326" s="219">
        <f>J63/-J68</f>
        <v>26.5733333333333</v>
      </c>
      <c r="K326" s="219">
        <f>K63/-K68</f>
        <v>21.9444444444444</v>
      </c>
      <c r="L326" s="219">
        <f>L63/-L68</f>
        <v>48.7464788732394</v>
      </c>
      <c r="N326" s="219">
        <f>N63/-N68</f>
        <v>73.4918032786885</v>
      </c>
      <c r="O326" s="219">
        <f>O63/-O68</f>
        <v>76.9545454545455</v>
      </c>
      <c r="P326" s="219">
        <f>P63/-P68</f>
        <v>87.622641509434</v>
      </c>
      <c r="Q326" s="219">
        <f>Q63/-Q68</f>
        <v>148.181818181818</v>
      </c>
      <c r="S326" s="219">
        <f>S63/-S68</f>
        <v>127.931034482759</v>
      </c>
      <c r="T326" s="219">
        <f>T63/-T68</f>
        <v>126.892857142857</v>
      </c>
      <c r="U326" s="219">
        <f>U63/-U68</f>
        <v>78.921052631579</v>
      </c>
      <c r="V326" s="219">
        <f>V63/-V68</f>
        <v>54.0327868852459</v>
      </c>
      <c r="X326" s="219">
        <f>X63/-X68</f>
        <v>31.8026315789474</v>
      </c>
      <c r="Y326" s="219">
        <f>Y63/-Y68</f>
        <v>33.5232558139535</v>
      </c>
      <c r="Z326" s="219">
        <f>Z63/-Z68</f>
        <v>44.1847826086957</v>
      </c>
      <c r="AA326" s="219">
        <f>AA63/-AA68</f>
        <v>32.0729166666667</v>
      </c>
      <c r="AC326" s="219">
        <f>AC63/-AC68</f>
        <v>20.2857142857143</v>
      </c>
      <c r="AD326" s="219">
        <f>AD63/-AD68</f>
        <v>27.3953488372093</v>
      </c>
      <c r="AE326" s="219">
        <f>AE63/-AE68</f>
        <v>42.75</v>
      </c>
      <c r="AF326" s="219">
        <f>AF63/-AF68</f>
        <v>35.9058823529412</v>
      </c>
      <c r="AH326" s="219">
        <f>AH63/-AH68</f>
        <v>27.5108695652174</v>
      </c>
      <c r="AI326" s="219">
        <f>AI63/-AI68</f>
        <v>24.9012345679012</v>
      </c>
      <c r="AJ326" s="219" t="e">
        <f>AJ63/-AJ68</f>
        <v>#DIV/0!</v>
      </c>
      <c r="AK326" s="219" t="e">
        <f>AK63/-AK68</f>
        <v>#DIV/0!</v>
      </c>
      <c r="AM326" s="219" t="e">
        <f>AM63/-AM68</f>
        <v>#DIV/0!</v>
      </c>
      <c r="AN326" s="219" t="e">
        <f>AN63/-AN68</f>
        <v>#DIV/0!</v>
      </c>
      <c r="AO326" s="219" t="e">
        <f>AO63/-AO68</f>
        <v>#DIV/0!</v>
      </c>
      <c r="AP326" s="219" t="e">
        <f>AP63/-AP68</f>
        <v>#DIV/0!</v>
      </c>
      <c r="AR326" s="219" t="e">
        <f>AR63/-AR68</f>
        <v>#DIV/0!</v>
      </c>
      <c r="AS326" s="219" t="e">
        <f>AS63/-AS68</f>
        <v>#DIV/0!</v>
      </c>
      <c r="AT326" s="219" t="e">
        <f>AT63/-AT68</f>
        <v>#DIV/0!</v>
      </c>
      <c r="AU326" s="219" t="e">
        <f>AU63/-AU68</f>
        <v>#DIV/0!</v>
      </c>
      <c r="AW326" s="219" t="e">
        <f>AW63/-AW68</f>
        <v>#DIV/0!</v>
      </c>
      <c r="AX326" s="219" t="e">
        <f>AX63/-AX68</f>
        <v>#DIV/0!</v>
      </c>
      <c r="AY326" s="219" t="e">
        <f>AY63/-AY68</f>
        <v>#DIV/0!</v>
      </c>
      <c r="AZ326" s="219" t="e">
        <f>AZ63/-AZ68</f>
        <v>#DIV/0!</v>
      </c>
      <c r="BB326" s="219" t="e">
        <f>BB63/-BB68</f>
        <v>#DIV/0!</v>
      </c>
      <c r="BC326" s="219" t="e">
        <f>BC63/-BC68</f>
        <v>#DIV/0!</v>
      </c>
      <c r="BD326" s="219" t="e">
        <f>BD63/-BD68</f>
        <v>#DIV/0!</v>
      </c>
      <c r="BE326" s="219" t="e">
        <f>BE63/-BE68</f>
        <v>#DIV/0!</v>
      </c>
      <c r="BG326" s="219" t="e">
        <f>BG63/-BG68</f>
        <v>#DIV/0!</v>
      </c>
      <c r="BH326" s="219" t="e">
        <f>BH63/-BH68</f>
        <v>#DIV/0!</v>
      </c>
      <c r="BI326" s="219" t="e">
        <f>BI63/-BI68</f>
        <v>#DIV/0!</v>
      </c>
      <c r="BJ326" s="219" t="e">
        <f>BJ63/-BJ68</f>
        <v>#DIV/0!</v>
      </c>
      <c r="BL326" s="219" t="e">
        <f>BL63/-BL68</f>
        <v>#DIV/0!</v>
      </c>
      <c r="BM326" s="219" t="e">
        <f>BM63/-BM68</f>
        <v>#DIV/0!</v>
      </c>
      <c r="BN326" s="219" t="e">
        <f>BN63/-BN68</f>
        <v>#DIV/0!</v>
      </c>
      <c r="BO326" s="219" t="e">
        <f>BO63/-BO68</f>
        <v>#DIV/0!</v>
      </c>
      <c r="BQ326" s="219" t="e">
        <f>BQ63/-BQ68</f>
        <v>#DIV/0!</v>
      </c>
      <c r="BR326" s="219" t="e">
        <f>BR63/-BR68</f>
        <v>#DIV/0!</v>
      </c>
      <c r="BS326" s="219" t="e">
        <f>BS63/-BS68</f>
        <v>#DIV/0!</v>
      </c>
      <c r="BT326" s="219" t="e">
        <f>BT63/-BT68</f>
        <v>#DIV/0!</v>
      </c>
      <c r="BV326" s="219" t="e">
        <f>BV63/-BV68</f>
        <v>#DIV/0!</v>
      </c>
      <c r="BW326" s="219" t="e">
        <f>BW63/-BW68</f>
        <v>#DIV/0!</v>
      </c>
      <c r="BX326" s="219" t="e">
        <f>BX63/-BX68</f>
        <v>#DIV/0!</v>
      </c>
      <c r="BY326" s="219" t="e">
        <f>BY63/-BY68</f>
        <v>#DIV/0!</v>
      </c>
      <c r="CA326" s="219" t="e">
        <f>CA63/-CA68</f>
        <v>#DIV/0!</v>
      </c>
      <c r="CB326" s="219" t="e">
        <f>CB63/-CB68</f>
        <v>#DIV/0!</v>
      </c>
      <c r="CC326" s="219" t="e">
        <f>CC63/-CC68</f>
        <v>#DIV/0!</v>
      </c>
      <c r="CD326" s="219" t="e">
        <f>CD63/-CD68</f>
        <v>#DIV/0!</v>
      </c>
      <c r="CF326" s="219" t="e">
        <f>CF63/-CF68</f>
        <v>#DIV/0!</v>
      </c>
      <c r="CG326" s="219" t="e">
        <f>CG63/-CG68</f>
        <v>#DIV/0!</v>
      </c>
      <c r="CH326" s="219" t="e">
        <f>CH63/-CH68</f>
        <v>#DIV/0!</v>
      </c>
      <c r="CI326" s="219" t="e">
        <f>CI63/-CI68</f>
        <v>#DIV/0!</v>
      </c>
      <c r="CK326" s="219" t="e">
        <f>CK63/-CK68</f>
        <v>#DIV/0!</v>
      </c>
      <c r="CL326" s="219" t="e">
        <f>CL63/-CL68</f>
        <v>#DIV/0!</v>
      </c>
      <c r="CM326" s="219" t="e">
        <f>CM63/-CM68</f>
        <v>#DIV/0!</v>
      </c>
      <c r="CN326" s="219" t="e">
        <f>CN63/-CN68</f>
        <v>#DIV/0!</v>
      </c>
      <c r="CP326" s="219" t="e">
        <f>CP63/-CP68</f>
        <v>#DIV/0!</v>
      </c>
      <c r="CQ326" s="219" t="e">
        <f>CQ63/-CQ68</f>
        <v>#DIV/0!</v>
      </c>
      <c r="CR326" s="219" t="e">
        <f>CR63/-CR68</f>
        <v>#DIV/0!</v>
      </c>
      <c r="CS326" s="219" t="e">
        <f>CS63/-CS68</f>
        <v>#DIV/0!</v>
      </c>
      <c r="CU326" s="219" t="e">
        <f>CU63/-CU68</f>
        <v>#DIV/0!</v>
      </c>
      <c r="CV326" s="219" t="e">
        <f>CV63/-CV68</f>
        <v>#DIV/0!</v>
      </c>
      <c r="CW326" s="219" t="e">
        <f>CW63/-CW68</f>
        <v>#DIV/0!</v>
      </c>
      <c r="CX326" s="219" t="e">
        <f>CX63/-CX68</f>
        <v>#DIV/0!</v>
      </c>
    </row>
    <row r="327" customFormat="1" s="233">
      <c r="A327" s="224" t="n"/>
      <c r="B327" s="224" t="n"/>
      <c r="C327" s="233" t="inlineStr">
        <is>
          <t>(EBITDA - CAPEX) / TOTAL INTEREST</t>
        </is>
      </c>
      <c r="D327" s="219">
        <f>(D63-D162)/-D68</f>
        <v>4.94674556213018</v>
      </c>
      <c r="E327" s="219">
        <f>(E63-E162)/-E68</f>
        <v>-0.258823529411765</v>
      </c>
      <c r="F327" s="219">
        <f>(F63-F162)/-F68</f>
        <v>-0.184049079754601</v>
      </c>
      <c r="G327" s="219">
        <f>(G63-G162)/-G68</f>
        <v>-1.31707317073171</v>
      </c>
      <c r="I327" s="219">
        <f>(I63-I162)/-I68</f>
        <v>-5.32323232323232</v>
      </c>
      <c r="J327" s="219">
        <f>(J63-J162)/-J68</f>
        <v>-6.46666666666667</v>
      </c>
      <c r="K327" s="219">
        <f>(K63-K162)/-K68</f>
        <v>2.94444444444444</v>
      </c>
      <c r="L327" s="219">
        <f>(L63-L162)/-L68</f>
        <v>14.4647887323944</v>
      </c>
      <c r="N327" s="219">
        <f>(N63-N162)/-N68</f>
        <v>40.327868852459</v>
      </c>
      <c r="O327" s="219">
        <f>(O63-O162)/-O68</f>
        <v>31.7727272727273</v>
      </c>
      <c r="P327" s="219">
        <f>(P63-P162)/-P68</f>
        <v>53.8679245283019</v>
      </c>
      <c r="Q327" s="219">
        <f>(Q63-Q162)/-Q68</f>
        <v>69.0606060606061</v>
      </c>
      <c r="S327" s="219">
        <f>(S63-S162)/-S68</f>
        <v>42.8620689655172</v>
      </c>
      <c r="T327" s="219">
        <f>(T63-T162)/-T68</f>
        <v>34.9642857142857</v>
      </c>
      <c r="U327" s="219">
        <f>(U63-U162)/-U68</f>
        <v>10.7631578947368</v>
      </c>
      <c r="V327" s="219">
        <f>(V63-V162)/-V68</f>
        <v>1.36065573770492</v>
      </c>
      <c r="X327" s="219">
        <f>(X63-X162)/-X68</f>
        <v>-7.10526315789474</v>
      </c>
      <c r="Y327" s="219">
        <f>(Y63-Y162)/-Y68</f>
        <v>1.61627906976744</v>
      </c>
      <c r="Z327" s="219">
        <f>(Z63-Z162)/-Z68</f>
        <v>-5.40217391304348</v>
      </c>
      <c r="AA327" s="219">
        <f>(AA63-AA162)/-AA68</f>
        <v>19.40625</v>
      </c>
      <c r="AC327" s="219">
        <f>(AC63-AC162)/-AC68</f>
        <v>-9.37362637362637</v>
      </c>
      <c r="AD327" s="219">
        <f>(AD63-AD162)/-AD68</f>
        <v>-6.54651162790698</v>
      </c>
      <c r="AE327" s="219">
        <f>(AE63-AE162)/-AE68</f>
        <v>10.4078947368421</v>
      </c>
      <c r="AF327" s="219">
        <f>(AF63-AF162)/-AF68</f>
        <v>2.03529411764706</v>
      </c>
      <c r="AH327" s="219">
        <f>(AH63-AH162)/-AH68</f>
        <v>-17.7065217391304</v>
      </c>
      <c r="AI327" s="219">
        <f>(AI63-AI162)/-AI68</f>
        <v>-44.9876543209877</v>
      </c>
      <c r="AJ327" s="219" t="e">
        <f>(AJ63-AJ162)/-AJ68</f>
        <v>#DIV/0!</v>
      </c>
      <c r="AK327" s="219" t="e">
        <f>(AK63-AK162)/-AK68</f>
        <v>#DIV/0!</v>
      </c>
      <c r="AM327" s="219" t="e">
        <f>(AM63-AM162)/-AM68</f>
        <v>#DIV/0!</v>
      </c>
      <c r="AN327" s="219" t="e">
        <f>(AN63-AN162)/-AN68</f>
        <v>#DIV/0!</v>
      </c>
      <c r="AO327" s="219" t="e">
        <f>(AO63-AO162)/-AO68</f>
        <v>#DIV/0!</v>
      </c>
      <c r="AP327" s="219" t="e">
        <f>(AP63-AP162)/-AP68</f>
        <v>#DIV/0!</v>
      </c>
      <c r="AR327" s="219" t="e">
        <f>(AR63-AR162)/-AR68</f>
        <v>#DIV/0!</v>
      </c>
      <c r="AS327" s="219" t="e">
        <f>(AS63-AS162)/-AS68</f>
        <v>#DIV/0!</v>
      </c>
      <c r="AT327" s="219" t="e">
        <f>(AT63-AT162)/-AT68</f>
        <v>#DIV/0!</v>
      </c>
      <c r="AU327" s="219" t="e">
        <f>(AU63-AU162)/-AU68</f>
        <v>#DIV/0!</v>
      </c>
      <c r="AW327" s="219" t="e">
        <f>(AW63-AW162)/-AW68</f>
        <v>#DIV/0!</v>
      </c>
      <c r="AX327" s="219" t="e">
        <f>(AX63-AX162)/-AX68</f>
        <v>#DIV/0!</v>
      </c>
      <c r="AY327" s="219" t="e">
        <f>(AY63-AY162)/-AY68</f>
        <v>#DIV/0!</v>
      </c>
      <c r="AZ327" s="219" t="e">
        <f>(AZ63-AZ162)/-AZ68</f>
        <v>#DIV/0!</v>
      </c>
      <c r="BB327" s="219" t="e">
        <f>(BB63-BB162)/-BB68</f>
        <v>#DIV/0!</v>
      </c>
      <c r="BC327" s="219" t="e">
        <f>(BC63-BC162)/-BC68</f>
        <v>#DIV/0!</v>
      </c>
      <c r="BD327" s="219" t="e">
        <f>(BD63-BD162)/-BD68</f>
        <v>#DIV/0!</v>
      </c>
      <c r="BE327" s="219" t="e">
        <f>(BE63-BE162)/-BE68</f>
        <v>#DIV/0!</v>
      </c>
      <c r="BG327" s="219" t="e">
        <f>(BG63-BG162)/-BG68</f>
        <v>#DIV/0!</v>
      </c>
      <c r="BH327" s="219" t="e">
        <f>(BH63-BH162)/-BH68</f>
        <v>#DIV/0!</v>
      </c>
      <c r="BI327" s="219" t="e">
        <f>(BI63-BI162)/-BI68</f>
        <v>#DIV/0!</v>
      </c>
      <c r="BJ327" s="219" t="e">
        <f>(BJ63-BJ162)/-BJ68</f>
        <v>#DIV/0!</v>
      </c>
      <c r="BL327" s="219" t="e">
        <f>(BL63-BL162)/-BL68</f>
        <v>#DIV/0!</v>
      </c>
      <c r="BM327" s="219" t="e">
        <f>(BM63-BM162)/-BM68</f>
        <v>#DIV/0!</v>
      </c>
      <c r="BN327" s="219" t="e">
        <f>(BN63-BN162)/-BN68</f>
        <v>#DIV/0!</v>
      </c>
      <c r="BO327" s="219" t="e">
        <f>(BO63-BO162)/-BO68</f>
        <v>#DIV/0!</v>
      </c>
      <c r="BQ327" s="219" t="e">
        <f>(BQ63-BQ162)/-BQ68</f>
        <v>#DIV/0!</v>
      </c>
      <c r="BR327" s="219" t="e">
        <f>(BR63-BR162)/-BR68</f>
        <v>#DIV/0!</v>
      </c>
      <c r="BS327" s="219" t="e">
        <f>(BS63-BS162)/-BS68</f>
        <v>#DIV/0!</v>
      </c>
      <c r="BT327" s="219" t="e">
        <f>(BT63-BT162)/-BT68</f>
        <v>#DIV/0!</v>
      </c>
      <c r="BV327" s="219" t="e">
        <f>(BV63-BV162)/-BV68</f>
        <v>#DIV/0!</v>
      </c>
      <c r="BW327" s="219" t="e">
        <f>(BW63-BW162)/-BW68</f>
        <v>#DIV/0!</v>
      </c>
      <c r="BX327" s="219" t="e">
        <f>(BX63-BX162)/-BX68</f>
        <v>#DIV/0!</v>
      </c>
      <c r="BY327" s="219" t="e">
        <f>(BY63-BY162)/-BY68</f>
        <v>#DIV/0!</v>
      </c>
      <c r="CA327" s="219" t="e">
        <f>(CA63-CA162)/-CA68</f>
        <v>#DIV/0!</v>
      </c>
      <c r="CB327" s="219" t="e">
        <f>(CB63-CB162)/-CB68</f>
        <v>#DIV/0!</v>
      </c>
      <c r="CC327" s="219" t="e">
        <f>(CC63-CC162)/-CC68</f>
        <v>#DIV/0!</v>
      </c>
      <c r="CD327" s="219" t="e">
        <f>(CD63-CD162)/-CD68</f>
        <v>#DIV/0!</v>
      </c>
      <c r="CF327" s="219" t="e">
        <f>(CF63-CF162)/-CF68</f>
        <v>#DIV/0!</v>
      </c>
      <c r="CG327" s="219" t="e">
        <f>(CG63-CG162)/-CG68</f>
        <v>#DIV/0!</v>
      </c>
      <c r="CH327" s="219" t="e">
        <f>(CH63-CH162)/-CH68</f>
        <v>#DIV/0!</v>
      </c>
      <c r="CI327" s="219" t="e">
        <f>(CI63-CI162)/-CI68</f>
        <v>#DIV/0!</v>
      </c>
      <c r="CK327" s="219" t="e">
        <f>(CK63-CK162)/-CK68</f>
        <v>#DIV/0!</v>
      </c>
      <c r="CL327" s="219" t="e">
        <f>(CL63-CL162)/-CL68</f>
        <v>#DIV/0!</v>
      </c>
      <c r="CM327" s="219" t="e">
        <f>(CM63-CM162)/-CM68</f>
        <v>#DIV/0!</v>
      </c>
      <c r="CN327" s="219" t="e">
        <f>(CN63-CN162)/-CN68</f>
        <v>#DIV/0!</v>
      </c>
      <c r="CP327" s="219" t="e">
        <f>(CP63-CP162)/-CP68</f>
        <v>#DIV/0!</v>
      </c>
      <c r="CQ327" s="219" t="e">
        <f>(CQ63-CQ162)/-CQ68</f>
        <v>#DIV/0!</v>
      </c>
      <c r="CR327" s="219" t="e">
        <f>(CR63-CR162)/-CR68</f>
        <v>#DIV/0!</v>
      </c>
      <c r="CS327" s="219" t="e">
        <f>(CS63-CS162)/-CS68</f>
        <v>#DIV/0!</v>
      </c>
      <c r="CU327" s="219" t="e">
        <f>(CU63-CU162)/-CU68</f>
        <v>#DIV/0!</v>
      </c>
      <c r="CV327" s="219" t="e">
        <f>(CV63-CV162)/-CV68</f>
        <v>#DIV/0!</v>
      </c>
      <c r="CW327" s="219" t="e">
        <f>(CW63-CW162)/-CW68</f>
        <v>#DIV/0!</v>
      </c>
      <c r="CX327" s="219" t="e">
        <f>(CX63-CX162)/-CX68</f>
        <v>#DIV/0!</v>
      </c>
    </row>
    <row r="328" customFormat="1" s="233">
      <c r="A328" s="224" t="n"/>
      <c r="B328" s="224" t="n"/>
      <c r="C328" s="233" t="inlineStr">
        <is>
          <t>TOTAL DEBT / EBITDA LTM</t>
        </is>
      </c>
      <c r="D328" s="219" t="str">
        <f>""</f>
        <v/>
      </c>
      <c r="E328" s="219" t="str">
        <f>""</f>
        <v/>
      </c>
      <c r="F328" s="219" t="str">
        <f>""</f>
        <v/>
      </c>
      <c r="G328" s="219">
        <f>IFERROR(SUM(G206,G207,G208,G211,G229,G232)/(G63+F63+E63+D63),"")</f>
        <v>0</v>
      </c>
      <c r="I328" s="219">
        <f>IFERROR(SUM(I206,I207,I208,I211,I229,I232)/(I63+G63+F63+E63),"")</f>
        <v>0</v>
      </c>
      <c r="J328" s="219">
        <f>IFERROR(SUM(J206,J207,J208,J211,J229,J232)/(J63+I63+G63+F63),"")</f>
        <v>0</v>
      </c>
      <c r="K328" s="219">
        <f>IFERROR(SUM(K206,K207,K208,K211,K229,K232)/(K63+J63+I63+G63),"")</f>
        <v>0</v>
      </c>
      <c r="L328" s="219">
        <f>IFERROR(SUM(L206,L207,L208,L211,L229,L232)/(L63+K63+J63+I63),"")</f>
        <v>0</v>
      </c>
      <c r="N328" s="219">
        <f>IFERROR(SUM(N206,N207,N208,N211,N229,N232)/(N63+L63+K63+J63),"")</f>
        <v>0</v>
      </c>
      <c r="O328" s="219">
        <f>IFERROR(SUM(O206,O207,O208,O211,O229,O232)/(O63+N63+L63+K63),"")</f>
        <v>0</v>
      </c>
      <c r="P328" s="219">
        <f>IFERROR(SUM(P206,P207,P208,P211,P229,P232)/(P63+O63+N63+L63),"")</f>
        <v>0</v>
      </c>
      <c r="Q328" s="219">
        <f>IFERROR(SUM(Q206,Q207,Q208,Q211,Q229,Q232)/(Q63+P63+O63+N63),"")</f>
        <v>0</v>
      </c>
      <c r="S328" s="219">
        <f>IFERROR(SUM(S206,S207,S208,S211,S229,S232)/(S63+Q63+P63+O63),"")</f>
        <v>0</v>
      </c>
      <c r="T328" s="219">
        <f>IFERROR(SUM(T206,T207,T208,T211,T229,T232)/(T63+S63+Q63+P63),"")</f>
        <v>0</v>
      </c>
      <c r="U328" s="219">
        <f>IFERROR(SUM(U206,U207,U208,U211,U229,U232)/(U63+T63+S63+Q63),"")</f>
        <v>0</v>
      </c>
      <c r="V328" s="219">
        <f>IFERROR(SUM(V206,V207,V208,V211,V229,V232)/(V63+U63+T63+S63),"")</f>
        <v>0</v>
      </c>
      <c r="X328" s="219">
        <f>IFERROR(SUM(X206,X207,X208,X211,X229,X232)/(X63+V63+U63+T63),"")</f>
        <v>0</v>
      </c>
      <c r="Y328" s="219">
        <f>IFERROR(SUM(Y206,Y207,Y208,Y211,Y229,Y232)/(Y63+X63+V63+U63),"")</f>
        <v>0</v>
      </c>
      <c r="Z328" s="219">
        <f>IFERROR(SUM(Z206,Z207,Z208,Z211,Z229,Z232)/(Z63+Y63+X63+V63),"")</f>
        <v>0</v>
      </c>
      <c r="AA328" s="219">
        <f>IFERROR(SUM(AA206,AA207,AA208,AA211,AA229,AA232)/(AA63+Z63+Y63+X63),"")</f>
        <v>0</v>
      </c>
      <c r="AC328" s="219">
        <f>IFERROR(SUM(AC206,AC207,AC208,AC211,AC229,AC232)/(AC63+AA63+Z63+Y63),"")</f>
        <v>0</v>
      </c>
      <c r="AD328" s="219">
        <f>IFERROR(SUM(AD206,AD207,AD208,AD211,AD229,AD232)/(AD63+AC63+AA63+Z63),"")</f>
        <v>0</v>
      </c>
      <c r="AE328" s="219">
        <f>IFERROR(SUM(AE206,AE207,AE208,AE211,AE229,AE232)/(AE63+AD63+AC63+AA63),"")</f>
        <v>0</v>
      </c>
      <c r="AF328" s="219">
        <f>IFERROR(SUM(AF206,AF207,AF208,AF211,AF229,AF232)/(AF63+AE63+AD63+AC63),"")</f>
        <v>0</v>
      </c>
      <c r="AH328" s="219">
        <f>IFERROR(SUM(AH206,AH207,AH208,AH211,AH229,AH232)/(AH63+AF63+AE63+AD63),"")</f>
        <v>0</v>
      </c>
      <c r="AI328" s="219">
        <f>IFERROR(SUM(AI206,AI207,AI208,AI211,AI229,AI232)/(AI63+AH63+AF63+AE63),"")</f>
        <v>0</v>
      </c>
      <c r="AJ328" s="219">
        <f>IFERROR(SUM(AJ206,AJ207,AJ208,AJ211,AJ229,AJ232)/(AJ63+AI63+AH63+AF63),"")</f>
        <v>0</v>
      </c>
      <c r="AK328" s="219">
        <f>IFERROR(SUM(AK206,AK207,AK208,AK211,AK229,AK232)/(AK63+AJ63+AI63+AH63),"")</f>
        <v>0</v>
      </c>
      <c r="AM328" s="219">
        <f>IFERROR(SUM(AM206,AM207,AM208,AM211,AM229,AM232)/(AM63+AK63+AJ63+AI63),"")</f>
        <v>0</v>
      </c>
      <c r="AN328" s="219" t="str">
        <f>IFERROR(SUM(AN206,AN207,AN208,AN211,AN229,AN232)/(AN63+AM63+AK63+AJ63),"")</f>
        <v/>
      </c>
      <c r="AO328" s="219" t="str">
        <f>IFERROR(SUM(AO206,AO207,AO208,AO211,AO229,AO232)/(AO63+AN63+AM63+AK63),"")</f>
        <v/>
      </c>
      <c r="AP328" s="219" t="str">
        <f>IFERROR(SUM(AP206,AP207,AP208,AP211,AP229,AP232)/(AP63+AO63+AN63+AM63),"")</f>
        <v/>
      </c>
      <c r="AR328" s="219" t="str">
        <f>IFERROR(SUM(AR206,AR207,AR208,AR211,AR229,AR232)/(AR63+AP63+AO63+AN63),"")</f>
        <v/>
      </c>
      <c r="AS328" s="219" t="str">
        <f>IFERROR(SUM(AS206,AS207,AS208,AS211,AS229,AS232)/(AS63+AR63+AP63+AO63),"")</f>
        <v/>
      </c>
      <c r="AT328" s="219" t="str">
        <f>IFERROR(SUM(AT206,AT207,AT208,AT211,AT229,AT232)/(AT63+AS63+AR63+AP63),"")</f>
        <v/>
      </c>
      <c r="AU328" s="219" t="str">
        <f>IFERROR(SUM(AU206,AU207,AU208,AU211,AU229,AU232)/(AU63+AT63+AS63+AR63),"")</f>
        <v/>
      </c>
      <c r="AW328" s="219" t="str">
        <f>IFERROR(SUM(AW206,AW207,AW208,AW211,AW229,AW232)/(AW63+AU63+AT63+AS63),"")</f>
        <v/>
      </c>
      <c r="AX328" s="219" t="str">
        <f>IFERROR(SUM(AX206,AX207,AX208,AX211,AX229,AX232)/(AX63+AW63+AU63+AT63),"")</f>
        <v/>
      </c>
      <c r="AY328" s="219" t="str">
        <f>IFERROR(SUM(AY206,AY207,AY208,AY211,AY229,AY232)/(AY63+AX63+AW63+AU63),"")</f>
        <v/>
      </c>
      <c r="AZ328" s="219" t="str">
        <f>IFERROR(SUM(AZ206,AZ207,AZ208,AZ211,AZ229,AZ232)/(AZ63+AY63+AX63+AW63),"")</f>
        <v/>
      </c>
      <c r="BB328" s="219" t="str">
        <f>IFERROR(SUM(BB206,BB207,BB208,BB211,BB229,BB232)/(BB63+AZ63+AY63+AX63),"")</f>
        <v/>
      </c>
      <c r="BC328" s="219" t="str">
        <f>IFERROR(SUM(BC206,BC207,BC208,BC211,BC229,BC232)/(BC63+BB63+AZ63+AY63),"")</f>
        <v/>
      </c>
      <c r="BD328" s="219" t="str">
        <f>IFERROR(SUM(BD206,BD207,BD208,BD211,BD229,BD232)/(BD63+BC63+BB63+AZ63),"")</f>
        <v/>
      </c>
      <c r="BE328" s="219" t="str">
        <f>IFERROR(SUM(BE206,BE207,BE208,BE211,BE229,BE232)/(BE63+BD63+BC63+BB63),"")</f>
        <v/>
      </c>
      <c r="BG328" s="219" t="str">
        <f>IFERROR(SUM(BG206,BG207,BG208,BG211,BG229,BG232)/(BG63+BE63+BD63+BC63),"")</f>
        <v/>
      </c>
      <c r="BH328" s="219" t="str">
        <f>IFERROR(SUM(BH206,BH207,BH208,BH211,BH229,BH232)/(BH63+BG63+BE63+BD63),"")</f>
        <v/>
      </c>
      <c r="BI328" s="219" t="str">
        <f>IFERROR(SUM(BI206,BI207,BI208,BI211,BI229,BI232)/(BI63+BH63+BG63+BE63),"")</f>
        <v/>
      </c>
      <c r="BJ328" s="219" t="str">
        <f>IFERROR(SUM(BJ206,BJ207,BJ208,BJ211,BJ229,BJ232)/(BJ63+BI63+BH63+BG63),"")</f>
        <v/>
      </c>
      <c r="BL328" s="219" t="str">
        <f>IFERROR(SUM(BL206,BL207,BL208,BL211,BL229,BL232)/(BL63+BJ63+BI63+BH63),"")</f>
        <v/>
      </c>
      <c r="BM328" s="219" t="str">
        <f>IFERROR(SUM(BM206,BM207,BM208,BM211,BM229,BM232)/(BM63+BL63+BJ63+BI63),"")</f>
        <v/>
      </c>
      <c r="BN328" s="219" t="str">
        <f>IFERROR(SUM(BN206,BN207,BN208,BN211,BN229,BN232)/(BN63+BM63+BL63+BJ63),"")</f>
        <v/>
      </c>
      <c r="BO328" s="219" t="str">
        <f>IFERROR(SUM(BO206,BO207,BO208,BO211,BO229,BO232)/(BO63+BN63+BM63+BL63),"")</f>
        <v/>
      </c>
      <c r="BQ328" s="219" t="str">
        <f>IFERROR(SUM(BQ206,BQ207,BQ208,BQ211,BQ229,BQ232)/(BQ63+BO63+BN63+BM63),"")</f>
        <v/>
      </c>
      <c r="BR328" s="219" t="str">
        <f>IFERROR(SUM(BR206,BR207,BR208,BR211,BR229,BR232)/(BR63+BQ63+BO63+BN63),"")</f>
        <v/>
      </c>
      <c r="BS328" s="219" t="str">
        <f>IFERROR(SUM(BS206,BS207,BS208,BS211,BS229,BS232)/(BS63+BR63+BQ63+BO63),"")</f>
        <v/>
      </c>
      <c r="BT328" s="219" t="str">
        <f>IFERROR(SUM(BT206,BT207,BT208,BT211,BT229,BT232)/(BT63+BS63+BR63+BQ63),"")</f>
        <v/>
      </c>
      <c r="BV328" s="219" t="str">
        <f>IFERROR(SUM(BV206,BV207,BV208,BV211,BV229,BV232)/(BV63+BT63+BS63+BR63),"")</f>
        <v/>
      </c>
      <c r="BW328" s="219" t="str">
        <f>IFERROR(SUM(BW206,BW207,BW208,BW211,BW229,BW232)/(BW63+BV63+BT63+BS63),"")</f>
        <v/>
      </c>
      <c r="BX328" s="219" t="str">
        <f>IFERROR(SUM(BX206,BX207,BX208,BX211,BX229,BX232)/(BX63+BW63+BV63+BT63),"")</f>
        <v/>
      </c>
      <c r="BY328" s="219" t="str">
        <f>IFERROR(SUM(BY206,BY207,BY208,BY211,BY229,BY232)/(BY63+BX63+BW63+BV63),"")</f>
        <v/>
      </c>
      <c r="CA328" s="219" t="str">
        <f>IFERROR(SUM(CA206,CA207,CA208,CA211,CA229,CA232)/(CA63+BY63+BX63+BW63),"")</f>
        <v/>
      </c>
      <c r="CB328" s="219" t="str">
        <f>IFERROR(SUM(CB206,CB207,CB208,CB211,CB229,CB232)/(CB63+CA63+BY63+BX63),"")</f>
        <v/>
      </c>
      <c r="CC328" s="219" t="str">
        <f>IFERROR(SUM(CC206,CC207,CC208,CC211,CC229,CC232)/(CC63+CB63+CA63+BY63),"")</f>
        <v/>
      </c>
      <c r="CD328" s="219" t="str">
        <f>IFERROR(SUM(CD206,CD207,CD208,CD211,CD229,CD232)/(CD63+CC63+CB63+CA63),"")</f>
        <v/>
      </c>
      <c r="CF328" s="219" t="str">
        <f>IFERROR(SUM(CF206,CF207,CF208,CF211,CF229,CF232)/(CF63+CD63+CC63+CB63),"")</f>
        <v/>
      </c>
      <c r="CG328" s="219" t="str">
        <f>IFERROR(SUM(CG206,CG207,CG208,CG211,CG229,CG232)/(CG63+CF63+CD63+CC63),"")</f>
        <v/>
      </c>
      <c r="CH328" s="219" t="str">
        <f>IFERROR(SUM(CH206,CH207,CH208,CH211,CH229,CH232)/(CH63+CG63+CF63+CD63),"")</f>
        <v/>
      </c>
      <c r="CI328" s="219" t="str">
        <f>IFERROR(SUM(CI206,CI207,CI208,CI211,CI229,CI232)/(CI63+CH63+CG63+CF63),"")</f>
        <v/>
      </c>
      <c r="CK328" s="219" t="str">
        <f>IFERROR(SUM(CK206,CK207,CK208,CK211,CK229,CK232)/(CK63+CI63+CH63+CG63),"")</f>
        <v/>
      </c>
      <c r="CL328" s="219" t="str">
        <f>IFERROR(SUM(CL206,CL207,CL208,CL211,CL229,CL232)/(CL63+CK63+CI63+CH63),"")</f>
        <v/>
      </c>
      <c r="CM328" s="219" t="str">
        <f>IFERROR(SUM(CM206,CM207,CM208,CM211,CM229,CM232)/(CM63+CL63+CK63+CI63),"")</f>
        <v/>
      </c>
      <c r="CN328" s="219" t="str">
        <f>IFERROR(SUM(CN206,CN207,CN208,CN211,CN229,CN232)/(CN63+CM63+CL63+CK63),"")</f>
        <v/>
      </c>
      <c r="CP328" s="219" t="str">
        <f>IFERROR(SUM(CP206,CP207,CP208,CP211,CP229,CP232)/(CP63+CN63+CM63+CL63),"")</f>
        <v/>
      </c>
      <c r="CQ328" s="219" t="str">
        <f>IFERROR(SUM(CQ206,CQ207,CQ208,CQ211,CQ229,CQ232)/(CQ63+CP63+CN63+CM63),"")</f>
        <v/>
      </c>
      <c r="CR328" s="219" t="str">
        <f>IFERROR(SUM(CR206,CR207,CR208,CR211,CR229,CR232)/(CR63+CQ63+CP63+CN63),"")</f>
        <v/>
      </c>
      <c r="CS328" s="219" t="str">
        <f>IFERROR(SUM(CS206,CS207,CS208,CS211,CS229,CS232)/(CS63+CR63+CQ63+CP63),"")</f>
        <v/>
      </c>
      <c r="CU328" s="219" t="str">
        <f>IFERROR(SUM(CU206,CU207,CU208,CU211,CU229,CU232)/(CU63+CS63+CR63+CQ63),"")</f>
        <v/>
      </c>
      <c r="CV328" s="219" t="str">
        <f>IFERROR(SUM(CV206,CV207,CV208,CV211,CV229,CV232)/(CV63+CU63+CS63+CR63),"")</f>
        <v/>
      </c>
      <c r="CW328" s="219" t="str">
        <f>IFERROR(SUM(CW206,CW207,CW208,CW211,CW229,CW232)/(CW63+CV63+CU63+CS63),"")</f>
        <v/>
      </c>
      <c r="CX328" s="219" t="str">
        <f>IFERROR(SUM(CX206,CX207,CX208,CX211,CX229,CX232)/(CX63+CW63+CV63+CU63),"")</f>
        <v/>
      </c>
    </row>
    <row r="329" customFormat="1" s="233">
      <c r="A329" s="224" t="n"/>
      <c r="B329" s="224" t="n"/>
      <c r="C329" s="233" t="inlineStr">
        <is>
          <t>TOTAL DEBT / TOTAL CAPITALIZATION</t>
        </is>
      </c>
      <c r="D329" s="221">
        <f>SUM(D206+D207+D208+D211+D229+D232)/(SUM(D206+D207+D208+D211+D229+D232)+D265)</f>
        <v>0</v>
      </c>
      <c r="E329" s="221">
        <f>SUM(E206+E207+E208+E211+E229+E232)/(SUM(E206+E207+E208+E211+E229+E232)+E265)</f>
        <v>0</v>
      </c>
      <c r="F329" s="221">
        <f>SUM(F206+F207+F208+F211+F229+F232)/(SUM(F206+F207+F208+F211+F229+F232)+F265)</f>
        <v>0</v>
      </c>
      <c r="G329" s="221">
        <f>SUM(G206+G207+G208+G211+G229+G232)/(SUM(G206+G207+G208+G211+G229+G232)+G265)</f>
        <v>0</v>
      </c>
      <c r="I329" s="221">
        <f>SUM(I206+I207+I208+I211+I229+I232)/(SUM(I206+I207+I208+I211+I229+I232)+I265)</f>
        <v>0</v>
      </c>
      <c r="J329" s="221">
        <f>SUM(J206+J207+J208+J211+J229+J232)/(SUM(J206+J207+J208+J211+J229+J232)+J265)</f>
        <v>0</v>
      </c>
      <c r="K329" s="221">
        <f>SUM(K206+K207+K208+K211+K229+K232)/(SUM(K206+K207+K208+K211+K229+K232)+K265)</f>
        <v>0</v>
      </c>
      <c r="L329" s="221">
        <f>SUM(L206+L207+L208+L211+L229+L232)/(SUM(L206+L207+L208+L211+L229+L232)+L265)</f>
        <v>0</v>
      </c>
      <c r="N329" s="221">
        <f>SUM(N206+N207+N208+N211+N229+N232)/(SUM(N206+N207+N208+N211+N229+N232)+N265)</f>
        <v>0</v>
      </c>
      <c r="O329" s="221">
        <f>SUM(O206+O207+O208+O211+O229+O232)/(SUM(O206+O207+O208+O211+O229+O232)+O265)</f>
        <v>0</v>
      </c>
      <c r="P329" s="221">
        <f>SUM(P206+P207+P208+P211+P229+P232)/(SUM(P206+P207+P208+P211+P229+P232)+P265)</f>
        <v>0</v>
      </c>
      <c r="Q329" s="221">
        <f>SUM(Q206+Q207+Q208+Q211+Q229+Q232)/(SUM(Q206+Q207+Q208+Q211+Q229+Q232)+Q265)</f>
        <v>0</v>
      </c>
      <c r="S329" s="221">
        <f>SUM(S206+S207+S208+S211+S229+S232)/(SUM(S206+S207+S208+S211+S229+S232)+S265)</f>
        <v>0</v>
      </c>
      <c r="T329" s="221">
        <f>SUM(T206+T207+T208+T211+T229+T232)/(SUM(T206+T207+T208+T211+T229+T232)+T265)</f>
        <v>0</v>
      </c>
      <c r="U329" s="221">
        <f>SUM(U206+U207+U208+U211+U229+U232)/(SUM(U206+U207+U208+U211+U229+U232)+U265)</f>
        <v>0</v>
      </c>
      <c r="V329" s="221">
        <f>SUM(V206+V207+V208+V211+V229+V232)/(SUM(V206+V207+V208+V211+V229+V232)+V265)</f>
        <v>0</v>
      </c>
      <c r="X329" s="221">
        <f>SUM(X206+X207+X208+X211+X229+X232)/(SUM(X206+X207+X208+X211+X229+X232)+X265)</f>
        <v>0</v>
      </c>
      <c r="Y329" s="221">
        <f>SUM(Y206+Y207+Y208+Y211+Y229+Y232)/(SUM(Y206+Y207+Y208+Y211+Y229+Y232)+Y265)</f>
        <v>0</v>
      </c>
      <c r="Z329" s="221">
        <f>SUM(Z206+Z207+Z208+Z211+Z229+Z232)/(SUM(Z206+Z207+Z208+Z211+Z229+Z232)+Z265)</f>
        <v>0</v>
      </c>
      <c r="AA329" s="221">
        <f>SUM(AA206+AA207+AA208+AA211+AA229+AA232)/(SUM(AA206+AA207+AA208+AA211+AA229+AA232)+AA265)</f>
        <v>0</v>
      </c>
      <c r="AC329" s="221">
        <f>SUM(AC206+AC207+AC208+AC211+AC229+AC232)/(SUM(AC206+AC207+AC208+AC211+AC229+AC232)+AC265)</f>
        <v>0</v>
      </c>
      <c r="AD329" s="221">
        <f>SUM(AD206+AD207+AD208+AD211+AD229+AD232)/(SUM(AD206+AD207+AD208+AD211+AD229+AD232)+AD265)</f>
        <v>0</v>
      </c>
      <c r="AE329" s="221">
        <f>SUM(AE206+AE207+AE208+AE211+AE229+AE232)/(SUM(AE206+AE207+AE208+AE211+AE229+AE232)+AE265)</f>
        <v>0</v>
      </c>
      <c r="AF329" s="221">
        <f>SUM(AF206+AF207+AF208+AF211+AF229+AF232)/(SUM(AF206+AF207+AF208+AF211+AF229+AF232)+AF265)</f>
        <v>0</v>
      </c>
      <c r="AH329" s="221">
        <f>SUM(AH206+AH207+AH208+AH211+AH229+AH232)/(SUM(AH206+AH207+AH208+AH211+AH229+AH232)+AH265)</f>
        <v>0</v>
      </c>
      <c r="AI329" s="221">
        <f>SUM(AI206+AI207+AI208+AI211+AI229+AI232)/(SUM(AI206+AI207+AI208+AI211+AI229+AI232)+AI265)</f>
        <v>0</v>
      </c>
      <c r="AJ329" s="221">
        <f>SUM(AJ206+AJ207+AJ208+AJ211+AJ229+AJ232)/(SUM(AJ206+AJ207+AJ208+AJ211+AJ229+AJ232)+AJ265)</f>
        <v>0</v>
      </c>
      <c r="AK329" s="221">
        <f>SUM(AK206+AK207+AK208+AK211+AK229+AK232)/(SUM(AK206+AK207+AK208+AK211+AK229+AK232)+AK265)</f>
        <v>0</v>
      </c>
      <c r="AM329" s="221">
        <f>SUM(AM206+AM207+AM208+AM211+AM229+AM232)/(SUM(AM206+AM207+AM208+AM211+AM229+AM232)+AM265)</f>
        <v>0</v>
      </c>
      <c r="AN329" s="221">
        <f>SUM(AN206+AN207+AN208+AN211+AN229+AN232)/(SUM(AN206+AN207+AN208+AN211+AN229+AN232)+AN265)</f>
        <v>0</v>
      </c>
      <c r="AO329" s="221">
        <f>SUM(AO206+AO207+AO208+AO211+AO229+AO232)/(SUM(AO206+AO207+AO208+AO211+AO229+AO232)+AO265)</f>
        <v>0</v>
      </c>
      <c r="AP329" s="221">
        <f>SUM(AP206+AP207+AP208+AP211+AP229+AP232)/(SUM(AP206+AP207+AP208+AP211+AP229+AP232)+AP265)</f>
        <v>0</v>
      </c>
      <c r="AR329" s="221">
        <f>SUM(AR206+AR207+AR208+AR211+AR229+AR232)/(SUM(AR206+AR207+AR208+AR211+AR229+AR232)+AR265)</f>
        <v>0</v>
      </c>
      <c r="AS329" s="221">
        <f>SUM(AS206+AS207+AS208+AS211+AS229+AS232)/(SUM(AS206+AS207+AS208+AS211+AS229+AS232)+AS265)</f>
        <v>0</v>
      </c>
      <c r="AT329" s="221">
        <f>SUM(AT206+AT207+AT208+AT211+AT229+AT232)/(SUM(AT206+AT207+AT208+AT211+AT229+AT232)+AT265)</f>
        <v>0</v>
      </c>
      <c r="AU329" s="221">
        <f>SUM(AU206+AU207+AU208+AU211+AU229+AU232)/(SUM(AU206+AU207+AU208+AU211+AU229+AU232)+AU265)</f>
        <v>0</v>
      </c>
      <c r="AW329" s="221">
        <f>SUM(AW206+AW207+AW208+AW211+AW229+AW232)/(SUM(AW206+AW207+AW208+AW211+AW229+AW232)+AW265)</f>
        <v>0</v>
      </c>
      <c r="AX329" s="221">
        <f>SUM(AX206+AX207+AX208+AX211+AX229+AX232)/(SUM(AX206+AX207+AX208+AX211+AX229+AX232)+AX265)</f>
        <v>0</v>
      </c>
      <c r="AY329" s="221">
        <f>SUM(AY206+AY207+AY208+AY211+AY229+AY232)/(SUM(AY206+AY207+AY208+AY211+AY229+AY232)+AY265)</f>
        <v>0</v>
      </c>
      <c r="AZ329" s="221">
        <f>SUM(AZ206+AZ207+AZ208+AZ211+AZ229+AZ232)/(SUM(AZ206+AZ207+AZ208+AZ211+AZ229+AZ232)+AZ265)</f>
        <v>0</v>
      </c>
      <c r="BB329" s="221">
        <f>SUM(BB206+BB207+BB208+BB211+BB229+BB232)/(SUM(BB206+BB207+BB208+BB211+BB229+BB232)+BB265)</f>
        <v>0</v>
      </c>
      <c r="BC329" s="221">
        <f>SUM(BC206+BC207+BC208+BC211+BC229+BC232)/(SUM(BC206+BC207+BC208+BC211+BC229+BC232)+BC265)</f>
        <v>0</v>
      </c>
      <c r="BD329" s="221">
        <f>SUM(BD206+BD207+BD208+BD211+BD229+BD232)/(SUM(BD206+BD207+BD208+BD211+BD229+BD232)+BD265)</f>
        <v>0</v>
      </c>
      <c r="BE329" s="221">
        <f>SUM(BE206+BE207+BE208+BE211+BE229+BE232)/(SUM(BE206+BE207+BE208+BE211+BE229+BE232)+BE265)</f>
        <v>0</v>
      </c>
      <c r="BG329" s="221">
        <f>SUM(BG206+BG207+BG208+BG211+BG229+BG232)/(SUM(BG206+BG207+BG208+BG211+BG229+BG232)+BG265)</f>
        <v>0</v>
      </c>
      <c r="BH329" s="221">
        <f>SUM(BH206+BH207+BH208+BH211+BH229+BH232)/(SUM(BH206+BH207+BH208+BH211+BH229+BH232)+BH265)</f>
        <v>0</v>
      </c>
      <c r="BI329" s="221">
        <f>SUM(BI206+BI207+BI208+BI211+BI229+BI232)/(SUM(BI206+BI207+BI208+BI211+BI229+BI232)+BI265)</f>
        <v>0</v>
      </c>
      <c r="BJ329" s="221">
        <f>SUM(BJ206+BJ207+BJ208+BJ211+BJ229+BJ232)/(SUM(BJ206+BJ207+BJ208+BJ211+BJ229+BJ232)+BJ265)</f>
        <v>0</v>
      </c>
      <c r="BL329" s="221">
        <f>SUM(BL206+BL207+BL208+BL211+BL229+BL232)/(SUM(BL206+BL207+BL208+BL211+BL229+BL232)+BL265)</f>
        <v>0</v>
      </c>
      <c r="BM329" s="221">
        <f>SUM(BM206+BM207+BM208+BM211+BM229+BM232)/(SUM(BM206+BM207+BM208+BM211+BM229+BM232)+BM265)</f>
        <v>0</v>
      </c>
      <c r="BN329" s="221">
        <f>SUM(BN206+BN207+BN208+BN211+BN229+BN232)/(SUM(BN206+BN207+BN208+BN211+BN229+BN232)+BN265)</f>
        <v>0</v>
      </c>
      <c r="BO329" s="221">
        <f>SUM(BO206+BO207+BO208+BO211+BO229+BO232)/(SUM(BO206+BO207+BO208+BO211+BO229+BO232)+BO265)</f>
        <v>0</v>
      </c>
      <c r="BQ329" s="221">
        <f>SUM(BQ206+BQ207+BQ208+BQ211+BQ229+BQ232)/(SUM(BQ206+BQ207+BQ208+BQ211+BQ229+BQ232)+BQ265)</f>
        <v>0</v>
      </c>
      <c r="BR329" s="221">
        <f>SUM(BR206+BR207+BR208+BR211+BR229+BR232)/(SUM(BR206+BR207+BR208+BR211+BR229+BR232)+BR265)</f>
        <v>0</v>
      </c>
      <c r="BS329" s="221">
        <f>SUM(BS206+BS207+BS208+BS211+BS229+BS232)/(SUM(BS206+BS207+BS208+BS211+BS229+BS232)+BS265)</f>
        <v>0</v>
      </c>
      <c r="BT329" s="221">
        <f>SUM(BT206+BT207+BT208+BT211+BT229+BT232)/(SUM(BT206+BT207+BT208+BT211+BT229+BT232)+BT265)</f>
        <v>0</v>
      </c>
      <c r="BV329" s="221">
        <f>SUM(BV206+BV207+BV208+BV211+BV229+BV232)/(SUM(BV206+BV207+BV208+BV211+BV229+BV232)+BV265)</f>
        <v>0</v>
      </c>
      <c r="BW329" s="221">
        <f>SUM(BW206+BW207+BW208+BW211+BW229+BW232)/(SUM(BW206+BW207+BW208+BW211+BW229+BW232)+BW265)</f>
        <v>0</v>
      </c>
      <c r="BX329" s="221">
        <f>SUM(BX206+BX207+BX208+BX211+BX229+BX232)/(SUM(BX206+BX207+BX208+BX211+BX229+BX232)+BX265)</f>
        <v>0</v>
      </c>
      <c r="BY329" s="221">
        <f>SUM(BY206+BY207+BY208+BY211+BY229+BY232)/(SUM(BY206+BY207+BY208+BY211+BY229+BY232)+BY265)</f>
        <v>0</v>
      </c>
      <c r="CA329" s="221">
        <f>SUM(CA206+CA207+CA208+CA211+CA229+CA232)/(SUM(CA206+CA207+CA208+CA211+CA229+CA232)+CA265)</f>
        <v>0</v>
      </c>
      <c r="CB329" s="221">
        <f>SUM(CB206+CB207+CB208+CB211+CB229+CB232)/(SUM(CB206+CB207+CB208+CB211+CB229+CB232)+CB265)</f>
        <v>0</v>
      </c>
      <c r="CC329" s="221">
        <f>SUM(CC206+CC207+CC208+CC211+CC229+CC232)/(SUM(CC206+CC207+CC208+CC211+CC229+CC232)+CC265)</f>
        <v>0</v>
      </c>
      <c r="CD329" s="221">
        <f>SUM(CD206+CD207+CD208+CD211+CD229+CD232)/(SUM(CD206+CD207+CD208+CD211+CD229+CD232)+CD265)</f>
        <v>0</v>
      </c>
      <c r="CF329" s="221">
        <f>SUM(CF206+CF207+CF208+CF211+CF229+CF232)/(SUM(CF206+CF207+CF208+CF211+CF229+CF232)+CF265)</f>
        <v>0</v>
      </c>
      <c r="CG329" s="221">
        <f>SUM(CG206+CG207+CG208+CG211+CG229+CG232)/(SUM(CG206+CG207+CG208+CG211+CG229+CG232)+CG265)</f>
        <v>0</v>
      </c>
      <c r="CH329" s="221">
        <f>SUM(CH206+CH207+CH208+CH211+CH229+CH232)/(SUM(CH206+CH207+CH208+CH211+CH229+CH232)+CH265)</f>
        <v>0</v>
      </c>
      <c r="CI329" s="221">
        <f>SUM(CI206+CI207+CI208+CI211+CI229+CI232)/(SUM(CI206+CI207+CI208+CI211+CI229+CI232)+CI265)</f>
        <v>0</v>
      </c>
      <c r="CK329" s="221">
        <f>SUM(CK206+CK207+CK208+CK211+CK229+CK232)/(SUM(CK206+CK207+CK208+CK211+CK229+CK232)+CK265)</f>
        <v>0</v>
      </c>
      <c r="CL329" s="221">
        <f>SUM(CL206+CL207+CL208+CL211+CL229+CL232)/(SUM(CL206+CL207+CL208+CL211+CL229+CL232)+CL265)</f>
        <v>0</v>
      </c>
      <c r="CM329" s="221">
        <f>SUM(CM206+CM207+CM208+CM211+CM229+CM232)/(SUM(CM206+CM207+CM208+CM211+CM229+CM232)+CM265)</f>
        <v>0</v>
      </c>
      <c r="CN329" s="221">
        <f>SUM(CN206+CN207+CN208+CN211+CN229+CN232)/(SUM(CN206+CN207+CN208+CN211+CN229+CN232)+CN265)</f>
        <v>0</v>
      </c>
      <c r="CP329" s="221">
        <f>SUM(CP206+CP207+CP208+CP211+CP229+CP232)/(SUM(CP206+CP207+CP208+CP211+CP229+CP232)+CP265)</f>
        <v>0</v>
      </c>
      <c r="CQ329" s="221">
        <f>SUM(CQ206+CQ207+CQ208+CQ211+CQ229+CQ232)/(SUM(CQ206+CQ207+CQ208+CQ211+CQ229+CQ232)+CQ265)</f>
        <v>0</v>
      </c>
      <c r="CR329" s="221">
        <f>SUM(CR206+CR207+CR208+CR211+CR229+CR232)/(SUM(CR206+CR207+CR208+CR211+CR229+CR232)+CR265)</f>
        <v>0</v>
      </c>
      <c r="CS329" s="221">
        <f>SUM(CS206+CS207+CS208+CS211+CS229+CS232)/(SUM(CS206+CS207+CS208+CS211+CS229+CS232)+CS265)</f>
        <v>0</v>
      </c>
      <c r="CU329" s="221">
        <f>SUM(CU206+CU207+CU208+CU211+CU229+CU232)/(SUM(CU206+CU207+CU208+CU211+CU229+CU232)+CU265)</f>
        <v>0</v>
      </c>
      <c r="CV329" s="221">
        <f>SUM(CV206+CV207+CV208+CV211+CV229+CV232)/(SUM(CV206+CV207+CV208+CV211+CV229+CV232)+CV265)</f>
        <v>0</v>
      </c>
      <c r="CW329" s="221">
        <f>SUM(CW206+CW207+CW208+CW211+CW229+CW232)/(SUM(CW206+CW207+CW208+CW211+CW229+CW232)+CW265)</f>
        <v>0</v>
      </c>
      <c r="CX329" s="221">
        <f>SUM(CX206+CX207+CX208+CX211+CX229+CX232)/(SUM(CX206+CX207+CX208+CX211+CX229+CX232)+CX265)</f>
        <v>0</v>
      </c>
    </row>
    <row r="330" customFormat="1" s="233">
      <c r="A330" s="224" t="n"/>
      <c r="B330" s="224" t="n"/>
      <c r="C330" s="233" t="inlineStr">
        <is>
          <t>NET DEBT / EBITDA LTM (com arrendamentos)</t>
        </is>
      </c>
      <c r="D330" s="219" t="str">
        <f>""</f>
        <v/>
      </c>
      <c r="E330" s="219" t="str">
        <f>""</f>
        <v/>
      </c>
      <c r="F330" s="219" t="str">
        <f>""</f>
        <v/>
      </c>
      <c r="G330" s="219">
        <f>IFERROR((SUM(G206,G207,G208,G211,G229,G232)-G138)/(G63+F63+E63+D63),"")</f>
        <v>-4.49119555143652</v>
      </c>
      <c r="I330" s="219">
        <f>IFERROR((SUM(I206,I207,I208,I211,I229,I232)-I138)/(I63+G63+F63+E63),"")</f>
        <v>-3.65090521831736</v>
      </c>
      <c r="J330" s="219">
        <f>IFERROR((SUM(J206,J207,J208,J211,J229,J232)-J138)/(J63+I63+G63+F63),"")</f>
        <v>-2.80100103555402</v>
      </c>
      <c r="K330" s="219">
        <f>IFERROR((SUM(K206,K207,K208,K211,K229,K232)-K138)/(K63+J63+I63+G63),"")</f>
        <v>-2.24602288584985</v>
      </c>
      <c r="L330" s="219">
        <f>IFERROR((SUM(L206,L207,L208,L211,L229,L232)-L138)/(L63+K63+J63+I63),"")</f>
        <v>-1.87693449226203</v>
      </c>
      <c r="N330" s="219">
        <f>IFERROR((SUM(N206,N207,N208,N211,N229,N232)-N138)/(N63+L63+K63+J63),"")</f>
        <v>-1.41812313021571</v>
      </c>
      <c r="O330" s="219">
        <f>IFERROR((SUM(O206,O207,O208,O211,O229,O232)-O138)/(O63+N63+L63+K63),"")</f>
        <v>-1.34196523589926</v>
      </c>
      <c r="P330" s="219">
        <f>IFERROR((SUM(P206,P207,P208,P211,P229,P232)-P138)/(P63+O63+N63+L63),"")</f>
        <v>-1.32133466883686</v>
      </c>
      <c r="Q330" s="219">
        <f>IFERROR((SUM(Q206,Q207,Q208,Q211,Q229,Q232)-Q138)/(Q63+P63+O63+N63),"")</f>
        <v>-1.27478021030857</v>
      </c>
      <c r="S330" s="219">
        <f>IFERROR((SUM(S206,S207,S208,S211,S229,S232)-S138)/(S63+Q63+P63+O63),"")</f>
        <v>-1.34708358388455</v>
      </c>
      <c r="T330" s="219">
        <f>IFERROR((SUM(T206,T207,T208,T211,T229,T232)-T138)/(T63+S63+Q63+P63),"")</f>
        <v>-1.37375721855093</v>
      </c>
      <c r="U330" s="219">
        <f>IFERROR((SUM(U206,U207,U208,U211,U229,U232)-U138)/(U63+T63+S63+Q63),"")</f>
        <v>-1.72102692713833</v>
      </c>
      <c r="V330" s="219">
        <f>IFERROR((SUM(V206,V207,V208,V211,V229,V232)-V138)/(V63+U63+T63+S63),"")</f>
        <v>-2.14589172444313</v>
      </c>
      <c r="X330" s="219">
        <f>IFERROR((SUM(X206,X207,X208,X211,X229,X232)-X138)/(X63+V63+U63+T63),"")</f>
        <v>-2.19021606196494</v>
      </c>
      <c r="Y330" s="219">
        <f>IFERROR((SUM(Y206,Y207,Y208,Y211,Y229,Y232)-Y138)/(Y63+X63+V63+U63),"")</f>
        <v>-2.64941785252264</v>
      </c>
      <c r="Z330" s="219">
        <f>IFERROR((SUM(Z206,Z207,Z208,Z211,Z229,Z232)-Z138)/(Z63+Y63+X63+V63),"")</f>
        <v>-2.65760998341363</v>
      </c>
      <c r="AA330" s="219">
        <f>IFERROR((SUM(AA206,AA207,AA208,AA211,AA229,AA232)-AA138)/(AA63+Z63+Y63+X63),"")</f>
        <v>-2.9382031501125</v>
      </c>
      <c r="AC330" s="219">
        <f>IFERROR((SUM(AC206,AC207,AC208,AC211,AC229,AC232)-AC138)/(AC63+AA63+Z63+Y63),"")</f>
        <v>-3.11597742777731</v>
      </c>
      <c r="AD330" s="219">
        <f>IFERROR((SUM(AD206,AD207,AD208,AD211,AD229,AD232)-AD138)/(AD63+AC63+AA63+Z63),"")</f>
        <v>-3.24184734708267</v>
      </c>
      <c r="AE330" s="219">
        <f>IFERROR((SUM(AE206,AE207,AE208,AE211,AE229,AE232)-AE138)/(AE63+AD63+AC63+AA63),"")</f>
        <v>-3.95508072174739</v>
      </c>
      <c r="AF330" s="219">
        <f>IFERROR((SUM(AF206,AF207,AF208,AF211,AF229,AF232)-AF138)/(AF63+AE63+AD63+AC63),"")</f>
        <v>-4.19489669618204</v>
      </c>
      <c r="AH330" s="219">
        <f>IFERROR((SUM(AH206,AH207,AH208,AH211,AH229,AH232)-AH138)/(AH63+AF63+AE63+AD63),"")</f>
        <v>-3.99919556667858</v>
      </c>
      <c r="AI330" s="219">
        <f>IFERROR((SUM(AI206,AI207,AI208,AI211,AI229,AI232)-AI138)/(AI63+AH63+AF63+AE63),"")</f>
        <v>-4.01179832242603</v>
      </c>
      <c r="AJ330" s="219">
        <f>IFERROR((SUM(AJ206,AJ207,AJ208,AJ211,AJ229,AJ232)-AJ138)/(AJ63+AI63+AH63+AF63),"")</f>
        <v>-6.04447368421053</v>
      </c>
      <c r="AK330" s="219">
        <f>IFERROR((SUM(AK206,AK207,AK208,AK211,AK229,AK232)-AK138)/(AK63+AJ63+AI63+AH63),"")</f>
        <v>-10.3232189973615</v>
      </c>
      <c r="AM330" s="219" t="str">
        <f>IFERROR((SUM(AM206,AM207,AM208,AM211,AM229,AM232)-AM138)/(AM63+AK63+AJ63+AI63),"")</f>
        <v/>
      </c>
      <c r="AN330" s="219" t="str">
        <f>IFERROR((SUM(AN206,AN207,AN208,AN211,AN229,AN232)-AN138)/(AN63+AM63+AK63+AJ63),"")</f>
        <v/>
      </c>
      <c r="AO330" s="219" t="str">
        <f>IFERROR((SUM(AO206,AO207,AO208,AO211,AO229,AO232)-AO138)/(AO63+AN63+AM63+AK63),"")</f>
        <v/>
      </c>
      <c r="AP330" s="219" t="str">
        <f>IFERROR((SUM(AP206,AP207,AP208,AP211,AP229,AP232)-AP138)/(AP63+AO63+AN63+AM63),"")</f>
        <v/>
      </c>
      <c r="AR330" s="219" t="str">
        <f>IFERROR((SUM(AR206,AR207,AR208,AR211,AR229,AR232)-AR138)/(AR63+AP63+AO63+AN63),"")</f>
        <v/>
      </c>
      <c r="AS330" s="219" t="str">
        <f>IFERROR((SUM(AS206,AS207,AS208,AS211,AS229,AS232)-AS138)/(AS63+AR63+AP63+AO63),"")</f>
        <v/>
      </c>
      <c r="AT330" s="219" t="str">
        <f>IFERROR((SUM(AT206,AT207,AT208,AT211,AT229,AT232)-AT138)/(AT63+AS63+AR63+AP63),"")</f>
        <v/>
      </c>
      <c r="AU330" s="219" t="str">
        <f>IFERROR((SUM(AU206,AU207,AU208,AU211,AU229,AU232)-AU138)/(AU63+AT63+AS63+AR63),"")</f>
        <v/>
      </c>
      <c r="AW330" s="219" t="str">
        <f>IFERROR((SUM(AW206,AW207,AW208,AW211,AW229,AW232)-AW138)/(AW63+AU63+AT63+AS63),"")</f>
        <v/>
      </c>
      <c r="AX330" s="219" t="str">
        <f>IFERROR((SUM(AX206,AX207,AX208,AX211,AX229,AX232)-AX138)/(AX63+AW63+AU63+AT63),"")</f>
        <v/>
      </c>
      <c r="AY330" s="219" t="str">
        <f>IFERROR((SUM(AY206,AY207,AY208,AY211,AY229,AY232)-AY138)/(AY63+AX63+AW63+AU63),"")</f>
        <v/>
      </c>
      <c r="AZ330" s="219" t="str">
        <f>IFERROR((SUM(AZ206,AZ207,AZ208,AZ211,AZ229,AZ232)-AZ138)/(AZ63+AY63+AX63+AW63),"")</f>
        <v/>
      </c>
      <c r="BB330" s="219" t="str">
        <f>IFERROR((SUM(BB206,BB207,BB208,BB211,BB229,BB232)-BB138)/(BB63+AZ63+AY63+AX63),"")</f>
        <v/>
      </c>
      <c r="BC330" s="219" t="str">
        <f>IFERROR((SUM(BC206,BC207,BC208,BC211,BC229,BC232)-BC138)/(BC63+BB63+AZ63+AY63),"")</f>
        <v/>
      </c>
      <c r="BD330" s="219" t="str">
        <f>IFERROR((SUM(BD206,BD207,BD208,BD211,BD229,BD232)-BD138)/(BD63+BC63+BB63+AZ63),"")</f>
        <v/>
      </c>
      <c r="BE330" s="219" t="str">
        <f>IFERROR((SUM(BE206,BE207,BE208,BE211,BE229,BE232)-BE138)/(BE63+BD63+BC63+BB63),"")</f>
        <v/>
      </c>
      <c r="BG330" s="219" t="str">
        <f>IFERROR((SUM(BG206,BG207,BG208,BG211,BG229,BG232)-BG138)/(BG63+BE63+BD63+BC63),"")</f>
        <v/>
      </c>
      <c r="BH330" s="219" t="str">
        <f>IFERROR((SUM(BH206,BH207,BH208,BH211,BH229,BH232)-BH138)/(BH63+BG63+BE63+BD63),"")</f>
        <v/>
      </c>
      <c r="BI330" s="219" t="str">
        <f>IFERROR((SUM(BI206,BI207,BI208,BI211,BI229,BI232)-BI138)/(BI63+BH63+BG63+BE63),"")</f>
        <v/>
      </c>
      <c r="BJ330" s="219" t="str">
        <f>IFERROR((SUM(BJ206,BJ207,BJ208,BJ211,BJ229,BJ232)-BJ138)/(BJ63+BI63+BH63+BG63),"")</f>
        <v/>
      </c>
      <c r="BL330" s="219" t="str">
        <f>IFERROR((SUM(BL206,BL207,BL208,BL211,BL229,BL232)-BL138)/(BL63+BJ63+BI63+BH63),"")</f>
        <v/>
      </c>
      <c r="BM330" s="219" t="str">
        <f>IFERROR((SUM(BM206,BM207,BM208,BM211,BM229,BM232)-BM138)/(BM63+BL63+BJ63+BI63),"")</f>
        <v/>
      </c>
      <c r="BN330" s="219" t="str">
        <f>IFERROR((SUM(BN206,BN207,BN208,BN211,BN229,BN232)-BN138)/(BN63+BM63+BL63+BJ63),"")</f>
        <v/>
      </c>
      <c r="BO330" s="219" t="str">
        <f>IFERROR((SUM(BO206,BO207,BO208,BO211,BO229,BO232)-BO138)/(BO63+BN63+BM63+BL63),"")</f>
        <v/>
      </c>
      <c r="BQ330" s="219" t="str">
        <f>IFERROR((SUM(BQ206,BQ207,BQ208,BQ211,BQ229,BQ232)-BQ138)/(BQ63+BO63+BN63+BM63),"")</f>
        <v/>
      </c>
      <c r="BR330" s="219" t="str">
        <f>IFERROR((SUM(BR206,BR207,BR208,BR211,BR229,BR232)-BR138)/(BR63+BQ63+BO63+BN63),"")</f>
        <v/>
      </c>
      <c r="BS330" s="219" t="str">
        <f>IFERROR((SUM(BS206,BS207,BS208,BS211,BS229,BS232)-BS138)/(BS63+BR63+BQ63+BO63),"")</f>
        <v/>
      </c>
      <c r="BT330" s="219" t="str">
        <f>IFERROR((SUM(BT206,BT207,BT208,BT211,BT229,BT232)-BT138)/(BT63+BS63+BR63+BQ63),"")</f>
        <v/>
      </c>
      <c r="BV330" s="219" t="str">
        <f>IFERROR((SUM(BV206,BV207,BV208,BV211,BV229,BV232)-BV138)/(BV63+BT63+BS63+BR63),"")</f>
        <v/>
      </c>
      <c r="BW330" s="219" t="str">
        <f>IFERROR((SUM(BW206,BW207,BW208,BW211,BW229,BW232)-BW138)/(BW63+BV63+BT63+BS63),"")</f>
        <v/>
      </c>
      <c r="BX330" s="219" t="str">
        <f>IFERROR((SUM(BX206,BX207,BX208,BX211,BX229,BX232)-BX138)/(BX63+BW63+BV63+BT63),"")</f>
        <v/>
      </c>
      <c r="BY330" s="219" t="str">
        <f>IFERROR((SUM(BY206,BY207,BY208,BY211,BY229,BY232)-BY138)/(BY63+BX63+BW63+BV63),"")</f>
        <v/>
      </c>
      <c r="CA330" s="219" t="str">
        <f>IFERROR((SUM(CA206,CA207,CA208,CA211,CA229,CA232)-CA138)/(CA63+BY63+BX63+BW63),"")</f>
        <v/>
      </c>
      <c r="CB330" s="219" t="str">
        <f>IFERROR((SUM(CB206,CB207,CB208,CB211,CB229,CB232)-CB138)/(CB63+CA63+BY63+BX63),"")</f>
        <v/>
      </c>
      <c r="CC330" s="219" t="str">
        <f>IFERROR((SUM(CC206,CC207,CC208,CC211,CC229,CC232)-CC138)/(CC63+CB63+CA63+BY63),"")</f>
        <v/>
      </c>
      <c r="CD330" s="219" t="str">
        <f>IFERROR((SUM(CD206,CD207,CD208,CD211,CD229,CD232)-CD138)/(CD63+CC63+CB63+CA63),"")</f>
        <v/>
      </c>
      <c r="CF330" s="219" t="str">
        <f>IFERROR((SUM(CF206,CF207,CF208,CF211,CF229,CF232)-CF138)/(CF63+CD63+CC63+CB63),"")</f>
        <v/>
      </c>
      <c r="CG330" s="219" t="str">
        <f>IFERROR((SUM(CG206,CG207,CG208,CG211,CG229,CG232)-CG138)/(CG63+CF63+CD63+CC63),"")</f>
        <v/>
      </c>
      <c r="CH330" s="219" t="str">
        <f>IFERROR((SUM(CH206,CH207,CH208,CH211,CH229,CH232)-CH138)/(CH63+CG63+CF63+CD63),"")</f>
        <v/>
      </c>
      <c r="CI330" s="219" t="str">
        <f>IFERROR((SUM(CI206,CI207,CI208,CI211,CI229,CI232)-CI138)/(CI63+CH63+CG63+CF63),"")</f>
        <v/>
      </c>
      <c r="CK330" s="219" t="str">
        <f>IFERROR((SUM(CK206,CK207,CK208,CK211,CK229,CK232)-CK138)/(CK63+CI63+CH63+CG63),"")</f>
        <v/>
      </c>
      <c r="CL330" s="219" t="str">
        <f>IFERROR((SUM(CL206,CL207,CL208,CL211,CL229,CL232)-CL138)/(CL63+CK63+CI63+CH63),"")</f>
        <v/>
      </c>
      <c r="CM330" s="219" t="str">
        <f>IFERROR((SUM(CM206,CM207,CM208,CM211,CM229,CM232)-CM138)/(CM63+CL63+CK63+CI63),"")</f>
        <v/>
      </c>
      <c r="CN330" s="219" t="str">
        <f>IFERROR((SUM(CN206,CN207,CN208,CN211,CN229,CN232)-CN138)/(CN63+CM63+CL63+CK63),"")</f>
        <v/>
      </c>
      <c r="CP330" s="219" t="str">
        <f>IFERROR((SUM(CP206,CP207,CP208,CP211,CP229,CP232)-CP138)/(CP63+CN63+CM63+CL63),"")</f>
        <v/>
      </c>
      <c r="CQ330" s="219" t="str">
        <f>IFERROR((SUM(CQ206,CQ207,CQ208,CQ211,CQ229,CQ232)-CQ138)/(CQ63+CP63+CN63+CM63),"")</f>
        <v/>
      </c>
      <c r="CR330" s="219" t="str">
        <f>IFERROR((SUM(CR206,CR207,CR208,CR211,CR229,CR232)-CR138)/(CR63+CQ63+CP63+CN63),"")</f>
        <v/>
      </c>
      <c r="CS330" s="219" t="str">
        <f>IFERROR((SUM(CS206,CS207,CS208,CS211,CS229,CS232)-CS138)/(CS63+CR63+CQ63+CP63),"")</f>
        <v/>
      </c>
      <c r="CU330" s="219" t="str">
        <f>IFERROR((SUM(CU206,CU207,CU208,CU211,CU229,CU232)-CU138)/(CU63+CS63+CR63+CQ63),"")</f>
        <v/>
      </c>
      <c r="CV330" s="219" t="str">
        <f>IFERROR((SUM(CV206,CV207,CV208,CV211,CV229,CV232)-CV138)/(CV63+CU63+CS63+CR63),"")</f>
        <v/>
      </c>
      <c r="CW330" s="219" t="str">
        <f>IFERROR((SUM(CW206,CW207,CW208,CW211,CW229,CW232)-CW138)/(CW63+CV63+CU63+CS63),"")</f>
        <v/>
      </c>
      <c r="CX330" s="219" t="str">
        <f>IFERROR((SUM(CX206,CX207,CX208,CX211,CX229,CX232)-CX138)/(CX63+CW63+CV63+CU63),"")</f>
        <v/>
      </c>
    </row>
    <row r="331" customFormat="1" s="233">
      <c r="A331" s="224" t="n"/>
      <c r="B331" s="224" t="n"/>
      <c r="C331" s="237" t="inlineStr">
        <is>
          <t>NET DEBT (EX IFRS 16) / EBITDA LTM</t>
        </is>
      </c>
      <c r="D331" s="219" t="str">
        <f>""</f>
        <v/>
      </c>
      <c r="E331" s="219" t="str">
        <f>""</f>
        <v/>
      </c>
      <c r="F331" s="219" t="str">
        <f>""</f>
        <v/>
      </c>
      <c r="G331" s="219">
        <f>IFERROR((SUM(G206,G207,G211,G232)-G138)/(G63+F63+E63+D63),"")</f>
        <v>-4.49119555143652</v>
      </c>
      <c r="I331" s="219">
        <f>IFERROR((SUM(I206,I207,I211,I232)-I138)/(I63+G63+F63+E63),"")</f>
        <v>-3.65090521831736</v>
      </c>
      <c r="J331" s="219">
        <f>IFERROR((SUM(J206,J207,J211,J232)-J138)/(J63+I63+G63+F63),"")</f>
        <v>-2.80100103555402</v>
      </c>
      <c r="K331" s="219">
        <f>IFERROR((SUM(K206,K207,K211,K232)-K138)/(K63+J63+I63+G63),"")</f>
        <v>-2.24602288584985</v>
      </c>
      <c r="L331" s="219">
        <f>IFERROR((SUM(L206,L207,L211,L232)-L138)/(L63+K63+J63+I63),"")</f>
        <v>-1.87693449226203</v>
      </c>
      <c r="N331" s="219">
        <f>IFERROR((SUM(N206,N207,N211,N232)-N138)/(N63+L63+K63+J63),"")</f>
        <v>-1.41812313021571</v>
      </c>
      <c r="O331" s="219">
        <f>IFERROR((SUM(O206,O207,O211,O232)-O138)/(O63+N63+L63+K63),"")</f>
        <v>-1.34196523589926</v>
      </c>
      <c r="P331" s="219">
        <f>IFERROR((SUM(P206,P207,P211,P232)-P138)/(P63+O63+N63+L63),"")</f>
        <v>-1.32133466883686</v>
      </c>
      <c r="Q331" s="219">
        <f>IFERROR((SUM(Q206,Q207,Q211,Q232)-Q138)/(Q63+P63+O63+N63),"")</f>
        <v>-1.27478021030857</v>
      </c>
      <c r="S331" s="219">
        <f>IFERROR((SUM(S206,S207,S211,S232)-S138)/(S63+Q63+P63+O63),"")</f>
        <v>-1.34708358388455</v>
      </c>
      <c r="T331" s="219">
        <f>IFERROR((SUM(T206,T207,T211,T232)-T138)/(T63+S63+Q63+P63),"")</f>
        <v>-1.37375721855093</v>
      </c>
      <c r="U331" s="219">
        <f>IFERROR((SUM(U206,U207,U211,U232)-U138)/(U63+T63+S63+Q63),"")</f>
        <v>-1.72102692713833</v>
      </c>
      <c r="V331" s="219">
        <f>IFERROR((SUM(V206,V207,V211,V232)-V138)/(V63+U63+T63+S63),"")</f>
        <v>-2.14589172444313</v>
      </c>
      <c r="X331" s="219">
        <f>IFERROR((SUM(X206,X207,X211,X232)-X138)/(X63+V63+U63+T63),"")</f>
        <v>-2.19021606196494</v>
      </c>
      <c r="Y331" s="219">
        <f>IFERROR((SUM(Y206,Y207,Y211,Y232)-Y138)/(Y63+X63+V63+U63),"")</f>
        <v>-2.64941785252264</v>
      </c>
      <c r="Z331" s="219">
        <f>IFERROR((SUM(Z206,Z207,Z211,Z232)-Z138)/(Z63+Y63+X63+V63),"")</f>
        <v>-2.65760998341363</v>
      </c>
      <c r="AA331" s="219">
        <f>IFERROR((SUM(AA206,AA207,AA211,AA232)-AA138)/(AA63+Z63+Y63+X63),"")</f>
        <v>-2.9382031501125</v>
      </c>
      <c r="AC331" s="219">
        <f>IFERROR((SUM(AC206,AC207,AC211,AC232)-AC138)/(AC63+AA63+Z63+Y63),"")</f>
        <v>-3.11597742777731</v>
      </c>
      <c r="AD331" s="219">
        <f>IFERROR((SUM(AD206,AD207,AD211,AD232)-AD138)/(AD63+AC63+AA63+Z63),"")</f>
        <v>-3.24184734708267</v>
      </c>
      <c r="AE331" s="219">
        <f>IFERROR((SUM(AE206,AE207,AE211,AE232)-AE138)/(AE63+AD63+AC63+AA63),"")</f>
        <v>-3.95508072174739</v>
      </c>
      <c r="AF331" s="219">
        <f>IFERROR((SUM(AF206,AF207,AF211,AF232)-AF138)/(AF63+AE63+AD63+AC63),"")</f>
        <v>-4.19489669618204</v>
      </c>
      <c r="AH331" s="219">
        <f>IFERROR((SUM(AH206,AH207,AH211,AH232)-AH138)/(AH63+AF63+AE63+AD63),"")</f>
        <v>-3.99919556667858</v>
      </c>
      <c r="AI331" s="219">
        <f>IFERROR((SUM(AI206,AI207,AI211,AI232)-AI138)/(AI63+AH63+AF63+AE63),"")</f>
        <v>-4.01179832242603</v>
      </c>
      <c r="AJ331" s="219">
        <f>IFERROR((SUM(AJ206,AJ207,AJ211,AJ232)-AJ138)/(AJ63+AI63+AH63+AF63),"")</f>
        <v>-6.04447368421053</v>
      </c>
      <c r="AK331" s="219">
        <f>IFERROR((SUM(AK206,AK207,AK211,AK232)-AK138)/(AK63+AJ63+AI63+AH63),"")</f>
        <v>-10.3232189973615</v>
      </c>
      <c r="AM331" s="219" t="str">
        <f>IFERROR((SUM(AM206,AM207,AM211,AM232)-AM138)/(AM63+AK63+AJ63+AI63),"")</f>
        <v/>
      </c>
      <c r="AN331" s="219" t="str">
        <f>IFERROR((SUM(AN206,AN207,AN211,AN232)-AN138)/(AN63+AM63+AK63+AJ63),"")</f>
        <v/>
      </c>
      <c r="AO331" s="219" t="str">
        <f>IFERROR((SUM(AO206,AO207,AO211,AO232)-AO138)/(AO63+AN63+AM63+AK63),"")</f>
        <v/>
      </c>
      <c r="AP331" s="219" t="str">
        <f>IFERROR((SUM(AP206,AP207,AP211,AP232)-AP138)/(AP63+AO63+AN63+AM63),"")</f>
        <v/>
      </c>
      <c r="AR331" s="219" t="str">
        <f>IFERROR((SUM(AR206,AR207,AR211,AR232)-AR138)/(AR63+AP63+AO63+AN63),"")</f>
        <v/>
      </c>
      <c r="AS331" s="219" t="str">
        <f>IFERROR((SUM(AS206,AS207,AS211,AS232)-AS138)/(AS63+AR63+AP63+AO63),"")</f>
        <v/>
      </c>
      <c r="AT331" s="219" t="str">
        <f>IFERROR((SUM(AT206,AT207,AT211,AT232)-AT138)/(AT63+AS63+AR63+AP63),"")</f>
        <v/>
      </c>
      <c r="AU331" s="219" t="str">
        <f>IFERROR((SUM(AU206,AU207,AU211,AU232)-AU138)/(AU63+AT63+AS63+AR63),"")</f>
        <v/>
      </c>
      <c r="AW331" s="219" t="str">
        <f>IFERROR((SUM(AW206,AW207,AW211,AW232)-AW138)/(AW63+AU63+AT63+AS63),"")</f>
        <v/>
      </c>
      <c r="AX331" s="219" t="str">
        <f>IFERROR((SUM(AX206,AX207,AX211,AX232)-AX138)/(AX63+AW63+AU63+AT63),"")</f>
        <v/>
      </c>
      <c r="AY331" s="219" t="str">
        <f>IFERROR((SUM(AY206,AY207,AY211,AY232)-AY138)/(AY63+AX63+AW63+AU63),"")</f>
        <v/>
      </c>
      <c r="AZ331" s="219" t="str">
        <f>IFERROR((SUM(AZ206,AZ207,AZ211,AZ232)-AZ138)/(AZ63+AY63+AX63+AW63),"")</f>
        <v/>
      </c>
      <c r="BB331" s="219" t="str">
        <f>IFERROR((SUM(BB206,BB207,BB211,BB232)-BB138)/(BB63+AZ63+AY63+AX63),"")</f>
        <v/>
      </c>
      <c r="BC331" s="219" t="str">
        <f>IFERROR((SUM(BC206,BC207,BC211,BC232)-BC138)/(BC63+BB63+AZ63+AY63),"")</f>
        <v/>
      </c>
      <c r="BD331" s="219" t="str">
        <f>IFERROR((SUM(BD206,BD207,BD211,BD232)-BD138)/(BD63+BC63+BB63+AZ63),"")</f>
        <v/>
      </c>
      <c r="BE331" s="219" t="str">
        <f>IFERROR((SUM(BE206,BE207,BE211,BE232)-BE138)/(BE63+BD63+BC63+BB63),"")</f>
        <v/>
      </c>
      <c r="BG331" s="219" t="str">
        <f>IFERROR((SUM(BG206,BG207,BG211,BG232)-BG138)/(BG63+BE63+BD63+BC63),"")</f>
        <v/>
      </c>
      <c r="BH331" s="219" t="str">
        <f>IFERROR((SUM(BH206,BH207,BH211,BH232)-BH138)/(BH63+BG63+BE63+BD63),"")</f>
        <v/>
      </c>
      <c r="BI331" s="219" t="str">
        <f>IFERROR((SUM(BI206,BI207,BI211,BI232)-BI138)/(BI63+BH63+BG63+BE63),"")</f>
        <v/>
      </c>
      <c r="BJ331" s="219" t="str">
        <f>IFERROR((SUM(BJ206,BJ207,BJ211,BJ232)-BJ138)/(BJ63+BI63+BH63+BG63),"")</f>
        <v/>
      </c>
      <c r="BL331" s="219" t="str">
        <f>IFERROR((SUM(BL206,BL207,BL211,BL232)-BL138)/(BL63+BJ63+BI63+BH63),"")</f>
        <v/>
      </c>
      <c r="BM331" s="219" t="str">
        <f>IFERROR((SUM(BM206,BM207,BM211,BM232)-BM138)/(BM63+BL63+BJ63+BI63),"")</f>
        <v/>
      </c>
      <c r="BN331" s="219" t="str">
        <f>IFERROR((SUM(BN206,BN207,BN211,BN232)-BN138)/(BN63+BM63+BL63+BJ63),"")</f>
        <v/>
      </c>
      <c r="BO331" s="219" t="str">
        <f>IFERROR((SUM(BO206,BO207,BO211,BO232)-BO138)/(BO63+BN63+BM63+BL63),"")</f>
        <v/>
      </c>
      <c r="BQ331" s="219" t="str">
        <f>IFERROR((SUM(BQ206,BQ207,BQ211,BQ232)-BQ138)/(BQ63+BO63+BN63+BM63),"")</f>
        <v/>
      </c>
      <c r="BR331" s="219" t="str">
        <f>IFERROR((SUM(BR206,BR207,BR211,BR232)-BR138)/(BR63+BQ63+BO63+BN63),"")</f>
        <v/>
      </c>
      <c r="BS331" s="219" t="str">
        <f>IFERROR((SUM(BS206,BS207,BS211,BS232)-BS138)/(BS63+BR63+BQ63+BO63),"")</f>
        <v/>
      </c>
      <c r="BT331" s="219" t="str">
        <f>IFERROR((SUM(BT206,BT207,BT211,BT232)-BT138)/(BT63+BS63+BR63+BQ63),"")</f>
        <v/>
      </c>
      <c r="BV331" s="219" t="str">
        <f>IFERROR((SUM(BV206,BV207,BV211,BV232)-BV138)/(BV63+BT63+BS63+BR63),"")</f>
        <v/>
      </c>
      <c r="BW331" s="219" t="str">
        <f>IFERROR((SUM(BW206,BW207,BW211,BW232)-BW138)/(BW63+BV63+BT63+BS63),"")</f>
        <v/>
      </c>
      <c r="BX331" s="219" t="str">
        <f>IFERROR((SUM(BX206,BX207,BX211,BX232)-BX138)/(BX63+BW63+BV63+BT63),"")</f>
        <v/>
      </c>
      <c r="BY331" s="219" t="str">
        <f>IFERROR((SUM(BY206,BY207,BY211,BY232)-BY138)/(BY63+BX63+BW63+BV63),"")</f>
        <v/>
      </c>
      <c r="CA331" s="219" t="str">
        <f>IFERROR((SUM(CA206,CA207,CA211,CA232)-CA138)/(CA63+BY63+BX63+BW63),"")</f>
        <v/>
      </c>
      <c r="CB331" s="219" t="str">
        <f>IFERROR((SUM(CB206,CB207,CB211,CB232)-CB138)/(CB63+CA63+BY63+BX63),"")</f>
        <v/>
      </c>
      <c r="CC331" s="219" t="str">
        <f>IFERROR((SUM(CC206,CC207,CC211,CC232)-CC138)/(CC63+CB63+CA63+BY63),"")</f>
        <v/>
      </c>
      <c r="CD331" s="219" t="str">
        <f>IFERROR((SUM(CD206,CD207,CD211,CD232)-CD138)/(CD63+CC63+CB63+CA63),"")</f>
        <v/>
      </c>
      <c r="CF331" s="219" t="str">
        <f>IFERROR((SUM(CF206,CF207,CF211,CF232)-CF138)/(CF63+CD63+CC63+CB63),"")</f>
        <v/>
      </c>
      <c r="CG331" s="219" t="str">
        <f>IFERROR((SUM(CG206,CG207,CG211,CG232)-CG138)/(CG63+CF63+CD63+CC63),"")</f>
        <v/>
      </c>
      <c r="CH331" s="219" t="str">
        <f>IFERROR((SUM(CH206,CH207,CH211,CH232)-CH138)/(CH63+CG63+CF63+CD63),"")</f>
        <v/>
      </c>
      <c r="CI331" s="219" t="str">
        <f>IFERROR((SUM(CI206,CI207,CI211,CI232)-CI138)/(CI63+CH63+CG63+CF63),"")</f>
        <v/>
      </c>
      <c r="CK331" s="219" t="str">
        <f>IFERROR((SUM(CK206,CK207,CK211,CK232)-CK138)/(CK63+CI63+CH63+CG63),"")</f>
        <v/>
      </c>
      <c r="CL331" s="219" t="str">
        <f>IFERROR((SUM(CL206,CL207,CL211,CL232)-CL138)/(CL63+CK63+CI63+CH63),"")</f>
        <v/>
      </c>
      <c r="CM331" s="219" t="str">
        <f>IFERROR((SUM(CM206,CM207,CM211,CM232)-CM138)/(CM63+CL63+CK63+CI63),"")</f>
        <v/>
      </c>
      <c r="CN331" s="219" t="str">
        <f>IFERROR((SUM(CN206,CN207,CN211,CN232)-CN138)/(CN63+CM63+CL63+CK63),"")</f>
        <v/>
      </c>
      <c r="CP331" s="219" t="str">
        <f>IFERROR((SUM(CP206,CP207,CP211,CP232)-CP138)/(CP63+CN63+CM63+CL63),"")</f>
        <v/>
      </c>
      <c r="CQ331" s="219" t="str">
        <f>IFERROR((SUM(CQ206,CQ207,CQ211,CQ232)-CQ138)/(CQ63+CP63+CN63+CM63),"")</f>
        <v/>
      </c>
      <c r="CR331" s="219" t="str">
        <f>IFERROR((SUM(CR206,CR207,CR211,CR232)-CR138)/(CR63+CQ63+CP63+CN63),"")</f>
        <v/>
      </c>
      <c r="CS331" s="219" t="str">
        <f>IFERROR((SUM(CS206,CS207,CS211,CS232)-CS138)/(CS63+CR63+CQ63+CP63),"")</f>
        <v/>
      </c>
      <c r="CU331" s="219" t="str">
        <f>IFERROR((SUM(CU206,CU207,CU211,CU232)-CU138)/(CU63+CS63+CR63+CQ63),"")</f>
        <v/>
      </c>
      <c r="CV331" s="219" t="str">
        <f>IFERROR((SUM(CV206,CV207,CV211,CV232)-CV138)/(CV63+CU63+CS63+CR63),"")</f>
        <v/>
      </c>
      <c r="CW331" s="219" t="str">
        <f>IFERROR((SUM(CW206,CW207,CW211,CW232)-CW138)/(CW63+CV63+CU63+CS63),"")</f>
        <v/>
      </c>
      <c r="CX331" s="219" t="str">
        <f>IFERROR((SUM(CX206,CX207,CX211,CX232)-CX138)/(CX63+CW63+CV63+CU63),"")</f>
        <v/>
      </c>
    </row>
    <row r="332" customFormat="1" s="233">
      <c r="A332" s="224" t="n"/>
      <c r="B332" s="224" t="n"/>
      <c r="C332" s="233" t="inlineStr">
        <is>
          <t>INTEREST COVERAGE</t>
        </is>
      </c>
      <c r="D332" s="219">
        <f>D67/-D68</f>
        <v>1.67455621301775</v>
      </c>
      <c r="E332" s="219">
        <f>E67/-E68</f>
        <v>1.92352941176471</v>
      </c>
      <c r="F332" s="219">
        <f>F67/-F68</f>
        <v>4.96319018404908</v>
      </c>
      <c r="G332" s="219">
        <f>G67/-G68</f>
        <v>2.33739837398374</v>
      </c>
      <c r="I332" s="219">
        <f>I67/-I68</f>
        <v>6</v>
      </c>
      <c r="J332" s="219">
        <f>J67/-J68</f>
        <v>17.4933333333333</v>
      </c>
      <c r="K332" s="219">
        <f>K67/-K68</f>
        <v>15.9047619047619</v>
      </c>
      <c r="L332" s="219">
        <f>L67/-L68</f>
        <v>36.8028169014085</v>
      </c>
      <c r="N332" s="219">
        <f>N67/-N68</f>
        <v>59.0655737704918</v>
      </c>
      <c r="O332" s="219">
        <f>O67/-O68</f>
        <v>56</v>
      </c>
      <c r="P332" s="219">
        <f>P67/-P68</f>
        <v>69.5849056603774</v>
      </c>
      <c r="Q332" s="219">
        <f>Q67/-Q68</f>
        <v>118.212121212121</v>
      </c>
      <c r="S332" s="219">
        <f>S67/-S68</f>
        <v>91.8620689655172</v>
      </c>
      <c r="T332" s="219">
        <f>T67/-T68</f>
        <v>85.6785714285714</v>
      </c>
      <c r="U332" s="219">
        <f>U67/-U68</f>
        <v>46.4210526315789</v>
      </c>
      <c r="V332" s="219">
        <f>V67/-V68</f>
        <v>33.8360655737705</v>
      </c>
      <c r="X332" s="219">
        <f>X67/-X68</f>
        <v>15.4078947368421</v>
      </c>
      <c r="Y332" s="219">
        <f>Y67/-Y68</f>
        <v>18.6627906976744</v>
      </c>
      <c r="Z332" s="219">
        <f>Z67/-Z68</f>
        <v>29.5326086956522</v>
      </c>
      <c r="AA332" s="219">
        <f>AA67/-AA68</f>
        <v>16.4895833333333</v>
      </c>
      <c r="AC332" s="219">
        <f>AC67/-AC68</f>
        <v>4.38461538461539</v>
      </c>
      <c r="AD332" s="219">
        <f>AD67/-AD68</f>
        <v>10.7325581395349</v>
      </c>
      <c r="AE332" s="219">
        <f>AE67/-AE68</f>
        <v>21.3684210526316</v>
      </c>
      <c r="AF332" s="219">
        <f>AF67/-AF68</f>
        <v>16.5764705882353</v>
      </c>
      <c r="AH332" s="219">
        <f>AH67/-AH68</f>
        <v>10.2282608695652</v>
      </c>
      <c r="AI332" s="219">
        <f>AI67/-AI68</f>
        <v>4.91358024691358</v>
      </c>
      <c r="AJ332" s="219" t="e">
        <f>AJ67/-AJ68</f>
        <v>#DIV/0!</v>
      </c>
      <c r="AK332" s="219" t="e">
        <f>AK67/-AK68</f>
        <v>#DIV/0!</v>
      </c>
      <c r="AM332" s="219" t="e">
        <f>AM67/-AM68</f>
        <v>#DIV/0!</v>
      </c>
      <c r="AN332" s="219" t="e">
        <f>AN67/-AN68</f>
        <v>#DIV/0!</v>
      </c>
      <c r="AO332" s="219" t="e">
        <f>AO67/-AO68</f>
        <v>#DIV/0!</v>
      </c>
      <c r="AP332" s="219" t="e">
        <f>AP67/-AP68</f>
        <v>#DIV/0!</v>
      </c>
      <c r="AR332" s="219" t="e">
        <f>AR67/-AR68</f>
        <v>#DIV/0!</v>
      </c>
      <c r="AS332" s="219" t="e">
        <f>AS67/-AS68</f>
        <v>#DIV/0!</v>
      </c>
      <c r="AT332" s="219" t="e">
        <f>AT67/-AT68</f>
        <v>#DIV/0!</v>
      </c>
      <c r="AU332" s="219" t="e">
        <f>AU67/-AU68</f>
        <v>#DIV/0!</v>
      </c>
      <c r="AW332" s="219" t="e">
        <f>AW67/-AW68</f>
        <v>#DIV/0!</v>
      </c>
      <c r="AX332" s="219" t="e">
        <f>AX67/-AX68</f>
        <v>#DIV/0!</v>
      </c>
      <c r="AY332" s="219" t="e">
        <f>AY67/-AY68</f>
        <v>#DIV/0!</v>
      </c>
      <c r="AZ332" s="219" t="e">
        <f>AZ67/-AZ68</f>
        <v>#DIV/0!</v>
      </c>
      <c r="BB332" s="219" t="e">
        <f>BB67/-BB68</f>
        <v>#DIV/0!</v>
      </c>
      <c r="BC332" s="219" t="e">
        <f>BC67/-BC68</f>
        <v>#DIV/0!</v>
      </c>
      <c r="BD332" s="219" t="e">
        <f>BD67/-BD68</f>
        <v>#DIV/0!</v>
      </c>
      <c r="BE332" s="219" t="e">
        <f>BE67/-BE68</f>
        <v>#DIV/0!</v>
      </c>
      <c r="BG332" s="219" t="e">
        <f>BG67/-BG68</f>
        <v>#DIV/0!</v>
      </c>
      <c r="BH332" s="219" t="e">
        <f>BH67/-BH68</f>
        <v>#DIV/0!</v>
      </c>
      <c r="BI332" s="219" t="e">
        <f>BI67/-BI68</f>
        <v>#DIV/0!</v>
      </c>
      <c r="BJ332" s="219" t="e">
        <f>BJ67/-BJ68</f>
        <v>#DIV/0!</v>
      </c>
      <c r="BL332" s="219" t="e">
        <f>BL67/-BL68</f>
        <v>#DIV/0!</v>
      </c>
      <c r="BM332" s="219" t="e">
        <f>BM67/-BM68</f>
        <v>#DIV/0!</v>
      </c>
      <c r="BN332" s="219" t="e">
        <f>BN67/-BN68</f>
        <v>#DIV/0!</v>
      </c>
      <c r="BO332" s="219" t="e">
        <f>BO67/-BO68</f>
        <v>#DIV/0!</v>
      </c>
      <c r="BQ332" s="219" t="e">
        <f>BQ67/-BQ68</f>
        <v>#DIV/0!</v>
      </c>
      <c r="BR332" s="219" t="e">
        <f>BR67/-BR68</f>
        <v>#DIV/0!</v>
      </c>
      <c r="BS332" s="219" t="e">
        <f>BS67/-BS68</f>
        <v>#DIV/0!</v>
      </c>
      <c r="BT332" s="219" t="e">
        <f>BT67/-BT68</f>
        <v>#DIV/0!</v>
      </c>
      <c r="BV332" s="219" t="e">
        <f>BV67/-BV68</f>
        <v>#DIV/0!</v>
      </c>
      <c r="BW332" s="219" t="e">
        <f>BW67/-BW68</f>
        <v>#DIV/0!</v>
      </c>
      <c r="BX332" s="219" t="e">
        <f>BX67/-BX68</f>
        <v>#DIV/0!</v>
      </c>
      <c r="BY332" s="219" t="e">
        <f>BY67/-BY68</f>
        <v>#DIV/0!</v>
      </c>
      <c r="CA332" s="219" t="e">
        <f>CA67/-CA68</f>
        <v>#DIV/0!</v>
      </c>
      <c r="CB332" s="219" t="e">
        <f>CB67/-CB68</f>
        <v>#DIV/0!</v>
      </c>
      <c r="CC332" s="219" t="e">
        <f>CC67/-CC68</f>
        <v>#DIV/0!</v>
      </c>
      <c r="CD332" s="219" t="e">
        <f>CD67/-CD68</f>
        <v>#DIV/0!</v>
      </c>
      <c r="CF332" s="219" t="e">
        <f>CF67/-CF68</f>
        <v>#DIV/0!</v>
      </c>
      <c r="CG332" s="219" t="e">
        <f>CG67/-CG68</f>
        <v>#DIV/0!</v>
      </c>
      <c r="CH332" s="219" t="e">
        <f>CH67/-CH68</f>
        <v>#DIV/0!</v>
      </c>
      <c r="CI332" s="219" t="e">
        <f>CI67/-CI68</f>
        <v>#DIV/0!</v>
      </c>
      <c r="CK332" s="219" t="e">
        <f>CK67/-CK68</f>
        <v>#DIV/0!</v>
      </c>
      <c r="CL332" s="219" t="e">
        <f>CL67/-CL68</f>
        <v>#DIV/0!</v>
      </c>
      <c r="CM332" s="219" t="e">
        <f>CM67/-CM68</f>
        <v>#DIV/0!</v>
      </c>
      <c r="CN332" s="219" t="e">
        <f>CN67/-CN68</f>
        <v>#DIV/0!</v>
      </c>
      <c r="CP332" s="219" t="e">
        <f>CP67/-CP68</f>
        <v>#DIV/0!</v>
      </c>
      <c r="CQ332" s="219" t="e">
        <f>CQ67/-CQ68</f>
        <v>#DIV/0!</v>
      </c>
      <c r="CR332" s="219" t="e">
        <f>CR67/-CR68</f>
        <v>#DIV/0!</v>
      </c>
      <c r="CS332" s="219" t="e">
        <f>CS67/-CS68</f>
        <v>#DIV/0!</v>
      </c>
      <c r="CU332" s="219" t="e">
        <f>CU67/-CU68</f>
        <v>#DIV/0!</v>
      </c>
      <c r="CV332" s="219" t="e">
        <f>CV67/-CV68</f>
        <v>#DIV/0!</v>
      </c>
      <c r="CW332" s="219" t="e">
        <f>CW67/-CW68</f>
        <v>#DIV/0!</v>
      </c>
      <c r="CX332" s="219" t="e">
        <f>CX67/-CX68</f>
        <v>#DIV/0!</v>
      </c>
    </row>
    <row r="333" customFormat="1" s="233">
      <c r="A333" s="224" t="n"/>
      <c r="B333" s="224" t="n"/>
    </row>
    <row r="334" customFormat="1" s="233">
      <c r="A334" s="224" t="n"/>
      <c r="B334" s="224" t="n"/>
      <c r="C334" s="234" t="inlineStr">
        <is>
          <t>INTERNAL LIQUIDITY</t>
        </is>
      </c>
    </row>
    <row r="335" customFormat="1" s="233">
      <c r="A335" s="224" t="n"/>
      <c r="B335" s="224" t="n"/>
      <c r="C335" s="233" t="inlineStr">
        <is>
          <t>CURRENT RATIO</t>
        </is>
      </c>
      <c r="D335" s="219">
        <f>SUM(D138,D139,D143,D147,D148,D149)/SUM(D192,D196,D198,D199)</f>
        <v>1.2425329551143</v>
      </c>
      <c r="E335" s="219">
        <f>SUM(E138,E139,E143,E147,E148,E149)/SUM(E192,E196,E198,E199)</f>
        <v>1.24987775061125</v>
      </c>
      <c r="F335" s="219">
        <f>SUM(F138,F139,F143,F147,F148,F149)/SUM(F192,F196,F198,F199)</f>
        <v>1.63464140730717</v>
      </c>
      <c r="G335" s="219">
        <f>SUM(G138,G139,G143,G147,G148,G149)/SUM(G192,G196,G198,G199)</f>
        <v>1.87514037057833</v>
      </c>
      <c r="I335" s="219">
        <f>SUM(I138,I139,I143,I147,I148,I149)/SUM(I192,I196,I198,I199)</f>
        <v>1.66061705989111</v>
      </c>
      <c r="J335" s="219">
        <f>SUM(J138,J139,J143,J147,J148,J149)/SUM(J192,J196,J198,J199)</f>
        <v>1.50833791460509</v>
      </c>
      <c r="K335" s="219">
        <f>SUM(K138,K139,K143,K147,K148,K149)/SUM(K192,K196,K198,K199)</f>
        <v>1.38507561907928</v>
      </c>
      <c r="L335" s="219">
        <f>SUM(L138,L139,L143,L147,L148,L149)/SUM(L192,L196,L198,L199)</f>
        <v>1.37528546054301</v>
      </c>
      <c r="N335" s="219">
        <f>SUM(N138,N139,N143,N147,N148,N149)/SUM(N192,N196,N198,N199)</f>
        <v>1.35399673735726</v>
      </c>
      <c r="O335" s="219">
        <f>SUM(O138,O139,O143,O147,O148,O149)/SUM(O192,O196,O198,O199)</f>
        <v>1.43082351862884</v>
      </c>
      <c r="P335" s="219">
        <f>SUM(P138,P139,P143,P147,P148,P149)/SUM(P192,P196,P198,P199)</f>
        <v>1.46235423184755</v>
      </c>
      <c r="Q335" s="219">
        <f>SUM(Q138,Q139,Q143,Q147,Q148,Q149)/SUM(Q192,Q196,Q198,Q199)</f>
        <v>1.53195552061103</v>
      </c>
      <c r="S335" s="219">
        <f>SUM(S138,S139,S143,S147,S148,S149)/SUM(S192,S196,S198,S199)</f>
        <v>1.56717451523546</v>
      </c>
      <c r="T335" s="219">
        <f>SUM(T138,T139,T143,T147,T148,T149)/SUM(T192,T196,T198,T199)</f>
        <v>1.59013482168745</v>
      </c>
      <c r="U335" s="219">
        <f>SUM(U138,U139,U143,U147,U148,U149)/SUM(U192,U196,U198,U199)</f>
        <v>1.69016516516517</v>
      </c>
      <c r="V335" s="219">
        <f>SUM(V138,V139,V143,V147,V148,V149)/SUM(V192,V196,V198,V199)</f>
        <v>1.96010157228329</v>
      </c>
      <c r="X335" s="219">
        <f>SUM(X138,X139,X143,X147,X148,X149)/SUM(X192,X196,X198,X199)</f>
        <v>1.94560825722337</v>
      </c>
      <c r="Y335" s="219">
        <f>SUM(Y138,Y139,Y143,Y147,Y148,Y149)/SUM(Y192,Y196,Y198,Y199)</f>
        <v>2.15186267085001</v>
      </c>
      <c r="Z335" s="219">
        <f>SUM(Z138,Z139,Z143,Z147,Z148,Z149)/SUM(Z192,Z196,Z198,Z199)</f>
        <v>2.05595709193184</v>
      </c>
      <c r="AA335" s="219">
        <f>SUM(AA138,AA139,AA143,AA147,AA148,AA149)/SUM(AA192,AA196,AA198,AA199)</f>
        <v>2.25127511189758</v>
      </c>
      <c r="AC335" s="219">
        <f>SUM(AC138,AC139,AC143,AC147,AC148,AC149)/SUM(AC192,AC196,AC198,AC199)</f>
        <v>2.22081806876618</v>
      </c>
      <c r="AD335" s="219">
        <f>SUM(AD138,AD139,AD143,AD147,AD148,AD149)/SUM(AD192,AD196,AD198,AD199)</f>
        <v>2.26119701412957</v>
      </c>
      <c r="AE335" s="219">
        <f>SUM(AE138,AE139,AE143,AE147,AE148,AE149)/SUM(AE192,AE196,AE198,AE199)</f>
        <v>2.27836369447108</v>
      </c>
      <c r="AF335" s="219">
        <f>SUM(AF138,AF139,AF143,AF147,AF148,AF149)/SUM(AF192,AF196,AF198,AF199)</f>
        <v>2.38276470959198</v>
      </c>
      <c r="AH335" s="219">
        <f>SUM(AH138,AH139,AH143,AH147,AH148,AH149)/SUM(AH192,AH196,AH198,AH199)</f>
        <v>2.24992676782471</v>
      </c>
      <c r="AI335" s="219">
        <f>SUM(AI138,AI139,AI143,AI147,AI148,AI149)/SUM(AI192,AI196,AI198,AI199)</f>
        <v>2.14517995765702</v>
      </c>
      <c r="AJ335" s="219">
        <f>SUM(AJ138,AJ139,AJ143,AJ147,AJ148,AJ149)/SUM(AJ192,AJ196,AJ198,AJ199)</f>
        <v>3.01318342371026</v>
      </c>
      <c r="AK335" s="219">
        <f>SUM(AK138,AK139,AK143,AK147,AK148,AK149)/SUM(AK192,AK196,AK198,AK199)</f>
        <v>3.06352917765285</v>
      </c>
      <c r="AM335" s="219" t="e">
        <f>SUM(AM138,AM139,AM143,AM147,AM148,AM149)/SUM(AM192,AM196,AM198,AM199)</f>
        <v>#DIV/0!</v>
      </c>
      <c r="AN335" s="219" t="e">
        <f>SUM(AN138,AN139,AN143,AN147,AN148,AN149)/SUM(AN192,AN196,AN198,AN199)</f>
        <v>#DIV/0!</v>
      </c>
      <c r="AO335" s="219" t="e">
        <f>SUM(AO138,AO139,AO143,AO147,AO148,AO149)/SUM(AO192,AO196,AO198,AO199)</f>
        <v>#DIV/0!</v>
      </c>
      <c r="AP335" s="219" t="e">
        <f>SUM(AP138,AP139,AP143,AP147,AP148,AP149)/SUM(AP192,AP196,AP198,AP199)</f>
        <v>#DIV/0!</v>
      </c>
      <c r="AR335" s="219" t="e">
        <f>SUM(AR138,AR139,AR143,AR147,AR148,AR149)/SUM(AR192,AR196,AR198,AR199)</f>
        <v>#DIV/0!</v>
      </c>
      <c r="AS335" s="219" t="e">
        <f>SUM(AS138,AS139,AS143,AS147,AS148,AS149)/SUM(AS192,AS196,AS198,AS199)</f>
        <v>#DIV/0!</v>
      </c>
      <c r="AT335" s="219" t="e">
        <f>SUM(AT138,AT139,AT143,AT147,AT148,AT149)/SUM(AT192,AT196,AT198,AT199)</f>
        <v>#DIV/0!</v>
      </c>
      <c r="AU335" s="219" t="e">
        <f>SUM(AU138,AU139,AU143,AU147,AU148,AU149)/SUM(AU192,AU196,AU198,AU199)</f>
        <v>#DIV/0!</v>
      </c>
      <c r="AW335" s="219" t="e">
        <f>SUM(AW138,AW139,AW143,AW147,AW148,AW149)/SUM(AW192,AW196,AW198,AW199)</f>
        <v>#DIV/0!</v>
      </c>
      <c r="AX335" s="219" t="e">
        <f>SUM(AX138,AX139,AX143,AX147,AX148,AX149)/SUM(AX192,AX196,AX198,AX199)</f>
        <v>#DIV/0!</v>
      </c>
      <c r="AY335" s="219" t="e">
        <f>SUM(AY138,AY139,AY143,AY147,AY148,AY149)/SUM(AY192,AY196,AY198,AY199)</f>
        <v>#DIV/0!</v>
      </c>
      <c r="AZ335" s="219" t="e">
        <f>SUM(AZ138,AZ139,AZ143,AZ147,AZ148,AZ149)/SUM(AZ192,AZ196,AZ198,AZ199)</f>
        <v>#DIV/0!</v>
      </c>
      <c r="BB335" s="219" t="e">
        <f>SUM(BB138,BB139,BB143,BB147,BB148,BB149)/SUM(BB192,BB196,BB198,BB199)</f>
        <v>#DIV/0!</v>
      </c>
      <c r="BC335" s="219" t="e">
        <f>SUM(BC138,BC139,BC143,BC147,BC148,BC149)/SUM(BC192,BC196,BC198,BC199)</f>
        <v>#DIV/0!</v>
      </c>
      <c r="BD335" s="219" t="e">
        <f>SUM(BD138,BD139,BD143,BD147,BD148,BD149)/SUM(BD192,BD196,BD198,BD199)</f>
        <v>#DIV/0!</v>
      </c>
      <c r="BE335" s="219" t="e">
        <f>SUM(BE138,BE139,BE143,BE147,BE148,BE149)/SUM(BE192,BE196,BE198,BE199)</f>
        <v>#DIV/0!</v>
      </c>
      <c r="BG335" s="219" t="e">
        <f>SUM(BG138,BG139,BG143,BG147,BG148,BG149)/SUM(BG192,BG196,BG198,BG199)</f>
        <v>#DIV/0!</v>
      </c>
      <c r="BH335" s="219" t="e">
        <f>SUM(BH138,BH139,BH143,BH147,BH148,BH149)/SUM(BH192,BH196,BH198,BH199)</f>
        <v>#DIV/0!</v>
      </c>
      <c r="BI335" s="219" t="e">
        <f>SUM(BI138,BI139,BI143,BI147,BI148,BI149)/SUM(BI192,BI196,BI198,BI199)</f>
        <v>#DIV/0!</v>
      </c>
      <c r="BJ335" s="219" t="e">
        <f>SUM(BJ138,BJ139,BJ143,BJ147,BJ148,BJ149)/SUM(BJ192,BJ196,BJ198,BJ199)</f>
        <v>#DIV/0!</v>
      </c>
      <c r="BL335" s="219" t="e">
        <f>SUM(BL138,BL139,BL143,BL147,BL148,BL149)/SUM(BL192,BL196,BL198,BL199)</f>
        <v>#DIV/0!</v>
      </c>
      <c r="BM335" s="219" t="e">
        <f>SUM(BM138,BM139,BM143,BM147,BM148,BM149)/SUM(BM192,BM196,BM198,BM199)</f>
        <v>#DIV/0!</v>
      </c>
      <c r="BN335" s="219" t="e">
        <f>SUM(BN138,BN139,BN143,BN147,BN148,BN149)/SUM(BN192,BN196,BN198,BN199)</f>
        <v>#DIV/0!</v>
      </c>
      <c r="BO335" s="219" t="e">
        <f>SUM(BO138,BO139,BO143,BO147,BO148,BO149)/SUM(BO192,BO196,BO198,BO199)</f>
        <v>#DIV/0!</v>
      </c>
      <c r="BQ335" s="219" t="e">
        <f>SUM(BQ138,BQ139,BQ143,BQ147,BQ148,BQ149)/SUM(BQ192,BQ196,BQ198,BQ199)</f>
        <v>#DIV/0!</v>
      </c>
      <c r="BR335" s="219" t="e">
        <f>SUM(BR138,BR139,BR143,BR147,BR148,BR149)/SUM(BR192,BR196,BR198,BR199)</f>
        <v>#DIV/0!</v>
      </c>
      <c r="BS335" s="219" t="e">
        <f>SUM(BS138,BS139,BS143,BS147,BS148,BS149)/SUM(BS192,BS196,BS198,BS199)</f>
        <v>#DIV/0!</v>
      </c>
      <c r="BT335" s="219" t="e">
        <f>SUM(BT138,BT139,BT143,BT147,BT148,BT149)/SUM(BT192,BT196,BT198,BT199)</f>
        <v>#DIV/0!</v>
      </c>
      <c r="BV335" s="219" t="e">
        <f>SUM(BV138,BV139,BV143,BV147,BV148,BV149)/SUM(BV192,BV196,BV198,BV199)</f>
        <v>#DIV/0!</v>
      </c>
      <c r="BW335" s="219" t="e">
        <f>SUM(BW138,BW139,BW143,BW147,BW148,BW149)/SUM(BW192,BW196,BW198,BW199)</f>
        <v>#DIV/0!</v>
      </c>
      <c r="BX335" s="219" t="e">
        <f>SUM(BX138,BX139,BX143,BX147,BX148,BX149)/SUM(BX192,BX196,BX198,BX199)</f>
        <v>#DIV/0!</v>
      </c>
      <c r="BY335" s="219" t="e">
        <f>SUM(BY138,BY139,BY143,BY147,BY148,BY149)/SUM(BY192,BY196,BY198,BY199)</f>
        <v>#DIV/0!</v>
      </c>
      <c r="CA335" s="219" t="e">
        <f>SUM(CA138,CA139,CA143,CA147,CA148,CA149)/SUM(CA192,CA196,CA198,CA199)</f>
        <v>#DIV/0!</v>
      </c>
      <c r="CB335" s="219" t="e">
        <f>SUM(CB138,CB139,CB143,CB147,CB148,CB149)/SUM(CB192,CB196,CB198,CB199)</f>
        <v>#DIV/0!</v>
      </c>
      <c r="CC335" s="219" t="e">
        <f>SUM(CC138,CC139,CC143,CC147,CC148,CC149)/SUM(CC192,CC196,CC198,CC199)</f>
        <v>#DIV/0!</v>
      </c>
      <c r="CD335" s="219" t="e">
        <f>SUM(CD138,CD139,CD143,CD147,CD148,CD149)/SUM(CD192,CD196,CD198,CD199)</f>
        <v>#DIV/0!</v>
      </c>
      <c r="CF335" s="219" t="e">
        <f>SUM(CF138,CF139,CF143,CF147,CF148,CF149)/SUM(CF192,CF196,CF198,CF199)</f>
        <v>#DIV/0!</v>
      </c>
      <c r="CG335" s="219" t="e">
        <f>SUM(CG138,CG139,CG143,CG147,CG148,CG149)/SUM(CG192,CG196,CG198,CG199)</f>
        <v>#DIV/0!</v>
      </c>
      <c r="CH335" s="219" t="e">
        <f>SUM(CH138,CH139,CH143,CH147,CH148,CH149)/SUM(CH192,CH196,CH198,CH199)</f>
        <v>#DIV/0!</v>
      </c>
      <c r="CI335" s="219" t="e">
        <f>SUM(CI138,CI139,CI143,CI147,CI148,CI149)/SUM(CI192,CI196,CI198,CI199)</f>
        <v>#DIV/0!</v>
      </c>
      <c r="CK335" s="219" t="e">
        <f>SUM(CK138,CK139,CK143,CK147,CK148,CK149)/SUM(CK192,CK196,CK198,CK199)</f>
        <v>#DIV/0!</v>
      </c>
      <c r="CL335" s="219" t="e">
        <f>SUM(CL138,CL139,CL143,CL147,CL148,CL149)/SUM(CL192,CL196,CL198,CL199)</f>
        <v>#DIV/0!</v>
      </c>
      <c r="CM335" s="219" t="e">
        <f>SUM(CM138,CM139,CM143,CM147,CM148,CM149)/SUM(CM192,CM196,CM198,CM199)</f>
        <v>#DIV/0!</v>
      </c>
      <c r="CN335" s="219" t="e">
        <f>SUM(CN138,CN139,CN143,CN147,CN148,CN149)/SUM(CN192,CN196,CN198,CN199)</f>
        <v>#DIV/0!</v>
      </c>
      <c r="CP335" s="219" t="e">
        <f>SUM(CP138,CP139,CP143,CP147,CP148,CP149)/SUM(CP192,CP196,CP198,CP199)</f>
        <v>#DIV/0!</v>
      </c>
      <c r="CQ335" s="219" t="e">
        <f>SUM(CQ138,CQ139,CQ143,CQ147,CQ148,CQ149)/SUM(CQ192,CQ196,CQ198,CQ199)</f>
        <v>#DIV/0!</v>
      </c>
      <c r="CR335" s="219" t="e">
        <f>SUM(CR138,CR139,CR143,CR147,CR148,CR149)/SUM(CR192,CR196,CR198,CR199)</f>
        <v>#DIV/0!</v>
      </c>
      <c r="CS335" s="219" t="e">
        <f>SUM(CS138,CS139,CS143,CS147,CS148,CS149)/SUM(CS192,CS196,CS198,CS199)</f>
        <v>#DIV/0!</v>
      </c>
      <c r="CU335" s="219" t="e">
        <f>SUM(CU138,CU139,CU143,CU147,CU148,CU149)/SUM(CU192,CU196,CU198,CU199)</f>
        <v>#DIV/0!</v>
      </c>
      <c r="CV335" s="219" t="e">
        <f>SUM(CV138,CV139,CV143,CV147,CV148,CV149)/SUM(CV192,CV196,CV198,CV199)</f>
        <v>#DIV/0!</v>
      </c>
      <c r="CW335" s="219" t="e">
        <f>SUM(CW138,CW139,CW143,CW147,CW148,CW149)/SUM(CW192,CW196,CW198,CW199)</f>
        <v>#DIV/0!</v>
      </c>
      <c r="CX335" s="219" t="e">
        <f>SUM(CX138,CX139,CX143,CX147,CX148,CX149)/SUM(CX192,CX196,CX198,CX199)</f>
        <v>#DIV/0!</v>
      </c>
    </row>
    <row r="336" customFormat="1" s="233">
      <c r="A336" s="224" t="n"/>
      <c r="B336" s="224" t="n"/>
      <c r="C336" s="233" t="inlineStr">
        <is>
          <t>CASH RATIO</t>
        </is>
      </c>
      <c r="D336" s="219">
        <f>SUM(D138)/SUM(D192,D196,D198,D199)</f>
        <v>0.674119806440848</v>
      </c>
      <c r="E336" s="219">
        <f>SUM(E138)/SUM(E192,E196,E198,E199)</f>
        <v>0.702118989405053</v>
      </c>
      <c r="F336" s="219">
        <f>SUM(F138)/SUM(F192,F196,F198,F199)</f>
        <v>1.09239212148549</v>
      </c>
      <c r="G336" s="219">
        <f>SUM(G138)/SUM(G192,G196,G198,G199)</f>
        <v>1.36047164514318</v>
      </c>
      <c r="I336" s="219">
        <f>SUM(I138)/SUM(I192,I196,I198,I199)</f>
        <v>1.15218121933185</v>
      </c>
      <c r="J336" s="219">
        <f>SUM(J138)/SUM(J192,J196,J198,J199)</f>
        <v>0.991326125465763</v>
      </c>
      <c r="K336" s="219">
        <f>SUM(K138)/SUM(K192,K196,K198,K199)</f>
        <v>0.891640352335051</v>
      </c>
      <c r="L336" s="219">
        <f>SUM(L138)/SUM(L192,L196,L198,L199)</f>
        <v>0.898604415123065</v>
      </c>
      <c r="N336" s="219">
        <f>SUM(N138)/SUM(N192,N196,N198,N199)</f>
        <v>0.839571195525519</v>
      </c>
      <c r="O336" s="219">
        <f>SUM(O138)/SUM(O192,O196,O198,O199)</f>
        <v>0.866825535035058</v>
      </c>
      <c r="P336" s="219">
        <f>SUM(P138)/SUM(P192,P196,P198,P199)</f>
        <v>0.857624639388891</v>
      </c>
      <c r="Q336" s="219">
        <f>SUM(Q138)/SUM(Q192,Q196,Q198,Q199)</f>
        <v>0.830618892508143</v>
      </c>
      <c r="S336" s="219">
        <f>SUM(S138)/SUM(S192,S196,S198,S199)</f>
        <v>0.816518442921709</v>
      </c>
      <c r="T336" s="219">
        <f>SUM(T138)/SUM(T192,T196,T198,T199)</f>
        <v>0.836293128443027</v>
      </c>
      <c r="U336" s="219">
        <f>SUM(U138)/SUM(U192,U196,U198,U199)</f>
        <v>0.978866366366366</v>
      </c>
      <c r="V336" s="219">
        <f>SUM(V138)/SUM(V192,V196,V198,V199)</f>
        <v>1.01203561986921</v>
      </c>
      <c r="X336" s="219">
        <f>SUM(X138)/SUM(X192,X196,X198,X199)</f>
        <v>0.912063287271246</v>
      </c>
      <c r="Y336" s="219">
        <f>SUM(Y138)/SUM(Y192,Y196,Y198,Y199)</f>
        <v>1.10786541166288</v>
      </c>
      <c r="Z336" s="219">
        <f>SUM(Z138)/SUM(Z192,Z196,Z198,Z199)</f>
        <v>1.1004349674592</v>
      </c>
      <c r="AA336" s="219">
        <f>SUM(AA138)/SUM(AA192,AA196,AA198,AA199)</f>
        <v>1.26862357308907</v>
      </c>
      <c r="AC336" s="219">
        <f>SUM(AC138)/SUM(AC192,AC196,AC198,AC199)</f>
        <v>1.24343763654085</v>
      </c>
      <c r="AD336" s="219">
        <f>SUM(AD138)/SUM(AD192,AD196,AD198,AD199)</f>
        <v>1.22573980271928</v>
      </c>
      <c r="AE336" s="219">
        <f>SUM(AE138)/SUM(AE192,AE196,AE198,AE199)</f>
        <v>1.33100031959092</v>
      </c>
      <c r="AF336" s="219">
        <f>SUM(AF138)/SUM(AF192,AF196,AF198,AF199)</f>
        <v>1.38926026360598</v>
      </c>
      <c r="AH336" s="219">
        <f>SUM(AH138)/SUM(AH192,AH196,AH198,AH199)</f>
        <v>1.31065088757396</v>
      </c>
      <c r="AI336" s="219">
        <f>SUM(AI138)/SUM(AI192,AI196,AI198,AI199)</f>
        <v>1.22862385321101</v>
      </c>
      <c r="AJ336" s="219">
        <f>SUM(AJ138)/SUM(AJ192,AJ196,AJ198,AJ199)</f>
        <v>2.2853589373663</v>
      </c>
      <c r="AK336" s="219">
        <f>SUM(AK138)/SUM(AK192,AK196,AK198,AK199)</f>
        <v>2.33570469130889</v>
      </c>
      <c r="AM336" s="219" t="e">
        <f>SUM(AM138)/SUM(AM192,AM196,AM198,AM199)</f>
        <v>#DIV/0!</v>
      </c>
      <c r="AN336" s="219" t="e">
        <f>SUM(AN138)/SUM(AN192,AN196,AN198,AN199)</f>
        <v>#DIV/0!</v>
      </c>
      <c r="AO336" s="219" t="e">
        <f>SUM(AO138)/SUM(AO192,AO196,AO198,AO199)</f>
        <v>#DIV/0!</v>
      </c>
      <c r="AP336" s="219" t="e">
        <f>SUM(AP138)/SUM(AP192,AP196,AP198,AP199)</f>
        <v>#DIV/0!</v>
      </c>
      <c r="AR336" s="219" t="e">
        <f>SUM(AR138)/SUM(AR192,AR196,AR198,AR199)</f>
        <v>#DIV/0!</v>
      </c>
      <c r="AS336" s="219" t="e">
        <f>SUM(AS138)/SUM(AS192,AS196,AS198,AS199)</f>
        <v>#DIV/0!</v>
      </c>
      <c r="AT336" s="219" t="e">
        <f>SUM(AT138)/SUM(AT192,AT196,AT198,AT199)</f>
        <v>#DIV/0!</v>
      </c>
      <c r="AU336" s="219" t="e">
        <f>SUM(AU138)/SUM(AU192,AU196,AU198,AU199)</f>
        <v>#DIV/0!</v>
      </c>
      <c r="AW336" s="219" t="e">
        <f>SUM(AW138)/SUM(AW192,AW196,AW198,AW199)</f>
        <v>#DIV/0!</v>
      </c>
      <c r="AX336" s="219" t="e">
        <f>SUM(AX138)/SUM(AX192,AX196,AX198,AX199)</f>
        <v>#DIV/0!</v>
      </c>
      <c r="AY336" s="219" t="e">
        <f>SUM(AY138)/SUM(AY192,AY196,AY198,AY199)</f>
        <v>#DIV/0!</v>
      </c>
      <c r="AZ336" s="219" t="e">
        <f>SUM(AZ138)/SUM(AZ192,AZ196,AZ198,AZ199)</f>
        <v>#DIV/0!</v>
      </c>
      <c r="BB336" s="219" t="e">
        <f>SUM(BB138)/SUM(BB192,BB196,BB198,BB199)</f>
        <v>#DIV/0!</v>
      </c>
      <c r="BC336" s="219" t="e">
        <f>SUM(BC138)/SUM(BC192,BC196,BC198,BC199)</f>
        <v>#DIV/0!</v>
      </c>
      <c r="BD336" s="219" t="e">
        <f>SUM(BD138)/SUM(BD192,BD196,BD198,BD199)</f>
        <v>#DIV/0!</v>
      </c>
      <c r="BE336" s="219" t="e">
        <f>SUM(BE138)/SUM(BE192,BE196,BE198,BE199)</f>
        <v>#DIV/0!</v>
      </c>
      <c r="BG336" s="219" t="e">
        <f>SUM(BG138)/SUM(BG192,BG196,BG198,BG199)</f>
        <v>#DIV/0!</v>
      </c>
      <c r="BH336" s="219" t="e">
        <f>SUM(BH138)/SUM(BH192,BH196,BH198,BH199)</f>
        <v>#DIV/0!</v>
      </c>
      <c r="BI336" s="219" t="e">
        <f>SUM(BI138)/SUM(BI192,BI196,BI198,BI199)</f>
        <v>#DIV/0!</v>
      </c>
      <c r="BJ336" s="219" t="e">
        <f>SUM(BJ138)/SUM(BJ192,BJ196,BJ198,BJ199)</f>
        <v>#DIV/0!</v>
      </c>
      <c r="BL336" s="219" t="e">
        <f>SUM(BL138)/SUM(BL192,BL196,BL198,BL199)</f>
        <v>#DIV/0!</v>
      </c>
      <c r="BM336" s="219" t="e">
        <f>SUM(BM138)/SUM(BM192,BM196,BM198,BM199)</f>
        <v>#DIV/0!</v>
      </c>
      <c r="BN336" s="219" t="e">
        <f>SUM(BN138)/SUM(BN192,BN196,BN198,BN199)</f>
        <v>#DIV/0!</v>
      </c>
      <c r="BO336" s="219" t="e">
        <f>SUM(BO138)/SUM(BO192,BO196,BO198,BO199)</f>
        <v>#DIV/0!</v>
      </c>
      <c r="BQ336" s="219" t="e">
        <f>SUM(BQ138)/SUM(BQ192,BQ196,BQ198,BQ199)</f>
        <v>#DIV/0!</v>
      </c>
      <c r="BR336" s="219" t="e">
        <f>SUM(BR138)/SUM(BR192,BR196,BR198,BR199)</f>
        <v>#DIV/0!</v>
      </c>
      <c r="BS336" s="219" t="e">
        <f>SUM(BS138)/SUM(BS192,BS196,BS198,BS199)</f>
        <v>#DIV/0!</v>
      </c>
      <c r="BT336" s="219" t="e">
        <f>SUM(BT138)/SUM(BT192,BT196,BT198,BT199)</f>
        <v>#DIV/0!</v>
      </c>
      <c r="BV336" s="219" t="e">
        <f>SUM(BV138)/SUM(BV192,BV196,BV198,BV199)</f>
        <v>#DIV/0!</v>
      </c>
      <c r="BW336" s="219" t="e">
        <f>SUM(BW138)/SUM(BW192,BW196,BW198,BW199)</f>
        <v>#DIV/0!</v>
      </c>
      <c r="BX336" s="219" t="e">
        <f>SUM(BX138)/SUM(BX192,BX196,BX198,BX199)</f>
        <v>#DIV/0!</v>
      </c>
      <c r="BY336" s="219" t="e">
        <f>SUM(BY138)/SUM(BY192,BY196,BY198,BY199)</f>
        <v>#DIV/0!</v>
      </c>
      <c r="CA336" s="219" t="e">
        <f>SUM(CA138)/SUM(CA192,CA196,CA198,CA199)</f>
        <v>#DIV/0!</v>
      </c>
      <c r="CB336" s="219" t="e">
        <f>SUM(CB138)/SUM(CB192,CB196,CB198,CB199)</f>
        <v>#DIV/0!</v>
      </c>
      <c r="CC336" s="219" t="e">
        <f>SUM(CC138)/SUM(CC192,CC196,CC198,CC199)</f>
        <v>#DIV/0!</v>
      </c>
      <c r="CD336" s="219" t="e">
        <f>SUM(CD138)/SUM(CD192,CD196,CD198,CD199)</f>
        <v>#DIV/0!</v>
      </c>
      <c r="CF336" s="219" t="e">
        <f>SUM(CF138)/SUM(CF192,CF196,CF198,CF199)</f>
        <v>#DIV/0!</v>
      </c>
      <c r="CG336" s="219" t="e">
        <f>SUM(CG138)/SUM(CG192,CG196,CG198,CG199)</f>
        <v>#DIV/0!</v>
      </c>
      <c r="CH336" s="219" t="e">
        <f>SUM(CH138)/SUM(CH192,CH196,CH198,CH199)</f>
        <v>#DIV/0!</v>
      </c>
      <c r="CI336" s="219" t="e">
        <f>SUM(CI138)/SUM(CI192,CI196,CI198,CI199)</f>
        <v>#DIV/0!</v>
      </c>
      <c r="CK336" s="219" t="e">
        <f>SUM(CK138)/SUM(CK192,CK196,CK198,CK199)</f>
        <v>#DIV/0!</v>
      </c>
      <c r="CL336" s="219" t="e">
        <f>SUM(CL138)/SUM(CL192,CL196,CL198,CL199)</f>
        <v>#DIV/0!</v>
      </c>
      <c r="CM336" s="219" t="e">
        <f>SUM(CM138)/SUM(CM192,CM196,CM198,CM199)</f>
        <v>#DIV/0!</v>
      </c>
      <c r="CN336" s="219" t="e">
        <f>SUM(CN138)/SUM(CN192,CN196,CN198,CN199)</f>
        <v>#DIV/0!</v>
      </c>
      <c r="CP336" s="219" t="e">
        <f>SUM(CP138)/SUM(CP192,CP196,CP198,CP199)</f>
        <v>#DIV/0!</v>
      </c>
      <c r="CQ336" s="219" t="e">
        <f>SUM(CQ138)/SUM(CQ192,CQ196,CQ198,CQ199)</f>
        <v>#DIV/0!</v>
      </c>
      <c r="CR336" s="219" t="e">
        <f>SUM(CR138)/SUM(CR192,CR196,CR198,CR199)</f>
        <v>#DIV/0!</v>
      </c>
      <c r="CS336" s="219" t="e">
        <f>SUM(CS138)/SUM(CS192,CS196,CS198,CS199)</f>
        <v>#DIV/0!</v>
      </c>
      <c r="CU336" s="219" t="e">
        <f>SUM(CU138)/SUM(CU192,CU196,CU198,CU199)</f>
        <v>#DIV/0!</v>
      </c>
      <c r="CV336" s="219" t="e">
        <f>SUM(CV138)/SUM(CV192,CV196,CV198,CV199)</f>
        <v>#DIV/0!</v>
      </c>
      <c r="CW336" s="219" t="e">
        <f>SUM(CW138)/SUM(CW192,CW196,CW198,CW199)</f>
        <v>#DIV/0!</v>
      </c>
      <c r="CX336" s="219" t="e">
        <f>SUM(CX138)/SUM(CX192,CX196,CX198,CX199)</f>
        <v>#DIV/0!</v>
      </c>
    </row>
    <row r="337" customFormat="1" s="233">
      <c r="A337" s="224" t="n"/>
      <c r="B337" s="224" t="n"/>
    </row>
    <row r="338" customFormat="1" s="233">
      <c r="A338" s="224" t="n"/>
      <c r="B338" s="224" t="n"/>
      <c r="C338" s="234" t="inlineStr">
        <is>
          <t>OPERATING EFFICIENCY</t>
        </is>
      </c>
    </row>
    <row r="339" customFormat="1" s="238">
      <c r="A339" s="222" t="n"/>
      <c r="B339" s="222" t="n"/>
      <c r="C339" s="238" t="inlineStr">
        <is>
          <t>RETURN ON CAPITAL (ROIC)</t>
        </is>
      </c>
      <c r="D339" s="238">
        <f>D341/D344</f>
        <v>0.103663003663004</v>
      </c>
      <c r="E339" s="238">
        <f>E341/E344</f>
        <v>0.101670281995662</v>
      </c>
      <c r="F339" s="238">
        <f>F341/F344</f>
        <v>0.178281629325713</v>
      </c>
      <c r="G339" s="238">
        <f>G341/G344</f>
        <v>0.103330997963736</v>
      </c>
      <c r="H339" s="238">
        <f>H341/H344</f>
        <v>0.342717979679715</v>
      </c>
      <c r="I339" s="222">
        <f>I341/I344</f>
        <v>0.0706039308429046</v>
      </c>
      <c r="J339" s="222">
        <f>J341/J344</f>
        <v>0.119280524047219</v>
      </c>
      <c r="K339" s="222">
        <f>K341/K344</f>
        <v>0.142474723930892</v>
      </c>
      <c r="L339" s="222">
        <f>L341/L344</f>
        <v>0.167442919477093</v>
      </c>
      <c r="M339" s="222">
        <f>M341/M344</f>
        <v>0.418287976381606</v>
      </c>
      <c r="N339" s="222">
        <f>N341/N344</f>
        <v>0.187385425453285</v>
      </c>
      <c r="O339" s="222">
        <f>O341/O344</f>
        <v>0.120569205443274</v>
      </c>
      <c r="P339" s="222">
        <f>P341/P344</f>
        <v>0.16878843302225</v>
      </c>
      <c r="Q339" s="222">
        <f>Q341/Q344</f>
        <v>0.153109355591187</v>
      </c>
      <c r="R339" s="222">
        <f>R341/R344</f>
        <v>0.528368335430831</v>
      </c>
      <c r="S339" s="222">
        <f>S341/S344</f>
        <v>0.090026353477328</v>
      </c>
      <c r="T339" s="222">
        <f>T341/T344</f>
        <v>0.0733557967977427</v>
      </c>
      <c r="U339" s="222">
        <f>U341/U344</f>
        <v>0.0570042644895509</v>
      </c>
      <c r="V339" s="222">
        <f>V341/V344</f>
        <v>0.216792373526007</v>
      </c>
      <c r="W339" s="222">
        <f>W341/W344</f>
        <v>0.386771747138976</v>
      </c>
      <c r="X339" s="222">
        <f>X341/X344</f>
        <v>0.0227425799629584</v>
      </c>
      <c r="Y339" s="222">
        <f>Y341/Y344</f>
        <v>0.034802427680196</v>
      </c>
      <c r="Z339" s="222">
        <f>Z341/Z344</f>
        <v>0.0574972020989705</v>
      </c>
      <c r="AA339" s="222">
        <f>AA341/AA344</f>
        <v>0.0362110291835553</v>
      </c>
      <c r="AB339" s="222">
        <f>AB341/AB344</f>
        <v>0.151685298537232</v>
      </c>
      <c r="AC339" s="222">
        <f>AC341/AC344</f>
        <v>0.00740503172745453</v>
      </c>
      <c r="AD339" s="222">
        <f>AD341/AD344</f>
        <v>0.0171732448422181</v>
      </c>
      <c r="AE339" s="222">
        <f>AE341/AE344</f>
        <v>0.029472809660154</v>
      </c>
      <c r="AF339" s="222">
        <f>AF341/AF344</f>
        <v>0.0263169757830076</v>
      </c>
      <c r="AG339" s="222">
        <f>AG341/AG344</f>
        <v>0.0819679882929078</v>
      </c>
      <c r="AH339" s="222">
        <f>AH341/AH344</f>
        <v>0.0154194688502907</v>
      </c>
      <c r="AI339" s="222">
        <f>AI341/AI344</f>
        <v>0.0076782786469938</v>
      </c>
      <c r="AJ339" s="222">
        <f>AJ341/AJ344</f>
        <v>0</v>
      </c>
      <c r="AK339" s="222">
        <f>AK341/AK344</f>
        <v>0</v>
      </c>
      <c r="AL339" s="222">
        <f>AL341/AL344</f>
        <v>0.0273326510800515</v>
      </c>
      <c r="AM339" s="222" t="e">
        <f>AM341/AM344</f>
        <v>#DIV/0!</v>
      </c>
      <c r="AN339" s="222">
        <f>AN341/AN344</f>
        <v>0</v>
      </c>
      <c r="AO339" s="222" t="e">
        <f>AO341/AO344</f>
        <v>#DIV/0!</v>
      </c>
      <c r="AP339" s="222" t="e">
        <f>AP341/AP344</f>
        <v>#DIV/0!</v>
      </c>
      <c r="AQ339" s="222" t="e">
        <f>AQ341/AQ344</f>
        <v>#DIV/0!</v>
      </c>
      <c r="AR339" s="222" t="e">
        <f>AR341/AR344</f>
        <v>#DIV/0!</v>
      </c>
      <c r="AS339" s="222" t="e">
        <f>AS341/AS344</f>
        <v>#DIV/0!</v>
      </c>
      <c r="AT339" s="222" t="e">
        <f>AT341/AT344</f>
        <v>#DIV/0!</v>
      </c>
      <c r="AU339" s="222" t="e">
        <f>AU341/AU344</f>
        <v>#DIV/0!</v>
      </c>
      <c r="AV339" s="222" t="e">
        <f>AV341/AV344</f>
        <v>#DIV/0!</v>
      </c>
      <c r="AW339" s="222" t="e">
        <f>AW341/AW344</f>
        <v>#DIV/0!</v>
      </c>
      <c r="AX339" s="222" t="e">
        <f>AX341/AX344</f>
        <v>#DIV/0!</v>
      </c>
      <c r="AY339" s="222" t="e">
        <f>AY341/AY344</f>
        <v>#DIV/0!</v>
      </c>
      <c r="AZ339" s="222" t="e">
        <f>AZ341/AZ344</f>
        <v>#DIV/0!</v>
      </c>
      <c r="BA339" s="222" t="e">
        <f>BA341/BA344</f>
        <v>#DIV/0!</v>
      </c>
      <c r="BB339" s="222" t="e">
        <f>BB341/BB344</f>
        <v>#DIV/0!</v>
      </c>
      <c r="BC339" s="222" t="e">
        <f>BC341/BC344</f>
        <v>#DIV/0!</v>
      </c>
      <c r="BD339" s="222" t="e">
        <f>BD341/BD344</f>
        <v>#DIV/0!</v>
      </c>
      <c r="BE339" s="222" t="e">
        <f>BE341/BE344</f>
        <v>#DIV/0!</v>
      </c>
      <c r="BF339" s="222" t="e">
        <f>BF341/BF344</f>
        <v>#DIV/0!</v>
      </c>
      <c r="BG339" s="222" t="e">
        <f>BG341/BG344</f>
        <v>#DIV/0!</v>
      </c>
      <c r="BH339" s="222" t="e">
        <f>BH341/BH344</f>
        <v>#DIV/0!</v>
      </c>
      <c r="BI339" s="222" t="e">
        <f>BI341/BI344</f>
        <v>#DIV/0!</v>
      </c>
      <c r="BJ339" s="222" t="e">
        <f>BJ341/BJ344</f>
        <v>#DIV/0!</v>
      </c>
      <c r="BK339" s="222" t="e">
        <f>BK341/BK344</f>
        <v>#DIV/0!</v>
      </c>
      <c r="BL339" s="222" t="e">
        <f>BL341/BL344</f>
        <v>#DIV/0!</v>
      </c>
      <c r="BM339" s="222" t="e">
        <f>BM341/BM344</f>
        <v>#DIV/0!</v>
      </c>
      <c r="BN339" s="222" t="e">
        <f>BN341/BN344</f>
        <v>#DIV/0!</v>
      </c>
      <c r="BO339" s="222" t="e">
        <f>BO341/BO344</f>
        <v>#DIV/0!</v>
      </c>
      <c r="BP339" s="222" t="e">
        <f>BP341/BP344</f>
        <v>#DIV/0!</v>
      </c>
      <c r="BQ339" s="222" t="e">
        <f>BQ341/BQ344</f>
        <v>#DIV/0!</v>
      </c>
      <c r="BR339" s="222" t="e">
        <f>BR341/BR344</f>
        <v>#DIV/0!</v>
      </c>
      <c r="BS339" s="222" t="e">
        <f>BS341/BS344</f>
        <v>#DIV/0!</v>
      </c>
      <c r="BT339" s="222" t="e">
        <f>BT341/BT344</f>
        <v>#DIV/0!</v>
      </c>
      <c r="BU339" s="222" t="e">
        <f>BU341/BU344</f>
        <v>#DIV/0!</v>
      </c>
      <c r="BV339" s="222" t="e">
        <f>BV341/BV344</f>
        <v>#DIV/0!</v>
      </c>
      <c r="BW339" s="222" t="e">
        <f>BW341/BW344</f>
        <v>#DIV/0!</v>
      </c>
      <c r="BX339" s="222" t="e">
        <f>BX341/BX344</f>
        <v>#DIV/0!</v>
      </c>
      <c r="BY339" s="222" t="e">
        <f>BY341/BY344</f>
        <v>#DIV/0!</v>
      </c>
      <c r="BZ339" s="222" t="e">
        <f>BZ341/BZ344</f>
        <v>#DIV/0!</v>
      </c>
      <c r="CA339" s="222" t="e">
        <f>CA341/CA344</f>
        <v>#DIV/0!</v>
      </c>
      <c r="CB339" s="222" t="e">
        <f>CB341/CB344</f>
        <v>#DIV/0!</v>
      </c>
      <c r="CC339" s="222" t="e">
        <f>CC341/CC344</f>
        <v>#DIV/0!</v>
      </c>
      <c r="CD339" s="222" t="e">
        <f>CD341/CD344</f>
        <v>#DIV/0!</v>
      </c>
      <c r="CE339" s="222" t="e">
        <f>CE341/CE344</f>
        <v>#DIV/0!</v>
      </c>
      <c r="CF339" s="222" t="e">
        <f>CF341/CF344</f>
        <v>#DIV/0!</v>
      </c>
      <c r="CG339" s="222" t="e">
        <f>CG341/CG344</f>
        <v>#DIV/0!</v>
      </c>
      <c r="CH339" s="222" t="e">
        <f>CH341/CH344</f>
        <v>#DIV/0!</v>
      </c>
      <c r="CI339" s="222" t="e">
        <f>CI341/CI344</f>
        <v>#DIV/0!</v>
      </c>
      <c r="CJ339" s="222" t="e">
        <f>CJ341/CJ344</f>
        <v>#DIV/0!</v>
      </c>
      <c r="CK339" s="222" t="e">
        <f>CK341/CK344</f>
        <v>#DIV/0!</v>
      </c>
      <c r="CL339" s="222" t="e">
        <f>CL341/CL344</f>
        <v>#DIV/0!</v>
      </c>
      <c r="CM339" s="222" t="e">
        <f>CM341/CM344</f>
        <v>#DIV/0!</v>
      </c>
      <c r="CN339" s="222" t="e">
        <f>CN341/CN344</f>
        <v>#DIV/0!</v>
      </c>
      <c r="CO339" s="222" t="e">
        <f>CO341/CO344</f>
        <v>#DIV/0!</v>
      </c>
      <c r="CP339" s="222" t="e">
        <f>CP341/CP344</f>
        <v>#DIV/0!</v>
      </c>
      <c r="CQ339" s="222" t="e">
        <f>CQ341/CQ344</f>
        <v>#DIV/0!</v>
      </c>
      <c r="CR339" s="222" t="e">
        <f>CR341/CR344</f>
        <v>#DIV/0!</v>
      </c>
      <c r="CS339" s="222" t="e">
        <f>CS341/CS344</f>
        <v>#DIV/0!</v>
      </c>
      <c r="CT339" s="222" t="e">
        <f>CT341/CT344</f>
        <v>#DIV/0!</v>
      </c>
      <c r="CU339" s="222" t="e">
        <f>CU341/CU344</f>
        <v>#DIV/0!</v>
      </c>
      <c r="CV339" s="222" t="e">
        <f>CV341/CV344</f>
        <v>#DIV/0!</v>
      </c>
      <c r="CW339" s="222" t="e">
        <f>CW341/CW344</f>
        <v>#DIV/0!</v>
      </c>
      <c r="CX339" s="222" t="e">
        <f>CX341/CX344</f>
        <v>#DIV/0!</v>
      </c>
      <c r="CY339" s="222" t="e">
        <f>CY341/CY344</f>
        <v>#DIV/0!</v>
      </c>
    </row>
    <row r="340" customFormat="1" s="238">
      <c r="A340" s="222" t="n"/>
      <c r="B340" s="222" t="n"/>
      <c r="C340" s="238" t="inlineStr">
        <is>
          <t>RETURN ON CAPITAL (ROIC) - EX GOODWILL</t>
        </is>
      </c>
      <c r="D340" s="238">
        <f>D341/D345</f>
        <v>0.11179922151862</v>
      </c>
      <c r="E340" s="238">
        <f>E341/E345</f>
        <v>0.109424124513619</v>
      </c>
      <c r="F340" s="238">
        <f>F341/F345</f>
        <v>0.191142741889011</v>
      </c>
      <c r="G340" s="238">
        <f>G341/G345</f>
        <v>0.108498796122347</v>
      </c>
      <c r="H340" s="238">
        <f>H341/H345</f>
        <v>0.359858018769761</v>
      </c>
      <c r="I340" s="222">
        <f>I341/I345</f>
        <v>0.0726472589903672</v>
      </c>
      <c r="J340" s="222">
        <f>J341/J345</f>
        <v>0.121746804998695</v>
      </c>
      <c r="K340" s="222">
        <f>K341/K345</f>
        <v>0.144822438270137</v>
      </c>
      <c r="L340" s="222">
        <f>L341/L345</f>
        <v>0.169891631373511</v>
      </c>
      <c r="M340" s="222">
        <f>M341/M345</f>
        <v>0.424405086302367</v>
      </c>
      <c r="N340" s="222">
        <f>N341/N345</f>
        <v>0.18956521287204</v>
      </c>
      <c r="O340" s="222">
        <f>O341/O345</f>
        <v>0.121843350278928</v>
      </c>
      <c r="P340" s="222">
        <f>P341/P345</f>
        <v>0.170414509422293</v>
      </c>
      <c r="Q340" s="222">
        <f>Q341/Q345</f>
        <v>0.154372301081416</v>
      </c>
      <c r="R340" s="222">
        <f>R341/R345</f>
        <v>0.532726660915485</v>
      </c>
      <c r="S340" s="222">
        <f>S341/S345</f>
        <v>0.0906853796402561</v>
      </c>
      <c r="T340" s="222">
        <f>T341/T345</f>
        <v>0.0740246559905664</v>
      </c>
      <c r="U340" s="222">
        <f>U341/U345</f>
        <v>0.0575101955504139</v>
      </c>
      <c r="V340" s="222">
        <f>V341/V345</f>
        <v>0.218393227839884</v>
      </c>
      <c r="W340" s="222">
        <f>W341/W345</f>
        <v>0.389627775742857</v>
      </c>
      <c r="X340" s="222">
        <f>X341/X345</f>
        <v>0.022891938856245</v>
      </c>
      <c r="Y340" s="222">
        <f>Y341/Y345</f>
        <v>0.0350411945422771</v>
      </c>
      <c r="Z340" s="222">
        <f>Z341/Z345</f>
        <v>0.0578923987120554</v>
      </c>
      <c r="AA340" s="222">
        <f>AA341/AA345</f>
        <v>0.0364506487187379</v>
      </c>
      <c r="AB340" s="222">
        <f>AB341/AB345</f>
        <v>0.15268904688543</v>
      </c>
      <c r="AC340" s="222">
        <f>AC341/AC345</f>
        <v>0.00745313902216844</v>
      </c>
      <c r="AD340" s="222">
        <f>AD341/AD345</f>
        <v>0.0172812263485861</v>
      </c>
      <c r="AE340" s="222">
        <f>AE341/AE345</f>
        <v>0.0296679686852663</v>
      </c>
      <c r="AF340" s="222">
        <f>AF341/AF345</f>
        <v>0.0263169757830076</v>
      </c>
      <c r="AG340" s="222">
        <f>AG341/AG345</f>
        <v>0.0819679882929078</v>
      </c>
      <c r="AH340" s="222">
        <f>AH341/AH345</f>
        <v>0.0154194688502907</v>
      </c>
      <c r="AI340" s="222">
        <f>AI341/AI345</f>
        <v>0.0076782786469938</v>
      </c>
      <c r="AJ340" s="222">
        <f>AJ341/AJ345</f>
        <v>0</v>
      </c>
      <c r="AK340" s="222">
        <f>AK341/AK345</f>
        <v>0</v>
      </c>
      <c r="AL340" s="222">
        <f>AL341/AL345</f>
        <v>0.0273326510800515</v>
      </c>
      <c r="AM340" s="222" t="e">
        <f>AM341/AM345</f>
        <v>#DIV/0!</v>
      </c>
      <c r="AN340" s="222">
        <f>AN341/AN345</f>
        <v>0</v>
      </c>
      <c r="AO340" s="222" t="e">
        <f>AO341/AO345</f>
        <v>#DIV/0!</v>
      </c>
      <c r="AP340" s="222" t="e">
        <f>AP341/AP345</f>
        <v>#DIV/0!</v>
      </c>
      <c r="AQ340" s="222" t="e">
        <f>AQ341/AQ345</f>
        <v>#DIV/0!</v>
      </c>
      <c r="AR340" s="222" t="e">
        <f>AR341/AR345</f>
        <v>#DIV/0!</v>
      </c>
      <c r="AS340" s="222" t="e">
        <f>AS341/AS345</f>
        <v>#DIV/0!</v>
      </c>
      <c r="AT340" s="222" t="e">
        <f>AT341/AT345</f>
        <v>#DIV/0!</v>
      </c>
      <c r="AU340" s="222" t="e">
        <f>AU341/AU345</f>
        <v>#DIV/0!</v>
      </c>
      <c r="AV340" s="222" t="e">
        <f>AV341/AV345</f>
        <v>#DIV/0!</v>
      </c>
      <c r="AW340" s="222" t="e">
        <f>AW341/AW345</f>
        <v>#DIV/0!</v>
      </c>
      <c r="AX340" s="222" t="e">
        <f>AX341/AX345</f>
        <v>#DIV/0!</v>
      </c>
      <c r="AY340" s="222" t="e">
        <f>AY341/AY345</f>
        <v>#DIV/0!</v>
      </c>
      <c r="AZ340" s="222" t="e">
        <f>AZ341/AZ345</f>
        <v>#DIV/0!</v>
      </c>
      <c r="BA340" s="222" t="e">
        <f>BA341/BA345</f>
        <v>#DIV/0!</v>
      </c>
      <c r="BB340" s="222" t="e">
        <f>BB341/BB345</f>
        <v>#DIV/0!</v>
      </c>
      <c r="BC340" s="222" t="e">
        <f>BC341/BC345</f>
        <v>#DIV/0!</v>
      </c>
      <c r="BD340" s="222" t="e">
        <f>BD341/BD345</f>
        <v>#DIV/0!</v>
      </c>
      <c r="BE340" s="222" t="e">
        <f>BE341/BE345</f>
        <v>#DIV/0!</v>
      </c>
      <c r="BF340" s="222" t="e">
        <f>BF341/BF345</f>
        <v>#DIV/0!</v>
      </c>
      <c r="BG340" s="222" t="e">
        <f>BG341/BG345</f>
        <v>#DIV/0!</v>
      </c>
      <c r="BH340" s="222" t="e">
        <f>BH341/BH345</f>
        <v>#DIV/0!</v>
      </c>
      <c r="BI340" s="222" t="e">
        <f>BI341/BI345</f>
        <v>#DIV/0!</v>
      </c>
      <c r="BJ340" s="222" t="e">
        <f>BJ341/BJ345</f>
        <v>#DIV/0!</v>
      </c>
      <c r="BK340" s="222" t="e">
        <f>BK341/BK345</f>
        <v>#DIV/0!</v>
      </c>
      <c r="BL340" s="222" t="e">
        <f>BL341/BL345</f>
        <v>#DIV/0!</v>
      </c>
      <c r="BM340" s="222" t="e">
        <f>BM341/BM345</f>
        <v>#DIV/0!</v>
      </c>
      <c r="BN340" s="222" t="e">
        <f>BN341/BN345</f>
        <v>#DIV/0!</v>
      </c>
      <c r="BO340" s="222" t="e">
        <f>BO341/BO345</f>
        <v>#DIV/0!</v>
      </c>
      <c r="BP340" s="222" t="e">
        <f>BP341/BP345</f>
        <v>#DIV/0!</v>
      </c>
      <c r="BQ340" s="222" t="e">
        <f>BQ341/BQ345</f>
        <v>#DIV/0!</v>
      </c>
      <c r="BR340" s="222" t="e">
        <f>BR341/BR345</f>
        <v>#DIV/0!</v>
      </c>
      <c r="BS340" s="222" t="e">
        <f>BS341/BS345</f>
        <v>#DIV/0!</v>
      </c>
      <c r="BT340" s="222" t="e">
        <f>BT341/BT345</f>
        <v>#DIV/0!</v>
      </c>
      <c r="BU340" s="222" t="e">
        <f>BU341/BU345</f>
        <v>#DIV/0!</v>
      </c>
      <c r="BV340" s="222" t="e">
        <f>BV341/BV345</f>
        <v>#DIV/0!</v>
      </c>
      <c r="BW340" s="222" t="e">
        <f>BW341/BW345</f>
        <v>#DIV/0!</v>
      </c>
      <c r="BX340" s="222" t="e">
        <f>BX341/BX345</f>
        <v>#DIV/0!</v>
      </c>
      <c r="BY340" s="222" t="e">
        <f>BY341/BY345</f>
        <v>#DIV/0!</v>
      </c>
      <c r="BZ340" s="222" t="e">
        <f>BZ341/BZ345</f>
        <v>#DIV/0!</v>
      </c>
      <c r="CA340" s="222" t="e">
        <f>CA341/CA345</f>
        <v>#DIV/0!</v>
      </c>
      <c r="CB340" s="222" t="e">
        <f>CB341/CB345</f>
        <v>#DIV/0!</v>
      </c>
      <c r="CC340" s="222" t="e">
        <f>CC341/CC345</f>
        <v>#DIV/0!</v>
      </c>
      <c r="CD340" s="222" t="e">
        <f>CD341/CD345</f>
        <v>#DIV/0!</v>
      </c>
      <c r="CE340" s="222" t="e">
        <f>CE341/CE345</f>
        <v>#DIV/0!</v>
      </c>
      <c r="CF340" s="222" t="e">
        <f>CF341/CF345</f>
        <v>#DIV/0!</v>
      </c>
      <c r="CG340" s="222" t="e">
        <f>CG341/CG345</f>
        <v>#DIV/0!</v>
      </c>
      <c r="CH340" s="222" t="e">
        <f>CH341/CH345</f>
        <v>#DIV/0!</v>
      </c>
      <c r="CI340" s="222" t="e">
        <f>CI341/CI345</f>
        <v>#DIV/0!</v>
      </c>
      <c r="CJ340" s="222" t="e">
        <f>CJ341/CJ345</f>
        <v>#DIV/0!</v>
      </c>
      <c r="CK340" s="222" t="e">
        <f>CK341/CK345</f>
        <v>#DIV/0!</v>
      </c>
      <c r="CL340" s="222" t="e">
        <f>CL341/CL345</f>
        <v>#DIV/0!</v>
      </c>
      <c r="CM340" s="222" t="e">
        <f>CM341/CM345</f>
        <v>#DIV/0!</v>
      </c>
      <c r="CN340" s="222" t="e">
        <f>CN341/CN345</f>
        <v>#DIV/0!</v>
      </c>
      <c r="CO340" s="222" t="e">
        <f>CO341/CO345</f>
        <v>#DIV/0!</v>
      </c>
      <c r="CP340" s="222" t="e">
        <f>CP341/CP345</f>
        <v>#DIV/0!</v>
      </c>
      <c r="CQ340" s="222" t="e">
        <f>CQ341/CQ345</f>
        <v>#DIV/0!</v>
      </c>
      <c r="CR340" s="222" t="e">
        <f>CR341/CR345</f>
        <v>#DIV/0!</v>
      </c>
      <c r="CS340" s="222" t="e">
        <f>CS341/CS345</f>
        <v>#DIV/0!</v>
      </c>
      <c r="CT340" s="222" t="e">
        <f>CT341/CT345</f>
        <v>#DIV/0!</v>
      </c>
      <c r="CU340" s="222" t="e">
        <f>CU341/CU345</f>
        <v>#DIV/0!</v>
      </c>
      <c r="CV340" s="222" t="e">
        <f>CV341/CV345</f>
        <v>#DIV/0!</v>
      </c>
      <c r="CW340" s="222" t="e">
        <f>CW341/CW345</f>
        <v>#DIV/0!</v>
      </c>
      <c r="CX340" s="222" t="e">
        <f>CX341/CX345</f>
        <v>#DIV/0!</v>
      </c>
      <c r="CY340" s="222" t="e">
        <f>CY341/CY345</f>
        <v>#DIV/0!</v>
      </c>
    </row>
    <row r="341" customFormat="1" s="233">
      <c r="A341" s="224" t="n"/>
      <c r="B341" s="224" t="n"/>
      <c r="C341" s="233" t="inlineStr">
        <is>
          <t>NOPLAT</t>
        </is>
      </c>
      <c r="D341" s="233">
        <f>D342*(1-D343)</f>
        <v>274.914285714286</v>
      </c>
      <c r="E341" s="233">
        <f>E342*(1-E343)</f>
        <v>281.22</v>
      </c>
      <c r="F341" s="233">
        <f>F342*(1-F343)</f>
        <v>537.875675675676</v>
      </c>
      <c r="G341" s="233">
        <f>G342*(1-G343)</f>
        <v>449.076517150396</v>
      </c>
      <c r="H341" s="233">
        <f>H342*(1-H343)</f>
        <v>1489.45233968804</v>
      </c>
      <c r="I341" s="223">
        <f>I342*(1-I343)</f>
        <v>517.103189493433</v>
      </c>
      <c r="J341" s="224">
        <f>J342*(1-J343)</f>
        <v>1195.31013147718</v>
      </c>
      <c r="K341" s="224">
        <f>K342*(1-K343)</f>
        <v>1766.54410201913</v>
      </c>
      <c r="L341" s="224">
        <f>L342*(1-L343)</f>
        <v>2323.43795066414</v>
      </c>
      <c r="M341" s="224">
        <f>M342*(1-M343)</f>
        <v>5804.16396027117</v>
      </c>
      <c r="N341" s="223">
        <f>N342*(1-N343)</f>
        <v>3259.19470490899</v>
      </c>
      <c r="O341" s="224">
        <f>O342*(1-O343)</f>
        <v>2259.82861762328</v>
      </c>
      <c r="P341" s="224">
        <f>P342*(1-P343)</f>
        <v>3378.63806380638</v>
      </c>
      <c r="Q341" s="224">
        <f>Q342*(1-Q343)</f>
        <v>3630.68214913382</v>
      </c>
      <c r="R341" s="224">
        <f>R342*(1-R343)</f>
        <v>12529.1983380713</v>
      </c>
      <c r="S341" s="223">
        <f>S342*(1-S343)</f>
        <v>2415.67714285714</v>
      </c>
      <c r="T341" s="224">
        <f>T342*(1-T343)</f>
        <v>2135.1671773919</v>
      </c>
      <c r="U341" s="224">
        <f>U342*(1-U343)</f>
        <v>1619.94718826406</v>
      </c>
      <c r="V341" s="224">
        <f>V342*(1-V343)</f>
        <v>7482.58877225012</v>
      </c>
      <c r="W341" s="224">
        <f>W342*(1-W343)</f>
        <v>13349.4268525018</v>
      </c>
      <c r="X341" s="223">
        <f>X342*(1-X343)</f>
        <v>871.427436440678</v>
      </c>
      <c r="Y341" s="224">
        <f>Y342*(1-Y343)</f>
        <v>1271.7851147174</v>
      </c>
      <c r="Z341" s="224">
        <f>Z342*(1-Z343)</f>
        <v>2130.96130419205</v>
      </c>
      <c r="AA341" s="224">
        <f>AA342*(1-AA343)</f>
        <v>1344.04477020602</v>
      </c>
      <c r="AB341" s="224">
        <f>AB342*(1-AB343)</f>
        <v>5630.10322580645</v>
      </c>
      <c r="AC341" s="223">
        <f>AC342*(1-AC343)</f>
        <v>284.516129032258</v>
      </c>
      <c r="AD341" s="224">
        <f>AD342*(1-AD343)</f>
        <v>709.083279535184</v>
      </c>
      <c r="AE341" s="224">
        <f>AE342*(1-AE343)</f>
        <v>1151.47320061256</v>
      </c>
      <c r="AF341" s="224">
        <f>AF342*(1-AF343)</f>
        <v>1021.25656223539</v>
      </c>
      <c r="AG341" s="224">
        <f>AG342*(1-AG343)</f>
        <v>3180.84975369458</v>
      </c>
      <c r="AH341" s="223">
        <f>AH342*(1-AH343)</f>
        <v>617.688502673797</v>
      </c>
      <c r="AI341" s="224">
        <f>AI342*(1-AI343)</f>
        <v>337.805869074492</v>
      </c>
      <c r="AJ341" s="224">
        <f>AJ342*(1-AJ343)</f>
        <v>0</v>
      </c>
      <c r="AK341" s="224">
        <f>AK342*(1-AK343)</f>
        <v>0</v>
      </c>
      <c r="AL341" s="224">
        <f>AL342*(1-AL343)</f>
        <v>1133.75836680054</v>
      </c>
      <c r="AM341" s="223">
        <f>AM342*(1-AM343)</f>
        <v>0</v>
      </c>
      <c r="AN341" s="224">
        <f>AN342*(1-AN343)</f>
        <v>0</v>
      </c>
      <c r="AO341" s="224">
        <f>AO342*(1-AO343)</f>
        <v>0</v>
      </c>
      <c r="AP341" s="224">
        <f>AP342*(1-AP343)</f>
        <v>0</v>
      </c>
      <c r="AQ341" s="224">
        <f>AQ342*(1-AQ343)</f>
        <v>0</v>
      </c>
      <c r="AR341" s="223">
        <f>AR342*(1-AR343)</f>
        <v>0</v>
      </c>
      <c r="AS341" s="224">
        <f>AS342*(1-AS343)</f>
        <v>0</v>
      </c>
      <c r="AT341" s="224">
        <f>AT342*(1-AT343)</f>
        <v>0</v>
      </c>
      <c r="AU341" s="224">
        <f>AU342*(1-AU343)</f>
        <v>0</v>
      </c>
      <c r="AV341" s="224">
        <f>AV342*(1-AV343)</f>
        <v>0</v>
      </c>
      <c r="AW341" s="223">
        <f>AW342*(1-AW343)</f>
        <v>0</v>
      </c>
      <c r="AX341" s="224">
        <f>AX342*(1-AX343)</f>
        <v>0</v>
      </c>
      <c r="AY341" s="224">
        <f>AY342*(1-AY343)</f>
        <v>0</v>
      </c>
      <c r="AZ341" s="224">
        <f>AZ342*(1-AZ343)</f>
        <v>0</v>
      </c>
      <c r="BA341" s="224">
        <f>BA342*(1-BA343)</f>
        <v>0</v>
      </c>
      <c r="BB341" s="223">
        <f>BB342*(1-BB343)</f>
        <v>0</v>
      </c>
      <c r="BC341" s="224">
        <f>BC342*(1-BC343)</f>
        <v>0</v>
      </c>
      <c r="BD341" s="224">
        <f>BD342*(1-BD343)</f>
        <v>0</v>
      </c>
      <c r="BE341" s="224">
        <f>BE342*(1-BE343)</f>
        <v>0</v>
      </c>
      <c r="BF341" s="224">
        <f>BF342*(1-BF343)</f>
        <v>0</v>
      </c>
      <c r="BG341" s="223">
        <f>BG342*(1-BG343)</f>
        <v>0</v>
      </c>
      <c r="BH341" s="224">
        <f>BH342*(1-BH343)</f>
        <v>0</v>
      </c>
      <c r="BI341" s="224">
        <f>BI342*(1-BI343)</f>
        <v>0</v>
      </c>
      <c r="BJ341" s="224">
        <f>BJ342*(1-BJ343)</f>
        <v>0</v>
      </c>
      <c r="BK341" s="224">
        <f>BK342*(1-BK343)</f>
        <v>0</v>
      </c>
      <c r="BL341" s="223">
        <f>BL342*(1-BL343)</f>
        <v>0</v>
      </c>
      <c r="BM341" s="224">
        <f>BM342*(1-BM343)</f>
        <v>0</v>
      </c>
      <c r="BN341" s="224">
        <f>BN342*(1-BN343)</f>
        <v>0</v>
      </c>
      <c r="BO341" s="224">
        <f>BO342*(1-BO343)</f>
        <v>0</v>
      </c>
      <c r="BP341" s="224">
        <f>BP342*(1-BP343)</f>
        <v>0</v>
      </c>
      <c r="BQ341" s="223">
        <f>BQ342*(1-BQ343)</f>
        <v>0</v>
      </c>
      <c r="BR341" s="224">
        <f>BR342*(1-BR343)</f>
        <v>0</v>
      </c>
      <c r="BS341" s="224">
        <f>BS342*(1-BS343)</f>
        <v>0</v>
      </c>
      <c r="BT341" s="224">
        <f>BT342*(1-BT343)</f>
        <v>0</v>
      </c>
      <c r="BU341" s="224">
        <f>BU342*(1-BU343)</f>
        <v>0</v>
      </c>
      <c r="BV341" s="223">
        <f>BV342*(1-BV343)</f>
        <v>0</v>
      </c>
      <c r="BW341" s="224">
        <f>BW342*(1-BW343)</f>
        <v>0</v>
      </c>
      <c r="BX341" s="224">
        <f>BX342*(1-BX343)</f>
        <v>0</v>
      </c>
      <c r="BY341" s="224">
        <f>BY342*(1-BY343)</f>
        <v>0</v>
      </c>
      <c r="BZ341" s="224">
        <f>BZ342*(1-BZ343)</f>
        <v>0</v>
      </c>
      <c r="CA341" s="223">
        <f>CA342*(1-CA343)</f>
        <v>0</v>
      </c>
      <c r="CB341" s="224">
        <f>CB342*(1-CB343)</f>
        <v>0</v>
      </c>
      <c r="CC341" s="224">
        <f>CC342*(1-CC343)</f>
        <v>0</v>
      </c>
      <c r="CD341" s="224">
        <f>CD342*(1-CD343)</f>
        <v>0</v>
      </c>
      <c r="CE341" s="224">
        <f>CE342*(1-CE343)</f>
        <v>0</v>
      </c>
      <c r="CF341" s="223">
        <f>CF342*(1-CF343)</f>
        <v>0</v>
      </c>
      <c r="CG341" s="224">
        <f>CG342*(1-CG343)</f>
        <v>0</v>
      </c>
      <c r="CH341" s="224">
        <f>CH342*(1-CH343)</f>
        <v>0</v>
      </c>
      <c r="CI341" s="224">
        <f>CI342*(1-CI343)</f>
        <v>0</v>
      </c>
      <c r="CJ341" s="224">
        <f>CJ342*(1-CJ343)</f>
        <v>0</v>
      </c>
      <c r="CK341" s="223">
        <f>CK342*(1-CK343)</f>
        <v>0</v>
      </c>
      <c r="CL341" s="224">
        <f>CL342*(1-CL343)</f>
        <v>0</v>
      </c>
      <c r="CM341" s="224">
        <f>CM342*(1-CM343)</f>
        <v>0</v>
      </c>
      <c r="CN341" s="224">
        <f>CN342*(1-CN343)</f>
        <v>0</v>
      </c>
      <c r="CO341" s="224">
        <f>CO342*(1-CO343)</f>
        <v>0</v>
      </c>
      <c r="CP341" s="223">
        <f>CP342*(1-CP343)</f>
        <v>0</v>
      </c>
      <c r="CQ341" s="224">
        <f>CQ342*(1-CQ343)</f>
        <v>0</v>
      </c>
      <c r="CR341" s="224">
        <f>CR342*(1-CR343)</f>
        <v>0</v>
      </c>
      <c r="CS341" s="224">
        <f>CS342*(1-CS343)</f>
        <v>0</v>
      </c>
      <c r="CT341" s="224">
        <f>CT342*(1-CT343)</f>
        <v>0</v>
      </c>
      <c r="CU341" s="223">
        <f>CU342*(1-CU343)</f>
        <v>0</v>
      </c>
      <c r="CV341" s="224">
        <f>CV342*(1-CV343)</f>
        <v>0</v>
      </c>
      <c r="CW341" s="224">
        <f>CW342*(1-CW343)</f>
        <v>0</v>
      </c>
      <c r="CX341" s="224">
        <f>CX342*(1-CX343)</f>
        <v>0</v>
      </c>
      <c r="CY341" s="224">
        <f>CY342*(1-CY343)</f>
        <v>0</v>
      </c>
    </row>
    <row r="342" customFormat="1" s="233">
      <c r="A342" s="224" t="n"/>
      <c r="B342" s="224" t="n"/>
      <c r="C342" s="233" t="inlineStr">
        <is>
          <t>EBIT</t>
        </is>
      </c>
      <c r="D342" s="239">
        <f>D67</f>
        <v>283</v>
      </c>
      <c r="E342" s="239">
        <f>E67</f>
        <v>327</v>
      </c>
      <c r="F342" s="239">
        <f>F67</f>
        <v>809</v>
      </c>
      <c r="G342" s="239">
        <f>G67</f>
        <v>575</v>
      </c>
      <c r="H342" s="239">
        <f>H67</f>
        <v>1994</v>
      </c>
      <c r="I342" s="36">
        <f>I67</f>
        <v>594</v>
      </c>
      <c r="J342" s="36">
        <f>J67</f>
        <v>1312</v>
      </c>
      <c r="K342" s="36">
        <f>K67</f>
        <v>2004</v>
      </c>
      <c r="L342" s="36">
        <f>L67</f>
        <v>2613</v>
      </c>
      <c r="M342" s="36">
        <f>M67</f>
        <v>6523</v>
      </c>
      <c r="N342" s="36">
        <f>N67</f>
        <v>3603</v>
      </c>
      <c r="O342" s="36">
        <f>O67</f>
        <v>2464</v>
      </c>
      <c r="P342" s="36">
        <f>P67</f>
        <v>3688</v>
      </c>
      <c r="Q342" s="36">
        <f>Q67</f>
        <v>3901</v>
      </c>
      <c r="R342" s="36">
        <f>R67</f>
        <v>13656</v>
      </c>
      <c r="S342" s="36">
        <f>S67</f>
        <v>2664</v>
      </c>
      <c r="T342" s="36">
        <f>T67</f>
        <v>2399</v>
      </c>
      <c r="U342" s="36">
        <f>U67</f>
        <v>1764</v>
      </c>
      <c r="V342" s="36">
        <f>V67</f>
        <v>2064</v>
      </c>
      <c r="W342" s="36">
        <f>W67</f>
        <v>8891</v>
      </c>
      <c r="X342" s="36">
        <f>X67</f>
        <v>1171</v>
      </c>
      <c r="Y342" s="36">
        <f>Y67</f>
        <v>1605</v>
      </c>
      <c r="Z342" s="36">
        <f>Z67</f>
        <v>2717</v>
      </c>
      <c r="AA342" s="36">
        <f>AA67</f>
        <v>1583</v>
      </c>
      <c r="AB342" s="36">
        <f>AB67</f>
        <v>7076</v>
      </c>
      <c r="AC342" s="36">
        <f>AC67</f>
        <v>399</v>
      </c>
      <c r="AD342" s="36">
        <f>AD67</f>
        <v>923</v>
      </c>
      <c r="AE342" s="36">
        <f>AE67</f>
        <v>1624</v>
      </c>
      <c r="AF342" s="36">
        <f>AF67</f>
        <v>1409</v>
      </c>
      <c r="AG342" s="36">
        <f>AG67</f>
        <v>4355</v>
      </c>
      <c r="AH342" s="36">
        <f>AH67</f>
        <v>941</v>
      </c>
      <c r="AI342" s="36">
        <f>AI67</f>
        <v>398</v>
      </c>
      <c r="AJ342" s="36">
        <f>AJ67</f>
        <v>0</v>
      </c>
      <c r="AK342" s="36">
        <f>AK67</f>
        <v>0</v>
      </c>
      <c r="AL342" s="36">
        <f>AL67</f>
        <v>1339</v>
      </c>
      <c r="AM342" s="36">
        <f>AM67</f>
        <v>0</v>
      </c>
      <c r="AN342" s="36">
        <f>AN67</f>
        <v>0</v>
      </c>
      <c r="AO342" s="36">
        <f>AO67</f>
        <v>0</v>
      </c>
      <c r="AP342" s="36">
        <f>AP67</f>
        <v>0</v>
      </c>
      <c r="AQ342" s="36">
        <f>AQ67</f>
        <v>0</v>
      </c>
      <c r="AR342" s="36">
        <f>AR67</f>
        <v>0</v>
      </c>
      <c r="AS342" s="36">
        <f>AS67</f>
        <v>0</v>
      </c>
      <c r="AT342" s="36">
        <f>AT67</f>
        <v>0</v>
      </c>
      <c r="AU342" s="36">
        <f>AU67</f>
        <v>0</v>
      </c>
      <c r="AV342" s="36">
        <f>AV67</f>
        <v>0</v>
      </c>
      <c r="AW342" s="36">
        <f>AW67</f>
        <v>0</v>
      </c>
      <c r="AX342" s="36">
        <f>AX67</f>
        <v>0</v>
      </c>
      <c r="AY342" s="36">
        <f>AY67</f>
        <v>0</v>
      </c>
      <c r="AZ342" s="36">
        <f>AZ67</f>
        <v>0</v>
      </c>
      <c r="BA342" s="36">
        <f>BA67</f>
        <v>0</v>
      </c>
      <c r="BB342" s="36">
        <f>BB67</f>
        <v>0</v>
      </c>
      <c r="BC342" s="36">
        <f>BC67</f>
        <v>0</v>
      </c>
      <c r="BD342" s="36">
        <f>BD67</f>
        <v>0</v>
      </c>
      <c r="BE342" s="36">
        <f>BE67</f>
        <v>0</v>
      </c>
      <c r="BF342" s="36">
        <f>BF67</f>
        <v>0</v>
      </c>
      <c r="BG342" s="36">
        <f>BG67</f>
        <v>0</v>
      </c>
      <c r="BH342" s="36">
        <f>BH67</f>
        <v>0</v>
      </c>
      <c r="BI342" s="36">
        <f>BI67</f>
        <v>0</v>
      </c>
      <c r="BJ342" s="36">
        <f>BJ67</f>
        <v>0</v>
      </c>
      <c r="BK342" s="36">
        <f>BK67</f>
        <v>0</v>
      </c>
      <c r="BL342" s="36">
        <f>BL67</f>
        <v>0</v>
      </c>
      <c r="BM342" s="36">
        <f>BM67</f>
        <v>0</v>
      </c>
      <c r="BN342" s="36">
        <f>BN67</f>
        <v>0</v>
      </c>
      <c r="BO342" s="36">
        <f>BO67</f>
        <v>0</v>
      </c>
      <c r="BP342" s="36">
        <f>BP67</f>
        <v>0</v>
      </c>
      <c r="BQ342" s="36">
        <f>BQ67</f>
        <v>0</v>
      </c>
      <c r="BR342" s="36">
        <f>BR67</f>
        <v>0</v>
      </c>
      <c r="BS342" s="36">
        <f>BS67</f>
        <v>0</v>
      </c>
      <c r="BT342" s="36">
        <f>BT67</f>
        <v>0</v>
      </c>
      <c r="BU342" s="36">
        <f>BU67</f>
        <v>0</v>
      </c>
      <c r="BV342" s="36">
        <f>BV67</f>
        <v>0</v>
      </c>
      <c r="BW342" s="36">
        <f>BW67</f>
        <v>0</v>
      </c>
      <c r="BX342" s="36">
        <f>BX67</f>
        <v>0</v>
      </c>
      <c r="BY342" s="36">
        <f>BY67</f>
        <v>0</v>
      </c>
      <c r="BZ342" s="36">
        <f>BZ67</f>
        <v>0</v>
      </c>
      <c r="CA342" s="36">
        <f>CA67</f>
        <v>0</v>
      </c>
      <c r="CB342" s="36">
        <f>CB67</f>
        <v>0</v>
      </c>
      <c r="CC342" s="36">
        <f>CC67</f>
        <v>0</v>
      </c>
      <c r="CD342" s="36">
        <f>CD67</f>
        <v>0</v>
      </c>
      <c r="CE342" s="36">
        <f>CE67</f>
        <v>0</v>
      </c>
      <c r="CF342" s="36">
        <f>CF67</f>
        <v>0</v>
      </c>
      <c r="CG342" s="36">
        <f>CG67</f>
        <v>0</v>
      </c>
      <c r="CH342" s="36">
        <f>CH67</f>
        <v>0</v>
      </c>
      <c r="CI342" s="36">
        <f>CI67</f>
        <v>0</v>
      </c>
      <c r="CJ342" s="36">
        <f>CJ67</f>
        <v>0</v>
      </c>
      <c r="CK342" s="36">
        <f>CK67</f>
        <v>0</v>
      </c>
      <c r="CL342" s="36">
        <f>CL67</f>
        <v>0</v>
      </c>
      <c r="CM342" s="36">
        <f>CM67</f>
        <v>0</v>
      </c>
      <c r="CN342" s="36">
        <f>CN67</f>
        <v>0</v>
      </c>
      <c r="CO342" s="36">
        <f>CO67</f>
        <v>0</v>
      </c>
      <c r="CP342" s="36">
        <f>CP67</f>
        <v>0</v>
      </c>
      <c r="CQ342" s="36">
        <f>CQ67</f>
        <v>0</v>
      </c>
      <c r="CR342" s="36">
        <f>CR67</f>
        <v>0</v>
      </c>
      <c r="CS342" s="36">
        <f>CS67</f>
        <v>0</v>
      </c>
      <c r="CT342" s="36">
        <f>CT67</f>
        <v>0</v>
      </c>
      <c r="CU342" s="36">
        <f>CU67</f>
        <v>0</v>
      </c>
      <c r="CV342" s="36">
        <f>CV67</f>
        <v>0</v>
      </c>
      <c r="CW342" s="36">
        <f>CW67</f>
        <v>0</v>
      </c>
      <c r="CX342" s="36">
        <f>CX67</f>
        <v>0</v>
      </c>
      <c r="CY342" s="36">
        <f>CY67</f>
        <v>0</v>
      </c>
    </row>
    <row r="343" customFormat="1" s="233">
      <c r="A343" s="224" t="n"/>
      <c r="B343" s="224" t="n"/>
      <c r="C343" s="233" t="inlineStr">
        <is>
          <t>ETR</t>
        </is>
      </c>
      <c r="D343" s="240">
        <f>D126</f>
        <v>0.0285714285714286</v>
      </c>
      <c r="E343" s="240">
        <f>E126</f>
        <v>0.14</v>
      </c>
      <c r="F343" s="240">
        <f>F126</f>
        <v>0.335135135135135</v>
      </c>
      <c r="G343" s="240">
        <f>G126</f>
        <v>0.218997361477573</v>
      </c>
      <c r="H343" s="240">
        <f>H126</f>
        <v>0.253032928942808</v>
      </c>
      <c r="I343" s="225">
        <f>I126</f>
        <v>0.129455909943715</v>
      </c>
      <c r="J343" s="225">
        <f>J126</f>
        <v>0.0889404485692189</v>
      </c>
      <c r="K343" s="225">
        <f>K126</f>
        <v>0.118490967056323</v>
      </c>
      <c r="L343" s="225">
        <f>L126</f>
        <v>0.110815939278937</v>
      </c>
      <c r="M343" s="225">
        <f>M126</f>
        <v>0.11020022071575</v>
      </c>
      <c r="N343" s="225">
        <f>N126</f>
        <v>0.0954219525648097</v>
      </c>
      <c r="O343" s="225">
        <f>O126</f>
        <v>0.0828617623282134</v>
      </c>
      <c r="P343" s="225">
        <f>P126</f>
        <v>0.0838833883388339</v>
      </c>
      <c r="Q343" s="225">
        <f>Q126</f>
        <v>0.0692945016319357</v>
      </c>
      <c r="R343" s="225">
        <f>R126</f>
        <v>0.0825133027188571</v>
      </c>
      <c r="S343" s="225">
        <f>S126</f>
        <v>0.0932142857142857</v>
      </c>
      <c r="T343" s="225">
        <f>T126</f>
        <v>0.109976166155941</v>
      </c>
      <c r="U343" s="225">
        <f>U126</f>
        <v>0.0816625916870416</v>
      </c>
      <c r="V343" s="225">
        <f>V126</f>
        <v>-2.62528525787312</v>
      </c>
      <c r="W343" s="225">
        <f>W126</f>
        <v>-0.501453925599118</v>
      </c>
      <c r="X343" s="225">
        <f>X126</f>
        <v>0.255826271186441</v>
      </c>
      <c r="Y343" s="225">
        <f>Y126</f>
        <v>0.207610520425294</v>
      </c>
      <c r="Z343" s="225">
        <f>Z126</f>
        <v>0.215693299892512</v>
      </c>
      <c r="AA343" s="225">
        <f>AA126</f>
        <v>0.15095087163233</v>
      </c>
      <c r="AB343" s="225">
        <f>AB126</f>
        <v>0.204338153503893</v>
      </c>
      <c r="AC343" s="225">
        <f>AC126</f>
        <v>0.286926994906621</v>
      </c>
      <c r="AD343" s="225">
        <f>AD126</f>
        <v>0.231762427372498</v>
      </c>
      <c r="AE343" s="225">
        <f>AE126</f>
        <v>0.290964777947933</v>
      </c>
      <c r="AF343" s="225">
        <f>AF126</f>
        <v>0.275190516511431</v>
      </c>
      <c r="AG343" s="225">
        <f>AG126</f>
        <v>0.269609700644183</v>
      </c>
      <c r="AH343" s="225">
        <f>AH126</f>
        <v>0.343582887700535</v>
      </c>
      <c r="AI343" s="225">
        <f>AI126</f>
        <v>0.151241534988713</v>
      </c>
      <c r="AJ343" s="225">
        <f>AJ126</f>
        <v>0</v>
      </c>
      <c r="AK343" s="225">
        <f>AK126</f>
        <v>0</v>
      </c>
      <c r="AL343" s="225">
        <f>AL126</f>
        <v>0.153279785809906</v>
      </c>
      <c r="AM343" s="225">
        <f>AM126</f>
        <v>0</v>
      </c>
      <c r="AN343" s="225">
        <f>AN126</f>
        <v>0</v>
      </c>
      <c r="AO343" s="225">
        <f>AO126</f>
        <v>0</v>
      </c>
      <c r="AP343" s="225">
        <f>AP126</f>
        <v>0</v>
      </c>
      <c r="AQ343" s="225">
        <f>AQ126</f>
        <v>0</v>
      </c>
      <c r="AR343" s="225">
        <f>AR126</f>
        <v>0</v>
      </c>
      <c r="AS343" s="225">
        <f>AS126</f>
        <v>0</v>
      </c>
      <c r="AT343" s="225">
        <f>AT126</f>
        <v>0</v>
      </c>
      <c r="AU343" s="225">
        <f>AU126</f>
        <v>0</v>
      </c>
      <c r="AV343" s="225">
        <f>AV126</f>
        <v>0</v>
      </c>
      <c r="AW343" s="225">
        <f>AW126</f>
        <v>0</v>
      </c>
      <c r="AX343" s="225">
        <f>AX126</f>
        <v>0</v>
      </c>
      <c r="AY343" s="225">
        <f>AY126</f>
        <v>0</v>
      </c>
      <c r="AZ343" s="225">
        <f>AZ126</f>
        <v>0</v>
      </c>
      <c r="BA343" s="225">
        <f>BA126</f>
        <v>0</v>
      </c>
      <c r="BB343" s="225">
        <f>BB126</f>
        <v>0</v>
      </c>
      <c r="BC343" s="225">
        <f>BC126</f>
        <v>0</v>
      </c>
      <c r="BD343" s="225">
        <f>BD126</f>
        <v>0</v>
      </c>
      <c r="BE343" s="225">
        <f>BE126</f>
        <v>0</v>
      </c>
      <c r="BF343" s="225">
        <f>BF126</f>
        <v>0</v>
      </c>
      <c r="BG343" s="225">
        <f>BG126</f>
        <v>0</v>
      </c>
      <c r="BH343" s="225">
        <f>BH126</f>
        <v>0</v>
      </c>
      <c r="BI343" s="225">
        <f>BI126</f>
        <v>0</v>
      </c>
      <c r="BJ343" s="225">
        <f>BJ126</f>
        <v>0</v>
      </c>
      <c r="BK343" s="225">
        <f>BK126</f>
        <v>0</v>
      </c>
      <c r="BL343" s="225">
        <f>BL126</f>
        <v>0</v>
      </c>
      <c r="BM343" s="225">
        <f>BM126</f>
        <v>0</v>
      </c>
      <c r="BN343" s="225">
        <f>BN126</f>
        <v>0</v>
      </c>
      <c r="BO343" s="225">
        <f>BO126</f>
        <v>0</v>
      </c>
      <c r="BP343" s="225">
        <f>BP126</f>
        <v>0</v>
      </c>
      <c r="BQ343" s="225">
        <f>BQ126</f>
        <v>0</v>
      </c>
      <c r="BR343" s="225">
        <f>BR126</f>
        <v>0</v>
      </c>
      <c r="BS343" s="225">
        <f>BS126</f>
        <v>0</v>
      </c>
      <c r="BT343" s="225">
        <f>BT126</f>
        <v>0</v>
      </c>
      <c r="BU343" s="225">
        <f>BU126</f>
        <v>0</v>
      </c>
      <c r="BV343" s="225">
        <f>BV126</f>
        <v>0</v>
      </c>
      <c r="BW343" s="225">
        <f>BW126</f>
        <v>0</v>
      </c>
      <c r="BX343" s="225">
        <f>BX126</f>
        <v>0</v>
      </c>
      <c r="BY343" s="225">
        <f>BY126</f>
        <v>0</v>
      </c>
      <c r="BZ343" s="225">
        <f>BZ126</f>
        <v>0</v>
      </c>
      <c r="CA343" s="225">
        <f>CA126</f>
        <v>0</v>
      </c>
      <c r="CB343" s="225">
        <f>CB126</f>
        <v>0</v>
      </c>
      <c r="CC343" s="225">
        <f>CC126</f>
        <v>0</v>
      </c>
      <c r="CD343" s="225">
        <f>CD126</f>
        <v>0</v>
      </c>
      <c r="CE343" s="225">
        <f>CE126</f>
        <v>0</v>
      </c>
      <c r="CF343" s="225">
        <f>CF126</f>
        <v>0</v>
      </c>
      <c r="CG343" s="225">
        <f>CG126</f>
        <v>0</v>
      </c>
      <c r="CH343" s="225">
        <f>CH126</f>
        <v>0</v>
      </c>
      <c r="CI343" s="225">
        <f>CI126</f>
        <v>0</v>
      </c>
      <c r="CJ343" s="225">
        <f>CJ126</f>
        <v>0</v>
      </c>
      <c r="CK343" s="225">
        <f>CK126</f>
        <v>0</v>
      </c>
      <c r="CL343" s="225">
        <f>CL126</f>
        <v>0</v>
      </c>
      <c r="CM343" s="225">
        <f>CM126</f>
        <v>0</v>
      </c>
      <c r="CN343" s="225">
        <f>CN126</f>
        <v>0</v>
      </c>
      <c r="CO343" s="225">
        <f>CO126</f>
        <v>0</v>
      </c>
      <c r="CP343" s="225">
        <f>CP126</f>
        <v>0</v>
      </c>
      <c r="CQ343" s="225">
        <f>CQ126</f>
        <v>0</v>
      </c>
      <c r="CR343" s="225">
        <f>CR126</f>
        <v>0</v>
      </c>
      <c r="CS343" s="225">
        <f>CS126</f>
        <v>0</v>
      </c>
      <c r="CT343" s="225">
        <f>CT126</f>
        <v>0</v>
      </c>
      <c r="CU343" s="225">
        <f>CU126</f>
        <v>0</v>
      </c>
      <c r="CV343" s="225">
        <f>CV126</f>
        <v>0</v>
      </c>
      <c r="CW343" s="225">
        <f>CW126</f>
        <v>0</v>
      </c>
      <c r="CX343" s="225">
        <f>CX126</f>
        <v>0</v>
      </c>
      <c r="CY343" s="225">
        <f>CY126</f>
        <v>0</v>
      </c>
    </row>
    <row r="344" customFormat="1" s="233">
      <c r="A344" s="224" t="n"/>
      <c r="B344" s="224" t="n"/>
      <c r="C344" s="233" t="inlineStr">
        <is>
          <t>INVESTED CAPITAL</t>
        </is>
      </c>
      <c r="D344" s="239">
        <f>D347-D348+D349</f>
        <v>2652</v>
      </c>
      <c r="E344" s="239">
        <f>E347-E348+E349</f>
        <v>2766</v>
      </c>
      <c r="F344" s="239">
        <f>F347-F348+F349</f>
        <v>3017</v>
      </c>
      <c r="G344" s="239">
        <f>G347-G348+G349</f>
        <v>4346</v>
      </c>
      <c r="H344" s="239">
        <f>H347-H348+H349</f>
        <v>4346</v>
      </c>
      <c r="I344" s="36">
        <f>I347-I348+I349</f>
        <v>7324</v>
      </c>
      <c r="J344" s="36">
        <f>J347-J348+J349</f>
        <v>10021</v>
      </c>
      <c r="K344" s="36">
        <f>K347-K348+K349</f>
        <v>12399</v>
      </c>
      <c r="L344" s="36">
        <f>L347-L348+L349</f>
        <v>13876</v>
      </c>
      <c r="M344" s="36">
        <f>M347-M348+M349</f>
        <v>13876</v>
      </c>
      <c r="N344" s="36">
        <f>N347-N348+N349</f>
        <v>17393</v>
      </c>
      <c r="O344" s="36">
        <f>O347-O348+O349</f>
        <v>18743</v>
      </c>
      <c r="P344" s="36">
        <f>P347-P348+P349</f>
        <v>20017</v>
      </c>
      <c r="Q344" s="36">
        <f>Q347-Q348+Q349</f>
        <v>23713</v>
      </c>
      <c r="R344" s="36">
        <f>R347-R348+R349</f>
        <v>23713</v>
      </c>
      <c r="S344" s="36">
        <f>S347-S348+S349</f>
        <v>26833</v>
      </c>
      <c r="T344" s="36">
        <f>T347-T348+T349</f>
        <v>29107</v>
      </c>
      <c r="U344" s="36">
        <f>U347-U348+U349</f>
        <v>28418</v>
      </c>
      <c r="V344" s="36">
        <f>V347-V348+V349</f>
        <v>34515</v>
      </c>
      <c r="W344" s="36">
        <f>W347-W348+W349</f>
        <v>34515</v>
      </c>
      <c r="X344" s="36">
        <f>X347-X348+X349</f>
        <v>38317</v>
      </c>
      <c r="Y344" s="36">
        <f>Y347-Y348+Y349</f>
        <v>36543</v>
      </c>
      <c r="Z344" s="36">
        <f>Z347-Z348+Z349</f>
        <v>37062</v>
      </c>
      <c r="AA344" s="36">
        <f>AA347-AA348+AA349</f>
        <v>37117</v>
      </c>
      <c r="AB344" s="36">
        <f>AB347-AB348+AB349</f>
        <v>37117</v>
      </c>
      <c r="AC344" s="36">
        <f>AC347-AC348+AC349</f>
        <v>38422</v>
      </c>
      <c r="AD344" s="36">
        <f>AD347-AD348+AD349</f>
        <v>41290</v>
      </c>
      <c r="AE344" s="36">
        <f>AE347-AE348+AE349</f>
        <v>39069</v>
      </c>
      <c r="AF344" s="36">
        <f>AF347-AF348+AF349</f>
        <v>38806</v>
      </c>
      <c r="AG344" s="36">
        <f>AG347-AG348+AG349</f>
        <v>38806</v>
      </c>
      <c r="AH344" s="36">
        <f>AH347-AH348+AH349</f>
        <v>40059</v>
      </c>
      <c r="AI344" s="36">
        <f>AI347-AI348+AI349</f>
        <v>43995</v>
      </c>
      <c r="AJ344" s="36">
        <f>AJ347-AJ348+AJ349</f>
        <v>41480</v>
      </c>
      <c r="AK344" s="36">
        <f>AK347-AK348+AK349</f>
        <v>41480</v>
      </c>
      <c r="AL344" s="36">
        <f>AL347-AL348+AL349</f>
        <v>41480</v>
      </c>
      <c r="AM344" s="36" t="e">
        <f>AM347-AM348+AM349</f>
        <v>#DIV/0!</v>
      </c>
      <c r="AN344" s="36">
        <f>AN347-AN348+AN349</f>
        <v>41480</v>
      </c>
      <c r="AO344" s="36" t="e">
        <f>AO347-AO348+AO349</f>
        <v>#DIV/0!</v>
      </c>
      <c r="AP344" s="36" t="e">
        <f>AP347-AP348+AP349</f>
        <v>#DIV/0!</v>
      </c>
      <c r="AQ344" s="36" t="e">
        <f>AQ347-AQ348+AQ349</f>
        <v>#DIV/0!</v>
      </c>
      <c r="AR344" s="36" t="e">
        <f>AR347-AR348+AR349</f>
        <v>#DIV/0!</v>
      </c>
      <c r="AS344" s="36" t="e">
        <f>AS347-AS348+AS349</f>
        <v>#DIV/0!</v>
      </c>
      <c r="AT344" s="36" t="e">
        <f>AT347-AT348+AT349</f>
        <v>#DIV/0!</v>
      </c>
      <c r="AU344" s="36" t="e">
        <f>AU347-AU348+AU349</f>
        <v>#DIV/0!</v>
      </c>
      <c r="AV344" s="36" t="e">
        <f>AV347-AV348+AV349</f>
        <v>#DIV/0!</v>
      </c>
      <c r="AW344" s="36" t="e">
        <f>AW347-AW348+AW349</f>
        <v>#DIV/0!</v>
      </c>
      <c r="AX344" s="36" t="e">
        <f>AX347-AX348+AX349</f>
        <v>#DIV/0!</v>
      </c>
      <c r="AY344" s="36" t="e">
        <f>AY347-AY348+AY349</f>
        <v>#DIV/0!</v>
      </c>
      <c r="AZ344" s="36" t="e">
        <f>AZ347-AZ348+AZ349</f>
        <v>#DIV/0!</v>
      </c>
      <c r="BA344" s="36" t="e">
        <f>BA347-BA348+BA349</f>
        <v>#DIV/0!</v>
      </c>
      <c r="BB344" s="36" t="e">
        <f>BB347-BB348+BB349</f>
        <v>#DIV/0!</v>
      </c>
      <c r="BC344" s="36" t="e">
        <f>BC347-BC348+BC349</f>
        <v>#DIV/0!</v>
      </c>
      <c r="BD344" s="36" t="e">
        <f>BD347-BD348+BD349</f>
        <v>#DIV/0!</v>
      </c>
      <c r="BE344" s="36" t="e">
        <f>BE347-BE348+BE349</f>
        <v>#DIV/0!</v>
      </c>
      <c r="BF344" s="36" t="e">
        <f>BF347-BF348+BF349</f>
        <v>#DIV/0!</v>
      </c>
      <c r="BG344" s="36" t="e">
        <f>BG347-BG348+BG349</f>
        <v>#DIV/0!</v>
      </c>
      <c r="BH344" s="36" t="e">
        <f>BH347-BH348+BH349</f>
        <v>#DIV/0!</v>
      </c>
      <c r="BI344" s="36" t="e">
        <f>BI347-BI348+BI349</f>
        <v>#DIV/0!</v>
      </c>
      <c r="BJ344" s="36" t="e">
        <f>BJ347-BJ348+BJ349</f>
        <v>#DIV/0!</v>
      </c>
      <c r="BK344" s="36" t="e">
        <f>BK347-BK348+BK349</f>
        <v>#DIV/0!</v>
      </c>
      <c r="BL344" s="36" t="e">
        <f>BL347-BL348+BL349</f>
        <v>#DIV/0!</v>
      </c>
      <c r="BM344" s="36" t="e">
        <f>BM347-BM348+BM349</f>
        <v>#DIV/0!</v>
      </c>
      <c r="BN344" s="36" t="e">
        <f>BN347-BN348+BN349</f>
        <v>#DIV/0!</v>
      </c>
      <c r="BO344" s="36" t="e">
        <f>BO347-BO348+BO349</f>
        <v>#DIV/0!</v>
      </c>
      <c r="BP344" s="36" t="e">
        <f>BP347-BP348+BP349</f>
        <v>#DIV/0!</v>
      </c>
      <c r="BQ344" s="36" t="e">
        <f>BQ347-BQ348+BQ349</f>
        <v>#DIV/0!</v>
      </c>
      <c r="BR344" s="36" t="e">
        <f>BR347-BR348+BR349</f>
        <v>#DIV/0!</v>
      </c>
      <c r="BS344" s="36" t="e">
        <f>BS347-BS348+BS349</f>
        <v>#DIV/0!</v>
      </c>
      <c r="BT344" s="36" t="e">
        <f>BT347-BT348+BT349</f>
        <v>#DIV/0!</v>
      </c>
      <c r="BU344" s="36" t="e">
        <f>BU347-BU348+BU349</f>
        <v>#DIV/0!</v>
      </c>
      <c r="BV344" s="36" t="e">
        <f>BV347-BV348+BV349</f>
        <v>#DIV/0!</v>
      </c>
      <c r="BW344" s="36" t="e">
        <f>BW347-BW348+BW349</f>
        <v>#DIV/0!</v>
      </c>
      <c r="BX344" s="36" t="e">
        <f>BX347-BX348+BX349</f>
        <v>#DIV/0!</v>
      </c>
      <c r="BY344" s="36" t="e">
        <f>BY347-BY348+BY349</f>
        <v>#DIV/0!</v>
      </c>
      <c r="BZ344" s="36" t="e">
        <f>BZ347-BZ348+BZ349</f>
        <v>#DIV/0!</v>
      </c>
      <c r="CA344" s="36" t="e">
        <f>CA347-CA348+CA349</f>
        <v>#DIV/0!</v>
      </c>
      <c r="CB344" s="36" t="e">
        <f>CB347-CB348+CB349</f>
        <v>#DIV/0!</v>
      </c>
      <c r="CC344" s="36" t="e">
        <f>CC347-CC348+CC349</f>
        <v>#DIV/0!</v>
      </c>
      <c r="CD344" s="36" t="e">
        <f>CD347-CD348+CD349</f>
        <v>#DIV/0!</v>
      </c>
      <c r="CE344" s="36" t="e">
        <f>CE347-CE348+CE349</f>
        <v>#DIV/0!</v>
      </c>
      <c r="CF344" s="36" t="e">
        <f>CF347-CF348+CF349</f>
        <v>#DIV/0!</v>
      </c>
      <c r="CG344" s="36" t="e">
        <f>CG347-CG348+CG349</f>
        <v>#DIV/0!</v>
      </c>
      <c r="CH344" s="36" t="e">
        <f>CH347-CH348+CH349</f>
        <v>#DIV/0!</v>
      </c>
      <c r="CI344" s="36" t="e">
        <f>CI347-CI348+CI349</f>
        <v>#DIV/0!</v>
      </c>
      <c r="CJ344" s="36" t="e">
        <f>CJ347-CJ348+CJ349</f>
        <v>#DIV/0!</v>
      </c>
      <c r="CK344" s="36" t="e">
        <f>CK347-CK348+CK349</f>
        <v>#DIV/0!</v>
      </c>
      <c r="CL344" s="36" t="e">
        <f>CL347-CL348+CL349</f>
        <v>#DIV/0!</v>
      </c>
      <c r="CM344" s="36" t="e">
        <f>CM347-CM348+CM349</f>
        <v>#DIV/0!</v>
      </c>
      <c r="CN344" s="36" t="e">
        <f>CN347-CN348+CN349</f>
        <v>#DIV/0!</v>
      </c>
      <c r="CO344" s="36" t="e">
        <f>CO347-CO348+CO349</f>
        <v>#DIV/0!</v>
      </c>
      <c r="CP344" s="36" t="e">
        <f>CP347-CP348+CP349</f>
        <v>#DIV/0!</v>
      </c>
      <c r="CQ344" s="36" t="e">
        <f>CQ347-CQ348+CQ349</f>
        <v>#DIV/0!</v>
      </c>
      <c r="CR344" s="36" t="e">
        <f>CR347-CR348+CR349</f>
        <v>#DIV/0!</v>
      </c>
      <c r="CS344" s="36" t="e">
        <f>CS347-CS348+CS349</f>
        <v>#DIV/0!</v>
      </c>
      <c r="CT344" s="36" t="e">
        <f>CT347-CT348+CT349</f>
        <v>#DIV/0!</v>
      </c>
      <c r="CU344" s="36" t="e">
        <f>CU347-CU348+CU349</f>
        <v>#DIV/0!</v>
      </c>
      <c r="CV344" s="36" t="e">
        <f>CV347-CV348+CV349</f>
        <v>#DIV/0!</v>
      </c>
      <c r="CW344" s="36" t="e">
        <f>CW347-CW348+CW349</f>
        <v>#DIV/0!</v>
      </c>
      <c r="CX344" s="36" t="e">
        <f>CX347-CX348+CX349</f>
        <v>#DIV/0!</v>
      </c>
      <c r="CY344" s="36" t="e">
        <f>CY347-CY348+CY349</f>
        <v>#DIV/0!</v>
      </c>
    </row>
    <row r="345" customFormat="1" s="233">
      <c r="A345" s="224" t="n"/>
      <c r="B345" s="224" t="n"/>
      <c r="C345" s="233" t="inlineStr">
        <is>
          <t>INVESTED CAPITAL - EX GOODWILL</t>
        </is>
      </c>
      <c r="D345" s="241">
        <f>D344-D173</f>
        <v>2459</v>
      </c>
      <c r="E345" s="241">
        <f>E344-E173</f>
        <v>2570</v>
      </c>
      <c r="F345" s="241">
        <f>F344-F173</f>
        <v>2814</v>
      </c>
      <c r="G345" s="241">
        <f>G344-G173</f>
        <v>4139</v>
      </c>
      <c r="H345" s="241">
        <f>H344-H173</f>
        <v>4139</v>
      </c>
      <c r="I345" s="226">
        <f>I344-I173</f>
        <v>7118</v>
      </c>
      <c r="J345" s="226">
        <f>J344-J173</f>
        <v>9818</v>
      </c>
      <c r="K345" s="226">
        <f>K344-K173</f>
        <v>12198</v>
      </c>
      <c r="L345" s="226">
        <f>L344-L173</f>
        <v>13676</v>
      </c>
      <c r="M345" s="226">
        <f>M344-M173</f>
        <v>13676</v>
      </c>
      <c r="N345" s="226">
        <f>N344-N173</f>
        <v>17193</v>
      </c>
      <c r="O345" s="226">
        <f>O344-O173</f>
        <v>18547</v>
      </c>
      <c r="P345" s="226">
        <f>P344-P173</f>
        <v>19826</v>
      </c>
      <c r="Q345" s="226">
        <f>Q344-Q173</f>
        <v>23519</v>
      </c>
      <c r="R345" s="226">
        <f>R344-R173</f>
        <v>23519</v>
      </c>
      <c r="S345" s="226">
        <f>S344-S173</f>
        <v>26638</v>
      </c>
      <c r="T345" s="226">
        <f>T344-T173</f>
        <v>28844</v>
      </c>
      <c r="U345" s="226">
        <f>U344-U173</f>
        <v>28168</v>
      </c>
      <c r="V345" s="226">
        <f>V344-V173</f>
        <v>34262</v>
      </c>
      <c r="W345" s="226">
        <f>W344-W173</f>
        <v>34262</v>
      </c>
      <c r="X345" s="226">
        <f>X344-X173</f>
        <v>38067</v>
      </c>
      <c r="Y345" s="226">
        <f>Y344-Y173</f>
        <v>36294</v>
      </c>
      <c r="Z345" s="226">
        <f>Z344-Z173</f>
        <v>36809</v>
      </c>
      <c r="AA345" s="226">
        <f>AA344-AA173</f>
        <v>36873</v>
      </c>
      <c r="AB345" s="226">
        <f>AB344-AB173</f>
        <v>36873</v>
      </c>
      <c r="AC345" s="226">
        <f>AC344-AC173</f>
        <v>38174</v>
      </c>
      <c r="AD345" s="226">
        <f>AD344-AD173</f>
        <v>41032</v>
      </c>
      <c r="AE345" s="226">
        <f>AE344-AE173</f>
        <v>38812</v>
      </c>
      <c r="AF345" s="226">
        <f>AF344-AF173</f>
        <v>38806</v>
      </c>
      <c r="AG345" s="226">
        <f>AG344-AG173</f>
        <v>38806</v>
      </c>
      <c r="AH345" s="226">
        <f>AH344-AH173</f>
        <v>40059</v>
      </c>
      <c r="AI345" s="226">
        <f>AI344-AI173</f>
        <v>43995</v>
      </c>
      <c r="AJ345" s="226">
        <f>AJ344-AJ173</f>
        <v>41480</v>
      </c>
      <c r="AK345" s="226">
        <f>AK344-AK173</f>
        <v>41480</v>
      </c>
      <c r="AL345" s="226">
        <f>AL344-AL173</f>
        <v>41480</v>
      </c>
      <c r="AM345" s="226" t="e">
        <f>AM344-AM173</f>
        <v>#DIV/0!</v>
      </c>
      <c r="AN345" s="226">
        <f>AN344-AN173</f>
        <v>41480</v>
      </c>
      <c r="AO345" s="226" t="e">
        <f>AO344-AO173</f>
        <v>#DIV/0!</v>
      </c>
      <c r="AP345" s="226" t="e">
        <f>AP344-AP173</f>
        <v>#DIV/0!</v>
      </c>
      <c r="AQ345" s="226" t="e">
        <f>AQ344-AQ173</f>
        <v>#DIV/0!</v>
      </c>
      <c r="AR345" s="226" t="e">
        <f>AR344-AR173</f>
        <v>#DIV/0!</v>
      </c>
      <c r="AS345" s="226" t="e">
        <f>AS344-AS173</f>
        <v>#DIV/0!</v>
      </c>
      <c r="AT345" s="226" t="e">
        <f>AT344-AT173</f>
        <v>#DIV/0!</v>
      </c>
      <c r="AU345" s="226" t="e">
        <f>AU344-AU173</f>
        <v>#DIV/0!</v>
      </c>
      <c r="AV345" s="226" t="e">
        <f>AV344-AV173</f>
        <v>#DIV/0!</v>
      </c>
      <c r="AW345" s="226" t="e">
        <f>AW344-AW173</f>
        <v>#DIV/0!</v>
      </c>
      <c r="AX345" s="226" t="e">
        <f>AX344-AX173</f>
        <v>#DIV/0!</v>
      </c>
      <c r="AY345" s="226" t="e">
        <f>AY344-AY173</f>
        <v>#DIV/0!</v>
      </c>
      <c r="AZ345" s="226" t="e">
        <f>AZ344-AZ173</f>
        <v>#DIV/0!</v>
      </c>
      <c r="BA345" s="226" t="e">
        <f>BA344-BA173</f>
        <v>#DIV/0!</v>
      </c>
      <c r="BB345" s="226" t="e">
        <f>BB344-BB173</f>
        <v>#DIV/0!</v>
      </c>
      <c r="BC345" s="226" t="e">
        <f>BC344-BC173</f>
        <v>#DIV/0!</v>
      </c>
      <c r="BD345" s="226" t="e">
        <f>BD344-BD173</f>
        <v>#DIV/0!</v>
      </c>
      <c r="BE345" s="226" t="e">
        <f>BE344-BE173</f>
        <v>#DIV/0!</v>
      </c>
      <c r="BF345" s="226" t="e">
        <f>BF344-BF173</f>
        <v>#DIV/0!</v>
      </c>
      <c r="BG345" s="226" t="e">
        <f>BG344-BG173</f>
        <v>#DIV/0!</v>
      </c>
      <c r="BH345" s="226" t="e">
        <f>BH344-BH173</f>
        <v>#DIV/0!</v>
      </c>
      <c r="BI345" s="226" t="e">
        <f>BI344-BI173</f>
        <v>#DIV/0!</v>
      </c>
      <c r="BJ345" s="226" t="e">
        <f>BJ344-BJ173</f>
        <v>#DIV/0!</v>
      </c>
      <c r="BK345" s="226" t="e">
        <f>BK344-BK173</f>
        <v>#DIV/0!</v>
      </c>
      <c r="BL345" s="226" t="e">
        <f>BL344-BL173</f>
        <v>#DIV/0!</v>
      </c>
      <c r="BM345" s="226" t="e">
        <f>BM344-BM173</f>
        <v>#DIV/0!</v>
      </c>
      <c r="BN345" s="226" t="e">
        <f>BN344-BN173</f>
        <v>#DIV/0!</v>
      </c>
      <c r="BO345" s="226" t="e">
        <f>BO344-BO173</f>
        <v>#DIV/0!</v>
      </c>
      <c r="BP345" s="226" t="e">
        <f>BP344-BP173</f>
        <v>#DIV/0!</v>
      </c>
      <c r="BQ345" s="226" t="e">
        <f>BQ344-BQ173</f>
        <v>#DIV/0!</v>
      </c>
      <c r="BR345" s="226" t="e">
        <f>BR344-BR173</f>
        <v>#DIV/0!</v>
      </c>
      <c r="BS345" s="226" t="e">
        <f>BS344-BS173</f>
        <v>#DIV/0!</v>
      </c>
      <c r="BT345" s="226" t="e">
        <f>BT344-BT173</f>
        <v>#DIV/0!</v>
      </c>
      <c r="BU345" s="226" t="e">
        <f>BU344-BU173</f>
        <v>#DIV/0!</v>
      </c>
      <c r="BV345" s="226" t="e">
        <f>BV344-BV173</f>
        <v>#DIV/0!</v>
      </c>
      <c r="BW345" s="226" t="e">
        <f>BW344-BW173</f>
        <v>#DIV/0!</v>
      </c>
      <c r="BX345" s="226" t="e">
        <f>BX344-BX173</f>
        <v>#DIV/0!</v>
      </c>
      <c r="BY345" s="226" t="e">
        <f>BY344-BY173</f>
        <v>#DIV/0!</v>
      </c>
      <c r="BZ345" s="226" t="e">
        <f>BZ344-BZ173</f>
        <v>#DIV/0!</v>
      </c>
      <c r="CA345" s="226" t="e">
        <f>CA344-CA173</f>
        <v>#DIV/0!</v>
      </c>
      <c r="CB345" s="226" t="e">
        <f>CB344-CB173</f>
        <v>#DIV/0!</v>
      </c>
      <c r="CC345" s="226" t="e">
        <f>CC344-CC173</f>
        <v>#DIV/0!</v>
      </c>
      <c r="CD345" s="226" t="e">
        <f>CD344-CD173</f>
        <v>#DIV/0!</v>
      </c>
      <c r="CE345" s="226" t="e">
        <f>CE344-CE173</f>
        <v>#DIV/0!</v>
      </c>
      <c r="CF345" s="226" t="e">
        <f>CF344-CF173</f>
        <v>#DIV/0!</v>
      </c>
      <c r="CG345" s="226" t="e">
        <f>CG344-CG173</f>
        <v>#DIV/0!</v>
      </c>
      <c r="CH345" s="226" t="e">
        <f>CH344-CH173</f>
        <v>#DIV/0!</v>
      </c>
      <c r="CI345" s="226" t="e">
        <f>CI344-CI173</f>
        <v>#DIV/0!</v>
      </c>
      <c r="CJ345" s="226" t="e">
        <f>CJ344-CJ173</f>
        <v>#DIV/0!</v>
      </c>
      <c r="CK345" s="226" t="e">
        <f>CK344-CK173</f>
        <v>#DIV/0!</v>
      </c>
      <c r="CL345" s="226" t="e">
        <f>CL344-CL173</f>
        <v>#DIV/0!</v>
      </c>
      <c r="CM345" s="226" t="e">
        <f>CM344-CM173</f>
        <v>#DIV/0!</v>
      </c>
      <c r="CN345" s="226" t="e">
        <f>CN344-CN173</f>
        <v>#DIV/0!</v>
      </c>
      <c r="CO345" s="226" t="e">
        <f>CO344-CO173</f>
        <v>#DIV/0!</v>
      </c>
      <c r="CP345" s="226" t="e">
        <f>CP344-CP173</f>
        <v>#DIV/0!</v>
      </c>
      <c r="CQ345" s="226" t="e">
        <f>CQ344-CQ173</f>
        <v>#DIV/0!</v>
      </c>
      <c r="CR345" s="226" t="e">
        <f>CR344-CR173</f>
        <v>#DIV/0!</v>
      </c>
      <c r="CS345" s="226" t="e">
        <f>CS344-CS173</f>
        <v>#DIV/0!</v>
      </c>
      <c r="CT345" s="226" t="e">
        <f>CT344-CT173</f>
        <v>#DIV/0!</v>
      </c>
      <c r="CU345" s="226" t="e">
        <f>CU344-CU173</f>
        <v>#DIV/0!</v>
      </c>
      <c r="CV345" s="226" t="e">
        <f>CV344-CV173</f>
        <v>#DIV/0!</v>
      </c>
      <c r="CW345" s="226" t="e">
        <f>CW344-CW173</f>
        <v>#DIV/0!</v>
      </c>
      <c r="CX345" s="226" t="e">
        <f>CX344-CX173</f>
        <v>#DIV/0!</v>
      </c>
      <c r="CY345" s="226" t="e">
        <f>CY344-CY173</f>
        <v>#DIV/0!</v>
      </c>
    </row>
    <row r="346" customFormat="1" s="233">
      <c r="A346" s="224" t="n"/>
      <c r="B346" s="224" t="n"/>
      <c r="C346" s="233" t="inlineStr">
        <is>
          <t>OPERATING WORKING CAPITAL</t>
        </is>
      </c>
      <c r="D346" s="242">
        <f>D347-D348</f>
        <v>-5173</v>
      </c>
      <c r="E346" s="242">
        <f>E347-E348</f>
        <v>-5549</v>
      </c>
      <c r="F346" s="242">
        <f>F347-F348</f>
        <v>-6089</v>
      </c>
      <c r="G346" s="242">
        <f>G347-G348</f>
        <v>-6915</v>
      </c>
      <c r="H346" s="242">
        <f>H347-H348</f>
        <v>-6915</v>
      </c>
      <c r="I346" s="36">
        <f>I347-I348</f>
        <v>-7313</v>
      </c>
      <c r="J346" s="36">
        <f>J347-J348</f>
        <v>-7907</v>
      </c>
      <c r="K346" s="36">
        <f>K347-K348</f>
        <v>-9144</v>
      </c>
      <c r="L346" s="36">
        <f>L347-L348</f>
        <v>-10312</v>
      </c>
      <c r="M346" s="36">
        <f>M347-M348</f>
        <v>-10312</v>
      </c>
      <c r="N346" s="36">
        <f>N347-N348</f>
        <v>-10418</v>
      </c>
      <c r="O346" s="36">
        <f>O347-O348</f>
        <v>-9514</v>
      </c>
      <c r="P346" s="36">
        <f>P347-P348</f>
        <v>-9728</v>
      </c>
      <c r="Q346" s="36">
        <f>Q347-Q348</f>
        <v>-7977</v>
      </c>
      <c r="R346" s="36">
        <f>R347-R348</f>
        <v>-7977</v>
      </c>
      <c r="S346" s="36">
        <f>S347-S348</f>
        <v>-6841</v>
      </c>
      <c r="T346" s="36">
        <f>T347-T348</f>
        <v>-6792</v>
      </c>
      <c r="U346" s="36">
        <f>U347-U348</f>
        <v>-7691</v>
      </c>
      <c r="V346" s="36">
        <f>V347-V348</f>
        <v>-1493</v>
      </c>
      <c r="W346" s="36">
        <f>W347-W348</f>
        <v>-1493</v>
      </c>
      <c r="X346" s="36">
        <f>X347-X348</f>
        <v>988</v>
      </c>
      <c r="Y346" s="36">
        <f>Y347-Y348</f>
        <v>1220</v>
      </c>
      <c r="Z346" s="36">
        <f>Z347-Z348</f>
        <v>-1360</v>
      </c>
      <c r="AA346" s="36">
        <f>AA347-AA348</f>
        <v>-500</v>
      </c>
      <c r="AB346" s="36">
        <f>AB347-AB348</f>
        <v>-500</v>
      </c>
      <c r="AC346" s="36">
        <f>AC347-AC348</f>
        <v>-673</v>
      </c>
      <c r="AD346" s="36">
        <f>AD347-AD348</f>
        <v>1064</v>
      </c>
      <c r="AE346" s="36">
        <f>AE347-AE348</f>
        <v>-1647</v>
      </c>
      <c r="AF346" s="36">
        <f>AF347-AF348</f>
        <v>-206</v>
      </c>
      <c r="AG346" s="36">
        <f>AG347-AG348</f>
        <v>-206</v>
      </c>
      <c r="AH346" s="36">
        <f>AH347-AH348</f>
        <v>-2073</v>
      </c>
      <c r="AI346" s="36">
        <f>AI347-AI348</f>
        <v>-2956</v>
      </c>
      <c r="AJ346" s="36">
        <f>AJ347-AJ348</f>
        <v>-5471</v>
      </c>
      <c r="AK346" s="36">
        <f>AK347-AK348</f>
        <v>-5471</v>
      </c>
      <c r="AL346" s="36">
        <f>AL347-AL348</f>
        <v>-5471</v>
      </c>
      <c r="AM346" s="36" t="e">
        <f>AM347-AM348</f>
        <v>#DIV/0!</v>
      </c>
      <c r="AN346" s="36">
        <f>AN347-AN348</f>
        <v>-5471</v>
      </c>
      <c r="AO346" s="36" t="e">
        <f>AO347-AO348</f>
        <v>#DIV/0!</v>
      </c>
      <c r="AP346" s="36" t="e">
        <f>AP347-AP348</f>
        <v>#DIV/0!</v>
      </c>
      <c r="AQ346" s="36" t="e">
        <f>AQ347-AQ348</f>
        <v>#DIV/0!</v>
      </c>
      <c r="AR346" s="36" t="e">
        <f>AR347-AR348</f>
        <v>#DIV/0!</v>
      </c>
      <c r="AS346" s="36" t="e">
        <f>AS347-AS348</f>
        <v>#DIV/0!</v>
      </c>
      <c r="AT346" s="36" t="e">
        <f>AT347-AT348</f>
        <v>#DIV/0!</v>
      </c>
      <c r="AU346" s="36" t="e">
        <f>AU347-AU348</f>
        <v>#DIV/0!</v>
      </c>
      <c r="AV346" s="36" t="e">
        <f>AV347-AV348</f>
        <v>#DIV/0!</v>
      </c>
      <c r="AW346" s="36" t="e">
        <f>AW347-AW348</f>
        <v>#DIV/0!</v>
      </c>
      <c r="AX346" s="36" t="e">
        <f>AX347-AX348</f>
        <v>#DIV/0!</v>
      </c>
      <c r="AY346" s="36" t="e">
        <f>AY347-AY348</f>
        <v>#DIV/0!</v>
      </c>
      <c r="AZ346" s="36" t="e">
        <f>AZ347-AZ348</f>
        <v>#DIV/0!</v>
      </c>
      <c r="BA346" s="36" t="e">
        <f>BA347-BA348</f>
        <v>#DIV/0!</v>
      </c>
      <c r="BB346" s="36" t="e">
        <f>BB347-BB348</f>
        <v>#DIV/0!</v>
      </c>
      <c r="BC346" s="36" t="e">
        <f>BC347-BC348</f>
        <v>#DIV/0!</v>
      </c>
      <c r="BD346" s="36" t="e">
        <f>BD347-BD348</f>
        <v>#DIV/0!</v>
      </c>
      <c r="BE346" s="36" t="e">
        <f>BE347-BE348</f>
        <v>#DIV/0!</v>
      </c>
      <c r="BF346" s="36" t="e">
        <f>BF347-BF348</f>
        <v>#DIV/0!</v>
      </c>
      <c r="BG346" s="36" t="e">
        <f>BG347-BG348</f>
        <v>#DIV/0!</v>
      </c>
      <c r="BH346" s="36" t="e">
        <f>BH347-BH348</f>
        <v>#DIV/0!</v>
      </c>
      <c r="BI346" s="36" t="e">
        <f>BI347-BI348</f>
        <v>#DIV/0!</v>
      </c>
      <c r="BJ346" s="36" t="e">
        <f>BJ347-BJ348</f>
        <v>#DIV/0!</v>
      </c>
      <c r="BK346" s="36" t="e">
        <f>BK347-BK348</f>
        <v>#DIV/0!</v>
      </c>
      <c r="BL346" s="36" t="e">
        <f>BL347-BL348</f>
        <v>#DIV/0!</v>
      </c>
      <c r="BM346" s="36" t="e">
        <f>BM347-BM348</f>
        <v>#DIV/0!</v>
      </c>
      <c r="BN346" s="36" t="e">
        <f>BN347-BN348</f>
        <v>#DIV/0!</v>
      </c>
      <c r="BO346" s="36" t="e">
        <f>BO347-BO348</f>
        <v>#DIV/0!</v>
      </c>
      <c r="BP346" s="36" t="e">
        <f>BP347-BP348</f>
        <v>#DIV/0!</v>
      </c>
      <c r="BQ346" s="36" t="e">
        <f>BQ347-BQ348</f>
        <v>#DIV/0!</v>
      </c>
      <c r="BR346" s="36" t="e">
        <f>BR347-BR348</f>
        <v>#DIV/0!</v>
      </c>
      <c r="BS346" s="36" t="e">
        <f>BS347-BS348</f>
        <v>#DIV/0!</v>
      </c>
      <c r="BT346" s="36" t="e">
        <f>BT347-BT348</f>
        <v>#DIV/0!</v>
      </c>
      <c r="BU346" s="36" t="e">
        <f>BU347-BU348</f>
        <v>#DIV/0!</v>
      </c>
      <c r="BV346" s="36" t="e">
        <f>BV347-BV348</f>
        <v>#DIV/0!</v>
      </c>
      <c r="BW346" s="36" t="e">
        <f>BW347-BW348</f>
        <v>#DIV/0!</v>
      </c>
      <c r="BX346" s="36" t="e">
        <f>BX347-BX348</f>
        <v>#DIV/0!</v>
      </c>
      <c r="BY346" s="36" t="e">
        <f>BY347-BY348</f>
        <v>#DIV/0!</v>
      </c>
      <c r="BZ346" s="36" t="e">
        <f>BZ347-BZ348</f>
        <v>#DIV/0!</v>
      </c>
      <c r="CA346" s="36" t="e">
        <f>CA347-CA348</f>
        <v>#DIV/0!</v>
      </c>
      <c r="CB346" s="36" t="e">
        <f>CB347-CB348</f>
        <v>#DIV/0!</v>
      </c>
      <c r="CC346" s="36" t="e">
        <f>CC347-CC348</f>
        <v>#DIV/0!</v>
      </c>
      <c r="CD346" s="36" t="e">
        <f>CD347-CD348</f>
        <v>#DIV/0!</v>
      </c>
      <c r="CE346" s="36" t="e">
        <f>CE347-CE348</f>
        <v>#DIV/0!</v>
      </c>
      <c r="CF346" s="36" t="e">
        <f>CF347-CF348</f>
        <v>#DIV/0!</v>
      </c>
      <c r="CG346" s="36" t="e">
        <f>CG347-CG348</f>
        <v>#DIV/0!</v>
      </c>
      <c r="CH346" s="36" t="e">
        <f>CH347-CH348</f>
        <v>#DIV/0!</v>
      </c>
      <c r="CI346" s="36" t="e">
        <f>CI347-CI348</f>
        <v>#DIV/0!</v>
      </c>
      <c r="CJ346" s="36" t="e">
        <f>CJ347-CJ348</f>
        <v>#DIV/0!</v>
      </c>
      <c r="CK346" s="36" t="e">
        <f>CK347-CK348</f>
        <v>#DIV/0!</v>
      </c>
      <c r="CL346" s="36" t="e">
        <f>CL347-CL348</f>
        <v>#DIV/0!</v>
      </c>
      <c r="CM346" s="36" t="e">
        <f>CM347-CM348</f>
        <v>#DIV/0!</v>
      </c>
      <c r="CN346" s="36" t="e">
        <f>CN347-CN348</f>
        <v>#DIV/0!</v>
      </c>
      <c r="CO346" s="36" t="e">
        <f>CO347-CO348</f>
        <v>#DIV/0!</v>
      </c>
      <c r="CP346" s="36" t="e">
        <f>CP347-CP348</f>
        <v>#DIV/0!</v>
      </c>
      <c r="CQ346" s="36" t="e">
        <f>CQ347-CQ348</f>
        <v>#DIV/0!</v>
      </c>
      <c r="CR346" s="36" t="e">
        <f>CR347-CR348</f>
        <v>#DIV/0!</v>
      </c>
      <c r="CS346" s="36" t="e">
        <f>CS347-CS348</f>
        <v>#DIV/0!</v>
      </c>
      <c r="CT346" s="36" t="e">
        <f>CT347-CT348</f>
        <v>#DIV/0!</v>
      </c>
      <c r="CU346" s="36" t="e">
        <f>CU347-CU348</f>
        <v>#DIV/0!</v>
      </c>
      <c r="CV346" s="36" t="e">
        <f>CV347-CV348</f>
        <v>#DIV/0!</v>
      </c>
      <c r="CW346" s="36" t="e">
        <f>CW347-CW348</f>
        <v>#DIV/0!</v>
      </c>
      <c r="CX346" s="36" t="e">
        <f>CX347-CX348</f>
        <v>#DIV/0!</v>
      </c>
      <c r="CY346" s="36" t="e">
        <f>CY347-CY348</f>
        <v>#DIV/0!</v>
      </c>
    </row>
    <row r="347" customFormat="1" s="233">
      <c r="A347" s="224" t="n"/>
      <c r="B347" s="224" t="n"/>
      <c r="C347" s="233" t="inlineStr">
        <is>
          <t>CURRENT ASSETS</t>
        </is>
      </c>
      <c r="D347" s="241">
        <f>D139+D143+D147+D148+D149</f>
        <v>6813</v>
      </c>
      <c r="E347" s="241">
        <f>E139+E143+E147+E148+E149</f>
        <v>6721</v>
      </c>
      <c r="F347" s="241">
        <f>F139+F143+F147+F148+F149</f>
        <v>7213</v>
      </c>
      <c r="G347" s="241">
        <f>G139+G143+G147+G148+G149</f>
        <v>7333</v>
      </c>
      <c r="H347" s="241">
        <f>H139+H143+H147+H148+H149</f>
        <v>7333</v>
      </c>
      <c r="I347" s="226">
        <f>I139+I143+I147+I148+I149</f>
        <v>7564</v>
      </c>
      <c r="J347" s="226">
        <f>J139+J143+J147+J148+J149</f>
        <v>8464</v>
      </c>
      <c r="K347" s="226">
        <f>K139+K143+K147+K148+K149</f>
        <v>8907</v>
      </c>
      <c r="L347" s="226">
        <f>L139+L143+L147+L148+L149</f>
        <v>9393</v>
      </c>
      <c r="M347" s="226">
        <f>M139+M143+M147+M148+M149</f>
        <v>9393</v>
      </c>
      <c r="N347" s="226">
        <f>N139+N143+N147+N148+N149</f>
        <v>11037</v>
      </c>
      <c r="O347" s="226">
        <f>O139+O143+O147+O148+O149</f>
        <v>12307</v>
      </c>
      <c r="P347" s="226">
        <f>P139+P143+P147+P148+P149</f>
        <v>14883</v>
      </c>
      <c r="Q347" s="226">
        <f>Q139+Q143+Q147+Q148+Q149</f>
        <v>18732</v>
      </c>
      <c r="R347" s="226">
        <f>R139+R143+R147+R148+R149</f>
        <v>18732</v>
      </c>
      <c r="S347" s="226">
        <f>S139+S143+S147+S148+S149</f>
        <v>20595</v>
      </c>
      <c r="T347" s="226">
        <f>T139+T143+T147+T148+T149</f>
        <v>20800</v>
      </c>
      <c r="U347" s="226">
        <f>U139+U143+U147+U148+U149</f>
        <v>18949</v>
      </c>
      <c r="V347" s="226">
        <f>V139+V143+V147+V148+V149</f>
        <v>27255</v>
      </c>
      <c r="W347" s="226">
        <f>W139+W143+W147+W148+W149</f>
        <v>27255</v>
      </c>
      <c r="X347" s="226">
        <f>X139+X143+X147+X148+X149</f>
        <v>30441</v>
      </c>
      <c r="Y347" s="226">
        <f>Y139+Y143+Y147+Y148+Y149</f>
        <v>28949</v>
      </c>
      <c r="Z347" s="226">
        <f>Z139+Z143+Z147+Z148+Z149</f>
        <v>29217</v>
      </c>
      <c r="AA347" s="226">
        <f>AA139+AA143+AA147+AA148+AA149</f>
        <v>28321</v>
      </c>
      <c r="AB347" s="226">
        <f>AB139+AB143+AB147+AB148+AB149</f>
        <v>28321</v>
      </c>
      <c r="AC347" s="226">
        <f>AC139+AC143+AC147+AC148+AC149</f>
        <v>29080</v>
      </c>
      <c r="AD347" s="226">
        <f>AD139+AD143+AD147+AD148+AD149</f>
        <v>31072</v>
      </c>
      <c r="AE347" s="226">
        <f>AE139+AE143+AE147+AE148+AE149</f>
        <v>29643</v>
      </c>
      <c r="AF347" s="226">
        <f>AF139+AF143+AF147+AF148+AF149</f>
        <v>31508</v>
      </c>
      <c r="AG347" s="226">
        <f>AG139+AG143+AG147+AG148+AG149</f>
        <v>31508</v>
      </c>
      <c r="AH347" s="226">
        <f>AH139+AH143+AH147+AH148+AH149</f>
        <v>32065</v>
      </c>
      <c r="AI347" s="226">
        <f>AI139+AI143+AI147+AI148+AI149</f>
        <v>32469</v>
      </c>
      <c r="AJ347" s="226">
        <f>AJ139+AJ143+AJ147+AJ148+AJ149</f>
        <v>14630</v>
      </c>
      <c r="AK347" s="226">
        <f>AK139+AK143+AK147+AK148+AK149</f>
        <v>14630</v>
      </c>
      <c r="AL347" s="226">
        <f>AL139+AL143+AL147+AL148+AL149</f>
        <v>14630</v>
      </c>
      <c r="AM347" s="226">
        <f>AM139+AM143+AM147+AM148+AM149</f>
        <v>14630</v>
      </c>
      <c r="AN347" s="226">
        <f>AN139+AN143+AN147+AN148+AN149</f>
        <v>14630</v>
      </c>
      <c r="AO347" s="226">
        <f>AO139+AO143+AO147+AO148+AO149</f>
        <v>14630</v>
      </c>
      <c r="AP347" s="226">
        <f>AP139+AP143+AP147+AP148+AP149</f>
        <v>14630</v>
      </c>
      <c r="AQ347" s="226">
        <f>AQ139+AQ143+AQ147+AQ148+AQ149</f>
        <v>14630</v>
      </c>
      <c r="AR347" s="226">
        <f>AR139+AR143+AR147+AR148+AR149</f>
        <v>14630</v>
      </c>
      <c r="AS347" s="226">
        <f>AS139+AS143+AS147+AS148+AS149</f>
        <v>14630</v>
      </c>
      <c r="AT347" s="226">
        <f>AT139+AT143+AT147+AT148+AT149</f>
        <v>14630</v>
      </c>
      <c r="AU347" s="226">
        <f>AU139+AU143+AU147+AU148+AU149</f>
        <v>14630</v>
      </c>
      <c r="AV347" s="226">
        <f>AV139+AV143+AV147+AV148+AV149</f>
        <v>14630</v>
      </c>
      <c r="AW347" s="226">
        <f>AW139+AW143+AW147+AW148+AW149</f>
        <v>14630</v>
      </c>
      <c r="AX347" s="226">
        <f>AX139+AX143+AX147+AX148+AX149</f>
        <v>14630</v>
      </c>
      <c r="AY347" s="226">
        <f>AY139+AY143+AY147+AY148+AY149</f>
        <v>14630</v>
      </c>
      <c r="AZ347" s="226">
        <f>AZ139+AZ143+AZ147+AZ148+AZ149</f>
        <v>14630</v>
      </c>
      <c r="BA347" s="226">
        <f>BA139+BA143+BA147+BA148+BA149</f>
        <v>14630</v>
      </c>
      <c r="BB347" s="226">
        <f>BB139+BB143+BB147+BB148+BB149</f>
        <v>14630</v>
      </c>
      <c r="BC347" s="226">
        <f>BC139+BC143+BC147+BC148+BC149</f>
        <v>14630</v>
      </c>
      <c r="BD347" s="226">
        <f>BD139+BD143+BD147+BD148+BD149</f>
        <v>14630</v>
      </c>
      <c r="BE347" s="226">
        <f>BE139+BE143+BE147+BE148+BE149</f>
        <v>14630</v>
      </c>
      <c r="BF347" s="226">
        <f>BF139+BF143+BF147+BF148+BF149</f>
        <v>14630</v>
      </c>
      <c r="BG347" s="226">
        <f>BG139+BG143+BG147+BG148+BG149</f>
        <v>14630</v>
      </c>
      <c r="BH347" s="226">
        <f>BH139+BH143+BH147+BH148+BH149</f>
        <v>14630</v>
      </c>
      <c r="BI347" s="226">
        <f>BI139+BI143+BI147+BI148+BI149</f>
        <v>14630</v>
      </c>
      <c r="BJ347" s="226">
        <f>BJ139+BJ143+BJ147+BJ148+BJ149</f>
        <v>14630</v>
      </c>
      <c r="BK347" s="226">
        <f>BK139+BK143+BK147+BK148+BK149</f>
        <v>14630</v>
      </c>
      <c r="BL347" s="226">
        <f>BL139+BL143+BL147+BL148+BL149</f>
        <v>14630</v>
      </c>
      <c r="BM347" s="226">
        <f>BM139+BM143+BM147+BM148+BM149</f>
        <v>14630</v>
      </c>
      <c r="BN347" s="226">
        <f>BN139+BN143+BN147+BN148+BN149</f>
        <v>14630</v>
      </c>
      <c r="BO347" s="226">
        <f>BO139+BO143+BO147+BO148+BO149</f>
        <v>14630</v>
      </c>
      <c r="BP347" s="226">
        <f>BP139+BP143+BP147+BP148+BP149</f>
        <v>14630</v>
      </c>
      <c r="BQ347" s="226">
        <f>BQ139+BQ143+BQ147+BQ148+BQ149</f>
        <v>14630</v>
      </c>
      <c r="BR347" s="226">
        <f>BR139+BR143+BR147+BR148+BR149</f>
        <v>14630</v>
      </c>
      <c r="BS347" s="226">
        <f>BS139+BS143+BS147+BS148+BS149</f>
        <v>14630</v>
      </c>
      <c r="BT347" s="226">
        <f>BT139+BT143+BT147+BT148+BT149</f>
        <v>14630</v>
      </c>
      <c r="BU347" s="226">
        <f>BU139+BU143+BU147+BU148+BU149</f>
        <v>14630</v>
      </c>
      <c r="BV347" s="226">
        <f>BV139+BV143+BV147+BV148+BV149</f>
        <v>14630</v>
      </c>
      <c r="BW347" s="226">
        <f>BW139+BW143+BW147+BW148+BW149</f>
        <v>14630</v>
      </c>
      <c r="BX347" s="226">
        <f>BX139+BX143+BX147+BX148+BX149</f>
        <v>14630</v>
      </c>
      <c r="BY347" s="226">
        <f>BY139+BY143+BY147+BY148+BY149</f>
        <v>14630</v>
      </c>
      <c r="BZ347" s="226">
        <f>BZ139+BZ143+BZ147+BZ148+BZ149</f>
        <v>14630</v>
      </c>
      <c r="CA347" s="226">
        <f>CA139+CA143+CA147+CA148+CA149</f>
        <v>14630</v>
      </c>
      <c r="CB347" s="226">
        <f>CB139+CB143+CB147+CB148+CB149</f>
        <v>14630</v>
      </c>
      <c r="CC347" s="226">
        <f>CC139+CC143+CC147+CC148+CC149</f>
        <v>14630</v>
      </c>
      <c r="CD347" s="226">
        <f>CD139+CD143+CD147+CD148+CD149</f>
        <v>14630</v>
      </c>
      <c r="CE347" s="226">
        <f>CE139+CE143+CE147+CE148+CE149</f>
        <v>14630</v>
      </c>
      <c r="CF347" s="226">
        <f>CF139+CF143+CF147+CF148+CF149</f>
        <v>14630</v>
      </c>
      <c r="CG347" s="226">
        <f>CG139+CG143+CG147+CG148+CG149</f>
        <v>14630</v>
      </c>
      <c r="CH347" s="226">
        <f>CH139+CH143+CH147+CH148+CH149</f>
        <v>14630</v>
      </c>
      <c r="CI347" s="226">
        <f>CI139+CI143+CI147+CI148+CI149</f>
        <v>14630</v>
      </c>
      <c r="CJ347" s="226">
        <f>CJ139+CJ143+CJ147+CJ148+CJ149</f>
        <v>14630</v>
      </c>
      <c r="CK347" s="226">
        <f>CK139+CK143+CK147+CK148+CK149</f>
        <v>14630</v>
      </c>
      <c r="CL347" s="226">
        <f>CL139+CL143+CL147+CL148+CL149</f>
        <v>14630</v>
      </c>
      <c r="CM347" s="226">
        <f>CM139+CM143+CM147+CM148+CM149</f>
        <v>14630</v>
      </c>
      <c r="CN347" s="226">
        <f>CN139+CN143+CN147+CN148+CN149</f>
        <v>14630</v>
      </c>
      <c r="CO347" s="226">
        <f>CO139+CO143+CO147+CO148+CO149</f>
        <v>14630</v>
      </c>
      <c r="CP347" s="226">
        <f>CP139+CP143+CP147+CP148+CP149</f>
        <v>14630</v>
      </c>
      <c r="CQ347" s="226">
        <f>CQ139+CQ143+CQ147+CQ148+CQ149</f>
        <v>14630</v>
      </c>
      <c r="CR347" s="226">
        <f>CR139+CR143+CR147+CR148+CR149</f>
        <v>14630</v>
      </c>
      <c r="CS347" s="226">
        <f>CS139+CS143+CS147+CS148+CS149</f>
        <v>14630</v>
      </c>
      <c r="CT347" s="226">
        <f>CT139+CT143+CT147+CT148+CT149</f>
        <v>14630</v>
      </c>
      <c r="CU347" s="226">
        <f>CU139+CU143+CU147+CU148+CU149</f>
        <v>14630</v>
      </c>
      <c r="CV347" s="226">
        <f>CV139+CV143+CV147+CV148+CV149</f>
        <v>14630</v>
      </c>
      <c r="CW347" s="226">
        <f>CW139+CW143+CW147+CW148+CW149</f>
        <v>14630</v>
      </c>
      <c r="CX347" s="226">
        <f>CX139+CX143+CX147+CX148+CX149</f>
        <v>14630</v>
      </c>
      <c r="CY347" s="226">
        <f>CY139+CY143+CY147+CY148+CY149</f>
        <v>14630</v>
      </c>
    </row>
    <row r="348" customFormat="1" s="233">
      <c r="A348" s="224" t="n"/>
      <c r="B348" s="224" t="n"/>
      <c r="C348" s="233" t="inlineStr">
        <is>
          <t>CURRENT LIABILITIES</t>
        </is>
      </c>
      <c r="D348" s="241">
        <f>D192+D196+D198+D199</f>
        <v>11986</v>
      </c>
      <c r="E348" s="241">
        <f>E192+E196+E198+E199</f>
        <v>12270</v>
      </c>
      <c r="F348" s="241">
        <f>F192+F196+F198+F199</f>
        <v>13302</v>
      </c>
      <c r="G348" s="241">
        <f>G192+G196+G198+G199</f>
        <v>14248</v>
      </c>
      <c r="H348" s="241">
        <f>H192+H196+H198+H199</f>
        <v>14248</v>
      </c>
      <c r="I348" s="226">
        <f>I192+I196+I198+I199</f>
        <v>14877</v>
      </c>
      <c r="J348" s="226">
        <f>J192+J196+J198+J199</f>
        <v>16371</v>
      </c>
      <c r="K348" s="226">
        <f>K192+K196+K198+K199</f>
        <v>18051</v>
      </c>
      <c r="L348" s="226">
        <f>L192+L196+L198+L199</f>
        <v>19705</v>
      </c>
      <c r="M348" s="226">
        <f>M192+M196+M198+M199</f>
        <v>19705</v>
      </c>
      <c r="N348" s="226">
        <f>N192+N196+N198+N199</f>
        <v>21455</v>
      </c>
      <c r="O348" s="226">
        <f>O192+O196+O198+O199</f>
        <v>21821</v>
      </c>
      <c r="P348" s="226">
        <f>P192+P196+P198+P199</f>
        <v>24611</v>
      </c>
      <c r="Q348" s="226">
        <f>Q192+Q196+Q198+Q199</f>
        <v>26709</v>
      </c>
      <c r="R348" s="226">
        <f>R192+R196+R198+R199</f>
        <v>26709</v>
      </c>
      <c r="S348" s="226">
        <f>S192+S196+S198+S199</f>
        <v>27436</v>
      </c>
      <c r="T348" s="226">
        <f>T192+T196+T198+T199</f>
        <v>27592</v>
      </c>
      <c r="U348" s="226">
        <f>U192+U196+U198+U199</f>
        <v>26640</v>
      </c>
      <c r="V348" s="226">
        <f>V192+V196+V198+V199</f>
        <v>28748</v>
      </c>
      <c r="W348" s="226">
        <f>W192+W196+W198+W199</f>
        <v>28748</v>
      </c>
      <c r="X348" s="226">
        <f>X192+X196+X198+X199</f>
        <v>29453</v>
      </c>
      <c r="Y348" s="226">
        <f>Y192+Y196+Y198+Y199</f>
        <v>27729</v>
      </c>
      <c r="Z348" s="226">
        <f>Z192+Z196+Z198+Z199</f>
        <v>30577</v>
      </c>
      <c r="AA348" s="226">
        <f>AA192+AA196+AA198+AA199</f>
        <v>28821</v>
      </c>
      <c r="AB348" s="226">
        <f>AB192+AB196+AB198+AB199</f>
        <v>28821</v>
      </c>
      <c r="AC348" s="226">
        <f>AC192+AC196+AC198+AC199</f>
        <v>29753</v>
      </c>
      <c r="AD348" s="226">
        <f>AD192+AD196+AD198+AD199</f>
        <v>30008</v>
      </c>
      <c r="AE348" s="226">
        <f>AE192+AE196+AE198+AE199</f>
        <v>31290</v>
      </c>
      <c r="AF348" s="226">
        <f>AF192+AF196+AF198+AF199</f>
        <v>31714</v>
      </c>
      <c r="AG348" s="226">
        <f>AG192+AG196+AG198+AG199</f>
        <v>31714</v>
      </c>
      <c r="AH348" s="226">
        <f>AH192+AH196+AH198+AH199</f>
        <v>34138</v>
      </c>
      <c r="AI348" s="226">
        <f>AI192+AI196+AI198+AI199</f>
        <v>35425</v>
      </c>
      <c r="AJ348" s="226">
        <f>AJ192+AJ196+AJ198+AJ199</f>
        <v>20101</v>
      </c>
      <c r="AK348" s="226">
        <f>AK192+AK196+AK198+AK199</f>
        <v>20101</v>
      </c>
      <c r="AL348" s="226">
        <f>AL192+AL196+AL198+AL199</f>
        <v>20101</v>
      </c>
      <c r="AM348" s="226" t="e">
        <f>AM192+AM196+AM198+AM199</f>
        <v>#DIV/0!</v>
      </c>
      <c r="AN348" s="226">
        <f>AN192+AN196+AN198+AN199</f>
        <v>20101</v>
      </c>
      <c r="AO348" s="226" t="e">
        <f>AO192+AO196+AO198+AO199</f>
        <v>#DIV/0!</v>
      </c>
      <c r="AP348" s="226" t="e">
        <f>AP192+AP196+AP198+AP199</f>
        <v>#DIV/0!</v>
      </c>
      <c r="AQ348" s="226" t="e">
        <f>AQ192+AQ196+AQ198+AQ199</f>
        <v>#DIV/0!</v>
      </c>
      <c r="AR348" s="226" t="e">
        <f>AR192+AR196+AR198+AR199</f>
        <v>#DIV/0!</v>
      </c>
      <c r="AS348" s="226" t="e">
        <f>AS192+AS196+AS198+AS199</f>
        <v>#DIV/0!</v>
      </c>
      <c r="AT348" s="226" t="e">
        <f>AT192+AT196+AT198+AT199</f>
        <v>#DIV/0!</v>
      </c>
      <c r="AU348" s="226" t="e">
        <f>AU192+AU196+AU198+AU199</f>
        <v>#DIV/0!</v>
      </c>
      <c r="AV348" s="226" t="e">
        <f>AV192+AV196+AV198+AV199</f>
        <v>#DIV/0!</v>
      </c>
      <c r="AW348" s="226" t="e">
        <f>AW192+AW196+AW198+AW199</f>
        <v>#DIV/0!</v>
      </c>
      <c r="AX348" s="226" t="e">
        <f>AX192+AX196+AX198+AX199</f>
        <v>#DIV/0!</v>
      </c>
      <c r="AY348" s="226" t="e">
        <f>AY192+AY196+AY198+AY199</f>
        <v>#DIV/0!</v>
      </c>
      <c r="AZ348" s="226" t="e">
        <f>AZ192+AZ196+AZ198+AZ199</f>
        <v>#DIV/0!</v>
      </c>
      <c r="BA348" s="226" t="e">
        <f>BA192+BA196+BA198+BA199</f>
        <v>#DIV/0!</v>
      </c>
      <c r="BB348" s="226" t="e">
        <f>BB192+BB196+BB198+BB199</f>
        <v>#DIV/0!</v>
      </c>
      <c r="BC348" s="226" t="e">
        <f>BC192+BC196+BC198+BC199</f>
        <v>#DIV/0!</v>
      </c>
      <c r="BD348" s="226" t="e">
        <f>BD192+BD196+BD198+BD199</f>
        <v>#DIV/0!</v>
      </c>
      <c r="BE348" s="226" t="e">
        <f>BE192+BE196+BE198+BE199</f>
        <v>#DIV/0!</v>
      </c>
      <c r="BF348" s="226" t="e">
        <f>BF192+BF196+BF198+BF199</f>
        <v>#DIV/0!</v>
      </c>
      <c r="BG348" s="226" t="e">
        <f>BG192+BG196+BG198+BG199</f>
        <v>#DIV/0!</v>
      </c>
      <c r="BH348" s="226" t="e">
        <f>BH192+BH196+BH198+BH199</f>
        <v>#DIV/0!</v>
      </c>
      <c r="BI348" s="226" t="e">
        <f>BI192+BI196+BI198+BI199</f>
        <v>#DIV/0!</v>
      </c>
      <c r="BJ348" s="226" t="e">
        <f>BJ192+BJ196+BJ198+BJ199</f>
        <v>#DIV/0!</v>
      </c>
      <c r="BK348" s="226" t="e">
        <f>BK192+BK196+BK198+BK199</f>
        <v>#DIV/0!</v>
      </c>
      <c r="BL348" s="226" t="e">
        <f>BL192+BL196+BL198+BL199</f>
        <v>#DIV/0!</v>
      </c>
      <c r="BM348" s="226" t="e">
        <f>BM192+BM196+BM198+BM199</f>
        <v>#DIV/0!</v>
      </c>
      <c r="BN348" s="226" t="e">
        <f>BN192+BN196+BN198+BN199</f>
        <v>#DIV/0!</v>
      </c>
      <c r="BO348" s="226" t="e">
        <f>BO192+BO196+BO198+BO199</f>
        <v>#DIV/0!</v>
      </c>
      <c r="BP348" s="226" t="e">
        <f>BP192+BP196+BP198+BP199</f>
        <v>#DIV/0!</v>
      </c>
      <c r="BQ348" s="226" t="e">
        <f>BQ192+BQ196+BQ198+BQ199</f>
        <v>#DIV/0!</v>
      </c>
      <c r="BR348" s="226" t="e">
        <f>BR192+BR196+BR198+BR199</f>
        <v>#DIV/0!</v>
      </c>
      <c r="BS348" s="226" t="e">
        <f>BS192+BS196+BS198+BS199</f>
        <v>#DIV/0!</v>
      </c>
      <c r="BT348" s="226" t="e">
        <f>BT192+BT196+BT198+BT199</f>
        <v>#DIV/0!</v>
      </c>
      <c r="BU348" s="226" t="e">
        <f>BU192+BU196+BU198+BU199</f>
        <v>#DIV/0!</v>
      </c>
      <c r="BV348" s="226" t="e">
        <f>BV192+BV196+BV198+BV199</f>
        <v>#DIV/0!</v>
      </c>
      <c r="BW348" s="226" t="e">
        <f>BW192+BW196+BW198+BW199</f>
        <v>#DIV/0!</v>
      </c>
      <c r="BX348" s="226" t="e">
        <f>BX192+BX196+BX198+BX199</f>
        <v>#DIV/0!</v>
      </c>
      <c r="BY348" s="226" t="e">
        <f>BY192+BY196+BY198+BY199</f>
        <v>#DIV/0!</v>
      </c>
      <c r="BZ348" s="226" t="e">
        <f>BZ192+BZ196+BZ198+BZ199</f>
        <v>#DIV/0!</v>
      </c>
      <c r="CA348" s="226" t="e">
        <f>CA192+CA196+CA198+CA199</f>
        <v>#DIV/0!</v>
      </c>
      <c r="CB348" s="226" t="e">
        <f>CB192+CB196+CB198+CB199</f>
        <v>#DIV/0!</v>
      </c>
      <c r="CC348" s="226" t="e">
        <f>CC192+CC196+CC198+CC199</f>
        <v>#DIV/0!</v>
      </c>
      <c r="CD348" s="226" t="e">
        <f>CD192+CD196+CD198+CD199</f>
        <v>#DIV/0!</v>
      </c>
      <c r="CE348" s="226" t="e">
        <f>CE192+CE196+CE198+CE199</f>
        <v>#DIV/0!</v>
      </c>
      <c r="CF348" s="226" t="e">
        <f>CF192+CF196+CF198+CF199</f>
        <v>#DIV/0!</v>
      </c>
      <c r="CG348" s="226" t="e">
        <f>CG192+CG196+CG198+CG199</f>
        <v>#DIV/0!</v>
      </c>
      <c r="CH348" s="226" t="e">
        <f>CH192+CH196+CH198+CH199</f>
        <v>#DIV/0!</v>
      </c>
      <c r="CI348" s="226" t="e">
        <f>CI192+CI196+CI198+CI199</f>
        <v>#DIV/0!</v>
      </c>
      <c r="CJ348" s="226" t="e">
        <f>CJ192+CJ196+CJ198+CJ199</f>
        <v>#DIV/0!</v>
      </c>
      <c r="CK348" s="226" t="e">
        <f>CK192+CK196+CK198+CK199</f>
        <v>#DIV/0!</v>
      </c>
      <c r="CL348" s="226" t="e">
        <f>CL192+CL196+CL198+CL199</f>
        <v>#DIV/0!</v>
      </c>
      <c r="CM348" s="226" t="e">
        <f>CM192+CM196+CM198+CM199</f>
        <v>#DIV/0!</v>
      </c>
      <c r="CN348" s="226" t="e">
        <f>CN192+CN196+CN198+CN199</f>
        <v>#DIV/0!</v>
      </c>
      <c r="CO348" s="226" t="e">
        <f>CO192+CO196+CO198+CO199</f>
        <v>#DIV/0!</v>
      </c>
      <c r="CP348" s="226" t="e">
        <f>CP192+CP196+CP198+CP199</f>
        <v>#DIV/0!</v>
      </c>
      <c r="CQ348" s="226" t="e">
        <f>CQ192+CQ196+CQ198+CQ199</f>
        <v>#DIV/0!</v>
      </c>
      <c r="CR348" s="226" t="e">
        <f>CR192+CR196+CR198+CR199</f>
        <v>#DIV/0!</v>
      </c>
      <c r="CS348" s="226" t="e">
        <f>CS192+CS196+CS198+CS199</f>
        <v>#DIV/0!</v>
      </c>
      <c r="CT348" s="226" t="e">
        <f>CT192+CT196+CT198+CT199</f>
        <v>#DIV/0!</v>
      </c>
      <c r="CU348" s="226" t="e">
        <f>CU192+CU196+CU198+CU199</f>
        <v>#DIV/0!</v>
      </c>
      <c r="CV348" s="226" t="e">
        <f>CV192+CV196+CV198+CV199</f>
        <v>#DIV/0!</v>
      </c>
      <c r="CW348" s="226" t="e">
        <f>CW192+CW196+CW198+CW199</f>
        <v>#DIV/0!</v>
      </c>
      <c r="CX348" s="226" t="e">
        <f>CX192+CX196+CX198+CX199</f>
        <v>#DIV/0!</v>
      </c>
      <c r="CY348" s="226" t="e">
        <f>CY192+CY196+CY198+CY199</f>
        <v>#DIV/0!</v>
      </c>
    </row>
    <row r="349" customFormat="1" s="233">
      <c r="A349" s="224" t="n"/>
      <c r="B349" s="224" t="n"/>
      <c r="C349" s="233" t="inlineStr">
        <is>
          <t>FIXED ASSETS</t>
        </is>
      </c>
      <c r="D349" s="241">
        <f>D160+D170+D173+D174+D183-D234</f>
        <v>7825</v>
      </c>
      <c r="E349" s="241">
        <f>E160+E170+E173+E174+E183-E234</f>
        <v>8315</v>
      </c>
      <c r="F349" s="241">
        <f>F160+F170+F173+F174+F183-F234</f>
        <v>9106</v>
      </c>
      <c r="G349" s="241">
        <f>G160+G170+G173+G174+G183-G234</f>
        <v>11261</v>
      </c>
      <c r="H349" s="241">
        <f>H160+H170+H173+H174+H183-H234</f>
        <v>11261</v>
      </c>
      <c r="I349" s="226">
        <f>I160+I170+I173+I174+I183-I234</f>
        <v>14637</v>
      </c>
      <c r="J349" s="226">
        <f>J160+J170+J173+J174+J183-J234</f>
        <v>17928</v>
      </c>
      <c r="K349" s="226">
        <f>K160+K170+K173+K174+K183-K234</f>
        <v>21543</v>
      </c>
      <c r="L349" s="226">
        <f>L160+L170+L173+L174+L183-L234</f>
        <v>24188</v>
      </c>
      <c r="M349" s="226">
        <f>M160+M170+M173+M174+M183-M234</f>
        <v>24188</v>
      </c>
      <c r="N349" s="226">
        <f>N160+N170+N173+N174+N183-N234</f>
        <v>27811</v>
      </c>
      <c r="O349" s="226">
        <f>O160+O170+O173+O174+O183-O234</f>
        <v>28257</v>
      </c>
      <c r="P349" s="226">
        <f>P160+P170+P173+P174+P183-P234</f>
        <v>29745</v>
      </c>
      <c r="Q349" s="226">
        <f>Q160+Q170+Q173+Q174+Q183-Q234</f>
        <v>31690</v>
      </c>
      <c r="R349" s="226">
        <f>R160+R170+R173+R174+R183-R234</f>
        <v>31690</v>
      </c>
      <c r="S349" s="226">
        <f>S160+S170+S173+S174+S183-S234</f>
        <v>33674</v>
      </c>
      <c r="T349" s="226">
        <f>T160+T170+T173+T174+T183-T234</f>
        <v>35899</v>
      </c>
      <c r="U349" s="226">
        <f>U160+U170+U173+U174+U183-U234</f>
        <v>36109</v>
      </c>
      <c r="V349" s="226">
        <f>V160+V170+V173+V174+V183-V234</f>
        <v>36008</v>
      </c>
      <c r="W349" s="226">
        <f>W160+W170+W173+W174+W183-W234</f>
        <v>36008</v>
      </c>
      <c r="X349" s="226">
        <f>X160+X170+X173+X174+X183-X234</f>
        <v>37329</v>
      </c>
      <c r="Y349" s="226">
        <f>Y160+Y170+Y173+Y174+Y183-Y234</f>
        <v>35323</v>
      </c>
      <c r="Z349" s="226">
        <f>Z160+Z170+Z173+Z174+Z183-Z234</f>
        <v>38422</v>
      </c>
      <c r="AA349" s="226">
        <f>AA160+AA170+AA173+AA174+AA183-AA234</f>
        <v>37617</v>
      </c>
      <c r="AB349" s="226">
        <f>AB160+AB170+AB173+AB174+AB183-AB234</f>
        <v>37617</v>
      </c>
      <c r="AC349" s="226">
        <f>AC160+AC170+AC173+AC174+AC183-AC234</f>
        <v>39095</v>
      </c>
      <c r="AD349" s="226">
        <f>AD160+AD170+AD173+AD174+AD183-AD234</f>
        <v>40226</v>
      </c>
      <c r="AE349" s="226">
        <f>AE160+AE170+AE173+AE174+AE183-AE234</f>
        <v>40716</v>
      </c>
      <c r="AF349" s="226">
        <f>AF160+AF170+AF173+AF174+AF183-AF234</f>
        <v>39012</v>
      </c>
      <c r="AG349" s="226">
        <f>AG160+AG170+AG173+AG174+AG183-AG234</f>
        <v>39012</v>
      </c>
      <c r="AH349" s="226">
        <f>AH160+AH170+AH173+AH174+AH183-AH234</f>
        <v>42132</v>
      </c>
      <c r="AI349" s="226">
        <f>AI160+AI170+AI173+AI174+AI183-AI234</f>
        <v>46951</v>
      </c>
      <c r="AJ349" s="226">
        <f>AJ160+AJ170+AJ173+AJ174+AJ183-AJ234</f>
        <v>46951</v>
      </c>
      <c r="AK349" s="226">
        <f>AK160+AK170+AK173+AK174+AK183-AK234</f>
        <v>46951</v>
      </c>
      <c r="AL349" s="226">
        <f>AL160+AL170+AL173+AL174+AL183-AL234</f>
        <v>46951</v>
      </c>
      <c r="AM349" s="226">
        <f>AM160+AM170+AM173+AM174+AM183-AM234</f>
        <v>46951</v>
      </c>
      <c r="AN349" s="226">
        <f>AN160+AN170+AN173+AN174+AN183-AN234</f>
        <v>46951</v>
      </c>
      <c r="AO349" s="226">
        <f>AO160+AO170+AO173+AO174+AO183-AO234</f>
        <v>46951</v>
      </c>
      <c r="AP349" s="226">
        <f>AP160+AP170+AP173+AP174+AP183-AP234</f>
        <v>46951</v>
      </c>
      <c r="AQ349" s="226">
        <f>AQ160+AQ170+AQ173+AQ174+AQ183-AQ234</f>
        <v>46951</v>
      </c>
      <c r="AR349" s="226">
        <f>AR160+AR170+AR173+AR174+AR183-AR234</f>
        <v>46951</v>
      </c>
      <c r="AS349" s="226">
        <f>AS160+AS170+AS173+AS174+AS183-AS234</f>
        <v>46951</v>
      </c>
      <c r="AT349" s="226">
        <f>AT160+AT170+AT173+AT174+AT183-AT234</f>
        <v>46951</v>
      </c>
      <c r="AU349" s="226">
        <f>AU160+AU170+AU173+AU174+AU183-AU234</f>
        <v>46951</v>
      </c>
      <c r="AV349" s="226">
        <f>AV160+AV170+AV173+AV174+AV183-AV234</f>
        <v>46951</v>
      </c>
      <c r="AW349" s="226">
        <f>AW160+AW170+AW173+AW174+AW183-AW234</f>
        <v>46951</v>
      </c>
      <c r="AX349" s="226">
        <f>AX160+AX170+AX173+AX174+AX183-AX234</f>
        <v>46951</v>
      </c>
      <c r="AY349" s="226">
        <f>AY160+AY170+AY173+AY174+AY183-AY234</f>
        <v>46951</v>
      </c>
      <c r="AZ349" s="226">
        <f>AZ160+AZ170+AZ173+AZ174+AZ183-AZ234</f>
        <v>46951</v>
      </c>
      <c r="BA349" s="226">
        <f>BA160+BA170+BA173+BA174+BA183-BA234</f>
        <v>46951</v>
      </c>
      <c r="BB349" s="226">
        <f>BB160+BB170+BB173+BB174+BB183-BB234</f>
        <v>46951</v>
      </c>
      <c r="BC349" s="226">
        <f>BC160+BC170+BC173+BC174+BC183-BC234</f>
        <v>46951</v>
      </c>
      <c r="BD349" s="226">
        <f>BD160+BD170+BD173+BD174+BD183-BD234</f>
        <v>46951</v>
      </c>
      <c r="BE349" s="226">
        <f>BE160+BE170+BE173+BE174+BE183-BE234</f>
        <v>46951</v>
      </c>
      <c r="BF349" s="226">
        <f>BF160+BF170+BF173+BF174+BF183-BF234</f>
        <v>46951</v>
      </c>
      <c r="BG349" s="226">
        <f>BG160+BG170+BG173+BG174+BG183-BG234</f>
        <v>46951</v>
      </c>
      <c r="BH349" s="226">
        <f>BH160+BH170+BH173+BH174+BH183-BH234</f>
        <v>46951</v>
      </c>
      <c r="BI349" s="226">
        <f>BI160+BI170+BI173+BI174+BI183-BI234</f>
        <v>46951</v>
      </c>
      <c r="BJ349" s="226">
        <f>BJ160+BJ170+BJ173+BJ174+BJ183-BJ234</f>
        <v>46951</v>
      </c>
      <c r="BK349" s="226">
        <f>BK160+BK170+BK173+BK174+BK183-BK234</f>
        <v>46951</v>
      </c>
      <c r="BL349" s="226">
        <f>BL160+BL170+BL173+BL174+BL183-BL234</f>
        <v>46951</v>
      </c>
      <c r="BM349" s="226">
        <f>BM160+BM170+BM173+BM174+BM183-BM234</f>
        <v>46951</v>
      </c>
      <c r="BN349" s="226">
        <f>BN160+BN170+BN173+BN174+BN183-BN234</f>
        <v>46951</v>
      </c>
      <c r="BO349" s="226">
        <f>BO160+BO170+BO173+BO174+BO183-BO234</f>
        <v>46951</v>
      </c>
      <c r="BP349" s="226">
        <f>BP160+BP170+BP173+BP174+BP183-BP234</f>
        <v>46951</v>
      </c>
      <c r="BQ349" s="226">
        <f>BQ160+BQ170+BQ173+BQ174+BQ183-BQ234</f>
        <v>46951</v>
      </c>
      <c r="BR349" s="226">
        <f>BR160+BR170+BR173+BR174+BR183-BR234</f>
        <v>46951</v>
      </c>
      <c r="BS349" s="226">
        <f>BS160+BS170+BS173+BS174+BS183-BS234</f>
        <v>46951</v>
      </c>
      <c r="BT349" s="226">
        <f>BT160+BT170+BT173+BT174+BT183-BT234</f>
        <v>46951</v>
      </c>
      <c r="BU349" s="226">
        <f>BU160+BU170+BU173+BU174+BU183-BU234</f>
        <v>46951</v>
      </c>
      <c r="BV349" s="226">
        <f>BV160+BV170+BV173+BV174+BV183-BV234</f>
        <v>46951</v>
      </c>
      <c r="BW349" s="226">
        <f>BW160+BW170+BW173+BW174+BW183-BW234</f>
        <v>46951</v>
      </c>
      <c r="BX349" s="226">
        <f>BX160+BX170+BX173+BX174+BX183-BX234</f>
        <v>46951</v>
      </c>
      <c r="BY349" s="226">
        <f>BY160+BY170+BY173+BY174+BY183-BY234</f>
        <v>46951</v>
      </c>
      <c r="BZ349" s="226">
        <f>BZ160+BZ170+BZ173+BZ174+BZ183-BZ234</f>
        <v>46951</v>
      </c>
      <c r="CA349" s="226">
        <f>CA160+CA170+CA173+CA174+CA183-CA234</f>
        <v>46951</v>
      </c>
      <c r="CB349" s="226">
        <f>CB160+CB170+CB173+CB174+CB183-CB234</f>
        <v>46951</v>
      </c>
      <c r="CC349" s="226">
        <f>CC160+CC170+CC173+CC174+CC183-CC234</f>
        <v>46951</v>
      </c>
      <c r="CD349" s="226">
        <f>CD160+CD170+CD173+CD174+CD183-CD234</f>
        <v>46951</v>
      </c>
      <c r="CE349" s="226">
        <f>CE160+CE170+CE173+CE174+CE183-CE234</f>
        <v>46951</v>
      </c>
      <c r="CF349" s="226">
        <f>CF160+CF170+CF173+CF174+CF183-CF234</f>
        <v>46951</v>
      </c>
      <c r="CG349" s="226">
        <f>CG160+CG170+CG173+CG174+CG183-CG234</f>
        <v>46951</v>
      </c>
      <c r="CH349" s="226">
        <f>CH160+CH170+CH173+CH174+CH183-CH234</f>
        <v>46951</v>
      </c>
      <c r="CI349" s="226">
        <f>CI160+CI170+CI173+CI174+CI183-CI234</f>
        <v>46951</v>
      </c>
      <c r="CJ349" s="226">
        <f>CJ160+CJ170+CJ173+CJ174+CJ183-CJ234</f>
        <v>46951</v>
      </c>
      <c r="CK349" s="226">
        <f>CK160+CK170+CK173+CK174+CK183-CK234</f>
        <v>46951</v>
      </c>
      <c r="CL349" s="226">
        <f>CL160+CL170+CL173+CL174+CL183-CL234</f>
        <v>46951</v>
      </c>
      <c r="CM349" s="226">
        <f>CM160+CM170+CM173+CM174+CM183-CM234</f>
        <v>46951</v>
      </c>
      <c r="CN349" s="226">
        <f>CN160+CN170+CN173+CN174+CN183-CN234</f>
        <v>46951</v>
      </c>
      <c r="CO349" s="226">
        <f>CO160+CO170+CO173+CO174+CO183-CO234</f>
        <v>46951</v>
      </c>
      <c r="CP349" s="226">
        <f>CP160+CP170+CP173+CP174+CP183-CP234</f>
        <v>46951</v>
      </c>
      <c r="CQ349" s="226">
        <f>CQ160+CQ170+CQ173+CQ174+CQ183-CQ234</f>
        <v>46951</v>
      </c>
      <c r="CR349" s="226">
        <f>CR160+CR170+CR173+CR174+CR183-CR234</f>
        <v>46951</v>
      </c>
      <c r="CS349" s="226">
        <f>CS160+CS170+CS173+CS174+CS183-CS234</f>
        <v>46951</v>
      </c>
      <c r="CT349" s="226">
        <f>CT160+CT170+CT173+CT174+CT183-CT234</f>
        <v>46951</v>
      </c>
      <c r="CU349" s="226">
        <f>CU160+CU170+CU173+CU174+CU183-CU234</f>
        <v>46951</v>
      </c>
      <c r="CV349" s="226">
        <f>CV160+CV170+CV173+CV174+CV183-CV234</f>
        <v>46951</v>
      </c>
      <c r="CW349" s="226">
        <f>CW160+CW170+CW173+CW174+CW183-CW234</f>
        <v>46951</v>
      </c>
      <c r="CX349" s="226">
        <f>CX160+CX170+CX173+CX174+CX183-CX234</f>
        <v>46951</v>
      </c>
      <c r="CY349" s="226">
        <f>CY160+CY170+CY173+CY174+CY183-CY234</f>
        <v>46951</v>
      </c>
    </row>
    <row r="350" customFormat="1" s="233">
      <c r="A350" s="224" t="n"/>
      <c r="B350" s="224" t="n"/>
    </row>
    <row r="351" customFormat="1" s="233">
      <c r="A351" s="224" t="n"/>
      <c r="B351" s="224" t="n"/>
    </row>
    <row r="352" customFormat="1" s="233">
      <c r="A352" s="224" t="n"/>
      <c r="B352" s="224" t="n"/>
    </row>
    <row r="353" customFormat="1" s="233">
      <c r="A353" s="224" t="n"/>
      <c r="B353" s="224" t="n"/>
    </row>
    <row r="354" customFormat="1" s="233">
      <c r="A354" s="224" t="n"/>
      <c r="B354" s="224" t="n"/>
    </row>
    <row r="355" customFormat="1" s="233">
      <c r="A355" s="224" t="n"/>
      <c r="B355" s="224" t="n"/>
    </row>
    <row r="356" customFormat="1" s="233">
      <c r="A356" s="224" t="n"/>
      <c r="B356" s="224" t="n"/>
    </row>
    <row r="357" customFormat="1" s="233">
      <c r="A357" s="224" t="n"/>
      <c r="B357" s="224" t="n"/>
      <c r="C357" s="234" t="inlineStr">
        <is>
          <t>DUPONT ANALYSIS</t>
        </is>
      </c>
    </row>
    <row r="358" customFormat="1" s="233">
      <c r="A358" s="224" t="n"/>
      <c r="B358" s="224" t="n"/>
      <c r="C358" s="233" t="inlineStr">
        <is>
          <t>NET PROFIT MARGIN</t>
        </is>
      </c>
      <c r="D358" s="238">
        <f>D131/D15</f>
        <v>0.00267335004177109</v>
      </c>
      <c r="E358" s="238">
        <f>E131/E15</f>
        <v>0.0172299536116634</v>
      </c>
      <c r="F358" s="238">
        <f>F131/F15</f>
        <v>0.0377380002280242</v>
      </c>
      <c r="G358" s="238">
        <f>G131/G15</f>
        <v>0.0251303052866716</v>
      </c>
      <c r="I358" s="222">
        <f>I131/I15</f>
        <v>0.0421599768986428</v>
      </c>
      <c r="J358" s="222">
        <f>J131/J15</f>
        <v>0.0955009198862686</v>
      </c>
      <c r="K358" s="222">
        <f>K131/K15</f>
        <v>0.117612851639166</v>
      </c>
      <c r="L358" s="222">
        <f>L131/L15</f>
        <v>0.130989333483831</v>
      </c>
      <c r="N358" s="222">
        <f>N131/N15</f>
        <v>0.176903390914907</v>
      </c>
      <c r="O358" s="222">
        <f>O131/O15</f>
        <v>0.13340025983229</v>
      </c>
      <c r="P358" s="222">
        <f>P131/P15</f>
        <v>0.153444579099469</v>
      </c>
      <c r="Q358" s="222">
        <f>Q131/Q15</f>
        <v>0.151616086849247</v>
      </c>
      <c r="S358" s="222">
        <f>S131/S15</f>
        <v>0.107720005143812</v>
      </c>
      <c r="T358" s="222">
        <f>T131/T15</f>
        <v>0.108436634974124</v>
      </c>
      <c r="U358" s="222">
        <f>U131/U15</f>
        <v>0.0793576017130621</v>
      </c>
      <c r="V358" s="222">
        <f>V131/V15</f>
        <v>0.315015695156356</v>
      </c>
      <c r="X358" s="222">
        <f>X131/X15</f>
        <v>0.0652551523402657</v>
      </c>
      <c r="Y358" s="222">
        <f>Y131/Y15</f>
        <v>0.0549019607843137</v>
      </c>
      <c r="Z358" s="222">
        <f>Z131/Z15</f>
        <v>0.0862917957271067</v>
      </c>
      <c r="AA358" s="222">
        <f>AA131/AA15</f>
        <v>0.0827790096082779</v>
      </c>
      <c r="AC358" s="222">
        <f>AC131/AC15</f>
        <v>0.0211533488492371</v>
      </c>
      <c r="AD358" s="222">
        <f>AD131/AD15</f>
        <v>0.0520981507823613</v>
      </c>
      <c r="AE358" s="222">
        <f>AE131/AE15</f>
        <v>0.0488699056771668</v>
      </c>
      <c r="AF358" s="222">
        <f>AF131/AF15</f>
        <v>0.0337335849965865</v>
      </c>
      <c r="AH358" s="222">
        <f>AH131/AH15</f>
        <v>0.0213070085317372</v>
      </c>
      <c r="AI358" s="222">
        <f>AI131/AI15</f>
        <v>0.0394531803371582</v>
      </c>
      <c r="AJ358" s="222">
        <f>AJ131/AJ15</f>
        <v>-0.00416444207154298</v>
      </c>
      <c r="AK358" s="222">
        <f>AK131/AK15</f>
        <v>0.0399983936388097</v>
      </c>
      <c r="AM358" s="222">
        <f>AM131/AM15</f>
        <v>0.0445794434269889</v>
      </c>
      <c r="AN358" s="222">
        <f>AN131/AN15</f>
        <v>0.0640317325400198</v>
      </c>
      <c r="AO358" s="222">
        <f>AO131/AO15</f>
        <v>0.0354511478910838</v>
      </c>
      <c r="AP358" s="222">
        <f>AP131/AP15</f>
        <v>0.0725272077426609</v>
      </c>
      <c r="AR358" s="222">
        <f>AR131/AR15</f>
        <v>0.080761156028052</v>
      </c>
      <c r="AS358" s="222">
        <f>AS131/AS15</f>
        <v>0.200240827312651</v>
      </c>
      <c r="AT358" s="222">
        <f>AT131/AT15</f>
        <v>0.0642819006940737</v>
      </c>
      <c r="AU358" s="222">
        <f>AU131/AU15</f>
        <v>0.226978836191318</v>
      </c>
      <c r="AW358" s="222">
        <f>AW131/AW15</f>
        <v>0.252557287711618</v>
      </c>
      <c r="AX358" s="222">
        <f>AX131/AX15</f>
        <v>0.53003258251877</v>
      </c>
      <c r="AY358" s="222">
        <f>AY131/AY15</f>
        <v>0.201174586225307</v>
      </c>
      <c r="AZ358" s="222">
        <f>AZ131/AZ15</f>
        <v>0.600939721296333</v>
      </c>
      <c r="BB358" s="222">
        <f>BB131/BB15</f>
        <v>0.668512976280877</v>
      </c>
      <c r="BC358" s="222">
        <f>BC131/BC15</f>
        <v>1.46203428247627</v>
      </c>
      <c r="BD358" s="222">
        <f>BD131/BD15</f>
        <v>0.532621462893753</v>
      </c>
      <c r="BE358" s="222">
        <f>BE131/BE15</f>
        <v>1.65776474840368</v>
      </c>
      <c r="BG358" s="222">
        <f>BG131/BG15</f>
        <v>1.84401661678653</v>
      </c>
      <c r="BH358" s="222">
        <f>BH131/BH15</f>
        <v>3.98562119280351</v>
      </c>
      <c r="BI358" s="222">
        <f>BI131/BI15</f>
        <v>1.46930058729311</v>
      </c>
      <c r="BJ358" s="222">
        <f>BJ131/BJ15</f>
        <v>4.5193365728284</v>
      </c>
      <c r="BL358" s="222">
        <f>BL131/BL15</f>
        <v>5.02693527493635</v>
      </c>
      <c r="BM358" s="222">
        <f>BM131/BM15</f>
        <v>10.896798413373</v>
      </c>
      <c r="BN358" s="222">
        <f>BN131/BN15</f>
        <v>4.00555258942872</v>
      </c>
      <c r="BO358" s="222">
        <f>BO131/BO15</f>
        <v>12.3561302758925</v>
      </c>
      <c r="BQ358" s="222">
        <f>BQ131/BQ15</f>
        <v>13.7437798722473</v>
      </c>
      <c r="BR358" s="222">
        <f>BR131/BR15</f>
        <v>29.7663266751665</v>
      </c>
      <c r="BS358" s="222">
        <f>BS131/BS15</f>
        <v>10.9514148424987</v>
      </c>
      <c r="BT358" s="222">
        <f>BT131/BT15</f>
        <v>33.7528613308702</v>
      </c>
      <c r="BV358" s="222">
        <f>BV131/BV15</f>
        <v>37.5433063831688</v>
      </c>
      <c r="BW358" s="222">
        <f>BW131/BW15</f>
        <v>81.3277376398923</v>
      </c>
      <c r="BX358" s="222">
        <f>BX131/BX15</f>
        <v>29.9156433529098</v>
      </c>
      <c r="BY358" s="222">
        <f>BY131/BY15</f>
        <v>92.2199108469539</v>
      </c>
      <c r="CA358" s="222">
        <f>CA131/CA15</f>
        <v>102.576048599634</v>
      </c>
      <c r="CB358" s="222">
        <f>CB131/CB15</f>
        <v>222.189616092931</v>
      </c>
      <c r="CC358" s="222">
        <f>CC131/CC15</f>
        <v>81.7358248798719</v>
      </c>
      <c r="CD358" s="222">
        <f>CD131/CD15</f>
        <v>251.947471989077</v>
      </c>
      <c r="CF358" s="222">
        <f>CF131/CF15</f>
        <v>280.240586054407</v>
      </c>
      <c r="CG358" s="222">
        <f>CG131/CG15</f>
        <v>607.03619492846</v>
      </c>
      <c r="CH358" s="222">
        <f>CH131/CH15</f>
        <v>223.304644954618</v>
      </c>
      <c r="CI358" s="222">
        <f>CI131/CI15</f>
        <v>688.33669330549</v>
      </c>
      <c r="CK358" s="222">
        <f>CK131/CK15</f>
        <v>765.635145396882</v>
      </c>
      <c r="CL358" s="222">
        <f>CL131/CL15</f>
        <v>1658.4531095056</v>
      </c>
      <c r="CM358" s="222">
        <f>CM131/CM15</f>
        <v>610.082648158035</v>
      </c>
      <c r="CN358" s="222">
        <f>CN131/CN15</f>
        <v>1880.57025822256</v>
      </c>
      <c r="CP358" s="222">
        <f>CP131/CP15</f>
        <v>2091.75333899138</v>
      </c>
      <c r="CQ358" s="222">
        <f>CQ131/CQ15</f>
        <v>4530.98009633093</v>
      </c>
      <c r="CR358" s="222">
        <f>CR131/CR15</f>
        <v>1666.77629471436</v>
      </c>
      <c r="CS358" s="222">
        <f>CS131/CS15</f>
        <v>5137.81583068953</v>
      </c>
      <c r="CU358" s="222">
        <f>CU131/CU15</f>
        <v>5714.77884486532</v>
      </c>
      <c r="CV358" s="222">
        <f>CV131/CV15</f>
        <v>12378.8678991359</v>
      </c>
      <c r="CW358" s="222">
        <f>CW131/CW15</f>
        <v>4553.71959423385</v>
      </c>
      <c r="CX358" s="222">
        <f>CX131/CX15</f>
        <v>14036.7741054576</v>
      </c>
    </row>
    <row r="359" customFormat="1" s="233">
      <c r="A359" s="224" t="n"/>
      <c r="B359" s="224" t="n"/>
      <c r="C359" s="233" t="inlineStr">
        <is>
          <t>ASSET TURNOVER</t>
        </is>
      </c>
      <c r="D359" s="238">
        <f>D131/D191</f>
        <v>0.000429530201342282</v>
      </c>
      <c r="E359" s="238">
        <f>E131/E191</f>
        <v>0.00272715353349941</v>
      </c>
      <c r="F359" s="238">
        <f>F131/F191</f>
        <v>0.0072443150729903</v>
      </c>
      <c r="G359" s="238">
        <f>G131/G191</f>
        <v>0.00517757152719184</v>
      </c>
      <c r="I359" s="222">
        <f>I131/I191</f>
        <v>0.00826851921769992</v>
      </c>
      <c r="J359" s="222">
        <f>J131/J191</f>
        <v>0.0207086642730207</v>
      </c>
      <c r="K359" s="222">
        <f>K131/K191</f>
        <v>0.0279766227478646</v>
      </c>
      <c r="L359" s="222">
        <f>L131/L191</f>
        <v>0.0373565530894401</v>
      </c>
      <c r="N359" s="222">
        <f>N131/N191</f>
        <v>0.0502437990248039</v>
      </c>
      <c r="O359" s="222">
        <f>O131/O191</f>
        <v>0.0329718447593887</v>
      </c>
      <c r="P359" s="222">
        <f>P131/P191</f>
        <v>0.0442318544594631</v>
      </c>
      <c r="Q359" s="222">
        <f>Q131/Q191</f>
        <v>0.0447788384464038</v>
      </c>
      <c r="S359" s="222">
        <f>S131/S191</f>
        <v>0.0289406101366992</v>
      </c>
      <c r="T359" s="222">
        <f>T131/T191</f>
        <v>0.0298374010663311</v>
      </c>
      <c r="U359" s="222">
        <f>U131/U191</f>
        <v>0.0197251466345898</v>
      </c>
      <c r="V359" s="222">
        <f>V131/V191</f>
        <v>0.0743589262601062</v>
      </c>
      <c r="X359" s="222">
        <f>X131/X191</f>
        <v>0.0127259077509018</v>
      </c>
      <c r="Y359" s="222">
        <f>Y131/Y191</f>
        <v>0.0124078275666478</v>
      </c>
      <c r="Z359" s="222">
        <f>Z131/Z191</f>
        <v>0.0181306945232453</v>
      </c>
      <c r="AA359" s="222">
        <f>AA131/AA191</f>
        <v>0.0174326206275088</v>
      </c>
      <c r="AC359" s="222">
        <f>AC131/AC191</f>
        <v>0.00326909704182686</v>
      </c>
      <c r="AD359" s="222">
        <f>AD131/AD191</f>
        <v>0.00911586954661772</v>
      </c>
      <c r="AE359" s="222">
        <f>AE131/AE191</f>
        <v>0.0102665719519946</v>
      </c>
      <c r="AF359" s="222">
        <f>AF131/AF191</f>
        <v>0.00609552559395092</v>
      </c>
      <c r="AH359" s="222">
        <f>AH131/AH191</f>
        <v>0.00331886115053853</v>
      </c>
      <c r="AI359" s="222">
        <f>AI131/AI191</f>
        <v>0.00750047130430099</v>
      </c>
      <c r="AJ359" s="222">
        <f>AJ131/AJ191</f>
        <v>-0.000879044921449447</v>
      </c>
      <c r="AK359" s="222">
        <f>AK131/AK191</f>
        <v>0.00742668386634952</v>
      </c>
      <c r="AM359" s="222" t="e">
        <f>AM131/AM191</f>
        <v>#DIV/0!</v>
      </c>
      <c r="AN359" s="222" t="e">
        <f>AN131/AN191</f>
        <v>#DIV/0!</v>
      </c>
      <c r="AO359" s="222" t="e">
        <f>AO131/AO191</f>
        <v>#DIV/0!</v>
      </c>
      <c r="AP359" s="222" t="e">
        <f>AP131/AP191</f>
        <v>#DIV/0!</v>
      </c>
      <c r="AR359" s="222" t="e">
        <f>AR131/AR191</f>
        <v>#DIV/0!</v>
      </c>
      <c r="AS359" s="222" t="e">
        <f>AS131/AS191</f>
        <v>#DIV/0!</v>
      </c>
      <c r="AT359" s="222" t="e">
        <f>AT131/AT191</f>
        <v>#DIV/0!</v>
      </c>
      <c r="AU359" s="222" t="e">
        <f>AU131/AU191</f>
        <v>#DIV/0!</v>
      </c>
      <c r="AW359" s="222" t="e">
        <f>AW131/AW191</f>
        <v>#DIV/0!</v>
      </c>
      <c r="AX359" s="222" t="e">
        <f>AX131/AX191</f>
        <v>#DIV/0!</v>
      </c>
      <c r="AY359" s="222" t="e">
        <f>AY131/AY191</f>
        <v>#DIV/0!</v>
      </c>
      <c r="AZ359" s="222" t="e">
        <f>AZ131/AZ191</f>
        <v>#DIV/0!</v>
      </c>
      <c r="BB359" s="222" t="e">
        <f>BB131/BB191</f>
        <v>#DIV/0!</v>
      </c>
      <c r="BC359" s="222" t="e">
        <f>BC131/BC191</f>
        <v>#DIV/0!</v>
      </c>
      <c r="BD359" s="222" t="e">
        <f>BD131/BD191</f>
        <v>#DIV/0!</v>
      </c>
      <c r="BE359" s="222" t="e">
        <f>BE131/BE191</f>
        <v>#DIV/0!</v>
      </c>
      <c r="BG359" s="222" t="e">
        <f>BG131/BG191</f>
        <v>#DIV/0!</v>
      </c>
      <c r="BH359" s="222" t="e">
        <f>BH131/BH191</f>
        <v>#DIV/0!</v>
      </c>
      <c r="BI359" s="222" t="e">
        <f>BI131/BI191</f>
        <v>#DIV/0!</v>
      </c>
      <c r="BJ359" s="222" t="e">
        <f>BJ131/BJ191</f>
        <v>#DIV/0!</v>
      </c>
      <c r="BL359" s="222" t="e">
        <f>BL131/BL191</f>
        <v>#DIV/0!</v>
      </c>
      <c r="BM359" s="222" t="e">
        <f>BM131/BM191</f>
        <v>#DIV/0!</v>
      </c>
      <c r="BN359" s="222" t="e">
        <f>BN131/BN191</f>
        <v>#DIV/0!</v>
      </c>
      <c r="BO359" s="222" t="e">
        <f>BO131/BO191</f>
        <v>#DIV/0!</v>
      </c>
      <c r="BQ359" s="222" t="e">
        <f>BQ131/BQ191</f>
        <v>#DIV/0!</v>
      </c>
      <c r="BR359" s="222" t="e">
        <f>BR131/BR191</f>
        <v>#DIV/0!</v>
      </c>
      <c r="BS359" s="222" t="e">
        <f>BS131/BS191</f>
        <v>#DIV/0!</v>
      </c>
      <c r="BT359" s="222" t="e">
        <f>BT131/BT191</f>
        <v>#DIV/0!</v>
      </c>
      <c r="BV359" s="222" t="e">
        <f>BV131/BV191</f>
        <v>#DIV/0!</v>
      </c>
      <c r="BW359" s="222" t="e">
        <f>BW131/BW191</f>
        <v>#DIV/0!</v>
      </c>
      <c r="BX359" s="222" t="e">
        <f>BX131/BX191</f>
        <v>#DIV/0!</v>
      </c>
      <c r="BY359" s="222" t="e">
        <f>BY131/BY191</f>
        <v>#DIV/0!</v>
      </c>
      <c r="CA359" s="222" t="e">
        <f>CA131/CA191</f>
        <v>#DIV/0!</v>
      </c>
      <c r="CB359" s="222" t="e">
        <f>CB131/CB191</f>
        <v>#DIV/0!</v>
      </c>
      <c r="CC359" s="222" t="e">
        <f>CC131/CC191</f>
        <v>#DIV/0!</v>
      </c>
      <c r="CD359" s="222" t="e">
        <f>CD131/CD191</f>
        <v>#DIV/0!</v>
      </c>
      <c r="CF359" s="222" t="e">
        <f>CF131/CF191</f>
        <v>#DIV/0!</v>
      </c>
      <c r="CG359" s="222" t="e">
        <f>CG131/CG191</f>
        <v>#DIV/0!</v>
      </c>
      <c r="CH359" s="222" t="e">
        <f>CH131/CH191</f>
        <v>#DIV/0!</v>
      </c>
      <c r="CI359" s="222" t="e">
        <f>CI131/CI191</f>
        <v>#DIV/0!</v>
      </c>
      <c r="CK359" s="222" t="e">
        <f>CK131/CK191</f>
        <v>#DIV/0!</v>
      </c>
      <c r="CL359" s="222" t="e">
        <f>CL131/CL191</f>
        <v>#DIV/0!</v>
      </c>
      <c r="CM359" s="222" t="e">
        <f>CM131/CM191</f>
        <v>#DIV/0!</v>
      </c>
      <c r="CN359" s="222" t="e">
        <f>CN131/CN191</f>
        <v>#DIV/0!</v>
      </c>
      <c r="CP359" s="222" t="e">
        <f>CP131/CP191</f>
        <v>#DIV/0!</v>
      </c>
      <c r="CQ359" s="222" t="e">
        <f>CQ131/CQ191</f>
        <v>#DIV/0!</v>
      </c>
      <c r="CR359" s="222" t="e">
        <f>CR131/CR191</f>
        <v>#DIV/0!</v>
      </c>
      <c r="CS359" s="222" t="e">
        <f>CS131/CS191</f>
        <v>#DIV/0!</v>
      </c>
      <c r="CU359" s="222" t="e">
        <f>CU131/CU191</f>
        <v>#DIV/0!</v>
      </c>
      <c r="CV359" s="222" t="e">
        <f>CV131/CV191</f>
        <v>#DIV/0!</v>
      </c>
      <c r="CW359" s="222" t="e">
        <f>CW131/CW191</f>
        <v>#DIV/0!</v>
      </c>
      <c r="CX359" s="222" t="e">
        <f>CX131/CX191</f>
        <v>#DIV/0!</v>
      </c>
    </row>
    <row r="360" customFormat="1" s="233">
      <c r="A360" s="224" t="n"/>
      <c r="B360" s="224" t="n"/>
      <c r="C360" s="233" t="inlineStr">
        <is>
          <t>EQUITY MULTIPLIER</t>
        </is>
      </c>
      <c r="D360" s="238">
        <f>D191/D265</f>
        <v>3.47092806559821</v>
      </c>
      <c r="E360" s="238">
        <f>E191/E265</f>
        <v>3.35076003866093</v>
      </c>
      <c r="F360" s="238">
        <f>F191/F265</f>
        <v>2.60377250968771</v>
      </c>
      <c r="G360" s="238">
        <f>G191/G265</f>
        <v>2.19755583649389</v>
      </c>
      <c r="I360" s="222">
        <f>I191/I265</f>
        <v>2.16521561414265</v>
      </c>
      <c r="J360" s="222">
        <f>J191/J265</f>
        <v>2.1008</v>
      </c>
      <c r="K360" s="222">
        <f>K191/K265</f>
        <v>2.02969046114972</v>
      </c>
      <c r="L360" s="222">
        <f>L191/L265</f>
        <v>1.96722920558528</v>
      </c>
      <c r="N360" s="222">
        <f>N191/N265</f>
        <v>1.86516409648082</v>
      </c>
      <c r="O360" s="222">
        <f>O191/O265</f>
        <v>1.8193478145414</v>
      </c>
      <c r="P360" s="222">
        <f>P191/P265</f>
        <v>1.80979476704601</v>
      </c>
      <c r="Q360" s="222">
        <f>Q191/Q265</f>
        <v>1.79393437622554</v>
      </c>
      <c r="S360" s="222">
        <f>S191/S265</f>
        <v>1.76364374936529</v>
      </c>
      <c r="T360" s="222">
        <f>T191/T265</f>
        <v>1.7360584109463</v>
      </c>
      <c r="U360" s="222">
        <f>U191/U265</f>
        <v>1.72384622442426</v>
      </c>
      <c r="V360" s="222">
        <f>V191/V265</f>
        <v>1.67614645726234</v>
      </c>
      <c r="X360" s="222">
        <f>X191/X265</f>
        <v>1.67575943540963</v>
      </c>
      <c r="Y360" s="222">
        <f>Y191/Y265</f>
        <v>1.67747498624801</v>
      </c>
      <c r="Z360" s="222">
        <f>Z191/Z265</f>
        <v>1.69497949370669</v>
      </c>
      <c r="AA360" s="222">
        <f>AA191/AA265</f>
        <v>1.65675895765472</v>
      </c>
      <c r="AC360" s="222">
        <f>AC191/AC265</f>
        <v>1.65890105810284</v>
      </c>
      <c r="AD360" s="222">
        <f>AD191/AD265</f>
        <v>1.64677477200533</v>
      </c>
      <c r="AE360" s="222">
        <f>AE191/AE265</f>
        <v>1.65685861539224</v>
      </c>
      <c r="AF360" s="222">
        <f>AF191/AF265</f>
        <v>1.66301816207084</v>
      </c>
      <c r="AH360" s="222">
        <f>AH191/AH265</f>
        <v>1.69481851843117</v>
      </c>
      <c r="AI360" s="222">
        <f>AI191/AI265</f>
        <v>1.69704864086655</v>
      </c>
      <c r="AJ360" s="222">
        <f>AJ191/AJ265</f>
        <v>1.5225582831911</v>
      </c>
      <c r="AK360" s="222">
        <f>AK191/AK265</f>
        <v>1.51657808436051</v>
      </c>
      <c r="AM360" s="222" t="e">
        <f>AM191/AM265</f>
        <v>#DIV/0!</v>
      </c>
      <c r="AN360" s="222" t="e">
        <f>AN191/AN265</f>
        <v>#DIV/0!</v>
      </c>
      <c r="AO360" s="222" t="e">
        <f>AO191/AO265</f>
        <v>#DIV/0!</v>
      </c>
      <c r="AP360" s="222" t="e">
        <f>AP191/AP265</f>
        <v>#DIV/0!</v>
      </c>
      <c r="AR360" s="222" t="e">
        <f>AR191/AR265</f>
        <v>#DIV/0!</v>
      </c>
      <c r="AS360" s="222" t="e">
        <f>AS191/AS265</f>
        <v>#DIV/0!</v>
      </c>
      <c r="AT360" s="222" t="e">
        <f>AT191/AT265</f>
        <v>#DIV/0!</v>
      </c>
      <c r="AU360" s="222" t="e">
        <f>AU191/AU265</f>
        <v>#DIV/0!</v>
      </c>
      <c r="AW360" s="222" t="e">
        <f>AW191/AW265</f>
        <v>#DIV/0!</v>
      </c>
      <c r="AX360" s="222" t="e">
        <f>AX191/AX265</f>
        <v>#DIV/0!</v>
      </c>
      <c r="AY360" s="222" t="e">
        <f>AY191/AY265</f>
        <v>#DIV/0!</v>
      </c>
      <c r="AZ360" s="222" t="e">
        <f>AZ191/AZ265</f>
        <v>#DIV/0!</v>
      </c>
      <c r="BB360" s="222" t="e">
        <f>BB191/BB265</f>
        <v>#DIV/0!</v>
      </c>
      <c r="BC360" s="222" t="e">
        <f>BC191/BC265</f>
        <v>#DIV/0!</v>
      </c>
      <c r="BD360" s="222" t="e">
        <f>BD191/BD265</f>
        <v>#DIV/0!</v>
      </c>
      <c r="BE360" s="222" t="e">
        <f>BE191/BE265</f>
        <v>#DIV/0!</v>
      </c>
      <c r="BG360" s="222" t="e">
        <f>BG191/BG265</f>
        <v>#DIV/0!</v>
      </c>
      <c r="BH360" s="222" t="e">
        <f>BH191/BH265</f>
        <v>#DIV/0!</v>
      </c>
      <c r="BI360" s="222" t="e">
        <f>BI191/BI265</f>
        <v>#DIV/0!</v>
      </c>
      <c r="BJ360" s="222" t="e">
        <f>BJ191/BJ265</f>
        <v>#DIV/0!</v>
      </c>
      <c r="BL360" s="222" t="e">
        <f>BL191/BL265</f>
        <v>#DIV/0!</v>
      </c>
      <c r="BM360" s="222" t="e">
        <f>BM191/BM265</f>
        <v>#DIV/0!</v>
      </c>
      <c r="BN360" s="222" t="e">
        <f>BN191/BN265</f>
        <v>#DIV/0!</v>
      </c>
      <c r="BO360" s="222" t="e">
        <f>BO191/BO265</f>
        <v>#DIV/0!</v>
      </c>
      <c r="BQ360" s="222" t="e">
        <f>BQ191/BQ265</f>
        <v>#DIV/0!</v>
      </c>
      <c r="BR360" s="222" t="e">
        <f>BR191/BR265</f>
        <v>#DIV/0!</v>
      </c>
      <c r="BS360" s="222" t="e">
        <f>BS191/BS265</f>
        <v>#DIV/0!</v>
      </c>
      <c r="BT360" s="222" t="e">
        <f>BT191/BT265</f>
        <v>#DIV/0!</v>
      </c>
      <c r="BV360" s="222" t="e">
        <f>BV191/BV265</f>
        <v>#DIV/0!</v>
      </c>
      <c r="BW360" s="222" t="e">
        <f>BW191/BW265</f>
        <v>#DIV/0!</v>
      </c>
      <c r="BX360" s="222" t="e">
        <f>BX191/BX265</f>
        <v>#DIV/0!</v>
      </c>
      <c r="BY360" s="222" t="e">
        <f>BY191/BY265</f>
        <v>#DIV/0!</v>
      </c>
      <c r="CA360" s="222" t="e">
        <f>CA191/CA265</f>
        <v>#DIV/0!</v>
      </c>
      <c r="CB360" s="222" t="e">
        <f>CB191/CB265</f>
        <v>#DIV/0!</v>
      </c>
      <c r="CC360" s="222" t="e">
        <f>CC191/CC265</f>
        <v>#DIV/0!</v>
      </c>
      <c r="CD360" s="222" t="e">
        <f>CD191/CD265</f>
        <v>#DIV/0!</v>
      </c>
      <c r="CF360" s="222" t="e">
        <f>CF191/CF265</f>
        <v>#DIV/0!</v>
      </c>
      <c r="CG360" s="222" t="e">
        <f>CG191/CG265</f>
        <v>#DIV/0!</v>
      </c>
      <c r="CH360" s="222" t="e">
        <f>CH191/CH265</f>
        <v>#DIV/0!</v>
      </c>
      <c r="CI360" s="222" t="e">
        <f>CI191/CI265</f>
        <v>#DIV/0!</v>
      </c>
      <c r="CK360" s="222" t="e">
        <f>CK191/CK265</f>
        <v>#DIV/0!</v>
      </c>
      <c r="CL360" s="222" t="e">
        <f>CL191/CL265</f>
        <v>#DIV/0!</v>
      </c>
      <c r="CM360" s="222" t="e">
        <f>CM191/CM265</f>
        <v>#DIV/0!</v>
      </c>
      <c r="CN360" s="222" t="e">
        <f>CN191/CN265</f>
        <v>#DIV/0!</v>
      </c>
      <c r="CP360" s="222" t="e">
        <f>CP191/CP265</f>
        <v>#DIV/0!</v>
      </c>
      <c r="CQ360" s="222" t="e">
        <f>CQ191/CQ265</f>
        <v>#DIV/0!</v>
      </c>
      <c r="CR360" s="222" t="e">
        <f>CR191/CR265</f>
        <v>#DIV/0!</v>
      </c>
      <c r="CS360" s="222" t="e">
        <f>CS191/CS265</f>
        <v>#DIV/0!</v>
      </c>
      <c r="CU360" s="222" t="e">
        <f>CU191/CU265</f>
        <v>#DIV/0!</v>
      </c>
      <c r="CV360" s="222" t="e">
        <f>CV191/CV265</f>
        <v>#DIV/0!</v>
      </c>
      <c r="CW360" s="222" t="e">
        <f>CW191/CW265</f>
        <v>#DIV/0!</v>
      </c>
      <c r="CX360" s="222" t="e">
        <f>CX191/CX265</f>
        <v>#DIV/0!</v>
      </c>
    </row>
    <row r="361" customFormat="1" s="233">
      <c r="A361" s="224" t="n"/>
      <c r="B361" s="224" t="n"/>
      <c r="C361" s="233" t="inlineStr">
        <is>
          <t>ROE - DUPONT</t>
        </is>
      </c>
      <c r="D361" s="238">
        <f>PRODUCT(D358:D360)</f>
        <v>3.9856131819174e-06</v>
      </c>
      <c r="E361" s="238">
        <f>PRODUCT(E358:E360)</f>
        <v>0.000157447954978736</v>
      </c>
      <c r="F361" s="238">
        <f>PRODUCT(F358:F360)</f>
        <v>0.000711834857275815</v>
      </c>
      <c r="G361" s="238">
        <f>PRODUCT(G358:G360)</f>
        <v>0.000285932677092345</v>
      </c>
      <c r="I361" s="222">
        <f>PRODUCT(I358:I360)</f>
        <v>0.000754795417192133</v>
      </c>
      <c r="J361" s="222">
        <f>PRODUCT(J358:J360)</f>
        <v>0.00415474478133786</v>
      </c>
      <c r="K361" s="222">
        <f>PRODUCT(K358:K360)</f>
        <v>0.00667851456279111</v>
      </c>
      <c r="L361" s="222">
        <f>PRODUCT(L358:L360)</f>
        <v>0.00962626232517403</v>
      </c>
      <c r="N361" s="222">
        <f>PRODUCT(N358:N360)</f>
        <v>0.0165781350916698</v>
      </c>
      <c r="O361" s="222">
        <f>PRODUCT(O358:O360)</f>
        <v>0.00800231523079142</v>
      </c>
      <c r="P361" s="222">
        <f>PRODUCT(P358:P360)</f>
        <v>0.012283327361041</v>
      </c>
      <c r="Q361" s="222">
        <f>PRODUCT(Q358:Q360)</f>
        <v>0.0121793653800422</v>
      </c>
      <c r="S361" s="222">
        <f>PRODUCT(S358:S360)</f>
        <v>0.00549812882962122</v>
      </c>
      <c r="T361" s="222">
        <f>PRODUCT(T358:T360)</f>
        <v>0.00561696033756963</v>
      </c>
      <c r="U361" s="222">
        <f>PRODUCT(U358:U360)</f>
        <v>0.00269840601842929</v>
      </c>
      <c r="V361" s="222">
        <f>PRODUCT(V358:V360)</f>
        <v>0.0392624381958463</v>
      </c>
      <c r="X361" s="222">
        <f>PRODUCT(X358:X360)</f>
        <v>0.00139160266574055</v>
      </c>
      <c r="Y361" s="222">
        <f>PRODUCT(Y358:Y360)</f>
        <v>0.00114271955009499</v>
      </c>
      <c r="Z361" s="222">
        <f>PRODUCT(Z358:Z360)</f>
        <v>0.00265184658626789</v>
      </c>
      <c r="AA361" s="222">
        <f>PRODUCT(AA358:AA360)</f>
        <v>0.00239079441431074</v>
      </c>
      <c r="AC361" s="222">
        <f>PRODUCT(AC358:AC360)</f>
        <v>0.000114716906830438</v>
      </c>
      <c r="AD361" s="222">
        <f>PRODUCT(AD358:AD360)</f>
        <v>0.000782086186045285</v>
      </c>
      <c r="AE361" s="222">
        <f>PRODUCT(AE358:AE360)</f>
        <v>0.00083128971325078</v>
      </c>
      <c r="AF361" s="222">
        <f>PRODUCT(AF358:AF360)</f>
        <v>0.000341956331347766</v>
      </c>
      <c r="AH361" s="222">
        <f>PRODUCT(AH358:AH360)</f>
        <v>0.00011984909636139</v>
      </c>
      <c r="AI361" s="222">
        <f>PRODUCT(AI358:AI360)</f>
        <v>0.000502186301209958</v>
      </c>
      <c r="AJ361" s="222">
        <f>PRODUCT(AJ358:AJ360)</f>
        <v>5.57367730182032e-06</v>
      </c>
      <c r="AK361" s="222">
        <f>PRODUCT(AK358:AK360)</f>
        <v>0.000450507746966577</v>
      </c>
      <c r="AM361" s="222" t="e">
        <f>PRODUCT(AM358:AM360)</f>
        <v>#DIV/0!</v>
      </c>
      <c r="AN361" s="222" t="e">
        <f>PRODUCT(AN358:AN360)</f>
        <v>#DIV/0!</v>
      </c>
      <c r="AO361" s="222" t="e">
        <f>PRODUCT(AO358:AO360)</f>
        <v>#DIV/0!</v>
      </c>
      <c r="AP361" s="222" t="e">
        <f>PRODUCT(AP358:AP360)</f>
        <v>#DIV/0!</v>
      </c>
      <c r="AR361" s="222" t="e">
        <f>PRODUCT(AR358:AR360)</f>
        <v>#DIV/0!</v>
      </c>
      <c r="AS361" s="222" t="e">
        <f>PRODUCT(AS358:AS360)</f>
        <v>#DIV/0!</v>
      </c>
      <c r="AT361" s="222" t="e">
        <f>PRODUCT(AT358:AT360)</f>
        <v>#DIV/0!</v>
      </c>
      <c r="AU361" s="222" t="e">
        <f>PRODUCT(AU358:AU360)</f>
        <v>#DIV/0!</v>
      </c>
      <c r="AW361" s="222" t="e">
        <f>PRODUCT(AW358:AW360)</f>
        <v>#DIV/0!</v>
      </c>
      <c r="AX361" s="222" t="e">
        <f>PRODUCT(AX358:AX360)</f>
        <v>#DIV/0!</v>
      </c>
      <c r="AY361" s="222" t="e">
        <f>PRODUCT(AY358:AY360)</f>
        <v>#DIV/0!</v>
      </c>
      <c r="AZ361" s="222" t="e">
        <f>PRODUCT(AZ358:AZ360)</f>
        <v>#DIV/0!</v>
      </c>
      <c r="BB361" s="222" t="e">
        <f>PRODUCT(BB358:BB360)</f>
        <v>#DIV/0!</v>
      </c>
      <c r="BC361" s="222" t="e">
        <f>PRODUCT(BC358:BC360)</f>
        <v>#DIV/0!</v>
      </c>
      <c r="BD361" s="222" t="e">
        <f>PRODUCT(BD358:BD360)</f>
        <v>#DIV/0!</v>
      </c>
      <c r="BE361" s="222" t="e">
        <f>PRODUCT(BE358:BE360)</f>
        <v>#DIV/0!</v>
      </c>
      <c r="BG361" s="222" t="e">
        <f>PRODUCT(BG358:BG360)</f>
        <v>#DIV/0!</v>
      </c>
      <c r="BH361" s="222" t="e">
        <f>PRODUCT(BH358:BH360)</f>
        <v>#DIV/0!</v>
      </c>
      <c r="BI361" s="222" t="e">
        <f>PRODUCT(BI358:BI360)</f>
        <v>#DIV/0!</v>
      </c>
      <c r="BJ361" s="222" t="e">
        <f>PRODUCT(BJ358:BJ360)</f>
        <v>#DIV/0!</v>
      </c>
      <c r="BL361" s="222" t="e">
        <f>PRODUCT(BL358:BL360)</f>
        <v>#DIV/0!</v>
      </c>
      <c r="BM361" s="222" t="e">
        <f>PRODUCT(BM358:BM360)</f>
        <v>#DIV/0!</v>
      </c>
      <c r="BN361" s="222" t="e">
        <f>PRODUCT(BN358:BN360)</f>
        <v>#DIV/0!</v>
      </c>
      <c r="BO361" s="222" t="e">
        <f>PRODUCT(BO358:BO360)</f>
        <v>#DIV/0!</v>
      </c>
      <c r="BQ361" s="222" t="e">
        <f>PRODUCT(BQ358:BQ360)</f>
        <v>#DIV/0!</v>
      </c>
      <c r="BR361" s="222" t="e">
        <f>PRODUCT(BR358:BR360)</f>
        <v>#DIV/0!</v>
      </c>
      <c r="BS361" s="222" t="e">
        <f>PRODUCT(BS358:BS360)</f>
        <v>#DIV/0!</v>
      </c>
      <c r="BT361" s="222" t="e">
        <f>PRODUCT(BT358:BT360)</f>
        <v>#DIV/0!</v>
      </c>
      <c r="BV361" s="222" t="e">
        <f>PRODUCT(BV358:BV360)</f>
        <v>#DIV/0!</v>
      </c>
      <c r="BW361" s="222" t="e">
        <f>PRODUCT(BW358:BW360)</f>
        <v>#DIV/0!</v>
      </c>
      <c r="BX361" s="222" t="e">
        <f>PRODUCT(BX358:BX360)</f>
        <v>#DIV/0!</v>
      </c>
      <c r="BY361" s="222" t="e">
        <f>PRODUCT(BY358:BY360)</f>
        <v>#DIV/0!</v>
      </c>
      <c r="CA361" s="222" t="e">
        <f>PRODUCT(CA358:CA360)</f>
        <v>#DIV/0!</v>
      </c>
      <c r="CB361" s="222" t="e">
        <f>PRODUCT(CB358:CB360)</f>
        <v>#DIV/0!</v>
      </c>
      <c r="CC361" s="222" t="e">
        <f>PRODUCT(CC358:CC360)</f>
        <v>#DIV/0!</v>
      </c>
      <c r="CD361" s="222" t="e">
        <f>PRODUCT(CD358:CD360)</f>
        <v>#DIV/0!</v>
      </c>
      <c r="CF361" s="222" t="e">
        <f>PRODUCT(CF358:CF360)</f>
        <v>#DIV/0!</v>
      </c>
      <c r="CG361" s="222" t="e">
        <f>PRODUCT(CG358:CG360)</f>
        <v>#DIV/0!</v>
      </c>
      <c r="CH361" s="222" t="e">
        <f>PRODUCT(CH358:CH360)</f>
        <v>#DIV/0!</v>
      </c>
      <c r="CI361" s="222" t="e">
        <f>PRODUCT(CI358:CI360)</f>
        <v>#DIV/0!</v>
      </c>
      <c r="CK361" s="222" t="e">
        <f>PRODUCT(CK358:CK360)</f>
        <v>#DIV/0!</v>
      </c>
      <c r="CL361" s="222" t="e">
        <f>PRODUCT(CL358:CL360)</f>
        <v>#DIV/0!</v>
      </c>
      <c r="CM361" s="222" t="e">
        <f>PRODUCT(CM358:CM360)</f>
        <v>#DIV/0!</v>
      </c>
      <c r="CN361" s="222" t="e">
        <f>PRODUCT(CN358:CN360)</f>
        <v>#DIV/0!</v>
      </c>
      <c r="CP361" s="222" t="e">
        <f>PRODUCT(CP358:CP360)</f>
        <v>#DIV/0!</v>
      </c>
      <c r="CQ361" s="222" t="e">
        <f>PRODUCT(CQ358:CQ360)</f>
        <v>#DIV/0!</v>
      </c>
      <c r="CR361" s="222" t="e">
        <f>PRODUCT(CR358:CR360)</f>
        <v>#DIV/0!</v>
      </c>
      <c r="CS361" s="222" t="e">
        <f>PRODUCT(CS358:CS360)</f>
        <v>#DIV/0!</v>
      </c>
      <c r="CU361" s="222" t="e">
        <f>PRODUCT(CU358:CU360)</f>
        <v>#DIV/0!</v>
      </c>
      <c r="CV361" s="222" t="e">
        <f>PRODUCT(CV358:CV360)</f>
        <v>#DIV/0!</v>
      </c>
      <c r="CW361" s="222" t="e">
        <f>PRODUCT(CW358:CW360)</f>
        <v>#DIV/0!</v>
      </c>
      <c r="CX361" s="222" t="e">
        <f>PRODUCT(CX358:CX360)</f>
        <v>#DIV/0!</v>
      </c>
    </row>
    <row r="362" customFormat="1" s="233">
      <c r="A362" s="224" t="n"/>
      <c r="B362" s="224" t="n"/>
      <c r="C362" s="233" t="inlineStr">
        <is>
          <t>ROE</t>
        </is>
      </c>
      <c r="D362" s="238">
        <f>D131/D265</f>
        <v>0.00149086843086098</v>
      </c>
      <c r="E362" s="238">
        <f>E131/E265</f>
        <v>0.00913803707934277</v>
      </c>
      <c r="F362" s="238">
        <f>F131/F265</f>
        <v>0.0188625484385685</v>
      </c>
      <c r="G362" s="238">
        <f>G131/G265</f>
        <v>0.011378002528445</v>
      </c>
      <c r="I362" s="222">
        <f>I131/I265</f>
        <v>0.0179031269160025</v>
      </c>
      <c r="J362" s="222">
        <f>J131/J265</f>
        <v>0.0435047619047619</v>
      </c>
      <c r="K362" s="222">
        <f>K131/K265</f>
        <v>0.0567838843265249</v>
      </c>
      <c r="L362" s="222">
        <f>L131/L265</f>
        <v>0.0734889022575436</v>
      </c>
      <c r="N362" s="222">
        <f>N131/N265</f>
        <v>0.0937129300118624</v>
      </c>
      <c r="O362" s="222">
        <f>O131/O265</f>
        <v>0.0599872537043922</v>
      </c>
      <c r="P362" s="222">
        <f>P131/P265</f>
        <v>0.0800505787374769</v>
      </c>
      <c r="Q362" s="222">
        <f>Q131/Q265</f>
        <v>0.0803302976164539</v>
      </c>
      <c r="S362" s="222">
        <f>S131/S265</f>
        <v>0.0510409261704072</v>
      </c>
      <c r="T362" s="222">
        <f>T131/T265</f>
        <v>0.0517994710819823</v>
      </c>
      <c r="U362" s="222">
        <f>U131/U265</f>
        <v>0.0340031195522525</v>
      </c>
      <c r="V362" s="222">
        <f>V131/V265</f>
        <v>0.124636450816708</v>
      </c>
      <c r="X362" s="222">
        <f>X131/X265</f>
        <v>0.0213255599877263</v>
      </c>
      <c r="Y362" s="222">
        <f>Y131/Y265</f>
        <v>0.0208138203767301</v>
      </c>
      <c r="Z362" s="222">
        <f>Z131/Z265</f>
        <v>0.030731155423561</v>
      </c>
      <c r="AA362" s="222">
        <f>AA131/AA265</f>
        <v>0.0288816503800217</v>
      </c>
      <c r="AC362" s="222">
        <f>AC131/AC265</f>
        <v>0.00542310854172744</v>
      </c>
      <c r="AD362" s="222">
        <f>AD131/AD265</f>
        <v>0.0150117839942617</v>
      </c>
      <c r="AE362" s="222">
        <f>AE131/AE265</f>
        <v>0.0170102581892066</v>
      </c>
      <c r="AF362" s="222">
        <f>AF131/AF265</f>
        <v>0.010136969770108</v>
      </c>
      <c r="AH362" s="222">
        <f>AH131/AH265</f>
        <v>0.00562486733803448</v>
      </c>
      <c r="AI362" s="222">
        <f>AI131/AI265</f>
        <v>0.0127286646328226</v>
      </c>
      <c r="AJ362" s="222">
        <f>AJ131/AJ265</f>
        <v>-0.00133839712644993</v>
      </c>
      <c r="AK362" s="222">
        <f>AK131/AK265</f>
        <v>0.0112631459911795</v>
      </c>
      <c r="AM362" s="222">
        <f>AM131/AM265</f>
        <v>0.0111580689161691</v>
      </c>
      <c r="AN362" s="222">
        <f>AN131/AN265</f>
        <v>0.0198106591865358</v>
      </c>
      <c r="AO362" s="222">
        <f>AO131/AO265</f>
        <v>0.0107937058390047</v>
      </c>
      <c r="AP362" s="222">
        <f>AP131/AP265</f>
        <v>0.0191927564879169</v>
      </c>
      <c r="AR362" s="222">
        <f>AR131/AR265</f>
        <v>0.0188490408673895</v>
      </c>
      <c r="AS362" s="222">
        <f>AS131/AS265</f>
        <v>0.0556561798637634</v>
      </c>
      <c r="AT362" s="222">
        <f>AT131/AT265</f>
        <v>0.0174644618508848</v>
      </c>
      <c r="AU362" s="222">
        <f>AU131/AU265</f>
        <v>0.0518161315755698</v>
      </c>
      <c r="AW362" s="222">
        <f>AW131/AW265</f>
        <v>0.0492740487685845</v>
      </c>
      <c r="AX362" s="222">
        <f>AX131/AX265</f>
        <v>0.115366233445878</v>
      </c>
      <c r="AY362" s="222">
        <f>AY131/AY265</f>
        <v>0.041744833596762</v>
      </c>
      <c r="AZ362" s="222">
        <f>AZ131/AZ265</f>
        <v>0.0995118837032998</v>
      </c>
      <c r="BB362" s="222">
        <f>BB131/BB265</f>
        <v>0.090508847684362</v>
      </c>
      <c r="BC362" s="222">
        <f>BC131/BC265</f>
        <v>0.199767723203484</v>
      </c>
      <c r="BD362" s="222">
        <f>BD131/BD265</f>
        <v>0.067517935297568</v>
      </c>
      <c r="BE362" s="222">
        <f>BE131/BE265</f>
        <v>0.157002350471235</v>
      </c>
      <c r="BG362" s="222">
        <f>BG131/BG265</f>
        <v>0.135696958142409</v>
      </c>
      <c r="BH362" s="222">
        <f>BH131/BH265</f>
        <v>0.270021642424911</v>
      </c>
      <c r="BI362" s="222">
        <f>BI131/BI265</f>
        <v>0.0901172309908966</v>
      </c>
      <c r="BJ362" s="222">
        <f>BJ131/BJ265</f>
        <v>0.197216370907536</v>
      </c>
      <c r="BL362" s="222">
        <f>BL131/BL265</f>
        <v>0.164728165884533</v>
      </c>
      <c r="BM362" s="222">
        <f>BM131/BM265</f>
        <v>0.310517020396218</v>
      </c>
      <c r="BN362" s="222">
        <f>BN131/BN265</f>
        <v>0.101988178593503</v>
      </c>
      <c r="BO362" s="222">
        <f>BO131/BO265</f>
        <v>0.218039880435229</v>
      </c>
      <c r="BQ362" s="222">
        <f>BQ131/BQ265</f>
        <v>0.179008316199426</v>
      </c>
      <c r="BR362" s="222">
        <f>BR131/BR265</f>
        <v>0.328401795796523</v>
      </c>
      <c r="BS362" s="222">
        <f>BS131/BS265</f>
        <v>0.107317529157595</v>
      </c>
      <c r="BT362" s="222">
        <f>BT131/BT265</f>
        <v>0.22669711304269</v>
      </c>
      <c r="BV362" s="222">
        <f>BV131/BV265</f>
        <v>0.184802631839328</v>
      </c>
      <c r="BW362" s="222">
        <f>BW131/BW265</f>
        <v>0.335511664895384</v>
      </c>
      <c r="BX362" s="222">
        <f>BX131/BX265</f>
        <v>0.109368034209522</v>
      </c>
      <c r="BY362" s="222">
        <f>BY131/BY265</f>
        <v>0.230067901233331</v>
      </c>
      <c r="CA362" s="222">
        <f>CA131/CA265</f>
        <v>0.187036668103967</v>
      </c>
      <c r="CB362" s="222">
        <f>CB131/CB265</f>
        <v>0.338181699004377</v>
      </c>
      <c r="CC362" s="222">
        <f>CC131/CC265</f>
        <v>0.110149229246841</v>
      </c>
      <c r="CD362" s="222">
        <f>CD131/CD265</f>
        <v>0.231319522667399</v>
      </c>
      <c r="CF362" s="222">
        <f>CF131/CF265</f>
        <v>0.187863086163895</v>
      </c>
      <c r="CG362" s="222">
        <f>CG131/CG265</f>
        <v>0.339172280102434</v>
      </c>
      <c r="CH362" s="222">
        <f>CH131/CH265</f>
        <v>0.110435044874121</v>
      </c>
      <c r="CI362" s="222">
        <f>CI131/CI265</f>
        <v>0.231783016243242</v>
      </c>
      <c r="CK362" s="222">
        <f>CK131/CK265</f>
        <v>0.188168694907606</v>
      </c>
      <c r="CL362" s="222">
        <f>CL131/CL265</f>
        <v>0.339535606765845</v>
      </c>
      <c r="CM362" s="222">
        <f>CM131/CM265</f>
        <v>0.11054080955528</v>
      </c>
      <c r="CN362" s="222">
        <f>CN131/CN265</f>
        <v>0.231952606776204</v>
      </c>
      <c r="CP362" s="222">
        <f>CP131/CP265</f>
        <v>0.188280458586835</v>
      </c>
      <c r="CQ362" s="222">
        <f>CQ131/CQ265</f>
        <v>0.33966897624598</v>
      </c>
      <c r="CR362" s="222">
        <f>CR131/CR265</f>
        <v>0.110579364368287</v>
      </c>
      <c r="CS362" s="222">
        <f>CS131/CS265</f>
        <v>0.232014883597659</v>
      </c>
      <c r="CU362" s="222">
        <f>CU131/CU265</f>
        <v>0.188321492580344</v>
      </c>
      <c r="CV362" s="222">
        <f>CV131/CV265</f>
        <v>0.339717768665468</v>
      </c>
      <c r="CW362" s="222">
        <f>CW131/CW265</f>
        <v>0.110593538919246</v>
      </c>
      <c r="CX362" s="222">
        <f>CX131/CX265</f>
        <v>0.23203764924792</v>
      </c>
    </row>
    <row r="364">
      <c r="C364" s="53" t="inlineStr">
        <is>
          <t>Scenario Analysis</t>
        </is>
      </c>
      <c r="D364" s="53" t="n"/>
      <c r="E364" s="53" t="n"/>
      <c r="F364" s="53" t="n"/>
      <c r="G364" s="53" t="n"/>
      <c r="H364" s="53" t="n"/>
      <c r="I364" s="53" t="n"/>
      <c r="J364" s="53" t="n"/>
      <c r="K364" s="53" t="n"/>
      <c r="L364" s="53" t="n"/>
      <c r="M364" s="53" t="n"/>
      <c r="N364" s="53" t="n"/>
      <c r="O364" s="53" t="n"/>
      <c r="P364" s="53" t="n"/>
      <c r="Q364" s="53" t="n"/>
      <c r="R364" s="53" t="n"/>
      <c r="S364" s="53" t="n"/>
      <c r="T364" s="53" t="n"/>
      <c r="U364" s="53" t="n"/>
      <c r="V364" s="53" t="n"/>
      <c r="W364" s="53" t="n"/>
      <c r="X364" s="53" t="n"/>
      <c r="Y364" s="53" t="n"/>
      <c r="Z364" s="53" t="n"/>
      <c r="AA364" s="53" t="n"/>
      <c r="AB364" s="53" t="n"/>
      <c r="AC364" s="53" t="n"/>
      <c r="AD364" s="53" t="n"/>
      <c r="AE364" s="53" t="n"/>
      <c r="AF364" s="53" t="n"/>
      <c r="AG364" s="53" t="n"/>
      <c r="AH364" s="53" t="n"/>
      <c r="AI364" s="53" t="n"/>
      <c r="AJ364" s="53" t="n"/>
      <c r="AK364" s="53" t="n"/>
      <c r="AL364" s="53" t="n"/>
      <c r="AM364" s="53" t="n"/>
      <c r="AN364" s="53" t="n"/>
      <c r="AO364" s="53" t="n"/>
      <c r="AP364" s="53" t="n"/>
      <c r="AQ364" s="53" t="n"/>
      <c r="AR364" s="53" t="n"/>
      <c r="AS364" s="53" t="n"/>
      <c r="AT364" s="53" t="n"/>
      <c r="AU364" s="53" t="n"/>
      <c r="AV364" s="53" t="n"/>
      <c r="AW364" s="53" t="n"/>
      <c r="AX364" s="53" t="n"/>
      <c r="AY364" s="53" t="n"/>
      <c r="AZ364" s="53" t="n"/>
      <c r="BA364" s="53" t="n"/>
      <c r="BB364" s="53" t="n"/>
      <c r="BC364" s="53" t="n"/>
      <c r="BD364" s="53" t="n"/>
      <c r="BE364" s="53" t="n"/>
      <c r="BF364" s="53" t="n"/>
      <c r="BG364" s="53" t="n"/>
      <c r="BH364" s="53" t="n"/>
      <c r="BI364" s="53" t="n"/>
      <c r="BJ364" s="53" t="n"/>
      <c r="BK364" s="53" t="n"/>
      <c r="BL364" s="53" t="n"/>
      <c r="BM364" s="53" t="n"/>
      <c r="BN364" s="53" t="n"/>
      <c r="BO364" s="53" t="n"/>
      <c r="BP364" s="53" t="n"/>
      <c r="BQ364" s="53" t="n"/>
      <c r="BR364" s="53" t="n"/>
      <c r="BS364" s="53" t="n"/>
      <c r="BT364" s="53" t="n"/>
      <c r="BU364" s="53" t="n"/>
      <c r="BV364" s="53" t="n"/>
      <c r="BW364" s="53" t="n"/>
      <c r="BX364" s="53" t="n"/>
      <c r="BY364" s="53" t="n"/>
      <c r="BZ364" s="53" t="n"/>
      <c r="CA364" s="53" t="n"/>
      <c r="CB364" s="53" t="n"/>
      <c r="CC364" s="53" t="n"/>
      <c r="CD364" s="53" t="n"/>
      <c r="CE364" s="53" t="n"/>
      <c r="CF364" s="53" t="n"/>
      <c r="CG364" s="53" t="n"/>
      <c r="CH364" s="53" t="n"/>
      <c r="CI364" s="53" t="n"/>
      <c r="CJ364" s="53" t="n"/>
      <c r="CK364" s="53" t="n"/>
      <c r="CL364" s="53" t="n"/>
      <c r="CM364" s="53" t="n"/>
      <c r="CN364" s="53" t="n"/>
      <c r="CO364" s="53" t="n"/>
      <c r="CP364" s="53" t="n"/>
      <c r="CQ364" s="53" t="n"/>
      <c r="CR364" s="53" t="n"/>
      <c r="CS364" s="53" t="n"/>
      <c r="CT364" s="53" t="n"/>
      <c r="CU364" s="53" t="n"/>
      <c r="CV364" s="53" t="n"/>
      <c r="CW364" s="53" t="n"/>
      <c r="CX364" s="53" t="n"/>
      <c r="CY364" s="53" t="n"/>
    </row>
    <row r="367">
      <c r="C367" s="4" t="inlineStr">
        <is>
          <t>Bull case</t>
        </is>
      </c>
    </row>
    <row r="368">
      <c r="C368" s="4" t="inlineStr">
        <is>
          <t>Base case</t>
        </is>
      </c>
    </row>
    <row r="369">
      <c r="C369" s="4" t="inlineStr">
        <is>
          <t>Bear case</t>
        </is>
      </c>
    </row>
    <row r="372">
      <c r="C372" s="4" t="inlineStr">
        <is>
          <t>Bull case</t>
        </is>
      </c>
    </row>
    <row r="373">
      <c r="C373" s="4" t="inlineStr">
        <is>
          <t>Base case</t>
        </is>
      </c>
    </row>
    <row r="374">
      <c r="C374" s="4" t="inlineStr">
        <is>
          <t>Bear case</t>
        </is>
      </c>
    </row>
    <row r="377">
      <c r="C377" s="4" t="inlineStr">
        <is>
          <t>% Gross Margin</t>
        </is>
      </c>
    </row>
    <row r="378">
      <c r="C378" s="4" t="inlineStr">
        <is>
          <t>Bull case</t>
        </is>
      </c>
    </row>
    <row r="379">
      <c r="C379" s="4" t="inlineStr">
        <is>
          <t>Base case</t>
        </is>
      </c>
    </row>
    <row r="380">
      <c r="C380" s="4" t="inlineStr">
        <is>
          <t>Bear case</t>
        </is>
      </c>
    </row>
    <row r="383">
      <c r="C383" s="4" t="inlineStr">
        <is>
          <t>Capital expenditures</t>
        </is>
      </c>
    </row>
    <row r="384">
      <c r="C384" s="4" t="inlineStr">
        <is>
          <t>Bull case</t>
        </is>
      </c>
    </row>
    <row r="385">
      <c r="C385" s="4" t="inlineStr">
        <is>
          <t>Base case</t>
        </is>
      </c>
    </row>
    <row r="386">
      <c r="C386" s="4" t="inlineStr">
        <is>
          <t>Bear case</t>
        </is>
      </c>
    </row>
  </sheetData>
  <conditionalFormatting sqref="B1:B4 B13:B1048576">
    <cfRule type="expression" priority="59" dxfId="23">
      <formula>B1&lt;&gt;""</formula>
    </cfRule>
  </conditionalFormatting>
  <conditionalFormatting sqref="D1:CY3">
    <cfRule type="cellIs" priority="17" operator="greaterThan" dxfId="22">
      <formula>1</formula>
    </cfRule>
  </conditionalFormatting>
  <conditionalFormatting sqref="E309:G309">
    <cfRule type="cellIs" priority="15" operator="notEqual" dxfId="0">
      <formula>0</formula>
    </cfRule>
  </conditionalFormatting>
  <conditionalFormatting sqref="E5:H5">
    <cfRule type="cellIs" priority="16" operator="greaterThan" dxfId="18">
      <formula>$B$5</formula>
    </cfRule>
  </conditionalFormatting>
  <conditionalFormatting sqref="I309:L309">
    <cfRule type="cellIs" priority="45" operator="notEqual" dxfId="0">
      <formula>0</formula>
    </cfRule>
  </conditionalFormatting>
  <conditionalFormatting sqref="J5:CY5">
    <cfRule type="cellIs" priority="46" operator="greaterThan" dxfId="18">
      <formula>$B$5</formula>
    </cfRule>
  </conditionalFormatting>
  <conditionalFormatting sqref="N309:Q309">
    <cfRule type="cellIs" priority="44" operator="notEqual" dxfId="0">
      <formula>0</formula>
    </cfRule>
  </conditionalFormatting>
  <conditionalFormatting sqref="S309:V309">
    <cfRule type="cellIs" priority="43" operator="notEqual" dxfId="0">
      <formula>0</formula>
    </cfRule>
  </conditionalFormatting>
  <conditionalFormatting sqref="X309:AA309">
    <cfRule type="cellIs" priority="42" operator="notEqual" dxfId="0">
      <formula>0</formula>
    </cfRule>
  </conditionalFormatting>
  <conditionalFormatting sqref="AC309:AF309">
    <cfRule type="cellIs" priority="41" operator="notEqual" dxfId="0">
      <formula>0</formula>
    </cfRule>
  </conditionalFormatting>
  <conditionalFormatting sqref="AH309:AK309">
    <cfRule type="cellIs" priority="14" operator="notEqual" dxfId="0">
      <formula>0</formula>
    </cfRule>
  </conditionalFormatting>
  <conditionalFormatting sqref="AM309:AP309">
    <cfRule type="cellIs" priority="13" operator="notEqual" dxfId="0">
      <formula>0</formula>
    </cfRule>
  </conditionalFormatting>
  <conditionalFormatting sqref="AR309:AU309">
    <cfRule type="cellIs" priority="12" operator="notEqual" dxfId="0">
      <formula>0</formula>
    </cfRule>
  </conditionalFormatting>
  <conditionalFormatting sqref="AW309:AZ309">
    <cfRule type="cellIs" priority="11" operator="notEqual" dxfId="0">
      <formula>0</formula>
    </cfRule>
  </conditionalFormatting>
  <conditionalFormatting sqref="BB309:BE309">
    <cfRule type="cellIs" priority="10" operator="notEqual" dxfId="0">
      <formula>0</formula>
    </cfRule>
  </conditionalFormatting>
  <conditionalFormatting sqref="BG309:BJ309">
    <cfRule type="cellIs" priority="9" operator="notEqual" dxfId="0">
      <formula>0</formula>
    </cfRule>
  </conditionalFormatting>
  <conditionalFormatting sqref="BL309:BO309">
    <cfRule type="cellIs" priority="8" operator="notEqual" dxfId="0">
      <formula>0</formula>
    </cfRule>
  </conditionalFormatting>
  <conditionalFormatting sqref="BQ309:BT309">
    <cfRule type="cellIs" priority="7" operator="notEqual" dxfId="0">
      <formula>0</formula>
    </cfRule>
  </conditionalFormatting>
  <conditionalFormatting sqref="BV309:BY309">
    <cfRule type="cellIs" priority="6" operator="notEqual" dxfId="0">
      <formula>0</formula>
    </cfRule>
  </conditionalFormatting>
  <conditionalFormatting sqref="CA309:CD309">
    <cfRule type="cellIs" priority="5" operator="notEqual" dxfId="0">
      <formula>0</formula>
    </cfRule>
  </conditionalFormatting>
  <conditionalFormatting sqref="CF309:CI309">
    <cfRule type="cellIs" priority="4" operator="notEqual" dxfId="0">
      <formula>0</formula>
    </cfRule>
  </conditionalFormatting>
  <conditionalFormatting sqref="CK309:CN309">
    <cfRule type="cellIs" priority="3" operator="notEqual" dxfId="0">
      <formula>0</formula>
    </cfRule>
  </conditionalFormatting>
  <conditionalFormatting sqref="CP309:CS309">
    <cfRule type="cellIs" priority="2" operator="notEqual" dxfId="0">
      <formula>0</formula>
    </cfRule>
  </conditionalFormatting>
  <conditionalFormatting sqref="CU309:CX309">
    <cfRule type="cellIs" priority="1" operator="notEqual" dxfId="0">
      <formula>0</formula>
    </cfRule>
  </conditionalFormatting>
  <pageMargins left="0.511811024" right="0.511811024" top="0.787401575" bottom="0.787401575" header="0.31496062" footer="0.31496062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AB102"/>
  <sheetViews>
    <sheetView topLeftCell="A9" workbookViewId="0">
      <selection activeCell="D9" sqref="D9"/>
    </sheetView>
  </sheetViews>
  <sheetFormatPr baseColWidth="8" defaultRowHeight="12.75" outlineLevelRow="1"/>
  <cols>
    <col width="2" customWidth="1" style="249" min="1" max="1"/>
    <col outlineLevel="1" width="4.28515625" customWidth="1" style="249" min="2" max="2"/>
    <col width="54.5703125" bestFit="1" customWidth="1" style="249" min="3" max="3"/>
    <col outlineLevel="1" width="12.85546875" customWidth="1" style="249" min="4" max="4"/>
    <col outlineLevel="1" width="11.28515625" customWidth="1" style="249" min="5" max="6"/>
    <col width="11.85546875" customWidth="1" style="249" min="7" max="7"/>
    <col width="14.140625" customWidth="1" style="249" min="8" max="8"/>
    <col width="13.7109375" customWidth="1" style="249" min="9" max="9"/>
    <col width="11.28515625" customWidth="1" style="249" min="10" max="12"/>
    <col width="11.7109375" customWidth="1" style="249" min="13" max="13"/>
    <col width="11.5703125" customWidth="1" style="249" min="14" max="14"/>
    <col width="11.7109375" bestFit="1" customWidth="1" style="249" min="15" max="15"/>
    <col width="10.85546875" customWidth="1" style="249" min="16" max="20"/>
    <col width="11.7109375" bestFit="1" customWidth="1" style="249" min="21" max="22"/>
    <col width="9.28515625" customWidth="1" style="249" min="23" max="23"/>
    <col width="11.42578125" bestFit="1" customWidth="1" style="249" min="24" max="25"/>
    <col width="10" customWidth="1" style="249" min="26" max="26"/>
    <col width="9.140625" customWidth="1" style="249" min="27" max="27"/>
    <col width="19" bestFit="1" customWidth="1" style="249" min="28" max="28"/>
    <col width="9.140625" customWidth="1" style="249" min="29" max="31"/>
    <col width="8" bestFit="1" customWidth="1" style="249" min="32" max="32"/>
    <col width="9.140625" customWidth="1" style="249" min="33" max="261"/>
    <col width="2" customWidth="1" style="249" min="262" max="263"/>
    <col width="31.28515625" customWidth="1" style="249" min="264" max="264"/>
    <col width="13" customWidth="1" style="249" min="265" max="265"/>
    <col width="11.28515625" customWidth="1" style="249" min="266" max="268"/>
    <col width="13.7109375" bestFit="1" customWidth="1" style="249" min="269" max="269"/>
    <col width="11.28515625" customWidth="1" style="249" min="270" max="273"/>
    <col width="9.140625" customWidth="1" style="249" min="274" max="275"/>
    <col width="10.85546875" bestFit="1" customWidth="1" style="249" min="276" max="276"/>
    <col width="9.140625" customWidth="1" style="249" min="277" max="517"/>
    <col width="2" customWidth="1" style="249" min="518" max="519"/>
    <col width="31.28515625" customWidth="1" style="249" min="520" max="520"/>
    <col width="13" customWidth="1" style="249" min="521" max="521"/>
    <col width="11.28515625" customWidth="1" style="249" min="522" max="524"/>
    <col width="13.7109375" bestFit="1" customWidth="1" style="249" min="525" max="525"/>
    <col width="11.28515625" customWidth="1" style="249" min="526" max="529"/>
    <col width="9.140625" customWidth="1" style="249" min="530" max="531"/>
    <col width="10.85546875" bestFit="1" customWidth="1" style="249" min="532" max="532"/>
    <col width="9.140625" customWidth="1" style="249" min="533" max="773"/>
    <col width="2" customWidth="1" style="249" min="774" max="775"/>
    <col width="31.28515625" customWidth="1" style="249" min="776" max="776"/>
    <col width="13" customWidth="1" style="249" min="777" max="777"/>
    <col width="11.28515625" customWidth="1" style="249" min="778" max="780"/>
    <col width="13.7109375" bestFit="1" customWidth="1" style="249" min="781" max="781"/>
    <col width="11.28515625" customWidth="1" style="249" min="782" max="785"/>
    <col width="9.140625" customWidth="1" style="249" min="786" max="787"/>
    <col width="10.85546875" bestFit="1" customWidth="1" style="249" min="788" max="788"/>
    <col width="9.140625" customWidth="1" style="249" min="789" max="1029"/>
    <col width="2" customWidth="1" style="249" min="1030" max="1031"/>
    <col width="31.28515625" customWidth="1" style="249" min="1032" max="1032"/>
    <col width="13" customWidth="1" style="249" min="1033" max="1033"/>
    <col width="11.28515625" customWidth="1" style="249" min="1034" max="1036"/>
    <col width="13.7109375" bestFit="1" customWidth="1" style="249" min="1037" max="1037"/>
    <col width="11.28515625" customWidth="1" style="249" min="1038" max="1041"/>
    <col width="9.140625" customWidth="1" style="249" min="1042" max="1043"/>
    <col width="10.85546875" bestFit="1" customWidth="1" style="249" min="1044" max="1044"/>
    <col width="9.140625" customWidth="1" style="249" min="1045" max="1285"/>
    <col width="2" customWidth="1" style="249" min="1286" max="1287"/>
    <col width="31.28515625" customWidth="1" style="249" min="1288" max="1288"/>
    <col width="13" customWidth="1" style="249" min="1289" max="1289"/>
    <col width="11.28515625" customWidth="1" style="249" min="1290" max="1292"/>
    <col width="13.7109375" bestFit="1" customWidth="1" style="249" min="1293" max="1293"/>
    <col width="11.28515625" customWidth="1" style="249" min="1294" max="1297"/>
    <col width="9.140625" customWidth="1" style="249" min="1298" max="1299"/>
    <col width="10.85546875" bestFit="1" customWidth="1" style="249" min="1300" max="1300"/>
    <col width="9.140625" customWidth="1" style="249" min="1301" max="1541"/>
    <col width="2" customWidth="1" style="249" min="1542" max="1543"/>
    <col width="31.28515625" customWidth="1" style="249" min="1544" max="1544"/>
    <col width="13" customWidth="1" style="249" min="1545" max="1545"/>
    <col width="11.28515625" customWidth="1" style="249" min="1546" max="1548"/>
    <col width="13.7109375" bestFit="1" customWidth="1" style="249" min="1549" max="1549"/>
    <col width="11.28515625" customWidth="1" style="249" min="1550" max="1553"/>
    <col width="9.140625" customWidth="1" style="249" min="1554" max="1555"/>
    <col width="10.85546875" bestFit="1" customWidth="1" style="249" min="1556" max="1556"/>
    <col width="9.140625" customWidth="1" style="249" min="1557" max="1797"/>
    <col width="2" customWidth="1" style="249" min="1798" max="1799"/>
    <col width="31.28515625" customWidth="1" style="249" min="1800" max="1800"/>
    <col width="13" customWidth="1" style="249" min="1801" max="1801"/>
    <col width="11.28515625" customWidth="1" style="249" min="1802" max="1804"/>
    <col width="13.7109375" bestFit="1" customWidth="1" style="249" min="1805" max="1805"/>
    <col width="11.28515625" customWidth="1" style="249" min="1806" max="1809"/>
    <col width="9.140625" customWidth="1" style="249" min="1810" max="1811"/>
    <col width="10.85546875" bestFit="1" customWidth="1" style="249" min="1812" max="1812"/>
    <col width="9.140625" customWidth="1" style="249" min="1813" max="2053"/>
    <col width="2" customWidth="1" style="249" min="2054" max="2055"/>
    <col width="31.28515625" customWidth="1" style="249" min="2056" max="2056"/>
    <col width="13" customWidth="1" style="249" min="2057" max="2057"/>
    <col width="11.28515625" customWidth="1" style="249" min="2058" max="2060"/>
    <col width="13.7109375" bestFit="1" customWidth="1" style="249" min="2061" max="2061"/>
    <col width="11.28515625" customWidth="1" style="249" min="2062" max="2065"/>
    <col width="9.140625" customWidth="1" style="249" min="2066" max="2067"/>
    <col width="10.85546875" bestFit="1" customWidth="1" style="249" min="2068" max="2068"/>
    <col width="9.140625" customWidth="1" style="249" min="2069" max="2309"/>
    <col width="2" customWidth="1" style="249" min="2310" max="2311"/>
    <col width="31.28515625" customWidth="1" style="249" min="2312" max="2312"/>
    <col width="13" customWidth="1" style="249" min="2313" max="2313"/>
    <col width="11.28515625" customWidth="1" style="249" min="2314" max="2316"/>
    <col width="13.7109375" bestFit="1" customWidth="1" style="249" min="2317" max="2317"/>
    <col width="11.28515625" customWidth="1" style="249" min="2318" max="2321"/>
    <col width="9.140625" customWidth="1" style="249" min="2322" max="2323"/>
    <col width="10.85546875" bestFit="1" customWidth="1" style="249" min="2324" max="2324"/>
    <col width="9.140625" customWidth="1" style="249" min="2325" max="2565"/>
    <col width="2" customWidth="1" style="249" min="2566" max="2567"/>
    <col width="31.28515625" customWidth="1" style="249" min="2568" max="2568"/>
    <col width="13" customWidth="1" style="249" min="2569" max="2569"/>
    <col width="11.28515625" customWidth="1" style="249" min="2570" max="2572"/>
    <col width="13.7109375" bestFit="1" customWidth="1" style="249" min="2573" max="2573"/>
    <col width="11.28515625" customWidth="1" style="249" min="2574" max="2577"/>
    <col width="9.140625" customWidth="1" style="249" min="2578" max="2579"/>
    <col width="10.85546875" bestFit="1" customWidth="1" style="249" min="2580" max="2580"/>
    <col width="9.140625" customWidth="1" style="249" min="2581" max="2821"/>
    <col width="2" customWidth="1" style="249" min="2822" max="2823"/>
    <col width="31.28515625" customWidth="1" style="249" min="2824" max="2824"/>
    <col width="13" customWidth="1" style="249" min="2825" max="2825"/>
    <col width="11.28515625" customWidth="1" style="249" min="2826" max="2828"/>
    <col width="13.7109375" bestFit="1" customWidth="1" style="249" min="2829" max="2829"/>
    <col width="11.28515625" customWidth="1" style="249" min="2830" max="2833"/>
    <col width="9.140625" customWidth="1" style="249" min="2834" max="2835"/>
    <col width="10.85546875" bestFit="1" customWidth="1" style="249" min="2836" max="2836"/>
    <col width="9.140625" customWidth="1" style="249" min="2837" max="3077"/>
    <col width="2" customWidth="1" style="249" min="3078" max="3079"/>
    <col width="31.28515625" customWidth="1" style="249" min="3080" max="3080"/>
    <col width="13" customWidth="1" style="249" min="3081" max="3081"/>
    <col width="11.28515625" customWidth="1" style="249" min="3082" max="3084"/>
    <col width="13.7109375" bestFit="1" customWidth="1" style="249" min="3085" max="3085"/>
    <col width="11.28515625" customWidth="1" style="249" min="3086" max="3089"/>
    <col width="9.140625" customWidth="1" style="249" min="3090" max="3091"/>
    <col width="10.85546875" bestFit="1" customWidth="1" style="249" min="3092" max="3092"/>
    <col width="9.140625" customWidth="1" style="249" min="3093" max="3333"/>
    <col width="2" customWidth="1" style="249" min="3334" max="3335"/>
    <col width="31.28515625" customWidth="1" style="249" min="3336" max="3336"/>
    <col width="13" customWidth="1" style="249" min="3337" max="3337"/>
    <col width="11.28515625" customWidth="1" style="249" min="3338" max="3340"/>
    <col width="13.7109375" bestFit="1" customWidth="1" style="249" min="3341" max="3341"/>
    <col width="11.28515625" customWidth="1" style="249" min="3342" max="3345"/>
    <col width="9.140625" customWidth="1" style="249" min="3346" max="3347"/>
    <col width="10.85546875" bestFit="1" customWidth="1" style="249" min="3348" max="3348"/>
    <col width="9.140625" customWidth="1" style="249" min="3349" max="3589"/>
    <col width="2" customWidth="1" style="249" min="3590" max="3591"/>
    <col width="31.28515625" customWidth="1" style="249" min="3592" max="3592"/>
    <col width="13" customWidth="1" style="249" min="3593" max="3593"/>
    <col width="11.28515625" customWidth="1" style="249" min="3594" max="3596"/>
    <col width="13.7109375" bestFit="1" customWidth="1" style="249" min="3597" max="3597"/>
    <col width="11.28515625" customWidth="1" style="249" min="3598" max="3601"/>
    <col width="9.140625" customWidth="1" style="249" min="3602" max="3603"/>
    <col width="10.85546875" bestFit="1" customWidth="1" style="249" min="3604" max="3604"/>
    <col width="9.140625" customWidth="1" style="249" min="3605" max="3845"/>
    <col width="2" customWidth="1" style="249" min="3846" max="3847"/>
    <col width="31.28515625" customWidth="1" style="249" min="3848" max="3848"/>
    <col width="13" customWidth="1" style="249" min="3849" max="3849"/>
    <col width="11.28515625" customWidth="1" style="249" min="3850" max="3852"/>
    <col width="13.7109375" bestFit="1" customWidth="1" style="249" min="3853" max="3853"/>
    <col width="11.28515625" customWidth="1" style="249" min="3854" max="3857"/>
    <col width="9.140625" customWidth="1" style="249" min="3858" max="3859"/>
    <col width="10.85546875" bestFit="1" customWidth="1" style="249" min="3860" max="3860"/>
    <col width="9.140625" customWidth="1" style="249" min="3861" max="4101"/>
    <col width="2" customWidth="1" style="249" min="4102" max="4103"/>
    <col width="31.28515625" customWidth="1" style="249" min="4104" max="4104"/>
    <col width="13" customWidth="1" style="249" min="4105" max="4105"/>
    <col width="11.28515625" customWidth="1" style="249" min="4106" max="4108"/>
    <col width="13.7109375" bestFit="1" customWidth="1" style="249" min="4109" max="4109"/>
    <col width="11.28515625" customWidth="1" style="249" min="4110" max="4113"/>
    <col width="9.140625" customWidth="1" style="249" min="4114" max="4115"/>
    <col width="10.85546875" bestFit="1" customWidth="1" style="249" min="4116" max="4116"/>
    <col width="9.140625" customWidth="1" style="249" min="4117" max="4357"/>
    <col width="2" customWidth="1" style="249" min="4358" max="4359"/>
    <col width="31.28515625" customWidth="1" style="249" min="4360" max="4360"/>
    <col width="13" customWidth="1" style="249" min="4361" max="4361"/>
    <col width="11.28515625" customWidth="1" style="249" min="4362" max="4364"/>
    <col width="13.7109375" bestFit="1" customWidth="1" style="249" min="4365" max="4365"/>
    <col width="11.28515625" customWidth="1" style="249" min="4366" max="4369"/>
    <col width="9.140625" customWidth="1" style="249" min="4370" max="4371"/>
    <col width="10.85546875" bestFit="1" customWidth="1" style="249" min="4372" max="4372"/>
    <col width="9.140625" customWidth="1" style="249" min="4373" max="4613"/>
    <col width="2" customWidth="1" style="249" min="4614" max="4615"/>
    <col width="31.28515625" customWidth="1" style="249" min="4616" max="4616"/>
    <col width="13" customWidth="1" style="249" min="4617" max="4617"/>
    <col width="11.28515625" customWidth="1" style="249" min="4618" max="4620"/>
    <col width="13.7109375" bestFit="1" customWidth="1" style="249" min="4621" max="4621"/>
    <col width="11.28515625" customWidth="1" style="249" min="4622" max="4625"/>
    <col width="9.140625" customWidth="1" style="249" min="4626" max="4627"/>
    <col width="10.85546875" bestFit="1" customWidth="1" style="249" min="4628" max="4628"/>
    <col width="9.140625" customWidth="1" style="249" min="4629" max="4869"/>
    <col width="2" customWidth="1" style="249" min="4870" max="4871"/>
    <col width="31.28515625" customWidth="1" style="249" min="4872" max="4872"/>
    <col width="13" customWidth="1" style="249" min="4873" max="4873"/>
    <col width="11.28515625" customWidth="1" style="249" min="4874" max="4876"/>
    <col width="13.7109375" bestFit="1" customWidth="1" style="249" min="4877" max="4877"/>
    <col width="11.28515625" customWidth="1" style="249" min="4878" max="4881"/>
    <col width="9.140625" customWidth="1" style="249" min="4882" max="4883"/>
    <col width="10.85546875" bestFit="1" customWidth="1" style="249" min="4884" max="4884"/>
    <col width="9.140625" customWidth="1" style="249" min="4885" max="5125"/>
    <col width="2" customWidth="1" style="249" min="5126" max="5127"/>
    <col width="31.28515625" customWidth="1" style="249" min="5128" max="5128"/>
    <col width="13" customWidth="1" style="249" min="5129" max="5129"/>
    <col width="11.28515625" customWidth="1" style="249" min="5130" max="5132"/>
    <col width="13.7109375" bestFit="1" customWidth="1" style="249" min="5133" max="5133"/>
    <col width="11.28515625" customWidth="1" style="249" min="5134" max="5137"/>
    <col width="9.140625" customWidth="1" style="249" min="5138" max="5139"/>
    <col width="10.85546875" bestFit="1" customWidth="1" style="249" min="5140" max="5140"/>
    <col width="9.140625" customWidth="1" style="249" min="5141" max="5381"/>
    <col width="2" customWidth="1" style="249" min="5382" max="5383"/>
    <col width="31.28515625" customWidth="1" style="249" min="5384" max="5384"/>
    <col width="13" customWidth="1" style="249" min="5385" max="5385"/>
    <col width="11.28515625" customWidth="1" style="249" min="5386" max="5388"/>
    <col width="13.7109375" bestFit="1" customWidth="1" style="249" min="5389" max="5389"/>
    <col width="11.28515625" customWidth="1" style="249" min="5390" max="5393"/>
    <col width="9.140625" customWidth="1" style="249" min="5394" max="5395"/>
    <col width="10.85546875" bestFit="1" customWidth="1" style="249" min="5396" max="5396"/>
    <col width="9.140625" customWidth="1" style="249" min="5397" max="5637"/>
    <col width="2" customWidth="1" style="249" min="5638" max="5639"/>
    <col width="31.28515625" customWidth="1" style="249" min="5640" max="5640"/>
    <col width="13" customWidth="1" style="249" min="5641" max="5641"/>
    <col width="11.28515625" customWidth="1" style="249" min="5642" max="5644"/>
    <col width="13.7109375" bestFit="1" customWidth="1" style="249" min="5645" max="5645"/>
    <col width="11.28515625" customWidth="1" style="249" min="5646" max="5649"/>
    <col width="9.140625" customWidth="1" style="249" min="5650" max="5651"/>
    <col width="10.85546875" bestFit="1" customWidth="1" style="249" min="5652" max="5652"/>
    <col width="9.140625" customWidth="1" style="249" min="5653" max="5893"/>
    <col width="2" customWidth="1" style="249" min="5894" max="5895"/>
    <col width="31.28515625" customWidth="1" style="249" min="5896" max="5896"/>
    <col width="13" customWidth="1" style="249" min="5897" max="5897"/>
    <col width="11.28515625" customWidth="1" style="249" min="5898" max="5900"/>
    <col width="13.7109375" bestFit="1" customWidth="1" style="249" min="5901" max="5901"/>
    <col width="11.28515625" customWidth="1" style="249" min="5902" max="5905"/>
    <col width="9.140625" customWidth="1" style="249" min="5906" max="5907"/>
    <col width="10.85546875" bestFit="1" customWidth="1" style="249" min="5908" max="5908"/>
    <col width="9.140625" customWidth="1" style="249" min="5909" max="6149"/>
    <col width="2" customWidth="1" style="249" min="6150" max="6151"/>
    <col width="31.28515625" customWidth="1" style="249" min="6152" max="6152"/>
    <col width="13" customWidth="1" style="249" min="6153" max="6153"/>
    <col width="11.28515625" customWidth="1" style="249" min="6154" max="6156"/>
    <col width="13.7109375" bestFit="1" customWidth="1" style="249" min="6157" max="6157"/>
    <col width="11.28515625" customWidth="1" style="249" min="6158" max="6161"/>
    <col width="9.140625" customWidth="1" style="249" min="6162" max="6163"/>
    <col width="10.85546875" bestFit="1" customWidth="1" style="249" min="6164" max="6164"/>
    <col width="9.140625" customWidth="1" style="249" min="6165" max="6405"/>
    <col width="2" customWidth="1" style="249" min="6406" max="6407"/>
    <col width="31.28515625" customWidth="1" style="249" min="6408" max="6408"/>
    <col width="13" customWidth="1" style="249" min="6409" max="6409"/>
    <col width="11.28515625" customWidth="1" style="249" min="6410" max="6412"/>
    <col width="13.7109375" bestFit="1" customWidth="1" style="249" min="6413" max="6413"/>
    <col width="11.28515625" customWidth="1" style="249" min="6414" max="6417"/>
    <col width="9.140625" customWidth="1" style="249" min="6418" max="6419"/>
    <col width="10.85546875" bestFit="1" customWidth="1" style="249" min="6420" max="6420"/>
    <col width="9.140625" customWidth="1" style="249" min="6421" max="6661"/>
    <col width="2" customWidth="1" style="249" min="6662" max="6663"/>
    <col width="31.28515625" customWidth="1" style="249" min="6664" max="6664"/>
    <col width="13" customWidth="1" style="249" min="6665" max="6665"/>
    <col width="11.28515625" customWidth="1" style="249" min="6666" max="6668"/>
    <col width="13.7109375" bestFit="1" customWidth="1" style="249" min="6669" max="6669"/>
    <col width="11.28515625" customWidth="1" style="249" min="6670" max="6673"/>
    <col width="9.140625" customWidth="1" style="249" min="6674" max="6675"/>
    <col width="10.85546875" bestFit="1" customWidth="1" style="249" min="6676" max="6676"/>
    <col width="9.140625" customWidth="1" style="249" min="6677" max="6917"/>
    <col width="2" customWidth="1" style="249" min="6918" max="6919"/>
    <col width="31.28515625" customWidth="1" style="249" min="6920" max="6920"/>
    <col width="13" customWidth="1" style="249" min="6921" max="6921"/>
    <col width="11.28515625" customWidth="1" style="249" min="6922" max="6924"/>
    <col width="13.7109375" bestFit="1" customWidth="1" style="249" min="6925" max="6925"/>
    <col width="11.28515625" customWidth="1" style="249" min="6926" max="6929"/>
    <col width="9.140625" customWidth="1" style="249" min="6930" max="6931"/>
    <col width="10.85546875" bestFit="1" customWidth="1" style="249" min="6932" max="6932"/>
    <col width="9.140625" customWidth="1" style="249" min="6933" max="7173"/>
    <col width="2" customWidth="1" style="249" min="7174" max="7175"/>
    <col width="31.28515625" customWidth="1" style="249" min="7176" max="7176"/>
    <col width="13" customWidth="1" style="249" min="7177" max="7177"/>
    <col width="11.28515625" customWidth="1" style="249" min="7178" max="7180"/>
    <col width="13.7109375" bestFit="1" customWidth="1" style="249" min="7181" max="7181"/>
    <col width="11.28515625" customWidth="1" style="249" min="7182" max="7185"/>
    <col width="9.140625" customWidth="1" style="249" min="7186" max="7187"/>
    <col width="10.85546875" bestFit="1" customWidth="1" style="249" min="7188" max="7188"/>
    <col width="9.140625" customWidth="1" style="249" min="7189" max="7429"/>
    <col width="2" customWidth="1" style="249" min="7430" max="7431"/>
    <col width="31.28515625" customWidth="1" style="249" min="7432" max="7432"/>
    <col width="13" customWidth="1" style="249" min="7433" max="7433"/>
    <col width="11.28515625" customWidth="1" style="249" min="7434" max="7436"/>
    <col width="13.7109375" bestFit="1" customWidth="1" style="249" min="7437" max="7437"/>
    <col width="11.28515625" customWidth="1" style="249" min="7438" max="7441"/>
    <col width="9.140625" customWidth="1" style="249" min="7442" max="7443"/>
    <col width="10.85546875" bestFit="1" customWidth="1" style="249" min="7444" max="7444"/>
    <col width="9.140625" customWidth="1" style="249" min="7445" max="7685"/>
    <col width="2" customWidth="1" style="249" min="7686" max="7687"/>
    <col width="31.28515625" customWidth="1" style="249" min="7688" max="7688"/>
    <col width="13" customWidth="1" style="249" min="7689" max="7689"/>
    <col width="11.28515625" customWidth="1" style="249" min="7690" max="7692"/>
    <col width="13.7109375" bestFit="1" customWidth="1" style="249" min="7693" max="7693"/>
    <col width="11.28515625" customWidth="1" style="249" min="7694" max="7697"/>
    <col width="9.140625" customWidth="1" style="249" min="7698" max="7699"/>
    <col width="10.85546875" bestFit="1" customWidth="1" style="249" min="7700" max="7700"/>
    <col width="9.140625" customWidth="1" style="249" min="7701" max="7941"/>
    <col width="2" customWidth="1" style="249" min="7942" max="7943"/>
    <col width="31.28515625" customWidth="1" style="249" min="7944" max="7944"/>
    <col width="13" customWidth="1" style="249" min="7945" max="7945"/>
    <col width="11.28515625" customWidth="1" style="249" min="7946" max="7948"/>
    <col width="13.7109375" bestFit="1" customWidth="1" style="249" min="7949" max="7949"/>
    <col width="11.28515625" customWidth="1" style="249" min="7950" max="7953"/>
    <col width="9.140625" customWidth="1" style="249" min="7954" max="7955"/>
    <col width="10.85546875" bestFit="1" customWidth="1" style="249" min="7956" max="7956"/>
    <col width="9.140625" customWidth="1" style="249" min="7957" max="8197"/>
    <col width="2" customWidth="1" style="249" min="8198" max="8199"/>
    <col width="31.28515625" customWidth="1" style="249" min="8200" max="8200"/>
    <col width="13" customWidth="1" style="249" min="8201" max="8201"/>
    <col width="11.28515625" customWidth="1" style="249" min="8202" max="8204"/>
    <col width="13.7109375" bestFit="1" customWidth="1" style="249" min="8205" max="8205"/>
    <col width="11.28515625" customWidth="1" style="249" min="8206" max="8209"/>
    <col width="9.140625" customWidth="1" style="249" min="8210" max="8211"/>
    <col width="10.85546875" bestFit="1" customWidth="1" style="249" min="8212" max="8212"/>
    <col width="9.140625" customWidth="1" style="249" min="8213" max="8453"/>
    <col width="2" customWidth="1" style="249" min="8454" max="8455"/>
    <col width="31.28515625" customWidth="1" style="249" min="8456" max="8456"/>
    <col width="13" customWidth="1" style="249" min="8457" max="8457"/>
    <col width="11.28515625" customWidth="1" style="249" min="8458" max="8460"/>
    <col width="13.7109375" bestFit="1" customWidth="1" style="249" min="8461" max="8461"/>
    <col width="11.28515625" customWidth="1" style="249" min="8462" max="8465"/>
    <col width="9.140625" customWidth="1" style="249" min="8466" max="8467"/>
    <col width="10.85546875" bestFit="1" customWidth="1" style="249" min="8468" max="8468"/>
    <col width="9.140625" customWidth="1" style="249" min="8469" max="8709"/>
    <col width="2" customWidth="1" style="249" min="8710" max="8711"/>
    <col width="31.28515625" customWidth="1" style="249" min="8712" max="8712"/>
    <col width="13" customWidth="1" style="249" min="8713" max="8713"/>
    <col width="11.28515625" customWidth="1" style="249" min="8714" max="8716"/>
    <col width="13.7109375" bestFit="1" customWidth="1" style="249" min="8717" max="8717"/>
    <col width="11.28515625" customWidth="1" style="249" min="8718" max="8721"/>
    <col width="9.140625" customWidth="1" style="249" min="8722" max="8723"/>
    <col width="10.85546875" bestFit="1" customWidth="1" style="249" min="8724" max="8724"/>
    <col width="9.140625" customWidth="1" style="249" min="8725" max="8965"/>
    <col width="2" customWidth="1" style="249" min="8966" max="8967"/>
    <col width="31.28515625" customWidth="1" style="249" min="8968" max="8968"/>
    <col width="13" customWidth="1" style="249" min="8969" max="8969"/>
    <col width="11.28515625" customWidth="1" style="249" min="8970" max="8972"/>
    <col width="13.7109375" bestFit="1" customWidth="1" style="249" min="8973" max="8973"/>
    <col width="11.28515625" customWidth="1" style="249" min="8974" max="8977"/>
    <col width="9.140625" customWidth="1" style="249" min="8978" max="8979"/>
    <col width="10.85546875" bestFit="1" customWidth="1" style="249" min="8980" max="8980"/>
    <col width="9.140625" customWidth="1" style="249" min="8981" max="9221"/>
    <col width="2" customWidth="1" style="249" min="9222" max="9223"/>
    <col width="31.28515625" customWidth="1" style="249" min="9224" max="9224"/>
    <col width="13" customWidth="1" style="249" min="9225" max="9225"/>
    <col width="11.28515625" customWidth="1" style="249" min="9226" max="9228"/>
    <col width="13.7109375" bestFit="1" customWidth="1" style="249" min="9229" max="9229"/>
    <col width="11.28515625" customWidth="1" style="249" min="9230" max="9233"/>
    <col width="9.140625" customWidth="1" style="249" min="9234" max="9235"/>
    <col width="10.85546875" bestFit="1" customWidth="1" style="249" min="9236" max="9236"/>
    <col width="9.140625" customWidth="1" style="249" min="9237" max="9477"/>
    <col width="2" customWidth="1" style="249" min="9478" max="9479"/>
    <col width="31.28515625" customWidth="1" style="249" min="9480" max="9480"/>
    <col width="13" customWidth="1" style="249" min="9481" max="9481"/>
    <col width="11.28515625" customWidth="1" style="249" min="9482" max="9484"/>
    <col width="13.7109375" bestFit="1" customWidth="1" style="249" min="9485" max="9485"/>
    <col width="11.28515625" customWidth="1" style="249" min="9486" max="9489"/>
    <col width="9.140625" customWidth="1" style="249" min="9490" max="9491"/>
    <col width="10.85546875" bestFit="1" customWidth="1" style="249" min="9492" max="9492"/>
    <col width="9.140625" customWidth="1" style="249" min="9493" max="9733"/>
    <col width="2" customWidth="1" style="249" min="9734" max="9735"/>
    <col width="31.28515625" customWidth="1" style="249" min="9736" max="9736"/>
    <col width="13" customWidth="1" style="249" min="9737" max="9737"/>
    <col width="11.28515625" customWidth="1" style="249" min="9738" max="9740"/>
    <col width="13.7109375" bestFit="1" customWidth="1" style="249" min="9741" max="9741"/>
    <col width="11.28515625" customWidth="1" style="249" min="9742" max="9745"/>
    <col width="9.140625" customWidth="1" style="249" min="9746" max="9747"/>
    <col width="10.85546875" bestFit="1" customWidth="1" style="249" min="9748" max="9748"/>
    <col width="9.140625" customWidth="1" style="249" min="9749" max="9989"/>
    <col width="2" customWidth="1" style="249" min="9990" max="9991"/>
    <col width="31.28515625" customWidth="1" style="249" min="9992" max="9992"/>
    <col width="13" customWidth="1" style="249" min="9993" max="9993"/>
    <col width="11.28515625" customWidth="1" style="249" min="9994" max="9996"/>
    <col width="13.7109375" bestFit="1" customWidth="1" style="249" min="9997" max="9997"/>
    <col width="11.28515625" customWidth="1" style="249" min="9998" max="10001"/>
    <col width="9.140625" customWidth="1" style="249" min="10002" max="10003"/>
    <col width="10.85546875" bestFit="1" customWidth="1" style="249" min="10004" max="10004"/>
    <col width="9.140625" customWidth="1" style="249" min="10005" max="10245"/>
    <col width="2" customWidth="1" style="249" min="10246" max="10247"/>
    <col width="31.28515625" customWidth="1" style="249" min="10248" max="10248"/>
    <col width="13" customWidth="1" style="249" min="10249" max="10249"/>
    <col width="11.28515625" customWidth="1" style="249" min="10250" max="10252"/>
    <col width="13.7109375" bestFit="1" customWidth="1" style="249" min="10253" max="10253"/>
    <col width="11.28515625" customWidth="1" style="249" min="10254" max="10257"/>
    <col width="9.140625" customWidth="1" style="249" min="10258" max="10259"/>
    <col width="10.85546875" bestFit="1" customWidth="1" style="249" min="10260" max="10260"/>
    <col width="9.140625" customWidth="1" style="249" min="10261" max="10501"/>
    <col width="2" customWidth="1" style="249" min="10502" max="10503"/>
    <col width="31.28515625" customWidth="1" style="249" min="10504" max="10504"/>
    <col width="13" customWidth="1" style="249" min="10505" max="10505"/>
    <col width="11.28515625" customWidth="1" style="249" min="10506" max="10508"/>
    <col width="13.7109375" bestFit="1" customWidth="1" style="249" min="10509" max="10509"/>
    <col width="11.28515625" customWidth="1" style="249" min="10510" max="10513"/>
    <col width="9.140625" customWidth="1" style="249" min="10514" max="10515"/>
    <col width="10.85546875" bestFit="1" customWidth="1" style="249" min="10516" max="10516"/>
    <col width="9.140625" customWidth="1" style="249" min="10517" max="10757"/>
    <col width="2" customWidth="1" style="249" min="10758" max="10759"/>
    <col width="31.28515625" customWidth="1" style="249" min="10760" max="10760"/>
    <col width="13" customWidth="1" style="249" min="10761" max="10761"/>
    <col width="11.28515625" customWidth="1" style="249" min="10762" max="10764"/>
    <col width="13.7109375" bestFit="1" customWidth="1" style="249" min="10765" max="10765"/>
    <col width="11.28515625" customWidth="1" style="249" min="10766" max="10769"/>
    <col width="9.140625" customWidth="1" style="249" min="10770" max="10771"/>
    <col width="10.85546875" bestFit="1" customWidth="1" style="249" min="10772" max="10772"/>
    <col width="9.140625" customWidth="1" style="249" min="10773" max="11013"/>
    <col width="2" customWidth="1" style="249" min="11014" max="11015"/>
    <col width="31.28515625" customWidth="1" style="249" min="11016" max="11016"/>
    <col width="13" customWidth="1" style="249" min="11017" max="11017"/>
    <col width="11.28515625" customWidth="1" style="249" min="11018" max="11020"/>
    <col width="13.7109375" bestFit="1" customWidth="1" style="249" min="11021" max="11021"/>
    <col width="11.28515625" customWidth="1" style="249" min="11022" max="11025"/>
    <col width="9.140625" customWidth="1" style="249" min="11026" max="11027"/>
    <col width="10.85546875" bestFit="1" customWidth="1" style="249" min="11028" max="11028"/>
    <col width="9.140625" customWidth="1" style="249" min="11029" max="11269"/>
    <col width="2" customWidth="1" style="249" min="11270" max="11271"/>
    <col width="31.28515625" customWidth="1" style="249" min="11272" max="11272"/>
    <col width="13" customWidth="1" style="249" min="11273" max="11273"/>
    <col width="11.28515625" customWidth="1" style="249" min="11274" max="11276"/>
    <col width="13.7109375" bestFit="1" customWidth="1" style="249" min="11277" max="11277"/>
    <col width="11.28515625" customWidth="1" style="249" min="11278" max="11281"/>
    <col width="9.140625" customWidth="1" style="249" min="11282" max="11283"/>
    <col width="10.85546875" bestFit="1" customWidth="1" style="249" min="11284" max="11284"/>
    <col width="9.140625" customWidth="1" style="249" min="11285" max="11525"/>
    <col width="2" customWidth="1" style="249" min="11526" max="11527"/>
    <col width="31.28515625" customWidth="1" style="249" min="11528" max="11528"/>
    <col width="13" customWidth="1" style="249" min="11529" max="11529"/>
    <col width="11.28515625" customWidth="1" style="249" min="11530" max="11532"/>
    <col width="13.7109375" bestFit="1" customWidth="1" style="249" min="11533" max="11533"/>
    <col width="11.28515625" customWidth="1" style="249" min="11534" max="11537"/>
    <col width="9.140625" customWidth="1" style="249" min="11538" max="11539"/>
    <col width="10.85546875" bestFit="1" customWidth="1" style="249" min="11540" max="11540"/>
    <col width="9.140625" customWidth="1" style="249" min="11541" max="11781"/>
    <col width="2" customWidth="1" style="249" min="11782" max="11783"/>
    <col width="31.28515625" customWidth="1" style="249" min="11784" max="11784"/>
    <col width="13" customWidth="1" style="249" min="11785" max="11785"/>
    <col width="11.28515625" customWidth="1" style="249" min="11786" max="11788"/>
    <col width="13.7109375" bestFit="1" customWidth="1" style="249" min="11789" max="11789"/>
    <col width="11.28515625" customWidth="1" style="249" min="11790" max="11793"/>
    <col width="9.140625" customWidth="1" style="249" min="11794" max="11795"/>
    <col width="10.85546875" bestFit="1" customWidth="1" style="249" min="11796" max="11796"/>
    <col width="9.140625" customWidth="1" style="249" min="11797" max="12037"/>
    <col width="2" customWidth="1" style="249" min="12038" max="12039"/>
    <col width="31.28515625" customWidth="1" style="249" min="12040" max="12040"/>
    <col width="13" customWidth="1" style="249" min="12041" max="12041"/>
    <col width="11.28515625" customWidth="1" style="249" min="12042" max="12044"/>
    <col width="13.7109375" bestFit="1" customWidth="1" style="249" min="12045" max="12045"/>
    <col width="11.28515625" customWidth="1" style="249" min="12046" max="12049"/>
    <col width="9.140625" customWidth="1" style="249" min="12050" max="12051"/>
    <col width="10.85546875" bestFit="1" customWidth="1" style="249" min="12052" max="12052"/>
    <col width="9.140625" customWidth="1" style="249" min="12053" max="12293"/>
    <col width="2" customWidth="1" style="249" min="12294" max="12295"/>
    <col width="31.28515625" customWidth="1" style="249" min="12296" max="12296"/>
    <col width="13" customWidth="1" style="249" min="12297" max="12297"/>
    <col width="11.28515625" customWidth="1" style="249" min="12298" max="12300"/>
    <col width="13.7109375" bestFit="1" customWidth="1" style="249" min="12301" max="12301"/>
    <col width="11.28515625" customWidth="1" style="249" min="12302" max="12305"/>
    <col width="9.140625" customWidth="1" style="249" min="12306" max="12307"/>
    <col width="10.85546875" bestFit="1" customWidth="1" style="249" min="12308" max="12308"/>
    <col width="9.140625" customWidth="1" style="249" min="12309" max="12549"/>
    <col width="2" customWidth="1" style="249" min="12550" max="12551"/>
    <col width="31.28515625" customWidth="1" style="249" min="12552" max="12552"/>
    <col width="13" customWidth="1" style="249" min="12553" max="12553"/>
    <col width="11.28515625" customWidth="1" style="249" min="12554" max="12556"/>
    <col width="13.7109375" bestFit="1" customWidth="1" style="249" min="12557" max="12557"/>
    <col width="11.28515625" customWidth="1" style="249" min="12558" max="12561"/>
    <col width="9.140625" customWidth="1" style="249" min="12562" max="12563"/>
    <col width="10.85546875" bestFit="1" customWidth="1" style="249" min="12564" max="12564"/>
    <col width="9.140625" customWidth="1" style="249" min="12565" max="12805"/>
    <col width="2" customWidth="1" style="249" min="12806" max="12807"/>
    <col width="31.28515625" customWidth="1" style="249" min="12808" max="12808"/>
    <col width="13" customWidth="1" style="249" min="12809" max="12809"/>
    <col width="11.28515625" customWidth="1" style="249" min="12810" max="12812"/>
    <col width="13.7109375" bestFit="1" customWidth="1" style="249" min="12813" max="12813"/>
    <col width="11.28515625" customWidth="1" style="249" min="12814" max="12817"/>
    <col width="9.140625" customWidth="1" style="249" min="12818" max="12819"/>
    <col width="10.85546875" bestFit="1" customWidth="1" style="249" min="12820" max="12820"/>
    <col width="9.140625" customWidth="1" style="249" min="12821" max="13061"/>
    <col width="2" customWidth="1" style="249" min="13062" max="13063"/>
    <col width="31.28515625" customWidth="1" style="249" min="13064" max="13064"/>
    <col width="13" customWidth="1" style="249" min="13065" max="13065"/>
    <col width="11.28515625" customWidth="1" style="249" min="13066" max="13068"/>
    <col width="13.7109375" bestFit="1" customWidth="1" style="249" min="13069" max="13069"/>
    <col width="11.28515625" customWidth="1" style="249" min="13070" max="13073"/>
    <col width="9.140625" customWidth="1" style="249" min="13074" max="13075"/>
    <col width="10.85546875" bestFit="1" customWidth="1" style="249" min="13076" max="13076"/>
    <col width="9.140625" customWidth="1" style="249" min="13077" max="13317"/>
    <col width="2" customWidth="1" style="249" min="13318" max="13319"/>
    <col width="31.28515625" customWidth="1" style="249" min="13320" max="13320"/>
    <col width="13" customWidth="1" style="249" min="13321" max="13321"/>
    <col width="11.28515625" customWidth="1" style="249" min="13322" max="13324"/>
    <col width="13.7109375" bestFit="1" customWidth="1" style="249" min="13325" max="13325"/>
    <col width="11.28515625" customWidth="1" style="249" min="13326" max="13329"/>
    <col width="9.140625" customWidth="1" style="249" min="13330" max="13331"/>
    <col width="10.85546875" bestFit="1" customWidth="1" style="249" min="13332" max="13332"/>
    <col width="9.140625" customWidth="1" style="249" min="13333" max="13573"/>
    <col width="2" customWidth="1" style="249" min="13574" max="13575"/>
    <col width="31.28515625" customWidth="1" style="249" min="13576" max="13576"/>
    <col width="13" customWidth="1" style="249" min="13577" max="13577"/>
    <col width="11.28515625" customWidth="1" style="249" min="13578" max="13580"/>
    <col width="13.7109375" bestFit="1" customWidth="1" style="249" min="13581" max="13581"/>
    <col width="11.28515625" customWidth="1" style="249" min="13582" max="13585"/>
    <col width="9.140625" customWidth="1" style="249" min="13586" max="13587"/>
    <col width="10.85546875" bestFit="1" customWidth="1" style="249" min="13588" max="13588"/>
    <col width="9.140625" customWidth="1" style="249" min="13589" max="13829"/>
    <col width="2" customWidth="1" style="249" min="13830" max="13831"/>
    <col width="31.28515625" customWidth="1" style="249" min="13832" max="13832"/>
    <col width="13" customWidth="1" style="249" min="13833" max="13833"/>
    <col width="11.28515625" customWidth="1" style="249" min="13834" max="13836"/>
    <col width="13.7109375" bestFit="1" customWidth="1" style="249" min="13837" max="13837"/>
    <col width="11.28515625" customWidth="1" style="249" min="13838" max="13841"/>
    <col width="9.140625" customWidth="1" style="249" min="13842" max="13843"/>
    <col width="10.85546875" bestFit="1" customWidth="1" style="249" min="13844" max="13844"/>
    <col width="9.140625" customWidth="1" style="249" min="13845" max="14085"/>
    <col width="2" customWidth="1" style="249" min="14086" max="14087"/>
    <col width="31.28515625" customWidth="1" style="249" min="14088" max="14088"/>
    <col width="13" customWidth="1" style="249" min="14089" max="14089"/>
    <col width="11.28515625" customWidth="1" style="249" min="14090" max="14092"/>
    <col width="13.7109375" bestFit="1" customWidth="1" style="249" min="14093" max="14093"/>
    <col width="11.28515625" customWidth="1" style="249" min="14094" max="14097"/>
    <col width="9.140625" customWidth="1" style="249" min="14098" max="14099"/>
    <col width="10.85546875" bestFit="1" customWidth="1" style="249" min="14100" max="14100"/>
    <col width="9.140625" customWidth="1" style="249" min="14101" max="14341"/>
    <col width="2" customWidth="1" style="249" min="14342" max="14343"/>
    <col width="31.28515625" customWidth="1" style="249" min="14344" max="14344"/>
    <col width="13" customWidth="1" style="249" min="14345" max="14345"/>
    <col width="11.28515625" customWidth="1" style="249" min="14346" max="14348"/>
    <col width="13.7109375" bestFit="1" customWidth="1" style="249" min="14349" max="14349"/>
    <col width="11.28515625" customWidth="1" style="249" min="14350" max="14353"/>
    <col width="9.140625" customWidth="1" style="249" min="14354" max="14355"/>
    <col width="10.85546875" bestFit="1" customWidth="1" style="249" min="14356" max="14356"/>
    <col width="9.140625" customWidth="1" style="249" min="14357" max="14597"/>
    <col width="2" customWidth="1" style="249" min="14598" max="14599"/>
    <col width="31.28515625" customWidth="1" style="249" min="14600" max="14600"/>
    <col width="13" customWidth="1" style="249" min="14601" max="14601"/>
    <col width="11.28515625" customWidth="1" style="249" min="14602" max="14604"/>
    <col width="13.7109375" bestFit="1" customWidth="1" style="249" min="14605" max="14605"/>
    <col width="11.28515625" customWidth="1" style="249" min="14606" max="14609"/>
    <col width="9.140625" customWidth="1" style="249" min="14610" max="14611"/>
    <col width="10.85546875" bestFit="1" customWidth="1" style="249" min="14612" max="14612"/>
    <col width="9.140625" customWidth="1" style="249" min="14613" max="14853"/>
    <col width="2" customWidth="1" style="249" min="14854" max="14855"/>
    <col width="31.28515625" customWidth="1" style="249" min="14856" max="14856"/>
    <col width="13" customWidth="1" style="249" min="14857" max="14857"/>
    <col width="11.28515625" customWidth="1" style="249" min="14858" max="14860"/>
    <col width="13.7109375" bestFit="1" customWidth="1" style="249" min="14861" max="14861"/>
    <col width="11.28515625" customWidth="1" style="249" min="14862" max="14865"/>
    <col width="9.140625" customWidth="1" style="249" min="14866" max="14867"/>
    <col width="10.85546875" bestFit="1" customWidth="1" style="249" min="14868" max="14868"/>
    <col width="9.140625" customWidth="1" style="249" min="14869" max="15109"/>
    <col width="2" customWidth="1" style="249" min="15110" max="15111"/>
    <col width="31.28515625" customWidth="1" style="249" min="15112" max="15112"/>
    <col width="13" customWidth="1" style="249" min="15113" max="15113"/>
    <col width="11.28515625" customWidth="1" style="249" min="15114" max="15116"/>
    <col width="13.7109375" bestFit="1" customWidth="1" style="249" min="15117" max="15117"/>
    <col width="11.28515625" customWidth="1" style="249" min="15118" max="15121"/>
    <col width="9.140625" customWidth="1" style="249" min="15122" max="15123"/>
    <col width="10.85546875" bestFit="1" customWidth="1" style="249" min="15124" max="15124"/>
    <col width="9.140625" customWidth="1" style="249" min="15125" max="15365"/>
    <col width="2" customWidth="1" style="249" min="15366" max="15367"/>
    <col width="31.28515625" customWidth="1" style="249" min="15368" max="15368"/>
    <col width="13" customWidth="1" style="249" min="15369" max="15369"/>
    <col width="11.28515625" customWidth="1" style="249" min="15370" max="15372"/>
    <col width="13.7109375" bestFit="1" customWidth="1" style="249" min="15373" max="15373"/>
    <col width="11.28515625" customWidth="1" style="249" min="15374" max="15377"/>
    <col width="9.140625" customWidth="1" style="249" min="15378" max="15379"/>
    <col width="10.85546875" bestFit="1" customWidth="1" style="249" min="15380" max="15380"/>
    <col width="9.140625" customWidth="1" style="249" min="15381" max="15621"/>
    <col width="2" customWidth="1" style="249" min="15622" max="15623"/>
    <col width="31.28515625" customWidth="1" style="249" min="15624" max="15624"/>
    <col width="13" customWidth="1" style="249" min="15625" max="15625"/>
    <col width="11.28515625" customWidth="1" style="249" min="15626" max="15628"/>
    <col width="13.7109375" bestFit="1" customWidth="1" style="249" min="15629" max="15629"/>
    <col width="11.28515625" customWidth="1" style="249" min="15630" max="15633"/>
    <col width="9.140625" customWidth="1" style="249" min="15634" max="15635"/>
    <col width="10.85546875" bestFit="1" customWidth="1" style="249" min="15636" max="15636"/>
    <col width="9.140625" customWidth="1" style="249" min="15637" max="15877"/>
    <col width="2" customWidth="1" style="249" min="15878" max="15879"/>
    <col width="31.28515625" customWidth="1" style="249" min="15880" max="15880"/>
    <col width="13" customWidth="1" style="249" min="15881" max="15881"/>
    <col width="11.28515625" customWidth="1" style="249" min="15882" max="15884"/>
    <col width="13.7109375" bestFit="1" customWidth="1" style="249" min="15885" max="15885"/>
    <col width="11.28515625" customWidth="1" style="249" min="15886" max="15889"/>
    <col width="9.140625" customWidth="1" style="249" min="15890" max="15891"/>
    <col width="10.85546875" bestFit="1" customWidth="1" style="249" min="15892" max="15892"/>
    <col width="9.140625" customWidth="1" style="249" min="15893" max="16133"/>
    <col width="2" customWidth="1" style="249" min="16134" max="16135"/>
    <col width="31.28515625" customWidth="1" style="249" min="16136" max="16136"/>
    <col width="13" customWidth="1" style="249" min="16137" max="16137"/>
    <col width="11.28515625" customWidth="1" style="249" min="16138" max="16140"/>
    <col width="13.7109375" bestFit="1" customWidth="1" style="249" min="16141" max="16141"/>
    <col width="11.28515625" customWidth="1" style="249" min="16142" max="16145"/>
    <col width="9.140625" customWidth="1" style="249" min="16146" max="16147"/>
    <col width="10.85546875" bestFit="1" customWidth="1" style="249" min="16148" max="16148"/>
    <col width="9.140625" customWidth="1" style="249" min="16149" max="16384"/>
  </cols>
  <sheetData>
    <row r="1" outlineLevel="1" ht="6.75" customFormat="1" customHeight="1" s="58"/>
    <row r="2" outlineLevel="1" ht="6.75" customFormat="1" customHeight="1" s="58"/>
    <row r="3" outlineLevel="1">
      <c r="C3" s="249" t="str">
        <f>"Discounted Cash Flow Model for "&amp;ticker</f>
        <v>Discounted Cash Flow Model for </v>
      </c>
    </row>
    <row r="4" outlineLevel="1" ht="13.5" customHeight="1" thickBot="1">
      <c r="C4" s="60" t="inlineStr">
        <is>
          <t>All figures in millions, except per share data</t>
        </is>
      </c>
      <c r="D4" s="60" t="n"/>
      <c r="E4" s="60" t="n"/>
      <c r="F4" s="60" t="n"/>
      <c r="G4" s="60" t="n"/>
      <c r="H4" s="60" t="n"/>
      <c r="I4" s="60" t="n"/>
      <c r="J4" s="60" t="n"/>
      <c r="K4" s="60" t="n"/>
      <c r="L4" s="60" t="n"/>
      <c r="M4" s="60" t="n"/>
      <c r="N4" s="60" t="n"/>
      <c r="O4" s="60" t="n"/>
      <c r="P4" s="60" t="n"/>
      <c r="Q4" s="60" t="n"/>
      <c r="R4" s="60" t="n"/>
      <c r="S4" s="60" t="n"/>
      <c r="T4" s="60" t="n"/>
      <c r="U4" s="60" t="n"/>
      <c r="V4" s="60" t="n"/>
    </row>
    <row r="5" outlineLevel="1"/>
    <row r="6" outlineLevel="1"/>
    <row r="7" outlineLevel="1">
      <c r="C7" s="249" t="inlineStr">
        <is>
          <t>Ticker</t>
        </is>
      </c>
      <c r="D7" s="61" t="n"/>
      <c r="F7" s="249" t="inlineStr">
        <is>
          <t>Last close</t>
        </is>
      </c>
      <c r="G7" s="62" t="n"/>
    </row>
    <row r="8" outlineLevel="1">
      <c r="C8" s="249" t="inlineStr">
        <is>
          <t>Operating scenario:</t>
        </is>
      </c>
      <c r="D8" s="63" t="str">
        <f>IF(scenario=2,"Base Case",IF(scenario=1,"Bull Case","Bear Case"))</f>
        <v>Base Case</v>
      </c>
      <c r="E8" s="261" t="n">
        <v>2</v>
      </c>
      <c r="F8" t="inlineStr">
        <is>
          <t>1 = Bull, 2 = Base, 3 = Bear</t>
        </is>
      </c>
    </row>
    <row r="9" outlineLevel="1">
      <c r="C9" s="249" t="inlineStr">
        <is>
          <t>Last fiscal year end date:</t>
        </is>
      </c>
      <c r="D9" s="64" t="n">
        <v>46022</v>
      </c>
    </row>
    <row r="10" outlineLevel="1">
      <c r="C10" s="249" t="inlineStr">
        <is>
          <t>Valuation / deal date:</t>
        </is>
      </c>
      <c r="D10" s="64" t="n">
        <v>46292</v>
      </c>
    </row>
    <row r="11" outlineLevel="1">
      <c r="C11" s="249" t="inlineStr">
        <is>
          <t>Stub year fraction:</t>
        </is>
      </c>
      <c r="D11" s="65">
        <f>1-(D10-D9)/365</f>
        <v>0.26027397260274</v>
      </c>
      <c r="E11" s="66" t="n"/>
      <c r="I11" s="67" t="n"/>
      <c r="O11" s="68" t="n"/>
      <c r="Z11" s="69" t="n"/>
    </row>
    <row r="12" outlineLevel="1">
      <c r="C12" s="249" t="inlineStr">
        <is>
          <t>Weighted average cost of capital:</t>
        </is>
      </c>
      <c r="D12" s="65" t="e">
        <f>J93</f>
        <v>#DIV/0!</v>
      </c>
      <c r="I12" s="67" t="n"/>
    </row>
    <row r="13" outlineLevel="1">
      <c r="D13" s="65" t="n"/>
      <c r="E13" s="65" t="n"/>
    </row>
    <row r="14">
      <c r="C14" s="70" t="inlineStr">
        <is>
          <t>Historicals</t>
        </is>
      </c>
      <c r="D14" s="70" t="n"/>
      <c r="E14" s="70" t="n"/>
      <c r="F14" s="70" t="n"/>
      <c r="G14" s="248" t="inlineStr">
        <is>
          <t>Projected Annual Forecast</t>
        </is>
      </c>
    </row>
    <row r="15">
      <c r="C15" s="71" t="n"/>
      <c r="D15" s="71" t="n"/>
      <c r="E15" s="71" t="n"/>
      <c r="F15" s="71" t="n"/>
      <c r="G15" s="72" t="inlineStr">
        <is>
          <t>Granular</t>
        </is>
      </c>
      <c r="H15" s="73" t="n"/>
      <c r="I15" s="73" t="n"/>
      <c r="J15" s="73" t="n"/>
      <c r="K15" s="73" t="n"/>
      <c r="L15" s="73" t="n"/>
      <c r="M15" s="74" t="inlineStr">
        <is>
          <t>Synthetic</t>
        </is>
      </c>
      <c r="N15" s="75" t="n"/>
      <c r="O15" s="75" t="n"/>
      <c r="P15" s="75" t="n"/>
      <c r="Q15" s="75" t="n"/>
      <c r="R15" s="75" t="n"/>
      <c r="S15" s="252" t="inlineStr">
        <is>
          <t>Fora do horizonte do Model (projecao vai ate 2037)</t>
        </is>
      </c>
      <c r="T15" s="75" t="n"/>
      <c r="U15" s="75" t="n"/>
      <c r="V15" s="75" t="n"/>
      <c r="X15" s="76" t="inlineStr">
        <is>
          <t>CAGR</t>
        </is>
      </c>
      <c r="Y15" s="77" t="n"/>
      <c r="Z15" s="77" t="n"/>
    </row>
    <row r="16">
      <c r="D16" s="78">
        <f>YEAR(D17)</f>
        <v>2023</v>
      </c>
      <c r="E16" s="78">
        <f>YEAR(E17)</f>
        <v>2024</v>
      </c>
      <c r="F16" s="78">
        <f>YEAR(F17)</f>
        <v>2025</v>
      </c>
      <c r="G16" s="78">
        <f>YEAR(G17)</f>
        <v>2026</v>
      </c>
      <c r="H16" s="78">
        <f>YEAR(H17)</f>
        <v>2027</v>
      </c>
      <c r="I16" s="78">
        <f>YEAR(I17)</f>
        <v>2028</v>
      </c>
      <c r="J16" s="78">
        <f>YEAR(J17)</f>
        <v>2029</v>
      </c>
      <c r="K16" s="78">
        <f>YEAR(K17)</f>
        <v>2030</v>
      </c>
      <c r="L16" s="78">
        <f>YEAR(L17)</f>
        <v>2031</v>
      </c>
      <c r="M16" s="78">
        <f>YEAR(M17)</f>
        <v>2032</v>
      </c>
      <c r="N16" s="78">
        <f>YEAR(N17)</f>
        <v>2033</v>
      </c>
      <c r="O16" s="78">
        <f>YEAR(O17)</f>
        <v>2034</v>
      </c>
      <c r="P16" s="78">
        <f>YEAR(P17)</f>
        <v>2035</v>
      </c>
      <c r="Q16" s="78">
        <f>YEAR(Q17)</f>
        <v>2036</v>
      </c>
      <c r="R16" s="78">
        <f>YEAR(R17)</f>
        <v>2037</v>
      </c>
      <c r="S16" s="253">
        <f>YEAR(S17)</f>
        <v>2038</v>
      </c>
      <c r="T16" s="253">
        <f>YEAR(T17)</f>
        <v>2039</v>
      </c>
      <c r="U16" s="253">
        <f>YEAR(U17)</f>
        <v>2040</v>
      </c>
      <c r="V16" s="253">
        <f>YEAR(V17)</f>
        <v>2041</v>
      </c>
      <c r="W16" s="78" t="n"/>
      <c r="X16" s="77" t="str">
        <f>F16&amp;"-"&amp;L16</f>
        <v>2025-2031</v>
      </c>
      <c r="Y16" s="77" t="str">
        <f>L16&amp;"-"&amp;R16</f>
        <v>2031-2037</v>
      </c>
      <c r="Z16" s="77" t="n"/>
    </row>
    <row r="17" outlineLevel="1">
      <c r="C17" s="79" t="n"/>
      <c r="D17" s="80">
        <f>DATE(YEAR(E17)-1,MONTH(E17),DAY(E17))</f>
        <v>45291.0</v>
      </c>
      <c r="E17" s="80">
        <f>DATE(YEAR(F17)-1,MONTH(F17),DAY(F17))</f>
        <v>45657.0</v>
      </c>
      <c r="F17" s="80">
        <f>DATE(YEAR(G17)-1,MONTH(G17),DAY(G17))</f>
        <v>46022.0</v>
      </c>
      <c r="G17" s="80">
        <f>DATE(YEAR(D9)+1,MONTH(D9),DAY(D9))</f>
        <v>46387.0</v>
      </c>
      <c r="H17" s="80">
        <f>DATE(YEAR(G17)+1,MONTH(G17),DAY(G17))</f>
        <v>46752.0</v>
      </c>
      <c r="I17" s="80">
        <f>DATE(YEAR(H17)+1,MONTH(H17),DAY(H17))</f>
        <v>47118.0</v>
      </c>
      <c r="J17" s="80">
        <f>DATE(YEAR(I17)+1,MONTH(I17),DAY(I17))</f>
        <v>47483.0</v>
      </c>
      <c r="K17" s="80">
        <f>DATE(YEAR(J17)+1,MONTH(J17),DAY(J17))</f>
        <v>47848.0</v>
      </c>
      <c r="L17" s="80">
        <f>DATE(YEAR(K17)+1,MONTH(K17),DAY(K17))</f>
        <v>48213.0</v>
      </c>
      <c r="M17" s="80">
        <f>DATE(YEAR(L17)+1,MONTH(L17),DAY(L17))</f>
        <v>48579.0</v>
      </c>
      <c r="N17" s="80">
        <f>DATE(YEAR(M17)+1,MONTH(M17),DAY(M17))</f>
        <v>48944.0</v>
      </c>
      <c r="O17" s="80">
        <f>DATE(YEAR(N17)+1,MONTH(N17),DAY(N17))</f>
        <v>49309.0</v>
      </c>
      <c r="P17" s="80">
        <f>DATE(YEAR(O17)+1,MONTH(O17),DAY(O17))</f>
        <v>49674.0</v>
      </c>
      <c r="Q17" s="80">
        <f>DATE(YEAR(P17)+1,MONTH(P17),DAY(P17))</f>
        <v>50040.0</v>
      </c>
      <c r="R17" s="80">
        <f>DATE(YEAR(Q17)+1,MONTH(Q17),DAY(Q17))</f>
        <v>50405.0</v>
      </c>
      <c r="S17" s="80">
        <f>DATE(YEAR(R17)+1,MONTH(R17),DAY(R17))</f>
        <v>50770.0</v>
      </c>
      <c r="T17" s="80">
        <f>DATE(YEAR(S17)+1,MONTH(S17),DAY(S17))</f>
        <v>51135.0</v>
      </c>
      <c r="U17" s="80">
        <f>DATE(YEAR(T17)+1,MONTH(T17),DAY(T17))</f>
        <v>51501.0</v>
      </c>
      <c r="V17" s="80">
        <f>DATE(YEAR(U17)+1,MONTH(U17),DAY(U17))</f>
        <v>51866.0</v>
      </c>
      <c r="W17" s="81" t="n"/>
      <c r="X17" s="77" t="n"/>
      <c r="Y17" s="77" t="n"/>
      <c r="Z17" s="77" t="n"/>
    </row>
    <row r="18">
      <c r="C18" s="82" t="inlineStr">
        <is>
          <t>Net Revenues</t>
        </is>
      </c>
      <c r="D18" s="83">
        <f>Model!W15</f>
        <v>96773</v>
      </c>
      <c r="E18" s="83">
        <f>Model!AB15</f>
        <v>97690</v>
      </c>
      <c r="F18" s="83">
        <f>Model!AG15</f>
        <v>94827</v>
      </c>
      <c r="G18" s="83">
        <f>Model!AL15</f>
        <v>103619</v>
      </c>
      <c r="H18" s="83">
        <f>Model!AQ15</f>
        <v>103619</v>
      </c>
      <c r="I18" s="83">
        <f>Model!AV15</f>
        <v>103619</v>
      </c>
      <c r="J18" s="83">
        <f>Model!BA15</f>
        <v>103619</v>
      </c>
      <c r="K18" s="83">
        <f>Model!BF15</f>
        <v>103619</v>
      </c>
      <c r="L18" s="83">
        <f>Model!BK15</f>
        <v>103619</v>
      </c>
      <c r="M18" s="83">
        <f>Model!BP15</f>
        <v>103619</v>
      </c>
      <c r="N18" s="83">
        <f>Model!BU15</f>
        <v>103619</v>
      </c>
      <c r="O18" s="83">
        <f>Model!BZ15</f>
        <v>103619</v>
      </c>
      <c r="P18" s="83">
        <f>Model!CE15</f>
        <v>103619</v>
      </c>
      <c r="Q18" s="83">
        <f>Model!CJ15</f>
        <v>103619</v>
      </c>
      <c r="R18" s="83">
        <f>Model!CO15</f>
        <v>103619</v>
      </c>
      <c r="S18" s="83" t="n"/>
      <c r="T18" s="83" t="n"/>
      <c r="U18" s="83" t="n"/>
      <c r="V18" s="84" t="n"/>
      <c r="X18" s="85">
        <f>((L18/F18)^(1/6))-1</f>
        <v>0.0148874861945196</v>
      </c>
      <c r="Y18" s="85">
        <f>((R18/L18)^(1/6))-1</f>
        <v>0</v>
      </c>
      <c r="Z18" s="77" t="n"/>
    </row>
    <row r="19">
      <c r="C19" s="86" t="n"/>
      <c r="D19" s="79" t="n"/>
      <c r="E19" s="87">
        <f>E18/D18-1</f>
        <v>0.0094757835346635</v>
      </c>
      <c r="F19" s="87">
        <f>F18/E18-1</f>
        <v>-0.0293069915037363</v>
      </c>
      <c r="G19" s="87">
        <f>G18/F18-1</f>
        <v>0.0927162095183862</v>
      </c>
      <c r="H19" s="87">
        <f>H18/G18-1</f>
        <v>0</v>
      </c>
      <c r="I19" s="87">
        <f>I18/H18-1</f>
        <v>0</v>
      </c>
      <c r="J19" s="87">
        <f>J18/I18-1</f>
        <v>0</v>
      </c>
      <c r="K19" s="87">
        <f>K18/J18-1</f>
        <v>0</v>
      </c>
      <c r="L19" s="87">
        <f>L18/K18-1</f>
        <v>0</v>
      </c>
      <c r="M19" s="87">
        <f>M18/L18-1</f>
        <v>0</v>
      </c>
      <c r="N19" s="87">
        <f>N18/M18-1</f>
        <v>0</v>
      </c>
      <c r="O19" s="87">
        <f>O18/N18-1</f>
        <v>0</v>
      </c>
      <c r="P19" s="87">
        <f>P18/O18-1</f>
        <v>0</v>
      </c>
      <c r="Q19" s="87">
        <f>Q18/P18-1</f>
        <v>0</v>
      </c>
      <c r="R19" s="87">
        <f>R18/Q18-1</f>
        <v>0</v>
      </c>
      <c r="S19" s="87" t="n"/>
      <c r="T19" s="87" t="n"/>
      <c r="U19" s="87" t="n"/>
      <c r="V19" s="88" t="n"/>
      <c r="X19" s="77" t="n"/>
      <c r="Y19" s="77" t="n"/>
      <c r="Z19" s="77" t="n"/>
    </row>
    <row r="20" outlineLevel="1">
      <c r="C20" s="89" t="inlineStr">
        <is>
          <t>EBITDA</t>
        </is>
      </c>
      <c r="D20" s="83">
        <f>Model!W63</f>
        <v>13558</v>
      </c>
      <c r="E20" s="83">
        <f>Model!AB63</f>
        <v>12444</v>
      </c>
      <c r="F20" s="83">
        <f>Model!AG63</f>
        <v>10503</v>
      </c>
      <c r="G20" s="83">
        <f>Model!AL63</f>
        <v>4548</v>
      </c>
      <c r="H20" s="83">
        <f>Model!AQ63</f>
        <v>0</v>
      </c>
      <c r="I20" s="83">
        <f>Model!BA63</f>
        <v>0</v>
      </c>
      <c r="J20" s="83">
        <f>Model!BA63</f>
        <v>0</v>
      </c>
      <c r="K20" s="83">
        <f>Model!BF63</f>
        <v>0</v>
      </c>
      <c r="L20" s="83">
        <f>Model!BK63</f>
        <v>0</v>
      </c>
      <c r="M20" s="90" t="n"/>
      <c r="N20" s="90" t="n"/>
      <c r="O20" s="90" t="n"/>
      <c r="P20" s="90" t="n"/>
      <c r="Q20" s="90" t="n"/>
      <c r="R20" s="90" t="n"/>
      <c r="S20" s="90" t="n"/>
      <c r="T20" s="90" t="n"/>
      <c r="U20" s="90" t="n"/>
      <c r="V20" s="91" t="n"/>
      <c r="X20" s="77" t="n"/>
      <c r="Y20" s="77" t="n"/>
      <c r="Z20" s="77" t="n"/>
    </row>
    <row r="21" outlineLevel="1">
      <c r="C21" s="86" t="n"/>
      <c r="D21" s="92">
        <f>D20/D18</f>
        <v>0.140101061246422</v>
      </c>
      <c r="E21" s="92">
        <f>E20/E18</f>
        <v>0.127382536595353</v>
      </c>
      <c r="F21" s="92">
        <f>F20/F18</f>
        <v>0.11075959378658</v>
      </c>
      <c r="G21" s="92">
        <f>G20/G18</f>
        <v>0.0438915642884027</v>
      </c>
      <c r="H21" s="92">
        <f>H20/H18</f>
        <v>0</v>
      </c>
      <c r="I21" s="92">
        <f>I20/I18</f>
        <v>0</v>
      </c>
      <c r="J21" s="92">
        <f>J20/J18</f>
        <v>0</v>
      </c>
      <c r="K21" s="92">
        <f>K20/K18</f>
        <v>0</v>
      </c>
      <c r="L21" s="92">
        <f>L20/L18</f>
        <v>0</v>
      </c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93" t="n"/>
      <c r="X21" s="85" t="n"/>
      <c r="Y21" s="85" t="n"/>
      <c r="Z21" s="77" t="n"/>
    </row>
    <row r="22" outlineLevel="1">
      <c r="C22" s="82" t="inlineStr">
        <is>
          <t>EBIT</t>
        </is>
      </c>
      <c r="D22" s="83">
        <f>Model!W67</f>
        <v>8891</v>
      </c>
      <c r="E22" s="83">
        <f>Model!AB67</f>
        <v>7076</v>
      </c>
      <c r="F22" s="83">
        <f>Model!AG67</f>
        <v>4355</v>
      </c>
      <c r="G22" s="83">
        <f>Model!AL67</f>
        <v>1339</v>
      </c>
      <c r="H22" s="83">
        <f>Model!AQ67</f>
        <v>0</v>
      </c>
      <c r="I22" s="83">
        <f>Model!AV67</f>
        <v>0</v>
      </c>
      <c r="J22" s="83">
        <f>Model!BA67</f>
        <v>0</v>
      </c>
      <c r="K22" s="83">
        <f>Model!BF67</f>
        <v>0</v>
      </c>
      <c r="L22" s="83">
        <f>Model!BK67</f>
        <v>0</v>
      </c>
      <c r="M22" s="83">
        <f>Model!BP67</f>
        <v>0</v>
      </c>
      <c r="N22" s="83">
        <f>Model!BU67</f>
        <v>0</v>
      </c>
      <c r="O22" s="83">
        <f>Model!BZ67</f>
        <v>0</v>
      </c>
      <c r="P22" s="83">
        <f>Model!CE67</f>
        <v>0</v>
      </c>
      <c r="Q22" s="83">
        <f>Model!CJ67</f>
        <v>0</v>
      </c>
      <c r="R22" s="83">
        <f>Model!CO67</f>
        <v>0</v>
      </c>
      <c r="S22" s="83" t="n"/>
      <c r="T22" s="83" t="n"/>
      <c r="U22" s="83" t="n"/>
      <c r="V22" s="84" t="n"/>
      <c r="X22" s="85">
        <f>((L22/F22)^(1/6))-1</f>
        <v>-1</v>
      </c>
      <c r="Y22" s="85" t="e">
        <f>((R22/L22)^(1/6))-1</f>
        <v>#DIV/0!</v>
      </c>
      <c r="Z22" s="77" t="n"/>
    </row>
    <row r="23" outlineLevel="1">
      <c r="C23" s="86" t="n"/>
      <c r="D23" s="92">
        <f>D22/D18</f>
        <v>0.0918747997891974</v>
      </c>
      <c r="E23" s="92">
        <f>E22/E18</f>
        <v>0.0724332070836319</v>
      </c>
      <c r="F23" s="92">
        <f>F22/F18</f>
        <v>0.0459257384500195</v>
      </c>
      <c r="G23" s="92">
        <f>G22/G18</f>
        <v>0.0129223404973991</v>
      </c>
      <c r="H23" s="92">
        <f>H22/H18</f>
        <v>0</v>
      </c>
      <c r="I23" s="92">
        <f>I22/I18</f>
        <v>0</v>
      </c>
      <c r="J23" s="92">
        <f>J22/J18</f>
        <v>0</v>
      </c>
      <c r="K23" s="92">
        <f>K22/K18</f>
        <v>0</v>
      </c>
      <c r="L23" s="92">
        <f>L22/L18</f>
        <v>0</v>
      </c>
      <c r="M23" s="92">
        <f>M22/M18</f>
        <v>0</v>
      </c>
      <c r="N23" s="92">
        <f>N22/N18</f>
        <v>0</v>
      </c>
      <c r="O23" s="92">
        <f>O22/O18</f>
        <v>0</v>
      </c>
      <c r="P23" s="92">
        <f>P22/P18</f>
        <v>0</v>
      </c>
      <c r="Q23" s="92">
        <f>Q22/Q18</f>
        <v>0</v>
      </c>
      <c r="R23" s="92">
        <f>R22/R18</f>
        <v>0</v>
      </c>
      <c r="S23" s="92" t="n"/>
      <c r="T23" s="92" t="n"/>
      <c r="U23" s="92" t="n"/>
      <c r="V23" s="94" t="n"/>
      <c r="X23" s="77" t="n"/>
      <c r="Y23" s="77" t="n"/>
      <c r="Z23" s="77" t="n"/>
    </row>
    <row r="24">
      <c r="C24" s="82" t="inlineStr">
        <is>
          <t>Tax rate</t>
        </is>
      </c>
      <c r="D24" s="95">
        <f>Model!W126</f>
        <v>-0.501453925599118</v>
      </c>
      <c r="E24" s="95">
        <f>Model!AB126</f>
        <v>0.204338153503893</v>
      </c>
      <c r="F24" s="95">
        <f>Model!AG126</f>
        <v>0.269609700644183</v>
      </c>
      <c r="G24" s="95">
        <f>Model!AL126</f>
        <v>0.153279785809906</v>
      </c>
      <c r="H24" s="95">
        <f>Model!AQ126</f>
        <v>0</v>
      </c>
      <c r="I24" s="95">
        <f>Model!AV126</f>
        <v>0</v>
      </c>
      <c r="J24" s="95">
        <f>Model!BA126</f>
        <v>0</v>
      </c>
      <c r="K24" s="95">
        <f>Model!BF126</f>
        <v>0</v>
      </c>
      <c r="L24" s="95">
        <f>Model!BK126</f>
        <v>0</v>
      </c>
      <c r="M24" s="95">
        <f>Model!BP126</f>
        <v>0</v>
      </c>
      <c r="N24" s="95">
        <f>Model!BU126</f>
        <v>0</v>
      </c>
      <c r="O24" s="95">
        <f>Model!BZ126</f>
        <v>0</v>
      </c>
      <c r="P24" s="95">
        <f>Model!CE126</f>
        <v>0</v>
      </c>
      <c r="Q24" s="95">
        <f>Model!CJ126</f>
        <v>0</v>
      </c>
      <c r="R24" s="95">
        <f>Model!CO126</f>
        <v>0</v>
      </c>
      <c r="S24" s="95" t="n"/>
      <c r="T24" s="95" t="n"/>
      <c r="U24" s="95" t="n"/>
      <c r="V24" s="96" t="n"/>
      <c r="X24" s="77" t="n"/>
      <c r="Y24" s="77" t="n"/>
      <c r="Z24" s="77" t="n"/>
    </row>
    <row r="25">
      <c r="C25" s="86" t="inlineStr">
        <is>
          <t>NOPLAT</t>
        </is>
      </c>
      <c r="D25" s="97">
        <f>D22*(1-D24)</f>
        <v>13349.4268525018</v>
      </c>
      <c r="E25" s="97">
        <f>E22*(1-E24)</f>
        <v>5630.10322580645</v>
      </c>
      <c r="F25" s="97">
        <f>F22*(1-F24)</f>
        <v>3180.84975369458</v>
      </c>
      <c r="G25" s="97">
        <f>G22*(1-G24)</f>
        <v>1133.75836680054</v>
      </c>
      <c r="H25" s="97">
        <f>H22*(1-H24)</f>
        <v>0</v>
      </c>
      <c r="I25" s="97">
        <f>I22*(1-I24)</f>
        <v>0</v>
      </c>
      <c r="J25" s="97">
        <f>J22*(1-J24)</f>
        <v>0</v>
      </c>
      <c r="K25" s="97">
        <f>K22*(1-K24)</f>
        <v>0</v>
      </c>
      <c r="L25" s="97">
        <f>L22*(1-L24)</f>
        <v>0</v>
      </c>
      <c r="M25" s="97">
        <f>M22*(1-M24)</f>
        <v>0</v>
      </c>
      <c r="N25" s="97">
        <f>N22*(1-N24)</f>
        <v>0</v>
      </c>
      <c r="O25" s="97">
        <f>O22*(1-O24)</f>
        <v>0</v>
      </c>
      <c r="P25" s="97">
        <f>P22*(1-P24)</f>
        <v>0</v>
      </c>
      <c r="Q25" s="97">
        <f>Q22*(1-Q24)</f>
        <v>0</v>
      </c>
      <c r="R25" s="97">
        <f>R22*(1-R24)</f>
        <v>0</v>
      </c>
      <c r="S25" s="97" t="n"/>
      <c r="T25" s="97" t="n"/>
      <c r="U25" s="97" t="n"/>
      <c r="V25" s="98" t="n"/>
      <c r="X25" s="85" t="n"/>
      <c r="Y25" s="85" t="n"/>
      <c r="Z25" s="77" t="n"/>
    </row>
    <row r="26">
      <c r="C26" s="99" t="inlineStr">
        <is>
          <t>Depreciation &amp; Amortization</t>
        </is>
      </c>
      <c r="D26" s="100">
        <f>Model!W64</f>
        <v>-4667</v>
      </c>
      <c r="E26" s="100">
        <f>Model!AB64</f>
        <v>-5368</v>
      </c>
      <c r="F26" s="100">
        <f>Model!AG64</f>
        <v>-6148</v>
      </c>
      <c r="G26" s="100">
        <f>Model!AL64</f>
        <v>-3209</v>
      </c>
      <c r="H26" s="100">
        <f>Model!AQ64</f>
        <v>0</v>
      </c>
      <c r="I26" s="100">
        <f>Model!AV64</f>
        <v>0</v>
      </c>
      <c r="J26" s="100">
        <f>Model!BA64</f>
        <v>0</v>
      </c>
      <c r="K26" s="100">
        <f>Model!BF64</f>
        <v>0</v>
      </c>
      <c r="L26" s="101">
        <f>Model!BK64</f>
        <v>0</v>
      </c>
      <c r="X26" s="77" t="n"/>
      <c r="Y26" s="77" t="n"/>
      <c r="Z26" s="77" t="n"/>
    </row>
    <row r="27">
      <c r="C27" s="102" t="inlineStr">
        <is>
          <t>Cash from working capital</t>
        </is>
      </c>
      <c r="D27" s="103">
        <f>SUM(D28:D39)</f>
        <v>-2986</v>
      </c>
      <c r="E27" s="103">
        <f>SUM(E28:E39)</f>
        <v>4452</v>
      </c>
      <c r="F27" s="103">
        <f>SUM(F28:F39)</f>
        <v>3591</v>
      </c>
      <c r="G27" s="103">
        <f>SUM(G28:G39)</f>
        <v>4297</v>
      </c>
      <c r="H27" s="103" t="e">
        <f>SUM(H28:H39)</f>
        <v>#DIV/0!</v>
      </c>
      <c r="I27" s="103" t="e">
        <f>SUM(I28:I39)</f>
        <v>#DIV/0!</v>
      </c>
      <c r="J27" s="103" t="e">
        <f>SUM(J28:J39)</f>
        <v>#DIV/0!</v>
      </c>
      <c r="K27" s="103" t="e">
        <f>SUM(K28:K39)</f>
        <v>#DIV/0!</v>
      </c>
      <c r="L27" s="104" t="e">
        <f>SUM(L28:L39)</f>
        <v>#DIV/0!</v>
      </c>
      <c r="X27" s="77" t="n"/>
      <c r="Y27" s="77" t="n"/>
      <c r="Z27" s="77" t="n"/>
    </row>
    <row r="28" outlineLevel="1">
      <c r="C28" s="105" t="inlineStr">
        <is>
          <t>Accounts receivable</t>
        </is>
      </c>
      <c r="D28" s="106">
        <f>Model!W274</f>
        <v>-556</v>
      </c>
      <c r="E28" s="106">
        <f>Model!AB274</f>
        <v>-910</v>
      </c>
      <c r="F28" s="106">
        <f>Model!AG274</f>
        <v>-158</v>
      </c>
      <c r="G28" s="106">
        <f>Model!AL274</f>
        <v>4576</v>
      </c>
      <c r="H28" s="106">
        <f>Model!AQ274</f>
        <v>0</v>
      </c>
      <c r="I28" s="106">
        <f>Model!AV274</f>
        <v>0</v>
      </c>
      <c r="J28" s="106">
        <f>Model!BA274</f>
        <v>0</v>
      </c>
      <c r="K28" s="106">
        <f>Model!BF274</f>
        <v>0</v>
      </c>
      <c r="L28" s="107">
        <f>Model!BK274</f>
        <v>0</v>
      </c>
      <c r="X28" s="77" t="n"/>
      <c r="Y28" s="77" t="n"/>
      <c r="Z28" s="77" t="n"/>
    </row>
    <row r="29" outlineLevel="1">
      <c r="C29" s="105" t="inlineStr">
        <is>
          <t>Inventories</t>
        </is>
      </c>
      <c r="D29" s="106">
        <f>Model!W275</f>
        <v>-787</v>
      </c>
      <c r="E29" s="106">
        <f>Model!AB275</f>
        <v>1609</v>
      </c>
      <c r="F29" s="106">
        <f>Model!AG275</f>
        <v>-375</v>
      </c>
      <c r="G29" s="106">
        <f>Model!AL275</f>
        <v>12392</v>
      </c>
      <c r="H29" s="106">
        <f>Model!AQ275</f>
        <v>0</v>
      </c>
      <c r="I29" s="106">
        <f>Model!AV275</f>
        <v>0</v>
      </c>
      <c r="J29" s="106">
        <f>Model!BA275</f>
        <v>0</v>
      </c>
      <c r="K29" s="106">
        <f>Model!BF275</f>
        <v>0</v>
      </c>
      <c r="L29" s="107">
        <f>Model!BK275</f>
        <v>0</v>
      </c>
      <c r="X29" s="77" t="n"/>
      <c r="Y29" s="77" t="n"/>
      <c r="Z29" s="77" t="n"/>
    </row>
    <row r="30" outlineLevel="1">
      <c r="C30" s="105" t="inlineStr">
        <is>
          <t>Deferred income taxes (assets)</t>
        </is>
      </c>
      <c r="D30" s="106">
        <f>Model!W276</f>
        <v>-6733</v>
      </c>
      <c r="E30" s="106">
        <f>Model!AB276</f>
        <v>209</v>
      </c>
      <c r="F30" s="106">
        <f>Model!AG276</f>
        <v>-401</v>
      </c>
      <c r="G30" s="106">
        <f>Model!AL276</f>
        <v>-310</v>
      </c>
      <c r="H30" s="106">
        <f>Model!AQ276</f>
        <v>0</v>
      </c>
      <c r="I30" s="106">
        <f>Model!AV276</f>
        <v>0</v>
      </c>
      <c r="J30" s="106">
        <f>Model!BA276</f>
        <v>0</v>
      </c>
      <c r="K30" s="106">
        <f>Model!BF276</f>
        <v>0</v>
      </c>
      <c r="L30" s="107">
        <f>Model!BK276</f>
        <v>0</v>
      </c>
      <c r="X30" s="77" t="n"/>
      <c r="Y30" s="77" t="n"/>
      <c r="Z30" s="77" t="n"/>
    </row>
    <row r="31" outlineLevel="1">
      <c r="C31" s="105" t="inlineStr">
        <is>
          <t>Prepaid expenses</t>
        </is>
      </c>
      <c r="D31" s="106">
        <f>Model!W277</f>
        <v>0</v>
      </c>
      <c r="E31" s="106">
        <f>Model!AB277</f>
        <v>0</v>
      </c>
      <c r="F31" s="106">
        <f>Model!AG277</f>
        <v>0</v>
      </c>
      <c r="G31" s="106">
        <f>Model!AL277</f>
        <v>0</v>
      </c>
      <c r="H31" s="106">
        <f>Model!AQ277</f>
        <v>0</v>
      </c>
      <c r="I31" s="106">
        <f>Model!AV277</f>
        <v>0</v>
      </c>
      <c r="J31" s="106">
        <f>Model!BA277</f>
        <v>0</v>
      </c>
      <c r="K31" s="106">
        <f>Model!BF277</f>
        <v>0</v>
      </c>
      <c r="L31" s="107">
        <f>Model!BK277</f>
        <v>0</v>
      </c>
      <c r="X31" s="77" t="n"/>
      <c r="Y31" s="77" t="n"/>
      <c r="Z31" s="77" t="n"/>
    </row>
    <row r="32" outlineLevel="1">
      <c r="C32" s="105" t="inlineStr">
        <is>
          <t>Other current assets</t>
        </is>
      </c>
      <c r="D32" s="106">
        <f>Model!W278</f>
        <v>-447</v>
      </c>
      <c r="E32" s="106">
        <f>Model!AB278</f>
        <v>-1974</v>
      </c>
      <c r="F32" s="106">
        <f>Model!AG278</f>
        <v>-2253</v>
      </c>
      <c r="G32" s="106">
        <f>Model!AL278</f>
        <v>220</v>
      </c>
      <c r="H32" s="106">
        <f>Model!AQ278</f>
        <v>0</v>
      </c>
      <c r="I32" s="106">
        <f>Model!AV278</f>
        <v>0</v>
      </c>
      <c r="J32" s="106">
        <f>Model!BA278</f>
        <v>0</v>
      </c>
      <c r="K32" s="106">
        <f>Model!BF278</f>
        <v>0</v>
      </c>
      <c r="L32" s="107">
        <f>Model!BK278</f>
        <v>0</v>
      </c>
      <c r="X32" s="77" t="n"/>
      <c r="Y32" s="77" t="n"/>
      <c r="Z32" s="77" t="n"/>
    </row>
    <row r="33" outlineLevel="1">
      <c r="C33" s="105" t="inlineStr">
        <is>
          <t>Accounts payable</t>
        </is>
      </c>
      <c r="D33" s="106">
        <f>Model!W279</f>
        <v>-824</v>
      </c>
      <c r="E33" s="106">
        <f>Model!AB279</f>
        <v>-1957</v>
      </c>
      <c r="F33" s="106">
        <f>Model!AG279</f>
        <v>897</v>
      </c>
      <c r="G33" s="106">
        <f>Model!AL279</f>
        <v>-13371</v>
      </c>
      <c r="H33" s="106">
        <f>Model!AQ279</f>
        <v>0</v>
      </c>
      <c r="I33" s="106">
        <f>Model!AV279</f>
        <v>0</v>
      </c>
      <c r="J33" s="106">
        <f>Model!BA279</f>
        <v>0</v>
      </c>
      <c r="K33" s="106">
        <f>Model!BF279</f>
        <v>0</v>
      </c>
      <c r="L33" s="107">
        <f>Model!BK279</f>
        <v>0</v>
      </c>
      <c r="X33" s="77" t="n"/>
      <c r="Y33" s="77" t="n"/>
      <c r="Z33" s="77" t="n"/>
    </row>
    <row r="34" outlineLevel="1">
      <c r="C34" s="105" t="inlineStr">
        <is>
          <t>Accrued expenses</t>
        </is>
      </c>
      <c r="D34" s="106">
        <f>Model!W280</f>
        <v>0</v>
      </c>
      <c r="E34" s="106">
        <f>Model!AB280</f>
        <v>0</v>
      </c>
      <c r="F34" s="106">
        <f>Model!AG280</f>
        <v>0</v>
      </c>
      <c r="G34" s="106">
        <f>Model!AL280</f>
        <v>0</v>
      </c>
      <c r="H34" s="106" t="e">
        <f>Model!AQ280</f>
        <v>#DIV/0!</v>
      </c>
      <c r="I34" s="106" t="e">
        <f>Model!AV280</f>
        <v>#DIV/0!</v>
      </c>
      <c r="J34" s="106" t="e">
        <f>Model!BA280</f>
        <v>#DIV/0!</v>
      </c>
      <c r="K34" s="106" t="e">
        <f>Model!BF280</f>
        <v>#DIV/0!</v>
      </c>
      <c r="L34" s="107" t="e">
        <f>Model!BK280</f>
        <v>#DIV/0!</v>
      </c>
      <c r="X34" s="77" t="n"/>
      <c r="Y34" s="77" t="n"/>
      <c r="Z34" s="77" t="n"/>
    </row>
    <row r="35" outlineLevel="1">
      <c r="C35" s="105" t="inlineStr">
        <is>
          <t>Taxes payable</t>
        </is>
      </c>
      <c r="D35" s="106">
        <f>Model!W281</f>
        <v>0</v>
      </c>
      <c r="E35" s="106">
        <f>Model!AB281</f>
        <v>0</v>
      </c>
      <c r="F35" s="106">
        <f>Model!AG281</f>
        <v>0</v>
      </c>
      <c r="G35" s="106">
        <f>Model!AL281</f>
        <v>0</v>
      </c>
      <c r="H35" s="106" t="e">
        <f>Model!AQ281</f>
        <v>#DIV/0!</v>
      </c>
      <c r="I35" s="106" t="e">
        <f>Model!AV281</f>
        <v>#DIV/0!</v>
      </c>
      <c r="J35" s="106" t="e">
        <f>Model!BA281</f>
        <v>#DIV/0!</v>
      </c>
      <c r="K35" s="106" t="e">
        <f>Model!BF281</f>
        <v>#DIV/0!</v>
      </c>
      <c r="L35" s="107" t="e">
        <f>Model!BK281</f>
        <v>#DIV/0!</v>
      </c>
      <c r="X35" s="77" t="n"/>
      <c r="Y35" s="77" t="n"/>
      <c r="Z35" s="77" t="n"/>
    </row>
    <row r="36" outlineLevel="1">
      <c r="C36" s="105" t="inlineStr">
        <is>
          <t>Other current liabilities</t>
        </is>
      </c>
      <c r="D36" s="106">
        <f>Model!W282</f>
        <v>2863</v>
      </c>
      <c r="E36" s="106">
        <f>Model!AB282</f>
        <v>2030</v>
      </c>
      <c r="F36" s="106">
        <f>Model!AG282</f>
        <v>1996</v>
      </c>
      <c r="G36" s="106">
        <f>Model!AL282</f>
        <v>1758</v>
      </c>
      <c r="H36" s="106">
        <f>Model!AQ282</f>
        <v>0</v>
      </c>
      <c r="I36" s="106">
        <f>Model!AV282</f>
        <v>0</v>
      </c>
      <c r="J36" s="106">
        <f>Model!BA282</f>
        <v>0</v>
      </c>
      <c r="K36" s="106">
        <f>Model!BF282</f>
        <v>0</v>
      </c>
      <c r="L36" s="107">
        <f>Model!BK282</f>
        <v>0</v>
      </c>
      <c r="X36" s="77" t="n"/>
      <c r="Y36" s="77" t="n"/>
      <c r="Z36" s="77" t="n"/>
    </row>
    <row r="37" outlineLevel="1">
      <c r="C37" s="105" t="inlineStr">
        <is>
          <t>Deferred tax (liabilities)</t>
        </is>
      </c>
      <c r="D37" s="106">
        <f>Model!W283</f>
        <v>0</v>
      </c>
      <c r="E37" s="106">
        <f>Model!AB283</f>
        <v>0</v>
      </c>
      <c r="F37" s="106">
        <f>Model!AG283</f>
        <v>0</v>
      </c>
      <c r="G37" s="106">
        <f>Model!AL283</f>
        <v>0</v>
      </c>
      <c r="H37" s="106">
        <f>Model!AQ283</f>
        <v>0</v>
      </c>
      <c r="I37" s="106">
        <f>Model!AV283</f>
        <v>0</v>
      </c>
      <c r="J37" s="106">
        <f>Model!BA283</f>
        <v>0</v>
      </c>
      <c r="K37" s="106">
        <f>Model!BF283</f>
        <v>0</v>
      </c>
      <c r="L37" s="107">
        <f>Model!BK283</f>
        <v>0</v>
      </c>
      <c r="X37" s="77" t="n"/>
      <c r="Y37" s="77" t="n"/>
      <c r="Z37" s="77" t="n"/>
    </row>
    <row r="38" outlineLevel="1" ht="15" customHeight="1">
      <c r="C38" s="105" t="inlineStr">
        <is>
          <t>Other non-current assets</t>
        </is>
      </c>
      <c r="D38" s="106">
        <f>(Model!W183-Model!R183)*-1</f>
        <v>-1032</v>
      </c>
      <c r="E38" s="106">
        <f>(Model!AB183-Model!W183)*-1</f>
        <v>137</v>
      </c>
      <c r="F38" s="106">
        <f>(Model!AG183-Model!AB183)*-1</f>
        <v>227</v>
      </c>
      <c r="G38" s="106">
        <f>(Model!AL183-Model!AG183)*-1</f>
        <v>-3321</v>
      </c>
      <c r="H38" s="106">
        <f>(Model!AQ183-Model!AL183)*-1</f>
        <v>0</v>
      </c>
      <c r="I38" s="106">
        <f>(Model!AV183-Model!AQ183)*-1</f>
        <v>0</v>
      </c>
      <c r="J38" s="106">
        <f>(Model!BA183-Model!AV183)*-1</f>
        <v>0</v>
      </c>
      <c r="K38" s="106">
        <f>(Model!BF183-Model!BA183)*-1</f>
        <v>0</v>
      </c>
      <c r="L38" s="107">
        <f>(Model!BK183-Model!BF183)*-1</f>
        <v>0</v>
      </c>
      <c r="M38">
        <f>(Model!BP183-Model!BK183)*-1</f>
        <v>0</v>
      </c>
      <c r="N38">
        <f>(Model!BU183-Model!BP183)*-1</f>
        <v>0</v>
      </c>
      <c r="O38">
        <f>(Model!BZ183-Model!BU183)*-1</f>
        <v>0</v>
      </c>
      <c r="P38">
        <f>(Model!CE183-Model!BZ183)*-1</f>
        <v>0</v>
      </c>
      <c r="Q38">
        <f>(Model!CJ183-Model!CE183)*-1</f>
        <v>0</v>
      </c>
      <c r="R38">
        <f>(Model!CO183-Model!CJ183)*-1</f>
        <v>0</v>
      </c>
      <c r="X38" s="77" t="n"/>
      <c r="Y38" s="77" t="n"/>
      <c r="Z38" s="77" t="n"/>
    </row>
    <row r="39" outlineLevel="1" ht="15" customHeight="1">
      <c r="C39" s="105" t="inlineStr">
        <is>
          <t>Other non-current liabilities</t>
        </is>
      </c>
      <c r="D39" s="106">
        <f>Model!W234-Model!R234</f>
        <v>4530</v>
      </c>
      <c r="E39" s="106">
        <f>Model!AB234-Model!W234</f>
        <v>5308</v>
      </c>
      <c r="F39" s="106">
        <f>Model!AG234-Model!AB234</f>
        <v>3658</v>
      </c>
      <c r="G39" s="106">
        <f>Model!AL234-Model!AG234</f>
        <v>2353</v>
      </c>
      <c r="H39" s="106">
        <f>Model!AQ234-Model!AL234</f>
        <v>0</v>
      </c>
      <c r="I39" s="106">
        <f>Model!AV234-Model!AQ234</f>
        <v>0</v>
      </c>
      <c r="J39" s="106">
        <f>Model!BA234-Model!AV234</f>
        <v>0</v>
      </c>
      <c r="K39" s="106">
        <f>Model!BF234-Model!BA234</f>
        <v>0</v>
      </c>
      <c r="L39" s="107">
        <f>Model!BK234-Model!BF234</f>
        <v>0</v>
      </c>
      <c r="M39">
        <f>Model!BP234-Model!BK234</f>
        <v>0</v>
      </c>
      <c r="N39">
        <f>Model!BU234-Model!BP234</f>
        <v>0</v>
      </c>
      <c r="O39">
        <f>Model!BZ234-Model!BU234</f>
        <v>0</v>
      </c>
      <c r="P39">
        <f>Model!CE234-Model!BZ234</f>
        <v>0</v>
      </c>
      <c r="Q39">
        <f>Model!CJ234-Model!CE234</f>
        <v>0</v>
      </c>
      <c r="R39">
        <f>Model!CO234-Model!CJ234</f>
        <v>0</v>
      </c>
      <c r="X39" s="77" t="n"/>
      <c r="Y39" s="77" t="n"/>
      <c r="Z39" s="77" t="n"/>
    </row>
    <row r="40">
      <c r="C40" s="105" t="inlineStr">
        <is>
          <t>Capital expenditures</t>
        </is>
      </c>
      <c r="D40" s="106" t="n"/>
      <c r="E40" s="106" t="n"/>
      <c r="F40" s="106" t="n"/>
      <c r="G40" s="106" t="n"/>
      <c r="H40" s="106" t="n"/>
      <c r="I40" s="106" t="n"/>
      <c r="J40" s="106" t="n"/>
      <c r="K40" s="106" t="n"/>
      <c r="L40" s="107" t="n"/>
      <c r="X40" s="77" t="n"/>
      <c r="Y40" s="77" t="n"/>
      <c r="Z40" s="77" t="n"/>
    </row>
    <row r="41">
      <c r="C41" s="105" t="inlineStr">
        <is>
          <t>Capital expenditures [IFRS16 - implied lease payments]</t>
        </is>
      </c>
      <c r="F41" s="106" t="n"/>
      <c r="G41" s="106" t="n"/>
      <c r="H41" s="106" t="n"/>
      <c r="I41" s="106" t="n"/>
      <c r="J41" s="106" t="n"/>
      <c r="K41" s="106" t="n"/>
      <c r="L41" s="107" t="n"/>
      <c r="X41" s="77" t="n"/>
      <c r="Y41" s="77" t="n"/>
      <c r="Z41" s="77" t="n"/>
    </row>
    <row r="42">
      <c r="C42" s="108" t="inlineStr">
        <is>
          <t>Purchase of intangible assets</t>
        </is>
      </c>
      <c r="D42" s="109" t="n">
        <v>0</v>
      </c>
      <c r="E42" s="109" t="n">
        <v>0</v>
      </c>
      <c r="F42" s="109" t="n">
        <v>0</v>
      </c>
      <c r="G42" s="109" t="n">
        <v>0</v>
      </c>
      <c r="H42" s="109" t="n">
        <v>0</v>
      </c>
      <c r="I42" s="109" t="n">
        <v>0</v>
      </c>
      <c r="J42" s="109" t="n">
        <v>0</v>
      </c>
      <c r="K42" s="109" t="n">
        <v>0</v>
      </c>
      <c r="L42" s="110" t="n">
        <v>0</v>
      </c>
      <c r="M42" s="111" t="n"/>
      <c r="X42" s="77" t="n"/>
      <c r="Y42" s="77" t="n"/>
      <c r="Z42" s="77" t="n"/>
      <c r="AB42" s="68" t="n"/>
    </row>
    <row r="43">
      <c r="X43" s="77" t="n"/>
      <c r="Y43" s="77" t="n"/>
      <c r="Z43" s="77" t="n"/>
    </row>
    <row r="44">
      <c r="C44" s="82" t="inlineStr">
        <is>
          <t>Net Investments</t>
        </is>
      </c>
      <c r="D44" s="103">
        <f>SUM(D27+D40+D41+D42+D26)</f>
        <v>-7653</v>
      </c>
      <c r="E44" s="103">
        <f>SUM(E27+E40+E41+E42+E26)</f>
        <v>-916</v>
      </c>
      <c r="F44" s="103">
        <f>SUM(F27+F40+F41+F42+F26)</f>
        <v>-2557</v>
      </c>
      <c r="G44" s="103">
        <f>SUM(G27+G40+G41+G42+G26)</f>
        <v>1088</v>
      </c>
      <c r="H44" s="103" t="e">
        <f>SUM(H27+H40+H41+H42+H26)</f>
        <v>#DIV/0!</v>
      </c>
      <c r="I44" s="103" t="e">
        <f>SUM(I27+I40+I41+I42+I26)</f>
        <v>#DIV/0!</v>
      </c>
      <c r="J44" s="103" t="e">
        <f>SUM(J27+J40+J41+J42+J26)</f>
        <v>#DIV/0!</v>
      </c>
      <c r="K44" s="103" t="e">
        <f>SUM(K27+K40+K41+K42+K26)</f>
        <v>#DIV/0!</v>
      </c>
      <c r="L44" s="103" t="e">
        <f>SUM(L27+L40+L41+L42+L26)</f>
        <v>#DIV/0!</v>
      </c>
      <c r="M44" s="112" t="e">
        <f>+L46-M46</f>
        <v>#DIV/0!</v>
      </c>
      <c r="N44" s="103" t="e">
        <f>+M46-N46</f>
        <v>#DIV/0!</v>
      </c>
      <c r="O44" s="103" t="e">
        <f>+N46-O46</f>
        <v>#DIV/0!</v>
      </c>
      <c r="P44" s="103" t="e">
        <f>+O46-P46</f>
        <v>#DIV/0!</v>
      </c>
      <c r="Q44" s="103" t="e">
        <f>+P46-Q46</f>
        <v>#DIV/0!</v>
      </c>
      <c r="R44" s="103" t="e">
        <f>+Q46-R46</f>
        <v>#DIV/0!</v>
      </c>
      <c r="S44" s="103" t="n"/>
      <c r="T44" s="103" t="n"/>
      <c r="U44" s="103" t="n"/>
      <c r="V44" s="104" t="n"/>
      <c r="X44" s="77" t="n"/>
      <c r="Y44" s="111" t="n"/>
      <c r="Z44" s="77" t="n"/>
    </row>
    <row r="45">
      <c r="C45" s="113" t="n"/>
      <c r="D45" s="111" t="n"/>
      <c r="E45" s="111" t="n"/>
      <c r="F45" s="111" t="n"/>
      <c r="G45" s="111" t="n"/>
      <c r="H45" s="111" t="n"/>
      <c r="I45" s="111" t="n"/>
      <c r="J45" s="111" t="n"/>
      <c r="K45" s="111" t="n"/>
      <c r="L45" s="111" t="n"/>
      <c r="V45" s="114" t="n"/>
      <c r="X45" s="77" t="n"/>
      <c r="Y45" s="77" t="n"/>
      <c r="Z45" s="77" t="n"/>
    </row>
    <row r="46">
      <c r="C46" s="113" t="inlineStr">
        <is>
          <t>Invested Capital</t>
        </is>
      </c>
      <c r="D46" s="106">
        <f>Model!W344</f>
        <v>34515</v>
      </c>
      <c r="E46" s="106">
        <f>Model!AB344</f>
        <v>37117</v>
      </c>
      <c r="F46" s="106">
        <f>Model!AG344</f>
        <v>38806</v>
      </c>
      <c r="G46" s="106">
        <f>Model!AL344</f>
        <v>41480</v>
      </c>
      <c r="H46" s="106" t="e">
        <f>Model!AQ344</f>
        <v>#DIV/0!</v>
      </c>
      <c r="I46" s="106" t="e">
        <f>Model!AV344</f>
        <v>#DIV/0!</v>
      </c>
      <c r="J46" s="106" t="e">
        <f>Model!BA344</f>
        <v>#DIV/0!</v>
      </c>
      <c r="K46" s="106" t="e">
        <f>Model!BF344</f>
        <v>#DIV/0!</v>
      </c>
      <c r="L46" s="106" t="e">
        <f>Model!BK344</f>
        <v>#DIV/0!</v>
      </c>
      <c r="M46" s="115" t="e">
        <f>Model!BP344</f>
        <v>#DIV/0!</v>
      </c>
      <c r="N46" s="115" t="e">
        <f>Model!BU344</f>
        <v>#DIV/0!</v>
      </c>
      <c r="O46" s="115" t="e">
        <f>Model!BZ344</f>
        <v>#DIV/0!</v>
      </c>
      <c r="P46" s="115" t="e">
        <f>Model!CE344</f>
        <v>#DIV/0!</v>
      </c>
      <c r="Q46" s="115" t="e">
        <f>Model!CJ344</f>
        <v>#DIV/0!</v>
      </c>
      <c r="R46" s="115" t="e">
        <f>Model!CO344</f>
        <v>#DIV/0!</v>
      </c>
      <c r="S46" s="115" t="n"/>
      <c r="T46" s="115" t="n"/>
      <c r="U46" s="115" t="n"/>
      <c r="V46" s="116" t="n"/>
      <c r="X46" s="111" t="n"/>
      <c r="Y46" s="111" t="n"/>
      <c r="Z46" s="77" t="n"/>
    </row>
    <row r="47" ht="15" customHeight="1">
      <c r="C47" s="113" t="inlineStr">
        <is>
          <t>Invested Capital (ex Goodwill)</t>
        </is>
      </c>
      <c r="D47" s="106">
        <f>Model!W345</f>
        <v>34262</v>
      </c>
      <c r="E47" s="106">
        <f>Model!AB345</f>
        <v>36873</v>
      </c>
      <c r="F47" s="106">
        <f>Model!AG345</f>
        <v>38806</v>
      </c>
      <c r="G47" s="106">
        <f>Model!AL345</f>
        <v>41480</v>
      </c>
      <c r="H47" s="106" t="e">
        <f>Model!AQ345</f>
        <v>#DIV/0!</v>
      </c>
      <c r="I47" s="106" t="e">
        <f>Model!AV345</f>
        <v>#DIV/0!</v>
      </c>
      <c r="J47" s="106" t="e">
        <f>Model!BA345</f>
        <v>#DIV/0!</v>
      </c>
      <c r="K47" s="106" t="e">
        <f>Model!BF345</f>
        <v>#DIV/0!</v>
      </c>
      <c r="L47" s="106" t="e">
        <f>Model!BK345</f>
        <v>#DIV/0!</v>
      </c>
      <c r="M47" t="e">
        <f>Model!BP345</f>
        <v>#DIV/0!</v>
      </c>
      <c r="N47" t="e">
        <f>Model!BU345</f>
        <v>#DIV/0!</v>
      </c>
      <c r="O47" t="e">
        <f>Model!BZ345</f>
        <v>#DIV/0!</v>
      </c>
      <c r="P47" t="e">
        <f>Model!CE345</f>
        <v>#DIV/0!</v>
      </c>
      <c r="Q47" t="e">
        <f>Model!CJ345</f>
        <v>#DIV/0!</v>
      </c>
      <c r="R47" t="e">
        <f>Model!CO345</f>
        <v>#DIV/0!</v>
      </c>
      <c r="V47" s="114" t="n"/>
      <c r="X47" s="77" t="n"/>
      <c r="Y47" s="77" t="n"/>
      <c r="Z47" s="77" t="n"/>
    </row>
    <row r="48">
      <c r="C48" s="86" t="inlineStr">
        <is>
          <t>Invested Capital / Net Revenues</t>
        </is>
      </c>
      <c r="D48" s="92">
        <f>D46/D18</f>
        <v>0.356659398799252</v>
      </c>
      <c r="E48" s="92">
        <f>E46/E18</f>
        <v>0.379946770396151</v>
      </c>
      <c r="F48" s="92">
        <f>F46/F18</f>
        <v>0.409229438872895</v>
      </c>
      <c r="G48" s="92">
        <f>G46/G18</f>
        <v>0.400312683967226</v>
      </c>
      <c r="H48" s="92" t="e">
        <f>H46/H18</f>
        <v>#DIV/0!</v>
      </c>
      <c r="I48" s="92" t="e">
        <f>I46/I18</f>
        <v>#DIV/0!</v>
      </c>
      <c r="J48" s="92" t="e">
        <f>J46/J18</f>
        <v>#DIV/0!</v>
      </c>
      <c r="K48" s="92" t="e">
        <f>K46/K18</f>
        <v>#DIV/0!</v>
      </c>
      <c r="L48" s="92" t="e">
        <f>L46/L18</f>
        <v>#DIV/0!</v>
      </c>
      <c r="M48" s="117" t="n"/>
      <c r="N48" s="117" t="n"/>
      <c r="O48" s="117" t="n"/>
      <c r="P48" s="117" t="n"/>
      <c r="Q48" s="117" t="n"/>
      <c r="R48" s="117" t="n"/>
      <c r="S48" s="117" t="n"/>
      <c r="T48" s="117" t="n"/>
      <c r="U48" s="117" t="n"/>
      <c r="V48" s="118" t="n"/>
      <c r="X48" s="76" t="inlineStr">
        <is>
          <t>ROIC</t>
        </is>
      </c>
      <c r="Y48" s="77" t="n"/>
      <c r="Z48" s="77" t="n"/>
    </row>
    <row r="49">
      <c r="X49" s="77">
        <f>F16</f>
        <v>2025</v>
      </c>
      <c r="Y49" s="77">
        <f>L16</f>
        <v>2031</v>
      </c>
      <c r="Z49" s="77">
        <f>R16</f>
        <v>2037</v>
      </c>
    </row>
    <row r="50">
      <c r="C50" s="119" t="inlineStr">
        <is>
          <t>ROIC</t>
        </is>
      </c>
      <c r="D50" s="120" t="n"/>
      <c r="E50" s="120" t="n"/>
      <c r="F50" s="120" t="n"/>
      <c r="G50" s="120">
        <f>G25/AVERAGE(F46,G46)</f>
        <v>0.0282429904790508</v>
      </c>
      <c r="H50" s="120" t="e">
        <f>H25/AVERAGE(G46,H46)</f>
        <v>#DIV/0!</v>
      </c>
      <c r="I50" s="120" t="e">
        <f>I25/AVERAGE(H46,I46)</f>
        <v>#DIV/0!</v>
      </c>
      <c r="J50" s="120" t="e">
        <f>J25/AVERAGE(I46,J46)</f>
        <v>#DIV/0!</v>
      </c>
      <c r="K50" s="120" t="e">
        <f>K25/AVERAGE(J46,K46)</f>
        <v>#DIV/0!</v>
      </c>
      <c r="L50" s="120" t="e">
        <f>L25/AVERAGE(K46,L46)</f>
        <v>#DIV/0!</v>
      </c>
      <c r="M50" s="121" t="e">
        <f>M25/AVERAGE(L46,M46)</f>
        <v>#DIV/0!</v>
      </c>
      <c r="N50" s="121" t="e">
        <f>N25/AVERAGE(M46,N46)</f>
        <v>#DIV/0!</v>
      </c>
      <c r="O50" s="121" t="e">
        <f>O25/AVERAGE(N46,O46)</f>
        <v>#DIV/0!</v>
      </c>
      <c r="P50" s="121" t="e">
        <f>P25/AVERAGE(O46,P46)</f>
        <v>#DIV/0!</v>
      </c>
      <c r="Q50" s="121" t="e">
        <f>Q25/AVERAGE(P46,Q46)</f>
        <v>#DIV/0!</v>
      </c>
      <c r="R50" s="121" t="e">
        <f>R25/AVERAGE(Q46,R46)</f>
        <v>#DIV/0!</v>
      </c>
      <c r="S50" s="121" t="n"/>
      <c r="T50" s="121" t="n"/>
      <c r="U50" s="121" t="n"/>
      <c r="V50" s="122" t="n"/>
      <c r="X50" s="85">
        <f>F50</f>
        <v>0</v>
      </c>
      <c r="Y50" s="85" t="e">
        <f>L50</f>
        <v>#DIV/0!</v>
      </c>
      <c r="Z50" s="123" t="e">
        <f>R50</f>
        <v>#DIV/0!</v>
      </c>
    </row>
    <row r="51">
      <c r="C51" s="68" t="inlineStr">
        <is>
          <t>Capital Turnover</t>
        </is>
      </c>
      <c r="D51" s="124">
        <f>D18/D46</f>
        <v>2.80379545125308</v>
      </c>
      <c r="E51" s="124">
        <f>E18/E46</f>
        <v>2.63194762507746</v>
      </c>
      <c r="F51" s="124">
        <f>F18/F46</f>
        <v>2.44361696644849</v>
      </c>
      <c r="G51" s="124">
        <f>G18/G46</f>
        <v>2.49804725168756</v>
      </c>
      <c r="H51" s="124" t="e">
        <f>H18/H46</f>
        <v>#DIV/0!</v>
      </c>
      <c r="I51" s="124" t="e">
        <f>I18/I46</f>
        <v>#DIV/0!</v>
      </c>
      <c r="J51" s="124" t="e">
        <f>J18/J46</f>
        <v>#DIV/0!</v>
      </c>
      <c r="K51" s="124" t="e">
        <f>K18/K46</f>
        <v>#DIV/0!</v>
      </c>
      <c r="L51" s="124" t="e">
        <f>L18/L46</f>
        <v>#DIV/0!</v>
      </c>
      <c r="M51" s="124" t="e">
        <f>M18/M46</f>
        <v>#DIV/0!</v>
      </c>
      <c r="N51" s="124" t="e">
        <f>N18/N46</f>
        <v>#DIV/0!</v>
      </c>
      <c r="O51" s="124" t="e">
        <f>O18/O46</f>
        <v>#DIV/0!</v>
      </c>
      <c r="P51" s="124" t="e">
        <f>P18/P46</f>
        <v>#DIV/0!</v>
      </c>
      <c r="Q51" s="124" t="e">
        <f>Q18/Q46</f>
        <v>#DIV/0!</v>
      </c>
      <c r="R51" s="124" t="e">
        <f>R18/R46</f>
        <v>#DIV/0!</v>
      </c>
      <c r="S51" s="124" t="n"/>
      <c r="T51" s="124" t="n"/>
      <c r="U51" s="124" t="n"/>
      <c r="V51" s="124" t="n"/>
    </row>
    <row r="53" customFormat="1" s="68">
      <c r="A53" s="249" t="n"/>
      <c r="B53" s="249" t="n"/>
      <c r="C53" s="68" t="inlineStr">
        <is>
          <t>Unlevered free cash flows = FCFF</t>
        </is>
      </c>
      <c r="D53" s="125">
        <f>D25+D44</f>
        <v>5696.42685250175</v>
      </c>
      <c r="E53" s="125">
        <f>E25+E44</f>
        <v>4714.10322580645</v>
      </c>
      <c r="F53" s="125">
        <f>F25+F44</f>
        <v>623.849753694582</v>
      </c>
      <c r="G53" s="126">
        <f>(G25+G44)*stub_year_fraction</f>
        <v>578.26587629055</v>
      </c>
      <c r="H53" s="125" t="e">
        <f>H25+H44</f>
        <v>#DIV/0!</v>
      </c>
      <c r="I53" s="125" t="e">
        <f>I25+I44</f>
        <v>#DIV/0!</v>
      </c>
      <c r="J53" s="125" t="e">
        <f>J25+J44</f>
        <v>#DIV/0!</v>
      </c>
      <c r="K53" s="125" t="e">
        <f>K25+K44</f>
        <v>#DIV/0!</v>
      </c>
      <c r="L53" s="125" t="e">
        <f>L25+L44</f>
        <v>#DIV/0!</v>
      </c>
      <c r="M53" s="125" t="e">
        <f>M25+M44</f>
        <v>#DIV/0!</v>
      </c>
      <c r="N53" s="125" t="e">
        <f>N25+N44</f>
        <v>#DIV/0!</v>
      </c>
      <c r="O53" s="125" t="e">
        <f>O25+O44</f>
        <v>#DIV/0!</v>
      </c>
      <c r="P53" s="125" t="e">
        <f>P25+P44</f>
        <v>#DIV/0!</v>
      </c>
      <c r="Q53" s="125" t="e">
        <f>Q25+Q44</f>
        <v>#DIV/0!</v>
      </c>
      <c r="R53" s="125" t="e">
        <f>R25+R44</f>
        <v>#DIV/0!</v>
      </c>
      <c r="S53" s="125" t="n"/>
      <c r="T53" s="125" t="n"/>
      <c r="U53" s="125" t="n"/>
      <c r="V53" s="125" t="n"/>
    </row>
    <row r="54">
      <c r="C54" s="127" t="inlineStr">
        <is>
          <t>Discount factor</t>
        </is>
      </c>
      <c r="G54" s="128" t="e">
        <f>1/(1+wacc)^stub_year_fraction</f>
        <v>#DIV/0!</v>
      </c>
      <c r="H54" s="128" t="e">
        <f>1/(1+wacc)^(1+stub_year_fraction)</f>
        <v>#DIV/0!</v>
      </c>
      <c r="I54" s="128" t="e">
        <f>1/(1+wacc)^(2+stub_year_fraction)</f>
        <v>#DIV/0!</v>
      </c>
      <c r="J54" s="128" t="e">
        <f>1/(1+wacc)^(3+stub_year_fraction)</f>
        <v>#DIV/0!</v>
      </c>
      <c r="K54" s="128" t="e">
        <f>1/(1+wacc)^(4+stub_year_fraction)</f>
        <v>#DIV/0!</v>
      </c>
      <c r="L54" s="128" t="e">
        <f>1/(1+wacc)^(5+stub_year_fraction)</f>
        <v>#DIV/0!</v>
      </c>
      <c r="M54" s="128" t="e">
        <f>1/(1+wacc)^(6+stub_year_fraction)</f>
        <v>#DIV/0!</v>
      </c>
      <c r="N54" s="128" t="e">
        <f>1/(1+wacc)^(7+stub_year_fraction)</f>
        <v>#DIV/0!</v>
      </c>
      <c r="O54" s="128" t="e">
        <f>1/(1+wacc)^(8+stub_year_fraction)</f>
        <v>#DIV/0!</v>
      </c>
      <c r="P54" s="128" t="e">
        <f>1/(1+wacc)^(9+stub_year_fraction)</f>
        <v>#DIV/0!</v>
      </c>
      <c r="Q54" s="128" t="e">
        <f>1/(1+wacc)^(10+stub_year_fraction)</f>
        <v>#DIV/0!</v>
      </c>
      <c r="R54" s="128" t="e">
        <f>1/(1+wacc)^(11+stub_year_fraction)</f>
        <v>#DIV/0!</v>
      </c>
      <c r="S54" s="128" t="n"/>
      <c r="T54" s="128" t="n"/>
      <c r="U54" s="128" t="n"/>
      <c r="V54" s="128" t="n"/>
    </row>
    <row r="55">
      <c r="C55" s="127" t="inlineStr">
        <is>
          <t>Midyear adjustment factor</t>
        </is>
      </c>
      <c r="G55" s="129" t="e">
        <f>(1+wacc)^(stub_year_fraction/2)</f>
        <v>#DIV/0!</v>
      </c>
      <c r="H55" s="128" t="e">
        <f>(1+wacc)^0.5</f>
        <v>#DIV/0!</v>
      </c>
      <c r="I55" s="128" t="e">
        <f>(1+wacc)^0.5</f>
        <v>#DIV/0!</v>
      </c>
      <c r="J55" s="128" t="e">
        <f>(1+wacc)^0.5</f>
        <v>#DIV/0!</v>
      </c>
      <c r="K55" s="128" t="e">
        <f>(1+wacc)^0.5</f>
        <v>#DIV/0!</v>
      </c>
      <c r="L55" s="128" t="e">
        <f>(1+wacc)^0.5</f>
        <v>#DIV/0!</v>
      </c>
      <c r="M55" s="128" t="e">
        <f>(1+wacc)^0.5</f>
        <v>#DIV/0!</v>
      </c>
      <c r="N55" s="128" t="e">
        <f>(1+wacc)^0.5</f>
        <v>#DIV/0!</v>
      </c>
      <c r="O55" s="128" t="e">
        <f>(1+wacc)^0.5</f>
        <v>#DIV/0!</v>
      </c>
      <c r="P55" s="128" t="e">
        <f>(1+wacc)^0.5</f>
        <v>#DIV/0!</v>
      </c>
      <c r="Q55" s="128" t="e">
        <f>(1+wacc)^0.5</f>
        <v>#DIV/0!</v>
      </c>
      <c r="R55" s="128" t="e">
        <f>(1+wacc)^0.5</f>
        <v>#DIV/0!</v>
      </c>
      <c r="S55" s="128" t="n"/>
      <c r="T55" s="128" t="n"/>
      <c r="U55" s="128" t="n"/>
      <c r="V55" s="128" t="n"/>
    </row>
    <row r="56">
      <c r="C56" s="127" t="inlineStr">
        <is>
          <t>Present value of free cash flows</t>
        </is>
      </c>
      <c r="G56" s="111" t="e">
        <f>G54*G53*G55</f>
        <v>#DIV/0!</v>
      </c>
      <c r="H56" s="111" t="e">
        <f>H54*H53*H55</f>
        <v>#DIV/0!</v>
      </c>
      <c r="I56" s="111" t="e">
        <f>I54*I53*I55</f>
        <v>#DIV/0!</v>
      </c>
      <c r="J56" s="111" t="e">
        <f>J54*J53*J55</f>
        <v>#DIV/0!</v>
      </c>
      <c r="K56" s="111" t="e">
        <f>K54*K53*K55</f>
        <v>#DIV/0!</v>
      </c>
      <c r="L56" s="111" t="e">
        <f>L54*L53*L55</f>
        <v>#DIV/0!</v>
      </c>
      <c r="M56" s="111" t="e">
        <f>M54*M53*M55</f>
        <v>#DIV/0!</v>
      </c>
      <c r="N56" s="111" t="e">
        <f>N54*N53*N55</f>
        <v>#DIV/0!</v>
      </c>
      <c r="O56" s="111" t="e">
        <f>O54*O53*O55</f>
        <v>#DIV/0!</v>
      </c>
      <c r="P56" s="111" t="e">
        <f>P54*P53*P55</f>
        <v>#DIV/0!</v>
      </c>
      <c r="Q56" s="111" t="e">
        <f>Q54*Q53*Q55</f>
        <v>#DIV/0!</v>
      </c>
      <c r="R56" s="111" t="e">
        <f>R54*R53*R55</f>
        <v>#DIV/0!</v>
      </c>
      <c r="S56" s="111" t="n"/>
      <c r="T56" s="111" t="n"/>
      <c r="U56" s="111" t="n"/>
      <c r="V56" s="111" t="n"/>
    </row>
    <row r="57">
      <c r="C57" s="68" t="inlineStr">
        <is>
          <t>Sum of present values of FCFs</t>
        </is>
      </c>
      <c r="G57" s="125" t="e">
        <f>SUM(G56:R56)</f>
        <v>#DIV/0!</v>
      </c>
      <c r="H57" s="111" t="n"/>
      <c r="N57" s="130" t="n"/>
    </row>
    <row r="59">
      <c r="C59" s="68" t="n"/>
      <c r="D59" s="61" t="n">
        <v>50405</v>
      </c>
      <c r="E59" s="131" t="n"/>
      <c r="F59" s="132" t="n"/>
      <c r="G59" s="132" t="n"/>
      <c r="H59" s="61" t="n">
        <v>46022</v>
      </c>
      <c r="I59" s="132" t="n"/>
      <c r="J59" s="132" t="n"/>
      <c r="K59" s="132" t="n"/>
      <c r="L59" s="132" t="n"/>
    </row>
    <row r="60" ht="13.5" customHeight="1" thickBot="1">
      <c r="C60" s="133" t="inlineStr">
        <is>
          <t>Terminal value</t>
        </is>
      </c>
      <c r="D60" s="134" t="n"/>
      <c r="E60" s="135" t="inlineStr">
        <is>
          <t>Equity value calculations</t>
        </is>
      </c>
      <c r="F60" s="136" t="n"/>
      <c r="G60" s="136" t="n"/>
      <c r="H60" s="136" t="n"/>
      <c r="I60" s="137" t="inlineStr">
        <is>
          <t xml:space="preserve"> Shares Outstanding Worksheet</t>
        </is>
      </c>
      <c r="J60" s="138" t="n"/>
      <c r="K60" s="139" t="n"/>
      <c r="L60" s="140" t="n"/>
    </row>
    <row r="61">
      <c r="C61" s="113" t="n"/>
      <c r="D61" s="114" t="n"/>
      <c r="I61" s="113" t="n"/>
      <c r="L61" s="114" t="n"/>
    </row>
    <row r="62">
      <c r="C62" s="141" t="inlineStr">
        <is>
          <t>Key value driver method</t>
        </is>
      </c>
      <c r="D62" s="142" t="n"/>
      <c r="E62" s="143" t="inlineStr">
        <is>
          <t>Enterprise value</t>
        </is>
      </c>
      <c r="H62" s="125" t="e">
        <f>D80</f>
        <v>#DIV/0!</v>
      </c>
      <c r="I62" s="144" t="inlineStr">
        <is>
          <t>Basic Shares Outanding :</t>
        </is>
      </c>
      <c r="J62" s="63" t="n"/>
      <c r="L62" s="145" t="n"/>
    </row>
    <row r="63" ht="13.5" customHeight="1" thickBot="1">
      <c r="C63" s="141" t="inlineStr">
        <is>
          <t>g</t>
        </is>
      </c>
      <c r="D63" s="146" t="n"/>
      <c r="E63" s="147" t="inlineStr">
        <is>
          <t>Calculation of net debt:</t>
        </is>
      </c>
      <c r="H63" s="111" t="n"/>
      <c r="I63" s="144" t="inlineStr">
        <is>
          <t>Current Share Price:</t>
        </is>
      </c>
      <c r="L63" s="148" t="n"/>
    </row>
    <row r="64" ht="13.5" customHeight="1" thickBot="1">
      <c r="C64" s="141" t="inlineStr">
        <is>
          <t>RONIC</t>
        </is>
      </c>
      <c r="D64" s="149" t="e">
        <f>R50</f>
        <v>#DIV/0!</v>
      </c>
      <c r="E64" s="127" t="inlineStr">
        <is>
          <t>Current portion of long-term debt</t>
        </is>
      </c>
      <c r="H64" s="107" t="n"/>
      <c r="I64" s="150" t="inlineStr">
        <is>
          <t>Options / Warrants Data</t>
        </is>
      </c>
      <c r="J64" s="79" t="n"/>
      <c r="K64" s="79" t="n"/>
      <c r="L64" s="151" t="n"/>
    </row>
    <row r="65">
      <c r="C65" s="141" t="inlineStr">
        <is>
          <t>NOPLAT (t+1)</t>
        </is>
      </c>
      <c r="D65" s="152">
        <f>SUMIFS(INDEX($C$17:$AQ$42,,MATCH(D$59,$C$17:$AQ$17,0)),$C$17:$C$42,"NOPLAT")*(1+D63)</f>
        <v>0</v>
      </c>
      <c r="E65" s="127" t="inlineStr">
        <is>
          <t>Short term debt</t>
        </is>
      </c>
      <c r="H65" s="107" t="n"/>
      <c r="I65" s="150" t="n"/>
      <c r="J65" s="153" t="inlineStr">
        <is>
          <t># of options</t>
        </is>
      </c>
      <c r="K65" s="153" t="inlineStr">
        <is>
          <t xml:space="preserve">$ strike </t>
        </is>
      </c>
      <c r="L65" s="151" t="inlineStr">
        <is>
          <t># In-the-$</t>
        </is>
      </c>
    </row>
    <row r="66">
      <c r="C66" s="141" t="inlineStr">
        <is>
          <t>Terminal value</t>
        </is>
      </c>
      <c r="D66" s="152" t="e">
        <f>(noplat_t1*(1-(g/ronic)))/(wacc-g)</f>
        <v>#DIV/0!</v>
      </c>
      <c r="E66" s="127" t="inlineStr">
        <is>
          <t>Long term debt</t>
        </is>
      </c>
      <c r="H66" s="107" t="n"/>
      <c r="I66" s="127" t="inlineStr">
        <is>
          <t>Batch 1</t>
        </is>
      </c>
      <c r="J66" s="154" t="n"/>
      <c r="K66" s="155" t="n"/>
      <c r="L66" s="156">
        <f>IF($K66&lt;$L$62,J66,0)</f>
        <v>0</v>
      </c>
    </row>
    <row r="67">
      <c r="C67" s="141" t="inlineStr">
        <is>
          <t>Midyear adjusted terminal value</t>
        </is>
      </c>
      <c r="D67" s="152" t="e">
        <f>D66*R55</f>
        <v>#DIV/0!</v>
      </c>
      <c r="E67" s="127" t="inlineStr">
        <is>
          <t>Convertible debt</t>
        </is>
      </c>
      <c r="H67" s="107" t="n"/>
      <c r="I67" s="127" t="inlineStr">
        <is>
          <t>Batch 2</t>
        </is>
      </c>
      <c r="J67" s="157" t="n"/>
      <c r="K67" s="158" t="n"/>
      <c r="L67" s="156">
        <f>IF($K67&lt;$L$61,J67,0)</f>
        <v>0</v>
      </c>
    </row>
    <row r="68">
      <c r="C68" s="141" t="inlineStr">
        <is>
          <t>Present value of terminal value</t>
        </is>
      </c>
      <c r="D68" s="152" t="e">
        <f>D67*R54</f>
        <v>#DIV/0!</v>
      </c>
      <c r="E68" s="127" t="inlineStr">
        <is>
          <t>Minority interest</t>
        </is>
      </c>
      <c r="H68" s="107" t="n"/>
      <c r="I68" s="127" t="inlineStr">
        <is>
          <t>Batch 3</t>
        </is>
      </c>
      <c r="J68" s="157" t="n"/>
      <c r="K68" s="158" t="n"/>
      <c r="L68" s="156">
        <f>IF($K68&lt;$L$61,J68,0)</f>
        <v>0</v>
      </c>
    </row>
    <row r="69">
      <c r="C69" s="144" t="inlineStr">
        <is>
          <t>Enterprise value</t>
        </is>
      </c>
      <c r="D69" s="159" t="e">
        <f>D68+G57</f>
        <v>#DIV/0!</v>
      </c>
      <c r="E69" s="127" t="inlineStr">
        <is>
          <t>Convertible preferred stock</t>
        </is>
      </c>
      <c r="H69" s="107" t="n"/>
      <c r="I69" s="127" t="inlineStr">
        <is>
          <t>Batch 4</t>
        </is>
      </c>
      <c r="J69" s="157" t="n"/>
      <c r="K69" s="158" t="n"/>
      <c r="L69" s="156">
        <f>IF($K69&lt;$L$61,J69,0)</f>
        <v>0</v>
      </c>
    </row>
    <row r="70">
      <c r="C70" s="113" t="n"/>
      <c r="D70" s="114" t="n"/>
      <c r="E70" s="127" t="inlineStr">
        <is>
          <t>Short term operating leases</t>
        </is>
      </c>
      <c r="H70" s="107" t="n"/>
      <c r="I70" s="127" t="inlineStr">
        <is>
          <t>Batch 5</t>
        </is>
      </c>
      <c r="J70" s="157" t="n"/>
      <c r="K70" s="158" t="n"/>
      <c r="L70" s="156">
        <f>IF($K70&lt;$L$61,J70,0)</f>
        <v>0</v>
      </c>
    </row>
    <row r="71">
      <c r="C71" s="141" t="inlineStr">
        <is>
          <t>Exit multiple method</t>
        </is>
      </c>
      <c r="D71" s="142" t="n"/>
      <c r="E71" s="127" t="inlineStr">
        <is>
          <t>Long term operating leases</t>
        </is>
      </c>
      <c r="H71" s="107" t="n"/>
      <c r="I71" s="150" t="inlineStr">
        <is>
          <t>Batch 6</t>
        </is>
      </c>
      <c r="J71" s="160" t="n"/>
      <c r="K71" s="161" t="n"/>
      <c r="L71" s="162">
        <f>IF($K71&lt;$L$61,J71,0)</f>
        <v>0</v>
      </c>
    </row>
    <row r="72">
      <c r="C72" s="144" t="inlineStr">
        <is>
          <t>Exit EV / EBITDA multiple</t>
        </is>
      </c>
      <c r="D72" s="163" t="n"/>
      <c r="E72" s="147" t="inlineStr">
        <is>
          <t>Less: Excess cash</t>
        </is>
      </c>
      <c r="H72" s="107" t="n"/>
      <c r="J72" s="132" t="n"/>
      <c r="K72" s="164" t="inlineStr">
        <is>
          <t>Total in-the-$ options:</t>
        </is>
      </c>
      <c r="L72" s="156">
        <f>SUM(L66:L71)</f>
        <v>0</v>
      </c>
    </row>
    <row r="73">
      <c r="C73" s="144" t="inlineStr">
        <is>
          <t>LTM EBITDA at end of projection</t>
        </is>
      </c>
      <c r="D73" s="159">
        <f>L20</f>
        <v>0</v>
      </c>
      <c r="E73" s="147" t="inlineStr">
        <is>
          <t>Less: Equity investments</t>
        </is>
      </c>
      <c r="H73" s="107" t="n"/>
      <c r="J73" s="132" t="n"/>
      <c r="K73" s="164" t="inlineStr">
        <is>
          <t>Total $ proceeds:</t>
        </is>
      </c>
      <c r="L73" s="165">
        <f>SUMPRODUCT(K66:K71,L66:L71)</f>
        <v>0</v>
      </c>
    </row>
    <row r="74">
      <c r="C74" s="144" t="inlineStr">
        <is>
          <t>Terminal value</t>
        </is>
      </c>
      <c r="D74" s="159">
        <f>D73*D72</f>
        <v>0</v>
      </c>
      <c r="E74" s="127" t="inlineStr">
        <is>
          <t>Net debt</t>
        </is>
      </c>
      <c r="H74" s="159">
        <f>SUM(H64:H73)</f>
        <v>0</v>
      </c>
      <c r="J74" s="132" t="n"/>
      <c r="K74" s="164" t="inlineStr">
        <is>
          <t>Total shares repurchased:</t>
        </is>
      </c>
      <c r="L74" s="156" t="e">
        <f>L73/L63</f>
        <v>#DIV/0!</v>
      </c>
    </row>
    <row r="75">
      <c r="C75" s="144" t="inlineStr">
        <is>
          <t>Present value of terminal value</t>
        </is>
      </c>
      <c r="D75" s="159" t="e">
        <f>D74*L54</f>
        <v>#DIV/0!</v>
      </c>
      <c r="E75" s="143" t="inlineStr">
        <is>
          <t>Equity value</t>
        </is>
      </c>
      <c r="H75" s="152" t="e">
        <f>D80-H74</f>
        <v>#DIV/0!</v>
      </c>
      <c r="J75" s="132" t="n"/>
      <c r="K75" s="166" t="inlineStr">
        <is>
          <t>Basic shares outstanding</t>
        </is>
      </c>
      <c r="L75" s="142">
        <f>L62</f>
        <v>0</v>
      </c>
    </row>
    <row r="76" ht="13.5" customHeight="1" thickBot="1">
      <c r="C76" s="144" t="inlineStr">
        <is>
          <t>Enterprise value</t>
        </is>
      </c>
      <c r="D76" s="159" t="e">
        <f>G57+D75</f>
        <v>#DIV/0!</v>
      </c>
      <c r="E76" s="127" t="inlineStr">
        <is>
          <t>Shares outstanding</t>
        </is>
      </c>
      <c r="H76" s="159" t="e">
        <f>L79</f>
        <v>#DIV/0!</v>
      </c>
      <c r="J76" s="167" t="n"/>
      <c r="K76" s="166" t="inlineStr">
        <is>
          <t>New shares from options:</t>
        </is>
      </c>
      <c r="L76" s="142" t="e">
        <f>L72-L74</f>
        <v>#DIV/0!</v>
      </c>
    </row>
    <row r="77" ht="13.5" customHeight="1" thickBot="1">
      <c r="C77" s="113" t="n"/>
      <c r="D77" s="168" t="n"/>
      <c r="E77" s="143" t="inlineStr">
        <is>
          <t>Equity value / share</t>
        </is>
      </c>
      <c r="H77" s="169" t="e">
        <f>H75/H76</f>
        <v>#DIV/0!</v>
      </c>
      <c r="K77" s="166" t="inlineStr">
        <is>
          <t>New shares from convert. pref. stock:</t>
        </is>
      </c>
      <c r="L77" s="170" t="n"/>
    </row>
    <row r="78">
      <c r="C78" s="141" t="inlineStr">
        <is>
          <t>Select a terminal value method</t>
        </is>
      </c>
      <c r="D78" s="171" t="n"/>
      <c r="F78" s="130" t="n"/>
      <c r="H78" s="172" t="n"/>
      <c r="K78" s="166" t="inlineStr">
        <is>
          <t>New shares from convertible debt:</t>
        </is>
      </c>
      <c r="L78" s="173" t="n"/>
    </row>
    <row r="79">
      <c r="C79" s="144" t="inlineStr">
        <is>
          <t>Perpetual growth = 1 / Exit multiple = 2</t>
        </is>
      </c>
      <c r="D79" s="174" t="n"/>
      <c r="H79" s="172" t="n"/>
      <c r="K79" s="175" t="inlineStr">
        <is>
          <t>Total Shares Outstanding:</t>
        </is>
      </c>
      <c r="L79" s="176" t="e">
        <f>L62+SUM(L76:L78)</f>
        <v>#DIV/0!</v>
      </c>
    </row>
    <row r="80">
      <c r="C80" s="144" t="inlineStr">
        <is>
          <t>Enterprise value</t>
        </is>
      </c>
      <c r="D80" s="142" t="e">
        <f>IF(D79=1,D69,D76)</f>
        <v>#DIV/0!</v>
      </c>
      <c r="H80" s="114" t="n"/>
      <c r="K80" s="175" t="n"/>
      <c r="L80" s="176" t="n"/>
    </row>
    <row r="81">
      <c r="C81" s="177" t="inlineStr">
        <is>
          <t>Terminal value as percent of total value</t>
        </is>
      </c>
      <c r="D81" s="178" t="e">
        <f>IF(D79=1,D68/D69,D75/D76)</f>
        <v>#DIV/0!</v>
      </c>
      <c r="E81" s="79" t="n"/>
      <c r="F81" s="79" t="n"/>
      <c r="G81" s="79" t="n"/>
      <c r="H81" s="93" t="n"/>
      <c r="I81" s="79" t="n"/>
      <c r="J81" s="79" t="n"/>
      <c r="K81" s="79" t="n"/>
      <c r="L81" s="93" t="n"/>
    </row>
    <row r="83" ht="13.5" customHeight="1" thickBot="1">
      <c r="C83" s="179" t="inlineStr">
        <is>
          <t>Analysis of WACC</t>
        </is>
      </c>
      <c r="D83" s="180" t="n"/>
      <c r="E83" s="181" t="n"/>
      <c r="F83" s="181" t="n"/>
      <c r="G83" s="179" t="n"/>
      <c r="H83" s="180" t="n"/>
      <c r="I83" s="181" t="n"/>
      <c r="J83" s="181" t="n"/>
      <c r="K83" s="181" t="n"/>
      <c r="L83" s="181" t="n"/>
    </row>
    <row r="85">
      <c r="C85" s="182" t="inlineStr">
        <is>
          <t>Cost of debt</t>
        </is>
      </c>
      <c r="D85" s="79" t="n"/>
      <c r="F85" s="182" t="inlineStr">
        <is>
          <t>Capital structure</t>
        </is>
      </c>
      <c r="G85" s="182" t="n"/>
      <c r="H85" s="182" t="n"/>
      <c r="I85" s="182" t="n"/>
      <c r="J85" s="182" t="n"/>
    </row>
    <row r="86">
      <c r="C86" s="127" t="inlineStr">
        <is>
          <t>Cost of debt</t>
        </is>
      </c>
      <c r="D86" s="183" t="n"/>
      <c r="G86" s="184" t="inlineStr">
        <is>
          <t>Current capital structure</t>
        </is>
      </c>
      <c r="H86" s="184" t="n"/>
      <c r="I86" s="185" t="inlineStr">
        <is>
          <t>Target capital structure</t>
        </is>
      </c>
      <c r="J86" s="186" t="n"/>
    </row>
    <row r="87">
      <c r="C87" s="127" t="inlineStr">
        <is>
          <t>Marginal tax rate</t>
        </is>
      </c>
      <c r="D87" s="183" t="n"/>
      <c r="F87" s="79" t="n"/>
      <c r="G87" s="153" t="inlineStr">
        <is>
          <t>Market value</t>
        </is>
      </c>
      <c r="H87" s="153" t="inlineStr">
        <is>
          <t>% Weight</t>
        </is>
      </c>
      <c r="I87" s="153" t="inlineStr">
        <is>
          <t>override</t>
        </is>
      </c>
      <c r="J87" s="187" t="inlineStr">
        <is>
          <t>% Weight</t>
        </is>
      </c>
      <c r="K87" s="188" t="n"/>
      <c r="L87" s="189" t="n"/>
    </row>
    <row r="88">
      <c r="C88" s="249" t="inlineStr">
        <is>
          <t>Cost of debt after tax shield</t>
        </is>
      </c>
      <c r="D88" s="190">
        <f>costdebtfirm*(1-D87)</f>
        <v>0</v>
      </c>
      <c r="F88" s="249" t="inlineStr">
        <is>
          <t>Net debt</t>
        </is>
      </c>
      <c r="G88" s="191">
        <f>H74</f>
        <v>0</v>
      </c>
      <c r="H88" s="63" t="e">
        <f>debt/totalcap</f>
        <v>#DIV/0!</v>
      </c>
      <c r="I88" s="183" t="n"/>
      <c r="J88" s="63" t="e">
        <f>IF(I88,I88,H88)</f>
        <v>#DIV/0!</v>
      </c>
      <c r="L88" s="192" t="n"/>
    </row>
    <row r="89">
      <c r="F89" s="249" t="inlineStr">
        <is>
          <t>Equity</t>
        </is>
      </c>
      <c r="G89" s="193" t="e">
        <f>L63*L79</f>
        <v>#DIV/0!</v>
      </c>
      <c r="H89" s="63" t="e">
        <f>1-H88</f>
        <v>#DIV/0!</v>
      </c>
      <c r="J89" s="63" t="e">
        <f>1-debt_weight</f>
        <v>#DIV/0!</v>
      </c>
    </row>
    <row r="90">
      <c r="C90" s="182" t="inlineStr">
        <is>
          <t>Cost of equity</t>
        </is>
      </c>
      <c r="D90" s="79" t="n"/>
      <c r="F90" s="249" t="inlineStr">
        <is>
          <t>Total</t>
        </is>
      </c>
      <c r="G90" s="188" t="e">
        <f>SUM(G88:G89)</f>
        <v>#DIV/0!</v>
      </c>
    </row>
    <row r="91">
      <c r="C91" s="127" t="inlineStr">
        <is>
          <t>Risk-Free Rate (rf)</t>
        </is>
      </c>
      <c r="D91" s="183" t="n"/>
      <c r="E91" s="194" t="n"/>
    </row>
    <row r="92">
      <c r="C92" s="127" t="inlineStr">
        <is>
          <t>Market Risk Premium (rm-rf)</t>
        </is>
      </c>
      <c r="D92" s="183" t="n"/>
      <c r="F92" s="182" t="inlineStr">
        <is>
          <t>Weighted average cost of capital</t>
        </is>
      </c>
      <c r="G92" s="79" t="n"/>
      <c r="H92" s="79" t="n"/>
      <c r="I92" s="79" t="n"/>
      <c r="J92" s="79" t="n"/>
    </row>
    <row r="93">
      <c r="C93" s="127" t="inlineStr">
        <is>
          <t>Raw (observed) beta</t>
        </is>
      </c>
      <c r="D93" s="195" t="n"/>
      <c r="F93" s="249" t="inlineStr">
        <is>
          <t>Weighted average cost of capital:</t>
        </is>
      </c>
      <c r="J93" s="63" t="e">
        <f>debt_weight*D88+J89*costequity</f>
        <v>#DIV/0!</v>
      </c>
    </row>
    <row r="94">
      <c r="C94" s="127" t="inlineStr">
        <is>
          <t>Cost of equity using relevered industry beta</t>
        </is>
      </c>
      <c r="D94" s="190" t="e">
        <f>risk_free_rate+relevered_beta*risk_premium</f>
        <v>#DIV/0!</v>
      </c>
      <c r="E94" s="196" t="n"/>
    </row>
    <row r="95">
      <c r="C95" s="127" t="n"/>
      <c r="D95" s="190" t="n"/>
      <c r="E95" s="68" t="n"/>
      <c r="G95" s="188" t="n"/>
    </row>
    <row r="96">
      <c r="C96" s="182" t="inlineStr">
        <is>
          <t>Industry beta calculation</t>
        </is>
      </c>
      <c r="D96" s="79" t="n"/>
      <c r="E96" s="79" t="n"/>
      <c r="F96" s="79" t="n"/>
      <c r="G96" s="79" t="n"/>
      <c r="H96" s="79" t="n"/>
      <c r="I96" s="79" t="n"/>
      <c r="J96" s="79" t="n"/>
      <c r="K96" s="79" t="n"/>
      <c r="L96" s="79" t="n"/>
      <c r="M96" s="79" t="n"/>
    </row>
    <row r="97" ht="25.5" customHeight="1">
      <c r="C97" s="197" t="inlineStr">
        <is>
          <t xml:space="preserve">Comps </t>
        </is>
      </c>
      <c r="D97" s="198" t="inlineStr">
        <is>
          <t>Raw beta</t>
        </is>
      </c>
      <c r="E97" s="198" t="inlineStr">
        <is>
          <t>Share price</t>
        </is>
      </c>
      <c r="F97" s="198" t="inlineStr">
        <is>
          <t>Shares</t>
        </is>
      </c>
      <c r="G97" s="198" t="inlineStr">
        <is>
          <t>Market cap.</t>
        </is>
      </c>
      <c r="H97" s="198" t="inlineStr">
        <is>
          <t>Debt</t>
        </is>
      </c>
      <c r="I97" s="198" t="inlineStr">
        <is>
          <t>D / E</t>
        </is>
      </c>
      <c r="J97" s="198" t="inlineStr">
        <is>
          <t>Tax rate</t>
        </is>
      </c>
      <c r="K97" s="198" t="inlineStr">
        <is>
          <t>Unl. Beta</t>
        </is>
      </c>
      <c r="L97" s="198" t="inlineStr">
        <is>
          <t>Weigh. Beta</t>
        </is>
      </c>
      <c r="M97" s="198" t="inlineStr">
        <is>
          <t>Relev. Beta</t>
        </is>
      </c>
    </row>
    <row r="98">
      <c r="C98" s="249">
        <f>ticker</f>
        <v>0.0</v>
      </c>
      <c r="D98" s="199">
        <f>beta_observed</f>
        <v>0</v>
      </c>
      <c r="E98" s="200">
        <f>L63</f>
        <v>0</v>
      </c>
      <c r="F98" s="111" t="e">
        <f>L79</f>
        <v>#DIV/0!</v>
      </c>
      <c r="G98" s="111" t="e">
        <f>E98*F98</f>
        <v>#DIV/0!</v>
      </c>
      <c r="H98" s="111">
        <f>debt</f>
        <v>0</v>
      </c>
      <c r="I98" s="201" t="e">
        <f>debt/market_equity</f>
        <v>#DIV/0!</v>
      </c>
      <c r="J98" s="201">
        <f>F24</f>
        <v>0.269609700644183</v>
      </c>
      <c r="K98" s="199" t="e">
        <f>D98/(1+(I98)*(1-J98))</f>
        <v>#DIV/0!</v>
      </c>
      <c r="L98" s="202" t="e">
        <f>K98*G98/$G$102</f>
        <v>#DIV/0!</v>
      </c>
    </row>
    <row r="99">
      <c r="C99" s="203" t="inlineStr">
        <is>
          <t>TICKER 2</t>
        </is>
      </c>
      <c r="D99" s="195" t="n"/>
      <c r="E99" s="204" t="n"/>
      <c r="F99" s="205" t="n"/>
      <c r="G99" s="111">
        <f>E99*F99</f>
        <v>0</v>
      </c>
      <c r="H99" s="205" t="n"/>
      <c r="I99" s="201" t="e">
        <f>H99/(F99*E99)</f>
        <v>#DIV/0!</v>
      </c>
      <c r="J99" s="206" t="n"/>
      <c r="K99" s="199" t="e">
        <f>D99/(1+(I99)*(1-J99))</f>
        <v>#DIV/0!</v>
      </c>
      <c r="L99" s="202" t="e">
        <f>K99*G99/$G$102</f>
        <v>#DIV/0!</v>
      </c>
    </row>
    <row r="100">
      <c r="C100" s="203" t="inlineStr">
        <is>
          <t>TICKER 3</t>
        </is>
      </c>
      <c r="D100" s="195" t="n"/>
      <c r="E100" s="204" t="n"/>
      <c r="F100" s="205" t="n"/>
      <c r="G100" s="111">
        <f>E100*F100</f>
        <v>0</v>
      </c>
      <c r="H100" s="205" t="n"/>
      <c r="I100" s="201" t="e">
        <f>H100/(F100*E100)</f>
        <v>#DIV/0!</v>
      </c>
      <c r="J100" s="206" t="n"/>
      <c r="K100" s="199" t="e">
        <f>D100/(1+(I100)*(1-J100))</f>
        <v>#DIV/0!</v>
      </c>
      <c r="L100" s="202" t="e">
        <f>K100*G100/$G$102</f>
        <v>#DIV/0!</v>
      </c>
    </row>
    <row r="101">
      <c r="C101" s="207" t="inlineStr">
        <is>
          <t>TICKER 4</t>
        </is>
      </c>
      <c r="D101" s="208" t="n"/>
      <c r="E101" s="209" t="n"/>
      <c r="F101" s="210" t="n"/>
      <c r="G101" s="97">
        <f>E101*F101</f>
        <v>0</v>
      </c>
      <c r="H101" s="210" t="n"/>
      <c r="I101" s="211" t="e">
        <f>H101/(F101*E101)</f>
        <v>#DIV/0!</v>
      </c>
      <c r="J101" s="212" t="n"/>
      <c r="K101" s="213" t="e">
        <f>D101/(1+(I101)*(1-J101))</f>
        <v>#DIV/0!</v>
      </c>
      <c r="L101" s="202" t="e">
        <f>K101*G101/$G$102</f>
        <v>#DIV/0!</v>
      </c>
      <c r="M101" s="214" t="n"/>
    </row>
    <row r="102">
      <c r="D102" s="199" t="n"/>
      <c r="E102" s="175" t="n"/>
      <c r="F102" s="131" t="n"/>
      <c r="G102" s="111" t="e">
        <f>SUM(G98:G101)</f>
        <v>#DIV/0!</v>
      </c>
      <c r="I102" s="199" t="n"/>
      <c r="J102" s="214" t="inlineStr">
        <is>
          <t>Average:</t>
        </is>
      </c>
      <c r="K102" s="215" t="e">
        <f>AVERAGE(K98:K101)</f>
        <v>#DIV/0!</v>
      </c>
      <c r="L102" s="215" t="e">
        <f>SUM(L98:L101)</f>
        <v>#DIV/0!</v>
      </c>
      <c r="M102" s="215" t="e">
        <f>L102*(1+(debt/market_equity)*(1-D87))</f>
        <v>#DIV/0!</v>
      </c>
    </row>
  </sheetData>
  <mergeCells count="1">
    <mergeCell ref="G14:V14"/>
  </mergeCells>
  <pageMargins left="0.511811024" right="0.511811024" top="0.787401575" bottom="0.787401575" header="0.31496062" footer="0.31496062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Nascimento</dc:creator>
  <dcterms:created xmlns:dcterms="http://purl.org/dc/terms/" xmlns:xsi="http://www.w3.org/2001/XMLSchema-instance" xsi:type="dcterms:W3CDTF">2025-10-26T03:14:16Z</dcterms:created>
  <dcterms:modified xmlns:dcterms="http://purl.org/dc/terms/" xmlns:xsi="http://www.w3.org/2001/XMLSchema-instance" xsi:type="dcterms:W3CDTF">2026-10-14T11:15:39Z</dcterms:modified>
  <cp:lastModifiedBy>Lucas Nascimento</cp:lastModifiedBy>
</cp:coreProperties>
</file>