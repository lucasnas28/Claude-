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aaa" hidden="1" function="0" vbProcedure="0">{#N/A,#N/A,FALSE,"Aging Summary";#N/A,#N/A,FALSE,"Ratio Analysis";#N/A,#N/A,FALSE,"Test 120 Day Accts";#N/A,#N/A,FALSE,"Tickmarks"}</definedName>
    <definedName name="AAAA" hidden="1" function="0" vbProcedure="0">{#N/A,#N/A,FALSE,"Aging Summary";#N/A,#N/A,FALSE,"Ratio Analysis";#N/A,#N/A,FALSE,"Test 120 Day Accts";#N/A,#N/A,FALSE,"Tickmarks"}</definedName>
    <definedName name="AS2DocOpenMode" hidden="1" function="0" vbProcedure="0">"AS2DocumentEdit"</definedName>
    <definedName name="AS2NamedRange" hidden="1" function="0" vbProcedure="0">15</definedName>
    <definedName name="AS2ReportLS" hidden="1" function="0" vbProcedure="0">1</definedName>
    <definedName name="AS2StaticLS" hidden="1" function="0" vbProcedure="0">#REF!</definedName>
    <definedName name="AS2SyncStepLS" hidden="1" function="0" vbProcedure="0">0</definedName>
    <definedName name="AS2TickmarkLS" hidden="1" function="0" vbProcedure="0">#REF!</definedName>
    <definedName name="AS2VersionLS" hidden="1" function="0" vbProcedure="0">300</definedName>
    <definedName name="BalType" hidden="1" function="0" vbProcedure="0">TRUE()</definedName>
    <definedName name="beta_observed" hidden="0" function="0" vbProcedure="0">Valuation!$D$93</definedName>
    <definedName name="beta_observed_unlevered" hidden="0" function="0" vbProcedure="0">#REF!</definedName>
    <definedName name="beta_unlev_comps" hidden="0" function="0" vbProcedure="0">#REF!</definedName>
    <definedName name="BG_Del" hidden="1" function="0" vbProcedure="0">15</definedName>
    <definedName name="BG_Ins" hidden="1" function="0" vbProcedure="0">4</definedName>
    <definedName name="BG_Mod" hidden="1" function="0" vbProcedure="0">6</definedName>
    <definedName name="cirkbreak" hidden="0" function="0" vbProcedure="0">#REF!</definedName>
    <definedName name="costdebtfirm" hidden="0" function="0" vbProcedure="0">#REF!</definedName>
    <definedName name="costequity" hidden="0" function="0" vbProcedure="0">#REF!</definedName>
    <definedName name="Debt" hidden="0" function="0" vbProcedure="0">#REF!</definedName>
    <definedName name="debt_weight" hidden="0" function="0" vbProcedure="0">#REF!</definedName>
    <definedName name="GrpAcct1" hidden="1" function="0" vbProcedure="0">"5611"</definedName>
    <definedName name="GrpAcct2" hidden="1" function="0" vbProcedure="0">"5612"</definedName>
    <definedName name="GrpLevel" hidden="1" function="0" vbProcedure="0">2</definedName>
    <definedName name="IQ_ACCOUNTS_PAY" hidden="1" function="0" vbProcedure="0">"c1343"</definedName>
    <definedName name="IQ_ACCOUNT_CHANGE" hidden="1" function="0" vbProcedure="0">"c1449"</definedName>
    <definedName name="IQ_ACCRUED_EXP" hidden="1" function="0" vbProcedure="0">"c1341"</definedName>
    <definedName name="IQ_ACCR_INT_PAY" hidden="1" function="0" vbProcedure="0">"c1"</definedName>
    <definedName name="IQ_ACCR_INT_PAY_CF" hidden="1" function="0" vbProcedure="0">"c2"</definedName>
    <definedName name="IQ_ACCR_INT_RECEIV" hidden="1" function="0" vbProcedure="0">"c3"</definedName>
    <definedName name="IQ_ACCR_INT_RECEIV_CF" hidden="1" function="0" vbProcedure="0">"c4"</definedName>
    <definedName name="IQ_ACCT_RECV_10YR_ANN_GROWTH" hidden="1" function="0" vbProcedure="0">"c1924"</definedName>
    <definedName name="IQ_ACCT_RECV_1YR_ANN_GROWTH" hidden="1" function="0" vbProcedure="0">"c1919"</definedName>
    <definedName name="IQ_ACCT_RECV_2YR_ANN_GROWTH" hidden="1" function="0" vbProcedure="0">"c1920"</definedName>
    <definedName name="IQ_ACCT_RECV_3YR_ANN_GROWTH" hidden="1" function="0" vbProcedure="0">"c1921"</definedName>
    <definedName name="IQ_ACCT_RECV_5YR_ANN_GROWTH" hidden="1" function="0" vbProcedure="0">"c1922"</definedName>
    <definedName name="IQ_ACCT_RECV_7YR_ANN_GROWTH" hidden="1" function="0" vbProcedure="0">"c1923"</definedName>
    <definedName name="IQ_ACCUMULATED_PENSION_OBLIGATION" hidden="1" function="0" vbProcedure="0">"c2108"</definedName>
    <definedName name="IQ_ACCUM_DEP" hidden="1" function="0" vbProcedure="0">"c1340"</definedName>
    <definedName name="IQ_ACQUIRE_REAL_ESTATE_CF" hidden="1" function="0" vbProcedure="0">"c6"</definedName>
    <definedName name="IQ_ACQUISITION_RE_ASSETS" hidden="1" function="0" vbProcedure="0">"c1628"</definedName>
    <definedName name="IQ_ACQ_COSTS_CAPITALIZED" hidden="1" function="0" vbProcedure="0">"c5"</definedName>
    <definedName name="IQ_ACQ_COST_SUB" hidden="1" function="0" vbProcedure="0">"c2125"</definedName>
    <definedName name="IQ_AD" hidden="1" function="0" vbProcedure="0">"c7"</definedName>
    <definedName name="IQ_ADD_PAID_IN" hidden="1" function="0" vbProcedure="0">"c1344"</definedName>
    <definedName name="IQ_ADVERTISING_MARKETING" hidden="1" function="0" vbProcedure="0">"c1566"</definedName>
    <definedName name="IQ_AE" hidden="1" function="0" vbProcedure="0">"c8"</definedName>
    <definedName name="IQ_AE_BNK" hidden="1" function="0" vbProcedure="0">"c9"</definedName>
    <definedName name="IQ_AE_BR" hidden="1" function="0" vbProcedure="0">"c10"</definedName>
    <definedName name="IQ_AE_FIN" hidden="1" function="0" vbProcedure="0">"c11"</definedName>
    <definedName name="IQ_AE_INS" hidden="1" function="0" vbProcedure="0">"c12"</definedName>
    <definedName name="IQ_AE_REIT" hidden="1" function="0" vbProcedure="0">"c13"</definedName>
    <definedName name="IQ_AE_UTI" hidden="1" function="0" vbProcedure="0">"c14"</definedName>
    <definedName name="IQ_ALLOWANCE_10YR_ANN_GROWTH" hidden="1" function="0" vbProcedure="0">"c18"</definedName>
    <definedName name="IQ_ALLOWANCE_1YR_ANN_GROWTH" hidden="1" function="0" vbProcedure="0">"c19"</definedName>
    <definedName name="IQ_ALLOWANCE_2YR_ANN_GROWTH" hidden="1" function="0" vbProcedure="0">"c20"</definedName>
    <definedName name="IQ_ALLOWANCE_3YR_ANN_GROWTH" hidden="1" function="0" vbProcedure="0">"c21"</definedName>
    <definedName name="IQ_ALLOWANCE_5YR_ANN_GROWTH" hidden="1" function="0" vbProcedure="0">"c22"</definedName>
    <definedName name="IQ_ALLOWANCE_7YR_ANN_GROWTH" hidden="1" function="0" vbProcedure="0">"c23"</definedName>
    <definedName name="IQ_ALLOWANCE_CHARGE_OFFS" hidden="1" function="0" vbProcedure="0">"c24"</definedName>
    <definedName name="IQ_ALLOWANCE_NON_PERF_LOANS" hidden="1" function="0" vbProcedure="0">"c25"</definedName>
    <definedName name="IQ_ALLOWANCE_TOTAL_LOANS" hidden="1" function="0" vbProcedure="0">"c26"</definedName>
    <definedName name="IQ_ALLOW_BORROW_CONST" hidden="1" function="0" vbProcedure="0">"c15"</definedName>
    <definedName name="IQ_ALLOW_CONST" hidden="1" function="0" vbProcedure="0">"c1342"</definedName>
    <definedName name="IQ_ALLOW_DOUBT_ACCT" hidden="1" function="0" vbProcedure="0">"c2092"</definedName>
    <definedName name="IQ_ALLOW_EQUITY_CONST" hidden="1" function="0" vbProcedure="0">"c16"</definedName>
    <definedName name="IQ_ALLOW_LL" hidden="1" function="0" vbProcedure="0">"c17"</definedName>
    <definedName name="IQ_AMORTIZATION" hidden="1" function="0" vbProcedure="0">"c1591"</definedName>
    <definedName name="IQ_ANNUALIZED_DIVIDEND" hidden="1" function="0" vbProcedure="0">"c1579"</definedName>
    <definedName name="IQ_ANNUITY_LIAB" hidden="1" function="0" vbProcedure="0">"c27"</definedName>
    <definedName name="IQ_ANNUITY_PAY" hidden="1" function="0" vbProcedure="0">"c28"</definedName>
    <definedName name="IQ_ANNUITY_POLICY_EXP" hidden="1" function="0" vbProcedure="0">"c29"</definedName>
    <definedName name="IQ_ANNUITY_REC" hidden="1" function="0" vbProcedure="0">"c30"</definedName>
    <definedName name="IQ_ANNUITY_REV" hidden="1" function="0" vbProcedure="0">"c31"</definedName>
    <definedName name="IQ_AP" hidden="1" function="0" vbProcedure="0">"c32"</definedName>
    <definedName name="IQ_APIC" hidden="1" function="0" vbProcedure="0">"c39"</definedName>
    <definedName name="IQ_AP_BNK" hidden="1" function="0" vbProcedure="0">"c33"</definedName>
    <definedName name="IQ_AP_BR" hidden="1" function="0" vbProcedure="0">"c34"</definedName>
    <definedName name="IQ_AP_FIN" hidden="1" function="0" vbProcedure="0">"c35"</definedName>
    <definedName name="IQ_AP_INS" hidden="1" function="0" vbProcedure="0">"c36"</definedName>
    <definedName name="IQ_AP_REIT" hidden="1" function="0" vbProcedure="0">"c37"</definedName>
    <definedName name="IQ_AP_UTI" hidden="1" function="0" vbProcedure="0">"c38"</definedName>
    <definedName name="IQ_AR" hidden="1" function="0" vbProcedure="0">"c40"</definedName>
    <definedName name="IQ_ARPU" hidden="1" function="0" vbProcedure="0">"c2126"</definedName>
    <definedName name="IQ_AR_BR" hidden="1" function="0" vbProcedure="0">"c41"</definedName>
    <definedName name="IQ_AR_LT" hidden="1" function="0" vbProcedure="0">"c42"</definedName>
    <definedName name="IQ_AR_REIT" hidden="1" function="0" vbProcedure="0">"c43"</definedName>
    <definedName name="IQ_AR_TURNS" hidden="1" function="0" vbProcedure="0">"c44"</definedName>
    <definedName name="IQ_AR_UTI" hidden="1" function="0" vbProcedure="0">"c45"</definedName>
    <definedName name="IQ_ASSETS_CAP_LEASE_DEPR" hidden="1" function="0" vbProcedure="0">"c2068"</definedName>
    <definedName name="IQ_ASSETS_CAP_LEASE_GROSS" hidden="1" function="0" vbProcedure="0">"c2069"</definedName>
    <definedName name="IQ_ASSETS_OPER_LEASE_DEPR" hidden="1" function="0" vbProcedure="0">"c2070"</definedName>
    <definedName name="IQ_ASSETS_OPER_LEASE_GROSS" hidden="1" function="0" vbProcedure="0">"c2071"</definedName>
    <definedName name="IQ_ASSET_MGMT_FEE" hidden="1" function="0" vbProcedure="0">"c46"</definedName>
    <definedName name="IQ_ASSET_TURNS" hidden="1" function="0" vbProcedure="0">"c47"</definedName>
    <definedName name="IQ_ASSET_WRITEDOWN" hidden="1" function="0" vbProcedure="0">"c48"</definedName>
    <definedName name="IQ_ASSET_WRITEDOWN_BNK" hidden="1" function="0" vbProcedure="0">"c49"</definedName>
    <definedName name="IQ_ASSET_WRITEDOWN_BR" hidden="1" function="0" vbProcedure="0">"c50"</definedName>
    <definedName name="IQ_ASSET_WRITEDOWN_CF" hidden="1" function="0" vbProcedure="0">"c51"</definedName>
    <definedName name="IQ_ASSET_WRITEDOWN_CF_BNK" hidden="1" function="0" vbProcedure="0">"c52"</definedName>
    <definedName name="IQ_ASSET_WRITEDOWN_CF_BR" hidden="1" function="0" vbProcedure="0">"c53"</definedName>
    <definedName name="IQ_ASSET_WRITEDOWN_CF_FIN" hidden="1" function="0" vbProcedure="0">"c54"</definedName>
    <definedName name="IQ_ASSET_WRITEDOWN_CF_INS" hidden="1" function="0" vbProcedure="0">"c55"</definedName>
    <definedName name="IQ_ASSET_WRITEDOWN_CF_REIT" hidden="1" function="0" vbProcedure="0">"c56"</definedName>
    <definedName name="IQ_ASSET_WRITEDOWN_CF_UTI" hidden="1" function="0" vbProcedure="0">"c57"</definedName>
    <definedName name="IQ_ASSET_WRITEDOWN_FIN" hidden="1" function="0" vbProcedure="0">"c58"</definedName>
    <definedName name="IQ_ASSET_WRITEDOWN_INS" hidden="1" function="0" vbProcedure="0">"c59"</definedName>
    <definedName name="IQ_ASSET_WRITEDOWN_REIT" hidden="1" function="0" vbProcedure="0">"c60"</definedName>
    <definedName name="IQ_ASSET_WRITEDOWN_UTI" hidden="1" function="0" vbProcedure="0">"c61"</definedName>
    <definedName name="IQ_AUDITOR_NAME" hidden="1" function="0" vbProcedure="0">"c1539"</definedName>
    <definedName name="IQ_AUDITOR_OPINION" hidden="1" function="0" vbProcedure="0">"c1540"</definedName>
    <definedName name="IQ_AUTO_WRITTEN" hidden="1" function="0" vbProcedure="0">"c62"</definedName>
    <definedName name="IQ_AVG_BANK_ASSETS" hidden="1" function="0" vbProcedure="0">"c2072"</definedName>
    <definedName name="IQ_AVG_BANK_LOANS" hidden="1" function="0" vbProcedure="0">"c2073"</definedName>
    <definedName name="IQ_AVG_BROKER_REC" hidden="1" function="0" vbProcedure="0">"c63"</definedName>
    <definedName name="IQ_AVG_BROKER_REC_NO" hidden="1" function="0" vbProcedure="0">"c64"</definedName>
    <definedName name="IQ_AVG_DAILY_VOL" hidden="1" function="0" vbProcedure="0">"c65"</definedName>
    <definedName name="IQ_AVG_INT_BEAR_LIAB" hidden="1" function="0" vbProcedure="0">"c66"</definedName>
    <definedName name="IQ_AVG_INT_BEAR_LIAB_10YR_ANN_GROWTH" hidden="1" function="0" vbProcedure="0">"c67"</definedName>
    <definedName name="IQ_AVG_INT_BEAR_LIAB_1YR_ANN_GROWTH" hidden="1" function="0" vbProcedure="0">"c68"</definedName>
    <definedName name="IQ_AVG_INT_BEAR_LIAB_2YR_ANN_GROWTH" hidden="1" function="0" vbProcedure="0">"c69"</definedName>
    <definedName name="IQ_AVG_INT_BEAR_LIAB_3YR_ANN_GROWTH" hidden="1" function="0" vbProcedure="0">"c70"</definedName>
    <definedName name="IQ_AVG_INT_BEAR_LIAB_5YR_ANN_GROWTH" hidden="1" function="0" vbProcedure="0">"c71"</definedName>
    <definedName name="IQ_AVG_INT_BEAR_LIAB_7YR_ANN_GROWTH" hidden="1" function="0" vbProcedure="0">"c72"</definedName>
    <definedName name="IQ_AVG_INT_EARN_ASSETS" hidden="1" function="0" vbProcedure="0">"c73"</definedName>
    <definedName name="IQ_AVG_INT_EARN_ASSETS_10YR_ANN_GROWTH" hidden="1" function="0" vbProcedure="0">"c74"</definedName>
    <definedName name="IQ_AVG_INT_EARN_ASSETS_1YR_ANN_GROWTH" hidden="1" function="0" vbProcedure="0">"c75"</definedName>
    <definedName name="IQ_AVG_INT_EARN_ASSETS_2YR_ANN_GROWTH" hidden="1" function="0" vbProcedure="0">"c76"</definedName>
    <definedName name="IQ_AVG_INT_EARN_ASSETS_3YR_ANN_GROWTH" hidden="1" function="0" vbProcedure="0">"c77"</definedName>
    <definedName name="IQ_AVG_INT_EARN_ASSETS_5YR_ANN_GROWTH" hidden="1" function="0" vbProcedure="0">"c78"</definedName>
    <definedName name="IQ_AVG_INT_EARN_ASSETS_7YR_ANN_GROWTH" hidden="1" function="0" vbProcedure="0">"c79"</definedName>
    <definedName name="IQ_AVG_MKTCAP" hidden="1" function="0" vbProcedure="0">"c80"</definedName>
    <definedName name="IQ_AVG_PRICE" hidden="1" function="0" vbProcedure="0">"c81"</definedName>
    <definedName name="IQ_AVG_SHAREOUTSTANDING" hidden="1" function="0" vbProcedure="0">"c83"</definedName>
    <definedName name="IQ_AVG_TEV" hidden="1" function="0" vbProcedure="0">"c84"</definedName>
    <definedName name="IQ_AVG_VOLUME" hidden="1" function="0" vbProcedure="0">"c1346"</definedName>
    <definedName name="IQ_BASIC_EPS_EXCL" hidden="1" function="0" vbProcedure="0">"c85"</definedName>
    <definedName name="IQ_BASIC_EPS_INCL" hidden="1" function="0" vbProcedure="0">"c86"</definedName>
    <definedName name="IQ_BASIC_NORMAL_EPS" hidden="1" function="0" vbProcedure="0">"c1592"</definedName>
    <definedName name="IQ_BASIC_WEIGHT" hidden="1" function="0" vbProcedure="0">"c87"</definedName>
    <definedName name="IQ_BETA" hidden="1" function="0" vbProcedure="0">"c2133"</definedName>
    <definedName name="IQ_BETA_1YR" hidden="1" function="0" vbProcedure="0">"c1966"</definedName>
    <definedName name="IQ_BETA_1YR_RSQ" hidden="1" function="0" vbProcedure="0">"c2132"</definedName>
    <definedName name="IQ_BETA_2YR" hidden="1" function="0" vbProcedure="0">"c1965"</definedName>
    <definedName name="IQ_BETA_2YR_RSQ" hidden="1" function="0" vbProcedure="0">"c2131"</definedName>
    <definedName name="IQ_BETA_5YR" hidden="1" function="0" vbProcedure="0">"c88"</definedName>
    <definedName name="IQ_BETA_5YR_RSQ" hidden="1" function="0" vbProcedure="0">"c2130"</definedName>
    <definedName name="IQ_BIG_INT_BEAR_CD" hidden="1" function="0" vbProcedure="0">"c89"</definedName>
    <definedName name="IQ_BOARD_MEMBER" hidden="1" function="0" vbProcedure="0">"c96"</definedName>
    <definedName name="IQ_BOARD_MEMBER_BACKGROUND" hidden="1" function="0" vbProcedure="0">"c2101"</definedName>
    <definedName name="IQ_BOARD_MEMBER_TITLE" hidden="1" function="0" vbProcedure="0">"c97"</definedName>
    <definedName name="IQ_BROK_COMISSION" hidden="1" function="0" vbProcedure="0">"c98"</definedName>
    <definedName name="IQ_BUILDINGS" hidden="1" function="0" vbProcedure="0">"c99"</definedName>
    <definedName name="IQ_BUSINESS_DESCRIPTION" hidden="1" function="0" vbProcedure="0">"c322"</definedName>
    <definedName name="IQ_BV_OVER_SHARES" hidden="1" function="0" vbProcedure="0">"c1349"</definedName>
    <definedName name="IQ_BV_SHARE" hidden="1" function="0" vbProcedure="0">"c100"</definedName>
    <definedName name="IQ_CAL_Q" hidden="1" function="0" vbProcedure="0">"c101"</definedName>
    <definedName name="IQ_CAL_Y" hidden="1" function="0" vbProcedure="0">"c102"</definedName>
    <definedName name="IQ_CAPEX" hidden="1" function="0" vbProcedure="0">"c103"</definedName>
    <definedName name="IQ_CAPEX_10YR_ANN_GROWTH" hidden="1" function="0" vbProcedure="0">"c104"</definedName>
    <definedName name="IQ_CAPEX_1YR_ANN_GROWTH" hidden="1" function="0" vbProcedure="0">"c105"</definedName>
    <definedName name="IQ_CAPEX_2YR_ANN_GROWTH" hidden="1" function="0" vbProcedure="0">"c106"</definedName>
    <definedName name="IQ_CAPEX_3YR_ANN_GROWTH" hidden="1" function="0" vbProcedure="0">"c107"</definedName>
    <definedName name="IQ_CAPEX_5YR_ANN_GROWTH" hidden="1" function="0" vbProcedure="0">"c108"</definedName>
    <definedName name="IQ_CAPEX_7YR_ANN_GROWTH" hidden="1" function="0" vbProcedure="0">"c109"</definedName>
    <definedName name="IQ_CAPEX_BNK" hidden="1" function="0" vbProcedure="0">"c110"</definedName>
    <definedName name="IQ_CAPEX_BR" hidden="1" function="0" vbProcedure="0">"c111"</definedName>
    <definedName name="IQ_CAPEX_FIN" hidden="1" function="0" vbProcedure="0">"c112"</definedName>
    <definedName name="IQ_CAPEX_INS" hidden="1" function="0" vbProcedure="0">"c113"</definedName>
    <definedName name="IQ_CAPEX_UTI" hidden="1" function="0" vbProcedure="0">"c114"</definedName>
    <definedName name="IQ_CAPITALIZED_INTEREST" hidden="1" function="0" vbProcedure="0">"c2076"</definedName>
    <definedName name="IQ_CAPITAL_LEASE" hidden="1" function="0" vbProcedure="0">"c1350"</definedName>
    <definedName name="IQ_CAPITAL_LEASES" hidden="1" function="0" vbProcedure="0">"c115"</definedName>
    <definedName name="IQ_CASH" hidden="1" function="0" vbProcedure="0">"c1458"</definedName>
    <definedName name="IQ_CASH_ACQUIRE_CF" hidden="1" function="0" vbProcedure="0">"c1630"</definedName>
    <definedName name="IQ_CASH_CONVERSION" hidden="1" function="0" vbProcedure="0">"c117"</definedName>
    <definedName name="IQ_CASH_DUE_BANKS" hidden="1" function="0" vbProcedure="0">"c1351"</definedName>
    <definedName name="IQ_CASH_EQUIV" hidden="1" function="0" vbProcedure="0">"c118"</definedName>
    <definedName name="IQ_CASH_FINAN" hidden="1" function="0" vbProcedure="0">"c119"</definedName>
    <definedName name="IQ_CASH_INTEREST" hidden="1" function="0" vbProcedure="0">"c120"</definedName>
    <definedName name="IQ_CASH_INVEST" hidden="1" function="0" vbProcedure="0">"c121"</definedName>
    <definedName name="IQ_CASH_OPER" hidden="1" function="0" vbProcedure="0">"c122"</definedName>
    <definedName name="IQ_CASH_SEGREG" hidden="1" function="0" vbProcedure="0">"c123"</definedName>
    <definedName name="IQ_CASH_SHARE" hidden="1" function="0" vbProcedure="0">"c1911"</definedName>
    <definedName name="IQ_CASH_ST" hidden="1" function="0" vbProcedure="0">"c1355"</definedName>
    <definedName name="IQ_CASH_ST_INVEST" hidden="1" function="0" vbProcedure="0">"c124"</definedName>
    <definedName name="IQ_CASH_TAXES" hidden="1" function="0" vbProcedure="0">"c125"</definedName>
    <definedName name="IQ_CFO_10YR_ANN_GROWTH" hidden="1" function="0" vbProcedure="0">"c126"</definedName>
    <definedName name="IQ_CFO_1YR_ANN_GROWTH" hidden="1" function="0" vbProcedure="0">"c127"</definedName>
    <definedName name="IQ_CFO_2YR_ANN_GROWTH" hidden="1" function="0" vbProcedure="0">"c128"</definedName>
    <definedName name="IQ_CFO_3YR_ANN_GROWTH" hidden="1" function="0" vbProcedure="0">"c129"</definedName>
    <definedName name="IQ_CFO_5YR_ANN_GROWTH" hidden="1" function="0" vbProcedure="0">"c130"</definedName>
    <definedName name="IQ_CFO_7YR_ANN_GROWTH" hidden="1" function="0" vbProcedure="0">"c131"</definedName>
    <definedName name="IQ_CFO_CURRENT_LIAB" hidden="1" function="0" vbProcedure="0">"c132"</definedName>
    <definedName name="IQ_CHANGES_WORK_CAP" hidden="1" function="0" vbProcedure="0">"c1357"</definedName>
    <definedName name="IQ_CHANGE_AP" hidden="1" function="0" vbProcedure="0">"c133"</definedName>
    <definedName name="IQ_CHANGE_AP_BNK" hidden="1" function="0" vbProcedure="0">"c134"</definedName>
    <definedName name="IQ_CHANGE_AP_BR" hidden="1" function="0" vbProcedure="0">"c135"</definedName>
    <definedName name="IQ_CHANGE_AP_FIN" hidden="1" function="0" vbProcedure="0">"c136"</definedName>
    <definedName name="IQ_CHANGE_AP_INS" hidden="1" function="0" vbProcedure="0">"c137"</definedName>
    <definedName name="IQ_CHANGE_AP_REIT" hidden="1" function="0" vbProcedure="0">"c138"</definedName>
    <definedName name="IQ_CHANGE_AP_UTI" hidden="1" function="0" vbProcedure="0">"c139"</definedName>
    <definedName name="IQ_CHANGE_AR" hidden="1" function="0" vbProcedure="0">"c140"</definedName>
    <definedName name="IQ_CHANGE_AR_BNK" hidden="1" function="0" vbProcedure="0">"c141"</definedName>
    <definedName name="IQ_CHANGE_AR_BR" hidden="1" function="0" vbProcedure="0">"c142"</definedName>
    <definedName name="IQ_CHANGE_AR_FIN" hidden="1" function="0" vbProcedure="0">"c143"</definedName>
    <definedName name="IQ_CHANGE_AR_INS" hidden="1" function="0" vbProcedure="0">"c144"</definedName>
    <definedName name="IQ_CHANGE_AR_REIT" hidden="1" function="0" vbProcedure="0">"c145"</definedName>
    <definedName name="IQ_CHANGE_AR_UTI" hidden="1" function="0" vbProcedure="0">"c146"</definedName>
    <definedName name="IQ_CHANGE_DEF_TAX" hidden="1" function="0" vbProcedure="0">"c147"</definedName>
    <definedName name="IQ_CHANGE_DEPOSIT_ACCT" hidden="1" function="0" vbProcedure="0">"c148"</definedName>
    <definedName name="IQ_CHANGE_INC_TAX" hidden="1" function="0" vbProcedure="0">"c149"</definedName>
    <definedName name="IQ_CHANGE_INS_RES_LIAB" hidden="1" function="0" vbProcedure="0">"c150"</definedName>
    <definedName name="IQ_CHANGE_INVENTORY" hidden="1" function="0" vbProcedure="0">"c151"</definedName>
    <definedName name="IQ_CHANGE_NET_WORKING_CAPITAL" hidden="1" function="0" vbProcedure="0">"c1909"</definedName>
    <definedName name="IQ_CHANGE_OTHER_WORK_CAP" hidden="1" function="0" vbProcedure="0">"c152"</definedName>
    <definedName name="IQ_CHANGE_OTHER_WORK_CAP_BNK" hidden="1" function="0" vbProcedure="0">"c153"</definedName>
    <definedName name="IQ_CHANGE_OTHER_WORK_CAP_BR" hidden="1" function="0" vbProcedure="0">"c154"</definedName>
    <definedName name="IQ_CHANGE_OTHER_WORK_CAP_FIN" hidden="1" function="0" vbProcedure="0">"c155"</definedName>
    <definedName name="IQ_CHANGE_OTHER_WORK_CAP_INS" hidden="1" function="0" vbProcedure="0">"c156"</definedName>
    <definedName name="IQ_CHANGE_OTHER_WORK_CAP_REIT" hidden="1" function="0" vbProcedure="0">"c157"</definedName>
    <definedName name="IQ_CHANGE_OTHER_WORK_CAP_UTI" hidden="1" function="0" vbProcedure="0">"c158"</definedName>
    <definedName name="IQ_CHANGE_TRADING_ASSETS" hidden="1" function="0" vbProcedure="0">"c159"</definedName>
    <definedName name="IQ_CHANGE_UNEARN_REV" hidden="1" function="0" vbProcedure="0">"c160"</definedName>
    <definedName name="IQ_CHANGE_WORK_CAP" hidden="1" function="0" vbProcedure="0">"c161"</definedName>
    <definedName name="IQ_CHARGE_OFFS_GROSS" hidden="1" function="0" vbProcedure="0">"c162"</definedName>
    <definedName name="IQ_CHARGE_OFFS_NET" hidden="1" function="0" vbProcedure="0">"c163"</definedName>
    <definedName name="IQ_CHARGE_OFFS_RECOVERED" hidden="1" function="0" vbProcedure="0">"c164"</definedName>
    <definedName name="IQ_CHARGE_OFFS_TOTAL_AVG_LOANS" hidden="1" function="0" vbProcedure="0">"c165"</definedName>
    <definedName name="IQ_CITY" hidden="1" function="0" vbProcedure="0">"c166"</definedName>
    <definedName name="IQ_CLASSA_OUTSTANDING_BS_DATE" hidden="1" function="0" vbProcedure="0">"c1971"</definedName>
    <definedName name="IQ_CLASSA_OUTSTANDING_FILING_DATE" hidden="1" function="0" vbProcedure="0">"c1973"</definedName>
    <definedName name="IQ_CLOSEPRICE" hidden="1" function="0" vbProcedure="0">"c174"</definedName>
    <definedName name="IQ_CLOSEPRICE_ADJ" hidden="1" function="0" vbProcedure="0">"c2115"</definedName>
    <definedName name="IQ_CL_DUE_AFTER_FIVE" hidden="1" function="0" vbProcedure="0">"c167"</definedName>
    <definedName name="IQ_CL_DUE_CY" hidden="1" function="0" vbProcedure="0">"c168"</definedName>
    <definedName name="IQ_CL_DUE_CY1" hidden="1" function="0" vbProcedure="0">"c169"</definedName>
    <definedName name="IQ_CL_DUE_CY2" hidden="1" function="0" vbProcedure="0">"c170"</definedName>
    <definedName name="IQ_CL_DUE_CY3" hidden="1" function="0" vbProcedure="0">"c171"</definedName>
    <definedName name="IQ_CL_DUE_CY4" hidden="1" function="0" vbProcedure="0">"c172"</definedName>
    <definedName name="IQ_CL_DUE_NEXT_FIVE" hidden="1" function="0" vbProcedure="0">"c173"</definedName>
    <definedName name="IQ_COGS" hidden="1" function="0" vbProcedure="0">"c175"</definedName>
    <definedName name="IQ_COMBINED_RATIO" hidden="1" function="0" vbProcedure="0">"c176"</definedName>
    <definedName name="IQ_COMMERCIAL_DOM" hidden="1" function="0" vbProcedure="0">"c177"</definedName>
    <definedName name="IQ_COMMERCIAL_FIRE_WRITTEN" hidden="1" function="0" vbProcedure="0">"c178"</definedName>
    <definedName name="IQ_COMMERCIAL_MORT" hidden="1" function="0" vbProcedure="0">"c179"</definedName>
    <definedName name="IQ_COMMISSION_DEF" hidden="1" function="0" vbProcedure="0">"c181"</definedName>
    <definedName name="IQ_COMMISS_FEES" hidden="1" function="0" vbProcedure="0">"c180"</definedName>
    <definedName name="IQ_COMMON" hidden="1" function="0" vbProcedure="0">"c182"</definedName>
    <definedName name="IQ_COMMON_APIC" hidden="1" function="0" vbProcedure="0">"c183"</definedName>
    <definedName name="IQ_COMMON_APIC_BNK" hidden="1" function="0" vbProcedure="0">"c184"</definedName>
    <definedName name="IQ_COMMON_APIC_BR" hidden="1" function="0" vbProcedure="0">"c185"</definedName>
    <definedName name="IQ_COMMON_APIC_FIN" hidden="1" function="0" vbProcedure="0">"c186"</definedName>
    <definedName name="IQ_COMMON_APIC_INS" hidden="1" function="0" vbProcedure="0">"c187"</definedName>
    <definedName name="IQ_COMMON_APIC_REIT" hidden="1" function="0" vbProcedure="0">"c188"</definedName>
    <definedName name="IQ_COMMON_APIC_UTI" hidden="1" function="0" vbProcedure="0">"c189"</definedName>
    <definedName name="IQ_COMMON_DIV_CF" hidden="1" function="0" vbProcedure="0">"c190"</definedName>
    <definedName name="IQ_COMMON_EQUITY_10YR_ANN_GROWTH" hidden="1" function="0" vbProcedure="0">"c191"</definedName>
    <definedName name="IQ_COMMON_EQUITY_1YR_ANN_GROWTH" hidden="1" function="0" vbProcedure="0">"c192"</definedName>
    <definedName name="IQ_COMMON_EQUITY_2YR_ANN_GROWTH" hidden="1" function="0" vbProcedure="0">"c193"</definedName>
    <definedName name="IQ_COMMON_EQUITY_3YR_ANN_GROWTH" hidden="1" function="0" vbProcedure="0">"c194"</definedName>
    <definedName name="IQ_COMMON_EQUITY_5YR_ANN_GROWTH" hidden="1" function="0" vbProcedure="0">"c195"</definedName>
    <definedName name="IQ_COMMON_EQUITY_7YR_ANN_GROWTH" hidden="1" function="0" vbProcedure="0">"c196"</definedName>
    <definedName name="IQ_COMMON_ISSUED" hidden="1" function="0" vbProcedure="0">"c197"</definedName>
    <definedName name="IQ_COMMON_ISSUED_BNK" hidden="1" function="0" vbProcedure="0">"c198"</definedName>
    <definedName name="IQ_COMMON_ISSUED_BR" hidden="1" function="0" vbProcedure="0">"c199"</definedName>
    <definedName name="IQ_COMMON_ISSUED_FIN" hidden="1" function="0" vbProcedure="0">"c200"</definedName>
    <definedName name="IQ_COMMON_ISSUED_INS" hidden="1" function="0" vbProcedure="0">"c201"</definedName>
    <definedName name="IQ_COMMON_ISSUED_REIT" hidden="1" function="0" vbProcedure="0">"c202"</definedName>
    <definedName name="IQ_COMMON_ISSUED_UTI" hidden="1" function="0" vbProcedure="0">"c203"</definedName>
    <definedName name="IQ_COMMON_PER_ADR" hidden="1" function="0" vbProcedure="0">"c204"</definedName>
    <definedName name="IQ_COMMON_PREF_DIV_CF" hidden="1" function="0" vbProcedure="0">"c205"</definedName>
    <definedName name="IQ_COMMON_REP" hidden="1" function="0" vbProcedure="0">"c206"</definedName>
    <definedName name="IQ_COMMON_REP_BNK" hidden="1" function="0" vbProcedure="0">"c207"</definedName>
    <definedName name="IQ_COMMON_REP_BR" hidden="1" function="0" vbProcedure="0">"c208"</definedName>
    <definedName name="IQ_COMMON_REP_FIN" hidden="1" function="0" vbProcedure="0">"c209"</definedName>
    <definedName name="IQ_COMMON_REP_INS" hidden="1" function="0" vbProcedure="0">"c210"</definedName>
    <definedName name="IQ_COMMON_REP_REIT" hidden="1" function="0" vbProcedure="0">"c211"</definedName>
    <definedName name="IQ_COMMON_REP_UTI" hidden="1" function="0" vbProcedure="0">"c212"</definedName>
    <definedName name="IQ_COMMON_STOCK" hidden="1" function="0" vbProcedure="0">"c1358"</definedName>
    <definedName name="IQ_COMPANY_ADDRESS" hidden="1" function="0" vbProcedure="0">"c214"</definedName>
    <definedName name="IQ_COMPANY_NAME" hidden="1" function="0" vbProcedure="0">"c215"</definedName>
    <definedName name="IQ_COMPANY_NAME_LONG" hidden="1" function="0" vbProcedure="0">"c1585"</definedName>
    <definedName name="IQ_COMPANY_PHONE" hidden="1" function="0" vbProcedure="0">"c216"</definedName>
    <definedName name="IQ_COMPANY_STATUS" hidden="1" function="0" vbProcedure="0">"c2097"</definedName>
    <definedName name="IQ_COMPANY_STREET1" hidden="1" function="0" vbProcedure="0">"c217"</definedName>
    <definedName name="IQ_COMPANY_STREET2" hidden="1" function="0" vbProcedure="0">"c218"</definedName>
    <definedName name="IQ_COMPANY_TICKER" hidden="1" function="0" vbProcedure="0">"c219"</definedName>
    <definedName name="IQ_COMPANY_TYPE" hidden="1" function="0" vbProcedure="0">"c2096"</definedName>
    <definedName name="IQ_COMPANY_WEBSITE" hidden="1" function="0" vbProcedure="0">"c220"</definedName>
    <definedName name="IQ_COMPANY_ZIP" hidden="1" function="0" vbProcedure="0">"c221"</definedName>
    <definedName name="IQ_COMP_BENEFITS" hidden="1" function="0" vbProcedure="0">"c213"</definedName>
    <definedName name="IQ_CONSTRUCTION_LOANS" hidden="1" function="0" vbProcedure="0">"c222"</definedName>
    <definedName name="IQ_CONSUMER_LOANS" hidden="1" function="0" vbProcedure="0">"c223"</definedName>
    <definedName name="IQ_COST_BORROWINGS" hidden="1" function="0" vbProcedure="0">"c225"</definedName>
    <definedName name="IQ_COST_REV" hidden="1" function="0" vbProcedure="0">"c226"</definedName>
    <definedName name="IQ_COST_REVENUE" hidden="1" function="0" vbProcedure="0">"c1359"</definedName>
    <definedName name="IQ_COST_SAVINGS" hidden="1" function="0" vbProcedure="0">"c227"</definedName>
    <definedName name="IQ_COST_SERVICE" hidden="1" function="0" vbProcedure="0">"c228"</definedName>
    <definedName name="IQ_COST_TOTAL_BORROWINGS" hidden="1" function="0" vbProcedure="0">"c229"</definedName>
    <definedName name="IQ_COUNTRY_NAME" hidden="1" function="0" vbProcedure="0">"c230"</definedName>
    <definedName name="IQ_COVERED_POPS" hidden="1" function="0" vbProcedure="0">"c2124"</definedName>
    <definedName name="IQ_CQ" hidden="1" function="0" vbProcedure="0">5000</definedName>
    <definedName name="IQ_CREDIT_CARD_FEE_BNK" hidden="1" function="0" vbProcedure="0">"c231"</definedName>
    <definedName name="IQ_CREDIT_CARD_FEE_FIN" hidden="1" function="0" vbProcedure="0">"c1583"</definedName>
    <definedName name="IQ_CREDIT_LOSS_CF" hidden="1" function="0" vbProcedure="0">"c232"</definedName>
    <definedName name="IQ_CUMULATIVE_SPLIT_FACTOR" hidden="1" function="0" vbProcedure="0">"c2094"</definedName>
    <definedName name="IQ_CURRENCY_FACTOR_BS" hidden="1" function="0" vbProcedure="0">"c233"</definedName>
    <definedName name="IQ_CURRENCY_FACTOR_IS" hidden="1" function="0" vbProcedure="0">"c234"</definedName>
    <definedName name="IQ_CURRENCY_GAIN" hidden="1" function="0" vbProcedure="0">"c235"</definedName>
    <definedName name="IQ_CURRENCY_GAIN_BR" hidden="1" function="0" vbProcedure="0">"c236"</definedName>
    <definedName name="IQ_CURRENCY_GAIN_FIN" hidden="1" function="0" vbProcedure="0">"c237"</definedName>
    <definedName name="IQ_CURRENCY_GAIN_INS" hidden="1" function="0" vbProcedure="0">"c238"</definedName>
    <definedName name="IQ_CURRENCY_GAIN_REIT" hidden="1" function="0" vbProcedure="0">"c239"</definedName>
    <definedName name="IQ_CURRENCY_GAIN_UTI" hidden="1" function="0" vbProcedure="0">"c240"</definedName>
    <definedName name="IQ_CURRENT_PORT" hidden="1" function="0" vbProcedure="0">"c241"</definedName>
    <definedName name="IQ_CURRENT_PORT_BNK" hidden="1" function="0" vbProcedure="0">"c242"</definedName>
    <definedName name="IQ_CURRENT_PORT_DEBT" hidden="1" function="0" vbProcedure="0">"c243"</definedName>
    <definedName name="IQ_CURRENT_PORT_DEBT_BNK" hidden="1" function="0" vbProcedure="0">"c244"</definedName>
    <definedName name="IQ_CURRENT_PORT_DEBT_BR" hidden="1" function="0" vbProcedure="0">"c1567"</definedName>
    <definedName name="IQ_CURRENT_PORT_DEBT_FIN" hidden="1" function="0" vbProcedure="0">"c1568"</definedName>
    <definedName name="IQ_CURRENT_PORT_DEBT_INS" hidden="1" function="0" vbProcedure="0">"c1569"</definedName>
    <definedName name="IQ_CURRENT_PORT_DEBT_REIT" hidden="1" function="0" vbProcedure="0">"c1570"</definedName>
    <definedName name="IQ_CURRENT_PORT_DEBT_UTI" hidden="1" function="0" vbProcedure="0">"c1571"</definedName>
    <definedName name="IQ_CURRENT_PORT_LEASES" hidden="1" function="0" vbProcedure="0">"c245"</definedName>
    <definedName name="IQ_CURRENT_RATIO" hidden="1" function="0" vbProcedure="0">"c246"</definedName>
    <definedName name="IQ_CURR_DOMESTIC_TAXES" hidden="1" function="0" vbProcedure="0">"c2074"</definedName>
    <definedName name="IQ_CURR_FOREIGN_TAXES" hidden="1" function="0" vbProcedure="0">"c2075"</definedName>
    <definedName name="IQ_CY" hidden="1" function="0" vbProcedure="0">10000</definedName>
    <definedName name="IQ_DA" hidden="1" function="0" vbProcedure="0">"c247"</definedName>
    <definedName name="IQ_DAYS_COVER_SHORT" hidden="1" function="0" vbProcedure="0">"c1578"</definedName>
    <definedName name="IQ_DAYS_INVENTORY_OUT" hidden="1" function="0" vbProcedure="0">"c273"</definedName>
    <definedName name="IQ_DAYS_PAYABLE_OUT" hidden="1" function="0" vbProcedure="0">"c274"</definedName>
    <definedName name="IQ_DAYS_PAY_OUTST" hidden="1" function="0" vbProcedure="0">"c1362"</definedName>
    <definedName name="IQ_DAYS_SALES_OUT" hidden="1" function="0" vbProcedure="0">"c275"</definedName>
    <definedName name="IQ_DAYS_SALES_OUTST" hidden="1" function="0" vbProcedure="0">"c1363"</definedName>
    <definedName name="IQ_DA_BR" hidden="1" function="0" vbProcedure="0">"c248"</definedName>
    <definedName name="IQ_DA_CF" hidden="1" function="0" vbProcedure="0">"c249"</definedName>
    <definedName name="IQ_DA_CF_BNK" hidden="1" function="0" vbProcedure="0">"c250"</definedName>
    <definedName name="IQ_DA_CF_BR" hidden="1" function="0" vbProcedure="0">"c251"</definedName>
    <definedName name="IQ_DA_CF_FIN" hidden="1" function="0" vbProcedure="0">"c252"</definedName>
    <definedName name="IQ_DA_CF_INS" hidden="1" function="0" vbProcedure="0">"c253"</definedName>
    <definedName name="IQ_DA_CF_REIT" hidden="1" function="0" vbProcedure="0">"c254"</definedName>
    <definedName name="IQ_DA_CF_UTI" hidden="1" function="0" vbProcedure="0">"c255"</definedName>
    <definedName name="IQ_DA_FIN" hidden="1" function="0" vbProcedure="0">"c256"</definedName>
    <definedName name="IQ_DA_INS" hidden="1" function="0" vbProcedure="0">"c257"</definedName>
    <definedName name="IQ_DA_REIT" hidden="1" function="0" vbProcedure="0">"c258"</definedName>
    <definedName name="IQ_DA_SUPPL" hidden="1" function="0" vbProcedure="0">"c259"</definedName>
    <definedName name="IQ_DA_SUPPL_BR" hidden="1" function="0" vbProcedure="0">"c260"</definedName>
    <definedName name="IQ_DA_SUPPL_CF" hidden="1" function="0" vbProcedure="0">"c261"</definedName>
    <definedName name="IQ_DA_SUPPL_CF_BNK" hidden="1" function="0" vbProcedure="0">"c262"</definedName>
    <definedName name="IQ_DA_SUPPL_CF_BR" hidden="1" function="0" vbProcedure="0">"c263"</definedName>
    <definedName name="IQ_DA_SUPPL_CF_FIN" hidden="1" function="0" vbProcedure="0">"c264"</definedName>
    <definedName name="IQ_DA_SUPPL_CF_INS" hidden="1" function="0" vbProcedure="0">"c265"</definedName>
    <definedName name="IQ_DA_SUPPL_CF_REIT" hidden="1" function="0" vbProcedure="0">"c266"</definedName>
    <definedName name="IQ_DA_SUPPL_CF_UTI" hidden="1" function="0" vbProcedure="0">"c267"</definedName>
    <definedName name="IQ_DA_SUPPL_FIN" hidden="1" function="0" vbProcedure="0">"c268"</definedName>
    <definedName name="IQ_DA_SUPPL_INS" hidden="1" function="0" vbProcedure="0">"c269"</definedName>
    <definedName name="IQ_DA_SUPPL_REIT" hidden="1" function="0" vbProcedure="0">"c270"</definedName>
    <definedName name="IQ_DA_SUPPL_UTI" hidden="1" function="0" vbProcedure="0">"c271"</definedName>
    <definedName name="IQ_DA_UTI" hidden="1" function="0" vbProcedure="0">"c272"</definedName>
    <definedName name="IQ_DEFERRED_DOMESTIC_TAXES" hidden="1" function="0" vbProcedure="0">"c2077"</definedName>
    <definedName name="IQ_DEFERRED_FOREIGN_TAXES" hidden="1" function="0" vbProcedure="0">"c2078"</definedName>
    <definedName name="IQ_DEFERRED_INC_TAX" hidden="1" function="0" vbProcedure="0">"c1447"</definedName>
    <definedName name="IQ_DEFERRED_TAXES" hidden="1" function="0" vbProcedure="0">"c1356"</definedName>
    <definedName name="IQ_DEF_ACQ_CST" hidden="1" function="0" vbProcedure="0">"c1364"</definedName>
    <definedName name="IQ_DEF_AMORT" hidden="1" function="0" vbProcedure="0">"c276"</definedName>
    <definedName name="IQ_DEF_AMORT_BNK" hidden="1" function="0" vbProcedure="0">"c277"</definedName>
    <definedName name="IQ_DEF_AMORT_BR" hidden="1" function="0" vbProcedure="0">"c278"</definedName>
    <definedName name="IQ_DEF_AMORT_FIN" hidden="1" function="0" vbProcedure="0">"c279"</definedName>
    <definedName name="IQ_DEF_AMORT_INS" hidden="1" function="0" vbProcedure="0">"c280"</definedName>
    <definedName name="IQ_DEF_AMORT_REIT" hidden="1" function="0" vbProcedure="0">"c281"</definedName>
    <definedName name="IQ_DEF_AMORT_UTI" hidden="1" function="0" vbProcedure="0">"c282"</definedName>
    <definedName name="IQ_DEF_BENEFIT_INTEREST_COST" hidden="1" function="0" vbProcedure="0">"c283"</definedName>
    <definedName name="IQ_DEF_BENEFIT_OTHER_COST" hidden="1" function="0" vbProcedure="0">"c284"</definedName>
    <definedName name="IQ_DEF_BENEFIT_ROA" hidden="1" function="0" vbProcedure="0">"c285"</definedName>
    <definedName name="IQ_DEF_BENEFIT_SERVICE_COST" hidden="1" function="0" vbProcedure="0">"c286"</definedName>
    <definedName name="IQ_DEF_BENEFIT_TOTAL_COST" hidden="1" function="0" vbProcedure="0">"c287"</definedName>
    <definedName name="IQ_DEF_CHARGES_BR" hidden="1" function="0" vbProcedure="0">"c288"</definedName>
    <definedName name="IQ_DEF_CHARGES_CF" hidden="1" function="0" vbProcedure="0">"c289"</definedName>
    <definedName name="IQ_DEF_CHARGES_FIN" hidden="1" function="0" vbProcedure="0">"c290"</definedName>
    <definedName name="IQ_DEF_CHARGES_INS" hidden="1" function="0" vbProcedure="0">"c291"</definedName>
    <definedName name="IQ_DEF_CHARGES_LT" hidden="1" function="0" vbProcedure="0">"c292"</definedName>
    <definedName name="IQ_DEF_CHARGES_LT_BNK" hidden="1" function="0" vbProcedure="0">"c293"</definedName>
    <definedName name="IQ_DEF_CHARGES_LT_BR" hidden="1" function="0" vbProcedure="0">"c294"</definedName>
    <definedName name="IQ_DEF_CHARGES_LT_FIN" hidden="1" function="0" vbProcedure="0">"c295"</definedName>
    <definedName name="IQ_DEF_CHARGES_LT_INS" hidden="1" function="0" vbProcedure="0">"c296"</definedName>
    <definedName name="IQ_DEF_CHARGES_LT_REIT" hidden="1" function="0" vbProcedure="0">"c297"</definedName>
    <definedName name="IQ_DEF_CHARGES_LT_UTI" hidden="1" function="0" vbProcedure="0">"c298"</definedName>
    <definedName name="IQ_DEF_CHARGES_REIT" hidden="1" function="0" vbProcedure="0">"c299"</definedName>
    <definedName name="IQ_DEF_CONTRIBUTION_TOTAL_COST" hidden="1" function="0" vbProcedure="0">"c300"</definedName>
    <definedName name="IQ_DEF_INC_TAX" hidden="1" function="0" vbProcedure="0">"c1365"</definedName>
    <definedName name="IQ_DEF_POLICY_ACQ_COSTS" hidden="1" function="0" vbProcedure="0">"c301"</definedName>
    <definedName name="IQ_DEF_POLICY_ACQ_COSTS_CF" hidden="1" function="0" vbProcedure="0">"c302"</definedName>
    <definedName name="IQ_DEF_POLICY_AMORT" hidden="1" function="0" vbProcedure="0">"c303"</definedName>
    <definedName name="IQ_DEF_TAX_ASSETS_CURRENT" hidden="1" function="0" vbProcedure="0">"c309"</definedName>
    <definedName name="IQ_DEF_TAX_ASSETS_LT" hidden="1" function="0" vbProcedure="0">"c310"</definedName>
    <definedName name="IQ_DEF_TAX_ASSETS_LT_BNK" hidden="1" function="0" vbProcedure="0">"c311"</definedName>
    <definedName name="IQ_DEF_TAX_ASSET_LT_BR" hidden="1" function="0" vbProcedure="0">"c304"</definedName>
    <definedName name="IQ_DEF_TAX_ASSET_LT_FIN" hidden="1" function="0" vbProcedure="0">"c305"</definedName>
    <definedName name="IQ_DEF_TAX_ASSET_LT_INS" hidden="1" function="0" vbProcedure="0">"c306"</definedName>
    <definedName name="IQ_DEF_TAX_ASSET_LT_REIT" hidden="1" function="0" vbProcedure="0">"c307"</definedName>
    <definedName name="IQ_DEF_TAX_ASSET_LT_UTI" hidden="1" function="0" vbProcedure="0">"c308"</definedName>
    <definedName name="IQ_DEF_TAX_LIAB_CURRENT" hidden="1" function="0" vbProcedure="0">"c312"</definedName>
    <definedName name="IQ_DEF_TAX_LIAB_LT" hidden="1" function="0" vbProcedure="0">"c313"</definedName>
    <definedName name="IQ_DEF_TAX_LIAB_LT_BNK" hidden="1" function="0" vbProcedure="0">"c314"</definedName>
    <definedName name="IQ_DEF_TAX_LIAB_LT_BR" hidden="1" function="0" vbProcedure="0">"c315"</definedName>
    <definedName name="IQ_DEF_TAX_LIAB_LT_FIN" hidden="1" function="0" vbProcedure="0">"c316"</definedName>
    <definedName name="IQ_DEF_TAX_LIAB_LT_INS" hidden="1" function="0" vbProcedure="0">"c317"</definedName>
    <definedName name="IQ_DEF_TAX_LIAB_LT_REIT" hidden="1" function="0" vbProcedure="0">"c318"</definedName>
    <definedName name="IQ_DEF_TAX_LIAB_LT_UTI" hidden="1" function="0" vbProcedure="0">"c319"</definedName>
    <definedName name="IQ_DEMAND_DEP" hidden="1" function="0" vbProcedure="0">"c320"</definedName>
    <definedName name="IQ_DEPOSITS_FIN" hidden="1" function="0" vbProcedure="0">"c321"</definedName>
    <definedName name="IQ_DEPRE_AMORT" hidden="1" function="0" vbProcedure="0">"c1360"</definedName>
    <definedName name="IQ_DEPRE_AMORT_SUPPL" hidden="1" function="0" vbProcedure="0">"c1593"</definedName>
    <definedName name="IQ_DEPRE_DEPLE" hidden="1" function="0" vbProcedure="0">"c1361"</definedName>
    <definedName name="IQ_DEPRE_SUPP" hidden="1" function="0" vbProcedure="0">"c1443"</definedName>
    <definedName name="IQ_DESCRIPTION_LONG" hidden="1" function="0" vbProcedure="0">"c1520"</definedName>
    <definedName name="IQ_DEVELOP_LAND" hidden="1" function="0" vbProcedure="0">"c323"</definedName>
    <definedName name="IQ_DIFF_LASTCLOSE_TARGET_PRICE" hidden="1" function="0" vbProcedure="0">"c1854"</definedName>
    <definedName name="IQ_DILUT_ADJUST" hidden="1" function="0" vbProcedure="0">"c1621"</definedName>
    <definedName name="IQ_DILUT_EPS_EXCL" hidden="1" function="0" vbProcedure="0">"c324"</definedName>
    <definedName name="IQ_DILUT_EPS_INCL" hidden="1" function="0" vbProcedure="0">"c325"</definedName>
    <definedName name="IQ_DILUT_EPS_NORM" hidden="1" function="0" vbProcedure="0">"c1903"</definedName>
    <definedName name="IQ_DILUT_NI" hidden="1" function="0" vbProcedure="0">"c2079"</definedName>
    <definedName name="IQ_DILUT_NORMAL_EPS" hidden="1" function="0" vbProcedure="0">"c1594"</definedName>
    <definedName name="IQ_DILUT_WEIGHT" hidden="1" function="0" vbProcedure="0">"c326"</definedName>
    <definedName name="IQ_DISCONT_OPER" hidden="1" function="0" vbProcedure="0">"c1367"</definedName>
    <definedName name="IQ_DISCOUNT_RATE_PENSION_DOMESTIC" hidden="1" function="0" vbProcedure="0">"c327"</definedName>
    <definedName name="IQ_DISCOUNT_RATE_PENSION_FOREIGN" hidden="1" function="0" vbProcedure="0">"c328"</definedName>
    <definedName name="IQ_DISTR_EXCESS_EARN" hidden="1" function="0" vbProcedure="0">"c329"</definedName>
    <definedName name="IQ_DIVEST_CF" hidden="1" function="0" vbProcedure="0">"c331"</definedName>
    <definedName name="IQ_DIVIDEND_YIELD" hidden="1" function="0" vbProcedure="0">"c332"</definedName>
    <definedName name="IQ_DIVID_SHARE" hidden="1" function="0" vbProcedure="0">"c1366"</definedName>
    <definedName name="IQ_DIV_PAYMENT_DATE" hidden="1" function="0" vbProcedure="0">"c2106"</definedName>
    <definedName name="IQ_DIV_RECORD_DATE" hidden="1" function="0" vbProcedure="0">"c2105"</definedName>
    <definedName name="IQ_DIV_SHARE" hidden="1" function="0" vbProcedure="0">"c330"</definedName>
    <definedName name="IQ_DO" hidden="1" function="0" vbProcedure="0">"c333"</definedName>
    <definedName name="IQ_DO_ASSETS_CURRENT" hidden="1" function="0" vbProcedure="0">"c334"</definedName>
    <definedName name="IQ_DO_ASSETS_LT" hidden="1" function="0" vbProcedure="0">"c335"</definedName>
    <definedName name="IQ_DO_CF" hidden="1" function="0" vbProcedure="0">"c336"</definedName>
    <definedName name="IQ_DPS_10YR_ANN_GROWTH" hidden="1" function="0" vbProcedure="0">"c337"</definedName>
    <definedName name="IQ_DPS_1YR_ANN_GROWTH" hidden="1" function="0" vbProcedure="0">"c338"</definedName>
    <definedName name="IQ_DPS_2YR_ANN_GROWTH" hidden="1" function="0" vbProcedure="0">"c339"</definedName>
    <definedName name="IQ_DPS_3YR_ANN_GROWTH" hidden="1" function="0" vbProcedure="0">"c340"</definedName>
    <definedName name="IQ_DPS_5YR_ANN_GROWTH" hidden="1" function="0" vbProcedure="0">"c341"</definedName>
    <definedName name="IQ_DPS_7YR_ANN_GROWTH" hidden="1" function="0" vbProcedure="0">"c342"</definedName>
    <definedName name="IQ_EARNINGS_ANNOUNCE_DATE" hidden="1" function="0" vbProcedure="0">"c1649"</definedName>
    <definedName name="IQ_EARNING_ASSET_YIELD" hidden="1" function="0" vbProcedure="0">"c343"</definedName>
    <definedName name="IQ_EARNING_CO" hidden="1" function="0" vbProcedure="0">"c344"</definedName>
    <definedName name="IQ_EARNING_CO_10YR_ANN_GROWTH" hidden="1" function="0" vbProcedure="0">"c345"</definedName>
    <definedName name="IQ_EARNING_CO_1YR_ANN_GROWTH" hidden="1" function="0" vbProcedure="0">"c346"</definedName>
    <definedName name="IQ_EARNING_CO_2YR_ANN_GROWTH" hidden="1" function="0" vbProcedure="0">"c347"</definedName>
    <definedName name="IQ_EARNING_CO_3YR_ANN_GROWTH" hidden="1" function="0" vbProcedure="0">"c348"</definedName>
    <definedName name="IQ_EARNING_CO_5YR_ANN_GROWTH" hidden="1" function="0" vbProcedure="0">"c349"</definedName>
    <definedName name="IQ_EARNING_CO_7YR_ANN_GROWTH" hidden="1" function="0" vbProcedure="0">"c350"</definedName>
    <definedName name="IQ_EARNING_CO_MARGIN" hidden="1" function="0" vbProcedure="0">"c351"</definedName>
    <definedName name="IQ_EBIT" hidden="1" function="0" vbProcedure="0">"c352"</definedName>
    <definedName name="IQ_EBITA" hidden="1" function="0" vbProcedure="0">"c1910"</definedName>
    <definedName name="IQ_EBITA_10YR_ANN_GROWTH" hidden="1" function="0" vbProcedure="0">"c1954"</definedName>
    <definedName name="IQ_EBITA_1YR_ANN_GROWTH" hidden="1" function="0" vbProcedure="0">"c1949"</definedName>
    <definedName name="IQ_EBITA_2YR_ANN_GROWTH" hidden="1" function="0" vbProcedure="0">"c1950"</definedName>
    <definedName name="IQ_EBITA_3YR_ANN_GROWTH" hidden="1" function="0" vbProcedure="0">"c1951"</definedName>
    <definedName name="IQ_EBITA_5YR_ANN_GROWTH" hidden="1" function="0" vbProcedure="0">"c1952"</definedName>
    <definedName name="IQ_EBITA_7YR_ANN_GROWTH" hidden="1" function="0" vbProcedure="0">"c1953"</definedName>
    <definedName name="IQ_EBITA_MARGIN" hidden="1" function="0" vbProcedure="0">"c1963"</definedName>
    <definedName name="IQ_EBITDA" hidden="1" function="0" vbProcedure="0">"c361"</definedName>
    <definedName name="IQ_EBITDA_10YR_ANN_GROWTH" hidden="1" function="0" vbProcedure="0">"c362"</definedName>
    <definedName name="IQ_EBITDA_1YR_ANN_GROWTH" hidden="1" function="0" vbProcedure="0">"c363"</definedName>
    <definedName name="IQ_EBITDA_2YR_ANN_GROWTH" hidden="1" function="0" vbProcedure="0">"c364"</definedName>
    <definedName name="IQ_EBITDA_3YR_ANN_GROWTH" hidden="1" function="0" vbProcedure="0">"c365"</definedName>
    <definedName name="IQ_EBITDA_5YR_ANN_GROWTH" hidden="1" function="0" vbProcedure="0">"c366"</definedName>
    <definedName name="IQ_EBITDA_7YR_ANN_GROWTH" hidden="1" function="0" vbProcedure="0">"c367"</definedName>
    <definedName name="IQ_EBITDA_CAPEX_INT" hidden="1" function="0" vbProcedure="0">"c368"</definedName>
    <definedName name="IQ_EBITDA_CAPEX_OVER_TOTAL_IE" hidden="1" function="0" vbProcedure="0">"c1370"</definedName>
    <definedName name="IQ_EBITDA_INT" hidden="1" function="0" vbProcedure="0">"c373"</definedName>
    <definedName name="IQ_EBITDA_MARGIN" hidden="1" function="0" vbProcedure="0">"c372"</definedName>
    <definedName name="IQ_EBITDA_OVER_TOTAL_IE" hidden="1" function="0" vbProcedure="0">"c1371"</definedName>
    <definedName name="IQ_EBIT_10YR_ANN_GROWTH" hidden="1" function="0" vbProcedure="0">"c353"</definedName>
    <definedName name="IQ_EBIT_1YR_ANN_GROWTH" hidden="1" function="0" vbProcedure="0">"c354"</definedName>
    <definedName name="IQ_EBIT_2YR_ANN_GROWTH" hidden="1" function="0" vbProcedure="0">"c355"</definedName>
    <definedName name="IQ_EBIT_3YR_ANN_GROWTH" hidden="1" function="0" vbProcedure="0">"c356"</definedName>
    <definedName name="IQ_EBIT_5YR_ANN_GROWTH" hidden="1" function="0" vbProcedure="0">"c357"</definedName>
    <definedName name="IQ_EBIT_7YR_ANN_GROWTH" hidden="1" function="0" vbProcedure="0">"c358"</definedName>
    <definedName name="IQ_EBIT_INT" hidden="1" function="0" vbProcedure="0">"c360"</definedName>
    <definedName name="IQ_EBIT_MARGIN" hidden="1" function="0" vbProcedure="0">"c359"</definedName>
    <definedName name="IQ_EBIT_OVER_IE" hidden="1" function="0" vbProcedure="0">"c1369"</definedName>
    <definedName name="IQ_EBT" hidden="1" function="0" vbProcedure="0">"c376"</definedName>
    <definedName name="IQ_EBT_BNK" hidden="1" function="0" vbProcedure="0">"c377"</definedName>
    <definedName name="IQ_EBT_BR" hidden="1" function="0" vbProcedure="0">"c378"</definedName>
    <definedName name="IQ_EBT_EXCL" hidden="1" function="0" vbProcedure="0">"c379"</definedName>
    <definedName name="IQ_EBT_EXCL_BNK" hidden="1" function="0" vbProcedure="0">"c380"</definedName>
    <definedName name="IQ_EBT_EXCL_BR" hidden="1" function="0" vbProcedure="0">"c381"</definedName>
    <definedName name="IQ_EBT_EXCL_FIN" hidden="1" function="0" vbProcedure="0">"c382"</definedName>
    <definedName name="IQ_EBT_EXCL_INS" hidden="1" function="0" vbProcedure="0">"c383"</definedName>
    <definedName name="IQ_EBT_EXCL_MARGIN" hidden="1" function="0" vbProcedure="0">"c1462"</definedName>
    <definedName name="IQ_EBT_EXCL_REIT" hidden="1" function="0" vbProcedure="0">"c384"</definedName>
    <definedName name="IQ_EBT_EXCL_UTI" hidden="1" function="0" vbProcedure="0">"c385"</definedName>
    <definedName name="IQ_EBT_FIN" hidden="1" function="0" vbProcedure="0">"c386"</definedName>
    <definedName name="IQ_EBT_INCL_MARGIN" hidden="1" function="0" vbProcedure="0">"c387"</definedName>
    <definedName name="IQ_EBT_INS" hidden="1" function="0" vbProcedure="0">"c388"</definedName>
    <definedName name="IQ_EBT_REIT" hidden="1" function="0" vbProcedure="0">"c389"</definedName>
    <definedName name="IQ_EBT_UTI" hidden="1" function="0" vbProcedure="0">"c390"</definedName>
    <definedName name="IQ_EFFECT_SPECIAL_CHARGE" hidden="1" function="0" vbProcedure="0">"c1595"</definedName>
    <definedName name="IQ_EFFECT_TAX_RATE" hidden="1" function="0" vbProcedure="0">"c1899"</definedName>
    <definedName name="IQ_EFFICIENCY_RATIO" hidden="1" function="0" vbProcedure="0">"c391"</definedName>
    <definedName name="IQ_EMPLOYEES" hidden="1" function="0" vbProcedure="0">"c392"</definedName>
    <definedName name="IQ_ENTERPRISE_VALUE" hidden="1" function="0" vbProcedure="0">"c1348"</definedName>
    <definedName name="IQ_EPS_10YR_ANN_GROWTH" hidden="1" function="0" vbProcedure="0">"c393"</definedName>
    <definedName name="IQ_EPS_1YR_ANN_GROWTH" hidden="1" function="0" vbProcedure="0">"c394"</definedName>
    <definedName name="IQ_EPS_2YR_ANN_GROWTH" hidden="1" function="0" vbProcedure="0">"c395"</definedName>
    <definedName name="IQ_EPS_3YR_ANN_GROWTH" hidden="1" function="0" vbProcedure="0">"c396"</definedName>
    <definedName name="IQ_EPS_5YR_ANN_GROWTH" hidden="1" function="0" vbProcedure="0">"c397"</definedName>
    <definedName name="IQ_EPS_7YR_ANN_GROWTH" hidden="1" function="0" vbProcedure="0">"c398"</definedName>
    <definedName name="IQ_EPS_EST" hidden="1" function="0" vbProcedure="0">"c399"</definedName>
    <definedName name="IQ_EPS_HIGH_EST" hidden="1" function="0" vbProcedure="0">"c400"</definedName>
    <definedName name="IQ_EPS_LOW_EST" hidden="1" function="0" vbProcedure="0">"c401"</definedName>
    <definedName name="IQ_EPS_MEDIAN_EST" hidden="1" function="0" vbProcedure="0">"c1661"</definedName>
    <definedName name="IQ_EPS_NORM" hidden="1" function="0" vbProcedure="0">"c1902"</definedName>
    <definedName name="IQ_EPS_NUM_EST" hidden="1" function="0" vbProcedure="0">"c402"</definedName>
    <definedName name="IQ_EPS_STDDEV_EST" hidden="1" function="0" vbProcedure="0">"c403"</definedName>
    <definedName name="IQ_EQUITY_AFFIL" hidden="1" function="0" vbProcedure="0">"c1451"</definedName>
    <definedName name="IQ_EQUITY_METHOD" hidden="1" function="0" vbProcedure="0">"c404"</definedName>
    <definedName name="IQ_EQV_OVER_BV" hidden="1" function="0" vbProcedure="0">"c1596"</definedName>
    <definedName name="IQ_EQV_OVER_LTM_PRETAX_INC" hidden="1" function="0" vbProcedure="0">"c1390"</definedName>
    <definedName name="IQ_ESOP_DEBT" hidden="1" function="0" vbProcedure="0">"c1597"</definedName>
    <definedName name="IQ_EST_ACT_EPS" hidden="1" function="0" vbProcedure="0">"c1648"</definedName>
    <definedName name="IQ_EST_CURRENCY" hidden="1" function="0" vbProcedure="0">"c2140"</definedName>
    <definedName name="IQ_EST_DATE" hidden="1" function="0" vbProcedure="0">"c1634"</definedName>
    <definedName name="IQ_EST_EPS_DIFF" hidden="1" function="0" vbProcedure="0">"c1864"</definedName>
    <definedName name="IQ_EST_EPS_GROWTH_1YR" hidden="1" function="0" vbProcedure="0">"c1636"</definedName>
    <definedName name="IQ_EST_EPS_GROWTH_5YR" hidden="1" function="0" vbProcedure="0">"c1655"</definedName>
    <definedName name="IQ_EST_EPS_GROWTH_5YR_HIGH" hidden="1" function="0" vbProcedure="0">"c1657"</definedName>
    <definedName name="IQ_EST_EPS_GROWTH_5YR_LOW" hidden="1" function="0" vbProcedure="0">"c1658"</definedName>
    <definedName name="IQ_EST_EPS_GROWTH_5YR_MEDIAN" hidden="1" function="0" vbProcedure="0">"c1656"</definedName>
    <definedName name="IQ_EST_EPS_GROWTH_5YR_NUM" hidden="1" function="0" vbProcedure="0">"c1659"</definedName>
    <definedName name="IQ_EST_EPS_GROWTH_5YR_STDDEV" hidden="1" function="0" vbProcedure="0">"c1660"</definedName>
    <definedName name="IQ_EST_EPS_GROWTH_Q_1YR" hidden="1" function="0" vbProcedure="0">"c1641"</definedName>
    <definedName name="IQ_EV_OVER_EMPLOYEE" hidden="1" function="0" vbProcedure="0">"c1428"</definedName>
    <definedName name="IQ_EV_OVER_LTM_EBIT" hidden="1" function="0" vbProcedure="0">"c1426"</definedName>
    <definedName name="IQ_EV_OVER_LTM_EBITDA" hidden="1" function="0" vbProcedure="0">"c1427"</definedName>
    <definedName name="IQ_EV_OVER_LTM_REVENUE" hidden="1" function="0" vbProcedure="0">"c1429"</definedName>
    <definedName name="IQ_EXCHANGE" hidden="1" function="0" vbProcedure="0">"c405"</definedName>
    <definedName name="IQ_EXERCISED" hidden="1" function="0" vbProcedure="0">"c406"</definedName>
    <definedName name="IQ_EXERCISE_PRICE" hidden="1" function="0" vbProcedure="0">"c1897"</definedName>
    <definedName name="IQ_EXPLORE_DRILL" hidden="1" function="0" vbProcedure="0">"c409"</definedName>
    <definedName name="IQ_EXP_RETURN_PENSION_DOMESTIC" hidden="1" function="0" vbProcedure="0">"c407"</definedName>
    <definedName name="IQ_EXP_RETURN_PENSION_FOREIGN" hidden="1" function="0" vbProcedure="0">"c408"</definedName>
    <definedName name="IQ_EXTRA_ACC_ITEMS" hidden="1" function="0" vbProcedure="0">"c410"</definedName>
    <definedName name="IQ_EXTRA_ACC_ITEMS_BNK" hidden="1" function="0" vbProcedure="0">"c411"</definedName>
    <definedName name="IQ_EXTRA_ACC_ITEMS_BR" hidden="1" function="0" vbProcedure="0">"c412"</definedName>
    <definedName name="IQ_EXTRA_ACC_ITEMS_FIN" hidden="1" function="0" vbProcedure="0">"c413"</definedName>
    <definedName name="IQ_EXTRA_ACC_ITEMS_INS" hidden="1" function="0" vbProcedure="0">"c414"</definedName>
    <definedName name="IQ_EXTRA_ACC_ITEMS_REIT" hidden="1" function="0" vbProcedure="0">"c415"</definedName>
    <definedName name="IQ_EXTRA_ACC_ITEMS_UTI" hidden="1" function="0" vbProcedure="0">"c416"</definedName>
    <definedName name="IQ_EXTRA_ITEMS" hidden="1" function="0" vbProcedure="0">"c1459"</definedName>
    <definedName name="IQ_FDIC" hidden="1" function="0" vbProcedure="0">"c417"</definedName>
    <definedName name="IQ_FFO" hidden="1" function="0" vbProcedure="0">"c1574"</definedName>
    <definedName name="IQ_FHLB_DEBT" hidden="1" function="0" vbProcedure="0">"c423"</definedName>
    <definedName name="IQ_FHLB_DUE_CY" hidden="1" function="0" vbProcedure="0">"c2080"</definedName>
    <definedName name="IQ_FHLB_DUE_CY1" hidden="1" function="0" vbProcedure="0">"c2081"</definedName>
    <definedName name="IQ_FHLB_DUE_CY2" hidden="1" function="0" vbProcedure="0">"c2082"</definedName>
    <definedName name="IQ_FHLB_DUE_CY3" hidden="1" function="0" vbProcedure="0">"c2083"</definedName>
    <definedName name="IQ_FHLB_DUE_CY4" hidden="1" function="0" vbProcedure="0">"c2084"</definedName>
    <definedName name="IQ_FHLB_DUE_NEXT_FIVE" hidden="1" function="0" vbProcedure="0">"c2085"</definedName>
    <definedName name="IQ_FILINGDATE_BS" hidden="1" function="0" vbProcedure="0">"c424"</definedName>
    <definedName name="IQ_FILINGDATE_CF" hidden="1" function="0" vbProcedure="0">"c425"</definedName>
    <definedName name="IQ_FILINGDATE_IS" hidden="1" function="0" vbProcedure="0">"c426"</definedName>
    <definedName name="IQ_FILING_CURRENCY" hidden="1" function="0" vbProcedure="0">"c2129"</definedName>
    <definedName name="IQ_FINANCING_CASH" hidden="1" function="0" vbProcedure="0">"c1405"</definedName>
    <definedName name="IQ_FINANCING_CASH_SUPPL" hidden="1" function="0" vbProcedure="0">"c1406"</definedName>
    <definedName name="IQ_FINISHED_INV" hidden="1" function="0" vbProcedure="0">"c438"</definedName>
    <definedName name="IQ_FIN_DIV_ASSETS_CURRENT" hidden="1" function="0" vbProcedure="0">"c427"</definedName>
    <definedName name="IQ_FIN_DIV_ASSETS_LT" hidden="1" function="0" vbProcedure="0">"c428"</definedName>
    <definedName name="IQ_FIN_DIV_DEBT_CURRENT" hidden="1" function="0" vbProcedure="0">"c429"</definedName>
    <definedName name="IQ_FIN_DIV_DEBT_LT" hidden="1" function="0" vbProcedure="0">"c430"</definedName>
    <definedName name="IQ_FIN_DIV_EXP" hidden="1" function="0" vbProcedure="0">"c431"</definedName>
    <definedName name="IQ_FIN_DIV_INT_EXP" hidden="1" function="0" vbProcedure="0">"c432"</definedName>
    <definedName name="IQ_FIN_DIV_LIAB_CURRENT" hidden="1" function="0" vbProcedure="0">"c433"</definedName>
    <definedName name="IQ_FIN_DIV_LIAB_LT" hidden="1" function="0" vbProcedure="0">"c434"</definedName>
    <definedName name="IQ_FIN_DIV_LOANS_CURRENT" hidden="1" function="0" vbProcedure="0">"c435"</definedName>
    <definedName name="IQ_FIN_DIV_LOANS_LT" hidden="1" function="0" vbProcedure="0">"c436"</definedName>
    <definedName name="IQ_FIN_DIV_REV" hidden="1" function="0" vbProcedure="0">"c437"</definedName>
    <definedName name="IQ_FIRST_YEAR_LIFE" hidden="1" function="0" vbProcedure="0">"c439"</definedName>
    <definedName name="IQ_FISCAL_Q" hidden="1" function="0" vbProcedure="0">"c440"</definedName>
    <definedName name="IQ_FISCAL_Y" hidden="1" function="0" vbProcedure="0">"c441"</definedName>
    <definedName name="IQ_FIVEPERCENT_PERCENT" hidden="1" function="0" vbProcedure="0">"c443"</definedName>
    <definedName name="IQ_FIVEPERCENT_SHARES" hidden="1" function="0" vbProcedure="0">"c444"</definedName>
    <definedName name="IQ_FIVE_PERCENT_OWNER" hidden="1" function="0" vbProcedure="0">"c442"</definedName>
    <definedName name="IQ_FIXED_ASSET_TURNS" hidden="1" function="0" vbProcedure="0">"c445"</definedName>
    <definedName name="IQ_FLOAT_PERCENT" hidden="1" function="0" vbProcedure="0">"c1575"</definedName>
    <definedName name="IQ_FOREIGN_DEP_IB" hidden="1" function="0" vbProcedure="0">"c446"</definedName>
    <definedName name="IQ_FOREIGN_DEP_NON_IB" hidden="1" function="0" vbProcedure="0">"c447"</definedName>
    <definedName name="IQ_FOREIGN_EXCHANGE" hidden="1" function="0" vbProcedure="0">"c1376"</definedName>
    <definedName name="IQ_FOREIGN_LOANS" hidden="1" function="0" vbProcedure="0">"c448"</definedName>
    <definedName name="IQ_FQ" hidden="1" function="0" vbProcedure="0">500</definedName>
    <definedName name="IQ_FUEL" hidden="1" function="0" vbProcedure="0">"c449"</definedName>
    <definedName name="IQ_FULL_TIME" hidden="1" function="0" vbProcedure="0">"c450"</definedName>
    <definedName name="IQ_FWD_CY" hidden="1" function="0" vbProcedure="0">10001</definedName>
    <definedName name="IQ_FWD_CY1" hidden="1" function="0" vbProcedure="0">10002</definedName>
    <definedName name="IQ_FWD_CY2" hidden="1" function="0" vbProcedure="0">10003</definedName>
    <definedName name="IQ_FWD_FY" hidden="1" function="0" vbProcedure="0">1001</definedName>
    <definedName name="IQ_FWD_FY1" hidden="1" function="0" vbProcedure="0">1002</definedName>
    <definedName name="IQ_FWD_FY2" hidden="1" function="0" vbProcedure="0">1003</definedName>
    <definedName name="IQ_FWD_Q" hidden="1" function="0" vbProcedure="0">501</definedName>
    <definedName name="IQ_FWD_Q1" hidden="1" function="0" vbProcedure="0">502</definedName>
    <definedName name="IQ_FWD_Q2" hidden="1" function="0" vbProcedure="0">503</definedName>
    <definedName name="IQ_FX" hidden="1" function="0" vbProcedure="0">"c451"</definedName>
    <definedName name="IQ_FY" hidden="1" function="0" vbProcedure="0">1000</definedName>
    <definedName name="IQ_GAIN_ASSETS" hidden="1" function="0" vbProcedure="0">"c452"</definedName>
    <definedName name="IQ_GAIN_ASSETS_BNK" hidden="1" function="0" vbProcedure="0">"c453"</definedName>
    <definedName name="IQ_GAIN_ASSETS_BR" hidden="1" function="0" vbProcedure="0">"c454"</definedName>
    <definedName name="IQ_GAIN_ASSETS_CF" hidden="1" function="0" vbProcedure="0">"c455"</definedName>
    <definedName name="IQ_GAIN_ASSETS_CF_BNK" hidden="1" function="0" vbProcedure="0">"c456"</definedName>
    <definedName name="IQ_GAIN_ASSETS_CF_BR" hidden="1" function="0" vbProcedure="0">"c457"</definedName>
    <definedName name="IQ_GAIN_ASSETS_CF_FIN" hidden="1" function="0" vbProcedure="0">"c458"</definedName>
    <definedName name="IQ_GAIN_ASSETS_CF_INS" hidden="1" function="0" vbProcedure="0">"c459"</definedName>
    <definedName name="IQ_GAIN_ASSETS_CF_REIT" hidden="1" function="0" vbProcedure="0">"c460"</definedName>
    <definedName name="IQ_GAIN_ASSETS_CF_UTI" hidden="1" function="0" vbProcedure="0">"c461"</definedName>
    <definedName name="IQ_GAIN_ASSETS_FIN" hidden="1" function="0" vbProcedure="0">"c462"</definedName>
    <definedName name="IQ_GAIN_ASSETS_INS" hidden="1" function="0" vbProcedure="0">"c463"</definedName>
    <definedName name="IQ_GAIN_ASSETS_REIT" hidden="1" function="0" vbProcedure="0">"c471"</definedName>
    <definedName name="IQ_GAIN_ASSETS_REV" hidden="1" function="0" vbProcedure="0">"c472"</definedName>
    <definedName name="IQ_GAIN_ASSETS_REV_BNK" hidden="1" function="0" vbProcedure="0">"c473"</definedName>
    <definedName name="IQ_GAIN_ASSETS_REV_BR" hidden="1" function="0" vbProcedure="0">"c474"</definedName>
    <definedName name="IQ_GAIN_ASSETS_REV_FIN" hidden="1" function="0" vbProcedure="0">"c475"</definedName>
    <definedName name="IQ_GAIN_ASSETS_REV_INS" hidden="1" function="0" vbProcedure="0">"c476"</definedName>
    <definedName name="IQ_GAIN_ASSETS_REV_REIT" hidden="1" function="0" vbProcedure="0">"c477"</definedName>
    <definedName name="IQ_GAIN_ASSETS_REV_UTI" hidden="1" function="0" vbProcedure="0">"c478"</definedName>
    <definedName name="IQ_GAIN_ASSETS_UTI" hidden="1" function="0" vbProcedure="0">"c479"</definedName>
    <definedName name="IQ_GAIN_INVEST" hidden="1" function="0" vbProcedure="0">"c1463"</definedName>
    <definedName name="IQ_GAIN_INVEST_BNK" hidden="1" function="0" vbProcedure="0">"c1582"</definedName>
    <definedName name="IQ_GAIN_INVEST_BR" hidden="1" function="0" vbProcedure="0">"c1464"</definedName>
    <definedName name="IQ_GAIN_INVEST_CF" hidden="1" function="0" vbProcedure="0">"c480"</definedName>
    <definedName name="IQ_GAIN_INVEST_CF_BNK" hidden="1" function="0" vbProcedure="0">"c481"</definedName>
    <definedName name="IQ_GAIN_INVEST_CF_BR" hidden="1" function="0" vbProcedure="0">"c482"</definedName>
    <definedName name="IQ_GAIN_INVEST_CF_FIN" hidden="1" function="0" vbProcedure="0">"c483"</definedName>
    <definedName name="IQ_GAIN_INVEST_CF_INS" hidden="1" function="0" vbProcedure="0">"c484"</definedName>
    <definedName name="IQ_GAIN_INVEST_CF_REIT" hidden="1" function="0" vbProcedure="0">"c485"</definedName>
    <definedName name="IQ_GAIN_INVEST_CF_UTI" hidden="1" function="0" vbProcedure="0">"c486"</definedName>
    <definedName name="IQ_GAIN_INVEST_FIN" hidden="1" function="0" vbProcedure="0">"c1465"</definedName>
    <definedName name="IQ_GAIN_INVEST_INS" hidden="1" function="0" vbProcedure="0">"c1466"</definedName>
    <definedName name="IQ_GAIN_INVEST_REIT" hidden="1" function="0" vbProcedure="0">"c1467"</definedName>
    <definedName name="IQ_GAIN_INVEST_REV" hidden="1" function="0" vbProcedure="0">"c494"</definedName>
    <definedName name="IQ_GAIN_INVEST_REV_BNK" hidden="1" function="0" vbProcedure="0">"c495"</definedName>
    <definedName name="IQ_GAIN_INVEST_REV_BR" hidden="1" function="0" vbProcedure="0">"c496"</definedName>
    <definedName name="IQ_GAIN_INVEST_REV_FIN" hidden="1" function="0" vbProcedure="0">"c497"</definedName>
    <definedName name="IQ_GAIN_INVEST_REV_INS" hidden="1" function="0" vbProcedure="0">"c498"</definedName>
    <definedName name="IQ_GAIN_INVEST_REV_REIT" hidden="1" function="0" vbProcedure="0">"c499"</definedName>
    <definedName name="IQ_GAIN_INVEST_REV_UTI" hidden="1" function="0" vbProcedure="0">"c500"</definedName>
    <definedName name="IQ_GAIN_INVEST_UTI" hidden="1" function="0" vbProcedure="0">"c1468"</definedName>
    <definedName name="IQ_GAIN_LOANS_REC" hidden="1" function="0" vbProcedure="0">"c501"</definedName>
    <definedName name="IQ_GAIN_LOANS_RECEIV" hidden="1" function="0" vbProcedure="0">"c502"</definedName>
    <definedName name="IQ_GAIN_LOANS_RECEIV_REV_FIN" hidden="1" function="0" vbProcedure="0">"c503"</definedName>
    <definedName name="IQ_GAIN_LOANS_REV" hidden="1" function="0" vbProcedure="0">"c504"</definedName>
    <definedName name="IQ_GAIN_SALE_ASSETS" hidden="1" function="0" vbProcedure="0">"c1377"</definedName>
    <definedName name="IQ_GOODWILL_NET" hidden="1" function="0" vbProcedure="0">"c1380"</definedName>
    <definedName name="IQ_GP" hidden="1" function="0" vbProcedure="0">"c511"</definedName>
    <definedName name="IQ_GPPE" hidden="1" function="0" vbProcedure="0">"c518"</definedName>
    <definedName name="IQ_GP_10YR_ANN_GROWTH" hidden="1" function="0" vbProcedure="0">"c512"</definedName>
    <definedName name="IQ_GP_1YR_ANN_GROWTH" hidden="1" function="0" vbProcedure="0">"c513"</definedName>
    <definedName name="IQ_GP_2YR_ANN_GROWTH" hidden="1" function="0" vbProcedure="0">"c514"</definedName>
    <definedName name="IQ_GP_3YR_ANN_GROWTH" hidden="1" function="0" vbProcedure="0">"c515"</definedName>
    <definedName name="IQ_GP_5YR_ANN_GROWTH" hidden="1" function="0" vbProcedure="0">"c516"</definedName>
    <definedName name="IQ_GP_7YR_ANN_GROWTH" hidden="1" function="0" vbProcedure="0">"c517"</definedName>
    <definedName name="IQ_GROSS_DIVID" hidden="1" function="0" vbProcedure="0">"c1446"</definedName>
    <definedName name="IQ_GROSS_LOANS" hidden="1" function="0" vbProcedure="0">"c521"</definedName>
    <definedName name="IQ_GROSS_LOANS_10YR_ANN_GROWTH" hidden="1" function="0" vbProcedure="0">"c522"</definedName>
    <definedName name="IQ_GROSS_LOANS_1YR_ANN_GROWTH" hidden="1" function="0" vbProcedure="0">"c523"</definedName>
    <definedName name="IQ_GROSS_LOANS_2YR_ANN_GROWTH" hidden="1" function="0" vbProcedure="0">"c524"</definedName>
    <definedName name="IQ_GROSS_LOANS_3YR_ANN_GROWTH" hidden="1" function="0" vbProcedure="0">"c525"</definedName>
    <definedName name="IQ_GROSS_LOANS_5YR_ANN_GROWTH" hidden="1" function="0" vbProcedure="0">"c526"</definedName>
    <definedName name="IQ_GROSS_LOANS_7YR_ANN_GROWTH" hidden="1" function="0" vbProcedure="0">"c527"</definedName>
    <definedName name="IQ_GROSS_LOANS_TOTAL_DEPOSITS" hidden="1" function="0" vbProcedure="0">"c528"</definedName>
    <definedName name="IQ_GROSS_MARGIN" hidden="1" function="0" vbProcedure="0">"c529"</definedName>
    <definedName name="IQ_GROSS_PROFIT" hidden="1" function="0" vbProcedure="0">"c1378"</definedName>
    <definedName name="IQ_GW" hidden="1" function="0" vbProcedure="0">"c530"</definedName>
    <definedName name="IQ_GW_AMORT_BR" hidden="1" function="0" vbProcedure="0">"c532"</definedName>
    <definedName name="IQ_GW_AMORT_FIN" hidden="1" function="0" vbProcedure="0">"c540"</definedName>
    <definedName name="IQ_GW_AMORT_INS" hidden="1" function="0" vbProcedure="0">"c541"</definedName>
    <definedName name="IQ_GW_AMORT_REIT" hidden="1" function="0" vbProcedure="0">"c542"</definedName>
    <definedName name="IQ_GW_AMORT_UTI" hidden="1" function="0" vbProcedure="0">"c543"</definedName>
    <definedName name="IQ_GW_INTAN_AMORT" hidden="1" function="0" vbProcedure="0">"c1469"</definedName>
    <definedName name="IQ_GW_INTAN_AMORT_BNK" hidden="1" function="0" vbProcedure="0">"c544"</definedName>
    <definedName name="IQ_GW_INTAN_AMORT_BR" hidden="1" function="0" vbProcedure="0">"c1470"</definedName>
    <definedName name="IQ_GW_INTAN_AMORT_CF" hidden="1" function="0" vbProcedure="0">"c1471"</definedName>
    <definedName name="IQ_GW_INTAN_AMORT_CF_BNK" hidden="1" function="0" vbProcedure="0">"c1472"</definedName>
    <definedName name="IQ_GW_INTAN_AMORT_CF_BR" hidden="1" function="0" vbProcedure="0">"c1473"</definedName>
    <definedName name="IQ_GW_INTAN_AMORT_CF_FIN" hidden="1" function="0" vbProcedure="0">"c1474"</definedName>
    <definedName name="IQ_GW_INTAN_AMORT_CF_INS" hidden="1" function="0" vbProcedure="0">"c1475"</definedName>
    <definedName name="IQ_GW_INTAN_AMORT_CF_REIT" hidden="1" function="0" vbProcedure="0">"c1476"</definedName>
    <definedName name="IQ_GW_INTAN_AMORT_CF_UTI" hidden="1" function="0" vbProcedure="0">"c1477"</definedName>
    <definedName name="IQ_GW_INTAN_AMORT_FIN" hidden="1" function="0" vbProcedure="0">"c1478"</definedName>
    <definedName name="IQ_GW_INTAN_AMORT_INS" hidden="1" function="0" vbProcedure="0">"c1479"</definedName>
    <definedName name="IQ_GW_INTAN_AMORT_REIT" hidden="1" function="0" vbProcedure="0">"c1480"</definedName>
    <definedName name="IQ_GW_INTAN_AMORT_UTI" hidden="1" function="0" vbProcedure="0">"c1481"</definedName>
    <definedName name="IQ_HIGHPRICE" hidden="1" function="0" vbProcedure="0">"c545"</definedName>
    <definedName name="IQ_HOMEOWNERS_WRITTEN" hidden="1" function="0" vbProcedure="0">"c546"</definedName>
    <definedName name="IQ_IMPAIRMENT_GW" hidden="1" function="0" vbProcedure="0">"c548"</definedName>
    <definedName name="IQ_IMPAIR_OIL" hidden="1" function="0" vbProcedure="0">"c547"</definedName>
    <definedName name="IQ_INC_AFTER_TAX" hidden="1" function="0" vbProcedure="0">"c1598"</definedName>
    <definedName name="IQ_INC_AVAIL_EXCL" hidden="1" function="0" vbProcedure="0">"c1395"</definedName>
    <definedName name="IQ_INC_AVAIL_INCL" hidden="1" function="0" vbProcedure="0">"c1396"</definedName>
    <definedName name="IQ_INC_BEFORE_TAX" hidden="1" function="0" vbProcedure="0">"c1375"</definedName>
    <definedName name="IQ_INC_EQUITY" hidden="1" function="0" vbProcedure="0">"c549"</definedName>
    <definedName name="IQ_INC_EQUITY_BR" hidden="1" function="0" vbProcedure="0">"c550"</definedName>
    <definedName name="IQ_INC_EQUITY_CF" hidden="1" function="0" vbProcedure="0">"c551"</definedName>
    <definedName name="IQ_INC_EQUITY_FIN" hidden="1" function="0" vbProcedure="0">"c552"</definedName>
    <definedName name="IQ_INC_EQUITY_INS" hidden="1" function="0" vbProcedure="0">"c553"</definedName>
    <definedName name="IQ_INC_EQUITY_REC_BNK" hidden="1" function="0" vbProcedure="0">"c554"</definedName>
    <definedName name="IQ_INC_EQUITY_REIT" hidden="1" function="0" vbProcedure="0">"c555"</definedName>
    <definedName name="IQ_INC_EQUITY_REV_BNK" hidden="1" function="0" vbProcedure="0">"c556"</definedName>
    <definedName name="IQ_INC_EQUITY_UTI" hidden="1" function="0" vbProcedure="0">"c557"</definedName>
    <definedName name="IQ_INC_REAL_ESTATE_REC" hidden="1" function="0" vbProcedure="0">"c558"</definedName>
    <definedName name="IQ_INC_REAL_ESTATE_REV" hidden="1" function="0" vbProcedure="0">"c559"</definedName>
    <definedName name="IQ_INC_TAX" hidden="1" function="0" vbProcedure="0">"c560"</definedName>
    <definedName name="IQ_INC_TAX_EXCL" hidden="1" function="0" vbProcedure="0">"c1599"</definedName>
    <definedName name="IQ_INC_TAX_PAY_CURRENT" hidden="1" function="0" vbProcedure="0">"c561"</definedName>
    <definedName name="IQ_INC_TRADE_ACT" hidden="1" function="0" vbProcedure="0">"c562"</definedName>
    <definedName name="IQ_INSIDER_3MTH_BOUGHT_PCT" hidden="1" function="0" vbProcedure="0">"c1534"</definedName>
    <definedName name="IQ_INSIDER_3MTH_NET_PCT" hidden="1" function="0" vbProcedure="0">"c1535"</definedName>
    <definedName name="IQ_INSIDER_3MTH_SOLD_PCT" hidden="1" function="0" vbProcedure="0">"c1533"</definedName>
    <definedName name="IQ_INSIDER_6MTH_BOUGHT_PCT" hidden="1" function="0" vbProcedure="0">"c1537"</definedName>
    <definedName name="IQ_INSIDER_6MTH_NET_PCT" hidden="1" function="0" vbProcedure="0">"c1538"</definedName>
    <definedName name="IQ_INSIDER_6MTH_SOLD_PCT" hidden="1" function="0" vbProcedure="0">"c1536"</definedName>
    <definedName name="IQ_INSIDER_OVER_TOTAL" hidden="1" function="0" vbProcedure="0">"c1581"</definedName>
    <definedName name="IQ_INSIDER_OWNER" hidden="1" function="0" vbProcedure="0">"c577"</definedName>
    <definedName name="IQ_INSIDER_PERCENT" hidden="1" function="0" vbProcedure="0">"c578"</definedName>
    <definedName name="IQ_INSIDER_SHARES" hidden="1" function="0" vbProcedure="0">"c579"</definedName>
    <definedName name="IQ_INSTITUTIONAL_OVER_TOTAL" hidden="1" function="0" vbProcedure="0">"c1580"</definedName>
    <definedName name="IQ_INSTITUTIONAL_OWNER" hidden="1" function="0" vbProcedure="0">"c580"</definedName>
    <definedName name="IQ_INSTITUTIONAL_PERCENT" hidden="1" function="0" vbProcedure="0">"c581"</definedName>
    <definedName name="IQ_INSTITUTIONAL_SHARES" hidden="1" function="0" vbProcedure="0">"c582"</definedName>
    <definedName name="IQ_INSUR_RECEIV" hidden="1" function="0" vbProcedure="0">"c1600"</definedName>
    <definedName name="IQ_INS_ANNUITY_LIAB" hidden="1" function="0" vbProcedure="0">"c563"</definedName>
    <definedName name="IQ_INS_DIV_EXP" hidden="1" function="0" vbProcedure="0">"c564"</definedName>
    <definedName name="IQ_INS_DIV_REV" hidden="1" function="0" vbProcedure="0">"c565"</definedName>
    <definedName name="IQ_INS_IN_FORCE" hidden="1" function="0" vbProcedure="0">"c566"</definedName>
    <definedName name="IQ_INS_LIAB" hidden="1" function="0" vbProcedure="0">"c567"</definedName>
    <definedName name="IQ_INS_POLICY_EXP" hidden="1" function="0" vbProcedure="0">"c568"</definedName>
    <definedName name="IQ_INS_REV" hidden="1" function="0" vbProcedure="0">"c569"</definedName>
    <definedName name="IQ_INS_SETTLE" hidden="1" function="0" vbProcedure="0">"c570"</definedName>
    <definedName name="IQ_INS_SETTLE_BNK" hidden="1" function="0" vbProcedure="0">"c571"</definedName>
    <definedName name="IQ_INS_SETTLE_BR" hidden="1" function="0" vbProcedure="0">"c572"</definedName>
    <definedName name="IQ_INS_SETTLE_FIN" hidden="1" function="0" vbProcedure="0">"c573"</definedName>
    <definedName name="IQ_INS_SETTLE_INS" hidden="1" function="0" vbProcedure="0">"c574"</definedName>
    <definedName name="IQ_INS_SETTLE_REIT" hidden="1" function="0" vbProcedure="0">"c575"</definedName>
    <definedName name="IQ_INS_SETTLE_UTI" hidden="1" function="0" vbProcedure="0">"c576"</definedName>
    <definedName name="IQ_INTANGIBLES_NET" hidden="1" function="0" vbProcedure="0">"c1407"</definedName>
    <definedName name="IQ_INTEREST_EXP" hidden="1" function="0" vbProcedure="0">"c618"</definedName>
    <definedName name="IQ_INTEREST_EXP_NET" hidden="1" function="0" vbProcedure="0">"c1450"</definedName>
    <definedName name="IQ_INTEREST_EXP_NON" hidden="1" function="0" vbProcedure="0">"c1383"</definedName>
    <definedName name="IQ_INTEREST_EXP_SUPPL" hidden="1" function="0" vbProcedure="0">"c1460"</definedName>
    <definedName name="IQ_INTEREST_INC" hidden="1" function="0" vbProcedure="0">"c1393"</definedName>
    <definedName name="IQ_INTEREST_INC_NON" hidden="1" function="0" vbProcedure="0">"c1384"</definedName>
    <definedName name="IQ_INTEREST_INVEST_INC" hidden="1" function="0" vbProcedure="0">"c619"</definedName>
    <definedName name="IQ_INT_BORROW" hidden="1" function="0" vbProcedure="0">"c583"</definedName>
    <definedName name="IQ_INT_DEPOSITS" hidden="1" function="0" vbProcedure="0">"c584"</definedName>
    <definedName name="IQ_INT_DIV_INC" hidden="1" function="0" vbProcedure="0">"c585"</definedName>
    <definedName name="IQ_INT_EXP_BR" hidden="1" function="0" vbProcedure="0">"c586"</definedName>
    <definedName name="IQ_INT_EXP_COVERAGE" hidden="1" function="0" vbProcedure="0">"c587"</definedName>
    <definedName name="IQ_INT_EXP_FIN" hidden="1" function="0" vbProcedure="0">"c588"</definedName>
    <definedName name="IQ_INT_EXP_INS" hidden="1" function="0" vbProcedure="0">"c589"</definedName>
    <definedName name="IQ_INT_EXP_LTD" hidden="1" function="0" vbProcedure="0">"c2086"</definedName>
    <definedName name="IQ_INT_EXP_REIT" hidden="1" function="0" vbProcedure="0">"c590"</definedName>
    <definedName name="IQ_INT_EXP_TOTAL" hidden="1" function="0" vbProcedure="0">"c591"</definedName>
    <definedName name="IQ_INT_EXP_UTI" hidden="1" function="0" vbProcedure="0">"c592"</definedName>
    <definedName name="IQ_INT_INC_BR" hidden="1" function="0" vbProcedure="0">"c593"</definedName>
    <definedName name="IQ_INT_INC_FIN" hidden="1" function="0" vbProcedure="0">"c594"</definedName>
    <definedName name="IQ_INT_INC_INVEST" hidden="1" function="0" vbProcedure="0">"c595"</definedName>
    <definedName name="IQ_INT_INC_LOANS" hidden="1" function="0" vbProcedure="0">"c596"</definedName>
    <definedName name="IQ_INT_INC_REIT" hidden="1" function="0" vbProcedure="0">"c597"</definedName>
    <definedName name="IQ_INT_INC_TOTAL" hidden="1" function="0" vbProcedure="0">"c598"</definedName>
    <definedName name="IQ_INT_INC_UTI" hidden="1" function="0" vbProcedure="0">"c599"</definedName>
    <definedName name="IQ_INT_INV_INC" hidden="1" function="0" vbProcedure="0">"c600"</definedName>
    <definedName name="IQ_INT_INV_INC_REIT" hidden="1" function="0" vbProcedure="0">"c601"</definedName>
    <definedName name="IQ_INT_INV_INC_UTI" hidden="1" function="0" vbProcedure="0">"c602"</definedName>
    <definedName name="IQ_INT_ON_BORROWING_COVERAGE" hidden="1" function="0" vbProcedure="0">"c603"</definedName>
    <definedName name="IQ_INT_RATE_SPREAD" hidden="1" function="0" vbProcedure="0">"c604"</definedName>
    <definedName name="IQ_INVENTORY" hidden="1" function="0" vbProcedure="0">"c622"</definedName>
    <definedName name="IQ_INVENTORY_TURNS" hidden="1" function="0" vbProcedure="0">"c623"</definedName>
    <definedName name="IQ_INVENTORY_UTI" hidden="1" function="0" vbProcedure="0">"c624"</definedName>
    <definedName name="IQ_INVEST_DEBT" hidden="1" function="0" vbProcedure="0">"c625"</definedName>
    <definedName name="IQ_INVEST_EQUITY_PREF" hidden="1" function="0" vbProcedure="0">"c626"</definedName>
    <definedName name="IQ_INVEST_FHLB" hidden="1" function="0" vbProcedure="0">"c627"</definedName>
    <definedName name="IQ_INVEST_LOANS_CF" hidden="1" function="0" vbProcedure="0">"c628"</definedName>
    <definedName name="IQ_INVEST_LOANS_CF_BNK" hidden="1" function="0" vbProcedure="0">"c629"</definedName>
    <definedName name="IQ_INVEST_LOANS_CF_BR" hidden="1" function="0" vbProcedure="0">"c630"</definedName>
    <definedName name="IQ_INVEST_LOANS_CF_FIN" hidden="1" function="0" vbProcedure="0">"c631"</definedName>
    <definedName name="IQ_INVEST_LOANS_CF_INS" hidden="1" function="0" vbProcedure="0">"c632"</definedName>
    <definedName name="IQ_INVEST_LOANS_CF_REIT" hidden="1" function="0" vbProcedure="0">"c633"</definedName>
    <definedName name="IQ_INVEST_LOANS_CF_UTI" hidden="1" function="0" vbProcedure="0">"c634"</definedName>
    <definedName name="IQ_INVEST_REAL_ESTATE" hidden="1" function="0" vbProcedure="0">"c635"</definedName>
    <definedName name="IQ_INVEST_SECURITY" hidden="1" function="0" vbProcedure="0">"c636"</definedName>
    <definedName name="IQ_INVEST_SECURITY_CF" hidden="1" function="0" vbProcedure="0">"c637"</definedName>
    <definedName name="IQ_INVEST_SECURITY_CF_BNK" hidden="1" function="0" vbProcedure="0">"c638"</definedName>
    <definedName name="IQ_INVEST_SECURITY_CF_BR" hidden="1" function="0" vbProcedure="0">"c639"</definedName>
    <definedName name="IQ_INVEST_SECURITY_CF_FIN" hidden="1" function="0" vbProcedure="0">"c640"</definedName>
    <definedName name="IQ_INVEST_SECURITY_CF_INS" hidden="1" function="0" vbProcedure="0">"c641"</definedName>
    <definedName name="IQ_INVEST_SECURITY_CF_REIT" hidden="1" function="0" vbProcedure="0">"c642"</definedName>
    <definedName name="IQ_INVEST_SECURITY_CF_UTI" hidden="1" function="0" vbProcedure="0">"c643"</definedName>
    <definedName name="IQ_INV_10YR_ANN_GROWTH" hidden="1" function="0" vbProcedure="0">"c1930"</definedName>
    <definedName name="IQ_INV_1YR_ANN_GROWTH" hidden="1" function="0" vbProcedure="0">"c1925"</definedName>
    <definedName name="IQ_INV_2YR_ANN_GROWTH" hidden="1" function="0" vbProcedure="0">"c1926"</definedName>
    <definedName name="IQ_INV_3YR_ANN_GROWTH" hidden="1" function="0" vbProcedure="0">"c1927"</definedName>
    <definedName name="IQ_INV_5YR_ANN_GROWTH" hidden="1" function="0" vbProcedure="0">"c1928"</definedName>
    <definedName name="IQ_INV_7YR_ANN_GROWTH" hidden="1" function="0" vbProcedure="0">"c1929"</definedName>
    <definedName name="IQ_INV_BANKING_FEE" hidden="1" function="0" vbProcedure="0">"c620"</definedName>
    <definedName name="IQ_INV_METHOD" hidden="1" function="0" vbProcedure="0">"c621"</definedName>
    <definedName name="IQ_IPRD" hidden="1" function="0" vbProcedure="0">"c644"</definedName>
    <definedName name="IQ_ISS_DEBT_NET" hidden="1" function="0" vbProcedure="0">"c1391"</definedName>
    <definedName name="IQ_ISS_STOCK_NET" hidden="1" function="0" vbProcedure="0">"c1601"</definedName>
    <definedName name="IQ_LAND" hidden="1" function="0" vbProcedure="0">"c645"</definedName>
    <definedName name="IQ_LASTSALEPRICE" hidden="1" function="0" vbProcedure="0">"c646"</definedName>
    <definedName name="IQ_LASTSALEPRICE_DATE" hidden="1" function="0" vbProcedure="0">"c2109"</definedName>
    <definedName name="IQ_LAST_SPLIT_DATE" hidden="1" function="0" vbProcedure="0">"c2095"</definedName>
    <definedName name="IQ_LAST_SPLIT_FACTOR" hidden="1" function="0" vbProcedure="0">"c2093"</definedName>
    <definedName name="IQ_LATESTK" hidden="1" function="0" vbProcedure="0">1000</definedName>
    <definedName name="IQ_LATESTQ" hidden="1" function="0" vbProcedure="0">500</definedName>
    <definedName name="IQ_LEGAL_SETTLE" hidden="1" function="0" vbProcedure="0">"c647"</definedName>
    <definedName name="IQ_LEGAL_SETTLE_BNK" hidden="1" function="0" vbProcedure="0">"c648"</definedName>
    <definedName name="IQ_LEGAL_SETTLE_BR" hidden="1" function="0" vbProcedure="0">"c649"</definedName>
    <definedName name="IQ_LEGAL_SETTLE_FIN" hidden="1" function="0" vbProcedure="0">"c650"</definedName>
    <definedName name="IQ_LEGAL_SETTLE_INS" hidden="1" function="0" vbProcedure="0">"c651"</definedName>
    <definedName name="IQ_LEGAL_SETTLE_REIT" hidden="1" function="0" vbProcedure="0">"c652"</definedName>
    <definedName name="IQ_LEGAL_SETTLE_UTI" hidden="1" function="0" vbProcedure="0">"c653"</definedName>
    <definedName name="IQ_LEVERAGE_RATIO" hidden="1" function="0" vbProcedure="0">"c654"</definedName>
    <definedName name="IQ_LEVERED_FCF" hidden="1" function="0" vbProcedure="0">"c1907"</definedName>
    <definedName name="IQ_LFCF_10YR_ANN_GROWTH" hidden="1" function="0" vbProcedure="0">"c1942"</definedName>
    <definedName name="IQ_LFCF_1YR_ANN_GROWTH" hidden="1" function="0" vbProcedure="0">"c1937"</definedName>
    <definedName name="IQ_LFCF_2YR_ANN_GROWTH" hidden="1" function="0" vbProcedure="0">"c1938"</definedName>
    <definedName name="IQ_LFCF_3YR_ANN_GROWTH" hidden="1" function="0" vbProcedure="0">"c1939"</definedName>
    <definedName name="IQ_LFCF_5YR_ANN_GROWTH" hidden="1" function="0" vbProcedure="0">"c1940"</definedName>
    <definedName name="IQ_LFCF_7YR_ANN_GROWTH" hidden="1" function="0" vbProcedure="0">"c1941"</definedName>
    <definedName name="IQ_LFCF_MARGIN" hidden="1" function="0" vbProcedure="0">"c1961"</definedName>
    <definedName name="IQ_LICENSED_POPS" hidden="1" function="0" vbProcedure="0">"c2123"</definedName>
    <definedName name="IQ_LIFOR" hidden="1" function="0" vbProcedure="0">"c655"</definedName>
    <definedName name="IQ_LL" hidden="1" function="0" vbProcedure="0">"c656"</definedName>
    <definedName name="IQ_LOANS_CF" hidden="1" function="0" vbProcedure="0">"c659"</definedName>
    <definedName name="IQ_LOANS_CF_BNK" hidden="1" function="0" vbProcedure="0">"c660"</definedName>
    <definedName name="IQ_LOANS_CF_BR" hidden="1" function="0" vbProcedure="0">"c661"</definedName>
    <definedName name="IQ_LOANS_CF_FIN" hidden="1" function="0" vbProcedure="0">"c662"</definedName>
    <definedName name="IQ_LOANS_CF_INS" hidden="1" function="0" vbProcedure="0">"c663"</definedName>
    <definedName name="IQ_LOANS_CF_REIT" hidden="1" function="0" vbProcedure="0">"c664"</definedName>
    <definedName name="IQ_LOANS_CF_UTI" hidden="1" function="0" vbProcedure="0">"c665"</definedName>
    <definedName name="IQ_LOANS_FOR_SALE" hidden="1" function="0" vbProcedure="0">"c666"</definedName>
    <definedName name="IQ_LOANS_PAST_DUE" hidden="1" function="0" vbProcedure="0">"c667"</definedName>
    <definedName name="IQ_LOANS_RECEIV_CURRENT" hidden="1" function="0" vbProcedure="0">"c668"</definedName>
    <definedName name="IQ_LOANS_RECEIV_LT" hidden="1" function="0" vbProcedure="0">"c669"</definedName>
    <definedName name="IQ_LOANS_RECEIV_LT_UTI" hidden="1" function="0" vbProcedure="0">"c670"</definedName>
    <definedName name="IQ_LOAN_LEASE_RECEIV" hidden="1" function="0" vbProcedure="0">"c657"</definedName>
    <definedName name="IQ_LOAN_LOSS" hidden="1" function="0" vbProcedure="0">"c1386"</definedName>
    <definedName name="IQ_LOAN_SERVICE_REV" hidden="1" function="0" vbProcedure="0">"c658"</definedName>
    <definedName name="IQ_LONG_TERM_DEBT" hidden="1" function="0" vbProcedure="0">"c1387"</definedName>
    <definedName name="IQ_LONG_TERM_DEBT_OVER_TOTAL_CAP" hidden="1" function="0" vbProcedure="0">"c1388"</definedName>
    <definedName name="IQ_LONG_TERM_GROWTH" hidden="1" function="0" vbProcedure="0">"c671"</definedName>
    <definedName name="IQ_LONG_TERM_INV" hidden="1" function="0" vbProcedure="0">"c1389"</definedName>
    <definedName name="IQ_LOSS_LOSS_EXP" hidden="1" function="0" vbProcedure="0">"c672"</definedName>
    <definedName name="IQ_LOWPRICE" hidden="1" function="0" vbProcedure="0">"c673"</definedName>
    <definedName name="IQ_LTD_DUE_AFTER_FIVE" hidden="1" function="0" vbProcedure="0">"c704"</definedName>
    <definedName name="IQ_LTD_DUE_CY" hidden="1" function="0" vbProcedure="0">"c705"</definedName>
    <definedName name="IQ_LTD_DUE_CY1" hidden="1" function="0" vbProcedure="0">"c706"</definedName>
    <definedName name="IQ_LTD_DUE_CY2" hidden="1" function="0" vbProcedure="0">"c707"</definedName>
    <definedName name="IQ_LTD_DUE_CY3" hidden="1" function="0" vbProcedure="0">"c708"</definedName>
    <definedName name="IQ_LTD_DUE_CY4" hidden="1" function="0" vbProcedure="0">"c709"</definedName>
    <definedName name="IQ_LTD_DUE_NEXT_FIVE" hidden="1" function="0" vbProcedure="0">"c710"</definedName>
    <definedName name="IQ_LTM" hidden="1" function="0" vbProcedure="0">2000</definedName>
    <definedName name="IQ_LTM_REVENUE_OVER_EMPLOYEES" hidden="1" function="0" vbProcedure="0">"c1437"</definedName>
    <definedName name="IQ_LT_DEBT" hidden="1" function="0" vbProcedure="0">"c674"</definedName>
    <definedName name="IQ_LT_DEBT_BNK" hidden="1" function="0" vbProcedure="0">"c675"</definedName>
    <definedName name="IQ_LT_DEBT_BR" hidden="1" function="0" vbProcedure="0">"c676"</definedName>
    <definedName name="IQ_LT_DEBT_CAPITAL" hidden="1" function="0" vbProcedure="0">"c677"</definedName>
    <definedName name="IQ_LT_DEBT_EQUITY" hidden="1" function="0" vbProcedure="0">"c678"</definedName>
    <definedName name="IQ_LT_DEBT_FIN" hidden="1" function="0" vbProcedure="0">"c679"</definedName>
    <definedName name="IQ_LT_DEBT_INS" hidden="1" function="0" vbProcedure="0">"c680"</definedName>
    <definedName name="IQ_LT_DEBT_ISSUED" hidden="1" function="0" vbProcedure="0">"c681"</definedName>
    <definedName name="IQ_LT_DEBT_ISSUED_BNK" hidden="1" function="0" vbProcedure="0">"c682"</definedName>
    <definedName name="IQ_LT_DEBT_ISSUED_BR" hidden="1" function="0" vbProcedure="0">"c683"</definedName>
    <definedName name="IQ_LT_DEBT_ISSUED_FIN" hidden="1" function="0" vbProcedure="0">"c684"</definedName>
    <definedName name="IQ_LT_DEBT_ISSUED_INS" hidden="1" function="0" vbProcedure="0">"c685"</definedName>
    <definedName name="IQ_LT_DEBT_ISSUED_REIT" hidden="1" function="0" vbProcedure="0">"c686"</definedName>
    <definedName name="IQ_LT_DEBT_ISSUED_UTI" hidden="1" function="0" vbProcedure="0">"c687"</definedName>
    <definedName name="IQ_LT_DEBT_REIT" hidden="1" function="0" vbProcedure="0">"c688"</definedName>
    <definedName name="IQ_LT_DEBT_REPAID" hidden="1" function="0" vbProcedure="0">"c689"</definedName>
    <definedName name="IQ_LT_DEBT_REPAID_BNK" hidden="1" function="0" vbProcedure="0">"c690"</definedName>
    <definedName name="IQ_LT_DEBT_REPAID_BR" hidden="1" function="0" vbProcedure="0">"c691"</definedName>
    <definedName name="IQ_LT_DEBT_REPAID_FIN" hidden="1" function="0" vbProcedure="0">"c692"</definedName>
    <definedName name="IQ_LT_DEBT_REPAID_INS" hidden="1" function="0" vbProcedure="0">"c693"</definedName>
    <definedName name="IQ_LT_DEBT_REPAID_REIT" hidden="1" function="0" vbProcedure="0">"c694"</definedName>
    <definedName name="IQ_LT_DEBT_REPAID_UTI" hidden="1" function="0" vbProcedure="0">"c695"</definedName>
    <definedName name="IQ_LT_DEBT_UTI" hidden="1" function="0" vbProcedure="0">"c696"</definedName>
    <definedName name="IQ_LT_INVEST" hidden="1" function="0" vbProcedure="0">"c697"</definedName>
    <definedName name="IQ_LT_INVEST_BR" hidden="1" function="0" vbProcedure="0">"c698"</definedName>
    <definedName name="IQ_LT_INVEST_FIN" hidden="1" function="0" vbProcedure="0">"c699"</definedName>
    <definedName name="IQ_LT_INVEST_REIT" hidden="1" function="0" vbProcedure="0">"c700"</definedName>
    <definedName name="IQ_LT_INVEST_UTI" hidden="1" function="0" vbProcedure="0">"c701"</definedName>
    <definedName name="IQ_LT_NOTE_RECEIV" hidden="1" function="0" vbProcedure="0">"c1602"</definedName>
    <definedName name="IQ_MACHINERY" hidden="1" function="0" vbProcedure="0">"c711"</definedName>
    <definedName name="IQ_MAINT_REPAIR" hidden="1" function="0" vbProcedure="0">"c2087"</definedName>
    <definedName name="IQ_MARKETCAP" hidden="1" function="0" vbProcedure="0">"c712"</definedName>
    <definedName name="IQ_MERGER" hidden="1" function="0" vbProcedure="0">"c713"</definedName>
    <definedName name="IQ_MERGER_BNK" hidden="1" function="0" vbProcedure="0">"c714"</definedName>
    <definedName name="IQ_MERGER_BR" hidden="1" function="0" vbProcedure="0">"c715"</definedName>
    <definedName name="IQ_MERGER_FIN" hidden="1" function="0" vbProcedure="0">"c716"</definedName>
    <definedName name="IQ_MERGER_INS" hidden="1" function="0" vbProcedure="0">"c717"</definedName>
    <definedName name="IQ_MERGER_REIT" hidden="1" function="0" vbProcedure="0">"c718"</definedName>
    <definedName name="IQ_MERGER_RESTRUCTURE" hidden="1" function="0" vbProcedure="0">"c719"</definedName>
    <definedName name="IQ_MERGER_RESTRUCTURE_BNK" hidden="1" function="0" vbProcedure="0">"c720"</definedName>
    <definedName name="IQ_MERGER_RESTRUCTURE_BR" hidden="1" function="0" vbProcedure="0">"c721"</definedName>
    <definedName name="IQ_MERGER_RESTRUCTURE_FIN" hidden="1" function="0" vbProcedure="0">"c722"</definedName>
    <definedName name="IQ_MERGER_RESTRUCTURE_INS" hidden="1" function="0" vbProcedure="0">"c723"</definedName>
    <definedName name="IQ_MERGER_RESTRUCTURE_REIT" hidden="1" function="0" vbProcedure="0">"c724"</definedName>
    <definedName name="IQ_MERGER_RESTRUCTURE_UTI" hidden="1" function="0" vbProcedure="0">"c725"</definedName>
    <definedName name="IQ_MERGER_UTI" hidden="1" function="0" vbProcedure="0">"c726"</definedName>
    <definedName name="IQ_MINORITY_INTEREST" hidden="1" function="0" vbProcedure="0">"c727"</definedName>
    <definedName name="IQ_MINORITY_INTEREST_BNK" hidden="1" function="0" vbProcedure="0">"c728"</definedName>
    <definedName name="IQ_MINORITY_INTEREST_BR" hidden="1" function="0" vbProcedure="0">"c729"</definedName>
    <definedName name="IQ_MINORITY_INTEREST_CF" hidden="1" function="0" vbProcedure="0">"c730"</definedName>
    <definedName name="IQ_MINORITY_INTEREST_FIN" hidden="1" function="0" vbProcedure="0">"c731"</definedName>
    <definedName name="IQ_MINORITY_INTEREST_INS" hidden="1" function="0" vbProcedure="0">"c732"</definedName>
    <definedName name="IQ_MINORITY_INTEREST_IS" hidden="1" function="0" vbProcedure="0">"c733"</definedName>
    <definedName name="IQ_MINORITY_INTEREST_REIT" hidden="1" function="0" vbProcedure="0">"c734"</definedName>
    <definedName name="IQ_MINORITY_INTEREST_TOTAL" hidden="1" function="0" vbProcedure="0">"c1905"</definedName>
    <definedName name="IQ_MINORITY_INTEREST_UTI" hidden="1" function="0" vbProcedure="0">"c735"</definedName>
    <definedName name="IQ_MISC_ADJUST_CF" hidden="1" function="0" vbProcedure="0">"c736"</definedName>
    <definedName name="IQ_MISC_EARN_ADJ" hidden="1" function="0" vbProcedure="0">"c1603"</definedName>
    <definedName name="IQ_MKTCAP_EBT_EXCL" hidden="1" function="0" vbProcedure="0">"c737"</definedName>
    <definedName name="IQ_MKTCAP_EBT_EXCL_AVG" hidden="1" function="0" vbProcedure="0">"c738"</definedName>
    <definedName name="IQ_MKTCAP_EBT_INCL_AVG" hidden="1" function="0" vbProcedure="0">"c739"</definedName>
    <definedName name="IQ_MKTCAP_TOTAL_REV" hidden="1" function="0" vbProcedure="0">"c740"</definedName>
    <definedName name="IQ_MKTCAP_TOTAL_REV_AVG" hidden="1" function="0" vbProcedure="0">"c741"</definedName>
    <definedName name="IQ_MM_ACCOUNT" hidden="1" function="0" vbProcedure="0">"c743"</definedName>
    <definedName name="IQ_MORT_BANKING_FEE" hidden="1" function="0" vbProcedure="0">"c745"</definedName>
    <definedName name="IQ_MORT_BANK_ACT" hidden="1" function="0" vbProcedure="0">"c744"</definedName>
    <definedName name="IQ_MORT_INT_INC" hidden="1" function="0" vbProcedure="0">"c746"</definedName>
    <definedName name="IQ_MORT_LOANS" hidden="1" function="0" vbProcedure="0">"c747"</definedName>
    <definedName name="IQ_MORT_SECURITY" hidden="1" function="0" vbProcedure="0">"c748"</definedName>
    <definedName name="IQ_NET_CHANGE" hidden="1" function="0" vbProcedure="0">"c749"</definedName>
    <definedName name="IQ_NET_DEBT" hidden="1" function="0" vbProcedure="0">"c1584"</definedName>
    <definedName name="IQ_NET_DEBT_EBITDA" hidden="1" function="0" vbProcedure="0">"c750"</definedName>
    <definedName name="IQ_NET_DEBT_ISSUED" hidden="1" function="0" vbProcedure="0">"c751"</definedName>
    <definedName name="IQ_NET_DEBT_ISSUED_BNK" hidden="1" function="0" vbProcedure="0">"c752"</definedName>
    <definedName name="IQ_NET_DEBT_ISSUED_BR" hidden="1" function="0" vbProcedure="0">"c753"</definedName>
    <definedName name="IQ_NET_DEBT_ISSUED_FIN" hidden="1" function="0" vbProcedure="0">"c754"</definedName>
    <definedName name="IQ_NET_DEBT_ISSUED_INS" hidden="1" function="0" vbProcedure="0">"c755"</definedName>
    <definedName name="IQ_NET_DEBT_ISSUED_REIT" hidden="1" function="0" vbProcedure="0">"c756"</definedName>
    <definedName name="IQ_NET_DEBT_ISSUED_UTI" hidden="1" function="0" vbProcedure="0">"c757"</definedName>
    <definedName name="IQ_NET_INC" hidden="1" function="0" vbProcedure="0">"c1394"</definedName>
    <definedName name="IQ_NET_INC_BEFORE" hidden="1" function="0" vbProcedure="0">"c1368"</definedName>
    <definedName name="IQ_NET_INC_CF" hidden="1" function="0" vbProcedure="0">"c1397"</definedName>
    <definedName name="IQ_NET_INC_MARGIN" hidden="1" function="0" vbProcedure="0">"c1398"</definedName>
    <definedName name="IQ_NET_INTEREST_EXP" hidden="1" function="0" vbProcedure="0">"c769"</definedName>
    <definedName name="IQ_NET_INTEREST_EXP_REIT" hidden="1" function="0" vbProcedure="0">"c770"</definedName>
    <definedName name="IQ_NET_INTEREST_EXP_UTI" hidden="1" function="0" vbProcedure="0">"c771"</definedName>
    <definedName name="IQ_NET_INTEREST_INC" hidden="1" function="0" vbProcedure="0">"c1392"</definedName>
    <definedName name="IQ_NET_INTEREST_INC_AFTER_LL" hidden="1" function="0" vbProcedure="0">"c1604"</definedName>
    <definedName name="IQ_NET_INT_INC_10YR_ANN_GROWTH" hidden="1" function="0" vbProcedure="0">"c758"</definedName>
    <definedName name="IQ_NET_INT_INC_1YR_ANN_GROWTH" hidden="1" function="0" vbProcedure="0">"c759"</definedName>
    <definedName name="IQ_NET_INT_INC_2YR_ANN_GROWTH" hidden="1" function="0" vbProcedure="0">"c760"</definedName>
    <definedName name="IQ_NET_INT_INC_3YR_ANN_GROWTH" hidden="1" function="0" vbProcedure="0">"c761"</definedName>
    <definedName name="IQ_NET_INT_INC_5YR_ANN_GROWTH" hidden="1" function="0" vbProcedure="0">"c762"</definedName>
    <definedName name="IQ_NET_INT_INC_7YR_ANN_GROWTH" hidden="1" function="0" vbProcedure="0">"c763"</definedName>
    <definedName name="IQ_NET_INT_INC_BNK" hidden="1" function="0" vbProcedure="0">"c764"</definedName>
    <definedName name="IQ_NET_INT_INC_BR" hidden="1" function="0" vbProcedure="0">"c765"</definedName>
    <definedName name="IQ_NET_INT_INC_FIN" hidden="1" function="0" vbProcedure="0">"c766"</definedName>
    <definedName name="IQ_NET_INT_INC_TOTAL_REV" hidden="1" function="0" vbProcedure="0">"c767"</definedName>
    <definedName name="IQ_NET_INT_MARGIN" hidden="1" function="0" vbProcedure="0">"c768"</definedName>
    <definedName name="IQ_NET_LOANS" hidden="1" function="0" vbProcedure="0">"c772"</definedName>
    <definedName name="IQ_NET_LOANS_10YR_ANN_GROWTH" hidden="1" function="0" vbProcedure="0">"c773"</definedName>
    <definedName name="IQ_NET_LOANS_1YR_ANN_GROWTH" hidden="1" function="0" vbProcedure="0">"c774"</definedName>
    <definedName name="IQ_NET_LOANS_2YR_ANN_GROWTH" hidden="1" function="0" vbProcedure="0">"c775"</definedName>
    <definedName name="IQ_NET_LOANS_3YR_ANN_GROWTH" hidden="1" function="0" vbProcedure="0">"c776"</definedName>
    <definedName name="IQ_NET_LOANS_5YR_ANN_GROWTH" hidden="1" function="0" vbProcedure="0">"c777"</definedName>
    <definedName name="IQ_NET_LOANS_7YR_ANN_GROWTH" hidden="1" function="0" vbProcedure="0">"c778"</definedName>
    <definedName name="IQ_NET_LOANS_TOTAL_DEPOSITS" hidden="1" function="0" vbProcedure="0">"c779"</definedName>
    <definedName name="IQ_NET_RENTAL_EXP_FN" hidden="1" function="0" vbProcedure="0">"c780"</definedName>
    <definedName name="IQ_NI" hidden="1" function="0" vbProcedure="0">"c781"</definedName>
    <definedName name="IQ_NI_10YR_ANN_GROWTH" hidden="1" function="0" vbProcedure="0">"c782"</definedName>
    <definedName name="IQ_NI_1YR_ANN_GROWTH" hidden="1" function="0" vbProcedure="0">"c783"</definedName>
    <definedName name="IQ_NI_2YR_ANN_GROWTH" hidden="1" function="0" vbProcedure="0">"c784"</definedName>
    <definedName name="IQ_NI_3YR_ANN_GROWTH" hidden="1" function="0" vbProcedure="0">"c785"</definedName>
    <definedName name="IQ_NI_5YR_ANN_GROWTH" hidden="1" function="0" vbProcedure="0">"c786"</definedName>
    <definedName name="IQ_NI_7YR_ANN_GROWTH" hidden="1" function="0" vbProcedure="0">"c787"</definedName>
    <definedName name="IQ_NI_AFTER_CAPITALIZED" hidden="1" function="0" vbProcedure="0">"c788"</definedName>
    <definedName name="IQ_NI_AVAIL_EXCL" hidden="1" function="0" vbProcedure="0">"c789"</definedName>
    <definedName name="IQ_NI_AVAIL_EXCL_MARGIN" hidden="1" function="0" vbProcedure="0">"c790"</definedName>
    <definedName name="IQ_NI_AVAIL_INCL" hidden="1" function="0" vbProcedure="0">"c791"</definedName>
    <definedName name="IQ_NI_BEFORE_CAPITALIZED" hidden="1" function="0" vbProcedure="0">"c792"</definedName>
    <definedName name="IQ_NI_CF" hidden="1" function="0" vbProcedure="0">"c793"</definedName>
    <definedName name="IQ_NI_MARGIN" hidden="1" function="0" vbProcedure="0">"c794"</definedName>
    <definedName name="IQ_NI_NORM" hidden="1" function="0" vbProcedure="0">"c1901"</definedName>
    <definedName name="IQ_NI_NORM_10YR_ANN_GROWTH" hidden="1" function="0" vbProcedure="0">"c1960"</definedName>
    <definedName name="IQ_NI_NORM_1YR_ANN_GROWTH" hidden="1" function="0" vbProcedure="0">"c1955"</definedName>
    <definedName name="IQ_NI_NORM_2YR_ANN_GROWTH" hidden="1" function="0" vbProcedure="0">"c1956"</definedName>
    <definedName name="IQ_NI_NORM_3YR_ANN_GROWTH" hidden="1" function="0" vbProcedure="0">"c1957"</definedName>
    <definedName name="IQ_NI_NORM_5YR_ANN_GROWTH" hidden="1" function="0" vbProcedure="0">"c1958"</definedName>
    <definedName name="IQ_NI_NORM_7YR_ANN_GROWTH" hidden="1" function="0" vbProcedure="0">"c1959"</definedName>
    <definedName name="IQ_NI_NORM_MARGIN" hidden="1" function="0" vbProcedure="0">"c1964"</definedName>
    <definedName name="IQ_NI_SFAS" hidden="1" function="0" vbProcedure="0">"c795"</definedName>
    <definedName name="IQ_NONUTIL_REV" hidden="1" function="0" vbProcedure="0">"c2089"</definedName>
    <definedName name="IQ_NON_ACCRUAL_LOANS" hidden="1" function="0" vbProcedure="0">"c796"</definedName>
    <definedName name="IQ_NON_CASH" hidden="1" function="0" vbProcedure="0">"c1399"</definedName>
    <definedName name="IQ_NON_CASH_ITEMS" hidden="1" function="0" vbProcedure="0">"c797"</definedName>
    <definedName name="IQ_NON_INS_EXP" hidden="1" function="0" vbProcedure="0">"c798"</definedName>
    <definedName name="IQ_NON_INS_REV" hidden="1" function="0" vbProcedure="0">"c799"</definedName>
    <definedName name="IQ_NON_INTEREST_EXP" hidden="1" function="0" vbProcedure="0">"c1400"</definedName>
    <definedName name="IQ_NON_INTEREST_INC" hidden="1" function="0" vbProcedure="0">"c1401"</definedName>
    <definedName name="IQ_NON_INT_BEAR_CD" hidden="1" function="0" vbProcedure="0">"c800"</definedName>
    <definedName name="IQ_NON_INT_EXP" hidden="1" function="0" vbProcedure="0">"c801"</definedName>
    <definedName name="IQ_NON_INT_INC" hidden="1" function="0" vbProcedure="0">"c802"</definedName>
    <definedName name="IQ_NON_INT_INC_10YR_ANN_GROWTH" hidden="1" function="0" vbProcedure="0">"c803"</definedName>
    <definedName name="IQ_NON_INT_INC_1YR_ANN_GROWTH" hidden="1" function="0" vbProcedure="0">"c804"</definedName>
    <definedName name="IQ_NON_INT_INC_2YR_ANN_GROWTH" hidden="1" function="0" vbProcedure="0">"c805"</definedName>
    <definedName name="IQ_NON_INT_INC_3YR_ANN_GROWTH" hidden="1" function="0" vbProcedure="0">"c806"</definedName>
    <definedName name="IQ_NON_INT_INC_5YR_ANN_GROWTH" hidden="1" function="0" vbProcedure="0">"c807"</definedName>
    <definedName name="IQ_NON_INT_INC_7YR_ANN_GROWTH" hidden="1" function="0" vbProcedure="0">"c808"</definedName>
    <definedName name="IQ_NON_OPER_EXP" hidden="1" function="0" vbProcedure="0">"c809"</definedName>
    <definedName name="IQ_NON_OPER_INC" hidden="1" function="0" vbProcedure="0">"c810"</definedName>
    <definedName name="IQ_NON_PERFORMING_ASSETS" hidden="1" function="0" vbProcedure="0">"c826"</definedName>
    <definedName name="IQ_NON_PERFORMING_LOANS" hidden="1" function="0" vbProcedure="0">"c827"</definedName>
    <definedName name="IQ_NON_PERF_ASSETS_10YR_ANN_GROWTH" hidden="1" function="0" vbProcedure="0">"c811"</definedName>
    <definedName name="IQ_NON_PERF_ASSETS_1YR_ANN_GROWTH" hidden="1" function="0" vbProcedure="0">"c812"</definedName>
    <definedName name="IQ_NON_PERF_ASSETS_2YR_ANN_GROWTH" hidden="1" function="0" vbProcedure="0">"c813"</definedName>
    <definedName name="IQ_NON_PERF_ASSETS_3YR_ANN_GROWTH" hidden="1" function="0" vbProcedure="0">"c814"</definedName>
    <definedName name="IQ_NON_PERF_ASSETS_5YR_ANN_GROWTH" hidden="1" function="0" vbProcedure="0">"c815"</definedName>
    <definedName name="IQ_NON_PERF_ASSETS_7YR_ANN_GROWTH" hidden="1" function="0" vbProcedure="0">"c816"</definedName>
    <definedName name="IQ_NON_PERF_ASSETS_TOTAL_ASSETS" hidden="1" function="0" vbProcedure="0">"c817"</definedName>
    <definedName name="IQ_NON_PERF_LOANS_10YR_ANN_GROWTH" hidden="1" function="0" vbProcedure="0">"c818"</definedName>
    <definedName name="IQ_NON_PERF_LOANS_1YR_ANN_GROWTH" hidden="1" function="0" vbProcedure="0">"c819"</definedName>
    <definedName name="IQ_NON_PERF_LOANS_2YR_ANN_GROWTH" hidden="1" function="0" vbProcedure="0">"c820"</definedName>
    <definedName name="IQ_NON_PERF_LOANS_3YR_ANN_GROWTH" hidden="1" function="0" vbProcedure="0">"c821"</definedName>
    <definedName name="IQ_NON_PERF_LOANS_5YR_ANN_GROWTH" hidden="1" function="0" vbProcedure="0">"c822"</definedName>
    <definedName name="IQ_NON_PERF_LOANS_7YR_ANN_GROWTH" hidden="1" function="0" vbProcedure="0">"c823"</definedName>
    <definedName name="IQ_NON_PERF_LOANS_TOTAL_ASSETS" hidden="1" function="0" vbProcedure="0">"c824"</definedName>
    <definedName name="IQ_NON_PERF_LOANS_TOTAL_LOANS" hidden="1" function="0" vbProcedure="0">"c825"</definedName>
    <definedName name="IQ_NORMAL_INC_AFTER" hidden="1" function="0" vbProcedure="0">"c1605"</definedName>
    <definedName name="IQ_NORMAL_INC_AVAIL" hidden="1" function="0" vbProcedure="0">"c1606"</definedName>
    <definedName name="IQ_NORMAL_INC_BEFORE" hidden="1" function="0" vbProcedure="0">"c1607"</definedName>
    <definedName name="IQ_NOTES_PAY" hidden="1" function="0" vbProcedure="0">"c1423"</definedName>
    <definedName name="IQ_NOW_ACCOUNT" hidden="1" function="0" vbProcedure="0">"c828"</definedName>
    <definedName name="IQ_NPPE" hidden="1" function="0" vbProcedure="0">"c829"</definedName>
    <definedName name="IQ_NPPE_10YR_ANN_GROWTH" hidden="1" function="0" vbProcedure="0">"c830"</definedName>
    <definedName name="IQ_NPPE_1YR_ANN_GROWTH" hidden="1" function="0" vbProcedure="0">"c831"</definedName>
    <definedName name="IQ_NPPE_2YR_ANN_GROWTH" hidden="1" function="0" vbProcedure="0">"c832"</definedName>
    <definedName name="IQ_NPPE_3YR_ANN_GROWTH" hidden="1" function="0" vbProcedure="0">"c833"</definedName>
    <definedName name="IQ_NPPE_5YR_ANN_GROWTH" hidden="1" function="0" vbProcedure="0">"c834"</definedName>
    <definedName name="IQ_NPPE_7YR_ANN_GROWTH" hidden="1" function="0" vbProcedure="0">"c835"</definedName>
    <definedName name="IQ_NTM" hidden="1" function="0" vbProcedure="0">6000</definedName>
    <definedName name="IQ_NUKE" hidden="1" function="0" vbProcedure="0">"c836"</definedName>
    <definedName name="IQ_NUKE_CF" hidden="1" function="0" vbProcedure="0">"c837"</definedName>
    <definedName name="IQ_NUKE_CONTR" hidden="1" function="0" vbProcedure="0">"c838"</definedName>
    <definedName name="IQ_NUMBER_ADRHOLDERS" hidden="1" function="0" vbProcedure="0">"c1970"</definedName>
    <definedName name="IQ_NUMBER_DAYS" hidden="1" function="0" vbProcedure="0">"c1904"</definedName>
    <definedName name="IQ_NUMBER_SHAREHOLDERS" hidden="1" function="0" vbProcedure="0">"c1967"</definedName>
    <definedName name="IQ_NUMBER_SHAREHOLDERS_CLASSA" hidden="1" function="0" vbProcedure="0">"c1968"</definedName>
    <definedName name="IQ_NUMBER_SHAREHOLDERS_OTHER" hidden="1" function="0" vbProcedure="0">"c1969"</definedName>
    <definedName name="IQ_NUM_BRANCHES" hidden="1" function="0" vbProcedure="0">"c2088"</definedName>
    <definedName name="IQ_OCCUPY_EXP" hidden="1" function="0" vbProcedure="0">"c839"</definedName>
    <definedName name="IQ_OG_10DISC" hidden="1" function="0" vbProcedure="0">"c1998"</definedName>
    <definedName name="IQ_OG_10DISC_GAS" hidden="1" function="0" vbProcedure="0">"c2018"</definedName>
    <definedName name="IQ_OG_10DISC_OIL" hidden="1" function="0" vbProcedure="0">"c2008"</definedName>
    <definedName name="IQ_OG_ACQ_COST_PROVED" hidden="1" function="0" vbProcedure="0">"c1975"</definedName>
    <definedName name="IQ_OG_ACQ_COST_PROVED_GAS" hidden="1" function="0" vbProcedure="0">"c1987"</definedName>
    <definedName name="IQ_OG_ACQ_COST_PROVED_OIL" hidden="1" function="0" vbProcedure="0">"c1981"</definedName>
    <definedName name="IQ_OG_ACQ_COST_UNPROVED" hidden="1" function="0" vbProcedure="0">"c1976"</definedName>
    <definedName name="IQ_OG_ACQ_COST_UNPROVED_GAS" hidden="1" function="0" vbProcedure="0">"c1988"</definedName>
    <definedName name="IQ_OG_ACQ_COST_UNPROVED_OIL" hidden="1" function="0" vbProcedure="0">"c1982"</definedName>
    <definedName name="IQ_OG_CLOSE_BALANCE_GAS" hidden="1" function="0" vbProcedure="0">"c2049"</definedName>
    <definedName name="IQ_OG_CLOSE_BALANCE_OIL" hidden="1" function="0" vbProcedure="0">"c2037"</definedName>
    <definedName name="IQ_OG_DCF_BEFORE_TAXES" hidden="1" function="0" vbProcedure="0">"c2023"</definedName>
    <definedName name="IQ_OG_DCF_BEFORE_TAXES_GAS" hidden="1" function="0" vbProcedure="0">"c2025"</definedName>
    <definedName name="IQ_OG_DCF_BEFORE_TAXES_OIL" hidden="1" function="0" vbProcedure="0">"c2024"</definedName>
    <definedName name="IQ_OG_DEVELOPED_RESERVES_GAS" hidden="1" function="0" vbProcedure="0">"c2053"</definedName>
    <definedName name="IQ_OG_DEVELOPED_RESERVES_OIL" hidden="1" function="0" vbProcedure="0">"c2054"</definedName>
    <definedName name="IQ_OG_DEVELOPMENT_COSTS" hidden="1" function="0" vbProcedure="0">"c1978"</definedName>
    <definedName name="IQ_OG_DEVELOPMENT_COSTS_GAS" hidden="1" function="0" vbProcedure="0">"c1990"</definedName>
    <definedName name="IQ_OG_DEVELOPMENT_COSTS_OIL" hidden="1" function="0" vbProcedure="0">"c1984"</definedName>
    <definedName name="IQ_OG_EQUITY_DCF" hidden="1" function="0" vbProcedure="0">"c2002"</definedName>
    <definedName name="IQ_OG_EQUITY_DCF_GAS" hidden="1" function="0" vbProcedure="0">"c2022"</definedName>
    <definedName name="IQ_OG_EQUITY_DCF_OIL" hidden="1" function="0" vbProcedure="0">"c2012"</definedName>
    <definedName name="IQ_OG_EQUTY_RESERVES_GAS" hidden="1" function="0" vbProcedure="0">"c2050"</definedName>
    <definedName name="IQ_OG_EQUTY_RESERVES_OIL" hidden="1" function="0" vbProcedure="0">"c2038"</definedName>
    <definedName name="IQ_OG_EXPLORATION_COSTS" hidden="1" function="0" vbProcedure="0">"c1977"</definedName>
    <definedName name="IQ_OG_EXPLORATION_COSTS_GAS" hidden="1" function="0" vbProcedure="0">"c1989"</definedName>
    <definedName name="IQ_OG_EXPLORATION_COSTS_OIL" hidden="1" function="0" vbProcedure="0">"c1983"</definedName>
    <definedName name="IQ_OG_EXT_DISC_GAS" hidden="1" function="0" vbProcedure="0">"c2043"</definedName>
    <definedName name="IQ_OG_EXT_DISC_OIL" hidden="1" function="0" vbProcedure="0">"c2031"</definedName>
    <definedName name="IQ_OG_FUTURE_CASH_INFLOWS" hidden="1" function="0" vbProcedure="0">"c1993"</definedName>
    <definedName name="IQ_OG_FUTURE_CASH_INFLOWS_GAS" hidden="1" function="0" vbProcedure="0">"c2013"</definedName>
    <definedName name="IQ_OG_FUTURE_CASH_INFLOWS_OIL" hidden="1" function="0" vbProcedure="0">"c2003"</definedName>
    <definedName name="IQ_OG_FUTURE_DEVELOPMENT_COSTS" hidden="1" function="0" vbProcedure="0">"c1995"</definedName>
    <definedName name="IQ_OG_FUTURE_DEVELOPMENT_COSTS_GAS" hidden="1" function="0" vbProcedure="0">"c2015"</definedName>
    <definedName name="IQ_OG_FUTURE_DEVELOPMENT_COSTS_OIL" hidden="1" function="0" vbProcedure="0">"c2005"</definedName>
    <definedName name="IQ_OG_FUTURE_INC_TAXES" hidden="1" function="0" vbProcedure="0">"c1997"</definedName>
    <definedName name="IQ_OG_FUTURE_INC_TAXES_GAS" hidden="1" function="0" vbProcedure="0">"c2017"</definedName>
    <definedName name="IQ_OG_FUTURE_INC_TAXES_OIL" hidden="1" function="0" vbProcedure="0">"c2007"</definedName>
    <definedName name="IQ_OG_FUTURE_PRODUCTION_COSTS" hidden="1" function="0" vbProcedure="0">"c1994"</definedName>
    <definedName name="IQ_OG_FUTURE_PRODUCTION_COSTS_GAS" hidden="1" function="0" vbProcedure="0">"c2014"</definedName>
    <definedName name="IQ_OG_FUTURE_PRODUCTION_COSTS_OIL" hidden="1" function="0" vbProcedure="0">"c2004"</definedName>
    <definedName name="IQ_OG_GAS_PRICE_HEDGED" hidden="1" function="0" vbProcedure="0">"c2056"</definedName>
    <definedName name="IQ_OG_GAS_PRICE_UNHEDGED" hidden="1" function="0" vbProcedure="0">"c2058"</definedName>
    <definedName name="IQ_OG_IMPROVED_RECOVERY_GAS" hidden="1" function="0" vbProcedure="0">"c2044"</definedName>
    <definedName name="IQ_OG_IMPROVED_RECOVERY_OIL" hidden="1" function="0" vbProcedure="0">"c2032"</definedName>
    <definedName name="IQ_OG_NET_FUTURE_CASH_FLOWS" hidden="1" function="0" vbProcedure="0">"c1996"</definedName>
    <definedName name="IQ_OG_NET_FUTURE_CASH_FLOWS_GAS" hidden="1" function="0" vbProcedure="0">"c2016"</definedName>
    <definedName name="IQ_OG_NET_FUTURE_CASH_FLOWS_OIL" hidden="1" function="0" vbProcedure="0">"c2006"</definedName>
    <definedName name="IQ_OG_OIL_PRICE_HEDGED" hidden="1" function="0" vbProcedure="0">"c2055"</definedName>
    <definedName name="IQ_OG_OIL_PRICE_UNHEDGED" hidden="1" function="0" vbProcedure="0">"c2057"</definedName>
    <definedName name="IQ_OG_OPEN_BALANCE_GAS" hidden="1" function="0" vbProcedure="0">"c2041"</definedName>
    <definedName name="IQ_OG_OPEN_BALANCE_OIL" hidden="1" function="0" vbProcedure="0">"c2029"</definedName>
    <definedName name="IQ_OG_OTHER_ADJ_FCF" hidden="1" function="0" vbProcedure="0">"c1999"</definedName>
    <definedName name="IQ_OG_OTHER_ADJ_FCF_GAS" hidden="1" function="0" vbProcedure="0">"c2019"</definedName>
    <definedName name="IQ_OG_OTHER_ADJ_FCF_OIL" hidden="1" function="0" vbProcedure="0">"c2009"</definedName>
    <definedName name="IQ_OG_OTHER_ADJ_GAS" hidden="1" function="0" vbProcedure="0">"c2048"</definedName>
    <definedName name="IQ_OG_OTHER_ADJ_OIL" hidden="1" function="0" vbProcedure="0">"c2036"</definedName>
    <definedName name="IQ_OG_OTHER_COSTS" hidden="1" function="0" vbProcedure="0">"c1979"</definedName>
    <definedName name="IQ_OG_OTHER_COSTS_GAS" hidden="1" function="0" vbProcedure="0">"c1991"</definedName>
    <definedName name="IQ_OG_OTHER_COSTS_OIL" hidden="1" function="0" vbProcedure="0">"c1985"</definedName>
    <definedName name="IQ_OG_PRODUCTION_GAS" hidden="1" function="0" vbProcedure="0">"c2047"</definedName>
    <definedName name="IQ_OG_PRODUCTION_OIL" hidden="1" function="0" vbProcedure="0">"c2035"</definedName>
    <definedName name="IQ_OG_PURCHASES_GAS" hidden="1" function="0" vbProcedure="0">"c2045"</definedName>
    <definedName name="IQ_OG_PURCHASES_OIL" hidden="1" function="0" vbProcedure="0">"c2033"</definedName>
    <definedName name="IQ_OG_REVISIONS_GAS" hidden="1" function="0" vbProcedure="0">"c2042"</definedName>
    <definedName name="IQ_OG_REVISIONS_OIL" hidden="1" function="0" vbProcedure="0">"c2030"</definedName>
    <definedName name="IQ_OG_SALES_IN_PLACE_GAS" hidden="1" function="0" vbProcedure="0">"c2046"</definedName>
    <definedName name="IQ_OG_SALES_IN_PLACE_OIL" hidden="1" function="0" vbProcedure="0">"c2034"</definedName>
    <definedName name="IQ_OG_STANDARDIZED_DCF" hidden="1" function="0" vbProcedure="0">"c2000"</definedName>
    <definedName name="IQ_OG_STANDARDIZED_DCF_GAS" hidden="1" function="0" vbProcedure="0">"c2020"</definedName>
    <definedName name="IQ_OG_STANDARDIZED_DCF_HEDGED" hidden="1" function="0" vbProcedure="0">"c2001"</definedName>
    <definedName name="IQ_OG_STANDARDIZED_DCF_HEDGED_GAS" hidden="1" function="0" vbProcedure="0">"c2021"</definedName>
    <definedName name="IQ_OG_STANDARDIZED_DCF_HEDGED_OIL" hidden="1" function="0" vbProcedure="0">"c2011"</definedName>
    <definedName name="IQ_OG_STANDARDIZED_DCF_OIL" hidden="1" function="0" vbProcedure="0">"c2010"</definedName>
    <definedName name="IQ_OG_TAXES" hidden="1" function="0" vbProcedure="0">"c2026"</definedName>
    <definedName name="IQ_OG_TAXES_GAS" hidden="1" function="0" vbProcedure="0">"c2028"</definedName>
    <definedName name="IQ_OG_TAXES_OIL" hidden="1" function="0" vbProcedure="0">"c2027"</definedName>
    <definedName name="IQ_OG_TOTAL_COSTS" hidden="1" function="0" vbProcedure="0">"c1980"</definedName>
    <definedName name="IQ_OG_TOTAL_COSTS_GAS" hidden="1" function="0" vbProcedure="0">"c1992"</definedName>
    <definedName name="IQ_OG_TOTAL_COSTS_OIL" hidden="1" function="0" vbProcedure="0">"c1986"</definedName>
    <definedName name="IQ_OG_TOTAL_EST_PROVED_RESERVES_GAS" hidden="1" function="0" vbProcedure="0">"c2052"</definedName>
    <definedName name="IQ_OG_TOTAL_GAS_PRODUCTION" hidden="1" function="0" vbProcedure="0">"c2060"</definedName>
    <definedName name="IQ_OG_TOTAL_OIL_PRODUCTON" hidden="1" function="0" vbProcedure="0">"c2059"</definedName>
    <definedName name="IQ_OG_UNDEVELOPED_RESERVES_GAS" hidden="1" function="0" vbProcedure="0">"c2051"</definedName>
    <definedName name="IQ_OG_UNDEVELOPED_RESERVES_OIL" hidden="1" function="0" vbProcedure="0">"c2039"</definedName>
    <definedName name="IQ_OIL_IMPAIR" hidden="1" function="0" vbProcedure="0">"c840"</definedName>
    <definedName name="IQ_OL_COMM_AFTER_FIVE" hidden="1" function="0" vbProcedure="0">"c841"</definedName>
    <definedName name="IQ_OL_COMM_CY" hidden="1" function="0" vbProcedure="0">"c842"</definedName>
    <definedName name="IQ_OL_COMM_CY1" hidden="1" function="0" vbProcedure="0">"c843"</definedName>
    <definedName name="IQ_OL_COMM_CY2" hidden="1" function="0" vbProcedure="0">"c844"</definedName>
    <definedName name="IQ_OL_COMM_CY3" hidden="1" function="0" vbProcedure="0">"c845"</definedName>
    <definedName name="IQ_OL_COMM_CY4" hidden="1" function="0" vbProcedure="0">"c846"</definedName>
    <definedName name="IQ_OL_COMM_NEXT_FIVE" hidden="1" function="0" vbProcedure="0">"c847"</definedName>
    <definedName name="IQ_OPENPRICE" hidden="1" function="0" vbProcedure="0">"c848"</definedName>
    <definedName name="IQ_OPERATIONS_EXP" hidden="1" function="0" vbProcedure="0">"c855"</definedName>
    <definedName name="IQ_OPER_INC" hidden="1" function="0" vbProcedure="0">"c849"</definedName>
    <definedName name="IQ_OPER_INC_BR" hidden="1" function="0" vbProcedure="0">"c850"</definedName>
    <definedName name="IQ_OPER_INC_FIN" hidden="1" function="0" vbProcedure="0">"c851"</definedName>
    <definedName name="IQ_OPER_INC_INS" hidden="1" function="0" vbProcedure="0">"c852"</definedName>
    <definedName name="IQ_OPER_INC_MARGIN" hidden="1" function="0" vbProcedure="0">"c1448"</definedName>
    <definedName name="IQ_OPER_INC_REIT" hidden="1" function="0" vbProcedure="0">"c853"</definedName>
    <definedName name="IQ_OPER_INC_UTI" hidden="1" function="0" vbProcedure="0">"c854"</definedName>
    <definedName name="IQ_OPTIONS_BEG_OS" hidden="1" function="0" vbProcedure="0">"c1572"</definedName>
    <definedName name="IQ_OPTIONS_CANCELLED" hidden="1" function="0" vbProcedure="0">"c856"</definedName>
    <definedName name="IQ_OPTIONS_END_OS" hidden="1" function="0" vbProcedure="0">"c1573"</definedName>
    <definedName name="IQ_OPTIONS_EXERCISED" hidden="1" function="0" vbProcedure="0">"c2116"</definedName>
    <definedName name="IQ_OPTIONS_ISSUED" hidden="1" function="0" vbProcedure="0">"c857"</definedName>
    <definedName name="IQ_ORDER_BACKLOG" hidden="1" function="0" vbProcedure="0">"c2090"</definedName>
    <definedName name="IQ_OTHER_ADJUST_GROSS_LOANS" hidden="1" function="0" vbProcedure="0">"c859"</definedName>
    <definedName name="IQ_OTHER_ASSETS" hidden="1" function="0" vbProcedure="0">"c860"</definedName>
    <definedName name="IQ_OTHER_ASSETS_BNK" hidden="1" function="0" vbProcedure="0">"c861"</definedName>
    <definedName name="IQ_OTHER_ASSETS_BR" hidden="1" function="0" vbProcedure="0">"c862"</definedName>
    <definedName name="IQ_OTHER_ASSETS_FIN" hidden="1" function="0" vbProcedure="0">"c863"</definedName>
    <definedName name="IQ_OTHER_ASSETS_INS" hidden="1" function="0" vbProcedure="0">"c864"</definedName>
    <definedName name="IQ_OTHER_ASSETS_REIT" hidden="1" function="0" vbProcedure="0">"c865"</definedName>
    <definedName name="IQ_OTHER_ASSETS_UTI" hidden="1" function="0" vbProcedure="0">"c866"</definedName>
    <definedName name="IQ_OTHER_BEARING_LIAB" hidden="1" function="0" vbProcedure="0">"c1608"</definedName>
    <definedName name="IQ_OTHER_BENEFITS_OBLIGATION" hidden="1" function="0" vbProcedure="0">"c867"</definedName>
    <definedName name="IQ_OTHER_CA" hidden="1" function="0" vbProcedure="0">"c868"</definedName>
    <definedName name="IQ_OTHER_CA_SUPPL" hidden="1" function="0" vbProcedure="0">"c869"</definedName>
    <definedName name="IQ_OTHER_CA_SUPPL_BNK" hidden="1" function="0" vbProcedure="0">"c870"</definedName>
    <definedName name="IQ_OTHER_CA_SUPPL_BR" hidden="1" function="0" vbProcedure="0">"c871"</definedName>
    <definedName name="IQ_OTHER_CA_SUPPL_FIN" hidden="1" function="0" vbProcedure="0">"c872"</definedName>
    <definedName name="IQ_OTHER_CA_SUPPL_INS" hidden="1" function="0" vbProcedure="0">"c873"</definedName>
    <definedName name="IQ_OTHER_CA_SUPPL_REIT" hidden="1" function="0" vbProcedure="0">"c874"</definedName>
    <definedName name="IQ_OTHER_CA_SUPPL_UTI" hidden="1" function="0" vbProcedure="0">"c875"</definedName>
    <definedName name="IQ_OTHER_CA_UTI" hidden="1" function="0" vbProcedure="0">"c876"</definedName>
    <definedName name="IQ_OTHER_CL" hidden="1" function="0" vbProcedure="0">"c877"</definedName>
    <definedName name="IQ_OTHER_CL_SUPPL" hidden="1" function="0" vbProcedure="0">"c878"</definedName>
    <definedName name="IQ_OTHER_CL_SUPPL_BNK" hidden="1" function="0" vbProcedure="0">"c879"</definedName>
    <definedName name="IQ_OTHER_CL_SUPPL_BR" hidden="1" function="0" vbProcedure="0">"c880"</definedName>
    <definedName name="IQ_OTHER_CL_SUPPL_FIN" hidden="1" function="0" vbProcedure="0">"c881"</definedName>
    <definedName name="IQ_OTHER_CL_SUPPL_REIT" hidden="1" function="0" vbProcedure="0">"c882"</definedName>
    <definedName name="IQ_OTHER_CL_SUPPL_UTI" hidden="1" function="0" vbProcedure="0">"c883"</definedName>
    <definedName name="IQ_OTHER_CL_UTI" hidden="1" function="0" vbProcedure="0">"c884"</definedName>
    <definedName name="IQ_OTHER_CURRENT_ASSETS" hidden="1" function="0" vbProcedure="0">"c1403"</definedName>
    <definedName name="IQ_OTHER_CURRENT_LIAB" hidden="1" function="0" vbProcedure="0">"c1404"</definedName>
    <definedName name="IQ_OTHER_DEP" hidden="1" function="0" vbProcedure="0">"c885"</definedName>
    <definedName name="IQ_OTHER_EARNING" hidden="1" function="0" vbProcedure="0">"c1609"</definedName>
    <definedName name="IQ_OTHER_EQUITY" hidden="1" function="0" vbProcedure="0">"c886"</definedName>
    <definedName name="IQ_OTHER_EQUITY_BNK" hidden="1" function="0" vbProcedure="0">"c887"</definedName>
    <definedName name="IQ_OTHER_EQUITY_BR" hidden="1" function="0" vbProcedure="0">"c888"</definedName>
    <definedName name="IQ_OTHER_EQUITY_FIN" hidden="1" function="0" vbProcedure="0">"c889"</definedName>
    <definedName name="IQ_OTHER_EQUITY_INS" hidden="1" function="0" vbProcedure="0">"c890"</definedName>
    <definedName name="IQ_OTHER_EQUITY_REIT" hidden="1" function="0" vbProcedure="0">"c891"</definedName>
    <definedName name="IQ_OTHER_EQUITY_UTI" hidden="1" function="0" vbProcedure="0">"c892"</definedName>
    <definedName name="IQ_OTHER_FINANCE_ACT" hidden="1" function="0" vbProcedure="0">"c893"</definedName>
    <definedName name="IQ_OTHER_FINANCE_ACT_BNK" hidden="1" function="0" vbProcedure="0">"c894"</definedName>
    <definedName name="IQ_OTHER_FINANCE_ACT_BR" hidden="1" function="0" vbProcedure="0">"c895"</definedName>
    <definedName name="IQ_OTHER_FINANCE_ACT_FIN" hidden="1" function="0" vbProcedure="0">"c896"</definedName>
    <definedName name="IQ_OTHER_FINANCE_ACT_INS" hidden="1" function="0" vbProcedure="0">"c897"</definedName>
    <definedName name="IQ_OTHER_FINANCE_ACT_REIT" hidden="1" function="0" vbProcedure="0">"c898"</definedName>
    <definedName name="IQ_OTHER_FINANCE_ACT_SUPPL" hidden="1" function="0" vbProcedure="0">"c899"</definedName>
    <definedName name="IQ_OTHER_FINANCE_ACT_SUPPL_BNK" hidden="1" function="0" vbProcedure="0">"c900"</definedName>
    <definedName name="IQ_OTHER_FINANCE_ACT_SUPPL_BR" hidden="1" function="0" vbProcedure="0">"c901"</definedName>
    <definedName name="IQ_OTHER_FINANCE_ACT_SUPPL_FIN" hidden="1" function="0" vbProcedure="0">"c902"</definedName>
    <definedName name="IQ_OTHER_FINANCE_ACT_SUPPL_INS" hidden="1" function="0" vbProcedure="0">"c903"</definedName>
    <definedName name="IQ_OTHER_FINANCE_ACT_SUPPL_REIT" hidden="1" function="0" vbProcedure="0">"c904"</definedName>
    <definedName name="IQ_OTHER_FINANCE_ACT_SUPPL_UTI" hidden="1" function="0" vbProcedure="0">"c905"</definedName>
    <definedName name="IQ_OTHER_FINANCE_ACT_UTI" hidden="1" function="0" vbProcedure="0">"c906"</definedName>
    <definedName name="IQ_OTHER_INTAN" hidden="1" function="0" vbProcedure="0">"c907"</definedName>
    <definedName name="IQ_OTHER_INTAN_BNK" hidden="1" function="0" vbProcedure="0">"c908"</definedName>
    <definedName name="IQ_OTHER_INTAN_BR" hidden="1" function="0" vbProcedure="0">"c909"</definedName>
    <definedName name="IQ_OTHER_INTAN_FIN" hidden="1" function="0" vbProcedure="0">"c910"</definedName>
    <definedName name="IQ_OTHER_INTAN_INS" hidden="1" function="0" vbProcedure="0">"c911"</definedName>
    <definedName name="IQ_OTHER_INTAN_REIT" hidden="1" function="0" vbProcedure="0">"c912"</definedName>
    <definedName name="IQ_OTHER_INTAN_UTI" hidden="1" function="0" vbProcedure="0">"c913"</definedName>
    <definedName name="IQ_OTHER_INV" hidden="1" function="0" vbProcedure="0">"c914"</definedName>
    <definedName name="IQ_OTHER_INVEST" hidden="1" function="0" vbProcedure="0">"c915"</definedName>
    <definedName name="IQ_OTHER_INVESTING" hidden="1" function="0" vbProcedure="0">"c1408"</definedName>
    <definedName name="IQ_OTHER_INVEST_ACT" hidden="1" function="0" vbProcedure="0">"c916"</definedName>
    <definedName name="IQ_OTHER_INVEST_ACT_BNK" hidden="1" function="0" vbProcedure="0">"c917"</definedName>
    <definedName name="IQ_OTHER_INVEST_ACT_BR" hidden="1" function="0" vbProcedure="0">"c918"</definedName>
    <definedName name="IQ_OTHER_INVEST_ACT_FIN" hidden="1" function="0" vbProcedure="0">"c919"</definedName>
    <definedName name="IQ_OTHER_INVEST_ACT_INS" hidden="1" function="0" vbProcedure="0">"c920"</definedName>
    <definedName name="IQ_OTHER_INVEST_ACT_REIT" hidden="1" function="0" vbProcedure="0">"c921"</definedName>
    <definedName name="IQ_OTHER_INVEST_ACT_SUPPL" hidden="1" function="0" vbProcedure="0">"c922"</definedName>
    <definedName name="IQ_OTHER_INVEST_ACT_SUPPL_BNK" hidden="1" function="0" vbProcedure="0">"c923"</definedName>
    <definedName name="IQ_OTHER_INVEST_ACT_SUPPL_BR" hidden="1" function="0" vbProcedure="0">"c924"</definedName>
    <definedName name="IQ_OTHER_INVEST_ACT_SUPPL_FIN" hidden="1" function="0" vbProcedure="0">"c925"</definedName>
    <definedName name="IQ_OTHER_INVEST_ACT_SUPPL_INS" hidden="1" function="0" vbProcedure="0">"c926"</definedName>
    <definedName name="IQ_OTHER_INVEST_ACT_SUPPL_REIT" hidden="1" function="0" vbProcedure="0">"c927"</definedName>
    <definedName name="IQ_OTHER_INVEST_ACT_SUPPL_UTI" hidden="1" function="0" vbProcedure="0">"c928"</definedName>
    <definedName name="IQ_OTHER_INVEST_ACT_UTI" hidden="1" function="0" vbProcedure="0">"c929"</definedName>
    <definedName name="IQ_OTHER_LIAB" hidden="1" function="0" vbProcedure="0">"c930"</definedName>
    <definedName name="IQ_OTHER_LIAB_BNK" hidden="1" function="0" vbProcedure="0">"c931"</definedName>
    <definedName name="IQ_OTHER_LIAB_BR" hidden="1" function="0" vbProcedure="0">"c932"</definedName>
    <definedName name="IQ_OTHER_LIAB_FIN" hidden="1" function="0" vbProcedure="0">"c933"</definedName>
    <definedName name="IQ_OTHER_LIAB_INS" hidden="1" function="0" vbProcedure="0">"c934"</definedName>
    <definedName name="IQ_OTHER_LIAB_LT" hidden="1" function="0" vbProcedure="0">"c935"</definedName>
    <definedName name="IQ_OTHER_LIAB_LT_BNK" hidden="1" function="0" vbProcedure="0">"c936"</definedName>
    <definedName name="IQ_OTHER_LIAB_LT_BR" hidden="1" function="0" vbProcedure="0">"c937"</definedName>
    <definedName name="IQ_OTHER_LIAB_LT_FIN" hidden="1" function="0" vbProcedure="0">"c938"</definedName>
    <definedName name="IQ_OTHER_LIAB_LT_INS" hidden="1" function="0" vbProcedure="0">"c939"</definedName>
    <definedName name="IQ_OTHER_LIAB_LT_REIT" hidden="1" function="0" vbProcedure="0">"c940"</definedName>
    <definedName name="IQ_OTHER_LIAB_LT_UTI" hidden="1" function="0" vbProcedure="0">"c941"</definedName>
    <definedName name="IQ_OTHER_LIAB_REIT" hidden="1" function="0" vbProcedure="0">"c942"</definedName>
    <definedName name="IQ_OTHER_LIAB_UTI" hidden="1" function="0" vbProcedure="0">"c943"</definedName>
    <definedName name="IQ_OTHER_LIAB_WRITTEN" hidden="1" function="0" vbProcedure="0">"c944"</definedName>
    <definedName name="IQ_OTHER_LOANS" hidden="1" function="0" vbProcedure="0">"c945"</definedName>
    <definedName name="IQ_OTHER_LONG_TERM" hidden="1" function="0" vbProcedure="0">"c1409"</definedName>
    <definedName name="IQ_OTHER_LT_ASSETS" hidden="1" function="0" vbProcedure="0">"c946"</definedName>
    <definedName name="IQ_OTHER_LT_ASSETS_BNK" hidden="1" function="0" vbProcedure="0">"c947"</definedName>
    <definedName name="IQ_OTHER_LT_ASSETS_BR" hidden="1" function="0" vbProcedure="0">"c948"</definedName>
    <definedName name="IQ_OTHER_LT_ASSETS_FIN" hidden="1" function="0" vbProcedure="0">"c949"</definedName>
    <definedName name="IQ_OTHER_LT_ASSETS_INS" hidden="1" function="0" vbProcedure="0">"c950"</definedName>
    <definedName name="IQ_OTHER_LT_ASSETS_REIT" hidden="1" function="0" vbProcedure="0">"c951"</definedName>
    <definedName name="IQ_OTHER_LT_ASSETS_UTI" hidden="1" function="0" vbProcedure="0">"c952"</definedName>
    <definedName name="IQ_OTHER_NET" hidden="1" function="0" vbProcedure="0">"c1453"</definedName>
    <definedName name="IQ_OTHER_NON_INT_EXP" hidden="1" function="0" vbProcedure="0">"c953"</definedName>
    <definedName name="IQ_OTHER_NON_INT_EXP_TOTAL" hidden="1" function="0" vbProcedure="0">"c954"</definedName>
    <definedName name="IQ_OTHER_NON_INT_INC" hidden="1" function="0" vbProcedure="0">"c955"</definedName>
    <definedName name="IQ_OTHER_NON_OPER_EXP" hidden="1" function="0" vbProcedure="0">"c956"</definedName>
    <definedName name="IQ_OTHER_NON_OPER_EXP_BR" hidden="1" function="0" vbProcedure="0">"c957"</definedName>
    <definedName name="IQ_OTHER_NON_OPER_EXP_FIN" hidden="1" function="0" vbProcedure="0">"c958"</definedName>
    <definedName name="IQ_OTHER_NON_OPER_EXP_INS" hidden="1" function="0" vbProcedure="0">"c959"</definedName>
    <definedName name="IQ_OTHER_NON_OPER_EXP_REIT" hidden="1" function="0" vbProcedure="0">"c960"</definedName>
    <definedName name="IQ_OTHER_NON_OPER_EXP_SUPPL" hidden="1" function="0" vbProcedure="0">"c961"</definedName>
    <definedName name="IQ_OTHER_NON_OPER_EXP_SUPPL_BR" hidden="1" function="0" vbProcedure="0">"c962"</definedName>
    <definedName name="IQ_OTHER_NON_OPER_EXP_SUPPL_FIN" hidden="1" function="0" vbProcedure="0">"c963"</definedName>
    <definedName name="IQ_OTHER_NON_OPER_EXP_SUPPL_INS" hidden="1" function="0" vbProcedure="0">"c964"</definedName>
    <definedName name="IQ_OTHER_NON_OPER_EXP_SUPPL_REIT" hidden="1" function="0" vbProcedure="0">"c965"</definedName>
    <definedName name="IQ_OTHER_NON_OPER_EXP_SUPPL_UTI" hidden="1" function="0" vbProcedure="0">"c966"</definedName>
    <definedName name="IQ_OTHER_NON_OPER_EXP_UTI" hidden="1" function="0" vbProcedure="0">"c967"</definedName>
    <definedName name="IQ_OTHER_OPER" hidden="1" function="0" vbProcedure="0">"c982"</definedName>
    <definedName name="IQ_OTHER_OPER_ACT" hidden="1" function="0" vbProcedure="0">"c983"</definedName>
    <definedName name="IQ_OTHER_OPER_ACT_BNK" hidden="1" function="0" vbProcedure="0">"c984"</definedName>
    <definedName name="IQ_OTHER_OPER_ACT_BR" hidden="1" function="0" vbProcedure="0">"c985"</definedName>
    <definedName name="IQ_OTHER_OPER_ACT_FIN" hidden="1" function="0" vbProcedure="0">"c986"</definedName>
    <definedName name="IQ_OTHER_OPER_ACT_INS" hidden="1" function="0" vbProcedure="0">"c987"</definedName>
    <definedName name="IQ_OTHER_OPER_ACT_REIT" hidden="1" function="0" vbProcedure="0">"c988"</definedName>
    <definedName name="IQ_OTHER_OPER_ACT_UTI" hidden="1" function="0" vbProcedure="0">"c989"</definedName>
    <definedName name="IQ_OTHER_OPER_BR" hidden="1" function="0" vbProcedure="0">"c990"</definedName>
    <definedName name="IQ_OTHER_OPER_FIN" hidden="1" function="0" vbProcedure="0">"c991"</definedName>
    <definedName name="IQ_OTHER_OPER_INS" hidden="1" function="0" vbProcedure="0">"c992"</definedName>
    <definedName name="IQ_OTHER_OPER_REIT" hidden="1" function="0" vbProcedure="0">"c993"</definedName>
    <definedName name="IQ_OTHER_OPER_SUPPL_BR" hidden="1" function="0" vbProcedure="0">"c994"</definedName>
    <definedName name="IQ_OTHER_OPER_SUPPL_FIN" hidden="1" function="0" vbProcedure="0">"c995"</definedName>
    <definedName name="IQ_OTHER_OPER_SUPPL_INS" hidden="1" function="0" vbProcedure="0">"c996"</definedName>
    <definedName name="IQ_OTHER_OPER_SUPPL_REIT" hidden="1" function="0" vbProcedure="0">"c997"</definedName>
    <definedName name="IQ_OTHER_OPER_SUPPL_UTI" hidden="1" function="0" vbProcedure="0">"c998"</definedName>
    <definedName name="IQ_OTHER_OPER_TOT_BNK" hidden="1" function="0" vbProcedure="0">"c999"</definedName>
    <definedName name="IQ_OTHER_OPER_TOT_BR" hidden="1" function="0" vbProcedure="0">"c1000"</definedName>
    <definedName name="IQ_OTHER_OPER_TOT_FIN" hidden="1" function="0" vbProcedure="0">"c1001"</definedName>
    <definedName name="IQ_OTHER_OPER_TOT_INS" hidden="1" function="0" vbProcedure="0">"c1002"</definedName>
    <definedName name="IQ_OTHER_OPER_TOT_REIT" hidden="1" function="0" vbProcedure="0">"c1003"</definedName>
    <definedName name="IQ_OTHER_OPER_TOT_UTI" hidden="1" function="0" vbProcedure="0">"c1004"</definedName>
    <definedName name="IQ_OTHER_OPER_UTI" hidden="1" function="0" vbProcedure="0">"c1005"</definedName>
    <definedName name="IQ_OTHER_OUTSTANDING_BS_DATE" hidden="1" function="0" vbProcedure="0">"c1972"</definedName>
    <definedName name="IQ_OTHER_OUTSTANDING_FILING_DATE" hidden="1" function="0" vbProcedure="0">"c1974"</definedName>
    <definedName name="IQ_OTHER_PC_WRITTEN" hidden="1" function="0" vbProcedure="0">"c1006"</definedName>
    <definedName name="IQ_OTHER_REAL_ESTATE" hidden="1" function="0" vbProcedure="0">"c1007"</definedName>
    <definedName name="IQ_OTHER_RECEIV" hidden="1" function="0" vbProcedure="0">"c1008"</definedName>
    <definedName name="IQ_OTHER_RECEIV_INS" hidden="1" function="0" vbProcedure="0">"c1009"</definedName>
    <definedName name="IQ_OTHER_REV" hidden="1" function="0" vbProcedure="0">"c1010"</definedName>
    <definedName name="IQ_OTHER_REVENUE" hidden="1" function="0" vbProcedure="0">"c1410"</definedName>
    <definedName name="IQ_OTHER_REV_BR" hidden="1" function="0" vbProcedure="0">"c1011"</definedName>
    <definedName name="IQ_OTHER_REV_FIN" hidden="1" function="0" vbProcedure="0">"c1012"</definedName>
    <definedName name="IQ_OTHER_REV_INS" hidden="1" function="0" vbProcedure="0">"c1013"</definedName>
    <definedName name="IQ_OTHER_REV_REIT" hidden="1" function="0" vbProcedure="0">"c1014"</definedName>
    <definedName name="IQ_OTHER_REV_SUPPL" hidden="1" function="0" vbProcedure="0">"c1015"</definedName>
    <definedName name="IQ_OTHER_REV_SUPPL_BR" hidden="1" function="0" vbProcedure="0">"c1016"</definedName>
    <definedName name="IQ_OTHER_REV_SUPPL_FIN" hidden="1" function="0" vbProcedure="0">"c1017"</definedName>
    <definedName name="IQ_OTHER_REV_SUPPL_INS" hidden="1" function="0" vbProcedure="0">"c1018"</definedName>
    <definedName name="IQ_OTHER_REV_SUPPL_REIT" hidden="1" function="0" vbProcedure="0">"c1019"</definedName>
    <definedName name="IQ_OTHER_REV_SUPPL_UTI" hidden="1" function="0" vbProcedure="0">"c1020"</definedName>
    <definedName name="IQ_OTHER_REV_UTI" hidden="1" function="0" vbProcedure="0">"c1021"</definedName>
    <definedName name="IQ_OTHER_UNUSUAL" hidden="1" function="0" vbProcedure="0">"c1488"</definedName>
    <definedName name="IQ_OTHER_UNUSUAL_BNK" hidden="1" function="0" vbProcedure="0">"c1560"</definedName>
    <definedName name="IQ_OTHER_UNUSUAL_BR" hidden="1" function="0" vbProcedure="0">"c1561"</definedName>
    <definedName name="IQ_OTHER_UNUSUAL_FIN" hidden="1" function="0" vbProcedure="0">"c1562"</definedName>
    <definedName name="IQ_OTHER_UNUSUAL_INS" hidden="1" function="0" vbProcedure="0">"c1563"</definedName>
    <definedName name="IQ_OTHER_UNUSUAL_REIT" hidden="1" function="0" vbProcedure="0">"c1564"</definedName>
    <definedName name="IQ_OTHER_UNUSUAL_SUPPL" hidden="1" function="0" vbProcedure="0">"c1494"</definedName>
    <definedName name="IQ_OTHER_UNUSUAL_SUPPL_BNK" hidden="1" function="0" vbProcedure="0">"c1495"</definedName>
    <definedName name="IQ_OTHER_UNUSUAL_SUPPL_BR" hidden="1" function="0" vbProcedure="0">"c1496"</definedName>
    <definedName name="IQ_OTHER_UNUSUAL_SUPPL_FIN" hidden="1" function="0" vbProcedure="0">"c1497"</definedName>
    <definedName name="IQ_OTHER_UNUSUAL_SUPPL_INS" hidden="1" function="0" vbProcedure="0">"c1498"</definedName>
    <definedName name="IQ_OTHER_UNUSUAL_SUPPL_REIT" hidden="1" function="0" vbProcedure="0">"c1499"</definedName>
    <definedName name="IQ_OTHER_UNUSUAL_SUPPL_UTI" hidden="1" function="0" vbProcedure="0">"c1500"</definedName>
    <definedName name="IQ_OTHER_UNUSUAL_UTI" hidden="1" function="0" vbProcedure="0">"c1565"</definedName>
    <definedName name="IQ_OUTSTANDING_BS_DATE" hidden="1" function="0" vbProcedure="0">"c2128"</definedName>
    <definedName name="IQ_OUTSTANDING_FILING_DATE" hidden="1" function="0" vbProcedure="0">"c2127"</definedName>
    <definedName name="IQ_PART_TIME" hidden="1" function="0" vbProcedure="0">"c1024"</definedName>
    <definedName name="IQ_PAYOUT_RATIO" hidden="1" function="0" vbProcedure="0">"c1900"</definedName>
    <definedName name="IQ_PAY_ACCRUED" hidden="1" function="0" vbProcedure="0">"c1457"</definedName>
    <definedName name="IQ_PBV" hidden="1" function="0" vbProcedure="0">"c1025"</definedName>
    <definedName name="IQ_PBV_AVG" hidden="1" function="0" vbProcedure="0">"c1026"</definedName>
    <definedName name="IQ_PC_WRITTEN" hidden="1" function="0" vbProcedure="0">"c1027"</definedName>
    <definedName name="IQ_PENSION" hidden="1" function="0" vbProcedure="0">"c1031"</definedName>
    <definedName name="IQ_PERIODDATE" hidden="1" function="0" vbProcedure="0">"c1414"</definedName>
    <definedName name="IQ_PERIODDATE_BS" hidden="1" function="0" vbProcedure="0">"c1032"</definedName>
    <definedName name="IQ_PERIODDATE_CF" hidden="1" function="0" vbProcedure="0">"c1033"</definedName>
    <definedName name="IQ_PERIODDATE_IS" hidden="1" function="0" vbProcedure="0">"c1034"</definedName>
    <definedName name="IQ_PERIODLENGTH_CF" hidden="1" function="0" vbProcedure="0">"c1502"</definedName>
    <definedName name="IQ_PERIODLENGTH_IS" hidden="1" function="0" vbProcedure="0">"c1503"</definedName>
    <definedName name="IQ_PERTYPE" hidden="1" function="0" vbProcedure="0">"c1611"</definedName>
    <definedName name="IQ_PE_EXCL" hidden="1" function="0" vbProcedure="0">"c1028"</definedName>
    <definedName name="IQ_PE_EXCL_AVG" hidden="1" function="0" vbProcedure="0">"c1029"</definedName>
    <definedName name="IQ_PE_EXCL_FWD" hidden="1" function="0" vbProcedure="0">"c1030"</definedName>
    <definedName name="IQ_PE_RATIO" hidden="1" function="0" vbProcedure="0">"c1610"</definedName>
    <definedName name="IQ_PLL" hidden="1" function="0" vbProcedure="0">"c2114"</definedName>
    <definedName name="IQ_POLICY_BENEFITS" hidden="1" function="0" vbProcedure="0">"c1036"</definedName>
    <definedName name="IQ_POLICY_COST" hidden="1" function="0" vbProcedure="0">"c1037"</definedName>
    <definedName name="IQ_POLICY_LIAB" hidden="1" function="0" vbProcedure="0">"c1612"</definedName>
    <definedName name="IQ_POLICY_LOANS" hidden="1" function="0" vbProcedure="0">"c1038"</definedName>
    <definedName name="IQ_POSTPAID_CHURN" hidden="1" function="0" vbProcedure="0">"c2121"</definedName>
    <definedName name="IQ_POSTPAID_SUBS" hidden="1" function="0" vbProcedure="0">"c2118"</definedName>
    <definedName name="IQ_POST_RETIRE_EXP" hidden="1" function="0" vbProcedure="0">"c1039"</definedName>
    <definedName name="IQ_PREF_CONVERT" hidden="1" function="0" vbProcedure="0">"c1041"</definedName>
    <definedName name="IQ_PREF_DIVID" hidden="1" function="0" vbProcedure="0">"c1461"</definedName>
    <definedName name="IQ_PREF_DIV_CF" hidden="1" function="0" vbProcedure="0">"c1042"</definedName>
    <definedName name="IQ_PREF_DIV_OTHER" hidden="1" function="0" vbProcedure="0">"c1043"</definedName>
    <definedName name="IQ_PREF_EQUITY" hidden="1" function="0" vbProcedure="0">"c1044"</definedName>
    <definedName name="IQ_PREF_ISSUED" hidden="1" function="0" vbProcedure="0">"c1045"</definedName>
    <definedName name="IQ_PREF_ISSUED_BNK" hidden="1" function="0" vbProcedure="0">"c1046"</definedName>
    <definedName name="IQ_PREF_ISSUED_BR" hidden="1" function="0" vbProcedure="0">"c1047"</definedName>
    <definedName name="IQ_PREF_ISSUED_FIN" hidden="1" function="0" vbProcedure="0">"c1048"</definedName>
    <definedName name="IQ_PREF_ISSUED_INS" hidden="1" function="0" vbProcedure="0">"c1049"</definedName>
    <definedName name="IQ_PREF_ISSUED_REIT" hidden="1" function="0" vbProcedure="0">"c1050"</definedName>
    <definedName name="IQ_PREF_ISSUED_UTI" hidden="1" function="0" vbProcedure="0">"c1051"</definedName>
    <definedName name="IQ_PREF_NON_REDEEM" hidden="1" function="0" vbProcedure="0">"c1052"</definedName>
    <definedName name="IQ_PREF_OTHER" hidden="1" function="0" vbProcedure="0">"c1053"</definedName>
    <definedName name="IQ_PREF_OTHER_BNK" hidden="1" function="0" vbProcedure="0">"c1054"</definedName>
    <definedName name="IQ_PREF_OTHER_BR" hidden="1" function="0" vbProcedure="0">"c1055"</definedName>
    <definedName name="IQ_PREF_OTHER_FIN" hidden="1" function="0" vbProcedure="0">"c1056"</definedName>
    <definedName name="IQ_PREF_OTHER_INS" hidden="1" function="0" vbProcedure="0">"c1057"</definedName>
    <definedName name="IQ_PREF_OTHER_REIT" hidden="1" function="0" vbProcedure="0">"c1058"</definedName>
    <definedName name="IQ_PREF_REDEEM" hidden="1" function="0" vbProcedure="0">"c1059"</definedName>
    <definedName name="IQ_PREF_REP" hidden="1" function="0" vbProcedure="0">"c1060"</definedName>
    <definedName name="IQ_PREF_REP_BNK" hidden="1" function="0" vbProcedure="0">"c1061"</definedName>
    <definedName name="IQ_PREF_REP_BR" hidden="1" function="0" vbProcedure="0">"c1062"</definedName>
    <definedName name="IQ_PREF_REP_FIN" hidden="1" function="0" vbProcedure="0">"c1063"</definedName>
    <definedName name="IQ_PREF_REP_INS" hidden="1" function="0" vbProcedure="0">"c1064"</definedName>
    <definedName name="IQ_PREF_REP_REIT" hidden="1" function="0" vbProcedure="0">"c1065"</definedName>
    <definedName name="IQ_PREF_REP_UTI" hidden="1" function="0" vbProcedure="0">"c1066"</definedName>
    <definedName name="IQ_PREF_STOCK" hidden="1" function="0" vbProcedure="0">"c1416"</definedName>
    <definedName name="IQ_PREF_TOT" hidden="1" function="0" vbProcedure="0">"c1415"</definedName>
    <definedName name="IQ_PREMIUMS_ANNUITY_REV" hidden="1" function="0" vbProcedure="0">"c1067"</definedName>
    <definedName name="IQ_PREPAID_CHURN" hidden="1" function="0" vbProcedure="0">"c2120"</definedName>
    <definedName name="IQ_PREPAID_EXP" hidden="1" function="0" vbProcedure="0">"c1068"</definedName>
    <definedName name="IQ_PREPAID_EXPEN" hidden="1" function="0" vbProcedure="0">"c1418"</definedName>
    <definedName name="IQ_PREPAID_SUBS" hidden="1" function="0" vbProcedure="0">"c2117"</definedName>
    <definedName name="IQ_PRE_OPEN_COST" hidden="1" function="0" vbProcedure="0">"c1040"</definedName>
    <definedName name="IQ_PRICEDATE" hidden="1" function="0" vbProcedure="0">"c1069"</definedName>
    <definedName name="IQ_PRICE_OVER_BVPS" hidden="1" function="0" vbProcedure="0">"c1412"</definedName>
    <definedName name="IQ_PRICE_OVER_LTM_EPS" hidden="1" function="0" vbProcedure="0">"c1413"</definedName>
    <definedName name="IQ_PRICE_TARGET" hidden="1" function="0" vbProcedure="0">"c82"</definedName>
    <definedName name="IQ_PRICING_DATE" hidden="1" function="0" vbProcedure="0">"c1613"</definedName>
    <definedName name="IQ_PRIMARY_INDUSTRY" hidden="1" function="0" vbProcedure="0">"c1070"</definedName>
    <definedName name="IQ_PROFESSIONAL" hidden="1" function="0" vbProcedure="0">"c1071"</definedName>
    <definedName name="IQ_PROFESSIONAL_TITLE" hidden="1" function="0" vbProcedure="0">"c1072"</definedName>
    <definedName name="IQ_PROPERTY_EXP" hidden="1" function="0" vbProcedure="0">"c1073"</definedName>
    <definedName name="IQ_PROPERTY_GROSS" hidden="1" function="0" vbProcedure="0">"c1379"</definedName>
    <definedName name="IQ_PROPERTY_MGMT_FEE" hidden="1" function="0" vbProcedure="0">"c1074"</definedName>
    <definedName name="IQ_PROPERTY_NET" hidden="1" function="0" vbProcedure="0">"c1402"</definedName>
    <definedName name="IQ_PROVISION_10YR_ANN_GROWTH" hidden="1" function="0" vbProcedure="0">"c1077"</definedName>
    <definedName name="IQ_PROVISION_1YR_ANN_GROWTH" hidden="1" function="0" vbProcedure="0">"c1078"</definedName>
    <definedName name="IQ_PROVISION_2YR_ANN_GROWTH" hidden="1" function="0" vbProcedure="0">"c1079"</definedName>
    <definedName name="IQ_PROVISION_3YR_ANN_GROWTH" hidden="1" function="0" vbProcedure="0">"c1080"</definedName>
    <definedName name="IQ_PROVISION_5YR_ANN_GROWTH" hidden="1" function="0" vbProcedure="0">"c1081"</definedName>
    <definedName name="IQ_PROVISION_7YR_ANN_GROWTH" hidden="1" function="0" vbProcedure="0">"c1082"</definedName>
    <definedName name="IQ_PROVISION_CHARGE_OFFS" hidden="1" function="0" vbProcedure="0">"c1083"</definedName>
    <definedName name="IQ_PROV_BAD_DEBTS" hidden="1" function="0" vbProcedure="0">"c1075"</definedName>
    <definedName name="IQ_PROV_BAD_DEBTS_CF" hidden="1" function="0" vbProcedure="0">"c1076"</definedName>
    <definedName name="IQ_PRO_FORMA_BASIC_EPS" hidden="1" function="0" vbProcedure="0">"c1614"</definedName>
    <definedName name="IQ_PRO_FORMA_DILUT_EPS" hidden="1" function="0" vbProcedure="0">"c1615"</definedName>
    <definedName name="IQ_PRO_FORMA_NET_INC" hidden="1" function="0" vbProcedure="0">"c1452"</definedName>
    <definedName name="IQ_PTBV" hidden="1" function="0" vbProcedure="0">"c1084"</definedName>
    <definedName name="IQ_PTBV_AVG" hidden="1" function="0" vbProcedure="0">"c1085"</definedName>
    <definedName name="IQ_QUICK_RATIO" hidden="1" function="0" vbProcedure="0">"c1086"</definedName>
    <definedName name="IQ_RATE_COMP_GROWTH_DOMESTIC" hidden="1" function="0" vbProcedure="0">"c1087"</definedName>
    <definedName name="IQ_RATE_COMP_GROWTH_FOREIGN" hidden="1" function="0" vbProcedure="0">"c1088"</definedName>
    <definedName name="IQ_RAW_INV" hidden="1" function="0" vbProcedure="0">"c1089"</definedName>
    <definedName name="IQ_RD_EXP" hidden="1" function="0" vbProcedure="0">"c1090"</definedName>
    <definedName name="IQ_RD_EXP_FN" hidden="1" function="0" vbProcedure="0">"c1091"</definedName>
    <definedName name="IQ_RE" hidden="1" function="0" vbProcedure="0">"c1092"</definedName>
    <definedName name="IQ_REAL_ESTATE" hidden="1" function="0" vbProcedure="0">"c1093"</definedName>
    <definedName name="IQ_REAL_ESTATE_ASSETS" hidden="1" function="0" vbProcedure="0">"c1094"</definedName>
    <definedName name="IQ_REDEEM_PREF_STOCK" hidden="1" function="0" vbProcedure="0">"c1417"</definedName>
    <definedName name="IQ_REG_ASSETS" hidden="1" function="0" vbProcedure="0">"c1095"</definedName>
    <definedName name="IQ_REINSURANCE" hidden="1" function="0" vbProcedure="0">"c1100"</definedName>
    <definedName name="IQ_REINSUR_PAY" hidden="1" function="0" vbProcedure="0">"c1096"</definedName>
    <definedName name="IQ_REINSUR_PAY_CF" hidden="1" function="0" vbProcedure="0">"c1097"</definedName>
    <definedName name="IQ_REINSUR_RECOVER" hidden="1" function="0" vbProcedure="0">"c1098"</definedName>
    <definedName name="IQ_REINSUR_RECOVER_CF" hidden="1" function="0" vbProcedure="0">"c1099"</definedName>
    <definedName name="IQ_RENTAL_REV" hidden="1" function="0" vbProcedure="0">"c1101"</definedName>
    <definedName name="IQ_RESEARCH_DEV" hidden="1" function="0" vbProcedure="0">"c1419"</definedName>
    <definedName name="IQ_RESIDENTIAL_LOANS" hidden="1" function="0" vbProcedure="0">"c1102"</definedName>
    <definedName name="IQ_RESTATEMENT_BS" hidden="1" function="0" vbProcedure="0">"c1643"</definedName>
    <definedName name="IQ_RESTATEMENT_CF" hidden="1" function="0" vbProcedure="0">"c1644"</definedName>
    <definedName name="IQ_RESTATEMENT_IS" hidden="1" function="0" vbProcedure="0">"c1642"</definedName>
    <definedName name="IQ_RESTRICTED_CASH" hidden="1" function="0" vbProcedure="0">"c1103"</definedName>
    <definedName name="IQ_RESTRUCTURE" hidden="1" function="0" vbProcedure="0">"c1104"</definedName>
    <definedName name="IQ_RESTRUCTURED_LOANS" hidden="1" function="0" vbProcedure="0">"c1112"</definedName>
    <definedName name="IQ_RESTRUCTURE_BNK" hidden="1" function="0" vbProcedure="0">"c1105"</definedName>
    <definedName name="IQ_RESTRUCTURE_BR" hidden="1" function="0" vbProcedure="0">"c1106"</definedName>
    <definedName name="IQ_RESTRUCTURE_CF" hidden="1" function="0" vbProcedure="0">"c1107"</definedName>
    <definedName name="IQ_RESTRUCTURE_FIN" hidden="1" function="0" vbProcedure="0">"c1108"</definedName>
    <definedName name="IQ_RESTRUCTURE_INS" hidden="1" function="0" vbProcedure="0">"c1109"</definedName>
    <definedName name="IQ_RESTRUCTURE_REIT" hidden="1" function="0" vbProcedure="0">"c1110"</definedName>
    <definedName name="IQ_RESTRUCTURE_UTI" hidden="1" function="0" vbProcedure="0">"c1111"</definedName>
    <definedName name="IQ_RETAIL_AVG_STORE_SIZE_GROSS" hidden="1" function="0" vbProcedure="0">"c2066"</definedName>
    <definedName name="IQ_RETAIL_AVG_STORE_SIZE_NET" hidden="1" function="0" vbProcedure="0">"c2067"</definedName>
    <definedName name="IQ_RETAIL_CLOSED_STORES" hidden="1" function="0" vbProcedure="0">"c2063"</definedName>
    <definedName name="IQ_RETAIL_OPENED_STORES" hidden="1" function="0" vbProcedure="0">"c2062"</definedName>
    <definedName name="IQ_RETAIL_SALES_SQFT_ALL_GROSS" hidden="1" function="0" vbProcedure="0">"c2138"</definedName>
    <definedName name="IQ_RETAIL_SALES_SQFT_ALL_NET" hidden="1" function="0" vbProcedure="0">"c2139"</definedName>
    <definedName name="IQ_RETAIL_SALES_SQFT_COMPARABLE_GROSS" hidden="1" function="0" vbProcedure="0">"c2136"</definedName>
    <definedName name="IQ_RETAIL_SALES_SQFT_COMPARABLE_NET" hidden="1" function="0" vbProcedure="0">"c2137"</definedName>
    <definedName name="IQ_RETAIL_SALES_SQFT_OWNED_GROSS" hidden="1" function="0" vbProcedure="0">"c2134"</definedName>
    <definedName name="IQ_RETAIL_SALES_SQFT_OWNED_NET" hidden="1" function="0" vbProcedure="0">"c2135"</definedName>
    <definedName name="IQ_RETAIL_SQ_FOOTAGE" hidden="1" function="0" vbProcedure="0">"c2064"</definedName>
    <definedName name="IQ_RETAIL_STORE_SELLING_AREA" hidden="1" function="0" vbProcedure="0">"c2065"</definedName>
    <definedName name="IQ_RETAIL_TOTAL_STORES" hidden="1" function="0" vbProcedure="0">"c2061"</definedName>
    <definedName name="IQ_RETAINED_EARN" hidden="1" function="0" vbProcedure="0">"c1420"</definedName>
    <definedName name="IQ_RETURN_ASSETS" hidden="1" function="0" vbProcedure="0">"c1113"</definedName>
    <definedName name="IQ_RETURN_ASSETS_BANK" hidden="1" function="0" vbProcedure="0">"c1114"</definedName>
    <definedName name="IQ_RETURN_ASSETS_BROK" hidden="1" function="0" vbProcedure="0">"c1115"</definedName>
    <definedName name="IQ_RETURN_ASSETS_FS" hidden="1" function="0" vbProcedure="0">"c1116"</definedName>
    <definedName name="IQ_RETURN_CAPITAL" hidden="1" function="0" vbProcedure="0">"c1117"</definedName>
    <definedName name="IQ_RETURN_EQUITY" hidden="1" function="0" vbProcedure="0">"c1118"</definedName>
    <definedName name="IQ_RETURN_EQUITY_BANK" hidden="1" function="0" vbProcedure="0">"c1119"</definedName>
    <definedName name="IQ_RETURN_EQUITY_BROK" hidden="1" function="0" vbProcedure="0">"c1120"</definedName>
    <definedName name="IQ_RETURN_EQUITY_FS" hidden="1" function="0" vbProcedure="0">"c1121"</definedName>
    <definedName name="IQ_RETURN_INVESTMENT" hidden="1" function="0" vbProcedure="0">"c1421"</definedName>
    <definedName name="IQ_REV" hidden="1" function="0" vbProcedure="0">"c1122"</definedName>
    <definedName name="IQ_REVENUE" hidden="1" function="0" vbProcedure="0">"c1422"</definedName>
    <definedName name="IQ_REV_BEFORE_LL" hidden="1" function="0" vbProcedure="0">"c1123"</definedName>
    <definedName name="IQ_REV_UTI" hidden="1" function="0" vbProcedure="0">"c1125"</definedName>
    <definedName name="IQ_SALARY" hidden="1" function="0" vbProcedure="0">"c1130"</definedName>
    <definedName name="IQ_SALE_INTAN_CF" hidden="1" function="0" vbProcedure="0">"c1131"</definedName>
    <definedName name="IQ_SALE_INTAN_CF_BNK" hidden="1" function="0" vbProcedure="0">"c1132"</definedName>
    <definedName name="IQ_SALE_INTAN_CF_BR" hidden="1" function="0" vbProcedure="0">"c1133"</definedName>
    <definedName name="IQ_SALE_INTAN_CF_FIN" hidden="1" function="0" vbProcedure="0">"c1134"</definedName>
    <definedName name="IQ_SALE_INTAN_CF_INS" hidden="1" function="0" vbProcedure="0">"c1135"</definedName>
    <definedName name="IQ_SALE_INTAN_CF_REIT" hidden="1" function="0" vbProcedure="0">"c1627"</definedName>
    <definedName name="IQ_SALE_INTAN_CF_UTI" hidden="1" function="0" vbProcedure="0">"c1136"</definedName>
    <definedName name="IQ_SALE_PPE_CF" hidden="1" function="0" vbProcedure="0">"c1137"</definedName>
    <definedName name="IQ_SALE_PPE_CF_BNK" hidden="1" function="0" vbProcedure="0">"c1138"</definedName>
    <definedName name="IQ_SALE_PPE_CF_BR" hidden="1" function="0" vbProcedure="0">"c1139"</definedName>
    <definedName name="IQ_SALE_PPE_CF_FIN" hidden="1" function="0" vbProcedure="0">"c1140"</definedName>
    <definedName name="IQ_SALE_PPE_CF_INS" hidden="1" function="0" vbProcedure="0">"c1141"</definedName>
    <definedName name="IQ_SALE_PPE_CF_UTI" hidden="1" function="0" vbProcedure="0">"c1142"</definedName>
    <definedName name="IQ_SALE_REAL_ESTATE_CF" hidden="1" function="0" vbProcedure="0">"c1143"</definedName>
    <definedName name="IQ_SALE_REAL_ESTATE_CF_BNK" hidden="1" function="0" vbProcedure="0">"c1144"</definedName>
    <definedName name="IQ_SALE_REAL_ESTATE_CF_BR" hidden="1" function="0" vbProcedure="0">"c1145"</definedName>
    <definedName name="IQ_SALE_REAL_ESTATE_CF_FIN" hidden="1" function="0" vbProcedure="0">"c1146"</definedName>
    <definedName name="IQ_SALE_REAL_ESTATE_CF_INS" hidden="1" function="0" vbProcedure="0">"c1147"</definedName>
    <definedName name="IQ_SALE_REAL_ESTATE_CF_UTI" hidden="1" function="0" vbProcedure="0">"c1148"</definedName>
    <definedName name="IQ_SALE_RE_ASSETS" hidden="1" function="0" vbProcedure="0">"c1629"</definedName>
    <definedName name="IQ_SAME_STORE" hidden="1" function="0" vbProcedure="0">"c1149"</definedName>
    <definedName name="IQ_SAVING_DEP" hidden="1" function="0" vbProcedure="0">"c1150"</definedName>
    <definedName name="IQ_SECURITY_BORROW" hidden="1" function="0" vbProcedure="0">"c1152"</definedName>
    <definedName name="IQ_SECURITY_OWN" hidden="1" function="0" vbProcedure="0">"c1153"</definedName>
    <definedName name="IQ_SECURITY_RESELL" hidden="1" function="0" vbProcedure="0">"c1154"</definedName>
    <definedName name="IQ_SECUR_RECEIV" hidden="1" function="0" vbProcedure="0">"c1151"</definedName>
    <definedName name="IQ_SEPARATE_ACCT_ASSETS" hidden="1" function="0" vbProcedure="0">"c1155"</definedName>
    <definedName name="IQ_SEPARATE_ACCT_LIAB" hidden="1" function="0" vbProcedure="0">"c1156"</definedName>
    <definedName name="IQ_SERV_CHARGE_DEPOSITS" hidden="1" function="0" vbProcedure="0">"c1157"</definedName>
    <definedName name="IQ_SGA" hidden="1" function="0" vbProcedure="0">"c1158"</definedName>
    <definedName name="IQ_SGA_BNK" hidden="1" function="0" vbProcedure="0">"c1159"</definedName>
    <definedName name="IQ_SGA_INS" hidden="1" function="0" vbProcedure="0">"c1160"</definedName>
    <definedName name="IQ_SGA_MARGIN" hidden="1" function="0" vbProcedure="0">"c1898"</definedName>
    <definedName name="IQ_SGA_REIT" hidden="1" function="0" vbProcedure="0">"c1161"</definedName>
    <definedName name="IQ_SGA_SUPPL" hidden="1" function="0" vbProcedure="0">"c1162"</definedName>
    <definedName name="IQ_SGA_UTI" hidden="1" function="0" vbProcedure="0">"c1163"</definedName>
    <definedName name="IQ_SHAREOUTSTANDING" hidden="1" function="0" vbProcedure="0">"c1347"</definedName>
    <definedName name="IQ_SHARESOUTSTANDING" hidden="1" function="0" vbProcedure="0">"c1164"</definedName>
    <definedName name="IQ_SHORT_INTEREST" hidden="1" function="0" vbProcedure="0">"c1165"</definedName>
    <definedName name="IQ_SHORT_INTEREST_OVER_FLOAT" hidden="1" function="0" vbProcedure="0">"c1577"</definedName>
    <definedName name="IQ_SHORT_INTEREST_PERCENT" hidden="1" function="0" vbProcedure="0">"c1576"</definedName>
    <definedName name="IQ_SHORT_TERM_INVEST" hidden="1" function="0" vbProcedure="0">"c1425"</definedName>
    <definedName name="IQ_SMALL_INT_BEAR_CD" hidden="1" function="0" vbProcedure="0">"c1166"</definedName>
    <definedName name="IQ_SOFTWARE" hidden="1" function="0" vbProcedure="0">"c1167"</definedName>
    <definedName name="IQ_SOURCE" hidden="1" function="0" vbProcedure="0">"c1168"</definedName>
    <definedName name="IQ_SPECIAL_DIV_CF" hidden="1" function="0" vbProcedure="0">"c1169"</definedName>
    <definedName name="IQ_SPECIAL_DIV_CF_BNK" hidden="1" function="0" vbProcedure="0">"c1170"</definedName>
    <definedName name="IQ_SPECIAL_DIV_CF_BR" hidden="1" function="0" vbProcedure="0">"c1171"</definedName>
    <definedName name="IQ_SPECIAL_DIV_CF_FIN" hidden="1" function="0" vbProcedure="0">"c1172"</definedName>
    <definedName name="IQ_SPECIAL_DIV_CF_INS" hidden="1" function="0" vbProcedure="0">"c1173"</definedName>
    <definedName name="IQ_SPECIAL_DIV_CF_REIT" hidden="1" function="0" vbProcedure="0">"c1174"</definedName>
    <definedName name="IQ_SPECIAL_DIV_CF_UTI" hidden="1" function="0" vbProcedure="0">"c1175"</definedName>
    <definedName name="IQ_STATE" hidden="1" function="0" vbProcedure="0">"c1200"</definedName>
    <definedName name="IQ_STATUTORY_SURPLUS" hidden="1" function="0" vbProcedure="0">"c1201"</definedName>
    <definedName name="IQ_STOCK_BASED" hidden="1" function="0" vbProcedure="0">"c1202"</definedName>
    <definedName name="IQ_STOCK_BASED_CF" hidden="1" function="0" vbProcedure="0">"c1203"</definedName>
    <definedName name="IQ_STRIKE_PRICE_ISSUED" hidden="1" function="0" vbProcedure="0">"c1645"</definedName>
    <definedName name="IQ_STRIKE_PRICE_OS" hidden="1" function="0" vbProcedure="0">"c1646"</definedName>
    <definedName name="IQ_ST_DEBT" hidden="1" function="0" vbProcedure="0">"c1176"</definedName>
    <definedName name="IQ_ST_DEBT_BNK" hidden="1" function="0" vbProcedure="0">"c1177"</definedName>
    <definedName name="IQ_ST_DEBT_BR" hidden="1" function="0" vbProcedure="0">"c1178"</definedName>
    <definedName name="IQ_ST_DEBT_FIN" hidden="1" function="0" vbProcedure="0">"c1179"</definedName>
    <definedName name="IQ_ST_DEBT_INS" hidden="1" function="0" vbProcedure="0">"c1180"</definedName>
    <definedName name="IQ_ST_DEBT_ISSUED" hidden="1" function="0" vbProcedure="0">"c1181"</definedName>
    <definedName name="IQ_ST_DEBT_ISSUED_BNK" hidden="1" function="0" vbProcedure="0">"c1182"</definedName>
    <definedName name="IQ_ST_DEBT_ISSUED_BR" hidden="1" function="0" vbProcedure="0">"c1183"</definedName>
    <definedName name="IQ_ST_DEBT_ISSUED_FIN" hidden="1" function="0" vbProcedure="0">"c1184"</definedName>
    <definedName name="IQ_ST_DEBT_ISSUED_INS" hidden="1" function="0" vbProcedure="0">"c1185"</definedName>
    <definedName name="IQ_ST_DEBT_ISSUED_REIT" hidden="1" function="0" vbProcedure="0">"c1186"</definedName>
    <definedName name="IQ_ST_DEBT_ISSUED_UTI" hidden="1" function="0" vbProcedure="0">"c1187"</definedName>
    <definedName name="IQ_ST_DEBT_REIT" hidden="1" function="0" vbProcedure="0">"c1188"</definedName>
    <definedName name="IQ_ST_DEBT_REPAID" hidden="1" function="0" vbProcedure="0">"c1189"</definedName>
    <definedName name="IQ_ST_DEBT_REPAID_BNK" hidden="1" function="0" vbProcedure="0">"c1190"</definedName>
    <definedName name="IQ_ST_DEBT_REPAID_BR" hidden="1" function="0" vbProcedure="0">"c1191"</definedName>
    <definedName name="IQ_ST_DEBT_REPAID_FIN" hidden="1" function="0" vbProcedure="0">"c1192"</definedName>
    <definedName name="IQ_ST_DEBT_REPAID_INS" hidden="1" function="0" vbProcedure="0">"c1193"</definedName>
    <definedName name="IQ_ST_DEBT_REPAID_REIT" hidden="1" function="0" vbProcedure="0">"c1194"</definedName>
    <definedName name="IQ_ST_DEBT_REPAID_UTI" hidden="1" function="0" vbProcedure="0">"c1195"</definedName>
    <definedName name="IQ_ST_DEBT_UTI" hidden="1" function="0" vbProcedure="0">"c1196"</definedName>
    <definedName name="IQ_ST_INVEST" hidden="1" function="0" vbProcedure="0">"c1197"</definedName>
    <definedName name="IQ_ST_INVEST_UTI" hidden="1" function="0" vbProcedure="0">"c1198"</definedName>
    <definedName name="IQ_ST_NOTE_RECEIV" hidden="1" function="0" vbProcedure="0">"c1199"</definedName>
    <definedName name="IQ_SUB_LEASE_AFTER_FIVE" hidden="1" function="0" vbProcedure="0">"c1207"</definedName>
    <definedName name="IQ_SUB_LEASE_INC_CY" hidden="1" function="0" vbProcedure="0">"c1208"</definedName>
    <definedName name="IQ_SUB_LEASE_INC_CY1" hidden="1" function="0" vbProcedure="0">"c1209"</definedName>
    <definedName name="IQ_SUB_LEASE_INC_CY2" hidden="1" function="0" vbProcedure="0">"c1210"</definedName>
    <definedName name="IQ_SUB_LEASE_INC_CY3" hidden="1" function="0" vbProcedure="0">"c1211"</definedName>
    <definedName name="IQ_SUB_LEASE_INC_CY4" hidden="1" function="0" vbProcedure="0">"c1212"</definedName>
    <definedName name="IQ_SUB_LEASE_NEXT_FIVE" hidden="1" function="0" vbProcedure="0">"c1213"</definedName>
    <definedName name="IQ_SVA" hidden="1" function="0" vbProcedure="0">"c1214"</definedName>
    <definedName name="IQ_TAX_BENEFIT_OPTIONS" hidden="1" function="0" vbProcedure="0">"c1215"</definedName>
    <definedName name="IQ_TAX_EQUIV_NET_INT_INC" hidden="1" function="0" vbProcedure="0">"c1216"</definedName>
    <definedName name="IQ_TBV" hidden="1" function="0" vbProcedure="0">"c1906"</definedName>
    <definedName name="IQ_TBV_10YR_ANN_GROWTH" hidden="1" function="0" vbProcedure="0">"c1936"</definedName>
    <definedName name="IQ_TBV_1YR_ANN_GROWTH" hidden="1" function="0" vbProcedure="0">"c1931"</definedName>
    <definedName name="IQ_TBV_2YR_ANN_GROWTH" hidden="1" function="0" vbProcedure="0">"c1932"</definedName>
    <definedName name="IQ_TBV_3YR_ANN_GROWTH" hidden="1" function="0" vbProcedure="0">"c1933"</definedName>
    <definedName name="IQ_TBV_5YR_ANN_GROWTH" hidden="1" function="0" vbProcedure="0">"c1934"</definedName>
    <definedName name="IQ_TBV_7YR_ANN_GROWTH" hidden="1" function="0" vbProcedure="0">"c1935"</definedName>
    <definedName name="IQ_TBV_SHARE" hidden="1" function="0" vbProcedure="0">"c1217"</definedName>
    <definedName name="IQ_TEMPLATE" hidden="1" function="0" vbProcedure="0">"c1521"</definedName>
    <definedName name="IQ_TENANT" hidden="1" function="0" vbProcedure="0">"c1218"</definedName>
    <definedName name="IQ_TEV" hidden="1" function="0" vbProcedure="0">"c1219"</definedName>
    <definedName name="IQ_TEV_EBIT" hidden="1" function="0" vbProcedure="0">"c1220"</definedName>
    <definedName name="IQ_TEV_EBITDA" hidden="1" function="0" vbProcedure="0">"c1222"</definedName>
    <definedName name="IQ_TEV_EBITDA_AVG" hidden="1" function="0" vbProcedure="0">"c1223"</definedName>
    <definedName name="IQ_TEV_EBIT_AVG" hidden="1" function="0" vbProcedure="0">"c1221"</definedName>
    <definedName name="IQ_TEV_EMPLOYEE_AVG" hidden="1" function="0" vbProcedure="0">"c1225"</definedName>
    <definedName name="IQ_TEV_TOTAL_REV" hidden="1" function="0" vbProcedure="0">"c1226"</definedName>
    <definedName name="IQ_TEV_TOTAL_REV_AVG" hidden="1" function="0" vbProcedure="0">"c1227"</definedName>
    <definedName name="IQ_TIER_ONE_RATIO" hidden="1" function="0" vbProcedure="0">"c1229"</definedName>
    <definedName name="IQ_TIME_DEP" hidden="1" function="0" vbProcedure="0">"c1230"</definedName>
    <definedName name="IQ_TODAY" hidden="1" function="0" vbProcedure="0">0</definedName>
    <definedName name="IQ_TOTAL_AR_BR" hidden="1" function="0" vbProcedure="0">"c1231"</definedName>
    <definedName name="IQ_TOTAL_AR_REIT" hidden="1" function="0" vbProcedure="0">"c1232"</definedName>
    <definedName name="IQ_TOTAL_AR_UTI" hidden="1" function="0" vbProcedure="0">"c1233"</definedName>
    <definedName name="IQ_TOTAL_ASSETS" hidden="1" function="0" vbProcedure="0">"c1234"</definedName>
    <definedName name="IQ_TOTAL_ASSETS_10YR_ANN_GROWTH" hidden="1" function="0" vbProcedure="0">"c1235"</definedName>
    <definedName name="IQ_TOTAL_ASSETS_1YR_ANN_GROWTH" hidden="1" function="0" vbProcedure="0">"c1236"</definedName>
    <definedName name="IQ_TOTAL_ASSETS_2YR_ANN_GROWTH" hidden="1" function="0" vbProcedure="0">"c1237"</definedName>
    <definedName name="IQ_TOTAL_ASSETS_3YR_ANN_GROWTH" hidden="1" function="0" vbProcedure="0">"c1238"</definedName>
    <definedName name="IQ_TOTAL_ASSETS_5YR_ANN_GROWTH" hidden="1" function="0" vbProcedure="0">"c1239"</definedName>
    <definedName name="IQ_TOTAL_ASSETS_7YR_ANN_GROWTH" hidden="1" function="0" vbProcedure="0">"c1240"</definedName>
    <definedName name="IQ_TOTAL_AVG_CE_TOTAL_AVG_ASSETS" hidden="1" function="0" vbProcedure="0">"c1241"</definedName>
    <definedName name="IQ_TOTAL_AVG_EQUITY_TOTAL_AVG_ASSETS" hidden="1" function="0" vbProcedure="0">"c1242"</definedName>
    <definedName name="IQ_TOTAL_CA" hidden="1" function="0" vbProcedure="0">"c1243"</definedName>
    <definedName name="IQ_TOTAL_CAP" hidden="1" function="0" vbProcedure="0">"c1507"</definedName>
    <definedName name="IQ_TOTAL_CAPITAL_RATIO" hidden="1" function="0" vbProcedure="0">"c1244"</definedName>
    <definedName name="IQ_TOTAL_CASH_DIVID" hidden="1" function="0" vbProcedure="0">"c1455"</definedName>
    <definedName name="IQ_TOTAL_CASH_FINAN" hidden="1" function="0" vbProcedure="0">"c1352"</definedName>
    <definedName name="IQ_TOTAL_CASH_INVEST" hidden="1" function="0" vbProcedure="0">"c1353"</definedName>
    <definedName name="IQ_TOTAL_CASH_OPER" hidden="1" function="0" vbProcedure="0">"c1354"</definedName>
    <definedName name="IQ_TOTAL_CHURN" hidden="1" function="0" vbProcedure="0">"c2122"</definedName>
    <definedName name="IQ_TOTAL_CL" hidden="1" function="0" vbProcedure="0">"c1245"</definedName>
    <definedName name="IQ_TOTAL_COMMON" hidden="1" function="0" vbProcedure="0">"c1411"</definedName>
    <definedName name="IQ_TOTAL_COMMON_EQUITY" hidden="1" function="0" vbProcedure="0">"c1246"</definedName>
    <definedName name="IQ_TOTAL_CURRENT_ASSETS" hidden="1" function="0" vbProcedure="0">"c1430"</definedName>
    <definedName name="IQ_TOTAL_CURRENT_LIAB" hidden="1" function="0" vbProcedure="0">"c1431"</definedName>
    <definedName name="IQ_TOTAL_DEBT" hidden="1" function="0" vbProcedure="0">"c1247"</definedName>
    <definedName name="IQ_TOTAL_DEBT_CAPITAL" hidden="1" function="0" vbProcedure="0">"c1248"</definedName>
    <definedName name="IQ_TOTAL_DEBT_EBITDA" hidden="1" function="0" vbProcedure="0">"c1249"</definedName>
    <definedName name="IQ_TOTAL_DEBT_EQUITY" hidden="1" function="0" vbProcedure="0">"c1250"</definedName>
    <definedName name="IQ_TOTAL_DEBT_ISSUED" hidden="1" function="0" vbProcedure="0">"c1251"</definedName>
    <definedName name="IQ_TOTAL_DEBT_ISSUED_BNK" hidden="1" function="0" vbProcedure="0">"c1252"</definedName>
    <definedName name="IQ_TOTAL_DEBT_ISSUED_BR" hidden="1" function="0" vbProcedure="0">"c1253"</definedName>
    <definedName name="IQ_TOTAL_DEBT_ISSUED_FIN" hidden="1" function="0" vbProcedure="0">"c1254"</definedName>
    <definedName name="IQ_TOTAL_DEBT_ISSUED_REIT" hidden="1" function="0" vbProcedure="0">"c1255"</definedName>
    <definedName name="IQ_TOTAL_DEBT_ISSUED_UTI" hidden="1" function="0" vbProcedure="0">"c1256"</definedName>
    <definedName name="IQ_TOTAL_DEBT_ISSUES_INS" hidden="1" function="0" vbProcedure="0">"c1257"</definedName>
    <definedName name="IQ_TOTAL_DEBT_OVER_EBITDA" hidden="1" function="0" vbProcedure="0">"c1433"</definedName>
    <definedName name="IQ_TOTAL_DEBT_OVER_TOTAL_BV" hidden="1" function="0" vbProcedure="0">"c1434"</definedName>
    <definedName name="IQ_TOTAL_DEBT_OVER_TOTAL_CAP" hidden="1" function="0" vbProcedure="0">"c1432"</definedName>
    <definedName name="IQ_TOTAL_DEBT_REPAID" hidden="1" function="0" vbProcedure="0">"c1258"</definedName>
    <definedName name="IQ_TOTAL_DEBT_REPAID_BNK" hidden="1" function="0" vbProcedure="0">"c1259"</definedName>
    <definedName name="IQ_TOTAL_DEBT_REPAID_BR" hidden="1" function="0" vbProcedure="0">"c1260"</definedName>
    <definedName name="IQ_TOTAL_DEBT_REPAID_FIN" hidden="1" function="0" vbProcedure="0">"c1261"</definedName>
    <definedName name="IQ_TOTAL_DEBT_REPAID_INS" hidden="1" function="0" vbProcedure="0">"c1262"</definedName>
    <definedName name="IQ_TOTAL_DEBT_REPAID_REIT" hidden="1" function="0" vbProcedure="0">"c1263"</definedName>
    <definedName name="IQ_TOTAL_DEBT_REPAID_UTI" hidden="1" function="0" vbProcedure="0">"c1264"</definedName>
    <definedName name="IQ_TOTAL_DEPOSITS" hidden="1" function="0" vbProcedure="0">"c1265"</definedName>
    <definedName name="IQ_TOTAL_DIV_PAID_CF" hidden="1" function="0" vbProcedure="0">"c1266"</definedName>
    <definedName name="IQ_TOTAL_EMPLOYEES" hidden="1" function="0" vbProcedure="0">"c1522"</definedName>
    <definedName name="IQ_TOTAL_EQUITY" hidden="1" function="0" vbProcedure="0">"c1267"</definedName>
    <definedName name="IQ_TOTAL_EQUITY_10YR_ANN_GROWTH" hidden="1" function="0" vbProcedure="0">"c1268"</definedName>
    <definedName name="IQ_TOTAL_EQUITY_1YR_ANN_GROWTH" hidden="1" function="0" vbProcedure="0">"c1269"</definedName>
    <definedName name="IQ_TOTAL_EQUITY_2YR_ANN_GROWTH" hidden="1" function="0" vbProcedure="0">"c1270"</definedName>
    <definedName name="IQ_TOTAL_EQUITY_3YR_ANN_GROWTH" hidden="1" function="0" vbProcedure="0">"c1271"</definedName>
    <definedName name="IQ_TOTAL_EQUITY_5YR_ANN_GROWTH" hidden="1" function="0" vbProcedure="0">"c1272"</definedName>
    <definedName name="IQ_TOTAL_EQUITY_7YR_ANN_GROWTH" hidden="1" function="0" vbProcedure="0">"c1273"</definedName>
    <definedName name="IQ_TOTAL_EQUITY_ALLOWANCE_TOTAL_LOANS" hidden="1" function="0" vbProcedure="0">"c1274"</definedName>
    <definedName name="IQ_TOTAL_INTEREST_EXP" hidden="1" function="0" vbProcedure="0">"c1382"</definedName>
    <definedName name="IQ_TOTAL_INVENTORY" hidden="1" function="0" vbProcedure="0">"c1385"</definedName>
    <definedName name="IQ_TOTAL_INVEST" hidden="1" function="0" vbProcedure="0">"c1275"</definedName>
    <definedName name="IQ_TOTAL_LIAB" hidden="1" function="0" vbProcedure="0">"c1276"</definedName>
    <definedName name="IQ_TOTAL_LIAB_BNK" hidden="1" function="0" vbProcedure="0">"c1277"</definedName>
    <definedName name="IQ_TOTAL_LIAB_BR" hidden="1" function="0" vbProcedure="0">"c1278"</definedName>
    <definedName name="IQ_TOTAL_LIAB_EQUITY" hidden="1" function="0" vbProcedure="0">"c1279"</definedName>
    <definedName name="IQ_TOTAL_LIAB_FIN" hidden="1" function="0" vbProcedure="0">"c1280"</definedName>
    <definedName name="IQ_TOTAL_LIAB_INS" hidden="1" function="0" vbProcedure="0">"c1281"</definedName>
    <definedName name="IQ_TOTAL_LIAB_REIT" hidden="1" function="0" vbProcedure="0">"c1282"</definedName>
    <definedName name="IQ_TOTAL_LIAB_SHAREHOLD" hidden="1" function="0" vbProcedure="0">"c1435"</definedName>
    <definedName name="IQ_TOTAL_LIAB_TOTAL_ASSETS" hidden="1" function="0" vbProcedure="0">"c1283"</definedName>
    <definedName name="IQ_TOTAL_LONG_DEBT" hidden="1" function="0" vbProcedure="0">"c1617"</definedName>
    <definedName name="IQ_TOTAL_NON_REC" hidden="1" function="0" vbProcedure="0">"c1444"</definedName>
    <definedName name="IQ_TOTAL_OPER_EXPEN" hidden="1" function="0" vbProcedure="0">"c1445"</definedName>
    <definedName name="IQ_TOTAL_OPER_EXP_BR" hidden="1" function="0" vbProcedure="0">"c1284"</definedName>
    <definedName name="IQ_TOTAL_OPER_EXP_FIN" hidden="1" function="0" vbProcedure="0">"c1285"</definedName>
    <definedName name="IQ_TOTAL_OPER_EXP_INS" hidden="1" function="0" vbProcedure="0">"c1286"</definedName>
    <definedName name="IQ_TOTAL_OPER_EXP_REIT" hidden="1" function="0" vbProcedure="0">"c1287"</definedName>
    <definedName name="IQ_TOTAL_OPER_EXP_UTI" hidden="1" function="0" vbProcedure="0">"c1288"</definedName>
    <definedName name="IQ_TOTAL_OTHER_OPER" hidden="1" function="0" vbProcedure="0">"c1289"</definedName>
    <definedName name="IQ_TOTAL_OUTSTANDING_BS_DATE" hidden="1" function="0" vbProcedure="0">"c1022"</definedName>
    <definedName name="IQ_TOTAL_OUTSTANDING_FILING_DATE" hidden="1" function="0" vbProcedure="0">"c2107"</definedName>
    <definedName name="IQ_TOTAL_PENSION_ASSETS" hidden="1" function="0" vbProcedure="0">"c1290"</definedName>
    <definedName name="IQ_TOTAL_PENSION_EXP" hidden="1" function="0" vbProcedure="0">"c1291"</definedName>
    <definedName name="IQ_TOTAL_PENSION_OBLIGATION" hidden="1" function="0" vbProcedure="0">"c1292"</definedName>
    <definedName name="IQ_TOTAL_PROVED_RESERVES_OIL" hidden="1" function="0" vbProcedure="0">"c2040"</definedName>
    <definedName name="IQ_TOTAL_RECEIV" hidden="1" function="0" vbProcedure="0">"c1293"</definedName>
    <definedName name="IQ_TOTAL_REV" hidden="1" function="0" vbProcedure="0">"c1294"</definedName>
    <definedName name="IQ_TOTAL_REVENUE" hidden="1" function="0" vbProcedure="0">"c1436"</definedName>
    <definedName name="IQ_TOTAL_REV_10YR_ANN_GROWTH" hidden="1" function="0" vbProcedure="0">"c1295"</definedName>
    <definedName name="IQ_TOTAL_REV_1YR_ANN_GROWTH" hidden="1" function="0" vbProcedure="0">"c1296"</definedName>
    <definedName name="IQ_TOTAL_REV_2YR_ANN_GROWTH" hidden="1" function="0" vbProcedure="0">"c1297"</definedName>
    <definedName name="IQ_TOTAL_REV_3YR_ANN_GROWTH" hidden="1" function="0" vbProcedure="0">"c1298"</definedName>
    <definedName name="IQ_TOTAL_REV_5YR_ANN_GROWTH" hidden="1" function="0" vbProcedure="0">"c1299"</definedName>
    <definedName name="IQ_TOTAL_REV_7YR_ANN_GROWTH" hidden="1" function="0" vbProcedure="0">"c1300"</definedName>
    <definedName name="IQ_TOTAL_REV_AS_REPORTED" hidden="1" function="0" vbProcedure="0">"c1301"</definedName>
    <definedName name="IQ_TOTAL_REV_BNK" hidden="1" function="0" vbProcedure="0">"c1302"</definedName>
    <definedName name="IQ_TOTAL_REV_BR" hidden="1" function="0" vbProcedure="0">"c1303"</definedName>
    <definedName name="IQ_TOTAL_REV_EMPLOYEE" hidden="1" function="0" vbProcedure="0">"c1304"</definedName>
    <definedName name="IQ_TOTAL_REV_FIN" hidden="1" function="0" vbProcedure="0">"c1305"</definedName>
    <definedName name="IQ_TOTAL_REV_INS" hidden="1" function="0" vbProcedure="0">"c1306"</definedName>
    <definedName name="IQ_TOTAL_REV_REIT" hidden="1" function="0" vbProcedure="0">"c1307"</definedName>
    <definedName name="IQ_TOTAL_REV_SHARE" hidden="1" function="0" vbProcedure="0">"c1912"</definedName>
    <definedName name="IQ_TOTAL_REV_UTI" hidden="1" function="0" vbProcedure="0">"c1308"</definedName>
    <definedName name="IQ_TOTAL_SPECIAL" hidden="1" function="0" vbProcedure="0">"c1618"</definedName>
    <definedName name="IQ_TOTAL_ST_BORROW" hidden="1" function="0" vbProcedure="0">"c1424"</definedName>
    <definedName name="IQ_TOTAL_SUBS" hidden="1" function="0" vbProcedure="0">"c2119"</definedName>
    <definedName name="IQ_TOTAL_UNUSUAL" hidden="1" function="0" vbProcedure="0">"c1508"</definedName>
    <definedName name="IQ_TOT_ADJ_INC" hidden="1" function="0" vbProcedure="0">"c1616"</definedName>
    <definedName name="IQ_TRADE_AR" hidden="1" function="0" vbProcedure="0">"c1345"</definedName>
    <definedName name="IQ_TRADE_PRINCIPAL" hidden="1" function="0" vbProcedure="0">"c1309"</definedName>
    <definedName name="IQ_TRADING_ASSETS" hidden="1" function="0" vbProcedure="0">"c1310"</definedName>
    <definedName name="IQ_TREASURY" hidden="1" function="0" vbProcedure="0">"c1311"</definedName>
    <definedName name="IQ_TREASURY_OTHER_EQUITY" hidden="1" function="0" vbProcedure="0">"c1312"</definedName>
    <definedName name="IQ_TREASURY_OTHER_EQUITY_BNK" hidden="1" function="0" vbProcedure="0">"c1313"</definedName>
    <definedName name="IQ_TREASURY_OTHER_EQUITY_BR" hidden="1" function="0" vbProcedure="0">"c1314"</definedName>
    <definedName name="IQ_TREASURY_OTHER_EQUITY_FIN" hidden="1" function="0" vbProcedure="0">"c1315"</definedName>
    <definedName name="IQ_TREASURY_OTHER_EQUITY_INS" hidden="1" function="0" vbProcedure="0">"c1316"</definedName>
    <definedName name="IQ_TREASURY_OTHER_EQUITY_REIT" hidden="1" function="0" vbProcedure="0">"c1317"</definedName>
    <definedName name="IQ_TREASURY_OTHER_EQUITY_UTI" hidden="1" function="0" vbProcedure="0">"c1318"</definedName>
    <definedName name="IQ_TREASURY_STOCK" hidden="1" function="0" vbProcedure="0">"c1438"</definedName>
    <definedName name="IQ_TRUST_INC" hidden="1" function="0" vbProcedure="0">"c1319"</definedName>
    <definedName name="IQ_TRUST_PREF" hidden="1" function="0" vbProcedure="0">"c1320"</definedName>
    <definedName name="IQ_UFCF_10YR_ANN_GROWTH" hidden="1" function="0" vbProcedure="0">"c1948"</definedName>
    <definedName name="IQ_UFCF_1YR_ANN_GROWTH" hidden="1" function="0" vbProcedure="0">"c1943"</definedName>
    <definedName name="IQ_UFCF_2YR_ANN_GROWTH" hidden="1" function="0" vbProcedure="0">"c1944"</definedName>
    <definedName name="IQ_UFCF_3YR_ANN_GROWTH" hidden="1" function="0" vbProcedure="0">"c1945"</definedName>
    <definedName name="IQ_UFCF_5YR_ANN_GROWTH" hidden="1" function="0" vbProcedure="0">"c1946"</definedName>
    <definedName name="IQ_UFCF_7YR_ANN_GROWTH" hidden="1" function="0" vbProcedure="0">"c1947"</definedName>
    <definedName name="IQ_UFCF_MARGIN" hidden="1" function="0" vbProcedure="0">"c1962"</definedName>
    <definedName name="IQ_UNEARN_PREMIUM" hidden="1" function="0" vbProcedure="0">"c1321"</definedName>
    <definedName name="IQ_UNEARN_REV_CURRENT" hidden="1" function="0" vbProcedure="0">"c1322"</definedName>
    <definedName name="IQ_UNEARN_REV_CURRENT_BNK" hidden="1" function="0" vbProcedure="0">"c1323"</definedName>
    <definedName name="IQ_UNEARN_REV_CURRENT_BR" hidden="1" function="0" vbProcedure="0">"c1324"</definedName>
    <definedName name="IQ_UNEARN_REV_CURRENT_FIN" hidden="1" function="0" vbProcedure="0">"c1325"</definedName>
    <definedName name="IQ_UNEARN_REV_CURRENT_INS" hidden="1" function="0" vbProcedure="0">"c1326"</definedName>
    <definedName name="IQ_UNEARN_REV_CURRENT_REIT" hidden="1" function="0" vbProcedure="0">"c1327"</definedName>
    <definedName name="IQ_UNEARN_REV_CURRENT_UTI" hidden="1" function="0" vbProcedure="0">"c1328"</definedName>
    <definedName name="IQ_UNEARN_REV_LT" hidden="1" function="0" vbProcedure="0">"c1329"</definedName>
    <definedName name="IQ_UNLEVERED_FCF" hidden="1" function="0" vbProcedure="0">"c1908"</definedName>
    <definedName name="IQ_UNPAID_CLAIMS" hidden="1" function="0" vbProcedure="0">"c1330"</definedName>
    <definedName name="IQ_UNREALIZED_GAIN" hidden="1" function="0" vbProcedure="0">"c1619"</definedName>
    <definedName name="IQ_UNUSUAL_EXP" hidden="1" function="0" vbProcedure="0">"c1456"</definedName>
    <definedName name="IQ_US_GAAP" hidden="1" function="0" vbProcedure="0">"c1331"</definedName>
    <definedName name="IQ_UTIL_PPE_NET" hidden="1" function="0" vbProcedure="0">"c1620"</definedName>
    <definedName name="IQ_UTIL_REV" hidden="1" function="0" vbProcedure="0">"c2091"</definedName>
    <definedName name="IQ_UV_PENSION_LIAB" hidden="1" function="0" vbProcedure="0">"c1332"</definedName>
    <definedName name="IQ_VALUE_TRADED_LAST_3MTH" hidden="1" function="0" vbProcedure="0">"c1530"</definedName>
    <definedName name="IQ_VALUE_TRADED_LAST_6MTH" hidden="1" function="0" vbProcedure="0">"c1531"</definedName>
    <definedName name="IQ_VALUE_TRADED_LAST_MTH" hidden="1" function="0" vbProcedure="0">"c1529"</definedName>
    <definedName name="IQ_VALUE_TRADED_LAST_WK" hidden="1" function="0" vbProcedure="0">"c1528"</definedName>
    <definedName name="IQ_VALUE_TRADED_LAST_YR" hidden="1" function="0" vbProcedure="0">"c1532"</definedName>
    <definedName name="IQ_VOLUME" hidden="1" function="0" vbProcedure="0">"c1333"</definedName>
    <definedName name="IQ_VOL_LAST_3MTH" hidden="1" function="0" vbProcedure="0">"c1525"</definedName>
    <definedName name="IQ_VOL_LAST_6MTH" hidden="1" function="0" vbProcedure="0">"c1526"</definedName>
    <definedName name="IQ_VOL_LAST_MTH" hidden="1" function="0" vbProcedure="0">"c1524"</definedName>
    <definedName name="IQ_VOL_LAST_WK" hidden="1" function="0" vbProcedure="0">"c1523"</definedName>
    <definedName name="IQ_VOL_LAST_YR" hidden="1" function="0" vbProcedure="0">"c1527"</definedName>
    <definedName name="IQ_WEIGHTED_AVG_PRICE" hidden="1" function="0" vbProcedure="0">"c1334"</definedName>
    <definedName name="IQ_WIP_INV" hidden="1" function="0" vbProcedure="0">"c1335"</definedName>
    <definedName name="IQ_WORKMEN_WRITTEN" hidden="1" function="0" vbProcedure="0">"c1336"</definedName>
    <definedName name="IQ_XDIV_DATE" hidden="1" function="0" vbProcedure="0">"c2104"</definedName>
    <definedName name="IQ_YEARHIGH" hidden="1" function="0" vbProcedure="0">"c1337"</definedName>
    <definedName name="IQ_YEARLOW" hidden="1" function="0" vbProcedure="0">"c1338"</definedName>
    <definedName name="IQ_YTD" hidden="1" function="0" vbProcedure="0">3000</definedName>
    <definedName name="IQ_Z_SCORE" hidden="1" function="0" vbProcedure="0">"c1339"</definedName>
    <definedName name="last_close" hidden="0" function="0" vbProcedure="0">Valuation!$G$7</definedName>
    <definedName name="Market_Equity" hidden="0" function="0" vbProcedure="0">#REF!</definedName>
    <definedName name="midyear" hidden="0" function="0" vbProcedure="0">#REF!</definedName>
    <definedName name="Net_Debt" hidden="0" function="0" vbProcedure="0">#REF!</definedName>
    <definedName name="NumofGrpAccts" hidden="1" function="0" vbProcedure="0">2</definedName>
    <definedName name="nvnvnvnv" hidden="1" function="0" vbProcedure="0">{#N/A,#N/A,FALSE,"Aging Summary";#N/A,#N/A,FALSE,"Ratio Analysis";#N/A,#N/A,FALSE,"Test 120 Day Accts";#N/A,#N/A,FALSE,"Tickmarks"}</definedName>
    <definedName name="range" hidden="0" function="0" vbProcedure="0">#REF!</definedName>
    <definedName name="RowLevel" hidden="1" function="0" vbProcedure="0">1</definedName>
    <definedName name="Stub_year_fraction" hidden="0" function="0" vbProcedure="0">#REF!</definedName>
    <definedName name="TBdbName" hidden="1" function="0" vbProcedure="0">"88D5BF544BE111D2B8C5006097494125.mdb"</definedName>
    <definedName name="TextRefCopyRangeCount" hidden="1" function="0" vbProcedure="0">68</definedName>
    <definedName name="ticker" hidden="0" function="0" vbProcedure="0">Valuation!$D$7</definedName>
    <definedName name="Useful_Life_of_Depreciable_PP_E" hidden="0" function="0" vbProcedure="0">"PPElife"</definedName>
    <definedName name="wrn.Aging._.and._.Trend._.Analysis." hidden="1" function="0" vbProcedure="0">{#N/A,#N/A,FALSE,"Aging Summary";#N/A,#N/A,FALSE,"Ratio Analysis";#N/A,#N/A,FALSE,"Test 120 Day Accts";#N/A,#N/A,FALSE,"Tickmarks"}</definedName>
    <definedName name="wrn.EXPENSES._.98._.US." hidden="1" function="0" vbProcedure="0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 function="0" vbProcedure="0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 function="0" vbProcedure="0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 function="0" vbProcedure="0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 function="0" vbProcedure="0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 function="0" vbProcedure="0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 function="0" vbProcedure="0">{#N/A,#N/A,FALSE,"Graficos    ( 9 )"}</definedName>
    <definedName name="wrn.WORK._.PAPER." hidden="1" function="0" vbProcedure="0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 function="0" vbProcedure="0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 function="0" vbProcedure="0">2</definedName>
    <definedName name="XRefCopy1" hidden="1" function="0" vbProcedure="0">#REF!</definedName>
    <definedName name="XRefCopy10" hidden="1" function="0" vbProcedure="0">#REF!</definedName>
    <definedName name="XRefCopy10Row" hidden="1" function="0" vbProcedure="0">#REF!</definedName>
    <definedName name="XRefCopy12" hidden="1" function="0" vbProcedure="0">#REF!</definedName>
    <definedName name="XRefCopy12Row" hidden="1" function="0" vbProcedure="0">#REF!</definedName>
    <definedName name="XRefCopy13" hidden="1" function="0" vbProcedure="0">#REF!</definedName>
    <definedName name="XRefCopy13Row" hidden="1" function="0" vbProcedure="0">#REF!</definedName>
    <definedName name="XRefCopy15" hidden="1" function="0" vbProcedure="0">#REF!</definedName>
    <definedName name="XRefCopy15Row" hidden="1" function="0" vbProcedure="0">#REF!</definedName>
    <definedName name="XRefCopy16Row" hidden="1" function="0" vbProcedure="0">#REF!</definedName>
    <definedName name="XRefCopy17" hidden="1" function="0" vbProcedure="0">#REF!</definedName>
    <definedName name="XRefCopy17Row" hidden="1" function="0" vbProcedure="0">#REF!</definedName>
    <definedName name="XRefCopy18" hidden="1" function="0" vbProcedure="0">#REF!</definedName>
    <definedName name="XRefCopy18Row" hidden="1" function="0" vbProcedure="0">#REF!</definedName>
    <definedName name="XRefCopy19" hidden="1" function="0" vbProcedure="0">#REF!</definedName>
    <definedName name="XRefCopy19Row" hidden="1" function="0" vbProcedure="0">#REF!</definedName>
    <definedName name="XRefCopy2" hidden="1" function="0" vbProcedure="0">#REF!</definedName>
    <definedName name="XRefCopy20" hidden="1" function="0" vbProcedure="0">#REF!</definedName>
    <definedName name="XRefCopy20Row" hidden="1" function="0" vbProcedure="0">#REF!</definedName>
    <definedName name="XRefCopy21" hidden="1" function="0" vbProcedure="0">#REF!</definedName>
    <definedName name="XRefCopy21Row" hidden="1" function="0" vbProcedure="0">#REF!</definedName>
    <definedName name="XRefCopy28" hidden="1" function="0" vbProcedure="0">#REF!</definedName>
    <definedName name="XRefCopy28Row" hidden="1" function="0" vbProcedure="0">#REF!</definedName>
    <definedName name="XRefCopy29" hidden="1" function="0" vbProcedure="0">#REF!</definedName>
    <definedName name="XRefCopy29Row" hidden="1" function="0" vbProcedure="0">#REF!</definedName>
    <definedName name="XRefCopy3" hidden="1" function="0" vbProcedure="0">#REF!</definedName>
    <definedName name="XRefCopy30Row" hidden="1" function="0" vbProcedure="0">#REF!</definedName>
    <definedName name="XRefCopy31" hidden="1" function="0" vbProcedure="0">#REF!</definedName>
    <definedName name="XRefCopy31Row" hidden="1" function="0" vbProcedure="0">#REF!</definedName>
    <definedName name="XRefCopy33Row" hidden="1" function="0" vbProcedure="0">#REF!</definedName>
    <definedName name="XRefCopy39" hidden="1" function="0" vbProcedure="0">#REF!</definedName>
    <definedName name="XRefCopy4" hidden="1" function="0" vbProcedure="0">#REF!</definedName>
    <definedName name="XRefCopy40Row" hidden="1" function="0" vbProcedure="0">#REF!</definedName>
    <definedName name="XRefCopy43Row" hidden="1" function="0" vbProcedure="0">#REF!</definedName>
    <definedName name="XRefCopy44Row" hidden="1" function="0" vbProcedure="0">#REF!</definedName>
    <definedName name="XRefCopy49Row" hidden="1" function="0" vbProcedure="0">#REF!</definedName>
    <definedName name="XRefCopy4Row" hidden="1" function="0" vbProcedure="0">#REF!</definedName>
    <definedName name="XRefCopy5" hidden="1" function="0" vbProcedure="0">#REF!</definedName>
    <definedName name="XRefCopy50Row" hidden="1" function="0" vbProcedure="0">#REF!</definedName>
    <definedName name="XRefCopy51Row" hidden="1" function="0" vbProcedure="0">#REF!</definedName>
    <definedName name="XRefCopy52Row" hidden="1" function="0" vbProcedure="0">#REF!</definedName>
    <definedName name="XRefCopy53Row" hidden="1" function="0" vbProcedure="0">#REF!</definedName>
    <definedName name="XRefCopy55Row" hidden="1" function="0" vbProcedure="0">#REF!</definedName>
    <definedName name="XRefCopy56" hidden="1" function="0" vbProcedure="0">#REF!</definedName>
    <definedName name="XRefCopy56Row" hidden="1" function="0" vbProcedure="0">#REF!</definedName>
    <definedName name="XRefCopy5Row" hidden="1" function="0" vbProcedure="0">#REF!</definedName>
    <definedName name="XRefCopy6" hidden="1" function="0" vbProcedure="0">#REF!</definedName>
    <definedName name="XRefCopy61" hidden="1" function="0" vbProcedure="0">#REF!</definedName>
    <definedName name="XRefCopy61Row" hidden="1" function="0" vbProcedure="0">#REF!</definedName>
    <definedName name="XRefCopy63Row" hidden="1" function="0" vbProcedure="0">#REF!</definedName>
    <definedName name="XRefCopy64Row" hidden="1" function="0" vbProcedure="0">#REF!</definedName>
    <definedName name="XRefCopy65Row" hidden="1" function="0" vbProcedure="0">#REF!</definedName>
    <definedName name="XRefCopy66" hidden="1" function="0" vbProcedure="0">#REF!</definedName>
    <definedName name="XRefCopy66Row" hidden="1" function="0" vbProcedure="0">#REF!</definedName>
    <definedName name="XRefCopy67Row" hidden="1" function="0" vbProcedure="0">#REF!</definedName>
    <definedName name="XRefCopy68Row" hidden="1" function="0" vbProcedure="0">#REF!</definedName>
    <definedName name="XRefCopy69Row" hidden="1" function="0" vbProcedure="0">#REF!</definedName>
    <definedName name="XRefCopy6Row" hidden="1" function="0" vbProcedure="0">#REF!</definedName>
    <definedName name="XRefCopy7" hidden="1" function="0" vbProcedure="0">#REF!</definedName>
    <definedName name="XRefCopy70Row" hidden="1" function="0" vbProcedure="0">#REF!</definedName>
    <definedName name="XRefCopy71Row" hidden="1" function="0" vbProcedure="0">#REF!</definedName>
    <definedName name="XRefCopy72Row" hidden="1" function="0" vbProcedure="0">#REF!</definedName>
    <definedName name="XRefCopy73Row" hidden="1" function="0" vbProcedure="0">#REF!</definedName>
    <definedName name="XRefCopy74Row" hidden="1" function="0" vbProcedure="0">#REF!</definedName>
    <definedName name="XRefCopy75Row" hidden="1" function="0" vbProcedure="0">#REF!</definedName>
    <definedName name="XRefCopy76Row" hidden="1" function="0" vbProcedure="0">#REF!</definedName>
    <definedName name="XRefCopy77Row" hidden="1" function="0" vbProcedure="0">#REF!</definedName>
    <definedName name="XRefCopy78Row" hidden="1" function="0" vbProcedure="0">#REF!</definedName>
    <definedName name="XRefCopy7Row" hidden="1" function="0" vbProcedure="0">#REF!</definedName>
    <definedName name="XRefCopy8" hidden="1" function="0" vbProcedure="0">#REF!</definedName>
    <definedName name="XRefCopy80Row" hidden="1" function="0" vbProcedure="0">#REF!</definedName>
    <definedName name="XRefCopy81" hidden="1" function="0" vbProcedure="0">#REF!</definedName>
    <definedName name="XRefCopy81Row" hidden="1" function="0" vbProcedure="0">#REF!</definedName>
    <definedName name="XRefCopy82Row" hidden="1" function="0" vbProcedure="0">#REF!</definedName>
    <definedName name="XRefCopy8Row" hidden="1" function="0" vbProcedure="0">#REF!</definedName>
    <definedName name="XRefCopy9" hidden="1" function="0" vbProcedure="0">#REF!</definedName>
    <definedName name="XRefCopy9Row" hidden="1" function="0" vbProcedure="0">#REF!</definedName>
    <definedName name="XRefCopyRangeCount" hidden="1" function="0" vbProcedure="0">5</definedName>
    <definedName name="XRefPaste1" hidden="1" function="0" vbProcedure="0">#REF!</definedName>
    <definedName name="XRefPaste10" hidden="1" function="0" vbProcedure="0">#REF!</definedName>
    <definedName name="XRefPaste101" hidden="1" function="0" vbProcedure="0">#REF!</definedName>
    <definedName name="XRefPaste101Row" hidden="1" function="0" vbProcedure="0">#REF!</definedName>
    <definedName name="XRefPaste102" hidden="1" function="0" vbProcedure="0">#REF!</definedName>
    <definedName name="XRefPaste102Row" hidden="1" function="0" vbProcedure="0">#REF!</definedName>
    <definedName name="XRefPaste103" hidden="1" function="0" vbProcedure="0">#REF!</definedName>
    <definedName name="XRefPaste103Row" hidden="1" function="0" vbProcedure="0">#REF!</definedName>
    <definedName name="XRefPaste104Row" hidden="1" function="0" vbProcedure="0">#REF!</definedName>
    <definedName name="XRefPaste105Row" hidden="1" function="0" vbProcedure="0">#REF!</definedName>
    <definedName name="XRefPaste106" hidden="1" function="0" vbProcedure="0">#REF!</definedName>
    <definedName name="XRefPaste106Row" hidden="1" function="0" vbProcedure="0">#REF!</definedName>
    <definedName name="XRefPaste107Row" hidden="1" function="0" vbProcedure="0">#REF!</definedName>
    <definedName name="XRefPaste108Row" hidden="1" function="0" vbProcedure="0">#REF!</definedName>
    <definedName name="XRefPaste11" hidden="1" function="0" vbProcedure="0">#REF!</definedName>
    <definedName name="XRefPaste111Row" hidden="1" function="0" vbProcedure="0">#REF!</definedName>
    <definedName name="XRefPaste112Row" hidden="1" function="0" vbProcedure="0">#REF!</definedName>
    <definedName name="XRefPaste117" hidden="1" function="0" vbProcedure="0">#REF!</definedName>
    <definedName name="XRefPaste117Row" hidden="1" function="0" vbProcedure="0">#REF!</definedName>
    <definedName name="XRefPaste118" hidden="1" function="0" vbProcedure="0">#REF!</definedName>
    <definedName name="XRefPaste118Row" hidden="1" function="0" vbProcedure="0">#REF!</definedName>
    <definedName name="XRefPaste119" hidden="1" function="0" vbProcedure="0">#REF!</definedName>
    <definedName name="XRefPaste119Row" hidden="1" function="0" vbProcedure="0">#REF!</definedName>
    <definedName name="XRefPaste12" hidden="1" function="0" vbProcedure="0">#REF!</definedName>
    <definedName name="XRefPaste120" hidden="1" function="0" vbProcedure="0">#REF!</definedName>
    <definedName name="XRefPaste120Row" hidden="1" function="0" vbProcedure="0">#REF!</definedName>
    <definedName name="XRefPaste121Row" hidden="1" function="0" vbProcedure="0">#REF!</definedName>
    <definedName name="XRefPaste122Row" hidden="1" function="0" vbProcedure="0">#REF!</definedName>
    <definedName name="XRefPaste123Row" hidden="1" function="0" vbProcedure="0">#REF!</definedName>
    <definedName name="XRefPaste124Row" hidden="1" function="0" vbProcedure="0">#REF!</definedName>
    <definedName name="XRefPaste126Row" hidden="1" function="0" vbProcedure="0">#REF!</definedName>
    <definedName name="XRefPaste127Row" hidden="1" function="0" vbProcedure="0">#REF!</definedName>
    <definedName name="XRefPaste128Row" hidden="1" function="0" vbProcedure="0">#REF!</definedName>
    <definedName name="XRefPaste129Row" hidden="1" function="0" vbProcedure="0">#REF!</definedName>
    <definedName name="XRefPaste13" hidden="1" function="0" vbProcedure="0">#REF!</definedName>
    <definedName name="XRefPaste130Row" hidden="1" function="0" vbProcedure="0">#REF!</definedName>
    <definedName name="XRefPaste131Row" hidden="1" function="0" vbProcedure="0">#REF!</definedName>
    <definedName name="XRefPaste132Row" hidden="1" function="0" vbProcedure="0">#REF!</definedName>
    <definedName name="XRefPaste133Row" hidden="1" function="0" vbProcedure="0">#REF!</definedName>
    <definedName name="XRefPaste134Row" hidden="1" function="0" vbProcedure="0">#REF!</definedName>
    <definedName name="XRefPaste135Row" hidden="1" function="0" vbProcedure="0">#REF!</definedName>
    <definedName name="XRefPaste136Row" hidden="1" function="0" vbProcedure="0">#REF!</definedName>
    <definedName name="XRefPaste137Row" hidden="1" function="0" vbProcedure="0">#REF!</definedName>
    <definedName name="XRefPaste138Row" hidden="1" function="0" vbProcedure="0">#REF!</definedName>
    <definedName name="XRefPaste139" hidden="1" function="0" vbProcedure="0">#REF!</definedName>
    <definedName name="XRefPaste139Row" hidden="1" function="0" vbProcedure="0">#REF!</definedName>
    <definedName name="XRefPaste14" hidden="1" function="0" vbProcedure="0">#REF!</definedName>
    <definedName name="XRefPaste15" hidden="1" function="0" vbProcedure="0">#REF!</definedName>
    <definedName name="XRefPaste15Row" hidden="1" function="0" vbProcedure="0">#REF!</definedName>
    <definedName name="XRefPaste16" hidden="1" function="0" vbProcedure="0">#REF!</definedName>
    <definedName name="XRefPaste16Row" hidden="1" function="0" vbProcedure="0">#REF!</definedName>
    <definedName name="XRefPaste17Row" hidden="1" function="0" vbProcedure="0">#REF!</definedName>
    <definedName name="XRefPaste18" hidden="1" function="0" vbProcedure="0">#REF!</definedName>
    <definedName name="XRefPaste18Row" hidden="1" function="0" vbProcedure="0">#REF!</definedName>
    <definedName name="XRefPaste19" hidden="1" function="0" vbProcedure="0">#REF!</definedName>
    <definedName name="XRefPaste19Row" hidden="1" function="0" vbProcedure="0">#REF!</definedName>
    <definedName name="XRefPaste1Row" hidden="1" function="0" vbProcedure="0">#REF!</definedName>
    <definedName name="XRefPaste2" hidden="1" function="0" vbProcedure="0">#REF!</definedName>
    <definedName name="XRefPaste26" hidden="1" function="0" vbProcedure="0">#REF!</definedName>
    <definedName name="XRefPaste26Row" hidden="1" function="0" vbProcedure="0">#REF!</definedName>
    <definedName name="XRefPaste27Row" hidden="1" function="0" vbProcedure="0">#REF!</definedName>
    <definedName name="XRefPaste28" hidden="1" function="0" vbProcedure="0">#REF!</definedName>
    <definedName name="XRefPaste28Row" hidden="1" function="0" vbProcedure="0">#REF!</definedName>
    <definedName name="XRefPaste29" hidden="1" function="0" vbProcedure="0">#REF!</definedName>
    <definedName name="XRefPaste29Row" hidden="1" function="0" vbProcedure="0">#REF!</definedName>
    <definedName name="XRefPaste2Row" hidden="1" function="0" vbProcedure="0">#REF!</definedName>
    <definedName name="XRefPaste3" hidden="1" function="0" vbProcedure="0">#REF!</definedName>
    <definedName name="XRefPaste31" hidden="1" function="0" vbProcedure="0">#REF!</definedName>
    <definedName name="XRefPaste31Row" hidden="1" function="0" vbProcedure="0">#REF!</definedName>
    <definedName name="XRefPaste32" hidden="1" function="0" vbProcedure="0">#REF!</definedName>
    <definedName name="XRefPaste32Row" hidden="1" function="0" vbProcedure="0">#REF!</definedName>
    <definedName name="XRefPaste35" hidden="1" function="0" vbProcedure="0">#REF!</definedName>
    <definedName name="XRefPaste35Row" hidden="1" function="0" vbProcedure="0">#REF!</definedName>
    <definedName name="XRefPaste37" hidden="1" function="0" vbProcedure="0">#REF!</definedName>
    <definedName name="XRefPaste37Row" hidden="1" function="0" vbProcedure="0">#REF!</definedName>
    <definedName name="XRefPaste38" hidden="1" function="0" vbProcedure="0">#REF!</definedName>
    <definedName name="XRefPaste38Row" hidden="1" function="0" vbProcedure="0">#REF!</definedName>
    <definedName name="XRefPaste39" hidden="1" function="0" vbProcedure="0">#REF!</definedName>
    <definedName name="XRefPaste39Row" hidden="1" function="0" vbProcedure="0">#REF!</definedName>
    <definedName name="XRefPaste3Row" hidden="1" function="0" vbProcedure="0">#REF!</definedName>
    <definedName name="XRefPaste4" hidden="1" function="0" vbProcedure="0">#REF!</definedName>
    <definedName name="XRefPaste44" hidden="1" function="0" vbProcedure="0">#REF!</definedName>
    <definedName name="XRefPaste44Row" hidden="1" function="0" vbProcedure="0">#REF!</definedName>
    <definedName name="XRefPaste45" hidden="1" function="0" vbProcedure="0">#REF!</definedName>
    <definedName name="XRefPaste45Row" hidden="1" function="0" vbProcedure="0">#REF!</definedName>
    <definedName name="XRefPaste4Row" hidden="1" function="0" vbProcedure="0">#REF!</definedName>
    <definedName name="XRefPaste5" hidden="1" function="0" vbProcedure="0">#REF!</definedName>
    <definedName name="XRefPaste56Row" hidden="1" function="0" vbProcedure="0">#REF!</definedName>
    <definedName name="XRefPaste57Row" hidden="1" function="0" vbProcedure="0">#REF!</definedName>
    <definedName name="XRefPaste59Row" hidden="1" function="0" vbProcedure="0">#REF!</definedName>
    <definedName name="XRefPaste5Row" hidden="1" function="0" vbProcedure="0">#REF!</definedName>
    <definedName name="XRefPaste6" hidden="1" function="0" vbProcedure="0">#REF!</definedName>
    <definedName name="XRefPaste62Row" hidden="1" function="0" vbProcedure="0">#REF!</definedName>
    <definedName name="XRefPaste63Row" hidden="1" function="0" vbProcedure="0">#REF!</definedName>
    <definedName name="XRefPaste64Row" hidden="1" function="0" vbProcedure="0">#REF!</definedName>
    <definedName name="XRefPaste65Row" hidden="1" function="0" vbProcedure="0">#REF!</definedName>
    <definedName name="XRefPaste67Row" hidden="1" function="0" vbProcedure="0">#REF!</definedName>
    <definedName name="XRefPaste68Row" hidden="1" function="0" vbProcedure="0">#REF!</definedName>
    <definedName name="XRefPaste69Row" hidden="1" function="0" vbProcedure="0">#REF!</definedName>
    <definedName name="XRefPaste6Row" hidden="1" function="0" vbProcedure="0">#REF!</definedName>
    <definedName name="XRefPaste7" hidden="1" function="0" vbProcedure="0">#REF!</definedName>
    <definedName name="XRefPaste70Row" hidden="1" function="0" vbProcedure="0">#REF!</definedName>
    <definedName name="XRefPaste71Row" hidden="1" function="0" vbProcedure="0">#REF!</definedName>
    <definedName name="XRefPaste75Row" hidden="1" function="0" vbProcedure="0">#REF!</definedName>
    <definedName name="XRefPaste7Row" hidden="1" function="0" vbProcedure="0">#REF!</definedName>
    <definedName name="XRefPaste8" hidden="1" function="0" vbProcedure="0">#REF!</definedName>
    <definedName name="XRefPaste9" hidden="1" function="0" vbProcedure="0">#REF!</definedName>
    <definedName name="XRefPaste99Row" hidden="1" function="0" vbProcedure="0">#REF!</definedName>
    <definedName name="XRefPasteRangeCount" hidden="1" function="0" vbProcedure="0">35</definedName>
    <definedName name="XREF_COLUMN_1" hidden="1" function="0" vbProcedure="0">#REF!</definedName>
    <definedName name="XREF_COLUMN_10" hidden="1" function="0" vbProcedure="0">#REF!</definedName>
    <definedName name="XREF_COLUMN_11" hidden="1" function="0" vbProcedure="0">#REF!</definedName>
    <definedName name="XREF_COLUMN_14" hidden="1" function="0" vbProcedure="0">#REF!</definedName>
    <definedName name="XREF_COLUMN_15" hidden="1" function="0" vbProcedure="0">#REF!</definedName>
    <definedName name="XREF_COLUMN_16" hidden="1" function="0" vbProcedure="0">#REF!</definedName>
    <definedName name="XREF_COLUMN_17" hidden="1" function="0" vbProcedure="0">#REF!</definedName>
    <definedName name="XREF_COLUMN_19" hidden="1" function="0" vbProcedure="0">#REF!</definedName>
    <definedName name="XREF_COLUMN_2" hidden="1" function="0" vbProcedure="0">#REF!</definedName>
    <definedName name="XREF_COLUMN_20" hidden="1" function="0" vbProcedure="0">#REF!</definedName>
    <definedName name="XREF_COLUMN_21" hidden="1" function="0" vbProcedure="0">#REF!</definedName>
    <definedName name="XREF_COLUMN_3" hidden="1" function="0" vbProcedure="0">#REF!</definedName>
    <definedName name="XREF_COLUMN_4" hidden="1" function="0" vbProcedure="0">#REF!</definedName>
    <definedName name="XREF_COLUMN_5" hidden="1" function="0" vbProcedure="0">#REF!</definedName>
    <definedName name="XREF_COLUMN_6" hidden="1" function="0" vbProcedure="0">#REF!</definedName>
    <definedName name="XREF_COLUMN_7" hidden="1" function="0" vbProcedure="0">#REF!</definedName>
    <definedName name="XREF_COLUMN_8" hidden="1" function="0" vbProcedure="0">#REF!</definedName>
    <definedName name="XREF_COLUMN_9" hidden="1" function="0" vbProcedure="0">#REF!</definedName>
    <definedName name="_Fill" hidden="1" function="0" vbProcedure="0">#REF!</definedName>
    <definedName name="beta_observed" localSheetId="1" hidden="0" function="0" vbProcedure="0">#REF!</definedName>
    <definedName name="ticker" localSheetId="1" hidden="0" function="0" vbProcedure="0">#REF!</definedName>
    <definedName name="costdebtfirm" localSheetId="3" hidden="0" function="0" vbProcedure="0">Valuation!$D$86</definedName>
    <definedName name="costequity" localSheetId="3" hidden="0" function="0" vbProcedure="0">Valuation!$D$94</definedName>
    <definedName name="debt" localSheetId="3" hidden="0" function="0" vbProcedure="0">Valuation!$G$88</definedName>
    <definedName name="debt_weight" localSheetId="3" hidden="0" function="0" vbProcedure="0">Valuation!$J$88</definedName>
    <definedName name="g" localSheetId="3" hidden="0" function="0" vbProcedure="0">Valuation!$D$63</definedName>
    <definedName name="market_equity" localSheetId="3" hidden="0" function="0" vbProcedure="0">Valuation!$G$89</definedName>
    <definedName name="noplat_t1" localSheetId="3" hidden="0" function="0" vbProcedure="0">Valuation!$D$65</definedName>
    <definedName name="relevered_beta" localSheetId="3" hidden="0" function="0" vbProcedure="0">Valuation!$M$102</definedName>
    <definedName name="risk_free_rate" localSheetId="3" hidden="0" function="0" vbProcedure="0">Valuation!$D$91</definedName>
    <definedName name="risk_premium" localSheetId="3" hidden="0" function="0" vbProcedure="0">Valuation!$D$92</definedName>
    <definedName name="ronic" localSheetId="3" hidden="0" function="0" vbProcedure="0">Valuation!$D$64</definedName>
    <definedName name="scenario" localSheetId="3" hidden="0" function="0" vbProcedure="0">Valuation!$E$8</definedName>
    <definedName name="stub_year_fraction" localSheetId="3" hidden="0" function="0" vbProcedure="0">Valuation!$D$11</definedName>
    <definedName name="totalcap" localSheetId="3" hidden="0" function="0" vbProcedure="0">Valuation!$G$90</definedName>
    <definedName name="wacc" localSheetId="3" hidden="0" function="0" vbProcedure="0">Valuation!$D$12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3">
    <numFmt numFmtId="164" formatCode="#,##0.0;\(#,##0.0\)"/>
    <numFmt numFmtId="165" formatCode="#,##0;\(#,##0\)"/>
    <numFmt numFmtId="166" formatCode="#,##0_ ;[RED]\-#,##0\ "/>
    <numFmt numFmtId="167" formatCode="#,##0_);[RED]\(#,##0\)"/>
    <numFmt numFmtId="168" formatCode="#,##0.0_);[RED]\(#,##0.0\)"/>
    <numFmt numFmtId="169" formatCode="#,##0.0_ ;[RED]\-#,##0.0\ "/>
    <numFmt numFmtId="170" formatCode="[$-409]d\-mmm;@"/>
    <numFmt numFmtId="171" formatCode="[$-409]d\-mmm"/>
    <numFmt numFmtId="172" formatCode="[$-416]d\-mmm"/>
    <numFmt numFmtId="173" formatCode="0.0%"/>
    <numFmt numFmtId="174" formatCode="#,##0.0;[RED]#,##0.0"/>
    <numFmt numFmtId="175" formatCode="#,##0.00_);[RED]\(#,##0.00\)"/>
    <numFmt numFmtId="176" formatCode="0.0\x"/>
    <numFmt numFmtId="177" formatCode="0.0"/>
    <numFmt numFmtId="178" formatCode="[$-409]d\-mmm\-yy;@"/>
    <numFmt numFmtId="179" formatCode="[$BRL]\ #,##0.00_);[RED]\([$BRL]\ #,##0.00\)"/>
    <numFmt numFmtId="180" formatCode="#,##0.0_);\(#,##0.0\)"/>
    <numFmt numFmtId="181" formatCode="#,##0.000_);\(#,##0.000\)"/>
    <numFmt numFmtId="182" formatCode="&quot;R$ &quot;#,##0.00"/>
    <numFmt numFmtId="183" formatCode="#,##0.0\x"/>
    <numFmt numFmtId="184" formatCode="\$#,##0.00_);&quot;($&quot;#,##0.00\)"/>
    <numFmt numFmtId="185" formatCode="#,##0.000_);[RED]\(#,##0.000\)"/>
    <numFmt numFmtId="186" formatCode="\$#,##0.00_);[RED]&quot;($&quot;#,##0.00\)"/>
    <numFmt numFmtId="187" formatCode="\$#,##0.0_);&quot;($&quot;#,##0.0\)"/>
    <numFmt numFmtId="188" formatCode="#,##0_);\(#,##0\)"/>
    <numFmt numFmtId="189" formatCode="0.0%;\(0.0%\)"/>
    <numFmt numFmtId="190" formatCode="0.000"/>
    <numFmt numFmtId="191" formatCode="#,##0.00_);\(#,##0.00\)"/>
    <numFmt numFmtId="192" formatCode="_(\$* #,##0.00_);_(\$* \(#,##0.00\);_(\$* \-??_);_(@_)"/>
    <numFmt numFmtId="193" formatCode="m/d/yyyy"/>
    <numFmt numFmtId="194" formatCode="0_);\(0\)"/>
    <numFmt numFmtId="195" formatCode="_(* #,##0.00_);_(* \(#,##0.00\);_(* \-??_);_(@_)"/>
    <numFmt numFmtId="196" formatCode="#,##0.0"/>
  </numFmts>
  <fonts count="28">
    <font>
      <name val="Aptos Narrow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sz val="10"/>
    </font>
    <font>
      <name val="Arial"/>
      <charset val="1"/>
      <family val="2"/>
      <b val="1"/>
      <sz val="8"/>
    </font>
    <font>
      <name val="Verdana"/>
      <charset val="1"/>
      <family val="2"/>
      <color theme="1"/>
      <sz val="10"/>
    </font>
    <font>
      <name val="Arial"/>
      <charset val="1"/>
      <family val="2"/>
      <sz val="8"/>
    </font>
    <font>
      <name val="Arial"/>
      <charset val="1"/>
      <family val="2"/>
      <b val="1"/>
      <color rgb="FF333333"/>
      <sz val="10"/>
    </font>
    <font>
      <name val="Calibri"/>
      <charset val="1"/>
      <family val="2"/>
      <color rgb="FF000000"/>
      <sz val="11"/>
    </font>
    <font>
      <name val="Cambria"/>
      <charset val="1"/>
      <family val="0"/>
      <b val="1"/>
      <sz val="11"/>
    </font>
    <font>
      <name val="Verdana"/>
      <charset val="1"/>
      <family val="0"/>
      <color rgb="FF808080"/>
      <sz val="10"/>
    </font>
    <font>
      <name val="Verdana"/>
      <charset val="1"/>
      <family val="2"/>
      <color rgb="FF0000FF"/>
      <sz val="10"/>
    </font>
    <font>
      <name val="Verdana"/>
      <charset val="1"/>
      <family val="2"/>
      <b val="1"/>
      <color theme="1"/>
      <sz val="10"/>
    </font>
    <font>
      <name val="Verdana"/>
      <charset val="1"/>
      <family val="2"/>
      <b val="1"/>
      <color rgb="FFFFFFFF"/>
      <sz val="10"/>
    </font>
    <font>
      <name val="Verdana"/>
      <charset val="1"/>
      <family val="2"/>
      <i val="1"/>
      <color theme="1"/>
      <sz val="10"/>
    </font>
    <font>
      <name val="Verdana"/>
      <charset val="1"/>
      <family val="2"/>
      <sz val="10"/>
    </font>
    <font>
      <name val="Verdana"/>
      <charset val="1"/>
      <family val="2"/>
      <b val="1"/>
      <color theme="0"/>
      <sz val="10"/>
    </font>
    <font>
      <name val="Verdana"/>
      <charset val="1"/>
      <family val="2"/>
      <b val="1"/>
      <sz val="10"/>
    </font>
    <font>
      <name val="Verdana"/>
      <charset val="1"/>
      <family val="2"/>
      <b val="1"/>
      <color theme="0" tint="-0.05"/>
      <sz val="10"/>
    </font>
    <font>
      <name val="Cambria"/>
      <charset val="1"/>
      <family val="0"/>
      <color rgb="FF808080"/>
      <sz val="11"/>
    </font>
    <font>
      <name val="Verdana"/>
      <charset val="1"/>
      <family val="2"/>
      <b val="1"/>
      <color rgb="FF333333"/>
      <sz val="10"/>
    </font>
    <font>
      <name val="Verdana"/>
      <charset val="1"/>
      <family val="2"/>
      <b val="1"/>
      <color rgb="FF0000FF"/>
      <sz val="10"/>
    </font>
    <font>
      <name val="Verdana"/>
      <charset val="1"/>
      <family val="2"/>
      <sz val="10"/>
      <u val="single"/>
    </font>
    <font>
      <name val="Verdana"/>
      <charset val="1"/>
      <family val="2"/>
      <color rgb="FF008000"/>
      <sz val="10"/>
    </font>
    <font>
      <name val="Arial"/>
      <family val="2"/>
      <sz val="10"/>
    </font>
    <font>
      <b val="1"/>
    </font>
    <font>
      <name val="Verdana"/>
      <b val="1"/>
      <sz val="10"/>
    </font>
  </fonts>
  <fills count="12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rgb="FFFFF2CC"/>
        <bgColor rgb="FFFFFFCC"/>
      </patternFill>
    </fill>
    <fill>
      <patternFill patternType="solid">
        <fgColor theme="4" tint="0.3999"/>
        <bgColor rgb="FF00B0F0"/>
      </patternFill>
    </fill>
    <fill>
      <patternFill patternType="solid">
        <fgColor rgb="FF00B0F0"/>
        <bgColor rgb="FF46B1E1"/>
      </patternFill>
    </fill>
    <fill>
      <patternFill patternType="solid">
        <fgColor theme="0" tint="-0.05"/>
        <bgColor rgb="FFFFFFFF"/>
      </patternFill>
    </fill>
  </fills>
  <borders count="30">
    <border>
      <left/>
      <right/>
      <top/>
      <bottom/>
      <diagonal/>
    </border>
    <border>
      <left/>
      <right/>
      <top/>
      <bottom style="thin"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/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/>
      <right style="thin"/>
      <top/>
      <bottom/>
      <diagonal/>
    </border>
    <border>
      <left style="hair">
        <color rgb="FF0000FF"/>
      </left>
      <right style="hair">
        <color rgb="FF0000FF"/>
      </right>
      <top style="thin"/>
      <bottom style="hair">
        <color rgb="FF0000FF"/>
      </bottom>
      <diagonal/>
    </border>
    <border>
      <left style="thin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/>
      <diagonal/>
    </border>
    <border>
      <left style="thin">
        <color rgb="FFFFFF00"/>
      </left>
      <right/>
      <top/>
      <bottom style="thin"/>
      <diagonal/>
    </border>
    <border>
      <left style="medium">
        <color rgb="FF00B050"/>
      </left>
      <right style="thin"/>
      <top style="medium">
        <color rgb="FF00B050"/>
      </top>
      <bottom style="medium">
        <color rgb="FF00B050"/>
      </bottom>
      <diagonal/>
    </border>
    <border>
      <left/>
      <right style="thin"/>
      <top style="thin">
        <color rgb="FFFFFF00"/>
      </top>
      <bottom style="thin">
        <color rgb="FFFFFF00"/>
      </bottom>
      <diagonal/>
    </border>
    <border>
      <left/>
      <right style="thin"/>
      <top style="thin">
        <color rgb="FFFFFF00"/>
      </top>
      <bottom/>
      <diagonal/>
    </border>
    <border>
      <left style="thin"/>
      <right style="thin"/>
      <top style="thin"/>
      <bottom style="thin"/>
      <diagonal/>
    </border>
  </borders>
  <cellStyleXfs count="1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 applyAlignment="1">
      <alignment horizontal="general" vertical="bottom"/>
    </xf>
    <xf numFmtId="192" fontId="4" fillId="0" borderId="0" applyAlignment="1">
      <alignment horizontal="general" vertical="bottom"/>
    </xf>
    <xf numFmtId="193" fontId="5" fillId="0" borderId="1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6" fillId="0" borderId="0" applyAlignment="1">
      <alignment horizontal="general" vertical="bottom"/>
    </xf>
    <xf numFmtId="194" fontId="7" fillId="0" borderId="0" applyAlignment="1">
      <alignment horizontal="general" vertical="bottom"/>
    </xf>
    <xf numFmtId="0" fontId="8" fillId="2" borderId="2" applyAlignment="1">
      <alignment horizontal="general" vertical="bottom"/>
    </xf>
    <xf numFmtId="9" fontId="6" fillId="0" borderId="0" applyAlignment="1">
      <alignment horizontal="general" vertical="bottom"/>
    </xf>
    <xf numFmtId="195" fontId="9" fillId="0" borderId="0" applyAlignment="1">
      <alignment horizontal="general" vertical="bottom"/>
    </xf>
  </cellStyleXfs>
  <cellXfs count="520">
    <xf numFmtId="0" fontId="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0" fontId="13" fillId="0" borderId="0" applyAlignment="1" pivotButton="0" quotePrefix="0" xfId="0">
      <alignment horizontal="general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general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1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23">
      <alignment horizontal="center" vertical="bottom"/>
    </xf>
    <xf numFmtId="166" fontId="6" fillId="3" borderId="0" applyAlignment="1" pivotButton="0" quotePrefix="0" xfId="23">
      <alignment horizontal="center" vertical="bottom"/>
    </xf>
    <xf numFmtId="0" fontId="11" fillId="0" borderId="0" applyAlignment="1" pivotButton="0" quotePrefix="0" xfId="23">
      <alignment horizontal="center" vertical="bottom"/>
    </xf>
    <xf numFmtId="166" fontId="11" fillId="3" borderId="0" applyAlignment="1" pivotButton="0" quotePrefix="0" xfId="23">
      <alignment horizontal="center" vertical="bottom"/>
    </xf>
    <xf numFmtId="167" fontId="12" fillId="4" borderId="0" applyAlignment="1" pivotButton="0" quotePrefix="0" xfId="0">
      <alignment horizontal="center" vertical="bottom"/>
    </xf>
    <xf numFmtId="0" fontId="6" fillId="5" borderId="0" applyAlignment="1" pivotButton="0" quotePrefix="0" xfId="22">
      <alignment horizontal="general" vertical="bottom"/>
    </xf>
    <xf numFmtId="168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bottom"/>
    </xf>
    <xf numFmtId="169" fontId="6" fillId="5" borderId="0" applyAlignment="1" pivotButton="0" quotePrefix="0" xfId="22">
      <alignment horizontal="left" vertical="bottom"/>
    </xf>
    <xf numFmtId="0" fontId="6" fillId="5" borderId="0" applyAlignment="1" pivotButton="0" quotePrefix="0" xfId="22">
      <alignment horizontal="left" vertical="bottom"/>
    </xf>
    <xf numFmtId="0" fontId="6" fillId="5" borderId="1" applyAlignment="1" pivotButton="0" quotePrefix="0" xfId="22">
      <alignment horizontal="left" vertical="bottom"/>
    </xf>
    <xf numFmtId="168" fontId="6" fillId="0" borderId="0" applyAlignment="1" pivotButton="0" quotePrefix="0" xfId="0">
      <alignment horizontal="general" vertical="bottom"/>
    </xf>
    <xf numFmtId="0" fontId="13" fillId="0" borderId="0" applyAlignment="1" pivotButton="0" quotePrefix="0" xfId="22">
      <alignment horizontal="general" vertical="bottom"/>
    </xf>
    <xf numFmtId="0" fontId="6" fillId="0" borderId="0" applyAlignment="1" pivotButton="0" quotePrefix="0" xfId="22">
      <alignment horizontal="general" vertical="bottom"/>
    </xf>
    <xf numFmtId="0" fontId="13" fillId="5" borderId="0" applyAlignment="1" pivotButton="0" quotePrefix="0" xfId="22">
      <alignment horizontal="general" vertical="bottom"/>
    </xf>
    <xf numFmtId="168" fontId="13" fillId="0" borderId="0" applyAlignment="1" pivotButton="0" quotePrefix="0" xfId="0">
      <alignment horizontal="center" vertical="bottom"/>
    </xf>
    <xf numFmtId="170" fontId="12" fillId="4" borderId="0" applyAlignment="1" pivotButton="0" quotePrefix="0" xfId="0">
      <alignment horizontal="center" vertical="bottom"/>
    </xf>
    <xf numFmtId="171" fontId="12" fillId="4" borderId="0" applyAlignment="1" pivotButton="0" quotePrefix="0" xfId="23">
      <alignment horizontal="center" vertical="bottom"/>
    </xf>
    <xf numFmtId="172" fontId="6" fillId="5" borderId="0" applyAlignment="1" pivotButton="0" quotePrefix="0" xfId="23">
      <alignment horizontal="center" vertical="bottom"/>
    </xf>
    <xf numFmtId="172" fontId="13" fillId="5" borderId="0" applyAlignment="1" pivotButton="0" quotePrefix="0" xfId="23">
      <alignment horizontal="center" vertical="bottom"/>
    </xf>
    <xf numFmtId="170" fontId="12" fillId="0" borderId="0" applyAlignment="1" pivotButton="0" quotePrefix="0" xfId="0">
      <alignment horizontal="center" vertical="bottom"/>
    </xf>
    <xf numFmtId="166" fontId="6" fillId="0" borderId="0" applyAlignment="1" pivotButton="0" quotePrefix="0" xfId="23">
      <alignment horizontal="center" vertical="bottom"/>
    </xf>
    <xf numFmtId="0" fontId="13" fillId="3" borderId="0" applyAlignment="1" pivotButton="0" quotePrefix="0" xfId="23">
      <alignment horizontal="center" vertical="bottom"/>
    </xf>
    <xf numFmtId="10" fontId="13" fillId="0" borderId="0" applyAlignment="1" pivotButton="0" quotePrefix="0" xfId="19">
      <alignment horizontal="center" vertical="bottom"/>
    </xf>
    <xf numFmtId="0" fontId="13" fillId="0" borderId="0" applyAlignment="1" pivotButton="0" quotePrefix="0" xfId="23">
      <alignment horizontal="center" vertical="bottom"/>
    </xf>
    <xf numFmtId="10" fontId="13" fillId="0" borderId="0" applyAlignment="1" pivotButton="0" quotePrefix="0" xfId="23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left" vertical="bottom"/>
    </xf>
    <xf numFmtId="168" fontId="13" fillId="5" borderId="0" applyAlignment="1" pivotButton="0" quotePrefix="0" xfId="0">
      <alignment horizontal="center" vertical="bottom"/>
    </xf>
    <xf numFmtId="0" fontId="13" fillId="7" borderId="0" applyAlignment="1" pivotButton="0" quotePrefix="0" xfId="0">
      <alignment horizontal="general" vertical="bottom"/>
    </xf>
    <xf numFmtId="0" fontId="13" fillId="7" borderId="0" applyAlignment="1" pivotButton="0" quotePrefix="0" xfId="0">
      <alignment horizontal="center" vertical="bottom"/>
    </xf>
    <xf numFmtId="0" fontId="6" fillId="7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general" vertical="bottom"/>
    </xf>
    <xf numFmtId="168" fontId="13" fillId="7" borderId="0" applyAlignment="1" pivotButton="0" quotePrefix="0" xfId="0">
      <alignment horizontal="center" vertical="bottom"/>
    </xf>
    <xf numFmtId="9" fontId="6" fillId="7" borderId="0" applyAlignment="1" pivotButton="0" quotePrefix="0" xfId="19">
      <alignment horizontal="center" vertical="bottom"/>
    </xf>
    <xf numFmtId="10" fontId="12" fillId="4" borderId="0" applyAlignment="1" pivotButton="0" quotePrefix="0" xfId="0">
      <alignment horizontal="center" vertical="bottom"/>
    </xf>
    <xf numFmtId="168" fontId="6" fillId="7" borderId="0" applyAlignment="1" pivotButton="0" quotePrefix="0" xfId="0">
      <alignment horizontal="center" vertical="bottom"/>
    </xf>
    <xf numFmtId="173" fontId="15" fillId="7" borderId="0" applyAlignment="1" pivotButton="0" quotePrefix="0" xfId="22">
      <alignment horizontal="general" vertical="bottom"/>
    </xf>
    <xf numFmtId="0" fontId="13" fillId="7" borderId="0" applyAlignment="1" pivotButton="0" quotePrefix="0" xfId="22">
      <alignment horizontal="general" vertical="bottom"/>
    </xf>
    <xf numFmtId="168" fontId="6" fillId="5" borderId="0" applyAlignment="1" pivotButton="0" quotePrefix="0" xfId="0">
      <alignment horizontal="center" vertical="bottom"/>
    </xf>
    <xf numFmtId="173" fontId="6" fillId="7" borderId="0" applyAlignment="1" pivotButton="0" quotePrefix="0" xfId="22">
      <alignment horizontal="left" vertical="bottom"/>
    </xf>
    <xf numFmtId="173" fontId="6" fillId="7" borderId="0" applyAlignment="1" pivotButton="0" quotePrefix="0" xfId="19">
      <alignment horizontal="center" vertical="bottom"/>
    </xf>
    <xf numFmtId="173" fontId="12" fillId="4" borderId="0" applyAlignment="1" pivotButton="0" quotePrefix="0" xfId="19">
      <alignment horizontal="center" vertical="bottom"/>
    </xf>
    <xf numFmtId="169" fontId="6" fillId="0" borderId="0" applyAlignment="1" pivotButton="0" quotePrefix="0" xfId="22">
      <alignment horizontal="left" vertical="bottom"/>
    </xf>
    <xf numFmtId="173" fontId="6" fillId="0" borderId="0" applyAlignment="1" pivotButton="0" quotePrefix="0" xfId="19">
      <alignment horizontal="center" vertical="bottom"/>
    </xf>
    <xf numFmtId="173" fontId="12" fillId="4" borderId="0" applyAlignment="1" pivotButton="0" quotePrefix="0" xfId="0">
      <alignment horizontal="center" vertical="bottom"/>
    </xf>
    <xf numFmtId="9" fontId="6" fillId="0" borderId="0" applyAlignment="1" pivotButton="0" quotePrefix="0" xfId="19">
      <alignment horizontal="general" vertical="bottom"/>
    </xf>
    <xf numFmtId="9" fontId="6" fillId="0" borderId="0" applyAlignment="1" pivotButton="0" quotePrefix="0" xfId="19">
      <alignment horizontal="center" vertical="bottom"/>
    </xf>
    <xf numFmtId="9" fontId="6" fillId="0" borderId="0" applyAlignment="1" pivotButton="0" quotePrefix="0" xfId="19">
      <alignment horizontal="left" vertical="bottom"/>
    </xf>
    <xf numFmtId="9" fontId="12" fillId="4" borderId="0" applyAlignment="1" pivotButton="0" quotePrefix="0" xfId="19">
      <alignment horizontal="center" vertical="bottom"/>
    </xf>
    <xf numFmtId="0" fontId="6" fillId="0" borderId="0" applyAlignment="1" pivotButton="0" quotePrefix="0" xfId="22">
      <alignment horizontal="left" vertical="bottom"/>
    </xf>
    <xf numFmtId="173" fontId="6" fillId="0" borderId="0" applyAlignment="1" pivotButton="0" quotePrefix="0" xfId="0">
      <alignment horizontal="center" vertical="bottom"/>
    </xf>
    <xf numFmtId="0" fontId="6" fillId="7" borderId="0" applyAlignment="1" pivotButton="0" quotePrefix="0" xfId="22">
      <alignment horizontal="left" vertical="bottom"/>
    </xf>
    <xf numFmtId="0" fontId="16" fillId="7" borderId="0" applyAlignment="1" pivotButton="0" quotePrefix="0" xfId="22">
      <alignment horizontal="left" vertical="bottom"/>
    </xf>
    <xf numFmtId="168" fontId="16" fillId="7" borderId="0" applyAlignment="1" pivotButton="0" quotePrefix="0" xfId="0">
      <alignment horizontal="center" vertical="bottom"/>
    </xf>
    <xf numFmtId="166" fontId="12" fillId="4" borderId="0" applyAlignment="1" pivotButton="0" quotePrefix="0" xfId="0">
      <alignment horizontal="center" vertical="bottom"/>
    </xf>
    <xf numFmtId="168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center" vertical="bottom"/>
    </xf>
    <xf numFmtId="173" fontId="12" fillId="8" borderId="0" applyAlignment="1" pivotButton="0" quotePrefix="0" xfId="0">
      <alignment horizontal="center" vertical="bottom"/>
    </xf>
    <xf numFmtId="0" fontId="13" fillId="5" borderId="0" applyAlignment="1" pivotButton="0" quotePrefix="0" xfId="22">
      <alignment horizontal="left" vertical="bottom"/>
    </xf>
    <xf numFmtId="0" fontId="6" fillId="7" borderId="0" applyAlignment="1" pivotButton="0" quotePrefix="0" xfId="0">
      <alignment horizontal="general" vertical="bottom"/>
    </xf>
    <xf numFmtId="169" fontId="6" fillId="7" borderId="0" applyAlignment="1" pivotButton="0" quotePrefix="0" xfId="22">
      <alignment horizontal="left" vertical="bottom"/>
    </xf>
    <xf numFmtId="168" fontId="6" fillId="8" borderId="0" applyAlignment="1" pivotButton="0" quotePrefix="0" xfId="0">
      <alignment horizontal="center" vertical="bottom"/>
    </xf>
    <xf numFmtId="175" fontId="6" fillId="0" borderId="0" applyAlignment="1" pivotButton="0" quotePrefix="0" xfId="0">
      <alignment horizontal="center" vertical="bottom"/>
    </xf>
    <xf numFmtId="167" fontId="6" fillId="0" borderId="0" applyAlignment="1" pivotButton="0" quotePrefix="0" xfId="0">
      <alignment horizontal="center" vertical="bottom"/>
    </xf>
    <xf numFmtId="0" fontId="14" fillId="6" borderId="0" applyAlignment="1" pivotButton="0" quotePrefix="0" xfId="22">
      <alignment horizontal="center" vertical="bottom"/>
    </xf>
    <xf numFmtId="0" fontId="6" fillId="5" borderId="1" applyAlignment="1" pivotButton="0" quotePrefix="0" xfId="22">
      <alignment horizontal="general" vertical="bottom"/>
    </xf>
    <xf numFmtId="174" fontId="6" fillId="0" borderId="0" applyAlignment="1" pivotButton="0" quotePrefix="0" xfId="0">
      <alignment horizontal="general" vertical="bottom"/>
    </xf>
    <xf numFmtId="0" fontId="17" fillId="9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9" fontId="6" fillId="0" borderId="0" applyAlignment="1" pivotButton="0" quotePrefix="0" xfId="19">
      <alignment horizontal="general" vertical="center"/>
    </xf>
    <xf numFmtId="9" fontId="6" fillId="0" borderId="0" applyAlignment="1" pivotButton="0" quotePrefix="0" xfId="19">
      <alignment horizontal="center" vertical="center"/>
    </xf>
    <xf numFmtId="173" fontId="6" fillId="0" borderId="0" applyAlignment="1" pivotButton="0" quotePrefix="0" xfId="0">
      <alignment horizontal="center" vertical="center"/>
    </xf>
    <xf numFmtId="173" fontId="6" fillId="0" borderId="0" applyAlignment="1" pivotButton="0" quotePrefix="0" xfId="19">
      <alignment horizontal="center" vertical="center"/>
    </xf>
    <xf numFmtId="176" fontId="6" fillId="0" borderId="0" applyAlignment="1" pivotButton="0" quotePrefix="0" xfId="0">
      <alignment horizontal="center" vertical="center"/>
    </xf>
    <xf numFmtId="176" fontId="6" fillId="0" borderId="0" applyAlignment="1" pivotButton="0" quotePrefix="0" xfId="0">
      <alignment horizontal="general" vertical="center"/>
    </xf>
    <xf numFmtId="173" fontId="6" fillId="0" borderId="0" applyAlignment="1" pivotButton="0" quotePrefix="0" xfId="19">
      <alignment horizontal="general" vertical="center"/>
    </xf>
    <xf numFmtId="177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general" vertical="center"/>
    </xf>
    <xf numFmtId="9" fontId="6" fillId="0" borderId="0" applyAlignment="1" pivotButton="0" quotePrefix="0" xfId="0">
      <alignment horizontal="center" vertical="center"/>
    </xf>
    <xf numFmtId="174" fontId="6" fillId="0" borderId="0" applyAlignment="1" pivotButton="0" quotePrefix="0" xfId="0">
      <alignment horizontal="general" vertical="center"/>
    </xf>
    <xf numFmtId="174" fontId="6" fillId="0" borderId="0" applyAlignment="1" pivotButton="0" quotePrefix="0" xfId="0">
      <alignment horizontal="center" vertical="center"/>
    </xf>
    <xf numFmtId="168" fontId="6" fillId="0" borderId="0" applyAlignment="1" pivotButton="0" quotePrefix="0" xfId="0">
      <alignment horizontal="right" vertical="center"/>
    </xf>
    <xf numFmtId="0" fontId="16" fillId="0" borderId="0" applyAlignment="1" pivotButton="0" quotePrefix="0" xfId="24">
      <alignment horizontal="general" vertical="bottom"/>
    </xf>
    <xf numFmtId="0" fontId="14" fillId="0" borderId="0" applyAlignment="1" pivotButton="0" quotePrefix="0" xfId="24">
      <alignment horizontal="general" vertical="bottom"/>
    </xf>
    <xf numFmtId="0" fontId="16" fillId="0" borderId="3" applyAlignment="1" pivotButton="0" quotePrefix="0" xfId="24">
      <alignment horizontal="general" vertical="bottom"/>
    </xf>
    <xf numFmtId="178" fontId="12" fillId="4" borderId="4" applyAlignment="1" pivotButton="0" quotePrefix="0" xfId="21">
      <alignment horizontal="center" vertical="bottom"/>
    </xf>
    <xf numFmtId="179" fontId="12" fillId="4" borderId="0" applyAlignment="1" pivotButton="0" quotePrefix="0" xfId="24">
      <alignment horizontal="center" vertical="bottom"/>
    </xf>
    <xf numFmtId="173" fontId="16" fillId="0" borderId="0" applyAlignment="1" pivotButton="0" quotePrefix="0" xfId="24">
      <alignment horizontal="right" vertical="bottom"/>
    </xf>
    <xf numFmtId="0" fontId="0" fillId="8" borderId="0" applyAlignment="1" pivotButton="0" quotePrefix="0" xfId="0">
      <alignment horizontal="general" vertical="bottom"/>
    </xf>
    <xf numFmtId="178" fontId="12" fillId="4" borderId="4" applyAlignment="1" pivotButton="0" quotePrefix="0" xfId="21">
      <alignment horizontal="right" vertical="bottom"/>
    </xf>
    <xf numFmtId="173" fontId="16" fillId="0" borderId="0" applyAlignment="1" pivotButton="0" quotePrefix="0" xfId="24">
      <alignment horizontal="center" vertical="bottom"/>
    </xf>
    <xf numFmtId="180" fontId="12" fillId="0" borderId="0" applyAlignment="1" pivotButton="0" quotePrefix="0" xfId="24">
      <alignment horizontal="center" vertical="bottom"/>
    </xf>
    <xf numFmtId="181" fontId="16" fillId="0" borderId="0" applyAlignment="1" pivotButton="0" quotePrefix="0" xfId="24">
      <alignment horizontal="center" vertical="bottom"/>
    </xf>
    <xf numFmtId="0" fontId="18" fillId="0" borderId="0" applyAlignment="1" pivotButton="0" quotePrefix="0" xfId="24">
      <alignment horizontal="general" vertical="bottom"/>
    </xf>
    <xf numFmtId="182" fontId="16" fillId="0" borderId="0" applyAlignment="1" pivotButton="0" quotePrefix="0" xfId="24">
      <alignment horizontal="general" vertical="bottom"/>
    </xf>
    <xf numFmtId="0" fontId="13" fillId="5" borderId="0" applyAlignment="1" pivotButton="0" quotePrefix="0" xfId="24">
      <alignment horizontal="general" vertical="bottom"/>
    </xf>
    <xf numFmtId="0" fontId="19" fillId="6" borderId="0" applyAlignment="1" pivotButton="0" quotePrefix="0" xfId="24">
      <alignment horizontal="center" vertical="bottom" wrapText="1"/>
    </xf>
    <xf numFmtId="0" fontId="13" fillId="5" borderId="1" applyAlignment="1" pivotButton="0" quotePrefix="0" xfId="24">
      <alignment horizontal="general" vertical="bottom"/>
    </xf>
    <xf numFmtId="0" fontId="17" fillId="6" borderId="1" applyAlignment="1" pivotButton="0" quotePrefix="0" xfId="24">
      <alignment horizontal="center" vertical="bottom"/>
    </xf>
    <xf numFmtId="0" fontId="0" fillId="0" borderId="1" pivotButton="0" quotePrefix="0" xfId="0"/>
    <xf numFmtId="0" fontId="17" fillId="10" borderId="1" applyAlignment="1" pivotButton="0" quotePrefix="0" xfId="24">
      <alignment horizontal="center" vertical="bottom"/>
    </xf>
    <xf numFmtId="0" fontId="20" fillId="10" borderId="1" applyAlignment="1" pivotButton="0" quotePrefix="0" xfId="24">
      <alignment horizontal="center" vertical="bottom"/>
    </xf>
    <xf numFmtId="0" fontId="18" fillId="0" borderId="0" applyAlignment="1" pivotButton="0" quotePrefix="0" xfId="24">
      <alignment horizontal="center" vertical="bottom"/>
    </xf>
    <xf numFmtId="0" fontId="16" fillId="0" borderId="0" applyAlignment="1" pivotButton="0" quotePrefix="0" xfId="24">
      <alignment horizontal="center" vertical="bottom"/>
    </xf>
    <xf numFmtId="1" fontId="18" fillId="0" borderId="0" applyAlignment="1" pivotButton="0" quotePrefix="0" xfId="24">
      <alignment horizontal="center" vertical="bottom"/>
    </xf>
    <xf numFmtId="1" fontId="20" fillId="0" borderId="0" applyAlignment="1" pivotButton="0" quotePrefix="0" xfId="24">
      <alignment horizontal="center" vertical="bottom"/>
    </xf>
    <xf numFmtId="0" fontId="16" fillId="0" borderId="1" applyAlignment="1" pivotButton="0" quotePrefix="0" xfId="24">
      <alignment horizontal="general" vertical="bottom"/>
    </xf>
    <xf numFmtId="170" fontId="16" fillId="0" borderId="1" applyAlignment="1" pivotButton="0" quotePrefix="0" xfId="24">
      <alignment horizontal="center" vertical="bottom"/>
    </xf>
    <xf numFmtId="170" fontId="16" fillId="0" borderId="0" applyAlignment="1" pivotButton="0" quotePrefix="0" xfId="24">
      <alignment horizontal="center" vertical="bottom"/>
    </xf>
    <xf numFmtId="0" fontId="16" fillId="0" borderId="5" applyAlignment="1" pivotButton="0" quotePrefix="0" xfId="24">
      <alignment horizontal="general" vertical="bottom"/>
    </xf>
    <xf numFmtId="180" fontId="16" fillId="11" borderId="6" applyAlignment="1" pivotButton="0" quotePrefix="0" xfId="24">
      <alignment horizontal="center" vertical="bottom"/>
    </xf>
    <xf numFmtId="180" fontId="16" fillId="11" borderId="7" applyAlignment="1" pivotButton="0" quotePrefix="0" xfId="24">
      <alignment horizontal="center" vertical="bottom"/>
    </xf>
    <xf numFmtId="173" fontId="18" fillId="0" borderId="0" applyAlignment="1" pivotButton="0" quotePrefix="0" xfId="28">
      <alignment horizontal="center" vertical="bottom"/>
    </xf>
    <xf numFmtId="0" fontId="16" fillId="0" borderId="8" applyAlignment="1" pivotButton="0" quotePrefix="0" xfId="24">
      <alignment horizontal="general" vertical="bottom"/>
    </xf>
    <xf numFmtId="173" fontId="18" fillId="0" borderId="1" applyAlignment="1" pivotButton="0" quotePrefix="0" xfId="28">
      <alignment horizontal="center" vertical="bottom"/>
    </xf>
    <xf numFmtId="173" fontId="18" fillId="0" borderId="9" applyAlignment="1" pivotButton="0" quotePrefix="0" xfId="28">
      <alignment horizontal="center" vertical="bottom"/>
    </xf>
    <xf numFmtId="180" fontId="16" fillId="0" borderId="5" applyAlignment="1" pivotButton="0" quotePrefix="0" xfId="24">
      <alignment horizontal="general" vertical="bottom"/>
    </xf>
    <xf numFmtId="0" fontId="16" fillId="0" borderId="6" applyAlignment="1" pivotButton="0" quotePrefix="0" xfId="24">
      <alignment horizontal="general" vertical="bottom"/>
    </xf>
    <xf numFmtId="0" fontId="16" fillId="0" borderId="7" applyAlignment="1" pivotButton="0" quotePrefix="0" xfId="24">
      <alignment horizontal="general" vertical="bottom"/>
    </xf>
    <xf numFmtId="173" fontId="16" fillId="0" borderId="1" applyAlignment="1" pivotButton="0" quotePrefix="0" xfId="28">
      <alignment horizontal="center" vertical="bottom"/>
    </xf>
    <xf numFmtId="0" fontId="16" fillId="0" borderId="9" applyAlignment="1" pivotButton="0" quotePrefix="0" xfId="24">
      <alignment horizontal="general" vertical="bottom"/>
    </xf>
    <xf numFmtId="173" fontId="16" fillId="0" borderId="9" applyAlignment="1" pivotButton="0" quotePrefix="0" xfId="28">
      <alignment horizontal="center" vertical="bottom"/>
    </xf>
    <xf numFmtId="173" fontId="16" fillId="11" borderId="6" applyAlignment="1" pivotButton="0" quotePrefix="0" xfId="24">
      <alignment horizontal="center" vertical="bottom"/>
    </xf>
    <xf numFmtId="173" fontId="16" fillId="11" borderId="7" applyAlignment="1" pivotButton="0" quotePrefix="0" xfId="24">
      <alignment horizontal="center" vertical="bottom"/>
    </xf>
    <xf numFmtId="180" fontId="16" fillId="0" borderId="1" applyAlignment="1" pivotButton="0" quotePrefix="0" xfId="24">
      <alignment horizontal="center" vertical="bottom"/>
    </xf>
    <xf numFmtId="180" fontId="16" fillId="0" borderId="9" applyAlignment="1" pivotButton="0" quotePrefix="0" xfId="24">
      <alignment horizontal="center" vertical="bottom"/>
    </xf>
    <xf numFmtId="180" fontId="16" fillId="0" borderId="10" applyAlignment="1" pivotButton="0" quotePrefix="0" xfId="24">
      <alignment horizontal="left" vertical="bottom"/>
    </xf>
    <xf numFmtId="180" fontId="16" fillId="11" borderId="11" applyAlignment="1" pivotButton="0" quotePrefix="0" xfId="24">
      <alignment horizontal="center" vertical="bottom"/>
    </xf>
    <xf numFmtId="180" fontId="16" fillId="11" borderId="12" applyAlignment="1" pivotButton="0" quotePrefix="0" xfId="24">
      <alignment horizontal="center" vertical="bottom"/>
    </xf>
    <xf numFmtId="180" fontId="16" fillId="0" borderId="5" applyAlignment="1" pivotButton="0" quotePrefix="0" xfId="24">
      <alignment horizontal="left" vertical="bottom"/>
    </xf>
    <xf numFmtId="180" fontId="16" fillId="0" borderId="6" applyAlignment="1" pivotButton="0" quotePrefix="0" xfId="24">
      <alignment horizontal="center" vertical="bottom"/>
    </xf>
    <xf numFmtId="180" fontId="16" fillId="0" borderId="7" applyAlignment="1" pivotButton="0" quotePrefix="0" xfId="24">
      <alignment horizontal="center" vertical="bottom"/>
    </xf>
    <xf numFmtId="180" fontId="16" fillId="0" borderId="13" applyAlignment="1" pivotButton="0" quotePrefix="0" xfId="24">
      <alignment horizontal="left" vertical="bottom"/>
    </xf>
    <xf numFmtId="180" fontId="16" fillId="11" borderId="0" applyAlignment="1" pivotButton="0" quotePrefix="0" xfId="24">
      <alignment horizontal="center" vertical="bottom"/>
    </xf>
    <xf numFmtId="180" fontId="16" fillId="11" borderId="14" applyAlignment="1" pivotButton="0" quotePrefix="0" xfId="24">
      <alignment horizontal="center" vertical="bottom"/>
    </xf>
    <xf numFmtId="180" fontId="16" fillId="0" borderId="8" applyAlignment="1" pivotButton="0" quotePrefix="0" xfId="24">
      <alignment horizontal="left" vertical="bottom"/>
    </xf>
    <xf numFmtId="180" fontId="16" fillId="11" borderId="1" applyAlignment="1" pivotButton="0" quotePrefix="0" xfId="24">
      <alignment horizontal="center" vertical="bottom"/>
    </xf>
    <xf numFmtId="180" fontId="16" fillId="11" borderId="9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center" vertical="bottom"/>
    </xf>
    <xf numFmtId="180" fontId="16" fillId="0" borderId="15" applyAlignment="1" pivotButton="0" quotePrefix="0" xfId="24">
      <alignment horizontal="center" vertical="bottom"/>
    </xf>
    <xf numFmtId="0" fontId="16" fillId="0" borderId="13" applyAlignment="1" pivotButton="0" quotePrefix="0" xfId="24">
      <alignment horizontal="general" vertical="bottom"/>
    </xf>
    <xf numFmtId="0" fontId="16" fillId="0" borderId="14" applyAlignment="1" pivotButton="0" quotePrefix="0" xfId="24">
      <alignment horizontal="general" vertical="bottom"/>
    </xf>
    <xf numFmtId="180" fontId="6" fillId="0" borderId="0" applyAlignment="1" pivotButton="0" quotePrefix="0" xfId="24">
      <alignment horizontal="center" vertical="bottom"/>
    </xf>
    <xf numFmtId="180" fontId="6" fillId="0" borderId="14" applyAlignment="1" pivotButton="0" quotePrefix="0" xfId="24">
      <alignment horizontal="center" vertical="bottom"/>
    </xf>
    <xf numFmtId="173" fontId="12" fillId="4" borderId="1" applyAlignment="1" pivotButton="0" quotePrefix="0" xfId="28">
      <alignment horizontal="center" vertical="bottom"/>
    </xf>
    <xf numFmtId="173" fontId="12" fillId="4" borderId="9" applyAlignment="1" pivotButton="0" quotePrefix="0" xfId="28">
      <alignment horizontal="center" vertical="bottom"/>
    </xf>
    <xf numFmtId="1" fontId="16" fillId="0" borderId="0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general" vertical="bottom"/>
    </xf>
    <xf numFmtId="173" fontId="18" fillId="11" borderId="11" applyAlignment="1" pivotButton="0" quotePrefix="0" xfId="24">
      <alignment horizontal="center" vertical="bottom"/>
    </xf>
    <xf numFmtId="173" fontId="18" fillId="0" borderId="11" applyAlignment="1" pivotButton="0" quotePrefix="0" xfId="28">
      <alignment horizontal="center" vertical="bottom"/>
    </xf>
    <xf numFmtId="173" fontId="18" fillId="0" borderId="12" applyAlignment="1" pivotButton="0" quotePrefix="0" xfId="28">
      <alignment horizontal="center" vertical="bottom"/>
    </xf>
    <xf numFmtId="173" fontId="18" fillId="0" borderId="0" applyAlignment="1" pivotButton="0" quotePrefix="0" xfId="24">
      <alignment horizontal="center" vertical="bottom"/>
    </xf>
    <xf numFmtId="183" fontId="16" fillId="0" borderId="0" applyAlignment="1" pivotButton="0" quotePrefix="0" xfId="25">
      <alignment horizontal="center" vertical="center"/>
    </xf>
    <xf numFmtId="180" fontId="18" fillId="0" borderId="0" applyAlignment="1" pivotButton="0" quotePrefix="0" xfId="24">
      <alignment horizontal="center" vertical="bottom"/>
    </xf>
    <xf numFmtId="180" fontId="21" fillId="0" borderId="2" applyAlignment="1" pivotButton="0" quotePrefix="0" xfId="27">
      <alignment horizontal="center" vertical="bottom"/>
    </xf>
    <xf numFmtId="0" fontId="16" fillId="0" borderId="0" applyAlignment="1" pivotButton="0" quotePrefix="0" xfId="24">
      <alignment horizontal="left" vertical="bottom" indent="1"/>
    </xf>
    <xf numFmtId="175" fontId="16" fillId="0" borderId="0" applyAlignment="1" pivotButton="0" quotePrefix="0" xfId="24">
      <alignment horizontal="center" vertical="bottom"/>
    </xf>
    <xf numFmtId="175" fontId="21" fillId="0" borderId="2" applyAlignment="1" pivotButton="0" quotePrefix="0" xfId="27">
      <alignment horizontal="center" vertical="bottom"/>
    </xf>
    <xf numFmtId="10" fontId="16" fillId="0" borderId="0" applyAlignment="1" pivotButton="0" quotePrefix="0" xfId="24">
      <alignment horizontal="general" vertical="bottom"/>
    </xf>
    <xf numFmtId="180" fontId="18" fillId="0" borderId="0" applyAlignment="1" pivotButton="0" quotePrefix="0" xfId="24">
      <alignment horizontal="general" vertical="bottom"/>
    </xf>
    <xf numFmtId="181" fontId="16" fillId="0" borderId="0" applyAlignment="1" pivotButton="0" quotePrefix="0" xfId="24">
      <alignment horizontal="general" vertical="bottom"/>
    </xf>
    <xf numFmtId="0" fontId="13" fillId="5" borderId="5" applyAlignment="1" pivotButton="0" quotePrefix="0" xfId="24">
      <alignment horizontal="general" vertical="bottom"/>
    </xf>
    <xf numFmtId="173" fontId="6" fillId="5" borderId="7" applyAlignment="1" pivotButton="0" quotePrefix="0" xfId="24">
      <alignment horizontal="center" vertical="bottom"/>
    </xf>
    <xf numFmtId="0" fontId="13" fillId="5" borderId="6" applyAlignment="1" pivotButton="0" quotePrefix="0" xfId="24">
      <alignment horizontal="general" vertical="bottom"/>
    </xf>
    <xf numFmtId="0" fontId="6" fillId="5" borderId="6" applyAlignment="1" pivotButton="0" quotePrefix="0" xfId="24">
      <alignment horizontal="general" vertical="bottom"/>
    </xf>
    <xf numFmtId="0" fontId="13" fillId="5" borderId="16" applyAlignment="1" pivotButton="0" quotePrefix="0" xfId="24">
      <alignment horizontal="general" vertical="bottom"/>
    </xf>
    <xf numFmtId="173" fontId="6" fillId="5" borderId="17" applyAlignment="1" pivotButton="0" quotePrefix="0" xfId="24">
      <alignment horizontal="center" vertical="bottom"/>
    </xf>
    <xf numFmtId="0" fontId="6" fillId="5" borderId="17" applyAlignment="1" pivotButton="0" quotePrefix="0" xfId="24">
      <alignment horizontal="general" vertical="bottom"/>
    </xf>
    <xf numFmtId="0" fontId="6" fillId="5" borderId="18" applyAlignment="1" pivotButton="0" quotePrefix="0" xfId="24">
      <alignment horizontal="general" vertical="bottom"/>
    </xf>
    <xf numFmtId="0" fontId="18" fillId="0" borderId="13" applyAlignment="1" pivotButton="0" quotePrefix="0" xfId="24">
      <alignment horizontal="left" vertical="bottom" indent="1"/>
    </xf>
    <xf numFmtId="180" fontId="16" fillId="0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left" vertical="bottom" indent="1"/>
    </xf>
    <xf numFmtId="0" fontId="16" fillId="0" borderId="13" applyAlignment="1" pivotButton="0" quotePrefix="0" xfId="24">
      <alignment horizontal="left" vertical="bottom" indent="1"/>
    </xf>
    <xf numFmtId="180" fontId="6" fillId="11" borderId="14" applyAlignment="1" pivotButton="0" quotePrefix="0" xfId="24">
      <alignment horizontal="center" vertical="bottom"/>
    </xf>
    <xf numFmtId="173" fontId="22" fillId="4" borderId="14" applyAlignment="1" pivotButton="0" quotePrefix="0" xfId="24">
      <alignment horizontal="center" vertical="bottom"/>
    </xf>
    <xf numFmtId="0" fontId="23" fillId="0" borderId="0" applyAlignment="1" pivotButton="0" quotePrefix="0" xfId="24">
      <alignment horizontal="left" vertical="bottom" indent="1"/>
    </xf>
    <xf numFmtId="184" fontId="6" fillId="11" borderId="14" applyAlignment="1" pivotButton="0" quotePrefix="0" xfId="21">
      <alignment horizontal="center" vertical="bottom"/>
    </xf>
    <xf numFmtId="173" fontId="13" fillId="0" borderId="19" applyAlignment="1" pivotButton="0" quotePrefix="0" xfId="0">
      <alignment horizontal="center" vertical="bottom"/>
    </xf>
    <xf numFmtId="0" fontId="16" fillId="0" borderId="1" applyAlignment="1" pivotButton="0" quotePrefix="0" xfId="24">
      <alignment horizontal="left" vertical="bottom" indent="1"/>
    </xf>
    <xf numFmtId="0" fontId="16" fillId="0" borderId="9" applyAlignment="1" pivotButton="0" quotePrefix="0" xfId="24">
      <alignment horizontal="right" vertical="bottom" indent="1"/>
    </xf>
    <xf numFmtId="180" fontId="18" fillId="0" borderId="14" applyAlignment="1" pivotButton="0" quotePrefix="0" xfId="24">
      <alignment horizontal="center" vertical="bottom"/>
    </xf>
    <xf numFmtId="0" fontId="16" fillId="0" borderId="1" applyAlignment="1" pivotButton="0" quotePrefix="0" xfId="24">
      <alignment horizontal="right" vertical="bottom"/>
    </xf>
    <xf numFmtId="185" fontId="12" fillId="4" borderId="20" applyAlignment="1" pivotButton="0" quotePrefix="0" xfId="24">
      <alignment horizontal="general" vertical="bottom"/>
    </xf>
    <xf numFmtId="184" fontId="12" fillId="4" borderId="21" applyAlignment="1" pivotButton="0" quotePrefix="0" xfId="20">
      <alignment horizontal="general" vertical="bottom"/>
    </xf>
    <xf numFmtId="181" fontId="16" fillId="0" borderId="14" applyAlignment="1" pivotButton="0" quotePrefix="0" xfId="24">
      <alignment horizontal="right" vertical="bottom" indent="1"/>
    </xf>
    <xf numFmtId="185" fontId="12" fillId="4" borderId="22" applyAlignment="1" pivotButton="0" quotePrefix="0" xfId="24">
      <alignment horizontal="general" vertical="bottom"/>
    </xf>
    <xf numFmtId="184" fontId="12" fillId="4" borderId="23" applyAlignment="1" pivotButton="0" quotePrefix="0" xfId="20">
      <alignment horizontal="general" vertical="bottom"/>
    </xf>
    <xf numFmtId="180" fontId="16" fillId="0" borderId="14" applyAlignment="1" pivotButton="0" quotePrefix="0" xfId="24">
      <alignment horizontal="center" vertical="bottom"/>
    </xf>
    <xf numFmtId="185" fontId="12" fillId="4" borderId="24" applyAlignment="1" pivotButton="0" quotePrefix="0" xfId="24">
      <alignment horizontal="general" vertical="bottom"/>
    </xf>
    <xf numFmtId="184" fontId="12" fillId="4" borderId="25" applyAlignment="1" pivotButton="0" quotePrefix="0" xfId="20">
      <alignment horizontal="general" vertical="bottom"/>
    </xf>
    <xf numFmtId="181" fontId="16" fillId="0" borderId="9" applyAlignment="1" pivotButton="0" quotePrefix="0" xfId="24">
      <alignment horizontal="right" vertical="bottom" indent="1"/>
    </xf>
    <xf numFmtId="176" fontId="12" fillId="4" borderId="14" applyAlignment="1" pivotButton="0" quotePrefix="0" xfId="24">
      <alignment horizontal="center" vertical="bottom"/>
    </xf>
    <xf numFmtId="186" fontId="16" fillId="0" borderId="0" applyAlignment="1" pivotButton="0" quotePrefix="0" xfId="24">
      <alignment horizontal="right" vertical="bottom"/>
    </xf>
    <xf numFmtId="187" fontId="16" fillId="0" borderId="14" applyAlignment="1" pivotButton="0" quotePrefix="0" xfId="24">
      <alignment horizontal="right" vertical="bottom" indent="1"/>
    </xf>
    <xf numFmtId="0" fontId="16" fillId="0" borderId="0" applyAlignment="1" pivotButton="0" quotePrefix="0" xfId="24">
      <alignment horizontal="right" vertical="bottom"/>
    </xf>
    <xf numFmtId="180" fontId="24" fillId="0" borderId="0" applyAlignment="1" pivotButton="0" quotePrefix="0" xfId="24">
      <alignment horizontal="general" vertical="bottom"/>
    </xf>
    <xf numFmtId="180" fontId="16" fillId="0" borderId="14" applyAlignment="1" pivotButton="0" quotePrefix="0" xfId="24">
      <alignment horizontal="general" vertical="bottom"/>
    </xf>
    <xf numFmtId="184" fontId="18" fillId="0" borderId="26" applyAlignment="1" pivotButton="0" quotePrefix="0" xfId="24">
      <alignment horizontal="center" vertical="bottom"/>
    </xf>
    <xf numFmtId="185" fontId="12" fillId="4" borderId="27" applyAlignment="1" pivotButton="0" quotePrefix="0" xfId="24">
      <alignment horizontal="right" vertical="bottom" indent="1"/>
    </xf>
    <xf numFmtId="0" fontId="16" fillId="0" borderId="14" applyAlignment="1" pivotButton="0" quotePrefix="0" xfId="24">
      <alignment horizontal="right" vertical="bottom" indent="1"/>
    </xf>
    <xf numFmtId="184" fontId="18" fillId="0" borderId="14" applyAlignment="1" pivotButton="0" quotePrefix="0" xfId="24">
      <alignment horizontal="center" vertical="bottom"/>
    </xf>
    <xf numFmtId="185" fontId="12" fillId="4" borderId="28" applyAlignment="1" pivotButton="0" quotePrefix="0" xfId="24">
      <alignment horizontal="right" vertical="bottom" indent="1"/>
    </xf>
    <xf numFmtId="188" fontId="12" fillId="4" borderId="14" applyAlignment="1" pivotButton="0" quotePrefix="0" xfId="24">
      <alignment horizontal="right" vertical="bottom" indent="1"/>
    </xf>
    <xf numFmtId="0" fontId="18" fillId="0" borderId="0" applyAlignment="1" pivotButton="0" quotePrefix="0" xfId="24">
      <alignment horizontal="right" vertical="bottom"/>
    </xf>
    <xf numFmtId="180" fontId="18" fillId="0" borderId="14" applyAlignment="1" pivotButton="0" quotePrefix="0" xfId="26">
      <alignment horizontal="right" vertical="bottom" indent="1"/>
    </xf>
    <xf numFmtId="0" fontId="16" fillId="0" borderId="8" applyAlignment="1" pivotButton="0" quotePrefix="0" xfId="24">
      <alignment horizontal="left" vertical="bottom" indent="1"/>
    </xf>
    <xf numFmtId="173" fontId="16" fillId="0" borderId="9" applyAlignment="1" pivotButton="0" quotePrefix="0" xfId="24">
      <alignment horizontal="right" vertical="bottom" indent="1"/>
    </xf>
    <xf numFmtId="0" fontId="13" fillId="5" borderId="3" applyAlignment="1" pivotButton="0" quotePrefix="0" xfId="24">
      <alignment horizontal="general" vertical="bottom"/>
    </xf>
    <xf numFmtId="173" fontId="6" fillId="5" borderId="3" applyAlignment="1" pivotButton="0" quotePrefix="0" xfId="24">
      <alignment horizontal="center" vertical="bottom"/>
    </xf>
    <xf numFmtId="0" fontId="6" fillId="5" borderId="3" applyAlignment="1" pivotButton="0" quotePrefix="0" xfId="24">
      <alignment horizontal="general" vertical="bottom"/>
    </xf>
    <xf numFmtId="0" fontId="18" fillId="0" borderId="1" applyAlignment="1" pivotButton="0" quotePrefix="0" xfId="24">
      <alignment horizontal="general" vertical="bottom"/>
    </xf>
    <xf numFmtId="173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center" vertical="bottom"/>
    </xf>
    <xf numFmtId="0" fontId="18" fillId="0" borderId="10" applyAlignment="1" pivotButton="0" quotePrefix="0" xfId="24">
      <alignment horizontal="center" vertical="bottom"/>
    </xf>
    <xf numFmtId="0" fontId="0" fillId="0" borderId="11" pivotButton="0" quotePrefix="0" xfId="0"/>
    <xf numFmtId="0" fontId="16" fillId="0" borderId="11" applyAlignment="1" pivotButton="0" quotePrefix="0" xfId="24">
      <alignment horizontal="right" vertical="bottom"/>
    </xf>
    <xf numFmtId="180" fontId="16" fillId="0" borderId="0" applyAlignment="1" pivotButton="0" quotePrefix="0" xfId="24">
      <alignment horizontal="general" vertical="bottom"/>
    </xf>
    <xf numFmtId="9" fontId="16" fillId="0" borderId="0" applyAlignment="1" pivotButton="0" quotePrefix="0" xfId="24">
      <alignment horizontal="general" vertical="bottom"/>
    </xf>
    <xf numFmtId="189" fontId="16" fillId="0" borderId="0" applyAlignment="1" pivotButton="0" quotePrefix="0" xfId="24">
      <alignment horizontal="center" vertical="bottom"/>
    </xf>
    <xf numFmtId="180" fontId="16" fillId="0" borderId="0" applyAlignment="1" pivotButton="0" quotePrefix="0" xfId="24">
      <alignment horizontal="right" vertical="bottom"/>
    </xf>
    <xf numFmtId="190" fontId="16" fillId="0" borderId="0" applyAlignment="1" pivotButton="0" quotePrefix="0" xfId="24">
      <alignment horizontal="general" vertical="bottom"/>
    </xf>
    <xf numFmtId="180" fontId="23" fillId="0" borderId="0" applyAlignment="1" pivotButton="0" quotePrefix="0" xfId="24">
      <alignment horizontal="right" vertical="bottom"/>
    </xf>
    <xf numFmtId="0" fontId="23" fillId="0" borderId="0" applyAlignment="1" pivotButton="0" quotePrefix="0" xfId="24">
      <alignment horizontal="right" vertical="bottom"/>
    </xf>
    <xf numFmtId="191" fontId="12" fillId="4" borderId="0" applyAlignment="1" pivotButton="0" quotePrefix="0" xfId="24">
      <alignment horizontal="center" vertical="bottom"/>
    </xf>
    <xf numFmtId="0" fontId="18" fillId="0" borderId="1" applyAlignment="1" pivotButton="0" quotePrefix="0" xfId="24">
      <alignment horizontal="left" vertical="bottom" wrapText="1"/>
    </xf>
    <xf numFmtId="0" fontId="18" fillId="0" borderId="1" applyAlignment="1" pivotButton="0" quotePrefix="0" xfId="24">
      <alignment horizontal="center" vertical="bottom" wrapText="1"/>
    </xf>
    <xf numFmtId="178" fontId="16" fillId="0" borderId="0" applyAlignment="1" pivotButton="0" quotePrefix="0" xfId="24">
      <alignment horizontal="general" vertical="bottom"/>
    </xf>
    <xf numFmtId="191" fontId="16" fillId="0" borderId="0" applyAlignment="1" pivotButton="0" quotePrefix="0" xfId="24">
      <alignment horizontal="center" vertical="bottom"/>
    </xf>
    <xf numFmtId="184" fontId="16" fillId="0" borderId="0" applyAlignment="1" pivotButton="0" quotePrefix="0" xfId="24">
      <alignment horizontal="center" vertical="bottom"/>
    </xf>
    <xf numFmtId="10" fontId="16" fillId="0" borderId="0" applyAlignment="1" pivotButton="0" quotePrefix="0" xfId="24">
      <alignment horizontal="center" vertical="bottom"/>
    </xf>
    <xf numFmtId="2" fontId="16" fillId="0" borderId="0" applyAlignment="1" pivotButton="0" quotePrefix="0" xfId="24">
      <alignment horizontal="center" vertical="bottom"/>
    </xf>
    <xf numFmtId="191" fontId="12" fillId="4" borderId="0" applyAlignment="1" pivotButton="0" quotePrefix="0" xfId="24">
      <alignment horizontal="left" vertical="bottom"/>
    </xf>
    <xf numFmtId="184" fontId="12" fillId="4" borderId="0" applyAlignment="1" pivotButton="0" quotePrefix="0" xfId="24">
      <alignment horizontal="center" vertical="bottom"/>
    </xf>
    <xf numFmtId="180" fontId="12" fillId="4" borderId="0" applyAlignment="1" pivotButton="0" quotePrefix="0" xfId="24">
      <alignment horizontal="center" vertical="bottom"/>
    </xf>
    <xf numFmtId="10" fontId="12" fillId="4" borderId="0" applyAlignment="1" pivotButton="0" quotePrefix="0" xfId="24">
      <alignment horizontal="center" vertical="bottom"/>
    </xf>
    <xf numFmtId="191" fontId="12" fillId="4" borderId="1" applyAlignment="1" pivotButton="0" quotePrefix="0" xfId="24">
      <alignment horizontal="left" vertical="bottom"/>
    </xf>
    <xf numFmtId="191" fontId="12" fillId="4" borderId="1" applyAlignment="1" pivotButton="0" quotePrefix="0" xfId="24">
      <alignment horizontal="center" vertical="bottom"/>
    </xf>
    <xf numFmtId="184" fontId="12" fillId="4" borderId="1" applyAlignment="1" pivotButton="0" quotePrefix="0" xfId="24">
      <alignment horizontal="center" vertical="bottom"/>
    </xf>
    <xf numFmtId="180" fontId="12" fillId="4" borderId="1" applyAlignment="1" pivotButton="0" quotePrefix="0" xfId="24">
      <alignment horizontal="center" vertical="bottom"/>
    </xf>
    <xf numFmtId="10" fontId="16" fillId="0" borderId="1" applyAlignment="1" pivotButton="0" quotePrefix="0" xfId="24">
      <alignment horizontal="center" vertical="bottom"/>
    </xf>
    <xf numFmtId="10" fontId="12" fillId="4" borderId="1" applyAlignment="1" pivotButton="0" quotePrefix="0" xfId="24">
      <alignment horizontal="center" vertical="bottom"/>
    </xf>
    <xf numFmtId="191" fontId="16" fillId="0" borderId="1" applyAlignment="1" pivotButton="0" quotePrefix="0" xfId="24">
      <alignment horizontal="center" vertical="bottom"/>
    </xf>
    <xf numFmtId="191" fontId="18" fillId="0" borderId="0" applyAlignment="1" pivotButton="0" quotePrefix="0" xfId="24">
      <alignment horizontal="right" vertical="bottom"/>
    </xf>
    <xf numFmtId="191" fontId="18" fillId="0" borderId="29" applyAlignment="1" pivotButton="0" quotePrefix="0" xfId="24">
      <alignment horizontal="center" vertical="bottom"/>
    </xf>
    <xf numFmtId="0" fontId="26" fillId="0" borderId="0" pivotButton="0" quotePrefix="0" xfId="0"/>
    <xf numFmtId="3" fontId="0" fillId="0" borderId="0" pivotButton="0" quotePrefix="0" xfId="0"/>
    <xf numFmtId="196" fontId="12" fillId="4" borderId="0" applyAlignment="1" pivotButton="0" quotePrefix="0" xfId="0">
      <alignment horizontal="center" vertical="bottom"/>
    </xf>
    <xf numFmtId="196" fontId="6" fillId="0" borderId="0" applyAlignment="1" pivotButton="0" quotePrefix="0" xfId="0">
      <alignment horizontal="center" vertical="bottom"/>
    </xf>
    <xf numFmtId="3" fontId="13" fillId="5" borderId="0" applyAlignment="1" pivotButton="0" quotePrefix="0" xfId="0">
      <alignment horizontal="center" vertical="bottom"/>
    </xf>
    <xf numFmtId="3" fontId="13" fillId="0" borderId="0" applyAlignment="1" pivotButton="0" quotePrefix="0" xfId="0">
      <alignment horizontal="center" vertical="bottom"/>
    </xf>
    <xf numFmtId="0" fontId="27" fillId="5" borderId="0" applyAlignment="1" pivotButton="0" quotePrefix="0" xfId="22">
      <alignment horizontal="general" vertical="bottom"/>
    </xf>
    <xf numFmtId="173" fontId="13" fillId="5" borderId="0" applyAlignment="1" pivotButton="0" quotePrefix="0" xfId="0">
      <alignment horizontal="center" vertical="bottom"/>
    </xf>
    <xf numFmtId="173" fontId="13" fillId="0" borderId="0" applyAlignment="1" pivotButton="0" quotePrefix="0" xfId="0">
      <alignment horizontal="center" vertical="bottom"/>
    </xf>
  </cellXfs>
  <cellStyles count="1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urrency 2" xfId="6"/>
    <cellStyle name="m/d/yy" xfId="7"/>
    <cellStyle name="Normal 2" xfId="8"/>
    <cellStyle name="Normal 2 2" xfId="9"/>
    <cellStyle name="Normal 2 3" xfId="10"/>
    <cellStyle name="Normal 4" xfId="11"/>
    <cellStyle name="Normal [3] 2" xfId="12"/>
    <cellStyle name="Output_dcfmodel" xfId="13"/>
    <cellStyle name="Porcentagem 3" xfId="14"/>
    <cellStyle name="Separador de milhares 2 17" xfId="15"/>
  </cellStyles>
  <dxfs count="4"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F2F2F2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9D9D9"/>
      <rgbColor rgb="FFFFF2CC"/>
      <rgbColor rgb="FF99CCFF"/>
      <rgbColor rgb="FFFF99CC"/>
      <rgbColor rgb="FFCC99FF"/>
      <rgbColor rgb="FFFFCC99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Unknown Author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J1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0" ySplit="4" topLeftCell="K5" activePane="bottomRight" state="frozen"/>
      <selection pane="topLeft" activeCell="A1" activeCellId="0" sqref="A1"/>
      <selection pane="topRight" activeCell="K1" activeCellId="0" sqref="K1"/>
      <selection pane="bottomLeft" activeCell="A5" activeCellId="0" sqref="A5"/>
      <selection pane="bottomRight" activeCell="A1" activeCellId="0" sqref="A1"/>
    </sheetView>
  </sheetViews>
  <sheetFormatPr baseColWidth="8" defaultColWidth="8.53125" defaultRowHeight="15" zeroHeight="0" outlineLevelRow="0"/>
  <cols>
    <col width="6" customWidth="1" style="254" min="1" max="1"/>
    <col width="7" customWidth="1" style="254" min="2" max="2"/>
    <col width="6" customWidth="1" style="254" min="3" max="3"/>
    <col width="7" customWidth="1" style="254" min="4" max="4"/>
    <col width="6" customWidth="1" style="254" min="5" max="5"/>
    <col width="7" customWidth="1" style="254" min="6" max="6"/>
    <col width="8" customWidth="1" style="254" min="7" max="7"/>
    <col width="95" customWidth="1" style="254" min="8" max="8"/>
    <col width="20" customWidth="1" style="254" min="9" max="9"/>
    <col width="10" customWidth="1" style="254" min="10" max="10"/>
    <col width="13" customWidth="1" style="254" min="11" max="36"/>
  </cols>
  <sheetData>
    <row r="1" ht="15" customHeight="1" s="255">
      <c r="A1" s="254" t="inlineStr">
        <is>
          <t>Fator p/ milhões:</t>
        </is>
      </c>
      <c r="B1" s="254" t="n">
        <v>1e-06</v>
      </c>
      <c r="D1" s="254" t="inlineStr">
        <is>
          <t>Bunge Global SA (antes Bunge Limited) (BG, CIK 1996862) - fonte: SEC EDGAR XBRL (instâncias dos 10-Q/10-K). Moeda: USD. Brutos em USD unidades (fator 0,000001 -&gt; milhões). Colunas = trimestres-CALENDÁRIO (cada fechamento vai para o fim de trimestre mais próximo); ano fiscal termina no trimestre-calendário de dez. Trimestre fiscal 4 (e qualquer trimestre sem 3M publicado) = acumulado do ano menos o acumulado anterior, calculado na extração.</t>
        </is>
      </c>
    </row>
    <row r="2" ht="15" customHeight="1" s="255">
      <c r="J2" s="254" t="inlineStr">
        <is>
          <t>Trimestre fiscal</t>
        </is>
      </c>
      <c r="K2" s="254" t="inlineStr">
        <is>
          <t>FQ1</t>
        </is>
      </c>
      <c r="L2" s="254" t="inlineStr">
        <is>
          <t>FQ2</t>
        </is>
      </c>
      <c r="M2" s="254" t="inlineStr">
        <is>
          <t>FQ3</t>
        </is>
      </c>
      <c r="N2" s="254" t="inlineStr">
        <is>
          <t>FQ4</t>
        </is>
      </c>
      <c r="O2" s="254" t="inlineStr">
        <is>
          <t>FQ1</t>
        </is>
      </c>
      <c r="P2" s="254" t="inlineStr">
        <is>
          <t>FQ2</t>
        </is>
      </c>
      <c r="Q2" s="254" t="inlineStr">
        <is>
          <t>FQ3</t>
        </is>
      </c>
      <c r="R2" s="254" t="inlineStr">
        <is>
          <t>FQ4</t>
        </is>
      </c>
      <c r="S2" s="254" t="inlineStr">
        <is>
          <t>FQ1</t>
        </is>
      </c>
      <c r="T2" s="254" t="inlineStr">
        <is>
          <t>FQ2</t>
        </is>
      </c>
      <c r="U2" s="254" t="inlineStr">
        <is>
          <t>FQ3</t>
        </is>
      </c>
      <c r="V2" s="254" t="inlineStr">
        <is>
          <t>FQ4</t>
        </is>
      </c>
      <c r="W2" s="254" t="inlineStr">
        <is>
          <t>FQ1</t>
        </is>
      </c>
      <c r="X2" s="254" t="inlineStr">
        <is>
          <t>FQ2</t>
        </is>
      </c>
      <c r="Y2" s="254" t="inlineStr">
        <is>
          <t>FQ3</t>
        </is>
      </c>
      <c r="Z2" s="254" t="inlineStr">
        <is>
          <t>FQ4</t>
        </is>
      </c>
      <c r="AA2" s="254" t="inlineStr">
        <is>
          <t>FQ1</t>
        </is>
      </c>
      <c r="AB2" s="254" t="inlineStr">
        <is>
          <t>FQ2</t>
        </is>
      </c>
      <c r="AC2" s="254" t="inlineStr">
        <is>
          <t>FQ3</t>
        </is>
      </c>
      <c r="AD2" s="254" t="inlineStr">
        <is>
          <t>FQ4</t>
        </is>
      </c>
      <c r="AE2" s="254" t="inlineStr">
        <is>
          <t>FQ1</t>
        </is>
      </c>
      <c r="AF2" s="254" t="inlineStr">
        <is>
          <t>FQ2</t>
        </is>
      </c>
      <c r="AG2" s="254" t="inlineStr">
        <is>
          <t>FQ3</t>
        </is>
      </c>
      <c r="AH2" s="254" t="inlineStr">
        <is>
          <t>FQ4</t>
        </is>
      </c>
      <c r="AI2" s="254" t="inlineStr">
        <is>
          <t>FQ1</t>
        </is>
      </c>
      <c r="AJ2" s="254" t="inlineStr">
        <is>
          <t>FQ2</t>
        </is>
      </c>
    </row>
    <row r="4" ht="15" customHeight="1" s="255">
      <c r="A4" s="256" t="inlineStr">
        <is>
          <t>COD1</t>
        </is>
      </c>
      <c r="B4" s="256" t="inlineStr">
        <is>
          <t>SINAL1</t>
        </is>
      </c>
      <c r="C4" s="256" t="inlineStr">
        <is>
          <t>COD2</t>
        </is>
      </c>
      <c r="D4" s="256" t="inlineStr">
        <is>
          <t>SINAL2</t>
        </is>
      </c>
      <c r="E4" s="256" t="inlineStr">
        <is>
          <t>COD3</t>
        </is>
      </c>
      <c r="F4" s="256" t="inlineStr">
        <is>
          <t>SINAL3</t>
        </is>
      </c>
      <c r="G4" s="256" t="inlineStr">
        <is>
          <t>UNID</t>
        </is>
      </c>
      <c r="H4" s="256" t="inlineStr">
        <is>
          <t>Conta (PT) / origem</t>
        </is>
      </c>
      <c r="I4" s="256" t="inlineStr">
        <is>
          <t>Account (EN)</t>
        </is>
      </c>
      <c r="J4" s="256" t="inlineStr">
        <is>
          <t>ORIGEM</t>
        </is>
      </c>
      <c r="K4" s="256" t="inlineStr">
        <is>
          <t>1Q20</t>
        </is>
      </c>
      <c r="L4" s="256" t="inlineStr">
        <is>
          <t>2Q20</t>
        </is>
      </c>
      <c r="M4" s="256" t="inlineStr">
        <is>
          <t>3Q20</t>
        </is>
      </c>
      <c r="N4" s="256" t="inlineStr">
        <is>
          <t>4Q20</t>
        </is>
      </c>
      <c r="O4" s="256" t="inlineStr">
        <is>
          <t>1Q21</t>
        </is>
      </c>
      <c r="P4" s="256" t="inlineStr">
        <is>
          <t>2Q21</t>
        </is>
      </c>
      <c r="Q4" s="256" t="inlineStr">
        <is>
          <t>3Q21</t>
        </is>
      </c>
      <c r="R4" s="256" t="inlineStr">
        <is>
          <t>4Q21</t>
        </is>
      </c>
      <c r="S4" s="256" t="inlineStr">
        <is>
          <t>1Q22</t>
        </is>
      </c>
      <c r="T4" s="256" t="inlineStr">
        <is>
          <t>2Q22</t>
        </is>
      </c>
      <c r="U4" s="256" t="inlineStr">
        <is>
          <t>3Q22</t>
        </is>
      </c>
      <c r="V4" s="256" t="inlineStr">
        <is>
          <t>4Q22</t>
        </is>
      </c>
      <c r="W4" s="256" t="inlineStr">
        <is>
          <t>1Q23</t>
        </is>
      </c>
      <c r="X4" s="256" t="inlineStr">
        <is>
          <t>2Q23</t>
        </is>
      </c>
      <c r="Y4" s="256" t="inlineStr">
        <is>
          <t>3Q23</t>
        </is>
      </c>
      <c r="Z4" s="256" t="inlineStr">
        <is>
          <t>4Q23</t>
        </is>
      </c>
      <c r="AA4" s="256" t="inlineStr">
        <is>
          <t>1Q24</t>
        </is>
      </c>
      <c r="AB4" s="256" t="inlineStr">
        <is>
          <t>2Q24</t>
        </is>
      </c>
      <c r="AC4" s="256" t="inlineStr">
        <is>
          <t>3Q24</t>
        </is>
      </c>
      <c r="AD4" s="256" t="inlineStr">
        <is>
          <t>4Q24</t>
        </is>
      </c>
      <c r="AE4" s="256" t="inlineStr">
        <is>
          <t>1Q25</t>
        </is>
      </c>
      <c r="AF4" s="256" t="inlineStr">
        <is>
          <t>2Q25</t>
        </is>
      </c>
      <c r="AG4" s="256" t="inlineStr">
        <is>
          <t>3Q25</t>
        </is>
      </c>
      <c r="AH4" s="256" t="inlineStr">
        <is>
          <t>4Q25</t>
        </is>
      </c>
      <c r="AI4" s="256" t="inlineStr">
        <is>
          <t>1Q26</t>
        </is>
      </c>
      <c r="AJ4" s="256" t="inlineStr">
        <is>
          <t>2Q26</t>
        </is>
      </c>
    </row>
    <row r="5" ht="15" customHeight="1" s="255">
      <c r="H5" s="256" t="inlineStr">
        <is>
          <t>DRE - trimestre isolado (USD). Brutos SEC XBRL; linhas "derivada" são fórmulas nesta aba</t>
        </is>
      </c>
    </row>
    <row r="6" ht="15" customHeight="1" s="255">
      <c r="A6" s="254" t="n">
        <v>1</v>
      </c>
      <c r="B6" s="254" t="n">
        <v>1</v>
      </c>
      <c r="G6" s="254" t="inlineStr">
        <is>
          <t>moeda</t>
        </is>
      </c>
      <c r="H6" s="254" t="inlineStr">
        <is>
          <t>Receita [us-gaap:Revenues/RevenueFromContractWithCustomerExcludingAssessedTax]</t>
        </is>
      </c>
      <c r="J6" s="254" t="inlineStr">
        <is>
          <t>fonte</t>
        </is>
      </c>
      <c r="K6" s="257" t="n">
        <v>9173000000</v>
      </c>
      <c r="L6" s="257" t="n">
        <v>9462000000</v>
      </c>
      <c r="M6" s="257" t="n">
        <v>10159000000</v>
      </c>
      <c r="N6" s="257" t="n">
        <v>12610000000</v>
      </c>
      <c r="O6" s="257" t="n">
        <v>12961000000</v>
      </c>
      <c r="P6" s="257" t="n">
        <v>15391000000</v>
      </c>
      <c r="Q6" s="257" t="n">
        <v>14117000000</v>
      </c>
      <c r="R6" s="257" t="n">
        <v>16683000000</v>
      </c>
      <c r="S6" s="257" t="n">
        <v>15880000000</v>
      </c>
      <c r="T6" s="257" t="n">
        <v>17933000000</v>
      </c>
      <c r="U6" s="257" t="n">
        <v>16759000000</v>
      </c>
      <c r="V6" s="257" t="n">
        <v>16660000000</v>
      </c>
      <c r="W6" s="257" t="n">
        <v>15328000000</v>
      </c>
      <c r="X6" s="257" t="n">
        <v>15049000000</v>
      </c>
      <c r="Y6" s="257" t="n">
        <v>14227000000</v>
      </c>
      <c r="Z6" s="257" t="n">
        <v>14936000000</v>
      </c>
      <c r="AA6" s="257" t="n">
        <v>13417000000</v>
      </c>
      <c r="AB6" s="257" t="n">
        <v>13241000000</v>
      </c>
      <c r="AC6" s="257" t="n">
        <v>12908000000</v>
      </c>
      <c r="AD6" s="257" t="n">
        <v>13542000000</v>
      </c>
      <c r="AE6" s="257" t="n">
        <v>11643000000</v>
      </c>
      <c r="AF6" s="257" t="n">
        <v>12769000000</v>
      </c>
      <c r="AG6" s="257" t="n">
        <v>22155000000</v>
      </c>
      <c r="AH6" s="257" t="n">
        <v>23762000000</v>
      </c>
      <c r="AI6" s="257" t="n">
        <v>21861000000</v>
      </c>
      <c r="AJ6" s="257" t="n">
        <v>24041000000</v>
      </c>
    </row>
    <row r="7" ht="15" customHeight="1" s="255">
      <c r="A7" s="254" t="n">
        <v>2</v>
      </c>
      <c r="B7" s="254" t="n">
        <v>-1</v>
      </c>
      <c r="G7" s="254" t="inlineStr">
        <is>
          <t>moeda</t>
        </is>
      </c>
      <c r="H7" s="254" t="inlineStr">
        <is>
          <t>Custo da receita (divulgado positivo) [us-gaap:CostOfRevenue/CostOfGoodsAndServicesSold]</t>
        </is>
      </c>
      <c r="J7" s="254" t="inlineStr">
        <is>
          <t>fonte</t>
        </is>
      </c>
      <c r="K7" s="257" t="n">
        <v>8999000000</v>
      </c>
      <c r="L7" s="257" t="n">
        <v>8357000000</v>
      </c>
      <c r="M7" s="257" t="n">
        <v>9557000000</v>
      </c>
      <c r="N7" s="257" t="n">
        <v>11706000000</v>
      </c>
      <c r="O7" s="257" t="n">
        <v>11814000000</v>
      </c>
      <c r="P7" s="257" t="n">
        <v>14726000000</v>
      </c>
      <c r="Q7" s="257" t="n">
        <v>13255000000</v>
      </c>
      <c r="R7" s="257" t="n">
        <v>15994000000</v>
      </c>
      <c r="S7" s="257" t="n">
        <v>14676000000</v>
      </c>
      <c r="T7" s="257" t="n">
        <v>17161000000</v>
      </c>
      <c r="U7" s="257" t="n">
        <v>15871000000</v>
      </c>
      <c r="V7" s="257" t="n">
        <v>15842000000</v>
      </c>
      <c r="W7" s="257" t="n">
        <v>14147000000</v>
      </c>
      <c r="X7" s="257" t="n">
        <v>13684000000</v>
      </c>
      <c r="Y7" s="257" t="n">
        <v>13182000000</v>
      </c>
      <c r="Z7" s="257" t="n">
        <v>13682000000</v>
      </c>
      <c r="AA7" s="257" t="n">
        <v>12541000000</v>
      </c>
      <c r="AB7" s="257" t="n">
        <v>12577000000</v>
      </c>
      <c r="AC7" s="257" t="n">
        <v>12136000000</v>
      </c>
      <c r="AD7" s="257" t="n">
        <v>12461000000</v>
      </c>
      <c r="AE7" s="257" t="n">
        <v>11046000000</v>
      </c>
      <c r="AF7" s="257" t="n">
        <v>12031000000</v>
      </c>
      <c r="AG7" s="257" t="n">
        <v>21092000000</v>
      </c>
      <c r="AH7" s="257" t="n">
        <v>22751000000</v>
      </c>
      <c r="AI7" s="257" t="n">
        <v>21095000000</v>
      </c>
      <c r="AJ7" s="257" t="n">
        <v>22360000000</v>
      </c>
    </row>
    <row r="8" ht="15" customHeight="1" s="255">
      <c r="G8" s="254" t="inlineStr">
        <is>
          <t>moeda</t>
        </is>
      </c>
      <c r="H8" s="254" t="inlineStr">
        <is>
          <t>Lucro operacional DERIVADO = lucro bruto - despesas de vendas, gerais e administrativas [us-gaap:GrossProfit - SellingGeneralAndAdministrativeExpense] (a Bunge não divulga lucro operacional; câmbio, juros, outras e equivalência ficam no não operacional)</t>
        </is>
      </c>
      <c r="J8" s="254" t="inlineStr">
        <is>
          <t>memoria</t>
        </is>
      </c>
      <c r="K8" s="257" t="n">
        <v>-121000000</v>
      </c>
      <c r="L8" s="257" t="n">
        <v>759000000</v>
      </c>
      <c r="M8" s="257" t="n">
        <v>250000000</v>
      </c>
      <c r="N8" s="257" t="n">
        <v>539000000</v>
      </c>
      <c r="O8" s="257" t="n">
        <v>876000000</v>
      </c>
      <c r="P8" s="257" t="n">
        <v>368000000</v>
      </c>
      <c r="Q8" s="257" t="n">
        <v>535000000</v>
      </c>
      <c r="R8" s="257" t="n">
        <v>351000000</v>
      </c>
      <c r="S8" s="257" t="n">
        <v>896000000</v>
      </c>
      <c r="T8" s="257" t="n">
        <v>438000000</v>
      </c>
      <c r="U8" s="257" t="n">
        <v>551000000</v>
      </c>
      <c r="V8" s="257" t="n">
        <v>428000000</v>
      </c>
      <c r="W8" s="257" t="n">
        <v>828000000</v>
      </c>
      <c r="X8" s="257" t="n">
        <v>945000000</v>
      </c>
      <c r="Y8" s="257" t="n">
        <v>598000000</v>
      </c>
      <c r="Z8" s="257" t="n">
        <v>759000000</v>
      </c>
      <c r="AA8" s="257" t="n">
        <v>437000000</v>
      </c>
      <c r="AB8" s="257" t="n">
        <v>215000000</v>
      </c>
      <c r="AC8" s="257" t="n">
        <v>335000000</v>
      </c>
      <c r="AD8" s="257" t="n">
        <v>630000000</v>
      </c>
      <c r="AE8" s="257" t="n">
        <v>217000000</v>
      </c>
      <c r="AF8" s="257" t="n">
        <v>320000000</v>
      </c>
      <c r="AG8" s="257" t="n">
        <v>385000000</v>
      </c>
      <c r="AH8" s="257" t="n">
        <v>374000000</v>
      </c>
      <c r="AI8" s="257" t="n">
        <v>235000000</v>
      </c>
      <c r="AJ8" s="257" t="n">
        <v>1075000000</v>
      </c>
    </row>
    <row r="9" ht="15" customHeight="1" s="255">
      <c r="A9" s="254" t="n">
        <v>3</v>
      </c>
      <c r="B9" s="254" t="n">
        <v>-1</v>
      </c>
      <c r="G9" s="254" t="inlineStr">
        <is>
          <t>moeda</t>
        </is>
      </c>
      <c r="H9" s="254" t="inlineStr">
        <is>
          <t>Despesas operacionais = receita - custo - lucro operacional (P&amp;D + SG&amp;A + outras operacionais)</t>
        </is>
      </c>
      <c r="J9" s="254" t="inlineStr">
        <is>
          <t>derivada</t>
        </is>
      </c>
      <c r="K9" s="257">
        <f>N(K6)-N(K7)-N(K8)</f>
        <v>295000000</v>
      </c>
      <c r="L9" s="257">
        <f>N(L6)-N(L7)-N(L8)</f>
        <v>346000000</v>
      </c>
      <c r="M9" s="257">
        <f>N(M6)-N(M7)-N(M8)</f>
        <v>352000000</v>
      </c>
      <c r="N9" s="257">
        <f>N(N6)-N(N7)-N(N8)</f>
        <v>365000000</v>
      </c>
      <c r="O9" s="257">
        <f>N(O6)-N(O7)-N(O8)</f>
        <v>271000000</v>
      </c>
      <c r="P9" s="257">
        <f>N(P6)-N(P7)-N(P8)</f>
        <v>297000000</v>
      </c>
      <c r="Q9" s="257">
        <f>N(Q6)-N(Q7)-N(Q8)</f>
        <v>327000000</v>
      </c>
      <c r="R9" s="257">
        <f>N(R6)-N(R7)-N(R8)</f>
        <v>338000000</v>
      </c>
      <c r="S9" s="257">
        <f>N(S6)-N(S7)-N(S8)</f>
        <v>308000000</v>
      </c>
      <c r="T9" s="257">
        <f>N(T6)-N(T7)-N(T8)</f>
        <v>334000000</v>
      </c>
      <c r="U9" s="257">
        <f>N(U6)-N(U7)-N(U8)</f>
        <v>337000000</v>
      </c>
      <c r="V9" s="257">
        <f>N(V6)-N(V7)-N(V8)</f>
        <v>390000000</v>
      </c>
      <c r="W9" s="257">
        <f>N(W6)-N(W7)-N(W8)</f>
        <v>353000000</v>
      </c>
      <c r="X9" s="257">
        <f>N(X6)-N(X7)-N(X8)</f>
        <v>420000000</v>
      </c>
      <c r="Y9" s="257">
        <f>N(Y6)-N(Y7)-N(Y8)</f>
        <v>447000000</v>
      </c>
      <c r="Z9" s="257">
        <f>N(Z6)-N(Z7)-N(Z8)</f>
        <v>495000000</v>
      </c>
      <c r="AA9" s="257">
        <f>N(AA6)-N(AA7)-N(AA8)</f>
        <v>439000000</v>
      </c>
      <c r="AB9" s="257">
        <f>N(AB6)-N(AB7)-N(AB8)</f>
        <v>449000000</v>
      </c>
      <c r="AC9" s="257">
        <f>N(AC6)-N(AC7)-N(AC8)</f>
        <v>437000000</v>
      </c>
      <c r="AD9" s="257">
        <f>N(AD6)-N(AD7)-N(AD8)</f>
        <v>451000000</v>
      </c>
      <c r="AE9" s="257">
        <f>N(AE6)-N(AE7)-N(AE8)</f>
        <v>380000000</v>
      </c>
      <c r="AF9" s="257">
        <f>N(AF6)-N(AF7)-N(AF8)</f>
        <v>418000000</v>
      </c>
      <c r="AG9" s="257">
        <f>N(AG6)-N(AG7)-N(AG8)</f>
        <v>678000000</v>
      </c>
      <c r="AH9" s="257">
        <f>N(AH6)-N(AH7)-N(AH8)</f>
        <v>637000000</v>
      </c>
      <c r="AI9" s="257">
        <f>N(AI6)-N(AI7)-N(AI8)</f>
        <v>531000000</v>
      </c>
      <c r="AJ9" s="257">
        <f>N(AJ6)-N(AJ7)-N(AJ8)</f>
        <v>606000000</v>
      </c>
    </row>
    <row r="10" ht="15" customHeight="1" s="255">
      <c r="G10" s="254" t="inlineStr">
        <is>
          <t>moeda</t>
        </is>
      </c>
      <c r="H10" s="254" t="inlineStr">
        <is>
          <t>Lucro antes do IR [us-gaap:IncomeLossFromContinuingOperationsBeforeIncomeTaxesExtraordi]</t>
        </is>
      </c>
      <c r="J10" s="254" t="inlineStr">
        <is>
          <t>memoria</t>
        </is>
      </c>
      <c r="K10" s="257" t="n">
        <v>-248000000</v>
      </c>
      <c r="L10" s="257" t="n">
        <v>690000000</v>
      </c>
      <c r="M10" s="257" t="n">
        <v>305000000</v>
      </c>
      <c r="N10" s="257" t="n">
        <v>666000000</v>
      </c>
      <c r="O10" s="257" t="n">
        <v>1109000000</v>
      </c>
      <c r="P10" s="257" t="n">
        <v>419000000</v>
      </c>
      <c r="Q10" s="257" t="n">
        <v>741000000</v>
      </c>
      <c r="R10" s="257" t="n">
        <v>296000000</v>
      </c>
      <c r="S10" s="257" t="n">
        <v>804000000</v>
      </c>
      <c r="T10" s="257" t="n">
        <v>261000000</v>
      </c>
      <c r="U10" s="257" t="n">
        <v>496000000</v>
      </c>
      <c r="V10" s="257" t="n">
        <v>505000000</v>
      </c>
      <c r="W10" s="257" t="n">
        <v>842000000</v>
      </c>
      <c r="X10" s="257" t="n">
        <v>827000000</v>
      </c>
      <c r="Y10" s="257" t="n">
        <v>503000000</v>
      </c>
      <c r="Z10" s="257" t="n">
        <v>879000000</v>
      </c>
      <c r="AA10" s="257" t="n">
        <v>369000000</v>
      </c>
      <c r="AB10" s="257" t="n">
        <v>103000000</v>
      </c>
      <c r="AC10" s="257" t="n">
        <v>322000000</v>
      </c>
      <c r="AD10" s="257" t="n">
        <v>730000000</v>
      </c>
      <c r="AE10" s="257" t="n">
        <v>284000000</v>
      </c>
      <c r="AF10" s="257" t="n">
        <v>494000000</v>
      </c>
      <c r="AG10" s="257" t="n">
        <v>270000000</v>
      </c>
      <c r="AH10" s="257" t="n">
        <v>86000000</v>
      </c>
      <c r="AI10" s="257" t="n">
        <v>61000000</v>
      </c>
      <c r="AJ10" s="257" t="n">
        <v>943000000</v>
      </c>
    </row>
    <row r="11" ht="15" customHeight="1" s="255">
      <c r="A11" s="254" t="n">
        <v>6</v>
      </c>
      <c r="B11" s="254" t="n">
        <v>1</v>
      </c>
      <c r="G11" s="254" t="inlineStr">
        <is>
          <t>moeda</t>
        </is>
      </c>
      <c r="H11" s="254" t="inlineStr">
        <is>
          <t>Resultado não operacional total = lucro antes do IR - lucro operacional</t>
        </is>
      </c>
      <c r="J11" s="254" t="inlineStr">
        <is>
          <t>derivada</t>
        </is>
      </c>
      <c r="K11" s="257">
        <f>N(K10)-N(K8)</f>
        <v>-127000000</v>
      </c>
      <c r="L11" s="257">
        <f>N(L10)-N(L8)</f>
        <v>-69000000</v>
      </c>
      <c r="M11" s="257">
        <f>N(M10)-N(M8)</f>
        <v>55000000</v>
      </c>
      <c r="N11" s="257">
        <f>N(N10)-N(N8)</f>
        <v>127000000</v>
      </c>
      <c r="O11" s="257">
        <f>N(O10)-N(O8)</f>
        <v>233000000</v>
      </c>
      <c r="P11" s="257">
        <f>N(P10)-N(P8)</f>
        <v>51000000</v>
      </c>
      <c r="Q11" s="257">
        <f>N(Q10)-N(Q8)</f>
        <v>206000000</v>
      </c>
      <c r="R11" s="257">
        <f>N(R10)-N(R8)</f>
        <v>-55000000</v>
      </c>
      <c r="S11" s="257">
        <f>N(S10)-N(S8)</f>
        <v>-92000000</v>
      </c>
      <c r="T11" s="257">
        <f>N(T10)-N(T8)</f>
        <v>-177000000</v>
      </c>
      <c r="U11" s="257">
        <f>N(U10)-N(U8)</f>
        <v>-55000000</v>
      </c>
      <c r="V11" s="257">
        <f>N(V10)-N(V8)</f>
        <v>77000000</v>
      </c>
      <c r="W11" s="257">
        <f>N(W10)-N(W8)</f>
        <v>14000000</v>
      </c>
      <c r="X11" s="257">
        <f>N(X10)-N(X8)</f>
        <v>-118000000</v>
      </c>
      <c r="Y11" s="257">
        <f>N(Y10)-N(Y8)</f>
        <v>-95000000</v>
      </c>
      <c r="Z11" s="257">
        <f>N(Z10)-N(Z8)</f>
        <v>120000000</v>
      </c>
      <c r="AA11" s="257">
        <f>N(AA10)-N(AA8)</f>
        <v>-68000000</v>
      </c>
      <c r="AB11" s="257">
        <f>N(AB10)-N(AB8)</f>
        <v>-112000000</v>
      </c>
      <c r="AC11" s="257">
        <f>N(AC10)-N(AC8)</f>
        <v>-13000000</v>
      </c>
      <c r="AD11" s="257">
        <f>N(AD10)-N(AD8)</f>
        <v>100000000</v>
      </c>
      <c r="AE11" s="257">
        <f>N(AE10)-N(AE8)</f>
        <v>67000000</v>
      </c>
      <c r="AF11" s="257">
        <f>N(AF10)-N(AF8)</f>
        <v>174000000</v>
      </c>
      <c r="AG11" s="257">
        <f>N(AG10)-N(AG8)</f>
        <v>-115000000</v>
      </c>
      <c r="AH11" s="257">
        <f>N(AH10)-N(AH8)</f>
        <v>-288000000</v>
      </c>
      <c r="AI11" s="257">
        <f>N(AI10)-N(AI8)</f>
        <v>-174000000</v>
      </c>
      <c r="AJ11" s="257">
        <f>N(AJ10)-N(AJ8)</f>
        <v>-132000000</v>
      </c>
    </row>
    <row r="12" ht="15" customHeight="1" s="255">
      <c r="A12" s="254" t="n">
        <v>5</v>
      </c>
      <c r="B12" s="254" t="n">
        <v>-1</v>
      </c>
      <c r="C12" s="254" t="n">
        <v>6</v>
      </c>
      <c r="D12" s="254" t="n">
        <v>1</v>
      </c>
      <c r="G12" s="254" t="inlineStr">
        <is>
          <t>moeda</t>
        </is>
      </c>
      <c r="H12" s="254" t="inlineStr">
        <is>
          <t>Despesa de juros (divulgado positivo): COD1=5 lança; COD2=6 devolve ao não operacional, que já a contém [us-gaap:InterestExpense/InterestExpenseNonoperating]</t>
        </is>
      </c>
      <c r="J12" s="254" t="inlineStr">
        <is>
          <t>fonte</t>
        </is>
      </c>
      <c r="K12" s="257" t="n">
        <v>77000000</v>
      </c>
      <c r="L12" s="257" t="n">
        <v>62000000</v>
      </c>
      <c r="M12" s="257" t="n">
        <v>56000000</v>
      </c>
      <c r="N12" s="257" t="n">
        <v>70000000</v>
      </c>
      <c r="O12" s="257" t="n">
        <v>73000000</v>
      </c>
      <c r="P12" s="257" t="n">
        <v>54000000</v>
      </c>
      <c r="Q12" s="257" t="n">
        <v>57000000</v>
      </c>
      <c r="R12" s="257" t="n">
        <v>59000000</v>
      </c>
      <c r="S12" s="257" t="n">
        <v>111000000</v>
      </c>
      <c r="T12" s="257" t="n">
        <v>92000000</v>
      </c>
      <c r="U12" s="257" t="n">
        <v>103000000</v>
      </c>
      <c r="V12" s="257" t="n">
        <v>97000000</v>
      </c>
      <c r="W12" s="257" t="n">
        <v>112000000</v>
      </c>
      <c r="X12" s="257" t="n">
        <v>129000000</v>
      </c>
      <c r="Y12" s="257" t="n">
        <v>133000000</v>
      </c>
      <c r="Z12" s="257" t="n">
        <v>142000000</v>
      </c>
      <c r="AA12" s="257" t="n">
        <v>108000000</v>
      </c>
      <c r="AB12" s="257" t="n">
        <v>123000000</v>
      </c>
      <c r="AC12" s="257" t="n">
        <v>127000000</v>
      </c>
      <c r="AD12" s="257" t="n">
        <v>113000000</v>
      </c>
      <c r="AE12" s="257" t="n">
        <v>104000000</v>
      </c>
      <c r="AF12" s="257" t="n">
        <v>106000000</v>
      </c>
      <c r="AG12" s="257" t="n">
        <v>202000000</v>
      </c>
      <c r="AH12" s="257" t="n">
        <v>216000000</v>
      </c>
      <c r="AI12" s="257" t="n">
        <v>181000000</v>
      </c>
      <c r="AJ12" s="257" t="n">
        <v>197000000</v>
      </c>
    </row>
    <row r="13" ht="15" customHeight="1" s="255">
      <c r="A13" s="254" t="n">
        <v>7</v>
      </c>
      <c r="B13" s="254" t="n">
        <v>-1</v>
      </c>
      <c r="G13" s="254" t="inlineStr">
        <is>
          <t>moeda</t>
        </is>
      </c>
      <c r="H13" s="254" t="inlineStr">
        <is>
          <t>Imposto de renda (divulgado positivo) [us-gaap:IncomeTaxExpenseBenefit]</t>
        </is>
      </c>
      <c r="J13" s="254" t="inlineStr">
        <is>
          <t>fonte</t>
        </is>
      </c>
      <c r="K13" s="257" t="n">
        <v>-55000000</v>
      </c>
      <c r="L13" s="257" t="n">
        <v>168000000</v>
      </c>
      <c r="M13" s="257" t="n">
        <v>38000000</v>
      </c>
      <c r="N13" s="257" t="n">
        <v>97000000</v>
      </c>
      <c r="O13" s="257" t="n">
        <v>192000000</v>
      </c>
      <c r="P13" s="257" t="n">
        <v>50000000</v>
      </c>
      <c r="Q13" s="257" t="n">
        <v>92000000</v>
      </c>
      <c r="R13" s="257" t="n">
        <v>64000000</v>
      </c>
      <c r="S13" s="257" t="n">
        <v>108000000</v>
      </c>
      <c r="T13" s="257" t="n">
        <v>36000000</v>
      </c>
      <c r="U13" s="257" t="n">
        <v>113000000</v>
      </c>
      <c r="V13" s="257" t="n">
        <v>131000000</v>
      </c>
      <c r="W13" s="257" t="n">
        <v>183000000</v>
      </c>
      <c r="X13" s="257" t="n">
        <v>198000000</v>
      </c>
      <c r="Y13" s="257" t="n">
        <v>114000000</v>
      </c>
      <c r="Z13" s="257" t="n">
        <v>219000000</v>
      </c>
      <c r="AA13" s="257" t="n">
        <v>117000000</v>
      </c>
      <c r="AB13" s="257" t="n">
        <v>30000000</v>
      </c>
      <c r="AC13" s="257" t="n">
        <v>89000000</v>
      </c>
      <c r="AD13" s="257" t="n">
        <v>100000000</v>
      </c>
      <c r="AE13" s="257" t="n">
        <v>80000000</v>
      </c>
      <c r="AF13" s="257" t="n">
        <v>124000000</v>
      </c>
      <c r="AG13" s="257" t="n">
        <v>86000000</v>
      </c>
      <c r="AH13" s="257" t="n">
        <v>-2000000</v>
      </c>
      <c r="AI13" s="257" t="n">
        <v>-14000000</v>
      </c>
      <c r="AJ13" s="257" t="n">
        <v>236000000</v>
      </c>
    </row>
    <row r="14" ht="15" customHeight="1" s="255">
      <c r="A14" s="254" t="n">
        <v>9</v>
      </c>
      <c r="B14" s="254" t="n">
        <v>-1</v>
      </c>
      <c r="G14" s="254" t="inlineStr">
        <is>
          <t>moeda</t>
        </is>
      </c>
      <c r="H14" s="254" t="inlineStr">
        <is>
          <t>Lucro atribuído a não controladores (divulgado positivo) [us-gaap:NetIncomeLossAttributableToNoncontrollingInterest]</t>
        </is>
      </c>
      <c r="J14" s="254" t="inlineStr">
        <is>
          <t>fonte</t>
        </is>
      </c>
      <c r="K14" s="257" t="n">
        <v>-9000000</v>
      </c>
      <c r="L14" s="257" t="n">
        <v>6000000</v>
      </c>
      <c r="M14" s="257" t="n">
        <v>5000000</v>
      </c>
      <c r="N14" s="257" t="n">
        <v>18000000</v>
      </c>
      <c r="O14" s="257" t="n">
        <v>86000000</v>
      </c>
      <c r="P14" s="257" t="n">
        <v>7000000</v>
      </c>
      <c r="Q14" s="257" t="n">
        <v>-4000000</v>
      </c>
      <c r="R14" s="257" t="n">
        <v>1000000</v>
      </c>
      <c r="S14" s="257" t="n">
        <v>8000000</v>
      </c>
      <c r="T14" s="257" t="n">
        <v>19000000</v>
      </c>
      <c r="U14" s="257" t="n">
        <v>3000000</v>
      </c>
      <c r="V14" s="257" t="n">
        <v>38000000</v>
      </c>
      <c r="W14" s="257" t="n">
        <v>27000000</v>
      </c>
      <c r="X14" s="257" t="n">
        <v>7000000</v>
      </c>
      <c r="Y14" s="257" t="n">
        <v>16000000</v>
      </c>
      <c r="Z14" s="257" t="n">
        <v>44000000</v>
      </c>
      <c r="AA14" s="257" t="n">
        <v>8000000</v>
      </c>
      <c r="AB14" s="257" t="n">
        <v>3000000</v>
      </c>
      <c r="AC14" s="257" t="n">
        <v>12000000</v>
      </c>
      <c r="AD14" s="257" t="n">
        <v>28000000</v>
      </c>
      <c r="AE14" s="257" t="n">
        <v>3000000</v>
      </c>
      <c r="AF14" s="257" t="n">
        <v>16000000</v>
      </c>
      <c r="AG14" s="257" t="n">
        <v>15000000</v>
      </c>
      <c r="AH14" s="257" t="n">
        <v>-7000000</v>
      </c>
      <c r="AI14" s="257" t="n">
        <v>7000000</v>
      </c>
      <c r="AJ14" s="257" t="n">
        <v>29000000</v>
      </c>
    </row>
    <row r="15" ht="15" customHeight="1" s="255">
      <c r="G15" s="254" t="inlineStr">
        <is>
          <t>moeda</t>
        </is>
      </c>
      <c r="H15" s="254" t="inlineStr">
        <is>
          <t>Lucro líquido atribuído à companhia [us-gaap:NetIncomeLoss]</t>
        </is>
      </c>
      <c r="J15" s="254" t="inlineStr">
        <is>
          <t>memoria</t>
        </is>
      </c>
      <c r="K15" s="257" t="n">
        <v>-184000000</v>
      </c>
      <c r="L15" s="257" t="n">
        <v>516000000</v>
      </c>
      <c r="M15" s="257" t="n">
        <v>262000000</v>
      </c>
      <c r="N15" s="257" t="n">
        <v>551000000</v>
      </c>
      <c r="O15" s="257" t="n">
        <v>831000000</v>
      </c>
      <c r="P15" s="257" t="n">
        <v>362000000</v>
      </c>
      <c r="Q15" s="257" t="n">
        <v>653000000</v>
      </c>
      <c r="R15" s="257" t="n">
        <v>231000000</v>
      </c>
      <c r="S15" s="257" t="n">
        <v>688000000</v>
      </c>
      <c r="T15" s="257" t="n">
        <v>206000000</v>
      </c>
      <c r="U15" s="257" t="n">
        <v>380000000</v>
      </c>
      <c r="V15" s="257" t="n">
        <v>336000000</v>
      </c>
      <c r="W15" s="257" t="n">
        <v>632000000</v>
      </c>
      <c r="X15" s="257" t="n">
        <v>622000000</v>
      </c>
      <c r="Y15" s="257" t="n">
        <v>373000000</v>
      </c>
      <c r="Z15" s="257" t="n">
        <v>616000000</v>
      </c>
      <c r="AA15" s="257" t="n">
        <v>244000000</v>
      </c>
      <c r="AB15" s="257" t="n">
        <v>70000000</v>
      </c>
      <c r="AC15" s="257" t="n">
        <v>221000000</v>
      </c>
      <c r="AD15" s="257" t="n">
        <v>602000000</v>
      </c>
      <c r="AE15" s="257" t="n">
        <v>201000000</v>
      </c>
      <c r="AF15" s="257" t="n">
        <v>354000000</v>
      </c>
      <c r="AG15" s="257" t="n">
        <v>166000000</v>
      </c>
      <c r="AH15" s="257" t="n">
        <v>95000000</v>
      </c>
      <c r="AI15" s="257" t="n">
        <v>68000000</v>
      </c>
      <c r="AJ15" s="257" t="n">
        <v>678000000</v>
      </c>
    </row>
    <row r="16" ht="15" customHeight="1" s="255">
      <c r="A16" s="254" t="n">
        <v>8</v>
      </c>
      <c r="B16" s="254" t="n">
        <v>1</v>
      </c>
      <c r="G16" s="254" t="inlineStr">
        <is>
          <t>moeda</t>
        </is>
      </c>
      <c r="H16" s="254" t="inlineStr">
        <is>
          <t>Resultado após IR não classificado acima (equivalência patrimonial, operações descontinuadas): lucro - (LAIR - IR - minoritários); zero quando não há</t>
        </is>
      </c>
      <c r="J16" s="254" t="inlineStr">
        <is>
          <t>derivada</t>
        </is>
      </c>
      <c r="K16" s="257">
        <f>N(K15)-(N(K10)-N(K13)-N(K14))</f>
        <v>0</v>
      </c>
      <c r="L16" s="257">
        <f>N(L15)-(N(L10)-N(L13)-N(L14))</f>
        <v>0</v>
      </c>
      <c r="M16" s="257">
        <f>N(M15)-(N(M10)-N(M13)-N(M14))</f>
        <v>0</v>
      </c>
      <c r="N16" s="257">
        <f>N(N15)-(N(N10)-N(N13)-N(N14))</f>
        <v>0</v>
      </c>
      <c r="O16" s="257">
        <f>N(O15)-(N(O10)-N(O13)-N(O14))</f>
        <v>0</v>
      </c>
      <c r="P16" s="257">
        <f>N(P15)-(N(P10)-N(P13)-N(P14))</f>
        <v>0</v>
      </c>
      <c r="Q16" s="257">
        <f>N(Q15)-(N(Q10)-N(Q13)-N(Q14))</f>
        <v>0</v>
      </c>
      <c r="R16" s="257">
        <f>N(R15)-(N(R10)-N(R13)-N(R14))</f>
        <v>0</v>
      </c>
      <c r="S16" s="257">
        <f>N(S15)-(N(S10)-N(S13)-N(S14))</f>
        <v>0</v>
      </c>
      <c r="T16" s="257">
        <f>N(T15)-(N(T10)-N(T13)-N(T14))</f>
        <v>0</v>
      </c>
      <c r="U16" s="257">
        <f>N(U15)-(N(U10)-N(U13)-N(U14))</f>
        <v>0</v>
      </c>
      <c r="V16" s="257">
        <f>N(V15)-(N(V10)-N(V13)-N(V14))</f>
        <v>0</v>
      </c>
      <c r="W16" s="257">
        <f>N(W15)-(N(W10)-N(W13)-N(W14))</f>
        <v>0</v>
      </c>
      <c r="X16" s="257">
        <f>N(X15)-(N(X10)-N(X13)-N(X14))</f>
        <v>0</v>
      </c>
      <c r="Y16" s="257">
        <f>N(Y15)-(N(Y10)-N(Y13)-N(Y14))</f>
        <v>0</v>
      </c>
      <c r="Z16" s="257">
        <f>N(Z15)-(N(Z10)-N(Z13)-N(Z14))</f>
        <v>0</v>
      </c>
      <c r="AA16" s="257">
        <f>N(AA15)-(N(AA10)-N(AA13)-N(AA14))</f>
        <v>0</v>
      </c>
      <c r="AB16" s="257">
        <f>N(AB15)-(N(AB10)-N(AB13)-N(AB14))</f>
        <v>0</v>
      </c>
      <c r="AC16" s="257">
        <f>N(AC15)-(N(AC10)-N(AC13)-N(AC14))</f>
        <v>0</v>
      </c>
      <c r="AD16" s="257">
        <f>N(AD15)-(N(AD10)-N(AD13)-N(AD14))</f>
        <v>0</v>
      </c>
      <c r="AE16" s="257">
        <f>N(AE15)-(N(AE10)-N(AE13)-N(AE14))</f>
        <v>0</v>
      </c>
      <c r="AF16" s="257">
        <f>N(AF15)-(N(AF10)-N(AF13)-N(AF14))</f>
        <v>0</v>
      </c>
      <c r="AG16" s="257">
        <f>N(AG15)-(N(AG10)-N(AG13)-N(AG14))</f>
        <v>-3000000</v>
      </c>
      <c r="AH16" s="257">
        <f>N(AH15)-(N(AH10)-N(AH13)-N(AH14))</f>
        <v>0</v>
      </c>
      <c r="AI16" s="257">
        <f>N(AI15)-(N(AI10)-N(AI13)-N(AI14))</f>
        <v>0</v>
      </c>
      <c r="AJ16" s="257">
        <f>N(AJ15)-(N(AJ10)-N(AJ13)-N(AJ14))</f>
        <v>0</v>
      </c>
    </row>
    <row r="17" ht="15" customHeight="1" s="255">
      <c r="A17" s="254" t="n">
        <v>44</v>
      </c>
      <c r="B17" s="254" t="n">
        <v>1</v>
      </c>
      <c r="G17" s="254" t="inlineStr">
        <is>
          <t>moeda</t>
        </is>
      </c>
      <c r="H17" s="254" t="inlineStr">
        <is>
          <t>Lucro líquido (check IS, código 44)</t>
        </is>
      </c>
      <c r="J17" s="254" t="inlineStr">
        <is>
          <t>derivada</t>
        </is>
      </c>
      <c r="K17" s="257">
        <f>N(K15)</f>
        <v>-184000000</v>
      </c>
      <c r="L17" s="257">
        <f>N(L15)</f>
        <v>516000000</v>
      </c>
      <c r="M17" s="257">
        <f>N(M15)</f>
        <v>262000000</v>
      </c>
      <c r="N17" s="257">
        <f>N(N15)</f>
        <v>551000000</v>
      </c>
      <c r="O17" s="257">
        <f>N(O15)</f>
        <v>831000000</v>
      </c>
      <c r="P17" s="257">
        <f>N(P15)</f>
        <v>362000000</v>
      </c>
      <c r="Q17" s="257">
        <f>N(Q15)</f>
        <v>653000000</v>
      </c>
      <c r="R17" s="257">
        <f>N(R15)</f>
        <v>231000000</v>
      </c>
      <c r="S17" s="257">
        <f>N(S15)</f>
        <v>688000000</v>
      </c>
      <c r="T17" s="257">
        <f>N(T15)</f>
        <v>206000000</v>
      </c>
      <c r="U17" s="257">
        <f>N(U15)</f>
        <v>380000000</v>
      </c>
      <c r="V17" s="257">
        <f>N(V15)</f>
        <v>336000000</v>
      </c>
      <c r="W17" s="257">
        <f>N(W15)</f>
        <v>632000000</v>
      </c>
      <c r="X17" s="257">
        <f>N(X15)</f>
        <v>622000000</v>
      </c>
      <c r="Y17" s="257">
        <f>N(Y15)</f>
        <v>373000000</v>
      </c>
      <c r="Z17" s="257">
        <f>N(Z15)</f>
        <v>616000000</v>
      </c>
      <c r="AA17" s="257">
        <f>N(AA15)</f>
        <v>244000000</v>
      </c>
      <c r="AB17" s="257">
        <f>N(AB15)</f>
        <v>70000000</v>
      </c>
      <c r="AC17" s="257">
        <f>N(AC15)</f>
        <v>221000000</v>
      </c>
      <c r="AD17" s="257">
        <f>N(AD15)</f>
        <v>602000000</v>
      </c>
      <c r="AE17" s="257">
        <f>N(AE15)</f>
        <v>201000000</v>
      </c>
      <c r="AF17" s="257">
        <f>N(AF15)</f>
        <v>354000000</v>
      </c>
      <c r="AG17" s="257">
        <f>N(AG15)</f>
        <v>166000000</v>
      </c>
      <c r="AH17" s="257">
        <f>N(AH15)</f>
        <v>95000000</v>
      </c>
      <c r="AI17" s="257">
        <f>N(AI15)</f>
        <v>68000000</v>
      </c>
      <c r="AJ17" s="257">
        <f>N(AJ15)</f>
        <v>678000000</v>
      </c>
    </row>
    <row r="18" ht="15" customHeight="1" s="255">
      <c r="H18" s="256" t="inlineStr">
        <is>
          <t>DFC - trimestre isolado (desacumulado na extração)</t>
        </is>
      </c>
    </row>
    <row r="19" ht="15" customHeight="1" s="255">
      <c r="A19" s="254" t="n">
        <v>4</v>
      </c>
      <c r="B19" s="254" t="n">
        <v>-1</v>
      </c>
      <c r="C19" s="254" t="n">
        <v>2</v>
      </c>
      <c r="D19" s="254" t="n">
        <v>1</v>
      </c>
      <c r="G19" s="254" t="inlineStr">
        <is>
          <t>moeda</t>
        </is>
      </c>
      <c r="H19" s="254" t="inlineStr">
        <is>
          <t>D&amp;A (fluxo de caixa). COD1=4 lança (positivo -&gt; -1); COD2=2 devolve ao custo, onde a companhia apresenta a D&amp;A [us-gaap:DepreciationDepletionAndAmortization/DepreciationAmortizationAndImpairment]</t>
        </is>
      </c>
      <c r="J19" s="254" t="inlineStr">
        <is>
          <t>fonte</t>
        </is>
      </c>
      <c r="K19" s="257" t="n">
        <v>113000000</v>
      </c>
      <c r="L19" s="257" t="n">
        <v>104000000</v>
      </c>
      <c r="M19" s="257" t="n">
        <v>106000000</v>
      </c>
      <c r="N19" s="257" t="n">
        <v>112000000</v>
      </c>
      <c r="O19" s="257" t="n">
        <v>106000000</v>
      </c>
      <c r="P19" s="257" t="n">
        <v>106000000</v>
      </c>
      <c r="Q19" s="257" t="n">
        <v>105000000</v>
      </c>
      <c r="R19" s="257" t="n">
        <v>107000000</v>
      </c>
      <c r="S19" s="257" t="n">
        <v>102000000</v>
      </c>
      <c r="T19" s="257" t="n">
        <v>102000000</v>
      </c>
      <c r="U19" s="257" t="n">
        <v>101000000</v>
      </c>
      <c r="V19" s="257" t="n">
        <v>103000000</v>
      </c>
      <c r="W19" s="257" t="n">
        <v>102000000</v>
      </c>
      <c r="X19" s="257" t="n">
        <v>106000000</v>
      </c>
      <c r="Y19" s="257" t="n">
        <v>109000000</v>
      </c>
      <c r="Z19" s="257" t="n">
        <v>134000000</v>
      </c>
      <c r="AA19" s="257" t="n">
        <v>112000000</v>
      </c>
      <c r="AB19" s="257" t="n">
        <v>114000000</v>
      </c>
      <c r="AC19" s="257" t="n">
        <v>119000000</v>
      </c>
      <c r="AD19" s="257" t="n">
        <v>123000000</v>
      </c>
      <c r="AE19" s="257" t="n">
        <v>120000000</v>
      </c>
      <c r="AF19" s="257" t="n">
        <v>116000000</v>
      </c>
      <c r="AG19" s="257" t="n">
        <v>241000000</v>
      </c>
      <c r="AH19" s="257" t="n">
        <v>226000000</v>
      </c>
      <c r="AI19" s="257" t="n">
        <v>238000000</v>
      </c>
      <c r="AJ19" s="257" t="n">
        <v>256000000</v>
      </c>
    </row>
    <row r="20" ht="15" customHeight="1" s="255">
      <c r="A20" s="254" t="n">
        <v>10</v>
      </c>
      <c r="B20" s="254" t="n">
        <v>-1</v>
      </c>
      <c r="G20" s="254" t="inlineStr">
        <is>
          <t>moeda</t>
        </is>
      </c>
      <c r="H20" s="254" t="inlineStr">
        <is>
          <t>Dividendos pagos [us-gaap:PaymentsOfDividends]</t>
        </is>
      </c>
      <c r="J20" s="254" t="inlineStr">
        <is>
          <t>fonte</t>
        </is>
      </c>
      <c r="K20" s="257" t="n">
        <v>79000000</v>
      </c>
      <c r="L20" s="257" t="n">
        <v>80000000</v>
      </c>
      <c r="M20" s="257" t="n">
        <v>78000000</v>
      </c>
      <c r="N20" s="257" t="n">
        <v>45000000</v>
      </c>
      <c r="O20" s="257" t="n">
        <v>79000000</v>
      </c>
      <c r="P20" s="257" t="n">
        <v>79000000</v>
      </c>
      <c r="Q20" s="257" t="n">
        <v>0</v>
      </c>
      <c r="R20" s="257" t="n">
        <v>0</v>
      </c>
      <c r="S20" s="257" t="n">
        <v>0</v>
      </c>
      <c r="T20" s="257" t="n">
        <v>0</v>
      </c>
      <c r="U20" s="257" t="n">
        <v>0</v>
      </c>
      <c r="V20" s="257" t="n">
        <v>0</v>
      </c>
      <c r="W20" s="257" t="n">
        <v>94000000</v>
      </c>
      <c r="X20" s="257" t="n">
        <v>94000000</v>
      </c>
      <c r="Y20" s="257" t="n">
        <v>99000000</v>
      </c>
      <c r="Z20" s="257" t="n">
        <v>96000000</v>
      </c>
      <c r="AA20" s="257" t="n">
        <v>95000000</v>
      </c>
      <c r="AB20" s="257" t="n">
        <v>96000000</v>
      </c>
      <c r="AC20" s="257" t="n">
        <v>96000000</v>
      </c>
      <c r="AD20" s="257" t="n">
        <v>91000000</v>
      </c>
      <c r="AE20" s="257" t="n">
        <v>91000000</v>
      </c>
      <c r="AF20" s="257" t="n">
        <v>94000000</v>
      </c>
      <c r="AG20" s="257" t="n">
        <v>139000000</v>
      </c>
      <c r="AH20" s="257" t="n">
        <v>135000000</v>
      </c>
      <c r="AI20" s="257" t="n">
        <v>136000000</v>
      </c>
      <c r="AJ20" s="257" t="n">
        <v>139000000</v>
      </c>
    </row>
    <row r="21" ht="15" customHeight="1" s="255">
      <c r="H21" s="256" t="inlineStr">
        <is>
          <t>BALANÇO DE FACE (USD, saldo no fim do trimestre; cada trimestre lido da instância do próprio 10-Q/10-K)</t>
        </is>
      </c>
    </row>
    <row r="22" ht="15" customHeight="1" s="255">
      <c r="A22" s="254" t="n">
        <v>11</v>
      </c>
      <c r="B22" s="254" t="n">
        <v>1</v>
      </c>
      <c r="G22" s="254" t="inlineStr">
        <is>
          <t>moeda</t>
        </is>
      </c>
      <c r="H22" s="254" t="inlineStr">
        <is>
          <t>CashAndCashEquivalentsAtCarryingValue</t>
        </is>
      </c>
      <c r="J22" s="254" t="inlineStr">
        <is>
          <t>fonte</t>
        </is>
      </c>
      <c r="K22" s="257" t="n">
        <v>193000000</v>
      </c>
      <c r="L22" s="257" t="n">
        <v>277000000</v>
      </c>
      <c r="M22" s="257" t="n">
        <v>291000000</v>
      </c>
      <c r="N22" s="257" t="n">
        <v>352000000</v>
      </c>
      <c r="O22" s="257" t="n">
        <v>226000000</v>
      </c>
      <c r="P22" s="257" t="n">
        <v>464000000</v>
      </c>
      <c r="Q22" s="257" t="n">
        <v>1033000000</v>
      </c>
      <c r="R22" s="257" t="n">
        <v>902000000</v>
      </c>
      <c r="S22" s="257" t="n">
        <v>386000000</v>
      </c>
      <c r="T22" s="257" t="n">
        <v>818000000</v>
      </c>
      <c r="U22" s="257" t="n">
        <v>956000000</v>
      </c>
      <c r="V22" s="257" t="n">
        <v>1104000000</v>
      </c>
      <c r="W22" s="257" t="n">
        <v>3052000000</v>
      </c>
      <c r="X22" s="257" t="n">
        <v>1330000000</v>
      </c>
      <c r="Y22" s="257" t="n">
        <v>2173000000</v>
      </c>
      <c r="Z22" s="257" t="n">
        <v>2602000000</v>
      </c>
      <c r="AA22" s="257" t="n">
        <v>2939000000</v>
      </c>
      <c r="AB22" s="257" t="n">
        <v>1161000000</v>
      </c>
      <c r="AC22" s="257" t="n">
        <v>2836000000</v>
      </c>
      <c r="AD22" s="257" t="n">
        <v>3311000000</v>
      </c>
      <c r="AE22" s="257" t="n">
        <v>3245000000</v>
      </c>
      <c r="AF22" s="257" t="n">
        <v>6790000000</v>
      </c>
      <c r="AG22" s="257" t="n">
        <v>1315000000</v>
      </c>
      <c r="AH22" s="257" t="n">
        <v>1135000000</v>
      </c>
      <c r="AI22" s="257" t="n">
        <v>839000000</v>
      </c>
      <c r="AJ22" s="257" t="n">
        <v>593000000</v>
      </c>
    </row>
    <row r="23" ht="15" customHeight="1" s="255">
      <c r="A23" s="254" t="n">
        <v>12</v>
      </c>
      <c r="B23" s="254" t="n">
        <v>1</v>
      </c>
      <c r="G23" s="254" t="inlineStr">
        <is>
          <t>moeda</t>
        </is>
      </c>
      <c r="H23" s="254" t="inlineStr">
        <is>
          <t>AccountsReceivableNetCurrent</t>
        </is>
      </c>
      <c r="J23" s="254" t="inlineStr">
        <is>
          <t>fonte</t>
        </is>
      </c>
      <c r="K23" s="257" t="n">
        <v>1616000000</v>
      </c>
      <c r="L23" s="257" t="n">
        <v>1526000000</v>
      </c>
      <c r="M23" s="257" t="n">
        <v>1623000000</v>
      </c>
      <c r="N23" s="257" t="n">
        <v>1717000000</v>
      </c>
      <c r="O23" s="257" t="n">
        <v>2253000000</v>
      </c>
      <c r="P23" s="257" t="n">
        <v>2526000000</v>
      </c>
      <c r="Q23" s="257" t="n">
        <v>2431000000</v>
      </c>
      <c r="R23" s="257" t="n">
        <v>2112000000</v>
      </c>
      <c r="S23" s="257" t="n">
        <v>2564000000</v>
      </c>
      <c r="T23" s="257" t="n">
        <v>2427000000</v>
      </c>
      <c r="U23" s="257" t="n">
        <v>2336000000</v>
      </c>
      <c r="V23" s="257" t="n">
        <v>2829000000</v>
      </c>
      <c r="W23" s="257" t="n">
        <v>2789000000</v>
      </c>
      <c r="X23" s="257" t="n">
        <v>2599000000</v>
      </c>
      <c r="Y23" s="257" t="n">
        <v>2509000000</v>
      </c>
      <c r="Z23" s="257" t="n">
        <v>2592000000</v>
      </c>
      <c r="AA23" s="257" t="n">
        <v>2285000000</v>
      </c>
      <c r="AB23" s="257" t="n">
        <v>2277000000</v>
      </c>
      <c r="AC23" s="257" t="n">
        <v>2100000000</v>
      </c>
      <c r="AD23" s="257" t="n">
        <v>2148000000</v>
      </c>
      <c r="AE23" s="257" t="n">
        <v>2334000000</v>
      </c>
      <c r="AF23" s="257" t="n">
        <v>2258000000</v>
      </c>
      <c r="AG23" s="257" t="n">
        <v>3494000000</v>
      </c>
      <c r="AH23" s="257" t="n">
        <v>3870000000</v>
      </c>
      <c r="AI23" s="257" t="n">
        <v>3975000000</v>
      </c>
      <c r="AJ23" s="257" t="n">
        <v>3931000000</v>
      </c>
    </row>
    <row r="24" ht="15" customHeight="1" s="255">
      <c r="A24" s="254" t="n">
        <v>13</v>
      </c>
      <c r="B24" s="254" t="n">
        <v>1</v>
      </c>
      <c r="G24" s="254" t="inlineStr">
        <is>
          <t>moeda</t>
        </is>
      </c>
      <c r="H24" s="254" t="inlineStr">
        <is>
          <t>InventoryNet</t>
        </is>
      </c>
      <c r="J24" s="254" t="inlineStr">
        <is>
          <t>fonte</t>
        </is>
      </c>
      <c r="K24" s="257" t="n">
        <v>5451000000</v>
      </c>
      <c r="L24" s="257" t="n">
        <v>6007000000</v>
      </c>
      <c r="M24" s="257" t="n">
        <v>6463000000</v>
      </c>
      <c r="N24" s="257" t="n">
        <v>7172000000</v>
      </c>
      <c r="O24" s="257" t="n">
        <v>8616000000</v>
      </c>
      <c r="P24" s="257" t="n">
        <v>8460000000</v>
      </c>
      <c r="Q24" s="257" t="n">
        <v>8014000000</v>
      </c>
      <c r="R24" s="257" t="n">
        <v>8431000000</v>
      </c>
      <c r="S24" s="257" t="n">
        <v>10988000000</v>
      </c>
      <c r="T24" s="257" t="n">
        <v>10481000000</v>
      </c>
      <c r="U24" s="257" t="n">
        <v>8112000000</v>
      </c>
      <c r="V24" s="257" t="n">
        <v>8408000000</v>
      </c>
      <c r="W24" s="257" t="n">
        <v>8952000000</v>
      </c>
      <c r="X24" s="257" t="n">
        <v>8806000000</v>
      </c>
      <c r="Y24" s="257" t="n">
        <v>7548000000</v>
      </c>
      <c r="Z24" s="257" t="n">
        <v>7105000000</v>
      </c>
      <c r="AA24" s="257" t="n">
        <v>7505000000</v>
      </c>
      <c r="AB24" s="257" t="n">
        <v>8057000000</v>
      </c>
      <c r="AC24" s="257" t="n">
        <v>7465000000</v>
      </c>
      <c r="AD24" s="257" t="n">
        <v>6491000000</v>
      </c>
      <c r="AE24" s="257" t="n">
        <v>7817000000</v>
      </c>
      <c r="AF24" s="257" t="n">
        <v>8014000000</v>
      </c>
      <c r="AG24" s="257" t="n">
        <v>13312000000</v>
      </c>
      <c r="AH24" s="257" t="n">
        <v>13198000000</v>
      </c>
      <c r="AI24" s="257" t="n">
        <v>15428000000</v>
      </c>
      <c r="AJ24" s="257" t="n">
        <v>15461000000</v>
      </c>
    </row>
    <row r="25" ht="15" customHeight="1" s="255">
      <c r="A25" s="254" t="n">
        <v>14</v>
      </c>
      <c r="B25" s="254" t="n">
        <v>1</v>
      </c>
      <c r="G25" s="254" t="inlineStr">
        <is>
          <t>moeda</t>
        </is>
      </c>
      <c r="H25" s="254" t="inlineStr">
        <is>
          <t>DeferredIncomeTaxAssetsNet</t>
        </is>
      </c>
      <c r="J25" s="254" t="inlineStr">
        <is>
          <t>fonte</t>
        </is>
      </c>
      <c r="K25" s="257" t="n">
        <v>416000000</v>
      </c>
      <c r="L25" s="257" t="n">
        <v>295000000</v>
      </c>
      <c r="M25" s="257" t="n">
        <v>311000000</v>
      </c>
      <c r="N25" s="257" t="n">
        <v>339000000</v>
      </c>
      <c r="O25" s="257" t="n">
        <v>319000000</v>
      </c>
      <c r="P25" s="257" t="n">
        <v>473000000</v>
      </c>
      <c r="Q25" s="257" t="n">
        <v>552000000</v>
      </c>
      <c r="R25" s="257" t="n">
        <v>550000000</v>
      </c>
      <c r="S25" s="257" t="n">
        <v>689000000</v>
      </c>
      <c r="T25" s="257" t="n">
        <v>622000000</v>
      </c>
      <c r="U25" s="257" t="n">
        <v>638000000</v>
      </c>
      <c r="V25" s="257" t="n">
        <v>712000000</v>
      </c>
      <c r="W25" s="257" t="n">
        <v>724000000</v>
      </c>
      <c r="X25" s="257" t="n">
        <v>697000000</v>
      </c>
      <c r="Y25" s="257" t="n">
        <v>632000000</v>
      </c>
      <c r="Z25" s="257" t="n">
        <v>773000000</v>
      </c>
      <c r="AA25" s="257" t="n">
        <v>743000000</v>
      </c>
      <c r="AB25" s="257" t="n">
        <v>698000000</v>
      </c>
      <c r="AC25" s="257" t="n">
        <v>725000000</v>
      </c>
      <c r="AD25" s="257" t="n">
        <v>645000000</v>
      </c>
      <c r="AE25" s="257" t="n">
        <v>648000000</v>
      </c>
      <c r="AF25" s="257" t="n">
        <v>646000000</v>
      </c>
      <c r="AG25" s="257" t="n">
        <v>789000000</v>
      </c>
      <c r="AH25" s="257" t="n">
        <v>890000000</v>
      </c>
      <c r="AI25" s="257" t="n">
        <v>934000000</v>
      </c>
      <c r="AJ25" s="257" t="n">
        <v>902000000</v>
      </c>
    </row>
    <row r="26" ht="15" customHeight="1" s="255">
      <c r="A26" s="254" t="n">
        <v>16</v>
      </c>
      <c r="B26" s="254" t="n">
        <v>1</v>
      </c>
      <c r="G26" s="254" t="inlineStr">
        <is>
          <t>moeda</t>
        </is>
      </c>
      <c r="H26" s="254" t="inlineStr">
        <is>
          <t>AssetsOfDisposalGroupIncludingDiscontinuedOperationCurrent</t>
        </is>
      </c>
      <c r="J26" s="254" t="inlineStr">
        <is>
          <t>fonte</t>
        </is>
      </c>
      <c r="K26" s="257" t="n">
        <v>51000000</v>
      </c>
      <c r="L26" s="257" t="n">
        <v>296000000</v>
      </c>
      <c r="M26" s="257" t="n">
        <v>395000000</v>
      </c>
      <c r="N26" s="257" t="n">
        <v>672000000</v>
      </c>
      <c r="O26" s="257" t="n">
        <v>425000000</v>
      </c>
      <c r="P26" s="257" t="n">
        <v>424000000</v>
      </c>
      <c r="Q26" s="257" t="n">
        <v>0</v>
      </c>
      <c r="R26" s="257" t="n">
        <v>264000000</v>
      </c>
      <c r="S26" s="257" t="n">
        <v>285000000</v>
      </c>
      <c r="T26" s="257" t="n">
        <v>317000000</v>
      </c>
      <c r="U26" s="257" t="n">
        <v>58000000</v>
      </c>
      <c r="V26" s="257" t="n">
        <v>36000000</v>
      </c>
      <c r="W26" s="257" t="n">
        <v>0</v>
      </c>
      <c r="X26" s="257" t="n">
        <v>0</v>
      </c>
      <c r="Y26" s="257" t="n">
        <v>1000000</v>
      </c>
      <c r="Z26" s="257" t="n">
        <v>1000000</v>
      </c>
      <c r="AA26" s="257" t="n">
        <v>0</v>
      </c>
      <c r="AB26" s="257" t="n">
        <v>0</v>
      </c>
      <c r="AC26" s="257" t="n">
        <v>0</v>
      </c>
      <c r="AD26" s="257" t="n">
        <v>0</v>
      </c>
      <c r="AE26" s="257" t="n">
        <v>177000000</v>
      </c>
      <c r="AF26" s="257" t="n">
        <v>178000000</v>
      </c>
      <c r="AG26" s="257" t="n">
        <v>194000000</v>
      </c>
      <c r="AH26" s="257" t="n">
        <v>191000000</v>
      </c>
      <c r="AI26" s="257" t="n">
        <v>196000000</v>
      </c>
      <c r="AJ26" s="257" t="n">
        <v>312000000</v>
      </c>
    </row>
    <row r="27" ht="15" customHeight="1" s="255">
      <c r="A27" s="254" t="n">
        <v>16</v>
      </c>
      <c r="B27" s="254" t="n">
        <v>1</v>
      </c>
      <c r="G27" s="254" t="inlineStr">
        <is>
          <t>moeda</t>
        </is>
      </c>
      <c r="H27" s="254" t="inlineStr">
        <is>
          <t>OtherAssetsCurrent</t>
        </is>
      </c>
      <c r="J27" s="254" t="inlineStr">
        <is>
          <t>fonte</t>
        </is>
      </c>
      <c r="K27" s="257" t="n">
        <v>3789000000</v>
      </c>
      <c r="L27" s="257" t="n">
        <v>3362000000</v>
      </c>
      <c r="M27" s="257" t="n">
        <v>4729000000</v>
      </c>
      <c r="N27" s="257" t="n">
        <v>6268000000</v>
      </c>
      <c r="O27" s="257" t="n">
        <v>5765000000</v>
      </c>
      <c r="P27" s="257" t="n">
        <v>5681000000</v>
      </c>
      <c r="Q27" s="257" t="n">
        <v>5056000000</v>
      </c>
      <c r="R27" s="257" t="n">
        <v>4751000000</v>
      </c>
      <c r="S27" s="257" t="n">
        <v>6667000000</v>
      </c>
      <c r="T27" s="257" t="n">
        <v>5689000000</v>
      </c>
      <c r="U27" s="257" t="n">
        <v>5733000000</v>
      </c>
      <c r="V27" s="257" t="n">
        <v>4381000000</v>
      </c>
      <c r="W27" s="257" t="n">
        <v>4247000000</v>
      </c>
      <c r="X27" s="257" t="n">
        <v>4465000000</v>
      </c>
      <c r="Y27" s="257" t="n">
        <v>4393000000</v>
      </c>
      <c r="Z27" s="257" t="n">
        <v>4050000000</v>
      </c>
      <c r="AA27" s="257" t="n">
        <v>4011000000</v>
      </c>
      <c r="AB27" s="257" t="n">
        <v>3957000000</v>
      </c>
      <c r="AC27" s="257" t="n">
        <v>3518000000</v>
      </c>
      <c r="AD27" s="257" t="n">
        <v>4008000000</v>
      </c>
      <c r="AE27" s="257" t="n">
        <v>3800000000</v>
      </c>
      <c r="AF27" s="257" t="n">
        <v>4205000000</v>
      </c>
      <c r="AG27" s="257" t="n">
        <v>7858000000</v>
      </c>
      <c r="AH27" s="257" t="n">
        <v>5789000000</v>
      </c>
      <c r="AI27" s="257" t="n">
        <v>6554000000</v>
      </c>
      <c r="AJ27" s="257" t="n">
        <v>5873000000</v>
      </c>
    </row>
    <row r="28" ht="15" customHeight="1" s="255">
      <c r="A28" s="254" t="n">
        <v>16</v>
      </c>
      <c r="B28" s="254" t="n">
        <v>1</v>
      </c>
      <c r="G28" s="254" t="inlineStr">
        <is>
          <t>moeda</t>
        </is>
      </c>
      <c r="H28" s="254" t="inlineStr">
        <is>
          <t>TimeDepositsUnderTradeStructuredFinanceProgram</t>
        </is>
      </c>
      <c r="J28" s="254" t="inlineStr">
        <is>
          <t>fonte</t>
        </is>
      </c>
      <c r="K28" s="257" t="n">
        <v>0</v>
      </c>
      <c r="L28" s="257" t="n">
        <v>0</v>
      </c>
      <c r="M28" s="257" t="n">
        <v>0</v>
      </c>
      <c r="N28" s="257" t="n">
        <v>0</v>
      </c>
      <c r="O28" s="257" t="n">
        <v>0</v>
      </c>
      <c r="P28" s="257" t="n">
        <v>0</v>
      </c>
      <c r="Q28" s="257" t="n">
        <v>0</v>
      </c>
      <c r="R28" s="257" t="n">
        <v>0</v>
      </c>
      <c r="S28" s="257" t="n">
        <v>0</v>
      </c>
      <c r="T28" s="257" t="n">
        <v>0</v>
      </c>
      <c r="U28" s="257" t="n">
        <v>0</v>
      </c>
      <c r="V28" s="257" t="n">
        <v>0</v>
      </c>
      <c r="W28" s="257" t="n">
        <v>0</v>
      </c>
      <c r="X28" s="257" t="n">
        <v>0</v>
      </c>
      <c r="Y28" s="257" t="n">
        <v>0</v>
      </c>
      <c r="Z28" s="257" t="n">
        <v>0</v>
      </c>
      <c r="AA28" s="257" t="n">
        <v>0</v>
      </c>
      <c r="AB28" s="257" t="n">
        <v>0</v>
      </c>
      <c r="AC28" s="257" t="n">
        <v>0</v>
      </c>
      <c r="AD28" s="257" t="n">
        <v>0</v>
      </c>
      <c r="AE28" s="257" t="n">
        <v>0</v>
      </c>
      <c r="AF28" s="257" t="n">
        <v>0</v>
      </c>
      <c r="AG28" s="257" t="n">
        <v>546000000</v>
      </c>
      <c r="AH28" s="257" t="n">
        <v>208000000</v>
      </c>
      <c r="AI28" s="257" t="n">
        <v>102000000</v>
      </c>
      <c r="AJ28" s="257" t="n">
        <v>45000000</v>
      </c>
    </row>
    <row r="29" ht="15" customHeight="1" s="255">
      <c r="A29" s="254" t="n">
        <v>18</v>
      </c>
      <c r="B29" s="254" t="n">
        <v>1</v>
      </c>
      <c r="G29" s="254" t="inlineStr">
        <is>
          <t>moeda</t>
        </is>
      </c>
      <c r="H29" s="254" t="inlineStr">
        <is>
          <t>PropertyPlantAndEquipmentNet</t>
        </is>
      </c>
      <c r="J29" s="254" t="inlineStr">
        <is>
          <t>fonte</t>
        </is>
      </c>
      <c r="K29" s="257" t="n">
        <v>3830000000</v>
      </c>
      <c r="L29" s="257" t="n">
        <v>3714000000</v>
      </c>
      <c r="M29" s="257" t="n">
        <v>3720000000</v>
      </c>
      <c r="N29" s="257" t="n">
        <v>3775000000</v>
      </c>
      <c r="O29" s="257" t="n">
        <v>3645000000</v>
      </c>
      <c r="P29" s="257" t="n">
        <v>3719000000</v>
      </c>
      <c r="Q29" s="257" t="n">
        <v>3658000000</v>
      </c>
      <c r="R29" s="257" t="n">
        <v>3499000000</v>
      </c>
      <c r="S29" s="257" t="n">
        <v>3561000000</v>
      </c>
      <c r="T29" s="257" t="n">
        <v>3463000000</v>
      </c>
      <c r="U29" s="257" t="n">
        <v>3408000000</v>
      </c>
      <c r="V29" s="257" t="n">
        <v>3617000000</v>
      </c>
      <c r="W29" s="257" t="n">
        <v>3731000000</v>
      </c>
      <c r="X29" s="257" t="n">
        <v>4152000000</v>
      </c>
      <c r="Y29" s="257" t="n">
        <v>4283000000</v>
      </c>
      <c r="Z29" s="257" t="n">
        <v>4541000000</v>
      </c>
      <c r="AA29" s="257" t="n">
        <v>4620000000</v>
      </c>
      <c r="AB29" s="257" t="n">
        <v>4751000000</v>
      </c>
      <c r="AC29" s="257" t="n">
        <v>5115000000</v>
      </c>
      <c r="AD29" s="257" t="n">
        <v>5254000000</v>
      </c>
      <c r="AE29" s="257" t="n">
        <v>5511000000</v>
      </c>
      <c r="AF29" s="257" t="n">
        <v>5828000000</v>
      </c>
      <c r="AG29" s="257" t="n">
        <v>11550000000</v>
      </c>
      <c r="AH29" s="257" t="n">
        <v>0</v>
      </c>
      <c r="AI29" s="257" t="n">
        <v>0</v>
      </c>
      <c r="AJ29" s="257" t="n">
        <v>0</v>
      </c>
    </row>
    <row r="30" ht="15" customHeight="1" s="255">
      <c r="A30" s="254" t="n">
        <v>18</v>
      </c>
      <c r="B30" s="254" t="n">
        <v>1</v>
      </c>
      <c r="G30" s="254" t="inlineStr">
        <is>
          <t>moeda</t>
        </is>
      </c>
      <c r="H30" s="254" t="inlineStr">
        <is>
          <t>PropertyPlantAndEquipmentAndFinanceLeaseRightOfUseAssetAfterAccumulatedDepreciationAndAmortization</t>
        </is>
      </c>
      <c r="J30" s="254" t="inlineStr">
        <is>
          <t>fonte</t>
        </is>
      </c>
      <c r="K30" s="257" t="n">
        <v>0</v>
      </c>
      <c r="L30" s="257" t="n">
        <v>0</v>
      </c>
      <c r="M30" s="257" t="n">
        <v>0</v>
      </c>
      <c r="N30" s="257" t="n">
        <v>0</v>
      </c>
      <c r="O30" s="257" t="n">
        <v>0</v>
      </c>
      <c r="P30" s="257" t="n">
        <v>0</v>
      </c>
      <c r="Q30" s="257" t="n">
        <v>0</v>
      </c>
      <c r="R30" s="257" t="n">
        <v>0</v>
      </c>
      <c r="S30" s="257" t="n">
        <v>0</v>
      </c>
      <c r="T30" s="257" t="n">
        <v>0</v>
      </c>
      <c r="U30" s="257" t="n">
        <v>0</v>
      </c>
      <c r="V30" s="257" t="n">
        <v>0</v>
      </c>
      <c r="W30" s="257" t="n">
        <v>0</v>
      </c>
      <c r="X30" s="257" t="n">
        <v>0</v>
      </c>
      <c r="Y30" s="257" t="n">
        <v>0</v>
      </c>
      <c r="Z30" s="257" t="n">
        <v>0</v>
      </c>
      <c r="AA30" s="257" t="n">
        <v>0</v>
      </c>
      <c r="AB30" s="257" t="n">
        <v>0</v>
      </c>
      <c r="AC30" s="257" t="n">
        <v>0</v>
      </c>
      <c r="AD30" s="257" t="n">
        <v>0</v>
      </c>
      <c r="AE30" s="257" t="n">
        <v>0</v>
      </c>
      <c r="AF30" s="257" t="n">
        <v>0</v>
      </c>
      <c r="AG30" s="257" t="n">
        <v>0</v>
      </c>
      <c r="AH30" s="257" t="n">
        <v>11678000000</v>
      </c>
      <c r="AI30" s="257" t="n">
        <v>11877000000</v>
      </c>
      <c r="AJ30" s="257" t="n">
        <v>11945000000</v>
      </c>
    </row>
    <row r="31" ht="15" customHeight="1" s="255">
      <c r="A31" s="254" t="n">
        <v>19</v>
      </c>
      <c r="B31" s="254" t="n">
        <v>1</v>
      </c>
      <c r="G31" s="254" t="inlineStr">
        <is>
          <t>moeda</t>
        </is>
      </c>
      <c r="H31" s="254" t="inlineStr">
        <is>
          <t>OperatingLeaseRightOfUseAsset</t>
        </is>
      </c>
      <c r="J31" s="254" t="inlineStr">
        <is>
          <t>fonte</t>
        </is>
      </c>
      <c r="K31" s="257" t="n">
        <v>756000000</v>
      </c>
      <c r="L31" s="257" t="n">
        <v>776000000</v>
      </c>
      <c r="M31" s="257" t="n">
        <v>871000000</v>
      </c>
      <c r="N31" s="257" t="n">
        <v>868000000</v>
      </c>
      <c r="O31" s="257" t="n">
        <v>852000000</v>
      </c>
      <c r="P31" s="257" t="n">
        <v>858000000</v>
      </c>
      <c r="Q31" s="257" t="n">
        <v>910000000</v>
      </c>
      <c r="R31" s="257" t="n">
        <v>912000000</v>
      </c>
      <c r="S31" s="257" t="n">
        <v>994000000</v>
      </c>
      <c r="T31" s="257" t="n">
        <v>1038000000</v>
      </c>
      <c r="U31" s="257" t="n">
        <v>1091000000</v>
      </c>
      <c r="V31" s="257" t="n">
        <v>1024000000</v>
      </c>
      <c r="W31" s="257" t="n">
        <v>953000000</v>
      </c>
      <c r="X31" s="257" t="n">
        <v>951000000</v>
      </c>
      <c r="Y31" s="257" t="n">
        <v>864000000</v>
      </c>
      <c r="Z31" s="257" t="n">
        <v>926000000</v>
      </c>
      <c r="AA31" s="257" t="n">
        <v>922000000</v>
      </c>
      <c r="AB31" s="257" t="n">
        <v>927000000</v>
      </c>
      <c r="AC31" s="257" t="n">
        <v>937000000</v>
      </c>
      <c r="AD31" s="257" t="n">
        <v>932000000</v>
      </c>
      <c r="AE31" s="257" t="n">
        <v>996000000</v>
      </c>
      <c r="AF31" s="257" t="n">
        <v>1002000000</v>
      </c>
      <c r="AG31" s="257" t="n">
        <v>1747000000</v>
      </c>
      <c r="AH31" s="257" t="n">
        <v>1686000000</v>
      </c>
      <c r="AI31" s="257" t="n">
        <v>1733000000</v>
      </c>
      <c r="AJ31" s="257" t="n">
        <v>1707000000</v>
      </c>
    </row>
    <row r="32" ht="15" customHeight="1" s="255">
      <c r="A32" s="254" t="n">
        <v>20</v>
      </c>
      <c r="B32" s="254" t="n">
        <v>1</v>
      </c>
      <c r="G32" s="254" t="inlineStr">
        <is>
          <t>moeda</t>
        </is>
      </c>
      <c r="H32" s="254" t="inlineStr">
        <is>
          <t>Goodwill</t>
        </is>
      </c>
      <c r="J32" s="254" t="inlineStr">
        <is>
          <t>fonte</t>
        </is>
      </c>
      <c r="K32" s="257" t="n">
        <v>553000000</v>
      </c>
      <c r="L32" s="257" t="n">
        <v>550000000</v>
      </c>
      <c r="M32" s="257" t="n">
        <v>559000000</v>
      </c>
      <c r="N32" s="257" t="n">
        <v>586000000</v>
      </c>
      <c r="O32" s="257" t="n">
        <v>556000000</v>
      </c>
      <c r="P32" s="257" t="n">
        <v>579000000</v>
      </c>
      <c r="Q32" s="257" t="n">
        <v>562000000</v>
      </c>
      <c r="R32" s="257" t="n">
        <v>484000000</v>
      </c>
      <c r="S32" s="257" t="n">
        <v>497000000</v>
      </c>
      <c r="T32" s="257" t="n">
        <v>468000000</v>
      </c>
      <c r="U32" s="257" t="n">
        <v>445000000</v>
      </c>
      <c r="V32" s="257" t="n">
        <v>470000000</v>
      </c>
      <c r="W32" s="257" t="n">
        <v>478000000</v>
      </c>
      <c r="X32" s="257" t="n">
        <v>484000000</v>
      </c>
      <c r="Y32" s="257" t="n">
        <v>472000000</v>
      </c>
      <c r="Z32" s="257" t="n">
        <v>489000000</v>
      </c>
      <c r="AA32" s="257" t="n">
        <v>480000000</v>
      </c>
      <c r="AB32" s="257" t="n">
        <v>466000000</v>
      </c>
      <c r="AC32" s="257" t="n">
        <v>482000000</v>
      </c>
      <c r="AD32" s="257" t="n">
        <v>453000000</v>
      </c>
      <c r="AE32" s="257" t="n">
        <v>463000000</v>
      </c>
      <c r="AF32" s="257" t="n">
        <v>460000000</v>
      </c>
      <c r="AG32" s="257" t="n">
        <v>2769000000</v>
      </c>
      <c r="AH32" s="257" t="n">
        <v>3141000000</v>
      </c>
      <c r="AI32" s="257" t="n">
        <v>3291000000</v>
      </c>
      <c r="AJ32" s="257" t="n">
        <v>3354000000</v>
      </c>
    </row>
    <row r="33" ht="15" customHeight="1" s="255">
      <c r="A33" s="254" t="n">
        <v>21</v>
      </c>
      <c r="B33" s="254" t="n">
        <v>1</v>
      </c>
      <c r="G33" s="254" t="inlineStr">
        <is>
          <t>moeda</t>
        </is>
      </c>
      <c r="H33" s="254" t="inlineStr">
        <is>
          <t>IntangibleAssetsNetExcludingGoodwill</t>
        </is>
      </c>
      <c r="J33" s="254" t="inlineStr">
        <is>
          <t>fonte</t>
        </is>
      </c>
      <c r="K33" s="257" t="n">
        <v>533000000</v>
      </c>
      <c r="L33" s="257" t="n">
        <v>524000000</v>
      </c>
      <c r="M33" s="257" t="n">
        <v>524000000</v>
      </c>
      <c r="N33" s="257" t="n">
        <v>529000000</v>
      </c>
      <c r="O33" s="257" t="n">
        <v>496000000</v>
      </c>
      <c r="P33" s="257" t="n">
        <v>502000000</v>
      </c>
      <c r="Q33" s="257" t="n">
        <v>482000000</v>
      </c>
      <c r="R33" s="257" t="n">
        <v>431000000</v>
      </c>
      <c r="S33" s="257" t="n">
        <v>416000000</v>
      </c>
      <c r="T33" s="257" t="n">
        <v>383000000</v>
      </c>
      <c r="U33" s="257" t="n">
        <v>350000000</v>
      </c>
      <c r="V33" s="257" t="n">
        <v>360000000</v>
      </c>
      <c r="W33" s="257" t="n">
        <v>356000000</v>
      </c>
      <c r="X33" s="257" t="n">
        <v>346000000</v>
      </c>
      <c r="Y33" s="257" t="n">
        <v>417000000</v>
      </c>
      <c r="Z33" s="257" t="n">
        <v>398000000</v>
      </c>
      <c r="AA33" s="257" t="n">
        <v>380000000</v>
      </c>
      <c r="AB33" s="257" t="n">
        <v>355000000</v>
      </c>
      <c r="AC33" s="257" t="n">
        <v>358000000</v>
      </c>
      <c r="AD33" s="257" t="n">
        <v>321000000</v>
      </c>
      <c r="AE33" s="257" t="n">
        <v>319000000</v>
      </c>
      <c r="AF33" s="257" t="n">
        <v>316000000</v>
      </c>
      <c r="AG33" s="257" t="n">
        <v>328000000</v>
      </c>
      <c r="AH33" s="257" t="n">
        <v>309000000</v>
      </c>
      <c r="AI33" s="257" t="n">
        <v>304000000</v>
      </c>
      <c r="AJ33" s="257" t="n">
        <v>288000000</v>
      </c>
    </row>
    <row r="34" ht="15" customHeight="1" s="255">
      <c r="A34" s="254" t="n">
        <v>22</v>
      </c>
      <c r="B34" s="254" t="n">
        <v>1</v>
      </c>
      <c r="G34" s="254" t="inlineStr">
        <is>
          <t>moeda</t>
        </is>
      </c>
      <c r="H34" s="254" t="inlineStr">
        <is>
          <t>InvestmentsInAffiliatesSubsidiariesAssociatesAndJointVentures</t>
        </is>
      </c>
      <c r="J34" s="254" t="inlineStr">
        <is>
          <t>fonte</t>
        </is>
      </c>
      <c r="K34" s="257" t="n">
        <v>686000000</v>
      </c>
      <c r="L34" s="257" t="n">
        <v>565000000</v>
      </c>
      <c r="M34" s="257" t="n">
        <v>583000000</v>
      </c>
      <c r="N34" s="257" t="n">
        <v>631000000</v>
      </c>
      <c r="O34" s="257" t="n">
        <v>645000000</v>
      </c>
      <c r="P34" s="257" t="n">
        <v>714000000</v>
      </c>
      <c r="Q34" s="257" t="n">
        <v>755000000</v>
      </c>
      <c r="R34" s="257" t="n">
        <v>764000000</v>
      </c>
      <c r="S34" s="257" t="n">
        <v>898000000</v>
      </c>
      <c r="T34" s="257" t="n">
        <v>986000000</v>
      </c>
      <c r="U34" s="257" t="n">
        <v>981000000</v>
      </c>
      <c r="V34" s="257" t="n">
        <v>1012000000</v>
      </c>
      <c r="W34" s="257" t="n">
        <v>1129000000</v>
      </c>
      <c r="X34" s="257" t="n">
        <v>1157000000</v>
      </c>
      <c r="Y34" s="257" t="n">
        <v>1201000000</v>
      </c>
      <c r="Z34" s="257" t="n">
        <v>1280000000</v>
      </c>
      <c r="AA34" s="257" t="n">
        <v>1296000000</v>
      </c>
      <c r="AB34" s="257" t="n">
        <v>1193000000</v>
      </c>
      <c r="AC34" s="257" t="n">
        <v>1136000000</v>
      </c>
      <c r="AD34" s="257" t="n">
        <v>779000000</v>
      </c>
      <c r="AE34" s="257" t="n">
        <v>800000000</v>
      </c>
      <c r="AF34" s="257" t="n">
        <v>862000000</v>
      </c>
      <c r="AG34" s="257" t="n">
        <v>1490000000</v>
      </c>
      <c r="AH34" s="257" t="n">
        <v>1495000000</v>
      </c>
      <c r="AI34" s="257" t="n">
        <v>1276000000</v>
      </c>
      <c r="AJ34" s="257" t="n">
        <v>1307000000</v>
      </c>
    </row>
    <row r="35" ht="15" customHeight="1" s="255">
      <c r="A35" s="254" t="n">
        <v>22</v>
      </c>
      <c r="B35" s="254" t="n">
        <v>1</v>
      </c>
      <c r="G35" s="254" t="inlineStr">
        <is>
          <t>moeda</t>
        </is>
      </c>
      <c r="H35" s="254" t="inlineStr">
        <is>
          <t>OtherAssetsNoncurrent</t>
        </is>
      </c>
      <c r="J35" s="254" t="inlineStr">
        <is>
          <t>fonte</t>
        </is>
      </c>
      <c r="K35" s="257" t="n">
        <v>722000000</v>
      </c>
      <c r="L35" s="257" t="n">
        <v>667000000</v>
      </c>
      <c r="M35" s="257" t="n">
        <v>692000000</v>
      </c>
      <c r="N35" s="257" t="n">
        <v>746000000</v>
      </c>
      <c r="O35" s="257" t="n">
        <v>735000000</v>
      </c>
      <c r="P35" s="257" t="n">
        <v>685000000</v>
      </c>
      <c r="Q35" s="257" t="n">
        <v>656000000</v>
      </c>
      <c r="R35" s="257" t="n">
        <v>719000000</v>
      </c>
      <c r="S35" s="257" t="n">
        <v>779000000</v>
      </c>
      <c r="T35" s="257" t="n">
        <v>727000000</v>
      </c>
      <c r="U35" s="257" t="n">
        <v>684000000</v>
      </c>
      <c r="V35" s="257" t="n">
        <v>627000000</v>
      </c>
      <c r="W35" s="257" t="n">
        <v>699000000</v>
      </c>
      <c r="X35" s="257" t="n">
        <v>725000000</v>
      </c>
      <c r="Y35" s="257" t="n">
        <v>640000000</v>
      </c>
      <c r="Z35" s="257" t="n">
        <v>615000000</v>
      </c>
      <c r="AA35" s="257" t="n">
        <v>640000000</v>
      </c>
      <c r="AB35" s="257" t="n">
        <v>586000000</v>
      </c>
      <c r="AC35" s="257" t="n">
        <v>595000000</v>
      </c>
      <c r="AD35" s="257" t="n">
        <v>557000000</v>
      </c>
      <c r="AE35" s="257" t="n">
        <v>550000000</v>
      </c>
      <c r="AF35" s="257" t="n">
        <v>595000000</v>
      </c>
      <c r="AG35" s="257" t="n">
        <v>906000000</v>
      </c>
      <c r="AH35" s="257" t="n">
        <v>938000000</v>
      </c>
      <c r="AI35" s="257" t="n">
        <v>1067000000</v>
      </c>
      <c r="AJ35" s="257" t="n">
        <v>1064000000</v>
      </c>
    </row>
    <row r="36" ht="15" customHeight="1" s="255">
      <c r="A36" s="254" t="n">
        <v>23</v>
      </c>
      <c r="B36" s="254" t="n">
        <v>1</v>
      </c>
      <c r="G36" s="254" t="inlineStr">
        <is>
          <t>moeda</t>
        </is>
      </c>
      <c r="H36" s="254" t="inlineStr">
        <is>
          <t>AccountsPayableCurrent</t>
        </is>
      </c>
      <c r="J36" s="254" t="inlineStr">
        <is>
          <t>fonte</t>
        </is>
      </c>
      <c r="K36" s="257" t="n">
        <v>3368000000</v>
      </c>
      <c r="L36" s="257" t="n">
        <v>2602000000</v>
      </c>
      <c r="M36" s="257" t="n">
        <v>2708000000</v>
      </c>
      <c r="N36" s="257" t="n">
        <v>2636000000</v>
      </c>
      <c r="O36" s="257" t="n">
        <v>3842000000</v>
      </c>
      <c r="P36" s="257" t="n">
        <v>3634000000</v>
      </c>
      <c r="Q36" s="257" t="n">
        <v>3944000000</v>
      </c>
      <c r="R36" s="257" t="n">
        <v>4250000000</v>
      </c>
      <c r="S36" s="257" t="n">
        <v>5836000000</v>
      </c>
      <c r="T36" s="257" t="n">
        <v>5347000000</v>
      </c>
      <c r="U36" s="257" t="n">
        <v>4455000000</v>
      </c>
      <c r="V36" s="257" t="n">
        <v>4386000000</v>
      </c>
      <c r="W36" s="257" t="n">
        <v>5476000000</v>
      </c>
      <c r="X36" s="257" t="n">
        <v>4248000000</v>
      </c>
      <c r="Y36" s="257" t="n">
        <v>3975000000</v>
      </c>
      <c r="Z36" s="257" t="n">
        <v>3664000000</v>
      </c>
      <c r="AA36" s="257" t="n">
        <v>4503000000</v>
      </c>
      <c r="AB36" s="257" t="n">
        <v>3429000000</v>
      </c>
      <c r="AC36" s="257" t="n">
        <v>3211000000</v>
      </c>
      <c r="AD36" s="257" t="n">
        <v>2777000000</v>
      </c>
      <c r="AE36" s="257" t="n">
        <v>3831000000</v>
      </c>
      <c r="AF36" s="257" t="n">
        <v>2894000000</v>
      </c>
      <c r="AG36" s="257" t="n">
        <v>4780000000</v>
      </c>
      <c r="AH36" s="257" t="n">
        <v>4881000000</v>
      </c>
      <c r="AI36" s="257" t="n">
        <v>6176000000</v>
      </c>
      <c r="AJ36" s="257" t="n">
        <v>5370000000</v>
      </c>
    </row>
    <row r="37" ht="15" customHeight="1" s="255">
      <c r="A37" s="254" t="n">
        <v>26</v>
      </c>
      <c r="B37" s="254" t="n">
        <v>1</v>
      </c>
      <c r="G37" s="254" t="inlineStr">
        <is>
          <t>moeda</t>
        </is>
      </c>
      <c r="H37" s="254" t="inlineStr">
        <is>
          <t>LiabilitiesOfDisposalGroupIncludingDiscontinuedOperationCurrent</t>
        </is>
      </c>
      <c r="J37" s="254" t="inlineStr">
        <is>
          <t>fonte</t>
        </is>
      </c>
      <c r="K37" s="257" t="n">
        <v>3000000</v>
      </c>
      <c r="L37" s="257" t="n">
        <v>150000000</v>
      </c>
      <c r="M37" s="257" t="n">
        <v>283000000</v>
      </c>
      <c r="N37" s="257" t="n">
        <v>438000000</v>
      </c>
      <c r="O37" s="257" t="n">
        <v>84000000</v>
      </c>
      <c r="P37" s="257" t="n">
        <v>55000000</v>
      </c>
      <c r="Q37" s="257" t="n">
        <v>0</v>
      </c>
      <c r="R37" s="257" t="n">
        <v>122000000</v>
      </c>
      <c r="S37" s="257" t="n">
        <v>113000000</v>
      </c>
      <c r="T37" s="257" t="n">
        <v>61000000</v>
      </c>
      <c r="U37" s="257" t="n">
        <v>13000000</v>
      </c>
      <c r="V37" s="257" t="n">
        <v>18000000</v>
      </c>
      <c r="W37" s="257" t="n">
        <v>0</v>
      </c>
      <c r="X37" s="257" t="n">
        <v>0</v>
      </c>
      <c r="Y37" s="257" t="n">
        <v>0</v>
      </c>
      <c r="Z37" s="257" t="n">
        <v>0</v>
      </c>
      <c r="AA37" s="257" t="n">
        <v>0</v>
      </c>
      <c r="AB37" s="257" t="n">
        <v>0</v>
      </c>
      <c r="AC37" s="257" t="n">
        <v>0</v>
      </c>
      <c r="AD37" s="257" t="n">
        <v>0</v>
      </c>
      <c r="AE37" s="257" t="n">
        <v>72000000</v>
      </c>
      <c r="AF37" s="257" t="n">
        <v>67000000</v>
      </c>
      <c r="AG37" s="257" t="n">
        <v>73000000</v>
      </c>
      <c r="AH37" s="257" t="n">
        <v>61000000</v>
      </c>
      <c r="AI37" s="257" t="n">
        <v>60000000</v>
      </c>
      <c r="AJ37" s="257" t="n">
        <v>87000000</v>
      </c>
    </row>
    <row r="38" ht="15" customHeight="1" s="255">
      <c r="A38" s="254" t="n">
        <v>26</v>
      </c>
      <c r="B38" s="254" t="n">
        <v>1</v>
      </c>
      <c r="G38" s="254" t="inlineStr">
        <is>
          <t>moeda</t>
        </is>
      </c>
      <c r="H38" s="254" t="inlineStr">
        <is>
          <t>OtherLiabilitiesCurrent</t>
        </is>
      </c>
      <c r="J38" s="254" t="inlineStr">
        <is>
          <t>fonte</t>
        </is>
      </c>
      <c r="K38" s="257" t="n">
        <v>3189000000</v>
      </c>
      <c r="L38" s="257" t="n">
        <v>2467000000</v>
      </c>
      <c r="M38" s="257" t="n">
        <v>3589000000</v>
      </c>
      <c r="N38" s="257" t="n">
        <v>4840000000</v>
      </c>
      <c r="O38" s="257" t="n">
        <v>4458000000</v>
      </c>
      <c r="P38" s="257" t="n">
        <v>4508000000</v>
      </c>
      <c r="Q38" s="257" t="n">
        <v>3822000000</v>
      </c>
      <c r="R38" s="257" t="n">
        <v>3425000000</v>
      </c>
      <c r="S38" s="257" t="n">
        <v>5094000000</v>
      </c>
      <c r="T38" s="257" t="n">
        <v>3840000000</v>
      </c>
      <c r="U38" s="257" t="n">
        <v>3563000000</v>
      </c>
      <c r="V38" s="257" t="n">
        <v>3379000000</v>
      </c>
      <c r="W38" s="257" t="n">
        <v>3116000000</v>
      </c>
      <c r="X38" s="257" t="n">
        <v>3002000000</v>
      </c>
      <c r="Y38" s="257" t="n">
        <v>2738000000</v>
      </c>
      <c r="Z38" s="257" t="n">
        <v>2913000000</v>
      </c>
      <c r="AA38" s="257" t="n">
        <v>2595000000</v>
      </c>
      <c r="AB38" s="257" t="n">
        <v>2923000000</v>
      </c>
      <c r="AC38" s="257" t="n">
        <v>2774000000</v>
      </c>
      <c r="AD38" s="257" t="n">
        <v>2828000000</v>
      </c>
      <c r="AE38" s="257" t="n">
        <v>2344000000</v>
      </c>
      <c r="AF38" s="257" t="n">
        <v>2916000000</v>
      </c>
      <c r="AG38" s="257" t="n">
        <v>4427000000</v>
      </c>
      <c r="AH38" s="257" t="n">
        <v>4258000000</v>
      </c>
      <c r="AI38" s="257" t="n">
        <v>5495000000</v>
      </c>
      <c r="AJ38" s="257" t="n">
        <v>4942000000</v>
      </c>
    </row>
    <row r="39" ht="15" customHeight="1" s="255">
      <c r="A39" s="254" t="n">
        <v>26</v>
      </c>
      <c r="B39" s="254" t="n">
        <v>1</v>
      </c>
      <c r="G39" s="254" t="inlineStr">
        <is>
          <t>moeda</t>
        </is>
      </c>
      <c r="H39" s="254" t="inlineStr">
        <is>
          <t>LetterOfCreditObligationsUnderTradeStructuredFinanceProgram</t>
        </is>
      </c>
      <c r="J39" s="254" t="inlineStr">
        <is>
          <t>fonte</t>
        </is>
      </c>
      <c r="K39" s="257" t="n">
        <v>0</v>
      </c>
      <c r="L39" s="257" t="n">
        <v>0</v>
      </c>
      <c r="M39" s="257" t="n">
        <v>0</v>
      </c>
      <c r="N39" s="257" t="n">
        <v>0</v>
      </c>
      <c r="O39" s="257" t="n">
        <v>0</v>
      </c>
      <c r="P39" s="257" t="n">
        <v>0</v>
      </c>
      <c r="Q39" s="257" t="n">
        <v>0</v>
      </c>
      <c r="R39" s="257" t="n">
        <v>0</v>
      </c>
      <c r="S39" s="257" t="n">
        <v>0</v>
      </c>
      <c r="T39" s="257" t="n">
        <v>0</v>
      </c>
      <c r="U39" s="257" t="n">
        <v>0</v>
      </c>
      <c r="V39" s="257" t="n">
        <v>0</v>
      </c>
      <c r="W39" s="257" t="n">
        <v>0</v>
      </c>
      <c r="X39" s="257" t="n">
        <v>0</v>
      </c>
      <c r="Y39" s="257" t="n">
        <v>0</v>
      </c>
      <c r="Z39" s="257" t="n">
        <v>0</v>
      </c>
      <c r="AA39" s="257" t="n">
        <v>0</v>
      </c>
      <c r="AB39" s="257" t="n">
        <v>0</v>
      </c>
      <c r="AC39" s="257" t="n">
        <v>0</v>
      </c>
      <c r="AD39" s="257" t="n">
        <v>0</v>
      </c>
      <c r="AE39" s="257" t="n">
        <v>0</v>
      </c>
      <c r="AF39" s="257" t="n">
        <v>0</v>
      </c>
      <c r="AG39" s="257" t="n">
        <v>546000000</v>
      </c>
      <c r="AH39" s="257" t="n">
        <v>208000000</v>
      </c>
      <c r="AI39" s="257" t="n">
        <v>102000000</v>
      </c>
      <c r="AJ39" s="257" t="n">
        <v>45000000</v>
      </c>
    </row>
    <row r="40" ht="15" customHeight="1" s="255">
      <c r="A40" s="254" t="n">
        <v>27</v>
      </c>
      <c r="B40" s="254" t="n">
        <v>1</v>
      </c>
      <c r="G40" s="254" t="inlineStr">
        <is>
          <t>moeda</t>
        </is>
      </c>
      <c r="H40" s="254" t="inlineStr">
        <is>
          <t>ShortTermBorrowings</t>
        </is>
      </c>
      <c r="J40" s="254" t="inlineStr">
        <is>
          <t>fonte</t>
        </is>
      </c>
      <c r="K40" s="257" t="n">
        <v>736000000</v>
      </c>
      <c r="L40" s="257" t="n">
        <v>1535000000</v>
      </c>
      <c r="M40" s="257" t="n">
        <v>1610000000</v>
      </c>
      <c r="N40" s="257" t="n">
        <v>2828000000</v>
      </c>
      <c r="O40" s="257" t="n">
        <v>2706000000</v>
      </c>
      <c r="P40" s="257" t="n">
        <v>1826000000</v>
      </c>
      <c r="Q40" s="257" t="n">
        <v>1151000000</v>
      </c>
      <c r="R40" s="257" t="n">
        <v>673000000</v>
      </c>
      <c r="S40" s="257" t="n">
        <v>1937000000</v>
      </c>
      <c r="T40" s="257" t="n">
        <v>2154000000</v>
      </c>
      <c r="U40" s="257" t="n">
        <v>1327000000</v>
      </c>
      <c r="V40" s="257" t="n">
        <v>546000000</v>
      </c>
      <c r="W40" s="257" t="n">
        <v>540000000</v>
      </c>
      <c r="X40" s="257" t="n">
        <v>667000000</v>
      </c>
      <c r="Y40" s="257" t="n">
        <v>914000000</v>
      </c>
      <c r="Z40" s="257" t="n">
        <v>797000000</v>
      </c>
      <c r="AA40" s="257" t="n">
        <v>1010000000</v>
      </c>
      <c r="AB40" s="257" t="n">
        <v>949000000</v>
      </c>
      <c r="AC40" s="257" t="n">
        <v>755000000</v>
      </c>
      <c r="AD40" s="257" t="n">
        <v>875000000</v>
      </c>
      <c r="AE40" s="257" t="n">
        <v>1328000000</v>
      </c>
      <c r="AF40" s="257" t="n">
        <v>3535000000</v>
      </c>
      <c r="AG40" s="257" t="n">
        <v>4446000000</v>
      </c>
      <c r="AH40" s="257" t="n">
        <v>3883000000</v>
      </c>
      <c r="AI40" s="257" t="n">
        <v>3245000000</v>
      </c>
      <c r="AJ40" s="257" t="n">
        <v>4588000000</v>
      </c>
    </row>
    <row r="41" ht="15" customHeight="1" s="255">
      <c r="A41" s="254" t="n">
        <v>27</v>
      </c>
      <c r="B41" s="254" t="n">
        <v>1</v>
      </c>
      <c r="G41" s="254" t="inlineStr">
        <is>
          <t>moeda</t>
        </is>
      </c>
      <c r="H41" s="254" t="inlineStr">
        <is>
          <t>LongTermDebtCurrent</t>
        </is>
      </c>
      <c r="J41" s="254" t="inlineStr">
        <is>
          <t>fonte</t>
        </is>
      </c>
      <c r="K41" s="257" t="n">
        <v>509000000</v>
      </c>
      <c r="L41" s="257" t="n">
        <v>522000000</v>
      </c>
      <c r="M41" s="257" t="n">
        <v>509000000</v>
      </c>
      <c r="N41" s="257" t="n">
        <v>8000000</v>
      </c>
      <c r="O41" s="257" t="n">
        <v>9000000</v>
      </c>
      <c r="P41" s="257" t="n">
        <v>33000000</v>
      </c>
      <c r="Q41" s="257" t="n">
        <v>510000000</v>
      </c>
      <c r="R41" s="257" t="n">
        <v>504000000</v>
      </c>
      <c r="S41" s="257" t="n">
        <v>503000000</v>
      </c>
      <c r="T41" s="257" t="n">
        <v>1303000000</v>
      </c>
      <c r="U41" s="257" t="n">
        <v>773000000</v>
      </c>
      <c r="V41" s="257" t="n">
        <v>846000000</v>
      </c>
      <c r="W41" s="257" t="n">
        <v>868000000</v>
      </c>
      <c r="X41" s="257" t="n">
        <v>4000000</v>
      </c>
      <c r="Y41" s="257" t="n">
        <v>301000000</v>
      </c>
      <c r="Z41" s="257" t="n">
        <v>5000000</v>
      </c>
      <c r="AA41" s="257" t="n">
        <v>6000000</v>
      </c>
      <c r="AB41" s="257" t="n">
        <v>5000000</v>
      </c>
      <c r="AC41" s="257" t="n">
        <v>663000000</v>
      </c>
      <c r="AD41" s="257" t="n">
        <v>669000000</v>
      </c>
      <c r="AE41" s="257" t="n">
        <v>675000000</v>
      </c>
      <c r="AF41" s="257" t="n">
        <v>690000000</v>
      </c>
      <c r="AG41" s="257" t="n">
        <v>1334000000</v>
      </c>
      <c r="AH41" s="257" t="n">
        <v>1337000000</v>
      </c>
      <c r="AI41" s="257" t="n">
        <v>1361000000</v>
      </c>
      <c r="AJ41" s="257" t="n">
        <v>1200000000</v>
      </c>
    </row>
    <row r="42" ht="15" customHeight="1" s="255">
      <c r="A42" s="254" t="n">
        <v>29</v>
      </c>
      <c r="B42" s="254" t="n">
        <v>1</v>
      </c>
      <c r="G42" s="254" t="inlineStr">
        <is>
          <t>moeda</t>
        </is>
      </c>
      <c r="H42" s="254" t="inlineStr">
        <is>
          <t>OperatingLeaseLiabilityCurrent</t>
        </is>
      </c>
      <c r="J42" s="254" t="inlineStr">
        <is>
          <t>fonte</t>
        </is>
      </c>
      <c r="K42" s="257" t="n">
        <v>217000000</v>
      </c>
      <c r="L42" s="257" t="n">
        <v>220000000</v>
      </c>
      <c r="M42" s="257" t="n">
        <v>233000000</v>
      </c>
      <c r="N42" s="257" t="n">
        <v>235000000</v>
      </c>
      <c r="O42" s="257" t="n">
        <v>241000000</v>
      </c>
      <c r="P42" s="257" t="n">
        <v>265000000</v>
      </c>
      <c r="Q42" s="257" t="n">
        <v>332000000</v>
      </c>
      <c r="R42" s="257" t="n">
        <v>350000000</v>
      </c>
      <c r="S42" s="257" t="n">
        <v>377000000</v>
      </c>
      <c r="T42" s="257" t="n">
        <v>396000000</v>
      </c>
      <c r="U42" s="257" t="n">
        <v>436000000</v>
      </c>
      <c r="V42" s="257" t="n">
        <v>425000000</v>
      </c>
      <c r="W42" s="257" t="n">
        <v>408000000</v>
      </c>
      <c r="X42" s="257" t="n">
        <v>370000000</v>
      </c>
      <c r="Y42" s="257" t="n">
        <v>317000000</v>
      </c>
      <c r="Z42" s="257" t="n">
        <v>308000000</v>
      </c>
      <c r="AA42" s="257" t="n">
        <v>315000000</v>
      </c>
      <c r="AB42" s="257" t="n">
        <v>300000000</v>
      </c>
      <c r="AC42" s="257" t="n">
        <v>288000000</v>
      </c>
      <c r="AD42" s="257" t="n">
        <v>286000000</v>
      </c>
      <c r="AE42" s="257" t="n">
        <v>285000000</v>
      </c>
      <c r="AF42" s="257" t="n">
        <v>282000000</v>
      </c>
      <c r="AG42" s="257" t="n">
        <v>491000000</v>
      </c>
      <c r="AH42" s="257" t="n">
        <v>499000000</v>
      </c>
      <c r="AI42" s="257" t="n">
        <v>501000000</v>
      </c>
      <c r="AJ42" s="257" t="n">
        <v>502000000</v>
      </c>
    </row>
    <row r="43" ht="15" customHeight="1" s="255">
      <c r="A43" s="254" t="n">
        <v>30</v>
      </c>
      <c r="B43" s="254" t="n">
        <v>1</v>
      </c>
      <c r="G43" s="254" t="inlineStr">
        <is>
          <t>moeda</t>
        </is>
      </c>
      <c r="H43" s="254" t="inlineStr">
        <is>
          <t>LongTermDebtNoncurrent</t>
        </is>
      </c>
      <c r="J43" s="254" t="inlineStr">
        <is>
          <t>fonte</t>
        </is>
      </c>
      <c r="K43" s="257" t="n">
        <v>3753000000</v>
      </c>
      <c r="L43" s="257" t="n">
        <v>3980000000</v>
      </c>
      <c r="M43" s="257" t="n">
        <v>4419000000</v>
      </c>
      <c r="N43" s="257" t="n">
        <v>4452000000</v>
      </c>
      <c r="O43" s="257" t="n">
        <v>4341000000</v>
      </c>
      <c r="P43" s="257" t="n">
        <v>5334000000</v>
      </c>
      <c r="Q43" s="257" t="n">
        <v>4814000000</v>
      </c>
      <c r="R43" s="257" t="n">
        <v>4787000000</v>
      </c>
      <c r="S43" s="257" t="n">
        <v>4040000000</v>
      </c>
      <c r="T43" s="257" t="n">
        <v>3062000000</v>
      </c>
      <c r="U43" s="257" t="n">
        <v>2997000000</v>
      </c>
      <c r="V43" s="257" t="n">
        <v>3259000000</v>
      </c>
      <c r="W43" s="257" t="n">
        <v>4312000000</v>
      </c>
      <c r="X43" s="257" t="n">
        <v>4278000000</v>
      </c>
      <c r="Y43" s="257" t="n">
        <v>3967000000</v>
      </c>
      <c r="Z43" s="257" t="n">
        <v>4080000000</v>
      </c>
      <c r="AA43" s="257" t="n">
        <v>4079000000</v>
      </c>
      <c r="AB43" s="257" t="n">
        <v>4086000000</v>
      </c>
      <c r="AC43" s="257" t="n">
        <v>4777000000</v>
      </c>
      <c r="AD43" s="257" t="n">
        <v>4694000000</v>
      </c>
      <c r="AE43" s="257" t="n">
        <v>4714000000</v>
      </c>
      <c r="AF43" s="257" t="n">
        <v>7044000000</v>
      </c>
      <c r="AG43" s="257" t="n">
        <v>9809000000</v>
      </c>
      <c r="AH43" s="257" t="n">
        <v>8831000000</v>
      </c>
      <c r="AI43" s="257" t="n">
        <v>9947000000</v>
      </c>
      <c r="AJ43" s="257" t="n">
        <v>9426000000</v>
      </c>
    </row>
    <row r="44" ht="15" customHeight="1" s="255">
      <c r="A44" s="254" t="n">
        <v>31</v>
      </c>
      <c r="B44" s="254" t="n">
        <v>1</v>
      </c>
      <c r="G44" s="254" t="inlineStr">
        <is>
          <t>moeda</t>
        </is>
      </c>
      <c r="H44" s="254" t="inlineStr">
        <is>
          <t>OperatingLeaseLiabilityNoncurrent</t>
        </is>
      </c>
      <c r="J44" s="254" t="inlineStr">
        <is>
          <t>fonte</t>
        </is>
      </c>
      <c r="K44" s="257" t="n">
        <v>494000000</v>
      </c>
      <c r="L44" s="257" t="n">
        <v>503000000</v>
      </c>
      <c r="M44" s="257" t="n">
        <v>584000000</v>
      </c>
      <c r="N44" s="257" t="n">
        <v>581000000</v>
      </c>
      <c r="O44" s="257" t="n">
        <v>556000000</v>
      </c>
      <c r="P44" s="257" t="n">
        <v>539000000</v>
      </c>
      <c r="Q44" s="257" t="n">
        <v>522000000</v>
      </c>
      <c r="R44" s="257" t="n">
        <v>506000000</v>
      </c>
      <c r="S44" s="257" t="n">
        <v>559000000</v>
      </c>
      <c r="T44" s="257" t="n">
        <v>585000000</v>
      </c>
      <c r="U44" s="257" t="n">
        <v>602000000</v>
      </c>
      <c r="V44" s="257" t="n">
        <v>547000000</v>
      </c>
      <c r="W44" s="257" t="n">
        <v>490000000</v>
      </c>
      <c r="X44" s="257" t="n">
        <v>529000000</v>
      </c>
      <c r="Y44" s="257" t="n">
        <v>495000000</v>
      </c>
      <c r="Z44" s="257" t="n">
        <v>566000000</v>
      </c>
      <c r="AA44" s="257" t="n">
        <v>557000000</v>
      </c>
      <c r="AB44" s="257" t="n">
        <v>577000000</v>
      </c>
      <c r="AC44" s="257" t="n">
        <v>595000000</v>
      </c>
      <c r="AD44" s="257" t="n">
        <v>595000000</v>
      </c>
      <c r="AE44" s="257" t="n">
        <v>659000000</v>
      </c>
      <c r="AF44" s="257" t="n">
        <v>662000000</v>
      </c>
      <c r="AG44" s="257" t="n">
        <v>1152000000</v>
      </c>
      <c r="AH44" s="257" t="n">
        <v>1097000000</v>
      </c>
      <c r="AI44" s="257" t="n">
        <v>1135000000</v>
      </c>
      <c r="AJ44" s="257" t="n">
        <v>1096000000</v>
      </c>
    </row>
    <row r="45" ht="15" customHeight="1" s="255">
      <c r="A45" s="254" t="n">
        <v>33</v>
      </c>
      <c r="B45" s="254" t="n">
        <v>1</v>
      </c>
      <c r="G45" s="254" t="inlineStr">
        <is>
          <t>moeda</t>
        </is>
      </c>
      <c r="H45" s="254" t="inlineStr">
        <is>
          <t>DeferredIncomeTaxLiabilitiesNet</t>
        </is>
      </c>
      <c r="J45" s="254" t="inlineStr">
        <is>
          <t>fonte</t>
        </is>
      </c>
      <c r="K45" s="257" t="n">
        <v>294000000</v>
      </c>
      <c r="L45" s="257" t="n">
        <v>309000000</v>
      </c>
      <c r="M45" s="257" t="n">
        <v>335000000</v>
      </c>
      <c r="N45" s="257" t="n">
        <v>360000000</v>
      </c>
      <c r="O45" s="257" t="n">
        <v>384000000</v>
      </c>
      <c r="P45" s="257" t="n">
        <v>413000000</v>
      </c>
      <c r="Q45" s="257" t="n">
        <v>323000000</v>
      </c>
      <c r="R45" s="257" t="n">
        <v>338000000</v>
      </c>
      <c r="S45" s="257" t="n">
        <v>354000000</v>
      </c>
      <c r="T45" s="257" t="n">
        <v>315000000</v>
      </c>
      <c r="U45" s="257" t="n">
        <v>335000000</v>
      </c>
      <c r="V45" s="257" t="n">
        <v>365000000</v>
      </c>
      <c r="W45" s="257" t="n">
        <v>375000000</v>
      </c>
      <c r="X45" s="257" t="n">
        <v>381000000</v>
      </c>
      <c r="Y45" s="257" t="n">
        <v>380000000</v>
      </c>
      <c r="Z45" s="257" t="n">
        <v>400000000</v>
      </c>
      <c r="AA45" s="257" t="n">
        <v>385000000</v>
      </c>
      <c r="AB45" s="257" t="n">
        <v>369000000</v>
      </c>
      <c r="AC45" s="257" t="n">
        <v>376000000</v>
      </c>
      <c r="AD45" s="257" t="n">
        <v>379000000</v>
      </c>
      <c r="AE45" s="257" t="n">
        <v>373000000</v>
      </c>
      <c r="AF45" s="257" t="n">
        <v>347000000</v>
      </c>
      <c r="AG45" s="257" t="n">
        <v>925000000</v>
      </c>
      <c r="AH45" s="257" t="n">
        <v>988000000</v>
      </c>
      <c r="AI45" s="257" t="n">
        <v>929000000</v>
      </c>
      <c r="AJ45" s="257" t="n">
        <v>931000000</v>
      </c>
    </row>
    <row r="46" ht="15" customHeight="1" s="255">
      <c r="A46" s="254" t="n">
        <v>34</v>
      </c>
      <c r="B46" s="254" t="n">
        <v>1</v>
      </c>
      <c r="G46" s="254" t="inlineStr">
        <is>
          <t>moeda</t>
        </is>
      </c>
      <c r="H46" s="254" t="inlineStr">
        <is>
          <t>OtherLiabilitiesNoncurrent</t>
        </is>
      </c>
      <c r="J46" s="254" t="inlineStr">
        <is>
          <t>fonte</t>
        </is>
      </c>
      <c r="K46" s="257" t="n">
        <v>667000000</v>
      </c>
      <c r="L46" s="257" t="n">
        <v>665000000</v>
      </c>
      <c r="M46" s="257" t="n">
        <v>637000000</v>
      </c>
      <c r="N46" s="257" t="n">
        <v>657000000</v>
      </c>
      <c r="O46" s="257" t="n">
        <v>658000000</v>
      </c>
      <c r="P46" s="257" t="n">
        <v>664000000</v>
      </c>
      <c r="Q46" s="257" t="n">
        <v>657000000</v>
      </c>
      <c r="R46" s="257" t="n">
        <v>658000000</v>
      </c>
      <c r="S46" s="257" t="n">
        <v>800000000</v>
      </c>
      <c r="T46" s="257" t="n">
        <v>816000000</v>
      </c>
      <c r="U46" s="257" t="n">
        <v>918000000</v>
      </c>
      <c r="V46" s="257" t="n">
        <v>849000000</v>
      </c>
      <c r="W46" s="257" t="n">
        <v>802000000</v>
      </c>
      <c r="X46" s="257" t="n">
        <v>871000000</v>
      </c>
      <c r="Y46" s="257" t="n">
        <v>900000000</v>
      </c>
      <c r="Z46" s="257" t="n">
        <v>824000000</v>
      </c>
      <c r="AA46" s="257" t="n">
        <v>842000000</v>
      </c>
      <c r="AB46" s="257" t="n">
        <v>805000000</v>
      </c>
      <c r="AC46" s="257" t="n">
        <v>670000000</v>
      </c>
      <c r="AD46" s="257" t="n">
        <v>847000000</v>
      </c>
      <c r="AE46" s="257" t="n">
        <v>786000000</v>
      </c>
      <c r="AF46" s="257" t="n">
        <v>761000000</v>
      </c>
      <c r="AG46" s="257" t="n">
        <v>1024000000</v>
      </c>
      <c r="AH46" s="257" t="n">
        <v>1063000000</v>
      </c>
      <c r="AI46" s="257" t="n">
        <v>1148000000</v>
      </c>
      <c r="AJ46" s="257" t="n">
        <v>1185000000</v>
      </c>
    </row>
    <row r="47" ht="15" customHeight="1" s="255">
      <c r="A47" s="254" t="n">
        <v>34</v>
      </c>
      <c r="B47" s="254" t="n">
        <v>1</v>
      </c>
      <c r="G47" s="254" t="inlineStr">
        <is>
          <t>moeda</t>
        </is>
      </c>
      <c r="H47" s="254" t="inlineStr">
        <is>
          <t>RegisteredSharesValueIssued</t>
        </is>
      </c>
      <c r="J47" s="254" t="inlineStr">
        <is>
          <t>fonte</t>
        </is>
      </c>
      <c r="K47" s="257" t="n">
        <v>0</v>
      </c>
      <c r="L47" s="257" t="n">
        <v>0</v>
      </c>
      <c r="M47" s="257" t="n">
        <v>0</v>
      </c>
      <c r="N47" s="257" t="n">
        <v>0</v>
      </c>
      <c r="O47" s="257" t="n">
        <v>0</v>
      </c>
      <c r="P47" s="257" t="n">
        <v>0</v>
      </c>
      <c r="Q47" s="257" t="n">
        <v>0</v>
      </c>
      <c r="R47" s="257" t="n">
        <v>0</v>
      </c>
      <c r="S47" s="257" t="n">
        <v>0</v>
      </c>
      <c r="T47" s="257" t="n">
        <v>0</v>
      </c>
      <c r="U47" s="257" t="n">
        <v>0</v>
      </c>
      <c r="V47" s="257" t="n">
        <v>0</v>
      </c>
      <c r="W47" s="257" t="n">
        <v>0</v>
      </c>
      <c r="X47" s="257" t="n">
        <v>0</v>
      </c>
      <c r="Y47" s="257" t="n">
        <v>0</v>
      </c>
      <c r="Z47" s="257" t="n">
        <v>0</v>
      </c>
      <c r="AA47" s="257" t="n">
        <v>0</v>
      </c>
      <c r="AB47" s="257" t="n">
        <v>0</v>
      </c>
      <c r="AC47" s="257" t="n">
        <v>1000000</v>
      </c>
      <c r="AD47" s="257" t="n">
        <v>1000000</v>
      </c>
      <c r="AE47" s="257" t="n">
        <v>1000000</v>
      </c>
      <c r="AF47" s="257" t="n">
        <v>1000000</v>
      </c>
      <c r="AG47" s="257" t="n">
        <v>2000000</v>
      </c>
      <c r="AH47" s="257" t="n">
        <v>2000000</v>
      </c>
      <c r="AI47" s="257" t="n">
        <v>2000000</v>
      </c>
      <c r="AJ47" s="257" t="n">
        <v>2000000</v>
      </c>
    </row>
    <row r="48" ht="15" customHeight="1" s="255">
      <c r="A48" s="254" t="n">
        <v>35</v>
      </c>
      <c r="B48" s="254" t="n">
        <v>1</v>
      </c>
      <c r="G48" s="254" t="inlineStr">
        <is>
          <t>moeda</t>
        </is>
      </c>
      <c r="H48" s="254" t="inlineStr">
        <is>
          <t>RedeemableNoncontrollingInterestEquityCarryingAmount</t>
        </is>
      </c>
      <c r="J48" s="254" t="inlineStr">
        <is>
          <t>fonte</t>
        </is>
      </c>
      <c r="K48" s="257" t="n">
        <v>394000000</v>
      </c>
      <c r="L48" s="257" t="n">
        <v>397000000</v>
      </c>
      <c r="M48" s="257" t="n">
        <v>403000000</v>
      </c>
      <c r="N48" s="257" t="n">
        <v>415000000</v>
      </c>
      <c r="O48" s="257" t="n">
        <v>473000000</v>
      </c>
      <c r="P48" s="257" t="n">
        <v>483000000</v>
      </c>
      <c r="Q48" s="257" t="n">
        <v>403000000</v>
      </c>
      <c r="R48" s="257" t="n">
        <v>381000000</v>
      </c>
      <c r="S48" s="257" t="n">
        <v>370000000</v>
      </c>
      <c r="T48" s="257" t="n">
        <v>351000000</v>
      </c>
      <c r="U48" s="257" t="n">
        <v>2000000</v>
      </c>
      <c r="V48" s="257" t="n">
        <v>4000000</v>
      </c>
      <c r="W48" s="257" t="n">
        <v>4000000</v>
      </c>
      <c r="X48" s="257" t="n">
        <v>4000000</v>
      </c>
      <c r="Y48" s="257" t="n">
        <v>3000000</v>
      </c>
      <c r="Z48" s="257" t="n">
        <v>1000000</v>
      </c>
      <c r="AA48" s="257" t="n">
        <v>1000000</v>
      </c>
      <c r="AB48" s="257" t="n">
        <v>1000000</v>
      </c>
      <c r="AC48" s="257" t="n">
        <v>2000000</v>
      </c>
      <c r="AD48" s="257" t="n">
        <v>4000000</v>
      </c>
      <c r="AE48" s="257" t="n">
        <v>49000000</v>
      </c>
      <c r="AF48" s="257" t="n">
        <v>61000000</v>
      </c>
      <c r="AG48" s="257" t="n">
        <v>61000000</v>
      </c>
      <c r="AH48" s="257" t="n">
        <v>53000000</v>
      </c>
      <c r="AI48" s="257" t="n">
        <v>51000000</v>
      </c>
      <c r="AJ48" s="257" t="n">
        <v>68000000</v>
      </c>
    </row>
    <row r="49" ht="15" customHeight="1" s="255">
      <c r="A49" s="254" t="n">
        <v>35</v>
      </c>
      <c r="B49" s="254" t="n">
        <v>1</v>
      </c>
      <c r="G49" s="254" t="inlineStr">
        <is>
          <t>moeda</t>
        </is>
      </c>
      <c r="H49" s="254" t="inlineStr">
        <is>
          <t>MinorityInterest</t>
        </is>
      </c>
      <c r="J49" s="254" t="inlineStr">
        <is>
          <t>fonte</t>
        </is>
      </c>
      <c r="K49" s="257" t="n">
        <v>110000000</v>
      </c>
      <c r="L49" s="257" t="n">
        <v>116000000</v>
      </c>
      <c r="M49" s="257" t="n">
        <v>124000000</v>
      </c>
      <c r="N49" s="257" t="n">
        <v>136000000</v>
      </c>
      <c r="O49" s="257" t="n">
        <v>144000000</v>
      </c>
      <c r="P49" s="257" t="n">
        <v>147000000</v>
      </c>
      <c r="Q49" s="257" t="n">
        <v>136000000</v>
      </c>
      <c r="R49" s="257" t="n">
        <v>156000000</v>
      </c>
      <c r="S49" s="257" t="n">
        <v>160000000</v>
      </c>
      <c r="T49" s="257" t="n">
        <v>457000000</v>
      </c>
      <c r="U49" s="257" t="n">
        <v>666000000</v>
      </c>
      <c r="V49" s="257" t="n">
        <v>732000000</v>
      </c>
      <c r="W49" s="257" t="n">
        <v>764000000</v>
      </c>
      <c r="X49" s="257" t="n">
        <v>783000000</v>
      </c>
      <c r="Y49" s="257" t="n">
        <v>892000000</v>
      </c>
      <c r="Z49" s="257" t="n">
        <v>963000000</v>
      </c>
      <c r="AA49" s="257" t="n">
        <v>977000000</v>
      </c>
      <c r="AB49" s="257" t="n">
        <v>982000000</v>
      </c>
      <c r="AC49" s="257" t="n">
        <v>1021000000</v>
      </c>
      <c r="AD49" s="257" t="n">
        <v>1032000000</v>
      </c>
      <c r="AE49" s="257" t="n">
        <v>966000000</v>
      </c>
      <c r="AF49" s="257" t="n">
        <v>1012000000</v>
      </c>
      <c r="AG49" s="257" t="n">
        <v>1462000000</v>
      </c>
      <c r="AH49" s="257" t="n">
        <v>1465000000</v>
      </c>
      <c r="AI49" s="257" t="n">
        <v>1381000000</v>
      </c>
      <c r="AJ49" s="257" t="n">
        <v>1389000000</v>
      </c>
    </row>
    <row r="50" ht="15" customHeight="1" s="255">
      <c r="A50" s="254" t="n">
        <v>37</v>
      </c>
      <c r="B50" s="254" t="n">
        <v>1</v>
      </c>
      <c r="G50" s="254" t="inlineStr">
        <is>
          <t>moeda</t>
        </is>
      </c>
      <c r="H50" s="254" t="inlineStr">
        <is>
          <t>CommonStockValue</t>
        </is>
      </c>
      <c r="J50" s="254" t="inlineStr">
        <is>
          <t>fonte</t>
        </is>
      </c>
      <c r="K50" s="257" t="n">
        <v>1000000</v>
      </c>
      <c r="L50" s="257" t="n">
        <v>1000000</v>
      </c>
      <c r="M50" s="257" t="n">
        <v>1000000</v>
      </c>
      <c r="N50" s="257" t="n">
        <v>1000000</v>
      </c>
      <c r="O50" s="257" t="n">
        <v>1000000</v>
      </c>
      <c r="P50" s="257" t="n">
        <v>1000000</v>
      </c>
      <c r="Q50" s="257" t="n">
        <v>1000000</v>
      </c>
      <c r="R50" s="257" t="n">
        <v>1000000</v>
      </c>
      <c r="S50" s="257" t="n">
        <v>1000000</v>
      </c>
      <c r="T50" s="257" t="n">
        <v>1000000</v>
      </c>
      <c r="U50" s="257" t="n">
        <v>1000000</v>
      </c>
      <c r="V50" s="257" t="n">
        <v>1000000</v>
      </c>
      <c r="W50" s="257" t="n">
        <v>1000000</v>
      </c>
      <c r="X50" s="257" t="n">
        <v>1000000</v>
      </c>
      <c r="Y50" s="257" t="n">
        <v>1000000</v>
      </c>
      <c r="Z50" s="257" t="n">
        <v>0</v>
      </c>
      <c r="AA50" s="257" t="n">
        <v>0</v>
      </c>
      <c r="AB50" s="257" t="n">
        <v>0</v>
      </c>
      <c r="AC50" s="257" t="n">
        <v>0</v>
      </c>
      <c r="AD50" s="257" t="n">
        <v>0</v>
      </c>
      <c r="AE50" s="257" t="n">
        <v>0</v>
      </c>
      <c r="AF50" s="257" t="n">
        <v>0</v>
      </c>
      <c r="AG50" s="257" t="n">
        <v>0</v>
      </c>
      <c r="AH50" s="257" t="n">
        <v>0</v>
      </c>
      <c r="AI50" s="257" t="n">
        <v>0</v>
      </c>
      <c r="AJ50" s="257" t="n">
        <v>0</v>
      </c>
    </row>
    <row r="51" ht="15" customHeight="1" s="255">
      <c r="A51" s="254" t="n">
        <v>37</v>
      </c>
      <c r="B51" s="254" t="n">
        <v>1</v>
      </c>
      <c r="G51" s="254" t="inlineStr">
        <is>
          <t>moeda</t>
        </is>
      </c>
      <c r="H51" s="254" t="inlineStr">
        <is>
          <t>AdditionalPaidInCapital</t>
        </is>
      </c>
      <c r="J51" s="254" t="inlineStr">
        <is>
          <t>fonte</t>
        </is>
      </c>
      <c r="K51" s="257" t="n">
        <v>5344000000</v>
      </c>
      <c r="L51" s="257" t="n">
        <v>5356000000</v>
      </c>
      <c r="M51" s="257" t="n">
        <v>5376000000</v>
      </c>
      <c r="N51" s="257" t="n">
        <v>5408000000</v>
      </c>
      <c r="O51" s="257" t="n">
        <v>5468000000</v>
      </c>
      <c r="P51" s="257" t="n">
        <v>5512000000</v>
      </c>
      <c r="Q51" s="257" t="n">
        <v>5530000000</v>
      </c>
      <c r="R51" s="257" t="n">
        <v>5590000000</v>
      </c>
      <c r="S51" s="257" t="n">
        <v>6332000000</v>
      </c>
      <c r="T51" s="257" t="n">
        <v>6595000000</v>
      </c>
      <c r="U51" s="257" t="n">
        <v>6655000000</v>
      </c>
      <c r="V51" s="257" t="n">
        <v>6692000000</v>
      </c>
      <c r="W51" s="257" t="n">
        <v>6688000000</v>
      </c>
      <c r="X51" s="257" t="n">
        <v>6706000000</v>
      </c>
      <c r="Y51" s="257" t="n">
        <v>6727000000</v>
      </c>
      <c r="Z51" s="257" t="n">
        <v>5900000000</v>
      </c>
      <c r="AA51" s="257" t="n">
        <v>5854000000</v>
      </c>
      <c r="AB51" s="257" t="n">
        <v>5869000000</v>
      </c>
      <c r="AC51" s="257" t="n">
        <v>5881000000</v>
      </c>
      <c r="AD51" s="257" t="n">
        <v>5325000000</v>
      </c>
      <c r="AE51" s="257" t="n">
        <v>5490000000</v>
      </c>
      <c r="AF51" s="257" t="n">
        <v>5502000000</v>
      </c>
      <c r="AG51" s="257" t="n">
        <v>10871000000</v>
      </c>
      <c r="AH51" s="257" t="n">
        <v>9841000000</v>
      </c>
      <c r="AI51" s="257" t="n">
        <v>9811000000</v>
      </c>
      <c r="AJ51" s="257" t="n">
        <v>9838000000</v>
      </c>
    </row>
    <row r="52" ht="15" customHeight="1" s="255">
      <c r="A52" s="254" t="n">
        <v>38</v>
      </c>
      <c r="B52" s="254" t="n">
        <v>1</v>
      </c>
      <c r="G52" s="254" t="inlineStr">
        <is>
          <t>moeda</t>
        </is>
      </c>
      <c r="H52" s="254" t="inlineStr">
        <is>
          <t>TreasuryStockValue (divulgado positivo, lançado negativo)</t>
        </is>
      </c>
      <c r="J52" s="254" t="inlineStr">
        <is>
          <t>fonte</t>
        </is>
      </c>
      <c r="K52" s="257" t="n">
        <v>-920000000</v>
      </c>
      <c r="L52" s="257" t="n">
        <v>-1020000000</v>
      </c>
      <c r="M52" s="257" t="n">
        <v>-1020000000</v>
      </c>
      <c r="N52" s="257" t="n">
        <v>-1020000000</v>
      </c>
      <c r="O52" s="257" t="n">
        <v>-1020000000</v>
      </c>
      <c r="P52" s="257" t="n">
        <v>-1020000000</v>
      </c>
      <c r="Q52" s="257" t="n">
        <v>-1120000000</v>
      </c>
      <c r="R52" s="257" t="n">
        <v>-1120000000</v>
      </c>
      <c r="S52" s="257" t="n">
        <v>-1120000000</v>
      </c>
      <c r="T52" s="257" t="n">
        <v>-1120000000</v>
      </c>
      <c r="U52" s="257" t="n">
        <v>-1320000000</v>
      </c>
      <c r="V52" s="257" t="n">
        <v>-1320000000</v>
      </c>
      <c r="W52" s="257" t="n">
        <v>0</v>
      </c>
      <c r="X52" s="257" t="n">
        <v>0</v>
      </c>
      <c r="Y52" s="257" t="n">
        <v>0</v>
      </c>
      <c r="Z52" s="257" t="n">
        <v>-1073000000</v>
      </c>
      <c r="AA52" s="257" t="n">
        <v>0</v>
      </c>
      <c r="AB52" s="257" t="n">
        <v>0</v>
      </c>
      <c r="AC52" s="257" t="n">
        <v>0</v>
      </c>
      <c r="AD52" s="257" t="n">
        <v>-1549000000</v>
      </c>
      <c r="AE52" s="257" t="n">
        <v>0</v>
      </c>
      <c r="AF52" s="257" t="n">
        <v>0</v>
      </c>
      <c r="AG52" s="257" t="n">
        <v>0</v>
      </c>
      <c r="AH52" s="257" t="n">
        <v>0</v>
      </c>
      <c r="AI52" s="257" t="n">
        <v>0</v>
      </c>
      <c r="AJ52" s="257" t="n">
        <v>0</v>
      </c>
    </row>
    <row r="53" ht="15" customHeight="1" s="255">
      <c r="A53" s="254" t="n">
        <v>38</v>
      </c>
      <c r="B53" s="254" t="n">
        <v>1</v>
      </c>
      <c r="G53" s="254" t="inlineStr">
        <is>
          <t>moeda</t>
        </is>
      </c>
      <c r="H53" s="254" t="inlineStr">
        <is>
          <t>TreasuryStockCommonValue (divulgado positivo, lançado negativo)</t>
        </is>
      </c>
      <c r="J53" s="254" t="inlineStr">
        <is>
          <t>fonte</t>
        </is>
      </c>
      <c r="K53" s="257" t="n">
        <v>0</v>
      </c>
      <c r="L53" s="257" t="n">
        <v>0</v>
      </c>
      <c r="M53" s="257" t="n">
        <v>0</v>
      </c>
      <c r="N53" s="257" t="n">
        <v>0</v>
      </c>
      <c r="O53" s="257" t="n">
        <v>0</v>
      </c>
      <c r="P53" s="257" t="n">
        <v>0</v>
      </c>
      <c r="Q53" s="257" t="n">
        <v>0</v>
      </c>
      <c r="R53" s="257" t="n">
        <v>0</v>
      </c>
      <c r="S53" s="257" t="n">
        <v>0</v>
      </c>
      <c r="T53" s="257" t="n">
        <v>0</v>
      </c>
      <c r="U53" s="257" t="n">
        <v>0</v>
      </c>
      <c r="V53" s="257" t="n">
        <v>0</v>
      </c>
      <c r="W53" s="257" t="n">
        <v>-1320000000</v>
      </c>
      <c r="X53" s="257" t="n">
        <v>-1320000000</v>
      </c>
      <c r="Y53" s="257" t="n">
        <v>-1808000000</v>
      </c>
      <c r="Z53" s="257" t="n">
        <v>0</v>
      </c>
      <c r="AA53" s="257" t="n">
        <v>-1431000000</v>
      </c>
      <c r="AB53" s="257" t="n">
        <v>-1427000000</v>
      </c>
      <c r="AC53" s="257" t="n">
        <v>-1624000000</v>
      </c>
      <c r="AD53" s="257" t="n">
        <v>0</v>
      </c>
      <c r="AE53" s="257" t="n">
        <v>-1511000000</v>
      </c>
      <c r="AF53" s="257" t="n">
        <v>-1508000000</v>
      </c>
      <c r="AG53" s="257" t="n">
        <v>-2051000000</v>
      </c>
      <c r="AH53" s="257" t="n">
        <v>-1007000000</v>
      </c>
      <c r="AI53" s="257" t="n">
        <v>-967000000</v>
      </c>
      <c r="AJ53" s="257" t="n">
        <v>-1212000000</v>
      </c>
    </row>
    <row r="54" ht="15" customHeight="1" s="255">
      <c r="A54" s="254" t="n">
        <v>39</v>
      </c>
      <c r="B54" s="254" t="n">
        <v>1</v>
      </c>
      <c r="G54" s="254" t="inlineStr">
        <is>
          <t>moeda</t>
        </is>
      </c>
      <c r="H54" s="254" t="inlineStr">
        <is>
          <t>AccumulatedOtherComprehensiveIncomeLossNetOfTax</t>
        </is>
      </c>
      <c r="J54" s="254" t="inlineStr">
        <is>
          <t>fonte</t>
        </is>
      </c>
      <c r="K54" s="257" t="n">
        <v>-6411000000</v>
      </c>
      <c r="L54" s="257" t="n">
        <v>-6515000000</v>
      </c>
      <c r="M54" s="257" t="n">
        <v>-6504000000</v>
      </c>
      <c r="N54" s="257" t="n">
        <v>-6246000000</v>
      </c>
      <c r="O54" s="257" t="n">
        <v>-6484000000</v>
      </c>
      <c r="P54" s="257" t="n">
        <v>-6258000000</v>
      </c>
      <c r="Q54" s="257" t="n">
        <v>-6436000000</v>
      </c>
      <c r="R54" s="257" t="n">
        <v>-6471000000</v>
      </c>
      <c r="S54" s="257" t="n">
        <v>-6213000000</v>
      </c>
      <c r="T54" s="257" t="n">
        <v>-6436000000</v>
      </c>
      <c r="U54" s="257" t="n">
        <v>-6611000000</v>
      </c>
      <c r="V54" s="257" t="n">
        <v>-6371000000</v>
      </c>
      <c r="W54" s="257" t="n">
        <v>-6171000000</v>
      </c>
      <c r="X54" s="257" t="n">
        <v>-6091000000</v>
      </c>
      <c r="Y54" s="257" t="n">
        <v>-6224000000</v>
      </c>
      <c r="Z54" s="257" t="n">
        <v>-6054000000</v>
      </c>
      <c r="AA54" s="257" t="n">
        <v>-6194000000</v>
      </c>
      <c r="AB54" s="257" t="n">
        <v>-6446000000</v>
      </c>
      <c r="AC54" s="257" t="n">
        <v>-6354000000</v>
      </c>
      <c r="AD54" s="257" t="n">
        <v>-6702000000</v>
      </c>
      <c r="AE54" s="257" t="n">
        <v>-6436000000</v>
      </c>
      <c r="AF54" s="257" t="n">
        <v>-6123000000</v>
      </c>
      <c r="AG54" s="257" t="n">
        <v>-6107000000</v>
      </c>
      <c r="AH54" s="257" t="n">
        <v>-6084000000</v>
      </c>
      <c r="AI54" s="257" t="n">
        <v>-6017000000</v>
      </c>
      <c r="AJ54" s="257" t="n">
        <v>-6014000000</v>
      </c>
    </row>
    <row r="55" ht="15" customHeight="1" s="255">
      <c r="A55" s="254" t="n">
        <v>40</v>
      </c>
      <c r="B55" s="254" t="n">
        <v>1</v>
      </c>
      <c r="G55" s="254" t="inlineStr">
        <is>
          <t>moeda</t>
        </is>
      </c>
      <c r="H55" s="254" t="inlineStr">
        <is>
          <t>PreferredStockValue</t>
        </is>
      </c>
      <c r="J55" s="254" t="inlineStr">
        <is>
          <t>fonte</t>
        </is>
      </c>
      <c r="K55" s="257" t="n">
        <v>690000000</v>
      </c>
      <c r="L55" s="257" t="n">
        <v>690000000</v>
      </c>
      <c r="M55" s="257" t="n">
        <v>690000000</v>
      </c>
      <c r="N55" s="257" t="n">
        <v>690000000</v>
      </c>
      <c r="O55" s="257" t="n">
        <v>690000000</v>
      </c>
      <c r="P55" s="257" t="n">
        <v>690000000</v>
      </c>
      <c r="Q55" s="257" t="n">
        <v>690000000</v>
      </c>
      <c r="R55" s="257" t="n">
        <v>690000000</v>
      </c>
      <c r="S55" s="257" t="n">
        <v>0</v>
      </c>
      <c r="T55" s="257" t="n">
        <v>0</v>
      </c>
      <c r="U55" s="257" t="n">
        <v>0</v>
      </c>
      <c r="V55" s="257" t="n">
        <v>0</v>
      </c>
      <c r="W55" s="257" t="n">
        <v>0</v>
      </c>
      <c r="X55" s="257" t="n">
        <v>0</v>
      </c>
      <c r="Y55" s="257" t="n">
        <v>0</v>
      </c>
      <c r="Z55" s="257" t="n">
        <v>0</v>
      </c>
      <c r="AA55" s="257" t="n">
        <v>0</v>
      </c>
      <c r="AB55" s="257" t="n">
        <v>0</v>
      </c>
      <c r="AC55" s="257" t="n">
        <v>0</v>
      </c>
      <c r="AD55" s="257" t="n">
        <v>0</v>
      </c>
      <c r="AE55" s="257" t="n">
        <v>0</v>
      </c>
      <c r="AF55" s="257" t="n">
        <v>0</v>
      </c>
      <c r="AG55" s="257" t="n">
        <v>0</v>
      </c>
      <c r="AH55" s="257" t="n">
        <v>0</v>
      </c>
      <c r="AI55" s="257" t="n">
        <v>0</v>
      </c>
      <c r="AJ55" s="257" t="n">
        <v>0</v>
      </c>
    </row>
    <row r="56" ht="15" customHeight="1" s="255">
      <c r="A56" s="254" t="n">
        <v>41</v>
      </c>
      <c r="B56" s="254" t="n">
        <v>1</v>
      </c>
      <c r="G56" s="254" t="inlineStr">
        <is>
          <t>moeda</t>
        </is>
      </c>
      <c r="H56" s="254" t="inlineStr">
        <is>
          <t>RetainedEarningsAccumulatedDeficit</t>
        </is>
      </c>
      <c r="J56" s="254" t="inlineStr">
        <is>
          <t>fonte</t>
        </is>
      </c>
      <c r="K56" s="257" t="n">
        <v>6158000000</v>
      </c>
      <c r="L56" s="257" t="n">
        <v>6581000000</v>
      </c>
      <c r="M56" s="257" t="n">
        <v>6784000000</v>
      </c>
      <c r="N56" s="257" t="n">
        <v>7236000000</v>
      </c>
      <c r="O56" s="257" t="n">
        <v>7982000000</v>
      </c>
      <c r="P56" s="257" t="n">
        <v>8259000000</v>
      </c>
      <c r="Q56" s="257" t="n">
        <v>8830000000</v>
      </c>
      <c r="R56" s="257" t="n">
        <v>8979000000</v>
      </c>
      <c r="S56" s="257" t="n">
        <v>9581000000</v>
      </c>
      <c r="T56" s="257" t="n">
        <v>9692000000</v>
      </c>
      <c r="U56" s="257" t="n">
        <v>9980000000</v>
      </c>
      <c r="V56" s="257" t="n">
        <v>10222000000</v>
      </c>
      <c r="W56" s="257" t="n">
        <v>10757000000</v>
      </c>
      <c r="X56" s="257" t="n">
        <v>11279000000</v>
      </c>
      <c r="Y56" s="257" t="n">
        <v>11555000000</v>
      </c>
      <c r="Z56" s="257" t="n">
        <v>12077000000</v>
      </c>
      <c r="AA56" s="257" t="n">
        <v>12321000000</v>
      </c>
      <c r="AB56" s="257" t="n">
        <v>12005000000</v>
      </c>
      <c r="AC56" s="257" t="n">
        <v>12231000000</v>
      </c>
      <c r="AD56" s="257" t="n">
        <v>12838000000</v>
      </c>
      <c r="AE56" s="257" t="n">
        <v>13034000000</v>
      </c>
      <c r="AF56" s="257" t="n">
        <v>13011000000</v>
      </c>
      <c r="AG56" s="257" t="n">
        <v>13053000000</v>
      </c>
      <c r="AH56" s="257" t="n">
        <v>13152000000</v>
      </c>
      <c r="AI56" s="257" t="n">
        <v>13216000000</v>
      </c>
      <c r="AJ56" s="257" t="n">
        <v>13339000000</v>
      </c>
    </row>
    <row r="57" ht="15" customHeight="1" s="255">
      <c r="A57" s="254" t="n">
        <v>15</v>
      </c>
      <c r="B57" s="254" t="n">
        <v>1</v>
      </c>
      <c r="G57" s="254" t="inlineStr">
        <is>
          <t>moeda</t>
        </is>
      </c>
      <c r="H57" s="254" t="inlineStr">
        <is>
          <t>[vazio] Despesas antecipadas: não aparece como linha própria nas demonstrações (zero)</t>
        </is>
      </c>
      <c r="J57" s="254" t="inlineStr">
        <is>
          <t>derivada</t>
        </is>
      </c>
      <c r="K57" s="257" t="n">
        <v>0</v>
      </c>
      <c r="L57" s="257" t="n">
        <v>0</v>
      </c>
      <c r="M57" s="257" t="n">
        <v>0</v>
      </c>
      <c r="N57" s="257" t="n">
        <v>0</v>
      </c>
      <c r="O57" s="257" t="n">
        <v>0</v>
      </c>
      <c r="P57" s="257" t="n">
        <v>0</v>
      </c>
      <c r="Q57" s="257" t="n">
        <v>0</v>
      </c>
      <c r="R57" s="257" t="n">
        <v>0</v>
      </c>
      <c r="S57" s="257" t="n">
        <v>0</v>
      </c>
      <c r="T57" s="257" t="n">
        <v>0</v>
      </c>
      <c r="U57" s="257" t="n">
        <v>0</v>
      </c>
      <c r="V57" s="257" t="n">
        <v>0</v>
      </c>
      <c r="W57" s="257" t="n">
        <v>0</v>
      </c>
      <c r="X57" s="257" t="n">
        <v>0</v>
      </c>
      <c r="Y57" s="257" t="n">
        <v>0</v>
      </c>
      <c r="Z57" s="257" t="n">
        <v>0</v>
      </c>
      <c r="AA57" s="257" t="n">
        <v>0</v>
      </c>
      <c r="AB57" s="257" t="n">
        <v>0</v>
      </c>
      <c r="AC57" s="257" t="n">
        <v>0</v>
      </c>
      <c r="AD57" s="257" t="n">
        <v>0</v>
      </c>
      <c r="AE57" s="257" t="n">
        <v>0</v>
      </c>
      <c r="AF57" s="257" t="n">
        <v>0</v>
      </c>
      <c r="AG57" s="257" t="n">
        <v>0</v>
      </c>
      <c r="AH57" s="257" t="n">
        <v>0</v>
      </c>
      <c r="AI57" s="257" t="n">
        <v>0</v>
      </c>
      <c r="AJ57" s="257" t="n">
        <v>0</v>
      </c>
    </row>
    <row r="58" ht="15" customHeight="1" s="255">
      <c r="A58" s="254" t="n">
        <v>17</v>
      </c>
      <c r="B58" s="254" t="n">
        <v>1</v>
      </c>
      <c r="G58" s="254" t="inlineStr">
        <is>
          <t>moeda</t>
        </is>
      </c>
      <c r="H58" s="254" t="inlineStr">
        <is>
          <t>[vazio] Investimentos em coligadas: não aparece como linha própria nas demonstrações (zero)</t>
        </is>
      </c>
      <c r="J58" s="254" t="inlineStr">
        <is>
          <t>derivada</t>
        </is>
      </c>
      <c r="K58" s="257" t="n">
        <v>0</v>
      </c>
      <c r="L58" s="257" t="n">
        <v>0</v>
      </c>
      <c r="M58" s="257" t="n">
        <v>0</v>
      </c>
      <c r="N58" s="257" t="n">
        <v>0</v>
      </c>
      <c r="O58" s="257" t="n">
        <v>0</v>
      </c>
      <c r="P58" s="257" t="n">
        <v>0</v>
      </c>
      <c r="Q58" s="257" t="n">
        <v>0</v>
      </c>
      <c r="R58" s="257" t="n">
        <v>0</v>
      </c>
      <c r="S58" s="257" t="n">
        <v>0</v>
      </c>
      <c r="T58" s="257" t="n">
        <v>0</v>
      </c>
      <c r="U58" s="257" t="n">
        <v>0</v>
      </c>
      <c r="V58" s="257" t="n">
        <v>0</v>
      </c>
      <c r="W58" s="257" t="n">
        <v>0</v>
      </c>
      <c r="X58" s="257" t="n">
        <v>0</v>
      </c>
      <c r="Y58" s="257" t="n">
        <v>0</v>
      </c>
      <c r="Z58" s="257" t="n">
        <v>0</v>
      </c>
      <c r="AA58" s="257" t="n">
        <v>0</v>
      </c>
      <c r="AB58" s="257" t="n">
        <v>0</v>
      </c>
      <c r="AC58" s="257" t="n">
        <v>0</v>
      </c>
      <c r="AD58" s="257" t="n">
        <v>0</v>
      </c>
      <c r="AE58" s="257" t="n">
        <v>0</v>
      </c>
      <c r="AF58" s="257" t="n">
        <v>0</v>
      </c>
      <c r="AG58" s="257" t="n">
        <v>0</v>
      </c>
      <c r="AH58" s="257" t="n">
        <v>0</v>
      </c>
      <c r="AI58" s="257" t="n">
        <v>0</v>
      </c>
      <c r="AJ58" s="257" t="n">
        <v>0</v>
      </c>
    </row>
    <row r="59" ht="15" customHeight="1" s="255">
      <c r="A59" s="254" t="n">
        <v>24</v>
      </c>
      <c r="B59" s="254" t="n">
        <v>1</v>
      </c>
      <c r="G59" s="254" t="inlineStr">
        <is>
          <t>moeda</t>
        </is>
      </c>
      <c r="H59" s="254" t="inlineStr">
        <is>
          <t>[vazio] Despesas provisionadas: não aparece como linha própria nas demonstrações (zero)</t>
        </is>
      </c>
      <c r="J59" s="254" t="inlineStr">
        <is>
          <t>derivada</t>
        </is>
      </c>
      <c r="K59" s="257" t="n">
        <v>0</v>
      </c>
      <c r="L59" s="257" t="n">
        <v>0</v>
      </c>
      <c r="M59" s="257" t="n">
        <v>0</v>
      </c>
      <c r="N59" s="257" t="n">
        <v>0</v>
      </c>
      <c r="O59" s="257" t="n">
        <v>0</v>
      </c>
      <c r="P59" s="257" t="n">
        <v>0</v>
      </c>
      <c r="Q59" s="257" t="n">
        <v>0</v>
      </c>
      <c r="R59" s="257" t="n">
        <v>0</v>
      </c>
      <c r="S59" s="257" t="n">
        <v>0</v>
      </c>
      <c r="T59" s="257" t="n">
        <v>0</v>
      </c>
      <c r="U59" s="257" t="n">
        <v>0</v>
      </c>
      <c r="V59" s="257" t="n">
        <v>0</v>
      </c>
      <c r="W59" s="257" t="n">
        <v>0</v>
      </c>
      <c r="X59" s="257" t="n">
        <v>0</v>
      </c>
      <c r="Y59" s="257" t="n">
        <v>0</v>
      </c>
      <c r="Z59" s="257" t="n">
        <v>0</v>
      </c>
      <c r="AA59" s="257" t="n">
        <v>0</v>
      </c>
      <c r="AB59" s="257" t="n">
        <v>0</v>
      </c>
      <c r="AC59" s="257" t="n">
        <v>0</v>
      </c>
      <c r="AD59" s="257" t="n">
        <v>0</v>
      </c>
      <c r="AE59" s="257" t="n">
        <v>0</v>
      </c>
      <c r="AF59" s="257" t="n">
        <v>0</v>
      </c>
      <c r="AG59" s="257" t="n">
        <v>0</v>
      </c>
      <c r="AH59" s="257" t="n">
        <v>0</v>
      </c>
      <c r="AI59" s="257" t="n">
        <v>0</v>
      </c>
      <c r="AJ59" s="257" t="n">
        <v>0</v>
      </c>
    </row>
    <row r="60" ht="15" customHeight="1" s="255">
      <c r="A60" s="254" t="n">
        <v>25</v>
      </c>
      <c r="B60" s="254" t="n">
        <v>1</v>
      </c>
      <c r="G60" s="254" t="inlineStr">
        <is>
          <t>moeda</t>
        </is>
      </c>
      <c r="H60" s="254" t="inlineStr">
        <is>
          <t>[vazio] Impostos a pagar: não aparece como linha própria nas demonstrações (zero)</t>
        </is>
      </c>
      <c r="J60" s="254" t="inlineStr">
        <is>
          <t>derivada</t>
        </is>
      </c>
      <c r="K60" s="257" t="n">
        <v>0</v>
      </c>
      <c r="L60" s="257" t="n">
        <v>0</v>
      </c>
      <c r="M60" s="257" t="n">
        <v>0</v>
      </c>
      <c r="N60" s="257" t="n">
        <v>0</v>
      </c>
      <c r="O60" s="257" t="n">
        <v>0</v>
      </c>
      <c r="P60" s="257" t="n">
        <v>0</v>
      </c>
      <c r="Q60" s="257" t="n">
        <v>0</v>
      </c>
      <c r="R60" s="257" t="n">
        <v>0</v>
      </c>
      <c r="S60" s="257" t="n">
        <v>0</v>
      </c>
      <c r="T60" s="257" t="n">
        <v>0</v>
      </c>
      <c r="U60" s="257" t="n">
        <v>0</v>
      </c>
      <c r="V60" s="257" t="n">
        <v>0</v>
      </c>
      <c r="W60" s="257" t="n">
        <v>0</v>
      </c>
      <c r="X60" s="257" t="n">
        <v>0</v>
      </c>
      <c r="Y60" s="257" t="n">
        <v>0</v>
      </c>
      <c r="Z60" s="257" t="n">
        <v>0</v>
      </c>
      <c r="AA60" s="257" t="n">
        <v>0</v>
      </c>
      <c r="AB60" s="257" t="n">
        <v>0</v>
      </c>
      <c r="AC60" s="257" t="n">
        <v>0</v>
      </c>
      <c r="AD60" s="257" t="n">
        <v>0</v>
      </c>
      <c r="AE60" s="257" t="n">
        <v>0</v>
      </c>
      <c r="AF60" s="257" t="n">
        <v>0</v>
      </c>
      <c r="AG60" s="257" t="n">
        <v>0</v>
      </c>
      <c r="AH60" s="257" t="n">
        <v>0</v>
      </c>
      <c r="AI60" s="257" t="n">
        <v>0</v>
      </c>
      <c r="AJ60" s="257" t="n">
        <v>0</v>
      </c>
    </row>
    <row r="61" ht="15" customHeight="1" s="255">
      <c r="A61" s="254" t="n">
        <v>28</v>
      </c>
      <c r="B61" s="254" t="n">
        <v>1</v>
      </c>
      <c r="G61" s="254" t="inlineStr">
        <is>
          <t>moeda</t>
        </is>
      </c>
      <c r="H61" s="254" t="inlineStr">
        <is>
          <t>[vazio] Revolving: não aparece como linha própria nas demonstrações (zero)</t>
        </is>
      </c>
      <c r="J61" s="254" t="inlineStr">
        <is>
          <t>derivada</t>
        </is>
      </c>
      <c r="K61" s="257" t="n">
        <v>0</v>
      </c>
      <c r="L61" s="257" t="n">
        <v>0</v>
      </c>
      <c r="M61" s="257" t="n">
        <v>0</v>
      </c>
      <c r="N61" s="257" t="n">
        <v>0</v>
      </c>
      <c r="O61" s="257" t="n">
        <v>0</v>
      </c>
      <c r="P61" s="257" t="n">
        <v>0</v>
      </c>
      <c r="Q61" s="257" t="n">
        <v>0</v>
      </c>
      <c r="R61" s="257" t="n">
        <v>0</v>
      </c>
      <c r="S61" s="257" t="n">
        <v>0</v>
      </c>
      <c r="T61" s="257" t="n">
        <v>0</v>
      </c>
      <c r="U61" s="257" t="n">
        <v>0</v>
      </c>
      <c r="V61" s="257" t="n">
        <v>0</v>
      </c>
      <c r="W61" s="257" t="n">
        <v>0</v>
      </c>
      <c r="X61" s="257" t="n">
        <v>0</v>
      </c>
      <c r="Y61" s="257" t="n">
        <v>0</v>
      </c>
      <c r="Z61" s="257" t="n">
        <v>0</v>
      </c>
      <c r="AA61" s="257" t="n">
        <v>0</v>
      </c>
      <c r="AB61" s="257" t="n">
        <v>0</v>
      </c>
      <c r="AC61" s="257" t="n">
        <v>0</v>
      </c>
      <c r="AD61" s="257" t="n">
        <v>0</v>
      </c>
      <c r="AE61" s="257" t="n">
        <v>0</v>
      </c>
      <c r="AF61" s="257" t="n">
        <v>0</v>
      </c>
      <c r="AG61" s="257" t="n">
        <v>0</v>
      </c>
      <c r="AH61" s="257" t="n">
        <v>0</v>
      </c>
      <c r="AI61" s="257" t="n">
        <v>0</v>
      </c>
      <c r="AJ61" s="257" t="n">
        <v>0</v>
      </c>
    </row>
    <row r="62" ht="15" customHeight="1" s="255">
      <c r="A62" s="254" t="n">
        <v>32</v>
      </c>
      <c r="B62" s="254" t="n">
        <v>1</v>
      </c>
      <c r="G62" s="254" t="inlineStr">
        <is>
          <t>moeda</t>
        </is>
      </c>
      <c r="H62" s="254" t="inlineStr">
        <is>
          <t>[vazio] Dívida conversível: não aparece como linha própria nas demonstrações (zero)</t>
        </is>
      </c>
      <c r="J62" s="254" t="inlineStr">
        <is>
          <t>derivada</t>
        </is>
      </c>
      <c r="K62" s="257" t="n">
        <v>0</v>
      </c>
      <c r="L62" s="257" t="n">
        <v>0</v>
      </c>
      <c r="M62" s="257" t="n">
        <v>0</v>
      </c>
      <c r="N62" s="257" t="n">
        <v>0</v>
      </c>
      <c r="O62" s="257" t="n">
        <v>0</v>
      </c>
      <c r="P62" s="257" t="n">
        <v>0</v>
      </c>
      <c r="Q62" s="257" t="n">
        <v>0</v>
      </c>
      <c r="R62" s="257" t="n">
        <v>0</v>
      </c>
      <c r="S62" s="257" t="n">
        <v>0</v>
      </c>
      <c r="T62" s="257" t="n">
        <v>0</v>
      </c>
      <c r="U62" s="257" t="n">
        <v>0</v>
      </c>
      <c r="V62" s="257" t="n">
        <v>0</v>
      </c>
      <c r="W62" s="257" t="n">
        <v>0</v>
      </c>
      <c r="X62" s="257" t="n">
        <v>0</v>
      </c>
      <c r="Y62" s="257" t="n">
        <v>0</v>
      </c>
      <c r="Z62" s="257" t="n">
        <v>0</v>
      </c>
      <c r="AA62" s="257" t="n">
        <v>0</v>
      </c>
      <c r="AB62" s="257" t="n">
        <v>0</v>
      </c>
      <c r="AC62" s="257" t="n">
        <v>0</v>
      </c>
      <c r="AD62" s="257" t="n">
        <v>0</v>
      </c>
      <c r="AE62" s="257" t="n">
        <v>0</v>
      </c>
      <c r="AF62" s="257" t="n">
        <v>0</v>
      </c>
      <c r="AG62" s="257" t="n">
        <v>0</v>
      </c>
      <c r="AH62" s="257" t="n">
        <v>0</v>
      </c>
      <c r="AI62" s="257" t="n">
        <v>0</v>
      </c>
      <c r="AJ62" s="257" t="n">
        <v>0</v>
      </c>
    </row>
    <row r="63" ht="15" customHeight="1" s="255">
      <c r="A63" s="254" t="n">
        <v>26</v>
      </c>
      <c r="B63" s="254" t="n">
        <v>1</v>
      </c>
      <c r="G63" s="254" t="inlineStr">
        <is>
          <t>moeda</t>
        </is>
      </c>
      <c r="H63" s="254" t="inlineStr">
        <is>
          <t>Diferença de arredondamento do passivo + PL (total divulgado - soma das linhas; &lt; US$ 50 mi)</t>
        </is>
      </c>
      <c r="J63" s="254" t="inlineStr">
        <is>
          <t>derivada</t>
        </is>
      </c>
      <c r="K63" s="257" t="n">
        <v>0</v>
      </c>
      <c r="L63" s="257" t="n">
        <v>0</v>
      </c>
      <c r="M63" s="257" t="n">
        <v>0</v>
      </c>
      <c r="N63" s="257" t="n">
        <v>0</v>
      </c>
      <c r="O63" s="257" t="n">
        <v>0</v>
      </c>
      <c r="P63" s="257" t="n">
        <v>0</v>
      </c>
      <c r="Q63" s="257" t="n">
        <v>0</v>
      </c>
      <c r="R63" s="257" t="n">
        <v>0</v>
      </c>
      <c r="S63" s="257" t="n">
        <v>0</v>
      </c>
      <c r="T63" s="257" t="n">
        <v>0</v>
      </c>
      <c r="U63" s="257" t="n">
        <v>0</v>
      </c>
      <c r="V63" s="257" t="n">
        <v>0</v>
      </c>
      <c r="W63" s="257" t="n">
        <v>0</v>
      </c>
      <c r="X63" s="257" t="n">
        <v>0</v>
      </c>
      <c r="Y63" s="257" t="n">
        <v>0</v>
      </c>
      <c r="Z63" s="257" t="n">
        <v>1000000</v>
      </c>
      <c r="AA63" s="257" t="n">
        <v>1000000</v>
      </c>
      <c r="AB63" s="257" t="n">
        <v>1000000</v>
      </c>
      <c r="AC63" s="257" t="n">
        <v>0</v>
      </c>
      <c r="AD63" s="257" t="n">
        <v>0</v>
      </c>
      <c r="AE63" s="257" t="n">
        <v>0</v>
      </c>
      <c r="AF63" s="257" t="n">
        <v>0</v>
      </c>
      <c r="AG63" s="257" t="n">
        <v>0</v>
      </c>
      <c r="AH63" s="257" t="n">
        <v>0</v>
      </c>
      <c r="AI63" s="257" t="n">
        <v>0</v>
      </c>
      <c r="AJ63" s="257" t="n">
        <v>0</v>
      </c>
    </row>
    <row r="64" ht="15" customHeight="1" s="255">
      <c r="H64" s="256" t="inlineStr">
        <is>
          <t>BALANÇO - totais divulgados (memória)</t>
        </is>
      </c>
    </row>
    <row r="65" ht="15" customHeight="1" s="255">
      <c r="G65" s="254" t="inlineStr">
        <is>
          <t>moeda</t>
        </is>
      </c>
      <c r="H65" s="254" t="inlineStr">
        <is>
          <t>Total do ativo [us-gaap:Assets]</t>
        </is>
      </c>
      <c r="J65" s="254" t="inlineStr">
        <is>
          <t>memoria</t>
        </is>
      </c>
      <c r="K65" s="257" t="n">
        <v>18596000000</v>
      </c>
      <c r="L65" s="257" t="n">
        <v>18559000000</v>
      </c>
      <c r="M65" s="257" t="n">
        <v>20761000000</v>
      </c>
      <c r="N65" s="257" t="n">
        <v>23655000000</v>
      </c>
      <c r="O65" s="257" t="n">
        <v>24533000000</v>
      </c>
      <c r="P65" s="257" t="n">
        <v>25085000000</v>
      </c>
      <c r="Q65" s="257" t="n">
        <v>24109000000</v>
      </c>
      <c r="R65" s="257" t="n">
        <v>23819000000</v>
      </c>
      <c r="S65" s="257" t="n">
        <v>28724000000</v>
      </c>
      <c r="T65" s="257" t="n">
        <v>27419000000</v>
      </c>
      <c r="U65" s="257" t="n">
        <v>24792000000</v>
      </c>
      <c r="V65" s="257" t="n">
        <v>24580000000</v>
      </c>
      <c r="W65" s="257" t="n">
        <v>27110000000</v>
      </c>
      <c r="X65" s="257" t="n">
        <v>25712000000</v>
      </c>
      <c r="Y65" s="257" t="n">
        <v>25133000000</v>
      </c>
      <c r="Z65" s="257" t="n">
        <v>25372000000</v>
      </c>
      <c r="AA65" s="257" t="n">
        <v>25821000000</v>
      </c>
      <c r="AB65" s="257" t="n">
        <v>24428000000</v>
      </c>
      <c r="AC65" s="257" t="n">
        <v>25267000000</v>
      </c>
      <c r="AD65" s="257" t="n">
        <v>24899000000</v>
      </c>
      <c r="AE65" s="257" t="n">
        <v>26660000000</v>
      </c>
      <c r="AF65" s="257" t="n">
        <v>31154000000</v>
      </c>
      <c r="AG65" s="257" t="n">
        <v>46298000000</v>
      </c>
      <c r="AH65" s="257" t="n">
        <v>44528000000</v>
      </c>
      <c r="AI65" s="257" t="n">
        <v>47576000000</v>
      </c>
      <c r="AJ65" s="257" t="n">
        <v>46782000000</v>
      </c>
    </row>
    <row r="66" ht="15" customHeight="1" s="255">
      <c r="G66" s="254" t="inlineStr">
        <is>
          <t>moeda</t>
        </is>
      </c>
      <c r="H66" s="254" t="inlineStr">
        <is>
          <t>Total do passivo + PL [us-gaap:LiabilitiesAndStockholdersEquity]</t>
        </is>
      </c>
      <c r="J66" s="254" t="inlineStr">
        <is>
          <t>memoria</t>
        </is>
      </c>
      <c r="K66" s="257" t="n">
        <v>18596000000</v>
      </c>
      <c r="L66" s="257" t="n">
        <v>18559000000</v>
      </c>
      <c r="M66" s="257" t="n">
        <v>20761000000</v>
      </c>
      <c r="N66" s="257" t="n">
        <v>23655000000</v>
      </c>
      <c r="O66" s="257" t="n">
        <v>24533000000</v>
      </c>
      <c r="P66" s="257" t="n">
        <v>25085000000</v>
      </c>
      <c r="Q66" s="257" t="n">
        <v>24109000000</v>
      </c>
      <c r="R66" s="257" t="n">
        <v>23819000000</v>
      </c>
      <c r="S66" s="257" t="n">
        <v>28724000000</v>
      </c>
      <c r="T66" s="257" t="n">
        <v>27419000000</v>
      </c>
      <c r="U66" s="257" t="n">
        <v>24792000000</v>
      </c>
      <c r="V66" s="257" t="n">
        <v>24580000000</v>
      </c>
      <c r="W66" s="257" t="n">
        <v>27110000000</v>
      </c>
      <c r="X66" s="257" t="n">
        <v>25712000000</v>
      </c>
      <c r="Y66" s="257" t="n">
        <v>25133000000</v>
      </c>
      <c r="Z66" s="257" t="n">
        <v>25372000000</v>
      </c>
      <c r="AA66" s="257" t="n">
        <v>25821000000</v>
      </c>
      <c r="AB66" s="257" t="n">
        <v>24428000000</v>
      </c>
      <c r="AC66" s="257" t="n">
        <v>25267000000</v>
      </c>
      <c r="AD66" s="257" t="n">
        <v>24899000000</v>
      </c>
      <c r="AE66" s="257" t="n">
        <v>26660000000</v>
      </c>
      <c r="AF66" s="257" t="n">
        <v>31154000000</v>
      </c>
      <c r="AG66" s="257" t="n">
        <v>46298000000</v>
      </c>
      <c r="AH66" s="257" t="n">
        <v>44528000000</v>
      </c>
      <c r="AI66" s="257" t="n">
        <v>47576000000</v>
      </c>
      <c r="AJ66" s="257" t="n">
        <v>46782000000</v>
      </c>
    </row>
    <row r="67" ht="15" customHeight="1" s="255">
      <c r="H67" s="256" t="inlineStr">
        <is>
          <t>CHECKS (devem ser 0)</t>
        </is>
      </c>
    </row>
    <row r="68" ht="15" customHeight="1" s="255">
      <c r="G68" s="254" t="inlineStr">
        <is>
          <t>moeda</t>
        </is>
      </c>
      <c r="H68" s="254" t="inlineStr">
        <is>
          <t>CHECK: contas de ativo - ativo total (USD, arredondado a 100 mil)</t>
        </is>
      </c>
      <c r="J68" s="254" t="inlineStr">
        <is>
          <t>derivada</t>
        </is>
      </c>
      <c r="K68" s="258">
        <f>ROUND(N(K22)+N(K23)+N(K24)+N(K25)+N(K26)+N(K27)+N(K28)+N(K29)+N(K30)+N(K31)+N(K32)+N(K33)+N(K34)+N(K35)-N(K65),-5)</f>
        <v>0</v>
      </c>
      <c r="L68" s="258">
        <f>ROUND(N(L22)+N(L23)+N(L24)+N(L25)+N(L26)+N(L27)+N(L28)+N(L29)+N(L30)+N(L31)+N(L32)+N(L33)+N(L34)+N(L35)-N(L65),-5)</f>
        <v>0</v>
      </c>
      <c r="M68" s="258">
        <f>ROUND(N(M22)+N(M23)+N(M24)+N(M25)+N(M26)+N(M27)+N(M28)+N(M29)+N(M30)+N(M31)+N(M32)+N(M33)+N(M34)+N(M35)-N(M65),-5)</f>
        <v>0</v>
      </c>
      <c r="N68" s="258">
        <f>ROUND(N(N22)+N(N23)+N(N24)+N(N25)+N(N26)+N(N27)+N(N28)+N(N29)+N(N30)+N(N31)+N(N32)+N(N33)+N(N34)+N(N35)-N(N65),-5)</f>
        <v>0</v>
      </c>
      <c r="O68" s="258">
        <f>ROUND(N(O22)+N(O23)+N(O24)+N(O25)+N(O26)+N(O27)+N(O28)+N(O29)+N(O30)+N(O31)+N(O32)+N(O33)+N(O34)+N(O35)-N(O65),-5)</f>
        <v>0</v>
      </c>
      <c r="P68" s="258">
        <f>ROUND(N(P22)+N(P23)+N(P24)+N(P25)+N(P26)+N(P27)+N(P28)+N(P29)+N(P30)+N(P31)+N(P32)+N(P33)+N(P34)+N(P35)-N(P65),-5)</f>
        <v>0</v>
      </c>
      <c r="Q68" s="258">
        <f>ROUND(N(Q22)+N(Q23)+N(Q24)+N(Q25)+N(Q26)+N(Q27)+N(Q28)+N(Q29)+N(Q30)+N(Q31)+N(Q32)+N(Q33)+N(Q34)+N(Q35)-N(Q65),-5)</f>
        <v>0</v>
      </c>
      <c r="R68" s="258">
        <f>ROUND(N(R22)+N(R23)+N(R24)+N(R25)+N(R26)+N(R27)+N(R28)+N(R29)+N(R30)+N(R31)+N(R32)+N(R33)+N(R34)+N(R35)-N(R65),-5)</f>
        <v>0</v>
      </c>
      <c r="S68" s="258">
        <f>ROUND(N(S22)+N(S23)+N(S24)+N(S25)+N(S26)+N(S27)+N(S28)+N(S29)+N(S30)+N(S31)+N(S32)+N(S33)+N(S34)+N(S35)-N(S65),-5)</f>
        <v>0</v>
      </c>
      <c r="T68" s="258">
        <f>ROUND(N(T22)+N(T23)+N(T24)+N(T25)+N(T26)+N(T27)+N(T28)+N(T29)+N(T30)+N(T31)+N(T32)+N(T33)+N(T34)+N(T35)-N(T65),-5)</f>
        <v>0</v>
      </c>
      <c r="U68" s="258">
        <f>ROUND(N(U22)+N(U23)+N(U24)+N(U25)+N(U26)+N(U27)+N(U28)+N(U29)+N(U30)+N(U31)+N(U32)+N(U33)+N(U34)+N(U35)-N(U65),-5)</f>
        <v>0</v>
      </c>
      <c r="V68" s="258">
        <f>ROUND(N(V22)+N(V23)+N(V24)+N(V25)+N(V26)+N(V27)+N(V28)+N(V29)+N(V30)+N(V31)+N(V32)+N(V33)+N(V34)+N(V35)-N(V65),-5)</f>
        <v>0</v>
      </c>
      <c r="W68" s="258">
        <f>ROUND(N(W22)+N(W23)+N(W24)+N(W25)+N(W26)+N(W27)+N(W28)+N(W29)+N(W30)+N(W31)+N(W32)+N(W33)+N(W34)+N(W35)-N(W65),-5)</f>
        <v>0</v>
      </c>
      <c r="X68" s="258">
        <f>ROUND(N(X22)+N(X23)+N(X24)+N(X25)+N(X26)+N(X27)+N(X28)+N(X29)+N(X30)+N(X31)+N(X32)+N(X33)+N(X34)+N(X35)-N(X65),-5)</f>
        <v>0</v>
      </c>
      <c r="Y68" s="258">
        <f>ROUND(N(Y22)+N(Y23)+N(Y24)+N(Y25)+N(Y26)+N(Y27)+N(Y28)+N(Y29)+N(Y30)+N(Y31)+N(Y32)+N(Y33)+N(Y34)+N(Y35)-N(Y65),-5)</f>
        <v>0</v>
      </c>
      <c r="Z68" s="258">
        <f>ROUND(N(Z22)+N(Z23)+N(Z24)+N(Z25)+N(Z26)+N(Z27)+N(Z28)+N(Z29)+N(Z30)+N(Z31)+N(Z32)+N(Z33)+N(Z34)+N(Z35)-N(Z65),-5)</f>
        <v>0</v>
      </c>
      <c r="AA68" s="258">
        <f>ROUND(N(AA22)+N(AA23)+N(AA24)+N(AA25)+N(AA26)+N(AA27)+N(AA28)+N(AA29)+N(AA30)+N(AA31)+N(AA32)+N(AA33)+N(AA34)+N(AA35)-N(AA65),-5)</f>
        <v>0</v>
      </c>
      <c r="AB68" s="258">
        <f>ROUND(N(AB22)+N(AB23)+N(AB24)+N(AB25)+N(AB26)+N(AB27)+N(AB28)+N(AB29)+N(AB30)+N(AB31)+N(AB32)+N(AB33)+N(AB34)+N(AB35)-N(AB65),-5)</f>
        <v>0</v>
      </c>
      <c r="AC68" s="258">
        <f>ROUND(N(AC22)+N(AC23)+N(AC24)+N(AC25)+N(AC26)+N(AC27)+N(AC28)+N(AC29)+N(AC30)+N(AC31)+N(AC32)+N(AC33)+N(AC34)+N(AC35)-N(AC65),-5)</f>
        <v>0</v>
      </c>
      <c r="AD68" s="258">
        <f>ROUND(N(AD22)+N(AD23)+N(AD24)+N(AD25)+N(AD26)+N(AD27)+N(AD28)+N(AD29)+N(AD30)+N(AD31)+N(AD32)+N(AD33)+N(AD34)+N(AD35)-N(AD65),-5)</f>
        <v>0</v>
      </c>
      <c r="AE68" s="258">
        <f>ROUND(N(AE22)+N(AE23)+N(AE24)+N(AE25)+N(AE26)+N(AE27)+N(AE28)+N(AE29)+N(AE30)+N(AE31)+N(AE32)+N(AE33)+N(AE34)+N(AE35)-N(AE65),-5)</f>
        <v>0</v>
      </c>
      <c r="AF68" s="258">
        <f>ROUND(N(AF22)+N(AF23)+N(AF24)+N(AF25)+N(AF26)+N(AF27)+N(AF28)+N(AF29)+N(AF30)+N(AF31)+N(AF32)+N(AF33)+N(AF34)+N(AF35)-N(AF65),-5)</f>
        <v>0</v>
      </c>
      <c r="AG68" s="258">
        <f>ROUND(N(AG22)+N(AG23)+N(AG24)+N(AG25)+N(AG26)+N(AG27)+N(AG28)+N(AG29)+N(AG30)+N(AG31)+N(AG32)+N(AG33)+N(AG34)+N(AG35)-N(AG65),-5)</f>
        <v>0</v>
      </c>
      <c r="AH68" s="258">
        <f>ROUND(N(AH22)+N(AH23)+N(AH24)+N(AH25)+N(AH26)+N(AH27)+N(AH28)+N(AH29)+N(AH30)+N(AH31)+N(AH32)+N(AH33)+N(AH34)+N(AH35)-N(AH65),-5)</f>
        <v>0</v>
      </c>
      <c r="AI68" s="258">
        <f>ROUND(N(AI22)+N(AI23)+N(AI24)+N(AI25)+N(AI26)+N(AI27)+N(AI28)+N(AI29)+N(AI30)+N(AI31)+N(AI32)+N(AI33)+N(AI34)+N(AI35)-N(AI65),-5)</f>
        <v>0</v>
      </c>
      <c r="AJ68" s="258">
        <f>ROUND(N(AJ22)+N(AJ23)+N(AJ24)+N(AJ25)+N(AJ26)+N(AJ27)+N(AJ28)+N(AJ29)+N(AJ30)+N(AJ31)+N(AJ32)+N(AJ33)+N(AJ34)+N(AJ35)-N(AJ65),-5)</f>
        <v>0</v>
      </c>
    </row>
    <row r="69" ht="15" customHeight="1" s="255">
      <c r="G69" s="254" t="inlineStr">
        <is>
          <t>moeda</t>
        </is>
      </c>
      <c r="H69" s="254" t="inlineStr">
        <is>
          <t>CHECK: passivo + PL (contas) - passivo + PL total</t>
        </is>
      </c>
      <c r="J69" s="254" t="inlineStr">
        <is>
          <t>derivada</t>
        </is>
      </c>
      <c r="K69" s="258">
        <f>ROUND(N(K36)+N(K37)+N(K38)+N(K39)+N(K40)+N(K41)+N(K42)+N(K43)+N(K44)+N(K45)+N(K46)+N(K47)+N(K48)+N(K49)+N(K50)+N(K51)+N(K52)+N(K53)+N(K54)+N(K55)+N(K56)+N(K63)-N(K66),-5)</f>
        <v>0</v>
      </c>
      <c r="L69" s="258">
        <f>ROUND(N(L36)+N(L37)+N(L38)+N(L39)+N(L40)+N(L41)+N(L42)+N(L43)+N(L44)+N(L45)+N(L46)+N(L47)+N(L48)+N(L49)+N(L50)+N(L51)+N(L52)+N(L53)+N(L54)+N(L55)+N(L56)+N(L63)-N(L66),-5)</f>
        <v>0</v>
      </c>
      <c r="M69" s="258">
        <f>ROUND(N(M36)+N(M37)+N(M38)+N(M39)+N(M40)+N(M41)+N(M42)+N(M43)+N(M44)+N(M45)+N(M46)+N(M47)+N(M48)+N(M49)+N(M50)+N(M51)+N(M52)+N(M53)+N(M54)+N(M55)+N(M56)+N(M63)-N(M66),-5)</f>
        <v>0</v>
      </c>
      <c r="N69" s="258">
        <f>ROUND(N(N36)+N(N37)+N(N38)+N(N39)+N(N40)+N(N41)+N(N42)+N(N43)+N(N44)+N(N45)+N(N46)+N(N47)+N(N48)+N(N49)+N(N50)+N(N51)+N(N52)+N(N53)+N(N54)+N(N55)+N(N56)+N(N63)-N(N66),-5)</f>
        <v>0</v>
      </c>
      <c r="O69" s="258">
        <f>ROUND(N(O36)+N(O37)+N(O38)+N(O39)+N(O40)+N(O41)+N(O42)+N(O43)+N(O44)+N(O45)+N(O46)+N(O47)+N(O48)+N(O49)+N(O50)+N(O51)+N(O52)+N(O53)+N(O54)+N(O55)+N(O56)+N(O63)-N(O66),-5)</f>
        <v>0</v>
      </c>
      <c r="P69" s="258">
        <f>ROUND(N(P36)+N(P37)+N(P38)+N(P39)+N(P40)+N(P41)+N(P42)+N(P43)+N(P44)+N(P45)+N(P46)+N(P47)+N(P48)+N(P49)+N(P50)+N(P51)+N(P52)+N(P53)+N(P54)+N(P55)+N(P56)+N(P63)-N(P66),-5)</f>
        <v>0</v>
      </c>
      <c r="Q69" s="258">
        <f>ROUND(N(Q36)+N(Q37)+N(Q38)+N(Q39)+N(Q40)+N(Q41)+N(Q42)+N(Q43)+N(Q44)+N(Q45)+N(Q46)+N(Q47)+N(Q48)+N(Q49)+N(Q50)+N(Q51)+N(Q52)+N(Q53)+N(Q54)+N(Q55)+N(Q56)+N(Q63)-N(Q66),-5)</f>
        <v>0</v>
      </c>
      <c r="R69" s="258">
        <f>ROUND(N(R36)+N(R37)+N(R38)+N(R39)+N(R40)+N(R41)+N(R42)+N(R43)+N(R44)+N(R45)+N(R46)+N(R47)+N(R48)+N(R49)+N(R50)+N(R51)+N(R52)+N(R53)+N(R54)+N(R55)+N(R56)+N(R63)-N(R66),-5)</f>
        <v>0</v>
      </c>
      <c r="S69" s="258">
        <f>ROUND(N(S36)+N(S37)+N(S38)+N(S39)+N(S40)+N(S41)+N(S42)+N(S43)+N(S44)+N(S45)+N(S46)+N(S47)+N(S48)+N(S49)+N(S50)+N(S51)+N(S52)+N(S53)+N(S54)+N(S55)+N(S56)+N(S63)-N(S66),-5)</f>
        <v>0</v>
      </c>
      <c r="T69" s="258">
        <f>ROUND(N(T36)+N(T37)+N(T38)+N(T39)+N(T40)+N(T41)+N(T42)+N(T43)+N(T44)+N(T45)+N(T46)+N(T47)+N(T48)+N(T49)+N(T50)+N(T51)+N(T52)+N(T53)+N(T54)+N(T55)+N(T56)+N(T63)-N(T66),-5)</f>
        <v>0</v>
      </c>
      <c r="U69" s="258">
        <f>ROUND(N(U36)+N(U37)+N(U38)+N(U39)+N(U40)+N(U41)+N(U42)+N(U43)+N(U44)+N(U45)+N(U46)+N(U47)+N(U48)+N(U49)+N(U50)+N(U51)+N(U52)+N(U53)+N(U54)+N(U55)+N(U56)+N(U63)-N(U66),-5)</f>
        <v>0</v>
      </c>
      <c r="V69" s="258">
        <f>ROUND(N(V36)+N(V37)+N(V38)+N(V39)+N(V40)+N(V41)+N(V42)+N(V43)+N(V44)+N(V45)+N(V46)+N(V47)+N(V48)+N(V49)+N(V50)+N(V51)+N(V52)+N(V53)+N(V54)+N(V55)+N(V56)+N(V63)-N(V66),-5)</f>
        <v>0</v>
      </c>
      <c r="W69" s="258">
        <f>ROUND(N(W36)+N(W37)+N(W38)+N(W39)+N(W40)+N(W41)+N(W42)+N(W43)+N(W44)+N(W45)+N(W46)+N(W47)+N(W48)+N(W49)+N(W50)+N(W51)+N(W52)+N(W53)+N(W54)+N(W55)+N(W56)+N(W63)-N(W66),-5)</f>
        <v>0</v>
      </c>
      <c r="X69" s="258">
        <f>ROUND(N(X36)+N(X37)+N(X38)+N(X39)+N(X40)+N(X41)+N(X42)+N(X43)+N(X44)+N(X45)+N(X46)+N(X47)+N(X48)+N(X49)+N(X50)+N(X51)+N(X52)+N(X53)+N(X54)+N(X55)+N(X56)+N(X63)-N(X66),-5)</f>
        <v>0</v>
      </c>
      <c r="Y69" s="258">
        <f>ROUND(N(Y36)+N(Y37)+N(Y38)+N(Y39)+N(Y40)+N(Y41)+N(Y42)+N(Y43)+N(Y44)+N(Y45)+N(Y46)+N(Y47)+N(Y48)+N(Y49)+N(Y50)+N(Y51)+N(Y52)+N(Y53)+N(Y54)+N(Y55)+N(Y56)+N(Y63)-N(Y66),-5)</f>
        <v>0</v>
      </c>
      <c r="Z69" s="258">
        <f>ROUND(N(Z36)+N(Z37)+N(Z38)+N(Z39)+N(Z40)+N(Z41)+N(Z42)+N(Z43)+N(Z44)+N(Z45)+N(Z46)+N(Z47)+N(Z48)+N(Z49)+N(Z50)+N(Z51)+N(Z52)+N(Z53)+N(Z54)+N(Z55)+N(Z56)+N(Z63)-N(Z66),-5)</f>
        <v>0</v>
      </c>
      <c r="AA69" s="258">
        <f>ROUND(N(AA36)+N(AA37)+N(AA38)+N(AA39)+N(AA40)+N(AA41)+N(AA42)+N(AA43)+N(AA44)+N(AA45)+N(AA46)+N(AA47)+N(AA48)+N(AA49)+N(AA50)+N(AA51)+N(AA52)+N(AA53)+N(AA54)+N(AA55)+N(AA56)+N(AA63)-N(AA66),-5)</f>
        <v>0</v>
      </c>
      <c r="AB69" s="258">
        <f>ROUND(N(AB36)+N(AB37)+N(AB38)+N(AB39)+N(AB40)+N(AB41)+N(AB42)+N(AB43)+N(AB44)+N(AB45)+N(AB46)+N(AB47)+N(AB48)+N(AB49)+N(AB50)+N(AB51)+N(AB52)+N(AB53)+N(AB54)+N(AB55)+N(AB56)+N(AB63)-N(AB66),-5)</f>
        <v>0</v>
      </c>
      <c r="AC69" s="258">
        <f>ROUND(N(AC36)+N(AC37)+N(AC38)+N(AC39)+N(AC40)+N(AC41)+N(AC42)+N(AC43)+N(AC44)+N(AC45)+N(AC46)+N(AC47)+N(AC48)+N(AC49)+N(AC50)+N(AC51)+N(AC52)+N(AC53)+N(AC54)+N(AC55)+N(AC56)+N(AC63)-N(AC66),-5)</f>
        <v>0</v>
      </c>
      <c r="AD69" s="258">
        <f>ROUND(N(AD36)+N(AD37)+N(AD38)+N(AD39)+N(AD40)+N(AD41)+N(AD42)+N(AD43)+N(AD44)+N(AD45)+N(AD46)+N(AD47)+N(AD48)+N(AD49)+N(AD50)+N(AD51)+N(AD52)+N(AD53)+N(AD54)+N(AD55)+N(AD56)+N(AD63)-N(AD66),-5)</f>
        <v>0</v>
      </c>
      <c r="AE69" s="258">
        <f>ROUND(N(AE36)+N(AE37)+N(AE38)+N(AE39)+N(AE40)+N(AE41)+N(AE42)+N(AE43)+N(AE44)+N(AE45)+N(AE46)+N(AE47)+N(AE48)+N(AE49)+N(AE50)+N(AE51)+N(AE52)+N(AE53)+N(AE54)+N(AE55)+N(AE56)+N(AE63)-N(AE66),-5)</f>
        <v>0</v>
      </c>
      <c r="AF69" s="258">
        <f>ROUND(N(AF36)+N(AF37)+N(AF38)+N(AF39)+N(AF40)+N(AF41)+N(AF42)+N(AF43)+N(AF44)+N(AF45)+N(AF46)+N(AF47)+N(AF48)+N(AF49)+N(AF50)+N(AF51)+N(AF52)+N(AF53)+N(AF54)+N(AF55)+N(AF56)+N(AF63)-N(AF66),-5)</f>
        <v>0</v>
      </c>
      <c r="AG69" s="258">
        <f>ROUND(N(AG36)+N(AG37)+N(AG38)+N(AG39)+N(AG40)+N(AG41)+N(AG42)+N(AG43)+N(AG44)+N(AG45)+N(AG46)+N(AG47)+N(AG48)+N(AG49)+N(AG50)+N(AG51)+N(AG52)+N(AG53)+N(AG54)+N(AG55)+N(AG56)+N(AG63)-N(AG66),-5)</f>
        <v>0</v>
      </c>
      <c r="AH69" s="258">
        <f>ROUND(N(AH36)+N(AH37)+N(AH38)+N(AH39)+N(AH40)+N(AH41)+N(AH42)+N(AH43)+N(AH44)+N(AH45)+N(AH46)+N(AH47)+N(AH48)+N(AH49)+N(AH50)+N(AH51)+N(AH52)+N(AH53)+N(AH54)+N(AH55)+N(AH56)+N(AH63)-N(AH66),-5)</f>
        <v>0</v>
      </c>
      <c r="AI69" s="258">
        <f>ROUND(N(AI36)+N(AI37)+N(AI38)+N(AI39)+N(AI40)+N(AI41)+N(AI42)+N(AI43)+N(AI44)+N(AI45)+N(AI46)+N(AI47)+N(AI48)+N(AI49)+N(AI50)+N(AI51)+N(AI52)+N(AI53)+N(AI54)+N(AI55)+N(AI56)+N(AI63)-N(AI66),-5)</f>
        <v>0</v>
      </c>
      <c r="AJ69" s="258">
        <f>ROUND(N(AJ36)+N(AJ37)+N(AJ38)+N(AJ39)+N(AJ40)+N(AJ41)+N(AJ42)+N(AJ43)+N(AJ44)+N(AJ45)+N(AJ46)+N(AJ47)+N(AJ48)+N(AJ49)+N(AJ50)+N(AJ51)+N(AJ52)+N(AJ53)+N(AJ54)+N(AJ55)+N(AJ56)+N(AJ63)-N(AJ66),-5)</f>
        <v>0</v>
      </c>
    </row>
    <row r="70" ht="15" customHeight="1" s="255">
      <c r="H70" s="254" t="inlineStr">
        <is>
          <t>CHECK: receita - custo - despesas + não operacional - IR - minoritários + outros após IR - lucro (deve ser 0)</t>
        </is>
      </c>
      <c r="J70" s="254" t="inlineStr">
        <is>
          <t>derivada</t>
        </is>
      </c>
      <c r="K70" s="254">
        <f>ROUND(N(K6)-N(K7)-N(K9)+N(K11)-N(K13)-N(K14)+N(K16)-N(K17),-5)</f>
        <v>0</v>
      </c>
      <c r="L70" s="254">
        <f>ROUND(N(L6)-N(L7)-N(L9)+N(L11)-N(L13)-N(L14)+N(L16)-N(L17),-5)</f>
        <v>0</v>
      </c>
      <c r="M70" s="254">
        <f>ROUND(N(M6)-N(M7)-N(M9)+N(M11)-N(M13)-N(M14)+N(M16)-N(M17),-5)</f>
        <v>0</v>
      </c>
      <c r="N70" s="254">
        <f>ROUND(N(N6)-N(N7)-N(N9)+N(N11)-N(N13)-N(N14)+N(N16)-N(N17),-5)</f>
        <v>0</v>
      </c>
      <c r="O70" s="254">
        <f>ROUND(N(O6)-N(O7)-N(O9)+N(O11)-N(O13)-N(O14)+N(O16)-N(O17),-5)</f>
        <v>0</v>
      </c>
      <c r="P70" s="254">
        <f>ROUND(N(P6)-N(P7)-N(P9)+N(P11)-N(P13)-N(P14)+N(P16)-N(P17),-5)</f>
        <v>0</v>
      </c>
      <c r="Q70" s="254">
        <f>ROUND(N(Q6)-N(Q7)-N(Q9)+N(Q11)-N(Q13)-N(Q14)+N(Q16)-N(Q17),-5)</f>
        <v>0</v>
      </c>
      <c r="R70" s="254">
        <f>ROUND(N(R6)-N(R7)-N(R9)+N(R11)-N(R13)-N(R14)+N(R16)-N(R17),-5)</f>
        <v>0</v>
      </c>
      <c r="S70" s="254">
        <f>ROUND(N(S6)-N(S7)-N(S9)+N(S11)-N(S13)-N(S14)+N(S16)-N(S17),-5)</f>
        <v>0</v>
      </c>
      <c r="T70" s="254">
        <f>ROUND(N(T6)-N(T7)-N(T9)+N(T11)-N(T13)-N(T14)+N(T16)-N(T17),-5)</f>
        <v>0</v>
      </c>
      <c r="U70" s="254">
        <f>ROUND(N(U6)-N(U7)-N(U9)+N(U11)-N(U13)-N(U14)+N(U16)-N(U17),-5)</f>
        <v>0</v>
      </c>
      <c r="V70" s="254">
        <f>ROUND(N(V6)-N(V7)-N(V9)+N(V11)-N(V13)-N(V14)+N(V16)-N(V17),-5)</f>
        <v>0</v>
      </c>
      <c r="W70" s="254">
        <f>ROUND(N(W6)-N(W7)-N(W9)+N(W11)-N(W13)-N(W14)+N(W16)-N(W17),-5)</f>
        <v>0</v>
      </c>
      <c r="X70" s="254">
        <f>ROUND(N(X6)-N(X7)-N(X9)+N(X11)-N(X13)-N(X14)+N(X16)-N(X17),-5)</f>
        <v>0</v>
      </c>
      <c r="Y70" s="254">
        <f>ROUND(N(Y6)-N(Y7)-N(Y9)+N(Y11)-N(Y13)-N(Y14)+N(Y16)-N(Y17),-5)</f>
        <v>0</v>
      </c>
      <c r="Z70" s="254">
        <f>ROUND(N(Z6)-N(Z7)-N(Z9)+N(Z11)-N(Z13)-N(Z14)+N(Z16)-N(Z17),-5)</f>
        <v>0</v>
      </c>
      <c r="AA70" s="254">
        <f>ROUND(N(AA6)-N(AA7)-N(AA9)+N(AA11)-N(AA13)-N(AA14)+N(AA16)-N(AA17),-5)</f>
        <v>0</v>
      </c>
      <c r="AB70" s="254">
        <f>ROUND(N(AB6)-N(AB7)-N(AB9)+N(AB11)-N(AB13)-N(AB14)+N(AB16)-N(AB17),-5)</f>
        <v>0</v>
      </c>
      <c r="AC70" s="254">
        <f>ROUND(N(AC6)-N(AC7)-N(AC9)+N(AC11)-N(AC13)-N(AC14)+N(AC16)-N(AC17),-5)</f>
        <v>0</v>
      </c>
      <c r="AD70" s="254">
        <f>ROUND(N(AD6)-N(AD7)-N(AD9)+N(AD11)-N(AD13)-N(AD14)+N(AD16)-N(AD17),-5)</f>
        <v>0</v>
      </c>
      <c r="AE70" s="254">
        <f>ROUND(N(AE6)-N(AE7)-N(AE9)+N(AE11)-N(AE13)-N(AE14)+N(AE16)-N(AE17),-5)</f>
        <v>0</v>
      </c>
      <c r="AF70" s="254">
        <f>ROUND(N(AF6)-N(AF7)-N(AF9)+N(AF11)-N(AF13)-N(AF14)+N(AF16)-N(AF17),-5)</f>
        <v>0</v>
      </c>
      <c r="AG70" s="254">
        <f>ROUND(N(AG6)-N(AG7)-N(AG9)+N(AG11)-N(AG13)-N(AG14)+N(AG16)-N(AG17),-5)</f>
        <v>0</v>
      </c>
      <c r="AH70" s="254">
        <f>ROUND(N(AH6)-N(AH7)-N(AH9)+N(AH11)-N(AH13)-N(AH14)+N(AH16)-N(AH17),-5)</f>
        <v>0</v>
      </c>
      <c r="AI70" s="254">
        <f>ROUND(N(AI6)-N(AI7)-N(AI9)+N(AI11)-N(AI13)-N(AI14)+N(AI16)-N(AI17),-5)</f>
        <v>0</v>
      </c>
      <c r="AJ70" s="254">
        <f>ROUND(N(AJ6)-N(AJ7)-N(AJ9)+N(AJ11)-N(AJ13)-N(AJ14)+N(AJ16)-N(AJ17),-5)</f>
        <v>0</v>
      </c>
    </row>
    <row r="72">
      <c r="H72" s="511" t="inlineStr">
        <is>
          <t>DRIVERS DE RECEITA (codigos 45+): receita a terceiros por segmento. Estrutura antiga (até 2T25, somada e conferida): Agribusiness, Refined &amp; Specialty Oils, Milling, Sugar &amp; Bioenergy, Corporate (Fertilizer incluído em Agribusiness, como na reapresentação da companhia); estrutura nova (pós-Viterra, com comparativos reapresentados desde 3T24): Soybean P&amp;R, Softseed P&amp;R, Tropical Oils &amp; Specialty Ingredients, Grain Merchandising &amp; Milling - SEC XBRL (USD, fator 0,000001).</t>
        </is>
      </c>
    </row>
    <row r="73">
      <c r="A73" t="n">
        <v>45</v>
      </c>
      <c r="B73" t="n">
        <v>1</v>
      </c>
      <c r="G73" t="inlineStr">
        <is>
          <t>moeda</t>
        </is>
      </c>
      <c r="H73" t="inlineStr">
        <is>
          <t>Agribusiness - receita (USD)</t>
        </is>
      </c>
      <c r="J73" t="inlineStr">
        <is>
          <t>fonte</t>
        </is>
      </c>
      <c r="K73" s="512" t="n">
        <v>6382000000</v>
      </c>
      <c r="L73" s="512" t="n">
        <v>6925000000</v>
      </c>
      <c r="M73" s="512" t="n">
        <v>7290000000</v>
      </c>
      <c r="N73" s="512" t="n">
        <v>9416000000</v>
      </c>
      <c r="O73" s="512" t="n">
        <v>9791000000</v>
      </c>
      <c r="P73" s="512" t="n">
        <v>11654000000</v>
      </c>
      <c r="Q73" s="512" t="n">
        <v>9868000000</v>
      </c>
      <c r="R73" s="512" t="n">
        <v>12324000000</v>
      </c>
      <c r="S73" s="512" t="n">
        <v>11231000000</v>
      </c>
      <c r="T73" s="512" t="n">
        <v>12747000000</v>
      </c>
      <c r="U73" s="512" t="n">
        <v>11741000000</v>
      </c>
      <c r="V73" s="512" t="n">
        <v>11981000000</v>
      </c>
      <c r="W73" s="512" t="n">
        <v>10852000000</v>
      </c>
      <c r="X73" s="512" t="n">
        <v>10875000000</v>
      </c>
      <c r="Y73" s="512" t="n">
        <v>10082000000</v>
      </c>
      <c r="Z73" s="512" t="n">
        <v>10955000000</v>
      </c>
      <c r="AA73" s="512" t="n">
        <v>9740000000</v>
      </c>
      <c r="AB73" s="512" t="n">
        <v>9657000000</v>
      </c>
      <c r="AC73" s="512" t="n">
        <v>9292000000</v>
      </c>
      <c r="AD73" s="512" t="n">
        <v>9909000000</v>
      </c>
      <c r="AE73" s="512" t="n">
        <v>8161000000</v>
      </c>
      <c r="AF73" s="512" t="n">
        <v>9167000000</v>
      </c>
      <c r="AG73" s="512" t="n"/>
      <c r="AH73" s="512" t="n"/>
      <c r="AI73" s="512" t="n"/>
      <c r="AJ73" s="512" t="n"/>
    </row>
    <row r="74">
      <c r="A74" t="n">
        <v>46</v>
      </c>
      <c r="B74" t="n">
        <v>1</v>
      </c>
      <c r="G74" t="inlineStr">
        <is>
          <t>moeda</t>
        </is>
      </c>
      <c r="H74" t="inlineStr">
        <is>
          <t>Agribusiness - lucro do segmento (USD)</t>
        </is>
      </c>
      <c r="J74" t="inlineStr">
        <is>
          <t>fonte</t>
        </is>
      </c>
      <c r="K74" s="512" t="n">
        <v>-3000000</v>
      </c>
      <c r="L74" s="512" t="n">
        <v>907000000</v>
      </c>
      <c r="M74" s="512" t="n">
        <v>373000000</v>
      </c>
      <c r="N74" s="512" t="n"/>
      <c r="O74" s="512" t="n">
        <v>886000000</v>
      </c>
      <c r="P74" s="512" t="n">
        <v>410000000</v>
      </c>
      <c r="Q74" s="512" t="n">
        <v>591000000</v>
      </c>
      <c r="R74" s="512" t="n"/>
      <c r="S74" s="512" t="n">
        <v>864000000</v>
      </c>
      <c r="T74" s="512" t="n">
        <v>316000000</v>
      </c>
      <c r="U74" s="512" t="n">
        <v>632000000</v>
      </c>
      <c r="V74" s="512" t="n"/>
      <c r="W74" s="512" t="n">
        <v>808000000</v>
      </c>
      <c r="X74" s="512" t="n">
        <v>997000000</v>
      </c>
      <c r="Y74" s="512" t="n">
        <v>645000000</v>
      </c>
      <c r="Z74" s="512" t="n"/>
      <c r="AA74" s="512" t="n">
        <v>454000000</v>
      </c>
      <c r="AB74" s="512" t="n">
        <v>289000000</v>
      </c>
      <c r="AC74" s="512" t="n">
        <v>392000000</v>
      </c>
      <c r="AD74" s="512" t="n"/>
      <c r="AE74" s="512" t="n"/>
      <c r="AF74" s="512" t="n"/>
      <c r="AG74" s="512" t="n"/>
      <c r="AH74" s="512" t="n"/>
      <c r="AI74" s="512" t="n"/>
      <c r="AJ74" s="512" t="n"/>
    </row>
    <row r="75">
      <c r="A75" t="n">
        <v>47</v>
      </c>
      <c r="B75" t="n">
        <v>1</v>
      </c>
      <c r="G75" t="inlineStr">
        <is>
          <t>moeda</t>
        </is>
      </c>
      <c r="H75" t="inlineStr">
        <is>
          <t>Refined &amp; Specialty Oils - receita (USD)</t>
        </is>
      </c>
      <c r="J75" t="inlineStr">
        <is>
          <t>fonte</t>
        </is>
      </c>
      <c r="K75" s="512" t="n">
        <v>2325000000</v>
      </c>
      <c r="L75" s="512" t="n">
        <v>2129000000</v>
      </c>
      <c r="M75" s="512" t="n">
        <v>2432000000</v>
      </c>
      <c r="N75" s="512" t="n">
        <v>2714000000</v>
      </c>
      <c r="O75" s="512" t="n">
        <v>2726000000</v>
      </c>
      <c r="P75" s="512" t="n">
        <v>3198000000</v>
      </c>
      <c r="Q75" s="512" t="n">
        <v>3648000000</v>
      </c>
      <c r="R75" s="512" t="n">
        <v>3760000000</v>
      </c>
      <c r="S75" s="512" t="n">
        <v>3976000000</v>
      </c>
      <c r="T75" s="512" t="n">
        <v>4445000000</v>
      </c>
      <c r="U75" s="512" t="n">
        <v>4302000000</v>
      </c>
      <c r="V75" s="512" t="n">
        <v>4127000000</v>
      </c>
      <c r="W75" s="512" t="n">
        <v>3888000000</v>
      </c>
      <c r="X75" s="512" t="n">
        <v>3601000000</v>
      </c>
      <c r="Y75" s="512" t="n">
        <v>3601000000</v>
      </c>
      <c r="Z75" s="512" t="n">
        <v>3513000000</v>
      </c>
      <c r="AA75" s="512" t="n">
        <v>3240000000</v>
      </c>
      <c r="AB75" s="512" t="n">
        <v>3121000000</v>
      </c>
      <c r="AC75" s="512" t="n">
        <v>3158000000</v>
      </c>
      <c r="AD75" s="512" t="n">
        <v>3252000000</v>
      </c>
      <c r="AE75" s="512" t="n">
        <v>3092000000</v>
      </c>
      <c r="AF75" s="512" t="n">
        <v>3177000000</v>
      </c>
      <c r="AG75" s="512" t="n"/>
      <c r="AH75" s="512" t="n"/>
      <c r="AI75" s="512" t="n"/>
      <c r="AJ75" s="512" t="n"/>
    </row>
    <row r="76">
      <c r="A76" t="n">
        <v>48</v>
      </c>
      <c r="B76" t="n">
        <v>1</v>
      </c>
      <c r="G76" t="inlineStr">
        <is>
          <t>moeda</t>
        </is>
      </c>
      <c r="H76" t="inlineStr">
        <is>
          <t>Refined &amp; Specialty Oils - lucro do segmento (USD)</t>
        </is>
      </c>
      <c r="J76" t="inlineStr">
        <is>
          <t>fonte</t>
        </is>
      </c>
      <c r="K76" s="512" t="n">
        <v>128000000</v>
      </c>
      <c r="L76" s="512" t="n">
        <v>146000000</v>
      </c>
      <c r="M76" s="512" t="n">
        <v>178000000</v>
      </c>
      <c r="N76" s="512" t="n"/>
      <c r="O76" s="512" t="n">
        <v>235000000</v>
      </c>
      <c r="P76" s="512" t="n">
        <v>195000000</v>
      </c>
      <c r="Q76" s="512" t="n">
        <v>218000000</v>
      </c>
      <c r="R76" s="512" t="n"/>
      <c r="S76" s="512" t="n">
        <v>262000000</v>
      </c>
      <c r="T76" s="512" t="n">
        <v>325000000</v>
      </c>
      <c r="U76" s="512" t="n">
        <v>232000000</v>
      </c>
      <c r="V76" s="512" t="n"/>
      <c r="W76" s="512" t="n">
        <v>342000000</v>
      </c>
      <c r="X76" s="512" t="n">
        <v>333000000</v>
      </c>
      <c r="Y76" s="512" t="n">
        <v>352000000</v>
      </c>
      <c r="Z76" s="512" t="n"/>
      <c r="AA76" s="512" t="n">
        <v>359000000</v>
      </c>
      <c r="AB76" s="512" t="n">
        <v>315000000</v>
      </c>
      <c r="AC76" s="512" t="n">
        <v>338000000</v>
      </c>
      <c r="AD76" s="512" t="n"/>
      <c r="AE76" s="512" t="n"/>
      <c r="AF76" s="512" t="n"/>
      <c r="AG76" s="512" t="n"/>
      <c r="AH76" s="512" t="n"/>
      <c r="AI76" s="512" t="n"/>
      <c r="AJ76" s="512" t="n"/>
    </row>
    <row r="77">
      <c r="A77" t="n">
        <v>49</v>
      </c>
      <c r="B77" t="n">
        <v>1</v>
      </c>
      <c r="G77" t="inlineStr">
        <is>
          <t>moeda</t>
        </is>
      </c>
      <c r="H77" t="inlineStr">
        <is>
          <t>Milling - receita (USD)</t>
        </is>
      </c>
      <c r="J77" t="inlineStr">
        <is>
          <t>fonte</t>
        </is>
      </c>
      <c r="K77" s="512" t="n">
        <v>416000000</v>
      </c>
      <c r="L77" s="512" t="n">
        <v>382000000</v>
      </c>
      <c r="M77" s="512" t="n">
        <v>388000000</v>
      </c>
      <c r="N77" s="512" t="n">
        <v>463000000</v>
      </c>
      <c r="O77" s="512" t="n">
        <v>390000000</v>
      </c>
      <c r="P77" s="512" t="n">
        <v>471000000</v>
      </c>
      <c r="Q77" s="512" t="n">
        <v>530000000</v>
      </c>
      <c r="R77" s="512" t="n">
        <v>517000000</v>
      </c>
      <c r="S77" s="512" t="n">
        <v>603000000</v>
      </c>
      <c r="T77" s="512" t="n">
        <v>677000000</v>
      </c>
      <c r="U77" s="512" t="n">
        <v>631000000</v>
      </c>
      <c r="V77" s="512" t="n">
        <v>477000000</v>
      </c>
      <c r="W77" s="512" t="n">
        <v>515000000</v>
      </c>
      <c r="X77" s="512" t="n">
        <v>490000000</v>
      </c>
      <c r="Y77" s="512" t="n">
        <v>479000000</v>
      </c>
      <c r="Z77" s="512" t="n">
        <v>412000000</v>
      </c>
      <c r="AA77" s="512" t="n">
        <v>381000000</v>
      </c>
      <c r="AB77" s="512" t="n">
        <v>401000000</v>
      </c>
      <c r="AC77" s="512" t="n">
        <v>407000000</v>
      </c>
      <c r="AD77" s="512" t="n">
        <v>366000000</v>
      </c>
      <c r="AE77" s="512" t="n">
        <v>375000000</v>
      </c>
      <c r="AF77" s="512" t="n">
        <v>409000000</v>
      </c>
      <c r="AG77" s="512" t="n"/>
      <c r="AH77" s="512" t="n"/>
      <c r="AI77" s="512" t="n"/>
      <c r="AJ77" s="512" t="n"/>
    </row>
    <row r="78">
      <c r="A78" t="n">
        <v>50</v>
      </c>
      <c r="B78" t="n">
        <v>1</v>
      </c>
      <c r="G78" t="inlineStr">
        <is>
          <t>moeda</t>
        </is>
      </c>
      <c r="H78" t="inlineStr">
        <is>
          <t>Milling - lucro do segmento (USD)</t>
        </is>
      </c>
      <c r="J78" t="inlineStr">
        <is>
          <t>fonte</t>
        </is>
      </c>
      <c r="K78" s="512" t="n">
        <v>48000000</v>
      </c>
      <c r="L78" s="512" t="n">
        <v>53000000</v>
      </c>
      <c r="M78" s="512" t="n">
        <v>50000000</v>
      </c>
      <c r="N78" s="512" t="n"/>
      <c r="O78" s="512" t="n">
        <v>34000000</v>
      </c>
      <c r="P78" s="512" t="n">
        <v>57000000</v>
      </c>
      <c r="Q78" s="512" t="n">
        <v>70000000</v>
      </c>
      <c r="R78" s="512" t="n"/>
      <c r="S78" s="512" t="n">
        <v>71000000</v>
      </c>
      <c r="T78" s="512" t="n">
        <v>126000000</v>
      </c>
      <c r="U78" s="512" t="n">
        <v>45000000</v>
      </c>
      <c r="V78" s="512" t="n"/>
      <c r="W78" s="512" t="n">
        <v>31000000</v>
      </c>
      <c r="X78" s="512" t="n">
        <v>40000000</v>
      </c>
      <c r="Y78" s="512" t="n">
        <v>50000000</v>
      </c>
      <c r="Z78" s="512" t="n"/>
      <c r="AA78" s="512" t="n">
        <v>60000000</v>
      </c>
      <c r="AB78" s="512" t="n">
        <v>66000000</v>
      </c>
      <c r="AC78" s="512" t="n">
        <v>43000000</v>
      </c>
      <c r="AD78" s="512" t="n"/>
      <c r="AE78" s="512" t="n"/>
      <c r="AF78" s="512" t="n"/>
      <c r="AG78" s="512" t="n"/>
      <c r="AH78" s="512" t="n"/>
      <c r="AI78" s="512" t="n"/>
      <c r="AJ78" s="512" t="n"/>
    </row>
    <row r="79">
      <c r="A79" t="n">
        <v>51</v>
      </c>
      <c r="B79" t="n">
        <v>1</v>
      </c>
      <c r="G79" t="inlineStr">
        <is>
          <t>moeda</t>
        </is>
      </c>
      <c r="H79" t="inlineStr">
        <is>
          <t>Sugar &amp; Bioenergy - receita (USD)</t>
        </is>
      </c>
      <c r="J79" t="inlineStr">
        <is>
          <t>fonte</t>
        </is>
      </c>
      <c r="K79" s="512" t="n">
        <v>50000000</v>
      </c>
      <c r="L79" s="512" t="n">
        <v>26000000</v>
      </c>
      <c r="M79" s="512" t="n">
        <v>49000000</v>
      </c>
      <c r="N79" s="512" t="n">
        <v>17000000</v>
      </c>
      <c r="O79" s="512" t="n">
        <v>54000000</v>
      </c>
      <c r="P79" s="512" t="n">
        <v>68000000</v>
      </c>
      <c r="Q79" s="512" t="n">
        <v>69000000</v>
      </c>
      <c r="R79" s="512" t="n">
        <v>80000000</v>
      </c>
      <c r="S79" s="512" t="n">
        <v>64000000</v>
      </c>
      <c r="T79" s="512" t="n">
        <v>57000000</v>
      </c>
      <c r="U79" s="512" t="n">
        <v>74000000</v>
      </c>
      <c r="V79" s="512" t="n">
        <v>64000000</v>
      </c>
      <c r="W79" s="512" t="n">
        <v>64000000</v>
      </c>
      <c r="X79" s="512" t="n">
        <v>72000000</v>
      </c>
      <c r="Y79" s="512" t="n">
        <v>56000000</v>
      </c>
      <c r="Z79" s="512" t="n">
        <v>43000000</v>
      </c>
      <c r="AA79" s="512" t="n">
        <v>43000000</v>
      </c>
      <c r="AB79" s="512" t="n">
        <v>49000000</v>
      </c>
      <c r="AC79" s="512" t="n">
        <v>38000000</v>
      </c>
      <c r="AD79" s="512" t="n">
        <v>0</v>
      </c>
      <c r="AE79" s="512" t="n"/>
      <c r="AF79" s="512" t="n"/>
      <c r="AG79" s="512" t="n"/>
      <c r="AH79" s="512" t="n"/>
      <c r="AI79" s="512" t="n"/>
      <c r="AJ79" s="512" t="n"/>
    </row>
    <row r="80">
      <c r="A80" t="n">
        <v>52</v>
      </c>
      <c r="B80" t="n">
        <v>1</v>
      </c>
      <c r="G80" t="inlineStr">
        <is>
          <t>moeda</t>
        </is>
      </c>
      <c r="H80" t="inlineStr">
        <is>
          <t>Sugar &amp; Bioenergy - lucro do segmento (USD)</t>
        </is>
      </c>
      <c r="J80" t="inlineStr">
        <is>
          <t>fonte</t>
        </is>
      </c>
      <c r="K80" s="512" t="n">
        <v>2000000</v>
      </c>
      <c r="L80" s="512" t="n">
        <v>0</v>
      </c>
      <c r="M80" s="512" t="n">
        <v>5000000</v>
      </c>
      <c r="N80" s="512" t="n"/>
      <c r="O80" s="512" t="n">
        <v>0</v>
      </c>
      <c r="P80" s="512" t="n">
        <v>1000000</v>
      </c>
      <c r="Q80" s="512" t="n">
        <v>2000000</v>
      </c>
      <c r="R80" s="512" t="n"/>
      <c r="S80" s="512" t="n">
        <v>2000000</v>
      </c>
      <c r="T80" s="512" t="n">
        <v>2000000</v>
      </c>
      <c r="U80" s="512" t="n">
        <v>2000000</v>
      </c>
      <c r="V80" s="512" t="n"/>
      <c r="W80" s="512" t="n">
        <v>0</v>
      </c>
      <c r="X80" s="512" t="n">
        <v>2000000</v>
      </c>
      <c r="Y80" s="512" t="n">
        <v>2000000</v>
      </c>
      <c r="Z80" s="512" t="n"/>
      <c r="AA80" s="512" t="n">
        <v>1000000</v>
      </c>
      <c r="AB80" s="512" t="n">
        <v>1000000</v>
      </c>
      <c r="AC80" s="512" t="n">
        <v>1000000</v>
      </c>
      <c r="AD80" s="512" t="n"/>
      <c r="AE80" s="512" t="n"/>
      <c r="AF80" s="512" t="n"/>
      <c r="AG80" s="512" t="n"/>
      <c r="AH80" s="512" t="n"/>
      <c r="AI80" s="512" t="n"/>
      <c r="AJ80" s="512" t="n"/>
    </row>
    <row r="81">
      <c r="A81" t="n">
        <v>53</v>
      </c>
      <c r="B81" t="n">
        <v>1</v>
      </c>
      <c r="G81" t="inlineStr">
        <is>
          <t>moeda</t>
        </is>
      </c>
      <c r="H81" t="inlineStr">
        <is>
          <t>Corporate &amp; Other - receita (USD)</t>
        </is>
      </c>
      <c r="J81" t="inlineStr">
        <is>
          <t>fonte</t>
        </is>
      </c>
      <c r="K81" s="512" t="n"/>
      <c r="L81" s="512" t="n"/>
      <c r="M81" s="512" t="n">
        <v>0</v>
      </c>
      <c r="N81" s="512" t="n">
        <v>0</v>
      </c>
      <c r="O81" s="512" t="n">
        <v>0</v>
      </c>
      <c r="P81" s="512" t="n">
        <v>0</v>
      </c>
      <c r="Q81" s="512" t="n">
        <v>2000000</v>
      </c>
      <c r="R81" s="512" t="n">
        <v>2000000</v>
      </c>
      <c r="S81" s="512" t="n">
        <v>6000000</v>
      </c>
      <c r="T81" s="512" t="n">
        <v>7000000</v>
      </c>
      <c r="U81" s="512" t="n">
        <v>11000000</v>
      </c>
      <c r="V81" s="512" t="n">
        <v>11000000</v>
      </c>
      <c r="W81" s="512" t="n">
        <v>9000000</v>
      </c>
      <c r="X81" s="512" t="n">
        <v>11000000</v>
      </c>
      <c r="Y81" s="512" t="n">
        <v>9000000</v>
      </c>
      <c r="Z81" s="512" t="n">
        <v>13000000</v>
      </c>
      <c r="AA81" s="512" t="n">
        <v>56000000</v>
      </c>
      <c r="AB81" s="512" t="n">
        <v>62000000</v>
      </c>
      <c r="AC81" s="512" t="n">
        <v>1000000</v>
      </c>
      <c r="AD81" s="512" t="n">
        <v>15000000</v>
      </c>
      <c r="AE81" s="512" t="n">
        <v>0</v>
      </c>
      <c r="AF81" s="512" t="n">
        <v>2000000</v>
      </c>
      <c r="AG81" s="512" t="n"/>
      <c r="AH81" s="512" t="n"/>
      <c r="AI81" s="512" t="n"/>
      <c r="AJ81" s="512" t="n"/>
    </row>
    <row r="82">
      <c r="A82" t="n">
        <v>54</v>
      </c>
      <c r="B82" t="n">
        <v>1</v>
      </c>
      <c r="G82" t="inlineStr">
        <is>
          <t>moeda</t>
        </is>
      </c>
      <c r="H82" t="inlineStr">
        <is>
          <t>Nova estrutura - Soybean Processing &amp; Refining (USD)</t>
        </is>
      </c>
      <c r="J82" t="inlineStr">
        <is>
          <t>fonte</t>
        </is>
      </c>
      <c r="K82" s="512" t="n"/>
      <c r="L82" s="512" t="n"/>
      <c r="M82" s="512" t="n"/>
      <c r="N82" s="512" t="n"/>
      <c r="O82" s="512" t="n"/>
      <c r="P82" s="512" t="n"/>
      <c r="Q82" s="512" t="n"/>
      <c r="R82" s="512" t="n"/>
      <c r="S82" s="512" t="n"/>
      <c r="T82" s="512" t="n"/>
      <c r="U82" s="512" t="n"/>
      <c r="V82" s="512" t="n"/>
      <c r="W82" s="512" t="n"/>
      <c r="X82" s="512" t="n"/>
      <c r="Y82" s="512" t="n"/>
      <c r="Z82" s="512" t="n"/>
      <c r="AA82" s="512" t="n"/>
      <c r="AB82" s="512" t="n"/>
      <c r="AC82" s="512" t="n">
        <v>7857000000</v>
      </c>
      <c r="AD82" s="512" t="n">
        <v>8374000000</v>
      </c>
      <c r="AE82" s="512" t="n">
        <v>6661000000</v>
      </c>
      <c r="AF82" s="512" t="n">
        <v>7750000000</v>
      </c>
      <c r="AG82" s="512" t="n">
        <v>10857000000</v>
      </c>
      <c r="AH82" s="512" t="n">
        <v>11045000000</v>
      </c>
      <c r="AI82" s="512" t="n">
        <v>9552000000</v>
      </c>
      <c r="AJ82" s="512" t="n">
        <v>12071000000</v>
      </c>
    </row>
    <row r="83">
      <c r="A83" t="n">
        <v>55</v>
      </c>
      <c r="B83" t="n">
        <v>1</v>
      </c>
      <c r="G83" t="inlineStr">
        <is>
          <t>moeda</t>
        </is>
      </c>
      <c r="H83" t="inlineStr">
        <is>
          <t>Nova estrutura - Softseed Processing &amp; Refining (USD)</t>
        </is>
      </c>
      <c r="J83" t="inlineStr">
        <is>
          <t>fonte</t>
        </is>
      </c>
      <c r="K83" s="512" t="n"/>
      <c r="L83" s="512" t="n"/>
      <c r="M83" s="512" t="n"/>
      <c r="N83" s="512" t="n"/>
      <c r="O83" s="512" t="n"/>
      <c r="P83" s="512" t="n"/>
      <c r="Q83" s="512" t="n"/>
      <c r="R83" s="512" t="n"/>
      <c r="S83" s="512" t="n"/>
      <c r="T83" s="512" t="n"/>
      <c r="U83" s="512" t="n"/>
      <c r="V83" s="512" t="n"/>
      <c r="W83" s="512" t="n"/>
      <c r="X83" s="512" t="n"/>
      <c r="Y83" s="512" t="n"/>
      <c r="Z83" s="512" t="n"/>
      <c r="AA83" s="512" t="n"/>
      <c r="AB83" s="512" t="n"/>
      <c r="AC83" s="512" t="n">
        <v>1589000000</v>
      </c>
      <c r="AD83" s="512" t="n">
        <v>1808000000</v>
      </c>
      <c r="AE83" s="512" t="n">
        <v>1515000000</v>
      </c>
      <c r="AF83" s="512" t="n">
        <v>1531000000</v>
      </c>
      <c r="AG83" s="512" t="n">
        <v>3661000000</v>
      </c>
      <c r="AH83" s="512" t="n">
        <v>4545000000</v>
      </c>
      <c r="AI83" s="512" t="n">
        <v>3904000000</v>
      </c>
      <c r="AJ83" s="512" t="n">
        <v>4095000000</v>
      </c>
    </row>
    <row r="84">
      <c r="A84" t="n">
        <v>56</v>
      </c>
      <c r="B84" t="n">
        <v>1</v>
      </c>
      <c r="G84" t="inlineStr">
        <is>
          <t>moeda</t>
        </is>
      </c>
      <c r="H84" t="inlineStr">
        <is>
          <t>Nova estrutura - Tropical Oils &amp; Specialty Ingredients (USD)</t>
        </is>
      </c>
      <c r="J84" t="inlineStr">
        <is>
          <t>fonte</t>
        </is>
      </c>
      <c r="K84" s="512" t="n"/>
      <c r="L84" s="512" t="n"/>
      <c r="M84" s="512" t="n"/>
      <c r="N84" s="512" t="n"/>
      <c r="O84" s="512" t="n"/>
      <c r="P84" s="512" t="n"/>
      <c r="Q84" s="512" t="n"/>
      <c r="R84" s="512" t="n"/>
      <c r="S84" s="512" t="n"/>
      <c r="T84" s="512" t="n"/>
      <c r="U84" s="512" t="n"/>
      <c r="V84" s="512" t="n"/>
      <c r="W84" s="512" t="n"/>
      <c r="X84" s="512" t="n"/>
      <c r="Y84" s="512" t="n"/>
      <c r="Z84" s="512" t="n"/>
      <c r="AA84" s="512" t="n"/>
      <c r="AB84" s="512" t="n"/>
      <c r="AC84" s="512" t="n"/>
      <c r="AD84" s="512" t="n"/>
      <c r="AE84" s="512" t="n">
        <v>1083000000</v>
      </c>
      <c r="AF84" s="512" t="n">
        <v>1152000000</v>
      </c>
      <c r="AG84" s="512" t="n"/>
      <c r="AH84" s="512" t="n"/>
      <c r="AI84" s="512" t="n">
        <v>1228000000</v>
      </c>
      <c r="AJ84" s="512" t="n">
        <v>1259000000</v>
      </c>
    </row>
    <row r="85">
      <c r="A85" t="n">
        <v>57</v>
      </c>
      <c r="B85" t="n">
        <v>1</v>
      </c>
      <c r="G85" t="inlineStr">
        <is>
          <t>moeda</t>
        </is>
      </c>
      <c r="H85" t="inlineStr">
        <is>
          <t>Nova estrutura - Grain Merchandising &amp; Milling (USD)</t>
        </is>
      </c>
      <c r="J85" t="inlineStr">
        <is>
          <t>fonte</t>
        </is>
      </c>
      <c r="K85" s="512" t="n"/>
      <c r="L85" s="512" t="n"/>
      <c r="M85" s="512" t="n"/>
      <c r="N85" s="512" t="n"/>
      <c r="O85" s="512" t="n"/>
      <c r="P85" s="512" t="n"/>
      <c r="Q85" s="512" t="n"/>
      <c r="R85" s="512" t="n"/>
      <c r="S85" s="512" t="n"/>
      <c r="T85" s="512" t="n"/>
      <c r="U85" s="512" t="n"/>
      <c r="V85" s="512" t="n"/>
      <c r="W85" s="512" t="n"/>
      <c r="X85" s="512" t="n"/>
      <c r="Y85" s="512" t="n"/>
      <c r="Z85" s="512" t="n"/>
      <c r="AA85" s="512" t="n"/>
      <c r="AB85" s="512" t="n"/>
      <c r="AC85" s="512" t="n">
        <v>2397000000</v>
      </c>
      <c r="AD85" s="512" t="n">
        <v>2242000000</v>
      </c>
      <c r="AE85" s="512" t="n">
        <v>2384000000</v>
      </c>
      <c r="AF85" s="512" t="n">
        <v>2334000000</v>
      </c>
      <c r="AG85" s="512" t="n">
        <v>6428000000</v>
      </c>
      <c r="AH85" s="512" t="n">
        <v>6982000000</v>
      </c>
      <c r="AI85" s="512" t="n">
        <v>7177000000</v>
      </c>
      <c r="AJ85" s="512" t="n">
        <v>6614000000</v>
      </c>
    </row>
    <row r="86">
      <c r="A86" t="n">
        <v>58</v>
      </c>
      <c r="B86" t="n">
        <v>1</v>
      </c>
      <c r="G86" t="inlineStr">
        <is>
          <t>moeda</t>
        </is>
      </c>
      <c r="H86" t="inlineStr">
        <is>
          <t>Nova estrutura - Corporate &amp; Other (USD)</t>
        </is>
      </c>
      <c r="J86" t="inlineStr">
        <is>
          <t>fonte</t>
        </is>
      </c>
      <c r="K86" s="512" t="n"/>
      <c r="L86" s="512" t="n"/>
      <c r="M86" s="512" t="n"/>
      <c r="N86" s="512" t="n"/>
      <c r="O86" s="512" t="n"/>
      <c r="P86" s="512" t="n"/>
      <c r="Q86" s="512" t="n"/>
      <c r="R86" s="512" t="n"/>
      <c r="S86" s="512" t="n"/>
      <c r="T86" s="512" t="n"/>
      <c r="U86" s="512" t="n"/>
      <c r="V86" s="512" t="n"/>
      <c r="W86" s="512" t="n"/>
      <c r="X86" s="512" t="n"/>
      <c r="Y86" s="512" t="n"/>
      <c r="Z86" s="512" t="n"/>
      <c r="AA86" s="512" t="n"/>
      <c r="AB86" s="512" t="n"/>
      <c r="AC86" s="512" t="n">
        <v>1000000</v>
      </c>
      <c r="AD86" s="512" t="n">
        <v>52000000</v>
      </c>
      <c r="AE86" s="512" t="n">
        <v>0</v>
      </c>
      <c r="AF86" s="512" t="n">
        <v>2000000</v>
      </c>
      <c r="AG86" s="512" t="n">
        <v>2000000</v>
      </c>
      <c r="AH86" s="512" t="n">
        <v>-1000000</v>
      </c>
      <c r="AI86" s="512" t="n">
        <v>0</v>
      </c>
      <c r="AJ86" s="512" t="n">
        <v>2000000</v>
      </c>
    </row>
    <row r="87">
      <c r="H87" t="inlineStr">
        <is>
          <t>Notas: valores dimensionais das instâncias XBRL (receita de clientes externos; vendas intersegmento excluídas). Bunge Limited (CIK 1144519) até 3T23 e Bunge Global SA (CIK 1996862) depois. No 10-K a Bunge etiqueta Refined &amp; Specialty Oils como "Edible Oil Products". A aquisição da Viterra (jul/2025) quebra a comparabilidade a partir do 3T25. Lucro bruto por segmento só nos 10-Q da estrutura antiga (sem 4T). A linha de diferença compara a receita do modelo com a soma da estrutura antiga; a partir do 3T25 só existe a nova.</t>
        </is>
      </c>
    </row>
    <row r="123">
      <c r="H123" s="511" t="inlineStr">
        <is>
          <t>CONVENCOES</t>
        </is>
      </c>
    </row>
    <row r="124">
      <c r="H124" t="inlineStr">
        <is>
          <t>Linhas de origem: 5 a 87. As formulas da Inputs (2) varrem as linhas 5 a 120; as linhas 88 a 120 estao livres para novas contas.</t>
        </is>
      </c>
    </row>
    <row r="125">
      <c r="H125" t="inlineStr">
        <is>
          <t>Periodos: colunas K a AJ = trimestres-calendário 1Q20 a 2Q26 (linha 2: trimestre fiscal correspondente).</t>
        </is>
      </c>
    </row>
    <row r="126">
      <c r="H126" t="inlineStr">
        <is>
          <t>Brutos em USD unidades: fator da célula B1 = 0,000001 converte para USD milhões nas linhas UNID = moeda.</t>
        </is>
      </c>
    </row>
    <row r="127">
      <c r="H127" t="inlineStr">
        <is>
          <t>ORIGEM: fonte = copiado da SEC; memoria = como divulgado, sem codigo; derivada = formula nesta aba ou desacumulado na extração.</t>
        </is>
      </c>
    </row>
    <row r="128">
      <c r="H128" t="inlineStr">
        <is>
          <t>Balanço: contas de face sem mapeamento específico vão para "outros" do seu bloco (ativo circulante 16, não circulante 22, passivo circulante 26, não circulante 34, PL 40).</t>
        </is>
      </c>
    </row>
    <row r="129">
      <c r="H129" t="inlineStr">
        <is>
          <t>Codigos 45 a 58: drivers de receita (memoria); alimentam o bloco logo abaixo da receita liquida no Model.</t>
        </is>
      </c>
    </row>
    <row r="133" ht="15" customHeight="1" s="255">
      <c r="H133" s="256" t="n"/>
    </row>
    <row r="134" ht="15" customHeight="1" s="255">
      <c r="H134" s="254" t="n"/>
    </row>
    <row r="135" ht="15" customHeight="1" s="255">
      <c r="H135" s="254" t="n"/>
    </row>
    <row r="136" ht="15" customHeight="1" s="255">
      <c r="H136" s="254" t="n"/>
    </row>
    <row r="137" ht="15" customHeight="1" s="255">
      <c r="H137" s="254" t="n"/>
    </row>
    <row r="138" ht="15" customHeight="1" s="255">
      <c r="H138" s="254" t="n"/>
    </row>
    <row r="139"/>
    <row r="140"/>
    <row r="141"/>
    <row r="142"/>
    <row r="143"/>
    <row r="144"/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N66"/>
  <sheetViews>
    <sheetView showFormulas="0" showGridLines="0" showRowColHeaders="1" showZeros="1" rightToLeft="0" tabSelected="0" showOutlineSymbols="1" defaultGridColor="1" view="normal" topLeftCell="A1" colorId="64" zoomScale="85" zoomScaleNormal="85" zoomScalePageLayoutView="100" workbookViewId="0">
      <pane xSplit="3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4" activeCellId="0" sqref="G24"/>
    </sheetView>
  </sheetViews>
  <sheetFormatPr baseColWidth="8" defaultColWidth="9.140625" defaultRowHeight="12.75" zeroHeight="0" outlineLevelRow="0"/>
  <cols>
    <col width="2.28" customWidth="1" style="259" min="1" max="1"/>
    <col width="4.42" customWidth="1" style="259" min="2" max="2"/>
    <col width="53.14" customWidth="1" style="260" min="3" max="3"/>
    <col width="8.140000000000001" customWidth="1" style="259" min="4" max="4"/>
    <col width="9.279999999999999" customWidth="1" style="259" min="5" max="7"/>
    <col width="10" customWidth="1" style="259" min="8" max="8"/>
    <col width="8.140000000000001" customWidth="1" style="259" min="9" max="9"/>
    <col width="9.279999999999999" customWidth="1" style="259" min="10" max="12"/>
    <col width="10" customWidth="1" style="259" min="13" max="13"/>
    <col width="8.140000000000001" customWidth="1" style="259" min="14" max="14"/>
    <col width="9.279999999999999" customWidth="1" style="259" min="15" max="16"/>
    <col width="10" customWidth="1" style="259" min="17" max="18"/>
    <col width="8.140000000000001" customWidth="1" style="259" min="19" max="19"/>
    <col width="9.279999999999999" customWidth="1" style="259" min="20" max="20"/>
    <col width="10" customWidth="1" style="259" min="21" max="23"/>
    <col width="8.140000000000001" customWidth="1" style="259" min="24" max="24"/>
    <col width="10" customWidth="1" style="259" min="25" max="27"/>
    <col width="10.42" customWidth="1" style="259" min="28" max="28"/>
    <col width="9.279999999999999" customWidth="1" style="259" min="29" max="29"/>
    <col width="11.71" customWidth="1" style="259" min="30" max="31"/>
    <col width="12.71" customWidth="1" style="259" min="32" max="32"/>
    <col width="10.28" customWidth="1" style="259" min="33" max="33"/>
    <col width="9.279999999999999" customWidth="1" style="260" min="34" max="54"/>
    <col width="9.710000000000001" customWidth="1" style="260" min="55" max="55"/>
    <col width="9.140000000000001" customWidth="1" style="260" min="56" max="16384"/>
  </cols>
  <sheetData>
    <row r="1" ht="12.75" customFormat="1" customHeight="1" s="259">
      <c r="A1" s="259">
        <f>COUNTIF($B$3:$B$1048576,$B$1)</f>
        <v>1</v>
      </c>
      <c r="B1" s="259">
        <f>MAX($B$3:$B$1048576)</f>
        <v>58</v>
      </c>
    </row>
    <row r="2" ht="12.75" customFormat="1" customHeight="1" s="260">
      <c r="D2" s="261" t="inlineStr">
        <is>
          <t>1Q21</t>
        </is>
      </c>
      <c r="E2" s="261" t="inlineStr">
        <is>
          <t>2Q21</t>
        </is>
      </c>
      <c r="F2" s="261" t="inlineStr">
        <is>
          <t>3Q21</t>
        </is>
      </c>
      <c r="G2" s="261" t="inlineStr">
        <is>
          <t>4Q21</t>
        </is>
      </c>
      <c r="H2" s="262" t="n">
        <v>2021</v>
      </c>
      <c r="I2" s="261" t="inlineStr">
        <is>
          <t>1Q22</t>
        </is>
      </c>
      <c r="J2" s="261" t="inlineStr">
        <is>
          <t>2Q22</t>
        </is>
      </c>
      <c r="K2" s="261" t="inlineStr">
        <is>
          <t>3Q22</t>
        </is>
      </c>
      <c r="L2" s="261" t="inlineStr">
        <is>
          <t>4Q22</t>
        </is>
      </c>
      <c r="M2" s="262" t="n">
        <v>2022</v>
      </c>
      <c r="N2" s="261" t="inlineStr">
        <is>
          <t>1Q23</t>
        </is>
      </c>
      <c r="O2" s="261" t="inlineStr">
        <is>
          <t>2Q23</t>
        </is>
      </c>
      <c r="P2" s="261" t="inlineStr">
        <is>
          <t>3Q23</t>
        </is>
      </c>
      <c r="Q2" s="261" t="inlineStr">
        <is>
          <t>4Q23</t>
        </is>
      </c>
      <c r="R2" s="262" t="n">
        <v>2023</v>
      </c>
      <c r="S2" s="261" t="inlineStr">
        <is>
          <t>1Q24</t>
        </is>
      </c>
      <c r="T2" s="261" t="inlineStr">
        <is>
          <t>2Q24</t>
        </is>
      </c>
      <c r="U2" s="261" t="inlineStr">
        <is>
          <t>3Q24</t>
        </is>
      </c>
      <c r="V2" s="261" t="inlineStr">
        <is>
          <t>4Q24</t>
        </is>
      </c>
      <c r="W2" s="262" t="n">
        <v>2024</v>
      </c>
      <c r="X2" s="261" t="inlineStr">
        <is>
          <t>1Q25</t>
        </is>
      </c>
      <c r="Y2" s="261" t="inlineStr">
        <is>
          <t>2Q25</t>
        </is>
      </c>
      <c r="Z2" s="261" t="inlineStr">
        <is>
          <t>3Q25</t>
        </is>
      </c>
      <c r="AA2" s="261" t="inlineStr">
        <is>
          <t>4Q25</t>
        </is>
      </c>
      <c r="AB2" s="262" t="n">
        <v>2025</v>
      </c>
      <c r="AC2" s="261" t="inlineStr">
        <is>
          <t>1Q26</t>
        </is>
      </c>
      <c r="AD2" s="261" t="inlineStr">
        <is>
          <t>2Q26</t>
        </is>
      </c>
      <c r="AE2" s="263" t="inlineStr">
        <is>
          <t>3Q26</t>
        </is>
      </c>
      <c r="AF2" s="263" t="inlineStr">
        <is>
          <t>4Q26</t>
        </is>
      </c>
      <c r="AG2" s="264" t="n">
        <v>2026</v>
      </c>
      <c r="AH2" s="261" t="inlineStr">
        <is>
          <t>1Q20</t>
        </is>
      </c>
      <c r="AI2" s="261" t="inlineStr">
        <is>
          <t>2Q20</t>
        </is>
      </c>
      <c r="AJ2" s="261" t="inlineStr">
        <is>
          <t>3Q20</t>
        </is>
      </c>
      <c r="AK2" s="261" t="inlineStr">
        <is>
          <t>4Q20</t>
        </is>
      </c>
      <c r="AL2" s="262" t="n">
        <v>2020</v>
      </c>
      <c r="AN2" s="260" t="inlineStr">
        <is>
          <t>Sem dado na fonte: 3Q26, 4Q26 e 2026 (rotulo em cinza). 2020 fica nas colunas AH-AL.</t>
        </is>
      </c>
    </row>
    <row r="3"/>
    <row r="4" ht="12.75" customHeight="1" s="255">
      <c r="B4" s="265" t="n">
        <v>1</v>
      </c>
      <c r="C4" s="266" t="inlineStr">
        <is>
          <t>Net Revenues</t>
        </is>
      </c>
      <c r="D4" s="267">
        <f>IF(ISNA(MATCH(D$2,Inputs!$K$4:$AJ$4,0)),NA(),IF(SUMPRODUCT((Inputs!$A$5:$A$120=$B4)*ISNUMBER(INDEX(Inputs!$K$5:$AJ$120,0,MATCH(D$2,Inputs!$K$4:$AJ$4,0))))+SUMPRODUCT((Inputs!$C$5:$C$120=$B4)*ISNUMBER(INDEX(Inputs!$K$5:$AJ$120,0,MATCH(D$2,Inputs!$K$4:$AJ$4,0))))+SUMPRODUCT((Inputs!$E$5:$E$120=$B4)*ISNUMBER(INDEX(Inputs!$K$5:$AJ$120,0,MATCH(D$2,Inputs!$K$4:$AJ$4,0))))=0,NA(),SUMPRODUCT((Inputs!$A$5:$A$120=$B4)*Inputs!$B$5:$B$120*(((Inputs!$G$5:$G$120="moeda")+(Inputs!$G$5:$G$120="acoes"))*Inputs!$B$1+((Inputs!$G$5:$G$120&lt;&gt;"moeda")*(Inputs!$G$5:$G$120&lt;&gt;"acoes")))*INDEX(Inputs!$K$5:$AJ$120,0,MATCH(D$2,Inputs!$K$4:$AJ$4,0)))+SUMPRODUCT((Inputs!$C$5:$C$120=$B4)*Inputs!$D$5:$D$120*(((Inputs!$G$5:$G$120="moeda")+(Inputs!$G$5:$G$120="acoes"))*Inputs!$B$1+((Inputs!$G$5:$G$120&lt;&gt;"moeda")*(Inputs!$G$5:$G$120&lt;&gt;"acoes")))*INDEX(Inputs!$K$5:$AJ$120,0,MATCH(D$2,Inputs!$K$4:$AJ$4,0)))+SUMPRODUCT((Inputs!$E$5:$E$120=$B4)*Inputs!$F$5:$F$120*(((Inputs!$G$5:$G$120="moeda")+(Inputs!$G$5:$G$120="acoes"))*Inputs!$B$1+((Inputs!$G$5:$G$120&lt;&gt;"moeda")*(Inputs!$G$5:$G$120&lt;&gt;"acoes")))*INDEX(Inputs!$K$5:$AJ$120,0,MATCH(D$2,Inputs!$K$4:$AJ$4,0)))))</f>
        <v>12961</v>
      </c>
      <c r="E4" s="267">
        <f>IF(ISNA(MATCH(E$2,Inputs!$K$4:$AJ$4,0)),NA(),IF(SUMPRODUCT((Inputs!$A$5:$A$120=$B4)*ISNUMBER(INDEX(Inputs!$K$5:$AJ$120,0,MATCH(E$2,Inputs!$K$4:$AJ$4,0))))+SUMPRODUCT((Inputs!$C$5:$C$120=$B4)*ISNUMBER(INDEX(Inputs!$K$5:$AJ$120,0,MATCH(E$2,Inputs!$K$4:$AJ$4,0))))+SUMPRODUCT((Inputs!$E$5:$E$120=$B4)*ISNUMBER(INDEX(Inputs!$K$5:$AJ$120,0,MATCH(E$2,Inputs!$K$4:$AJ$4,0))))=0,NA(),SUMPRODUCT((Inputs!$A$5:$A$120=$B4)*Inputs!$B$5:$B$120*(((Inputs!$G$5:$G$120="moeda")+(Inputs!$G$5:$G$120="acoes"))*Inputs!$B$1+((Inputs!$G$5:$G$120&lt;&gt;"moeda")*(Inputs!$G$5:$G$120&lt;&gt;"acoes")))*INDEX(Inputs!$K$5:$AJ$120,0,MATCH(E$2,Inputs!$K$4:$AJ$4,0)))+SUMPRODUCT((Inputs!$C$5:$C$120=$B4)*Inputs!$D$5:$D$120*(((Inputs!$G$5:$G$120="moeda")+(Inputs!$G$5:$G$120="acoes"))*Inputs!$B$1+((Inputs!$G$5:$G$120&lt;&gt;"moeda")*(Inputs!$G$5:$G$120&lt;&gt;"acoes")))*INDEX(Inputs!$K$5:$AJ$120,0,MATCH(E$2,Inputs!$K$4:$AJ$4,0)))+SUMPRODUCT((Inputs!$E$5:$E$120=$B4)*Inputs!$F$5:$F$120*(((Inputs!$G$5:$G$120="moeda")+(Inputs!$G$5:$G$120="acoes"))*Inputs!$B$1+((Inputs!$G$5:$G$120&lt;&gt;"moeda")*(Inputs!$G$5:$G$120&lt;&gt;"acoes")))*INDEX(Inputs!$K$5:$AJ$120,0,MATCH(E$2,Inputs!$K$4:$AJ$4,0)))))</f>
        <v>15391</v>
      </c>
      <c r="F4" s="267">
        <f>IF(ISNA(MATCH(F$2,Inputs!$K$4:$AJ$4,0)),NA(),IF(SUMPRODUCT((Inputs!$A$5:$A$120=$B4)*ISNUMBER(INDEX(Inputs!$K$5:$AJ$120,0,MATCH(F$2,Inputs!$K$4:$AJ$4,0))))+SUMPRODUCT((Inputs!$C$5:$C$120=$B4)*ISNUMBER(INDEX(Inputs!$K$5:$AJ$120,0,MATCH(F$2,Inputs!$K$4:$AJ$4,0))))+SUMPRODUCT((Inputs!$E$5:$E$120=$B4)*ISNUMBER(INDEX(Inputs!$K$5:$AJ$120,0,MATCH(F$2,Inputs!$K$4:$AJ$4,0))))=0,NA(),SUMPRODUCT((Inputs!$A$5:$A$120=$B4)*Inputs!$B$5:$B$120*(((Inputs!$G$5:$G$120="moeda")+(Inputs!$G$5:$G$120="acoes"))*Inputs!$B$1+((Inputs!$G$5:$G$120&lt;&gt;"moeda")*(Inputs!$G$5:$G$120&lt;&gt;"acoes")))*INDEX(Inputs!$K$5:$AJ$120,0,MATCH(F$2,Inputs!$K$4:$AJ$4,0)))+SUMPRODUCT((Inputs!$C$5:$C$120=$B4)*Inputs!$D$5:$D$120*(((Inputs!$G$5:$G$120="moeda")+(Inputs!$G$5:$G$120="acoes"))*Inputs!$B$1+((Inputs!$G$5:$G$120&lt;&gt;"moeda")*(Inputs!$G$5:$G$120&lt;&gt;"acoes")))*INDEX(Inputs!$K$5:$AJ$120,0,MATCH(F$2,Inputs!$K$4:$AJ$4,0)))+SUMPRODUCT((Inputs!$E$5:$E$120=$B4)*Inputs!$F$5:$F$120*(((Inputs!$G$5:$G$120="moeda")+(Inputs!$G$5:$G$120="acoes"))*Inputs!$B$1+((Inputs!$G$5:$G$120&lt;&gt;"moeda")*(Inputs!$G$5:$G$120&lt;&gt;"acoes")))*INDEX(Inputs!$K$5:$AJ$120,0,MATCH(F$2,Inputs!$K$4:$AJ$4,0)))))</f>
        <v>14117</v>
      </c>
      <c r="G4" s="267">
        <f>IF(ISNA(MATCH(G$2,Inputs!$K$4:$AJ$4,0)),NA(),IF(SUMPRODUCT((Inputs!$A$5:$A$120=$B4)*ISNUMBER(INDEX(Inputs!$K$5:$AJ$120,0,MATCH(G$2,Inputs!$K$4:$AJ$4,0))))+SUMPRODUCT((Inputs!$C$5:$C$120=$B4)*ISNUMBER(INDEX(Inputs!$K$5:$AJ$120,0,MATCH(G$2,Inputs!$K$4:$AJ$4,0))))+SUMPRODUCT((Inputs!$E$5:$E$120=$B4)*ISNUMBER(INDEX(Inputs!$K$5:$AJ$120,0,MATCH(G$2,Inputs!$K$4:$AJ$4,0))))=0,NA(),SUMPRODUCT((Inputs!$A$5:$A$120=$B4)*Inputs!$B$5:$B$120*(((Inputs!$G$5:$G$120="moeda")+(Inputs!$G$5:$G$120="acoes"))*Inputs!$B$1+((Inputs!$G$5:$G$120&lt;&gt;"moeda")*(Inputs!$G$5:$G$120&lt;&gt;"acoes")))*INDEX(Inputs!$K$5:$AJ$120,0,MATCH(G$2,Inputs!$K$4:$AJ$4,0)))+SUMPRODUCT((Inputs!$C$5:$C$120=$B4)*Inputs!$D$5:$D$120*(((Inputs!$G$5:$G$120="moeda")+(Inputs!$G$5:$G$120="acoes"))*Inputs!$B$1+((Inputs!$G$5:$G$120&lt;&gt;"moeda")*(Inputs!$G$5:$G$120&lt;&gt;"acoes")))*INDEX(Inputs!$K$5:$AJ$120,0,MATCH(G$2,Inputs!$K$4:$AJ$4,0)))+SUMPRODUCT((Inputs!$E$5:$E$120=$B4)*Inputs!$F$5:$F$120*(((Inputs!$G$5:$G$120="moeda")+(Inputs!$G$5:$G$120="acoes"))*Inputs!$B$1+((Inputs!$G$5:$G$120&lt;&gt;"moeda")*(Inputs!$G$5:$G$120&lt;&gt;"acoes")))*INDEX(Inputs!$K$5:$AJ$120,0,MATCH(G$2,Inputs!$K$4:$AJ$4,0)))))</f>
        <v>16683</v>
      </c>
      <c r="H4" s="268">
        <f>SUM(D4:G4)</f>
        <v>59152</v>
      </c>
      <c r="I4" s="267">
        <f>IF(ISNA(MATCH(I$2,Inputs!$K$4:$AJ$4,0)),NA(),IF(SUMPRODUCT((Inputs!$A$5:$A$120=$B4)*ISNUMBER(INDEX(Inputs!$K$5:$AJ$120,0,MATCH(I$2,Inputs!$K$4:$AJ$4,0))))+SUMPRODUCT((Inputs!$C$5:$C$120=$B4)*ISNUMBER(INDEX(Inputs!$K$5:$AJ$120,0,MATCH(I$2,Inputs!$K$4:$AJ$4,0))))+SUMPRODUCT((Inputs!$E$5:$E$120=$B4)*ISNUMBER(INDEX(Inputs!$K$5:$AJ$120,0,MATCH(I$2,Inputs!$K$4:$AJ$4,0))))=0,NA(),SUMPRODUCT((Inputs!$A$5:$A$120=$B4)*Inputs!$B$5:$B$120*(((Inputs!$G$5:$G$120="moeda")+(Inputs!$G$5:$G$120="acoes"))*Inputs!$B$1+((Inputs!$G$5:$G$120&lt;&gt;"moeda")*(Inputs!$G$5:$G$120&lt;&gt;"acoes")))*INDEX(Inputs!$K$5:$AJ$120,0,MATCH(I$2,Inputs!$K$4:$AJ$4,0)))+SUMPRODUCT((Inputs!$C$5:$C$120=$B4)*Inputs!$D$5:$D$120*(((Inputs!$G$5:$G$120="moeda")+(Inputs!$G$5:$G$120="acoes"))*Inputs!$B$1+((Inputs!$G$5:$G$120&lt;&gt;"moeda")*(Inputs!$G$5:$G$120&lt;&gt;"acoes")))*INDEX(Inputs!$K$5:$AJ$120,0,MATCH(I$2,Inputs!$K$4:$AJ$4,0)))+SUMPRODUCT((Inputs!$E$5:$E$120=$B4)*Inputs!$F$5:$F$120*(((Inputs!$G$5:$G$120="moeda")+(Inputs!$G$5:$G$120="acoes"))*Inputs!$B$1+((Inputs!$G$5:$G$120&lt;&gt;"moeda")*(Inputs!$G$5:$G$120&lt;&gt;"acoes")))*INDEX(Inputs!$K$5:$AJ$120,0,MATCH(I$2,Inputs!$K$4:$AJ$4,0)))))</f>
        <v>15880</v>
      </c>
      <c r="J4" s="267">
        <f>IF(ISNA(MATCH(J$2,Inputs!$K$4:$AJ$4,0)),NA(),IF(SUMPRODUCT((Inputs!$A$5:$A$120=$B4)*ISNUMBER(INDEX(Inputs!$K$5:$AJ$120,0,MATCH(J$2,Inputs!$K$4:$AJ$4,0))))+SUMPRODUCT((Inputs!$C$5:$C$120=$B4)*ISNUMBER(INDEX(Inputs!$K$5:$AJ$120,0,MATCH(J$2,Inputs!$K$4:$AJ$4,0))))+SUMPRODUCT((Inputs!$E$5:$E$120=$B4)*ISNUMBER(INDEX(Inputs!$K$5:$AJ$120,0,MATCH(J$2,Inputs!$K$4:$AJ$4,0))))=0,NA(),SUMPRODUCT((Inputs!$A$5:$A$120=$B4)*Inputs!$B$5:$B$120*(((Inputs!$G$5:$G$120="moeda")+(Inputs!$G$5:$G$120="acoes"))*Inputs!$B$1+((Inputs!$G$5:$G$120&lt;&gt;"moeda")*(Inputs!$G$5:$G$120&lt;&gt;"acoes")))*INDEX(Inputs!$K$5:$AJ$120,0,MATCH(J$2,Inputs!$K$4:$AJ$4,0)))+SUMPRODUCT((Inputs!$C$5:$C$120=$B4)*Inputs!$D$5:$D$120*(((Inputs!$G$5:$G$120="moeda")+(Inputs!$G$5:$G$120="acoes"))*Inputs!$B$1+((Inputs!$G$5:$G$120&lt;&gt;"moeda")*(Inputs!$G$5:$G$120&lt;&gt;"acoes")))*INDEX(Inputs!$K$5:$AJ$120,0,MATCH(J$2,Inputs!$K$4:$AJ$4,0)))+SUMPRODUCT((Inputs!$E$5:$E$120=$B4)*Inputs!$F$5:$F$120*(((Inputs!$G$5:$G$120="moeda")+(Inputs!$G$5:$G$120="acoes"))*Inputs!$B$1+((Inputs!$G$5:$G$120&lt;&gt;"moeda")*(Inputs!$G$5:$G$120&lt;&gt;"acoes")))*INDEX(Inputs!$K$5:$AJ$120,0,MATCH(J$2,Inputs!$K$4:$AJ$4,0)))))</f>
        <v>17933</v>
      </c>
      <c r="K4" s="267">
        <f>IF(ISNA(MATCH(K$2,Inputs!$K$4:$AJ$4,0)),NA(),IF(SUMPRODUCT((Inputs!$A$5:$A$120=$B4)*ISNUMBER(INDEX(Inputs!$K$5:$AJ$120,0,MATCH(K$2,Inputs!$K$4:$AJ$4,0))))+SUMPRODUCT((Inputs!$C$5:$C$120=$B4)*ISNUMBER(INDEX(Inputs!$K$5:$AJ$120,0,MATCH(K$2,Inputs!$K$4:$AJ$4,0))))+SUMPRODUCT((Inputs!$E$5:$E$120=$B4)*ISNUMBER(INDEX(Inputs!$K$5:$AJ$120,0,MATCH(K$2,Inputs!$K$4:$AJ$4,0))))=0,NA(),SUMPRODUCT((Inputs!$A$5:$A$120=$B4)*Inputs!$B$5:$B$120*(((Inputs!$G$5:$G$120="moeda")+(Inputs!$G$5:$G$120="acoes"))*Inputs!$B$1+((Inputs!$G$5:$G$120&lt;&gt;"moeda")*(Inputs!$G$5:$G$120&lt;&gt;"acoes")))*INDEX(Inputs!$K$5:$AJ$120,0,MATCH(K$2,Inputs!$K$4:$AJ$4,0)))+SUMPRODUCT((Inputs!$C$5:$C$120=$B4)*Inputs!$D$5:$D$120*(((Inputs!$G$5:$G$120="moeda")+(Inputs!$G$5:$G$120="acoes"))*Inputs!$B$1+((Inputs!$G$5:$G$120&lt;&gt;"moeda")*(Inputs!$G$5:$G$120&lt;&gt;"acoes")))*INDEX(Inputs!$K$5:$AJ$120,0,MATCH(K$2,Inputs!$K$4:$AJ$4,0)))+SUMPRODUCT((Inputs!$E$5:$E$120=$B4)*Inputs!$F$5:$F$120*(((Inputs!$G$5:$G$120="moeda")+(Inputs!$G$5:$G$120="acoes"))*Inputs!$B$1+((Inputs!$G$5:$G$120&lt;&gt;"moeda")*(Inputs!$G$5:$G$120&lt;&gt;"acoes")))*INDEX(Inputs!$K$5:$AJ$120,0,MATCH(K$2,Inputs!$K$4:$AJ$4,0)))))</f>
        <v>16759</v>
      </c>
      <c r="L4" s="267">
        <f>IF(ISNA(MATCH(L$2,Inputs!$K$4:$AJ$4,0)),NA(),IF(SUMPRODUCT((Inputs!$A$5:$A$120=$B4)*ISNUMBER(INDEX(Inputs!$K$5:$AJ$120,0,MATCH(L$2,Inputs!$K$4:$AJ$4,0))))+SUMPRODUCT((Inputs!$C$5:$C$120=$B4)*ISNUMBER(INDEX(Inputs!$K$5:$AJ$120,0,MATCH(L$2,Inputs!$K$4:$AJ$4,0))))+SUMPRODUCT((Inputs!$E$5:$E$120=$B4)*ISNUMBER(INDEX(Inputs!$K$5:$AJ$120,0,MATCH(L$2,Inputs!$K$4:$AJ$4,0))))=0,NA(),SUMPRODUCT((Inputs!$A$5:$A$120=$B4)*Inputs!$B$5:$B$120*(((Inputs!$G$5:$G$120="moeda")+(Inputs!$G$5:$G$120="acoes"))*Inputs!$B$1+((Inputs!$G$5:$G$120&lt;&gt;"moeda")*(Inputs!$G$5:$G$120&lt;&gt;"acoes")))*INDEX(Inputs!$K$5:$AJ$120,0,MATCH(L$2,Inputs!$K$4:$AJ$4,0)))+SUMPRODUCT((Inputs!$C$5:$C$120=$B4)*Inputs!$D$5:$D$120*(((Inputs!$G$5:$G$120="moeda")+(Inputs!$G$5:$G$120="acoes"))*Inputs!$B$1+((Inputs!$G$5:$G$120&lt;&gt;"moeda")*(Inputs!$G$5:$G$120&lt;&gt;"acoes")))*INDEX(Inputs!$K$5:$AJ$120,0,MATCH(L$2,Inputs!$K$4:$AJ$4,0)))+SUMPRODUCT((Inputs!$E$5:$E$120=$B4)*Inputs!$F$5:$F$120*(((Inputs!$G$5:$G$120="moeda")+(Inputs!$G$5:$G$120="acoes"))*Inputs!$B$1+((Inputs!$G$5:$G$120&lt;&gt;"moeda")*(Inputs!$G$5:$G$120&lt;&gt;"acoes")))*INDEX(Inputs!$K$5:$AJ$120,0,MATCH(L$2,Inputs!$K$4:$AJ$4,0)))))</f>
        <v>16660</v>
      </c>
      <c r="M4" s="268">
        <f>SUM(I4:L4)</f>
        <v>67232</v>
      </c>
      <c r="N4" s="267">
        <f>IF(ISNA(MATCH(N$2,Inputs!$K$4:$AJ$4,0)),NA(),IF(SUMPRODUCT((Inputs!$A$5:$A$120=$B4)*ISNUMBER(INDEX(Inputs!$K$5:$AJ$120,0,MATCH(N$2,Inputs!$K$4:$AJ$4,0))))+SUMPRODUCT((Inputs!$C$5:$C$120=$B4)*ISNUMBER(INDEX(Inputs!$K$5:$AJ$120,0,MATCH(N$2,Inputs!$K$4:$AJ$4,0))))+SUMPRODUCT((Inputs!$E$5:$E$120=$B4)*ISNUMBER(INDEX(Inputs!$K$5:$AJ$120,0,MATCH(N$2,Inputs!$K$4:$AJ$4,0))))=0,NA(),SUMPRODUCT((Inputs!$A$5:$A$120=$B4)*Inputs!$B$5:$B$120*(((Inputs!$G$5:$G$120="moeda")+(Inputs!$G$5:$G$120="acoes"))*Inputs!$B$1+((Inputs!$G$5:$G$120&lt;&gt;"moeda")*(Inputs!$G$5:$G$120&lt;&gt;"acoes")))*INDEX(Inputs!$K$5:$AJ$120,0,MATCH(N$2,Inputs!$K$4:$AJ$4,0)))+SUMPRODUCT((Inputs!$C$5:$C$120=$B4)*Inputs!$D$5:$D$120*(((Inputs!$G$5:$G$120="moeda")+(Inputs!$G$5:$G$120="acoes"))*Inputs!$B$1+((Inputs!$G$5:$G$120&lt;&gt;"moeda")*(Inputs!$G$5:$G$120&lt;&gt;"acoes")))*INDEX(Inputs!$K$5:$AJ$120,0,MATCH(N$2,Inputs!$K$4:$AJ$4,0)))+SUMPRODUCT((Inputs!$E$5:$E$120=$B4)*Inputs!$F$5:$F$120*(((Inputs!$G$5:$G$120="moeda")+(Inputs!$G$5:$G$120="acoes"))*Inputs!$B$1+((Inputs!$G$5:$G$120&lt;&gt;"moeda")*(Inputs!$G$5:$G$120&lt;&gt;"acoes")))*INDEX(Inputs!$K$5:$AJ$120,0,MATCH(N$2,Inputs!$K$4:$AJ$4,0)))))</f>
        <v>15328</v>
      </c>
      <c r="O4" s="267">
        <f>IF(ISNA(MATCH(O$2,Inputs!$K$4:$AJ$4,0)),NA(),IF(SUMPRODUCT((Inputs!$A$5:$A$120=$B4)*ISNUMBER(INDEX(Inputs!$K$5:$AJ$120,0,MATCH(O$2,Inputs!$K$4:$AJ$4,0))))+SUMPRODUCT((Inputs!$C$5:$C$120=$B4)*ISNUMBER(INDEX(Inputs!$K$5:$AJ$120,0,MATCH(O$2,Inputs!$K$4:$AJ$4,0))))+SUMPRODUCT((Inputs!$E$5:$E$120=$B4)*ISNUMBER(INDEX(Inputs!$K$5:$AJ$120,0,MATCH(O$2,Inputs!$K$4:$AJ$4,0))))=0,NA(),SUMPRODUCT((Inputs!$A$5:$A$120=$B4)*Inputs!$B$5:$B$120*(((Inputs!$G$5:$G$120="moeda")+(Inputs!$G$5:$G$120="acoes"))*Inputs!$B$1+((Inputs!$G$5:$G$120&lt;&gt;"moeda")*(Inputs!$G$5:$G$120&lt;&gt;"acoes")))*INDEX(Inputs!$K$5:$AJ$120,0,MATCH(O$2,Inputs!$K$4:$AJ$4,0)))+SUMPRODUCT((Inputs!$C$5:$C$120=$B4)*Inputs!$D$5:$D$120*(((Inputs!$G$5:$G$120="moeda")+(Inputs!$G$5:$G$120="acoes"))*Inputs!$B$1+((Inputs!$G$5:$G$120&lt;&gt;"moeda")*(Inputs!$G$5:$G$120&lt;&gt;"acoes")))*INDEX(Inputs!$K$5:$AJ$120,0,MATCH(O$2,Inputs!$K$4:$AJ$4,0)))+SUMPRODUCT((Inputs!$E$5:$E$120=$B4)*Inputs!$F$5:$F$120*(((Inputs!$G$5:$G$120="moeda")+(Inputs!$G$5:$G$120="acoes"))*Inputs!$B$1+((Inputs!$G$5:$G$120&lt;&gt;"moeda")*(Inputs!$G$5:$G$120&lt;&gt;"acoes")))*INDEX(Inputs!$K$5:$AJ$120,0,MATCH(O$2,Inputs!$K$4:$AJ$4,0)))))</f>
        <v>15049</v>
      </c>
      <c r="P4" s="267">
        <f>IF(ISNA(MATCH(P$2,Inputs!$K$4:$AJ$4,0)),NA(),IF(SUMPRODUCT((Inputs!$A$5:$A$120=$B4)*ISNUMBER(INDEX(Inputs!$K$5:$AJ$120,0,MATCH(P$2,Inputs!$K$4:$AJ$4,0))))+SUMPRODUCT((Inputs!$C$5:$C$120=$B4)*ISNUMBER(INDEX(Inputs!$K$5:$AJ$120,0,MATCH(P$2,Inputs!$K$4:$AJ$4,0))))+SUMPRODUCT((Inputs!$E$5:$E$120=$B4)*ISNUMBER(INDEX(Inputs!$K$5:$AJ$120,0,MATCH(P$2,Inputs!$K$4:$AJ$4,0))))=0,NA(),SUMPRODUCT((Inputs!$A$5:$A$120=$B4)*Inputs!$B$5:$B$120*(((Inputs!$G$5:$G$120="moeda")+(Inputs!$G$5:$G$120="acoes"))*Inputs!$B$1+((Inputs!$G$5:$G$120&lt;&gt;"moeda")*(Inputs!$G$5:$G$120&lt;&gt;"acoes")))*INDEX(Inputs!$K$5:$AJ$120,0,MATCH(P$2,Inputs!$K$4:$AJ$4,0)))+SUMPRODUCT((Inputs!$C$5:$C$120=$B4)*Inputs!$D$5:$D$120*(((Inputs!$G$5:$G$120="moeda")+(Inputs!$G$5:$G$120="acoes"))*Inputs!$B$1+((Inputs!$G$5:$G$120&lt;&gt;"moeda")*(Inputs!$G$5:$G$120&lt;&gt;"acoes")))*INDEX(Inputs!$K$5:$AJ$120,0,MATCH(P$2,Inputs!$K$4:$AJ$4,0)))+SUMPRODUCT((Inputs!$E$5:$E$120=$B4)*Inputs!$F$5:$F$120*(((Inputs!$G$5:$G$120="moeda")+(Inputs!$G$5:$G$120="acoes"))*Inputs!$B$1+((Inputs!$G$5:$G$120&lt;&gt;"moeda")*(Inputs!$G$5:$G$120&lt;&gt;"acoes")))*INDEX(Inputs!$K$5:$AJ$120,0,MATCH(P$2,Inputs!$K$4:$AJ$4,0)))))</f>
        <v>14227</v>
      </c>
      <c r="Q4" s="267">
        <f>IF(ISNA(MATCH(Q$2,Inputs!$K$4:$AJ$4,0)),NA(),IF(SUMPRODUCT((Inputs!$A$5:$A$120=$B4)*ISNUMBER(INDEX(Inputs!$K$5:$AJ$120,0,MATCH(Q$2,Inputs!$K$4:$AJ$4,0))))+SUMPRODUCT((Inputs!$C$5:$C$120=$B4)*ISNUMBER(INDEX(Inputs!$K$5:$AJ$120,0,MATCH(Q$2,Inputs!$K$4:$AJ$4,0))))+SUMPRODUCT((Inputs!$E$5:$E$120=$B4)*ISNUMBER(INDEX(Inputs!$K$5:$AJ$120,0,MATCH(Q$2,Inputs!$K$4:$AJ$4,0))))=0,NA(),SUMPRODUCT((Inputs!$A$5:$A$120=$B4)*Inputs!$B$5:$B$120*(((Inputs!$G$5:$G$120="moeda")+(Inputs!$G$5:$G$120="acoes"))*Inputs!$B$1+((Inputs!$G$5:$G$120&lt;&gt;"moeda")*(Inputs!$G$5:$G$120&lt;&gt;"acoes")))*INDEX(Inputs!$K$5:$AJ$120,0,MATCH(Q$2,Inputs!$K$4:$AJ$4,0)))+SUMPRODUCT((Inputs!$C$5:$C$120=$B4)*Inputs!$D$5:$D$120*(((Inputs!$G$5:$G$120="moeda")+(Inputs!$G$5:$G$120="acoes"))*Inputs!$B$1+((Inputs!$G$5:$G$120&lt;&gt;"moeda")*(Inputs!$G$5:$G$120&lt;&gt;"acoes")))*INDEX(Inputs!$K$5:$AJ$120,0,MATCH(Q$2,Inputs!$K$4:$AJ$4,0)))+SUMPRODUCT((Inputs!$E$5:$E$120=$B4)*Inputs!$F$5:$F$120*(((Inputs!$G$5:$G$120="moeda")+(Inputs!$G$5:$G$120="acoes"))*Inputs!$B$1+((Inputs!$G$5:$G$120&lt;&gt;"moeda")*(Inputs!$G$5:$G$120&lt;&gt;"acoes")))*INDEX(Inputs!$K$5:$AJ$120,0,MATCH(Q$2,Inputs!$K$4:$AJ$4,0)))))</f>
        <v>14936</v>
      </c>
      <c r="R4" s="268">
        <f>SUM(N4:Q4)</f>
        <v>59540</v>
      </c>
      <c r="S4" s="267">
        <f>IF(ISNA(MATCH(S$2,Inputs!$K$4:$AJ$4,0)),NA(),IF(SUMPRODUCT((Inputs!$A$5:$A$120=$B4)*ISNUMBER(INDEX(Inputs!$K$5:$AJ$120,0,MATCH(S$2,Inputs!$K$4:$AJ$4,0))))+SUMPRODUCT((Inputs!$C$5:$C$120=$B4)*ISNUMBER(INDEX(Inputs!$K$5:$AJ$120,0,MATCH(S$2,Inputs!$K$4:$AJ$4,0))))+SUMPRODUCT((Inputs!$E$5:$E$120=$B4)*ISNUMBER(INDEX(Inputs!$K$5:$AJ$120,0,MATCH(S$2,Inputs!$K$4:$AJ$4,0))))=0,NA(),SUMPRODUCT((Inputs!$A$5:$A$120=$B4)*Inputs!$B$5:$B$120*(((Inputs!$G$5:$G$120="moeda")+(Inputs!$G$5:$G$120="acoes"))*Inputs!$B$1+((Inputs!$G$5:$G$120&lt;&gt;"moeda")*(Inputs!$G$5:$G$120&lt;&gt;"acoes")))*INDEX(Inputs!$K$5:$AJ$120,0,MATCH(S$2,Inputs!$K$4:$AJ$4,0)))+SUMPRODUCT((Inputs!$C$5:$C$120=$B4)*Inputs!$D$5:$D$120*(((Inputs!$G$5:$G$120="moeda")+(Inputs!$G$5:$G$120="acoes"))*Inputs!$B$1+((Inputs!$G$5:$G$120&lt;&gt;"moeda")*(Inputs!$G$5:$G$120&lt;&gt;"acoes")))*INDEX(Inputs!$K$5:$AJ$120,0,MATCH(S$2,Inputs!$K$4:$AJ$4,0)))+SUMPRODUCT((Inputs!$E$5:$E$120=$B4)*Inputs!$F$5:$F$120*(((Inputs!$G$5:$G$120="moeda")+(Inputs!$G$5:$G$120="acoes"))*Inputs!$B$1+((Inputs!$G$5:$G$120&lt;&gt;"moeda")*(Inputs!$G$5:$G$120&lt;&gt;"acoes")))*INDEX(Inputs!$K$5:$AJ$120,0,MATCH(S$2,Inputs!$K$4:$AJ$4,0)))))</f>
        <v>13417</v>
      </c>
      <c r="T4" s="267">
        <f>IF(ISNA(MATCH(T$2,Inputs!$K$4:$AJ$4,0)),NA(),IF(SUMPRODUCT((Inputs!$A$5:$A$120=$B4)*ISNUMBER(INDEX(Inputs!$K$5:$AJ$120,0,MATCH(T$2,Inputs!$K$4:$AJ$4,0))))+SUMPRODUCT((Inputs!$C$5:$C$120=$B4)*ISNUMBER(INDEX(Inputs!$K$5:$AJ$120,0,MATCH(T$2,Inputs!$K$4:$AJ$4,0))))+SUMPRODUCT((Inputs!$E$5:$E$120=$B4)*ISNUMBER(INDEX(Inputs!$K$5:$AJ$120,0,MATCH(T$2,Inputs!$K$4:$AJ$4,0))))=0,NA(),SUMPRODUCT((Inputs!$A$5:$A$120=$B4)*Inputs!$B$5:$B$120*(((Inputs!$G$5:$G$120="moeda")+(Inputs!$G$5:$G$120="acoes"))*Inputs!$B$1+((Inputs!$G$5:$G$120&lt;&gt;"moeda")*(Inputs!$G$5:$G$120&lt;&gt;"acoes")))*INDEX(Inputs!$K$5:$AJ$120,0,MATCH(T$2,Inputs!$K$4:$AJ$4,0)))+SUMPRODUCT((Inputs!$C$5:$C$120=$B4)*Inputs!$D$5:$D$120*(((Inputs!$G$5:$G$120="moeda")+(Inputs!$G$5:$G$120="acoes"))*Inputs!$B$1+((Inputs!$G$5:$G$120&lt;&gt;"moeda")*(Inputs!$G$5:$G$120&lt;&gt;"acoes")))*INDEX(Inputs!$K$5:$AJ$120,0,MATCH(T$2,Inputs!$K$4:$AJ$4,0)))+SUMPRODUCT((Inputs!$E$5:$E$120=$B4)*Inputs!$F$5:$F$120*(((Inputs!$G$5:$G$120="moeda")+(Inputs!$G$5:$G$120="acoes"))*Inputs!$B$1+((Inputs!$G$5:$G$120&lt;&gt;"moeda")*(Inputs!$G$5:$G$120&lt;&gt;"acoes")))*INDEX(Inputs!$K$5:$AJ$120,0,MATCH(T$2,Inputs!$K$4:$AJ$4,0)))))</f>
        <v>13241</v>
      </c>
      <c r="U4" s="267">
        <f>IF(ISNA(MATCH(U$2,Inputs!$K$4:$AJ$4,0)),NA(),IF(SUMPRODUCT((Inputs!$A$5:$A$120=$B4)*ISNUMBER(INDEX(Inputs!$K$5:$AJ$120,0,MATCH(U$2,Inputs!$K$4:$AJ$4,0))))+SUMPRODUCT((Inputs!$C$5:$C$120=$B4)*ISNUMBER(INDEX(Inputs!$K$5:$AJ$120,0,MATCH(U$2,Inputs!$K$4:$AJ$4,0))))+SUMPRODUCT((Inputs!$E$5:$E$120=$B4)*ISNUMBER(INDEX(Inputs!$K$5:$AJ$120,0,MATCH(U$2,Inputs!$K$4:$AJ$4,0))))=0,NA(),SUMPRODUCT((Inputs!$A$5:$A$120=$B4)*Inputs!$B$5:$B$120*(((Inputs!$G$5:$G$120="moeda")+(Inputs!$G$5:$G$120="acoes"))*Inputs!$B$1+((Inputs!$G$5:$G$120&lt;&gt;"moeda")*(Inputs!$G$5:$G$120&lt;&gt;"acoes")))*INDEX(Inputs!$K$5:$AJ$120,0,MATCH(U$2,Inputs!$K$4:$AJ$4,0)))+SUMPRODUCT((Inputs!$C$5:$C$120=$B4)*Inputs!$D$5:$D$120*(((Inputs!$G$5:$G$120="moeda")+(Inputs!$G$5:$G$120="acoes"))*Inputs!$B$1+((Inputs!$G$5:$G$120&lt;&gt;"moeda")*(Inputs!$G$5:$G$120&lt;&gt;"acoes")))*INDEX(Inputs!$K$5:$AJ$120,0,MATCH(U$2,Inputs!$K$4:$AJ$4,0)))+SUMPRODUCT((Inputs!$E$5:$E$120=$B4)*Inputs!$F$5:$F$120*(((Inputs!$G$5:$G$120="moeda")+(Inputs!$G$5:$G$120="acoes"))*Inputs!$B$1+((Inputs!$G$5:$G$120&lt;&gt;"moeda")*(Inputs!$G$5:$G$120&lt;&gt;"acoes")))*INDEX(Inputs!$K$5:$AJ$120,0,MATCH(U$2,Inputs!$K$4:$AJ$4,0)))))</f>
        <v>12908</v>
      </c>
      <c r="V4" s="267">
        <f>IF(ISNA(MATCH(V$2,Inputs!$K$4:$AJ$4,0)),NA(),IF(SUMPRODUCT((Inputs!$A$5:$A$120=$B4)*ISNUMBER(INDEX(Inputs!$K$5:$AJ$120,0,MATCH(V$2,Inputs!$K$4:$AJ$4,0))))+SUMPRODUCT((Inputs!$C$5:$C$120=$B4)*ISNUMBER(INDEX(Inputs!$K$5:$AJ$120,0,MATCH(V$2,Inputs!$K$4:$AJ$4,0))))+SUMPRODUCT((Inputs!$E$5:$E$120=$B4)*ISNUMBER(INDEX(Inputs!$K$5:$AJ$120,0,MATCH(V$2,Inputs!$K$4:$AJ$4,0))))=0,NA(),SUMPRODUCT((Inputs!$A$5:$A$120=$B4)*Inputs!$B$5:$B$120*(((Inputs!$G$5:$G$120="moeda")+(Inputs!$G$5:$G$120="acoes"))*Inputs!$B$1+((Inputs!$G$5:$G$120&lt;&gt;"moeda")*(Inputs!$G$5:$G$120&lt;&gt;"acoes")))*INDEX(Inputs!$K$5:$AJ$120,0,MATCH(V$2,Inputs!$K$4:$AJ$4,0)))+SUMPRODUCT((Inputs!$C$5:$C$120=$B4)*Inputs!$D$5:$D$120*(((Inputs!$G$5:$G$120="moeda")+(Inputs!$G$5:$G$120="acoes"))*Inputs!$B$1+((Inputs!$G$5:$G$120&lt;&gt;"moeda")*(Inputs!$G$5:$G$120&lt;&gt;"acoes")))*INDEX(Inputs!$K$5:$AJ$120,0,MATCH(V$2,Inputs!$K$4:$AJ$4,0)))+SUMPRODUCT((Inputs!$E$5:$E$120=$B4)*Inputs!$F$5:$F$120*(((Inputs!$G$5:$G$120="moeda")+(Inputs!$G$5:$G$120="acoes"))*Inputs!$B$1+((Inputs!$G$5:$G$120&lt;&gt;"moeda")*(Inputs!$G$5:$G$120&lt;&gt;"acoes")))*INDEX(Inputs!$K$5:$AJ$120,0,MATCH(V$2,Inputs!$K$4:$AJ$4,0)))))</f>
        <v>13542</v>
      </c>
      <c r="W4" s="268">
        <f>SUM(S4:V4)</f>
        <v>53108</v>
      </c>
      <c r="X4" s="267">
        <f>IF(ISNA(MATCH(X$2,Inputs!$K$4:$AJ$4,0)),NA(),IF(SUMPRODUCT((Inputs!$A$5:$A$120=$B4)*ISNUMBER(INDEX(Inputs!$K$5:$AJ$120,0,MATCH(X$2,Inputs!$K$4:$AJ$4,0))))+SUMPRODUCT((Inputs!$C$5:$C$120=$B4)*ISNUMBER(INDEX(Inputs!$K$5:$AJ$120,0,MATCH(X$2,Inputs!$K$4:$AJ$4,0))))+SUMPRODUCT((Inputs!$E$5:$E$120=$B4)*ISNUMBER(INDEX(Inputs!$K$5:$AJ$120,0,MATCH(X$2,Inputs!$K$4:$AJ$4,0))))=0,NA(),SUMPRODUCT((Inputs!$A$5:$A$120=$B4)*Inputs!$B$5:$B$120*(((Inputs!$G$5:$G$120="moeda")+(Inputs!$G$5:$G$120="acoes"))*Inputs!$B$1+((Inputs!$G$5:$G$120&lt;&gt;"moeda")*(Inputs!$G$5:$G$120&lt;&gt;"acoes")))*INDEX(Inputs!$K$5:$AJ$120,0,MATCH(X$2,Inputs!$K$4:$AJ$4,0)))+SUMPRODUCT((Inputs!$C$5:$C$120=$B4)*Inputs!$D$5:$D$120*(((Inputs!$G$5:$G$120="moeda")+(Inputs!$G$5:$G$120="acoes"))*Inputs!$B$1+((Inputs!$G$5:$G$120&lt;&gt;"moeda")*(Inputs!$G$5:$G$120&lt;&gt;"acoes")))*INDEX(Inputs!$K$5:$AJ$120,0,MATCH(X$2,Inputs!$K$4:$AJ$4,0)))+SUMPRODUCT((Inputs!$E$5:$E$120=$B4)*Inputs!$F$5:$F$120*(((Inputs!$G$5:$G$120="moeda")+(Inputs!$G$5:$G$120="acoes"))*Inputs!$B$1+((Inputs!$G$5:$G$120&lt;&gt;"moeda")*(Inputs!$G$5:$G$120&lt;&gt;"acoes")))*INDEX(Inputs!$K$5:$AJ$120,0,MATCH(X$2,Inputs!$K$4:$AJ$4,0)))))</f>
        <v>11643</v>
      </c>
      <c r="Y4" s="267">
        <f>IF(ISNA(MATCH(Y$2,Inputs!$K$4:$AJ$4,0)),NA(),IF(SUMPRODUCT((Inputs!$A$5:$A$120=$B4)*ISNUMBER(INDEX(Inputs!$K$5:$AJ$120,0,MATCH(Y$2,Inputs!$K$4:$AJ$4,0))))+SUMPRODUCT((Inputs!$C$5:$C$120=$B4)*ISNUMBER(INDEX(Inputs!$K$5:$AJ$120,0,MATCH(Y$2,Inputs!$K$4:$AJ$4,0))))+SUMPRODUCT((Inputs!$E$5:$E$120=$B4)*ISNUMBER(INDEX(Inputs!$K$5:$AJ$120,0,MATCH(Y$2,Inputs!$K$4:$AJ$4,0))))=0,NA(),SUMPRODUCT((Inputs!$A$5:$A$120=$B4)*Inputs!$B$5:$B$120*(((Inputs!$G$5:$G$120="moeda")+(Inputs!$G$5:$G$120="acoes"))*Inputs!$B$1+((Inputs!$G$5:$G$120&lt;&gt;"moeda")*(Inputs!$G$5:$G$120&lt;&gt;"acoes")))*INDEX(Inputs!$K$5:$AJ$120,0,MATCH(Y$2,Inputs!$K$4:$AJ$4,0)))+SUMPRODUCT((Inputs!$C$5:$C$120=$B4)*Inputs!$D$5:$D$120*(((Inputs!$G$5:$G$120="moeda")+(Inputs!$G$5:$G$120="acoes"))*Inputs!$B$1+((Inputs!$G$5:$G$120&lt;&gt;"moeda")*(Inputs!$G$5:$G$120&lt;&gt;"acoes")))*INDEX(Inputs!$K$5:$AJ$120,0,MATCH(Y$2,Inputs!$K$4:$AJ$4,0)))+SUMPRODUCT((Inputs!$E$5:$E$120=$B4)*Inputs!$F$5:$F$120*(((Inputs!$G$5:$G$120="moeda")+(Inputs!$G$5:$G$120="acoes"))*Inputs!$B$1+((Inputs!$G$5:$G$120&lt;&gt;"moeda")*(Inputs!$G$5:$G$120&lt;&gt;"acoes")))*INDEX(Inputs!$K$5:$AJ$120,0,MATCH(Y$2,Inputs!$K$4:$AJ$4,0)))))</f>
        <v>12769</v>
      </c>
      <c r="Z4" s="267">
        <f>IF(ISNA(MATCH(Z$2,Inputs!$K$4:$AJ$4,0)),NA(),IF(SUMPRODUCT((Inputs!$A$5:$A$120=$B4)*ISNUMBER(INDEX(Inputs!$K$5:$AJ$120,0,MATCH(Z$2,Inputs!$K$4:$AJ$4,0))))+SUMPRODUCT((Inputs!$C$5:$C$120=$B4)*ISNUMBER(INDEX(Inputs!$K$5:$AJ$120,0,MATCH(Z$2,Inputs!$K$4:$AJ$4,0))))+SUMPRODUCT((Inputs!$E$5:$E$120=$B4)*ISNUMBER(INDEX(Inputs!$K$5:$AJ$120,0,MATCH(Z$2,Inputs!$K$4:$AJ$4,0))))=0,NA(),SUMPRODUCT((Inputs!$A$5:$A$120=$B4)*Inputs!$B$5:$B$120*(((Inputs!$G$5:$G$120="moeda")+(Inputs!$G$5:$G$120="acoes"))*Inputs!$B$1+((Inputs!$G$5:$G$120&lt;&gt;"moeda")*(Inputs!$G$5:$G$120&lt;&gt;"acoes")))*INDEX(Inputs!$K$5:$AJ$120,0,MATCH(Z$2,Inputs!$K$4:$AJ$4,0)))+SUMPRODUCT((Inputs!$C$5:$C$120=$B4)*Inputs!$D$5:$D$120*(((Inputs!$G$5:$G$120="moeda")+(Inputs!$G$5:$G$120="acoes"))*Inputs!$B$1+((Inputs!$G$5:$G$120&lt;&gt;"moeda")*(Inputs!$G$5:$G$120&lt;&gt;"acoes")))*INDEX(Inputs!$K$5:$AJ$120,0,MATCH(Z$2,Inputs!$K$4:$AJ$4,0)))+SUMPRODUCT((Inputs!$E$5:$E$120=$B4)*Inputs!$F$5:$F$120*(((Inputs!$G$5:$G$120="moeda")+(Inputs!$G$5:$G$120="acoes"))*Inputs!$B$1+((Inputs!$G$5:$G$120&lt;&gt;"moeda")*(Inputs!$G$5:$G$120&lt;&gt;"acoes")))*INDEX(Inputs!$K$5:$AJ$120,0,MATCH(Z$2,Inputs!$K$4:$AJ$4,0)))))</f>
        <v>22155</v>
      </c>
      <c r="AA4" s="267">
        <f>IF(ISNA(MATCH(AA$2,Inputs!$K$4:$AJ$4,0)),NA(),IF(SUMPRODUCT((Inputs!$A$5:$A$120=$B4)*ISNUMBER(INDEX(Inputs!$K$5:$AJ$120,0,MATCH(AA$2,Inputs!$K$4:$AJ$4,0))))+SUMPRODUCT((Inputs!$C$5:$C$120=$B4)*ISNUMBER(INDEX(Inputs!$K$5:$AJ$120,0,MATCH(AA$2,Inputs!$K$4:$AJ$4,0))))+SUMPRODUCT((Inputs!$E$5:$E$120=$B4)*ISNUMBER(INDEX(Inputs!$K$5:$AJ$120,0,MATCH(AA$2,Inputs!$K$4:$AJ$4,0))))=0,NA(),SUMPRODUCT((Inputs!$A$5:$A$120=$B4)*Inputs!$B$5:$B$120*(((Inputs!$G$5:$G$120="moeda")+(Inputs!$G$5:$G$120="acoes"))*Inputs!$B$1+((Inputs!$G$5:$G$120&lt;&gt;"moeda")*(Inputs!$G$5:$G$120&lt;&gt;"acoes")))*INDEX(Inputs!$K$5:$AJ$120,0,MATCH(AA$2,Inputs!$K$4:$AJ$4,0)))+SUMPRODUCT((Inputs!$C$5:$C$120=$B4)*Inputs!$D$5:$D$120*(((Inputs!$G$5:$G$120="moeda")+(Inputs!$G$5:$G$120="acoes"))*Inputs!$B$1+((Inputs!$G$5:$G$120&lt;&gt;"moeda")*(Inputs!$G$5:$G$120&lt;&gt;"acoes")))*INDEX(Inputs!$K$5:$AJ$120,0,MATCH(AA$2,Inputs!$K$4:$AJ$4,0)))+SUMPRODUCT((Inputs!$E$5:$E$120=$B4)*Inputs!$F$5:$F$120*(((Inputs!$G$5:$G$120="moeda")+(Inputs!$G$5:$G$120="acoes"))*Inputs!$B$1+((Inputs!$G$5:$G$120&lt;&gt;"moeda")*(Inputs!$G$5:$G$120&lt;&gt;"acoes")))*INDEX(Inputs!$K$5:$AJ$120,0,MATCH(AA$2,Inputs!$K$4:$AJ$4,0)))))</f>
        <v>23762</v>
      </c>
      <c r="AB4" s="268">
        <f>SUM(X4:AA4)</f>
        <v>70329</v>
      </c>
      <c r="AC4" s="267">
        <f>IF(ISNA(MATCH(AC$2,Inputs!$K$4:$AJ$4,0)),NA(),IF(SUMPRODUCT((Inputs!$A$5:$A$120=$B4)*ISNUMBER(INDEX(Inputs!$K$5:$AJ$120,0,MATCH(AC$2,Inputs!$K$4:$AJ$4,0))))+SUMPRODUCT((Inputs!$C$5:$C$120=$B4)*ISNUMBER(INDEX(Inputs!$K$5:$AJ$120,0,MATCH(AC$2,Inputs!$K$4:$AJ$4,0))))+SUMPRODUCT((Inputs!$E$5:$E$120=$B4)*ISNUMBER(INDEX(Inputs!$K$5:$AJ$120,0,MATCH(AC$2,Inputs!$K$4:$AJ$4,0))))=0,NA(),SUMPRODUCT((Inputs!$A$5:$A$120=$B4)*Inputs!$B$5:$B$120*(((Inputs!$G$5:$G$120="moeda")+(Inputs!$G$5:$G$120="acoes"))*Inputs!$B$1+((Inputs!$G$5:$G$120&lt;&gt;"moeda")*(Inputs!$G$5:$G$120&lt;&gt;"acoes")))*INDEX(Inputs!$K$5:$AJ$120,0,MATCH(AC$2,Inputs!$K$4:$AJ$4,0)))+SUMPRODUCT((Inputs!$C$5:$C$120=$B4)*Inputs!$D$5:$D$120*(((Inputs!$G$5:$G$120="moeda")+(Inputs!$G$5:$G$120="acoes"))*Inputs!$B$1+((Inputs!$G$5:$G$120&lt;&gt;"moeda")*(Inputs!$G$5:$G$120&lt;&gt;"acoes")))*INDEX(Inputs!$K$5:$AJ$120,0,MATCH(AC$2,Inputs!$K$4:$AJ$4,0)))+SUMPRODUCT((Inputs!$E$5:$E$120=$B4)*Inputs!$F$5:$F$120*(((Inputs!$G$5:$G$120="moeda")+(Inputs!$G$5:$G$120="acoes"))*Inputs!$B$1+((Inputs!$G$5:$G$120&lt;&gt;"moeda")*(Inputs!$G$5:$G$120&lt;&gt;"acoes")))*INDEX(Inputs!$K$5:$AJ$120,0,MATCH(AC$2,Inputs!$K$4:$AJ$4,0)))))</f>
        <v>21861</v>
      </c>
      <c r="AD4" s="267">
        <f>IF(ISNA(MATCH(AD$2,Inputs!$K$4:$AJ$4,0)),NA(),IF(SUMPRODUCT((Inputs!$A$5:$A$120=$B4)*ISNUMBER(INDEX(Inputs!$K$5:$AJ$120,0,MATCH(AD$2,Inputs!$K$4:$AJ$4,0))))+SUMPRODUCT((Inputs!$C$5:$C$120=$B4)*ISNUMBER(INDEX(Inputs!$K$5:$AJ$120,0,MATCH(AD$2,Inputs!$K$4:$AJ$4,0))))+SUMPRODUCT((Inputs!$E$5:$E$120=$B4)*ISNUMBER(INDEX(Inputs!$K$5:$AJ$120,0,MATCH(AD$2,Inputs!$K$4:$AJ$4,0))))=0,NA(),SUMPRODUCT((Inputs!$A$5:$A$120=$B4)*Inputs!$B$5:$B$120*(((Inputs!$G$5:$G$120="moeda")+(Inputs!$G$5:$G$120="acoes"))*Inputs!$B$1+((Inputs!$G$5:$G$120&lt;&gt;"moeda")*(Inputs!$G$5:$G$120&lt;&gt;"acoes")))*INDEX(Inputs!$K$5:$AJ$120,0,MATCH(AD$2,Inputs!$K$4:$AJ$4,0)))+SUMPRODUCT((Inputs!$C$5:$C$120=$B4)*Inputs!$D$5:$D$120*(((Inputs!$G$5:$G$120="moeda")+(Inputs!$G$5:$G$120="acoes"))*Inputs!$B$1+((Inputs!$G$5:$G$120&lt;&gt;"moeda")*(Inputs!$G$5:$G$120&lt;&gt;"acoes")))*INDEX(Inputs!$K$5:$AJ$120,0,MATCH(AD$2,Inputs!$K$4:$AJ$4,0)))+SUMPRODUCT((Inputs!$E$5:$E$120=$B4)*Inputs!$F$5:$F$120*(((Inputs!$G$5:$G$120="moeda")+(Inputs!$G$5:$G$120="acoes"))*Inputs!$B$1+((Inputs!$G$5:$G$120&lt;&gt;"moeda")*(Inputs!$G$5:$G$120&lt;&gt;"acoes")))*INDEX(Inputs!$K$5:$AJ$120,0,MATCH(AD$2,Inputs!$K$4:$AJ$4,0)))))</f>
        <v>24041</v>
      </c>
      <c r="AE4" s="267" t="e">
        <f>IF(ISNA(MATCH(AE$2,Inputs!$K$4:$AJ$4,0)),NA(),IF(SUMPRODUCT((Inputs!$A$5:$A$120=$B4)*ISNUMBER(INDEX(Inputs!$K$5:$AJ$120,0,MATCH(AE$2,Inputs!$K$4:$AJ$4,0))))+SUMPRODUCT((Inputs!$C$5:$C$120=$B4)*ISNUMBER(INDEX(Inputs!$K$5:$AJ$120,0,MATCH(AE$2,Inputs!$K$4:$AJ$4,0))))+SUMPRODUCT((Inputs!$E$5:$E$120=$B4)*ISNUMBER(INDEX(Inputs!$K$5:$AJ$120,0,MATCH(AE$2,Inputs!$K$4:$AJ$4,0))))=0,NA(),SUMPRODUCT((Inputs!$A$5:$A$120=$B4)*Inputs!$B$5:$B$120*(((Inputs!$G$5:$G$120="moeda")+(Inputs!$G$5:$G$120="acoes"))*Inputs!$B$1+((Inputs!$G$5:$G$120&lt;&gt;"moeda")*(Inputs!$G$5:$G$120&lt;&gt;"acoes")))*INDEX(Inputs!$K$5:$AJ$120,0,MATCH(AE$2,Inputs!$K$4:$AJ$4,0)))+SUMPRODUCT((Inputs!$C$5:$C$120=$B4)*Inputs!$D$5:$D$120*(((Inputs!$G$5:$G$120="moeda")+(Inputs!$G$5:$G$120="acoes"))*Inputs!$B$1+((Inputs!$G$5:$G$120&lt;&gt;"moeda")*(Inputs!$G$5:$G$120&lt;&gt;"acoes")))*INDEX(Inputs!$K$5:$AJ$120,0,MATCH(AE$2,Inputs!$K$4:$AJ$4,0)))+SUMPRODUCT((Inputs!$E$5:$E$120=$B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" s="267" t="e">
        <f>IF(ISNA(MATCH(AF$2,Inputs!$K$4:$AJ$4,0)),NA(),IF(SUMPRODUCT((Inputs!$A$5:$A$120=$B4)*ISNUMBER(INDEX(Inputs!$K$5:$AJ$120,0,MATCH(AF$2,Inputs!$K$4:$AJ$4,0))))+SUMPRODUCT((Inputs!$C$5:$C$120=$B4)*ISNUMBER(INDEX(Inputs!$K$5:$AJ$120,0,MATCH(AF$2,Inputs!$K$4:$AJ$4,0))))+SUMPRODUCT((Inputs!$E$5:$E$120=$B4)*ISNUMBER(INDEX(Inputs!$K$5:$AJ$120,0,MATCH(AF$2,Inputs!$K$4:$AJ$4,0))))=0,NA(),SUMPRODUCT((Inputs!$A$5:$A$120=$B4)*Inputs!$B$5:$B$120*(((Inputs!$G$5:$G$120="moeda")+(Inputs!$G$5:$G$120="acoes"))*Inputs!$B$1+((Inputs!$G$5:$G$120&lt;&gt;"moeda")*(Inputs!$G$5:$G$120&lt;&gt;"acoes")))*INDEX(Inputs!$K$5:$AJ$120,0,MATCH(AF$2,Inputs!$K$4:$AJ$4,0)))+SUMPRODUCT((Inputs!$C$5:$C$120=$B4)*Inputs!$D$5:$D$120*(((Inputs!$G$5:$G$120="moeda")+(Inputs!$G$5:$G$120="acoes"))*Inputs!$B$1+((Inputs!$G$5:$G$120&lt;&gt;"moeda")*(Inputs!$G$5:$G$120&lt;&gt;"acoes")))*INDEX(Inputs!$K$5:$AJ$120,0,MATCH(AF$2,Inputs!$K$4:$AJ$4,0)))+SUMPRODUCT((Inputs!$E$5:$E$120=$B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" s="268" t="e">
        <f>SUM(AC4:AF4)</f>
        <v>#N/A</v>
      </c>
      <c r="AH4" s="267">
        <f>IF(ISNA(MATCH(AH$2,Inputs!$K$4:$AJ$4,0)),NA(),IF(SUMPRODUCT((Inputs!$A$5:$A$120=$B4)*ISNUMBER(INDEX(Inputs!$K$5:$AJ$120,0,MATCH(AH$2,Inputs!$K$4:$AJ$4,0))))+SUMPRODUCT((Inputs!$C$5:$C$120=$B4)*ISNUMBER(INDEX(Inputs!$K$5:$AJ$120,0,MATCH(AH$2,Inputs!$K$4:$AJ$4,0))))+SUMPRODUCT((Inputs!$E$5:$E$120=$B4)*ISNUMBER(INDEX(Inputs!$K$5:$AJ$120,0,MATCH(AH$2,Inputs!$K$4:$AJ$4,0))))=0,NA(),SUMPRODUCT((Inputs!$A$5:$A$120=$B4)*Inputs!$B$5:$B$120*(((Inputs!$G$5:$G$120="moeda")+(Inputs!$G$5:$G$120="acoes"))*Inputs!$B$1+((Inputs!$G$5:$G$120&lt;&gt;"moeda")*(Inputs!$G$5:$G$120&lt;&gt;"acoes")))*INDEX(Inputs!$K$5:$AJ$120,0,MATCH(AH$2,Inputs!$K$4:$AJ$4,0)))+SUMPRODUCT((Inputs!$C$5:$C$120=$B4)*Inputs!$D$5:$D$120*(((Inputs!$G$5:$G$120="moeda")+(Inputs!$G$5:$G$120="acoes"))*Inputs!$B$1+((Inputs!$G$5:$G$120&lt;&gt;"moeda")*(Inputs!$G$5:$G$120&lt;&gt;"acoes")))*INDEX(Inputs!$K$5:$AJ$120,0,MATCH(AH$2,Inputs!$K$4:$AJ$4,0)))+SUMPRODUCT((Inputs!$E$5:$E$120=$B4)*Inputs!$F$5:$F$120*(((Inputs!$G$5:$G$120="moeda")+(Inputs!$G$5:$G$120="acoes"))*Inputs!$B$1+((Inputs!$G$5:$G$120&lt;&gt;"moeda")*(Inputs!$G$5:$G$120&lt;&gt;"acoes")))*INDEX(Inputs!$K$5:$AJ$120,0,MATCH(AH$2,Inputs!$K$4:$AJ$4,0)))))</f>
        <v>9173</v>
      </c>
      <c r="AI4" s="267">
        <f>IF(ISNA(MATCH(AI$2,Inputs!$K$4:$AJ$4,0)),NA(),IF(SUMPRODUCT((Inputs!$A$5:$A$120=$B4)*ISNUMBER(INDEX(Inputs!$K$5:$AJ$120,0,MATCH(AI$2,Inputs!$K$4:$AJ$4,0))))+SUMPRODUCT((Inputs!$C$5:$C$120=$B4)*ISNUMBER(INDEX(Inputs!$K$5:$AJ$120,0,MATCH(AI$2,Inputs!$K$4:$AJ$4,0))))+SUMPRODUCT((Inputs!$E$5:$E$120=$B4)*ISNUMBER(INDEX(Inputs!$K$5:$AJ$120,0,MATCH(AI$2,Inputs!$K$4:$AJ$4,0))))=0,NA(),SUMPRODUCT((Inputs!$A$5:$A$120=$B4)*Inputs!$B$5:$B$120*(((Inputs!$G$5:$G$120="moeda")+(Inputs!$G$5:$G$120="acoes"))*Inputs!$B$1+((Inputs!$G$5:$G$120&lt;&gt;"moeda")*(Inputs!$G$5:$G$120&lt;&gt;"acoes")))*INDEX(Inputs!$K$5:$AJ$120,0,MATCH(AI$2,Inputs!$K$4:$AJ$4,0)))+SUMPRODUCT((Inputs!$C$5:$C$120=$B4)*Inputs!$D$5:$D$120*(((Inputs!$G$5:$G$120="moeda")+(Inputs!$G$5:$G$120="acoes"))*Inputs!$B$1+((Inputs!$G$5:$G$120&lt;&gt;"moeda")*(Inputs!$G$5:$G$120&lt;&gt;"acoes")))*INDEX(Inputs!$K$5:$AJ$120,0,MATCH(AI$2,Inputs!$K$4:$AJ$4,0)))+SUMPRODUCT((Inputs!$E$5:$E$120=$B4)*Inputs!$F$5:$F$120*(((Inputs!$G$5:$G$120="moeda")+(Inputs!$G$5:$G$120="acoes"))*Inputs!$B$1+((Inputs!$G$5:$G$120&lt;&gt;"moeda")*(Inputs!$G$5:$G$120&lt;&gt;"acoes")))*INDEX(Inputs!$K$5:$AJ$120,0,MATCH(AI$2,Inputs!$K$4:$AJ$4,0)))))</f>
        <v>9462</v>
      </c>
      <c r="AJ4" s="267">
        <f>IF(ISNA(MATCH(AJ$2,Inputs!$K$4:$AJ$4,0)),NA(),IF(SUMPRODUCT((Inputs!$A$5:$A$120=$B4)*ISNUMBER(INDEX(Inputs!$K$5:$AJ$120,0,MATCH(AJ$2,Inputs!$K$4:$AJ$4,0))))+SUMPRODUCT((Inputs!$C$5:$C$120=$B4)*ISNUMBER(INDEX(Inputs!$K$5:$AJ$120,0,MATCH(AJ$2,Inputs!$K$4:$AJ$4,0))))+SUMPRODUCT((Inputs!$E$5:$E$120=$B4)*ISNUMBER(INDEX(Inputs!$K$5:$AJ$120,0,MATCH(AJ$2,Inputs!$K$4:$AJ$4,0))))=0,NA(),SUMPRODUCT((Inputs!$A$5:$A$120=$B4)*Inputs!$B$5:$B$120*(((Inputs!$G$5:$G$120="moeda")+(Inputs!$G$5:$G$120="acoes"))*Inputs!$B$1+((Inputs!$G$5:$G$120&lt;&gt;"moeda")*(Inputs!$G$5:$G$120&lt;&gt;"acoes")))*INDEX(Inputs!$K$5:$AJ$120,0,MATCH(AJ$2,Inputs!$K$4:$AJ$4,0)))+SUMPRODUCT((Inputs!$C$5:$C$120=$B4)*Inputs!$D$5:$D$120*(((Inputs!$G$5:$G$120="moeda")+(Inputs!$G$5:$G$120="acoes"))*Inputs!$B$1+((Inputs!$G$5:$G$120&lt;&gt;"moeda")*(Inputs!$G$5:$G$120&lt;&gt;"acoes")))*INDEX(Inputs!$K$5:$AJ$120,0,MATCH(AJ$2,Inputs!$K$4:$AJ$4,0)))+SUMPRODUCT((Inputs!$E$5:$E$120=$B4)*Inputs!$F$5:$F$120*(((Inputs!$G$5:$G$120="moeda")+(Inputs!$G$5:$G$120="acoes"))*Inputs!$B$1+((Inputs!$G$5:$G$120&lt;&gt;"moeda")*(Inputs!$G$5:$G$120&lt;&gt;"acoes")))*INDEX(Inputs!$K$5:$AJ$120,0,MATCH(AJ$2,Inputs!$K$4:$AJ$4,0)))))</f>
        <v>10159</v>
      </c>
      <c r="AK4" s="267">
        <f>IF(ISNA(MATCH(AK$2,Inputs!$K$4:$AJ$4,0)),NA(),IF(SUMPRODUCT((Inputs!$A$5:$A$120=$B4)*ISNUMBER(INDEX(Inputs!$K$5:$AJ$120,0,MATCH(AK$2,Inputs!$K$4:$AJ$4,0))))+SUMPRODUCT((Inputs!$C$5:$C$120=$B4)*ISNUMBER(INDEX(Inputs!$K$5:$AJ$120,0,MATCH(AK$2,Inputs!$K$4:$AJ$4,0))))+SUMPRODUCT((Inputs!$E$5:$E$120=$B4)*ISNUMBER(INDEX(Inputs!$K$5:$AJ$120,0,MATCH(AK$2,Inputs!$K$4:$AJ$4,0))))=0,NA(),SUMPRODUCT((Inputs!$A$5:$A$120=$B4)*Inputs!$B$5:$B$120*(((Inputs!$G$5:$G$120="moeda")+(Inputs!$G$5:$G$120="acoes"))*Inputs!$B$1+((Inputs!$G$5:$G$120&lt;&gt;"moeda")*(Inputs!$G$5:$G$120&lt;&gt;"acoes")))*INDEX(Inputs!$K$5:$AJ$120,0,MATCH(AK$2,Inputs!$K$4:$AJ$4,0)))+SUMPRODUCT((Inputs!$C$5:$C$120=$B4)*Inputs!$D$5:$D$120*(((Inputs!$G$5:$G$120="moeda")+(Inputs!$G$5:$G$120="acoes"))*Inputs!$B$1+((Inputs!$G$5:$G$120&lt;&gt;"moeda")*(Inputs!$G$5:$G$120&lt;&gt;"acoes")))*INDEX(Inputs!$K$5:$AJ$120,0,MATCH(AK$2,Inputs!$K$4:$AJ$4,0)))+SUMPRODUCT((Inputs!$E$5:$E$120=$B4)*Inputs!$F$5:$F$120*(((Inputs!$G$5:$G$120="moeda")+(Inputs!$G$5:$G$120="acoes"))*Inputs!$B$1+((Inputs!$G$5:$G$120&lt;&gt;"moeda")*(Inputs!$G$5:$G$120&lt;&gt;"acoes")))*INDEX(Inputs!$K$5:$AJ$120,0,MATCH(AK$2,Inputs!$K$4:$AJ$4,0)))))</f>
        <v>12610</v>
      </c>
      <c r="AL4" s="268">
        <f>SUM(AH4:AK4)</f>
        <v>41404</v>
      </c>
    </row>
    <row r="5" ht="12.75" customHeight="1" s="255">
      <c r="B5" s="265" t="n">
        <v>2</v>
      </c>
      <c r="C5" s="269" t="inlineStr">
        <is>
          <t>COGS (cash)</t>
        </is>
      </c>
      <c r="D5" s="267">
        <f>IF(ISNA(MATCH(D$2,Inputs!$K$4:$AJ$4,0)),NA(),IF(SUMPRODUCT((Inputs!$A$5:$A$120=$B5)*ISNUMBER(INDEX(Inputs!$K$5:$AJ$120,0,MATCH(D$2,Inputs!$K$4:$AJ$4,0))))+SUMPRODUCT((Inputs!$C$5:$C$120=$B5)*ISNUMBER(INDEX(Inputs!$K$5:$AJ$120,0,MATCH(D$2,Inputs!$K$4:$AJ$4,0))))+SUMPRODUCT((Inputs!$E$5:$E$120=$B5)*ISNUMBER(INDEX(Inputs!$K$5:$AJ$120,0,MATCH(D$2,Inputs!$K$4:$AJ$4,0))))=0,NA(),SUMPRODUCT((Inputs!$A$5:$A$120=$B5)*Inputs!$B$5:$B$120*(((Inputs!$G$5:$G$120="moeda")+(Inputs!$G$5:$G$120="acoes"))*Inputs!$B$1+((Inputs!$G$5:$G$120&lt;&gt;"moeda")*(Inputs!$G$5:$G$120&lt;&gt;"acoes")))*INDEX(Inputs!$K$5:$AJ$120,0,MATCH(D$2,Inputs!$K$4:$AJ$4,0)))+SUMPRODUCT((Inputs!$C$5:$C$120=$B5)*Inputs!$D$5:$D$120*(((Inputs!$G$5:$G$120="moeda")+(Inputs!$G$5:$G$120="acoes"))*Inputs!$B$1+((Inputs!$G$5:$G$120&lt;&gt;"moeda")*(Inputs!$G$5:$G$120&lt;&gt;"acoes")))*INDEX(Inputs!$K$5:$AJ$120,0,MATCH(D$2,Inputs!$K$4:$AJ$4,0)))+SUMPRODUCT((Inputs!$E$5:$E$120=$B5)*Inputs!$F$5:$F$120*(((Inputs!$G$5:$G$120="moeda")+(Inputs!$G$5:$G$120="acoes"))*Inputs!$B$1+((Inputs!$G$5:$G$120&lt;&gt;"moeda")*(Inputs!$G$5:$G$120&lt;&gt;"acoes")))*INDEX(Inputs!$K$5:$AJ$120,0,MATCH(D$2,Inputs!$K$4:$AJ$4,0)))))</f>
        <v>-11708</v>
      </c>
      <c r="E5" s="267">
        <f>IF(ISNA(MATCH(E$2,Inputs!$K$4:$AJ$4,0)),NA(),IF(SUMPRODUCT((Inputs!$A$5:$A$120=$B5)*ISNUMBER(INDEX(Inputs!$K$5:$AJ$120,0,MATCH(E$2,Inputs!$K$4:$AJ$4,0))))+SUMPRODUCT((Inputs!$C$5:$C$120=$B5)*ISNUMBER(INDEX(Inputs!$K$5:$AJ$120,0,MATCH(E$2,Inputs!$K$4:$AJ$4,0))))+SUMPRODUCT((Inputs!$E$5:$E$120=$B5)*ISNUMBER(INDEX(Inputs!$K$5:$AJ$120,0,MATCH(E$2,Inputs!$K$4:$AJ$4,0))))=0,NA(),SUMPRODUCT((Inputs!$A$5:$A$120=$B5)*Inputs!$B$5:$B$120*(((Inputs!$G$5:$G$120="moeda")+(Inputs!$G$5:$G$120="acoes"))*Inputs!$B$1+((Inputs!$G$5:$G$120&lt;&gt;"moeda")*(Inputs!$G$5:$G$120&lt;&gt;"acoes")))*INDEX(Inputs!$K$5:$AJ$120,0,MATCH(E$2,Inputs!$K$4:$AJ$4,0)))+SUMPRODUCT((Inputs!$C$5:$C$120=$B5)*Inputs!$D$5:$D$120*(((Inputs!$G$5:$G$120="moeda")+(Inputs!$G$5:$G$120="acoes"))*Inputs!$B$1+((Inputs!$G$5:$G$120&lt;&gt;"moeda")*(Inputs!$G$5:$G$120&lt;&gt;"acoes")))*INDEX(Inputs!$K$5:$AJ$120,0,MATCH(E$2,Inputs!$K$4:$AJ$4,0)))+SUMPRODUCT((Inputs!$E$5:$E$120=$B5)*Inputs!$F$5:$F$120*(((Inputs!$G$5:$G$120="moeda")+(Inputs!$G$5:$G$120="acoes"))*Inputs!$B$1+((Inputs!$G$5:$G$120&lt;&gt;"moeda")*(Inputs!$G$5:$G$120&lt;&gt;"acoes")))*INDEX(Inputs!$K$5:$AJ$120,0,MATCH(E$2,Inputs!$K$4:$AJ$4,0)))))</f>
        <v>-14620</v>
      </c>
      <c r="F5" s="267">
        <f>IF(ISNA(MATCH(F$2,Inputs!$K$4:$AJ$4,0)),NA(),IF(SUMPRODUCT((Inputs!$A$5:$A$120=$B5)*ISNUMBER(INDEX(Inputs!$K$5:$AJ$120,0,MATCH(F$2,Inputs!$K$4:$AJ$4,0))))+SUMPRODUCT((Inputs!$C$5:$C$120=$B5)*ISNUMBER(INDEX(Inputs!$K$5:$AJ$120,0,MATCH(F$2,Inputs!$K$4:$AJ$4,0))))+SUMPRODUCT((Inputs!$E$5:$E$120=$B5)*ISNUMBER(INDEX(Inputs!$K$5:$AJ$120,0,MATCH(F$2,Inputs!$K$4:$AJ$4,0))))=0,NA(),SUMPRODUCT((Inputs!$A$5:$A$120=$B5)*Inputs!$B$5:$B$120*(((Inputs!$G$5:$G$120="moeda")+(Inputs!$G$5:$G$120="acoes"))*Inputs!$B$1+((Inputs!$G$5:$G$120&lt;&gt;"moeda")*(Inputs!$G$5:$G$120&lt;&gt;"acoes")))*INDEX(Inputs!$K$5:$AJ$120,0,MATCH(F$2,Inputs!$K$4:$AJ$4,0)))+SUMPRODUCT((Inputs!$C$5:$C$120=$B5)*Inputs!$D$5:$D$120*(((Inputs!$G$5:$G$120="moeda")+(Inputs!$G$5:$G$120="acoes"))*Inputs!$B$1+((Inputs!$G$5:$G$120&lt;&gt;"moeda")*(Inputs!$G$5:$G$120&lt;&gt;"acoes")))*INDEX(Inputs!$K$5:$AJ$120,0,MATCH(F$2,Inputs!$K$4:$AJ$4,0)))+SUMPRODUCT((Inputs!$E$5:$E$120=$B5)*Inputs!$F$5:$F$120*(((Inputs!$G$5:$G$120="moeda")+(Inputs!$G$5:$G$120="acoes"))*Inputs!$B$1+((Inputs!$G$5:$G$120&lt;&gt;"moeda")*(Inputs!$G$5:$G$120&lt;&gt;"acoes")))*INDEX(Inputs!$K$5:$AJ$120,0,MATCH(F$2,Inputs!$K$4:$AJ$4,0)))))</f>
        <v>-13150</v>
      </c>
      <c r="G5" s="267">
        <f>IF(ISNA(MATCH(G$2,Inputs!$K$4:$AJ$4,0)),NA(),IF(SUMPRODUCT((Inputs!$A$5:$A$120=$B5)*ISNUMBER(INDEX(Inputs!$K$5:$AJ$120,0,MATCH(G$2,Inputs!$K$4:$AJ$4,0))))+SUMPRODUCT((Inputs!$C$5:$C$120=$B5)*ISNUMBER(INDEX(Inputs!$K$5:$AJ$120,0,MATCH(G$2,Inputs!$K$4:$AJ$4,0))))+SUMPRODUCT((Inputs!$E$5:$E$120=$B5)*ISNUMBER(INDEX(Inputs!$K$5:$AJ$120,0,MATCH(G$2,Inputs!$K$4:$AJ$4,0))))=0,NA(),SUMPRODUCT((Inputs!$A$5:$A$120=$B5)*Inputs!$B$5:$B$120*(((Inputs!$G$5:$G$120="moeda")+(Inputs!$G$5:$G$120="acoes"))*Inputs!$B$1+((Inputs!$G$5:$G$120&lt;&gt;"moeda")*(Inputs!$G$5:$G$120&lt;&gt;"acoes")))*INDEX(Inputs!$K$5:$AJ$120,0,MATCH(G$2,Inputs!$K$4:$AJ$4,0)))+SUMPRODUCT((Inputs!$C$5:$C$120=$B5)*Inputs!$D$5:$D$120*(((Inputs!$G$5:$G$120="moeda")+(Inputs!$G$5:$G$120="acoes"))*Inputs!$B$1+((Inputs!$G$5:$G$120&lt;&gt;"moeda")*(Inputs!$G$5:$G$120&lt;&gt;"acoes")))*INDEX(Inputs!$K$5:$AJ$120,0,MATCH(G$2,Inputs!$K$4:$AJ$4,0)))+SUMPRODUCT((Inputs!$E$5:$E$120=$B5)*Inputs!$F$5:$F$120*(((Inputs!$G$5:$G$120="moeda")+(Inputs!$G$5:$G$120="acoes"))*Inputs!$B$1+((Inputs!$G$5:$G$120&lt;&gt;"moeda")*(Inputs!$G$5:$G$120&lt;&gt;"acoes")))*INDEX(Inputs!$K$5:$AJ$120,0,MATCH(G$2,Inputs!$K$4:$AJ$4,0)))))</f>
        <v>-15887</v>
      </c>
      <c r="H5" s="268">
        <f>SUM(D5:G5)</f>
        <v>-55365</v>
      </c>
      <c r="I5" s="267">
        <f>IF(ISNA(MATCH(I$2,Inputs!$K$4:$AJ$4,0)),NA(),IF(SUMPRODUCT((Inputs!$A$5:$A$120=$B5)*ISNUMBER(INDEX(Inputs!$K$5:$AJ$120,0,MATCH(I$2,Inputs!$K$4:$AJ$4,0))))+SUMPRODUCT((Inputs!$C$5:$C$120=$B5)*ISNUMBER(INDEX(Inputs!$K$5:$AJ$120,0,MATCH(I$2,Inputs!$K$4:$AJ$4,0))))+SUMPRODUCT((Inputs!$E$5:$E$120=$B5)*ISNUMBER(INDEX(Inputs!$K$5:$AJ$120,0,MATCH(I$2,Inputs!$K$4:$AJ$4,0))))=0,NA(),SUMPRODUCT((Inputs!$A$5:$A$120=$B5)*Inputs!$B$5:$B$120*(((Inputs!$G$5:$G$120="moeda")+(Inputs!$G$5:$G$120="acoes"))*Inputs!$B$1+((Inputs!$G$5:$G$120&lt;&gt;"moeda")*(Inputs!$G$5:$G$120&lt;&gt;"acoes")))*INDEX(Inputs!$K$5:$AJ$120,0,MATCH(I$2,Inputs!$K$4:$AJ$4,0)))+SUMPRODUCT((Inputs!$C$5:$C$120=$B5)*Inputs!$D$5:$D$120*(((Inputs!$G$5:$G$120="moeda")+(Inputs!$G$5:$G$120="acoes"))*Inputs!$B$1+((Inputs!$G$5:$G$120&lt;&gt;"moeda")*(Inputs!$G$5:$G$120&lt;&gt;"acoes")))*INDEX(Inputs!$K$5:$AJ$120,0,MATCH(I$2,Inputs!$K$4:$AJ$4,0)))+SUMPRODUCT((Inputs!$E$5:$E$120=$B5)*Inputs!$F$5:$F$120*(((Inputs!$G$5:$G$120="moeda")+(Inputs!$G$5:$G$120="acoes"))*Inputs!$B$1+((Inputs!$G$5:$G$120&lt;&gt;"moeda")*(Inputs!$G$5:$G$120&lt;&gt;"acoes")))*INDEX(Inputs!$K$5:$AJ$120,0,MATCH(I$2,Inputs!$K$4:$AJ$4,0)))))</f>
        <v>-14574</v>
      </c>
      <c r="J5" s="267">
        <f>IF(ISNA(MATCH(J$2,Inputs!$K$4:$AJ$4,0)),NA(),IF(SUMPRODUCT((Inputs!$A$5:$A$120=$B5)*ISNUMBER(INDEX(Inputs!$K$5:$AJ$120,0,MATCH(J$2,Inputs!$K$4:$AJ$4,0))))+SUMPRODUCT((Inputs!$C$5:$C$120=$B5)*ISNUMBER(INDEX(Inputs!$K$5:$AJ$120,0,MATCH(J$2,Inputs!$K$4:$AJ$4,0))))+SUMPRODUCT((Inputs!$E$5:$E$120=$B5)*ISNUMBER(INDEX(Inputs!$K$5:$AJ$120,0,MATCH(J$2,Inputs!$K$4:$AJ$4,0))))=0,NA(),SUMPRODUCT((Inputs!$A$5:$A$120=$B5)*Inputs!$B$5:$B$120*(((Inputs!$G$5:$G$120="moeda")+(Inputs!$G$5:$G$120="acoes"))*Inputs!$B$1+((Inputs!$G$5:$G$120&lt;&gt;"moeda")*(Inputs!$G$5:$G$120&lt;&gt;"acoes")))*INDEX(Inputs!$K$5:$AJ$120,0,MATCH(J$2,Inputs!$K$4:$AJ$4,0)))+SUMPRODUCT((Inputs!$C$5:$C$120=$B5)*Inputs!$D$5:$D$120*(((Inputs!$G$5:$G$120="moeda")+(Inputs!$G$5:$G$120="acoes"))*Inputs!$B$1+((Inputs!$G$5:$G$120&lt;&gt;"moeda")*(Inputs!$G$5:$G$120&lt;&gt;"acoes")))*INDEX(Inputs!$K$5:$AJ$120,0,MATCH(J$2,Inputs!$K$4:$AJ$4,0)))+SUMPRODUCT((Inputs!$E$5:$E$120=$B5)*Inputs!$F$5:$F$120*(((Inputs!$G$5:$G$120="moeda")+(Inputs!$G$5:$G$120="acoes"))*Inputs!$B$1+((Inputs!$G$5:$G$120&lt;&gt;"moeda")*(Inputs!$G$5:$G$120&lt;&gt;"acoes")))*INDEX(Inputs!$K$5:$AJ$120,0,MATCH(J$2,Inputs!$K$4:$AJ$4,0)))))</f>
        <v>-17059</v>
      </c>
      <c r="K5" s="267">
        <f>IF(ISNA(MATCH(K$2,Inputs!$K$4:$AJ$4,0)),NA(),IF(SUMPRODUCT((Inputs!$A$5:$A$120=$B5)*ISNUMBER(INDEX(Inputs!$K$5:$AJ$120,0,MATCH(K$2,Inputs!$K$4:$AJ$4,0))))+SUMPRODUCT((Inputs!$C$5:$C$120=$B5)*ISNUMBER(INDEX(Inputs!$K$5:$AJ$120,0,MATCH(K$2,Inputs!$K$4:$AJ$4,0))))+SUMPRODUCT((Inputs!$E$5:$E$120=$B5)*ISNUMBER(INDEX(Inputs!$K$5:$AJ$120,0,MATCH(K$2,Inputs!$K$4:$AJ$4,0))))=0,NA(),SUMPRODUCT((Inputs!$A$5:$A$120=$B5)*Inputs!$B$5:$B$120*(((Inputs!$G$5:$G$120="moeda")+(Inputs!$G$5:$G$120="acoes"))*Inputs!$B$1+((Inputs!$G$5:$G$120&lt;&gt;"moeda")*(Inputs!$G$5:$G$120&lt;&gt;"acoes")))*INDEX(Inputs!$K$5:$AJ$120,0,MATCH(K$2,Inputs!$K$4:$AJ$4,0)))+SUMPRODUCT((Inputs!$C$5:$C$120=$B5)*Inputs!$D$5:$D$120*(((Inputs!$G$5:$G$120="moeda")+(Inputs!$G$5:$G$120="acoes"))*Inputs!$B$1+((Inputs!$G$5:$G$120&lt;&gt;"moeda")*(Inputs!$G$5:$G$120&lt;&gt;"acoes")))*INDEX(Inputs!$K$5:$AJ$120,0,MATCH(K$2,Inputs!$K$4:$AJ$4,0)))+SUMPRODUCT((Inputs!$E$5:$E$120=$B5)*Inputs!$F$5:$F$120*(((Inputs!$G$5:$G$120="moeda")+(Inputs!$G$5:$G$120="acoes"))*Inputs!$B$1+((Inputs!$G$5:$G$120&lt;&gt;"moeda")*(Inputs!$G$5:$G$120&lt;&gt;"acoes")))*INDEX(Inputs!$K$5:$AJ$120,0,MATCH(K$2,Inputs!$K$4:$AJ$4,0)))))</f>
        <v>-15770</v>
      </c>
      <c r="L5" s="267">
        <f>IF(ISNA(MATCH(L$2,Inputs!$K$4:$AJ$4,0)),NA(),IF(SUMPRODUCT((Inputs!$A$5:$A$120=$B5)*ISNUMBER(INDEX(Inputs!$K$5:$AJ$120,0,MATCH(L$2,Inputs!$K$4:$AJ$4,0))))+SUMPRODUCT((Inputs!$C$5:$C$120=$B5)*ISNUMBER(INDEX(Inputs!$K$5:$AJ$120,0,MATCH(L$2,Inputs!$K$4:$AJ$4,0))))+SUMPRODUCT((Inputs!$E$5:$E$120=$B5)*ISNUMBER(INDEX(Inputs!$K$5:$AJ$120,0,MATCH(L$2,Inputs!$K$4:$AJ$4,0))))=0,NA(),SUMPRODUCT((Inputs!$A$5:$A$120=$B5)*Inputs!$B$5:$B$120*(((Inputs!$G$5:$G$120="moeda")+(Inputs!$G$5:$G$120="acoes"))*Inputs!$B$1+((Inputs!$G$5:$G$120&lt;&gt;"moeda")*(Inputs!$G$5:$G$120&lt;&gt;"acoes")))*INDEX(Inputs!$K$5:$AJ$120,0,MATCH(L$2,Inputs!$K$4:$AJ$4,0)))+SUMPRODUCT((Inputs!$C$5:$C$120=$B5)*Inputs!$D$5:$D$120*(((Inputs!$G$5:$G$120="moeda")+(Inputs!$G$5:$G$120="acoes"))*Inputs!$B$1+((Inputs!$G$5:$G$120&lt;&gt;"moeda")*(Inputs!$G$5:$G$120&lt;&gt;"acoes")))*INDEX(Inputs!$K$5:$AJ$120,0,MATCH(L$2,Inputs!$K$4:$AJ$4,0)))+SUMPRODUCT((Inputs!$E$5:$E$120=$B5)*Inputs!$F$5:$F$120*(((Inputs!$G$5:$G$120="moeda")+(Inputs!$G$5:$G$120="acoes"))*Inputs!$B$1+((Inputs!$G$5:$G$120&lt;&gt;"moeda")*(Inputs!$G$5:$G$120&lt;&gt;"acoes")))*INDEX(Inputs!$K$5:$AJ$120,0,MATCH(L$2,Inputs!$K$4:$AJ$4,0)))))</f>
        <v>-15739</v>
      </c>
      <c r="M5" s="268">
        <f>SUM(I5:L5)</f>
        <v>-63142</v>
      </c>
      <c r="N5" s="267">
        <f>IF(ISNA(MATCH(N$2,Inputs!$K$4:$AJ$4,0)),NA(),IF(SUMPRODUCT((Inputs!$A$5:$A$120=$B5)*ISNUMBER(INDEX(Inputs!$K$5:$AJ$120,0,MATCH(N$2,Inputs!$K$4:$AJ$4,0))))+SUMPRODUCT((Inputs!$C$5:$C$120=$B5)*ISNUMBER(INDEX(Inputs!$K$5:$AJ$120,0,MATCH(N$2,Inputs!$K$4:$AJ$4,0))))+SUMPRODUCT((Inputs!$E$5:$E$120=$B5)*ISNUMBER(INDEX(Inputs!$K$5:$AJ$120,0,MATCH(N$2,Inputs!$K$4:$AJ$4,0))))=0,NA(),SUMPRODUCT((Inputs!$A$5:$A$120=$B5)*Inputs!$B$5:$B$120*(((Inputs!$G$5:$G$120="moeda")+(Inputs!$G$5:$G$120="acoes"))*Inputs!$B$1+((Inputs!$G$5:$G$120&lt;&gt;"moeda")*(Inputs!$G$5:$G$120&lt;&gt;"acoes")))*INDEX(Inputs!$K$5:$AJ$120,0,MATCH(N$2,Inputs!$K$4:$AJ$4,0)))+SUMPRODUCT((Inputs!$C$5:$C$120=$B5)*Inputs!$D$5:$D$120*(((Inputs!$G$5:$G$120="moeda")+(Inputs!$G$5:$G$120="acoes"))*Inputs!$B$1+((Inputs!$G$5:$G$120&lt;&gt;"moeda")*(Inputs!$G$5:$G$120&lt;&gt;"acoes")))*INDEX(Inputs!$K$5:$AJ$120,0,MATCH(N$2,Inputs!$K$4:$AJ$4,0)))+SUMPRODUCT((Inputs!$E$5:$E$120=$B5)*Inputs!$F$5:$F$120*(((Inputs!$G$5:$G$120="moeda")+(Inputs!$G$5:$G$120="acoes"))*Inputs!$B$1+((Inputs!$G$5:$G$120&lt;&gt;"moeda")*(Inputs!$G$5:$G$120&lt;&gt;"acoes")))*INDEX(Inputs!$K$5:$AJ$120,0,MATCH(N$2,Inputs!$K$4:$AJ$4,0)))))</f>
        <v>-14045</v>
      </c>
      <c r="O5" s="267">
        <f>IF(ISNA(MATCH(O$2,Inputs!$K$4:$AJ$4,0)),NA(),IF(SUMPRODUCT((Inputs!$A$5:$A$120=$B5)*ISNUMBER(INDEX(Inputs!$K$5:$AJ$120,0,MATCH(O$2,Inputs!$K$4:$AJ$4,0))))+SUMPRODUCT((Inputs!$C$5:$C$120=$B5)*ISNUMBER(INDEX(Inputs!$K$5:$AJ$120,0,MATCH(O$2,Inputs!$K$4:$AJ$4,0))))+SUMPRODUCT((Inputs!$E$5:$E$120=$B5)*ISNUMBER(INDEX(Inputs!$K$5:$AJ$120,0,MATCH(O$2,Inputs!$K$4:$AJ$4,0))))=0,NA(),SUMPRODUCT((Inputs!$A$5:$A$120=$B5)*Inputs!$B$5:$B$120*(((Inputs!$G$5:$G$120="moeda")+(Inputs!$G$5:$G$120="acoes"))*Inputs!$B$1+((Inputs!$G$5:$G$120&lt;&gt;"moeda")*(Inputs!$G$5:$G$120&lt;&gt;"acoes")))*INDEX(Inputs!$K$5:$AJ$120,0,MATCH(O$2,Inputs!$K$4:$AJ$4,0)))+SUMPRODUCT((Inputs!$C$5:$C$120=$B5)*Inputs!$D$5:$D$120*(((Inputs!$G$5:$G$120="moeda")+(Inputs!$G$5:$G$120="acoes"))*Inputs!$B$1+((Inputs!$G$5:$G$120&lt;&gt;"moeda")*(Inputs!$G$5:$G$120&lt;&gt;"acoes")))*INDEX(Inputs!$K$5:$AJ$120,0,MATCH(O$2,Inputs!$K$4:$AJ$4,0)))+SUMPRODUCT((Inputs!$E$5:$E$120=$B5)*Inputs!$F$5:$F$120*(((Inputs!$G$5:$G$120="moeda")+(Inputs!$G$5:$G$120="acoes"))*Inputs!$B$1+((Inputs!$G$5:$G$120&lt;&gt;"moeda")*(Inputs!$G$5:$G$120&lt;&gt;"acoes")))*INDEX(Inputs!$K$5:$AJ$120,0,MATCH(O$2,Inputs!$K$4:$AJ$4,0)))))</f>
        <v>-13578</v>
      </c>
      <c r="P5" s="267">
        <f>IF(ISNA(MATCH(P$2,Inputs!$K$4:$AJ$4,0)),NA(),IF(SUMPRODUCT((Inputs!$A$5:$A$120=$B5)*ISNUMBER(INDEX(Inputs!$K$5:$AJ$120,0,MATCH(P$2,Inputs!$K$4:$AJ$4,0))))+SUMPRODUCT((Inputs!$C$5:$C$120=$B5)*ISNUMBER(INDEX(Inputs!$K$5:$AJ$120,0,MATCH(P$2,Inputs!$K$4:$AJ$4,0))))+SUMPRODUCT((Inputs!$E$5:$E$120=$B5)*ISNUMBER(INDEX(Inputs!$K$5:$AJ$120,0,MATCH(P$2,Inputs!$K$4:$AJ$4,0))))=0,NA(),SUMPRODUCT((Inputs!$A$5:$A$120=$B5)*Inputs!$B$5:$B$120*(((Inputs!$G$5:$G$120="moeda")+(Inputs!$G$5:$G$120="acoes"))*Inputs!$B$1+((Inputs!$G$5:$G$120&lt;&gt;"moeda")*(Inputs!$G$5:$G$120&lt;&gt;"acoes")))*INDEX(Inputs!$K$5:$AJ$120,0,MATCH(P$2,Inputs!$K$4:$AJ$4,0)))+SUMPRODUCT((Inputs!$C$5:$C$120=$B5)*Inputs!$D$5:$D$120*(((Inputs!$G$5:$G$120="moeda")+(Inputs!$G$5:$G$120="acoes"))*Inputs!$B$1+((Inputs!$G$5:$G$120&lt;&gt;"moeda")*(Inputs!$G$5:$G$120&lt;&gt;"acoes")))*INDEX(Inputs!$K$5:$AJ$120,0,MATCH(P$2,Inputs!$K$4:$AJ$4,0)))+SUMPRODUCT((Inputs!$E$5:$E$120=$B5)*Inputs!$F$5:$F$120*(((Inputs!$G$5:$G$120="moeda")+(Inputs!$G$5:$G$120="acoes"))*Inputs!$B$1+((Inputs!$G$5:$G$120&lt;&gt;"moeda")*(Inputs!$G$5:$G$120&lt;&gt;"acoes")))*INDEX(Inputs!$K$5:$AJ$120,0,MATCH(P$2,Inputs!$K$4:$AJ$4,0)))))</f>
        <v>-13073</v>
      </c>
      <c r="Q5" s="267">
        <f>IF(ISNA(MATCH(Q$2,Inputs!$K$4:$AJ$4,0)),NA(),IF(SUMPRODUCT((Inputs!$A$5:$A$120=$B5)*ISNUMBER(INDEX(Inputs!$K$5:$AJ$120,0,MATCH(Q$2,Inputs!$K$4:$AJ$4,0))))+SUMPRODUCT((Inputs!$C$5:$C$120=$B5)*ISNUMBER(INDEX(Inputs!$K$5:$AJ$120,0,MATCH(Q$2,Inputs!$K$4:$AJ$4,0))))+SUMPRODUCT((Inputs!$E$5:$E$120=$B5)*ISNUMBER(INDEX(Inputs!$K$5:$AJ$120,0,MATCH(Q$2,Inputs!$K$4:$AJ$4,0))))=0,NA(),SUMPRODUCT((Inputs!$A$5:$A$120=$B5)*Inputs!$B$5:$B$120*(((Inputs!$G$5:$G$120="moeda")+(Inputs!$G$5:$G$120="acoes"))*Inputs!$B$1+((Inputs!$G$5:$G$120&lt;&gt;"moeda")*(Inputs!$G$5:$G$120&lt;&gt;"acoes")))*INDEX(Inputs!$K$5:$AJ$120,0,MATCH(Q$2,Inputs!$K$4:$AJ$4,0)))+SUMPRODUCT((Inputs!$C$5:$C$120=$B5)*Inputs!$D$5:$D$120*(((Inputs!$G$5:$G$120="moeda")+(Inputs!$G$5:$G$120="acoes"))*Inputs!$B$1+((Inputs!$G$5:$G$120&lt;&gt;"moeda")*(Inputs!$G$5:$G$120&lt;&gt;"acoes")))*INDEX(Inputs!$K$5:$AJ$120,0,MATCH(Q$2,Inputs!$K$4:$AJ$4,0)))+SUMPRODUCT((Inputs!$E$5:$E$120=$B5)*Inputs!$F$5:$F$120*(((Inputs!$G$5:$G$120="moeda")+(Inputs!$G$5:$G$120="acoes"))*Inputs!$B$1+((Inputs!$G$5:$G$120&lt;&gt;"moeda")*(Inputs!$G$5:$G$120&lt;&gt;"acoes")))*INDEX(Inputs!$K$5:$AJ$120,0,MATCH(Q$2,Inputs!$K$4:$AJ$4,0)))))</f>
        <v>-13548</v>
      </c>
      <c r="R5" s="268">
        <f>SUM(N5:Q5)</f>
        <v>-54244</v>
      </c>
      <c r="S5" s="267">
        <f>IF(ISNA(MATCH(S$2,Inputs!$K$4:$AJ$4,0)),NA(),IF(SUMPRODUCT((Inputs!$A$5:$A$120=$B5)*ISNUMBER(INDEX(Inputs!$K$5:$AJ$120,0,MATCH(S$2,Inputs!$K$4:$AJ$4,0))))+SUMPRODUCT((Inputs!$C$5:$C$120=$B5)*ISNUMBER(INDEX(Inputs!$K$5:$AJ$120,0,MATCH(S$2,Inputs!$K$4:$AJ$4,0))))+SUMPRODUCT((Inputs!$E$5:$E$120=$B5)*ISNUMBER(INDEX(Inputs!$K$5:$AJ$120,0,MATCH(S$2,Inputs!$K$4:$AJ$4,0))))=0,NA(),SUMPRODUCT((Inputs!$A$5:$A$120=$B5)*Inputs!$B$5:$B$120*(((Inputs!$G$5:$G$120="moeda")+(Inputs!$G$5:$G$120="acoes"))*Inputs!$B$1+((Inputs!$G$5:$G$120&lt;&gt;"moeda")*(Inputs!$G$5:$G$120&lt;&gt;"acoes")))*INDEX(Inputs!$K$5:$AJ$120,0,MATCH(S$2,Inputs!$K$4:$AJ$4,0)))+SUMPRODUCT((Inputs!$C$5:$C$120=$B5)*Inputs!$D$5:$D$120*(((Inputs!$G$5:$G$120="moeda")+(Inputs!$G$5:$G$120="acoes"))*Inputs!$B$1+((Inputs!$G$5:$G$120&lt;&gt;"moeda")*(Inputs!$G$5:$G$120&lt;&gt;"acoes")))*INDEX(Inputs!$K$5:$AJ$120,0,MATCH(S$2,Inputs!$K$4:$AJ$4,0)))+SUMPRODUCT((Inputs!$E$5:$E$120=$B5)*Inputs!$F$5:$F$120*(((Inputs!$G$5:$G$120="moeda")+(Inputs!$G$5:$G$120="acoes"))*Inputs!$B$1+((Inputs!$G$5:$G$120&lt;&gt;"moeda")*(Inputs!$G$5:$G$120&lt;&gt;"acoes")))*INDEX(Inputs!$K$5:$AJ$120,0,MATCH(S$2,Inputs!$K$4:$AJ$4,0)))))</f>
        <v>-12429</v>
      </c>
      <c r="T5" s="267">
        <f>IF(ISNA(MATCH(T$2,Inputs!$K$4:$AJ$4,0)),NA(),IF(SUMPRODUCT((Inputs!$A$5:$A$120=$B5)*ISNUMBER(INDEX(Inputs!$K$5:$AJ$120,0,MATCH(T$2,Inputs!$K$4:$AJ$4,0))))+SUMPRODUCT((Inputs!$C$5:$C$120=$B5)*ISNUMBER(INDEX(Inputs!$K$5:$AJ$120,0,MATCH(T$2,Inputs!$K$4:$AJ$4,0))))+SUMPRODUCT((Inputs!$E$5:$E$120=$B5)*ISNUMBER(INDEX(Inputs!$K$5:$AJ$120,0,MATCH(T$2,Inputs!$K$4:$AJ$4,0))))=0,NA(),SUMPRODUCT((Inputs!$A$5:$A$120=$B5)*Inputs!$B$5:$B$120*(((Inputs!$G$5:$G$120="moeda")+(Inputs!$G$5:$G$120="acoes"))*Inputs!$B$1+((Inputs!$G$5:$G$120&lt;&gt;"moeda")*(Inputs!$G$5:$G$120&lt;&gt;"acoes")))*INDEX(Inputs!$K$5:$AJ$120,0,MATCH(T$2,Inputs!$K$4:$AJ$4,0)))+SUMPRODUCT((Inputs!$C$5:$C$120=$B5)*Inputs!$D$5:$D$120*(((Inputs!$G$5:$G$120="moeda")+(Inputs!$G$5:$G$120="acoes"))*Inputs!$B$1+((Inputs!$G$5:$G$120&lt;&gt;"moeda")*(Inputs!$G$5:$G$120&lt;&gt;"acoes")))*INDEX(Inputs!$K$5:$AJ$120,0,MATCH(T$2,Inputs!$K$4:$AJ$4,0)))+SUMPRODUCT((Inputs!$E$5:$E$120=$B5)*Inputs!$F$5:$F$120*(((Inputs!$G$5:$G$120="moeda")+(Inputs!$G$5:$G$120="acoes"))*Inputs!$B$1+((Inputs!$G$5:$G$120&lt;&gt;"moeda")*(Inputs!$G$5:$G$120&lt;&gt;"acoes")))*INDEX(Inputs!$K$5:$AJ$120,0,MATCH(T$2,Inputs!$K$4:$AJ$4,0)))))</f>
        <v>-12463</v>
      </c>
      <c r="U5" s="267">
        <f>IF(ISNA(MATCH(U$2,Inputs!$K$4:$AJ$4,0)),NA(),IF(SUMPRODUCT((Inputs!$A$5:$A$120=$B5)*ISNUMBER(INDEX(Inputs!$K$5:$AJ$120,0,MATCH(U$2,Inputs!$K$4:$AJ$4,0))))+SUMPRODUCT((Inputs!$C$5:$C$120=$B5)*ISNUMBER(INDEX(Inputs!$K$5:$AJ$120,0,MATCH(U$2,Inputs!$K$4:$AJ$4,0))))+SUMPRODUCT((Inputs!$E$5:$E$120=$B5)*ISNUMBER(INDEX(Inputs!$K$5:$AJ$120,0,MATCH(U$2,Inputs!$K$4:$AJ$4,0))))=0,NA(),SUMPRODUCT((Inputs!$A$5:$A$120=$B5)*Inputs!$B$5:$B$120*(((Inputs!$G$5:$G$120="moeda")+(Inputs!$G$5:$G$120="acoes"))*Inputs!$B$1+((Inputs!$G$5:$G$120&lt;&gt;"moeda")*(Inputs!$G$5:$G$120&lt;&gt;"acoes")))*INDEX(Inputs!$K$5:$AJ$120,0,MATCH(U$2,Inputs!$K$4:$AJ$4,0)))+SUMPRODUCT((Inputs!$C$5:$C$120=$B5)*Inputs!$D$5:$D$120*(((Inputs!$G$5:$G$120="moeda")+(Inputs!$G$5:$G$120="acoes"))*Inputs!$B$1+((Inputs!$G$5:$G$120&lt;&gt;"moeda")*(Inputs!$G$5:$G$120&lt;&gt;"acoes")))*INDEX(Inputs!$K$5:$AJ$120,0,MATCH(U$2,Inputs!$K$4:$AJ$4,0)))+SUMPRODUCT((Inputs!$E$5:$E$120=$B5)*Inputs!$F$5:$F$120*(((Inputs!$G$5:$G$120="moeda")+(Inputs!$G$5:$G$120="acoes"))*Inputs!$B$1+((Inputs!$G$5:$G$120&lt;&gt;"moeda")*(Inputs!$G$5:$G$120&lt;&gt;"acoes")))*INDEX(Inputs!$K$5:$AJ$120,0,MATCH(U$2,Inputs!$K$4:$AJ$4,0)))))</f>
        <v>-12017</v>
      </c>
      <c r="V5" s="267">
        <f>IF(ISNA(MATCH(V$2,Inputs!$K$4:$AJ$4,0)),NA(),IF(SUMPRODUCT((Inputs!$A$5:$A$120=$B5)*ISNUMBER(INDEX(Inputs!$K$5:$AJ$120,0,MATCH(V$2,Inputs!$K$4:$AJ$4,0))))+SUMPRODUCT((Inputs!$C$5:$C$120=$B5)*ISNUMBER(INDEX(Inputs!$K$5:$AJ$120,0,MATCH(V$2,Inputs!$K$4:$AJ$4,0))))+SUMPRODUCT((Inputs!$E$5:$E$120=$B5)*ISNUMBER(INDEX(Inputs!$K$5:$AJ$120,0,MATCH(V$2,Inputs!$K$4:$AJ$4,0))))=0,NA(),SUMPRODUCT((Inputs!$A$5:$A$120=$B5)*Inputs!$B$5:$B$120*(((Inputs!$G$5:$G$120="moeda")+(Inputs!$G$5:$G$120="acoes"))*Inputs!$B$1+((Inputs!$G$5:$G$120&lt;&gt;"moeda")*(Inputs!$G$5:$G$120&lt;&gt;"acoes")))*INDEX(Inputs!$K$5:$AJ$120,0,MATCH(V$2,Inputs!$K$4:$AJ$4,0)))+SUMPRODUCT((Inputs!$C$5:$C$120=$B5)*Inputs!$D$5:$D$120*(((Inputs!$G$5:$G$120="moeda")+(Inputs!$G$5:$G$120="acoes"))*Inputs!$B$1+((Inputs!$G$5:$G$120&lt;&gt;"moeda")*(Inputs!$G$5:$G$120&lt;&gt;"acoes")))*INDEX(Inputs!$K$5:$AJ$120,0,MATCH(V$2,Inputs!$K$4:$AJ$4,0)))+SUMPRODUCT((Inputs!$E$5:$E$120=$B5)*Inputs!$F$5:$F$120*(((Inputs!$G$5:$G$120="moeda")+(Inputs!$G$5:$G$120="acoes"))*Inputs!$B$1+((Inputs!$G$5:$G$120&lt;&gt;"moeda")*(Inputs!$G$5:$G$120&lt;&gt;"acoes")))*INDEX(Inputs!$K$5:$AJ$120,0,MATCH(V$2,Inputs!$K$4:$AJ$4,0)))))</f>
        <v>-12338</v>
      </c>
      <c r="W5" s="268">
        <f>SUM(S5:V5)</f>
        <v>-49247</v>
      </c>
      <c r="X5" s="267">
        <f>IF(ISNA(MATCH(X$2,Inputs!$K$4:$AJ$4,0)),NA(),IF(SUMPRODUCT((Inputs!$A$5:$A$120=$B5)*ISNUMBER(INDEX(Inputs!$K$5:$AJ$120,0,MATCH(X$2,Inputs!$K$4:$AJ$4,0))))+SUMPRODUCT((Inputs!$C$5:$C$120=$B5)*ISNUMBER(INDEX(Inputs!$K$5:$AJ$120,0,MATCH(X$2,Inputs!$K$4:$AJ$4,0))))+SUMPRODUCT((Inputs!$E$5:$E$120=$B5)*ISNUMBER(INDEX(Inputs!$K$5:$AJ$120,0,MATCH(X$2,Inputs!$K$4:$AJ$4,0))))=0,NA(),SUMPRODUCT((Inputs!$A$5:$A$120=$B5)*Inputs!$B$5:$B$120*(((Inputs!$G$5:$G$120="moeda")+(Inputs!$G$5:$G$120="acoes"))*Inputs!$B$1+((Inputs!$G$5:$G$120&lt;&gt;"moeda")*(Inputs!$G$5:$G$120&lt;&gt;"acoes")))*INDEX(Inputs!$K$5:$AJ$120,0,MATCH(X$2,Inputs!$K$4:$AJ$4,0)))+SUMPRODUCT((Inputs!$C$5:$C$120=$B5)*Inputs!$D$5:$D$120*(((Inputs!$G$5:$G$120="moeda")+(Inputs!$G$5:$G$120="acoes"))*Inputs!$B$1+((Inputs!$G$5:$G$120&lt;&gt;"moeda")*(Inputs!$G$5:$G$120&lt;&gt;"acoes")))*INDEX(Inputs!$K$5:$AJ$120,0,MATCH(X$2,Inputs!$K$4:$AJ$4,0)))+SUMPRODUCT((Inputs!$E$5:$E$120=$B5)*Inputs!$F$5:$F$120*(((Inputs!$G$5:$G$120="moeda")+(Inputs!$G$5:$G$120="acoes"))*Inputs!$B$1+((Inputs!$G$5:$G$120&lt;&gt;"moeda")*(Inputs!$G$5:$G$120&lt;&gt;"acoes")))*INDEX(Inputs!$K$5:$AJ$120,0,MATCH(X$2,Inputs!$K$4:$AJ$4,0)))))</f>
        <v>-10926</v>
      </c>
      <c r="Y5" s="267">
        <f>IF(ISNA(MATCH(Y$2,Inputs!$K$4:$AJ$4,0)),NA(),IF(SUMPRODUCT((Inputs!$A$5:$A$120=$B5)*ISNUMBER(INDEX(Inputs!$K$5:$AJ$120,0,MATCH(Y$2,Inputs!$K$4:$AJ$4,0))))+SUMPRODUCT((Inputs!$C$5:$C$120=$B5)*ISNUMBER(INDEX(Inputs!$K$5:$AJ$120,0,MATCH(Y$2,Inputs!$K$4:$AJ$4,0))))+SUMPRODUCT((Inputs!$E$5:$E$120=$B5)*ISNUMBER(INDEX(Inputs!$K$5:$AJ$120,0,MATCH(Y$2,Inputs!$K$4:$AJ$4,0))))=0,NA(),SUMPRODUCT((Inputs!$A$5:$A$120=$B5)*Inputs!$B$5:$B$120*(((Inputs!$G$5:$G$120="moeda")+(Inputs!$G$5:$G$120="acoes"))*Inputs!$B$1+((Inputs!$G$5:$G$120&lt;&gt;"moeda")*(Inputs!$G$5:$G$120&lt;&gt;"acoes")))*INDEX(Inputs!$K$5:$AJ$120,0,MATCH(Y$2,Inputs!$K$4:$AJ$4,0)))+SUMPRODUCT((Inputs!$C$5:$C$120=$B5)*Inputs!$D$5:$D$120*(((Inputs!$G$5:$G$120="moeda")+(Inputs!$G$5:$G$120="acoes"))*Inputs!$B$1+((Inputs!$G$5:$G$120&lt;&gt;"moeda")*(Inputs!$G$5:$G$120&lt;&gt;"acoes")))*INDEX(Inputs!$K$5:$AJ$120,0,MATCH(Y$2,Inputs!$K$4:$AJ$4,0)))+SUMPRODUCT((Inputs!$E$5:$E$120=$B5)*Inputs!$F$5:$F$120*(((Inputs!$G$5:$G$120="moeda")+(Inputs!$G$5:$G$120="acoes"))*Inputs!$B$1+((Inputs!$G$5:$G$120&lt;&gt;"moeda")*(Inputs!$G$5:$G$120&lt;&gt;"acoes")))*INDEX(Inputs!$K$5:$AJ$120,0,MATCH(Y$2,Inputs!$K$4:$AJ$4,0)))))</f>
        <v>-11915</v>
      </c>
      <c r="Z5" s="267">
        <f>IF(ISNA(MATCH(Z$2,Inputs!$K$4:$AJ$4,0)),NA(),IF(SUMPRODUCT((Inputs!$A$5:$A$120=$B5)*ISNUMBER(INDEX(Inputs!$K$5:$AJ$120,0,MATCH(Z$2,Inputs!$K$4:$AJ$4,0))))+SUMPRODUCT((Inputs!$C$5:$C$120=$B5)*ISNUMBER(INDEX(Inputs!$K$5:$AJ$120,0,MATCH(Z$2,Inputs!$K$4:$AJ$4,0))))+SUMPRODUCT((Inputs!$E$5:$E$120=$B5)*ISNUMBER(INDEX(Inputs!$K$5:$AJ$120,0,MATCH(Z$2,Inputs!$K$4:$AJ$4,0))))=0,NA(),SUMPRODUCT((Inputs!$A$5:$A$120=$B5)*Inputs!$B$5:$B$120*(((Inputs!$G$5:$G$120="moeda")+(Inputs!$G$5:$G$120="acoes"))*Inputs!$B$1+((Inputs!$G$5:$G$120&lt;&gt;"moeda")*(Inputs!$G$5:$G$120&lt;&gt;"acoes")))*INDEX(Inputs!$K$5:$AJ$120,0,MATCH(Z$2,Inputs!$K$4:$AJ$4,0)))+SUMPRODUCT((Inputs!$C$5:$C$120=$B5)*Inputs!$D$5:$D$120*(((Inputs!$G$5:$G$120="moeda")+(Inputs!$G$5:$G$120="acoes"))*Inputs!$B$1+((Inputs!$G$5:$G$120&lt;&gt;"moeda")*(Inputs!$G$5:$G$120&lt;&gt;"acoes")))*INDEX(Inputs!$K$5:$AJ$120,0,MATCH(Z$2,Inputs!$K$4:$AJ$4,0)))+SUMPRODUCT((Inputs!$E$5:$E$120=$B5)*Inputs!$F$5:$F$120*(((Inputs!$G$5:$G$120="moeda")+(Inputs!$G$5:$G$120="acoes"))*Inputs!$B$1+((Inputs!$G$5:$G$120&lt;&gt;"moeda")*(Inputs!$G$5:$G$120&lt;&gt;"acoes")))*INDEX(Inputs!$K$5:$AJ$120,0,MATCH(Z$2,Inputs!$K$4:$AJ$4,0)))))</f>
        <v>-20851</v>
      </c>
      <c r="AA5" s="267">
        <f>IF(ISNA(MATCH(AA$2,Inputs!$K$4:$AJ$4,0)),NA(),IF(SUMPRODUCT((Inputs!$A$5:$A$120=$B5)*ISNUMBER(INDEX(Inputs!$K$5:$AJ$120,0,MATCH(AA$2,Inputs!$K$4:$AJ$4,0))))+SUMPRODUCT((Inputs!$C$5:$C$120=$B5)*ISNUMBER(INDEX(Inputs!$K$5:$AJ$120,0,MATCH(AA$2,Inputs!$K$4:$AJ$4,0))))+SUMPRODUCT((Inputs!$E$5:$E$120=$B5)*ISNUMBER(INDEX(Inputs!$K$5:$AJ$120,0,MATCH(AA$2,Inputs!$K$4:$AJ$4,0))))=0,NA(),SUMPRODUCT((Inputs!$A$5:$A$120=$B5)*Inputs!$B$5:$B$120*(((Inputs!$G$5:$G$120="moeda")+(Inputs!$G$5:$G$120="acoes"))*Inputs!$B$1+((Inputs!$G$5:$G$120&lt;&gt;"moeda")*(Inputs!$G$5:$G$120&lt;&gt;"acoes")))*INDEX(Inputs!$K$5:$AJ$120,0,MATCH(AA$2,Inputs!$K$4:$AJ$4,0)))+SUMPRODUCT((Inputs!$C$5:$C$120=$B5)*Inputs!$D$5:$D$120*(((Inputs!$G$5:$G$120="moeda")+(Inputs!$G$5:$G$120="acoes"))*Inputs!$B$1+((Inputs!$G$5:$G$120&lt;&gt;"moeda")*(Inputs!$G$5:$G$120&lt;&gt;"acoes")))*INDEX(Inputs!$K$5:$AJ$120,0,MATCH(AA$2,Inputs!$K$4:$AJ$4,0)))+SUMPRODUCT((Inputs!$E$5:$E$120=$B5)*Inputs!$F$5:$F$120*(((Inputs!$G$5:$G$120="moeda")+(Inputs!$G$5:$G$120="acoes"))*Inputs!$B$1+((Inputs!$G$5:$G$120&lt;&gt;"moeda")*(Inputs!$G$5:$G$120&lt;&gt;"acoes")))*INDEX(Inputs!$K$5:$AJ$120,0,MATCH(AA$2,Inputs!$K$4:$AJ$4,0)))))</f>
        <v>-22525</v>
      </c>
      <c r="AB5" s="268">
        <f>SUM(X5:AA5)</f>
        <v>-66217</v>
      </c>
      <c r="AC5" s="267">
        <f>IF(ISNA(MATCH(AC$2,Inputs!$K$4:$AJ$4,0)),NA(),IF(SUMPRODUCT((Inputs!$A$5:$A$120=$B5)*ISNUMBER(INDEX(Inputs!$K$5:$AJ$120,0,MATCH(AC$2,Inputs!$K$4:$AJ$4,0))))+SUMPRODUCT((Inputs!$C$5:$C$120=$B5)*ISNUMBER(INDEX(Inputs!$K$5:$AJ$120,0,MATCH(AC$2,Inputs!$K$4:$AJ$4,0))))+SUMPRODUCT((Inputs!$E$5:$E$120=$B5)*ISNUMBER(INDEX(Inputs!$K$5:$AJ$120,0,MATCH(AC$2,Inputs!$K$4:$AJ$4,0))))=0,NA(),SUMPRODUCT((Inputs!$A$5:$A$120=$B5)*Inputs!$B$5:$B$120*(((Inputs!$G$5:$G$120="moeda")+(Inputs!$G$5:$G$120="acoes"))*Inputs!$B$1+((Inputs!$G$5:$G$120&lt;&gt;"moeda")*(Inputs!$G$5:$G$120&lt;&gt;"acoes")))*INDEX(Inputs!$K$5:$AJ$120,0,MATCH(AC$2,Inputs!$K$4:$AJ$4,0)))+SUMPRODUCT((Inputs!$C$5:$C$120=$B5)*Inputs!$D$5:$D$120*(((Inputs!$G$5:$G$120="moeda")+(Inputs!$G$5:$G$120="acoes"))*Inputs!$B$1+((Inputs!$G$5:$G$120&lt;&gt;"moeda")*(Inputs!$G$5:$G$120&lt;&gt;"acoes")))*INDEX(Inputs!$K$5:$AJ$120,0,MATCH(AC$2,Inputs!$K$4:$AJ$4,0)))+SUMPRODUCT((Inputs!$E$5:$E$120=$B5)*Inputs!$F$5:$F$120*(((Inputs!$G$5:$G$120="moeda")+(Inputs!$G$5:$G$120="acoes"))*Inputs!$B$1+((Inputs!$G$5:$G$120&lt;&gt;"moeda")*(Inputs!$G$5:$G$120&lt;&gt;"acoes")))*INDEX(Inputs!$K$5:$AJ$120,0,MATCH(AC$2,Inputs!$K$4:$AJ$4,0)))))</f>
        <v>-20857</v>
      </c>
      <c r="AD5" s="267">
        <f>IF(ISNA(MATCH(AD$2,Inputs!$K$4:$AJ$4,0)),NA(),IF(SUMPRODUCT((Inputs!$A$5:$A$120=$B5)*ISNUMBER(INDEX(Inputs!$K$5:$AJ$120,0,MATCH(AD$2,Inputs!$K$4:$AJ$4,0))))+SUMPRODUCT((Inputs!$C$5:$C$120=$B5)*ISNUMBER(INDEX(Inputs!$K$5:$AJ$120,0,MATCH(AD$2,Inputs!$K$4:$AJ$4,0))))+SUMPRODUCT((Inputs!$E$5:$E$120=$B5)*ISNUMBER(INDEX(Inputs!$K$5:$AJ$120,0,MATCH(AD$2,Inputs!$K$4:$AJ$4,0))))=0,NA(),SUMPRODUCT((Inputs!$A$5:$A$120=$B5)*Inputs!$B$5:$B$120*(((Inputs!$G$5:$G$120="moeda")+(Inputs!$G$5:$G$120="acoes"))*Inputs!$B$1+((Inputs!$G$5:$G$120&lt;&gt;"moeda")*(Inputs!$G$5:$G$120&lt;&gt;"acoes")))*INDEX(Inputs!$K$5:$AJ$120,0,MATCH(AD$2,Inputs!$K$4:$AJ$4,0)))+SUMPRODUCT((Inputs!$C$5:$C$120=$B5)*Inputs!$D$5:$D$120*(((Inputs!$G$5:$G$120="moeda")+(Inputs!$G$5:$G$120="acoes"))*Inputs!$B$1+((Inputs!$G$5:$G$120&lt;&gt;"moeda")*(Inputs!$G$5:$G$120&lt;&gt;"acoes")))*INDEX(Inputs!$K$5:$AJ$120,0,MATCH(AD$2,Inputs!$K$4:$AJ$4,0)))+SUMPRODUCT((Inputs!$E$5:$E$120=$B5)*Inputs!$F$5:$F$120*(((Inputs!$G$5:$G$120="moeda")+(Inputs!$G$5:$G$120="acoes"))*Inputs!$B$1+((Inputs!$G$5:$G$120&lt;&gt;"moeda")*(Inputs!$G$5:$G$120&lt;&gt;"acoes")))*INDEX(Inputs!$K$5:$AJ$120,0,MATCH(AD$2,Inputs!$K$4:$AJ$4,0)))))</f>
        <v>-22104</v>
      </c>
      <c r="AE5" s="267" t="e">
        <f>IF(ISNA(MATCH(AE$2,Inputs!$K$4:$AJ$4,0)),NA(),IF(SUMPRODUCT((Inputs!$A$5:$A$120=$B5)*ISNUMBER(INDEX(Inputs!$K$5:$AJ$120,0,MATCH(AE$2,Inputs!$K$4:$AJ$4,0))))+SUMPRODUCT((Inputs!$C$5:$C$120=$B5)*ISNUMBER(INDEX(Inputs!$K$5:$AJ$120,0,MATCH(AE$2,Inputs!$K$4:$AJ$4,0))))+SUMPRODUCT((Inputs!$E$5:$E$120=$B5)*ISNUMBER(INDEX(Inputs!$K$5:$AJ$120,0,MATCH(AE$2,Inputs!$K$4:$AJ$4,0))))=0,NA(),SUMPRODUCT((Inputs!$A$5:$A$120=$B5)*Inputs!$B$5:$B$120*(((Inputs!$G$5:$G$120="moeda")+(Inputs!$G$5:$G$120="acoes"))*Inputs!$B$1+((Inputs!$G$5:$G$120&lt;&gt;"moeda")*(Inputs!$G$5:$G$120&lt;&gt;"acoes")))*INDEX(Inputs!$K$5:$AJ$120,0,MATCH(AE$2,Inputs!$K$4:$AJ$4,0)))+SUMPRODUCT((Inputs!$C$5:$C$120=$B5)*Inputs!$D$5:$D$120*(((Inputs!$G$5:$G$120="moeda")+(Inputs!$G$5:$G$120="acoes"))*Inputs!$B$1+((Inputs!$G$5:$G$120&lt;&gt;"moeda")*(Inputs!$G$5:$G$120&lt;&gt;"acoes")))*INDEX(Inputs!$K$5:$AJ$120,0,MATCH(AE$2,Inputs!$K$4:$AJ$4,0)))+SUMPRODUCT((Inputs!$E$5:$E$120=$B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" s="267" t="e">
        <f>IF(ISNA(MATCH(AF$2,Inputs!$K$4:$AJ$4,0)),NA(),IF(SUMPRODUCT((Inputs!$A$5:$A$120=$B5)*ISNUMBER(INDEX(Inputs!$K$5:$AJ$120,0,MATCH(AF$2,Inputs!$K$4:$AJ$4,0))))+SUMPRODUCT((Inputs!$C$5:$C$120=$B5)*ISNUMBER(INDEX(Inputs!$K$5:$AJ$120,0,MATCH(AF$2,Inputs!$K$4:$AJ$4,0))))+SUMPRODUCT((Inputs!$E$5:$E$120=$B5)*ISNUMBER(INDEX(Inputs!$K$5:$AJ$120,0,MATCH(AF$2,Inputs!$K$4:$AJ$4,0))))=0,NA(),SUMPRODUCT((Inputs!$A$5:$A$120=$B5)*Inputs!$B$5:$B$120*(((Inputs!$G$5:$G$120="moeda")+(Inputs!$G$5:$G$120="acoes"))*Inputs!$B$1+((Inputs!$G$5:$G$120&lt;&gt;"moeda")*(Inputs!$G$5:$G$120&lt;&gt;"acoes")))*INDEX(Inputs!$K$5:$AJ$120,0,MATCH(AF$2,Inputs!$K$4:$AJ$4,0)))+SUMPRODUCT((Inputs!$C$5:$C$120=$B5)*Inputs!$D$5:$D$120*(((Inputs!$G$5:$G$120="moeda")+(Inputs!$G$5:$G$120="acoes"))*Inputs!$B$1+((Inputs!$G$5:$G$120&lt;&gt;"moeda")*(Inputs!$G$5:$G$120&lt;&gt;"acoes")))*INDEX(Inputs!$K$5:$AJ$120,0,MATCH(AF$2,Inputs!$K$4:$AJ$4,0)))+SUMPRODUCT((Inputs!$E$5:$E$120=$B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" s="268" t="e">
        <f>SUM(AC5:AF5)</f>
        <v>#N/A</v>
      </c>
      <c r="AH5" s="267">
        <f>IF(ISNA(MATCH(AH$2,Inputs!$K$4:$AJ$4,0)),NA(),IF(SUMPRODUCT((Inputs!$A$5:$A$120=$B5)*ISNUMBER(INDEX(Inputs!$K$5:$AJ$120,0,MATCH(AH$2,Inputs!$K$4:$AJ$4,0))))+SUMPRODUCT((Inputs!$C$5:$C$120=$B5)*ISNUMBER(INDEX(Inputs!$K$5:$AJ$120,0,MATCH(AH$2,Inputs!$K$4:$AJ$4,0))))+SUMPRODUCT((Inputs!$E$5:$E$120=$B5)*ISNUMBER(INDEX(Inputs!$K$5:$AJ$120,0,MATCH(AH$2,Inputs!$K$4:$AJ$4,0))))=0,NA(),SUMPRODUCT((Inputs!$A$5:$A$120=$B5)*Inputs!$B$5:$B$120*(((Inputs!$G$5:$G$120="moeda")+(Inputs!$G$5:$G$120="acoes"))*Inputs!$B$1+((Inputs!$G$5:$G$120&lt;&gt;"moeda")*(Inputs!$G$5:$G$120&lt;&gt;"acoes")))*INDEX(Inputs!$K$5:$AJ$120,0,MATCH(AH$2,Inputs!$K$4:$AJ$4,0)))+SUMPRODUCT((Inputs!$C$5:$C$120=$B5)*Inputs!$D$5:$D$120*(((Inputs!$G$5:$G$120="moeda")+(Inputs!$G$5:$G$120="acoes"))*Inputs!$B$1+((Inputs!$G$5:$G$120&lt;&gt;"moeda")*(Inputs!$G$5:$G$120&lt;&gt;"acoes")))*INDEX(Inputs!$K$5:$AJ$120,0,MATCH(AH$2,Inputs!$K$4:$AJ$4,0)))+SUMPRODUCT((Inputs!$E$5:$E$120=$B5)*Inputs!$F$5:$F$120*(((Inputs!$G$5:$G$120="moeda")+(Inputs!$G$5:$G$120="acoes"))*Inputs!$B$1+((Inputs!$G$5:$G$120&lt;&gt;"moeda")*(Inputs!$G$5:$G$120&lt;&gt;"acoes")))*INDEX(Inputs!$K$5:$AJ$120,0,MATCH(AH$2,Inputs!$K$4:$AJ$4,0)))))</f>
        <v>-8886</v>
      </c>
      <c r="AI5" s="267">
        <f>IF(ISNA(MATCH(AI$2,Inputs!$K$4:$AJ$4,0)),NA(),IF(SUMPRODUCT((Inputs!$A$5:$A$120=$B5)*ISNUMBER(INDEX(Inputs!$K$5:$AJ$120,0,MATCH(AI$2,Inputs!$K$4:$AJ$4,0))))+SUMPRODUCT((Inputs!$C$5:$C$120=$B5)*ISNUMBER(INDEX(Inputs!$K$5:$AJ$120,0,MATCH(AI$2,Inputs!$K$4:$AJ$4,0))))+SUMPRODUCT((Inputs!$E$5:$E$120=$B5)*ISNUMBER(INDEX(Inputs!$K$5:$AJ$120,0,MATCH(AI$2,Inputs!$K$4:$AJ$4,0))))=0,NA(),SUMPRODUCT((Inputs!$A$5:$A$120=$B5)*Inputs!$B$5:$B$120*(((Inputs!$G$5:$G$120="moeda")+(Inputs!$G$5:$G$120="acoes"))*Inputs!$B$1+((Inputs!$G$5:$G$120&lt;&gt;"moeda")*(Inputs!$G$5:$G$120&lt;&gt;"acoes")))*INDEX(Inputs!$K$5:$AJ$120,0,MATCH(AI$2,Inputs!$K$4:$AJ$4,0)))+SUMPRODUCT((Inputs!$C$5:$C$120=$B5)*Inputs!$D$5:$D$120*(((Inputs!$G$5:$G$120="moeda")+(Inputs!$G$5:$G$120="acoes"))*Inputs!$B$1+((Inputs!$G$5:$G$120&lt;&gt;"moeda")*(Inputs!$G$5:$G$120&lt;&gt;"acoes")))*INDEX(Inputs!$K$5:$AJ$120,0,MATCH(AI$2,Inputs!$K$4:$AJ$4,0)))+SUMPRODUCT((Inputs!$E$5:$E$120=$B5)*Inputs!$F$5:$F$120*(((Inputs!$G$5:$G$120="moeda")+(Inputs!$G$5:$G$120="acoes"))*Inputs!$B$1+((Inputs!$G$5:$G$120&lt;&gt;"moeda")*(Inputs!$G$5:$G$120&lt;&gt;"acoes")))*INDEX(Inputs!$K$5:$AJ$120,0,MATCH(AI$2,Inputs!$K$4:$AJ$4,0)))))</f>
        <v>-8253</v>
      </c>
      <c r="AJ5" s="267">
        <f>IF(ISNA(MATCH(AJ$2,Inputs!$K$4:$AJ$4,0)),NA(),IF(SUMPRODUCT((Inputs!$A$5:$A$120=$B5)*ISNUMBER(INDEX(Inputs!$K$5:$AJ$120,0,MATCH(AJ$2,Inputs!$K$4:$AJ$4,0))))+SUMPRODUCT((Inputs!$C$5:$C$120=$B5)*ISNUMBER(INDEX(Inputs!$K$5:$AJ$120,0,MATCH(AJ$2,Inputs!$K$4:$AJ$4,0))))+SUMPRODUCT((Inputs!$E$5:$E$120=$B5)*ISNUMBER(INDEX(Inputs!$K$5:$AJ$120,0,MATCH(AJ$2,Inputs!$K$4:$AJ$4,0))))=0,NA(),SUMPRODUCT((Inputs!$A$5:$A$120=$B5)*Inputs!$B$5:$B$120*(((Inputs!$G$5:$G$120="moeda")+(Inputs!$G$5:$G$120="acoes"))*Inputs!$B$1+((Inputs!$G$5:$G$120&lt;&gt;"moeda")*(Inputs!$G$5:$G$120&lt;&gt;"acoes")))*INDEX(Inputs!$K$5:$AJ$120,0,MATCH(AJ$2,Inputs!$K$4:$AJ$4,0)))+SUMPRODUCT((Inputs!$C$5:$C$120=$B5)*Inputs!$D$5:$D$120*(((Inputs!$G$5:$G$120="moeda")+(Inputs!$G$5:$G$120="acoes"))*Inputs!$B$1+((Inputs!$G$5:$G$120&lt;&gt;"moeda")*(Inputs!$G$5:$G$120&lt;&gt;"acoes")))*INDEX(Inputs!$K$5:$AJ$120,0,MATCH(AJ$2,Inputs!$K$4:$AJ$4,0)))+SUMPRODUCT((Inputs!$E$5:$E$120=$B5)*Inputs!$F$5:$F$120*(((Inputs!$G$5:$G$120="moeda")+(Inputs!$G$5:$G$120="acoes"))*Inputs!$B$1+((Inputs!$G$5:$G$120&lt;&gt;"moeda")*(Inputs!$G$5:$G$120&lt;&gt;"acoes")))*INDEX(Inputs!$K$5:$AJ$120,0,MATCH(AJ$2,Inputs!$K$4:$AJ$4,0)))))</f>
        <v>-9451</v>
      </c>
      <c r="AK5" s="267">
        <f>IF(ISNA(MATCH(AK$2,Inputs!$K$4:$AJ$4,0)),NA(),IF(SUMPRODUCT((Inputs!$A$5:$A$120=$B5)*ISNUMBER(INDEX(Inputs!$K$5:$AJ$120,0,MATCH(AK$2,Inputs!$K$4:$AJ$4,0))))+SUMPRODUCT((Inputs!$C$5:$C$120=$B5)*ISNUMBER(INDEX(Inputs!$K$5:$AJ$120,0,MATCH(AK$2,Inputs!$K$4:$AJ$4,0))))+SUMPRODUCT((Inputs!$E$5:$E$120=$B5)*ISNUMBER(INDEX(Inputs!$K$5:$AJ$120,0,MATCH(AK$2,Inputs!$K$4:$AJ$4,0))))=0,NA(),SUMPRODUCT((Inputs!$A$5:$A$120=$B5)*Inputs!$B$5:$B$120*(((Inputs!$G$5:$G$120="moeda")+(Inputs!$G$5:$G$120="acoes"))*Inputs!$B$1+((Inputs!$G$5:$G$120&lt;&gt;"moeda")*(Inputs!$G$5:$G$120&lt;&gt;"acoes")))*INDEX(Inputs!$K$5:$AJ$120,0,MATCH(AK$2,Inputs!$K$4:$AJ$4,0)))+SUMPRODUCT((Inputs!$C$5:$C$120=$B5)*Inputs!$D$5:$D$120*(((Inputs!$G$5:$G$120="moeda")+(Inputs!$G$5:$G$120="acoes"))*Inputs!$B$1+((Inputs!$G$5:$G$120&lt;&gt;"moeda")*(Inputs!$G$5:$G$120&lt;&gt;"acoes")))*INDEX(Inputs!$K$5:$AJ$120,0,MATCH(AK$2,Inputs!$K$4:$AJ$4,0)))+SUMPRODUCT((Inputs!$E$5:$E$120=$B5)*Inputs!$F$5:$F$120*(((Inputs!$G$5:$G$120="moeda")+(Inputs!$G$5:$G$120="acoes"))*Inputs!$B$1+((Inputs!$G$5:$G$120&lt;&gt;"moeda")*(Inputs!$G$5:$G$120&lt;&gt;"acoes")))*INDEX(Inputs!$K$5:$AJ$120,0,MATCH(AK$2,Inputs!$K$4:$AJ$4,0)))))</f>
        <v>-11594</v>
      </c>
      <c r="AL5" s="268">
        <f>SUM(AH5:AK5)</f>
        <v>-38184</v>
      </c>
    </row>
    <row r="6" ht="12.75" customHeight="1" s="255">
      <c r="B6" s="265" t="n">
        <v>3</v>
      </c>
      <c r="C6" s="269" t="inlineStr">
        <is>
          <t>SG&amp;A and Other (cash)</t>
        </is>
      </c>
      <c r="D6" s="267">
        <f>IF(ISNA(MATCH(D$2,Inputs!$K$4:$AJ$4,0)),NA(),IF(SUMPRODUCT((Inputs!$A$5:$A$120=$B6)*ISNUMBER(INDEX(Inputs!$K$5:$AJ$120,0,MATCH(D$2,Inputs!$K$4:$AJ$4,0))))+SUMPRODUCT((Inputs!$C$5:$C$120=$B6)*ISNUMBER(INDEX(Inputs!$K$5:$AJ$120,0,MATCH(D$2,Inputs!$K$4:$AJ$4,0))))+SUMPRODUCT((Inputs!$E$5:$E$120=$B6)*ISNUMBER(INDEX(Inputs!$K$5:$AJ$120,0,MATCH(D$2,Inputs!$K$4:$AJ$4,0))))=0,NA(),SUMPRODUCT((Inputs!$A$5:$A$120=$B6)*Inputs!$B$5:$B$120*(((Inputs!$G$5:$G$120="moeda")+(Inputs!$G$5:$G$120="acoes"))*Inputs!$B$1+((Inputs!$G$5:$G$120&lt;&gt;"moeda")*(Inputs!$G$5:$G$120&lt;&gt;"acoes")))*INDEX(Inputs!$K$5:$AJ$120,0,MATCH(D$2,Inputs!$K$4:$AJ$4,0)))+SUMPRODUCT((Inputs!$C$5:$C$120=$B6)*Inputs!$D$5:$D$120*(((Inputs!$G$5:$G$120="moeda")+(Inputs!$G$5:$G$120="acoes"))*Inputs!$B$1+((Inputs!$G$5:$G$120&lt;&gt;"moeda")*(Inputs!$G$5:$G$120&lt;&gt;"acoes")))*INDEX(Inputs!$K$5:$AJ$120,0,MATCH(D$2,Inputs!$K$4:$AJ$4,0)))+SUMPRODUCT((Inputs!$E$5:$E$120=$B6)*Inputs!$F$5:$F$120*(((Inputs!$G$5:$G$120="moeda")+(Inputs!$G$5:$G$120="acoes"))*Inputs!$B$1+((Inputs!$G$5:$G$120&lt;&gt;"moeda")*(Inputs!$G$5:$G$120&lt;&gt;"acoes")))*INDEX(Inputs!$K$5:$AJ$120,0,MATCH(D$2,Inputs!$K$4:$AJ$4,0)))))</f>
        <v>-271</v>
      </c>
      <c r="E6" s="267">
        <f>IF(ISNA(MATCH(E$2,Inputs!$K$4:$AJ$4,0)),NA(),IF(SUMPRODUCT((Inputs!$A$5:$A$120=$B6)*ISNUMBER(INDEX(Inputs!$K$5:$AJ$120,0,MATCH(E$2,Inputs!$K$4:$AJ$4,0))))+SUMPRODUCT((Inputs!$C$5:$C$120=$B6)*ISNUMBER(INDEX(Inputs!$K$5:$AJ$120,0,MATCH(E$2,Inputs!$K$4:$AJ$4,0))))+SUMPRODUCT((Inputs!$E$5:$E$120=$B6)*ISNUMBER(INDEX(Inputs!$K$5:$AJ$120,0,MATCH(E$2,Inputs!$K$4:$AJ$4,0))))=0,NA(),SUMPRODUCT((Inputs!$A$5:$A$120=$B6)*Inputs!$B$5:$B$120*(((Inputs!$G$5:$G$120="moeda")+(Inputs!$G$5:$G$120="acoes"))*Inputs!$B$1+((Inputs!$G$5:$G$120&lt;&gt;"moeda")*(Inputs!$G$5:$G$120&lt;&gt;"acoes")))*INDEX(Inputs!$K$5:$AJ$120,0,MATCH(E$2,Inputs!$K$4:$AJ$4,0)))+SUMPRODUCT((Inputs!$C$5:$C$120=$B6)*Inputs!$D$5:$D$120*(((Inputs!$G$5:$G$120="moeda")+(Inputs!$G$5:$G$120="acoes"))*Inputs!$B$1+((Inputs!$G$5:$G$120&lt;&gt;"moeda")*(Inputs!$G$5:$G$120&lt;&gt;"acoes")))*INDEX(Inputs!$K$5:$AJ$120,0,MATCH(E$2,Inputs!$K$4:$AJ$4,0)))+SUMPRODUCT((Inputs!$E$5:$E$120=$B6)*Inputs!$F$5:$F$120*(((Inputs!$G$5:$G$120="moeda")+(Inputs!$G$5:$G$120="acoes"))*Inputs!$B$1+((Inputs!$G$5:$G$120&lt;&gt;"moeda")*(Inputs!$G$5:$G$120&lt;&gt;"acoes")))*INDEX(Inputs!$K$5:$AJ$120,0,MATCH(E$2,Inputs!$K$4:$AJ$4,0)))))</f>
        <v>-297</v>
      </c>
      <c r="F6" s="267">
        <f>IF(ISNA(MATCH(F$2,Inputs!$K$4:$AJ$4,0)),NA(),IF(SUMPRODUCT((Inputs!$A$5:$A$120=$B6)*ISNUMBER(INDEX(Inputs!$K$5:$AJ$120,0,MATCH(F$2,Inputs!$K$4:$AJ$4,0))))+SUMPRODUCT((Inputs!$C$5:$C$120=$B6)*ISNUMBER(INDEX(Inputs!$K$5:$AJ$120,0,MATCH(F$2,Inputs!$K$4:$AJ$4,0))))+SUMPRODUCT((Inputs!$E$5:$E$120=$B6)*ISNUMBER(INDEX(Inputs!$K$5:$AJ$120,0,MATCH(F$2,Inputs!$K$4:$AJ$4,0))))=0,NA(),SUMPRODUCT((Inputs!$A$5:$A$120=$B6)*Inputs!$B$5:$B$120*(((Inputs!$G$5:$G$120="moeda")+(Inputs!$G$5:$G$120="acoes"))*Inputs!$B$1+((Inputs!$G$5:$G$120&lt;&gt;"moeda")*(Inputs!$G$5:$G$120&lt;&gt;"acoes")))*INDEX(Inputs!$K$5:$AJ$120,0,MATCH(F$2,Inputs!$K$4:$AJ$4,0)))+SUMPRODUCT((Inputs!$C$5:$C$120=$B6)*Inputs!$D$5:$D$120*(((Inputs!$G$5:$G$120="moeda")+(Inputs!$G$5:$G$120="acoes"))*Inputs!$B$1+((Inputs!$G$5:$G$120&lt;&gt;"moeda")*(Inputs!$G$5:$G$120&lt;&gt;"acoes")))*INDEX(Inputs!$K$5:$AJ$120,0,MATCH(F$2,Inputs!$K$4:$AJ$4,0)))+SUMPRODUCT((Inputs!$E$5:$E$120=$B6)*Inputs!$F$5:$F$120*(((Inputs!$G$5:$G$120="moeda")+(Inputs!$G$5:$G$120="acoes"))*Inputs!$B$1+((Inputs!$G$5:$G$120&lt;&gt;"moeda")*(Inputs!$G$5:$G$120&lt;&gt;"acoes")))*INDEX(Inputs!$K$5:$AJ$120,0,MATCH(F$2,Inputs!$K$4:$AJ$4,0)))))</f>
        <v>-327</v>
      </c>
      <c r="G6" s="267">
        <f>IF(ISNA(MATCH(G$2,Inputs!$K$4:$AJ$4,0)),NA(),IF(SUMPRODUCT((Inputs!$A$5:$A$120=$B6)*ISNUMBER(INDEX(Inputs!$K$5:$AJ$120,0,MATCH(G$2,Inputs!$K$4:$AJ$4,0))))+SUMPRODUCT((Inputs!$C$5:$C$120=$B6)*ISNUMBER(INDEX(Inputs!$K$5:$AJ$120,0,MATCH(G$2,Inputs!$K$4:$AJ$4,0))))+SUMPRODUCT((Inputs!$E$5:$E$120=$B6)*ISNUMBER(INDEX(Inputs!$K$5:$AJ$120,0,MATCH(G$2,Inputs!$K$4:$AJ$4,0))))=0,NA(),SUMPRODUCT((Inputs!$A$5:$A$120=$B6)*Inputs!$B$5:$B$120*(((Inputs!$G$5:$G$120="moeda")+(Inputs!$G$5:$G$120="acoes"))*Inputs!$B$1+((Inputs!$G$5:$G$120&lt;&gt;"moeda")*(Inputs!$G$5:$G$120&lt;&gt;"acoes")))*INDEX(Inputs!$K$5:$AJ$120,0,MATCH(G$2,Inputs!$K$4:$AJ$4,0)))+SUMPRODUCT((Inputs!$C$5:$C$120=$B6)*Inputs!$D$5:$D$120*(((Inputs!$G$5:$G$120="moeda")+(Inputs!$G$5:$G$120="acoes"))*Inputs!$B$1+((Inputs!$G$5:$G$120&lt;&gt;"moeda")*(Inputs!$G$5:$G$120&lt;&gt;"acoes")))*INDEX(Inputs!$K$5:$AJ$120,0,MATCH(G$2,Inputs!$K$4:$AJ$4,0)))+SUMPRODUCT((Inputs!$E$5:$E$120=$B6)*Inputs!$F$5:$F$120*(((Inputs!$G$5:$G$120="moeda")+(Inputs!$G$5:$G$120="acoes"))*Inputs!$B$1+((Inputs!$G$5:$G$120&lt;&gt;"moeda")*(Inputs!$G$5:$G$120&lt;&gt;"acoes")))*INDEX(Inputs!$K$5:$AJ$120,0,MATCH(G$2,Inputs!$K$4:$AJ$4,0)))))</f>
        <v>-338</v>
      </c>
      <c r="H6" s="268">
        <f>SUM(D6:G6)</f>
        <v>-1233</v>
      </c>
      <c r="I6" s="267">
        <f>IF(ISNA(MATCH(I$2,Inputs!$K$4:$AJ$4,0)),NA(),IF(SUMPRODUCT((Inputs!$A$5:$A$120=$B6)*ISNUMBER(INDEX(Inputs!$K$5:$AJ$120,0,MATCH(I$2,Inputs!$K$4:$AJ$4,0))))+SUMPRODUCT((Inputs!$C$5:$C$120=$B6)*ISNUMBER(INDEX(Inputs!$K$5:$AJ$120,0,MATCH(I$2,Inputs!$K$4:$AJ$4,0))))+SUMPRODUCT((Inputs!$E$5:$E$120=$B6)*ISNUMBER(INDEX(Inputs!$K$5:$AJ$120,0,MATCH(I$2,Inputs!$K$4:$AJ$4,0))))=0,NA(),SUMPRODUCT((Inputs!$A$5:$A$120=$B6)*Inputs!$B$5:$B$120*(((Inputs!$G$5:$G$120="moeda")+(Inputs!$G$5:$G$120="acoes"))*Inputs!$B$1+((Inputs!$G$5:$G$120&lt;&gt;"moeda")*(Inputs!$G$5:$G$120&lt;&gt;"acoes")))*INDEX(Inputs!$K$5:$AJ$120,0,MATCH(I$2,Inputs!$K$4:$AJ$4,0)))+SUMPRODUCT((Inputs!$C$5:$C$120=$B6)*Inputs!$D$5:$D$120*(((Inputs!$G$5:$G$120="moeda")+(Inputs!$G$5:$G$120="acoes"))*Inputs!$B$1+((Inputs!$G$5:$G$120&lt;&gt;"moeda")*(Inputs!$G$5:$G$120&lt;&gt;"acoes")))*INDEX(Inputs!$K$5:$AJ$120,0,MATCH(I$2,Inputs!$K$4:$AJ$4,0)))+SUMPRODUCT((Inputs!$E$5:$E$120=$B6)*Inputs!$F$5:$F$120*(((Inputs!$G$5:$G$120="moeda")+(Inputs!$G$5:$G$120="acoes"))*Inputs!$B$1+((Inputs!$G$5:$G$120&lt;&gt;"moeda")*(Inputs!$G$5:$G$120&lt;&gt;"acoes")))*INDEX(Inputs!$K$5:$AJ$120,0,MATCH(I$2,Inputs!$K$4:$AJ$4,0)))))</f>
        <v>-308</v>
      </c>
      <c r="J6" s="267">
        <f>IF(ISNA(MATCH(J$2,Inputs!$K$4:$AJ$4,0)),NA(),IF(SUMPRODUCT((Inputs!$A$5:$A$120=$B6)*ISNUMBER(INDEX(Inputs!$K$5:$AJ$120,0,MATCH(J$2,Inputs!$K$4:$AJ$4,0))))+SUMPRODUCT((Inputs!$C$5:$C$120=$B6)*ISNUMBER(INDEX(Inputs!$K$5:$AJ$120,0,MATCH(J$2,Inputs!$K$4:$AJ$4,0))))+SUMPRODUCT((Inputs!$E$5:$E$120=$B6)*ISNUMBER(INDEX(Inputs!$K$5:$AJ$120,0,MATCH(J$2,Inputs!$K$4:$AJ$4,0))))=0,NA(),SUMPRODUCT((Inputs!$A$5:$A$120=$B6)*Inputs!$B$5:$B$120*(((Inputs!$G$5:$G$120="moeda")+(Inputs!$G$5:$G$120="acoes"))*Inputs!$B$1+((Inputs!$G$5:$G$120&lt;&gt;"moeda")*(Inputs!$G$5:$G$120&lt;&gt;"acoes")))*INDEX(Inputs!$K$5:$AJ$120,0,MATCH(J$2,Inputs!$K$4:$AJ$4,0)))+SUMPRODUCT((Inputs!$C$5:$C$120=$B6)*Inputs!$D$5:$D$120*(((Inputs!$G$5:$G$120="moeda")+(Inputs!$G$5:$G$120="acoes"))*Inputs!$B$1+((Inputs!$G$5:$G$120&lt;&gt;"moeda")*(Inputs!$G$5:$G$120&lt;&gt;"acoes")))*INDEX(Inputs!$K$5:$AJ$120,0,MATCH(J$2,Inputs!$K$4:$AJ$4,0)))+SUMPRODUCT((Inputs!$E$5:$E$120=$B6)*Inputs!$F$5:$F$120*(((Inputs!$G$5:$G$120="moeda")+(Inputs!$G$5:$G$120="acoes"))*Inputs!$B$1+((Inputs!$G$5:$G$120&lt;&gt;"moeda")*(Inputs!$G$5:$G$120&lt;&gt;"acoes")))*INDEX(Inputs!$K$5:$AJ$120,0,MATCH(J$2,Inputs!$K$4:$AJ$4,0)))))</f>
        <v>-334</v>
      </c>
      <c r="K6" s="267">
        <f>IF(ISNA(MATCH(K$2,Inputs!$K$4:$AJ$4,0)),NA(),IF(SUMPRODUCT((Inputs!$A$5:$A$120=$B6)*ISNUMBER(INDEX(Inputs!$K$5:$AJ$120,0,MATCH(K$2,Inputs!$K$4:$AJ$4,0))))+SUMPRODUCT((Inputs!$C$5:$C$120=$B6)*ISNUMBER(INDEX(Inputs!$K$5:$AJ$120,0,MATCH(K$2,Inputs!$K$4:$AJ$4,0))))+SUMPRODUCT((Inputs!$E$5:$E$120=$B6)*ISNUMBER(INDEX(Inputs!$K$5:$AJ$120,0,MATCH(K$2,Inputs!$K$4:$AJ$4,0))))=0,NA(),SUMPRODUCT((Inputs!$A$5:$A$120=$B6)*Inputs!$B$5:$B$120*(((Inputs!$G$5:$G$120="moeda")+(Inputs!$G$5:$G$120="acoes"))*Inputs!$B$1+((Inputs!$G$5:$G$120&lt;&gt;"moeda")*(Inputs!$G$5:$G$120&lt;&gt;"acoes")))*INDEX(Inputs!$K$5:$AJ$120,0,MATCH(K$2,Inputs!$K$4:$AJ$4,0)))+SUMPRODUCT((Inputs!$C$5:$C$120=$B6)*Inputs!$D$5:$D$120*(((Inputs!$G$5:$G$120="moeda")+(Inputs!$G$5:$G$120="acoes"))*Inputs!$B$1+((Inputs!$G$5:$G$120&lt;&gt;"moeda")*(Inputs!$G$5:$G$120&lt;&gt;"acoes")))*INDEX(Inputs!$K$5:$AJ$120,0,MATCH(K$2,Inputs!$K$4:$AJ$4,0)))+SUMPRODUCT((Inputs!$E$5:$E$120=$B6)*Inputs!$F$5:$F$120*(((Inputs!$G$5:$G$120="moeda")+(Inputs!$G$5:$G$120="acoes"))*Inputs!$B$1+((Inputs!$G$5:$G$120&lt;&gt;"moeda")*(Inputs!$G$5:$G$120&lt;&gt;"acoes")))*INDEX(Inputs!$K$5:$AJ$120,0,MATCH(K$2,Inputs!$K$4:$AJ$4,0)))))</f>
        <v>-337</v>
      </c>
      <c r="L6" s="267">
        <f>IF(ISNA(MATCH(L$2,Inputs!$K$4:$AJ$4,0)),NA(),IF(SUMPRODUCT((Inputs!$A$5:$A$120=$B6)*ISNUMBER(INDEX(Inputs!$K$5:$AJ$120,0,MATCH(L$2,Inputs!$K$4:$AJ$4,0))))+SUMPRODUCT((Inputs!$C$5:$C$120=$B6)*ISNUMBER(INDEX(Inputs!$K$5:$AJ$120,0,MATCH(L$2,Inputs!$K$4:$AJ$4,0))))+SUMPRODUCT((Inputs!$E$5:$E$120=$B6)*ISNUMBER(INDEX(Inputs!$K$5:$AJ$120,0,MATCH(L$2,Inputs!$K$4:$AJ$4,0))))=0,NA(),SUMPRODUCT((Inputs!$A$5:$A$120=$B6)*Inputs!$B$5:$B$120*(((Inputs!$G$5:$G$120="moeda")+(Inputs!$G$5:$G$120="acoes"))*Inputs!$B$1+((Inputs!$G$5:$G$120&lt;&gt;"moeda")*(Inputs!$G$5:$G$120&lt;&gt;"acoes")))*INDEX(Inputs!$K$5:$AJ$120,0,MATCH(L$2,Inputs!$K$4:$AJ$4,0)))+SUMPRODUCT((Inputs!$C$5:$C$120=$B6)*Inputs!$D$5:$D$120*(((Inputs!$G$5:$G$120="moeda")+(Inputs!$G$5:$G$120="acoes"))*Inputs!$B$1+((Inputs!$G$5:$G$120&lt;&gt;"moeda")*(Inputs!$G$5:$G$120&lt;&gt;"acoes")))*INDEX(Inputs!$K$5:$AJ$120,0,MATCH(L$2,Inputs!$K$4:$AJ$4,0)))+SUMPRODUCT((Inputs!$E$5:$E$120=$B6)*Inputs!$F$5:$F$120*(((Inputs!$G$5:$G$120="moeda")+(Inputs!$G$5:$G$120="acoes"))*Inputs!$B$1+((Inputs!$G$5:$G$120&lt;&gt;"moeda")*(Inputs!$G$5:$G$120&lt;&gt;"acoes")))*INDEX(Inputs!$K$5:$AJ$120,0,MATCH(L$2,Inputs!$K$4:$AJ$4,0)))))</f>
        <v>-390</v>
      </c>
      <c r="M6" s="268">
        <f>SUM(I6:L6)</f>
        <v>-1369</v>
      </c>
      <c r="N6" s="267">
        <f>IF(ISNA(MATCH(N$2,Inputs!$K$4:$AJ$4,0)),NA(),IF(SUMPRODUCT((Inputs!$A$5:$A$120=$B6)*ISNUMBER(INDEX(Inputs!$K$5:$AJ$120,0,MATCH(N$2,Inputs!$K$4:$AJ$4,0))))+SUMPRODUCT((Inputs!$C$5:$C$120=$B6)*ISNUMBER(INDEX(Inputs!$K$5:$AJ$120,0,MATCH(N$2,Inputs!$K$4:$AJ$4,0))))+SUMPRODUCT((Inputs!$E$5:$E$120=$B6)*ISNUMBER(INDEX(Inputs!$K$5:$AJ$120,0,MATCH(N$2,Inputs!$K$4:$AJ$4,0))))=0,NA(),SUMPRODUCT((Inputs!$A$5:$A$120=$B6)*Inputs!$B$5:$B$120*(((Inputs!$G$5:$G$120="moeda")+(Inputs!$G$5:$G$120="acoes"))*Inputs!$B$1+((Inputs!$G$5:$G$120&lt;&gt;"moeda")*(Inputs!$G$5:$G$120&lt;&gt;"acoes")))*INDEX(Inputs!$K$5:$AJ$120,0,MATCH(N$2,Inputs!$K$4:$AJ$4,0)))+SUMPRODUCT((Inputs!$C$5:$C$120=$B6)*Inputs!$D$5:$D$120*(((Inputs!$G$5:$G$120="moeda")+(Inputs!$G$5:$G$120="acoes"))*Inputs!$B$1+((Inputs!$G$5:$G$120&lt;&gt;"moeda")*(Inputs!$G$5:$G$120&lt;&gt;"acoes")))*INDEX(Inputs!$K$5:$AJ$120,0,MATCH(N$2,Inputs!$K$4:$AJ$4,0)))+SUMPRODUCT((Inputs!$E$5:$E$120=$B6)*Inputs!$F$5:$F$120*(((Inputs!$G$5:$G$120="moeda")+(Inputs!$G$5:$G$120="acoes"))*Inputs!$B$1+((Inputs!$G$5:$G$120&lt;&gt;"moeda")*(Inputs!$G$5:$G$120&lt;&gt;"acoes")))*INDEX(Inputs!$K$5:$AJ$120,0,MATCH(N$2,Inputs!$K$4:$AJ$4,0)))))</f>
        <v>-353</v>
      </c>
      <c r="O6" s="267">
        <f>IF(ISNA(MATCH(O$2,Inputs!$K$4:$AJ$4,0)),NA(),IF(SUMPRODUCT((Inputs!$A$5:$A$120=$B6)*ISNUMBER(INDEX(Inputs!$K$5:$AJ$120,0,MATCH(O$2,Inputs!$K$4:$AJ$4,0))))+SUMPRODUCT((Inputs!$C$5:$C$120=$B6)*ISNUMBER(INDEX(Inputs!$K$5:$AJ$120,0,MATCH(O$2,Inputs!$K$4:$AJ$4,0))))+SUMPRODUCT((Inputs!$E$5:$E$120=$B6)*ISNUMBER(INDEX(Inputs!$K$5:$AJ$120,0,MATCH(O$2,Inputs!$K$4:$AJ$4,0))))=0,NA(),SUMPRODUCT((Inputs!$A$5:$A$120=$B6)*Inputs!$B$5:$B$120*(((Inputs!$G$5:$G$120="moeda")+(Inputs!$G$5:$G$120="acoes"))*Inputs!$B$1+((Inputs!$G$5:$G$120&lt;&gt;"moeda")*(Inputs!$G$5:$G$120&lt;&gt;"acoes")))*INDEX(Inputs!$K$5:$AJ$120,0,MATCH(O$2,Inputs!$K$4:$AJ$4,0)))+SUMPRODUCT((Inputs!$C$5:$C$120=$B6)*Inputs!$D$5:$D$120*(((Inputs!$G$5:$G$120="moeda")+(Inputs!$G$5:$G$120="acoes"))*Inputs!$B$1+((Inputs!$G$5:$G$120&lt;&gt;"moeda")*(Inputs!$G$5:$G$120&lt;&gt;"acoes")))*INDEX(Inputs!$K$5:$AJ$120,0,MATCH(O$2,Inputs!$K$4:$AJ$4,0)))+SUMPRODUCT((Inputs!$E$5:$E$120=$B6)*Inputs!$F$5:$F$120*(((Inputs!$G$5:$G$120="moeda")+(Inputs!$G$5:$G$120="acoes"))*Inputs!$B$1+((Inputs!$G$5:$G$120&lt;&gt;"moeda")*(Inputs!$G$5:$G$120&lt;&gt;"acoes")))*INDEX(Inputs!$K$5:$AJ$120,0,MATCH(O$2,Inputs!$K$4:$AJ$4,0)))))</f>
        <v>-420</v>
      </c>
      <c r="P6" s="267">
        <f>IF(ISNA(MATCH(P$2,Inputs!$K$4:$AJ$4,0)),NA(),IF(SUMPRODUCT((Inputs!$A$5:$A$120=$B6)*ISNUMBER(INDEX(Inputs!$K$5:$AJ$120,0,MATCH(P$2,Inputs!$K$4:$AJ$4,0))))+SUMPRODUCT((Inputs!$C$5:$C$120=$B6)*ISNUMBER(INDEX(Inputs!$K$5:$AJ$120,0,MATCH(P$2,Inputs!$K$4:$AJ$4,0))))+SUMPRODUCT((Inputs!$E$5:$E$120=$B6)*ISNUMBER(INDEX(Inputs!$K$5:$AJ$120,0,MATCH(P$2,Inputs!$K$4:$AJ$4,0))))=0,NA(),SUMPRODUCT((Inputs!$A$5:$A$120=$B6)*Inputs!$B$5:$B$120*(((Inputs!$G$5:$G$120="moeda")+(Inputs!$G$5:$G$120="acoes"))*Inputs!$B$1+((Inputs!$G$5:$G$120&lt;&gt;"moeda")*(Inputs!$G$5:$G$120&lt;&gt;"acoes")))*INDEX(Inputs!$K$5:$AJ$120,0,MATCH(P$2,Inputs!$K$4:$AJ$4,0)))+SUMPRODUCT((Inputs!$C$5:$C$120=$B6)*Inputs!$D$5:$D$120*(((Inputs!$G$5:$G$120="moeda")+(Inputs!$G$5:$G$120="acoes"))*Inputs!$B$1+((Inputs!$G$5:$G$120&lt;&gt;"moeda")*(Inputs!$G$5:$G$120&lt;&gt;"acoes")))*INDEX(Inputs!$K$5:$AJ$120,0,MATCH(P$2,Inputs!$K$4:$AJ$4,0)))+SUMPRODUCT((Inputs!$E$5:$E$120=$B6)*Inputs!$F$5:$F$120*(((Inputs!$G$5:$G$120="moeda")+(Inputs!$G$5:$G$120="acoes"))*Inputs!$B$1+((Inputs!$G$5:$G$120&lt;&gt;"moeda")*(Inputs!$G$5:$G$120&lt;&gt;"acoes")))*INDEX(Inputs!$K$5:$AJ$120,0,MATCH(P$2,Inputs!$K$4:$AJ$4,0)))))</f>
        <v>-447</v>
      </c>
      <c r="Q6" s="267">
        <f>IF(ISNA(MATCH(Q$2,Inputs!$K$4:$AJ$4,0)),NA(),IF(SUMPRODUCT((Inputs!$A$5:$A$120=$B6)*ISNUMBER(INDEX(Inputs!$K$5:$AJ$120,0,MATCH(Q$2,Inputs!$K$4:$AJ$4,0))))+SUMPRODUCT((Inputs!$C$5:$C$120=$B6)*ISNUMBER(INDEX(Inputs!$K$5:$AJ$120,0,MATCH(Q$2,Inputs!$K$4:$AJ$4,0))))+SUMPRODUCT((Inputs!$E$5:$E$120=$B6)*ISNUMBER(INDEX(Inputs!$K$5:$AJ$120,0,MATCH(Q$2,Inputs!$K$4:$AJ$4,0))))=0,NA(),SUMPRODUCT((Inputs!$A$5:$A$120=$B6)*Inputs!$B$5:$B$120*(((Inputs!$G$5:$G$120="moeda")+(Inputs!$G$5:$G$120="acoes"))*Inputs!$B$1+((Inputs!$G$5:$G$120&lt;&gt;"moeda")*(Inputs!$G$5:$G$120&lt;&gt;"acoes")))*INDEX(Inputs!$K$5:$AJ$120,0,MATCH(Q$2,Inputs!$K$4:$AJ$4,0)))+SUMPRODUCT((Inputs!$C$5:$C$120=$B6)*Inputs!$D$5:$D$120*(((Inputs!$G$5:$G$120="moeda")+(Inputs!$G$5:$G$120="acoes"))*Inputs!$B$1+((Inputs!$G$5:$G$120&lt;&gt;"moeda")*(Inputs!$G$5:$G$120&lt;&gt;"acoes")))*INDEX(Inputs!$K$5:$AJ$120,0,MATCH(Q$2,Inputs!$K$4:$AJ$4,0)))+SUMPRODUCT((Inputs!$E$5:$E$120=$B6)*Inputs!$F$5:$F$120*(((Inputs!$G$5:$G$120="moeda")+(Inputs!$G$5:$G$120="acoes"))*Inputs!$B$1+((Inputs!$G$5:$G$120&lt;&gt;"moeda")*(Inputs!$G$5:$G$120&lt;&gt;"acoes")))*INDEX(Inputs!$K$5:$AJ$120,0,MATCH(Q$2,Inputs!$K$4:$AJ$4,0)))))</f>
        <v>-495</v>
      </c>
      <c r="R6" s="268">
        <f>SUM(N6:Q6)</f>
        <v>-1715</v>
      </c>
      <c r="S6" s="267">
        <f>IF(ISNA(MATCH(S$2,Inputs!$K$4:$AJ$4,0)),NA(),IF(SUMPRODUCT((Inputs!$A$5:$A$120=$B6)*ISNUMBER(INDEX(Inputs!$K$5:$AJ$120,0,MATCH(S$2,Inputs!$K$4:$AJ$4,0))))+SUMPRODUCT((Inputs!$C$5:$C$120=$B6)*ISNUMBER(INDEX(Inputs!$K$5:$AJ$120,0,MATCH(S$2,Inputs!$K$4:$AJ$4,0))))+SUMPRODUCT((Inputs!$E$5:$E$120=$B6)*ISNUMBER(INDEX(Inputs!$K$5:$AJ$120,0,MATCH(S$2,Inputs!$K$4:$AJ$4,0))))=0,NA(),SUMPRODUCT((Inputs!$A$5:$A$120=$B6)*Inputs!$B$5:$B$120*(((Inputs!$G$5:$G$120="moeda")+(Inputs!$G$5:$G$120="acoes"))*Inputs!$B$1+((Inputs!$G$5:$G$120&lt;&gt;"moeda")*(Inputs!$G$5:$G$120&lt;&gt;"acoes")))*INDEX(Inputs!$K$5:$AJ$120,0,MATCH(S$2,Inputs!$K$4:$AJ$4,0)))+SUMPRODUCT((Inputs!$C$5:$C$120=$B6)*Inputs!$D$5:$D$120*(((Inputs!$G$5:$G$120="moeda")+(Inputs!$G$5:$G$120="acoes"))*Inputs!$B$1+((Inputs!$G$5:$G$120&lt;&gt;"moeda")*(Inputs!$G$5:$G$120&lt;&gt;"acoes")))*INDEX(Inputs!$K$5:$AJ$120,0,MATCH(S$2,Inputs!$K$4:$AJ$4,0)))+SUMPRODUCT((Inputs!$E$5:$E$120=$B6)*Inputs!$F$5:$F$120*(((Inputs!$G$5:$G$120="moeda")+(Inputs!$G$5:$G$120="acoes"))*Inputs!$B$1+((Inputs!$G$5:$G$120&lt;&gt;"moeda")*(Inputs!$G$5:$G$120&lt;&gt;"acoes")))*INDEX(Inputs!$K$5:$AJ$120,0,MATCH(S$2,Inputs!$K$4:$AJ$4,0)))))</f>
        <v>-439</v>
      </c>
      <c r="T6" s="267">
        <f>IF(ISNA(MATCH(T$2,Inputs!$K$4:$AJ$4,0)),NA(),IF(SUMPRODUCT((Inputs!$A$5:$A$120=$B6)*ISNUMBER(INDEX(Inputs!$K$5:$AJ$120,0,MATCH(T$2,Inputs!$K$4:$AJ$4,0))))+SUMPRODUCT((Inputs!$C$5:$C$120=$B6)*ISNUMBER(INDEX(Inputs!$K$5:$AJ$120,0,MATCH(T$2,Inputs!$K$4:$AJ$4,0))))+SUMPRODUCT((Inputs!$E$5:$E$120=$B6)*ISNUMBER(INDEX(Inputs!$K$5:$AJ$120,0,MATCH(T$2,Inputs!$K$4:$AJ$4,0))))=0,NA(),SUMPRODUCT((Inputs!$A$5:$A$120=$B6)*Inputs!$B$5:$B$120*(((Inputs!$G$5:$G$120="moeda")+(Inputs!$G$5:$G$120="acoes"))*Inputs!$B$1+((Inputs!$G$5:$G$120&lt;&gt;"moeda")*(Inputs!$G$5:$G$120&lt;&gt;"acoes")))*INDEX(Inputs!$K$5:$AJ$120,0,MATCH(T$2,Inputs!$K$4:$AJ$4,0)))+SUMPRODUCT((Inputs!$C$5:$C$120=$B6)*Inputs!$D$5:$D$120*(((Inputs!$G$5:$G$120="moeda")+(Inputs!$G$5:$G$120="acoes"))*Inputs!$B$1+((Inputs!$G$5:$G$120&lt;&gt;"moeda")*(Inputs!$G$5:$G$120&lt;&gt;"acoes")))*INDEX(Inputs!$K$5:$AJ$120,0,MATCH(T$2,Inputs!$K$4:$AJ$4,0)))+SUMPRODUCT((Inputs!$E$5:$E$120=$B6)*Inputs!$F$5:$F$120*(((Inputs!$G$5:$G$120="moeda")+(Inputs!$G$5:$G$120="acoes"))*Inputs!$B$1+((Inputs!$G$5:$G$120&lt;&gt;"moeda")*(Inputs!$G$5:$G$120&lt;&gt;"acoes")))*INDEX(Inputs!$K$5:$AJ$120,0,MATCH(T$2,Inputs!$K$4:$AJ$4,0)))))</f>
        <v>-449</v>
      </c>
      <c r="U6" s="267">
        <f>IF(ISNA(MATCH(U$2,Inputs!$K$4:$AJ$4,0)),NA(),IF(SUMPRODUCT((Inputs!$A$5:$A$120=$B6)*ISNUMBER(INDEX(Inputs!$K$5:$AJ$120,0,MATCH(U$2,Inputs!$K$4:$AJ$4,0))))+SUMPRODUCT((Inputs!$C$5:$C$120=$B6)*ISNUMBER(INDEX(Inputs!$K$5:$AJ$120,0,MATCH(U$2,Inputs!$K$4:$AJ$4,0))))+SUMPRODUCT((Inputs!$E$5:$E$120=$B6)*ISNUMBER(INDEX(Inputs!$K$5:$AJ$120,0,MATCH(U$2,Inputs!$K$4:$AJ$4,0))))=0,NA(),SUMPRODUCT((Inputs!$A$5:$A$120=$B6)*Inputs!$B$5:$B$120*(((Inputs!$G$5:$G$120="moeda")+(Inputs!$G$5:$G$120="acoes"))*Inputs!$B$1+((Inputs!$G$5:$G$120&lt;&gt;"moeda")*(Inputs!$G$5:$G$120&lt;&gt;"acoes")))*INDEX(Inputs!$K$5:$AJ$120,0,MATCH(U$2,Inputs!$K$4:$AJ$4,0)))+SUMPRODUCT((Inputs!$C$5:$C$120=$B6)*Inputs!$D$5:$D$120*(((Inputs!$G$5:$G$120="moeda")+(Inputs!$G$5:$G$120="acoes"))*Inputs!$B$1+((Inputs!$G$5:$G$120&lt;&gt;"moeda")*(Inputs!$G$5:$G$120&lt;&gt;"acoes")))*INDEX(Inputs!$K$5:$AJ$120,0,MATCH(U$2,Inputs!$K$4:$AJ$4,0)))+SUMPRODUCT((Inputs!$E$5:$E$120=$B6)*Inputs!$F$5:$F$120*(((Inputs!$G$5:$G$120="moeda")+(Inputs!$G$5:$G$120="acoes"))*Inputs!$B$1+((Inputs!$G$5:$G$120&lt;&gt;"moeda")*(Inputs!$G$5:$G$120&lt;&gt;"acoes")))*INDEX(Inputs!$K$5:$AJ$120,0,MATCH(U$2,Inputs!$K$4:$AJ$4,0)))))</f>
        <v>-437</v>
      </c>
      <c r="V6" s="267">
        <f>IF(ISNA(MATCH(V$2,Inputs!$K$4:$AJ$4,0)),NA(),IF(SUMPRODUCT((Inputs!$A$5:$A$120=$B6)*ISNUMBER(INDEX(Inputs!$K$5:$AJ$120,0,MATCH(V$2,Inputs!$K$4:$AJ$4,0))))+SUMPRODUCT((Inputs!$C$5:$C$120=$B6)*ISNUMBER(INDEX(Inputs!$K$5:$AJ$120,0,MATCH(V$2,Inputs!$K$4:$AJ$4,0))))+SUMPRODUCT((Inputs!$E$5:$E$120=$B6)*ISNUMBER(INDEX(Inputs!$K$5:$AJ$120,0,MATCH(V$2,Inputs!$K$4:$AJ$4,0))))=0,NA(),SUMPRODUCT((Inputs!$A$5:$A$120=$B6)*Inputs!$B$5:$B$120*(((Inputs!$G$5:$G$120="moeda")+(Inputs!$G$5:$G$120="acoes"))*Inputs!$B$1+((Inputs!$G$5:$G$120&lt;&gt;"moeda")*(Inputs!$G$5:$G$120&lt;&gt;"acoes")))*INDEX(Inputs!$K$5:$AJ$120,0,MATCH(V$2,Inputs!$K$4:$AJ$4,0)))+SUMPRODUCT((Inputs!$C$5:$C$120=$B6)*Inputs!$D$5:$D$120*(((Inputs!$G$5:$G$120="moeda")+(Inputs!$G$5:$G$120="acoes"))*Inputs!$B$1+((Inputs!$G$5:$G$120&lt;&gt;"moeda")*(Inputs!$G$5:$G$120&lt;&gt;"acoes")))*INDEX(Inputs!$K$5:$AJ$120,0,MATCH(V$2,Inputs!$K$4:$AJ$4,0)))+SUMPRODUCT((Inputs!$E$5:$E$120=$B6)*Inputs!$F$5:$F$120*(((Inputs!$G$5:$G$120="moeda")+(Inputs!$G$5:$G$120="acoes"))*Inputs!$B$1+((Inputs!$G$5:$G$120&lt;&gt;"moeda")*(Inputs!$G$5:$G$120&lt;&gt;"acoes")))*INDEX(Inputs!$K$5:$AJ$120,0,MATCH(V$2,Inputs!$K$4:$AJ$4,0)))))</f>
        <v>-451</v>
      </c>
      <c r="W6" s="268">
        <f>SUM(S6:V6)</f>
        <v>-1776</v>
      </c>
      <c r="X6" s="267">
        <f>IF(ISNA(MATCH(X$2,Inputs!$K$4:$AJ$4,0)),NA(),IF(SUMPRODUCT((Inputs!$A$5:$A$120=$B6)*ISNUMBER(INDEX(Inputs!$K$5:$AJ$120,0,MATCH(X$2,Inputs!$K$4:$AJ$4,0))))+SUMPRODUCT((Inputs!$C$5:$C$120=$B6)*ISNUMBER(INDEX(Inputs!$K$5:$AJ$120,0,MATCH(X$2,Inputs!$K$4:$AJ$4,0))))+SUMPRODUCT((Inputs!$E$5:$E$120=$B6)*ISNUMBER(INDEX(Inputs!$K$5:$AJ$120,0,MATCH(X$2,Inputs!$K$4:$AJ$4,0))))=0,NA(),SUMPRODUCT((Inputs!$A$5:$A$120=$B6)*Inputs!$B$5:$B$120*(((Inputs!$G$5:$G$120="moeda")+(Inputs!$G$5:$G$120="acoes"))*Inputs!$B$1+((Inputs!$G$5:$G$120&lt;&gt;"moeda")*(Inputs!$G$5:$G$120&lt;&gt;"acoes")))*INDEX(Inputs!$K$5:$AJ$120,0,MATCH(X$2,Inputs!$K$4:$AJ$4,0)))+SUMPRODUCT((Inputs!$C$5:$C$120=$B6)*Inputs!$D$5:$D$120*(((Inputs!$G$5:$G$120="moeda")+(Inputs!$G$5:$G$120="acoes"))*Inputs!$B$1+((Inputs!$G$5:$G$120&lt;&gt;"moeda")*(Inputs!$G$5:$G$120&lt;&gt;"acoes")))*INDEX(Inputs!$K$5:$AJ$120,0,MATCH(X$2,Inputs!$K$4:$AJ$4,0)))+SUMPRODUCT((Inputs!$E$5:$E$120=$B6)*Inputs!$F$5:$F$120*(((Inputs!$G$5:$G$120="moeda")+(Inputs!$G$5:$G$120="acoes"))*Inputs!$B$1+((Inputs!$G$5:$G$120&lt;&gt;"moeda")*(Inputs!$G$5:$G$120&lt;&gt;"acoes")))*INDEX(Inputs!$K$5:$AJ$120,0,MATCH(X$2,Inputs!$K$4:$AJ$4,0)))))</f>
        <v>-380</v>
      </c>
      <c r="Y6" s="267">
        <f>IF(ISNA(MATCH(Y$2,Inputs!$K$4:$AJ$4,0)),NA(),IF(SUMPRODUCT((Inputs!$A$5:$A$120=$B6)*ISNUMBER(INDEX(Inputs!$K$5:$AJ$120,0,MATCH(Y$2,Inputs!$K$4:$AJ$4,0))))+SUMPRODUCT((Inputs!$C$5:$C$120=$B6)*ISNUMBER(INDEX(Inputs!$K$5:$AJ$120,0,MATCH(Y$2,Inputs!$K$4:$AJ$4,0))))+SUMPRODUCT((Inputs!$E$5:$E$120=$B6)*ISNUMBER(INDEX(Inputs!$K$5:$AJ$120,0,MATCH(Y$2,Inputs!$K$4:$AJ$4,0))))=0,NA(),SUMPRODUCT((Inputs!$A$5:$A$120=$B6)*Inputs!$B$5:$B$120*(((Inputs!$G$5:$G$120="moeda")+(Inputs!$G$5:$G$120="acoes"))*Inputs!$B$1+((Inputs!$G$5:$G$120&lt;&gt;"moeda")*(Inputs!$G$5:$G$120&lt;&gt;"acoes")))*INDEX(Inputs!$K$5:$AJ$120,0,MATCH(Y$2,Inputs!$K$4:$AJ$4,0)))+SUMPRODUCT((Inputs!$C$5:$C$120=$B6)*Inputs!$D$5:$D$120*(((Inputs!$G$5:$G$120="moeda")+(Inputs!$G$5:$G$120="acoes"))*Inputs!$B$1+((Inputs!$G$5:$G$120&lt;&gt;"moeda")*(Inputs!$G$5:$G$120&lt;&gt;"acoes")))*INDEX(Inputs!$K$5:$AJ$120,0,MATCH(Y$2,Inputs!$K$4:$AJ$4,0)))+SUMPRODUCT((Inputs!$E$5:$E$120=$B6)*Inputs!$F$5:$F$120*(((Inputs!$G$5:$G$120="moeda")+(Inputs!$G$5:$G$120="acoes"))*Inputs!$B$1+((Inputs!$G$5:$G$120&lt;&gt;"moeda")*(Inputs!$G$5:$G$120&lt;&gt;"acoes")))*INDEX(Inputs!$K$5:$AJ$120,0,MATCH(Y$2,Inputs!$K$4:$AJ$4,0)))))</f>
        <v>-418</v>
      </c>
      <c r="Z6" s="267">
        <f>IF(ISNA(MATCH(Z$2,Inputs!$K$4:$AJ$4,0)),NA(),IF(SUMPRODUCT((Inputs!$A$5:$A$120=$B6)*ISNUMBER(INDEX(Inputs!$K$5:$AJ$120,0,MATCH(Z$2,Inputs!$K$4:$AJ$4,0))))+SUMPRODUCT((Inputs!$C$5:$C$120=$B6)*ISNUMBER(INDEX(Inputs!$K$5:$AJ$120,0,MATCH(Z$2,Inputs!$K$4:$AJ$4,0))))+SUMPRODUCT((Inputs!$E$5:$E$120=$B6)*ISNUMBER(INDEX(Inputs!$K$5:$AJ$120,0,MATCH(Z$2,Inputs!$K$4:$AJ$4,0))))=0,NA(),SUMPRODUCT((Inputs!$A$5:$A$120=$B6)*Inputs!$B$5:$B$120*(((Inputs!$G$5:$G$120="moeda")+(Inputs!$G$5:$G$120="acoes"))*Inputs!$B$1+((Inputs!$G$5:$G$120&lt;&gt;"moeda")*(Inputs!$G$5:$G$120&lt;&gt;"acoes")))*INDEX(Inputs!$K$5:$AJ$120,0,MATCH(Z$2,Inputs!$K$4:$AJ$4,0)))+SUMPRODUCT((Inputs!$C$5:$C$120=$B6)*Inputs!$D$5:$D$120*(((Inputs!$G$5:$G$120="moeda")+(Inputs!$G$5:$G$120="acoes"))*Inputs!$B$1+((Inputs!$G$5:$G$120&lt;&gt;"moeda")*(Inputs!$G$5:$G$120&lt;&gt;"acoes")))*INDEX(Inputs!$K$5:$AJ$120,0,MATCH(Z$2,Inputs!$K$4:$AJ$4,0)))+SUMPRODUCT((Inputs!$E$5:$E$120=$B6)*Inputs!$F$5:$F$120*(((Inputs!$G$5:$G$120="moeda")+(Inputs!$G$5:$G$120="acoes"))*Inputs!$B$1+((Inputs!$G$5:$G$120&lt;&gt;"moeda")*(Inputs!$G$5:$G$120&lt;&gt;"acoes")))*INDEX(Inputs!$K$5:$AJ$120,0,MATCH(Z$2,Inputs!$K$4:$AJ$4,0)))))</f>
        <v>-678</v>
      </c>
      <c r="AA6" s="267">
        <f>IF(ISNA(MATCH(AA$2,Inputs!$K$4:$AJ$4,0)),NA(),IF(SUMPRODUCT((Inputs!$A$5:$A$120=$B6)*ISNUMBER(INDEX(Inputs!$K$5:$AJ$120,0,MATCH(AA$2,Inputs!$K$4:$AJ$4,0))))+SUMPRODUCT((Inputs!$C$5:$C$120=$B6)*ISNUMBER(INDEX(Inputs!$K$5:$AJ$120,0,MATCH(AA$2,Inputs!$K$4:$AJ$4,0))))+SUMPRODUCT((Inputs!$E$5:$E$120=$B6)*ISNUMBER(INDEX(Inputs!$K$5:$AJ$120,0,MATCH(AA$2,Inputs!$K$4:$AJ$4,0))))=0,NA(),SUMPRODUCT((Inputs!$A$5:$A$120=$B6)*Inputs!$B$5:$B$120*(((Inputs!$G$5:$G$120="moeda")+(Inputs!$G$5:$G$120="acoes"))*Inputs!$B$1+((Inputs!$G$5:$G$120&lt;&gt;"moeda")*(Inputs!$G$5:$G$120&lt;&gt;"acoes")))*INDEX(Inputs!$K$5:$AJ$120,0,MATCH(AA$2,Inputs!$K$4:$AJ$4,0)))+SUMPRODUCT((Inputs!$C$5:$C$120=$B6)*Inputs!$D$5:$D$120*(((Inputs!$G$5:$G$120="moeda")+(Inputs!$G$5:$G$120="acoes"))*Inputs!$B$1+((Inputs!$G$5:$G$120&lt;&gt;"moeda")*(Inputs!$G$5:$G$120&lt;&gt;"acoes")))*INDEX(Inputs!$K$5:$AJ$120,0,MATCH(AA$2,Inputs!$K$4:$AJ$4,0)))+SUMPRODUCT((Inputs!$E$5:$E$120=$B6)*Inputs!$F$5:$F$120*(((Inputs!$G$5:$G$120="moeda")+(Inputs!$G$5:$G$120="acoes"))*Inputs!$B$1+((Inputs!$G$5:$G$120&lt;&gt;"moeda")*(Inputs!$G$5:$G$120&lt;&gt;"acoes")))*INDEX(Inputs!$K$5:$AJ$120,0,MATCH(AA$2,Inputs!$K$4:$AJ$4,0)))))</f>
        <v>-637</v>
      </c>
      <c r="AB6" s="268">
        <f>SUM(X6:AA6)</f>
        <v>-2113</v>
      </c>
      <c r="AC6" s="267">
        <f>IF(ISNA(MATCH(AC$2,Inputs!$K$4:$AJ$4,0)),NA(),IF(SUMPRODUCT((Inputs!$A$5:$A$120=$B6)*ISNUMBER(INDEX(Inputs!$K$5:$AJ$120,0,MATCH(AC$2,Inputs!$K$4:$AJ$4,0))))+SUMPRODUCT((Inputs!$C$5:$C$120=$B6)*ISNUMBER(INDEX(Inputs!$K$5:$AJ$120,0,MATCH(AC$2,Inputs!$K$4:$AJ$4,0))))+SUMPRODUCT((Inputs!$E$5:$E$120=$B6)*ISNUMBER(INDEX(Inputs!$K$5:$AJ$120,0,MATCH(AC$2,Inputs!$K$4:$AJ$4,0))))=0,NA(),SUMPRODUCT((Inputs!$A$5:$A$120=$B6)*Inputs!$B$5:$B$120*(((Inputs!$G$5:$G$120="moeda")+(Inputs!$G$5:$G$120="acoes"))*Inputs!$B$1+((Inputs!$G$5:$G$120&lt;&gt;"moeda")*(Inputs!$G$5:$G$120&lt;&gt;"acoes")))*INDEX(Inputs!$K$5:$AJ$120,0,MATCH(AC$2,Inputs!$K$4:$AJ$4,0)))+SUMPRODUCT((Inputs!$C$5:$C$120=$B6)*Inputs!$D$5:$D$120*(((Inputs!$G$5:$G$120="moeda")+(Inputs!$G$5:$G$120="acoes"))*Inputs!$B$1+((Inputs!$G$5:$G$120&lt;&gt;"moeda")*(Inputs!$G$5:$G$120&lt;&gt;"acoes")))*INDEX(Inputs!$K$5:$AJ$120,0,MATCH(AC$2,Inputs!$K$4:$AJ$4,0)))+SUMPRODUCT((Inputs!$E$5:$E$120=$B6)*Inputs!$F$5:$F$120*(((Inputs!$G$5:$G$120="moeda")+(Inputs!$G$5:$G$120="acoes"))*Inputs!$B$1+((Inputs!$G$5:$G$120&lt;&gt;"moeda")*(Inputs!$G$5:$G$120&lt;&gt;"acoes")))*INDEX(Inputs!$K$5:$AJ$120,0,MATCH(AC$2,Inputs!$K$4:$AJ$4,0)))))</f>
        <v>-531</v>
      </c>
      <c r="AD6" s="267">
        <f>IF(ISNA(MATCH(AD$2,Inputs!$K$4:$AJ$4,0)),NA(),IF(SUMPRODUCT((Inputs!$A$5:$A$120=$B6)*ISNUMBER(INDEX(Inputs!$K$5:$AJ$120,0,MATCH(AD$2,Inputs!$K$4:$AJ$4,0))))+SUMPRODUCT((Inputs!$C$5:$C$120=$B6)*ISNUMBER(INDEX(Inputs!$K$5:$AJ$120,0,MATCH(AD$2,Inputs!$K$4:$AJ$4,0))))+SUMPRODUCT((Inputs!$E$5:$E$120=$B6)*ISNUMBER(INDEX(Inputs!$K$5:$AJ$120,0,MATCH(AD$2,Inputs!$K$4:$AJ$4,0))))=0,NA(),SUMPRODUCT((Inputs!$A$5:$A$120=$B6)*Inputs!$B$5:$B$120*(((Inputs!$G$5:$G$120="moeda")+(Inputs!$G$5:$G$120="acoes"))*Inputs!$B$1+((Inputs!$G$5:$G$120&lt;&gt;"moeda")*(Inputs!$G$5:$G$120&lt;&gt;"acoes")))*INDEX(Inputs!$K$5:$AJ$120,0,MATCH(AD$2,Inputs!$K$4:$AJ$4,0)))+SUMPRODUCT((Inputs!$C$5:$C$120=$B6)*Inputs!$D$5:$D$120*(((Inputs!$G$5:$G$120="moeda")+(Inputs!$G$5:$G$120="acoes"))*Inputs!$B$1+((Inputs!$G$5:$G$120&lt;&gt;"moeda")*(Inputs!$G$5:$G$120&lt;&gt;"acoes")))*INDEX(Inputs!$K$5:$AJ$120,0,MATCH(AD$2,Inputs!$K$4:$AJ$4,0)))+SUMPRODUCT((Inputs!$E$5:$E$120=$B6)*Inputs!$F$5:$F$120*(((Inputs!$G$5:$G$120="moeda")+(Inputs!$G$5:$G$120="acoes"))*Inputs!$B$1+((Inputs!$G$5:$G$120&lt;&gt;"moeda")*(Inputs!$G$5:$G$120&lt;&gt;"acoes")))*INDEX(Inputs!$K$5:$AJ$120,0,MATCH(AD$2,Inputs!$K$4:$AJ$4,0)))))</f>
        <v>-606</v>
      </c>
      <c r="AE6" s="267" t="e">
        <f>IF(ISNA(MATCH(AE$2,Inputs!$K$4:$AJ$4,0)),NA(),IF(SUMPRODUCT((Inputs!$A$5:$A$120=$B6)*ISNUMBER(INDEX(Inputs!$K$5:$AJ$120,0,MATCH(AE$2,Inputs!$K$4:$AJ$4,0))))+SUMPRODUCT((Inputs!$C$5:$C$120=$B6)*ISNUMBER(INDEX(Inputs!$K$5:$AJ$120,0,MATCH(AE$2,Inputs!$K$4:$AJ$4,0))))+SUMPRODUCT((Inputs!$E$5:$E$120=$B6)*ISNUMBER(INDEX(Inputs!$K$5:$AJ$120,0,MATCH(AE$2,Inputs!$K$4:$AJ$4,0))))=0,NA(),SUMPRODUCT((Inputs!$A$5:$A$120=$B6)*Inputs!$B$5:$B$120*(((Inputs!$G$5:$G$120="moeda")+(Inputs!$G$5:$G$120="acoes"))*Inputs!$B$1+((Inputs!$G$5:$G$120&lt;&gt;"moeda")*(Inputs!$G$5:$G$120&lt;&gt;"acoes")))*INDEX(Inputs!$K$5:$AJ$120,0,MATCH(AE$2,Inputs!$K$4:$AJ$4,0)))+SUMPRODUCT((Inputs!$C$5:$C$120=$B6)*Inputs!$D$5:$D$120*(((Inputs!$G$5:$G$120="moeda")+(Inputs!$G$5:$G$120="acoes"))*Inputs!$B$1+((Inputs!$G$5:$G$120&lt;&gt;"moeda")*(Inputs!$G$5:$G$120&lt;&gt;"acoes")))*INDEX(Inputs!$K$5:$AJ$120,0,MATCH(AE$2,Inputs!$K$4:$AJ$4,0)))+SUMPRODUCT((Inputs!$E$5:$E$120=$B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" s="267" t="e">
        <f>IF(ISNA(MATCH(AF$2,Inputs!$K$4:$AJ$4,0)),NA(),IF(SUMPRODUCT((Inputs!$A$5:$A$120=$B6)*ISNUMBER(INDEX(Inputs!$K$5:$AJ$120,0,MATCH(AF$2,Inputs!$K$4:$AJ$4,0))))+SUMPRODUCT((Inputs!$C$5:$C$120=$B6)*ISNUMBER(INDEX(Inputs!$K$5:$AJ$120,0,MATCH(AF$2,Inputs!$K$4:$AJ$4,0))))+SUMPRODUCT((Inputs!$E$5:$E$120=$B6)*ISNUMBER(INDEX(Inputs!$K$5:$AJ$120,0,MATCH(AF$2,Inputs!$K$4:$AJ$4,0))))=0,NA(),SUMPRODUCT((Inputs!$A$5:$A$120=$B6)*Inputs!$B$5:$B$120*(((Inputs!$G$5:$G$120="moeda")+(Inputs!$G$5:$G$120="acoes"))*Inputs!$B$1+((Inputs!$G$5:$G$120&lt;&gt;"moeda")*(Inputs!$G$5:$G$120&lt;&gt;"acoes")))*INDEX(Inputs!$K$5:$AJ$120,0,MATCH(AF$2,Inputs!$K$4:$AJ$4,0)))+SUMPRODUCT((Inputs!$C$5:$C$120=$B6)*Inputs!$D$5:$D$120*(((Inputs!$G$5:$G$120="moeda")+(Inputs!$G$5:$G$120="acoes"))*Inputs!$B$1+((Inputs!$G$5:$G$120&lt;&gt;"moeda")*(Inputs!$G$5:$G$120&lt;&gt;"acoes")))*INDEX(Inputs!$K$5:$AJ$120,0,MATCH(AF$2,Inputs!$K$4:$AJ$4,0)))+SUMPRODUCT((Inputs!$E$5:$E$120=$B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" s="268" t="e">
        <f>SUM(AC6:AF6)</f>
        <v>#N/A</v>
      </c>
      <c r="AH6" s="267">
        <f>IF(ISNA(MATCH(AH$2,Inputs!$K$4:$AJ$4,0)),NA(),IF(SUMPRODUCT((Inputs!$A$5:$A$120=$B6)*ISNUMBER(INDEX(Inputs!$K$5:$AJ$120,0,MATCH(AH$2,Inputs!$K$4:$AJ$4,0))))+SUMPRODUCT((Inputs!$C$5:$C$120=$B6)*ISNUMBER(INDEX(Inputs!$K$5:$AJ$120,0,MATCH(AH$2,Inputs!$K$4:$AJ$4,0))))+SUMPRODUCT((Inputs!$E$5:$E$120=$B6)*ISNUMBER(INDEX(Inputs!$K$5:$AJ$120,0,MATCH(AH$2,Inputs!$K$4:$AJ$4,0))))=0,NA(),SUMPRODUCT((Inputs!$A$5:$A$120=$B6)*Inputs!$B$5:$B$120*(((Inputs!$G$5:$G$120="moeda")+(Inputs!$G$5:$G$120="acoes"))*Inputs!$B$1+((Inputs!$G$5:$G$120&lt;&gt;"moeda")*(Inputs!$G$5:$G$120&lt;&gt;"acoes")))*INDEX(Inputs!$K$5:$AJ$120,0,MATCH(AH$2,Inputs!$K$4:$AJ$4,0)))+SUMPRODUCT((Inputs!$C$5:$C$120=$B6)*Inputs!$D$5:$D$120*(((Inputs!$G$5:$G$120="moeda")+(Inputs!$G$5:$G$120="acoes"))*Inputs!$B$1+((Inputs!$G$5:$G$120&lt;&gt;"moeda")*(Inputs!$G$5:$G$120&lt;&gt;"acoes")))*INDEX(Inputs!$K$5:$AJ$120,0,MATCH(AH$2,Inputs!$K$4:$AJ$4,0)))+SUMPRODUCT((Inputs!$E$5:$E$120=$B6)*Inputs!$F$5:$F$120*(((Inputs!$G$5:$G$120="moeda")+(Inputs!$G$5:$G$120="acoes"))*Inputs!$B$1+((Inputs!$G$5:$G$120&lt;&gt;"moeda")*(Inputs!$G$5:$G$120&lt;&gt;"acoes")))*INDEX(Inputs!$K$5:$AJ$120,0,MATCH(AH$2,Inputs!$K$4:$AJ$4,0)))))</f>
        <v>-295</v>
      </c>
      <c r="AI6" s="267">
        <f>IF(ISNA(MATCH(AI$2,Inputs!$K$4:$AJ$4,0)),NA(),IF(SUMPRODUCT((Inputs!$A$5:$A$120=$B6)*ISNUMBER(INDEX(Inputs!$K$5:$AJ$120,0,MATCH(AI$2,Inputs!$K$4:$AJ$4,0))))+SUMPRODUCT((Inputs!$C$5:$C$120=$B6)*ISNUMBER(INDEX(Inputs!$K$5:$AJ$120,0,MATCH(AI$2,Inputs!$K$4:$AJ$4,0))))+SUMPRODUCT((Inputs!$E$5:$E$120=$B6)*ISNUMBER(INDEX(Inputs!$K$5:$AJ$120,0,MATCH(AI$2,Inputs!$K$4:$AJ$4,0))))=0,NA(),SUMPRODUCT((Inputs!$A$5:$A$120=$B6)*Inputs!$B$5:$B$120*(((Inputs!$G$5:$G$120="moeda")+(Inputs!$G$5:$G$120="acoes"))*Inputs!$B$1+((Inputs!$G$5:$G$120&lt;&gt;"moeda")*(Inputs!$G$5:$G$120&lt;&gt;"acoes")))*INDEX(Inputs!$K$5:$AJ$120,0,MATCH(AI$2,Inputs!$K$4:$AJ$4,0)))+SUMPRODUCT((Inputs!$C$5:$C$120=$B6)*Inputs!$D$5:$D$120*(((Inputs!$G$5:$G$120="moeda")+(Inputs!$G$5:$G$120="acoes"))*Inputs!$B$1+((Inputs!$G$5:$G$120&lt;&gt;"moeda")*(Inputs!$G$5:$G$120&lt;&gt;"acoes")))*INDEX(Inputs!$K$5:$AJ$120,0,MATCH(AI$2,Inputs!$K$4:$AJ$4,0)))+SUMPRODUCT((Inputs!$E$5:$E$120=$B6)*Inputs!$F$5:$F$120*(((Inputs!$G$5:$G$120="moeda")+(Inputs!$G$5:$G$120="acoes"))*Inputs!$B$1+((Inputs!$G$5:$G$120&lt;&gt;"moeda")*(Inputs!$G$5:$G$120&lt;&gt;"acoes")))*INDEX(Inputs!$K$5:$AJ$120,0,MATCH(AI$2,Inputs!$K$4:$AJ$4,0)))))</f>
        <v>-346</v>
      </c>
      <c r="AJ6" s="267">
        <f>IF(ISNA(MATCH(AJ$2,Inputs!$K$4:$AJ$4,0)),NA(),IF(SUMPRODUCT((Inputs!$A$5:$A$120=$B6)*ISNUMBER(INDEX(Inputs!$K$5:$AJ$120,0,MATCH(AJ$2,Inputs!$K$4:$AJ$4,0))))+SUMPRODUCT((Inputs!$C$5:$C$120=$B6)*ISNUMBER(INDEX(Inputs!$K$5:$AJ$120,0,MATCH(AJ$2,Inputs!$K$4:$AJ$4,0))))+SUMPRODUCT((Inputs!$E$5:$E$120=$B6)*ISNUMBER(INDEX(Inputs!$K$5:$AJ$120,0,MATCH(AJ$2,Inputs!$K$4:$AJ$4,0))))=0,NA(),SUMPRODUCT((Inputs!$A$5:$A$120=$B6)*Inputs!$B$5:$B$120*(((Inputs!$G$5:$G$120="moeda")+(Inputs!$G$5:$G$120="acoes"))*Inputs!$B$1+((Inputs!$G$5:$G$120&lt;&gt;"moeda")*(Inputs!$G$5:$G$120&lt;&gt;"acoes")))*INDEX(Inputs!$K$5:$AJ$120,0,MATCH(AJ$2,Inputs!$K$4:$AJ$4,0)))+SUMPRODUCT((Inputs!$C$5:$C$120=$B6)*Inputs!$D$5:$D$120*(((Inputs!$G$5:$G$120="moeda")+(Inputs!$G$5:$G$120="acoes"))*Inputs!$B$1+((Inputs!$G$5:$G$120&lt;&gt;"moeda")*(Inputs!$G$5:$G$120&lt;&gt;"acoes")))*INDEX(Inputs!$K$5:$AJ$120,0,MATCH(AJ$2,Inputs!$K$4:$AJ$4,0)))+SUMPRODUCT((Inputs!$E$5:$E$120=$B6)*Inputs!$F$5:$F$120*(((Inputs!$G$5:$G$120="moeda")+(Inputs!$G$5:$G$120="acoes"))*Inputs!$B$1+((Inputs!$G$5:$G$120&lt;&gt;"moeda")*(Inputs!$G$5:$G$120&lt;&gt;"acoes")))*INDEX(Inputs!$K$5:$AJ$120,0,MATCH(AJ$2,Inputs!$K$4:$AJ$4,0)))))</f>
        <v>-352</v>
      </c>
      <c r="AK6" s="267">
        <f>IF(ISNA(MATCH(AK$2,Inputs!$K$4:$AJ$4,0)),NA(),IF(SUMPRODUCT((Inputs!$A$5:$A$120=$B6)*ISNUMBER(INDEX(Inputs!$K$5:$AJ$120,0,MATCH(AK$2,Inputs!$K$4:$AJ$4,0))))+SUMPRODUCT((Inputs!$C$5:$C$120=$B6)*ISNUMBER(INDEX(Inputs!$K$5:$AJ$120,0,MATCH(AK$2,Inputs!$K$4:$AJ$4,0))))+SUMPRODUCT((Inputs!$E$5:$E$120=$B6)*ISNUMBER(INDEX(Inputs!$K$5:$AJ$120,0,MATCH(AK$2,Inputs!$K$4:$AJ$4,0))))=0,NA(),SUMPRODUCT((Inputs!$A$5:$A$120=$B6)*Inputs!$B$5:$B$120*(((Inputs!$G$5:$G$120="moeda")+(Inputs!$G$5:$G$120="acoes"))*Inputs!$B$1+((Inputs!$G$5:$G$120&lt;&gt;"moeda")*(Inputs!$G$5:$G$120&lt;&gt;"acoes")))*INDEX(Inputs!$K$5:$AJ$120,0,MATCH(AK$2,Inputs!$K$4:$AJ$4,0)))+SUMPRODUCT((Inputs!$C$5:$C$120=$B6)*Inputs!$D$5:$D$120*(((Inputs!$G$5:$G$120="moeda")+(Inputs!$G$5:$G$120="acoes"))*Inputs!$B$1+((Inputs!$G$5:$G$120&lt;&gt;"moeda")*(Inputs!$G$5:$G$120&lt;&gt;"acoes")))*INDEX(Inputs!$K$5:$AJ$120,0,MATCH(AK$2,Inputs!$K$4:$AJ$4,0)))+SUMPRODUCT((Inputs!$E$5:$E$120=$B6)*Inputs!$F$5:$F$120*(((Inputs!$G$5:$G$120="moeda")+(Inputs!$G$5:$G$120="acoes"))*Inputs!$B$1+((Inputs!$G$5:$G$120&lt;&gt;"moeda")*(Inputs!$G$5:$G$120&lt;&gt;"acoes")))*INDEX(Inputs!$K$5:$AJ$120,0,MATCH(AK$2,Inputs!$K$4:$AJ$4,0)))))</f>
        <v>-365</v>
      </c>
      <c r="AL6" s="268">
        <f>SUM(AH6:AK6)</f>
        <v>-1358</v>
      </c>
    </row>
    <row r="7" ht="12.75" customHeight="1" s="255">
      <c r="B7" s="265" t="n">
        <v>4</v>
      </c>
      <c r="C7" s="269" t="inlineStr">
        <is>
          <t>D&amp;A</t>
        </is>
      </c>
      <c r="D7" s="267">
        <f>IF(ISNA(MATCH(D$2,Inputs!$K$4:$AJ$4,0)),NA(),IF(SUMPRODUCT((Inputs!$A$5:$A$120=$B7)*ISNUMBER(INDEX(Inputs!$K$5:$AJ$120,0,MATCH(D$2,Inputs!$K$4:$AJ$4,0))))+SUMPRODUCT((Inputs!$C$5:$C$120=$B7)*ISNUMBER(INDEX(Inputs!$K$5:$AJ$120,0,MATCH(D$2,Inputs!$K$4:$AJ$4,0))))+SUMPRODUCT((Inputs!$E$5:$E$120=$B7)*ISNUMBER(INDEX(Inputs!$K$5:$AJ$120,0,MATCH(D$2,Inputs!$K$4:$AJ$4,0))))=0,NA(),SUMPRODUCT((Inputs!$A$5:$A$120=$B7)*Inputs!$B$5:$B$120*(((Inputs!$G$5:$G$120="moeda")+(Inputs!$G$5:$G$120="acoes"))*Inputs!$B$1+((Inputs!$G$5:$G$120&lt;&gt;"moeda")*(Inputs!$G$5:$G$120&lt;&gt;"acoes")))*INDEX(Inputs!$K$5:$AJ$120,0,MATCH(D$2,Inputs!$K$4:$AJ$4,0)))+SUMPRODUCT((Inputs!$C$5:$C$120=$B7)*Inputs!$D$5:$D$120*(((Inputs!$G$5:$G$120="moeda")+(Inputs!$G$5:$G$120="acoes"))*Inputs!$B$1+((Inputs!$G$5:$G$120&lt;&gt;"moeda")*(Inputs!$G$5:$G$120&lt;&gt;"acoes")))*INDEX(Inputs!$K$5:$AJ$120,0,MATCH(D$2,Inputs!$K$4:$AJ$4,0)))+SUMPRODUCT((Inputs!$E$5:$E$120=$B7)*Inputs!$F$5:$F$120*(((Inputs!$G$5:$G$120="moeda")+(Inputs!$G$5:$G$120="acoes"))*Inputs!$B$1+((Inputs!$G$5:$G$120&lt;&gt;"moeda")*(Inputs!$G$5:$G$120&lt;&gt;"acoes")))*INDEX(Inputs!$K$5:$AJ$120,0,MATCH(D$2,Inputs!$K$4:$AJ$4,0)))))</f>
        <v>-106</v>
      </c>
      <c r="E7" s="267">
        <f>IF(ISNA(MATCH(E$2,Inputs!$K$4:$AJ$4,0)),NA(),IF(SUMPRODUCT((Inputs!$A$5:$A$120=$B7)*ISNUMBER(INDEX(Inputs!$K$5:$AJ$120,0,MATCH(E$2,Inputs!$K$4:$AJ$4,0))))+SUMPRODUCT((Inputs!$C$5:$C$120=$B7)*ISNUMBER(INDEX(Inputs!$K$5:$AJ$120,0,MATCH(E$2,Inputs!$K$4:$AJ$4,0))))+SUMPRODUCT((Inputs!$E$5:$E$120=$B7)*ISNUMBER(INDEX(Inputs!$K$5:$AJ$120,0,MATCH(E$2,Inputs!$K$4:$AJ$4,0))))=0,NA(),SUMPRODUCT((Inputs!$A$5:$A$120=$B7)*Inputs!$B$5:$B$120*(((Inputs!$G$5:$G$120="moeda")+(Inputs!$G$5:$G$120="acoes"))*Inputs!$B$1+((Inputs!$G$5:$G$120&lt;&gt;"moeda")*(Inputs!$G$5:$G$120&lt;&gt;"acoes")))*INDEX(Inputs!$K$5:$AJ$120,0,MATCH(E$2,Inputs!$K$4:$AJ$4,0)))+SUMPRODUCT((Inputs!$C$5:$C$120=$B7)*Inputs!$D$5:$D$120*(((Inputs!$G$5:$G$120="moeda")+(Inputs!$G$5:$G$120="acoes"))*Inputs!$B$1+((Inputs!$G$5:$G$120&lt;&gt;"moeda")*(Inputs!$G$5:$G$120&lt;&gt;"acoes")))*INDEX(Inputs!$K$5:$AJ$120,0,MATCH(E$2,Inputs!$K$4:$AJ$4,0)))+SUMPRODUCT((Inputs!$E$5:$E$120=$B7)*Inputs!$F$5:$F$120*(((Inputs!$G$5:$G$120="moeda")+(Inputs!$G$5:$G$120="acoes"))*Inputs!$B$1+((Inputs!$G$5:$G$120&lt;&gt;"moeda")*(Inputs!$G$5:$G$120&lt;&gt;"acoes")))*INDEX(Inputs!$K$5:$AJ$120,0,MATCH(E$2,Inputs!$K$4:$AJ$4,0)))))</f>
        <v>-106</v>
      </c>
      <c r="F7" s="267">
        <f>IF(ISNA(MATCH(F$2,Inputs!$K$4:$AJ$4,0)),NA(),IF(SUMPRODUCT((Inputs!$A$5:$A$120=$B7)*ISNUMBER(INDEX(Inputs!$K$5:$AJ$120,0,MATCH(F$2,Inputs!$K$4:$AJ$4,0))))+SUMPRODUCT((Inputs!$C$5:$C$120=$B7)*ISNUMBER(INDEX(Inputs!$K$5:$AJ$120,0,MATCH(F$2,Inputs!$K$4:$AJ$4,0))))+SUMPRODUCT((Inputs!$E$5:$E$120=$B7)*ISNUMBER(INDEX(Inputs!$K$5:$AJ$120,0,MATCH(F$2,Inputs!$K$4:$AJ$4,0))))=0,NA(),SUMPRODUCT((Inputs!$A$5:$A$120=$B7)*Inputs!$B$5:$B$120*(((Inputs!$G$5:$G$120="moeda")+(Inputs!$G$5:$G$120="acoes"))*Inputs!$B$1+((Inputs!$G$5:$G$120&lt;&gt;"moeda")*(Inputs!$G$5:$G$120&lt;&gt;"acoes")))*INDEX(Inputs!$K$5:$AJ$120,0,MATCH(F$2,Inputs!$K$4:$AJ$4,0)))+SUMPRODUCT((Inputs!$C$5:$C$120=$B7)*Inputs!$D$5:$D$120*(((Inputs!$G$5:$G$120="moeda")+(Inputs!$G$5:$G$120="acoes"))*Inputs!$B$1+((Inputs!$G$5:$G$120&lt;&gt;"moeda")*(Inputs!$G$5:$G$120&lt;&gt;"acoes")))*INDEX(Inputs!$K$5:$AJ$120,0,MATCH(F$2,Inputs!$K$4:$AJ$4,0)))+SUMPRODUCT((Inputs!$E$5:$E$120=$B7)*Inputs!$F$5:$F$120*(((Inputs!$G$5:$G$120="moeda")+(Inputs!$G$5:$G$120="acoes"))*Inputs!$B$1+((Inputs!$G$5:$G$120&lt;&gt;"moeda")*(Inputs!$G$5:$G$120&lt;&gt;"acoes")))*INDEX(Inputs!$K$5:$AJ$120,0,MATCH(F$2,Inputs!$K$4:$AJ$4,0)))))</f>
        <v>-105</v>
      </c>
      <c r="G7" s="267">
        <f>IF(ISNA(MATCH(G$2,Inputs!$K$4:$AJ$4,0)),NA(),IF(SUMPRODUCT((Inputs!$A$5:$A$120=$B7)*ISNUMBER(INDEX(Inputs!$K$5:$AJ$120,0,MATCH(G$2,Inputs!$K$4:$AJ$4,0))))+SUMPRODUCT((Inputs!$C$5:$C$120=$B7)*ISNUMBER(INDEX(Inputs!$K$5:$AJ$120,0,MATCH(G$2,Inputs!$K$4:$AJ$4,0))))+SUMPRODUCT((Inputs!$E$5:$E$120=$B7)*ISNUMBER(INDEX(Inputs!$K$5:$AJ$120,0,MATCH(G$2,Inputs!$K$4:$AJ$4,0))))=0,NA(),SUMPRODUCT((Inputs!$A$5:$A$120=$B7)*Inputs!$B$5:$B$120*(((Inputs!$G$5:$G$120="moeda")+(Inputs!$G$5:$G$120="acoes"))*Inputs!$B$1+((Inputs!$G$5:$G$120&lt;&gt;"moeda")*(Inputs!$G$5:$G$120&lt;&gt;"acoes")))*INDEX(Inputs!$K$5:$AJ$120,0,MATCH(G$2,Inputs!$K$4:$AJ$4,0)))+SUMPRODUCT((Inputs!$C$5:$C$120=$B7)*Inputs!$D$5:$D$120*(((Inputs!$G$5:$G$120="moeda")+(Inputs!$G$5:$G$120="acoes"))*Inputs!$B$1+((Inputs!$G$5:$G$120&lt;&gt;"moeda")*(Inputs!$G$5:$G$120&lt;&gt;"acoes")))*INDEX(Inputs!$K$5:$AJ$120,0,MATCH(G$2,Inputs!$K$4:$AJ$4,0)))+SUMPRODUCT((Inputs!$E$5:$E$120=$B7)*Inputs!$F$5:$F$120*(((Inputs!$G$5:$G$120="moeda")+(Inputs!$G$5:$G$120="acoes"))*Inputs!$B$1+((Inputs!$G$5:$G$120&lt;&gt;"moeda")*(Inputs!$G$5:$G$120&lt;&gt;"acoes")))*INDEX(Inputs!$K$5:$AJ$120,0,MATCH(G$2,Inputs!$K$4:$AJ$4,0)))))</f>
        <v>-107</v>
      </c>
      <c r="H7" s="268">
        <f>SUM(D7:G7)</f>
        <v>-424</v>
      </c>
      <c r="I7" s="267">
        <f>IF(ISNA(MATCH(I$2,Inputs!$K$4:$AJ$4,0)),NA(),IF(SUMPRODUCT((Inputs!$A$5:$A$120=$B7)*ISNUMBER(INDEX(Inputs!$K$5:$AJ$120,0,MATCH(I$2,Inputs!$K$4:$AJ$4,0))))+SUMPRODUCT((Inputs!$C$5:$C$120=$B7)*ISNUMBER(INDEX(Inputs!$K$5:$AJ$120,0,MATCH(I$2,Inputs!$K$4:$AJ$4,0))))+SUMPRODUCT((Inputs!$E$5:$E$120=$B7)*ISNUMBER(INDEX(Inputs!$K$5:$AJ$120,0,MATCH(I$2,Inputs!$K$4:$AJ$4,0))))=0,NA(),SUMPRODUCT((Inputs!$A$5:$A$120=$B7)*Inputs!$B$5:$B$120*(((Inputs!$G$5:$G$120="moeda")+(Inputs!$G$5:$G$120="acoes"))*Inputs!$B$1+((Inputs!$G$5:$G$120&lt;&gt;"moeda")*(Inputs!$G$5:$G$120&lt;&gt;"acoes")))*INDEX(Inputs!$K$5:$AJ$120,0,MATCH(I$2,Inputs!$K$4:$AJ$4,0)))+SUMPRODUCT((Inputs!$C$5:$C$120=$B7)*Inputs!$D$5:$D$120*(((Inputs!$G$5:$G$120="moeda")+(Inputs!$G$5:$G$120="acoes"))*Inputs!$B$1+((Inputs!$G$5:$G$120&lt;&gt;"moeda")*(Inputs!$G$5:$G$120&lt;&gt;"acoes")))*INDEX(Inputs!$K$5:$AJ$120,0,MATCH(I$2,Inputs!$K$4:$AJ$4,0)))+SUMPRODUCT((Inputs!$E$5:$E$120=$B7)*Inputs!$F$5:$F$120*(((Inputs!$G$5:$G$120="moeda")+(Inputs!$G$5:$G$120="acoes"))*Inputs!$B$1+((Inputs!$G$5:$G$120&lt;&gt;"moeda")*(Inputs!$G$5:$G$120&lt;&gt;"acoes")))*INDEX(Inputs!$K$5:$AJ$120,0,MATCH(I$2,Inputs!$K$4:$AJ$4,0)))))</f>
        <v>-102</v>
      </c>
      <c r="J7" s="267">
        <f>IF(ISNA(MATCH(J$2,Inputs!$K$4:$AJ$4,0)),NA(),IF(SUMPRODUCT((Inputs!$A$5:$A$120=$B7)*ISNUMBER(INDEX(Inputs!$K$5:$AJ$120,0,MATCH(J$2,Inputs!$K$4:$AJ$4,0))))+SUMPRODUCT((Inputs!$C$5:$C$120=$B7)*ISNUMBER(INDEX(Inputs!$K$5:$AJ$120,0,MATCH(J$2,Inputs!$K$4:$AJ$4,0))))+SUMPRODUCT((Inputs!$E$5:$E$120=$B7)*ISNUMBER(INDEX(Inputs!$K$5:$AJ$120,0,MATCH(J$2,Inputs!$K$4:$AJ$4,0))))=0,NA(),SUMPRODUCT((Inputs!$A$5:$A$120=$B7)*Inputs!$B$5:$B$120*(((Inputs!$G$5:$G$120="moeda")+(Inputs!$G$5:$G$120="acoes"))*Inputs!$B$1+((Inputs!$G$5:$G$120&lt;&gt;"moeda")*(Inputs!$G$5:$G$120&lt;&gt;"acoes")))*INDEX(Inputs!$K$5:$AJ$120,0,MATCH(J$2,Inputs!$K$4:$AJ$4,0)))+SUMPRODUCT((Inputs!$C$5:$C$120=$B7)*Inputs!$D$5:$D$120*(((Inputs!$G$5:$G$120="moeda")+(Inputs!$G$5:$G$120="acoes"))*Inputs!$B$1+((Inputs!$G$5:$G$120&lt;&gt;"moeda")*(Inputs!$G$5:$G$120&lt;&gt;"acoes")))*INDEX(Inputs!$K$5:$AJ$120,0,MATCH(J$2,Inputs!$K$4:$AJ$4,0)))+SUMPRODUCT((Inputs!$E$5:$E$120=$B7)*Inputs!$F$5:$F$120*(((Inputs!$G$5:$G$120="moeda")+(Inputs!$G$5:$G$120="acoes"))*Inputs!$B$1+((Inputs!$G$5:$G$120&lt;&gt;"moeda")*(Inputs!$G$5:$G$120&lt;&gt;"acoes")))*INDEX(Inputs!$K$5:$AJ$120,0,MATCH(J$2,Inputs!$K$4:$AJ$4,0)))))</f>
        <v>-102</v>
      </c>
      <c r="K7" s="267">
        <f>IF(ISNA(MATCH(K$2,Inputs!$K$4:$AJ$4,0)),NA(),IF(SUMPRODUCT((Inputs!$A$5:$A$120=$B7)*ISNUMBER(INDEX(Inputs!$K$5:$AJ$120,0,MATCH(K$2,Inputs!$K$4:$AJ$4,0))))+SUMPRODUCT((Inputs!$C$5:$C$120=$B7)*ISNUMBER(INDEX(Inputs!$K$5:$AJ$120,0,MATCH(K$2,Inputs!$K$4:$AJ$4,0))))+SUMPRODUCT((Inputs!$E$5:$E$120=$B7)*ISNUMBER(INDEX(Inputs!$K$5:$AJ$120,0,MATCH(K$2,Inputs!$K$4:$AJ$4,0))))=0,NA(),SUMPRODUCT((Inputs!$A$5:$A$120=$B7)*Inputs!$B$5:$B$120*(((Inputs!$G$5:$G$120="moeda")+(Inputs!$G$5:$G$120="acoes"))*Inputs!$B$1+((Inputs!$G$5:$G$120&lt;&gt;"moeda")*(Inputs!$G$5:$G$120&lt;&gt;"acoes")))*INDEX(Inputs!$K$5:$AJ$120,0,MATCH(K$2,Inputs!$K$4:$AJ$4,0)))+SUMPRODUCT((Inputs!$C$5:$C$120=$B7)*Inputs!$D$5:$D$120*(((Inputs!$G$5:$G$120="moeda")+(Inputs!$G$5:$G$120="acoes"))*Inputs!$B$1+((Inputs!$G$5:$G$120&lt;&gt;"moeda")*(Inputs!$G$5:$G$120&lt;&gt;"acoes")))*INDEX(Inputs!$K$5:$AJ$120,0,MATCH(K$2,Inputs!$K$4:$AJ$4,0)))+SUMPRODUCT((Inputs!$E$5:$E$120=$B7)*Inputs!$F$5:$F$120*(((Inputs!$G$5:$G$120="moeda")+(Inputs!$G$5:$G$120="acoes"))*Inputs!$B$1+((Inputs!$G$5:$G$120&lt;&gt;"moeda")*(Inputs!$G$5:$G$120&lt;&gt;"acoes")))*INDEX(Inputs!$K$5:$AJ$120,0,MATCH(K$2,Inputs!$K$4:$AJ$4,0)))))</f>
        <v>-101</v>
      </c>
      <c r="L7" s="267">
        <f>IF(ISNA(MATCH(L$2,Inputs!$K$4:$AJ$4,0)),NA(),IF(SUMPRODUCT((Inputs!$A$5:$A$120=$B7)*ISNUMBER(INDEX(Inputs!$K$5:$AJ$120,0,MATCH(L$2,Inputs!$K$4:$AJ$4,0))))+SUMPRODUCT((Inputs!$C$5:$C$120=$B7)*ISNUMBER(INDEX(Inputs!$K$5:$AJ$120,0,MATCH(L$2,Inputs!$K$4:$AJ$4,0))))+SUMPRODUCT((Inputs!$E$5:$E$120=$B7)*ISNUMBER(INDEX(Inputs!$K$5:$AJ$120,0,MATCH(L$2,Inputs!$K$4:$AJ$4,0))))=0,NA(),SUMPRODUCT((Inputs!$A$5:$A$120=$B7)*Inputs!$B$5:$B$120*(((Inputs!$G$5:$G$120="moeda")+(Inputs!$G$5:$G$120="acoes"))*Inputs!$B$1+((Inputs!$G$5:$G$120&lt;&gt;"moeda")*(Inputs!$G$5:$G$120&lt;&gt;"acoes")))*INDEX(Inputs!$K$5:$AJ$120,0,MATCH(L$2,Inputs!$K$4:$AJ$4,0)))+SUMPRODUCT((Inputs!$C$5:$C$120=$B7)*Inputs!$D$5:$D$120*(((Inputs!$G$5:$G$120="moeda")+(Inputs!$G$5:$G$120="acoes"))*Inputs!$B$1+((Inputs!$G$5:$G$120&lt;&gt;"moeda")*(Inputs!$G$5:$G$120&lt;&gt;"acoes")))*INDEX(Inputs!$K$5:$AJ$120,0,MATCH(L$2,Inputs!$K$4:$AJ$4,0)))+SUMPRODUCT((Inputs!$E$5:$E$120=$B7)*Inputs!$F$5:$F$120*(((Inputs!$G$5:$G$120="moeda")+(Inputs!$G$5:$G$120="acoes"))*Inputs!$B$1+((Inputs!$G$5:$G$120&lt;&gt;"moeda")*(Inputs!$G$5:$G$120&lt;&gt;"acoes")))*INDEX(Inputs!$K$5:$AJ$120,0,MATCH(L$2,Inputs!$K$4:$AJ$4,0)))))</f>
        <v>-103</v>
      </c>
      <c r="M7" s="268">
        <f>SUM(I7:L7)</f>
        <v>-408</v>
      </c>
      <c r="N7" s="267">
        <f>IF(ISNA(MATCH(N$2,Inputs!$K$4:$AJ$4,0)),NA(),IF(SUMPRODUCT((Inputs!$A$5:$A$120=$B7)*ISNUMBER(INDEX(Inputs!$K$5:$AJ$120,0,MATCH(N$2,Inputs!$K$4:$AJ$4,0))))+SUMPRODUCT((Inputs!$C$5:$C$120=$B7)*ISNUMBER(INDEX(Inputs!$K$5:$AJ$120,0,MATCH(N$2,Inputs!$K$4:$AJ$4,0))))+SUMPRODUCT((Inputs!$E$5:$E$120=$B7)*ISNUMBER(INDEX(Inputs!$K$5:$AJ$120,0,MATCH(N$2,Inputs!$K$4:$AJ$4,0))))=0,NA(),SUMPRODUCT((Inputs!$A$5:$A$120=$B7)*Inputs!$B$5:$B$120*(((Inputs!$G$5:$G$120="moeda")+(Inputs!$G$5:$G$120="acoes"))*Inputs!$B$1+((Inputs!$G$5:$G$120&lt;&gt;"moeda")*(Inputs!$G$5:$G$120&lt;&gt;"acoes")))*INDEX(Inputs!$K$5:$AJ$120,0,MATCH(N$2,Inputs!$K$4:$AJ$4,0)))+SUMPRODUCT((Inputs!$C$5:$C$120=$B7)*Inputs!$D$5:$D$120*(((Inputs!$G$5:$G$120="moeda")+(Inputs!$G$5:$G$120="acoes"))*Inputs!$B$1+((Inputs!$G$5:$G$120&lt;&gt;"moeda")*(Inputs!$G$5:$G$120&lt;&gt;"acoes")))*INDEX(Inputs!$K$5:$AJ$120,0,MATCH(N$2,Inputs!$K$4:$AJ$4,0)))+SUMPRODUCT((Inputs!$E$5:$E$120=$B7)*Inputs!$F$5:$F$120*(((Inputs!$G$5:$G$120="moeda")+(Inputs!$G$5:$G$120="acoes"))*Inputs!$B$1+((Inputs!$G$5:$G$120&lt;&gt;"moeda")*(Inputs!$G$5:$G$120&lt;&gt;"acoes")))*INDEX(Inputs!$K$5:$AJ$120,0,MATCH(N$2,Inputs!$K$4:$AJ$4,0)))))</f>
        <v>-102</v>
      </c>
      <c r="O7" s="267">
        <f>IF(ISNA(MATCH(O$2,Inputs!$K$4:$AJ$4,0)),NA(),IF(SUMPRODUCT((Inputs!$A$5:$A$120=$B7)*ISNUMBER(INDEX(Inputs!$K$5:$AJ$120,0,MATCH(O$2,Inputs!$K$4:$AJ$4,0))))+SUMPRODUCT((Inputs!$C$5:$C$120=$B7)*ISNUMBER(INDEX(Inputs!$K$5:$AJ$120,0,MATCH(O$2,Inputs!$K$4:$AJ$4,0))))+SUMPRODUCT((Inputs!$E$5:$E$120=$B7)*ISNUMBER(INDEX(Inputs!$K$5:$AJ$120,0,MATCH(O$2,Inputs!$K$4:$AJ$4,0))))=0,NA(),SUMPRODUCT((Inputs!$A$5:$A$120=$B7)*Inputs!$B$5:$B$120*(((Inputs!$G$5:$G$120="moeda")+(Inputs!$G$5:$G$120="acoes"))*Inputs!$B$1+((Inputs!$G$5:$G$120&lt;&gt;"moeda")*(Inputs!$G$5:$G$120&lt;&gt;"acoes")))*INDEX(Inputs!$K$5:$AJ$120,0,MATCH(O$2,Inputs!$K$4:$AJ$4,0)))+SUMPRODUCT((Inputs!$C$5:$C$120=$B7)*Inputs!$D$5:$D$120*(((Inputs!$G$5:$G$120="moeda")+(Inputs!$G$5:$G$120="acoes"))*Inputs!$B$1+((Inputs!$G$5:$G$120&lt;&gt;"moeda")*(Inputs!$G$5:$G$120&lt;&gt;"acoes")))*INDEX(Inputs!$K$5:$AJ$120,0,MATCH(O$2,Inputs!$K$4:$AJ$4,0)))+SUMPRODUCT((Inputs!$E$5:$E$120=$B7)*Inputs!$F$5:$F$120*(((Inputs!$G$5:$G$120="moeda")+(Inputs!$G$5:$G$120="acoes"))*Inputs!$B$1+((Inputs!$G$5:$G$120&lt;&gt;"moeda")*(Inputs!$G$5:$G$120&lt;&gt;"acoes")))*INDEX(Inputs!$K$5:$AJ$120,0,MATCH(O$2,Inputs!$K$4:$AJ$4,0)))))</f>
        <v>-106</v>
      </c>
      <c r="P7" s="267">
        <f>IF(ISNA(MATCH(P$2,Inputs!$K$4:$AJ$4,0)),NA(),IF(SUMPRODUCT((Inputs!$A$5:$A$120=$B7)*ISNUMBER(INDEX(Inputs!$K$5:$AJ$120,0,MATCH(P$2,Inputs!$K$4:$AJ$4,0))))+SUMPRODUCT((Inputs!$C$5:$C$120=$B7)*ISNUMBER(INDEX(Inputs!$K$5:$AJ$120,0,MATCH(P$2,Inputs!$K$4:$AJ$4,0))))+SUMPRODUCT((Inputs!$E$5:$E$120=$B7)*ISNUMBER(INDEX(Inputs!$K$5:$AJ$120,0,MATCH(P$2,Inputs!$K$4:$AJ$4,0))))=0,NA(),SUMPRODUCT((Inputs!$A$5:$A$120=$B7)*Inputs!$B$5:$B$120*(((Inputs!$G$5:$G$120="moeda")+(Inputs!$G$5:$G$120="acoes"))*Inputs!$B$1+((Inputs!$G$5:$G$120&lt;&gt;"moeda")*(Inputs!$G$5:$G$120&lt;&gt;"acoes")))*INDEX(Inputs!$K$5:$AJ$120,0,MATCH(P$2,Inputs!$K$4:$AJ$4,0)))+SUMPRODUCT((Inputs!$C$5:$C$120=$B7)*Inputs!$D$5:$D$120*(((Inputs!$G$5:$G$120="moeda")+(Inputs!$G$5:$G$120="acoes"))*Inputs!$B$1+((Inputs!$G$5:$G$120&lt;&gt;"moeda")*(Inputs!$G$5:$G$120&lt;&gt;"acoes")))*INDEX(Inputs!$K$5:$AJ$120,0,MATCH(P$2,Inputs!$K$4:$AJ$4,0)))+SUMPRODUCT((Inputs!$E$5:$E$120=$B7)*Inputs!$F$5:$F$120*(((Inputs!$G$5:$G$120="moeda")+(Inputs!$G$5:$G$120="acoes"))*Inputs!$B$1+((Inputs!$G$5:$G$120&lt;&gt;"moeda")*(Inputs!$G$5:$G$120&lt;&gt;"acoes")))*INDEX(Inputs!$K$5:$AJ$120,0,MATCH(P$2,Inputs!$K$4:$AJ$4,0)))))</f>
        <v>-109</v>
      </c>
      <c r="Q7" s="267">
        <f>IF(ISNA(MATCH(Q$2,Inputs!$K$4:$AJ$4,0)),NA(),IF(SUMPRODUCT((Inputs!$A$5:$A$120=$B7)*ISNUMBER(INDEX(Inputs!$K$5:$AJ$120,0,MATCH(Q$2,Inputs!$K$4:$AJ$4,0))))+SUMPRODUCT((Inputs!$C$5:$C$120=$B7)*ISNUMBER(INDEX(Inputs!$K$5:$AJ$120,0,MATCH(Q$2,Inputs!$K$4:$AJ$4,0))))+SUMPRODUCT((Inputs!$E$5:$E$120=$B7)*ISNUMBER(INDEX(Inputs!$K$5:$AJ$120,0,MATCH(Q$2,Inputs!$K$4:$AJ$4,0))))=0,NA(),SUMPRODUCT((Inputs!$A$5:$A$120=$B7)*Inputs!$B$5:$B$120*(((Inputs!$G$5:$G$120="moeda")+(Inputs!$G$5:$G$120="acoes"))*Inputs!$B$1+((Inputs!$G$5:$G$120&lt;&gt;"moeda")*(Inputs!$G$5:$G$120&lt;&gt;"acoes")))*INDEX(Inputs!$K$5:$AJ$120,0,MATCH(Q$2,Inputs!$K$4:$AJ$4,0)))+SUMPRODUCT((Inputs!$C$5:$C$120=$B7)*Inputs!$D$5:$D$120*(((Inputs!$G$5:$G$120="moeda")+(Inputs!$G$5:$G$120="acoes"))*Inputs!$B$1+((Inputs!$G$5:$G$120&lt;&gt;"moeda")*(Inputs!$G$5:$G$120&lt;&gt;"acoes")))*INDEX(Inputs!$K$5:$AJ$120,0,MATCH(Q$2,Inputs!$K$4:$AJ$4,0)))+SUMPRODUCT((Inputs!$E$5:$E$120=$B7)*Inputs!$F$5:$F$120*(((Inputs!$G$5:$G$120="moeda")+(Inputs!$G$5:$G$120="acoes"))*Inputs!$B$1+((Inputs!$G$5:$G$120&lt;&gt;"moeda")*(Inputs!$G$5:$G$120&lt;&gt;"acoes")))*INDEX(Inputs!$K$5:$AJ$120,0,MATCH(Q$2,Inputs!$K$4:$AJ$4,0)))))</f>
        <v>-134</v>
      </c>
      <c r="R7" s="268">
        <f>SUM(N7:Q7)</f>
        <v>-451</v>
      </c>
      <c r="S7" s="267">
        <f>IF(ISNA(MATCH(S$2,Inputs!$K$4:$AJ$4,0)),NA(),IF(SUMPRODUCT((Inputs!$A$5:$A$120=$B7)*ISNUMBER(INDEX(Inputs!$K$5:$AJ$120,0,MATCH(S$2,Inputs!$K$4:$AJ$4,0))))+SUMPRODUCT((Inputs!$C$5:$C$120=$B7)*ISNUMBER(INDEX(Inputs!$K$5:$AJ$120,0,MATCH(S$2,Inputs!$K$4:$AJ$4,0))))+SUMPRODUCT((Inputs!$E$5:$E$120=$B7)*ISNUMBER(INDEX(Inputs!$K$5:$AJ$120,0,MATCH(S$2,Inputs!$K$4:$AJ$4,0))))=0,NA(),SUMPRODUCT((Inputs!$A$5:$A$120=$B7)*Inputs!$B$5:$B$120*(((Inputs!$G$5:$G$120="moeda")+(Inputs!$G$5:$G$120="acoes"))*Inputs!$B$1+((Inputs!$G$5:$G$120&lt;&gt;"moeda")*(Inputs!$G$5:$G$120&lt;&gt;"acoes")))*INDEX(Inputs!$K$5:$AJ$120,0,MATCH(S$2,Inputs!$K$4:$AJ$4,0)))+SUMPRODUCT((Inputs!$C$5:$C$120=$B7)*Inputs!$D$5:$D$120*(((Inputs!$G$5:$G$120="moeda")+(Inputs!$G$5:$G$120="acoes"))*Inputs!$B$1+((Inputs!$G$5:$G$120&lt;&gt;"moeda")*(Inputs!$G$5:$G$120&lt;&gt;"acoes")))*INDEX(Inputs!$K$5:$AJ$120,0,MATCH(S$2,Inputs!$K$4:$AJ$4,0)))+SUMPRODUCT((Inputs!$E$5:$E$120=$B7)*Inputs!$F$5:$F$120*(((Inputs!$G$5:$G$120="moeda")+(Inputs!$G$5:$G$120="acoes"))*Inputs!$B$1+((Inputs!$G$5:$G$120&lt;&gt;"moeda")*(Inputs!$G$5:$G$120&lt;&gt;"acoes")))*INDEX(Inputs!$K$5:$AJ$120,0,MATCH(S$2,Inputs!$K$4:$AJ$4,0)))))</f>
        <v>-112</v>
      </c>
      <c r="T7" s="267">
        <f>IF(ISNA(MATCH(T$2,Inputs!$K$4:$AJ$4,0)),NA(),IF(SUMPRODUCT((Inputs!$A$5:$A$120=$B7)*ISNUMBER(INDEX(Inputs!$K$5:$AJ$120,0,MATCH(T$2,Inputs!$K$4:$AJ$4,0))))+SUMPRODUCT((Inputs!$C$5:$C$120=$B7)*ISNUMBER(INDEX(Inputs!$K$5:$AJ$120,0,MATCH(T$2,Inputs!$K$4:$AJ$4,0))))+SUMPRODUCT((Inputs!$E$5:$E$120=$B7)*ISNUMBER(INDEX(Inputs!$K$5:$AJ$120,0,MATCH(T$2,Inputs!$K$4:$AJ$4,0))))=0,NA(),SUMPRODUCT((Inputs!$A$5:$A$120=$B7)*Inputs!$B$5:$B$120*(((Inputs!$G$5:$G$120="moeda")+(Inputs!$G$5:$G$120="acoes"))*Inputs!$B$1+((Inputs!$G$5:$G$120&lt;&gt;"moeda")*(Inputs!$G$5:$G$120&lt;&gt;"acoes")))*INDEX(Inputs!$K$5:$AJ$120,0,MATCH(T$2,Inputs!$K$4:$AJ$4,0)))+SUMPRODUCT((Inputs!$C$5:$C$120=$B7)*Inputs!$D$5:$D$120*(((Inputs!$G$5:$G$120="moeda")+(Inputs!$G$5:$G$120="acoes"))*Inputs!$B$1+((Inputs!$G$5:$G$120&lt;&gt;"moeda")*(Inputs!$G$5:$G$120&lt;&gt;"acoes")))*INDEX(Inputs!$K$5:$AJ$120,0,MATCH(T$2,Inputs!$K$4:$AJ$4,0)))+SUMPRODUCT((Inputs!$E$5:$E$120=$B7)*Inputs!$F$5:$F$120*(((Inputs!$G$5:$G$120="moeda")+(Inputs!$G$5:$G$120="acoes"))*Inputs!$B$1+((Inputs!$G$5:$G$120&lt;&gt;"moeda")*(Inputs!$G$5:$G$120&lt;&gt;"acoes")))*INDEX(Inputs!$K$5:$AJ$120,0,MATCH(T$2,Inputs!$K$4:$AJ$4,0)))))</f>
        <v>-114</v>
      </c>
      <c r="U7" s="267">
        <f>IF(ISNA(MATCH(U$2,Inputs!$K$4:$AJ$4,0)),NA(),IF(SUMPRODUCT((Inputs!$A$5:$A$120=$B7)*ISNUMBER(INDEX(Inputs!$K$5:$AJ$120,0,MATCH(U$2,Inputs!$K$4:$AJ$4,0))))+SUMPRODUCT((Inputs!$C$5:$C$120=$B7)*ISNUMBER(INDEX(Inputs!$K$5:$AJ$120,0,MATCH(U$2,Inputs!$K$4:$AJ$4,0))))+SUMPRODUCT((Inputs!$E$5:$E$120=$B7)*ISNUMBER(INDEX(Inputs!$K$5:$AJ$120,0,MATCH(U$2,Inputs!$K$4:$AJ$4,0))))=0,NA(),SUMPRODUCT((Inputs!$A$5:$A$120=$B7)*Inputs!$B$5:$B$120*(((Inputs!$G$5:$G$120="moeda")+(Inputs!$G$5:$G$120="acoes"))*Inputs!$B$1+((Inputs!$G$5:$G$120&lt;&gt;"moeda")*(Inputs!$G$5:$G$120&lt;&gt;"acoes")))*INDEX(Inputs!$K$5:$AJ$120,0,MATCH(U$2,Inputs!$K$4:$AJ$4,0)))+SUMPRODUCT((Inputs!$C$5:$C$120=$B7)*Inputs!$D$5:$D$120*(((Inputs!$G$5:$G$120="moeda")+(Inputs!$G$5:$G$120="acoes"))*Inputs!$B$1+((Inputs!$G$5:$G$120&lt;&gt;"moeda")*(Inputs!$G$5:$G$120&lt;&gt;"acoes")))*INDEX(Inputs!$K$5:$AJ$120,0,MATCH(U$2,Inputs!$K$4:$AJ$4,0)))+SUMPRODUCT((Inputs!$E$5:$E$120=$B7)*Inputs!$F$5:$F$120*(((Inputs!$G$5:$G$120="moeda")+(Inputs!$G$5:$G$120="acoes"))*Inputs!$B$1+((Inputs!$G$5:$G$120&lt;&gt;"moeda")*(Inputs!$G$5:$G$120&lt;&gt;"acoes")))*INDEX(Inputs!$K$5:$AJ$120,0,MATCH(U$2,Inputs!$K$4:$AJ$4,0)))))</f>
        <v>-119</v>
      </c>
      <c r="V7" s="267">
        <f>IF(ISNA(MATCH(V$2,Inputs!$K$4:$AJ$4,0)),NA(),IF(SUMPRODUCT((Inputs!$A$5:$A$120=$B7)*ISNUMBER(INDEX(Inputs!$K$5:$AJ$120,0,MATCH(V$2,Inputs!$K$4:$AJ$4,0))))+SUMPRODUCT((Inputs!$C$5:$C$120=$B7)*ISNUMBER(INDEX(Inputs!$K$5:$AJ$120,0,MATCH(V$2,Inputs!$K$4:$AJ$4,0))))+SUMPRODUCT((Inputs!$E$5:$E$120=$B7)*ISNUMBER(INDEX(Inputs!$K$5:$AJ$120,0,MATCH(V$2,Inputs!$K$4:$AJ$4,0))))=0,NA(),SUMPRODUCT((Inputs!$A$5:$A$120=$B7)*Inputs!$B$5:$B$120*(((Inputs!$G$5:$G$120="moeda")+(Inputs!$G$5:$G$120="acoes"))*Inputs!$B$1+((Inputs!$G$5:$G$120&lt;&gt;"moeda")*(Inputs!$G$5:$G$120&lt;&gt;"acoes")))*INDEX(Inputs!$K$5:$AJ$120,0,MATCH(V$2,Inputs!$K$4:$AJ$4,0)))+SUMPRODUCT((Inputs!$C$5:$C$120=$B7)*Inputs!$D$5:$D$120*(((Inputs!$G$5:$G$120="moeda")+(Inputs!$G$5:$G$120="acoes"))*Inputs!$B$1+((Inputs!$G$5:$G$120&lt;&gt;"moeda")*(Inputs!$G$5:$G$120&lt;&gt;"acoes")))*INDEX(Inputs!$K$5:$AJ$120,0,MATCH(V$2,Inputs!$K$4:$AJ$4,0)))+SUMPRODUCT((Inputs!$E$5:$E$120=$B7)*Inputs!$F$5:$F$120*(((Inputs!$G$5:$G$120="moeda")+(Inputs!$G$5:$G$120="acoes"))*Inputs!$B$1+((Inputs!$G$5:$G$120&lt;&gt;"moeda")*(Inputs!$G$5:$G$120&lt;&gt;"acoes")))*INDEX(Inputs!$K$5:$AJ$120,0,MATCH(V$2,Inputs!$K$4:$AJ$4,0)))))</f>
        <v>-123</v>
      </c>
      <c r="W7" s="268">
        <f>SUM(S7:V7)</f>
        <v>-468</v>
      </c>
      <c r="X7" s="267">
        <f>IF(ISNA(MATCH(X$2,Inputs!$K$4:$AJ$4,0)),NA(),IF(SUMPRODUCT((Inputs!$A$5:$A$120=$B7)*ISNUMBER(INDEX(Inputs!$K$5:$AJ$120,0,MATCH(X$2,Inputs!$K$4:$AJ$4,0))))+SUMPRODUCT((Inputs!$C$5:$C$120=$B7)*ISNUMBER(INDEX(Inputs!$K$5:$AJ$120,0,MATCH(X$2,Inputs!$K$4:$AJ$4,0))))+SUMPRODUCT((Inputs!$E$5:$E$120=$B7)*ISNUMBER(INDEX(Inputs!$K$5:$AJ$120,0,MATCH(X$2,Inputs!$K$4:$AJ$4,0))))=0,NA(),SUMPRODUCT((Inputs!$A$5:$A$120=$B7)*Inputs!$B$5:$B$120*(((Inputs!$G$5:$G$120="moeda")+(Inputs!$G$5:$G$120="acoes"))*Inputs!$B$1+((Inputs!$G$5:$G$120&lt;&gt;"moeda")*(Inputs!$G$5:$G$120&lt;&gt;"acoes")))*INDEX(Inputs!$K$5:$AJ$120,0,MATCH(X$2,Inputs!$K$4:$AJ$4,0)))+SUMPRODUCT((Inputs!$C$5:$C$120=$B7)*Inputs!$D$5:$D$120*(((Inputs!$G$5:$G$120="moeda")+(Inputs!$G$5:$G$120="acoes"))*Inputs!$B$1+((Inputs!$G$5:$G$120&lt;&gt;"moeda")*(Inputs!$G$5:$G$120&lt;&gt;"acoes")))*INDEX(Inputs!$K$5:$AJ$120,0,MATCH(X$2,Inputs!$K$4:$AJ$4,0)))+SUMPRODUCT((Inputs!$E$5:$E$120=$B7)*Inputs!$F$5:$F$120*(((Inputs!$G$5:$G$120="moeda")+(Inputs!$G$5:$G$120="acoes"))*Inputs!$B$1+((Inputs!$G$5:$G$120&lt;&gt;"moeda")*(Inputs!$G$5:$G$120&lt;&gt;"acoes")))*INDEX(Inputs!$K$5:$AJ$120,0,MATCH(X$2,Inputs!$K$4:$AJ$4,0)))))</f>
        <v>-120</v>
      </c>
      <c r="Y7" s="267">
        <f>IF(ISNA(MATCH(Y$2,Inputs!$K$4:$AJ$4,0)),NA(),IF(SUMPRODUCT((Inputs!$A$5:$A$120=$B7)*ISNUMBER(INDEX(Inputs!$K$5:$AJ$120,0,MATCH(Y$2,Inputs!$K$4:$AJ$4,0))))+SUMPRODUCT((Inputs!$C$5:$C$120=$B7)*ISNUMBER(INDEX(Inputs!$K$5:$AJ$120,0,MATCH(Y$2,Inputs!$K$4:$AJ$4,0))))+SUMPRODUCT((Inputs!$E$5:$E$120=$B7)*ISNUMBER(INDEX(Inputs!$K$5:$AJ$120,0,MATCH(Y$2,Inputs!$K$4:$AJ$4,0))))=0,NA(),SUMPRODUCT((Inputs!$A$5:$A$120=$B7)*Inputs!$B$5:$B$120*(((Inputs!$G$5:$G$120="moeda")+(Inputs!$G$5:$G$120="acoes"))*Inputs!$B$1+((Inputs!$G$5:$G$120&lt;&gt;"moeda")*(Inputs!$G$5:$G$120&lt;&gt;"acoes")))*INDEX(Inputs!$K$5:$AJ$120,0,MATCH(Y$2,Inputs!$K$4:$AJ$4,0)))+SUMPRODUCT((Inputs!$C$5:$C$120=$B7)*Inputs!$D$5:$D$120*(((Inputs!$G$5:$G$120="moeda")+(Inputs!$G$5:$G$120="acoes"))*Inputs!$B$1+((Inputs!$G$5:$G$120&lt;&gt;"moeda")*(Inputs!$G$5:$G$120&lt;&gt;"acoes")))*INDEX(Inputs!$K$5:$AJ$120,0,MATCH(Y$2,Inputs!$K$4:$AJ$4,0)))+SUMPRODUCT((Inputs!$E$5:$E$120=$B7)*Inputs!$F$5:$F$120*(((Inputs!$G$5:$G$120="moeda")+(Inputs!$G$5:$G$120="acoes"))*Inputs!$B$1+((Inputs!$G$5:$G$120&lt;&gt;"moeda")*(Inputs!$G$5:$G$120&lt;&gt;"acoes")))*INDEX(Inputs!$K$5:$AJ$120,0,MATCH(Y$2,Inputs!$K$4:$AJ$4,0)))))</f>
        <v>-116</v>
      </c>
      <c r="Z7" s="267">
        <f>IF(ISNA(MATCH(Z$2,Inputs!$K$4:$AJ$4,0)),NA(),IF(SUMPRODUCT((Inputs!$A$5:$A$120=$B7)*ISNUMBER(INDEX(Inputs!$K$5:$AJ$120,0,MATCH(Z$2,Inputs!$K$4:$AJ$4,0))))+SUMPRODUCT((Inputs!$C$5:$C$120=$B7)*ISNUMBER(INDEX(Inputs!$K$5:$AJ$120,0,MATCH(Z$2,Inputs!$K$4:$AJ$4,0))))+SUMPRODUCT((Inputs!$E$5:$E$120=$B7)*ISNUMBER(INDEX(Inputs!$K$5:$AJ$120,0,MATCH(Z$2,Inputs!$K$4:$AJ$4,0))))=0,NA(),SUMPRODUCT((Inputs!$A$5:$A$120=$B7)*Inputs!$B$5:$B$120*(((Inputs!$G$5:$G$120="moeda")+(Inputs!$G$5:$G$120="acoes"))*Inputs!$B$1+((Inputs!$G$5:$G$120&lt;&gt;"moeda")*(Inputs!$G$5:$G$120&lt;&gt;"acoes")))*INDEX(Inputs!$K$5:$AJ$120,0,MATCH(Z$2,Inputs!$K$4:$AJ$4,0)))+SUMPRODUCT((Inputs!$C$5:$C$120=$B7)*Inputs!$D$5:$D$120*(((Inputs!$G$5:$G$120="moeda")+(Inputs!$G$5:$G$120="acoes"))*Inputs!$B$1+((Inputs!$G$5:$G$120&lt;&gt;"moeda")*(Inputs!$G$5:$G$120&lt;&gt;"acoes")))*INDEX(Inputs!$K$5:$AJ$120,0,MATCH(Z$2,Inputs!$K$4:$AJ$4,0)))+SUMPRODUCT((Inputs!$E$5:$E$120=$B7)*Inputs!$F$5:$F$120*(((Inputs!$G$5:$G$120="moeda")+(Inputs!$G$5:$G$120="acoes"))*Inputs!$B$1+((Inputs!$G$5:$G$120&lt;&gt;"moeda")*(Inputs!$G$5:$G$120&lt;&gt;"acoes")))*INDEX(Inputs!$K$5:$AJ$120,0,MATCH(Z$2,Inputs!$K$4:$AJ$4,0)))))</f>
        <v>-241</v>
      </c>
      <c r="AA7" s="267">
        <f>IF(ISNA(MATCH(AA$2,Inputs!$K$4:$AJ$4,0)),NA(),IF(SUMPRODUCT((Inputs!$A$5:$A$120=$B7)*ISNUMBER(INDEX(Inputs!$K$5:$AJ$120,0,MATCH(AA$2,Inputs!$K$4:$AJ$4,0))))+SUMPRODUCT((Inputs!$C$5:$C$120=$B7)*ISNUMBER(INDEX(Inputs!$K$5:$AJ$120,0,MATCH(AA$2,Inputs!$K$4:$AJ$4,0))))+SUMPRODUCT((Inputs!$E$5:$E$120=$B7)*ISNUMBER(INDEX(Inputs!$K$5:$AJ$120,0,MATCH(AA$2,Inputs!$K$4:$AJ$4,0))))=0,NA(),SUMPRODUCT((Inputs!$A$5:$A$120=$B7)*Inputs!$B$5:$B$120*(((Inputs!$G$5:$G$120="moeda")+(Inputs!$G$5:$G$120="acoes"))*Inputs!$B$1+((Inputs!$G$5:$G$120&lt;&gt;"moeda")*(Inputs!$G$5:$G$120&lt;&gt;"acoes")))*INDEX(Inputs!$K$5:$AJ$120,0,MATCH(AA$2,Inputs!$K$4:$AJ$4,0)))+SUMPRODUCT((Inputs!$C$5:$C$120=$B7)*Inputs!$D$5:$D$120*(((Inputs!$G$5:$G$120="moeda")+(Inputs!$G$5:$G$120="acoes"))*Inputs!$B$1+((Inputs!$G$5:$G$120&lt;&gt;"moeda")*(Inputs!$G$5:$G$120&lt;&gt;"acoes")))*INDEX(Inputs!$K$5:$AJ$120,0,MATCH(AA$2,Inputs!$K$4:$AJ$4,0)))+SUMPRODUCT((Inputs!$E$5:$E$120=$B7)*Inputs!$F$5:$F$120*(((Inputs!$G$5:$G$120="moeda")+(Inputs!$G$5:$G$120="acoes"))*Inputs!$B$1+((Inputs!$G$5:$G$120&lt;&gt;"moeda")*(Inputs!$G$5:$G$120&lt;&gt;"acoes")))*INDEX(Inputs!$K$5:$AJ$120,0,MATCH(AA$2,Inputs!$K$4:$AJ$4,0)))))</f>
        <v>-226</v>
      </c>
      <c r="AB7" s="268">
        <f>SUM(X7:AA7)</f>
        <v>-703</v>
      </c>
      <c r="AC7" s="267">
        <f>IF(ISNA(MATCH(AC$2,Inputs!$K$4:$AJ$4,0)),NA(),IF(SUMPRODUCT((Inputs!$A$5:$A$120=$B7)*ISNUMBER(INDEX(Inputs!$K$5:$AJ$120,0,MATCH(AC$2,Inputs!$K$4:$AJ$4,0))))+SUMPRODUCT((Inputs!$C$5:$C$120=$B7)*ISNUMBER(INDEX(Inputs!$K$5:$AJ$120,0,MATCH(AC$2,Inputs!$K$4:$AJ$4,0))))+SUMPRODUCT((Inputs!$E$5:$E$120=$B7)*ISNUMBER(INDEX(Inputs!$K$5:$AJ$120,0,MATCH(AC$2,Inputs!$K$4:$AJ$4,0))))=0,NA(),SUMPRODUCT((Inputs!$A$5:$A$120=$B7)*Inputs!$B$5:$B$120*(((Inputs!$G$5:$G$120="moeda")+(Inputs!$G$5:$G$120="acoes"))*Inputs!$B$1+((Inputs!$G$5:$G$120&lt;&gt;"moeda")*(Inputs!$G$5:$G$120&lt;&gt;"acoes")))*INDEX(Inputs!$K$5:$AJ$120,0,MATCH(AC$2,Inputs!$K$4:$AJ$4,0)))+SUMPRODUCT((Inputs!$C$5:$C$120=$B7)*Inputs!$D$5:$D$120*(((Inputs!$G$5:$G$120="moeda")+(Inputs!$G$5:$G$120="acoes"))*Inputs!$B$1+((Inputs!$G$5:$G$120&lt;&gt;"moeda")*(Inputs!$G$5:$G$120&lt;&gt;"acoes")))*INDEX(Inputs!$K$5:$AJ$120,0,MATCH(AC$2,Inputs!$K$4:$AJ$4,0)))+SUMPRODUCT((Inputs!$E$5:$E$120=$B7)*Inputs!$F$5:$F$120*(((Inputs!$G$5:$G$120="moeda")+(Inputs!$G$5:$G$120="acoes"))*Inputs!$B$1+((Inputs!$G$5:$G$120&lt;&gt;"moeda")*(Inputs!$G$5:$G$120&lt;&gt;"acoes")))*INDEX(Inputs!$K$5:$AJ$120,0,MATCH(AC$2,Inputs!$K$4:$AJ$4,0)))))</f>
        <v>-238</v>
      </c>
      <c r="AD7" s="267">
        <f>IF(ISNA(MATCH(AD$2,Inputs!$K$4:$AJ$4,0)),NA(),IF(SUMPRODUCT((Inputs!$A$5:$A$120=$B7)*ISNUMBER(INDEX(Inputs!$K$5:$AJ$120,0,MATCH(AD$2,Inputs!$K$4:$AJ$4,0))))+SUMPRODUCT((Inputs!$C$5:$C$120=$B7)*ISNUMBER(INDEX(Inputs!$K$5:$AJ$120,0,MATCH(AD$2,Inputs!$K$4:$AJ$4,0))))+SUMPRODUCT((Inputs!$E$5:$E$120=$B7)*ISNUMBER(INDEX(Inputs!$K$5:$AJ$120,0,MATCH(AD$2,Inputs!$K$4:$AJ$4,0))))=0,NA(),SUMPRODUCT((Inputs!$A$5:$A$120=$B7)*Inputs!$B$5:$B$120*(((Inputs!$G$5:$G$120="moeda")+(Inputs!$G$5:$G$120="acoes"))*Inputs!$B$1+((Inputs!$G$5:$G$120&lt;&gt;"moeda")*(Inputs!$G$5:$G$120&lt;&gt;"acoes")))*INDEX(Inputs!$K$5:$AJ$120,0,MATCH(AD$2,Inputs!$K$4:$AJ$4,0)))+SUMPRODUCT((Inputs!$C$5:$C$120=$B7)*Inputs!$D$5:$D$120*(((Inputs!$G$5:$G$120="moeda")+(Inputs!$G$5:$G$120="acoes"))*Inputs!$B$1+((Inputs!$G$5:$G$120&lt;&gt;"moeda")*(Inputs!$G$5:$G$120&lt;&gt;"acoes")))*INDEX(Inputs!$K$5:$AJ$120,0,MATCH(AD$2,Inputs!$K$4:$AJ$4,0)))+SUMPRODUCT((Inputs!$E$5:$E$120=$B7)*Inputs!$F$5:$F$120*(((Inputs!$G$5:$G$120="moeda")+(Inputs!$G$5:$G$120="acoes"))*Inputs!$B$1+((Inputs!$G$5:$G$120&lt;&gt;"moeda")*(Inputs!$G$5:$G$120&lt;&gt;"acoes")))*INDEX(Inputs!$K$5:$AJ$120,0,MATCH(AD$2,Inputs!$K$4:$AJ$4,0)))))</f>
        <v>-256</v>
      </c>
      <c r="AE7" s="267" t="e">
        <f>IF(ISNA(MATCH(AE$2,Inputs!$K$4:$AJ$4,0)),NA(),IF(SUMPRODUCT((Inputs!$A$5:$A$120=$B7)*ISNUMBER(INDEX(Inputs!$K$5:$AJ$120,0,MATCH(AE$2,Inputs!$K$4:$AJ$4,0))))+SUMPRODUCT((Inputs!$C$5:$C$120=$B7)*ISNUMBER(INDEX(Inputs!$K$5:$AJ$120,0,MATCH(AE$2,Inputs!$K$4:$AJ$4,0))))+SUMPRODUCT((Inputs!$E$5:$E$120=$B7)*ISNUMBER(INDEX(Inputs!$K$5:$AJ$120,0,MATCH(AE$2,Inputs!$K$4:$AJ$4,0))))=0,NA(),SUMPRODUCT((Inputs!$A$5:$A$120=$B7)*Inputs!$B$5:$B$120*(((Inputs!$G$5:$G$120="moeda")+(Inputs!$G$5:$G$120="acoes"))*Inputs!$B$1+((Inputs!$G$5:$G$120&lt;&gt;"moeda")*(Inputs!$G$5:$G$120&lt;&gt;"acoes")))*INDEX(Inputs!$K$5:$AJ$120,0,MATCH(AE$2,Inputs!$K$4:$AJ$4,0)))+SUMPRODUCT((Inputs!$C$5:$C$120=$B7)*Inputs!$D$5:$D$120*(((Inputs!$G$5:$G$120="moeda")+(Inputs!$G$5:$G$120="acoes"))*Inputs!$B$1+((Inputs!$G$5:$G$120&lt;&gt;"moeda")*(Inputs!$G$5:$G$120&lt;&gt;"acoes")))*INDEX(Inputs!$K$5:$AJ$120,0,MATCH(AE$2,Inputs!$K$4:$AJ$4,0)))+SUMPRODUCT((Inputs!$E$5:$E$120=$B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7" s="267" t="e">
        <f>IF(ISNA(MATCH(AF$2,Inputs!$K$4:$AJ$4,0)),NA(),IF(SUMPRODUCT((Inputs!$A$5:$A$120=$B7)*ISNUMBER(INDEX(Inputs!$K$5:$AJ$120,0,MATCH(AF$2,Inputs!$K$4:$AJ$4,0))))+SUMPRODUCT((Inputs!$C$5:$C$120=$B7)*ISNUMBER(INDEX(Inputs!$K$5:$AJ$120,0,MATCH(AF$2,Inputs!$K$4:$AJ$4,0))))+SUMPRODUCT((Inputs!$E$5:$E$120=$B7)*ISNUMBER(INDEX(Inputs!$K$5:$AJ$120,0,MATCH(AF$2,Inputs!$K$4:$AJ$4,0))))=0,NA(),SUMPRODUCT((Inputs!$A$5:$A$120=$B7)*Inputs!$B$5:$B$120*(((Inputs!$G$5:$G$120="moeda")+(Inputs!$G$5:$G$120="acoes"))*Inputs!$B$1+((Inputs!$G$5:$G$120&lt;&gt;"moeda")*(Inputs!$G$5:$G$120&lt;&gt;"acoes")))*INDEX(Inputs!$K$5:$AJ$120,0,MATCH(AF$2,Inputs!$K$4:$AJ$4,0)))+SUMPRODUCT((Inputs!$C$5:$C$120=$B7)*Inputs!$D$5:$D$120*(((Inputs!$G$5:$G$120="moeda")+(Inputs!$G$5:$G$120="acoes"))*Inputs!$B$1+((Inputs!$G$5:$G$120&lt;&gt;"moeda")*(Inputs!$G$5:$G$120&lt;&gt;"acoes")))*INDEX(Inputs!$K$5:$AJ$120,0,MATCH(AF$2,Inputs!$K$4:$AJ$4,0)))+SUMPRODUCT((Inputs!$E$5:$E$120=$B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7" s="268" t="e">
        <f>SUM(AC7:AF7)</f>
        <v>#N/A</v>
      </c>
      <c r="AH7" s="267">
        <f>IF(ISNA(MATCH(AH$2,Inputs!$K$4:$AJ$4,0)),NA(),IF(SUMPRODUCT((Inputs!$A$5:$A$120=$B7)*ISNUMBER(INDEX(Inputs!$K$5:$AJ$120,0,MATCH(AH$2,Inputs!$K$4:$AJ$4,0))))+SUMPRODUCT((Inputs!$C$5:$C$120=$B7)*ISNUMBER(INDEX(Inputs!$K$5:$AJ$120,0,MATCH(AH$2,Inputs!$K$4:$AJ$4,0))))+SUMPRODUCT((Inputs!$E$5:$E$120=$B7)*ISNUMBER(INDEX(Inputs!$K$5:$AJ$120,0,MATCH(AH$2,Inputs!$K$4:$AJ$4,0))))=0,NA(),SUMPRODUCT((Inputs!$A$5:$A$120=$B7)*Inputs!$B$5:$B$120*(((Inputs!$G$5:$G$120="moeda")+(Inputs!$G$5:$G$120="acoes"))*Inputs!$B$1+((Inputs!$G$5:$G$120&lt;&gt;"moeda")*(Inputs!$G$5:$G$120&lt;&gt;"acoes")))*INDEX(Inputs!$K$5:$AJ$120,0,MATCH(AH$2,Inputs!$K$4:$AJ$4,0)))+SUMPRODUCT((Inputs!$C$5:$C$120=$B7)*Inputs!$D$5:$D$120*(((Inputs!$G$5:$G$120="moeda")+(Inputs!$G$5:$G$120="acoes"))*Inputs!$B$1+((Inputs!$G$5:$G$120&lt;&gt;"moeda")*(Inputs!$G$5:$G$120&lt;&gt;"acoes")))*INDEX(Inputs!$K$5:$AJ$120,0,MATCH(AH$2,Inputs!$K$4:$AJ$4,0)))+SUMPRODUCT((Inputs!$E$5:$E$120=$B7)*Inputs!$F$5:$F$120*(((Inputs!$G$5:$G$120="moeda")+(Inputs!$G$5:$G$120="acoes"))*Inputs!$B$1+((Inputs!$G$5:$G$120&lt;&gt;"moeda")*(Inputs!$G$5:$G$120&lt;&gt;"acoes")))*INDEX(Inputs!$K$5:$AJ$120,0,MATCH(AH$2,Inputs!$K$4:$AJ$4,0)))))</f>
        <v>-113</v>
      </c>
      <c r="AI7" s="267">
        <f>IF(ISNA(MATCH(AI$2,Inputs!$K$4:$AJ$4,0)),NA(),IF(SUMPRODUCT((Inputs!$A$5:$A$120=$B7)*ISNUMBER(INDEX(Inputs!$K$5:$AJ$120,0,MATCH(AI$2,Inputs!$K$4:$AJ$4,0))))+SUMPRODUCT((Inputs!$C$5:$C$120=$B7)*ISNUMBER(INDEX(Inputs!$K$5:$AJ$120,0,MATCH(AI$2,Inputs!$K$4:$AJ$4,0))))+SUMPRODUCT((Inputs!$E$5:$E$120=$B7)*ISNUMBER(INDEX(Inputs!$K$5:$AJ$120,0,MATCH(AI$2,Inputs!$K$4:$AJ$4,0))))=0,NA(),SUMPRODUCT((Inputs!$A$5:$A$120=$B7)*Inputs!$B$5:$B$120*(((Inputs!$G$5:$G$120="moeda")+(Inputs!$G$5:$G$120="acoes"))*Inputs!$B$1+((Inputs!$G$5:$G$120&lt;&gt;"moeda")*(Inputs!$G$5:$G$120&lt;&gt;"acoes")))*INDEX(Inputs!$K$5:$AJ$120,0,MATCH(AI$2,Inputs!$K$4:$AJ$4,0)))+SUMPRODUCT((Inputs!$C$5:$C$120=$B7)*Inputs!$D$5:$D$120*(((Inputs!$G$5:$G$120="moeda")+(Inputs!$G$5:$G$120="acoes"))*Inputs!$B$1+((Inputs!$G$5:$G$120&lt;&gt;"moeda")*(Inputs!$G$5:$G$120&lt;&gt;"acoes")))*INDEX(Inputs!$K$5:$AJ$120,0,MATCH(AI$2,Inputs!$K$4:$AJ$4,0)))+SUMPRODUCT((Inputs!$E$5:$E$120=$B7)*Inputs!$F$5:$F$120*(((Inputs!$G$5:$G$120="moeda")+(Inputs!$G$5:$G$120="acoes"))*Inputs!$B$1+((Inputs!$G$5:$G$120&lt;&gt;"moeda")*(Inputs!$G$5:$G$120&lt;&gt;"acoes")))*INDEX(Inputs!$K$5:$AJ$120,0,MATCH(AI$2,Inputs!$K$4:$AJ$4,0)))))</f>
        <v>-104</v>
      </c>
      <c r="AJ7" s="267">
        <f>IF(ISNA(MATCH(AJ$2,Inputs!$K$4:$AJ$4,0)),NA(),IF(SUMPRODUCT((Inputs!$A$5:$A$120=$B7)*ISNUMBER(INDEX(Inputs!$K$5:$AJ$120,0,MATCH(AJ$2,Inputs!$K$4:$AJ$4,0))))+SUMPRODUCT((Inputs!$C$5:$C$120=$B7)*ISNUMBER(INDEX(Inputs!$K$5:$AJ$120,0,MATCH(AJ$2,Inputs!$K$4:$AJ$4,0))))+SUMPRODUCT((Inputs!$E$5:$E$120=$B7)*ISNUMBER(INDEX(Inputs!$K$5:$AJ$120,0,MATCH(AJ$2,Inputs!$K$4:$AJ$4,0))))=0,NA(),SUMPRODUCT((Inputs!$A$5:$A$120=$B7)*Inputs!$B$5:$B$120*(((Inputs!$G$5:$G$120="moeda")+(Inputs!$G$5:$G$120="acoes"))*Inputs!$B$1+((Inputs!$G$5:$G$120&lt;&gt;"moeda")*(Inputs!$G$5:$G$120&lt;&gt;"acoes")))*INDEX(Inputs!$K$5:$AJ$120,0,MATCH(AJ$2,Inputs!$K$4:$AJ$4,0)))+SUMPRODUCT((Inputs!$C$5:$C$120=$B7)*Inputs!$D$5:$D$120*(((Inputs!$G$5:$G$120="moeda")+(Inputs!$G$5:$G$120="acoes"))*Inputs!$B$1+((Inputs!$G$5:$G$120&lt;&gt;"moeda")*(Inputs!$G$5:$G$120&lt;&gt;"acoes")))*INDEX(Inputs!$K$5:$AJ$120,0,MATCH(AJ$2,Inputs!$K$4:$AJ$4,0)))+SUMPRODUCT((Inputs!$E$5:$E$120=$B7)*Inputs!$F$5:$F$120*(((Inputs!$G$5:$G$120="moeda")+(Inputs!$G$5:$G$120="acoes"))*Inputs!$B$1+((Inputs!$G$5:$G$120&lt;&gt;"moeda")*(Inputs!$G$5:$G$120&lt;&gt;"acoes")))*INDEX(Inputs!$K$5:$AJ$120,0,MATCH(AJ$2,Inputs!$K$4:$AJ$4,0)))))</f>
        <v>-106</v>
      </c>
      <c r="AK7" s="267">
        <f>IF(ISNA(MATCH(AK$2,Inputs!$K$4:$AJ$4,0)),NA(),IF(SUMPRODUCT((Inputs!$A$5:$A$120=$B7)*ISNUMBER(INDEX(Inputs!$K$5:$AJ$120,0,MATCH(AK$2,Inputs!$K$4:$AJ$4,0))))+SUMPRODUCT((Inputs!$C$5:$C$120=$B7)*ISNUMBER(INDEX(Inputs!$K$5:$AJ$120,0,MATCH(AK$2,Inputs!$K$4:$AJ$4,0))))+SUMPRODUCT((Inputs!$E$5:$E$120=$B7)*ISNUMBER(INDEX(Inputs!$K$5:$AJ$120,0,MATCH(AK$2,Inputs!$K$4:$AJ$4,0))))=0,NA(),SUMPRODUCT((Inputs!$A$5:$A$120=$B7)*Inputs!$B$5:$B$120*(((Inputs!$G$5:$G$120="moeda")+(Inputs!$G$5:$G$120="acoes"))*Inputs!$B$1+((Inputs!$G$5:$G$120&lt;&gt;"moeda")*(Inputs!$G$5:$G$120&lt;&gt;"acoes")))*INDEX(Inputs!$K$5:$AJ$120,0,MATCH(AK$2,Inputs!$K$4:$AJ$4,0)))+SUMPRODUCT((Inputs!$C$5:$C$120=$B7)*Inputs!$D$5:$D$120*(((Inputs!$G$5:$G$120="moeda")+(Inputs!$G$5:$G$120="acoes"))*Inputs!$B$1+((Inputs!$G$5:$G$120&lt;&gt;"moeda")*(Inputs!$G$5:$G$120&lt;&gt;"acoes")))*INDEX(Inputs!$K$5:$AJ$120,0,MATCH(AK$2,Inputs!$K$4:$AJ$4,0)))+SUMPRODUCT((Inputs!$E$5:$E$120=$B7)*Inputs!$F$5:$F$120*(((Inputs!$G$5:$G$120="moeda")+(Inputs!$G$5:$G$120="acoes"))*Inputs!$B$1+((Inputs!$G$5:$G$120&lt;&gt;"moeda")*(Inputs!$G$5:$G$120&lt;&gt;"acoes")))*INDEX(Inputs!$K$5:$AJ$120,0,MATCH(AK$2,Inputs!$K$4:$AJ$4,0)))))</f>
        <v>-112</v>
      </c>
      <c r="AL7" s="268">
        <f>SUM(AH7:AK7)</f>
        <v>-435</v>
      </c>
    </row>
    <row r="8" ht="12.75" customHeight="1" s="255">
      <c r="B8" s="265" t="n">
        <v>5</v>
      </c>
      <c r="C8" s="270" t="inlineStr">
        <is>
          <t>Interest Expense</t>
        </is>
      </c>
      <c r="D8" s="267">
        <f>IF(ISNA(MATCH(D$2,Inputs!$K$4:$AJ$4,0)),NA(),IF(SUMPRODUCT((Inputs!$A$5:$A$120=$B8)*ISNUMBER(INDEX(Inputs!$K$5:$AJ$120,0,MATCH(D$2,Inputs!$K$4:$AJ$4,0))))+SUMPRODUCT((Inputs!$C$5:$C$120=$B8)*ISNUMBER(INDEX(Inputs!$K$5:$AJ$120,0,MATCH(D$2,Inputs!$K$4:$AJ$4,0))))+SUMPRODUCT((Inputs!$E$5:$E$120=$B8)*ISNUMBER(INDEX(Inputs!$K$5:$AJ$120,0,MATCH(D$2,Inputs!$K$4:$AJ$4,0))))=0,NA(),SUMPRODUCT((Inputs!$A$5:$A$120=$B8)*Inputs!$B$5:$B$120*(((Inputs!$G$5:$G$120="moeda")+(Inputs!$G$5:$G$120="acoes"))*Inputs!$B$1+((Inputs!$G$5:$G$120&lt;&gt;"moeda")*(Inputs!$G$5:$G$120&lt;&gt;"acoes")))*INDEX(Inputs!$K$5:$AJ$120,0,MATCH(D$2,Inputs!$K$4:$AJ$4,0)))+SUMPRODUCT((Inputs!$C$5:$C$120=$B8)*Inputs!$D$5:$D$120*(((Inputs!$G$5:$G$120="moeda")+(Inputs!$G$5:$G$120="acoes"))*Inputs!$B$1+((Inputs!$G$5:$G$120&lt;&gt;"moeda")*(Inputs!$G$5:$G$120&lt;&gt;"acoes")))*INDEX(Inputs!$K$5:$AJ$120,0,MATCH(D$2,Inputs!$K$4:$AJ$4,0)))+SUMPRODUCT((Inputs!$E$5:$E$120=$B8)*Inputs!$F$5:$F$120*(((Inputs!$G$5:$G$120="moeda")+(Inputs!$G$5:$G$120="acoes"))*Inputs!$B$1+((Inputs!$G$5:$G$120&lt;&gt;"moeda")*(Inputs!$G$5:$G$120&lt;&gt;"acoes")))*INDEX(Inputs!$K$5:$AJ$120,0,MATCH(D$2,Inputs!$K$4:$AJ$4,0)))))</f>
        <v>-73</v>
      </c>
      <c r="E8" s="267">
        <f>IF(ISNA(MATCH(E$2,Inputs!$K$4:$AJ$4,0)),NA(),IF(SUMPRODUCT((Inputs!$A$5:$A$120=$B8)*ISNUMBER(INDEX(Inputs!$K$5:$AJ$120,0,MATCH(E$2,Inputs!$K$4:$AJ$4,0))))+SUMPRODUCT((Inputs!$C$5:$C$120=$B8)*ISNUMBER(INDEX(Inputs!$K$5:$AJ$120,0,MATCH(E$2,Inputs!$K$4:$AJ$4,0))))+SUMPRODUCT((Inputs!$E$5:$E$120=$B8)*ISNUMBER(INDEX(Inputs!$K$5:$AJ$120,0,MATCH(E$2,Inputs!$K$4:$AJ$4,0))))=0,NA(),SUMPRODUCT((Inputs!$A$5:$A$120=$B8)*Inputs!$B$5:$B$120*(((Inputs!$G$5:$G$120="moeda")+(Inputs!$G$5:$G$120="acoes"))*Inputs!$B$1+((Inputs!$G$5:$G$120&lt;&gt;"moeda")*(Inputs!$G$5:$G$120&lt;&gt;"acoes")))*INDEX(Inputs!$K$5:$AJ$120,0,MATCH(E$2,Inputs!$K$4:$AJ$4,0)))+SUMPRODUCT((Inputs!$C$5:$C$120=$B8)*Inputs!$D$5:$D$120*(((Inputs!$G$5:$G$120="moeda")+(Inputs!$G$5:$G$120="acoes"))*Inputs!$B$1+((Inputs!$G$5:$G$120&lt;&gt;"moeda")*(Inputs!$G$5:$G$120&lt;&gt;"acoes")))*INDEX(Inputs!$K$5:$AJ$120,0,MATCH(E$2,Inputs!$K$4:$AJ$4,0)))+SUMPRODUCT((Inputs!$E$5:$E$120=$B8)*Inputs!$F$5:$F$120*(((Inputs!$G$5:$G$120="moeda")+(Inputs!$G$5:$G$120="acoes"))*Inputs!$B$1+((Inputs!$G$5:$G$120&lt;&gt;"moeda")*(Inputs!$G$5:$G$120&lt;&gt;"acoes")))*INDEX(Inputs!$K$5:$AJ$120,0,MATCH(E$2,Inputs!$K$4:$AJ$4,0)))))</f>
        <v>-54</v>
      </c>
      <c r="F8" s="267">
        <f>IF(ISNA(MATCH(F$2,Inputs!$K$4:$AJ$4,0)),NA(),IF(SUMPRODUCT((Inputs!$A$5:$A$120=$B8)*ISNUMBER(INDEX(Inputs!$K$5:$AJ$120,0,MATCH(F$2,Inputs!$K$4:$AJ$4,0))))+SUMPRODUCT((Inputs!$C$5:$C$120=$B8)*ISNUMBER(INDEX(Inputs!$K$5:$AJ$120,0,MATCH(F$2,Inputs!$K$4:$AJ$4,0))))+SUMPRODUCT((Inputs!$E$5:$E$120=$B8)*ISNUMBER(INDEX(Inputs!$K$5:$AJ$120,0,MATCH(F$2,Inputs!$K$4:$AJ$4,0))))=0,NA(),SUMPRODUCT((Inputs!$A$5:$A$120=$B8)*Inputs!$B$5:$B$120*(((Inputs!$G$5:$G$120="moeda")+(Inputs!$G$5:$G$120="acoes"))*Inputs!$B$1+((Inputs!$G$5:$G$120&lt;&gt;"moeda")*(Inputs!$G$5:$G$120&lt;&gt;"acoes")))*INDEX(Inputs!$K$5:$AJ$120,0,MATCH(F$2,Inputs!$K$4:$AJ$4,0)))+SUMPRODUCT((Inputs!$C$5:$C$120=$B8)*Inputs!$D$5:$D$120*(((Inputs!$G$5:$G$120="moeda")+(Inputs!$G$5:$G$120="acoes"))*Inputs!$B$1+((Inputs!$G$5:$G$120&lt;&gt;"moeda")*(Inputs!$G$5:$G$120&lt;&gt;"acoes")))*INDEX(Inputs!$K$5:$AJ$120,0,MATCH(F$2,Inputs!$K$4:$AJ$4,0)))+SUMPRODUCT((Inputs!$E$5:$E$120=$B8)*Inputs!$F$5:$F$120*(((Inputs!$G$5:$G$120="moeda")+(Inputs!$G$5:$G$120="acoes"))*Inputs!$B$1+((Inputs!$G$5:$G$120&lt;&gt;"moeda")*(Inputs!$G$5:$G$120&lt;&gt;"acoes")))*INDEX(Inputs!$K$5:$AJ$120,0,MATCH(F$2,Inputs!$K$4:$AJ$4,0)))))</f>
        <v>-57</v>
      </c>
      <c r="G8" s="267">
        <f>IF(ISNA(MATCH(G$2,Inputs!$K$4:$AJ$4,0)),NA(),IF(SUMPRODUCT((Inputs!$A$5:$A$120=$B8)*ISNUMBER(INDEX(Inputs!$K$5:$AJ$120,0,MATCH(G$2,Inputs!$K$4:$AJ$4,0))))+SUMPRODUCT((Inputs!$C$5:$C$120=$B8)*ISNUMBER(INDEX(Inputs!$K$5:$AJ$120,0,MATCH(G$2,Inputs!$K$4:$AJ$4,0))))+SUMPRODUCT((Inputs!$E$5:$E$120=$B8)*ISNUMBER(INDEX(Inputs!$K$5:$AJ$120,0,MATCH(G$2,Inputs!$K$4:$AJ$4,0))))=0,NA(),SUMPRODUCT((Inputs!$A$5:$A$120=$B8)*Inputs!$B$5:$B$120*(((Inputs!$G$5:$G$120="moeda")+(Inputs!$G$5:$G$120="acoes"))*Inputs!$B$1+((Inputs!$G$5:$G$120&lt;&gt;"moeda")*(Inputs!$G$5:$G$120&lt;&gt;"acoes")))*INDEX(Inputs!$K$5:$AJ$120,0,MATCH(G$2,Inputs!$K$4:$AJ$4,0)))+SUMPRODUCT((Inputs!$C$5:$C$120=$B8)*Inputs!$D$5:$D$120*(((Inputs!$G$5:$G$120="moeda")+(Inputs!$G$5:$G$120="acoes"))*Inputs!$B$1+((Inputs!$G$5:$G$120&lt;&gt;"moeda")*(Inputs!$G$5:$G$120&lt;&gt;"acoes")))*INDEX(Inputs!$K$5:$AJ$120,0,MATCH(G$2,Inputs!$K$4:$AJ$4,0)))+SUMPRODUCT((Inputs!$E$5:$E$120=$B8)*Inputs!$F$5:$F$120*(((Inputs!$G$5:$G$120="moeda")+(Inputs!$G$5:$G$120="acoes"))*Inputs!$B$1+((Inputs!$G$5:$G$120&lt;&gt;"moeda")*(Inputs!$G$5:$G$120&lt;&gt;"acoes")))*INDEX(Inputs!$K$5:$AJ$120,0,MATCH(G$2,Inputs!$K$4:$AJ$4,0)))))</f>
        <v>-59</v>
      </c>
      <c r="H8" s="268">
        <f>SUM(D8:G8)</f>
        <v>-243</v>
      </c>
      <c r="I8" s="267">
        <f>IF(ISNA(MATCH(I$2,Inputs!$K$4:$AJ$4,0)),NA(),IF(SUMPRODUCT((Inputs!$A$5:$A$120=$B8)*ISNUMBER(INDEX(Inputs!$K$5:$AJ$120,0,MATCH(I$2,Inputs!$K$4:$AJ$4,0))))+SUMPRODUCT((Inputs!$C$5:$C$120=$B8)*ISNUMBER(INDEX(Inputs!$K$5:$AJ$120,0,MATCH(I$2,Inputs!$K$4:$AJ$4,0))))+SUMPRODUCT((Inputs!$E$5:$E$120=$B8)*ISNUMBER(INDEX(Inputs!$K$5:$AJ$120,0,MATCH(I$2,Inputs!$K$4:$AJ$4,0))))=0,NA(),SUMPRODUCT((Inputs!$A$5:$A$120=$B8)*Inputs!$B$5:$B$120*(((Inputs!$G$5:$G$120="moeda")+(Inputs!$G$5:$G$120="acoes"))*Inputs!$B$1+((Inputs!$G$5:$G$120&lt;&gt;"moeda")*(Inputs!$G$5:$G$120&lt;&gt;"acoes")))*INDEX(Inputs!$K$5:$AJ$120,0,MATCH(I$2,Inputs!$K$4:$AJ$4,0)))+SUMPRODUCT((Inputs!$C$5:$C$120=$B8)*Inputs!$D$5:$D$120*(((Inputs!$G$5:$G$120="moeda")+(Inputs!$G$5:$G$120="acoes"))*Inputs!$B$1+((Inputs!$G$5:$G$120&lt;&gt;"moeda")*(Inputs!$G$5:$G$120&lt;&gt;"acoes")))*INDEX(Inputs!$K$5:$AJ$120,0,MATCH(I$2,Inputs!$K$4:$AJ$4,0)))+SUMPRODUCT((Inputs!$E$5:$E$120=$B8)*Inputs!$F$5:$F$120*(((Inputs!$G$5:$G$120="moeda")+(Inputs!$G$5:$G$120="acoes"))*Inputs!$B$1+((Inputs!$G$5:$G$120&lt;&gt;"moeda")*(Inputs!$G$5:$G$120&lt;&gt;"acoes")))*INDEX(Inputs!$K$5:$AJ$120,0,MATCH(I$2,Inputs!$K$4:$AJ$4,0)))))</f>
        <v>-111</v>
      </c>
      <c r="J8" s="267">
        <f>IF(ISNA(MATCH(J$2,Inputs!$K$4:$AJ$4,0)),NA(),IF(SUMPRODUCT((Inputs!$A$5:$A$120=$B8)*ISNUMBER(INDEX(Inputs!$K$5:$AJ$120,0,MATCH(J$2,Inputs!$K$4:$AJ$4,0))))+SUMPRODUCT((Inputs!$C$5:$C$120=$B8)*ISNUMBER(INDEX(Inputs!$K$5:$AJ$120,0,MATCH(J$2,Inputs!$K$4:$AJ$4,0))))+SUMPRODUCT((Inputs!$E$5:$E$120=$B8)*ISNUMBER(INDEX(Inputs!$K$5:$AJ$120,0,MATCH(J$2,Inputs!$K$4:$AJ$4,0))))=0,NA(),SUMPRODUCT((Inputs!$A$5:$A$120=$B8)*Inputs!$B$5:$B$120*(((Inputs!$G$5:$G$120="moeda")+(Inputs!$G$5:$G$120="acoes"))*Inputs!$B$1+((Inputs!$G$5:$G$120&lt;&gt;"moeda")*(Inputs!$G$5:$G$120&lt;&gt;"acoes")))*INDEX(Inputs!$K$5:$AJ$120,0,MATCH(J$2,Inputs!$K$4:$AJ$4,0)))+SUMPRODUCT((Inputs!$C$5:$C$120=$B8)*Inputs!$D$5:$D$120*(((Inputs!$G$5:$G$120="moeda")+(Inputs!$G$5:$G$120="acoes"))*Inputs!$B$1+((Inputs!$G$5:$G$120&lt;&gt;"moeda")*(Inputs!$G$5:$G$120&lt;&gt;"acoes")))*INDEX(Inputs!$K$5:$AJ$120,0,MATCH(J$2,Inputs!$K$4:$AJ$4,0)))+SUMPRODUCT((Inputs!$E$5:$E$120=$B8)*Inputs!$F$5:$F$120*(((Inputs!$G$5:$G$120="moeda")+(Inputs!$G$5:$G$120="acoes"))*Inputs!$B$1+((Inputs!$G$5:$G$120&lt;&gt;"moeda")*(Inputs!$G$5:$G$120&lt;&gt;"acoes")))*INDEX(Inputs!$K$5:$AJ$120,0,MATCH(J$2,Inputs!$K$4:$AJ$4,0)))))</f>
        <v>-92</v>
      </c>
      <c r="K8" s="267">
        <f>IF(ISNA(MATCH(K$2,Inputs!$K$4:$AJ$4,0)),NA(),IF(SUMPRODUCT((Inputs!$A$5:$A$120=$B8)*ISNUMBER(INDEX(Inputs!$K$5:$AJ$120,0,MATCH(K$2,Inputs!$K$4:$AJ$4,0))))+SUMPRODUCT((Inputs!$C$5:$C$120=$B8)*ISNUMBER(INDEX(Inputs!$K$5:$AJ$120,0,MATCH(K$2,Inputs!$K$4:$AJ$4,0))))+SUMPRODUCT((Inputs!$E$5:$E$120=$B8)*ISNUMBER(INDEX(Inputs!$K$5:$AJ$120,0,MATCH(K$2,Inputs!$K$4:$AJ$4,0))))=0,NA(),SUMPRODUCT((Inputs!$A$5:$A$120=$B8)*Inputs!$B$5:$B$120*(((Inputs!$G$5:$G$120="moeda")+(Inputs!$G$5:$G$120="acoes"))*Inputs!$B$1+((Inputs!$G$5:$G$120&lt;&gt;"moeda")*(Inputs!$G$5:$G$120&lt;&gt;"acoes")))*INDEX(Inputs!$K$5:$AJ$120,0,MATCH(K$2,Inputs!$K$4:$AJ$4,0)))+SUMPRODUCT((Inputs!$C$5:$C$120=$B8)*Inputs!$D$5:$D$120*(((Inputs!$G$5:$G$120="moeda")+(Inputs!$G$5:$G$120="acoes"))*Inputs!$B$1+((Inputs!$G$5:$G$120&lt;&gt;"moeda")*(Inputs!$G$5:$G$120&lt;&gt;"acoes")))*INDEX(Inputs!$K$5:$AJ$120,0,MATCH(K$2,Inputs!$K$4:$AJ$4,0)))+SUMPRODUCT((Inputs!$E$5:$E$120=$B8)*Inputs!$F$5:$F$120*(((Inputs!$G$5:$G$120="moeda")+(Inputs!$G$5:$G$120="acoes"))*Inputs!$B$1+((Inputs!$G$5:$G$120&lt;&gt;"moeda")*(Inputs!$G$5:$G$120&lt;&gt;"acoes")))*INDEX(Inputs!$K$5:$AJ$120,0,MATCH(K$2,Inputs!$K$4:$AJ$4,0)))))</f>
        <v>-103</v>
      </c>
      <c r="L8" s="267">
        <f>IF(ISNA(MATCH(L$2,Inputs!$K$4:$AJ$4,0)),NA(),IF(SUMPRODUCT((Inputs!$A$5:$A$120=$B8)*ISNUMBER(INDEX(Inputs!$K$5:$AJ$120,0,MATCH(L$2,Inputs!$K$4:$AJ$4,0))))+SUMPRODUCT((Inputs!$C$5:$C$120=$B8)*ISNUMBER(INDEX(Inputs!$K$5:$AJ$120,0,MATCH(L$2,Inputs!$K$4:$AJ$4,0))))+SUMPRODUCT((Inputs!$E$5:$E$120=$B8)*ISNUMBER(INDEX(Inputs!$K$5:$AJ$120,0,MATCH(L$2,Inputs!$K$4:$AJ$4,0))))=0,NA(),SUMPRODUCT((Inputs!$A$5:$A$120=$B8)*Inputs!$B$5:$B$120*(((Inputs!$G$5:$G$120="moeda")+(Inputs!$G$5:$G$120="acoes"))*Inputs!$B$1+((Inputs!$G$5:$G$120&lt;&gt;"moeda")*(Inputs!$G$5:$G$120&lt;&gt;"acoes")))*INDEX(Inputs!$K$5:$AJ$120,0,MATCH(L$2,Inputs!$K$4:$AJ$4,0)))+SUMPRODUCT((Inputs!$C$5:$C$120=$B8)*Inputs!$D$5:$D$120*(((Inputs!$G$5:$G$120="moeda")+(Inputs!$G$5:$G$120="acoes"))*Inputs!$B$1+((Inputs!$G$5:$G$120&lt;&gt;"moeda")*(Inputs!$G$5:$G$120&lt;&gt;"acoes")))*INDEX(Inputs!$K$5:$AJ$120,0,MATCH(L$2,Inputs!$K$4:$AJ$4,0)))+SUMPRODUCT((Inputs!$E$5:$E$120=$B8)*Inputs!$F$5:$F$120*(((Inputs!$G$5:$G$120="moeda")+(Inputs!$G$5:$G$120="acoes"))*Inputs!$B$1+((Inputs!$G$5:$G$120&lt;&gt;"moeda")*(Inputs!$G$5:$G$120&lt;&gt;"acoes")))*INDEX(Inputs!$K$5:$AJ$120,0,MATCH(L$2,Inputs!$K$4:$AJ$4,0)))))</f>
        <v>-97</v>
      </c>
      <c r="M8" s="268">
        <f>SUM(I8:L8)</f>
        <v>-403</v>
      </c>
      <c r="N8" s="267">
        <f>IF(ISNA(MATCH(N$2,Inputs!$K$4:$AJ$4,0)),NA(),IF(SUMPRODUCT((Inputs!$A$5:$A$120=$B8)*ISNUMBER(INDEX(Inputs!$K$5:$AJ$120,0,MATCH(N$2,Inputs!$K$4:$AJ$4,0))))+SUMPRODUCT((Inputs!$C$5:$C$120=$B8)*ISNUMBER(INDEX(Inputs!$K$5:$AJ$120,0,MATCH(N$2,Inputs!$K$4:$AJ$4,0))))+SUMPRODUCT((Inputs!$E$5:$E$120=$B8)*ISNUMBER(INDEX(Inputs!$K$5:$AJ$120,0,MATCH(N$2,Inputs!$K$4:$AJ$4,0))))=0,NA(),SUMPRODUCT((Inputs!$A$5:$A$120=$B8)*Inputs!$B$5:$B$120*(((Inputs!$G$5:$G$120="moeda")+(Inputs!$G$5:$G$120="acoes"))*Inputs!$B$1+((Inputs!$G$5:$G$120&lt;&gt;"moeda")*(Inputs!$G$5:$G$120&lt;&gt;"acoes")))*INDEX(Inputs!$K$5:$AJ$120,0,MATCH(N$2,Inputs!$K$4:$AJ$4,0)))+SUMPRODUCT((Inputs!$C$5:$C$120=$B8)*Inputs!$D$5:$D$120*(((Inputs!$G$5:$G$120="moeda")+(Inputs!$G$5:$G$120="acoes"))*Inputs!$B$1+((Inputs!$G$5:$G$120&lt;&gt;"moeda")*(Inputs!$G$5:$G$120&lt;&gt;"acoes")))*INDEX(Inputs!$K$5:$AJ$120,0,MATCH(N$2,Inputs!$K$4:$AJ$4,0)))+SUMPRODUCT((Inputs!$E$5:$E$120=$B8)*Inputs!$F$5:$F$120*(((Inputs!$G$5:$G$120="moeda")+(Inputs!$G$5:$G$120="acoes"))*Inputs!$B$1+((Inputs!$G$5:$G$120&lt;&gt;"moeda")*(Inputs!$G$5:$G$120&lt;&gt;"acoes")))*INDEX(Inputs!$K$5:$AJ$120,0,MATCH(N$2,Inputs!$K$4:$AJ$4,0)))))</f>
        <v>-112</v>
      </c>
      <c r="O8" s="267">
        <f>IF(ISNA(MATCH(O$2,Inputs!$K$4:$AJ$4,0)),NA(),IF(SUMPRODUCT((Inputs!$A$5:$A$120=$B8)*ISNUMBER(INDEX(Inputs!$K$5:$AJ$120,0,MATCH(O$2,Inputs!$K$4:$AJ$4,0))))+SUMPRODUCT((Inputs!$C$5:$C$120=$B8)*ISNUMBER(INDEX(Inputs!$K$5:$AJ$120,0,MATCH(O$2,Inputs!$K$4:$AJ$4,0))))+SUMPRODUCT((Inputs!$E$5:$E$120=$B8)*ISNUMBER(INDEX(Inputs!$K$5:$AJ$120,0,MATCH(O$2,Inputs!$K$4:$AJ$4,0))))=0,NA(),SUMPRODUCT((Inputs!$A$5:$A$120=$B8)*Inputs!$B$5:$B$120*(((Inputs!$G$5:$G$120="moeda")+(Inputs!$G$5:$G$120="acoes"))*Inputs!$B$1+((Inputs!$G$5:$G$120&lt;&gt;"moeda")*(Inputs!$G$5:$G$120&lt;&gt;"acoes")))*INDEX(Inputs!$K$5:$AJ$120,0,MATCH(O$2,Inputs!$K$4:$AJ$4,0)))+SUMPRODUCT((Inputs!$C$5:$C$120=$B8)*Inputs!$D$5:$D$120*(((Inputs!$G$5:$G$120="moeda")+(Inputs!$G$5:$G$120="acoes"))*Inputs!$B$1+((Inputs!$G$5:$G$120&lt;&gt;"moeda")*(Inputs!$G$5:$G$120&lt;&gt;"acoes")))*INDEX(Inputs!$K$5:$AJ$120,0,MATCH(O$2,Inputs!$K$4:$AJ$4,0)))+SUMPRODUCT((Inputs!$E$5:$E$120=$B8)*Inputs!$F$5:$F$120*(((Inputs!$G$5:$G$120="moeda")+(Inputs!$G$5:$G$120="acoes"))*Inputs!$B$1+((Inputs!$G$5:$G$120&lt;&gt;"moeda")*(Inputs!$G$5:$G$120&lt;&gt;"acoes")))*INDEX(Inputs!$K$5:$AJ$120,0,MATCH(O$2,Inputs!$K$4:$AJ$4,0)))))</f>
        <v>-129</v>
      </c>
      <c r="P8" s="267">
        <f>IF(ISNA(MATCH(P$2,Inputs!$K$4:$AJ$4,0)),NA(),IF(SUMPRODUCT((Inputs!$A$5:$A$120=$B8)*ISNUMBER(INDEX(Inputs!$K$5:$AJ$120,0,MATCH(P$2,Inputs!$K$4:$AJ$4,0))))+SUMPRODUCT((Inputs!$C$5:$C$120=$B8)*ISNUMBER(INDEX(Inputs!$K$5:$AJ$120,0,MATCH(P$2,Inputs!$K$4:$AJ$4,0))))+SUMPRODUCT((Inputs!$E$5:$E$120=$B8)*ISNUMBER(INDEX(Inputs!$K$5:$AJ$120,0,MATCH(P$2,Inputs!$K$4:$AJ$4,0))))=0,NA(),SUMPRODUCT((Inputs!$A$5:$A$120=$B8)*Inputs!$B$5:$B$120*(((Inputs!$G$5:$G$120="moeda")+(Inputs!$G$5:$G$120="acoes"))*Inputs!$B$1+((Inputs!$G$5:$G$120&lt;&gt;"moeda")*(Inputs!$G$5:$G$120&lt;&gt;"acoes")))*INDEX(Inputs!$K$5:$AJ$120,0,MATCH(P$2,Inputs!$K$4:$AJ$4,0)))+SUMPRODUCT((Inputs!$C$5:$C$120=$B8)*Inputs!$D$5:$D$120*(((Inputs!$G$5:$G$120="moeda")+(Inputs!$G$5:$G$120="acoes"))*Inputs!$B$1+((Inputs!$G$5:$G$120&lt;&gt;"moeda")*(Inputs!$G$5:$G$120&lt;&gt;"acoes")))*INDEX(Inputs!$K$5:$AJ$120,0,MATCH(P$2,Inputs!$K$4:$AJ$4,0)))+SUMPRODUCT((Inputs!$E$5:$E$120=$B8)*Inputs!$F$5:$F$120*(((Inputs!$G$5:$G$120="moeda")+(Inputs!$G$5:$G$120="acoes"))*Inputs!$B$1+((Inputs!$G$5:$G$120&lt;&gt;"moeda")*(Inputs!$G$5:$G$120&lt;&gt;"acoes")))*INDEX(Inputs!$K$5:$AJ$120,0,MATCH(P$2,Inputs!$K$4:$AJ$4,0)))))</f>
        <v>-133</v>
      </c>
      <c r="Q8" s="267">
        <f>IF(ISNA(MATCH(Q$2,Inputs!$K$4:$AJ$4,0)),NA(),IF(SUMPRODUCT((Inputs!$A$5:$A$120=$B8)*ISNUMBER(INDEX(Inputs!$K$5:$AJ$120,0,MATCH(Q$2,Inputs!$K$4:$AJ$4,0))))+SUMPRODUCT((Inputs!$C$5:$C$120=$B8)*ISNUMBER(INDEX(Inputs!$K$5:$AJ$120,0,MATCH(Q$2,Inputs!$K$4:$AJ$4,0))))+SUMPRODUCT((Inputs!$E$5:$E$120=$B8)*ISNUMBER(INDEX(Inputs!$K$5:$AJ$120,0,MATCH(Q$2,Inputs!$K$4:$AJ$4,0))))=0,NA(),SUMPRODUCT((Inputs!$A$5:$A$120=$B8)*Inputs!$B$5:$B$120*(((Inputs!$G$5:$G$120="moeda")+(Inputs!$G$5:$G$120="acoes"))*Inputs!$B$1+((Inputs!$G$5:$G$120&lt;&gt;"moeda")*(Inputs!$G$5:$G$120&lt;&gt;"acoes")))*INDEX(Inputs!$K$5:$AJ$120,0,MATCH(Q$2,Inputs!$K$4:$AJ$4,0)))+SUMPRODUCT((Inputs!$C$5:$C$120=$B8)*Inputs!$D$5:$D$120*(((Inputs!$G$5:$G$120="moeda")+(Inputs!$G$5:$G$120="acoes"))*Inputs!$B$1+((Inputs!$G$5:$G$120&lt;&gt;"moeda")*(Inputs!$G$5:$G$120&lt;&gt;"acoes")))*INDEX(Inputs!$K$5:$AJ$120,0,MATCH(Q$2,Inputs!$K$4:$AJ$4,0)))+SUMPRODUCT((Inputs!$E$5:$E$120=$B8)*Inputs!$F$5:$F$120*(((Inputs!$G$5:$G$120="moeda")+(Inputs!$G$5:$G$120="acoes"))*Inputs!$B$1+((Inputs!$G$5:$G$120&lt;&gt;"moeda")*(Inputs!$G$5:$G$120&lt;&gt;"acoes")))*INDEX(Inputs!$K$5:$AJ$120,0,MATCH(Q$2,Inputs!$K$4:$AJ$4,0)))))</f>
        <v>-142</v>
      </c>
      <c r="R8" s="268">
        <f>SUM(N8:Q8)</f>
        <v>-516</v>
      </c>
      <c r="S8" s="267">
        <f>IF(ISNA(MATCH(S$2,Inputs!$K$4:$AJ$4,0)),NA(),IF(SUMPRODUCT((Inputs!$A$5:$A$120=$B8)*ISNUMBER(INDEX(Inputs!$K$5:$AJ$120,0,MATCH(S$2,Inputs!$K$4:$AJ$4,0))))+SUMPRODUCT((Inputs!$C$5:$C$120=$B8)*ISNUMBER(INDEX(Inputs!$K$5:$AJ$120,0,MATCH(S$2,Inputs!$K$4:$AJ$4,0))))+SUMPRODUCT((Inputs!$E$5:$E$120=$B8)*ISNUMBER(INDEX(Inputs!$K$5:$AJ$120,0,MATCH(S$2,Inputs!$K$4:$AJ$4,0))))=0,NA(),SUMPRODUCT((Inputs!$A$5:$A$120=$B8)*Inputs!$B$5:$B$120*(((Inputs!$G$5:$G$120="moeda")+(Inputs!$G$5:$G$120="acoes"))*Inputs!$B$1+((Inputs!$G$5:$G$120&lt;&gt;"moeda")*(Inputs!$G$5:$G$120&lt;&gt;"acoes")))*INDEX(Inputs!$K$5:$AJ$120,0,MATCH(S$2,Inputs!$K$4:$AJ$4,0)))+SUMPRODUCT((Inputs!$C$5:$C$120=$B8)*Inputs!$D$5:$D$120*(((Inputs!$G$5:$G$120="moeda")+(Inputs!$G$5:$G$120="acoes"))*Inputs!$B$1+((Inputs!$G$5:$G$120&lt;&gt;"moeda")*(Inputs!$G$5:$G$120&lt;&gt;"acoes")))*INDEX(Inputs!$K$5:$AJ$120,0,MATCH(S$2,Inputs!$K$4:$AJ$4,0)))+SUMPRODUCT((Inputs!$E$5:$E$120=$B8)*Inputs!$F$5:$F$120*(((Inputs!$G$5:$G$120="moeda")+(Inputs!$G$5:$G$120="acoes"))*Inputs!$B$1+((Inputs!$G$5:$G$120&lt;&gt;"moeda")*(Inputs!$G$5:$G$120&lt;&gt;"acoes")))*INDEX(Inputs!$K$5:$AJ$120,0,MATCH(S$2,Inputs!$K$4:$AJ$4,0)))))</f>
        <v>-108</v>
      </c>
      <c r="T8" s="267">
        <f>IF(ISNA(MATCH(T$2,Inputs!$K$4:$AJ$4,0)),NA(),IF(SUMPRODUCT((Inputs!$A$5:$A$120=$B8)*ISNUMBER(INDEX(Inputs!$K$5:$AJ$120,0,MATCH(T$2,Inputs!$K$4:$AJ$4,0))))+SUMPRODUCT((Inputs!$C$5:$C$120=$B8)*ISNUMBER(INDEX(Inputs!$K$5:$AJ$120,0,MATCH(T$2,Inputs!$K$4:$AJ$4,0))))+SUMPRODUCT((Inputs!$E$5:$E$120=$B8)*ISNUMBER(INDEX(Inputs!$K$5:$AJ$120,0,MATCH(T$2,Inputs!$K$4:$AJ$4,0))))=0,NA(),SUMPRODUCT((Inputs!$A$5:$A$120=$B8)*Inputs!$B$5:$B$120*(((Inputs!$G$5:$G$120="moeda")+(Inputs!$G$5:$G$120="acoes"))*Inputs!$B$1+((Inputs!$G$5:$G$120&lt;&gt;"moeda")*(Inputs!$G$5:$G$120&lt;&gt;"acoes")))*INDEX(Inputs!$K$5:$AJ$120,0,MATCH(T$2,Inputs!$K$4:$AJ$4,0)))+SUMPRODUCT((Inputs!$C$5:$C$120=$B8)*Inputs!$D$5:$D$120*(((Inputs!$G$5:$G$120="moeda")+(Inputs!$G$5:$G$120="acoes"))*Inputs!$B$1+((Inputs!$G$5:$G$120&lt;&gt;"moeda")*(Inputs!$G$5:$G$120&lt;&gt;"acoes")))*INDEX(Inputs!$K$5:$AJ$120,0,MATCH(T$2,Inputs!$K$4:$AJ$4,0)))+SUMPRODUCT((Inputs!$E$5:$E$120=$B8)*Inputs!$F$5:$F$120*(((Inputs!$G$5:$G$120="moeda")+(Inputs!$G$5:$G$120="acoes"))*Inputs!$B$1+((Inputs!$G$5:$G$120&lt;&gt;"moeda")*(Inputs!$G$5:$G$120&lt;&gt;"acoes")))*INDEX(Inputs!$K$5:$AJ$120,0,MATCH(T$2,Inputs!$K$4:$AJ$4,0)))))</f>
        <v>-123</v>
      </c>
      <c r="U8" s="267">
        <f>IF(ISNA(MATCH(U$2,Inputs!$K$4:$AJ$4,0)),NA(),IF(SUMPRODUCT((Inputs!$A$5:$A$120=$B8)*ISNUMBER(INDEX(Inputs!$K$5:$AJ$120,0,MATCH(U$2,Inputs!$K$4:$AJ$4,0))))+SUMPRODUCT((Inputs!$C$5:$C$120=$B8)*ISNUMBER(INDEX(Inputs!$K$5:$AJ$120,0,MATCH(U$2,Inputs!$K$4:$AJ$4,0))))+SUMPRODUCT((Inputs!$E$5:$E$120=$B8)*ISNUMBER(INDEX(Inputs!$K$5:$AJ$120,0,MATCH(U$2,Inputs!$K$4:$AJ$4,0))))=0,NA(),SUMPRODUCT((Inputs!$A$5:$A$120=$B8)*Inputs!$B$5:$B$120*(((Inputs!$G$5:$G$120="moeda")+(Inputs!$G$5:$G$120="acoes"))*Inputs!$B$1+((Inputs!$G$5:$G$120&lt;&gt;"moeda")*(Inputs!$G$5:$G$120&lt;&gt;"acoes")))*INDEX(Inputs!$K$5:$AJ$120,0,MATCH(U$2,Inputs!$K$4:$AJ$4,0)))+SUMPRODUCT((Inputs!$C$5:$C$120=$B8)*Inputs!$D$5:$D$120*(((Inputs!$G$5:$G$120="moeda")+(Inputs!$G$5:$G$120="acoes"))*Inputs!$B$1+((Inputs!$G$5:$G$120&lt;&gt;"moeda")*(Inputs!$G$5:$G$120&lt;&gt;"acoes")))*INDEX(Inputs!$K$5:$AJ$120,0,MATCH(U$2,Inputs!$K$4:$AJ$4,0)))+SUMPRODUCT((Inputs!$E$5:$E$120=$B8)*Inputs!$F$5:$F$120*(((Inputs!$G$5:$G$120="moeda")+(Inputs!$G$5:$G$120="acoes"))*Inputs!$B$1+((Inputs!$G$5:$G$120&lt;&gt;"moeda")*(Inputs!$G$5:$G$120&lt;&gt;"acoes")))*INDEX(Inputs!$K$5:$AJ$120,0,MATCH(U$2,Inputs!$K$4:$AJ$4,0)))))</f>
        <v>-127</v>
      </c>
      <c r="V8" s="267">
        <f>IF(ISNA(MATCH(V$2,Inputs!$K$4:$AJ$4,0)),NA(),IF(SUMPRODUCT((Inputs!$A$5:$A$120=$B8)*ISNUMBER(INDEX(Inputs!$K$5:$AJ$120,0,MATCH(V$2,Inputs!$K$4:$AJ$4,0))))+SUMPRODUCT((Inputs!$C$5:$C$120=$B8)*ISNUMBER(INDEX(Inputs!$K$5:$AJ$120,0,MATCH(V$2,Inputs!$K$4:$AJ$4,0))))+SUMPRODUCT((Inputs!$E$5:$E$120=$B8)*ISNUMBER(INDEX(Inputs!$K$5:$AJ$120,0,MATCH(V$2,Inputs!$K$4:$AJ$4,0))))=0,NA(),SUMPRODUCT((Inputs!$A$5:$A$120=$B8)*Inputs!$B$5:$B$120*(((Inputs!$G$5:$G$120="moeda")+(Inputs!$G$5:$G$120="acoes"))*Inputs!$B$1+((Inputs!$G$5:$G$120&lt;&gt;"moeda")*(Inputs!$G$5:$G$120&lt;&gt;"acoes")))*INDEX(Inputs!$K$5:$AJ$120,0,MATCH(V$2,Inputs!$K$4:$AJ$4,0)))+SUMPRODUCT((Inputs!$C$5:$C$120=$B8)*Inputs!$D$5:$D$120*(((Inputs!$G$5:$G$120="moeda")+(Inputs!$G$5:$G$120="acoes"))*Inputs!$B$1+((Inputs!$G$5:$G$120&lt;&gt;"moeda")*(Inputs!$G$5:$G$120&lt;&gt;"acoes")))*INDEX(Inputs!$K$5:$AJ$120,0,MATCH(V$2,Inputs!$K$4:$AJ$4,0)))+SUMPRODUCT((Inputs!$E$5:$E$120=$B8)*Inputs!$F$5:$F$120*(((Inputs!$G$5:$G$120="moeda")+(Inputs!$G$5:$G$120="acoes"))*Inputs!$B$1+((Inputs!$G$5:$G$120&lt;&gt;"moeda")*(Inputs!$G$5:$G$120&lt;&gt;"acoes")))*INDEX(Inputs!$K$5:$AJ$120,0,MATCH(V$2,Inputs!$K$4:$AJ$4,0)))))</f>
        <v>-113</v>
      </c>
      <c r="W8" s="268">
        <f>SUM(S8:V8)</f>
        <v>-471</v>
      </c>
      <c r="X8" s="267">
        <f>IF(ISNA(MATCH(X$2,Inputs!$K$4:$AJ$4,0)),NA(),IF(SUMPRODUCT((Inputs!$A$5:$A$120=$B8)*ISNUMBER(INDEX(Inputs!$K$5:$AJ$120,0,MATCH(X$2,Inputs!$K$4:$AJ$4,0))))+SUMPRODUCT((Inputs!$C$5:$C$120=$B8)*ISNUMBER(INDEX(Inputs!$K$5:$AJ$120,0,MATCH(X$2,Inputs!$K$4:$AJ$4,0))))+SUMPRODUCT((Inputs!$E$5:$E$120=$B8)*ISNUMBER(INDEX(Inputs!$K$5:$AJ$120,0,MATCH(X$2,Inputs!$K$4:$AJ$4,0))))=0,NA(),SUMPRODUCT((Inputs!$A$5:$A$120=$B8)*Inputs!$B$5:$B$120*(((Inputs!$G$5:$G$120="moeda")+(Inputs!$G$5:$G$120="acoes"))*Inputs!$B$1+((Inputs!$G$5:$G$120&lt;&gt;"moeda")*(Inputs!$G$5:$G$120&lt;&gt;"acoes")))*INDEX(Inputs!$K$5:$AJ$120,0,MATCH(X$2,Inputs!$K$4:$AJ$4,0)))+SUMPRODUCT((Inputs!$C$5:$C$120=$B8)*Inputs!$D$5:$D$120*(((Inputs!$G$5:$G$120="moeda")+(Inputs!$G$5:$G$120="acoes"))*Inputs!$B$1+((Inputs!$G$5:$G$120&lt;&gt;"moeda")*(Inputs!$G$5:$G$120&lt;&gt;"acoes")))*INDEX(Inputs!$K$5:$AJ$120,0,MATCH(X$2,Inputs!$K$4:$AJ$4,0)))+SUMPRODUCT((Inputs!$E$5:$E$120=$B8)*Inputs!$F$5:$F$120*(((Inputs!$G$5:$G$120="moeda")+(Inputs!$G$5:$G$120="acoes"))*Inputs!$B$1+((Inputs!$G$5:$G$120&lt;&gt;"moeda")*(Inputs!$G$5:$G$120&lt;&gt;"acoes")))*INDEX(Inputs!$K$5:$AJ$120,0,MATCH(X$2,Inputs!$K$4:$AJ$4,0)))))</f>
        <v>-104</v>
      </c>
      <c r="Y8" s="267">
        <f>IF(ISNA(MATCH(Y$2,Inputs!$K$4:$AJ$4,0)),NA(),IF(SUMPRODUCT((Inputs!$A$5:$A$120=$B8)*ISNUMBER(INDEX(Inputs!$K$5:$AJ$120,0,MATCH(Y$2,Inputs!$K$4:$AJ$4,0))))+SUMPRODUCT((Inputs!$C$5:$C$120=$B8)*ISNUMBER(INDEX(Inputs!$K$5:$AJ$120,0,MATCH(Y$2,Inputs!$K$4:$AJ$4,0))))+SUMPRODUCT((Inputs!$E$5:$E$120=$B8)*ISNUMBER(INDEX(Inputs!$K$5:$AJ$120,0,MATCH(Y$2,Inputs!$K$4:$AJ$4,0))))=0,NA(),SUMPRODUCT((Inputs!$A$5:$A$120=$B8)*Inputs!$B$5:$B$120*(((Inputs!$G$5:$G$120="moeda")+(Inputs!$G$5:$G$120="acoes"))*Inputs!$B$1+((Inputs!$G$5:$G$120&lt;&gt;"moeda")*(Inputs!$G$5:$G$120&lt;&gt;"acoes")))*INDEX(Inputs!$K$5:$AJ$120,0,MATCH(Y$2,Inputs!$K$4:$AJ$4,0)))+SUMPRODUCT((Inputs!$C$5:$C$120=$B8)*Inputs!$D$5:$D$120*(((Inputs!$G$5:$G$120="moeda")+(Inputs!$G$5:$G$120="acoes"))*Inputs!$B$1+((Inputs!$G$5:$G$120&lt;&gt;"moeda")*(Inputs!$G$5:$G$120&lt;&gt;"acoes")))*INDEX(Inputs!$K$5:$AJ$120,0,MATCH(Y$2,Inputs!$K$4:$AJ$4,0)))+SUMPRODUCT((Inputs!$E$5:$E$120=$B8)*Inputs!$F$5:$F$120*(((Inputs!$G$5:$G$120="moeda")+(Inputs!$G$5:$G$120="acoes"))*Inputs!$B$1+((Inputs!$G$5:$G$120&lt;&gt;"moeda")*(Inputs!$G$5:$G$120&lt;&gt;"acoes")))*INDEX(Inputs!$K$5:$AJ$120,0,MATCH(Y$2,Inputs!$K$4:$AJ$4,0)))))</f>
        <v>-106</v>
      </c>
      <c r="Z8" s="267">
        <f>IF(ISNA(MATCH(Z$2,Inputs!$K$4:$AJ$4,0)),NA(),IF(SUMPRODUCT((Inputs!$A$5:$A$120=$B8)*ISNUMBER(INDEX(Inputs!$K$5:$AJ$120,0,MATCH(Z$2,Inputs!$K$4:$AJ$4,0))))+SUMPRODUCT((Inputs!$C$5:$C$120=$B8)*ISNUMBER(INDEX(Inputs!$K$5:$AJ$120,0,MATCH(Z$2,Inputs!$K$4:$AJ$4,0))))+SUMPRODUCT((Inputs!$E$5:$E$120=$B8)*ISNUMBER(INDEX(Inputs!$K$5:$AJ$120,0,MATCH(Z$2,Inputs!$K$4:$AJ$4,0))))=0,NA(),SUMPRODUCT((Inputs!$A$5:$A$120=$B8)*Inputs!$B$5:$B$120*(((Inputs!$G$5:$G$120="moeda")+(Inputs!$G$5:$G$120="acoes"))*Inputs!$B$1+((Inputs!$G$5:$G$120&lt;&gt;"moeda")*(Inputs!$G$5:$G$120&lt;&gt;"acoes")))*INDEX(Inputs!$K$5:$AJ$120,0,MATCH(Z$2,Inputs!$K$4:$AJ$4,0)))+SUMPRODUCT((Inputs!$C$5:$C$120=$B8)*Inputs!$D$5:$D$120*(((Inputs!$G$5:$G$120="moeda")+(Inputs!$G$5:$G$120="acoes"))*Inputs!$B$1+((Inputs!$G$5:$G$120&lt;&gt;"moeda")*(Inputs!$G$5:$G$120&lt;&gt;"acoes")))*INDEX(Inputs!$K$5:$AJ$120,0,MATCH(Z$2,Inputs!$K$4:$AJ$4,0)))+SUMPRODUCT((Inputs!$E$5:$E$120=$B8)*Inputs!$F$5:$F$120*(((Inputs!$G$5:$G$120="moeda")+(Inputs!$G$5:$G$120="acoes"))*Inputs!$B$1+((Inputs!$G$5:$G$120&lt;&gt;"moeda")*(Inputs!$G$5:$G$120&lt;&gt;"acoes")))*INDEX(Inputs!$K$5:$AJ$120,0,MATCH(Z$2,Inputs!$K$4:$AJ$4,0)))))</f>
        <v>-202</v>
      </c>
      <c r="AA8" s="267">
        <f>IF(ISNA(MATCH(AA$2,Inputs!$K$4:$AJ$4,0)),NA(),IF(SUMPRODUCT((Inputs!$A$5:$A$120=$B8)*ISNUMBER(INDEX(Inputs!$K$5:$AJ$120,0,MATCH(AA$2,Inputs!$K$4:$AJ$4,0))))+SUMPRODUCT((Inputs!$C$5:$C$120=$B8)*ISNUMBER(INDEX(Inputs!$K$5:$AJ$120,0,MATCH(AA$2,Inputs!$K$4:$AJ$4,0))))+SUMPRODUCT((Inputs!$E$5:$E$120=$B8)*ISNUMBER(INDEX(Inputs!$K$5:$AJ$120,0,MATCH(AA$2,Inputs!$K$4:$AJ$4,0))))=0,NA(),SUMPRODUCT((Inputs!$A$5:$A$120=$B8)*Inputs!$B$5:$B$120*(((Inputs!$G$5:$G$120="moeda")+(Inputs!$G$5:$G$120="acoes"))*Inputs!$B$1+((Inputs!$G$5:$G$120&lt;&gt;"moeda")*(Inputs!$G$5:$G$120&lt;&gt;"acoes")))*INDEX(Inputs!$K$5:$AJ$120,0,MATCH(AA$2,Inputs!$K$4:$AJ$4,0)))+SUMPRODUCT((Inputs!$C$5:$C$120=$B8)*Inputs!$D$5:$D$120*(((Inputs!$G$5:$G$120="moeda")+(Inputs!$G$5:$G$120="acoes"))*Inputs!$B$1+((Inputs!$G$5:$G$120&lt;&gt;"moeda")*(Inputs!$G$5:$G$120&lt;&gt;"acoes")))*INDEX(Inputs!$K$5:$AJ$120,0,MATCH(AA$2,Inputs!$K$4:$AJ$4,0)))+SUMPRODUCT((Inputs!$E$5:$E$120=$B8)*Inputs!$F$5:$F$120*(((Inputs!$G$5:$G$120="moeda")+(Inputs!$G$5:$G$120="acoes"))*Inputs!$B$1+((Inputs!$G$5:$G$120&lt;&gt;"moeda")*(Inputs!$G$5:$G$120&lt;&gt;"acoes")))*INDEX(Inputs!$K$5:$AJ$120,0,MATCH(AA$2,Inputs!$K$4:$AJ$4,0)))))</f>
        <v>-216</v>
      </c>
      <c r="AB8" s="268">
        <f>SUM(X8:AA8)</f>
        <v>-628</v>
      </c>
      <c r="AC8" s="267">
        <f>IF(ISNA(MATCH(AC$2,Inputs!$K$4:$AJ$4,0)),NA(),IF(SUMPRODUCT((Inputs!$A$5:$A$120=$B8)*ISNUMBER(INDEX(Inputs!$K$5:$AJ$120,0,MATCH(AC$2,Inputs!$K$4:$AJ$4,0))))+SUMPRODUCT((Inputs!$C$5:$C$120=$B8)*ISNUMBER(INDEX(Inputs!$K$5:$AJ$120,0,MATCH(AC$2,Inputs!$K$4:$AJ$4,0))))+SUMPRODUCT((Inputs!$E$5:$E$120=$B8)*ISNUMBER(INDEX(Inputs!$K$5:$AJ$120,0,MATCH(AC$2,Inputs!$K$4:$AJ$4,0))))=0,NA(),SUMPRODUCT((Inputs!$A$5:$A$120=$B8)*Inputs!$B$5:$B$120*(((Inputs!$G$5:$G$120="moeda")+(Inputs!$G$5:$G$120="acoes"))*Inputs!$B$1+((Inputs!$G$5:$G$120&lt;&gt;"moeda")*(Inputs!$G$5:$G$120&lt;&gt;"acoes")))*INDEX(Inputs!$K$5:$AJ$120,0,MATCH(AC$2,Inputs!$K$4:$AJ$4,0)))+SUMPRODUCT((Inputs!$C$5:$C$120=$B8)*Inputs!$D$5:$D$120*(((Inputs!$G$5:$G$120="moeda")+(Inputs!$G$5:$G$120="acoes"))*Inputs!$B$1+((Inputs!$G$5:$G$120&lt;&gt;"moeda")*(Inputs!$G$5:$G$120&lt;&gt;"acoes")))*INDEX(Inputs!$K$5:$AJ$120,0,MATCH(AC$2,Inputs!$K$4:$AJ$4,0)))+SUMPRODUCT((Inputs!$E$5:$E$120=$B8)*Inputs!$F$5:$F$120*(((Inputs!$G$5:$G$120="moeda")+(Inputs!$G$5:$G$120="acoes"))*Inputs!$B$1+((Inputs!$G$5:$G$120&lt;&gt;"moeda")*(Inputs!$G$5:$G$120&lt;&gt;"acoes")))*INDEX(Inputs!$K$5:$AJ$120,0,MATCH(AC$2,Inputs!$K$4:$AJ$4,0)))))</f>
        <v>-181</v>
      </c>
      <c r="AD8" s="267">
        <f>IF(ISNA(MATCH(AD$2,Inputs!$K$4:$AJ$4,0)),NA(),IF(SUMPRODUCT((Inputs!$A$5:$A$120=$B8)*ISNUMBER(INDEX(Inputs!$K$5:$AJ$120,0,MATCH(AD$2,Inputs!$K$4:$AJ$4,0))))+SUMPRODUCT((Inputs!$C$5:$C$120=$B8)*ISNUMBER(INDEX(Inputs!$K$5:$AJ$120,0,MATCH(AD$2,Inputs!$K$4:$AJ$4,0))))+SUMPRODUCT((Inputs!$E$5:$E$120=$B8)*ISNUMBER(INDEX(Inputs!$K$5:$AJ$120,0,MATCH(AD$2,Inputs!$K$4:$AJ$4,0))))=0,NA(),SUMPRODUCT((Inputs!$A$5:$A$120=$B8)*Inputs!$B$5:$B$120*(((Inputs!$G$5:$G$120="moeda")+(Inputs!$G$5:$G$120="acoes"))*Inputs!$B$1+((Inputs!$G$5:$G$120&lt;&gt;"moeda")*(Inputs!$G$5:$G$120&lt;&gt;"acoes")))*INDEX(Inputs!$K$5:$AJ$120,0,MATCH(AD$2,Inputs!$K$4:$AJ$4,0)))+SUMPRODUCT((Inputs!$C$5:$C$120=$B8)*Inputs!$D$5:$D$120*(((Inputs!$G$5:$G$120="moeda")+(Inputs!$G$5:$G$120="acoes"))*Inputs!$B$1+((Inputs!$G$5:$G$120&lt;&gt;"moeda")*(Inputs!$G$5:$G$120&lt;&gt;"acoes")))*INDEX(Inputs!$K$5:$AJ$120,0,MATCH(AD$2,Inputs!$K$4:$AJ$4,0)))+SUMPRODUCT((Inputs!$E$5:$E$120=$B8)*Inputs!$F$5:$F$120*(((Inputs!$G$5:$G$120="moeda")+(Inputs!$G$5:$G$120="acoes"))*Inputs!$B$1+((Inputs!$G$5:$G$120&lt;&gt;"moeda")*(Inputs!$G$5:$G$120&lt;&gt;"acoes")))*INDEX(Inputs!$K$5:$AJ$120,0,MATCH(AD$2,Inputs!$K$4:$AJ$4,0)))))</f>
        <v>-197</v>
      </c>
      <c r="AE8" s="267" t="e">
        <f>IF(ISNA(MATCH(AE$2,Inputs!$K$4:$AJ$4,0)),NA(),IF(SUMPRODUCT((Inputs!$A$5:$A$120=$B8)*ISNUMBER(INDEX(Inputs!$K$5:$AJ$120,0,MATCH(AE$2,Inputs!$K$4:$AJ$4,0))))+SUMPRODUCT((Inputs!$C$5:$C$120=$B8)*ISNUMBER(INDEX(Inputs!$K$5:$AJ$120,0,MATCH(AE$2,Inputs!$K$4:$AJ$4,0))))+SUMPRODUCT((Inputs!$E$5:$E$120=$B8)*ISNUMBER(INDEX(Inputs!$K$5:$AJ$120,0,MATCH(AE$2,Inputs!$K$4:$AJ$4,0))))=0,NA(),SUMPRODUCT((Inputs!$A$5:$A$120=$B8)*Inputs!$B$5:$B$120*(((Inputs!$G$5:$G$120="moeda")+(Inputs!$G$5:$G$120="acoes"))*Inputs!$B$1+((Inputs!$G$5:$G$120&lt;&gt;"moeda")*(Inputs!$G$5:$G$120&lt;&gt;"acoes")))*INDEX(Inputs!$K$5:$AJ$120,0,MATCH(AE$2,Inputs!$K$4:$AJ$4,0)))+SUMPRODUCT((Inputs!$C$5:$C$120=$B8)*Inputs!$D$5:$D$120*(((Inputs!$G$5:$G$120="moeda")+(Inputs!$G$5:$G$120="acoes"))*Inputs!$B$1+((Inputs!$G$5:$G$120&lt;&gt;"moeda")*(Inputs!$G$5:$G$120&lt;&gt;"acoes")))*INDEX(Inputs!$K$5:$AJ$120,0,MATCH(AE$2,Inputs!$K$4:$AJ$4,0)))+SUMPRODUCT((Inputs!$E$5:$E$120=$B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8" s="267" t="e">
        <f>IF(ISNA(MATCH(AF$2,Inputs!$K$4:$AJ$4,0)),NA(),IF(SUMPRODUCT((Inputs!$A$5:$A$120=$B8)*ISNUMBER(INDEX(Inputs!$K$5:$AJ$120,0,MATCH(AF$2,Inputs!$K$4:$AJ$4,0))))+SUMPRODUCT((Inputs!$C$5:$C$120=$B8)*ISNUMBER(INDEX(Inputs!$K$5:$AJ$120,0,MATCH(AF$2,Inputs!$K$4:$AJ$4,0))))+SUMPRODUCT((Inputs!$E$5:$E$120=$B8)*ISNUMBER(INDEX(Inputs!$K$5:$AJ$120,0,MATCH(AF$2,Inputs!$K$4:$AJ$4,0))))=0,NA(),SUMPRODUCT((Inputs!$A$5:$A$120=$B8)*Inputs!$B$5:$B$120*(((Inputs!$G$5:$G$120="moeda")+(Inputs!$G$5:$G$120="acoes"))*Inputs!$B$1+((Inputs!$G$5:$G$120&lt;&gt;"moeda")*(Inputs!$G$5:$G$120&lt;&gt;"acoes")))*INDEX(Inputs!$K$5:$AJ$120,0,MATCH(AF$2,Inputs!$K$4:$AJ$4,0)))+SUMPRODUCT((Inputs!$C$5:$C$120=$B8)*Inputs!$D$5:$D$120*(((Inputs!$G$5:$G$120="moeda")+(Inputs!$G$5:$G$120="acoes"))*Inputs!$B$1+((Inputs!$G$5:$G$120&lt;&gt;"moeda")*(Inputs!$G$5:$G$120&lt;&gt;"acoes")))*INDEX(Inputs!$K$5:$AJ$120,0,MATCH(AF$2,Inputs!$K$4:$AJ$4,0)))+SUMPRODUCT((Inputs!$E$5:$E$120=$B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8" s="268" t="e">
        <f>SUM(AC8:AF8)</f>
        <v>#N/A</v>
      </c>
      <c r="AH8" s="267">
        <f>IF(ISNA(MATCH(AH$2,Inputs!$K$4:$AJ$4,0)),NA(),IF(SUMPRODUCT((Inputs!$A$5:$A$120=$B8)*ISNUMBER(INDEX(Inputs!$K$5:$AJ$120,0,MATCH(AH$2,Inputs!$K$4:$AJ$4,0))))+SUMPRODUCT((Inputs!$C$5:$C$120=$B8)*ISNUMBER(INDEX(Inputs!$K$5:$AJ$120,0,MATCH(AH$2,Inputs!$K$4:$AJ$4,0))))+SUMPRODUCT((Inputs!$E$5:$E$120=$B8)*ISNUMBER(INDEX(Inputs!$K$5:$AJ$120,0,MATCH(AH$2,Inputs!$K$4:$AJ$4,0))))=0,NA(),SUMPRODUCT((Inputs!$A$5:$A$120=$B8)*Inputs!$B$5:$B$120*(((Inputs!$G$5:$G$120="moeda")+(Inputs!$G$5:$G$120="acoes"))*Inputs!$B$1+((Inputs!$G$5:$G$120&lt;&gt;"moeda")*(Inputs!$G$5:$G$120&lt;&gt;"acoes")))*INDEX(Inputs!$K$5:$AJ$120,0,MATCH(AH$2,Inputs!$K$4:$AJ$4,0)))+SUMPRODUCT((Inputs!$C$5:$C$120=$B8)*Inputs!$D$5:$D$120*(((Inputs!$G$5:$G$120="moeda")+(Inputs!$G$5:$G$120="acoes"))*Inputs!$B$1+((Inputs!$G$5:$G$120&lt;&gt;"moeda")*(Inputs!$G$5:$G$120&lt;&gt;"acoes")))*INDEX(Inputs!$K$5:$AJ$120,0,MATCH(AH$2,Inputs!$K$4:$AJ$4,0)))+SUMPRODUCT((Inputs!$E$5:$E$120=$B8)*Inputs!$F$5:$F$120*(((Inputs!$G$5:$G$120="moeda")+(Inputs!$G$5:$G$120="acoes"))*Inputs!$B$1+((Inputs!$G$5:$G$120&lt;&gt;"moeda")*(Inputs!$G$5:$G$120&lt;&gt;"acoes")))*INDEX(Inputs!$K$5:$AJ$120,0,MATCH(AH$2,Inputs!$K$4:$AJ$4,0)))))</f>
        <v>-77</v>
      </c>
      <c r="AI8" s="267">
        <f>IF(ISNA(MATCH(AI$2,Inputs!$K$4:$AJ$4,0)),NA(),IF(SUMPRODUCT((Inputs!$A$5:$A$120=$B8)*ISNUMBER(INDEX(Inputs!$K$5:$AJ$120,0,MATCH(AI$2,Inputs!$K$4:$AJ$4,0))))+SUMPRODUCT((Inputs!$C$5:$C$120=$B8)*ISNUMBER(INDEX(Inputs!$K$5:$AJ$120,0,MATCH(AI$2,Inputs!$K$4:$AJ$4,0))))+SUMPRODUCT((Inputs!$E$5:$E$120=$B8)*ISNUMBER(INDEX(Inputs!$K$5:$AJ$120,0,MATCH(AI$2,Inputs!$K$4:$AJ$4,0))))=0,NA(),SUMPRODUCT((Inputs!$A$5:$A$120=$B8)*Inputs!$B$5:$B$120*(((Inputs!$G$5:$G$120="moeda")+(Inputs!$G$5:$G$120="acoes"))*Inputs!$B$1+((Inputs!$G$5:$G$120&lt;&gt;"moeda")*(Inputs!$G$5:$G$120&lt;&gt;"acoes")))*INDEX(Inputs!$K$5:$AJ$120,0,MATCH(AI$2,Inputs!$K$4:$AJ$4,0)))+SUMPRODUCT((Inputs!$C$5:$C$120=$B8)*Inputs!$D$5:$D$120*(((Inputs!$G$5:$G$120="moeda")+(Inputs!$G$5:$G$120="acoes"))*Inputs!$B$1+((Inputs!$G$5:$G$120&lt;&gt;"moeda")*(Inputs!$G$5:$G$120&lt;&gt;"acoes")))*INDEX(Inputs!$K$5:$AJ$120,0,MATCH(AI$2,Inputs!$K$4:$AJ$4,0)))+SUMPRODUCT((Inputs!$E$5:$E$120=$B8)*Inputs!$F$5:$F$120*(((Inputs!$G$5:$G$120="moeda")+(Inputs!$G$5:$G$120="acoes"))*Inputs!$B$1+((Inputs!$G$5:$G$120&lt;&gt;"moeda")*(Inputs!$G$5:$G$120&lt;&gt;"acoes")))*INDEX(Inputs!$K$5:$AJ$120,0,MATCH(AI$2,Inputs!$K$4:$AJ$4,0)))))</f>
        <v>-62</v>
      </c>
      <c r="AJ8" s="267">
        <f>IF(ISNA(MATCH(AJ$2,Inputs!$K$4:$AJ$4,0)),NA(),IF(SUMPRODUCT((Inputs!$A$5:$A$120=$B8)*ISNUMBER(INDEX(Inputs!$K$5:$AJ$120,0,MATCH(AJ$2,Inputs!$K$4:$AJ$4,0))))+SUMPRODUCT((Inputs!$C$5:$C$120=$B8)*ISNUMBER(INDEX(Inputs!$K$5:$AJ$120,0,MATCH(AJ$2,Inputs!$K$4:$AJ$4,0))))+SUMPRODUCT((Inputs!$E$5:$E$120=$B8)*ISNUMBER(INDEX(Inputs!$K$5:$AJ$120,0,MATCH(AJ$2,Inputs!$K$4:$AJ$4,0))))=0,NA(),SUMPRODUCT((Inputs!$A$5:$A$120=$B8)*Inputs!$B$5:$B$120*(((Inputs!$G$5:$G$120="moeda")+(Inputs!$G$5:$G$120="acoes"))*Inputs!$B$1+((Inputs!$G$5:$G$120&lt;&gt;"moeda")*(Inputs!$G$5:$G$120&lt;&gt;"acoes")))*INDEX(Inputs!$K$5:$AJ$120,0,MATCH(AJ$2,Inputs!$K$4:$AJ$4,0)))+SUMPRODUCT((Inputs!$C$5:$C$120=$B8)*Inputs!$D$5:$D$120*(((Inputs!$G$5:$G$120="moeda")+(Inputs!$G$5:$G$120="acoes"))*Inputs!$B$1+((Inputs!$G$5:$G$120&lt;&gt;"moeda")*(Inputs!$G$5:$G$120&lt;&gt;"acoes")))*INDEX(Inputs!$K$5:$AJ$120,0,MATCH(AJ$2,Inputs!$K$4:$AJ$4,0)))+SUMPRODUCT((Inputs!$E$5:$E$120=$B8)*Inputs!$F$5:$F$120*(((Inputs!$G$5:$G$120="moeda")+(Inputs!$G$5:$G$120="acoes"))*Inputs!$B$1+((Inputs!$G$5:$G$120&lt;&gt;"moeda")*(Inputs!$G$5:$G$120&lt;&gt;"acoes")))*INDEX(Inputs!$K$5:$AJ$120,0,MATCH(AJ$2,Inputs!$K$4:$AJ$4,0)))))</f>
        <v>-56</v>
      </c>
      <c r="AK8" s="267">
        <f>IF(ISNA(MATCH(AK$2,Inputs!$K$4:$AJ$4,0)),NA(),IF(SUMPRODUCT((Inputs!$A$5:$A$120=$B8)*ISNUMBER(INDEX(Inputs!$K$5:$AJ$120,0,MATCH(AK$2,Inputs!$K$4:$AJ$4,0))))+SUMPRODUCT((Inputs!$C$5:$C$120=$B8)*ISNUMBER(INDEX(Inputs!$K$5:$AJ$120,0,MATCH(AK$2,Inputs!$K$4:$AJ$4,0))))+SUMPRODUCT((Inputs!$E$5:$E$120=$B8)*ISNUMBER(INDEX(Inputs!$K$5:$AJ$120,0,MATCH(AK$2,Inputs!$K$4:$AJ$4,0))))=0,NA(),SUMPRODUCT((Inputs!$A$5:$A$120=$B8)*Inputs!$B$5:$B$120*(((Inputs!$G$5:$G$120="moeda")+(Inputs!$G$5:$G$120="acoes"))*Inputs!$B$1+((Inputs!$G$5:$G$120&lt;&gt;"moeda")*(Inputs!$G$5:$G$120&lt;&gt;"acoes")))*INDEX(Inputs!$K$5:$AJ$120,0,MATCH(AK$2,Inputs!$K$4:$AJ$4,0)))+SUMPRODUCT((Inputs!$C$5:$C$120=$B8)*Inputs!$D$5:$D$120*(((Inputs!$G$5:$G$120="moeda")+(Inputs!$G$5:$G$120="acoes"))*Inputs!$B$1+((Inputs!$G$5:$G$120&lt;&gt;"moeda")*(Inputs!$G$5:$G$120&lt;&gt;"acoes")))*INDEX(Inputs!$K$5:$AJ$120,0,MATCH(AK$2,Inputs!$K$4:$AJ$4,0)))+SUMPRODUCT((Inputs!$E$5:$E$120=$B8)*Inputs!$F$5:$F$120*(((Inputs!$G$5:$G$120="moeda")+(Inputs!$G$5:$G$120="acoes"))*Inputs!$B$1+((Inputs!$G$5:$G$120&lt;&gt;"moeda")*(Inputs!$G$5:$G$120&lt;&gt;"acoes")))*INDEX(Inputs!$K$5:$AJ$120,0,MATCH(AK$2,Inputs!$K$4:$AJ$4,0)))))</f>
        <v>-70</v>
      </c>
      <c r="AL8" s="268">
        <f>SUM(AH8:AK8)</f>
        <v>-265</v>
      </c>
    </row>
    <row r="9" ht="12.75" customHeight="1" s="255">
      <c r="B9" s="265" t="n">
        <v>6</v>
      </c>
      <c r="C9" s="270" t="inlineStr">
        <is>
          <t>Nonoperating Income / (Loss)</t>
        </is>
      </c>
      <c r="D9" s="267">
        <f>IF(ISNA(MATCH(D$2,Inputs!$K$4:$AJ$4,0)),NA(),IF(SUMPRODUCT((Inputs!$A$5:$A$120=$B9)*ISNUMBER(INDEX(Inputs!$K$5:$AJ$120,0,MATCH(D$2,Inputs!$K$4:$AJ$4,0))))+SUMPRODUCT((Inputs!$C$5:$C$120=$B9)*ISNUMBER(INDEX(Inputs!$K$5:$AJ$120,0,MATCH(D$2,Inputs!$K$4:$AJ$4,0))))+SUMPRODUCT((Inputs!$E$5:$E$120=$B9)*ISNUMBER(INDEX(Inputs!$K$5:$AJ$120,0,MATCH(D$2,Inputs!$K$4:$AJ$4,0))))=0,NA(),SUMPRODUCT((Inputs!$A$5:$A$120=$B9)*Inputs!$B$5:$B$120*(((Inputs!$G$5:$G$120="moeda")+(Inputs!$G$5:$G$120="acoes"))*Inputs!$B$1+((Inputs!$G$5:$G$120&lt;&gt;"moeda")*(Inputs!$G$5:$G$120&lt;&gt;"acoes")))*INDEX(Inputs!$K$5:$AJ$120,0,MATCH(D$2,Inputs!$K$4:$AJ$4,0)))+SUMPRODUCT((Inputs!$C$5:$C$120=$B9)*Inputs!$D$5:$D$120*(((Inputs!$G$5:$G$120="moeda")+(Inputs!$G$5:$G$120="acoes"))*Inputs!$B$1+((Inputs!$G$5:$G$120&lt;&gt;"moeda")*(Inputs!$G$5:$G$120&lt;&gt;"acoes")))*INDEX(Inputs!$K$5:$AJ$120,0,MATCH(D$2,Inputs!$K$4:$AJ$4,0)))+SUMPRODUCT((Inputs!$E$5:$E$120=$B9)*Inputs!$F$5:$F$120*(((Inputs!$G$5:$G$120="moeda")+(Inputs!$G$5:$G$120="acoes"))*Inputs!$B$1+((Inputs!$G$5:$G$120&lt;&gt;"moeda")*(Inputs!$G$5:$G$120&lt;&gt;"acoes")))*INDEX(Inputs!$K$5:$AJ$120,0,MATCH(D$2,Inputs!$K$4:$AJ$4,0)))))</f>
        <v>306</v>
      </c>
      <c r="E9" s="267">
        <f>IF(ISNA(MATCH(E$2,Inputs!$K$4:$AJ$4,0)),NA(),IF(SUMPRODUCT((Inputs!$A$5:$A$120=$B9)*ISNUMBER(INDEX(Inputs!$K$5:$AJ$120,0,MATCH(E$2,Inputs!$K$4:$AJ$4,0))))+SUMPRODUCT((Inputs!$C$5:$C$120=$B9)*ISNUMBER(INDEX(Inputs!$K$5:$AJ$120,0,MATCH(E$2,Inputs!$K$4:$AJ$4,0))))+SUMPRODUCT((Inputs!$E$5:$E$120=$B9)*ISNUMBER(INDEX(Inputs!$K$5:$AJ$120,0,MATCH(E$2,Inputs!$K$4:$AJ$4,0))))=0,NA(),SUMPRODUCT((Inputs!$A$5:$A$120=$B9)*Inputs!$B$5:$B$120*(((Inputs!$G$5:$G$120="moeda")+(Inputs!$G$5:$G$120="acoes"))*Inputs!$B$1+((Inputs!$G$5:$G$120&lt;&gt;"moeda")*(Inputs!$G$5:$G$120&lt;&gt;"acoes")))*INDEX(Inputs!$K$5:$AJ$120,0,MATCH(E$2,Inputs!$K$4:$AJ$4,0)))+SUMPRODUCT((Inputs!$C$5:$C$120=$B9)*Inputs!$D$5:$D$120*(((Inputs!$G$5:$G$120="moeda")+(Inputs!$G$5:$G$120="acoes"))*Inputs!$B$1+((Inputs!$G$5:$G$120&lt;&gt;"moeda")*(Inputs!$G$5:$G$120&lt;&gt;"acoes")))*INDEX(Inputs!$K$5:$AJ$120,0,MATCH(E$2,Inputs!$K$4:$AJ$4,0)))+SUMPRODUCT((Inputs!$E$5:$E$120=$B9)*Inputs!$F$5:$F$120*(((Inputs!$G$5:$G$120="moeda")+(Inputs!$G$5:$G$120="acoes"))*Inputs!$B$1+((Inputs!$G$5:$G$120&lt;&gt;"moeda")*(Inputs!$G$5:$G$120&lt;&gt;"acoes")))*INDEX(Inputs!$K$5:$AJ$120,0,MATCH(E$2,Inputs!$K$4:$AJ$4,0)))))</f>
        <v>105</v>
      </c>
      <c r="F9" s="267">
        <f>IF(ISNA(MATCH(F$2,Inputs!$K$4:$AJ$4,0)),NA(),IF(SUMPRODUCT((Inputs!$A$5:$A$120=$B9)*ISNUMBER(INDEX(Inputs!$K$5:$AJ$120,0,MATCH(F$2,Inputs!$K$4:$AJ$4,0))))+SUMPRODUCT((Inputs!$C$5:$C$120=$B9)*ISNUMBER(INDEX(Inputs!$K$5:$AJ$120,0,MATCH(F$2,Inputs!$K$4:$AJ$4,0))))+SUMPRODUCT((Inputs!$E$5:$E$120=$B9)*ISNUMBER(INDEX(Inputs!$K$5:$AJ$120,0,MATCH(F$2,Inputs!$K$4:$AJ$4,0))))=0,NA(),SUMPRODUCT((Inputs!$A$5:$A$120=$B9)*Inputs!$B$5:$B$120*(((Inputs!$G$5:$G$120="moeda")+(Inputs!$G$5:$G$120="acoes"))*Inputs!$B$1+((Inputs!$G$5:$G$120&lt;&gt;"moeda")*(Inputs!$G$5:$G$120&lt;&gt;"acoes")))*INDEX(Inputs!$K$5:$AJ$120,0,MATCH(F$2,Inputs!$K$4:$AJ$4,0)))+SUMPRODUCT((Inputs!$C$5:$C$120=$B9)*Inputs!$D$5:$D$120*(((Inputs!$G$5:$G$120="moeda")+(Inputs!$G$5:$G$120="acoes"))*Inputs!$B$1+((Inputs!$G$5:$G$120&lt;&gt;"moeda")*(Inputs!$G$5:$G$120&lt;&gt;"acoes")))*INDEX(Inputs!$K$5:$AJ$120,0,MATCH(F$2,Inputs!$K$4:$AJ$4,0)))+SUMPRODUCT((Inputs!$E$5:$E$120=$B9)*Inputs!$F$5:$F$120*(((Inputs!$G$5:$G$120="moeda")+(Inputs!$G$5:$G$120="acoes"))*Inputs!$B$1+((Inputs!$G$5:$G$120&lt;&gt;"moeda")*(Inputs!$G$5:$G$120&lt;&gt;"acoes")))*INDEX(Inputs!$K$5:$AJ$120,0,MATCH(F$2,Inputs!$K$4:$AJ$4,0)))))</f>
        <v>263</v>
      </c>
      <c r="G9" s="267">
        <f>IF(ISNA(MATCH(G$2,Inputs!$K$4:$AJ$4,0)),NA(),IF(SUMPRODUCT((Inputs!$A$5:$A$120=$B9)*ISNUMBER(INDEX(Inputs!$K$5:$AJ$120,0,MATCH(G$2,Inputs!$K$4:$AJ$4,0))))+SUMPRODUCT((Inputs!$C$5:$C$120=$B9)*ISNUMBER(INDEX(Inputs!$K$5:$AJ$120,0,MATCH(G$2,Inputs!$K$4:$AJ$4,0))))+SUMPRODUCT((Inputs!$E$5:$E$120=$B9)*ISNUMBER(INDEX(Inputs!$K$5:$AJ$120,0,MATCH(G$2,Inputs!$K$4:$AJ$4,0))))=0,NA(),SUMPRODUCT((Inputs!$A$5:$A$120=$B9)*Inputs!$B$5:$B$120*(((Inputs!$G$5:$G$120="moeda")+(Inputs!$G$5:$G$120="acoes"))*Inputs!$B$1+((Inputs!$G$5:$G$120&lt;&gt;"moeda")*(Inputs!$G$5:$G$120&lt;&gt;"acoes")))*INDEX(Inputs!$K$5:$AJ$120,0,MATCH(G$2,Inputs!$K$4:$AJ$4,0)))+SUMPRODUCT((Inputs!$C$5:$C$120=$B9)*Inputs!$D$5:$D$120*(((Inputs!$G$5:$G$120="moeda")+(Inputs!$G$5:$G$120="acoes"))*Inputs!$B$1+((Inputs!$G$5:$G$120&lt;&gt;"moeda")*(Inputs!$G$5:$G$120&lt;&gt;"acoes")))*INDEX(Inputs!$K$5:$AJ$120,0,MATCH(G$2,Inputs!$K$4:$AJ$4,0)))+SUMPRODUCT((Inputs!$E$5:$E$120=$B9)*Inputs!$F$5:$F$120*(((Inputs!$G$5:$G$120="moeda")+(Inputs!$G$5:$G$120="acoes"))*Inputs!$B$1+((Inputs!$G$5:$G$120&lt;&gt;"moeda")*(Inputs!$G$5:$G$120&lt;&gt;"acoes")))*INDEX(Inputs!$K$5:$AJ$120,0,MATCH(G$2,Inputs!$K$4:$AJ$4,0)))))</f>
        <v>4</v>
      </c>
      <c r="H9" s="268">
        <f>SUM(D9:G9)</f>
        <v>678</v>
      </c>
      <c r="I9" s="267">
        <f>IF(ISNA(MATCH(I$2,Inputs!$K$4:$AJ$4,0)),NA(),IF(SUMPRODUCT((Inputs!$A$5:$A$120=$B9)*ISNUMBER(INDEX(Inputs!$K$5:$AJ$120,0,MATCH(I$2,Inputs!$K$4:$AJ$4,0))))+SUMPRODUCT((Inputs!$C$5:$C$120=$B9)*ISNUMBER(INDEX(Inputs!$K$5:$AJ$120,0,MATCH(I$2,Inputs!$K$4:$AJ$4,0))))+SUMPRODUCT((Inputs!$E$5:$E$120=$B9)*ISNUMBER(INDEX(Inputs!$K$5:$AJ$120,0,MATCH(I$2,Inputs!$K$4:$AJ$4,0))))=0,NA(),SUMPRODUCT((Inputs!$A$5:$A$120=$B9)*Inputs!$B$5:$B$120*(((Inputs!$G$5:$G$120="moeda")+(Inputs!$G$5:$G$120="acoes"))*Inputs!$B$1+((Inputs!$G$5:$G$120&lt;&gt;"moeda")*(Inputs!$G$5:$G$120&lt;&gt;"acoes")))*INDEX(Inputs!$K$5:$AJ$120,0,MATCH(I$2,Inputs!$K$4:$AJ$4,0)))+SUMPRODUCT((Inputs!$C$5:$C$120=$B9)*Inputs!$D$5:$D$120*(((Inputs!$G$5:$G$120="moeda")+(Inputs!$G$5:$G$120="acoes"))*Inputs!$B$1+((Inputs!$G$5:$G$120&lt;&gt;"moeda")*(Inputs!$G$5:$G$120&lt;&gt;"acoes")))*INDEX(Inputs!$K$5:$AJ$120,0,MATCH(I$2,Inputs!$K$4:$AJ$4,0)))+SUMPRODUCT((Inputs!$E$5:$E$120=$B9)*Inputs!$F$5:$F$120*(((Inputs!$G$5:$G$120="moeda")+(Inputs!$G$5:$G$120="acoes"))*Inputs!$B$1+((Inputs!$G$5:$G$120&lt;&gt;"moeda")*(Inputs!$G$5:$G$120&lt;&gt;"acoes")))*INDEX(Inputs!$K$5:$AJ$120,0,MATCH(I$2,Inputs!$K$4:$AJ$4,0)))))</f>
        <v>19</v>
      </c>
      <c r="J9" s="267">
        <f>IF(ISNA(MATCH(J$2,Inputs!$K$4:$AJ$4,0)),NA(),IF(SUMPRODUCT((Inputs!$A$5:$A$120=$B9)*ISNUMBER(INDEX(Inputs!$K$5:$AJ$120,0,MATCH(J$2,Inputs!$K$4:$AJ$4,0))))+SUMPRODUCT((Inputs!$C$5:$C$120=$B9)*ISNUMBER(INDEX(Inputs!$K$5:$AJ$120,0,MATCH(J$2,Inputs!$K$4:$AJ$4,0))))+SUMPRODUCT((Inputs!$E$5:$E$120=$B9)*ISNUMBER(INDEX(Inputs!$K$5:$AJ$120,0,MATCH(J$2,Inputs!$K$4:$AJ$4,0))))=0,NA(),SUMPRODUCT((Inputs!$A$5:$A$120=$B9)*Inputs!$B$5:$B$120*(((Inputs!$G$5:$G$120="moeda")+(Inputs!$G$5:$G$120="acoes"))*Inputs!$B$1+((Inputs!$G$5:$G$120&lt;&gt;"moeda")*(Inputs!$G$5:$G$120&lt;&gt;"acoes")))*INDEX(Inputs!$K$5:$AJ$120,0,MATCH(J$2,Inputs!$K$4:$AJ$4,0)))+SUMPRODUCT((Inputs!$C$5:$C$120=$B9)*Inputs!$D$5:$D$120*(((Inputs!$G$5:$G$120="moeda")+(Inputs!$G$5:$G$120="acoes"))*Inputs!$B$1+((Inputs!$G$5:$G$120&lt;&gt;"moeda")*(Inputs!$G$5:$G$120&lt;&gt;"acoes")))*INDEX(Inputs!$K$5:$AJ$120,0,MATCH(J$2,Inputs!$K$4:$AJ$4,0)))+SUMPRODUCT((Inputs!$E$5:$E$120=$B9)*Inputs!$F$5:$F$120*(((Inputs!$G$5:$G$120="moeda")+(Inputs!$G$5:$G$120="acoes"))*Inputs!$B$1+((Inputs!$G$5:$G$120&lt;&gt;"moeda")*(Inputs!$G$5:$G$120&lt;&gt;"acoes")))*INDEX(Inputs!$K$5:$AJ$120,0,MATCH(J$2,Inputs!$K$4:$AJ$4,0)))))</f>
        <v>-85</v>
      </c>
      <c r="K9" s="267">
        <f>IF(ISNA(MATCH(K$2,Inputs!$K$4:$AJ$4,0)),NA(),IF(SUMPRODUCT((Inputs!$A$5:$A$120=$B9)*ISNUMBER(INDEX(Inputs!$K$5:$AJ$120,0,MATCH(K$2,Inputs!$K$4:$AJ$4,0))))+SUMPRODUCT((Inputs!$C$5:$C$120=$B9)*ISNUMBER(INDEX(Inputs!$K$5:$AJ$120,0,MATCH(K$2,Inputs!$K$4:$AJ$4,0))))+SUMPRODUCT((Inputs!$E$5:$E$120=$B9)*ISNUMBER(INDEX(Inputs!$K$5:$AJ$120,0,MATCH(K$2,Inputs!$K$4:$AJ$4,0))))=0,NA(),SUMPRODUCT((Inputs!$A$5:$A$120=$B9)*Inputs!$B$5:$B$120*(((Inputs!$G$5:$G$120="moeda")+(Inputs!$G$5:$G$120="acoes"))*Inputs!$B$1+((Inputs!$G$5:$G$120&lt;&gt;"moeda")*(Inputs!$G$5:$G$120&lt;&gt;"acoes")))*INDEX(Inputs!$K$5:$AJ$120,0,MATCH(K$2,Inputs!$K$4:$AJ$4,0)))+SUMPRODUCT((Inputs!$C$5:$C$120=$B9)*Inputs!$D$5:$D$120*(((Inputs!$G$5:$G$120="moeda")+(Inputs!$G$5:$G$120="acoes"))*Inputs!$B$1+((Inputs!$G$5:$G$120&lt;&gt;"moeda")*(Inputs!$G$5:$G$120&lt;&gt;"acoes")))*INDEX(Inputs!$K$5:$AJ$120,0,MATCH(K$2,Inputs!$K$4:$AJ$4,0)))+SUMPRODUCT((Inputs!$E$5:$E$120=$B9)*Inputs!$F$5:$F$120*(((Inputs!$G$5:$G$120="moeda")+(Inputs!$G$5:$G$120="acoes"))*Inputs!$B$1+((Inputs!$G$5:$G$120&lt;&gt;"moeda")*(Inputs!$G$5:$G$120&lt;&gt;"acoes")))*INDEX(Inputs!$K$5:$AJ$120,0,MATCH(K$2,Inputs!$K$4:$AJ$4,0)))))</f>
        <v>48</v>
      </c>
      <c r="L9" s="267">
        <f>IF(ISNA(MATCH(L$2,Inputs!$K$4:$AJ$4,0)),NA(),IF(SUMPRODUCT((Inputs!$A$5:$A$120=$B9)*ISNUMBER(INDEX(Inputs!$K$5:$AJ$120,0,MATCH(L$2,Inputs!$K$4:$AJ$4,0))))+SUMPRODUCT((Inputs!$C$5:$C$120=$B9)*ISNUMBER(INDEX(Inputs!$K$5:$AJ$120,0,MATCH(L$2,Inputs!$K$4:$AJ$4,0))))+SUMPRODUCT((Inputs!$E$5:$E$120=$B9)*ISNUMBER(INDEX(Inputs!$K$5:$AJ$120,0,MATCH(L$2,Inputs!$K$4:$AJ$4,0))))=0,NA(),SUMPRODUCT((Inputs!$A$5:$A$120=$B9)*Inputs!$B$5:$B$120*(((Inputs!$G$5:$G$120="moeda")+(Inputs!$G$5:$G$120="acoes"))*Inputs!$B$1+((Inputs!$G$5:$G$120&lt;&gt;"moeda")*(Inputs!$G$5:$G$120&lt;&gt;"acoes")))*INDEX(Inputs!$K$5:$AJ$120,0,MATCH(L$2,Inputs!$K$4:$AJ$4,0)))+SUMPRODUCT((Inputs!$C$5:$C$120=$B9)*Inputs!$D$5:$D$120*(((Inputs!$G$5:$G$120="moeda")+(Inputs!$G$5:$G$120="acoes"))*Inputs!$B$1+((Inputs!$G$5:$G$120&lt;&gt;"moeda")*(Inputs!$G$5:$G$120&lt;&gt;"acoes")))*INDEX(Inputs!$K$5:$AJ$120,0,MATCH(L$2,Inputs!$K$4:$AJ$4,0)))+SUMPRODUCT((Inputs!$E$5:$E$120=$B9)*Inputs!$F$5:$F$120*(((Inputs!$G$5:$G$120="moeda")+(Inputs!$G$5:$G$120="acoes"))*Inputs!$B$1+((Inputs!$G$5:$G$120&lt;&gt;"moeda")*(Inputs!$G$5:$G$120&lt;&gt;"acoes")))*INDEX(Inputs!$K$5:$AJ$120,0,MATCH(L$2,Inputs!$K$4:$AJ$4,0)))))</f>
        <v>174</v>
      </c>
      <c r="M9" s="268">
        <f>SUM(I9:L9)</f>
        <v>156</v>
      </c>
      <c r="N9" s="267">
        <f>IF(ISNA(MATCH(N$2,Inputs!$K$4:$AJ$4,0)),NA(),IF(SUMPRODUCT((Inputs!$A$5:$A$120=$B9)*ISNUMBER(INDEX(Inputs!$K$5:$AJ$120,0,MATCH(N$2,Inputs!$K$4:$AJ$4,0))))+SUMPRODUCT((Inputs!$C$5:$C$120=$B9)*ISNUMBER(INDEX(Inputs!$K$5:$AJ$120,0,MATCH(N$2,Inputs!$K$4:$AJ$4,0))))+SUMPRODUCT((Inputs!$E$5:$E$120=$B9)*ISNUMBER(INDEX(Inputs!$K$5:$AJ$120,0,MATCH(N$2,Inputs!$K$4:$AJ$4,0))))=0,NA(),SUMPRODUCT((Inputs!$A$5:$A$120=$B9)*Inputs!$B$5:$B$120*(((Inputs!$G$5:$G$120="moeda")+(Inputs!$G$5:$G$120="acoes"))*Inputs!$B$1+((Inputs!$G$5:$G$120&lt;&gt;"moeda")*(Inputs!$G$5:$G$120&lt;&gt;"acoes")))*INDEX(Inputs!$K$5:$AJ$120,0,MATCH(N$2,Inputs!$K$4:$AJ$4,0)))+SUMPRODUCT((Inputs!$C$5:$C$120=$B9)*Inputs!$D$5:$D$120*(((Inputs!$G$5:$G$120="moeda")+(Inputs!$G$5:$G$120="acoes"))*Inputs!$B$1+((Inputs!$G$5:$G$120&lt;&gt;"moeda")*(Inputs!$G$5:$G$120&lt;&gt;"acoes")))*INDEX(Inputs!$K$5:$AJ$120,0,MATCH(N$2,Inputs!$K$4:$AJ$4,0)))+SUMPRODUCT((Inputs!$E$5:$E$120=$B9)*Inputs!$F$5:$F$120*(((Inputs!$G$5:$G$120="moeda")+(Inputs!$G$5:$G$120="acoes"))*Inputs!$B$1+((Inputs!$G$5:$G$120&lt;&gt;"moeda")*(Inputs!$G$5:$G$120&lt;&gt;"acoes")))*INDEX(Inputs!$K$5:$AJ$120,0,MATCH(N$2,Inputs!$K$4:$AJ$4,0)))))</f>
        <v>126</v>
      </c>
      <c r="O9" s="267">
        <f>IF(ISNA(MATCH(O$2,Inputs!$K$4:$AJ$4,0)),NA(),IF(SUMPRODUCT((Inputs!$A$5:$A$120=$B9)*ISNUMBER(INDEX(Inputs!$K$5:$AJ$120,0,MATCH(O$2,Inputs!$K$4:$AJ$4,0))))+SUMPRODUCT((Inputs!$C$5:$C$120=$B9)*ISNUMBER(INDEX(Inputs!$K$5:$AJ$120,0,MATCH(O$2,Inputs!$K$4:$AJ$4,0))))+SUMPRODUCT((Inputs!$E$5:$E$120=$B9)*ISNUMBER(INDEX(Inputs!$K$5:$AJ$120,0,MATCH(O$2,Inputs!$K$4:$AJ$4,0))))=0,NA(),SUMPRODUCT((Inputs!$A$5:$A$120=$B9)*Inputs!$B$5:$B$120*(((Inputs!$G$5:$G$120="moeda")+(Inputs!$G$5:$G$120="acoes"))*Inputs!$B$1+((Inputs!$G$5:$G$120&lt;&gt;"moeda")*(Inputs!$G$5:$G$120&lt;&gt;"acoes")))*INDEX(Inputs!$K$5:$AJ$120,0,MATCH(O$2,Inputs!$K$4:$AJ$4,0)))+SUMPRODUCT((Inputs!$C$5:$C$120=$B9)*Inputs!$D$5:$D$120*(((Inputs!$G$5:$G$120="moeda")+(Inputs!$G$5:$G$120="acoes"))*Inputs!$B$1+((Inputs!$G$5:$G$120&lt;&gt;"moeda")*(Inputs!$G$5:$G$120&lt;&gt;"acoes")))*INDEX(Inputs!$K$5:$AJ$120,0,MATCH(O$2,Inputs!$K$4:$AJ$4,0)))+SUMPRODUCT((Inputs!$E$5:$E$120=$B9)*Inputs!$F$5:$F$120*(((Inputs!$G$5:$G$120="moeda")+(Inputs!$G$5:$G$120="acoes"))*Inputs!$B$1+((Inputs!$G$5:$G$120&lt;&gt;"moeda")*(Inputs!$G$5:$G$120&lt;&gt;"acoes")))*INDEX(Inputs!$K$5:$AJ$120,0,MATCH(O$2,Inputs!$K$4:$AJ$4,0)))))</f>
        <v>11</v>
      </c>
      <c r="P9" s="267">
        <f>IF(ISNA(MATCH(P$2,Inputs!$K$4:$AJ$4,0)),NA(),IF(SUMPRODUCT((Inputs!$A$5:$A$120=$B9)*ISNUMBER(INDEX(Inputs!$K$5:$AJ$120,0,MATCH(P$2,Inputs!$K$4:$AJ$4,0))))+SUMPRODUCT((Inputs!$C$5:$C$120=$B9)*ISNUMBER(INDEX(Inputs!$K$5:$AJ$120,0,MATCH(P$2,Inputs!$K$4:$AJ$4,0))))+SUMPRODUCT((Inputs!$E$5:$E$120=$B9)*ISNUMBER(INDEX(Inputs!$K$5:$AJ$120,0,MATCH(P$2,Inputs!$K$4:$AJ$4,0))))=0,NA(),SUMPRODUCT((Inputs!$A$5:$A$120=$B9)*Inputs!$B$5:$B$120*(((Inputs!$G$5:$G$120="moeda")+(Inputs!$G$5:$G$120="acoes"))*Inputs!$B$1+((Inputs!$G$5:$G$120&lt;&gt;"moeda")*(Inputs!$G$5:$G$120&lt;&gt;"acoes")))*INDEX(Inputs!$K$5:$AJ$120,0,MATCH(P$2,Inputs!$K$4:$AJ$4,0)))+SUMPRODUCT((Inputs!$C$5:$C$120=$B9)*Inputs!$D$5:$D$120*(((Inputs!$G$5:$G$120="moeda")+(Inputs!$G$5:$G$120="acoes"))*Inputs!$B$1+((Inputs!$G$5:$G$120&lt;&gt;"moeda")*(Inputs!$G$5:$G$120&lt;&gt;"acoes")))*INDEX(Inputs!$K$5:$AJ$120,0,MATCH(P$2,Inputs!$K$4:$AJ$4,0)))+SUMPRODUCT((Inputs!$E$5:$E$120=$B9)*Inputs!$F$5:$F$120*(((Inputs!$G$5:$G$120="moeda")+(Inputs!$G$5:$G$120="acoes"))*Inputs!$B$1+((Inputs!$G$5:$G$120&lt;&gt;"moeda")*(Inputs!$G$5:$G$120&lt;&gt;"acoes")))*INDEX(Inputs!$K$5:$AJ$120,0,MATCH(P$2,Inputs!$K$4:$AJ$4,0)))))</f>
        <v>38</v>
      </c>
      <c r="Q9" s="267">
        <f>IF(ISNA(MATCH(Q$2,Inputs!$K$4:$AJ$4,0)),NA(),IF(SUMPRODUCT((Inputs!$A$5:$A$120=$B9)*ISNUMBER(INDEX(Inputs!$K$5:$AJ$120,0,MATCH(Q$2,Inputs!$K$4:$AJ$4,0))))+SUMPRODUCT((Inputs!$C$5:$C$120=$B9)*ISNUMBER(INDEX(Inputs!$K$5:$AJ$120,0,MATCH(Q$2,Inputs!$K$4:$AJ$4,0))))+SUMPRODUCT((Inputs!$E$5:$E$120=$B9)*ISNUMBER(INDEX(Inputs!$K$5:$AJ$120,0,MATCH(Q$2,Inputs!$K$4:$AJ$4,0))))=0,NA(),SUMPRODUCT((Inputs!$A$5:$A$120=$B9)*Inputs!$B$5:$B$120*(((Inputs!$G$5:$G$120="moeda")+(Inputs!$G$5:$G$120="acoes"))*Inputs!$B$1+((Inputs!$G$5:$G$120&lt;&gt;"moeda")*(Inputs!$G$5:$G$120&lt;&gt;"acoes")))*INDEX(Inputs!$K$5:$AJ$120,0,MATCH(Q$2,Inputs!$K$4:$AJ$4,0)))+SUMPRODUCT((Inputs!$C$5:$C$120=$B9)*Inputs!$D$5:$D$120*(((Inputs!$G$5:$G$120="moeda")+(Inputs!$G$5:$G$120="acoes"))*Inputs!$B$1+((Inputs!$G$5:$G$120&lt;&gt;"moeda")*(Inputs!$G$5:$G$120&lt;&gt;"acoes")))*INDEX(Inputs!$K$5:$AJ$120,0,MATCH(Q$2,Inputs!$K$4:$AJ$4,0)))+SUMPRODUCT((Inputs!$E$5:$E$120=$B9)*Inputs!$F$5:$F$120*(((Inputs!$G$5:$G$120="moeda")+(Inputs!$G$5:$G$120="acoes"))*Inputs!$B$1+((Inputs!$G$5:$G$120&lt;&gt;"moeda")*(Inputs!$G$5:$G$120&lt;&gt;"acoes")))*INDEX(Inputs!$K$5:$AJ$120,0,MATCH(Q$2,Inputs!$K$4:$AJ$4,0)))))</f>
        <v>262</v>
      </c>
      <c r="R9" s="268">
        <f>SUM(N9:Q9)</f>
        <v>437</v>
      </c>
      <c r="S9" s="267">
        <f>IF(ISNA(MATCH(S$2,Inputs!$K$4:$AJ$4,0)),NA(),IF(SUMPRODUCT((Inputs!$A$5:$A$120=$B9)*ISNUMBER(INDEX(Inputs!$K$5:$AJ$120,0,MATCH(S$2,Inputs!$K$4:$AJ$4,0))))+SUMPRODUCT((Inputs!$C$5:$C$120=$B9)*ISNUMBER(INDEX(Inputs!$K$5:$AJ$120,0,MATCH(S$2,Inputs!$K$4:$AJ$4,0))))+SUMPRODUCT((Inputs!$E$5:$E$120=$B9)*ISNUMBER(INDEX(Inputs!$K$5:$AJ$120,0,MATCH(S$2,Inputs!$K$4:$AJ$4,0))))=0,NA(),SUMPRODUCT((Inputs!$A$5:$A$120=$B9)*Inputs!$B$5:$B$120*(((Inputs!$G$5:$G$120="moeda")+(Inputs!$G$5:$G$120="acoes"))*Inputs!$B$1+((Inputs!$G$5:$G$120&lt;&gt;"moeda")*(Inputs!$G$5:$G$120&lt;&gt;"acoes")))*INDEX(Inputs!$K$5:$AJ$120,0,MATCH(S$2,Inputs!$K$4:$AJ$4,0)))+SUMPRODUCT((Inputs!$C$5:$C$120=$B9)*Inputs!$D$5:$D$120*(((Inputs!$G$5:$G$120="moeda")+(Inputs!$G$5:$G$120="acoes"))*Inputs!$B$1+((Inputs!$G$5:$G$120&lt;&gt;"moeda")*(Inputs!$G$5:$G$120&lt;&gt;"acoes")))*INDEX(Inputs!$K$5:$AJ$120,0,MATCH(S$2,Inputs!$K$4:$AJ$4,0)))+SUMPRODUCT((Inputs!$E$5:$E$120=$B9)*Inputs!$F$5:$F$120*(((Inputs!$G$5:$G$120="moeda")+(Inputs!$G$5:$G$120="acoes"))*Inputs!$B$1+((Inputs!$G$5:$G$120&lt;&gt;"moeda")*(Inputs!$G$5:$G$120&lt;&gt;"acoes")))*INDEX(Inputs!$K$5:$AJ$120,0,MATCH(S$2,Inputs!$K$4:$AJ$4,0)))))</f>
        <v>40</v>
      </c>
      <c r="T9" s="267">
        <f>IF(ISNA(MATCH(T$2,Inputs!$K$4:$AJ$4,0)),NA(),IF(SUMPRODUCT((Inputs!$A$5:$A$120=$B9)*ISNUMBER(INDEX(Inputs!$K$5:$AJ$120,0,MATCH(T$2,Inputs!$K$4:$AJ$4,0))))+SUMPRODUCT((Inputs!$C$5:$C$120=$B9)*ISNUMBER(INDEX(Inputs!$K$5:$AJ$120,0,MATCH(T$2,Inputs!$K$4:$AJ$4,0))))+SUMPRODUCT((Inputs!$E$5:$E$120=$B9)*ISNUMBER(INDEX(Inputs!$K$5:$AJ$120,0,MATCH(T$2,Inputs!$K$4:$AJ$4,0))))=0,NA(),SUMPRODUCT((Inputs!$A$5:$A$120=$B9)*Inputs!$B$5:$B$120*(((Inputs!$G$5:$G$120="moeda")+(Inputs!$G$5:$G$120="acoes"))*Inputs!$B$1+((Inputs!$G$5:$G$120&lt;&gt;"moeda")*(Inputs!$G$5:$G$120&lt;&gt;"acoes")))*INDEX(Inputs!$K$5:$AJ$120,0,MATCH(T$2,Inputs!$K$4:$AJ$4,0)))+SUMPRODUCT((Inputs!$C$5:$C$120=$B9)*Inputs!$D$5:$D$120*(((Inputs!$G$5:$G$120="moeda")+(Inputs!$G$5:$G$120="acoes"))*Inputs!$B$1+((Inputs!$G$5:$G$120&lt;&gt;"moeda")*(Inputs!$G$5:$G$120&lt;&gt;"acoes")))*INDEX(Inputs!$K$5:$AJ$120,0,MATCH(T$2,Inputs!$K$4:$AJ$4,0)))+SUMPRODUCT((Inputs!$E$5:$E$120=$B9)*Inputs!$F$5:$F$120*(((Inputs!$G$5:$G$120="moeda")+(Inputs!$G$5:$G$120="acoes"))*Inputs!$B$1+((Inputs!$G$5:$G$120&lt;&gt;"moeda")*(Inputs!$G$5:$G$120&lt;&gt;"acoes")))*INDEX(Inputs!$K$5:$AJ$120,0,MATCH(T$2,Inputs!$K$4:$AJ$4,0)))))</f>
        <v>11</v>
      </c>
      <c r="U9" s="267">
        <f>IF(ISNA(MATCH(U$2,Inputs!$K$4:$AJ$4,0)),NA(),IF(SUMPRODUCT((Inputs!$A$5:$A$120=$B9)*ISNUMBER(INDEX(Inputs!$K$5:$AJ$120,0,MATCH(U$2,Inputs!$K$4:$AJ$4,0))))+SUMPRODUCT((Inputs!$C$5:$C$120=$B9)*ISNUMBER(INDEX(Inputs!$K$5:$AJ$120,0,MATCH(U$2,Inputs!$K$4:$AJ$4,0))))+SUMPRODUCT((Inputs!$E$5:$E$120=$B9)*ISNUMBER(INDEX(Inputs!$K$5:$AJ$120,0,MATCH(U$2,Inputs!$K$4:$AJ$4,0))))=0,NA(),SUMPRODUCT((Inputs!$A$5:$A$120=$B9)*Inputs!$B$5:$B$120*(((Inputs!$G$5:$G$120="moeda")+(Inputs!$G$5:$G$120="acoes"))*Inputs!$B$1+((Inputs!$G$5:$G$120&lt;&gt;"moeda")*(Inputs!$G$5:$G$120&lt;&gt;"acoes")))*INDEX(Inputs!$K$5:$AJ$120,0,MATCH(U$2,Inputs!$K$4:$AJ$4,0)))+SUMPRODUCT((Inputs!$C$5:$C$120=$B9)*Inputs!$D$5:$D$120*(((Inputs!$G$5:$G$120="moeda")+(Inputs!$G$5:$G$120="acoes"))*Inputs!$B$1+((Inputs!$G$5:$G$120&lt;&gt;"moeda")*(Inputs!$G$5:$G$120&lt;&gt;"acoes")))*INDEX(Inputs!$K$5:$AJ$120,0,MATCH(U$2,Inputs!$K$4:$AJ$4,0)))+SUMPRODUCT((Inputs!$E$5:$E$120=$B9)*Inputs!$F$5:$F$120*(((Inputs!$G$5:$G$120="moeda")+(Inputs!$G$5:$G$120="acoes"))*Inputs!$B$1+((Inputs!$G$5:$G$120&lt;&gt;"moeda")*(Inputs!$G$5:$G$120&lt;&gt;"acoes")))*INDEX(Inputs!$K$5:$AJ$120,0,MATCH(U$2,Inputs!$K$4:$AJ$4,0)))))</f>
        <v>114</v>
      </c>
      <c r="V9" s="267">
        <f>IF(ISNA(MATCH(V$2,Inputs!$K$4:$AJ$4,0)),NA(),IF(SUMPRODUCT((Inputs!$A$5:$A$120=$B9)*ISNUMBER(INDEX(Inputs!$K$5:$AJ$120,0,MATCH(V$2,Inputs!$K$4:$AJ$4,0))))+SUMPRODUCT((Inputs!$C$5:$C$120=$B9)*ISNUMBER(INDEX(Inputs!$K$5:$AJ$120,0,MATCH(V$2,Inputs!$K$4:$AJ$4,0))))+SUMPRODUCT((Inputs!$E$5:$E$120=$B9)*ISNUMBER(INDEX(Inputs!$K$5:$AJ$120,0,MATCH(V$2,Inputs!$K$4:$AJ$4,0))))=0,NA(),SUMPRODUCT((Inputs!$A$5:$A$120=$B9)*Inputs!$B$5:$B$120*(((Inputs!$G$5:$G$120="moeda")+(Inputs!$G$5:$G$120="acoes"))*Inputs!$B$1+((Inputs!$G$5:$G$120&lt;&gt;"moeda")*(Inputs!$G$5:$G$120&lt;&gt;"acoes")))*INDEX(Inputs!$K$5:$AJ$120,0,MATCH(V$2,Inputs!$K$4:$AJ$4,0)))+SUMPRODUCT((Inputs!$C$5:$C$120=$B9)*Inputs!$D$5:$D$120*(((Inputs!$G$5:$G$120="moeda")+(Inputs!$G$5:$G$120="acoes"))*Inputs!$B$1+((Inputs!$G$5:$G$120&lt;&gt;"moeda")*(Inputs!$G$5:$G$120&lt;&gt;"acoes")))*INDEX(Inputs!$K$5:$AJ$120,0,MATCH(V$2,Inputs!$K$4:$AJ$4,0)))+SUMPRODUCT((Inputs!$E$5:$E$120=$B9)*Inputs!$F$5:$F$120*(((Inputs!$G$5:$G$120="moeda")+(Inputs!$G$5:$G$120="acoes"))*Inputs!$B$1+((Inputs!$G$5:$G$120&lt;&gt;"moeda")*(Inputs!$G$5:$G$120&lt;&gt;"acoes")))*INDEX(Inputs!$K$5:$AJ$120,0,MATCH(V$2,Inputs!$K$4:$AJ$4,0)))))</f>
        <v>213</v>
      </c>
      <c r="W9" s="268">
        <f>SUM(S9:V9)</f>
        <v>378</v>
      </c>
      <c r="X9" s="267">
        <f>IF(ISNA(MATCH(X$2,Inputs!$K$4:$AJ$4,0)),NA(),IF(SUMPRODUCT((Inputs!$A$5:$A$120=$B9)*ISNUMBER(INDEX(Inputs!$K$5:$AJ$120,0,MATCH(X$2,Inputs!$K$4:$AJ$4,0))))+SUMPRODUCT((Inputs!$C$5:$C$120=$B9)*ISNUMBER(INDEX(Inputs!$K$5:$AJ$120,0,MATCH(X$2,Inputs!$K$4:$AJ$4,0))))+SUMPRODUCT((Inputs!$E$5:$E$120=$B9)*ISNUMBER(INDEX(Inputs!$K$5:$AJ$120,0,MATCH(X$2,Inputs!$K$4:$AJ$4,0))))=0,NA(),SUMPRODUCT((Inputs!$A$5:$A$120=$B9)*Inputs!$B$5:$B$120*(((Inputs!$G$5:$G$120="moeda")+(Inputs!$G$5:$G$120="acoes"))*Inputs!$B$1+((Inputs!$G$5:$G$120&lt;&gt;"moeda")*(Inputs!$G$5:$G$120&lt;&gt;"acoes")))*INDEX(Inputs!$K$5:$AJ$120,0,MATCH(X$2,Inputs!$K$4:$AJ$4,0)))+SUMPRODUCT((Inputs!$C$5:$C$120=$B9)*Inputs!$D$5:$D$120*(((Inputs!$G$5:$G$120="moeda")+(Inputs!$G$5:$G$120="acoes"))*Inputs!$B$1+((Inputs!$G$5:$G$120&lt;&gt;"moeda")*(Inputs!$G$5:$G$120&lt;&gt;"acoes")))*INDEX(Inputs!$K$5:$AJ$120,0,MATCH(X$2,Inputs!$K$4:$AJ$4,0)))+SUMPRODUCT((Inputs!$E$5:$E$120=$B9)*Inputs!$F$5:$F$120*(((Inputs!$G$5:$G$120="moeda")+(Inputs!$G$5:$G$120="acoes"))*Inputs!$B$1+((Inputs!$G$5:$G$120&lt;&gt;"moeda")*(Inputs!$G$5:$G$120&lt;&gt;"acoes")))*INDEX(Inputs!$K$5:$AJ$120,0,MATCH(X$2,Inputs!$K$4:$AJ$4,0)))))</f>
        <v>171</v>
      </c>
      <c r="Y9" s="267">
        <f>IF(ISNA(MATCH(Y$2,Inputs!$K$4:$AJ$4,0)),NA(),IF(SUMPRODUCT((Inputs!$A$5:$A$120=$B9)*ISNUMBER(INDEX(Inputs!$K$5:$AJ$120,0,MATCH(Y$2,Inputs!$K$4:$AJ$4,0))))+SUMPRODUCT((Inputs!$C$5:$C$120=$B9)*ISNUMBER(INDEX(Inputs!$K$5:$AJ$120,0,MATCH(Y$2,Inputs!$K$4:$AJ$4,0))))+SUMPRODUCT((Inputs!$E$5:$E$120=$B9)*ISNUMBER(INDEX(Inputs!$K$5:$AJ$120,0,MATCH(Y$2,Inputs!$K$4:$AJ$4,0))))=0,NA(),SUMPRODUCT((Inputs!$A$5:$A$120=$B9)*Inputs!$B$5:$B$120*(((Inputs!$G$5:$G$120="moeda")+(Inputs!$G$5:$G$120="acoes"))*Inputs!$B$1+((Inputs!$G$5:$G$120&lt;&gt;"moeda")*(Inputs!$G$5:$G$120&lt;&gt;"acoes")))*INDEX(Inputs!$K$5:$AJ$120,0,MATCH(Y$2,Inputs!$K$4:$AJ$4,0)))+SUMPRODUCT((Inputs!$C$5:$C$120=$B9)*Inputs!$D$5:$D$120*(((Inputs!$G$5:$G$120="moeda")+(Inputs!$G$5:$G$120="acoes"))*Inputs!$B$1+((Inputs!$G$5:$G$120&lt;&gt;"moeda")*(Inputs!$G$5:$G$120&lt;&gt;"acoes")))*INDEX(Inputs!$K$5:$AJ$120,0,MATCH(Y$2,Inputs!$K$4:$AJ$4,0)))+SUMPRODUCT((Inputs!$E$5:$E$120=$B9)*Inputs!$F$5:$F$120*(((Inputs!$G$5:$G$120="moeda")+(Inputs!$G$5:$G$120="acoes"))*Inputs!$B$1+((Inputs!$G$5:$G$120&lt;&gt;"moeda")*(Inputs!$G$5:$G$120&lt;&gt;"acoes")))*INDEX(Inputs!$K$5:$AJ$120,0,MATCH(Y$2,Inputs!$K$4:$AJ$4,0)))))</f>
        <v>280</v>
      </c>
      <c r="Z9" s="267">
        <f>IF(ISNA(MATCH(Z$2,Inputs!$K$4:$AJ$4,0)),NA(),IF(SUMPRODUCT((Inputs!$A$5:$A$120=$B9)*ISNUMBER(INDEX(Inputs!$K$5:$AJ$120,0,MATCH(Z$2,Inputs!$K$4:$AJ$4,0))))+SUMPRODUCT((Inputs!$C$5:$C$120=$B9)*ISNUMBER(INDEX(Inputs!$K$5:$AJ$120,0,MATCH(Z$2,Inputs!$K$4:$AJ$4,0))))+SUMPRODUCT((Inputs!$E$5:$E$120=$B9)*ISNUMBER(INDEX(Inputs!$K$5:$AJ$120,0,MATCH(Z$2,Inputs!$K$4:$AJ$4,0))))=0,NA(),SUMPRODUCT((Inputs!$A$5:$A$120=$B9)*Inputs!$B$5:$B$120*(((Inputs!$G$5:$G$120="moeda")+(Inputs!$G$5:$G$120="acoes"))*Inputs!$B$1+((Inputs!$G$5:$G$120&lt;&gt;"moeda")*(Inputs!$G$5:$G$120&lt;&gt;"acoes")))*INDEX(Inputs!$K$5:$AJ$120,0,MATCH(Z$2,Inputs!$K$4:$AJ$4,0)))+SUMPRODUCT((Inputs!$C$5:$C$120=$B9)*Inputs!$D$5:$D$120*(((Inputs!$G$5:$G$120="moeda")+(Inputs!$G$5:$G$120="acoes"))*Inputs!$B$1+((Inputs!$G$5:$G$120&lt;&gt;"moeda")*(Inputs!$G$5:$G$120&lt;&gt;"acoes")))*INDEX(Inputs!$K$5:$AJ$120,0,MATCH(Z$2,Inputs!$K$4:$AJ$4,0)))+SUMPRODUCT((Inputs!$E$5:$E$120=$B9)*Inputs!$F$5:$F$120*(((Inputs!$G$5:$G$120="moeda")+(Inputs!$G$5:$G$120="acoes"))*Inputs!$B$1+((Inputs!$G$5:$G$120&lt;&gt;"moeda")*(Inputs!$G$5:$G$120&lt;&gt;"acoes")))*INDEX(Inputs!$K$5:$AJ$120,0,MATCH(Z$2,Inputs!$K$4:$AJ$4,0)))))</f>
        <v>87</v>
      </c>
      <c r="AA9" s="267">
        <f>IF(ISNA(MATCH(AA$2,Inputs!$K$4:$AJ$4,0)),NA(),IF(SUMPRODUCT((Inputs!$A$5:$A$120=$B9)*ISNUMBER(INDEX(Inputs!$K$5:$AJ$120,0,MATCH(AA$2,Inputs!$K$4:$AJ$4,0))))+SUMPRODUCT((Inputs!$C$5:$C$120=$B9)*ISNUMBER(INDEX(Inputs!$K$5:$AJ$120,0,MATCH(AA$2,Inputs!$K$4:$AJ$4,0))))+SUMPRODUCT((Inputs!$E$5:$E$120=$B9)*ISNUMBER(INDEX(Inputs!$K$5:$AJ$120,0,MATCH(AA$2,Inputs!$K$4:$AJ$4,0))))=0,NA(),SUMPRODUCT((Inputs!$A$5:$A$120=$B9)*Inputs!$B$5:$B$120*(((Inputs!$G$5:$G$120="moeda")+(Inputs!$G$5:$G$120="acoes"))*Inputs!$B$1+((Inputs!$G$5:$G$120&lt;&gt;"moeda")*(Inputs!$G$5:$G$120&lt;&gt;"acoes")))*INDEX(Inputs!$K$5:$AJ$120,0,MATCH(AA$2,Inputs!$K$4:$AJ$4,0)))+SUMPRODUCT((Inputs!$C$5:$C$120=$B9)*Inputs!$D$5:$D$120*(((Inputs!$G$5:$G$120="moeda")+(Inputs!$G$5:$G$120="acoes"))*Inputs!$B$1+((Inputs!$G$5:$G$120&lt;&gt;"moeda")*(Inputs!$G$5:$G$120&lt;&gt;"acoes")))*INDEX(Inputs!$K$5:$AJ$120,0,MATCH(AA$2,Inputs!$K$4:$AJ$4,0)))+SUMPRODUCT((Inputs!$E$5:$E$120=$B9)*Inputs!$F$5:$F$120*(((Inputs!$G$5:$G$120="moeda")+(Inputs!$G$5:$G$120="acoes"))*Inputs!$B$1+((Inputs!$G$5:$G$120&lt;&gt;"moeda")*(Inputs!$G$5:$G$120&lt;&gt;"acoes")))*INDEX(Inputs!$K$5:$AJ$120,0,MATCH(AA$2,Inputs!$K$4:$AJ$4,0)))))</f>
        <v>-72</v>
      </c>
      <c r="AB9" s="268">
        <f>SUM(X9:AA9)</f>
        <v>466</v>
      </c>
      <c r="AC9" s="267">
        <f>IF(ISNA(MATCH(AC$2,Inputs!$K$4:$AJ$4,0)),NA(),IF(SUMPRODUCT((Inputs!$A$5:$A$120=$B9)*ISNUMBER(INDEX(Inputs!$K$5:$AJ$120,0,MATCH(AC$2,Inputs!$K$4:$AJ$4,0))))+SUMPRODUCT((Inputs!$C$5:$C$120=$B9)*ISNUMBER(INDEX(Inputs!$K$5:$AJ$120,0,MATCH(AC$2,Inputs!$K$4:$AJ$4,0))))+SUMPRODUCT((Inputs!$E$5:$E$120=$B9)*ISNUMBER(INDEX(Inputs!$K$5:$AJ$120,0,MATCH(AC$2,Inputs!$K$4:$AJ$4,0))))=0,NA(),SUMPRODUCT((Inputs!$A$5:$A$120=$B9)*Inputs!$B$5:$B$120*(((Inputs!$G$5:$G$120="moeda")+(Inputs!$G$5:$G$120="acoes"))*Inputs!$B$1+((Inputs!$G$5:$G$120&lt;&gt;"moeda")*(Inputs!$G$5:$G$120&lt;&gt;"acoes")))*INDEX(Inputs!$K$5:$AJ$120,0,MATCH(AC$2,Inputs!$K$4:$AJ$4,0)))+SUMPRODUCT((Inputs!$C$5:$C$120=$B9)*Inputs!$D$5:$D$120*(((Inputs!$G$5:$G$120="moeda")+(Inputs!$G$5:$G$120="acoes"))*Inputs!$B$1+((Inputs!$G$5:$G$120&lt;&gt;"moeda")*(Inputs!$G$5:$G$120&lt;&gt;"acoes")))*INDEX(Inputs!$K$5:$AJ$120,0,MATCH(AC$2,Inputs!$K$4:$AJ$4,0)))+SUMPRODUCT((Inputs!$E$5:$E$120=$B9)*Inputs!$F$5:$F$120*(((Inputs!$G$5:$G$120="moeda")+(Inputs!$G$5:$G$120="acoes"))*Inputs!$B$1+((Inputs!$G$5:$G$120&lt;&gt;"moeda")*(Inputs!$G$5:$G$120&lt;&gt;"acoes")))*INDEX(Inputs!$K$5:$AJ$120,0,MATCH(AC$2,Inputs!$K$4:$AJ$4,0)))))</f>
        <v>7</v>
      </c>
      <c r="AD9" s="267">
        <f>IF(ISNA(MATCH(AD$2,Inputs!$K$4:$AJ$4,0)),NA(),IF(SUMPRODUCT((Inputs!$A$5:$A$120=$B9)*ISNUMBER(INDEX(Inputs!$K$5:$AJ$120,0,MATCH(AD$2,Inputs!$K$4:$AJ$4,0))))+SUMPRODUCT((Inputs!$C$5:$C$120=$B9)*ISNUMBER(INDEX(Inputs!$K$5:$AJ$120,0,MATCH(AD$2,Inputs!$K$4:$AJ$4,0))))+SUMPRODUCT((Inputs!$E$5:$E$120=$B9)*ISNUMBER(INDEX(Inputs!$K$5:$AJ$120,0,MATCH(AD$2,Inputs!$K$4:$AJ$4,0))))=0,NA(),SUMPRODUCT((Inputs!$A$5:$A$120=$B9)*Inputs!$B$5:$B$120*(((Inputs!$G$5:$G$120="moeda")+(Inputs!$G$5:$G$120="acoes"))*Inputs!$B$1+((Inputs!$G$5:$G$120&lt;&gt;"moeda")*(Inputs!$G$5:$G$120&lt;&gt;"acoes")))*INDEX(Inputs!$K$5:$AJ$120,0,MATCH(AD$2,Inputs!$K$4:$AJ$4,0)))+SUMPRODUCT((Inputs!$C$5:$C$120=$B9)*Inputs!$D$5:$D$120*(((Inputs!$G$5:$G$120="moeda")+(Inputs!$G$5:$G$120="acoes"))*Inputs!$B$1+((Inputs!$G$5:$G$120&lt;&gt;"moeda")*(Inputs!$G$5:$G$120&lt;&gt;"acoes")))*INDEX(Inputs!$K$5:$AJ$120,0,MATCH(AD$2,Inputs!$K$4:$AJ$4,0)))+SUMPRODUCT((Inputs!$E$5:$E$120=$B9)*Inputs!$F$5:$F$120*(((Inputs!$G$5:$G$120="moeda")+(Inputs!$G$5:$G$120="acoes"))*Inputs!$B$1+((Inputs!$G$5:$G$120&lt;&gt;"moeda")*(Inputs!$G$5:$G$120&lt;&gt;"acoes")))*INDEX(Inputs!$K$5:$AJ$120,0,MATCH(AD$2,Inputs!$K$4:$AJ$4,0)))))</f>
        <v>65</v>
      </c>
      <c r="AE9" s="267" t="e">
        <f>IF(ISNA(MATCH(AE$2,Inputs!$K$4:$AJ$4,0)),NA(),IF(SUMPRODUCT((Inputs!$A$5:$A$120=$B9)*ISNUMBER(INDEX(Inputs!$K$5:$AJ$120,0,MATCH(AE$2,Inputs!$K$4:$AJ$4,0))))+SUMPRODUCT((Inputs!$C$5:$C$120=$B9)*ISNUMBER(INDEX(Inputs!$K$5:$AJ$120,0,MATCH(AE$2,Inputs!$K$4:$AJ$4,0))))+SUMPRODUCT((Inputs!$E$5:$E$120=$B9)*ISNUMBER(INDEX(Inputs!$K$5:$AJ$120,0,MATCH(AE$2,Inputs!$K$4:$AJ$4,0))))=0,NA(),SUMPRODUCT((Inputs!$A$5:$A$120=$B9)*Inputs!$B$5:$B$120*(((Inputs!$G$5:$G$120="moeda")+(Inputs!$G$5:$G$120="acoes"))*Inputs!$B$1+((Inputs!$G$5:$G$120&lt;&gt;"moeda")*(Inputs!$G$5:$G$120&lt;&gt;"acoes")))*INDEX(Inputs!$K$5:$AJ$120,0,MATCH(AE$2,Inputs!$K$4:$AJ$4,0)))+SUMPRODUCT((Inputs!$C$5:$C$120=$B9)*Inputs!$D$5:$D$120*(((Inputs!$G$5:$G$120="moeda")+(Inputs!$G$5:$G$120="acoes"))*Inputs!$B$1+((Inputs!$G$5:$G$120&lt;&gt;"moeda")*(Inputs!$G$5:$G$120&lt;&gt;"acoes")))*INDEX(Inputs!$K$5:$AJ$120,0,MATCH(AE$2,Inputs!$K$4:$AJ$4,0)))+SUMPRODUCT((Inputs!$E$5:$E$120=$B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9" s="267" t="e">
        <f>IF(ISNA(MATCH(AF$2,Inputs!$K$4:$AJ$4,0)),NA(),IF(SUMPRODUCT((Inputs!$A$5:$A$120=$B9)*ISNUMBER(INDEX(Inputs!$K$5:$AJ$120,0,MATCH(AF$2,Inputs!$K$4:$AJ$4,0))))+SUMPRODUCT((Inputs!$C$5:$C$120=$B9)*ISNUMBER(INDEX(Inputs!$K$5:$AJ$120,0,MATCH(AF$2,Inputs!$K$4:$AJ$4,0))))+SUMPRODUCT((Inputs!$E$5:$E$120=$B9)*ISNUMBER(INDEX(Inputs!$K$5:$AJ$120,0,MATCH(AF$2,Inputs!$K$4:$AJ$4,0))))=0,NA(),SUMPRODUCT((Inputs!$A$5:$A$120=$B9)*Inputs!$B$5:$B$120*(((Inputs!$G$5:$G$120="moeda")+(Inputs!$G$5:$G$120="acoes"))*Inputs!$B$1+((Inputs!$G$5:$G$120&lt;&gt;"moeda")*(Inputs!$G$5:$G$120&lt;&gt;"acoes")))*INDEX(Inputs!$K$5:$AJ$120,0,MATCH(AF$2,Inputs!$K$4:$AJ$4,0)))+SUMPRODUCT((Inputs!$C$5:$C$120=$B9)*Inputs!$D$5:$D$120*(((Inputs!$G$5:$G$120="moeda")+(Inputs!$G$5:$G$120="acoes"))*Inputs!$B$1+((Inputs!$G$5:$G$120&lt;&gt;"moeda")*(Inputs!$G$5:$G$120&lt;&gt;"acoes")))*INDEX(Inputs!$K$5:$AJ$120,0,MATCH(AF$2,Inputs!$K$4:$AJ$4,0)))+SUMPRODUCT((Inputs!$E$5:$E$120=$B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9" s="268" t="e">
        <f>SUM(AC9:AF9)</f>
        <v>#N/A</v>
      </c>
      <c r="AH9" s="267">
        <f>IF(ISNA(MATCH(AH$2,Inputs!$K$4:$AJ$4,0)),NA(),IF(SUMPRODUCT((Inputs!$A$5:$A$120=$B9)*ISNUMBER(INDEX(Inputs!$K$5:$AJ$120,0,MATCH(AH$2,Inputs!$K$4:$AJ$4,0))))+SUMPRODUCT((Inputs!$C$5:$C$120=$B9)*ISNUMBER(INDEX(Inputs!$K$5:$AJ$120,0,MATCH(AH$2,Inputs!$K$4:$AJ$4,0))))+SUMPRODUCT((Inputs!$E$5:$E$120=$B9)*ISNUMBER(INDEX(Inputs!$K$5:$AJ$120,0,MATCH(AH$2,Inputs!$K$4:$AJ$4,0))))=0,NA(),SUMPRODUCT((Inputs!$A$5:$A$120=$B9)*Inputs!$B$5:$B$120*(((Inputs!$G$5:$G$120="moeda")+(Inputs!$G$5:$G$120="acoes"))*Inputs!$B$1+((Inputs!$G$5:$G$120&lt;&gt;"moeda")*(Inputs!$G$5:$G$120&lt;&gt;"acoes")))*INDEX(Inputs!$K$5:$AJ$120,0,MATCH(AH$2,Inputs!$K$4:$AJ$4,0)))+SUMPRODUCT((Inputs!$C$5:$C$120=$B9)*Inputs!$D$5:$D$120*(((Inputs!$G$5:$G$120="moeda")+(Inputs!$G$5:$G$120="acoes"))*Inputs!$B$1+((Inputs!$G$5:$G$120&lt;&gt;"moeda")*(Inputs!$G$5:$G$120&lt;&gt;"acoes")))*INDEX(Inputs!$K$5:$AJ$120,0,MATCH(AH$2,Inputs!$K$4:$AJ$4,0)))+SUMPRODUCT((Inputs!$E$5:$E$120=$B9)*Inputs!$F$5:$F$120*(((Inputs!$G$5:$G$120="moeda")+(Inputs!$G$5:$G$120="acoes"))*Inputs!$B$1+((Inputs!$G$5:$G$120&lt;&gt;"moeda")*(Inputs!$G$5:$G$120&lt;&gt;"acoes")))*INDEX(Inputs!$K$5:$AJ$120,0,MATCH(AH$2,Inputs!$K$4:$AJ$4,0)))))</f>
        <v>-50</v>
      </c>
      <c r="AI9" s="267">
        <f>IF(ISNA(MATCH(AI$2,Inputs!$K$4:$AJ$4,0)),NA(),IF(SUMPRODUCT((Inputs!$A$5:$A$120=$B9)*ISNUMBER(INDEX(Inputs!$K$5:$AJ$120,0,MATCH(AI$2,Inputs!$K$4:$AJ$4,0))))+SUMPRODUCT((Inputs!$C$5:$C$120=$B9)*ISNUMBER(INDEX(Inputs!$K$5:$AJ$120,0,MATCH(AI$2,Inputs!$K$4:$AJ$4,0))))+SUMPRODUCT((Inputs!$E$5:$E$120=$B9)*ISNUMBER(INDEX(Inputs!$K$5:$AJ$120,0,MATCH(AI$2,Inputs!$K$4:$AJ$4,0))))=0,NA(),SUMPRODUCT((Inputs!$A$5:$A$120=$B9)*Inputs!$B$5:$B$120*(((Inputs!$G$5:$G$120="moeda")+(Inputs!$G$5:$G$120="acoes"))*Inputs!$B$1+((Inputs!$G$5:$G$120&lt;&gt;"moeda")*(Inputs!$G$5:$G$120&lt;&gt;"acoes")))*INDEX(Inputs!$K$5:$AJ$120,0,MATCH(AI$2,Inputs!$K$4:$AJ$4,0)))+SUMPRODUCT((Inputs!$C$5:$C$120=$B9)*Inputs!$D$5:$D$120*(((Inputs!$G$5:$G$120="moeda")+(Inputs!$G$5:$G$120="acoes"))*Inputs!$B$1+((Inputs!$G$5:$G$120&lt;&gt;"moeda")*(Inputs!$G$5:$G$120&lt;&gt;"acoes")))*INDEX(Inputs!$K$5:$AJ$120,0,MATCH(AI$2,Inputs!$K$4:$AJ$4,0)))+SUMPRODUCT((Inputs!$E$5:$E$120=$B9)*Inputs!$F$5:$F$120*(((Inputs!$G$5:$G$120="moeda")+(Inputs!$G$5:$G$120="acoes"))*Inputs!$B$1+((Inputs!$G$5:$G$120&lt;&gt;"moeda")*(Inputs!$G$5:$G$120&lt;&gt;"acoes")))*INDEX(Inputs!$K$5:$AJ$120,0,MATCH(AI$2,Inputs!$K$4:$AJ$4,0)))))</f>
        <v>-7</v>
      </c>
      <c r="AJ9" s="267">
        <f>IF(ISNA(MATCH(AJ$2,Inputs!$K$4:$AJ$4,0)),NA(),IF(SUMPRODUCT((Inputs!$A$5:$A$120=$B9)*ISNUMBER(INDEX(Inputs!$K$5:$AJ$120,0,MATCH(AJ$2,Inputs!$K$4:$AJ$4,0))))+SUMPRODUCT((Inputs!$C$5:$C$120=$B9)*ISNUMBER(INDEX(Inputs!$K$5:$AJ$120,0,MATCH(AJ$2,Inputs!$K$4:$AJ$4,0))))+SUMPRODUCT((Inputs!$E$5:$E$120=$B9)*ISNUMBER(INDEX(Inputs!$K$5:$AJ$120,0,MATCH(AJ$2,Inputs!$K$4:$AJ$4,0))))=0,NA(),SUMPRODUCT((Inputs!$A$5:$A$120=$B9)*Inputs!$B$5:$B$120*(((Inputs!$G$5:$G$120="moeda")+(Inputs!$G$5:$G$120="acoes"))*Inputs!$B$1+((Inputs!$G$5:$G$120&lt;&gt;"moeda")*(Inputs!$G$5:$G$120&lt;&gt;"acoes")))*INDEX(Inputs!$K$5:$AJ$120,0,MATCH(AJ$2,Inputs!$K$4:$AJ$4,0)))+SUMPRODUCT((Inputs!$C$5:$C$120=$B9)*Inputs!$D$5:$D$120*(((Inputs!$G$5:$G$120="moeda")+(Inputs!$G$5:$G$120="acoes"))*Inputs!$B$1+((Inputs!$G$5:$G$120&lt;&gt;"moeda")*(Inputs!$G$5:$G$120&lt;&gt;"acoes")))*INDEX(Inputs!$K$5:$AJ$120,0,MATCH(AJ$2,Inputs!$K$4:$AJ$4,0)))+SUMPRODUCT((Inputs!$E$5:$E$120=$B9)*Inputs!$F$5:$F$120*(((Inputs!$G$5:$G$120="moeda")+(Inputs!$G$5:$G$120="acoes"))*Inputs!$B$1+((Inputs!$G$5:$G$120&lt;&gt;"moeda")*(Inputs!$G$5:$G$120&lt;&gt;"acoes")))*INDEX(Inputs!$K$5:$AJ$120,0,MATCH(AJ$2,Inputs!$K$4:$AJ$4,0)))))</f>
        <v>111</v>
      </c>
      <c r="AK9" s="267">
        <f>IF(ISNA(MATCH(AK$2,Inputs!$K$4:$AJ$4,0)),NA(),IF(SUMPRODUCT((Inputs!$A$5:$A$120=$B9)*ISNUMBER(INDEX(Inputs!$K$5:$AJ$120,0,MATCH(AK$2,Inputs!$K$4:$AJ$4,0))))+SUMPRODUCT((Inputs!$C$5:$C$120=$B9)*ISNUMBER(INDEX(Inputs!$K$5:$AJ$120,0,MATCH(AK$2,Inputs!$K$4:$AJ$4,0))))+SUMPRODUCT((Inputs!$E$5:$E$120=$B9)*ISNUMBER(INDEX(Inputs!$K$5:$AJ$120,0,MATCH(AK$2,Inputs!$K$4:$AJ$4,0))))=0,NA(),SUMPRODUCT((Inputs!$A$5:$A$120=$B9)*Inputs!$B$5:$B$120*(((Inputs!$G$5:$G$120="moeda")+(Inputs!$G$5:$G$120="acoes"))*Inputs!$B$1+((Inputs!$G$5:$G$120&lt;&gt;"moeda")*(Inputs!$G$5:$G$120&lt;&gt;"acoes")))*INDEX(Inputs!$K$5:$AJ$120,0,MATCH(AK$2,Inputs!$K$4:$AJ$4,0)))+SUMPRODUCT((Inputs!$C$5:$C$120=$B9)*Inputs!$D$5:$D$120*(((Inputs!$G$5:$G$120="moeda")+(Inputs!$G$5:$G$120="acoes"))*Inputs!$B$1+((Inputs!$G$5:$G$120&lt;&gt;"moeda")*(Inputs!$G$5:$G$120&lt;&gt;"acoes")))*INDEX(Inputs!$K$5:$AJ$120,0,MATCH(AK$2,Inputs!$K$4:$AJ$4,0)))+SUMPRODUCT((Inputs!$E$5:$E$120=$B9)*Inputs!$F$5:$F$120*(((Inputs!$G$5:$G$120="moeda")+(Inputs!$G$5:$G$120="acoes"))*Inputs!$B$1+((Inputs!$G$5:$G$120&lt;&gt;"moeda")*(Inputs!$G$5:$G$120&lt;&gt;"acoes")))*INDEX(Inputs!$K$5:$AJ$120,0,MATCH(AK$2,Inputs!$K$4:$AJ$4,0)))))</f>
        <v>197</v>
      </c>
      <c r="AL9" s="268">
        <f>SUM(AH9:AK9)</f>
        <v>251</v>
      </c>
    </row>
    <row r="10" ht="12.75" customHeight="1" s="255">
      <c r="B10" s="265" t="n">
        <v>7</v>
      </c>
      <c r="C10" s="270" t="inlineStr">
        <is>
          <t>Taxes</t>
        </is>
      </c>
      <c r="D10" s="267">
        <f>IF(ISNA(MATCH(D$2,Inputs!$K$4:$AJ$4,0)),NA(),IF(SUMPRODUCT((Inputs!$A$5:$A$120=$B10)*ISNUMBER(INDEX(Inputs!$K$5:$AJ$120,0,MATCH(D$2,Inputs!$K$4:$AJ$4,0))))+SUMPRODUCT((Inputs!$C$5:$C$120=$B10)*ISNUMBER(INDEX(Inputs!$K$5:$AJ$120,0,MATCH(D$2,Inputs!$K$4:$AJ$4,0))))+SUMPRODUCT((Inputs!$E$5:$E$120=$B10)*ISNUMBER(INDEX(Inputs!$K$5:$AJ$120,0,MATCH(D$2,Inputs!$K$4:$AJ$4,0))))=0,NA(),SUMPRODUCT((Inputs!$A$5:$A$120=$B10)*Inputs!$B$5:$B$120*(((Inputs!$G$5:$G$120="moeda")+(Inputs!$G$5:$G$120="acoes"))*Inputs!$B$1+((Inputs!$G$5:$G$120&lt;&gt;"moeda")*(Inputs!$G$5:$G$120&lt;&gt;"acoes")))*INDEX(Inputs!$K$5:$AJ$120,0,MATCH(D$2,Inputs!$K$4:$AJ$4,0)))+SUMPRODUCT((Inputs!$C$5:$C$120=$B10)*Inputs!$D$5:$D$120*(((Inputs!$G$5:$G$120="moeda")+(Inputs!$G$5:$G$120="acoes"))*Inputs!$B$1+((Inputs!$G$5:$G$120&lt;&gt;"moeda")*(Inputs!$G$5:$G$120&lt;&gt;"acoes")))*INDEX(Inputs!$K$5:$AJ$120,0,MATCH(D$2,Inputs!$K$4:$AJ$4,0)))+SUMPRODUCT((Inputs!$E$5:$E$120=$B10)*Inputs!$F$5:$F$120*(((Inputs!$G$5:$G$120="moeda")+(Inputs!$G$5:$G$120="acoes"))*Inputs!$B$1+((Inputs!$G$5:$G$120&lt;&gt;"moeda")*(Inputs!$G$5:$G$120&lt;&gt;"acoes")))*INDEX(Inputs!$K$5:$AJ$120,0,MATCH(D$2,Inputs!$K$4:$AJ$4,0)))))</f>
        <v>-192</v>
      </c>
      <c r="E10" s="267">
        <f>IF(ISNA(MATCH(E$2,Inputs!$K$4:$AJ$4,0)),NA(),IF(SUMPRODUCT((Inputs!$A$5:$A$120=$B10)*ISNUMBER(INDEX(Inputs!$K$5:$AJ$120,0,MATCH(E$2,Inputs!$K$4:$AJ$4,0))))+SUMPRODUCT((Inputs!$C$5:$C$120=$B10)*ISNUMBER(INDEX(Inputs!$K$5:$AJ$120,0,MATCH(E$2,Inputs!$K$4:$AJ$4,0))))+SUMPRODUCT((Inputs!$E$5:$E$120=$B10)*ISNUMBER(INDEX(Inputs!$K$5:$AJ$120,0,MATCH(E$2,Inputs!$K$4:$AJ$4,0))))=0,NA(),SUMPRODUCT((Inputs!$A$5:$A$120=$B10)*Inputs!$B$5:$B$120*(((Inputs!$G$5:$G$120="moeda")+(Inputs!$G$5:$G$120="acoes"))*Inputs!$B$1+((Inputs!$G$5:$G$120&lt;&gt;"moeda")*(Inputs!$G$5:$G$120&lt;&gt;"acoes")))*INDEX(Inputs!$K$5:$AJ$120,0,MATCH(E$2,Inputs!$K$4:$AJ$4,0)))+SUMPRODUCT((Inputs!$C$5:$C$120=$B10)*Inputs!$D$5:$D$120*(((Inputs!$G$5:$G$120="moeda")+(Inputs!$G$5:$G$120="acoes"))*Inputs!$B$1+((Inputs!$G$5:$G$120&lt;&gt;"moeda")*(Inputs!$G$5:$G$120&lt;&gt;"acoes")))*INDEX(Inputs!$K$5:$AJ$120,0,MATCH(E$2,Inputs!$K$4:$AJ$4,0)))+SUMPRODUCT((Inputs!$E$5:$E$120=$B10)*Inputs!$F$5:$F$120*(((Inputs!$G$5:$G$120="moeda")+(Inputs!$G$5:$G$120="acoes"))*Inputs!$B$1+((Inputs!$G$5:$G$120&lt;&gt;"moeda")*(Inputs!$G$5:$G$120&lt;&gt;"acoes")))*INDEX(Inputs!$K$5:$AJ$120,0,MATCH(E$2,Inputs!$K$4:$AJ$4,0)))))</f>
        <v>-50</v>
      </c>
      <c r="F10" s="267">
        <f>IF(ISNA(MATCH(F$2,Inputs!$K$4:$AJ$4,0)),NA(),IF(SUMPRODUCT((Inputs!$A$5:$A$120=$B10)*ISNUMBER(INDEX(Inputs!$K$5:$AJ$120,0,MATCH(F$2,Inputs!$K$4:$AJ$4,0))))+SUMPRODUCT((Inputs!$C$5:$C$120=$B10)*ISNUMBER(INDEX(Inputs!$K$5:$AJ$120,0,MATCH(F$2,Inputs!$K$4:$AJ$4,0))))+SUMPRODUCT((Inputs!$E$5:$E$120=$B10)*ISNUMBER(INDEX(Inputs!$K$5:$AJ$120,0,MATCH(F$2,Inputs!$K$4:$AJ$4,0))))=0,NA(),SUMPRODUCT((Inputs!$A$5:$A$120=$B10)*Inputs!$B$5:$B$120*(((Inputs!$G$5:$G$120="moeda")+(Inputs!$G$5:$G$120="acoes"))*Inputs!$B$1+((Inputs!$G$5:$G$120&lt;&gt;"moeda")*(Inputs!$G$5:$G$120&lt;&gt;"acoes")))*INDEX(Inputs!$K$5:$AJ$120,0,MATCH(F$2,Inputs!$K$4:$AJ$4,0)))+SUMPRODUCT((Inputs!$C$5:$C$120=$B10)*Inputs!$D$5:$D$120*(((Inputs!$G$5:$G$120="moeda")+(Inputs!$G$5:$G$120="acoes"))*Inputs!$B$1+((Inputs!$G$5:$G$120&lt;&gt;"moeda")*(Inputs!$G$5:$G$120&lt;&gt;"acoes")))*INDEX(Inputs!$K$5:$AJ$120,0,MATCH(F$2,Inputs!$K$4:$AJ$4,0)))+SUMPRODUCT((Inputs!$E$5:$E$120=$B10)*Inputs!$F$5:$F$120*(((Inputs!$G$5:$G$120="moeda")+(Inputs!$G$5:$G$120="acoes"))*Inputs!$B$1+((Inputs!$G$5:$G$120&lt;&gt;"moeda")*(Inputs!$G$5:$G$120&lt;&gt;"acoes")))*INDEX(Inputs!$K$5:$AJ$120,0,MATCH(F$2,Inputs!$K$4:$AJ$4,0)))))</f>
        <v>-92</v>
      </c>
      <c r="G10" s="267">
        <f>IF(ISNA(MATCH(G$2,Inputs!$K$4:$AJ$4,0)),NA(),IF(SUMPRODUCT((Inputs!$A$5:$A$120=$B10)*ISNUMBER(INDEX(Inputs!$K$5:$AJ$120,0,MATCH(G$2,Inputs!$K$4:$AJ$4,0))))+SUMPRODUCT((Inputs!$C$5:$C$120=$B10)*ISNUMBER(INDEX(Inputs!$K$5:$AJ$120,0,MATCH(G$2,Inputs!$K$4:$AJ$4,0))))+SUMPRODUCT((Inputs!$E$5:$E$120=$B10)*ISNUMBER(INDEX(Inputs!$K$5:$AJ$120,0,MATCH(G$2,Inputs!$K$4:$AJ$4,0))))=0,NA(),SUMPRODUCT((Inputs!$A$5:$A$120=$B10)*Inputs!$B$5:$B$120*(((Inputs!$G$5:$G$120="moeda")+(Inputs!$G$5:$G$120="acoes"))*Inputs!$B$1+((Inputs!$G$5:$G$120&lt;&gt;"moeda")*(Inputs!$G$5:$G$120&lt;&gt;"acoes")))*INDEX(Inputs!$K$5:$AJ$120,0,MATCH(G$2,Inputs!$K$4:$AJ$4,0)))+SUMPRODUCT((Inputs!$C$5:$C$120=$B10)*Inputs!$D$5:$D$120*(((Inputs!$G$5:$G$120="moeda")+(Inputs!$G$5:$G$120="acoes"))*Inputs!$B$1+((Inputs!$G$5:$G$120&lt;&gt;"moeda")*(Inputs!$G$5:$G$120&lt;&gt;"acoes")))*INDEX(Inputs!$K$5:$AJ$120,0,MATCH(G$2,Inputs!$K$4:$AJ$4,0)))+SUMPRODUCT((Inputs!$E$5:$E$120=$B10)*Inputs!$F$5:$F$120*(((Inputs!$G$5:$G$120="moeda")+(Inputs!$G$5:$G$120="acoes"))*Inputs!$B$1+((Inputs!$G$5:$G$120&lt;&gt;"moeda")*(Inputs!$G$5:$G$120&lt;&gt;"acoes")))*INDEX(Inputs!$K$5:$AJ$120,0,MATCH(G$2,Inputs!$K$4:$AJ$4,0)))))</f>
        <v>-64</v>
      </c>
      <c r="H10" s="268">
        <f>SUM(D10:G10)</f>
        <v>-398</v>
      </c>
      <c r="I10" s="267">
        <f>IF(ISNA(MATCH(I$2,Inputs!$K$4:$AJ$4,0)),NA(),IF(SUMPRODUCT((Inputs!$A$5:$A$120=$B10)*ISNUMBER(INDEX(Inputs!$K$5:$AJ$120,0,MATCH(I$2,Inputs!$K$4:$AJ$4,0))))+SUMPRODUCT((Inputs!$C$5:$C$120=$B10)*ISNUMBER(INDEX(Inputs!$K$5:$AJ$120,0,MATCH(I$2,Inputs!$K$4:$AJ$4,0))))+SUMPRODUCT((Inputs!$E$5:$E$120=$B10)*ISNUMBER(INDEX(Inputs!$K$5:$AJ$120,0,MATCH(I$2,Inputs!$K$4:$AJ$4,0))))=0,NA(),SUMPRODUCT((Inputs!$A$5:$A$120=$B10)*Inputs!$B$5:$B$120*(((Inputs!$G$5:$G$120="moeda")+(Inputs!$G$5:$G$120="acoes"))*Inputs!$B$1+((Inputs!$G$5:$G$120&lt;&gt;"moeda")*(Inputs!$G$5:$G$120&lt;&gt;"acoes")))*INDEX(Inputs!$K$5:$AJ$120,0,MATCH(I$2,Inputs!$K$4:$AJ$4,0)))+SUMPRODUCT((Inputs!$C$5:$C$120=$B10)*Inputs!$D$5:$D$120*(((Inputs!$G$5:$G$120="moeda")+(Inputs!$G$5:$G$120="acoes"))*Inputs!$B$1+((Inputs!$G$5:$G$120&lt;&gt;"moeda")*(Inputs!$G$5:$G$120&lt;&gt;"acoes")))*INDEX(Inputs!$K$5:$AJ$120,0,MATCH(I$2,Inputs!$K$4:$AJ$4,0)))+SUMPRODUCT((Inputs!$E$5:$E$120=$B10)*Inputs!$F$5:$F$120*(((Inputs!$G$5:$G$120="moeda")+(Inputs!$G$5:$G$120="acoes"))*Inputs!$B$1+((Inputs!$G$5:$G$120&lt;&gt;"moeda")*(Inputs!$G$5:$G$120&lt;&gt;"acoes")))*INDEX(Inputs!$K$5:$AJ$120,0,MATCH(I$2,Inputs!$K$4:$AJ$4,0)))))</f>
        <v>-108</v>
      </c>
      <c r="J10" s="267">
        <f>IF(ISNA(MATCH(J$2,Inputs!$K$4:$AJ$4,0)),NA(),IF(SUMPRODUCT((Inputs!$A$5:$A$120=$B10)*ISNUMBER(INDEX(Inputs!$K$5:$AJ$120,0,MATCH(J$2,Inputs!$K$4:$AJ$4,0))))+SUMPRODUCT((Inputs!$C$5:$C$120=$B10)*ISNUMBER(INDEX(Inputs!$K$5:$AJ$120,0,MATCH(J$2,Inputs!$K$4:$AJ$4,0))))+SUMPRODUCT((Inputs!$E$5:$E$120=$B10)*ISNUMBER(INDEX(Inputs!$K$5:$AJ$120,0,MATCH(J$2,Inputs!$K$4:$AJ$4,0))))=0,NA(),SUMPRODUCT((Inputs!$A$5:$A$120=$B10)*Inputs!$B$5:$B$120*(((Inputs!$G$5:$G$120="moeda")+(Inputs!$G$5:$G$120="acoes"))*Inputs!$B$1+((Inputs!$G$5:$G$120&lt;&gt;"moeda")*(Inputs!$G$5:$G$120&lt;&gt;"acoes")))*INDEX(Inputs!$K$5:$AJ$120,0,MATCH(J$2,Inputs!$K$4:$AJ$4,0)))+SUMPRODUCT((Inputs!$C$5:$C$120=$B10)*Inputs!$D$5:$D$120*(((Inputs!$G$5:$G$120="moeda")+(Inputs!$G$5:$G$120="acoes"))*Inputs!$B$1+((Inputs!$G$5:$G$120&lt;&gt;"moeda")*(Inputs!$G$5:$G$120&lt;&gt;"acoes")))*INDEX(Inputs!$K$5:$AJ$120,0,MATCH(J$2,Inputs!$K$4:$AJ$4,0)))+SUMPRODUCT((Inputs!$E$5:$E$120=$B10)*Inputs!$F$5:$F$120*(((Inputs!$G$5:$G$120="moeda")+(Inputs!$G$5:$G$120="acoes"))*Inputs!$B$1+((Inputs!$G$5:$G$120&lt;&gt;"moeda")*(Inputs!$G$5:$G$120&lt;&gt;"acoes")))*INDEX(Inputs!$K$5:$AJ$120,0,MATCH(J$2,Inputs!$K$4:$AJ$4,0)))))</f>
        <v>-36</v>
      </c>
      <c r="K10" s="267">
        <f>IF(ISNA(MATCH(K$2,Inputs!$K$4:$AJ$4,0)),NA(),IF(SUMPRODUCT((Inputs!$A$5:$A$120=$B10)*ISNUMBER(INDEX(Inputs!$K$5:$AJ$120,0,MATCH(K$2,Inputs!$K$4:$AJ$4,0))))+SUMPRODUCT((Inputs!$C$5:$C$120=$B10)*ISNUMBER(INDEX(Inputs!$K$5:$AJ$120,0,MATCH(K$2,Inputs!$K$4:$AJ$4,0))))+SUMPRODUCT((Inputs!$E$5:$E$120=$B10)*ISNUMBER(INDEX(Inputs!$K$5:$AJ$120,0,MATCH(K$2,Inputs!$K$4:$AJ$4,0))))=0,NA(),SUMPRODUCT((Inputs!$A$5:$A$120=$B10)*Inputs!$B$5:$B$120*(((Inputs!$G$5:$G$120="moeda")+(Inputs!$G$5:$G$120="acoes"))*Inputs!$B$1+((Inputs!$G$5:$G$120&lt;&gt;"moeda")*(Inputs!$G$5:$G$120&lt;&gt;"acoes")))*INDEX(Inputs!$K$5:$AJ$120,0,MATCH(K$2,Inputs!$K$4:$AJ$4,0)))+SUMPRODUCT((Inputs!$C$5:$C$120=$B10)*Inputs!$D$5:$D$120*(((Inputs!$G$5:$G$120="moeda")+(Inputs!$G$5:$G$120="acoes"))*Inputs!$B$1+((Inputs!$G$5:$G$120&lt;&gt;"moeda")*(Inputs!$G$5:$G$120&lt;&gt;"acoes")))*INDEX(Inputs!$K$5:$AJ$120,0,MATCH(K$2,Inputs!$K$4:$AJ$4,0)))+SUMPRODUCT((Inputs!$E$5:$E$120=$B10)*Inputs!$F$5:$F$120*(((Inputs!$G$5:$G$120="moeda")+(Inputs!$G$5:$G$120="acoes"))*Inputs!$B$1+((Inputs!$G$5:$G$120&lt;&gt;"moeda")*(Inputs!$G$5:$G$120&lt;&gt;"acoes")))*INDEX(Inputs!$K$5:$AJ$120,0,MATCH(K$2,Inputs!$K$4:$AJ$4,0)))))</f>
        <v>-113</v>
      </c>
      <c r="L10" s="267">
        <f>IF(ISNA(MATCH(L$2,Inputs!$K$4:$AJ$4,0)),NA(),IF(SUMPRODUCT((Inputs!$A$5:$A$120=$B10)*ISNUMBER(INDEX(Inputs!$K$5:$AJ$120,0,MATCH(L$2,Inputs!$K$4:$AJ$4,0))))+SUMPRODUCT((Inputs!$C$5:$C$120=$B10)*ISNUMBER(INDEX(Inputs!$K$5:$AJ$120,0,MATCH(L$2,Inputs!$K$4:$AJ$4,0))))+SUMPRODUCT((Inputs!$E$5:$E$120=$B10)*ISNUMBER(INDEX(Inputs!$K$5:$AJ$120,0,MATCH(L$2,Inputs!$K$4:$AJ$4,0))))=0,NA(),SUMPRODUCT((Inputs!$A$5:$A$120=$B10)*Inputs!$B$5:$B$120*(((Inputs!$G$5:$G$120="moeda")+(Inputs!$G$5:$G$120="acoes"))*Inputs!$B$1+((Inputs!$G$5:$G$120&lt;&gt;"moeda")*(Inputs!$G$5:$G$120&lt;&gt;"acoes")))*INDEX(Inputs!$K$5:$AJ$120,0,MATCH(L$2,Inputs!$K$4:$AJ$4,0)))+SUMPRODUCT((Inputs!$C$5:$C$120=$B10)*Inputs!$D$5:$D$120*(((Inputs!$G$5:$G$120="moeda")+(Inputs!$G$5:$G$120="acoes"))*Inputs!$B$1+((Inputs!$G$5:$G$120&lt;&gt;"moeda")*(Inputs!$G$5:$G$120&lt;&gt;"acoes")))*INDEX(Inputs!$K$5:$AJ$120,0,MATCH(L$2,Inputs!$K$4:$AJ$4,0)))+SUMPRODUCT((Inputs!$E$5:$E$120=$B10)*Inputs!$F$5:$F$120*(((Inputs!$G$5:$G$120="moeda")+(Inputs!$G$5:$G$120="acoes"))*Inputs!$B$1+((Inputs!$G$5:$G$120&lt;&gt;"moeda")*(Inputs!$G$5:$G$120&lt;&gt;"acoes")))*INDEX(Inputs!$K$5:$AJ$120,0,MATCH(L$2,Inputs!$K$4:$AJ$4,0)))))</f>
        <v>-131</v>
      </c>
      <c r="M10" s="268">
        <f>SUM(I10:L10)</f>
        <v>-388</v>
      </c>
      <c r="N10" s="267">
        <f>IF(ISNA(MATCH(N$2,Inputs!$K$4:$AJ$4,0)),NA(),IF(SUMPRODUCT((Inputs!$A$5:$A$120=$B10)*ISNUMBER(INDEX(Inputs!$K$5:$AJ$120,0,MATCH(N$2,Inputs!$K$4:$AJ$4,0))))+SUMPRODUCT((Inputs!$C$5:$C$120=$B10)*ISNUMBER(INDEX(Inputs!$K$5:$AJ$120,0,MATCH(N$2,Inputs!$K$4:$AJ$4,0))))+SUMPRODUCT((Inputs!$E$5:$E$120=$B10)*ISNUMBER(INDEX(Inputs!$K$5:$AJ$120,0,MATCH(N$2,Inputs!$K$4:$AJ$4,0))))=0,NA(),SUMPRODUCT((Inputs!$A$5:$A$120=$B10)*Inputs!$B$5:$B$120*(((Inputs!$G$5:$G$120="moeda")+(Inputs!$G$5:$G$120="acoes"))*Inputs!$B$1+((Inputs!$G$5:$G$120&lt;&gt;"moeda")*(Inputs!$G$5:$G$120&lt;&gt;"acoes")))*INDEX(Inputs!$K$5:$AJ$120,0,MATCH(N$2,Inputs!$K$4:$AJ$4,0)))+SUMPRODUCT((Inputs!$C$5:$C$120=$B10)*Inputs!$D$5:$D$120*(((Inputs!$G$5:$G$120="moeda")+(Inputs!$G$5:$G$120="acoes"))*Inputs!$B$1+((Inputs!$G$5:$G$120&lt;&gt;"moeda")*(Inputs!$G$5:$G$120&lt;&gt;"acoes")))*INDEX(Inputs!$K$5:$AJ$120,0,MATCH(N$2,Inputs!$K$4:$AJ$4,0)))+SUMPRODUCT((Inputs!$E$5:$E$120=$B10)*Inputs!$F$5:$F$120*(((Inputs!$G$5:$G$120="moeda")+(Inputs!$G$5:$G$120="acoes"))*Inputs!$B$1+((Inputs!$G$5:$G$120&lt;&gt;"moeda")*(Inputs!$G$5:$G$120&lt;&gt;"acoes")))*INDEX(Inputs!$K$5:$AJ$120,0,MATCH(N$2,Inputs!$K$4:$AJ$4,0)))))</f>
        <v>-183</v>
      </c>
      <c r="O10" s="267">
        <f>IF(ISNA(MATCH(O$2,Inputs!$K$4:$AJ$4,0)),NA(),IF(SUMPRODUCT((Inputs!$A$5:$A$120=$B10)*ISNUMBER(INDEX(Inputs!$K$5:$AJ$120,0,MATCH(O$2,Inputs!$K$4:$AJ$4,0))))+SUMPRODUCT((Inputs!$C$5:$C$120=$B10)*ISNUMBER(INDEX(Inputs!$K$5:$AJ$120,0,MATCH(O$2,Inputs!$K$4:$AJ$4,0))))+SUMPRODUCT((Inputs!$E$5:$E$120=$B10)*ISNUMBER(INDEX(Inputs!$K$5:$AJ$120,0,MATCH(O$2,Inputs!$K$4:$AJ$4,0))))=0,NA(),SUMPRODUCT((Inputs!$A$5:$A$120=$B10)*Inputs!$B$5:$B$120*(((Inputs!$G$5:$G$120="moeda")+(Inputs!$G$5:$G$120="acoes"))*Inputs!$B$1+((Inputs!$G$5:$G$120&lt;&gt;"moeda")*(Inputs!$G$5:$G$120&lt;&gt;"acoes")))*INDEX(Inputs!$K$5:$AJ$120,0,MATCH(O$2,Inputs!$K$4:$AJ$4,0)))+SUMPRODUCT((Inputs!$C$5:$C$120=$B10)*Inputs!$D$5:$D$120*(((Inputs!$G$5:$G$120="moeda")+(Inputs!$G$5:$G$120="acoes"))*Inputs!$B$1+((Inputs!$G$5:$G$120&lt;&gt;"moeda")*(Inputs!$G$5:$G$120&lt;&gt;"acoes")))*INDEX(Inputs!$K$5:$AJ$120,0,MATCH(O$2,Inputs!$K$4:$AJ$4,0)))+SUMPRODUCT((Inputs!$E$5:$E$120=$B10)*Inputs!$F$5:$F$120*(((Inputs!$G$5:$G$120="moeda")+(Inputs!$G$5:$G$120="acoes"))*Inputs!$B$1+((Inputs!$G$5:$G$120&lt;&gt;"moeda")*(Inputs!$G$5:$G$120&lt;&gt;"acoes")))*INDEX(Inputs!$K$5:$AJ$120,0,MATCH(O$2,Inputs!$K$4:$AJ$4,0)))))</f>
        <v>-198</v>
      </c>
      <c r="P10" s="267">
        <f>IF(ISNA(MATCH(P$2,Inputs!$K$4:$AJ$4,0)),NA(),IF(SUMPRODUCT((Inputs!$A$5:$A$120=$B10)*ISNUMBER(INDEX(Inputs!$K$5:$AJ$120,0,MATCH(P$2,Inputs!$K$4:$AJ$4,0))))+SUMPRODUCT((Inputs!$C$5:$C$120=$B10)*ISNUMBER(INDEX(Inputs!$K$5:$AJ$120,0,MATCH(P$2,Inputs!$K$4:$AJ$4,0))))+SUMPRODUCT((Inputs!$E$5:$E$120=$B10)*ISNUMBER(INDEX(Inputs!$K$5:$AJ$120,0,MATCH(P$2,Inputs!$K$4:$AJ$4,0))))=0,NA(),SUMPRODUCT((Inputs!$A$5:$A$120=$B10)*Inputs!$B$5:$B$120*(((Inputs!$G$5:$G$120="moeda")+(Inputs!$G$5:$G$120="acoes"))*Inputs!$B$1+((Inputs!$G$5:$G$120&lt;&gt;"moeda")*(Inputs!$G$5:$G$120&lt;&gt;"acoes")))*INDEX(Inputs!$K$5:$AJ$120,0,MATCH(P$2,Inputs!$K$4:$AJ$4,0)))+SUMPRODUCT((Inputs!$C$5:$C$120=$B10)*Inputs!$D$5:$D$120*(((Inputs!$G$5:$G$120="moeda")+(Inputs!$G$5:$G$120="acoes"))*Inputs!$B$1+((Inputs!$G$5:$G$120&lt;&gt;"moeda")*(Inputs!$G$5:$G$120&lt;&gt;"acoes")))*INDEX(Inputs!$K$5:$AJ$120,0,MATCH(P$2,Inputs!$K$4:$AJ$4,0)))+SUMPRODUCT((Inputs!$E$5:$E$120=$B10)*Inputs!$F$5:$F$120*(((Inputs!$G$5:$G$120="moeda")+(Inputs!$G$5:$G$120="acoes"))*Inputs!$B$1+((Inputs!$G$5:$G$120&lt;&gt;"moeda")*(Inputs!$G$5:$G$120&lt;&gt;"acoes")))*INDEX(Inputs!$K$5:$AJ$120,0,MATCH(P$2,Inputs!$K$4:$AJ$4,0)))))</f>
        <v>-114</v>
      </c>
      <c r="Q10" s="267">
        <f>IF(ISNA(MATCH(Q$2,Inputs!$K$4:$AJ$4,0)),NA(),IF(SUMPRODUCT((Inputs!$A$5:$A$120=$B10)*ISNUMBER(INDEX(Inputs!$K$5:$AJ$120,0,MATCH(Q$2,Inputs!$K$4:$AJ$4,0))))+SUMPRODUCT((Inputs!$C$5:$C$120=$B10)*ISNUMBER(INDEX(Inputs!$K$5:$AJ$120,0,MATCH(Q$2,Inputs!$K$4:$AJ$4,0))))+SUMPRODUCT((Inputs!$E$5:$E$120=$B10)*ISNUMBER(INDEX(Inputs!$K$5:$AJ$120,0,MATCH(Q$2,Inputs!$K$4:$AJ$4,0))))=0,NA(),SUMPRODUCT((Inputs!$A$5:$A$120=$B10)*Inputs!$B$5:$B$120*(((Inputs!$G$5:$G$120="moeda")+(Inputs!$G$5:$G$120="acoes"))*Inputs!$B$1+((Inputs!$G$5:$G$120&lt;&gt;"moeda")*(Inputs!$G$5:$G$120&lt;&gt;"acoes")))*INDEX(Inputs!$K$5:$AJ$120,0,MATCH(Q$2,Inputs!$K$4:$AJ$4,0)))+SUMPRODUCT((Inputs!$C$5:$C$120=$B10)*Inputs!$D$5:$D$120*(((Inputs!$G$5:$G$120="moeda")+(Inputs!$G$5:$G$120="acoes"))*Inputs!$B$1+((Inputs!$G$5:$G$120&lt;&gt;"moeda")*(Inputs!$G$5:$G$120&lt;&gt;"acoes")))*INDEX(Inputs!$K$5:$AJ$120,0,MATCH(Q$2,Inputs!$K$4:$AJ$4,0)))+SUMPRODUCT((Inputs!$E$5:$E$120=$B10)*Inputs!$F$5:$F$120*(((Inputs!$G$5:$G$120="moeda")+(Inputs!$G$5:$G$120="acoes"))*Inputs!$B$1+((Inputs!$G$5:$G$120&lt;&gt;"moeda")*(Inputs!$G$5:$G$120&lt;&gt;"acoes")))*INDEX(Inputs!$K$5:$AJ$120,0,MATCH(Q$2,Inputs!$K$4:$AJ$4,0)))))</f>
        <v>-219</v>
      </c>
      <c r="R10" s="268">
        <f>SUM(N10:Q10)</f>
        <v>-714</v>
      </c>
      <c r="S10" s="267">
        <f>IF(ISNA(MATCH(S$2,Inputs!$K$4:$AJ$4,0)),NA(),IF(SUMPRODUCT((Inputs!$A$5:$A$120=$B10)*ISNUMBER(INDEX(Inputs!$K$5:$AJ$120,0,MATCH(S$2,Inputs!$K$4:$AJ$4,0))))+SUMPRODUCT((Inputs!$C$5:$C$120=$B10)*ISNUMBER(INDEX(Inputs!$K$5:$AJ$120,0,MATCH(S$2,Inputs!$K$4:$AJ$4,0))))+SUMPRODUCT((Inputs!$E$5:$E$120=$B10)*ISNUMBER(INDEX(Inputs!$K$5:$AJ$120,0,MATCH(S$2,Inputs!$K$4:$AJ$4,0))))=0,NA(),SUMPRODUCT((Inputs!$A$5:$A$120=$B10)*Inputs!$B$5:$B$120*(((Inputs!$G$5:$G$120="moeda")+(Inputs!$G$5:$G$120="acoes"))*Inputs!$B$1+((Inputs!$G$5:$G$120&lt;&gt;"moeda")*(Inputs!$G$5:$G$120&lt;&gt;"acoes")))*INDEX(Inputs!$K$5:$AJ$120,0,MATCH(S$2,Inputs!$K$4:$AJ$4,0)))+SUMPRODUCT((Inputs!$C$5:$C$120=$B10)*Inputs!$D$5:$D$120*(((Inputs!$G$5:$G$120="moeda")+(Inputs!$G$5:$G$120="acoes"))*Inputs!$B$1+((Inputs!$G$5:$G$120&lt;&gt;"moeda")*(Inputs!$G$5:$G$120&lt;&gt;"acoes")))*INDEX(Inputs!$K$5:$AJ$120,0,MATCH(S$2,Inputs!$K$4:$AJ$4,0)))+SUMPRODUCT((Inputs!$E$5:$E$120=$B10)*Inputs!$F$5:$F$120*(((Inputs!$G$5:$G$120="moeda")+(Inputs!$G$5:$G$120="acoes"))*Inputs!$B$1+((Inputs!$G$5:$G$120&lt;&gt;"moeda")*(Inputs!$G$5:$G$120&lt;&gt;"acoes")))*INDEX(Inputs!$K$5:$AJ$120,0,MATCH(S$2,Inputs!$K$4:$AJ$4,0)))))</f>
        <v>-117</v>
      </c>
      <c r="T10" s="267">
        <f>IF(ISNA(MATCH(T$2,Inputs!$K$4:$AJ$4,0)),NA(),IF(SUMPRODUCT((Inputs!$A$5:$A$120=$B10)*ISNUMBER(INDEX(Inputs!$K$5:$AJ$120,0,MATCH(T$2,Inputs!$K$4:$AJ$4,0))))+SUMPRODUCT((Inputs!$C$5:$C$120=$B10)*ISNUMBER(INDEX(Inputs!$K$5:$AJ$120,0,MATCH(T$2,Inputs!$K$4:$AJ$4,0))))+SUMPRODUCT((Inputs!$E$5:$E$120=$B10)*ISNUMBER(INDEX(Inputs!$K$5:$AJ$120,0,MATCH(T$2,Inputs!$K$4:$AJ$4,0))))=0,NA(),SUMPRODUCT((Inputs!$A$5:$A$120=$B10)*Inputs!$B$5:$B$120*(((Inputs!$G$5:$G$120="moeda")+(Inputs!$G$5:$G$120="acoes"))*Inputs!$B$1+((Inputs!$G$5:$G$120&lt;&gt;"moeda")*(Inputs!$G$5:$G$120&lt;&gt;"acoes")))*INDEX(Inputs!$K$5:$AJ$120,0,MATCH(T$2,Inputs!$K$4:$AJ$4,0)))+SUMPRODUCT((Inputs!$C$5:$C$120=$B10)*Inputs!$D$5:$D$120*(((Inputs!$G$5:$G$120="moeda")+(Inputs!$G$5:$G$120="acoes"))*Inputs!$B$1+((Inputs!$G$5:$G$120&lt;&gt;"moeda")*(Inputs!$G$5:$G$120&lt;&gt;"acoes")))*INDEX(Inputs!$K$5:$AJ$120,0,MATCH(T$2,Inputs!$K$4:$AJ$4,0)))+SUMPRODUCT((Inputs!$E$5:$E$120=$B10)*Inputs!$F$5:$F$120*(((Inputs!$G$5:$G$120="moeda")+(Inputs!$G$5:$G$120="acoes"))*Inputs!$B$1+((Inputs!$G$5:$G$120&lt;&gt;"moeda")*(Inputs!$G$5:$G$120&lt;&gt;"acoes")))*INDEX(Inputs!$K$5:$AJ$120,0,MATCH(T$2,Inputs!$K$4:$AJ$4,0)))))</f>
        <v>-30</v>
      </c>
      <c r="U10" s="267">
        <f>IF(ISNA(MATCH(U$2,Inputs!$K$4:$AJ$4,0)),NA(),IF(SUMPRODUCT((Inputs!$A$5:$A$120=$B10)*ISNUMBER(INDEX(Inputs!$K$5:$AJ$120,0,MATCH(U$2,Inputs!$K$4:$AJ$4,0))))+SUMPRODUCT((Inputs!$C$5:$C$120=$B10)*ISNUMBER(INDEX(Inputs!$K$5:$AJ$120,0,MATCH(U$2,Inputs!$K$4:$AJ$4,0))))+SUMPRODUCT((Inputs!$E$5:$E$120=$B10)*ISNUMBER(INDEX(Inputs!$K$5:$AJ$120,0,MATCH(U$2,Inputs!$K$4:$AJ$4,0))))=0,NA(),SUMPRODUCT((Inputs!$A$5:$A$120=$B10)*Inputs!$B$5:$B$120*(((Inputs!$G$5:$G$120="moeda")+(Inputs!$G$5:$G$120="acoes"))*Inputs!$B$1+((Inputs!$G$5:$G$120&lt;&gt;"moeda")*(Inputs!$G$5:$G$120&lt;&gt;"acoes")))*INDEX(Inputs!$K$5:$AJ$120,0,MATCH(U$2,Inputs!$K$4:$AJ$4,0)))+SUMPRODUCT((Inputs!$C$5:$C$120=$B10)*Inputs!$D$5:$D$120*(((Inputs!$G$5:$G$120="moeda")+(Inputs!$G$5:$G$120="acoes"))*Inputs!$B$1+((Inputs!$G$5:$G$120&lt;&gt;"moeda")*(Inputs!$G$5:$G$120&lt;&gt;"acoes")))*INDEX(Inputs!$K$5:$AJ$120,0,MATCH(U$2,Inputs!$K$4:$AJ$4,0)))+SUMPRODUCT((Inputs!$E$5:$E$120=$B10)*Inputs!$F$5:$F$120*(((Inputs!$G$5:$G$120="moeda")+(Inputs!$G$5:$G$120="acoes"))*Inputs!$B$1+((Inputs!$G$5:$G$120&lt;&gt;"moeda")*(Inputs!$G$5:$G$120&lt;&gt;"acoes")))*INDEX(Inputs!$K$5:$AJ$120,0,MATCH(U$2,Inputs!$K$4:$AJ$4,0)))))</f>
        <v>-89</v>
      </c>
      <c r="V10" s="267">
        <f>IF(ISNA(MATCH(V$2,Inputs!$K$4:$AJ$4,0)),NA(),IF(SUMPRODUCT((Inputs!$A$5:$A$120=$B10)*ISNUMBER(INDEX(Inputs!$K$5:$AJ$120,0,MATCH(V$2,Inputs!$K$4:$AJ$4,0))))+SUMPRODUCT((Inputs!$C$5:$C$120=$B10)*ISNUMBER(INDEX(Inputs!$K$5:$AJ$120,0,MATCH(V$2,Inputs!$K$4:$AJ$4,0))))+SUMPRODUCT((Inputs!$E$5:$E$120=$B10)*ISNUMBER(INDEX(Inputs!$K$5:$AJ$120,0,MATCH(V$2,Inputs!$K$4:$AJ$4,0))))=0,NA(),SUMPRODUCT((Inputs!$A$5:$A$120=$B10)*Inputs!$B$5:$B$120*(((Inputs!$G$5:$G$120="moeda")+(Inputs!$G$5:$G$120="acoes"))*Inputs!$B$1+((Inputs!$G$5:$G$120&lt;&gt;"moeda")*(Inputs!$G$5:$G$120&lt;&gt;"acoes")))*INDEX(Inputs!$K$5:$AJ$120,0,MATCH(V$2,Inputs!$K$4:$AJ$4,0)))+SUMPRODUCT((Inputs!$C$5:$C$120=$B10)*Inputs!$D$5:$D$120*(((Inputs!$G$5:$G$120="moeda")+(Inputs!$G$5:$G$120="acoes"))*Inputs!$B$1+((Inputs!$G$5:$G$120&lt;&gt;"moeda")*(Inputs!$G$5:$G$120&lt;&gt;"acoes")))*INDEX(Inputs!$K$5:$AJ$120,0,MATCH(V$2,Inputs!$K$4:$AJ$4,0)))+SUMPRODUCT((Inputs!$E$5:$E$120=$B10)*Inputs!$F$5:$F$120*(((Inputs!$G$5:$G$120="moeda")+(Inputs!$G$5:$G$120="acoes"))*Inputs!$B$1+((Inputs!$G$5:$G$120&lt;&gt;"moeda")*(Inputs!$G$5:$G$120&lt;&gt;"acoes")))*INDEX(Inputs!$K$5:$AJ$120,0,MATCH(V$2,Inputs!$K$4:$AJ$4,0)))))</f>
        <v>-100</v>
      </c>
      <c r="W10" s="268">
        <f>SUM(S10:V10)</f>
        <v>-336</v>
      </c>
      <c r="X10" s="267">
        <f>IF(ISNA(MATCH(X$2,Inputs!$K$4:$AJ$4,0)),NA(),IF(SUMPRODUCT((Inputs!$A$5:$A$120=$B10)*ISNUMBER(INDEX(Inputs!$K$5:$AJ$120,0,MATCH(X$2,Inputs!$K$4:$AJ$4,0))))+SUMPRODUCT((Inputs!$C$5:$C$120=$B10)*ISNUMBER(INDEX(Inputs!$K$5:$AJ$120,0,MATCH(X$2,Inputs!$K$4:$AJ$4,0))))+SUMPRODUCT((Inputs!$E$5:$E$120=$B10)*ISNUMBER(INDEX(Inputs!$K$5:$AJ$120,0,MATCH(X$2,Inputs!$K$4:$AJ$4,0))))=0,NA(),SUMPRODUCT((Inputs!$A$5:$A$120=$B10)*Inputs!$B$5:$B$120*(((Inputs!$G$5:$G$120="moeda")+(Inputs!$G$5:$G$120="acoes"))*Inputs!$B$1+((Inputs!$G$5:$G$120&lt;&gt;"moeda")*(Inputs!$G$5:$G$120&lt;&gt;"acoes")))*INDEX(Inputs!$K$5:$AJ$120,0,MATCH(X$2,Inputs!$K$4:$AJ$4,0)))+SUMPRODUCT((Inputs!$C$5:$C$120=$B10)*Inputs!$D$5:$D$120*(((Inputs!$G$5:$G$120="moeda")+(Inputs!$G$5:$G$120="acoes"))*Inputs!$B$1+((Inputs!$G$5:$G$120&lt;&gt;"moeda")*(Inputs!$G$5:$G$120&lt;&gt;"acoes")))*INDEX(Inputs!$K$5:$AJ$120,0,MATCH(X$2,Inputs!$K$4:$AJ$4,0)))+SUMPRODUCT((Inputs!$E$5:$E$120=$B10)*Inputs!$F$5:$F$120*(((Inputs!$G$5:$G$120="moeda")+(Inputs!$G$5:$G$120="acoes"))*Inputs!$B$1+((Inputs!$G$5:$G$120&lt;&gt;"moeda")*(Inputs!$G$5:$G$120&lt;&gt;"acoes")))*INDEX(Inputs!$K$5:$AJ$120,0,MATCH(X$2,Inputs!$K$4:$AJ$4,0)))))</f>
        <v>-80</v>
      </c>
      <c r="Y10" s="267">
        <f>IF(ISNA(MATCH(Y$2,Inputs!$K$4:$AJ$4,0)),NA(),IF(SUMPRODUCT((Inputs!$A$5:$A$120=$B10)*ISNUMBER(INDEX(Inputs!$K$5:$AJ$120,0,MATCH(Y$2,Inputs!$K$4:$AJ$4,0))))+SUMPRODUCT((Inputs!$C$5:$C$120=$B10)*ISNUMBER(INDEX(Inputs!$K$5:$AJ$120,0,MATCH(Y$2,Inputs!$K$4:$AJ$4,0))))+SUMPRODUCT((Inputs!$E$5:$E$120=$B10)*ISNUMBER(INDEX(Inputs!$K$5:$AJ$120,0,MATCH(Y$2,Inputs!$K$4:$AJ$4,0))))=0,NA(),SUMPRODUCT((Inputs!$A$5:$A$120=$B10)*Inputs!$B$5:$B$120*(((Inputs!$G$5:$G$120="moeda")+(Inputs!$G$5:$G$120="acoes"))*Inputs!$B$1+((Inputs!$G$5:$G$120&lt;&gt;"moeda")*(Inputs!$G$5:$G$120&lt;&gt;"acoes")))*INDEX(Inputs!$K$5:$AJ$120,0,MATCH(Y$2,Inputs!$K$4:$AJ$4,0)))+SUMPRODUCT((Inputs!$C$5:$C$120=$B10)*Inputs!$D$5:$D$120*(((Inputs!$G$5:$G$120="moeda")+(Inputs!$G$5:$G$120="acoes"))*Inputs!$B$1+((Inputs!$G$5:$G$120&lt;&gt;"moeda")*(Inputs!$G$5:$G$120&lt;&gt;"acoes")))*INDEX(Inputs!$K$5:$AJ$120,0,MATCH(Y$2,Inputs!$K$4:$AJ$4,0)))+SUMPRODUCT((Inputs!$E$5:$E$120=$B10)*Inputs!$F$5:$F$120*(((Inputs!$G$5:$G$120="moeda")+(Inputs!$G$5:$G$120="acoes"))*Inputs!$B$1+((Inputs!$G$5:$G$120&lt;&gt;"moeda")*(Inputs!$G$5:$G$120&lt;&gt;"acoes")))*INDEX(Inputs!$K$5:$AJ$120,0,MATCH(Y$2,Inputs!$K$4:$AJ$4,0)))))</f>
        <v>-124</v>
      </c>
      <c r="Z10" s="267">
        <f>IF(ISNA(MATCH(Z$2,Inputs!$K$4:$AJ$4,0)),NA(),IF(SUMPRODUCT((Inputs!$A$5:$A$120=$B10)*ISNUMBER(INDEX(Inputs!$K$5:$AJ$120,0,MATCH(Z$2,Inputs!$K$4:$AJ$4,0))))+SUMPRODUCT((Inputs!$C$5:$C$120=$B10)*ISNUMBER(INDEX(Inputs!$K$5:$AJ$120,0,MATCH(Z$2,Inputs!$K$4:$AJ$4,0))))+SUMPRODUCT((Inputs!$E$5:$E$120=$B10)*ISNUMBER(INDEX(Inputs!$K$5:$AJ$120,0,MATCH(Z$2,Inputs!$K$4:$AJ$4,0))))=0,NA(),SUMPRODUCT((Inputs!$A$5:$A$120=$B10)*Inputs!$B$5:$B$120*(((Inputs!$G$5:$G$120="moeda")+(Inputs!$G$5:$G$120="acoes"))*Inputs!$B$1+((Inputs!$G$5:$G$120&lt;&gt;"moeda")*(Inputs!$G$5:$G$120&lt;&gt;"acoes")))*INDEX(Inputs!$K$5:$AJ$120,0,MATCH(Z$2,Inputs!$K$4:$AJ$4,0)))+SUMPRODUCT((Inputs!$C$5:$C$120=$B10)*Inputs!$D$5:$D$120*(((Inputs!$G$5:$G$120="moeda")+(Inputs!$G$5:$G$120="acoes"))*Inputs!$B$1+((Inputs!$G$5:$G$120&lt;&gt;"moeda")*(Inputs!$G$5:$G$120&lt;&gt;"acoes")))*INDEX(Inputs!$K$5:$AJ$120,0,MATCH(Z$2,Inputs!$K$4:$AJ$4,0)))+SUMPRODUCT((Inputs!$E$5:$E$120=$B10)*Inputs!$F$5:$F$120*(((Inputs!$G$5:$G$120="moeda")+(Inputs!$G$5:$G$120="acoes"))*Inputs!$B$1+((Inputs!$G$5:$G$120&lt;&gt;"moeda")*(Inputs!$G$5:$G$120&lt;&gt;"acoes")))*INDEX(Inputs!$K$5:$AJ$120,0,MATCH(Z$2,Inputs!$K$4:$AJ$4,0)))))</f>
        <v>-86</v>
      </c>
      <c r="AA10" s="267">
        <f>IF(ISNA(MATCH(AA$2,Inputs!$K$4:$AJ$4,0)),NA(),IF(SUMPRODUCT((Inputs!$A$5:$A$120=$B10)*ISNUMBER(INDEX(Inputs!$K$5:$AJ$120,0,MATCH(AA$2,Inputs!$K$4:$AJ$4,0))))+SUMPRODUCT((Inputs!$C$5:$C$120=$B10)*ISNUMBER(INDEX(Inputs!$K$5:$AJ$120,0,MATCH(AA$2,Inputs!$K$4:$AJ$4,0))))+SUMPRODUCT((Inputs!$E$5:$E$120=$B10)*ISNUMBER(INDEX(Inputs!$K$5:$AJ$120,0,MATCH(AA$2,Inputs!$K$4:$AJ$4,0))))=0,NA(),SUMPRODUCT((Inputs!$A$5:$A$120=$B10)*Inputs!$B$5:$B$120*(((Inputs!$G$5:$G$120="moeda")+(Inputs!$G$5:$G$120="acoes"))*Inputs!$B$1+((Inputs!$G$5:$G$120&lt;&gt;"moeda")*(Inputs!$G$5:$G$120&lt;&gt;"acoes")))*INDEX(Inputs!$K$5:$AJ$120,0,MATCH(AA$2,Inputs!$K$4:$AJ$4,0)))+SUMPRODUCT((Inputs!$C$5:$C$120=$B10)*Inputs!$D$5:$D$120*(((Inputs!$G$5:$G$120="moeda")+(Inputs!$G$5:$G$120="acoes"))*Inputs!$B$1+((Inputs!$G$5:$G$120&lt;&gt;"moeda")*(Inputs!$G$5:$G$120&lt;&gt;"acoes")))*INDEX(Inputs!$K$5:$AJ$120,0,MATCH(AA$2,Inputs!$K$4:$AJ$4,0)))+SUMPRODUCT((Inputs!$E$5:$E$120=$B10)*Inputs!$F$5:$F$120*(((Inputs!$G$5:$G$120="moeda")+(Inputs!$G$5:$G$120="acoes"))*Inputs!$B$1+((Inputs!$G$5:$G$120&lt;&gt;"moeda")*(Inputs!$G$5:$G$120&lt;&gt;"acoes")))*INDEX(Inputs!$K$5:$AJ$120,0,MATCH(AA$2,Inputs!$K$4:$AJ$4,0)))))</f>
        <v>2</v>
      </c>
      <c r="AB10" s="268">
        <f>SUM(X10:AA10)</f>
        <v>-288</v>
      </c>
      <c r="AC10" s="267">
        <f>IF(ISNA(MATCH(AC$2,Inputs!$K$4:$AJ$4,0)),NA(),IF(SUMPRODUCT((Inputs!$A$5:$A$120=$B10)*ISNUMBER(INDEX(Inputs!$K$5:$AJ$120,0,MATCH(AC$2,Inputs!$K$4:$AJ$4,0))))+SUMPRODUCT((Inputs!$C$5:$C$120=$B10)*ISNUMBER(INDEX(Inputs!$K$5:$AJ$120,0,MATCH(AC$2,Inputs!$K$4:$AJ$4,0))))+SUMPRODUCT((Inputs!$E$5:$E$120=$B10)*ISNUMBER(INDEX(Inputs!$K$5:$AJ$120,0,MATCH(AC$2,Inputs!$K$4:$AJ$4,0))))=0,NA(),SUMPRODUCT((Inputs!$A$5:$A$120=$B10)*Inputs!$B$5:$B$120*(((Inputs!$G$5:$G$120="moeda")+(Inputs!$G$5:$G$120="acoes"))*Inputs!$B$1+((Inputs!$G$5:$G$120&lt;&gt;"moeda")*(Inputs!$G$5:$G$120&lt;&gt;"acoes")))*INDEX(Inputs!$K$5:$AJ$120,0,MATCH(AC$2,Inputs!$K$4:$AJ$4,0)))+SUMPRODUCT((Inputs!$C$5:$C$120=$B10)*Inputs!$D$5:$D$120*(((Inputs!$G$5:$G$120="moeda")+(Inputs!$G$5:$G$120="acoes"))*Inputs!$B$1+((Inputs!$G$5:$G$120&lt;&gt;"moeda")*(Inputs!$G$5:$G$120&lt;&gt;"acoes")))*INDEX(Inputs!$K$5:$AJ$120,0,MATCH(AC$2,Inputs!$K$4:$AJ$4,0)))+SUMPRODUCT((Inputs!$E$5:$E$120=$B10)*Inputs!$F$5:$F$120*(((Inputs!$G$5:$G$120="moeda")+(Inputs!$G$5:$G$120="acoes"))*Inputs!$B$1+((Inputs!$G$5:$G$120&lt;&gt;"moeda")*(Inputs!$G$5:$G$120&lt;&gt;"acoes")))*INDEX(Inputs!$K$5:$AJ$120,0,MATCH(AC$2,Inputs!$K$4:$AJ$4,0)))))</f>
        <v>14</v>
      </c>
      <c r="AD10" s="267">
        <f>IF(ISNA(MATCH(AD$2,Inputs!$K$4:$AJ$4,0)),NA(),IF(SUMPRODUCT((Inputs!$A$5:$A$120=$B10)*ISNUMBER(INDEX(Inputs!$K$5:$AJ$120,0,MATCH(AD$2,Inputs!$K$4:$AJ$4,0))))+SUMPRODUCT((Inputs!$C$5:$C$120=$B10)*ISNUMBER(INDEX(Inputs!$K$5:$AJ$120,0,MATCH(AD$2,Inputs!$K$4:$AJ$4,0))))+SUMPRODUCT((Inputs!$E$5:$E$120=$B10)*ISNUMBER(INDEX(Inputs!$K$5:$AJ$120,0,MATCH(AD$2,Inputs!$K$4:$AJ$4,0))))=0,NA(),SUMPRODUCT((Inputs!$A$5:$A$120=$B10)*Inputs!$B$5:$B$120*(((Inputs!$G$5:$G$120="moeda")+(Inputs!$G$5:$G$120="acoes"))*Inputs!$B$1+((Inputs!$G$5:$G$120&lt;&gt;"moeda")*(Inputs!$G$5:$G$120&lt;&gt;"acoes")))*INDEX(Inputs!$K$5:$AJ$120,0,MATCH(AD$2,Inputs!$K$4:$AJ$4,0)))+SUMPRODUCT((Inputs!$C$5:$C$120=$B10)*Inputs!$D$5:$D$120*(((Inputs!$G$5:$G$120="moeda")+(Inputs!$G$5:$G$120="acoes"))*Inputs!$B$1+((Inputs!$G$5:$G$120&lt;&gt;"moeda")*(Inputs!$G$5:$G$120&lt;&gt;"acoes")))*INDEX(Inputs!$K$5:$AJ$120,0,MATCH(AD$2,Inputs!$K$4:$AJ$4,0)))+SUMPRODUCT((Inputs!$E$5:$E$120=$B10)*Inputs!$F$5:$F$120*(((Inputs!$G$5:$G$120="moeda")+(Inputs!$G$5:$G$120="acoes"))*Inputs!$B$1+((Inputs!$G$5:$G$120&lt;&gt;"moeda")*(Inputs!$G$5:$G$120&lt;&gt;"acoes")))*INDEX(Inputs!$K$5:$AJ$120,0,MATCH(AD$2,Inputs!$K$4:$AJ$4,0)))))</f>
        <v>-236</v>
      </c>
      <c r="AE10" s="267" t="e">
        <f>IF(ISNA(MATCH(AE$2,Inputs!$K$4:$AJ$4,0)),NA(),IF(SUMPRODUCT((Inputs!$A$5:$A$120=$B10)*ISNUMBER(INDEX(Inputs!$K$5:$AJ$120,0,MATCH(AE$2,Inputs!$K$4:$AJ$4,0))))+SUMPRODUCT((Inputs!$C$5:$C$120=$B10)*ISNUMBER(INDEX(Inputs!$K$5:$AJ$120,0,MATCH(AE$2,Inputs!$K$4:$AJ$4,0))))+SUMPRODUCT((Inputs!$E$5:$E$120=$B10)*ISNUMBER(INDEX(Inputs!$K$5:$AJ$120,0,MATCH(AE$2,Inputs!$K$4:$AJ$4,0))))=0,NA(),SUMPRODUCT((Inputs!$A$5:$A$120=$B10)*Inputs!$B$5:$B$120*(((Inputs!$G$5:$G$120="moeda")+(Inputs!$G$5:$G$120="acoes"))*Inputs!$B$1+((Inputs!$G$5:$G$120&lt;&gt;"moeda")*(Inputs!$G$5:$G$120&lt;&gt;"acoes")))*INDEX(Inputs!$K$5:$AJ$120,0,MATCH(AE$2,Inputs!$K$4:$AJ$4,0)))+SUMPRODUCT((Inputs!$C$5:$C$120=$B10)*Inputs!$D$5:$D$120*(((Inputs!$G$5:$G$120="moeda")+(Inputs!$G$5:$G$120="acoes"))*Inputs!$B$1+((Inputs!$G$5:$G$120&lt;&gt;"moeda")*(Inputs!$G$5:$G$120&lt;&gt;"acoes")))*INDEX(Inputs!$K$5:$AJ$120,0,MATCH(AE$2,Inputs!$K$4:$AJ$4,0)))+SUMPRODUCT((Inputs!$E$5:$E$120=$B10)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0" s="267" t="e">
        <f>IF(ISNA(MATCH(AF$2,Inputs!$K$4:$AJ$4,0)),NA(),IF(SUMPRODUCT((Inputs!$A$5:$A$120=$B10)*ISNUMBER(INDEX(Inputs!$K$5:$AJ$120,0,MATCH(AF$2,Inputs!$K$4:$AJ$4,0))))+SUMPRODUCT((Inputs!$C$5:$C$120=$B10)*ISNUMBER(INDEX(Inputs!$K$5:$AJ$120,0,MATCH(AF$2,Inputs!$K$4:$AJ$4,0))))+SUMPRODUCT((Inputs!$E$5:$E$120=$B10)*ISNUMBER(INDEX(Inputs!$K$5:$AJ$120,0,MATCH(AF$2,Inputs!$K$4:$AJ$4,0))))=0,NA(),SUMPRODUCT((Inputs!$A$5:$A$120=$B10)*Inputs!$B$5:$B$120*(((Inputs!$G$5:$G$120="moeda")+(Inputs!$G$5:$G$120="acoes"))*Inputs!$B$1+((Inputs!$G$5:$G$120&lt;&gt;"moeda")*(Inputs!$G$5:$G$120&lt;&gt;"acoes")))*INDEX(Inputs!$K$5:$AJ$120,0,MATCH(AF$2,Inputs!$K$4:$AJ$4,0)))+SUMPRODUCT((Inputs!$C$5:$C$120=$B10)*Inputs!$D$5:$D$120*(((Inputs!$G$5:$G$120="moeda")+(Inputs!$G$5:$G$120="acoes"))*Inputs!$B$1+((Inputs!$G$5:$G$120&lt;&gt;"moeda")*(Inputs!$G$5:$G$120&lt;&gt;"acoes")))*INDEX(Inputs!$K$5:$AJ$120,0,MATCH(AF$2,Inputs!$K$4:$AJ$4,0)))+SUMPRODUCT((Inputs!$E$5:$E$120=$B10)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0" s="268" t="e">
        <f>SUM(AC10:AF10)</f>
        <v>#N/A</v>
      </c>
      <c r="AH10" s="267">
        <f>IF(ISNA(MATCH(AH$2,Inputs!$K$4:$AJ$4,0)),NA(),IF(SUMPRODUCT((Inputs!$A$5:$A$120=$B10)*ISNUMBER(INDEX(Inputs!$K$5:$AJ$120,0,MATCH(AH$2,Inputs!$K$4:$AJ$4,0))))+SUMPRODUCT((Inputs!$C$5:$C$120=$B10)*ISNUMBER(INDEX(Inputs!$K$5:$AJ$120,0,MATCH(AH$2,Inputs!$K$4:$AJ$4,0))))+SUMPRODUCT((Inputs!$E$5:$E$120=$B10)*ISNUMBER(INDEX(Inputs!$K$5:$AJ$120,0,MATCH(AH$2,Inputs!$K$4:$AJ$4,0))))=0,NA(),SUMPRODUCT((Inputs!$A$5:$A$120=$B10)*Inputs!$B$5:$B$120*(((Inputs!$G$5:$G$120="moeda")+(Inputs!$G$5:$G$120="acoes"))*Inputs!$B$1+((Inputs!$G$5:$G$120&lt;&gt;"moeda")*(Inputs!$G$5:$G$120&lt;&gt;"acoes")))*INDEX(Inputs!$K$5:$AJ$120,0,MATCH(AH$2,Inputs!$K$4:$AJ$4,0)))+SUMPRODUCT((Inputs!$C$5:$C$120=$B10)*Inputs!$D$5:$D$120*(((Inputs!$G$5:$G$120="moeda")+(Inputs!$G$5:$G$120="acoes"))*Inputs!$B$1+((Inputs!$G$5:$G$120&lt;&gt;"moeda")*(Inputs!$G$5:$G$120&lt;&gt;"acoes")))*INDEX(Inputs!$K$5:$AJ$120,0,MATCH(AH$2,Inputs!$K$4:$AJ$4,0)))+SUMPRODUCT((Inputs!$E$5:$E$120=$B10)*Inputs!$F$5:$F$120*(((Inputs!$G$5:$G$120="moeda")+(Inputs!$G$5:$G$120="acoes"))*Inputs!$B$1+((Inputs!$G$5:$G$120&lt;&gt;"moeda")*(Inputs!$G$5:$G$120&lt;&gt;"acoes")))*INDEX(Inputs!$K$5:$AJ$120,0,MATCH(AH$2,Inputs!$K$4:$AJ$4,0)))))</f>
        <v>55</v>
      </c>
      <c r="AI10" s="267">
        <f>IF(ISNA(MATCH(AI$2,Inputs!$K$4:$AJ$4,0)),NA(),IF(SUMPRODUCT((Inputs!$A$5:$A$120=$B10)*ISNUMBER(INDEX(Inputs!$K$5:$AJ$120,0,MATCH(AI$2,Inputs!$K$4:$AJ$4,0))))+SUMPRODUCT((Inputs!$C$5:$C$120=$B10)*ISNUMBER(INDEX(Inputs!$K$5:$AJ$120,0,MATCH(AI$2,Inputs!$K$4:$AJ$4,0))))+SUMPRODUCT((Inputs!$E$5:$E$120=$B10)*ISNUMBER(INDEX(Inputs!$K$5:$AJ$120,0,MATCH(AI$2,Inputs!$K$4:$AJ$4,0))))=0,NA(),SUMPRODUCT((Inputs!$A$5:$A$120=$B10)*Inputs!$B$5:$B$120*(((Inputs!$G$5:$G$120="moeda")+(Inputs!$G$5:$G$120="acoes"))*Inputs!$B$1+((Inputs!$G$5:$G$120&lt;&gt;"moeda")*(Inputs!$G$5:$G$120&lt;&gt;"acoes")))*INDEX(Inputs!$K$5:$AJ$120,0,MATCH(AI$2,Inputs!$K$4:$AJ$4,0)))+SUMPRODUCT((Inputs!$C$5:$C$120=$B10)*Inputs!$D$5:$D$120*(((Inputs!$G$5:$G$120="moeda")+(Inputs!$G$5:$G$120="acoes"))*Inputs!$B$1+((Inputs!$G$5:$G$120&lt;&gt;"moeda")*(Inputs!$G$5:$G$120&lt;&gt;"acoes")))*INDEX(Inputs!$K$5:$AJ$120,0,MATCH(AI$2,Inputs!$K$4:$AJ$4,0)))+SUMPRODUCT((Inputs!$E$5:$E$120=$B10)*Inputs!$F$5:$F$120*(((Inputs!$G$5:$G$120="moeda")+(Inputs!$G$5:$G$120="acoes"))*Inputs!$B$1+((Inputs!$G$5:$G$120&lt;&gt;"moeda")*(Inputs!$G$5:$G$120&lt;&gt;"acoes")))*INDEX(Inputs!$K$5:$AJ$120,0,MATCH(AI$2,Inputs!$K$4:$AJ$4,0)))))</f>
        <v>-168</v>
      </c>
      <c r="AJ10" s="267">
        <f>IF(ISNA(MATCH(AJ$2,Inputs!$K$4:$AJ$4,0)),NA(),IF(SUMPRODUCT((Inputs!$A$5:$A$120=$B10)*ISNUMBER(INDEX(Inputs!$K$5:$AJ$120,0,MATCH(AJ$2,Inputs!$K$4:$AJ$4,0))))+SUMPRODUCT((Inputs!$C$5:$C$120=$B10)*ISNUMBER(INDEX(Inputs!$K$5:$AJ$120,0,MATCH(AJ$2,Inputs!$K$4:$AJ$4,0))))+SUMPRODUCT((Inputs!$E$5:$E$120=$B10)*ISNUMBER(INDEX(Inputs!$K$5:$AJ$120,0,MATCH(AJ$2,Inputs!$K$4:$AJ$4,0))))=0,NA(),SUMPRODUCT((Inputs!$A$5:$A$120=$B10)*Inputs!$B$5:$B$120*(((Inputs!$G$5:$G$120="moeda")+(Inputs!$G$5:$G$120="acoes"))*Inputs!$B$1+((Inputs!$G$5:$G$120&lt;&gt;"moeda")*(Inputs!$G$5:$G$120&lt;&gt;"acoes")))*INDEX(Inputs!$K$5:$AJ$120,0,MATCH(AJ$2,Inputs!$K$4:$AJ$4,0)))+SUMPRODUCT((Inputs!$C$5:$C$120=$B10)*Inputs!$D$5:$D$120*(((Inputs!$G$5:$G$120="moeda")+(Inputs!$G$5:$G$120="acoes"))*Inputs!$B$1+((Inputs!$G$5:$G$120&lt;&gt;"moeda")*(Inputs!$G$5:$G$120&lt;&gt;"acoes")))*INDEX(Inputs!$K$5:$AJ$120,0,MATCH(AJ$2,Inputs!$K$4:$AJ$4,0)))+SUMPRODUCT((Inputs!$E$5:$E$120=$B10)*Inputs!$F$5:$F$120*(((Inputs!$G$5:$G$120="moeda")+(Inputs!$G$5:$G$120="acoes"))*Inputs!$B$1+((Inputs!$G$5:$G$120&lt;&gt;"moeda")*(Inputs!$G$5:$G$120&lt;&gt;"acoes")))*INDEX(Inputs!$K$5:$AJ$120,0,MATCH(AJ$2,Inputs!$K$4:$AJ$4,0)))))</f>
        <v>-38</v>
      </c>
      <c r="AK10" s="267">
        <f>IF(ISNA(MATCH(AK$2,Inputs!$K$4:$AJ$4,0)),NA(),IF(SUMPRODUCT((Inputs!$A$5:$A$120=$B10)*ISNUMBER(INDEX(Inputs!$K$5:$AJ$120,0,MATCH(AK$2,Inputs!$K$4:$AJ$4,0))))+SUMPRODUCT((Inputs!$C$5:$C$120=$B10)*ISNUMBER(INDEX(Inputs!$K$5:$AJ$120,0,MATCH(AK$2,Inputs!$K$4:$AJ$4,0))))+SUMPRODUCT((Inputs!$E$5:$E$120=$B10)*ISNUMBER(INDEX(Inputs!$K$5:$AJ$120,0,MATCH(AK$2,Inputs!$K$4:$AJ$4,0))))=0,NA(),SUMPRODUCT((Inputs!$A$5:$A$120=$B10)*Inputs!$B$5:$B$120*(((Inputs!$G$5:$G$120="moeda")+(Inputs!$G$5:$G$120="acoes"))*Inputs!$B$1+((Inputs!$G$5:$G$120&lt;&gt;"moeda")*(Inputs!$G$5:$G$120&lt;&gt;"acoes")))*INDEX(Inputs!$K$5:$AJ$120,0,MATCH(AK$2,Inputs!$K$4:$AJ$4,0)))+SUMPRODUCT((Inputs!$C$5:$C$120=$B10)*Inputs!$D$5:$D$120*(((Inputs!$G$5:$G$120="moeda")+(Inputs!$G$5:$G$120="acoes"))*Inputs!$B$1+((Inputs!$G$5:$G$120&lt;&gt;"moeda")*(Inputs!$G$5:$G$120&lt;&gt;"acoes")))*INDEX(Inputs!$K$5:$AJ$120,0,MATCH(AK$2,Inputs!$K$4:$AJ$4,0)))+SUMPRODUCT((Inputs!$E$5:$E$120=$B10)*Inputs!$F$5:$F$120*(((Inputs!$G$5:$G$120="moeda")+(Inputs!$G$5:$G$120="acoes"))*Inputs!$B$1+((Inputs!$G$5:$G$120&lt;&gt;"moeda")*(Inputs!$G$5:$G$120&lt;&gt;"acoes")))*INDEX(Inputs!$K$5:$AJ$120,0,MATCH(AK$2,Inputs!$K$4:$AJ$4,0)))))</f>
        <v>-97</v>
      </c>
      <c r="AL10" s="268">
        <f>SUM(AH10:AK10)</f>
        <v>-248</v>
      </c>
    </row>
    <row r="11" ht="12.75" customHeight="1" s="255">
      <c r="B11" s="265" t="n">
        <v>8</v>
      </c>
      <c r="C11" s="270" t="inlineStr">
        <is>
          <t>Equity in Income of Affiliates, after tax (enter as +)</t>
        </is>
      </c>
      <c r="D11" s="267">
        <f>IF(ISNA(MATCH(D$2,Inputs!$K$4:$AJ$4,0)),NA(),IF(SUMPRODUCT((Inputs!$A$5:$A$120=$B11)*ISNUMBER(INDEX(Inputs!$K$5:$AJ$120,0,MATCH(D$2,Inputs!$K$4:$AJ$4,0))))+SUMPRODUCT((Inputs!$C$5:$C$120=$B11)*ISNUMBER(INDEX(Inputs!$K$5:$AJ$120,0,MATCH(D$2,Inputs!$K$4:$AJ$4,0))))+SUMPRODUCT((Inputs!$E$5:$E$120=$B11)*ISNUMBER(INDEX(Inputs!$K$5:$AJ$120,0,MATCH(D$2,Inputs!$K$4:$AJ$4,0))))=0,NA(),SUMPRODUCT((Inputs!$A$5:$A$120=$B11)*Inputs!$B$5:$B$120*(((Inputs!$G$5:$G$120="moeda")+(Inputs!$G$5:$G$120="acoes"))*Inputs!$B$1+((Inputs!$G$5:$G$120&lt;&gt;"moeda")*(Inputs!$G$5:$G$120&lt;&gt;"acoes")))*INDEX(Inputs!$K$5:$AJ$120,0,MATCH(D$2,Inputs!$K$4:$AJ$4,0)))+SUMPRODUCT((Inputs!$C$5:$C$120=$B11)*Inputs!$D$5:$D$120*(((Inputs!$G$5:$G$120="moeda")+(Inputs!$G$5:$G$120="acoes"))*Inputs!$B$1+((Inputs!$G$5:$G$120&lt;&gt;"moeda")*(Inputs!$G$5:$G$120&lt;&gt;"acoes")))*INDEX(Inputs!$K$5:$AJ$120,0,MATCH(D$2,Inputs!$K$4:$AJ$4,0)))+SUMPRODUCT((Inputs!$E$5:$E$120=$B11)*Inputs!$F$5:$F$120*(((Inputs!$G$5:$G$120="moeda")+(Inputs!$G$5:$G$120="acoes"))*Inputs!$B$1+((Inputs!$G$5:$G$120&lt;&gt;"moeda")*(Inputs!$G$5:$G$120&lt;&gt;"acoes")))*INDEX(Inputs!$K$5:$AJ$120,0,MATCH(D$2,Inputs!$K$4:$AJ$4,0)))))</f>
        <v>0</v>
      </c>
      <c r="E11" s="267">
        <f>IF(ISNA(MATCH(E$2,Inputs!$K$4:$AJ$4,0)),NA(),IF(SUMPRODUCT((Inputs!$A$5:$A$120=$B11)*ISNUMBER(INDEX(Inputs!$K$5:$AJ$120,0,MATCH(E$2,Inputs!$K$4:$AJ$4,0))))+SUMPRODUCT((Inputs!$C$5:$C$120=$B11)*ISNUMBER(INDEX(Inputs!$K$5:$AJ$120,0,MATCH(E$2,Inputs!$K$4:$AJ$4,0))))+SUMPRODUCT((Inputs!$E$5:$E$120=$B11)*ISNUMBER(INDEX(Inputs!$K$5:$AJ$120,0,MATCH(E$2,Inputs!$K$4:$AJ$4,0))))=0,NA(),SUMPRODUCT((Inputs!$A$5:$A$120=$B11)*Inputs!$B$5:$B$120*(((Inputs!$G$5:$G$120="moeda")+(Inputs!$G$5:$G$120="acoes"))*Inputs!$B$1+((Inputs!$G$5:$G$120&lt;&gt;"moeda")*(Inputs!$G$5:$G$120&lt;&gt;"acoes")))*INDEX(Inputs!$K$5:$AJ$120,0,MATCH(E$2,Inputs!$K$4:$AJ$4,0)))+SUMPRODUCT((Inputs!$C$5:$C$120=$B11)*Inputs!$D$5:$D$120*(((Inputs!$G$5:$G$120="moeda")+(Inputs!$G$5:$G$120="acoes"))*Inputs!$B$1+((Inputs!$G$5:$G$120&lt;&gt;"moeda")*(Inputs!$G$5:$G$120&lt;&gt;"acoes")))*INDEX(Inputs!$K$5:$AJ$120,0,MATCH(E$2,Inputs!$K$4:$AJ$4,0)))+SUMPRODUCT((Inputs!$E$5:$E$120=$B11)*Inputs!$F$5:$F$120*(((Inputs!$G$5:$G$120="moeda")+(Inputs!$G$5:$G$120="acoes"))*Inputs!$B$1+((Inputs!$G$5:$G$120&lt;&gt;"moeda")*(Inputs!$G$5:$G$120&lt;&gt;"acoes")))*INDEX(Inputs!$K$5:$AJ$120,0,MATCH(E$2,Inputs!$K$4:$AJ$4,0)))))</f>
        <v>0</v>
      </c>
      <c r="F11" s="267">
        <f>IF(ISNA(MATCH(F$2,Inputs!$K$4:$AJ$4,0)),NA(),IF(SUMPRODUCT((Inputs!$A$5:$A$120=$B11)*ISNUMBER(INDEX(Inputs!$K$5:$AJ$120,0,MATCH(F$2,Inputs!$K$4:$AJ$4,0))))+SUMPRODUCT((Inputs!$C$5:$C$120=$B11)*ISNUMBER(INDEX(Inputs!$K$5:$AJ$120,0,MATCH(F$2,Inputs!$K$4:$AJ$4,0))))+SUMPRODUCT((Inputs!$E$5:$E$120=$B11)*ISNUMBER(INDEX(Inputs!$K$5:$AJ$120,0,MATCH(F$2,Inputs!$K$4:$AJ$4,0))))=0,NA(),SUMPRODUCT((Inputs!$A$5:$A$120=$B11)*Inputs!$B$5:$B$120*(((Inputs!$G$5:$G$120="moeda")+(Inputs!$G$5:$G$120="acoes"))*Inputs!$B$1+((Inputs!$G$5:$G$120&lt;&gt;"moeda")*(Inputs!$G$5:$G$120&lt;&gt;"acoes")))*INDEX(Inputs!$K$5:$AJ$120,0,MATCH(F$2,Inputs!$K$4:$AJ$4,0)))+SUMPRODUCT((Inputs!$C$5:$C$120=$B11)*Inputs!$D$5:$D$120*(((Inputs!$G$5:$G$120="moeda")+(Inputs!$G$5:$G$120="acoes"))*Inputs!$B$1+((Inputs!$G$5:$G$120&lt;&gt;"moeda")*(Inputs!$G$5:$G$120&lt;&gt;"acoes")))*INDEX(Inputs!$K$5:$AJ$120,0,MATCH(F$2,Inputs!$K$4:$AJ$4,0)))+SUMPRODUCT((Inputs!$E$5:$E$120=$B11)*Inputs!$F$5:$F$120*(((Inputs!$G$5:$G$120="moeda")+(Inputs!$G$5:$G$120="acoes"))*Inputs!$B$1+((Inputs!$G$5:$G$120&lt;&gt;"moeda")*(Inputs!$G$5:$G$120&lt;&gt;"acoes")))*INDEX(Inputs!$K$5:$AJ$120,0,MATCH(F$2,Inputs!$K$4:$AJ$4,0)))))</f>
        <v>0</v>
      </c>
      <c r="G11" s="267">
        <f>IF(ISNA(MATCH(G$2,Inputs!$K$4:$AJ$4,0)),NA(),IF(SUMPRODUCT((Inputs!$A$5:$A$120=$B11)*ISNUMBER(INDEX(Inputs!$K$5:$AJ$120,0,MATCH(G$2,Inputs!$K$4:$AJ$4,0))))+SUMPRODUCT((Inputs!$C$5:$C$120=$B11)*ISNUMBER(INDEX(Inputs!$K$5:$AJ$120,0,MATCH(G$2,Inputs!$K$4:$AJ$4,0))))+SUMPRODUCT((Inputs!$E$5:$E$120=$B11)*ISNUMBER(INDEX(Inputs!$K$5:$AJ$120,0,MATCH(G$2,Inputs!$K$4:$AJ$4,0))))=0,NA(),SUMPRODUCT((Inputs!$A$5:$A$120=$B11)*Inputs!$B$5:$B$120*(((Inputs!$G$5:$G$120="moeda")+(Inputs!$G$5:$G$120="acoes"))*Inputs!$B$1+((Inputs!$G$5:$G$120&lt;&gt;"moeda")*(Inputs!$G$5:$G$120&lt;&gt;"acoes")))*INDEX(Inputs!$K$5:$AJ$120,0,MATCH(G$2,Inputs!$K$4:$AJ$4,0)))+SUMPRODUCT((Inputs!$C$5:$C$120=$B11)*Inputs!$D$5:$D$120*(((Inputs!$G$5:$G$120="moeda")+(Inputs!$G$5:$G$120="acoes"))*Inputs!$B$1+((Inputs!$G$5:$G$120&lt;&gt;"moeda")*(Inputs!$G$5:$G$120&lt;&gt;"acoes")))*INDEX(Inputs!$K$5:$AJ$120,0,MATCH(G$2,Inputs!$K$4:$AJ$4,0)))+SUMPRODUCT((Inputs!$E$5:$E$120=$B11)*Inputs!$F$5:$F$120*(((Inputs!$G$5:$G$120="moeda")+(Inputs!$G$5:$G$120="acoes"))*Inputs!$B$1+((Inputs!$G$5:$G$120&lt;&gt;"moeda")*(Inputs!$G$5:$G$120&lt;&gt;"acoes")))*INDEX(Inputs!$K$5:$AJ$120,0,MATCH(G$2,Inputs!$K$4:$AJ$4,0)))))</f>
        <v>0</v>
      </c>
      <c r="H11" s="268">
        <f>SUM(D11:G11)</f>
        <v>0</v>
      </c>
      <c r="I11" s="267">
        <f>IF(ISNA(MATCH(I$2,Inputs!$K$4:$AJ$4,0)),NA(),IF(SUMPRODUCT((Inputs!$A$5:$A$120=$B11)*ISNUMBER(INDEX(Inputs!$K$5:$AJ$120,0,MATCH(I$2,Inputs!$K$4:$AJ$4,0))))+SUMPRODUCT((Inputs!$C$5:$C$120=$B11)*ISNUMBER(INDEX(Inputs!$K$5:$AJ$120,0,MATCH(I$2,Inputs!$K$4:$AJ$4,0))))+SUMPRODUCT((Inputs!$E$5:$E$120=$B11)*ISNUMBER(INDEX(Inputs!$K$5:$AJ$120,0,MATCH(I$2,Inputs!$K$4:$AJ$4,0))))=0,NA(),SUMPRODUCT((Inputs!$A$5:$A$120=$B11)*Inputs!$B$5:$B$120*(((Inputs!$G$5:$G$120="moeda")+(Inputs!$G$5:$G$120="acoes"))*Inputs!$B$1+((Inputs!$G$5:$G$120&lt;&gt;"moeda")*(Inputs!$G$5:$G$120&lt;&gt;"acoes")))*INDEX(Inputs!$K$5:$AJ$120,0,MATCH(I$2,Inputs!$K$4:$AJ$4,0)))+SUMPRODUCT((Inputs!$C$5:$C$120=$B11)*Inputs!$D$5:$D$120*(((Inputs!$G$5:$G$120="moeda")+(Inputs!$G$5:$G$120="acoes"))*Inputs!$B$1+((Inputs!$G$5:$G$120&lt;&gt;"moeda")*(Inputs!$G$5:$G$120&lt;&gt;"acoes")))*INDEX(Inputs!$K$5:$AJ$120,0,MATCH(I$2,Inputs!$K$4:$AJ$4,0)))+SUMPRODUCT((Inputs!$E$5:$E$120=$B11)*Inputs!$F$5:$F$120*(((Inputs!$G$5:$G$120="moeda")+(Inputs!$G$5:$G$120="acoes"))*Inputs!$B$1+((Inputs!$G$5:$G$120&lt;&gt;"moeda")*(Inputs!$G$5:$G$120&lt;&gt;"acoes")))*INDEX(Inputs!$K$5:$AJ$120,0,MATCH(I$2,Inputs!$K$4:$AJ$4,0)))))</f>
        <v>0</v>
      </c>
      <c r="J11" s="267">
        <f>IF(ISNA(MATCH(J$2,Inputs!$K$4:$AJ$4,0)),NA(),IF(SUMPRODUCT((Inputs!$A$5:$A$120=$B11)*ISNUMBER(INDEX(Inputs!$K$5:$AJ$120,0,MATCH(J$2,Inputs!$K$4:$AJ$4,0))))+SUMPRODUCT((Inputs!$C$5:$C$120=$B11)*ISNUMBER(INDEX(Inputs!$K$5:$AJ$120,0,MATCH(J$2,Inputs!$K$4:$AJ$4,0))))+SUMPRODUCT((Inputs!$E$5:$E$120=$B11)*ISNUMBER(INDEX(Inputs!$K$5:$AJ$120,0,MATCH(J$2,Inputs!$K$4:$AJ$4,0))))=0,NA(),SUMPRODUCT((Inputs!$A$5:$A$120=$B11)*Inputs!$B$5:$B$120*(((Inputs!$G$5:$G$120="moeda")+(Inputs!$G$5:$G$120="acoes"))*Inputs!$B$1+((Inputs!$G$5:$G$120&lt;&gt;"moeda")*(Inputs!$G$5:$G$120&lt;&gt;"acoes")))*INDEX(Inputs!$K$5:$AJ$120,0,MATCH(J$2,Inputs!$K$4:$AJ$4,0)))+SUMPRODUCT((Inputs!$C$5:$C$120=$B11)*Inputs!$D$5:$D$120*(((Inputs!$G$5:$G$120="moeda")+(Inputs!$G$5:$G$120="acoes"))*Inputs!$B$1+((Inputs!$G$5:$G$120&lt;&gt;"moeda")*(Inputs!$G$5:$G$120&lt;&gt;"acoes")))*INDEX(Inputs!$K$5:$AJ$120,0,MATCH(J$2,Inputs!$K$4:$AJ$4,0)))+SUMPRODUCT((Inputs!$E$5:$E$120=$B11)*Inputs!$F$5:$F$120*(((Inputs!$G$5:$G$120="moeda")+(Inputs!$G$5:$G$120="acoes"))*Inputs!$B$1+((Inputs!$G$5:$G$120&lt;&gt;"moeda")*(Inputs!$G$5:$G$120&lt;&gt;"acoes")))*INDEX(Inputs!$K$5:$AJ$120,0,MATCH(J$2,Inputs!$K$4:$AJ$4,0)))))</f>
        <v>0</v>
      </c>
      <c r="K11" s="267">
        <f>IF(ISNA(MATCH(K$2,Inputs!$K$4:$AJ$4,0)),NA(),IF(SUMPRODUCT((Inputs!$A$5:$A$120=$B11)*ISNUMBER(INDEX(Inputs!$K$5:$AJ$120,0,MATCH(K$2,Inputs!$K$4:$AJ$4,0))))+SUMPRODUCT((Inputs!$C$5:$C$120=$B11)*ISNUMBER(INDEX(Inputs!$K$5:$AJ$120,0,MATCH(K$2,Inputs!$K$4:$AJ$4,0))))+SUMPRODUCT((Inputs!$E$5:$E$120=$B11)*ISNUMBER(INDEX(Inputs!$K$5:$AJ$120,0,MATCH(K$2,Inputs!$K$4:$AJ$4,0))))=0,NA(),SUMPRODUCT((Inputs!$A$5:$A$120=$B11)*Inputs!$B$5:$B$120*(((Inputs!$G$5:$G$120="moeda")+(Inputs!$G$5:$G$120="acoes"))*Inputs!$B$1+((Inputs!$G$5:$G$120&lt;&gt;"moeda")*(Inputs!$G$5:$G$120&lt;&gt;"acoes")))*INDEX(Inputs!$K$5:$AJ$120,0,MATCH(K$2,Inputs!$K$4:$AJ$4,0)))+SUMPRODUCT((Inputs!$C$5:$C$120=$B11)*Inputs!$D$5:$D$120*(((Inputs!$G$5:$G$120="moeda")+(Inputs!$G$5:$G$120="acoes"))*Inputs!$B$1+((Inputs!$G$5:$G$120&lt;&gt;"moeda")*(Inputs!$G$5:$G$120&lt;&gt;"acoes")))*INDEX(Inputs!$K$5:$AJ$120,0,MATCH(K$2,Inputs!$K$4:$AJ$4,0)))+SUMPRODUCT((Inputs!$E$5:$E$120=$B11)*Inputs!$F$5:$F$120*(((Inputs!$G$5:$G$120="moeda")+(Inputs!$G$5:$G$120="acoes"))*Inputs!$B$1+((Inputs!$G$5:$G$120&lt;&gt;"moeda")*(Inputs!$G$5:$G$120&lt;&gt;"acoes")))*INDEX(Inputs!$K$5:$AJ$120,0,MATCH(K$2,Inputs!$K$4:$AJ$4,0)))))</f>
        <v>0</v>
      </c>
      <c r="L11" s="267">
        <f>IF(ISNA(MATCH(L$2,Inputs!$K$4:$AJ$4,0)),NA(),IF(SUMPRODUCT((Inputs!$A$5:$A$120=$B11)*ISNUMBER(INDEX(Inputs!$K$5:$AJ$120,0,MATCH(L$2,Inputs!$K$4:$AJ$4,0))))+SUMPRODUCT((Inputs!$C$5:$C$120=$B11)*ISNUMBER(INDEX(Inputs!$K$5:$AJ$120,0,MATCH(L$2,Inputs!$K$4:$AJ$4,0))))+SUMPRODUCT((Inputs!$E$5:$E$120=$B11)*ISNUMBER(INDEX(Inputs!$K$5:$AJ$120,0,MATCH(L$2,Inputs!$K$4:$AJ$4,0))))=0,NA(),SUMPRODUCT((Inputs!$A$5:$A$120=$B11)*Inputs!$B$5:$B$120*(((Inputs!$G$5:$G$120="moeda")+(Inputs!$G$5:$G$120="acoes"))*Inputs!$B$1+((Inputs!$G$5:$G$120&lt;&gt;"moeda")*(Inputs!$G$5:$G$120&lt;&gt;"acoes")))*INDEX(Inputs!$K$5:$AJ$120,0,MATCH(L$2,Inputs!$K$4:$AJ$4,0)))+SUMPRODUCT((Inputs!$C$5:$C$120=$B11)*Inputs!$D$5:$D$120*(((Inputs!$G$5:$G$120="moeda")+(Inputs!$G$5:$G$120="acoes"))*Inputs!$B$1+((Inputs!$G$5:$G$120&lt;&gt;"moeda")*(Inputs!$G$5:$G$120&lt;&gt;"acoes")))*INDEX(Inputs!$K$5:$AJ$120,0,MATCH(L$2,Inputs!$K$4:$AJ$4,0)))+SUMPRODUCT((Inputs!$E$5:$E$120=$B11)*Inputs!$F$5:$F$120*(((Inputs!$G$5:$G$120="moeda")+(Inputs!$G$5:$G$120="acoes"))*Inputs!$B$1+((Inputs!$G$5:$G$120&lt;&gt;"moeda")*(Inputs!$G$5:$G$120&lt;&gt;"acoes")))*INDEX(Inputs!$K$5:$AJ$120,0,MATCH(L$2,Inputs!$K$4:$AJ$4,0)))))</f>
        <v>0</v>
      </c>
      <c r="M11" s="268">
        <f>SUM(I11:L11)</f>
        <v>0</v>
      </c>
      <c r="N11" s="267">
        <f>IF(ISNA(MATCH(N$2,Inputs!$K$4:$AJ$4,0)),NA(),IF(SUMPRODUCT((Inputs!$A$5:$A$120=$B11)*ISNUMBER(INDEX(Inputs!$K$5:$AJ$120,0,MATCH(N$2,Inputs!$K$4:$AJ$4,0))))+SUMPRODUCT((Inputs!$C$5:$C$120=$B11)*ISNUMBER(INDEX(Inputs!$K$5:$AJ$120,0,MATCH(N$2,Inputs!$K$4:$AJ$4,0))))+SUMPRODUCT((Inputs!$E$5:$E$120=$B11)*ISNUMBER(INDEX(Inputs!$K$5:$AJ$120,0,MATCH(N$2,Inputs!$K$4:$AJ$4,0))))=0,NA(),SUMPRODUCT((Inputs!$A$5:$A$120=$B11)*Inputs!$B$5:$B$120*(((Inputs!$G$5:$G$120="moeda")+(Inputs!$G$5:$G$120="acoes"))*Inputs!$B$1+((Inputs!$G$5:$G$120&lt;&gt;"moeda")*(Inputs!$G$5:$G$120&lt;&gt;"acoes")))*INDEX(Inputs!$K$5:$AJ$120,0,MATCH(N$2,Inputs!$K$4:$AJ$4,0)))+SUMPRODUCT((Inputs!$C$5:$C$120=$B11)*Inputs!$D$5:$D$120*(((Inputs!$G$5:$G$120="moeda")+(Inputs!$G$5:$G$120="acoes"))*Inputs!$B$1+((Inputs!$G$5:$G$120&lt;&gt;"moeda")*(Inputs!$G$5:$G$120&lt;&gt;"acoes")))*INDEX(Inputs!$K$5:$AJ$120,0,MATCH(N$2,Inputs!$K$4:$AJ$4,0)))+SUMPRODUCT((Inputs!$E$5:$E$120=$B11)*Inputs!$F$5:$F$120*(((Inputs!$G$5:$G$120="moeda")+(Inputs!$G$5:$G$120="acoes"))*Inputs!$B$1+((Inputs!$G$5:$G$120&lt;&gt;"moeda")*(Inputs!$G$5:$G$120&lt;&gt;"acoes")))*INDEX(Inputs!$K$5:$AJ$120,0,MATCH(N$2,Inputs!$K$4:$AJ$4,0)))))</f>
        <v>0</v>
      </c>
      <c r="O11" s="267">
        <f>IF(ISNA(MATCH(O$2,Inputs!$K$4:$AJ$4,0)),NA(),IF(SUMPRODUCT((Inputs!$A$5:$A$120=$B11)*ISNUMBER(INDEX(Inputs!$K$5:$AJ$120,0,MATCH(O$2,Inputs!$K$4:$AJ$4,0))))+SUMPRODUCT((Inputs!$C$5:$C$120=$B11)*ISNUMBER(INDEX(Inputs!$K$5:$AJ$120,0,MATCH(O$2,Inputs!$K$4:$AJ$4,0))))+SUMPRODUCT((Inputs!$E$5:$E$120=$B11)*ISNUMBER(INDEX(Inputs!$K$5:$AJ$120,0,MATCH(O$2,Inputs!$K$4:$AJ$4,0))))=0,NA(),SUMPRODUCT((Inputs!$A$5:$A$120=$B11)*Inputs!$B$5:$B$120*(((Inputs!$G$5:$G$120="moeda")+(Inputs!$G$5:$G$120="acoes"))*Inputs!$B$1+((Inputs!$G$5:$G$120&lt;&gt;"moeda")*(Inputs!$G$5:$G$120&lt;&gt;"acoes")))*INDEX(Inputs!$K$5:$AJ$120,0,MATCH(O$2,Inputs!$K$4:$AJ$4,0)))+SUMPRODUCT((Inputs!$C$5:$C$120=$B11)*Inputs!$D$5:$D$120*(((Inputs!$G$5:$G$120="moeda")+(Inputs!$G$5:$G$120="acoes"))*Inputs!$B$1+((Inputs!$G$5:$G$120&lt;&gt;"moeda")*(Inputs!$G$5:$G$120&lt;&gt;"acoes")))*INDEX(Inputs!$K$5:$AJ$120,0,MATCH(O$2,Inputs!$K$4:$AJ$4,0)))+SUMPRODUCT((Inputs!$E$5:$E$120=$B11)*Inputs!$F$5:$F$120*(((Inputs!$G$5:$G$120="moeda")+(Inputs!$G$5:$G$120="acoes"))*Inputs!$B$1+((Inputs!$G$5:$G$120&lt;&gt;"moeda")*(Inputs!$G$5:$G$120&lt;&gt;"acoes")))*INDEX(Inputs!$K$5:$AJ$120,0,MATCH(O$2,Inputs!$K$4:$AJ$4,0)))))</f>
        <v>0</v>
      </c>
      <c r="P11" s="267">
        <f>IF(ISNA(MATCH(P$2,Inputs!$K$4:$AJ$4,0)),NA(),IF(SUMPRODUCT((Inputs!$A$5:$A$120=$B11)*ISNUMBER(INDEX(Inputs!$K$5:$AJ$120,0,MATCH(P$2,Inputs!$K$4:$AJ$4,0))))+SUMPRODUCT((Inputs!$C$5:$C$120=$B11)*ISNUMBER(INDEX(Inputs!$K$5:$AJ$120,0,MATCH(P$2,Inputs!$K$4:$AJ$4,0))))+SUMPRODUCT((Inputs!$E$5:$E$120=$B11)*ISNUMBER(INDEX(Inputs!$K$5:$AJ$120,0,MATCH(P$2,Inputs!$K$4:$AJ$4,0))))=0,NA(),SUMPRODUCT((Inputs!$A$5:$A$120=$B11)*Inputs!$B$5:$B$120*(((Inputs!$G$5:$G$120="moeda")+(Inputs!$G$5:$G$120="acoes"))*Inputs!$B$1+((Inputs!$G$5:$G$120&lt;&gt;"moeda")*(Inputs!$G$5:$G$120&lt;&gt;"acoes")))*INDEX(Inputs!$K$5:$AJ$120,0,MATCH(P$2,Inputs!$K$4:$AJ$4,0)))+SUMPRODUCT((Inputs!$C$5:$C$120=$B11)*Inputs!$D$5:$D$120*(((Inputs!$G$5:$G$120="moeda")+(Inputs!$G$5:$G$120="acoes"))*Inputs!$B$1+((Inputs!$G$5:$G$120&lt;&gt;"moeda")*(Inputs!$G$5:$G$120&lt;&gt;"acoes")))*INDEX(Inputs!$K$5:$AJ$120,0,MATCH(P$2,Inputs!$K$4:$AJ$4,0)))+SUMPRODUCT((Inputs!$E$5:$E$120=$B11)*Inputs!$F$5:$F$120*(((Inputs!$G$5:$G$120="moeda")+(Inputs!$G$5:$G$120="acoes"))*Inputs!$B$1+((Inputs!$G$5:$G$120&lt;&gt;"moeda")*(Inputs!$G$5:$G$120&lt;&gt;"acoes")))*INDEX(Inputs!$K$5:$AJ$120,0,MATCH(P$2,Inputs!$K$4:$AJ$4,0)))))</f>
        <v>0</v>
      </c>
      <c r="Q11" s="267">
        <f>IF(ISNA(MATCH(Q$2,Inputs!$K$4:$AJ$4,0)),NA(),IF(SUMPRODUCT((Inputs!$A$5:$A$120=$B11)*ISNUMBER(INDEX(Inputs!$K$5:$AJ$120,0,MATCH(Q$2,Inputs!$K$4:$AJ$4,0))))+SUMPRODUCT((Inputs!$C$5:$C$120=$B11)*ISNUMBER(INDEX(Inputs!$K$5:$AJ$120,0,MATCH(Q$2,Inputs!$K$4:$AJ$4,0))))+SUMPRODUCT((Inputs!$E$5:$E$120=$B11)*ISNUMBER(INDEX(Inputs!$K$5:$AJ$120,0,MATCH(Q$2,Inputs!$K$4:$AJ$4,0))))=0,NA(),SUMPRODUCT((Inputs!$A$5:$A$120=$B11)*Inputs!$B$5:$B$120*(((Inputs!$G$5:$G$120="moeda")+(Inputs!$G$5:$G$120="acoes"))*Inputs!$B$1+((Inputs!$G$5:$G$120&lt;&gt;"moeda")*(Inputs!$G$5:$G$120&lt;&gt;"acoes")))*INDEX(Inputs!$K$5:$AJ$120,0,MATCH(Q$2,Inputs!$K$4:$AJ$4,0)))+SUMPRODUCT((Inputs!$C$5:$C$120=$B11)*Inputs!$D$5:$D$120*(((Inputs!$G$5:$G$120="moeda")+(Inputs!$G$5:$G$120="acoes"))*Inputs!$B$1+((Inputs!$G$5:$G$120&lt;&gt;"moeda")*(Inputs!$G$5:$G$120&lt;&gt;"acoes")))*INDEX(Inputs!$K$5:$AJ$120,0,MATCH(Q$2,Inputs!$K$4:$AJ$4,0)))+SUMPRODUCT((Inputs!$E$5:$E$120=$B11)*Inputs!$F$5:$F$120*(((Inputs!$G$5:$G$120="moeda")+(Inputs!$G$5:$G$120="acoes"))*Inputs!$B$1+((Inputs!$G$5:$G$120&lt;&gt;"moeda")*(Inputs!$G$5:$G$120&lt;&gt;"acoes")))*INDEX(Inputs!$K$5:$AJ$120,0,MATCH(Q$2,Inputs!$K$4:$AJ$4,0)))))</f>
        <v>0</v>
      </c>
      <c r="R11" s="268">
        <f>SUM(N11:Q11)</f>
        <v>0</v>
      </c>
      <c r="S11" s="267">
        <f>IF(ISNA(MATCH(S$2,Inputs!$K$4:$AJ$4,0)),NA(),IF(SUMPRODUCT((Inputs!$A$5:$A$120=$B11)*ISNUMBER(INDEX(Inputs!$K$5:$AJ$120,0,MATCH(S$2,Inputs!$K$4:$AJ$4,0))))+SUMPRODUCT((Inputs!$C$5:$C$120=$B11)*ISNUMBER(INDEX(Inputs!$K$5:$AJ$120,0,MATCH(S$2,Inputs!$K$4:$AJ$4,0))))+SUMPRODUCT((Inputs!$E$5:$E$120=$B11)*ISNUMBER(INDEX(Inputs!$K$5:$AJ$120,0,MATCH(S$2,Inputs!$K$4:$AJ$4,0))))=0,NA(),SUMPRODUCT((Inputs!$A$5:$A$120=$B11)*Inputs!$B$5:$B$120*(((Inputs!$G$5:$G$120="moeda")+(Inputs!$G$5:$G$120="acoes"))*Inputs!$B$1+((Inputs!$G$5:$G$120&lt;&gt;"moeda")*(Inputs!$G$5:$G$120&lt;&gt;"acoes")))*INDEX(Inputs!$K$5:$AJ$120,0,MATCH(S$2,Inputs!$K$4:$AJ$4,0)))+SUMPRODUCT((Inputs!$C$5:$C$120=$B11)*Inputs!$D$5:$D$120*(((Inputs!$G$5:$G$120="moeda")+(Inputs!$G$5:$G$120="acoes"))*Inputs!$B$1+((Inputs!$G$5:$G$120&lt;&gt;"moeda")*(Inputs!$G$5:$G$120&lt;&gt;"acoes")))*INDEX(Inputs!$K$5:$AJ$120,0,MATCH(S$2,Inputs!$K$4:$AJ$4,0)))+SUMPRODUCT((Inputs!$E$5:$E$120=$B11)*Inputs!$F$5:$F$120*(((Inputs!$G$5:$G$120="moeda")+(Inputs!$G$5:$G$120="acoes"))*Inputs!$B$1+((Inputs!$G$5:$G$120&lt;&gt;"moeda")*(Inputs!$G$5:$G$120&lt;&gt;"acoes")))*INDEX(Inputs!$K$5:$AJ$120,0,MATCH(S$2,Inputs!$K$4:$AJ$4,0)))))</f>
        <v>0</v>
      </c>
      <c r="T11" s="267">
        <f>IF(ISNA(MATCH(T$2,Inputs!$K$4:$AJ$4,0)),NA(),IF(SUMPRODUCT((Inputs!$A$5:$A$120=$B11)*ISNUMBER(INDEX(Inputs!$K$5:$AJ$120,0,MATCH(T$2,Inputs!$K$4:$AJ$4,0))))+SUMPRODUCT((Inputs!$C$5:$C$120=$B11)*ISNUMBER(INDEX(Inputs!$K$5:$AJ$120,0,MATCH(T$2,Inputs!$K$4:$AJ$4,0))))+SUMPRODUCT((Inputs!$E$5:$E$120=$B11)*ISNUMBER(INDEX(Inputs!$K$5:$AJ$120,0,MATCH(T$2,Inputs!$K$4:$AJ$4,0))))=0,NA(),SUMPRODUCT((Inputs!$A$5:$A$120=$B11)*Inputs!$B$5:$B$120*(((Inputs!$G$5:$G$120="moeda")+(Inputs!$G$5:$G$120="acoes"))*Inputs!$B$1+((Inputs!$G$5:$G$120&lt;&gt;"moeda")*(Inputs!$G$5:$G$120&lt;&gt;"acoes")))*INDEX(Inputs!$K$5:$AJ$120,0,MATCH(T$2,Inputs!$K$4:$AJ$4,0)))+SUMPRODUCT((Inputs!$C$5:$C$120=$B11)*Inputs!$D$5:$D$120*(((Inputs!$G$5:$G$120="moeda")+(Inputs!$G$5:$G$120="acoes"))*Inputs!$B$1+((Inputs!$G$5:$G$120&lt;&gt;"moeda")*(Inputs!$G$5:$G$120&lt;&gt;"acoes")))*INDEX(Inputs!$K$5:$AJ$120,0,MATCH(T$2,Inputs!$K$4:$AJ$4,0)))+SUMPRODUCT((Inputs!$E$5:$E$120=$B11)*Inputs!$F$5:$F$120*(((Inputs!$G$5:$G$120="moeda")+(Inputs!$G$5:$G$120="acoes"))*Inputs!$B$1+((Inputs!$G$5:$G$120&lt;&gt;"moeda")*(Inputs!$G$5:$G$120&lt;&gt;"acoes")))*INDEX(Inputs!$K$5:$AJ$120,0,MATCH(T$2,Inputs!$K$4:$AJ$4,0)))))</f>
        <v>0</v>
      </c>
      <c r="U11" s="267">
        <f>IF(ISNA(MATCH(U$2,Inputs!$K$4:$AJ$4,0)),NA(),IF(SUMPRODUCT((Inputs!$A$5:$A$120=$B11)*ISNUMBER(INDEX(Inputs!$K$5:$AJ$120,0,MATCH(U$2,Inputs!$K$4:$AJ$4,0))))+SUMPRODUCT((Inputs!$C$5:$C$120=$B11)*ISNUMBER(INDEX(Inputs!$K$5:$AJ$120,0,MATCH(U$2,Inputs!$K$4:$AJ$4,0))))+SUMPRODUCT((Inputs!$E$5:$E$120=$B11)*ISNUMBER(INDEX(Inputs!$K$5:$AJ$120,0,MATCH(U$2,Inputs!$K$4:$AJ$4,0))))=0,NA(),SUMPRODUCT((Inputs!$A$5:$A$120=$B11)*Inputs!$B$5:$B$120*(((Inputs!$G$5:$G$120="moeda")+(Inputs!$G$5:$G$120="acoes"))*Inputs!$B$1+((Inputs!$G$5:$G$120&lt;&gt;"moeda")*(Inputs!$G$5:$G$120&lt;&gt;"acoes")))*INDEX(Inputs!$K$5:$AJ$120,0,MATCH(U$2,Inputs!$K$4:$AJ$4,0)))+SUMPRODUCT((Inputs!$C$5:$C$120=$B11)*Inputs!$D$5:$D$120*(((Inputs!$G$5:$G$120="moeda")+(Inputs!$G$5:$G$120="acoes"))*Inputs!$B$1+((Inputs!$G$5:$G$120&lt;&gt;"moeda")*(Inputs!$G$5:$G$120&lt;&gt;"acoes")))*INDEX(Inputs!$K$5:$AJ$120,0,MATCH(U$2,Inputs!$K$4:$AJ$4,0)))+SUMPRODUCT((Inputs!$E$5:$E$120=$B11)*Inputs!$F$5:$F$120*(((Inputs!$G$5:$G$120="moeda")+(Inputs!$G$5:$G$120="acoes"))*Inputs!$B$1+((Inputs!$G$5:$G$120&lt;&gt;"moeda")*(Inputs!$G$5:$G$120&lt;&gt;"acoes")))*INDEX(Inputs!$K$5:$AJ$120,0,MATCH(U$2,Inputs!$K$4:$AJ$4,0)))))</f>
        <v>0</v>
      </c>
      <c r="V11" s="267">
        <f>IF(ISNA(MATCH(V$2,Inputs!$K$4:$AJ$4,0)),NA(),IF(SUMPRODUCT((Inputs!$A$5:$A$120=$B11)*ISNUMBER(INDEX(Inputs!$K$5:$AJ$120,0,MATCH(V$2,Inputs!$K$4:$AJ$4,0))))+SUMPRODUCT((Inputs!$C$5:$C$120=$B11)*ISNUMBER(INDEX(Inputs!$K$5:$AJ$120,0,MATCH(V$2,Inputs!$K$4:$AJ$4,0))))+SUMPRODUCT((Inputs!$E$5:$E$120=$B11)*ISNUMBER(INDEX(Inputs!$K$5:$AJ$120,0,MATCH(V$2,Inputs!$K$4:$AJ$4,0))))=0,NA(),SUMPRODUCT((Inputs!$A$5:$A$120=$B11)*Inputs!$B$5:$B$120*(((Inputs!$G$5:$G$120="moeda")+(Inputs!$G$5:$G$120="acoes"))*Inputs!$B$1+((Inputs!$G$5:$G$120&lt;&gt;"moeda")*(Inputs!$G$5:$G$120&lt;&gt;"acoes")))*INDEX(Inputs!$K$5:$AJ$120,0,MATCH(V$2,Inputs!$K$4:$AJ$4,0)))+SUMPRODUCT((Inputs!$C$5:$C$120=$B11)*Inputs!$D$5:$D$120*(((Inputs!$G$5:$G$120="moeda")+(Inputs!$G$5:$G$120="acoes"))*Inputs!$B$1+((Inputs!$G$5:$G$120&lt;&gt;"moeda")*(Inputs!$G$5:$G$120&lt;&gt;"acoes")))*INDEX(Inputs!$K$5:$AJ$120,0,MATCH(V$2,Inputs!$K$4:$AJ$4,0)))+SUMPRODUCT((Inputs!$E$5:$E$120=$B11)*Inputs!$F$5:$F$120*(((Inputs!$G$5:$G$120="moeda")+(Inputs!$G$5:$G$120="acoes"))*Inputs!$B$1+((Inputs!$G$5:$G$120&lt;&gt;"moeda")*(Inputs!$G$5:$G$120&lt;&gt;"acoes")))*INDEX(Inputs!$K$5:$AJ$120,0,MATCH(V$2,Inputs!$K$4:$AJ$4,0)))))</f>
        <v>0</v>
      </c>
      <c r="W11" s="268">
        <f>SUM(S11:V11)</f>
        <v>0</v>
      </c>
      <c r="X11" s="267">
        <f>IF(ISNA(MATCH(X$2,Inputs!$K$4:$AJ$4,0)),NA(),IF(SUMPRODUCT((Inputs!$A$5:$A$120=$B11)*ISNUMBER(INDEX(Inputs!$K$5:$AJ$120,0,MATCH(X$2,Inputs!$K$4:$AJ$4,0))))+SUMPRODUCT((Inputs!$C$5:$C$120=$B11)*ISNUMBER(INDEX(Inputs!$K$5:$AJ$120,0,MATCH(X$2,Inputs!$K$4:$AJ$4,0))))+SUMPRODUCT((Inputs!$E$5:$E$120=$B11)*ISNUMBER(INDEX(Inputs!$K$5:$AJ$120,0,MATCH(X$2,Inputs!$K$4:$AJ$4,0))))=0,NA(),SUMPRODUCT((Inputs!$A$5:$A$120=$B11)*Inputs!$B$5:$B$120*(((Inputs!$G$5:$G$120="moeda")+(Inputs!$G$5:$G$120="acoes"))*Inputs!$B$1+((Inputs!$G$5:$G$120&lt;&gt;"moeda")*(Inputs!$G$5:$G$120&lt;&gt;"acoes")))*INDEX(Inputs!$K$5:$AJ$120,0,MATCH(X$2,Inputs!$K$4:$AJ$4,0)))+SUMPRODUCT((Inputs!$C$5:$C$120=$B11)*Inputs!$D$5:$D$120*(((Inputs!$G$5:$G$120="moeda")+(Inputs!$G$5:$G$120="acoes"))*Inputs!$B$1+((Inputs!$G$5:$G$120&lt;&gt;"moeda")*(Inputs!$G$5:$G$120&lt;&gt;"acoes")))*INDEX(Inputs!$K$5:$AJ$120,0,MATCH(X$2,Inputs!$K$4:$AJ$4,0)))+SUMPRODUCT((Inputs!$E$5:$E$120=$B11)*Inputs!$F$5:$F$120*(((Inputs!$G$5:$G$120="moeda")+(Inputs!$G$5:$G$120="acoes"))*Inputs!$B$1+((Inputs!$G$5:$G$120&lt;&gt;"moeda")*(Inputs!$G$5:$G$120&lt;&gt;"acoes")))*INDEX(Inputs!$K$5:$AJ$120,0,MATCH(X$2,Inputs!$K$4:$AJ$4,0)))))</f>
        <v>0</v>
      </c>
      <c r="Y11" s="267">
        <f>IF(ISNA(MATCH(Y$2,Inputs!$K$4:$AJ$4,0)),NA(),IF(SUMPRODUCT((Inputs!$A$5:$A$120=$B11)*ISNUMBER(INDEX(Inputs!$K$5:$AJ$120,0,MATCH(Y$2,Inputs!$K$4:$AJ$4,0))))+SUMPRODUCT((Inputs!$C$5:$C$120=$B11)*ISNUMBER(INDEX(Inputs!$K$5:$AJ$120,0,MATCH(Y$2,Inputs!$K$4:$AJ$4,0))))+SUMPRODUCT((Inputs!$E$5:$E$120=$B11)*ISNUMBER(INDEX(Inputs!$K$5:$AJ$120,0,MATCH(Y$2,Inputs!$K$4:$AJ$4,0))))=0,NA(),SUMPRODUCT((Inputs!$A$5:$A$120=$B11)*Inputs!$B$5:$B$120*(((Inputs!$G$5:$G$120="moeda")+(Inputs!$G$5:$G$120="acoes"))*Inputs!$B$1+((Inputs!$G$5:$G$120&lt;&gt;"moeda")*(Inputs!$G$5:$G$120&lt;&gt;"acoes")))*INDEX(Inputs!$K$5:$AJ$120,0,MATCH(Y$2,Inputs!$K$4:$AJ$4,0)))+SUMPRODUCT((Inputs!$C$5:$C$120=$B11)*Inputs!$D$5:$D$120*(((Inputs!$G$5:$G$120="moeda")+(Inputs!$G$5:$G$120="acoes"))*Inputs!$B$1+((Inputs!$G$5:$G$120&lt;&gt;"moeda")*(Inputs!$G$5:$G$120&lt;&gt;"acoes")))*INDEX(Inputs!$K$5:$AJ$120,0,MATCH(Y$2,Inputs!$K$4:$AJ$4,0)))+SUMPRODUCT((Inputs!$E$5:$E$120=$B11)*Inputs!$F$5:$F$120*(((Inputs!$G$5:$G$120="moeda")+(Inputs!$G$5:$G$120="acoes"))*Inputs!$B$1+((Inputs!$G$5:$G$120&lt;&gt;"moeda")*(Inputs!$G$5:$G$120&lt;&gt;"acoes")))*INDEX(Inputs!$K$5:$AJ$120,0,MATCH(Y$2,Inputs!$K$4:$AJ$4,0)))))</f>
        <v>0</v>
      </c>
      <c r="Z11" s="267">
        <f>IF(ISNA(MATCH(Z$2,Inputs!$K$4:$AJ$4,0)),NA(),IF(SUMPRODUCT((Inputs!$A$5:$A$120=$B11)*ISNUMBER(INDEX(Inputs!$K$5:$AJ$120,0,MATCH(Z$2,Inputs!$K$4:$AJ$4,0))))+SUMPRODUCT((Inputs!$C$5:$C$120=$B11)*ISNUMBER(INDEX(Inputs!$K$5:$AJ$120,0,MATCH(Z$2,Inputs!$K$4:$AJ$4,0))))+SUMPRODUCT((Inputs!$E$5:$E$120=$B11)*ISNUMBER(INDEX(Inputs!$K$5:$AJ$120,0,MATCH(Z$2,Inputs!$K$4:$AJ$4,0))))=0,NA(),SUMPRODUCT((Inputs!$A$5:$A$120=$B11)*Inputs!$B$5:$B$120*(((Inputs!$G$5:$G$120="moeda")+(Inputs!$G$5:$G$120="acoes"))*Inputs!$B$1+((Inputs!$G$5:$G$120&lt;&gt;"moeda")*(Inputs!$G$5:$G$120&lt;&gt;"acoes")))*INDEX(Inputs!$K$5:$AJ$120,0,MATCH(Z$2,Inputs!$K$4:$AJ$4,0)))+SUMPRODUCT((Inputs!$C$5:$C$120=$B11)*Inputs!$D$5:$D$120*(((Inputs!$G$5:$G$120="moeda")+(Inputs!$G$5:$G$120="acoes"))*Inputs!$B$1+((Inputs!$G$5:$G$120&lt;&gt;"moeda")*(Inputs!$G$5:$G$120&lt;&gt;"acoes")))*INDEX(Inputs!$K$5:$AJ$120,0,MATCH(Z$2,Inputs!$K$4:$AJ$4,0)))+SUMPRODUCT((Inputs!$E$5:$E$120=$B11)*Inputs!$F$5:$F$120*(((Inputs!$G$5:$G$120="moeda")+(Inputs!$G$5:$G$120="acoes"))*Inputs!$B$1+((Inputs!$G$5:$G$120&lt;&gt;"moeda")*(Inputs!$G$5:$G$120&lt;&gt;"acoes")))*INDEX(Inputs!$K$5:$AJ$120,0,MATCH(Z$2,Inputs!$K$4:$AJ$4,0)))))</f>
        <v>-3</v>
      </c>
      <c r="AA11" s="267">
        <f>IF(ISNA(MATCH(AA$2,Inputs!$K$4:$AJ$4,0)),NA(),IF(SUMPRODUCT((Inputs!$A$5:$A$120=$B11)*ISNUMBER(INDEX(Inputs!$K$5:$AJ$120,0,MATCH(AA$2,Inputs!$K$4:$AJ$4,0))))+SUMPRODUCT((Inputs!$C$5:$C$120=$B11)*ISNUMBER(INDEX(Inputs!$K$5:$AJ$120,0,MATCH(AA$2,Inputs!$K$4:$AJ$4,0))))+SUMPRODUCT((Inputs!$E$5:$E$120=$B11)*ISNUMBER(INDEX(Inputs!$K$5:$AJ$120,0,MATCH(AA$2,Inputs!$K$4:$AJ$4,0))))=0,NA(),SUMPRODUCT((Inputs!$A$5:$A$120=$B11)*Inputs!$B$5:$B$120*(((Inputs!$G$5:$G$120="moeda")+(Inputs!$G$5:$G$120="acoes"))*Inputs!$B$1+((Inputs!$G$5:$G$120&lt;&gt;"moeda")*(Inputs!$G$5:$G$120&lt;&gt;"acoes")))*INDEX(Inputs!$K$5:$AJ$120,0,MATCH(AA$2,Inputs!$K$4:$AJ$4,0)))+SUMPRODUCT((Inputs!$C$5:$C$120=$B11)*Inputs!$D$5:$D$120*(((Inputs!$G$5:$G$120="moeda")+(Inputs!$G$5:$G$120="acoes"))*Inputs!$B$1+((Inputs!$G$5:$G$120&lt;&gt;"moeda")*(Inputs!$G$5:$G$120&lt;&gt;"acoes")))*INDEX(Inputs!$K$5:$AJ$120,0,MATCH(AA$2,Inputs!$K$4:$AJ$4,0)))+SUMPRODUCT((Inputs!$E$5:$E$120=$B11)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1" s="268">
        <f>SUM(X11:AA11)</f>
        <v>-3</v>
      </c>
      <c r="AC11" s="267">
        <f>IF(ISNA(MATCH(AC$2,Inputs!$K$4:$AJ$4,0)),NA(),IF(SUMPRODUCT((Inputs!$A$5:$A$120=$B11)*ISNUMBER(INDEX(Inputs!$K$5:$AJ$120,0,MATCH(AC$2,Inputs!$K$4:$AJ$4,0))))+SUMPRODUCT((Inputs!$C$5:$C$120=$B11)*ISNUMBER(INDEX(Inputs!$K$5:$AJ$120,0,MATCH(AC$2,Inputs!$K$4:$AJ$4,0))))+SUMPRODUCT((Inputs!$E$5:$E$120=$B11)*ISNUMBER(INDEX(Inputs!$K$5:$AJ$120,0,MATCH(AC$2,Inputs!$K$4:$AJ$4,0))))=0,NA(),SUMPRODUCT((Inputs!$A$5:$A$120=$B11)*Inputs!$B$5:$B$120*(((Inputs!$G$5:$G$120="moeda")+(Inputs!$G$5:$G$120="acoes"))*Inputs!$B$1+((Inputs!$G$5:$G$120&lt;&gt;"moeda")*(Inputs!$G$5:$G$120&lt;&gt;"acoes")))*INDEX(Inputs!$K$5:$AJ$120,0,MATCH(AC$2,Inputs!$K$4:$AJ$4,0)))+SUMPRODUCT((Inputs!$C$5:$C$120=$B11)*Inputs!$D$5:$D$120*(((Inputs!$G$5:$G$120="moeda")+(Inputs!$G$5:$G$120="acoes"))*Inputs!$B$1+((Inputs!$G$5:$G$120&lt;&gt;"moeda")*(Inputs!$G$5:$G$120&lt;&gt;"acoes")))*INDEX(Inputs!$K$5:$AJ$120,0,MATCH(AC$2,Inputs!$K$4:$AJ$4,0)))+SUMPRODUCT((Inputs!$E$5:$E$120=$B11)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1" s="267">
        <f>IF(ISNA(MATCH(AD$2,Inputs!$K$4:$AJ$4,0)),NA(),IF(SUMPRODUCT((Inputs!$A$5:$A$120=$B11)*ISNUMBER(INDEX(Inputs!$K$5:$AJ$120,0,MATCH(AD$2,Inputs!$K$4:$AJ$4,0))))+SUMPRODUCT((Inputs!$C$5:$C$120=$B11)*ISNUMBER(INDEX(Inputs!$K$5:$AJ$120,0,MATCH(AD$2,Inputs!$K$4:$AJ$4,0))))+SUMPRODUCT((Inputs!$E$5:$E$120=$B11)*ISNUMBER(INDEX(Inputs!$K$5:$AJ$120,0,MATCH(AD$2,Inputs!$K$4:$AJ$4,0))))=0,NA(),SUMPRODUCT((Inputs!$A$5:$A$120=$B11)*Inputs!$B$5:$B$120*(((Inputs!$G$5:$G$120="moeda")+(Inputs!$G$5:$G$120="acoes"))*Inputs!$B$1+((Inputs!$G$5:$G$120&lt;&gt;"moeda")*(Inputs!$G$5:$G$120&lt;&gt;"acoes")))*INDEX(Inputs!$K$5:$AJ$120,0,MATCH(AD$2,Inputs!$K$4:$AJ$4,0)))+SUMPRODUCT((Inputs!$C$5:$C$120=$B11)*Inputs!$D$5:$D$120*(((Inputs!$G$5:$G$120="moeda")+(Inputs!$G$5:$G$120="acoes"))*Inputs!$B$1+((Inputs!$G$5:$G$120&lt;&gt;"moeda")*(Inputs!$G$5:$G$120&lt;&gt;"acoes")))*INDEX(Inputs!$K$5:$AJ$120,0,MATCH(AD$2,Inputs!$K$4:$AJ$4,0)))+SUMPRODUCT((Inputs!$E$5:$E$120=$B11)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1" s="267" t="e">
        <f>IF(ISNA(MATCH(AE$2,Inputs!$K$4:$AJ$4,0)),NA(),IF(SUMPRODUCT((Inputs!$A$5:$A$120=$B11)*ISNUMBER(INDEX(Inputs!$K$5:$AJ$120,0,MATCH(AE$2,Inputs!$K$4:$AJ$4,0))))+SUMPRODUCT((Inputs!$C$5:$C$120=$B11)*ISNUMBER(INDEX(Inputs!$K$5:$AJ$120,0,MATCH(AE$2,Inputs!$K$4:$AJ$4,0))))+SUMPRODUCT((Inputs!$E$5:$E$120=$B11)*ISNUMBER(INDEX(Inputs!$K$5:$AJ$120,0,MATCH(AE$2,Inputs!$K$4:$AJ$4,0))))=0,NA(),SUMPRODUCT((Inputs!$A$5:$A$120=$B11)*Inputs!$B$5:$B$120*(((Inputs!$G$5:$G$120="moeda")+(Inputs!$G$5:$G$120="acoes"))*Inputs!$B$1+((Inputs!$G$5:$G$120&lt;&gt;"moeda")*(Inputs!$G$5:$G$120&lt;&gt;"acoes")))*INDEX(Inputs!$K$5:$AJ$120,0,MATCH(AE$2,Inputs!$K$4:$AJ$4,0)))+SUMPRODUCT((Inputs!$C$5:$C$120=$B11)*Inputs!$D$5:$D$120*(((Inputs!$G$5:$G$120="moeda")+(Inputs!$G$5:$G$120="acoes"))*Inputs!$B$1+((Inputs!$G$5:$G$120&lt;&gt;"moeda")*(Inputs!$G$5:$G$120&lt;&gt;"acoes")))*INDEX(Inputs!$K$5:$AJ$120,0,MATCH(AE$2,Inputs!$K$4:$AJ$4,0)))+SUMPRODUCT((Inputs!$E$5:$E$120=$B11)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1" s="267" t="e">
        <f>IF(ISNA(MATCH(AF$2,Inputs!$K$4:$AJ$4,0)),NA(),IF(SUMPRODUCT((Inputs!$A$5:$A$120=$B11)*ISNUMBER(INDEX(Inputs!$K$5:$AJ$120,0,MATCH(AF$2,Inputs!$K$4:$AJ$4,0))))+SUMPRODUCT((Inputs!$C$5:$C$120=$B11)*ISNUMBER(INDEX(Inputs!$K$5:$AJ$120,0,MATCH(AF$2,Inputs!$K$4:$AJ$4,0))))+SUMPRODUCT((Inputs!$E$5:$E$120=$B11)*ISNUMBER(INDEX(Inputs!$K$5:$AJ$120,0,MATCH(AF$2,Inputs!$K$4:$AJ$4,0))))=0,NA(),SUMPRODUCT((Inputs!$A$5:$A$120=$B11)*Inputs!$B$5:$B$120*(((Inputs!$G$5:$G$120="moeda")+(Inputs!$G$5:$G$120="acoes"))*Inputs!$B$1+((Inputs!$G$5:$G$120&lt;&gt;"moeda")*(Inputs!$G$5:$G$120&lt;&gt;"acoes")))*INDEX(Inputs!$K$5:$AJ$120,0,MATCH(AF$2,Inputs!$K$4:$AJ$4,0)))+SUMPRODUCT((Inputs!$C$5:$C$120=$B11)*Inputs!$D$5:$D$120*(((Inputs!$G$5:$G$120="moeda")+(Inputs!$G$5:$G$120="acoes"))*Inputs!$B$1+((Inputs!$G$5:$G$120&lt;&gt;"moeda")*(Inputs!$G$5:$G$120&lt;&gt;"acoes")))*INDEX(Inputs!$K$5:$AJ$120,0,MATCH(AF$2,Inputs!$K$4:$AJ$4,0)))+SUMPRODUCT((Inputs!$E$5:$E$120=$B11)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1" s="268" t="e">
        <f>SUM(AC11:AF11)</f>
        <v>#N/A</v>
      </c>
      <c r="AH11" s="267">
        <f>IF(ISNA(MATCH(AH$2,Inputs!$K$4:$AJ$4,0)),NA(),IF(SUMPRODUCT((Inputs!$A$5:$A$120=$B11)*ISNUMBER(INDEX(Inputs!$K$5:$AJ$120,0,MATCH(AH$2,Inputs!$K$4:$AJ$4,0))))+SUMPRODUCT((Inputs!$C$5:$C$120=$B11)*ISNUMBER(INDEX(Inputs!$K$5:$AJ$120,0,MATCH(AH$2,Inputs!$K$4:$AJ$4,0))))+SUMPRODUCT((Inputs!$E$5:$E$120=$B11)*ISNUMBER(INDEX(Inputs!$K$5:$AJ$120,0,MATCH(AH$2,Inputs!$K$4:$AJ$4,0))))=0,NA(),SUMPRODUCT((Inputs!$A$5:$A$120=$B11)*Inputs!$B$5:$B$120*(((Inputs!$G$5:$G$120="moeda")+(Inputs!$G$5:$G$120="acoes"))*Inputs!$B$1+((Inputs!$G$5:$G$120&lt;&gt;"moeda")*(Inputs!$G$5:$G$120&lt;&gt;"acoes")))*INDEX(Inputs!$K$5:$AJ$120,0,MATCH(AH$2,Inputs!$K$4:$AJ$4,0)))+SUMPRODUCT((Inputs!$C$5:$C$120=$B11)*Inputs!$D$5:$D$120*(((Inputs!$G$5:$G$120="moeda")+(Inputs!$G$5:$G$120="acoes"))*Inputs!$B$1+((Inputs!$G$5:$G$120&lt;&gt;"moeda")*(Inputs!$G$5:$G$120&lt;&gt;"acoes")))*INDEX(Inputs!$K$5:$AJ$120,0,MATCH(AH$2,Inputs!$K$4:$AJ$4,0)))+SUMPRODUCT((Inputs!$E$5:$E$120=$B11)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1" s="267">
        <f>IF(ISNA(MATCH(AI$2,Inputs!$K$4:$AJ$4,0)),NA(),IF(SUMPRODUCT((Inputs!$A$5:$A$120=$B11)*ISNUMBER(INDEX(Inputs!$K$5:$AJ$120,0,MATCH(AI$2,Inputs!$K$4:$AJ$4,0))))+SUMPRODUCT((Inputs!$C$5:$C$120=$B11)*ISNUMBER(INDEX(Inputs!$K$5:$AJ$120,0,MATCH(AI$2,Inputs!$K$4:$AJ$4,0))))+SUMPRODUCT((Inputs!$E$5:$E$120=$B11)*ISNUMBER(INDEX(Inputs!$K$5:$AJ$120,0,MATCH(AI$2,Inputs!$K$4:$AJ$4,0))))=0,NA(),SUMPRODUCT((Inputs!$A$5:$A$120=$B11)*Inputs!$B$5:$B$120*(((Inputs!$G$5:$G$120="moeda")+(Inputs!$G$5:$G$120="acoes"))*Inputs!$B$1+((Inputs!$G$5:$G$120&lt;&gt;"moeda")*(Inputs!$G$5:$G$120&lt;&gt;"acoes")))*INDEX(Inputs!$K$5:$AJ$120,0,MATCH(AI$2,Inputs!$K$4:$AJ$4,0)))+SUMPRODUCT((Inputs!$C$5:$C$120=$B11)*Inputs!$D$5:$D$120*(((Inputs!$G$5:$G$120="moeda")+(Inputs!$G$5:$G$120="acoes"))*Inputs!$B$1+((Inputs!$G$5:$G$120&lt;&gt;"moeda")*(Inputs!$G$5:$G$120&lt;&gt;"acoes")))*INDEX(Inputs!$K$5:$AJ$120,0,MATCH(AI$2,Inputs!$K$4:$AJ$4,0)))+SUMPRODUCT((Inputs!$E$5:$E$120=$B11)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1" s="267">
        <f>IF(ISNA(MATCH(AJ$2,Inputs!$K$4:$AJ$4,0)),NA(),IF(SUMPRODUCT((Inputs!$A$5:$A$120=$B11)*ISNUMBER(INDEX(Inputs!$K$5:$AJ$120,0,MATCH(AJ$2,Inputs!$K$4:$AJ$4,0))))+SUMPRODUCT((Inputs!$C$5:$C$120=$B11)*ISNUMBER(INDEX(Inputs!$K$5:$AJ$120,0,MATCH(AJ$2,Inputs!$K$4:$AJ$4,0))))+SUMPRODUCT((Inputs!$E$5:$E$120=$B11)*ISNUMBER(INDEX(Inputs!$K$5:$AJ$120,0,MATCH(AJ$2,Inputs!$K$4:$AJ$4,0))))=0,NA(),SUMPRODUCT((Inputs!$A$5:$A$120=$B11)*Inputs!$B$5:$B$120*(((Inputs!$G$5:$G$120="moeda")+(Inputs!$G$5:$G$120="acoes"))*Inputs!$B$1+((Inputs!$G$5:$G$120&lt;&gt;"moeda")*(Inputs!$G$5:$G$120&lt;&gt;"acoes")))*INDEX(Inputs!$K$5:$AJ$120,0,MATCH(AJ$2,Inputs!$K$4:$AJ$4,0)))+SUMPRODUCT((Inputs!$C$5:$C$120=$B11)*Inputs!$D$5:$D$120*(((Inputs!$G$5:$G$120="moeda")+(Inputs!$G$5:$G$120="acoes"))*Inputs!$B$1+((Inputs!$G$5:$G$120&lt;&gt;"moeda")*(Inputs!$G$5:$G$120&lt;&gt;"acoes")))*INDEX(Inputs!$K$5:$AJ$120,0,MATCH(AJ$2,Inputs!$K$4:$AJ$4,0)))+SUMPRODUCT((Inputs!$E$5:$E$120=$B11)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1" s="267">
        <f>IF(ISNA(MATCH(AK$2,Inputs!$K$4:$AJ$4,0)),NA(),IF(SUMPRODUCT((Inputs!$A$5:$A$120=$B11)*ISNUMBER(INDEX(Inputs!$K$5:$AJ$120,0,MATCH(AK$2,Inputs!$K$4:$AJ$4,0))))+SUMPRODUCT((Inputs!$C$5:$C$120=$B11)*ISNUMBER(INDEX(Inputs!$K$5:$AJ$120,0,MATCH(AK$2,Inputs!$K$4:$AJ$4,0))))+SUMPRODUCT((Inputs!$E$5:$E$120=$B11)*ISNUMBER(INDEX(Inputs!$K$5:$AJ$120,0,MATCH(AK$2,Inputs!$K$4:$AJ$4,0))))=0,NA(),SUMPRODUCT((Inputs!$A$5:$A$120=$B11)*Inputs!$B$5:$B$120*(((Inputs!$G$5:$G$120="moeda")+(Inputs!$G$5:$G$120="acoes"))*Inputs!$B$1+((Inputs!$G$5:$G$120&lt;&gt;"moeda")*(Inputs!$G$5:$G$120&lt;&gt;"acoes")))*INDEX(Inputs!$K$5:$AJ$120,0,MATCH(AK$2,Inputs!$K$4:$AJ$4,0)))+SUMPRODUCT((Inputs!$C$5:$C$120=$B11)*Inputs!$D$5:$D$120*(((Inputs!$G$5:$G$120="moeda")+(Inputs!$G$5:$G$120="acoes"))*Inputs!$B$1+((Inputs!$G$5:$G$120&lt;&gt;"moeda")*(Inputs!$G$5:$G$120&lt;&gt;"acoes")))*INDEX(Inputs!$K$5:$AJ$120,0,MATCH(AK$2,Inputs!$K$4:$AJ$4,0)))+SUMPRODUCT((Inputs!$E$5:$E$120=$B11)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1" s="268">
        <f>SUM(AH11:AK11)</f>
        <v>0</v>
      </c>
    </row>
    <row r="12" ht="12.75" customHeight="1" s="255">
      <c r="B12" s="265" t="n">
        <v>9</v>
      </c>
      <c r="C12" s="270" t="inlineStr">
        <is>
          <t>Minority Interest Expense, after tax (enter as - )</t>
        </is>
      </c>
      <c r="D12" s="267">
        <f>IF(ISNA(MATCH(D$2,Inputs!$K$4:$AJ$4,0)),NA(),IF(SUMPRODUCT((Inputs!$A$5:$A$120=$B12)*ISNUMBER(INDEX(Inputs!$K$5:$AJ$120,0,MATCH(D$2,Inputs!$K$4:$AJ$4,0))))+SUMPRODUCT((Inputs!$C$5:$C$120=$B12)*ISNUMBER(INDEX(Inputs!$K$5:$AJ$120,0,MATCH(D$2,Inputs!$K$4:$AJ$4,0))))+SUMPRODUCT((Inputs!$E$5:$E$120=$B12)*ISNUMBER(INDEX(Inputs!$K$5:$AJ$120,0,MATCH(D$2,Inputs!$K$4:$AJ$4,0))))=0,NA(),SUMPRODUCT((Inputs!$A$5:$A$120=$B12)*Inputs!$B$5:$B$120*(((Inputs!$G$5:$G$120="moeda")+(Inputs!$G$5:$G$120="acoes"))*Inputs!$B$1+((Inputs!$G$5:$G$120&lt;&gt;"moeda")*(Inputs!$G$5:$G$120&lt;&gt;"acoes")))*INDEX(Inputs!$K$5:$AJ$120,0,MATCH(D$2,Inputs!$K$4:$AJ$4,0)))+SUMPRODUCT((Inputs!$C$5:$C$120=$B12)*Inputs!$D$5:$D$120*(((Inputs!$G$5:$G$120="moeda")+(Inputs!$G$5:$G$120="acoes"))*Inputs!$B$1+((Inputs!$G$5:$G$120&lt;&gt;"moeda")*(Inputs!$G$5:$G$120&lt;&gt;"acoes")))*INDEX(Inputs!$K$5:$AJ$120,0,MATCH(D$2,Inputs!$K$4:$AJ$4,0)))+SUMPRODUCT((Inputs!$E$5:$E$120=$B12)*Inputs!$F$5:$F$120*(((Inputs!$G$5:$G$120="moeda")+(Inputs!$G$5:$G$120="acoes"))*Inputs!$B$1+((Inputs!$G$5:$G$120&lt;&gt;"moeda")*(Inputs!$G$5:$G$120&lt;&gt;"acoes")))*INDEX(Inputs!$K$5:$AJ$120,0,MATCH(D$2,Inputs!$K$4:$AJ$4,0)))))</f>
        <v>-86</v>
      </c>
      <c r="E12" s="267">
        <f>IF(ISNA(MATCH(E$2,Inputs!$K$4:$AJ$4,0)),NA(),IF(SUMPRODUCT((Inputs!$A$5:$A$120=$B12)*ISNUMBER(INDEX(Inputs!$K$5:$AJ$120,0,MATCH(E$2,Inputs!$K$4:$AJ$4,0))))+SUMPRODUCT((Inputs!$C$5:$C$120=$B12)*ISNUMBER(INDEX(Inputs!$K$5:$AJ$120,0,MATCH(E$2,Inputs!$K$4:$AJ$4,0))))+SUMPRODUCT((Inputs!$E$5:$E$120=$B12)*ISNUMBER(INDEX(Inputs!$K$5:$AJ$120,0,MATCH(E$2,Inputs!$K$4:$AJ$4,0))))=0,NA(),SUMPRODUCT((Inputs!$A$5:$A$120=$B12)*Inputs!$B$5:$B$120*(((Inputs!$G$5:$G$120="moeda")+(Inputs!$G$5:$G$120="acoes"))*Inputs!$B$1+((Inputs!$G$5:$G$120&lt;&gt;"moeda")*(Inputs!$G$5:$G$120&lt;&gt;"acoes")))*INDEX(Inputs!$K$5:$AJ$120,0,MATCH(E$2,Inputs!$K$4:$AJ$4,0)))+SUMPRODUCT((Inputs!$C$5:$C$120=$B12)*Inputs!$D$5:$D$120*(((Inputs!$G$5:$G$120="moeda")+(Inputs!$G$5:$G$120="acoes"))*Inputs!$B$1+((Inputs!$G$5:$G$120&lt;&gt;"moeda")*(Inputs!$G$5:$G$120&lt;&gt;"acoes")))*INDEX(Inputs!$K$5:$AJ$120,0,MATCH(E$2,Inputs!$K$4:$AJ$4,0)))+SUMPRODUCT((Inputs!$E$5:$E$120=$B12)*Inputs!$F$5:$F$120*(((Inputs!$G$5:$G$120="moeda")+(Inputs!$G$5:$G$120="acoes"))*Inputs!$B$1+((Inputs!$G$5:$G$120&lt;&gt;"moeda")*(Inputs!$G$5:$G$120&lt;&gt;"acoes")))*INDEX(Inputs!$K$5:$AJ$120,0,MATCH(E$2,Inputs!$K$4:$AJ$4,0)))))</f>
        <v>-7</v>
      </c>
      <c r="F12" s="267">
        <f>IF(ISNA(MATCH(F$2,Inputs!$K$4:$AJ$4,0)),NA(),IF(SUMPRODUCT((Inputs!$A$5:$A$120=$B12)*ISNUMBER(INDEX(Inputs!$K$5:$AJ$120,0,MATCH(F$2,Inputs!$K$4:$AJ$4,0))))+SUMPRODUCT((Inputs!$C$5:$C$120=$B12)*ISNUMBER(INDEX(Inputs!$K$5:$AJ$120,0,MATCH(F$2,Inputs!$K$4:$AJ$4,0))))+SUMPRODUCT((Inputs!$E$5:$E$120=$B12)*ISNUMBER(INDEX(Inputs!$K$5:$AJ$120,0,MATCH(F$2,Inputs!$K$4:$AJ$4,0))))=0,NA(),SUMPRODUCT((Inputs!$A$5:$A$120=$B12)*Inputs!$B$5:$B$120*(((Inputs!$G$5:$G$120="moeda")+(Inputs!$G$5:$G$120="acoes"))*Inputs!$B$1+((Inputs!$G$5:$G$120&lt;&gt;"moeda")*(Inputs!$G$5:$G$120&lt;&gt;"acoes")))*INDEX(Inputs!$K$5:$AJ$120,0,MATCH(F$2,Inputs!$K$4:$AJ$4,0)))+SUMPRODUCT((Inputs!$C$5:$C$120=$B12)*Inputs!$D$5:$D$120*(((Inputs!$G$5:$G$120="moeda")+(Inputs!$G$5:$G$120="acoes"))*Inputs!$B$1+((Inputs!$G$5:$G$120&lt;&gt;"moeda")*(Inputs!$G$5:$G$120&lt;&gt;"acoes")))*INDEX(Inputs!$K$5:$AJ$120,0,MATCH(F$2,Inputs!$K$4:$AJ$4,0)))+SUMPRODUCT((Inputs!$E$5:$E$120=$B12)*Inputs!$F$5:$F$120*(((Inputs!$G$5:$G$120="moeda")+(Inputs!$G$5:$G$120="acoes"))*Inputs!$B$1+((Inputs!$G$5:$G$120&lt;&gt;"moeda")*(Inputs!$G$5:$G$120&lt;&gt;"acoes")))*INDEX(Inputs!$K$5:$AJ$120,0,MATCH(F$2,Inputs!$K$4:$AJ$4,0)))))</f>
        <v>4</v>
      </c>
      <c r="G12" s="267">
        <f>IF(ISNA(MATCH(G$2,Inputs!$K$4:$AJ$4,0)),NA(),IF(SUMPRODUCT((Inputs!$A$5:$A$120=$B12)*ISNUMBER(INDEX(Inputs!$K$5:$AJ$120,0,MATCH(G$2,Inputs!$K$4:$AJ$4,0))))+SUMPRODUCT((Inputs!$C$5:$C$120=$B12)*ISNUMBER(INDEX(Inputs!$K$5:$AJ$120,0,MATCH(G$2,Inputs!$K$4:$AJ$4,0))))+SUMPRODUCT((Inputs!$E$5:$E$120=$B12)*ISNUMBER(INDEX(Inputs!$K$5:$AJ$120,0,MATCH(G$2,Inputs!$K$4:$AJ$4,0))))=0,NA(),SUMPRODUCT((Inputs!$A$5:$A$120=$B12)*Inputs!$B$5:$B$120*(((Inputs!$G$5:$G$120="moeda")+(Inputs!$G$5:$G$120="acoes"))*Inputs!$B$1+((Inputs!$G$5:$G$120&lt;&gt;"moeda")*(Inputs!$G$5:$G$120&lt;&gt;"acoes")))*INDEX(Inputs!$K$5:$AJ$120,0,MATCH(G$2,Inputs!$K$4:$AJ$4,0)))+SUMPRODUCT((Inputs!$C$5:$C$120=$B12)*Inputs!$D$5:$D$120*(((Inputs!$G$5:$G$120="moeda")+(Inputs!$G$5:$G$120="acoes"))*Inputs!$B$1+((Inputs!$G$5:$G$120&lt;&gt;"moeda")*(Inputs!$G$5:$G$120&lt;&gt;"acoes")))*INDEX(Inputs!$K$5:$AJ$120,0,MATCH(G$2,Inputs!$K$4:$AJ$4,0)))+SUMPRODUCT((Inputs!$E$5:$E$120=$B12)*Inputs!$F$5:$F$120*(((Inputs!$G$5:$G$120="moeda")+(Inputs!$G$5:$G$120="acoes"))*Inputs!$B$1+((Inputs!$G$5:$G$120&lt;&gt;"moeda")*(Inputs!$G$5:$G$120&lt;&gt;"acoes")))*INDEX(Inputs!$K$5:$AJ$120,0,MATCH(G$2,Inputs!$K$4:$AJ$4,0)))))</f>
        <v>-1</v>
      </c>
      <c r="H12" s="268">
        <f>SUM(D12:G12)</f>
        <v>-90</v>
      </c>
      <c r="I12" s="267">
        <f>IF(ISNA(MATCH(I$2,Inputs!$K$4:$AJ$4,0)),NA(),IF(SUMPRODUCT((Inputs!$A$5:$A$120=$B12)*ISNUMBER(INDEX(Inputs!$K$5:$AJ$120,0,MATCH(I$2,Inputs!$K$4:$AJ$4,0))))+SUMPRODUCT((Inputs!$C$5:$C$120=$B12)*ISNUMBER(INDEX(Inputs!$K$5:$AJ$120,0,MATCH(I$2,Inputs!$K$4:$AJ$4,0))))+SUMPRODUCT((Inputs!$E$5:$E$120=$B12)*ISNUMBER(INDEX(Inputs!$K$5:$AJ$120,0,MATCH(I$2,Inputs!$K$4:$AJ$4,0))))=0,NA(),SUMPRODUCT((Inputs!$A$5:$A$120=$B12)*Inputs!$B$5:$B$120*(((Inputs!$G$5:$G$120="moeda")+(Inputs!$G$5:$G$120="acoes"))*Inputs!$B$1+((Inputs!$G$5:$G$120&lt;&gt;"moeda")*(Inputs!$G$5:$G$120&lt;&gt;"acoes")))*INDEX(Inputs!$K$5:$AJ$120,0,MATCH(I$2,Inputs!$K$4:$AJ$4,0)))+SUMPRODUCT((Inputs!$C$5:$C$120=$B12)*Inputs!$D$5:$D$120*(((Inputs!$G$5:$G$120="moeda")+(Inputs!$G$5:$G$120="acoes"))*Inputs!$B$1+((Inputs!$G$5:$G$120&lt;&gt;"moeda")*(Inputs!$G$5:$G$120&lt;&gt;"acoes")))*INDEX(Inputs!$K$5:$AJ$120,0,MATCH(I$2,Inputs!$K$4:$AJ$4,0)))+SUMPRODUCT((Inputs!$E$5:$E$120=$B12)*Inputs!$F$5:$F$120*(((Inputs!$G$5:$G$120="moeda")+(Inputs!$G$5:$G$120="acoes"))*Inputs!$B$1+((Inputs!$G$5:$G$120&lt;&gt;"moeda")*(Inputs!$G$5:$G$120&lt;&gt;"acoes")))*INDEX(Inputs!$K$5:$AJ$120,0,MATCH(I$2,Inputs!$K$4:$AJ$4,0)))))</f>
        <v>-8</v>
      </c>
      <c r="J12" s="267">
        <f>IF(ISNA(MATCH(J$2,Inputs!$K$4:$AJ$4,0)),NA(),IF(SUMPRODUCT((Inputs!$A$5:$A$120=$B12)*ISNUMBER(INDEX(Inputs!$K$5:$AJ$120,0,MATCH(J$2,Inputs!$K$4:$AJ$4,0))))+SUMPRODUCT((Inputs!$C$5:$C$120=$B12)*ISNUMBER(INDEX(Inputs!$K$5:$AJ$120,0,MATCH(J$2,Inputs!$K$4:$AJ$4,0))))+SUMPRODUCT((Inputs!$E$5:$E$120=$B12)*ISNUMBER(INDEX(Inputs!$K$5:$AJ$120,0,MATCH(J$2,Inputs!$K$4:$AJ$4,0))))=0,NA(),SUMPRODUCT((Inputs!$A$5:$A$120=$B12)*Inputs!$B$5:$B$120*(((Inputs!$G$5:$G$120="moeda")+(Inputs!$G$5:$G$120="acoes"))*Inputs!$B$1+((Inputs!$G$5:$G$120&lt;&gt;"moeda")*(Inputs!$G$5:$G$120&lt;&gt;"acoes")))*INDEX(Inputs!$K$5:$AJ$120,0,MATCH(J$2,Inputs!$K$4:$AJ$4,0)))+SUMPRODUCT((Inputs!$C$5:$C$120=$B12)*Inputs!$D$5:$D$120*(((Inputs!$G$5:$G$120="moeda")+(Inputs!$G$5:$G$120="acoes"))*Inputs!$B$1+((Inputs!$G$5:$G$120&lt;&gt;"moeda")*(Inputs!$G$5:$G$120&lt;&gt;"acoes")))*INDEX(Inputs!$K$5:$AJ$120,0,MATCH(J$2,Inputs!$K$4:$AJ$4,0)))+SUMPRODUCT((Inputs!$E$5:$E$120=$B12)*Inputs!$F$5:$F$120*(((Inputs!$G$5:$G$120="moeda")+(Inputs!$G$5:$G$120="acoes"))*Inputs!$B$1+((Inputs!$G$5:$G$120&lt;&gt;"moeda")*(Inputs!$G$5:$G$120&lt;&gt;"acoes")))*INDEX(Inputs!$K$5:$AJ$120,0,MATCH(J$2,Inputs!$K$4:$AJ$4,0)))))</f>
        <v>-19</v>
      </c>
      <c r="K12" s="267">
        <f>IF(ISNA(MATCH(K$2,Inputs!$K$4:$AJ$4,0)),NA(),IF(SUMPRODUCT((Inputs!$A$5:$A$120=$B12)*ISNUMBER(INDEX(Inputs!$K$5:$AJ$120,0,MATCH(K$2,Inputs!$K$4:$AJ$4,0))))+SUMPRODUCT((Inputs!$C$5:$C$120=$B12)*ISNUMBER(INDEX(Inputs!$K$5:$AJ$120,0,MATCH(K$2,Inputs!$K$4:$AJ$4,0))))+SUMPRODUCT((Inputs!$E$5:$E$120=$B12)*ISNUMBER(INDEX(Inputs!$K$5:$AJ$120,0,MATCH(K$2,Inputs!$K$4:$AJ$4,0))))=0,NA(),SUMPRODUCT((Inputs!$A$5:$A$120=$B12)*Inputs!$B$5:$B$120*(((Inputs!$G$5:$G$120="moeda")+(Inputs!$G$5:$G$120="acoes"))*Inputs!$B$1+((Inputs!$G$5:$G$120&lt;&gt;"moeda")*(Inputs!$G$5:$G$120&lt;&gt;"acoes")))*INDEX(Inputs!$K$5:$AJ$120,0,MATCH(K$2,Inputs!$K$4:$AJ$4,0)))+SUMPRODUCT((Inputs!$C$5:$C$120=$B12)*Inputs!$D$5:$D$120*(((Inputs!$G$5:$G$120="moeda")+(Inputs!$G$5:$G$120="acoes"))*Inputs!$B$1+((Inputs!$G$5:$G$120&lt;&gt;"moeda")*(Inputs!$G$5:$G$120&lt;&gt;"acoes")))*INDEX(Inputs!$K$5:$AJ$120,0,MATCH(K$2,Inputs!$K$4:$AJ$4,0)))+SUMPRODUCT((Inputs!$E$5:$E$120=$B12)*Inputs!$F$5:$F$120*(((Inputs!$G$5:$G$120="moeda")+(Inputs!$G$5:$G$120="acoes"))*Inputs!$B$1+((Inputs!$G$5:$G$120&lt;&gt;"moeda")*(Inputs!$G$5:$G$120&lt;&gt;"acoes")))*INDEX(Inputs!$K$5:$AJ$120,0,MATCH(K$2,Inputs!$K$4:$AJ$4,0)))))</f>
        <v>-3</v>
      </c>
      <c r="L12" s="267">
        <f>IF(ISNA(MATCH(L$2,Inputs!$K$4:$AJ$4,0)),NA(),IF(SUMPRODUCT((Inputs!$A$5:$A$120=$B12)*ISNUMBER(INDEX(Inputs!$K$5:$AJ$120,0,MATCH(L$2,Inputs!$K$4:$AJ$4,0))))+SUMPRODUCT((Inputs!$C$5:$C$120=$B12)*ISNUMBER(INDEX(Inputs!$K$5:$AJ$120,0,MATCH(L$2,Inputs!$K$4:$AJ$4,0))))+SUMPRODUCT((Inputs!$E$5:$E$120=$B12)*ISNUMBER(INDEX(Inputs!$K$5:$AJ$120,0,MATCH(L$2,Inputs!$K$4:$AJ$4,0))))=0,NA(),SUMPRODUCT((Inputs!$A$5:$A$120=$B12)*Inputs!$B$5:$B$120*(((Inputs!$G$5:$G$120="moeda")+(Inputs!$G$5:$G$120="acoes"))*Inputs!$B$1+((Inputs!$G$5:$G$120&lt;&gt;"moeda")*(Inputs!$G$5:$G$120&lt;&gt;"acoes")))*INDEX(Inputs!$K$5:$AJ$120,0,MATCH(L$2,Inputs!$K$4:$AJ$4,0)))+SUMPRODUCT((Inputs!$C$5:$C$120=$B12)*Inputs!$D$5:$D$120*(((Inputs!$G$5:$G$120="moeda")+(Inputs!$G$5:$G$120="acoes"))*Inputs!$B$1+((Inputs!$G$5:$G$120&lt;&gt;"moeda")*(Inputs!$G$5:$G$120&lt;&gt;"acoes")))*INDEX(Inputs!$K$5:$AJ$120,0,MATCH(L$2,Inputs!$K$4:$AJ$4,0)))+SUMPRODUCT((Inputs!$E$5:$E$120=$B12)*Inputs!$F$5:$F$120*(((Inputs!$G$5:$G$120="moeda")+(Inputs!$G$5:$G$120="acoes"))*Inputs!$B$1+((Inputs!$G$5:$G$120&lt;&gt;"moeda")*(Inputs!$G$5:$G$120&lt;&gt;"acoes")))*INDEX(Inputs!$K$5:$AJ$120,0,MATCH(L$2,Inputs!$K$4:$AJ$4,0)))))</f>
        <v>-38</v>
      </c>
      <c r="M12" s="268">
        <f>SUM(I12:L12)</f>
        <v>-68</v>
      </c>
      <c r="N12" s="267">
        <f>IF(ISNA(MATCH(N$2,Inputs!$K$4:$AJ$4,0)),NA(),IF(SUMPRODUCT((Inputs!$A$5:$A$120=$B12)*ISNUMBER(INDEX(Inputs!$K$5:$AJ$120,0,MATCH(N$2,Inputs!$K$4:$AJ$4,0))))+SUMPRODUCT((Inputs!$C$5:$C$120=$B12)*ISNUMBER(INDEX(Inputs!$K$5:$AJ$120,0,MATCH(N$2,Inputs!$K$4:$AJ$4,0))))+SUMPRODUCT((Inputs!$E$5:$E$120=$B12)*ISNUMBER(INDEX(Inputs!$K$5:$AJ$120,0,MATCH(N$2,Inputs!$K$4:$AJ$4,0))))=0,NA(),SUMPRODUCT((Inputs!$A$5:$A$120=$B12)*Inputs!$B$5:$B$120*(((Inputs!$G$5:$G$120="moeda")+(Inputs!$G$5:$G$120="acoes"))*Inputs!$B$1+((Inputs!$G$5:$G$120&lt;&gt;"moeda")*(Inputs!$G$5:$G$120&lt;&gt;"acoes")))*INDEX(Inputs!$K$5:$AJ$120,0,MATCH(N$2,Inputs!$K$4:$AJ$4,0)))+SUMPRODUCT((Inputs!$C$5:$C$120=$B12)*Inputs!$D$5:$D$120*(((Inputs!$G$5:$G$120="moeda")+(Inputs!$G$5:$G$120="acoes"))*Inputs!$B$1+((Inputs!$G$5:$G$120&lt;&gt;"moeda")*(Inputs!$G$5:$G$120&lt;&gt;"acoes")))*INDEX(Inputs!$K$5:$AJ$120,0,MATCH(N$2,Inputs!$K$4:$AJ$4,0)))+SUMPRODUCT((Inputs!$E$5:$E$120=$B12)*Inputs!$F$5:$F$120*(((Inputs!$G$5:$G$120="moeda")+(Inputs!$G$5:$G$120="acoes"))*Inputs!$B$1+((Inputs!$G$5:$G$120&lt;&gt;"moeda")*(Inputs!$G$5:$G$120&lt;&gt;"acoes")))*INDEX(Inputs!$K$5:$AJ$120,0,MATCH(N$2,Inputs!$K$4:$AJ$4,0)))))</f>
        <v>-27</v>
      </c>
      <c r="O12" s="267">
        <f>IF(ISNA(MATCH(O$2,Inputs!$K$4:$AJ$4,0)),NA(),IF(SUMPRODUCT((Inputs!$A$5:$A$120=$B12)*ISNUMBER(INDEX(Inputs!$K$5:$AJ$120,0,MATCH(O$2,Inputs!$K$4:$AJ$4,0))))+SUMPRODUCT((Inputs!$C$5:$C$120=$B12)*ISNUMBER(INDEX(Inputs!$K$5:$AJ$120,0,MATCH(O$2,Inputs!$K$4:$AJ$4,0))))+SUMPRODUCT((Inputs!$E$5:$E$120=$B12)*ISNUMBER(INDEX(Inputs!$K$5:$AJ$120,0,MATCH(O$2,Inputs!$K$4:$AJ$4,0))))=0,NA(),SUMPRODUCT((Inputs!$A$5:$A$120=$B12)*Inputs!$B$5:$B$120*(((Inputs!$G$5:$G$120="moeda")+(Inputs!$G$5:$G$120="acoes"))*Inputs!$B$1+((Inputs!$G$5:$G$120&lt;&gt;"moeda")*(Inputs!$G$5:$G$120&lt;&gt;"acoes")))*INDEX(Inputs!$K$5:$AJ$120,0,MATCH(O$2,Inputs!$K$4:$AJ$4,0)))+SUMPRODUCT((Inputs!$C$5:$C$120=$B12)*Inputs!$D$5:$D$120*(((Inputs!$G$5:$G$120="moeda")+(Inputs!$G$5:$G$120="acoes"))*Inputs!$B$1+((Inputs!$G$5:$G$120&lt;&gt;"moeda")*(Inputs!$G$5:$G$120&lt;&gt;"acoes")))*INDEX(Inputs!$K$5:$AJ$120,0,MATCH(O$2,Inputs!$K$4:$AJ$4,0)))+SUMPRODUCT((Inputs!$E$5:$E$120=$B12)*Inputs!$F$5:$F$120*(((Inputs!$G$5:$G$120="moeda")+(Inputs!$G$5:$G$120="acoes"))*Inputs!$B$1+((Inputs!$G$5:$G$120&lt;&gt;"moeda")*(Inputs!$G$5:$G$120&lt;&gt;"acoes")))*INDEX(Inputs!$K$5:$AJ$120,0,MATCH(O$2,Inputs!$K$4:$AJ$4,0)))))</f>
        <v>-7</v>
      </c>
      <c r="P12" s="267">
        <f>IF(ISNA(MATCH(P$2,Inputs!$K$4:$AJ$4,0)),NA(),IF(SUMPRODUCT((Inputs!$A$5:$A$120=$B12)*ISNUMBER(INDEX(Inputs!$K$5:$AJ$120,0,MATCH(P$2,Inputs!$K$4:$AJ$4,0))))+SUMPRODUCT((Inputs!$C$5:$C$120=$B12)*ISNUMBER(INDEX(Inputs!$K$5:$AJ$120,0,MATCH(P$2,Inputs!$K$4:$AJ$4,0))))+SUMPRODUCT((Inputs!$E$5:$E$120=$B12)*ISNUMBER(INDEX(Inputs!$K$5:$AJ$120,0,MATCH(P$2,Inputs!$K$4:$AJ$4,0))))=0,NA(),SUMPRODUCT((Inputs!$A$5:$A$120=$B12)*Inputs!$B$5:$B$120*(((Inputs!$G$5:$G$120="moeda")+(Inputs!$G$5:$G$120="acoes"))*Inputs!$B$1+((Inputs!$G$5:$G$120&lt;&gt;"moeda")*(Inputs!$G$5:$G$120&lt;&gt;"acoes")))*INDEX(Inputs!$K$5:$AJ$120,0,MATCH(P$2,Inputs!$K$4:$AJ$4,0)))+SUMPRODUCT((Inputs!$C$5:$C$120=$B12)*Inputs!$D$5:$D$120*(((Inputs!$G$5:$G$120="moeda")+(Inputs!$G$5:$G$120="acoes"))*Inputs!$B$1+((Inputs!$G$5:$G$120&lt;&gt;"moeda")*(Inputs!$G$5:$G$120&lt;&gt;"acoes")))*INDEX(Inputs!$K$5:$AJ$120,0,MATCH(P$2,Inputs!$K$4:$AJ$4,0)))+SUMPRODUCT((Inputs!$E$5:$E$120=$B12)*Inputs!$F$5:$F$120*(((Inputs!$G$5:$G$120="moeda")+(Inputs!$G$5:$G$120="acoes"))*Inputs!$B$1+((Inputs!$G$5:$G$120&lt;&gt;"moeda")*(Inputs!$G$5:$G$120&lt;&gt;"acoes")))*INDEX(Inputs!$K$5:$AJ$120,0,MATCH(P$2,Inputs!$K$4:$AJ$4,0)))))</f>
        <v>-16</v>
      </c>
      <c r="Q12" s="267">
        <f>IF(ISNA(MATCH(Q$2,Inputs!$K$4:$AJ$4,0)),NA(),IF(SUMPRODUCT((Inputs!$A$5:$A$120=$B12)*ISNUMBER(INDEX(Inputs!$K$5:$AJ$120,0,MATCH(Q$2,Inputs!$K$4:$AJ$4,0))))+SUMPRODUCT((Inputs!$C$5:$C$120=$B12)*ISNUMBER(INDEX(Inputs!$K$5:$AJ$120,0,MATCH(Q$2,Inputs!$K$4:$AJ$4,0))))+SUMPRODUCT((Inputs!$E$5:$E$120=$B12)*ISNUMBER(INDEX(Inputs!$K$5:$AJ$120,0,MATCH(Q$2,Inputs!$K$4:$AJ$4,0))))=0,NA(),SUMPRODUCT((Inputs!$A$5:$A$120=$B12)*Inputs!$B$5:$B$120*(((Inputs!$G$5:$G$120="moeda")+(Inputs!$G$5:$G$120="acoes"))*Inputs!$B$1+((Inputs!$G$5:$G$120&lt;&gt;"moeda")*(Inputs!$G$5:$G$120&lt;&gt;"acoes")))*INDEX(Inputs!$K$5:$AJ$120,0,MATCH(Q$2,Inputs!$K$4:$AJ$4,0)))+SUMPRODUCT((Inputs!$C$5:$C$120=$B12)*Inputs!$D$5:$D$120*(((Inputs!$G$5:$G$120="moeda")+(Inputs!$G$5:$G$120="acoes"))*Inputs!$B$1+((Inputs!$G$5:$G$120&lt;&gt;"moeda")*(Inputs!$G$5:$G$120&lt;&gt;"acoes")))*INDEX(Inputs!$K$5:$AJ$120,0,MATCH(Q$2,Inputs!$K$4:$AJ$4,0)))+SUMPRODUCT((Inputs!$E$5:$E$120=$B12)*Inputs!$F$5:$F$120*(((Inputs!$G$5:$G$120="moeda")+(Inputs!$G$5:$G$120="acoes"))*Inputs!$B$1+((Inputs!$G$5:$G$120&lt;&gt;"moeda")*(Inputs!$G$5:$G$120&lt;&gt;"acoes")))*INDEX(Inputs!$K$5:$AJ$120,0,MATCH(Q$2,Inputs!$K$4:$AJ$4,0)))))</f>
        <v>-44</v>
      </c>
      <c r="R12" s="268">
        <f>SUM(N12:Q12)</f>
        <v>-94</v>
      </c>
      <c r="S12" s="267">
        <f>IF(ISNA(MATCH(S$2,Inputs!$K$4:$AJ$4,0)),NA(),IF(SUMPRODUCT((Inputs!$A$5:$A$120=$B12)*ISNUMBER(INDEX(Inputs!$K$5:$AJ$120,0,MATCH(S$2,Inputs!$K$4:$AJ$4,0))))+SUMPRODUCT((Inputs!$C$5:$C$120=$B12)*ISNUMBER(INDEX(Inputs!$K$5:$AJ$120,0,MATCH(S$2,Inputs!$K$4:$AJ$4,0))))+SUMPRODUCT((Inputs!$E$5:$E$120=$B12)*ISNUMBER(INDEX(Inputs!$K$5:$AJ$120,0,MATCH(S$2,Inputs!$K$4:$AJ$4,0))))=0,NA(),SUMPRODUCT((Inputs!$A$5:$A$120=$B12)*Inputs!$B$5:$B$120*(((Inputs!$G$5:$G$120="moeda")+(Inputs!$G$5:$G$120="acoes"))*Inputs!$B$1+((Inputs!$G$5:$G$120&lt;&gt;"moeda")*(Inputs!$G$5:$G$120&lt;&gt;"acoes")))*INDEX(Inputs!$K$5:$AJ$120,0,MATCH(S$2,Inputs!$K$4:$AJ$4,0)))+SUMPRODUCT((Inputs!$C$5:$C$120=$B12)*Inputs!$D$5:$D$120*(((Inputs!$G$5:$G$120="moeda")+(Inputs!$G$5:$G$120="acoes"))*Inputs!$B$1+((Inputs!$G$5:$G$120&lt;&gt;"moeda")*(Inputs!$G$5:$G$120&lt;&gt;"acoes")))*INDEX(Inputs!$K$5:$AJ$120,0,MATCH(S$2,Inputs!$K$4:$AJ$4,0)))+SUMPRODUCT((Inputs!$E$5:$E$120=$B12)*Inputs!$F$5:$F$120*(((Inputs!$G$5:$G$120="moeda")+(Inputs!$G$5:$G$120="acoes"))*Inputs!$B$1+((Inputs!$G$5:$G$120&lt;&gt;"moeda")*(Inputs!$G$5:$G$120&lt;&gt;"acoes")))*INDEX(Inputs!$K$5:$AJ$120,0,MATCH(S$2,Inputs!$K$4:$AJ$4,0)))))</f>
        <v>-8</v>
      </c>
      <c r="T12" s="267">
        <f>IF(ISNA(MATCH(T$2,Inputs!$K$4:$AJ$4,0)),NA(),IF(SUMPRODUCT((Inputs!$A$5:$A$120=$B12)*ISNUMBER(INDEX(Inputs!$K$5:$AJ$120,0,MATCH(T$2,Inputs!$K$4:$AJ$4,0))))+SUMPRODUCT((Inputs!$C$5:$C$120=$B12)*ISNUMBER(INDEX(Inputs!$K$5:$AJ$120,0,MATCH(T$2,Inputs!$K$4:$AJ$4,0))))+SUMPRODUCT((Inputs!$E$5:$E$120=$B12)*ISNUMBER(INDEX(Inputs!$K$5:$AJ$120,0,MATCH(T$2,Inputs!$K$4:$AJ$4,0))))=0,NA(),SUMPRODUCT((Inputs!$A$5:$A$120=$B12)*Inputs!$B$5:$B$120*(((Inputs!$G$5:$G$120="moeda")+(Inputs!$G$5:$G$120="acoes"))*Inputs!$B$1+((Inputs!$G$5:$G$120&lt;&gt;"moeda")*(Inputs!$G$5:$G$120&lt;&gt;"acoes")))*INDEX(Inputs!$K$5:$AJ$120,0,MATCH(T$2,Inputs!$K$4:$AJ$4,0)))+SUMPRODUCT((Inputs!$C$5:$C$120=$B12)*Inputs!$D$5:$D$120*(((Inputs!$G$5:$G$120="moeda")+(Inputs!$G$5:$G$120="acoes"))*Inputs!$B$1+((Inputs!$G$5:$G$120&lt;&gt;"moeda")*(Inputs!$G$5:$G$120&lt;&gt;"acoes")))*INDEX(Inputs!$K$5:$AJ$120,0,MATCH(T$2,Inputs!$K$4:$AJ$4,0)))+SUMPRODUCT((Inputs!$E$5:$E$120=$B12)*Inputs!$F$5:$F$120*(((Inputs!$G$5:$G$120="moeda")+(Inputs!$G$5:$G$120="acoes"))*Inputs!$B$1+((Inputs!$G$5:$G$120&lt;&gt;"moeda")*(Inputs!$G$5:$G$120&lt;&gt;"acoes")))*INDEX(Inputs!$K$5:$AJ$120,0,MATCH(T$2,Inputs!$K$4:$AJ$4,0)))))</f>
        <v>-3</v>
      </c>
      <c r="U12" s="267">
        <f>IF(ISNA(MATCH(U$2,Inputs!$K$4:$AJ$4,0)),NA(),IF(SUMPRODUCT((Inputs!$A$5:$A$120=$B12)*ISNUMBER(INDEX(Inputs!$K$5:$AJ$120,0,MATCH(U$2,Inputs!$K$4:$AJ$4,0))))+SUMPRODUCT((Inputs!$C$5:$C$120=$B12)*ISNUMBER(INDEX(Inputs!$K$5:$AJ$120,0,MATCH(U$2,Inputs!$K$4:$AJ$4,0))))+SUMPRODUCT((Inputs!$E$5:$E$120=$B12)*ISNUMBER(INDEX(Inputs!$K$5:$AJ$120,0,MATCH(U$2,Inputs!$K$4:$AJ$4,0))))=0,NA(),SUMPRODUCT((Inputs!$A$5:$A$120=$B12)*Inputs!$B$5:$B$120*(((Inputs!$G$5:$G$120="moeda")+(Inputs!$G$5:$G$120="acoes"))*Inputs!$B$1+((Inputs!$G$5:$G$120&lt;&gt;"moeda")*(Inputs!$G$5:$G$120&lt;&gt;"acoes")))*INDEX(Inputs!$K$5:$AJ$120,0,MATCH(U$2,Inputs!$K$4:$AJ$4,0)))+SUMPRODUCT((Inputs!$C$5:$C$120=$B12)*Inputs!$D$5:$D$120*(((Inputs!$G$5:$G$120="moeda")+(Inputs!$G$5:$G$120="acoes"))*Inputs!$B$1+((Inputs!$G$5:$G$120&lt;&gt;"moeda")*(Inputs!$G$5:$G$120&lt;&gt;"acoes")))*INDEX(Inputs!$K$5:$AJ$120,0,MATCH(U$2,Inputs!$K$4:$AJ$4,0)))+SUMPRODUCT((Inputs!$E$5:$E$120=$B12)*Inputs!$F$5:$F$120*(((Inputs!$G$5:$G$120="moeda")+(Inputs!$G$5:$G$120="acoes"))*Inputs!$B$1+((Inputs!$G$5:$G$120&lt;&gt;"moeda")*(Inputs!$G$5:$G$120&lt;&gt;"acoes")))*INDEX(Inputs!$K$5:$AJ$120,0,MATCH(U$2,Inputs!$K$4:$AJ$4,0)))))</f>
        <v>-12</v>
      </c>
      <c r="V12" s="267">
        <f>IF(ISNA(MATCH(V$2,Inputs!$K$4:$AJ$4,0)),NA(),IF(SUMPRODUCT((Inputs!$A$5:$A$120=$B12)*ISNUMBER(INDEX(Inputs!$K$5:$AJ$120,0,MATCH(V$2,Inputs!$K$4:$AJ$4,0))))+SUMPRODUCT((Inputs!$C$5:$C$120=$B12)*ISNUMBER(INDEX(Inputs!$K$5:$AJ$120,0,MATCH(V$2,Inputs!$K$4:$AJ$4,0))))+SUMPRODUCT((Inputs!$E$5:$E$120=$B12)*ISNUMBER(INDEX(Inputs!$K$5:$AJ$120,0,MATCH(V$2,Inputs!$K$4:$AJ$4,0))))=0,NA(),SUMPRODUCT((Inputs!$A$5:$A$120=$B12)*Inputs!$B$5:$B$120*(((Inputs!$G$5:$G$120="moeda")+(Inputs!$G$5:$G$120="acoes"))*Inputs!$B$1+((Inputs!$G$5:$G$120&lt;&gt;"moeda")*(Inputs!$G$5:$G$120&lt;&gt;"acoes")))*INDEX(Inputs!$K$5:$AJ$120,0,MATCH(V$2,Inputs!$K$4:$AJ$4,0)))+SUMPRODUCT((Inputs!$C$5:$C$120=$B12)*Inputs!$D$5:$D$120*(((Inputs!$G$5:$G$120="moeda")+(Inputs!$G$5:$G$120="acoes"))*Inputs!$B$1+((Inputs!$G$5:$G$120&lt;&gt;"moeda")*(Inputs!$G$5:$G$120&lt;&gt;"acoes")))*INDEX(Inputs!$K$5:$AJ$120,0,MATCH(V$2,Inputs!$K$4:$AJ$4,0)))+SUMPRODUCT((Inputs!$E$5:$E$120=$B12)*Inputs!$F$5:$F$120*(((Inputs!$G$5:$G$120="moeda")+(Inputs!$G$5:$G$120="acoes"))*Inputs!$B$1+((Inputs!$G$5:$G$120&lt;&gt;"moeda")*(Inputs!$G$5:$G$120&lt;&gt;"acoes")))*INDEX(Inputs!$K$5:$AJ$120,0,MATCH(V$2,Inputs!$K$4:$AJ$4,0)))))</f>
        <v>-28</v>
      </c>
      <c r="W12" s="268">
        <f>SUM(S12:V12)</f>
        <v>-51</v>
      </c>
      <c r="X12" s="267">
        <f>IF(ISNA(MATCH(X$2,Inputs!$K$4:$AJ$4,0)),NA(),IF(SUMPRODUCT((Inputs!$A$5:$A$120=$B12)*ISNUMBER(INDEX(Inputs!$K$5:$AJ$120,0,MATCH(X$2,Inputs!$K$4:$AJ$4,0))))+SUMPRODUCT((Inputs!$C$5:$C$120=$B12)*ISNUMBER(INDEX(Inputs!$K$5:$AJ$120,0,MATCH(X$2,Inputs!$K$4:$AJ$4,0))))+SUMPRODUCT((Inputs!$E$5:$E$120=$B12)*ISNUMBER(INDEX(Inputs!$K$5:$AJ$120,0,MATCH(X$2,Inputs!$K$4:$AJ$4,0))))=0,NA(),SUMPRODUCT((Inputs!$A$5:$A$120=$B12)*Inputs!$B$5:$B$120*(((Inputs!$G$5:$G$120="moeda")+(Inputs!$G$5:$G$120="acoes"))*Inputs!$B$1+((Inputs!$G$5:$G$120&lt;&gt;"moeda")*(Inputs!$G$5:$G$120&lt;&gt;"acoes")))*INDEX(Inputs!$K$5:$AJ$120,0,MATCH(X$2,Inputs!$K$4:$AJ$4,0)))+SUMPRODUCT((Inputs!$C$5:$C$120=$B12)*Inputs!$D$5:$D$120*(((Inputs!$G$5:$G$120="moeda")+(Inputs!$G$5:$G$120="acoes"))*Inputs!$B$1+((Inputs!$G$5:$G$120&lt;&gt;"moeda")*(Inputs!$G$5:$G$120&lt;&gt;"acoes")))*INDEX(Inputs!$K$5:$AJ$120,0,MATCH(X$2,Inputs!$K$4:$AJ$4,0)))+SUMPRODUCT((Inputs!$E$5:$E$120=$B12)*Inputs!$F$5:$F$120*(((Inputs!$G$5:$G$120="moeda")+(Inputs!$G$5:$G$120="acoes"))*Inputs!$B$1+((Inputs!$G$5:$G$120&lt;&gt;"moeda")*(Inputs!$G$5:$G$120&lt;&gt;"acoes")))*INDEX(Inputs!$K$5:$AJ$120,0,MATCH(X$2,Inputs!$K$4:$AJ$4,0)))))</f>
        <v>-3</v>
      </c>
      <c r="Y12" s="267">
        <f>IF(ISNA(MATCH(Y$2,Inputs!$K$4:$AJ$4,0)),NA(),IF(SUMPRODUCT((Inputs!$A$5:$A$120=$B12)*ISNUMBER(INDEX(Inputs!$K$5:$AJ$120,0,MATCH(Y$2,Inputs!$K$4:$AJ$4,0))))+SUMPRODUCT((Inputs!$C$5:$C$120=$B12)*ISNUMBER(INDEX(Inputs!$K$5:$AJ$120,0,MATCH(Y$2,Inputs!$K$4:$AJ$4,0))))+SUMPRODUCT((Inputs!$E$5:$E$120=$B12)*ISNUMBER(INDEX(Inputs!$K$5:$AJ$120,0,MATCH(Y$2,Inputs!$K$4:$AJ$4,0))))=0,NA(),SUMPRODUCT((Inputs!$A$5:$A$120=$B12)*Inputs!$B$5:$B$120*(((Inputs!$G$5:$G$120="moeda")+(Inputs!$G$5:$G$120="acoes"))*Inputs!$B$1+((Inputs!$G$5:$G$120&lt;&gt;"moeda")*(Inputs!$G$5:$G$120&lt;&gt;"acoes")))*INDEX(Inputs!$K$5:$AJ$120,0,MATCH(Y$2,Inputs!$K$4:$AJ$4,0)))+SUMPRODUCT((Inputs!$C$5:$C$120=$B12)*Inputs!$D$5:$D$120*(((Inputs!$G$5:$G$120="moeda")+(Inputs!$G$5:$G$120="acoes"))*Inputs!$B$1+((Inputs!$G$5:$G$120&lt;&gt;"moeda")*(Inputs!$G$5:$G$120&lt;&gt;"acoes")))*INDEX(Inputs!$K$5:$AJ$120,0,MATCH(Y$2,Inputs!$K$4:$AJ$4,0)))+SUMPRODUCT((Inputs!$E$5:$E$120=$B12)*Inputs!$F$5:$F$120*(((Inputs!$G$5:$G$120="moeda")+(Inputs!$G$5:$G$120="acoes"))*Inputs!$B$1+((Inputs!$G$5:$G$120&lt;&gt;"moeda")*(Inputs!$G$5:$G$120&lt;&gt;"acoes")))*INDEX(Inputs!$K$5:$AJ$120,0,MATCH(Y$2,Inputs!$K$4:$AJ$4,0)))))</f>
        <v>-16</v>
      </c>
      <c r="Z12" s="267">
        <f>IF(ISNA(MATCH(Z$2,Inputs!$K$4:$AJ$4,0)),NA(),IF(SUMPRODUCT((Inputs!$A$5:$A$120=$B12)*ISNUMBER(INDEX(Inputs!$K$5:$AJ$120,0,MATCH(Z$2,Inputs!$K$4:$AJ$4,0))))+SUMPRODUCT((Inputs!$C$5:$C$120=$B12)*ISNUMBER(INDEX(Inputs!$K$5:$AJ$120,0,MATCH(Z$2,Inputs!$K$4:$AJ$4,0))))+SUMPRODUCT((Inputs!$E$5:$E$120=$B12)*ISNUMBER(INDEX(Inputs!$K$5:$AJ$120,0,MATCH(Z$2,Inputs!$K$4:$AJ$4,0))))=0,NA(),SUMPRODUCT((Inputs!$A$5:$A$120=$B12)*Inputs!$B$5:$B$120*(((Inputs!$G$5:$G$120="moeda")+(Inputs!$G$5:$G$120="acoes"))*Inputs!$B$1+((Inputs!$G$5:$G$120&lt;&gt;"moeda")*(Inputs!$G$5:$G$120&lt;&gt;"acoes")))*INDEX(Inputs!$K$5:$AJ$120,0,MATCH(Z$2,Inputs!$K$4:$AJ$4,0)))+SUMPRODUCT((Inputs!$C$5:$C$120=$B12)*Inputs!$D$5:$D$120*(((Inputs!$G$5:$G$120="moeda")+(Inputs!$G$5:$G$120="acoes"))*Inputs!$B$1+((Inputs!$G$5:$G$120&lt;&gt;"moeda")*(Inputs!$G$5:$G$120&lt;&gt;"acoes")))*INDEX(Inputs!$K$5:$AJ$120,0,MATCH(Z$2,Inputs!$K$4:$AJ$4,0)))+SUMPRODUCT((Inputs!$E$5:$E$120=$B12)*Inputs!$F$5:$F$120*(((Inputs!$G$5:$G$120="moeda")+(Inputs!$G$5:$G$120="acoes"))*Inputs!$B$1+((Inputs!$G$5:$G$120&lt;&gt;"moeda")*(Inputs!$G$5:$G$120&lt;&gt;"acoes")))*INDEX(Inputs!$K$5:$AJ$120,0,MATCH(Z$2,Inputs!$K$4:$AJ$4,0)))))</f>
        <v>-15</v>
      </c>
      <c r="AA12" s="267">
        <f>IF(ISNA(MATCH(AA$2,Inputs!$K$4:$AJ$4,0)),NA(),IF(SUMPRODUCT((Inputs!$A$5:$A$120=$B12)*ISNUMBER(INDEX(Inputs!$K$5:$AJ$120,0,MATCH(AA$2,Inputs!$K$4:$AJ$4,0))))+SUMPRODUCT((Inputs!$C$5:$C$120=$B12)*ISNUMBER(INDEX(Inputs!$K$5:$AJ$120,0,MATCH(AA$2,Inputs!$K$4:$AJ$4,0))))+SUMPRODUCT((Inputs!$E$5:$E$120=$B12)*ISNUMBER(INDEX(Inputs!$K$5:$AJ$120,0,MATCH(AA$2,Inputs!$K$4:$AJ$4,0))))=0,NA(),SUMPRODUCT((Inputs!$A$5:$A$120=$B12)*Inputs!$B$5:$B$120*(((Inputs!$G$5:$G$120="moeda")+(Inputs!$G$5:$G$120="acoes"))*Inputs!$B$1+((Inputs!$G$5:$G$120&lt;&gt;"moeda")*(Inputs!$G$5:$G$120&lt;&gt;"acoes")))*INDEX(Inputs!$K$5:$AJ$120,0,MATCH(AA$2,Inputs!$K$4:$AJ$4,0)))+SUMPRODUCT((Inputs!$C$5:$C$120=$B12)*Inputs!$D$5:$D$120*(((Inputs!$G$5:$G$120="moeda")+(Inputs!$G$5:$G$120="acoes"))*Inputs!$B$1+((Inputs!$G$5:$G$120&lt;&gt;"moeda")*(Inputs!$G$5:$G$120&lt;&gt;"acoes")))*INDEX(Inputs!$K$5:$AJ$120,0,MATCH(AA$2,Inputs!$K$4:$AJ$4,0)))+SUMPRODUCT((Inputs!$E$5:$E$120=$B12)*Inputs!$F$5:$F$120*(((Inputs!$G$5:$G$120="moeda")+(Inputs!$G$5:$G$120="acoes"))*Inputs!$B$1+((Inputs!$G$5:$G$120&lt;&gt;"moeda")*(Inputs!$G$5:$G$120&lt;&gt;"acoes")))*INDEX(Inputs!$K$5:$AJ$120,0,MATCH(AA$2,Inputs!$K$4:$AJ$4,0)))))</f>
        <v>7</v>
      </c>
      <c r="AB12" s="268">
        <f>SUM(X12:AA12)</f>
        <v>-27</v>
      </c>
      <c r="AC12" s="267">
        <f>IF(ISNA(MATCH(AC$2,Inputs!$K$4:$AJ$4,0)),NA(),IF(SUMPRODUCT((Inputs!$A$5:$A$120=$B12)*ISNUMBER(INDEX(Inputs!$K$5:$AJ$120,0,MATCH(AC$2,Inputs!$K$4:$AJ$4,0))))+SUMPRODUCT((Inputs!$C$5:$C$120=$B12)*ISNUMBER(INDEX(Inputs!$K$5:$AJ$120,0,MATCH(AC$2,Inputs!$K$4:$AJ$4,0))))+SUMPRODUCT((Inputs!$E$5:$E$120=$B12)*ISNUMBER(INDEX(Inputs!$K$5:$AJ$120,0,MATCH(AC$2,Inputs!$K$4:$AJ$4,0))))=0,NA(),SUMPRODUCT((Inputs!$A$5:$A$120=$B12)*Inputs!$B$5:$B$120*(((Inputs!$G$5:$G$120="moeda")+(Inputs!$G$5:$G$120="acoes"))*Inputs!$B$1+((Inputs!$G$5:$G$120&lt;&gt;"moeda")*(Inputs!$G$5:$G$120&lt;&gt;"acoes")))*INDEX(Inputs!$K$5:$AJ$120,0,MATCH(AC$2,Inputs!$K$4:$AJ$4,0)))+SUMPRODUCT((Inputs!$C$5:$C$120=$B12)*Inputs!$D$5:$D$120*(((Inputs!$G$5:$G$120="moeda")+(Inputs!$G$5:$G$120="acoes"))*Inputs!$B$1+((Inputs!$G$5:$G$120&lt;&gt;"moeda")*(Inputs!$G$5:$G$120&lt;&gt;"acoes")))*INDEX(Inputs!$K$5:$AJ$120,0,MATCH(AC$2,Inputs!$K$4:$AJ$4,0)))+SUMPRODUCT((Inputs!$E$5:$E$120=$B12)*Inputs!$F$5:$F$120*(((Inputs!$G$5:$G$120="moeda")+(Inputs!$G$5:$G$120="acoes"))*Inputs!$B$1+((Inputs!$G$5:$G$120&lt;&gt;"moeda")*(Inputs!$G$5:$G$120&lt;&gt;"acoes")))*INDEX(Inputs!$K$5:$AJ$120,0,MATCH(AC$2,Inputs!$K$4:$AJ$4,0)))))</f>
        <v>-7</v>
      </c>
      <c r="AD12" s="267">
        <f>IF(ISNA(MATCH(AD$2,Inputs!$K$4:$AJ$4,0)),NA(),IF(SUMPRODUCT((Inputs!$A$5:$A$120=$B12)*ISNUMBER(INDEX(Inputs!$K$5:$AJ$120,0,MATCH(AD$2,Inputs!$K$4:$AJ$4,0))))+SUMPRODUCT((Inputs!$C$5:$C$120=$B12)*ISNUMBER(INDEX(Inputs!$K$5:$AJ$120,0,MATCH(AD$2,Inputs!$K$4:$AJ$4,0))))+SUMPRODUCT((Inputs!$E$5:$E$120=$B12)*ISNUMBER(INDEX(Inputs!$K$5:$AJ$120,0,MATCH(AD$2,Inputs!$K$4:$AJ$4,0))))=0,NA(),SUMPRODUCT((Inputs!$A$5:$A$120=$B12)*Inputs!$B$5:$B$120*(((Inputs!$G$5:$G$120="moeda")+(Inputs!$G$5:$G$120="acoes"))*Inputs!$B$1+((Inputs!$G$5:$G$120&lt;&gt;"moeda")*(Inputs!$G$5:$G$120&lt;&gt;"acoes")))*INDEX(Inputs!$K$5:$AJ$120,0,MATCH(AD$2,Inputs!$K$4:$AJ$4,0)))+SUMPRODUCT((Inputs!$C$5:$C$120=$B12)*Inputs!$D$5:$D$120*(((Inputs!$G$5:$G$120="moeda")+(Inputs!$G$5:$G$120="acoes"))*Inputs!$B$1+((Inputs!$G$5:$G$120&lt;&gt;"moeda")*(Inputs!$G$5:$G$120&lt;&gt;"acoes")))*INDEX(Inputs!$K$5:$AJ$120,0,MATCH(AD$2,Inputs!$K$4:$AJ$4,0)))+SUMPRODUCT((Inputs!$E$5:$E$120=$B12)*Inputs!$F$5:$F$120*(((Inputs!$G$5:$G$120="moeda")+(Inputs!$G$5:$G$120="acoes"))*Inputs!$B$1+((Inputs!$G$5:$G$120&lt;&gt;"moeda")*(Inputs!$G$5:$G$120&lt;&gt;"acoes")))*INDEX(Inputs!$K$5:$AJ$120,0,MATCH(AD$2,Inputs!$K$4:$AJ$4,0)))))</f>
        <v>-29</v>
      </c>
      <c r="AE12" s="267" t="e">
        <f>IF(ISNA(MATCH(AE$2,Inputs!$K$4:$AJ$4,0)),NA(),IF(SUMPRODUCT((Inputs!$A$5:$A$120=$B12)*ISNUMBER(INDEX(Inputs!$K$5:$AJ$120,0,MATCH(AE$2,Inputs!$K$4:$AJ$4,0))))+SUMPRODUCT((Inputs!$C$5:$C$120=$B12)*ISNUMBER(INDEX(Inputs!$K$5:$AJ$120,0,MATCH(AE$2,Inputs!$K$4:$AJ$4,0))))+SUMPRODUCT((Inputs!$E$5:$E$120=$B12)*ISNUMBER(INDEX(Inputs!$K$5:$AJ$120,0,MATCH(AE$2,Inputs!$K$4:$AJ$4,0))))=0,NA(),SUMPRODUCT((Inputs!$A$5:$A$120=$B12)*Inputs!$B$5:$B$120*(((Inputs!$G$5:$G$120="moeda")+(Inputs!$G$5:$G$120="acoes"))*Inputs!$B$1+((Inputs!$G$5:$G$120&lt;&gt;"moeda")*(Inputs!$G$5:$G$120&lt;&gt;"acoes")))*INDEX(Inputs!$K$5:$AJ$120,0,MATCH(AE$2,Inputs!$K$4:$AJ$4,0)))+SUMPRODUCT((Inputs!$C$5:$C$120=$B12)*Inputs!$D$5:$D$120*(((Inputs!$G$5:$G$120="moeda")+(Inputs!$G$5:$G$120="acoes"))*Inputs!$B$1+((Inputs!$G$5:$G$120&lt;&gt;"moeda")*(Inputs!$G$5:$G$120&lt;&gt;"acoes")))*INDEX(Inputs!$K$5:$AJ$120,0,MATCH(AE$2,Inputs!$K$4:$AJ$4,0)))+SUMPRODUCT((Inputs!$E$5:$E$120=$B12)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2" s="267" t="e">
        <f>IF(ISNA(MATCH(AF$2,Inputs!$K$4:$AJ$4,0)),NA(),IF(SUMPRODUCT((Inputs!$A$5:$A$120=$B12)*ISNUMBER(INDEX(Inputs!$K$5:$AJ$120,0,MATCH(AF$2,Inputs!$K$4:$AJ$4,0))))+SUMPRODUCT((Inputs!$C$5:$C$120=$B12)*ISNUMBER(INDEX(Inputs!$K$5:$AJ$120,0,MATCH(AF$2,Inputs!$K$4:$AJ$4,0))))+SUMPRODUCT((Inputs!$E$5:$E$120=$B12)*ISNUMBER(INDEX(Inputs!$K$5:$AJ$120,0,MATCH(AF$2,Inputs!$K$4:$AJ$4,0))))=0,NA(),SUMPRODUCT((Inputs!$A$5:$A$120=$B12)*Inputs!$B$5:$B$120*(((Inputs!$G$5:$G$120="moeda")+(Inputs!$G$5:$G$120="acoes"))*Inputs!$B$1+((Inputs!$G$5:$G$120&lt;&gt;"moeda")*(Inputs!$G$5:$G$120&lt;&gt;"acoes")))*INDEX(Inputs!$K$5:$AJ$120,0,MATCH(AF$2,Inputs!$K$4:$AJ$4,0)))+SUMPRODUCT((Inputs!$C$5:$C$120=$B12)*Inputs!$D$5:$D$120*(((Inputs!$G$5:$G$120="moeda")+(Inputs!$G$5:$G$120="acoes"))*Inputs!$B$1+((Inputs!$G$5:$G$120&lt;&gt;"moeda")*(Inputs!$G$5:$G$120&lt;&gt;"acoes")))*INDEX(Inputs!$K$5:$AJ$120,0,MATCH(AF$2,Inputs!$K$4:$AJ$4,0)))+SUMPRODUCT((Inputs!$E$5:$E$120=$B12)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2" s="268" t="e">
        <f>SUM(AC12:AF12)</f>
        <v>#N/A</v>
      </c>
      <c r="AH12" s="267">
        <f>IF(ISNA(MATCH(AH$2,Inputs!$K$4:$AJ$4,0)),NA(),IF(SUMPRODUCT((Inputs!$A$5:$A$120=$B12)*ISNUMBER(INDEX(Inputs!$K$5:$AJ$120,0,MATCH(AH$2,Inputs!$K$4:$AJ$4,0))))+SUMPRODUCT((Inputs!$C$5:$C$120=$B12)*ISNUMBER(INDEX(Inputs!$K$5:$AJ$120,0,MATCH(AH$2,Inputs!$K$4:$AJ$4,0))))+SUMPRODUCT((Inputs!$E$5:$E$120=$B12)*ISNUMBER(INDEX(Inputs!$K$5:$AJ$120,0,MATCH(AH$2,Inputs!$K$4:$AJ$4,0))))=0,NA(),SUMPRODUCT((Inputs!$A$5:$A$120=$B12)*Inputs!$B$5:$B$120*(((Inputs!$G$5:$G$120="moeda")+(Inputs!$G$5:$G$120="acoes"))*Inputs!$B$1+((Inputs!$G$5:$G$120&lt;&gt;"moeda")*(Inputs!$G$5:$G$120&lt;&gt;"acoes")))*INDEX(Inputs!$K$5:$AJ$120,0,MATCH(AH$2,Inputs!$K$4:$AJ$4,0)))+SUMPRODUCT((Inputs!$C$5:$C$120=$B12)*Inputs!$D$5:$D$120*(((Inputs!$G$5:$G$120="moeda")+(Inputs!$G$5:$G$120="acoes"))*Inputs!$B$1+((Inputs!$G$5:$G$120&lt;&gt;"moeda")*(Inputs!$G$5:$G$120&lt;&gt;"acoes")))*INDEX(Inputs!$K$5:$AJ$120,0,MATCH(AH$2,Inputs!$K$4:$AJ$4,0)))+SUMPRODUCT((Inputs!$E$5:$E$120=$B12)*Inputs!$F$5:$F$120*(((Inputs!$G$5:$G$120="moeda")+(Inputs!$G$5:$G$120="acoes"))*Inputs!$B$1+((Inputs!$G$5:$G$120&lt;&gt;"moeda")*(Inputs!$G$5:$G$120&lt;&gt;"acoes")))*INDEX(Inputs!$K$5:$AJ$120,0,MATCH(AH$2,Inputs!$K$4:$AJ$4,0)))))</f>
        <v>9</v>
      </c>
      <c r="AI12" s="267">
        <f>IF(ISNA(MATCH(AI$2,Inputs!$K$4:$AJ$4,0)),NA(),IF(SUMPRODUCT((Inputs!$A$5:$A$120=$B12)*ISNUMBER(INDEX(Inputs!$K$5:$AJ$120,0,MATCH(AI$2,Inputs!$K$4:$AJ$4,0))))+SUMPRODUCT((Inputs!$C$5:$C$120=$B12)*ISNUMBER(INDEX(Inputs!$K$5:$AJ$120,0,MATCH(AI$2,Inputs!$K$4:$AJ$4,0))))+SUMPRODUCT((Inputs!$E$5:$E$120=$B12)*ISNUMBER(INDEX(Inputs!$K$5:$AJ$120,0,MATCH(AI$2,Inputs!$K$4:$AJ$4,0))))=0,NA(),SUMPRODUCT((Inputs!$A$5:$A$120=$B12)*Inputs!$B$5:$B$120*(((Inputs!$G$5:$G$120="moeda")+(Inputs!$G$5:$G$120="acoes"))*Inputs!$B$1+((Inputs!$G$5:$G$120&lt;&gt;"moeda")*(Inputs!$G$5:$G$120&lt;&gt;"acoes")))*INDEX(Inputs!$K$5:$AJ$120,0,MATCH(AI$2,Inputs!$K$4:$AJ$4,0)))+SUMPRODUCT((Inputs!$C$5:$C$120=$B12)*Inputs!$D$5:$D$120*(((Inputs!$G$5:$G$120="moeda")+(Inputs!$G$5:$G$120="acoes"))*Inputs!$B$1+((Inputs!$G$5:$G$120&lt;&gt;"moeda")*(Inputs!$G$5:$G$120&lt;&gt;"acoes")))*INDEX(Inputs!$K$5:$AJ$120,0,MATCH(AI$2,Inputs!$K$4:$AJ$4,0)))+SUMPRODUCT((Inputs!$E$5:$E$120=$B12)*Inputs!$F$5:$F$120*(((Inputs!$G$5:$G$120="moeda")+(Inputs!$G$5:$G$120="acoes"))*Inputs!$B$1+((Inputs!$G$5:$G$120&lt;&gt;"moeda")*(Inputs!$G$5:$G$120&lt;&gt;"acoes")))*INDEX(Inputs!$K$5:$AJ$120,0,MATCH(AI$2,Inputs!$K$4:$AJ$4,0)))))</f>
        <v>-6</v>
      </c>
      <c r="AJ12" s="267">
        <f>IF(ISNA(MATCH(AJ$2,Inputs!$K$4:$AJ$4,0)),NA(),IF(SUMPRODUCT((Inputs!$A$5:$A$120=$B12)*ISNUMBER(INDEX(Inputs!$K$5:$AJ$120,0,MATCH(AJ$2,Inputs!$K$4:$AJ$4,0))))+SUMPRODUCT((Inputs!$C$5:$C$120=$B12)*ISNUMBER(INDEX(Inputs!$K$5:$AJ$120,0,MATCH(AJ$2,Inputs!$K$4:$AJ$4,0))))+SUMPRODUCT((Inputs!$E$5:$E$120=$B12)*ISNUMBER(INDEX(Inputs!$K$5:$AJ$120,0,MATCH(AJ$2,Inputs!$K$4:$AJ$4,0))))=0,NA(),SUMPRODUCT((Inputs!$A$5:$A$120=$B12)*Inputs!$B$5:$B$120*(((Inputs!$G$5:$G$120="moeda")+(Inputs!$G$5:$G$120="acoes"))*Inputs!$B$1+((Inputs!$G$5:$G$120&lt;&gt;"moeda")*(Inputs!$G$5:$G$120&lt;&gt;"acoes")))*INDEX(Inputs!$K$5:$AJ$120,0,MATCH(AJ$2,Inputs!$K$4:$AJ$4,0)))+SUMPRODUCT((Inputs!$C$5:$C$120=$B12)*Inputs!$D$5:$D$120*(((Inputs!$G$5:$G$120="moeda")+(Inputs!$G$5:$G$120="acoes"))*Inputs!$B$1+((Inputs!$G$5:$G$120&lt;&gt;"moeda")*(Inputs!$G$5:$G$120&lt;&gt;"acoes")))*INDEX(Inputs!$K$5:$AJ$120,0,MATCH(AJ$2,Inputs!$K$4:$AJ$4,0)))+SUMPRODUCT((Inputs!$E$5:$E$120=$B12)*Inputs!$F$5:$F$120*(((Inputs!$G$5:$G$120="moeda")+(Inputs!$G$5:$G$120="acoes"))*Inputs!$B$1+((Inputs!$G$5:$G$120&lt;&gt;"moeda")*(Inputs!$G$5:$G$120&lt;&gt;"acoes")))*INDEX(Inputs!$K$5:$AJ$120,0,MATCH(AJ$2,Inputs!$K$4:$AJ$4,0)))))</f>
        <v>-5</v>
      </c>
      <c r="AK12" s="267">
        <f>IF(ISNA(MATCH(AK$2,Inputs!$K$4:$AJ$4,0)),NA(),IF(SUMPRODUCT((Inputs!$A$5:$A$120=$B12)*ISNUMBER(INDEX(Inputs!$K$5:$AJ$120,0,MATCH(AK$2,Inputs!$K$4:$AJ$4,0))))+SUMPRODUCT((Inputs!$C$5:$C$120=$B12)*ISNUMBER(INDEX(Inputs!$K$5:$AJ$120,0,MATCH(AK$2,Inputs!$K$4:$AJ$4,0))))+SUMPRODUCT((Inputs!$E$5:$E$120=$B12)*ISNUMBER(INDEX(Inputs!$K$5:$AJ$120,0,MATCH(AK$2,Inputs!$K$4:$AJ$4,0))))=0,NA(),SUMPRODUCT((Inputs!$A$5:$A$120=$B12)*Inputs!$B$5:$B$120*(((Inputs!$G$5:$G$120="moeda")+(Inputs!$G$5:$G$120="acoes"))*Inputs!$B$1+((Inputs!$G$5:$G$120&lt;&gt;"moeda")*(Inputs!$G$5:$G$120&lt;&gt;"acoes")))*INDEX(Inputs!$K$5:$AJ$120,0,MATCH(AK$2,Inputs!$K$4:$AJ$4,0)))+SUMPRODUCT((Inputs!$C$5:$C$120=$B12)*Inputs!$D$5:$D$120*(((Inputs!$G$5:$G$120="moeda")+(Inputs!$G$5:$G$120="acoes"))*Inputs!$B$1+((Inputs!$G$5:$G$120&lt;&gt;"moeda")*(Inputs!$G$5:$G$120&lt;&gt;"acoes")))*INDEX(Inputs!$K$5:$AJ$120,0,MATCH(AK$2,Inputs!$K$4:$AJ$4,0)))+SUMPRODUCT((Inputs!$E$5:$E$120=$B12)*Inputs!$F$5:$F$120*(((Inputs!$G$5:$G$120="moeda")+(Inputs!$G$5:$G$120="acoes"))*Inputs!$B$1+((Inputs!$G$5:$G$120&lt;&gt;"moeda")*(Inputs!$G$5:$G$120&lt;&gt;"acoes")))*INDEX(Inputs!$K$5:$AJ$120,0,MATCH(AK$2,Inputs!$K$4:$AJ$4,0)))))</f>
        <v>-18</v>
      </c>
      <c r="AL12" s="268">
        <f>SUM(AH12:AK12)</f>
        <v>-20</v>
      </c>
    </row>
    <row r="13" ht="12.75" customHeight="1" s="255">
      <c r="B13" s="265" t="n">
        <v>10</v>
      </c>
      <c r="C13" s="269" t="inlineStr">
        <is>
          <t>Common Dividends</t>
        </is>
      </c>
      <c r="D13" s="267">
        <f>IF(ISNA(MATCH(D$2,Inputs!$K$4:$AJ$4,0)),NA(),IF(SUMPRODUCT((Inputs!$A$5:$A$120=$B13)*ISNUMBER(INDEX(Inputs!$K$5:$AJ$120,0,MATCH(D$2,Inputs!$K$4:$AJ$4,0))))+SUMPRODUCT((Inputs!$C$5:$C$120=$B13)*ISNUMBER(INDEX(Inputs!$K$5:$AJ$120,0,MATCH(D$2,Inputs!$K$4:$AJ$4,0))))+SUMPRODUCT((Inputs!$E$5:$E$120=$B13)*ISNUMBER(INDEX(Inputs!$K$5:$AJ$120,0,MATCH(D$2,Inputs!$K$4:$AJ$4,0))))=0,NA(),SUMPRODUCT((Inputs!$A$5:$A$120=$B13)*Inputs!$B$5:$B$120*(((Inputs!$G$5:$G$120="moeda")+(Inputs!$G$5:$G$120="acoes"))*Inputs!$B$1+((Inputs!$G$5:$G$120&lt;&gt;"moeda")*(Inputs!$G$5:$G$120&lt;&gt;"acoes")))*INDEX(Inputs!$K$5:$AJ$120,0,MATCH(D$2,Inputs!$K$4:$AJ$4,0)))+SUMPRODUCT((Inputs!$C$5:$C$120=$B13)*Inputs!$D$5:$D$120*(((Inputs!$G$5:$G$120="moeda")+(Inputs!$G$5:$G$120="acoes"))*Inputs!$B$1+((Inputs!$G$5:$G$120&lt;&gt;"moeda")*(Inputs!$G$5:$G$120&lt;&gt;"acoes")))*INDEX(Inputs!$K$5:$AJ$120,0,MATCH(D$2,Inputs!$K$4:$AJ$4,0)))+SUMPRODUCT((Inputs!$E$5:$E$120=$B13)*Inputs!$F$5:$F$120*(((Inputs!$G$5:$G$120="moeda")+(Inputs!$G$5:$G$120="acoes"))*Inputs!$B$1+((Inputs!$G$5:$G$120&lt;&gt;"moeda")*(Inputs!$G$5:$G$120&lt;&gt;"acoes")))*INDEX(Inputs!$K$5:$AJ$120,0,MATCH(D$2,Inputs!$K$4:$AJ$4,0)))))</f>
        <v>-79</v>
      </c>
      <c r="E13" s="267">
        <f>IF(ISNA(MATCH(E$2,Inputs!$K$4:$AJ$4,0)),NA(),IF(SUMPRODUCT((Inputs!$A$5:$A$120=$B13)*ISNUMBER(INDEX(Inputs!$K$5:$AJ$120,0,MATCH(E$2,Inputs!$K$4:$AJ$4,0))))+SUMPRODUCT((Inputs!$C$5:$C$120=$B13)*ISNUMBER(INDEX(Inputs!$K$5:$AJ$120,0,MATCH(E$2,Inputs!$K$4:$AJ$4,0))))+SUMPRODUCT((Inputs!$E$5:$E$120=$B13)*ISNUMBER(INDEX(Inputs!$K$5:$AJ$120,0,MATCH(E$2,Inputs!$K$4:$AJ$4,0))))=0,NA(),SUMPRODUCT((Inputs!$A$5:$A$120=$B13)*Inputs!$B$5:$B$120*(((Inputs!$G$5:$G$120="moeda")+(Inputs!$G$5:$G$120="acoes"))*Inputs!$B$1+((Inputs!$G$5:$G$120&lt;&gt;"moeda")*(Inputs!$G$5:$G$120&lt;&gt;"acoes")))*INDEX(Inputs!$K$5:$AJ$120,0,MATCH(E$2,Inputs!$K$4:$AJ$4,0)))+SUMPRODUCT((Inputs!$C$5:$C$120=$B13)*Inputs!$D$5:$D$120*(((Inputs!$G$5:$G$120="moeda")+(Inputs!$G$5:$G$120="acoes"))*Inputs!$B$1+((Inputs!$G$5:$G$120&lt;&gt;"moeda")*(Inputs!$G$5:$G$120&lt;&gt;"acoes")))*INDEX(Inputs!$K$5:$AJ$120,0,MATCH(E$2,Inputs!$K$4:$AJ$4,0)))+SUMPRODUCT((Inputs!$E$5:$E$120=$B13)*Inputs!$F$5:$F$120*(((Inputs!$G$5:$G$120="moeda")+(Inputs!$G$5:$G$120="acoes"))*Inputs!$B$1+((Inputs!$G$5:$G$120&lt;&gt;"moeda")*(Inputs!$G$5:$G$120&lt;&gt;"acoes")))*INDEX(Inputs!$K$5:$AJ$120,0,MATCH(E$2,Inputs!$K$4:$AJ$4,0)))))</f>
        <v>-79</v>
      </c>
      <c r="F13" s="267">
        <f>IF(ISNA(MATCH(F$2,Inputs!$K$4:$AJ$4,0)),NA(),IF(SUMPRODUCT((Inputs!$A$5:$A$120=$B13)*ISNUMBER(INDEX(Inputs!$K$5:$AJ$120,0,MATCH(F$2,Inputs!$K$4:$AJ$4,0))))+SUMPRODUCT((Inputs!$C$5:$C$120=$B13)*ISNUMBER(INDEX(Inputs!$K$5:$AJ$120,0,MATCH(F$2,Inputs!$K$4:$AJ$4,0))))+SUMPRODUCT((Inputs!$E$5:$E$120=$B13)*ISNUMBER(INDEX(Inputs!$K$5:$AJ$120,0,MATCH(F$2,Inputs!$K$4:$AJ$4,0))))=0,NA(),SUMPRODUCT((Inputs!$A$5:$A$120=$B13)*Inputs!$B$5:$B$120*(((Inputs!$G$5:$G$120="moeda")+(Inputs!$G$5:$G$120="acoes"))*Inputs!$B$1+((Inputs!$G$5:$G$120&lt;&gt;"moeda")*(Inputs!$G$5:$G$120&lt;&gt;"acoes")))*INDEX(Inputs!$K$5:$AJ$120,0,MATCH(F$2,Inputs!$K$4:$AJ$4,0)))+SUMPRODUCT((Inputs!$C$5:$C$120=$B13)*Inputs!$D$5:$D$120*(((Inputs!$G$5:$G$120="moeda")+(Inputs!$G$5:$G$120="acoes"))*Inputs!$B$1+((Inputs!$G$5:$G$120&lt;&gt;"moeda")*(Inputs!$G$5:$G$120&lt;&gt;"acoes")))*INDEX(Inputs!$K$5:$AJ$120,0,MATCH(F$2,Inputs!$K$4:$AJ$4,0)))+SUMPRODUCT((Inputs!$E$5:$E$120=$B13)*Inputs!$F$5:$F$120*(((Inputs!$G$5:$G$120="moeda")+(Inputs!$G$5:$G$120="acoes"))*Inputs!$B$1+((Inputs!$G$5:$G$120&lt;&gt;"moeda")*(Inputs!$G$5:$G$120&lt;&gt;"acoes")))*INDEX(Inputs!$K$5:$AJ$120,0,MATCH(F$2,Inputs!$K$4:$AJ$4,0)))))</f>
        <v>0</v>
      </c>
      <c r="G13" s="267">
        <f>IF(ISNA(MATCH(G$2,Inputs!$K$4:$AJ$4,0)),NA(),IF(SUMPRODUCT((Inputs!$A$5:$A$120=$B13)*ISNUMBER(INDEX(Inputs!$K$5:$AJ$120,0,MATCH(G$2,Inputs!$K$4:$AJ$4,0))))+SUMPRODUCT((Inputs!$C$5:$C$120=$B13)*ISNUMBER(INDEX(Inputs!$K$5:$AJ$120,0,MATCH(G$2,Inputs!$K$4:$AJ$4,0))))+SUMPRODUCT((Inputs!$E$5:$E$120=$B13)*ISNUMBER(INDEX(Inputs!$K$5:$AJ$120,0,MATCH(G$2,Inputs!$K$4:$AJ$4,0))))=0,NA(),SUMPRODUCT((Inputs!$A$5:$A$120=$B13)*Inputs!$B$5:$B$120*(((Inputs!$G$5:$G$120="moeda")+(Inputs!$G$5:$G$120="acoes"))*Inputs!$B$1+((Inputs!$G$5:$G$120&lt;&gt;"moeda")*(Inputs!$G$5:$G$120&lt;&gt;"acoes")))*INDEX(Inputs!$K$5:$AJ$120,0,MATCH(G$2,Inputs!$K$4:$AJ$4,0)))+SUMPRODUCT((Inputs!$C$5:$C$120=$B13)*Inputs!$D$5:$D$120*(((Inputs!$G$5:$G$120="moeda")+(Inputs!$G$5:$G$120="acoes"))*Inputs!$B$1+((Inputs!$G$5:$G$120&lt;&gt;"moeda")*(Inputs!$G$5:$G$120&lt;&gt;"acoes")))*INDEX(Inputs!$K$5:$AJ$120,0,MATCH(G$2,Inputs!$K$4:$AJ$4,0)))+SUMPRODUCT((Inputs!$E$5:$E$120=$B13)*Inputs!$F$5:$F$120*(((Inputs!$G$5:$G$120="moeda")+(Inputs!$G$5:$G$120="acoes"))*Inputs!$B$1+((Inputs!$G$5:$G$120&lt;&gt;"moeda")*(Inputs!$G$5:$G$120&lt;&gt;"acoes")))*INDEX(Inputs!$K$5:$AJ$120,0,MATCH(G$2,Inputs!$K$4:$AJ$4,0)))))</f>
        <v>0</v>
      </c>
      <c r="H13" s="268">
        <f>SUM(D13:G13)</f>
        <v>-158</v>
      </c>
      <c r="I13" s="267">
        <f>IF(ISNA(MATCH(I$2,Inputs!$K$4:$AJ$4,0)),NA(),IF(SUMPRODUCT((Inputs!$A$5:$A$120=$B13)*ISNUMBER(INDEX(Inputs!$K$5:$AJ$120,0,MATCH(I$2,Inputs!$K$4:$AJ$4,0))))+SUMPRODUCT((Inputs!$C$5:$C$120=$B13)*ISNUMBER(INDEX(Inputs!$K$5:$AJ$120,0,MATCH(I$2,Inputs!$K$4:$AJ$4,0))))+SUMPRODUCT((Inputs!$E$5:$E$120=$B13)*ISNUMBER(INDEX(Inputs!$K$5:$AJ$120,0,MATCH(I$2,Inputs!$K$4:$AJ$4,0))))=0,NA(),SUMPRODUCT((Inputs!$A$5:$A$120=$B13)*Inputs!$B$5:$B$120*(((Inputs!$G$5:$G$120="moeda")+(Inputs!$G$5:$G$120="acoes"))*Inputs!$B$1+((Inputs!$G$5:$G$120&lt;&gt;"moeda")*(Inputs!$G$5:$G$120&lt;&gt;"acoes")))*INDEX(Inputs!$K$5:$AJ$120,0,MATCH(I$2,Inputs!$K$4:$AJ$4,0)))+SUMPRODUCT((Inputs!$C$5:$C$120=$B13)*Inputs!$D$5:$D$120*(((Inputs!$G$5:$G$120="moeda")+(Inputs!$G$5:$G$120="acoes"))*Inputs!$B$1+((Inputs!$G$5:$G$120&lt;&gt;"moeda")*(Inputs!$G$5:$G$120&lt;&gt;"acoes")))*INDEX(Inputs!$K$5:$AJ$120,0,MATCH(I$2,Inputs!$K$4:$AJ$4,0)))+SUMPRODUCT((Inputs!$E$5:$E$120=$B13)*Inputs!$F$5:$F$120*(((Inputs!$G$5:$G$120="moeda")+(Inputs!$G$5:$G$120="acoes"))*Inputs!$B$1+((Inputs!$G$5:$G$120&lt;&gt;"moeda")*(Inputs!$G$5:$G$120&lt;&gt;"acoes")))*INDEX(Inputs!$K$5:$AJ$120,0,MATCH(I$2,Inputs!$K$4:$AJ$4,0)))))</f>
        <v>0</v>
      </c>
      <c r="J13" s="267">
        <f>IF(ISNA(MATCH(J$2,Inputs!$K$4:$AJ$4,0)),NA(),IF(SUMPRODUCT((Inputs!$A$5:$A$120=$B13)*ISNUMBER(INDEX(Inputs!$K$5:$AJ$120,0,MATCH(J$2,Inputs!$K$4:$AJ$4,0))))+SUMPRODUCT((Inputs!$C$5:$C$120=$B13)*ISNUMBER(INDEX(Inputs!$K$5:$AJ$120,0,MATCH(J$2,Inputs!$K$4:$AJ$4,0))))+SUMPRODUCT((Inputs!$E$5:$E$120=$B13)*ISNUMBER(INDEX(Inputs!$K$5:$AJ$120,0,MATCH(J$2,Inputs!$K$4:$AJ$4,0))))=0,NA(),SUMPRODUCT((Inputs!$A$5:$A$120=$B13)*Inputs!$B$5:$B$120*(((Inputs!$G$5:$G$120="moeda")+(Inputs!$G$5:$G$120="acoes"))*Inputs!$B$1+((Inputs!$G$5:$G$120&lt;&gt;"moeda")*(Inputs!$G$5:$G$120&lt;&gt;"acoes")))*INDEX(Inputs!$K$5:$AJ$120,0,MATCH(J$2,Inputs!$K$4:$AJ$4,0)))+SUMPRODUCT((Inputs!$C$5:$C$120=$B13)*Inputs!$D$5:$D$120*(((Inputs!$G$5:$G$120="moeda")+(Inputs!$G$5:$G$120="acoes"))*Inputs!$B$1+((Inputs!$G$5:$G$120&lt;&gt;"moeda")*(Inputs!$G$5:$G$120&lt;&gt;"acoes")))*INDEX(Inputs!$K$5:$AJ$120,0,MATCH(J$2,Inputs!$K$4:$AJ$4,0)))+SUMPRODUCT((Inputs!$E$5:$E$120=$B13)*Inputs!$F$5:$F$120*(((Inputs!$G$5:$G$120="moeda")+(Inputs!$G$5:$G$120="acoes"))*Inputs!$B$1+((Inputs!$G$5:$G$120&lt;&gt;"moeda")*(Inputs!$G$5:$G$120&lt;&gt;"acoes")))*INDEX(Inputs!$K$5:$AJ$120,0,MATCH(J$2,Inputs!$K$4:$AJ$4,0)))))</f>
        <v>0</v>
      </c>
      <c r="K13" s="267">
        <f>IF(ISNA(MATCH(K$2,Inputs!$K$4:$AJ$4,0)),NA(),IF(SUMPRODUCT((Inputs!$A$5:$A$120=$B13)*ISNUMBER(INDEX(Inputs!$K$5:$AJ$120,0,MATCH(K$2,Inputs!$K$4:$AJ$4,0))))+SUMPRODUCT((Inputs!$C$5:$C$120=$B13)*ISNUMBER(INDEX(Inputs!$K$5:$AJ$120,0,MATCH(K$2,Inputs!$K$4:$AJ$4,0))))+SUMPRODUCT((Inputs!$E$5:$E$120=$B13)*ISNUMBER(INDEX(Inputs!$K$5:$AJ$120,0,MATCH(K$2,Inputs!$K$4:$AJ$4,0))))=0,NA(),SUMPRODUCT((Inputs!$A$5:$A$120=$B13)*Inputs!$B$5:$B$120*(((Inputs!$G$5:$G$120="moeda")+(Inputs!$G$5:$G$120="acoes"))*Inputs!$B$1+((Inputs!$G$5:$G$120&lt;&gt;"moeda")*(Inputs!$G$5:$G$120&lt;&gt;"acoes")))*INDEX(Inputs!$K$5:$AJ$120,0,MATCH(K$2,Inputs!$K$4:$AJ$4,0)))+SUMPRODUCT((Inputs!$C$5:$C$120=$B13)*Inputs!$D$5:$D$120*(((Inputs!$G$5:$G$120="moeda")+(Inputs!$G$5:$G$120="acoes"))*Inputs!$B$1+((Inputs!$G$5:$G$120&lt;&gt;"moeda")*(Inputs!$G$5:$G$120&lt;&gt;"acoes")))*INDEX(Inputs!$K$5:$AJ$120,0,MATCH(K$2,Inputs!$K$4:$AJ$4,0)))+SUMPRODUCT((Inputs!$E$5:$E$120=$B13)*Inputs!$F$5:$F$120*(((Inputs!$G$5:$G$120="moeda")+(Inputs!$G$5:$G$120="acoes"))*Inputs!$B$1+((Inputs!$G$5:$G$120&lt;&gt;"moeda")*(Inputs!$G$5:$G$120&lt;&gt;"acoes")))*INDEX(Inputs!$K$5:$AJ$120,0,MATCH(K$2,Inputs!$K$4:$AJ$4,0)))))</f>
        <v>0</v>
      </c>
      <c r="L13" s="267">
        <f>IF(ISNA(MATCH(L$2,Inputs!$K$4:$AJ$4,0)),NA(),IF(SUMPRODUCT((Inputs!$A$5:$A$120=$B13)*ISNUMBER(INDEX(Inputs!$K$5:$AJ$120,0,MATCH(L$2,Inputs!$K$4:$AJ$4,0))))+SUMPRODUCT((Inputs!$C$5:$C$120=$B13)*ISNUMBER(INDEX(Inputs!$K$5:$AJ$120,0,MATCH(L$2,Inputs!$K$4:$AJ$4,0))))+SUMPRODUCT((Inputs!$E$5:$E$120=$B13)*ISNUMBER(INDEX(Inputs!$K$5:$AJ$120,0,MATCH(L$2,Inputs!$K$4:$AJ$4,0))))=0,NA(),SUMPRODUCT((Inputs!$A$5:$A$120=$B13)*Inputs!$B$5:$B$120*(((Inputs!$G$5:$G$120="moeda")+(Inputs!$G$5:$G$120="acoes"))*Inputs!$B$1+((Inputs!$G$5:$G$120&lt;&gt;"moeda")*(Inputs!$G$5:$G$120&lt;&gt;"acoes")))*INDEX(Inputs!$K$5:$AJ$120,0,MATCH(L$2,Inputs!$K$4:$AJ$4,0)))+SUMPRODUCT((Inputs!$C$5:$C$120=$B13)*Inputs!$D$5:$D$120*(((Inputs!$G$5:$G$120="moeda")+(Inputs!$G$5:$G$120="acoes"))*Inputs!$B$1+((Inputs!$G$5:$G$120&lt;&gt;"moeda")*(Inputs!$G$5:$G$120&lt;&gt;"acoes")))*INDEX(Inputs!$K$5:$AJ$120,0,MATCH(L$2,Inputs!$K$4:$AJ$4,0)))+SUMPRODUCT((Inputs!$E$5:$E$120=$B13)*Inputs!$F$5:$F$120*(((Inputs!$G$5:$G$120="moeda")+(Inputs!$G$5:$G$120="acoes"))*Inputs!$B$1+((Inputs!$G$5:$G$120&lt;&gt;"moeda")*(Inputs!$G$5:$G$120&lt;&gt;"acoes")))*INDEX(Inputs!$K$5:$AJ$120,0,MATCH(L$2,Inputs!$K$4:$AJ$4,0)))))</f>
        <v>0</v>
      </c>
      <c r="M13" s="268">
        <f>SUM(I13:L13)</f>
        <v>0</v>
      </c>
      <c r="N13" s="267">
        <f>IF(ISNA(MATCH(N$2,Inputs!$K$4:$AJ$4,0)),NA(),IF(SUMPRODUCT((Inputs!$A$5:$A$120=$B13)*ISNUMBER(INDEX(Inputs!$K$5:$AJ$120,0,MATCH(N$2,Inputs!$K$4:$AJ$4,0))))+SUMPRODUCT((Inputs!$C$5:$C$120=$B13)*ISNUMBER(INDEX(Inputs!$K$5:$AJ$120,0,MATCH(N$2,Inputs!$K$4:$AJ$4,0))))+SUMPRODUCT((Inputs!$E$5:$E$120=$B13)*ISNUMBER(INDEX(Inputs!$K$5:$AJ$120,0,MATCH(N$2,Inputs!$K$4:$AJ$4,0))))=0,NA(),SUMPRODUCT((Inputs!$A$5:$A$120=$B13)*Inputs!$B$5:$B$120*(((Inputs!$G$5:$G$120="moeda")+(Inputs!$G$5:$G$120="acoes"))*Inputs!$B$1+((Inputs!$G$5:$G$120&lt;&gt;"moeda")*(Inputs!$G$5:$G$120&lt;&gt;"acoes")))*INDEX(Inputs!$K$5:$AJ$120,0,MATCH(N$2,Inputs!$K$4:$AJ$4,0)))+SUMPRODUCT((Inputs!$C$5:$C$120=$B13)*Inputs!$D$5:$D$120*(((Inputs!$G$5:$G$120="moeda")+(Inputs!$G$5:$G$120="acoes"))*Inputs!$B$1+((Inputs!$G$5:$G$120&lt;&gt;"moeda")*(Inputs!$G$5:$G$120&lt;&gt;"acoes")))*INDEX(Inputs!$K$5:$AJ$120,0,MATCH(N$2,Inputs!$K$4:$AJ$4,0)))+SUMPRODUCT((Inputs!$E$5:$E$120=$B13)*Inputs!$F$5:$F$120*(((Inputs!$G$5:$G$120="moeda")+(Inputs!$G$5:$G$120="acoes"))*Inputs!$B$1+((Inputs!$G$5:$G$120&lt;&gt;"moeda")*(Inputs!$G$5:$G$120&lt;&gt;"acoes")))*INDEX(Inputs!$K$5:$AJ$120,0,MATCH(N$2,Inputs!$K$4:$AJ$4,0)))))</f>
        <v>-94</v>
      </c>
      <c r="O13" s="267">
        <f>IF(ISNA(MATCH(O$2,Inputs!$K$4:$AJ$4,0)),NA(),IF(SUMPRODUCT((Inputs!$A$5:$A$120=$B13)*ISNUMBER(INDEX(Inputs!$K$5:$AJ$120,0,MATCH(O$2,Inputs!$K$4:$AJ$4,0))))+SUMPRODUCT((Inputs!$C$5:$C$120=$B13)*ISNUMBER(INDEX(Inputs!$K$5:$AJ$120,0,MATCH(O$2,Inputs!$K$4:$AJ$4,0))))+SUMPRODUCT((Inputs!$E$5:$E$120=$B13)*ISNUMBER(INDEX(Inputs!$K$5:$AJ$120,0,MATCH(O$2,Inputs!$K$4:$AJ$4,0))))=0,NA(),SUMPRODUCT((Inputs!$A$5:$A$120=$B13)*Inputs!$B$5:$B$120*(((Inputs!$G$5:$G$120="moeda")+(Inputs!$G$5:$G$120="acoes"))*Inputs!$B$1+((Inputs!$G$5:$G$120&lt;&gt;"moeda")*(Inputs!$G$5:$G$120&lt;&gt;"acoes")))*INDEX(Inputs!$K$5:$AJ$120,0,MATCH(O$2,Inputs!$K$4:$AJ$4,0)))+SUMPRODUCT((Inputs!$C$5:$C$120=$B13)*Inputs!$D$5:$D$120*(((Inputs!$G$5:$G$120="moeda")+(Inputs!$G$5:$G$120="acoes"))*Inputs!$B$1+((Inputs!$G$5:$G$120&lt;&gt;"moeda")*(Inputs!$G$5:$G$120&lt;&gt;"acoes")))*INDEX(Inputs!$K$5:$AJ$120,0,MATCH(O$2,Inputs!$K$4:$AJ$4,0)))+SUMPRODUCT((Inputs!$E$5:$E$120=$B13)*Inputs!$F$5:$F$120*(((Inputs!$G$5:$G$120="moeda")+(Inputs!$G$5:$G$120="acoes"))*Inputs!$B$1+((Inputs!$G$5:$G$120&lt;&gt;"moeda")*(Inputs!$G$5:$G$120&lt;&gt;"acoes")))*INDEX(Inputs!$K$5:$AJ$120,0,MATCH(O$2,Inputs!$K$4:$AJ$4,0)))))</f>
        <v>-94</v>
      </c>
      <c r="P13" s="267">
        <f>IF(ISNA(MATCH(P$2,Inputs!$K$4:$AJ$4,0)),NA(),IF(SUMPRODUCT((Inputs!$A$5:$A$120=$B13)*ISNUMBER(INDEX(Inputs!$K$5:$AJ$120,0,MATCH(P$2,Inputs!$K$4:$AJ$4,0))))+SUMPRODUCT((Inputs!$C$5:$C$120=$B13)*ISNUMBER(INDEX(Inputs!$K$5:$AJ$120,0,MATCH(P$2,Inputs!$K$4:$AJ$4,0))))+SUMPRODUCT((Inputs!$E$5:$E$120=$B13)*ISNUMBER(INDEX(Inputs!$K$5:$AJ$120,0,MATCH(P$2,Inputs!$K$4:$AJ$4,0))))=0,NA(),SUMPRODUCT((Inputs!$A$5:$A$120=$B13)*Inputs!$B$5:$B$120*(((Inputs!$G$5:$G$120="moeda")+(Inputs!$G$5:$G$120="acoes"))*Inputs!$B$1+((Inputs!$G$5:$G$120&lt;&gt;"moeda")*(Inputs!$G$5:$G$120&lt;&gt;"acoes")))*INDEX(Inputs!$K$5:$AJ$120,0,MATCH(P$2,Inputs!$K$4:$AJ$4,0)))+SUMPRODUCT((Inputs!$C$5:$C$120=$B13)*Inputs!$D$5:$D$120*(((Inputs!$G$5:$G$120="moeda")+(Inputs!$G$5:$G$120="acoes"))*Inputs!$B$1+((Inputs!$G$5:$G$120&lt;&gt;"moeda")*(Inputs!$G$5:$G$120&lt;&gt;"acoes")))*INDEX(Inputs!$K$5:$AJ$120,0,MATCH(P$2,Inputs!$K$4:$AJ$4,0)))+SUMPRODUCT((Inputs!$E$5:$E$120=$B13)*Inputs!$F$5:$F$120*(((Inputs!$G$5:$G$120="moeda")+(Inputs!$G$5:$G$120="acoes"))*Inputs!$B$1+((Inputs!$G$5:$G$120&lt;&gt;"moeda")*(Inputs!$G$5:$G$120&lt;&gt;"acoes")))*INDEX(Inputs!$K$5:$AJ$120,0,MATCH(P$2,Inputs!$K$4:$AJ$4,0)))))</f>
        <v>-99</v>
      </c>
      <c r="Q13" s="267">
        <f>IF(ISNA(MATCH(Q$2,Inputs!$K$4:$AJ$4,0)),NA(),IF(SUMPRODUCT((Inputs!$A$5:$A$120=$B13)*ISNUMBER(INDEX(Inputs!$K$5:$AJ$120,0,MATCH(Q$2,Inputs!$K$4:$AJ$4,0))))+SUMPRODUCT((Inputs!$C$5:$C$120=$B13)*ISNUMBER(INDEX(Inputs!$K$5:$AJ$120,0,MATCH(Q$2,Inputs!$K$4:$AJ$4,0))))+SUMPRODUCT((Inputs!$E$5:$E$120=$B13)*ISNUMBER(INDEX(Inputs!$K$5:$AJ$120,0,MATCH(Q$2,Inputs!$K$4:$AJ$4,0))))=0,NA(),SUMPRODUCT((Inputs!$A$5:$A$120=$B13)*Inputs!$B$5:$B$120*(((Inputs!$G$5:$G$120="moeda")+(Inputs!$G$5:$G$120="acoes"))*Inputs!$B$1+((Inputs!$G$5:$G$120&lt;&gt;"moeda")*(Inputs!$G$5:$G$120&lt;&gt;"acoes")))*INDEX(Inputs!$K$5:$AJ$120,0,MATCH(Q$2,Inputs!$K$4:$AJ$4,0)))+SUMPRODUCT((Inputs!$C$5:$C$120=$B13)*Inputs!$D$5:$D$120*(((Inputs!$G$5:$G$120="moeda")+(Inputs!$G$5:$G$120="acoes"))*Inputs!$B$1+((Inputs!$G$5:$G$120&lt;&gt;"moeda")*(Inputs!$G$5:$G$120&lt;&gt;"acoes")))*INDEX(Inputs!$K$5:$AJ$120,0,MATCH(Q$2,Inputs!$K$4:$AJ$4,0)))+SUMPRODUCT((Inputs!$E$5:$E$120=$B13)*Inputs!$F$5:$F$120*(((Inputs!$G$5:$G$120="moeda")+(Inputs!$G$5:$G$120="acoes"))*Inputs!$B$1+((Inputs!$G$5:$G$120&lt;&gt;"moeda")*(Inputs!$G$5:$G$120&lt;&gt;"acoes")))*INDEX(Inputs!$K$5:$AJ$120,0,MATCH(Q$2,Inputs!$K$4:$AJ$4,0)))))</f>
        <v>-96</v>
      </c>
      <c r="R13" s="268">
        <f>SUM(N13:Q13)</f>
        <v>-383</v>
      </c>
      <c r="S13" s="267">
        <f>IF(ISNA(MATCH(S$2,Inputs!$K$4:$AJ$4,0)),NA(),IF(SUMPRODUCT((Inputs!$A$5:$A$120=$B13)*ISNUMBER(INDEX(Inputs!$K$5:$AJ$120,0,MATCH(S$2,Inputs!$K$4:$AJ$4,0))))+SUMPRODUCT((Inputs!$C$5:$C$120=$B13)*ISNUMBER(INDEX(Inputs!$K$5:$AJ$120,0,MATCH(S$2,Inputs!$K$4:$AJ$4,0))))+SUMPRODUCT((Inputs!$E$5:$E$120=$B13)*ISNUMBER(INDEX(Inputs!$K$5:$AJ$120,0,MATCH(S$2,Inputs!$K$4:$AJ$4,0))))=0,NA(),SUMPRODUCT((Inputs!$A$5:$A$120=$B13)*Inputs!$B$5:$B$120*(((Inputs!$G$5:$G$120="moeda")+(Inputs!$G$5:$G$120="acoes"))*Inputs!$B$1+((Inputs!$G$5:$G$120&lt;&gt;"moeda")*(Inputs!$G$5:$G$120&lt;&gt;"acoes")))*INDEX(Inputs!$K$5:$AJ$120,0,MATCH(S$2,Inputs!$K$4:$AJ$4,0)))+SUMPRODUCT((Inputs!$C$5:$C$120=$B13)*Inputs!$D$5:$D$120*(((Inputs!$G$5:$G$120="moeda")+(Inputs!$G$5:$G$120="acoes"))*Inputs!$B$1+((Inputs!$G$5:$G$120&lt;&gt;"moeda")*(Inputs!$G$5:$G$120&lt;&gt;"acoes")))*INDEX(Inputs!$K$5:$AJ$120,0,MATCH(S$2,Inputs!$K$4:$AJ$4,0)))+SUMPRODUCT((Inputs!$E$5:$E$120=$B13)*Inputs!$F$5:$F$120*(((Inputs!$G$5:$G$120="moeda")+(Inputs!$G$5:$G$120="acoes"))*Inputs!$B$1+((Inputs!$G$5:$G$120&lt;&gt;"moeda")*(Inputs!$G$5:$G$120&lt;&gt;"acoes")))*INDEX(Inputs!$K$5:$AJ$120,0,MATCH(S$2,Inputs!$K$4:$AJ$4,0)))))</f>
        <v>-95</v>
      </c>
      <c r="T13" s="267">
        <f>IF(ISNA(MATCH(T$2,Inputs!$K$4:$AJ$4,0)),NA(),IF(SUMPRODUCT((Inputs!$A$5:$A$120=$B13)*ISNUMBER(INDEX(Inputs!$K$5:$AJ$120,0,MATCH(T$2,Inputs!$K$4:$AJ$4,0))))+SUMPRODUCT((Inputs!$C$5:$C$120=$B13)*ISNUMBER(INDEX(Inputs!$K$5:$AJ$120,0,MATCH(T$2,Inputs!$K$4:$AJ$4,0))))+SUMPRODUCT((Inputs!$E$5:$E$120=$B13)*ISNUMBER(INDEX(Inputs!$K$5:$AJ$120,0,MATCH(T$2,Inputs!$K$4:$AJ$4,0))))=0,NA(),SUMPRODUCT((Inputs!$A$5:$A$120=$B13)*Inputs!$B$5:$B$120*(((Inputs!$G$5:$G$120="moeda")+(Inputs!$G$5:$G$120="acoes"))*Inputs!$B$1+((Inputs!$G$5:$G$120&lt;&gt;"moeda")*(Inputs!$G$5:$G$120&lt;&gt;"acoes")))*INDEX(Inputs!$K$5:$AJ$120,0,MATCH(T$2,Inputs!$K$4:$AJ$4,0)))+SUMPRODUCT((Inputs!$C$5:$C$120=$B13)*Inputs!$D$5:$D$120*(((Inputs!$G$5:$G$120="moeda")+(Inputs!$G$5:$G$120="acoes"))*Inputs!$B$1+((Inputs!$G$5:$G$120&lt;&gt;"moeda")*(Inputs!$G$5:$G$120&lt;&gt;"acoes")))*INDEX(Inputs!$K$5:$AJ$120,0,MATCH(T$2,Inputs!$K$4:$AJ$4,0)))+SUMPRODUCT((Inputs!$E$5:$E$120=$B13)*Inputs!$F$5:$F$120*(((Inputs!$G$5:$G$120="moeda")+(Inputs!$G$5:$G$120="acoes"))*Inputs!$B$1+((Inputs!$G$5:$G$120&lt;&gt;"moeda")*(Inputs!$G$5:$G$120&lt;&gt;"acoes")))*INDEX(Inputs!$K$5:$AJ$120,0,MATCH(T$2,Inputs!$K$4:$AJ$4,0)))))</f>
        <v>-96</v>
      </c>
      <c r="U13" s="267">
        <f>IF(ISNA(MATCH(U$2,Inputs!$K$4:$AJ$4,0)),NA(),IF(SUMPRODUCT((Inputs!$A$5:$A$120=$B13)*ISNUMBER(INDEX(Inputs!$K$5:$AJ$120,0,MATCH(U$2,Inputs!$K$4:$AJ$4,0))))+SUMPRODUCT((Inputs!$C$5:$C$120=$B13)*ISNUMBER(INDEX(Inputs!$K$5:$AJ$120,0,MATCH(U$2,Inputs!$K$4:$AJ$4,0))))+SUMPRODUCT((Inputs!$E$5:$E$120=$B13)*ISNUMBER(INDEX(Inputs!$K$5:$AJ$120,0,MATCH(U$2,Inputs!$K$4:$AJ$4,0))))=0,NA(),SUMPRODUCT((Inputs!$A$5:$A$120=$B13)*Inputs!$B$5:$B$120*(((Inputs!$G$5:$G$120="moeda")+(Inputs!$G$5:$G$120="acoes"))*Inputs!$B$1+((Inputs!$G$5:$G$120&lt;&gt;"moeda")*(Inputs!$G$5:$G$120&lt;&gt;"acoes")))*INDEX(Inputs!$K$5:$AJ$120,0,MATCH(U$2,Inputs!$K$4:$AJ$4,0)))+SUMPRODUCT((Inputs!$C$5:$C$120=$B13)*Inputs!$D$5:$D$120*(((Inputs!$G$5:$G$120="moeda")+(Inputs!$G$5:$G$120="acoes"))*Inputs!$B$1+((Inputs!$G$5:$G$120&lt;&gt;"moeda")*(Inputs!$G$5:$G$120&lt;&gt;"acoes")))*INDEX(Inputs!$K$5:$AJ$120,0,MATCH(U$2,Inputs!$K$4:$AJ$4,0)))+SUMPRODUCT((Inputs!$E$5:$E$120=$B13)*Inputs!$F$5:$F$120*(((Inputs!$G$5:$G$120="moeda")+(Inputs!$G$5:$G$120="acoes"))*Inputs!$B$1+((Inputs!$G$5:$G$120&lt;&gt;"moeda")*(Inputs!$G$5:$G$120&lt;&gt;"acoes")))*INDEX(Inputs!$K$5:$AJ$120,0,MATCH(U$2,Inputs!$K$4:$AJ$4,0)))))</f>
        <v>-96</v>
      </c>
      <c r="V13" s="267">
        <f>IF(ISNA(MATCH(V$2,Inputs!$K$4:$AJ$4,0)),NA(),IF(SUMPRODUCT((Inputs!$A$5:$A$120=$B13)*ISNUMBER(INDEX(Inputs!$K$5:$AJ$120,0,MATCH(V$2,Inputs!$K$4:$AJ$4,0))))+SUMPRODUCT((Inputs!$C$5:$C$120=$B13)*ISNUMBER(INDEX(Inputs!$K$5:$AJ$120,0,MATCH(V$2,Inputs!$K$4:$AJ$4,0))))+SUMPRODUCT((Inputs!$E$5:$E$120=$B13)*ISNUMBER(INDEX(Inputs!$K$5:$AJ$120,0,MATCH(V$2,Inputs!$K$4:$AJ$4,0))))=0,NA(),SUMPRODUCT((Inputs!$A$5:$A$120=$B13)*Inputs!$B$5:$B$120*(((Inputs!$G$5:$G$120="moeda")+(Inputs!$G$5:$G$120="acoes"))*Inputs!$B$1+((Inputs!$G$5:$G$120&lt;&gt;"moeda")*(Inputs!$G$5:$G$120&lt;&gt;"acoes")))*INDEX(Inputs!$K$5:$AJ$120,0,MATCH(V$2,Inputs!$K$4:$AJ$4,0)))+SUMPRODUCT((Inputs!$C$5:$C$120=$B13)*Inputs!$D$5:$D$120*(((Inputs!$G$5:$G$120="moeda")+(Inputs!$G$5:$G$120="acoes"))*Inputs!$B$1+((Inputs!$G$5:$G$120&lt;&gt;"moeda")*(Inputs!$G$5:$G$120&lt;&gt;"acoes")))*INDEX(Inputs!$K$5:$AJ$120,0,MATCH(V$2,Inputs!$K$4:$AJ$4,0)))+SUMPRODUCT((Inputs!$E$5:$E$120=$B13)*Inputs!$F$5:$F$120*(((Inputs!$G$5:$G$120="moeda")+(Inputs!$G$5:$G$120="acoes"))*Inputs!$B$1+((Inputs!$G$5:$G$120&lt;&gt;"moeda")*(Inputs!$G$5:$G$120&lt;&gt;"acoes")))*INDEX(Inputs!$K$5:$AJ$120,0,MATCH(V$2,Inputs!$K$4:$AJ$4,0)))))</f>
        <v>-91</v>
      </c>
      <c r="W13" s="268">
        <f>SUM(S13:V13)</f>
        <v>-378</v>
      </c>
      <c r="X13" s="267">
        <f>IF(ISNA(MATCH(X$2,Inputs!$K$4:$AJ$4,0)),NA(),IF(SUMPRODUCT((Inputs!$A$5:$A$120=$B13)*ISNUMBER(INDEX(Inputs!$K$5:$AJ$120,0,MATCH(X$2,Inputs!$K$4:$AJ$4,0))))+SUMPRODUCT((Inputs!$C$5:$C$120=$B13)*ISNUMBER(INDEX(Inputs!$K$5:$AJ$120,0,MATCH(X$2,Inputs!$K$4:$AJ$4,0))))+SUMPRODUCT((Inputs!$E$5:$E$120=$B13)*ISNUMBER(INDEX(Inputs!$K$5:$AJ$120,0,MATCH(X$2,Inputs!$K$4:$AJ$4,0))))=0,NA(),SUMPRODUCT((Inputs!$A$5:$A$120=$B13)*Inputs!$B$5:$B$120*(((Inputs!$G$5:$G$120="moeda")+(Inputs!$G$5:$G$120="acoes"))*Inputs!$B$1+((Inputs!$G$5:$G$120&lt;&gt;"moeda")*(Inputs!$G$5:$G$120&lt;&gt;"acoes")))*INDEX(Inputs!$K$5:$AJ$120,0,MATCH(X$2,Inputs!$K$4:$AJ$4,0)))+SUMPRODUCT((Inputs!$C$5:$C$120=$B13)*Inputs!$D$5:$D$120*(((Inputs!$G$5:$G$120="moeda")+(Inputs!$G$5:$G$120="acoes"))*Inputs!$B$1+((Inputs!$G$5:$G$120&lt;&gt;"moeda")*(Inputs!$G$5:$G$120&lt;&gt;"acoes")))*INDEX(Inputs!$K$5:$AJ$120,0,MATCH(X$2,Inputs!$K$4:$AJ$4,0)))+SUMPRODUCT((Inputs!$E$5:$E$120=$B13)*Inputs!$F$5:$F$120*(((Inputs!$G$5:$G$120="moeda")+(Inputs!$G$5:$G$120="acoes"))*Inputs!$B$1+((Inputs!$G$5:$G$120&lt;&gt;"moeda")*(Inputs!$G$5:$G$120&lt;&gt;"acoes")))*INDEX(Inputs!$K$5:$AJ$120,0,MATCH(X$2,Inputs!$K$4:$AJ$4,0)))))</f>
        <v>-91</v>
      </c>
      <c r="Y13" s="267">
        <f>IF(ISNA(MATCH(Y$2,Inputs!$K$4:$AJ$4,0)),NA(),IF(SUMPRODUCT((Inputs!$A$5:$A$120=$B13)*ISNUMBER(INDEX(Inputs!$K$5:$AJ$120,0,MATCH(Y$2,Inputs!$K$4:$AJ$4,0))))+SUMPRODUCT((Inputs!$C$5:$C$120=$B13)*ISNUMBER(INDEX(Inputs!$K$5:$AJ$120,0,MATCH(Y$2,Inputs!$K$4:$AJ$4,0))))+SUMPRODUCT((Inputs!$E$5:$E$120=$B13)*ISNUMBER(INDEX(Inputs!$K$5:$AJ$120,0,MATCH(Y$2,Inputs!$K$4:$AJ$4,0))))=0,NA(),SUMPRODUCT((Inputs!$A$5:$A$120=$B13)*Inputs!$B$5:$B$120*(((Inputs!$G$5:$G$120="moeda")+(Inputs!$G$5:$G$120="acoes"))*Inputs!$B$1+((Inputs!$G$5:$G$120&lt;&gt;"moeda")*(Inputs!$G$5:$G$120&lt;&gt;"acoes")))*INDEX(Inputs!$K$5:$AJ$120,0,MATCH(Y$2,Inputs!$K$4:$AJ$4,0)))+SUMPRODUCT((Inputs!$C$5:$C$120=$B13)*Inputs!$D$5:$D$120*(((Inputs!$G$5:$G$120="moeda")+(Inputs!$G$5:$G$120="acoes"))*Inputs!$B$1+((Inputs!$G$5:$G$120&lt;&gt;"moeda")*(Inputs!$G$5:$G$120&lt;&gt;"acoes")))*INDEX(Inputs!$K$5:$AJ$120,0,MATCH(Y$2,Inputs!$K$4:$AJ$4,0)))+SUMPRODUCT((Inputs!$E$5:$E$120=$B13)*Inputs!$F$5:$F$120*(((Inputs!$G$5:$G$120="moeda")+(Inputs!$G$5:$G$120="acoes"))*Inputs!$B$1+((Inputs!$G$5:$G$120&lt;&gt;"moeda")*(Inputs!$G$5:$G$120&lt;&gt;"acoes")))*INDEX(Inputs!$K$5:$AJ$120,0,MATCH(Y$2,Inputs!$K$4:$AJ$4,0)))))</f>
        <v>-94</v>
      </c>
      <c r="Z13" s="267">
        <f>IF(ISNA(MATCH(Z$2,Inputs!$K$4:$AJ$4,0)),NA(),IF(SUMPRODUCT((Inputs!$A$5:$A$120=$B13)*ISNUMBER(INDEX(Inputs!$K$5:$AJ$120,0,MATCH(Z$2,Inputs!$K$4:$AJ$4,0))))+SUMPRODUCT((Inputs!$C$5:$C$120=$B13)*ISNUMBER(INDEX(Inputs!$K$5:$AJ$120,0,MATCH(Z$2,Inputs!$K$4:$AJ$4,0))))+SUMPRODUCT((Inputs!$E$5:$E$120=$B13)*ISNUMBER(INDEX(Inputs!$K$5:$AJ$120,0,MATCH(Z$2,Inputs!$K$4:$AJ$4,0))))=0,NA(),SUMPRODUCT((Inputs!$A$5:$A$120=$B13)*Inputs!$B$5:$B$120*(((Inputs!$G$5:$G$120="moeda")+(Inputs!$G$5:$G$120="acoes"))*Inputs!$B$1+((Inputs!$G$5:$G$120&lt;&gt;"moeda")*(Inputs!$G$5:$G$120&lt;&gt;"acoes")))*INDEX(Inputs!$K$5:$AJ$120,0,MATCH(Z$2,Inputs!$K$4:$AJ$4,0)))+SUMPRODUCT((Inputs!$C$5:$C$120=$B13)*Inputs!$D$5:$D$120*(((Inputs!$G$5:$G$120="moeda")+(Inputs!$G$5:$G$120="acoes"))*Inputs!$B$1+((Inputs!$G$5:$G$120&lt;&gt;"moeda")*(Inputs!$G$5:$G$120&lt;&gt;"acoes")))*INDEX(Inputs!$K$5:$AJ$120,0,MATCH(Z$2,Inputs!$K$4:$AJ$4,0)))+SUMPRODUCT((Inputs!$E$5:$E$120=$B13)*Inputs!$F$5:$F$120*(((Inputs!$G$5:$G$120="moeda")+(Inputs!$G$5:$G$120="acoes"))*Inputs!$B$1+((Inputs!$G$5:$G$120&lt;&gt;"moeda")*(Inputs!$G$5:$G$120&lt;&gt;"acoes")))*INDEX(Inputs!$K$5:$AJ$120,0,MATCH(Z$2,Inputs!$K$4:$AJ$4,0)))))</f>
        <v>-139</v>
      </c>
      <c r="AA13" s="267">
        <f>IF(ISNA(MATCH(AA$2,Inputs!$K$4:$AJ$4,0)),NA(),IF(SUMPRODUCT((Inputs!$A$5:$A$120=$B13)*ISNUMBER(INDEX(Inputs!$K$5:$AJ$120,0,MATCH(AA$2,Inputs!$K$4:$AJ$4,0))))+SUMPRODUCT((Inputs!$C$5:$C$120=$B13)*ISNUMBER(INDEX(Inputs!$K$5:$AJ$120,0,MATCH(AA$2,Inputs!$K$4:$AJ$4,0))))+SUMPRODUCT((Inputs!$E$5:$E$120=$B13)*ISNUMBER(INDEX(Inputs!$K$5:$AJ$120,0,MATCH(AA$2,Inputs!$K$4:$AJ$4,0))))=0,NA(),SUMPRODUCT((Inputs!$A$5:$A$120=$B13)*Inputs!$B$5:$B$120*(((Inputs!$G$5:$G$120="moeda")+(Inputs!$G$5:$G$120="acoes"))*Inputs!$B$1+((Inputs!$G$5:$G$120&lt;&gt;"moeda")*(Inputs!$G$5:$G$120&lt;&gt;"acoes")))*INDEX(Inputs!$K$5:$AJ$120,0,MATCH(AA$2,Inputs!$K$4:$AJ$4,0)))+SUMPRODUCT((Inputs!$C$5:$C$120=$B13)*Inputs!$D$5:$D$120*(((Inputs!$G$5:$G$120="moeda")+(Inputs!$G$5:$G$120="acoes"))*Inputs!$B$1+((Inputs!$G$5:$G$120&lt;&gt;"moeda")*(Inputs!$G$5:$G$120&lt;&gt;"acoes")))*INDEX(Inputs!$K$5:$AJ$120,0,MATCH(AA$2,Inputs!$K$4:$AJ$4,0)))+SUMPRODUCT((Inputs!$E$5:$E$120=$B13)*Inputs!$F$5:$F$120*(((Inputs!$G$5:$G$120="moeda")+(Inputs!$G$5:$G$120="acoes"))*Inputs!$B$1+((Inputs!$G$5:$G$120&lt;&gt;"moeda")*(Inputs!$G$5:$G$120&lt;&gt;"acoes")))*INDEX(Inputs!$K$5:$AJ$120,0,MATCH(AA$2,Inputs!$K$4:$AJ$4,0)))))</f>
        <v>-135</v>
      </c>
      <c r="AB13" s="268">
        <f>SUM(X13:AA13)</f>
        <v>-459</v>
      </c>
      <c r="AC13" s="267">
        <f>IF(ISNA(MATCH(AC$2,Inputs!$K$4:$AJ$4,0)),NA(),IF(SUMPRODUCT((Inputs!$A$5:$A$120=$B13)*ISNUMBER(INDEX(Inputs!$K$5:$AJ$120,0,MATCH(AC$2,Inputs!$K$4:$AJ$4,0))))+SUMPRODUCT((Inputs!$C$5:$C$120=$B13)*ISNUMBER(INDEX(Inputs!$K$5:$AJ$120,0,MATCH(AC$2,Inputs!$K$4:$AJ$4,0))))+SUMPRODUCT((Inputs!$E$5:$E$120=$B13)*ISNUMBER(INDEX(Inputs!$K$5:$AJ$120,0,MATCH(AC$2,Inputs!$K$4:$AJ$4,0))))=0,NA(),SUMPRODUCT((Inputs!$A$5:$A$120=$B13)*Inputs!$B$5:$B$120*(((Inputs!$G$5:$G$120="moeda")+(Inputs!$G$5:$G$120="acoes"))*Inputs!$B$1+((Inputs!$G$5:$G$120&lt;&gt;"moeda")*(Inputs!$G$5:$G$120&lt;&gt;"acoes")))*INDEX(Inputs!$K$5:$AJ$120,0,MATCH(AC$2,Inputs!$K$4:$AJ$4,0)))+SUMPRODUCT((Inputs!$C$5:$C$120=$B13)*Inputs!$D$5:$D$120*(((Inputs!$G$5:$G$120="moeda")+(Inputs!$G$5:$G$120="acoes"))*Inputs!$B$1+((Inputs!$G$5:$G$120&lt;&gt;"moeda")*(Inputs!$G$5:$G$120&lt;&gt;"acoes")))*INDEX(Inputs!$K$5:$AJ$120,0,MATCH(AC$2,Inputs!$K$4:$AJ$4,0)))+SUMPRODUCT((Inputs!$E$5:$E$120=$B13)*Inputs!$F$5:$F$120*(((Inputs!$G$5:$G$120="moeda")+(Inputs!$G$5:$G$120="acoes"))*Inputs!$B$1+((Inputs!$G$5:$G$120&lt;&gt;"moeda")*(Inputs!$G$5:$G$120&lt;&gt;"acoes")))*INDEX(Inputs!$K$5:$AJ$120,0,MATCH(AC$2,Inputs!$K$4:$AJ$4,0)))))</f>
        <v>-136</v>
      </c>
      <c r="AD13" s="267">
        <f>IF(ISNA(MATCH(AD$2,Inputs!$K$4:$AJ$4,0)),NA(),IF(SUMPRODUCT((Inputs!$A$5:$A$120=$B13)*ISNUMBER(INDEX(Inputs!$K$5:$AJ$120,0,MATCH(AD$2,Inputs!$K$4:$AJ$4,0))))+SUMPRODUCT((Inputs!$C$5:$C$120=$B13)*ISNUMBER(INDEX(Inputs!$K$5:$AJ$120,0,MATCH(AD$2,Inputs!$K$4:$AJ$4,0))))+SUMPRODUCT((Inputs!$E$5:$E$120=$B13)*ISNUMBER(INDEX(Inputs!$K$5:$AJ$120,0,MATCH(AD$2,Inputs!$K$4:$AJ$4,0))))=0,NA(),SUMPRODUCT((Inputs!$A$5:$A$120=$B13)*Inputs!$B$5:$B$120*(((Inputs!$G$5:$G$120="moeda")+(Inputs!$G$5:$G$120="acoes"))*Inputs!$B$1+((Inputs!$G$5:$G$120&lt;&gt;"moeda")*(Inputs!$G$5:$G$120&lt;&gt;"acoes")))*INDEX(Inputs!$K$5:$AJ$120,0,MATCH(AD$2,Inputs!$K$4:$AJ$4,0)))+SUMPRODUCT((Inputs!$C$5:$C$120=$B13)*Inputs!$D$5:$D$120*(((Inputs!$G$5:$G$120="moeda")+(Inputs!$G$5:$G$120="acoes"))*Inputs!$B$1+((Inputs!$G$5:$G$120&lt;&gt;"moeda")*(Inputs!$G$5:$G$120&lt;&gt;"acoes")))*INDEX(Inputs!$K$5:$AJ$120,0,MATCH(AD$2,Inputs!$K$4:$AJ$4,0)))+SUMPRODUCT((Inputs!$E$5:$E$120=$B13)*Inputs!$F$5:$F$120*(((Inputs!$G$5:$G$120="moeda")+(Inputs!$G$5:$G$120="acoes"))*Inputs!$B$1+((Inputs!$G$5:$G$120&lt;&gt;"moeda")*(Inputs!$G$5:$G$120&lt;&gt;"acoes")))*INDEX(Inputs!$K$5:$AJ$120,0,MATCH(AD$2,Inputs!$K$4:$AJ$4,0)))))</f>
        <v>-139</v>
      </c>
      <c r="AE13" s="267" t="e">
        <f>IF(ISNA(MATCH(AE$2,Inputs!$K$4:$AJ$4,0)),NA(),IF(SUMPRODUCT((Inputs!$A$5:$A$120=$B13)*ISNUMBER(INDEX(Inputs!$K$5:$AJ$120,0,MATCH(AE$2,Inputs!$K$4:$AJ$4,0))))+SUMPRODUCT((Inputs!$C$5:$C$120=$B13)*ISNUMBER(INDEX(Inputs!$K$5:$AJ$120,0,MATCH(AE$2,Inputs!$K$4:$AJ$4,0))))+SUMPRODUCT((Inputs!$E$5:$E$120=$B13)*ISNUMBER(INDEX(Inputs!$K$5:$AJ$120,0,MATCH(AE$2,Inputs!$K$4:$AJ$4,0))))=0,NA(),SUMPRODUCT((Inputs!$A$5:$A$120=$B13)*Inputs!$B$5:$B$120*(((Inputs!$G$5:$G$120="moeda")+(Inputs!$G$5:$G$120="acoes"))*Inputs!$B$1+((Inputs!$G$5:$G$120&lt;&gt;"moeda")*(Inputs!$G$5:$G$120&lt;&gt;"acoes")))*INDEX(Inputs!$K$5:$AJ$120,0,MATCH(AE$2,Inputs!$K$4:$AJ$4,0)))+SUMPRODUCT((Inputs!$C$5:$C$120=$B13)*Inputs!$D$5:$D$120*(((Inputs!$G$5:$G$120="moeda")+(Inputs!$G$5:$G$120="acoes"))*Inputs!$B$1+((Inputs!$G$5:$G$120&lt;&gt;"moeda")*(Inputs!$G$5:$G$120&lt;&gt;"acoes")))*INDEX(Inputs!$K$5:$AJ$120,0,MATCH(AE$2,Inputs!$K$4:$AJ$4,0)))+SUMPRODUCT((Inputs!$E$5:$E$120=$B13)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3" s="267" t="e">
        <f>IF(ISNA(MATCH(AF$2,Inputs!$K$4:$AJ$4,0)),NA(),IF(SUMPRODUCT((Inputs!$A$5:$A$120=$B13)*ISNUMBER(INDEX(Inputs!$K$5:$AJ$120,0,MATCH(AF$2,Inputs!$K$4:$AJ$4,0))))+SUMPRODUCT((Inputs!$C$5:$C$120=$B13)*ISNUMBER(INDEX(Inputs!$K$5:$AJ$120,0,MATCH(AF$2,Inputs!$K$4:$AJ$4,0))))+SUMPRODUCT((Inputs!$E$5:$E$120=$B13)*ISNUMBER(INDEX(Inputs!$K$5:$AJ$120,0,MATCH(AF$2,Inputs!$K$4:$AJ$4,0))))=0,NA(),SUMPRODUCT((Inputs!$A$5:$A$120=$B13)*Inputs!$B$5:$B$120*(((Inputs!$G$5:$G$120="moeda")+(Inputs!$G$5:$G$120="acoes"))*Inputs!$B$1+((Inputs!$G$5:$G$120&lt;&gt;"moeda")*(Inputs!$G$5:$G$120&lt;&gt;"acoes")))*INDEX(Inputs!$K$5:$AJ$120,0,MATCH(AF$2,Inputs!$K$4:$AJ$4,0)))+SUMPRODUCT((Inputs!$C$5:$C$120=$B13)*Inputs!$D$5:$D$120*(((Inputs!$G$5:$G$120="moeda")+(Inputs!$G$5:$G$120="acoes"))*Inputs!$B$1+((Inputs!$G$5:$G$120&lt;&gt;"moeda")*(Inputs!$G$5:$G$120&lt;&gt;"acoes")))*INDEX(Inputs!$K$5:$AJ$120,0,MATCH(AF$2,Inputs!$K$4:$AJ$4,0)))+SUMPRODUCT((Inputs!$E$5:$E$120=$B13)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3" s="268" t="e">
        <f>SUM(AC13:AF13)</f>
        <v>#N/A</v>
      </c>
      <c r="AH13" s="267">
        <f>IF(ISNA(MATCH(AH$2,Inputs!$K$4:$AJ$4,0)),NA(),IF(SUMPRODUCT((Inputs!$A$5:$A$120=$B13)*ISNUMBER(INDEX(Inputs!$K$5:$AJ$120,0,MATCH(AH$2,Inputs!$K$4:$AJ$4,0))))+SUMPRODUCT((Inputs!$C$5:$C$120=$B13)*ISNUMBER(INDEX(Inputs!$K$5:$AJ$120,0,MATCH(AH$2,Inputs!$K$4:$AJ$4,0))))+SUMPRODUCT((Inputs!$E$5:$E$120=$B13)*ISNUMBER(INDEX(Inputs!$K$5:$AJ$120,0,MATCH(AH$2,Inputs!$K$4:$AJ$4,0))))=0,NA(),SUMPRODUCT((Inputs!$A$5:$A$120=$B13)*Inputs!$B$5:$B$120*(((Inputs!$G$5:$G$120="moeda")+(Inputs!$G$5:$G$120="acoes"))*Inputs!$B$1+((Inputs!$G$5:$G$120&lt;&gt;"moeda")*(Inputs!$G$5:$G$120&lt;&gt;"acoes")))*INDEX(Inputs!$K$5:$AJ$120,0,MATCH(AH$2,Inputs!$K$4:$AJ$4,0)))+SUMPRODUCT((Inputs!$C$5:$C$120=$B13)*Inputs!$D$5:$D$120*(((Inputs!$G$5:$G$120="moeda")+(Inputs!$G$5:$G$120="acoes"))*Inputs!$B$1+((Inputs!$G$5:$G$120&lt;&gt;"moeda")*(Inputs!$G$5:$G$120&lt;&gt;"acoes")))*INDEX(Inputs!$K$5:$AJ$120,0,MATCH(AH$2,Inputs!$K$4:$AJ$4,0)))+SUMPRODUCT((Inputs!$E$5:$E$120=$B13)*Inputs!$F$5:$F$120*(((Inputs!$G$5:$G$120="moeda")+(Inputs!$G$5:$G$120="acoes"))*Inputs!$B$1+((Inputs!$G$5:$G$120&lt;&gt;"moeda")*(Inputs!$G$5:$G$120&lt;&gt;"acoes")))*INDEX(Inputs!$K$5:$AJ$120,0,MATCH(AH$2,Inputs!$K$4:$AJ$4,0)))))</f>
        <v>-79</v>
      </c>
      <c r="AI13" s="267">
        <f>IF(ISNA(MATCH(AI$2,Inputs!$K$4:$AJ$4,0)),NA(),IF(SUMPRODUCT((Inputs!$A$5:$A$120=$B13)*ISNUMBER(INDEX(Inputs!$K$5:$AJ$120,0,MATCH(AI$2,Inputs!$K$4:$AJ$4,0))))+SUMPRODUCT((Inputs!$C$5:$C$120=$B13)*ISNUMBER(INDEX(Inputs!$K$5:$AJ$120,0,MATCH(AI$2,Inputs!$K$4:$AJ$4,0))))+SUMPRODUCT((Inputs!$E$5:$E$120=$B13)*ISNUMBER(INDEX(Inputs!$K$5:$AJ$120,0,MATCH(AI$2,Inputs!$K$4:$AJ$4,0))))=0,NA(),SUMPRODUCT((Inputs!$A$5:$A$120=$B13)*Inputs!$B$5:$B$120*(((Inputs!$G$5:$G$120="moeda")+(Inputs!$G$5:$G$120="acoes"))*Inputs!$B$1+((Inputs!$G$5:$G$120&lt;&gt;"moeda")*(Inputs!$G$5:$G$120&lt;&gt;"acoes")))*INDEX(Inputs!$K$5:$AJ$120,0,MATCH(AI$2,Inputs!$K$4:$AJ$4,0)))+SUMPRODUCT((Inputs!$C$5:$C$120=$B13)*Inputs!$D$5:$D$120*(((Inputs!$G$5:$G$120="moeda")+(Inputs!$G$5:$G$120="acoes"))*Inputs!$B$1+((Inputs!$G$5:$G$120&lt;&gt;"moeda")*(Inputs!$G$5:$G$120&lt;&gt;"acoes")))*INDEX(Inputs!$K$5:$AJ$120,0,MATCH(AI$2,Inputs!$K$4:$AJ$4,0)))+SUMPRODUCT((Inputs!$E$5:$E$120=$B13)*Inputs!$F$5:$F$120*(((Inputs!$G$5:$G$120="moeda")+(Inputs!$G$5:$G$120="acoes"))*Inputs!$B$1+((Inputs!$G$5:$G$120&lt;&gt;"moeda")*(Inputs!$G$5:$G$120&lt;&gt;"acoes")))*INDEX(Inputs!$K$5:$AJ$120,0,MATCH(AI$2,Inputs!$K$4:$AJ$4,0)))))</f>
        <v>-80</v>
      </c>
      <c r="AJ13" s="267">
        <f>IF(ISNA(MATCH(AJ$2,Inputs!$K$4:$AJ$4,0)),NA(),IF(SUMPRODUCT((Inputs!$A$5:$A$120=$B13)*ISNUMBER(INDEX(Inputs!$K$5:$AJ$120,0,MATCH(AJ$2,Inputs!$K$4:$AJ$4,0))))+SUMPRODUCT((Inputs!$C$5:$C$120=$B13)*ISNUMBER(INDEX(Inputs!$K$5:$AJ$120,0,MATCH(AJ$2,Inputs!$K$4:$AJ$4,0))))+SUMPRODUCT((Inputs!$E$5:$E$120=$B13)*ISNUMBER(INDEX(Inputs!$K$5:$AJ$120,0,MATCH(AJ$2,Inputs!$K$4:$AJ$4,0))))=0,NA(),SUMPRODUCT((Inputs!$A$5:$A$120=$B13)*Inputs!$B$5:$B$120*(((Inputs!$G$5:$G$120="moeda")+(Inputs!$G$5:$G$120="acoes"))*Inputs!$B$1+((Inputs!$G$5:$G$120&lt;&gt;"moeda")*(Inputs!$G$5:$G$120&lt;&gt;"acoes")))*INDEX(Inputs!$K$5:$AJ$120,0,MATCH(AJ$2,Inputs!$K$4:$AJ$4,0)))+SUMPRODUCT((Inputs!$C$5:$C$120=$B13)*Inputs!$D$5:$D$120*(((Inputs!$G$5:$G$120="moeda")+(Inputs!$G$5:$G$120="acoes"))*Inputs!$B$1+((Inputs!$G$5:$G$120&lt;&gt;"moeda")*(Inputs!$G$5:$G$120&lt;&gt;"acoes")))*INDEX(Inputs!$K$5:$AJ$120,0,MATCH(AJ$2,Inputs!$K$4:$AJ$4,0)))+SUMPRODUCT((Inputs!$E$5:$E$120=$B13)*Inputs!$F$5:$F$120*(((Inputs!$G$5:$G$120="moeda")+(Inputs!$G$5:$G$120="acoes"))*Inputs!$B$1+((Inputs!$G$5:$G$120&lt;&gt;"moeda")*(Inputs!$G$5:$G$120&lt;&gt;"acoes")))*INDEX(Inputs!$K$5:$AJ$120,0,MATCH(AJ$2,Inputs!$K$4:$AJ$4,0)))))</f>
        <v>-78</v>
      </c>
      <c r="AK13" s="267">
        <f>IF(ISNA(MATCH(AK$2,Inputs!$K$4:$AJ$4,0)),NA(),IF(SUMPRODUCT((Inputs!$A$5:$A$120=$B13)*ISNUMBER(INDEX(Inputs!$K$5:$AJ$120,0,MATCH(AK$2,Inputs!$K$4:$AJ$4,0))))+SUMPRODUCT((Inputs!$C$5:$C$120=$B13)*ISNUMBER(INDEX(Inputs!$K$5:$AJ$120,0,MATCH(AK$2,Inputs!$K$4:$AJ$4,0))))+SUMPRODUCT((Inputs!$E$5:$E$120=$B13)*ISNUMBER(INDEX(Inputs!$K$5:$AJ$120,0,MATCH(AK$2,Inputs!$K$4:$AJ$4,0))))=0,NA(),SUMPRODUCT((Inputs!$A$5:$A$120=$B13)*Inputs!$B$5:$B$120*(((Inputs!$G$5:$G$120="moeda")+(Inputs!$G$5:$G$120="acoes"))*Inputs!$B$1+((Inputs!$G$5:$G$120&lt;&gt;"moeda")*(Inputs!$G$5:$G$120&lt;&gt;"acoes")))*INDEX(Inputs!$K$5:$AJ$120,0,MATCH(AK$2,Inputs!$K$4:$AJ$4,0)))+SUMPRODUCT((Inputs!$C$5:$C$120=$B13)*Inputs!$D$5:$D$120*(((Inputs!$G$5:$G$120="moeda")+(Inputs!$G$5:$G$120="acoes"))*Inputs!$B$1+((Inputs!$G$5:$G$120&lt;&gt;"moeda")*(Inputs!$G$5:$G$120&lt;&gt;"acoes")))*INDEX(Inputs!$K$5:$AJ$120,0,MATCH(AK$2,Inputs!$K$4:$AJ$4,0)))+SUMPRODUCT((Inputs!$E$5:$E$120=$B13)*Inputs!$F$5:$F$120*(((Inputs!$G$5:$G$120="moeda")+(Inputs!$G$5:$G$120="acoes"))*Inputs!$B$1+((Inputs!$G$5:$G$120&lt;&gt;"moeda")*(Inputs!$G$5:$G$120&lt;&gt;"acoes")))*INDEX(Inputs!$K$5:$AJ$120,0,MATCH(AK$2,Inputs!$K$4:$AJ$4,0)))))</f>
        <v>-45</v>
      </c>
      <c r="AL13" s="268">
        <f>SUM(AH13:AK13)</f>
        <v>-282</v>
      </c>
    </row>
    <row r="14" ht="12.75" customHeight="1" s="255">
      <c r="D14" s="268" t="n"/>
    </row>
    <row r="15" ht="12.75" customHeight="1" s="255">
      <c r="B15" s="265" t="n">
        <v>11</v>
      </c>
      <c r="C15" s="269" t="inlineStr">
        <is>
          <t>Cash and equivalents (inc. investment securities)</t>
        </is>
      </c>
      <c r="D15" s="267">
        <f>IF(ISNA(MATCH(D$2,Inputs!$K$4:$AJ$4,0)),NA(),IF(SUMPRODUCT((Inputs!$A$5:$A$120=$B15)*ISNUMBER(INDEX(Inputs!$K$5:$AJ$120,0,MATCH(D$2,Inputs!$K$4:$AJ$4,0))))+SUMPRODUCT((Inputs!$C$5:$C$120=$B15)*ISNUMBER(INDEX(Inputs!$K$5:$AJ$120,0,MATCH(D$2,Inputs!$K$4:$AJ$4,0))))+SUMPRODUCT((Inputs!$E$5:$E$120=$B15)*ISNUMBER(INDEX(Inputs!$K$5:$AJ$120,0,MATCH(D$2,Inputs!$K$4:$AJ$4,0))))=0,NA(),SUMPRODUCT((Inputs!$A$5:$A$120=$B15)*Inputs!$B$5:$B$120*(((Inputs!$G$5:$G$120="moeda")+(Inputs!$G$5:$G$120="acoes"))*Inputs!$B$1+((Inputs!$G$5:$G$120&lt;&gt;"moeda")*(Inputs!$G$5:$G$120&lt;&gt;"acoes")))*INDEX(Inputs!$K$5:$AJ$120,0,MATCH(D$2,Inputs!$K$4:$AJ$4,0)))+SUMPRODUCT((Inputs!$C$5:$C$120=$B15)*Inputs!$D$5:$D$120*(((Inputs!$G$5:$G$120="moeda")+(Inputs!$G$5:$G$120="acoes"))*Inputs!$B$1+((Inputs!$G$5:$G$120&lt;&gt;"moeda")*(Inputs!$G$5:$G$120&lt;&gt;"acoes")))*INDEX(Inputs!$K$5:$AJ$120,0,MATCH(D$2,Inputs!$K$4:$AJ$4,0)))+SUMPRODUCT((Inputs!$E$5:$E$120=$B15)*Inputs!$F$5:$F$120*(((Inputs!$G$5:$G$120="moeda")+(Inputs!$G$5:$G$120="acoes"))*Inputs!$B$1+((Inputs!$G$5:$G$120&lt;&gt;"moeda")*(Inputs!$G$5:$G$120&lt;&gt;"acoes")))*INDEX(Inputs!$K$5:$AJ$120,0,MATCH(D$2,Inputs!$K$4:$AJ$4,0)))))</f>
        <v>226</v>
      </c>
      <c r="E15" s="267">
        <f>IF(ISNA(MATCH(E$2,Inputs!$K$4:$AJ$4,0)),NA(),IF(SUMPRODUCT((Inputs!$A$5:$A$120=$B15)*ISNUMBER(INDEX(Inputs!$K$5:$AJ$120,0,MATCH(E$2,Inputs!$K$4:$AJ$4,0))))+SUMPRODUCT((Inputs!$C$5:$C$120=$B15)*ISNUMBER(INDEX(Inputs!$K$5:$AJ$120,0,MATCH(E$2,Inputs!$K$4:$AJ$4,0))))+SUMPRODUCT((Inputs!$E$5:$E$120=$B15)*ISNUMBER(INDEX(Inputs!$K$5:$AJ$120,0,MATCH(E$2,Inputs!$K$4:$AJ$4,0))))=0,NA(),SUMPRODUCT((Inputs!$A$5:$A$120=$B15)*Inputs!$B$5:$B$120*(((Inputs!$G$5:$G$120="moeda")+(Inputs!$G$5:$G$120="acoes"))*Inputs!$B$1+((Inputs!$G$5:$G$120&lt;&gt;"moeda")*(Inputs!$G$5:$G$120&lt;&gt;"acoes")))*INDEX(Inputs!$K$5:$AJ$120,0,MATCH(E$2,Inputs!$K$4:$AJ$4,0)))+SUMPRODUCT((Inputs!$C$5:$C$120=$B15)*Inputs!$D$5:$D$120*(((Inputs!$G$5:$G$120="moeda")+(Inputs!$G$5:$G$120="acoes"))*Inputs!$B$1+((Inputs!$G$5:$G$120&lt;&gt;"moeda")*(Inputs!$G$5:$G$120&lt;&gt;"acoes")))*INDEX(Inputs!$K$5:$AJ$120,0,MATCH(E$2,Inputs!$K$4:$AJ$4,0)))+SUMPRODUCT((Inputs!$E$5:$E$120=$B15)*Inputs!$F$5:$F$120*(((Inputs!$G$5:$G$120="moeda")+(Inputs!$G$5:$G$120="acoes"))*Inputs!$B$1+((Inputs!$G$5:$G$120&lt;&gt;"moeda")*(Inputs!$G$5:$G$120&lt;&gt;"acoes")))*INDEX(Inputs!$K$5:$AJ$120,0,MATCH(E$2,Inputs!$K$4:$AJ$4,0)))))</f>
        <v>464</v>
      </c>
      <c r="F15" s="267">
        <f>IF(ISNA(MATCH(F$2,Inputs!$K$4:$AJ$4,0)),NA(),IF(SUMPRODUCT((Inputs!$A$5:$A$120=$B15)*ISNUMBER(INDEX(Inputs!$K$5:$AJ$120,0,MATCH(F$2,Inputs!$K$4:$AJ$4,0))))+SUMPRODUCT((Inputs!$C$5:$C$120=$B15)*ISNUMBER(INDEX(Inputs!$K$5:$AJ$120,0,MATCH(F$2,Inputs!$K$4:$AJ$4,0))))+SUMPRODUCT((Inputs!$E$5:$E$120=$B15)*ISNUMBER(INDEX(Inputs!$K$5:$AJ$120,0,MATCH(F$2,Inputs!$K$4:$AJ$4,0))))=0,NA(),SUMPRODUCT((Inputs!$A$5:$A$120=$B15)*Inputs!$B$5:$B$120*(((Inputs!$G$5:$G$120="moeda")+(Inputs!$G$5:$G$120="acoes"))*Inputs!$B$1+((Inputs!$G$5:$G$120&lt;&gt;"moeda")*(Inputs!$G$5:$G$120&lt;&gt;"acoes")))*INDEX(Inputs!$K$5:$AJ$120,0,MATCH(F$2,Inputs!$K$4:$AJ$4,0)))+SUMPRODUCT((Inputs!$C$5:$C$120=$B15)*Inputs!$D$5:$D$120*(((Inputs!$G$5:$G$120="moeda")+(Inputs!$G$5:$G$120="acoes"))*Inputs!$B$1+((Inputs!$G$5:$G$120&lt;&gt;"moeda")*(Inputs!$G$5:$G$120&lt;&gt;"acoes")))*INDEX(Inputs!$K$5:$AJ$120,0,MATCH(F$2,Inputs!$K$4:$AJ$4,0)))+SUMPRODUCT((Inputs!$E$5:$E$120=$B15)*Inputs!$F$5:$F$120*(((Inputs!$G$5:$G$120="moeda")+(Inputs!$G$5:$G$120="acoes"))*Inputs!$B$1+((Inputs!$G$5:$G$120&lt;&gt;"moeda")*(Inputs!$G$5:$G$120&lt;&gt;"acoes")))*INDEX(Inputs!$K$5:$AJ$120,0,MATCH(F$2,Inputs!$K$4:$AJ$4,0)))))</f>
        <v>1033</v>
      </c>
      <c r="G15" s="267">
        <f>IF(ISNA(MATCH(G$2,Inputs!$K$4:$AJ$4,0)),NA(),IF(SUMPRODUCT((Inputs!$A$5:$A$120=$B15)*ISNUMBER(INDEX(Inputs!$K$5:$AJ$120,0,MATCH(G$2,Inputs!$K$4:$AJ$4,0))))+SUMPRODUCT((Inputs!$C$5:$C$120=$B15)*ISNUMBER(INDEX(Inputs!$K$5:$AJ$120,0,MATCH(G$2,Inputs!$K$4:$AJ$4,0))))+SUMPRODUCT((Inputs!$E$5:$E$120=$B15)*ISNUMBER(INDEX(Inputs!$K$5:$AJ$120,0,MATCH(G$2,Inputs!$K$4:$AJ$4,0))))=0,NA(),SUMPRODUCT((Inputs!$A$5:$A$120=$B15)*Inputs!$B$5:$B$120*(((Inputs!$G$5:$G$120="moeda")+(Inputs!$G$5:$G$120="acoes"))*Inputs!$B$1+((Inputs!$G$5:$G$120&lt;&gt;"moeda")*(Inputs!$G$5:$G$120&lt;&gt;"acoes")))*INDEX(Inputs!$K$5:$AJ$120,0,MATCH(G$2,Inputs!$K$4:$AJ$4,0)))+SUMPRODUCT((Inputs!$C$5:$C$120=$B15)*Inputs!$D$5:$D$120*(((Inputs!$G$5:$G$120="moeda")+(Inputs!$G$5:$G$120="acoes"))*Inputs!$B$1+((Inputs!$G$5:$G$120&lt;&gt;"moeda")*(Inputs!$G$5:$G$120&lt;&gt;"acoes")))*INDEX(Inputs!$K$5:$AJ$120,0,MATCH(G$2,Inputs!$K$4:$AJ$4,0)))+SUMPRODUCT((Inputs!$E$5:$E$120=$B15)*Inputs!$F$5:$F$120*(((Inputs!$G$5:$G$120="moeda")+(Inputs!$G$5:$G$120="acoes"))*Inputs!$B$1+((Inputs!$G$5:$G$120&lt;&gt;"moeda")*(Inputs!$G$5:$G$120&lt;&gt;"acoes")))*INDEX(Inputs!$K$5:$AJ$120,0,MATCH(G$2,Inputs!$K$4:$AJ$4,0)))))</f>
        <v>902</v>
      </c>
      <c r="H15" s="268">
        <f>G15</f>
        <v>902</v>
      </c>
      <c r="I15" s="267">
        <f>IF(ISNA(MATCH(I$2,Inputs!$K$4:$AJ$4,0)),NA(),IF(SUMPRODUCT((Inputs!$A$5:$A$120=$B15)*ISNUMBER(INDEX(Inputs!$K$5:$AJ$120,0,MATCH(I$2,Inputs!$K$4:$AJ$4,0))))+SUMPRODUCT((Inputs!$C$5:$C$120=$B15)*ISNUMBER(INDEX(Inputs!$K$5:$AJ$120,0,MATCH(I$2,Inputs!$K$4:$AJ$4,0))))+SUMPRODUCT((Inputs!$E$5:$E$120=$B15)*ISNUMBER(INDEX(Inputs!$K$5:$AJ$120,0,MATCH(I$2,Inputs!$K$4:$AJ$4,0))))=0,NA(),SUMPRODUCT((Inputs!$A$5:$A$120=$B15)*Inputs!$B$5:$B$120*(((Inputs!$G$5:$G$120="moeda")+(Inputs!$G$5:$G$120="acoes"))*Inputs!$B$1+((Inputs!$G$5:$G$120&lt;&gt;"moeda")*(Inputs!$G$5:$G$120&lt;&gt;"acoes")))*INDEX(Inputs!$K$5:$AJ$120,0,MATCH(I$2,Inputs!$K$4:$AJ$4,0)))+SUMPRODUCT((Inputs!$C$5:$C$120=$B15)*Inputs!$D$5:$D$120*(((Inputs!$G$5:$G$120="moeda")+(Inputs!$G$5:$G$120="acoes"))*Inputs!$B$1+((Inputs!$G$5:$G$120&lt;&gt;"moeda")*(Inputs!$G$5:$G$120&lt;&gt;"acoes")))*INDEX(Inputs!$K$5:$AJ$120,0,MATCH(I$2,Inputs!$K$4:$AJ$4,0)))+SUMPRODUCT((Inputs!$E$5:$E$120=$B15)*Inputs!$F$5:$F$120*(((Inputs!$G$5:$G$120="moeda")+(Inputs!$G$5:$G$120="acoes"))*Inputs!$B$1+((Inputs!$G$5:$G$120&lt;&gt;"moeda")*(Inputs!$G$5:$G$120&lt;&gt;"acoes")))*INDEX(Inputs!$K$5:$AJ$120,0,MATCH(I$2,Inputs!$K$4:$AJ$4,0)))))</f>
        <v>386</v>
      </c>
      <c r="J15" s="267">
        <f>IF(ISNA(MATCH(J$2,Inputs!$K$4:$AJ$4,0)),NA(),IF(SUMPRODUCT((Inputs!$A$5:$A$120=$B15)*ISNUMBER(INDEX(Inputs!$K$5:$AJ$120,0,MATCH(J$2,Inputs!$K$4:$AJ$4,0))))+SUMPRODUCT((Inputs!$C$5:$C$120=$B15)*ISNUMBER(INDEX(Inputs!$K$5:$AJ$120,0,MATCH(J$2,Inputs!$K$4:$AJ$4,0))))+SUMPRODUCT((Inputs!$E$5:$E$120=$B15)*ISNUMBER(INDEX(Inputs!$K$5:$AJ$120,0,MATCH(J$2,Inputs!$K$4:$AJ$4,0))))=0,NA(),SUMPRODUCT((Inputs!$A$5:$A$120=$B15)*Inputs!$B$5:$B$120*(((Inputs!$G$5:$G$120="moeda")+(Inputs!$G$5:$G$120="acoes"))*Inputs!$B$1+((Inputs!$G$5:$G$120&lt;&gt;"moeda")*(Inputs!$G$5:$G$120&lt;&gt;"acoes")))*INDEX(Inputs!$K$5:$AJ$120,0,MATCH(J$2,Inputs!$K$4:$AJ$4,0)))+SUMPRODUCT((Inputs!$C$5:$C$120=$B15)*Inputs!$D$5:$D$120*(((Inputs!$G$5:$G$120="moeda")+(Inputs!$G$5:$G$120="acoes"))*Inputs!$B$1+((Inputs!$G$5:$G$120&lt;&gt;"moeda")*(Inputs!$G$5:$G$120&lt;&gt;"acoes")))*INDEX(Inputs!$K$5:$AJ$120,0,MATCH(J$2,Inputs!$K$4:$AJ$4,0)))+SUMPRODUCT((Inputs!$E$5:$E$120=$B15)*Inputs!$F$5:$F$120*(((Inputs!$G$5:$G$120="moeda")+(Inputs!$G$5:$G$120="acoes"))*Inputs!$B$1+((Inputs!$G$5:$G$120&lt;&gt;"moeda")*(Inputs!$G$5:$G$120&lt;&gt;"acoes")))*INDEX(Inputs!$K$5:$AJ$120,0,MATCH(J$2,Inputs!$K$4:$AJ$4,0)))))</f>
        <v>818</v>
      </c>
      <c r="K15" s="267">
        <f>IF(ISNA(MATCH(K$2,Inputs!$K$4:$AJ$4,0)),NA(),IF(SUMPRODUCT((Inputs!$A$5:$A$120=$B15)*ISNUMBER(INDEX(Inputs!$K$5:$AJ$120,0,MATCH(K$2,Inputs!$K$4:$AJ$4,0))))+SUMPRODUCT((Inputs!$C$5:$C$120=$B15)*ISNUMBER(INDEX(Inputs!$K$5:$AJ$120,0,MATCH(K$2,Inputs!$K$4:$AJ$4,0))))+SUMPRODUCT((Inputs!$E$5:$E$120=$B15)*ISNUMBER(INDEX(Inputs!$K$5:$AJ$120,0,MATCH(K$2,Inputs!$K$4:$AJ$4,0))))=0,NA(),SUMPRODUCT((Inputs!$A$5:$A$120=$B15)*Inputs!$B$5:$B$120*(((Inputs!$G$5:$G$120="moeda")+(Inputs!$G$5:$G$120="acoes"))*Inputs!$B$1+((Inputs!$G$5:$G$120&lt;&gt;"moeda")*(Inputs!$G$5:$G$120&lt;&gt;"acoes")))*INDEX(Inputs!$K$5:$AJ$120,0,MATCH(K$2,Inputs!$K$4:$AJ$4,0)))+SUMPRODUCT((Inputs!$C$5:$C$120=$B15)*Inputs!$D$5:$D$120*(((Inputs!$G$5:$G$120="moeda")+(Inputs!$G$5:$G$120="acoes"))*Inputs!$B$1+((Inputs!$G$5:$G$120&lt;&gt;"moeda")*(Inputs!$G$5:$G$120&lt;&gt;"acoes")))*INDEX(Inputs!$K$5:$AJ$120,0,MATCH(K$2,Inputs!$K$4:$AJ$4,0)))+SUMPRODUCT((Inputs!$E$5:$E$120=$B15)*Inputs!$F$5:$F$120*(((Inputs!$G$5:$G$120="moeda")+(Inputs!$G$5:$G$120="acoes"))*Inputs!$B$1+((Inputs!$G$5:$G$120&lt;&gt;"moeda")*(Inputs!$G$5:$G$120&lt;&gt;"acoes")))*INDEX(Inputs!$K$5:$AJ$120,0,MATCH(K$2,Inputs!$K$4:$AJ$4,0)))))</f>
        <v>956</v>
      </c>
      <c r="L15" s="267">
        <f>IF(ISNA(MATCH(L$2,Inputs!$K$4:$AJ$4,0)),NA(),IF(SUMPRODUCT((Inputs!$A$5:$A$120=$B15)*ISNUMBER(INDEX(Inputs!$K$5:$AJ$120,0,MATCH(L$2,Inputs!$K$4:$AJ$4,0))))+SUMPRODUCT((Inputs!$C$5:$C$120=$B15)*ISNUMBER(INDEX(Inputs!$K$5:$AJ$120,0,MATCH(L$2,Inputs!$K$4:$AJ$4,0))))+SUMPRODUCT((Inputs!$E$5:$E$120=$B15)*ISNUMBER(INDEX(Inputs!$K$5:$AJ$120,0,MATCH(L$2,Inputs!$K$4:$AJ$4,0))))=0,NA(),SUMPRODUCT((Inputs!$A$5:$A$120=$B15)*Inputs!$B$5:$B$120*(((Inputs!$G$5:$G$120="moeda")+(Inputs!$G$5:$G$120="acoes"))*Inputs!$B$1+((Inputs!$G$5:$G$120&lt;&gt;"moeda")*(Inputs!$G$5:$G$120&lt;&gt;"acoes")))*INDEX(Inputs!$K$5:$AJ$120,0,MATCH(L$2,Inputs!$K$4:$AJ$4,0)))+SUMPRODUCT((Inputs!$C$5:$C$120=$B15)*Inputs!$D$5:$D$120*(((Inputs!$G$5:$G$120="moeda")+(Inputs!$G$5:$G$120="acoes"))*Inputs!$B$1+((Inputs!$G$5:$G$120&lt;&gt;"moeda")*(Inputs!$G$5:$G$120&lt;&gt;"acoes")))*INDEX(Inputs!$K$5:$AJ$120,0,MATCH(L$2,Inputs!$K$4:$AJ$4,0)))+SUMPRODUCT((Inputs!$E$5:$E$120=$B15)*Inputs!$F$5:$F$120*(((Inputs!$G$5:$G$120="moeda")+(Inputs!$G$5:$G$120="acoes"))*Inputs!$B$1+((Inputs!$G$5:$G$120&lt;&gt;"moeda")*(Inputs!$G$5:$G$120&lt;&gt;"acoes")))*INDEX(Inputs!$K$5:$AJ$120,0,MATCH(L$2,Inputs!$K$4:$AJ$4,0)))))</f>
        <v>1104</v>
      </c>
      <c r="M15" s="268">
        <f>L15</f>
        <v>1104</v>
      </c>
      <c r="N15" s="267">
        <f>IF(ISNA(MATCH(N$2,Inputs!$K$4:$AJ$4,0)),NA(),IF(SUMPRODUCT((Inputs!$A$5:$A$120=$B15)*ISNUMBER(INDEX(Inputs!$K$5:$AJ$120,0,MATCH(N$2,Inputs!$K$4:$AJ$4,0))))+SUMPRODUCT((Inputs!$C$5:$C$120=$B15)*ISNUMBER(INDEX(Inputs!$K$5:$AJ$120,0,MATCH(N$2,Inputs!$K$4:$AJ$4,0))))+SUMPRODUCT((Inputs!$E$5:$E$120=$B15)*ISNUMBER(INDEX(Inputs!$K$5:$AJ$120,0,MATCH(N$2,Inputs!$K$4:$AJ$4,0))))=0,NA(),SUMPRODUCT((Inputs!$A$5:$A$120=$B15)*Inputs!$B$5:$B$120*(((Inputs!$G$5:$G$120="moeda")+(Inputs!$G$5:$G$120="acoes"))*Inputs!$B$1+((Inputs!$G$5:$G$120&lt;&gt;"moeda")*(Inputs!$G$5:$G$120&lt;&gt;"acoes")))*INDEX(Inputs!$K$5:$AJ$120,0,MATCH(N$2,Inputs!$K$4:$AJ$4,0)))+SUMPRODUCT((Inputs!$C$5:$C$120=$B15)*Inputs!$D$5:$D$120*(((Inputs!$G$5:$G$120="moeda")+(Inputs!$G$5:$G$120="acoes"))*Inputs!$B$1+((Inputs!$G$5:$G$120&lt;&gt;"moeda")*(Inputs!$G$5:$G$120&lt;&gt;"acoes")))*INDEX(Inputs!$K$5:$AJ$120,0,MATCH(N$2,Inputs!$K$4:$AJ$4,0)))+SUMPRODUCT((Inputs!$E$5:$E$120=$B15)*Inputs!$F$5:$F$120*(((Inputs!$G$5:$G$120="moeda")+(Inputs!$G$5:$G$120="acoes"))*Inputs!$B$1+((Inputs!$G$5:$G$120&lt;&gt;"moeda")*(Inputs!$G$5:$G$120&lt;&gt;"acoes")))*INDEX(Inputs!$K$5:$AJ$120,0,MATCH(N$2,Inputs!$K$4:$AJ$4,0)))))</f>
        <v>3052</v>
      </c>
      <c r="O15" s="267">
        <f>IF(ISNA(MATCH(O$2,Inputs!$K$4:$AJ$4,0)),NA(),IF(SUMPRODUCT((Inputs!$A$5:$A$120=$B15)*ISNUMBER(INDEX(Inputs!$K$5:$AJ$120,0,MATCH(O$2,Inputs!$K$4:$AJ$4,0))))+SUMPRODUCT((Inputs!$C$5:$C$120=$B15)*ISNUMBER(INDEX(Inputs!$K$5:$AJ$120,0,MATCH(O$2,Inputs!$K$4:$AJ$4,0))))+SUMPRODUCT((Inputs!$E$5:$E$120=$B15)*ISNUMBER(INDEX(Inputs!$K$5:$AJ$120,0,MATCH(O$2,Inputs!$K$4:$AJ$4,0))))=0,NA(),SUMPRODUCT((Inputs!$A$5:$A$120=$B15)*Inputs!$B$5:$B$120*(((Inputs!$G$5:$G$120="moeda")+(Inputs!$G$5:$G$120="acoes"))*Inputs!$B$1+((Inputs!$G$5:$G$120&lt;&gt;"moeda")*(Inputs!$G$5:$G$120&lt;&gt;"acoes")))*INDEX(Inputs!$K$5:$AJ$120,0,MATCH(O$2,Inputs!$K$4:$AJ$4,0)))+SUMPRODUCT((Inputs!$C$5:$C$120=$B15)*Inputs!$D$5:$D$120*(((Inputs!$G$5:$G$120="moeda")+(Inputs!$G$5:$G$120="acoes"))*Inputs!$B$1+((Inputs!$G$5:$G$120&lt;&gt;"moeda")*(Inputs!$G$5:$G$120&lt;&gt;"acoes")))*INDEX(Inputs!$K$5:$AJ$120,0,MATCH(O$2,Inputs!$K$4:$AJ$4,0)))+SUMPRODUCT((Inputs!$E$5:$E$120=$B15)*Inputs!$F$5:$F$120*(((Inputs!$G$5:$G$120="moeda")+(Inputs!$G$5:$G$120="acoes"))*Inputs!$B$1+((Inputs!$G$5:$G$120&lt;&gt;"moeda")*(Inputs!$G$5:$G$120&lt;&gt;"acoes")))*INDEX(Inputs!$K$5:$AJ$120,0,MATCH(O$2,Inputs!$K$4:$AJ$4,0)))))</f>
        <v>1330</v>
      </c>
      <c r="P15" s="267">
        <f>IF(ISNA(MATCH(P$2,Inputs!$K$4:$AJ$4,0)),NA(),IF(SUMPRODUCT((Inputs!$A$5:$A$120=$B15)*ISNUMBER(INDEX(Inputs!$K$5:$AJ$120,0,MATCH(P$2,Inputs!$K$4:$AJ$4,0))))+SUMPRODUCT((Inputs!$C$5:$C$120=$B15)*ISNUMBER(INDEX(Inputs!$K$5:$AJ$120,0,MATCH(P$2,Inputs!$K$4:$AJ$4,0))))+SUMPRODUCT((Inputs!$E$5:$E$120=$B15)*ISNUMBER(INDEX(Inputs!$K$5:$AJ$120,0,MATCH(P$2,Inputs!$K$4:$AJ$4,0))))=0,NA(),SUMPRODUCT((Inputs!$A$5:$A$120=$B15)*Inputs!$B$5:$B$120*(((Inputs!$G$5:$G$120="moeda")+(Inputs!$G$5:$G$120="acoes"))*Inputs!$B$1+((Inputs!$G$5:$G$120&lt;&gt;"moeda")*(Inputs!$G$5:$G$120&lt;&gt;"acoes")))*INDEX(Inputs!$K$5:$AJ$120,0,MATCH(P$2,Inputs!$K$4:$AJ$4,0)))+SUMPRODUCT((Inputs!$C$5:$C$120=$B15)*Inputs!$D$5:$D$120*(((Inputs!$G$5:$G$120="moeda")+(Inputs!$G$5:$G$120="acoes"))*Inputs!$B$1+((Inputs!$G$5:$G$120&lt;&gt;"moeda")*(Inputs!$G$5:$G$120&lt;&gt;"acoes")))*INDEX(Inputs!$K$5:$AJ$120,0,MATCH(P$2,Inputs!$K$4:$AJ$4,0)))+SUMPRODUCT((Inputs!$E$5:$E$120=$B15)*Inputs!$F$5:$F$120*(((Inputs!$G$5:$G$120="moeda")+(Inputs!$G$5:$G$120="acoes"))*Inputs!$B$1+((Inputs!$G$5:$G$120&lt;&gt;"moeda")*(Inputs!$G$5:$G$120&lt;&gt;"acoes")))*INDEX(Inputs!$K$5:$AJ$120,0,MATCH(P$2,Inputs!$K$4:$AJ$4,0)))))</f>
        <v>2173</v>
      </c>
      <c r="Q15" s="267">
        <f>IF(ISNA(MATCH(Q$2,Inputs!$K$4:$AJ$4,0)),NA(),IF(SUMPRODUCT((Inputs!$A$5:$A$120=$B15)*ISNUMBER(INDEX(Inputs!$K$5:$AJ$120,0,MATCH(Q$2,Inputs!$K$4:$AJ$4,0))))+SUMPRODUCT((Inputs!$C$5:$C$120=$B15)*ISNUMBER(INDEX(Inputs!$K$5:$AJ$120,0,MATCH(Q$2,Inputs!$K$4:$AJ$4,0))))+SUMPRODUCT((Inputs!$E$5:$E$120=$B15)*ISNUMBER(INDEX(Inputs!$K$5:$AJ$120,0,MATCH(Q$2,Inputs!$K$4:$AJ$4,0))))=0,NA(),SUMPRODUCT((Inputs!$A$5:$A$120=$B15)*Inputs!$B$5:$B$120*(((Inputs!$G$5:$G$120="moeda")+(Inputs!$G$5:$G$120="acoes"))*Inputs!$B$1+((Inputs!$G$5:$G$120&lt;&gt;"moeda")*(Inputs!$G$5:$G$120&lt;&gt;"acoes")))*INDEX(Inputs!$K$5:$AJ$120,0,MATCH(Q$2,Inputs!$K$4:$AJ$4,0)))+SUMPRODUCT((Inputs!$C$5:$C$120=$B15)*Inputs!$D$5:$D$120*(((Inputs!$G$5:$G$120="moeda")+(Inputs!$G$5:$G$120="acoes"))*Inputs!$B$1+((Inputs!$G$5:$G$120&lt;&gt;"moeda")*(Inputs!$G$5:$G$120&lt;&gt;"acoes")))*INDEX(Inputs!$K$5:$AJ$120,0,MATCH(Q$2,Inputs!$K$4:$AJ$4,0)))+SUMPRODUCT((Inputs!$E$5:$E$120=$B15)*Inputs!$F$5:$F$120*(((Inputs!$G$5:$G$120="moeda")+(Inputs!$G$5:$G$120="acoes"))*Inputs!$B$1+((Inputs!$G$5:$G$120&lt;&gt;"moeda")*(Inputs!$G$5:$G$120&lt;&gt;"acoes")))*INDEX(Inputs!$K$5:$AJ$120,0,MATCH(Q$2,Inputs!$K$4:$AJ$4,0)))))</f>
        <v>2602</v>
      </c>
      <c r="R15" s="268">
        <f>Q15</f>
        <v>2602</v>
      </c>
      <c r="S15" s="267">
        <f>IF(ISNA(MATCH(S$2,Inputs!$K$4:$AJ$4,0)),NA(),IF(SUMPRODUCT((Inputs!$A$5:$A$120=$B15)*ISNUMBER(INDEX(Inputs!$K$5:$AJ$120,0,MATCH(S$2,Inputs!$K$4:$AJ$4,0))))+SUMPRODUCT((Inputs!$C$5:$C$120=$B15)*ISNUMBER(INDEX(Inputs!$K$5:$AJ$120,0,MATCH(S$2,Inputs!$K$4:$AJ$4,0))))+SUMPRODUCT((Inputs!$E$5:$E$120=$B15)*ISNUMBER(INDEX(Inputs!$K$5:$AJ$120,0,MATCH(S$2,Inputs!$K$4:$AJ$4,0))))=0,NA(),SUMPRODUCT((Inputs!$A$5:$A$120=$B15)*Inputs!$B$5:$B$120*(((Inputs!$G$5:$G$120="moeda")+(Inputs!$G$5:$G$120="acoes"))*Inputs!$B$1+((Inputs!$G$5:$G$120&lt;&gt;"moeda")*(Inputs!$G$5:$G$120&lt;&gt;"acoes")))*INDEX(Inputs!$K$5:$AJ$120,0,MATCH(S$2,Inputs!$K$4:$AJ$4,0)))+SUMPRODUCT((Inputs!$C$5:$C$120=$B15)*Inputs!$D$5:$D$120*(((Inputs!$G$5:$G$120="moeda")+(Inputs!$G$5:$G$120="acoes"))*Inputs!$B$1+((Inputs!$G$5:$G$120&lt;&gt;"moeda")*(Inputs!$G$5:$G$120&lt;&gt;"acoes")))*INDEX(Inputs!$K$5:$AJ$120,0,MATCH(S$2,Inputs!$K$4:$AJ$4,0)))+SUMPRODUCT((Inputs!$E$5:$E$120=$B15)*Inputs!$F$5:$F$120*(((Inputs!$G$5:$G$120="moeda")+(Inputs!$G$5:$G$120="acoes"))*Inputs!$B$1+((Inputs!$G$5:$G$120&lt;&gt;"moeda")*(Inputs!$G$5:$G$120&lt;&gt;"acoes")))*INDEX(Inputs!$K$5:$AJ$120,0,MATCH(S$2,Inputs!$K$4:$AJ$4,0)))))</f>
        <v>2939</v>
      </c>
      <c r="T15" s="267">
        <f>IF(ISNA(MATCH(T$2,Inputs!$K$4:$AJ$4,0)),NA(),IF(SUMPRODUCT((Inputs!$A$5:$A$120=$B15)*ISNUMBER(INDEX(Inputs!$K$5:$AJ$120,0,MATCH(T$2,Inputs!$K$4:$AJ$4,0))))+SUMPRODUCT((Inputs!$C$5:$C$120=$B15)*ISNUMBER(INDEX(Inputs!$K$5:$AJ$120,0,MATCH(T$2,Inputs!$K$4:$AJ$4,0))))+SUMPRODUCT((Inputs!$E$5:$E$120=$B15)*ISNUMBER(INDEX(Inputs!$K$5:$AJ$120,0,MATCH(T$2,Inputs!$K$4:$AJ$4,0))))=0,NA(),SUMPRODUCT((Inputs!$A$5:$A$120=$B15)*Inputs!$B$5:$B$120*(((Inputs!$G$5:$G$120="moeda")+(Inputs!$G$5:$G$120="acoes"))*Inputs!$B$1+((Inputs!$G$5:$G$120&lt;&gt;"moeda")*(Inputs!$G$5:$G$120&lt;&gt;"acoes")))*INDEX(Inputs!$K$5:$AJ$120,0,MATCH(T$2,Inputs!$K$4:$AJ$4,0)))+SUMPRODUCT((Inputs!$C$5:$C$120=$B15)*Inputs!$D$5:$D$120*(((Inputs!$G$5:$G$120="moeda")+(Inputs!$G$5:$G$120="acoes"))*Inputs!$B$1+((Inputs!$G$5:$G$120&lt;&gt;"moeda")*(Inputs!$G$5:$G$120&lt;&gt;"acoes")))*INDEX(Inputs!$K$5:$AJ$120,0,MATCH(T$2,Inputs!$K$4:$AJ$4,0)))+SUMPRODUCT((Inputs!$E$5:$E$120=$B15)*Inputs!$F$5:$F$120*(((Inputs!$G$5:$G$120="moeda")+(Inputs!$G$5:$G$120="acoes"))*Inputs!$B$1+((Inputs!$G$5:$G$120&lt;&gt;"moeda")*(Inputs!$G$5:$G$120&lt;&gt;"acoes")))*INDEX(Inputs!$K$5:$AJ$120,0,MATCH(T$2,Inputs!$K$4:$AJ$4,0)))))</f>
        <v>1161</v>
      </c>
      <c r="U15" s="267">
        <f>IF(ISNA(MATCH(U$2,Inputs!$K$4:$AJ$4,0)),NA(),IF(SUMPRODUCT((Inputs!$A$5:$A$120=$B15)*ISNUMBER(INDEX(Inputs!$K$5:$AJ$120,0,MATCH(U$2,Inputs!$K$4:$AJ$4,0))))+SUMPRODUCT((Inputs!$C$5:$C$120=$B15)*ISNUMBER(INDEX(Inputs!$K$5:$AJ$120,0,MATCH(U$2,Inputs!$K$4:$AJ$4,0))))+SUMPRODUCT((Inputs!$E$5:$E$120=$B15)*ISNUMBER(INDEX(Inputs!$K$5:$AJ$120,0,MATCH(U$2,Inputs!$K$4:$AJ$4,0))))=0,NA(),SUMPRODUCT((Inputs!$A$5:$A$120=$B15)*Inputs!$B$5:$B$120*(((Inputs!$G$5:$G$120="moeda")+(Inputs!$G$5:$G$120="acoes"))*Inputs!$B$1+((Inputs!$G$5:$G$120&lt;&gt;"moeda")*(Inputs!$G$5:$G$120&lt;&gt;"acoes")))*INDEX(Inputs!$K$5:$AJ$120,0,MATCH(U$2,Inputs!$K$4:$AJ$4,0)))+SUMPRODUCT((Inputs!$C$5:$C$120=$B15)*Inputs!$D$5:$D$120*(((Inputs!$G$5:$G$120="moeda")+(Inputs!$G$5:$G$120="acoes"))*Inputs!$B$1+((Inputs!$G$5:$G$120&lt;&gt;"moeda")*(Inputs!$G$5:$G$120&lt;&gt;"acoes")))*INDEX(Inputs!$K$5:$AJ$120,0,MATCH(U$2,Inputs!$K$4:$AJ$4,0)))+SUMPRODUCT((Inputs!$E$5:$E$120=$B15)*Inputs!$F$5:$F$120*(((Inputs!$G$5:$G$120="moeda")+(Inputs!$G$5:$G$120="acoes"))*Inputs!$B$1+((Inputs!$G$5:$G$120&lt;&gt;"moeda")*(Inputs!$G$5:$G$120&lt;&gt;"acoes")))*INDEX(Inputs!$K$5:$AJ$120,0,MATCH(U$2,Inputs!$K$4:$AJ$4,0)))))</f>
        <v>2836</v>
      </c>
      <c r="V15" s="267">
        <f>IF(ISNA(MATCH(V$2,Inputs!$K$4:$AJ$4,0)),NA(),IF(SUMPRODUCT((Inputs!$A$5:$A$120=$B15)*ISNUMBER(INDEX(Inputs!$K$5:$AJ$120,0,MATCH(V$2,Inputs!$K$4:$AJ$4,0))))+SUMPRODUCT((Inputs!$C$5:$C$120=$B15)*ISNUMBER(INDEX(Inputs!$K$5:$AJ$120,0,MATCH(V$2,Inputs!$K$4:$AJ$4,0))))+SUMPRODUCT((Inputs!$E$5:$E$120=$B15)*ISNUMBER(INDEX(Inputs!$K$5:$AJ$120,0,MATCH(V$2,Inputs!$K$4:$AJ$4,0))))=0,NA(),SUMPRODUCT((Inputs!$A$5:$A$120=$B15)*Inputs!$B$5:$B$120*(((Inputs!$G$5:$G$120="moeda")+(Inputs!$G$5:$G$120="acoes"))*Inputs!$B$1+((Inputs!$G$5:$G$120&lt;&gt;"moeda")*(Inputs!$G$5:$G$120&lt;&gt;"acoes")))*INDEX(Inputs!$K$5:$AJ$120,0,MATCH(V$2,Inputs!$K$4:$AJ$4,0)))+SUMPRODUCT((Inputs!$C$5:$C$120=$B15)*Inputs!$D$5:$D$120*(((Inputs!$G$5:$G$120="moeda")+(Inputs!$G$5:$G$120="acoes"))*Inputs!$B$1+((Inputs!$G$5:$G$120&lt;&gt;"moeda")*(Inputs!$G$5:$G$120&lt;&gt;"acoes")))*INDEX(Inputs!$K$5:$AJ$120,0,MATCH(V$2,Inputs!$K$4:$AJ$4,0)))+SUMPRODUCT((Inputs!$E$5:$E$120=$B15)*Inputs!$F$5:$F$120*(((Inputs!$G$5:$G$120="moeda")+(Inputs!$G$5:$G$120="acoes"))*Inputs!$B$1+((Inputs!$G$5:$G$120&lt;&gt;"moeda")*(Inputs!$G$5:$G$120&lt;&gt;"acoes")))*INDEX(Inputs!$K$5:$AJ$120,0,MATCH(V$2,Inputs!$K$4:$AJ$4,0)))))</f>
        <v>3311</v>
      </c>
      <c r="W15" s="268">
        <f>V15</f>
        <v>3311</v>
      </c>
      <c r="X15" s="267">
        <f>IF(ISNA(MATCH(X$2,Inputs!$K$4:$AJ$4,0)),NA(),IF(SUMPRODUCT((Inputs!$A$5:$A$120=$B15)*ISNUMBER(INDEX(Inputs!$K$5:$AJ$120,0,MATCH(X$2,Inputs!$K$4:$AJ$4,0))))+SUMPRODUCT((Inputs!$C$5:$C$120=$B15)*ISNUMBER(INDEX(Inputs!$K$5:$AJ$120,0,MATCH(X$2,Inputs!$K$4:$AJ$4,0))))+SUMPRODUCT((Inputs!$E$5:$E$120=$B15)*ISNUMBER(INDEX(Inputs!$K$5:$AJ$120,0,MATCH(X$2,Inputs!$K$4:$AJ$4,0))))=0,NA(),SUMPRODUCT((Inputs!$A$5:$A$120=$B15)*Inputs!$B$5:$B$120*(((Inputs!$G$5:$G$120="moeda")+(Inputs!$G$5:$G$120="acoes"))*Inputs!$B$1+((Inputs!$G$5:$G$120&lt;&gt;"moeda")*(Inputs!$G$5:$G$120&lt;&gt;"acoes")))*INDEX(Inputs!$K$5:$AJ$120,0,MATCH(X$2,Inputs!$K$4:$AJ$4,0)))+SUMPRODUCT((Inputs!$C$5:$C$120=$B15)*Inputs!$D$5:$D$120*(((Inputs!$G$5:$G$120="moeda")+(Inputs!$G$5:$G$120="acoes"))*Inputs!$B$1+((Inputs!$G$5:$G$120&lt;&gt;"moeda")*(Inputs!$G$5:$G$120&lt;&gt;"acoes")))*INDEX(Inputs!$K$5:$AJ$120,0,MATCH(X$2,Inputs!$K$4:$AJ$4,0)))+SUMPRODUCT((Inputs!$E$5:$E$120=$B15)*Inputs!$F$5:$F$120*(((Inputs!$G$5:$G$120="moeda")+(Inputs!$G$5:$G$120="acoes"))*Inputs!$B$1+((Inputs!$G$5:$G$120&lt;&gt;"moeda")*(Inputs!$G$5:$G$120&lt;&gt;"acoes")))*INDEX(Inputs!$K$5:$AJ$120,0,MATCH(X$2,Inputs!$K$4:$AJ$4,0)))))</f>
        <v>3245</v>
      </c>
      <c r="Y15" s="267">
        <f>IF(ISNA(MATCH(Y$2,Inputs!$K$4:$AJ$4,0)),NA(),IF(SUMPRODUCT((Inputs!$A$5:$A$120=$B15)*ISNUMBER(INDEX(Inputs!$K$5:$AJ$120,0,MATCH(Y$2,Inputs!$K$4:$AJ$4,0))))+SUMPRODUCT((Inputs!$C$5:$C$120=$B15)*ISNUMBER(INDEX(Inputs!$K$5:$AJ$120,0,MATCH(Y$2,Inputs!$K$4:$AJ$4,0))))+SUMPRODUCT((Inputs!$E$5:$E$120=$B15)*ISNUMBER(INDEX(Inputs!$K$5:$AJ$120,0,MATCH(Y$2,Inputs!$K$4:$AJ$4,0))))=0,NA(),SUMPRODUCT((Inputs!$A$5:$A$120=$B15)*Inputs!$B$5:$B$120*(((Inputs!$G$5:$G$120="moeda")+(Inputs!$G$5:$G$120="acoes"))*Inputs!$B$1+((Inputs!$G$5:$G$120&lt;&gt;"moeda")*(Inputs!$G$5:$G$120&lt;&gt;"acoes")))*INDEX(Inputs!$K$5:$AJ$120,0,MATCH(Y$2,Inputs!$K$4:$AJ$4,0)))+SUMPRODUCT((Inputs!$C$5:$C$120=$B15)*Inputs!$D$5:$D$120*(((Inputs!$G$5:$G$120="moeda")+(Inputs!$G$5:$G$120="acoes"))*Inputs!$B$1+((Inputs!$G$5:$G$120&lt;&gt;"moeda")*(Inputs!$G$5:$G$120&lt;&gt;"acoes")))*INDEX(Inputs!$K$5:$AJ$120,0,MATCH(Y$2,Inputs!$K$4:$AJ$4,0)))+SUMPRODUCT((Inputs!$E$5:$E$120=$B15)*Inputs!$F$5:$F$120*(((Inputs!$G$5:$G$120="moeda")+(Inputs!$G$5:$G$120="acoes"))*Inputs!$B$1+((Inputs!$G$5:$G$120&lt;&gt;"moeda")*(Inputs!$G$5:$G$120&lt;&gt;"acoes")))*INDEX(Inputs!$K$5:$AJ$120,0,MATCH(Y$2,Inputs!$K$4:$AJ$4,0)))))</f>
        <v>6790</v>
      </c>
      <c r="Z15" s="267">
        <f>IF(ISNA(MATCH(Z$2,Inputs!$K$4:$AJ$4,0)),NA(),IF(SUMPRODUCT((Inputs!$A$5:$A$120=$B15)*ISNUMBER(INDEX(Inputs!$K$5:$AJ$120,0,MATCH(Z$2,Inputs!$K$4:$AJ$4,0))))+SUMPRODUCT((Inputs!$C$5:$C$120=$B15)*ISNUMBER(INDEX(Inputs!$K$5:$AJ$120,0,MATCH(Z$2,Inputs!$K$4:$AJ$4,0))))+SUMPRODUCT((Inputs!$E$5:$E$120=$B15)*ISNUMBER(INDEX(Inputs!$K$5:$AJ$120,0,MATCH(Z$2,Inputs!$K$4:$AJ$4,0))))=0,NA(),SUMPRODUCT((Inputs!$A$5:$A$120=$B15)*Inputs!$B$5:$B$120*(((Inputs!$G$5:$G$120="moeda")+(Inputs!$G$5:$G$120="acoes"))*Inputs!$B$1+((Inputs!$G$5:$G$120&lt;&gt;"moeda")*(Inputs!$G$5:$G$120&lt;&gt;"acoes")))*INDEX(Inputs!$K$5:$AJ$120,0,MATCH(Z$2,Inputs!$K$4:$AJ$4,0)))+SUMPRODUCT((Inputs!$C$5:$C$120=$B15)*Inputs!$D$5:$D$120*(((Inputs!$G$5:$G$120="moeda")+(Inputs!$G$5:$G$120="acoes"))*Inputs!$B$1+((Inputs!$G$5:$G$120&lt;&gt;"moeda")*(Inputs!$G$5:$G$120&lt;&gt;"acoes")))*INDEX(Inputs!$K$5:$AJ$120,0,MATCH(Z$2,Inputs!$K$4:$AJ$4,0)))+SUMPRODUCT((Inputs!$E$5:$E$120=$B15)*Inputs!$F$5:$F$120*(((Inputs!$G$5:$G$120="moeda")+(Inputs!$G$5:$G$120="acoes"))*Inputs!$B$1+((Inputs!$G$5:$G$120&lt;&gt;"moeda")*(Inputs!$G$5:$G$120&lt;&gt;"acoes")))*INDEX(Inputs!$K$5:$AJ$120,0,MATCH(Z$2,Inputs!$K$4:$AJ$4,0)))))</f>
        <v>1315</v>
      </c>
      <c r="AA15" s="267">
        <f>IF(ISNA(MATCH(AA$2,Inputs!$K$4:$AJ$4,0)),NA(),IF(SUMPRODUCT((Inputs!$A$5:$A$120=$B15)*ISNUMBER(INDEX(Inputs!$K$5:$AJ$120,0,MATCH(AA$2,Inputs!$K$4:$AJ$4,0))))+SUMPRODUCT((Inputs!$C$5:$C$120=$B15)*ISNUMBER(INDEX(Inputs!$K$5:$AJ$120,0,MATCH(AA$2,Inputs!$K$4:$AJ$4,0))))+SUMPRODUCT((Inputs!$E$5:$E$120=$B15)*ISNUMBER(INDEX(Inputs!$K$5:$AJ$120,0,MATCH(AA$2,Inputs!$K$4:$AJ$4,0))))=0,NA(),SUMPRODUCT((Inputs!$A$5:$A$120=$B15)*Inputs!$B$5:$B$120*(((Inputs!$G$5:$G$120="moeda")+(Inputs!$G$5:$G$120="acoes"))*Inputs!$B$1+((Inputs!$G$5:$G$120&lt;&gt;"moeda")*(Inputs!$G$5:$G$120&lt;&gt;"acoes")))*INDEX(Inputs!$K$5:$AJ$120,0,MATCH(AA$2,Inputs!$K$4:$AJ$4,0)))+SUMPRODUCT((Inputs!$C$5:$C$120=$B15)*Inputs!$D$5:$D$120*(((Inputs!$G$5:$G$120="moeda")+(Inputs!$G$5:$G$120="acoes"))*Inputs!$B$1+((Inputs!$G$5:$G$120&lt;&gt;"moeda")*(Inputs!$G$5:$G$120&lt;&gt;"acoes")))*INDEX(Inputs!$K$5:$AJ$120,0,MATCH(AA$2,Inputs!$K$4:$AJ$4,0)))+SUMPRODUCT((Inputs!$E$5:$E$120=$B15)*Inputs!$F$5:$F$120*(((Inputs!$G$5:$G$120="moeda")+(Inputs!$G$5:$G$120="acoes"))*Inputs!$B$1+((Inputs!$G$5:$G$120&lt;&gt;"moeda")*(Inputs!$G$5:$G$120&lt;&gt;"acoes")))*INDEX(Inputs!$K$5:$AJ$120,0,MATCH(AA$2,Inputs!$K$4:$AJ$4,0)))))</f>
        <v>1135</v>
      </c>
      <c r="AB15" s="268">
        <f>AA15</f>
        <v>1135</v>
      </c>
      <c r="AC15" s="267">
        <f>IF(ISNA(MATCH(AC$2,Inputs!$K$4:$AJ$4,0)),NA(),IF(SUMPRODUCT((Inputs!$A$5:$A$120=$B15)*ISNUMBER(INDEX(Inputs!$K$5:$AJ$120,0,MATCH(AC$2,Inputs!$K$4:$AJ$4,0))))+SUMPRODUCT((Inputs!$C$5:$C$120=$B15)*ISNUMBER(INDEX(Inputs!$K$5:$AJ$120,0,MATCH(AC$2,Inputs!$K$4:$AJ$4,0))))+SUMPRODUCT((Inputs!$E$5:$E$120=$B15)*ISNUMBER(INDEX(Inputs!$K$5:$AJ$120,0,MATCH(AC$2,Inputs!$K$4:$AJ$4,0))))=0,NA(),SUMPRODUCT((Inputs!$A$5:$A$120=$B15)*Inputs!$B$5:$B$120*(((Inputs!$G$5:$G$120="moeda")+(Inputs!$G$5:$G$120="acoes"))*Inputs!$B$1+((Inputs!$G$5:$G$120&lt;&gt;"moeda")*(Inputs!$G$5:$G$120&lt;&gt;"acoes")))*INDEX(Inputs!$K$5:$AJ$120,0,MATCH(AC$2,Inputs!$K$4:$AJ$4,0)))+SUMPRODUCT((Inputs!$C$5:$C$120=$B15)*Inputs!$D$5:$D$120*(((Inputs!$G$5:$G$120="moeda")+(Inputs!$G$5:$G$120="acoes"))*Inputs!$B$1+((Inputs!$G$5:$G$120&lt;&gt;"moeda")*(Inputs!$G$5:$G$120&lt;&gt;"acoes")))*INDEX(Inputs!$K$5:$AJ$120,0,MATCH(AC$2,Inputs!$K$4:$AJ$4,0)))+SUMPRODUCT((Inputs!$E$5:$E$120=$B15)*Inputs!$F$5:$F$120*(((Inputs!$G$5:$G$120="moeda")+(Inputs!$G$5:$G$120="acoes"))*Inputs!$B$1+((Inputs!$G$5:$G$120&lt;&gt;"moeda")*(Inputs!$G$5:$G$120&lt;&gt;"acoes")))*INDEX(Inputs!$K$5:$AJ$120,0,MATCH(AC$2,Inputs!$K$4:$AJ$4,0)))))</f>
        <v>839</v>
      </c>
      <c r="AD15" s="267">
        <f>IF(ISNA(MATCH(AD$2,Inputs!$K$4:$AJ$4,0)),NA(),IF(SUMPRODUCT((Inputs!$A$5:$A$120=$B15)*ISNUMBER(INDEX(Inputs!$K$5:$AJ$120,0,MATCH(AD$2,Inputs!$K$4:$AJ$4,0))))+SUMPRODUCT((Inputs!$C$5:$C$120=$B15)*ISNUMBER(INDEX(Inputs!$K$5:$AJ$120,0,MATCH(AD$2,Inputs!$K$4:$AJ$4,0))))+SUMPRODUCT((Inputs!$E$5:$E$120=$B15)*ISNUMBER(INDEX(Inputs!$K$5:$AJ$120,0,MATCH(AD$2,Inputs!$K$4:$AJ$4,0))))=0,NA(),SUMPRODUCT((Inputs!$A$5:$A$120=$B15)*Inputs!$B$5:$B$120*(((Inputs!$G$5:$G$120="moeda")+(Inputs!$G$5:$G$120="acoes"))*Inputs!$B$1+((Inputs!$G$5:$G$120&lt;&gt;"moeda")*(Inputs!$G$5:$G$120&lt;&gt;"acoes")))*INDEX(Inputs!$K$5:$AJ$120,0,MATCH(AD$2,Inputs!$K$4:$AJ$4,0)))+SUMPRODUCT((Inputs!$C$5:$C$120=$B15)*Inputs!$D$5:$D$120*(((Inputs!$G$5:$G$120="moeda")+(Inputs!$G$5:$G$120="acoes"))*Inputs!$B$1+((Inputs!$G$5:$G$120&lt;&gt;"moeda")*(Inputs!$G$5:$G$120&lt;&gt;"acoes")))*INDEX(Inputs!$K$5:$AJ$120,0,MATCH(AD$2,Inputs!$K$4:$AJ$4,0)))+SUMPRODUCT((Inputs!$E$5:$E$120=$B15)*Inputs!$F$5:$F$120*(((Inputs!$G$5:$G$120="moeda")+(Inputs!$G$5:$G$120="acoes"))*Inputs!$B$1+((Inputs!$G$5:$G$120&lt;&gt;"moeda")*(Inputs!$G$5:$G$120&lt;&gt;"acoes")))*INDEX(Inputs!$K$5:$AJ$120,0,MATCH(AD$2,Inputs!$K$4:$AJ$4,0)))))</f>
        <v>593</v>
      </c>
      <c r="AE15" s="267" t="e">
        <f>IF(ISNA(MATCH(AE$2,Inputs!$K$4:$AJ$4,0)),NA(),IF(SUMPRODUCT((Inputs!$A$5:$A$120=$B15)*ISNUMBER(INDEX(Inputs!$K$5:$AJ$120,0,MATCH(AE$2,Inputs!$K$4:$AJ$4,0))))+SUMPRODUCT((Inputs!$C$5:$C$120=$B15)*ISNUMBER(INDEX(Inputs!$K$5:$AJ$120,0,MATCH(AE$2,Inputs!$K$4:$AJ$4,0))))+SUMPRODUCT((Inputs!$E$5:$E$120=$B15)*ISNUMBER(INDEX(Inputs!$K$5:$AJ$120,0,MATCH(AE$2,Inputs!$K$4:$AJ$4,0))))=0,NA(),SUMPRODUCT((Inputs!$A$5:$A$120=$B15)*Inputs!$B$5:$B$120*(((Inputs!$G$5:$G$120="moeda")+(Inputs!$G$5:$G$120="acoes"))*Inputs!$B$1+((Inputs!$G$5:$G$120&lt;&gt;"moeda")*(Inputs!$G$5:$G$120&lt;&gt;"acoes")))*INDEX(Inputs!$K$5:$AJ$120,0,MATCH(AE$2,Inputs!$K$4:$AJ$4,0)))+SUMPRODUCT((Inputs!$C$5:$C$120=$B15)*Inputs!$D$5:$D$120*(((Inputs!$G$5:$G$120="moeda")+(Inputs!$G$5:$G$120="acoes"))*Inputs!$B$1+((Inputs!$G$5:$G$120&lt;&gt;"moeda")*(Inputs!$G$5:$G$120&lt;&gt;"acoes")))*INDEX(Inputs!$K$5:$AJ$120,0,MATCH(AE$2,Inputs!$K$4:$AJ$4,0)))+SUMPRODUCT((Inputs!$E$5:$E$120=$B15)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5" s="267" t="e">
        <f>IF(ISNA(MATCH(AF$2,Inputs!$K$4:$AJ$4,0)),NA(),IF(SUMPRODUCT((Inputs!$A$5:$A$120=$B15)*ISNUMBER(INDEX(Inputs!$K$5:$AJ$120,0,MATCH(AF$2,Inputs!$K$4:$AJ$4,0))))+SUMPRODUCT((Inputs!$C$5:$C$120=$B15)*ISNUMBER(INDEX(Inputs!$K$5:$AJ$120,0,MATCH(AF$2,Inputs!$K$4:$AJ$4,0))))+SUMPRODUCT((Inputs!$E$5:$E$120=$B15)*ISNUMBER(INDEX(Inputs!$K$5:$AJ$120,0,MATCH(AF$2,Inputs!$K$4:$AJ$4,0))))=0,NA(),SUMPRODUCT((Inputs!$A$5:$A$120=$B15)*Inputs!$B$5:$B$120*(((Inputs!$G$5:$G$120="moeda")+(Inputs!$G$5:$G$120="acoes"))*Inputs!$B$1+((Inputs!$G$5:$G$120&lt;&gt;"moeda")*(Inputs!$G$5:$G$120&lt;&gt;"acoes")))*INDEX(Inputs!$K$5:$AJ$120,0,MATCH(AF$2,Inputs!$K$4:$AJ$4,0)))+SUMPRODUCT((Inputs!$C$5:$C$120=$B15)*Inputs!$D$5:$D$120*(((Inputs!$G$5:$G$120="moeda")+(Inputs!$G$5:$G$120="acoes"))*Inputs!$B$1+((Inputs!$G$5:$G$120&lt;&gt;"moeda")*(Inputs!$G$5:$G$120&lt;&gt;"acoes")))*INDEX(Inputs!$K$5:$AJ$120,0,MATCH(AF$2,Inputs!$K$4:$AJ$4,0)))+SUMPRODUCT((Inputs!$E$5:$E$120=$B15)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5" s="268" t="e">
        <f>AF15</f>
        <v>#N/A</v>
      </c>
      <c r="AH15" s="267">
        <f>IF(ISNA(MATCH(AH$2,Inputs!$K$4:$AJ$4,0)),NA(),IF(SUMPRODUCT((Inputs!$A$5:$A$120=$B15)*ISNUMBER(INDEX(Inputs!$K$5:$AJ$120,0,MATCH(AH$2,Inputs!$K$4:$AJ$4,0))))+SUMPRODUCT((Inputs!$C$5:$C$120=$B15)*ISNUMBER(INDEX(Inputs!$K$5:$AJ$120,0,MATCH(AH$2,Inputs!$K$4:$AJ$4,0))))+SUMPRODUCT((Inputs!$E$5:$E$120=$B15)*ISNUMBER(INDEX(Inputs!$K$5:$AJ$120,0,MATCH(AH$2,Inputs!$K$4:$AJ$4,0))))=0,NA(),SUMPRODUCT((Inputs!$A$5:$A$120=$B15)*Inputs!$B$5:$B$120*(((Inputs!$G$5:$G$120="moeda")+(Inputs!$G$5:$G$120="acoes"))*Inputs!$B$1+((Inputs!$G$5:$G$120&lt;&gt;"moeda")*(Inputs!$G$5:$G$120&lt;&gt;"acoes")))*INDEX(Inputs!$K$5:$AJ$120,0,MATCH(AH$2,Inputs!$K$4:$AJ$4,0)))+SUMPRODUCT((Inputs!$C$5:$C$120=$B15)*Inputs!$D$5:$D$120*(((Inputs!$G$5:$G$120="moeda")+(Inputs!$G$5:$G$120="acoes"))*Inputs!$B$1+((Inputs!$G$5:$G$120&lt;&gt;"moeda")*(Inputs!$G$5:$G$120&lt;&gt;"acoes")))*INDEX(Inputs!$K$5:$AJ$120,0,MATCH(AH$2,Inputs!$K$4:$AJ$4,0)))+SUMPRODUCT((Inputs!$E$5:$E$120=$B15)*Inputs!$F$5:$F$120*(((Inputs!$G$5:$G$120="moeda")+(Inputs!$G$5:$G$120="acoes"))*Inputs!$B$1+((Inputs!$G$5:$G$120&lt;&gt;"moeda")*(Inputs!$G$5:$G$120&lt;&gt;"acoes")))*INDEX(Inputs!$K$5:$AJ$120,0,MATCH(AH$2,Inputs!$K$4:$AJ$4,0)))))</f>
        <v>193</v>
      </c>
      <c r="AI15" s="267">
        <f>IF(ISNA(MATCH(AI$2,Inputs!$K$4:$AJ$4,0)),NA(),IF(SUMPRODUCT((Inputs!$A$5:$A$120=$B15)*ISNUMBER(INDEX(Inputs!$K$5:$AJ$120,0,MATCH(AI$2,Inputs!$K$4:$AJ$4,0))))+SUMPRODUCT((Inputs!$C$5:$C$120=$B15)*ISNUMBER(INDEX(Inputs!$K$5:$AJ$120,0,MATCH(AI$2,Inputs!$K$4:$AJ$4,0))))+SUMPRODUCT((Inputs!$E$5:$E$120=$B15)*ISNUMBER(INDEX(Inputs!$K$5:$AJ$120,0,MATCH(AI$2,Inputs!$K$4:$AJ$4,0))))=0,NA(),SUMPRODUCT((Inputs!$A$5:$A$120=$B15)*Inputs!$B$5:$B$120*(((Inputs!$G$5:$G$120="moeda")+(Inputs!$G$5:$G$120="acoes"))*Inputs!$B$1+((Inputs!$G$5:$G$120&lt;&gt;"moeda")*(Inputs!$G$5:$G$120&lt;&gt;"acoes")))*INDEX(Inputs!$K$5:$AJ$120,0,MATCH(AI$2,Inputs!$K$4:$AJ$4,0)))+SUMPRODUCT((Inputs!$C$5:$C$120=$B15)*Inputs!$D$5:$D$120*(((Inputs!$G$5:$G$120="moeda")+(Inputs!$G$5:$G$120="acoes"))*Inputs!$B$1+((Inputs!$G$5:$G$120&lt;&gt;"moeda")*(Inputs!$G$5:$G$120&lt;&gt;"acoes")))*INDEX(Inputs!$K$5:$AJ$120,0,MATCH(AI$2,Inputs!$K$4:$AJ$4,0)))+SUMPRODUCT((Inputs!$E$5:$E$120=$B15)*Inputs!$F$5:$F$120*(((Inputs!$G$5:$G$120="moeda")+(Inputs!$G$5:$G$120="acoes"))*Inputs!$B$1+((Inputs!$G$5:$G$120&lt;&gt;"moeda")*(Inputs!$G$5:$G$120&lt;&gt;"acoes")))*INDEX(Inputs!$K$5:$AJ$120,0,MATCH(AI$2,Inputs!$K$4:$AJ$4,0)))))</f>
        <v>277</v>
      </c>
      <c r="AJ15" s="267">
        <f>IF(ISNA(MATCH(AJ$2,Inputs!$K$4:$AJ$4,0)),NA(),IF(SUMPRODUCT((Inputs!$A$5:$A$120=$B15)*ISNUMBER(INDEX(Inputs!$K$5:$AJ$120,0,MATCH(AJ$2,Inputs!$K$4:$AJ$4,0))))+SUMPRODUCT((Inputs!$C$5:$C$120=$B15)*ISNUMBER(INDEX(Inputs!$K$5:$AJ$120,0,MATCH(AJ$2,Inputs!$K$4:$AJ$4,0))))+SUMPRODUCT((Inputs!$E$5:$E$120=$B15)*ISNUMBER(INDEX(Inputs!$K$5:$AJ$120,0,MATCH(AJ$2,Inputs!$K$4:$AJ$4,0))))=0,NA(),SUMPRODUCT((Inputs!$A$5:$A$120=$B15)*Inputs!$B$5:$B$120*(((Inputs!$G$5:$G$120="moeda")+(Inputs!$G$5:$G$120="acoes"))*Inputs!$B$1+((Inputs!$G$5:$G$120&lt;&gt;"moeda")*(Inputs!$G$5:$G$120&lt;&gt;"acoes")))*INDEX(Inputs!$K$5:$AJ$120,0,MATCH(AJ$2,Inputs!$K$4:$AJ$4,0)))+SUMPRODUCT((Inputs!$C$5:$C$120=$B15)*Inputs!$D$5:$D$120*(((Inputs!$G$5:$G$120="moeda")+(Inputs!$G$5:$G$120="acoes"))*Inputs!$B$1+((Inputs!$G$5:$G$120&lt;&gt;"moeda")*(Inputs!$G$5:$G$120&lt;&gt;"acoes")))*INDEX(Inputs!$K$5:$AJ$120,0,MATCH(AJ$2,Inputs!$K$4:$AJ$4,0)))+SUMPRODUCT((Inputs!$E$5:$E$120=$B15)*Inputs!$F$5:$F$120*(((Inputs!$G$5:$G$120="moeda")+(Inputs!$G$5:$G$120="acoes"))*Inputs!$B$1+((Inputs!$G$5:$G$120&lt;&gt;"moeda")*(Inputs!$G$5:$G$120&lt;&gt;"acoes")))*INDEX(Inputs!$K$5:$AJ$120,0,MATCH(AJ$2,Inputs!$K$4:$AJ$4,0)))))</f>
        <v>291</v>
      </c>
      <c r="AK15" s="267">
        <f>IF(ISNA(MATCH(AK$2,Inputs!$K$4:$AJ$4,0)),NA(),IF(SUMPRODUCT((Inputs!$A$5:$A$120=$B15)*ISNUMBER(INDEX(Inputs!$K$5:$AJ$120,0,MATCH(AK$2,Inputs!$K$4:$AJ$4,0))))+SUMPRODUCT((Inputs!$C$5:$C$120=$B15)*ISNUMBER(INDEX(Inputs!$K$5:$AJ$120,0,MATCH(AK$2,Inputs!$K$4:$AJ$4,0))))+SUMPRODUCT((Inputs!$E$5:$E$120=$B15)*ISNUMBER(INDEX(Inputs!$K$5:$AJ$120,0,MATCH(AK$2,Inputs!$K$4:$AJ$4,0))))=0,NA(),SUMPRODUCT((Inputs!$A$5:$A$120=$B15)*Inputs!$B$5:$B$120*(((Inputs!$G$5:$G$120="moeda")+(Inputs!$G$5:$G$120="acoes"))*Inputs!$B$1+((Inputs!$G$5:$G$120&lt;&gt;"moeda")*(Inputs!$G$5:$G$120&lt;&gt;"acoes")))*INDEX(Inputs!$K$5:$AJ$120,0,MATCH(AK$2,Inputs!$K$4:$AJ$4,0)))+SUMPRODUCT((Inputs!$C$5:$C$120=$B15)*Inputs!$D$5:$D$120*(((Inputs!$G$5:$G$120="moeda")+(Inputs!$G$5:$G$120="acoes"))*Inputs!$B$1+((Inputs!$G$5:$G$120&lt;&gt;"moeda")*(Inputs!$G$5:$G$120&lt;&gt;"acoes")))*INDEX(Inputs!$K$5:$AJ$120,0,MATCH(AK$2,Inputs!$K$4:$AJ$4,0)))+SUMPRODUCT((Inputs!$E$5:$E$120=$B15)*Inputs!$F$5:$F$120*(((Inputs!$G$5:$G$120="moeda")+(Inputs!$G$5:$G$120="acoes"))*Inputs!$B$1+((Inputs!$G$5:$G$120&lt;&gt;"moeda")*(Inputs!$G$5:$G$120&lt;&gt;"acoes")))*INDEX(Inputs!$K$5:$AJ$120,0,MATCH(AK$2,Inputs!$K$4:$AJ$4,0)))))</f>
        <v>352</v>
      </c>
      <c r="AL15" s="268">
        <f>AK15</f>
        <v>352</v>
      </c>
    </row>
    <row r="16" ht="12.75" customHeight="1" s="255">
      <c r="B16" s="265" t="n">
        <v>12</v>
      </c>
      <c r="C16" s="270" t="inlineStr">
        <is>
          <t>Accounts receivable</t>
        </is>
      </c>
      <c r="D16" s="267">
        <f>IF(ISNA(MATCH(D$2,Inputs!$K$4:$AJ$4,0)),NA(),IF(SUMPRODUCT((Inputs!$A$5:$A$120=$B16)*ISNUMBER(INDEX(Inputs!$K$5:$AJ$120,0,MATCH(D$2,Inputs!$K$4:$AJ$4,0))))+SUMPRODUCT((Inputs!$C$5:$C$120=$B16)*ISNUMBER(INDEX(Inputs!$K$5:$AJ$120,0,MATCH(D$2,Inputs!$K$4:$AJ$4,0))))+SUMPRODUCT((Inputs!$E$5:$E$120=$B16)*ISNUMBER(INDEX(Inputs!$K$5:$AJ$120,0,MATCH(D$2,Inputs!$K$4:$AJ$4,0))))=0,NA(),SUMPRODUCT((Inputs!$A$5:$A$120=$B16)*Inputs!$B$5:$B$120*(((Inputs!$G$5:$G$120="moeda")+(Inputs!$G$5:$G$120="acoes"))*Inputs!$B$1+((Inputs!$G$5:$G$120&lt;&gt;"moeda")*(Inputs!$G$5:$G$120&lt;&gt;"acoes")))*INDEX(Inputs!$K$5:$AJ$120,0,MATCH(D$2,Inputs!$K$4:$AJ$4,0)))+SUMPRODUCT((Inputs!$C$5:$C$120=$B16)*Inputs!$D$5:$D$120*(((Inputs!$G$5:$G$120="moeda")+(Inputs!$G$5:$G$120="acoes"))*Inputs!$B$1+((Inputs!$G$5:$G$120&lt;&gt;"moeda")*(Inputs!$G$5:$G$120&lt;&gt;"acoes")))*INDEX(Inputs!$K$5:$AJ$120,0,MATCH(D$2,Inputs!$K$4:$AJ$4,0)))+SUMPRODUCT((Inputs!$E$5:$E$120=$B16)*Inputs!$F$5:$F$120*(((Inputs!$G$5:$G$120="moeda")+(Inputs!$G$5:$G$120="acoes"))*Inputs!$B$1+((Inputs!$G$5:$G$120&lt;&gt;"moeda")*(Inputs!$G$5:$G$120&lt;&gt;"acoes")))*INDEX(Inputs!$K$5:$AJ$120,0,MATCH(D$2,Inputs!$K$4:$AJ$4,0)))))</f>
        <v>2253</v>
      </c>
      <c r="E16" s="267">
        <f>IF(ISNA(MATCH(E$2,Inputs!$K$4:$AJ$4,0)),NA(),IF(SUMPRODUCT((Inputs!$A$5:$A$120=$B16)*ISNUMBER(INDEX(Inputs!$K$5:$AJ$120,0,MATCH(E$2,Inputs!$K$4:$AJ$4,0))))+SUMPRODUCT((Inputs!$C$5:$C$120=$B16)*ISNUMBER(INDEX(Inputs!$K$5:$AJ$120,0,MATCH(E$2,Inputs!$K$4:$AJ$4,0))))+SUMPRODUCT((Inputs!$E$5:$E$120=$B16)*ISNUMBER(INDEX(Inputs!$K$5:$AJ$120,0,MATCH(E$2,Inputs!$K$4:$AJ$4,0))))=0,NA(),SUMPRODUCT((Inputs!$A$5:$A$120=$B16)*Inputs!$B$5:$B$120*(((Inputs!$G$5:$G$120="moeda")+(Inputs!$G$5:$G$120="acoes"))*Inputs!$B$1+((Inputs!$G$5:$G$120&lt;&gt;"moeda")*(Inputs!$G$5:$G$120&lt;&gt;"acoes")))*INDEX(Inputs!$K$5:$AJ$120,0,MATCH(E$2,Inputs!$K$4:$AJ$4,0)))+SUMPRODUCT((Inputs!$C$5:$C$120=$B16)*Inputs!$D$5:$D$120*(((Inputs!$G$5:$G$120="moeda")+(Inputs!$G$5:$G$120="acoes"))*Inputs!$B$1+((Inputs!$G$5:$G$120&lt;&gt;"moeda")*(Inputs!$G$5:$G$120&lt;&gt;"acoes")))*INDEX(Inputs!$K$5:$AJ$120,0,MATCH(E$2,Inputs!$K$4:$AJ$4,0)))+SUMPRODUCT((Inputs!$E$5:$E$120=$B16)*Inputs!$F$5:$F$120*(((Inputs!$G$5:$G$120="moeda")+(Inputs!$G$5:$G$120="acoes"))*Inputs!$B$1+((Inputs!$G$5:$G$120&lt;&gt;"moeda")*(Inputs!$G$5:$G$120&lt;&gt;"acoes")))*INDEX(Inputs!$K$5:$AJ$120,0,MATCH(E$2,Inputs!$K$4:$AJ$4,0)))))</f>
        <v>2526</v>
      </c>
      <c r="F16" s="267">
        <f>IF(ISNA(MATCH(F$2,Inputs!$K$4:$AJ$4,0)),NA(),IF(SUMPRODUCT((Inputs!$A$5:$A$120=$B16)*ISNUMBER(INDEX(Inputs!$K$5:$AJ$120,0,MATCH(F$2,Inputs!$K$4:$AJ$4,0))))+SUMPRODUCT((Inputs!$C$5:$C$120=$B16)*ISNUMBER(INDEX(Inputs!$K$5:$AJ$120,0,MATCH(F$2,Inputs!$K$4:$AJ$4,0))))+SUMPRODUCT((Inputs!$E$5:$E$120=$B16)*ISNUMBER(INDEX(Inputs!$K$5:$AJ$120,0,MATCH(F$2,Inputs!$K$4:$AJ$4,0))))=0,NA(),SUMPRODUCT((Inputs!$A$5:$A$120=$B16)*Inputs!$B$5:$B$120*(((Inputs!$G$5:$G$120="moeda")+(Inputs!$G$5:$G$120="acoes"))*Inputs!$B$1+((Inputs!$G$5:$G$120&lt;&gt;"moeda")*(Inputs!$G$5:$G$120&lt;&gt;"acoes")))*INDEX(Inputs!$K$5:$AJ$120,0,MATCH(F$2,Inputs!$K$4:$AJ$4,0)))+SUMPRODUCT((Inputs!$C$5:$C$120=$B16)*Inputs!$D$5:$D$120*(((Inputs!$G$5:$G$120="moeda")+(Inputs!$G$5:$G$120="acoes"))*Inputs!$B$1+((Inputs!$G$5:$G$120&lt;&gt;"moeda")*(Inputs!$G$5:$G$120&lt;&gt;"acoes")))*INDEX(Inputs!$K$5:$AJ$120,0,MATCH(F$2,Inputs!$K$4:$AJ$4,0)))+SUMPRODUCT((Inputs!$E$5:$E$120=$B16)*Inputs!$F$5:$F$120*(((Inputs!$G$5:$G$120="moeda")+(Inputs!$G$5:$G$120="acoes"))*Inputs!$B$1+((Inputs!$G$5:$G$120&lt;&gt;"moeda")*(Inputs!$G$5:$G$120&lt;&gt;"acoes")))*INDEX(Inputs!$K$5:$AJ$120,0,MATCH(F$2,Inputs!$K$4:$AJ$4,0)))))</f>
        <v>2431</v>
      </c>
      <c r="G16" s="267">
        <f>IF(ISNA(MATCH(G$2,Inputs!$K$4:$AJ$4,0)),NA(),IF(SUMPRODUCT((Inputs!$A$5:$A$120=$B16)*ISNUMBER(INDEX(Inputs!$K$5:$AJ$120,0,MATCH(G$2,Inputs!$K$4:$AJ$4,0))))+SUMPRODUCT((Inputs!$C$5:$C$120=$B16)*ISNUMBER(INDEX(Inputs!$K$5:$AJ$120,0,MATCH(G$2,Inputs!$K$4:$AJ$4,0))))+SUMPRODUCT((Inputs!$E$5:$E$120=$B16)*ISNUMBER(INDEX(Inputs!$K$5:$AJ$120,0,MATCH(G$2,Inputs!$K$4:$AJ$4,0))))=0,NA(),SUMPRODUCT((Inputs!$A$5:$A$120=$B16)*Inputs!$B$5:$B$120*(((Inputs!$G$5:$G$120="moeda")+(Inputs!$G$5:$G$120="acoes"))*Inputs!$B$1+((Inputs!$G$5:$G$120&lt;&gt;"moeda")*(Inputs!$G$5:$G$120&lt;&gt;"acoes")))*INDEX(Inputs!$K$5:$AJ$120,0,MATCH(G$2,Inputs!$K$4:$AJ$4,0)))+SUMPRODUCT((Inputs!$C$5:$C$120=$B16)*Inputs!$D$5:$D$120*(((Inputs!$G$5:$G$120="moeda")+(Inputs!$G$5:$G$120="acoes"))*Inputs!$B$1+((Inputs!$G$5:$G$120&lt;&gt;"moeda")*(Inputs!$G$5:$G$120&lt;&gt;"acoes")))*INDEX(Inputs!$K$5:$AJ$120,0,MATCH(G$2,Inputs!$K$4:$AJ$4,0)))+SUMPRODUCT((Inputs!$E$5:$E$120=$B16)*Inputs!$F$5:$F$120*(((Inputs!$G$5:$G$120="moeda")+(Inputs!$G$5:$G$120="acoes"))*Inputs!$B$1+((Inputs!$G$5:$G$120&lt;&gt;"moeda")*(Inputs!$G$5:$G$120&lt;&gt;"acoes")))*INDEX(Inputs!$K$5:$AJ$120,0,MATCH(G$2,Inputs!$K$4:$AJ$4,0)))))</f>
        <v>2112</v>
      </c>
      <c r="H16" s="268">
        <f>G16</f>
        <v>2112</v>
      </c>
      <c r="I16" s="267">
        <f>IF(ISNA(MATCH(I$2,Inputs!$K$4:$AJ$4,0)),NA(),IF(SUMPRODUCT((Inputs!$A$5:$A$120=$B16)*ISNUMBER(INDEX(Inputs!$K$5:$AJ$120,0,MATCH(I$2,Inputs!$K$4:$AJ$4,0))))+SUMPRODUCT((Inputs!$C$5:$C$120=$B16)*ISNUMBER(INDEX(Inputs!$K$5:$AJ$120,0,MATCH(I$2,Inputs!$K$4:$AJ$4,0))))+SUMPRODUCT((Inputs!$E$5:$E$120=$B16)*ISNUMBER(INDEX(Inputs!$K$5:$AJ$120,0,MATCH(I$2,Inputs!$K$4:$AJ$4,0))))=0,NA(),SUMPRODUCT((Inputs!$A$5:$A$120=$B16)*Inputs!$B$5:$B$120*(((Inputs!$G$5:$G$120="moeda")+(Inputs!$G$5:$G$120="acoes"))*Inputs!$B$1+((Inputs!$G$5:$G$120&lt;&gt;"moeda")*(Inputs!$G$5:$G$120&lt;&gt;"acoes")))*INDEX(Inputs!$K$5:$AJ$120,0,MATCH(I$2,Inputs!$K$4:$AJ$4,0)))+SUMPRODUCT((Inputs!$C$5:$C$120=$B16)*Inputs!$D$5:$D$120*(((Inputs!$G$5:$G$120="moeda")+(Inputs!$G$5:$G$120="acoes"))*Inputs!$B$1+((Inputs!$G$5:$G$120&lt;&gt;"moeda")*(Inputs!$G$5:$G$120&lt;&gt;"acoes")))*INDEX(Inputs!$K$5:$AJ$120,0,MATCH(I$2,Inputs!$K$4:$AJ$4,0)))+SUMPRODUCT((Inputs!$E$5:$E$120=$B16)*Inputs!$F$5:$F$120*(((Inputs!$G$5:$G$120="moeda")+(Inputs!$G$5:$G$120="acoes"))*Inputs!$B$1+((Inputs!$G$5:$G$120&lt;&gt;"moeda")*(Inputs!$G$5:$G$120&lt;&gt;"acoes")))*INDEX(Inputs!$K$5:$AJ$120,0,MATCH(I$2,Inputs!$K$4:$AJ$4,0)))))</f>
        <v>2564</v>
      </c>
      <c r="J16" s="267">
        <f>IF(ISNA(MATCH(J$2,Inputs!$K$4:$AJ$4,0)),NA(),IF(SUMPRODUCT((Inputs!$A$5:$A$120=$B16)*ISNUMBER(INDEX(Inputs!$K$5:$AJ$120,0,MATCH(J$2,Inputs!$K$4:$AJ$4,0))))+SUMPRODUCT((Inputs!$C$5:$C$120=$B16)*ISNUMBER(INDEX(Inputs!$K$5:$AJ$120,0,MATCH(J$2,Inputs!$K$4:$AJ$4,0))))+SUMPRODUCT((Inputs!$E$5:$E$120=$B16)*ISNUMBER(INDEX(Inputs!$K$5:$AJ$120,0,MATCH(J$2,Inputs!$K$4:$AJ$4,0))))=0,NA(),SUMPRODUCT((Inputs!$A$5:$A$120=$B16)*Inputs!$B$5:$B$120*(((Inputs!$G$5:$G$120="moeda")+(Inputs!$G$5:$G$120="acoes"))*Inputs!$B$1+((Inputs!$G$5:$G$120&lt;&gt;"moeda")*(Inputs!$G$5:$G$120&lt;&gt;"acoes")))*INDEX(Inputs!$K$5:$AJ$120,0,MATCH(J$2,Inputs!$K$4:$AJ$4,0)))+SUMPRODUCT((Inputs!$C$5:$C$120=$B16)*Inputs!$D$5:$D$120*(((Inputs!$G$5:$G$120="moeda")+(Inputs!$G$5:$G$120="acoes"))*Inputs!$B$1+((Inputs!$G$5:$G$120&lt;&gt;"moeda")*(Inputs!$G$5:$G$120&lt;&gt;"acoes")))*INDEX(Inputs!$K$5:$AJ$120,0,MATCH(J$2,Inputs!$K$4:$AJ$4,0)))+SUMPRODUCT((Inputs!$E$5:$E$120=$B16)*Inputs!$F$5:$F$120*(((Inputs!$G$5:$G$120="moeda")+(Inputs!$G$5:$G$120="acoes"))*Inputs!$B$1+((Inputs!$G$5:$G$120&lt;&gt;"moeda")*(Inputs!$G$5:$G$120&lt;&gt;"acoes")))*INDEX(Inputs!$K$5:$AJ$120,0,MATCH(J$2,Inputs!$K$4:$AJ$4,0)))))</f>
        <v>2427</v>
      </c>
      <c r="K16" s="267">
        <f>IF(ISNA(MATCH(K$2,Inputs!$K$4:$AJ$4,0)),NA(),IF(SUMPRODUCT((Inputs!$A$5:$A$120=$B16)*ISNUMBER(INDEX(Inputs!$K$5:$AJ$120,0,MATCH(K$2,Inputs!$K$4:$AJ$4,0))))+SUMPRODUCT((Inputs!$C$5:$C$120=$B16)*ISNUMBER(INDEX(Inputs!$K$5:$AJ$120,0,MATCH(K$2,Inputs!$K$4:$AJ$4,0))))+SUMPRODUCT((Inputs!$E$5:$E$120=$B16)*ISNUMBER(INDEX(Inputs!$K$5:$AJ$120,0,MATCH(K$2,Inputs!$K$4:$AJ$4,0))))=0,NA(),SUMPRODUCT((Inputs!$A$5:$A$120=$B16)*Inputs!$B$5:$B$120*(((Inputs!$G$5:$G$120="moeda")+(Inputs!$G$5:$G$120="acoes"))*Inputs!$B$1+((Inputs!$G$5:$G$120&lt;&gt;"moeda")*(Inputs!$G$5:$G$120&lt;&gt;"acoes")))*INDEX(Inputs!$K$5:$AJ$120,0,MATCH(K$2,Inputs!$K$4:$AJ$4,0)))+SUMPRODUCT((Inputs!$C$5:$C$120=$B16)*Inputs!$D$5:$D$120*(((Inputs!$G$5:$G$120="moeda")+(Inputs!$G$5:$G$120="acoes"))*Inputs!$B$1+((Inputs!$G$5:$G$120&lt;&gt;"moeda")*(Inputs!$G$5:$G$120&lt;&gt;"acoes")))*INDEX(Inputs!$K$5:$AJ$120,0,MATCH(K$2,Inputs!$K$4:$AJ$4,0)))+SUMPRODUCT((Inputs!$E$5:$E$120=$B16)*Inputs!$F$5:$F$120*(((Inputs!$G$5:$G$120="moeda")+(Inputs!$G$5:$G$120="acoes"))*Inputs!$B$1+((Inputs!$G$5:$G$120&lt;&gt;"moeda")*(Inputs!$G$5:$G$120&lt;&gt;"acoes")))*INDEX(Inputs!$K$5:$AJ$120,0,MATCH(K$2,Inputs!$K$4:$AJ$4,0)))))</f>
        <v>2336</v>
      </c>
      <c r="L16" s="267">
        <f>IF(ISNA(MATCH(L$2,Inputs!$K$4:$AJ$4,0)),NA(),IF(SUMPRODUCT((Inputs!$A$5:$A$120=$B16)*ISNUMBER(INDEX(Inputs!$K$5:$AJ$120,0,MATCH(L$2,Inputs!$K$4:$AJ$4,0))))+SUMPRODUCT((Inputs!$C$5:$C$120=$B16)*ISNUMBER(INDEX(Inputs!$K$5:$AJ$120,0,MATCH(L$2,Inputs!$K$4:$AJ$4,0))))+SUMPRODUCT((Inputs!$E$5:$E$120=$B16)*ISNUMBER(INDEX(Inputs!$K$5:$AJ$120,0,MATCH(L$2,Inputs!$K$4:$AJ$4,0))))=0,NA(),SUMPRODUCT((Inputs!$A$5:$A$120=$B16)*Inputs!$B$5:$B$120*(((Inputs!$G$5:$G$120="moeda")+(Inputs!$G$5:$G$120="acoes"))*Inputs!$B$1+((Inputs!$G$5:$G$120&lt;&gt;"moeda")*(Inputs!$G$5:$G$120&lt;&gt;"acoes")))*INDEX(Inputs!$K$5:$AJ$120,0,MATCH(L$2,Inputs!$K$4:$AJ$4,0)))+SUMPRODUCT((Inputs!$C$5:$C$120=$B16)*Inputs!$D$5:$D$120*(((Inputs!$G$5:$G$120="moeda")+(Inputs!$G$5:$G$120="acoes"))*Inputs!$B$1+((Inputs!$G$5:$G$120&lt;&gt;"moeda")*(Inputs!$G$5:$G$120&lt;&gt;"acoes")))*INDEX(Inputs!$K$5:$AJ$120,0,MATCH(L$2,Inputs!$K$4:$AJ$4,0)))+SUMPRODUCT((Inputs!$E$5:$E$120=$B16)*Inputs!$F$5:$F$120*(((Inputs!$G$5:$G$120="moeda")+(Inputs!$G$5:$G$120="acoes"))*Inputs!$B$1+((Inputs!$G$5:$G$120&lt;&gt;"moeda")*(Inputs!$G$5:$G$120&lt;&gt;"acoes")))*INDEX(Inputs!$K$5:$AJ$120,0,MATCH(L$2,Inputs!$K$4:$AJ$4,0)))))</f>
        <v>2829</v>
      </c>
      <c r="M16" s="268">
        <f>L16</f>
        <v>2829</v>
      </c>
      <c r="N16" s="267">
        <f>IF(ISNA(MATCH(N$2,Inputs!$K$4:$AJ$4,0)),NA(),IF(SUMPRODUCT((Inputs!$A$5:$A$120=$B16)*ISNUMBER(INDEX(Inputs!$K$5:$AJ$120,0,MATCH(N$2,Inputs!$K$4:$AJ$4,0))))+SUMPRODUCT((Inputs!$C$5:$C$120=$B16)*ISNUMBER(INDEX(Inputs!$K$5:$AJ$120,0,MATCH(N$2,Inputs!$K$4:$AJ$4,0))))+SUMPRODUCT((Inputs!$E$5:$E$120=$B16)*ISNUMBER(INDEX(Inputs!$K$5:$AJ$120,0,MATCH(N$2,Inputs!$K$4:$AJ$4,0))))=0,NA(),SUMPRODUCT((Inputs!$A$5:$A$120=$B16)*Inputs!$B$5:$B$120*(((Inputs!$G$5:$G$120="moeda")+(Inputs!$G$5:$G$120="acoes"))*Inputs!$B$1+((Inputs!$G$5:$G$120&lt;&gt;"moeda")*(Inputs!$G$5:$G$120&lt;&gt;"acoes")))*INDEX(Inputs!$K$5:$AJ$120,0,MATCH(N$2,Inputs!$K$4:$AJ$4,0)))+SUMPRODUCT((Inputs!$C$5:$C$120=$B16)*Inputs!$D$5:$D$120*(((Inputs!$G$5:$G$120="moeda")+(Inputs!$G$5:$G$120="acoes"))*Inputs!$B$1+((Inputs!$G$5:$G$120&lt;&gt;"moeda")*(Inputs!$G$5:$G$120&lt;&gt;"acoes")))*INDEX(Inputs!$K$5:$AJ$120,0,MATCH(N$2,Inputs!$K$4:$AJ$4,0)))+SUMPRODUCT((Inputs!$E$5:$E$120=$B16)*Inputs!$F$5:$F$120*(((Inputs!$G$5:$G$120="moeda")+(Inputs!$G$5:$G$120="acoes"))*Inputs!$B$1+((Inputs!$G$5:$G$120&lt;&gt;"moeda")*(Inputs!$G$5:$G$120&lt;&gt;"acoes")))*INDEX(Inputs!$K$5:$AJ$120,0,MATCH(N$2,Inputs!$K$4:$AJ$4,0)))))</f>
        <v>2789</v>
      </c>
      <c r="O16" s="267">
        <f>IF(ISNA(MATCH(O$2,Inputs!$K$4:$AJ$4,0)),NA(),IF(SUMPRODUCT((Inputs!$A$5:$A$120=$B16)*ISNUMBER(INDEX(Inputs!$K$5:$AJ$120,0,MATCH(O$2,Inputs!$K$4:$AJ$4,0))))+SUMPRODUCT((Inputs!$C$5:$C$120=$B16)*ISNUMBER(INDEX(Inputs!$K$5:$AJ$120,0,MATCH(O$2,Inputs!$K$4:$AJ$4,0))))+SUMPRODUCT((Inputs!$E$5:$E$120=$B16)*ISNUMBER(INDEX(Inputs!$K$5:$AJ$120,0,MATCH(O$2,Inputs!$K$4:$AJ$4,0))))=0,NA(),SUMPRODUCT((Inputs!$A$5:$A$120=$B16)*Inputs!$B$5:$B$120*(((Inputs!$G$5:$G$120="moeda")+(Inputs!$G$5:$G$120="acoes"))*Inputs!$B$1+((Inputs!$G$5:$G$120&lt;&gt;"moeda")*(Inputs!$G$5:$G$120&lt;&gt;"acoes")))*INDEX(Inputs!$K$5:$AJ$120,0,MATCH(O$2,Inputs!$K$4:$AJ$4,0)))+SUMPRODUCT((Inputs!$C$5:$C$120=$B16)*Inputs!$D$5:$D$120*(((Inputs!$G$5:$G$120="moeda")+(Inputs!$G$5:$G$120="acoes"))*Inputs!$B$1+((Inputs!$G$5:$G$120&lt;&gt;"moeda")*(Inputs!$G$5:$G$120&lt;&gt;"acoes")))*INDEX(Inputs!$K$5:$AJ$120,0,MATCH(O$2,Inputs!$K$4:$AJ$4,0)))+SUMPRODUCT((Inputs!$E$5:$E$120=$B16)*Inputs!$F$5:$F$120*(((Inputs!$G$5:$G$120="moeda")+(Inputs!$G$5:$G$120="acoes"))*Inputs!$B$1+((Inputs!$G$5:$G$120&lt;&gt;"moeda")*(Inputs!$G$5:$G$120&lt;&gt;"acoes")))*INDEX(Inputs!$K$5:$AJ$120,0,MATCH(O$2,Inputs!$K$4:$AJ$4,0)))))</f>
        <v>2599</v>
      </c>
      <c r="P16" s="267">
        <f>IF(ISNA(MATCH(P$2,Inputs!$K$4:$AJ$4,0)),NA(),IF(SUMPRODUCT((Inputs!$A$5:$A$120=$B16)*ISNUMBER(INDEX(Inputs!$K$5:$AJ$120,0,MATCH(P$2,Inputs!$K$4:$AJ$4,0))))+SUMPRODUCT((Inputs!$C$5:$C$120=$B16)*ISNUMBER(INDEX(Inputs!$K$5:$AJ$120,0,MATCH(P$2,Inputs!$K$4:$AJ$4,0))))+SUMPRODUCT((Inputs!$E$5:$E$120=$B16)*ISNUMBER(INDEX(Inputs!$K$5:$AJ$120,0,MATCH(P$2,Inputs!$K$4:$AJ$4,0))))=0,NA(),SUMPRODUCT((Inputs!$A$5:$A$120=$B16)*Inputs!$B$5:$B$120*(((Inputs!$G$5:$G$120="moeda")+(Inputs!$G$5:$G$120="acoes"))*Inputs!$B$1+((Inputs!$G$5:$G$120&lt;&gt;"moeda")*(Inputs!$G$5:$G$120&lt;&gt;"acoes")))*INDEX(Inputs!$K$5:$AJ$120,0,MATCH(P$2,Inputs!$K$4:$AJ$4,0)))+SUMPRODUCT((Inputs!$C$5:$C$120=$B16)*Inputs!$D$5:$D$120*(((Inputs!$G$5:$G$120="moeda")+(Inputs!$G$5:$G$120="acoes"))*Inputs!$B$1+((Inputs!$G$5:$G$120&lt;&gt;"moeda")*(Inputs!$G$5:$G$120&lt;&gt;"acoes")))*INDEX(Inputs!$K$5:$AJ$120,0,MATCH(P$2,Inputs!$K$4:$AJ$4,0)))+SUMPRODUCT((Inputs!$E$5:$E$120=$B16)*Inputs!$F$5:$F$120*(((Inputs!$G$5:$G$120="moeda")+(Inputs!$G$5:$G$120="acoes"))*Inputs!$B$1+((Inputs!$G$5:$G$120&lt;&gt;"moeda")*(Inputs!$G$5:$G$120&lt;&gt;"acoes")))*INDEX(Inputs!$K$5:$AJ$120,0,MATCH(P$2,Inputs!$K$4:$AJ$4,0)))))</f>
        <v>2509</v>
      </c>
      <c r="Q16" s="267">
        <f>IF(ISNA(MATCH(Q$2,Inputs!$K$4:$AJ$4,0)),NA(),IF(SUMPRODUCT((Inputs!$A$5:$A$120=$B16)*ISNUMBER(INDEX(Inputs!$K$5:$AJ$120,0,MATCH(Q$2,Inputs!$K$4:$AJ$4,0))))+SUMPRODUCT((Inputs!$C$5:$C$120=$B16)*ISNUMBER(INDEX(Inputs!$K$5:$AJ$120,0,MATCH(Q$2,Inputs!$K$4:$AJ$4,0))))+SUMPRODUCT((Inputs!$E$5:$E$120=$B16)*ISNUMBER(INDEX(Inputs!$K$5:$AJ$120,0,MATCH(Q$2,Inputs!$K$4:$AJ$4,0))))=0,NA(),SUMPRODUCT((Inputs!$A$5:$A$120=$B16)*Inputs!$B$5:$B$120*(((Inputs!$G$5:$G$120="moeda")+(Inputs!$G$5:$G$120="acoes"))*Inputs!$B$1+((Inputs!$G$5:$G$120&lt;&gt;"moeda")*(Inputs!$G$5:$G$120&lt;&gt;"acoes")))*INDEX(Inputs!$K$5:$AJ$120,0,MATCH(Q$2,Inputs!$K$4:$AJ$4,0)))+SUMPRODUCT((Inputs!$C$5:$C$120=$B16)*Inputs!$D$5:$D$120*(((Inputs!$G$5:$G$120="moeda")+(Inputs!$G$5:$G$120="acoes"))*Inputs!$B$1+((Inputs!$G$5:$G$120&lt;&gt;"moeda")*(Inputs!$G$5:$G$120&lt;&gt;"acoes")))*INDEX(Inputs!$K$5:$AJ$120,0,MATCH(Q$2,Inputs!$K$4:$AJ$4,0)))+SUMPRODUCT((Inputs!$E$5:$E$120=$B16)*Inputs!$F$5:$F$120*(((Inputs!$G$5:$G$120="moeda")+(Inputs!$G$5:$G$120="acoes"))*Inputs!$B$1+((Inputs!$G$5:$G$120&lt;&gt;"moeda")*(Inputs!$G$5:$G$120&lt;&gt;"acoes")))*INDEX(Inputs!$K$5:$AJ$120,0,MATCH(Q$2,Inputs!$K$4:$AJ$4,0)))))</f>
        <v>2592</v>
      </c>
      <c r="R16" s="268">
        <f>Q16</f>
        <v>2592</v>
      </c>
      <c r="S16" s="267">
        <f>IF(ISNA(MATCH(S$2,Inputs!$K$4:$AJ$4,0)),NA(),IF(SUMPRODUCT((Inputs!$A$5:$A$120=$B16)*ISNUMBER(INDEX(Inputs!$K$5:$AJ$120,0,MATCH(S$2,Inputs!$K$4:$AJ$4,0))))+SUMPRODUCT((Inputs!$C$5:$C$120=$B16)*ISNUMBER(INDEX(Inputs!$K$5:$AJ$120,0,MATCH(S$2,Inputs!$K$4:$AJ$4,0))))+SUMPRODUCT((Inputs!$E$5:$E$120=$B16)*ISNUMBER(INDEX(Inputs!$K$5:$AJ$120,0,MATCH(S$2,Inputs!$K$4:$AJ$4,0))))=0,NA(),SUMPRODUCT((Inputs!$A$5:$A$120=$B16)*Inputs!$B$5:$B$120*(((Inputs!$G$5:$G$120="moeda")+(Inputs!$G$5:$G$120="acoes"))*Inputs!$B$1+((Inputs!$G$5:$G$120&lt;&gt;"moeda")*(Inputs!$G$5:$G$120&lt;&gt;"acoes")))*INDEX(Inputs!$K$5:$AJ$120,0,MATCH(S$2,Inputs!$K$4:$AJ$4,0)))+SUMPRODUCT((Inputs!$C$5:$C$120=$B16)*Inputs!$D$5:$D$120*(((Inputs!$G$5:$G$120="moeda")+(Inputs!$G$5:$G$120="acoes"))*Inputs!$B$1+((Inputs!$G$5:$G$120&lt;&gt;"moeda")*(Inputs!$G$5:$G$120&lt;&gt;"acoes")))*INDEX(Inputs!$K$5:$AJ$120,0,MATCH(S$2,Inputs!$K$4:$AJ$4,0)))+SUMPRODUCT((Inputs!$E$5:$E$120=$B16)*Inputs!$F$5:$F$120*(((Inputs!$G$5:$G$120="moeda")+(Inputs!$G$5:$G$120="acoes"))*Inputs!$B$1+((Inputs!$G$5:$G$120&lt;&gt;"moeda")*(Inputs!$G$5:$G$120&lt;&gt;"acoes")))*INDEX(Inputs!$K$5:$AJ$120,0,MATCH(S$2,Inputs!$K$4:$AJ$4,0)))))</f>
        <v>2285</v>
      </c>
      <c r="T16" s="267">
        <f>IF(ISNA(MATCH(T$2,Inputs!$K$4:$AJ$4,0)),NA(),IF(SUMPRODUCT((Inputs!$A$5:$A$120=$B16)*ISNUMBER(INDEX(Inputs!$K$5:$AJ$120,0,MATCH(T$2,Inputs!$K$4:$AJ$4,0))))+SUMPRODUCT((Inputs!$C$5:$C$120=$B16)*ISNUMBER(INDEX(Inputs!$K$5:$AJ$120,0,MATCH(T$2,Inputs!$K$4:$AJ$4,0))))+SUMPRODUCT((Inputs!$E$5:$E$120=$B16)*ISNUMBER(INDEX(Inputs!$K$5:$AJ$120,0,MATCH(T$2,Inputs!$K$4:$AJ$4,0))))=0,NA(),SUMPRODUCT((Inputs!$A$5:$A$120=$B16)*Inputs!$B$5:$B$120*(((Inputs!$G$5:$G$120="moeda")+(Inputs!$G$5:$G$120="acoes"))*Inputs!$B$1+((Inputs!$G$5:$G$120&lt;&gt;"moeda")*(Inputs!$G$5:$G$120&lt;&gt;"acoes")))*INDEX(Inputs!$K$5:$AJ$120,0,MATCH(T$2,Inputs!$K$4:$AJ$4,0)))+SUMPRODUCT((Inputs!$C$5:$C$120=$B16)*Inputs!$D$5:$D$120*(((Inputs!$G$5:$G$120="moeda")+(Inputs!$G$5:$G$120="acoes"))*Inputs!$B$1+((Inputs!$G$5:$G$120&lt;&gt;"moeda")*(Inputs!$G$5:$G$120&lt;&gt;"acoes")))*INDEX(Inputs!$K$5:$AJ$120,0,MATCH(T$2,Inputs!$K$4:$AJ$4,0)))+SUMPRODUCT((Inputs!$E$5:$E$120=$B16)*Inputs!$F$5:$F$120*(((Inputs!$G$5:$G$120="moeda")+(Inputs!$G$5:$G$120="acoes"))*Inputs!$B$1+((Inputs!$G$5:$G$120&lt;&gt;"moeda")*(Inputs!$G$5:$G$120&lt;&gt;"acoes")))*INDEX(Inputs!$K$5:$AJ$120,0,MATCH(T$2,Inputs!$K$4:$AJ$4,0)))))</f>
        <v>2277</v>
      </c>
      <c r="U16" s="267">
        <f>IF(ISNA(MATCH(U$2,Inputs!$K$4:$AJ$4,0)),NA(),IF(SUMPRODUCT((Inputs!$A$5:$A$120=$B16)*ISNUMBER(INDEX(Inputs!$K$5:$AJ$120,0,MATCH(U$2,Inputs!$K$4:$AJ$4,0))))+SUMPRODUCT((Inputs!$C$5:$C$120=$B16)*ISNUMBER(INDEX(Inputs!$K$5:$AJ$120,0,MATCH(U$2,Inputs!$K$4:$AJ$4,0))))+SUMPRODUCT((Inputs!$E$5:$E$120=$B16)*ISNUMBER(INDEX(Inputs!$K$5:$AJ$120,0,MATCH(U$2,Inputs!$K$4:$AJ$4,0))))=0,NA(),SUMPRODUCT((Inputs!$A$5:$A$120=$B16)*Inputs!$B$5:$B$120*(((Inputs!$G$5:$G$120="moeda")+(Inputs!$G$5:$G$120="acoes"))*Inputs!$B$1+((Inputs!$G$5:$G$120&lt;&gt;"moeda")*(Inputs!$G$5:$G$120&lt;&gt;"acoes")))*INDEX(Inputs!$K$5:$AJ$120,0,MATCH(U$2,Inputs!$K$4:$AJ$4,0)))+SUMPRODUCT((Inputs!$C$5:$C$120=$B16)*Inputs!$D$5:$D$120*(((Inputs!$G$5:$G$120="moeda")+(Inputs!$G$5:$G$120="acoes"))*Inputs!$B$1+((Inputs!$G$5:$G$120&lt;&gt;"moeda")*(Inputs!$G$5:$G$120&lt;&gt;"acoes")))*INDEX(Inputs!$K$5:$AJ$120,0,MATCH(U$2,Inputs!$K$4:$AJ$4,0)))+SUMPRODUCT((Inputs!$E$5:$E$120=$B16)*Inputs!$F$5:$F$120*(((Inputs!$G$5:$G$120="moeda")+(Inputs!$G$5:$G$120="acoes"))*Inputs!$B$1+((Inputs!$G$5:$G$120&lt;&gt;"moeda")*(Inputs!$G$5:$G$120&lt;&gt;"acoes")))*INDEX(Inputs!$K$5:$AJ$120,0,MATCH(U$2,Inputs!$K$4:$AJ$4,0)))))</f>
        <v>2100</v>
      </c>
      <c r="V16" s="267">
        <f>IF(ISNA(MATCH(V$2,Inputs!$K$4:$AJ$4,0)),NA(),IF(SUMPRODUCT((Inputs!$A$5:$A$120=$B16)*ISNUMBER(INDEX(Inputs!$K$5:$AJ$120,0,MATCH(V$2,Inputs!$K$4:$AJ$4,0))))+SUMPRODUCT((Inputs!$C$5:$C$120=$B16)*ISNUMBER(INDEX(Inputs!$K$5:$AJ$120,0,MATCH(V$2,Inputs!$K$4:$AJ$4,0))))+SUMPRODUCT((Inputs!$E$5:$E$120=$B16)*ISNUMBER(INDEX(Inputs!$K$5:$AJ$120,0,MATCH(V$2,Inputs!$K$4:$AJ$4,0))))=0,NA(),SUMPRODUCT((Inputs!$A$5:$A$120=$B16)*Inputs!$B$5:$B$120*(((Inputs!$G$5:$G$120="moeda")+(Inputs!$G$5:$G$120="acoes"))*Inputs!$B$1+((Inputs!$G$5:$G$120&lt;&gt;"moeda")*(Inputs!$G$5:$G$120&lt;&gt;"acoes")))*INDEX(Inputs!$K$5:$AJ$120,0,MATCH(V$2,Inputs!$K$4:$AJ$4,0)))+SUMPRODUCT((Inputs!$C$5:$C$120=$B16)*Inputs!$D$5:$D$120*(((Inputs!$G$5:$G$120="moeda")+(Inputs!$G$5:$G$120="acoes"))*Inputs!$B$1+((Inputs!$G$5:$G$120&lt;&gt;"moeda")*(Inputs!$G$5:$G$120&lt;&gt;"acoes")))*INDEX(Inputs!$K$5:$AJ$120,0,MATCH(V$2,Inputs!$K$4:$AJ$4,0)))+SUMPRODUCT((Inputs!$E$5:$E$120=$B16)*Inputs!$F$5:$F$120*(((Inputs!$G$5:$G$120="moeda")+(Inputs!$G$5:$G$120="acoes"))*Inputs!$B$1+((Inputs!$G$5:$G$120&lt;&gt;"moeda")*(Inputs!$G$5:$G$120&lt;&gt;"acoes")))*INDEX(Inputs!$K$5:$AJ$120,0,MATCH(V$2,Inputs!$K$4:$AJ$4,0)))))</f>
        <v>2148</v>
      </c>
      <c r="W16" s="268">
        <f>V16</f>
        <v>2148</v>
      </c>
      <c r="X16" s="267">
        <f>IF(ISNA(MATCH(X$2,Inputs!$K$4:$AJ$4,0)),NA(),IF(SUMPRODUCT((Inputs!$A$5:$A$120=$B16)*ISNUMBER(INDEX(Inputs!$K$5:$AJ$120,0,MATCH(X$2,Inputs!$K$4:$AJ$4,0))))+SUMPRODUCT((Inputs!$C$5:$C$120=$B16)*ISNUMBER(INDEX(Inputs!$K$5:$AJ$120,0,MATCH(X$2,Inputs!$K$4:$AJ$4,0))))+SUMPRODUCT((Inputs!$E$5:$E$120=$B16)*ISNUMBER(INDEX(Inputs!$K$5:$AJ$120,0,MATCH(X$2,Inputs!$K$4:$AJ$4,0))))=0,NA(),SUMPRODUCT((Inputs!$A$5:$A$120=$B16)*Inputs!$B$5:$B$120*(((Inputs!$G$5:$G$120="moeda")+(Inputs!$G$5:$G$120="acoes"))*Inputs!$B$1+((Inputs!$G$5:$G$120&lt;&gt;"moeda")*(Inputs!$G$5:$G$120&lt;&gt;"acoes")))*INDEX(Inputs!$K$5:$AJ$120,0,MATCH(X$2,Inputs!$K$4:$AJ$4,0)))+SUMPRODUCT((Inputs!$C$5:$C$120=$B16)*Inputs!$D$5:$D$120*(((Inputs!$G$5:$G$120="moeda")+(Inputs!$G$5:$G$120="acoes"))*Inputs!$B$1+((Inputs!$G$5:$G$120&lt;&gt;"moeda")*(Inputs!$G$5:$G$120&lt;&gt;"acoes")))*INDEX(Inputs!$K$5:$AJ$120,0,MATCH(X$2,Inputs!$K$4:$AJ$4,0)))+SUMPRODUCT((Inputs!$E$5:$E$120=$B16)*Inputs!$F$5:$F$120*(((Inputs!$G$5:$G$120="moeda")+(Inputs!$G$5:$G$120="acoes"))*Inputs!$B$1+((Inputs!$G$5:$G$120&lt;&gt;"moeda")*(Inputs!$G$5:$G$120&lt;&gt;"acoes")))*INDEX(Inputs!$K$5:$AJ$120,0,MATCH(X$2,Inputs!$K$4:$AJ$4,0)))))</f>
        <v>2334</v>
      </c>
      <c r="Y16" s="267">
        <f>IF(ISNA(MATCH(Y$2,Inputs!$K$4:$AJ$4,0)),NA(),IF(SUMPRODUCT((Inputs!$A$5:$A$120=$B16)*ISNUMBER(INDEX(Inputs!$K$5:$AJ$120,0,MATCH(Y$2,Inputs!$K$4:$AJ$4,0))))+SUMPRODUCT((Inputs!$C$5:$C$120=$B16)*ISNUMBER(INDEX(Inputs!$K$5:$AJ$120,0,MATCH(Y$2,Inputs!$K$4:$AJ$4,0))))+SUMPRODUCT((Inputs!$E$5:$E$120=$B16)*ISNUMBER(INDEX(Inputs!$K$5:$AJ$120,0,MATCH(Y$2,Inputs!$K$4:$AJ$4,0))))=0,NA(),SUMPRODUCT((Inputs!$A$5:$A$120=$B16)*Inputs!$B$5:$B$120*(((Inputs!$G$5:$G$120="moeda")+(Inputs!$G$5:$G$120="acoes"))*Inputs!$B$1+((Inputs!$G$5:$G$120&lt;&gt;"moeda")*(Inputs!$G$5:$G$120&lt;&gt;"acoes")))*INDEX(Inputs!$K$5:$AJ$120,0,MATCH(Y$2,Inputs!$K$4:$AJ$4,0)))+SUMPRODUCT((Inputs!$C$5:$C$120=$B16)*Inputs!$D$5:$D$120*(((Inputs!$G$5:$G$120="moeda")+(Inputs!$G$5:$G$120="acoes"))*Inputs!$B$1+((Inputs!$G$5:$G$120&lt;&gt;"moeda")*(Inputs!$G$5:$G$120&lt;&gt;"acoes")))*INDEX(Inputs!$K$5:$AJ$120,0,MATCH(Y$2,Inputs!$K$4:$AJ$4,0)))+SUMPRODUCT((Inputs!$E$5:$E$120=$B16)*Inputs!$F$5:$F$120*(((Inputs!$G$5:$G$120="moeda")+(Inputs!$G$5:$G$120="acoes"))*Inputs!$B$1+((Inputs!$G$5:$G$120&lt;&gt;"moeda")*(Inputs!$G$5:$G$120&lt;&gt;"acoes")))*INDEX(Inputs!$K$5:$AJ$120,0,MATCH(Y$2,Inputs!$K$4:$AJ$4,0)))))</f>
        <v>2258</v>
      </c>
      <c r="Z16" s="267">
        <f>IF(ISNA(MATCH(Z$2,Inputs!$K$4:$AJ$4,0)),NA(),IF(SUMPRODUCT((Inputs!$A$5:$A$120=$B16)*ISNUMBER(INDEX(Inputs!$K$5:$AJ$120,0,MATCH(Z$2,Inputs!$K$4:$AJ$4,0))))+SUMPRODUCT((Inputs!$C$5:$C$120=$B16)*ISNUMBER(INDEX(Inputs!$K$5:$AJ$120,0,MATCH(Z$2,Inputs!$K$4:$AJ$4,0))))+SUMPRODUCT((Inputs!$E$5:$E$120=$B16)*ISNUMBER(INDEX(Inputs!$K$5:$AJ$120,0,MATCH(Z$2,Inputs!$K$4:$AJ$4,0))))=0,NA(),SUMPRODUCT((Inputs!$A$5:$A$120=$B16)*Inputs!$B$5:$B$120*(((Inputs!$G$5:$G$120="moeda")+(Inputs!$G$5:$G$120="acoes"))*Inputs!$B$1+((Inputs!$G$5:$G$120&lt;&gt;"moeda")*(Inputs!$G$5:$G$120&lt;&gt;"acoes")))*INDEX(Inputs!$K$5:$AJ$120,0,MATCH(Z$2,Inputs!$K$4:$AJ$4,0)))+SUMPRODUCT((Inputs!$C$5:$C$120=$B16)*Inputs!$D$5:$D$120*(((Inputs!$G$5:$G$120="moeda")+(Inputs!$G$5:$G$120="acoes"))*Inputs!$B$1+((Inputs!$G$5:$G$120&lt;&gt;"moeda")*(Inputs!$G$5:$G$120&lt;&gt;"acoes")))*INDEX(Inputs!$K$5:$AJ$120,0,MATCH(Z$2,Inputs!$K$4:$AJ$4,0)))+SUMPRODUCT((Inputs!$E$5:$E$120=$B16)*Inputs!$F$5:$F$120*(((Inputs!$G$5:$G$120="moeda")+(Inputs!$G$5:$G$120="acoes"))*Inputs!$B$1+((Inputs!$G$5:$G$120&lt;&gt;"moeda")*(Inputs!$G$5:$G$120&lt;&gt;"acoes")))*INDEX(Inputs!$K$5:$AJ$120,0,MATCH(Z$2,Inputs!$K$4:$AJ$4,0)))))</f>
        <v>3494</v>
      </c>
      <c r="AA16" s="267">
        <f>IF(ISNA(MATCH(AA$2,Inputs!$K$4:$AJ$4,0)),NA(),IF(SUMPRODUCT((Inputs!$A$5:$A$120=$B16)*ISNUMBER(INDEX(Inputs!$K$5:$AJ$120,0,MATCH(AA$2,Inputs!$K$4:$AJ$4,0))))+SUMPRODUCT((Inputs!$C$5:$C$120=$B16)*ISNUMBER(INDEX(Inputs!$K$5:$AJ$120,0,MATCH(AA$2,Inputs!$K$4:$AJ$4,0))))+SUMPRODUCT((Inputs!$E$5:$E$120=$B16)*ISNUMBER(INDEX(Inputs!$K$5:$AJ$120,0,MATCH(AA$2,Inputs!$K$4:$AJ$4,0))))=0,NA(),SUMPRODUCT((Inputs!$A$5:$A$120=$B16)*Inputs!$B$5:$B$120*(((Inputs!$G$5:$G$120="moeda")+(Inputs!$G$5:$G$120="acoes"))*Inputs!$B$1+((Inputs!$G$5:$G$120&lt;&gt;"moeda")*(Inputs!$G$5:$G$120&lt;&gt;"acoes")))*INDEX(Inputs!$K$5:$AJ$120,0,MATCH(AA$2,Inputs!$K$4:$AJ$4,0)))+SUMPRODUCT((Inputs!$C$5:$C$120=$B16)*Inputs!$D$5:$D$120*(((Inputs!$G$5:$G$120="moeda")+(Inputs!$G$5:$G$120="acoes"))*Inputs!$B$1+((Inputs!$G$5:$G$120&lt;&gt;"moeda")*(Inputs!$G$5:$G$120&lt;&gt;"acoes")))*INDEX(Inputs!$K$5:$AJ$120,0,MATCH(AA$2,Inputs!$K$4:$AJ$4,0)))+SUMPRODUCT((Inputs!$E$5:$E$120=$B16)*Inputs!$F$5:$F$120*(((Inputs!$G$5:$G$120="moeda")+(Inputs!$G$5:$G$120="acoes"))*Inputs!$B$1+((Inputs!$G$5:$G$120&lt;&gt;"moeda")*(Inputs!$G$5:$G$120&lt;&gt;"acoes")))*INDEX(Inputs!$K$5:$AJ$120,0,MATCH(AA$2,Inputs!$K$4:$AJ$4,0)))))</f>
        <v>3870</v>
      </c>
      <c r="AB16" s="268">
        <f>AA16</f>
        <v>3870</v>
      </c>
      <c r="AC16" s="267">
        <f>IF(ISNA(MATCH(AC$2,Inputs!$K$4:$AJ$4,0)),NA(),IF(SUMPRODUCT((Inputs!$A$5:$A$120=$B16)*ISNUMBER(INDEX(Inputs!$K$5:$AJ$120,0,MATCH(AC$2,Inputs!$K$4:$AJ$4,0))))+SUMPRODUCT((Inputs!$C$5:$C$120=$B16)*ISNUMBER(INDEX(Inputs!$K$5:$AJ$120,0,MATCH(AC$2,Inputs!$K$4:$AJ$4,0))))+SUMPRODUCT((Inputs!$E$5:$E$120=$B16)*ISNUMBER(INDEX(Inputs!$K$5:$AJ$120,0,MATCH(AC$2,Inputs!$K$4:$AJ$4,0))))=0,NA(),SUMPRODUCT((Inputs!$A$5:$A$120=$B16)*Inputs!$B$5:$B$120*(((Inputs!$G$5:$G$120="moeda")+(Inputs!$G$5:$G$120="acoes"))*Inputs!$B$1+((Inputs!$G$5:$G$120&lt;&gt;"moeda")*(Inputs!$G$5:$G$120&lt;&gt;"acoes")))*INDEX(Inputs!$K$5:$AJ$120,0,MATCH(AC$2,Inputs!$K$4:$AJ$4,0)))+SUMPRODUCT((Inputs!$C$5:$C$120=$B16)*Inputs!$D$5:$D$120*(((Inputs!$G$5:$G$120="moeda")+(Inputs!$G$5:$G$120="acoes"))*Inputs!$B$1+((Inputs!$G$5:$G$120&lt;&gt;"moeda")*(Inputs!$G$5:$G$120&lt;&gt;"acoes")))*INDEX(Inputs!$K$5:$AJ$120,0,MATCH(AC$2,Inputs!$K$4:$AJ$4,0)))+SUMPRODUCT((Inputs!$E$5:$E$120=$B16)*Inputs!$F$5:$F$120*(((Inputs!$G$5:$G$120="moeda")+(Inputs!$G$5:$G$120="acoes"))*Inputs!$B$1+((Inputs!$G$5:$G$120&lt;&gt;"moeda")*(Inputs!$G$5:$G$120&lt;&gt;"acoes")))*INDEX(Inputs!$K$5:$AJ$120,0,MATCH(AC$2,Inputs!$K$4:$AJ$4,0)))))</f>
        <v>3975</v>
      </c>
      <c r="AD16" s="267">
        <f>IF(ISNA(MATCH(AD$2,Inputs!$K$4:$AJ$4,0)),NA(),IF(SUMPRODUCT((Inputs!$A$5:$A$120=$B16)*ISNUMBER(INDEX(Inputs!$K$5:$AJ$120,0,MATCH(AD$2,Inputs!$K$4:$AJ$4,0))))+SUMPRODUCT((Inputs!$C$5:$C$120=$B16)*ISNUMBER(INDEX(Inputs!$K$5:$AJ$120,0,MATCH(AD$2,Inputs!$K$4:$AJ$4,0))))+SUMPRODUCT((Inputs!$E$5:$E$120=$B16)*ISNUMBER(INDEX(Inputs!$K$5:$AJ$120,0,MATCH(AD$2,Inputs!$K$4:$AJ$4,0))))=0,NA(),SUMPRODUCT((Inputs!$A$5:$A$120=$B16)*Inputs!$B$5:$B$120*(((Inputs!$G$5:$G$120="moeda")+(Inputs!$G$5:$G$120="acoes"))*Inputs!$B$1+((Inputs!$G$5:$G$120&lt;&gt;"moeda")*(Inputs!$G$5:$G$120&lt;&gt;"acoes")))*INDEX(Inputs!$K$5:$AJ$120,0,MATCH(AD$2,Inputs!$K$4:$AJ$4,0)))+SUMPRODUCT((Inputs!$C$5:$C$120=$B16)*Inputs!$D$5:$D$120*(((Inputs!$G$5:$G$120="moeda")+(Inputs!$G$5:$G$120="acoes"))*Inputs!$B$1+((Inputs!$G$5:$G$120&lt;&gt;"moeda")*(Inputs!$G$5:$G$120&lt;&gt;"acoes")))*INDEX(Inputs!$K$5:$AJ$120,0,MATCH(AD$2,Inputs!$K$4:$AJ$4,0)))+SUMPRODUCT((Inputs!$E$5:$E$120=$B16)*Inputs!$F$5:$F$120*(((Inputs!$G$5:$G$120="moeda")+(Inputs!$G$5:$G$120="acoes"))*Inputs!$B$1+((Inputs!$G$5:$G$120&lt;&gt;"moeda")*(Inputs!$G$5:$G$120&lt;&gt;"acoes")))*INDEX(Inputs!$K$5:$AJ$120,0,MATCH(AD$2,Inputs!$K$4:$AJ$4,0)))))</f>
        <v>3931</v>
      </c>
      <c r="AE16" s="267" t="e">
        <f>IF(ISNA(MATCH(AE$2,Inputs!$K$4:$AJ$4,0)),NA(),IF(SUMPRODUCT((Inputs!$A$5:$A$120=$B16)*ISNUMBER(INDEX(Inputs!$K$5:$AJ$120,0,MATCH(AE$2,Inputs!$K$4:$AJ$4,0))))+SUMPRODUCT((Inputs!$C$5:$C$120=$B16)*ISNUMBER(INDEX(Inputs!$K$5:$AJ$120,0,MATCH(AE$2,Inputs!$K$4:$AJ$4,0))))+SUMPRODUCT((Inputs!$E$5:$E$120=$B16)*ISNUMBER(INDEX(Inputs!$K$5:$AJ$120,0,MATCH(AE$2,Inputs!$K$4:$AJ$4,0))))=0,NA(),SUMPRODUCT((Inputs!$A$5:$A$120=$B16)*Inputs!$B$5:$B$120*(((Inputs!$G$5:$G$120="moeda")+(Inputs!$G$5:$G$120="acoes"))*Inputs!$B$1+((Inputs!$G$5:$G$120&lt;&gt;"moeda")*(Inputs!$G$5:$G$120&lt;&gt;"acoes")))*INDEX(Inputs!$K$5:$AJ$120,0,MATCH(AE$2,Inputs!$K$4:$AJ$4,0)))+SUMPRODUCT((Inputs!$C$5:$C$120=$B16)*Inputs!$D$5:$D$120*(((Inputs!$G$5:$G$120="moeda")+(Inputs!$G$5:$G$120="acoes"))*Inputs!$B$1+((Inputs!$G$5:$G$120&lt;&gt;"moeda")*(Inputs!$G$5:$G$120&lt;&gt;"acoes")))*INDEX(Inputs!$K$5:$AJ$120,0,MATCH(AE$2,Inputs!$K$4:$AJ$4,0)))+SUMPRODUCT((Inputs!$E$5:$E$120=$B16)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6" s="267" t="e">
        <f>IF(ISNA(MATCH(AF$2,Inputs!$K$4:$AJ$4,0)),NA(),IF(SUMPRODUCT((Inputs!$A$5:$A$120=$B16)*ISNUMBER(INDEX(Inputs!$K$5:$AJ$120,0,MATCH(AF$2,Inputs!$K$4:$AJ$4,0))))+SUMPRODUCT((Inputs!$C$5:$C$120=$B16)*ISNUMBER(INDEX(Inputs!$K$5:$AJ$120,0,MATCH(AF$2,Inputs!$K$4:$AJ$4,0))))+SUMPRODUCT((Inputs!$E$5:$E$120=$B16)*ISNUMBER(INDEX(Inputs!$K$5:$AJ$120,0,MATCH(AF$2,Inputs!$K$4:$AJ$4,0))))=0,NA(),SUMPRODUCT((Inputs!$A$5:$A$120=$B16)*Inputs!$B$5:$B$120*(((Inputs!$G$5:$G$120="moeda")+(Inputs!$G$5:$G$120="acoes"))*Inputs!$B$1+((Inputs!$G$5:$G$120&lt;&gt;"moeda")*(Inputs!$G$5:$G$120&lt;&gt;"acoes")))*INDEX(Inputs!$K$5:$AJ$120,0,MATCH(AF$2,Inputs!$K$4:$AJ$4,0)))+SUMPRODUCT((Inputs!$C$5:$C$120=$B16)*Inputs!$D$5:$D$120*(((Inputs!$G$5:$G$120="moeda")+(Inputs!$G$5:$G$120="acoes"))*Inputs!$B$1+((Inputs!$G$5:$G$120&lt;&gt;"moeda")*(Inputs!$G$5:$G$120&lt;&gt;"acoes")))*INDEX(Inputs!$K$5:$AJ$120,0,MATCH(AF$2,Inputs!$K$4:$AJ$4,0)))+SUMPRODUCT((Inputs!$E$5:$E$120=$B16)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6" s="268" t="e">
        <f>AF16</f>
        <v>#N/A</v>
      </c>
      <c r="AH16" s="267">
        <f>IF(ISNA(MATCH(AH$2,Inputs!$K$4:$AJ$4,0)),NA(),IF(SUMPRODUCT((Inputs!$A$5:$A$120=$B16)*ISNUMBER(INDEX(Inputs!$K$5:$AJ$120,0,MATCH(AH$2,Inputs!$K$4:$AJ$4,0))))+SUMPRODUCT((Inputs!$C$5:$C$120=$B16)*ISNUMBER(INDEX(Inputs!$K$5:$AJ$120,0,MATCH(AH$2,Inputs!$K$4:$AJ$4,0))))+SUMPRODUCT((Inputs!$E$5:$E$120=$B16)*ISNUMBER(INDEX(Inputs!$K$5:$AJ$120,0,MATCH(AH$2,Inputs!$K$4:$AJ$4,0))))=0,NA(),SUMPRODUCT((Inputs!$A$5:$A$120=$B16)*Inputs!$B$5:$B$120*(((Inputs!$G$5:$G$120="moeda")+(Inputs!$G$5:$G$120="acoes"))*Inputs!$B$1+((Inputs!$G$5:$G$120&lt;&gt;"moeda")*(Inputs!$G$5:$G$120&lt;&gt;"acoes")))*INDEX(Inputs!$K$5:$AJ$120,0,MATCH(AH$2,Inputs!$K$4:$AJ$4,0)))+SUMPRODUCT((Inputs!$C$5:$C$120=$B16)*Inputs!$D$5:$D$120*(((Inputs!$G$5:$G$120="moeda")+(Inputs!$G$5:$G$120="acoes"))*Inputs!$B$1+((Inputs!$G$5:$G$120&lt;&gt;"moeda")*(Inputs!$G$5:$G$120&lt;&gt;"acoes")))*INDEX(Inputs!$K$5:$AJ$120,0,MATCH(AH$2,Inputs!$K$4:$AJ$4,0)))+SUMPRODUCT((Inputs!$E$5:$E$120=$B16)*Inputs!$F$5:$F$120*(((Inputs!$G$5:$G$120="moeda")+(Inputs!$G$5:$G$120="acoes"))*Inputs!$B$1+((Inputs!$G$5:$G$120&lt;&gt;"moeda")*(Inputs!$G$5:$G$120&lt;&gt;"acoes")))*INDEX(Inputs!$K$5:$AJ$120,0,MATCH(AH$2,Inputs!$K$4:$AJ$4,0)))))</f>
        <v>1616</v>
      </c>
      <c r="AI16" s="267">
        <f>IF(ISNA(MATCH(AI$2,Inputs!$K$4:$AJ$4,0)),NA(),IF(SUMPRODUCT((Inputs!$A$5:$A$120=$B16)*ISNUMBER(INDEX(Inputs!$K$5:$AJ$120,0,MATCH(AI$2,Inputs!$K$4:$AJ$4,0))))+SUMPRODUCT((Inputs!$C$5:$C$120=$B16)*ISNUMBER(INDEX(Inputs!$K$5:$AJ$120,0,MATCH(AI$2,Inputs!$K$4:$AJ$4,0))))+SUMPRODUCT((Inputs!$E$5:$E$120=$B16)*ISNUMBER(INDEX(Inputs!$K$5:$AJ$120,0,MATCH(AI$2,Inputs!$K$4:$AJ$4,0))))=0,NA(),SUMPRODUCT((Inputs!$A$5:$A$120=$B16)*Inputs!$B$5:$B$120*(((Inputs!$G$5:$G$120="moeda")+(Inputs!$G$5:$G$120="acoes"))*Inputs!$B$1+((Inputs!$G$5:$G$120&lt;&gt;"moeda")*(Inputs!$G$5:$G$120&lt;&gt;"acoes")))*INDEX(Inputs!$K$5:$AJ$120,0,MATCH(AI$2,Inputs!$K$4:$AJ$4,0)))+SUMPRODUCT((Inputs!$C$5:$C$120=$B16)*Inputs!$D$5:$D$120*(((Inputs!$G$5:$G$120="moeda")+(Inputs!$G$5:$G$120="acoes"))*Inputs!$B$1+((Inputs!$G$5:$G$120&lt;&gt;"moeda")*(Inputs!$G$5:$G$120&lt;&gt;"acoes")))*INDEX(Inputs!$K$5:$AJ$120,0,MATCH(AI$2,Inputs!$K$4:$AJ$4,0)))+SUMPRODUCT((Inputs!$E$5:$E$120=$B16)*Inputs!$F$5:$F$120*(((Inputs!$G$5:$G$120="moeda")+(Inputs!$G$5:$G$120="acoes"))*Inputs!$B$1+((Inputs!$G$5:$G$120&lt;&gt;"moeda")*(Inputs!$G$5:$G$120&lt;&gt;"acoes")))*INDEX(Inputs!$K$5:$AJ$120,0,MATCH(AI$2,Inputs!$K$4:$AJ$4,0)))))</f>
        <v>1526</v>
      </c>
      <c r="AJ16" s="267">
        <f>IF(ISNA(MATCH(AJ$2,Inputs!$K$4:$AJ$4,0)),NA(),IF(SUMPRODUCT((Inputs!$A$5:$A$120=$B16)*ISNUMBER(INDEX(Inputs!$K$5:$AJ$120,0,MATCH(AJ$2,Inputs!$K$4:$AJ$4,0))))+SUMPRODUCT((Inputs!$C$5:$C$120=$B16)*ISNUMBER(INDEX(Inputs!$K$5:$AJ$120,0,MATCH(AJ$2,Inputs!$K$4:$AJ$4,0))))+SUMPRODUCT((Inputs!$E$5:$E$120=$B16)*ISNUMBER(INDEX(Inputs!$K$5:$AJ$120,0,MATCH(AJ$2,Inputs!$K$4:$AJ$4,0))))=0,NA(),SUMPRODUCT((Inputs!$A$5:$A$120=$B16)*Inputs!$B$5:$B$120*(((Inputs!$G$5:$G$120="moeda")+(Inputs!$G$5:$G$120="acoes"))*Inputs!$B$1+((Inputs!$G$5:$G$120&lt;&gt;"moeda")*(Inputs!$G$5:$G$120&lt;&gt;"acoes")))*INDEX(Inputs!$K$5:$AJ$120,0,MATCH(AJ$2,Inputs!$K$4:$AJ$4,0)))+SUMPRODUCT((Inputs!$C$5:$C$120=$B16)*Inputs!$D$5:$D$120*(((Inputs!$G$5:$G$120="moeda")+(Inputs!$G$5:$G$120="acoes"))*Inputs!$B$1+((Inputs!$G$5:$G$120&lt;&gt;"moeda")*(Inputs!$G$5:$G$120&lt;&gt;"acoes")))*INDEX(Inputs!$K$5:$AJ$120,0,MATCH(AJ$2,Inputs!$K$4:$AJ$4,0)))+SUMPRODUCT((Inputs!$E$5:$E$120=$B16)*Inputs!$F$5:$F$120*(((Inputs!$G$5:$G$120="moeda")+(Inputs!$G$5:$G$120="acoes"))*Inputs!$B$1+((Inputs!$G$5:$G$120&lt;&gt;"moeda")*(Inputs!$G$5:$G$120&lt;&gt;"acoes")))*INDEX(Inputs!$K$5:$AJ$120,0,MATCH(AJ$2,Inputs!$K$4:$AJ$4,0)))))</f>
        <v>1623</v>
      </c>
      <c r="AK16" s="267">
        <f>IF(ISNA(MATCH(AK$2,Inputs!$K$4:$AJ$4,0)),NA(),IF(SUMPRODUCT((Inputs!$A$5:$A$120=$B16)*ISNUMBER(INDEX(Inputs!$K$5:$AJ$120,0,MATCH(AK$2,Inputs!$K$4:$AJ$4,0))))+SUMPRODUCT((Inputs!$C$5:$C$120=$B16)*ISNUMBER(INDEX(Inputs!$K$5:$AJ$120,0,MATCH(AK$2,Inputs!$K$4:$AJ$4,0))))+SUMPRODUCT((Inputs!$E$5:$E$120=$B16)*ISNUMBER(INDEX(Inputs!$K$5:$AJ$120,0,MATCH(AK$2,Inputs!$K$4:$AJ$4,0))))=0,NA(),SUMPRODUCT((Inputs!$A$5:$A$120=$B16)*Inputs!$B$5:$B$120*(((Inputs!$G$5:$G$120="moeda")+(Inputs!$G$5:$G$120="acoes"))*Inputs!$B$1+((Inputs!$G$5:$G$120&lt;&gt;"moeda")*(Inputs!$G$5:$G$120&lt;&gt;"acoes")))*INDEX(Inputs!$K$5:$AJ$120,0,MATCH(AK$2,Inputs!$K$4:$AJ$4,0)))+SUMPRODUCT((Inputs!$C$5:$C$120=$B16)*Inputs!$D$5:$D$120*(((Inputs!$G$5:$G$120="moeda")+(Inputs!$G$5:$G$120="acoes"))*Inputs!$B$1+((Inputs!$G$5:$G$120&lt;&gt;"moeda")*(Inputs!$G$5:$G$120&lt;&gt;"acoes")))*INDEX(Inputs!$K$5:$AJ$120,0,MATCH(AK$2,Inputs!$K$4:$AJ$4,0)))+SUMPRODUCT((Inputs!$E$5:$E$120=$B16)*Inputs!$F$5:$F$120*(((Inputs!$G$5:$G$120="moeda")+(Inputs!$G$5:$G$120="acoes"))*Inputs!$B$1+((Inputs!$G$5:$G$120&lt;&gt;"moeda")*(Inputs!$G$5:$G$120&lt;&gt;"acoes")))*INDEX(Inputs!$K$5:$AJ$120,0,MATCH(AK$2,Inputs!$K$4:$AJ$4,0)))))</f>
        <v>1717</v>
      </c>
      <c r="AL16" s="268">
        <f>AK16</f>
        <v>1717</v>
      </c>
    </row>
    <row r="17" ht="12.75" customHeight="1" s="255">
      <c r="B17" s="265" t="n">
        <v>13</v>
      </c>
      <c r="C17" s="270" t="inlineStr">
        <is>
          <t>Inventories</t>
        </is>
      </c>
      <c r="D17" s="267">
        <f>IF(ISNA(MATCH(D$2,Inputs!$K$4:$AJ$4,0)),NA(),IF(SUMPRODUCT((Inputs!$A$5:$A$120=$B17)*ISNUMBER(INDEX(Inputs!$K$5:$AJ$120,0,MATCH(D$2,Inputs!$K$4:$AJ$4,0))))+SUMPRODUCT((Inputs!$C$5:$C$120=$B17)*ISNUMBER(INDEX(Inputs!$K$5:$AJ$120,0,MATCH(D$2,Inputs!$K$4:$AJ$4,0))))+SUMPRODUCT((Inputs!$E$5:$E$120=$B17)*ISNUMBER(INDEX(Inputs!$K$5:$AJ$120,0,MATCH(D$2,Inputs!$K$4:$AJ$4,0))))=0,NA(),SUMPRODUCT((Inputs!$A$5:$A$120=$B17)*Inputs!$B$5:$B$120*(((Inputs!$G$5:$G$120="moeda")+(Inputs!$G$5:$G$120="acoes"))*Inputs!$B$1+((Inputs!$G$5:$G$120&lt;&gt;"moeda")*(Inputs!$G$5:$G$120&lt;&gt;"acoes")))*INDEX(Inputs!$K$5:$AJ$120,0,MATCH(D$2,Inputs!$K$4:$AJ$4,0)))+SUMPRODUCT((Inputs!$C$5:$C$120=$B17)*Inputs!$D$5:$D$120*(((Inputs!$G$5:$G$120="moeda")+(Inputs!$G$5:$G$120="acoes"))*Inputs!$B$1+((Inputs!$G$5:$G$120&lt;&gt;"moeda")*(Inputs!$G$5:$G$120&lt;&gt;"acoes")))*INDEX(Inputs!$K$5:$AJ$120,0,MATCH(D$2,Inputs!$K$4:$AJ$4,0)))+SUMPRODUCT((Inputs!$E$5:$E$120=$B17)*Inputs!$F$5:$F$120*(((Inputs!$G$5:$G$120="moeda")+(Inputs!$G$5:$G$120="acoes"))*Inputs!$B$1+((Inputs!$G$5:$G$120&lt;&gt;"moeda")*(Inputs!$G$5:$G$120&lt;&gt;"acoes")))*INDEX(Inputs!$K$5:$AJ$120,0,MATCH(D$2,Inputs!$K$4:$AJ$4,0)))))</f>
        <v>8616</v>
      </c>
      <c r="E17" s="267">
        <f>IF(ISNA(MATCH(E$2,Inputs!$K$4:$AJ$4,0)),NA(),IF(SUMPRODUCT((Inputs!$A$5:$A$120=$B17)*ISNUMBER(INDEX(Inputs!$K$5:$AJ$120,0,MATCH(E$2,Inputs!$K$4:$AJ$4,0))))+SUMPRODUCT((Inputs!$C$5:$C$120=$B17)*ISNUMBER(INDEX(Inputs!$K$5:$AJ$120,0,MATCH(E$2,Inputs!$K$4:$AJ$4,0))))+SUMPRODUCT((Inputs!$E$5:$E$120=$B17)*ISNUMBER(INDEX(Inputs!$K$5:$AJ$120,0,MATCH(E$2,Inputs!$K$4:$AJ$4,0))))=0,NA(),SUMPRODUCT((Inputs!$A$5:$A$120=$B17)*Inputs!$B$5:$B$120*(((Inputs!$G$5:$G$120="moeda")+(Inputs!$G$5:$G$120="acoes"))*Inputs!$B$1+((Inputs!$G$5:$G$120&lt;&gt;"moeda")*(Inputs!$G$5:$G$120&lt;&gt;"acoes")))*INDEX(Inputs!$K$5:$AJ$120,0,MATCH(E$2,Inputs!$K$4:$AJ$4,0)))+SUMPRODUCT((Inputs!$C$5:$C$120=$B17)*Inputs!$D$5:$D$120*(((Inputs!$G$5:$G$120="moeda")+(Inputs!$G$5:$G$120="acoes"))*Inputs!$B$1+((Inputs!$G$5:$G$120&lt;&gt;"moeda")*(Inputs!$G$5:$G$120&lt;&gt;"acoes")))*INDEX(Inputs!$K$5:$AJ$120,0,MATCH(E$2,Inputs!$K$4:$AJ$4,0)))+SUMPRODUCT((Inputs!$E$5:$E$120=$B17)*Inputs!$F$5:$F$120*(((Inputs!$G$5:$G$120="moeda")+(Inputs!$G$5:$G$120="acoes"))*Inputs!$B$1+((Inputs!$G$5:$G$120&lt;&gt;"moeda")*(Inputs!$G$5:$G$120&lt;&gt;"acoes")))*INDEX(Inputs!$K$5:$AJ$120,0,MATCH(E$2,Inputs!$K$4:$AJ$4,0)))))</f>
        <v>8460</v>
      </c>
      <c r="F17" s="267">
        <f>IF(ISNA(MATCH(F$2,Inputs!$K$4:$AJ$4,0)),NA(),IF(SUMPRODUCT((Inputs!$A$5:$A$120=$B17)*ISNUMBER(INDEX(Inputs!$K$5:$AJ$120,0,MATCH(F$2,Inputs!$K$4:$AJ$4,0))))+SUMPRODUCT((Inputs!$C$5:$C$120=$B17)*ISNUMBER(INDEX(Inputs!$K$5:$AJ$120,0,MATCH(F$2,Inputs!$K$4:$AJ$4,0))))+SUMPRODUCT((Inputs!$E$5:$E$120=$B17)*ISNUMBER(INDEX(Inputs!$K$5:$AJ$120,0,MATCH(F$2,Inputs!$K$4:$AJ$4,0))))=0,NA(),SUMPRODUCT((Inputs!$A$5:$A$120=$B17)*Inputs!$B$5:$B$120*(((Inputs!$G$5:$G$120="moeda")+(Inputs!$G$5:$G$120="acoes"))*Inputs!$B$1+((Inputs!$G$5:$G$120&lt;&gt;"moeda")*(Inputs!$G$5:$G$120&lt;&gt;"acoes")))*INDEX(Inputs!$K$5:$AJ$120,0,MATCH(F$2,Inputs!$K$4:$AJ$4,0)))+SUMPRODUCT((Inputs!$C$5:$C$120=$B17)*Inputs!$D$5:$D$120*(((Inputs!$G$5:$G$120="moeda")+(Inputs!$G$5:$G$120="acoes"))*Inputs!$B$1+((Inputs!$G$5:$G$120&lt;&gt;"moeda")*(Inputs!$G$5:$G$120&lt;&gt;"acoes")))*INDEX(Inputs!$K$5:$AJ$120,0,MATCH(F$2,Inputs!$K$4:$AJ$4,0)))+SUMPRODUCT((Inputs!$E$5:$E$120=$B17)*Inputs!$F$5:$F$120*(((Inputs!$G$5:$G$120="moeda")+(Inputs!$G$5:$G$120="acoes"))*Inputs!$B$1+((Inputs!$G$5:$G$120&lt;&gt;"moeda")*(Inputs!$G$5:$G$120&lt;&gt;"acoes")))*INDEX(Inputs!$K$5:$AJ$120,0,MATCH(F$2,Inputs!$K$4:$AJ$4,0)))))</f>
        <v>8014</v>
      </c>
      <c r="G17" s="267">
        <f>IF(ISNA(MATCH(G$2,Inputs!$K$4:$AJ$4,0)),NA(),IF(SUMPRODUCT((Inputs!$A$5:$A$120=$B17)*ISNUMBER(INDEX(Inputs!$K$5:$AJ$120,0,MATCH(G$2,Inputs!$K$4:$AJ$4,0))))+SUMPRODUCT((Inputs!$C$5:$C$120=$B17)*ISNUMBER(INDEX(Inputs!$K$5:$AJ$120,0,MATCH(G$2,Inputs!$K$4:$AJ$4,0))))+SUMPRODUCT((Inputs!$E$5:$E$120=$B17)*ISNUMBER(INDEX(Inputs!$K$5:$AJ$120,0,MATCH(G$2,Inputs!$K$4:$AJ$4,0))))=0,NA(),SUMPRODUCT((Inputs!$A$5:$A$120=$B17)*Inputs!$B$5:$B$120*(((Inputs!$G$5:$G$120="moeda")+(Inputs!$G$5:$G$120="acoes"))*Inputs!$B$1+((Inputs!$G$5:$G$120&lt;&gt;"moeda")*(Inputs!$G$5:$G$120&lt;&gt;"acoes")))*INDEX(Inputs!$K$5:$AJ$120,0,MATCH(G$2,Inputs!$K$4:$AJ$4,0)))+SUMPRODUCT((Inputs!$C$5:$C$120=$B17)*Inputs!$D$5:$D$120*(((Inputs!$G$5:$G$120="moeda")+(Inputs!$G$5:$G$120="acoes"))*Inputs!$B$1+((Inputs!$G$5:$G$120&lt;&gt;"moeda")*(Inputs!$G$5:$G$120&lt;&gt;"acoes")))*INDEX(Inputs!$K$5:$AJ$120,0,MATCH(G$2,Inputs!$K$4:$AJ$4,0)))+SUMPRODUCT((Inputs!$E$5:$E$120=$B17)*Inputs!$F$5:$F$120*(((Inputs!$G$5:$G$120="moeda")+(Inputs!$G$5:$G$120="acoes"))*Inputs!$B$1+((Inputs!$G$5:$G$120&lt;&gt;"moeda")*(Inputs!$G$5:$G$120&lt;&gt;"acoes")))*INDEX(Inputs!$K$5:$AJ$120,0,MATCH(G$2,Inputs!$K$4:$AJ$4,0)))))</f>
        <v>8431</v>
      </c>
      <c r="H17" s="268">
        <f>G17</f>
        <v>8431</v>
      </c>
      <c r="I17" s="267">
        <f>IF(ISNA(MATCH(I$2,Inputs!$K$4:$AJ$4,0)),NA(),IF(SUMPRODUCT((Inputs!$A$5:$A$120=$B17)*ISNUMBER(INDEX(Inputs!$K$5:$AJ$120,0,MATCH(I$2,Inputs!$K$4:$AJ$4,0))))+SUMPRODUCT((Inputs!$C$5:$C$120=$B17)*ISNUMBER(INDEX(Inputs!$K$5:$AJ$120,0,MATCH(I$2,Inputs!$K$4:$AJ$4,0))))+SUMPRODUCT((Inputs!$E$5:$E$120=$B17)*ISNUMBER(INDEX(Inputs!$K$5:$AJ$120,0,MATCH(I$2,Inputs!$K$4:$AJ$4,0))))=0,NA(),SUMPRODUCT((Inputs!$A$5:$A$120=$B17)*Inputs!$B$5:$B$120*(((Inputs!$G$5:$G$120="moeda")+(Inputs!$G$5:$G$120="acoes"))*Inputs!$B$1+((Inputs!$G$5:$G$120&lt;&gt;"moeda")*(Inputs!$G$5:$G$120&lt;&gt;"acoes")))*INDEX(Inputs!$K$5:$AJ$120,0,MATCH(I$2,Inputs!$K$4:$AJ$4,0)))+SUMPRODUCT((Inputs!$C$5:$C$120=$B17)*Inputs!$D$5:$D$120*(((Inputs!$G$5:$G$120="moeda")+(Inputs!$G$5:$G$120="acoes"))*Inputs!$B$1+((Inputs!$G$5:$G$120&lt;&gt;"moeda")*(Inputs!$G$5:$G$120&lt;&gt;"acoes")))*INDEX(Inputs!$K$5:$AJ$120,0,MATCH(I$2,Inputs!$K$4:$AJ$4,0)))+SUMPRODUCT((Inputs!$E$5:$E$120=$B17)*Inputs!$F$5:$F$120*(((Inputs!$G$5:$G$120="moeda")+(Inputs!$G$5:$G$120="acoes"))*Inputs!$B$1+((Inputs!$G$5:$G$120&lt;&gt;"moeda")*(Inputs!$G$5:$G$120&lt;&gt;"acoes")))*INDEX(Inputs!$K$5:$AJ$120,0,MATCH(I$2,Inputs!$K$4:$AJ$4,0)))))</f>
        <v>10988</v>
      </c>
      <c r="J17" s="267">
        <f>IF(ISNA(MATCH(J$2,Inputs!$K$4:$AJ$4,0)),NA(),IF(SUMPRODUCT((Inputs!$A$5:$A$120=$B17)*ISNUMBER(INDEX(Inputs!$K$5:$AJ$120,0,MATCH(J$2,Inputs!$K$4:$AJ$4,0))))+SUMPRODUCT((Inputs!$C$5:$C$120=$B17)*ISNUMBER(INDEX(Inputs!$K$5:$AJ$120,0,MATCH(J$2,Inputs!$K$4:$AJ$4,0))))+SUMPRODUCT((Inputs!$E$5:$E$120=$B17)*ISNUMBER(INDEX(Inputs!$K$5:$AJ$120,0,MATCH(J$2,Inputs!$K$4:$AJ$4,0))))=0,NA(),SUMPRODUCT((Inputs!$A$5:$A$120=$B17)*Inputs!$B$5:$B$120*(((Inputs!$G$5:$G$120="moeda")+(Inputs!$G$5:$G$120="acoes"))*Inputs!$B$1+((Inputs!$G$5:$G$120&lt;&gt;"moeda")*(Inputs!$G$5:$G$120&lt;&gt;"acoes")))*INDEX(Inputs!$K$5:$AJ$120,0,MATCH(J$2,Inputs!$K$4:$AJ$4,0)))+SUMPRODUCT((Inputs!$C$5:$C$120=$B17)*Inputs!$D$5:$D$120*(((Inputs!$G$5:$G$120="moeda")+(Inputs!$G$5:$G$120="acoes"))*Inputs!$B$1+((Inputs!$G$5:$G$120&lt;&gt;"moeda")*(Inputs!$G$5:$G$120&lt;&gt;"acoes")))*INDEX(Inputs!$K$5:$AJ$120,0,MATCH(J$2,Inputs!$K$4:$AJ$4,0)))+SUMPRODUCT((Inputs!$E$5:$E$120=$B17)*Inputs!$F$5:$F$120*(((Inputs!$G$5:$G$120="moeda")+(Inputs!$G$5:$G$120="acoes"))*Inputs!$B$1+((Inputs!$G$5:$G$120&lt;&gt;"moeda")*(Inputs!$G$5:$G$120&lt;&gt;"acoes")))*INDEX(Inputs!$K$5:$AJ$120,0,MATCH(J$2,Inputs!$K$4:$AJ$4,0)))))</f>
        <v>10481</v>
      </c>
      <c r="K17" s="267">
        <f>IF(ISNA(MATCH(K$2,Inputs!$K$4:$AJ$4,0)),NA(),IF(SUMPRODUCT((Inputs!$A$5:$A$120=$B17)*ISNUMBER(INDEX(Inputs!$K$5:$AJ$120,0,MATCH(K$2,Inputs!$K$4:$AJ$4,0))))+SUMPRODUCT((Inputs!$C$5:$C$120=$B17)*ISNUMBER(INDEX(Inputs!$K$5:$AJ$120,0,MATCH(K$2,Inputs!$K$4:$AJ$4,0))))+SUMPRODUCT((Inputs!$E$5:$E$120=$B17)*ISNUMBER(INDEX(Inputs!$K$5:$AJ$120,0,MATCH(K$2,Inputs!$K$4:$AJ$4,0))))=0,NA(),SUMPRODUCT((Inputs!$A$5:$A$120=$B17)*Inputs!$B$5:$B$120*(((Inputs!$G$5:$G$120="moeda")+(Inputs!$G$5:$G$120="acoes"))*Inputs!$B$1+((Inputs!$G$5:$G$120&lt;&gt;"moeda")*(Inputs!$G$5:$G$120&lt;&gt;"acoes")))*INDEX(Inputs!$K$5:$AJ$120,0,MATCH(K$2,Inputs!$K$4:$AJ$4,0)))+SUMPRODUCT((Inputs!$C$5:$C$120=$B17)*Inputs!$D$5:$D$120*(((Inputs!$G$5:$G$120="moeda")+(Inputs!$G$5:$G$120="acoes"))*Inputs!$B$1+((Inputs!$G$5:$G$120&lt;&gt;"moeda")*(Inputs!$G$5:$G$120&lt;&gt;"acoes")))*INDEX(Inputs!$K$5:$AJ$120,0,MATCH(K$2,Inputs!$K$4:$AJ$4,0)))+SUMPRODUCT((Inputs!$E$5:$E$120=$B17)*Inputs!$F$5:$F$120*(((Inputs!$G$5:$G$120="moeda")+(Inputs!$G$5:$G$120="acoes"))*Inputs!$B$1+((Inputs!$G$5:$G$120&lt;&gt;"moeda")*(Inputs!$G$5:$G$120&lt;&gt;"acoes")))*INDEX(Inputs!$K$5:$AJ$120,0,MATCH(K$2,Inputs!$K$4:$AJ$4,0)))))</f>
        <v>8112</v>
      </c>
      <c r="L17" s="267">
        <f>IF(ISNA(MATCH(L$2,Inputs!$K$4:$AJ$4,0)),NA(),IF(SUMPRODUCT((Inputs!$A$5:$A$120=$B17)*ISNUMBER(INDEX(Inputs!$K$5:$AJ$120,0,MATCH(L$2,Inputs!$K$4:$AJ$4,0))))+SUMPRODUCT((Inputs!$C$5:$C$120=$B17)*ISNUMBER(INDEX(Inputs!$K$5:$AJ$120,0,MATCH(L$2,Inputs!$K$4:$AJ$4,0))))+SUMPRODUCT((Inputs!$E$5:$E$120=$B17)*ISNUMBER(INDEX(Inputs!$K$5:$AJ$120,0,MATCH(L$2,Inputs!$K$4:$AJ$4,0))))=0,NA(),SUMPRODUCT((Inputs!$A$5:$A$120=$B17)*Inputs!$B$5:$B$120*(((Inputs!$G$5:$G$120="moeda")+(Inputs!$G$5:$G$120="acoes"))*Inputs!$B$1+((Inputs!$G$5:$G$120&lt;&gt;"moeda")*(Inputs!$G$5:$G$120&lt;&gt;"acoes")))*INDEX(Inputs!$K$5:$AJ$120,0,MATCH(L$2,Inputs!$K$4:$AJ$4,0)))+SUMPRODUCT((Inputs!$C$5:$C$120=$B17)*Inputs!$D$5:$D$120*(((Inputs!$G$5:$G$120="moeda")+(Inputs!$G$5:$G$120="acoes"))*Inputs!$B$1+((Inputs!$G$5:$G$120&lt;&gt;"moeda")*(Inputs!$G$5:$G$120&lt;&gt;"acoes")))*INDEX(Inputs!$K$5:$AJ$120,0,MATCH(L$2,Inputs!$K$4:$AJ$4,0)))+SUMPRODUCT((Inputs!$E$5:$E$120=$B17)*Inputs!$F$5:$F$120*(((Inputs!$G$5:$G$120="moeda")+(Inputs!$G$5:$G$120="acoes"))*Inputs!$B$1+((Inputs!$G$5:$G$120&lt;&gt;"moeda")*(Inputs!$G$5:$G$120&lt;&gt;"acoes")))*INDEX(Inputs!$K$5:$AJ$120,0,MATCH(L$2,Inputs!$K$4:$AJ$4,0)))))</f>
        <v>8408</v>
      </c>
      <c r="M17" s="268">
        <f>L17</f>
        <v>8408</v>
      </c>
      <c r="N17" s="267">
        <f>IF(ISNA(MATCH(N$2,Inputs!$K$4:$AJ$4,0)),NA(),IF(SUMPRODUCT((Inputs!$A$5:$A$120=$B17)*ISNUMBER(INDEX(Inputs!$K$5:$AJ$120,0,MATCH(N$2,Inputs!$K$4:$AJ$4,0))))+SUMPRODUCT((Inputs!$C$5:$C$120=$B17)*ISNUMBER(INDEX(Inputs!$K$5:$AJ$120,0,MATCH(N$2,Inputs!$K$4:$AJ$4,0))))+SUMPRODUCT((Inputs!$E$5:$E$120=$B17)*ISNUMBER(INDEX(Inputs!$K$5:$AJ$120,0,MATCH(N$2,Inputs!$K$4:$AJ$4,0))))=0,NA(),SUMPRODUCT((Inputs!$A$5:$A$120=$B17)*Inputs!$B$5:$B$120*(((Inputs!$G$5:$G$120="moeda")+(Inputs!$G$5:$G$120="acoes"))*Inputs!$B$1+((Inputs!$G$5:$G$120&lt;&gt;"moeda")*(Inputs!$G$5:$G$120&lt;&gt;"acoes")))*INDEX(Inputs!$K$5:$AJ$120,0,MATCH(N$2,Inputs!$K$4:$AJ$4,0)))+SUMPRODUCT((Inputs!$C$5:$C$120=$B17)*Inputs!$D$5:$D$120*(((Inputs!$G$5:$G$120="moeda")+(Inputs!$G$5:$G$120="acoes"))*Inputs!$B$1+((Inputs!$G$5:$G$120&lt;&gt;"moeda")*(Inputs!$G$5:$G$120&lt;&gt;"acoes")))*INDEX(Inputs!$K$5:$AJ$120,0,MATCH(N$2,Inputs!$K$4:$AJ$4,0)))+SUMPRODUCT((Inputs!$E$5:$E$120=$B17)*Inputs!$F$5:$F$120*(((Inputs!$G$5:$G$120="moeda")+(Inputs!$G$5:$G$120="acoes"))*Inputs!$B$1+((Inputs!$G$5:$G$120&lt;&gt;"moeda")*(Inputs!$G$5:$G$120&lt;&gt;"acoes")))*INDEX(Inputs!$K$5:$AJ$120,0,MATCH(N$2,Inputs!$K$4:$AJ$4,0)))))</f>
        <v>8952</v>
      </c>
      <c r="O17" s="267">
        <f>IF(ISNA(MATCH(O$2,Inputs!$K$4:$AJ$4,0)),NA(),IF(SUMPRODUCT((Inputs!$A$5:$A$120=$B17)*ISNUMBER(INDEX(Inputs!$K$5:$AJ$120,0,MATCH(O$2,Inputs!$K$4:$AJ$4,0))))+SUMPRODUCT((Inputs!$C$5:$C$120=$B17)*ISNUMBER(INDEX(Inputs!$K$5:$AJ$120,0,MATCH(O$2,Inputs!$K$4:$AJ$4,0))))+SUMPRODUCT((Inputs!$E$5:$E$120=$B17)*ISNUMBER(INDEX(Inputs!$K$5:$AJ$120,0,MATCH(O$2,Inputs!$K$4:$AJ$4,0))))=0,NA(),SUMPRODUCT((Inputs!$A$5:$A$120=$B17)*Inputs!$B$5:$B$120*(((Inputs!$G$5:$G$120="moeda")+(Inputs!$G$5:$G$120="acoes"))*Inputs!$B$1+((Inputs!$G$5:$G$120&lt;&gt;"moeda")*(Inputs!$G$5:$G$120&lt;&gt;"acoes")))*INDEX(Inputs!$K$5:$AJ$120,0,MATCH(O$2,Inputs!$K$4:$AJ$4,0)))+SUMPRODUCT((Inputs!$C$5:$C$120=$B17)*Inputs!$D$5:$D$120*(((Inputs!$G$5:$G$120="moeda")+(Inputs!$G$5:$G$120="acoes"))*Inputs!$B$1+((Inputs!$G$5:$G$120&lt;&gt;"moeda")*(Inputs!$G$5:$G$120&lt;&gt;"acoes")))*INDEX(Inputs!$K$5:$AJ$120,0,MATCH(O$2,Inputs!$K$4:$AJ$4,0)))+SUMPRODUCT((Inputs!$E$5:$E$120=$B17)*Inputs!$F$5:$F$120*(((Inputs!$G$5:$G$120="moeda")+(Inputs!$G$5:$G$120="acoes"))*Inputs!$B$1+((Inputs!$G$5:$G$120&lt;&gt;"moeda")*(Inputs!$G$5:$G$120&lt;&gt;"acoes")))*INDEX(Inputs!$K$5:$AJ$120,0,MATCH(O$2,Inputs!$K$4:$AJ$4,0)))))</f>
        <v>8806</v>
      </c>
      <c r="P17" s="267">
        <f>IF(ISNA(MATCH(P$2,Inputs!$K$4:$AJ$4,0)),NA(),IF(SUMPRODUCT((Inputs!$A$5:$A$120=$B17)*ISNUMBER(INDEX(Inputs!$K$5:$AJ$120,0,MATCH(P$2,Inputs!$K$4:$AJ$4,0))))+SUMPRODUCT((Inputs!$C$5:$C$120=$B17)*ISNUMBER(INDEX(Inputs!$K$5:$AJ$120,0,MATCH(P$2,Inputs!$K$4:$AJ$4,0))))+SUMPRODUCT((Inputs!$E$5:$E$120=$B17)*ISNUMBER(INDEX(Inputs!$K$5:$AJ$120,0,MATCH(P$2,Inputs!$K$4:$AJ$4,0))))=0,NA(),SUMPRODUCT((Inputs!$A$5:$A$120=$B17)*Inputs!$B$5:$B$120*(((Inputs!$G$5:$G$120="moeda")+(Inputs!$G$5:$G$120="acoes"))*Inputs!$B$1+((Inputs!$G$5:$G$120&lt;&gt;"moeda")*(Inputs!$G$5:$G$120&lt;&gt;"acoes")))*INDEX(Inputs!$K$5:$AJ$120,0,MATCH(P$2,Inputs!$K$4:$AJ$4,0)))+SUMPRODUCT((Inputs!$C$5:$C$120=$B17)*Inputs!$D$5:$D$120*(((Inputs!$G$5:$G$120="moeda")+(Inputs!$G$5:$G$120="acoes"))*Inputs!$B$1+((Inputs!$G$5:$G$120&lt;&gt;"moeda")*(Inputs!$G$5:$G$120&lt;&gt;"acoes")))*INDEX(Inputs!$K$5:$AJ$120,0,MATCH(P$2,Inputs!$K$4:$AJ$4,0)))+SUMPRODUCT((Inputs!$E$5:$E$120=$B17)*Inputs!$F$5:$F$120*(((Inputs!$G$5:$G$120="moeda")+(Inputs!$G$5:$G$120="acoes"))*Inputs!$B$1+((Inputs!$G$5:$G$120&lt;&gt;"moeda")*(Inputs!$G$5:$G$120&lt;&gt;"acoes")))*INDEX(Inputs!$K$5:$AJ$120,0,MATCH(P$2,Inputs!$K$4:$AJ$4,0)))))</f>
        <v>7548</v>
      </c>
      <c r="Q17" s="267">
        <f>IF(ISNA(MATCH(Q$2,Inputs!$K$4:$AJ$4,0)),NA(),IF(SUMPRODUCT((Inputs!$A$5:$A$120=$B17)*ISNUMBER(INDEX(Inputs!$K$5:$AJ$120,0,MATCH(Q$2,Inputs!$K$4:$AJ$4,0))))+SUMPRODUCT((Inputs!$C$5:$C$120=$B17)*ISNUMBER(INDEX(Inputs!$K$5:$AJ$120,0,MATCH(Q$2,Inputs!$K$4:$AJ$4,0))))+SUMPRODUCT((Inputs!$E$5:$E$120=$B17)*ISNUMBER(INDEX(Inputs!$K$5:$AJ$120,0,MATCH(Q$2,Inputs!$K$4:$AJ$4,0))))=0,NA(),SUMPRODUCT((Inputs!$A$5:$A$120=$B17)*Inputs!$B$5:$B$120*(((Inputs!$G$5:$G$120="moeda")+(Inputs!$G$5:$G$120="acoes"))*Inputs!$B$1+((Inputs!$G$5:$G$120&lt;&gt;"moeda")*(Inputs!$G$5:$G$120&lt;&gt;"acoes")))*INDEX(Inputs!$K$5:$AJ$120,0,MATCH(Q$2,Inputs!$K$4:$AJ$4,0)))+SUMPRODUCT((Inputs!$C$5:$C$120=$B17)*Inputs!$D$5:$D$120*(((Inputs!$G$5:$G$120="moeda")+(Inputs!$G$5:$G$120="acoes"))*Inputs!$B$1+((Inputs!$G$5:$G$120&lt;&gt;"moeda")*(Inputs!$G$5:$G$120&lt;&gt;"acoes")))*INDEX(Inputs!$K$5:$AJ$120,0,MATCH(Q$2,Inputs!$K$4:$AJ$4,0)))+SUMPRODUCT((Inputs!$E$5:$E$120=$B17)*Inputs!$F$5:$F$120*(((Inputs!$G$5:$G$120="moeda")+(Inputs!$G$5:$G$120="acoes"))*Inputs!$B$1+((Inputs!$G$5:$G$120&lt;&gt;"moeda")*(Inputs!$G$5:$G$120&lt;&gt;"acoes")))*INDEX(Inputs!$K$5:$AJ$120,0,MATCH(Q$2,Inputs!$K$4:$AJ$4,0)))))</f>
        <v>7105</v>
      </c>
      <c r="R17" s="268">
        <f>Q17</f>
        <v>7105</v>
      </c>
      <c r="S17" s="267">
        <f>IF(ISNA(MATCH(S$2,Inputs!$K$4:$AJ$4,0)),NA(),IF(SUMPRODUCT((Inputs!$A$5:$A$120=$B17)*ISNUMBER(INDEX(Inputs!$K$5:$AJ$120,0,MATCH(S$2,Inputs!$K$4:$AJ$4,0))))+SUMPRODUCT((Inputs!$C$5:$C$120=$B17)*ISNUMBER(INDEX(Inputs!$K$5:$AJ$120,0,MATCH(S$2,Inputs!$K$4:$AJ$4,0))))+SUMPRODUCT((Inputs!$E$5:$E$120=$B17)*ISNUMBER(INDEX(Inputs!$K$5:$AJ$120,0,MATCH(S$2,Inputs!$K$4:$AJ$4,0))))=0,NA(),SUMPRODUCT((Inputs!$A$5:$A$120=$B17)*Inputs!$B$5:$B$120*(((Inputs!$G$5:$G$120="moeda")+(Inputs!$G$5:$G$120="acoes"))*Inputs!$B$1+((Inputs!$G$5:$G$120&lt;&gt;"moeda")*(Inputs!$G$5:$G$120&lt;&gt;"acoes")))*INDEX(Inputs!$K$5:$AJ$120,0,MATCH(S$2,Inputs!$K$4:$AJ$4,0)))+SUMPRODUCT((Inputs!$C$5:$C$120=$B17)*Inputs!$D$5:$D$120*(((Inputs!$G$5:$G$120="moeda")+(Inputs!$G$5:$G$120="acoes"))*Inputs!$B$1+((Inputs!$G$5:$G$120&lt;&gt;"moeda")*(Inputs!$G$5:$G$120&lt;&gt;"acoes")))*INDEX(Inputs!$K$5:$AJ$120,0,MATCH(S$2,Inputs!$K$4:$AJ$4,0)))+SUMPRODUCT((Inputs!$E$5:$E$120=$B17)*Inputs!$F$5:$F$120*(((Inputs!$G$5:$G$120="moeda")+(Inputs!$G$5:$G$120="acoes"))*Inputs!$B$1+((Inputs!$G$5:$G$120&lt;&gt;"moeda")*(Inputs!$G$5:$G$120&lt;&gt;"acoes")))*INDEX(Inputs!$K$5:$AJ$120,0,MATCH(S$2,Inputs!$K$4:$AJ$4,0)))))</f>
        <v>7505</v>
      </c>
      <c r="T17" s="267">
        <f>IF(ISNA(MATCH(T$2,Inputs!$K$4:$AJ$4,0)),NA(),IF(SUMPRODUCT((Inputs!$A$5:$A$120=$B17)*ISNUMBER(INDEX(Inputs!$K$5:$AJ$120,0,MATCH(T$2,Inputs!$K$4:$AJ$4,0))))+SUMPRODUCT((Inputs!$C$5:$C$120=$B17)*ISNUMBER(INDEX(Inputs!$K$5:$AJ$120,0,MATCH(T$2,Inputs!$K$4:$AJ$4,0))))+SUMPRODUCT((Inputs!$E$5:$E$120=$B17)*ISNUMBER(INDEX(Inputs!$K$5:$AJ$120,0,MATCH(T$2,Inputs!$K$4:$AJ$4,0))))=0,NA(),SUMPRODUCT((Inputs!$A$5:$A$120=$B17)*Inputs!$B$5:$B$120*(((Inputs!$G$5:$G$120="moeda")+(Inputs!$G$5:$G$120="acoes"))*Inputs!$B$1+((Inputs!$G$5:$G$120&lt;&gt;"moeda")*(Inputs!$G$5:$G$120&lt;&gt;"acoes")))*INDEX(Inputs!$K$5:$AJ$120,0,MATCH(T$2,Inputs!$K$4:$AJ$4,0)))+SUMPRODUCT((Inputs!$C$5:$C$120=$B17)*Inputs!$D$5:$D$120*(((Inputs!$G$5:$G$120="moeda")+(Inputs!$G$5:$G$120="acoes"))*Inputs!$B$1+((Inputs!$G$5:$G$120&lt;&gt;"moeda")*(Inputs!$G$5:$G$120&lt;&gt;"acoes")))*INDEX(Inputs!$K$5:$AJ$120,0,MATCH(T$2,Inputs!$K$4:$AJ$4,0)))+SUMPRODUCT((Inputs!$E$5:$E$120=$B17)*Inputs!$F$5:$F$120*(((Inputs!$G$5:$G$120="moeda")+(Inputs!$G$5:$G$120="acoes"))*Inputs!$B$1+((Inputs!$G$5:$G$120&lt;&gt;"moeda")*(Inputs!$G$5:$G$120&lt;&gt;"acoes")))*INDEX(Inputs!$K$5:$AJ$120,0,MATCH(T$2,Inputs!$K$4:$AJ$4,0)))))</f>
        <v>8057</v>
      </c>
      <c r="U17" s="267">
        <f>IF(ISNA(MATCH(U$2,Inputs!$K$4:$AJ$4,0)),NA(),IF(SUMPRODUCT((Inputs!$A$5:$A$120=$B17)*ISNUMBER(INDEX(Inputs!$K$5:$AJ$120,0,MATCH(U$2,Inputs!$K$4:$AJ$4,0))))+SUMPRODUCT((Inputs!$C$5:$C$120=$B17)*ISNUMBER(INDEX(Inputs!$K$5:$AJ$120,0,MATCH(U$2,Inputs!$K$4:$AJ$4,0))))+SUMPRODUCT((Inputs!$E$5:$E$120=$B17)*ISNUMBER(INDEX(Inputs!$K$5:$AJ$120,0,MATCH(U$2,Inputs!$K$4:$AJ$4,0))))=0,NA(),SUMPRODUCT((Inputs!$A$5:$A$120=$B17)*Inputs!$B$5:$B$120*(((Inputs!$G$5:$G$120="moeda")+(Inputs!$G$5:$G$120="acoes"))*Inputs!$B$1+((Inputs!$G$5:$G$120&lt;&gt;"moeda")*(Inputs!$G$5:$G$120&lt;&gt;"acoes")))*INDEX(Inputs!$K$5:$AJ$120,0,MATCH(U$2,Inputs!$K$4:$AJ$4,0)))+SUMPRODUCT((Inputs!$C$5:$C$120=$B17)*Inputs!$D$5:$D$120*(((Inputs!$G$5:$G$120="moeda")+(Inputs!$G$5:$G$120="acoes"))*Inputs!$B$1+((Inputs!$G$5:$G$120&lt;&gt;"moeda")*(Inputs!$G$5:$G$120&lt;&gt;"acoes")))*INDEX(Inputs!$K$5:$AJ$120,0,MATCH(U$2,Inputs!$K$4:$AJ$4,0)))+SUMPRODUCT((Inputs!$E$5:$E$120=$B17)*Inputs!$F$5:$F$120*(((Inputs!$G$5:$G$120="moeda")+(Inputs!$G$5:$G$120="acoes"))*Inputs!$B$1+((Inputs!$G$5:$G$120&lt;&gt;"moeda")*(Inputs!$G$5:$G$120&lt;&gt;"acoes")))*INDEX(Inputs!$K$5:$AJ$120,0,MATCH(U$2,Inputs!$K$4:$AJ$4,0)))))</f>
        <v>7465</v>
      </c>
      <c r="V17" s="267">
        <f>IF(ISNA(MATCH(V$2,Inputs!$K$4:$AJ$4,0)),NA(),IF(SUMPRODUCT((Inputs!$A$5:$A$120=$B17)*ISNUMBER(INDEX(Inputs!$K$5:$AJ$120,0,MATCH(V$2,Inputs!$K$4:$AJ$4,0))))+SUMPRODUCT((Inputs!$C$5:$C$120=$B17)*ISNUMBER(INDEX(Inputs!$K$5:$AJ$120,0,MATCH(V$2,Inputs!$K$4:$AJ$4,0))))+SUMPRODUCT((Inputs!$E$5:$E$120=$B17)*ISNUMBER(INDEX(Inputs!$K$5:$AJ$120,0,MATCH(V$2,Inputs!$K$4:$AJ$4,0))))=0,NA(),SUMPRODUCT((Inputs!$A$5:$A$120=$B17)*Inputs!$B$5:$B$120*(((Inputs!$G$5:$G$120="moeda")+(Inputs!$G$5:$G$120="acoes"))*Inputs!$B$1+((Inputs!$G$5:$G$120&lt;&gt;"moeda")*(Inputs!$G$5:$G$120&lt;&gt;"acoes")))*INDEX(Inputs!$K$5:$AJ$120,0,MATCH(V$2,Inputs!$K$4:$AJ$4,0)))+SUMPRODUCT((Inputs!$C$5:$C$120=$B17)*Inputs!$D$5:$D$120*(((Inputs!$G$5:$G$120="moeda")+(Inputs!$G$5:$G$120="acoes"))*Inputs!$B$1+((Inputs!$G$5:$G$120&lt;&gt;"moeda")*(Inputs!$G$5:$G$120&lt;&gt;"acoes")))*INDEX(Inputs!$K$5:$AJ$120,0,MATCH(V$2,Inputs!$K$4:$AJ$4,0)))+SUMPRODUCT((Inputs!$E$5:$E$120=$B17)*Inputs!$F$5:$F$120*(((Inputs!$G$5:$G$120="moeda")+(Inputs!$G$5:$G$120="acoes"))*Inputs!$B$1+((Inputs!$G$5:$G$120&lt;&gt;"moeda")*(Inputs!$G$5:$G$120&lt;&gt;"acoes")))*INDEX(Inputs!$K$5:$AJ$120,0,MATCH(V$2,Inputs!$K$4:$AJ$4,0)))))</f>
        <v>6491</v>
      </c>
      <c r="W17" s="268">
        <f>V17</f>
        <v>6491</v>
      </c>
      <c r="X17" s="267">
        <f>IF(ISNA(MATCH(X$2,Inputs!$K$4:$AJ$4,0)),NA(),IF(SUMPRODUCT((Inputs!$A$5:$A$120=$B17)*ISNUMBER(INDEX(Inputs!$K$5:$AJ$120,0,MATCH(X$2,Inputs!$K$4:$AJ$4,0))))+SUMPRODUCT((Inputs!$C$5:$C$120=$B17)*ISNUMBER(INDEX(Inputs!$K$5:$AJ$120,0,MATCH(X$2,Inputs!$K$4:$AJ$4,0))))+SUMPRODUCT((Inputs!$E$5:$E$120=$B17)*ISNUMBER(INDEX(Inputs!$K$5:$AJ$120,0,MATCH(X$2,Inputs!$K$4:$AJ$4,0))))=0,NA(),SUMPRODUCT((Inputs!$A$5:$A$120=$B17)*Inputs!$B$5:$B$120*(((Inputs!$G$5:$G$120="moeda")+(Inputs!$G$5:$G$120="acoes"))*Inputs!$B$1+((Inputs!$G$5:$G$120&lt;&gt;"moeda")*(Inputs!$G$5:$G$120&lt;&gt;"acoes")))*INDEX(Inputs!$K$5:$AJ$120,0,MATCH(X$2,Inputs!$K$4:$AJ$4,0)))+SUMPRODUCT((Inputs!$C$5:$C$120=$B17)*Inputs!$D$5:$D$120*(((Inputs!$G$5:$G$120="moeda")+(Inputs!$G$5:$G$120="acoes"))*Inputs!$B$1+((Inputs!$G$5:$G$120&lt;&gt;"moeda")*(Inputs!$G$5:$G$120&lt;&gt;"acoes")))*INDEX(Inputs!$K$5:$AJ$120,0,MATCH(X$2,Inputs!$K$4:$AJ$4,0)))+SUMPRODUCT((Inputs!$E$5:$E$120=$B17)*Inputs!$F$5:$F$120*(((Inputs!$G$5:$G$120="moeda")+(Inputs!$G$5:$G$120="acoes"))*Inputs!$B$1+((Inputs!$G$5:$G$120&lt;&gt;"moeda")*(Inputs!$G$5:$G$120&lt;&gt;"acoes")))*INDEX(Inputs!$K$5:$AJ$120,0,MATCH(X$2,Inputs!$K$4:$AJ$4,0)))))</f>
        <v>7817</v>
      </c>
      <c r="Y17" s="267">
        <f>IF(ISNA(MATCH(Y$2,Inputs!$K$4:$AJ$4,0)),NA(),IF(SUMPRODUCT((Inputs!$A$5:$A$120=$B17)*ISNUMBER(INDEX(Inputs!$K$5:$AJ$120,0,MATCH(Y$2,Inputs!$K$4:$AJ$4,0))))+SUMPRODUCT((Inputs!$C$5:$C$120=$B17)*ISNUMBER(INDEX(Inputs!$K$5:$AJ$120,0,MATCH(Y$2,Inputs!$K$4:$AJ$4,0))))+SUMPRODUCT((Inputs!$E$5:$E$120=$B17)*ISNUMBER(INDEX(Inputs!$K$5:$AJ$120,0,MATCH(Y$2,Inputs!$K$4:$AJ$4,0))))=0,NA(),SUMPRODUCT((Inputs!$A$5:$A$120=$B17)*Inputs!$B$5:$B$120*(((Inputs!$G$5:$G$120="moeda")+(Inputs!$G$5:$G$120="acoes"))*Inputs!$B$1+((Inputs!$G$5:$G$120&lt;&gt;"moeda")*(Inputs!$G$5:$G$120&lt;&gt;"acoes")))*INDEX(Inputs!$K$5:$AJ$120,0,MATCH(Y$2,Inputs!$K$4:$AJ$4,0)))+SUMPRODUCT((Inputs!$C$5:$C$120=$B17)*Inputs!$D$5:$D$120*(((Inputs!$G$5:$G$120="moeda")+(Inputs!$G$5:$G$120="acoes"))*Inputs!$B$1+((Inputs!$G$5:$G$120&lt;&gt;"moeda")*(Inputs!$G$5:$G$120&lt;&gt;"acoes")))*INDEX(Inputs!$K$5:$AJ$120,0,MATCH(Y$2,Inputs!$K$4:$AJ$4,0)))+SUMPRODUCT((Inputs!$E$5:$E$120=$B17)*Inputs!$F$5:$F$120*(((Inputs!$G$5:$G$120="moeda")+(Inputs!$G$5:$G$120="acoes"))*Inputs!$B$1+((Inputs!$G$5:$G$120&lt;&gt;"moeda")*(Inputs!$G$5:$G$120&lt;&gt;"acoes")))*INDEX(Inputs!$K$5:$AJ$120,0,MATCH(Y$2,Inputs!$K$4:$AJ$4,0)))))</f>
        <v>8014</v>
      </c>
      <c r="Z17" s="267">
        <f>IF(ISNA(MATCH(Z$2,Inputs!$K$4:$AJ$4,0)),NA(),IF(SUMPRODUCT((Inputs!$A$5:$A$120=$B17)*ISNUMBER(INDEX(Inputs!$K$5:$AJ$120,0,MATCH(Z$2,Inputs!$K$4:$AJ$4,0))))+SUMPRODUCT((Inputs!$C$5:$C$120=$B17)*ISNUMBER(INDEX(Inputs!$K$5:$AJ$120,0,MATCH(Z$2,Inputs!$K$4:$AJ$4,0))))+SUMPRODUCT((Inputs!$E$5:$E$120=$B17)*ISNUMBER(INDEX(Inputs!$K$5:$AJ$120,0,MATCH(Z$2,Inputs!$K$4:$AJ$4,0))))=0,NA(),SUMPRODUCT((Inputs!$A$5:$A$120=$B17)*Inputs!$B$5:$B$120*(((Inputs!$G$5:$G$120="moeda")+(Inputs!$G$5:$G$120="acoes"))*Inputs!$B$1+((Inputs!$G$5:$G$120&lt;&gt;"moeda")*(Inputs!$G$5:$G$120&lt;&gt;"acoes")))*INDEX(Inputs!$K$5:$AJ$120,0,MATCH(Z$2,Inputs!$K$4:$AJ$4,0)))+SUMPRODUCT((Inputs!$C$5:$C$120=$B17)*Inputs!$D$5:$D$120*(((Inputs!$G$5:$G$120="moeda")+(Inputs!$G$5:$G$120="acoes"))*Inputs!$B$1+((Inputs!$G$5:$G$120&lt;&gt;"moeda")*(Inputs!$G$5:$G$120&lt;&gt;"acoes")))*INDEX(Inputs!$K$5:$AJ$120,0,MATCH(Z$2,Inputs!$K$4:$AJ$4,0)))+SUMPRODUCT((Inputs!$E$5:$E$120=$B17)*Inputs!$F$5:$F$120*(((Inputs!$G$5:$G$120="moeda")+(Inputs!$G$5:$G$120="acoes"))*Inputs!$B$1+((Inputs!$G$5:$G$120&lt;&gt;"moeda")*(Inputs!$G$5:$G$120&lt;&gt;"acoes")))*INDEX(Inputs!$K$5:$AJ$120,0,MATCH(Z$2,Inputs!$K$4:$AJ$4,0)))))</f>
        <v>13312</v>
      </c>
      <c r="AA17" s="267">
        <f>IF(ISNA(MATCH(AA$2,Inputs!$K$4:$AJ$4,0)),NA(),IF(SUMPRODUCT((Inputs!$A$5:$A$120=$B17)*ISNUMBER(INDEX(Inputs!$K$5:$AJ$120,0,MATCH(AA$2,Inputs!$K$4:$AJ$4,0))))+SUMPRODUCT((Inputs!$C$5:$C$120=$B17)*ISNUMBER(INDEX(Inputs!$K$5:$AJ$120,0,MATCH(AA$2,Inputs!$K$4:$AJ$4,0))))+SUMPRODUCT((Inputs!$E$5:$E$120=$B17)*ISNUMBER(INDEX(Inputs!$K$5:$AJ$120,0,MATCH(AA$2,Inputs!$K$4:$AJ$4,0))))=0,NA(),SUMPRODUCT((Inputs!$A$5:$A$120=$B17)*Inputs!$B$5:$B$120*(((Inputs!$G$5:$G$120="moeda")+(Inputs!$G$5:$G$120="acoes"))*Inputs!$B$1+((Inputs!$G$5:$G$120&lt;&gt;"moeda")*(Inputs!$G$5:$G$120&lt;&gt;"acoes")))*INDEX(Inputs!$K$5:$AJ$120,0,MATCH(AA$2,Inputs!$K$4:$AJ$4,0)))+SUMPRODUCT((Inputs!$C$5:$C$120=$B17)*Inputs!$D$5:$D$120*(((Inputs!$G$5:$G$120="moeda")+(Inputs!$G$5:$G$120="acoes"))*Inputs!$B$1+((Inputs!$G$5:$G$120&lt;&gt;"moeda")*(Inputs!$G$5:$G$120&lt;&gt;"acoes")))*INDEX(Inputs!$K$5:$AJ$120,0,MATCH(AA$2,Inputs!$K$4:$AJ$4,0)))+SUMPRODUCT((Inputs!$E$5:$E$120=$B17)*Inputs!$F$5:$F$120*(((Inputs!$G$5:$G$120="moeda")+(Inputs!$G$5:$G$120="acoes"))*Inputs!$B$1+((Inputs!$G$5:$G$120&lt;&gt;"moeda")*(Inputs!$G$5:$G$120&lt;&gt;"acoes")))*INDEX(Inputs!$K$5:$AJ$120,0,MATCH(AA$2,Inputs!$K$4:$AJ$4,0)))))</f>
        <v>13198</v>
      </c>
      <c r="AB17" s="268">
        <f>AA17</f>
        <v>13198</v>
      </c>
      <c r="AC17" s="267">
        <f>IF(ISNA(MATCH(AC$2,Inputs!$K$4:$AJ$4,0)),NA(),IF(SUMPRODUCT((Inputs!$A$5:$A$120=$B17)*ISNUMBER(INDEX(Inputs!$K$5:$AJ$120,0,MATCH(AC$2,Inputs!$K$4:$AJ$4,0))))+SUMPRODUCT((Inputs!$C$5:$C$120=$B17)*ISNUMBER(INDEX(Inputs!$K$5:$AJ$120,0,MATCH(AC$2,Inputs!$K$4:$AJ$4,0))))+SUMPRODUCT((Inputs!$E$5:$E$120=$B17)*ISNUMBER(INDEX(Inputs!$K$5:$AJ$120,0,MATCH(AC$2,Inputs!$K$4:$AJ$4,0))))=0,NA(),SUMPRODUCT((Inputs!$A$5:$A$120=$B17)*Inputs!$B$5:$B$120*(((Inputs!$G$5:$G$120="moeda")+(Inputs!$G$5:$G$120="acoes"))*Inputs!$B$1+((Inputs!$G$5:$G$120&lt;&gt;"moeda")*(Inputs!$G$5:$G$120&lt;&gt;"acoes")))*INDEX(Inputs!$K$5:$AJ$120,0,MATCH(AC$2,Inputs!$K$4:$AJ$4,0)))+SUMPRODUCT((Inputs!$C$5:$C$120=$B17)*Inputs!$D$5:$D$120*(((Inputs!$G$5:$G$120="moeda")+(Inputs!$G$5:$G$120="acoes"))*Inputs!$B$1+((Inputs!$G$5:$G$120&lt;&gt;"moeda")*(Inputs!$G$5:$G$120&lt;&gt;"acoes")))*INDEX(Inputs!$K$5:$AJ$120,0,MATCH(AC$2,Inputs!$K$4:$AJ$4,0)))+SUMPRODUCT((Inputs!$E$5:$E$120=$B17)*Inputs!$F$5:$F$120*(((Inputs!$G$5:$G$120="moeda")+(Inputs!$G$5:$G$120="acoes"))*Inputs!$B$1+((Inputs!$G$5:$G$120&lt;&gt;"moeda")*(Inputs!$G$5:$G$120&lt;&gt;"acoes")))*INDEX(Inputs!$K$5:$AJ$120,0,MATCH(AC$2,Inputs!$K$4:$AJ$4,0)))))</f>
        <v>15428</v>
      </c>
      <c r="AD17" s="267">
        <f>IF(ISNA(MATCH(AD$2,Inputs!$K$4:$AJ$4,0)),NA(),IF(SUMPRODUCT((Inputs!$A$5:$A$120=$B17)*ISNUMBER(INDEX(Inputs!$K$5:$AJ$120,0,MATCH(AD$2,Inputs!$K$4:$AJ$4,0))))+SUMPRODUCT((Inputs!$C$5:$C$120=$B17)*ISNUMBER(INDEX(Inputs!$K$5:$AJ$120,0,MATCH(AD$2,Inputs!$K$4:$AJ$4,0))))+SUMPRODUCT((Inputs!$E$5:$E$120=$B17)*ISNUMBER(INDEX(Inputs!$K$5:$AJ$120,0,MATCH(AD$2,Inputs!$K$4:$AJ$4,0))))=0,NA(),SUMPRODUCT((Inputs!$A$5:$A$120=$B17)*Inputs!$B$5:$B$120*(((Inputs!$G$5:$G$120="moeda")+(Inputs!$G$5:$G$120="acoes"))*Inputs!$B$1+((Inputs!$G$5:$G$120&lt;&gt;"moeda")*(Inputs!$G$5:$G$120&lt;&gt;"acoes")))*INDEX(Inputs!$K$5:$AJ$120,0,MATCH(AD$2,Inputs!$K$4:$AJ$4,0)))+SUMPRODUCT((Inputs!$C$5:$C$120=$B17)*Inputs!$D$5:$D$120*(((Inputs!$G$5:$G$120="moeda")+(Inputs!$G$5:$G$120="acoes"))*Inputs!$B$1+((Inputs!$G$5:$G$120&lt;&gt;"moeda")*(Inputs!$G$5:$G$120&lt;&gt;"acoes")))*INDEX(Inputs!$K$5:$AJ$120,0,MATCH(AD$2,Inputs!$K$4:$AJ$4,0)))+SUMPRODUCT((Inputs!$E$5:$E$120=$B17)*Inputs!$F$5:$F$120*(((Inputs!$G$5:$G$120="moeda")+(Inputs!$G$5:$G$120="acoes"))*Inputs!$B$1+((Inputs!$G$5:$G$120&lt;&gt;"moeda")*(Inputs!$G$5:$G$120&lt;&gt;"acoes")))*INDEX(Inputs!$K$5:$AJ$120,0,MATCH(AD$2,Inputs!$K$4:$AJ$4,0)))))</f>
        <v>15461</v>
      </c>
      <c r="AE17" s="267" t="e">
        <f>IF(ISNA(MATCH(AE$2,Inputs!$K$4:$AJ$4,0)),NA(),IF(SUMPRODUCT((Inputs!$A$5:$A$120=$B17)*ISNUMBER(INDEX(Inputs!$K$5:$AJ$120,0,MATCH(AE$2,Inputs!$K$4:$AJ$4,0))))+SUMPRODUCT((Inputs!$C$5:$C$120=$B17)*ISNUMBER(INDEX(Inputs!$K$5:$AJ$120,0,MATCH(AE$2,Inputs!$K$4:$AJ$4,0))))+SUMPRODUCT((Inputs!$E$5:$E$120=$B17)*ISNUMBER(INDEX(Inputs!$K$5:$AJ$120,0,MATCH(AE$2,Inputs!$K$4:$AJ$4,0))))=0,NA(),SUMPRODUCT((Inputs!$A$5:$A$120=$B17)*Inputs!$B$5:$B$120*(((Inputs!$G$5:$G$120="moeda")+(Inputs!$G$5:$G$120="acoes"))*Inputs!$B$1+((Inputs!$G$5:$G$120&lt;&gt;"moeda")*(Inputs!$G$5:$G$120&lt;&gt;"acoes")))*INDEX(Inputs!$K$5:$AJ$120,0,MATCH(AE$2,Inputs!$K$4:$AJ$4,0)))+SUMPRODUCT((Inputs!$C$5:$C$120=$B17)*Inputs!$D$5:$D$120*(((Inputs!$G$5:$G$120="moeda")+(Inputs!$G$5:$G$120="acoes"))*Inputs!$B$1+((Inputs!$G$5:$G$120&lt;&gt;"moeda")*(Inputs!$G$5:$G$120&lt;&gt;"acoes")))*INDEX(Inputs!$K$5:$AJ$120,0,MATCH(AE$2,Inputs!$K$4:$AJ$4,0)))+SUMPRODUCT((Inputs!$E$5:$E$120=$B17)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7" s="267" t="e">
        <f>IF(ISNA(MATCH(AF$2,Inputs!$K$4:$AJ$4,0)),NA(),IF(SUMPRODUCT((Inputs!$A$5:$A$120=$B17)*ISNUMBER(INDEX(Inputs!$K$5:$AJ$120,0,MATCH(AF$2,Inputs!$K$4:$AJ$4,0))))+SUMPRODUCT((Inputs!$C$5:$C$120=$B17)*ISNUMBER(INDEX(Inputs!$K$5:$AJ$120,0,MATCH(AF$2,Inputs!$K$4:$AJ$4,0))))+SUMPRODUCT((Inputs!$E$5:$E$120=$B17)*ISNUMBER(INDEX(Inputs!$K$5:$AJ$120,0,MATCH(AF$2,Inputs!$K$4:$AJ$4,0))))=0,NA(),SUMPRODUCT((Inputs!$A$5:$A$120=$B17)*Inputs!$B$5:$B$120*(((Inputs!$G$5:$G$120="moeda")+(Inputs!$G$5:$G$120="acoes"))*Inputs!$B$1+((Inputs!$G$5:$G$120&lt;&gt;"moeda")*(Inputs!$G$5:$G$120&lt;&gt;"acoes")))*INDEX(Inputs!$K$5:$AJ$120,0,MATCH(AF$2,Inputs!$K$4:$AJ$4,0)))+SUMPRODUCT((Inputs!$C$5:$C$120=$B17)*Inputs!$D$5:$D$120*(((Inputs!$G$5:$G$120="moeda")+(Inputs!$G$5:$G$120="acoes"))*Inputs!$B$1+((Inputs!$G$5:$G$120&lt;&gt;"moeda")*(Inputs!$G$5:$G$120&lt;&gt;"acoes")))*INDEX(Inputs!$K$5:$AJ$120,0,MATCH(AF$2,Inputs!$K$4:$AJ$4,0)))+SUMPRODUCT((Inputs!$E$5:$E$120=$B17)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7" s="268" t="e">
        <f>AF17</f>
        <v>#N/A</v>
      </c>
      <c r="AH17" s="267">
        <f>IF(ISNA(MATCH(AH$2,Inputs!$K$4:$AJ$4,0)),NA(),IF(SUMPRODUCT((Inputs!$A$5:$A$120=$B17)*ISNUMBER(INDEX(Inputs!$K$5:$AJ$120,0,MATCH(AH$2,Inputs!$K$4:$AJ$4,0))))+SUMPRODUCT((Inputs!$C$5:$C$120=$B17)*ISNUMBER(INDEX(Inputs!$K$5:$AJ$120,0,MATCH(AH$2,Inputs!$K$4:$AJ$4,0))))+SUMPRODUCT((Inputs!$E$5:$E$120=$B17)*ISNUMBER(INDEX(Inputs!$K$5:$AJ$120,0,MATCH(AH$2,Inputs!$K$4:$AJ$4,0))))=0,NA(),SUMPRODUCT((Inputs!$A$5:$A$120=$B17)*Inputs!$B$5:$B$120*(((Inputs!$G$5:$G$120="moeda")+(Inputs!$G$5:$G$120="acoes"))*Inputs!$B$1+((Inputs!$G$5:$G$120&lt;&gt;"moeda")*(Inputs!$G$5:$G$120&lt;&gt;"acoes")))*INDEX(Inputs!$K$5:$AJ$120,0,MATCH(AH$2,Inputs!$K$4:$AJ$4,0)))+SUMPRODUCT((Inputs!$C$5:$C$120=$B17)*Inputs!$D$5:$D$120*(((Inputs!$G$5:$G$120="moeda")+(Inputs!$G$5:$G$120="acoes"))*Inputs!$B$1+((Inputs!$G$5:$G$120&lt;&gt;"moeda")*(Inputs!$G$5:$G$120&lt;&gt;"acoes")))*INDEX(Inputs!$K$5:$AJ$120,0,MATCH(AH$2,Inputs!$K$4:$AJ$4,0)))+SUMPRODUCT((Inputs!$E$5:$E$120=$B17)*Inputs!$F$5:$F$120*(((Inputs!$G$5:$G$120="moeda")+(Inputs!$G$5:$G$120="acoes"))*Inputs!$B$1+((Inputs!$G$5:$G$120&lt;&gt;"moeda")*(Inputs!$G$5:$G$120&lt;&gt;"acoes")))*INDEX(Inputs!$K$5:$AJ$120,0,MATCH(AH$2,Inputs!$K$4:$AJ$4,0)))))</f>
        <v>5451</v>
      </c>
      <c r="AI17" s="267">
        <f>IF(ISNA(MATCH(AI$2,Inputs!$K$4:$AJ$4,0)),NA(),IF(SUMPRODUCT((Inputs!$A$5:$A$120=$B17)*ISNUMBER(INDEX(Inputs!$K$5:$AJ$120,0,MATCH(AI$2,Inputs!$K$4:$AJ$4,0))))+SUMPRODUCT((Inputs!$C$5:$C$120=$B17)*ISNUMBER(INDEX(Inputs!$K$5:$AJ$120,0,MATCH(AI$2,Inputs!$K$4:$AJ$4,0))))+SUMPRODUCT((Inputs!$E$5:$E$120=$B17)*ISNUMBER(INDEX(Inputs!$K$5:$AJ$120,0,MATCH(AI$2,Inputs!$K$4:$AJ$4,0))))=0,NA(),SUMPRODUCT((Inputs!$A$5:$A$120=$B17)*Inputs!$B$5:$B$120*(((Inputs!$G$5:$G$120="moeda")+(Inputs!$G$5:$G$120="acoes"))*Inputs!$B$1+((Inputs!$G$5:$G$120&lt;&gt;"moeda")*(Inputs!$G$5:$G$120&lt;&gt;"acoes")))*INDEX(Inputs!$K$5:$AJ$120,0,MATCH(AI$2,Inputs!$K$4:$AJ$4,0)))+SUMPRODUCT((Inputs!$C$5:$C$120=$B17)*Inputs!$D$5:$D$120*(((Inputs!$G$5:$G$120="moeda")+(Inputs!$G$5:$G$120="acoes"))*Inputs!$B$1+((Inputs!$G$5:$G$120&lt;&gt;"moeda")*(Inputs!$G$5:$G$120&lt;&gt;"acoes")))*INDEX(Inputs!$K$5:$AJ$120,0,MATCH(AI$2,Inputs!$K$4:$AJ$4,0)))+SUMPRODUCT((Inputs!$E$5:$E$120=$B17)*Inputs!$F$5:$F$120*(((Inputs!$G$5:$G$120="moeda")+(Inputs!$G$5:$G$120="acoes"))*Inputs!$B$1+((Inputs!$G$5:$G$120&lt;&gt;"moeda")*(Inputs!$G$5:$G$120&lt;&gt;"acoes")))*INDEX(Inputs!$K$5:$AJ$120,0,MATCH(AI$2,Inputs!$K$4:$AJ$4,0)))))</f>
        <v>6007</v>
      </c>
      <c r="AJ17" s="267">
        <f>IF(ISNA(MATCH(AJ$2,Inputs!$K$4:$AJ$4,0)),NA(),IF(SUMPRODUCT((Inputs!$A$5:$A$120=$B17)*ISNUMBER(INDEX(Inputs!$K$5:$AJ$120,0,MATCH(AJ$2,Inputs!$K$4:$AJ$4,0))))+SUMPRODUCT((Inputs!$C$5:$C$120=$B17)*ISNUMBER(INDEX(Inputs!$K$5:$AJ$120,0,MATCH(AJ$2,Inputs!$K$4:$AJ$4,0))))+SUMPRODUCT((Inputs!$E$5:$E$120=$B17)*ISNUMBER(INDEX(Inputs!$K$5:$AJ$120,0,MATCH(AJ$2,Inputs!$K$4:$AJ$4,0))))=0,NA(),SUMPRODUCT((Inputs!$A$5:$A$120=$B17)*Inputs!$B$5:$B$120*(((Inputs!$G$5:$G$120="moeda")+(Inputs!$G$5:$G$120="acoes"))*Inputs!$B$1+((Inputs!$G$5:$G$120&lt;&gt;"moeda")*(Inputs!$G$5:$G$120&lt;&gt;"acoes")))*INDEX(Inputs!$K$5:$AJ$120,0,MATCH(AJ$2,Inputs!$K$4:$AJ$4,0)))+SUMPRODUCT((Inputs!$C$5:$C$120=$B17)*Inputs!$D$5:$D$120*(((Inputs!$G$5:$G$120="moeda")+(Inputs!$G$5:$G$120="acoes"))*Inputs!$B$1+((Inputs!$G$5:$G$120&lt;&gt;"moeda")*(Inputs!$G$5:$G$120&lt;&gt;"acoes")))*INDEX(Inputs!$K$5:$AJ$120,0,MATCH(AJ$2,Inputs!$K$4:$AJ$4,0)))+SUMPRODUCT((Inputs!$E$5:$E$120=$B17)*Inputs!$F$5:$F$120*(((Inputs!$G$5:$G$120="moeda")+(Inputs!$G$5:$G$120="acoes"))*Inputs!$B$1+((Inputs!$G$5:$G$120&lt;&gt;"moeda")*(Inputs!$G$5:$G$120&lt;&gt;"acoes")))*INDEX(Inputs!$K$5:$AJ$120,0,MATCH(AJ$2,Inputs!$K$4:$AJ$4,0)))))</f>
        <v>6463</v>
      </c>
      <c r="AK17" s="267">
        <f>IF(ISNA(MATCH(AK$2,Inputs!$K$4:$AJ$4,0)),NA(),IF(SUMPRODUCT((Inputs!$A$5:$A$120=$B17)*ISNUMBER(INDEX(Inputs!$K$5:$AJ$120,0,MATCH(AK$2,Inputs!$K$4:$AJ$4,0))))+SUMPRODUCT((Inputs!$C$5:$C$120=$B17)*ISNUMBER(INDEX(Inputs!$K$5:$AJ$120,0,MATCH(AK$2,Inputs!$K$4:$AJ$4,0))))+SUMPRODUCT((Inputs!$E$5:$E$120=$B17)*ISNUMBER(INDEX(Inputs!$K$5:$AJ$120,0,MATCH(AK$2,Inputs!$K$4:$AJ$4,0))))=0,NA(),SUMPRODUCT((Inputs!$A$5:$A$120=$B17)*Inputs!$B$5:$B$120*(((Inputs!$G$5:$G$120="moeda")+(Inputs!$G$5:$G$120="acoes"))*Inputs!$B$1+((Inputs!$G$5:$G$120&lt;&gt;"moeda")*(Inputs!$G$5:$G$120&lt;&gt;"acoes")))*INDEX(Inputs!$K$5:$AJ$120,0,MATCH(AK$2,Inputs!$K$4:$AJ$4,0)))+SUMPRODUCT((Inputs!$C$5:$C$120=$B17)*Inputs!$D$5:$D$120*(((Inputs!$G$5:$G$120="moeda")+(Inputs!$G$5:$G$120="acoes"))*Inputs!$B$1+((Inputs!$G$5:$G$120&lt;&gt;"moeda")*(Inputs!$G$5:$G$120&lt;&gt;"acoes")))*INDEX(Inputs!$K$5:$AJ$120,0,MATCH(AK$2,Inputs!$K$4:$AJ$4,0)))+SUMPRODUCT((Inputs!$E$5:$E$120=$B17)*Inputs!$F$5:$F$120*(((Inputs!$G$5:$G$120="moeda")+(Inputs!$G$5:$G$120="acoes"))*Inputs!$B$1+((Inputs!$G$5:$G$120&lt;&gt;"moeda")*(Inputs!$G$5:$G$120&lt;&gt;"acoes")))*INDEX(Inputs!$K$5:$AJ$120,0,MATCH(AK$2,Inputs!$K$4:$AJ$4,0)))))</f>
        <v>7172</v>
      </c>
      <c r="AL17" s="268">
        <f>AK17</f>
        <v>7172</v>
      </c>
    </row>
    <row r="18" ht="12.75" customHeight="1" s="255">
      <c r="B18" s="265" t="n">
        <v>14</v>
      </c>
      <c r="C18" s="270" t="inlineStr">
        <is>
          <t>Deferred income taxes</t>
        </is>
      </c>
      <c r="D18" s="267">
        <f>IF(ISNA(MATCH(D$2,Inputs!$K$4:$AJ$4,0)),NA(),IF(SUMPRODUCT((Inputs!$A$5:$A$120=$B18)*ISNUMBER(INDEX(Inputs!$K$5:$AJ$120,0,MATCH(D$2,Inputs!$K$4:$AJ$4,0))))+SUMPRODUCT((Inputs!$C$5:$C$120=$B18)*ISNUMBER(INDEX(Inputs!$K$5:$AJ$120,0,MATCH(D$2,Inputs!$K$4:$AJ$4,0))))+SUMPRODUCT((Inputs!$E$5:$E$120=$B18)*ISNUMBER(INDEX(Inputs!$K$5:$AJ$120,0,MATCH(D$2,Inputs!$K$4:$AJ$4,0))))=0,NA(),SUMPRODUCT((Inputs!$A$5:$A$120=$B18)*Inputs!$B$5:$B$120*(((Inputs!$G$5:$G$120="moeda")+(Inputs!$G$5:$G$120="acoes"))*Inputs!$B$1+((Inputs!$G$5:$G$120&lt;&gt;"moeda")*(Inputs!$G$5:$G$120&lt;&gt;"acoes")))*INDEX(Inputs!$K$5:$AJ$120,0,MATCH(D$2,Inputs!$K$4:$AJ$4,0)))+SUMPRODUCT((Inputs!$C$5:$C$120=$B18)*Inputs!$D$5:$D$120*(((Inputs!$G$5:$G$120="moeda")+(Inputs!$G$5:$G$120="acoes"))*Inputs!$B$1+((Inputs!$G$5:$G$120&lt;&gt;"moeda")*(Inputs!$G$5:$G$120&lt;&gt;"acoes")))*INDEX(Inputs!$K$5:$AJ$120,0,MATCH(D$2,Inputs!$K$4:$AJ$4,0)))+SUMPRODUCT((Inputs!$E$5:$E$120=$B18)*Inputs!$F$5:$F$120*(((Inputs!$G$5:$G$120="moeda")+(Inputs!$G$5:$G$120="acoes"))*Inputs!$B$1+((Inputs!$G$5:$G$120&lt;&gt;"moeda")*(Inputs!$G$5:$G$120&lt;&gt;"acoes")))*INDEX(Inputs!$K$5:$AJ$120,0,MATCH(D$2,Inputs!$K$4:$AJ$4,0)))))</f>
        <v>319</v>
      </c>
      <c r="E18" s="267">
        <f>IF(ISNA(MATCH(E$2,Inputs!$K$4:$AJ$4,0)),NA(),IF(SUMPRODUCT((Inputs!$A$5:$A$120=$B18)*ISNUMBER(INDEX(Inputs!$K$5:$AJ$120,0,MATCH(E$2,Inputs!$K$4:$AJ$4,0))))+SUMPRODUCT((Inputs!$C$5:$C$120=$B18)*ISNUMBER(INDEX(Inputs!$K$5:$AJ$120,0,MATCH(E$2,Inputs!$K$4:$AJ$4,0))))+SUMPRODUCT((Inputs!$E$5:$E$120=$B18)*ISNUMBER(INDEX(Inputs!$K$5:$AJ$120,0,MATCH(E$2,Inputs!$K$4:$AJ$4,0))))=0,NA(),SUMPRODUCT((Inputs!$A$5:$A$120=$B18)*Inputs!$B$5:$B$120*(((Inputs!$G$5:$G$120="moeda")+(Inputs!$G$5:$G$120="acoes"))*Inputs!$B$1+((Inputs!$G$5:$G$120&lt;&gt;"moeda")*(Inputs!$G$5:$G$120&lt;&gt;"acoes")))*INDEX(Inputs!$K$5:$AJ$120,0,MATCH(E$2,Inputs!$K$4:$AJ$4,0)))+SUMPRODUCT((Inputs!$C$5:$C$120=$B18)*Inputs!$D$5:$D$120*(((Inputs!$G$5:$G$120="moeda")+(Inputs!$G$5:$G$120="acoes"))*Inputs!$B$1+((Inputs!$G$5:$G$120&lt;&gt;"moeda")*(Inputs!$G$5:$G$120&lt;&gt;"acoes")))*INDEX(Inputs!$K$5:$AJ$120,0,MATCH(E$2,Inputs!$K$4:$AJ$4,0)))+SUMPRODUCT((Inputs!$E$5:$E$120=$B18)*Inputs!$F$5:$F$120*(((Inputs!$G$5:$G$120="moeda")+(Inputs!$G$5:$G$120="acoes"))*Inputs!$B$1+((Inputs!$G$5:$G$120&lt;&gt;"moeda")*(Inputs!$G$5:$G$120&lt;&gt;"acoes")))*INDEX(Inputs!$K$5:$AJ$120,0,MATCH(E$2,Inputs!$K$4:$AJ$4,0)))))</f>
        <v>473</v>
      </c>
      <c r="F18" s="267">
        <f>IF(ISNA(MATCH(F$2,Inputs!$K$4:$AJ$4,0)),NA(),IF(SUMPRODUCT((Inputs!$A$5:$A$120=$B18)*ISNUMBER(INDEX(Inputs!$K$5:$AJ$120,0,MATCH(F$2,Inputs!$K$4:$AJ$4,0))))+SUMPRODUCT((Inputs!$C$5:$C$120=$B18)*ISNUMBER(INDEX(Inputs!$K$5:$AJ$120,0,MATCH(F$2,Inputs!$K$4:$AJ$4,0))))+SUMPRODUCT((Inputs!$E$5:$E$120=$B18)*ISNUMBER(INDEX(Inputs!$K$5:$AJ$120,0,MATCH(F$2,Inputs!$K$4:$AJ$4,0))))=0,NA(),SUMPRODUCT((Inputs!$A$5:$A$120=$B18)*Inputs!$B$5:$B$120*(((Inputs!$G$5:$G$120="moeda")+(Inputs!$G$5:$G$120="acoes"))*Inputs!$B$1+((Inputs!$G$5:$G$120&lt;&gt;"moeda")*(Inputs!$G$5:$G$120&lt;&gt;"acoes")))*INDEX(Inputs!$K$5:$AJ$120,0,MATCH(F$2,Inputs!$K$4:$AJ$4,0)))+SUMPRODUCT((Inputs!$C$5:$C$120=$B18)*Inputs!$D$5:$D$120*(((Inputs!$G$5:$G$120="moeda")+(Inputs!$G$5:$G$120="acoes"))*Inputs!$B$1+((Inputs!$G$5:$G$120&lt;&gt;"moeda")*(Inputs!$G$5:$G$120&lt;&gt;"acoes")))*INDEX(Inputs!$K$5:$AJ$120,0,MATCH(F$2,Inputs!$K$4:$AJ$4,0)))+SUMPRODUCT((Inputs!$E$5:$E$120=$B18)*Inputs!$F$5:$F$120*(((Inputs!$G$5:$G$120="moeda")+(Inputs!$G$5:$G$120="acoes"))*Inputs!$B$1+((Inputs!$G$5:$G$120&lt;&gt;"moeda")*(Inputs!$G$5:$G$120&lt;&gt;"acoes")))*INDEX(Inputs!$K$5:$AJ$120,0,MATCH(F$2,Inputs!$K$4:$AJ$4,0)))))</f>
        <v>552</v>
      </c>
      <c r="G18" s="267">
        <f>IF(ISNA(MATCH(G$2,Inputs!$K$4:$AJ$4,0)),NA(),IF(SUMPRODUCT((Inputs!$A$5:$A$120=$B18)*ISNUMBER(INDEX(Inputs!$K$5:$AJ$120,0,MATCH(G$2,Inputs!$K$4:$AJ$4,0))))+SUMPRODUCT((Inputs!$C$5:$C$120=$B18)*ISNUMBER(INDEX(Inputs!$K$5:$AJ$120,0,MATCH(G$2,Inputs!$K$4:$AJ$4,0))))+SUMPRODUCT((Inputs!$E$5:$E$120=$B18)*ISNUMBER(INDEX(Inputs!$K$5:$AJ$120,0,MATCH(G$2,Inputs!$K$4:$AJ$4,0))))=0,NA(),SUMPRODUCT((Inputs!$A$5:$A$120=$B18)*Inputs!$B$5:$B$120*(((Inputs!$G$5:$G$120="moeda")+(Inputs!$G$5:$G$120="acoes"))*Inputs!$B$1+((Inputs!$G$5:$G$120&lt;&gt;"moeda")*(Inputs!$G$5:$G$120&lt;&gt;"acoes")))*INDEX(Inputs!$K$5:$AJ$120,0,MATCH(G$2,Inputs!$K$4:$AJ$4,0)))+SUMPRODUCT((Inputs!$C$5:$C$120=$B18)*Inputs!$D$5:$D$120*(((Inputs!$G$5:$G$120="moeda")+(Inputs!$G$5:$G$120="acoes"))*Inputs!$B$1+((Inputs!$G$5:$G$120&lt;&gt;"moeda")*(Inputs!$G$5:$G$120&lt;&gt;"acoes")))*INDEX(Inputs!$K$5:$AJ$120,0,MATCH(G$2,Inputs!$K$4:$AJ$4,0)))+SUMPRODUCT((Inputs!$E$5:$E$120=$B18)*Inputs!$F$5:$F$120*(((Inputs!$G$5:$G$120="moeda")+(Inputs!$G$5:$G$120="acoes"))*Inputs!$B$1+((Inputs!$G$5:$G$120&lt;&gt;"moeda")*(Inputs!$G$5:$G$120&lt;&gt;"acoes")))*INDEX(Inputs!$K$5:$AJ$120,0,MATCH(G$2,Inputs!$K$4:$AJ$4,0)))))</f>
        <v>550</v>
      </c>
      <c r="H18" s="268">
        <f>G18</f>
        <v>550</v>
      </c>
      <c r="I18" s="267">
        <f>IF(ISNA(MATCH(I$2,Inputs!$K$4:$AJ$4,0)),NA(),IF(SUMPRODUCT((Inputs!$A$5:$A$120=$B18)*ISNUMBER(INDEX(Inputs!$K$5:$AJ$120,0,MATCH(I$2,Inputs!$K$4:$AJ$4,0))))+SUMPRODUCT((Inputs!$C$5:$C$120=$B18)*ISNUMBER(INDEX(Inputs!$K$5:$AJ$120,0,MATCH(I$2,Inputs!$K$4:$AJ$4,0))))+SUMPRODUCT((Inputs!$E$5:$E$120=$B18)*ISNUMBER(INDEX(Inputs!$K$5:$AJ$120,0,MATCH(I$2,Inputs!$K$4:$AJ$4,0))))=0,NA(),SUMPRODUCT((Inputs!$A$5:$A$120=$B18)*Inputs!$B$5:$B$120*(((Inputs!$G$5:$G$120="moeda")+(Inputs!$G$5:$G$120="acoes"))*Inputs!$B$1+((Inputs!$G$5:$G$120&lt;&gt;"moeda")*(Inputs!$G$5:$G$120&lt;&gt;"acoes")))*INDEX(Inputs!$K$5:$AJ$120,0,MATCH(I$2,Inputs!$K$4:$AJ$4,0)))+SUMPRODUCT((Inputs!$C$5:$C$120=$B18)*Inputs!$D$5:$D$120*(((Inputs!$G$5:$G$120="moeda")+(Inputs!$G$5:$G$120="acoes"))*Inputs!$B$1+((Inputs!$G$5:$G$120&lt;&gt;"moeda")*(Inputs!$G$5:$G$120&lt;&gt;"acoes")))*INDEX(Inputs!$K$5:$AJ$120,0,MATCH(I$2,Inputs!$K$4:$AJ$4,0)))+SUMPRODUCT((Inputs!$E$5:$E$120=$B18)*Inputs!$F$5:$F$120*(((Inputs!$G$5:$G$120="moeda")+(Inputs!$G$5:$G$120="acoes"))*Inputs!$B$1+((Inputs!$G$5:$G$120&lt;&gt;"moeda")*(Inputs!$G$5:$G$120&lt;&gt;"acoes")))*INDEX(Inputs!$K$5:$AJ$120,0,MATCH(I$2,Inputs!$K$4:$AJ$4,0)))))</f>
        <v>689</v>
      </c>
      <c r="J18" s="267">
        <f>IF(ISNA(MATCH(J$2,Inputs!$K$4:$AJ$4,0)),NA(),IF(SUMPRODUCT((Inputs!$A$5:$A$120=$B18)*ISNUMBER(INDEX(Inputs!$K$5:$AJ$120,0,MATCH(J$2,Inputs!$K$4:$AJ$4,0))))+SUMPRODUCT((Inputs!$C$5:$C$120=$B18)*ISNUMBER(INDEX(Inputs!$K$5:$AJ$120,0,MATCH(J$2,Inputs!$K$4:$AJ$4,0))))+SUMPRODUCT((Inputs!$E$5:$E$120=$B18)*ISNUMBER(INDEX(Inputs!$K$5:$AJ$120,0,MATCH(J$2,Inputs!$K$4:$AJ$4,0))))=0,NA(),SUMPRODUCT((Inputs!$A$5:$A$120=$B18)*Inputs!$B$5:$B$120*(((Inputs!$G$5:$G$120="moeda")+(Inputs!$G$5:$G$120="acoes"))*Inputs!$B$1+((Inputs!$G$5:$G$120&lt;&gt;"moeda")*(Inputs!$G$5:$G$120&lt;&gt;"acoes")))*INDEX(Inputs!$K$5:$AJ$120,0,MATCH(J$2,Inputs!$K$4:$AJ$4,0)))+SUMPRODUCT((Inputs!$C$5:$C$120=$B18)*Inputs!$D$5:$D$120*(((Inputs!$G$5:$G$120="moeda")+(Inputs!$G$5:$G$120="acoes"))*Inputs!$B$1+((Inputs!$G$5:$G$120&lt;&gt;"moeda")*(Inputs!$G$5:$G$120&lt;&gt;"acoes")))*INDEX(Inputs!$K$5:$AJ$120,0,MATCH(J$2,Inputs!$K$4:$AJ$4,0)))+SUMPRODUCT((Inputs!$E$5:$E$120=$B18)*Inputs!$F$5:$F$120*(((Inputs!$G$5:$G$120="moeda")+(Inputs!$G$5:$G$120="acoes"))*Inputs!$B$1+((Inputs!$G$5:$G$120&lt;&gt;"moeda")*(Inputs!$G$5:$G$120&lt;&gt;"acoes")))*INDEX(Inputs!$K$5:$AJ$120,0,MATCH(J$2,Inputs!$K$4:$AJ$4,0)))))</f>
        <v>622</v>
      </c>
      <c r="K18" s="267">
        <f>IF(ISNA(MATCH(K$2,Inputs!$K$4:$AJ$4,0)),NA(),IF(SUMPRODUCT((Inputs!$A$5:$A$120=$B18)*ISNUMBER(INDEX(Inputs!$K$5:$AJ$120,0,MATCH(K$2,Inputs!$K$4:$AJ$4,0))))+SUMPRODUCT((Inputs!$C$5:$C$120=$B18)*ISNUMBER(INDEX(Inputs!$K$5:$AJ$120,0,MATCH(K$2,Inputs!$K$4:$AJ$4,0))))+SUMPRODUCT((Inputs!$E$5:$E$120=$B18)*ISNUMBER(INDEX(Inputs!$K$5:$AJ$120,0,MATCH(K$2,Inputs!$K$4:$AJ$4,0))))=0,NA(),SUMPRODUCT((Inputs!$A$5:$A$120=$B18)*Inputs!$B$5:$B$120*(((Inputs!$G$5:$G$120="moeda")+(Inputs!$G$5:$G$120="acoes"))*Inputs!$B$1+((Inputs!$G$5:$G$120&lt;&gt;"moeda")*(Inputs!$G$5:$G$120&lt;&gt;"acoes")))*INDEX(Inputs!$K$5:$AJ$120,0,MATCH(K$2,Inputs!$K$4:$AJ$4,0)))+SUMPRODUCT((Inputs!$C$5:$C$120=$B18)*Inputs!$D$5:$D$120*(((Inputs!$G$5:$G$120="moeda")+(Inputs!$G$5:$G$120="acoes"))*Inputs!$B$1+((Inputs!$G$5:$G$120&lt;&gt;"moeda")*(Inputs!$G$5:$G$120&lt;&gt;"acoes")))*INDEX(Inputs!$K$5:$AJ$120,0,MATCH(K$2,Inputs!$K$4:$AJ$4,0)))+SUMPRODUCT((Inputs!$E$5:$E$120=$B18)*Inputs!$F$5:$F$120*(((Inputs!$G$5:$G$120="moeda")+(Inputs!$G$5:$G$120="acoes"))*Inputs!$B$1+((Inputs!$G$5:$G$120&lt;&gt;"moeda")*(Inputs!$G$5:$G$120&lt;&gt;"acoes")))*INDEX(Inputs!$K$5:$AJ$120,0,MATCH(K$2,Inputs!$K$4:$AJ$4,0)))))</f>
        <v>638</v>
      </c>
      <c r="L18" s="267">
        <f>IF(ISNA(MATCH(L$2,Inputs!$K$4:$AJ$4,0)),NA(),IF(SUMPRODUCT((Inputs!$A$5:$A$120=$B18)*ISNUMBER(INDEX(Inputs!$K$5:$AJ$120,0,MATCH(L$2,Inputs!$K$4:$AJ$4,0))))+SUMPRODUCT((Inputs!$C$5:$C$120=$B18)*ISNUMBER(INDEX(Inputs!$K$5:$AJ$120,0,MATCH(L$2,Inputs!$K$4:$AJ$4,0))))+SUMPRODUCT((Inputs!$E$5:$E$120=$B18)*ISNUMBER(INDEX(Inputs!$K$5:$AJ$120,0,MATCH(L$2,Inputs!$K$4:$AJ$4,0))))=0,NA(),SUMPRODUCT((Inputs!$A$5:$A$120=$B18)*Inputs!$B$5:$B$120*(((Inputs!$G$5:$G$120="moeda")+(Inputs!$G$5:$G$120="acoes"))*Inputs!$B$1+((Inputs!$G$5:$G$120&lt;&gt;"moeda")*(Inputs!$G$5:$G$120&lt;&gt;"acoes")))*INDEX(Inputs!$K$5:$AJ$120,0,MATCH(L$2,Inputs!$K$4:$AJ$4,0)))+SUMPRODUCT((Inputs!$C$5:$C$120=$B18)*Inputs!$D$5:$D$120*(((Inputs!$G$5:$G$120="moeda")+(Inputs!$G$5:$G$120="acoes"))*Inputs!$B$1+((Inputs!$G$5:$G$120&lt;&gt;"moeda")*(Inputs!$G$5:$G$120&lt;&gt;"acoes")))*INDEX(Inputs!$K$5:$AJ$120,0,MATCH(L$2,Inputs!$K$4:$AJ$4,0)))+SUMPRODUCT((Inputs!$E$5:$E$120=$B18)*Inputs!$F$5:$F$120*(((Inputs!$G$5:$G$120="moeda")+(Inputs!$G$5:$G$120="acoes"))*Inputs!$B$1+((Inputs!$G$5:$G$120&lt;&gt;"moeda")*(Inputs!$G$5:$G$120&lt;&gt;"acoes")))*INDEX(Inputs!$K$5:$AJ$120,0,MATCH(L$2,Inputs!$K$4:$AJ$4,0)))))</f>
        <v>712</v>
      </c>
      <c r="M18" s="268">
        <f>L18</f>
        <v>712</v>
      </c>
      <c r="N18" s="267">
        <f>IF(ISNA(MATCH(N$2,Inputs!$K$4:$AJ$4,0)),NA(),IF(SUMPRODUCT((Inputs!$A$5:$A$120=$B18)*ISNUMBER(INDEX(Inputs!$K$5:$AJ$120,0,MATCH(N$2,Inputs!$K$4:$AJ$4,0))))+SUMPRODUCT((Inputs!$C$5:$C$120=$B18)*ISNUMBER(INDEX(Inputs!$K$5:$AJ$120,0,MATCH(N$2,Inputs!$K$4:$AJ$4,0))))+SUMPRODUCT((Inputs!$E$5:$E$120=$B18)*ISNUMBER(INDEX(Inputs!$K$5:$AJ$120,0,MATCH(N$2,Inputs!$K$4:$AJ$4,0))))=0,NA(),SUMPRODUCT((Inputs!$A$5:$A$120=$B18)*Inputs!$B$5:$B$120*(((Inputs!$G$5:$G$120="moeda")+(Inputs!$G$5:$G$120="acoes"))*Inputs!$B$1+((Inputs!$G$5:$G$120&lt;&gt;"moeda")*(Inputs!$G$5:$G$120&lt;&gt;"acoes")))*INDEX(Inputs!$K$5:$AJ$120,0,MATCH(N$2,Inputs!$K$4:$AJ$4,0)))+SUMPRODUCT((Inputs!$C$5:$C$120=$B18)*Inputs!$D$5:$D$120*(((Inputs!$G$5:$G$120="moeda")+(Inputs!$G$5:$G$120="acoes"))*Inputs!$B$1+((Inputs!$G$5:$G$120&lt;&gt;"moeda")*(Inputs!$G$5:$G$120&lt;&gt;"acoes")))*INDEX(Inputs!$K$5:$AJ$120,0,MATCH(N$2,Inputs!$K$4:$AJ$4,0)))+SUMPRODUCT((Inputs!$E$5:$E$120=$B18)*Inputs!$F$5:$F$120*(((Inputs!$G$5:$G$120="moeda")+(Inputs!$G$5:$G$120="acoes"))*Inputs!$B$1+((Inputs!$G$5:$G$120&lt;&gt;"moeda")*(Inputs!$G$5:$G$120&lt;&gt;"acoes")))*INDEX(Inputs!$K$5:$AJ$120,0,MATCH(N$2,Inputs!$K$4:$AJ$4,0)))))</f>
        <v>724</v>
      </c>
      <c r="O18" s="267">
        <f>IF(ISNA(MATCH(O$2,Inputs!$K$4:$AJ$4,0)),NA(),IF(SUMPRODUCT((Inputs!$A$5:$A$120=$B18)*ISNUMBER(INDEX(Inputs!$K$5:$AJ$120,0,MATCH(O$2,Inputs!$K$4:$AJ$4,0))))+SUMPRODUCT((Inputs!$C$5:$C$120=$B18)*ISNUMBER(INDEX(Inputs!$K$5:$AJ$120,0,MATCH(O$2,Inputs!$K$4:$AJ$4,0))))+SUMPRODUCT((Inputs!$E$5:$E$120=$B18)*ISNUMBER(INDEX(Inputs!$K$5:$AJ$120,0,MATCH(O$2,Inputs!$K$4:$AJ$4,0))))=0,NA(),SUMPRODUCT((Inputs!$A$5:$A$120=$B18)*Inputs!$B$5:$B$120*(((Inputs!$G$5:$G$120="moeda")+(Inputs!$G$5:$G$120="acoes"))*Inputs!$B$1+((Inputs!$G$5:$G$120&lt;&gt;"moeda")*(Inputs!$G$5:$G$120&lt;&gt;"acoes")))*INDEX(Inputs!$K$5:$AJ$120,0,MATCH(O$2,Inputs!$K$4:$AJ$4,0)))+SUMPRODUCT((Inputs!$C$5:$C$120=$B18)*Inputs!$D$5:$D$120*(((Inputs!$G$5:$G$120="moeda")+(Inputs!$G$5:$G$120="acoes"))*Inputs!$B$1+((Inputs!$G$5:$G$120&lt;&gt;"moeda")*(Inputs!$G$5:$G$120&lt;&gt;"acoes")))*INDEX(Inputs!$K$5:$AJ$120,0,MATCH(O$2,Inputs!$K$4:$AJ$4,0)))+SUMPRODUCT((Inputs!$E$5:$E$120=$B18)*Inputs!$F$5:$F$120*(((Inputs!$G$5:$G$120="moeda")+(Inputs!$G$5:$G$120="acoes"))*Inputs!$B$1+((Inputs!$G$5:$G$120&lt;&gt;"moeda")*(Inputs!$G$5:$G$120&lt;&gt;"acoes")))*INDEX(Inputs!$K$5:$AJ$120,0,MATCH(O$2,Inputs!$K$4:$AJ$4,0)))))</f>
        <v>697</v>
      </c>
      <c r="P18" s="267">
        <f>IF(ISNA(MATCH(P$2,Inputs!$K$4:$AJ$4,0)),NA(),IF(SUMPRODUCT((Inputs!$A$5:$A$120=$B18)*ISNUMBER(INDEX(Inputs!$K$5:$AJ$120,0,MATCH(P$2,Inputs!$K$4:$AJ$4,0))))+SUMPRODUCT((Inputs!$C$5:$C$120=$B18)*ISNUMBER(INDEX(Inputs!$K$5:$AJ$120,0,MATCH(P$2,Inputs!$K$4:$AJ$4,0))))+SUMPRODUCT((Inputs!$E$5:$E$120=$B18)*ISNUMBER(INDEX(Inputs!$K$5:$AJ$120,0,MATCH(P$2,Inputs!$K$4:$AJ$4,0))))=0,NA(),SUMPRODUCT((Inputs!$A$5:$A$120=$B18)*Inputs!$B$5:$B$120*(((Inputs!$G$5:$G$120="moeda")+(Inputs!$G$5:$G$120="acoes"))*Inputs!$B$1+((Inputs!$G$5:$G$120&lt;&gt;"moeda")*(Inputs!$G$5:$G$120&lt;&gt;"acoes")))*INDEX(Inputs!$K$5:$AJ$120,0,MATCH(P$2,Inputs!$K$4:$AJ$4,0)))+SUMPRODUCT((Inputs!$C$5:$C$120=$B18)*Inputs!$D$5:$D$120*(((Inputs!$G$5:$G$120="moeda")+(Inputs!$G$5:$G$120="acoes"))*Inputs!$B$1+((Inputs!$G$5:$G$120&lt;&gt;"moeda")*(Inputs!$G$5:$G$120&lt;&gt;"acoes")))*INDEX(Inputs!$K$5:$AJ$120,0,MATCH(P$2,Inputs!$K$4:$AJ$4,0)))+SUMPRODUCT((Inputs!$E$5:$E$120=$B18)*Inputs!$F$5:$F$120*(((Inputs!$G$5:$G$120="moeda")+(Inputs!$G$5:$G$120="acoes"))*Inputs!$B$1+((Inputs!$G$5:$G$120&lt;&gt;"moeda")*(Inputs!$G$5:$G$120&lt;&gt;"acoes")))*INDEX(Inputs!$K$5:$AJ$120,0,MATCH(P$2,Inputs!$K$4:$AJ$4,0)))))</f>
        <v>632</v>
      </c>
      <c r="Q18" s="267">
        <f>IF(ISNA(MATCH(Q$2,Inputs!$K$4:$AJ$4,0)),NA(),IF(SUMPRODUCT((Inputs!$A$5:$A$120=$B18)*ISNUMBER(INDEX(Inputs!$K$5:$AJ$120,0,MATCH(Q$2,Inputs!$K$4:$AJ$4,0))))+SUMPRODUCT((Inputs!$C$5:$C$120=$B18)*ISNUMBER(INDEX(Inputs!$K$5:$AJ$120,0,MATCH(Q$2,Inputs!$K$4:$AJ$4,0))))+SUMPRODUCT((Inputs!$E$5:$E$120=$B18)*ISNUMBER(INDEX(Inputs!$K$5:$AJ$120,0,MATCH(Q$2,Inputs!$K$4:$AJ$4,0))))=0,NA(),SUMPRODUCT((Inputs!$A$5:$A$120=$B18)*Inputs!$B$5:$B$120*(((Inputs!$G$5:$G$120="moeda")+(Inputs!$G$5:$G$120="acoes"))*Inputs!$B$1+((Inputs!$G$5:$G$120&lt;&gt;"moeda")*(Inputs!$G$5:$G$120&lt;&gt;"acoes")))*INDEX(Inputs!$K$5:$AJ$120,0,MATCH(Q$2,Inputs!$K$4:$AJ$4,0)))+SUMPRODUCT((Inputs!$C$5:$C$120=$B18)*Inputs!$D$5:$D$120*(((Inputs!$G$5:$G$120="moeda")+(Inputs!$G$5:$G$120="acoes"))*Inputs!$B$1+((Inputs!$G$5:$G$120&lt;&gt;"moeda")*(Inputs!$G$5:$G$120&lt;&gt;"acoes")))*INDEX(Inputs!$K$5:$AJ$120,0,MATCH(Q$2,Inputs!$K$4:$AJ$4,0)))+SUMPRODUCT((Inputs!$E$5:$E$120=$B18)*Inputs!$F$5:$F$120*(((Inputs!$G$5:$G$120="moeda")+(Inputs!$G$5:$G$120="acoes"))*Inputs!$B$1+((Inputs!$G$5:$G$120&lt;&gt;"moeda")*(Inputs!$G$5:$G$120&lt;&gt;"acoes")))*INDEX(Inputs!$K$5:$AJ$120,0,MATCH(Q$2,Inputs!$K$4:$AJ$4,0)))))</f>
        <v>773</v>
      </c>
      <c r="R18" s="268">
        <f>Q18</f>
        <v>773</v>
      </c>
      <c r="S18" s="267">
        <f>IF(ISNA(MATCH(S$2,Inputs!$K$4:$AJ$4,0)),NA(),IF(SUMPRODUCT((Inputs!$A$5:$A$120=$B18)*ISNUMBER(INDEX(Inputs!$K$5:$AJ$120,0,MATCH(S$2,Inputs!$K$4:$AJ$4,0))))+SUMPRODUCT((Inputs!$C$5:$C$120=$B18)*ISNUMBER(INDEX(Inputs!$K$5:$AJ$120,0,MATCH(S$2,Inputs!$K$4:$AJ$4,0))))+SUMPRODUCT((Inputs!$E$5:$E$120=$B18)*ISNUMBER(INDEX(Inputs!$K$5:$AJ$120,0,MATCH(S$2,Inputs!$K$4:$AJ$4,0))))=0,NA(),SUMPRODUCT((Inputs!$A$5:$A$120=$B18)*Inputs!$B$5:$B$120*(((Inputs!$G$5:$G$120="moeda")+(Inputs!$G$5:$G$120="acoes"))*Inputs!$B$1+((Inputs!$G$5:$G$120&lt;&gt;"moeda")*(Inputs!$G$5:$G$120&lt;&gt;"acoes")))*INDEX(Inputs!$K$5:$AJ$120,0,MATCH(S$2,Inputs!$K$4:$AJ$4,0)))+SUMPRODUCT((Inputs!$C$5:$C$120=$B18)*Inputs!$D$5:$D$120*(((Inputs!$G$5:$G$120="moeda")+(Inputs!$G$5:$G$120="acoes"))*Inputs!$B$1+((Inputs!$G$5:$G$120&lt;&gt;"moeda")*(Inputs!$G$5:$G$120&lt;&gt;"acoes")))*INDEX(Inputs!$K$5:$AJ$120,0,MATCH(S$2,Inputs!$K$4:$AJ$4,0)))+SUMPRODUCT((Inputs!$E$5:$E$120=$B18)*Inputs!$F$5:$F$120*(((Inputs!$G$5:$G$120="moeda")+(Inputs!$G$5:$G$120="acoes"))*Inputs!$B$1+((Inputs!$G$5:$G$120&lt;&gt;"moeda")*(Inputs!$G$5:$G$120&lt;&gt;"acoes")))*INDEX(Inputs!$K$5:$AJ$120,0,MATCH(S$2,Inputs!$K$4:$AJ$4,0)))))</f>
        <v>743</v>
      </c>
      <c r="T18" s="267">
        <f>IF(ISNA(MATCH(T$2,Inputs!$K$4:$AJ$4,0)),NA(),IF(SUMPRODUCT((Inputs!$A$5:$A$120=$B18)*ISNUMBER(INDEX(Inputs!$K$5:$AJ$120,0,MATCH(T$2,Inputs!$K$4:$AJ$4,0))))+SUMPRODUCT((Inputs!$C$5:$C$120=$B18)*ISNUMBER(INDEX(Inputs!$K$5:$AJ$120,0,MATCH(T$2,Inputs!$K$4:$AJ$4,0))))+SUMPRODUCT((Inputs!$E$5:$E$120=$B18)*ISNUMBER(INDEX(Inputs!$K$5:$AJ$120,0,MATCH(T$2,Inputs!$K$4:$AJ$4,0))))=0,NA(),SUMPRODUCT((Inputs!$A$5:$A$120=$B18)*Inputs!$B$5:$B$120*(((Inputs!$G$5:$G$120="moeda")+(Inputs!$G$5:$G$120="acoes"))*Inputs!$B$1+((Inputs!$G$5:$G$120&lt;&gt;"moeda")*(Inputs!$G$5:$G$120&lt;&gt;"acoes")))*INDEX(Inputs!$K$5:$AJ$120,0,MATCH(T$2,Inputs!$K$4:$AJ$4,0)))+SUMPRODUCT((Inputs!$C$5:$C$120=$B18)*Inputs!$D$5:$D$120*(((Inputs!$G$5:$G$120="moeda")+(Inputs!$G$5:$G$120="acoes"))*Inputs!$B$1+((Inputs!$G$5:$G$120&lt;&gt;"moeda")*(Inputs!$G$5:$G$120&lt;&gt;"acoes")))*INDEX(Inputs!$K$5:$AJ$120,0,MATCH(T$2,Inputs!$K$4:$AJ$4,0)))+SUMPRODUCT((Inputs!$E$5:$E$120=$B18)*Inputs!$F$5:$F$120*(((Inputs!$G$5:$G$120="moeda")+(Inputs!$G$5:$G$120="acoes"))*Inputs!$B$1+((Inputs!$G$5:$G$120&lt;&gt;"moeda")*(Inputs!$G$5:$G$120&lt;&gt;"acoes")))*INDEX(Inputs!$K$5:$AJ$120,0,MATCH(T$2,Inputs!$K$4:$AJ$4,0)))))</f>
        <v>698</v>
      </c>
      <c r="U18" s="267">
        <f>IF(ISNA(MATCH(U$2,Inputs!$K$4:$AJ$4,0)),NA(),IF(SUMPRODUCT((Inputs!$A$5:$A$120=$B18)*ISNUMBER(INDEX(Inputs!$K$5:$AJ$120,0,MATCH(U$2,Inputs!$K$4:$AJ$4,0))))+SUMPRODUCT((Inputs!$C$5:$C$120=$B18)*ISNUMBER(INDEX(Inputs!$K$5:$AJ$120,0,MATCH(U$2,Inputs!$K$4:$AJ$4,0))))+SUMPRODUCT((Inputs!$E$5:$E$120=$B18)*ISNUMBER(INDEX(Inputs!$K$5:$AJ$120,0,MATCH(U$2,Inputs!$K$4:$AJ$4,0))))=0,NA(),SUMPRODUCT((Inputs!$A$5:$A$120=$B18)*Inputs!$B$5:$B$120*(((Inputs!$G$5:$G$120="moeda")+(Inputs!$G$5:$G$120="acoes"))*Inputs!$B$1+((Inputs!$G$5:$G$120&lt;&gt;"moeda")*(Inputs!$G$5:$G$120&lt;&gt;"acoes")))*INDEX(Inputs!$K$5:$AJ$120,0,MATCH(U$2,Inputs!$K$4:$AJ$4,0)))+SUMPRODUCT((Inputs!$C$5:$C$120=$B18)*Inputs!$D$5:$D$120*(((Inputs!$G$5:$G$120="moeda")+(Inputs!$G$5:$G$120="acoes"))*Inputs!$B$1+((Inputs!$G$5:$G$120&lt;&gt;"moeda")*(Inputs!$G$5:$G$120&lt;&gt;"acoes")))*INDEX(Inputs!$K$5:$AJ$120,0,MATCH(U$2,Inputs!$K$4:$AJ$4,0)))+SUMPRODUCT((Inputs!$E$5:$E$120=$B18)*Inputs!$F$5:$F$120*(((Inputs!$G$5:$G$120="moeda")+(Inputs!$G$5:$G$120="acoes"))*Inputs!$B$1+((Inputs!$G$5:$G$120&lt;&gt;"moeda")*(Inputs!$G$5:$G$120&lt;&gt;"acoes")))*INDEX(Inputs!$K$5:$AJ$120,0,MATCH(U$2,Inputs!$K$4:$AJ$4,0)))))</f>
        <v>725</v>
      </c>
      <c r="V18" s="267">
        <f>IF(ISNA(MATCH(V$2,Inputs!$K$4:$AJ$4,0)),NA(),IF(SUMPRODUCT((Inputs!$A$5:$A$120=$B18)*ISNUMBER(INDEX(Inputs!$K$5:$AJ$120,0,MATCH(V$2,Inputs!$K$4:$AJ$4,0))))+SUMPRODUCT((Inputs!$C$5:$C$120=$B18)*ISNUMBER(INDEX(Inputs!$K$5:$AJ$120,0,MATCH(V$2,Inputs!$K$4:$AJ$4,0))))+SUMPRODUCT((Inputs!$E$5:$E$120=$B18)*ISNUMBER(INDEX(Inputs!$K$5:$AJ$120,0,MATCH(V$2,Inputs!$K$4:$AJ$4,0))))=0,NA(),SUMPRODUCT((Inputs!$A$5:$A$120=$B18)*Inputs!$B$5:$B$120*(((Inputs!$G$5:$G$120="moeda")+(Inputs!$G$5:$G$120="acoes"))*Inputs!$B$1+((Inputs!$G$5:$G$120&lt;&gt;"moeda")*(Inputs!$G$5:$G$120&lt;&gt;"acoes")))*INDEX(Inputs!$K$5:$AJ$120,0,MATCH(V$2,Inputs!$K$4:$AJ$4,0)))+SUMPRODUCT((Inputs!$C$5:$C$120=$B18)*Inputs!$D$5:$D$120*(((Inputs!$G$5:$G$120="moeda")+(Inputs!$G$5:$G$120="acoes"))*Inputs!$B$1+((Inputs!$G$5:$G$120&lt;&gt;"moeda")*(Inputs!$G$5:$G$120&lt;&gt;"acoes")))*INDEX(Inputs!$K$5:$AJ$120,0,MATCH(V$2,Inputs!$K$4:$AJ$4,0)))+SUMPRODUCT((Inputs!$E$5:$E$120=$B18)*Inputs!$F$5:$F$120*(((Inputs!$G$5:$G$120="moeda")+(Inputs!$G$5:$G$120="acoes"))*Inputs!$B$1+((Inputs!$G$5:$G$120&lt;&gt;"moeda")*(Inputs!$G$5:$G$120&lt;&gt;"acoes")))*INDEX(Inputs!$K$5:$AJ$120,0,MATCH(V$2,Inputs!$K$4:$AJ$4,0)))))</f>
        <v>645</v>
      </c>
      <c r="W18" s="268">
        <f>V18</f>
        <v>645</v>
      </c>
      <c r="X18" s="267">
        <f>IF(ISNA(MATCH(X$2,Inputs!$K$4:$AJ$4,0)),NA(),IF(SUMPRODUCT((Inputs!$A$5:$A$120=$B18)*ISNUMBER(INDEX(Inputs!$K$5:$AJ$120,0,MATCH(X$2,Inputs!$K$4:$AJ$4,0))))+SUMPRODUCT((Inputs!$C$5:$C$120=$B18)*ISNUMBER(INDEX(Inputs!$K$5:$AJ$120,0,MATCH(X$2,Inputs!$K$4:$AJ$4,0))))+SUMPRODUCT((Inputs!$E$5:$E$120=$B18)*ISNUMBER(INDEX(Inputs!$K$5:$AJ$120,0,MATCH(X$2,Inputs!$K$4:$AJ$4,0))))=0,NA(),SUMPRODUCT((Inputs!$A$5:$A$120=$B18)*Inputs!$B$5:$B$120*(((Inputs!$G$5:$G$120="moeda")+(Inputs!$G$5:$G$120="acoes"))*Inputs!$B$1+((Inputs!$G$5:$G$120&lt;&gt;"moeda")*(Inputs!$G$5:$G$120&lt;&gt;"acoes")))*INDEX(Inputs!$K$5:$AJ$120,0,MATCH(X$2,Inputs!$K$4:$AJ$4,0)))+SUMPRODUCT((Inputs!$C$5:$C$120=$B18)*Inputs!$D$5:$D$120*(((Inputs!$G$5:$G$120="moeda")+(Inputs!$G$5:$G$120="acoes"))*Inputs!$B$1+((Inputs!$G$5:$G$120&lt;&gt;"moeda")*(Inputs!$G$5:$G$120&lt;&gt;"acoes")))*INDEX(Inputs!$K$5:$AJ$120,0,MATCH(X$2,Inputs!$K$4:$AJ$4,0)))+SUMPRODUCT((Inputs!$E$5:$E$120=$B18)*Inputs!$F$5:$F$120*(((Inputs!$G$5:$G$120="moeda")+(Inputs!$G$5:$G$120="acoes"))*Inputs!$B$1+((Inputs!$G$5:$G$120&lt;&gt;"moeda")*(Inputs!$G$5:$G$120&lt;&gt;"acoes")))*INDEX(Inputs!$K$5:$AJ$120,0,MATCH(X$2,Inputs!$K$4:$AJ$4,0)))))</f>
        <v>648</v>
      </c>
      <c r="Y18" s="267">
        <f>IF(ISNA(MATCH(Y$2,Inputs!$K$4:$AJ$4,0)),NA(),IF(SUMPRODUCT((Inputs!$A$5:$A$120=$B18)*ISNUMBER(INDEX(Inputs!$K$5:$AJ$120,0,MATCH(Y$2,Inputs!$K$4:$AJ$4,0))))+SUMPRODUCT((Inputs!$C$5:$C$120=$B18)*ISNUMBER(INDEX(Inputs!$K$5:$AJ$120,0,MATCH(Y$2,Inputs!$K$4:$AJ$4,0))))+SUMPRODUCT((Inputs!$E$5:$E$120=$B18)*ISNUMBER(INDEX(Inputs!$K$5:$AJ$120,0,MATCH(Y$2,Inputs!$K$4:$AJ$4,0))))=0,NA(),SUMPRODUCT((Inputs!$A$5:$A$120=$B18)*Inputs!$B$5:$B$120*(((Inputs!$G$5:$G$120="moeda")+(Inputs!$G$5:$G$120="acoes"))*Inputs!$B$1+((Inputs!$G$5:$G$120&lt;&gt;"moeda")*(Inputs!$G$5:$G$120&lt;&gt;"acoes")))*INDEX(Inputs!$K$5:$AJ$120,0,MATCH(Y$2,Inputs!$K$4:$AJ$4,0)))+SUMPRODUCT((Inputs!$C$5:$C$120=$B18)*Inputs!$D$5:$D$120*(((Inputs!$G$5:$G$120="moeda")+(Inputs!$G$5:$G$120="acoes"))*Inputs!$B$1+((Inputs!$G$5:$G$120&lt;&gt;"moeda")*(Inputs!$G$5:$G$120&lt;&gt;"acoes")))*INDEX(Inputs!$K$5:$AJ$120,0,MATCH(Y$2,Inputs!$K$4:$AJ$4,0)))+SUMPRODUCT((Inputs!$E$5:$E$120=$B18)*Inputs!$F$5:$F$120*(((Inputs!$G$5:$G$120="moeda")+(Inputs!$G$5:$G$120="acoes"))*Inputs!$B$1+((Inputs!$G$5:$G$120&lt;&gt;"moeda")*(Inputs!$G$5:$G$120&lt;&gt;"acoes")))*INDEX(Inputs!$K$5:$AJ$120,0,MATCH(Y$2,Inputs!$K$4:$AJ$4,0)))))</f>
        <v>646</v>
      </c>
      <c r="Z18" s="267">
        <f>IF(ISNA(MATCH(Z$2,Inputs!$K$4:$AJ$4,0)),NA(),IF(SUMPRODUCT((Inputs!$A$5:$A$120=$B18)*ISNUMBER(INDEX(Inputs!$K$5:$AJ$120,0,MATCH(Z$2,Inputs!$K$4:$AJ$4,0))))+SUMPRODUCT((Inputs!$C$5:$C$120=$B18)*ISNUMBER(INDEX(Inputs!$K$5:$AJ$120,0,MATCH(Z$2,Inputs!$K$4:$AJ$4,0))))+SUMPRODUCT((Inputs!$E$5:$E$120=$B18)*ISNUMBER(INDEX(Inputs!$K$5:$AJ$120,0,MATCH(Z$2,Inputs!$K$4:$AJ$4,0))))=0,NA(),SUMPRODUCT((Inputs!$A$5:$A$120=$B18)*Inputs!$B$5:$B$120*(((Inputs!$G$5:$G$120="moeda")+(Inputs!$G$5:$G$120="acoes"))*Inputs!$B$1+((Inputs!$G$5:$G$120&lt;&gt;"moeda")*(Inputs!$G$5:$G$120&lt;&gt;"acoes")))*INDEX(Inputs!$K$5:$AJ$120,0,MATCH(Z$2,Inputs!$K$4:$AJ$4,0)))+SUMPRODUCT((Inputs!$C$5:$C$120=$B18)*Inputs!$D$5:$D$120*(((Inputs!$G$5:$G$120="moeda")+(Inputs!$G$5:$G$120="acoes"))*Inputs!$B$1+((Inputs!$G$5:$G$120&lt;&gt;"moeda")*(Inputs!$G$5:$G$120&lt;&gt;"acoes")))*INDEX(Inputs!$K$5:$AJ$120,0,MATCH(Z$2,Inputs!$K$4:$AJ$4,0)))+SUMPRODUCT((Inputs!$E$5:$E$120=$B18)*Inputs!$F$5:$F$120*(((Inputs!$G$5:$G$120="moeda")+(Inputs!$G$5:$G$120="acoes"))*Inputs!$B$1+((Inputs!$G$5:$G$120&lt;&gt;"moeda")*(Inputs!$G$5:$G$120&lt;&gt;"acoes")))*INDEX(Inputs!$K$5:$AJ$120,0,MATCH(Z$2,Inputs!$K$4:$AJ$4,0)))))</f>
        <v>789</v>
      </c>
      <c r="AA18" s="267">
        <f>IF(ISNA(MATCH(AA$2,Inputs!$K$4:$AJ$4,0)),NA(),IF(SUMPRODUCT((Inputs!$A$5:$A$120=$B18)*ISNUMBER(INDEX(Inputs!$K$5:$AJ$120,0,MATCH(AA$2,Inputs!$K$4:$AJ$4,0))))+SUMPRODUCT((Inputs!$C$5:$C$120=$B18)*ISNUMBER(INDEX(Inputs!$K$5:$AJ$120,0,MATCH(AA$2,Inputs!$K$4:$AJ$4,0))))+SUMPRODUCT((Inputs!$E$5:$E$120=$B18)*ISNUMBER(INDEX(Inputs!$K$5:$AJ$120,0,MATCH(AA$2,Inputs!$K$4:$AJ$4,0))))=0,NA(),SUMPRODUCT((Inputs!$A$5:$A$120=$B18)*Inputs!$B$5:$B$120*(((Inputs!$G$5:$G$120="moeda")+(Inputs!$G$5:$G$120="acoes"))*Inputs!$B$1+((Inputs!$G$5:$G$120&lt;&gt;"moeda")*(Inputs!$G$5:$G$120&lt;&gt;"acoes")))*INDEX(Inputs!$K$5:$AJ$120,0,MATCH(AA$2,Inputs!$K$4:$AJ$4,0)))+SUMPRODUCT((Inputs!$C$5:$C$120=$B18)*Inputs!$D$5:$D$120*(((Inputs!$G$5:$G$120="moeda")+(Inputs!$G$5:$G$120="acoes"))*Inputs!$B$1+((Inputs!$G$5:$G$120&lt;&gt;"moeda")*(Inputs!$G$5:$G$120&lt;&gt;"acoes")))*INDEX(Inputs!$K$5:$AJ$120,0,MATCH(AA$2,Inputs!$K$4:$AJ$4,0)))+SUMPRODUCT((Inputs!$E$5:$E$120=$B18)*Inputs!$F$5:$F$120*(((Inputs!$G$5:$G$120="moeda")+(Inputs!$G$5:$G$120="acoes"))*Inputs!$B$1+((Inputs!$G$5:$G$120&lt;&gt;"moeda")*(Inputs!$G$5:$G$120&lt;&gt;"acoes")))*INDEX(Inputs!$K$5:$AJ$120,0,MATCH(AA$2,Inputs!$K$4:$AJ$4,0)))))</f>
        <v>890</v>
      </c>
      <c r="AB18" s="268">
        <f>AA18</f>
        <v>890</v>
      </c>
      <c r="AC18" s="267">
        <f>IF(ISNA(MATCH(AC$2,Inputs!$K$4:$AJ$4,0)),NA(),IF(SUMPRODUCT((Inputs!$A$5:$A$120=$B18)*ISNUMBER(INDEX(Inputs!$K$5:$AJ$120,0,MATCH(AC$2,Inputs!$K$4:$AJ$4,0))))+SUMPRODUCT((Inputs!$C$5:$C$120=$B18)*ISNUMBER(INDEX(Inputs!$K$5:$AJ$120,0,MATCH(AC$2,Inputs!$K$4:$AJ$4,0))))+SUMPRODUCT((Inputs!$E$5:$E$120=$B18)*ISNUMBER(INDEX(Inputs!$K$5:$AJ$120,0,MATCH(AC$2,Inputs!$K$4:$AJ$4,0))))=0,NA(),SUMPRODUCT((Inputs!$A$5:$A$120=$B18)*Inputs!$B$5:$B$120*(((Inputs!$G$5:$G$120="moeda")+(Inputs!$G$5:$G$120="acoes"))*Inputs!$B$1+((Inputs!$G$5:$G$120&lt;&gt;"moeda")*(Inputs!$G$5:$G$120&lt;&gt;"acoes")))*INDEX(Inputs!$K$5:$AJ$120,0,MATCH(AC$2,Inputs!$K$4:$AJ$4,0)))+SUMPRODUCT((Inputs!$C$5:$C$120=$B18)*Inputs!$D$5:$D$120*(((Inputs!$G$5:$G$120="moeda")+(Inputs!$G$5:$G$120="acoes"))*Inputs!$B$1+((Inputs!$G$5:$G$120&lt;&gt;"moeda")*(Inputs!$G$5:$G$120&lt;&gt;"acoes")))*INDEX(Inputs!$K$5:$AJ$120,0,MATCH(AC$2,Inputs!$K$4:$AJ$4,0)))+SUMPRODUCT((Inputs!$E$5:$E$120=$B18)*Inputs!$F$5:$F$120*(((Inputs!$G$5:$G$120="moeda")+(Inputs!$G$5:$G$120="acoes"))*Inputs!$B$1+((Inputs!$G$5:$G$120&lt;&gt;"moeda")*(Inputs!$G$5:$G$120&lt;&gt;"acoes")))*INDEX(Inputs!$K$5:$AJ$120,0,MATCH(AC$2,Inputs!$K$4:$AJ$4,0)))))</f>
        <v>934</v>
      </c>
      <c r="AD18" s="267">
        <f>IF(ISNA(MATCH(AD$2,Inputs!$K$4:$AJ$4,0)),NA(),IF(SUMPRODUCT((Inputs!$A$5:$A$120=$B18)*ISNUMBER(INDEX(Inputs!$K$5:$AJ$120,0,MATCH(AD$2,Inputs!$K$4:$AJ$4,0))))+SUMPRODUCT((Inputs!$C$5:$C$120=$B18)*ISNUMBER(INDEX(Inputs!$K$5:$AJ$120,0,MATCH(AD$2,Inputs!$K$4:$AJ$4,0))))+SUMPRODUCT((Inputs!$E$5:$E$120=$B18)*ISNUMBER(INDEX(Inputs!$K$5:$AJ$120,0,MATCH(AD$2,Inputs!$K$4:$AJ$4,0))))=0,NA(),SUMPRODUCT((Inputs!$A$5:$A$120=$B18)*Inputs!$B$5:$B$120*(((Inputs!$G$5:$G$120="moeda")+(Inputs!$G$5:$G$120="acoes"))*Inputs!$B$1+((Inputs!$G$5:$G$120&lt;&gt;"moeda")*(Inputs!$G$5:$G$120&lt;&gt;"acoes")))*INDEX(Inputs!$K$5:$AJ$120,0,MATCH(AD$2,Inputs!$K$4:$AJ$4,0)))+SUMPRODUCT((Inputs!$C$5:$C$120=$B18)*Inputs!$D$5:$D$120*(((Inputs!$G$5:$G$120="moeda")+(Inputs!$G$5:$G$120="acoes"))*Inputs!$B$1+((Inputs!$G$5:$G$120&lt;&gt;"moeda")*(Inputs!$G$5:$G$120&lt;&gt;"acoes")))*INDEX(Inputs!$K$5:$AJ$120,0,MATCH(AD$2,Inputs!$K$4:$AJ$4,0)))+SUMPRODUCT((Inputs!$E$5:$E$120=$B18)*Inputs!$F$5:$F$120*(((Inputs!$G$5:$G$120="moeda")+(Inputs!$G$5:$G$120="acoes"))*Inputs!$B$1+((Inputs!$G$5:$G$120&lt;&gt;"moeda")*(Inputs!$G$5:$G$120&lt;&gt;"acoes")))*INDEX(Inputs!$K$5:$AJ$120,0,MATCH(AD$2,Inputs!$K$4:$AJ$4,0)))))</f>
        <v>902</v>
      </c>
      <c r="AE18" s="267" t="e">
        <f>IF(ISNA(MATCH(AE$2,Inputs!$K$4:$AJ$4,0)),NA(),IF(SUMPRODUCT((Inputs!$A$5:$A$120=$B18)*ISNUMBER(INDEX(Inputs!$K$5:$AJ$120,0,MATCH(AE$2,Inputs!$K$4:$AJ$4,0))))+SUMPRODUCT((Inputs!$C$5:$C$120=$B18)*ISNUMBER(INDEX(Inputs!$K$5:$AJ$120,0,MATCH(AE$2,Inputs!$K$4:$AJ$4,0))))+SUMPRODUCT((Inputs!$E$5:$E$120=$B18)*ISNUMBER(INDEX(Inputs!$K$5:$AJ$120,0,MATCH(AE$2,Inputs!$K$4:$AJ$4,0))))=0,NA(),SUMPRODUCT((Inputs!$A$5:$A$120=$B18)*Inputs!$B$5:$B$120*(((Inputs!$G$5:$G$120="moeda")+(Inputs!$G$5:$G$120="acoes"))*Inputs!$B$1+((Inputs!$G$5:$G$120&lt;&gt;"moeda")*(Inputs!$G$5:$G$120&lt;&gt;"acoes")))*INDEX(Inputs!$K$5:$AJ$120,0,MATCH(AE$2,Inputs!$K$4:$AJ$4,0)))+SUMPRODUCT((Inputs!$C$5:$C$120=$B18)*Inputs!$D$5:$D$120*(((Inputs!$G$5:$G$120="moeda")+(Inputs!$G$5:$G$120="acoes"))*Inputs!$B$1+((Inputs!$G$5:$G$120&lt;&gt;"moeda")*(Inputs!$G$5:$G$120&lt;&gt;"acoes")))*INDEX(Inputs!$K$5:$AJ$120,0,MATCH(AE$2,Inputs!$K$4:$AJ$4,0)))+SUMPRODUCT((Inputs!$E$5:$E$120=$B18)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8" s="267" t="e">
        <f>IF(ISNA(MATCH(AF$2,Inputs!$K$4:$AJ$4,0)),NA(),IF(SUMPRODUCT((Inputs!$A$5:$A$120=$B18)*ISNUMBER(INDEX(Inputs!$K$5:$AJ$120,0,MATCH(AF$2,Inputs!$K$4:$AJ$4,0))))+SUMPRODUCT((Inputs!$C$5:$C$120=$B18)*ISNUMBER(INDEX(Inputs!$K$5:$AJ$120,0,MATCH(AF$2,Inputs!$K$4:$AJ$4,0))))+SUMPRODUCT((Inputs!$E$5:$E$120=$B18)*ISNUMBER(INDEX(Inputs!$K$5:$AJ$120,0,MATCH(AF$2,Inputs!$K$4:$AJ$4,0))))=0,NA(),SUMPRODUCT((Inputs!$A$5:$A$120=$B18)*Inputs!$B$5:$B$120*(((Inputs!$G$5:$G$120="moeda")+(Inputs!$G$5:$G$120="acoes"))*Inputs!$B$1+((Inputs!$G$5:$G$120&lt;&gt;"moeda")*(Inputs!$G$5:$G$120&lt;&gt;"acoes")))*INDEX(Inputs!$K$5:$AJ$120,0,MATCH(AF$2,Inputs!$K$4:$AJ$4,0)))+SUMPRODUCT((Inputs!$C$5:$C$120=$B18)*Inputs!$D$5:$D$120*(((Inputs!$G$5:$G$120="moeda")+(Inputs!$G$5:$G$120="acoes"))*Inputs!$B$1+((Inputs!$G$5:$G$120&lt;&gt;"moeda")*(Inputs!$G$5:$G$120&lt;&gt;"acoes")))*INDEX(Inputs!$K$5:$AJ$120,0,MATCH(AF$2,Inputs!$K$4:$AJ$4,0)))+SUMPRODUCT((Inputs!$E$5:$E$120=$B18)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8" s="268" t="e">
        <f>AF18</f>
        <v>#N/A</v>
      </c>
      <c r="AH18" s="267">
        <f>IF(ISNA(MATCH(AH$2,Inputs!$K$4:$AJ$4,0)),NA(),IF(SUMPRODUCT((Inputs!$A$5:$A$120=$B18)*ISNUMBER(INDEX(Inputs!$K$5:$AJ$120,0,MATCH(AH$2,Inputs!$K$4:$AJ$4,0))))+SUMPRODUCT((Inputs!$C$5:$C$120=$B18)*ISNUMBER(INDEX(Inputs!$K$5:$AJ$120,0,MATCH(AH$2,Inputs!$K$4:$AJ$4,0))))+SUMPRODUCT((Inputs!$E$5:$E$120=$B18)*ISNUMBER(INDEX(Inputs!$K$5:$AJ$120,0,MATCH(AH$2,Inputs!$K$4:$AJ$4,0))))=0,NA(),SUMPRODUCT((Inputs!$A$5:$A$120=$B18)*Inputs!$B$5:$B$120*(((Inputs!$G$5:$G$120="moeda")+(Inputs!$G$5:$G$120="acoes"))*Inputs!$B$1+((Inputs!$G$5:$G$120&lt;&gt;"moeda")*(Inputs!$G$5:$G$120&lt;&gt;"acoes")))*INDEX(Inputs!$K$5:$AJ$120,0,MATCH(AH$2,Inputs!$K$4:$AJ$4,0)))+SUMPRODUCT((Inputs!$C$5:$C$120=$B18)*Inputs!$D$5:$D$120*(((Inputs!$G$5:$G$120="moeda")+(Inputs!$G$5:$G$120="acoes"))*Inputs!$B$1+((Inputs!$G$5:$G$120&lt;&gt;"moeda")*(Inputs!$G$5:$G$120&lt;&gt;"acoes")))*INDEX(Inputs!$K$5:$AJ$120,0,MATCH(AH$2,Inputs!$K$4:$AJ$4,0)))+SUMPRODUCT((Inputs!$E$5:$E$120=$B18)*Inputs!$F$5:$F$120*(((Inputs!$G$5:$G$120="moeda")+(Inputs!$G$5:$G$120="acoes"))*Inputs!$B$1+((Inputs!$G$5:$G$120&lt;&gt;"moeda")*(Inputs!$G$5:$G$120&lt;&gt;"acoes")))*INDEX(Inputs!$K$5:$AJ$120,0,MATCH(AH$2,Inputs!$K$4:$AJ$4,0)))))</f>
        <v>416</v>
      </c>
      <c r="AI18" s="267">
        <f>IF(ISNA(MATCH(AI$2,Inputs!$K$4:$AJ$4,0)),NA(),IF(SUMPRODUCT((Inputs!$A$5:$A$120=$B18)*ISNUMBER(INDEX(Inputs!$K$5:$AJ$120,0,MATCH(AI$2,Inputs!$K$4:$AJ$4,0))))+SUMPRODUCT((Inputs!$C$5:$C$120=$B18)*ISNUMBER(INDEX(Inputs!$K$5:$AJ$120,0,MATCH(AI$2,Inputs!$K$4:$AJ$4,0))))+SUMPRODUCT((Inputs!$E$5:$E$120=$B18)*ISNUMBER(INDEX(Inputs!$K$5:$AJ$120,0,MATCH(AI$2,Inputs!$K$4:$AJ$4,0))))=0,NA(),SUMPRODUCT((Inputs!$A$5:$A$120=$B18)*Inputs!$B$5:$B$120*(((Inputs!$G$5:$G$120="moeda")+(Inputs!$G$5:$G$120="acoes"))*Inputs!$B$1+((Inputs!$G$5:$G$120&lt;&gt;"moeda")*(Inputs!$G$5:$G$120&lt;&gt;"acoes")))*INDEX(Inputs!$K$5:$AJ$120,0,MATCH(AI$2,Inputs!$K$4:$AJ$4,0)))+SUMPRODUCT((Inputs!$C$5:$C$120=$B18)*Inputs!$D$5:$D$120*(((Inputs!$G$5:$G$120="moeda")+(Inputs!$G$5:$G$120="acoes"))*Inputs!$B$1+((Inputs!$G$5:$G$120&lt;&gt;"moeda")*(Inputs!$G$5:$G$120&lt;&gt;"acoes")))*INDEX(Inputs!$K$5:$AJ$120,0,MATCH(AI$2,Inputs!$K$4:$AJ$4,0)))+SUMPRODUCT((Inputs!$E$5:$E$120=$B18)*Inputs!$F$5:$F$120*(((Inputs!$G$5:$G$120="moeda")+(Inputs!$G$5:$G$120="acoes"))*Inputs!$B$1+((Inputs!$G$5:$G$120&lt;&gt;"moeda")*(Inputs!$G$5:$G$120&lt;&gt;"acoes")))*INDEX(Inputs!$K$5:$AJ$120,0,MATCH(AI$2,Inputs!$K$4:$AJ$4,0)))))</f>
        <v>295</v>
      </c>
      <c r="AJ18" s="267">
        <f>IF(ISNA(MATCH(AJ$2,Inputs!$K$4:$AJ$4,0)),NA(),IF(SUMPRODUCT((Inputs!$A$5:$A$120=$B18)*ISNUMBER(INDEX(Inputs!$K$5:$AJ$120,0,MATCH(AJ$2,Inputs!$K$4:$AJ$4,0))))+SUMPRODUCT((Inputs!$C$5:$C$120=$B18)*ISNUMBER(INDEX(Inputs!$K$5:$AJ$120,0,MATCH(AJ$2,Inputs!$K$4:$AJ$4,0))))+SUMPRODUCT((Inputs!$E$5:$E$120=$B18)*ISNUMBER(INDEX(Inputs!$K$5:$AJ$120,0,MATCH(AJ$2,Inputs!$K$4:$AJ$4,0))))=0,NA(),SUMPRODUCT((Inputs!$A$5:$A$120=$B18)*Inputs!$B$5:$B$120*(((Inputs!$G$5:$G$120="moeda")+(Inputs!$G$5:$G$120="acoes"))*Inputs!$B$1+((Inputs!$G$5:$G$120&lt;&gt;"moeda")*(Inputs!$G$5:$G$120&lt;&gt;"acoes")))*INDEX(Inputs!$K$5:$AJ$120,0,MATCH(AJ$2,Inputs!$K$4:$AJ$4,0)))+SUMPRODUCT((Inputs!$C$5:$C$120=$B18)*Inputs!$D$5:$D$120*(((Inputs!$G$5:$G$120="moeda")+(Inputs!$G$5:$G$120="acoes"))*Inputs!$B$1+((Inputs!$G$5:$G$120&lt;&gt;"moeda")*(Inputs!$G$5:$G$120&lt;&gt;"acoes")))*INDEX(Inputs!$K$5:$AJ$120,0,MATCH(AJ$2,Inputs!$K$4:$AJ$4,0)))+SUMPRODUCT((Inputs!$E$5:$E$120=$B18)*Inputs!$F$5:$F$120*(((Inputs!$G$5:$G$120="moeda")+(Inputs!$G$5:$G$120="acoes"))*Inputs!$B$1+((Inputs!$G$5:$G$120&lt;&gt;"moeda")*(Inputs!$G$5:$G$120&lt;&gt;"acoes")))*INDEX(Inputs!$K$5:$AJ$120,0,MATCH(AJ$2,Inputs!$K$4:$AJ$4,0)))))</f>
        <v>311</v>
      </c>
      <c r="AK18" s="267">
        <f>IF(ISNA(MATCH(AK$2,Inputs!$K$4:$AJ$4,0)),NA(),IF(SUMPRODUCT((Inputs!$A$5:$A$120=$B18)*ISNUMBER(INDEX(Inputs!$K$5:$AJ$120,0,MATCH(AK$2,Inputs!$K$4:$AJ$4,0))))+SUMPRODUCT((Inputs!$C$5:$C$120=$B18)*ISNUMBER(INDEX(Inputs!$K$5:$AJ$120,0,MATCH(AK$2,Inputs!$K$4:$AJ$4,0))))+SUMPRODUCT((Inputs!$E$5:$E$120=$B18)*ISNUMBER(INDEX(Inputs!$K$5:$AJ$120,0,MATCH(AK$2,Inputs!$K$4:$AJ$4,0))))=0,NA(),SUMPRODUCT((Inputs!$A$5:$A$120=$B18)*Inputs!$B$5:$B$120*(((Inputs!$G$5:$G$120="moeda")+(Inputs!$G$5:$G$120="acoes"))*Inputs!$B$1+((Inputs!$G$5:$G$120&lt;&gt;"moeda")*(Inputs!$G$5:$G$120&lt;&gt;"acoes")))*INDEX(Inputs!$K$5:$AJ$120,0,MATCH(AK$2,Inputs!$K$4:$AJ$4,0)))+SUMPRODUCT((Inputs!$C$5:$C$120=$B18)*Inputs!$D$5:$D$120*(((Inputs!$G$5:$G$120="moeda")+(Inputs!$G$5:$G$120="acoes"))*Inputs!$B$1+((Inputs!$G$5:$G$120&lt;&gt;"moeda")*(Inputs!$G$5:$G$120&lt;&gt;"acoes")))*INDEX(Inputs!$K$5:$AJ$120,0,MATCH(AK$2,Inputs!$K$4:$AJ$4,0)))+SUMPRODUCT((Inputs!$E$5:$E$120=$B18)*Inputs!$F$5:$F$120*(((Inputs!$G$5:$G$120="moeda")+(Inputs!$G$5:$G$120="acoes"))*Inputs!$B$1+((Inputs!$G$5:$G$120&lt;&gt;"moeda")*(Inputs!$G$5:$G$120&lt;&gt;"acoes")))*INDEX(Inputs!$K$5:$AJ$120,0,MATCH(AK$2,Inputs!$K$4:$AJ$4,0)))))</f>
        <v>339</v>
      </c>
      <c r="AL18" s="268">
        <f>AK18</f>
        <v>339</v>
      </c>
    </row>
    <row r="19" ht="12.75" customHeight="1" s="255">
      <c r="B19" s="265" t="n">
        <v>15</v>
      </c>
      <c r="C19" s="270" t="inlineStr">
        <is>
          <t>Prepaid expenses</t>
        </is>
      </c>
      <c r="D19" s="267">
        <f>IF(ISNA(MATCH(D$2,Inputs!$K$4:$AJ$4,0)),NA(),IF(SUMPRODUCT((Inputs!$A$5:$A$120=$B19)*ISNUMBER(INDEX(Inputs!$K$5:$AJ$120,0,MATCH(D$2,Inputs!$K$4:$AJ$4,0))))+SUMPRODUCT((Inputs!$C$5:$C$120=$B19)*ISNUMBER(INDEX(Inputs!$K$5:$AJ$120,0,MATCH(D$2,Inputs!$K$4:$AJ$4,0))))+SUMPRODUCT((Inputs!$E$5:$E$120=$B19)*ISNUMBER(INDEX(Inputs!$K$5:$AJ$120,0,MATCH(D$2,Inputs!$K$4:$AJ$4,0))))=0,NA(),SUMPRODUCT((Inputs!$A$5:$A$120=$B19)*Inputs!$B$5:$B$120*(((Inputs!$G$5:$G$120="moeda")+(Inputs!$G$5:$G$120="acoes"))*Inputs!$B$1+((Inputs!$G$5:$G$120&lt;&gt;"moeda")*(Inputs!$G$5:$G$120&lt;&gt;"acoes")))*INDEX(Inputs!$K$5:$AJ$120,0,MATCH(D$2,Inputs!$K$4:$AJ$4,0)))+SUMPRODUCT((Inputs!$C$5:$C$120=$B19)*Inputs!$D$5:$D$120*(((Inputs!$G$5:$G$120="moeda")+(Inputs!$G$5:$G$120="acoes"))*Inputs!$B$1+((Inputs!$G$5:$G$120&lt;&gt;"moeda")*(Inputs!$G$5:$G$120&lt;&gt;"acoes")))*INDEX(Inputs!$K$5:$AJ$120,0,MATCH(D$2,Inputs!$K$4:$AJ$4,0)))+SUMPRODUCT((Inputs!$E$5:$E$120=$B19)*Inputs!$F$5:$F$120*(((Inputs!$G$5:$G$120="moeda")+(Inputs!$G$5:$G$120="acoes"))*Inputs!$B$1+((Inputs!$G$5:$G$120&lt;&gt;"moeda")*(Inputs!$G$5:$G$120&lt;&gt;"acoes")))*INDEX(Inputs!$K$5:$AJ$120,0,MATCH(D$2,Inputs!$K$4:$AJ$4,0)))))</f>
        <v>0</v>
      </c>
      <c r="E19" s="267">
        <f>IF(ISNA(MATCH(E$2,Inputs!$K$4:$AJ$4,0)),NA(),IF(SUMPRODUCT((Inputs!$A$5:$A$120=$B19)*ISNUMBER(INDEX(Inputs!$K$5:$AJ$120,0,MATCH(E$2,Inputs!$K$4:$AJ$4,0))))+SUMPRODUCT((Inputs!$C$5:$C$120=$B19)*ISNUMBER(INDEX(Inputs!$K$5:$AJ$120,0,MATCH(E$2,Inputs!$K$4:$AJ$4,0))))+SUMPRODUCT((Inputs!$E$5:$E$120=$B19)*ISNUMBER(INDEX(Inputs!$K$5:$AJ$120,0,MATCH(E$2,Inputs!$K$4:$AJ$4,0))))=0,NA(),SUMPRODUCT((Inputs!$A$5:$A$120=$B19)*Inputs!$B$5:$B$120*(((Inputs!$G$5:$G$120="moeda")+(Inputs!$G$5:$G$120="acoes"))*Inputs!$B$1+((Inputs!$G$5:$G$120&lt;&gt;"moeda")*(Inputs!$G$5:$G$120&lt;&gt;"acoes")))*INDEX(Inputs!$K$5:$AJ$120,0,MATCH(E$2,Inputs!$K$4:$AJ$4,0)))+SUMPRODUCT((Inputs!$C$5:$C$120=$B19)*Inputs!$D$5:$D$120*(((Inputs!$G$5:$G$120="moeda")+(Inputs!$G$5:$G$120="acoes"))*Inputs!$B$1+((Inputs!$G$5:$G$120&lt;&gt;"moeda")*(Inputs!$G$5:$G$120&lt;&gt;"acoes")))*INDEX(Inputs!$K$5:$AJ$120,0,MATCH(E$2,Inputs!$K$4:$AJ$4,0)))+SUMPRODUCT((Inputs!$E$5:$E$120=$B19)*Inputs!$F$5:$F$120*(((Inputs!$G$5:$G$120="moeda")+(Inputs!$G$5:$G$120="acoes"))*Inputs!$B$1+((Inputs!$G$5:$G$120&lt;&gt;"moeda")*(Inputs!$G$5:$G$120&lt;&gt;"acoes")))*INDEX(Inputs!$K$5:$AJ$120,0,MATCH(E$2,Inputs!$K$4:$AJ$4,0)))))</f>
        <v>0</v>
      </c>
      <c r="F19" s="267">
        <f>IF(ISNA(MATCH(F$2,Inputs!$K$4:$AJ$4,0)),NA(),IF(SUMPRODUCT((Inputs!$A$5:$A$120=$B19)*ISNUMBER(INDEX(Inputs!$K$5:$AJ$120,0,MATCH(F$2,Inputs!$K$4:$AJ$4,0))))+SUMPRODUCT((Inputs!$C$5:$C$120=$B19)*ISNUMBER(INDEX(Inputs!$K$5:$AJ$120,0,MATCH(F$2,Inputs!$K$4:$AJ$4,0))))+SUMPRODUCT((Inputs!$E$5:$E$120=$B19)*ISNUMBER(INDEX(Inputs!$K$5:$AJ$120,0,MATCH(F$2,Inputs!$K$4:$AJ$4,0))))=0,NA(),SUMPRODUCT((Inputs!$A$5:$A$120=$B19)*Inputs!$B$5:$B$120*(((Inputs!$G$5:$G$120="moeda")+(Inputs!$G$5:$G$120="acoes"))*Inputs!$B$1+((Inputs!$G$5:$G$120&lt;&gt;"moeda")*(Inputs!$G$5:$G$120&lt;&gt;"acoes")))*INDEX(Inputs!$K$5:$AJ$120,0,MATCH(F$2,Inputs!$K$4:$AJ$4,0)))+SUMPRODUCT((Inputs!$C$5:$C$120=$B19)*Inputs!$D$5:$D$120*(((Inputs!$G$5:$G$120="moeda")+(Inputs!$G$5:$G$120="acoes"))*Inputs!$B$1+((Inputs!$G$5:$G$120&lt;&gt;"moeda")*(Inputs!$G$5:$G$120&lt;&gt;"acoes")))*INDEX(Inputs!$K$5:$AJ$120,0,MATCH(F$2,Inputs!$K$4:$AJ$4,0)))+SUMPRODUCT((Inputs!$E$5:$E$120=$B19)*Inputs!$F$5:$F$120*(((Inputs!$G$5:$G$120="moeda")+(Inputs!$G$5:$G$120="acoes"))*Inputs!$B$1+((Inputs!$G$5:$G$120&lt;&gt;"moeda")*(Inputs!$G$5:$G$120&lt;&gt;"acoes")))*INDEX(Inputs!$K$5:$AJ$120,0,MATCH(F$2,Inputs!$K$4:$AJ$4,0)))))</f>
        <v>0</v>
      </c>
      <c r="G19" s="267">
        <f>IF(ISNA(MATCH(G$2,Inputs!$K$4:$AJ$4,0)),NA(),IF(SUMPRODUCT((Inputs!$A$5:$A$120=$B19)*ISNUMBER(INDEX(Inputs!$K$5:$AJ$120,0,MATCH(G$2,Inputs!$K$4:$AJ$4,0))))+SUMPRODUCT((Inputs!$C$5:$C$120=$B19)*ISNUMBER(INDEX(Inputs!$K$5:$AJ$120,0,MATCH(G$2,Inputs!$K$4:$AJ$4,0))))+SUMPRODUCT((Inputs!$E$5:$E$120=$B19)*ISNUMBER(INDEX(Inputs!$K$5:$AJ$120,0,MATCH(G$2,Inputs!$K$4:$AJ$4,0))))=0,NA(),SUMPRODUCT((Inputs!$A$5:$A$120=$B19)*Inputs!$B$5:$B$120*(((Inputs!$G$5:$G$120="moeda")+(Inputs!$G$5:$G$120="acoes"))*Inputs!$B$1+((Inputs!$G$5:$G$120&lt;&gt;"moeda")*(Inputs!$G$5:$G$120&lt;&gt;"acoes")))*INDEX(Inputs!$K$5:$AJ$120,0,MATCH(G$2,Inputs!$K$4:$AJ$4,0)))+SUMPRODUCT((Inputs!$C$5:$C$120=$B19)*Inputs!$D$5:$D$120*(((Inputs!$G$5:$G$120="moeda")+(Inputs!$G$5:$G$120="acoes"))*Inputs!$B$1+((Inputs!$G$5:$G$120&lt;&gt;"moeda")*(Inputs!$G$5:$G$120&lt;&gt;"acoes")))*INDEX(Inputs!$K$5:$AJ$120,0,MATCH(G$2,Inputs!$K$4:$AJ$4,0)))+SUMPRODUCT((Inputs!$E$5:$E$120=$B19)*Inputs!$F$5:$F$120*(((Inputs!$G$5:$G$120="moeda")+(Inputs!$G$5:$G$120="acoes"))*Inputs!$B$1+((Inputs!$G$5:$G$120&lt;&gt;"moeda")*(Inputs!$G$5:$G$120&lt;&gt;"acoes")))*INDEX(Inputs!$K$5:$AJ$120,0,MATCH(G$2,Inputs!$K$4:$AJ$4,0)))))</f>
        <v>0</v>
      </c>
      <c r="H19" s="268">
        <f>G19</f>
        <v>0</v>
      </c>
      <c r="I19" s="267">
        <f>IF(ISNA(MATCH(I$2,Inputs!$K$4:$AJ$4,0)),NA(),IF(SUMPRODUCT((Inputs!$A$5:$A$120=$B19)*ISNUMBER(INDEX(Inputs!$K$5:$AJ$120,0,MATCH(I$2,Inputs!$K$4:$AJ$4,0))))+SUMPRODUCT((Inputs!$C$5:$C$120=$B19)*ISNUMBER(INDEX(Inputs!$K$5:$AJ$120,0,MATCH(I$2,Inputs!$K$4:$AJ$4,0))))+SUMPRODUCT((Inputs!$E$5:$E$120=$B19)*ISNUMBER(INDEX(Inputs!$K$5:$AJ$120,0,MATCH(I$2,Inputs!$K$4:$AJ$4,0))))=0,NA(),SUMPRODUCT((Inputs!$A$5:$A$120=$B19)*Inputs!$B$5:$B$120*(((Inputs!$G$5:$G$120="moeda")+(Inputs!$G$5:$G$120="acoes"))*Inputs!$B$1+((Inputs!$G$5:$G$120&lt;&gt;"moeda")*(Inputs!$G$5:$G$120&lt;&gt;"acoes")))*INDEX(Inputs!$K$5:$AJ$120,0,MATCH(I$2,Inputs!$K$4:$AJ$4,0)))+SUMPRODUCT((Inputs!$C$5:$C$120=$B19)*Inputs!$D$5:$D$120*(((Inputs!$G$5:$G$120="moeda")+(Inputs!$G$5:$G$120="acoes"))*Inputs!$B$1+((Inputs!$G$5:$G$120&lt;&gt;"moeda")*(Inputs!$G$5:$G$120&lt;&gt;"acoes")))*INDEX(Inputs!$K$5:$AJ$120,0,MATCH(I$2,Inputs!$K$4:$AJ$4,0)))+SUMPRODUCT((Inputs!$E$5:$E$120=$B19)*Inputs!$F$5:$F$120*(((Inputs!$G$5:$G$120="moeda")+(Inputs!$G$5:$G$120="acoes"))*Inputs!$B$1+((Inputs!$G$5:$G$120&lt;&gt;"moeda")*(Inputs!$G$5:$G$120&lt;&gt;"acoes")))*INDEX(Inputs!$K$5:$AJ$120,0,MATCH(I$2,Inputs!$K$4:$AJ$4,0)))))</f>
        <v>0</v>
      </c>
      <c r="J19" s="267">
        <f>IF(ISNA(MATCH(J$2,Inputs!$K$4:$AJ$4,0)),NA(),IF(SUMPRODUCT((Inputs!$A$5:$A$120=$B19)*ISNUMBER(INDEX(Inputs!$K$5:$AJ$120,0,MATCH(J$2,Inputs!$K$4:$AJ$4,0))))+SUMPRODUCT((Inputs!$C$5:$C$120=$B19)*ISNUMBER(INDEX(Inputs!$K$5:$AJ$120,0,MATCH(J$2,Inputs!$K$4:$AJ$4,0))))+SUMPRODUCT((Inputs!$E$5:$E$120=$B19)*ISNUMBER(INDEX(Inputs!$K$5:$AJ$120,0,MATCH(J$2,Inputs!$K$4:$AJ$4,0))))=0,NA(),SUMPRODUCT((Inputs!$A$5:$A$120=$B19)*Inputs!$B$5:$B$120*(((Inputs!$G$5:$G$120="moeda")+(Inputs!$G$5:$G$120="acoes"))*Inputs!$B$1+((Inputs!$G$5:$G$120&lt;&gt;"moeda")*(Inputs!$G$5:$G$120&lt;&gt;"acoes")))*INDEX(Inputs!$K$5:$AJ$120,0,MATCH(J$2,Inputs!$K$4:$AJ$4,0)))+SUMPRODUCT((Inputs!$C$5:$C$120=$B19)*Inputs!$D$5:$D$120*(((Inputs!$G$5:$G$120="moeda")+(Inputs!$G$5:$G$120="acoes"))*Inputs!$B$1+((Inputs!$G$5:$G$120&lt;&gt;"moeda")*(Inputs!$G$5:$G$120&lt;&gt;"acoes")))*INDEX(Inputs!$K$5:$AJ$120,0,MATCH(J$2,Inputs!$K$4:$AJ$4,0)))+SUMPRODUCT((Inputs!$E$5:$E$120=$B19)*Inputs!$F$5:$F$120*(((Inputs!$G$5:$G$120="moeda")+(Inputs!$G$5:$G$120="acoes"))*Inputs!$B$1+((Inputs!$G$5:$G$120&lt;&gt;"moeda")*(Inputs!$G$5:$G$120&lt;&gt;"acoes")))*INDEX(Inputs!$K$5:$AJ$120,0,MATCH(J$2,Inputs!$K$4:$AJ$4,0)))))</f>
        <v>0</v>
      </c>
      <c r="K19" s="267">
        <f>IF(ISNA(MATCH(K$2,Inputs!$K$4:$AJ$4,0)),NA(),IF(SUMPRODUCT((Inputs!$A$5:$A$120=$B19)*ISNUMBER(INDEX(Inputs!$K$5:$AJ$120,0,MATCH(K$2,Inputs!$K$4:$AJ$4,0))))+SUMPRODUCT((Inputs!$C$5:$C$120=$B19)*ISNUMBER(INDEX(Inputs!$K$5:$AJ$120,0,MATCH(K$2,Inputs!$K$4:$AJ$4,0))))+SUMPRODUCT((Inputs!$E$5:$E$120=$B19)*ISNUMBER(INDEX(Inputs!$K$5:$AJ$120,0,MATCH(K$2,Inputs!$K$4:$AJ$4,0))))=0,NA(),SUMPRODUCT((Inputs!$A$5:$A$120=$B19)*Inputs!$B$5:$B$120*(((Inputs!$G$5:$G$120="moeda")+(Inputs!$G$5:$G$120="acoes"))*Inputs!$B$1+((Inputs!$G$5:$G$120&lt;&gt;"moeda")*(Inputs!$G$5:$G$120&lt;&gt;"acoes")))*INDEX(Inputs!$K$5:$AJ$120,0,MATCH(K$2,Inputs!$K$4:$AJ$4,0)))+SUMPRODUCT((Inputs!$C$5:$C$120=$B19)*Inputs!$D$5:$D$120*(((Inputs!$G$5:$G$120="moeda")+(Inputs!$G$5:$G$120="acoes"))*Inputs!$B$1+((Inputs!$G$5:$G$120&lt;&gt;"moeda")*(Inputs!$G$5:$G$120&lt;&gt;"acoes")))*INDEX(Inputs!$K$5:$AJ$120,0,MATCH(K$2,Inputs!$K$4:$AJ$4,0)))+SUMPRODUCT((Inputs!$E$5:$E$120=$B19)*Inputs!$F$5:$F$120*(((Inputs!$G$5:$G$120="moeda")+(Inputs!$G$5:$G$120="acoes"))*Inputs!$B$1+((Inputs!$G$5:$G$120&lt;&gt;"moeda")*(Inputs!$G$5:$G$120&lt;&gt;"acoes")))*INDEX(Inputs!$K$5:$AJ$120,0,MATCH(K$2,Inputs!$K$4:$AJ$4,0)))))</f>
        <v>0</v>
      </c>
      <c r="L19" s="267">
        <f>IF(ISNA(MATCH(L$2,Inputs!$K$4:$AJ$4,0)),NA(),IF(SUMPRODUCT((Inputs!$A$5:$A$120=$B19)*ISNUMBER(INDEX(Inputs!$K$5:$AJ$120,0,MATCH(L$2,Inputs!$K$4:$AJ$4,0))))+SUMPRODUCT((Inputs!$C$5:$C$120=$B19)*ISNUMBER(INDEX(Inputs!$K$5:$AJ$120,0,MATCH(L$2,Inputs!$K$4:$AJ$4,0))))+SUMPRODUCT((Inputs!$E$5:$E$120=$B19)*ISNUMBER(INDEX(Inputs!$K$5:$AJ$120,0,MATCH(L$2,Inputs!$K$4:$AJ$4,0))))=0,NA(),SUMPRODUCT((Inputs!$A$5:$A$120=$B19)*Inputs!$B$5:$B$120*(((Inputs!$G$5:$G$120="moeda")+(Inputs!$G$5:$G$120="acoes"))*Inputs!$B$1+((Inputs!$G$5:$G$120&lt;&gt;"moeda")*(Inputs!$G$5:$G$120&lt;&gt;"acoes")))*INDEX(Inputs!$K$5:$AJ$120,0,MATCH(L$2,Inputs!$K$4:$AJ$4,0)))+SUMPRODUCT((Inputs!$C$5:$C$120=$B19)*Inputs!$D$5:$D$120*(((Inputs!$G$5:$G$120="moeda")+(Inputs!$G$5:$G$120="acoes"))*Inputs!$B$1+((Inputs!$G$5:$G$120&lt;&gt;"moeda")*(Inputs!$G$5:$G$120&lt;&gt;"acoes")))*INDEX(Inputs!$K$5:$AJ$120,0,MATCH(L$2,Inputs!$K$4:$AJ$4,0)))+SUMPRODUCT((Inputs!$E$5:$E$120=$B19)*Inputs!$F$5:$F$120*(((Inputs!$G$5:$G$120="moeda")+(Inputs!$G$5:$G$120="acoes"))*Inputs!$B$1+((Inputs!$G$5:$G$120&lt;&gt;"moeda")*(Inputs!$G$5:$G$120&lt;&gt;"acoes")))*INDEX(Inputs!$K$5:$AJ$120,0,MATCH(L$2,Inputs!$K$4:$AJ$4,0)))))</f>
        <v>0</v>
      </c>
      <c r="M19" s="268">
        <f>L19</f>
        <v>0</v>
      </c>
      <c r="N19" s="267">
        <f>IF(ISNA(MATCH(N$2,Inputs!$K$4:$AJ$4,0)),NA(),IF(SUMPRODUCT((Inputs!$A$5:$A$120=$B19)*ISNUMBER(INDEX(Inputs!$K$5:$AJ$120,0,MATCH(N$2,Inputs!$K$4:$AJ$4,0))))+SUMPRODUCT((Inputs!$C$5:$C$120=$B19)*ISNUMBER(INDEX(Inputs!$K$5:$AJ$120,0,MATCH(N$2,Inputs!$K$4:$AJ$4,0))))+SUMPRODUCT((Inputs!$E$5:$E$120=$B19)*ISNUMBER(INDEX(Inputs!$K$5:$AJ$120,0,MATCH(N$2,Inputs!$K$4:$AJ$4,0))))=0,NA(),SUMPRODUCT((Inputs!$A$5:$A$120=$B19)*Inputs!$B$5:$B$120*(((Inputs!$G$5:$G$120="moeda")+(Inputs!$G$5:$G$120="acoes"))*Inputs!$B$1+((Inputs!$G$5:$G$120&lt;&gt;"moeda")*(Inputs!$G$5:$G$120&lt;&gt;"acoes")))*INDEX(Inputs!$K$5:$AJ$120,0,MATCH(N$2,Inputs!$K$4:$AJ$4,0)))+SUMPRODUCT((Inputs!$C$5:$C$120=$B19)*Inputs!$D$5:$D$120*(((Inputs!$G$5:$G$120="moeda")+(Inputs!$G$5:$G$120="acoes"))*Inputs!$B$1+((Inputs!$G$5:$G$120&lt;&gt;"moeda")*(Inputs!$G$5:$G$120&lt;&gt;"acoes")))*INDEX(Inputs!$K$5:$AJ$120,0,MATCH(N$2,Inputs!$K$4:$AJ$4,0)))+SUMPRODUCT((Inputs!$E$5:$E$120=$B19)*Inputs!$F$5:$F$120*(((Inputs!$G$5:$G$120="moeda")+(Inputs!$G$5:$G$120="acoes"))*Inputs!$B$1+((Inputs!$G$5:$G$120&lt;&gt;"moeda")*(Inputs!$G$5:$G$120&lt;&gt;"acoes")))*INDEX(Inputs!$K$5:$AJ$120,0,MATCH(N$2,Inputs!$K$4:$AJ$4,0)))))</f>
        <v>0</v>
      </c>
      <c r="O19" s="267">
        <f>IF(ISNA(MATCH(O$2,Inputs!$K$4:$AJ$4,0)),NA(),IF(SUMPRODUCT((Inputs!$A$5:$A$120=$B19)*ISNUMBER(INDEX(Inputs!$K$5:$AJ$120,0,MATCH(O$2,Inputs!$K$4:$AJ$4,0))))+SUMPRODUCT((Inputs!$C$5:$C$120=$B19)*ISNUMBER(INDEX(Inputs!$K$5:$AJ$120,0,MATCH(O$2,Inputs!$K$4:$AJ$4,0))))+SUMPRODUCT((Inputs!$E$5:$E$120=$B19)*ISNUMBER(INDEX(Inputs!$K$5:$AJ$120,0,MATCH(O$2,Inputs!$K$4:$AJ$4,0))))=0,NA(),SUMPRODUCT((Inputs!$A$5:$A$120=$B19)*Inputs!$B$5:$B$120*(((Inputs!$G$5:$G$120="moeda")+(Inputs!$G$5:$G$120="acoes"))*Inputs!$B$1+((Inputs!$G$5:$G$120&lt;&gt;"moeda")*(Inputs!$G$5:$G$120&lt;&gt;"acoes")))*INDEX(Inputs!$K$5:$AJ$120,0,MATCH(O$2,Inputs!$K$4:$AJ$4,0)))+SUMPRODUCT((Inputs!$C$5:$C$120=$B19)*Inputs!$D$5:$D$120*(((Inputs!$G$5:$G$120="moeda")+(Inputs!$G$5:$G$120="acoes"))*Inputs!$B$1+((Inputs!$G$5:$G$120&lt;&gt;"moeda")*(Inputs!$G$5:$G$120&lt;&gt;"acoes")))*INDEX(Inputs!$K$5:$AJ$120,0,MATCH(O$2,Inputs!$K$4:$AJ$4,0)))+SUMPRODUCT((Inputs!$E$5:$E$120=$B19)*Inputs!$F$5:$F$120*(((Inputs!$G$5:$G$120="moeda")+(Inputs!$G$5:$G$120="acoes"))*Inputs!$B$1+((Inputs!$G$5:$G$120&lt;&gt;"moeda")*(Inputs!$G$5:$G$120&lt;&gt;"acoes")))*INDEX(Inputs!$K$5:$AJ$120,0,MATCH(O$2,Inputs!$K$4:$AJ$4,0)))))</f>
        <v>0</v>
      </c>
      <c r="P19" s="267">
        <f>IF(ISNA(MATCH(P$2,Inputs!$K$4:$AJ$4,0)),NA(),IF(SUMPRODUCT((Inputs!$A$5:$A$120=$B19)*ISNUMBER(INDEX(Inputs!$K$5:$AJ$120,0,MATCH(P$2,Inputs!$K$4:$AJ$4,0))))+SUMPRODUCT((Inputs!$C$5:$C$120=$B19)*ISNUMBER(INDEX(Inputs!$K$5:$AJ$120,0,MATCH(P$2,Inputs!$K$4:$AJ$4,0))))+SUMPRODUCT((Inputs!$E$5:$E$120=$B19)*ISNUMBER(INDEX(Inputs!$K$5:$AJ$120,0,MATCH(P$2,Inputs!$K$4:$AJ$4,0))))=0,NA(),SUMPRODUCT((Inputs!$A$5:$A$120=$B19)*Inputs!$B$5:$B$120*(((Inputs!$G$5:$G$120="moeda")+(Inputs!$G$5:$G$120="acoes"))*Inputs!$B$1+((Inputs!$G$5:$G$120&lt;&gt;"moeda")*(Inputs!$G$5:$G$120&lt;&gt;"acoes")))*INDEX(Inputs!$K$5:$AJ$120,0,MATCH(P$2,Inputs!$K$4:$AJ$4,0)))+SUMPRODUCT((Inputs!$C$5:$C$120=$B19)*Inputs!$D$5:$D$120*(((Inputs!$G$5:$G$120="moeda")+(Inputs!$G$5:$G$120="acoes"))*Inputs!$B$1+((Inputs!$G$5:$G$120&lt;&gt;"moeda")*(Inputs!$G$5:$G$120&lt;&gt;"acoes")))*INDEX(Inputs!$K$5:$AJ$120,0,MATCH(P$2,Inputs!$K$4:$AJ$4,0)))+SUMPRODUCT((Inputs!$E$5:$E$120=$B19)*Inputs!$F$5:$F$120*(((Inputs!$G$5:$G$120="moeda")+(Inputs!$G$5:$G$120="acoes"))*Inputs!$B$1+((Inputs!$G$5:$G$120&lt;&gt;"moeda")*(Inputs!$G$5:$G$120&lt;&gt;"acoes")))*INDEX(Inputs!$K$5:$AJ$120,0,MATCH(P$2,Inputs!$K$4:$AJ$4,0)))))</f>
        <v>0</v>
      </c>
      <c r="Q19" s="267">
        <f>IF(ISNA(MATCH(Q$2,Inputs!$K$4:$AJ$4,0)),NA(),IF(SUMPRODUCT((Inputs!$A$5:$A$120=$B19)*ISNUMBER(INDEX(Inputs!$K$5:$AJ$120,0,MATCH(Q$2,Inputs!$K$4:$AJ$4,0))))+SUMPRODUCT((Inputs!$C$5:$C$120=$B19)*ISNUMBER(INDEX(Inputs!$K$5:$AJ$120,0,MATCH(Q$2,Inputs!$K$4:$AJ$4,0))))+SUMPRODUCT((Inputs!$E$5:$E$120=$B19)*ISNUMBER(INDEX(Inputs!$K$5:$AJ$120,0,MATCH(Q$2,Inputs!$K$4:$AJ$4,0))))=0,NA(),SUMPRODUCT((Inputs!$A$5:$A$120=$B19)*Inputs!$B$5:$B$120*(((Inputs!$G$5:$G$120="moeda")+(Inputs!$G$5:$G$120="acoes"))*Inputs!$B$1+((Inputs!$G$5:$G$120&lt;&gt;"moeda")*(Inputs!$G$5:$G$120&lt;&gt;"acoes")))*INDEX(Inputs!$K$5:$AJ$120,0,MATCH(Q$2,Inputs!$K$4:$AJ$4,0)))+SUMPRODUCT((Inputs!$C$5:$C$120=$B19)*Inputs!$D$5:$D$120*(((Inputs!$G$5:$G$120="moeda")+(Inputs!$G$5:$G$120="acoes"))*Inputs!$B$1+((Inputs!$G$5:$G$120&lt;&gt;"moeda")*(Inputs!$G$5:$G$120&lt;&gt;"acoes")))*INDEX(Inputs!$K$5:$AJ$120,0,MATCH(Q$2,Inputs!$K$4:$AJ$4,0)))+SUMPRODUCT((Inputs!$E$5:$E$120=$B19)*Inputs!$F$5:$F$120*(((Inputs!$G$5:$G$120="moeda")+(Inputs!$G$5:$G$120="acoes"))*Inputs!$B$1+((Inputs!$G$5:$G$120&lt;&gt;"moeda")*(Inputs!$G$5:$G$120&lt;&gt;"acoes")))*INDEX(Inputs!$K$5:$AJ$120,0,MATCH(Q$2,Inputs!$K$4:$AJ$4,0)))))</f>
        <v>0</v>
      </c>
      <c r="R19" s="268">
        <f>Q19</f>
        <v>0</v>
      </c>
      <c r="S19" s="267">
        <f>IF(ISNA(MATCH(S$2,Inputs!$K$4:$AJ$4,0)),NA(),IF(SUMPRODUCT((Inputs!$A$5:$A$120=$B19)*ISNUMBER(INDEX(Inputs!$K$5:$AJ$120,0,MATCH(S$2,Inputs!$K$4:$AJ$4,0))))+SUMPRODUCT((Inputs!$C$5:$C$120=$B19)*ISNUMBER(INDEX(Inputs!$K$5:$AJ$120,0,MATCH(S$2,Inputs!$K$4:$AJ$4,0))))+SUMPRODUCT((Inputs!$E$5:$E$120=$B19)*ISNUMBER(INDEX(Inputs!$K$5:$AJ$120,0,MATCH(S$2,Inputs!$K$4:$AJ$4,0))))=0,NA(),SUMPRODUCT((Inputs!$A$5:$A$120=$B19)*Inputs!$B$5:$B$120*(((Inputs!$G$5:$G$120="moeda")+(Inputs!$G$5:$G$120="acoes"))*Inputs!$B$1+((Inputs!$G$5:$G$120&lt;&gt;"moeda")*(Inputs!$G$5:$G$120&lt;&gt;"acoes")))*INDEX(Inputs!$K$5:$AJ$120,0,MATCH(S$2,Inputs!$K$4:$AJ$4,0)))+SUMPRODUCT((Inputs!$C$5:$C$120=$B19)*Inputs!$D$5:$D$120*(((Inputs!$G$5:$G$120="moeda")+(Inputs!$G$5:$G$120="acoes"))*Inputs!$B$1+((Inputs!$G$5:$G$120&lt;&gt;"moeda")*(Inputs!$G$5:$G$120&lt;&gt;"acoes")))*INDEX(Inputs!$K$5:$AJ$120,0,MATCH(S$2,Inputs!$K$4:$AJ$4,0)))+SUMPRODUCT((Inputs!$E$5:$E$120=$B19)*Inputs!$F$5:$F$120*(((Inputs!$G$5:$G$120="moeda")+(Inputs!$G$5:$G$120="acoes"))*Inputs!$B$1+((Inputs!$G$5:$G$120&lt;&gt;"moeda")*(Inputs!$G$5:$G$120&lt;&gt;"acoes")))*INDEX(Inputs!$K$5:$AJ$120,0,MATCH(S$2,Inputs!$K$4:$AJ$4,0)))))</f>
        <v>0</v>
      </c>
      <c r="T19" s="267">
        <f>IF(ISNA(MATCH(T$2,Inputs!$K$4:$AJ$4,0)),NA(),IF(SUMPRODUCT((Inputs!$A$5:$A$120=$B19)*ISNUMBER(INDEX(Inputs!$K$5:$AJ$120,0,MATCH(T$2,Inputs!$K$4:$AJ$4,0))))+SUMPRODUCT((Inputs!$C$5:$C$120=$B19)*ISNUMBER(INDEX(Inputs!$K$5:$AJ$120,0,MATCH(T$2,Inputs!$K$4:$AJ$4,0))))+SUMPRODUCT((Inputs!$E$5:$E$120=$B19)*ISNUMBER(INDEX(Inputs!$K$5:$AJ$120,0,MATCH(T$2,Inputs!$K$4:$AJ$4,0))))=0,NA(),SUMPRODUCT((Inputs!$A$5:$A$120=$B19)*Inputs!$B$5:$B$120*(((Inputs!$G$5:$G$120="moeda")+(Inputs!$G$5:$G$120="acoes"))*Inputs!$B$1+((Inputs!$G$5:$G$120&lt;&gt;"moeda")*(Inputs!$G$5:$G$120&lt;&gt;"acoes")))*INDEX(Inputs!$K$5:$AJ$120,0,MATCH(T$2,Inputs!$K$4:$AJ$4,0)))+SUMPRODUCT((Inputs!$C$5:$C$120=$B19)*Inputs!$D$5:$D$120*(((Inputs!$G$5:$G$120="moeda")+(Inputs!$G$5:$G$120="acoes"))*Inputs!$B$1+((Inputs!$G$5:$G$120&lt;&gt;"moeda")*(Inputs!$G$5:$G$120&lt;&gt;"acoes")))*INDEX(Inputs!$K$5:$AJ$120,0,MATCH(T$2,Inputs!$K$4:$AJ$4,0)))+SUMPRODUCT((Inputs!$E$5:$E$120=$B19)*Inputs!$F$5:$F$120*(((Inputs!$G$5:$G$120="moeda")+(Inputs!$G$5:$G$120="acoes"))*Inputs!$B$1+((Inputs!$G$5:$G$120&lt;&gt;"moeda")*(Inputs!$G$5:$G$120&lt;&gt;"acoes")))*INDEX(Inputs!$K$5:$AJ$120,0,MATCH(T$2,Inputs!$K$4:$AJ$4,0)))))</f>
        <v>0</v>
      </c>
      <c r="U19" s="267">
        <f>IF(ISNA(MATCH(U$2,Inputs!$K$4:$AJ$4,0)),NA(),IF(SUMPRODUCT((Inputs!$A$5:$A$120=$B19)*ISNUMBER(INDEX(Inputs!$K$5:$AJ$120,0,MATCH(U$2,Inputs!$K$4:$AJ$4,0))))+SUMPRODUCT((Inputs!$C$5:$C$120=$B19)*ISNUMBER(INDEX(Inputs!$K$5:$AJ$120,0,MATCH(U$2,Inputs!$K$4:$AJ$4,0))))+SUMPRODUCT((Inputs!$E$5:$E$120=$B19)*ISNUMBER(INDEX(Inputs!$K$5:$AJ$120,0,MATCH(U$2,Inputs!$K$4:$AJ$4,0))))=0,NA(),SUMPRODUCT((Inputs!$A$5:$A$120=$B19)*Inputs!$B$5:$B$120*(((Inputs!$G$5:$G$120="moeda")+(Inputs!$G$5:$G$120="acoes"))*Inputs!$B$1+((Inputs!$G$5:$G$120&lt;&gt;"moeda")*(Inputs!$G$5:$G$120&lt;&gt;"acoes")))*INDEX(Inputs!$K$5:$AJ$120,0,MATCH(U$2,Inputs!$K$4:$AJ$4,0)))+SUMPRODUCT((Inputs!$C$5:$C$120=$B19)*Inputs!$D$5:$D$120*(((Inputs!$G$5:$G$120="moeda")+(Inputs!$G$5:$G$120="acoes"))*Inputs!$B$1+((Inputs!$G$5:$G$120&lt;&gt;"moeda")*(Inputs!$G$5:$G$120&lt;&gt;"acoes")))*INDEX(Inputs!$K$5:$AJ$120,0,MATCH(U$2,Inputs!$K$4:$AJ$4,0)))+SUMPRODUCT((Inputs!$E$5:$E$120=$B19)*Inputs!$F$5:$F$120*(((Inputs!$G$5:$G$120="moeda")+(Inputs!$G$5:$G$120="acoes"))*Inputs!$B$1+((Inputs!$G$5:$G$120&lt;&gt;"moeda")*(Inputs!$G$5:$G$120&lt;&gt;"acoes")))*INDEX(Inputs!$K$5:$AJ$120,0,MATCH(U$2,Inputs!$K$4:$AJ$4,0)))))</f>
        <v>0</v>
      </c>
      <c r="V19" s="267">
        <f>IF(ISNA(MATCH(V$2,Inputs!$K$4:$AJ$4,0)),NA(),IF(SUMPRODUCT((Inputs!$A$5:$A$120=$B19)*ISNUMBER(INDEX(Inputs!$K$5:$AJ$120,0,MATCH(V$2,Inputs!$K$4:$AJ$4,0))))+SUMPRODUCT((Inputs!$C$5:$C$120=$B19)*ISNUMBER(INDEX(Inputs!$K$5:$AJ$120,0,MATCH(V$2,Inputs!$K$4:$AJ$4,0))))+SUMPRODUCT((Inputs!$E$5:$E$120=$B19)*ISNUMBER(INDEX(Inputs!$K$5:$AJ$120,0,MATCH(V$2,Inputs!$K$4:$AJ$4,0))))=0,NA(),SUMPRODUCT((Inputs!$A$5:$A$120=$B19)*Inputs!$B$5:$B$120*(((Inputs!$G$5:$G$120="moeda")+(Inputs!$G$5:$G$120="acoes"))*Inputs!$B$1+((Inputs!$G$5:$G$120&lt;&gt;"moeda")*(Inputs!$G$5:$G$120&lt;&gt;"acoes")))*INDEX(Inputs!$K$5:$AJ$120,0,MATCH(V$2,Inputs!$K$4:$AJ$4,0)))+SUMPRODUCT((Inputs!$C$5:$C$120=$B19)*Inputs!$D$5:$D$120*(((Inputs!$G$5:$G$120="moeda")+(Inputs!$G$5:$G$120="acoes"))*Inputs!$B$1+((Inputs!$G$5:$G$120&lt;&gt;"moeda")*(Inputs!$G$5:$G$120&lt;&gt;"acoes")))*INDEX(Inputs!$K$5:$AJ$120,0,MATCH(V$2,Inputs!$K$4:$AJ$4,0)))+SUMPRODUCT((Inputs!$E$5:$E$120=$B19)*Inputs!$F$5:$F$120*(((Inputs!$G$5:$G$120="moeda")+(Inputs!$G$5:$G$120="acoes"))*Inputs!$B$1+((Inputs!$G$5:$G$120&lt;&gt;"moeda")*(Inputs!$G$5:$G$120&lt;&gt;"acoes")))*INDEX(Inputs!$K$5:$AJ$120,0,MATCH(V$2,Inputs!$K$4:$AJ$4,0)))))</f>
        <v>0</v>
      </c>
      <c r="W19" s="268">
        <f>V19</f>
        <v>0</v>
      </c>
      <c r="X19" s="267">
        <f>IF(ISNA(MATCH(X$2,Inputs!$K$4:$AJ$4,0)),NA(),IF(SUMPRODUCT((Inputs!$A$5:$A$120=$B19)*ISNUMBER(INDEX(Inputs!$K$5:$AJ$120,0,MATCH(X$2,Inputs!$K$4:$AJ$4,0))))+SUMPRODUCT((Inputs!$C$5:$C$120=$B19)*ISNUMBER(INDEX(Inputs!$K$5:$AJ$120,0,MATCH(X$2,Inputs!$K$4:$AJ$4,0))))+SUMPRODUCT((Inputs!$E$5:$E$120=$B19)*ISNUMBER(INDEX(Inputs!$K$5:$AJ$120,0,MATCH(X$2,Inputs!$K$4:$AJ$4,0))))=0,NA(),SUMPRODUCT((Inputs!$A$5:$A$120=$B19)*Inputs!$B$5:$B$120*(((Inputs!$G$5:$G$120="moeda")+(Inputs!$G$5:$G$120="acoes"))*Inputs!$B$1+((Inputs!$G$5:$G$120&lt;&gt;"moeda")*(Inputs!$G$5:$G$120&lt;&gt;"acoes")))*INDEX(Inputs!$K$5:$AJ$120,0,MATCH(X$2,Inputs!$K$4:$AJ$4,0)))+SUMPRODUCT((Inputs!$C$5:$C$120=$B19)*Inputs!$D$5:$D$120*(((Inputs!$G$5:$G$120="moeda")+(Inputs!$G$5:$G$120="acoes"))*Inputs!$B$1+((Inputs!$G$5:$G$120&lt;&gt;"moeda")*(Inputs!$G$5:$G$120&lt;&gt;"acoes")))*INDEX(Inputs!$K$5:$AJ$120,0,MATCH(X$2,Inputs!$K$4:$AJ$4,0)))+SUMPRODUCT((Inputs!$E$5:$E$120=$B19)*Inputs!$F$5:$F$120*(((Inputs!$G$5:$G$120="moeda")+(Inputs!$G$5:$G$120="acoes"))*Inputs!$B$1+((Inputs!$G$5:$G$120&lt;&gt;"moeda")*(Inputs!$G$5:$G$120&lt;&gt;"acoes")))*INDEX(Inputs!$K$5:$AJ$120,0,MATCH(X$2,Inputs!$K$4:$AJ$4,0)))))</f>
        <v>0</v>
      </c>
      <c r="Y19" s="267">
        <f>IF(ISNA(MATCH(Y$2,Inputs!$K$4:$AJ$4,0)),NA(),IF(SUMPRODUCT((Inputs!$A$5:$A$120=$B19)*ISNUMBER(INDEX(Inputs!$K$5:$AJ$120,0,MATCH(Y$2,Inputs!$K$4:$AJ$4,0))))+SUMPRODUCT((Inputs!$C$5:$C$120=$B19)*ISNUMBER(INDEX(Inputs!$K$5:$AJ$120,0,MATCH(Y$2,Inputs!$K$4:$AJ$4,0))))+SUMPRODUCT((Inputs!$E$5:$E$120=$B19)*ISNUMBER(INDEX(Inputs!$K$5:$AJ$120,0,MATCH(Y$2,Inputs!$K$4:$AJ$4,0))))=0,NA(),SUMPRODUCT((Inputs!$A$5:$A$120=$B19)*Inputs!$B$5:$B$120*(((Inputs!$G$5:$G$120="moeda")+(Inputs!$G$5:$G$120="acoes"))*Inputs!$B$1+((Inputs!$G$5:$G$120&lt;&gt;"moeda")*(Inputs!$G$5:$G$120&lt;&gt;"acoes")))*INDEX(Inputs!$K$5:$AJ$120,0,MATCH(Y$2,Inputs!$K$4:$AJ$4,0)))+SUMPRODUCT((Inputs!$C$5:$C$120=$B19)*Inputs!$D$5:$D$120*(((Inputs!$G$5:$G$120="moeda")+(Inputs!$G$5:$G$120="acoes"))*Inputs!$B$1+((Inputs!$G$5:$G$120&lt;&gt;"moeda")*(Inputs!$G$5:$G$120&lt;&gt;"acoes")))*INDEX(Inputs!$K$5:$AJ$120,0,MATCH(Y$2,Inputs!$K$4:$AJ$4,0)))+SUMPRODUCT((Inputs!$E$5:$E$120=$B19)*Inputs!$F$5:$F$120*(((Inputs!$G$5:$G$120="moeda")+(Inputs!$G$5:$G$120="acoes"))*Inputs!$B$1+((Inputs!$G$5:$G$120&lt;&gt;"moeda")*(Inputs!$G$5:$G$120&lt;&gt;"acoes")))*INDEX(Inputs!$K$5:$AJ$120,0,MATCH(Y$2,Inputs!$K$4:$AJ$4,0)))))</f>
        <v>0</v>
      </c>
      <c r="Z19" s="267">
        <f>IF(ISNA(MATCH(Z$2,Inputs!$K$4:$AJ$4,0)),NA(),IF(SUMPRODUCT((Inputs!$A$5:$A$120=$B19)*ISNUMBER(INDEX(Inputs!$K$5:$AJ$120,0,MATCH(Z$2,Inputs!$K$4:$AJ$4,0))))+SUMPRODUCT((Inputs!$C$5:$C$120=$B19)*ISNUMBER(INDEX(Inputs!$K$5:$AJ$120,0,MATCH(Z$2,Inputs!$K$4:$AJ$4,0))))+SUMPRODUCT((Inputs!$E$5:$E$120=$B19)*ISNUMBER(INDEX(Inputs!$K$5:$AJ$120,0,MATCH(Z$2,Inputs!$K$4:$AJ$4,0))))=0,NA(),SUMPRODUCT((Inputs!$A$5:$A$120=$B19)*Inputs!$B$5:$B$120*(((Inputs!$G$5:$G$120="moeda")+(Inputs!$G$5:$G$120="acoes"))*Inputs!$B$1+((Inputs!$G$5:$G$120&lt;&gt;"moeda")*(Inputs!$G$5:$G$120&lt;&gt;"acoes")))*INDEX(Inputs!$K$5:$AJ$120,0,MATCH(Z$2,Inputs!$K$4:$AJ$4,0)))+SUMPRODUCT((Inputs!$C$5:$C$120=$B19)*Inputs!$D$5:$D$120*(((Inputs!$G$5:$G$120="moeda")+(Inputs!$G$5:$G$120="acoes"))*Inputs!$B$1+((Inputs!$G$5:$G$120&lt;&gt;"moeda")*(Inputs!$G$5:$G$120&lt;&gt;"acoes")))*INDEX(Inputs!$K$5:$AJ$120,0,MATCH(Z$2,Inputs!$K$4:$AJ$4,0)))+SUMPRODUCT((Inputs!$E$5:$E$120=$B19)*Inputs!$F$5:$F$120*(((Inputs!$G$5:$G$120="moeda")+(Inputs!$G$5:$G$120="acoes"))*Inputs!$B$1+((Inputs!$G$5:$G$120&lt;&gt;"moeda")*(Inputs!$G$5:$G$120&lt;&gt;"acoes")))*INDEX(Inputs!$K$5:$AJ$120,0,MATCH(Z$2,Inputs!$K$4:$AJ$4,0)))))</f>
        <v>0</v>
      </c>
      <c r="AA19" s="267">
        <f>IF(ISNA(MATCH(AA$2,Inputs!$K$4:$AJ$4,0)),NA(),IF(SUMPRODUCT((Inputs!$A$5:$A$120=$B19)*ISNUMBER(INDEX(Inputs!$K$5:$AJ$120,0,MATCH(AA$2,Inputs!$K$4:$AJ$4,0))))+SUMPRODUCT((Inputs!$C$5:$C$120=$B19)*ISNUMBER(INDEX(Inputs!$K$5:$AJ$120,0,MATCH(AA$2,Inputs!$K$4:$AJ$4,0))))+SUMPRODUCT((Inputs!$E$5:$E$120=$B19)*ISNUMBER(INDEX(Inputs!$K$5:$AJ$120,0,MATCH(AA$2,Inputs!$K$4:$AJ$4,0))))=0,NA(),SUMPRODUCT((Inputs!$A$5:$A$120=$B19)*Inputs!$B$5:$B$120*(((Inputs!$G$5:$G$120="moeda")+(Inputs!$G$5:$G$120="acoes"))*Inputs!$B$1+((Inputs!$G$5:$G$120&lt;&gt;"moeda")*(Inputs!$G$5:$G$120&lt;&gt;"acoes")))*INDEX(Inputs!$K$5:$AJ$120,0,MATCH(AA$2,Inputs!$K$4:$AJ$4,0)))+SUMPRODUCT((Inputs!$C$5:$C$120=$B19)*Inputs!$D$5:$D$120*(((Inputs!$G$5:$G$120="moeda")+(Inputs!$G$5:$G$120="acoes"))*Inputs!$B$1+((Inputs!$G$5:$G$120&lt;&gt;"moeda")*(Inputs!$G$5:$G$120&lt;&gt;"acoes")))*INDEX(Inputs!$K$5:$AJ$120,0,MATCH(AA$2,Inputs!$K$4:$AJ$4,0)))+SUMPRODUCT((Inputs!$E$5:$E$120=$B19)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19" s="268">
        <f>AA19</f>
        <v>0</v>
      </c>
      <c r="AC19" s="267">
        <f>IF(ISNA(MATCH(AC$2,Inputs!$K$4:$AJ$4,0)),NA(),IF(SUMPRODUCT((Inputs!$A$5:$A$120=$B19)*ISNUMBER(INDEX(Inputs!$K$5:$AJ$120,0,MATCH(AC$2,Inputs!$K$4:$AJ$4,0))))+SUMPRODUCT((Inputs!$C$5:$C$120=$B19)*ISNUMBER(INDEX(Inputs!$K$5:$AJ$120,0,MATCH(AC$2,Inputs!$K$4:$AJ$4,0))))+SUMPRODUCT((Inputs!$E$5:$E$120=$B19)*ISNUMBER(INDEX(Inputs!$K$5:$AJ$120,0,MATCH(AC$2,Inputs!$K$4:$AJ$4,0))))=0,NA(),SUMPRODUCT((Inputs!$A$5:$A$120=$B19)*Inputs!$B$5:$B$120*(((Inputs!$G$5:$G$120="moeda")+(Inputs!$G$5:$G$120="acoes"))*Inputs!$B$1+((Inputs!$G$5:$G$120&lt;&gt;"moeda")*(Inputs!$G$5:$G$120&lt;&gt;"acoes")))*INDEX(Inputs!$K$5:$AJ$120,0,MATCH(AC$2,Inputs!$K$4:$AJ$4,0)))+SUMPRODUCT((Inputs!$C$5:$C$120=$B19)*Inputs!$D$5:$D$120*(((Inputs!$G$5:$G$120="moeda")+(Inputs!$G$5:$G$120="acoes"))*Inputs!$B$1+((Inputs!$G$5:$G$120&lt;&gt;"moeda")*(Inputs!$G$5:$G$120&lt;&gt;"acoes")))*INDEX(Inputs!$K$5:$AJ$120,0,MATCH(AC$2,Inputs!$K$4:$AJ$4,0)))+SUMPRODUCT((Inputs!$E$5:$E$120=$B19)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19" s="267">
        <f>IF(ISNA(MATCH(AD$2,Inputs!$K$4:$AJ$4,0)),NA(),IF(SUMPRODUCT((Inputs!$A$5:$A$120=$B19)*ISNUMBER(INDEX(Inputs!$K$5:$AJ$120,0,MATCH(AD$2,Inputs!$K$4:$AJ$4,0))))+SUMPRODUCT((Inputs!$C$5:$C$120=$B19)*ISNUMBER(INDEX(Inputs!$K$5:$AJ$120,0,MATCH(AD$2,Inputs!$K$4:$AJ$4,0))))+SUMPRODUCT((Inputs!$E$5:$E$120=$B19)*ISNUMBER(INDEX(Inputs!$K$5:$AJ$120,0,MATCH(AD$2,Inputs!$K$4:$AJ$4,0))))=0,NA(),SUMPRODUCT((Inputs!$A$5:$A$120=$B19)*Inputs!$B$5:$B$120*(((Inputs!$G$5:$G$120="moeda")+(Inputs!$G$5:$G$120="acoes"))*Inputs!$B$1+((Inputs!$G$5:$G$120&lt;&gt;"moeda")*(Inputs!$G$5:$G$120&lt;&gt;"acoes")))*INDEX(Inputs!$K$5:$AJ$120,0,MATCH(AD$2,Inputs!$K$4:$AJ$4,0)))+SUMPRODUCT((Inputs!$C$5:$C$120=$B19)*Inputs!$D$5:$D$120*(((Inputs!$G$5:$G$120="moeda")+(Inputs!$G$5:$G$120="acoes"))*Inputs!$B$1+((Inputs!$G$5:$G$120&lt;&gt;"moeda")*(Inputs!$G$5:$G$120&lt;&gt;"acoes")))*INDEX(Inputs!$K$5:$AJ$120,0,MATCH(AD$2,Inputs!$K$4:$AJ$4,0)))+SUMPRODUCT((Inputs!$E$5:$E$120=$B19)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19" s="267" t="e">
        <f>IF(ISNA(MATCH(AE$2,Inputs!$K$4:$AJ$4,0)),NA(),IF(SUMPRODUCT((Inputs!$A$5:$A$120=$B19)*ISNUMBER(INDEX(Inputs!$K$5:$AJ$120,0,MATCH(AE$2,Inputs!$K$4:$AJ$4,0))))+SUMPRODUCT((Inputs!$C$5:$C$120=$B19)*ISNUMBER(INDEX(Inputs!$K$5:$AJ$120,0,MATCH(AE$2,Inputs!$K$4:$AJ$4,0))))+SUMPRODUCT((Inputs!$E$5:$E$120=$B19)*ISNUMBER(INDEX(Inputs!$K$5:$AJ$120,0,MATCH(AE$2,Inputs!$K$4:$AJ$4,0))))=0,NA(),SUMPRODUCT((Inputs!$A$5:$A$120=$B19)*Inputs!$B$5:$B$120*(((Inputs!$G$5:$G$120="moeda")+(Inputs!$G$5:$G$120="acoes"))*Inputs!$B$1+((Inputs!$G$5:$G$120&lt;&gt;"moeda")*(Inputs!$G$5:$G$120&lt;&gt;"acoes")))*INDEX(Inputs!$K$5:$AJ$120,0,MATCH(AE$2,Inputs!$K$4:$AJ$4,0)))+SUMPRODUCT((Inputs!$C$5:$C$120=$B19)*Inputs!$D$5:$D$120*(((Inputs!$G$5:$G$120="moeda")+(Inputs!$G$5:$G$120="acoes"))*Inputs!$B$1+((Inputs!$G$5:$G$120&lt;&gt;"moeda")*(Inputs!$G$5:$G$120&lt;&gt;"acoes")))*INDEX(Inputs!$K$5:$AJ$120,0,MATCH(AE$2,Inputs!$K$4:$AJ$4,0)))+SUMPRODUCT((Inputs!$E$5:$E$120=$B19)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19" s="267" t="e">
        <f>IF(ISNA(MATCH(AF$2,Inputs!$K$4:$AJ$4,0)),NA(),IF(SUMPRODUCT((Inputs!$A$5:$A$120=$B19)*ISNUMBER(INDEX(Inputs!$K$5:$AJ$120,0,MATCH(AF$2,Inputs!$K$4:$AJ$4,0))))+SUMPRODUCT((Inputs!$C$5:$C$120=$B19)*ISNUMBER(INDEX(Inputs!$K$5:$AJ$120,0,MATCH(AF$2,Inputs!$K$4:$AJ$4,0))))+SUMPRODUCT((Inputs!$E$5:$E$120=$B19)*ISNUMBER(INDEX(Inputs!$K$5:$AJ$120,0,MATCH(AF$2,Inputs!$K$4:$AJ$4,0))))=0,NA(),SUMPRODUCT((Inputs!$A$5:$A$120=$B19)*Inputs!$B$5:$B$120*(((Inputs!$G$5:$G$120="moeda")+(Inputs!$G$5:$G$120="acoes"))*Inputs!$B$1+((Inputs!$G$5:$G$120&lt;&gt;"moeda")*(Inputs!$G$5:$G$120&lt;&gt;"acoes")))*INDEX(Inputs!$K$5:$AJ$120,0,MATCH(AF$2,Inputs!$K$4:$AJ$4,0)))+SUMPRODUCT((Inputs!$C$5:$C$120=$B19)*Inputs!$D$5:$D$120*(((Inputs!$G$5:$G$120="moeda")+(Inputs!$G$5:$G$120="acoes"))*Inputs!$B$1+((Inputs!$G$5:$G$120&lt;&gt;"moeda")*(Inputs!$G$5:$G$120&lt;&gt;"acoes")))*INDEX(Inputs!$K$5:$AJ$120,0,MATCH(AF$2,Inputs!$K$4:$AJ$4,0)))+SUMPRODUCT((Inputs!$E$5:$E$120=$B19)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19" s="268" t="e">
        <f>AF19</f>
        <v>#N/A</v>
      </c>
      <c r="AH19" s="267">
        <f>IF(ISNA(MATCH(AH$2,Inputs!$K$4:$AJ$4,0)),NA(),IF(SUMPRODUCT((Inputs!$A$5:$A$120=$B19)*ISNUMBER(INDEX(Inputs!$K$5:$AJ$120,0,MATCH(AH$2,Inputs!$K$4:$AJ$4,0))))+SUMPRODUCT((Inputs!$C$5:$C$120=$B19)*ISNUMBER(INDEX(Inputs!$K$5:$AJ$120,0,MATCH(AH$2,Inputs!$K$4:$AJ$4,0))))+SUMPRODUCT((Inputs!$E$5:$E$120=$B19)*ISNUMBER(INDEX(Inputs!$K$5:$AJ$120,0,MATCH(AH$2,Inputs!$K$4:$AJ$4,0))))=0,NA(),SUMPRODUCT((Inputs!$A$5:$A$120=$B19)*Inputs!$B$5:$B$120*(((Inputs!$G$5:$G$120="moeda")+(Inputs!$G$5:$G$120="acoes"))*Inputs!$B$1+((Inputs!$G$5:$G$120&lt;&gt;"moeda")*(Inputs!$G$5:$G$120&lt;&gt;"acoes")))*INDEX(Inputs!$K$5:$AJ$120,0,MATCH(AH$2,Inputs!$K$4:$AJ$4,0)))+SUMPRODUCT((Inputs!$C$5:$C$120=$B19)*Inputs!$D$5:$D$120*(((Inputs!$G$5:$G$120="moeda")+(Inputs!$G$5:$G$120="acoes"))*Inputs!$B$1+((Inputs!$G$5:$G$120&lt;&gt;"moeda")*(Inputs!$G$5:$G$120&lt;&gt;"acoes")))*INDEX(Inputs!$K$5:$AJ$120,0,MATCH(AH$2,Inputs!$K$4:$AJ$4,0)))+SUMPRODUCT((Inputs!$E$5:$E$120=$B19)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19" s="267">
        <f>IF(ISNA(MATCH(AI$2,Inputs!$K$4:$AJ$4,0)),NA(),IF(SUMPRODUCT((Inputs!$A$5:$A$120=$B19)*ISNUMBER(INDEX(Inputs!$K$5:$AJ$120,0,MATCH(AI$2,Inputs!$K$4:$AJ$4,0))))+SUMPRODUCT((Inputs!$C$5:$C$120=$B19)*ISNUMBER(INDEX(Inputs!$K$5:$AJ$120,0,MATCH(AI$2,Inputs!$K$4:$AJ$4,0))))+SUMPRODUCT((Inputs!$E$5:$E$120=$B19)*ISNUMBER(INDEX(Inputs!$K$5:$AJ$120,0,MATCH(AI$2,Inputs!$K$4:$AJ$4,0))))=0,NA(),SUMPRODUCT((Inputs!$A$5:$A$120=$B19)*Inputs!$B$5:$B$120*(((Inputs!$G$5:$G$120="moeda")+(Inputs!$G$5:$G$120="acoes"))*Inputs!$B$1+((Inputs!$G$5:$G$120&lt;&gt;"moeda")*(Inputs!$G$5:$G$120&lt;&gt;"acoes")))*INDEX(Inputs!$K$5:$AJ$120,0,MATCH(AI$2,Inputs!$K$4:$AJ$4,0)))+SUMPRODUCT((Inputs!$C$5:$C$120=$B19)*Inputs!$D$5:$D$120*(((Inputs!$G$5:$G$120="moeda")+(Inputs!$G$5:$G$120="acoes"))*Inputs!$B$1+((Inputs!$G$5:$G$120&lt;&gt;"moeda")*(Inputs!$G$5:$G$120&lt;&gt;"acoes")))*INDEX(Inputs!$K$5:$AJ$120,0,MATCH(AI$2,Inputs!$K$4:$AJ$4,0)))+SUMPRODUCT((Inputs!$E$5:$E$120=$B19)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19" s="267">
        <f>IF(ISNA(MATCH(AJ$2,Inputs!$K$4:$AJ$4,0)),NA(),IF(SUMPRODUCT((Inputs!$A$5:$A$120=$B19)*ISNUMBER(INDEX(Inputs!$K$5:$AJ$120,0,MATCH(AJ$2,Inputs!$K$4:$AJ$4,0))))+SUMPRODUCT((Inputs!$C$5:$C$120=$B19)*ISNUMBER(INDEX(Inputs!$K$5:$AJ$120,0,MATCH(AJ$2,Inputs!$K$4:$AJ$4,0))))+SUMPRODUCT((Inputs!$E$5:$E$120=$B19)*ISNUMBER(INDEX(Inputs!$K$5:$AJ$120,0,MATCH(AJ$2,Inputs!$K$4:$AJ$4,0))))=0,NA(),SUMPRODUCT((Inputs!$A$5:$A$120=$B19)*Inputs!$B$5:$B$120*(((Inputs!$G$5:$G$120="moeda")+(Inputs!$G$5:$G$120="acoes"))*Inputs!$B$1+((Inputs!$G$5:$G$120&lt;&gt;"moeda")*(Inputs!$G$5:$G$120&lt;&gt;"acoes")))*INDEX(Inputs!$K$5:$AJ$120,0,MATCH(AJ$2,Inputs!$K$4:$AJ$4,0)))+SUMPRODUCT((Inputs!$C$5:$C$120=$B19)*Inputs!$D$5:$D$120*(((Inputs!$G$5:$G$120="moeda")+(Inputs!$G$5:$G$120="acoes"))*Inputs!$B$1+((Inputs!$G$5:$G$120&lt;&gt;"moeda")*(Inputs!$G$5:$G$120&lt;&gt;"acoes")))*INDEX(Inputs!$K$5:$AJ$120,0,MATCH(AJ$2,Inputs!$K$4:$AJ$4,0)))+SUMPRODUCT((Inputs!$E$5:$E$120=$B19)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19" s="267">
        <f>IF(ISNA(MATCH(AK$2,Inputs!$K$4:$AJ$4,0)),NA(),IF(SUMPRODUCT((Inputs!$A$5:$A$120=$B19)*ISNUMBER(INDEX(Inputs!$K$5:$AJ$120,0,MATCH(AK$2,Inputs!$K$4:$AJ$4,0))))+SUMPRODUCT((Inputs!$C$5:$C$120=$B19)*ISNUMBER(INDEX(Inputs!$K$5:$AJ$120,0,MATCH(AK$2,Inputs!$K$4:$AJ$4,0))))+SUMPRODUCT((Inputs!$E$5:$E$120=$B19)*ISNUMBER(INDEX(Inputs!$K$5:$AJ$120,0,MATCH(AK$2,Inputs!$K$4:$AJ$4,0))))=0,NA(),SUMPRODUCT((Inputs!$A$5:$A$120=$B19)*Inputs!$B$5:$B$120*(((Inputs!$G$5:$G$120="moeda")+(Inputs!$G$5:$G$120="acoes"))*Inputs!$B$1+((Inputs!$G$5:$G$120&lt;&gt;"moeda")*(Inputs!$G$5:$G$120&lt;&gt;"acoes")))*INDEX(Inputs!$K$5:$AJ$120,0,MATCH(AK$2,Inputs!$K$4:$AJ$4,0)))+SUMPRODUCT((Inputs!$C$5:$C$120=$B19)*Inputs!$D$5:$D$120*(((Inputs!$G$5:$G$120="moeda")+(Inputs!$G$5:$G$120="acoes"))*Inputs!$B$1+((Inputs!$G$5:$G$120&lt;&gt;"moeda")*(Inputs!$G$5:$G$120&lt;&gt;"acoes")))*INDEX(Inputs!$K$5:$AJ$120,0,MATCH(AK$2,Inputs!$K$4:$AJ$4,0)))+SUMPRODUCT((Inputs!$E$5:$E$120=$B19)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19" s="268">
        <f>AK19</f>
        <v>0</v>
      </c>
    </row>
    <row r="20" ht="12.75" customHeight="1" s="255">
      <c r="B20" s="265" t="n">
        <v>16</v>
      </c>
      <c r="C20" s="270" t="inlineStr">
        <is>
          <t>Other current assets</t>
        </is>
      </c>
      <c r="D20" s="267">
        <f>IF(ISNA(MATCH(D$2,Inputs!$K$4:$AJ$4,0)),NA(),IF(SUMPRODUCT((Inputs!$A$5:$A$120=$B20)*ISNUMBER(INDEX(Inputs!$K$5:$AJ$120,0,MATCH(D$2,Inputs!$K$4:$AJ$4,0))))+SUMPRODUCT((Inputs!$C$5:$C$120=$B20)*ISNUMBER(INDEX(Inputs!$K$5:$AJ$120,0,MATCH(D$2,Inputs!$K$4:$AJ$4,0))))+SUMPRODUCT((Inputs!$E$5:$E$120=$B20)*ISNUMBER(INDEX(Inputs!$K$5:$AJ$120,0,MATCH(D$2,Inputs!$K$4:$AJ$4,0))))=0,NA(),SUMPRODUCT((Inputs!$A$5:$A$120=$B20)*Inputs!$B$5:$B$120*(((Inputs!$G$5:$G$120="moeda")+(Inputs!$G$5:$G$120="acoes"))*Inputs!$B$1+((Inputs!$G$5:$G$120&lt;&gt;"moeda")*(Inputs!$G$5:$G$120&lt;&gt;"acoes")))*INDEX(Inputs!$K$5:$AJ$120,0,MATCH(D$2,Inputs!$K$4:$AJ$4,0)))+SUMPRODUCT((Inputs!$C$5:$C$120=$B20)*Inputs!$D$5:$D$120*(((Inputs!$G$5:$G$120="moeda")+(Inputs!$G$5:$G$120="acoes"))*Inputs!$B$1+((Inputs!$G$5:$G$120&lt;&gt;"moeda")*(Inputs!$G$5:$G$120&lt;&gt;"acoes")))*INDEX(Inputs!$K$5:$AJ$120,0,MATCH(D$2,Inputs!$K$4:$AJ$4,0)))+SUMPRODUCT((Inputs!$E$5:$E$120=$B20)*Inputs!$F$5:$F$120*(((Inputs!$G$5:$G$120="moeda")+(Inputs!$G$5:$G$120="acoes"))*Inputs!$B$1+((Inputs!$G$5:$G$120&lt;&gt;"moeda")*(Inputs!$G$5:$G$120&lt;&gt;"acoes")))*INDEX(Inputs!$K$5:$AJ$120,0,MATCH(D$2,Inputs!$K$4:$AJ$4,0)))))</f>
        <v>6190</v>
      </c>
      <c r="E20" s="267">
        <f>IF(ISNA(MATCH(E$2,Inputs!$K$4:$AJ$4,0)),NA(),IF(SUMPRODUCT((Inputs!$A$5:$A$120=$B20)*ISNUMBER(INDEX(Inputs!$K$5:$AJ$120,0,MATCH(E$2,Inputs!$K$4:$AJ$4,0))))+SUMPRODUCT((Inputs!$C$5:$C$120=$B20)*ISNUMBER(INDEX(Inputs!$K$5:$AJ$120,0,MATCH(E$2,Inputs!$K$4:$AJ$4,0))))+SUMPRODUCT((Inputs!$E$5:$E$120=$B20)*ISNUMBER(INDEX(Inputs!$K$5:$AJ$120,0,MATCH(E$2,Inputs!$K$4:$AJ$4,0))))=0,NA(),SUMPRODUCT((Inputs!$A$5:$A$120=$B20)*Inputs!$B$5:$B$120*(((Inputs!$G$5:$G$120="moeda")+(Inputs!$G$5:$G$120="acoes"))*Inputs!$B$1+((Inputs!$G$5:$G$120&lt;&gt;"moeda")*(Inputs!$G$5:$G$120&lt;&gt;"acoes")))*INDEX(Inputs!$K$5:$AJ$120,0,MATCH(E$2,Inputs!$K$4:$AJ$4,0)))+SUMPRODUCT((Inputs!$C$5:$C$120=$B20)*Inputs!$D$5:$D$120*(((Inputs!$G$5:$G$120="moeda")+(Inputs!$G$5:$G$120="acoes"))*Inputs!$B$1+((Inputs!$G$5:$G$120&lt;&gt;"moeda")*(Inputs!$G$5:$G$120&lt;&gt;"acoes")))*INDEX(Inputs!$K$5:$AJ$120,0,MATCH(E$2,Inputs!$K$4:$AJ$4,0)))+SUMPRODUCT((Inputs!$E$5:$E$120=$B20)*Inputs!$F$5:$F$120*(((Inputs!$G$5:$G$120="moeda")+(Inputs!$G$5:$G$120="acoes"))*Inputs!$B$1+((Inputs!$G$5:$G$120&lt;&gt;"moeda")*(Inputs!$G$5:$G$120&lt;&gt;"acoes")))*INDEX(Inputs!$K$5:$AJ$120,0,MATCH(E$2,Inputs!$K$4:$AJ$4,0)))))</f>
        <v>6105</v>
      </c>
      <c r="F20" s="267">
        <f>IF(ISNA(MATCH(F$2,Inputs!$K$4:$AJ$4,0)),NA(),IF(SUMPRODUCT((Inputs!$A$5:$A$120=$B20)*ISNUMBER(INDEX(Inputs!$K$5:$AJ$120,0,MATCH(F$2,Inputs!$K$4:$AJ$4,0))))+SUMPRODUCT((Inputs!$C$5:$C$120=$B20)*ISNUMBER(INDEX(Inputs!$K$5:$AJ$120,0,MATCH(F$2,Inputs!$K$4:$AJ$4,0))))+SUMPRODUCT((Inputs!$E$5:$E$120=$B20)*ISNUMBER(INDEX(Inputs!$K$5:$AJ$120,0,MATCH(F$2,Inputs!$K$4:$AJ$4,0))))=0,NA(),SUMPRODUCT((Inputs!$A$5:$A$120=$B20)*Inputs!$B$5:$B$120*(((Inputs!$G$5:$G$120="moeda")+(Inputs!$G$5:$G$120="acoes"))*Inputs!$B$1+((Inputs!$G$5:$G$120&lt;&gt;"moeda")*(Inputs!$G$5:$G$120&lt;&gt;"acoes")))*INDEX(Inputs!$K$5:$AJ$120,0,MATCH(F$2,Inputs!$K$4:$AJ$4,0)))+SUMPRODUCT((Inputs!$C$5:$C$120=$B20)*Inputs!$D$5:$D$120*(((Inputs!$G$5:$G$120="moeda")+(Inputs!$G$5:$G$120="acoes"))*Inputs!$B$1+((Inputs!$G$5:$G$120&lt;&gt;"moeda")*(Inputs!$G$5:$G$120&lt;&gt;"acoes")))*INDEX(Inputs!$K$5:$AJ$120,0,MATCH(F$2,Inputs!$K$4:$AJ$4,0)))+SUMPRODUCT((Inputs!$E$5:$E$120=$B20)*Inputs!$F$5:$F$120*(((Inputs!$G$5:$G$120="moeda")+(Inputs!$G$5:$G$120="acoes"))*Inputs!$B$1+((Inputs!$G$5:$G$120&lt;&gt;"moeda")*(Inputs!$G$5:$G$120&lt;&gt;"acoes")))*INDEX(Inputs!$K$5:$AJ$120,0,MATCH(F$2,Inputs!$K$4:$AJ$4,0)))))</f>
        <v>5056</v>
      </c>
      <c r="G20" s="267">
        <f>IF(ISNA(MATCH(G$2,Inputs!$K$4:$AJ$4,0)),NA(),IF(SUMPRODUCT((Inputs!$A$5:$A$120=$B20)*ISNUMBER(INDEX(Inputs!$K$5:$AJ$120,0,MATCH(G$2,Inputs!$K$4:$AJ$4,0))))+SUMPRODUCT((Inputs!$C$5:$C$120=$B20)*ISNUMBER(INDEX(Inputs!$K$5:$AJ$120,0,MATCH(G$2,Inputs!$K$4:$AJ$4,0))))+SUMPRODUCT((Inputs!$E$5:$E$120=$B20)*ISNUMBER(INDEX(Inputs!$K$5:$AJ$120,0,MATCH(G$2,Inputs!$K$4:$AJ$4,0))))=0,NA(),SUMPRODUCT((Inputs!$A$5:$A$120=$B20)*Inputs!$B$5:$B$120*(((Inputs!$G$5:$G$120="moeda")+(Inputs!$G$5:$G$120="acoes"))*Inputs!$B$1+((Inputs!$G$5:$G$120&lt;&gt;"moeda")*(Inputs!$G$5:$G$120&lt;&gt;"acoes")))*INDEX(Inputs!$K$5:$AJ$120,0,MATCH(G$2,Inputs!$K$4:$AJ$4,0)))+SUMPRODUCT((Inputs!$C$5:$C$120=$B20)*Inputs!$D$5:$D$120*(((Inputs!$G$5:$G$120="moeda")+(Inputs!$G$5:$G$120="acoes"))*Inputs!$B$1+((Inputs!$G$5:$G$120&lt;&gt;"moeda")*(Inputs!$G$5:$G$120&lt;&gt;"acoes")))*INDEX(Inputs!$K$5:$AJ$120,0,MATCH(G$2,Inputs!$K$4:$AJ$4,0)))+SUMPRODUCT((Inputs!$E$5:$E$120=$B20)*Inputs!$F$5:$F$120*(((Inputs!$G$5:$G$120="moeda")+(Inputs!$G$5:$G$120="acoes"))*Inputs!$B$1+((Inputs!$G$5:$G$120&lt;&gt;"moeda")*(Inputs!$G$5:$G$120&lt;&gt;"acoes")))*INDEX(Inputs!$K$5:$AJ$120,0,MATCH(G$2,Inputs!$K$4:$AJ$4,0)))))</f>
        <v>5015</v>
      </c>
      <c r="H20" s="268">
        <f>G20</f>
        <v>5015</v>
      </c>
      <c r="I20" s="267">
        <f>IF(ISNA(MATCH(I$2,Inputs!$K$4:$AJ$4,0)),NA(),IF(SUMPRODUCT((Inputs!$A$5:$A$120=$B20)*ISNUMBER(INDEX(Inputs!$K$5:$AJ$120,0,MATCH(I$2,Inputs!$K$4:$AJ$4,0))))+SUMPRODUCT((Inputs!$C$5:$C$120=$B20)*ISNUMBER(INDEX(Inputs!$K$5:$AJ$120,0,MATCH(I$2,Inputs!$K$4:$AJ$4,0))))+SUMPRODUCT((Inputs!$E$5:$E$120=$B20)*ISNUMBER(INDEX(Inputs!$K$5:$AJ$120,0,MATCH(I$2,Inputs!$K$4:$AJ$4,0))))=0,NA(),SUMPRODUCT((Inputs!$A$5:$A$120=$B20)*Inputs!$B$5:$B$120*(((Inputs!$G$5:$G$120="moeda")+(Inputs!$G$5:$G$120="acoes"))*Inputs!$B$1+((Inputs!$G$5:$G$120&lt;&gt;"moeda")*(Inputs!$G$5:$G$120&lt;&gt;"acoes")))*INDEX(Inputs!$K$5:$AJ$120,0,MATCH(I$2,Inputs!$K$4:$AJ$4,0)))+SUMPRODUCT((Inputs!$C$5:$C$120=$B20)*Inputs!$D$5:$D$120*(((Inputs!$G$5:$G$120="moeda")+(Inputs!$G$5:$G$120="acoes"))*Inputs!$B$1+((Inputs!$G$5:$G$120&lt;&gt;"moeda")*(Inputs!$G$5:$G$120&lt;&gt;"acoes")))*INDEX(Inputs!$K$5:$AJ$120,0,MATCH(I$2,Inputs!$K$4:$AJ$4,0)))+SUMPRODUCT((Inputs!$E$5:$E$120=$B20)*Inputs!$F$5:$F$120*(((Inputs!$G$5:$G$120="moeda")+(Inputs!$G$5:$G$120="acoes"))*Inputs!$B$1+((Inputs!$G$5:$G$120&lt;&gt;"moeda")*(Inputs!$G$5:$G$120&lt;&gt;"acoes")))*INDEX(Inputs!$K$5:$AJ$120,0,MATCH(I$2,Inputs!$K$4:$AJ$4,0)))))</f>
        <v>6952</v>
      </c>
      <c r="J20" s="267">
        <f>IF(ISNA(MATCH(J$2,Inputs!$K$4:$AJ$4,0)),NA(),IF(SUMPRODUCT((Inputs!$A$5:$A$120=$B20)*ISNUMBER(INDEX(Inputs!$K$5:$AJ$120,0,MATCH(J$2,Inputs!$K$4:$AJ$4,0))))+SUMPRODUCT((Inputs!$C$5:$C$120=$B20)*ISNUMBER(INDEX(Inputs!$K$5:$AJ$120,0,MATCH(J$2,Inputs!$K$4:$AJ$4,0))))+SUMPRODUCT((Inputs!$E$5:$E$120=$B20)*ISNUMBER(INDEX(Inputs!$K$5:$AJ$120,0,MATCH(J$2,Inputs!$K$4:$AJ$4,0))))=0,NA(),SUMPRODUCT((Inputs!$A$5:$A$120=$B20)*Inputs!$B$5:$B$120*(((Inputs!$G$5:$G$120="moeda")+(Inputs!$G$5:$G$120="acoes"))*Inputs!$B$1+((Inputs!$G$5:$G$120&lt;&gt;"moeda")*(Inputs!$G$5:$G$120&lt;&gt;"acoes")))*INDEX(Inputs!$K$5:$AJ$120,0,MATCH(J$2,Inputs!$K$4:$AJ$4,0)))+SUMPRODUCT((Inputs!$C$5:$C$120=$B20)*Inputs!$D$5:$D$120*(((Inputs!$G$5:$G$120="moeda")+(Inputs!$G$5:$G$120="acoes"))*Inputs!$B$1+((Inputs!$G$5:$G$120&lt;&gt;"moeda")*(Inputs!$G$5:$G$120&lt;&gt;"acoes")))*INDEX(Inputs!$K$5:$AJ$120,0,MATCH(J$2,Inputs!$K$4:$AJ$4,0)))+SUMPRODUCT((Inputs!$E$5:$E$120=$B20)*Inputs!$F$5:$F$120*(((Inputs!$G$5:$G$120="moeda")+(Inputs!$G$5:$G$120="acoes"))*Inputs!$B$1+((Inputs!$G$5:$G$120&lt;&gt;"moeda")*(Inputs!$G$5:$G$120&lt;&gt;"acoes")))*INDEX(Inputs!$K$5:$AJ$120,0,MATCH(J$2,Inputs!$K$4:$AJ$4,0)))))</f>
        <v>6006</v>
      </c>
      <c r="K20" s="267">
        <f>IF(ISNA(MATCH(K$2,Inputs!$K$4:$AJ$4,0)),NA(),IF(SUMPRODUCT((Inputs!$A$5:$A$120=$B20)*ISNUMBER(INDEX(Inputs!$K$5:$AJ$120,0,MATCH(K$2,Inputs!$K$4:$AJ$4,0))))+SUMPRODUCT((Inputs!$C$5:$C$120=$B20)*ISNUMBER(INDEX(Inputs!$K$5:$AJ$120,0,MATCH(K$2,Inputs!$K$4:$AJ$4,0))))+SUMPRODUCT((Inputs!$E$5:$E$120=$B20)*ISNUMBER(INDEX(Inputs!$K$5:$AJ$120,0,MATCH(K$2,Inputs!$K$4:$AJ$4,0))))=0,NA(),SUMPRODUCT((Inputs!$A$5:$A$120=$B20)*Inputs!$B$5:$B$120*(((Inputs!$G$5:$G$120="moeda")+(Inputs!$G$5:$G$120="acoes"))*Inputs!$B$1+((Inputs!$G$5:$G$120&lt;&gt;"moeda")*(Inputs!$G$5:$G$120&lt;&gt;"acoes")))*INDEX(Inputs!$K$5:$AJ$120,0,MATCH(K$2,Inputs!$K$4:$AJ$4,0)))+SUMPRODUCT((Inputs!$C$5:$C$120=$B20)*Inputs!$D$5:$D$120*(((Inputs!$G$5:$G$120="moeda")+(Inputs!$G$5:$G$120="acoes"))*Inputs!$B$1+((Inputs!$G$5:$G$120&lt;&gt;"moeda")*(Inputs!$G$5:$G$120&lt;&gt;"acoes")))*INDEX(Inputs!$K$5:$AJ$120,0,MATCH(K$2,Inputs!$K$4:$AJ$4,0)))+SUMPRODUCT((Inputs!$E$5:$E$120=$B20)*Inputs!$F$5:$F$120*(((Inputs!$G$5:$G$120="moeda")+(Inputs!$G$5:$G$120="acoes"))*Inputs!$B$1+((Inputs!$G$5:$G$120&lt;&gt;"moeda")*(Inputs!$G$5:$G$120&lt;&gt;"acoes")))*INDEX(Inputs!$K$5:$AJ$120,0,MATCH(K$2,Inputs!$K$4:$AJ$4,0)))))</f>
        <v>5791</v>
      </c>
      <c r="L20" s="267">
        <f>IF(ISNA(MATCH(L$2,Inputs!$K$4:$AJ$4,0)),NA(),IF(SUMPRODUCT((Inputs!$A$5:$A$120=$B20)*ISNUMBER(INDEX(Inputs!$K$5:$AJ$120,0,MATCH(L$2,Inputs!$K$4:$AJ$4,0))))+SUMPRODUCT((Inputs!$C$5:$C$120=$B20)*ISNUMBER(INDEX(Inputs!$K$5:$AJ$120,0,MATCH(L$2,Inputs!$K$4:$AJ$4,0))))+SUMPRODUCT((Inputs!$E$5:$E$120=$B20)*ISNUMBER(INDEX(Inputs!$K$5:$AJ$120,0,MATCH(L$2,Inputs!$K$4:$AJ$4,0))))=0,NA(),SUMPRODUCT((Inputs!$A$5:$A$120=$B20)*Inputs!$B$5:$B$120*(((Inputs!$G$5:$G$120="moeda")+(Inputs!$G$5:$G$120="acoes"))*Inputs!$B$1+((Inputs!$G$5:$G$120&lt;&gt;"moeda")*(Inputs!$G$5:$G$120&lt;&gt;"acoes")))*INDEX(Inputs!$K$5:$AJ$120,0,MATCH(L$2,Inputs!$K$4:$AJ$4,0)))+SUMPRODUCT((Inputs!$C$5:$C$120=$B20)*Inputs!$D$5:$D$120*(((Inputs!$G$5:$G$120="moeda")+(Inputs!$G$5:$G$120="acoes"))*Inputs!$B$1+((Inputs!$G$5:$G$120&lt;&gt;"moeda")*(Inputs!$G$5:$G$120&lt;&gt;"acoes")))*INDEX(Inputs!$K$5:$AJ$120,0,MATCH(L$2,Inputs!$K$4:$AJ$4,0)))+SUMPRODUCT((Inputs!$E$5:$E$120=$B20)*Inputs!$F$5:$F$120*(((Inputs!$G$5:$G$120="moeda")+(Inputs!$G$5:$G$120="acoes"))*Inputs!$B$1+((Inputs!$G$5:$G$120&lt;&gt;"moeda")*(Inputs!$G$5:$G$120&lt;&gt;"acoes")))*INDEX(Inputs!$K$5:$AJ$120,0,MATCH(L$2,Inputs!$K$4:$AJ$4,0)))))</f>
        <v>4417</v>
      </c>
      <c r="M20" s="268">
        <f>L20</f>
        <v>4417</v>
      </c>
      <c r="N20" s="267">
        <f>IF(ISNA(MATCH(N$2,Inputs!$K$4:$AJ$4,0)),NA(),IF(SUMPRODUCT((Inputs!$A$5:$A$120=$B20)*ISNUMBER(INDEX(Inputs!$K$5:$AJ$120,0,MATCH(N$2,Inputs!$K$4:$AJ$4,0))))+SUMPRODUCT((Inputs!$C$5:$C$120=$B20)*ISNUMBER(INDEX(Inputs!$K$5:$AJ$120,0,MATCH(N$2,Inputs!$K$4:$AJ$4,0))))+SUMPRODUCT((Inputs!$E$5:$E$120=$B20)*ISNUMBER(INDEX(Inputs!$K$5:$AJ$120,0,MATCH(N$2,Inputs!$K$4:$AJ$4,0))))=0,NA(),SUMPRODUCT((Inputs!$A$5:$A$120=$B20)*Inputs!$B$5:$B$120*(((Inputs!$G$5:$G$120="moeda")+(Inputs!$G$5:$G$120="acoes"))*Inputs!$B$1+((Inputs!$G$5:$G$120&lt;&gt;"moeda")*(Inputs!$G$5:$G$120&lt;&gt;"acoes")))*INDEX(Inputs!$K$5:$AJ$120,0,MATCH(N$2,Inputs!$K$4:$AJ$4,0)))+SUMPRODUCT((Inputs!$C$5:$C$120=$B20)*Inputs!$D$5:$D$120*(((Inputs!$G$5:$G$120="moeda")+(Inputs!$G$5:$G$120="acoes"))*Inputs!$B$1+((Inputs!$G$5:$G$120&lt;&gt;"moeda")*(Inputs!$G$5:$G$120&lt;&gt;"acoes")))*INDEX(Inputs!$K$5:$AJ$120,0,MATCH(N$2,Inputs!$K$4:$AJ$4,0)))+SUMPRODUCT((Inputs!$E$5:$E$120=$B20)*Inputs!$F$5:$F$120*(((Inputs!$G$5:$G$120="moeda")+(Inputs!$G$5:$G$120="acoes"))*Inputs!$B$1+((Inputs!$G$5:$G$120&lt;&gt;"moeda")*(Inputs!$G$5:$G$120&lt;&gt;"acoes")))*INDEX(Inputs!$K$5:$AJ$120,0,MATCH(N$2,Inputs!$K$4:$AJ$4,0)))))</f>
        <v>4247</v>
      </c>
      <c r="O20" s="267">
        <f>IF(ISNA(MATCH(O$2,Inputs!$K$4:$AJ$4,0)),NA(),IF(SUMPRODUCT((Inputs!$A$5:$A$120=$B20)*ISNUMBER(INDEX(Inputs!$K$5:$AJ$120,0,MATCH(O$2,Inputs!$K$4:$AJ$4,0))))+SUMPRODUCT((Inputs!$C$5:$C$120=$B20)*ISNUMBER(INDEX(Inputs!$K$5:$AJ$120,0,MATCH(O$2,Inputs!$K$4:$AJ$4,0))))+SUMPRODUCT((Inputs!$E$5:$E$120=$B20)*ISNUMBER(INDEX(Inputs!$K$5:$AJ$120,0,MATCH(O$2,Inputs!$K$4:$AJ$4,0))))=0,NA(),SUMPRODUCT((Inputs!$A$5:$A$120=$B20)*Inputs!$B$5:$B$120*(((Inputs!$G$5:$G$120="moeda")+(Inputs!$G$5:$G$120="acoes"))*Inputs!$B$1+((Inputs!$G$5:$G$120&lt;&gt;"moeda")*(Inputs!$G$5:$G$120&lt;&gt;"acoes")))*INDEX(Inputs!$K$5:$AJ$120,0,MATCH(O$2,Inputs!$K$4:$AJ$4,0)))+SUMPRODUCT((Inputs!$C$5:$C$120=$B20)*Inputs!$D$5:$D$120*(((Inputs!$G$5:$G$120="moeda")+(Inputs!$G$5:$G$120="acoes"))*Inputs!$B$1+((Inputs!$G$5:$G$120&lt;&gt;"moeda")*(Inputs!$G$5:$G$120&lt;&gt;"acoes")))*INDEX(Inputs!$K$5:$AJ$120,0,MATCH(O$2,Inputs!$K$4:$AJ$4,0)))+SUMPRODUCT((Inputs!$E$5:$E$120=$B20)*Inputs!$F$5:$F$120*(((Inputs!$G$5:$G$120="moeda")+(Inputs!$G$5:$G$120="acoes"))*Inputs!$B$1+((Inputs!$G$5:$G$120&lt;&gt;"moeda")*(Inputs!$G$5:$G$120&lt;&gt;"acoes")))*INDEX(Inputs!$K$5:$AJ$120,0,MATCH(O$2,Inputs!$K$4:$AJ$4,0)))))</f>
        <v>4465</v>
      </c>
      <c r="P20" s="267">
        <f>IF(ISNA(MATCH(P$2,Inputs!$K$4:$AJ$4,0)),NA(),IF(SUMPRODUCT((Inputs!$A$5:$A$120=$B20)*ISNUMBER(INDEX(Inputs!$K$5:$AJ$120,0,MATCH(P$2,Inputs!$K$4:$AJ$4,0))))+SUMPRODUCT((Inputs!$C$5:$C$120=$B20)*ISNUMBER(INDEX(Inputs!$K$5:$AJ$120,0,MATCH(P$2,Inputs!$K$4:$AJ$4,0))))+SUMPRODUCT((Inputs!$E$5:$E$120=$B20)*ISNUMBER(INDEX(Inputs!$K$5:$AJ$120,0,MATCH(P$2,Inputs!$K$4:$AJ$4,0))))=0,NA(),SUMPRODUCT((Inputs!$A$5:$A$120=$B20)*Inputs!$B$5:$B$120*(((Inputs!$G$5:$G$120="moeda")+(Inputs!$G$5:$G$120="acoes"))*Inputs!$B$1+((Inputs!$G$5:$G$120&lt;&gt;"moeda")*(Inputs!$G$5:$G$120&lt;&gt;"acoes")))*INDEX(Inputs!$K$5:$AJ$120,0,MATCH(P$2,Inputs!$K$4:$AJ$4,0)))+SUMPRODUCT((Inputs!$C$5:$C$120=$B20)*Inputs!$D$5:$D$120*(((Inputs!$G$5:$G$120="moeda")+(Inputs!$G$5:$G$120="acoes"))*Inputs!$B$1+((Inputs!$G$5:$G$120&lt;&gt;"moeda")*(Inputs!$G$5:$G$120&lt;&gt;"acoes")))*INDEX(Inputs!$K$5:$AJ$120,0,MATCH(P$2,Inputs!$K$4:$AJ$4,0)))+SUMPRODUCT((Inputs!$E$5:$E$120=$B20)*Inputs!$F$5:$F$120*(((Inputs!$G$5:$G$120="moeda")+(Inputs!$G$5:$G$120="acoes"))*Inputs!$B$1+((Inputs!$G$5:$G$120&lt;&gt;"moeda")*(Inputs!$G$5:$G$120&lt;&gt;"acoes")))*INDEX(Inputs!$K$5:$AJ$120,0,MATCH(P$2,Inputs!$K$4:$AJ$4,0)))))</f>
        <v>4394</v>
      </c>
      <c r="Q20" s="267">
        <f>IF(ISNA(MATCH(Q$2,Inputs!$K$4:$AJ$4,0)),NA(),IF(SUMPRODUCT((Inputs!$A$5:$A$120=$B20)*ISNUMBER(INDEX(Inputs!$K$5:$AJ$120,0,MATCH(Q$2,Inputs!$K$4:$AJ$4,0))))+SUMPRODUCT((Inputs!$C$5:$C$120=$B20)*ISNUMBER(INDEX(Inputs!$K$5:$AJ$120,0,MATCH(Q$2,Inputs!$K$4:$AJ$4,0))))+SUMPRODUCT((Inputs!$E$5:$E$120=$B20)*ISNUMBER(INDEX(Inputs!$K$5:$AJ$120,0,MATCH(Q$2,Inputs!$K$4:$AJ$4,0))))=0,NA(),SUMPRODUCT((Inputs!$A$5:$A$120=$B20)*Inputs!$B$5:$B$120*(((Inputs!$G$5:$G$120="moeda")+(Inputs!$G$5:$G$120="acoes"))*Inputs!$B$1+((Inputs!$G$5:$G$120&lt;&gt;"moeda")*(Inputs!$G$5:$G$120&lt;&gt;"acoes")))*INDEX(Inputs!$K$5:$AJ$120,0,MATCH(Q$2,Inputs!$K$4:$AJ$4,0)))+SUMPRODUCT((Inputs!$C$5:$C$120=$B20)*Inputs!$D$5:$D$120*(((Inputs!$G$5:$G$120="moeda")+(Inputs!$G$5:$G$120="acoes"))*Inputs!$B$1+((Inputs!$G$5:$G$120&lt;&gt;"moeda")*(Inputs!$G$5:$G$120&lt;&gt;"acoes")))*INDEX(Inputs!$K$5:$AJ$120,0,MATCH(Q$2,Inputs!$K$4:$AJ$4,0)))+SUMPRODUCT((Inputs!$E$5:$E$120=$B20)*Inputs!$F$5:$F$120*(((Inputs!$G$5:$G$120="moeda")+(Inputs!$G$5:$G$120="acoes"))*Inputs!$B$1+((Inputs!$G$5:$G$120&lt;&gt;"moeda")*(Inputs!$G$5:$G$120&lt;&gt;"acoes")))*INDEX(Inputs!$K$5:$AJ$120,0,MATCH(Q$2,Inputs!$K$4:$AJ$4,0)))))</f>
        <v>4051</v>
      </c>
      <c r="R20" s="268">
        <f>Q20</f>
        <v>4051</v>
      </c>
      <c r="S20" s="267">
        <f>IF(ISNA(MATCH(S$2,Inputs!$K$4:$AJ$4,0)),NA(),IF(SUMPRODUCT((Inputs!$A$5:$A$120=$B20)*ISNUMBER(INDEX(Inputs!$K$5:$AJ$120,0,MATCH(S$2,Inputs!$K$4:$AJ$4,0))))+SUMPRODUCT((Inputs!$C$5:$C$120=$B20)*ISNUMBER(INDEX(Inputs!$K$5:$AJ$120,0,MATCH(S$2,Inputs!$K$4:$AJ$4,0))))+SUMPRODUCT((Inputs!$E$5:$E$120=$B20)*ISNUMBER(INDEX(Inputs!$K$5:$AJ$120,0,MATCH(S$2,Inputs!$K$4:$AJ$4,0))))=0,NA(),SUMPRODUCT((Inputs!$A$5:$A$120=$B20)*Inputs!$B$5:$B$120*(((Inputs!$G$5:$G$120="moeda")+(Inputs!$G$5:$G$120="acoes"))*Inputs!$B$1+((Inputs!$G$5:$G$120&lt;&gt;"moeda")*(Inputs!$G$5:$G$120&lt;&gt;"acoes")))*INDEX(Inputs!$K$5:$AJ$120,0,MATCH(S$2,Inputs!$K$4:$AJ$4,0)))+SUMPRODUCT((Inputs!$C$5:$C$120=$B20)*Inputs!$D$5:$D$120*(((Inputs!$G$5:$G$120="moeda")+(Inputs!$G$5:$G$120="acoes"))*Inputs!$B$1+((Inputs!$G$5:$G$120&lt;&gt;"moeda")*(Inputs!$G$5:$G$120&lt;&gt;"acoes")))*INDEX(Inputs!$K$5:$AJ$120,0,MATCH(S$2,Inputs!$K$4:$AJ$4,0)))+SUMPRODUCT((Inputs!$E$5:$E$120=$B20)*Inputs!$F$5:$F$120*(((Inputs!$G$5:$G$120="moeda")+(Inputs!$G$5:$G$120="acoes"))*Inputs!$B$1+((Inputs!$G$5:$G$120&lt;&gt;"moeda")*(Inputs!$G$5:$G$120&lt;&gt;"acoes")))*INDEX(Inputs!$K$5:$AJ$120,0,MATCH(S$2,Inputs!$K$4:$AJ$4,0)))))</f>
        <v>4011</v>
      </c>
      <c r="T20" s="267">
        <f>IF(ISNA(MATCH(T$2,Inputs!$K$4:$AJ$4,0)),NA(),IF(SUMPRODUCT((Inputs!$A$5:$A$120=$B20)*ISNUMBER(INDEX(Inputs!$K$5:$AJ$120,0,MATCH(T$2,Inputs!$K$4:$AJ$4,0))))+SUMPRODUCT((Inputs!$C$5:$C$120=$B20)*ISNUMBER(INDEX(Inputs!$K$5:$AJ$120,0,MATCH(T$2,Inputs!$K$4:$AJ$4,0))))+SUMPRODUCT((Inputs!$E$5:$E$120=$B20)*ISNUMBER(INDEX(Inputs!$K$5:$AJ$120,0,MATCH(T$2,Inputs!$K$4:$AJ$4,0))))=0,NA(),SUMPRODUCT((Inputs!$A$5:$A$120=$B20)*Inputs!$B$5:$B$120*(((Inputs!$G$5:$G$120="moeda")+(Inputs!$G$5:$G$120="acoes"))*Inputs!$B$1+((Inputs!$G$5:$G$120&lt;&gt;"moeda")*(Inputs!$G$5:$G$120&lt;&gt;"acoes")))*INDEX(Inputs!$K$5:$AJ$120,0,MATCH(T$2,Inputs!$K$4:$AJ$4,0)))+SUMPRODUCT((Inputs!$C$5:$C$120=$B20)*Inputs!$D$5:$D$120*(((Inputs!$G$5:$G$120="moeda")+(Inputs!$G$5:$G$120="acoes"))*Inputs!$B$1+((Inputs!$G$5:$G$120&lt;&gt;"moeda")*(Inputs!$G$5:$G$120&lt;&gt;"acoes")))*INDEX(Inputs!$K$5:$AJ$120,0,MATCH(T$2,Inputs!$K$4:$AJ$4,0)))+SUMPRODUCT((Inputs!$E$5:$E$120=$B20)*Inputs!$F$5:$F$120*(((Inputs!$G$5:$G$120="moeda")+(Inputs!$G$5:$G$120="acoes"))*Inputs!$B$1+((Inputs!$G$5:$G$120&lt;&gt;"moeda")*(Inputs!$G$5:$G$120&lt;&gt;"acoes")))*INDEX(Inputs!$K$5:$AJ$120,0,MATCH(T$2,Inputs!$K$4:$AJ$4,0)))))</f>
        <v>3957</v>
      </c>
      <c r="U20" s="267">
        <f>IF(ISNA(MATCH(U$2,Inputs!$K$4:$AJ$4,0)),NA(),IF(SUMPRODUCT((Inputs!$A$5:$A$120=$B20)*ISNUMBER(INDEX(Inputs!$K$5:$AJ$120,0,MATCH(U$2,Inputs!$K$4:$AJ$4,0))))+SUMPRODUCT((Inputs!$C$5:$C$120=$B20)*ISNUMBER(INDEX(Inputs!$K$5:$AJ$120,0,MATCH(U$2,Inputs!$K$4:$AJ$4,0))))+SUMPRODUCT((Inputs!$E$5:$E$120=$B20)*ISNUMBER(INDEX(Inputs!$K$5:$AJ$120,0,MATCH(U$2,Inputs!$K$4:$AJ$4,0))))=0,NA(),SUMPRODUCT((Inputs!$A$5:$A$120=$B20)*Inputs!$B$5:$B$120*(((Inputs!$G$5:$G$120="moeda")+(Inputs!$G$5:$G$120="acoes"))*Inputs!$B$1+((Inputs!$G$5:$G$120&lt;&gt;"moeda")*(Inputs!$G$5:$G$120&lt;&gt;"acoes")))*INDEX(Inputs!$K$5:$AJ$120,0,MATCH(U$2,Inputs!$K$4:$AJ$4,0)))+SUMPRODUCT((Inputs!$C$5:$C$120=$B20)*Inputs!$D$5:$D$120*(((Inputs!$G$5:$G$120="moeda")+(Inputs!$G$5:$G$120="acoes"))*Inputs!$B$1+((Inputs!$G$5:$G$120&lt;&gt;"moeda")*(Inputs!$G$5:$G$120&lt;&gt;"acoes")))*INDEX(Inputs!$K$5:$AJ$120,0,MATCH(U$2,Inputs!$K$4:$AJ$4,0)))+SUMPRODUCT((Inputs!$E$5:$E$120=$B20)*Inputs!$F$5:$F$120*(((Inputs!$G$5:$G$120="moeda")+(Inputs!$G$5:$G$120="acoes"))*Inputs!$B$1+((Inputs!$G$5:$G$120&lt;&gt;"moeda")*(Inputs!$G$5:$G$120&lt;&gt;"acoes")))*INDEX(Inputs!$K$5:$AJ$120,0,MATCH(U$2,Inputs!$K$4:$AJ$4,0)))))</f>
        <v>3518</v>
      </c>
      <c r="V20" s="267">
        <f>IF(ISNA(MATCH(V$2,Inputs!$K$4:$AJ$4,0)),NA(),IF(SUMPRODUCT((Inputs!$A$5:$A$120=$B20)*ISNUMBER(INDEX(Inputs!$K$5:$AJ$120,0,MATCH(V$2,Inputs!$K$4:$AJ$4,0))))+SUMPRODUCT((Inputs!$C$5:$C$120=$B20)*ISNUMBER(INDEX(Inputs!$K$5:$AJ$120,0,MATCH(V$2,Inputs!$K$4:$AJ$4,0))))+SUMPRODUCT((Inputs!$E$5:$E$120=$B20)*ISNUMBER(INDEX(Inputs!$K$5:$AJ$120,0,MATCH(V$2,Inputs!$K$4:$AJ$4,0))))=0,NA(),SUMPRODUCT((Inputs!$A$5:$A$120=$B20)*Inputs!$B$5:$B$120*(((Inputs!$G$5:$G$120="moeda")+(Inputs!$G$5:$G$120="acoes"))*Inputs!$B$1+((Inputs!$G$5:$G$120&lt;&gt;"moeda")*(Inputs!$G$5:$G$120&lt;&gt;"acoes")))*INDEX(Inputs!$K$5:$AJ$120,0,MATCH(V$2,Inputs!$K$4:$AJ$4,0)))+SUMPRODUCT((Inputs!$C$5:$C$120=$B20)*Inputs!$D$5:$D$120*(((Inputs!$G$5:$G$120="moeda")+(Inputs!$G$5:$G$120="acoes"))*Inputs!$B$1+((Inputs!$G$5:$G$120&lt;&gt;"moeda")*(Inputs!$G$5:$G$120&lt;&gt;"acoes")))*INDEX(Inputs!$K$5:$AJ$120,0,MATCH(V$2,Inputs!$K$4:$AJ$4,0)))+SUMPRODUCT((Inputs!$E$5:$E$120=$B20)*Inputs!$F$5:$F$120*(((Inputs!$G$5:$G$120="moeda")+(Inputs!$G$5:$G$120="acoes"))*Inputs!$B$1+((Inputs!$G$5:$G$120&lt;&gt;"moeda")*(Inputs!$G$5:$G$120&lt;&gt;"acoes")))*INDEX(Inputs!$K$5:$AJ$120,0,MATCH(V$2,Inputs!$K$4:$AJ$4,0)))))</f>
        <v>4008</v>
      </c>
      <c r="W20" s="268">
        <f>V20</f>
        <v>4008</v>
      </c>
      <c r="X20" s="267">
        <f>IF(ISNA(MATCH(X$2,Inputs!$K$4:$AJ$4,0)),NA(),IF(SUMPRODUCT((Inputs!$A$5:$A$120=$B20)*ISNUMBER(INDEX(Inputs!$K$5:$AJ$120,0,MATCH(X$2,Inputs!$K$4:$AJ$4,0))))+SUMPRODUCT((Inputs!$C$5:$C$120=$B20)*ISNUMBER(INDEX(Inputs!$K$5:$AJ$120,0,MATCH(X$2,Inputs!$K$4:$AJ$4,0))))+SUMPRODUCT((Inputs!$E$5:$E$120=$B20)*ISNUMBER(INDEX(Inputs!$K$5:$AJ$120,0,MATCH(X$2,Inputs!$K$4:$AJ$4,0))))=0,NA(),SUMPRODUCT((Inputs!$A$5:$A$120=$B20)*Inputs!$B$5:$B$120*(((Inputs!$G$5:$G$120="moeda")+(Inputs!$G$5:$G$120="acoes"))*Inputs!$B$1+((Inputs!$G$5:$G$120&lt;&gt;"moeda")*(Inputs!$G$5:$G$120&lt;&gt;"acoes")))*INDEX(Inputs!$K$5:$AJ$120,0,MATCH(X$2,Inputs!$K$4:$AJ$4,0)))+SUMPRODUCT((Inputs!$C$5:$C$120=$B20)*Inputs!$D$5:$D$120*(((Inputs!$G$5:$G$120="moeda")+(Inputs!$G$5:$G$120="acoes"))*Inputs!$B$1+((Inputs!$G$5:$G$120&lt;&gt;"moeda")*(Inputs!$G$5:$G$120&lt;&gt;"acoes")))*INDEX(Inputs!$K$5:$AJ$120,0,MATCH(X$2,Inputs!$K$4:$AJ$4,0)))+SUMPRODUCT((Inputs!$E$5:$E$120=$B20)*Inputs!$F$5:$F$120*(((Inputs!$G$5:$G$120="moeda")+(Inputs!$G$5:$G$120="acoes"))*Inputs!$B$1+((Inputs!$G$5:$G$120&lt;&gt;"moeda")*(Inputs!$G$5:$G$120&lt;&gt;"acoes")))*INDEX(Inputs!$K$5:$AJ$120,0,MATCH(X$2,Inputs!$K$4:$AJ$4,0)))))</f>
        <v>3977</v>
      </c>
      <c r="Y20" s="267">
        <f>IF(ISNA(MATCH(Y$2,Inputs!$K$4:$AJ$4,0)),NA(),IF(SUMPRODUCT((Inputs!$A$5:$A$120=$B20)*ISNUMBER(INDEX(Inputs!$K$5:$AJ$120,0,MATCH(Y$2,Inputs!$K$4:$AJ$4,0))))+SUMPRODUCT((Inputs!$C$5:$C$120=$B20)*ISNUMBER(INDEX(Inputs!$K$5:$AJ$120,0,MATCH(Y$2,Inputs!$K$4:$AJ$4,0))))+SUMPRODUCT((Inputs!$E$5:$E$120=$B20)*ISNUMBER(INDEX(Inputs!$K$5:$AJ$120,0,MATCH(Y$2,Inputs!$K$4:$AJ$4,0))))=0,NA(),SUMPRODUCT((Inputs!$A$5:$A$120=$B20)*Inputs!$B$5:$B$120*(((Inputs!$G$5:$G$120="moeda")+(Inputs!$G$5:$G$120="acoes"))*Inputs!$B$1+((Inputs!$G$5:$G$120&lt;&gt;"moeda")*(Inputs!$G$5:$G$120&lt;&gt;"acoes")))*INDEX(Inputs!$K$5:$AJ$120,0,MATCH(Y$2,Inputs!$K$4:$AJ$4,0)))+SUMPRODUCT((Inputs!$C$5:$C$120=$B20)*Inputs!$D$5:$D$120*(((Inputs!$G$5:$G$120="moeda")+(Inputs!$G$5:$G$120="acoes"))*Inputs!$B$1+((Inputs!$G$5:$G$120&lt;&gt;"moeda")*(Inputs!$G$5:$G$120&lt;&gt;"acoes")))*INDEX(Inputs!$K$5:$AJ$120,0,MATCH(Y$2,Inputs!$K$4:$AJ$4,0)))+SUMPRODUCT((Inputs!$E$5:$E$120=$B20)*Inputs!$F$5:$F$120*(((Inputs!$G$5:$G$120="moeda")+(Inputs!$G$5:$G$120="acoes"))*Inputs!$B$1+((Inputs!$G$5:$G$120&lt;&gt;"moeda")*(Inputs!$G$5:$G$120&lt;&gt;"acoes")))*INDEX(Inputs!$K$5:$AJ$120,0,MATCH(Y$2,Inputs!$K$4:$AJ$4,0)))))</f>
        <v>4383</v>
      </c>
      <c r="Z20" s="267">
        <f>IF(ISNA(MATCH(Z$2,Inputs!$K$4:$AJ$4,0)),NA(),IF(SUMPRODUCT((Inputs!$A$5:$A$120=$B20)*ISNUMBER(INDEX(Inputs!$K$5:$AJ$120,0,MATCH(Z$2,Inputs!$K$4:$AJ$4,0))))+SUMPRODUCT((Inputs!$C$5:$C$120=$B20)*ISNUMBER(INDEX(Inputs!$K$5:$AJ$120,0,MATCH(Z$2,Inputs!$K$4:$AJ$4,0))))+SUMPRODUCT((Inputs!$E$5:$E$120=$B20)*ISNUMBER(INDEX(Inputs!$K$5:$AJ$120,0,MATCH(Z$2,Inputs!$K$4:$AJ$4,0))))=0,NA(),SUMPRODUCT((Inputs!$A$5:$A$120=$B20)*Inputs!$B$5:$B$120*(((Inputs!$G$5:$G$120="moeda")+(Inputs!$G$5:$G$120="acoes"))*Inputs!$B$1+((Inputs!$G$5:$G$120&lt;&gt;"moeda")*(Inputs!$G$5:$G$120&lt;&gt;"acoes")))*INDEX(Inputs!$K$5:$AJ$120,0,MATCH(Z$2,Inputs!$K$4:$AJ$4,0)))+SUMPRODUCT((Inputs!$C$5:$C$120=$B20)*Inputs!$D$5:$D$120*(((Inputs!$G$5:$G$120="moeda")+(Inputs!$G$5:$G$120="acoes"))*Inputs!$B$1+((Inputs!$G$5:$G$120&lt;&gt;"moeda")*(Inputs!$G$5:$G$120&lt;&gt;"acoes")))*INDEX(Inputs!$K$5:$AJ$120,0,MATCH(Z$2,Inputs!$K$4:$AJ$4,0)))+SUMPRODUCT((Inputs!$E$5:$E$120=$B20)*Inputs!$F$5:$F$120*(((Inputs!$G$5:$G$120="moeda")+(Inputs!$G$5:$G$120="acoes"))*Inputs!$B$1+((Inputs!$G$5:$G$120&lt;&gt;"moeda")*(Inputs!$G$5:$G$120&lt;&gt;"acoes")))*INDEX(Inputs!$K$5:$AJ$120,0,MATCH(Z$2,Inputs!$K$4:$AJ$4,0)))))</f>
        <v>8598</v>
      </c>
      <c r="AA20" s="267">
        <f>IF(ISNA(MATCH(AA$2,Inputs!$K$4:$AJ$4,0)),NA(),IF(SUMPRODUCT((Inputs!$A$5:$A$120=$B20)*ISNUMBER(INDEX(Inputs!$K$5:$AJ$120,0,MATCH(AA$2,Inputs!$K$4:$AJ$4,0))))+SUMPRODUCT((Inputs!$C$5:$C$120=$B20)*ISNUMBER(INDEX(Inputs!$K$5:$AJ$120,0,MATCH(AA$2,Inputs!$K$4:$AJ$4,0))))+SUMPRODUCT((Inputs!$E$5:$E$120=$B20)*ISNUMBER(INDEX(Inputs!$K$5:$AJ$120,0,MATCH(AA$2,Inputs!$K$4:$AJ$4,0))))=0,NA(),SUMPRODUCT((Inputs!$A$5:$A$120=$B20)*Inputs!$B$5:$B$120*(((Inputs!$G$5:$G$120="moeda")+(Inputs!$G$5:$G$120="acoes"))*Inputs!$B$1+((Inputs!$G$5:$G$120&lt;&gt;"moeda")*(Inputs!$G$5:$G$120&lt;&gt;"acoes")))*INDEX(Inputs!$K$5:$AJ$120,0,MATCH(AA$2,Inputs!$K$4:$AJ$4,0)))+SUMPRODUCT((Inputs!$C$5:$C$120=$B20)*Inputs!$D$5:$D$120*(((Inputs!$G$5:$G$120="moeda")+(Inputs!$G$5:$G$120="acoes"))*Inputs!$B$1+((Inputs!$G$5:$G$120&lt;&gt;"moeda")*(Inputs!$G$5:$G$120&lt;&gt;"acoes")))*INDEX(Inputs!$K$5:$AJ$120,0,MATCH(AA$2,Inputs!$K$4:$AJ$4,0)))+SUMPRODUCT((Inputs!$E$5:$E$120=$B20)*Inputs!$F$5:$F$120*(((Inputs!$G$5:$G$120="moeda")+(Inputs!$G$5:$G$120="acoes"))*Inputs!$B$1+((Inputs!$G$5:$G$120&lt;&gt;"moeda")*(Inputs!$G$5:$G$120&lt;&gt;"acoes")))*INDEX(Inputs!$K$5:$AJ$120,0,MATCH(AA$2,Inputs!$K$4:$AJ$4,0)))))</f>
        <v>6188</v>
      </c>
      <c r="AB20" s="268">
        <f>AA20</f>
        <v>6188</v>
      </c>
      <c r="AC20" s="267">
        <f>IF(ISNA(MATCH(AC$2,Inputs!$K$4:$AJ$4,0)),NA(),IF(SUMPRODUCT((Inputs!$A$5:$A$120=$B20)*ISNUMBER(INDEX(Inputs!$K$5:$AJ$120,0,MATCH(AC$2,Inputs!$K$4:$AJ$4,0))))+SUMPRODUCT((Inputs!$C$5:$C$120=$B20)*ISNUMBER(INDEX(Inputs!$K$5:$AJ$120,0,MATCH(AC$2,Inputs!$K$4:$AJ$4,0))))+SUMPRODUCT((Inputs!$E$5:$E$120=$B20)*ISNUMBER(INDEX(Inputs!$K$5:$AJ$120,0,MATCH(AC$2,Inputs!$K$4:$AJ$4,0))))=0,NA(),SUMPRODUCT((Inputs!$A$5:$A$120=$B20)*Inputs!$B$5:$B$120*(((Inputs!$G$5:$G$120="moeda")+(Inputs!$G$5:$G$120="acoes"))*Inputs!$B$1+((Inputs!$G$5:$G$120&lt;&gt;"moeda")*(Inputs!$G$5:$G$120&lt;&gt;"acoes")))*INDEX(Inputs!$K$5:$AJ$120,0,MATCH(AC$2,Inputs!$K$4:$AJ$4,0)))+SUMPRODUCT((Inputs!$C$5:$C$120=$B20)*Inputs!$D$5:$D$120*(((Inputs!$G$5:$G$120="moeda")+(Inputs!$G$5:$G$120="acoes"))*Inputs!$B$1+((Inputs!$G$5:$G$120&lt;&gt;"moeda")*(Inputs!$G$5:$G$120&lt;&gt;"acoes")))*INDEX(Inputs!$K$5:$AJ$120,0,MATCH(AC$2,Inputs!$K$4:$AJ$4,0)))+SUMPRODUCT((Inputs!$E$5:$E$120=$B20)*Inputs!$F$5:$F$120*(((Inputs!$G$5:$G$120="moeda")+(Inputs!$G$5:$G$120="acoes"))*Inputs!$B$1+((Inputs!$G$5:$G$120&lt;&gt;"moeda")*(Inputs!$G$5:$G$120&lt;&gt;"acoes")))*INDEX(Inputs!$K$5:$AJ$120,0,MATCH(AC$2,Inputs!$K$4:$AJ$4,0)))))</f>
        <v>6852</v>
      </c>
      <c r="AD20" s="267">
        <f>IF(ISNA(MATCH(AD$2,Inputs!$K$4:$AJ$4,0)),NA(),IF(SUMPRODUCT((Inputs!$A$5:$A$120=$B20)*ISNUMBER(INDEX(Inputs!$K$5:$AJ$120,0,MATCH(AD$2,Inputs!$K$4:$AJ$4,0))))+SUMPRODUCT((Inputs!$C$5:$C$120=$B20)*ISNUMBER(INDEX(Inputs!$K$5:$AJ$120,0,MATCH(AD$2,Inputs!$K$4:$AJ$4,0))))+SUMPRODUCT((Inputs!$E$5:$E$120=$B20)*ISNUMBER(INDEX(Inputs!$K$5:$AJ$120,0,MATCH(AD$2,Inputs!$K$4:$AJ$4,0))))=0,NA(),SUMPRODUCT((Inputs!$A$5:$A$120=$B20)*Inputs!$B$5:$B$120*(((Inputs!$G$5:$G$120="moeda")+(Inputs!$G$5:$G$120="acoes"))*Inputs!$B$1+((Inputs!$G$5:$G$120&lt;&gt;"moeda")*(Inputs!$G$5:$G$120&lt;&gt;"acoes")))*INDEX(Inputs!$K$5:$AJ$120,0,MATCH(AD$2,Inputs!$K$4:$AJ$4,0)))+SUMPRODUCT((Inputs!$C$5:$C$120=$B20)*Inputs!$D$5:$D$120*(((Inputs!$G$5:$G$120="moeda")+(Inputs!$G$5:$G$120="acoes"))*Inputs!$B$1+((Inputs!$G$5:$G$120&lt;&gt;"moeda")*(Inputs!$G$5:$G$120&lt;&gt;"acoes")))*INDEX(Inputs!$K$5:$AJ$120,0,MATCH(AD$2,Inputs!$K$4:$AJ$4,0)))+SUMPRODUCT((Inputs!$E$5:$E$120=$B20)*Inputs!$F$5:$F$120*(((Inputs!$G$5:$G$120="moeda")+(Inputs!$G$5:$G$120="acoes"))*Inputs!$B$1+((Inputs!$G$5:$G$120&lt;&gt;"moeda")*(Inputs!$G$5:$G$120&lt;&gt;"acoes")))*INDEX(Inputs!$K$5:$AJ$120,0,MATCH(AD$2,Inputs!$K$4:$AJ$4,0)))))</f>
        <v>6230</v>
      </c>
      <c r="AE20" s="267" t="e">
        <f>IF(ISNA(MATCH(AE$2,Inputs!$K$4:$AJ$4,0)),NA(),IF(SUMPRODUCT((Inputs!$A$5:$A$120=$B20)*ISNUMBER(INDEX(Inputs!$K$5:$AJ$120,0,MATCH(AE$2,Inputs!$K$4:$AJ$4,0))))+SUMPRODUCT((Inputs!$C$5:$C$120=$B20)*ISNUMBER(INDEX(Inputs!$K$5:$AJ$120,0,MATCH(AE$2,Inputs!$K$4:$AJ$4,0))))+SUMPRODUCT((Inputs!$E$5:$E$120=$B20)*ISNUMBER(INDEX(Inputs!$K$5:$AJ$120,0,MATCH(AE$2,Inputs!$K$4:$AJ$4,0))))=0,NA(),SUMPRODUCT((Inputs!$A$5:$A$120=$B20)*Inputs!$B$5:$B$120*(((Inputs!$G$5:$G$120="moeda")+(Inputs!$G$5:$G$120="acoes"))*Inputs!$B$1+((Inputs!$G$5:$G$120&lt;&gt;"moeda")*(Inputs!$G$5:$G$120&lt;&gt;"acoes")))*INDEX(Inputs!$K$5:$AJ$120,0,MATCH(AE$2,Inputs!$K$4:$AJ$4,0)))+SUMPRODUCT((Inputs!$C$5:$C$120=$B20)*Inputs!$D$5:$D$120*(((Inputs!$G$5:$G$120="moeda")+(Inputs!$G$5:$G$120="acoes"))*Inputs!$B$1+((Inputs!$G$5:$G$120&lt;&gt;"moeda")*(Inputs!$G$5:$G$120&lt;&gt;"acoes")))*INDEX(Inputs!$K$5:$AJ$120,0,MATCH(AE$2,Inputs!$K$4:$AJ$4,0)))+SUMPRODUCT((Inputs!$E$5:$E$120=$B20)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0" s="267" t="e">
        <f>IF(ISNA(MATCH(AF$2,Inputs!$K$4:$AJ$4,0)),NA(),IF(SUMPRODUCT((Inputs!$A$5:$A$120=$B20)*ISNUMBER(INDEX(Inputs!$K$5:$AJ$120,0,MATCH(AF$2,Inputs!$K$4:$AJ$4,0))))+SUMPRODUCT((Inputs!$C$5:$C$120=$B20)*ISNUMBER(INDEX(Inputs!$K$5:$AJ$120,0,MATCH(AF$2,Inputs!$K$4:$AJ$4,0))))+SUMPRODUCT((Inputs!$E$5:$E$120=$B20)*ISNUMBER(INDEX(Inputs!$K$5:$AJ$120,0,MATCH(AF$2,Inputs!$K$4:$AJ$4,0))))=0,NA(),SUMPRODUCT((Inputs!$A$5:$A$120=$B20)*Inputs!$B$5:$B$120*(((Inputs!$G$5:$G$120="moeda")+(Inputs!$G$5:$G$120="acoes"))*Inputs!$B$1+((Inputs!$G$5:$G$120&lt;&gt;"moeda")*(Inputs!$G$5:$G$120&lt;&gt;"acoes")))*INDEX(Inputs!$K$5:$AJ$120,0,MATCH(AF$2,Inputs!$K$4:$AJ$4,0)))+SUMPRODUCT((Inputs!$C$5:$C$120=$B20)*Inputs!$D$5:$D$120*(((Inputs!$G$5:$G$120="moeda")+(Inputs!$G$5:$G$120="acoes"))*Inputs!$B$1+((Inputs!$G$5:$G$120&lt;&gt;"moeda")*(Inputs!$G$5:$G$120&lt;&gt;"acoes")))*INDEX(Inputs!$K$5:$AJ$120,0,MATCH(AF$2,Inputs!$K$4:$AJ$4,0)))+SUMPRODUCT((Inputs!$E$5:$E$120=$B20)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0" s="268" t="e">
        <f>AF20</f>
        <v>#N/A</v>
      </c>
      <c r="AH20" s="267">
        <f>IF(ISNA(MATCH(AH$2,Inputs!$K$4:$AJ$4,0)),NA(),IF(SUMPRODUCT((Inputs!$A$5:$A$120=$B20)*ISNUMBER(INDEX(Inputs!$K$5:$AJ$120,0,MATCH(AH$2,Inputs!$K$4:$AJ$4,0))))+SUMPRODUCT((Inputs!$C$5:$C$120=$B20)*ISNUMBER(INDEX(Inputs!$K$5:$AJ$120,0,MATCH(AH$2,Inputs!$K$4:$AJ$4,0))))+SUMPRODUCT((Inputs!$E$5:$E$120=$B20)*ISNUMBER(INDEX(Inputs!$K$5:$AJ$120,0,MATCH(AH$2,Inputs!$K$4:$AJ$4,0))))=0,NA(),SUMPRODUCT((Inputs!$A$5:$A$120=$B20)*Inputs!$B$5:$B$120*(((Inputs!$G$5:$G$120="moeda")+(Inputs!$G$5:$G$120="acoes"))*Inputs!$B$1+((Inputs!$G$5:$G$120&lt;&gt;"moeda")*(Inputs!$G$5:$G$120&lt;&gt;"acoes")))*INDEX(Inputs!$K$5:$AJ$120,0,MATCH(AH$2,Inputs!$K$4:$AJ$4,0)))+SUMPRODUCT((Inputs!$C$5:$C$120=$B20)*Inputs!$D$5:$D$120*(((Inputs!$G$5:$G$120="moeda")+(Inputs!$G$5:$G$120="acoes"))*Inputs!$B$1+((Inputs!$G$5:$G$120&lt;&gt;"moeda")*(Inputs!$G$5:$G$120&lt;&gt;"acoes")))*INDEX(Inputs!$K$5:$AJ$120,0,MATCH(AH$2,Inputs!$K$4:$AJ$4,0)))+SUMPRODUCT((Inputs!$E$5:$E$120=$B20)*Inputs!$F$5:$F$120*(((Inputs!$G$5:$G$120="moeda")+(Inputs!$G$5:$G$120="acoes"))*Inputs!$B$1+((Inputs!$G$5:$G$120&lt;&gt;"moeda")*(Inputs!$G$5:$G$120&lt;&gt;"acoes")))*INDEX(Inputs!$K$5:$AJ$120,0,MATCH(AH$2,Inputs!$K$4:$AJ$4,0)))))</f>
        <v>3840</v>
      </c>
      <c r="AI20" s="267">
        <f>IF(ISNA(MATCH(AI$2,Inputs!$K$4:$AJ$4,0)),NA(),IF(SUMPRODUCT((Inputs!$A$5:$A$120=$B20)*ISNUMBER(INDEX(Inputs!$K$5:$AJ$120,0,MATCH(AI$2,Inputs!$K$4:$AJ$4,0))))+SUMPRODUCT((Inputs!$C$5:$C$120=$B20)*ISNUMBER(INDEX(Inputs!$K$5:$AJ$120,0,MATCH(AI$2,Inputs!$K$4:$AJ$4,0))))+SUMPRODUCT((Inputs!$E$5:$E$120=$B20)*ISNUMBER(INDEX(Inputs!$K$5:$AJ$120,0,MATCH(AI$2,Inputs!$K$4:$AJ$4,0))))=0,NA(),SUMPRODUCT((Inputs!$A$5:$A$120=$B20)*Inputs!$B$5:$B$120*(((Inputs!$G$5:$G$120="moeda")+(Inputs!$G$5:$G$120="acoes"))*Inputs!$B$1+((Inputs!$G$5:$G$120&lt;&gt;"moeda")*(Inputs!$G$5:$G$120&lt;&gt;"acoes")))*INDEX(Inputs!$K$5:$AJ$120,0,MATCH(AI$2,Inputs!$K$4:$AJ$4,0)))+SUMPRODUCT((Inputs!$C$5:$C$120=$B20)*Inputs!$D$5:$D$120*(((Inputs!$G$5:$G$120="moeda")+(Inputs!$G$5:$G$120="acoes"))*Inputs!$B$1+((Inputs!$G$5:$G$120&lt;&gt;"moeda")*(Inputs!$G$5:$G$120&lt;&gt;"acoes")))*INDEX(Inputs!$K$5:$AJ$120,0,MATCH(AI$2,Inputs!$K$4:$AJ$4,0)))+SUMPRODUCT((Inputs!$E$5:$E$120=$B20)*Inputs!$F$5:$F$120*(((Inputs!$G$5:$G$120="moeda")+(Inputs!$G$5:$G$120="acoes"))*Inputs!$B$1+((Inputs!$G$5:$G$120&lt;&gt;"moeda")*(Inputs!$G$5:$G$120&lt;&gt;"acoes")))*INDEX(Inputs!$K$5:$AJ$120,0,MATCH(AI$2,Inputs!$K$4:$AJ$4,0)))))</f>
        <v>3658</v>
      </c>
      <c r="AJ20" s="267">
        <f>IF(ISNA(MATCH(AJ$2,Inputs!$K$4:$AJ$4,0)),NA(),IF(SUMPRODUCT((Inputs!$A$5:$A$120=$B20)*ISNUMBER(INDEX(Inputs!$K$5:$AJ$120,0,MATCH(AJ$2,Inputs!$K$4:$AJ$4,0))))+SUMPRODUCT((Inputs!$C$5:$C$120=$B20)*ISNUMBER(INDEX(Inputs!$K$5:$AJ$120,0,MATCH(AJ$2,Inputs!$K$4:$AJ$4,0))))+SUMPRODUCT((Inputs!$E$5:$E$120=$B20)*ISNUMBER(INDEX(Inputs!$K$5:$AJ$120,0,MATCH(AJ$2,Inputs!$K$4:$AJ$4,0))))=0,NA(),SUMPRODUCT((Inputs!$A$5:$A$120=$B20)*Inputs!$B$5:$B$120*(((Inputs!$G$5:$G$120="moeda")+(Inputs!$G$5:$G$120="acoes"))*Inputs!$B$1+((Inputs!$G$5:$G$120&lt;&gt;"moeda")*(Inputs!$G$5:$G$120&lt;&gt;"acoes")))*INDEX(Inputs!$K$5:$AJ$120,0,MATCH(AJ$2,Inputs!$K$4:$AJ$4,0)))+SUMPRODUCT((Inputs!$C$5:$C$120=$B20)*Inputs!$D$5:$D$120*(((Inputs!$G$5:$G$120="moeda")+(Inputs!$G$5:$G$120="acoes"))*Inputs!$B$1+((Inputs!$G$5:$G$120&lt;&gt;"moeda")*(Inputs!$G$5:$G$120&lt;&gt;"acoes")))*INDEX(Inputs!$K$5:$AJ$120,0,MATCH(AJ$2,Inputs!$K$4:$AJ$4,0)))+SUMPRODUCT((Inputs!$E$5:$E$120=$B20)*Inputs!$F$5:$F$120*(((Inputs!$G$5:$G$120="moeda")+(Inputs!$G$5:$G$120="acoes"))*Inputs!$B$1+((Inputs!$G$5:$G$120&lt;&gt;"moeda")*(Inputs!$G$5:$G$120&lt;&gt;"acoes")))*INDEX(Inputs!$K$5:$AJ$120,0,MATCH(AJ$2,Inputs!$K$4:$AJ$4,0)))))</f>
        <v>5124</v>
      </c>
      <c r="AK20" s="267">
        <f>IF(ISNA(MATCH(AK$2,Inputs!$K$4:$AJ$4,0)),NA(),IF(SUMPRODUCT((Inputs!$A$5:$A$120=$B20)*ISNUMBER(INDEX(Inputs!$K$5:$AJ$120,0,MATCH(AK$2,Inputs!$K$4:$AJ$4,0))))+SUMPRODUCT((Inputs!$C$5:$C$120=$B20)*ISNUMBER(INDEX(Inputs!$K$5:$AJ$120,0,MATCH(AK$2,Inputs!$K$4:$AJ$4,0))))+SUMPRODUCT((Inputs!$E$5:$E$120=$B20)*ISNUMBER(INDEX(Inputs!$K$5:$AJ$120,0,MATCH(AK$2,Inputs!$K$4:$AJ$4,0))))=0,NA(),SUMPRODUCT((Inputs!$A$5:$A$120=$B20)*Inputs!$B$5:$B$120*(((Inputs!$G$5:$G$120="moeda")+(Inputs!$G$5:$G$120="acoes"))*Inputs!$B$1+((Inputs!$G$5:$G$120&lt;&gt;"moeda")*(Inputs!$G$5:$G$120&lt;&gt;"acoes")))*INDEX(Inputs!$K$5:$AJ$120,0,MATCH(AK$2,Inputs!$K$4:$AJ$4,0)))+SUMPRODUCT((Inputs!$C$5:$C$120=$B20)*Inputs!$D$5:$D$120*(((Inputs!$G$5:$G$120="moeda")+(Inputs!$G$5:$G$120="acoes"))*Inputs!$B$1+((Inputs!$G$5:$G$120&lt;&gt;"moeda")*(Inputs!$G$5:$G$120&lt;&gt;"acoes")))*INDEX(Inputs!$K$5:$AJ$120,0,MATCH(AK$2,Inputs!$K$4:$AJ$4,0)))+SUMPRODUCT((Inputs!$E$5:$E$120=$B20)*Inputs!$F$5:$F$120*(((Inputs!$G$5:$G$120="moeda")+(Inputs!$G$5:$G$120="acoes"))*Inputs!$B$1+((Inputs!$G$5:$G$120&lt;&gt;"moeda")*(Inputs!$G$5:$G$120&lt;&gt;"acoes")))*INDEX(Inputs!$K$5:$AJ$120,0,MATCH(AK$2,Inputs!$K$4:$AJ$4,0)))))</f>
        <v>6940</v>
      </c>
      <c r="AL20" s="268">
        <f>AK20</f>
        <v>6940</v>
      </c>
    </row>
    <row r="21" ht="12.75" customHeight="1" s="255">
      <c r="B21" s="265" t="n">
        <v>17</v>
      </c>
      <c r="C21" s="270" t="inlineStr">
        <is>
          <t>Equity in affiliates</t>
        </is>
      </c>
      <c r="D21" s="267">
        <f>IF(ISNA(MATCH(D$2,Inputs!$K$4:$AJ$4,0)),NA(),IF(SUMPRODUCT((Inputs!$A$5:$A$120=$B21)*ISNUMBER(INDEX(Inputs!$K$5:$AJ$120,0,MATCH(D$2,Inputs!$K$4:$AJ$4,0))))+SUMPRODUCT((Inputs!$C$5:$C$120=$B21)*ISNUMBER(INDEX(Inputs!$K$5:$AJ$120,0,MATCH(D$2,Inputs!$K$4:$AJ$4,0))))+SUMPRODUCT((Inputs!$E$5:$E$120=$B21)*ISNUMBER(INDEX(Inputs!$K$5:$AJ$120,0,MATCH(D$2,Inputs!$K$4:$AJ$4,0))))=0,NA(),SUMPRODUCT((Inputs!$A$5:$A$120=$B21)*Inputs!$B$5:$B$120*(((Inputs!$G$5:$G$120="moeda")+(Inputs!$G$5:$G$120="acoes"))*Inputs!$B$1+((Inputs!$G$5:$G$120&lt;&gt;"moeda")*(Inputs!$G$5:$G$120&lt;&gt;"acoes")))*INDEX(Inputs!$K$5:$AJ$120,0,MATCH(D$2,Inputs!$K$4:$AJ$4,0)))+SUMPRODUCT((Inputs!$C$5:$C$120=$B21)*Inputs!$D$5:$D$120*(((Inputs!$G$5:$G$120="moeda")+(Inputs!$G$5:$G$120="acoes"))*Inputs!$B$1+((Inputs!$G$5:$G$120&lt;&gt;"moeda")*(Inputs!$G$5:$G$120&lt;&gt;"acoes")))*INDEX(Inputs!$K$5:$AJ$120,0,MATCH(D$2,Inputs!$K$4:$AJ$4,0)))+SUMPRODUCT((Inputs!$E$5:$E$120=$B21)*Inputs!$F$5:$F$120*(((Inputs!$G$5:$G$120="moeda")+(Inputs!$G$5:$G$120="acoes"))*Inputs!$B$1+((Inputs!$G$5:$G$120&lt;&gt;"moeda")*(Inputs!$G$5:$G$120&lt;&gt;"acoes")))*INDEX(Inputs!$K$5:$AJ$120,0,MATCH(D$2,Inputs!$K$4:$AJ$4,0)))))</f>
        <v>0</v>
      </c>
      <c r="E21" s="267">
        <f>IF(ISNA(MATCH(E$2,Inputs!$K$4:$AJ$4,0)),NA(),IF(SUMPRODUCT((Inputs!$A$5:$A$120=$B21)*ISNUMBER(INDEX(Inputs!$K$5:$AJ$120,0,MATCH(E$2,Inputs!$K$4:$AJ$4,0))))+SUMPRODUCT((Inputs!$C$5:$C$120=$B21)*ISNUMBER(INDEX(Inputs!$K$5:$AJ$120,0,MATCH(E$2,Inputs!$K$4:$AJ$4,0))))+SUMPRODUCT((Inputs!$E$5:$E$120=$B21)*ISNUMBER(INDEX(Inputs!$K$5:$AJ$120,0,MATCH(E$2,Inputs!$K$4:$AJ$4,0))))=0,NA(),SUMPRODUCT((Inputs!$A$5:$A$120=$B21)*Inputs!$B$5:$B$120*(((Inputs!$G$5:$G$120="moeda")+(Inputs!$G$5:$G$120="acoes"))*Inputs!$B$1+((Inputs!$G$5:$G$120&lt;&gt;"moeda")*(Inputs!$G$5:$G$120&lt;&gt;"acoes")))*INDEX(Inputs!$K$5:$AJ$120,0,MATCH(E$2,Inputs!$K$4:$AJ$4,0)))+SUMPRODUCT((Inputs!$C$5:$C$120=$B21)*Inputs!$D$5:$D$120*(((Inputs!$G$5:$G$120="moeda")+(Inputs!$G$5:$G$120="acoes"))*Inputs!$B$1+((Inputs!$G$5:$G$120&lt;&gt;"moeda")*(Inputs!$G$5:$G$120&lt;&gt;"acoes")))*INDEX(Inputs!$K$5:$AJ$120,0,MATCH(E$2,Inputs!$K$4:$AJ$4,0)))+SUMPRODUCT((Inputs!$E$5:$E$120=$B21)*Inputs!$F$5:$F$120*(((Inputs!$G$5:$G$120="moeda")+(Inputs!$G$5:$G$120="acoes"))*Inputs!$B$1+((Inputs!$G$5:$G$120&lt;&gt;"moeda")*(Inputs!$G$5:$G$120&lt;&gt;"acoes")))*INDEX(Inputs!$K$5:$AJ$120,0,MATCH(E$2,Inputs!$K$4:$AJ$4,0)))))</f>
        <v>0</v>
      </c>
      <c r="F21" s="267">
        <f>IF(ISNA(MATCH(F$2,Inputs!$K$4:$AJ$4,0)),NA(),IF(SUMPRODUCT((Inputs!$A$5:$A$120=$B21)*ISNUMBER(INDEX(Inputs!$K$5:$AJ$120,0,MATCH(F$2,Inputs!$K$4:$AJ$4,0))))+SUMPRODUCT((Inputs!$C$5:$C$120=$B21)*ISNUMBER(INDEX(Inputs!$K$5:$AJ$120,0,MATCH(F$2,Inputs!$K$4:$AJ$4,0))))+SUMPRODUCT((Inputs!$E$5:$E$120=$B21)*ISNUMBER(INDEX(Inputs!$K$5:$AJ$120,0,MATCH(F$2,Inputs!$K$4:$AJ$4,0))))=0,NA(),SUMPRODUCT((Inputs!$A$5:$A$120=$B21)*Inputs!$B$5:$B$120*(((Inputs!$G$5:$G$120="moeda")+(Inputs!$G$5:$G$120="acoes"))*Inputs!$B$1+((Inputs!$G$5:$G$120&lt;&gt;"moeda")*(Inputs!$G$5:$G$120&lt;&gt;"acoes")))*INDEX(Inputs!$K$5:$AJ$120,0,MATCH(F$2,Inputs!$K$4:$AJ$4,0)))+SUMPRODUCT((Inputs!$C$5:$C$120=$B21)*Inputs!$D$5:$D$120*(((Inputs!$G$5:$G$120="moeda")+(Inputs!$G$5:$G$120="acoes"))*Inputs!$B$1+((Inputs!$G$5:$G$120&lt;&gt;"moeda")*(Inputs!$G$5:$G$120&lt;&gt;"acoes")))*INDEX(Inputs!$K$5:$AJ$120,0,MATCH(F$2,Inputs!$K$4:$AJ$4,0)))+SUMPRODUCT((Inputs!$E$5:$E$120=$B21)*Inputs!$F$5:$F$120*(((Inputs!$G$5:$G$120="moeda")+(Inputs!$G$5:$G$120="acoes"))*Inputs!$B$1+((Inputs!$G$5:$G$120&lt;&gt;"moeda")*(Inputs!$G$5:$G$120&lt;&gt;"acoes")))*INDEX(Inputs!$K$5:$AJ$120,0,MATCH(F$2,Inputs!$K$4:$AJ$4,0)))))</f>
        <v>0</v>
      </c>
      <c r="G21" s="267">
        <f>IF(ISNA(MATCH(G$2,Inputs!$K$4:$AJ$4,0)),NA(),IF(SUMPRODUCT((Inputs!$A$5:$A$120=$B21)*ISNUMBER(INDEX(Inputs!$K$5:$AJ$120,0,MATCH(G$2,Inputs!$K$4:$AJ$4,0))))+SUMPRODUCT((Inputs!$C$5:$C$120=$B21)*ISNUMBER(INDEX(Inputs!$K$5:$AJ$120,0,MATCH(G$2,Inputs!$K$4:$AJ$4,0))))+SUMPRODUCT((Inputs!$E$5:$E$120=$B21)*ISNUMBER(INDEX(Inputs!$K$5:$AJ$120,0,MATCH(G$2,Inputs!$K$4:$AJ$4,0))))=0,NA(),SUMPRODUCT((Inputs!$A$5:$A$120=$B21)*Inputs!$B$5:$B$120*(((Inputs!$G$5:$G$120="moeda")+(Inputs!$G$5:$G$120="acoes"))*Inputs!$B$1+((Inputs!$G$5:$G$120&lt;&gt;"moeda")*(Inputs!$G$5:$G$120&lt;&gt;"acoes")))*INDEX(Inputs!$K$5:$AJ$120,0,MATCH(G$2,Inputs!$K$4:$AJ$4,0)))+SUMPRODUCT((Inputs!$C$5:$C$120=$B21)*Inputs!$D$5:$D$120*(((Inputs!$G$5:$G$120="moeda")+(Inputs!$G$5:$G$120="acoes"))*Inputs!$B$1+((Inputs!$G$5:$G$120&lt;&gt;"moeda")*(Inputs!$G$5:$G$120&lt;&gt;"acoes")))*INDEX(Inputs!$K$5:$AJ$120,0,MATCH(G$2,Inputs!$K$4:$AJ$4,0)))+SUMPRODUCT((Inputs!$E$5:$E$120=$B21)*Inputs!$F$5:$F$120*(((Inputs!$G$5:$G$120="moeda")+(Inputs!$G$5:$G$120="acoes"))*Inputs!$B$1+((Inputs!$G$5:$G$120&lt;&gt;"moeda")*(Inputs!$G$5:$G$120&lt;&gt;"acoes")))*INDEX(Inputs!$K$5:$AJ$120,0,MATCH(G$2,Inputs!$K$4:$AJ$4,0)))))</f>
        <v>0</v>
      </c>
      <c r="H21" s="268">
        <f>G21</f>
        <v>0</v>
      </c>
      <c r="I21" s="267">
        <f>IF(ISNA(MATCH(I$2,Inputs!$K$4:$AJ$4,0)),NA(),IF(SUMPRODUCT((Inputs!$A$5:$A$120=$B21)*ISNUMBER(INDEX(Inputs!$K$5:$AJ$120,0,MATCH(I$2,Inputs!$K$4:$AJ$4,0))))+SUMPRODUCT((Inputs!$C$5:$C$120=$B21)*ISNUMBER(INDEX(Inputs!$K$5:$AJ$120,0,MATCH(I$2,Inputs!$K$4:$AJ$4,0))))+SUMPRODUCT((Inputs!$E$5:$E$120=$B21)*ISNUMBER(INDEX(Inputs!$K$5:$AJ$120,0,MATCH(I$2,Inputs!$K$4:$AJ$4,0))))=0,NA(),SUMPRODUCT((Inputs!$A$5:$A$120=$B21)*Inputs!$B$5:$B$120*(((Inputs!$G$5:$G$120="moeda")+(Inputs!$G$5:$G$120="acoes"))*Inputs!$B$1+((Inputs!$G$5:$G$120&lt;&gt;"moeda")*(Inputs!$G$5:$G$120&lt;&gt;"acoes")))*INDEX(Inputs!$K$5:$AJ$120,0,MATCH(I$2,Inputs!$K$4:$AJ$4,0)))+SUMPRODUCT((Inputs!$C$5:$C$120=$B21)*Inputs!$D$5:$D$120*(((Inputs!$G$5:$G$120="moeda")+(Inputs!$G$5:$G$120="acoes"))*Inputs!$B$1+((Inputs!$G$5:$G$120&lt;&gt;"moeda")*(Inputs!$G$5:$G$120&lt;&gt;"acoes")))*INDEX(Inputs!$K$5:$AJ$120,0,MATCH(I$2,Inputs!$K$4:$AJ$4,0)))+SUMPRODUCT((Inputs!$E$5:$E$120=$B21)*Inputs!$F$5:$F$120*(((Inputs!$G$5:$G$120="moeda")+(Inputs!$G$5:$G$120="acoes"))*Inputs!$B$1+((Inputs!$G$5:$G$120&lt;&gt;"moeda")*(Inputs!$G$5:$G$120&lt;&gt;"acoes")))*INDEX(Inputs!$K$5:$AJ$120,0,MATCH(I$2,Inputs!$K$4:$AJ$4,0)))))</f>
        <v>0</v>
      </c>
      <c r="J21" s="267">
        <f>IF(ISNA(MATCH(J$2,Inputs!$K$4:$AJ$4,0)),NA(),IF(SUMPRODUCT((Inputs!$A$5:$A$120=$B21)*ISNUMBER(INDEX(Inputs!$K$5:$AJ$120,0,MATCH(J$2,Inputs!$K$4:$AJ$4,0))))+SUMPRODUCT((Inputs!$C$5:$C$120=$B21)*ISNUMBER(INDEX(Inputs!$K$5:$AJ$120,0,MATCH(J$2,Inputs!$K$4:$AJ$4,0))))+SUMPRODUCT((Inputs!$E$5:$E$120=$B21)*ISNUMBER(INDEX(Inputs!$K$5:$AJ$120,0,MATCH(J$2,Inputs!$K$4:$AJ$4,0))))=0,NA(),SUMPRODUCT((Inputs!$A$5:$A$120=$B21)*Inputs!$B$5:$B$120*(((Inputs!$G$5:$G$120="moeda")+(Inputs!$G$5:$G$120="acoes"))*Inputs!$B$1+((Inputs!$G$5:$G$120&lt;&gt;"moeda")*(Inputs!$G$5:$G$120&lt;&gt;"acoes")))*INDEX(Inputs!$K$5:$AJ$120,0,MATCH(J$2,Inputs!$K$4:$AJ$4,0)))+SUMPRODUCT((Inputs!$C$5:$C$120=$B21)*Inputs!$D$5:$D$120*(((Inputs!$G$5:$G$120="moeda")+(Inputs!$G$5:$G$120="acoes"))*Inputs!$B$1+((Inputs!$G$5:$G$120&lt;&gt;"moeda")*(Inputs!$G$5:$G$120&lt;&gt;"acoes")))*INDEX(Inputs!$K$5:$AJ$120,0,MATCH(J$2,Inputs!$K$4:$AJ$4,0)))+SUMPRODUCT((Inputs!$E$5:$E$120=$B21)*Inputs!$F$5:$F$120*(((Inputs!$G$5:$G$120="moeda")+(Inputs!$G$5:$G$120="acoes"))*Inputs!$B$1+((Inputs!$G$5:$G$120&lt;&gt;"moeda")*(Inputs!$G$5:$G$120&lt;&gt;"acoes")))*INDEX(Inputs!$K$5:$AJ$120,0,MATCH(J$2,Inputs!$K$4:$AJ$4,0)))))</f>
        <v>0</v>
      </c>
      <c r="K21" s="267">
        <f>IF(ISNA(MATCH(K$2,Inputs!$K$4:$AJ$4,0)),NA(),IF(SUMPRODUCT((Inputs!$A$5:$A$120=$B21)*ISNUMBER(INDEX(Inputs!$K$5:$AJ$120,0,MATCH(K$2,Inputs!$K$4:$AJ$4,0))))+SUMPRODUCT((Inputs!$C$5:$C$120=$B21)*ISNUMBER(INDEX(Inputs!$K$5:$AJ$120,0,MATCH(K$2,Inputs!$K$4:$AJ$4,0))))+SUMPRODUCT((Inputs!$E$5:$E$120=$B21)*ISNUMBER(INDEX(Inputs!$K$5:$AJ$120,0,MATCH(K$2,Inputs!$K$4:$AJ$4,0))))=0,NA(),SUMPRODUCT((Inputs!$A$5:$A$120=$B21)*Inputs!$B$5:$B$120*(((Inputs!$G$5:$G$120="moeda")+(Inputs!$G$5:$G$120="acoes"))*Inputs!$B$1+((Inputs!$G$5:$G$120&lt;&gt;"moeda")*(Inputs!$G$5:$G$120&lt;&gt;"acoes")))*INDEX(Inputs!$K$5:$AJ$120,0,MATCH(K$2,Inputs!$K$4:$AJ$4,0)))+SUMPRODUCT((Inputs!$C$5:$C$120=$B21)*Inputs!$D$5:$D$120*(((Inputs!$G$5:$G$120="moeda")+(Inputs!$G$5:$G$120="acoes"))*Inputs!$B$1+((Inputs!$G$5:$G$120&lt;&gt;"moeda")*(Inputs!$G$5:$G$120&lt;&gt;"acoes")))*INDEX(Inputs!$K$5:$AJ$120,0,MATCH(K$2,Inputs!$K$4:$AJ$4,0)))+SUMPRODUCT((Inputs!$E$5:$E$120=$B21)*Inputs!$F$5:$F$120*(((Inputs!$G$5:$G$120="moeda")+(Inputs!$G$5:$G$120="acoes"))*Inputs!$B$1+((Inputs!$G$5:$G$120&lt;&gt;"moeda")*(Inputs!$G$5:$G$120&lt;&gt;"acoes")))*INDEX(Inputs!$K$5:$AJ$120,0,MATCH(K$2,Inputs!$K$4:$AJ$4,0)))))</f>
        <v>0</v>
      </c>
      <c r="L21" s="267">
        <f>IF(ISNA(MATCH(L$2,Inputs!$K$4:$AJ$4,0)),NA(),IF(SUMPRODUCT((Inputs!$A$5:$A$120=$B21)*ISNUMBER(INDEX(Inputs!$K$5:$AJ$120,0,MATCH(L$2,Inputs!$K$4:$AJ$4,0))))+SUMPRODUCT((Inputs!$C$5:$C$120=$B21)*ISNUMBER(INDEX(Inputs!$K$5:$AJ$120,0,MATCH(L$2,Inputs!$K$4:$AJ$4,0))))+SUMPRODUCT((Inputs!$E$5:$E$120=$B21)*ISNUMBER(INDEX(Inputs!$K$5:$AJ$120,0,MATCH(L$2,Inputs!$K$4:$AJ$4,0))))=0,NA(),SUMPRODUCT((Inputs!$A$5:$A$120=$B21)*Inputs!$B$5:$B$120*(((Inputs!$G$5:$G$120="moeda")+(Inputs!$G$5:$G$120="acoes"))*Inputs!$B$1+((Inputs!$G$5:$G$120&lt;&gt;"moeda")*(Inputs!$G$5:$G$120&lt;&gt;"acoes")))*INDEX(Inputs!$K$5:$AJ$120,0,MATCH(L$2,Inputs!$K$4:$AJ$4,0)))+SUMPRODUCT((Inputs!$C$5:$C$120=$B21)*Inputs!$D$5:$D$120*(((Inputs!$G$5:$G$120="moeda")+(Inputs!$G$5:$G$120="acoes"))*Inputs!$B$1+((Inputs!$G$5:$G$120&lt;&gt;"moeda")*(Inputs!$G$5:$G$120&lt;&gt;"acoes")))*INDEX(Inputs!$K$5:$AJ$120,0,MATCH(L$2,Inputs!$K$4:$AJ$4,0)))+SUMPRODUCT((Inputs!$E$5:$E$120=$B21)*Inputs!$F$5:$F$120*(((Inputs!$G$5:$G$120="moeda")+(Inputs!$G$5:$G$120="acoes"))*Inputs!$B$1+((Inputs!$G$5:$G$120&lt;&gt;"moeda")*(Inputs!$G$5:$G$120&lt;&gt;"acoes")))*INDEX(Inputs!$K$5:$AJ$120,0,MATCH(L$2,Inputs!$K$4:$AJ$4,0)))))</f>
        <v>0</v>
      </c>
      <c r="M21" s="268">
        <f>L21</f>
        <v>0</v>
      </c>
      <c r="N21" s="267">
        <f>IF(ISNA(MATCH(N$2,Inputs!$K$4:$AJ$4,0)),NA(),IF(SUMPRODUCT((Inputs!$A$5:$A$120=$B21)*ISNUMBER(INDEX(Inputs!$K$5:$AJ$120,0,MATCH(N$2,Inputs!$K$4:$AJ$4,0))))+SUMPRODUCT((Inputs!$C$5:$C$120=$B21)*ISNUMBER(INDEX(Inputs!$K$5:$AJ$120,0,MATCH(N$2,Inputs!$K$4:$AJ$4,0))))+SUMPRODUCT((Inputs!$E$5:$E$120=$B21)*ISNUMBER(INDEX(Inputs!$K$5:$AJ$120,0,MATCH(N$2,Inputs!$K$4:$AJ$4,0))))=0,NA(),SUMPRODUCT((Inputs!$A$5:$A$120=$B21)*Inputs!$B$5:$B$120*(((Inputs!$G$5:$G$120="moeda")+(Inputs!$G$5:$G$120="acoes"))*Inputs!$B$1+((Inputs!$G$5:$G$120&lt;&gt;"moeda")*(Inputs!$G$5:$G$120&lt;&gt;"acoes")))*INDEX(Inputs!$K$5:$AJ$120,0,MATCH(N$2,Inputs!$K$4:$AJ$4,0)))+SUMPRODUCT((Inputs!$C$5:$C$120=$B21)*Inputs!$D$5:$D$120*(((Inputs!$G$5:$G$120="moeda")+(Inputs!$G$5:$G$120="acoes"))*Inputs!$B$1+((Inputs!$G$5:$G$120&lt;&gt;"moeda")*(Inputs!$G$5:$G$120&lt;&gt;"acoes")))*INDEX(Inputs!$K$5:$AJ$120,0,MATCH(N$2,Inputs!$K$4:$AJ$4,0)))+SUMPRODUCT((Inputs!$E$5:$E$120=$B21)*Inputs!$F$5:$F$120*(((Inputs!$G$5:$G$120="moeda")+(Inputs!$G$5:$G$120="acoes"))*Inputs!$B$1+((Inputs!$G$5:$G$120&lt;&gt;"moeda")*(Inputs!$G$5:$G$120&lt;&gt;"acoes")))*INDEX(Inputs!$K$5:$AJ$120,0,MATCH(N$2,Inputs!$K$4:$AJ$4,0)))))</f>
        <v>0</v>
      </c>
      <c r="O21" s="267">
        <f>IF(ISNA(MATCH(O$2,Inputs!$K$4:$AJ$4,0)),NA(),IF(SUMPRODUCT((Inputs!$A$5:$A$120=$B21)*ISNUMBER(INDEX(Inputs!$K$5:$AJ$120,0,MATCH(O$2,Inputs!$K$4:$AJ$4,0))))+SUMPRODUCT((Inputs!$C$5:$C$120=$B21)*ISNUMBER(INDEX(Inputs!$K$5:$AJ$120,0,MATCH(O$2,Inputs!$K$4:$AJ$4,0))))+SUMPRODUCT((Inputs!$E$5:$E$120=$B21)*ISNUMBER(INDEX(Inputs!$K$5:$AJ$120,0,MATCH(O$2,Inputs!$K$4:$AJ$4,0))))=0,NA(),SUMPRODUCT((Inputs!$A$5:$A$120=$B21)*Inputs!$B$5:$B$120*(((Inputs!$G$5:$G$120="moeda")+(Inputs!$G$5:$G$120="acoes"))*Inputs!$B$1+((Inputs!$G$5:$G$120&lt;&gt;"moeda")*(Inputs!$G$5:$G$120&lt;&gt;"acoes")))*INDEX(Inputs!$K$5:$AJ$120,0,MATCH(O$2,Inputs!$K$4:$AJ$4,0)))+SUMPRODUCT((Inputs!$C$5:$C$120=$B21)*Inputs!$D$5:$D$120*(((Inputs!$G$5:$G$120="moeda")+(Inputs!$G$5:$G$120="acoes"))*Inputs!$B$1+((Inputs!$G$5:$G$120&lt;&gt;"moeda")*(Inputs!$G$5:$G$120&lt;&gt;"acoes")))*INDEX(Inputs!$K$5:$AJ$120,0,MATCH(O$2,Inputs!$K$4:$AJ$4,0)))+SUMPRODUCT((Inputs!$E$5:$E$120=$B21)*Inputs!$F$5:$F$120*(((Inputs!$G$5:$G$120="moeda")+(Inputs!$G$5:$G$120="acoes"))*Inputs!$B$1+((Inputs!$G$5:$G$120&lt;&gt;"moeda")*(Inputs!$G$5:$G$120&lt;&gt;"acoes")))*INDEX(Inputs!$K$5:$AJ$120,0,MATCH(O$2,Inputs!$K$4:$AJ$4,0)))))</f>
        <v>0</v>
      </c>
      <c r="P21" s="267">
        <f>IF(ISNA(MATCH(P$2,Inputs!$K$4:$AJ$4,0)),NA(),IF(SUMPRODUCT((Inputs!$A$5:$A$120=$B21)*ISNUMBER(INDEX(Inputs!$K$5:$AJ$120,0,MATCH(P$2,Inputs!$K$4:$AJ$4,0))))+SUMPRODUCT((Inputs!$C$5:$C$120=$B21)*ISNUMBER(INDEX(Inputs!$K$5:$AJ$120,0,MATCH(P$2,Inputs!$K$4:$AJ$4,0))))+SUMPRODUCT((Inputs!$E$5:$E$120=$B21)*ISNUMBER(INDEX(Inputs!$K$5:$AJ$120,0,MATCH(P$2,Inputs!$K$4:$AJ$4,0))))=0,NA(),SUMPRODUCT((Inputs!$A$5:$A$120=$B21)*Inputs!$B$5:$B$120*(((Inputs!$G$5:$G$120="moeda")+(Inputs!$G$5:$G$120="acoes"))*Inputs!$B$1+((Inputs!$G$5:$G$120&lt;&gt;"moeda")*(Inputs!$G$5:$G$120&lt;&gt;"acoes")))*INDEX(Inputs!$K$5:$AJ$120,0,MATCH(P$2,Inputs!$K$4:$AJ$4,0)))+SUMPRODUCT((Inputs!$C$5:$C$120=$B21)*Inputs!$D$5:$D$120*(((Inputs!$G$5:$G$120="moeda")+(Inputs!$G$5:$G$120="acoes"))*Inputs!$B$1+((Inputs!$G$5:$G$120&lt;&gt;"moeda")*(Inputs!$G$5:$G$120&lt;&gt;"acoes")))*INDEX(Inputs!$K$5:$AJ$120,0,MATCH(P$2,Inputs!$K$4:$AJ$4,0)))+SUMPRODUCT((Inputs!$E$5:$E$120=$B21)*Inputs!$F$5:$F$120*(((Inputs!$G$5:$G$120="moeda")+(Inputs!$G$5:$G$120="acoes"))*Inputs!$B$1+((Inputs!$G$5:$G$120&lt;&gt;"moeda")*(Inputs!$G$5:$G$120&lt;&gt;"acoes")))*INDEX(Inputs!$K$5:$AJ$120,0,MATCH(P$2,Inputs!$K$4:$AJ$4,0)))))</f>
        <v>0</v>
      </c>
      <c r="Q21" s="267">
        <f>IF(ISNA(MATCH(Q$2,Inputs!$K$4:$AJ$4,0)),NA(),IF(SUMPRODUCT((Inputs!$A$5:$A$120=$B21)*ISNUMBER(INDEX(Inputs!$K$5:$AJ$120,0,MATCH(Q$2,Inputs!$K$4:$AJ$4,0))))+SUMPRODUCT((Inputs!$C$5:$C$120=$B21)*ISNUMBER(INDEX(Inputs!$K$5:$AJ$120,0,MATCH(Q$2,Inputs!$K$4:$AJ$4,0))))+SUMPRODUCT((Inputs!$E$5:$E$120=$B21)*ISNUMBER(INDEX(Inputs!$K$5:$AJ$120,0,MATCH(Q$2,Inputs!$K$4:$AJ$4,0))))=0,NA(),SUMPRODUCT((Inputs!$A$5:$A$120=$B21)*Inputs!$B$5:$B$120*(((Inputs!$G$5:$G$120="moeda")+(Inputs!$G$5:$G$120="acoes"))*Inputs!$B$1+((Inputs!$G$5:$G$120&lt;&gt;"moeda")*(Inputs!$G$5:$G$120&lt;&gt;"acoes")))*INDEX(Inputs!$K$5:$AJ$120,0,MATCH(Q$2,Inputs!$K$4:$AJ$4,0)))+SUMPRODUCT((Inputs!$C$5:$C$120=$B21)*Inputs!$D$5:$D$120*(((Inputs!$G$5:$G$120="moeda")+(Inputs!$G$5:$G$120="acoes"))*Inputs!$B$1+((Inputs!$G$5:$G$120&lt;&gt;"moeda")*(Inputs!$G$5:$G$120&lt;&gt;"acoes")))*INDEX(Inputs!$K$5:$AJ$120,0,MATCH(Q$2,Inputs!$K$4:$AJ$4,0)))+SUMPRODUCT((Inputs!$E$5:$E$120=$B21)*Inputs!$F$5:$F$120*(((Inputs!$G$5:$G$120="moeda")+(Inputs!$G$5:$G$120="acoes"))*Inputs!$B$1+((Inputs!$G$5:$G$120&lt;&gt;"moeda")*(Inputs!$G$5:$G$120&lt;&gt;"acoes")))*INDEX(Inputs!$K$5:$AJ$120,0,MATCH(Q$2,Inputs!$K$4:$AJ$4,0)))))</f>
        <v>0</v>
      </c>
      <c r="R21" s="268">
        <f>Q21</f>
        <v>0</v>
      </c>
      <c r="S21" s="267">
        <f>IF(ISNA(MATCH(S$2,Inputs!$K$4:$AJ$4,0)),NA(),IF(SUMPRODUCT((Inputs!$A$5:$A$120=$B21)*ISNUMBER(INDEX(Inputs!$K$5:$AJ$120,0,MATCH(S$2,Inputs!$K$4:$AJ$4,0))))+SUMPRODUCT((Inputs!$C$5:$C$120=$B21)*ISNUMBER(INDEX(Inputs!$K$5:$AJ$120,0,MATCH(S$2,Inputs!$K$4:$AJ$4,0))))+SUMPRODUCT((Inputs!$E$5:$E$120=$B21)*ISNUMBER(INDEX(Inputs!$K$5:$AJ$120,0,MATCH(S$2,Inputs!$K$4:$AJ$4,0))))=0,NA(),SUMPRODUCT((Inputs!$A$5:$A$120=$B21)*Inputs!$B$5:$B$120*(((Inputs!$G$5:$G$120="moeda")+(Inputs!$G$5:$G$120="acoes"))*Inputs!$B$1+((Inputs!$G$5:$G$120&lt;&gt;"moeda")*(Inputs!$G$5:$G$120&lt;&gt;"acoes")))*INDEX(Inputs!$K$5:$AJ$120,0,MATCH(S$2,Inputs!$K$4:$AJ$4,0)))+SUMPRODUCT((Inputs!$C$5:$C$120=$B21)*Inputs!$D$5:$D$120*(((Inputs!$G$5:$G$120="moeda")+(Inputs!$G$5:$G$120="acoes"))*Inputs!$B$1+((Inputs!$G$5:$G$120&lt;&gt;"moeda")*(Inputs!$G$5:$G$120&lt;&gt;"acoes")))*INDEX(Inputs!$K$5:$AJ$120,0,MATCH(S$2,Inputs!$K$4:$AJ$4,0)))+SUMPRODUCT((Inputs!$E$5:$E$120=$B21)*Inputs!$F$5:$F$120*(((Inputs!$G$5:$G$120="moeda")+(Inputs!$G$5:$G$120="acoes"))*Inputs!$B$1+((Inputs!$G$5:$G$120&lt;&gt;"moeda")*(Inputs!$G$5:$G$120&lt;&gt;"acoes")))*INDEX(Inputs!$K$5:$AJ$120,0,MATCH(S$2,Inputs!$K$4:$AJ$4,0)))))</f>
        <v>0</v>
      </c>
      <c r="T21" s="267">
        <f>IF(ISNA(MATCH(T$2,Inputs!$K$4:$AJ$4,0)),NA(),IF(SUMPRODUCT((Inputs!$A$5:$A$120=$B21)*ISNUMBER(INDEX(Inputs!$K$5:$AJ$120,0,MATCH(T$2,Inputs!$K$4:$AJ$4,0))))+SUMPRODUCT((Inputs!$C$5:$C$120=$B21)*ISNUMBER(INDEX(Inputs!$K$5:$AJ$120,0,MATCH(T$2,Inputs!$K$4:$AJ$4,0))))+SUMPRODUCT((Inputs!$E$5:$E$120=$B21)*ISNUMBER(INDEX(Inputs!$K$5:$AJ$120,0,MATCH(T$2,Inputs!$K$4:$AJ$4,0))))=0,NA(),SUMPRODUCT((Inputs!$A$5:$A$120=$B21)*Inputs!$B$5:$B$120*(((Inputs!$G$5:$G$120="moeda")+(Inputs!$G$5:$G$120="acoes"))*Inputs!$B$1+((Inputs!$G$5:$G$120&lt;&gt;"moeda")*(Inputs!$G$5:$G$120&lt;&gt;"acoes")))*INDEX(Inputs!$K$5:$AJ$120,0,MATCH(T$2,Inputs!$K$4:$AJ$4,0)))+SUMPRODUCT((Inputs!$C$5:$C$120=$B21)*Inputs!$D$5:$D$120*(((Inputs!$G$5:$G$120="moeda")+(Inputs!$G$5:$G$120="acoes"))*Inputs!$B$1+((Inputs!$G$5:$G$120&lt;&gt;"moeda")*(Inputs!$G$5:$G$120&lt;&gt;"acoes")))*INDEX(Inputs!$K$5:$AJ$120,0,MATCH(T$2,Inputs!$K$4:$AJ$4,0)))+SUMPRODUCT((Inputs!$E$5:$E$120=$B21)*Inputs!$F$5:$F$120*(((Inputs!$G$5:$G$120="moeda")+(Inputs!$G$5:$G$120="acoes"))*Inputs!$B$1+((Inputs!$G$5:$G$120&lt;&gt;"moeda")*(Inputs!$G$5:$G$120&lt;&gt;"acoes")))*INDEX(Inputs!$K$5:$AJ$120,0,MATCH(T$2,Inputs!$K$4:$AJ$4,0)))))</f>
        <v>0</v>
      </c>
      <c r="U21" s="267">
        <f>IF(ISNA(MATCH(U$2,Inputs!$K$4:$AJ$4,0)),NA(),IF(SUMPRODUCT((Inputs!$A$5:$A$120=$B21)*ISNUMBER(INDEX(Inputs!$K$5:$AJ$120,0,MATCH(U$2,Inputs!$K$4:$AJ$4,0))))+SUMPRODUCT((Inputs!$C$5:$C$120=$B21)*ISNUMBER(INDEX(Inputs!$K$5:$AJ$120,0,MATCH(U$2,Inputs!$K$4:$AJ$4,0))))+SUMPRODUCT((Inputs!$E$5:$E$120=$B21)*ISNUMBER(INDEX(Inputs!$K$5:$AJ$120,0,MATCH(U$2,Inputs!$K$4:$AJ$4,0))))=0,NA(),SUMPRODUCT((Inputs!$A$5:$A$120=$B21)*Inputs!$B$5:$B$120*(((Inputs!$G$5:$G$120="moeda")+(Inputs!$G$5:$G$120="acoes"))*Inputs!$B$1+((Inputs!$G$5:$G$120&lt;&gt;"moeda")*(Inputs!$G$5:$G$120&lt;&gt;"acoes")))*INDEX(Inputs!$K$5:$AJ$120,0,MATCH(U$2,Inputs!$K$4:$AJ$4,0)))+SUMPRODUCT((Inputs!$C$5:$C$120=$B21)*Inputs!$D$5:$D$120*(((Inputs!$G$5:$G$120="moeda")+(Inputs!$G$5:$G$120="acoes"))*Inputs!$B$1+((Inputs!$G$5:$G$120&lt;&gt;"moeda")*(Inputs!$G$5:$G$120&lt;&gt;"acoes")))*INDEX(Inputs!$K$5:$AJ$120,0,MATCH(U$2,Inputs!$K$4:$AJ$4,0)))+SUMPRODUCT((Inputs!$E$5:$E$120=$B21)*Inputs!$F$5:$F$120*(((Inputs!$G$5:$G$120="moeda")+(Inputs!$G$5:$G$120="acoes"))*Inputs!$B$1+((Inputs!$G$5:$G$120&lt;&gt;"moeda")*(Inputs!$G$5:$G$120&lt;&gt;"acoes")))*INDEX(Inputs!$K$5:$AJ$120,0,MATCH(U$2,Inputs!$K$4:$AJ$4,0)))))</f>
        <v>0</v>
      </c>
      <c r="V21" s="267">
        <f>IF(ISNA(MATCH(V$2,Inputs!$K$4:$AJ$4,0)),NA(),IF(SUMPRODUCT((Inputs!$A$5:$A$120=$B21)*ISNUMBER(INDEX(Inputs!$K$5:$AJ$120,0,MATCH(V$2,Inputs!$K$4:$AJ$4,0))))+SUMPRODUCT((Inputs!$C$5:$C$120=$B21)*ISNUMBER(INDEX(Inputs!$K$5:$AJ$120,0,MATCH(V$2,Inputs!$K$4:$AJ$4,0))))+SUMPRODUCT((Inputs!$E$5:$E$120=$B21)*ISNUMBER(INDEX(Inputs!$K$5:$AJ$120,0,MATCH(V$2,Inputs!$K$4:$AJ$4,0))))=0,NA(),SUMPRODUCT((Inputs!$A$5:$A$120=$B21)*Inputs!$B$5:$B$120*(((Inputs!$G$5:$G$120="moeda")+(Inputs!$G$5:$G$120="acoes"))*Inputs!$B$1+((Inputs!$G$5:$G$120&lt;&gt;"moeda")*(Inputs!$G$5:$G$120&lt;&gt;"acoes")))*INDEX(Inputs!$K$5:$AJ$120,0,MATCH(V$2,Inputs!$K$4:$AJ$4,0)))+SUMPRODUCT((Inputs!$C$5:$C$120=$B21)*Inputs!$D$5:$D$120*(((Inputs!$G$5:$G$120="moeda")+(Inputs!$G$5:$G$120="acoes"))*Inputs!$B$1+((Inputs!$G$5:$G$120&lt;&gt;"moeda")*(Inputs!$G$5:$G$120&lt;&gt;"acoes")))*INDEX(Inputs!$K$5:$AJ$120,0,MATCH(V$2,Inputs!$K$4:$AJ$4,0)))+SUMPRODUCT((Inputs!$E$5:$E$120=$B21)*Inputs!$F$5:$F$120*(((Inputs!$G$5:$G$120="moeda")+(Inputs!$G$5:$G$120="acoes"))*Inputs!$B$1+((Inputs!$G$5:$G$120&lt;&gt;"moeda")*(Inputs!$G$5:$G$120&lt;&gt;"acoes")))*INDEX(Inputs!$K$5:$AJ$120,0,MATCH(V$2,Inputs!$K$4:$AJ$4,0)))))</f>
        <v>0</v>
      </c>
      <c r="W21" s="268">
        <f>V21</f>
        <v>0</v>
      </c>
      <c r="X21" s="267">
        <f>IF(ISNA(MATCH(X$2,Inputs!$K$4:$AJ$4,0)),NA(),IF(SUMPRODUCT((Inputs!$A$5:$A$120=$B21)*ISNUMBER(INDEX(Inputs!$K$5:$AJ$120,0,MATCH(X$2,Inputs!$K$4:$AJ$4,0))))+SUMPRODUCT((Inputs!$C$5:$C$120=$B21)*ISNUMBER(INDEX(Inputs!$K$5:$AJ$120,0,MATCH(X$2,Inputs!$K$4:$AJ$4,0))))+SUMPRODUCT((Inputs!$E$5:$E$120=$B21)*ISNUMBER(INDEX(Inputs!$K$5:$AJ$120,0,MATCH(X$2,Inputs!$K$4:$AJ$4,0))))=0,NA(),SUMPRODUCT((Inputs!$A$5:$A$120=$B21)*Inputs!$B$5:$B$120*(((Inputs!$G$5:$G$120="moeda")+(Inputs!$G$5:$G$120="acoes"))*Inputs!$B$1+((Inputs!$G$5:$G$120&lt;&gt;"moeda")*(Inputs!$G$5:$G$120&lt;&gt;"acoes")))*INDEX(Inputs!$K$5:$AJ$120,0,MATCH(X$2,Inputs!$K$4:$AJ$4,0)))+SUMPRODUCT((Inputs!$C$5:$C$120=$B21)*Inputs!$D$5:$D$120*(((Inputs!$G$5:$G$120="moeda")+(Inputs!$G$5:$G$120="acoes"))*Inputs!$B$1+((Inputs!$G$5:$G$120&lt;&gt;"moeda")*(Inputs!$G$5:$G$120&lt;&gt;"acoes")))*INDEX(Inputs!$K$5:$AJ$120,0,MATCH(X$2,Inputs!$K$4:$AJ$4,0)))+SUMPRODUCT((Inputs!$E$5:$E$120=$B21)*Inputs!$F$5:$F$120*(((Inputs!$G$5:$G$120="moeda")+(Inputs!$G$5:$G$120="acoes"))*Inputs!$B$1+((Inputs!$G$5:$G$120&lt;&gt;"moeda")*(Inputs!$G$5:$G$120&lt;&gt;"acoes")))*INDEX(Inputs!$K$5:$AJ$120,0,MATCH(X$2,Inputs!$K$4:$AJ$4,0)))))</f>
        <v>0</v>
      </c>
      <c r="Y21" s="267">
        <f>IF(ISNA(MATCH(Y$2,Inputs!$K$4:$AJ$4,0)),NA(),IF(SUMPRODUCT((Inputs!$A$5:$A$120=$B21)*ISNUMBER(INDEX(Inputs!$K$5:$AJ$120,0,MATCH(Y$2,Inputs!$K$4:$AJ$4,0))))+SUMPRODUCT((Inputs!$C$5:$C$120=$B21)*ISNUMBER(INDEX(Inputs!$K$5:$AJ$120,0,MATCH(Y$2,Inputs!$K$4:$AJ$4,0))))+SUMPRODUCT((Inputs!$E$5:$E$120=$B21)*ISNUMBER(INDEX(Inputs!$K$5:$AJ$120,0,MATCH(Y$2,Inputs!$K$4:$AJ$4,0))))=0,NA(),SUMPRODUCT((Inputs!$A$5:$A$120=$B21)*Inputs!$B$5:$B$120*(((Inputs!$G$5:$G$120="moeda")+(Inputs!$G$5:$G$120="acoes"))*Inputs!$B$1+((Inputs!$G$5:$G$120&lt;&gt;"moeda")*(Inputs!$G$5:$G$120&lt;&gt;"acoes")))*INDEX(Inputs!$K$5:$AJ$120,0,MATCH(Y$2,Inputs!$K$4:$AJ$4,0)))+SUMPRODUCT((Inputs!$C$5:$C$120=$B21)*Inputs!$D$5:$D$120*(((Inputs!$G$5:$G$120="moeda")+(Inputs!$G$5:$G$120="acoes"))*Inputs!$B$1+((Inputs!$G$5:$G$120&lt;&gt;"moeda")*(Inputs!$G$5:$G$120&lt;&gt;"acoes")))*INDEX(Inputs!$K$5:$AJ$120,0,MATCH(Y$2,Inputs!$K$4:$AJ$4,0)))+SUMPRODUCT((Inputs!$E$5:$E$120=$B21)*Inputs!$F$5:$F$120*(((Inputs!$G$5:$G$120="moeda")+(Inputs!$G$5:$G$120="acoes"))*Inputs!$B$1+((Inputs!$G$5:$G$120&lt;&gt;"moeda")*(Inputs!$G$5:$G$120&lt;&gt;"acoes")))*INDEX(Inputs!$K$5:$AJ$120,0,MATCH(Y$2,Inputs!$K$4:$AJ$4,0)))))</f>
        <v>0</v>
      </c>
      <c r="Z21" s="267">
        <f>IF(ISNA(MATCH(Z$2,Inputs!$K$4:$AJ$4,0)),NA(),IF(SUMPRODUCT((Inputs!$A$5:$A$120=$B21)*ISNUMBER(INDEX(Inputs!$K$5:$AJ$120,0,MATCH(Z$2,Inputs!$K$4:$AJ$4,0))))+SUMPRODUCT((Inputs!$C$5:$C$120=$B21)*ISNUMBER(INDEX(Inputs!$K$5:$AJ$120,0,MATCH(Z$2,Inputs!$K$4:$AJ$4,0))))+SUMPRODUCT((Inputs!$E$5:$E$120=$B21)*ISNUMBER(INDEX(Inputs!$K$5:$AJ$120,0,MATCH(Z$2,Inputs!$K$4:$AJ$4,0))))=0,NA(),SUMPRODUCT((Inputs!$A$5:$A$120=$B21)*Inputs!$B$5:$B$120*(((Inputs!$G$5:$G$120="moeda")+(Inputs!$G$5:$G$120="acoes"))*Inputs!$B$1+((Inputs!$G$5:$G$120&lt;&gt;"moeda")*(Inputs!$G$5:$G$120&lt;&gt;"acoes")))*INDEX(Inputs!$K$5:$AJ$120,0,MATCH(Z$2,Inputs!$K$4:$AJ$4,0)))+SUMPRODUCT((Inputs!$C$5:$C$120=$B21)*Inputs!$D$5:$D$120*(((Inputs!$G$5:$G$120="moeda")+(Inputs!$G$5:$G$120="acoes"))*Inputs!$B$1+((Inputs!$G$5:$G$120&lt;&gt;"moeda")*(Inputs!$G$5:$G$120&lt;&gt;"acoes")))*INDEX(Inputs!$K$5:$AJ$120,0,MATCH(Z$2,Inputs!$K$4:$AJ$4,0)))+SUMPRODUCT((Inputs!$E$5:$E$120=$B21)*Inputs!$F$5:$F$120*(((Inputs!$G$5:$G$120="moeda")+(Inputs!$G$5:$G$120="acoes"))*Inputs!$B$1+((Inputs!$G$5:$G$120&lt;&gt;"moeda")*(Inputs!$G$5:$G$120&lt;&gt;"acoes")))*INDEX(Inputs!$K$5:$AJ$120,0,MATCH(Z$2,Inputs!$K$4:$AJ$4,0)))))</f>
        <v>0</v>
      </c>
      <c r="AA21" s="267">
        <f>IF(ISNA(MATCH(AA$2,Inputs!$K$4:$AJ$4,0)),NA(),IF(SUMPRODUCT((Inputs!$A$5:$A$120=$B21)*ISNUMBER(INDEX(Inputs!$K$5:$AJ$120,0,MATCH(AA$2,Inputs!$K$4:$AJ$4,0))))+SUMPRODUCT((Inputs!$C$5:$C$120=$B21)*ISNUMBER(INDEX(Inputs!$K$5:$AJ$120,0,MATCH(AA$2,Inputs!$K$4:$AJ$4,0))))+SUMPRODUCT((Inputs!$E$5:$E$120=$B21)*ISNUMBER(INDEX(Inputs!$K$5:$AJ$120,0,MATCH(AA$2,Inputs!$K$4:$AJ$4,0))))=0,NA(),SUMPRODUCT((Inputs!$A$5:$A$120=$B21)*Inputs!$B$5:$B$120*(((Inputs!$G$5:$G$120="moeda")+(Inputs!$G$5:$G$120="acoes"))*Inputs!$B$1+((Inputs!$G$5:$G$120&lt;&gt;"moeda")*(Inputs!$G$5:$G$120&lt;&gt;"acoes")))*INDEX(Inputs!$K$5:$AJ$120,0,MATCH(AA$2,Inputs!$K$4:$AJ$4,0)))+SUMPRODUCT((Inputs!$C$5:$C$120=$B21)*Inputs!$D$5:$D$120*(((Inputs!$G$5:$G$120="moeda")+(Inputs!$G$5:$G$120="acoes"))*Inputs!$B$1+((Inputs!$G$5:$G$120&lt;&gt;"moeda")*(Inputs!$G$5:$G$120&lt;&gt;"acoes")))*INDEX(Inputs!$K$5:$AJ$120,0,MATCH(AA$2,Inputs!$K$4:$AJ$4,0)))+SUMPRODUCT((Inputs!$E$5:$E$120=$B21)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1" s="268">
        <f>AA21</f>
        <v>0</v>
      </c>
      <c r="AC21" s="267">
        <f>IF(ISNA(MATCH(AC$2,Inputs!$K$4:$AJ$4,0)),NA(),IF(SUMPRODUCT((Inputs!$A$5:$A$120=$B21)*ISNUMBER(INDEX(Inputs!$K$5:$AJ$120,0,MATCH(AC$2,Inputs!$K$4:$AJ$4,0))))+SUMPRODUCT((Inputs!$C$5:$C$120=$B21)*ISNUMBER(INDEX(Inputs!$K$5:$AJ$120,0,MATCH(AC$2,Inputs!$K$4:$AJ$4,0))))+SUMPRODUCT((Inputs!$E$5:$E$120=$B21)*ISNUMBER(INDEX(Inputs!$K$5:$AJ$120,0,MATCH(AC$2,Inputs!$K$4:$AJ$4,0))))=0,NA(),SUMPRODUCT((Inputs!$A$5:$A$120=$B21)*Inputs!$B$5:$B$120*(((Inputs!$G$5:$G$120="moeda")+(Inputs!$G$5:$G$120="acoes"))*Inputs!$B$1+((Inputs!$G$5:$G$120&lt;&gt;"moeda")*(Inputs!$G$5:$G$120&lt;&gt;"acoes")))*INDEX(Inputs!$K$5:$AJ$120,0,MATCH(AC$2,Inputs!$K$4:$AJ$4,0)))+SUMPRODUCT((Inputs!$C$5:$C$120=$B21)*Inputs!$D$5:$D$120*(((Inputs!$G$5:$G$120="moeda")+(Inputs!$G$5:$G$120="acoes"))*Inputs!$B$1+((Inputs!$G$5:$G$120&lt;&gt;"moeda")*(Inputs!$G$5:$G$120&lt;&gt;"acoes")))*INDEX(Inputs!$K$5:$AJ$120,0,MATCH(AC$2,Inputs!$K$4:$AJ$4,0)))+SUMPRODUCT((Inputs!$E$5:$E$120=$B21)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1" s="267">
        <f>IF(ISNA(MATCH(AD$2,Inputs!$K$4:$AJ$4,0)),NA(),IF(SUMPRODUCT((Inputs!$A$5:$A$120=$B21)*ISNUMBER(INDEX(Inputs!$K$5:$AJ$120,0,MATCH(AD$2,Inputs!$K$4:$AJ$4,0))))+SUMPRODUCT((Inputs!$C$5:$C$120=$B21)*ISNUMBER(INDEX(Inputs!$K$5:$AJ$120,0,MATCH(AD$2,Inputs!$K$4:$AJ$4,0))))+SUMPRODUCT((Inputs!$E$5:$E$120=$B21)*ISNUMBER(INDEX(Inputs!$K$5:$AJ$120,0,MATCH(AD$2,Inputs!$K$4:$AJ$4,0))))=0,NA(),SUMPRODUCT((Inputs!$A$5:$A$120=$B21)*Inputs!$B$5:$B$120*(((Inputs!$G$5:$G$120="moeda")+(Inputs!$G$5:$G$120="acoes"))*Inputs!$B$1+((Inputs!$G$5:$G$120&lt;&gt;"moeda")*(Inputs!$G$5:$G$120&lt;&gt;"acoes")))*INDEX(Inputs!$K$5:$AJ$120,0,MATCH(AD$2,Inputs!$K$4:$AJ$4,0)))+SUMPRODUCT((Inputs!$C$5:$C$120=$B21)*Inputs!$D$5:$D$120*(((Inputs!$G$5:$G$120="moeda")+(Inputs!$G$5:$G$120="acoes"))*Inputs!$B$1+((Inputs!$G$5:$G$120&lt;&gt;"moeda")*(Inputs!$G$5:$G$120&lt;&gt;"acoes")))*INDEX(Inputs!$K$5:$AJ$120,0,MATCH(AD$2,Inputs!$K$4:$AJ$4,0)))+SUMPRODUCT((Inputs!$E$5:$E$120=$B21)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1" s="267" t="e">
        <f>IF(ISNA(MATCH(AE$2,Inputs!$K$4:$AJ$4,0)),NA(),IF(SUMPRODUCT((Inputs!$A$5:$A$120=$B21)*ISNUMBER(INDEX(Inputs!$K$5:$AJ$120,0,MATCH(AE$2,Inputs!$K$4:$AJ$4,0))))+SUMPRODUCT((Inputs!$C$5:$C$120=$B21)*ISNUMBER(INDEX(Inputs!$K$5:$AJ$120,0,MATCH(AE$2,Inputs!$K$4:$AJ$4,0))))+SUMPRODUCT((Inputs!$E$5:$E$120=$B21)*ISNUMBER(INDEX(Inputs!$K$5:$AJ$120,0,MATCH(AE$2,Inputs!$K$4:$AJ$4,0))))=0,NA(),SUMPRODUCT((Inputs!$A$5:$A$120=$B21)*Inputs!$B$5:$B$120*(((Inputs!$G$5:$G$120="moeda")+(Inputs!$G$5:$G$120="acoes"))*Inputs!$B$1+((Inputs!$G$5:$G$120&lt;&gt;"moeda")*(Inputs!$G$5:$G$120&lt;&gt;"acoes")))*INDEX(Inputs!$K$5:$AJ$120,0,MATCH(AE$2,Inputs!$K$4:$AJ$4,0)))+SUMPRODUCT((Inputs!$C$5:$C$120=$B21)*Inputs!$D$5:$D$120*(((Inputs!$G$5:$G$120="moeda")+(Inputs!$G$5:$G$120="acoes"))*Inputs!$B$1+((Inputs!$G$5:$G$120&lt;&gt;"moeda")*(Inputs!$G$5:$G$120&lt;&gt;"acoes")))*INDEX(Inputs!$K$5:$AJ$120,0,MATCH(AE$2,Inputs!$K$4:$AJ$4,0)))+SUMPRODUCT((Inputs!$E$5:$E$120=$B21)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1" s="267" t="e">
        <f>IF(ISNA(MATCH(AF$2,Inputs!$K$4:$AJ$4,0)),NA(),IF(SUMPRODUCT((Inputs!$A$5:$A$120=$B21)*ISNUMBER(INDEX(Inputs!$K$5:$AJ$120,0,MATCH(AF$2,Inputs!$K$4:$AJ$4,0))))+SUMPRODUCT((Inputs!$C$5:$C$120=$B21)*ISNUMBER(INDEX(Inputs!$K$5:$AJ$120,0,MATCH(AF$2,Inputs!$K$4:$AJ$4,0))))+SUMPRODUCT((Inputs!$E$5:$E$120=$B21)*ISNUMBER(INDEX(Inputs!$K$5:$AJ$120,0,MATCH(AF$2,Inputs!$K$4:$AJ$4,0))))=0,NA(),SUMPRODUCT((Inputs!$A$5:$A$120=$B21)*Inputs!$B$5:$B$120*(((Inputs!$G$5:$G$120="moeda")+(Inputs!$G$5:$G$120="acoes"))*Inputs!$B$1+((Inputs!$G$5:$G$120&lt;&gt;"moeda")*(Inputs!$G$5:$G$120&lt;&gt;"acoes")))*INDEX(Inputs!$K$5:$AJ$120,0,MATCH(AF$2,Inputs!$K$4:$AJ$4,0)))+SUMPRODUCT((Inputs!$C$5:$C$120=$B21)*Inputs!$D$5:$D$120*(((Inputs!$G$5:$G$120="moeda")+(Inputs!$G$5:$G$120="acoes"))*Inputs!$B$1+((Inputs!$G$5:$G$120&lt;&gt;"moeda")*(Inputs!$G$5:$G$120&lt;&gt;"acoes")))*INDEX(Inputs!$K$5:$AJ$120,0,MATCH(AF$2,Inputs!$K$4:$AJ$4,0)))+SUMPRODUCT((Inputs!$E$5:$E$120=$B21)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1" s="268" t="e">
        <f>AF21</f>
        <v>#N/A</v>
      </c>
      <c r="AH21" s="267">
        <f>IF(ISNA(MATCH(AH$2,Inputs!$K$4:$AJ$4,0)),NA(),IF(SUMPRODUCT((Inputs!$A$5:$A$120=$B21)*ISNUMBER(INDEX(Inputs!$K$5:$AJ$120,0,MATCH(AH$2,Inputs!$K$4:$AJ$4,0))))+SUMPRODUCT((Inputs!$C$5:$C$120=$B21)*ISNUMBER(INDEX(Inputs!$K$5:$AJ$120,0,MATCH(AH$2,Inputs!$K$4:$AJ$4,0))))+SUMPRODUCT((Inputs!$E$5:$E$120=$B21)*ISNUMBER(INDEX(Inputs!$K$5:$AJ$120,0,MATCH(AH$2,Inputs!$K$4:$AJ$4,0))))=0,NA(),SUMPRODUCT((Inputs!$A$5:$A$120=$B21)*Inputs!$B$5:$B$120*(((Inputs!$G$5:$G$120="moeda")+(Inputs!$G$5:$G$120="acoes"))*Inputs!$B$1+((Inputs!$G$5:$G$120&lt;&gt;"moeda")*(Inputs!$G$5:$G$120&lt;&gt;"acoes")))*INDEX(Inputs!$K$5:$AJ$120,0,MATCH(AH$2,Inputs!$K$4:$AJ$4,0)))+SUMPRODUCT((Inputs!$C$5:$C$120=$B21)*Inputs!$D$5:$D$120*(((Inputs!$G$5:$G$120="moeda")+(Inputs!$G$5:$G$120="acoes"))*Inputs!$B$1+((Inputs!$G$5:$G$120&lt;&gt;"moeda")*(Inputs!$G$5:$G$120&lt;&gt;"acoes")))*INDEX(Inputs!$K$5:$AJ$120,0,MATCH(AH$2,Inputs!$K$4:$AJ$4,0)))+SUMPRODUCT((Inputs!$E$5:$E$120=$B21)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1" s="267">
        <f>IF(ISNA(MATCH(AI$2,Inputs!$K$4:$AJ$4,0)),NA(),IF(SUMPRODUCT((Inputs!$A$5:$A$120=$B21)*ISNUMBER(INDEX(Inputs!$K$5:$AJ$120,0,MATCH(AI$2,Inputs!$K$4:$AJ$4,0))))+SUMPRODUCT((Inputs!$C$5:$C$120=$B21)*ISNUMBER(INDEX(Inputs!$K$5:$AJ$120,0,MATCH(AI$2,Inputs!$K$4:$AJ$4,0))))+SUMPRODUCT((Inputs!$E$5:$E$120=$B21)*ISNUMBER(INDEX(Inputs!$K$5:$AJ$120,0,MATCH(AI$2,Inputs!$K$4:$AJ$4,0))))=0,NA(),SUMPRODUCT((Inputs!$A$5:$A$120=$B21)*Inputs!$B$5:$B$120*(((Inputs!$G$5:$G$120="moeda")+(Inputs!$G$5:$G$120="acoes"))*Inputs!$B$1+((Inputs!$G$5:$G$120&lt;&gt;"moeda")*(Inputs!$G$5:$G$120&lt;&gt;"acoes")))*INDEX(Inputs!$K$5:$AJ$120,0,MATCH(AI$2,Inputs!$K$4:$AJ$4,0)))+SUMPRODUCT((Inputs!$C$5:$C$120=$B21)*Inputs!$D$5:$D$120*(((Inputs!$G$5:$G$120="moeda")+(Inputs!$G$5:$G$120="acoes"))*Inputs!$B$1+((Inputs!$G$5:$G$120&lt;&gt;"moeda")*(Inputs!$G$5:$G$120&lt;&gt;"acoes")))*INDEX(Inputs!$K$5:$AJ$120,0,MATCH(AI$2,Inputs!$K$4:$AJ$4,0)))+SUMPRODUCT((Inputs!$E$5:$E$120=$B21)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1" s="267">
        <f>IF(ISNA(MATCH(AJ$2,Inputs!$K$4:$AJ$4,0)),NA(),IF(SUMPRODUCT((Inputs!$A$5:$A$120=$B21)*ISNUMBER(INDEX(Inputs!$K$5:$AJ$120,0,MATCH(AJ$2,Inputs!$K$4:$AJ$4,0))))+SUMPRODUCT((Inputs!$C$5:$C$120=$B21)*ISNUMBER(INDEX(Inputs!$K$5:$AJ$120,0,MATCH(AJ$2,Inputs!$K$4:$AJ$4,0))))+SUMPRODUCT((Inputs!$E$5:$E$120=$B21)*ISNUMBER(INDEX(Inputs!$K$5:$AJ$120,0,MATCH(AJ$2,Inputs!$K$4:$AJ$4,0))))=0,NA(),SUMPRODUCT((Inputs!$A$5:$A$120=$B21)*Inputs!$B$5:$B$120*(((Inputs!$G$5:$G$120="moeda")+(Inputs!$G$5:$G$120="acoes"))*Inputs!$B$1+((Inputs!$G$5:$G$120&lt;&gt;"moeda")*(Inputs!$G$5:$G$120&lt;&gt;"acoes")))*INDEX(Inputs!$K$5:$AJ$120,0,MATCH(AJ$2,Inputs!$K$4:$AJ$4,0)))+SUMPRODUCT((Inputs!$C$5:$C$120=$B21)*Inputs!$D$5:$D$120*(((Inputs!$G$5:$G$120="moeda")+(Inputs!$G$5:$G$120="acoes"))*Inputs!$B$1+((Inputs!$G$5:$G$120&lt;&gt;"moeda")*(Inputs!$G$5:$G$120&lt;&gt;"acoes")))*INDEX(Inputs!$K$5:$AJ$120,0,MATCH(AJ$2,Inputs!$K$4:$AJ$4,0)))+SUMPRODUCT((Inputs!$E$5:$E$120=$B21)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1" s="267">
        <f>IF(ISNA(MATCH(AK$2,Inputs!$K$4:$AJ$4,0)),NA(),IF(SUMPRODUCT((Inputs!$A$5:$A$120=$B21)*ISNUMBER(INDEX(Inputs!$K$5:$AJ$120,0,MATCH(AK$2,Inputs!$K$4:$AJ$4,0))))+SUMPRODUCT((Inputs!$C$5:$C$120=$B21)*ISNUMBER(INDEX(Inputs!$K$5:$AJ$120,0,MATCH(AK$2,Inputs!$K$4:$AJ$4,0))))+SUMPRODUCT((Inputs!$E$5:$E$120=$B21)*ISNUMBER(INDEX(Inputs!$K$5:$AJ$120,0,MATCH(AK$2,Inputs!$K$4:$AJ$4,0))))=0,NA(),SUMPRODUCT((Inputs!$A$5:$A$120=$B21)*Inputs!$B$5:$B$120*(((Inputs!$G$5:$G$120="moeda")+(Inputs!$G$5:$G$120="acoes"))*Inputs!$B$1+((Inputs!$G$5:$G$120&lt;&gt;"moeda")*(Inputs!$G$5:$G$120&lt;&gt;"acoes")))*INDEX(Inputs!$K$5:$AJ$120,0,MATCH(AK$2,Inputs!$K$4:$AJ$4,0)))+SUMPRODUCT((Inputs!$C$5:$C$120=$B21)*Inputs!$D$5:$D$120*(((Inputs!$G$5:$G$120="moeda")+(Inputs!$G$5:$G$120="acoes"))*Inputs!$B$1+((Inputs!$G$5:$G$120&lt;&gt;"moeda")*(Inputs!$G$5:$G$120&lt;&gt;"acoes")))*INDEX(Inputs!$K$5:$AJ$120,0,MATCH(AK$2,Inputs!$K$4:$AJ$4,0)))+SUMPRODUCT((Inputs!$E$5:$E$120=$B21)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1" s="268">
        <f>AK21</f>
        <v>0</v>
      </c>
    </row>
    <row r="22" ht="12.75" customHeight="1" s="255">
      <c r="B22" s="265" t="n">
        <v>18</v>
      </c>
      <c r="C22" s="270" t="inlineStr">
        <is>
          <t>PP&amp;E</t>
        </is>
      </c>
      <c r="D22" s="267">
        <f>IF(ISNA(MATCH(D$2,Inputs!$K$4:$AJ$4,0)),NA(),IF(SUMPRODUCT((Inputs!$A$5:$A$120=$B22)*ISNUMBER(INDEX(Inputs!$K$5:$AJ$120,0,MATCH(D$2,Inputs!$K$4:$AJ$4,0))))+SUMPRODUCT((Inputs!$C$5:$C$120=$B22)*ISNUMBER(INDEX(Inputs!$K$5:$AJ$120,0,MATCH(D$2,Inputs!$K$4:$AJ$4,0))))+SUMPRODUCT((Inputs!$E$5:$E$120=$B22)*ISNUMBER(INDEX(Inputs!$K$5:$AJ$120,0,MATCH(D$2,Inputs!$K$4:$AJ$4,0))))=0,NA(),SUMPRODUCT((Inputs!$A$5:$A$120=$B22)*Inputs!$B$5:$B$120*(((Inputs!$G$5:$G$120="moeda")+(Inputs!$G$5:$G$120="acoes"))*Inputs!$B$1+((Inputs!$G$5:$G$120&lt;&gt;"moeda")*(Inputs!$G$5:$G$120&lt;&gt;"acoes")))*INDEX(Inputs!$K$5:$AJ$120,0,MATCH(D$2,Inputs!$K$4:$AJ$4,0)))+SUMPRODUCT((Inputs!$C$5:$C$120=$B22)*Inputs!$D$5:$D$120*(((Inputs!$G$5:$G$120="moeda")+(Inputs!$G$5:$G$120="acoes"))*Inputs!$B$1+((Inputs!$G$5:$G$120&lt;&gt;"moeda")*(Inputs!$G$5:$G$120&lt;&gt;"acoes")))*INDEX(Inputs!$K$5:$AJ$120,0,MATCH(D$2,Inputs!$K$4:$AJ$4,0)))+SUMPRODUCT((Inputs!$E$5:$E$120=$B22)*Inputs!$F$5:$F$120*(((Inputs!$G$5:$G$120="moeda")+(Inputs!$G$5:$G$120="acoes"))*Inputs!$B$1+((Inputs!$G$5:$G$120&lt;&gt;"moeda")*(Inputs!$G$5:$G$120&lt;&gt;"acoes")))*INDEX(Inputs!$K$5:$AJ$120,0,MATCH(D$2,Inputs!$K$4:$AJ$4,0)))))</f>
        <v>3645</v>
      </c>
      <c r="E22" s="267">
        <f>IF(ISNA(MATCH(E$2,Inputs!$K$4:$AJ$4,0)),NA(),IF(SUMPRODUCT((Inputs!$A$5:$A$120=$B22)*ISNUMBER(INDEX(Inputs!$K$5:$AJ$120,0,MATCH(E$2,Inputs!$K$4:$AJ$4,0))))+SUMPRODUCT((Inputs!$C$5:$C$120=$B22)*ISNUMBER(INDEX(Inputs!$K$5:$AJ$120,0,MATCH(E$2,Inputs!$K$4:$AJ$4,0))))+SUMPRODUCT((Inputs!$E$5:$E$120=$B22)*ISNUMBER(INDEX(Inputs!$K$5:$AJ$120,0,MATCH(E$2,Inputs!$K$4:$AJ$4,0))))=0,NA(),SUMPRODUCT((Inputs!$A$5:$A$120=$B22)*Inputs!$B$5:$B$120*(((Inputs!$G$5:$G$120="moeda")+(Inputs!$G$5:$G$120="acoes"))*Inputs!$B$1+((Inputs!$G$5:$G$120&lt;&gt;"moeda")*(Inputs!$G$5:$G$120&lt;&gt;"acoes")))*INDEX(Inputs!$K$5:$AJ$120,0,MATCH(E$2,Inputs!$K$4:$AJ$4,0)))+SUMPRODUCT((Inputs!$C$5:$C$120=$B22)*Inputs!$D$5:$D$120*(((Inputs!$G$5:$G$120="moeda")+(Inputs!$G$5:$G$120="acoes"))*Inputs!$B$1+((Inputs!$G$5:$G$120&lt;&gt;"moeda")*(Inputs!$G$5:$G$120&lt;&gt;"acoes")))*INDEX(Inputs!$K$5:$AJ$120,0,MATCH(E$2,Inputs!$K$4:$AJ$4,0)))+SUMPRODUCT((Inputs!$E$5:$E$120=$B22)*Inputs!$F$5:$F$120*(((Inputs!$G$5:$G$120="moeda")+(Inputs!$G$5:$G$120="acoes"))*Inputs!$B$1+((Inputs!$G$5:$G$120&lt;&gt;"moeda")*(Inputs!$G$5:$G$120&lt;&gt;"acoes")))*INDEX(Inputs!$K$5:$AJ$120,0,MATCH(E$2,Inputs!$K$4:$AJ$4,0)))))</f>
        <v>3719</v>
      </c>
      <c r="F22" s="267">
        <f>IF(ISNA(MATCH(F$2,Inputs!$K$4:$AJ$4,0)),NA(),IF(SUMPRODUCT((Inputs!$A$5:$A$120=$B22)*ISNUMBER(INDEX(Inputs!$K$5:$AJ$120,0,MATCH(F$2,Inputs!$K$4:$AJ$4,0))))+SUMPRODUCT((Inputs!$C$5:$C$120=$B22)*ISNUMBER(INDEX(Inputs!$K$5:$AJ$120,0,MATCH(F$2,Inputs!$K$4:$AJ$4,0))))+SUMPRODUCT((Inputs!$E$5:$E$120=$B22)*ISNUMBER(INDEX(Inputs!$K$5:$AJ$120,0,MATCH(F$2,Inputs!$K$4:$AJ$4,0))))=0,NA(),SUMPRODUCT((Inputs!$A$5:$A$120=$B22)*Inputs!$B$5:$B$120*(((Inputs!$G$5:$G$120="moeda")+(Inputs!$G$5:$G$120="acoes"))*Inputs!$B$1+((Inputs!$G$5:$G$120&lt;&gt;"moeda")*(Inputs!$G$5:$G$120&lt;&gt;"acoes")))*INDEX(Inputs!$K$5:$AJ$120,0,MATCH(F$2,Inputs!$K$4:$AJ$4,0)))+SUMPRODUCT((Inputs!$C$5:$C$120=$B22)*Inputs!$D$5:$D$120*(((Inputs!$G$5:$G$120="moeda")+(Inputs!$G$5:$G$120="acoes"))*Inputs!$B$1+((Inputs!$G$5:$G$120&lt;&gt;"moeda")*(Inputs!$G$5:$G$120&lt;&gt;"acoes")))*INDEX(Inputs!$K$5:$AJ$120,0,MATCH(F$2,Inputs!$K$4:$AJ$4,0)))+SUMPRODUCT((Inputs!$E$5:$E$120=$B22)*Inputs!$F$5:$F$120*(((Inputs!$G$5:$G$120="moeda")+(Inputs!$G$5:$G$120="acoes"))*Inputs!$B$1+((Inputs!$G$5:$G$120&lt;&gt;"moeda")*(Inputs!$G$5:$G$120&lt;&gt;"acoes")))*INDEX(Inputs!$K$5:$AJ$120,0,MATCH(F$2,Inputs!$K$4:$AJ$4,0)))))</f>
        <v>3658</v>
      </c>
      <c r="G22" s="267">
        <f>IF(ISNA(MATCH(G$2,Inputs!$K$4:$AJ$4,0)),NA(),IF(SUMPRODUCT((Inputs!$A$5:$A$120=$B22)*ISNUMBER(INDEX(Inputs!$K$5:$AJ$120,0,MATCH(G$2,Inputs!$K$4:$AJ$4,0))))+SUMPRODUCT((Inputs!$C$5:$C$120=$B22)*ISNUMBER(INDEX(Inputs!$K$5:$AJ$120,0,MATCH(G$2,Inputs!$K$4:$AJ$4,0))))+SUMPRODUCT((Inputs!$E$5:$E$120=$B22)*ISNUMBER(INDEX(Inputs!$K$5:$AJ$120,0,MATCH(G$2,Inputs!$K$4:$AJ$4,0))))=0,NA(),SUMPRODUCT((Inputs!$A$5:$A$120=$B22)*Inputs!$B$5:$B$120*(((Inputs!$G$5:$G$120="moeda")+(Inputs!$G$5:$G$120="acoes"))*Inputs!$B$1+((Inputs!$G$5:$G$120&lt;&gt;"moeda")*(Inputs!$G$5:$G$120&lt;&gt;"acoes")))*INDEX(Inputs!$K$5:$AJ$120,0,MATCH(G$2,Inputs!$K$4:$AJ$4,0)))+SUMPRODUCT((Inputs!$C$5:$C$120=$B22)*Inputs!$D$5:$D$120*(((Inputs!$G$5:$G$120="moeda")+(Inputs!$G$5:$G$120="acoes"))*Inputs!$B$1+((Inputs!$G$5:$G$120&lt;&gt;"moeda")*(Inputs!$G$5:$G$120&lt;&gt;"acoes")))*INDEX(Inputs!$K$5:$AJ$120,0,MATCH(G$2,Inputs!$K$4:$AJ$4,0)))+SUMPRODUCT((Inputs!$E$5:$E$120=$B22)*Inputs!$F$5:$F$120*(((Inputs!$G$5:$G$120="moeda")+(Inputs!$G$5:$G$120="acoes"))*Inputs!$B$1+((Inputs!$G$5:$G$120&lt;&gt;"moeda")*(Inputs!$G$5:$G$120&lt;&gt;"acoes")))*INDEX(Inputs!$K$5:$AJ$120,0,MATCH(G$2,Inputs!$K$4:$AJ$4,0)))))</f>
        <v>3499</v>
      </c>
      <c r="H22" s="268">
        <f>G22</f>
        <v>3499</v>
      </c>
      <c r="I22" s="267">
        <f>IF(ISNA(MATCH(I$2,Inputs!$K$4:$AJ$4,0)),NA(),IF(SUMPRODUCT((Inputs!$A$5:$A$120=$B22)*ISNUMBER(INDEX(Inputs!$K$5:$AJ$120,0,MATCH(I$2,Inputs!$K$4:$AJ$4,0))))+SUMPRODUCT((Inputs!$C$5:$C$120=$B22)*ISNUMBER(INDEX(Inputs!$K$5:$AJ$120,0,MATCH(I$2,Inputs!$K$4:$AJ$4,0))))+SUMPRODUCT((Inputs!$E$5:$E$120=$B22)*ISNUMBER(INDEX(Inputs!$K$5:$AJ$120,0,MATCH(I$2,Inputs!$K$4:$AJ$4,0))))=0,NA(),SUMPRODUCT((Inputs!$A$5:$A$120=$B22)*Inputs!$B$5:$B$120*(((Inputs!$G$5:$G$120="moeda")+(Inputs!$G$5:$G$120="acoes"))*Inputs!$B$1+((Inputs!$G$5:$G$120&lt;&gt;"moeda")*(Inputs!$G$5:$G$120&lt;&gt;"acoes")))*INDEX(Inputs!$K$5:$AJ$120,0,MATCH(I$2,Inputs!$K$4:$AJ$4,0)))+SUMPRODUCT((Inputs!$C$5:$C$120=$B22)*Inputs!$D$5:$D$120*(((Inputs!$G$5:$G$120="moeda")+(Inputs!$G$5:$G$120="acoes"))*Inputs!$B$1+((Inputs!$G$5:$G$120&lt;&gt;"moeda")*(Inputs!$G$5:$G$120&lt;&gt;"acoes")))*INDEX(Inputs!$K$5:$AJ$120,0,MATCH(I$2,Inputs!$K$4:$AJ$4,0)))+SUMPRODUCT((Inputs!$E$5:$E$120=$B22)*Inputs!$F$5:$F$120*(((Inputs!$G$5:$G$120="moeda")+(Inputs!$G$5:$G$120="acoes"))*Inputs!$B$1+((Inputs!$G$5:$G$120&lt;&gt;"moeda")*(Inputs!$G$5:$G$120&lt;&gt;"acoes")))*INDEX(Inputs!$K$5:$AJ$120,0,MATCH(I$2,Inputs!$K$4:$AJ$4,0)))))</f>
        <v>3561</v>
      </c>
      <c r="J22" s="267">
        <f>IF(ISNA(MATCH(J$2,Inputs!$K$4:$AJ$4,0)),NA(),IF(SUMPRODUCT((Inputs!$A$5:$A$120=$B22)*ISNUMBER(INDEX(Inputs!$K$5:$AJ$120,0,MATCH(J$2,Inputs!$K$4:$AJ$4,0))))+SUMPRODUCT((Inputs!$C$5:$C$120=$B22)*ISNUMBER(INDEX(Inputs!$K$5:$AJ$120,0,MATCH(J$2,Inputs!$K$4:$AJ$4,0))))+SUMPRODUCT((Inputs!$E$5:$E$120=$B22)*ISNUMBER(INDEX(Inputs!$K$5:$AJ$120,0,MATCH(J$2,Inputs!$K$4:$AJ$4,0))))=0,NA(),SUMPRODUCT((Inputs!$A$5:$A$120=$B22)*Inputs!$B$5:$B$120*(((Inputs!$G$5:$G$120="moeda")+(Inputs!$G$5:$G$120="acoes"))*Inputs!$B$1+((Inputs!$G$5:$G$120&lt;&gt;"moeda")*(Inputs!$G$5:$G$120&lt;&gt;"acoes")))*INDEX(Inputs!$K$5:$AJ$120,0,MATCH(J$2,Inputs!$K$4:$AJ$4,0)))+SUMPRODUCT((Inputs!$C$5:$C$120=$B22)*Inputs!$D$5:$D$120*(((Inputs!$G$5:$G$120="moeda")+(Inputs!$G$5:$G$120="acoes"))*Inputs!$B$1+((Inputs!$G$5:$G$120&lt;&gt;"moeda")*(Inputs!$G$5:$G$120&lt;&gt;"acoes")))*INDEX(Inputs!$K$5:$AJ$120,0,MATCH(J$2,Inputs!$K$4:$AJ$4,0)))+SUMPRODUCT((Inputs!$E$5:$E$120=$B22)*Inputs!$F$5:$F$120*(((Inputs!$G$5:$G$120="moeda")+(Inputs!$G$5:$G$120="acoes"))*Inputs!$B$1+((Inputs!$G$5:$G$120&lt;&gt;"moeda")*(Inputs!$G$5:$G$120&lt;&gt;"acoes")))*INDEX(Inputs!$K$5:$AJ$120,0,MATCH(J$2,Inputs!$K$4:$AJ$4,0)))))</f>
        <v>3463</v>
      </c>
      <c r="K22" s="267">
        <f>IF(ISNA(MATCH(K$2,Inputs!$K$4:$AJ$4,0)),NA(),IF(SUMPRODUCT((Inputs!$A$5:$A$120=$B22)*ISNUMBER(INDEX(Inputs!$K$5:$AJ$120,0,MATCH(K$2,Inputs!$K$4:$AJ$4,0))))+SUMPRODUCT((Inputs!$C$5:$C$120=$B22)*ISNUMBER(INDEX(Inputs!$K$5:$AJ$120,0,MATCH(K$2,Inputs!$K$4:$AJ$4,0))))+SUMPRODUCT((Inputs!$E$5:$E$120=$B22)*ISNUMBER(INDEX(Inputs!$K$5:$AJ$120,0,MATCH(K$2,Inputs!$K$4:$AJ$4,0))))=0,NA(),SUMPRODUCT((Inputs!$A$5:$A$120=$B22)*Inputs!$B$5:$B$120*(((Inputs!$G$5:$G$120="moeda")+(Inputs!$G$5:$G$120="acoes"))*Inputs!$B$1+((Inputs!$G$5:$G$120&lt;&gt;"moeda")*(Inputs!$G$5:$G$120&lt;&gt;"acoes")))*INDEX(Inputs!$K$5:$AJ$120,0,MATCH(K$2,Inputs!$K$4:$AJ$4,0)))+SUMPRODUCT((Inputs!$C$5:$C$120=$B22)*Inputs!$D$5:$D$120*(((Inputs!$G$5:$G$120="moeda")+(Inputs!$G$5:$G$120="acoes"))*Inputs!$B$1+((Inputs!$G$5:$G$120&lt;&gt;"moeda")*(Inputs!$G$5:$G$120&lt;&gt;"acoes")))*INDEX(Inputs!$K$5:$AJ$120,0,MATCH(K$2,Inputs!$K$4:$AJ$4,0)))+SUMPRODUCT((Inputs!$E$5:$E$120=$B22)*Inputs!$F$5:$F$120*(((Inputs!$G$5:$G$120="moeda")+(Inputs!$G$5:$G$120="acoes"))*Inputs!$B$1+((Inputs!$G$5:$G$120&lt;&gt;"moeda")*(Inputs!$G$5:$G$120&lt;&gt;"acoes")))*INDEX(Inputs!$K$5:$AJ$120,0,MATCH(K$2,Inputs!$K$4:$AJ$4,0)))))</f>
        <v>3408</v>
      </c>
      <c r="L22" s="267">
        <f>IF(ISNA(MATCH(L$2,Inputs!$K$4:$AJ$4,0)),NA(),IF(SUMPRODUCT((Inputs!$A$5:$A$120=$B22)*ISNUMBER(INDEX(Inputs!$K$5:$AJ$120,0,MATCH(L$2,Inputs!$K$4:$AJ$4,0))))+SUMPRODUCT((Inputs!$C$5:$C$120=$B22)*ISNUMBER(INDEX(Inputs!$K$5:$AJ$120,0,MATCH(L$2,Inputs!$K$4:$AJ$4,0))))+SUMPRODUCT((Inputs!$E$5:$E$120=$B22)*ISNUMBER(INDEX(Inputs!$K$5:$AJ$120,0,MATCH(L$2,Inputs!$K$4:$AJ$4,0))))=0,NA(),SUMPRODUCT((Inputs!$A$5:$A$120=$B22)*Inputs!$B$5:$B$120*(((Inputs!$G$5:$G$120="moeda")+(Inputs!$G$5:$G$120="acoes"))*Inputs!$B$1+((Inputs!$G$5:$G$120&lt;&gt;"moeda")*(Inputs!$G$5:$G$120&lt;&gt;"acoes")))*INDEX(Inputs!$K$5:$AJ$120,0,MATCH(L$2,Inputs!$K$4:$AJ$4,0)))+SUMPRODUCT((Inputs!$C$5:$C$120=$B22)*Inputs!$D$5:$D$120*(((Inputs!$G$5:$G$120="moeda")+(Inputs!$G$5:$G$120="acoes"))*Inputs!$B$1+((Inputs!$G$5:$G$120&lt;&gt;"moeda")*(Inputs!$G$5:$G$120&lt;&gt;"acoes")))*INDEX(Inputs!$K$5:$AJ$120,0,MATCH(L$2,Inputs!$K$4:$AJ$4,0)))+SUMPRODUCT((Inputs!$E$5:$E$120=$B22)*Inputs!$F$5:$F$120*(((Inputs!$G$5:$G$120="moeda")+(Inputs!$G$5:$G$120="acoes"))*Inputs!$B$1+((Inputs!$G$5:$G$120&lt;&gt;"moeda")*(Inputs!$G$5:$G$120&lt;&gt;"acoes")))*INDEX(Inputs!$K$5:$AJ$120,0,MATCH(L$2,Inputs!$K$4:$AJ$4,0)))))</f>
        <v>3617</v>
      </c>
      <c r="M22" s="268">
        <f>L22</f>
        <v>3617</v>
      </c>
      <c r="N22" s="267">
        <f>IF(ISNA(MATCH(N$2,Inputs!$K$4:$AJ$4,0)),NA(),IF(SUMPRODUCT((Inputs!$A$5:$A$120=$B22)*ISNUMBER(INDEX(Inputs!$K$5:$AJ$120,0,MATCH(N$2,Inputs!$K$4:$AJ$4,0))))+SUMPRODUCT((Inputs!$C$5:$C$120=$B22)*ISNUMBER(INDEX(Inputs!$K$5:$AJ$120,0,MATCH(N$2,Inputs!$K$4:$AJ$4,0))))+SUMPRODUCT((Inputs!$E$5:$E$120=$B22)*ISNUMBER(INDEX(Inputs!$K$5:$AJ$120,0,MATCH(N$2,Inputs!$K$4:$AJ$4,0))))=0,NA(),SUMPRODUCT((Inputs!$A$5:$A$120=$B22)*Inputs!$B$5:$B$120*(((Inputs!$G$5:$G$120="moeda")+(Inputs!$G$5:$G$120="acoes"))*Inputs!$B$1+((Inputs!$G$5:$G$120&lt;&gt;"moeda")*(Inputs!$G$5:$G$120&lt;&gt;"acoes")))*INDEX(Inputs!$K$5:$AJ$120,0,MATCH(N$2,Inputs!$K$4:$AJ$4,0)))+SUMPRODUCT((Inputs!$C$5:$C$120=$B22)*Inputs!$D$5:$D$120*(((Inputs!$G$5:$G$120="moeda")+(Inputs!$G$5:$G$120="acoes"))*Inputs!$B$1+((Inputs!$G$5:$G$120&lt;&gt;"moeda")*(Inputs!$G$5:$G$120&lt;&gt;"acoes")))*INDEX(Inputs!$K$5:$AJ$120,0,MATCH(N$2,Inputs!$K$4:$AJ$4,0)))+SUMPRODUCT((Inputs!$E$5:$E$120=$B22)*Inputs!$F$5:$F$120*(((Inputs!$G$5:$G$120="moeda")+(Inputs!$G$5:$G$120="acoes"))*Inputs!$B$1+((Inputs!$G$5:$G$120&lt;&gt;"moeda")*(Inputs!$G$5:$G$120&lt;&gt;"acoes")))*INDEX(Inputs!$K$5:$AJ$120,0,MATCH(N$2,Inputs!$K$4:$AJ$4,0)))))</f>
        <v>3731</v>
      </c>
      <c r="O22" s="267">
        <f>IF(ISNA(MATCH(O$2,Inputs!$K$4:$AJ$4,0)),NA(),IF(SUMPRODUCT((Inputs!$A$5:$A$120=$B22)*ISNUMBER(INDEX(Inputs!$K$5:$AJ$120,0,MATCH(O$2,Inputs!$K$4:$AJ$4,0))))+SUMPRODUCT((Inputs!$C$5:$C$120=$B22)*ISNUMBER(INDEX(Inputs!$K$5:$AJ$120,0,MATCH(O$2,Inputs!$K$4:$AJ$4,0))))+SUMPRODUCT((Inputs!$E$5:$E$120=$B22)*ISNUMBER(INDEX(Inputs!$K$5:$AJ$120,0,MATCH(O$2,Inputs!$K$4:$AJ$4,0))))=0,NA(),SUMPRODUCT((Inputs!$A$5:$A$120=$B22)*Inputs!$B$5:$B$120*(((Inputs!$G$5:$G$120="moeda")+(Inputs!$G$5:$G$120="acoes"))*Inputs!$B$1+((Inputs!$G$5:$G$120&lt;&gt;"moeda")*(Inputs!$G$5:$G$120&lt;&gt;"acoes")))*INDEX(Inputs!$K$5:$AJ$120,0,MATCH(O$2,Inputs!$K$4:$AJ$4,0)))+SUMPRODUCT((Inputs!$C$5:$C$120=$B22)*Inputs!$D$5:$D$120*(((Inputs!$G$5:$G$120="moeda")+(Inputs!$G$5:$G$120="acoes"))*Inputs!$B$1+((Inputs!$G$5:$G$120&lt;&gt;"moeda")*(Inputs!$G$5:$G$120&lt;&gt;"acoes")))*INDEX(Inputs!$K$5:$AJ$120,0,MATCH(O$2,Inputs!$K$4:$AJ$4,0)))+SUMPRODUCT((Inputs!$E$5:$E$120=$B22)*Inputs!$F$5:$F$120*(((Inputs!$G$5:$G$120="moeda")+(Inputs!$G$5:$G$120="acoes"))*Inputs!$B$1+((Inputs!$G$5:$G$120&lt;&gt;"moeda")*(Inputs!$G$5:$G$120&lt;&gt;"acoes")))*INDEX(Inputs!$K$5:$AJ$120,0,MATCH(O$2,Inputs!$K$4:$AJ$4,0)))))</f>
        <v>4152</v>
      </c>
      <c r="P22" s="267">
        <f>IF(ISNA(MATCH(P$2,Inputs!$K$4:$AJ$4,0)),NA(),IF(SUMPRODUCT((Inputs!$A$5:$A$120=$B22)*ISNUMBER(INDEX(Inputs!$K$5:$AJ$120,0,MATCH(P$2,Inputs!$K$4:$AJ$4,0))))+SUMPRODUCT((Inputs!$C$5:$C$120=$B22)*ISNUMBER(INDEX(Inputs!$K$5:$AJ$120,0,MATCH(P$2,Inputs!$K$4:$AJ$4,0))))+SUMPRODUCT((Inputs!$E$5:$E$120=$B22)*ISNUMBER(INDEX(Inputs!$K$5:$AJ$120,0,MATCH(P$2,Inputs!$K$4:$AJ$4,0))))=0,NA(),SUMPRODUCT((Inputs!$A$5:$A$120=$B22)*Inputs!$B$5:$B$120*(((Inputs!$G$5:$G$120="moeda")+(Inputs!$G$5:$G$120="acoes"))*Inputs!$B$1+((Inputs!$G$5:$G$120&lt;&gt;"moeda")*(Inputs!$G$5:$G$120&lt;&gt;"acoes")))*INDEX(Inputs!$K$5:$AJ$120,0,MATCH(P$2,Inputs!$K$4:$AJ$4,0)))+SUMPRODUCT((Inputs!$C$5:$C$120=$B22)*Inputs!$D$5:$D$120*(((Inputs!$G$5:$G$120="moeda")+(Inputs!$G$5:$G$120="acoes"))*Inputs!$B$1+((Inputs!$G$5:$G$120&lt;&gt;"moeda")*(Inputs!$G$5:$G$120&lt;&gt;"acoes")))*INDEX(Inputs!$K$5:$AJ$120,0,MATCH(P$2,Inputs!$K$4:$AJ$4,0)))+SUMPRODUCT((Inputs!$E$5:$E$120=$B22)*Inputs!$F$5:$F$120*(((Inputs!$G$5:$G$120="moeda")+(Inputs!$G$5:$G$120="acoes"))*Inputs!$B$1+((Inputs!$G$5:$G$120&lt;&gt;"moeda")*(Inputs!$G$5:$G$120&lt;&gt;"acoes")))*INDEX(Inputs!$K$5:$AJ$120,0,MATCH(P$2,Inputs!$K$4:$AJ$4,0)))))</f>
        <v>4283</v>
      </c>
      <c r="Q22" s="267">
        <f>IF(ISNA(MATCH(Q$2,Inputs!$K$4:$AJ$4,0)),NA(),IF(SUMPRODUCT((Inputs!$A$5:$A$120=$B22)*ISNUMBER(INDEX(Inputs!$K$5:$AJ$120,0,MATCH(Q$2,Inputs!$K$4:$AJ$4,0))))+SUMPRODUCT((Inputs!$C$5:$C$120=$B22)*ISNUMBER(INDEX(Inputs!$K$5:$AJ$120,0,MATCH(Q$2,Inputs!$K$4:$AJ$4,0))))+SUMPRODUCT((Inputs!$E$5:$E$120=$B22)*ISNUMBER(INDEX(Inputs!$K$5:$AJ$120,0,MATCH(Q$2,Inputs!$K$4:$AJ$4,0))))=0,NA(),SUMPRODUCT((Inputs!$A$5:$A$120=$B22)*Inputs!$B$5:$B$120*(((Inputs!$G$5:$G$120="moeda")+(Inputs!$G$5:$G$120="acoes"))*Inputs!$B$1+((Inputs!$G$5:$G$120&lt;&gt;"moeda")*(Inputs!$G$5:$G$120&lt;&gt;"acoes")))*INDEX(Inputs!$K$5:$AJ$120,0,MATCH(Q$2,Inputs!$K$4:$AJ$4,0)))+SUMPRODUCT((Inputs!$C$5:$C$120=$B22)*Inputs!$D$5:$D$120*(((Inputs!$G$5:$G$120="moeda")+(Inputs!$G$5:$G$120="acoes"))*Inputs!$B$1+((Inputs!$G$5:$G$120&lt;&gt;"moeda")*(Inputs!$G$5:$G$120&lt;&gt;"acoes")))*INDEX(Inputs!$K$5:$AJ$120,0,MATCH(Q$2,Inputs!$K$4:$AJ$4,0)))+SUMPRODUCT((Inputs!$E$5:$E$120=$B22)*Inputs!$F$5:$F$120*(((Inputs!$G$5:$G$120="moeda")+(Inputs!$G$5:$G$120="acoes"))*Inputs!$B$1+((Inputs!$G$5:$G$120&lt;&gt;"moeda")*(Inputs!$G$5:$G$120&lt;&gt;"acoes")))*INDEX(Inputs!$K$5:$AJ$120,0,MATCH(Q$2,Inputs!$K$4:$AJ$4,0)))))</f>
        <v>4541</v>
      </c>
      <c r="R22" s="268">
        <f>Q22</f>
        <v>4541</v>
      </c>
      <c r="S22" s="267">
        <f>IF(ISNA(MATCH(S$2,Inputs!$K$4:$AJ$4,0)),NA(),IF(SUMPRODUCT((Inputs!$A$5:$A$120=$B22)*ISNUMBER(INDEX(Inputs!$K$5:$AJ$120,0,MATCH(S$2,Inputs!$K$4:$AJ$4,0))))+SUMPRODUCT((Inputs!$C$5:$C$120=$B22)*ISNUMBER(INDEX(Inputs!$K$5:$AJ$120,0,MATCH(S$2,Inputs!$K$4:$AJ$4,0))))+SUMPRODUCT((Inputs!$E$5:$E$120=$B22)*ISNUMBER(INDEX(Inputs!$K$5:$AJ$120,0,MATCH(S$2,Inputs!$K$4:$AJ$4,0))))=0,NA(),SUMPRODUCT((Inputs!$A$5:$A$120=$B22)*Inputs!$B$5:$B$120*(((Inputs!$G$5:$G$120="moeda")+(Inputs!$G$5:$G$120="acoes"))*Inputs!$B$1+((Inputs!$G$5:$G$120&lt;&gt;"moeda")*(Inputs!$G$5:$G$120&lt;&gt;"acoes")))*INDEX(Inputs!$K$5:$AJ$120,0,MATCH(S$2,Inputs!$K$4:$AJ$4,0)))+SUMPRODUCT((Inputs!$C$5:$C$120=$B22)*Inputs!$D$5:$D$120*(((Inputs!$G$5:$G$120="moeda")+(Inputs!$G$5:$G$120="acoes"))*Inputs!$B$1+((Inputs!$G$5:$G$120&lt;&gt;"moeda")*(Inputs!$G$5:$G$120&lt;&gt;"acoes")))*INDEX(Inputs!$K$5:$AJ$120,0,MATCH(S$2,Inputs!$K$4:$AJ$4,0)))+SUMPRODUCT((Inputs!$E$5:$E$120=$B22)*Inputs!$F$5:$F$120*(((Inputs!$G$5:$G$120="moeda")+(Inputs!$G$5:$G$120="acoes"))*Inputs!$B$1+((Inputs!$G$5:$G$120&lt;&gt;"moeda")*(Inputs!$G$5:$G$120&lt;&gt;"acoes")))*INDEX(Inputs!$K$5:$AJ$120,0,MATCH(S$2,Inputs!$K$4:$AJ$4,0)))))</f>
        <v>4620</v>
      </c>
      <c r="T22" s="267">
        <f>IF(ISNA(MATCH(T$2,Inputs!$K$4:$AJ$4,0)),NA(),IF(SUMPRODUCT((Inputs!$A$5:$A$120=$B22)*ISNUMBER(INDEX(Inputs!$K$5:$AJ$120,0,MATCH(T$2,Inputs!$K$4:$AJ$4,0))))+SUMPRODUCT((Inputs!$C$5:$C$120=$B22)*ISNUMBER(INDEX(Inputs!$K$5:$AJ$120,0,MATCH(T$2,Inputs!$K$4:$AJ$4,0))))+SUMPRODUCT((Inputs!$E$5:$E$120=$B22)*ISNUMBER(INDEX(Inputs!$K$5:$AJ$120,0,MATCH(T$2,Inputs!$K$4:$AJ$4,0))))=0,NA(),SUMPRODUCT((Inputs!$A$5:$A$120=$B22)*Inputs!$B$5:$B$120*(((Inputs!$G$5:$G$120="moeda")+(Inputs!$G$5:$G$120="acoes"))*Inputs!$B$1+((Inputs!$G$5:$G$120&lt;&gt;"moeda")*(Inputs!$G$5:$G$120&lt;&gt;"acoes")))*INDEX(Inputs!$K$5:$AJ$120,0,MATCH(T$2,Inputs!$K$4:$AJ$4,0)))+SUMPRODUCT((Inputs!$C$5:$C$120=$B22)*Inputs!$D$5:$D$120*(((Inputs!$G$5:$G$120="moeda")+(Inputs!$G$5:$G$120="acoes"))*Inputs!$B$1+((Inputs!$G$5:$G$120&lt;&gt;"moeda")*(Inputs!$G$5:$G$120&lt;&gt;"acoes")))*INDEX(Inputs!$K$5:$AJ$120,0,MATCH(T$2,Inputs!$K$4:$AJ$4,0)))+SUMPRODUCT((Inputs!$E$5:$E$120=$B22)*Inputs!$F$5:$F$120*(((Inputs!$G$5:$G$120="moeda")+(Inputs!$G$5:$G$120="acoes"))*Inputs!$B$1+((Inputs!$G$5:$G$120&lt;&gt;"moeda")*(Inputs!$G$5:$G$120&lt;&gt;"acoes")))*INDEX(Inputs!$K$5:$AJ$120,0,MATCH(T$2,Inputs!$K$4:$AJ$4,0)))))</f>
        <v>4751</v>
      </c>
      <c r="U22" s="267">
        <f>IF(ISNA(MATCH(U$2,Inputs!$K$4:$AJ$4,0)),NA(),IF(SUMPRODUCT((Inputs!$A$5:$A$120=$B22)*ISNUMBER(INDEX(Inputs!$K$5:$AJ$120,0,MATCH(U$2,Inputs!$K$4:$AJ$4,0))))+SUMPRODUCT((Inputs!$C$5:$C$120=$B22)*ISNUMBER(INDEX(Inputs!$K$5:$AJ$120,0,MATCH(U$2,Inputs!$K$4:$AJ$4,0))))+SUMPRODUCT((Inputs!$E$5:$E$120=$B22)*ISNUMBER(INDEX(Inputs!$K$5:$AJ$120,0,MATCH(U$2,Inputs!$K$4:$AJ$4,0))))=0,NA(),SUMPRODUCT((Inputs!$A$5:$A$120=$B22)*Inputs!$B$5:$B$120*(((Inputs!$G$5:$G$120="moeda")+(Inputs!$G$5:$G$120="acoes"))*Inputs!$B$1+((Inputs!$G$5:$G$120&lt;&gt;"moeda")*(Inputs!$G$5:$G$120&lt;&gt;"acoes")))*INDEX(Inputs!$K$5:$AJ$120,0,MATCH(U$2,Inputs!$K$4:$AJ$4,0)))+SUMPRODUCT((Inputs!$C$5:$C$120=$B22)*Inputs!$D$5:$D$120*(((Inputs!$G$5:$G$120="moeda")+(Inputs!$G$5:$G$120="acoes"))*Inputs!$B$1+((Inputs!$G$5:$G$120&lt;&gt;"moeda")*(Inputs!$G$5:$G$120&lt;&gt;"acoes")))*INDEX(Inputs!$K$5:$AJ$120,0,MATCH(U$2,Inputs!$K$4:$AJ$4,0)))+SUMPRODUCT((Inputs!$E$5:$E$120=$B22)*Inputs!$F$5:$F$120*(((Inputs!$G$5:$G$120="moeda")+(Inputs!$G$5:$G$120="acoes"))*Inputs!$B$1+((Inputs!$G$5:$G$120&lt;&gt;"moeda")*(Inputs!$G$5:$G$120&lt;&gt;"acoes")))*INDEX(Inputs!$K$5:$AJ$120,0,MATCH(U$2,Inputs!$K$4:$AJ$4,0)))))</f>
        <v>5115</v>
      </c>
      <c r="V22" s="267">
        <f>IF(ISNA(MATCH(V$2,Inputs!$K$4:$AJ$4,0)),NA(),IF(SUMPRODUCT((Inputs!$A$5:$A$120=$B22)*ISNUMBER(INDEX(Inputs!$K$5:$AJ$120,0,MATCH(V$2,Inputs!$K$4:$AJ$4,0))))+SUMPRODUCT((Inputs!$C$5:$C$120=$B22)*ISNUMBER(INDEX(Inputs!$K$5:$AJ$120,0,MATCH(V$2,Inputs!$K$4:$AJ$4,0))))+SUMPRODUCT((Inputs!$E$5:$E$120=$B22)*ISNUMBER(INDEX(Inputs!$K$5:$AJ$120,0,MATCH(V$2,Inputs!$K$4:$AJ$4,0))))=0,NA(),SUMPRODUCT((Inputs!$A$5:$A$120=$B22)*Inputs!$B$5:$B$120*(((Inputs!$G$5:$G$120="moeda")+(Inputs!$G$5:$G$120="acoes"))*Inputs!$B$1+((Inputs!$G$5:$G$120&lt;&gt;"moeda")*(Inputs!$G$5:$G$120&lt;&gt;"acoes")))*INDEX(Inputs!$K$5:$AJ$120,0,MATCH(V$2,Inputs!$K$4:$AJ$4,0)))+SUMPRODUCT((Inputs!$C$5:$C$120=$B22)*Inputs!$D$5:$D$120*(((Inputs!$G$5:$G$120="moeda")+(Inputs!$G$5:$G$120="acoes"))*Inputs!$B$1+((Inputs!$G$5:$G$120&lt;&gt;"moeda")*(Inputs!$G$5:$G$120&lt;&gt;"acoes")))*INDEX(Inputs!$K$5:$AJ$120,0,MATCH(V$2,Inputs!$K$4:$AJ$4,0)))+SUMPRODUCT((Inputs!$E$5:$E$120=$B22)*Inputs!$F$5:$F$120*(((Inputs!$G$5:$G$120="moeda")+(Inputs!$G$5:$G$120="acoes"))*Inputs!$B$1+((Inputs!$G$5:$G$120&lt;&gt;"moeda")*(Inputs!$G$5:$G$120&lt;&gt;"acoes")))*INDEX(Inputs!$K$5:$AJ$120,0,MATCH(V$2,Inputs!$K$4:$AJ$4,0)))))</f>
        <v>5254</v>
      </c>
      <c r="W22" s="268">
        <f>V22</f>
        <v>5254</v>
      </c>
      <c r="X22" s="267">
        <f>IF(ISNA(MATCH(X$2,Inputs!$K$4:$AJ$4,0)),NA(),IF(SUMPRODUCT((Inputs!$A$5:$A$120=$B22)*ISNUMBER(INDEX(Inputs!$K$5:$AJ$120,0,MATCH(X$2,Inputs!$K$4:$AJ$4,0))))+SUMPRODUCT((Inputs!$C$5:$C$120=$B22)*ISNUMBER(INDEX(Inputs!$K$5:$AJ$120,0,MATCH(X$2,Inputs!$K$4:$AJ$4,0))))+SUMPRODUCT((Inputs!$E$5:$E$120=$B22)*ISNUMBER(INDEX(Inputs!$K$5:$AJ$120,0,MATCH(X$2,Inputs!$K$4:$AJ$4,0))))=0,NA(),SUMPRODUCT((Inputs!$A$5:$A$120=$B22)*Inputs!$B$5:$B$120*(((Inputs!$G$5:$G$120="moeda")+(Inputs!$G$5:$G$120="acoes"))*Inputs!$B$1+((Inputs!$G$5:$G$120&lt;&gt;"moeda")*(Inputs!$G$5:$G$120&lt;&gt;"acoes")))*INDEX(Inputs!$K$5:$AJ$120,0,MATCH(X$2,Inputs!$K$4:$AJ$4,0)))+SUMPRODUCT((Inputs!$C$5:$C$120=$B22)*Inputs!$D$5:$D$120*(((Inputs!$G$5:$G$120="moeda")+(Inputs!$G$5:$G$120="acoes"))*Inputs!$B$1+((Inputs!$G$5:$G$120&lt;&gt;"moeda")*(Inputs!$G$5:$G$120&lt;&gt;"acoes")))*INDEX(Inputs!$K$5:$AJ$120,0,MATCH(X$2,Inputs!$K$4:$AJ$4,0)))+SUMPRODUCT((Inputs!$E$5:$E$120=$B22)*Inputs!$F$5:$F$120*(((Inputs!$G$5:$G$120="moeda")+(Inputs!$G$5:$G$120="acoes"))*Inputs!$B$1+((Inputs!$G$5:$G$120&lt;&gt;"moeda")*(Inputs!$G$5:$G$120&lt;&gt;"acoes")))*INDEX(Inputs!$K$5:$AJ$120,0,MATCH(X$2,Inputs!$K$4:$AJ$4,0)))))</f>
        <v>5511</v>
      </c>
      <c r="Y22" s="267">
        <f>IF(ISNA(MATCH(Y$2,Inputs!$K$4:$AJ$4,0)),NA(),IF(SUMPRODUCT((Inputs!$A$5:$A$120=$B22)*ISNUMBER(INDEX(Inputs!$K$5:$AJ$120,0,MATCH(Y$2,Inputs!$K$4:$AJ$4,0))))+SUMPRODUCT((Inputs!$C$5:$C$120=$B22)*ISNUMBER(INDEX(Inputs!$K$5:$AJ$120,0,MATCH(Y$2,Inputs!$K$4:$AJ$4,0))))+SUMPRODUCT((Inputs!$E$5:$E$120=$B22)*ISNUMBER(INDEX(Inputs!$K$5:$AJ$120,0,MATCH(Y$2,Inputs!$K$4:$AJ$4,0))))=0,NA(),SUMPRODUCT((Inputs!$A$5:$A$120=$B22)*Inputs!$B$5:$B$120*(((Inputs!$G$5:$G$120="moeda")+(Inputs!$G$5:$G$120="acoes"))*Inputs!$B$1+((Inputs!$G$5:$G$120&lt;&gt;"moeda")*(Inputs!$G$5:$G$120&lt;&gt;"acoes")))*INDEX(Inputs!$K$5:$AJ$120,0,MATCH(Y$2,Inputs!$K$4:$AJ$4,0)))+SUMPRODUCT((Inputs!$C$5:$C$120=$B22)*Inputs!$D$5:$D$120*(((Inputs!$G$5:$G$120="moeda")+(Inputs!$G$5:$G$120="acoes"))*Inputs!$B$1+((Inputs!$G$5:$G$120&lt;&gt;"moeda")*(Inputs!$G$5:$G$120&lt;&gt;"acoes")))*INDEX(Inputs!$K$5:$AJ$120,0,MATCH(Y$2,Inputs!$K$4:$AJ$4,0)))+SUMPRODUCT((Inputs!$E$5:$E$120=$B22)*Inputs!$F$5:$F$120*(((Inputs!$G$5:$G$120="moeda")+(Inputs!$G$5:$G$120="acoes"))*Inputs!$B$1+((Inputs!$G$5:$G$120&lt;&gt;"moeda")*(Inputs!$G$5:$G$120&lt;&gt;"acoes")))*INDEX(Inputs!$K$5:$AJ$120,0,MATCH(Y$2,Inputs!$K$4:$AJ$4,0)))))</f>
        <v>5828</v>
      </c>
      <c r="Z22" s="267">
        <f>IF(ISNA(MATCH(Z$2,Inputs!$K$4:$AJ$4,0)),NA(),IF(SUMPRODUCT((Inputs!$A$5:$A$120=$B22)*ISNUMBER(INDEX(Inputs!$K$5:$AJ$120,0,MATCH(Z$2,Inputs!$K$4:$AJ$4,0))))+SUMPRODUCT((Inputs!$C$5:$C$120=$B22)*ISNUMBER(INDEX(Inputs!$K$5:$AJ$120,0,MATCH(Z$2,Inputs!$K$4:$AJ$4,0))))+SUMPRODUCT((Inputs!$E$5:$E$120=$B22)*ISNUMBER(INDEX(Inputs!$K$5:$AJ$120,0,MATCH(Z$2,Inputs!$K$4:$AJ$4,0))))=0,NA(),SUMPRODUCT((Inputs!$A$5:$A$120=$B22)*Inputs!$B$5:$B$120*(((Inputs!$G$5:$G$120="moeda")+(Inputs!$G$5:$G$120="acoes"))*Inputs!$B$1+((Inputs!$G$5:$G$120&lt;&gt;"moeda")*(Inputs!$G$5:$G$120&lt;&gt;"acoes")))*INDEX(Inputs!$K$5:$AJ$120,0,MATCH(Z$2,Inputs!$K$4:$AJ$4,0)))+SUMPRODUCT((Inputs!$C$5:$C$120=$B22)*Inputs!$D$5:$D$120*(((Inputs!$G$5:$G$120="moeda")+(Inputs!$G$5:$G$120="acoes"))*Inputs!$B$1+((Inputs!$G$5:$G$120&lt;&gt;"moeda")*(Inputs!$G$5:$G$120&lt;&gt;"acoes")))*INDEX(Inputs!$K$5:$AJ$120,0,MATCH(Z$2,Inputs!$K$4:$AJ$4,0)))+SUMPRODUCT((Inputs!$E$5:$E$120=$B22)*Inputs!$F$5:$F$120*(((Inputs!$G$5:$G$120="moeda")+(Inputs!$G$5:$G$120="acoes"))*Inputs!$B$1+((Inputs!$G$5:$G$120&lt;&gt;"moeda")*(Inputs!$G$5:$G$120&lt;&gt;"acoes")))*INDEX(Inputs!$K$5:$AJ$120,0,MATCH(Z$2,Inputs!$K$4:$AJ$4,0)))))</f>
        <v>11550</v>
      </c>
      <c r="AA22" s="267">
        <f>IF(ISNA(MATCH(AA$2,Inputs!$K$4:$AJ$4,0)),NA(),IF(SUMPRODUCT((Inputs!$A$5:$A$120=$B22)*ISNUMBER(INDEX(Inputs!$K$5:$AJ$120,0,MATCH(AA$2,Inputs!$K$4:$AJ$4,0))))+SUMPRODUCT((Inputs!$C$5:$C$120=$B22)*ISNUMBER(INDEX(Inputs!$K$5:$AJ$120,0,MATCH(AA$2,Inputs!$K$4:$AJ$4,0))))+SUMPRODUCT((Inputs!$E$5:$E$120=$B22)*ISNUMBER(INDEX(Inputs!$K$5:$AJ$120,0,MATCH(AA$2,Inputs!$K$4:$AJ$4,0))))=0,NA(),SUMPRODUCT((Inputs!$A$5:$A$120=$B22)*Inputs!$B$5:$B$120*(((Inputs!$G$5:$G$120="moeda")+(Inputs!$G$5:$G$120="acoes"))*Inputs!$B$1+((Inputs!$G$5:$G$120&lt;&gt;"moeda")*(Inputs!$G$5:$G$120&lt;&gt;"acoes")))*INDEX(Inputs!$K$5:$AJ$120,0,MATCH(AA$2,Inputs!$K$4:$AJ$4,0)))+SUMPRODUCT((Inputs!$C$5:$C$120=$B22)*Inputs!$D$5:$D$120*(((Inputs!$G$5:$G$120="moeda")+(Inputs!$G$5:$G$120="acoes"))*Inputs!$B$1+((Inputs!$G$5:$G$120&lt;&gt;"moeda")*(Inputs!$G$5:$G$120&lt;&gt;"acoes")))*INDEX(Inputs!$K$5:$AJ$120,0,MATCH(AA$2,Inputs!$K$4:$AJ$4,0)))+SUMPRODUCT((Inputs!$E$5:$E$120=$B22)*Inputs!$F$5:$F$120*(((Inputs!$G$5:$G$120="moeda")+(Inputs!$G$5:$G$120="acoes"))*Inputs!$B$1+((Inputs!$G$5:$G$120&lt;&gt;"moeda")*(Inputs!$G$5:$G$120&lt;&gt;"acoes")))*INDEX(Inputs!$K$5:$AJ$120,0,MATCH(AA$2,Inputs!$K$4:$AJ$4,0)))))</f>
        <v>11678</v>
      </c>
      <c r="AB22" s="268">
        <f>AA22</f>
        <v>11678</v>
      </c>
      <c r="AC22" s="267">
        <f>IF(ISNA(MATCH(AC$2,Inputs!$K$4:$AJ$4,0)),NA(),IF(SUMPRODUCT((Inputs!$A$5:$A$120=$B22)*ISNUMBER(INDEX(Inputs!$K$5:$AJ$120,0,MATCH(AC$2,Inputs!$K$4:$AJ$4,0))))+SUMPRODUCT((Inputs!$C$5:$C$120=$B22)*ISNUMBER(INDEX(Inputs!$K$5:$AJ$120,0,MATCH(AC$2,Inputs!$K$4:$AJ$4,0))))+SUMPRODUCT((Inputs!$E$5:$E$120=$B22)*ISNUMBER(INDEX(Inputs!$K$5:$AJ$120,0,MATCH(AC$2,Inputs!$K$4:$AJ$4,0))))=0,NA(),SUMPRODUCT((Inputs!$A$5:$A$120=$B22)*Inputs!$B$5:$B$120*(((Inputs!$G$5:$G$120="moeda")+(Inputs!$G$5:$G$120="acoes"))*Inputs!$B$1+((Inputs!$G$5:$G$120&lt;&gt;"moeda")*(Inputs!$G$5:$G$120&lt;&gt;"acoes")))*INDEX(Inputs!$K$5:$AJ$120,0,MATCH(AC$2,Inputs!$K$4:$AJ$4,0)))+SUMPRODUCT((Inputs!$C$5:$C$120=$B22)*Inputs!$D$5:$D$120*(((Inputs!$G$5:$G$120="moeda")+(Inputs!$G$5:$G$120="acoes"))*Inputs!$B$1+((Inputs!$G$5:$G$120&lt;&gt;"moeda")*(Inputs!$G$5:$G$120&lt;&gt;"acoes")))*INDEX(Inputs!$K$5:$AJ$120,0,MATCH(AC$2,Inputs!$K$4:$AJ$4,0)))+SUMPRODUCT((Inputs!$E$5:$E$120=$B22)*Inputs!$F$5:$F$120*(((Inputs!$G$5:$G$120="moeda")+(Inputs!$G$5:$G$120="acoes"))*Inputs!$B$1+((Inputs!$G$5:$G$120&lt;&gt;"moeda")*(Inputs!$G$5:$G$120&lt;&gt;"acoes")))*INDEX(Inputs!$K$5:$AJ$120,0,MATCH(AC$2,Inputs!$K$4:$AJ$4,0)))))</f>
        <v>11877</v>
      </c>
      <c r="AD22" s="267">
        <f>IF(ISNA(MATCH(AD$2,Inputs!$K$4:$AJ$4,0)),NA(),IF(SUMPRODUCT((Inputs!$A$5:$A$120=$B22)*ISNUMBER(INDEX(Inputs!$K$5:$AJ$120,0,MATCH(AD$2,Inputs!$K$4:$AJ$4,0))))+SUMPRODUCT((Inputs!$C$5:$C$120=$B22)*ISNUMBER(INDEX(Inputs!$K$5:$AJ$120,0,MATCH(AD$2,Inputs!$K$4:$AJ$4,0))))+SUMPRODUCT((Inputs!$E$5:$E$120=$B22)*ISNUMBER(INDEX(Inputs!$K$5:$AJ$120,0,MATCH(AD$2,Inputs!$K$4:$AJ$4,0))))=0,NA(),SUMPRODUCT((Inputs!$A$5:$A$120=$B22)*Inputs!$B$5:$B$120*(((Inputs!$G$5:$G$120="moeda")+(Inputs!$G$5:$G$120="acoes"))*Inputs!$B$1+((Inputs!$G$5:$G$120&lt;&gt;"moeda")*(Inputs!$G$5:$G$120&lt;&gt;"acoes")))*INDEX(Inputs!$K$5:$AJ$120,0,MATCH(AD$2,Inputs!$K$4:$AJ$4,0)))+SUMPRODUCT((Inputs!$C$5:$C$120=$B22)*Inputs!$D$5:$D$120*(((Inputs!$G$5:$G$120="moeda")+(Inputs!$G$5:$G$120="acoes"))*Inputs!$B$1+((Inputs!$G$5:$G$120&lt;&gt;"moeda")*(Inputs!$G$5:$G$120&lt;&gt;"acoes")))*INDEX(Inputs!$K$5:$AJ$120,0,MATCH(AD$2,Inputs!$K$4:$AJ$4,0)))+SUMPRODUCT((Inputs!$E$5:$E$120=$B22)*Inputs!$F$5:$F$120*(((Inputs!$G$5:$G$120="moeda")+(Inputs!$G$5:$G$120="acoes"))*Inputs!$B$1+((Inputs!$G$5:$G$120&lt;&gt;"moeda")*(Inputs!$G$5:$G$120&lt;&gt;"acoes")))*INDEX(Inputs!$K$5:$AJ$120,0,MATCH(AD$2,Inputs!$K$4:$AJ$4,0)))))</f>
        <v>11945</v>
      </c>
      <c r="AE22" s="267" t="e">
        <f>IF(ISNA(MATCH(AE$2,Inputs!$K$4:$AJ$4,0)),NA(),IF(SUMPRODUCT((Inputs!$A$5:$A$120=$B22)*ISNUMBER(INDEX(Inputs!$K$5:$AJ$120,0,MATCH(AE$2,Inputs!$K$4:$AJ$4,0))))+SUMPRODUCT((Inputs!$C$5:$C$120=$B22)*ISNUMBER(INDEX(Inputs!$K$5:$AJ$120,0,MATCH(AE$2,Inputs!$K$4:$AJ$4,0))))+SUMPRODUCT((Inputs!$E$5:$E$120=$B22)*ISNUMBER(INDEX(Inputs!$K$5:$AJ$120,0,MATCH(AE$2,Inputs!$K$4:$AJ$4,0))))=0,NA(),SUMPRODUCT((Inputs!$A$5:$A$120=$B22)*Inputs!$B$5:$B$120*(((Inputs!$G$5:$G$120="moeda")+(Inputs!$G$5:$G$120="acoes"))*Inputs!$B$1+((Inputs!$G$5:$G$120&lt;&gt;"moeda")*(Inputs!$G$5:$G$120&lt;&gt;"acoes")))*INDEX(Inputs!$K$5:$AJ$120,0,MATCH(AE$2,Inputs!$K$4:$AJ$4,0)))+SUMPRODUCT((Inputs!$C$5:$C$120=$B22)*Inputs!$D$5:$D$120*(((Inputs!$G$5:$G$120="moeda")+(Inputs!$G$5:$G$120="acoes"))*Inputs!$B$1+((Inputs!$G$5:$G$120&lt;&gt;"moeda")*(Inputs!$G$5:$G$120&lt;&gt;"acoes")))*INDEX(Inputs!$K$5:$AJ$120,0,MATCH(AE$2,Inputs!$K$4:$AJ$4,0)))+SUMPRODUCT((Inputs!$E$5:$E$120=$B22)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2" s="267" t="e">
        <f>IF(ISNA(MATCH(AF$2,Inputs!$K$4:$AJ$4,0)),NA(),IF(SUMPRODUCT((Inputs!$A$5:$A$120=$B22)*ISNUMBER(INDEX(Inputs!$K$5:$AJ$120,0,MATCH(AF$2,Inputs!$K$4:$AJ$4,0))))+SUMPRODUCT((Inputs!$C$5:$C$120=$B22)*ISNUMBER(INDEX(Inputs!$K$5:$AJ$120,0,MATCH(AF$2,Inputs!$K$4:$AJ$4,0))))+SUMPRODUCT((Inputs!$E$5:$E$120=$B22)*ISNUMBER(INDEX(Inputs!$K$5:$AJ$120,0,MATCH(AF$2,Inputs!$K$4:$AJ$4,0))))=0,NA(),SUMPRODUCT((Inputs!$A$5:$A$120=$B22)*Inputs!$B$5:$B$120*(((Inputs!$G$5:$G$120="moeda")+(Inputs!$G$5:$G$120="acoes"))*Inputs!$B$1+((Inputs!$G$5:$G$120&lt;&gt;"moeda")*(Inputs!$G$5:$G$120&lt;&gt;"acoes")))*INDEX(Inputs!$K$5:$AJ$120,0,MATCH(AF$2,Inputs!$K$4:$AJ$4,0)))+SUMPRODUCT((Inputs!$C$5:$C$120=$B22)*Inputs!$D$5:$D$120*(((Inputs!$G$5:$G$120="moeda")+(Inputs!$G$5:$G$120="acoes"))*Inputs!$B$1+((Inputs!$G$5:$G$120&lt;&gt;"moeda")*(Inputs!$G$5:$G$120&lt;&gt;"acoes")))*INDEX(Inputs!$K$5:$AJ$120,0,MATCH(AF$2,Inputs!$K$4:$AJ$4,0)))+SUMPRODUCT((Inputs!$E$5:$E$120=$B22)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2" s="268" t="e">
        <f>AF22</f>
        <v>#N/A</v>
      </c>
      <c r="AH22" s="267">
        <f>IF(ISNA(MATCH(AH$2,Inputs!$K$4:$AJ$4,0)),NA(),IF(SUMPRODUCT((Inputs!$A$5:$A$120=$B22)*ISNUMBER(INDEX(Inputs!$K$5:$AJ$120,0,MATCH(AH$2,Inputs!$K$4:$AJ$4,0))))+SUMPRODUCT((Inputs!$C$5:$C$120=$B22)*ISNUMBER(INDEX(Inputs!$K$5:$AJ$120,0,MATCH(AH$2,Inputs!$K$4:$AJ$4,0))))+SUMPRODUCT((Inputs!$E$5:$E$120=$B22)*ISNUMBER(INDEX(Inputs!$K$5:$AJ$120,0,MATCH(AH$2,Inputs!$K$4:$AJ$4,0))))=0,NA(),SUMPRODUCT((Inputs!$A$5:$A$120=$B22)*Inputs!$B$5:$B$120*(((Inputs!$G$5:$G$120="moeda")+(Inputs!$G$5:$G$120="acoes"))*Inputs!$B$1+((Inputs!$G$5:$G$120&lt;&gt;"moeda")*(Inputs!$G$5:$G$120&lt;&gt;"acoes")))*INDEX(Inputs!$K$5:$AJ$120,0,MATCH(AH$2,Inputs!$K$4:$AJ$4,0)))+SUMPRODUCT((Inputs!$C$5:$C$120=$B22)*Inputs!$D$5:$D$120*(((Inputs!$G$5:$G$120="moeda")+(Inputs!$G$5:$G$120="acoes"))*Inputs!$B$1+((Inputs!$G$5:$G$120&lt;&gt;"moeda")*(Inputs!$G$5:$G$120&lt;&gt;"acoes")))*INDEX(Inputs!$K$5:$AJ$120,0,MATCH(AH$2,Inputs!$K$4:$AJ$4,0)))+SUMPRODUCT((Inputs!$E$5:$E$120=$B22)*Inputs!$F$5:$F$120*(((Inputs!$G$5:$G$120="moeda")+(Inputs!$G$5:$G$120="acoes"))*Inputs!$B$1+((Inputs!$G$5:$G$120&lt;&gt;"moeda")*(Inputs!$G$5:$G$120&lt;&gt;"acoes")))*INDEX(Inputs!$K$5:$AJ$120,0,MATCH(AH$2,Inputs!$K$4:$AJ$4,0)))))</f>
        <v>3830</v>
      </c>
      <c r="AI22" s="267">
        <f>IF(ISNA(MATCH(AI$2,Inputs!$K$4:$AJ$4,0)),NA(),IF(SUMPRODUCT((Inputs!$A$5:$A$120=$B22)*ISNUMBER(INDEX(Inputs!$K$5:$AJ$120,0,MATCH(AI$2,Inputs!$K$4:$AJ$4,0))))+SUMPRODUCT((Inputs!$C$5:$C$120=$B22)*ISNUMBER(INDEX(Inputs!$K$5:$AJ$120,0,MATCH(AI$2,Inputs!$K$4:$AJ$4,0))))+SUMPRODUCT((Inputs!$E$5:$E$120=$B22)*ISNUMBER(INDEX(Inputs!$K$5:$AJ$120,0,MATCH(AI$2,Inputs!$K$4:$AJ$4,0))))=0,NA(),SUMPRODUCT((Inputs!$A$5:$A$120=$B22)*Inputs!$B$5:$B$120*(((Inputs!$G$5:$G$120="moeda")+(Inputs!$G$5:$G$120="acoes"))*Inputs!$B$1+((Inputs!$G$5:$G$120&lt;&gt;"moeda")*(Inputs!$G$5:$G$120&lt;&gt;"acoes")))*INDEX(Inputs!$K$5:$AJ$120,0,MATCH(AI$2,Inputs!$K$4:$AJ$4,0)))+SUMPRODUCT((Inputs!$C$5:$C$120=$B22)*Inputs!$D$5:$D$120*(((Inputs!$G$5:$G$120="moeda")+(Inputs!$G$5:$G$120="acoes"))*Inputs!$B$1+((Inputs!$G$5:$G$120&lt;&gt;"moeda")*(Inputs!$G$5:$G$120&lt;&gt;"acoes")))*INDEX(Inputs!$K$5:$AJ$120,0,MATCH(AI$2,Inputs!$K$4:$AJ$4,0)))+SUMPRODUCT((Inputs!$E$5:$E$120=$B22)*Inputs!$F$5:$F$120*(((Inputs!$G$5:$G$120="moeda")+(Inputs!$G$5:$G$120="acoes"))*Inputs!$B$1+((Inputs!$G$5:$G$120&lt;&gt;"moeda")*(Inputs!$G$5:$G$120&lt;&gt;"acoes")))*INDEX(Inputs!$K$5:$AJ$120,0,MATCH(AI$2,Inputs!$K$4:$AJ$4,0)))))</f>
        <v>3714</v>
      </c>
      <c r="AJ22" s="267">
        <f>IF(ISNA(MATCH(AJ$2,Inputs!$K$4:$AJ$4,0)),NA(),IF(SUMPRODUCT((Inputs!$A$5:$A$120=$B22)*ISNUMBER(INDEX(Inputs!$K$5:$AJ$120,0,MATCH(AJ$2,Inputs!$K$4:$AJ$4,0))))+SUMPRODUCT((Inputs!$C$5:$C$120=$B22)*ISNUMBER(INDEX(Inputs!$K$5:$AJ$120,0,MATCH(AJ$2,Inputs!$K$4:$AJ$4,0))))+SUMPRODUCT((Inputs!$E$5:$E$120=$B22)*ISNUMBER(INDEX(Inputs!$K$5:$AJ$120,0,MATCH(AJ$2,Inputs!$K$4:$AJ$4,0))))=0,NA(),SUMPRODUCT((Inputs!$A$5:$A$120=$B22)*Inputs!$B$5:$B$120*(((Inputs!$G$5:$G$120="moeda")+(Inputs!$G$5:$G$120="acoes"))*Inputs!$B$1+((Inputs!$G$5:$G$120&lt;&gt;"moeda")*(Inputs!$G$5:$G$120&lt;&gt;"acoes")))*INDEX(Inputs!$K$5:$AJ$120,0,MATCH(AJ$2,Inputs!$K$4:$AJ$4,0)))+SUMPRODUCT((Inputs!$C$5:$C$120=$B22)*Inputs!$D$5:$D$120*(((Inputs!$G$5:$G$120="moeda")+(Inputs!$G$5:$G$120="acoes"))*Inputs!$B$1+((Inputs!$G$5:$G$120&lt;&gt;"moeda")*(Inputs!$G$5:$G$120&lt;&gt;"acoes")))*INDEX(Inputs!$K$5:$AJ$120,0,MATCH(AJ$2,Inputs!$K$4:$AJ$4,0)))+SUMPRODUCT((Inputs!$E$5:$E$120=$B22)*Inputs!$F$5:$F$120*(((Inputs!$G$5:$G$120="moeda")+(Inputs!$G$5:$G$120="acoes"))*Inputs!$B$1+((Inputs!$G$5:$G$120&lt;&gt;"moeda")*(Inputs!$G$5:$G$120&lt;&gt;"acoes")))*INDEX(Inputs!$K$5:$AJ$120,0,MATCH(AJ$2,Inputs!$K$4:$AJ$4,0)))))</f>
        <v>3720</v>
      </c>
      <c r="AK22" s="267">
        <f>IF(ISNA(MATCH(AK$2,Inputs!$K$4:$AJ$4,0)),NA(),IF(SUMPRODUCT((Inputs!$A$5:$A$120=$B22)*ISNUMBER(INDEX(Inputs!$K$5:$AJ$120,0,MATCH(AK$2,Inputs!$K$4:$AJ$4,0))))+SUMPRODUCT((Inputs!$C$5:$C$120=$B22)*ISNUMBER(INDEX(Inputs!$K$5:$AJ$120,0,MATCH(AK$2,Inputs!$K$4:$AJ$4,0))))+SUMPRODUCT((Inputs!$E$5:$E$120=$B22)*ISNUMBER(INDEX(Inputs!$K$5:$AJ$120,0,MATCH(AK$2,Inputs!$K$4:$AJ$4,0))))=0,NA(),SUMPRODUCT((Inputs!$A$5:$A$120=$B22)*Inputs!$B$5:$B$120*(((Inputs!$G$5:$G$120="moeda")+(Inputs!$G$5:$G$120="acoes"))*Inputs!$B$1+((Inputs!$G$5:$G$120&lt;&gt;"moeda")*(Inputs!$G$5:$G$120&lt;&gt;"acoes")))*INDEX(Inputs!$K$5:$AJ$120,0,MATCH(AK$2,Inputs!$K$4:$AJ$4,0)))+SUMPRODUCT((Inputs!$C$5:$C$120=$B22)*Inputs!$D$5:$D$120*(((Inputs!$G$5:$G$120="moeda")+(Inputs!$G$5:$G$120="acoes"))*Inputs!$B$1+((Inputs!$G$5:$G$120&lt;&gt;"moeda")*(Inputs!$G$5:$G$120&lt;&gt;"acoes")))*INDEX(Inputs!$K$5:$AJ$120,0,MATCH(AK$2,Inputs!$K$4:$AJ$4,0)))+SUMPRODUCT((Inputs!$E$5:$E$120=$B22)*Inputs!$F$5:$F$120*(((Inputs!$G$5:$G$120="moeda")+(Inputs!$G$5:$G$120="acoes"))*Inputs!$B$1+((Inputs!$G$5:$G$120&lt;&gt;"moeda")*(Inputs!$G$5:$G$120&lt;&gt;"acoes")))*INDEX(Inputs!$K$5:$AJ$120,0,MATCH(AK$2,Inputs!$K$4:$AJ$4,0)))))</f>
        <v>3775</v>
      </c>
      <c r="AL22" s="268">
        <f>AK22</f>
        <v>3775</v>
      </c>
    </row>
    <row r="23" ht="12.75" customHeight="1" s="255">
      <c r="B23" s="265" t="n">
        <v>19</v>
      </c>
      <c r="C23" s="270" t="inlineStr">
        <is>
          <t>Right-of-use-assets</t>
        </is>
      </c>
      <c r="D23" s="267">
        <f>IF(ISNA(MATCH(D$2,Inputs!$K$4:$AJ$4,0)),NA(),IF(SUMPRODUCT((Inputs!$A$5:$A$120=$B23)*ISNUMBER(INDEX(Inputs!$K$5:$AJ$120,0,MATCH(D$2,Inputs!$K$4:$AJ$4,0))))+SUMPRODUCT((Inputs!$C$5:$C$120=$B23)*ISNUMBER(INDEX(Inputs!$K$5:$AJ$120,0,MATCH(D$2,Inputs!$K$4:$AJ$4,0))))+SUMPRODUCT((Inputs!$E$5:$E$120=$B23)*ISNUMBER(INDEX(Inputs!$K$5:$AJ$120,0,MATCH(D$2,Inputs!$K$4:$AJ$4,0))))=0,NA(),SUMPRODUCT((Inputs!$A$5:$A$120=$B23)*Inputs!$B$5:$B$120*(((Inputs!$G$5:$G$120="moeda")+(Inputs!$G$5:$G$120="acoes"))*Inputs!$B$1+((Inputs!$G$5:$G$120&lt;&gt;"moeda")*(Inputs!$G$5:$G$120&lt;&gt;"acoes")))*INDEX(Inputs!$K$5:$AJ$120,0,MATCH(D$2,Inputs!$K$4:$AJ$4,0)))+SUMPRODUCT((Inputs!$C$5:$C$120=$B23)*Inputs!$D$5:$D$120*(((Inputs!$G$5:$G$120="moeda")+(Inputs!$G$5:$G$120="acoes"))*Inputs!$B$1+((Inputs!$G$5:$G$120&lt;&gt;"moeda")*(Inputs!$G$5:$G$120&lt;&gt;"acoes")))*INDEX(Inputs!$K$5:$AJ$120,0,MATCH(D$2,Inputs!$K$4:$AJ$4,0)))+SUMPRODUCT((Inputs!$E$5:$E$120=$B23)*Inputs!$F$5:$F$120*(((Inputs!$G$5:$G$120="moeda")+(Inputs!$G$5:$G$120="acoes"))*Inputs!$B$1+((Inputs!$G$5:$G$120&lt;&gt;"moeda")*(Inputs!$G$5:$G$120&lt;&gt;"acoes")))*INDEX(Inputs!$K$5:$AJ$120,0,MATCH(D$2,Inputs!$K$4:$AJ$4,0)))))</f>
        <v>852</v>
      </c>
      <c r="E23" s="267">
        <f>IF(ISNA(MATCH(E$2,Inputs!$K$4:$AJ$4,0)),NA(),IF(SUMPRODUCT((Inputs!$A$5:$A$120=$B23)*ISNUMBER(INDEX(Inputs!$K$5:$AJ$120,0,MATCH(E$2,Inputs!$K$4:$AJ$4,0))))+SUMPRODUCT((Inputs!$C$5:$C$120=$B23)*ISNUMBER(INDEX(Inputs!$K$5:$AJ$120,0,MATCH(E$2,Inputs!$K$4:$AJ$4,0))))+SUMPRODUCT((Inputs!$E$5:$E$120=$B23)*ISNUMBER(INDEX(Inputs!$K$5:$AJ$120,0,MATCH(E$2,Inputs!$K$4:$AJ$4,0))))=0,NA(),SUMPRODUCT((Inputs!$A$5:$A$120=$B23)*Inputs!$B$5:$B$120*(((Inputs!$G$5:$G$120="moeda")+(Inputs!$G$5:$G$120="acoes"))*Inputs!$B$1+((Inputs!$G$5:$G$120&lt;&gt;"moeda")*(Inputs!$G$5:$G$120&lt;&gt;"acoes")))*INDEX(Inputs!$K$5:$AJ$120,0,MATCH(E$2,Inputs!$K$4:$AJ$4,0)))+SUMPRODUCT((Inputs!$C$5:$C$120=$B23)*Inputs!$D$5:$D$120*(((Inputs!$G$5:$G$120="moeda")+(Inputs!$G$5:$G$120="acoes"))*Inputs!$B$1+((Inputs!$G$5:$G$120&lt;&gt;"moeda")*(Inputs!$G$5:$G$120&lt;&gt;"acoes")))*INDEX(Inputs!$K$5:$AJ$120,0,MATCH(E$2,Inputs!$K$4:$AJ$4,0)))+SUMPRODUCT((Inputs!$E$5:$E$120=$B23)*Inputs!$F$5:$F$120*(((Inputs!$G$5:$G$120="moeda")+(Inputs!$G$5:$G$120="acoes"))*Inputs!$B$1+((Inputs!$G$5:$G$120&lt;&gt;"moeda")*(Inputs!$G$5:$G$120&lt;&gt;"acoes")))*INDEX(Inputs!$K$5:$AJ$120,0,MATCH(E$2,Inputs!$K$4:$AJ$4,0)))))</f>
        <v>858</v>
      </c>
      <c r="F23" s="267">
        <f>IF(ISNA(MATCH(F$2,Inputs!$K$4:$AJ$4,0)),NA(),IF(SUMPRODUCT((Inputs!$A$5:$A$120=$B23)*ISNUMBER(INDEX(Inputs!$K$5:$AJ$120,0,MATCH(F$2,Inputs!$K$4:$AJ$4,0))))+SUMPRODUCT((Inputs!$C$5:$C$120=$B23)*ISNUMBER(INDEX(Inputs!$K$5:$AJ$120,0,MATCH(F$2,Inputs!$K$4:$AJ$4,0))))+SUMPRODUCT((Inputs!$E$5:$E$120=$B23)*ISNUMBER(INDEX(Inputs!$K$5:$AJ$120,0,MATCH(F$2,Inputs!$K$4:$AJ$4,0))))=0,NA(),SUMPRODUCT((Inputs!$A$5:$A$120=$B23)*Inputs!$B$5:$B$120*(((Inputs!$G$5:$G$120="moeda")+(Inputs!$G$5:$G$120="acoes"))*Inputs!$B$1+((Inputs!$G$5:$G$120&lt;&gt;"moeda")*(Inputs!$G$5:$G$120&lt;&gt;"acoes")))*INDEX(Inputs!$K$5:$AJ$120,0,MATCH(F$2,Inputs!$K$4:$AJ$4,0)))+SUMPRODUCT((Inputs!$C$5:$C$120=$B23)*Inputs!$D$5:$D$120*(((Inputs!$G$5:$G$120="moeda")+(Inputs!$G$5:$G$120="acoes"))*Inputs!$B$1+((Inputs!$G$5:$G$120&lt;&gt;"moeda")*(Inputs!$G$5:$G$120&lt;&gt;"acoes")))*INDEX(Inputs!$K$5:$AJ$120,0,MATCH(F$2,Inputs!$K$4:$AJ$4,0)))+SUMPRODUCT((Inputs!$E$5:$E$120=$B23)*Inputs!$F$5:$F$120*(((Inputs!$G$5:$G$120="moeda")+(Inputs!$G$5:$G$120="acoes"))*Inputs!$B$1+((Inputs!$G$5:$G$120&lt;&gt;"moeda")*(Inputs!$G$5:$G$120&lt;&gt;"acoes")))*INDEX(Inputs!$K$5:$AJ$120,0,MATCH(F$2,Inputs!$K$4:$AJ$4,0)))))</f>
        <v>910</v>
      </c>
      <c r="G23" s="267">
        <f>IF(ISNA(MATCH(G$2,Inputs!$K$4:$AJ$4,0)),NA(),IF(SUMPRODUCT((Inputs!$A$5:$A$120=$B23)*ISNUMBER(INDEX(Inputs!$K$5:$AJ$120,0,MATCH(G$2,Inputs!$K$4:$AJ$4,0))))+SUMPRODUCT((Inputs!$C$5:$C$120=$B23)*ISNUMBER(INDEX(Inputs!$K$5:$AJ$120,0,MATCH(G$2,Inputs!$K$4:$AJ$4,0))))+SUMPRODUCT((Inputs!$E$5:$E$120=$B23)*ISNUMBER(INDEX(Inputs!$K$5:$AJ$120,0,MATCH(G$2,Inputs!$K$4:$AJ$4,0))))=0,NA(),SUMPRODUCT((Inputs!$A$5:$A$120=$B23)*Inputs!$B$5:$B$120*(((Inputs!$G$5:$G$120="moeda")+(Inputs!$G$5:$G$120="acoes"))*Inputs!$B$1+((Inputs!$G$5:$G$120&lt;&gt;"moeda")*(Inputs!$G$5:$G$120&lt;&gt;"acoes")))*INDEX(Inputs!$K$5:$AJ$120,0,MATCH(G$2,Inputs!$K$4:$AJ$4,0)))+SUMPRODUCT((Inputs!$C$5:$C$120=$B23)*Inputs!$D$5:$D$120*(((Inputs!$G$5:$G$120="moeda")+(Inputs!$G$5:$G$120="acoes"))*Inputs!$B$1+((Inputs!$G$5:$G$120&lt;&gt;"moeda")*(Inputs!$G$5:$G$120&lt;&gt;"acoes")))*INDEX(Inputs!$K$5:$AJ$120,0,MATCH(G$2,Inputs!$K$4:$AJ$4,0)))+SUMPRODUCT((Inputs!$E$5:$E$120=$B23)*Inputs!$F$5:$F$120*(((Inputs!$G$5:$G$120="moeda")+(Inputs!$G$5:$G$120="acoes"))*Inputs!$B$1+((Inputs!$G$5:$G$120&lt;&gt;"moeda")*(Inputs!$G$5:$G$120&lt;&gt;"acoes")))*INDEX(Inputs!$K$5:$AJ$120,0,MATCH(G$2,Inputs!$K$4:$AJ$4,0)))))</f>
        <v>912</v>
      </c>
      <c r="H23" s="268">
        <f>G23</f>
        <v>912</v>
      </c>
      <c r="I23" s="267">
        <f>IF(ISNA(MATCH(I$2,Inputs!$K$4:$AJ$4,0)),NA(),IF(SUMPRODUCT((Inputs!$A$5:$A$120=$B23)*ISNUMBER(INDEX(Inputs!$K$5:$AJ$120,0,MATCH(I$2,Inputs!$K$4:$AJ$4,0))))+SUMPRODUCT((Inputs!$C$5:$C$120=$B23)*ISNUMBER(INDEX(Inputs!$K$5:$AJ$120,0,MATCH(I$2,Inputs!$K$4:$AJ$4,0))))+SUMPRODUCT((Inputs!$E$5:$E$120=$B23)*ISNUMBER(INDEX(Inputs!$K$5:$AJ$120,0,MATCH(I$2,Inputs!$K$4:$AJ$4,0))))=0,NA(),SUMPRODUCT((Inputs!$A$5:$A$120=$B23)*Inputs!$B$5:$B$120*(((Inputs!$G$5:$G$120="moeda")+(Inputs!$G$5:$G$120="acoes"))*Inputs!$B$1+((Inputs!$G$5:$G$120&lt;&gt;"moeda")*(Inputs!$G$5:$G$120&lt;&gt;"acoes")))*INDEX(Inputs!$K$5:$AJ$120,0,MATCH(I$2,Inputs!$K$4:$AJ$4,0)))+SUMPRODUCT((Inputs!$C$5:$C$120=$B23)*Inputs!$D$5:$D$120*(((Inputs!$G$5:$G$120="moeda")+(Inputs!$G$5:$G$120="acoes"))*Inputs!$B$1+((Inputs!$G$5:$G$120&lt;&gt;"moeda")*(Inputs!$G$5:$G$120&lt;&gt;"acoes")))*INDEX(Inputs!$K$5:$AJ$120,0,MATCH(I$2,Inputs!$K$4:$AJ$4,0)))+SUMPRODUCT((Inputs!$E$5:$E$120=$B23)*Inputs!$F$5:$F$120*(((Inputs!$G$5:$G$120="moeda")+(Inputs!$G$5:$G$120="acoes"))*Inputs!$B$1+((Inputs!$G$5:$G$120&lt;&gt;"moeda")*(Inputs!$G$5:$G$120&lt;&gt;"acoes")))*INDEX(Inputs!$K$5:$AJ$120,0,MATCH(I$2,Inputs!$K$4:$AJ$4,0)))))</f>
        <v>994</v>
      </c>
      <c r="J23" s="267">
        <f>IF(ISNA(MATCH(J$2,Inputs!$K$4:$AJ$4,0)),NA(),IF(SUMPRODUCT((Inputs!$A$5:$A$120=$B23)*ISNUMBER(INDEX(Inputs!$K$5:$AJ$120,0,MATCH(J$2,Inputs!$K$4:$AJ$4,0))))+SUMPRODUCT((Inputs!$C$5:$C$120=$B23)*ISNUMBER(INDEX(Inputs!$K$5:$AJ$120,0,MATCH(J$2,Inputs!$K$4:$AJ$4,0))))+SUMPRODUCT((Inputs!$E$5:$E$120=$B23)*ISNUMBER(INDEX(Inputs!$K$5:$AJ$120,0,MATCH(J$2,Inputs!$K$4:$AJ$4,0))))=0,NA(),SUMPRODUCT((Inputs!$A$5:$A$120=$B23)*Inputs!$B$5:$B$120*(((Inputs!$G$5:$G$120="moeda")+(Inputs!$G$5:$G$120="acoes"))*Inputs!$B$1+((Inputs!$G$5:$G$120&lt;&gt;"moeda")*(Inputs!$G$5:$G$120&lt;&gt;"acoes")))*INDEX(Inputs!$K$5:$AJ$120,0,MATCH(J$2,Inputs!$K$4:$AJ$4,0)))+SUMPRODUCT((Inputs!$C$5:$C$120=$B23)*Inputs!$D$5:$D$120*(((Inputs!$G$5:$G$120="moeda")+(Inputs!$G$5:$G$120="acoes"))*Inputs!$B$1+((Inputs!$G$5:$G$120&lt;&gt;"moeda")*(Inputs!$G$5:$G$120&lt;&gt;"acoes")))*INDEX(Inputs!$K$5:$AJ$120,0,MATCH(J$2,Inputs!$K$4:$AJ$4,0)))+SUMPRODUCT((Inputs!$E$5:$E$120=$B23)*Inputs!$F$5:$F$120*(((Inputs!$G$5:$G$120="moeda")+(Inputs!$G$5:$G$120="acoes"))*Inputs!$B$1+((Inputs!$G$5:$G$120&lt;&gt;"moeda")*(Inputs!$G$5:$G$120&lt;&gt;"acoes")))*INDEX(Inputs!$K$5:$AJ$120,0,MATCH(J$2,Inputs!$K$4:$AJ$4,0)))))</f>
        <v>1038</v>
      </c>
      <c r="K23" s="267">
        <f>IF(ISNA(MATCH(K$2,Inputs!$K$4:$AJ$4,0)),NA(),IF(SUMPRODUCT((Inputs!$A$5:$A$120=$B23)*ISNUMBER(INDEX(Inputs!$K$5:$AJ$120,0,MATCH(K$2,Inputs!$K$4:$AJ$4,0))))+SUMPRODUCT((Inputs!$C$5:$C$120=$B23)*ISNUMBER(INDEX(Inputs!$K$5:$AJ$120,0,MATCH(K$2,Inputs!$K$4:$AJ$4,0))))+SUMPRODUCT((Inputs!$E$5:$E$120=$B23)*ISNUMBER(INDEX(Inputs!$K$5:$AJ$120,0,MATCH(K$2,Inputs!$K$4:$AJ$4,0))))=0,NA(),SUMPRODUCT((Inputs!$A$5:$A$120=$B23)*Inputs!$B$5:$B$120*(((Inputs!$G$5:$G$120="moeda")+(Inputs!$G$5:$G$120="acoes"))*Inputs!$B$1+((Inputs!$G$5:$G$120&lt;&gt;"moeda")*(Inputs!$G$5:$G$120&lt;&gt;"acoes")))*INDEX(Inputs!$K$5:$AJ$120,0,MATCH(K$2,Inputs!$K$4:$AJ$4,0)))+SUMPRODUCT((Inputs!$C$5:$C$120=$B23)*Inputs!$D$5:$D$120*(((Inputs!$G$5:$G$120="moeda")+(Inputs!$G$5:$G$120="acoes"))*Inputs!$B$1+((Inputs!$G$5:$G$120&lt;&gt;"moeda")*(Inputs!$G$5:$G$120&lt;&gt;"acoes")))*INDEX(Inputs!$K$5:$AJ$120,0,MATCH(K$2,Inputs!$K$4:$AJ$4,0)))+SUMPRODUCT((Inputs!$E$5:$E$120=$B23)*Inputs!$F$5:$F$120*(((Inputs!$G$5:$G$120="moeda")+(Inputs!$G$5:$G$120="acoes"))*Inputs!$B$1+((Inputs!$G$5:$G$120&lt;&gt;"moeda")*(Inputs!$G$5:$G$120&lt;&gt;"acoes")))*INDEX(Inputs!$K$5:$AJ$120,0,MATCH(K$2,Inputs!$K$4:$AJ$4,0)))))</f>
        <v>1091</v>
      </c>
      <c r="L23" s="267">
        <f>IF(ISNA(MATCH(L$2,Inputs!$K$4:$AJ$4,0)),NA(),IF(SUMPRODUCT((Inputs!$A$5:$A$120=$B23)*ISNUMBER(INDEX(Inputs!$K$5:$AJ$120,0,MATCH(L$2,Inputs!$K$4:$AJ$4,0))))+SUMPRODUCT((Inputs!$C$5:$C$120=$B23)*ISNUMBER(INDEX(Inputs!$K$5:$AJ$120,0,MATCH(L$2,Inputs!$K$4:$AJ$4,0))))+SUMPRODUCT((Inputs!$E$5:$E$120=$B23)*ISNUMBER(INDEX(Inputs!$K$5:$AJ$120,0,MATCH(L$2,Inputs!$K$4:$AJ$4,0))))=0,NA(),SUMPRODUCT((Inputs!$A$5:$A$120=$B23)*Inputs!$B$5:$B$120*(((Inputs!$G$5:$G$120="moeda")+(Inputs!$G$5:$G$120="acoes"))*Inputs!$B$1+((Inputs!$G$5:$G$120&lt;&gt;"moeda")*(Inputs!$G$5:$G$120&lt;&gt;"acoes")))*INDEX(Inputs!$K$5:$AJ$120,0,MATCH(L$2,Inputs!$K$4:$AJ$4,0)))+SUMPRODUCT((Inputs!$C$5:$C$120=$B23)*Inputs!$D$5:$D$120*(((Inputs!$G$5:$G$120="moeda")+(Inputs!$G$5:$G$120="acoes"))*Inputs!$B$1+((Inputs!$G$5:$G$120&lt;&gt;"moeda")*(Inputs!$G$5:$G$120&lt;&gt;"acoes")))*INDEX(Inputs!$K$5:$AJ$120,0,MATCH(L$2,Inputs!$K$4:$AJ$4,0)))+SUMPRODUCT((Inputs!$E$5:$E$120=$B23)*Inputs!$F$5:$F$120*(((Inputs!$G$5:$G$120="moeda")+(Inputs!$G$5:$G$120="acoes"))*Inputs!$B$1+((Inputs!$G$5:$G$120&lt;&gt;"moeda")*(Inputs!$G$5:$G$120&lt;&gt;"acoes")))*INDEX(Inputs!$K$5:$AJ$120,0,MATCH(L$2,Inputs!$K$4:$AJ$4,0)))))</f>
        <v>1024</v>
      </c>
      <c r="M23" s="268">
        <f>L23</f>
        <v>1024</v>
      </c>
      <c r="N23" s="267">
        <f>IF(ISNA(MATCH(N$2,Inputs!$K$4:$AJ$4,0)),NA(),IF(SUMPRODUCT((Inputs!$A$5:$A$120=$B23)*ISNUMBER(INDEX(Inputs!$K$5:$AJ$120,0,MATCH(N$2,Inputs!$K$4:$AJ$4,0))))+SUMPRODUCT((Inputs!$C$5:$C$120=$B23)*ISNUMBER(INDEX(Inputs!$K$5:$AJ$120,0,MATCH(N$2,Inputs!$K$4:$AJ$4,0))))+SUMPRODUCT((Inputs!$E$5:$E$120=$B23)*ISNUMBER(INDEX(Inputs!$K$5:$AJ$120,0,MATCH(N$2,Inputs!$K$4:$AJ$4,0))))=0,NA(),SUMPRODUCT((Inputs!$A$5:$A$120=$B23)*Inputs!$B$5:$B$120*(((Inputs!$G$5:$G$120="moeda")+(Inputs!$G$5:$G$120="acoes"))*Inputs!$B$1+((Inputs!$G$5:$G$120&lt;&gt;"moeda")*(Inputs!$G$5:$G$120&lt;&gt;"acoes")))*INDEX(Inputs!$K$5:$AJ$120,0,MATCH(N$2,Inputs!$K$4:$AJ$4,0)))+SUMPRODUCT((Inputs!$C$5:$C$120=$B23)*Inputs!$D$5:$D$120*(((Inputs!$G$5:$G$120="moeda")+(Inputs!$G$5:$G$120="acoes"))*Inputs!$B$1+((Inputs!$G$5:$G$120&lt;&gt;"moeda")*(Inputs!$G$5:$G$120&lt;&gt;"acoes")))*INDEX(Inputs!$K$5:$AJ$120,0,MATCH(N$2,Inputs!$K$4:$AJ$4,0)))+SUMPRODUCT((Inputs!$E$5:$E$120=$B23)*Inputs!$F$5:$F$120*(((Inputs!$G$5:$G$120="moeda")+(Inputs!$G$5:$G$120="acoes"))*Inputs!$B$1+((Inputs!$G$5:$G$120&lt;&gt;"moeda")*(Inputs!$G$5:$G$120&lt;&gt;"acoes")))*INDEX(Inputs!$K$5:$AJ$120,0,MATCH(N$2,Inputs!$K$4:$AJ$4,0)))))</f>
        <v>953</v>
      </c>
      <c r="O23" s="267">
        <f>IF(ISNA(MATCH(O$2,Inputs!$K$4:$AJ$4,0)),NA(),IF(SUMPRODUCT((Inputs!$A$5:$A$120=$B23)*ISNUMBER(INDEX(Inputs!$K$5:$AJ$120,0,MATCH(O$2,Inputs!$K$4:$AJ$4,0))))+SUMPRODUCT((Inputs!$C$5:$C$120=$B23)*ISNUMBER(INDEX(Inputs!$K$5:$AJ$120,0,MATCH(O$2,Inputs!$K$4:$AJ$4,0))))+SUMPRODUCT((Inputs!$E$5:$E$120=$B23)*ISNUMBER(INDEX(Inputs!$K$5:$AJ$120,0,MATCH(O$2,Inputs!$K$4:$AJ$4,0))))=0,NA(),SUMPRODUCT((Inputs!$A$5:$A$120=$B23)*Inputs!$B$5:$B$120*(((Inputs!$G$5:$G$120="moeda")+(Inputs!$G$5:$G$120="acoes"))*Inputs!$B$1+((Inputs!$G$5:$G$120&lt;&gt;"moeda")*(Inputs!$G$5:$G$120&lt;&gt;"acoes")))*INDEX(Inputs!$K$5:$AJ$120,0,MATCH(O$2,Inputs!$K$4:$AJ$4,0)))+SUMPRODUCT((Inputs!$C$5:$C$120=$B23)*Inputs!$D$5:$D$120*(((Inputs!$G$5:$G$120="moeda")+(Inputs!$G$5:$G$120="acoes"))*Inputs!$B$1+((Inputs!$G$5:$G$120&lt;&gt;"moeda")*(Inputs!$G$5:$G$120&lt;&gt;"acoes")))*INDEX(Inputs!$K$5:$AJ$120,0,MATCH(O$2,Inputs!$K$4:$AJ$4,0)))+SUMPRODUCT((Inputs!$E$5:$E$120=$B23)*Inputs!$F$5:$F$120*(((Inputs!$G$5:$G$120="moeda")+(Inputs!$G$5:$G$120="acoes"))*Inputs!$B$1+((Inputs!$G$5:$G$120&lt;&gt;"moeda")*(Inputs!$G$5:$G$120&lt;&gt;"acoes")))*INDEX(Inputs!$K$5:$AJ$120,0,MATCH(O$2,Inputs!$K$4:$AJ$4,0)))))</f>
        <v>951</v>
      </c>
      <c r="P23" s="267">
        <f>IF(ISNA(MATCH(P$2,Inputs!$K$4:$AJ$4,0)),NA(),IF(SUMPRODUCT((Inputs!$A$5:$A$120=$B23)*ISNUMBER(INDEX(Inputs!$K$5:$AJ$120,0,MATCH(P$2,Inputs!$K$4:$AJ$4,0))))+SUMPRODUCT((Inputs!$C$5:$C$120=$B23)*ISNUMBER(INDEX(Inputs!$K$5:$AJ$120,0,MATCH(P$2,Inputs!$K$4:$AJ$4,0))))+SUMPRODUCT((Inputs!$E$5:$E$120=$B23)*ISNUMBER(INDEX(Inputs!$K$5:$AJ$120,0,MATCH(P$2,Inputs!$K$4:$AJ$4,0))))=0,NA(),SUMPRODUCT((Inputs!$A$5:$A$120=$B23)*Inputs!$B$5:$B$120*(((Inputs!$G$5:$G$120="moeda")+(Inputs!$G$5:$G$120="acoes"))*Inputs!$B$1+((Inputs!$G$5:$G$120&lt;&gt;"moeda")*(Inputs!$G$5:$G$120&lt;&gt;"acoes")))*INDEX(Inputs!$K$5:$AJ$120,0,MATCH(P$2,Inputs!$K$4:$AJ$4,0)))+SUMPRODUCT((Inputs!$C$5:$C$120=$B23)*Inputs!$D$5:$D$120*(((Inputs!$G$5:$G$120="moeda")+(Inputs!$G$5:$G$120="acoes"))*Inputs!$B$1+((Inputs!$G$5:$G$120&lt;&gt;"moeda")*(Inputs!$G$5:$G$120&lt;&gt;"acoes")))*INDEX(Inputs!$K$5:$AJ$120,0,MATCH(P$2,Inputs!$K$4:$AJ$4,0)))+SUMPRODUCT((Inputs!$E$5:$E$120=$B23)*Inputs!$F$5:$F$120*(((Inputs!$G$5:$G$120="moeda")+(Inputs!$G$5:$G$120="acoes"))*Inputs!$B$1+((Inputs!$G$5:$G$120&lt;&gt;"moeda")*(Inputs!$G$5:$G$120&lt;&gt;"acoes")))*INDEX(Inputs!$K$5:$AJ$120,0,MATCH(P$2,Inputs!$K$4:$AJ$4,0)))))</f>
        <v>864</v>
      </c>
      <c r="Q23" s="267">
        <f>IF(ISNA(MATCH(Q$2,Inputs!$K$4:$AJ$4,0)),NA(),IF(SUMPRODUCT((Inputs!$A$5:$A$120=$B23)*ISNUMBER(INDEX(Inputs!$K$5:$AJ$120,0,MATCH(Q$2,Inputs!$K$4:$AJ$4,0))))+SUMPRODUCT((Inputs!$C$5:$C$120=$B23)*ISNUMBER(INDEX(Inputs!$K$5:$AJ$120,0,MATCH(Q$2,Inputs!$K$4:$AJ$4,0))))+SUMPRODUCT((Inputs!$E$5:$E$120=$B23)*ISNUMBER(INDEX(Inputs!$K$5:$AJ$120,0,MATCH(Q$2,Inputs!$K$4:$AJ$4,0))))=0,NA(),SUMPRODUCT((Inputs!$A$5:$A$120=$B23)*Inputs!$B$5:$B$120*(((Inputs!$G$5:$G$120="moeda")+(Inputs!$G$5:$G$120="acoes"))*Inputs!$B$1+((Inputs!$G$5:$G$120&lt;&gt;"moeda")*(Inputs!$G$5:$G$120&lt;&gt;"acoes")))*INDEX(Inputs!$K$5:$AJ$120,0,MATCH(Q$2,Inputs!$K$4:$AJ$4,0)))+SUMPRODUCT((Inputs!$C$5:$C$120=$B23)*Inputs!$D$5:$D$120*(((Inputs!$G$5:$G$120="moeda")+(Inputs!$G$5:$G$120="acoes"))*Inputs!$B$1+((Inputs!$G$5:$G$120&lt;&gt;"moeda")*(Inputs!$G$5:$G$120&lt;&gt;"acoes")))*INDEX(Inputs!$K$5:$AJ$120,0,MATCH(Q$2,Inputs!$K$4:$AJ$4,0)))+SUMPRODUCT((Inputs!$E$5:$E$120=$B23)*Inputs!$F$5:$F$120*(((Inputs!$G$5:$G$120="moeda")+(Inputs!$G$5:$G$120="acoes"))*Inputs!$B$1+((Inputs!$G$5:$G$120&lt;&gt;"moeda")*(Inputs!$G$5:$G$120&lt;&gt;"acoes")))*INDEX(Inputs!$K$5:$AJ$120,0,MATCH(Q$2,Inputs!$K$4:$AJ$4,0)))))</f>
        <v>926</v>
      </c>
      <c r="R23" s="268">
        <f>Q23</f>
        <v>926</v>
      </c>
      <c r="S23" s="267">
        <f>IF(ISNA(MATCH(S$2,Inputs!$K$4:$AJ$4,0)),NA(),IF(SUMPRODUCT((Inputs!$A$5:$A$120=$B23)*ISNUMBER(INDEX(Inputs!$K$5:$AJ$120,0,MATCH(S$2,Inputs!$K$4:$AJ$4,0))))+SUMPRODUCT((Inputs!$C$5:$C$120=$B23)*ISNUMBER(INDEX(Inputs!$K$5:$AJ$120,0,MATCH(S$2,Inputs!$K$4:$AJ$4,0))))+SUMPRODUCT((Inputs!$E$5:$E$120=$B23)*ISNUMBER(INDEX(Inputs!$K$5:$AJ$120,0,MATCH(S$2,Inputs!$K$4:$AJ$4,0))))=0,NA(),SUMPRODUCT((Inputs!$A$5:$A$120=$B23)*Inputs!$B$5:$B$120*(((Inputs!$G$5:$G$120="moeda")+(Inputs!$G$5:$G$120="acoes"))*Inputs!$B$1+((Inputs!$G$5:$G$120&lt;&gt;"moeda")*(Inputs!$G$5:$G$120&lt;&gt;"acoes")))*INDEX(Inputs!$K$5:$AJ$120,0,MATCH(S$2,Inputs!$K$4:$AJ$4,0)))+SUMPRODUCT((Inputs!$C$5:$C$120=$B23)*Inputs!$D$5:$D$120*(((Inputs!$G$5:$G$120="moeda")+(Inputs!$G$5:$G$120="acoes"))*Inputs!$B$1+((Inputs!$G$5:$G$120&lt;&gt;"moeda")*(Inputs!$G$5:$G$120&lt;&gt;"acoes")))*INDEX(Inputs!$K$5:$AJ$120,0,MATCH(S$2,Inputs!$K$4:$AJ$4,0)))+SUMPRODUCT((Inputs!$E$5:$E$120=$B23)*Inputs!$F$5:$F$120*(((Inputs!$G$5:$G$120="moeda")+(Inputs!$G$5:$G$120="acoes"))*Inputs!$B$1+((Inputs!$G$5:$G$120&lt;&gt;"moeda")*(Inputs!$G$5:$G$120&lt;&gt;"acoes")))*INDEX(Inputs!$K$5:$AJ$120,0,MATCH(S$2,Inputs!$K$4:$AJ$4,0)))))</f>
        <v>922</v>
      </c>
      <c r="T23" s="267">
        <f>IF(ISNA(MATCH(T$2,Inputs!$K$4:$AJ$4,0)),NA(),IF(SUMPRODUCT((Inputs!$A$5:$A$120=$B23)*ISNUMBER(INDEX(Inputs!$K$5:$AJ$120,0,MATCH(T$2,Inputs!$K$4:$AJ$4,0))))+SUMPRODUCT((Inputs!$C$5:$C$120=$B23)*ISNUMBER(INDEX(Inputs!$K$5:$AJ$120,0,MATCH(T$2,Inputs!$K$4:$AJ$4,0))))+SUMPRODUCT((Inputs!$E$5:$E$120=$B23)*ISNUMBER(INDEX(Inputs!$K$5:$AJ$120,0,MATCH(T$2,Inputs!$K$4:$AJ$4,0))))=0,NA(),SUMPRODUCT((Inputs!$A$5:$A$120=$B23)*Inputs!$B$5:$B$120*(((Inputs!$G$5:$G$120="moeda")+(Inputs!$G$5:$G$120="acoes"))*Inputs!$B$1+((Inputs!$G$5:$G$120&lt;&gt;"moeda")*(Inputs!$G$5:$G$120&lt;&gt;"acoes")))*INDEX(Inputs!$K$5:$AJ$120,0,MATCH(T$2,Inputs!$K$4:$AJ$4,0)))+SUMPRODUCT((Inputs!$C$5:$C$120=$B23)*Inputs!$D$5:$D$120*(((Inputs!$G$5:$G$120="moeda")+(Inputs!$G$5:$G$120="acoes"))*Inputs!$B$1+((Inputs!$G$5:$G$120&lt;&gt;"moeda")*(Inputs!$G$5:$G$120&lt;&gt;"acoes")))*INDEX(Inputs!$K$5:$AJ$120,0,MATCH(T$2,Inputs!$K$4:$AJ$4,0)))+SUMPRODUCT((Inputs!$E$5:$E$120=$B23)*Inputs!$F$5:$F$120*(((Inputs!$G$5:$G$120="moeda")+(Inputs!$G$5:$G$120="acoes"))*Inputs!$B$1+((Inputs!$G$5:$G$120&lt;&gt;"moeda")*(Inputs!$G$5:$G$120&lt;&gt;"acoes")))*INDEX(Inputs!$K$5:$AJ$120,0,MATCH(T$2,Inputs!$K$4:$AJ$4,0)))))</f>
        <v>927</v>
      </c>
      <c r="U23" s="267">
        <f>IF(ISNA(MATCH(U$2,Inputs!$K$4:$AJ$4,0)),NA(),IF(SUMPRODUCT((Inputs!$A$5:$A$120=$B23)*ISNUMBER(INDEX(Inputs!$K$5:$AJ$120,0,MATCH(U$2,Inputs!$K$4:$AJ$4,0))))+SUMPRODUCT((Inputs!$C$5:$C$120=$B23)*ISNUMBER(INDEX(Inputs!$K$5:$AJ$120,0,MATCH(U$2,Inputs!$K$4:$AJ$4,0))))+SUMPRODUCT((Inputs!$E$5:$E$120=$B23)*ISNUMBER(INDEX(Inputs!$K$5:$AJ$120,0,MATCH(U$2,Inputs!$K$4:$AJ$4,0))))=0,NA(),SUMPRODUCT((Inputs!$A$5:$A$120=$B23)*Inputs!$B$5:$B$120*(((Inputs!$G$5:$G$120="moeda")+(Inputs!$G$5:$G$120="acoes"))*Inputs!$B$1+((Inputs!$G$5:$G$120&lt;&gt;"moeda")*(Inputs!$G$5:$G$120&lt;&gt;"acoes")))*INDEX(Inputs!$K$5:$AJ$120,0,MATCH(U$2,Inputs!$K$4:$AJ$4,0)))+SUMPRODUCT((Inputs!$C$5:$C$120=$B23)*Inputs!$D$5:$D$120*(((Inputs!$G$5:$G$120="moeda")+(Inputs!$G$5:$G$120="acoes"))*Inputs!$B$1+((Inputs!$G$5:$G$120&lt;&gt;"moeda")*(Inputs!$G$5:$G$120&lt;&gt;"acoes")))*INDEX(Inputs!$K$5:$AJ$120,0,MATCH(U$2,Inputs!$K$4:$AJ$4,0)))+SUMPRODUCT((Inputs!$E$5:$E$120=$B23)*Inputs!$F$5:$F$120*(((Inputs!$G$5:$G$120="moeda")+(Inputs!$G$5:$G$120="acoes"))*Inputs!$B$1+((Inputs!$G$5:$G$120&lt;&gt;"moeda")*(Inputs!$G$5:$G$120&lt;&gt;"acoes")))*INDEX(Inputs!$K$5:$AJ$120,0,MATCH(U$2,Inputs!$K$4:$AJ$4,0)))))</f>
        <v>937</v>
      </c>
      <c r="V23" s="267">
        <f>IF(ISNA(MATCH(V$2,Inputs!$K$4:$AJ$4,0)),NA(),IF(SUMPRODUCT((Inputs!$A$5:$A$120=$B23)*ISNUMBER(INDEX(Inputs!$K$5:$AJ$120,0,MATCH(V$2,Inputs!$K$4:$AJ$4,0))))+SUMPRODUCT((Inputs!$C$5:$C$120=$B23)*ISNUMBER(INDEX(Inputs!$K$5:$AJ$120,0,MATCH(V$2,Inputs!$K$4:$AJ$4,0))))+SUMPRODUCT((Inputs!$E$5:$E$120=$B23)*ISNUMBER(INDEX(Inputs!$K$5:$AJ$120,0,MATCH(V$2,Inputs!$K$4:$AJ$4,0))))=0,NA(),SUMPRODUCT((Inputs!$A$5:$A$120=$B23)*Inputs!$B$5:$B$120*(((Inputs!$G$5:$G$120="moeda")+(Inputs!$G$5:$G$120="acoes"))*Inputs!$B$1+((Inputs!$G$5:$G$120&lt;&gt;"moeda")*(Inputs!$G$5:$G$120&lt;&gt;"acoes")))*INDEX(Inputs!$K$5:$AJ$120,0,MATCH(V$2,Inputs!$K$4:$AJ$4,0)))+SUMPRODUCT((Inputs!$C$5:$C$120=$B23)*Inputs!$D$5:$D$120*(((Inputs!$G$5:$G$120="moeda")+(Inputs!$G$5:$G$120="acoes"))*Inputs!$B$1+((Inputs!$G$5:$G$120&lt;&gt;"moeda")*(Inputs!$G$5:$G$120&lt;&gt;"acoes")))*INDEX(Inputs!$K$5:$AJ$120,0,MATCH(V$2,Inputs!$K$4:$AJ$4,0)))+SUMPRODUCT((Inputs!$E$5:$E$120=$B23)*Inputs!$F$5:$F$120*(((Inputs!$G$5:$G$120="moeda")+(Inputs!$G$5:$G$120="acoes"))*Inputs!$B$1+((Inputs!$G$5:$G$120&lt;&gt;"moeda")*(Inputs!$G$5:$G$120&lt;&gt;"acoes")))*INDEX(Inputs!$K$5:$AJ$120,0,MATCH(V$2,Inputs!$K$4:$AJ$4,0)))))</f>
        <v>932</v>
      </c>
      <c r="W23" s="268">
        <f>V23</f>
        <v>932</v>
      </c>
      <c r="X23" s="267">
        <f>IF(ISNA(MATCH(X$2,Inputs!$K$4:$AJ$4,0)),NA(),IF(SUMPRODUCT((Inputs!$A$5:$A$120=$B23)*ISNUMBER(INDEX(Inputs!$K$5:$AJ$120,0,MATCH(X$2,Inputs!$K$4:$AJ$4,0))))+SUMPRODUCT((Inputs!$C$5:$C$120=$B23)*ISNUMBER(INDEX(Inputs!$K$5:$AJ$120,0,MATCH(X$2,Inputs!$K$4:$AJ$4,0))))+SUMPRODUCT((Inputs!$E$5:$E$120=$B23)*ISNUMBER(INDEX(Inputs!$K$5:$AJ$120,0,MATCH(X$2,Inputs!$K$4:$AJ$4,0))))=0,NA(),SUMPRODUCT((Inputs!$A$5:$A$120=$B23)*Inputs!$B$5:$B$120*(((Inputs!$G$5:$G$120="moeda")+(Inputs!$G$5:$G$120="acoes"))*Inputs!$B$1+((Inputs!$G$5:$G$120&lt;&gt;"moeda")*(Inputs!$G$5:$G$120&lt;&gt;"acoes")))*INDEX(Inputs!$K$5:$AJ$120,0,MATCH(X$2,Inputs!$K$4:$AJ$4,0)))+SUMPRODUCT((Inputs!$C$5:$C$120=$B23)*Inputs!$D$5:$D$120*(((Inputs!$G$5:$G$120="moeda")+(Inputs!$G$5:$G$120="acoes"))*Inputs!$B$1+((Inputs!$G$5:$G$120&lt;&gt;"moeda")*(Inputs!$G$5:$G$120&lt;&gt;"acoes")))*INDEX(Inputs!$K$5:$AJ$120,0,MATCH(X$2,Inputs!$K$4:$AJ$4,0)))+SUMPRODUCT((Inputs!$E$5:$E$120=$B23)*Inputs!$F$5:$F$120*(((Inputs!$G$5:$G$120="moeda")+(Inputs!$G$5:$G$120="acoes"))*Inputs!$B$1+((Inputs!$G$5:$G$120&lt;&gt;"moeda")*(Inputs!$G$5:$G$120&lt;&gt;"acoes")))*INDEX(Inputs!$K$5:$AJ$120,0,MATCH(X$2,Inputs!$K$4:$AJ$4,0)))))</f>
        <v>996</v>
      </c>
      <c r="Y23" s="267">
        <f>IF(ISNA(MATCH(Y$2,Inputs!$K$4:$AJ$4,0)),NA(),IF(SUMPRODUCT((Inputs!$A$5:$A$120=$B23)*ISNUMBER(INDEX(Inputs!$K$5:$AJ$120,0,MATCH(Y$2,Inputs!$K$4:$AJ$4,0))))+SUMPRODUCT((Inputs!$C$5:$C$120=$B23)*ISNUMBER(INDEX(Inputs!$K$5:$AJ$120,0,MATCH(Y$2,Inputs!$K$4:$AJ$4,0))))+SUMPRODUCT((Inputs!$E$5:$E$120=$B23)*ISNUMBER(INDEX(Inputs!$K$5:$AJ$120,0,MATCH(Y$2,Inputs!$K$4:$AJ$4,0))))=0,NA(),SUMPRODUCT((Inputs!$A$5:$A$120=$B23)*Inputs!$B$5:$B$120*(((Inputs!$G$5:$G$120="moeda")+(Inputs!$G$5:$G$120="acoes"))*Inputs!$B$1+((Inputs!$G$5:$G$120&lt;&gt;"moeda")*(Inputs!$G$5:$G$120&lt;&gt;"acoes")))*INDEX(Inputs!$K$5:$AJ$120,0,MATCH(Y$2,Inputs!$K$4:$AJ$4,0)))+SUMPRODUCT((Inputs!$C$5:$C$120=$B23)*Inputs!$D$5:$D$120*(((Inputs!$G$5:$G$120="moeda")+(Inputs!$G$5:$G$120="acoes"))*Inputs!$B$1+((Inputs!$G$5:$G$120&lt;&gt;"moeda")*(Inputs!$G$5:$G$120&lt;&gt;"acoes")))*INDEX(Inputs!$K$5:$AJ$120,0,MATCH(Y$2,Inputs!$K$4:$AJ$4,0)))+SUMPRODUCT((Inputs!$E$5:$E$120=$B23)*Inputs!$F$5:$F$120*(((Inputs!$G$5:$G$120="moeda")+(Inputs!$G$5:$G$120="acoes"))*Inputs!$B$1+((Inputs!$G$5:$G$120&lt;&gt;"moeda")*(Inputs!$G$5:$G$120&lt;&gt;"acoes")))*INDEX(Inputs!$K$5:$AJ$120,0,MATCH(Y$2,Inputs!$K$4:$AJ$4,0)))))</f>
        <v>1002</v>
      </c>
      <c r="Z23" s="267">
        <f>IF(ISNA(MATCH(Z$2,Inputs!$K$4:$AJ$4,0)),NA(),IF(SUMPRODUCT((Inputs!$A$5:$A$120=$B23)*ISNUMBER(INDEX(Inputs!$K$5:$AJ$120,0,MATCH(Z$2,Inputs!$K$4:$AJ$4,0))))+SUMPRODUCT((Inputs!$C$5:$C$120=$B23)*ISNUMBER(INDEX(Inputs!$K$5:$AJ$120,0,MATCH(Z$2,Inputs!$K$4:$AJ$4,0))))+SUMPRODUCT((Inputs!$E$5:$E$120=$B23)*ISNUMBER(INDEX(Inputs!$K$5:$AJ$120,0,MATCH(Z$2,Inputs!$K$4:$AJ$4,0))))=0,NA(),SUMPRODUCT((Inputs!$A$5:$A$120=$B23)*Inputs!$B$5:$B$120*(((Inputs!$G$5:$G$120="moeda")+(Inputs!$G$5:$G$120="acoes"))*Inputs!$B$1+((Inputs!$G$5:$G$120&lt;&gt;"moeda")*(Inputs!$G$5:$G$120&lt;&gt;"acoes")))*INDEX(Inputs!$K$5:$AJ$120,0,MATCH(Z$2,Inputs!$K$4:$AJ$4,0)))+SUMPRODUCT((Inputs!$C$5:$C$120=$B23)*Inputs!$D$5:$D$120*(((Inputs!$G$5:$G$120="moeda")+(Inputs!$G$5:$G$120="acoes"))*Inputs!$B$1+((Inputs!$G$5:$G$120&lt;&gt;"moeda")*(Inputs!$G$5:$G$120&lt;&gt;"acoes")))*INDEX(Inputs!$K$5:$AJ$120,0,MATCH(Z$2,Inputs!$K$4:$AJ$4,0)))+SUMPRODUCT((Inputs!$E$5:$E$120=$B23)*Inputs!$F$5:$F$120*(((Inputs!$G$5:$G$120="moeda")+(Inputs!$G$5:$G$120="acoes"))*Inputs!$B$1+((Inputs!$G$5:$G$120&lt;&gt;"moeda")*(Inputs!$G$5:$G$120&lt;&gt;"acoes")))*INDEX(Inputs!$K$5:$AJ$120,0,MATCH(Z$2,Inputs!$K$4:$AJ$4,0)))))</f>
        <v>1747</v>
      </c>
      <c r="AA23" s="267">
        <f>IF(ISNA(MATCH(AA$2,Inputs!$K$4:$AJ$4,0)),NA(),IF(SUMPRODUCT((Inputs!$A$5:$A$120=$B23)*ISNUMBER(INDEX(Inputs!$K$5:$AJ$120,0,MATCH(AA$2,Inputs!$K$4:$AJ$4,0))))+SUMPRODUCT((Inputs!$C$5:$C$120=$B23)*ISNUMBER(INDEX(Inputs!$K$5:$AJ$120,0,MATCH(AA$2,Inputs!$K$4:$AJ$4,0))))+SUMPRODUCT((Inputs!$E$5:$E$120=$B23)*ISNUMBER(INDEX(Inputs!$K$5:$AJ$120,0,MATCH(AA$2,Inputs!$K$4:$AJ$4,0))))=0,NA(),SUMPRODUCT((Inputs!$A$5:$A$120=$B23)*Inputs!$B$5:$B$120*(((Inputs!$G$5:$G$120="moeda")+(Inputs!$G$5:$G$120="acoes"))*Inputs!$B$1+((Inputs!$G$5:$G$120&lt;&gt;"moeda")*(Inputs!$G$5:$G$120&lt;&gt;"acoes")))*INDEX(Inputs!$K$5:$AJ$120,0,MATCH(AA$2,Inputs!$K$4:$AJ$4,0)))+SUMPRODUCT((Inputs!$C$5:$C$120=$B23)*Inputs!$D$5:$D$120*(((Inputs!$G$5:$G$120="moeda")+(Inputs!$G$5:$G$120="acoes"))*Inputs!$B$1+((Inputs!$G$5:$G$120&lt;&gt;"moeda")*(Inputs!$G$5:$G$120&lt;&gt;"acoes")))*INDEX(Inputs!$K$5:$AJ$120,0,MATCH(AA$2,Inputs!$K$4:$AJ$4,0)))+SUMPRODUCT((Inputs!$E$5:$E$120=$B23)*Inputs!$F$5:$F$120*(((Inputs!$G$5:$G$120="moeda")+(Inputs!$G$5:$G$120="acoes"))*Inputs!$B$1+((Inputs!$G$5:$G$120&lt;&gt;"moeda")*(Inputs!$G$5:$G$120&lt;&gt;"acoes")))*INDEX(Inputs!$K$5:$AJ$120,0,MATCH(AA$2,Inputs!$K$4:$AJ$4,0)))))</f>
        <v>1686</v>
      </c>
      <c r="AB23" s="268">
        <f>AA23</f>
        <v>1686</v>
      </c>
      <c r="AC23" s="267">
        <f>IF(ISNA(MATCH(AC$2,Inputs!$K$4:$AJ$4,0)),NA(),IF(SUMPRODUCT((Inputs!$A$5:$A$120=$B23)*ISNUMBER(INDEX(Inputs!$K$5:$AJ$120,0,MATCH(AC$2,Inputs!$K$4:$AJ$4,0))))+SUMPRODUCT((Inputs!$C$5:$C$120=$B23)*ISNUMBER(INDEX(Inputs!$K$5:$AJ$120,0,MATCH(AC$2,Inputs!$K$4:$AJ$4,0))))+SUMPRODUCT((Inputs!$E$5:$E$120=$B23)*ISNUMBER(INDEX(Inputs!$K$5:$AJ$120,0,MATCH(AC$2,Inputs!$K$4:$AJ$4,0))))=0,NA(),SUMPRODUCT((Inputs!$A$5:$A$120=$B23)*Inputs!$B$5:$B$120*(((Inputs!$G$5:$G$120="moeda")+(Inputs!$G$5:$G$120="acoes"))*Inputs!$B$1+((Inputs!$G$5:$G$120&lt;&gt;"moeda")*(Inputs!$G$5:$G$120&lt;&gt;"acoes")))*INDEX(Inputs!$K$5:$AJ$120,0,MATCH(AC$2,Inputs!$K$4:$AJ$4,0)))+SUMPRODUCT((Inputs!$C$5:$C$120=$B23)*Inputs!$D$5:$D$120*(((Inputs!$G$5:$G$120="moeda")+(Inputs!$G$5:$G$120="acoes"))*Inputs!$B$1+((Inputs!$G$5:$G$120&lt;&gt;"moeda")*(Inputs!$G$5:$G$120&lt;&gt;"acoes")))*INDEX(Inputs!$K$5:$AJ$120,0,MATCH(AC$2,Inputs!$K$4:$AJ$4,0)))+SUMPRODUCT((Inputs!$E$5:$E$120=$B23)*Inputs!$F$5:$F$120*(((Inputs!$G$5:$G$120="moeda")+(Inputs!$G$5:$G$120="acoes"))*Inputs!$B$1+((Inputs!$G$5:$G$120&lt;&gt;"moeda")*(Inputs!$G$5:$G$120&lt;&gt;"acoes")))*INDEX(Inputs!$K$5:$AJ$120,0,MATCH(AC$2,Inputs!$K$4:$AJ$4,0)))))</f>
        <v>1733</v>
      </c>
      <c r="AD23" s="267">
        <f>IF(ISNA(MATCH(AD$2,Inputs!$K$4:$AJ$4,0)),NA(),IF(SUMPRODUCT((Inputs!$A$5:$A$120=$B23)*ISNUMBER(INDEX(Inputs!$K$5:$AJ$120,0,MATCH(AD$2,Inputs!$K$4:$AJ$4,0))))+SUMPRODUCT((Inputs!$C$5:$C$120=$B23)*ISNUMBER(INDEX(Inputs!$K$5:$AJ$120,0,MATCH(AD$2,Inputs!$K$4:$AJ$4,0))))+SUMPRODUCT((Inputs!$E$5:$E$120=$B23)*ISNUMBER(INDEX(Inputs!$K$5:$AJ$120,0,MATCH(AD$2,Inputs!$K$4:$AJ$4,0))))=0,NA(),SUMPRODUCT((Inputs!$A$5:$A$120=$B23)*Inputs!$B$5:$B$120*(((Inputs!$G$5:$G$120="moeda")+(Inputs!$G$5:$G$120="acoes"))*Inputs!$B$1+((Inputs!$G$5:$G$120&lt;&gt;"moeda")*(Inputs!$G$5:$G$120&lt;&gt;"acoes")))*INDEX(Inputs!$K$5:$AJ$120,0,MATCH(AD$2,Inputs!$K$4:$AJ$4,0)))+SUMPRODUCT((Inputs!$C$5:$C$120=$B23)*Inputs!$D$5:$D$120*(((Inputs!$G$5:$G$120="moeda")+(Inputs!$G$5:$G$120="acoes"))*Inputs!$B$1+((Inputs!$G$5:$G$120&lt;&gt;"moeda")*(Inputs!$G$5:$G$120&lt;&gt;"acoes")))*INDEX(Inputs!$K$5:$AJ$120,0,MATCH(AD$2,Inputs!$K$4:$AJ$4,0)))+SUMPRODUCT((Inputs!$E$5:$E$120=$B23)*Inputs!$F$5:$F$120*(((Inputs!$G$5:$G$120="moeda")+(Inputs!$G$5:$G$120="acoes"))*Inputs!$B$1+((Inputs!$G$5:$G$120&lt;&gt;"moeda")*(Inputs!$G$5:$G$120&lt;&gt;"acoes")))*INDEX(Inputs!$K$5:$AJ$120,0,MATCH(AD$2,Inputs!$K$4:$AJ$4,0)))))</f>
        <v>1707</v>
      </c>
      <c r="AE23" s="267" t="e">
        <f>IF(ISNA(MATCH(AE$2,Inputs!$K$4:$AJ$4,0)),NA(),IF(SUMPRODUCT((Inputs!$A$5:$A$120=$B23)*ISNUMBER(INDEX(Inputs!$K$5:$AJ$120,0,MATCH(AE$2,Inputs!$K$4:$AJ$4,0))))+SUMPRODUCT((Inputs!$C$5:$C$120=$B23)*ISNUMBER(INDEX(Inputs!$K$5:$AJ$120,0,MATCH(AE$2,Inputs!$K$4:$AJ$4,0))))+SUMPRODUCT((Inputs!$E$5:$E$120=$B23)*ISNUMBER(INDEX(Inputs!$K$5:$AJ$120,0,MATCH(AE$2,Inputs!$K$4:$AJ$4,0))))=0,NA(),SUMPRODUCT((Inputs!$A$5:$A$120=$B23)*Inputs!$B$5:$B$120*(((Inputs!$G$5:$G$120="moeda")+(Inputs!$G$5:$G$120="acoes"))*Inputs!$B$1+((Inputs!$G$5:$G$120&lt;&gt;"moeda")*(Inputs!$G$5:$G$120&lt;&gt;"acoes")))*INDEX(Inputs!$K$5:$AJ$120,0,MATCH(AE$2,Inputs!$K$4:$AJ$4,0)))+SUMPRODUCT((Inputs!$C$5:$C$120=$B23)*Inputs!$D$5:$D$120*(((Inputs!$G$5:$G$120="moeda")+(Inputs!$G$5:$G$120="acoes"))*Inputs!$B$1+((Inputs!$G$5:$G$120&lt;&gt;"moeda")*(Inputs!$G$5:$G$120&lt;&gt;"acoes")))*INDEX(Inputs!$K$5:$AJ$120,0,MATCH(AE$2,Inputs!$K$4:$AJ$4,0)))+SUMPRODUCT((Inputs!$E$5:$E$120=$B23)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3" s="267" t="e">
        <f>IF(ISNA(MATCH(AF$2,Inputs!$K$4:$AJ$4,0)),NA(),IF(SUMPRODUCT((Inputs!$A$5:$A$120=$B23)*ISNUMBER(INDEX(Inputs!$K$5:$AJ$120,0,MATCH(AF$2,Inputs!$K$4:$AJ$4,0))))+SUMPRODUCT((Inputs!$C$5:$C$120=$B23)*ISNUMBER(INDEX(Inputs!$K$5:$AJ$120,0,MATCH(AF$2,Inputs!$K$4:$AJ$4,0))))+SUMPRODUCT((Inputs!$E$5:$E$120=$B23)*ISNUMBER(INDEX(Inputs!$K$5:$AJ$120,0,MATCH(AF$2,Inputs!$K$4:$AJ$4,0))))=0,NA(),SUMPRODUCT((Inputs!$A$5:$A$120=$B23)*Inputs!$B$5:$B$120*(((Inputs!$G$5:$G$120="moeda")+(Inputs!$G$5:$G$120="acoes"))*Inputs!$B$1+((Inputs!$G$5:$G$120&lt;&gt;"moeda")*(Inputs!$G$5:$G$120&lt;&gt;"acoes")))*INDEX(Inputs!$K$5:$AJ$120,0,MATCH(AF$2,Inputs!$K$4:$AJ$4,0)))+SUMPRODUCT((Inputs!$C$5:$C$120=$B23)*Inputs!$D$5:$D$120*(((Inputs!$G$5:$G$120="moeda")+(Inputs!$G$5:$G$120="acoes"))*Inputs!$B$1+((Inputs!$G$5:$G$120&lt;&gt;"moeda")*(Inputs!$G$5:$G$120&lt;&gt;"acoes")))*INDEX(Inputs!$K$5:$AJ$120,0,MATCH(AF$2,Inputs!$K$4:$AJ$4,0)))+SUMPRODUCT((Inputs!$E$5:$E$120=$B23)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3" s="268" t="e">
        <f>AF23</f>
        <v>#N/A</v>
      </c>
      <c r="AH23" s="267">
        <f>IF(ISNA(MATCH(AH$2,Inputs!$K$4:$AJ$4,0)),NA(),IF(SUMPRODUCT((Inputs!$A$5:$A$120=$B23)*ISNUMBER(INDEX(Inputs!$K$5:$AJ$120,0,MATCH(AH$2,Inputs!$K$4:$AJ$4,0))))+SUMPRODUCT((Inputs!$C$5:$C$120=$B23)*ISNUMBER(INDEX(Inputs!$K$5:$AJ$120,0,MATCH(AH$2,Inputs!$K$4:$AJ$4,0))))+SUMPRODUCT((Inputs!$E$5:$E$120=$B23)*ISNUMBER(INDEX(Inputs!$K$5:$AJ$120,0,MATCH(AH$2,Inputs!$K$4:$AJ$4,0))))=0,NA(),SUMPRODUCT((Inputs!$A$5:$A$120=$B23)*Inputs!$B$5:$B$120*(((Inputs!$G$5:$G$120="moeda")+(Inputs!$G$5:$G$120="acoes"))*Inputs!$B$1+((Inputs!$G$5:$G$120&lt;&gt;"moeda")*(Inputs!$G$5:$G$120&lt;&gt;"acoes")))*INDEX(Inputs!$K$5:$AJ$120,0,MATCH(AH$2,Inputs!$K$4:$AJ$4,0)))+SUMPRODUCT((Inputs!$C$5:$C$120=$B23)*Inputs!$D$5:$D$120*(((Inputs!$G$5:$G$120="moeda")+(Inputs!$G$5:$G$120="acoes"))*Inputs!$B$1+((Inputs!$G$5:$G$120&lt;&gt;"moeda")*(Inputs!$G$5:$G$120&lt;&gt;"acoes")))*INDEX(Inputs!$K$5:$AJ$120,0,MATCH(AH$2,Inputs!$K$4:$AJ$4,0)))+SUMPRODUCT((Inputs!$E$5:$E$120=$B23)*Inputs!$F$5:$F$120*(((Inputs!$G$5:$G$120="moeda")+(Inputs!$G$5:$G$120="acoes"))*Inputs!$B$1+((Inputs!$G$5:$G$120&lt;&gt;"moeda")*(Inputs!$G$5:$G$120&lt;&gt;"acoes")))*INDEX(Inputs!$K$5:$AJ$120,0,MATCH(AH$2,Inputs!$K$4:$AJ$4,0)))))</f>
        <v>756</v>
      </c>
      <c r="AI23" s="267">
        <f>IF(ISNA(MATCH(AI$2,Inputs!$K$4:$AJ$4,0)),NA(),IF(SUMPRODUCT((Inputs!$A$5:$A$120=$B23)*ISNUMBER(INDEX(Inputs!$K$5:$AJ$120,0,MATCH(AI$2,Inputs!$K$4:$AJ$4,0))))+SUMPRODUCT((Inputs!$C$5:$C$120=$B23)*ISNUMBER(INDEX(Inputs!$K$5:$AJ$120,0,MATCH(AI$2,Inputs!$K$4:$AJ$4,0))))+SUMPRODUCT((Inputs!$E$5:$E$120=$B23)*ISNUMBER(INDEX(Inputs!$K$5:$AJ$120,0,MATCH(AI$2,Inputs!$K$4:$AJ$4,0))))=0,NA(),SUMPRODUCT((Inputs!$A$5:$A$120=$B23)*Inputs!$B$5:$B$120*(((Inputs!$G$5:$G$120="moeda")+(Inputs!$G$5:$G$120="acoes"))*Inputs!$B$1+((Inputs!$G$5:$G$120&lt;&gt;"moeda")*(Inputs!$G$5:$G$120&lt;&gt;"acoes")))*INDEX(Inputs!$K$5:$AJ$120,0,MATCH(AI$2,Inputs!$K$4:$AJ$4,0)))+SUMPRODUCT((Inputs!$C$5:$C$120=$B23)*Inputs!$D$5:$D$120*(((Inputs!$G$5:$G$120="moeda")+(Inputs!$G$5:$G$120="acoes"))*Inputs!$B$1+((Inputs!$G$5:$G$120&lt;&gt;"moeda")*(Inputs!$G$5:$G$120&lt;&gt;"acoes")))*INDEX(Inputs!$K$5:$AJ$120,0,MATCH(AI$2,Inputs!$K$4:$AJ$4,0)))+SUMPRODUCT((Inputs!$E$5:$E$120=$B23)*Inputs!$F$5:$F$120*(((Inputs!$G$5:$G$120="moeda")+(Inputs!$G$5:$G$120="acoes"))*Inputs!$B$1+((Inputs!$G$5:$G$120&lt;&gt;"moeda")*(Inputs!$G$5:$G$120&lt;&gt;"acoes")))*INDEX(Inputs!$K$5:$AJ$120,0,MATCH(AI$2,Inputs!$K$4:$AJ$4,0)))))</f>
        <v>776</v>
      </c>
      <c r="AJ23" s="267">
        <f>IF(ISNA(MATCH(AJ$2,Inputs!$K$4:$AJ$4,0)),NA(),IF(SUMPRODUCT((Inputs!$A$5:$A$120=$B23)*ISNUMBER(INDEX(Inputs!$K$5:$AJ$120,0,MATCH(AJ$2,Inputs!$K$4:$AJ$4,0))))+SUMPRODUCT((Inputs!$C$5:$C$120=$B23)*ISNUMBER(INDEX(Inputs!$K$5:$AJ$120,0,MATCH(AJ$2,Inputs!$K$4:$AJ$4,0))))+SUMPRODUCT((Inputs!$E$5:$E$120=$B23)*ISNUMBER(INDEX(Inputs!$K$5:$AJ$120,0,MATCH(AJ$2,Inputs!$K$4:$AJ$4,0))))=0,NA(),SUMPRODUCT((Inputs!$A$5:$A$120=$B23)*Inputs!$B$5:$B$120*(((Inputs!$G$5:$G$120="moeda")+(Inputs!$G$5:$G$120="acoes"))*Inputs!$B$1+((Inputs!$G$5:$G$120&lt;&gt;"moeda")*(Inputs!$G$5:$G$120&lt;&gt;"acoes")))*INDEX(Inputs!$K$5:$AJ$120,0,MATCH(AJ$2,Inputs!$K$4:$AJ$4,0)))+SUMPRODUCT((Inputs!$C$5:$C$120=$B23)*Inputs!$D$5:$D$120*(((Inputs!$G$5:$G$120="moeda")+(Inputs!$G$5:$G$120="acoes"))*Inputs!$B$1+((Inputs!$G$5:$G$120&lt;&gt;"moeda")*(Inputs!$G$5:$G$120&lt;&gt;"acoes")))*INDEX(Inputs!$K$5:$AJ$120,0,MATCH(AJ$2,Inputs!$K$4:$AJ$4,0)))+SUMPRODUCT((Inputs!$E$5:$E$120=$B23)*Inputs!$F$5:$F$120*(((Inputs!$G$5:$G$120="moeda")+(Inputs!$G$5:$G$120="acoes"))*Inputs!$B$1+((Inputs!$G$5:$G$120&lt;&gt;"moeda")*(Inputs!$G$5:$G$120&lt;&gt;"acoes")))*INDEX(Inputs!$K$5:$AJ$120,0,MATCH(AJ$2,Inputs!$K$4:$AJ$4,0)))))</f>
        <v>871</v>
      </c>
      <c r="AK23" s="267">
        <f>IF(ISNA(MATCH(AK$2,Inputs!$K$4:$AJ$4,0)),NA(),IF(SUMPRODUCT((Inputs!$A$5:$A$120=$B23)*ISNUMBER(INDEX(Inputs!$K$5:$AJ$120,0,MATCH(AK$2,Inputs!$K$4:$AJ$4,0))))+SUMPRODUCT((Inputs!$C$5:$C$120=$B23)*ISNUMBER(INDEX(Inputs!$K$5:$AJ$120,0,MATCH(AK$2,Inputs!$K$4:$AJ$4,0))))+SUMPRODUCT((Inputs!$E$5:$E$120=$B23)*ISNUMBER(INDEX(Inputs!$K$5:$AJ$120,0,MATCH(AK$2,Inputs!$K$4:$AJ$4,0))))=0,NA(),SUMPRODUCT((Inputs!$A$5:$A$120=$B23)*Inputs!$B$5:$B$120*(((Inputs!$G$5:$G$120="moeda")+(Inputs!$G$5:$G$120="acoes"))*Inputs!$B$1+((Inputs!$G$5:$G$120&lt;&gt;"moeda")*(Inputs!$G$5:$G$120&lt;&gt;"acoes")))*INDEX(Inputs!$K$5:$AJ$120,0,MATCH(AK$2,Inputs!$K$4:$AJ$4,0)))+SUMPRODUCT((Inputs!$C$5:$C$120=$B23)*Inputs!$D$5:$D$120*(((Inputs!$G$5:$G$120="moeda")+(Inputs!$G$5:$G$120="acoes"))*Inputs!$B$1+((Inputs!$G$5:$G$120&lt;&gt;"moeda")*(Inputs!$G$5:$G$120&lt;&gt;"acoes")))*INDEX(Inputs!$K$5:$AJ$120,0,MATCH(AK$2,Inputs!$K$4:$AJ$4,0)))+SUMPRODUCT((Inputs!$E$5:$E$120=$B23)*Inputs!$F$5:$F$120*(((Inputs!$G$5:$G$120="moeda")+(Inputs!$G$5:$G$120="acoes"))*Inputs!$B$1+((Inputs!$G$5:$G$120&lt;&gt;"moeda")*(Inputs!$G$5:$G$120&lt;&gt;"acoes")))*INDEX(Inputs!$K$5:$AJ$120,0,MATCH(AK$2,Inputs!$K$4:$AJ$4,0)))))</f>
        <v>868</v>
      </c>
      <c r="AL23" s="268">
        <f>AK23</f>
        <v>868</v>
      </c>
    </row>
    <row r="24" ht="12.75" customHeight="1" s="255">
      <c r="B24" s="265" t="n">
        <v>20</v>
      </c>
      <c r="C24" s="270" t="inlineStr">
        <is>
          <t>Goodwill</t>
        </is>
      </c>
      <c r="D24" s="267">
        <f>IF(ISNA(MATCH(D$2,Inputs!$K$4:$AJ$4,0)),NA(),IF(SUMPRODUCT((Inputs!$A$5:$A$120=$B24)*ISNUMBER(INDEX(Inputs!$K$5:$AJ$120,0,MATCH(D$2,Inputs!$K$4:$AJ$4,0))))+SUMPRODUCT((Inputs!$C$5:$C$120=$B24)*ISNUMBER(INDEX(Inputs!$K$5:$AJ$120,0,MATCH(D$2,Inputs!$K$4:$AJ$4,0))))+SUMPRODUCT((Inputs!$E$5:$E$120=$B24)*ISNUMBER(INDEX(Inputs!$K$5:$AJ$120,0,MATCH(D$2,Inputs!$K$4:$AJ$4,0))))=0,NA(),SUMPRODUCT((Inputs!$A$5:$A$120=$B24)*Inputs!$B$5:$B$120*(((Inputs!$G$5:$G$120="moeda")+(Inputs!$G$5:$G$120="acoes"))*Inputs!$B$1+((Inputs!$G$5:$G$120&lt;&gt;"moeda")*(Inputs!$G$5:$G$120&lt;&gt;"acoes")))*INDEX(Inputs!$K$5:$AJ$120,0,MATCH(D$2,Inputs!$K$4:$AJ$4,0)))+SUMPRODUCT((Inputs!$C$5:$C$120=$B24)*Inputs!$D$5:$D$120*(((Inputs!$G$5:$G$120="moeda")+(Inputs!$G$5:$G$120="acoes"))*Inputs!$B$1+((Inputs!$G$5:$G$120&lt;&gt;"moeda")*(Inputs!$G$5:$G$120&lt;&gt;"acoes")))*INDEX(Inputs!$K$5:$AJ$120,0,MATCH(D$2,Inputs!$K$4:$AJ$4,0)))+SUMPRODUCT((Inputs!$E$5:$E$120=$B24)*Inputs!$F$5:$F$120*(((Inputs!$G$5:$G$120="moeda")+(Inputs!$G$5:$G$120="acoes"))*Inputs!$B$1+((Inputs!$G$5:$G$120&lt;&gt;"moeda")*(Inputs!$G$5:$G$120&lt;&gt;"acoes")))*INDEX(Inputs!$K$5:$AJ$120,0,MATCH(D$2,Inputs!$K$4:$AJ$4,0)))))</f>
        <v>556</v>
      </c>
      <c r="E24" s="267">
        <f>IF(ISNA(MATCH(E$2,Inputs!$K$4:$AJ$4,0)),NA(),IF(SUMPRODUCT((Inputs!$A$5:$A$120=$B24)*ISNUMBER(INDEX(Inputs!$K$5:$AJ$120,0,MATCH(E$2,Inputs!$K$4:$AJ$4,0))))+SUMPRODUCT((Inputs!$C$5:$C$120=$B24)*ISNUMBER(INDEX(Inputs!$K$5:$AJ$120,0,MATCH(E$2,Inputs!$K$4:$AJ$4,0))))+SUMPRODUCT((Inputs!$E$5:$E$120=$B24)*ISNUMBER(INDEX(Inputs!$K$5:$AJ$120,0,MATCH(E$2,Inputs!$K$4:$AJ$4,0))))=0,NA(),SUMPRODUCT((Inputs!$A$5:$A$120=$B24)*Inputs!$B$5:$B$120*(((Inputs!$G$5:$G$120="moeda")+(Inputs!$G$5:$G$120="acoes"))*Inputs!$B$1+((Inputs!$G$5:$G$120&lt;&gt;"moeda")*(Inputs!$G$5:$G$120&lt;&gt;"acoes")))*INDEX(Inputs!$K$5:$AJ$120,0,MATCH(E$2,Inputs!$K$4:$AJ$4,0)))+SUMPRODUCT((Inputs!$C$5:$C$120=$B24)*Inputs!$D$5:$D$120*(((Inputs!$G$5:$G$120="moeda")+(Inputs!$G$5:$G$120="acoes"))*Inputs!$B$1+((Inputs!$G$5:$G$120&lt;&gt;"moeda")*(Inputs!$G$5:$G$120&lt;&gt;"acoes")))*INDEX(Inputs!$K$5:$AJ$120,0,MATCH(E$2,Inputs!$K$4:$AJ$4,0)))+SUMPRODUCT((Inputs!$E$5:$E$120=$B24)*Inputs!$F$5:$F$120*(((Inputs!$G$5:$G$120="moeda")+(Inputs!$G$5:$G$120="acoes"))*Inputs!$B$1+((Inputs!$G$5:$G$120&lt;&gt;"moeda")*(Inputs!$G$5:$G$120&lt;&gt;"acoes")))*INDEX(Inputs!$K$5:$AJ$120,0,MATCH(E$2,Inputs!$K$4:$AJ$4,0)))))</f>
        <v>579</v>
      </c>
      <c r="F24" s="267">
        <f>IF(ISNA(MATCH(F$2,Inputs!$K$4:$AJ$4,0)),NA(),IF(SUMPRODUCT((Inputs!$A$5:$A$120=$B24)*ISNUMBER(INDEX(Inputs!$K$5:$AJ$120,0,MATCH(F$2,Inputs!$K$4:$AJ$4,0))))+SUMPRODUCT((Inputs!$C$5:$C$120=$B24)*ISNUMBER(INDEX(Inputs!$K$5:$AJ$120,0,MATCH(F$2,Inputs!$K$4:$AJ$4,0))))+SUMPRODUCT((Inputs!$E$5:$E$120=$B24)*ISNUMBER(INDEX(Inputs!$K$5:$AJ$120,0,MATCH(F$2,Inputs!$K$4:$AJ$4,0))))=0,NA(),SUMPRODUCT((Inputs!$A$5:$A$120=$B24)*Inputs!$B$5:$B$120*(((Inputs!$G$5:$G$120="moeda")+(Inputs!$G$5:$G$120="acoes"))*Inputs!$B$1+((Inputs!$G$5:$G$120&lt;&gt;"moeda")*(Inputs!$G$5:$G$120&lt;&gt;"acoes")))*INDEX(Inputs!$K$5:$AJ$120,0,MATCH(F$2,Inputs!$K$4:$AJ$4,0)))+SUMPRODUCT((Inputs!$C$5:$C$120=$B24)*Inputs!$D$5:$D$120*(((Inputs!$G$5:$G$120="moeda")+(Inputs!$G$5:$G$120="acoes"))*Inputs!$B$1+((Inputs!$G$5:$G$120&lt;&gt;"moeda")*(Inputs!$G$5:$G$120&lt;&gt;"acoes")))*INDEX(Inputs!$K$5:$AJ$120,0,MATCH(F$2,Inputs!$K$4:$AJ$4,0)))+SUMPRODUCT((Inputs!$E$5:$E$120=$B24)*Inputs!$F$5:$F$120*(((Inputs!$G$5:$G$120="moeda")+(Inputs!$G$5:$G$120="acoes"))*Inputs!$B$1+((Inputs!$G$5:$G$120&lt;&gt;"moeda")*(Inputs!$G$5:$G$120&lt;&gt;"acoes")))*INDEX(Inputs!$K$5:$AJ$120,0,MATCH(F$2,Inputs!$K$4:$AJ$4,0)))))</f>
        <v>562</v>
      </c>
      <c r="G24" s="267">
        <f>IF(ISNA(MATCH(G$2,Inputs!$K$4:$AJ$4,0)),NA(),IF(SUMPRODUCT((Inputs!$A$5:$A$120=$B24)*ISNUMBER(INDEX(Inputs!$K$5:$AJ$120,0,MATCH(G$2,Inputs!$K$4:$AJ$4,0))))+SUMPRODUCT((Inputs!$C$5:$C$120=$B24)*ISNUMBER(INDEX(Inputs!$K$5:$AJ$120,0,MATCH(G$2,Inputs!$K$4:$AJ$4,0))))+SUMPRODUCT((Inputs!$E$5:$E$120=$B24)*ISNUMBER(INDEX(Inputs!$K$5:$AJ$120,0,MATCH(G$2,Inputs!$K$4:$AJ$4,0))))=0,NA(),SUMPRODUCT((Inputs!$A$5:$A$120=$B24)*Inputs!$B$5:$B$120*(((Inputs!$G$5:$G$120="moeda")+(Inputs!$G$5:$G$120="acoes"))*Inputs!$B$1+((Inputs!$G$5:$G$120&lt;&gt;"moeda")*(Inputs!$G$5:$G$120&lt;&gt;"acoes")))*INDEX(Inputs!$K$5:$AJ$120,0,MATCH(G$2,Inputs!$K$4:$AJ$4,0)))+SUMPRODUCT((Inputs!$C$5:$C$120=$B24)*Inputs!$D$5:$D$120*(((Inputs!$G$5:$G$120="moeda")+(Inputs!$G$5:$G$120="acoes"))*Inputs!$B$1+((Inputs!$G$5:$G$120&lt;&gt;"moeda")*(Inputs!$G$5:$G$120&lt;&gt;"acoes")))*INDEX(Inputs!$K$5:$AJ$120,0,MATCH(G$2,Inputs!$K$4:$AJ$4,0)))+SUMPRODUCT((Inputs!$E$5:$E$120=$B24)*Inputs!$F$5:$F$120*(((Inputs!$G$5:$G$120="moeda")+(Inputs!$G$5:$G$120="acoes"))*Inputs!$B$1+((Inputs!$G$5:$G$120&lt;&gt;"moeda")*(Inputs!$G$5:$G$120&lt;&gt;"acoes")))*INDEX(Inputs!$K$5:$AJ$120,0,MATCH(G$2,Inputs!$K$4:$AJ$4,0)))))</f>
        <v>484</v>
      </c>
      <c r="H24" s="268">
        <f>G24</f>
        <v>484</v>
      </c>
      <c r="I24" s="267">
        <f>IF(ISNA(MATCH(I$2,Inputs!$K$4:$AJ$4,0)),NA(),IF(SUMPRODUCT((Inputs!$A$5:$A$120=$B24)*ISNUMBER(INDEX(Inputs!$K$5:$AJ$120,0,MATCH(I$2,Inputs!$K$4:$AJ$4,0))))+SUMPRODUCT((Inputs!$C$5:$C$120=$B24)*ISNUMBER(INDEX(Inputs!$K$5:$AJ$120,0,MATCH(I$2,Inputs!$K$4:$AJ$4,0))))+SUMPRODUCT((Inputs!$E$5:$E$120=$B24)*ISNUMBER(INDEX(Inputs!$K$5:$AJ$120,0,MATCH(I$2,Inputs!$K$4:$AJ$4,0))))=0,NA(),SUMPRODUCT((Inputs!$A$5:$A$120=$B24)*Inputs!$B$5:$B$120*(((Inputs!$G$5:$G$120="moeda")+(Inputs!$G$5:$G$120="acoes"))*Inputs!$B$1+((Inputs!$G$5:$G$120&lt;&gt;"moeda")*(Inputs!$G$5:$G$120&lt;&gt;"acoes")))*INDEX(Inputs!$K$5:$AJ$120,0,MATCH(I$2,Inputs!$K$4:$AJ$4,0)))+SUMPRODUCT((Inputs!$C$5:$C$120=$B24)*Inputs!$D$5:$D$120*(((Inputs!$G$5:$G$120="moeda")+(Inputs!$G$5:$G$120="acoes"))*Inputs!$B$1+((Inputs!$G$5:$G$120&lt;&gt;"moeda")*(Inputs!$G$5:$G$120&lt;&gt;"acoes")))*INDEX(Inputs!$K$5:$AJ$120,0,MATCH(I$2,Inputs!$K$4:$AJ$4,0)))+SUMPRODUCT((Inputs!$E$5:$E$120=$B24)*Inputs!$F$5:$F$120*(((Inputs!$G$5:$G$120="moeda")+(Inputs!$G$5:$G$120="acoes"))*Inputs!$B$1+((Inputs!$G$5:$G$120&lt;&gt;"moeda")*(Inputs!$G$5:$G$120&lt;&gt;"acoes")))*INDEX(Inputs!$K$5:$AJ$120,0,MATCH(I$2,Inputs!$K$4:$AJ$4,0)))))</f>
        <v>497</v>
      </c>
      <c r="J24" s="267">
        <f>IF(ISNA(MATCH(J$2,Inputs!$K$4:$AJ$4,0)),NA(),IF(SUMPRODUCT((Inputs!$A$5:$A$120=$B24)*ISNUMBER(INDEX(Inputs!$K$5:$AJ$120,0,MATCH(J$2,Inputs!$K$4:$AJ$4,0))))+SUMPRODUCT((Inputs!$C$5:$C$120=$B24)*ISNUMBER(INDEX(Inputs!$K$5:$AJ$120,0,MATCH(J$2,Inputs!$K$4:$AJ$4,0))))+SUMPRODUCT((Inputs!$E$5:$E$120=$B24)*ISNUMBER(INDEX(Inputs!$K$5:$AJ$120,0,MATCH(J$2,Inputs!$K$4:$AJ$4,0))))=0,NA(),SUMPRODUCT((Inputs!$A$5:$A$120=$B24)*Inputs!$B$5:$B$120*(((Inputs!$G$5:$G$120="moeda")+(Inputs!$G$5:$G$120="acoes"))*Inputs!$B$1+((Inputs!$G$5:$G$120&lt;&gt;"moeda")*(Inputs!$G$5:$G$120&lt;&gt;"acoes")))*INDEX(Inputs!$K$5:$AJ$120,0,MATCH(J$2,Inputs!$K$4:$AJ$4,0)))+SUMPRODUCT((Inputs!$C$5:$C$120=$B24)*Inputs!$D$5:$D$120*(((Inputs!$G$5:$G$120="moeda")+(Inputs!$G$5:$G$120="acoes"))*Inputs!$B$1+((Inputs!$G$5:$G$120&lt;&gt;"moeda")*(Inputs!$G$5:$G$120&lt;&gt;"acoes")))*INDEX(Inputs!$K$5:$AJ$120,0,MATCH(J$2,Inputs!$K$4:$AJ$4,0)))+SUMPRODUCT((Inputs!$E$5:$E$120=$B24)*Inputs!$F$5:$F$120*(((Inputs!$G$5:$G$120="moeda")+(Inputs!$G$5:$G$120="acoes"))*Inputs!$B$1+((Inputs!$G$5:$G$120&lt;&gt;"moeda")*(Inputs!$G$5:$G$120&lt;&gt;"acoes")))*INDEX(Inputs!$K$5:$AJ$120,0,MATCH(J$2,Inputs!$K$4:$AJ$4,0)))))</f>
        <v>468</v>
      </c>
      <c r="K24" s="267">
        <f>IF(ISNA(MATCH(K$2,Inputs!$K$4:$AJ$4,0)),NA(),IF(SUMPRODUCT((Inputs!$A$5:$A$120=$B24)*ISNUMBER(INDEX(Inputs!$K$5:$AJ$120,0,MATCH(K$2,Inputs!$K$4:$AJ$4,0))))+SUMPRODUCT((Inputs!$C$5:$C$120=$B24)*ISNUMBER(INDEX(Inputs!$K$5:$AJ$120,0,MATCH(K$2,Inputs!$K$4:$AJ$4,0))))+SUMPRODUCT((Inputs!$E$5:$E$120=$B24)*ISNUMBER(INDEX(Inputs!$K$5:$AJ$120,0,MATCH(K$2,Inputs!$K$4:$AJ$4,0))))=0,NA(),SUMPRODUCT((Inputs!$A$5:$A$120=$B24)*Inputs!$B$5:$B$120*(((Inputs!$G$5:$G$120="moeda")+(Inputs!$G$5:$G$120="acoes"))*Inputs!$B$1+((Inputs!$G$5:$G$120&lt;&gt;"moeda")*(Inputs!$G$5:$G$120&lt;&gt;"acoes")))*INDEX(Inputs!$K$5:$AJ$120,0,MATCH(K$2,Inputs!$K$4:$AJ$4,0)))+SUMPRODUCT((Inputs!$C$5:$C$120=$B24)*Inputs!$D$5:$D$120*(((Inputs!$G$5:$G$120="moeda")+(Inputs!$G$5:$G$120="acoes"))*Inputs!$B$1+((Inputs!$G$5:$G$120&lt;&gt;"moeda")*(Inputs!$G$5:$G$120&lt;&gt;"acoes")))*INDEX(Inputs!$K$5:$AJ$120,0,MATCH(K$2,Inputs!$K$4:$AJ$4,0)))+SUMPRODUCT((Inputs!$E$5:$E$120=$B24)*Inputs!$F$5:$F$120*(((Inputs!$G$5:$G$120="moeda")+(Inputs!$G$5:$G$120="acoes"))*Inputs!$B$1+((Inputs!$G$5:$G$120&lt;&gt;"moeda")*(Inputs!$G$5:$G$120&lt;&gt;"acoes")))*INDEX(Inputs!$K$5:$AJ$120,0,MATCH(K$2,Inputs!$K$4:$AJ$4,0)))))</f>
        <v>445</v>
      </c>
      <c r="L24" s="267">
        <f>IF(ISNA(MATCH(L$2,Inputs!$K$4:$AJ$4,0)),NA(),IF(SUMPRODUCT((Inputs!$A$5:$A$120=$B24)*ISNUMBER(INDEX(Inputs!$K$5:$AJ$120,0,MATCH(L$2,Inputs!$K$4:$AJ$4,0))))+SUMPRODUCT((Inputs!$C$5:$C$120=$B24)*ISNUMBER(INDEX(Inputs!$K$5:$AJ$120,0,MATCH(L$2,Inputs!$K$4:$AJ$4,0))))+SUMPRODUCT((Inputs!$E$5:$E$120=$B24)*ISNUMBER(INDEX(Inputs!$K$5:$AJ$120,0,MATCH(L$2,Inputs!$K$4:$AJ$4,0))))=0,NA(),SUMPRODUCT((Inputs!$A$5:$A$120=$B24)*Inputs!$B$5:$B$120*(((Inputs!$G$5:$G$120="moeda")+(Inputs!$G$5:$G$120="acoes"))*Inputs!$B$1+((Inputs!$G$5:$G$120&lt;&gt;"moeda")*(Inputs!$G$5:$G$120&lt;&gt;"acoes")))*INDEX(Inputs!$K$5:$AJ$120,0,MATCH(L$2,Inputs!$K$4:$AJ$4,0)))+SUMPRODUCT((Inputs!$C$5:$C$120=$B24)*Inputs!$D$5:$D$120*(((Inputs!$G$5:$G$120="moeda")+(Inputs!$G$5:$G$120="acoes"))*Inputs!$B$1+((Inputs!$G$5:$G$120&lt;&gt;"moeda")*(Inputs!$G$5:$G$120&lt;&gt;"acoes")))*INDEX(Inputs!$K$5:$AJ$120,0,MATCH(L$2,Inputs!$K$4:$AJ$4,0)))+SUMPRODUCT((Inputs!$E$5:$E$120=$B24)*Inputs!$F$5:$F$120*(((Inputs!$G$5:$G$120="moeda")+(Inputs!$G$5:$G$120="acoes"))*Inputs!$B$1+((Inputs!$G$5:$G$120&lt;&gt;"moeda")*(Inputs!$G$5:$G$120&lt;&gt;"acoes")))*INDEX(Inputs!$K$5:$AJ$120,0,MATCH(L$2,Inputs!$K$4:$AJ$4,0)))))</f>
        <v>470</v>
      </c>
      <c r="M24" s="268">
        <f>L24</f>
        <v>470</v>
      </c>
      <c r="N24" s="267">
        <f>IF(ISNA(MATCH(N$2,Inputs!$K$4:$AJ$4,0)),NA(),IF(SUMPRODUCT((Inputs!$A$5:$A$120=$B24)*ISNUMBER(INDEX(Inputs!$K$5:$AJ$120,0,MATCH(N$2,Inputs!$K$4:$AJ$4,0))))+SUMPRODUCT((Inputs!$C$5:$C$120=$B24)*ISNUMBER(INDEX(Inputs!$K$5:$AJ$120,0,MATCH(N$2,Inputs!$K$4:$AJ$4,0))))+SUMPRODUCT((Inputs!$E$5:$E$120=$B24)*ISNUMBER(INDEX(Inputs!$K$5:$AJ$120,0,MATCH(N$2,Inputs!$K$4:$AJ$4,0))))=0,NA(),SUMPRODUCT((Inputs!$A$5:$A$120=$B24)*Inputs!$B$5:$B$120*(((Inputs!$G$5:$G$120="moeda")+(Inputs!$G$5:$G$120="acoes"))*Inputs!$B$1+((Inputs!$G$5:$G$120&lt;&gt;"moeda")*(Inputs!$G$5:$G$120&lt;&gt;"acoes")))*INDEX(Inputs!$K$5:$AJ$120,0,MATCH(N$2,Inputs!$K$4:$AJ$4,0)))+SUMPRODUCT((Inputs!$C$5:$C$120=$B24)*Inputs!$D$5:$D$120*(((Inputs!$G$5:$G$120="moeda")+(Inputs!$G$5:$G$120="acoes"))*Inputs!$B$1+((Inputs!$G$5:$G$120&lt;&gt;"moeda")*(Inputs!$G$5:$G$120&lt;&gt;"acoes")))*INDEX(Inputs!$K$5:$AJ$120,0,MATCH(N$2,Inputs!$K$4:$AJ$4,0)))+SUMPRODUCT((Inputs!$E$5:$E$120=$B24)*Inputs!$F$5:$F$120*(((Inputs!$G$5:$G$120="moeda")+(Inputs!$G$5:$G$120="acoes"))*Inputs!$B$1+((Inputs!$G$5:$G$120&lt;&gt;"moeda")*(Inputs!$G$5:$G$120&lt;&gt;"acoes")))*INDEX(Inputs!$K$5:$AJ$120,0,MATCH(N$2,Inputs!$K$4:$AJ$4,0)))))</f>
        <v>478</v>
      </c>
      <c r="O24" s="267">
        <f>IF(ISNA(MATCH(O$2,Inputs!$K$4:$AJ$4,0)),NA(),IF(SUMPRODUCT((Inputs!$A$5:$A$120=$B24)*ISNUMBER(INDEX(Inputs!$K$5:$AJ$120,0,MATCH(O$2,Inputs!$K$4:$AJ$4,0))))+SUMPRODUCT((Inputs!$C$5:$C$120=$B24)*ISNUMBER(INDEX(Inputs!$K$5:$AJ$120,0,MATCH(O$2,Inputs!$K$4:$AJ$4,0))))+SUMPRODUCT((Inputs!$E$5:$E$120=$B24)*ISNUMBER(INDEX(Inputs!$K$5:$AJ$120,0,MATCH(O$2,Inputs!$K$4:$AJ$4,0))))=0,NA(),SUMPRODUCT((Inputs!$A$5:$A$120=$B24)*Inputs!$B$5:$B$120*(((Inputs!$G$5:$G$120="moeda")+(Inputs!$G$5:$G$120="acoes"))*Inputs!$B$1+((Inputs!$G$5:$G$120&lt;&gt;"moeda")*(Inputs!$G$5:$G$120&lt;&gt;"acoes")))*INDEX(Inputs!$K$5:$AJ$120,0,MATCH(O$2,Inputs!$K$4:$AJ$4,0)))+SUMPRODUCT((Inputs!$C$5:$C$120=$B24)*Inputs!$D$5:$D$120*(((Inputs!$G$5:$G$120="moeda")+(Inputs!$G$5:$G$120="acoes"))*Inputs!$B$1+((Inputs!$G$5:$G$120&lt;&gt;"moeda")*(Inputs!$G$5:$G$120&lt;&gt;"acoes")))*INDEX(Inputs!$K$5:$AJ$120,0,MATCH(O$2,Inputs!$K$4:$AJ$4,0)))+SUMPRODUCT((Inputs!$E$5:$E$120=$B24)*Inputs!$F$5:$F$120*(((Inputs!$G$5:$G$120="moeda")+(Inputs!$G$5:$G$120="acoes"))*Inputs!$B$1+((Inputs!$G$5:$G$120&lt;&gt;"moeda")*(Inputs!$G$5:$G$120&lt;&gt;"acoes")))*INDEX(Inputs!$K$5:$AJ$120,0,MATCH(O$2,Inputs!$K$4:$AJ$4,0)))))</f>
        <v>484</v>
      </c>
      <c r="P24" s="267">
        <f>IF(ISNA(MATCH(P$2,Inputs!$K$4:$AJ$4,0)),NA(),IF(SUMPRODUCT((Inputs!$A$5:$A$120=$B24)*ISNUMBER(INDEX(Inputs!$K$5:$AJ$120,0,MATCH(P$2,Inputs!$K$4:$AJ$4,0))))+SUMPRODUCT((Inputs!$C$5:$C$120=$B24)*ISNUMBER(INDEX(Inputs!$K$5:$AJ$120,0,MATCH(P$2,Inputs!$K$4:$AJ$4,0))))+SUMPRODUCT((Inputs!$E$5:$E$120=$B24)*ISNUMBER(INDEX(Inputs!$K$5:$AJ$120,0,MATCH(P$2,Inputs!$K$4:$AJ$4,0))))=0,NA(),SUMPRODUCT((Inputs!$A$5:$A$120=$B24)*Inputs!$B$5:$B$120*(((Inputs!$G$5:$G$120="moeda")+(Inputs!$G$5:$G$120="acoes"))*Inputs!$B$1+((Inputs!$G$5:$G$120&lt;&gt;"moeda")*(Inputs!$G$5:$G$120&lt;&gt;"acoes")))*INDEX(Inputs!$K$5:$AJ$120,0,MATCH(P$2,Inputs!$K$4:$AJ$4,0)))+SUMPRODUCT((Inputs!$C$5:$C$120=$B24)*Inputs!$D$5:$D$120*(((Inputs!$G$5:$G$120="moeda")+(Inputs!$G$5:$G$120="acoes"))*Inputs!$B$1+((Inputs!$G$5:$G$120&lt;&gt;"moeda")*(Inputs!$G$5:$G$120&lt;&gt;"acoes")))*INDEX(Inputs!$K$5:$AJ$120,0,MATCH(P$2,Inputs!$K$4:$AJ$4,0)))+SUMPRODUCT((Inputs!$E$5:$E$120=$B24)*Inputs!$F$5:$F$120*(((Inputs!$G$5:$G$120="moeda")+(Inputs!$G$5:$G$120="acoes"))*Inputs!$B$1+((Inputs!$G$5:$G$120&lt;&gt;"moeda")*(Inputs!$G$5:$G$120&lt;&gt;"acoes")))*INDEX(Inputs!$K$5:$AJ$120,0,MATCH(P$2,Inputs!$K$4:$AJ$4,0)))))</f>
        <v>472</v>
      </c>
      <c r="Q24" s="267">
        <f>IF(ISNA(MATCH(Q$2,Inputs!$K$4:$AJ$4,0)),NA(),IF(SUMPRODUCT((Inputs!$A$5:$A$120=$B24)*ISNUMBER(INDEX(Inputs!$K$5:$AJ$120,0,MATCH(Q$2,Inputs!$K$4:$AJ$4,0))))+SUMPRODUCT((Inputs!$C$5:$C$120=$B24)*ISNUMBER(INDEX(Inputs!$K$5:$AJ$120,0,MATCH(Q$2,Inputs!$K$4:$AJ$4,0))))+SUMPRODUCT((Inputs!$E$5:$E$120=$B24)*ISNUMBER(INDEX(Inputs!$K$5:$AJ$120,0,MATCH(Q$2,Inputs!$K$4:$AJ$4,0))))=0,NA(),SUMPRODUCT((Inputs!$A$5:$A$120=$B24)*Inputs!$B$5:$B$120*(((Inputs!$G$5:$G$120="moeda")+(Inputs!$G$5:$G$120="acoes"))*Inputs!$B$1+((Inputs!$G$5:$G$120&lt;&gt;"moeda")*(Inputs!$G$5:$G$120&lt;&gt;"acoes")))*INDEX(Inputs!$K$5:$AJ$120,0,MATCH(Q$2,Inputs!$K$4:$AJ$4,0)))+SUMPRODUCT((Inputs!$C$5:$C$120=$B24)*Inputs!$D$5:$D$120*(((Inputs!$G$5:$G$120="moeda")+(Inputs!$G$5:$G$120="acoes"))*Inputs!$B$1+((Inputs!$G$5:$G$120&lt;&gt;"moeda")*(Inputs!$G$5:$G$120&lt;&gt;"acoes")))*INDEX(Inputs!$K$5:$AJ$120,0,MATCH(Q$2,Inputs!$K$4:$AJ$4,0)))+SUMPRODUCT((Inputs!$E$5:$E$120=$B24)*Inputs!$F$5:$F$120*(((Inputs!$G$5:$G$120="moeda")+(Inputs!$G$5:$G$120="acoes"))*Inputs!$B$1+((Inputs!$G$5:$G$120&lt;&gt;"moeda")*(Inputs!$G$5:$G$120&lt;&gt;"acoes")))*INDEX(Inputs!$K$5:$AJ$120,0,MATCH(Q$2,Inputs!$K$4:$AJ$4,0)))))</f>
        <v>489</v>
      </c>
      <c r="R24" s="268">
        <f>Q24</f>
        <v>489</v>
      </c>
      <c r="S24" s="267">
        <f>IF(ISNA(MATCH(S$2,Inputs!$K$4:$AJ$4,0)),NA(),IF(SUMPRODUCT((Inputs!$A$5:$A$120=$B24)*ISNUMBER(INDEX(Inputs!$K$5:$AJ$120,0,MATCH(S$2,Inputs!$K$4:$AJ$4,0))))+SUMPRODUCT((Inputs!$C$5:$C$120=$B24)*ISNUMBER(INDEX(Inputs!$K$5:$AJ$120,0,MATCH(S$2,Inputs!$K$4:$AJ$4,0))))+SUMPRODUCT((Inputs!$E$5:$E$120=$B24)*ISNUMBER(INDEX(Inputs!$K$5:$AJ$120,0,MATCH(S$2,Inputs!$K$4:$AJ$4,0))))=0,NA(),SUMPRODUCT((Inputs!$A$5:$A$120=$B24)*Inputs!$B$5:$B$120*(((Inputs!$G$5:$G$120="moeda")+(Inputs!$G$5:$G$120="acoes"))*Inputs!$B$1+((Inputs!$G$5:$G$120&lt;&gt;"moeda")*(Inputs!$G$5:$G$120&lt;&gt;"acoes")))*INDEX(Inputs!$K$5:$AJ$120,0,MATCH(S$2,Inputs!$K$4:$AJ$4,0)))+SUMPRODUCT((Inputs!$C$5:$C$120=$B24)*Inputs!$D$5:$D$120*(((Inputs!$G$5:$G$120="moeda")+(Inputs!$G$5:$G$120="acoes"))*Inputs!$B$1+((Inputs!$G$5:$G$120&lt;&gt;"moeda")*(Inputs!$G$5:$G$120&lt;&gt;"acoes")))*INDEX(Inputs!$K$5:$AJ$120,0,MATCH(S$2,Inputs!$K$4:$AJ$4,0)))+SUMPRODUCT((Inputs!$E$5:$E$120=$B24)*Inputs!$F$5:$F$120*(((Inputs!$G$5:$G$120="moeda")+(Inputs!$G$5:$G$120="acoes"))*Inputs!$B$1+((Inputs!$G$5:$G$120&lt;&gt;"moeda")*(Inputs!$G$5:$G$120&lt;&gt;"acoes")))*INDEX(Inputs!$K$5:$AJ$120,0,MATCH(S$2,Inputs!$K$4:$AJ$4,0)))))</f>
        <v>480</v>
      </c>
      <c r="T24" s="267">
        <f>IF(ISNA(MATCH(T$2,Inputs!$K$4:$AJ$4,0)),NA(),IF(SUMPRODUCT((Inputs!$A$5:$A$120=$B24)*ISNUMBER(INDEX(Inputs!$K$5:$AJ$120,0,MATCH(T$2,Inputs!$K$4:$AJ$4,0))))+SUMPRODUCT((Inputs!$C$5:$C$120=$B24)*ISNUMBER(INDEX(Inputs!$K$5:$AJ$120,0,MATCH(T$2,Inputs!$K$4:$AJ$4,0))))+SUMPRODUCT((Inputs!$E$5:$E$120=$B24)*ISNUMBER(INDEX(Inputs!$K$5:$AJ$120,0,MATCH(T$2,Inputs!$K$4:$AJ$4,0))))=0,NA(),SUMPRODUCT((Inputs!$A$5:$A$120=$B24)*Inputs!$B$5:$B$120*(((Inputs!$G$5:$G$120="moeda")+(Inputs!$G$5:$G$120="acoes"))*Inputs!$B$1+((Inputs!$G$5:$G$120&lt;&gt;"moeda")*(Inputs!$G$5:$G$120&lt;&gt;"acoes")))*INDEX(Inputs!$K$5:$AJ$120,0,MATCH(T$2,Inputs!$K$4:$AJ$4,0)))+SUMPRODUCT((Inputs!$C$5:$C$120=$B24)*Inputs!$D$5:$D$120*(((Inputs!$G$5:$G$120="moeda")+(Inputs!$G$5:$G$120="acoes"))*Inputs!$B$1+((Inputs!$G$5:$G$120&lt;&gt;"moeda")*(Inputs!$G$5:$G$120&lt;&gt;"acoes")))*INDEX(Inputs!$K$5:$AJ$120,0,MATCH(T$2,Inputs!$K$4:$AJ$4,0)))+SUMPRODUCT((Inputs!$E$5:$E$120=$B24)*Inputs!$F$5:$F$120*(((Inputs!$G$5:$G$120="moeda")+(Inputs!$G$5:$G$120="acoes"))*Inputs!$B$1+((Inputs!$G$5:$G$120&lt;&gt;"moeda")*(Inputs!$G$5:$G$120&lt;&gt;"acoes")))*INDEX(Inputs!$K$5:$AJ$120,0,MATCH(T$2,Inputs!$K$4:$AJ$4,0)))))</f>
        <v>466</v>
      </c>
      <c r="U24" s="267">
        <f>IF(ISNA(MATCH(U$2,Inputs!$K$4:$AJ$4,0)),NA(),IF(SUMPRODUCT((Inputs!$A$5:$A$120=$B24)*ISNUMBER(INDEX(Inputs!$K$5:$AJ$120,0,MATCH(U$2,Inputs!$K$4:$AJ$4,0))))+SUMPRODUCT((Inputs!$C$5:$C$120=$B24)*ISNUMBER(INDEX(Inputs!$K$5:$AJ$120,0,MATCH(U$2,Inputs!$K$4:$AJ$4,0))))+SUMPRODUCT((Inputs!$E$5:$E$120=$B24)*ISNUMBER(INDEX(Inputs!$K$5:$AJ$120,0,MATCH(U$2,Inputs!$K$4:$AJ$4,0))))=0,NA(),SUMPRODUCT((Inputs!$A$5:$A$120=$B24)*Inputs!$B$5:$B$120*(((Inputs!$G$5:$G$120="moeda")+(Inputs!$G$5:$G$120="acoes"))*Inputs!$B$1+((Inputs!$G$5:$G$120&lt;&gt;"moeda")*(Inputs!$G$5:$G$120&lt;&gt;"acoes")))*INDEX(Inputs!$K$5:$AJ$120,0,MATCH(U$2,Inputs!$K$4:$AJ$4,0)))+SUMPRODUCT((Inputs!$C$5:$C$120=$B24)*Inputs!$D$5:$D$120*(((Inputs!$G$5:$G$120="moeda")+(Inputs!$G$5:$G$120="acoes"))*Inputs!$B$1+((Inputs!$G$5:$G$120&lt;&gt;"moeda")*(Inputs!$G$5:$G$120&lt;&gt;"acoes")))*INDEX(Inputs!$K$5:$AJ$120,0,MATCH(U$2,Inputs!$K$4:$AJ$4,0)))+SUMPRODUCT((Inputs!$E$5:$E$120=$B24)*Inputs!$F$5:$F$120*(((Inputs!$G$5:$G$120="moeda")+(Inputs!$G$5:$G$120="acoes"))*Inputs!$B$1+((Inputs!$G$5:$G$120&lt;&gt;"moeda")*(Inputs!$G$5:$G$120&lt;&gt;"acoes")))*INDEX(Inputs!$K$5:$AJ$120,0,MATCH(U$2,Inputs!$K$4:$AJ$4,0)))))</f>
        <v>482</v>
      </c>
      <c r="V24" s="267">
        <f>IF(ISNA(MATCH(V$2,Inputs!$K$4:$AJ$4,0)),NA(),IF(SUMPRODUCT((Inputs!$A$5:$A$120=$B24)*ISNUMBER(INDEX(Inputs!$K$5:$AJ$120,0,MATCH(V$2,Inputs!$K$4:$AJ$4,0))))+SUMPRODUCT((Inputs!$C$5:$C$120=$B24)*ISNUMBER(INDEX(Inputs!$K$5:$AJ$120,0,MATCH(V$2,Inputs!$K$4:$AJ$4,0))))+SUMPRODUCT((Inputs!$E$5:$E$120=$B24)*ISNUMBER(INDEX(Inputs!$K$5:$AJ$120,0,MATCH(V$2,Inputs!$K$4:$AJ$4,0))))=0,NA(),SUMPRODUCT((Inputs!$A$5:$A$120=$B24)*Inputs!$B$5:$B$120*(((Inputs!$G$5:$G$120="moeda")+(Inputs!$G$5:$G$120="acoes"))*Inputs!$B$1+((Inputs!$G$5:$G$120&lt;&gt;"moeda")*(Inputs!$G$5:$G$120&lt;&gt;"acoes")))*INDEX(Inputs!$K$5:$AJ$120,0,MATCH(V$2,Inputs!$K$4:$AJ$4,0)))+SUMPRODUCT((Inputs!$C$5:$C$120=$B24)*Inputs!$D$5:$D$120*(((Inputs!$G$5:$G$120="moeda")+(Inputs!$G$5:$G$120="acoes"))*Inputs!$B$1+((Inputs!$G$5:$G$120&lt;&gt;"moeda")*(Inputs!$G$5:$G$120&lt;&gt;"acoes")))*INDEX(Inputs!$K$5:$AJ$120,0,MATCH(V$2,Inputs!$K$4:$AJ$4,0)))+SUMPRODUCT((Inputs!$E$5:$E$120=$B24)*Inputs!$F$5:$F$120*(((Inputs!$G$5:$G$120="moeda")+(Inputs!$G$5:$G$120="acoes"))*Inputs!$B$1+((Inputs!$G$5:$G$120&lt;&gt;"moeda")*(Inputs!$G$5:$G$120&lt;&gt;"acoes")))*INDEX(Inputs!$K$5:$AJ$120,0,MATCH(V$2,Inputs!$K$4:$AJ$4,0)))))</f>
        <v>453</v>
      </c>
      <c r="W24" s="268">
        <f>V24</f>
        <v>453</v>
      </c>
      <c r="X24" s="267">
        <f>IF(ISNA(MATCH(X$2,Inputs!$K$4:$AJ$4,0)),NA(),IF(SUMPRODUCT((Inputs!$A$5:$A$120=$B24)*ISNUMBER(INDEX(Inputs!$K$5:$AJ$120,0,MATCH(X$2,Inputs!$K$4:$AJ$4,0))))+SUMPRODUCT((Inputs!$C$5:$C$120=$B24)*ISNUMBER(INDEX(Inputs!$K$5:$AJ$120,0,MATCH(X$2,Inputs!$K$4:$AJ$4,0))))+SUMPRODUCT((Inputs!$E$5:$E$120=$B24)*ISNUMBER(INDEX(Inputs!$K$5:$AJ$120,0,MATCH(X$2,Inputs!$K$4:$AJ$4,0))))=0,NA(),SUMPRODUCT((Inputs!$A$5:$A$120=$B24)*Inputs!$B$5:$B$120*(((Inputs!$G$5:$G$120="moeda")+(Inputs!$G$5:$G$120="acoes"))*Inputs!$B$1+((Inputs!$G$5:$G$120&lt;&gt;"moeda")*(Inputs!$G$5:$G$120&lt;&gt;"acoes")))*INDEX(Inputs!$K$5:$AJ$120,0,MATCH(X$2,Inputs!$K$4:$AJ$4,0)))+SUMPRODUCT((Inputs!$C$5:$C$120=$B24)*Inputs!$D$5:$D$120*(((Inputs!$G$5:$G$120="moeda")+(Inputs!$G$5:$G$120="acoes"))*Inputs!$B$1+((Inputs!$G$5:$G$120&lt;&gt;"moeda")*(Inputs!$G$5:$G$120&lt;&gt;"acoes")))*INDEX(Inputs!$K$5:$AJ$120,0,MATCH(X$2,Inputs!$K$4:$AJ$4,0)))+SUMPRODUCT((Inputs!$E$5:$E$120=$B24)*Inputs!$F$5:$F$120*(((Inputs!$G$5:$G$120="moeda")+(Inputs!$G$5:$G$120="acoes"))*Inputs!$B$1+((Inputs!$G$5:$G$120&lt;&gt;"moeda")*(Inputs!$G$5:$G$120&lt;&gt;"acoes")))*INDEX(Inputs!$K$5:$AJ$120,0,MATCH(X$2,Inputs!$K$4:$AJ$4,0)))))</f>
        <v>463</v>
      </c>
      <c r="Y24" s="267">
        <f>IF(ISNA(MATCH(Y$2,Inputs!$K$4:$AJ$4,0)),NA(),IF(SUMPRODUCT((Inputs!$A$5:$A$120=$B24)*ISNUMBER(INDEX(Inputs!$K$5:$AJ$120,0,MATCH(Y$2,Inputs!$K$4:$AJ$4,0))))+SUMPRODUCT((Inputs!$C$5:$C$120=$B24)*ISNUMBER(INDEX(Inputs!$K$5:$AJ$120,0,MATCH(Y$2,Inputs!$K$4:$AJ$4,0))))+SUMPRODUCT((Inputs!$E$5:$E$120=$B24)*ISNUMBER(INDEX(Inputs!$K$5:$AJ$120,0,MATCH(Y$2,Inputs!$K$4:$AJ$4,0))))=0,NA(),SUMPRODUCT((Inputs!$A$5:$A$120=$B24)*Inputs!$B$5:$B$120*(((Inputs!$G$5:$G$120="moeda")+(Inputs!$G$5:$G$120="acoes"))*Inputs!$B$1+((Inputs!$G$5:$G$120&lt;&gt;"moeda")*(Inputs!$G$5:$G$120&lt;&gt;"acoes")))*INDEX(Inputs!$K$5:$AJ$120,0,MATCH(Y$2,Inputs!$K$4:$AJ$4,0)))+SUMPRODUCT((Inputs!$C$5:$C$120=$B24)*Inputs!$D$5:$D$120*(((Inputs!$G$5:$G$120="moeda")+(Inputs!$G$5:$G$120="acoes"))*Inputs!$B$1+((Inputs!$G$5:$G$120&lt;&gt;"moeda")*(Inputs!$G$5:$G$120&lt;&gt;"acoes")))*INDEX(Inputs!$K$5:$AJ$120,0,MATCH(Y$2,Inputs!$K$4:$AJ$4,0)))+SUMPRODUCT((Inputs!$E$5:$E$120=$B24)*Inputs!$F$5:$F$120*(((Inputs!$G$5:$G$120="moeda")+(Inputs!$G$5:$G$120="acoes"))*Inputs!$B$1+((Inputs!$G$5:$G$120&lt;&gt;"moeda")*(Inputs!$G$5:$G$120&lt;&gt;"acoes")))*INDEX(Inputs!$K$5:$AJ$120,0,MATCH(Y$2,Inputs!$K$4:$AJ$4,0)))))</f>
        <v>460</v>
      </c>
      <c r="Z24" s="267">
        <f>IF(ISNA(MATCH(Z$2,Inputs!$K$4:$AJ$4,0)),NA(),IF(SUMPRODUCT((Inputs!$A$5:$A$120=$B24)*ISNUMBER(INDEX(Inputs!$K$5:$AJ$120,0,MATCH(Z$2,Inputs!$K$4:$AJ$4,0))))+SUMPRODUCT((Inputs!$C$5:$C$120=$B24)*ISNUMBER(INDEX(Inputs!$K$5:$AJ$120,0,MATCH(Z$2,Inputs!$K$4:$AJ$4,0))))+SUMPRODUCT((Inputs!$E$5:$E$120=$B24)*ISNUMBER(INDEX(Inputs!$K$5:$AJ$120,0,MATCH(Z$2,Inputs!$K$4:$AJ$4,0))))=0,NA(),SUMPRODUCT((Inputs!$A$5:$A$120=$B24)*Inputs!$B$5:$B$120*(((Inputs!$G$5:$G$120="moeda")+(Inputs!$G$5:$G$120="acoes"))*Inputs!$B$1+((Inputs!$G$5:$G$120&lt;&gt;"moeda")*(Inputs!$G$5:$G$120&lt;&gt;"acoes")))*INDEX(Inputs!$K$5:$AJ$120,0,MATCH(Z$2,Inputs!$K$4:$AJ$4,0)))+SUMPRODUCT((Inputs!$C$5:$C$120=$B24)*Inputs!$D$5:$D$120*(((Inputs!$G$5:$G$120="moeda")+(Inputs!$G$5:$G$120="acoes"))*Inputs!$B$1+((Inputs!$G$5:$G$120&lt;&gt;"moeda")*(Inputs!$G$5:$G$120&lt;&gt;"acoes")))*INDEX(Inputs!$K$5:$AJ$120,0,MATCH(Z$2,Inputs!$K$4:$AJ$4,0)))+SUMPRODUCT((Inputs!$E$5:$E$120=$B24)*Inputs!$F$5:$F$120*(((Inputs!$G$5:$G$120="moeda")+(Inputs!$G$5:$G$120="acoes"))*Inputs!$B$1+((Inputs!$G$5:$G$120&lt;&gt;"moeda")*(Inputs!$G$5:$G$120&lt;&gt;"acoes")))*INDEX(Inputs!$K$5:$AJ$120,0,MATCH(Z$2,Inputs!$K$4:$AJ$4,0)))))</f>
        <v>2769</v>
      </c>
      <c r="AA24" s="267">
        <f>IF(ISNA(MATCH(AA$2,Inputs!$K$4:$AJ$4,0)),NA(),IF(SUMPRODUCT((Inputs!$A$5:$A$120=$B24)*ISNUMBER(INDEX(Inputs!$K$5:$AJ$120,0,MATCH(AA$2,Inputs!$K$4:$AJ$4,0))))+SUMPRODUCT((Inputs!$C$5:$C$120=$B24)*ISNUMBER(INDEX(Inputs!$K$5:$AJ$120,0,MATCH(AA$2,Inputs!$K$4:$AJ$4,0))))+SUMPRODUCT((Inputs!$E$5:$E$120=$B24)*ISNUMBER(INDEX(Inputs!$K$5:$AJ$120,0,MATCH(AA$2,Inputs!$K$4:$AJ$4,0))))=0,NA(),SUMPRODUCT((Inputs!$A$5:$A$120=$B24)*Inputs!$B$5:$B$120*(((Inputs!$G$5:$G$120="moeda")+(Inputs!$G$5:$G$120="acoes"))*Inputs!$B$1+((Inputs!$G$5:$G$120&lt;&gt;"moeda")*(Inputs!$G$5:$G$120&lt;&gt;"acoes")))*INDEX(Inputs!$K$5:$AJ$120,0,MATCH(AA$2,Inputs!$K$4:$AJ$4,0)))+SUMPRODUCT((Inputs!$C$5:$C$120=$B24)*Inputs!$D$5:$D$120*(((Inputs!$G$5:$G$120="moeda")+(Inputs!$G$5:$G$120="acoes"))*Inputs!$B$1+((Inputs!$G$5:$G$120&lt;&gt;"moeda")*(Inputs!$G$5:$G$120&lt;&gt;"acoes")))*INDEX(Inputs!$K$5:$AJ$120,0,MATCH(AA$2,Inputs!$K$4:$AJ$4,0)))+SUMPRODUCT((Inputs!$E$5:$E$120=$B24)*Inputs!$F$5:$F$120*(((Inputs!$G$5:$G$120="moeda")+(Inputs!$G$5:$G$120="acoes"))*Inputs!$B$1+((Inputs!$G$5:$G$120&lt;&gt;"moeda")*(Inputs!$G$5:$G$120&lt;&gt;"acoes")))*INDEX(Inputs!$K$5:$AJ$120,0,MATCH(AA$2,Inputs!$K$4:$AJ$4,0)))))</f>
        <v>3141</v>
      </c>
      <c r="AB24" s="268">
        <f>AA24</f>
        <v>3141</v>
      </c>
      <c r="AC24" s="267">
        <f>IF(ISNA(MATCH(AC$2,Inputs!$K$4:$AJ$4,0)),NA(),IF(SUMPRODUCT((Inputs!$A$5:$A$120=$B24)*ISNUMBER(INDEX(Inputs!$K$5:$AJ$120,0,MATCH(AC$2,Inputs!$K$4:$AJ$4,0))))+SUMPRODUCT((Inputs!$C$5:$C$120=$B24)*ISNUMBER(INDEX(Inputs!$K$5:$AJ$120,0,MATCH(AC$2,Inputs!$K$4:$AJ$4,0))))+SUMPRODUCT((Inputs!$E$5:$E$120=$B24)*ISNUMBER(INDEX(Inputs!$K$5:$AJ$120,0,MATCH(AC$2,Inputs!$K$4:$AJ$4,0))))=0,NA(),SUMPRODUCT((Inputs!$A$5:$A$120=$B24)*Inputs!$B$5:$B$120*(((Inputs!$G$5:$G$120="moeda")+(Inputs!$G$5:$G$120="acoes"))*Inputs!$B$1+((Inputs!$G$5:$G$120&lt;&gt;"moeda")*(Inputs!$G$5:$G$120&lt;&gt;"acoes")))*INDEX(Inputs!$K$5:$AJ$120,0,MATCH(AC$2,Inputs!$K$4:$AJ$4,0)))+SUMPRODUCT((Inputs!$C$5:$C$120=$B24)*Inputs!$D$5:$D$120*(((Inputs!$G$5:$G$120="moeda")+(Inputs!$G$5:$G$120="acoes"))*Inputs!$B$1+((Inputs!$G$5:$G$120&lt;&gt;"moeda")*(Inputs!$G$5:$G$120&lt;&gt;"acoes")))*INDEX(Inputs!$K$5:$AJ$120,0,MATCH(AC$2,Inputs!$K$4:$AJ$4,0)))+SUMPRODUCT((Inputs!$E$5:$E$120=$B24)*Inputs!$F$5:$F$120*(((Inputs!$G$5:$G$120="moeda")+(Inputs!$G$5:$G$120="acoes"))*Inputs!$B$1+((Inputs!$G$5:$G$120&lt;&gt;"moeda")*(Inputs!$G$5:$G$120&lt;&gt;"acoes")))*INDEX(Inputs!$K$5:$AJ$120,0,MATCH(AC$2,Inputs!$K$4:$AJ$4,0)))))</f>
        <v>3291</v>
      </c>
      <c r="AD24" s="267">
        <f>IF(ISNA(MATCH(AD$2,Inputs!$K$4:$AJ$4,0)),NA(),IF(SUMPRODUCT((Inputs!$A$5:$A$120=$B24)*ISNUMBER(INDEX(Inputs!$K$5:$AJ$120,0,MATCH(AD$2,Inputs!$K$4:$AJ$4,0))))+SUMPRODUCT((Inputs!$C$5:$C$120=$B24)*ISNUMBER(INDEX(Inputs!$K$5:$AJ$120,0,MATCH(AD$2,Inputs!$K$4:$AJ$4,0))))+SUMPRODUCT((Inputs!$E$5:$E$120=$B24)*ISNUMBER(INDEX(Inputs!$K$5:$AJ$120,0,MATCH(AD$2,Inputs!$K$4:$AJ$4,0))))=0,NA(),SUMPRODUCT((Inputs!$A$5:$A$120=$B24)*Inputs!$B$5:$B$120*(((Inputs!$G$5:$G$120="moeda")+(Inputs!$G$5:$G$120="acoes"))*Inputs!$B$1+((Inputs!$G$5:$G$120&lt;&gt;"moeda")*(Inputs!$G$5:$G$120&lt;&gt;"acoes")))*INDEX(Inputs!$K$5:$AJ$120,0,MATCH(AD$2,Inputs!$K$4:$AJ$4,0)))+SUMPRODUCT((Inputs!$C$5:$C$120=$B24)*Inputs!$D$5:$D$120*(((Inputs!$G$5:$G$120="moeda")+(Inputs!$G$5:$G$120="acoes"))*Inputs!$B$1+((Inputs!$G$5:$G$120&lt;&gt;"moeda")*(Inputs!$G$5:$G$120&lt;&gt;"acoes")))*INDEX(Inputs!$K$5:$AJ$120,0,MATCH(AD$2,Inputs!$K$4:$AJ$4,0)))+SUMPRODUCT((Inputs!$E$5:$E$120=$B24)*Inputs!$F$5:$F$120*(((Inputs!$G$5:$G$120="moeda")+(Inputs!$G$5:$G$120="acoes"))*Inputs!$B$1+((Inputs!$G$5:$G$120&lt;&gt;"moeda")*(Inputs!$G$5:$G$120&lt;&gt;"acoes")))*INDEX(Inputs!$K$5:$AJ$120,0,MATCH(AD$2,Inputs!$K$4:$AJ$4,0)))))</f>
        <v>3354</v>
      </c>
      <c r="AE24" s="267" t="e">
        <f>IF(ISNA(MATCH(AE$2,Inputs!$K$4:$AJ$4,0)),NA(),IF(SUMPRODUCT((Inputs!$A$5:$A$120=$B24)*ISNUMBER(INDEX(Inputs!$K$5:$AJ$120,0,MATCH(AE$2,Inputs!$K$4:$AJ$4,0))))+SUMPRODUCT((Inputs!$C$5:$C$120=$B24)*ISNUMBER(INDEX(Inputs!$K$5:$AJ$120,0,MATCH(AE$2,Inputs!$K$4:$AJ$4,0))))+SUMPRODUCT((Inputs!$E$5:$E$120=$B24)*ISNUMBER(INDEX(Inputs!$K$5:$AJ$120,0,MATCH(AE$2,Inputs!$K$4:$AJ$4,0))))=0,NA(),SUMPRODUCT((Inputs!$A$5:$A$120=$B24)*Inputs!$B$5:$B$120*(((Inputs!$G$5:$G$120="moeda")+(Inputs!$G$5:$G$120="acoes"))*Inputs!$B$1+((Inputs!$G$5:$G$120&lt;&gt;"moeda")*(Inputs!$G$5:$G$120&lt;&gt;"acoes")))*INDEX(Inputs!$K$5:$AJ$120,0,MATCH(AE$2,Inputs!$K$4:$AJ$4,0)))+SUMPRODUCT((Inputs!$C$5:$C$120=$B24)*Inputs!$D$5:$D$120*(((Inputs!$G$5:$G$120="moeda")+(Inputs!$G$5:$G$120="acoes"))*Inputs!$B$1+((Inputs!$G$5:$G$120&lt;&gt;"moeda")*(Inputs!$G$5:$G$120&lt;&gt;"acoes")))*INDEX(Inputs!$K$5:$AJ$120,0,MATCH(AE$2,Inputs!$K$4:$AJ$4,0)))+SUMPRODUCT((Inputs!$E$5:$E$120=$B24)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4" s="267" t="e">
        <f>IF(ISNA(MATCH(AF$2,Inputs!$K$4:$AJ$4,0)),NA(),IF(SUMPRODUCT((Inputs!$A$5:$A$120=$B24)*ISNUMBER(INDEX(Inputs!$K$5:$AJ$120,0,MATCH(AF$2,Inputs!$K$4:$AJ$4,0))))+SUMPRODUCT((Inputs!$C$5:$C$120=$B24)*ISNUMBER(INDEX(Inputs!$K$5:$AJ$120,0,MATCH(AF$2,Inputs!$K$4:$AJ$4,0))))+SUMPRODUCT((Inputs!$E$5:$E$120=$B24)*ISNUMBER(INDEX(Inputs!$K$5:$AJ$120,0,MATCH(AF$2,Inputs!$K$4:$AJ$4,0))))=0,NA(),SUMPRODUCT((Inputs!$A$5:$A$120=$B24)*Inputs!$B$5:$B$120*(((Inputs!$G$5:$G$120="moeda")+(Inputs!$G$5:$G$120="acoes"))*Inputs!$B$1+((Inputs!$G$5:$G$120&lt;&gt;"moeda")*(Inputs!$G$5:$G$120&lt;&gt;"acoes")))*INDEX(Inputs!$K$5:$AJ$120,0,MATCH(AF$2,Inputs!$K$4:$AJ$4,0)))+SUMPRODUCT((Inputs!$C$5:$C$120=$B24)*Inputs!$D$5:$D$120*(((Inputs!$G$5:$G$120="moeda")+(Inputs!$G$5:$G$120="acoes"))*Inputs!$B$1+((Inputs!$G$5:$G$120&lt;&gt;"moeda")*(Inputs!$G$5:$G$120&lt;&gt;"acoes")))*INDEX(Inputs!$K$5:$AJ$120,0,MATCH(AF$2,Inputs!$K$4:$AJ$4,0)))+SUMPRODUCT((Inputs!$E$5:$E$120=$B24)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4" s="268" t="e">
        <f>AF24</f>
        <v>#N/A</v>
      </c>
      <c r="AH24" s="267">
        <f>IF(ISNA(MATCH(AH$2,Inputs!$K$4:$AJ$4,0)),NA(),IF(SUMPRODUCT((Inputs!$A$5:$A$120=$B24)*ISNUMBER(INDEX(Inputs!$K$5:$AJ$120,0,MATCH(AH$2,Inputs!$K$4:$AJ$4,0))))+SUMPRODUCT((Inputs!$C$5:$C$120=$B24)*ISNUMBER(INDEX(Inputs!$K$5:$AJ$120,0,MATCH(AH$2,Inputs!$K$4:$AJ$4,0))))+SUMPRODUCT((Inputs!$E$5:$E$120=$B24)*ISNUMBER(INDEX(Inputs!$K$5:$AJ$120,0,MATCH(AH$2,Inputs!$K$4:$AJ$4,0))))=0,NA(),SUMPRODUCT((Inputs!$A$5:$A$120=$B24)*Inputs!$B$5:$B$120*(((Inputs!$G$5:$G$120="moeda")+(Inputs!$G$5:$G$120="acoes"))*Inputs!$B$1+((Inputs!$G$5:$G$120&lt;&gt;"moeda")*(Inputs!$G$5:$G$120&lt;&gt;"acoes")))*INDEX(Inputs!$K$5:$AJ$120,0,MATCH(AH$2,Inputs!$K$4:$AJ$4,0)))+SUMPRODUCT((Inputs!$C$5:$C$120=$B24)*Inputs!$D$5:$D$120*(((Inputs!$G$5:$G$120="moeda")+(Inputs!$G$5:$G$120="acoes"))*Inputs!$B$1+((Inputs!$G$5:$G$120&lt;&gt;"moeda")*(Inputs!$G$5:$G$120&lt;&gt;"acoes")))*INDEX(Inputs!$K$5:$AJ$120,0,MATCH(AH$2,Inputs!$K$4:$AJ$4,0)))+SUMPRODUCT((Inputs!$E$5:$E$120=$B24)*Inputs!$F$5:$F$120*(((Inputs!$G$5:$G$120="moeda")+(Inputs!$G$5:$G$120="acoes"))*Inputs!$B$1+((Inputs!$G$5:$G$120&lt;&gt;"moeda")*(Inputs!$G$5:$G$120&lt;&gt;"acoes")))*INDEX(Inputs!$K$5:$AJ$120,0,MATCH(AH$2,Inputs!$K$4:$AJ$4,0)))))</f>
        <v>553</v>
      </c>
      <c r="AI24" s="267">
        <f>IF(ISNA(MATCH(AI$2,Inputs!$K$4:$AJ$4,0)),NA(),IF(SUMPRODUCT((Inputs!$A$5:$A$120=$B24)*ISNUMBER(INDEX(Inputs!$K$5:$AJ$120,0,MATCH(AI$2,Inputs!$K$4:$AJ$4,0))))+SUMPRODUCT((Inputs!$C$5:$C$120=$B24)*ISNUMBER(INDEX(Inputs!$K$5:$AJ$120,0,MATCH(AI$2,Inputs!$K$4:$AJ$4,0))))+SUMPRODUCT((Inputs!$E$5:$E$120=$B24)*ISNUMBER(INDEX(Inputs!$K$5:$AJ$120,0,MATCH(AI$2,Inputs!$K$4:$AJ$4,0))))=0,NA(),SUMPRODUCT((Inputs!$A$5:$A$120=$B24)*Inputs!$B$5:$B$120*(((Inputs!$G$5:$G$120="moeda")+(Inputs!$G$5:$G$120="acoes"))*Inputs!$B$1+((Inputs!$G$5:$G$120&lt;&gt;"moeda")*(Inputs!$G$5:$G$120&lt;&gt;"acoes")))*INDEX(Inputs!$K$5:$AJ$120,0,MATCH(AI$2,Inputs!$K$4:$AJ$4,0)))+SUMPRODUCT((Inputs!$C$5:$C$120=$B24)*Inputs!$D$5:$D$120*(((Inputs!$G$5:$G$120="moeda")+(Inputs!$G$5:$G$120="acoes"))*Inputs!$B$1+((Inputs!$G$5:$G$120&lt;&gt;"moeda")*(Inputs!$G$5:$G$120&lt;&gt;"acoes")))*INDEX(Inputs!$K$5:$AJ$120,0,MATCH(AI$2,Inputs!$K$4:$AJ$4,0)))+SUMPRODUCT((Inputs!$E$5:$E$120=$B24)*Inputs!$F$5:$F$120*(((Inputs!$G$5:$G$120="moeda")+(Inputs!$G$5:$G$120="acoes"))*Inputs!$B$1+((Inputs!$G$5:$G$120&lt;&gt;"moeda")*(Inputs!$G$5:$G$120&lt;&gt;"acoes")))*INDEX(Inputs!$K$5:$AJ$120,0,MATCH(AI$2,Inputs!$K$4:$AJ$4,0)))))</f>
        <v>550</v>
      </c>
      <c r="AJ24" s="267">
        <f>IF(ISNA(MATCH(AJ$2,Inputs!$K$4:$AJ$4,0)),NA(),IF(SUMPRODUCT((Inputs!$A$5:$A$120=$B24)*ISNUMBER(INDEX(Inputs!$K$5:$AJ$120,0,MATCH(AJ$2,Inputs!$K$4:$AJ$4,0))))+SUMPRODUCT((Inputs!$C$5:$C$120=$B24)*ISNUMBER(INDEX(Inputs!$K$5:$AJ$120,0,MATCH(AJ$2,Inputs!$K$4:$AJ$4,0))))+SUMPRODUCT((Inputs!$E$5:$E$120=$B24)*ISNUMBER(INDEX(Inputs!$K$5:$AJ$120,0,MATCH(AJ$2,Inputs!$K$4:$AJ$4,0))))=0,NA(),SUMPRODUCT((Inputs!$A$5:$A$120=$B24)*Inputs!$B$5:$B$120*(((Inputs!$G$5:$G$120="moeda")+(Inputs!$G$5:$G$120="acoes"))*Inputs!$B$1+((Inputs!$G$5:$G$120&lt;&gt;"moeda")*(Inputs!$G$5:$G$120&lt;&gt;"acoes")))*INDEX(Inputs!$K$5:$AJ$120,0,MATCH(AJ$2,Inputs!$K$4:$AJ$4,0)))+SUMPRODUCT((Inputs!$C$5:$C$120=$B24)*Inputs!$D$5:$D$120*(((Inputs!$G$5:$G$120="moeda")+(Inputs!$G$5:$G$120="acoes"))*Inputs!$B$1+((Inputs!$G$5:$G$120&lt;&gt;"moeda")*(Inputs!$G$5:$G$120&lt;&gt;"acoes")))*INDEX(Inputs!$K$5:$AJ$120,0,MATCH(AJ$2,Inputs!$K$4:$AJ$4,0)))+SUMPRODUCT((Inputs!$E$5:$E$120=$B24)*Inputs!$F$5:$F$120*(((Inputs!$G$5:$G$120="moeda")+(Inputs!$G$5:$G$120="acoes"))*Inputs!$B$1+((Inputs!$G$5:$G$120&lt;&gt;"moeda")*(Inputs!$G$5:$G$120&lt;&gt;"acoes")))*INDEX(Inputs!$K$5:$AJ$120,0,MATCH(AJ$2,Inputs!$K$4:$AJ$4,0)))))</f>
        <v>559</v>
      </c>
      <c r="AK24" s="267">
        <f>IF(ISNA(MATCH(AK$2,Inputs!$K$4:$AJ$4,0)),NA(),IF(SUMPRODUCT((Inputs!$A$5:$A$120=$B24)*ISNUMBER(INDEX(Inputs!$K$5:$AJ$120,0,MATCH(AK$2,Inputs!$K$4:$AJ$4,0))))+SUMPRODUCT((Inputs!$C$5:$C$120=$B24)*ISNUMBER(INDEX(Inputs!$K$5:$AJ$120,0,MATCH(AK$2,Inputs!$K$4:$AJ$4,0))))+SUMPRODUCT((Inputs!$E$5:$E$120=$B24)*ISNUMBER(INDEX(Inputs!$K$5:$AJ$120,0,MATCH(AK$2,Inputs!$K$4:$AJ$4,0))))=0,NA(),SUMPRODUCT((Inputs!$A$5:$A$120=$B24)*Inputs!$B$5:$B$120*(((Inputs!$G$5:$G$120="moeda")+(Inputs!$G$5:$G$120="acoes"))*Inputs!$B$1+((Inputs!$G$5:$G$120&lt;&gt;"moeda")*(Inputs!$G$5:$G$120&lt;&gt;"acoes")))*INDEX(Inputs!$K$5:$AJ$120,0,MATCH(AK$2,Inputs!$K$4:$AJ$4,0)))+SUMPRODUCT((Inputs!$C$5:$C$120=$B24)*Inputs!$D$5:$D$120*(((Inputs!$G$5:$G$120="moeda")+(Inputs!$G$5:$G$120="acoes"))*Inputs!$B$1+((Inputs!$G$5:$G$120&lt;&gt;"moeda")*(Inputs!$G$5:$G$120&lt;&gt;"acoes")))*INDEX(Inputs!$K$5:$AJ$120,0,MATCH(AK$2,Inputs!$K$4:$AJ$4,0)))+SUMPRODUCT((Inputs!$E$5:$E$120=$B24)*Inputs!$F$5:$F$120*(((Inputs!$G$5:$G$120="moeda")+(Inputs!$G$5:$G$120="acoes"))*Inputs!$B$1+((Inputs!$G$5:$G$120&lt;&gt;"moeda")*(Inputs!$G$5:$G$120&lt;&gt;"acoes")))*INDEX(Inputs!$K$5:$AJ$120,0,MATCH(AK$2,Inputs!$K$4:$AJ$4,0)))))</f>
        <v>586</v>
      </c>
      <c r="AL24" s="268">
        <f>AK24</f>
        <v>586</v>
      </c>
    </row>
    <row r="25" ht="12.75" customHeight="1" s="255">
      <c r="B25" s="265" t="n">
        <v>21</v>
      </c>
      <c r="C25" s="270" t="inlineStr">
        <is>
          <t>Intangibles</t>
        </is>
      </c>
      <c r="D25" s="267">
        <f>IF(ISNA(MATCH(D$2,Inputs!$K$4:$AJ$4,0)),NA(),IF(SUMPRODUCT((Inputs!$A$5:$A$120=$B25)*ISNUMBER(INDEX(Inputs!$K$5:$AJ$120,0,MATCH(D$2,Inputs!$K$4:$AJ$4,0))))+SUMPRODUCT((Inputs!$C$5:$C$120=$B25)*ISNUMBER(INDEX(Inputs!$K$5:$AJ$120,0,MATCH(D$2,Inputs!$K$4:$AJ$4,0))))+SUMPRODUCT((Inputs!$E$5:$E$120=$B25)*ISNUMBER(INDEX(Inputs!$K$5:$AJ$120,0,MATCH(D$2,Inputs!$K$4:$AJ$4,0))))=0,NA(),SUMPRODUCT((Inputs!$A$5:$A$120=$B25)*Inputs!$B$5:$B$120*(((Inputs!$G$5:$G$120="moeda")+(Inputs!$G$5:$G$120="acoes"))*Inputs!$B$1+((Inputs!$G$5:$G$120&lt;&gt;"moeda")*(Inputs!$G$5:$G$120&lt;&gt;"acoes")))*INDEX(Inputs!$K$5:$AJ$120,0,MATCH(D$2,Inputs!$K$4:$AJ$4,0)))+SUMPRODUCT((Inputs!$C$5:$C$120=$B25)*Inputs!$D$5:$D$120*(((Inputs!$G$5:$G$120="moeda")+(Inputs!$G$5:$G$120="acoes"))*Inputs!$B$1+((Inputs!$G$5:$G$120&lt;&gt;"moeda")*(Inputs!$G$5:$G$120&lt;&gt;"acoes")))*INDEX(Inputs!$K$5:$AJ$120,0,MATCH(D$2,Inputs!$K$4:$AJ$4,0)))+SUMPRODUCT((Inputs!$E$5:$E$120=$B25)*Inputs!$F$5:$F$120*(((Inputs!$G$5:$G$120="moeda")+(Inputs!$G$5:$G$120="acoes"))*Inputs!$B$1+((Inputs!$G$5:$G$120&lt;&gt;"moeda")*(Inputs!$G$5:$G$120&lt;&gt;"acoes")))*INDEX(Inputs!$K$5:$AJ$120,0,MATCH(D$2,Inputs!$K$4:$AJ$4,0)))))</f>
        <v>496</v>
      </c>
      <c r="E25" s="267">
        <f>IF(ISNA(MATCH(E$2,Inputs!$K$4:$AJ$4,0)),NA(),IF(SUMPRODUCT((Inputs!$A$5:$A$120=$B25)*ISNUMBER(INDEX(Inputs!$K$5:$AJ$120,0,MATCH(E$2,Inputs!$K$4:$AJ$4,0))))+SUMPRODUCT((Inputs!$C$5:$C$120=$B25)*ISNUMBER(INDEX(Inputs!$K$5:$AJ$120,0,MATCH(E$2,Inputs!$K$4:$AJ$4,0))))+SUMPRODUCT((Inputs!$E$5:$E$120=$B25)*ISNUMBER(INDEX(Inputs!$K$5:$AJ$120,0,MATCH(E$2,Inputs!$K$4:$AJ$4,0))))=0,NA(),SUMPRODUCT((Inputs!$A$5:$A$120=$B25)*Inputs!$B$5:$B$120*(((Inputs!$G$5:$G$120="moeda")+(Inputs!$G$5:$G$120="acoes"))*Inputs!$B$1+((Inputs!$G$5:$G$120&lt;&gt;"moeda")*(Inputs!$G$5:$G$120&lt;&gt;"acoes")))*INDEX(Inputs!$K$5:$AJ$120,0,MATCH(E$2,Inputs!$K$4:$AJ$4,0)))+SUMPRODUCT((Inputs!$C$5:$C$120=$B25)*Inputs!$D$5:$D$120*(((Inputs!$G$5:$G$120="moeda")+(Inputs!$G$5:$G$120="acoes"))*Inputs!$B$1+((Inputs!$G$5:$G$120&lt;&gt;"moeda")*(Inputs!$G$5:$G$120&lt;&gt;"acoes")))*INDEX(Inputs!$K$5:$AJ$120,0,MATCH(E$2,Inputs!$K$4:$AJ$4,0)))+SUMPRODUCT((Inputs!$E$5:$E$120=$B25)*Inputs!$F$5:$F$120*(((Inputs!$G$5:$G$120="moeda")+(Inputs!$G$5:$G$120="acoes"))*Inputs!$B$1+((Inputs!$G$5:$G$120&lt;&gt;"moeda")*(Inputs!$G$5:$G$120&lt;&gt;"acoes")))*INDEX(Inputs!$K$5:$AJ$120,0,MATCH(E$2,Inputs!$K$4:$AJ$4,0)))))</f>
        <v>502</v>
      </c>
      <c r="F25" s="267">
        <f>IF(ISNA(MATCH(F$2,Inputs!$K$4:$AJ$4,0)),NA(),IF(SUMPRODUCT((Inputs!$A$5:$A$120=$B25)*ISNUMBER(INDEX(Inputs!$K$5:$AJ$120,0,MATCH(F$2,Inputs!$K$4:$AJ$4,0))))+SUMPRODUCT((Inputs!$C$5:$C$120=$B25)*ISNUMBER(INDEX(Inputs!$K$5:$AJ$120,0,MATCH(F$2,Inputs!$K$4:$AJ$4,0))))+SUMPRODUCT((Inputs!$E$5:$E$120=$B25)*ISNUMBER(INDEX(Inputs!$K$5:$AJ$120,0,MATCH(F$2,Inputs!$K$4:$AJ$4,0))))=0,NA(),SUMPRODUCT((Inputs!$A$5:$A$120=$B25)*Inputs!$B$5:$B$120*(((Inputs!$G$5:$G$120="moeda")+(Inputs!$G$5:$G$120="acoes"))*Inputs!$B$1+((Inputs!$G$5:$G$120&lt;&gt;"moeda")*(Inputs!$G$5:$G$120&lt;&gt;"acoes")))*INDEX(Inputs!$K$5:$AJ$120,0,MATCH(F$2,Inputs!$K$4:$AJ$4,0)))+SUMPRODUCT((Inputs!$C$5:$C$120=$B25)*Inputs!$D$5:$D$120*(((Inputs!$G$5:$G$120="moeda")+(Inputs!$G$5:$G$120="acoes"))*Inputs!$B$1+((Inputs!$G$5:$G$120&lt;&gt;"moeda")*(Inputs!$G$5:$G$120&lt;&gt;"acoes")))*INDEX(Inputs!$K$5:$AJ$120,0,MATCH(F$2,Inputs!$K$4:$AJ$4,0)))+SUMPRODUCT((Inputs!$E$5:$E$120=$B25)*Inputs!$F$5:$F$120*(((Inputs!$G$5:$G$120="moeda")+(Inputs!$G$5:$G$120="acoes"))*Inputs!$B$1+((Inputs!$G$5:$G$120&lt;&gt;"moeda")*(Inputs!$G$5:$G$120&lt;&gt;"acoes")))*INDEX(Inputs!$K$5:$AJ$120,0,MATCH(F$2,Inputs!$K$4:$AJ$4,0)))))</f>
        <v>482</v>
      </c>
      <c r="G25" s="267">
        <f>IF(ISNA(MATCH(G$2,Inputs!$K$4:$AJ$4,0)),NA(),IF(SUMPRODUCT((Inputs!$A$5:$A$120=$B25)*ISNUMBER(INDEX(Inputs!$K$5:$AJ$120,0,MATCH(G$2,Inputs!$K$4:$AJ$4,0))))+SUMPRODUCT((Inputs!$C$5:$C$120=$B25)*ISNUMBER(INDEX(Inputs!$K$5:$AJ$120,0,MATCH(G$2,Inputs!$K$4:$AJ$4,0))))+SUMPRODUCT((Inputs!$E$5:$E$120=$B25)*ISNUMBER(INDEX(Inputs!$K$5:$AJ$120,0,MATCH(G$2,Inputs!$K$4:$AJ$4,0))))=0,NA(),SUMPRODUCT((Inputs!$A$5:$A$120=$B25)*Inputs!$B$5:$B$120*(((Inputs!$G$5:$G$120="moeda")+(Inputs!$G$5:$G$120="acoes"))*Inputs!$B$1+((Inputs!$G$5:$G$120&lt;&gt;"moeda")*(Inputs!$G$5:$G$120&lt;&gt;"acoes")))*INDEX(Inputs!$K$5:$AJ$120,0,MATCH(G$2,Inputs!$K$4:$AJ$4,0)))+SUMPRODUCT((Inputs!$C$5:$C$120=$B25)*Inputs!$D$5:$D$120*(((Inputs!$G$5:$G$120="moeda")+(Inputs!$G$5:$G$120="acoes"))*Inputs!$B$1+((Inputs!$G$5:$G$120&lt;&gt;"moeda")*(Inputs!$G$5:$G$120&lt;&gt;"acoes")))*INDEX(Inputs!$K$5:$AJ$120,0,MATCH(G$2,Inputs!$K$4:$AJ$4,0)))+SUMPRODUCT((Inputs!$E$5:$E$120=$B25)*Inputs!$F$5:$F$120*(((Inputs!$G$5:$G$120="moeda")+(Inputs!$G$5:$G$120="acoes"))*Inputs!$B$1+((Inputs!$G$5:$G$120&lt;&gt;"moeda")*(Inputs!$G$5:$G$120&lt;&gt;"acoes")))*INDEX(Inputs!$K$5:$AJ$120,0,MATCH(G$2,Inputs!$K$4:$AJ$4,0)))))</f>
        <v>431</v>
      </c>
      <c r="H25" s="268">
        <f>G25</f>
        <v>431</v>
      </c>
      <c r="I25" s="267">
        <f>IF(ISNA(MATCH(I$2,Inputs!$K$4:$AJ$4,0)),NA(),IF(SUMPRODUCT((Inputs!$A$5:$A$120=$B25)*ISNUMBER(INDEX(Inputs!$K$5:$AJ$120,0,MATCH(I$2,Inputs!$K$4:$AJ$4,0))))+SUMPRODUCT((Inputs!$C$5:$C$120=$B25)*ISNUMBER(INDEX(Inputs!$K$5:$AJ$120,0,MATCH(I$2,Inputs!$K$4:$AJ$4,0))))+SUMPRODUCT((Inputs!$E$5:$E$120=$B25)*ISNUMBER(INDEX(Inputs!$K$5:$AJ$120,0,MATCH(I$2,Inputs!$K$4:$AJ$4,0))))=0,NA(),SUMPRODUCT((Inputs!$A$5:$A$120=$B25)*Inputs!$B$5:$B$120*(((Inputs!$G$5:$G$120="moeda")+(Inputs!$G$5:$G$120="acoes"))*Inputs!$B$1+((Inputs!$G$5:$G$120&lt;&gt;"moeda")*(Inputs!$G$5:$G$120&lt;&gt;"acoes")))*INDEX(Inputs!$K$5:$AJ$120,0,MATCH(I$2,Inputs!$K$4:$AJ$4,0)))+SUMPRODUCT((Inputs!$C$5:$C$120=$B25)*Inputs!$D$5:$D$120*(((Inputs!$G$5:$G$120="moeda")+(Inputs!$G$5:$G$120="acoes"))*Inputs!$B$1+((Inputs!$G$5:$G$120&lt;&gt;"moeda")*(Inputs!$G$5:$G$120&lt;&gt;"acoes")))*INDEX(Inputs!$K$5:$AJ$120,0,MATCH(I$2,Inputs!$K$4:$AJ$4,0)))+SUMPRODUCT((Inputs!$E$5:$E$120=$B25)*Inputs!$F$5:$F$120*(((Inputs!$G$5:$G$120="moeda")+(Inputs!$G$5:$G$120="acoes"))*Inputs!$B$1+((Inputs!$G$5:$G$120&lt;&gt;"moeda")*(Inputs!$G$5:$G$120&lt;&gt;"acoes")))*INDEX(Inputs!$K$5:$AJ$120,0,MATCH(I$2,Inputs!$K$4:$AJ$4,0)))))</f>
        <v>416</v>
      </c>
      <c r="J25" s="267">
        <f>IF(ISNA(MATCH(J$2,Inputs!$K$4:$AJ$4,0)),NA(),IF(SUMPRODUCT((Inputs!$A$5:$A$120=$B25)*ISNUMBER(INDEX(Inputs!$K$5:$AJ$120,0,MATCH(J$2,Inputs!$K$4:$AJ$4,0))))+SUMPRODUCT((Inputs!$C$5:$C$120=$B25)*ISNUMBER(INDEX(Inputs!$K$5:$AJ$120,0,MATCH(J$2,Inputs!$K$4:$AJ$4,0))))+SUMPRODUCT((Inputs!$E$5:$E$120=$B25)*ISNUMBER(INDEX(Inputs!$K$5:$AJ$120,0,MATCH(J$2,Inputs!$K$4:$AJ$4,0))))=0,NA(),SUMPRODUCT((Inputs!$A$5:$A$120=$B25)*Inputs!$B$5:$B$120*(((Inputs!$G$5:$G$120="moeda")+(Inputs!$G$5:$G$120="acoes"))*Inputs!$B$1+((Inputs!$G$5:$G$120&lt;&gt;"moeda")*(Inputs!$G$5:$G$120&lt;&gt;"acoes")))*INDEX(Inputs!$K$5:$AJ$120,0,MATCH(J$2,Inputs!$K$4:$AJ$4,0)))+SUMPRODUCT((Inputs!$C$5:$C$120=$B25)*Inputs!$D$5:$D$120*(((Inputs!$G$5:$G$120="moeda")+(Inputs!$G$5:$G$120="acoes"))*Inputs!$B$1+((Inputs!$G$5:$G$120&lt;&gt;"moeda")*(Inputs!$G$5:$G$120&lt;&gt;"acoes")))*INDEX(Inputs!$K$5:$AJ$120,0,MATCH(J$2,Inputs!$K$4:$AJ$4,0)))+SUMPRODUCT((Inputs!$E$5:$E$120=$B25)*Inputs!$F$5:$F$120*(((Inputs!$G$5:$G$120="moeda")+(Inputs!$G$5:$G$120="acoes"))*Inputs!$B$1+((Inputs!$G$5:$G$120&lt;&gt;"moeda")*(Inputs!$G$5:$G$120&lt;&gt;"acoes")))*INDEX(Inputs!$K$5:$AJ$120,0,MATCH(J$2,Inputs!$K$4:$AJ$4,0)))))</f>
        <v>383</v>
      </c>
      <c r="K25" s="267">
        <f>IF(ISNA(MATCH(K$2,Inputs!$K$4:$AJ$4,0)),NA(),IF(SUMPRODUCT((Inputs!$A$5:$A$120=$B25)*ISNUMBER(INDEX(Inputs!$K$5:$AJ$120,0,MATCH(K$2,Inputs!$K$4:$AJ$4,0))))+SUMPRODUCT((Inputs!$C$5:$C$120=$B25)*ISNUMBER(INDEX(Inputs!$K$5:$AJ$120,0,MATCH(K$2,Inputs!$K$4:$AJ$4,0))))+SUMPRODUCT((Inputs!$E$5:$E$120=$B25)*ISNUMBER(INDEX(Inputs!$K$5:$AJ$120,0,MATCH(K$2,Inputs!$K$4:$AJ$4,0))))=0,NA(),SUMPRODUCT((Inputs!$A$5:$A$120=$B25)*Inputs!$B$5:$B$120*(((Inputs!$G$5:$G$120="moeda")+(Inputs!$G$5:$G$120="acoes"))*Inputs!$B$1+((Inputs!$G$5:$G$120&lt;&gt;"moeda")*(Inputs!$G$5:$G$120&lt;&gt;"acoes")))*INDEX(Inputs!$K$5:$AJ$120,0,MATCH(K$2,Inputs!$K$4:$AJ$4,0)))+SUMPRODUCT((Inputs!$C$5:$C$120=$B25)*Inputs!$D$5:$D$120*(((Inputs!$G$5:$G$120="moeda")+(Inputs!$G$5:$G$120="acoes"))*Inputs!$B$1+((Inputs!$G$5:$G$120&lt;&gt;"moeda")*(Inputs!$G$5:$G$120&lt;&gt;"acoes")))*INDEX(Inputs!$K$5:$AJ$120,0,MATCH(K$2,Inputs!$K$4:$AJ$4,0)))+SUMPRODUCT((Inputs!$E$5:$E$120=$B25)*Inputs!$F$5:$F$120*(((Inputs!$G$5:$G$120="moeda")+(Inputs!$G$5:$G$120="acoes"))*Inputs!$B$1+((Inputs!$G$5:$G$120&lt;&gt;"moeda")*(Inputs!$G$5:$G$120&lt;&gt;"acoes")))*INDEX(Inputs!$K$5:$AJ$120,0,MATCH(K$2,Inputs!$K$4:$AJ$4,0)))))</f>
        <v>350</v>
      </c>
      <c r="L25" s="267">
        <f>IF(ISNA(MATCH(L$2,Inputs!$K$4:$AJ$4,0)),NA(),IF(SUMPRODUCT((Inputs!$A$5:$A$120=$B25)*ISNUMBER(INDEX(Inputs!$K$5:$AJ$120,0,MATCH(L$2,Inputs!$K$4:$AJ$4,0))))+SUMPRODUCT((Inputs!$C$5:$C$120=$B25)*ISNUMBER(INDEX(Inputs!$K$5:$AJ$120,0,MATCH(L$2,Inputs!$K$4:$AJ$4,0))))+SUMPRODUCT((Inputs!$E$5:$E$120=$B25)*ISNUMBER(INDEX(Inputs!$K$5:$AJ$120,0,MATCH(L$2,Inputs!$K$4:$AJ$4,0))))=0,NA(),SUMPRODUCT((Inputs!$A$5:$A$120=$B25)*Inputs!$B$5:$B$120*(((Inputs!$G$5:$G$120="moeda")+(Inputs!$G$5:$G$120="acoes"))*Inputs!$B$1+((Inputs!$G$5:$G$120&lt;&gt;"moeda")*(Inputs!$G$5:$G$120&lt;&gt;"acoes")))*INDEX(Inputs!$K$5:$AJ$120,0,MATCH(L$2,Inputs!$K$4:$AJ$4,0)))+SUMPRODUCT((Inputs!$C$5:$C$120=$B25)*Inputs!$D$5:$D$120*(((Inputs!$G$5:$G$120="moeda")+(Inputs!$G$5:$G$120="acoes"))*Inputs!$B$1+((Inputs!$G$5:$G$120&lt;&gt;"moeda")*(Inputs!$G$5:$G$120&lt;&gt;"acoes")))*INDEX(Inputs!$K$5:$AJ$120,0,MATCH(L$2,Inputs!$K$4:$AJ$4,0)))+SUMPRODUCT((Inputs!$E$5:$E$120=$B25)*Inputs!$F$5:$F$120*(((Inputs!$G$5:$G$120="moeda")+(Inputs!$G$5:$G$120="acoes"))*Inputs!$B$1+((Inputs!$G$5:$G$120&lt;&gt;"moeda")*(Inputs!$G$5:$G$120&lt;&gt;"acoes")))*INDEX(Inputs!$K$5:$AJ$120,0,MATCH(L$2,Inputs!$K$4:$AJ$4,0)))))</f>
        <v>360</v>
      </c>
      <c r="M25" s="268">
        <f>L25</f>
        <v>360</v>
      </c>
      <c r="N25" s="267">
        <f>IF(ISNA(MATCH(N$2,Inputs!$K$4:$AJ$4,0)),NA(),IF(SUMPRODUCT((Inputs!$A$5:$A$120=$B25)*ISNUMBER(INDEX(Inputs!$K$5:$AJ$120,0,MATCH(N$2,Inputs!$K$4:$AJ$4,0))))+SUMPRODUCT((Inputs!$C$5:$C$120=$B25)*ISNUMBER(INDEX(Inputs!$K$5:$AJ$120,0,MATCH(N$2,Inputs!$K$4:$AJ$4,0))))+SUMPRODUCT((Inputs!$E$5:$E$120=$B25)*ISNUMBER(INDEX(Inputs!$K$5:$AJ$120,0,MATCH(N$2,Inputs!$K$4:$AJ$4,0))))=0,NA(),SUMPRODUCT((Inputs!$A$5:$A$120=$B25)*Inputs!$B$5:$B$120*(((Inputs!$G$5:$G$120="moeda")+(Inputs!$G$5:$G$120="acoes"))*Inputs!$B$1+((Inputs!$G$5:$G$120&lt;&gt;"moeda")*(Inputs!$G$5:$G$120&lt;&gt;"acoes")))*INDEX(Inputs!$K$5:$AJ$120,0,MATCH(N$2,Inputs!$K$4:$AJ$4,0)))+SUMPRODUCT((Inputs!$C$5:$C$120=$B25)*Inputs!$D$5:$D$120*(((Inputs!$G$5:$G$120="moeda")+(Inputs!$G$5:$G$120="acoes"))*Inputs!$B$1+((Inputs!$G$5:$G$120&lt;&gt;"moeda")*(Inputs!$G$5:$G$120&lt;&gt;"acoes")))*INDEX(Inputs!$K$5:$AJ$120,0,MATCH(N$2,Inputs!$K$4:$AJ$4,0)))+SUMPRODUCT((Inputs!$E$5:$E$120=$B25)*Inputs!$F$5:$F$120*(((Inputs!$G$5:$G$120="moeda")+(Inputs!$G$5:$G$120="acoes"))*Inputs!$B$1+((Inputs!$G$5:$G$120&lt;&gt;"moeda")*(Inputs!$G$5:$G$120&lt;&gt;"acoes")))*INDEX(Inputs!$K$5:$AJ$120,0,MATCH(N$2,Inputs!$K$4:$AJ$4,0)))))</f>
        <v>356</v>
      </c>
      <c r="O25" s="267">
        <f>IF(ISNA(MATCH(O$2,Inputs!$K$4:$AJ$4,0)),NA(),IF(SUMPRODUCT((Inputs!$A$5:$A$120=$B25)*ISNUMBER(INDEX(Inputs!$K$5:$AJ$120,0,MATCH(O$2,Inputs!$K$4:$AJ$4,0))))+SUMPRODUCT((Inputs!$C$5:$C$120=$B25)*ISNUMBER(INDEX(Inputs!$K$5:$AJ$120,0,MATCH(O$2,Inputs!$K$4:$AJ$4,0))))+SUMPRODUCT((Inputs!$E$5:$E$120=$B25)*ISNUMBER(INDEX(Inputs!$K$5:$AJ$120,0,MATCH(O$2,Inputs!$K$4:$AJ$4,0))))=0,NA(),SUMPRODUCT((Inputs!$A$5:$A$120=$B25)*Inputs!$B$5:$B$120*(((Inputs!$G$5:$G$120="moeda")+(Inputs!$G$5:$G$120="acoes"))*Inputs!$B$1+((Inputs!$G$5:$G$120&lt;&gt;"moeda")*(Inputs!$G$5:$G$120&lt;&gt;"acoes")))*INDEX(Inputs!$K$5:$AJ$120,0,MATCH(O$2,Inputs!$K$4:$AJ$4,0)))+SUMPRODUCT((Inputs!$C$5:$C$120=$B25)*Inputs!$D$5:$D$120*(((Inputs!$G$5:$G$120="moeda")+(Inputs!$G$5:$G$120="acoes"))*Inputs!$B$1+((Inputs!$G$5:$G$120&lt;&gt;"moeda")*(Inputs!$G$5:$G$120&lt;&gt;"acoes")))*INDEX(Inputs!$K$5:$AJ$120,0,MATCH(O$2,Inputs!$K$4:$AJ$4,0)))+SUMPRODUCT((Inputs!$E$5:$E$120=$B25)*Inputs!$F$5:$F$120*(((Inputs!$G$5:$G$120="moeda")+(Inputs!$G$5:$G$120="acoes"))*Inputs!$B$1+((Inputs!$G$5:$G$120&lt;&gt;"moeda")*(Inputs!$G$5:$G$120&lt;&gt;"acoes")))*INDEX(Inputs!$K$5:$AJ$120,0,MATCH(O$2,Inputs!$K$4:$AJ$4,0)))))</f>
        <v>346</v>
      </c>
      <c r="P25" s="267">
        <f>IF(ISNA(MATCH(P$2,Inputs!$K$4:$AJ$4,0)),NA(),IF(SUMPRODUCT((Inputs!$A$5:$A$120=$B25)*ISNUMBER(INDEX(Inputs!$K$5:$AJ$120,0,MATCH(P$2,Inputs!$K$4:$AJ$4,0))))+SUMPRODUCT((Inputs!$C$5:$C$120=$B25)*ISNUMBER(INDEX(Inputs!$K$5:$AJ$120,0,MATCH(P$2,Inputs!$K$4:$AJ$4,0))))+SUMPRODUCT((Inputs!$E$5:$E$120=$B25)*ISNUMBER(INDEX(Inputs!$K$5:$AJ$120,0,MATCH(P$2,Inputs!$K$4:$AJ$4,0))))=0,NA(),SUMPRODUCT((Inputs!$A$5:$A$120=$B25)*Inputs!$B$5:$B$120*(((Inputs!$G$5:$G$120="moeda")+(Inputs!$G$5:$G$120="acoes"))*Inputs!$B$1+((Inputs!$G$5:$G$120&lt;&gt;"moeda")*(Inputs!$G$5:$G$120&lt;&gt;"acoes")))*INDEX(Inputs!$K$5:$AJ$120,0,MATCH(P$2,Inputs!$K$4:$AJ$4,0)))+SUMPRODUCT((Inputs!$C$5:$C$120=$B25)*Inputs!$D$5:$D$120*(((Inputs!$G$5:$G$120="moeda")+(Inputs!$G$5:$G$120="acoes"))*Inputs!$B$1+((Inputs!$G$5:$G$120&lt;&gt;"moeda")*(Inputs!$G$5:$G$120&lt;&gt;"acoes")))*INDEX(Inputs!$K$5:$AJ$120,0,MATCH(P$2,Inputs!$K$4:$AJ$4,0)))+SUMPRODUCT((Inputs!$E$5:$E$120=$B25)*Inputs!$F$5:$F$120*(((Inputs!$G$5:$G$120="moeda")+(Inputs!$G$5:$G$120="acoes"))*Inputs!$B$1+((Inputs!$G$5:$G$120&lt;&gt;"moeda")*(Inputs!$G$5:$G$120&lt;&gt;"acoes")))*INDEX(Inputs!$K$5:$AJ$120,0,MATCH(P$2,Inputs!$K$4:$AJ$4,0)))))</f>
        <v>417</v>
      </c>
      <c r="Q25" s="267">
        <f>IF(ISNA(MATCH(Q$2,Inputs!$K$4:$AJ$4,0)),NA(),IF(SUMPRODUCT((Inputs!$A$5:$A$120=$B25)*ISNUMBER(INDEX(Inputs!$K$5:$AJ$120,0,MATCH(Q$2,Inputs!$K$4:$AJ$4,0))))+SUMPRODUCT((Inputs!$C$5:$C$120=$B25)*ISNUMBER(INDEX(Inputs!$K$5:$AJ$120,0,MATCH(Q$2,Inputs!$K$4:$AJ$4,0))))+SUMPRODUCT((Inputs!$E$5:$E$120=$B25)*ISNUMBER(INDEX(Inputs!$K$5:$AJ$120,0,MATCH(Q$2,Inputs!$K$4:$AJ$4,0))))=0,NA(),SUMPRODUCT((Inputs!$A$5:$A$120=$B25)*Inputs!$B$5:$B$120*(((Inputs!$G$5:$G$120="moeda")+(Inputs!$G$5:$G$120="acoes"))*Inputs!$B$1+((Inputs!$G$5:$G$120&lt;&gt;"moeda")*(Inputs!$G$5:$G$120&lt;&gt;"acoes")))*INDEX(Inputs!$K$5:$AJ$120,0,MATCH(Q$2,Inputs!$K$4:$AJ$4,0)))+SUMPRODUCT((Inputs!$C$5:$C$120=$B25)*Inputs!$D$5:$D$120*(((Inputs!$G$5:$G$120="moeda")+(Inputs!$G$5:$G$120="acoes"))*Inputs!$B$1+((Inputs!$G$5:$G$120&lt;&gt;"moeda")*(Inputs!$G$5:$G$120&lt;&gt;"acoes")))*INDEX(Inputs!$K$5:$AJ$120,0,MATCH(Q$2,Inputs!$K$4:$AJ$4,0)))+SUMPRODUCT((Inputs!$E$5:$E$120=$B25)*Inputs!$F$5:$F$120*(((Inputs!$G$5:$G$120="moeda")+(Inputs!$G$5:$G$120="acoes"))*Inputs!$B$1+((Inputs!$G$5:$G$120&lt;&gt;"moeda")*(Inputs!$G$5:$G$120&lt;&gt;"acoes")))*INDEX(Inputs!$K$5:$AJ$120,0,MATCH(Q$2,Inputs!$K$4:$AJ$4,0)))))</f>
        <v>398</v>
      </c>
      <c r="R25" s="268">
        <f>Q25</f>
        <v>398</v>
      </c>
      <c r="S25" s="267">
        <f>IF(ISNA(MATCH(S$2,Inputs!$K$4:$AJ$4,0)),NA(),IF(SUMPRODUCT((Inputs!$A$5:$A$120=$B25)*ISNUMBER(INDEX(Inputs!$K$5:$AJ$120,0,MATCH(S$2,Inputs!$K$4:$AJ$4,0))))+SUMPRODUCT((Inputs!$C$5:$C$120=$B25)*ISNUMBER(INDEX(Inputs!$K$5:$AJ$120,0,MATCH(S$2,Inputs!$K$4:$AJ$4,0))))+SUMPRODUCT((Inputs!$E$5:$E$120=$B25)*ISNUMBER(INDEX(Inputs!$K$5:$AJ$120,0,MATCH(S$2,Inputs!$K$4:$AJ$4,0))))=0,NA(),SUMPRODUCT((Inputs!$A$5:$A$120=$B25)*Inputs!$B$5:$B$120*(((Inputs!$G$5:$G$120="moeda")+(Inputs!$G$5:$G$120="acoes"))*Inputs!$B$1+((Inputs!$G$5:$G$120&lt;&gt;"moeda")*(Inputs!$G$5:$G$120&lt;&gt;"acoes")))*INDEX(Inputs!$K$5:$AJ$120,0,MATCH(S$2,Inputs!$K$4:$AJ$4,0)))+SUMPRODUCT((Inputs!$C$5:$C$120=$B25)*Inputs!$D$5:$D$120*(((Inputs!$G$5:$G$120="moeda")+(Inputs!$G$5:$G$120="acoes"))*Inputs!$B$1+((Inputs!$G$5:$G$120&lt;&gt;"moeda")*(Inputs!$G$5:$G$120&lt;&gt;"acoes")))*INDEX(Inputs!$K$5:$AJ$120,0,MATCH(S$2,Inputs!$K$4:$AJ$4,0)))+SUMPRODUCT((Inputs!$E$5:$E$120=$B25)*Inputs!$F$5:$F$120*(((Inputs!$G$5:$G$120="moeda")+(Inputs!$G$5:$G$120="acoes"))*Inputs!$B$1+((Inputs!$G$5:$G$120&lt;&gt;"moeda")*(Inputs!$G$5:$G$120&lt;&gt;"acoes")))*INDEX(Inputs!$K$5:$AJ$120,0,MATCH(S$2,Inputs!$K$4:$AJ$4,0)))))</f>
        <v>380</v>
      </c>
      <c r="T25" s="267">
        <f>IF(ISNA(MATCH(T$2,Inputs!$K$4:$AJ$4,0)),NA(),IF(SUMPRODUCT((Inputs!$A$5:$A$120=$B25)*ISNUMBER(INDEX(Inputs!$K$5:$AJ$120,0,MATCH(T$2,Inputs!$K$4:$AJ$4,0))))+SUMPRODUCT((Inputs!$C$5:$C$120=$B25)*ISNUMBER(INDEX(Inputs!$K$5:$AJ$120,0,MATCH(T$2,Inputs!$K$4:$AJ$4,0))))+SUMPRODUCT((Inputs!$E$5:$E$120=$B25)*ISNUMBER(INDEX(Inputs!$K$5:$AJ$120,0,MATCH(T$2,Inputs!$K$4:$AJ$4,0))))=0,NA(),SUMPRODUCT((Inputs!$A$5:$A$120=$B25)*Inputs!$B$5:$B$120*(((Inputs!$G$5:$G$120="moeda")+(Inputs!$G$5:$G$120="acoes"))*Inputs!$B$1+((Inputs!$G$5:$G$120&lt;&gt;"moeda")*(Inputs!$G$5:$G$120&lt;&gt;"acoes")))*INDEX(Inputs!$K$5:$AJ$120,0,MATCH(T$2,Inputs!$K$4:$AJ$4,0)))+SUMPRODUCT((Inputs!$C$5:$C$120=$B25)*Inputs!$D$5:$D$120*(((Inputs!$G$5:$G$120="moeda")+(Inputs!$G$5:$G$120="acoes"))*Inputs!$B$1+((Inputs!$G$5:$G$120&lt;&gt;"moeda")*(Inputs!$G$5:$G$120&lt;&gt;"acoes")))*INDEX(Inputs!$K$5:$AJ$120,0,MATCH(T$2,Inputs!$K$4:$AJ$4,0)))+SUMPRODUCT((Inputs!$E$5:$E$120=$B25)*Inputs!$F$5:$F$120*(((Inputs!$G$5:$G$120="moeda")+(Inputs!$G$5:$G$120="acoes"))*Inputs!$B$1+((Inputs!$G$5:$G$120&lt;&gt;"moeda")*(Inputs!$G$5:$G$120&lt;&gt;"acoes")))*INDEX(Inputs!$K$5:$AJ$120,0,MATCH(T$2,Inputs!$K$4:$AJ$4,0)))))</f>
        <v>355</v>
      </c>
      <c r="U25" s="267">
        <f>IF(ISNA(MATCH(U$2,Inputs!$K$4:$AJ$4,0)),NA(),IF(SUMPRODUCT((Inputs!$A$5:$A$120=$B25)*ISNUMBER(INDEX(Inputs!$K$5:$AJ$120,0,MATCH(U$2,Inputs!$K$4:$AJ$4,0))))+SUMPRODUCT((Inputs!$C$5:$C$120=$B25)*ISNUMBER(INDEX(Inputs!$K$5:$AJ$120,0,MATCH(U$2,Inputs!$K$4:$AJ$4,0))))+SUMPRODUCT((Inputs!$E$5:$E$120=$B25)*ISNUMBER(INDEX(Inputs!$K$5:$AJ$120,0,MATCH(U$2,Inputs!$K$4:$AJ$4,0))))=0,NA(),SUMPRODUCT((Inputs!$A$5:$A$120=$B25)*Inputs!$B$5:$B$120*(((Inputs!$G$5:$G$120="moeda")+(Inputs!$G$5:$G$120="acoes"))*Inputs!$B$1+((Inputs!$G$5:$G$120&lt;&gt;"moeda")*(Inputs!$G$5:$G$120&lt;&gt;"acoes")))*INDEX(Inputs!$K$5:$AJ$120,0,MATCH(U$2,Inputs!$K$4:$AJ$4,0)))+SUMPRODUCT((Inputs!$C$5:$C$120=$B25)*Inputs!$D$5:$D$120*(((Inputs!$G$5:$G$120="moeda")+(Inputs!$G$5:$G$120="acoes"))*Inputs!$B$1+((Inputs!$G$5:$G$120&lt;&gt;"moeda")*(Inputs!$G$5:$G$120&lt;&gt;"acoes")))*INDEX(Inputs!$K$5:$AJ$120,0,MATCH(U$2,Inputs!$K$4:$AJ$4,0)))+SUMPRODUCT((Inputs!$E$5:$E$120=$B25)*Inputs!$F$5:$F$120*(((Inputs!$G$5:$G$120="moeda")+(Inputs!$G$5:$G$120="acoes"))*Inputs!$B$1+((Inputs!$G$5:$G$120&lt;&gt;"moeda")*(Inputs!$G$5:$G$120&lt;&gt;"acoes")))*INDEX(Inputs!$K$5:$AJ$120,0,MATCH(U$2,Inputs!$K$4:$AJ$4,0)))))</f>
        <v>358</v>
      </c>
      <c r="V25" s="267">
        <f>IF(ISNA(MATCH(V$2,Inputs!$K$4:$AJ$4,0)),NA(),IF(SUMPRODUCT((Inputs!$A$5:$A$120=$B25)*ISNUMBER(INDEX(Inputs!$K$5:$AJ$120,0,MATCH(V$2,Inputs!$K$4:$AJ$4,0))))+SUMPRODUCT((Inputs!$C$5:$C$120=$B25)*ISNUMBER(INDEX(Inputs!$K$5:$AJ$120,0,MATCH(V$2,Inputs!$K$4:$AJ$4,0))))+SUMPRODUCT((Inputs!$E$5:$E$120=$B25)*ISNUMBER(INDEX(Inputs!$K$5:$AJ$120,0,MATCH(V$2,Inputs!$K$4:$AJ$4,0))))=0,NA(),SUMPRODUCT((Inputs!$A$5:$A$120=$B25)*Inputs!$B$5:$B$120*(((Inputs!$G$5:$G$120="moeda")+(Inputs!$G$5:$G$120="acoes"))*Inputs!$B$1+((Inputs!$G$5:$G$120&lt;&gt;"moeda")*(Inputs!$G$5:$G$120&lt;&gt;"acoes")))*INDEX(Inputs!$K$5:$AJ$120,0,MATCH(V$2,Inputs!$K$4:$AJ$4,0)))+SUMPRODUCT((Inputs!$C$5:$C$120=$B25)*Inputs!$D$5:$D$120*(((Inputs!$G$5:$G$120="moeda")+(Inputs!$G$5:$G$120="acoes"))*Inputs!$B$1+((Inputs!$G$5:$G$120&lt;&gt;"moeda")*(Inputs!$G$5:$G$120&lt;&gt;"acoes")))*INDEX(Inputs!$K$5:$AJ$120,0,MATCH(V$2,Inputs!$K$4:$AJ$4,0)))+SUMPRODUCT((Inputs!$E$5:$E$120=$B25)*Inputs!$F$5:$F$120*(((Inputs!$G$5:$G$120="moeda")+(Inputs!$G$5:$G$120="acoes"))*Inputs!$B$1+((Inputs!$G$5:$G$120&lt;&gt;"moeda")*(Inputs!$G$5:$G$120&lt;&gt;"acoes")))*INDEX(Inputs!$K$5:$AJ$120,0,MATCH(V$2,Inputs!$K$4:$AJ$4,0)))))</f>
        <v>321</v>
      </c>
      <c r="W25" s="268">
        <f>V25</f>
        <v>321</v>
      </c>
      <c r="X25" s="267">
        <f>IF(ISNA(MATCH(X$2,Inputs!$K$4:$AJ$4,0)),NA(),IF(SUMPRODUCT((Inputs!$A$5:$A$120=$B25)*ISNUMBER(INDEX(Inputs!$K$5:$AJ$120,0,MATCH(X$2,Inputs!$K$4:$AJ$4,0))))+SUMPRODUCT((Inputs!$C$5:$C$120=$B25)*ISNUMBER(INDEX(Inputs!$K$5:$AJ$120,0,MATCH(X$2,Inputs!$K$4:$AJ$4,0))))+SUMPRODUCT((Inputs!$E$5:$E$120=$B25)*ISNUMBER(INDEX(Inputs!$K$5:$AJ$120,0,MATCH(X$2,Inputs!$K$4:$AJ$4,0))))=0,NA(),SUMPRODUCT((Inputs!$A$5:$A$120=$B25)*Inputs!$B$5:$B$120*(((Inputs!$G$5:$G$120="moeda")+(Inputs!$G$5:$G$120="acoes"))*Inputs!$B$1+((Inputs!$G$5:$G$120&lt;&gt;"moeda")*(Inputs!$G$5:$G$120&lt;&gt;"acoes")))*INDEX(Inputs!$K$5:$AJ$120,0,MATCH(X$2,Inputs!$K$4:$AJ$4,0)))+SUMPRODUCT((Inputs!$C$5:$C$120=$B25)*Inputs!$D$5:$D$120*(((Inputs!$G$5:$G$120="moeda")+(Inputs!$G$5:$G$120="acoes"))*Inputs!$B$1+((Inputs!$G$5:$G$120&lt;&gt;"moeda")*(Inputs!$G$5:$G$120&lt;&gt;"acoes")))*INDEX(Inputs!$K$5:$AJ$120,0,MATCH(X$2,Inputs!$K$4:$AJ$4,0)))+SUMPRODUCT((Inputs!$E$5:$E$120=$B25)*Inputs!$F$5:$F$120*(((Inputs!$G$5:$G$120="moeda")+(Inputs!$G$5:$G$120="acoes"))*Inputs!$B$1+((Inputs!$G$5:$G$120&lt;&gt;"moeda")*(Inputs!$G$5:$G$120&lt;&gt;"acoes")))*INDEX(Inputs!$K$5:$AJ$120,0,MATCH(X$2,Inputs!$K$4:$AJ$4,0)))))</f>
        <v>319</v>
      </c>
      <c r="Y25" s="267">
        <f>IF(ISNA(MATCH(Y$2,Inputs!$K$4:$AJ$4,0)),NA(),IF(SUMPRODUCT((Inputs!$A$5:$A$120=$B25)*ISNUMBER(INDEX(Inputs!$K$5:$AJ$120,0,MATCH(Y$2,Inputs!$K$4:$AJ$4,0))))+SUMPRODUCT((Inputs!$C$5:$C$120=$B25)*ISNUMBER(INDEX(Inputs!$K$5:$AJ$120,0,MATCH(Y$2,Inputs!$K$4:$AJ$4,0))))+SUMPRODUCT((Inputs!$E$5:$E$120=$B25)*ISNUMBER(INDEX(Inputs!$K$5:$AJ$120,0,MATCH(Y$2,Inputs!$K$4:$AJ$4,0))))=0,NA(),SUMPRODUCT((Inputs!$A$5:$A$120=$B25)*Inputs!$B$5:$B$120*(((Inputs!$G$5:$G$120="moeda")+(Inputs!$G$5:$G$120="acoes"))*Inputs!$B$1+((Inputs!$G$5:$G$120&lt;&gt;"moeda")*(Inputs!$G$5:$G$120&lt;&gt;"acoes")))*INDEX(Inputs!$K$5:$AJ$120,0,MATCH(Y$2,Inputs!$K$4:$AJ$4,0)))+SUMPRODUCT((Inputs!$C$5:$C$120=$B25)*Inputs!$D$5:$D$120*(((Inputs!$G$5:$G$120="moeda")+(Inputs!$G$5:$G$120="acoes"))*Inputs!$B$1+((Inputs!$G$5:$G$120&lt;&gt;"moeda")*(Inputs!$G$5:$G$120&lt;&gt;"acoes")))*INDEX(Inputs!$K$5:$AJ$120,0,MATCH(Y$2,Inputs!$K$4:$AJ$4,0)))+SUMPRODUCT((Inputs!$E$5:$E$120=$B25)*Inputs!$F$5:$F$120*(((Inputs!$G$5:$G$120="moeda")+(Inputs!$G$5:$G$120="acoes"))*Inputs!$B$1+((Inputs!$G$5:$G$120&lt;&gt;"moeda")*(Inputs!$G$5:$G$120&lt;&gt;"acoes")))*INDEX(Inputs!$K$5:$AJ$120,0,MATCH(Y$2,Inputs!$K$4:$AJ$4,0)))))</f>
        <v>316</v>
      </c>
      <c r="Z25" s="267">
        <f>IF(ISNA(MATCH(Z$2,Inputs!$K$4:$AJ$4,0)),NA(),IF(SUMPRODUCT((Inputs!$A$5:$A$120=$B25)*ISNUMBER(INDEX(Inputs!$K$5:$AJ$120,0,MATCH(Z$2,Inputs!$K$4:$AJ$4,0))))+SUMPRODUCT((Inputs!$C$5:$C$120=$B25)*ISNUMBER(INDEX(Inputs!$K$5:$AJ$120,0,MATCH(Z$2,Inputs!$K$4:$AJ$4,0))))+SUMPRODUCT((Inputs!$E$5:$E$120=$B25)*ISNUMBER(INDEX(Inputs!$K$5:$AJ$120,0,MATCH(Z$2,Inputs!$K$4:$AJ$4,0))))=0,NA(),SUMPRODUCT((Inputs!$A$5:$A$120=$B25)*Inputs!$B$5:$B$120*(((Inputs!$G$5:$G$120="moeda")+(Inputs!$G$5:$G$120="acoes"))*Inputs!$B$1+((Inputs!$G$5:$G$120&lt;&gt;"moeda")*(Inputs!$G$5:$G$120&lt;&gt;"acoes")))*INDEX(Inputs!$K$5:$AJ$120,0,MATCH(Z$2,Inputs!$K$4:$AJ$4,0)))+SUMPRODUCT((Inputs!$C$5:$C$120=$B25)*Inputs!$D$5:$D$120*(((Inputs!$G$5:$G$120="moeda")+(Inputs!$G$5:$G$120="acoes"))*Inputs!$B$1+((Inputs!$G$5:$G$120&lt;&gt;"moeda")*(Inputs!$G$5:$G$120&lt;&gt;"acoes")))*INDEX(Inputs!$K$5:$AJ$120,0,MATCH(Z$2,Inputs!$K$4:$AJ$4,0)))+SUMPRODUCT((Inputs!$E$5:$E$120=$B25)*Inputs!$F$5:$F$120*(((Inputs!$G$5:$G$120="moeda")+(Inputs!$G$5:$G$120="acoes"))*Inputs!$B$1+((Inputs!$G$5:$G$120&lt;&gt;"moeda")*(Inputs!$G$5:$G$120&lt;&gt;"acoes")))*INDEX(Inputs!$K$5:$AJ$120,0,MATCH(Z$2,Inputs!$K$4:$AJ$4,0)))))</f>
        <v>328</v>
      </c>
      <c r="AA25" s="267">
        <f>IF(ISNA(MATCH(AA$2,Inputs!$K$4:$AJ$4,0)),NA(),IF(SUMPRODUCT((Inputs!$A$5:$A$120=$B25)*ISNUMBER(INDEX(Inputs!$K$5:$AJ$120,0,MATCH(AA$2,Inputs!$K$4:$AJ$4,0))))+SUMPRODUCT((Inputs!$C$5:$C$120=$B25)*ISNUMBER(INDEX(Inputs!$K$5:$AJ$120,0,MATCH(AA$2,Inputs!$K$4:$AJ$4,0))))+SUMPRODUCT((Inputs!$E$5:$E$120=$B25)*ISNUMBER(INDEX(Inputs!$K$5:$AJ$120,0,MATCH(AA$2,Inputs!$K$4:$AJ$4,0))))=0,NA(),SUMPRODUCT((Inputs!$A$5:$A$120=$B25)*Inputs!$B$5:$B$120*(((Inputs!$G$5:$G$120="moeda")+(Inputs!$G$5:$G$120="acoes"))*Inputs!$B$1+((Inputs!$G$5:$G$120&lt;&gt;"moeda")*(Inputs!$G$5:$G$120&lt;&gt;"acoes")))*INDEX(Inputs!$K$5:$AJ$120,0,MATCH(AA$2,Inputs!$K$4:$AJ$4,0)))+SUMPRODUCT((Inputs!$C$5:$C$120=$B25)*Inputs!$D$5:$D$120*(((Inputs!$G$5:$G$120="moeda")+(Inputs!$G$5:$G$120="acoes"))*Inputs!$B$1+((Inputs!$G$5:$G$120&lt;&gt;"moeda")*(Inputs!$G$5:$G$120&lt;&gt;"acoes")))*INDEX(Inputs!$K$5:$AJ$120,0,MATCH(AA$2,Inputs!$K$4:$AJ$4,0)))+SUMPRODUCT((Inputs!$E$5:$E$120=$B25)*Inputs!$F$5:$F$120*(((Inputs!$G$5:$G$120="moeda")+(Inputs!$G$5:$G$120="acoes"))*Inputs!$B$1+((Inputs!$G$5:$G$120&lt;&gt;"moeda")*(Inputs!$G$5:$G$120&lt;&gt;"acoes")))*INDEX(Inputs!$K$5:$AJ$120,0,MATCH(AA$2,Inputs!$K$4:$AJ$4,0)))))</f>
        <v>309</v>
      </c>
      <c r="AB25" s="268">
        <f>AA25</f>
        <v>309</v>
      </c>
      <c r="AC25" s="267">
        <f>IF(ISNA(MATCH(AC$2,Inputs!$K$4:$AJ$4,0)),NA(),IF(SUMPRODUCT((Inputs!$A$5:$A$120=$B25)*ISNUMBER(INDEX(Inputs!$K$5:$AJ$120,0,MATCH(AC$2,Inputs!$K$4:$AJ$4,0))))+SUMPRODUCT((Inputs!$C$5:$C$120=$B25)*ISNUMBER(INDEX(Inputs!$K$5:$AJ$120,0,MATCH(AC$2,Inputs!$K$4:$AJ$4,0))))+SUMPRODUCT((Inputs!$E$5:$E$120=$B25)*ISNUMBER(INDEX(Inputs!$K$5:$AJ$120,0,MATCH(AC$2,Inputs!$K$4:$AJ$4,0))))=0,NA(),SUMPRODUCT((Inputs!$A$5:$A$120=$B25)*Inputs!$B$5:$B$120*(((Inputs!$G$5:$G$120="moeda")+(Inputs!$G$5:$G$120="acoes"))*Inputs!$B$1+((Inputs!$G$5:$G$120&lt;&gt;"moeda")*(Inputs!$G$5:$G$120&lt;&gt;"acoes")))*INDEX(Inputs!$K$5:$AJ$120,0,MATCH(AC$2,Inputs!$K$4:$AJ$4,0)))+SUMPRODUCT((Inputs!$C$5:$C$120=$B25)*Inputs!$D$5:$D$120*(((Inputs!$G$5:$G$120="moeda")+(Inputs!$G$5:$G$120="acoes"))*Inputs!$B$1+((Inputs!$G$5:$G$120&lt;&gt;"moeda")*(Inputs!$G$5:$G$120&lt;&gt;"acoes")))*INDEX(Inputs!$K$5:$AJ$120,0,MATCH(AC$2,Inputs!$K$4:$AJ$4,0)))+SUMPRODUCT((Inputs!$E$5:$E$120=$B25)*Inputs!$F$5:$F$120*(((Inputs!$G$5:$G$120="moeda")+(Inputs!$G$5:$G$120="acoes"))*Inputs!$B$1+((Inputs!$G$5:$G$120&lt;&gt;"moeda")*(Inputs!$G$5:$G$120&lt;&gt;"acoes")))*INDEX(Inputs!$K$5:$AJ$120,0,MATCH(AC$2,Inputs!$K$4:$AJ$4,0)))))</f>
        <v>304</v>
      </c>
      <c r="AD25" s="267">
        <f>IF(ISNA(MATCH(AD$2,Inputs!$K$4:$AJ$4,0)),NA(),IF(SUMPRODUCT((Inputs!$A$5:$A$120=$B25)*ISNUMBER(INDEX(Inputs!$K$5:$AJ$120,0,MATCH(AD$2,Inputs!$K$4:$AJ$4,0))))+SUMPRODUCT((Inputs!$C$5:$C$120=$B25)*ISNUMBER(INDEX(Inputs!$K$5:$AJ$120,0,MATCH(AD$2,Inputs!$K$4:$AJ$4,0))))+SUMPRODUCT((Inputs!$E$5:$E$120=$B25)*ISNUMBER(INDEX(Inputs!$K$5:$AJ$120,0,MATCH(AD$2,Inputs!$K$4:$AJ$4,0))))=0,NA(),SUMPRODUCT((Inputs!$A$5:$A$120=$B25)*Inputs!$B$5:$B$120*(((Inputs!$G$5:$G$120="moeda")+(Inputs!$G$5:$G$120="acoes"))*Inputs!$B$1+((Inputs!$G$5:$G$120&lt;&gt;"moeda")*(Inputs!$G$5:$G$120&lt;&gt;"acoes")))*INDEX(Inputs!$K$5:$AJ$120,0,MATCH(AD$2,Inputs!$K$4:$AJ$4,0)))+SUMPRODUCT((Inputs!$C$5:$C$120=$B25)*Inputs!$D$5:$D$120*(((Inputs!$G$5:$G$120="moeda")+(Inputs!$G$5:$G$120="acoes"))*Inputs!$B$1+((Inputs!$G$5:$G$120&lt;&gt;"moeda")*(Inputs!$G$5:$G$120&lt;&gt;"acoes")))*INDEX(Inputs!$K$5:$AJ$120,0,MATCH(AD$2,Inputs!$K$4:$AJ$4,0)))+SUMPRODUCT((Inputs!$E$5:$E$120=$B25)*Inputs!$F$5:$F$120*(((Inputs!$G$5:$G$120="moeda")+(Inputs!$G$5:$G$120="acoes"))*Inputs!$B$1+((Inputs!$G$5:$G$120&lt;&gt;"moeda")*(Inputs!$G$5:$G$120&lt;&gt;"acoes")))*INDEX(Inputs!$K$5:$AJ$120,0,MATCH(AD$2,Inputs!$K$4:$AJ$4,0)))))</f>
        <v>288</v>
      </c>
      <c r="AE25" s="267" t="e">
        <f>IF(ISNA(MATCH(AE$2,Inputs!$K$4:$AJ$4,0)),NA(),IF(SUMPRODUCT((Inputs!$A$5:$A$120=$B25)*ISNUMBER(INDEX(Inputs!$K$5:$AJ$120,0,MATCH(AE$2,Inputs!$K$4:$AJ$4,0))))+SUMPRODUCT((Inputs!$C$5:$C$120=$B25)*ISNUMBER(INDEX(Inputs!$K$5:$AJ$120,0,MATCH(AE$2,Inputs!$K$4:$AJ$4,0))))+SUMPRODUCT((Inputs!$E$5:$E$120=$B25)*ISNUMBER(INDEX(Inputs!$K$5:$AJ$120,0,MATCH(AE$2,Inputs!$K$4:$AJ$4,0))))=0,NA(),SUMPRODUCT((Inputs!$A$5:$A$120=$B25)*Inputs!$B$5:$B$120*(((Inputs!$G$5:$G$120="moeda")+(Inputs!$G$5:$G$120="acoes"))*Inputs!$B$1+((Inputs!$G$5:$G$120&lt;&gt;"moeda")*(Inputs!$G$5:$G$120&lt;&gt;"acoes")))*INDEX(Inputs!$K$5:$AJ$120,0,MATCH(AE$2,Inputs!$K$4:$AJ$4,0)))+SUMPRODUCT((Inputs!$C$5:$C$120=$B25)*Inputs!$D$5:$D$120*(((Inputs!$G$5:$G$120="moeda")+(Inputs!$G$5:$G$120="acoes"))*Inputs!$B$1+((Inputs!$G$5:$G$120&lt;&gt;"moeda")*(Inputs!$G$5:$G$120&lt;&gt;"acoes")))*INDEX(Inputs!$K$5:$AJ$120,0,MATCH(AE$2,Inputs!$K$4:$AJ$4,0)))+SUMPRODUCT((Inputs!$E$5:$E$120=$B25)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5" s="267" t="e">
        <f>IF(ISNA(MATCH(AF$2,Inputs!$K$4:$AJ$4,0)),NA(),IF(SUMPRODUCT((Inputs!$A$5:$A$120=$B25)*ISNUMBER(INDEX(Inputs!$K$5:$AJ$120,0,MATCH(AF$2,Inputs!$K$4:$AJ$4,0))))+SUMPRODUCT((Inputs!$C$5:$C$120=$B25)*ISNUMBER(INDEX(Inputs!$K$5:$AJ$120,0,MATCH(AF$2,Inputs!$K$4:$AJ$4,0))))+SUMPRODUCT((Inputs!$E$5:$E$120=$B25)*ISNUMBER(INDEX(Inputs!$K$5:$AJ$120,0,MATCH(AF$2,Inputs!$K$4:$AJ$4,0))))=0,NA(),SUMPRODUCT((Inputs!$A$5:$A$120=$B25)*Inputs!$B$5:$B$120*(((Inputs!$G$5:$G$120="moeda")+(Inputs!$G$5:$G$120="acoes"))*Inputs!$B$1+((Inputs!$G$5:$G$120&lt;&gt;"moeda")*(Inputs!$G$5:$G$120&lt;&gt;"acoes")))*INDEX(Inputs!$K$5:$AJ$120,0,MATCH(AF$2,Inputs!$K$4:$AJ$4,0)))+SUMPRODUCT((Inputs!$C$5:$C$120=$B25)*Inputs!$D$5:$D$120*(((Inputs!$G$5:$G$120="moeda")+(Inputs!$G$5:$G$120="acoes"))*Inputs!$B$1+((Inputs!$G$5:$G$120&lt;&gt;"moeda")*(Inputs!$G$5:$G$120&lt;&gt;"acoes")))*INDEX(Inputs!$K$5:$AJ$120,0,MATCH(AF$2,Inputs!$K$4:$AJ$4,0)))+SUMPRODUCT((Inputs!$E$5:$E$120=$B25)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5" s="268" t="e">
        <f>AF25</f>
        <v>#N/A</v>
      </c>
      <c r="AH25" s="267">
        <f>IF(ISNA(MATCH(AH$2,Inputs!$K$4:$AJ$4,0)),NA(),IF(SUMPRODUCT((Inputs!$A$5:$A$120=$B25)*ISNUMBER(INDEX(Inputs!$K$5:$AJ$120,0,MATCH(AH$2,Inputs!$K$4:$AJ$4,0))))+SUMPRODUCT((Inputs!$C$5:$C$120=$B25)*ISNUMBER(INDEX(Inputs!$K$5:$AJ$120,0,MATCH(AH$2,Inputs!$K$4:$AJ$4,0))))+SUMPRODUCT((Inputs!$E$5:$E$120=$B25)*ISNUMBER(INDEX(Inputs!$K$5:$AJ$120,0,MATCH(AH$2,Inputs!$K$4:$AJ$4,0))))=0,NA(),SUMPRODUCT((Inputs!$A$5:$A$120=$B25)*Inputs!$B$5:$B$120*(((Inputs!$G$5:$G$120="moeda")+(Inputs!$G$5:$G$120="acoes"))*Inputs!$B$1+((Inputs!$G$5:$G$120&lt;&gt;"moeda")*(Inputs!$G$5:$G$120&lt;&gt;"acoes")))*INDEX(Inputs!$K$5:$AJ$120,0,MATCH(AH$2,Inputs!$K$4:$AJ$4,0)))+SUMPRODUCT((Inputs!$C$5:$C$120=$B25)*Inputs!$D$5:$D$120*(((Inputs!$G$5:$G$120="moeda")+(Inputs!$G$5:$G$120="acoes"))*Inputs!$B$1+((Inputs!$G$5:$G$120&lt;&gt;"moeda")*(Inputs!$G$5:$G$120&lt;&gt;"acoes")))*INDEX(Inputs!$K$5:$AJ$120,0,MATCH(AH$2,Inputs!$K$4:$AJ$4,0)))+SUMPRODUCT((Inputs!$E$5:$E$120=$B25)*Inputs!$F$5:$F$120*(((Inputs!$G$5:$G$120="moeda")+(Inputs!$G$5:$G$120="acoes"))*Inputs!$B$1+((Inputs!$G$5:$G$120&lt;&gt;"moeda")*(Inputs!$G$5:$G$120&lt;&gt;"acoes")))*INDEX(Inputs!$K$5:$AJ$120,0,MATCH(AH$2,Inputs!$K$4:$AJ$4,0)))))</f>
        <v>533</v>
      </c>
      <c r="AI25" s="267">
        <f>IF(ISNA(MATCH(AI$2,Inputs!$K$4:$AJ$4,0)),NA(),IF(SUMPRODUCT((Inputs!$A$5:$A$120=$B25)*ISNUMBER(INDEX(Inputs!$K$5:$AJ$120,0,MATCH(AI$2,Inputs!$K$4:$AJ$4,0))))+SUMPRODUCT((Inputs!$C$5:$C$120=$B25)*ISNUMBER(INDEX(Inputs!$K$5:$AJ$120,0,MATCH(AI$2,Inputs!$K$4:$AJ$4,0))))+SUMPRODUCT((Inputs!$E$5:$E$120=$B25)*ISNUMBER(INDEX(Inputs!$K$5:$AJ$120,0,MATCH(AI$2,Inputs!$K$4:$AJ$4,0))))=0,NA(),SUMPRODUCT((Inputs!$A$5:$A$120=$B25)*Inputs!$B$5:$B$120*(((Inputs!$G$5:$G$120="moeda")+(Inputs!$G$5:$G$120="acoes"))*Inputs!$B$1+((Inputs!$G$5:$G$120&lt;&gt;"moeda")*(Inputs!$G$5:$G$120&lt;&gt;"acoes")))*INDEX(Inputs!$K$5:$AJ$120,0,MATCH(AI$2,Inputs!$K$4:$AJ$4,0)))+SUMPRODUCT((Inputs!$C$5:$C$120=$B25)*Inputs!$D$5:$D$120*(((Inputs!$G$5:$G$120="moeda")+(Inputs!$G$5:$G$120="acoes"))*Inputs!$B$1+((Inputs!$G$5:$G$120&lt;&gt;"moeda")*(Inputs!$G$5:$G$120&lt;&gt;"acoes")))*INDEX(Inputs!$K$5:$AJ$120,0,MATCH(AI$2,Inputs!$K$4:$AJ$4,0)))+SUMPRODUCT((Inputs!$E$5:$E$120=$B25)*Inputs!$F$5:$F$120*(((Inputs!$G$5:$G$120="moeda")+(Inputs!$G$5:$G$120="acoes"))*Inputs!$B$1+((Inputs!$G$5:$G$120&lt;&gt;"moeda")*(Inputs!$G$5:$G$120&lt;&gt;"acoes")))*INDEX(Inputs!$K$5:$AJ$120,0,MATCH(AI$2,Inputs!$K$4:$AJ$4,0)))))</f>
        <v>524</v>
      </c>
      <c r="AJ25" s="267">
        <f>IF(ISNA(MATCH(AJ$2,Inputs!$K$4:$AJ$4,0)),NA(),IF(SUMPRODUCT((Inputs!$A$5:$A$120=$B25)*ISNUMBER(INDEX(Inputs!$K$5:$AJ$120,0,MATCH(AJ$2,Inputs!$K$4:$AJ$4,0))))+SUMPRODUCT((Inputs!$C$5:$C$120=$B25)*ISNUMBER(INDEX(Inputs!$K$5:$AJ$120,0,MATCH(AJ$2,Inputs!$K$4:$AJ$4,0))))+SUMPRODUCT((Inputs!$E$5:$E$120=$B25)*ISNUMBER(INDEX(Inputs!$K$5:$AJ$120,0,MATCH(AJ$2,Inputs!$K$4:$AJ$4,0))))=0,NA(),SUMPRODUCT((Inputs!$A$5:$A$120=$B25)*Inputs!$B$5:$B$120*(((Inputs!$G$5:$G$120="moeda")+(Inputs!$G$5:$G$120="acoes"))*Inputs!$B$1+((Inputs!$G$5:$G$120&lt;&gt;"moeda")*(Inputs!$G$5:$G$120&lt;&gt;"acoes")))*INDEX(Inputs!$K$5:$AJ$120,0,MATCH(AJ$2,Inputs!$K$4:$AJ$4,0)))+SUMPRODUCT((Inputs!$C$5:$C$120=$B25)*Inputs!$D$5:$D$120*(((Inputs!$G$5:$G$120="moeda")+(Inputs!$G$5:$G$120="acoes"))*Inputs!$B$1+((Inputs!$G$5:$G$120&lt;&gt;"moeda")*(Inputs!$G$5:$G$120&lt;&gt;"acoes")))*INDEX(Inputs!$K$5:$AJ$120,0,MATCH(AJ$2,Inputs!$K$4:$AJ$4,0)))+SUMPRODUCT((Inputs!$E$5:$E$120=$B25)*Inputs!$F$5:$F$120*(((Inputs!$G$5:$G$120="moeda")+(Inputs!$G$5:$G$120="acoes"))*Inputs!$B$1+((Inputs!$G$5:$G$120&lt;&gt;"moeda")*(Inputs!$G$5:$G$120&lt;&gt;"acoes")))*INDEX(Inputs!$K$5:$AJ$120,0,MATCH(AJ$2,Inputs!$K$4:$AJ$4,0)))))</f>
        <v>524</v>
      </c>
      <c r="AK25" s="267">
        <f>IF(ISNA(MATCH(AK$2,Inputs!$K$4:$AJ$4,0)),NA(),IF(SUMPRODUCT((Inputs!$A$5:$A$120=$B25)*ISNUMBER(INDEX(Inputs!$K$5:$AJ$120,0,MATCH(AK$2,Inputs!$K$4:$AJ$4,0))))+SUMPRODUCT((Inputs!$C$5:$C$120=$B25)*ISNUMBER(INDEX(Inputs!$K$5:$AJ$120,0,MATCH(AK$2,Inputs!$K$4:$AJ$4,0))))+SUMPRODUCT((Inputs!$E$5:$E$120=$B25)*ISNUMBER(INDEX(Inputs!$K$5:$AJ$120,0,MATCH(AK$2,Inputs!$K$4:$AJ$4,0))))=0,NA(),SUMPRODUCT((Inputs!$A$5:$A$120=$B25)*Inputs!$B$5:$B$120*(((Inputs!$G$5:$G$120="moeda")+(Inputs!$G$5:$G$120="acoes"))*Inputs!$B$1+((Inputs!$G$5:$G$120&lt;&gt;"moeda")*(Inputs!$G$5:$G$120&lt;&gt;"acoes")))*INDEX(Inputs!$K$5:$AJ$120,0,MATCH(AK$2,Inputs!$K$4:$AJ$4,0)))+SUMPRODUCT((Inputs!$C$5:$C$120=$B25)*Inputs!$D$5:$D$120*(((Inputs!$G$5:$G$120="moeda")+(Inputs!$G$5:$G$120="acoes"))*Inputs!$B$1+((Inputs!$G$5:$G$120&lt;&gt;"moeda")*(Inputs!$G$5:$G$120&lt;&gt;"acoes")))*INDEX(Inputs!$K$5:$AJ$120,0,MATCH(AK$2,Inputs!$K$4:$AJ$4,0)))+SUMPRODUCT((Inputs!$E$5:$E$120=$B25)*Inputs!$F$5:$F$120*(((Inputs!$G$5:$G$120="moeda")+(Inputs!$G$5:$G$120="acoes"))*Inputs!$B$1+((Inputs!$G$5:$G$120&lt;&gt;"moeda")*(Inputs!$G$5:$G$120&lt;&gt;"acoes")))*INDEX(Inputs!$K$5:$AJ$120,0,MATCH(AK$2,Inputs!$K$4:$AJ$4,0)))))</f>
        <v>529</v>
      </c>
      <c r="AL25" s="268">
        <f>AK25</f>
        <v>529</v>
      </c>
    </row>
    <row r="26" ht="12.75" customHeight="1" s="255">
      <c r="B26" s="265" t="n">
        <v>22</v>
      </c>
      <c r="C26" s="270" t="inlineStr">
        <is>
          <t>Other non-current assets</t>
        </is>
      </c>
      <c r="D26" s="267">
        <f>IF(ISNA(MATCH(D$2,Inputs!$K$4:$AJ$4,0)),NA(),IF(SUMPRODUCT((Inputs!$A$5:$A$120=$B26)*ISNUMBER(INDEX(Inputs!$K$5:$AJ$120,0,MATCH(D$2,Inputs!$K$4:$AJ$4,0))))+SUMPRODUCT((Inputs!$C$5:$C$120=$B26)*ISNUMBER(INDEX(Inputs!$K$5:$AJ$120,0,MATCH(D$2,Inputs!$K$4:$AJ$4,0))))+SUMPRODUCT((Inputs!$E$5:$E$120=$B26)*ISNUMBER(INDEX(Inputs!$K$5:$AJ$120,0,MATCH(D$2,Inputs!$K$4:$AJ$4,0))))=0,NA(),SUMPRODUCT((Inputs!$A$5:$A$120=$B26)*Inputs!$B$5:$B$120*(((Inputs!$G$5:$G$120="moeda")+(Inputs!$G$5:$G$120="acoes"))*Inputs!$B$1+((Inputs!$G$5:$G$120&lt;&gt;"moeda")*(Inputs!$G$5:$G$120&lt;&gt;"acoes")))*INDEX(Inputs!$K$5:$AJ$120,0,MATCH(D$2,Inputs!$K$4:$AJ$4,0)))+SUMPRODUCT((Inputs!$C$5:$C$120=$B26)*Inputs!$D$5:$D$120*(((Inputs!$G$5:$G$120="moeda")+(Inputs!$G$5:$G$120="acoes"))*Inputs!$B$1+((Inputs!$G$5:$G$120&lt;&gt;"moeda")*(Inputs!$G$5:$G$120&lt;&gt;"acoes")))*INDEX(Inputs!$K$5:$AJ$120,0,MATCH(D$2,Inputs!$K$4:$AJ$4,0)))+SUMPRODUCT((Inputs!$E$5:$E$120=$B26)*Inputs!$F$5:$F$120*(((Inputs!$G$5:$G$120="moeda")+(Inputs!$G$5:$G$120="acoes"))*Inputs!$B$1+((Inputs!$G$5:$G$120&lt;&gt;"moeda")*(Inputs!$G$5:$G$120&lt;&gt;"acoes")))*INDEX(Inputs!$K$5:$AJ$120,0,MATCH(D$2,Inputs!$K$4:$AJ$4,0)))))</f>
        <v>1380</v>
      </c>
      <c r="E26" s="267">
        <f>IF(ISNA(MATCH(E$2,Inputs!$K$4:$AJ$4,0)),NA(),IF(SUMPRODUCT((Inputs!$A$5:$A$120=$B26)*ISNUMBER(INDEX(Inputs!$K$5:$AJ$120,0,MATCH(E$2,Inputs!$K$4:$AJ$4,0))))+SUMPRODUCT((Inputs!$C$5:$C$120=$B26)*ISNUMBER(INDEX(Inputs!$K$5:$AJ$120,0,MATCH(E$2,Inputs!$K$4:$AJ$4,0))))+SUMPRODUCT((Inputs!$E$5:$E$120=$B26)*ISNUMBER(INDEX(Inputs!$K$5:$AJ$120,0,MATCH(E$2,Inputs!$K$4:$AJ$4,0))))=0,NA(),SUMPRODUCT((Inputs!$A$5:$A$120=$B26)*Inputs!$B$5:$B$120*(((Inputs!$G$5:$G$120="moeda")+(Inputs!$G$5:$G$120="acoes"))*Inputs!$B$1+((Inputs!$G$5:$G$120&lt;&gt;"moeda")*(Inputs!$G$5:$G$120&lt;&gt;"acoes")))*INDEX(Inputs!$K$5:$AJ$120,0,MATCH(E$2,Inputs!$K$4:$AJ$4,0)))+SUMPRODUCT((Inputs!$C$5:$C$120=$B26)*Inputs!$D$5:$D$120*(((Inputs!$G$5:$G$120="moeda")+(Inputs!$G$5:$G$120="acoes"))*Inputs!$B$1+((Inputs!$G$5:$G$120&lt;&gt;"moeda")*(Inputs!$G$5:$G$120&lt;&gt;"acoes")))*INDEX(Inputs!$K$5:$AJ$120,0,MATCH(E$2,Inputs!$K$4:$AJ$4,0)))+SUMPRODUCT((Inputs!$E$5:$E$120=$B26)*Inputs!$F$5:$F$120*(((Inputs!$G$5:$G$120="moeda")+(Inputs!$G$5:$G$120="acoes"))*Inputs!$B$1+((Inputs!$G$5:$G$120&lt;&gt;"moeda")*(Inputs!$G$5:$G$120&lt;&gt;"acoes")))*INDEX(Inputs!$K$5:$AJ$120,0,MATCH(E$2,Inputs!$K$4:$AJ$4,0)))))</f>
        <v>1399</v>
      </c>
      <c r="F26" s="267">
        <f>IF(ISNA(MATCH(F$2,Inputs!$K$4:$AJ$4,0)),NA(),IF(SUMPRODUCT((Inputs!$A$5:$A$120=$B26)*ISNUMBER(INDEX(Inputs!$K$5:$AJ$120,0,MATCH(F$2,Inputs!$K$4:$AJ$4,0))))+SUMPRODUCT((Inputs!$C$5:$C$120=$B26)*ISNUMBER(INDEX(Inputs!$K$5:$AJ$120,0,MATCH(F$2,Inputs!$K$4:$AJ$4,0))))+SUMPRODUCT((Inputs!$E$5:$E$120=$B26)*ISNUMBER(INDEX(Inputs!$K$5:$AJ$120,0,MATCH(F$2,Inputs!$K$4:$AJ$4,0))))=0,NA(),SUMPRODUCT((Inputs!$A$5:$A$120=$B26)*Inputs!$B$5:$B$120*(((Inputs!$G$5:$G$120="moeda")+(Inputs!$G$5:$G$120="acoes"))*Inputs!$B$1+((Inputs!$G$5:$G$120&lt;&gt;"moeda")*(Inputs!$G$5:$G$120&lt;&gt;"acoes")))*INDEX(Inputs!$K$5:$AJ$120,0,MATCH(F$2,Inputs!$K$4:$AJ$4,0)))+SUMPRODUCT((Inputs!$C$5:$C$120=$B26)*Inputs!$D$5:$D$120*(((Inputs!$G$5:$G$120="moeda")+(Inputs!$G$5:$G$120="acoes"))*Inputs!$B$1+((Inputs!$G$5:$G$120&lt;&gt;"moeda")*(Inputs!$G$5:$G$120&lt;&gt;"acoes")))*INDEX(Inputs!$K$5:$AJ$120,0,MATCH(F$2,Inputs!$K$4:$AJ$4,0)))+SUMPRODUCT((Inputs!$E$5:$E$120=$B26)*Inputs!$F$5:$F$120*(((Inputs!$G$5:$G$120="moeda")+(Inputs!$G$5:$G$120="acoes"))*Inputs!$B$1+((Inputs!$G$5:$G$120&lt;&gt;"moeda")*(Inputs!$G$5:$G$120&lt;&gt;"acoes")))*INDEX(Inputs!$K$5:$AJ$120,0,MATCH(F$2,Inputs!$K$4:$AJ$4,0)))))</f>
        <v>1411</v>
      </c>
      <c r="G26" s="267">
        <f>IF(ISNA(MATCH(G$2,Inputs!$K$4:$AJ$4,0)),NA(),IF(SUMPRODUCT((Inputs!$A$5:$A$120=$B26)*ISNUMBER(INDEX(Inputs!$K$5:$AJ$120,0,MATCH(G$2,Inputs!$K$4:$AJ$4,0))))+SUMPRODUCT((Inputs!$C$5:$C$120=$B26)*ISNUMBER(INDEX(Inputs!$K$5:$AJ$120,0,MATCH(G$2,Inputs!$K$4:$AJ$4,0))))+SUMPRODUCT((Inputs!$E$5:$E$120=$B26)*ISNUMBER(INDEX(Inputs!$K$5:$AJ$120,0,MATCH(G$2,Inputs!$K$4:$AJ$4,0))))=0,NA(),SUMPRODUCT((Inputs!$A$5:$A$120=$B26)*Inputs!$B$5:$B$120*(((Inputs!$G$5:$G$120="moeda")+(Inputs!$G$5:$G$120="acoes"))*Inputs!$B$1+((Inputs!$G$5:$G$120&lt;&gt;"moeda")*(Inputs!$G$5:$G$120&lt;&gt;"acoes")))*INDEX(Inputs!$K$5:$AJ$120,0,MATCH(G$2,Inputs!$K$4:$AJ$4,0)))+SUMPRODUCT((Inputs!$C$5:$C$120=$B26)*Inputs!$D$5:$D$120*(((Inputs!$G$5:$G$120="moeda")+(Inputs!$G$5:$G$120="acoes"))*Inputs!$B$1+((Inputs!$G$5:$G$120&lt;&gt;"moeda")*(Inputs!$G$5:$G$120&lt;&gt;"acoes")))*INDEX(Inputs!$K$5:$AJ$120,0,MATCH(G$2,Inputs!$K$4:$AJ$4,0)))+SUMPRODUCT((Inputs!$E$5:$E$120=$B26)*Inputs!$F$5:$F$120*(((Inputs!$G$5:$G$120="moeda")+(Inputs!$G$5:$G$120="acoes"))*Inputs!$B$1+((Inputs!$G$5:$G$120&lt;&gt;"moeda")*(Inputs!$G$5:$G$120&lt;&gt;"acoes")))*INDEX(Inputs!$K$5:$AJ$120,0,MATCH(G$2,Inputs!$K$4:$AJ$4,0)))))</f>
        <v>1483</v>
      </c>
      <c r="H26" s="268">
        <f>G26</f>
        <v>1483</v>
      </c>
      <c r="I26" s="267">
        <f>IF(ISNA(MATCH(I$2,Inputs!$K$4:$AJ$4,0)),NA(),IF(SUMPRODUCT((Inputs!$A$5:$A$120=$B26)*ISNUMBER(INDEX(Inputs!$K$5:$AJ$120,0,MATCH(I$2,Inputs!$K$4:$AJ$4,0))))+SUMPRODUCT((Inputs!$C$5:$C$120=$B26)*ISNUMBER(INDEX(Inputs!$K$5:$AJ$120,0,MATCH(I$2,Inputs!$K$4:$AJ$4,0))))+SUMPRODUCT((Inputs!$E$5:$E$120=$B26)*ISNUMBER(INDEX(Inputs!$K$5:$AJ$120,0,MATCH(I$2,Inputs!$K$4:$AJ$4,0))))=0,NA(),SUMPRODUCT((Inputs!$A$5:$A$120=$B26)*Inputs!$B$5:$B$120*(((Inputs!$G$5:$G$120="moeda")+(Inputs!$G$5:$G$120="acoes"))*Inputs!$B$1+((Inputs!$G$5:$G$120&lt;&gt;"moeda")*(Inputs!$G$5:$G$120&lt;&gt;"acoes")))*INDEX(Inputs!$K$5:$AJ$120,0,MATCH(I$2,Inputs!$K$4:$AJ$4,0)))+SUMPRODUCT((Inputs!$C$5:$C$120=$B26)*Inputs!$D$5:$D$120*(((Inputs!$G$5:$G$120="moeda")+(Inputs!$G$5:$G$120="acoes"))*Inputs!$B$1+((Inputs!$G$5:$G$120&lt;&gt;"moeda")*(Inputs!$G$5:$G$120&lt;&gt;"acoes")))*INDEX(Inputs!$K$5:$AJ$120,0,MATCH(I$2,Inputs!$K$4:$AJ$4,0)))+SUMPRODUCT((Inputs!$E$5:$E$120=$B26)*Inputs!$F$5:$F$120*(((Inputs!$G$5:$G$120="moeda")+(Inputs!$G$5:$G$120="acoes"))*Inputs!$B$1+((Inputs!$G$5:$G$120&lt;&gt;"moeda")*(Inputs!$G$5:$G$120&lt;&gt;"acoes")))*INDEX(Inputs!$K$5:$AJ$120,0,MATCH(I$2,Inputs!$K$4:$AJ$4,0)))))</f>
        <v>1677</v>
      </c>
      <c r="J26" s="267">
        <f>IF(ISNA(MATCH(J$2,Inputs!$K$4:$AJ$4,0)),NA(),IF(SUMPRODUCT((Inputs!$A$5:$A$120=$B26)*ISNUMBER(INDEX(Inputs!$K$5:$AJ$120,0,MATCH(J$2,Inputs!$K$4:$AJ$4,0))))+SUMPRODUCT((Inputs!$C$5:$C$120=$B26)*ISNUMBER(INDEX(Inputs!$K$5:$AJ$120,0,MATCH(J$2,Inputs!$K$4:$AJ$4,0))))+SUMPRODUCT((Inputs!$E$5:$E$120=$B26)*ISNUMBER(INDEX(Inputs!$K$5:$AJ$120,0,MATCH(J$2,Inputs!$K$4:$AJ$4,0))))=0,NA(),SUMPRODUCT((Inputs!$A$5:$A$120=$B26)*Inputs!$B$5:$B$120*(((Inputs!$G$5:$G$120="moeda")+(Inputs!$G$5:$G$120="acoes"))*Inputs!$B$1+((Inputs!$G$5:$G$120&lt;&gt;"moeda")*(Inputs!$G$5:$G$120&lt;&gt;"acoes")))*INDEX(Inputs!$K$5:$AJ$120,0,MATCH(J$2,Inputs!$K$4:$AJ$4,0)))+SUMPRODUCT((Inputs!$C$5:$C$120=$B26)*Inputs!$D$5:$D$120*(((Inputs!$G$5:$G$120="moeda")+(Inputs!$G$5:$G$120="acoes"))*Inputs!$B$1+((Inputs!$G$5:$G$120&lt;&gt;"moeda")*(Inputs!$G$5:$G$120&lt;&gt;"acoes")))*INDEX(Inputs!$K$5:$AJ$120,0,MATCH(J$2,Inputs!$K$4:$AJ$4,0)))+SUMPRODUCT((Inputs!$E$5:$E$120=$B26)*Inputs!$F$5:$F$120*(((Inputs!$G$5:$G$120="moeda")+(Inputs!$G$5:$G$120="acoes"))*Inputs!$B$1+((Inputs!$G$5:$G$120&lt;&gt;"moeda")*(Inputs!$G$5:$G$120&lt;&gt;"acoes")))*INDEX(Inputs!$K$5:$AJ$120,0,MATCH(J$2,Inputs!$K$4:$AJ$4,0)))))</f>
        <v>1713</v>
      </c>
      <c r="K26" s="267">
        <f>IF(ISNA(MATCH(K$2,Inputs!$K$4:$AJ$4,0)),NA(),IF(SUMPRODUCT((Inputs!$A$5:$A$120=$B26)*ISNUMBER(INDEX(Inputs!$K$5:$AJ$120,0,MATCH(K$2,Inputs!$K$4:$AJ$4,0))))+SUMPRODUCT((Inputs!$C$5:$C$120=$B26)*ISNUMBER(INDEX(Inputs!$K$5:$AJ$120,0,MATCH(K$2,Inputs!$K$4:$AJ$4,0))))+SUMPRODUCT((Inputs!$E$5:$E$120=$B26)*ISNUMBER(INDEX(Inputs!$K$5:$AJ$120,0,MATCH(K$2,Inputs!$K$4:$AJ$4,0))))=0,NA(),SUMPRODUCT((Inputs!$A$5:$A$120=$B26)*Inputs!$B$5:$B$120*(((Inputs!$G$5:$G$120="moeda")+(Inputs!$G$5:$G$120="acoes"))*Inputs!$B$1+((Inputs!$G$5:$G$120&lt;&gt;"moeda")*(Inputs!$G$5:$G$120&lt;&gt;"acoes")))*INDEX(Inputs!$K$5:$AJ$120,0,MATCH(K$2,Inputs!$K$4:$AJ$4,0)))+SUMPRODUCT((Inputs!$C$5:$C$120=$B26)*Inputs!$D$5:$D$120*(((Inputs!$G$5:$G$120="moeda")+(Inputs!$G$5:$G$120="acoes"))*Inputs!$B$1+((Inputs!$G$5:$G$120&lt;&gt;"moeda")*(Inputs!$G$5:$G$120&lt;&gt;"acoes")))*INDEX(Inputs!$K$5:$AJ$120,0,MATCH(K$2,Inputs!$K$4:$AJ$4,0)))+SUMPRODUCT((Inputs!$E$5:$E$120=$B26)*Inputs!$F$5:$F$120*(((Inputs!$G$5:$G$120="moeda")+(Inputs!$G$5:$G$120="acoes"))*Inputs!$B$1+((Inputs!$G$5:$G$120&lt;&gt;"moeda")*(Inputs!$G$5:$G$120&lt;&gt;"acoes")))*INDEX(Inputs!$K$5:$AJ$120,0,MATCH(K$2,Inputs!$K$4:$AJ$4,0)))))</f>
        <v>1665</v>
      </c>
      <c r="L26" s="267">
        <f>IF(ISNA(MATCH(L$2,Inputs!$K$4:$AJ$4,0)),NA(),IF(SUMPRODUCT((Inputs!$A$5:$A$120=$B26)*ISNUMBER(INDEX(Inputs!$K$5:$AJ$120,0,MATCH(L$2,Inputs!$K$4:$AJ$4,0))))+SUMPRODUCT((Inputs!$C$5:$C$120=$B26)*ISNUMBER(INDEX(Inputs!$K$5:$AJ$120,0,MATCH(L$2,Inputs!$K$4:$AJ$4,0))))+SUMPRODUCT((Inputs!$E$5:$E$120=$B26)*ISNUMBER(INDEX(Inputs!$K$5:$AJ$120,0,MATCH(L$2,Inputs!$K$4:$AJ$4,0))))=0,NA(),SUMPRODUCT((Inputs!$A$5:$A$120=$B26)*Inputs!$B$5:$B$120*(((Inputs!$G$5:$G$120="moeda")+(Inputs!$G$5:$G$120="acoes"))*Inputs!$B$1+((Inputs!$G$5:$G$120&lt;&gt;"moeda")*(Inputs!$G$5:$G$120&lt;&gt;"acoes")))*INDEX(Inputs!$K$5:$AJ$120,0,MATCH(L$2,Inputs!$K$4:$AJ$4,0)))+SUMPRODUCT((Inputs!$C$5:$C$120=$B26)*Inputs!$D$5:$D$120*(((Inputs!$G$5:$G$120="moeda")+(Inputs!$G$5:$G$120="acoes"))*Inputs!$B$1+((Inputs!$G$5:$G$120&lt;&gt;"moeda")*(Inputs!$G$5:$G$120&lt;&gt;"acoes")))*INDEX(Inputs!$K$5:$AJ$120,0,MATCH(L$2,Inputs!$K$4:$AJ$4,0)))+SUMPRODUCT((Inputs!$E$5:$E$120=$B26)*Inputs!$F$5:$F$120*(((Inputs!$G$5:$G$120="moeda")+(Inputs!$G$5:$G$120="acoes"))*Inputs!$B$1+((Inputs!$G$5:$G$120&lt;&gt;"moeda")*(Inputs!$G$5:$G$120&lt;&gt;"acoes")))*INDEX(Inputs!$K$5:$AJ$120,0,MATCH(L$2,Inputs!$K$4:$AJ$4,0)))))</f>
        <v>1639</v>
      </c>
      <c r="M26" s="268">
        <f>L26</f>
        <v>1639</v>
      </c>
      <c r="N26" s="267">
        <f>IF(ISNA(MATCH(N$2,Inputs!$K$4:$AJ$4,0)),NA(),IF(SUMPRODUCT((Inputs!$A$5:$A$120=$B26)*ISNUMBER(INDEX(Inputs!$K$5:$AJ$120,0,MATCH(N$2,Inputs!$K$4:$AJ$4,0))))+SUMPRODUCT((Inputs!$C$5:$C$120=$B26)*ISNUMBER(INDEX(Inputs!$K$5:$AJ$120,0,MATCH(N$2,Inputs!$K$4:$AJ$4,0))))+SUMPRODUCT((Inputs!$E$5:$E$120=$B26)*ISNUMBER(INDEX(Inputs!$K$5:$AJ$120,0,MATCH(N$2,Inputs!$K$4:$AJ$4,0))))=0,NA(),SUMPRODUCT((Inputs!$A$5:$A$120=$B26)*Inputs!$B$5:$B$120*(((Inputs!$G$5:$G$120="moeda")+(Inputs!$G$5:$G$120="acoes"))*Inputs!$B$1+((Inputs!$G$5:$G$120&lt;&gt;"moeda")*(Inputs!$G$5:$G$120&lt;&gt;"acoes")))*INDEX(Inputs!$K$5:$AJ$120,0,MATCH(N$2,Inputs!$K$4:$AJ$4,0)))+SUMPRODUCT((Inputs!$C$5:$C$120=$B26)*Inputs!$D$5:$D$120*(((Inputs!$G$5:$G$120="moeda")+(Inputs!$G$5:$G$120="acoes"))*Inputs!$B$1+((Inputs!$G$5:$G$120&lt;&gt;"moeda")*(Inputs!$G$5:$G$120&lt;&gt;"acoes")))*INDEX(Inputs!$K$5:$AJ$120,0,MATCH(N$2,Inputs!$K$4:$AJ$4,0)))+SUMPRODUCT((Inputs!$E$5:$E$120=$B26)*Inputs!$F$5:$F$120*(((Inputs!$G$5:$G$120="moeda")+(Inputs!$G$5:$G$120="acoes"))*Inputs!$B$1+((Inputs!$G$5:$G$120&lt;&gt;"moeda")*(Inputs!$G$5:$G$120&lt;&gt;"acoes")))*INDEX(Inputs!$K$5:$AJ$120,0,MATCH(N$2,Inputs!$K$4:$AJ$4,0)))))</f>
        <v>1828</v>
      </c>
      <c r="O26" s="267">
        <f>IF(ISNA(MATCH(O$2,Inputs!$K$4:$AJ$4,0)),NA(),IF(SUMPRODUCT((Inputs!$A$5:$A$120=$B26)*ISNUMBER(INDEX(Inputs!$K$5:$AJ$120,0,MATCH(O$2,Inputs!$K$4:$AJ$4,0))))+SUMPRODUCT((Inputs!$C$5:$C$120=$B26)*ISNUMBER(INDEX(Inputs!$K$5:$AJ$120,0,MATCH(O$2,Inputs!$K$4:$AJ$4,0))))+SUMPRODUCT((Inputs!$E$5:$E$120=$B26)*ISNUMBER(INDEX(Inputs!$K$5:$AJ$120,0,MATCH(O$2,Inputs!$K$4:$AJ$4,0))))=0,NA(),SUMPRODUCT((Inputs!$A$5:$A$120=$B26)*Inputs!$B$5:$B$120*(((Inputs!$G$5:$G$120="moeda")+(Inputs!$G$5:$G$120="acoes"))*Inputs!$B$1+((Inputs!$G$5:$G$120&lt;&gt;"moeda")*(Inputs!$G$5:$G$120&lt;&gt;"acoes")))*INDEX(Inputs!$K$5:$AJ$120,0,MATCH(O$2,Inputs!$K$4:$AJ$4,0)))+SUMPRODUCT((Inputs!$C$5:$C$120=$B26)*Inputs!$D$5:$D$120*(((Inputs!$G$5:$G$120="moeda")+(Inputs!$G$5:$G$120="acoes"))*Inputs!$B$1+((Inputs!$G$5:$G$120&lt;&gt;"moeda")*(Inputs!$G$5:$G$120&lt;&gt;"acoes")))*INDEX(Inputs!$K$5:$AJ$120,0,MATCH(O$2,Inputs!$K$4:$AJ$4,0)))+SUMPRODUCT((Inputs!$E$5:$E$120=$B26)*Inputs!$F$5:$F$120*(((Inputs!$G$5:$G$120="moeda")+(Inputs!$G$5:$G$120="acoes"))*Inputs!$B$1+((Inputs!$G$5:$G$120&lt;&gt;"moeda")*(Inputs!$G$5:$G$120&lt;&gt;"acoes")))*INDEX(Inputs!$K$5:$AJ$120,0,MATCH(O$2,Inputs!$K$4:$AJ$4,0)))))</f>
        <v>1882</v>
      </c>
      <c r="P26" s="267">
        <f>IF(ISNA(MATCH(P$2,Inputs!$K$4:$AJ$4,0)),NA(),IF(SUMPRODUCT((Inputs!$A$5:$A$120=$B26)*ISNUMBER(INDEX(Inputs!$K$5:$AJ$120,0,MATCH(P$2,Inputs!$K$4:$AJ$4,0))))+SUMPRODUCT((Inputs!$C$5:$C$120=$B26)*ISNUMBER(INDEX(Inputs!$K$5:$AJ$120,0,MATCH(P$2,Inputs!$K$4:$AJ$4,0))))+SUMPRODUCT((Inputs!$E$5:$E$120=$B26)*ISNUMBER(INDEX(Inputs!$K$5:$AJ$120,0,MATCH(P$2,Inputs!$K$4:$AJ$4,0))))=0,NA(),SUMPRODUCT((Inputs!$A$5:$A$120=$B26)*Inputs!$B$5:$B$120*(((Inputs!$G$5:$G$120="moeda")+(Inputs!$G$5:$G$120="acoes"))*Inputs!$B$1+((Inputs!$G$5:$G$120&lt;&gt;"moeda")*(Inputs!$G$5:$G$120&lt;&gt;"acoes")))*INDEX(Inputs!$K$5:$AJ$120,0,MATCH(P$2,Inputs!$K$4:$AJ$4,0)))+SUMPRODUCT((Inputs!$C$5:$C$120=$B26)*Inputs!$D$5:$D$120*(((Inputs!$G$5:$G$120="moeda")+(Inputs!$G$5:$G$120="acoes"))*Inputs!$B$1+((Inputs!$G$5:$G$120&lt;&gt;"moeda")*(Inputs!$G$5:$G$120&lt;&gt;"acoes")))*INDEX(Inputs!$K$5:$AJ$120,0,MATCH(P$2,Inputs!$K$4:$AJ$4,0)))+SUMPRODUCT((Inputs!$E$5:$E$120=$B26)*Inputs!$F$5:$F$120*(((Inputs!$G$5:$G$120="moeda")+(Inputs!$G$5:$G$120="acoes"))*Inputs!$B$1+((Inputs!$G$5:$G$120&lt;&gt;"moeda")*(Inputs!$G$5:$G$120&lt;&gt;"acoes")))*INDEX(Inputs!$K$5:$AJ$120,0,MATCH(P$2,Inputs!$K$4:$AJ$4,0)))))</f>
        <v>1841</v>
      </c>
      <c r="Q26" s="267">
        <f>IF(ISNA(MATCH(Q$2,Inputs!$K$4:$AJ$4,0)),NA(),IF(SUMPRODUCT((Inputs!$A$5:$A$120=$B26)*ISNUMBER(INDEX(Inputs!$K$5:$AJ$120,0,MATCH(Q$2,Inputs!$K$4:$AJ$4,0))))+SUMPRODUCT((Inputs!$C$5:$C$120=$B26)*ISNUMBER(INDEX(Inputs!$K$5:$AJ$120,0,MATCH(Q$2,Inputs!$K$4:$AJ$4,0))))+SUMPRODUCT((Inputs!$E$5:$E$120=$B26)*ISNUMBER(INDEX(Inputs!$K$5:$AJ$120,0,MATCH(Q$2,Inputs!$K$4:$AJ$4,0))))=0,NA(),SUMPRODUCT((Inputs!$A$5:$A$120=$B26)*Inputs!$B$5:$B$120*(((Inputs!$G$5:$G$120="moeda")+(Inputs!$G$5:$G$120="acoes"))*Inputs!$B$1+((Inputs!$G$5:$G$120&lt;&gt;"moeda")*(Inputs!$G$5:$G$120&lt;&gt;"acoes")))*INDEX(Inputs!$K$5:$AJ$120,0,MATCH(Q$2,Inputs!$K$4:$AJ$4,0)))+SUMPRODUCT((Inputs!$C$5:$C$120=$B26)*Inputs!$D$5:$D$120*(((Inputs!$G$5:$G$120="moeda")+(Inputs!$G$5:$G$120="acoes"))*Inputs!$B$1+((Inputs!$G$5:$G$120&lt;&gt;"moeda")*(Inputs!$G$5:$G$120&lt;&gt;"acoes")))*INDEX(Inputs!$K$5:$AJ$120,0,MATCH(Q$2,Inputs!$K$4:$AJ$4,0)))+SUMPRODUCT((Inputs!$E$5:$E$120=$B26)*Inputs!$F$5:$F$120*(((Inputs!$G$5:$G$120="moeda")+(Inputs!$G$5:$G$120="acoes"))*Inputs!$B$1+((Inputs!$G$5:$G$120&lt;&gt;"moeda")*(Inputs!$G$5:$G$120&lt;&gt;"acoes")))*INDEX(Inputs!$K$5:$AJ$120,0,MATCH(Q$2,Inputs!$K$4:$AJ$4,0)))))</f>
        <v>1895</v>
      </c>
      <c r="R26" s="268">
        <f>Q26</f>
        <v>1895</v>
      </c>
      <c r="S26" s="267">
        <f>IF(ISNA(MATCH(S$2,Inputs!$K$4:$AJ$4,0)),NA(),IF(SUMPRODUCT((Inputs!$A$5:$A$120=$B26)*ISNUMBER(INDEX(Inputs!$K$5:$AJ$120,0,MATCH(S$2,Inputs!$K$4:$AJ$4,0))))+SUMPRODUCT((Inputs!$C$5:$C$120=$B26)*ISNUMBER(INDEX(Inputs!$K$5:$AJ$120,0,MATCH(S$2,Inputs!$K$4:$AJ$4,0))))+SUMPRODUCT((Inputs!$E$5:$E$120=$B26)*ISNUMBER(INDEX(Inputs!$K$5:$AJ$120,0,MATCH(S$2,Inputs!$K$4:$AJ$4,0))))=0,NA(),SUMPRODUCT((Inputs!$A$5:$A$120=$B26)*Inputs!$B$5:$B$120*(((Inputs!$G$5:$G$120="moeda")+(Inputs!$G$5:$G$120="acoes"))*Inputs!$B$1+((Inputs!$G$5:$G$120&lt;&gt;"moeda")*(Inputs!$G$5:$G$120&lt;&gt;"acoes")))*INDEX(Inputs!$K$5:$AJ$120,0,MATCH(S$2,Inputs!$K$4:$AJ$4,0)))+SUMPRODUCT((Inputs!$C$5:$C$120=$B26)*Inputs!$D$5:$D$120*(((Inputs!$G$5:$G$120="moeda")+(Inputs!$G$5:$G$120="acoes"))*Inputs!$B$1+((Inputs!$G$5:$G$120&lt;&gt;"moeda")*(Inputs!$G$5:$G$120&lt;&gt;"acoes")))*INDEX(Inputs!$K$5:$AJ$120,0,MATCH(S$2,Inputs!$K$4:$AJ$4,0)))+SUMPRODUCT((Inputs!$E$5:$E$120=$B26)*Inputs!$F$5:$F$120*(((Inputs!$G$5:$G$120="moeda")+(Inputs!$G$5:$G$120="acoes"))*Inputs!$B$1+((Inputs!$G$5:$G$120&lt;&gt;"moeda")*(Inputs!$G$5:$G$120&lt;&gt;"acoes")))*INDEX(Inputs!$K$5:$AJ$120,0,MATCH(S$2,Inputs!$K$4:$AJ$4,0)))))</f>
        <v>1936</v>
      </c>
      <c r="T26" s="267">
        <f>IF(ISNA(MATCH(T$2,Inputs!$K$4:$AJ$4,0)),NA(),IF(SUMPRODUCT((Inputs!$A$5:$A$120=$B26)*ISNUMBER(INDEX(Inputs!$K$5:$AJ$120,0,MATCH(T$2,Inputs!$K$4:$AJ$4,0))))+SUMPRODUCT((Inputs!$C$5:$C$120=$B26)*ISNUMBER(INDEX(Inputs!$K$5:$AJ$120,0,MATCH(T$2,Inputs!$K$4:$AJ$4,0))))+SUMPRODUCT((Inputs!$E$5:$E$120=$B26)*ISNUMBER(INDEX(Inputs!$K$5:$AJ$120,0,MATCH(T$2,Inputs!$K$4:$AJ$4,0))))=0,NA(),SUMPRODUCT((Inputs!$A$5:$A$120=$B26)*Inputs!$B$5:$B$120*(((Inputs!$G$5:$G$120="moeda")+(Inputs!$G$5:$G$120="acoes"))*Inputs!$B$1+((Inputs!$G$5:$G$120&lt;&gt;"moeda")*(Inputs!$G$5:$G$120&lt;&gt;"acoes")))*INDEX(Inputs!$K$5:$AJ$120,0,MATCH(T$2,Inputs!$K$4:$AJ$4,0)))+SUMPRODUCT((Inputs!$C$5:$C$120=$B26)*Inputs!$D$5:$D$120*(((Inputs!$G$5:$G$120="moeda")+(Inputs!$G$5:$G$120="acoes"))*Inputs!$B$1+((Inputs!$G$5:$G$120&lt;&gt;"moeda")*(Inputs!$G$5:$G$120&lt;&gt;"acoes")))*INDEX(Inputs!$K$5:$AJ$120,0,MATCH(T$2,Inputs!$K$4:$AJ$4,0)))+SUMPRODUCT((Inputs!$E$5:$E$120=$B26)*Inputs!$F$5:$F$120*(((Inputs!$G$5:$G$120="moeda")+(Inputs!$G$5:$G$120="acoes"))*Inputs!$B$1+((Inputs!$G$5:$G$120&lt;&gt;"moeda")*(Inputs!$G$5:$G$120&lt;&gt;"acoes")))*INDEX(Inputs!$K$5:$AJ$120,0,MATCH(T$2,Inputs!$K$4:$AJ$4,0)))))</f>
        <v>1779</v>
      </c>
      <c r="U26" s="267">
        <f>IF(ISNA(MATCH(U$2,Inputs!$K$4:$AJ$4,0)),NA(),IF(SUMPRODUCT((Inputs!$A$5:$A$120=$B26)*ISNUMBER(INDEX(Inputs!$K$5:$AJ$120,0,MATCH(U$2,Inputs!$K$4:$AJ$4,0))))+SUMPRODUCT((Inputs!$C$5:$C$120=$B26)*ISNUMBER(INDEX(Inputs!$K$5:$AJ$120,0,MATCH(U$2,Inputs!$K$4:$AJ$4,0))))+SUMPRODUCT((Inputs!$E$5:$E$120=$B26)*ISNUMBER(INDEX(Inputs!$K$5:$AJ$120,0,MATCH(U$2,Inputs!$K$4:$AJ$4,0))))=0,NA(),SUMPRODUCT((Inputs!$A$5:$A$120=$B26)*Inputs!$B$5:$B$120*(((Inputs!$G$5:$G$120="moeda")+(Inputs!$G$5:$G$120="acoes"))*Inputs!$B$1+((Inputs!$G$5:$G$120&lt;&gt;"moeda")*(Inputs!$G$5:$G$120&lt;&gt;"acoes")))*INDEX(Inputs!$K$5:$AJ$120,0,MATCH(U$2,Inputs!$K$4:$AJ$4,0)))+SUMPRODUCT((Inputs!$C$5:$C$120=$B26)*Inputs!$D$5:$D$120*(((Inputs!$G$5:$G$120="moeda")+(Inputs!$G$5:$G$120="acoes"))*Inputs!$B$1+((Inputs!$G$5:$G$120&lt;&gt;"moeda")*(Inputs!$G$5:$G$120&lt;&gt;"acoes")))*INDEX(Inputs!$K$5:$AJ$120,0,MATCH(U$2,Inputs!$K$4:$AJ$4,0)))+SUMPRODUCT((Inputs!$E$5:$E$120=$B26)*Inputs!$F$5:$F$120*(((Inputs!$G$5:$G$120="moeda")+(Inputs!$G$5:$G$120="acoes"))*Inputs!$B$1+((Inputs!$G$5:$G$120&lt;&gt;"moeda")*(Inputs!$G$5:$G$120&lt;&gt;"acoes")))*INDEX(Inputs!$K$5:$AJ$120,0,MATCH(U$2,Inputs!$K$4:$AJ$4,0)))))</f>
        <v>1731</v>
      </c>
      <c r="V26" s="267">
        <f>IF(ISNA(MATCH(V$2,Inputs!$K$4:$AJ$4,0)),NA(),IF(SUMPRODUCT((Inputs!$A$5:$A$120=$B26)*ISNUMBER(INDEX(Inputs!$K$5:$AJ$120,0,MATCH(V$2,Inputs!$K$4:$AJ$4,0))))+SUMPRODUCT((Inputs!$C$5:$C$120=$B26)*ISNUMBER(INDEX(Inputs!$K$5:$AJ$120,0,MATCH(V$2,Inputs!$K$4:$AJ$4,0))))+SUMPRODUCT((Inputs!$E$5:$E$120=$B26)*ISNUMBER(INDEX(Inputs!$K$5:$AJ$120,0,MATCH(V$2,Inputs!$K$4:$AJ$4,0))))=0,NA(),SUMPRODUCT((Inputs!$A$5:$A$120=$B26)*Inputs!$B$5:$B$120*(((Inputs!$G$5:$G$120="moeda")+(Inputs!$G$5:$G$120="acoes"))*Inputs!$B$1+((Inputs!$G$5:$G$120&lt;&gt;"moeda")*(Inputs!$G$5:$G$120&lt;&gt;"acoes")))*INDEX(Inputs!$K$5:$AJ$120,0,MATCH(V$2,Inputs!$K$4:$AJ$4,0)))+SUMPRODUCT((Inputs!$C$5:$C$120=$B26)*Inputs!$D$5:$D$120*(((Inputs!$G$5:$G$120="moeda")+(Inputs!$G$5:$G$120="acoes"))*Inputs!$B$1+((Inputs!$G$5:$G$120&lt;&gt;"moeda")*(Inputs!$G$5:$G$120&lt;&gt;"acoes")))*INDEX(Inputs!$K$5:$AJ$120,0,MATCH(V$2,Inputs!$K$4:$AJ$4,0)))+SUMPRODUCT((Inputs!$E$5:$E$120=$B26)*Inputs!$F$5:$F$120*(((Inputs!$G$5:$G$120="moeda")+(Inputs!$G$5:$G$120="acoes"))*Inputs!$B$1+((Inputs!$G$5:$G$120&lt;&gt;"moeda")*(Inputs!$G$5:$G$120&lt;&gt;"acoes")))*INDEX(Inputs!$K$5:$AJ$120,0,MATCH(V$2,Inputs!$K$4:$AJ$4,0)))))</f>
        <v>1336</v>
      </c>
      <c r="W26" s="268">
        <f>V26</f>
        <v>1336</v>
      </c>
      <c r="X26" s="267">
        <f>IF(ISNA(MATCH(X$2,Inputs!$K$4:$AJ$4,0)),NA(),IF(SUMPRODUCT((Inputs!$A$5:$A$120=$B26)*ISNUMBER(INDEX(Inputs!$K$5:$AJ$120,0,MATCH(X$2,Inputs!$K$4:$AJ$4,0))))+SUMPRODUCT((Inputs!$C$5:$C$120=$B26)*ISNUMBER(INDEX(Inputs!$K$5:$AJ$120,0,MATCH(X$2,Inputs!$K$4:$AJ$4,0))))+SUMPRODUCT((Inputs!$E$5:$E$120=$B26)*ISNUMBER(INDEX(Inputs!$K$5:$AJ$120,0,MATCH(X$2,Inputs!$K$4:$AJ$4,0))))=0,NA(),SUMPRODUCT((Inputs!$A$5:$A$120=$B26)*Inputs!$B$5:$B$120*(((Inputs!$G$5:$G$120="moeda")+(Inputs!$G$5:$G$120="acoes"))*Inputs!$B$1+((Inputs!$G$5:$G$120&lt;&gt;"moeda")*(Inputs!$G$5:$G$120&lt;&gt;"acoes")))*INDEX(Inputs!$K$5:$AJ$120,0,MATCH(X$2,Inputs!$K$4:$AJ$4,0)))+SUMPRODUCT((Inputs!$C$5:$C$120=$B26)*Inputs!$D$5:$D$120*(((Inputs!$G$5:$G$120="moeda")+(Inputs!$G$5:$G$120="acoes"))*Inputs!$B$1+((Inputs!$G$5:$G$120&lt;&gt;"moeda")*(Inputs!$G$5:$G$120&lt;&gt;"acoes")))*INDEX(Inputs!$K$5:$AJ$120,0,MATCH(X$2,Inputs!$K$4:$AJ$4,0)))+SUMPRODUCT((Inputs!$E$5:$E$120=$B26)*Inputs!$F$5:$F$120*(((Inputs!$G$5:$G$120="moeda")+(Inputs!$G$5:$G$120="acoes"))*Inputs!$B$1+((Inputs!$G$5:$G$120&lt;&gt;"moeda")*(Inputs!$G$5:$G$120&lt;&gt;"acoes")))*INDEX(Inputs!$K$5:$AJ$120,0,MATCH(X$2,Inputs!$K$4:$AJ$4,0)))))</f>
        <v>1350</v>
      </c>
      <c r="Y26" s="267">
        <f>IF(ISNA(MATCH(Y$2,Inputs!$K$4:$AJ$4,0)),NA(),IF(SUMPRODUCT((Inputs!$A$5:$A$120=$B26)*ISNUMBER(INDEX(Inputs!$K$5:$AJ$120,0,MATCH(Y$2,Inputs!$K$4:$AJ$4,0))))+SUMPRODUCT((Inputs!$C$5:$C$120=$B26)*ISNUMBER(INDEX(Inputs!$K$5:$AJ$120,0,MATCH(Y$2,Inputs!$K$4:$AJ$4,0))))+SUMPRODUCT((Inputs!$E$5:$E$120=$B26)*ISNUMBER(INDEX(Inputs!$K$5:$AJ$120,0,MATCH(Y$2,Inputs!$K$4:$AJ$4,0))))=0,NA(),SUMPRODUCT((Inputs!$A$5:$A$120=$B26)*Inputs!$B$5:$B$120*(((Inputs!$G$5:$G$120="moeda")+(Inputs!$G$5:$G$120="acoes"))*Inputs!$B$1+((Inputs!$G$5:$G$120&lt;&gt;"moeda")*(Inputs!$G$5:$G$120&lt;&gt;"acoes")))*INDEX(Inputs!$K$5:$AJ$120,0,MATCH(Y$2,Inputs!$K$4:$AJ$4,0)))+SUMPRODUCT((Inputs!$C$5:$C$120=$B26)*Inputs!$D$5:$D$120*(((Inputs!$G$5:$G$120="moeda")+(Inputs!$G$5:$G$120="acoes"))*Inputs!$B$1+((Inputs!$G$5:$G$120&lt;&gt;"moeda")*(Inputs!$G$5:$G$120&lt;&gt;"acoes")))*INDEX(Inputs!$K$5:$AJ$120,0,MATCH(Y$2,Inputs!$K$4:$AJ$4,0)))+SUMPRODUCT((Inputs!$E$5:$E$120=$B26)*Inputs!$F$5:$F$120*(((Inputs!$G$5:$G$120="moeda")+(Inputs!$G$5:$G$120="acoes"))*Inputs!$B$1+((Inputs!$G$5:$G$120&lt;&gt;"moeda")*(Inputs!$G$5:$G$120&lt;&gt;"acoes")))*INDEX(Inputs!$K$5:$AJ$120,0,MATCH(Y$2,Inputs!$K$4:$AJ$4,0)))))</f>
        <v>1457</v>
      </c>
      <c r="Z26" s="267">
        <f>IF(ISNA(MATCH(Z$2,Inputs!$K$4:$AJ$4,0)),NA(),IF(SUMPRODUCT((Inputs!$A$5:$A$120=$B26)*ISNUMBER(INDEX(Inputs!$K$5:$AJ$120,0,MATCH(Z$2,Inputs!$K$4:$AJ$4,0))))+SUMPRODUCT((Inputs!$C$5:$C$120=$B26)*ISNUMBER(INDEX(Inputs!$K$5:$AJ$120,0,MATCH(Z$2,Inputs!$K$4:$AJ$4,0))))+SUMPRODUCT((Inputs!$E$5:$E$120=$B26)*ISNUMBER(INDEX(Inputs!$K$5:$AJ$120,0,MATCH(Z$2,Inputs!$K$4:$AJ$4,0))))=0,NA(),SUMPRODUCT((Inputs!$A$5:$A$120=$B26)*Inputs!$B$5:$B$120*(((Inputs!$G$5:$G$120="moeda")+(Inputs!$G$5:$G$120="acoes"))*Inputs!$B$1+((Inputs!$G$5:$G$120&lt;&gt;"moeda")*(Inputs!$G$5:$G$120&lt;&gt;"acoes")))*INDEX(Inputs!$K$5:$AJ$120,0,MATCH(Z$2,Inputs!$K$4:$AJ$4,0)))+SUMPRODUCT((Inputs!$C$5:$C$120=$B26)*Inputs!$D$5:$D$120*(((Inputs!$G$5:$G$120="moeda")+(Inputs!$G$5:$G$120="acoes"))*Inputs!$B$1+((Inputs!$G$5:$G$120&lt;&gt;"moeda")*(Inputs!$G$5:$G$120&lt;&gt;"acoes")))*INDEX(Inputs!$K$5:$AJ$120,0,MATCH(Z$2,Inputs!$K$4:$AJ$4,0)))+SUMPRODUCT((Inputs!$E$5:$E$120=$B26)*Inputs!$F$5:$F$120*(((Inputs!$G$5:$G$120="moeda")+(Inputs!$G$5:$G$120="acoes"))*Inputs!$B$1+((Inputs!$G$5:$G$120&lt;&gt;"moeda")*(Inputs!$G$5:$G$120&lt;&gt;"acoes")))*INDEX(Inputs!$K$5:$AJ$120,0,MATCH(Z$2,Inputs!$K$4:$AJ$4,0)))))</f>
        <v>2396</v>
      </c>
      <c r="AA26" s="267">
        <f>IF(ISNA(MATCH(AA$2,Inputs!$K$4:$AJ$4,0)),NA(),IF(SUMPRODUCT((Inputs!$A$5:$A$120=$B26)*ISNUMBER(INDEX(Inputs!$K$5:$AJ$120,0,MATCH(AA$2,Inputs!$K$4:$AJ$4,0))))+SUMPRODUCT((Inputs!$C$5:$C$120=$B26)*ISNUMBER(INDEX(Inputs!$K$5:$AJ$120,0,MATCH(AA$2,Inputs!$K$4:$AJ$4,0))))+SUMPRODUCT((Inputs!$E$5:$E$120=$B26)*ISNUMBER(INDEX(Inputs!$K$5:$AJ$120,0,MATCH(AA$2,Inputs!$K$4:$AJ$4,0))))=0,NA(),SUMPRODUCT((Inputs!$A$5:$A$120=$B26)*Inputs!$B$5:$B$120*(((Inputs!$G$5:$G$120="moeda")+(Inputs!$G$5:$G$120="acoes"))*Inputs!$B$1+((Inputs!$G$5:$G$120&lt;&gt;"moeda")*(Inputs!$G$5:$G$120&lt;&gt;"acoes")))*INDEX(Inputs!$K$5:$AJ$120,0,MATCH(AA$2,Inputs!$K$4:$AJ$4,0)))+SUMPRODUCT((Inputs!$C$5:$C$120=$B26)*Inputs!$D$5:$D$120*(((Inputs!$G$5:$G$120="moeda")+(Inputs!$G$5:$G$120="acoes"))*Inputs!$B$1+((Inputs!$G$5:$G$120&lt;&gt;"moeda")*(Inputs!$G$5:$G$120&lt;&gt;"acoes")))*INDEX(Inputs!$K$5:$AJ$120,0,MATCH(AA$2,Inputs!$K$4:$AJ$4,0)))+SUMPRODUCT((Inputs!$E$5:$E$120=$B26)*Inputs!$F$5:$F$120*(((Inputs!$G$5:$G$120="moeda")+(Inputs!$G$5:$G$120="acoes"))*Inputs!$B$1+((Inputs!$G$5:$G$120&lt;&gt;"moeda")*(Inputs!$G$5:$G$120&lt;&gt;"acoes")))*INDEX(Inputs!$K$5:$AJ$120,0,MATCH(AA$2,Inputs!$K$4:$AJ$4,0)))))</f>
        <v>2433</v>
      </c>
      <c r="AB26" s="268">
        <f>AA26</f>
        <v>2433</v>
      </c>
      <c r="AC26" s="267">
        <f>IF(ISNA(MATCH(AC$2,Inputs!$K$4:$AJ$4,0)),NA(),IF(SUMPRODUCT((Inputs!$A$5:$A$120=$B26)*ISNUMBER(INDEX(Inputs!$K$5:$AJ$120,0,MATCH(AC$2,Inputs!$K$4:$AJ$4,0))))+SUMPRODUCT((Inputs!$C$5:$C$120=$B26)*ISNUMBER(INDEX(Inputs!$K$5:$AJ$120,0,MATCH(AC$2,Inputs!$K$4:$AJ$4,0))))+SUMPRODUCT((Inputs!$E$5:$E$120=$B26)*ISNUMBER(INDEX(Inputs!$K$5:$AJ$120,0,MATCH(AC$2,Inputs!$K$4:$AJ$4,0))))=0,NA(),SUMPRODUCT((Inputs!$A$5:$A$120=$B26)*Inputs!$B$5:$B$120*(((Inputs!$G$5:$G$120="moeda")+(Inputs!$G$5:$G$120="acoes"))*Inputs!$B$1+((Inputs!$G$5:$G$120&lt;&gt;"moeda")*(Inputs!$G$5:$G$120&lt;&gt;"acoes")))*INDEX(Inputs!$K$5:$AJ$120,0,MATCH(AC$2,Inputs!$K$4:$AJ$4,0)))+SUMPRODUCT((Inputs!$C$5:$C$120=$B26)*Inputs!$D$5:$D$120*(((Inputs!$G$5:$G$120="moeda")+(Inputs!$G$5:$G$120="acoes"))*Inputs!$B$1+((Inputs!$G$5:$G$120&lt;&gt;"moeda")*(Inputs!$G$5:$G$120&lt;&gt;"acoes")))*INDEX(Inputs!$K$5:$AJ$120,0,MATCH(AC$2,Inputs!$K$4:$AJ$4,0)))+SUMPRODUCT((Inputs!$E$5:$E$120=$B26)*Inputs!$F$5:$F$120*(((Inputs!$G$5:$G$120="moeda")+(Inputs!$G$5:$G$120="acoes"))*Inputs!$B$1+((Inputs!$G$5:$G$120&lt;&gt;"moeda")*(Inputs!$G$5:$G$120&lt;&gt;"acoes")))*INDEX(Inputs!$K$5:$AJ$120,0,MATCH(AC$2,Inputs!$K$4:$AJ$4,0)))))</f>
        <v>2343</v>
      </c>
      <c r="AD26" s="267">
        <f>IF(ISNA(MATCH(AD$2,Inputs!$K$4:$AJ$4,0)),NA(),IF(SUMPRODUCT((Inputs!$A$5:$A$120=$B26)*ISNUMBER(INDEX(Inputs!$K$5:$AJ$120,0,MATCH(AD$2,Inputs!$K$4:$AJ$4,0))))+SUMPRODUCT((Inputs!$C$5:$C$120=$B26)*ISNUMBER(INDEX(Inputs!$K$5:$AJ$120,0,MATCH(AD$2,Inputs!$K$4:$AJ$4,0))))+SUMPRODUCT((Inputs!$E$5:$E$120=$B26)*ISNUMBER(INDEX(Inputs!$K$5:$AJ$120,0,MATCH(AD$2,Inputs!$K$4:$AJ$4,0))))=0,NA(),SUMPRODUCT((Inputs!$A$5:$A$120=$B26)*Inputs!$B$5:$B$120*(((Inputs!$G$5:$G$120="moeda")+(Inputs!$G$5:$G$120="acoes"))*Inputs!$B$1+((Inputs!$G$5:$G$120&lt;&gt;"moeda")*(Inputs!$G$5:$G$120&lt;&gt;"acoes")))*INDEX(Inputs!$K$5:$AJ$120,0,MATCH(AD$2,Inputs!$K$4:$AJ$4,0)))+SUMPRODUCT((Inputs!$C$5:$C$120=$B26)*Inputs!$D$5:$D$120*(((Inputs!$G$5:$G$120="moeda")+(Inputs!$G$5:$G$120="acoes"))*Inputs!$B$1+((Inputs!$G$5:$G$120&lt;&gt;"moeda")*(Inputs!$G$5:$G$120&lt;&gt;"acoes")))*INDEX(Inputs!$K$5:$AJ$120,0,MATCH(AD$2,Inputs!$K$4:$AJ$4,0)))+SUMPRODUCT((Inputs!$E$5:$E$120=$B26)*Inputs!$F$5:$F$120*(((Inputs!$G$5:$G$120="moeda")+(Inputs!$G$5:$G$120="acoes"))*Inputs!$B$1+((Inputs!$G$5:$G$120&lt;&gt;"moeda")*(Inputs!$G$5:$G$120&lt;&gt;"acoes")))*INDEX(Inputs!$K$5:$AJ$120,0,MATCH(AD$2,Inputs!$K$4:$AJ$4,0)))))</f>
        <v>2371</v>
      </c>
      <c r="AE26" s="267" t="e">
        <f>IF(ISNA(MATCH(AE$2,Inputs!$K$4:$AJ$4,0)),NA(),IF(SUMPRODUCT((Inputs!$A$5:$A$120=$B26)*ISNUMBER(INDEX(Inputs!$K$5:$AJ$120,0,MATCH(AE$2,Inputs!$K$4:$AJ$4,0))))+SUMPRODUCT((Inputs!$C$5:$C$120=$B26)*ISNUMBER(INDEX(Inputs!$K$5:$AJ$120,0,MATCH(AE$2,Inputs!$K$4:$AJ$4,0))))+SUMPRODUCT((Inputs!$E$5:$E$120=$B26)*ISNUMBER(INDEX(Inputs!$K$5:$AJ$120,0,MATCH(AE$2,Inputs!$K$4:$AJ$4,0))))=0,NA(),SUMPRODUCT((Inputs!$A$5:$A$120=$B26)*Inputs!$B$5:$B$120*(((Inputs!$G$5:$G$120="moeda")+(Inputs!$G$5:$G$120="acoes"))*Inputs!$B$1+((Inputs!$G$5:$G$120&lt;&gt;"moeda")*(Inputs!$G$5:$G$120&lt;&gt;"acoes")))*INDEX(Inputs!$K$5:$AJ$120,0,MATCH(AE$2,Inputs!$K$4:$AJ$4,0)))+SUMPRODUCT((Inputs!$C$5:$C$120=$B26)*Inputs!$D$5:$D$120*(((Inputs!$G$5:$G$120="moeda")+(Inputs!$G$5:$G$120="acoes"))*Inputs!$B$1+((Inputs!$G$5:$G$120&lt;&gt;"moeda")*(Inputs!$G$5:$G$120&lt;&gt;"acoes")))*INDEX(Inputs!$K$5:$AJ$120,0,MATCH(AE$2,Inputs!$K$4:$AJ$4,0)))+SUMPRODUCT((Inputs!$E$5:$E$120=$B26)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6" s="267" t="e">
        <f>IF(ISNA(MATCH(AF$2,Inputs!$K$4:$AJ$4,0)),NA(),IF(SUMPRODUCT((Inputs!$A$5:$A$120=$B26)*ISNUMBER(INDEX(Inputs!$K$5:$AJ$120,0,MATCH(AF$2,Inputs!$K$4:$AJ$4,0))))+SUMPRODUCT((Inputs!$C$5:$C$120=$B26)*ISNUMBER(INDEX(Inputs!$K$5:$AJ$120,0,MATCH(AF$2,Inputs!$K$4:$AJ$4,0))))+SUMPRODUCT((Inputs!$E$5:$E$120=$B26)*ISNUMBER(INDEX(Inputs!$K$5:$AJ$120,0,MATCH(AF$2,Inputs!$K$4:$AJ$4,0))))=0,NA(),SUMPRODUCT((Inputs!$A$5:$A$120=$B26)*Inputs!$B$5:$B$120*(((Inputs!$G$5:$G$120="moeda")+(Inputs!$G$5:$G$120="acoes"))*Inputs!$B$1+((Inputs!$G$5:$G$120&lt;&gt;"moeda")*(Inputs!$G$5:$G$120&lt;&gt;"acoes")))*INDEX(Inputs!$K$5:$AJ$120,0,MATCH(AF$2,Inputs!$K$4:$AJ$4,0)))+SUMPRODUCT((Inputs!$C$5:$C$120=$B26)*Inputs!$D$5:$D$120*(((Inputs!$G$5:$G$120="moeda")+(Inputs!$G$5:$G$120="acoes"))*Inputs!$B$1+((Inputs!$G$5:$G$120&lt;&gt;"moeda")*(Inputs!$G$5:$G$120&lt;&gt;"acoes")))*INDEX(Inputs!$K$5:$AJ$120,0,MATCH(AF$2,Inputs!$K$4:$AJ$4,0)))+SUMPRODUCT((Inputs!$E$5:$E$120=$B26)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6" s="268" t="e">
        <f>AF26</f>
        <v>#N/A</v>
      </c>
      <c r="AH26" s="267">
        <f>IF(ISNA(MATCH(AH$2,Inputs!$K$4:$AJ$4,0)),NA(),IF(SUMPRODUCT((Inputs!$A$5:$A$120=$B26)*ISNUMBER(INDEX(Inputs!$K$5:$AJ$120,0,MATCH(AH$2,Inputs!$K$4:$AJ$4,0))))+SUMPRODUCT((Inputs!$C$5:$C$120=$B26)*ISNUMBER(INDEX(Inputs!$K$5:$AJ$120,0,MATCH(AH$2,Inputs!$K$4:$AJ$4,0))))+SUMPRODUCT((Inputs!$E$5:$E$120=$B26)*ISNUMBER(INDEX(Inputs!$K$5:$AJ$120,0,MATCH(AH$2,Inputs!$K$4:$AJ$4,0))))=0,NA(),SUMPRODUCT((Inputs!$A$5:$A$120=$B26)*Inputs!$B$5:$B$120*(((Inputs!$G$5:$G$120="moeda")+(Inputs!$G$5:$G$120="acoes"))*Inputs!$B$1+((Inputs!$G$5:$G$120&lt;&gt;"moeda")*(Inputs!$G$5:$G$120&lt;&gt;"acoes")))*INDEX(Inputs!$K$5:$AJ$120,0,MATCH(AH$2,Inputs!$K$4:$AJ$4,0)))+SUMPRODUCT((Inputs!$C$5:$C$120=$B26)*Inputs!$D$5:$D$120*(((Inputs!$G$5:$G$120="moeda")+(Inputs!$G$5:$G$120="acoes"))*Inputs!$B$1+((Inputs!$G$5:$G$120&lt;&gt;"moeda")*(Inputs!$G$5:$G$120&lt;&gt;"acoes")))*INDEX(Inputs!$K$5:$AJ$120,0,MATCH(AH$2,Inputs!$K$4:$AJ$4,0)))+SUMPRODUCT((Inputs!$E$5:$E$120=$B26)*Inputs!$F$5:$F$120*(((Inputs!$G$5:$G$120="moeda")+(Inputs!$G$5:$G$120="acoes"))*Inputs!$B$1+((Inputs!$G$5:$G$120&lt;&gt;"moeda")*(Inputs!$G$5:$G$120&lt;&gt;"acoes")))*INDEX(Inputs!$K$5:$AJ$120,0,MATCH(AH$2,Inputs!$K$4:$AJ$4,0)))))</f>
        <v>1408</v>
      </c>
      <c r="AI26" s="267">
        <f>IF(ISNA(MATCH(AI$2,Inputs!$K$4:$AJ$4,0)),NA(),IF(SUMPRODUCT((Inputs!$A$5:$A$120=$B26)*ISNUMBER(INDEX(Inputs!$K$5:$AJ$120,0,MATCH(AI$2,Inputs!$K$4:$AJ$4,0))))+SUMPRODUCT((Inputs!$C$5:$C$120=$B26)*ISNUMBER(INDEX(Inputs!$K$5:$AJ$120,0,MATCH(AI$2,Inputs!$K$4:$AJ$4,0))))+SUMPRODUCT((Inputs!$E$5:$E$120=$B26)*ISNUMBER(INDEX(Inputs!$K$5:$AJ$120,0,MATCH(AI$2,Inputs!$K$4:$AJ$4,0))))=0,NA(),SUMPRODUCT((Inputs!$A$5:$A$120=$B26)*Inputs!$B$5:$B$120*(((Inputs!$G$5:$G$120="moeda")+(Inputs!$G$5:$G$120="acoes"))*Inputs!$B$1+((Inputs!$G$5:$G$120&lt;&gt;"moeda")*(Inputs!$G$5:$G$120&lt;&gt;"acoes")))*INDEX(Inputs!$K$5:$AJ$120,0,MATCH(AI$2,Inputs!$K$4:$AJ$4,0)))+SUMPRODUCT((Inputs!$C$5:$C$120=$B26)*Inputs!$D$5:$D$120*(((Inputs!$G$5:$G$120="moeda")+(Inputs!$G$5:$G$120="acoes"))*Inputs!$B$1+((Inputs!$G$5:$G$120&lt;&gt;"moeda")*(Inputs!$G$5:$G$120&lt;&gt;"acoes")))*INDEX(Inputs!$K$5:$AJ$120,0,MATCH(AI$2,Inputs!$K$4:$AJ$4,0)))+SUMPRODUCT((Inputs!$E$5:$E$120=$B26)*Inputs!$F$5:$F$120*(((Inputs!$G$5:$G$120="moeda")+(Inputs!$G$5:$G$120="acoes"))*Inputs!$B$1+((Inputs!$G$5:$G$120&lt;&gt;"moeda")*(Inputs!$G$5:$G$120&lt;&gt;"acoes")))*INDEX(Inputs!$K$5:$AJ$120,0,MATCH(AI$2,Inputs!$K$4:$AJ$4,0)))))</f>
        <v>1232</v>
      </c>
      <c r="AJ26" s="267">
        <f>IF(ISNA(MATCH(AJ$2,Inputs!$K$4:$AJ$4,0)),NA(),IF(SUMPRODUCT((Inputs!$A$5:$A$120=$B26)*ISNUMBER(INDEX(Inputs!$K$5:$AJ$120,0,MATCH(AJ$2,Inputs!$K$4:$AJ$4,0))))+SUMPRODUCT((Inputs!$C$5:$C$120=$B26)*ISNUMBER(INDEX(Inputs!$K$5:$AJ$120,0,MATCH(AJ$2,Inputs!$K$4:$AJ$4,0))))+SUMPRODUCT((Inputs!$E$5:$E$120=$B26)*ISNUMBER(INDEX(Inputs!$K$5:$AJ$120,0,MATCH(AJ$2,Inputs!$K$4:$AJ$4,0))))=0,NA(),SUMPRODUCT((Inputs!$A$5:$A$120=$B26)*Inputs!$B$5:$B$120*(((Inputs!$G$5:$G$120="moeda")+(Inputs!$G$5:$G$120="acoes"))*Inputs!$B$1+((Inputs!$G$5:$G$120&lt;&gt;"moeda")*(Inputs!$G$5:$G$120&lt;&gt;"acoes")))*INDEX(Inputs!$K$5:$AJ$120,0,MATCH(AJ$2,Inputs!$K$4:$AJ$4,0)))+SUMPRODUCT((Inputs!$C$5:$C$120=$B26)*Inputs!$D$5:$D$120*(((Inputs!$G$5:$G$120="moeda")+(Inputs!$G$5:$G$120="acoes"))*Inputs!$B$1+((Inputs!$G$5:$G$120&lt;&gt;"moeda")*(Inputs!$G$5:$G$120&lt;&gt;"acoes")))*INDEX(Inputs!$K$5:$AJ$120,0,MATCH(AJ$2,Inputs!$K$4:$AJ$4,0)))+SUMPRODUCT((Inputs!$E$5:$E$120=$B26)*Inputs!$F$5:$F$120*(((Inputs!$G$5:$G$120="moeda")+(Inputs!$G$5:$G$120="acoes"))*Inputs!$B$1+((Inputs!$G$5:$G$120&lt;&gt;"moeda")*(Inputs!$G$5:$G$120&lt;&gt;"acoes")))*INDEX(Inputs!$K$5:$AJ$120,0,MATCH(AJ$2,Inputs!$K$4:$AJ$4,0)))))</f>
        <v>1275</v>
      </c>
      <c r="AK26" s="267">
        <f>IF(ISNA(MATCH(AK$2,Inputs!$K$4:$AJ$4,0)),NA(),IF(SUMPRODUCT((Inputs!$A$5:$A$120=$B26)*ISNUMBER(INDEX(Inputs!$K$5:$AJ$120,0,MATCH(AK$2,Inputs!$K$4:$AJ$4,0))))+SUMPRODUCT((Inputs!$C$5:$C$120=$B26)*ISNUMBER(INDEX(Inputs!$K$5:$AJ$120,0,MATCH(AK$2,Inputs!$K$4:$AJ$4,0))))+SUMPRODUCT((Inputs!$E$5:$E$120=$B26)*ISNUMBER(INDEX(Inputs!$K$5:$AJ$120,0,MATCH(AK$2,Inputs!$K$4:$AJ$4,0))))=0,NA(),SUMPRODUCT((Inputs!$A$5:$A$120=$B26)*Inputs!$B$5:$B$120*(((Inputs!$G$5:$G$120="moeda")+(Inputs!$G$5:$G$120="acoes"))*Inputs!$B$1+((Inputs!$G$5:$G$120&lt;&gt;"moeda")*(Inputs!$G$5:$G$120&lt;&gt;"acoes")))*INDEX(Inputs!$K$5:$AJ$120,0,MATCH(AK$2,Inputs!$K$4:$AJ$4,0)))+SUMPRODUCT((Inputs!$C$5:$C$120=$B26)*Inputs!$D$5:$D$120*(((Inputs!$G$5:$G$120="moeda")+(Inputs!$G$5:$G$120="acoes"))*Inputs!$B$1+((Inputs!$G$5:$G$120&lt;&gt;"moeda")*(Inputs!$G$5:$G$120&lt;&gt;"acoes")))*INDEX(Inputs!$K$5:$AJ$120,0,MATCH(AK$2,Inputs!$K$4:$AJ$4,0)))+SUMPRODUCT((Inputs!$E$5:$E$120=$B26)*Inputs!$F$5:$F$120*(((Inputs!$G$5:$G$120="moeda")+(Inputs!$G$5:$G$120="acoes"))*Inputs!$B$1+((Inputs!$G$5:$G$120&lt;&gt;"moeda")*(Inputs!$G$5:$G$120&lt;&gt;"acoes")))*INDEX(Inputs!$K$5:$AJ$120,0,MATCH(AK$2,Inputs!$K$4:$AJ$4,0)))))</f>
        <v>1377</v>
      </c>
      <c r="AL26" s="268">
        <f>AK26</f>
        <v>1377</v>
      </c>
    </row>
    <row r="27" ht="12.75" customHeight="1" s="255">
      <c r="C27" s="259" t="n"/>
    </row>
    <row r="28" ht="12.75" customHeight="1" s="255">
      <c r="B28" s="265" t="n">
        <v>23</v>
      </c>
      <c r="C28" s="270" t="inlineStr">
        <is>
          <t>Accounts payable</t>
        </is>
      </c>
      <c r="D28" s="267">
        <f>IF(ISNA(MATCH(D$2,Inputs!$K$4:$AJ$4,0)),NA(),IF(SUMPRODUCT((Inputs!$A$5:$A$120=$B28)*ISNUMBER(INDEX(Inputs!$K$5:$AJ$120,0,MATCH(D$2,Inputs!$K$4:$AJ$4,0))))+SUMPRODUCT((Inputs!$C$5:$C$120=$B28)*ISNUMBER(INDEX(Inputs!$K$5:$AJ$120,0,MATCH(D$2,Inputs!$K$4:$AJ$4,0))))+SUMPRODUCT((Inputs!$E$5:$E$120=$B28)*ISNUMBER(INDEX(Inputs!$K$5:$AJ$120,0,MATCH(D$2,Inputs!$K$4:$AJ$4,0))))=0,NA(),SUMPRODUCT((Inputs!$A$5:$A$120=$B28)*Inputs!$B$5:$B$120*(((Inputs!$G$5:$G$120="moeda")+(Inputs!$G$5:$G$120="acoes"))*Inputs!$B$1+((Inputs!$G$5:$G$120&lt;&gt;"moeda")*(Inputs!$G$5:$G$120&lt;&gt;"acoes")))*INDEX(Inputs!$K$5:$AJ$120,0,MATCH(D$2,Inputs!$K$4:$AJ$4,0)))+SUMPRODUCT((Inputs!$C$5:$C$120=$B28)*Inputs!$D$5:$D$120*(((Inputs!$G$5:$G$120="moeda")+(Inputs!$G$5:$G$120="acoes"))*Inputs!$B$1+((Inputs!$G$5:$G$120&lt;&gt;"moeda")*(Inputs!$G$5:$G$120&lt;&gt;"acoes")))*INDEX(Inputs!$K$5:$AJ$120,0,MATCH(D$2,Inputs!$K$4:$AJ$4,0)))+SUMPRODUCT((Inputs!$E$5:$E$120=$B28)*Inputs!$F$5:$F$120*(((Inputs!$G$5:$G$120="moeda")+(Inputs!$G$5:$G$120="acoes"))*Inputs!$B$1+((Inputs!$G$5:$G$120&lt;&gt;"moeda")*(Inputs!$G$5:$G$120&lt;&gt;"acoes")))*INDEX(Inputs!$K$5:$AJ$120,0,MATCH(D$2,Inputs!$K$4:$AJ$4,0)))))</f>
        <v>3842</v>
      </c>
      <c r="E28" s="267">
        <f>IF(ISNA(MATCH(E$2,Inputs!$K$4:$AJ$4,0)),NA(),IF(SUMPRODUCT((Inputs!$A$5:$A$120=$B28)*ISNUMBER(INDEX(Inputs!$K$5:$AJ$120,0,MATCH(E$2,Inputs!$K$4:$AJ$4,0))))+SUMPRODUCT((Inputs!$C$5:$C$120=$B28)*ISNUMBER(INDEX(Inputs!$K$5:$AJ$120,0,MATCH(E$2,Inputs!$K$4:$AJ$4,0))))+SUMPRODUCT((Inputs!$E$5:$E$120=$B28)*ISNUMBER(INDEX(Inputs!$K$5:$AJ$120,0,MATCH(E$2,Inputs!$K$4:$AJ$4,0))))=0,NA(),SUMPRODUCT((Inputs!$A$5:$A$120=$B28)*Inputs!$B$5:$B$120*(((Inputs!$G$5:$G$120="moeda")+(Inputs!$G$5:$G$120="acoes"))*Inputs!$B$1+((Inputs!$G$5:$G$120&lt;&gt;"moeda")*(Inputs!$G$5:$G$120&lt;&gt;"acoes")))*INDEX(Inputs!$K$5:$AJ$120,0,MATCH(E$2,Inputs!$K$4:$AJ$4,0)))+SUMPRODUCT((Inputs!$C$5:$C$120=$B28)*Inputs!$D$5:$D$120*(((Inputs!$G$5:$G$120="moeda")+(Inputs!$G$5:$G$120="acoes"))*Inputs!$B$1+((Inputs!$G$5:$G$120&lt;&gt;"moeda")*(Inputs!$G$5:$G$120&lt;&gt;"acoes")))*INDEX(Inputs!$K$5:$AJ$120,0,MATCH(E$2,Inputs!$K$4:$AJ$4,0)))+SUMPRODUCT((Inputs!$E$5:$E$120=$B28)*Inputs!$F$5:$F$120*(((Inputs!$G$5:$G$120="moeda")+(Inputs!$G$5:$G$120="acoes"))*Inputs!$B$1+((Inputs!$G$5:$G$120&lt;&gt;"moeda")*(Inputs!$G$5:$G$120&lt;&gt;"acoes")))*INDEX(Inputs!$K$5:$AJ$120,0,MATCH(E$2,Inputs!$K$4:$AJ$4,0)))))</f>
        <v>3634</v>
      </c>
      <c r="F28" s="267">
        <f>IF(ISNA(MATCH(F$2,Inputs!$K$4:$AJ$4,0)),NA(),IF(SUMPRODUCT((Inputs!$A$5:$A$120=$B28)*ISNUMBER(INDEX(Inputs!$K$5:$AJ$120,0,MATCH(F$2,Inputs!$K$4:$AJ$4,0))))+SUMPRODUCT((Inputs!$C$5:$C$120=$B28)*ISNUMBER(INDEX(Inputs!$K$5:$AJ$120,0,MATCH(F$2,Inputs!$K$4:$AJ$4,0))))+SUMPRODUCT((Inputs!$E$5:$E$120=$B28)*ISNUMBER(INDEX(Inputs!$K$5:$AJ$120,0,MATCH(F$2,Inputs!$K$4:$AJ$4,0))))=0,NA(),SUMPRODUCT((Inputs!$A$5:$A$120=$B28)*Inputs!$B$5:$B$120*(((Inputs!$G$5:$G$120="moeda")+(Inputs!$G$5:$G$120="acoes"))*Inputs!$B$1+((Inputs!$G$5:$G$120&lt;&gt;"moeda")*(Inputs!$G$5:$G$120&lt;&gt;"acoes")))*INDEX(Inputs!$K$5:$AJ$120,0,MATCH(F$2,Inputs!$K$4:$AJ$4,0)))+SUMPRODUCT((Inputs!$C$5:$C$120=$B28)*Inputs!$D$5:$D$120*(((Inputs!$G$5:$G$120="moeda")+(Inputs!$G$5:$G$120="acoes"))*Inputs!$B$1+((Inputs!$G$5:$G$120&lt;&gt;"moeda")*(Inputs!$G$5:$G$120&lt;&gt;"acoes")))*INDEX(Inputs!$K$5:$AJ$120,0,MATCH(F$2,Inputs!$K$4:$AJ$4,0)))+SUMPRODUCT((Inputs!$E$5:$E$120=$B28)*Inputs!$F$5:$F$120*(((Inputs!$G$5:$G$120="moeda")+(Inputs!$G$5:$G$120="acoes"))*Inputs!$B$1+((Inputs!$G$5:$G$120&lt;&gt;"moeda")*(Inputs!$G$5:$G$120&lt;&gt;"acoes")))*INDEX(Inputs!$K$5:$AJ$120,0,MATCH(F$2,Inputs!$K$4:$AJ$4,0)))))</f>
        <v>3944</v>
      </c>
      <c r="G28" s="267">
        <f>IF(ISNA(MATCH(G$2,Inputs!$K$4:$AJ$4,0)),NA(),IF(SUMPRODUCT((Inputs!$A$5:$A$120=$B28)*ISNUMBER(INDEX(Inputs!$K$5:$AJ$120,0,MATCH(G$2,Inputs!$K$4:$AJ$4,0))))+SUMPRODUCT((Inputs!$C$5:$C$120=$B28)*ISNUMBER(INDEX(Inputs!$K$5:$AJ$120,0,MATCH(G$2,Inputs!$K$4:$AJ$4,0))))+SUMPRODUCT((Inputs!$E$5:$E$120=$B28)*ISNUMBER(INDEX(Inputs!$K$5:$AJ$120,0,MATCH(G$2,Inputs!$K$4:$AJ$4,0))))=0,NA(),SUMPRODUCT((Inputs!$A$5:$A$120=$B28)*Inputs!$B$5:$B$120*(((Inputs!$G$5:$G$120="moeda")+(Inputs!$G$5:$G$120="acoes"))*Inputs!$B$1+((Inputs!$G$5:$G$120&lt;&gt;"moeda")*(Inputs!$G$5:$G$120&lt;&gt;"acoes")))*INDEX(Inputs!$K$5:$AJ$120,0,MATCH(G$2,Inputs!$K$4:$AJ$4,0)))+SUMPRODUCT((Inputs!$C$5:$C$120=$B28)*Inputs!$D$5:$D$120*(((Inputs!$G$5:$G$120="moeda")+(Inputs!$G$5:$G$120="acoes"))*Inputs!$B$1+((Inputs!$G$5:$G$120&lt;&gt;"moeda")*(Inputs!$G$5:$G$120&lt;&gt;"acoes")))*INDEX(Inputs!$K$5:$AJ$120,0,MATCH(G$2,Inputs!$K$4:$AJ$4,0)))+SUMPRODUCT((Inputs!$E$5:$E$120=$B28)*Inputs!$F$5:$F$120*(((Inputs!$G$5:$G$120="moeda")+(Inputs!$G$5:$G$120="acoes"))*Inputs!$B$1+((Inputs!$G$5:$G$120&lt;&gt;"moeda")*(Inputs!$G$5:$G$120&lt;&gt;"acoes")))*INDEX(Inputs!$K$5:$AJ$120,0,MATCH(G$2,Inputs!$K$4:$AJ$4,0)))))</f>
        <v>4250</v>
      </c>
      <c r="H28" s="268">
        <f>G28</f>
        <v>4250</v>
      </c>
      <c r="I28" s="267">
        <f>IF(ISNA(MATCH(I$2,Inputs!$K$4:$AJ$4,0)),NA(),IF(SUMPRODUCT((Inputs!$A$5:$A$120=$B28)*ISNUMBER(INDEX(Inputs!$K$5:$AJ$120,0,MATCH(I$2,Inputs!$K$4:$AJ$4,0))))+SUMPRODUCT((Inputs!$C$5:$C$120=$B28)*ISNUMBER(INDEX(Inputs!$K$5:$AJ$120,0,MATCH(I$2,Inputs!$K$4:$AJ$4,0))))+SUMPRODUCT((Inputs!$E$5:$E$120=$B28)*ISNUMBER(INDEX(Inputs!$K$5:$AJ$120,0,MATCH(I$2,Inputs!$K$4:$AJ$4,0))))=0,NA(),SUMPRODUCT((Inputs!$A$5:$A$120=$B28)*Inputs!$B$5:$B$120*(((Inputs!$G$5:$G$120="moeda")+(Inputs!$G$5:$G$120="acoes"))*Inputs!$B$1+((Inputs!$G$5:$G$120&lt;&gt;"moeda")*(Inputs!$G$5:$G$120&lt;&gt;"acoes")))*INDEX(Inputs!$K$5:$AJ$120,0,MATCH(I$2,Inputs!$K$4:$AJ$4,0)))+SUMPRODUCT((Inputs!$C$5:$C$120=$B28)*Inputs!$D$5:$D$120*(((Inputs!$G$5:$G$120="moeda")+(Inputs!$G$5:$G$120="acoes"))*Inputs!$B$1+((Inputs!$G$5:$G$120&lt;&gt;"moeda")*(Inputs!$G$5:$G$120&lt;&gt;"acoes")))*INDEX(Inputs!$K$5:$AJ$120,0,MATCH(I$2,Inputs!$K$4:$AJ$4,0)))+SUMPRODUCT((Inputs!$E$5:$E$120=$B28)*Inputs!$F$5:$F$120*(((Inputs!$G$5:$G$120="moeda")+(Inputs!$G$5:$G$120="acoes"))*Inputs!$B$1+((Inputs!$G$5:$G$120&lt;&gt;"moeda")*(Inputs!$G$5:$G$120&lt;&gt;"acoes")))*INDEX(Inputs!$K$5:$AJ$120,0,MATCH(I$2,Inputs!$K$4:$AJ$4,0)))))</f>
        <v>5836</v>
      </c>
      <c r="J28" s="267">
        <f>IF(ISNA(MATCH(J$2,Inputs!$K$4:$AJ$4,0)),NA(),IF(SUMPRODUCT((Inputs!$A$5:$A$120=$B28)*ISNUMBER(INDEX(Inputs!$K$5:$AJ$120,0,MATCH(J$2,Inputs!$K$4:$AJ$4,0))))+SUMPRODUCT((Inputs!$C$5:$C$120=$B28)*ISNUMBER(INDEX(Inputs!$K$5:$AJ$120,0,MATCH(J$2,Inputs!$K$4:$AJ$4,0))))+SUMPRODUCT((Inputs!$E$5:$E$120=$B28)*ISNUMBER(INDEX(Inputs!$K$5:$AJ$120,0,MATCH(J$2,Inputs!$K$4:$AJ$4,0))))=0,NA(),SUMPRODUCT((Inputs!$A$5:$A$120=$B28)*Inputs!$B$5:$B$120*(((Inputs!$G$5:$G$120="moeda")+(Inputs!$G$5:$G$120="acoes"))*Inputs!$B$1+((Inputs!$G$5:$G$120&lt;&gt;"moeda")*(Inputs!$G$5:$G$120&lt;&gt;"acoes")))*INDEX(Inputs!$K$5:$AJ$120,0,MATCH(J$2,Inputs!$K$4:$AJ$4,0)))+SUMPRODUCT((Inputs!$C$5:$C$120=$B28)*Inputs!$D$5:$D$120*(((Inputs!$G$5:$G$120="moeda")+(Inputs!$G$5:$G$120="acoes"))*Inputs!$B$1+((Inputs!$G$5:$G$120&lt;&gt;"moeda")*(Inputs!$G$5:$G$120&lt;&gt;"acoes")))*INDEX(Inputs!$K$5:$AJ$120,0,MATCH(J$2,Inputs!$K$4:$AJ$4,0)))+SUMPRODUCT((Inputs!$E$5:$E$120=$B28)*Inputs!$F$5:$F$120*(((Inputs!$G$5:$G$120="moeda")+(Inputs!$G$5:$G$120="acoes"))*Inputs!$B$1+((Inputs!$G$5:$G$120&lt;&gt;"moeda")*(Inputs!$G$5:$G$120&lt;&gt;"acoes")))*INDEX(Inputs!$K$5:$AJ$120,0,MATCH(J$2,Inputs!$K$4:$AJ$4,0)))))</f>
        <v>5347</v>
      </c>
      <c r="K28" s="267">
        <f>IF(ISNA(MATCH(K$2,Inputs!$K$4:$AJ$4,0)),NA(),IF(SUMPRODUCT((Inputs!$A$5:$A$120=$B28)*ISNUMBER(INDEX(Inputs!$K$5:$AJ$120,0,MATCH(K$2,Inputs!$K$4:$AJ$4,0))))+SUMPRODUCT((Inputs!$C$5:$C$120=$B28)*ISNUMBER(INDEX(Inputs!$K$5:$AJ$120,0,MATCH(K$2,Inputs!$K$4:$AJ$4,0))))+SUMPRODUCT((Inputs!$E$5:$E$120=$B28)*ISNUMBER(INDEX(Inputs!$K$5:$AJ$120,0,MATCH(K$2,Inputs!$K$4:$AJ$4,0))))=0,NA(),SUMPRODUCT((Inputs!$A$5:$A$120=$B28)*Inputs!$B$5:$B$120*(((Inputs!$G$5:$G$120="moeda")+(Inputs!$G$5:$G$120="acoes"))*Inputs!$B$1+((Inputs!$G$5:$G$120&lt;&gt;"moeda")*(Inputs!$G$5:$G$120&lt;&gt;"acoes")))*INDEX(Inputs!$K$5:$AJ$120,0,MATCH(K$2,Inputs!$K$4:$AJ$4,0)))+SUMPRODUCT((Inputs!$C$5:$C$120=$B28)*Inputs!$D$5:$D$120*(((Inputs!$G$5:$G$120="moeda")+(Inputs!$G$5:$G$120="acoes"))*Inputs!$B$1+((Inputs!$G$5:$G$120&lt;&gt;"moeda")*(Inputs!$G$5:$G$120&lt;&gt;"acoes")))*INDEX(Inputs!$K$5:$AJ$120,0,MATCH(K$2,Inputs!$K$4:$AJ$4,0)))+SUMPRODUCT((Inputs!$E$5:$E$120=$B28)*Inputs!$F$5:$F$120*(((Inputs!$G$5:$G$120="moeda")+(Inputs!$G$5:$G$120="acoes"))*Inputs!$B$1+((Inputs!$G$5:$G$120&lt;&gt;"moeda")*(Inputs!$G$5:$G$120&lt;&gt;"acoes")))*INDEX(Inputs!$K$5:$AJ$120,0,MATCH(K$2,Inputs!$K$4:$AJ$4,0)))))</f>
        <v>4455</v>
      </c>
      <c r="L28" s="267">
        <f>IF(ISNA(MATCH(L$2,Inputs!$K$4:$AJ$4,0)),NA(),IF(SUMPRODUCT((Inputs!$A$5:$A$120=$B28)*ISNUMBER(INDEX(Inputs!$K$5:$AJ$120,0,MATCH(L$2,Inputs!$K$4:$AJ$4,0))))+SUMPRODUCT((Inputs!$C$5:$C$120=$B28)*ISNUMBER(INDEX(Inputs!$K$5:$AJ$120,0,MATCH(L$2,Inputs!$K$4:$AJ$4,0))))+SUMPRODUCT((Inputs!$E$5:$E$120=$B28)*ISNUMBER(INDEX(Inputs!$K$5:$AJ$120,0,MATCH(L$2,Inputs!$K$4:$AJ$4,0))))=0,NA(),SUMPRODUCT((Inputs!$A$5:$A$120=$B28)*Inputs!$B$5:$B$120*(((Inputs!$G$5:$G$120="moeda")+(Inputs!$G$5:$G$120="acoes"))*Inputs!$B$1+((Inputs!$G$5:$G$120&lt;&gt;"moeda")*(Inputs!$G$5:$G$120&lt;&gt;"acoes")))*INDEX(Inputs!$K$5:$AJ$120,0,MATCH(L$2,Inputs!$K$4:$AJ$4,0)))+SUMPRODUCT((Inputs!$C$5:$C$120=$B28)*Inputs!$D$5:$D$120*(((Inputs!$G$5:$G$120="moeda")+(Inputs!$G$5:$G$120="acoes"))*Inputs!$B$1+((Inputs!$G$5:$G$120&lt;&gt;"moeda")*(Inputs!$G$5:$G$120&lt;&gt;"acoes")))*INDEX(Inputs!$K$5:$AJ$120,0,MATCH(L$2,Inputs!$K$4:$AJ$4,0)))+SUMPRODUCT((Inputs!$E$5:$E$120=$B28)*Inputs!$F$5:$F$120*(((Inputs!$G$5:$G$120="moeda")+(Inputs!$G$5:$G$120="acoes"))*Inputs!$B$1+((Inputs!$G$5:$G$120&lt;&gt;"moeda")*(Inputs!$G$5:$G$120&lt;&gt;"acoes")))*INDEX(Inputs!$K$5:$AJ$120,0,MATCH(L$2,Inputs!$K$4:$AJ$4,0)))))</f>
        <v>4386</v>
      </c>
      <c r="M28" s="268">
        <f>L28</f>
        <v>4386</v>
      </c>
      <c r="N28" s="267">
        <f>IF(ISNA(MATCH(N$2,Inputs!$K$4:$AJ$4,0)),NA(),IF(SUMPRODUCT((Inputs!$A$5:$A$120=$B28)*ISNUMBER(INDEX(Inputs!$K$5:$AJ$120,0,MATCH(N$2,Inputs!$K$4:$AJ$4,0))))+SUMPRODUCT((Inputs!$C$5:$C$120=$B28)*ISNUMBER(INDEX(Inputs!$K$5:$AJ$120,0,MATCH(N$2,Inputs!$K$4:$AJ$4,0))))+SUMPRODUCT((Inputs!$E$5:$E$120=$B28)*ISNUMBER(INDEX(Inputs!$K$5:$AJ$120,0,MATCH(N$2,Inputs!$K$4:$AJ$4,0))))=0,NA(),SUMPRODUCT((Inputs!$A$5:$A$120=$B28)*Inputs!$B$5:$B$120*(((Inputs!$G$5:$G$120="moeda")+(Inputs!$G$5:$G$120="acoes"))*Inputs!$B$1+((Inputs!$G$5:$G$120&lt;&gt;"moeda")*(Inputs!$G$5:$G$120&lt;&gt;"acoes")))*INDEX(Inputs!$K$5:$AJ$120,0,MATCH(N$2,Inputs!$K$4:$AJ$4,0)))+SUMPRODUCT((Inputs!$C$5:$C$120=$B28)*Inputs!$D$5:$D$120*(((Inputs!$G$5:$G$120="moeda")+(Inputs!$G$5:$G$120="acoes"))*Inputs!$B$1+((Inputs!$G$5:$G$120&lt;&gt;"moeda")*(Inputs!$G$5:$G$120&lt;&gt;"acoes")))*INDEX(Inputs!$K$5:$AJ$120,0,MATCH(N$2,Inputs!$K$4:$AJ$4,0)))+SUMPRODUCT((Inputs!$E$5:$E$120=$B28)*Inputs!$F$5:$F$120*(((Inputs!$G$5:$G$120="moeda")+(Inputs!$G$5:$G$120="acoes"))*Inputs!$B$1+((Inputs!$G$5:$G$120&lt;&gt;"moeda")*(Inputs!$G$5:$G$120&lt;&gt;"acoes")))*INDEX(Inputs!$K$5:$AJ$120,0,MATCH(N$2,Inputs!$K$4:$AJ$4,0)))))</f>
        <v>5476</v>
      </c>
      <c r="O28" s="267">
        <f>IF(ISNA(MATCH(O$2,Inputs!$K$4:$AJ$4,0)),NA(),IF(SUMPRODUCT((Inputs!$A$5:$A$120=$B28)*ISNUMBER(INDEX(Inputs!$K$5:$AJ$120,0,MATCH(O$2,Inputs!$K$4:$AJ$4,0))))+SUMPRODUCT((Inputs!$C$5:$C$120=$B28)*ISNUMBER(INDEX(Inputs!$K$5:$AJ$120,0,MATCH(O$2,Inputs!$K$4:$AJ$4,0))))+SUMPRODUCT((Inputs!$E$5:$E$120=$B28)*ISNUMBER(INDEX(Inputs!$K$5:$AJ$120,0,MATCH(O$2,Inputs!$K$4:$AJ$4,0))))=0,NA(),SUMPRODUCT((Inputs!$A$5:$A$120=$B28)*Inputs!$B$5:$B$120*(((Inputs!$G$5:$G$120="moeda")+(Inputs!$G$5:$G$120="acoes"))*Inputs!$B$1+((Inputs!$G$5:$G$120&lt;&gt;"moeda")*(Inputs!$G$5:$G$120&lt;&gt;"acoes")))*INDEX(Inputs!$K$5:$AJ$120,0,MATCH(O$2,Inputs!$K$4:$AJ$4,0)))+SUMPRODUCT((Inputs!$C$5:$C$120=$B28)*Inputs!$D$5:$D$120*(((Inputs!$G$5:$G$120="moeda")+(Inputs!$G$5:$G$120="acoes"))*Inputs!$B$1+((Inputs!$G$5:$G$120&lt;&gt;"moeda")*(Inputs!$G$5:$G$120&lt;&gt;"acoes")))*INDEX(Inputs!$K$5:$AJ$120,0,MATCH(O$2,Inputs!$K$4:$AJ$4,0)))+SUMPRODUCT((Inputs!$E$5:$E$120=$B28)*Inputs!$F$5:$F$120*(((Inputs!$G$5:$G$120="moeda")+(Inputs!$G$5:$G$120="acoes"))*Inputs!$B$1+((Inputs!$G$5:$G$120&lt;&gt;"moeda")*(Inputs!$G$5:$G$120&lt;&gt;"acoes")))*INDEX(Inputs!$K$5:$AJ$120,0,MATCH(O$2,Inputs!$K$4:$AJ$4,0)))))</f>
        <v>4248</v>
      </c>
      <c r="P28" s="267">
        <f>IF(ISNA(MATCH(P$2,Inputs!$K$4:$AJ$4,0)),NA(),IF(SUMPRODUCT((Inputs!$A$5:$A$120=$B28)*ISNUMBER(INDEX(Inputs!$K$5:$AJ$120,0,MATCH(P$2,Inputs!$K$4:$AJ$4,0))))+SUMPRODUCT((Inputs!$C$5:$C$120=$B28)*ISNUMBER(INDEX(Inputs!$K$5:$AJ$120,0,MATCH(P$2,Inputs!$K$4:$AJ$4,0))))+SUMPRODUCT((Inputs!$E$5:$E$120=$B28)*ISNUMBER(INDEX(Inputs!$K$5:$AJ$120,0,MATCH(P$2,Inputs!$K$4:$AJ$4,0))))=0,NA(),SUMPRODUCT((Inputs!$A$5:$A$120=$B28)*Inputs!$B$5:$B$120*(((Inputs!$G$5:$G$120="moeda")+(Inputs!$G$5:$G$120="acoes"))*Inputs!$B$1+((Inputs!$G$5:$G$120&lt;&gt;"moeda")*(Inputs!$G$5:$G$120&lt;&gt;"acoes")))*INDEX(Inputs!$K$5:$AJ$120,0,MATCH(P$2,Inputs!$K$4:$AJ$4,0)))+SUMPRODUCT((Inputs!$C$5:$C$120=$B28)*Inputs!$D$5:$D$120*(((Inputs!$G$5:$G$120="moeda")+(Inputs!$G$5:$G$120="acoes"))*Inputs!$B$1+((Inputs!$G$5:$G$120&lt;&gt;"moeda")*(Inputs!$G$5:$G$120&lt;&gt;"acoes")))*INDEX(Inputs!$K$5:$AJ$120,0,MATCH(P$2,Inputs!$K$4:$AJ$4,0)))+SUMPRODUCT((Inputs!$E$5:$E$120=$B28)*Inputs!$F$5:$F$120*(((Inputs!$G$5:$G$120="moeda")+(Inputs!$G$5:$G$120="acoes"))*Inputs!$B$1+((Inputs!$G$5:$G$120&lt;&gt;"moeda")*(Inputs!$G$5:$G$120&lt;&gt;"acoes")))*INDEX(Inputs!$K$5:$AJ$120,0,MATCH(P$2,Inputs!$K$4:$AJ$4,0)))))</f>
        <v>3975</v>
      </c>
      <c r="Q28" s="267">
        <f>IF(ISNA(MATCH(Q$2,Inputs!$K$4:$AJ$4,0)),NA(),IF(SUMPRODUCT((Inputs!$A$5:$A$120=$B28)*ISNUMBER(INDEX(Inputs!$K$5:$AJ$120,0,MATCH(Q$2,Inputs!$K$4:$AJ$4,0))))+SUMPRODUCT((Inputs!$C$5:$C$120=$B28)*ISNUMBER(INDEX(Inputs!$K$5:$AJ$120,0,MATCH(Q$2,Inputs!$K$4:$AJ$4,0))))+SUMPRODUCT((Inputs!$E$5:$E$120=$B28)*ISNUMBER(INDEX(Inputs!$K$5:$AJ$120,0,MATCH(Q$2,Inputs!$K$4:$AJ$4,0))))=0,NA(),SUMPRODUCT((Inputs!$A$5:$A$120=$B28)*Inputs!$B$5:$B$120*(((Inputs!$G$5:$G$120="moeda")+(Inputs!$G$5:$G$120="acoes"))*Inputs!$B$1+((Inputs!$G$5:$G$120&lt;&gt;"moeda")*(Inputs!$G$5:$G$120&lt;&gt;"acoes")))*INDEX(Inputs!$K$5:$AJ$120,0,MATCH(Q$2,Inputs!$K$4:$AJ$4,0)))+SUMPRODUCT((Inputs!$C$5:$C$120=$B28)*Inputs!$D$5:$D$120*(((Inputs!$G$5:$G$120="moeda")+(Inputs!$G$5:$G$120="acoes"))*Inputs!$B$1+((Inputs!$G$5:$G$120&lt;&gt;"moeda")*(Inputs!$G$5:$G$120&lt;&gt;"acoes")))*INDEX(Inputs!$K$5:$AJ$120,0,MATCH(Q$2,Inputs!$K$4:$AJ$4,0)))+SUMPRODUCT((Inputs!$E$5:$E$120=$B28)*Inputs!$F$5:$F$120*(((Inputs!$G$5:$G$120="moeda")+(Inputs!$G$5:$G$120="acoes"))*Inputs!$B$1+((Inputs!$G$5:$G$120&lt;&gt;"moeda")*(Inputs!$G$5:$G$120&lt;&gt;"acoes")))*INDEX(Inputs!$K$5:$AJ$120,0,MATCH(Q$2,Inputs!$K$4:$AJ$4,0)))))</f>
        <v>3664</v>
      </c>
      <c r="R28" s="268">
        <f>Q28</f>
        <v>3664</v>
      </c>
      <c r="S28" s="267">
        <f>IF(ISNA(MATCH(S$2,Inputs!$K$4:$AJ$4,0)),NA(),IF(SUMPRODUCT((Inputs!$A$5:$A$120=$B28)*ISNUMBER(INDEX(Inputs!$K$5:$AJ$120,0,MATCH(S$2,Inputs!$K$4:$AJ$4,0))))+SUMPRODUCT((Inputs!$C$5:$C$120=$B28)*ISNUMBER(INDEX(Inputs!$K$5:$AJ$120,0,MATCH(S$2,Inputs!$K$4:$AJ$4,0))))+SUMPRODUCT((Inputs!$E$5:$E$120=$B28)*ISNUMBER(INDEX(Inputs!$K$5:$AJ$120,0,MATCH(S$2,Inputs!$K$4:$AJ$4,0))))=0,NA(),SUMPRODUCT((Inputs!$A$5:$A$120=$B28)*Inputs!$B$5:$B$120*(((Inputs!$G$5:$G$120="moeda")+(Inputs!$G$5:$G$120="acoes"))*Inputs!$B$1+((Inputs!$G$5:$G$120&lt;&gt;"moeda")*(Inputs!$G$5:$G$120&lt;&gt;"acoes")))*INDEX(Inputs!$K$5:$AJ$120,0,MATCH(S$2,Inputs!$K$4:$AJ$4,0)))+SUMPRODUCT((Inputs!$C$5:$C$120=$B28)*Inputs!$D$5:$D$120*(((Inputs!$G$5:$G$120="moeda")+(Inputs!$G$5:$G$120="acoes"))*Inputs!$B$1+((Inputs!$G$5:$G$120&lt;&gt;"moeda")*(Inputs!$G$5:$G$120&lt;&gt;"acoes")))*INDEX(Inputs!$K$5:$AJ$120,0,MATCH(S$2,Inputs!$K$4:$AJ$4,0)))+SUMPRODUCT((Inputs!$E$5:$E$120=$B28)*Inputs!$F$5:$F$120*(((Inputs!$G$5:$G$120="moeda")+(Inputs!$G$5:$G$120="acoes"))*Inputs!$B$1+((Inputs!$G$5:$G$120&lt;&gt;"moeda")*(Inputs!$G$5:$G$120&lt;&gt;"acoes")))*INDEX(Inputs!$K$5:$AJ$120,0,MATCH(S$2,Inputs!$K$4:$AJ$4,0)))))</f>
        <v>4503</v>
      </c>
      <c r="T28" s="267">
        <f>IF(ISNA(MATCH(T$2,Inputs!$K$4:$AJ$4,0)),NA(),IF(SUMPRODUCT((Inputs!$A$5:$A$120=$B28)*ISNUMBER(INDEX(Inputs!$K$5:$AJ$120,0,MATCH(T$2,Inputs!$K$4:$AJ$4,0))))+SUMPRODUCT((Inputs!$C$5:$C$120=$B28)*ISNUMBER(INDEX(Inputs!$K$5:$AJ$120,0,MATCH(T$2,Inputs!$K$4:$AJ$4,0))))+SUMPRODUCT((Inputs!$E$5:$E$120=$B28)*ISNUMBER(INDEX(Inputs!$K$5:$AJ$120,0,MATCH(T$2,Inputs!$K$4:$AJ$4,0))))=0,NA(),SUMPRODUCT((Inputs!$A$5:$A$120=$B28)*Inputs!$B$5:$B$120*(((Inputs!$G$5:$G$120="moeda")+(Inputs!$G$5:$G$120="acoes"))*Inputs!$B$1+((Inputs!$G$5:$G$120&lt;&gt;"moeda")*(Inputs!$G$5:$G$120&lt;&gt;"acoes")))*INDEX(Inputs!$K$5:$AJ$120,0,MATCH(T$2,Inputs!$K$4:$AJ$4,0)))+SUMPRODUCT((Inputs!$C$5:$C$120=$B28)*Inputs!$D$5:$D$120*(((Inputs!$G$5:$G$120="moeda")+(Inputs!$G$5:$G$120="acoes"))*Inputs!$B$1+((Inputs!$G$5:$G$120&lt;&gt;"moeda")*(Inputs!$G$5:$G$120&lt;&gt;"acoes")))*INDEX(Inputs!$K$5:$AJ$120,0,MATCH(T$2,Inputs!$K$4:$AJ$4,0)))+SUMPRODUCT((Inputs!$E$5:$E$120=$B28)*Inputs!$F$5:$F$120*(((Inputs!$G$5:$G$120="moeda")+(Inputs!$G$5:$G$120="acoes"))*Inputs!$B$1+((Inputs!$G$5:$G$120&lt;&gt;"moeda")*(Inputs!$G$5:$G$120&lt;&gt;"acoes")))*INDEX(Inputs!$K$5:$AJ$120,0,MATCH(T$2,Inputs!$K$4:$AJ$4,0)))))</f>
        <v>3429</v>
      </c>
      <c r="U28" s="267">
        <f>IF(ISNA(MATCH(U$2,Inputs!$K$4:$AJ$4,0)),NA(),IF(SUMPRODUCT((Inputs!$A$5:$A$120=$B28)*ISNUMBER(INDEX(Inputs!$K$5:$AJ$120,0,MATCH(U$2,Inputs!$K$4:$AJ$4,0))))+SUMPRODUCT((Inputs!$C$5:$C$120=$B28)*ISNUMBER(INDEX(Inputs!$K$5:$AJ$120,0,MATCH(U$2,Inputs!$K$4:$AJ$4,0))))+SUMPRODUCT((Inputs!$E$5:$E$120=$B28)*ISNUMBER(INDEX(Inputs!$K$5:$AJ$120,0,MATCH(U$2,Inputs!$K$4:$AJ$4,0))))=0,NA(),SUMPRODUCT((Inputs!$A$5:$A$120=$B28)*Inputs!$B$5:$B$120*(((Inputs!$G$5:$G$120="moeda")+(Inputs!$G$5:$G$120="acoes"))*Inputs!$B$1+((Inputs!$G$5:$G$120&lt;&gt;"moeda")*(Inputs!$G$5:$G$120&lt;&gt;"acoes")))*INDEX(Inputs!$K$5:$AJ$120,0,MATCH(U$2,Inputs!$K$4:$AJ$4,0)))+SUMPRODUCT((Inputs!$C$5:$C$120=$B28)*Inputs!$D$5:$D$120*(((Inputs!$G$5:$G$120="moeda")+(Inputs!$G$5:$G$120="acoes"))*Inputs!$B$1+((Inputs!$G$5:$G$120&lt;&gt;"moeda")*(Inputs!$G$5:$G$120&lt;&gt;"acoes")))*INDEX(Inputs!$K$5:$AJ$120,0,MATCH(U$2,Inputs!$K$4:$AJ$4,0)))+SUMPRODUCT((Inputs!$E$5:$E$120=$B28)*Inputs!$F$5:$F$120*(((Inputs!$G$5:$G$120="moeda")+(Inputs!$G$5:$G$120="acoes"))*Inputs!$B$1+((Inputs!$G$5:$G$120&lt;&gt;"moeda")*(Inputs!$G$5:$G$120&lt;&gt;"acoes")))*INDEX(Inputs!$K$5:$AJ$120,0,MATCH(U$2,Inputs!$K$4:$AJ$4,0)))))</f>
        <v>3211</v>
      </c>
      <c r="V28" s="267">
        <f>IF(ISNA(MATCH(V$2,Inputs!$K$4:$AJ$4,0)),NA(),IF(SUMPRODUCT((Inputs!$A$5:$A$120=$B28)*ISNUMBER(INDEX(Inputs!$K$5:$AJ$120,0,MATCH(V$2,Inputs!$K$4:$AJ$4,0))))+SUMPRODUCT((Inputs!$C$5:$C$120=$B28)*ISNUMBER(INDEX(Inputs!$K$5:$AJ$120,0,MATCH(V$2,Inputs!$K$4:$AJ$4,0))))+SUMPRODUCT((Inputs!$E$5:$E$120=$B28)*ISNUMBER(INDEX(Inputs!$K$5:$AJ$120,0,MATCH(V$2,Inputs!$K$4:$AJ$4,0))))=0,NA(),SUMPRODUCT((Inputs!$A$5:$A$120=$B28)*Inputs!$B$5:$B$120*(((Inputs!$G$5:$G$120="moeda")+(Inputs!$G$5:$G$120="acoes"))*Inputs!$B$1+((Inputs!$G$5:$G$120&lt;&gt;"moeda")*(Inputs!$G$5:$G$120&lt;&gt;"acoes")))*INDEX(Inputs!$K$5:$AJ$120,0,MATCH(V$2,Inputs!$K$4:$AJ$4,0)))+SUMPRODUCT((Inputs!$C$5:$C$120=$B28)*Inputs!$D$5:$D$120*(((Inputs!$G$5:$G$120="moeda")+(Inputs!$G$5:$G$120="acoes"))*Inputs!$B$1+((Inputs!$G$5:$G$120&lt;&gt;"moeda")*(Inputs!$G$5:$G$120&lt;&gt;"acoes")))*INDEX(Inputs!$K$5:$AJ$120,0,MATCH(V$2,Inputs!$K$4:$AJ$4,0)))+SUMPRODUCT((Inputs!$E$5:$E$120=$B28)*Inputs!$F$5:$F$120*(((Inputs!$G$5:$G$120="moeda")+(Inputs!$G$5:$G$120="acoes"))*Inputs!$B$1+((Inputs!$G$5:$G$120&lt;&gt;"moeda")*(Inputs!$G$5:$G$120&lt;&gt;"acoes")))*INDEX(Inputs!$K$5:$AJ$120,0,MATCH(V$2,Inputs!$K$4:$AJ$4,0)))))</f>
        <v>2777</v>
      </c>
      <c r="W28" s="268">
        <f>V28</f>
        <v>2777</v>
      </c>
      <c r="X28" s="267">
        <f>IF(ISNA(MATCH(X$2,Inputs!$K$4:$AJ$4,0)),NA(),IF(SUMPRODUCT((Inputs!$A$5:$A$120=$B28)*ISNUMBER(INDEX(Inputs!$K$5:$AJ$120,0,MATCH(X$2,Inputs!$K$4:$AJ$4,0))))+SUMPRODUCT((Inputs!$C$5:$C$120=$B28)*ISNUMBER(INDEX(Inputs!$K$5:$AJ$120,0,MATCH(X$2,Inputs!$K$4:$AJ$4,0))))+SUMPRODUCT((Inputs!$E$5:$E$120=$B28)*ISNUMBER(INDEX(Inputs!$K$5:$AJ$120,0,MATCH(X$2,Inputs!$K$4:$AJ$4,0))))=0,NA(),SUMPRODUCT((Inputs!$A$5:$A$120=$B28)*Inputs!$B$5:$B$120*(((Inputs!$G$5:$G$120="moeda")+(Inputs!$G$5:$G$120="acoes"))*Inputs!$B$1+((Inputs!$G$5:$G$120&lt;&gt;"moeda")*(Inputs!$G$5:$G$120&lt;&gt;"acoes")))*INDEX(Inputs!$K$5:$AJ$120,0,MATCH(X$2,Inputs!$K$4:$AJ$4,0)))+SUMPRODUCT((Inputs!$C$5:$C$120=$B28)*Inputs!$D$5:$D$120*(((Inputs!$G$5:$G$120="moeda")+(Inputs!$G$5:$G$120="acoes"))*Inputs!$B$1+((Inputs!$G$5:$G$120&lt;&gt;"moeda")*(Inputs!$G$5:$G$120&lt;&gt;"acoes")))*INDEX(Inputs!$K$5:$AJ$120,0,MATCH(X$2,Inputs!$K$4:$AJ$4,0)))+SUMPRODUCT((Inputs!$E$5:$E$120=$B28)*Inputs!$F$5:$F$120*(((Inputs!$G$5:$G$120="moeda")+(Inputs!$G$5:$G$120="acoes"))*Inputs!$B$1+((Inputs!$G$5:$G$120&lt;&gt;"moeda")*(Inputs!$G$5:$G$120&lt;&gt;"acoes")))*INDEX(Inputs!$K$5:$AJ$120,0,MATCH(X$2,Inputs!$K$4:$AJ$4,0)))))</f>
        <v>3831</v>
      </c>
      <c r="Y28" s="267">
        <f>IF(ISNA(MATCH(Y$2,Inputs!$K$4:$AJ$4,0)),NA(),IF(SUMPRODUCT((Inputs!$A$5:$A$120=$B28)*ISNUMBER(INDEX(Inputs!$K$5:$AJ$120,0,MATCH(Y$2,Inputs!$K$4:$AJ$4,0))))+SUMPRODUCT((Inputs!$C$5:$C$120=$B28)*ISNUMBER(INDEX(Inputs!$K$5:$AJ$120,0,MATCH(Y$2,Inputs!$K$4:$AJ$4,0))))+SUMPRODUCT((Inputs!$E$5:$E$120=$B28)*ISNUMBER(INDEX(Inputs!$K$5:$AJ$120,0,MATCH(Y$2,Inputs!$K$4:$AJ$4,0))))=0,NA(),SUMPRODUCT((Inputs!$A$5:$A$120=$B28)*Inputs!$B$5:$B$120*(((Inputs!$G$5:$G$120="moeda")+(Inputs!$G$5:$G$120="acoes"))*Inputs!$B$1+((Inputs!$G$5:$G$120&lt;&gt;"moeda")*(Inputs!$G$5:$G$120&lt;&gt;"acoes")))*INDEX(Inputs!$K$5:$AJ$120,0,MATCH(Y$2,Inputs!$K$4:$AJ$4,0)))+SUMPRODUCT((Inputs!$C$5:$C$120=$B28)*Inputs!$D$5:$D$120*(((Inputs!$G$5:$G$120="moeda")+(Inputs!$G$5:$G$120="acoes"))*Inputs!$B$1+((Inputs!$G$5:$G$120&lt;&gt;"moeda")*(Inputs!$G$5:$G$120&lt;&gt;"acoes")))*INDEX(Inputs!$K$5:$AJ$120,0,MATCH(Y$2,Inputs!$K$4:$AJ$4,0)))+SUMPRODUCT((Inputs!$E$5:$E$120=$B28)*Inputs!$F$5:$F$120*(((Inputs!$G$5:$G$120="moeda")+(Inputs!$G$5:$G$120="acoes"))*Inputs!$B$1+((Inputs!$G$5:$G$120&lt;&gt;"moeda")*(Inputs!$G$5:$G$120&lt;&gt;"acoes")))*INDEX(Inputs!$K$5:$AJ$120,0,MATCH(Y$2,Inputs!$K$4:$AJ$4,0)))))</f>
        <v>2894</v>
      </c>
      <c r="Z28" s="267">
        <f>IF(ISNA(MATCH(Z$2,Inputs!$K$4:$AJ$4,0)),NA(),IF(SUMPRODUCT((Inputs!$A$5:$A$120=$B28)*ISNUMBER(INDEX(Inputs!$K$5:$AJ$120,0,MATCH(Z$2,Inputs!$K$4:$AJ$4,0))))+SUMPRODUCT((Inputs!$C$5:$C$120=$B28)*ISNUMBER(INDEX(Inputs!$K$5:$AJ$120,0,MATCH(Z$2,Inputs!$K$4:$AJ$4,0))))+SUMPRODUCT((Inputs!$E$5:$E$120=$B28)*ISNUMBER(INDEX(Inputs!$K$5:$AJ$120,0,MATCH(Z$2,Inputs!$K$4:$AJ$4,0))))=0,NA(),SUMPRODUCT((Inputs!$A$5:$A$120=$B28)*Inputs!$B$5:$B$120*(((Inputs!$G$5:$G$120="moeda")+(Inputs!$G$5:$G$120="acoes"))*Inputs!$B$1+((Inputs!$G$5:$G$120&lt;&gt;"moeda")*(Inputs!$G$5:$G$120&lt;&gt;"acoes")))*INDEX(Inputs!$K$5:$AJ$120,0,MATCH(Z$2,Inputs!$K$4:$AJ$4,0)))+SUMPRODUCT((Inputs!$C$5:$C$120=$B28)*Inputs!$D$5:$D$120*(((Inputs!$G$5:$G$120="moeda")+(Inputs!$G$5:$G$120="acoes"))*Inputs!$B$1+((Inputs!$G$5:$G$120&lt;&gt;"moeda")*(Inputs!$G$5:$G$120&lt;&gt;"acoes")))*INDEX(Inputs!$K$5:$AJ$120,0,MATCH(Z$2,Inputs!$K$4:$AJ$4,0)))+SUMPRODUCT((Inputs!$E$5:$E$120=$B28)*Inputs!$F$5:$F$120*(((Inputs!$G$5:$G$120="moeda")+(Inputs!$G$5:$G$120="acoes"))*Inputs!$B$1+((Inputs!$G$5:$G$120&lt;&gt;"moeda")*(Inputs!$G$5:$G$120&lt;&gt;"acoes")))*INDEX(Inputs!$K$5:$AJ$120,0,MATCH(Z$2,Inputs!$K$4:$AJ$4,0)))))</f>
        <v>4780</v>
      </c>
      <c r="AA28" s="267">
        <f>IF(ISNA(MATCH(AA$2,Inputs!$K$4:$AJ$4,0)),NA(),IF(SUMPRODUCT((Inputs!$A$5:$A$120=$B28)*ISNUMBER(INDEX(Inputs!$K$5:$AJ$120,0,MATCH(AA$2,Inputs!$K$4:$AJ$4,0))))+SUMPRODUCT((Inputs!$C$5:$C$120=$B28)*ISNUMBER(INDEX(Inputs!$K$5:$AJ$120,0,MATCH(AA$2,Inputs!$K$4:$AJ$4,0))))+SUMPRODUCT((Inputs!$E$5:$E$120=$B28)*ISNUMBER(INDEX(Inputs!$K$5:$AJ$120,0,MATCH(AA$2,Inputs!$K$4:$AJ$4,0))))=0,NA(),SUMPRODUCT((Inputs!$A$5:$A$120=$B28)*Inputs!$B$5:$B$120*(((Inputs!$G$5:$G$120="moeda")+(Inputs!$G$5:$G$120="acoes"))*Inputs!$B$1+((Inputs!$G$5:$G$120&lt;&gt;"moeda")*(Inputs!$G$5:$G$120&lt;&gt;"acoes")))*INDEX(Inputs!$K$5:$AJ$120,0,MATCH(AA$2,Inputs!$K$4:$AJ$4,0)))+SUMPRODUCT((Inputs!$C$5:$C$120=$B28)*Inputs!$D$5:$D$120*(((Inputs!$G$5:$G$120="moeda")+(Inputs!$G$5:$G$120="acoes"))*Inputs!$B$1+((Inputs!$G$5:$G$120&lt;&gt;"moeda")*(Inputs!$G$5:$G$120&lt;&gt;"acoes")))*INDEX(Inputs!$K$5:$AJ$120,0,MATCH(AA$2,Inputs!$K$4:$AJ$4,0)))+SUMPRODUCT((Inputs!$E$5:$E$120=$B28)*Inputs!$F$5:$F$120*(((Inputs!$G$5:$G$120="moeda")+(Inputs!$G$5:$G$120="acoes"))*Inputs!$B$1+((Inputs!$G$5:$G$120&lt;&gt;"moeda")*(Inputs!$G$5:$G$120&lt;&gt;"acoes")))*INDEX(Inputs!$K$5:$AJ$120,0,MATCH(AA$2,Inputs!$K$4:$AJ$4,0)))))</f>
        <v>4881</v>
      </c>
      <c r="AB28" s="268">
        <f>AA28</f>
        <v>4881</v>
      </c>
      <c r="AC28" s="267">
        <f>IF(ISNA(MATCH(AC$2,Inputs!$K$4:$AJ$4,0)),NA(),IF(SUMPRODUCT((Inputs!$A$5:$A$120=$B28)*ISNUMBER(INDEX(Inputs!$K$5:$AJ$120,0,MATCH(AC$2,Inputs!$K$4:$AJ$4,0))))+SUMPRODUCT((Inputs!$C$5:$C$120=$B28)*ISNUMBER(INDEX(Inputs!$K$5:$AJ$120,0,MATCH(AC$2,Inputs!$K$4:$AJ$4,0))))+SUMPRODUCT((Inputs!$E$5:$E$120=$B28)*ISNUMBER(INDEX(Inputs!$K$5:$AJ$120,0,MATCH(AC$2,Inputs!$K$4:$AJ$4,0))))=0,NA(),SUMPRODUCT((Inputs!$A$5:$A$120=$B28)*Inputs!$B$5:$B$120*(((Inputs!$G$5:$G$120="moeda")+(Inputs!$G$5:$G$120="acoes"))*Inputs!$B$1+((Inputs!$G$5:$G$120&lt;&gt;"moeda")*(Inputs!$G$5:$G$120&lt;&gt;"acoes")))*INDEX(Inputs!$K$5:$AJ$120,0,MATCH(AC$2,Inputs!$K$4:$AJ$4,0)))+SUMPRODUCT((Inputs!$C$5:$C$120=$B28)*Inputs!$D$5:$D$120*(((Inputs!$G$5:$G$120="moeda")+(Inputs!$G$5:$G$120="acoes"))*Inputs!$B$1+((Inputs!$G$5:$G$120&lt;&gt;"moeda")*(Inputs!$G$5:$G$120&lt;&gt;"acoes")))*INDEX(Inputs!$K$5:$AJ$120,0,MATCH(AC$2,Inputs!$K$4:$AJ$4,0)))+SUMPRODUCT((Inputs!$E$5:$E$120=$B28)*Inputs!$F$5:$F$120*(((Inputs!$G$5:$G$120="moeda")+(Inputs!$G$5:$G$120="acoes"))*Inputs!$B$1+((Inputs!$G$5:$G$120&lt;&gt;"moeda")*(Inputs!$G$5:$G$120&lt;&gt;"acoes")))*INDEX(Inputs!$K$5:$AJ$120,0,MATCH(AC$2,Inputs!$K$4:$AJ$4,0)))))</f>
        <v>6176</v>
      </c>
      <c r="AD28" s="267">
        <f>IF(ISNA(MATCH(AD$2,Inputs!$K$4:$AJ$4,0)),NA(),IF(SUMPRODUCT((Inputs!$A$5:$A$120=$B28)*ISNUMBER(INDEX(Inputs!$K$5:$AJ$120,0,MATCH(AD$2,Inputs!$K$4:$AJ$4,0))))+SUMPRODUCT((Inputs!$C$5:$C$120=$B28)*ISNUMBER(INDEX(Inputs!$K$5:$AJ$120,0,MATCH(AD$2,Inputs!$K$4:$AJ$4,0))))+SUMPRODUCT((Inputs!$E$5:$E$120=$B28)*ISNUMBER(INDEX(Inputs!$K$5:$AJ$120,0,MATCH(AD$2,Inputs!$K$4:$AJ$4,0))))=0,NA(),SUMPRODUCT((Inputs!$A$5:$A$120=$B28)*Inputs!$B$5:$B$120*(((Inputs!$G$5:$G$120="moeda")+(Inputs!$G$5:$G$120="acoes"))*Inputs!$B$1+((Inputs!$G$5:$G$120&lt;&gt;"moeda")*(Inputs!$G$5:$G$120&lt;&gt;"acoes")))*INDEX(Inputs!$K$5:$AJ$120,0,MATCH(AD$2,Inputs!$K$4:$AJ$4,0)))+SUMPRODUCT((Inputs!$C$5:$C$120=$B28)*Inputs!$D$5:$D$120*(((Inputs!$G$5:$G$120="moeda")+(Inputs!$G$5:$G$120="acoes"))*Inputs!$B$1+((Inputs!$G$5:$G$120&lt;&gt;"moeda")*(Inputs!$G$5:$G$120&lt;&gt;"acoes")))*INDEX(Inputs!$K$5:$AJ$120,0,MATCH(AD$2,Inputs!$K$4:$AJ$4,0)))+SUMPRODUCT((Inputs!$E$5:$E$120=$B28)*Inputs!$F$5:$F$120*(((Inputs!$G$5:$G$120="moeda")+(Inputs!$G$5:$G$120="acoes"))*Inputs!$B$1+((Inputs!$G$5:$G$120&lt;&gt;"moeda")*(Inputs!$G$5:$G$120&lt;&gt;"acoes")))*INDEX(Inputs!$K$5:$AJ$120,0,MATCH(AD$2,Inputs!$K$4:$AJ$4,0)))))</f>
        <v>5370</v>
      </c>
      <c r="AE28" s="267" t="e">
        <f>IF(ISNA(MATCH(AE$2,Inputs!$K$4:$AJ$4,0)),NA(),IF(SUMPRODUCT((Inputs!$A$5:$A$120=$B28)*ISNUMBER(INDEX(Inputs!$K$5:$AJ$120,0,MATCH(AE$2,Inputs!$K$4:$AJ$4,0))))+SUMPRODUCT((Inputs!$C$5:$C$120=$B28)*ISNUMBER(INDEX(Inputs!$K$5:$AJ$120,0,MATCH(AE$2,Inputs!$K$4:$AJ$4,0))))+SUMPRODUCT((Inputs!$E$5:$E$120=$B28)*ISNUMBER(INDEX(Inputs!$K$5:$AJ$120,0,MATCH(AE$2,Inputs!$K$4:$AJ$4,0))))=0,NA(),SUMPRODUCT((Inputs!$A$5:$A$120=$B28)*Inputs!$B$5:$B$120*(((Inputs!$G$5:$G$120="moeda")+(Inputs!$G$5:$G$120="acoes"))*Inputs!$B$1+((Inputs!$G$5:$G$120&lt;&gt;"moeda")*(Inputs!$G$5:$G$120&lt;&gt;"acoes")))*INDEX(Inputs!$K$5:$AJ$120,0,MATCH(AE$2,Inputs!$K$4:$AJ$4,0)))+SUMPRODUCT((Inputs!$C$5:$C$120=$B28)*Inputs!$D$5:$D$120*(((Inputs!$G$5:$G$120="moeda")+(Inputs!$G$5:$G$120="acoes"))*Inputs!$B$1+((Inputs!$G$5:$G$120&lt;&gt;"moeda")*(Inputs!$G$5:$G$120&lt;&gt;"acoes")))*INDEX(Inputs!$K$5:$AJ$120,0,MATCH(AE$2,Inputs!$K$4:$AJ$4,0)))+SUMPRODUCT((Inputs!$E$5:$E$120=$B28)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8" s="267" t="e">
        <f>IF(ISNA(MATCH(AF$2,Inputs!$K$4:$AJ$4,0)),NA(),IF(SUMPRODUCT((Inputs!$A$5:$A$120=$B28)*ISNUMBER(INDEX(Inputs!$K$5:$AJ$120,0,MATCH(AF$2,Inputs!$K$4:$AJ$4,0))))+SUMPRODUCT((Inputs!$C$5:$C$120=$B28)*ISNUMBER(INDEX(Inputs!$K$5:$AJ$120,0,MATCH(AF$2,Inputs!$K$4:$AJ$4,0))))+SUMPRODUCT((Inputs!$E$5:$E$120=$B28)*ISNUMBER(INDEX(Inputs!$K$5:$AJ$120,0,MATCH(AF$2,Inputs!$K$4:$AJ$4,0))))=0,NA(),SUMPRODUCT((Inputs!$A$5:$A$120=$B28)*Inputs!$B$5:$B$120*(((Inputs!$G$5:$G$120="moeda")+(Inputs!$G$5:$G$120="acoes"))*Inputs!$B$1+((Inputs!$G$5:$G$120&lt;&gt;"moeda")*(Inputs!$G$5:$G$120&lt;&gt;"acoes")))*INDEX(Inputs!$K$5:$AJ$120,0,MATCH(AF$2,Inputs!$K$4:$AJ$4,0)))+SUMPRODUCT((Inputs!$C$5:$C$120=$B28)*Inputs!$D$5:$D$120*(((Inputs!$G$5:$G$120="moeda")+(Inputs!$G$5:$G$120="acoes"))*Inputs!$B$1+((Inputs!$G$5:$G$120&lt;&gt;"moeda")*(Inputs!$G$5:$G$120&lt;&gt;"acoes")))*INDEX(Inputs!$K$5:$AJ$120,0,MATCH(AF$2,Inputs!$K$4:$AJ$4,0)))+SUMPRODUCT((Inputs!$E$5:$E$120=$B28)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8" s="268" t="e">
        <f>AF28</f>
        <v>#N/A</v>
      </c>
      <c r="AH28" s="267">
        <f>IF(ISNA(MATCH(AH$2,Inputs!$K$4:$AJ$4,0)),NA(),IF(SUMPRODUCT((Inputs!$A$5:$A$120=$B28)*ISNUMBER(INDEX(Inputs!$K$5:$AJ$120,0,MATCH(AH$2,Inputs!$K$4:$AJ$4,0))))+SUMPRODUCT((Inputs!$C$5:$C$120=$B28)*ISNUMBER(INDEX(Inputs!$K$5:$AJ$120,0,MATCH(AH$2,Inputs!$K$4:$AJ$4,0))))+SUMPRODUCT((Inputs!$E$5:$E$120=$B28)*ISNUMBER(INDEX(Inputs!$K$5:$AJ$120,0,MATCH(AH$2,Inputs!$K$4:$AJ$4,0))))=0,NA(),SUMPRODUCT((Inputs!$A$5:$A$120=$B28)*Inputs!$B$5:$B$120*(((Inputs!$G$5:$G$120="moeda")+(Inputs!$G$5:$G$120="acoes"))*Inputs!$B$1+((Inputs!$G$5:$G$120&lt;&gt;"moeda")*(Inputs!$G$5:$G$120&lt;&gt;"acoes")))*INDEX(Inputs!$K$5:$AJ$120,0,MATCH(AH$2,Inputs!$K$4:$AJ$4,0)))+SUMPRODUCT((Inputs!$C$5:$C$120=$B28)*Inputs!$D$5:$D$120*(((Inputs!$G$5:$G$120="moeda")+(Inputs!$G$5:$G$120="acoes"))*Inputs!$B$1+((Inputs!$G$5:$G$120&lt;&gt;"moeda")*(Inputs!$G$5:$G$120&lt;&gt;"acoes")))*INDEX(Inputs!$K$5:$AJ$120,0,MATCH(AH$2,Inputs!$K$4:$AJ$4,0)))+SUMPRODUCT((Inputs!$E$5:$E$120=$B28)*Inputs!$F$5:$F$120*(((Inputs!$G$5:$G$120="moeda")+(Inputs!$G$5:$G$120="acoes"))*Inputs!$B$1+((Inputs!$G$5:$G$120&lt;&gt;"moeda")*(Inputs!$G$5:$G$120&lt;&gt;"acoes")))*INDEX(Inputs!$K$5:$AJ$120,0,MATCH(AH$2,Inputs!$K$4:$AJ$4,0)))))</f>
        <v>3368</v>
      </c>
      <c r="AI28" s="267">
        <f>IF(ISNA(MATCH(AI$2,Inputs!$K$4:$AJ$4,0)),NA(),IF(SUMPRODUCT((Inputs!$A$5:$A$120=$B28)*ISNUMBER(INDEX(Inputs!$K$5:$AJ$120,0,MATCH(AI$2,Inputs!$K$4:$AJ$4,0))))+SUMPRODUCT((Inputs!$C$5:$C$120=$B28)*ISNUMBER(INDEX(Inputs!$K$5:$AJ$120,0,MATCH(AI$2,Inputs!$K$4:$AJ$4,0))))+SUMPRODUCT((Inputs!$E$5:$E$120=$B28)*ISNUMBER(INDEX(Inputs!$K$5:$AJ$120,0,MATCH(AI$2,Inputs!$K$4:$AJ$4,0))))=0,NA(),SUMPRODUCT((Inputs!$A$5:$A$120=$B28)*Inputs!$B$5:$B$120*(((Inputs!$G$5:$G$120="moeda")+(Inputs!$G$5:$G$120="acoes"))*Inputs!$B$1+((Inputs!$G$5:$G$120&lt;&gt;"moeda")*(Inputs!$G$5:$G$120&lt;&gt;"acoes")))*INDEX(Inputs!$K$5:$AJ$120,0,MATCH(AI$2,Inputs!$K$4:$AJ$4,0)))+SUMPRODUCT((Inputs!$C$5:$C$120=$B28)*Inputs!$D$5:$D$120*(((Inputs!$G$5:$G$120="moeda")+(Inputs!$G$5:$G$120="acoes"))*Inputs!$B$1+((Inputs!$G$5:$G$120&lt;&gt;"moeda")*(Inputs!$G$5:$G$120&lt;&gt;"acoes")))*INDEX(Inputs!$K$5:$AJ$120,0,MATCH(AI$2,Inputs!$K$4:$AJ$4,0)))+SUMPRODUCT((Inputs!$E$5:$E$120=$B28)*Inputs!$F$5:$F$120*(((Inputs!$G$5:$G$120="moeda")+(Inputs!$G$5:$G$120="acoes"))*Inputs!$B$1+((Inputs!$G$5:$G$120&lt;&gt;"moeda")*(Inputs!$G$5:$G$120&lt;&gt;"acoes")))*INDEX(Inputs!$K$5:$AJ$120,0,MATCH(AI$2,Inputs!$K$4:$AJ$4,0)))))</f>
        <v>2602</v>
      </c>
      <c r="AJ28" s="267">
        <f>IF(ISNA(MATCH(AJ$2,Inputs!$K$4:$AJ$4,0)),NA(),IF(SUMPRODUCT((Inputs!$A$5:$A$120=$B28)*ISNUMBER(INDEX(Inputs!$K$5:$AJ$120,0,MATCH(AJ$2,Inputs!$K$4:$AJ$4,0))))+SUMPRODUCT((Inputs!$C$5:$C$120=$B28)*ISNUMBER(INDEX(Inputs!$K$5:$AJ$120,0,MATCH(AJ$2,Inputs!$K$4:$AJ$4,0))))+SUMPRODUCT((Inputs!$E$5:$E$120=$B28)*ISNUMBER(INDEX(Inputs!$K$5:$AJ$120,0,MATCH(AJ$2,Inputs!$K$4:$AJ$4,0))))=0,NA(),SUMPRODUCT((Inputs!$A$5:$A$120=$B28)*Inputs!$B$5:$B$120*(((Inputs!$G$5:$G$120="moeda")+(Inputs!$G$5:$G$120="acoes"))*Inputs!$B$1+((Inputs!$G$5:$G$120&lt;&gt;"moeda")*(Inputs!$G$5:$G$120&lt;&gt;"acoes")))*INDEX(Inputs!$K$5:$AJ$120,0,MATCH(AJ$2,Inputs!$K$4:$AJ$4,0)))+SUMPRODUCT((Inputs!$C$5:$C$120=$B28)*Inputs!$D$5:$D$120*(((Inputs!$G$5:$G$120="moeda")+(Inputs!$G$5:$G$120="acoes"))*Inputs!$B$1+((Inputs!$G$5:$G$120&lt;&gt;"moeda")*(Inputs!$G$5:$G$120&lt;&gt;"acoes")))*INDEX(Inputs!$K$5:$AJ$120,0,MATCH(AJ$2,Inputs!$K$4:$AJ$4,0)))+SUMPRODUCT((Inputs!$E$5:$E$120=$B28)*Inputs!$F$5:$F$120*(((Inputs!$G$5:$G$120="moeda")+(Inputs!$G$5:$G$120="acoes"))*Inputs!$B$1+((Inputs!$G$5:$G$120&lt;&gt;"moeda")*(Inputs!$G$5:$G$120&lt;&gt;"acoes")))*INDEX(Inputs!$K$5:$AJ$120,0,MATCH(AJ$2,Inputs!$K$4:$AJ$4,0)))))</f>
        <v>2708</v>
      </c>
      <c r="AK28" s="267">
        <f>IF(ISNA(MATCH(AK$2,Inputs!$K$4:$AJ$4,0)),NA(),IF(SUMPRODUCT((Inputs!$A$5:$A$120=$B28)*ISNUMBER(INDEX(Inputs!$K$5:$AJ$120,0,MATCH(AK$2,Inputs!$K$4:$AJ$4,0))))+SUMPRODUCT((Inputs!$C$5:$C$120=$B28)*ISNUMBER(INDEX(Inputs!$K$5:$AJ$120,0,MATCH(AK$2,Inputs!$K$4:$AJ$4,0))))+SUMPRODUCT((Inputs!$E$5:$E$120=$B28)*ISNUMBER(INDEX(Inputs!$K$5:$AJ$120,0,MATCH(AK$2,Inputs!$K$4:$AJ$4,0))))=0,NA(),SUMPRODUCT((Inputs!$A$5:$A$120=$B28)*Inputs!$B$5:$B$120*(((Inputs!$G$5:$G$120="moeda")+(Inputs!$G$5:$G$120="acoes"))*Inputs!$B$1+((Inputs!$G$5:$G$120&lt;&gt;"moeda")*(Inputs!$G$5:$G$120&lt;&gt;"acoes")))*INDEX(Inputs!$K$5:$AJ$120,0,MATCH(AK$2,Inputs!$K$4:$AJ$4,0)))+SUMPRODUCT((Inputs!$C$5:$C$120=$B28)*Inputs!$D$5:$D$120*(((Inputs!$G$5:$G$120="moeda")+(Inputs!$G$5:$G$120="acoes"))*Inputs!$B$1+((Inputs!$G$5:$G$120&lt;&gt;"moeda")*(Inputs!$G$5:$G$120&lt;&gt;"acoes")))*INDEX(Inputs!$K$5:$AJ$120,0,MATCH(AK$2,Inputs!$K$4:$AJ$4,0)))+SUMPRODUCT((Inputs!$E$5:$E$120=$B28)*Inputs!$F$5:$F$120*(((Inputs!$G$5:$G$120="moeda")+(Inputs!$G$5:$G$120="acoes"))*Inputs!$B$1+((Inputs!$G$5:$G$120&lt;&gt;"moeda")*(Inputs!$G$5:$G$120&lt;&gt;"acoes")))*INDEX(Inputs!$K$5:$AJ$120,0,MATCH(AK$2,Inputs!$K$4:$AJ$4,0)))))</f>
        <v>2636</v>
      </c>
      <c r="AL28" s="268">
        <f>AK28</f>
        <v>2636</v>
      </c>
    </row>
    <row r="29" ht="12.75" customHeight="1" s="255">
      <c r="B29" s="265" t="n">
        <v>24</v>
      </c>
      <c r="C29" s="270" t="inlineStr">
        <is>
          <t>Accrued expenses</t>
        </is>
      </c>
      <c r="D29" s="267">
        <f>IF(ISNA(MATCH(D$2,Inputs!$K$4:$AJ$4,0)),NA(),IF(SUMPRODUCT((Inputs!$A$5:$A$120=$B29)*ISNUMBER(INDEX(Inputs!$K$5:$AJ$120,0,MATCH(D$2,Inputs!$K$4:$AJ$4,0))))+SUMPRODUCT((Inputs!$C$5:$C$120=$B29)*ISNUMBER(INDEX(Inputs!$K$5:$AJ$120,0,MATCH(D$2,Inputs!$K$4:$AJ$4,0))))+SUMPRODUCT((Inputs!$E$5:$E$120=$B29)*ISNUMBER(INDEX(Inputs!$K$5:$AJ$120,0,MATCH(D$2,Inputs!$K$4:$AJ$4,0))))=0,NA(),SUMPRODUCT((Inputs!$A$5:$A$120=$B29)*Inputs!$B$5:$B$120*(((Inputs!$G$5:$G$120="moeda")+(Inputs!$G$5:$G$120="acoes"))*Inputs!$B$1+((Inputs!$G$5:$G$120&lt;&gt;"moeda")*(Inputs!$G$5:$G$120&lt;&gt;"acoes")))*INDEX(Inputs!$K$5:$AJ$120,0,MATCH(D$2,Inputs!$K$4:$AJ$4,0)))+SUMPRODUCT((Inputs!$C$5:$C$120=$B29)*Inputs!$D$5:$D$120*(((Inputs!$G$5:$G$120="moeda")+(Inputs!$G$5:$G$120="acoes"))*Inputs!$B$1+((Inputs!$G$5:$G$120&lt;&gt;"moeda")*(Inputs!$G$5:$G$120&lt;&gt;"acoes")))*INDEX(Inputs!$K$5:$AJ$120,0,MATCH(D$2,Inputs!$K$4:$AJ$4,0)))+SUMPRODUCT((Inputs!$E$5:$E$120=$B29)*Inputs!$F$5:$F$120*(((Inputs!$G$5:$G$120="moeda")+(Inputs!$G$5:$G$120="acoes"))*Inputs!$B$1+((Inputs!$G$5:$G$120&lt;&gt;"moeda")*(Inputs!$G$5:$G$120&lt;&gt;"acoes")))*INDEX(Inputs!$K$5:$AJ$120,0,MATCH(D$2,Inputs!$K$4:$AJ$4,0)))))</f>
        <v>0</v>
      </c>
      <c r="E29" s="267">
        <f>IF(ISNA(MATCH(E$2,Inputs!$K$4:$AJ$4,0)),NA(),IF(SUMPRODUCT((Inputs!$A$5:$A$120=$B29)*ISNUMBER(INDEX(Inputs!$K$5:$AJ$120,0,MATCH(E$2,Inputs!$K$4:$AJ$4,0))))+SUMPRODUCT((Inputs!$C$5:$C$120=$B29)*ISNUMBER(INDEX(Inputs!$K$5:$AJ$120,0,MATCH(E$2,Inputs!$K$4:$AJ$4,0))))+SUMPRODUCT((Inputs!$E$5:$E$120=$B29)*ISNUMBER(INDEX(Inputs!$K$5:$AJ$120,0,MATCH(E$2,Inputs!$K$4:$AJ$4,0))))=0,NA(),SUMPRODUCT((Inputs!$A$5:$A$120=$B29)*Inputs!$B$5:$B$120*(((Inputs!$G$5:$G$120="moeda")+(Inputs!$G$5:$G$120="acoes"))*Inputs!$B$1+((Inputs!$G$5:$G$120&lt;&gt;"moeda")*(Inputs!$G$5:$G$120&lt;&gt;"acoes")))*INDEX(Inputs!$K$5:$AJ$120,0,MATCH(E$2,Inputs!$K$4:$AJ$4,0)))+SUMPRODUCT((Inputs!$C$5:$C$120=$B29)*Inputs!$D$5:$D$120*(((Inputs!$G$5:$G$120="moeda")+(Inputs!$G$5:$G$120="acoes"))*Inputs!$B$1+((Inputs!$G$5:$G$120&lt;&gt;"moeda")*(Inputs!$G$5:$G$120&lt;&gt;"acoes")))*INDEX(Inputs!$K$5:$AJ$120,0,MATCH(E$2,Inputs!$K$4:$AJ$4,0)))+SUMPRODUCT((Inputs!$E$5:$E$120=$B29)*Inputs!$F$5:$F$120*(((Inputs!$G$5:$G$120="moeda")+(Inputs!$G$5:$G$120="acoes"))*Inputs!$B$1+((Inputs!$G$5:$G$120&lt;&gt;"moeda")*(Inputs!$G$5:$G$120&lt;&gt;"acoes")))*INDEX(Inputs!$K$5:$AJ$120,0,MATCH(E$2,Inputs!$K$4:$AJ$4,0)))))</f>
        <v>0</v>
      </c>
      <c r="F29" s="267">
        <f>IF(ISNA(MATCH(F$2,Inputs!$K$4:$AJ$4,0)),NA(),IF(SUMPRODUCT((Inputs!$A$5:$A$120=$B29)*ISNUMBER(INDEX(Inputs!$K$5:$AJ$120,0,MATCH(F$2,Inputs!$K$4:$AJ$4,0))))+SUMPRODUCT((Inputs!$C$5:$C$120=$B29)*ISNUMBER(INDEX(Inputs!$K$5:$AJ$120,0,MATCH(F$2,Inputs!$K$4:$AJ$4,0))))+SUMPRODUCT((Inputs!$E$5:$E$120=$B29)*ISNUMBER(INDEX(Inputs!$K$5:$AJ$120,0,MATCH(F$2,Inputs!$K$4:$AJ$4,0))))=0,NA(),SUMPRODUCT((Inputs!$A$5:$A$120=$B29)*Inputs!$B$5:$B$120*(((Inputs!$G$5:$G$120="moeda")+(Inputs!$G$5:$G$120="acoes"))*Inputs!$B$1+((Inputs!$G$5:$G$120&lt;&gt;"moeda")*(Inputs!$G$5:$G$120&lt;&gt;"acoes")))*INDEX(Inputs!$K$5:$AJ$120,0,MATCH(F$2,Inputs!$K$4:$AJ$4,0)))+SUMPRODUCT((Inputs!$C$5:$C$120=$B29)*Inputs!$D$5:$D$120*(((Inputs!$G$5:$G$120="moeda")+(Inputs!$G$5:$G$120="acoes"))*Inputs!$B$1+((Inputs!$G$5:$G$120&lt;&gt;"moeda")*(Inputs!$G$5:$G$120&lt;&gt;"acoes")))*INDEX(Inputs!$K$5:$AJ$120,0,MATCH(F$2,Inputs!$K$4:$AJ$4,0)))+SUMPRODUCT((Inputs!$E$5:$E$120=$B29)*Inputs!$F$5:$F$120*(((Inputs!$G$5:$G$120="moeda")+(Inputs!$G$5:$G$120="acoes"))*Inputs!$B$1+((Inputs!$G$5:$G$120&lt;&gt;"moeda")*(Inputs!$G$5:$G$120&lt;&gt;"acoes")))*INDEX(Inputs!$K$5:$AJ$120,0,MATCH(F$2,Inputs!$K$4:$AJ$4,0)))))</f>
        <v>0</v>
      </c>
      <c r="G29" s="267">
        <f>IF(ISNA(MATCH(G$2,Inputs!$K$4:$AJ$4,0)),NA(),IF(SUMPRODUCT((Inputs!$A$5:$A$120=$B29)*ISNUMBER(INDEX(Inputs!$K$5:$AJ$120,0,MATCH(G$2,Inputs!$K$4:$AJ$4,0))))+SUMPRODUCT((Inputs!$C$5:$C$120=$B29)*ISNUMBER(INDEX(Inputs!$K$5:$AJ$120,0,MATCH(G$2,Inputs!$K$4:$AJ$4,0))))+SUMPRODUCT((Inputs!$E$5:$E$120=$B29)*ISNUMBER(INDEX(Inputs!$K$5:$AJ$120,0,MATCH(G$2,Inputs!$K$4:$AJ$4,0))))=0,NA(),SUMPRODUCT((Inputs!$A$5:$A$120=$B29)*Inputs!$B$5:$B$120*(((Inputs!$G$5:$G$120="moeda")+(Inputs!$G$5:$G$120="acoes"))*Inputs!$B$1+((Inputs!$G$5:$G$120&lt;&gt;"moeda")*(Inputs!$G$5:$G$120&lt;&gt;"acoes")))*INDEX(Inputs!$K$5:$AJ$120,0,MATCH(G$2,Inputs!$K$4:$AJ$4,0)))+SUMPRODUCT((Inputs!$C$5:$C$120=$B29)*Inputs!$D$5:$D$120*(((Inputs!$G$5:$G$120="moeda")+(Inputs!$G$5:$G$120="acoes"))*Inputs!$B$1+((Inputs!$G$5:$G$120&lt;&gt;"moeda")*(Inputs!$G$5:$G$120&lt;&gt;"acoes")))*INDEX(Inputs!$K$5:$AJ$120,0,MATCH(G$2,Inputs!$K$4:$AJ$4,0)))+SUMPRODUCT((Inputs!$E$5:$E$120=$B29)*Inputs!$F$5:$F$120*(((Inputs!$G$5:$G$120="moeda")+(Inputs!$G$5:$G$120="acoes"))*Inputs!$B$1+((Inputs!$G$5:$G$120&lt;&gt;"moeda")*(Inputs!$G$5:$G$120&lt;&gt;"acoes")))*INDEX(Inputs!$K$5:$AJ$120,0,MATCH(G$2,Inputs!$K$4:$AJ$4,0)))))</f>
        <v>0</v>
      </c>
      <c r="H29" s="268">
        <f>G29</f>
        <v>0</v>
      </c>
      <c r="I29" s="267">
        <f>IF(ISNA(MATCH(I$2,Inputs!$K$4:$AJ$4,0)),NA(),IF(SUMPRODUCT((Inputs!$A$5:$A$120=$B29)*ISNUMBER(INDEX(Inputs!$K$5:$AJ$120,0,MATCH(I$2,Inputs!$K$4:$AJ$4,0))))+SUMPRODUCT((Inputs!$C$5:$C$120=$B29)*ISNUMBER(INDEX(Inputs!$K$5:$AJ$120,0,MATCH(I$2,Inputs!$K$4:$AJ$4,0))))+SUMPRODUCT((Inputs!$E$5:$E$120=$B29)*ISNUMBER(INDEX(Inputs!$K$5:$AJ$120,0,MATCH(I$2,Inputs!$K$4:$AJ$4,0))))=0,NA(),SUMPRODUCT((Inputs!$A$5:$A$120=$B29)*Inputs!$B$5:$B$120*(((Inputs!$G$5:$G$120="moeda")+(Inputs!$G$5:$G$120="acoes"))*Inputs!$B$1+((Inputs!$G$5:$G$120&lt;&gt;"moeda")*(Inputs!$G$5:$G$120&lt;&gt;"acoes")))*INDEX(Inputs!$K$5:$AJ$120,0,MATCH(I$2,Inputs!$K$4:$AJ$4,0)))+SUMPRODUCT((Inputs!$C$5:$C$120=$B29)*Inputs!$D$5:$D$120*(((Inputs!$G$5:$G$120="moeda")+(Inputs!$G$5:$G$120="acoes"))*Inputs!$B$1+((Inputs!$G$5:$G$120&lt;&gt;"moeda")*(Inputs!$G$5:$G$120&lt;&gt;"acoes")))*INDEX(Inputs!$K$5:$AJ$120,0,MATCH(I$2,Inputs!$K$4:$AJ$4,0)))+SUMPRODUCT((Inputs!$E$5:$E$120=$B29)*Inputs!$F$5:$F$120*(((Inputs!$G$5:$G$120="moeda")+(Inputs!$G$5:$G$120="acoes"))*Inputs!$B$1+((Inputs!$G$5:$G$120&lt;&gt;"moeda")*(Inputs!$G$5:$G$120&lt;&gt;"acoes")))*INDEX(Inputs!$K$5:$AJ$120,0,MATCH(I$2,Inputs!$K$4:$AJ$4,0)))))</f>
        <v>0</v>
      </c>
      <c r="J29" s="267">
        <f>IF(ISNA(MATCH(J$2,Inputs!$K$4:$AJ$4,0)),NA(),IF(SUMPRODUCT((Inputs!$A$5:$A$120=$B29)*ISNUMBER(INDEX(Inputs!$K$5:$AJ$120,0,MATCH(J$2,Inputs!$K$4:$AJ$4,0))))+SUMPRODUCT((Inputs!$C$5:$C$120=$B29)*ISNUMBER(INDEX(Inputs!$K$5:$AJ$120,0,MATCH(J$2,Inputs!$K$4:$AJ$4,0))))+SUMPRODUCT((Inputs!$E$5:$E$120=$B29)*ISNUMBER(INDEX(Inputs!$K$5:$AJ$120,0,MATCH(J$2,Inputs!$K$4:$AJ$4,0))))=0,NA(),SUMPRODUCT((Inputs!$A$5:$A$120=$B29)*Inputs!$B$5:$B$120*(((Inputs!$G$5:$G$120="moeda")+(Inputs!$G$5:$G$120="acoes"))*Inputs!$B$1+((Inputs!$G$5:$G$120&lt;&gt;"moeda")*(Inputs!$G$5:$G$120&lt;&gt;"acoes")))*INDEX(Inputs!$K$5:$AJ$120,0,MATCH(J$2,Inputs!$K$4:$AJ$4,0)))+SUMPRODUCT((Inputs!$C$5:$C$120=$B29)*Inputs!$D$5:$D$120*(((Inputs!$G$5:$G$120="moeda")+(Inputs!$G$5:$G$120="acoes"))*Inputs!$B$1+((Inputs!$G$5:$G$120&lt;&gt;"moeda")*(Inputs!$G$5:$G$120&lt;&gt;"acoes")))*INDEX(Inputs!$K$5:$AJ$120,0,MATCH(J$2,Inputs!$K$4:$AJ$4,0)))+SUMPRODUCT((Inputs!$E$5:$E$120=$B29)*Inputs!$F$5:$F$120*(((Inputs!$G$5:$G$120="moeda")+(Inputs!$G$5:$G$120="acoes"))*Inputs!$B$1+((Inputs!$G$5:$G$120&lt;&gt;"moeda")*(Inputs!$G$5:$G$120&lt;&gt;"acoes")))*INDEX(Inputs!$K$5:$AJ$120,0,MATCH(J$2,Inputs!$K$4:$AJ$4,0)))))</f>
        <v>0</v>
      </c>
      <c r="K29" s="267">
        <f>IF(ISNA(MATCH(K$2,Inputs!$K$4:$AJ$4,0)),NA(),IF(SUMPRODUCT((Inputs!$A$5:$A$120=$B29)*ISNUMBER(INDEX(Inputs!$K$5:$AJ$120,0,MATCH(K$2,Inputs!$K$4:$AJ$4,0))))+SUMPRODUCT((Inputs!$C$5:$C$120=$B29)*ISNUMBER(INDEX(Inputs!$K$5:$AJ$120,0,MATCH(K$2,Inputs!$K$4:$AJ$4,0))))+SUMPRODUCT((Inputs!$E$5:$E$120=$B29)*ISNUMBER(INDEX(Inputs!$K$5:$AJ$120,0,MATCH(K$2,Inputs!$K$4:$AJ$4,0))))=0,NA(),SUMPRODUCT((Inputs!$A$5:$A$120=$B29)*Inputs!$B$5:$B$120*(((Inputs!$G$5:$G$120="moeda")+(Inputs!$G$5:$G$120="acoes"))*Inputs!$B$1+((Inputs!$G$5:$G$120&lt;&gt;"moeda")*(Inputs!$G$5:$G$120&lt;&gt;"acoes")))*INDEX(Inputs!$K$5:$AJ$120,0,MATCH(K$2,Inputs!$K$4:$AJ$4,0)))+SUMPRODUCT((Inputs!$C$5:$C$120=$B29)*Inputs!$D$5:$D$120*(((Inputs!$G$5:$G$120="moeda")+(Inputs!$G$5:$G$120="acoes"))*Inputs!$B$1+((Inputs!$G$5:$G$120&lt;&gt;"moeda")*(Inputs!$G$5:$G$120&lt;&gt;"acoes")))*INDEX(Inputs!$K$5:$AJ$120,0,MATCH(K$2,Inputs!$K$4:$AJ$4,0)))+SUMPRODUCT((Inputs!$E$5:$E$120=$B29)*Inputs!$F$5:$F$120*(((Inputs!$G$5:$G$120="moeda")+(Inputs!$G$5:$G$120="acoes"))*Inputs!$B$1+((Inputs!$G$5:$G$120&lt;&gt;"moeda")*(Inputs!$G$5:$G$120&lt;&gt;"acoes")))*INDEX(Inputs!$K$5:$AJ$120,0,MATCH(K$2,Inputs!$K$4:$AJ$4,0)))))</f>
        <v>0</v>
      </c>
      <c r="L29" s="267">
        <f>IF(ISNA(MATCH(L$2,Inputs!$K$4:$AJ$4,0)),NA(),IF(SUMPRODUCT((Inputs!$A$5:$A$120=$B29)*ISNUMBER(INDEX(Inputs!$K$5:$AJ$120,0,MATCH(L$2,Inputs!$K$4:$AJ$4,0))))+SUMPRODUCT((Inputs!$C$5:$C$120=$B29)*ISNUMBER(INDEX(Inputs!$K$5:$AJ$120,0,MATCH(L$2,Inputs!$K$4:$AJ$4,0))))+SUMPRODUCT((Inputs!$E$5:$E$120=$B29)*ISNUMBER(INDEX(Inputs!$K$5:$AJ$120,0,MATCH(L$2,Inputs!$K$4:$AJ$4,0))))=0,NA(),SUMPRODUCT((Inputs!$A$5:$A$120=$B29)*Inputs!$B$5:$B$120*(((Inputs!$G$5:$G$120="moeda")+(Inputs!$G$5:$G$120="acoes"))*Inputs!$B$1+((Inputs!$G$5:$G$120&lt;&gt;"moeda")*(Inputs!$G$5:$G$120&lt;&gt;"acoes")))*INDEX(Inputs!$K$5:$AJ$120,0,MATCH(L$2,Inputs!$K$4:$AJ$4,0)))+SUMPRODUCT((Inputs!$C$5:$C$120=$B29)*Inputs!$D$5:$D$120*(((Inputs!$G$5:$G$120="moeda")+(Inputs!$G$5:$G$120="acoes"))*Inputs!$B$1+((Inputs!$G$5:$G$120&lt;&gt;"moeda")*(Inputs!$G$5:$G$120&lt;&gt;"acoes")))*INDEX(Inputs!$K$5:$AJ$120,0,MATCH(L$2,Inputs!$K$4:$AJ$4,0)))+SUMPRODUCT((Inputs!$E$5:$E$120=$B29)*Inputs!$F$5:$F$120*(((Inputs!$G$5:$G$120="moeda")+(Inputs!$G$5:$G$120="acoes"))*Inputs!$B$1+((Inputs!$G$5:$G$120&lt;&gt;"moeda")*(Inputs!$G$5:$G$120&lt;&gt;"acoes")))*INDEX(Inputs!$K$5:$AJ$120,0,MATCH(L$2,Inputs!$K$4:$AJ$4,0)))))</f>
        <v>0</v>
      </c>
      <c r="M29" s="268">
        <f>L29</f>
        <v>0</v>
      </c>
      <c r="N29" s="267">
        <f>IF(ISNA(MATCH(N$2,Inputs!$K$4:$AJ$4,0)),NA(),IF(SUMPRODUCT((Inputs!$A$5:$A$120=$B29)*ISNUMBER(INDEX(Inputs!$K$5:$AJ$120,0,MATCH(N$2,Inputs!$K$4:$AJ$4,0))))+SUMPRODUCT((Inputs!$C$5:$C$120=$B29)*ISNUMBER(INDEX(Inputs!$K$5:$AJ$120,0,MATCH(N$2,Inputs!$K$4:$AJ$4,0))))+SUMPRODUCT((Inputs!$E$5:$E$120=$B29)*ISNUMBER(INDEX(Inputs!$K$5:$AJ$120,0,MATCH(N$2,Inputs!$K$4:$AJ$4,0))))=0,NA(),SUMPRODUCT((Inputs!$A$5:$A$120=$B29)*Inputs!$B$5:$B$120*(((Inputs!$G$5:$G$120="moeda")+(Inputs!$G$5:$G$120="acoes"))*Inputs!$B$1+((Inputs!$G$5:$G$120&lt;&gt;"moeda")*(Inputs!$G$5:$G$120&lt;&gt;"acoes")))*INDEX(Inputs!$K$5:$AJ$120,0,MATCH(N$2,Inputs!$K$4:$AJ$4,0)))+SUMPRODUCT((Inputs!$C$5:$C$120=$B29)*Inputs!$D$5:$D$120*(((Inputs!$G$5:$G$120="moeda")+(Inputs!$G$5:$G$120="acoes"))*Inputs!$B$1+((Inputs!$G$5:$G$120&lt;&gt;"moeda")*(Inputs!$G$5:$G$120&lt;&gt;"acoes")))*INDEX(Inputs!$K$5:$AJ$120,0,MATCH(N$2,Inputs!$K$4:$AJ$4,0)))+SUMPRODUCT((Inputs!$E$5:$E$120=$B29)*Inputs!$F$5:$F$120*(((Inputs!$G$5:$G$120="moeda")+(Inputs!$G$5:$G$120="acoes"))*Inputs!$B$1+((Inputs!$G$5:$G$120&lt;&gt;"moeda")*(Inputs!$G$5:$G$120&lt;&gt;"acoes")))*INDEX(Inputs!$K$5:$AJ$120,0,MATCH(N$2,Inputs!$K$4:$AJ$4,0)))))</f>
        <v>0</v>
      </c>
      <c r="O29" s="267">
        <f>IF(ISNA(MATCH(O$2,Inputs!$K$4:$AJ$4,0)),NA(),IF(SUMPRODUCT((Inputs!$A$5:$A$120=$B29)*ISNUMBER(INDEX(Inputs!$K$5:$AJ$120,0,MATCH(O$2,Inputs!$K$4:$AJ$4,0))))+SUMPRODUCT((Inputs!$C$5:$C$120=$B29)*ISNUMBER(INDEX(Inputs!$K$5:$AJ$120,0,MATCH(O$2,Inputs!$K$4:$AJ$4,0))))+SUMPRODUCT((Inputs!$E$5:$E$120=$B29)*ISNUMBER(INDEX(Inputs!$K$5:$AJ$120,0,MATCH(O$2,Inputs!$K$4:$AJ$4,0))))=0,NA(),SUMPRODUCT((Inputs!$A$5:$A$120=$B29)*Inputs!$B$5:$B$120*(((Inputs!$G$5:$G$120="moeda")+(Inputs!$G$5:$G$120="acoes"))*Inputs!$B$1+((Inputs!$G$5:$G$120&lt;&gt;"moeda")*(Inputs!$G$5:$G$120&lt;&gt;"acoes")))*INDEX(Inputs!$K$5:$AJ$120,0,MATCH(O$2,Inputs!$K$4:$AJ$4,0)))+SUMPRODUCT((Inputs!$C$5:$C$120=$B29)*Inputs!$D$5:$D$120*(((Inputs!$G$5:$G$120="moeda")+(Inputs!$G$5:$G$120="acoes"))*Inputs!$B$1+((Inputs!$G$5:$G$120&lt;&gt;"moeda")*(Inputs!$G$5:$G$120&lt;&gt;"acoes")))*INDEX(Inputs!$K$5:$AJ$120,0,MATCH(O$2,Inputs!$K$4:$AJ$4,0)))+SUMPRODUCT((Inputs!$E$5:$E$120=$B29)*Inputs!$F$5:$F$120*(((Inputs!$G$5:$G$120="moeda")+(Inputs!$G$5:$G$120="acoes"))*Inputs!$B$1+((Inputs!$G$5:$G$120&lt;&gt;"moeda")*(Inputs!$G$5:$G$120&lt;&gt;"acoes")))*INDEX(Inputs!$K$5:$AJ$120,0,MATCH(O$2,Inputs!$K$4:$AJ$4,0)))))</f>
        <v>0</v>
      </c>
      <c r="P29" s="267">
        <f>IF(ISNA(MATCH(P$2,Inputs!$K$4:$AJ$4,0)),NA(),IF(SUMPRODUCT((Inputs!$A$5:$A$120=$B29)*ISNUMBER(INDEX(Inputs!$K$5:$AJ$120,0,MATCH(P$2,Inputs!$K$4:$AJ$4,0))))+SUMPRODUCT((Inputs!$C$5:$C$120=$B29)*ISNUMBER(INDEX(Inputs!$K$5:$AJ$120,0,MATCH(P$2,Inputs!$K$4:$AJ$4,0))))+SUMPRODUCT((Inputs!$E$5:$E$120=$B29)*ISNUMBER(INDEX(Inputs!$K$5:$AJ$120,0,MATCH(P$2,Inputs!$K$4:$AJ$4,0))))=0,NA(),SUMPRODUCT((Inputs!$A$5:$A$120=$B29)*Inputs!$B$5:$B$120*(((Inputs!$G$5:$G$120="moeda")+(Inputs!$G$5:$G$120="acoes"))*Inputs!$B$1+((Inputs!$G$5:$G$120&lt;&gt;"moeda")*(Inputs!$G$5:$G$120&lt;&gt;"acoes")))*INDEX(Inputs!$K$5:$AJ$120,0,MATCH(P$2,Inputs!$K$4:$AJ$4,0)))+SUMPRODUCT((Inputs!$C$5:$C$120=$B29)*Inputs!$D$5:$D$120*(((Inputs!$G$5:$G$120="moeda")+(Inputs!$G$5:$G$120="acoes"))*Inputs!$B$1+((Inputs!$G$5:$G$120&lt;&gt;"moeda")*(Inputs!$G$5:$G$120&lt;&gt;"acoes")))*INDEX(Inputs!$K$5:$AJ$120,0,MATCH(P$2,Inputs!$K$4:$AJ$4,0)))+SUMPRODUCT((Inputs!$E$5:$E$120=$B29)*Inputs!$F$5:$F$120*(((Inputs!$G$5:$G$120="moeda")+(Inputs!$G$5:$G$120="acoes"))*Inputs!$B$1+((Inputs!$G$5:$G$120&lt;&gt;"moeda")*(Inputs!$G$5:$G$120&lt;&gt;"acoes")))*INDEX(Inputs!$K$5:$AJ$120,0,MATCH(P$2,Inputs!$K$4:$AJ$4,0)))))</f>
        <v>0</v>
      </c>
      <c r="Q29" s="267">
        <f>IF(ISNA(MATCH(Q$2,Inputs!$K$4:$AJ$4,0)),NA(),IF(SUMPRODUCT((Inputs!$A$5:$A$120=$B29)*ISNUMBER(INDEX(Inputs!$K$5:$AJ$120,0,MATCH(Q$2,Inputs!$K$4:$AJ$4,0))))+SUMPRODUCT((Inputs!$C$5:$C$120=$B29)*ISNUMBER(INDEX(Inputs!$K$5:$AJ$120,0,MATCH(Q$2,Inputs!$K$4:$AJ$4,0))))+SUMPRODUCT((Inputs!$E$5:$E$120=$B29)*ISNUMBER(INDEX(Inputs!$K$5:$AJ$120,0,MATCH(Q$2,Inputs!$K$4:$AJ$4,0))))=0,NA(),SUMPRODUCT((Inputs!$A$5:$A$120=$B29)*Inputs!$B$5:$B$120*(((Inputs!$G$5:$G$120="moeda")+(Inputs!$G$5:$G$120="acoes"))*Inputs!$B$1+((Inputs!$G$5:$G$120&lt;&gt;"moeda")*(Inputs!$G$5:$G$120&lt;&gt;"acoes")))*INDEX(Inputs!$K$5:$AJ$120,0,MATCH(Q$2,Inputs!$K$4:$AJ$4,0)))+SUMPRODUCT((Inputs!$C$5:$C$120=$B29)*Inputs!$D$5:$D$120*(((Inputs!$G$5:$G$120="moeda")+(Inputs!$G$5:$G$120="acoes"))*Inputs!$B$1+((Inputs!$G$5:$G$120&lt;&gt;"moeda")*(Inputs!$G$5:$G$120&lt;&gt;"acoes")))*INDEX(Inputs!$K$5:$AJ$120,0,MATCH(Q$2,Inputs!$K$4:$AJ$4,0)))+SUMPRODUCT((Inputs!$E$5:$E$120=$B29)*Inputs!$F$5:$F$120*(((Inputs!$G$5:$G$120="moeda")+(Inputs!$G$5:$G$120="acoes"))*Inputs!$B$1+((Inputs!$G$5:$G$120&lt;&gt;"moeda")*(Inputs!$G$5:$G$120&lt;&gt;"acoes")))*INDEX(Inputs!$K$5:$AJ$120,0,MATCH(Q$2,Inputs!$K$4:$AJ$4,0)))))</f>
        <v>0</v>
      </c>
      <c r="R29" s="268">
        <f>Q29</f>
        <v>0</v>
      </c>
      <c r="S29" s="267">
        <f>IF(ISNA(MATCH(S$2,Inputs!$K$4:$AJ$4,0)),NA(),IF(SUMPRODUCT((Inputs!$A$5:$A$120=$B29)*ISNUMBER(INDEX(Inputs!$K$5:$AJ$120,0,MATCH(S$2,Inputs!$K$4:$AJ$4,0))))+SUMPRODUCT((Inputs!$C$5:$C$120=$B29)*ISNUMBER(INDEX(Inputs!$K$5:$AJ$120,0,MATCH(S$2,Inputs!$K$4:$AJ$4,0))))+SUMPRODUCT((Inputs!$E$5:$E$120=$B29)*ISNUMBER(INDEX(Inputs!$K$5:$AJ$120,0,MATCH(S$2,Inputs!$K$4:$AJ$4,0))))=0,NA(),SUMPRODUCT((Inputs!$A$5:$A$120=$B29)*Inputs!$B$5:$B$120*(((Inputs!$G$5:$G$120="moeda")+(Inputs!$G$5:$G$120="acoes"))*Inputs!$B$1+((Inputs!$G$5:$G$120&lt;&gt;"moeda")*(Inputs!$G$5:$G$120&lt;&gt;"acoes")))*INDEX(Inputs!$K$5:$AJ$120,0,MATCH(S$2,Inputs!$K$4:$AJ$4,0)))+SUMPRODUCT((Inputs!$C$5:$C$120=$B29)*Inputs!$D$5:$D$120*(((Inputs!$G$5:$G$120="moeda")+(Inputs!$G$5:$G$120="acoes"))*Inputs!$B$1+((Inputs!$G$5:$G$120&lt;&gt;"moeda")*(Inputs!$G$5:$G$120&lt;&gt;"acoes")))*INDEX(Inputs!$K$5:$AJ$120,0,MATCH(S$2,Inputs!$K$4:$AJ$4,0)))+SUMPRODUCT((Inputs!$E$5:$E$120=$B29)*Inputs!$F$5:$F$120*(((Inputs!$G$5:$G$120="moeda")+(Inputs!$G$5:$G$120="acoes"))*Inputs!$B$1+((Inputs!$G$5:$G$120&lt;&gt;"moeda")*(Inputs!$G$5:$G$120&lt;&gt;"acoes")))*INDEX(Inputs!$K$5:$AJ$120,0,MATCH(S$2,Inputs!$K$4:$AJ$4,0)))))</f>
        <v>0</v>
      </c>
      <c r="T29" s="267">
        <f>IF(ISNA(MATCH(T$2,Inputs!$K$4:$AJ$4,0)),NA(),IF(SUMPRODUCT((Inputs!$A$5:$A$120=$B29)*ISNUMBER(INDEX(Inputs!$K$5:$AJ$120,0,MATCH(T$2,Inputs!$K$4:$AJ$4,0))))+SUMPRODUCT((Inputs!$C$5:$C$120=$B29)*ISNUMBER(INDEX(Inputs!$K$5:$AJ$120,0,MATCH(T$2,Inputs!$K$4:$AJ$4,0))))+SUMPRODUCT((Inputs!$E$5:$E$120=$B29)*ISNUMBER(INDEX(Inputs!$K$5:$AJ$120,0,MATCH(T$2,Inputs!$K$4:$AJ$4,0))))=0,NA(),SUMPRODUCT((Inputs!$A$5:$A$120=$B29)*Inputs!$B$5:$B$120*(((Inputs!$G$5:$G$120="moeda")+(Inputs!$G$5:$G$120="acoes"))*Inputs!$B$1+((Inputs!$G$5:$G$120&lt;&gt;"moeda")*(Inputs!$G$5:$G$120&lt;&gt;"acoes")))*INDEX(Inputs!$K$5:$AJ$120,0,MATCH(T$2,Inputs!$K$4:$AJ$4,0)))+SUMPRODUCT((Inputs!$C$5:$C$120=$B29)*Inputs!$D$5:$D$120*(((Inputs!$G$5:$G$120="moeda")+(Inputs!$G$5:$G$120="acoes"))*Inputs!$B$1+((Inputs!$G$5:$G$120&lt;&gt;"moeda")*(Inputs!$G$5:$G$120&lt;&gt;"acoes")))*INDEX(Inputs!$K$5:$AJ$120,0,MATCH(T$2,Inputs!$K$4:$AJ$4,0)))+SUMPRODUCT((Inputs!$E$5:$E$120=$B29)*Inputs!$F$5:$F$120*(((Inputs!$G$5:$G$120="moeda")+(Inputs!$G$5:$G$120="acoes"))*Inputs!$B$1+((Inputs!$G$5:$G$120&lt;&gt;"moeda")*(Inputs!$G$5:$G$120&lt;&gt;"acoes")))*INDEX(Inputs!$K$5:$AJ$120,0,MATCH(T$2,Inputs!$K$4:$AJ$4,0)))))</f>
        <v>0</v>
      </c>
      <c r="U29" s="267">
        <f>IF(ISNA(MATCH(U$2,Inputs!$K$4:$AJ$4,0)),NA(),IF(SUMPRODUCT((Inputs!$A$5:$A$120=$B29)*ISNUMBER(INDEX(Inputs!$K$5:$AJ$120,0,MATCH(U$2,Inputs!$K$4:$AJ$4,0))))+SUMPRODUCT((Inputs!$C$5:$C$120=$B29)*ISNUMBER(INDEX(Inputs!$K$5:$AJ$120,0,MATCH(U$2,Inputs!$K$4:$AJ$4,0))))+SUMPRODUCT((Inputs!$E$5:$E$120=$B29)*ISNUMBER(INDEX(Inputs!$K$5:$AJ$120,0,MATCH(U$2,Inputs!$K$4:$AJ$4,0))))=0,NA(),SUMPRODUCT((Inputs!$A$5:$A$120=$B29)*Inputs!$B$5:$B$120*(((Inputs!$G$5:$G$120="moeda")+(Inputs!$G$5:$G$120="acoes"))*Inputs!$B$1+((Inputs!$G$5:$G$120&lt;&gt;"moeda")*(Inputs!$G$5:$G$120&lt;&gt;"acoes")))*INDEX(Inputs!$K$5:$AJ$120,0,MATCH(U$2,Inputs!$K$4:$AJ$4,0)))+SUMPRODUCT((Inputs!$C$5:$C$120=$B29)*Inputs!$D$5:$D$120*(((Inputs!$G$5:$G$120="moeda")+(Inputs!$G$5:$G$120="acoes"))*Inputs!$B$1+((Inputs!$G$5:$G$120&lt;&gt;"moeda")*(Inputs!$G$5:$G$120&lt;&gt;"acoes")))*INDEX(Inputs!$K$5:$AJ$120,0,MATCH(U$2,Inputs!$K$4:$AJ$4,0)))+SUMPRODUCT((Inputs!$E$5:$E$120=$B29)*Inputs!$F$5:$F$120*(((Inputs!$G$5:$G$120="moeda")+(Inputs!$G$5:$G$120="acoes"))*Inputs!$B$1+((Inputs!$G$5:$G$120&lt;&gt;"moeda")*(Inputs!$G$5:$G$120&lt;&gt;"acoes")))*INDEX(Inputs!$K$5:$AJ$120,0,MATCH(U$2,Inputs!$K$4:$AJ$4,0)))))</f>
        <v>0</v>
      </c>
      <c r="V29" s="267">
        <f>IF(ISNA(MATCH(V$2,Inputs!$K$4:$AJ$4,0)),NA(),IF(SUMPRODUCT((Inputs!$A$5:$A$120=$B29)*ISNUMBER(INDEX(Inputs!$K$5:$AJ$120,0,MATCH(V$2,Inputs!$K$4:$AJ$4,0))))+SUMPRODUCT((Inputs!$C$5:$C$120=$B29)*ISNUMBER(INDEX(Inputs!$K$5:$AJ$120,0,MATCH(V$2,Inputs!$K$4:$AJ$4,0))))+SUMPRODUCT((Inputs!$E$5:$E$120=$B29)*ISNUMBER(INDEX(Inputs!$K$5:$AJ$120,0,MATCH(V$2,Inputs!$K$4:$AJ$4,0))))=0,NA(),SUMPRODUCT((Inputs!$A$5:$A$120=$B29)*Inputs!$B$5:$B$120*(((Inputs!$G$5:$G$120="moeda")+(Inputs!$G$5:$G$120="acoes"))*Inputs!$B$1+((Inputs!$G$5:$G$120&lt;&gt;"moeda")*(Inputs!$G$5:$G$120&lt;&gt;"acoes")))*INDEX(Inputs!$K$5:$AJ$120,0,MATCH(V$2,Inputs!$K$4:$AJ$4,0)))+SUMPRODUCT((Inputs!$C$5:$C$120=$B29)*Inputs!$D$5:$D$120*(((Inputs!$G$5:$G$120="moeda")+(Inputs!$G$5:$G$120="acoes"))*Inputs!$B$1+((Inputs!$G$5:$G$120&lt;&gt;"moeda")*(Inputs!$G$5:$G$120&lt;&gt;"acoes")))*INDEX(Inputs!$K$5:$AJ$120,0,MATCH(V$2,Inputs!$K$4:$AJ$4,0)))+SUMPRODUCT((Inputs!$E$5:$E$120=$B29)*Inputs!$F$5:$F$120*(((Inputs!$G$5:$G$120="moeda")+(Inputs!$G$5:$G$120="acoes"))*Inputs!$B$1+((Inputs!$G$5:$G$120&lt;&gt;"moeda")*(Inputs!$G$5:$G$120&lt;&gt;"acoes")))*INDEX(Inputs!$K$5:$AJ$120,0,MATCH(V$2,Inputs!$K$4:$AJ$4,0)))))</f>
        <v>0</v>
      </c>
      <c r="W29" s="268">
        <f>V29</f>
        <v>0</v>
      </c>
      <c r="X29" s="267">
        <f>IF(ISNA(MATCH(X$2,Inputs!$K$4:$AJ$4,0)),NA(),IF(SUMPRODUCT((Inputs!$A$5:$A$120=$B29)*ISNUMBER(INDEX(Inputs!$K$5:$AJ$120,0,MATCH(X$2,Inputs!$K$4:$AJ$4,0))))+SUMPRODUCT((Inputs!$C$5:$C$120=$B29)*ISNUMBER(INDEX(Inputs!$K$5:$AJ$120,0,MATCH(X$2,Inputs!$K$4:$AJ$4,0))))+SUMPRODUCT((Inputs!$E$5:$E$120=$B29)*ISNUMBER(INDEX(Inputs!$K$5:$AJ$120,0,MATCH(X$2,Inputs!$K$4:$AJ$4,0))))=0,NA(),SUMPRODUCT((Inputs!$A$5:$A$120=$B29)*Inputs!$B$5:$B$120*(((Inputs!$G$5:$G$120="moeda")+(Inputs!$G$5:$G$120="acoes"))*Inputs!$B$1+((Inputs!$G$5:$G$120&lt;&gt;"moeda")*(Inputs!$G$5:$G$120&lt;&gt;"acoes")))*INDEX(Inputs!$K$5:$AJ$120,0,MATCH(X$2,Inputs!$K$4:$AJ$4,0)))+SUMPRODUCT((Inputs!$C$5:$C$120=$B29)*Inputs!$D$5:$D$120*(((Inputs!$G$5:$G$120="moeda")+(Inputs!$G$5:$G$120="acoes"))*Inputs!$B$1+((Inputs!$G$5:$G$120&lt;&gt;"moeda")*(Inputs!$G$5:$G$120&lt;&gt;"acoes")))*INDEX(Inputs!$K$5:$AJ$120,0,MATCH(X$2,Inputs!$K$4:$AJ$4,0)))+SUMPRODUCT((Inputs!$E$5:$E$120=$B29)*Inputs!$F$5:$F$120*(((Inputs!$G$5:$G$120="moeda")+(Inputs!$G$5:$G$120="acoes"))*Inputs!$B$1+((Inputs!$G$5:$G$120&lt;&gt;"moeda")*(Inputs!$G$5:$G$120&lt;&gt;"acoes")))*INDEX(Inputs!$K$5:$AJ$120,0,MATCH(X$2,Inputs!$K$4:$AJ$4,0)))))</f>
        <v>0</v>
      </c>
      <c r="Y29" s="267">
        <f>IF(ISNA(MATCH(Y$2,Inputs!$K$4:$AJ$4,0)),NA(),IF(SUMPRODUCT((Inputs!$A$5:$A$120=$B29)*ISNUMBER(INDEX(Inputs!$K$5:$AJ$120,0,MATCH(Y$2,Inputs!$K$4:$AJ$4,0))))+SUMPRODUCT((Inputs!$C$5:$C$120=$B29)*ISNUMBER(INDEX(Inputs!$K$5:$AJ$120,0,MATCH(Y$2,Inputs!$K$4:$AJ$4,0))))+SUMPRODUCT((Inputs!$E$5:$E$120=$B29)*ISNUMBER(INDEX(Inputs!$K$5:$AJ$120,0,MATCH(Y$2,Inputs!$K$4:$AJ$4,0))))=0,NA(),SUMPRODUCT((Inputs!$A$5:$A$120=$B29)*Inputs!$B$5:$B$120*(((Inputs!$G$5:$G$120="moeda")+(Inputs!$G$5:$G$120="acoes"))*Inputs!$B$1+((Inputs!$G$5:$G$120&lt;&gt;"moeda")*(Inputs!$G$5:$G$120&lt;&gt;"acoes")))*INDEX(Inputs!$K$5:$AJ$120,0,MATCH(Y$2,Inputs!$K$4:$AJ$4,0)))+SUMPRODUCT((Inputs!$C$5:$C$120=$B29)*Inputs!$D$5:$D$120*(((Inputs!$G$5:$G$120="moeda")+(Inputs!$G$5:$G$120="acoes"))*Inputs!$B$1+((Inputs!$G$5:$G$120&lt;&gt;"moeda")*(Inputs!$G$5:$G$120&lt;&gt;"acoes")))*INDEX(Inputs!$K$5:$AJ$120,0,MATCH(Y$2,Inputs!$K$4:$AJ$4,0)))+SUMPRODUCT((Inputs!$E$5:$E$120=$B29)*Inputs!$F$5:$F$120*(((Inputs!$G$5:$G$120="moeda")+(Inputs!$G$5:$G$120="acoes"))*Inputs!$B$1+((Inputs!$G$5:$G$120&lt;&gt;"moeda")*(Inputs!$G$5:$G$120&lt;&gt;"acoes")))*INDEX(Inputs!$K$5:$AJ$120,0,MATCH(Y$2,Inputs!$K$4:$AJ$4,0)))))</f>
        <v>0</v>
      </c>
      <c r="Z29" s="267">
        <f>IF(ISNA(MATCH(Z$2,Inputs!$K$4:$AJ$4,0)),NA(),IF(SUMPRODUCT((Inputs!$A$5:$A$120=$B29)*ISNUMBER(INDEX(Inputs!$K$5:$AJ$120,0,MATCH(Z$2,Inputs!$K$4:$AJ$4,0))))+SUMPRODUCT((Inputs!$C$5:$C$120=$B29)*ISNUMBER(INDEX(Inputs!$K$5:$AJ$120,0,MATCH(Z$2,Inputs!$K$4:$AJ$4,0))))+SUMPRODUCT((Inputs!$E$5:$E$120=$B29)*ISNUMBER(INDEX(Inputs!$K$5:$AJ$120,0,MATCH(Z$2,Inputs!$K$4:$AJ$4,0))))=0,NA(),SUMPRODUCT((Inputs!$A$5:$A$120=$B29)*Inputs!$B$5:$B$120*(((Inputs!$G$5:$G$120="moeda")+(Inputs!$G$5:$G$120="acoes"))*Inputs!$B$1+((Inputs!$G$5:$G$120&lt;&gt;"moeda")*(Inputs!$G$5:$G$120&lt;&gt;"acoes")))*INDEX(Inputs!$K$5:$AJ$120,0,MATCH(Z$2,Inputs!$K$4:$AJ$4,0)))+SUMPRODUCT((Inputs!$C$5:$C$120=$B29)*Inputs!$D$5:$D$120*(((Inputs!$G$5:$G$120="moeda")+(Inputs!$G$5:$G$120="acoes"))*Inputs!$B$1+((Inputs!$G$5:$G$120&lt;&gt;"moeda")*(Inputs!$G$5:$G$120&lt;&gt;"acoes")))*INDEX(Inputs!$K$5:$AJ$120,0,MATCH(Z$2,Inputs!$K$4:$AJ$4,0)))+SUMPRODUCT((Inputs!$E$5:$E$120=$B29)*Inputs!$F$5:$F$120*(((Inputs!$G$5:$G$120="moeda")+(Inputs!$G$5:$G$120="acoes"))*Inputs!$B$1+((Inputs!$G$5:$G$120&lt;&gt;"moeda")*(Inputs!$G$5:$G$120&lt;&gt;"acoes")))*INDEX(Inputs!$K$5:$AJ$120,0,MATCH(Z$2,Inputs!$K$4:$AJ$4,0)))))</f>
        <v>0</v>
      </c>
      <c r="AA29" s="267">
        <f>IF(ISNA(MATCH(AA$2,Inputs!$K$4:$AJ$4,0)),NA(),IF(SUMPRODUCT((Inputs!$A$5:$A$120=$B29)*ISNUMBER(INDEX(Inputs!$K$5:$AJ$120,0,MATCH(AA$2,Inputs!$K$4:$AJ$4,0))))+SUMPRODUCT((Inputs!$C$5:$C$120=$B29)*ISNUMBER(INDEX(Inputs!$K$5:$AJ$120,0,MATCH(AA$2,Inputs!$K$4:$AJ$4,0))))+SUMPRODUCT((Inputs!$E$5:$E$120=$B29)*ISNUMBER(INDEX(Inputs!$K$5:$AJ$120,0,MATCH(AA$2,Inputs!$K$4:$AJ$4,0))))=0,NA(),SUMPRODUCT((Inputs!$A$5:$A$120=$B29)*Inputs!$B$5:$B$120*(((Inputs!$G$5:$G$120="moeda")+(Inputs!$G$5:$G$120="acoes"))*Inputs!$B$1+((Inputs!$G$5:$G$120&lt;&gt;"moeda")*(Inputs!$G$5:$G$120&lt;&gt;"acoes")))*INDEX(Inputs!$K$5:$AJ$120,0,MATCH(AA$2,Inputs!$K$4:$AJ$4,0)))+SUMPRODUCT((Inputs!$C$5:$C$120=$B29)*Inputs!$D$5:$D$120*(((Inputs!$G$5:$G$120="moeda")+(Inputs!$G$5:$G$120="acoes"))*Inputs!$B$1+((Inputs!$G$5:$G$120&lt;&gt;"moeda")*(Inputs!$G$5:$G$120&lt;&gt;"acoes")))*INDEX(Inputs!$K$5:$AJ$120,0,MATCH(AA$2,Inputs!$K$4:$AJ$4,0)))+SUMPRODUCT((Inputs!$E$5:$E$120=$B29)*Inputs!$F$5:$F$120*(((Inputs!$G$5:$G$120="moeda")+(Inputs!$G$5:$G$120="acoes"))*Inputs!$B$1+((Inputs!$G$5:$G$120&lt;&gt;"moeda")*(Inputs!$G$5:$G$120&lt;&gt;"acoes")))*INDEX(Inputs!$K$5:$AJ$120,0,MATCH(AA$2,Inputs!$K$4:$AJ$4,0)))))</f>
        <v>0</v>
      </c>
      <c r="AB29" s="268">
        <f>AA29</f>
        <v>0</v>
      </c>
      <c r="AC29" s="267">
        <f>IF(ISNA(MATCH(AC$2,Inputs!$K$4:$AJ$4,0)),NA(),IF(SUMPRODUCT((Inputs!$A$5:$A$120=$B29)*ISNUMBER(INDEX(Inputs!$K$5:$AJ$120,0,MATCH(AC$2,Inputs!$K$4:$AJ$4,0))))+SUMPRODUCT((Inputs!$C$5:$C$120=$B29)*ISNUMBER(INDEX(Inputs!$K$5:$AJ$120,0,MATCH(AC$2,Inputs!$K$4:$AJ$4,0))))+SUMPRODUCT((Inputs!$E$5:$E$120=$B29)*ISNUMBER(INDEX(Inputs!$K$5:$AJ$120,0,MATCH(AC$2,Inputs!$K$4:$AJ$4,0))))=0,NA(),SUMPRODUCT((Inputs!$A$5:$A$120=$B29)*Inputs!$B$5:$B$120*(((Inputs!$G$5:$G$120="moeda")+(Inputs!$G$5:$G$120="acoes"))*Inputs!$B$1+((Inputs!$G$5:$G$120&lt;&gt;"moeda")*(Inputs!$G$5:$G$120&lt;&gt;"acoes")))*INDEX(Inputs!$K$5:$AJ$120,0,MATCH(AC$2,Inputs!$K$4:$AJ$4,0)))+SUMPRODUCT((Inputs!$C$5:$C$120=$B29)*Inputs!$D$5:$D$120*(((Inputs!$G$5:$G$120="moeda")+(Inputs!$G$5:$G$120="acoes"))*Inputs!$B$1+((Inputs!$G$5:$G$120&lt;&gt;"moeda")*(Inputs!$G$5:$G$120&lt;&gt;"acoes")))*INDEX(Inputs!$K$5:$AJ$120,0,MATCH(AC$2,Inputs!$K$4:$AJ$4,0)))+SUMPRODUCT((Inputs!$E$5:$E$120=$B29)*Inputs!$F$5:$F$120*(((Inputs!$G$5:$G$120="moeda")+(Inputs!$G$5:$G$120="acoes"))*Inputs!$B$1+((Inputs!$G$5:$G$120&lt;&gt;"moeda")*(Inputs!$G$5:$G$120&lt;&gt;"acoes")))*INDEX(Inputs!$K$5:$AJ$120,0,MATCH(AC$2,Inputs!$K$4:$AJ$4,0)))))</f>
        <v>0</v>
      </c>
      <c r="AD29" s="267">
        <f>IF(ISNA(MATCH(AD$2,Inputs!$K$4:$AJ$4,0)),NA(),IF(SUMPRODUCT((Inputs!$A$5:$A$120=$B29)*ISNUMBER(INDEX(Inputs!$K$5:$AJ$120,0,MATCH(AD$2,Inputs!$K$4:$AJ$4,0))))+SUMPRODUCT((Inputs!$C$5:$C$120=$B29)*ISNUMBER(INDEX(Inputs!$K$5:$AJ$120,0,MATCH(AD$2,Inputs!$K$4:$AJ$4,0))))+SUMPRODUCT((Inputs!$E$5:$E$120=$B29)*ISNUMBER(INDEX(Inputs!$K$5:$AJ$120,0,MATCH(AD$2,Inputs!$K$4:$AJ$4,0))))=0,NA(),SUMPRODUCT((Inputs!$A$5:$A$120=$B29)*Inputs!$B$5:$B$120*(((Inputs!$G$5:$G$120="moeda")+(Inputs!$G$5:$G$120="acoes"))*Inputs!$B$1+((Inputs!$G$5:$G$120&lt;&gt;"moeda")*(Inputs!$G$5:$G$120&lt;&gt;"acoes")))*INDEX(Inputs!$K$5:$AJ$120,0,MATCH(AD$2,Inputs!$K$4:$AJ$4,0)))+SUMPRODUCT((Inputs!$C$5:$C$120=$B29)*Inputs!$D$5:$D$120*(((Inputs!$G$5:$G$120="moeda")+(Inputs!$G$5:$G$120="acoes"))*Inputs!$B$1+((Inputs!$G$5:$G$120&lt;&gt;"moeda")*(Inputs!$G$5:$G$120&lt;&gt;"acoes")))*INDEX(Inputs!$K$5:$AJ$120,0,MATCH(AD$2,Inputs!$K$4:$AJ$4,0)))+SUMPRODUCT((Inputs!$E$5:$E$120=$B29)*Inputs!$F$5:$F$120*(((Inputs!$G$5:$G$120="moeda")+(Inputs!$G$5:$G$120="acoes"))*Inputs!$B$1+((Inputs!$G$5:$G$120&lt;&gt;"moeda")*(Inputs!$G$5:$G$120&lt;&gt;"acoes")))*INDEX(Inputs!$K$5:$AJ$120,0,MATCH(AD$2,Inputs!$K$4:$AJ$4,0)))))</f>
        <v>0</v>
      </c>
      <c r="AE29" s="267" t="e">
        <f>IF(ISNA(MATCH(AE$2,Inputs!$K$4:$AJ$4,0)),NA(),IF(SUMPRODUCT((Inputs!$A$5:$A$120=$B29)*ISNUMBER(INDEX(Inputs!$K$5:$AJ$120,0,MATCH(AE$2,Inputs!$K$4:$AJ$4,0))))+SUMPRODUCT((Inputs!$C$5:$C$120=$B29)*ISNUMBER(INDEX(Inputs!$K$5:$AJ$120,0,MATCH(AE$2,Inputs!$K$4:$AJ$4,0))))+SUMPRODUCT((Inputs!$E$5:$E$120=$B29)*ISNUMBER(INDEX(Inputs!$K$5:$AJ$120,0,MATCH(AE$2,Inputs!$K$4:$AJ$4,0))))=0,NA(),SUMPRODUCT((Inputs!$A$5:$A$120=$B29)*Inputs!$B$5:$B$120*(((Inputs!$G$5:$G$120="moeda")+(Inputs!$G$5:$G$120="acoes"))*Inputs!$B$1+((Inputs!$G$5:$G$120&lt;&gt;"moeda")*(Inputs!$G$5:$G$120&lt;&gt;"acoes")))*INDEX(Inputs!$K$5:$AJ$120,0,MATCH(AE$2,Inputs!$K$4:$AJ$4,0)))+SUMPRODUCT((Inputs!$C$5:$C$120=$B29)*Inputs!$D$5:$D$120*(((Inputs!$G$5:$G$120="moeda")+(Inputs!$G$5:$G$120="acoes"))*Inputs!$B$1+((Inputs!$G$5:$G$120&lt;&gt;"moeda")*(Inputs!$G$5:$G$120&lt;&gt;"acoes")))*INDEX(Inputs!$K$5:$AJ$120,0,MATCH(AE$2,Inputs!$K$4:$AJ$4,0)))+SUMPRODUCT((Inputs!$E$5:$E$120=$B29)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29" s="267" t="e">
        <f>IF(ISNA(MATCH(AF$2,Inputs!$K$4:$AJ$4,0)),NA(),IF(SUMPRODUCT((Inputs!$A$5:$A$120=$B29)*ISNUMBER(INDEX(Inputs!$K$5:$AJ$120,0,MATCH(AF$2,Inputs!$K$4:$AJ$4,0))))+SUMPRODUCT((Inputs!$C$5:$C$120=$B29)*ISNUMBER(INDEX(Inputs!$K$5:$AJ$120,0,MATCH(AF$2,Inputs!$K$4:$AJ$4,0))))+SUMPRODUCT((Inputs!$E$5:$E$120=$B29)*ISNUMBER(INDEX(Inputs!$K$5:$AJ$120,0,MATCH(AF$2,Inputs!$K$4:$AJ$4,0))))=0,NA(),SUMPRODUCT((Inputs!$A$5:$A$120=$B29)*Inputs!$B$5:$B$120*(((Inputs!$G$5:$G$120="moeda")+(Inputs!$G$5:$G$120="acoes"))*Inputs!$B$1+((Inputs!$G$5:$G$120&lt;&gt;"moeda")*(Inputs!$G$5:$G$120&lt;&gt;"acoes")))*INDEX(Inputs!$K$5:$AJ$120,0,MATCH(AF$2,Inputs!$K$4:$AJ$4,0)))+SUMPRODUCT((Inputs!$C$5:$C$120=$B29)*Inputs!$D$5:$D$120*(((Inputs!$G$5:$G$120="moeda")+(Inputs!$G$5:$G$120="acoes"))*Inputs!$B$1+((Inputs!$G$5:$G$120&lt;&gt;"moeda")*(Inputs!$G$5:$G$120&lt;&gt;"acoes")))*INDEX(Inputs!$K$5:$AJ$120,0,MATCH(AF$2,Inputs!$K$4:$AJ$4,0)))+SUMPRODUCT((Inputs!$E$5:$E$120=$B29)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29" s="268" t="e">
        <f>AF29</f>
        <v>#N/A</v>
      </c>
      <c r="AH29" s="267">
        <f>IF(ISNA(MATCH(AH$2,Inputs!$K$4:$AJ$4,0)),NA(),IF(SUMPRODUCT((Inputs!$A$5:$A$120=$B29)*ISNUMBER(INDEX(Inputs!$K$5:$AJ$120,0,MATCH(AH$2,Inputs!$K$4:$AJ$4,0))))+SUMPRODUCT((Inputs!$C$5:$C$120=$B29)*ISNUMBER(INDEX(Inputs!$K$5:$AJ$120,0,MATCH(AH$2,Inputs!$K$4:$AJ$4,0))))+SUMPRODUCT((Inputs!$E$5:$E$120=$B29)*ISNUMBER(INDEX(Inputs!$K$5:$AJ$120,0,MATCH(AH$2,Inputs!$K$4:$AJ$4,0))))=0,NA(),SUMPRODUCT((Inputs!$A$5:$A$120=$B29)*Inputs!$B$5:$B$120*(((Inputs!$G$5:$G$120="moeda")+(Inputs!$G$5:$G$120="acoes"))*Inputs!$B$1+((Inputs!$G$5:$G$120&lt;&gt;"moeda")*(Inputs!$G$5:$G$120&lt;&gt;"acoes")))*INDEX(Inputs!$K$5:$AJ$120,0,MATCH(AH$2,Inputs!$K$4:$AJ$4,0)))+SUMPRODUCT((Inputs!$C$5:$C$120=$B29)*Inputs!$D$5:$D$120*(((Inputs!$G$5:$G$120="moeda")+(Inputs!$G$5:$G$120="acoes"))*Inputs!$B$1+((Inputs!$G$5:$G$120&lt;&gt;"moeda")*(Inputs!$G$5:$G$120&lt;&gt;"acoes")))*INDEX(Inputs!$K$5:$AJ$120,0,MATCH(AH$2,Inputs!$K$4:$AJ$4,0)))+SUMPRODUCT((Inputs!$E$5:$E$120=$B29)*Inputs!$F$5:$F$120*(((Inputs!$G$5:$G$120="moeda")+(Inputs!$G$5:$G$120="acoes"))*Inputs!$B$1+((Inputs!$G$5:$G$120&lt;&gt;"moeda")*(Inputs!$G$5:$G$120&lt;&gt;"acoes")))*INDEX(Inputs!$K$5:$AJ$120,0,MATCH(AH$2,Inputs!$K$4:$AJ$4,0)))))</f>
        <v>0</v>
      </c>
      <c r="AI29" s="267">
        <f>IF(ISNA(MATCH(AI$2,Inputs!$K$4:$AJ$4,0)),NA(),IF(SUMPRODUCT((Inputs!$A$5:$A$120=$B29)*ISNUMBER(INDEX(Inputs!$K$5:$AJ$120,0,MATCH(AI$2,Inputs!$K$4:$AJ$4,0))))+SUMPRODUCT((Inputs!$C$5:$C$120=$B29)*ISNUMBER(INDEX(Inputs!$K$5:$AJ$120,0,MATCH(AI$2,Inputs!$K$4:$AJ$4,0))))+SUMPRODUCT((Inputs!$E$5:$E$120=$B29)*ISNUMBER(INDEX(Inputs!$K$5:$AJ$120,0,MATCH(AI$2,Inputs!$K$4:$AJ$4,0))))=0,NA(),SUMPRODUCT((Inputs!$A$5:$A$120=$B29)*Inputs!$B$5:$B$120*(((Inputs!$G$5:$G$120="moeda")+(Inputs!$G$5:$G$120="acoes"))*Inputs!$B$1+((Inputs!$G$5:$G$120&lt;&gt;"moeda")*(Inputs!$G$5:$G$120&lt;&gt;"acoes")))*INDEX(Inputs!$K$5:$AJ$120,0,MATCH(AI$2,Inputs!$K$4:$AJ$4,0)))+SUMPRODUCT((Inputs!$C$5:$C$120=$B29)*Inputs!$D$5:$D$120*(((Inputs!$G$5:$G$120="moeda")+(Inputs!$G$5:$G$120="acoes"))*Inputs!$B$1+((Inputs!$G$5:$G$120&lt;&gt;"moeda")*(Inputs!$G$5:$G$120&lt;&gt;"acoes")))*INDEX(Inputs!$K$5:$AJ$120,0,MATCH(AI$2,Inputs!$K$4:$AJ$4,0)))+SUMPRODUCT((Inputs!$E$5:$E$120=$B29)*Inputs!$F$5:$F$120*(((Inputs!$G$5:$G$120="moeda")+(Inputs!$G$5:$G$120="acoes"))*Inputs!$B$1+((Inputs!$G$5:$G$120&lt;&gt;"moeda")*(Inputs!$G$5:$G$120&lt;&gt;"acoes")))*INDEX(Inputs!$K$5:$AJ$120,0,MATCH(AI$2,Inputs!$K$4:$AJ$4,0)))))</f>
        <v>0</v>
      </c>
      <c r="AJ29" s="267">
        <f>IF(ISNA(MATCH(AJ$2,Inputs!$K$4:$AJ$4,0)),NA(),IF(SUMPRODUCT((Inputs!$A$5:$A$120=$B29)*ISNUMBER(INDEX(Inputs!$K$5:$AJ$120,0,MATCH(AJ$2,Inputs!$K$4:$AJ$4,0))))+SUMPRODUCT((Inputs!$C$5:$C$120=$B29)*ISNUMBER(INDEX(Inputs!$K$5:$AJ$120,0,MATCH(AJ$2,Inputs!$K$4:$AJ$4,0))))+SUMPRODUCT((Inputs!$E$5:$E$120=$B29)*ISNUMBER(INDEX(Inputs!$K$5:$AJ$120,0,MATCH(AJ$2,Inputs!$K$4:$AJ$4,0))))=0,NA(),SUMPRODUCT((Inputs!$A$5:$A$120=$B29)*Inputs!$B$5:$B$120*(((Inputs!$G$5:$G$120="moeda")+(Inputs!$G$5:$G$120="acoes"))*Inputs!$B$1+((Inputs!$G$5:$G$120&lt;&gt;"moeda")*(Inputs!$G$5:$G$120&lt;&gt;"acoes")))*INDEX(Inputs!$K$5:$AJ$120,0,MATCH(AJ$2,Inputs!$K$4:$AJ$4,0)))+SUMPRODUCT((Inputs!$C$5:$C$120=$B29)*Inputs!$D$5:$D$120*(((Inputs!$G$5:$G$120="moeda")+(Inputs!$G$5:$G$120="acoes"))*Inputs!$B$1+((Inputs!$G$5:$G$120&lt;&gt;"moeda")*(Inputs!$G$5:$G$120&lt;&gt;"acoes")))*INDEX(Inputs!$K$5:$AJ$120,0,MATCH(AJ$2,Inputs!$K$4:$AJ$4,0)))+SUMPRODUCT((Inputs!$E$5:$E$120=$B29)*Inputs!$F$5:$F$120*(((Inputs!$G$5:$G$120="moeda")+(Inputs!$G$5:$G$120="acoes"))*Inputs!$B$1+((Inputs!$G$5:$G$120&lt;&gt;"moeda")*(Inputs!$G$5:$G$120&lt;&gt;"acoes")))*INDEX(Inputs!$K$5:$AJ$120,0,MATCH(AJ$2,Inputs!$K$4:$AJ$4,0)))))</f>
        <v>0</v>
      </c>
      <c r="AK29" s="267">
        <f>IF(ISNA(MATCH(AK$2,Inputs!$K$4:$AJ$4,0)),NA(),IF(SUMPRODUCT((Inputs!$A$5:$A$120=$B29)*ISNUMBER(INDEX(Inputs!$K$5:$AJ$120,0,MATCH(AK$2,Inputs!$K$4:$AJ$4,0))))+SUMPRODUCT((Inputs!$C$5:$C$120=$B29)*ISNUMBER(INDEX(Inputs!$K$5:$AJ$120,0,MATCH(AK$2,Inputs!$K$4:$AJ$4,0))))+SUMPRODUCT((Inputs!$E$5:$E$120=$B29)*ISNUMBER(INDEX(Inputs!$K$5:$AJ$120,0,MATCH(AK$2,Inputs!$K$4:$AJ$4,0))))=0,NA(),SUMPRODUCT((Inputs!$A$5:$A$120=$B29)*Inputs!$B$5:$B$120*(((Inputs!$G$5:$G$120="moeda")+(Inputs!$G$5:$G$120="acoes"))*Inputs!$B$1+((Inputs!$G$5:$G$120&lt;&gt;"moeda")*(Inputs!$G$5:$G$120&lt;&gt;"acoes")))*INDEX(Inputs!$K$5:$AJ$120,0,MATCH(AK$2,Inputs!$K$4:$AJ$4,0)))+SUMPRODUCT((Inputs!$C$5:$C$120=$B29)*Inputs!$D$5:$D$120*(((Inputs!$G$5:$G$120="moeda")+(Inputs!$G$5:$G$120="acoes"))*Inputs!$B$1+((Inputs!$G$5:$G$120&lt;&gt;"moeda")*(Inputs!$G$5:$G$120&lt;&gt;"acoes")))*INDEX(Inputs!$K$5:$AJ$120,0,MATCH(AK$2,Inputs!$K$4:$AJ$4,0)))+SUMPRODUCT((Inputs!$E$5:$E$120=$B29)*Inputs!$F$5:$F$120*(((Inputs!$G$5:$G$120="moeda")+(Inputs!$G$5:$G$120="acoes"))*Inputs!$B$1+((Inputs!$G$5:$G$120&lt;&gt;"moeda")*(Inputs!$G$5:$G$120&lt;&gt;"acoes")))*INDEX(Inputs!$K$5:$AJ$120,0,MATCH(AK$2,Inputs!$K$4:$AJ$4,0)))))</f>
        <v>0</v>
      </c>
      <c r="AL29" s="268">
        <f>AK29</f>
        <v>0</v>
      </c>
    </row>
    <row r="30" ht="12.75" customHeight="1" s="255">
      <c r="B30" s="265" t="n">
        <v>25</v>
      </c>
      <c r="C30" s="270" t="inlineStr">
        <is>
          <t>Taxes payable</t>
        </is>
      </c>
      <c r="D30" s="267">
        <f>IF(ISNA(MATCH(D$2,Inputs!$K$4:$AJ$4,0)),NA(),IF(SUMPRODUCT((Inputs!$A$5:$A$120=$B30)*ISNUMBER(INDEX(Inputs!$K$5:$AJ$120,0,MATCH(D$2,Inputs!$K$4:$AJ$4,0))))+SUMPRODUCT((Inputs!$C$5:$C$120=$B30)*ISNUMBER(INDEX(Inputs!$K$5:$AJ$120,0,MATCH(D$2,Inputs!$K$4:$AJ$4,0))))+SUMPRODUCT((Inputs!$E$5:$E$120=$B30)*ISNUMBER(INDEX(Inputs!$K$5:$AJ$120,0,MATCH(D$2,Inputs!$K$4:$AJ$4,0))))=0,NA(),SUMPRODUCT((Inputs!$A$5:$A$120=$B30)*Inputs!$B$5:$B$120*(((Inputs!$G$5:$G$120="moeda")+(Inputs!$G$5:$G$120="acoes"))*Inputs!$B$1+((Inputs!$G$5:$G$120&lt;&gt;"moeda")*(Inputs!$G$5:$G$120&lt;&gt;"acoes")))*INDEX(Inputs!$K$5:$AJ$120,0,MATCH(D$2,Inputs!$K$4:$AJ$4,0)))+SUMPRODUCT((Inputs!$C$5:$C$120=$B30)*Inputs!$D$5:$D$120*(((Inputs!$G$5:$G$120="moeda")+(Inputs!$G$5:$G$120="acoes"))*Inputs!$B$1+((Inputs!$G$5:$G$120&lt;&gt;"moeda")*(Inputs!$G$5:$G$120&lt;&gt;"acoes")))*INDEX(Inputs!$K$5:$AJ$120,0,MATCH(D$2,Inputs!$K$4:$AJ$4,0)))+SUMPRODUCT((Inputs!$E$5:$E$120=$B30)*Inputs!$F$5:$F$120*(((Inputs!$G$5:$G$120="moeda")+(Inputs!$G$5:$G$120="acoes"))*Inputs!$B$1+((Inputs!$G$5:$G$120&lt;&gt;"moeda")*(Inputs!$G$5:$G$120&lt;&gt;"acoes")))*INDEX(Inputs!$K$5:$AJ$120,0,MATCH(D$2,Inputs!$K$4:$AJ$4,0)))))</f>
        <v>0</v>
      </c>
      <c r="E30" s="267">
        <f>IF(ISNA(MATCH(E$2,Inputs!$K$4:$AJ$4,0)),NA(),IF(SUMPRODUCT((Inputs!$A$5:$A$120=$B30)*ISNUMBER(INDEX(Inputs!$K$5:$AJ$120,0,MATCH(E$2,Inputs!$K$4:$AJ$4,0))))+SUMPRODUCT((Inputs!$C$5:$C$120=$B30)*ISNUMBER(INDEX(Inputs!$K$5:$AJ$120,0,MATCH(E$2,Inputs!$K$4:$AJ$4,0))))+SUMPRODUCT((Inputs!$E$5:$E$120=$B30)*ISNUMBER(INDEX(Inputs!$K$5:$AJ$120,0,MATCH(E$2,Inputs!$K$4:$AJ$4,0))))=0,NA(),SUMPRODUCT((Inputs!$A$5:$A$120=$B30)*Inputs!$B$5:$B$120*(((Inputs!$G$5:$G$120="moeda")+(Inputs!$G$5:$G$120="acoes"))*Inputs!$B$1+((Inputs!$G$5:$G$120&lt;&gt;"moeda")*(Inputs!$G$5:$G$120&lt;&gt;"acoes")))*INDEX(Inputs!$K$5:$AJ$120,0,MATCH(E$2,Inputs!$K$4:$AJ$4,0)))+SUMPRODUCT((Inputs!$C$5:$C$120=$B30)*Inputs!$D$5:$D$120*(((Inputs!$G$5:$G$120="moeda")+(Inputs!$G$5:$G$120="acoes"))*Inputs!$B$1+((Inputs!$G$5:$G$120&lt;&gt;"moeda")*(Inputs!$G$5:$G$120&lt;&gt;"acoes")))*INDEX(Inputs!$K$5:$AJ$120,0,MATCH(E$2,Inputs!$K$4:$AJ$4,0)))+SUMPRODUCT((Inputs!$E$5:$E$120=$B30)*Inputs!$F$5:$F$120*(((Inputs!$G$5:$G$120="moeda")+(Inputs!$G$5:$G$120="acoes"))*Inputs!$B$1+((Inputs!$G$5:$G$120&lt;&gt;"moeda")*(Inputs!$G$5:$G$120&lt;&gt;"acoes")))*INDEX(Inputs!$K$5:$AJ$120,0,MATCH(E$2,Inputs!$K$4:$AJ$4,0)))))</f>
        <v>0</v>
      </c>
      <c r="F30" s="267">
        <f>IF(ISNA(MATCH(F$2,Inputs!$K$4:$AJ$4,0)),NA(),IF(SUMPRODUCT((Inputs!$A$5:$A$120=$B30)*ISNUMBER(INDEX(Inputs!$K$5:$AJ$120,0,MATCH(F$2,Inputs!$K$4:$AJ$4,0))))+SUMPRODUCT((Inputs!$C$5:$C$120=$B30)*ISNUMBER(INDEX(Inputs!$K$5:$AJ$120,0,MATCH(F$2,Inputs!$K$4:$AJ$4,0))))+SUMPRODUCT((Inputs!$E$5:$E$120=$B30)*ISNUMBER(INDEX(Inputs!$K$5:$AJ$120,0,MATCH(F$2,Inputs!$K$4:$AJ$4,0))))=0,NA(),SUMPRODUCT((Inputs!$A$5:$A$120=$B30)*Inputs!$B$5:$B$120*(((Inputs!$G$5:$G$120="moeda")+(Inputs!$G$5:$G$120="acoes"))*Inputs!$B$1+((Inputs!$G$5:$G$120&lt;&gt;"moeda")*(Inputs!$G$5:$G$120&lt;&gt;"acoes")))*INDEX(Inputs!$K$5:$AJ$120,0,MATCH(F$2,Inputs!$K$4:$AJ$4,0)))+SUMPRODUCT((Inputs!$C$5:$C$120=$B30)*Inputs!$D$5:$D$120*(((Inputs!$G$5:$G$120="moeda")+(Inputs!$G$5:$G$120="acoes"))*Inputs!$B$1+((Inputs!$G$5:$G$120&lt;&gt;"moeda")*(Inputs!$G$5:$G$120&lt;&gt;"acoes")))*INDEX(Inputs!$K$5:$AJ$120,0,MATCH(F$2,Inputs!$K$4:$AJ$4,0)))+SUMPRODUCT((Inputs!$E$5:$E$120=$B30)*Inputs!$F$5:$F$120*(((Inputs!$G$5:$G$120="moeda")+(Inputs!$G$5:$G$120="acoes"))*Inputs!$B$1+((Inputs!$G$5:$G$120&lt;&gt;"moeda")*(Inputs!$G$5:$G$120&lt;&gt;"acoes")))*INDEX(Inputs!$K$5:$AJ$120,0,MATCH(F$2,Inputs!$K$4:$AJ$4,0)))))</f>
        <v>0</v>
      </c>
      <c r="G30" s="267">
        <f>IF(ISNA(MATCH(G$2,Inputs!$K$4:$AJ$4,0)),NA(),IF(SUMPRODUCT((Inputs!$A$5:$A$120=$B30)*ISNUMBER(INDEX(Inputs!$K$5:$AJ$120,0,MATCH(G$2,Inputs!$K$4:$AJ$4,0))))+SUMPRODUCT((Inputs!$C$5:$C$120=$B30)*ISNUMBER(INDEX(Inputs!$K$5:$AJ$120,0,MATCH(G$2,Inputs!$K$4:$AJ$4,0))))+SUMPRODUCT((Inputs!$E$5:$E$120=$B30)*ISNUMBER(INDEX(Inputs!$K$5:$AJ$120,0,MATCH(G$2,Inputs!$K$4:$AJ$4,0))))=0,NA(),SUMPRODUCT((Inputs!$A$5:$A$120=$B30)*Inputs!$B$5:$B$120*(((Inputs!$G$5:$G$120="moeda")+(Inputs!$G$5:$G$120="acoes"))*Inputs!$B$1+((Inputs!$G$5:$G$120&lt;&gt;"moeda")*(Inputs!$G$5:$G$120&lt;&gt;"acoes")))*INDEX(Inputs!$K$5:$AJ$120,0,MATCH(G$2,Inputs!$K$4:$AJ$4,0)))+SUMPRODUCT((Inputs!$C$5:$C$120=$B30)*Inputs!$D$5:$D$120*(((Inputs!$G$5:$G$120="moeda")+(Inputs!$G$5:$G$120="acoes"))*Inputs!$B$1+((Inputs!$G$5:$G$120&lt;&gt;"moeda")*(Inputs!$G$5:$G$120&lt;&gt;"acoes")))*INDEX(Inputs!$K$5:$AJ$120,0,MATCH(G$2,Inputs!$K$4:$AJ$4,0)))+SUMPRODUCT((Inputs!$E$5:$E$120=$B30)*Inputs!$F$5:$F$120*(((Inputs!$G$5:$G$120="moeda")+(Inputs!$G$5:$G$120="acoes"))*Inputs!$B$1+((Inputs!$G$5:$G$120&lt;&gt;"moeda")*(Inputs!$G$5:$G$120&lt;&gt;"acoes")))*INDEX(Inputs!$K$5:$AJ$120,0,MATCH(G$2,Inputs!$K$4:$AJ$4,0)))))</f>
        <v>0</v>
      </c>
      <c r="H30" s="268">
        <f>G30</f>
        <v>0</v>
      </c>
      <c r="I30" s="267">
        <f>IF(ISNA(MATCH(I$2,Inputs!$K$4:$AJ$4,0)),NA(),IF(SUMPRODUCT((Inputs!$A$5:$A$120=$B30)*ISNUMBER(INDEX(Inputs!$K$5:$AJ$120,0,MATCH(I$2,Inputs!$K$4:$AJ$4,0))))+SUMPRODUCT((Inputs!$C$5:$C$120=$B30)*ISNUMBER(INDEX(Inputs!$K$5:$AJ$120,0,MATCH(I$2,Inputs!$K$4:$AJ$4,0))))+SUMPRODUCT((Inputs!$E$5:$E$120=$B30)*ISNUMBER(INDEX(Inputs!$K$5:$AJ$120,0,MATCH(I$2,Inputs!$K$4:$AJ$4,0))))=0,NA(),SUMPRODUCT((Inputs!$A$5:$A$120=$B30)*Inputs!$B$5:$B$120*(((Inputs!$G$5:$G$120="moeda")+(Inputs!$G$5:$G$120="acoes"))*Inputs!$B$1+((Inputs!$G$5:$G$120&lt;&gt;"moeda")*(Inputs!$G$5:$G$120&lt;&gt;"acoes")))*INDEX(Inputs!$K$5:$AJ$120,0,MATCH(I$2,Inputs!$K$4:$AJ$4,0)))+SUMPRODUCT((Inputs!$C$5:$C$120=$B30)*Inputs!$D$5:$D$120*(((Inputs!$G$5:$G$120="moeda")+(Inputs!$G$5:$G$120="acoes"))*Inputs!$B$1+((Inputs!$G$5:$G$120&lt;&gt;"moeda")*(Inputs!$G$5:$G$120&lt;&gt;"acoes")))*INDEX(Inputs!$K$5:$AJ$120,0,MATCH(I$2,Inputs!$K$4:$AJ$4,0)))+SUMPRODUCT((Inputs!$E$5:$E$120=$B30)*Inputs!$F$5:$F$120*(((Inputs!$G$5:$G$120="moeda")+(Inputs!$G$5:$G$120="acoes"))*Inputs!$B$1+((Inputs!$G$5:$G$120&lt;&gt;"moeda")*(Inputs!$G$5:$G$120&lt;&gt;"acoes")))*INDEX(Inputs!$K$5:$AJ$120,0,MATCH(I$2,Inputs!$K$4:$AJ$4,0)))))</f>
        <v>0</v>
      </c>
      <c r="J30" s="267">
        <f>IF(ISNA(MATCH(J$2,Inputs!$K$4:$AJ$4,0)),NA(),IF(SUMPRODUCT((Inputs!$A$5:$A$120=$B30)*ISNUMBER(INDEX(Inputs!$K$5:$AJ$120,0,MATCH(J$2,Inputs!$K$4:$AJ$4,0))))+SUMPRODUCT((Inputs!$C$5:$C$120=$B30)*ISNUMBER(INDEX(Inputs!$K$5:$AJ$120,0,MATCH(J$2,Inputs!$K$4:$AJ$4,0))))+SUMPRODUCT((Inputs!$E$5:$E$120=$B30)*ISNUMBER(INDEX(Inputs!$K$5:$AJ$120,0,MATCH(J$2,Inputs!$K$4:$AJ$4,0))))=0,NA(),SUMPRODUCT((Inputs!$A$5:$A$120=$B30)*Inputs!$B$5:$B$120*(((Inputs!$G$5:$G$120="moeda")+(Inputs!$G$5:$G$120="acoes"))*Inputs!$B$1+((Inputs!$G$5:$G$120&lt;&gt;"moeda")*(Inputs!$G$5:$G$120&lt;&gt;"acoes")))*INDEX(Inputs!$K$5:$AJ$120,0,MATCH(J$2,Inputs!$K$4:$AJ$4,0)))+SUMPRODUCT((Inputs!$C$5:$C$120=$B30)*Inputs!$D$5:$D$120*(((Inputs!$G$5:$G$120="moeda")+(Inputs!$G$5:$G$120="acoes"))*Inputs!$B$1+((Inputs!$G$5:$G$120&lt;&gt;"moeda")*(Inputs!$G$5:$G$120&lt;&gt;"acoes")))*INDEX(Inputs!$K$5:$AJ$120,0,MATCH(J$2,Inputs!$K$4:$AJ$4,0)))+SUMPRODUCT((Inputs!$E$5:$E$120=$B30)*Inputs!$F$5:$F$120*(((Inputs!$G$5:$G$120="moeda")+(Inputs!$G$5:$G$120="acoes"))*Inputs!$B$1+((Inputs!$G$5:$G$120&lt;&gt;"moeda")*(Inputs!$G$5:$G$120&lt;&gt;"acoes")))*INDEX(Inputs!$K$5:$AJ$120,0,MATCH(J$2,Inputs!$K$4:$AJ$4,0)))))</f>
        <v>0</v>
      </c>
      <c r="K30" s="267">
        <f>IF(ISNA(MATCH(K$2,Inputs!$K$4:$AJ$4,0)),NA(),IF(SUMPRODUCT((Inputs!$A$5:$A$120=$B30)*ISNUMBER(INDEX(Inputs!$K$5:$AJ$120,0,MATCH(K$2,Inputs!$K$4:$AJ$4,0))))+SUMPRODUCT((Inputs!$C$5:$C$120=$B30)*ISNUMBER(INDEX(Inputs!$K$5:$AJ$120,0,MATCH(K$2,Inputs!$K$4:$AJ$4,0))))+SUMPRODUCT((Inputs!$E$5:$E$120=$B30)*ISNUMBER(INDEX(Inputs!$K$5:$AJ$120,0,MATCH(K$2,Inputs!$K$4:$AJ$4,0))))=0,NA(),SUMPRODUCT((Inputs!$A$5:$A$120=$B30)*Inputs!$B$5:$B$120*(((Inputs!$G$5:$G$120="moeda")+(Inputs!$G$5:$G$120="acoes"))*Inputs!$B$1+((Inputs!$G$5:$G$120&lt;&gt;"moeda")*(Inputs!$G$5:$G$120&lt;&gt;"acoes")))*INDEX(Inputs!$K$5:$AJ$120,0,MATCH(K$2,Inputs!$K$4:$AJ$4,0)))+SUMPRODUCT((Inputs!$C$5:$C$120=$B30)*Inputs!$D$5:$D$120*(((Inputs!$G$5:$G$120="moeda")+(Inputs!$G$5:$G$120="acoes"))*Inputs!$B$1+((Inputs!$G$5:$G$120&lt;&gt;"moeda")*(Inputs!$G$5:$G$120&lt;&gt;"acoes")))*INDEX(Inputs!$K$5:$AJ$120,0,MATCH(K$2,Inputs!$K$4:$AJ$4,0)))+SUMPRODUCT((Inputs!$E$5:$E$120=$B30)*Inputs!$F$5:$F$120*(((Inputs!$G$5:$G$120="moeda")+(Inputs!$G$5:$G$120="acoes"))*Inputs!$B$1+((Inputs!$G$5:$G$120&lt;&gt;"moeda")*(Inputs!$G$5:$G$120&lt;&gt;"acoes")))*INDEX(Inputs!$K$5:$AJ$120,0,MATCH(K$2,Inputs!$K$4:$AJ$4,0)))))</f>
        <v>0</v>
      </c>
      <c r="L30" s="267">
        <f>IF(ISNA(MATCH(L$2,Inputs!$K$4:$AJ$4,0)),NA(),IF(SUMPRODUCT((Inputs!$A$5:$A$120=$B30)*ISNUMBER(INDEX(Inputs!$K$5:$AJ$120,0,MATCH(L$2,Inputs!$K$4:$AJ$4,0))))+SUMPRODUCT((Inputs!$C$5:$C$120=$B30)*ISNUMBER(INDEX(Inputs!$K$5:$AJ$120,0,MATCH(L$2,Inputs!$K$4:$AJ$4,0))))+SUMPRODUCT((Inputs!$E$5:$E$120=$B30)*ISNUMBER(INDEX(Inputs!$K$5:$AJ$120,0,MATCH(L$2,Inputs!$K$4:$AJ$4,0))))=0,NA(),SUMPRODUCT((Inputs!$A$5:$A$120=$B30)*Inputs!$B$5:$B$120*(((Inputs!$G$5:$G$120="moeda")+(Inputs!$G$5:$G$120="acoes"))*Inputs!$B$1+((Inputs!$G$5:$G$120&lt;&gt;"moeda")*(Inputs!$G$5:$G$120&lt;&gt;"acoes")))*INDEX(Inputs!$K$5:$AJ$120,0,MATCH(L$2,Inputs!$K$4:$AJ$4,0)))+SUMPRODUCT((Inputs!$C$5:$C$120=$B30)*Inputs!$D$5:$D$120*(((Inputs!$G$5:$G$120="moeda")+(Inputs!$G$5:$G$120="acoes"))*Inputs!$B$1+((Inputs!$G$5:$G$120&lt;&gt;"moeda")*(Inputs!$G$5:$G$120&lt;&gt;"acoes")))*INDEX(Inputs!$K$5:$AJ$120,0,MATCH(L$2,Inputs!$K$4:$AJ$4,0)))+SUMPRODUCT((Inputs!$E$5:$E$120=$B30)*Inputs!$F$5:$F$120*(((Inputs!$G$5:$G$120="moeda")+(Inputs!$G$5:$G$120="acoes"))*Inputs!$B$1+((Inputs!$G$5:$G$120&lt;&gt;"moeda")*(Inputs!$G$5:$G$120&lt;&gt;"acoes")))*INDEX(Inputs!$K$5:$AJ$120,0,MATCH(L$2,Inputs!$K$4:$AJ$4,0)))))</f>
        <v>0</v>
      </c>
      <c r="M30" s="268">
        <f>L30</f>
        <v>0</v>
      </c>
      <c r="N30" s="267">
        <f>IF(ISNA(MATCH(N$2,Inputs!$K$4:$AJ$4,0)),NA(),IF(SUMPRODUCT((Inputs!$A$5:$A$120=$B30)*ISNUMBER(INDEX(Inputs!$K$5:$AJ$120,0,MATCH(N$2,Inputs!$K$4:$AJ$4,0))))+SUMPRODUCT((Inputs!$C$5:$C$120=$B30)*ISNUMBER(INDEX(Inputs!$K$5:$AJ$120,0,MATCH(N$2,Inputs!$K$4:$AJ$4,0))))+SUMPRODUCT((Inputs!$E$5:$E$120=$B30)*ISNUMBER(INDEX(Inputs!$K$5:$AJ$120,0,MATCH(N$2,Inputs!$K$4:$AJ$4,0))))=0,NA(),SUMPRODUCT((Inputs!$A$5:$A$120=$B30)*Inputs!$B$5:$B$120*(((Inputs!$G$5:$G$120="moeda")+(Inputs!$G$5:$G$120="acoes"))*Inputs!$B$1+((Inputs!$G$5:$G$120&lt;&gt;"moeda")*(Inputs!$G$5:$G$120&lt;&gt;"acoes")))*INDEX(Inputs!$K$5:$AJ$120,0,MATCH(N$2,Inputs!$K$4:$AJ$4,0)))+SUMPRODUCT((Inputs!$C$5:$C$120=$B30)*Inputs!$D$5:$D$120*(((Inputs!$G$5:$G$120="moeda")+(Inputs!$G$5:$G$120="acoes"))*Inputs!$B$1+((Inputs!$G$5:$G$120&lt;&gt;"moeda")*(Inputs!$G$5:$G$120&lt;&gt;"acoes")))*INDEX(Inputs!$K$5:$AJ$120,0,MATCH(N$2,Inputs!$K$4:$AJ$4,0)))+SUMPRODUCT((Inputs!$E$5:$E$120=$B30)*Inputs!$F$5:$F$120*(((Inputs!$G$5:$G$120="moeda")+(Inputs!$G$5:$G$120="acoes"))*Inputs!$B$1+((Inputs!$G$5:$G$120&lt;&gt;"moeda")*(Inputs!$G$5:$G$120&lt;&gt;"acoes")))*INDEX(Inputs!$K$5:$AJ$120,0,MATCH(N$2,Inputs!$K$4:$AJ$4,0)))))</f>
        <v>0</v>
      </c>
      <c r="O30" s="267">
        <f>IF(ISNA(MATCH(O$2,Inputs!$K$4:$AJ$4,0)),NA(),IF(SUMPRODUCT((Inputs!$A$5:$A$120=$B30)*ISNUMBER(INDEX(Inputs!$K$5:$AJ$120,0,MATCH(O$2,Inputs!$K$4:$AJ$4,0))))+SUMPRODUCT((Inputs!$C$5:$C$120=$B30)*ISNUMBER(INDEX(Inputs!$K$5:$AJ$120,0,MATCH(O$2,Inputs!$K$4:$AJ$4,0))))+SUMPRODUCT((Inputs!$E$5:$E$120=$B30)*ISNUMBER(INDEX(Inputs!$K$5:$AJ$120,0,MATCH(O$2,Inputs!$K$4:$AJ$4,0))))=0,NA(),SUMPRODUCT((Inputs!$A$5:$A$120=$B30)*Inputs!$B$5:$B$120*(((Inputs!$G$5:$G$120="moeda")+(Inputs!$G$5:$G$120="acoes"))*Inputs!$B$1+((Inputs!$G$5:$G$120&lt;&gt;"moeda")*(Inputs!$G$5:$G$120&lt;&gt;"acoes")))*INDEX(Inputs!$K$5:$AJ$120,0,MATCH(O$2,Inputs!$K$4:$AJ$4,0)))+SUMPRODUCT((Inputs!$C$5:$C$120=$B30)*Inputs!$D$5:$D$120*(((Inputs!$G$5:$G$120="moeda")+(Inputs!$G$5:$G$120="acoes"))*Inputs!$B$1+((Inputs!$G$5:$G$120&lt;&gt;"moeda")*(Inputs!$G$5:$G$120&lt;&gt;"acoes")))*INDEX(Inputs!$K$5:$AJ$120,0,MATCH(O$2,Inputs!$K$4:$AJ$4,0)))+SUMPRODUCT((Inputs!$E$5:$E$120=$B30)*Inputs!$F$5:$F$120*(((Inputs!$G$5:$G$120="moeda")+(Inputs!$G$5:$G$120="acoes"))*Inputs!$B$1+((Inputs!$G$5:$G$120&lt;&gt;"moeda")*(Inputs!$G$5:$G$120&lt;&gt;"acoes")))*INDEX(Inputs!$K$5:$AJ$120,0,MATCH(O$2,Inputs!$K$4:$AJ$4,0)))))</f>
        <v>0</v>
      </c>
      <c r="P30" s="267">
        <f>IF(ISNA(MATCH(P$2,Inputs!$K$4:$AJ$4,0)),NA(),IF(SUMPRODUCT((Inputs!$A$5:$A$120=$B30)*ISNUMBER(INDEX(Inputs!$K$5:$AJ$120,0,MATCH(P$2,Inputs!$K$4:$AJ$4,0))))+SUMPRODUCT((Inputs!$C$5:$C$120=$B30)*ISNUMBER(INDEX(Inputs!$K$5:$AJ$120,0,MATCH(P$2,Inputs!$K$4:$AJ$4,0))))+SUMPRODUCT((Inputs!$E$5:$E$120=$B30)*ISNUMBER(INDEX(Inputs!$K$5:$AJ$120,0,MATCH(P$2,Inputs!$K$4:$AJ$4,0))))=0,NA(),SUMPRODUCT((Inputs!$A$5:$A$120=$B30)*Inputs!$B$5:$B$120*(((Inputs!$G$5:$G$120="moeda")+(Inputs!$G$5:$G$120="acoes"))*Inputs!$B$1+((Inputs!$G$5:$G$120&lt;&gt;"moeda")*(Inputs!$G$5:$G$120&lt;&gt;"acoes")))*INDEX(Inputs!$K$5:$AJ$120,0,MATCH(P$2,Inputs!$K$4:$AJ$4,0)))+SUMPRODUCT((Inputs!$C$5:$C$120=$B30)*Inputs!$D$5:$D$120*(((Inputs!$G$5:$G$120="moeda")+(Inputs!$G$5:$G$120="acoes"))*Inputs!$B$1+((Inputs!$G$5:$G$120&lt;&gt;"moeda")*(Inputs!$G$5:$G$120&lt;&gt;"acoes")))*INDEX(Inputs!$K$5:$AJ$120,0,MATCH(P$2,Inputs!$K$4:$AJ$4,0)))+SUMPRODUCT((Inputs!$E$5:$E$120=$B30)*Inputs!$F$5:$F$120*(((Inputs!$G$5:$G$120="moeda")+(Inputs!$G$5:$G$120="acoes"))*Inputs!$B$1+((Inputs!$G$5:$G$120&lt;&gt;"moeda")*(Inputs!$G$5:$G$120&lt;&gt;"acoes")))*INDEX(Inputs!$K$5:$AJ$120,0,MATCH(P$2,Inputs!$K$4:$AJ$4,0)))))</f>
        <v>0</v>
      </c>
      <c r="Q30" s="267">
        <f>IF(ISNA(MATCH(Q$2,Inputs!$K$4:$AJ$4,0)),NA(),IF(SUMPRODUCT((Inputs!$A$5:$A$120=$B30)*ISNUMBER(INDEX(Inputs!$K$5:$AJ$120,0,MATCH(Q$2,Inputs!$K$4:$AJ$4,0))))+SUMPRODUCT((Inputs!$C$5:$C$120=$B30)*ISNUMBER(INDEX(Inputs!$K$5:$AJ$120,0,MATCH(Q$2,Inputs!$K$4:$AJ$4,0))))+SUMPRODUCT((Inputs!$E$5:$E$120=$B30)*ISNUMBER(INDEX(Inputs!$K$5:$AJ$120,0,MATCH(Q$2,Inputs!$K$4:$AJ$4,0))))=0,NA(),SUMPRODUCT((Inputs!$A$5:$A$120=$B30)*Inputs!$B$5:$B$120*(((Inputs!$G$5:$G$120="moeda")+(Inputs!$G$5:$G$120="acoes"))*Inputs!$B$1+((Inputs!$G$5:$G$120&lt;&gt;"moeda")*(Inputs!$G$5:$G$120&lt;&gt;"acoes")))*INDEX(Inputs!$K$5:$AJ$120,0,MATCH(Q$2,Inputs!$K$4:$AJ$4,0)))+SUMPRODUCT((Inputs!$C$5:$C$120=$B30)*Inputs!$D$5:$D$120*(((Inputs!$G$5:$G$120="moeda")+(Inputs!$G$5:$G$120="acoes"))*Inputs!$B$1+((Inputs!$G$5:$G$120&lt;&gt;"moeda")*(Inputs!$G$5:$G$120&lt;&gt;"acoes")))*INDEX(Inputs!$K$5:$AJ$120,0,MATCH(Q$2,Inputs!$K$4:$AJ$4,0)))+SUMPRODUCT((Inputs!$E$5:$E$120=$B30)*Inputs!$F$5:$F$120*(((Inputs!$G$5:$G$120="moeda")+(Inputs!$G$5:$G$120="acoes"))*Inputs!$B$1+((Inputs!$G$5:$G$120&lt;&gt;"moeda")*(Inputs!$G$5:$G$120&lt;&gt;"acoes")))*INDEX(Inputs!$K$5:$AJ$120,0,MATCH(Q$2,Inputs!$K$4:$AJ$4,0)))))</f>
        <v>0</v>
      </c>
      <c r="R30" s="268">
        <f>Q30</f>
        <v>0</v>
      </c>
      <c r="S30" s="267">
        <f>IF(ISNA(MATCH(S$2,Inputs!$K$4:$AJ$4,0)),NA(),IF(SUMPRODUCT((Inputs!$A$5:$A$120=$B30)*ISNUMBER(INDEX(Inputs!$K$5:$AJ$120,0,MATCH(S$2,Inputs!$K$4:$AJ$4,0))))+SUMPRODUCT((Inputs!$C$5:$C$120=$B30)*ISNUMBER(INDEX(Inputs!$K$5:$AJ$120,0,MATCH(S$2,Inputs!$K$4:$AJ$4,0))))+SUMPRODUCT((Inputs!$E$5:$E$120=$B30)*ISNUMBER(INDEX(Inputs!$K$5:$AJ$120,0,MATCH(S$2,Inputs!$K$4:$AJ$4,0))))=0,NA(),SUMPRODUCT((Inputs!$A$5:$A$120=$B30)*Inputs!$B$5:$B$120*(((Inputs!$G$5:$G$120="moeda")+(Inputs!$G$5:$G$120="acoes"))*Inputs!$B$1+((Inputs!$G$5:$G$120&lt;&gt;"moeda")*(Inputs!$G$5:$G$120&lt;&gt;"acoes")))*INDEX(Inputs!$K$5:$AJ$120,0,MATCH(S$2,Inputs!$K$4:$AJ$4,0)))+SUMPRODUCT((Inputs!$C$5:$C$120=$B30)*Inputs!$D$5:$D$120*(((Inputs!$G$5:$G$120="moeda")+(Inputs!$G$5:$G$120="acoes"))*Inputs!$B$1+((Inputs!$G$5:$G$120&lt;&gt;"moeda")*(Inputs!$G$5:$G$120&lt;&gt;"acoes")))*INDEX(Inputs!$K$5:$AJ$120,0,MATCH(S$2,Inputs!$K$4:$AJ$4,0)))+SUMPRODUCT((Inputs!$E$5:$E$120=$B30)*Inputs!$F$5:$F$120*(((Inputs!$G$5:$G$120="moeda")+(Inputs!$G$5:$G$120="acoes"))*Inputs!$B$1+((Inputs!$G$5:$G$120&lt;&gt;"moeda")*(Inputs!$G$5:$G$120&lt;&gt;"acoes")))*INDEX(Inputs!$K$5:$AJ$120,0,MATCH(S$2,Inputs!$K$4:$AJ$4,0)))))</f>
        <v>0</v>
      </c>
      <c r="T30" s="267">
        <f>IF(ISNA(MATCH(T$2,Inputs!$K$4:$AJ$4,0)),NA(),IF(SUMPRODUCT((Inputs!$A$5:$A$120=$B30)*ISNUMBER(INDEX(Inputs!$K$5:$AJ$120,0,MATCH(T$2,Inputs!$K$4:$AJ$4,0))))+SUMPRODUCT((Inputs!$C$5:$C$120=$B30)*ISNUMBER(INDEX(Inputs!$K$5:$AJ$120,0,MATCH(T$2,Inputs!$K$4:$AJ$4,0))))+SUMPRODUCT((Inputs!$E$5:$E$120=$B30)*ISNUMBER(INDEX(Inputs!$K$5:$AJ$120,0,MATCH(T$2,Inputs!$K$4:$AJ$4,0))))=0,NA(),SUMPRODUCT((Inputs!$A$5:$A$120=$B30)*Inputs!$B$5:$B$120*(((Inputs!$G$5:$G$120="moeda")+(Inputs!$G$5:$G$120="acoes"))*Inputs!$B$1+((Inputs!$G$5:$G$120&lt;&gt;"moeda")*(Inputs!$G$5:$G$120&lt;&gt;"acoes")))*INDEX(Inputs!$K$5:$AJ$120,0,MATCH(T$2,Inputs!$K$4:$AJ$4,0)))+SUMPRODUCT((Inputs!$C$5:$C$120=$B30)*Inputs!$D$5:$D$120*(((Inputs!$G$5:$G$120="moeda")+(Inputs!$G$5:$G$120="acoes"))*Inputs!$B$1+((Inputs!$G$5:$G$120&lt;&gt;"moeda")*(Inputs!$G$5:$G$120&lt;&gt;"acoes")))*INDEX(Inputs!$K$5:$AJ$120,0,MATCH(T$2,Inputs!$K$4:$AJ$4,0)))+SUMPRODUCT((Inputs!$E$5:$E$120=$B30)*Inputs!$F$5:$F$120*(((Inputs!$G$5:$G$120="moeda")+(Inputs!$G$5:$G$120="acoes"))*Inputs!$B$1+((Inputs!$G$5:$G$120&lt;&gt;"moeda")*(Inputs!$G$5:$G$120&lt;&gt;"acoes")))*INDEX(Inputs!$K$5:$AJ$120,0,MATCH(T$2,Inputs!$K$4:$AJ$4,0)))))</f>
        <v>0</v>
      </c>
      <c r="U30" s="267">
        <f>IF(ISNA(MATCH(U$2,Inputs!$K$4:$AJ$4,0)),NA(),IF(SUMPRODUCT((Inputs!$A$5:$A$120=$B30)*ISNUMBER(INDEX(Inputs!$K$5:$AJ$120,0,MATCH(U$2,Inputs!$K$4:$AJ$4,0))))+SUMPRODUCT((Inputs!$C$5:$C$120=$B30)*ISNUMBER(INDEX(Inputs!$K$5:$AJ$120,0,MATCH(U$2,Inputs!$K$4:$AJ$4,0))))+SUMPRODUCT((Inputs!$E$5:$E$120=$B30)*ISNUMBER(INDEX(Inputs!$K$5:$AJ$120,0,MATCH(U$2,Inputs!$K$4:$AJ$4,0))))=0,NA(),SUMPRODUCT((Inputs!$A$5:$A$120=$B30)*Inputs!$B$5:$B$120*(((Inputs!$G$5:$G$120="moeda")+(Inputs!$G$5:$G$120="acoes"))*Inputs!$B$1+((Inputs!$G$5:$G$120&lt;&gt;"moeda")*(Inputs!$G$5:$G$120&lt;&gt;"acoes")))*INDEX(Inputs!$K$5:$AJ$120,0,MATCH(U$2,Inputs!$K$4:$AJ$4,0)))+SUMPRODUCT((Inputs!$C$5:$C$120=$B30)*Inputs!$D$5:$D$120*(((Inputs!$G$5:$G$120="moeda")+(Inputs!$G$5:$G$120="acoes"))*Inputs!$B$1+((Inputs!$G$5:$G$120&lt;&gt;"moeda")*(Inputs!$G$5:$G$120&lt;&gt;"acoes")))*INDEX(Inputs!$K$5:$AJ$120,0,MATCH(U$2,Inputs!$K$4:$AJ$4,0)))+SUMPRODUCT((Inputs!$E$5:$E$120=$B30)*Inputs!$F$5:$F$120*(((Inputs!$G$5:$G$120="moeda")+(Inputs!$G$5:$G$120="acoes"))*Inputs!$B$1+((Inputs!$G$5:$G$120&lt;&gt;"moeda")*(Inputs!$G$5:$G$120&lt;&gt;"acoes")))*INDEX(Inputs!$K$5:$AJ$120,0,MATCH(U$2,Inputs!$K$4:$AJ$4,0)))))</f>
        <v>0</v>
      </c>
      <c r="V30" s="267">
        <f>IF(ISNA(MATCH(V$2,Inputs!$K$4:$AJ$4,0)),NA(),IF(SUMPRODUCT((Inputs!$A$5:$A$120=$B30)*ISNUMBER(INDEX(Inputs!$K$5:$AJ$120,0,MATCH(V$2,Inputs!$K$4:$AJ$4,0))))+SUMPRODUCT((Inputs!$C$5:$C$120=$B30)*ISNUMBER(INDEX(Inputs!$K$5:$AJ$120,0,MATCH(V$2,Inputs!$K$4:$AJ$4,0))))+SUMPRODUCT((Inputs!$E$5:$E$120=$B30)*ISNUMBER(INDEX(Inputs!$K$5:$AJ$120,0,MATCH(V$2,Inputs!$K$4:$AJ$4,0))))=0,NA(),SUMPRODUCT((Inputs!$A$5:$A$120=$B30)*Inputs!$B$5:$B$120*(((Inputs!$G$5:$G$120="moeda")+(Inputs!$G$5:$G$120="acoes"))*Inputs!$B$1+((Inputs!$G$5:$G$120&lt;&gt;"moeda")*(Inputs!$G$5:$G$120&lt;&gt;"acoes")))*INDEX(Inputs!$K$5:$AJ$120,0,MATCH(V$2,Inputs!$K$4:$AJ$4,0)))+SUMPRODUCT((Inputs!$C$5:$C$120=$B30)*Inputs!$D$5:$D$120*(((Inputs!$G$5:$G$120="moeda")+(Inputs!$G$5:$G$120="acoes"))*Inputs!$B$1+((Inputs!$G$5:$G$120&lt;&gt;"moeda")*(Inputs!$G$5:$G$120&lt;&gt;"acoes")))*INDEX(Inputs!$K$5:$AJ$120,0,MATCH(V$2,Inputs!$K$4:$AJ$4,0)))+SUMPRODUCT((Inputs!$E$5:$E$120=$B30)*Inputs!$F$5:$F$120*(((Inputs!$G$5:$G$120="moeda")+(Inputs!$G$5:$G$120="acoes"))*Inputs!$B$1+((Inputs!$G$5:$G$120&lt;&gt;"moeda")*(Inputs!$G$5:$G$120&lt;&gt;"acoes")))*INDEX(Inputs!$K$5:$AJ$120,0,MATCH(V$2,Inputs!$K$4:$AJ$4,0)))))</f>
        <v>0</v>
      </c>
      <c r="W30" s="268">
        <f>V30</f>
        <v>0</v>
      </c>
      <c r="X30" s="267">
        <f>IF(ISNA(MATCH(X$2,Inputs!$K$4:$AJ$4,0)),NA(),IF(SUMPRODUCT((Inputs!$A$5:$A$120=$B30)*ISNUMBER(INDEX(Inputs!$K$5:$AJ$120,0,MATCH(X$2,Inputs!$K$4:$AJ$4,0))))+SUMPRODUCT((Inputs!$C$5:$C$120=$B30)*ISNUMBER(INDEX(Inputs!$K$5:$AJ$120,0,MATCH(X$2,Inputs!$K$4:$AJ$4,0))))+SUMPRODUCT((Inputs!$E$5:$E$120=$B30)*ISNUMBER(INDEX(Inputs!$K$5:$AJ$120,0,MATCH(X$2,Inputs!$K$4:$AJ$4,0))))=0,NA(),SUMPRODUCT((Inputs!$A$5:$A$120=$B30)*Inputs!$B$5:$B$120*(((Inputs!$G$5:$G$120="moeda")+(Inputs!$G$5:$G$120="acoes"))*Inputs!$B$1+((Inputs!$G$5:$G$120&lt;&gt;"moeda")*(Inputs!$G$5:$G$120&lt;&gt;"acoes")))*INDEX(Inputs!$K$5:$AJ$120,0,MATCH(X$2,Inputs!$K$4:$AJ$4,0)))+SUMPRODUCT((Inputs!$C$5:$C$120=$B30)*Inputs!$D$5:$D$120*(((Inputs!$G$5:$G$120="moeda")+(Inputs!$G$5:$G$120="acoes"))*Inputs!$B$1+((Inputs!$G$5:$G$120&lt;&gt;"moeda")*(Inputs!$G$5:$G$120&lt;&gt;"acoes")))*INDEX(Inputs!$K$5:$AJ$120,0,MATCH(X$2,Inputs!$K$4:$AJ$4,0)))+SUMPRODUCT((Inputs!$E$5:$E$120=$B30)*Inputs!$F$5:$F$120*(((Inputs!$G$5:$G$120="moeda")+(Inputs!$G$5:$G$120="acoes"))*Inputs!$B$1+((Inputs!$G$5:$G$120&lt;&gt;"moeda")*(Inputs!$G$5:$G$120&lt;&gt;"acoes")))*INDEX(Inputs!$K$5:$AJ$120,0,MATCH(X$2,Inputs!$K$4:$AJ$4,0)))))</f>
        <v>0</v>
      </c>
      <c r="Y30" s="267">
        <f>IF(ISNA(MATCH(Y$2,Inputs!$K$4:$AJ$4,0)),NA(),IF(SUMPRODUCT((Inputs!$A$5:$A$120=$B30)*ISNUMBER(INDEX(Inputs!$K$5:$AJ$120,0,MATCH(Y$2,Inputs!$K$4:$AJ$4,0))))+SUMPRODUCT((Inputs!$C$5:$C$120=$B30)*ISNUMBER(INDEX(Inputs!$K$5:$AJ$120,0,MATCH(Y$2,Inputs!$K$4:$AJ$4,0))))+SUMPRODUCT((Inputs!$E$5:$E$120=$B30)*ISNUMBER(INDEX(Inputs!$K$5:$AJ$120,0,MATCH(Y$2,Inputs!$K$4:$AJ$4,0))))=0,NA(),SUMPRODUCT((Inputs!$A$5:$A$120=$B30)*Inputs!$B$5:$B$120*(((Inputs!$G$5:$G$120="moeda")+(Inputs!$G$5:$G$120="acoes"))*Inputs!$B$1+((Inputs!$G$5:$G$120&lt;&gt;"moeda")*(Inputs!$G$5:$G$120&lt;&gt;"acoes")))*INDEX(Inputs!$K$5:$AJ$120,0,MATCH(Y$2,Inputs!$K$4:$AJ$4,0)))+SUMPRODUCT((Inputs!$C$5:$C$120=$B30)*Inputs!$D$5:$D$120*(((Inputs!$G$5:$G$120="moeda")+(Inputs!$G$5:$G$120="acoes"))*Inputs!$B$1+((Inputs!$G$5:$G$120&lt;&gt;"moeda")*(Inputs!$G$5:$G$120&lt;&gt;"acoes")))*INDEX(Inputs!$K$5:$AJ$120,0,MATCH(Y$2,Inputs!$K$4:$AJ$4,0)))+SUMPRODUCT((Inputs!$E$5:$E$120=$B30)*Inputs!$F$5:$F$120*(((Inputs!$G$5:$G$120="moeda")+(Inputs!$G$5:$G$120="acoes"))*Inputs!$B$1+((Inputs!$G$5:$G$120&lt;&gt;"moeda")*(Inputs!$G$5:$G$120&lt;&gt;"acoes")))*INDEX(Inputs!$K$5:$AJ$120,0,MATCH(Y$2,Inputs!$K$4:$AJ$4,0)))))</f>
        <v>0</v>
      </c>
      <c r="Z30" s="267">
        <f>IF(ISNA(MATCH(Z$2,Inputs!$K$4:$AJ$4,0)),NA(),IF(SUMPRODUCT((Inputs!$A$5:$A$120=$B30)*ISNUMBER(INDEX(Inputs!$K$5:$AJ$120,0,MATCH(Z$2,Inputs!$K$4:$AJ$4,0))))+SUMPRODUCT((Inputs!$C$5:$C$120=$B30)*ISNUMBER(INDEX(Inputs!$K$5:$AJ$120,0,MATCH(Z$2,Inputs!$K$4:$AJ$4,0))))+SUMPRODUCT((Inputs!$E$5:$E$120=$B30)*ISNUMBER(INDEX(Inputs!$K$5:$AJ$120,0,MATCH(Z$2,Inputs!$K$4:$AJ$4,0))))=0,NA(),SUMPRODUCT((Inputs!$A$5:$A$120=$B30)*Inputs!$B$5:$B$120*(((Inputs!$G$5:$G$120="moeda")+(Inputs!$G$5:$G$120="acoes"))*Inputs!$B$1+((Inputs!$G$5:$G$120&lt;&gt;"moeda")*(Inputs!$G$5:$G$120&lt;&gt;"acoes")))*INDEX(Inputs!$K$5:$AJ$120,0,MATCH(Z$2,Inputs!$K$4:$AJ$4,0)))+SUMPRODUCT((Inputs!$C$5:$C$120=$B30)*Inputs!$D$5:$D$120*(((Inputs!$G$5:$G$120="moeda")+(Inputs!$G$5:$G$120="acoes"))*Inputs!$B$1+((Inputs!$G$5:$G$120&lt;&gt;"moeda")*(Inputs!$G$5:$G$120&lt;&gt;"acoes")))*INDEX(Inputs!$K$5:$AJ$120,0,MATCH(Z$2,Inputs!$K$4:$AJ$4,0)))+SUMPRODUCT((Inputs!$E$5:$E$120=$B30)*Inputs!$F$5:$F$120*(((Inputs!$G$5:$G$120="moeda")+(Inputs!$G$5:$G$120="acoes"))*Inputs!$B$1+((Inputs!$G$5:$G$120&lt;&gt;"moeda")*(Inputs!$G$5:$G$120&lt;&gt;"acoes")))*INDEX(Inputs!$K$5:$AJ$120,0,MATCH(Z$2,Inputs!$K$4:$AJ$4,0)))))</f>
        <v>0</v>
      </c>
      <c r="AA30" s="267">
        <f>IF(ISNA(MATCH(AA$2,Inputs!$K$4:$AJ$4,0)),NA(),IF(SUMPRODUCT((Inputs!$A$5:$A$120=$B30)*ISNUMBER(INDEX(Inputs!$K$5:$AJ$120,0,MATCH(AA$2,Inputs!$K$4:$AJ$4,0))))+SUMPRODUCT((Inputs!$C$5:$C$120=$B30)*ISNUMBER(INDEX(Inputs!$K$5:$AJ$120,0,MATCH(AA$2,Inputs!$K$4:$AJ$4,0))))+SUMPRODUCT((Inputs!$E$5:$E$120=$B30)*ISNUMBER(INDEX(Inputs!$K$5:$AJ$120,0,MATCH(AA$2,Inputs!$K$4:$AJ$4,0))))=0,NA(),SUMPRODUCT((Inputs!$A$5:$A$120=$B30)*Inputs!$B$5:$B$120*(((Inputs!$G$5:$G$120="moeda")+(Inputs!$G$5:$G$120="acoes"))*Inputs!$B$1+((Inputs!$G$5:$G$120&lt;&gt;"moeda")*(Inputs!$G$5:$G$120&lt;&gt;"acoes")))*INDEX(Inputs!$K$5:$AJ$120,0,MATCH(AA$2,Inputs!$K$4:$AJ$4,0)))+SUMPRODUCT((Inputs!$C$5:$C$120=$B30)*Inputs!$D$5:$D$120*(((Inputs!$G$5:$G$120="moeda")+(Inputs!$G$5:$G$120="acoes"))*Inputs!$B$1+((Inputs!$G$5:$G$120&lt;&gt;"moeda")*(Inputs!$G$5:$G$120&lt;&gt;"acoes")))*INDEX(Inputs!$K$5:$AJ$120,0,MATCH(AA$2,Inputs!$K$4:$AJ$4,0)))+SUMPRODUCT((Inputs!$E$5:$E$120=$B30)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0" s="268">
        <f>AA30</f>
        <v>0</v>
      </c>
      <c r="AC30" s="267">
        <f>IF(ISNA(MATCH(AC$2,Inputs!$K$4:$AJ$4,0)),NA(),IF(SUMPRODUCT((Inputs!$A$5:$A$120=$B30)*ISNUMBER(INDEX(Inputs!$K$5:$AJ$120,0,MATCH(AC$2,Inputs!$K$4:$AJ$4,0))))+SUMPRODUCT((Inputs!$C$5:$C$120=$B30)*ISNUMBER(INDEX(Inputs!$K$5:$AJ$120,0,MATCH(AC$2,Inputs!$K$4:$AJ$4,0))))+SUMPRODUCT((Inputs!$E$5:$E$120=$B30)*ISNUMBER(INDEX(Inputs!$K$5:$AJ$120,0,MATCH(AC$2,Inputs!$K$4:$AJ$4,0))))=0,NA(),SUMPRODUCT((Inputs!$A$5:$A$120=$B30)*Inputs!$B$5:$B$120*(((Inputs!$G$5:$G$120="moeda")+(Inputs!$G$5:$G$120="acoes"))*Inputs!$B$1+((Inputs!$G$5:$G$120&lt;&gt;"moeda")*(Inputs!$G$5:$G$120&lt;&gt;"acoes")))*INDEX(Inputs!$K$5:$AJ$120,0,MATCH(AC$2,Inputs!$K$4:$AJ$4,0)))+SUMPRODUCT((Inputs!$C$5:$C$120=$B30)*Inputs!$D$5:$D$120*(((Inputs!$G$5:$G$120="moeda")+(Inputs!$G$5:$G$120="acoes"))*Inputs!$B$1+((Inputs!$G$5:$G$120&lt;&gt;"moeda")*(Inputs!$G$5:$G$120&lt;&gt;"acoes")))*INDEX(Inputs!$K$5:$AJ$120,0,MATCH(AC$2,Inputs!$K$4:$AJ$4,0)))+SUMPRODUCT((Inputs!$E$5:$E$120=$B30)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0" s="267">
        <f>IF(ISNA(MATCH(AD$2,Inputs!$K$4:$AJ$4,0)),NA(),IF(SUMPRODUCT((Inputs!$A$5:$A$120=$B30)*ISNUMBER(INDEX(Inputs!$K$5:$AJ$120,0,MATCH(AD$2,Inputs!$K$4:$AJ$4,0))))+SUMPRODUCT((Inputs!$C$5:$C$120=$B30)*ISNUMBER(INDEX(Inputs!$K$5:$AJ$120,0,MATCH(AD$2,Inputs!$K$4:$AJ$4,0))))+SUMPRODUCT((Inputs!$E$5:$E$120=$B30)*ISNUMBER(INDEX(Inputs!$K$5:$AJ$120,0,MATCH(AD$2,Inputs!$K$4:$AJ$4,0))))=0,NA(),SUMPRODUCT((Inputs!$A$5:$A$120=$B30)*Inputs!$B$5:$B$120*(((Inputs!$G$5:$G$120="moeda")+(Inputs!$G$5:$G$120="acoes"))*Inputs!$B$1+((Inputs!$G$5:$G$120&lt;&gt;"moeda")*(Inputs!$G$5:$G$120&lt;&gt;"acoes")))*INDEX(Inputs!$K$5:$AJ$120,0,MATCH(AD$2,Inputs!$K$4:$AJ$4,0)))+SUMPRODUCT((Inputs!$C$5:$C$120=$B30)*Inputs!$D$5:$D$120*(((Inputs!$G$5:$G$120="moeda")+(Inputs!$G$5:$G$120="acoes"))*Inputs!$B$1+((Inputs!$G$5:$G$120&lt;&gt;"moeda")*(Inputs!$G$5:$G$120&lt;&gt;"acoes")))*INDEX(Inputs!$K$5:$AJ$120,0,MATCH(AD$2,Inputs!$K$4:$AJ$4,0)))+SUMPRODUCT((Inputs!$E$5:$E$120=$B30)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0" s="267" t="e">
        <f>IF(ISNA(MATCH(AE$2,Inputs!$K$4:$AJ$4,0)),NA(),IF(SUMPRODUCT((Inputs!$A$5:$A$120=$B30)*ISNUMBER(INDEX(Inputs!$K$5:$AJ$120,0,MATCH(AE$2,Inputs!$K$4:$AJ$4,0))))+SUMPRODUCT((Inputs!$C$5:$C$120=$B30)*ISNUMBER(INDEX(Inputs!$K$5:$AJ$120,0,MATCH(AE$2,Inputs!$K$4:$AJ$4,0))))+SUMPRODUCT((Inputs!$E$5:$E$120=$B30)*ISNUMBER(INDEX(Inputs!$K$5:$AJ$120,0,MATCH(AE$2,Inputs!$K$4:$AJ$4,0))))=0,NA(),SUMPRODUCT((Inputs!$A$5:$A$120=$B30)*Inputs!$B$5:$B$120*(((Inputs!$G$5:$G$120="moeda")+(Inputs!$G$5:$G$120="acoes"))*Inputs!$B$1+((Inputs!$G$5:$G$120&lt;&gt;"moeda")*(Inputs!$G$5:$G$120&lt;&gt;"acoes")))*INDEX(Inputs!$K$5:$AJ$120,0,MATCH(AE$2,Inputs!$K$4:$AJ$4,0)))+SUMPRODUCT((Inputs!$C$5:$C$120=$B30)*Inputs!$D$5:$D$120*(((Inputs!$G$5:$G$120="moeda")+(Inputs!$G$5:$G$120="acoes"))*Inputs!$B$1+((Inputs!$G$5:$G$120&lt;&gt;"moeda")*(Inputs!$G$5:$G$120&lt;&gt;"acoes")))*INDEX(Inputs!$K$5:$AJ$120,0,MATCH(AE$2,Inputs!$K$4:$AJ$4,0)))+SUMPRODUCT((Inputs!$E$5:$E$120=$B30)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0" s="267" t="e">
        <f>IF(ISNA(MATCH(AF$2,Inputs!$K$4:$AJ$4,0)),NA(),IF(SUMPRODUCT((Inputs!$A$5:$A$120=$B30)*ISNUMBER(INDEX(Inputs!$K$5:$AJ$120,0,MATCH(AF$2,Inputs!$K$4:$AJ$4,0))))+SUMPRODUCT((Inputs!$C$5:$C$120=$B30)*ISNUMBER(INDEX(Inputs!$K$5:$AJ$120,0,MATCH(AF$2,Inputs!$K$4:$AJ$4,0))))+SUMPRODUCT((Inputs!$E$5:$E$120=$B30)*ISNUMBER(INDEX(Inputs!$K$5:$AJ$120,0,MATCH(AF$2,Inputs!$K$4:$AJ$4,0))))=0,NA(),SUMPRODUCT((Inputs!$A$5:$A$120=$B30)*Inputs!$B$5:$B$120*(((Inputs!$G$5:$G$120="moeda")+(Inputs!$G$5:$G$120="acoes"))*Inputs!$B$1+((Inputs!$G$5:$G$120&lt;&gt;"moeda")*(Inputs!$G$5:$G$120&lt;&gt;"acoes")))*INDEX(Inputs!$K$5:$AJ$120,0,MATCH(AF$2,Inputs!$K$4:$AJ$4,0)))+SUMPRODUCT((Inputs!$C$5:$C$120=$B30)*Inputs!$D$5:$D$120*(((Inputs!$G$5:$G$120="moeda")+(Inputs!$G$5:$G$120="acoes"))*Inputs!$B$1+((Inputs!$G$5:$G$120&lt;&gt;"moeda")*(Inputs!$G$5:$G$120&lt;&gt;"acoes")))*INDEX(Inputs!$K$5:$AJ$120,0,MATCH(AF$2,Inputs!$K$4:$AJ$4,0)))+SUMPRODUCT((Inputs!$E$5:$E$120=$B30)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0" s="268" t="e">
        <f>AF30</f>
        <v>#N/A</v>
      </c>
      <c r="AH30" s="267">
        <f>IF(ISNA(MATCH(AH$2,Inputs!$K$4:$AJ$4,0)),NA(),IF(SUMPRODUCT((Inputs!$A$5:$A$120=$B30)*ISNUMBER(INDEX(Inputs!$K$5:$AJ$120,0,MATCH(AH$2,Inputs!$K$4:$AJ$4,0))))+SUMPRODUCT((Inputs!$C$5:$C$120=$B30)*ISNUMBER(INDEX(Inputs!$K$5:$AJ$120,0,MATCH(AH$2,Inputs!$K$4:$AJ$4,0))))+SUMPRODUCT((Inputs!$E$5:$E$120=$B30)*ISNUMBER(INDEX(Inputs!$K$5:$AJ$120,0,MATCH(AH$2,Inputs!$K$4:$AJ$4,0))))=0,NA(),SUMPRODUCT((Inputs!$A$5:$A$120=$B30)*Inputs!$B$5:$B$120*(((Inputs!$G$5:$G$120="moeda")+(Inputs!$G$5:$G$120="acoes"))*Inputs!$B$1+((Inputs!$G$5:$G$120&lt;&gt;"moeda")*(Inputs!$G$5:$G$120&lt;&gt;"acoes")))*INDEX(Inputs!$K$5:$AJ$120,0,MATCH(AH$2,Inputs!$K$4:$AJ$4,0)))+SUMPRODUCT((Inputs!$C$5:$C$120=$B30)*Inputs!$D$5:$D$120*(((Inputs!$G$5:$G$120="moeda")+(Inputs!$G$5:$G$120="acoes"))*Inputs!$B$1+((Inputs!$G$5:$G$120&lt;&gt;"moeda")*(Inputs!$G$5:$G$120&lt;&gt;"acoes")))*INDEX(Inputs!$K$5:$AJ$120,0,MATCH(AH$2,Inputs!$K$4:$AJ$4,0)))+SUMPRODUCT((Inputs!$E$5:$E$120=$B30)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0" s="267">
        <f>IF(ISNA(MATCH(AI$2,Inputs!$K$4:$AJ$4,0)),NA(),IF(SUMPRODUCT((Inputs!$A$5:$A$120=$B30)*ISNUMBER(INDEX(Inputs!$K$5:$AJ$120,0,MATCH(AI$2,Inputs!$K$4:$AJ$4,0))))+SUMPRODUCT((Inputs!$C$5:$C$120=$B30)*ISNUMBER(INDEX(Inputs!$K$5:$AJ$120,0,MATCH(AI$2,Inputs!$K$4:$AJ$4,0))))+SUMPRODUCT((Inputs!$E$5:$E$120=$B30)*ISNUMBER(INDEX(Inputs!$K$5:$AJ$120,0,MATCH(AI$2,Inputs!$K$4:$AJ$4,0))))=0,NA(),SUMPRODUCT((Inputs!$A$5:$A$120=$B30)*Inputs!$B$5:$B$120*(((Inputs!$G$5:$G$120="moeda")+(Inputs!$G$5:$G$120="acoes"))*Inputs!$B$1+((Inputs!$G$5:$G$120&lt;&gt;"moeda")*(Inputs!$G$5:$G$120&lt;&gt;"acoes")))*INDEX(Inputs!$K$5:$AJ$120,0,MATCH(AI$2,Inputs!$K$4:$AJ$4,0)))+SUMPRODUCT((Inputs!$C$5:$C$120=$B30)*Inputs!$D$5:$D$120*(((Inputs!$G$5:$G$120="moeda")+(Inputs!$G$5:$G$120="acoes"))*Inputs!$B$1+((Inputs!$G$5:$G$120&lt;&gt;"moeda")*(Inputs!$G$5:$G$120&lt;&gt;"acoes")))*INDEX(Inputs!$K$5:$AJ$120,0,MATCH(AI$2,Inputs!$K$4:$AJ$4,0)))+SUMPRODUCT((Inputs!$E$5:$E$120=$B30)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0" s="267">
        <f>IF(ISNA(MATCH(AJ$2,Inputs!$K$4:$AJ$4,0)),NA(),IF(SUMPRODUCT((Inputs!$A$5:$A$120=$B30)*ISNUMBER(INDEX(Inputs!$K$5:$AJ$120,0,MATCH(AJ$2,Inputs!$K$4:$AJ$4,0))))+SUMPRODUCT((Inputs!$C$5:$C$120=$B30)*ISNUMBER(INDEX(Inputs!$K$5:$AJ$120,0,MATCH(AJ$2,Inputs!$K$4:$AJ$4,0))))+SUMPRODUCT((Inputs!$E$5:$E$120=$B30)*ISNUMBER(INDEX(Inputs!$K$5:$AJ$120,0,MATCH(AJ$2,Inputs!$K$4:$AJ$4,0))))=0,NA(),SUMPRODUCT((Inputs!$A$5:$A$120=$B30)*Inputs!$B$5:$B$120*(((Inputs!$G$5:$G$120="moeda")+(Inputs!$G$5:$G$120="acoes"))*Inputs!$B$1+((Inputs!$G$5:$G$120&lt;&gt;"moeda")*(Inputs!$G$5:$G$120&lt;&gt;"acoes")))*INDEX(Inputs!$K$5:$AJ$120,0,MATCH(AJ$2,Inputs!$K$4:$AJ$4,0)))+SUMPRODUCT((Inputs!$C$5:$C$120=$B30)*Inputs!$D$5:$D$120*(((Inputs!$G$5:$G$120="moeda")+(Inputs!$G$5:$G$120="acoes"))*Inputs!$B$1+((Inputs!$G$5:$G$120&lt;&gt;"moeda")*(Inputs!$G$5:$G$120&lt;&gt;"acoes")))*INDEX(Inputs!$K$5:$AJ$120,0,MATCH(AJ$2,Inputs!$K$4:$AJ$4,0)))+SUMPRODUCT((Inputs!$E$5:$E$120=$B30)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0" s="267">
        <f>IF(ISNA(MATCH(AK$2,Inputs!$K$4:$AJ$4,0)),NA(),IF(SUMPRODUCT((Inputs!$A$5:$A$120=$B30)*ISNUMBER(INDEX(Inputs!$K$5:$AJ$120,0,MATCH(AK$2,Inputs!$K$4:$AJ$4,0))))+SUMPRODUCT((Inputs!$C$5:$C$120=$B30)*ISNUMBER(INDEX(Inputs!$K$5:$AJ$120,0,MATCH(AK$2,Inputs!$K$4:$AJ$4,0))))+SUMPRODUCT((Inputs!$E$5:$E$120=$B30)*ISNUMBER(INDEX(Inputs!$K$5:$AJ$120,0,MATCH(AK$2,Inputs!$K$4:$AJ$4,0))))=0,NA(),SUMPRODUCT((Inputs!$A$5:$A$120=$B30)*Inputs!$B$5:$B$120*(((Inputs!$G$5:$G$120="moeda")+(Inputs!$G$5:$G$120="acoes"))*Inputs!$B$1+((Inputs!$G$5:$G$120&lt;&gt;"moeda")*(Inputs!$G$5:$G$120&lt;&gt;"acoes")))*INDEX(Inputs!$K$5:$AJ$120,0,MATCH(AK$2,Inputs!$K$4:$AJ$4,0)))+SUMPRODUCT((Inputs!$C$5:$C$120=$B30)*Inputs!$D$5:$D$120*(((Inputs!$G$5:$G$120="moeda")+(Inputs!$G$5:$G$120="acoes"))*Inputs!$B$1+((Inputs!$G$5:$G$120&lt;&gt;"moeda")*(Inputs!$G$5:$G$120&lt;&gt;"acoes")))*INDEX(Inputs!$K$5:$AJ$120,0,MATCH(AK$2,Inputs!$K$4:$AJ$4,0)))+SUMPRODUCT((Inputs!$E$5:$E$120=$B30)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0" s="268">
        <f>AK30</f>
        <v>0</v>
      </c>
    </row>
    <row r="31" ht="12.75" customHeight="1" s="255">
      <c r="B31" s="265" t="n">
        <v>26</v>
      </c>
      <c r="C31" s="270" t="inlineStr">
        <is>
          <t>Other current liabilities (non-debt)</t>
        </is>
      </c>
      <c r="D31" s="267">
        <f>IF(ISNA(MATCH(D$2,Inputs!$K$4:$AJ$4,0)),NA(),IF(SUMPRODUCT((Inputs!$A$5:$A$120=$B31)*ISNUMBER(INDEX(Inputs!$K$5:$AJ$120,0,MATCH(D$2,Inputs!$K$4:$AJ$4,0))))+SUMPRODUCT((Inputs!$C$5:$C$120=$B31)*ISNUMBER(INDEX(Inputs!$K$5:$AJ$120,0,MATCH(D$2,Inputs!$K$4:$AJ$4,0))))+SUMPRODUCT((Inputs!$E$5:$E$120=$B31)*ISNUMBER(INDEX(Inputs!$K$5:$AJ$120,0,MATCH(D$2,Inputs!$K$4:$AJ$4,0))))=0,NA(),SUMPRODUCT((Inputs!$A$5:$A$120=$B31)*Inputs!$B$5:$B$120*(((Inputs!$G$5:$G$120="moeda")+(Inputs!$G$5:$G$120="acoes"))*Inputs!$B$1+((Inputs!$G$5:$G$120&lt;&gt;"moeda")*(Inputs!$G$5:$G$120&lt;&gt;"acoes")))*INDEX(Inputs!$K$5:$AJ$120,0,MATCH(D$2,Inputs!$K$4:$AJ$4,0)))+SUMPRODUCT((Inputs!$C$5:$C$120=$B31)*Inputs!$D$5:$D$120*(((Inputs!$G$5:$G$120="moeda")+(Inputs!$G$5:$G$120="acoes"))*Inputs!$B$1+((Inputs!$G$5:$G$120&lt;&gt;"moeda")*(Inputs!$G$5:$G$120&lt;&gt;"acoes")))*INDEX(Inputs!$K$5:$AJ$120,0,MATCH(D$2,Inputs!$K$4:$AJ$4,0)))+SUMPRODUCT((Inputs!$E$5:$E$120=$B31)*Inputs!$F$5:$F$120*(((Inputs!$G$5:$G$120="moeda")+(Inputs!$G$5:$G$120="acoes"))*Inputs!$B$1+((Inputs!$G$5:$G$120&lt;&gt;"moeda")*(Inputs!$G$5:$G$120&lt;&gt;"acoes")))*INDEX(Inputs!$K$5:$AJ$120,0,MATCH(D$2,Inputs!$K$4:$AJ$4,0)))))</f>
        <v>4542</v>
      </c>
      <c r="E31" s="267">
        <f>IF(ISNA(MATCH(E$2,Inputs!$K$4:$AJ$4,0)),NA(),IF(SUMPRODUCT((Inputs!$A$5:$A$120=$B31)*ISNUMBER(INDEX(Inputs!$K$5:$AJ$120,0,MATCH(E$2,Inputs!$K$4:$AJ$4,0))))+SUMPRODUCT((Inputs!$C$5:$C$120=$B31)*ISNUMBER(INDEX(Inputs!$K$5:$AJ$120,0,MATCH(E$2,Inputs!$K$4:$AJ$4,0))))+SUMPRODUCT((Inputs!$E$5:$E$120=$B31)*ISNUMBER(INDEX(Inputs!$K$5:$AJ$120,0,MATCH(E$2,Inputs!$K$4:$AJ$4,0))))=0,NA(),SUMPRODUCT((Inputs!$A$5:$A$120=$B31)*Inputs!$B$5:$B$120*(((Inputs!$G$5:$G$120="moeda")+(Inputs!$G$5:$G$120="acoes"))*Inputs!$B$1+((Inputs!$G$5:$G$120&lt;&gt;"moeda")*(Inputs!$G$5:$G$120&lt;&gt;"acoes")))*INDEX(Inputs!$K$5:$AJ$120,0,MATCH(E$2,Inputs!$K$4:$AJ$4,0)))+SUMPRODUCT((Inputs!$C$5:$C$120=$B31)*Inputs!$D$5:$D$120*(((Inputs!$G$5:$G$120="moeda")+(Inputs!$G$5:$G$120="acoes"))*Inputs!$B$1+((Inputs!$G$5:$G$120&lt;&gt;"moeda")*(Inputs!$G$5:$G$120&lt;&gt;"acoes")))*INDEX(Inputs!$K$5:$AJ$120,0,MATCH(E$2,Inputs!$K$4:$AJ$4,0)))+SUMPRODUCT((Inputs!$E$5:$E$120=$B31)*Inputs!$F$5:$F$120*(((Inputs!$G$5:$G$120="moeda")+(Inputs!$G$5:$G$120="acoes"))*Inputs!$B$1+((Inputs!$G$5:$G$120&lt;&gt;"moeda")*(Inputs!$G$5:$G$120&lt;&gt;"acoes")))*INDEX(Inputs!$K$5:$AJ$120,0,MATCH(E$2,Inputs!$K$4:$AJ$4,0)))))</f>
        <v>4563</v>
      </c>
      <c r="F31" s="267">
        <f>IF(ISNA(MATCH(F$2,Inputs!$K$4:$AJ$4,0)),NA(),IF(SUMPRODUCT((Inputs!$A$5:$A$120=$B31)*ISNUMBER(INDEX(Inputs!$K$5:$AJ$120,0,MATCH(F$2,Inputs!$K$4:$AJ$4,0))))+SUMPRODUCT((Inputs!$C$5:$C$120=$B31)*ISNUMBER(INDEX(Inputs!$K$5:$AJ$120,0,MATCH(F$2,Inputs!$K$4:$AJ$4,0))))+SUMPRODUCT((Inputs!$E$5:$E$120=$B31)*ISNUMBER(INDEX(Inputs!$K$5:$AJ$120,0,MATCH(F$2,Inputs!$K$4:$AJ$4,0))))=0,NA(),SUMPRODUCT((Inputs!$A$5:$A$120=$B31)*Inputs!$B$5:$B$120*(((Inputs!$G$5:$G$120="moeda")+(Inputs!$G$5:$G$120="acoes"))*Inputs!$B$1+((Inputs!$G$5:$G$120&lt;&gt;"moeda")*(Inputs!$G$5:$G$120&lt;&gt;"acoes")))*INDEX(Inputs!$K$5:$AJ$120,0,MATCH(F$2,Inputs!$K$4:$AJ$4,0)))+SUMPRODUCT((Inputs!$C$5:$C$120=$B31)*Inputs!$D$5:$D$120*(((Inputs!$G$5:$G$120="moeda")+(Inputs!$G$5:$G$120="acoes"))*Inputs!$B$1+((Inputs!$G$5:$G$120&lt;&gt;"moeda")*(Inputs!$G$5:$G$120&lt;&gt;"acoes")))*INDEX(Inputs!$K$5:$AJ$120,0,MATCH(F$2,Inputs!$K$4:$AJ$4,0)))+SUMPRODUCT((Inputs!$E$5:$E$120=$B31)*Inputs!$F$5:$F$120*(((Inputs!$G$5:$G$120="moeda")+(Inputs!$G$5:$G$120="acoes"))*Inputs!$B$1+((Inputs!$G$5:$G$120&lt;&gt;"moeda")*(Inputs!$G$5:$G$120&lt;&gt;"acoes")))*INDEX(Inputs!$K$5:$AJ$120,0,MATCH(F$2,Inputs!$K$4:$AJ$4,0)))))</f>
        <v>3822</v>
      </c>
      <c r="G31" s="267">
        <f>IF(ISNA(MATCH(G$2,Inputs!$K$4:$AJ$4,0)),NA(),IF(SUMPRODUCT((Inputs!$A$5:$A$120=$B31)*ISNUMBER(INDEX(Inputs!$K$5:$AJ$120,0,MATCH(G$2,Inputs!$K$4:$AJ$4,0))))+SUMPRODUCT((Inputs!$C$5:$C$120=$B31)*ISNUMBER(INDEX(Inputs!$K$5:$AJ$120,0,MATCH(G$2,Inputs!$K$4:$AJ$4,0))))+SUMPRODUCT((Inputs!$E$5:$E$120=$B31)*ISNUMBER(INDEX(Inputs!$K$5:$AJ$120,0,MATCH(G$2,Inputs!$K$4:$AJ$4,0))))=0,NA(),SUMPRODUCT((Inputs!$A$5:$A$120=$B31)*Inputs!$B$5:$B$120*(((Inputs!$G$5:$G$120="moeda")+(Inputs!$G$5:$G$120="acoes"))*Inputs!$B$1+((Inputs!$G$5:$G$120&lt;&gt;"moeda")*(Inputs!$G$5:$G$120&lt;&gt;"acoes")))*INDEX(Inputs!$K$5:$AJ$120,0,MATCH(G$2,Inputs!$K$4:$AJ$4,0)))+SUMPRODUCT((Inputs!$C$5:$C$120=$B31)*Inputs!$D$5:$D$120*(((Inputs!$G$5:$G$120="moeda")+(Inputs!$G$5:$G$120="acoes"))*Inputs!$B$1+((Inputs!$G$5:$G$120&lt;&gt;"moeda")*(Inputs!$G$5:$G$120&lt;&gt;"acoes")))*INDEX(Inputs!$K$5:$AJ$120,0,MATCH(G$2,Inputs!$K$4:$AJ$4,0)))+SUMPRODUCT((Inputs!$E$5:$E$120=$B31)*Inputs!$F$5:$F$120*(((Inputs!$G$5:$G$120="moeda")+(Inputs!$G$5:$G$120="acoes"))*Inputs!$B$1+((Inputs!$G$5:$G$120&lt;&gt;"moeda")*(Inputs!$G$5:$G$120&lt;&gt;"acoes")))*INDEX(Inputs!$K$5:$AJ$120,0,MATCH(G$2,Inputs!$K$4:$AJ$4,0)))))</f>
        <v>3547</v>
      </c>
      <c r="H31" s="268">
        <f>G31</f>
        <v>3547</v>
      </c>
      <c r="I31" s="267">
        <f>IF(ISNA(MATCH(I$2,Inputs!$K$4:$AJ$4,0)),NA(),IF(SUMPRODUCT((Inputs!$A$5:$A$120=$B31)*ISNUMBER(INDEX(Inputs!$K$5:$AJ$120,0,MATCH(I$2,Inputs!$K$4:$AJ$4,0))))+SUMPRODUCT((Inputs!$C$5:$C$120=$B31)*ISNUMBER(INDEX(Inputs!$K$5:$AJ$120,0,MATCH(I$2,Inputs!$K$4:$AJ$4,0))))+SUMPRODUCT((Inputs!$E$5:$E$120=$B31)*ISNUMBER(INDEX(Inputs!$K$5:$AJ$120,0,MATCH(I$2,Inputs!$K$4:$AJ$4,0))))=0,NA(),SUMPRODUCT((Inputs!$A$5:$A$120=$B31)*Inputs!$B$5:$B$120*(((Inputs!$G$5:$G$120="moeda")+(Inputs!$G$5:$G$120="acoes"))*Inputs!$B$1+((Inputs!$G$5:$G$120&lt;&gt;"moeda")*(Inputs!$G$5:$G$120&lt;&gt;"acoes")))*INDEX(Inputs!$K$5:$AJ$120,0,MATCH(I$2,Inputs!$K$4:$AJ$4,0)))+SUMPRODUCT((Inputs!$C$5:$C$120=$B31)*Inputs!$D$5:$D$120*(((Inputs!$G$5:$G$120="moeda")+(Inputs!$G$5:$G$120="acoes"))*Inputs!$B$1+((Inputs!$G$5:$G$120&lt;&gt;"moeda")*(Inputs!$G$5:$G$120&lt;&gt;"acoes")))*INDEX(Inputs!$K$5:$AJ$120,0,MATCH(I$2,Inputs!$K$4:$AJ$4,0)))+SUMPRODUCT((Inputs!$E$5:$E$120=$B31)*Inputs!$F$5:$F$120*(((Inputs!$G$5:$G$120="moeda")+(Inputs!$G$5:$G$120="acoes"))*Inputs!$B$1+((Inputs!$G$5:$G$120&lt;&gt;"moeda")*(Inputs!$G$5:$G$120&lt;&gt;"acoes")))*INDEX(Inputs!$K$5:$AJ$120,0,MATCH(I$2,Inputs!$K$4:$AJ$4,0)))))</f>
        <v>5207</v>
      </c>
      <c r="J31" s="267">
        <f>IF(ISNA(MATCH(J$2,Inputs!$K$4:$AJ$4,0)),NA(),IF(SUMPRODUCT((Inputs!$A$5:$A$120=$B31)*ISNUMBER(INDEX(Inputs!$K$5:$AJ$120,0,MATCH(J$2,Inputs!$K$4:$AJ$4,0))))+SUMPRODUCT((Inputs!$C$5:$C$120=$B31)*ISNUMBER(INDEX(Inputs!$K$5:$AJ$120,0,MATCH(J$2,Inputs!$K$4:$AJ$4,0))))+SUMPRODUCT((Inputs!$E$5:$E$120=$B31)*ISNUMBER(INDEX(Inputs!$K$5:$AJ$120,0,MATCH(J$2,Inputs!$K$4:$AJ$4,0))))=0,NA(),SUMPRODUCT((Inputs!$A$5:$A$120=$B31)*Inputs!$B$5:$B$120*(((Inputs!$G$5:$G$120="moeda")+(Inputs!$G$5:$G$120="acoes"))*Inputs!$B$1+((Inputs!$G$5:$G$120&lt;&gt;"moeda")*(Inputs!$G$5:$G$120&lt;&gt;"acoes")))*INDEX(Inputs!$K$5:$AJ$120,0,MATCH(J$2,Inputs!$K$4:$AJ$4,0)))+SUMPRODUCT((Inputs!$C$5:$C$120=$B31)*Inputs!$D$5:$D$120*(((Inputs!$G$5:$G$120="moeda")+(Inputs!$G$5:$G$120="acoes"))*Inputs!$B$1+((Inputs!$G$5:$G$120&lt;&gt;"moeda")*(Inputs!$G$5:$G$120&lt;&gt;"acoes")))*INDEX(Inputs!$K$5:$AJ$120,0,MATCH(J$2,Inputs!$K$4:$AJ$4,0)))+SUMPRODUCT((Inputs!$E$5:$E$120=$B31)*Inputs!$F$5:$F$120*(((Inputs!$G$5:$G$120="moeda")+(Inputs!$G$5:$G$120="acoes"))*Inputs!$B$1+((Inputs!$G$5:$G$120&lt;&gt;"moeda")*(Inputs!$G$5:$G$120&lt;&gt;"acoes")))*INDEX(Inputs!$K$5:$AJ$120,0,MATCH(J$2,Inputs!$K$4:$AJ$4,0)))))</f>
        <v>3901</v>
      </c>
      <c r="K31" s="267">
        <f>IF(ISNA(MATCH(K$2,Inputs!$K$4:$AJ$4,0)),NA(),IF(SUMPRODUCT((Inputs!$A$5:$A$120=$B31)*ISNUMBER(INDEX(Inputs!$K$5:$AJ$120,0,MATCH(K$2,Inputs!$K$4:$AJ$4,0))))+SUMPRODUCT((Inputs!$C$5:$C$120=$B31)*ISNUMBER(INDEX(Inputs!$K$5:$AJ$120,0,MATCH(K$2,Inputs!$K$4:$AJ$4,0))))+SUMPRODUCT((Inputs!$E$5:$E$120=$B31)*ISNUMBER(INDEX(Inputs!$K$5:$AJ$120,0,MATCH(K$2,Inputs!$K$4:$AJ$4,0))))=0,NA(),SUMPRODUCT((Inputs!$A$5:$A$120=$B31)*Inputs!$B$5:$B$120*(((Inputs!$G$5:$G$120="moeda")+(Inputs!$G$5:$G$120="acoes"))*Inputs!$B$1+((Inputs!$G$5:$G$120&lt;&gt;"moeda")*(Inputs!$G$5:$G$120&lt;&gt;"acoes")))*INDEX(Inputs!$K$5:$AJ$120,0,MATCH(K$2,Inputs!$K$4:$AJ$4,0)))+SUMPRODUCT((Inputs!$C$5:$C$120=$B31)*Inputs!$D$5:$D$120*(((Inputs!$G$5:$G$120="moeda")+(Inputs!$G$5:$G$120="acoes"))*Inputs!$B$1+((Inputs!$G$5:$G$120&lt;&gt;"moeda")*(Inputs!$G$5:$G$120&lt;&gt;"acoes")))*INDEX(Inputs!$K$5:$AJ$120,0,MATCH(K$2,Inputs!$K$4:$AJ$4,0)))+SUMPRODUCT((Inputs!$E$5:$E$120=$B31)*Inputs!$F$5:$F$120*(((Inputs!$G$5:$G$120="moeda")+(Inputs!$G$5:$G$120="acoes"))*Inputs!$B$1+((Inputs!$G$5:$G$120&lt;&gt;"moeda")*(Inputs!$G$5:$G$120&lt;&gt;"acoes")))*INDEX(Inputs!$K$5:$AJ$120,0,MATCH(K$2,Inputs!$K$4:$AJ$4,0)))))</f>
        <v>3576</v>
      </c>
      <c r="L31" s="267">
        <f>IF(ISNA(MATCH(L$2,Inputs!$K$4:$AJ$4,0)),NA(),IF(SUMPRODUCT((Inputs!$A$5:$A$120=$B31)*ISNUMBER(INDEX(Inputs!$K$5:$AJ$120,0,MATCH(L$2,Inputs!$K$4:$AJ$4,0))))+SUMPRODUCT((Inputs!$C$5:$C$120=$B31)*ISNUMBER(INDEX(Inputs!$K$5:$AJ$120,0,MATCH(L$2,Inputs!$K$4:$AJ$4,0))))+SUMPRODUCT((Inputs!$E$5:$E$120=$B31)*ISNUMBER(INDEX(Inputs!$K$5:$AJ$120,0,MATCH(L$2,Inputs!$K$4:$AJ$4,0))))=0,NA(),SUMPRODUCT((Inputs!$A$5:$A$120=$B31)*Inputs!$B$5:$B$120*(((Inputs!$G$5:$G$120="moeda")+(Inputs!$G$5:$G$120="acoes"))*Inputs!$B$1+((Inputs!$G$5:$G$120&lt;&gt;"moeda")*(Inputs!$G$5:$G$120&lt;&gt;"acoes")))*INDEX(Inputs!$K$5:$AJ$120,0,MATCH(L$2,Inputs!$K$4:$AJ$4,0)))+SUMPRODUCT((Inputs!$C$5:$C$120=$B31)*Inputs!$D$5:$D$120*(((Inputs!$G$5:$G$120="moeda")+(Inputs!$G$5:$G$120="acoes"))*Inputs!$B$1+((Inputs!$G$5:$G$120&lt;&gt;"moeda")*(Inputs!$G$5:$G$120&lt;&gt;"acoes")))*INDEX(Inputs!$K$5:$AJ$120,0,MATCH(L$2,Inputs!$K$4:$AJ$4,0)))+SUMPRODUCT((Inputs!$E$5:$E$120=$B31)*Inputs!$F$5:$F$120*(((Inputs!$G$5:$G$120="moeda")+(Inputs!$G$5:$G$120="acoes"))*Inputs!$B$1+((Inputs!$G$5:$G$120&lt;&gt;"moeda")*(Inputs!$G$5:$G$120&lt;&gt;"acoes")))*INDEX(Inputs!$K$5:$AJ$120,0,MATCH(L$2,Inputs!$K$4:$AJ$4,0)))))</f>
        <v>3397</v>
      </c>
      <c r="M31" s="268">
        <f>L31</f>
        <v>3397</v>
      </c>
      <c r="N31" s="267">
        <f>IF(ISNA(MATCH(N$2,Inputs!$K$4:$AJ$4,0)),NA(),IF(SUMPRODUCT((Inputs!$A$5:$A$120=$B31)*ISNUMBER(INDEX(Inputs!$K$5:$AJ$120,0,MATCH(N$2,Inputs!$K$4:$AJ$4,0))))+SUMPRODUCT((Inputs!$C$5:$C$120=$B31)*ISNUMBER(INDEX(Inputs!$K$5:$AJ$120,0,MATCH(N$2,Inputs!$K$4:$AJ$4,0))))+SUMPRODUCT((Inputs!$E$5:$E$120=$B31)*ISNUMBER(INDEX(Inputs!$K$5:$AJ$120,0,MATCH(N$2,Inputs!$K$4:$AJ$4,0))))=0,NA(),SUMPRODUCT((Inputs!$A$5:$A$120=$B31)*Inputs!$B$5:$B$120*(((Inputs!$G$5:$G$120="moeda")+(Inputs!$G$5:$G$120="acoes"))*Inputs!$B$1+((Inputs!$G$5:$G$120&lt;&gt;"moeda")*(Inputs!$G$5:$G$120&lt;&gt;"acoes")))*INDEX(Inputs!$K$5:$AJ$120,0,MATCH(N$2,Inputs!$K$4:$AJ$4,0)))+SUMPRODUCT((Inputs!$C$5:$C$120=$B31)*Inputs!$D$5:$D$120*(((Inputs!$G$5:$G$120="moeda")+(Inputs!$G$5:$G$120="acoes"))*Inputs!$B$1+((Inputs!$G$5:$G$120&lt;&gt;"moeda")*(Inputs!$G$5:$G$120&lt;&gt;"acoes")))*INDEX(Inputs!$K$5:$AJ$120,0,MATCH(N$2,Inputs!$K$4:$AJ$4,0)))+SUMPRODUCT((Inputs!$E$5:$E$120=$B31)*Inputs!$F$5:$F$120*(((Inputs!$G$5:$G$120="moeda")+(Inputs!$G$5:$G$120="acoes"))*Inputs!$B$1+((Inputs!$G$5:$G$120&lt;&gt;"moeda")*(Inputs!$G$5:$G$120&lt;&gt;"acoes")))*INDEX(Inputs!$K$5:$AJ$120,0,MATCH(N$2,Inputs!$K$4:$AJ$4,0)))))</f>
        <v>3116</v>
      </c>
      <c r="O31" s="267">
        <f>IF(ISNA(MATCH(O$2,Inputs!$K$4:$AJ$4,0)),NA(),IF(SUMPRODUCT((Inputs!$A$5:$A$120=$B31)*ISNUMBER(INDEX(Inputs!$K$5:$AJ$120,0,MATCH(O$2,Inputs!$K$4:$AJ$4,0))))+SUMPRODUCT((Inputs!$C$5:$C$120=$B31)*ISNUMBER(INDEX(Inputs!$K$5:$AJ$120,0,MATCH(O$2,Inputs!$K$4:$AJ$4,0))))+SUMPRODUCT((Inputs!$E$5:$E$120=$B31)*ISNUMBER(INDEX(Inputs!$K$5:$AJ$120,0,MATCH(O$2,Inputs!$K$4:$AJ$4,0))))=0,NA(),SUMPRODUCT((Inputs!$A$5:$A$120=$B31)*Inputs!$B$5:$B$120*(((Inputs!$G$5:$G$120="moeda")+(Inputs!$G$5:$G$120="acoes"))*Inputs!$B$1+((Inputs!$G$5:$G$120&lt;&gt;"moeda")*(Inputs!$G$5:$G$120&lt;&gt;"acoes")))*INDEX(Inputs!$K$5:$AJ$120,0,MATCH(O$2,Inputs!$K$4:$AJ$4,0)))+SUMPRODUCT((Inputs!$C$5:$C$120=$B31)*Inputs!$D$5:$D$120*(((Inputs!$G$5:$G$120="moeda")+(Inputs!$G$5:$G$120="acoes"))*Inputs!$B$1+((Inputs!$G$5:$G$120&lt;&gt;"moeda")*(Inputs!$G$5:$G$120&lt;&gt;"acoes")))*INDEX(Inputs!$K$5:$AJ$120,0,MATCH(O$2,Inputs!$K$4:$AJ$4,0)))+SUMPRODUCT((Inputs!$E$5:$E$120=$B31)*Inputs!$F$5:$F$120*(((Inputs!$G$5:$G$120="moeda")+(Inputs!$G$5:$G$120="acoes"))*Inputs!$B$1+((Inputs!$G$5:$G$120&lt;&gt;"moeda")*(Inputs!$G$5:$G$120&lt;&gt;"acoes")))*INDEX(Inputs!$K$5:$AJ$120,0,MATCH(O$2,Inputs!$K$4:$AJ$4,0)))))</f>
        <v>3002</v>
      </c>
      <c r="P31" s="267">
        <f>IF(ISNA(MATCH(P$2,Inputs!$K$4:$AJ$4,0)),NA(),IF(SUMPRODUCT((Inputs!$A$5:$A$120=$B31)*ISNUMBER(INDEX(Inputs!$K$5:$AJ$120,0,MATCH(P$2,Inputs!$K$4:$AJ$4,0))))+SUMPRODUCT((Inputs!$C$5:$C$120=$B31)*ISNUMBER(INDEX(Inputs!$K$5:$AJ$120,0,MATCH(P$2,Inputs!$K$4:$AJ$4,0))))+SUMPRODUCT((Inputs!$E$5:$E$120=$B31)*ISNUMBER(INDEX(Inputs!$K$5:$AJ$120,0,MATCH(P$2,Inputs!$K$4:$AJ$4,0))))=0,NA(),SUMPRODUCT((Inputs!$A$5:$A$120=$B31)*Inputs!$B$5:$B$120*(((Inputs!$G$5:$G$120="moeda")+(Inputs!$G$5:$G$120="acoes"))*Inputs!$B$1+((Inputs!$G$5:$G$120&lt;&gt;"moeda")*(Inputs!$G$5:$G$120&lt;&gt;"acoes")))*INDEX(Inputs!$K$5:$AJ$120,0,MATCH(P$2,Inputs!$K$4:$AJ$4,0)))+SUMPRODUCT((Inputs!$C$5:$C$120=$B31)*Inputs!$D$5:$D$120*(((Inputs!$G$5:$G$120="moeda")+(Inputs!$G$5:$G$120="acoes"))*Inputs!$B$1+((Inputs!$G$5:$G$120&lt;&gt;"moeda")*(Inputs!$G$5:$G$120&lt;&gt;"acoes")))*INDEX(Inputs!$K$5:$AJ$120,0,MATCH(P$2,Inputs!$K$4:$AJ$4,0)))+SUMPRODUCT((Inputs!$E$5:$E$120=$B31)*Inputs!$F$5:$F$120*(((Inputs!$G$5:$G$120="moeda")+(Inputs!$G$5:$G$120="acoes"))*Inputs!$B$1+((Inputs!$G$5:$G$120&lt;&gt;"moeda")*(Inputs!$G$5:$G$120&lt;&gt;"acoes")))*INDEX(Inputs!$K$5:$AJ$120,0,MATCH(P$2,Inputs!$K$4:$AJ$4,0)))))</f>
        <v>2738</v>
      </c>
      <c r="Q31" s="267">
        <f>IF(ISNA(MATCH(Q$2,Inputs!$K$4:$AJ$4,0)),NA(),IF(SUMPRODUCT((Inputs!$A$5:$A$120=$B31)*ISNUMBER(INDEX(Inputs!$K$5:$AJ$120,0,MATCH(Q$2,Inputs!$K$4:$AJ$4,0))))+SUMPRODUCT((Inputs!$C$5:$C$120=$B31)*ISNUMBER(INDEX(Inputs!$K$5:$AJ$120,0,MATCH(Q$2,Inputs!$K$4:$AJ$4,0))))+SUMPRODUCT((Inputs!$E$5:$E$120=$B31)*ISNUMBER(INDEX(Inputs!$K$5:$AJ$120,0,MATCH(Q$2,Inputs!$K$4:$AJ$4,0))))=0,NA(),SUMPRODUCT((Inputs!$A$5:$A$120=$B31)*Inputs!$B$5:$B$120*(((Inputs!$G$5:$G$120="moeda")+(Inputs!$G$5:$G$120="acoes"))*Inputs!$B$1+((Inputs!$G$5:$G$120&lt;&gt;"moeda")*(Inputs!$G$5:$G$120&lt;&gt;"acoes")))*INDEX(Inputs!$K$5:$AJ$120,0,MATCH(Q$2,Inputs!$K$4:$AJ$4,0)))+SUMPRODUCT((Inputs!$C$5:$C$120=$B31)*Inputs!$D$5:$D$120*(((Inputs!$G$5:$G$120="moeda")+(Inputs!$G$5:$G$120="acoes"))*Inputs!$B$1+((Inputs!$G$5:$G$120&lt;&gt;"moeda")*(Inputs!$G$5:$G$120&lt;&gt;"acoes")))*INDEX(Inputs!$K$5:$AJ$120,0,MATCH(Q$2,Inputs!$K$4:$AJ$4,0)))+SUMPRODUCT((Inputs!$E$5:$E$120=$B31)*Inputs!$F$5:$F$120*(((Inputs!$G$5:$G$120="moeda")+(Inputs!$G$5:$G$120="acoes"))*Inputs!$B$1+((Inputs!$G$5:$G$120&lt;&gt;"moeda")*(Inputs!$G$5:$G$120&lt;&gt;"acoes")))*INDEX(Inputs!$K$5:$AJ$120,0,MATCH(Q$2,Inputs!$K$4:$AJ$4,0)))))</f>
        <v>2914</v>
      </c>
      <c r="R31" s="268">
        <f>Q31</f>
        <v>2914</v>
      </c>
      <c r="S31" s="267">
        <f>IF(ISNA(MATCH(S$2,Inputs!$K$4:$AJ$4,0)),NA(),IF(SUMPRODUCT((Inputs!$A$5:$A$120=$B31)*ISNUMBER(INDEX(Inputs!$K$5:$AJ$120,0,MATCH(S$2,Inputs!$K$4:$AJ$4,0))))+SUMPRODUCT((Inputs!$C$5:$C$120=$B31)*ISNUMBER(INDEX(Inputs!$K$5:$AJ$120,0,MATCH(S$2,Inputs!$K$4:$AJ$4,0))))+SUMPRODUCT((Inputs!$E$5:$E$120=$B31)*ISNUMBER(INDEX(Inputs!$K$5:$AJ$120,0,MATCH(S$2,Inputs!$K$4:$AJ$4,0))))=0,NA(),SUMPRODUCT((Inputs!$A$5:$A$120=$B31)*Inputs!$B$5:$B$120*(((Inputs!$G$5:$G$120="moeda")+(Inputs!$G$5:$G$120="acoes"))*Inputs!$B$1+((Inputs!$G$5:$G$120&lt;&gt;"moeda")*(Inputs!$G$5:$G$120&lt;&gt;"acoes")))*INDEX(Inputs!$K$5:$AJ$120,0,MATCH(S$2,Inputs!$K$4:$AJ$4,0)))+SUMPRODUCT((Inputs!$C$5:$C$120=$B31)*Inputs!$D$5:$D$120*(((Inputs!$G$5:$G$120="moeda")+(Inputs!$G$5:$G$120="acoes"))*Inputs!$B$1+((Inputs!$G$5:$G$120&lt;&gt;"moeda")*(Inputs!$G$5:$G$120&lt;&gt;"acoes")))*INDEX(Inputs!$K$5:$AJ$120,0,MATCH(S$2,Inputs!$K$4:$AJ$4,0)))+SUMPRODUCT((Inputs!$E$5:$E$120=$B31)*Inputs!$F$5:$F$120*(((Inputs!$G$5:$G$120="moeda")+(Inputs!$G$5:$G$120="acoes"))*Inputs!$B$1+((Inputs!$G$5:$G$120&lt;&gt;"moeda")*(Inputs!$G$5:$G$120&lt;&gt;"acoes")))*INDEX(Inputs!$K$5:$AJ$120,0,MATCH(S$2,Inputs!$K$4:$AJ$4,0)))))</f>
        <v>2596</v>
      </c>
      <c r="T31" s="267">
        <f>IF(ISNA(MATCH(T$2,Inputs!$K$4:$AJ$4,0)),NA(),IF(SUMPRODUCT((Inputs!$A$5:$A$120=$B31)*ISNUMBER(INDEX(Inputs!$K$5:$AJ$120,0,MATCH(T$2,Inputs!$K$4:$AJ$4,0))))+SUMPRODUCT((Inputs!$C$5:$C$120=$B31)*ISNUMBER(INDEX(Inputs!$K$5:$AJ$120,0,MATCH(T$2,Inputs!$K$4:$AJ$4,0))))+SUMPRODUCT((Inputs!$E$5:$E$120=$B31)*ISNUMBER(INDEX(Inputs!$K$5:$AJ$120,0,MATCH(T$2,Inputs!$K$4:$AJ$4,0))))=0,NA(),SUMPRODUCT((Inputs!$A$5:$A$120=$B31)*Inputs!$B$5:$B$120*(((Inputs!$G$5:$G$120="moeda")+(Inputs!$G$5:$G$120="acoes"))*Inputs!$B$1+((Inputs!$G$5:$G$120&lt;&gt;"moeda")*(Inputs!$G$5:$G$120&lt;&gt;"acoes")))*INDEX(Inputs!$K$5:$AJ$120,0,MATCH(T$2,Inputs!$K$4:$AJ$4,0)))+SUMPRODUCT((Inputs!$C$5:$C$120=$B31)*Inputs!$D$5:$D$120*(((Inputs!$G$5:$G$120="moeda")+(Inputs!$G$5:$G$120="acoes"))*Inputs!$B$1+((Inputs!$G$5:$G$120&lt;&gt;"moeda")*(Inputs!$G$5:$G$120&lt;&gt;"acoes")))*INDEX(Inputs!$K$5:$AJ$120,0,MATCH(T$2,Inputs!$K$4:$AJ$4,0)))+SUMPRODUCT((Inputs!$E$5:$E$120=$B31)*Inputs!$F$5:$F$120*(((Inputs!$G$5:$G$120="moeda")+(Inputs!$G$5:$G$120="acoes"))*Inputs!$B$1+((Inputs!$G$5:$G$120&lt;&gt;"moeda")*(Inputs!$G$5:$G$120&lt;&gt;"acoes")))*INDEX(Inputs!$K$5:$AJ$120,0,MATCH(T$2,Inputs!$K$4:$AJ$4,0)))))</f>
        <v>2924</v>
      </c>
      <c r="U31" s="267">
        <f>IF(ISNA(MATCH(U$2,Inputs!$K$4:$AJ$4,0)),NA(),IF(SUMPRODUCT((Inputs!$A$5:$A$120=$B31)*ISNUMBER(INDEX(Inputs!$K$5:$AJ$120,0,MATCH(U$2,Inputs!$K$4:$AJ$4,0))))+SUMPRODUCT((Inputs!$C$5:$C$120=$B31)*ISNUMBER(INDEX(Inputs!$K$5:$AJ$120,0,MATCH(U$2,Inputs!$K$4:$AJ$4,0))))+SUMPRODUCT((Inputs!$E$5:$E$120=$B31)*ISNUMBER(INDEX(Inputs!$K$5:$AJ$120,0,MATCH(U$2,Inputs!$K$4:$AJ$4,0))))=0,NA(),SUMPRODUCT((Inputs!$A$5:$A$120=$B31)*Inputs!$B$5:$B$120*(((Inputs!$G$5:$G$120="moeda")+(Inputs!$G$5:$G$120="acoes"))*Inputs!$B$1+((Inputs!$G$5:$G$120&lt;&gt;"moeda")*(Inputs!$G$5:$G$120&lt;&gt;"acoes")))*INDEX(Inputs!$K$5:$AJ$120,0,MATCH(U$2,Inputs!$K$4:$AJ$4,0)))+SUMPRODUCT((Inputs!$C$5:$C$120=$B31)*Inputs!$D$5:$D$120*(((Inputs!$G$5:$G$120="moeda")+(Inputs!$G$5:$G$120="acoes"))*Inputs!$B$1+((Inputs!$G$5:$G$120&lt;&gt;"moeda")*(Inputs!$G$5:$G$120&lt;&gt;"acoes")))*INDEX(Inputs!$K$5:$AJ$120,0,MATCH(U$2,Inputs!$K$4:$AJ$4,0)))+SUMPRODUCT((Inputs!$E$5:$E$120=$B31)*Inputs!$F$5:$F$120*(((Inputs!$G$5:$G$120="moeda")+(Inputs!$G$5:$G$120="acoes"))*Inputs!$B$1+((Inputs!$G$5:$G$120&lt;&gt;"moeda")*(Inputs!$G$5:$G$120&lt;&gt;"acoes")))*INDEX(Inputs!$K$5:$AJ$120,0,MATCH(U$2,Inputs!$K$4:$AJ$4,0)))))</f>
        <v>2774</v>
      </c>
      <c r="V31" s="267">
        <f>IF(ISNA(MATCH(V$2,Inputs!$K$4:$AJ$4,0)),NA(),IF(SUMPRODUCT((Inputs!$A$5:$A$120=$B31)*ISNUMBER(INDEX(Inputs!$K$5:$AJ$120,0,MATCH(V$2,Inputs!$K$4:$AJ$4,0))))+SUMPRODUCT((Inputs!$C$5:$C$120=$B31)*ISNUMBER(INDEX(Inputs!$K$5:$AJ$120,0,MATCH(V$2,Inputs!$K$4:$AJ$4,0))))+SUMPRODUCT((Inputs!$E$5:$E$120=$B31)*ISNUMBER(INDEX(Inputs!$K$5:$AJ$120,0,MATCH(V$2,Inputs!$K$4:$AJ$4,0))))=0,NA(),SUMPRODUCT((Inputs!$A$5:$A$120=$B31)*Inputs!$B$5:$B$120*(((Inputs!$G$5:$G$120="moeda")+(Inputs!$G$5:$G$120="acoes"))*Inputs!$B$1+((Inputs!$G$5:$G$120&lt;&gt;"moeda")*(Inputs!$G$5:$G$120&lt;&gt;"acoes")))*INDEX(Inputs!$K$5:$AJ$120,0,MATCH(V$2,Inputs!$K$4:$AJ$4,0)))+SUMPRODUCT((Inputs!$C$5:$C$120=$B31)*Inputs!$D$5:$D$120*(((Inputs!$G$5:$G$120="moeda")+(Inputs!$G$5:$G$120="acoes"))*Inputs!$B$1+((Inputs!$G$5:$G$120&lt;&gt;"moeda")*(Inputs!$G$5:$G$120&lt;&gt;"acoes")))*INDEX(Inputs!$K$5:$AJ$120,0,MATCH(V$2,Inputs!$K$4:$AJ$4,0)))+SUMPRODUCT((Inputs!$E$5:$E$120=$B31)*Inputs!$F$5:$F$120*(((Inputs!$G$5:$G$120="moeda")+(Inputs!$G$5:$G$120="acoes"))*Inputs!$B$1+((Inputs!$G$5:$G$120&lt;&gt;"moeda")*(Inputs!$G$5:$G$120&lt;&gt;"acoes")))*INDEX(Inputs!$K$5:$AJ$120,0,MATCH(V$2,Inputs!$K$4:$AJ$4,0)))))</f>
        <v>2828</v>
      </c>
      <c r="W31" s="268">
        <f>V31</f>
        <v>2828</v>
      </c>
      <c r="X31" s="267">
        <f>IF(ISNA(MATCH(X$2,Inputs!$K$4:$AJ$4,0)),NA(),IF(SUMPRODUCT((Inputs!$A$5:$A$120=$B31)*ISNUMBER(INDEX(Inputs!$K$5:$AJ$120,0,MATCH(X$2,Inputs!$K$4:$AJ$4,0))))+SUMPRODUCT((Inputs!$C$5:$C$120=$B31)*ISNUMBER(INDEX(Inputs!$K$5:$AJ$120,0,MATCH(X$2,Inputs!$K$4:$AJ$4,0))))+SUMPRODUCT((Inputs!$E$5:$E$120=$B31)*ISNUMBER(INDEX(Inputs!$K$5:$AJ$120,0,MATCH(X$2,Inputs!$K$4:$AJ$4,0))))=0,NA(),SUMPRODUCT((Inputs!$A$5:$A$120=$B31)*Inputs!$B$5:$B$120*(((Inputs!$G$5:$G$120="moeda")+(Inputs!$G$5:$G$120="acoes"))*Inputs!$B$1+((Inputs!$G$5:$G$120&lt;&gt;"moeda")*(Inputs!$G$5:$G$120&lt;&gt;"acoes")))*INDEX(Inputs!$K$5:$AJ$120,0,MATCH(X$2,Inputs!$K$4:$AJ$4,0)))+SUMPRODUCT((Inputs!$C$5:$C$120=$B31)*Inputs!$D$5:$D$120*(((Inputs!$G$5:$G$120="moeda")+(Inputs!$G$5:$G$120="acoes"))*Inputs!$B$1+((Inputs!$G$5:$G$120&lt;&gt;"moeda")*(Inputs!$G$5:$G$120&lt;&gt;"acoes")))*INDEX(Inputs!$K$5:$AJ$120,0,MATCH(X$2,Inputs!$K$4:$AJ$4,0)))+SUMPRODUCT((Inputs!$E$5:$E$120=$B31)*Inputs!$F$5:$F$120*(((Inputs!$G$5:$G$120="moeda")+(Inputs!$G$5:$G$120="acoes"))*Inputs!$B$1+((Inputs!$G$5:$G$120&lt;&gt;"moeda")*(Inputs!$G$5:$G$120&lt;&gt;"acoes")))*INDEX(Inputs!$K$5:$AJ$120,0,MATCH(X$2,Inputs!$K$4:$AJ$4,0)))))</f>
        <v>2416</v>
      </c>
      <c r="Y31" s="267">
        <f>IF(ISNA(MATCH(Y$2,Inputs!$K$4:$AJ$4,0)),NA(),IF(SUMPRODUCT((Inputs!$A$5:$A$120=$B31)*ISNUMBER(INDEX(Inputs!$K$5:$AJ$120,0,MATCH(Y$2,Inputs!$K$4:$AJ$4,0))))+SUMPRODUCT((Inputs!$C$5:$C$120=$B31)*ISNUMBER(INDEX(Inputs!$K$5:$AJ$120,0,MATCH(Y$2,Inputs!$K$4:$AJ$4,0))))+SUMPRODUCT((Inputs!$E$5:$E$120=$B31)*ISNUMBER(INDEX(Inputs!$K$5:$AJ$120,0,MATCH(Y$2,Inputs!$K$4:$AJ$4,0))))=0,NA(),SUMPRODUCT((Inputs!$A$5:$A$120=$B31)*Inputs!$B$5:$B$120*(((Inputs!$G$5:$G$120="moeda")+(Inputs!$G$5:$G$120="acoes"))*Inputs!$B$1+((Inputs!$G$5:$G$120&lt;&gt;"moeda")*(Inputs!$G$5:$G$120&lt;&gt;"acoes")))*INDEX(Inputs!$K$5:$AJ$120,0,MATCH(Y$2,Inputs!$K$4:$AJ$4,0)))+SUMPRODUCT((Inputs!$C$5:$C$120=$B31)*Inputs!$D$5:$D$120*(((Inputs!$G$5:$G$120="moeda")+(Inputs!$G$5:$G$120="acoes"))*Inputs!$B$1+((Inputs!$G$5:$G$120&lt;&gt;"moeda")*(Inputs!$G$5:$G$120&lt;&gt;"acoes")))*INDEX(Inputs!$K$5:$AJ$120,0,MATCH(Y$2,Inputs!$K$4:$AJ$4,0)))+SUMPRODUCT((Inputs!$E$5:$E$120=$B31)*Inputs!$F$5:$F$120*(((Inputs!$G$5:$G$120="moeda")+(Inputs!$G$5:$G$120="acoes"))*Inputs!$B$1+((Inputs!$G$5:$G$120&lt;&gt;"moeda")*(Inputs!$G$5:$G$120&lt;&gt;"acoes")))*INDEX(Inputs!$K$5:$AJ$120,0,MATCH(Y$2,Inputs!$K$4:$AJ$4,0)))))</f>
        <v>2983</v>
      </c>
      <c r="Z31" s="267">
        <f>IF(ISNA(MATCH(Z$2,Inputs!$K$4:$AJ$4,0)),NA(),IF(SUMPRODUCT((Inputs!$A$5:$A$120=$B31)*ISNUMBER(INDEX(Inputs!$K$5:$AJ$120,0,MATCH(Z$2,Inputs!$K$4:$AJ$4,0))))+SUMPRODUCT((Inputs!$C$5:$C$120=$B31)*ISNUMBER(INDEX(Inputs!$K$5:$AJ$120,0,MATCH(Z$2,Inputs!$K$4:$AJ$4,0))))+SUMPRODUCT((Inputs!$E$5:$E$120=$B31)*ISNUMBER(INDEX(Inputs!$K$5:$AJ$120,0,MATCH(Z$2,Inputs!$K$4:$AJ$4,0))))=0,NA(),SUMPRODUCT((Inputs!$A$5:$A$120=$B31)*Inputs!$B$5:$B$120*(((Inputs!$G$5:$G$120="moeda")+(Inputs!$G$5:$G$120="acoes"))*Inputs!$B$1+((Inputs!$G$5:$G$120&lt;&gt;"moeda")*(Inputs!$G$5:$G$120&lt;&gt;"acoes")))*INDEX(Inputs!$K$5:$AJ$120,0,MATCH(Z$2,Inputs!$K$4:$AJ$4,0)))+SUMPRODUCT((Inputs!$C$5:$C$120=$B31)*Inputs!$D$5:$D$120*(((Inputs!$G$5:$G$120="moeda")+(Inputs!$G$5:$G$120="acoes"))*Inputs!$B$1+((Inputs!$G$5:$G$120&lt;&gt;"moeda")*(Inputs!$G$5:$G$120&lt;&gt;"acoes")))*INDEX(Inputs!$K$5:$AJ$120,0,MATCH(Z$2,Inputs!$K$4:$AJ$4,0)))+SUMPRODUCT((Inputs!$E$5:$E$120=$B31)*Inputs!$F$5:$F$120*(((Inputs!$G$5:$G$120="moeda")+(Inputs!$G$5:$G$120="acoes"))*Inputs!$B$1+((Inputs!$G$5:$G$120&lt;&gt;"moeda")*(Inputs!$G$5:$G$120&lt;&gt;"acoes")))*INDEX(Inputs!$K$5:$AJ$120,0,MATCH(Z$2,Inputs!$K$4:$AJ$4,0)))))</f>
        <v>5046</v>
      </c>
      <c r="AA31" s="267">
        <f>IF(ISNA(MATCH(AA$2,Inputs!$K$4:$AJ$4,0)),NA(),IF(SUMPRODUCT((Inputs!$A$5:$A$120=$B31)*ISNUMBER(INDEX(Inputs!$K$5:$AJ$120,0,MATCH(AA$2,Inputs!$K$4:$AJ$4,0))))+SUMPRODUCT((Inputs!$C$5:$C$120=$B31)*ISNUMBER(INDEX(Inputs!$K$5:$AJ$120,0,MATCH(AA$2,Inputs!$K$4:$AJ$4,0))))+SUMPRODUCT((Inputs!$E$5:$E$120=$B31)*ISNUMBER(INDEX(Inputs!$K$5:$AJ$120,0,MATCH(AA$2,Inputs!$K$4:$AJ$4,0))))=0,NA(),SUMPRODUCT((Inputs!$A$5:$A$120=$B31)*Inputs!$B$5:$B$120*(((Inputs!$G$5:$G$120="moeda")+(Inputs!$G$5:$G$120="acoes"))*Inputs!$B$1+((Inputs!$G$5:$G$120&lt;&gt;"moeda")*(Inputs!$G$5:$G$120&lt;&gt;"acoes")))*INDEX(Inputs!$K$5:$AJ$120,0,MATCH(AA$2,Inputs!$K$4:$AJ$4,0)))+SUMPRODUCT((Inputs!$C$5:$C$120=$B31)*Inputs!$D$5:$D$120*(((Inputs!$G$5:$G$120="moeda")+(Inputs!$G$5:$G$120="acoes"))*Inputs!$B$1+((Inputs!$G$5:$G$120&lt;&gt;"moeda")*(Inputs!$G$5:$G$120&lt;&gt;"acoes")))*INDEX(Inputs!$K$5:$AJ$120,0,MATCH(AA$2,Inputs!$K$4:$AJ$4,0)))+SUMPRODUCT((Inputs!$E$5:$E$120=$B31)*Inputs!$F$5:$F$120*(((Inputs!$G$5:$G$120="moeda")+(Inputs!$G$5:$G$120="acoes"))*Inputs!$B$1+((Inputs!$G$5:$G$120&lt;&gt;"moeda")*(Inputs!$G$5:$G$120&lt;&gt;"acoes")))*INDEX(Inputs!$K$5:$AJ$120,0,MATCH(AA$2,Inputs!$K$4:$AJ$4,0)))))</f>
        <v>4527</v>
      </c>
      <c r="AB31" s="268">
        <f>AA31</f>
        <v>4527</v>
      </c>
      <c r="AC31" s="267">
        <f>IF(ISNA(MATCH(AC$2,Inputs!$K$4:$AJ$4,0)),NA(),IF(SUMPRODUCT((Inputs!$A$5:$A$120=$B31)*ISNUMBER(INDEX(Inputs!$K$5:$AJ$120,0,MATCH(AC$2,Inputs!$K$4:$AJ$4,0))))+SUMPRODUCT((Inputs!$C$5:$C$120=$B31)*ISNUMBER(INDEX(Inputs!$K$5:$AJ$120,0,MATCH(AC$2,Inputs!$K$4:$AJ$4,0))))+SUMPRODUCT((Inputs!$E$5:$E$120=$B31)*ISNUMBER(INDEX(Inputs!$K$5:$AJ$120,0,MATCH(AC$2,Inputs!$K$4:$AJ$4,0))))=0,NA(),SUMPRODUCT((Inputs!$A$5:$A$120=$B31)*Inputs!$B$5:$B$120*(((Inputs!$G$5:$G$120="moeda")+(Inputs!$G$5:$G$120="acoes"))*Inputs!$B$1+((Inputs!$G$5:$G$120&lt;&gt;"moeda")*(Inputs!$G$5:$G$120&lt;&gt;"acoes")))*INDEX(Inputs!$K$5:$AJ$120,0,MATCH(AC$2,Inputs!$K$4:$AJ$4,0)))+SUMPRODUCT((Inputs!$C$5:$C$120=$B31)*Inputs!$D$5:$D$120*(((Inputs!$G$5:$G$120="moeda")+(Inputs!$G$5:$G$120="acoes"))*Inputs!$B$1+((Inputs!$G$5:$G$120&lt;&gt;"moeda")*(Inputs!$G$5:$G$120&lt;&gt;"acoes")))*INDEX(Inputs!$K$5:$AJ$120,0,MATCH(AC$2,Inputs!$K$4:$AJ$4,0)))+SUMPRODUCT((Inputs!$E$5:$E$120=$B31)*Inputs!$F$5:$F$120*(((Inputs!$G$5:$G$120="moeda")+(Inputs!$G$5:$G$120="acoes"))*Inputs!$B$1+((Inputs!$G$5:$G$120&lt;&gt;"moeda")*(Inputs!$G$5:$G$120&lt;&gt;"acoes")))*INDEX(Inputs!$K$5:$AJ$120,0,MATCH(AC$2,Inputs!$K$4:$AJ$4,0)))))</f>
        <v>5657</v>
      </c>
      <c r="AD31" s="267">
        <f>IF(ISNA(MATCH(AD$2,Inputs!$K$4:$AJ$4,0)),NA(),IF(SUMPRODUCT((Inputs!$A$5:$A$120=$B31)*ISNUMBER(INDEX(Inputs!$K$5:$AJ$120,0,MATCH(AD$2,Inputs!$K$4:$AJ$4,0))))+SUMPRODUCT((Inputs!$C$5:$C$120=$B31)*ISNUMBER(INDEX(Inputs!$K$5:$AJ$120,0,MATCH(AD$2,Inputs!$K$4:$AJ$4,0))))+SUMPRODUCT((Inputs!$E$5:$E$120=$B31)*ISNUMBER(INDEX(Inputs!$K$5:$AJ$120,0,MATCH(AD$2,Inputs!$K$4:$AJ$4,0))))=0,NA(),SUMPRODUCT((Inputs!$A$5:$A$120=$B31)*Inputs!$B$5:$B$120*(((Inputs!$G$5:$G$120="moeda")+(Inputs!$G$5:$G$120="acoes"))*Inputs!$B$1+((Inputs!$G$5:$G$120&lt;&gt;"moeda")*(Inputs!$G$5:$G$120&lt;&gt;"acoes")))*INDEX(Inputs!$K$5:$AJ$120,0,MATCH(AD$2,Inputs!$K$4:$AJ$4,0)))+SUMPRODUCT((Inputs!$C$5:$C$120=$B31)*Inputs!$D$5:$D$120*(((Inputs!$G$5:$G$120="moeda")+(Inputs!$G$5:$G$120="acoes"))*Inputs!$B$1+((Inputs!$G$5:$G$120&lt;&gt;"moeda")*(Inputs!$G$5:$G$120&lt;&gt;"acoes")))*INDEX(Inputs!$K$5:$AJ$120,0,MATCH(AD$2,Inputs!$K$4:$AJ$4,0)))+SUMPRODUCT((Inputs!$E$5:$E$120=$B31)*Inputs!$F$5:$F$120*(((Inputs!$G$5:$G$120="moeda")+(Inputs!$G$5:$G$120="acoes"))*Inputs!$B$1+((Inputs!$G$5:$G$120&lt;&gt;"moeda")*(Inputs!$G$5:$G$120&lt;&gt;"acoes")))*INDEX(Inputs!$K$5:$AJ$120,0,MATCH(AD$2,Inputs!$K$4:$AJ$4,0)))))</f>
        <v>5074</v>
      </c>
      <c r="AE31" s="267" t="e">
        <f>IF(ISNA(MATCH(AE$2,Inputs!$K$4:$AJ$4,0)),NA(),IF(SUMPRODUCT((Inputs!$A$5:$A$120=$B31)*ISNUMBER(INDEX(Inputs!$K$5:$AJ$120,0,MATCH(AE$2,Inputs!$K$4:$AJ$4,0))))+SUMPRODUCT((Inputs!$C$5:$C$120=$B31)*ISNUMBER(INDEX(Inputs!$K$5:$AJ$120,0,MATCH(AE$2,Inputs!$K$4:$AJ$4,0))))+SUMPRODUCT((Inputs!$E$5:$E$120=$B31)*ISNUMBER(INDEX(Inputs!$K$5:$AJ$120,0,MATCH(AE$2,Inputs!$K$4:$AJ$4,0))))=0,NA(),SUMPRODUCT((Inputs!$A$5:$A$120=$B31)*Inputs!$B$5:$B$120*(((Inputs!$G$5:$G$120="moeda")+(Inputs!$G$5:$G$120="acoes"))*Inputs!$B$1+((Inputs!$G$5:$G$120&lt;&gt;"moeda")*(Inputs!$G$5:$G$120&lt;&gt;"acoes")))*INDEX(Inputs!$K$5:$AJ$120,0,MATCH(AE$2,Inputs!$K$4:$AJ$4,0)))+SUMPRODUCT((Inputs!$C$5:$C$120=$B31)*Inputs!$D$5:$D$120*(((Inputs!$G$5:$G$120="moeda")+(Inputs!$G$5:$G$120="acoes"))*Inputs!$B$1+((Inputs!$G$5:$G$120&lt;&gt;"moeda")*(Inputs!$G$5:$G$120&lt;&gt;"acoes")))*INDEX(Inputs!$K$5:$AJ$120,0,MATCH(AE$2,Inputs!$K$4:$AJ$4,0)))+SUMPRODUCT((Inputs!$E$5:$E$120=$B31)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1" s="267" t="e">
        <f>IF(ISNA(MATCH(AF$2,Inputs!$K$4:$AJ$4,0)),NA(),IF(SUMPRODUCT((Inputs!$A$5:$A$120=$B31)*ISNUMBER(INDEX(Inputs!$K$5:$AJ$120,0,MATCH(AF$2,Inputs!$K$4:$AJ$4,0))))+SUMPRODUCT((Inputs!$C$5:$C$120=$B31)*ISNUMBER(INDEX(Inputs!$K$5:$AJ$120,0,MATCH(AF$2,Inputs!$K$4:$AJ$4,0))))+SUMPRODUCT((Inputs!$E$5:$E$120=$B31)*ISNUMBER(INDEX(Inputs!$K$5:$AJ$120,0,MATCH(AF$2,Inputs!$K$4:$AJ$4,0))))=0,NA(),SUMPRODUCT((Inputs!$A$5:$A$120=$B31)*Inputs!$B$5:$B$120*(((Inputs!$G$5:$G$120="moeda")+(Inputs!$G$5:$G$120="acoes"))*Inputs!$B$1+((Inputs!$G$5:$G$120&lt;&gt;"moeda")*(Inputs!$G$5:$G$120&lt;&gt;"acoes")))*INDEX(Inputs!$K$5:$AJ$120,0,MATCH(AF$2,Inputs!$K$4:$AJ$4,0)))+SUMPRODUCT((Inputs!$C$5:$C$120=$B31)*Inputs!$D$5:$D$120*(((Inputs!$G$5:$G$120="moeda")+(Inputs!$G$5:$G$120="acoes"))*Inputs!$B$1+((Inputs!$G$5:$G$120&lt;&gt;"moeda")*(Inputs!$G$5:$G$120&lt;&gt;"acoes")))*INDEX(Inputs!$K$5:$AJ$120,0,MATCH(AF$2,Inputs!$K$4:$AJ$4,0)))+SUMPRODUCT((Inputs!$E$5:$E$120=$B31)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1" s="268" t="e">
        <f>AF31</f>
        <v>#N/A</v>
      </c>
      <c r="AH31" s="267">
        <f>IF(ISNA(MATCH(AH$2,Inputs!$K$4:$AJ$4,0)),NA(),IF(SUMPRODUCT((Inputs!$A$5:$A$120=$B31)*ISNUMBER(INDEX(Inputs!$K$5:$AJ$120,0,MATCH(AH$2,Inputs!$K$4:$AJ$4,0))))+SUMPRODUCT((Inputs!$C$5:$C$120=$B31)*ISNUMBER(INDEX(Inputs!$K$5:$AJ$120,0,MATCH(AH$2,Inputs!$K$4:$AJ$4,0))))+SUMPRODUCT((Inputs!$E$5:$E$120=$B31)*ISNUMBER(INDEX(Inputs!$K$5:$AJ$120,0,MATCH(AH$2,Inputs!$K$4:$AJ$4,0))))=0,NA(),SUMPRODUCT((Inputs!$A$5:$A$120=$B31)*Inputs!$B$5:$B$120*(((Inputs!$G$5:$G$120="moeda")+(Inputs!$G$5:$G$120="acoes"))*Inputs!$B$1+((Inputs!$G$5:$G$120&lt;&gt;"moeda")*(Inputs!$G$5:$G$120&lt;&gt;"acoes")))*INDEX(Inputs!$K$5:$AJ$120,0,MATCH(AH$2,Inputs!$K$4:$AJ$4,0)))+SUMPRODUCT((Inputs!$C$5:$C$120=$B31)*Inputs!$D$5:$D$120*(((Inputs!$G$5:$G$120="moeda")+(Inputs!$G$5:$G$120="acoes"))*Inputs!$B$1+((Inputs!$G$5:$G$120&lt;&gt;"moeda")*(Inputs!$G$5:$G$120&lt;&gt;"acoes")))*INDEX(Inputs!$K$5:$AJ$120,0,MATCH(AH$2,Inputs!$K$4:$AJ$4,0)))+SUMPRODUCT((Inputs!$E$5:$E$120=$B31)*Inputs!$F$5:$F$120*(((Inputs!$G$5:$G$120="moeda")+(Inputs!$G$5:$G$120="acoes"))*Inputs!$B$1+((Inputs!$G$5:$G$120&lt;&gt;"moeda")*(Inputs!$G$5:$G$120&lt;&gt;"acoes")))*INDEX(Inputs!$K$5:$AJ$120,0,MATCH(AH$2,Inputs!$K$4:$AJ$4,0)))))</f>
        <v>3192</v>
      </c>
      <c r="AI31" s="267">
        <f>IF(ISNA(MATCH(AI$2,Inputs!$K$4:$AJ$4,0)),NA(),IF(SUMPRODUCT((Inputs!$A$5:$A$120=$B31)*ISNUMBER(INDEX(Inputs!$K$5:$AJ$120,0,MATCH(AI$2,Inputs!$K$4:$AJ$4,0))))+SUMPRODUCT((Inputs!$C$5:$C$120=$B31)*ISNUMBER(INDEX(Inputs!$K$5:$AJ$120,0,MATCH(AI$2,Inputs!$K$4:$AJ$4,0))))+SUMPRODUCT((Inputs!$E$5:$E$120=$B31)*ISNUMBER(INDEX(Inputs!$K$5:$AJ$120,0,MATCH(AI$2,Inputs!$K$4:$AJ$4,0))))=0,NA(),SUMPRODUCT((Inputs!$A$5:$A$120=$B31)*Inputs!$B$5:$B$120*(((Inputs!$G$5:$G$120="moeda")+(Inputs!$G$5:$G$120="acoes"))*Inputs!$B$1+((Inputs!$G$5:$G$120&lt;&gt;"moeda")*(Inputs!$G$5:$G$120&lt;&gt;"acoes")))*INDEX(Inputs!$K$5:$AJ$120,0,MATCH(AI$2,Inputs!$K$4:$AJ$4,0)))+SUMPRODUCT((Inputs!$C$5:$C$120=$B31)*Inputs!$D$5:$D$120*(((Inputs!$G$5:$G$120="moeda")+(Inputs!$G$5:$G$120="acoes"))*Inputs!$B$1+((Inputs!$G$5:$G$120&lt;&gt;"moeda")*(Inputs!$G$5:$G$120&lt;&gt;"acoes")))*INDEX(Inputs!$K$5:$AJ$120,0,MATCH(AI$2,Inputs!$K$4:$AJ$4,0)))+SUMPRODUCT((Inputs!$E$5:$E$120=$B31)*Inputs!$F$5:$F$120*(((Inputs!$G$5:$G$120="moeda")+(Inputs!$G$5:$G$120="acoes"))*Inputs!$B$1+((Inputs!$G$5:$G$120&lt;&gt;"moeda")*(Inputs!$G$5:$G$120&lt;&gt;"acoes")))*INDEX(Inputs!$K$5:$AJ$120,0,MATCH(AI$2,Inputs!$K$4:$AJ$4,0)))))</f>
        <v>2617</v>
      </c>
      <c r="AJ31" s="267">
        <f>IF(ISNA(MATCH(AJ$2,Inputs!$K$4:$AJ$4,0)),NA(),IF(SUMPRODUCT((Inputs!$A$5:$A$120=$B31)*ISNUMBER(INDEX(Inputs!$K$5:$AJ$120,0,MATCH(AJ$2,Inputs!$K$4:$AJ$4,0))))+SUMPRODUCT((Inputs!$C$5:$C$120=$B31)*ISNUMBER(INDEX(Inputs!$K$5:$AJ$120,0,MATCH(AJ$2,Inputs!$K$4:$AJ$4,0))))+SUMPRODUCT((Inputs!$E$5:$E$120=$B31)*ISNUMBER(INDEX(Inputs!$K$5:$AJ$120,0,MATCH(AJ$2,Inputs!$K$4:$AJ$4,0))))=0,NA(),SUMPRODUCT((Inputs!$A$5:$A$120=$B31)*Inputs!$B$5:$B$120*(((Inputs!$G$5:$G$120="moeda")+(Inputs!$G$5:$G$120="acoes"))*Inputs!$B$1+((Inputs!$G$5:$G$120&lt;&gt;"moeda")*(Inputs!$G$5:$G$120&lt;&gt;"acoes")))*INDEX(Inputs!$K$5:$AJ$120,0,MATCH(AJ$2,Inputs!$K$4:$AJ$4,0)))+SUMPRODUCT((Inputs!$C$5:$C$120=$B31)*Inputs!$D$5:$D$120*(((Inputs!$G$5:$G$120="moeda")+(Inputs!$G$5:$G$120="acoes"))*Inputs!$B$1+((Inputs!$G$5:$G$120&lt;&gt;"moeda")*(Inputs!$G$5:$G$120&lt;&gt;"acoes")))*INDEX(Inputs!$K$5:$AJ$120,0,MATCH(AJ$2,Inputs!$K$4:$AJ$4,0)))+SUMPRODUCT((Inputs!$E$5:$E$120=$B31)*Inputs!$F$5:$F$120*(((Inputs!$G$5:$G$120="moeda")+(Inputs!$G$5:$G$120="acoes"))*Inputs!$B$1+((Inputs!$G$5:$G$120&lt;&gt;"moeda")*(Inputs!$G$5:$G$120&lt;&gt;"acoes")))*INDEX(Inputs!$K$5:$AJ$120,0,MATCH(AJ$2,Inputs!$K$4:$AJ$4,0)))))</f>
        <v>3872</v>
      </c>
      <c r="AK31" s="267">
        <f>IF(ISNA(MATCH(AK$2,Inputs!$K$4:$AJ$4,0)),NA(),IF(SUMPRODUCT((Inputs!$A$5:$A$120=$B31)*ISNUMBER(INDEX(Inputs!$K$5:$AJ$120,0,MATCH(AK$2,Inputs!$K$4:$AJ$4,0))))+SUMPRODUCT((Inputs!$C$5:$C$120=$B31)*ISNUMBER(INDEX(Inputs!$K$5:$AJ$120,0,MATCH(AK$2,Inputs!$K$4:$AJ$4,0))))+SUMPRODUCT((Inputs!$E$5:$E$120=$B31)*ISNUMBER(INDEX(Inputs!$K$5:$AJ$120,0,MATCH(AK$2,Inputs!$K$4:$AJ$4,0))))=0,NA(),SUMPRODUCT((Inputs!$A$5:$A$120=$B31)*Inputs!$B$5:$B$120*(((Inputs!$G$5:$G$120="moeda")+(Inputs!$G$5:$G$120="acoes"))*Inputs!$B$1+((Inputs!$G$5:$G$120&lt;&gt;"moeda")*(Inputs!$G$5:$G$120&lt;&gt;"acoes")))*INDEX(Inputs!$K$5:$AJ$120,0,MATCH(AK$2,Inputs!$K$4:$AJ$4,0)))+SUMPRODUCT((Inputs!$C$5:$C$120=$B31)*Inputs!$D$5:$D$120*(((Inputs!$G$5:$G$120="moeda")+(Inputs!$G$5:$G$120="acoes"))*Inputs!$B$1+((Inputs!$G$5:$G$120&lt;&gt;"moeda")*(Inputs!$G$5:$G$120&lt;&gt;"acoes")))*INDEX(Inputs!$K$5:$AJ$120,0,MATCH(AK$2,Inputs!$K$4:$AJ$4,0)))+SUMPRODUCT((Inputs!$E$5:$E$120=$B31)*Inputs!$F$5:$F$120*(((Inputs!$G$5:$G$120="moeda")+(Inputs!$G$5:$G$120="acoes"))*Inputs!$B$1+((Inputs!$G$5:$G$120&lt;&gt;"moeda")*(Inputs!$G$5:$G$120&lt;&gt;"acoes")))*INDEX(Inputs!$K$5:$AJ$120,0,MATCH(AK$2,Inputs!$K$4:$AJ$4,0)))))</f>
        <v>5278</v>
      </c>
      <c r="AL31" s="268">
        <f>AK31</f>
        <v>5278</v>
      </c>
    </row>
    <row r="32" ht="12.75" customHeight="1" s="255">
      <c r="B32" s="265" t="n">
        <v>27</v>
      </c>
      <c r="C32" s="270" t="inlineStr">
        <is>
          <t>Current portion of long-term debt</t>
        </is>
      </c>
      <c r="D32" s="267">
        <f>IF(ISNA(MATCH(D$2,Inputs!$K$4:$AJ$4,0)),NA(),IF(SUMPRODUCT((Inputs!$A$5:$A$120=$B32)*ISNUMBER(INDEX(Inputs!$K$5:$AJ$120,0,MATCH(D$2,Inputs!$K$4:$AJ$4,0))))+SUMPRODUCT((Inputs!$C$5:$C$120=$B32)*ISNUMBER(INDEX(Inputs!$K$5:$AJ$120,0,MATCH(D$2,Inputs!$K$4:$AJ$4,0))))+SUMPRODUCT((Inputs!$E$5:$E$120=$B32)*ISNUMBER(INDEX(Inputs!$K$5:$AJ$120,0,MATCH(D$2,Inputs!$K$4:$AJ$4,0))))=0,NA(),SUMPRODUCT((Inputs!$A$5:$A$120=$B32)*Inputs!$B$5:$B$120*(((Inputs!$G$5:$G$120="moeda")+(Inputs!$G$5:$G$120="acoes"))*Inputs!$B$1+((Inputs!$G$5:$G$120&lt;&gt;"moeda")*(Inputs!$G$5:$G$120&lt;&gt;"acoes")))*INDEX(Inputs!$K$5:$AJ$120,0,MATCH(D$2,Inputs!$K$4:$AJ$4,0)))+SUMPRODUCT((Inputs!$C$5:$C$120=$B32)*Inputs!$D$5:$D$120*(((Inputs!$G$5:$G$120="moeda")+(Inputs!$G$5:$G$120="acoes"))*Inputs!$B$1+((Inputs!$G$5:$G$120&lt;&gt;"moeda")*(Inputs!$G$5:$G$120&lt;&gt;"acoes")))*INDEX(Inputs!$K$5:$AJ$120,0,MATCH(D$2,Inputs!$K$4:$AJ$4,0)))+SUMPRODUCT((Inputs!$E$5:$E$120=$B32)*Inputs!$F$5:$F$120*(((Inputs!$G$5:$G$120="moeda")+(Inputs!$G$5:$G$120="acoes"))*Inputs!$B$1+((Inputs!$G$5:$G$120&lt;&gt;"moeda")*(Inputs!$G$5:$G$120&lt;&gt;"acoes")))*INDEX(Inputs!$K$5:$AJ$120,0,MATCH(D$2,Inputs!$K$4:$AJ$4,0)))))</f>
        <v>2715</v>
      </c>
      <c r="E32" s="267">
        <f>IF(ISNA(MATCH(E$2,Inputs!$K$4:$AJ$4,0)),NA(),IF(SUMPRODUCT((Inputs!$A$5:$A$120=$B32)*ISNUMBER(INDEX(Inputs!$K$5:$AJ$120,0,MATCH(E$2,Inputs!$K$4:$AJ$4,0))))+SUMPRODUCT((Inputs!$C$5:$C$120=$B32)*ISNUMBER(INDEX(Inputs!$K$5:$AJ$120,0,MATCH(E$2,Inputs!$K$4:$AJ$4,0))))+SUMPRODUCT((Inputs!$E$5:$E$120=$B32)*ISNUMBER(INDEX(Inputs!$K$5:$AJ$120,0,MATCH(E$2,Inputs!$K$4:$AJ$4,0))))=0,NA(),SUMPRODUCT((Inputs!$A$5:$A$120=$B32)*Inputs!$B$5:$B$120*(((Inputs!$G$5:$G$120="moeda")+(Inputs!$G$5:$G$120="acoes"))*Inputs!$B$1+((Inputs!$G$5:$G$120&lt;&gt;"moeda")*(Inputs!$G$5:$G$120&lt;&gt;"acoes")))*INDEX(Inputs!$K$5:$AJ$120,0,MATCH(E$2,Inputs!$K$4:$AJ$4,0)))+SUMPRODUCT((Inputs!$C$5:$C$120=$B32)*Inputs!$D$5:$D$120*(((Inputs!$G$5:$G$120="moeda")+(Inputs!$G$5:$G$120="acoes"))*Inputs!$B$1+((Inputs!$G$5:$G$120&lt;&gt;"moeda")*(Inputs!$G$5:$G$120&lt;&gt;"acoes")))*INDEX(Inputs!$K$5:$AJ$120,0,MATCH(E$2,Inputs!$K$4:$AJ$4,0)))+SUMPRODUCT((Inputs!$E$5:$E$120=$B32)*Inputs!$F$5:$F$120*(((Inputs!$G$5:$G$120="moeda")+(Inputs!$G$5:$G$120="acoes"))*Inputs!$B$1+((Inputs!$G$5:$G$120&lt;&gt;"moeda")*(Inputs!$G$5:$G$120&lt;&gt;"acoes")))*INDEX(Inputs!$K$5:$AJ$120,0,MATCH(E$2,Inputs!$K$4:$AJ$4,0)))))</f>
        <v>1859</v>
      </c>
      <c r="F32" s="267">
        <f>IF(ISNA(MATCH(F$2,Inputs!$K$4:$AJ$4,0)),NA(),IF(SUMPRODUCT((Inputs!$A$5:$A$120=$B32)*ISNUMBER(INDEX(Inputs!$K$5:$AJ$120,0,MATCH(F$2,Inputs!$K$4:$AJ$4,0))))+SUMPRODUCT((Inputs!$C$5:$C$120=$B32)*ISNUMBER(INDEX(Inputs!$K$5:$AJ$120,0,MATCH(F$2,Inputs!$K$4:$AJ$4,0))))+SUMPRODUCT((Inputs!$E$5:$E$120=$B32)*ISNUMBER(INDEX(Inputs!$K$5:$AJ$120,0,MATCH(F$2,Inputs!$K$4:$AJ$4,0))))=0,NA(),SUMPRODUCT((Inputs!$A$5:$A$120=$B32)*Inputs!$B$5:$B$120*(((Inputs!$G$5:$G$120="moeda")+(Inputs!$G$5:$G$120="acoes"))*Inputs!$B$1+((Inputs!$G$5:$G$120&lt;&gt;"moeda")*(Inputs!$G$5:$G$120&lt;&gt;"acoes")))*INDEX(Inputs!$K$5:$AJ$120,0,MATCH(F$2,Inputs!$K$4:$AJ$4,0)))+SUMPRODUCT((Inputs!$C$5:$C$120=$B32)*Inputs!$D$5:$D$120*(((Inputs!$G$5:$G$120="moeda")+(Inputs!$G$5:$G$120="acoes"))*Inputs!$B$1+((Inputs!$G$5:$G$120&lt;&gt;"moeda")*(Inputs!$G$5:$G$120&lt;&gt;"acoes")))*INDEX(Inputs!$K$5:$AJ$120,0,MATCH(F$2,Inputs!$K$4:$AJ$4,0)))+SUMPRODUCT((Inputs!$E$5:$E$120=$B32)*Inputs!$F$5:$F$120*(((Inputs!$G$5:$G$120="moeda")+(Inputs!$G$5:$G$120="acoes"))*Inputs!$B$1+((Inputs!$G$5:$G$120&lt;&gt;"moeda")*(Inputs!$G$5:$G$120&lt;&gt;"acoes")))*INDEX(Inputs!$K$5:$AJ$120,0,MATCH(F$2,Inputs!$K$4:$AJ$4,0)))))</f>
        <v>1661</v>
      </c>
      <c r="G32" s="267">
        <f>IF(ISNA(MATCH(G$2,Inputs!$K$4:$AJ$4,0)),NA(),IF(SUMPRODUCT((Inputs!$A$5:$A$120=$B32)*ISNUMBER(INDEX(Inputs!$K$5:$AJ$120,0,MATCH(G$2,Inputs!$K$4:$AJ$4,0))))+SUMPRODUCT((Inputs!$C$5:$C$120=$B32)*ISNUMBER(INDEX(Inputs!$K$5:$AJ$120,0,MATCH(G$2,Inputs!$K$4:$AJ$4,0))))+SUMPRODUCT((Inputs!$E$5:$E$120=$B32)*ISNUMBER(INDEX(Inputs!$K$5:$AJ$120,0,MATCH(G$2,Inputs!$K$4:$AJ$4,0))))=0,NA(),SUMPRODUCT((Inputs!$A$5:$A$120=$B32)*Inputs!$B$5:$B$120*(((Inputs!$G$5:$G$120="moeda")+(Inputs!$G$5:$G$120="acoes"))*Inputs!$B$1+((Inputs!$G$5:$G$120&lt;&gt;"moeda")*(Inputs!$G$5:$G$120&lt;&gt;"acoes")))*INDEX(Inputs!$K$5:$AJ$120,0,MATCH(G$2,Inputs!$K$4:$AJ$4,0)))+SUMPRODUCT((Inputs!$C$5:$C$120=$B32)*Inputs!$D$5:$D$120*(((Inputs!$G$5:$G$120="moeda")+(Inputs!$G$5:$G$120="acoes"))*Inputs!$B$1+((Inputs!$G$5:$G$120&lt;&gt;"moeda")*(Inputs!$G$5:$G$120&lt;&gt;"acoes")))*INDEX(Inputs!$K$5:$AJ$120,0,MATCH(G$2,Inputs!$K$4:$AJ$4,0)))+SUMPRODUCT((Inputs!$E$5:$E$120=$B32)*Inputs!$F$5:$F$120*(((Inputs!$G$5:$G$120="moeda")+(Inputs!$G$5:$G$120="acoes"))*Inputs!$B$1+((Inputs!$G$5:$G$120&lt;&gt;"moeda")*(Inputs!$G$5:$G$120&lt;&gt;"acoes")))*INDEX(Inputs!$K$5:$AJ$120,0,MATCH(G$2,Inputs!$K$4:$AJ$4,0)))))</f>
        <v>1177</v>
      </c>
      <c r="H32" s="268">
        <f>G32</f>
        <v>1177</v>
      </c>
      <c r="I32" s="267">
        <f>IF(ISNA(MATCH(I$2,Inputs!$K$4:$AJ$4,0)),NA(),IF(SUMPRODUCT((Inputs!$A$5:$A$120=$B32)*ISNUMBER(INDEX(Inputs!$K$5:$AJ$120,0,MATCH(I$2,Inputs!$K$4:$AJ$4,0))))+SUMPRODUCT((Inputs!$C$5:$C$120=$B32)*ISNUMBER(INDEX(Inputs!$K$5:$AJ$120,0,MATCH(I$2,Inputs!$K$4:$AJ$4,0))))+SUMPRODUCT((Inputs!$E$5:$E$120=$B32)*ISNUMBER(INDEX(Inputs!$K$5:$AJ$120,0,MATCH(I$2,Inputs!$K$4:$AJ$4,0))))=0,NA(),SUMPRODUCT((Inputs!$A$5:$A$120=$B32)*Inputs!$B$5:$B$120*(((Inputs!$G$5:$G$120="moeda")+(Inputs!$G$5:$G$120="acoes"))*Inputs!$B$1+((Inputs!$G$5:$G$120&lt;&gt;"moeda")*(Inputs!$G$5:$G$120&lt;&gt;"acoes")))*INDEX(Inputs!$K$5:$AJ$120,0,MATCH(I$2,Inputs!$K$4:$AJ$4,0)))+SUMPRODUCT((Inputs!$C$5:$C$120=$B32)*Inputs!$D$5:$D$120*(((Inputs!$G$5:$G$120="moeda")+(Inputs!$G$5:$G$120="acoes"))*Inputs!$B$1+((Inputs!$G$5:$G$120&lt;&gt;"moeda")*(Inputs!$G$5:$G$120&lt;&gt;"acoes")))*INDEX(Inputs!$K$5:$AJ$120,0,MATCH(I$2,Inputs!$K$4:$AJ$4,0)))+SUMPRODUCT((Inputs!$E$5:$E$120=$B32)*Inputs!$F$5:$F$120*(((Inputs!$G$5:$G$120="moeda")+(Inputs!$G$5:$G$120="acoes"))*Inputs!$B$1+((Inputs!$G$5:$G$120&lt;&gt;"moeda")*(Inputs!$G$5:$G$120&lt;&gt;"acoes")))*INDEX(Inputs!$K$5:$AJ$120,0,MATCH(I$2,Inputs!$K$4:$AJ$4,0)))))</f>
        <v>2440</v>
      </c>
      <c r="J32" s="267">
        <f>IF(ISNA(MATCH(J$2,Inputs!$K$4:$AJ$4,0)),NA(),IF(SUMPRODUCT((Inputs!$A$5:$A$120=$B32)*ISNUMBER(INDEX(Inputs!$K$5:$AJ$120,0,MATCH(J$2,Inputs!$K$4:$AJ$4,0))))+SUMPRODUCT((Inputs!$C$5:$C$120=$B32)*ISNUMBER(INDEX(Inputs!$K$5:$AJ$120,0,MATCH(J$2,Inputs!$K$4:$AJ$4,0))))+SUMPRODUCT((Inputs!$E$5:$E$120=$B32)*ISNUMBER(INDEX(Inputs!$K$5:$AJ$120,0,MATCH(J$2,Inputs!$K$4:$AJ$4,0))))=0,NA(),SUMPRODUCT((Inputs!$A$5:$A$120=$B32)*Inputs!$B$5:$B$120*(((Inputs!$G$5:$G$120="moeda")+(Inputs!$G$5:$G$120="acoes"))*Inputs!$B$1+((Inputs!$G$5:$G$120&lt;&gt;"moeda")*(Inputs!$G$5:$G$120&lt;&gt;"acoes")))*INDEX(Inputs!$K$5:$AJ$120,0,MATCH(J$2,Inputs!$K$4:$AJ$4,0)))+SUMPRODUCT((Inputs!$C$5:$C$120=$B32)*Inputs!$D$5:$D$120*(((Inputs!$G$5:$G$120="moeda")+(Inputs!$G$5:$G$120="acoes"))*Inputs!$B$1+((Inputs!$G$5:$G$120&lt;&gt;"moeda")*(Inputs!$G$5:$G$120&lt;&gt;"acoes")))*INDEX(Inputs!$K$5:$AJ$120,0,MATCH(J$2,Inputs!$K$4:$AJ$4,0)))+SUMPRODUCT((Inputs!$E$5:$E$120=$B32)*Inputs!$F$5:$F$120*(((Inputs!$G$5:$G$120="moeda")+(Inputs!$G$5:$G$120="acoes"))*Inputs!$B$1+((Inputs!$G$5:$G$120&lt;&gt;"moeda")*(Inputs!$G$5:$G$120&lt;&gt;"acoes")))*INDEX(Inputs!$K$5:$AJ$120,0,MATCH(J$2,Inputs!$K$4:$AJ$4,0)))))</f>
        <v>3457</v>
      </c>
      <c r="K32" s="267">
        <f>IF(ISNA(MATCH(K$2,Inputs!$K$4:$AJ$4,0)),NA(),IF(SUMPRODUCT((Inputs!$A$5:$A$120=$B32)*ISNUMBER(INDEX(Inputs!$K$5:$AJ$120,0,MATCH(K$2,Inputs!$K$4:$AJ$4,0))))+SUMPRODUCT((Inputs!$C$5:$C$120=$B32)*ISNUMBER(INDEX(Inputs!$K$5:$AJ$120,0,MATCH(K$2,Inputs!$K$4:$AJ$4,0))))+SUMPRODUCT((Inputs!$E$5:$E$120=$B32)*ISNUMBER(INDEX(Inputs!$K$5:$AJ$120,0,MATCH(K$2,Inputs!$K$4:$AJ$4,0))))=0,NA(),SUMPRODUCT((Inputs!$A$5:$A$120=$B32)*Inputs!$B$5:$B$120*(((Inputs!$G$5:$G$120="moeda")+(Inputs!$G$5:$G$120="acoes"))*Inputs!$B$1+((Inputs!$G$5:$G$120&lt;&gt;"moeda")*(Inputs!$G$5:$G$120&lt;&gt;"acoes")))*INDEX(Inputs!$K$5:$AJ$120,0,MATCH(K$2,Inputs!$K$4:$AJ$4,0)))+SUMPRODUCT((Inputs!$C$5:$C$120=$B32)*Inputs!$D$5:$D$120*(((Inputs!$G$5:$G$120="moeda")+(Inputs!$G$5:$G$120="acoes"))*Inputs!$B$1+((Inputs!$G$5:$G$120&lt;&gt;"moeda")*(Inputs!$G$5:$G$120&lt;&gt;"acoes")))*INDEX(Inputs!$K$5:$AJ$120,0,MATCH(K$2,Inputs!$K$4:$AJ$4,0)))+SUMPRODUCT((Inputs!$E$5:$E$120=$B32)*Inputs!$F$5:$F$120*(((Inputs!$G$5:$G$120="moeda")+(Inputs!$G$5:$G$120="acoes"))*Inputs!$B$1+((Inputs!$G$5:$G$120&lt;&gt;"moeda")*(Inputs!$G$5:$G$120&lt;&gt;"acoes")))*INDEX(Inputs!$K$5:$AJ$120,0,MATCH(K$2,Inputs!$K$4:$AJ$4,0)))))</f>
        <v>2100</v>
      </c>
      <c r="L32" s="267">
        <f>IF(ISNA(MATCH(L$2,Inputs!$K$4:$AJ$4,0)),NA(),IF(SUMPRODUCT((Inputs!$A$5:$A$120=$B32)*ISNUMBER(INDEX(Inputs!$K$5:$AJ$120,0,MATCH(L$2,Inputs!$K$4:$AJ$4,0))))+SUMPRODUCT((Inputs!$C$5:$C$120=$B32)*ISNUMBER(INDEX(Inputs!$K$5:$AJ$120,0,MATCH(L$2,Inputs!$K$4:$AJ$4,0))))+SUMPRODUCT((Inputs!$E$5:$E$120=$B32)*ISNUMBER(INDEX(Inputs!$K$5:$AJ$120,0,MATCH(L$2,Inputs!$K$4:$AJ$4,0))))=0,NA(),SUMPRODUCT((Inputs!$A$5:$A$120=$B32)*Inputs!$B$5:$B$120*(((Inputs!$G$5:$G$120="moeda")+(Inputs!$G$5:$G$120="acoes"))*Inputs!$B$1+((Inputs!$G$5:$G$120&lt;&gt;"moeda")*(Inputs!$G$5:$G$120&lt;&gt;"acoes")))*INDEX(Inputs!$K$5:$AJ$120,0,MATCH(L$2,Inputs!$K$4:$AJ$4,0)))+SUMPRODUCT((Inputs!$C$5:$C$120=$B32)*Inputs!$D$5:$D$120*(((Inputs!$G$5:$G$120="moeda")+(Inputs!$G$5:$G$120="acoes"))*Inputs!$B$1+((Inputs!$G$5:$G$120&lt;&gt;"moeda")*(Inputs!$G$5:$G$120&lt;&gt;"acoes")))*INDEX(Inputs!$K$5:$AJ$120,0,MATCH(L$2,Inputs!$K$4:$AJ$4,0)))+SUMPRODUCT((Inputs!$E$5:$E$120=$B32)*Inputs!$F$5:$F$120*(((Inputs!$G$5:$G$120="moeda")+(Inputs!$G$5:$G$120="acoes"))*Inputs!$B$1+((Inputs!$G$5:$G$120&lt;&gt;"moeda")*(Inputs!$G$5:$G$120&lt;&gt;"acoes")))*INDEX(Inputs!$K$5:$AJ$120,0,MATCH(L$2,Inputs!$K$4:$AJ$4,0)))))</f>
        <v>1392</v>
      </c>
      <c r="M32" s="268">
        <f>L32</f>
        <v>1392</v>
      </c>
      <c r="N32" s="267">
        <f>IF(ISNA(MATCH(N$2,Inputs!$K$4:$AJ$4,0)),NA(),IF(SUMPRODUCT((Inputs!$A$5:$A$120=$B32)*ISNUMBER(INDEX(Inputs!$K$5:$AJ$120,0,MATCH(N$2,Inputs!$K$4:$AJ$4,0))))+SUMPRODUCT((Inputs!$C$5:$C$120=$B32)*ISNUMBER(INDEX(Inputs!$K$5:$AJ$120,0,MATCH(N$2,Inputs!$K$4:$AJ$4,0))))+SUMPRODUCT((Inputs!$E$5:$E$120=$B32)*ISNUMBER(INDEX(Inputs!$K$5:$AJ$120,0,MATCH(N$2,Inputs!$K$4:$AJ$4,0))))=0,NA(),SUMPRODUCT((Inputs!$A$5:$A$120=$B32)*Inputs!$B$5:$B$120*(((Inputs!$G$5:$G$120="moeda")+(Inputs!$G$5:$G$120="acoes"))*Inputs!$B$1+((Inputs!$G$5:$G$120&lt;&gt;"moeda")*(Inputs!$G$5:$G$120&lt;&gt;"acoes")))*INDEX(Inputs!$K$5:$AJ$120,0,MATCH(N$2,Inputs!$K$4:$AJ$4,0)))+SUMPRODUCT((Inputs!$C$5:$C$120=$B32)*Inputs!$D$5:$D$120*(((Inputs!$G$5:$G$120="moeda")+(Inputs!$G$5:$G$120="acoes"))*Inputs!$B$1+((Inputs!$G$5:$G$120&lt;&gt;"moeda")*(Inputs!$G$5:$G$120&lt;&gt;"acoes")))*INDEX(Inputs!$K$5:$AJ$120,0,MATCH(N$2,Inputs!$K$4:$AJ$4,0)))+SUMPRODUCT((Inputs!$E$5:$E$120=$B32)*Inputs!$F$5:$F$120*(((Inputs!$G$5:$G$120="moeda")+(Inputs!$G$5:$G$120="acoes"))*Inputs!$B$1+((Inputs!$G$5:$G$120&lt;&gt;"moeda")*(Inputs!$G$5:$G$120&lt;&gt;"acoes")))*INDEX(Inputs!$K$5:$AJ$120,0,MATCH(N$2,Inputs!$K$4:$AJ$4,0)))))</f>
        <v>1408</v>
      </c>
      <c r="O32" s="267">
        <f>IF(ISNA(MATCH(O$2,Inputs!$K$4:$AJ$4,0)),NA(),IF(SUMPRODUCT((Inputs!$A$5:$A$120=$B32)*ISNUMBER(INDEX(Inputs!$K$5:$AJ$120,0,MATCH(O$2,Inputs!$K$4:$AJ$4,0))))+SUMPRODUCT((Inputs!$C$5:$C$120=$B32)*ISNUMBER(INDEX(Inputs!$K$5:$AJ$120,0,MATCH(O$2,Inputs!$K$4:$AJ$4,0))))+SUMPRODUCT((Inputs!$E$5:$E$120=$B32)*ISNUMBER(INDEX(Inputs!$K$5:$AJ$120,0,MATCH(O$2,Inputs!$K$4:$AJ$4,0))))=0,NA(),SUMPRODUCT((Inputs!$A$5:$A$120=$B32)*Inputs!$B$5:$B$120*(((Inputs!$G$5:$G$120="moeda")+(Inputs!$G$5:$G$120="acoes"))*Inputs!$B$1+((Inputs!$G$5:$G$120&lt;&gt;"moeda")*(Inputs!$G$5:$G$120&lt;&gt;"acoes")))*INDEX(Inputs!$K$5:$AJ$120,0,MATCH(O$2,Inputs!$K$4:$AJ$4,0)))+SUMPRODUCT((Inputs!$C$5:$C$120=$B32)*Inputs!$D$5:$D$120*(((Inputs!$G$5:$G$120="moeda")+(Inputs!$G$5:$G$120="acoes"))*Inputs!$B$1+((Inputs!$G$5:$G$120&lt;&gt;"moeda")*(Inputs!$G$5:$G$120&lt;&gt;"acoes")))*INDEX(Inputs!$K$5:$AJ$120,0,MATCH(O$2,Inputs!$K$4:$AJ$4,0)))+SUMPRODUCT((Inputs!$E$5:$E$120=$B32)*Inputs!$F$5:$F$120*(((Inputs!$G$5:$G$120="moeda")+(Inputs!$G$5:$G$120="acoes"))*Inputs!$B$1+((Inputs!$G$5:$G$120&lt;&gt;"moeda")*(Inputs!$G$5:$G$120&lt;&gt;"acoes")))*INDEX(Inputs!$K$5:$AJ$120,0,MATCH(O$2,Inputs!$K$4:$AJ$4,0)))))</f>
        <v>671</v>
      </c>
      <c r="P32" s="267">
        <f>IF(ISNA(MATCH(P$2,Inputs!$K$4:$AJ$4,0)),NA(),IF(SUMPRODUCT((Inputs!$A$5:$A$120=$B32)*ISNUMBER(INDEX(Inputs!$K$5:$AJ$120,0,MATCH(P$2,Inputs!$K$4:$AJ$4,0))))+SUMPRODUCT((Inputs!$C$5:$C$120=$B32)*ISNUMBER(INDEX(Inputs!$K$5:$AJ$120,0,MATCH(P$2,Inputs!$K$4:$AJ$4,0))))+SUMPRODUCT((Inputs!$E$5:$E$120=$B32)*ISNUMBER(INDEX(Inputs!$K$5:$AJ$120,0,MATCH(P$2,Inputs!$K$4:$AJ$4,0))))=0,NA(),SUMPRODUCT((Inputs!$A$5:$A$120=$B32)*Inputs!$B$5:$B$120*(((Inputs!$G$5:$G$120="moeda")+(Inputs!$G$5:$G$120="acoes"))*Inputs!$B$1+((Inputs!$G$5:$G$120&lt;&gt;"moeda")*(Inputs!$G$5:$G$120&lt;&gt;"acoes")))*INDEX(Inputs!$K$5:$AJ$120,0,MATCH(P$2,Inputs!$K$4:$AJ$4,0)))+SUMPRODUCT((Inputs!$C$5:$C$120=$B32)*Inputs!$D$5:$D$120*(((Inputs!$G$5:$G$120="moeda")+(Inputs!$G$5:$G$120="acoes"))*Inputs!$B$1+((Inputs!$G$5:$G$120&lt;&gt;"moeda")*(Inputs!$G$5:$G$120&lt;&gt;"acoes")))*INDEX(Inputs!$K$5:$AJ$120,0,MATCH(P$2,Inputs!$K$4:$AJ$4,0)))+SUMPRODUCT((Inputs!$E$5:$E$120=$B32)*Inputs!$F$5:$F$120*(((Inputs!$G$5:$G$120="moeda")+(Inputs!$G$5:$G$120="acoes"))*Inputs!$B$1+((Inputs!$G$5:$G$120&lt;&gt;"moeda")*(Inputs!$G$5:$G$120&lt;&gt;"acoes")))*INDEX(Inputs!$K$5:$AJ$120,0,MATCH(P$2,Inputs!$K$4:$AJ$4,0)))))</f>
        <v>1215</v>
      </c>
      <c r="Q32" s="267">
        <f>IF(ISNA(MATCH(Q$2,Inputs!$K$4:$AJ$4,0)),NA(),IF(SUMPRODUCT((Inputs!$A$5:$A$120=$B32)*ISNUMBER(INDEX(Inputs!$K$5:$AJ$120,0,MATCH(Q$2,Inputs!$K$4:$AJ$4,0))))+SUMPRODUCT((Inputs!$C$5:$C$120=$B32)*ISNUMBER(INDEX(Inputs!$K$5:$AJ$120,0,MATCH(Q$2,Inputs!$K$4:$AJ$4,0))))+SUMPRODUCT((Inputs!$E$5:$E$120=$B32)*ISNUMBER(INDEX(Inputs!$K$5:$AJ$120,0,MATCH(Q$2,Inputs!$K$4:$AJ$4,0))))=0,NA(),SUMPRODUCT((Inputs!$A$5:$A$120=$B32)*Inputs!$B$5:$B$120*(((Inputs!$G$5:$G$120="moeda")+(Inputs!$G$5:$G$120="acoes"))*Inputs!$B$1+((Inputs!$G$5:$G$120&lt;&gt;"moeda")*(Inputs!$G$5:$G$120&lt;&gt;"acoes")))*INDEX(Inputs!$K$5:$AJ$120,0,MATCH(Q$2,Inputs!$K$4:$AJ$4,0)))+SUMPRODUCT((Inputs!$C$5:$C$120=$B32)*Inputs!$D$5:$D$120*(((Inputs!$G$5:$G$120="moeda")+(Inputs!$G$5:$G$120="acoes"))*Inputs!$B$1+((Inputs!$G$5:$G$120&lt;&gt;"moeda")*(Inputs!$G$5:$G$120&lt;&gt;"acoes")))*INDEX(Inputs!$K$5:$AJ$120,0,MATCH(Q$2,Inputs!$K$4:$AJ$4,0)))+SUMPRODUCT((Inputs!$E$5:$E$120=$B32)*Inputs!$F$5:$F$120*(((Inputs!$G$5:$G$120="moeda")+(Inputs!$G$5:$G$120="acoes"))*Inputs!$B$1+((Inputs!$G$5:$G$120&lt;&gt;"moeda")*(Inputs!$G$5:$G$120&lt;&gt;"acoes")))*INDEX(Inputs!$K$5:$AJ$120,0,MATCH(Q$2,Inputs!$K$4:$AJ$4,0)))))</f>
        <v>802</v>
      </c>
      <c r="R32" s="268">
        <f>Q32</f>
        <v>802</v>
      </c>
      <c r="S32" s="267">
        <f>IF(ISNA(MATCH(S$2,Inputs!$K$4:$AJ$4,0)),NA(),IF(SUMPRODUCT((Inputs!$A$5:$A$120=$B32)*ISNUMBER(INDEX(Inputs!$K$5:$AJ$120,0,MATCH(S$2,Inputs!$K$4:$AJ$4,0))))+SUMPRODUCT((Inputs!$C$5:$C$120=$B32)*ISNUMBER(INDEX(Inputs!$K$5:$AJ$120,0,MATCH(S$2,Inputs!$K$4:$AJ$4,0))))+SUMPRODUCT((Inputs!$E$5:$E$120=$B32)*ISNUMBER(INDEX(Inputs!$K$5:$AJ$120,0,MATCH(S$2,Inputs!$K$4:$AJ$4,0))))=0,NA(),SUMPRODUCT((Inputs!$A$5:$A$120=$B32)*Inputs!$B$5:$B$120*(((Inputs!$G$5:$G$120="moeda")+(Inputs!$G$5:$G$120="acoes"))*Inputs!$B$1+((Inputs!$G$5:$G$120&lt;&gt;"moeda")*(Inputs!$G$5:$G$120&lt;&gt;"acoes")))*INDEX(Inputs!$K$5:$AJ$120,0,MATCH(S$2,Inputs!$K$4:$AJ$4,0)))+SUMPRODUCT((Inputs!$C$5:$C$120=$B32)*Inputs!$D$5:$D$120*(((Inputs!$G$5:$G$120="moeda")+(Inputs!$G$5:$G$120="acoes"))*Inputs!$B$1+((Inputs!$G$5:$G$120&lt;&gt;"moeda")*(Inputs!$G$5:$G$120&lt;&gt;"acoes")))*INDEX(Inputs!$K$5:$AJ$120,0,MATCH(S$2,Inputs!$K$4:$AJ$4,0)))+SUMPRODUCT((Inputs!$E$5:$E$120=$B32)*Inputs!$F$5:$F$120*(((Inputs!$G$5:$G$120="moeda")+(Inputs!$G$5:$G$120="acoes"))*Inputs!$B$1+((Inputs!$G$5:$G$120&lt;&gt;"moeda")*(Inputs!$G$5:$G$120&lt;&gt;"acoes")))*INDEX(Inputs!$K$5:$AJ$120,0,MATCH(S$2,Inputs!$K$4:$AJ$4,0)))))</f>
        <v>1016</v>
      </c>
      <c r="T32" s="267">
        <f>IF(ISNA(MATCH(T$2,Inputs!$K$4:$AJ$4,0)),NA(),IF(SUMPRODUCT((Inputs!$A$5:$A$120=$B32)*ISNUMBER(INDEX(Inputs!$K$5:$AJ$120,0,MATCH(T$2,Inputs!$K$4:$AJ$4,0))))+SUMPRODUCT((Inputs!$C$5:$C$120=$B32)*ISNUMBER(INDEX(Inputs!$K$5:$AJ$120,0,MATCH(T$2,Inputs!$K$4:$AJ$4,0))))+SUMPRODUCT((Inputs!$E$5:$E$120=$B32)*ISNUMBER(INDEX(Inputs!$K$5:$AJ$120,0,MATCH(T$2,Inputs!$K$4:$AJ$4,0))))=0,NA(),SUMPRODUCT((Inputs!$A$5:$A$120=$B32)*Inputs!$B$5:$B$120*(((Inputs!$G$5:$G$120="moeda")+(Inputs!$G$5:$G$120="acoes"))*Inputs!$B$1+((Inputs!$G$5:$G$120&lt;&gt;"moeda")*(Inputs!$G$5:$G$120&lt;&gt;"acoes")))*INDEX(Inputs!$K$5:$AJ$120,0,MATCH(T$2,Inputs!$K$4:$AJ$4,0)))+SUMPRODUCT((Inputs!$C$5:$C$120=$B32)*Inputs!$D$5:$D$120*(((Inputs!$G$5:$G$120="moeda")+(Inputs!$G$5:$G$120="acoes"))*Inputs!$B$1+((Inputs!$G$5:$G$120&lt;&gt;"moeda")*(Inputs!$G$5:$G$120&lt;&gt;"acoes")))*INDEX(Inputs!$K$5:$AJ$120,0,MATCH(T$2,Inputs!$K$4:$AJ$4,0)))+SUMPRODUCT((Inputs!$E$5:$E$120=$B32)*Inputs!$F$5:$F$120*(((Inputs!$G$5:$G$120="moeda")+(Inputs!$G$5:$G$120="acoes"))*Inputs!$B$1+((Inputs!$G$5:$G$120&lt;&gt;"moeda")*(Inputs!$G$5:$G$120&lt;&gt;"acoes")))*INDEX(Inputs!$K$5:$AJ$120,0,MATCH(T$2,Inputs!$K$4:$AJ$4,0)))))</f>
        <v>954</v>
      </c>
      <c r="U32" s="267">
        <f>IF(ISNA(MATCH(U$2,Inputs!$K$4:$AJ$4,0)),NA(),IF(SUMPRODUCT((Inputs!$A$5:$A$120=$B32)*ISNUMBER(INDEX(Inputs!$K$5:$AJ$120,0,MATCH(U$2,Inputs!$K$4:$AJ$4,0))))+SUMPRODUCT((Inputs!$C$5:$C$120=$B32)*ISNUMBER(INDEX(Inputs!$K$5:$AJ$120,0,MATCH(U$2,Inputs!$K$4:$AJ$4,0))))+SUMPRODUCT((Inputs!$E$5:$E$120=$B32)*ISNUMBER(INDEX(Inputs!$K$5:$AJ$120,0,MATCH(U$2,Inputs!$K$4:$AJ$4,0))))=0,NA(),SUMPRODUCT((Inputs!$A$5:$A$120=$B32)*Inputs!$B$5:$B$120*(((Inputs!$G$5:$G$120="moeda")+(Inputs!$G$5:$G$120="acoes"))*Inputs!$B$1+((Inputs!$G$5:$G$120&lt;&gt;"moeda")*(Inputs!$G$5:$G$120&lt;&gt;"acoes")))*INDEX(Inputs!$K$5:$AJ$120,0,MATCH(U$2,Inputs!$K$4:$AJ$4,0)))+SUMPRODUCT((Inputs!$C$5:$C$120=$B32)*Inputs!$D$5:$D$120*(((Inputs!$G$5:$G$120="moeda")+(Inputs!$G$5:$G$120="acoes"))*Inputs!$B$1+((Inputs!$G$5:$G$120&lt;&gt;"moeda")*(Inputs!$G$5:$G$120&lt;&gt;"acoes")))*INDEX(Inputs!$K$5:$AJ$120,0,MATCH(U$2,Inputs!$K$4:$AJ$4,0)))+SUMPRODUCT((Inputs!$E$5:$E$120=$B32)*Inputs!$F$5:$F$120*(((Inputs!$G$5:$G$120="moeda")+(Inputs!$G$5:$G$120="acoes"))*Inputs!$B$1+((Inputs!$G$5:$G$120&lt;&gt;"moeda")*(Inputs!$G$5:$G$120&lt;&gt;"acoes")))*INDEX(Inputs!$K$5:$AJ$120,0,MATCH(U$2,Inputs!$K$4:$AJ$4,0)))))</f>
        <v>1418</v>
      </c>
      <c r="V32" s="267">
        <f>IF(ISNA(MATCH(V$2,Inputs!$K$4:$AJ$4,0)),NA(),IF(SUMPRODUCT((Inputs!$A$5:$A$120=$B32)*ISNUMBER(INDEX(Inputs!$K$5:$AJ$120,0,MATCH(V$2,Inputs!$K$4:$AJ$4,0))))+SUMPRODUCT((Inputs!$C$5:$C$120=$B32)*ISNUMBER(INDEX(Inputs!$K$5:$AJ$120,0,MATCH(V$2,Inputs!$K$4:$AJ$4,0))))+SUMPRODUCT((Inputs!$E$5:$E$120=$B32)*ISNUMBER(INDEX(Inputs!$K$5:$AJ$120,0,MATCH(V$2,Inputs!$K$4:$AJ$4,0))))=0,NA(),SUMPRODUCT((Inputs!$A$5:$A$120=$B32)*Inputs!$B$5:$B$120*(((Inputs!$G$5:$G$120="moeda")+(Inputs!$G$5:$G$120="acoes"))*Inputs!$B$1+((Inputs!$G$5:$G$120&lt;&gt;"moeda")*(Inputs!$G$5:$G$120&lt;&gt;"acoes")))*INDEX(Inputs!$K$5:$AJ$120,0,MATCH(V$2,Inputs!$K$4:$AJ$4,0)))+SUMPRODUCT((Inputs!$C$5:$C$120=$B32)*Inputs!$D$5:$D$120*(((Inputs!$G$5:$G$120="moeda")+(Inputs!$G$5:$G$120="acoes"))*Inputs!$B$1+((Inputs!$G$5:$G$120&lt;&gt;"moeda")*(Inputs!$G$5:$G$120&lt;&gt;"acoes")))*INDEX(Inputs!$K$5:$AJ$120,0,MATCH(V$2,Inputs!$K$4:$AJ$4,0)))+SUMPRODUCT((Inputs!$E$5:$E$120=$B32)*Inputs!$F$5:$F$120*(((Inputs!$G$5:$G$120="moeda")+(Inputs!$G$5:$G$120="acoes"))*Inputs!$B$1+((Inputs!$G$5:$G$120&lt;&gt;"moeda")*(Inputs!$G$5:$G$120&lt;&gt;"acoes")))*INDEX(Inputs!$K$5:$AJ$120,0,MATCH(V$2,Inputs!$K$4:$AJ$4,0)))))</f>
        <v>1544</v>
      </c>
      <c r="W32" s="268">
        <f>V32</f>
        <v>1544</v>
      </c>
      <c r="X32" s="267">
        <f>IF(ISNA(MATCH(X$2,Inputs!$K$4:$AJ$4,0)),NA(),IF(SUMPRODUCT((Inputs!$A$5:$A$120=$B32)*ISNUMBER(INDEX(Inputs!$K$5:$AJ$120,0,MATCH(X$2,Inputs!$K$4:$AJ$4,0))))+SUMPRODUCT((Inputs!$C$5:$C$120=$B32)*ISNUMBER(INDEX(Inputs!$K$5:$AJ$120,0,MATCH(X$2,Inputs!$K$4:$AJ$4,0))))+SUMPRODUCT((Inputs!$E$5:$E$120=$B32)*ISNUMBER(INDEX(Inputs!$K$5:$AJ$120,0,MATCH(X$2,Inputs!$K$4:$AJ$4,0))))=0,NA(),SUMPRODUCT((Inputs!$A$5:$A$120=$B32)*Inputs!$B$5:$B$120*(((Inputs!$G$5:$G$120="moeda")+(Inputs!$G$5:$G$120="acoes"))*Inputs!$B$1+((Inputs!$G$5:$G$120&lt;&gt;"moeda")*(Inputs!$G$5:$G$120&lt;&gt;"acoes")))*INDEX(Inputs!$K$5:$AJ$120,0,MATCH(X$2,Inputs!$K$4:$AJ$4,0)))+SUMPRODUCT((Inputs!$C$5:$C$120=$B32)*Inputs!$D$5:$D$120*(((Inputs!$G$5:$G$120="moeda")+(Inputs!$G$5:$G$120="acoes"))*Inputs!$B$1+((Inputs!$G$5:$G$120&lt;&gt;"moeda")*(Inputs!$G$5:$G$120&lt;&gt;"acoes")))*INDEX(Inputs!$K$5:$AJ$120,0,MATCH(X$2,Inputs!$K$4:$AJ$4,0)))+SUMPRODUCT((Inputs!$E$5:$E$120=$B32)*Inputs!$F$5:$F$120*(((Inputs!$G$5:$G$120="moeda")+(Inputs!$G$5:$G$120="acoes"))*Inputs!$B$1+((Inputs!$G$5:$G$120&lt;&gt;"moeda")*(Inputs!$G$5:$G$120&lt;&gt;"acoes")))*INDEX(Inputs!$K$5:$AJ$120,0,MATCH(X$2,Inputs!$K$4:$AJ$4,0)))))</f>
        <v>2003</v>
      </c>
      <c r="Y32" s="267">
        <f>IF(ISNA(MATCH(Y$2,Inputs!$K$4:$AJ$4,0)),NA(),IF(SUMPRODUCT((Inputs!$A$5:$A$120=$B32)*ISNUMBER(INDEX(Inputs!$K$5:$AJ$120,0,MATCH(Y$2,Inputs!$K$4:$AJ$4,0))))+SUMPRODUCT((Inputs!$C$5:$C$120=$B32)*ISNUMBER(INDEX(Inputs!$K$5:$AJ$120,0,MATCH(Y$2,Inputs!$K$4:$AJ$4,0))))+SUMPRODUCT((Inputs!$E$5:$E$120=$B32)*ISNUMBER(INDEX(Inputs!$K$5:$AJ$120,0,MATCH(Y$2,Inputs!$K$4:$AJ$4,0))))=0,NA(),SUMPRODUCT((Inputs!$A$5:$A$120=$B32)*Inputs!$B$5:$B$120*(((Inputs!$G$5:$G$120="moeda")+(Inputs!$G$5:$G$120="acoes"))*Inputs!$B$1+((Inputs!$G$5:$G$120&lt;&gt;"moeda")*(Inputs!$G$5:$G$120&lt;&gt;"acoes")))*INDEX(Inputs!$K$5:$AJ$120,0,MATCH(Y$2,Inputs!$K$4:$AJ$4,0)))+SUMPRODUCT((Inputs!$C$5:$C$120=$B32)*Inputs!$D$5:$D$120*(((Inputs!$G$5:$G$120="moeda")+(Inputs!$G$5:$G$120="acoes"))*Inputs!$B$1+((Inputs!$G$5:$G$120&lt;&gt;"moeda")*(Inputs!$G$5:$G$120&lt;&gt;"acoes")))*INDEX(Inputs!$K$5:$AJ$120,0,MATCH(Y$2,Inputs!$K$4:$AJ$4,0)))+SUMPRODUCT((Inputs!$E$5:$E$120=$B32)*Inputs!$F$5:$F$120*(((Inputs!$G$5:$G$120="moeda")+(Inputs!$G$5:$G$120="acoes"))*Inputs!$B$1+((Inputs!$G$5:$G$120&lt;&gt;"moeda")*(Inputs!$G$5:$G$120&lt;&gt;"acoes")))*INDEX(Inputs!$K$5:$AJ$120,0,MATCH(Y$2,Inputs!$K$4:$AJ$4,0)))))</f>
        <v>4225</v>
      </c>
      <c r="Z32" s="267">
        <f>IF(ISNA(MATCH(Z$2,Inputs!$K$4:$AJ$4,0)),NA(),IF(SUMPRODUCT((Inputs!$A$5:$A$120=$B32)*ISNUMBER(INDEX(Inputs!$K$5:$AJ$120,0,MATCH(Z$2,Inputs!$K$4:$AJ$4,0))))+SUMPRODUCT((Inputs!$C$5:$C$120=$B32)*ISNUMBER(INDEX(Inputs!$K$5:$AJ$120,0,MATCH(Z$2,Inputs!$K$4:$AJ$4,0))))+SUMPRODUCT((Inputs!$E$5:$E$120=$B32)*ISNUMBER(INDEX(Inputs!$K$5:$AJ$120,0,MATCH(Z$2,Inputs!$K$4:$AJ$4,0))))=0,NA(),SUMPRODUCT((Inputs!$A$5:$A$120=$B32)*Inputs!$B$5:$B$120*(((Inputs!$G$5:$G$120="moeda")+(Inputs!$G$5:$G$120="acoes"))*Inputs!$B$1+((Inputs!$G$5:$G$120&lt;&gt;"moeda")*(Inputs!$G$5:$G$120&lt;&gt;"acoes")))*INDEX(Inputs!$K$5:$AJ$120,0,MATCH(Z$2,Inputs!$K$4:$AJ$4,0)))+SUMPRODUCT((Inputs!$C$5:$C$120=$B32)*Inputs!$D$5:$D$120*(((Inputs!$G$5:$G$120="moeda")+(Inputs!$G$5:$G$120="acoes"))*Inputs!$B$1+((Inputs!$G$5:$G$120&lt;&gt;"moeda")*(Inputs!$G$5:$G$120&lt;&gt;"acoes")))*INDEX(Inputs!$K$5:$AJ$120,0,MATCH(Z$2,Inputs!$K$4:$AJ$4,0)))+SUMPRODUCT((Inputs!$E$5:$E$120=$B32)*Inputs!$F$5:$F$120*(((Inputs!$G$5:$G$120="moeda")+(Inputs!$G$5:$G$120="acoes"))*Inputs!$B$1+((Inputs!$G$5:$G$120&lt;&gt;"moeda")*(Inputs!$G$5:$G$120&lt;&gt;"acoes")))*INDEX(Inputs!$K$5:$AJ$120,0,MATCH(Z$2,Inputs!$K$4:$AJ$4,0)))))</f>
        <v>5780</v>
      </c>
      <c r="AA32" s="267">
        <f>IF(ISNA(MATCH(AA$2,Inputs!$K$4:$AJ$4,0)),NA(),IF(SUMPRODUCT((Inputs!$A$5:$A$120=$B32)*ISNUMBER(INDEX(Inputs!$K$5:$AJ$120,0,MATCH(AA$2,Inputs!$K$4:$AJ$4,0))))+SUMPRODUCT((Inputs!$C$5:$C$120=$B32)*ISNUMBER(INDEX(Inputs!$K$5:$AJ$120,0,MATCH(AA$2,Inputs!$K$4:$AJ$4,0))))+SUMPRODUCT((Inputs!$E$5:$E$120=$B32)*ISNUMBER(INDEX(Inputs!$K$5:$AJ$120,0,MATCH(AA$2,Inputs!$K$4:$AJ$4,0))))=0,NA(),SUMPRODUCT((Inputs!$A$5:$A$120=$B32)*Inputs!$B$5:$B$120*(((Inputs!$G$5:$G$120="moeda")+(Inputs!$G$5:$G$120="acoes"))*Inputs!$B$1+((Inputs!$G$5:$G$120&lt;&gt;"moeda")*(Inputs!$G$5:$G$120&lt;&gt;"acoes")))*INDEX(Inputs!$K$5:$AJ$120,0,MATCH(AA$2,Inputs!$K$4:$AJ$4,0)))+SUMPRODUCT((Inputs!$C$5:$C$120=$B32)*Inputs!$D$5:$D$120*(((Inputs!$G$5:$G$120="moeda")+(Inputs!$G$5:$G$120="acoes"))*Inputs!$B$1+((Inputs!$G$5:$G$120&lt;&gt;"moeda")*(Inputs!$G$5:$G$120&lt;&gt;"acoes")))*INDEX(Inputs!$K$5:$AJ$120,0,MATCH(AA$2,Inputs!$K$4:$AJ$4,0)))+SUMPRODUCT((Inputs!$E$5:$E$120=$B32)*Inputs!$F$5:$F$120*(((Inputs!$G$5:$G$120="moeda")+(Inputs!$G$5:$G$120="acoes"))*Inputs!$B$1+((Inputs!$G$5:$G$120&lt;&gt;"moeda")*(Inputs!$G$5:$G$120&lt;&gt;"acoes")))*INDEX(Inputs!$K$5:$AJ$120,0,MATCH(AA$2,Inputs!$K$4:$AJ$4,0)))))</f>
        <v>5220</v>
      </c>
      <c r="AB32" s="268">
        <f>AA32</f>
        <v>5220</v>
      </c>
      <c r="AC32" s="267">
        <f>IF(ISNA(MATCH(AC$2,Inputs!$K$4:$AJ$4,0)),NA(),IF(SUMPRODUCT((Inputs!$A$5:$A$120=$B32)*ISNUMBER(INDEX(Inputs!$K$5:$AJ$120,0,MATCH(AC$2,Inputs!$K$4:$AJ$4,0))))+SUMPRODUCT((Inputs!$C$5:$C$120=$B32)*ISNUMBER(INDEX(Inputs!$K$5:$AJ$120,0,MATCH(AC$2,Inputs!$K$4:$AJ$4,0))))+SUMPRODUCT((Inputs!$E$5:$E$120=$B32)*ISNUMBER(INDEX(Inputs!$K$5:$AJ$120,0,MATCH(AC$2,Inputs!$K$4:$AJ$4,0))))=0,NA(),SUMPRODUCT((Inputs!$A$5:$A$120=$B32)*Inputs!$B$5:$B$120*(((Inputs!$G$5:$G$120="moeda")+(Inputs!$G$5:$G$120="acoes"))*Inputs!$B$1+((Inputs!$G$5:$G$120&lt;&gt;"moeda")*(Inputs!$G$5:$G$120&lt;&gt;"acoes")))*INDEX(Inputs!$K$5:$AJ$120,0,MATCH(AC$2,Inputs!$K$4:$AJ$4,0)))+SUMPRODUCT((Inputs!$C$5:$C$120=$B32)*Inputs!$D$5:$D$120*(((Inputs!$G$5:$G$120="moeda")+(Inputs!$G$5:$G$120="acoes"))*Inputs!$B$1+((Inputs!$G$5:$G$120&lt;&gt;"moeda")*(Inputs!$G$5:$G$120&lt;&gt;"acoes")))*INDEX(Inputs!$K$5:$AJ$120,0,MATCH(AC$2,Inputs!$K$4:$AJ$4,0)))+SUMPRODUCT((Inputs!$E$5:$E$120=$B32)*Inputs!$F$5:$F$120*(((Inputs!$G$5:$G$120="moeda")+(Inputs!$G$5:$G$120="acoes"))*Inputs!$B$1+((Inputs!$G$5:$G$120&lt;&gt;"moeda")*(Inputs!$G$5:$G$120&lt;&gt;"acoes")))*INDEX(Inputs!$K$5:$AJ$120,0,MATCH(AC$2,Inputs!$K$4:$AJ$4,0)))))</f>
        <v>4606</v>
      </c>
      <c r="AD32" s="267">
        <f>IF(ISNA(MATCH(AD$2,Inputs!$K$4:$AJ$4,0)),NA(),IF(SUMPRODUCT((Inputs!$A$5:$A$120=$B32)*ISNUMBER(INDEX(Inputs!$K$5:$AJ$120,0,MATCH(AD$2,Inputs!$K$4:$AJ$4,0))))+SUMPRODUCT((Inputs!$C$5:$C$120=$B32)*ISNUMBER(INDEX(Inputs!$K$5:$AJ$120,0,MATCH(AD$2,Inputs!$K$4:$AJ$4,0))))+SUMPRODUCT((Inputs!$E$5:$E$120=$B32)*ISNUMBER(INDEX(Inputs!$K$5:$AJ$120,0,MATCH(AD$2,Inputs!$K$4:$AJ$4,0))))=0,NA(),SUMPRODUCT((Inputs!$A$5:$A$120=$B32)*Inputs!$B$5:$B$120*(((Inputs!$G$5:$G$120="moeda")+(Inputs!$G$5:$G$120="acoes"))*Inputs!$B$1+((Inputs!$G$5:$G$120&lt;&gt;"moeda")*(Inputs!$G$5:$G$120&lt;&gt;"acoes")))*INDEX(Inputs!$K$5:$AJ$120,0,MATCH(AD$2,Inputs!$K$4:$AJ$4,0)))+SUMPRODUCT((Inputs!$C$5:$C$120=$B32)*Inputs!$D$5:$D$120*(((Inputs!$G$5:$G$120="moeda")+(Inputs!$G$5:$G$120="acoes"))*Inputs!$B$1+((Inputs!$G$5:$G$120&lt;&gt;"moeda")*(Inputs!$G$5:$G$120&lt;&gt;"acoes")))*INDEX(Inputs!$K$5:$AJ$120,0,MATCH(AD$2,Inputs!$K$4:$AJ$4,0)))+SUMPRODUCT((Inputs!$E$5:$E$120=$B32)*Inputs!$F$5:$F$120*(((Inputs!$G$5:$G$120="moeda")+(Inputs!$G$5:$G$120="acoes"))*Inputs!$B$1+((Inputs!$G$5:$G$120&lt;&gt;"moeda")*(Inputs!$G$5:$G$120&lt;&gt;"acoes")))*INDEX(Inputs!$K$5:$AJ$120,0,MATCH(AD$2,Inputs!$K$4:$AJ$4,0)))))</f>
        <v>5788</v>
      </c>
      <c r="AE32" s="267" t="e">
        <f>IF(ISNA(MATCH(AE$2,Inputs!$K$4:$AJ$4,0)),NA(),IF(SUMPRODUCT((Inputs!$A$5:$A$120=$B32)*ISNUMBER(INDEX(Inputs!$K$5:$AJ$120,0,MATCH(AE$2,Inputs!$K$4:$AJ$4,0))))+SUMPRODUCT((Inputs!$C$5:$C$120=$B32)*ISNUMBER(INDEX(Inputs!$K$5:$AJ$120,0,MATCH(AE$2,Inputs!$K$4:$AJ$4,0))))+SUMPRODUCT((Inputs!$E$5:$E$120=$B32)*ISNUMBER(INDEX(Inputs!$K$5:$AJ$120,0,MATCH(AE$2,Inputs!$K$4:$AJ$4,0))))=0,NA(),SUMPRODUCT((Inputs!$A$5:$A$120=$B32)*Inputs!$B$5:$B$120*(((Inputs!$G$5:$G$120="moeda")+(Inputs!$G$5:$G$120="acoes"))*Inputs!$B$1+((Inputs!$G$5:$G$120&lt;&gt;"moeda")*(Inputs!$G$5:$G$120&lt;&gt;"acoes")))*INDEX(Inputs!$K$5:$AJ$120,0,MATCH(AE$2,Inputs!$K$4:$AJ$4,0)))+SUMPRODUCT((Inputs!$C$5:$C$120=$B32)*Inputs!$D$5:$D$120*(((Inputs!$G$5:$G$120="moeda")+(Inputs!$G$5:$G$120="acoes"))*Inputs!$B$1+((Inputs!$G$5:$G$120&lt;&gt;"moeda")*(Inputs!$G$5:$G$120&lt;&gt;"acoes")))*INDEX(Inputs!$K$5:$AJ$120,0,MATCH(AE$2,Inputs!$K$4:$AJ$4,0)))+SUMPRODUCT((Inputs!$E$5:$E$120=$B32)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2" s="267" t="e">
        <f>IF(ISNA(MATCH(AF$2,Inputs!$K$4:$AJ$4,0)),NA(),IF(SUMPRODUCT((Inputs!$A$5:$A$120=$B32)*ISNUMBER(INDEX(Inputs!$K$5:$AJ$120,0,MATCH(AF$2,Inputs!$K$4:$AJ$4,0))))+SUMPRODUCT((Inputs!$C$5:$C$120=$B32)*ISNUMBER(INDEX(Inputs!$K$5:$AJ$120,0,MATCH(AF$2,Inputs!$K$4:$AJ$4,0))))+SUMPRODUCT((Inputs!$E$5:$E$120=$B32)*ISNUMBER(INDEX(Inputs!$K$5:$AJ$120,0,MATCH(AF$2,Inputs!$K$4:$AJ$4,0))))=0,NA(),SUMPRODUCT((Inputs!$A$5:$A$120=$B32)*Inputs!$B$5:$B$120*(((Inputs!$G$5:$G$120="moeda")+(Inputs!$G$5:$G$120="acoes"))*Inputs!$B$1+((Inputs!$G$5:$G$120&lt;&gt;"moeda")*(Inputs!$G$5:$G$120&lt;&gt;"acoes")))*INDEX(Inputs!$K$5:$AJ$120,0,MATCH(AF$2,Inputs!$K$4:$AJ$4,0)))+SUMPRODUCT((Inputs!$C$5:$C$120=$B32)*Inputs!$D$5:$D$120*(((Inputs!$G$5:$G$120="moeda")+(Inputs!$G$5:$G$120="acoes"))*Inputs!$B$1+((Inputs!$G$5:$G$120&lt;&gt;"moeda")*(Inputs!$G$5:$G$120&lt;&gt;"acoes")))*INDEX(Inputs!$K$5:$AJ$120,0,MATCH(AF$2,Inputs!$K$4:$AJ$4,0)))+SUMPRODUCT((Inputs!$E$5:$E$120=$B32)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2" s="268" t="e">
        <f>AF32</f>
        <v>#N/A</v>
      </c>
      <c r="AH32" s="267">
        <f>IF(ISNA(MATCH(AH$2,Inputs!$K$4:$AJ$4,0)),NA(),IF(SUMPRODUCT((Inputs!$A$5:$A$120=$B32)*ISNUMBER(INDEX(Inputs!$K$5:$AJ$120,0,MATCH(AH$2,Inputs!$K$4:$AJ$4,0))))+SUMPRODUCT((Inputs!$C$5:$C$120=$B32)*ISNUMBER(INDEX(Inputs!$K$5:$AJ$120,0,MATCH(AH$2,Inputs!$K$4:$AJ$4,0))))+SUMPRODUCT((Inputs!$E$5:$E$120=$B32)*ISNUMBER(INDEX(Inputs!$K$5:$AJ$120,0,MATCH(AH$2,Inputs!$K$4:$AJ$4,0))))=0,NA(),SUMPRODUCT((Inputs!$A$5:$A$120=$B32)*Inputs!$B$5:$B$120*(((Inputs!$G$5:$G$120="moeda")+(Inputs!$G$5:$G$120="acoes"))*Inputs!$B$1+((Inputs!$G$5:$G$120&lt;&gt;"moeda")*(Inputs!$G$5:$G$120&lt;&gt;"acoes")))*INDEX(Inputs!$K$5:$AJ$120,0,MATCH(AH$2,Inputs!$K$4:$AJ$4,0)))+SUMPRODUCT((Inputs!$C$5:$C$120=$B32)*Inputs!$D$5:$D$120*(((Inputs!$G$5:$G$120="moeda")+(Inputs!$G$5:$G$120="acoes"))*Inputs!$B$1+((Inputs!$G$5:$G$120&lt;&gt;"moeda")*(Inputs!$G$5:$G$120&lt;&gt;"acoes")))*INDEX(Inputs!$K$5:$AJ$120,0,MATCH(AH$2,Inputs!$K$4:$AJ$4,0)))+SUMPRODUCT((Inputs!$E$5:$E$120=$B32)*Inputs!$F$5:$F$120*(((Inputs!$G$5:$G$120="moeda")+(Inputs!$G$5:$G$120="acoes"))*Inputs!$B$1+((Inputs!$G$5:$G$120&lt;&gt;"moeda")*(Inputs!$G$5:$G$120&lt;&gt;"acoes")))*INDEX(Inputs!$K$5:$AJ$120,0,MATCH(AH$2,Inputs!$K$4:$AJ$4,0)))))</f>
        <v>1245</v>
      </c>
      <c r="AI32" s="267">
        <f>IF(ISNA(MATCH(AI$2,Inputs!$K$4:$AJ$4,0)),NA(),IF(SUMPRODUCT((Inputs!$A$5:$A$120=$B32)*ISNUMBER(INDEX(Inputs!$K$5:$AJ$120,0,MATCH(AI$2,Inputs!$K$4:$AJ$4,0))))+SUMPRODUCT((Inputs!$C$5:$C$120=$B32)*ISNUMBER(INDEX(Inputs!$K$5:$AJ$120,0,MATCH(AI$2,Inputs!$K$4:$AJ$4,0))))+SUMPRODUCT((Inputs!$E$5:$E$120=$B32)*ISNUMBER(INDEX(Inputs!$K$5:$AJ$120,0,MATCH(AI$2,Inputs!$K$4:$AJ$4,0))))=0,NA(),SUMPRODUCT((Inputs!$A$5:$A$120=$B32)*Inputs!$B$5:$B$120*(((Inputs!$G$5:$G$120="moeda")+(Inputs!$G$5:$G$120="acoes"))*Inputs!$B$1+((Inputs!$G$5:$G$120&lt;&gt;"moeda")*(Inputs!$G$5:$G$120&lt;&gt;"acoes")))*INDEX(Inputs!$K$5:$AJ$120,0,MATCH(AI$2,Inputs!$K$4:$AJ$4,0)))+SUMPRODUCT((Inputs!$C$5:$C$120=$B32)*Inputs!$D$5:$D$120*(((Inputs!$G$5:$G$120="moeda")+(Inputs!$G$5:$G$120="acoes"))*Inputs!$B$1+((Inputs!$G$5:$G$120&lt;&gt;"moeda")*(Inputs!$G$5:$G$120&lt;&gt;"acoes")))*INDEX(Inputs!$K$5:$AJ$120,0,MATCH(AI$2,Inputs!$K$4:$AJ$4,0)))+SUMPRODUCT((Inputs!$E$5:$E$120=$B32)*Inputs!$F$5:$F$120*(((Inputs!$G$5:$G$120="moeda")+(Inputs!$G$5:$G$120="acoes"))*Inputs!$B$1+((Inputs!$G$5:$G$120&lt;&gt;"moeda")*(Inputs!$G$5:$G$120&lt;&gt;"acoes")))*INDEX(Inputs!$K$5:$AJ$120,0,MATCH(AI$2,Inputs!$K$4:$AJ$4,0)))))</f>
        <v>2057</v>
      </c>
      <c r="AJ32" s="267">
        <f>IF(ISNA(MATCH(AJ$2,Inputs!$K$4:$AJ$4,0)),NA(),IF(SUMPRODUCT((Inputs!$A$5:$A$120=$B32)*ISNUMBER(INDEX(Inputs!$K$5:$AJ$120,0,MATCH(AJ$2,Inputs!$K$4:$AJ$4,0))))+SUMPRODUCT((Inputs!$C$5:$C$120=$B32)*ISNUMBER(INDEX(Inputs!$K$5:$AJ$120,0,MATCH(AJ$2,Inputs!$K$4:$AJ$4,0))))+SUMPRODUCT((Inputs!$E$5:$E$120=$B32)*ISNUMBER(INDEX(Inputs!$K$5:$AJ$120,0,MATCH(AJ$2,Inputs!$K$4:$AJ$4,0))))=0,NA(),SUMPRODUCT((Inputs!$A$5:$A$120=$B32)*Inputs!$B$5:$B$120*(((Inputs!$G$5:$G$120="moeda")+(Inputs!$G$5:$G$120="acoes"))*Inputs!$B$1+((Inputs!$G$5:$G$120&lt;&gt;"moeda")*(Inputs!$G$5:$G$120&lt;&gt;"acoes")))*INDEX(Inputs!$K$5:$AJ$120,0,MATCH(AJ$2,Inputs!$K$4:$AJ$4,0)))+SUMPRODUCT((Inputs!$C$5:$C$120=$B32)*Inputs!$D$5:$D$120*(((Inputs!$G$5:$G$120="moeda")+(Inputs!$G$5:$G$120="acoes"))*Inputs!$B$1+((Inputs!$G$5:$G$120&lt;&gt;"moeda")*(Inputs!$G$5:$G$120&lt;&gt;"acoes")))*INDEX(Inputs!$K$5:$AJ$120,0,MATCH(AJ$2,Inputs!$K$4:$AJ$4,0)))+SUMPRODUCT((Inputs!$E$5:$E$120=$B32)*Inputs!$F$5:$F$120*(((Inputs!$G$5:$G$120="moeda")+(Inputs!$G$5:$G$120="acoes"))*Inputs!$B$1+((Inputs!$G$5:$G$120&lt;&gt;"moeda")*(Inputs!$G$5:$G$120&lt;&gt;"acoes")))*INDEX(Inputs!$K$5:$AJ$120,0,MATCH(AJ$2,Inputs!$K$4:$AJ$4,0)))))</f>
        <v>2119</v>
      </c>
      <c r="AK32" s="267">
        <f>IF(ISNA(MATCH(AK$2,Inputs!$K$4:$AJ$4,0)),NA(),IF(SUMPRODUCT((Inputs!$A$5:$A$120=$B32)*ISNUMBER(INDEX(Inputs!$K$5:$AJ$120,0,MATCH(AK$2,Inputs!$K$4:$AJ$4,0))))+SUMPRODUCT((Inputs!$C$5:$C$120=$B32)*ISNUMBER(INDEX(Inputs!$K$5:$AJ$120,0,MATCH(AK$2,Inputs!$K$4:$AJ$4,0))))+SUMPRODUCT((Inputs!$E$5:$E$120=$B32)*ISNUMBER(INDEX(Inputs!$K$5:$AJ$120,0,MATCH(AK$2,Inputs!$K$4:$AJ$4,0))))=0,NA(),SUMPRODUCT((Inputs!$A$5:$A$120=$B32)*Inputs!$B$5:$B$120*(((Inputs!$G$5:$G$120="moeda")+(Inputs!$G$5:$G$120="acoes"))*Inputs!$B$1+((Inputs!$G$5:$G$120&lt;&gt;"moeda")*(Inputs!$G$5:$G$120&lt;&gt;"acoes")))*INDEX(Inputs!$K$5:$AJ$120,0,MATCH(AK$2,Inputs!$K$4:$AJ$4,0)))+SUMPRODUCT((Inputs!$C$5:$C$120=$B32)*Inputs!$D$5:$D$120*(((Inputs!$G$5:$G$120="moeda")+(Inputs!$G$5:$G$120="acoes"))*Inputs!$B$1+((Inputs!$G$5:$G$120&lt;&gt;"moeda")*(Inputs!$G$5:$G$120&lt;&gt;"acoes")))*INDEX(Inputs!$K$5:$AJ$120,0,MATCH(AK$2,Inputs!$K$4:$AJ$4,0)))+SUMPRODUCT((Inputs!$E$5:$E$120=$B32)*Inputs!$F$5:$F$120*(((Inputs!$G$5:$G$120="moeda")+(Inputs!$G$5:$G$120="acoes"))*Inputs!$B$1+((Inputs!$G$5:$G$120&lt;&gt;"moeda")*(Inputs!$G$5:$G$120&lt;&gt;"acoes")))*INDEX(Inputs!$K$5:$AJ$120,0,MATCH(AK$2,Inputs!$K$4:$AJ$4,0)))))</f>
        <v>2836</v>
      </c>
      <c r="AL32" s="268">
        <f>AK32</f>
        <v>2836</v>
      </c>
    </row>
    <row r="33" ht="12.75" customHeight="1" s="255">
      <c r="B33" s="265" t="n">
        <v>28</v>
      </c>
      <c r="C33" s="270" t="inlineStr">
        <is>
          <t>Short term debt (Revolving credit facility)</t>
        </is>
      </c>
      <c r="D33" s="267">
        <f>IF(ISNA(MATCH(D$2,Inputs!$K$4:$AJ$4,0)),NA(),IF(SUMPRODUCT((Inputs!$A$5:$A$120=$B33)*ISNUMBER(INDEX(Inputs!$K$5:$AJ$120,0,MATCH(D$2,Inputs!$K$4:$AJ$4,0))))+SUMPRODUCT((Inputs!$C$5:$C$120=$B33)*ISNUMBER(INDEX(Inputs!$K$5:$AJ$120,0,MATCH(D$2,Inputs!$K$4:$AJ$4,0))))+SUMPRODUCT((Inputs!$E$5:$E$120=$B33)*ISNUMBER(INDEX(Inputs!$K$5:$AJ$120,0,MATCH(D$2,Inputs!$K$4:$AJ$4,0))))=0,NA(),SUMPRODUCT((Inputs!$A$5:$A$120=$B33)*Inputs!$B$5:$B$120*(((Inputs!$G$5:$G$120="moeda")+(Inputs!$G$5:$G$120="acoes"))*Inputs!$B$1+((Inputs!$G$5:$G$120&lt;&gt;"moeda")*(Inputs!$G$5:$G$120&lt;&gt;"acoes")))*INDEX(Inputs!$K$5:$AJ$120,0,MATCH(D$2,Inputs!$K$4:$AJ$4,0)))+SUMPRODUCT((Inputs!$C$5:$C$120=$B33)*Inputs!$D$5:$D$120*(((Inputs!$G$5:$G$120="moeda")+(Inputs!$G$5:$G$120="acoes"))*Inputs!$B$1+((Inputs!$G$5:$G$120&lt;&gt;"moeda")*(Inputs!$G$5:$G$120&lt;&gt;"acoes")))*INDEX(Inputs!$K$5:$AJ$120,0,MATCH(D$2,Inputs!$K$4:$AJ$4,0)))+SUMPRODUCT((Inputs!$E$5:$E$120=$B33)*Inputs!$F$5:$F$120*(((Inputs!$G$5:$G$120="moeda")+(Inputs!$G$5:$G$120="acoes"))*Inputs!$B$1+((Inputs!$G$5:$G$120&lt;&gt;"moeda")*(Inputs!$G$5:$G$120&lt;&gt;"acoes")))*INDEX(Inputs!$K$5:$AJ$120,0,MATCH(D$2,Inputs!$K$4:$AJ$4,0)))))</f>
        <v>0</v>
      </c>
      <c r="E33" s="267">
        <f>IF(ISNA(MATCH(E$2,Inputs!$K$4:$AJ$4,0)),NA(),IF(SUMPRODUCT((Inputs!$A$5:$A$120=$B33)*ISNUMBER(INDEX(Inputs!$K$5:$AJ$120,0,MATCH(E$2,Inputs!$K$4:$AJ$4,0))))+SUMPRODUCT((Inputs!$C$5:$C$120=$B33)*ISNUMBER(INDEX(Inputs!$K$5:$AJ$120,0,MATCH(E$2,Inputs!$K$4:$AJ$4,0))))+SUMPRODUCT((Inputs!$E$5:$E$120=$B33)*ISNUMBER(INDEX(Inputs!$K$5:$AJ$120,0,MATCH(E$2,Inputs!$K$4:$AJ$4,0))))=0,NA(),SUMPRODUCT((Inputs!$A$5:$A$120=$B33)*Inputs!$B$5:$B$120*(((Inputs!$G$5:$G$120="moeda")+(Inputs!$G$5:$G$120="acoes"))*Inputs!$B$1+((Inputs!$G$5:$G$120&lt;&gt;"moeda")*(Inputs!$G$5:$G$120&lt;&gt;"acoes")))*INDEX(Inputs!$K$5:$AJ$120,0,MATCH(E$2,Inputs!$K$4:$AJ$4,0)))+SUMPRODUCT((Inputs!$C$5:$C$120=$B33)*Inputs!$D$5:$D$120*(((Inputs!$G$5:$G$120="moeda")+(Inputs!$G$5:$G$120="acoes"))*Inputs!$B$1+((Inputs!$G$5:$G$120&lt;&gt;"moeda")*(Inputs!$G$5:$G$120&lt;&gt;"acoes")))*INDEX(Inputs!$K$5:$AJ$120,0,MATCH(E$2,Inputs!$K$4:$AJ$4,0)))+SUMPRODUCT((Inputs!$E$5:$E$120=$B33)*Inputs!$F$5:$F$120*(((Inputs!$G$5:$G$120="moeda")+(Inputs!$G$5:$G$120="acoes"))*Inputs!$B$1+((Inputs!$G$5:$G$120&lt;&gt;"moeda")*(Inputs!$G$5:$G$120&lt;&gt;"acoes")))*INDEX(Inputs!$K$5:$AJ$120,0,MATCH(E$2,Inputs!$K$4:$AJ$4,0)))))</f>
        <v>0</v>
      </c>
      <c r="F33" s="267">
        <f>IF(ISNA(MATCH(F$2,Inputs!$K$4:$AJ$4,0)),NA(),IF(SUMPRODUCT((Inputs!$A$5:$A$120=$B33)*ISNUMBER(INDEX(Inputs!$K$5:$AJ$120,0,MATCH(F$2,Inputs!$K$4:$AJ$4,0))))+SUMPRODUCT((Inputs!$C$5:$C$120=$B33)*ISNUMBER(INDEX(Inputs!$K$5:$AJ$120,0,MATCH(F$2,Inputs!$K$4:$AJ$4,0))))+SUMPRODUCT((Inputs!$E$5:$E$120=$B33)*ISNUMBER(INDEX(Inputs!$K$5:$AJ$120,0,MATCH(F$2,Inputs!$K$4:$AJ$4,0))))=0,NA(),SUMPRODUCT((Inputs!$A$5:$A$120=$B33)*Inputs!$B$5:$B$120*(((Inputs!$G$5:$G$120="moeda")+(Inputs!$G$5:$G$120="acoes"))*Inputs!$B$1+((Inputs!$G$5:$G$120&lt;&gt;"moeda")*(Inputs!$G$5:$G$120&lt;&gt;"acoes")))*INDEX(Inputs!$K$5:$AJ$120,0,MATCH(F$2,Inputs!$K$4:$AJ$4,0)))+SUMPRODUCT((Inputs!$C$5:$C$120=$B33)*Inputs!$D$5:$D$120*(((Inputs!$G$5:$G$120="moeda")+(Inputs!$G$5:$G$120="acoes"))*Inputs!$B$1+((Inputs!$G$5:$G$120&lt;&gt;"moeda")*(Inputs!$G$5:$G$120&lt;&gt;"acoes")))*INDEX(Inputs!$K$5:$AJ$120,0,MATCH(F$2,Inputs!$K$4:$AJ$4,0)))+SUMPRODUCT((Inputs!$E$5:$E$120=$B33)*Inputs!$F$5:$F$120*(((Inputs!$G$5:$G$120="moeda")+(Inputs!$G$5:$G$120="acoes"))*Inputs!$B$1+((Inputs!$G$5:$G$120&lt;&gt;"moeda")*(Inputs!$G$5:$G$120&lt;&gt;"acoes")))*INDEX(Inputs!$K$5:$AJ$120,0,MATCH(F$2,Inputs!$K$4:$AJ$4,0)))))</f>
        <v>0</v>
      </c>
      <c r="G33" s="267">
        <f>IF(ISNA(MATCH(G$2,Inputs!$K$4:$AJ$4,0)),NA(),IF(SUMPRODUCT((Inputs!$A$5:$A$120=$B33)*ISNUMBER(INDEX(Inputs!$K$5:$AJ$120,0,MATCH(G$2,Inputs!$K$4:$AJ$4,0))))+SUMPRODUCT((Inputs!$C$5:$C$120=$B33)*ISNUMBER(INDEX(Inputs!$K$5:$AJ$120,0,MATCH(G$2,Inputs!$K$4:$AJ$4,0))))+SUMPRODUCT((Inputs!$E$5:$E$120=$B33)*ISNUMBER(INDEX(Inputs!$K$5:$AJ$120,0,MATCH(G$2,Inputs!$K$4:$AJ$4,0))))=0,NA(),SUMPRODUCT((Inputs!$A$5:$A$120=$B33)*Inputs!$B$5:$B$120*(((Inputs!$G$5:$G$120="moeda")+(Inputs!$G$5:$G$120="acoes"))*Inputs!$B$1+((Inputs!$G$5:$G$120&lt;&gt;"moeda")*(Inputs!$G$5:$G$120&lt;&gt;"acoes")))*INDEX(Inputs!$K$5:$AJ$120,0,MATCH(G$2,Inputs!$K$4:$AJ$4,0)))+SUMPRODUCT((Inputs!$C$5:$C$120=$B33)*Inputs!$D$5:$D$120*(((Inputs!$G$5:$G$120="moeda")+(Inputs!$G$5:$G$120="acoes"))*Inputs!$B$1+((Inputs!$G$5:$G$120&lt;&gt;"moeda")*(Inputs!$G$5:$G$120&lt;&gt;"acoes")))*INDEX(Inputs!$K$5:$AJ$120,0,MATCH(G$2,Inputs!$K$4:$AJ$4,0)))+SUMPRODUCT((Inputs!$E$5:$E$120=$B33)*Inputs!$F$5:$F$120*(((Inputs!$G$5:$G$120="moeda")+(Inputs!$G$5:$G$120="acoes"))*Inputs!$B$1+((Inputs!$G$5:$G$120&lt;&gt;"moeda")*(Inputs!$G$5:$G$120&lt;&gt;"acoes")))*INDEX(Inputs!$K$5:$AJ$120,0,MATCH(G$2,Inputs!$K$4:$AJ$4,0)))))</f>
        <v>0</v>
      </c>
      <c r="H33" s="268">
        <f>G33</f>
        <v>0</v>
      </c>
      <c r="I33" s="267">
        <f>IF(ISNA(MATCH(I$2,Inputs!$K$4:$AJ$4,0)),NA(),IF(SUMPRODUCT((Inputs!$A$5:$A$120=$B33)*ISNUMBER(INDEX(Inputs!$K$5:$AJ$120,0,MATCH(I$2,Inputs!$K$4:$AJ$4,0))))+SUMPRODUCT((Inputs!$C$5:$C$120=$B33)*ISNUMBER(INDEX(Inputs!$K$5:$AJ$120,0,MATCH(I$2,Inputs!$K$4:$AJ$4,0))))+SUMPRODUCT((Inputs!$E$5:$E$120=$B33)*ISNUMBER(INDEX(Inputs!$K$5:$AJ$120,0,MATCH(I$2,Inputs!$K$4:$AJ$4,0))))=0,NA(),SUMPRODUCT((Inputs!$A$5:$A$120=$B33)*Inputs!$B$5:$B$120*(((Inputs!$G$5:$G$120="moeda")+(Inputs!$G$5:$G$120="acoes"))*Inputs!$B$1+((Inputs!$G$5:$G$120&lt;&gt;"moeda")*(Inputs!$G$5:$G$120&lt;&gt;"acoes")))*INDEX(Inputs!$K$5:$AJ$120,0,MATCH(I$2,Inputs!$K$4:$AJ$4,0)))+SUMPRODUCT((Inputs!$C$5:$C$120=$B33)*Inputs!$D$5:$D$120*(((Inputs!$G$5:$G$120="moeda")+(Inputs!$G$5:$G$120="acoes"))*Inputs!$B$1+((Inputs!$G$5:$G$120&lt;&gt;"moeda")*(Inputs!$G$5:$G$120&lt;&gt;"acoes")))*INDEX(Inputs!$K$5:$AJ$120,0,MATCH(I$2,Inputs!$K$4:$AJ$4,0)))+SUMPRODUCT((Inputs!$E$5:$E$120=$B33)*Inputs!$F$5:$F$120*(((Inputs!$G$5:$G$120="moeda")+(Inputs!$G$5:$G$120="acoes"))*Inputs!$B$1+((Inputs!$G$5:$G$120&lt;&gt;"moeda")*(Inputs!$G$5:$G$120&lt;&gt;"acoes")))*INDEX(Inputs!$K$5:$AJ$120,0,MATCH(I$2,Inputs!$K$4:$AJ$4,0)))))</f>
        <v>0</v>
      </c>
      <c r="J33" s="267">
        <f>IF(ISNA(MATCH(J$2,Inputs!$K$4:$AJ$4,0)),NA(),IF(SUMPRODUCT((Inputs!$A$5:$A$120=$B33)*ISNUMBER(INDEX(Inputs!$K$5:$AJ$120,0,MATCH(J$2,Inputs!$K$4:$AJ$4,0))))+SUMPRODUCT((Inputs!$C$5:$C$120=$B33)*ISNUMBER(INDEX(Inputs!$K$5:$AJ$120,0,MATCH(J$2,Inputs!$K$4:$AJ$4,0))))+SUMPRODUCT((Inputs!$E$5:$E$120=$B33)*ISNUMBER(INDEX(Inputs!$K$5:$AJ$120,0,MATCH(J$2,Inputs!$K$4:$AJ$4,0))))=0,NA(),SUMPRODUCT((Inputs!$A$5:$A$120=$B33)*Inputs!$B$5:$B$120*(((Inputs!$G$5:$G$120="moeda")+(Inputs!$G$5:$G$120="acoes"))*Inputs!$B$1+((Inputs!$G$5:$G$120&lt;&gt;"moeda")*(Inputs!$G$5:$G$120&lt;&gt;"acoes")))*INDEX(Inputs!$K$5:$AJ$120,0,MATCH(J$2,Inputs!$K$4:$AJ$4,0)))+SUMPRODUCT((Inputs!$C$5:$C$120=$B33)*Inputs!$D$5:$D$120*(((Inputs!$G$5:$G$120="moeda")+(Inputs!$G$5:$G$120="acoes"))*Inputs!$B$1+((Inputs!$G$5:$G$120&lt;&gt;"moeda")*(Inputs!$G$5:$G$120&lt;&gt;"acoes")))*INDEX(Inputs!$K$5:$AJ$120,0,MATCH(J$2,Inputs!$K$4:$AJ$4,0)))+SUMPRODUCT((Inputs!$E$5:$E$120=$B33)*Inputs!$F$5:$F$120*(((Inputs!$G$5:$G$120="moeda")+(Inputs!$G$5:$G$120="acoes"))*Inputs!$B$1+((Inputs!$G$5:$G$120&lt;&gt;"moeda")*(Inputs!$G$5:$G$120&lt;&gt;"acoes")))*INDEX(Inputs!$K$5:$AJ$120,0,MATCH(J$2,Inputs!$K$4:$AJ$4,0)))))</f>
        <v>0</v>
      </c>
      <c r="K33" s="267">
        <f>IF(ISNA(MATCH(K$2,Inputs!$K$4:$AJ$4,0)),NA(),IF(SUMPRODUCT((Inputs!$A$5:$A$120=$B33)*ISNUMBER(INDEX(Inputs!$K$5:$AJ$120,0,MATCH(K$2,Inputs!$K$4:$AJ$4,0))))+SUMPRODUCT((Inputs!$C$5:$C$120=$B33)*ISNUMBER(INDEX(Inputs!$K$5:$AJ$120,0,MATCH(K$2,Inputs!$K$4:$AJ$4,0))))+SUMPRODUCT((Inputs!$E$5:$E$120=$B33)*ISNUMBER(INDEX(Inputs!$K$5:$AJ$120,0,MATCH(K$2,Inputs!$K$4:$AJ$4,0))))=0,NA(),SUMPRODUCT((Inputs!$A$5:$A$120=$B33)*Inputs!$B$5:$B$120*(((Inputs!$G$5:$G$120="moeda")+(Inputs!$G$5:$G$120="acoes"))*Inputs!$B$1+((Inputs!$G$5:$G$120&lt;&gt;"moeda")*(Inputs!$G$5:$G$120&lt;&gt;"acoes")))*INDEX(Inputs!$K$5:$AJ$120,0,MATCH(K$2,Inputs!$K$4:$AJ$4,0)))+SUMPRODUCT((Inputs!$C$5:$C$120=$B33)*Inputs!$D$5:$D$120*(((Inputs!$G$5:$G$120="moeda")+(Inputs!$G$5:$G$120="acoes"))*Inputs!$B$1+((Inputs!$G$5:$G$120&lt;&gt;"moeda")*(Inputs!$G$5:$G$120&lt;&gt;"acoes")))*INDEX(Inputs!$K$5:$AJ$120,0,MATCH(K$2,Inputs!$K$4:$AJ$4,0)))+SUMPRODUCT((Inputs!$E$5:$E$120=$B33)*Inputs!$F$5:$F$120*(((Inputs!$G$5:$G$120="moeda")+(Inputs!$G$5:$G$120="acoes"))*Inputs!$B$1+((Inputs!$G$5:$G$120&lt;&gt;"moeda")*(Inputs!$G$5:$G$120&lt;&gt;"acoes")))*INDEX(Inputs!$K$5:$AJ$120,0,MATCH(K$2,Inputs!$K$4:$AJ$4,0)))))</f>
        <v>0</v>
      </c>
      <c r="L33" s="267">
        <f>IF(ISNA(MATCH(L$2,Inputs!$K$4:$AJ$4,0)),NA(),IF(SUMPRODUCT((Inputs!$A$5:$A$120=$B33)*ISNUMBER(INDEX(Inputs!$K$5:$AJ$120,0,MATCH(L$2,Inputs!$K$4:$AJ$4,0))))+SUMPRODUCT((Inputs!$C$5:$C$120=$B33)*ISNUMBER(INDEX(Inputs!$K$5:$AJ$120,0,MATCH(L$2,Inputs!$K$4:$AJ$4,0))))+SUMPRODUCT((Inputs!$E$5:$E$120=$B33)*ISNUMBER(INDEX(Inputs!$K$5:$AJ$120,0,MATCH(L$2,Inputs!$K$4:$AJ$4,0))))=0,NA(),SUMPRODUCT((Inputs!$A$5:$A$120=$B33)*Inputs!$B$5:$B$120*(((Inputs!$G$5:$G$120="moeda")+(Inputs!$G$5:$G$120="acoes"))*Inputs!$B$1+((Inputs!$G$5:$G$120&lt;&gt;"moeda")*(Inputs!$G$5:$G$120&lt;&gt;"acoes")))*INDEX(Inputs!$K$5:$AJ$120,0,MATCH(L$2,Inputs!$K$4:$AJ$4,0)))+SUMPRODUCT((Inputs!$C$5:$C$120=$B33)*Inputs!$D$5:$D$120*(((Inputs!$G$5:$G$120="moeda")+(Inputs!$G$5:$G$120="acoes"))*Inputs!$B$1+((Inputs!$G$5:$G$120&lt;&gt;"moeda")*(Inputs!$G$5:$G$120&lt;&gt;"acoes")))*INDEX(Inputs!$K$5:$AJ$120,0,MATCH(L$2,Inputs!$K$4:$AJ$4,0)))+SUMPRODUCT((Inputs!$E$5:$E$120=$B33)*Inputs!$F$5:$F$120*(((Inputs!$G$5:$G$120="moeda")+(Inputs!$G$5:$G$120="acoes"))*Inputs!$B$1+((Inputs!$G$5:$G$120&lt;&gt;"moeda")*(Inputs!$G$5:$G$120&lt;&gt;"acoes")))*INDEX(Inputs!$K$5:$AJ$120,0,MATCH(L$2,Inputs!$K$4:$AJ$4,0)))))</f>
        <v>0</v>
      </c>
      <c r="M33" s="268">
        <f>L33</f>
        <v>0</v>
      </c>
      <c r="N33" s="267">
        <f>IF(ISNA(MATCH(N$2,Inputs!$K$4:$AJ$4,0)),NA(),IF(SUMPRODUCT((Inputs!$A$5:$A$120=$B33)*ISNUMBER(INDEX(Inputs!$K$5:$AJ$120,0,MATCH(N$2,Inputs!$K$4:$AJ$4,0))))+SUMPRODUCT((Inputs!$C$5:$C$120=$B33)*ISNUMBER(INDEX(Inputs!$K$5:$AJ$120,0,MATCH(N$2,Inputs!$K$4:$AJ$4,0))))+SUMPRODUCT((Inputs!$E$5:$E$120=$B33)*ISNUMBER(INDEX(Inputs!$K$5:$AJ$120,0,MATCH(N$2,Inputs!$K$4:$AJ$4,0))))=0,NA(),SUMPRODUCT((Inputs!$A$5:$A$120=$B33)*Inputs!$B$5:$B$120*(((Inputs!$G$5:$G$120="moeda")+(Inputs!$G$5:$G$120="acoes"))*Inputs!$B$1+((Inputs!$G$5:$G$120&lt;&gt;"moeda")*(Inputs!$G$5:$G$120&lt;&gt;"acoes")))*INDEX(Inputs!$K$5:$AJ$120,0,MATCH(N$2,Inputs!$K$4:$AJ$4,0)))+SUMPRODUCT((Inputs!$C$5:$C$120=$B33)*Inputs!$D$5:$D$120*(((Inputs!$G$5:$G$120="moeda")+(Inputs!$G$5:$G$120="acoes"))*Inputs!$B$1+((Inputs!$G$5:$G$120&lt;&gt;"moeda")*(Inputs!$G$5:$G$120&lt;&gt;"acoes")))*INDEX(Inputs!$K$5:$AJ$120,0,MATCH(N$2,Inputs!$K$4:$AJ$4,0)))+SUMPRODUCT((Inputs!$E$5:$E$120=$B33)*Inputs!$F$5:$F$120*(((Inputs!$G$5:$G$120="moeda")+(Inputs!$G$5:$G$120="acoes"))*Inputs!$B$1+((Inputs!$G$5:$G$120&lt;&gt;"moeda")*(Inputs!$G$5:$G$120&lt;&gt;"acoes")))*INDEX(Inputs!$K$5:$AJ$120,0,MATCH(N$2,Inputs!$K$4:$AJ$4,0)))))</f>
        <v>0</v>
      </c>
      <c r="O33" s="267">
        <f>IF(ISNA(MATCH(O$2,Inputs!$K$4:$AJ$4,0)),NA(),IF(SUMPRODUCT((Inputs!$A$5:$A$120=$B33)*ISNUMBER(INDEX(Inputs!$K$5:$AJ$120,0,MATCH(O$2,Inputs!$K$4:$AJ$4,0))))+SUMPRODUCT((Inputs!$C$5:$C$120=$B33)*ISNUMBER(INDEX(Inputs!$K$5:$AJ$120,0,MATCH(O$2,Inputs!$K$4:$AJ$4,0))))+SUMPRODUCT((Inputs!$E$5:$E$120=$B33)*ISNUMBER(INDEX(Inputs!$K$5:$AJ$120,0,MATCH(O$2,Inputs!$K$4:$AJ$4,0))))=0,NA(),SUMPRODUCT((Inputs!$A$5:$A$120=$B33)*Inputs!$B$5:$B$120*(((Inputs!$G$5:$G$120="moeda")+(Inputs!$G$5:$G$120="acoes"))*Inputs!$B$1+((Inputs!$G$5:$G$120&lt;&gt;"moeda")*(Inputs!$G$5:$G$120&lt;&gt;"acoes")))*INDEX(Inputs!$K$5:$AJ$120,0,MATCH(O$2,Inputs!$K$4:$AJ$4,0)))+SUMPRODUCT((Inputs!$C$5:$C$120=$B33)*Inputs!$D$5:$D$120*(((Inputs!$G$5:$G$120="moeda")+(Inputs!$G$5:$G$120="acoes"))*Inputs!$B$1+((Inputs!$G$5:$G$120&lt;&gt;"moeda")*(Inputs!$G$5:$G$120&lt;&gt;"acoes")))*INDEX(Inputs!$K$5:$AJ$120,0,MATCH(O$2,Inputs!$K$4:$AJ$4,0)))+SUMPRODUCT((Inputs!$E$5:$E$120=$B33)*Inputs!$F$5:$F$120*(((Inputs!$G$5:$G$120="moeda")+(Inputs!$G$5:$G$120="acoes"))*Inputs!$B$1+((Inputs!$G$5:$G$120&lt;&gt;"moeda")*(Inputs!$G$5:$G$120&lt;&gt;"acoes")))*INDEX(Inputs!$K$5:$AJ$120,0,MATCH(O$2,Inputs!$K$4:$AJ$4,0)))))</f>
        <v>0</v>
      </c>
      <c r="P33" s="267">
        <f>IF(ISNA(MATCH(P$2,Inputs!$K$4:$AJ$4,0)),NA(),IF(SUMPRODUCT((Inputs!$A$5:$A$120=$B33)*ISNUMBER(INDEX(Inputs!$K$5:$AJ$120,0,MATCH(P$2,Inputs!$K$4:$AJ$4,0))))+SUMPRODUCT((Inputs!$C$5:$C$120=$B33)*ISNUMBER(INDEX(Inputs!$K$5:$AJ$120,0,MATCH(P$2,Inputs!$K$4:$AJ$4,0))))+SUMPRODUCT((Inputs!$E$5:$E$120=$B33)*ISNUMBER(INDEX(Inputs!$K$5:$AJ$120,0,MATCH(P$2,Inputs!$K$4:$AJ$4,0))))=0,NA(),SUMPRODUCT((Inputs!$A$5:$A$120=$B33)*Inputs!$B$5:$B$120*(((Inputs!$G$5:$G$120="moeda")+(Inputs!$G$5:$G$120="acoes"))*Inputs!$B$1+((Inputs!$G$5:$G$120&lt;&gt;"moeda")*(Inputs!$G$5:$G$120&lt;&gt;"acoes")))*INDEX(Inputs!$K$5:$AJ$120,0,MATCH(P$2,Inputs!$K$4:$AJ$4,0)))+SUMPRODUCT((Inputs!$C$5:$C$120=$B33)*Inputs!$D$5:$D$120*(((Inputs!$G$5:$G$120="moeda")+(Inputs!$G$5:$G$120="acoes"))*Inputs!$B$1+((Inputs!$G$5:$G$120&lt;&gt;"moeda")*(Inputs!$G$5:$G$120&lt;&gt;"acoes")))*INDEX(Inputs!$K$5:$AJ$120,0,MATCH(P$2,Inputs!$K$4:$AJ$4,0)))+SUMPRODUCT((Inputs!$E$5:$E$120=$B33)*Inputs!$F$5:$F$120*(((Inputs!$G$5:$G$120="moeda")+(Inputs!$G$5:$G$120="acoes"))*Inputs!$B$1+((Inputs!$G$5:$G$120&lt;&gt;"moeda")*(Inputs!$G$5:$G$120&lt;&gt;"acoes")))*INDEX(Inputs!$K$5:$AJ$120,0,MATCH(P$2,Inputs!$K$4:$AJ$4,0)))))</f>
        <v>0</v>
      </c>
      <c r="Q33" s="267">
        <f>IF(ISNA(MATCH(Q$2,Inputs!$K$4:$AJ$4,0)),NA(),IF(SUMPRODUCT((Inputs!$A$5:$A$120=$B33)*ISNUMBER(INDEX(Inputs!$K$5:$AJ$120,0,MATCH(Q$2,Inputs!$K$4:$AJ$4,0))))+SUMPRODUCT((Inputs!$C$5:$C$120=$B33)*ISNUMBER(INDEX(Inputs!$K$5:$AJ$120,0,MATCH(Q$2,Inputs!$K$4:$AJ$4,0))))+SUMPRODUCT((Inputs!$E$5:$E$120=$B33)*ISNUMBER(INDEX(Inputs!$K$5:$AJ$120,0,MATCH(Q$2,Inputs!$K$4:$AJ$4,0))))=0,NA(),SUMPRODUCT((Inputs!$A$5:$A$120=$B33)*Inputs!$B$5:$B$120*(((Inputs!$G$5:$G$120="moeda")+(Inputs!$G$5:$G$120="acoes"))*Inputs!$B$1+((Inputs!$G$5:$G$120&lt;&gt;"moeda")*(Inputs!$G$5:$G$120&lt;&gt;"acoes")))*INDEX(Inputs!$K$5:$AJ$120,0,MATCH(Q$2,Inputs!$K$4:$AJ$4,0)))+SUMPRODUCT((Inputs!$C$5:$C$120=$B33)*Inputs!$D$5:$D$120*(((Inputs!$G$5:$G$120="moeda")+(Inputs!$G$5:$G$120="acoes"))*Inputs!$B$1+((Inputs!$G$5:$G$120&lt;&gt;"moeda")*(Inputs!$G$5:$G$120&lt;&gt;"acoes")))*INDEX(Inputs!$K$5:$AJ$120,0,MATCH(Q$2,Inputs!$K$4:$AJ$4,0)))+SUMPRODUCT((Inputs!$E$5:$E$120=$B33)*Inputs!$F$5:$F$120*(((Inputs!$G$5:$G$120="moeda")+(Inputs!$G$5:$G$120="acoes"))*Inputs!$B$1+((Inputs!$G$5:$G$120&lt;&gt;"moeda")*(Inputs!$G$5:$G$120&lt;&gt;"acoes")))*INDEX(Inputs!$K$5:$AJ$120,0,MATCH(Q$2,Inputs!$K$4:$AJ$4,0)))))</f>
        <v>0</v>
      </c>
      <c r="R33" s="268">
        <f>Q33</f>
        <v>0</v>
      </c>
      <c r="S33" s="267">
        <f>IF(ISNA(MATCH(S$2,Inputs!$K$4:$AJ$4,0)),NA(),IF(SUMPRODUCT((Inputs!$A$5:$A$120=$B33)*ISNUMBER(INDEX(Inputs!$K$5:$AJ$120,0,MATCH(S$2,Inputs!$K$4:$AJ$4,0))))+SUMPRODUCT((Inputs!$C$5:$C$120=$B33)*ISNUMBER(INDEX(Inputs!$K$5:$AJ$120,0,MATCH(S$2,Inputs!$K$4:$AJ$4,0))))+SUMPRODUCT((Inputs!$E$5:$E$120=$B33)*ISNUMBER(INDEX(Inputs!$K$5:$AJ$120,0,MATCH(S$2,Inputs!$K$4:$AJ$4,0))))=0,NA(),SUMPRODUCT((Inputs!$A$5:$A$120=$B33)*Inputs!$B$5:$B$120*(((Inputs!$G$5:$G$120="moeda")+(Inputs!$G$5:$G$120="acoes"))*Inputs!$B$1+((Inputs!$G$5:$G$120&lt;&gt;"moeda")*(Inputs!$G$5:$G$120&lt;&gt;"acoes")))*INDEX(Inputs!$K$5:$AJ$120,0,MATCH(S$2,Inputs!$K$4:$AJ$4,0)))+SUMPRODUCT((Inputs!$C$5:$C$120=$B33)*Inputs!$D$5:$D$120*(((Inputs!$G$5:$G$120="moeda")+(Inputs!$G$5:$G$120="acoes"))*Inputs!$B$1+((Inputs!$G$5:$G$120&lt;&gt;"moeda")*(Inputs!$G$5:$G$120&lt;&gt;"acoes")))*INDEX(Inputs!$K$5:$AJ$120,0,MATCH(S$2,Inputs!$K$4:$AJ$4,0)))+SUMPRODUCT((Inputs!$E$5:$E$120=$B33)*Inputs!$F$5:$F$120*(((Inputs!$G$5:$G$120="moeda")+(Inputs!$G$5:$G$120="acoes"))*Inputs!$B$1+((Inputs!$G$5:$G$120&lt;&gt;"moeda")*(Inputs!$G$5:$G$120&lt;&gt;"acoes")))*INDEX(Inputs!$K$5:$AJ$120,0,MATCH(S$2,Inputs!$K$4:$AJ$4,0)))))</f>
        <v>0</v>
      </c>
      <c r="T33" s="267">
        <f>IF(ISNA(MATCH(T$2,Inputs!$K$4:$AJ$4,0)),NA(),IF(SUMPRODUCT((Inputs!$A$5:$A$120=$B33)*ISNUMBER(INDEX(Inputs!$K$5:$AJ$120,0,MATCH(T$2,Inputs!$K$4:$AJ$4,0))))+SUMPRODUCT((Inputs!$C$5:$C$120=$B33)*ISNUMBER(INDEX(Inputs!$K$5:$AJ$120,0,MATCH(T$2,Inputs!$K$4:$AJ$4,0))))+SUMPRODUCT((Inputs!$E$5:$E$120=$B33)*ISNUMBER(INDEX(Inputs!$K$5:$AJ$120,0,MATCH(T$2,Inputs!$K$4:$AJ$4,0))))=0,NA(),SUMPRODUCT((Inputs!$A$5:$A$120=$B33)*Inputs!$B$5:$B$120*(((Inputs!$G$5:$G$120="moeda")+(Inputs!$G$5:$G$120="acoes"))*Inputs!$B$1+((Inputs!$G$5:$G$120&lt;&gt;"moeda")*(Inputs!$G$5:$G$120&lt;&gt;"acoes")))*INDEX(Inputs!$K$5:$AJ$120,0,MATCH(T$2,Inputs!$K$4:$AJ$4,0)))+SUMPRODUCT((Inputs!$C$5:$C$120=$B33)*Inputs!$D$5:$D$120*(((Inputs!$G$5:$G$120="moeda")+(Inputs!$G$5:$G$120="acoes"))*Inputs!$B$1+((Inputs!$G$5:$G$120&lt;&gt;"moeda")*(Inputs!$G$5:$G$120&lt;&gt;"acoes")))*INDEX(Inputs!$K$5:$AJ$120,0,MATCH(T$2,Inputs!$K$4:$AJ$4,0)))+SUMPRODUCT((Inputs!$E$5:$E$120=$B33)*Inputs!$F$5:$F$120*(((Inputs!$G$5:$G$120="moeda")+(Inputs!$G$5:$G$120="acoes"))*Inputs!$B$1+((Inputs!$G$5:$G$120&lt;&gt;"moeda")*(Inputs!$G$5:$G$120&lt;&gt;"acoes")))*INDEX(Inputs!$K$5:$AJ$120,0,MATCH(T$2,Inputs!$K$4:$AJ$4,0)))))</f>
        <v>0</v>
      </c>
      <c r="U33" s="267">
        <f>IF(ISNA(MATCH(U$2,Inputs!$K$4:$AJ$4,0)),NA(),IF(SUMPRODUCT((Inputs!$A$5:$A$120=$B33)*ISNUMBER(INDEX(Inputs!$K$5:$AJ$120,0,MATCH(U$2,Inputs!$K$4:$AJ$4,0))))+SUMPRODUCT((Inputs!$C$5:$C$120=$B33)*ISNUMBER(INDEX(Inputs!$K$5:$AJ$120,0,MATCH(U$2,Inputs!$K$4:$AJ$4,0))))+SUMPRODUCT((Inputs!$E$5:$E$120=$B33)*ISNUMBER(INDEX(Inputs!$K$5:$AJ$120,0,MATCH(U$2,Inputs!$K$4:$AJ$4,0))))=0,NA(),SUMPRODUCT((Inputs!$A$5:$A$120=$B33)*Inputs!$B$5:$B$120*(((Inputs!$G$5:$G$120="moeda")+(Inputs!$G$5:$G$120="acoes"))*Inputs!$B$1+((Inputs!$G$5:$G$120&lt;&gt;"moeda")*(Inputs!$G$5:$G$120&lt;&gt;"acoes")))*INDEX(Inputs!$K$5:$AJ$120,0,MATCH(U$2,Inputs!$K$4:$AJ$4,0)))+SUMPRODUCT((Inputs!$C$5:$C$120=$B33)*Inputs!$D$5:$D$120*(((Inputs!$G$5:$G$120="moeda")+(Inputs!$G$5:$G$120="acoes"))*Inputs!$B$1+((Inputs!$G$5:$G$120&lt;&gt;"moeda")*(Inputs!$G$5:$G$120&lt;&gt;"acoes")))*INDEX(Inputs!$K$5:$AJ$120,0,MATCH(U$2,Inputs!$K$4:$AJ$4,0)))+SUMPRODUCT((Inputs!$E$5:$E$120=$B33)*Inputs!$F$5:$F$120*(((Inputs!$G$5:$G$120="moeda")+(Inputs!$G$5:$G$120="acoes"))*Inputs!$B$1+((Inputs!$G$5:$G$120&lt;&gt;"moeda")*(Inputs!$G$5:$G$120&lt;&gt;"acoes")))*INDEX(Inputs!$K$5:$AJ$120,0,MATCH(U$2,Inputs!$K$4:$AJ$4,0)))))</f>
        <v>0</v>
      </c>
      <c r="V33" s="267">
        <f>IF(ISNA(MATCH(V$2,Inputs!$K$4:$AJ$4,0)),NA(),IF(SUMPRODUCT((Inputs!$A$5:$A$120=$B33)*ISNUMBER(INDEX(Inputs!$K$5:$AJ$120,0,MATCH(V$2,Inputs!$K$4:$AJ$4,0))))+SUMPRODUCT((Inputs!$C$5:$C$120=$B33)*ISNUMBER(INDEX(Inputs!$K$5:$AJ$120,0,MATCH(V$2,Inputs!$K$4:$AJ$4,0))))+SUMPRODUCT((Inputs!$E$5:$E$120=$B33)*ISNUMBER(INDEX(Inputs!$K$5:$AJ$120,0,MATCH(V$2,Inputs!$K$4:$AJ$4,0))))=0,NA(),SUMPRODUCT((Inputs!$A$5:$A$120=$B33)*Inputs!$B$5:$B$120*(((Inputs!$G$5:$G$120="moeda")+(Inputs!$G$5:$G$120="acoes"))*Inputs!$B$1+((Inputs!$G$5:$G$120&lt;&gt;"moeda")*(Inputs!$G$5:$G$120&lt;&gt;"acoes")))*INDEX(Inputs!$K$5:$AJ$120,0,MATCH(V$2,Inputs!$K$4:$AJ$4,0)))+SUMPRODUCT((Inputs!$C$5:$C$120=$B33)*Inputs!$D$5:$D$120*(((Inputs!$G$5:$G$120="moeda")+(Inputs!$G$5:$G$120="acoes"))*Inputs!$B$1+((Inputs!$G$5:$G$120&lt;&gt;"moeda")*(Inputs!$G$5:$G$120&lt;&gt;"acoes")))*INDEX(Inputs!$K$5:$AJ$120,0,MATCH(V$2,Inputs!$K$4:$AJ$4,0)))+SUMPRODUCT((Inputs!$E$5:$E$120=$B33)*Inputs!$F$5:$F$120*(((Inputs!$G$5:$G$120="moeda")+(Inputs!$G$5:$G$120="acoes"))*Inputs!$B$1+((Inputs!$G$5:$G$120&lt;&gt;"moeda")*(Inputs!$G$5:$G$120&lt;&gt;"acoes")))*INDEX(Inputs!$K$5:$AJ$120,0,MATCH(V$2,Inputs!$K$4:$AJ$4,0)))))</f>
        <v>0</v>
      </c>
      <c r="W33" s="268">
        <f>V33</f>
        <v>0</v>
      </c>
      <c r="X33" s="267">
        <f>IF(ISNA(MATCH(X$2,Inputs!$K$4:$AJ$4,0)),NA(),IF(SUMPRODUCT((Inputs!$A$5:$A$120=$B33)*ISNUMBER(INDEX(Inputs!$K$5:$AJ$120,0,MATCH(X$2,Inputs!$K$4:$AJ$4,0))))+SUMPRODUCT((Inputs!$C$5:$C$120=$B33)*ISNUMBER(INDEX(Inputs!$K$5:$AJ$120,0,MATCH(X$2,Inputs!$K$4:$AJ$4,0))))+SUMPRODUCT((Inputs!$E$5:$E$120=$B33)*ISNUMBER(INDEX(Inputs!$K$5:$AJ$120,0,MATCH(X$2,Inputs!$K$4:$AJ$4,0))))=0,NA(),SUMPRODUCT((Inputs!$A$5:$A$120=$B33)*Inputs!$B$5:$B$120*(((Inputs!$G$5:$G$120="moeda")+(Inputs!$G$5:$G$120="acoes"))*Inputs!$B$1+((Inputs!$G$5:$G$120&lt;&gt;"moeda")*(Inputs!$G$5:$G$120&lt;&gt;"acoes")))*INDEX(Inputs!$K$5:$AJ$120,0,MATCH(X$2,Inputs!$K$4:$AJ$4,0)))+SUMPRODUCT((Inputs!$C$5:$C$120=$B33)*Inputs!$D$5:$D$120*(((Inputs!$G$5:$G$120="moeda")+(Inputs!$G$5:$G$120="acoes"))*Inputs!$B$1+((Inputs!$G$5:$G$120&lt;&gt;"moeda")*(Inputs!$G$5:$G$120&lt;&gt;"acoes")))*INDEX(Inputs!$K$5:$AJ$120,0,MATCH(X$2,Inputs!$K$4:$AJ$4,0)))+SUMPRODUCT((Inputs!$E$5:$E$120=$B33)*Inputs!$F$5:$F$120*(((Inputs!$G$5:$G$120="moeda")+(Inputs!$G$5:$G$120="acoes"))*Inputs!$B$1+((Inputs!$G$5:$G$120&lt;&gt;"moeda")*(Inputs!$G$5:$G$120&lt;&gt;"acoes")))*INDEX(Inputs!$K$5:$AJ$120,0,MATCH(X$2,Inputs!$K$4:$AJ$4,0)))))</f>
        <v>0</v>
      </c>
      <c r="Y33" s="267">
        <f>IF(ISNA(MATCH(Y$2,Inputs!$K$4:$AJ$4,0)),NA(),IF(SUMPRODUCT((Inputs!$A$5:$A$120=$B33)*ISNUMBER(INDEX(Inputs!$K$5:$AJ$120,0,MATCH(Y$2,Inputs!$K$4:$AJ$4,0))))+SUMPRODUCT((Inputs!$C$5:$C$120=$B33)*ISNUMBER(INDEX(Inputs!$K$5:$AJ$120,0,MATCH(Y$2,Inputs!$K$4:$AJ$4,0))))+SUMPRODUCT((Inputs!$E$5:$E$120=$B33)*ISNUMBER(INDEX(Inputs!$K$5:$AJ$120,0,MATCH(Y$2,Inputs!$K$4:$AJ$4,0))))=0,NA(),SUMPRODUCT((Inputs!$A$5:$A$120=$B33)*Inputs!$B$5:$B$120*(((Inputs!$G$5:$G$120="moeda")+(Inputs!$G$5:$G$120="acoes"))*Inputs!$B$1+((Inputs!$G$5:$G$120&lt;&gt;"moeda")*(Inputs!$G$5:$G$120&lt;&gt;"acoes")))*INDEX(Inputs!$K$5:$AJ$120,0,MATCH(Y$2,Inputs!$K$4:$AJ$4,0)))+SUMPRODUCT((Inputs!$C$5:$C$120=$B33)*Inputs!$D$5:$D$120*(((Inputs!$G$5:$G$120="moeda")+(Inputs!$G$5:$G$120="acoes"))*Inputs!$B$1+((Inputs!$G$5:$G$120&lt;&gt;"moeda")*(Inputs!$G$5:$G$120&lt;&gt;"acoes")))*INDEX(Inputs!$K$5:$AJ$120,0,MATCH(Y$2,Inputs!$K$4:$AJ$4,0)))+SUMPRODUCT((Inputs!$E$5:$E$120=$B33)*Inputs!$F$5:$F$120*(((Inputs!$G$5:$G$120="moeda")+(Inputs!$G$5:$G$120="acoes"))*Inputs!$B$1+((Inputs!$G$5:$G$120&lt;&gt;"moeda")*(Inputs!$G$5:$G$120&lt;&gt;"acoes")))*INDEX(Inputs!$K$5:$AJ$120,0,MATCH(Y$2,Inputs!$K$4:$AJ$4,0)))))</f>
        <v>0</v>
      </c>
      <c r="Z33" s="267">
        <f>IF(ISNA(MATCH(Z$2,Inputs!$K$4:$AJ$4,0)),NA(),IF(SUMPRODUCT((Inputs!$A$5:$A$120=$B33)*ISNUMBER(INDEX(Inputs!$K$5:$AJ$120,0,MATCH(Z$2,Inputs!$K$4:$AJ$4,0))))+SUMPRODUCT((Inputs!$C$5:$C$120=$B33)*ISNUMBER(INDEX(Inputs!$K$5:$AJ$120,0,MATCH(Z$2,Inputs!$K$4:$AJ$4,0))))+SUMPRODUCT((Inputs!$E$5:$E$120=$B33)*ISNUMBER(INDEX(Inputs!$K$5:$AJ$120,0,MATCH(Z$2,Inputs!$K$4:$AJ$4,0))))=0,NA(),SUMPRODUCT((Inputs!$A$5:$A$120=$B33)*Inputs!$B$5:$B$120*(((Inputs!$G$5:$G$120="moeda")+(Inputs!$G$5:$G$120="acoes"))*Inputs!$B$1+((Inputs!$G$5:$G$120&lt;&gt;"moeda")*(Inputs!$G$5:$G$120&lt;&gt;"acoes")))*INDEX(Inputs!$K$5:$AJ$120,0,MATCH(Z$2,Inputs!$K$4:$AJ$4,0)))+SUMPRODUCT((Inputs!$C$5:$C$120=$B33)*Inputs!$D$5:$D$120*(((Inputs!$G$5:$G$120="moeda")+(Inputs!$G$5:$G$120="acoes"))*Inputs!$B$1+((Inputs!$G$5:$G$120&lt;&gt;"moeda")*(Inputs!$G$5:$G$120&lt;&gt;"acoes")))*INDEX(Inputs!$K$5:$AJ$120,0,MATCH(Z$2,Inputs!$K$4:$AJ$4,0)))+SUMPRODUCT((Inputs!$E$5:$E$120=$B33)*Inputs!$F$5:$F$120*(((Inputs!$G$5:$G$120="moeda")+(Inputs!$G$5:$G$120="acoes"))*Inputs!$B$1+((Inputs!$G$5:$G$120&lt;&gt;"moeda")*(Inputs!$G$5:$G$120&lt;&gt;"acoes")))*INDEX(Inputs!$K$5:$AJ$120,0,MATCH(Z$2,Inputs!$K$4:$AJ$4,0)))))</f>
        <v>0</v>
      </c>
      <c r="AA33" s="267">
        <f>IF(ISNA(MATCH(AA$2,Inputs!$K$4:$AJ$4,0)),NA(),IF(SUMPRODUCT((Inputs!$A$5:$A$120=$B33)*ISNUMBER(INDEX(Inputs!$K$5:$AJ$120,0,MATCH(AA$2,Inputs!$K$4:$AJ$4,0))))+SUMPRODUCT((Inputs!$C$5:$C$120=$B33)*ISNUMBER(INDEX(Inputs!$K$5:$AJ$120,0,MATCH(AA$2,Inputs!$K$4:$AJ$4,0))))+SUMPRODUCT((Inputs!$E$5:$E$120=$B33)*ISNUMBER(INDEX(Inputs!$K$5:$AJ$120,0,MATCH(AA$2,Inputs!$K$4:$AJ$4,0))))=0,NA(),SUMPRODUCT((Inputs!$A$5:$A$120=$B33)*Inputs!$B$5:$B$120*(((Inputs!$G$5:$G$120="moeda")+(Inputs!$G$5:$G$120="acoes"))*Inputs!$B$1+((Inputs!$G$5:$G$120&lt;&gt;"moeda")*(Inputs!$G$5:$G$120&lt;&gt;"acoes")))*INDEX(Inputs!$K$5:$AJ$120,0,MATCH(AA$2,Inputs!$K$4:$AJ$4,0)))+SUMPRODUCT((Inputs!$C$5:$C$120=$B33)*Inputs!$D$5:$D$120*(((Inputs!$G$5:$G$120="moeda")+(Inputs!$G$5:$G$120="acoes"))*Inputs!$B$1+((Inputs!$G$5:$G$120&lt;&gt;"moeda")*(Inputs!$G$5:$G$120&lt;&gt;"acoes")))*INDEX(Inputs!$K$5:$AJ$120,0,MATCH(AA$2,Inputs!$K$4:$AJ$4,0)))+SUMPRODUCT((Inputs!$E$5:$E$120=$B33)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3" s="268">
        <f>AA33</f>
        <v>0</v>
      </c>
      <c r="AC33" s="267">
        <f>IF(ISNA(MATCH(AC$2,Inputs!$K$4:$AJ$4,0)),NA(),IF(SUMPRODUCT((Inputs!$A$5:$A$120=$B33)*ISNUMBER(INDEX(Inputs!$K$5:$AJ$120,0,MATCH(AC$2,Inputs!$K$4:$AJ$4,0))))+SUMPRODUCT((Inputs!$C$5:$C$120=$B33)*ISNUMBER(INDEX(Inputs!$K$5:$AJ$120,0,MATCH(AC$2,Inputs!$K$4:$AJ$4,0))))+SUMPRODUCT((Inputs!$E$5:$E$120=$B33)*ISNUMBER(INDEX(Inputs!$K$5:$AJ$120,0,MATCH(AC$2,Inputs!$K$4:$AJ$4,0))))=0,NA(),SUMPRODUCT((Inputs!$A$5:$A$120=$B33)*Inputs!$B$5:$B$120*(((Inputs!$G$5:$G$120="moeda")+(Inputs!$G$5:$G$120="acoes"))*Inputs!$B$1+((Inputs!$G$5:$G$120&lt;&gt;"moeda")*(Inputs!$G$5:$G$120&lt;&gt;"acoes")))*INDEX(Inputs!$K$5:$AJ$120,0,MATCH(AC$2,Inputs!$K$4:$AJ$4,0)))+SUMPRODUCT((Inputs!$C$5:$C$120=$B33)*Inputs!$D$5:$D$120*(((Inputs!$G$5:$G$120="moeda")+(Inputs!$G$5:$G$120="acoes"))*Inputs!$B$1+((Inputs!$G$5:$G$120&lt;&gt;"moeda")*(Inputs!$G$5:$G$120&lt;&gt;"acoes")))*INDEX(Inputs!$K$5:$AJ$120,0,MATCH(AC$2,Inputs!$K$4:$AJ$4,0)))+SUMPRODUCT((Inputs!$E$5:$E$120=$B33)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3" s="267">
        <f>IF(ISNA(MATCH(AD$2,Inputs!$K$4:$AJ$4,0)),NA(),IF(SUMPRODUCT((Inputs!$A$5:$A$120=$B33)*ISNUMBER(INDEX(Inputs!$K$5:$AJ$120,0,MATCH(AD$2,Inputs!$K$4:$AJ$4,0))))+SUMPRODUCT((Inputs!$C$5:$C$120=$B33)*ISNUMBER(INDEX(Inputs!$K$5:$AJ$120,0,MATCH(AD$2,Inputs!$K$4:$AJ$4,0))))+SUMPRODUCT((Inputs!$E$5:$E$120=$B33)*ISNUMBER(INDEX(Inputs!$K$5:$AJ$120,0,MATCH(AD$2,Inputs!$K$4:$AJ$4,0))))=0,NA(),SUMPRODUCT((Inputs!$A$5:$A$120=$B33)*Inputs!$B$5:$B$120*(((Inputs!$G$5:$G$120="moeda")+(Inputs!$G$5:$G$120="acoes"))*Inputs!$B$1+((Inputs!$G$5:$G$120&lt;&gt;"moeda")*(Inputs!$G$5:$G$120&lt;&gt;"acoes")))*INDEX(Inputs!$K$5:$AJ$120,0,MATCH(AD$2,Inputs!$K$4:$AJ$4,0)))+SUMPRODUCT((Inputs!$C$5:$C$120=$B33)*Inputs!$D$5:$D$120*(((Inputs!$G$5:$G$120="moeda")+(Inputs!$G$5:$G$120="acoes"))*Inputs!$B$1+((Inputs!$G$5:$G$120&lt;&gt;"moeda")*(Inputs!$G$5:$G$120&lt;&gt;"acoes")))*INDEX(Inputs!$K$5:$AJ$120,0,MATCH(AD$2,Inputs!$K$4:$AJ$4,0)))+SUMPRODUCT((Inputs!$E$5:$E$120=$B33)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3" s="267" t="e">
        <f>IF(ISNA(MATCH(AE$2,Inputs!$K$4:$AJ$4,0)),NA(),IF(SUMPRODUCT((Inputs!$A$5:$A$120=$B33)*ISNUMBER(INDEX(Inputs!$K$5:$AJ$120,0,MATCH(AE$2,Inputs!$K$4:$AJ$4,0))))+SUMPRODUCT((Inputs!$C$5:$C$120=$B33)*ISNUMBER(INDEX(Inputs!$K$5:$AJ$120,0,MATCH(AE$2,Inputs!$K$4:$AJ$4,0))))+SUMPRODUCT((Inputs!$E$5:$E$120=$B33)*ISNUMBER(INDEX(Inputs!$K$5:$AJ$120,0,MATCH(AE$2,Inputs!$K$4:$AJ$4,0))))=0,NA(),SUMPRODUCT((Inputs!$A$5:$A$120=$B33)*Inputs!$B$5:$B$120*(((Inputs!$G$5:$G$120="moeda")+(Inputs!$G$5:$G$120="acoes"))*Inputs!$B$1+((Inputs!$G$5:$G$120&lt;&gt;"moeda")*(Inputs!$G$5:$G$120&lt;&gt;"acoes")))*INDEX(Inputs!$K$5:$AJ$120,0,MATCH(AE$2,Inputs!$K$4:$AJ$4,0)))+SUMPRODUCT((Inputs!$C$5:$C$120=$B33)*Inputs!$D$5:$D$120*(((Inputs!$G$5:$G$120="moeda")+(Inputs!$G$5:$G$120="acoes"))*Inputs!$B$1+((Inputs!$G$5:$G$120&lt;&gt;"moeda")*(Inputs!$G$5:$G$120&lt;&gt;"acoes")))*INDEX(Inputs!$K$5:$AJ$120,0,MATCH(AE$2,Inputs!$K$4:$AJ$4,0)))+SUMPRODUCT((Inputs!$E$5:$E$120=$B33)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3" s="267" t="e">
        <f>IF(ISNA(MATCH(AF$2,Inputs!$K$4:$AJ$4,0)),NA(),IF(SUMPRODUCT((Inputs!$A$5:$A$120=$B33)*ISNUMBER(INDEX(Inputs!$K$5:$AJ$120,0,MATCH(AF$2,Inputs!$K$4:$AJ$4,0))))+SUMPRODUCT((Inputs!$C$5:$C$120=$B33)*ISNUMBER(INDEX(Inputs!$K$5:$AJ$120,0,MATCH(AF$2,Inputs!$K$4:$AJ$4,0))))+SUMPRODUCT((Inputs!$E$5:$E$120=$B33)*ISNUMBER(INDEX(Inputs!$K$5:$AJ$120,0,MATCH(AF$2,Inputs!$K$4:$AJ$4,0))))=0,NA(),SUMPRODUCT((Inputs!$A$5:$A$120=$B33)*Inputs!$B$5:$B$120*(((Inputs!$G$5:$G$120="moeda")+(Inputs!$G$5:$G$120="acoes"))*Inputs!$B$1+((Inputs!$G$5:$G$120&lt;&gt;"moeda")*(Inputs!$G$5:$G$120&lt;&gt;"acoes")))*INDEX(Inputs!$K$5:$AJ$120,0,MATCH(AF$2,Inputs!$K$4:$AJ$4,0)))+SUMPRODUCT((Inputs!$C$5:$C$120=$B33)*Inputs!$D$5:$D$120*(((Inputs!$G$5:$G$120="moeda")+(Inputs!$G$5:$G$120="acoes"))*Inputs!$B$1+((Inputs!$G$5:$G$120&lt;&gt;"moeda")*(Inputs!$G$5:$G$120&lt;&gt;"acoes")))*INDEX(Inputs!$K$5:$AJ$120,0,MATCH(AF$2,Inputs!$K$4:$AJ$4,0)))+SUMPRODUCT((Inputs!$E$5:$E$120=$B33)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3" s="268" t="e">
        <f>AF33</f>
        <v>#N/A</v>
      </c>
      <c r="AH33" s="267">
        <f>IF(ISNA(MATCH(AH$2,Inputs!$K$4:$AJ$4,0)),NA(),IF(SUMPRODUCT((Inputs!$A$5:$A$120=$B33)*ISNUMBER(INDEX(Inputs!$K$5:$AJ$120,0,MATCH(AH$2,Inputs!$K$4:$AJ$4,0))))+SUMPRODUCT((Inputs!$C$5:$C$120=$B33)*ISNUMBER(INDEX(Inputs!$K$5:$AJ$120,0,MATCH(AH$2,Inputs!$K$4:$AJ$4,0))))+SUMPRODUCT((Inputs!$E$5:$E$120=$B33)*ISNUMBER(INDEX(Inputs!$K$5:$AJ$120,0,MATCH(AH$2,Inputs!$K$4:$AJ$4,0))))=0,NA(),SUMPRODUCT((Inputs!$A$5:$A$120=$B33)*Inputs!$B$5:$B$120*(((Inputs!$G$5:$G$120="moeda")+(Inputs!$G$5:$G$120="acoes"))*Inputs!$B$1+((Inputs!$G$5:$G$120&lt;&gt;"moeda")*(Inputs!$G$5:$G$120&lt;&gt;"acoes")))*INDEX(Inputs!$K$5:$AJ$120,0,MATCH(AH$2,Inputs!$K$4:$AJ$4,0)))+SUMPRODUCT((Inputs!$C$5:$C$120=$B33)*Inputs!$D$5:$D$120*(((Inputs!$G$5:$G$120="moeda")+(Inputs!$G$5:$G$120="acoes"))*Inputs!$B$1+((Inputs!$G$5:$G$120&lt;&gt;"moeda")*(Inputs!$G$5:$G$120&lt;&gt;"acoes")))*INDEX(Inputs!$K$5:$AJ$120,0,MATCH(AH$2,Inputs!$K$4:$AJ$4,0)))+SUMPRODUCT((Inputs!$E$5:$E$120=$B33)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3" s="267">
        <f>IF(ISNA(MATCH(AI$2,Inputs!$K$4:$AJ$4,0)),NA(),IF(SUMPRODUCT((Inputs!$A$5:$A$120=$B33)*ISNUMBER(INDEX(Inputs!$K$5:$AJ$120,0,MATCH(AI$2,Inputs!$K$4:$AJ$4,0))))+SUMPRODUCT((Inputs!$C$5:$C$120=$B33)*ISNUMBER(INDEX(Inputs!$K$5:$AJ$120,0,MATCH(AI$2,Inputs!$K$4:$AJ$4,0))))+SUMPRODUCT((Inputs!$E$5:$E$120=$B33)*ISNUMBER(INDEX(Inputs!$K$5:$AJ$120,0,MATCH(AI$2,Inputs!$K$4:$AJ$4,0))))=0,NA(),SUMPRODUCT((Inputs!$A$5:$A$120=$B33)*Inputs!$B$5:$B$120*(((Inputs!$G$5:$G$120="moeda")+(Inputs!$G$5:$G$120="acoes"))*Inputs!$B$1+((Inputs!$G$5:$G$120&lt;&gt;"moeda")*(Inputs!$G$5:$G$120&lt;&gt;"acoes")))*INDEX(Inputs!$K$5:$AJ$120,0,MATCH(AI$2,Inputs!$K$4:$AJ$4,0)))+SUMPRODUCT((Inputs!$C$5:$C$120=$B33)*Inputs!$D$5:$D$120*(((Inputs!$G$5:$G$120="moeda")+(Inputs!$G$5:$G$120="acoes"))*Inputs!$B$1+((Inputs!$G$5:$G$120&lt;&gt;"moeda")*(Inputs!$G$5:$G$120&lt;&gt;"acoes")))*INDEX(Inputs!$K$5:$AJ$120,0,MATCH(AI$2,Inputs!$K$4:$AJ$4,0)))+SUMPRODUCT((Inputs!$E$5:$E$120=$B33)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3" s="267">
        <f>IF(ISNA(MATCH(AJ$2,Inputs!$K$4:$AJ$4,0)),NA(),IF(SUMPRODUCT((Inputs!$A$5:$A$120=$B33)*ISNUMBER(INDEX(Inputs!$K$5:$AJ$120,0,MATCH(AJ$2,Inputs!$K$4:$AJ$4,0))))+SUMPRODUCT((Inputs!$C$5:$C$120=$B33)*ISNUMBER(INDEX(Inputs!$K$5:$AJ$120,0,MATCH(AJ$2,Inputs!$K$4:$AJ$4,0))))+SUMPRODUCT((Inputs!$E$5:$E$120=$B33)*ISNUMBER(INDEX(Inputs!$K$5:$AJ$120,0,MATCH(AJ$2,Inputs!$K$4:$AJ$4,0))))=0,NA(),SUMPRODUCT((Inputs!$A$5:$A$120=$B33)*Inputs!$B$5:$B$120*(((Inputs!$G$5:$G$120="moeda")+(Inputs!$G$5:$G$120="acoes"))*Inputs!$B$1+((Inputs!$G$5:$G$120&lt;&gt;"moeda")*(Inputs!$G$5:$G$120&lt;&gt;"acoes")))*INDEX(Inputs!$K$5:$AJ$120,0,MATCH(AJ$2,Inputs!$K$4:$AJ$4,0)))+SUMPRODUCT((Inputs!$C$5:$C$120=$B33)*Inputs!$D$5:$D$120*(((Inputs!$G$5:$G$120="moeda")+(Inputs!$G$5:$G$120="acoes"))*Inputs!$B$1+((Inputs!$G$5:$G$120&lt;&gt;"moeda")*(Inputs!$G$5:$G$120&lt;&gt;"acoes")))*INDEX(Inputs!$K$5:$AJ$120,0,MATCH(AJ$2,Inputs!$K$4:$AJ$4,0)))+SUMPRODUCT((Inputs!$E$5:$E$120=$B33)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3" s="267">
        <f>IF(ISNA(MATCH(AK$2,Inputs!$K$4:$AJ$4,0)),NA(),IF(SUMPRODUCT((Inputs!$A$5:$A$120=$B33)*ISNUMBER(INDEX(Inputs!$K$5:$AJ$120,0,MATCH(AK$2,Inputs!$K$4:$AJ$4,0))))+SUMPRODUCT((Inputs!$C$5:$C$120=$B33)*ISNUMBER(INDEX(Inputs!$K$5:$AJ$120,0,MATCH(AK$2,Inputs!$K$4:$AJ$4,0))))+SUMPRODUCT((Inputs!$E$5:$E$120=$B33)*ISNUMBER(INDEX(Inputs!$K$5:$AJ$120,0,MATCH(AK$2,Inputs!$K$4:$AJ$4,0))))=0,NA(),SUMPRODUCT((Inputs!$A$5:$A$120=$B33)*Inputs!$B$5:$B$120*(((Inputs!$G$5:$G$120="moeda")+(Inputs!$G$5:$G$120="acoes"))*Inputs!$B$1+((Inputs!$G$5:$G$120&lt;&gt;"moeda")*(Inputs!$G$5:$G$120&lt;&gt;"acoes")))*INDEX(Inputs!$K$5:$AJ$120,0,MATCH(AK$2,Inputs!$K$4:$AJ$4,0)))+SUMPRODUCT((Inputs!$C$5:$C$120=$B33)*Inputs!$D$5:$D$120*(((Inputs!$G$5:$G$120="moeda")+(Inputs!$G$5:$G$120="acoes"))*Inputs!$B$1+((Inputs!$G$5:$G$120&lt;&gt;"moeda")*(Inputs!$G$5:$G$120&lt;&gt;"acoes")))*INDEX(Inputs!$K$5:$AJ$120,0,MATCH(AK$2,Inputs!$K$4:$AJ$4,0)))+SUMPRODUCT((Inputs!$E$5:$E$120=$B33)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3" s="268">
        <f>AK33</f>
        <v>0</v>
      </c>
    </row>
    <row r="34" ht="12.75" customHeight="1" s="255">
      <c r="B34" s="265" t="n">
        <v>29</v>
      </c>
      <c r="C34" s="270" t="inlineStr">
        <is>
          <t>Short term operating leases</t>
        </is>
      </c>
      <c r="D34" s="267">
        <f>IF(ISNA(MATCH(D$2,Inputs!$K$4:$AJ$4,0)),NA(),IF(SUMPRODUCT((Inputs!$A$5:$A$120=$B34)*ISNUMBER(INDEX(Inputs!$K$5:$AJ$120,0,MATCH(D$2,Inputs!$K$4:$AJ$4,0))))+SUMPRODUCT((Inputs!$C$5:$C$120=$B34)*ISNUMBER(INDEX(Inputs!$K$5:$AJ$120,0,MATCH(D$2,Inputs!$K$4:$AJ$4,0))))+SUMPRODUCT((Inputs!$E$5:$E$120=$B34)*ISNUMBER(INDEX(Inputs!$K$5:$AJ$120,0,MATCH(D$2,Inputs!$K$4:$AJ$4,0))))=0,NA(),SUMPRODUCT((Inputs!$A$5:$A$120=$B34)*Inputs!$B$5:$B$120*(((Inputs!$G$5:$G$120="moeda")+(Inputs!$G$5:$G$120="acoes"))*Inputs!$B$1+((Inputs!$G$5:$G$120&lt;&gt;"moeda")*(Inputs!$G$5:$G$120&lt;&gt;"acoes")))*INDEX(Inputs!$K$5:$AJ$120,0,MATCH(D$2,Inputs!$K$4:$AJ$4,0)))+SUMPRODUCT((Inputs!$C$5:$C$120=$B34)*Inputs!$D$5:$D$120*(((Inputs!$G$5:$G$120="moeda")+(Inputs!$G$5:$G$120="acoes"))*Inputs!$B$1+((Inputs!$G$5:$G$120&lt;&gt;"moeda")*(Inputs!$G$5:$G$120&lt;&gt;"acoes")))*INDEX(Inputs!$K$5:$AJ$120,0,MATCH(D$2,Inputs!$K$4:$AJ$4,0)))+SUMPRODUCT((Inputs!$E$5:$E$120=$B34)*Inputs!$F$5:$F$120*(((Inputs!$G$5:$G$120="moeda")+(Inputs!$G$5:$G$120="acoes"))*Inputs!$B$1+((Inputs!$G$5:$G$120&lt;&gt;"moeda")*(Inputs!$G$5:$G$120&lt;&gt;"acoes")))*INDEX(Inputs!$K$5:$AJ$120,0,MATCH(D$2,Inputs!$K$4:$AJ$4,0)))))</f>
        <v>241</v>
      </c>
      <c r="E34" s="267">
        <f>IF(ISNA(MATCH(E$2,Inputs!$K$4:$AJ$4,0)),NA(),IF(SUMPRODUCT((Inputs!$A$5:$A$120=$B34)*ISNUMBER(INDEX(Inputs!$K$5:$AJ$120,0,MATCH(E$2,Inputs!$K$4:$AJ$4,0))))+SUMPRODUCT((Inputs!$C$5:$C$120=$B34)*ISNUMBER(INDEX(Inputs!$K$5:$AJ$120,0,MATCH(E$2,Inputs!$K$4:$AJ$4,0))))+SUMPRODUCT((Inputs!$E$5:$E$120=$B34)*ISNUMBER(INDEX(Inputs!$K$5:$AJ$120,0,MATCH(E$2,Inputs!$K$4:$AJ$4,0))))=0,NA(),SUMPRODUCT((Inputs!$A$5:$A$120=$B34)*Inputs!$B$5:$B$120*(((Inputs!$G$5:$G$120="moeda")+(Inputs!$G$5:$G$120="acoes"))*Inputs!$B$1+((Inputs!$G$5:$G$120&lt;&gt;"moeda")*(Inputs!$G$5:$G$120&lt;&gt;"acoes")))*INDEX(Inputs!$K$5:$AJ$120,0,MATCH(E$2,Inputs!$K$4:$AJ$4,0)))+SUMPRODUCT((Inputs!$C$5:$C$120=$B34)*Inputs!$D$5:$D$120*(((Inputs!$G$5:$G$120="moeda")+(Inputs!$G$5:$G$120="acoes"))*Inputs!$B$1+((Inputs!$G$5:$G$120&lt;&gt;"moeda")*(Inputs!$G$5:$G$120&lt;&gt;"acoes")))*INDEX(Inputs!$K$5:$AJ$120,0,MATCH(E$2,Inputs!$K$4:$AJ$4,0)))+SUMPRODUCT((Inputs!$E$5:$E$120=$B34)*Inputs!$F$5:$F$120*(((Inputs!$G$5:$G$120="moeda")+(Inputs!$G$5:$G$120="acoes"))*Inputs!$B$1+((Inputs!$G$5:$G$120&lt;&gt;"moeda")*(Inputs!$G$5:$G$120&lt;&gt;"acoes")))*INDEX(Inputs!$K$5:$AJ$120,0,MATCH(E$2,Inputs!$K$4:$AJ$4,0)))))</f>
        <v>265</v>
      </c>
      <c r="F34" s="267">
        <f>IF(ISNA(MATCH(F$2,Inputs!$K$4:$AJ$4,0)),NA(),IF(SUMPRODUCT((Inputs!$A$5:$A$120=$B34)*ISNUMBER(INDEX(Inputs!$K$5:$AJ$120,0,MATCH(F$2,Inputs!$K$4:$AJ$4,0))))+SUMPRODUCT((Inputs!$C$5:$C$120=$B34)*ISNUMBER(INDEX(Inputs!$K$5:$AJ$120,0,MATCH(F$2,Inputs!$K$4:$AJ$4,0))))+SUMPRODUCT((Inputs!$E$5:$E$120=$B34)*ISNUMBER(INDEX(Inputs!$K$5:$AJ$120,0,MATCH(F$2,Inputs!$K$4:$AJ$4,0))))=0,NA(),SUMPRODUCT((Inputs!$A$5:$A$120=$B34)*Inputs!$B$5:$B$120*(((Inputs!$G$5:$G$120="moeda")+(Inputs!$G$5:$G$120="acoes"))*Inputs!$B$1+((Inputs!$G$5:$G$120&lt;&gt;"moeda")*(Inputs!$G$5:$G$120&lt;&gt;"acoes")))*INDEX(Inputs!$K$5:$AJ$120,0,MATCH(F$2,Inputs!$K$4:$AJ$4,0)))+SUMPRODUCT((Inputs!$C$5:$C$120=$B34)*Inputs!$D$5:$D$120*(((Inputs!$G$5:$G$120="moeda")+(Inputs!$G$5:$G$120="acoes"))*Inputs!$B$1+((Inputs!$G$5:$G$120&lt;&gt;"moeda")*(Inputs!$G$5:$G$120&lt;&gt;"acoes")))*INDEX(Inputs!$K$5:$AJ$120,0,MATCH(F$2,Inputs!$K$4:$AJ$4,0)))+SUMPRODUCT((Inputs!$E$5:$E$120=$B34)*Inputs!$F$5:$F$120*(((Inputs!$G$5:$G$120="moeda")+(Inputs!$G$5:$G$120="acoes"))*Inputs!$B$1+((Inputs!$G$5:$G$120&lt;&gt;"moeda")*(Inputs!$G$5:$G$120&lt;&gt;"acoes")))*INDEX(Inputs!$K$5:$AJ$120,0,MATCH(F$2,Inputs!$K$4:$AJ$4,0)))))</f>
        <v>332</v>
      </c>
      <c r="G34" s="267">
        <f>IF(ISNA(MATCH(G$2,Inputs!$K$4:$AJ$4,0)),NA(),IF(SUMPRODUCT((Inputs!$A$5:$A$120=$B34)*ISNUMBER(INDEX(Inputs!$K$5:$AJ$120,0,MATCH(G$2,Inputs!$K$4:$AJ$4,0))))+SUMPRODUCT((Inputs!$C$5:$C$120=$B34)*ISNUMBER(INDEX(Inputs!$K$5:$AJ$120,0,MATCH(G$2,Inputs!$K$4:$AJ$4,0))))+SUMPRODUCT((Inputs!$E$5:$E$120=$B34)*ISNUMBER(INDEX(Inputs!$K$5:$AJ$120,0,MATCH(G$2,Inputs!$K$4:$AJ$4,0))))=0,NA(),SUMPRODUCT((Inputs!$A$5:$A$120=$B34)*Inputs!$B$5:$B$120*(((Inputs!$G$5:$G$120="moeda")+(Inputs!$G$5:$G$120="acoes"))*Inputs!$B$1+((Inputs!$G$5:$G$120&lt;&gt;"moeda")*(Inputs!$G$5:$G$120&lt;&gt;"acoes")))*INDEX(Inputs!$K$5:$AJ$120,0,MATCH(G$2,Inputs!$K$4:$AJ$4,0)))+SUMPRODUCT((Inputs!$C$5:$C$120=$B34)*Inputs!$D$5:$D$120*(((Inputs!$G$5:$G$120="moeda")+(Inputs!$G$5:$G$120="acoes"))*Inputs!$B$1+((Inputs!$G$5:$G$120&lt;&gt;"moeda")*(Inputs!$G$5:$G$120&lt;&gt;"acoes")))*INDEX(Inputs!$K$5:$AJ$120,0,MATCH(G$2,Inputs!$K$4:$AJ$4,0)))+SUMPRODUCT((Inputs!$E$5:$E$120=$B34)*Inputs!$F$5:$F$120*(((Inputs!$G$5:$G$120="moeda")+(Inputs!$G$5:$G$120="acoes"))*Inputs!$B$1+((Inputs!$G$5:$G$120&lt;&gt;"moeda")*(Inputs!$G$5:$G$120&lt;&gt;"acoes")))*INDEX(Inputs!$K$5:$AJ$120,0,MATCH(G$2,Inputs!$K$4:$AJ$4,0)))))</f>
        <v>350</v>
      </c>
      <c r="H34" s="268">
        <f>G34</f>
        <v>350</v>
      </c>
      <c r="I34" s="267">
        <f>IF(ISNA(MATCH(I$2,Inputs!$K$4:$AJ$4,0)),NA(),IF(SUMPRODUCT((Inputs!$A$5:$A$120=$B34)*ISNUMBER(INDEX(Inputs!$K$5:$AJ$120,0,MATCH(I$2,Inputs!$K$4:$AJ$4,0))))+SUMPRODUCT((Inputs!$C$5:$C$120=$B34)*ISNUMBER(INDEX(Inputs!$K$5:$AJ$120,0,MATCH(I$2,Inputs!$K$4:$AJ$4,0))))+SUMPRODUCT((Inputs!$E$5:$E$120=$B34)*ISNUMBER(INDEX(Inputs!$K$5:$AJ$120,0,MATCH(I$2,Inputs!$K$4:$AJ$4,0))))=0,NA(),SUMPRODUCT((Inputs!$A$5:$A$120=$B34)*Inputs!$B$5:$B$120*(((Inputs!$G$5:$G$120="moeda")+(Inputs!$G$5:$G$120="acoes"))*Inputs!$B$1+((Inputs!$G$5:$G$120&lt;&gt;"moeda")*(Inputs!$G$5:$G$120&lt;&gt;"acoes")))*INDEX(Inputs!$K$5:$AJ$120,0,MATCH(I$2,Inputs!$K$4:$AJ$4,0)))+SUMPRODUCT((Inputs!$C$5:$C$120=$B34)*Inputs!$D$5:$D$120*(((Inputs!$G$5:$G$120="moeda")+(Inputs!$G$5:$G$120="acoes"))*Inputs!$B$1+((Inputs!$G$5:$G$120&lt;&gt;"moeda")*(Inputs!$G$5:$G$120&lt;&gt;"acoes")))*INDEX(Inputs!$K$5:$AJ$120,0,MATCH(I$2,Inputs!$K$4:$AJ$4,0)))+SUMPRODUCT((Inputs!$E$5:$E$120=$B34)*Inputs!$F$5:$F$120*(((Inputs!$G$5:$G$120="moeda")+(Inputs!$G$5:$G$120="acoes"))*Inputs!$B$1+((Inputs!$G$5:$G$120&lt;&gt;"moeda")*(Inputs!$G$5:$G$120&lt;&gt;"acoes")))*INDEX(Inputs!$K$5:$AJ$120,0,MATCH(I$2,Inputs!$K$4:$AJ$4,0)))))</f>
        <v>377</v>
      </c>
      <c r="J34" s="267">
        <f>IF(ISNA(MATCH(J$2,Inputs!$K$4:$AJ$4,0)),NA(),IF(SUMPRODUCT((Inputs!$A$5:$A$120=$B34)*ISNUMBER(INDEX(Inputs!$K$5:$AJ$120,0,MATCH(J$2,Inputs!$K$4:$AJ$4,0))))+SUMPRODUCT((Inputs!$C$5:$C$120=$B34)*ISNUMBER(INDEX(Inputs!$K$5:$AJ$120,0,MATCH(J$2,Inputs!$K$4:$AJ$4,0))))+SUMPRODUCT((Inputs!$E$5:$E$120=$B34)*ISNUMBER(INDEX(Inputs!$K$5:$AJ$120,0,MATCH(J$2,Inputs!$K$4:$AJ$4,0))))=0,NA(),SUMPRODUCT((Inputs!$A$5:$A$120=$B34)*Inputs!$B$5:$B$120*(((Inputs!$G$5:$G$120="moeda")+(Inputs!$G$5:$G$120="acoes"))*Inputs!$B$1+((Inputs!$G$5:$G$120&lt;&gt;"moeda")*(Inputs!$G$5:$G$120&lt;&gt;"acoes")))*INDEX(Inputs!$K$5:$AJ$120,0,MATCH(J$2,Inputs!$K$4:$AJ$4,0)))+SUMPRODUCT((Inputs!$C$5:$C$120=$B34)*Inputs!$D$5:$D$120*(((Inputs!$G$5:$G$120="moeda")+(Inputs!$G$5:$G$120="acoes"))*Inputs!$B$1+((Inputs!$G$5:$G$120&lt;&gt;"moeda")*(Inputs!$G$5:$G$120&lt;&gt;"acoes")))*INDEX(Inputs!$K$5:$AJ$120,0,MATCH(J$2,Inputs!$K$4:$AJ$4,0)))+SUMPRODUCT((Inputs!$E$5:$E$120=$B34)*Inputs!$F$5:$F$120*(((Inputs!$G$5:$G$120="moeda")+(Inputs!$G$5:$G$120="acoes"))*Inputs!$B$1+((Inputs!$G$5:$G$120&lt;&gt;"moeda")*(Inputs!$G$5:$G$120&lt;&gt;"acoes")))*INDEX(Inputs!$K$5:$AJ$120,0,MATCH(J$2,Inputs!$K$4:$AJ$4,0)))))</f>
        <v>396</v>
      </c>
      <c r="K34" s="267">
        <f>IF(ISNA(MATCH(K$2,Inputs!$K$4:$AJ$4,0)),NA(),IF(SUMPRODUCT((Inputs!$A$5:$A$120=$B34)*ISNUMBER(INDEX(Inputs!$K$5:$AJ$120,0,MATCH(K$2,Inputs!$K$4:$AJ$4,0))))+SUMPRODUCT((Inputs!$C$5:$C$120=$B34)*ISNUMBER(INDEX(Inputs!$K$5:$AJ$120,0,MATCH(K$2,Inputs!$K$4:$AJ$4,0))))+SUMPRODUCT((Inputs!$E$5:$E$120=$B34)*ISNUMBER(INDEX(Inputs!$K$5:$AJ$120,0,MATCH(K$2,Inputs!$K$4:$AJ$4,0))))=0,NA(),SUMPRODUCT((Inputs!$A$5:$A$120=$B34)*Inputs!$B$5:$B$120*(((Inputs!$G$5:$G$120="moeda")+(Inputs!$G$5:$G$120="acoes"))*Inputs!$B$1+((Inputs!$G$5:$G$120&lt;&gt;"moeda")*(Inputs!$G$5:$G$120&lt;&gt;"acoes")))*INDEX(Inputs!$K$5:$AJ$120,0,MATCH(K$2,Inputs!$K$4:$AJ$4,0)))+SUMPRODUCT((Inputs!$C$5:$C$120=$B34)*Inputs!$D$5:$D$120*(((Inputs!$G$5:$G$120="moeda")+(Inputs!$G$5:$G$120="acoes"))*Inputs!$B$1+((Inputs!$G$5:$G$120&lt;&gt;"moeda")*(Inputs!$G$5:$G$120&lt;&gt;"acoes")))*INDEX(Inputs!$K$5:$AJ$120,0,MATCH(K$2,Inputs!$K$4:$AJ$4,0)))+SUMPRODUCT((Inputs!$E$5:$E$120=$B34)*Inputs!$F$5:$F$120*(((Inputs!$G$5:$G$120="moeda")+(Inputs!$G$5:$G$120="acoes"))*Inputs!$B$1+((Inputs!$G$5:$G$120&lt;&gt;"moeda")*(Inputs!$G$5:$G$120&lt;&gt;"acoes")))*INDEX(Inputs!$K$5:$AJ$120,0,MATCH(K$2,Inputs!$K$4:$AJ$4,0)))))</f>
        <v>436</v>
      </c>
      <c r="L34" s="267">
        <f>IF(ISNA(MATCH(L$2,Inputs!$K$4:$AJ$4,0)),NA(),IF(SUMPRODUCT((Inputs!$A$5:$A$120=$B34)*ISNUMBER(INDEX(Inputs!$K$5:$AJ$120,0,MATCH(L$2,Inputs!$K$4:$AJ$4,0))))+SUMPRODUCT((Inputs!$C$5:$C$120=$B34)*ISNUMBER(INDEX(Inputs!$K$5:$AJ$120,0,MATCH(L$2,Inputs!$K$4:$AJ$4,0))))+SUMPRODUCT((Inputs!$E$5:$E$120=$B34)*ISNUMBER(INDEX(Inputs!$K$5:$AJ$120,0,MATCH(L$2,Inputs!$K$4:$AJ$4,0))))=0,NA(),SUMPRODUCT((Inputs!$A$5:$A$120=$B34)*Inputs!$B$5:$B$120*(((Inputs!$G$5:$G$120="moeda")+(Inputs!$G$5:$G$120="acoes"))*Inputs!$B$1+((Inputs!$G$5:$G$120&lt;&gt;"moeda")*(Inputs!$G$5:$G$120&lt;&gt;"acoes")))*INDEX(Inputs!$K$5:$AJ$120,0,MATCH(L$2,Inputs!$K$4:$AJ$4,0)))+SUMPRODUCT((Inputs!$C$5:$C$120=$B34)*Inputs!$D$5:$D$120*(((Inputs!$G$5:$G$120="moeda")+(Inputs!$G$5:$G$120="acoes"))*Inputs!$B$1+((Inputs!$G$5:$G$120&lt;&gt;"moeda")*(Inputs!$G$5:$G$120&lt;&gt;"acoes")))*INDEX(Inputs!$K$5:$AJ$120,0,MATCH(L$2,Inputs!$K$4:$AJ$4,0)))+SUMPRODUCT((Inputs!$E$5:$E$120=$B34)*Inputs!$F$5:$F$120*(((Inputs!$G$5:$G$120="moeda")+(Inputs!$G$5:$G$120="acoes"))*Inputs!$B$1+((Inputs!$G$5:$G$120&lt;&gt;"moeda")*(Inputs!$G$5:$G$120&lt;&gt;"acoes")))*INDEX(Inputs!$K$5:$AJ$120,0,MATCH(L$2,Inputs!$K$4:$AJ$4,0)))))</f>
        <v>425</v>
      </c>
      <c r="M34" s="268">
        <f>L34</f>
        <v>425</v>
      </c>
      <c r="N34" s="267">
        <f>IF(ISNA(MATCH(N$2,Inputs!$K$4:$AJ$4,0)),NA(),IF(SUMPRODUCT((Inputs!$A$5:$A$120=$B34)*ISNUMBER(INDEX(Inputs!$K$5:$AJ$120,0,MATCH(N$2,Inputs!$K$4:$AJ$4,0))))+SUMPRODUCT((Inputs!$C$5:$C$120=$B34)*ISNUMBER(INDEX(Inputs!$K$5:$AJ$120,0,MATCH(N$2,Inputs!$K$4:$AJ$4,0))))+SUMPRODUCT((Inputs!$E$5:$E$120=$B34)*ISNUMBER(INDEX(Inputs!$K$5:$AJ$120,0,MATCH(N$2,Inputs!$K$4:$AJ$4,0))))=0,NA(),SUMPRODUCT((Inputs!$A$5:$A$120=$B34)*Inputs!$B$5:$B$120*(((Inputs!$G$5:$G$120="moeda")+(Inputs!$G$5:$G$120="acoes"))*Inputs!$B$1+((Inputs!$G$5:$G$120&lt;&gt;"moeda")*(Inputs!$G$5:$G$120&lt;&gt;"acoes")))*INDEX(Inputs!$K$5:$AJ$120,0,MATCH(N$2,Inputs!$K$4:$AJ$4,0)))+SUMPRODUCT((Inputs!$C$5:$C$120=$B34)*Inputs!$D$5:$D$120*(((Inputs!$G$5:$G$120="moeda")+(Inputs!$G$5:$G$120="acoes"))*Inputs!$B$1+((Inputs!$G$5:$G$120&lt;&gt;"moeda")*(Inputs!$G$5:$G$120&lt;&gt;"acoes")))*INDEX(Inputs!$K$5:$AJ$120,0,MATCH(N$2,Inputs!$K$4:$AJ$4,0)))+SUMPRODUCT((Inputs!$E$5:$E$120=$B34)*Inputs!$F$5:$F$120*(((Inputs!$G$5:$G$120="moeda")+(Inputs!$G$5:$G$120="acoes"))*Inputs!$B$1+((Inputs!$G$5:$G$120&lt;&gt;"moeda")*(Inputs!$G$5:$G$120&lt;&gt;"acoes")))*INDEX(Inputs!$K$5:$AJ$120,0,MATCH(N$2,Inputs!$K$4:$AJ$4,0)))))</f>
        <v>408</v>
      </c>
      <c r="O34" s="267">
        <f>IF(ISNA(MATCH(O$2,Inputs!$K$4:$AJ$4,0)),NA(),IF(SUMPRODUCT((Inputs!$A$5:$A$120=$B34)*ISNUMBER(INDEX(Inputs!$K$5:$AJ$120,0,MATCH(O$2,Inputs!$K$4:$AJ$4,0))))+SUMPRODUCT((Inputs!$C$5:$C$120=$B34)*ISNUMBER(INDEX(Inputs!$K$5:$AJ$120,0,MATCH(O$2,Inputs!$K$4:$AJ$4,0))))+SUMPRODUCT((Inputs!$E$5:$E$120=$B34)*ISNUMBER(INDEX(Inputs!$K$5:$AJ$120,0,MATCH(O$2,Inputs!$K$4:$AJ$4,0))))=0,NA(),SUMPRODUCT((Inputs!$A$5:$A$120=$B34)*Inputs!$B$5:$B$120*(((Inputs!$G$5:$G$120="moeda")+(Inputs!$G$5:$G$120="acoes"))*Inputs!$B$1+((Inputs!$G$5:$G$120&lt;&gt;"moeda")*(Inputs!$G$5:$G$120&lt;&gt;"acoes")))*INDEX(Inputs!$K$5:$AJ$120,0,MATCH(O$2,Inputs!$K$4:$AJ$4,0)))+SUMPRODUCT((Inputs!$C$5:$C$120=$B34)*Inputs!$D$5:$D$120*(((Inputs!$G$5:$G$120="moeda")+(Inputs!$G$5:$G$120="acoes"))*Inputs!$B$1+((Inputs!$G$5:$G$120&lt;&gt;"moeda")*(Inputs!$G$5:$G$120&lt;&gt;"acoes")))*INDEX(Inputs!$K$5:$AJ$120,0,MATCH(O$2,Inputs!$K$4:$AJ$4,0)))+SUMPRODUCT((Inputs!$E$5:$E$120=$B34)*Inputs!$F$5:$F$120*(((Inputs!$G$5:$G$120="moeda")+(Inputs!$G$5:$G$120="acoes"))*Inputs!$B$1+((Inputs!$G$5:$G$120&lt;&gt;"moeda")*(Inputs!$G$5:$G$120&lt;&gt;"acoes")))*INDEX(Inputs!$K$5:$AJ$120,0,MATCH(O$2,Inputs!$K$4:$AJ$4,0)))))</f>
        <v>370</v>
      </c>
      <c r="P34" s="267">
        <f>IF(ISNA(MATCH(P$2,Inputs!$K$4:$AJ$4,0)),NA(),IF(SUMPRODUCT((Inputs!$A$5:$A$120=$B34)*ISNUMBER(INDEX(Inputs!$K$5:$AJ$120,0,MATCH(P$2,Inputs!$K$4:$AJ$4,0))))+SUMPRODUCT((Inputs!$C$5:$C$120=$B34)*ISNUMBER(INDEX(Inputs!$K$5:$AJ$120,0,MATCH(P$2,Inputs!$K$4:$AJ$4,0))))+SUMPRODUCT((Inputs!$E$5:$E$120=$B34)*ISNUMBER(INDEX(Inputs!$K$5:$AJ$120,0,MATCH(P$2,Inputs!$K$4:$AJ$4,0))))=0,NA(),SUMPRODUCT((Inputs!$A$5:$A$120=$B34)*Inputs!$B$5:$B$120*(((Inputs!$G$5:$G$120="moeda")+(Inputs!$G$5:$G$120="acoes"))*Inputs!$B$1+((Inputs!$G$5:$G$120&lt;&gt;"moeda")*(Inputs!$G$5:$G$120&lt;&gt;"acoes")))*INDEX(Inputs!$K$5:$AJ$120,0,MATCH(P$2,Inputs!$K$4:$AJ$4,0)))+SUMPRODUCT((Inputs!$C$5:$C$120=$B34)*Inputs!$D$5:$D$120*(((Inputs!$G$5:$G$120="moeda")+(Inputs!$G$5:$G$120="acoes"))*Inputs!$B$1+((Inputs!$G$5:$G$120&lt;&gt;"moeda")*(Inputs!$G$5:$G$120&lt;&gt;"acoes")))*INDEX(Inputs!$K$5:$AJ$120,0,MATCH(P$2,Inputs!$K$4:$AJ$4,0)))+SUMPRODUCT((Inputs!$E$5:$E$120=$B34)*Inputs!$F$5:$F$120*(((Inputs!$G$5:$G$120="moeda")+(Inputs!$G$5:$G$120="acoes"))*Inputs!$B$1+((Inputs!$G$5:$G$120&lt;&gt;"moeda")*(Inputs!$G$5:$G$120&lt;&gt;"acoes")))*INDEX(Inputs!$K$5:$AJ$120,0,MATCH(P$2,Inputs!$K$4:$AJ$4,0)))))</f>
        <v>317</v>
      </c>
      <c r="Q34" s="267">
        <f>IF(ISNA(MATCH(Q$2,Inputs!$K$4:$AJ$4,0)),NA(),IF(SUMPRODUCT((Inputs!$A$5:$A$120=$B34)*ISNUMBER(INDEX(Inputs!$K$5:$AJ$120,0,MATCH(Q$2,Inputs!$K$4:$AJ$4,0))))+SUMPRODUCT((Inputs!$C$5:$C$120=$B34)*ISNUMBER(INDEX(Inputs!$K$5:$AJ$120,0,MATCH(Q$2,Inputs!$K$4:$AJ$4,0))))+SUMPRODUCT((Inputs!$E$5:$E$120=$B34)*ISNUMBER(INDEX(Inputs!$K$5:$AJ$120,0,MATCH(Q$2,Inputs!$K$4:$AJ$4,0))))=0,NA(),SUMPRODUCT((Inputs!$A$5:$A$120=$B34)*Inputs!$B$5:$B$120*(((Inputs!$G$5:$G$120="moeda")+(Inputs!$G$5:$G$120="acoes"))*Inputs!$B$1+((Inputs!$G$5:$G$120&lt;&gt;"moeda")*(Inputs!$G$5:$G$120&lt;&gt;"acoes")))*INDEX(Inputs!$K$5:$AJ$120,0,MATCH(Q$2,Inputs!$K$4:$AJ$4,0)))+SUMPRODUCT((Inputs!$C$5:$C$120=$B34)*Inputs!$D$5:$D$120*(((Inputs!$G$5:$G$120="moeda")+(Inputs!$G$5:$G$120="acoes"))*Inputs!$B$1+((Inputs!$G$5:$G$120&lt;&gt;"moeda")*(Inputs!$G$5:$G$120&lt;&gt;"acoes")))*INDEX(Inputs!$K$5:$AJ$120,0,MATCH(Q$2,Inputs!$K$4:$AJ$4,0)))+SUMPRODUCT((Inputs!$E$5:$E$120=$B34)*Inputs!$F$5:$F$120*(((Inputs!$G$5:$G$120="moeda")+(Inputs!$G$5:$G$120="acoes"))*Inputs!$B$1+((Inputs!$G$5:$G$120&lt;&gt;"moeda")*(Inputs!$G$5:$G$120&lt;&gt;"acoes")))*INDEX(Inputs!$K$5:$AJ$120,0,MATCH(Q$2,Inputs!$K$4:$AJ$4,0)))))</f>
        <v>308</v>
      </c>
      <c r="R34" s="268">
        <f>Q34</f>
        <v>308</v>
      </c>
      <c r="S34" s="267">
        <f>IF(ISNA(MATCH(S$2,Inputs!$K$4:$AJ$4,0)),NA(),IF(SUMPRODUCT((Inputs!$A$5:$A$120=$B34)*ISNUMBER(INDEX(Inputs!$K$5:$AJ$120,0,MATCH(S$2,Inputs!$K$4:$AJ$4,0))))+SUMPRODUCT((Inputs!$C$5:$C$120=$B34)*ISNUMBER(INDEX(Inputs!$K$5:$AJ$120,0,MATCH(S$2,Inputs!$K$4:$AJ$4,0))))+SUMPRODUCT((Inputs!$E$5:$E$120=$B34)*ISNUMBER(INDEX(Inputs!$K$5:$AJ$120,0,MATCH(S$2,Inputs!$K$4:$AJ$4,0))))=0,NA(),SUMPRODUCT((Inputs!$A$5:$A$120=$B34)*Inputs!$B$5:$B$120*(((Inputs!$G$5:$G$120="moeda")+(Inputs!$G$5:$G$120="acoes"))*Inputs!$B$1+((Inputs!$G$5:$G$120&lt;&gt;"moeda")*(Inputs!$G$5:$G$120&lt;&gt;"acoes")))*INDEX(Inputs!$K$5:$AJ$120,0,MATCH(S$2,Inputs!$K$4:$AJ$4,0)))+SUMPRODUCT((Inputs!$C$5:$C$120=$B34)*Inputs!$D$5:$D$120*(((Inputs!$G$5:$G$120="moeda")+(Inputs!$G$5:$G$120="acoes"))*Inputs!$B$1+((Inputs!$G$5:$G$120&lt;&gt;"moeda")*(Inputs!$G$5:$G$120&lt;&gt;"acoes")))*INDEX(Inputs!$K$5:$AJ$120,0,MATCH(S$2,Inputs!$K$4:$AJ$4,0)))+SUMPRODUCT((Inputs!$E$5:$E$120=$B34)*Inputs!$F$5:$F$120*(((Inputs!$G$5:$G$120="moeda")+(Inputs!$G$5:$G$120="acoes"))*Inputs!$B$1+((Inputs!$G$5:$G$120&lt;&gt;"moeda")*(Inputs!$G$5:$G$120&lt;&gt;"acoes")))*INDEX(Inputs!$K$5:$AJ$120,0,MATCH(S$2,Inputs!$K$4:$AJ$4,0)))))</f>
        <v>315</v>
      </c>
      <c r="T34" s="267">
        <f>IF(ISNA(MATCH(T$2,Inputs!$K$4:$AJ$4,0)),NA(),IF(SUMPRODUCT((Inputs!$A$5:$A$120=$B34)*ISNUMBER(INDEX(Inputs!$K$5:$AJ$120,0,MATCH(T$2,Inputs!$K$4:$AJ$4,0))))+SUMPRODUCT((Inputs!$C$5:$C$120=$B34)*ISNUMBER(INDEX(Inputs!$K$5:$AJ$120,0,MATCH(T$2,Inputs!$K$4:$AJ$4,0))))+SUMPRODUCT((Inputs!$E$5:$E$120=$B34)*ISNUMBER(INDEX(Inputs!$K$5:$AJ$120,0,MATCH(T$2,Inputs!$K$4:$AJ$4,0))))=0,NA(),SUMPRODUCT((Inputs!$A$5:$A$120=$B34)*Inputs!$B$5:$B$120*(((Inputs!$G$5:$G$120="moeda")+(Inputs!$G$5:$G$120="acoes"))*Inputs!$B$1+((Inputs!$G$5:$G$120&lt;&gt;"moeda")*(Inputs!$G$5:$G$120&lt;&gt;"acoes")))*INDEX(Inputs!$K$5:$AJ$120,0,MATCH(T$2,Inputs!$K$4:$AJ$4,0)))+SUMPRODUCT((Inputs!$C$5:$C$120=$B34)*Inputs!$D$5:$D$120*(((Inputs!$G$5:$G$120="moeda")+(Inputs!$G$5:$G$120="acoes"))*Inputs!$B$1+((Inputs!$G$5:$G$120&lt;&gt;"moeda")*(Inputs!$G$5:$G$120&lt;&gt;"acoes")))*INDEX(Inputs!$K$5:$AJ$120,0,MATCH(T$2,Inputs!$K$4:$AJ$4,0)))+SUMPRODUCT((Inputs!$E$5:$E$120=$B34)*Inputs!$F$5:$F$120*(((Inputs!$G$5:$G$120="moeda")+(Inputs!$G$5:$G$120="acoes"))*Inputs!$B$1+((Inputs!$G$5:$G$120&lt;&gt;"moeda")*(Inputs!$G$5:$G$120&lt;&gt;"acoes")))*INDEX(Inputs!$K$5:$AJ$120,0,MATCH(T$2,Inputs!$K$4:$AJ$4,0)))))</f>
        <v>300</v>
      </c>
      <c r="U34" s="267">
        <f>IF(ISNA(MATCH(U$2,Inputs!$K$4:$AJ$4,0)),NA(),IF(SUMPRODUCT((Inputs!$A$5:$A$120=$B34)*ISNUMBER(INDEX(Inputs!$K$5:$AJ$120,0,MATCH(U$2,Inputs!$K$4:$AJ$4,0))))+SUMPRODUCT((Inputs!$C$5:$C$120=$B34)*ISNUMBER(INDEX(Inputs!$K$5:$AJ$120,0,MATCH(U$2,Inputs!$K$4:$AJ$4,0))))+SUMPRODUCT((Inputs!$E$5:$E$120=$B34)*ISNUMBER(INDEX(Inputs!$K$5:$AJ$120,0,MATCH(U$2,Inputs!$K$4:$AJ$4,0))))=0,NA(),SUMPRODUCT((Inputs!$A$5:$A$120=$B34)*Inputs!$B$5:$B$120*(((Inputs!$G$5:$G$120="moeda")+(Inputs!$G$5:$G$120="acoes"))*Inputs!$B$1+((Inputs!$G$5:$G$120&lt;&gt;"moeda")*(Inputs!$G$5:$G$120&lt;&gt;"acoes")))*INDEX(Inputs!$K$5:$AJ$120,0,MATCH(U$2,Inputs!$K$4:$AJ$4,0)))+SUMPRODUCT((Inputs!$C$5:$C$120=$B34)*Inputs!$D$5:$D$120*(((Inputs!$G$5:$G$120="moeda")+(Inputs!$G$5:$G$120="acoes"))*Inputs!$B$1+((Inputs!$G$5:$G$120&lt;&gt;"moeda")*(Inputs!$G$5:$G$120&lt;&gt;"acoes")))*INDEX(Inputs!$K$5:$AJ$120,0,MATCH(U$2,Inputs!$K$4:$AJ$4,0)))+SUMPRODUCT((Inputs!$E$5:$E$120=$B34)*Inputs!$F$5:$F$120*(((Inputs!$G$5:$G$120="moeda")+(Inputs!$G$5:$G$120="acoes"))*Inputs!$B$1+((Inputs!$G$5:$G$120&lt;&gt;"moeda")*(Inputs!$G$5:$G$120&lt;&gt;"acoes")))*INDEX(Inputs!$K$5:$AJ$120,0,MATCH(U$2,Inputs!$K$4:$AJ$4,0)))))</f>
        <v>288</v>
      </c>
      <c r="V34" s="267">
        <f>IF(ISNA(MATCH(V$2,Inputs!$K$4:$AJ$4,0)),NA(),IF(SUMPRODUCT((Inputs!$A$5:$A$120=$B34)*ISNUMBER(INDEX(Inputs!$K$5:$AJ$120,0,MATCH(V$2,Inputs!$K$4:$AJ$4,0))))+SUMPRODUCT((Inputs!$C$5:$C$120=$B34)*ISNUMBER(INDEX(Inputs!$K$5:$AJ$120,0,MATCH(V$2,Inputs!$K$4:$AJ$4,0))))+SUMPRODUCT((Inputs!$E$5:$E$120=$B34)*ISNUMBER(INDEX(Inputs!$K$5:$AJ$120,0,MATCH(V$2,Inputs!$K$4:$AJ$4,0))))=0,NA(),SUMPRODUCT((Inputs!$A$5:$A$120=$B34)*Inputs!$B$5:$B$120*(((Inputs!$G$5:$G$120="moeda")+(Inputs!$G$5:$G$120="acoes"))*Inputs!$B$1+((Inputs!$G$5:$G$120&lt;&gt;"moeda")*(Inputs!$G$5:$G$120&lt;&gt;"acoes")))*INDEX(Inputs!$K$5:$AJ$120,0,MATCH(V$2,Inputs!$K$4:$AJ$4,0)))+SUMPRODUCT((Inputs!$C$5:$C$120=$B34)*Inputs!$D$5:$D$120*(((Inputs!$G$5:$G$120="moeda")+(Inputs!$G$5:$G$120="acoes"))*Inputs!$B$1+((Inputs!$G$5:$G$120&lt;&gt;"moeda")*(Inputs!$G$5:$G$120&lt;&gt;"acoes")))*INDEX(Inputs!$K$5:$AJ$120,0,MATCH(V$2,Inputs!$K$4:$AJ$4,0)))+SUMPRODUCT((Inputs!$E$5:$E$120=$B34)*Inputs!$F$5:$F$120*(((Inputs!$G$5:$G$120="moeda")+(Inputs!$G$5:$G$120="acoes"))*Inputs!$B$1+((Inputs!$G$5:$G$120&lt;&gt;"moeda")*(Inputs!$G$5:$G$120&lt;&gt;"acoes")))*INDEX(Inputs!$K$5:$AJ$120,0,MATCH(V$2,Inputs!$K$4:$AJ$4,0)))))</f>
        <v>286</v>
      </c>
      <c r="W34" s="268">
        <f>V34</f>
        <v>286</v>
      </c>
      <c r="X34" s="267">
        <f>IF(ISNA(MATCH(X$2,Inputs!$K$4:$AJ$4,0)),NA(),IF(SUMPRODUCT((Inputs!$A$5:$A$120=$B34)*ISNUMBER(INDEX(Inputs!$K$5:$AJ$120,0,MATCH(X$2,Inputs!$K$4:$AJ$4,0))))+SUMPRODUCT((Inputs!$C$5:$C$120=$B34)*ISNUMBER(INDEX(Inputs!$K$5:$AJ$120,0,MATCH(X$2,Inputs!$K$4:$AJ$4,0))))+SUMPRODUCT((Inputs!$E$5:$E$120=$B34)*ISNUMBER(INDEX(Inputs!$K$5:$AJ$120,0,MATCH(X$2,Inputs!$K$4:$AJ$4,0))))=0,NA(),SUMPRODUCT((Inputs!$A$5:$A$120=$B34)*Inputs!$B$5:$B$120*(((Inputs!$G$5:$G$120="moeda")+(Inputs!$G$5:$G$120="acoes"))*Inputs!$B$1+((Inputs!$G$5:$G$120&lt;&gt;"moeda")*(Inputs!$G$5:$G$120&lt;&gt;"acoes")))*INDEX(Inputs!$K$5:$AJ$120,0,MATCH(X$2,Inputs!$K$4:$AJ$4,0)))+SUMPRODUCT((Inputs!$C$5:$C$120=$B34)*Inputs!$D$5:$D$120*(((Inputs!$G$5:$G$120="moeda")+(Inputs!$G$5:$G$120="acoes"))*Inputs!$B$1+((Inputs!$G$5:$G$120&lt;&gt;"moeda")*(Inputs!$G$5:$G$120&lt;&gt;"acoes")))*INDEX(Inputs!$K$5:$AJ$120,0,MATCH(X$2,Inputs!$K$4:$AJ$4,0)))+SUMPRODUCT((Inputs!$E$5:$E$120=$B34)*Inputs!$F$5:$F$120*(((Inputs!$G$5:$G$120="moeda")+(Inputs!$G$5:$G$120="acoes"))*Inputs!$B$1+((Inputs!$G$5:$G$120&lt;&gt;"moeda")*(Inputs!$G$5:$G$120&lt;&gt;"acoes")))*INDEX(Inputs!$K$5:$AJ$120,0,MATCH(X$2,Inputs!$K$4:$AJ$4,0)))))</f>
        <v>285</v>
      </c>
      <c r="Y34" s="267">
        <f>IF(ISNA(MATCH(Y$2,Inputs!$K$4:$AJ$4,0)),NA(),IF(SUMPRODUCT((Inputs!$A$5:$A$120=$B34)*ISNUMBER(INDEX(Inputs!$K$5:$AJ$120,0,MATCH(Y$2,Inputs!$K$4:$AJ$4,0))))+SUMPRODUCT((Inputs!$C$5:$C$120=$B34)*ISNUMBER(INDEX(Inputs!$K$5:$AJ$120,0,MATCH(Y$2,Inputs!$K$4:$AJ$4,0))))+SUMPRODUCT((Inputs!$E$5:$E$120=$B34)*ISNUMBER(INDEX(Inputs!$K$5:$AJ$120,0,MATCH(Y$2,Inputs!$K$4:$AJ$4,0))))=0,NA(),SUMPRODUCT((Inputs!$A$5:$A$120=$B34)*Inputs!$B$5:$B$120*(((Inputs!$G$5:$G$120="moeda")+(Inputs!$G$5:$G$120="acoes"))*Inputs!$B$1+((Inputs!$G$5:$G$120&lt;&gt;"moeda")*(Inputs!$G$5:$G$120&lt;&gt;"acoes")))*INDEX(Inputs!$K$5:$AJ$120,0,MATCH(Y$2,Inputs!$K$4:$AJ$4,0)))+SUMPRODUCT((Inputs!$C$5:$C$120=$B34)*Inputs!$D$5:$D$120*(((Inputs!$G$5:$G$120="moeda")+(Inputs!$G$5:$G$120="acoes"))*Inputs!$B$1+((Inputs!$G$5:$G$120&lt;&gt;"moeda")*(Inputs!$G$5:$G$120&lt;&gt;"acoes")))*INDEX(Inputs!$K$5:$AJ$120,0,MATCH(Y$2,Inputs!$K$4:$AJ$4,0)))+SUMPRODUCT((Inputs!$E$5:$E$120=$B34)*Inputs!$F$5:$F$120*(((Inputs!$G$5:$G$120="moeda")+(Inputs!$G$5:$G$120="acoes"))*Inputs!$B$1+((Inputs!$G$5:$G$120&lt;&gt;"moeda")*(Inputs!$G$5:$G$120&lt;&gt;"acoes")))*INDEX(Inputs!$K$5:$AJ$120,0,MATCH(Y$2,Inputs!$K$4:$AJ$4,0)))))</f>
        <v>282</v>
      </c>
      <c r="Z34" s="267">
        <f>IF(ISNA(MATCH(Z$2,Inputs!$K$4:$AJ$4,0)),NA(),IF(SUMPRODUCT((Inputs!$A$5:$A$120=$B34)*ISNUMBER(INDEX(Inputs!$K$5:$AJ$120,0,MATCH(Z$2,Inputs!$K$4:$AJ$4,0))))+SUMPRODUCT((Inputs!$C$5:$C$120=$B34)*ISNUMBER(INDEX(Inputs!$K$5:$AJ$120,0,MATCH(Z$2,Inputs!$K$4:$AJ$4,0))))+SUMPRODUCT((Inputs!$E$5:$E$120=$B34)*ISNUMBER(INDEX(Inputs!$K$5:$AJ$120,0,MATCH(Z$2,Inputs!$K$4:$AJ$4,0))))=0,NA(),SUMPRODUCT((Inputs!$A$5:$A$120=$B34)*Inputs!$B$5:$B$120*(((Inputs!$G$5:$G$120="moeda")+(Inputs!$G$5:$G$120="acoes"))*Inputs!$B$1+((Inputs!$G$5:$G$120&lt;&gt;"moeda")*(Inputs!$G$5:$G$120&lt;&gt;"acoes")))*INDEX(Inputs!$K$5:$AJ$120,0,MATCH(Z$2,Inputs!$K$4:$AJ$4,0)))+SUMPRODUCT((Inputs!$C$5:$C$120=$B34)*Inputs!$D$5:$D$120*(((Inputs!$G$5:$G$120="moeda")+(Inputs!$G$5:$G$120="acoes"))*Inputs!$B$1+((Inputs!$G$5:$G$120&lt;&gt;"moeda")*(Inputs!$G$5:$G$120&lt;&gt;"acoes")))*INDEX(Inputs!$K$5:$AJ$120,0,MATCH(Z$2,Inputs!$K$4:$AJ$4,0)))+SUMPRODUCT((Inputs!$E$5:$E$120=$B34)*Inputs!$F$5:$F$120*(((Inputs!$G$5:$G$120="moeda")+(Inputs!$G$5:$G$120="acoes"))*Inputs!$B$1+((Inputs!$G$5:$G$120&lt;&gt;"moeda")*(Inputs!$G$5:$G$120&lt;&gt;"acoes")))*INDEX(Inputs!$K$5:$AJ$120,0,MATCH(Z$2,Inputs!$K$4:$AJ$4,0)))))</f>
        <v>491</v>
      </c>
      <c r="AA34" s="267">
        <f>IF(ISNA(MATCH(AA$2,Inputs!$K$4:$AJ$4,0)),NA(),IF(SUMPRODUCT((Inputs!$A$5:$A$120=$B34)*ISNUMBER(INDEX(Inputs!$K$5:$AJ$120,0,MATCH(AA$2,Inputs!$K$4:$AJ$4,0))))+SUMPRODUCT((Inputs!$C$5:$C$120=$B34)*ISNUMBER(INDEX(Inputs!$K$5:$AJ$120,0,MATCH(AA$2,Inputs!$K$4:$AJ$4,0))))+SUMPRODUCT((Inputs!$E$5:$E$120=$B34)*ISNUMBER(INDEX(Inputs!$K$5:$AJ$120,0,MATCH(AA$2,Inputs!$K$4:$AJ$4,0))))=0,NA(),SUMPRODUCT((Inputs!$A$5:$A$120=$B34)*Inputs!$B$5:$B$120*(((Inputs!$G$5:$G$120="moeda")+(Inputs!$G$5:$G$120="acoes"))*Inputs!$B$1+((Inputs!$G$5:$G$120&lt;&gt;"moeda")*(Inputs!$G$5:$G$120&lt;&gt;"acoes")))*INDEX(Inputs!$K$5:$AJ$120,0,MATCH(AA$2,Inputs!$K$4:$AJ$4,0)))+SUMPRODUCT((Inputs!$C$5:$C$120=$B34)*Inputs!$D$5:$D$120*(((Inputs!$G$5:$G$120="moeda")+(Inputs!$G$5:$G$120="acoes"))*Inputs!$B$1+((Inputs!$G$5:$G$120&lt;&gt;"moeda")*(Inputs!$G$5:$G$120&lt;&gt;"acoes")))*INDEX(Inputs!$K$5:$AJ$120,0,MATCH(AA$2,Inputs!$K$4:$AJ$4,0)))+SUMPRODUCT((Inputs!$E$5:$E$120=$B34)*Inputs!$F$5:$F$120*(((Inputs!$G$5:$G$120="moeda")+(Inputs!$G$5:$G$120="acoes"))*Inputs!$B$1+((Inputs!$G$5:$G$120&lt;&gt;"moeda")*(Inputs!$G$5:$G$120&lt;&gt;"acoes")))*INDEX(Inputs!$K$5:$AJ$120,0,MATCH(AA$2,Inputs!$K$4:$AJ$4,0)))))</f>
        <v>499</v>
      </c>
      <c r="AB34" s="268">
        <f>AA34</f>
        <v>499</v>
      </c>
      <c r="AC34" s="267">
        <f>IF(ISNA(MATCH(AC$2,Inputs!$K$4:$AJ$4,0)),NA(),IF(SUMPRODUCT((Inputs!$A$5:$A$120=$B34)*ISNUMBER(INDEX(Inputs!$K$5:$AJ$120,0,MATCH(AC$2,Inputs!$K$4:$AJ$4,0))))+SUMPRODUCT((Inputs!$C$5:$C$120=$B34)*ISNUMBER(INDEX(Inputs!$K$5:$AJ$120,0,MATCH(AC$2,Inputs!$K$4:$AJ$4,0))))+SUMPRODUCT((Inputs!$E$5:$E$120=$B34)*ISNUMBER(INDEX(Inputs!$K$5:$AJ$120,0,MATCH(AC$2,Inputs!$K$4:$AJ$4,0))))=0,NA(),SUMPRODUCT((Inputs!$A$5:$A$120=$B34)*Inputs!$B$5:$B$120*(((Inputs!$G$5:$G$120="moeda")+(Inputs!$G$5:$G$120="acoes"))*Inputs!$B$1+((Inputs!$G$5:$G$120&lt;&gt;"moeda")*(Inputs!$G$5:$G$120&lt;&gt;"acoes")))*INDEX(Inputs!$K$5:$AJ$120,0,MATCH(AC$2,Inputs!$K$4:$AJ$4,0)))+SUMPRODUCT((Inputs!$C$5:$C$120=$B34)*Inputs!$D$5:$D$120*(((Inputs!$G$5:$G$120="moeda")+(Inputs!$G$5:$G$120="acoes"))*Inputs!$B$1+((Inputs!$G$5:$G$120&lt;&gt;"moeda")*(Inputs!$G$5:$G$120&lt;&gt;"acoes")))*INDEX(Inputs!$K$5:$AJ$120,0,MATCH(AC$2,Inputs!$K$4:$AJ$4,0)))+SUMPRODUCT((Inputs!$E$5:$E$120=$B34)*Inputs!$F$5:$F$120*(((Inputs!$G$5:$G$120="moeda")+(Inputs!$G$5:$G$120="acoes"))*Inputs!$B$1+((Inputs!$G$5:$G$120&lt;&gt;"moeda")*(Inputs!$G$5:$G$120&lt;&gt;"acoes")))*INDEX(Inputs!$K$5:$AJ$120,0,MATCH(AC$2,Inputs!$K$4:$AJ$4,0)))))</f>
        <v>501</v>
      </c>
      <c r="AD34" s="267">
        <f>IF(ISNA(MATCH(AD$2,Inputs!$K$4:$AJ$4,0)),NA(),IF(SUMPRODUCT((Inputs!$A$5:$A$120=$B34)*ISNUMBER(INDEX(Inputs!$K$5:$AJ$120,0,MATCH(AD$2,Inputs!$K$4:$AJ$4,0))))+SUMPRODUCT((Inputs!$C$5:$C$120=$B34)*ISNUMBER(INDEX(Inputs!$K$5:$AJ$120,0,MATCH(AD$2,Inputs!$K$4:$AJ$4,0))))+SUMPRODUCT((Inputs!$E$5:$E$120=$B34)*ISNUMBER(INDEX(Inputs!$K$5:$AJ$120,0,MATCH(AD$2,Inputs!$K$4:$AJ$4,0))))=0,NA(),SUMPRODUCT((Inputs!$A$5:$A$120=$B34)*Inputs!$B$5:$B$120*(((Inputs!$G$5:$G$120="moeda")+(Inputs!$G$5:$G$120="acoes"))*Inputs!$B$1+((Inputs!$G$5:$G$120&lt;&gt;"moeda")*(Inputs!$G$5:$G$120&lt;&gt;"acoes")))*INDEX(Inputs!$K$5:$AJ$120,0,MATCH(AD$2,Inputs!$K$4:$AJ$4,0)))+SUMPRODUCT((Inputs!$C$5:$C$120=$B34)*Inputs!$D$5:$D$120*(((Inputs!$G$5:$G$120="moeda")+(Inputs!$G$5:$G$120="acoes"))*Inputs!$B$1+((Inputs!$G$5:$G$120&lt;&gt;"moeda")*(Inputs!$G$5:$G$120&lt;&gt;"acoes")))*INDEX(Inputs!$K$5:$AJ$120,0,MATCH(AD$2,Inputs!$K$4:$AJ$4,0)))+SUMPRODUCT((Inputs!$E$5:$E$120=$B34)*Inputs!$F$5:$F$120*(((Inputs!$G$5:$G$120="moeda")+(Inputs!$G$5:$G$120="acoes"))*Inputs!$B$1+((Inputs!$G$5:$G$120&lt;&gt;"moeda")*(Inputs!$G$5:$G$120&lt;&gt;"acoes")))*INDEX(Inputs!$K$5:$AJ$120,0,MATCH(AD$2,Inputs!$K$4:$AJ$4,0)))))</f>
        <v>502</v>
      </c>
      <c r="AE34" s="267" t="e">
        <f>IF(ISNA(MATCH(AE$2,Inputs!$K$4:$AJ$4,0)),NA(),IF(SUMPRODUCT((Inputs!$A$5:$A$120=$B34)*ISNUMBER(INDEX(Inputs!$K$5:$AJ$120,0,MATCH(AE$2,Inputs!$K$4:$AJ$4,0))))+SUMPRODUCT((Inputs!$C$5:$C$120=$B34)*ISNUMBER(INDEX(Inputs!$K$5:$AJ$120,0,MATCH(AE$2,Inputs!$K$4:$AJ$4,0))))+SUMPRODUCT((Inputs!$E$5:$E$120=$B34)*ISNUMBER(INDEX(Inputs!$K$5:$AJ$120,0,MATCH(AE$2,Inputs!$K$4:$AJ$4,0))))=0,NA(),SUMPRODUCT((Inputs!$A$5:$A$120=$B34)*Inputs!$B$5:$B$120*(((Inputs!$G$5:$G$120="moeda")+(Inputs!$G$5:$G$120="acoes"))*Inputs!$B$1+((Inputs!$G$5:$G$120&lt;&gt;"moeda")*(Inputs!$G$5:$G$120&lt;&gt;"acoes")))*INDEX(Inputs!$K$5:$AJ$120,0,MATCH(AE$2,Inputs!$K$4:$AJ$4,0)))+SUMPRODUCT((Inputs!$C$5:$C$120=$B34)*Inputs!$D$5:$D$120*(((Inputs!$G$5:$G$120="moeda")+(Inputs!$G$5:$G$120="acoes"))*Inputs!$B$1+((Inputs!$G$5:$G$120&lt;&gt;"moeda")*(Inputs!$G$5:$G$120&lt;&gt;"acoes")))*INDEX(Inputs!$K$5:$AJ$120,0,MATCH(AE$2,Inputs!$K$4:$AJ$4,0)))+SUMPRODUCT((Inputs!$E$5:$E$120=$B34)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4" s="267" t="e">
        <f>IF(ISNA(MATCH(AF$2,Inputs!$K$4:$AJ$4,0)),NA(),IF(SUMPRODUCT((Inputs!$A$5:$A$120=$B34)*ISNUMBER(INDEX(Inputs!$K$5:$AJ$120,0,MATCH(AF$2,Inputs!$K$4:$AJ$4,0))))+SUMPRODUCT((Inputs!$C$5:$C$120=$B34)*ISNUMBER(INDEX(Inputs!$K$5:$AJ$120,0,MATCH(AF$2,Inputs!$K$4:$AJ$4,0))))+SUMPRODUCT((Inputs!$E$5:$E$120=$B34)*ISNUMBER(INDEX(Inputs!$K$5:$AJ$120,0,MATCH(AF$2,Inputs!$K$4:$AJ$4,0))))=0,NA(),SUMPRODUCT((Inputs!$A$5:$A$120=$B34)*Inputs!$B$5:$B$120*(((Inputs!$G$5:$G$120="moeda")+(Inputs!$G$5:$G$120="acoes"))*Inputs!$B$1+((Inputs!$G$5:$G$120&lt;&gt;"moeda")*(Inputs!$G$5:$G$120&lt;&gt;"acoes")))*INDEX(Inputs!$K$5:$AJ$120,0,MATCH(AF$2,Inputs!$K$4:$AJ$4,0)))+SUMPRODUCT((Inputs!$C$5:$C$120=$B34)*Inputs!$D$5:$D$120*(((Inputs!$G$5:$G$120="moeda")+(Inputs!$G$5:$G$120="acoes"))*Inputs!$B$1+((Inputs!$G$5:$G$120&lt;&gt;"moeda")*(Inputs!$G$5:$G$120&lt;&gt;"acoes")))*INDEX(Inputs!$K$5:$AJ$120,0,MATCH(AF$2,Inputs!$K$4:$AJ$4,0)))+SUMPRODUCT((Inputs!$E$5:$E$120=$B34)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4" s="268" t="e">
        <f>AF34</f>
        <v>#N/A</v>
      </c>
      <c r="AH34" s="267">
        <f>IF(ISNA(MATCH(AH$2,Inputs!$K$4:$AJ$4,0)),NA(),IF(SUMPRODUCT((Inputs!$A$5:$A$120=$B34)*ISNUMBER(INDEX(Inputs!$K$5:$AJ$120,0,MATCH(AH$2,Inputs!$K$4:$AJ$4,0))))+SUMPRODUCT((Inputs!$C$5:$C$120=$B34)*ISNUMBER(INDEX(Inputs!$K$5:$AJ$120,0,MATCH(AH$2,Inputs!$K$4:$AJ$4,0))))+SUMPRODUCT((Inputs!$E$5:$E$120=$B34)*ISNUMBER(INDEX(Inputs!$K$5:$AJ$120,0,MATCH(AH$2,Inputs!$K$4:$AJ$4,0))))=0,NA(),SUMPRODUCT((Inputs!$A$5:$A$120=$B34)*Inputs!$B$5:$B$120*(((Inputs!$G$5:$G$120="moeda")+(Inputs!$G$5:$G$120="acoes"))*Inputs!$B$1+((Inputs!$G$5:$G$120&lt;&gt;"moeda")*(Inputs!$G$5:$G$120&lt;&gt;"acoes")))*INDEX(Inputs!$K$5:$AJ$120,0,MATCH(AH$2,Inputs!$K$4:$AJ$4,0)))+SUMPRODUCT((Inputs!$C$5:$C$120=$B34)*Inputs!$D$5:$D$120*(((Inputs!$G$5:$G$120="moeda")+(Inputs!$G$5:$G$120="acoes"))*Inputs!$B$1+((Inputs!$G$5:$G$120&lt;&gt;"moeda")*(Inputs!$G$5:$G$120&lt;&gt;"acoes")))*INDEX(Inputs!$K$5:$AJ$120,0,MATCH(AH$2,Inputs!$K$4:$AJ$4,0)))+SUMPRODUCT((Inputs!$E$5:$E$120=$B34)*Inputs!$F$5:$F$120*(((Inputs!$G$5:$G$120="moeda")+(Inputs!$G$5:$G$120="acoes"))*Inputs!$B$1+((Inputs!$G$5:$G$120&lt;&gt;"moeda")*(Inputs!$G$5:$G$120&lt;&gt;"acoes")))*INDEX(Inputs!$K$5:$AJ$120,0,MATCH(AH$2,Inputs!$K$4:$AJ$4,0)))))</f>
        <v>217</v>
      </c>
      <c r="AI34" s="267">
        <f>IF(ISNA(MATCH(AI$2,Inputs!$K$4:$AJ$4,0)),NA(),IF(SUMPRODUCT((Inputs!$A$5:$A$120=$B34)*ISNUMBER(INDEX(Inputs!$K$5:$AJ$120,0,MATCH(AI$2,Inputs!$K$4:$AJ$4,0))))+SUMPRODUCT((Inputs!$C$5:$C$120=$B34)*ISNUMBER(INDEX(Inputs!$K$5:$AJ$120,0,MATCH(AI$2,Inputs!$K$4:$AJ$4,0))))+SUMPRODUCT((Inputs!$E$5:$E$120=$B34)*ISNUMBER(INDEX(Inputs!$K$5:$AJ$120,0,MATCH(AI$2,Inputs!$K$4:$AJ$4,0))))=0,NA(),SUMPRODUCT((Inputs!$A$5:$A$120=$B34)*Inputs!$B$5:$B$120*(((Inputs!$G$5:$G$120="moeda")+(Inputs!$G$5:$G$120="acoes"))*Inputs!$B$1+((Inputs!$G$5:$G$120&lt;&gt;"moeda")*(Inputs!$G$5:$G$120&lt;&gt;"acoes")))*INDEX(Inputs!$K$5:$AJ$120,0,MATCH(AI$2,Inputs!$K$4:$AJ$4,0)))+SUMPRODUCT((Inputs!$C$5:$C$120=$B34)*Inputs!$D$5:$D$120*(((Inputs!$G$5:$G$120="moeda")+(Inputs!$G$5:$G$120="acoes"))*Inputs!$B$1+((Inputs!$G$5:$G$120&lt;&gt;"moeda")*(Inputs!$G$5:$G$120&lt;&gt;"acoes")))*INDEX(Inputs!$K$5:$AJ$120,0,MATCH(AI$2,Inputs!$K$4:$AJ$4,0)))+SUMPRODUCT((Inputs!$E$5:$E$120=$B34)*Inputs!$F$5:$F$120*(((Inputs!$G$5:$G$120="moeda")+(Inputs!$G$5:$G$120="acoes"))*Inputs!$B$1+((Inputs!$G$5:$G$120&lt;&gt;"moeda")*(Inputs!$G$5:$G$120&lt;&gt;"acoes")))*INDEX(Inputs!$K$5:$AJ$120,0,MATCH(AI$2,Inputs!$K$4:$AJ$4,0)))))</f>
        <v>220</v>
      </c>
      <c r="AJ34" s="267">
        <f>IF(ISNA(MATCH(AJ$2,Inputs!$K$4:$AJ$4,0)),NA(),IF(SUMPRODUCT((Inputs!$A$5:$A$120=$B34)*ISNUMBER(INDEX(Inputs!$K$5:$AJ$120,0,MATCH(AJ$2,Inputs!$K$4:$AJ$4,0))))+SUMPRODUCT((Inputs!$C$5:$C$120=$B34)*ISNUMBER(INDEX(Inputs!$K$5:$AJ$120,0,MATCH(AJ$2,Inputs!$K$4:$AJ$4,0))))+SUMPRODUCT((Inputs!$E$5:$E$120=$B34)*ISNUMBER(INDEX(Inputs!$K$5:$AJ$120,0,MATCH(AJ$2,Inputs!$K$4:$AJ$4,0))))=0,NA(),SUMPRODUCT((Inputs!$A$5:$A$120=$B34)*Inputs!$B$5:$B$120*(((Inputs!$G$5:$G$120="moeda")+(Inputs!$G$5:$G$120="acoes"))*Inputs!$B$1+((Inputs!$G$5:$G$120&lt;&gt;"moeda")*(Inputs!$G$5:$G$120&lt;&gt;"acoes")))*INDEX(Inputs!$K$5:$AJ$120,0,MATCH(AJ$2,Inputs!$K$4:$AJ$4,0)))+SUMPRODUCT((Inputs!$C$5:$C$120=$B34)*Inputs!$D$5:$D$120*(((Inputs!$G$5:$G$120="moeda")+(Inputs!$G$5:$G$120="acoes"))*Inputs!$B$1+((Inputs!$G$5:$G$120&lt;&gt;"moeda")*(Inputs!$G$5:$G$120&lt;&gt;"acoes")))*INDEX(Inputs!$K$5:$AJ$120,0,MATCH(AJ$2,Inputs!$K$4:$AJ$4,0)))+SUMPRODUCT((Inputs!$E$5:$E$120=$B34)*Inputs!$F$5:$F$120*(((Inputs!$G$5:$G$120="moeda")+(Inputs!$G$5:$G$120="acoes"))*Inputs!$B$1+((Inputs!$G$5:$G$120&lt;&gt;"moeda")*(Inputs!$G$5:$G$120&lt;&gt;"acoes")))*INDEX(Inputs!$K$5:$AJ$120,0,MATCH(AJ$2,Inputs!$K$4:$AJ$4,0)))))</f>
        <v>233</v>
      </c>
      <c r="AK34" s="267">
        <f>IF(ISNA(MATCH(AK$2,Inputs!$K$4:$AJ$4,0)),NA(),IF(SUMPRODUCT((Inputs!$A$5:$A$120=$B34)*ISNUMBER(INDEX(Inputs!$K$5:$AJ$120,0,MATCH(AK$2,Inputs!$K$4:$AJ$4,0))))+SUMPRODUCT((Inputs!$C$5:$C$120=$B34)*ISNUMBER(INDEX(Inputs!$K$5:$AJ$120,0,MATCH(AK$2,Inputs!$K$4:$AJ$4,0))))+SUMPRODUCT((Inputs!$E$5:$E$120=$B34)*ISNUMBER(INDEX(Inputs!$K$5:$AJ$120,0,MATCH(AK$2,Inputs!$K$4:$AJ$4,0))))=0,NA(),SUMPRODUCT((Inputs!$A$5:$A$120=$B34)*Inputs!$B$5:$B$120*(((Inputs!$G$5:$G$120="moeda")+(Inputs!$G$5:$G$120="acoes"))*Inputs!$B$1+((Inputs!$G$5:$G$120&lt;&gt;"moeda")*(Inputs!$G$5:$G$120&lt;&gt;"acoes")))*INDEX(Inputs!$K$5:$AJ$120,0,MATCH(AK$2,Inputs!$K$4:$AJ$4,0)))+SUMPRODUCT((Inputs!$C$5:$C$120=$B34)*Inputs!$D$5:$D$120*(((Inputs!$G$5:$G$120="moeda")+(Inputs!$G$5:$G$120="acoes"))*Inputs!$B$1+((Inputs!$G$5:$G$120&lt;&gt;"moeda")*(Inputs!$G$5:$G$120&lt;&gt;"acoes")))*INDEX(Inputs!$K$5:$AJ$120,0,MATCH(AK$2,Inputs!$K$4:$AJ$4,0)))+SUMPRODUCT((Inputs!$E$5:$E$120=$B34)*Inputs!$F$5:$F$120*(((Inputs!$G$5:$G$120="moeda")+(Inputs!$G$5:$G$120="acoes"))*Inputs!$B$1+((Inputs!$G$5:$G$120&lt;&gt;"moeda")*(Inputs!$G$5:$G$120&lt;&gt;"acoes")))*INDEX(Inputs!$K$5:$AJ$120,0,MATCH(AK$2,Inputs!$K$4:$AJ$4,0)))))</f>
        <v>235</v>
      </c>
      <c r="AL34" s="268">
        <f>AK34</f>
        <v>235</v>
      </c>
    </row>
    <row r="35" ht="12.75" customHeight="1" s="255">
      <c r="B35" s="265" t="n">
        <v>30</v>
      </c>
      <c r="C35" s="270" t="inlineStr">
        <is>
          <t>Long term debt</t>
        </is>
      </c>
      <c r="D35" s="267">
        <f>IF(ISNA(MATCH(D$2,Inputs!$K$4:$AJ$4,0)),NA(),IF(SUMPRODUCT((Inputs!$A$5:$A$120=$B35)*ISNUMBER(INDEX(Inputs!$K$5:$AJ$120,0,MATCH(D$2,Inputs!$K$4:$AJ$4,0))))+SUMPRODUCT((Inputs!$C$5:$C$120=$B35)*ISNUMBER(INDEX(Inputs!$K$5:$AJ$120,0,MATCH(D$2,Inputs!$K$4:$AJ$4,0))))+SUMPRODUCT((Inputs!$E$5:$E$120=$B35)*ISNUMBER(INDEX(Inputs!$K$5:$AJ$120,0,MATCH(D$2,Inputs!$K$4:$AJ$4,0))))=0,NA(),SUMPRODUCT((Inputs!$A$5:$A$120=$B35)*Inputs!$B$5:$B$120*(((Inputs!$G$5:$G$120="moeda")+(Inputs!$G$5:$G$120="acoes"))*Inputs!$B$1+((Inputs!$G$5:$G$120&lt;&gt;"moeda")*(Inputs!$G$5:$G$120&lt;&gt;"acoes")))*INDEX(Inputs!$K$5:$AJ$120,0,MATCH(D$2,Inputs!$K$4:$AJ$4,0)))+SUMPRODUCT((Inputs!$C$5:$C$120=$B35)*Inputs!$D$5:$D$120*(((Inputs!$G$5:$G$120="moeda")+(Inputs!$G$5:$G$120="acoes"))*Inputs!$B$1+((Inputs!$G$5:$G$120&lt;&gt;"moeda")*(Inputs!$G$5:$G$120&lt;&gt;"acoes")))*INDEX(Inputs!$K$5:$AJ$120,0,MATCH(D$2,Inputs!$K$4:$AJ$4,0)))+SUMPRODUCT((Inputs!$E$5:$E$120=$B35)*Inputs!$F$5:$F$120*(((Inputs!$G$5:$G$120="moeda")+(Inputs!$G$5:$G$120="acoes"))*Inputs!$B$1+((Inputs!$G$5:$G$120&lt;&gt;"moeda")*(Inputs!$G$5:$G$120&lt;&gt;"acoes")))*INDEX(Inputs!$K$5:$AJ$120,0,MATCH(D$2,Inputs!$K$4:$AJ$4,0)))))</f>
        <v>4341</v>
      </c>
      <c r="E35" s="267">
        <f>IF(ISNA(MATCH(E$2,Inputs!$K$4:$AJ$4,0)),NA(),IF(SUMPRODUCT((Inputs!$A$5:$A$120=$B35)*ISNUMBER(INDEX(Inputs!$K$5:$AJ$120,0,MATCH(E$2,Inputs!$K$4:$AJ$4,0))))+SUMPRODUCT((Inputs!$C$5:$C$120=$B35)*ISNUMBER(INDEX(Inputs!$K$5:$AJ$120,0,MATCH(E$2,Inputs!$K$4:$AJ$4,0))))+SUMPRODUCT((Inputs!$E$5:$E$120=$B35)*ISNUMBER(INDEX(Inputs!$K$5:$AJ$120,0,MATCH(E$2,Inputs!$K$4:$AJ$4,0))))=0,NA(),SUMPRODUCT((Inputs!$A$5:$A$120=$B35)*Inputs!$B$5:$B$120*(((Inputs!$G$5:$G$120="moeda")+(Inputs!$G$5:$G$120="acoes"))*Inputs!$B$1+((Inputs!$G$5:$G$120&lt;&gt;"moeda")*(Inputs!$G$5:$G$120&lt;&gt;"acoes")))*INDEX(Inputs!$K$5:$AJ$120,0,MATCH(E$2,Inputs!$K$4:$AJ$4,0)))+SUMPRODUCT((Inputs!$C$5:$C$120=$B35)*Inputs!$D$5:$D$120*(((Inputs!$G$5:$G$120="moeda")+(Inputs!$G$5:$G$120="acoes"))*Inputs!$B$1+((Inputs!$G$5:$G$120&lt;&gt;"moeda")*(Inputs!$G$5:$G$120&lt;&gt;"acoes")))*INDEX(Inputs!$K$5:$AJ$120,0,MATCH(E$2,Inputs!$K$4:$AJ$4,0)))+SUMPRODUCT((Inputs!$E$5:$E$120=$B35)*Inputs!$F$5:$F$120*(((Inputs!$G$5:$G$120="moeda")+(Inputs!$G$5:$G$120="acoes"))*Inputs!$B$1+((Inputs!$G$5:$G$120&lt;&gt;"moeda")*(Inputs!$G$5:$G$120&lt;&gt;"acoes")))*INDEX(Inputs!$K$5:$AJ$120,0,MATCH(E$2,Inputs!$K$4:$AJ$4,0)))))</f>
        <v>5334</v>
      </c>
      <c r="F35" s="267">
        <f>IF(ISNA(MATCH(F$2,Inputs!$K$4:$AJ$4,0)),NA(),IF(SUMPRODUCT((Inputs!$A$5:$A$120=$B35)*ISNUMBER(INDEX(Inputs!$K$5:$AJ$120,0,MATCH(F$2,Inputs!$K$4:$AJ$4,0))))+SUMPRODUCT((Inputs!$C$5:$C$120=$B35)*ISNUMBER(INDEX(Inputs!$K$5:$AJ$120,0,MATCH(F$2,Inputs!$K$4:$AJ$4,0))))+SUMPRODUCT((Inputs!$E$5:$E$120=$B35)*ISNUMBER(INDEX(Inputs!$K$5:$AJ$120,0,MATCH(F$2,Inputs!$K$4:$AJ$4,0))))=0,NA(),SUMPRODUCT((Inputs!$A$5:$A$120=$B35)*Inputs!$B$5:$B$120*(((Inputs!$G$5:$G$120="moeda")+(Inputs!$G$5:$G$120="acoes"))*Inputs!$B$1+((Inputs!$G$5:$G$120&lt;&gt;"moeda")*(Inputs!$G$5:$G$120&lt;&gt;"acoes")))*INDEX(Inputs!$K$5:$AJ$120,0,MATCH(F$2,Inputs!$K$4:$AJ$4,0)))+SUMPRODUCT((Inputs!$C$5:$C$120=$B35)*Inputs!$D$5:$D$120*(((Inputs!$G$5:$G$120="moeda")+(Inputs!$G$5:$G$120="acoes"))*Inputs!$B$1+((Inputs!$G$5:$G$120&lt;&gt;"moeda")*(Inputs!$G$5:$G$120&lt;&gt;"acoes")))*INDEX(Inputs!$K$5:$AJ$120,0,MATCH(F$2,Inputs!$K$4:$AJ$4,0)))+SUMPRODUCT((Inputs!$E$5:$E$120=$B35)*Inputs!$F$5:$F$120*(((Inputs!$G$5:$G$120="moeda")+(Inputs!$G$5:$G$120="acoes"))*Inputs!$B$1+((Inputs!$G$5:$G$120&lt;&gt;"moeda")*(Inputs!$G$5:$G$120&lt;&gt;"acoes")))*INDEX(Inputs!$K$5:$AJ$120,0,MATCH(F$2,Inputs!$K$4:$AJ$4,0)))))</f>
        <v>4814</v>
      </c>
      <c r="G35" s="267">
        <f>IF(ISNA(MATCH(G$2,Inputs!$K$4:$AJ$4,0)),NA(),IF(SUMPRODUCT((Inputs!$A$5:$A$120=$B35)*ISNUMBER(INDEX(Inputs!$K$5:$AJ$120,0,MATCH(G$2,Inputs!$K$4:$AJ$4,0))))+SUMPRODUCT((Inputs!$C$5:$C$120=$B35)*ISNUMBER(INDEX(Inputs!$K$5:$AJ$120,0,MATCH(G$2,Inputs!$K$4:$AJ$4,0))))+SUMPRODUCT((Inputs!$E$5:$E$120=$B35)*ISNUMBER(INDEX(Inputs!$K$5:$AJ$120,0,MATCH(G$2,Inputs!$K$4:$AJ$4,0))))=0,NA(),SUMPRODUCT((Inputs!$A$5:$A$120=$B35)*Inputs!$B$5:$B$120*(((Inputs!$G$5:$G$120="moeda")+(Inputs!$G$5:$G$120="acoes"))*Inputs!$B$1+((Inputs!$G$5:$G$120&lt;&gt;"moeda")*(Inputs!$G$5:$G$120&lt;&gt;"acoes")))*INDEX(Inputs!$K$5:$AJ$120,0,MATCH(G$2,Inputs!$K$4:$AJ$4,0)))+SUMPRODUCT((Inputs!$C$5:$C$120=$B35)*Inputs!$D$5:$D$120*(((Inputs!$G$5:$G$120="moeda")+(Inputs!$G$5:$G$120="acoes"))*Inputs!$B$1+((Inputs!$G$5:$G$120&lt;&gt;"moeda")*(Inputs!$G$5:$G$120&lt;&gt;"acoes")))*INDEX(Inputs!$K$5:$AJ$120,0,MATCH(G$2,Inputs!$K$4:$AJ$4,0)))+SUMPRODUCT((Inputs!$E$5:$E$120=$B35)*Inputs!$F$5:$F$120*(((Inputs!$G$5:$G$120="moeda")+(Inputs!$G$5:$G$120="acoes"))*Inputs!$B$1+((Inputs!$G$5:$G$120&lt;&gt;"moeda")*(Inputs!$G$5:$G$120&lt;&gt;"acoes")))*INDEX(Inputs!$K$5:$AJ$120,0,MATCH(G$2,Inputs!$K$4:$AJ$4,0)))))</f>
        <v>4787</v>
      </c>
      <c r="H35" s="268">
        <f>G35</f>
        <v>4787</v>
      </c>
      <c r="I35" s="267">
        <f>IF(ISNA(MATCH(I$2,Inputs!$K$4:$AJ$4,0)),NA(),IF(SUMPRODUCT((Inputs!$A$5:$A$120=$B35)*ISNUMBER(INDEX(Inputs!$K$5:$AJ$120,0,MATCH(I$2,Inputs!$K$4:$AJ$4,0))))+SUMPRODUCT((Inputs!$C$5:$C$120=$B35)*ISNUMBER(INDEX(Inputs!$K$5:$AJ$120,0,MATCH(I$2,Inputs!$K$4:$AJ$4,0))))+SUMPRODUCT((Inputs!$E$5:$E$120=$B35)*ISNUMBER(INDEX(Inputs!$K$5:$AJ$120,0,MATCH(I$2,Inputs!$K$4:$AJ$4,0))))=0,NA(),SUMPRODUCT((Inputs!$A$5:$A$120=$B35)*Inputs!$B$5:$B$120*(((Inputs!$G$5:$G$120="moeda")+(Inputs!$G$5:$G$120="acoes"))*Inputs!$B$1+((Inputs!$G$5:$G$120&lt;&gt;"moeda")*(Inputs!$G$5:$G$120&lt;&gt;"acoes")))*INDEX(Inputs!$K$5:$AJ$120,0,MATCH(I$2,Inputs!$K$4:$AJ$4,0)))+SUMPRODUCT((Inputs!$C$5:$C$120=$B35)*Inputs!$D$5:$D$120*(((Inputs!$G$5:$G$120="moeda")+(Inputs!$G$5:$G$120="acoes"))*Inputs!$B$1+((Inputs!$G$5:$G$120&lt;&gt;"moeda")*(Inputs!$G$5:$G$120&lt;&gt;"acoes")))*INDEX(Inputs!$K$5:$AJ$120,0,MATCH(I$2,Inputs!$K$4:$AJ$4,0)))+SUMPRODUCT((Inputs!$E$5:$E$120=$B35)*Inputs!$F$5:$F$120*(((Inputs!$G$5:$G$120="moeda")+(Inputs!$G$5:$G$120="acoes"))*Inputs!$B$1+((Inputs!$G$5:$G$120&lt;&gt;"moeda")*(Inputs!$G$5:$G$120&lt;&gt;"acoes")))*INDEX(Inputs!$K$5:$AJ$120,0,MATCH(I$2,Inputs!$K$4:$AJ$4,0)))))</f>
        <v>4040</v>
      </c>
      <c r="J35" s="267">
        <f>IF(ISNA(MATCH(J$2,Inputs!$K$4:$AJ$4,0)),NA(),IF(SUMPRODUCT((Inputs!$A$5:$A$120=$B35)*ISNUMBER(INDEX(Inputs!$K$5:$AJ$120,0,MATCH(J$2,Inputs!$K$4:$AJ$4,0))))+SUMPRODUCT((Inputs!$C$5:$C$120=$B35)*ISNUMBER(INDEX(Inputs!$K$5:$AJ$120,0,MATCH(J$2,Inputs!$K$4:$AJ$4,0))))+SUMPRODUCT((Inputs!$E$5:$E$120=$B35)*ISNUMBER(INDEX(Inputs!$K$5:$AJ$120,0,MATCH(J$2,Inputs!$K$4:$AJ$4,0))))=0,NA(),SUMPRODUCT((Inputs!$A$5:$A$120=$B35)*Inputs!$B$5:$B$120*(((Inputs!$G$5:$G$120="moeda")+(Inputs!$G$5:$G$120="acoes"))*Inputs!$B$1+((Inputs!$G$5:$G$120&lt;&gt;"moeda")*(Inputs!$G$5:$G$120&lt;&gt;"acoes")))*INDEX(Inputs!$K$5:$AJ$120,0,MATCH(J$2,Inputs!$K$4:$AJ$4,0)))+SUMPRODUCT((Inputs!$C$5:$C$120=$B35)*Inputs!$D$5:$D$120*(((Inputs!$G$5:$G$120="moeda")+(Inputs!$G$5:$G$120="acoes"))*Inputs!$B$1+((Inputs!$G$5:$G$120&lt;&gt;"moeda")*(Inputs!$G$5:$G$120&lt;&gt;"acoes")))*INDEX(Inputs!$K$5:$AJ$120,0,MATCH(J$2,Inputs!$K$4:$AJ$4,0)))+SUMPRODUCT((Inputs!$E$5:$E$120=$B35)*Inputs!$F$5:$F$120*(((Inputs!$G$5:$G$120="moeda")+(Inputs!$G$5:$G$120="acoes"))*Inputs!$B$1+((Inputs!$G$5:$G$120&lt;&gt;"moeda")*(Inputs!$G$5:$G$120&lt;&gt;"acoes")))*INDEX(Inputs!$K$5:$AJ$120,0,MATCH(J$2,Inputs!$K$4:$AJ$4,0)))))</f>
        <v>3062</v>
      </c>
      <c r="K35" s="267">
        <f>IF(ISNA(MATCH(K$2,Inputs!$K$4:$AJ$4,0)),NA(),IF(SUMPRODUCT((Inputs!$A$5:$A$120=$B35)*ISNUMBER(INDEX(Inputs!$K$5:$AJ$120,0,MATCH(K$2,Inputs!$K$4:$AJ$4,0))))+SUMPRODUCT((Inputs!$C$5:$C$120=$B35)*ISNUMBER(INDEX(Inputs!$K$5:$AJ$120,0,MATCH(K$2,Inputs!$K$4:$AJ$4,0))))+SUMPRODUCT((Inputs!$E$5:$E$120=$B35)*ISNUMBER(INDEX(Inputs!$K$5:$AJ$120,0,MATCH(K$2,Inputs!$K$4:$AJ$4,0))))=0,NA(),SUMPRODUCT((Inputs!$A$5:$A$120=$B35)*Inputs!$B$5:$B$120*(((Inputs!$G$5:$G$120="moeda")+(Inputs!$G$5:$G$120="acoes"))*Inputs!$B$1+((Inputs!$G$5:$G$120&lt;&gt;"moeda")*(Inputs!$G$5:$G$120&lt;&gt;"acoes")))*INDEX(Inputs!$K$5:$AJ$120,0,MATCH(K$2,Inputs!$K$4:$AJ$4,0)))+SUMPRODUCT((Inputs!$C$5:$C$120=$B35)*Inputs!$D$5:$D$120*(((Inputs!$G$5:$G$120="moeda")+(Inputs!$G$5:$G$120="acoes"))*Inputs!$B$1+((Inputs!$G$5:$G$120&lt;&gt;"moeda")*(Inputs!$G$5:$G$120&lt;&gt;"acoes")))*INDEX(Inputs!$K$5:$AJ$120,0,MATCH(K$2,Inputs!$K$4:$AJ$4,0)))+SUMPRODUCT((Inputs!$E$5:$E$120=$B35)*Inputs!$F$5:$F$120*(((Inputs!$G$5:$G$120="moeda")+(Inputs!$G$5:$G$120="acoes"))*Inputs!$B$1+((Inputs!$G$5:$G$120&lt;&gt;"moeda")*(Inputs!$G$5:$G$120&lt;&gt;"acoes")))*INDEX(Inputs!$K$5:$AJ$120,0,MATCH(K$2,Inputs!$K$4:$AJ$4,0)))))</f>
        <v>2997</v>
      </c>
      <c r="L35" s="267">
        <f>IF(ISNA(MATCH(L$2,Inputs!$K$4:$AJ$4,0)),NA(),IF(SUMPRODUCT((Inputs!$A$5:$A$120=$B35)*ISNUMBER(INDEX(Inputs!$K$5:$AJ$120,0,MATCH(L$2,Inputs!$K$4:$AJ$4,0))))+SUMPRODUCT((Inputs!$C$5:$C$120=$B35)*ISNUMBER(INDEX(Inputs!$K$5:$AJ$120,0,MATCH(L$2,Inputs!$K$4:$AJ$4,0))))+SUMPRODUCT((Inputs!$E$5:$E$120=$B35)*ISNUMBER(INDEX(Inputs!$K$5:$AJ$120,0,MATCH(L$2,Inputs!$K$4:$AJ$4,0))))=0,NA(),SUMPRODUCT((Inputs!$A$5:$A$120=$B35)*Inputs!$B$5:$B$120*(((Inputs!$G$5:$G$120="moeda")+(Inputs!$G$5:$G$120="acoes"))*Inputs!$B$1+((Inputs!$G$5:$G$120&lt;&gt;"moeda")*(Inputs!$G$5:$G$120&lt;&gt;"acoes")))*INDEX(Inputs!$K$5:$AJ$120,0,MATCH(L$2,Inputs!$K$4:$AJ$4,0)))+SUMPRODUCT((Inputs!$C$5:$C$120=$B35)*Inputs!$D$5:$D$120*(((Inputs!$G$5:$G$120="moeda")+(Inputs!$G$5:$G$120="acoes"))*Inputs!$B$1+((Inputs!$G$5:$G$120&lt;&gt;"moeda")*(Inputs!$G$5:$G$120&lt;&gt;"acoes")))*INDEX(Inputs!$K$5:$AJ$120,0,MATCH(L$2,Inputs!$K$4:$AJ$4,0)))+SUMPRODUCT((Inputs!$E$5:$E$120=$B35)*Inputs!$F$5:$F$120*(((Inputs!$G$5:$G$120="moeda")+(Inputs!$G$5:$G$120="acoes"))*Inputs!$B$1+((Inputs!$G$5:$G$120&lt;&gt;"moeda")*(Inputs!$G$5:$G$120&lt;&gt;"acoes")))*INDEX(Inputs!$K$5:$AJ$120,0,MATCH(L$2,Inputs!$K$4:$AJ$4,0)))))</f>
        <v>3259</v>
      </c>
      <c r="M35" s="268">
        <f>L35</f>
        <v>3259</v>
      </c>
      <c r="N35" s="267">
        <f>IF(ISNA(MATCH(N$2,Inputs!$K$4:$AJ$4,0)),NA(),IF(SUMPRODUCT((Inputs!$A$5:$A$120=$B35)*ISNUMBER(INDEX(Inputs!$K$5:$AJ$120,0,MATCH(N$2,Inputs!$K$4:$AJ$4,0))))+SUMPRODUCT((Inputs!$C$5:$C$120=$B35)*ISNUMBER(INDEX(Inputs!$K$5:$AJ$120,0,MATCH(N$2,Inputs!$K$4:$AJ$4,0))))+SUMPRODUCT((Inputs!$E$5:$E$120=$B35)*ISNUMBER(INDEX(Inputs!$K$5:$AJ$120,0,MATCH(N$2,Inputs!$K$4:$AJ$4,0))))=0,NA(),SUMPRODUCT((Inputs!$A$5:$A$120=$B35)*Inputs!$B$5:$B$120*(((Inputs!$G$5:$G$120="moeda")+(Inputs!$G$5:$G$120="acoes"))*Inputs!$B$1+((Inputs!$G$5:$G$120&lt;&gt;"moeda")*(Inputs!$G$5:$G$120&lt;&gt;"acoes")))*INDEX(Inputs!$K$5:$AJ$120,0,MATCH(N$2,Inputs!$K$4:$AJ$4,0)))+SUMPRODUCT((Inputs!$C$5:$C$120=$B35)*Inputs!$D$5:$D$120*(((Inputs!$G$5:$G$120="moeda")+(Inputs!$G$5:$G$120="acoes"))*Inputs!$B$1+((Inputs!$G$5:$G$120&lt;&gt;"moeda")*(Inputs!$G$5:$G$120&lt;&gt;"acoes")))*INDEX(Inputs!$K$5:$AJ$120,0,MATCH(N$2,Inputs!$K$4:$AJ$4,0)))+SUMPRODUCT((Inputs!$E$5:$E$120=$B35)*Inputs!$F$5:$F$120*(((Inputs!$G$5:$G$120="moeda")+(Inputs!$G$5:$G$120="acoes"))*Inputs!$B$1+((Inputs!$G$5:$G$120&lt;&gt;"moeda")*(Inputs!$G$5:$G$120&lt;&gt;"acoes")))*INDEX(Inputs!$K$5:$AJ$120,0,MATCH(N$2,Inputs!$K$4:$AJ$4,0)))))</f>
        <v>4312</v>
      </c>
      <c r="O35" s="267">
        <f>IF(ISNA(MATCH(O$2,Inputs!$K$4:$AJ$4,0)),NA(),IF(SUMPRODUCT((Inputs!$A$5:$A$120=$B35)*ISNUMBER(INDEX(Inputs!$K$5:$AJ$120,0,MATCH(O$2,Inputs!$K$4:$AJ$4,0))))+SUMPRODUCT((Inputs!$C$5:$C$120=$B35)*ISNUMBER(INDEX(Inputs!$K$5:$AJ$120,0,MATCH(O$2,Inputs!$K$4:$AJ$4,0))))+SUMPRODUCT((Inputs!$E$5:$E$120=$B35)*ISNUMBER(INDEX(Inputs!$K$5:$AJ$120,0,MATCH(O$2,Inputs!$K$4:$AJ$4,0))))=0,NA(),SUMPRODUCT((Inputs!$A$5:$A$120=$B35)*Inputs!$B$5:$B$120*(((Inputs!$G$5:$G$120="moeda")+(Inputs!$G$5:$G$120="acoes"))*Inputs!$B$1+((Inputs!$G$5:$G$120&lt;&gt;"moeda")*(Inputs!$G$5:$G$120&lt;&gt;"acoes")))*INDEX(Inputs!$K$5:$AJ$120,0,MATCH(O$2,Inputs!$K$4:$AJ$4,0)))+SUMPRODUCT((Inputs!$C$5:$C$120=$B35)*Inputs!$D$5:$D$120*(((Inputs!$G$5:$G$120="moeda")+(Inputs!$G$5:$G$120="acoes"))*Inputs!$B$1+((Inputs!$G$5:$G$120&lt;&gt;"moeda")*(Inputs!$G$5:$G$120&lt;&gt;"acoes")))*INDEX(Inputs!$K$5:$AJ$120,0,MATCH(O$2,Inputs!$K$4:$AJ$4,0)))+SUMPRODUCT((Inputs!$E$5:$E$120=$B35)*Inputs!$F$5:$F$120*(((Inputs!$G$5:$G$120="moeda")+(Inputs!$G$5:$G$120="acoes"))*Inputs!$B$1+((Inputs!$G$5:$G$120&lt;&gt;"moeda")*(Inputs!$G$5:$G$120&lt;&gt;"acoes")))*INDEX(Inputs!$K$5:$AJ$120,0,MATCH(O$2,Inputs!$K$4:$AJ$4,0)))))</f>
        <v>4278</v>
      </c>
      <c r="P35" s="267">
        <f>IF(ISNA(MATCH(P$2,Inputs!$K$4:$AJ$4,0)),NA(),IF(SUMPRODUCT((Inputs!$A$5:$A$120=$B35)*ISNUMBER(INDEX(Inputs!$K$5:$AJ$120,0,MATCH(P$2,Inputs!$K$4:$AJ$4,0))))+SUMPRODUCT((Inputs!$C$5:$C$120=$B35)*ISNUMBER(INDEX(Inputs!$K$5:$AJ$120,0,MATCH(P$2,Inputs!$K$4:$AJ$4,0))))+SUMPRODUCT((Inputs!$E$5:$E$120=$B35)*ISNUMBER(INDEX(Inputs!$K$5:$AJ$120,0,MATCH(P$2,Inputs!$K$4:$AJ$4,0))))=0,NA(),SUMPRODUCT((Inputs!$A$5:$A$120=$B35)*Inputs!$B$5:$B$120*(((Inputs!$G$5:$G$120="moeda")+(Inputs!$G$5:$G$120="acoes"))*Inputs!$B$1+((Inputs!$G$5:$G$120&lt;&gt;"moeda")*(Inputs!$G$5:$G$120&lt;&gt;"acoes")))*INDEX(Inputs!$K$5:$AJ$120,0,MATCH(P$2,Inputs!$K$4:$AJ$4,0)))+SUMPRODUCT((Inputs!$C$5:$C$120=$B35)*Inputs!$D$5:$D$120*(((Inputs!$G$5:$G$120="moeda")+(Inputs!$G$5:$G$120="acoes"))*Inputs!$B$1+((Inputs!$G$5:$G$120&lt;&gt;"moeda")*(Inputs!$G$5:$G$120&lt;&gt;"acoes")))*INDEX(Inputs!$K$5:$AJ$120,0,MATCH(P$2,Inputs!$K$4:$AJ$4,0)))+SUMPRODUCT((Inputs!$E$5:$E$120=$B35)*Inputs!$F$5:$F$120*(((Inputs!$G$5:$G$120="moeda")+(Inputs!$G$5:$G$120="acoes"))*Inputs!$B$1+((Inputs!$G$5:$G$120&lt;&gt;"moeda")*(Inputs!$G$5:$G$120&lt;&gt;"acoes")))*INDEX(Inputs!$K$5:$AJ$120,0,MATCH(P$2,Inputs!$K$4:$AJ$4,0)))))</f>
        <v>3967</v>
      </c>
      <c r="Q35" s="267">
        <f>IF(ISNA(MATCH(Q$2,Inputs!$K$4:$AJ$4,0)),NA(),IF(SUMPRODUCT((Inputs!$A$5:$A$120=$B35)*ISNUMBER(INDEX(Inputs!$K$5:$AJ$120,0,MATCH(Q$2,Inputs!$K$4:$AJ$4,0))))+SUMPRODUCT((Inputs!$C$5:$C$120=$B35)*ISNUMBER(INDEX(Inputs!$K$5:$AJ$120,0,MATCH(Q$2,Inputs!$K$4:$AJ$4,0))))+SUMPRODUCT((Inputs!$E$5:$E$120=$B35)*ISNUMBER(INDEX(Inputs!$K$5:$AJ$120,0,MATCH(Q$2,Inputs!$K$4:$AJ$4,0))))=0,NA(),SUMPRODUCT((Inputs!$A$5:$A$120=$B35)*Inputs!$B$5:$B$120*(((Inputs!$G$5:$G$120="moeda")+(Inputs!$G$5:$G$120="acoes"))*Inputs!$B$1+((Inputs!$G$5:$G$120&lt;&gt;"moeda")*(Inputs!$G$5:$G$120&lt;&gt;"acoes")))*INDEX(Inputs!$K$5:$AJ$120,0,MATCH(Q$2,Inputs!$K$4:$AJ$4,0)))+SUMPRODUCT((Inputs!$C$5:$C$120=$B35)*Inputs!$D$5:$D$120*(((Inputs!$G$5:$G$120="moeda")+(Inputs!$G$5:$G$120="acoes"))*Inputs!$B$1+((Inputs!$G$5:$G$120&lt;&gt;"moeda")*(Inputs!$G$5:$G$120&lt;&gt;"acoes")))*INDEX(Inputs!$K$5:$AJ$120,0,MATCH(Q$2,Inputs!$K$4:$AJ$4,0)))+SUMPRODUCT((Inputs!$E$5:$E$120=$B35)*Inputs!$F$5:$F$120*(((Inputs!$G$5:$G$120="moeda")+(Inputs!$G$5:$G$120="acoes"))*Inputs!$B$1+((Inputs!$G$5:$G$120&lt;&gt;"moeda")*(Inputs!$G$5:$G$120&lt;&gt;"acoes")))*INDEX(Inputs!$K$5:$AJ$120,0,MATCH(Q$2,Inputs!$K$4:$AJ$4,0)))))</f>
        <v>4080</v>
      </c>
      <c r="R35" s="268">
        <f>Q35</f>
        <v>4080</v>
      </c>
      <c r="S35" s="267">
        <f>IF(ISNA(MATCH(S$2,Inputs!$K$4:$AJ$4,0)),NA(),IF(SUMPRODUCT((Inputs!$A$5:$A$120=$B35)*ISNUMBER(INDEX(Inputs!$K$5:$AJ$120,0,MATCH(S$2,Inputs!$K$4:$AJ$4,0))))+SUMPRODUCT((Inputs!$C$5:$C$120=$B35)*ISNUMBER(INDEX(Inputs!$K$5:$AJ$120,0,MATCH(S$2,Inputs!$K$4:$AJ$4,0))))+SUMPRODUCT((Inputs!$E$5:$E$120=$B35)*ISNUMBER(INDEX(Inputs!$K$5:$AJ$120,0,MATCH(S$2,Inputs!$K$4:$AJ$4,0))))=0,NA(),SUMPRODUCT((Inputs!$A$5:$A$120=$B35)*Inputs!$B$5:$B$120*(((Inputs!$G$5:$G$120="moeda")+(Inputs!$G$5:$G$120="acoes"))*Inputs!$B$1+((Inputs!$G$5:$G$120&lt;&gt;"moeda")*(Inputs!$G$5:$G$120&lt;&gt;"acoes")))*INDEX(Inputs!$K$5:$AJ$120,0,MATCH(S$2,Inputs!$K$4:$AJ$4,0)))+SUMPRODUCT((Inputs!$C$5:$C$120=$B35)*Inputs!$D$5:$D$120*(((Inputs!$G$5:$G$120="moeda")+(Inputs!$G$5:$G$120="acoes"))*Inputs!$B$1+((Inputs!$G$5:$G$120&lt;&gt;"moeda")*(Inputs!$G$5:$G$120&lt;&gt;"acoes")))*INDEX(Inputs!$K$5:$AJ$120,0,MATCH(S$2,Inputs!$K$4:$AJ$4,0)))+SUMPRODUCT((Inputs!$E$5:$E$120=$B35)*Inputs!$F$5:$F$120*(((Inputs!$G$5:$G$120="moeda")+(Inputs!$G$5:$G$120="acoes"))*Inputs!$B$1+((Inputs!$G$5:$G$120&lt;&gt;"moeda")*(Inputs!$G$5:$G$120&lt;&gt;"acoes")))*INDEX(Inputs!$K$5:$AJ$120,0,MATCH(S$2,Inputs!$K$4:$AJ$4,0)))))</f>
        <v>4079</v>
      </c>
      <c r="T35" s="267">
        <f>IF(ISNA(MATCH(T$2,Inputs!$K$4:$AJ$4,0)),NA(),IF(SUMPRODUCT((Inputs!$A$5:$A$120=$B35)*ISNUMBER(INDEX(Inputs!$K$5:$AJ$120,0,MATCH(T$2,Inputs!$K$4:$AJ$4,0))))+SUMPRODUCT((Inputs!$C$5:$C$120=$B35)*ISNUMBER(INDEX(Inputs!$K$5:$AJ$120,0,MATCH(T$2,Inputs!$K$4:$AJ$4,0))))+SUMPRODUCT((Inputs!$E$5:$E$120=$B35)*ISNUMBER(INDEX(Inputs!$K$5:$AJ$120,0,MATCH(T$2,Inputs!$K$4:$AJ$4,0))))=0,NA(),SUMPRODUCT((Inputs!$A$5:$A$120=$B35)*Inputs!$B$5:$B$120*(((Inputs!$G$5:$G$120="moeda")+(Inputs!$G$5:$G$120="acoes"))*Inputs!$B$1+((Inputs!$G$5:$G$120&lt;&gt;"moeda")*(Inputs!$G$5:$G$120&lt;&gt;"acoes")))*INDEX(Inputs!$K$5:$AJ$120,0,MATCH(T$2,Inputs!$K$4:$AJ$4,0)))+SUMPRODUCT((Inputs!$C$5:$C$120=$B35)*Inputs!$D$5:$D$120*(((Inputs!$G$5:$G$120="moeda")+(Inputs!$G$5:$G$120="acoes"))*Inputs!$B$1+((Inputs!$G$5:$G$120&lt;&gt;"moeda")*(Inputs!$G$5:$G$120&lt;&gt;"acoes")))*INDEX(Inputs!$K$5:$AJ$120,0,MATCH(T$2,Inputs!$K$4:$AJ$4,0)))+SUMPRODUCT((Inputs!$E$5:$E$120=$B35)*Inputs!$F$5:$F$120*(((Inputs!$G$5:$G$120="moeda")+(Inputs!$G$5:$G$120="acoes"))*Inputs!$B$1+((Inputs!$G$5:$G$120&lt;&gt;"moeda")*(Inputs!$G$5:$G$120&lt;&gt;"acoes")))*INDEX(Inputs!$K$5:$AJ$120,0,MATCH(T$2,Inputs!$K$4:$AJ$4,0)))))</f>
        <v>4086</v>
      </c>
      <c r="U35" s="267">
        <f>IF(ISNA(MATCH(U$2,Inputs!$K$4:$AJ$4,0)),NA(),IF(SUMPRODUCT((Inputs!$A$5:$A$120=$B35)*ISNUMBER(INDEX(Inputs!$K$5:$AJ$120,0,MATCH(U$2,Inputs!$K$4:$AJ$4,0))))+SUMPRODUCT((Inputs!$C$5:$C$120=$B35)*ISNUMBER(INDEX(Inputs!$K$5:$AJ$120,0,MATCH(U$2,Inputs!$K$4:$AJ$4,0))))+SUMPRODUCT((Inputs!$E$5:$E$120=$B35)*ISNUMBER(INDEX(Inputs!$K$5:$AJ$120,0,MATCH(U$2,Inputs!$K$4:$AJ$4,0))))=0,NA(),SUMPRODUCT((Inputs!$A$5:$A$120=$B35)*Inputs!$B$5:$B$120*(((Inputs!$G$5:$G$120="moeda")+(Inputs!$G$5:$G$120="acoes"))*Inputs!$B$1+((Inputs!$G$5:$G$120&lt;&gt;"moeda")*(Inputs!$G$5:$G$120&lt;&gt;"acoes")))*INDEX(Inputs!$K$5:$AJ$120,0,MATCH(U$2,Inputs!$K$4:$AJ$4,0)))+SUMPRODUCT((Inputs!$C$5:$C$120=$B35)*Inputs!$D$5:$D$120*(((Inputs!$G$5:$G$120="moeda")+(Inputs!$G$5:$G$120="acoes"))*Inputs!$B$1+((Inputs!$G$5:$G$120&lt;&gt;"moeda")*(Inputs!$G$5:$G$120&lt;&gt;"acoes")))*INDEX(Inputs!$K$5:$AJ$120,0,MATCH(U$2,Inputs!$K$4:$AJ$4,0)))+SUMPRODUCT((Inputs!$E$5:$E$120=$B35)*Inputs!$F$5:$F$120*(((Inputs!$G$5:$G$120="moeda")+(Inputs!$G$5:$G$120="acoes"))*Inputs!$B$1+((Inputs!$G$5:$G$120&lt;&gt;"moeda")*(Inputs!$G$5:$G$120&lt;&gt;"acoes")))*INDEX(Inputs!$K$5:$AJ$120,0,MATCH(U$2,Inputs!$K$4:$AJ$4,0)))))</f>
        <v>4777</v>
      </c>
      <c r="V35" s="267">
        <f>IF(ISNA(MATCH(V$2,Inputs!$K$4:$AJ$4,0)),NA(),IF(SUMPRODUCT((Inputs!$A$5:$A$120=$B35)*ISNUMBER(INDEX(Inputs!$K$5:$AJ$120,0,MATCH(V$2,Inputs!$K$4:$AJ$4,0))))+SUMPRODUCT((Inputs!$C$5:$C$120=$B35)*ISNUMBER(INDEX(Inputs!$K$5:$AJ$120,0,MATCH(V$2,Inputs!$K$4:$AJ$4,0))))+SUMPRODUCT((Inputs!$E$5:$E$120=$B35)*ISNUMBER(INDEX(Inputs!$K$5:$AJ$120,0,MATCH(V$2,Inputs!$K$4:$AJ$4,0))))=0,NA(),SUMPRODUCT((Inputs!$A$5:$A$120=$B35)*Inputs!$B$5:$B$120*(((Inputs!$G$5:$G$120="moeda")+(Inputs!$G$5:$G$120="acoes"))*Inputs!$B$1+((Inputs!$G$5:$G$120&lt;&gt;"moeda")*(Inputs!$G$5:$G$120&lt;&gt;"acoes")))*INDEX(Inputs!$K$5:$AJ$120,0,MATCH(V$2,Inputs!$K$4:$AJ$4,0)))+SUMPRODUCT((Inputs!$C$5:$C$120=$B35)*Inputs!$D$5:$D$120*(((Inputs!$G$5:$G$120="moeda")+(Inputs!$G$5:$G$120="acoes"))*Inputs!$B$1+((Inputs!$G$5:$G$120&lt;&gt;"moeda")*(Inputs!$G$5:$G$120&lt;&gt;"acoes")))*INDEX(Inputs!$K$5:$AJ$120,0,MATCH(V$2,Inputs!$K$4:$AJ$4,0)))+SUMPRODUCT((Inputs!$E$5:$E$120=$B35)*Inputs!$F$5:$F$120*(((Inputs!$G$5:$G$120="moeda")+(Inputs!$G$5:$G$120="acoes"))*Inputs!$B$1+((Inputs!$G$5:$G$120&lt;&gt;"moeda")*(Inputs!$G$5:$G$120&lt;&gt;"acoes")))*INDEX(Inputs!$K$5:$AJ$120,0,MATCH(V$2,Inputs!$K$4:$AJ$4,0)))))</f>
        <v>4694</v>
      </c>
      <c r="W35" s="268">
        <f>V35</f>
        <v>4694</v>
      </c>
      <c r="X35" s="267">
        <f>IF(ISNA(MATCH(X$2,Inputs!$K$4:$AJ$4,0)),NA(),IF(SUMPRODUCT((Inputs!$A$5:$A$120=$B35)*ISNUMBER(INDEX(Inputs!$K$5:$AJ$120,0,MATCH(X$2,Inputs!$K$4:$AJ$4,0))))+SUMPRODUCT((Inputs!$C$5:$C$120=$B35)*ISNUMBER(INDEX(Inputs!$K$5:$AJ$120,0,MATCH(X$2,Inputs!$K$4:$AJ$4,0))))+SUMPRODUCT((Inputs!$E$5:$E$120=$B35)*ISNUMBER(INDEX(Inputs!$K$5:$AJ$120,0,MATCH(X$2,Inputs!$K$4:$AJ$4,0))))=0,NA(),SUMPRODUCT((Inputs!$A$5:$A$120=$B35)*Inputs!$B$5:$B$120*(((Inputs!$G$5:$G$120="moeda")+(Inputs!$G$5:$G$120="acoes"))*Inputs!$B$1+((Inputs!$G$5:$G$120&lt;&gt;"moeda")*(Inputs!$G$5:$G$120&lt;&gt;"acoes")))*INDEX(Inputs!$K$5:$AJ$120,0,MATCH(X$2,Inputs!$K$4:$AJ$4,0)))+SUMPRODUCT((Inputs!$C$5:$C$120=$B35)*Inputs!$D$5:$D$120*(((Inputs!$G$5:$G$120="moeda")+(Inputs!$G$5:$G$120="acoes"))*Inputs!$B$1+((Inputs!$G$5:$G$120&lt;&gt;"moeda")*(Inputs!$G$5:$G$120&lt;&gt;"acoes")))*INDEX(Inputs!$K$5:$AJ$120,0,MATCH(X$2,Inputs!$K$4:$AJ$4,0)))+SUMPRODUCT((Inputs!$E$5:$E$120=$B35)*Inputs!$F$5:$F$120*(((Inputs!$G$5:$G$120="moeda")+(Inputs!$G$5:$G$120="acoes"))*Inputs!$B$1+((Inputs!$G$5:$G$120&lt;&gt;"moeda")*(Inputs!$G$5:$G$120&lt;&gt;"acoes")))*INDEX(Inputs!$K$5:$AJ$120,0,MATCH(X$2,Inputs!$K$4:$AJ$4,0)))))</f>
        <v>4714</v>
      </c>
      <c r="Y35" s="267">
        <f>IF(ISNA(MATCH(Y$2,Inputs!$K$4:$AJ$4,0)),NA(),IF(SUMPRODUCT((Inputs!$A$5:$A$120=$B35)*ISNUMBER(INDEX(Inputs!$K$5:$AJ$120,0,MATCH(Y$2,Inputs!$K$4:$AJ$4,0))))+SUMPRODUCT((Inputs!$C$5:$C$120=$B35)*ISNUMBER(INDEX(Inputs!$K$5:$AJ$120,0,MATCH(Y$2,Inputs!$K$4:$AJ$4,0))))+SUMPRODUCT((Inputs!$E$5:$E$120=$B35)*ISNUMBER(INDEX(Inputs!$K$5:$AJ$120,0,MATCH(Y$2,Inputs!$K$4:$AJ$4,0))))=0,NA(),SUMPRODUCT((Inputs!$A$5:$A$120=$B35)*Inputs!$B$5:$B$120*(((Inputs!$G$5:$G$120="moeda")+(Inputs!$G$5:$G$120="acoes"))*Inputs!$B$1+((Inputs!$G$5:$G$120&lt;&gt;"moeda")*(Inputs!$G$5:$G$120&lt;&gt;"acoes")))*INDEX(Inputs!$K$5:$AJ$120,0,MATCH(Y$2,Inputs!$K$4:$AJ$4,0)))+SUMPRODUCT((Inputs!$C$5:$C$120=$B35)*Inputs!$D$5:$D$120*(((Inputs!$G$5:$G$120="moeda")+(Inputs!$G$5:$G$120="acoes"))*Inputs!$B$1+((Inputs!$G$5:$G$120&lt;&gt;"moeda")*(Inputs!$G$5:$G$120&lt;&gt;"acoes")))*INDEX(Inputs!$K$5:$AJ$120,0,MATCH(Y$2,Inputs!$K$4:$AJ$4,0)))+SUMPRODUCT((Inputs!$E$5:$E$120=$B35)*Inputs!$F$5:$F$120*(((Inputs!$G$5:$G$120="moeda")+(Inputs!$G$5:$G$120="acoes"))*Inputs!$B$1+((Inputs!$G$5:$G$120&lt;&gt;"moeda")*(Inputs!$G$5:$G$120&lt;&gt;"acoes")))*INDEX(Inputs!$K$5:$AJ$120,0,MATCH(Y$2,Inputs!$K$4:$AJ$4,0)))))</f>
        <v>7044</v>
      </c>
      <c r="Z35" s="267">
        <f>IF(ISNA(MATCH(Z$2,Inputs!$K$4:$AJ$4,0)),NA(),IF(SUMPRODUCT((Inputs!$A$5:$A$120=$B35)*ISNUMBER(INDEX(Inputs!$K$5:$AJ$120,0,MATCH(Z$2,Inputs!$K$4:$AJ$4,0))))+SUMPRODUCT((Inputs!$C$5:$C$120=$B35)*ISNUMBER(INDEX(Inputs!$K$5:$AJ$120,0,MATCH(Z$2,Inputs!$K$4:$AJ$4,0))))+SUMPRODUCT((Inputs!$E$5:$E$120=$B35)*ISNUMBER(INDEX(Inputs!$K$5:$AJ$120,0,MATCH(Z$2,Inputs!$K$4:$AJ$4,0))))=0,NA(),SUMPRODUCT((Inputs!$A$5:$A$120=$B35)*Inputs!$B$5:$B$120*(((Inputs!$G$5:$G$120="moeda")+(Inputs!$G$5:$G$120="acoes"))*Inputs!$B$1+((Inputs!$G$5:$G$120&lt;&gt;"moeda")*(Inputs!$G$5:$G$120&lt;&gt;"acoes")))*INDEX(Inputs!$K$5:$AJ$120,0,MATCH(Z$2,Inputs!$K$4:$AJ$4,0)))+SUMPRODUCT((Inputs!$C$5:$C$120=$B35)*Inputs!$D$5:$D$120*(((Inputs!$G$5:$G$120="moeda")+(Inputs!$G$5:$G$120="acoes"))*Inputs!$B$1+((Inputs!$G$5:$G$120&lt;&gt;"moeda")*(Inputs!$G$5:$G$120&lt;&gt;"acoes")))*INDEX(Inputs!$K$5:$AJ$120,0,MATCH(Z$2,Inputs!$K$4:$AJ$4,0)))+SUMPRODUCT((Inputs!$E$5:$E$120=$B35)*Inputs!$F$5:$F$120*(((Inputs!$G$5:$G$120="moeda")+(Inputs!$G$5:$G$120="acoes"))*Inputs!$B$1+((Inputs!$G$5:$G$120&lt;&gt;"moeda")*(Inputs!$G$5:$G$120&lt;&gt;"acoes")))*INDEX(Inputs!$K$5:$AJ$120,0,MATCH(Z$2,Inputs!$K$4:$AJ$4,0)))))</f>
        <v>9809</v>
      </c>
      <c r="AA35" s="267">
        <f>IF(ISNA(MATCH(AA$2,Inputs!$K$4:$AJ$4,0)),NA(),IF(SUMPRODUCT((Inputs!$A$5:$A$120=$B35)*ISNUMBER(INDEX(Inputs!$K$5:$AJ$120,0,MATCH(AA$2,Inputs!$K$4:$AJ$4,0))))+SUMPRODUCT((Inputs!$C$5:$C$120=$B35)*ISNUMBER(INDEX(Inputs!$K$5:$AJ$120,0,MATCH(AA$2,Inputs!$K$4:$AJ$4,0))))+SUMPRODUCT((Inputs!$E$5:$E$120=$B35)*ISNUMBER(INDEX(Inputs!$K$5:$AJ$120,0,MATCH(AA$2,Inputs!$K$4:$AJ$4,0))))=0,NA(),SUMPRODUCT((Inputs!$A$5:$A$120=$B35)*Inputs!$B$5:$B$120*(((Inputs!$G$5:$G$120="moeda")+(Inputs!$G$5:$G$120="acoes"))*Inputs!$B$1+((Inputs!$G$5:$G$120&lt;&gt;"moeda")*(Inputs!$G$5:$G$120&lt;&gt;"acoes")))*INDEX(Inputs!$K$5:$AJ$120,0,MATCH(AA$2,Inputs!$K$4:$AJ$4,0)))+SUMPRODUCT((Inputs!$C$5:$C$120=$B35)*Inputs!$D$5:$D$120*(((Inputs!$G$5:$G$120="moeda")+(Inputs!$G$5:$G$120="acoes"))*Inputs!$B$1+((Inputs!$G$5:$G$120&lt;&gt;"moeda")*(Inputs!$G$5:$G$120&lt;&gt;"acoes")))*INDEX(Inputs!$K$5:$AJ$120,0,MATCH(AA$2,Inputs!$K$4:$AJ$4,0)))+SUMPRODUCT((Inputs!$E$5:$E$120=$B35)*Inputs!$F$5:$F$120*(((Inputs!$G$5:$G$120="moeda")+(Inputs!$G$5:$G$120="acoes"))*Inputs!$B$1+((Inputs!$G$5:$G$120&lt;&gt;"moeda")*(Inputs!$G$5:$G$120&lt;&gt;"acoes")))*INDEX(Inputs!$K$5:$AJ$120,0,MATCH(AA$2,Inputs!$K$4:$AJ$4,0)))))</f>
        <v>8831</v>
      </c>
      <c r="AB35" s="268">
        <f>AA35</f>
        <v>8831</v>
      </c>
      <c r="AC35" s="267">
        <f>IF(ISNA(MATCH(AC$2,Inputs!$K$4:$AJ$4,0)),NA(),IF(SUMPRODUCT((Inputs!$A$5:$A$120=$B35)*ISNUMBER(INDEX(Inputs!$K$5:$AJ$120,0,MATCH(AC$2,Inputs!$K$4:$AJ$4,0))))+SUMPRODUCT((Inputs!$C$5:$C$120=$B35)*ISNUMBER(INDEX(Inputs!$K$5:$AJ$120,0,MATCH(AC$2,Inputs!$K$4:$AJ$4,0))))+SUMPRODUCT((Inputs!$E$5:$E$120=$B35)*ISNUMBER(INDEX(Inputs!$K$5:$AJ$120,0,MATCH(AC$2,Inputs!$K$4:$AJ$4,0))))=0,NA(),SUMPRODUCT((Inputs!$A$5:$A$120=$B35)*Inputs!$B$5:$B$120*(((Inputs!$G$5:$G$120="moeda")+(Inputs!$G$5:$G$120="acoes"))*Inputs!$B$1+((Inputs!$G$5:$G$120&lt;&gt;"moeda")*(Inputs!$G$5:$G$120&lt;&gt;"acoes")))*INDEX(Inputs!$K$5:$AJ$120,0,MATCH(AC$2,Inputs!$K$4:$AJ$4,0)))+SUMPRODUCT((Inputs!$C$5:$C$120=$B35)*Inputs!$D$5:$D$120*(((Inputs!$G$5:$G$120="moeda")+(Inputs!$G$5:$G$120="acoes"))*Inputs!$B$1+((Inputs!$G$5:$G$120&lt;&gt;"moeda")*(Inputs!$G$5:$G$120&lt;&gt;"acoes")))*INDEX(Inputs!$K$5:$AJ$120,0,MATCH(AC$2,Inputs!$K$4:$AJ$4,0)))+SUMPRODUCT((Inputs!$E$5:$E$120=$B35)*Inputs!$F$5:$F$120*(((Inputs!$G$5:$G$120="moeda")+(Inputs!$G$5:$G$120="acoes"))*Inputs!$B$1+((Inputs!$G$5:$G$120&lt;&gt;"moeda")*(Inputs!$G$5:$G$120&lt;&gt;"acoes")))*INDEX(Inputs!$K$5:$AJ$120,0,MATCH(AC$2,Inputs!$K$4:$AJ$4,0)))))</f>
        <v>9947</v>
      </c>
      <c r="AD35" s="267">
        <f>IF(ISNA(MATCH(AD$2,Inputs!$K$4:$AJ$4,0)),NA(),IF(SUMPRODUCT((Inputs!$A$5:$A$120=$B35)*ISNUMBER(INDEX(Inputs!$K$5:$AJ$120,0,MATCH(AD$2,Inputs!$K$4:$AJ$4,0))))+SUMPRODUCT((Inputs!$C$5:$C$120=$B35)*ISNUMBER(INDEX(Inputs!$K$5:$AJ$120,0,MATCH(AD$2,Inputs!$K$4:$AJ$4,0))))+SUMPRODUCT((Inputs!$E$5:$E$120=$B35)*ISNUMBER(INDEX(Inputs!$K$5:$AJ$120,0,MATCH(AD$2,Inputs!$K$4:$AJ$4,0))))=0,NA(),SUMPRODUCT((Inputs!$A$5:$A$120=$B35)*Inputs!$B$5:$B$120*(((Inputs!$G$5:$G$120="moeda")+(Inputs!$G$5:$G$120="acoes"))*Inputs!$B$1+((Inputs!$G$5:$G$120&lt;&gt;"moeda")*(Inputs!$G$5:$G$120&lt;&gt;"acoes")))*INDEX(Inputs!$K$5:$AJ$120,0,MATCH(AD$2,Inputs!$K$4:$AJ$4,0)))+SUMPRODUCT((Inputs!$C$5:$C$120=$B35)*Inputs!$D$5:$D$120*(((Inputs!$G$5:$G$120="moeda")+(Inputs!$G$5:$G$120="acoes"))*Inputs!$B$1+((Inputs!$G$5:$G$120&lt;&gt;"moeda")*(Inputs!$G$5:$G$120&lt;&gt;"acoes")))*INDEX(Inputs!$K$5:$AJ$120,0,MATCH(AD$2,Inputs!$K$4:$AJ$4,0)))+SUMPRODUCT((Inputs!$E$5:$E$120=$B35)*Inputs!$F$5:$F$120*(((Inputs!$G$5:$G$120="moeda")+(Inputs!$G$5:$G$120="acoes"))*Inputs!$B$1+((Inputs!$G$5:$G$120&lt;&gt;"moeda")*(Inputs!$G$5:$G$120&lt;&gt;"acoes")))*INDEX(Inputs!$K$5:$AJ$120,0,MATCH(AD$2,Inputs!$K$4:$AJ$4,0)))))</f>
        <v>9426</v>
      </c>
      <c r="AE35" s="267" t="e">
        <f>IF(ISNA(MATCH(AE$2,Inputs!$K$4:$AJ$4,0)),NA(),IF(SUMPRODUCT((Inputs!$A$5:$A$120=$B35)*ISNUMBER(INDEX(Inputs!$K$5:$AJ$120,0,MATCH(AE$2,Inputs!$K$4:$AJ$4,0))))+SUMPRODUCT((Inputs!$C$5:$C$120=$B35)*ISNUMBER(INDEX(Inputs!$K$5:$AJ$120,0,MATCH(AE$2,Inputs!$K$4:$AJ$4,0))))+SUMPRODUCT((Inputs!$E$5:$E$120=$B35)*ISNUMBER(INDEX(Inputs!$K$5:$AJ$120,0,MATCH(AE$2,Inputs!$K$4:$AJ$4,0))))=0,NA(),SUMPRODUCT((Inputs!$A$5:$A$120=$B35)*Inputs!$B$5:$B$120*(((Inputs!$G$5:$G$120="moeda")+(Inputs!$G$5:$G$120="acoes"))*Inputs!$B$1+((Inputs!$G$5:$G$120&lt;&gt;"moeda")*(Inputs!$G$5:$G$120&lt;&gt;"acoes")))*INDEX(Inputs!$K$5:$AJ$120,0,MATCH(AE$2,Inputs!$K$4:$AJ$4,0)))+SUMPRODUCT((Inputs!$C$5:$C$120=$B35)*Inputs!$D$5:$D$120*(((Inputs!$G$5:$G$120="moeda")+(Inputs!$G$5:$G$120="acoes"))*Inputs!$B$1+((Inputs!$G$5:$G$120&lt;&gt;"moeda")*(Inputs!$G$5:$G$120&lt;&gt;"acoes")))*INDEX(Inputs!$K$5:$AJ$120,0,MATCH(AE$2,Inputs!$K$4:$AJ$4,0)))+SUMPRODUCT((Inputs!$E$5:$E$120=$B35)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5" s="267" t="e">
        <f>IF(ISNA(MATCH(AF$2,Inputs!$K$4:$AJ$4,0)),NA(),IF(SUMPRODUCT((Inputs!$A$5:$A$120=$B35)*ISNUMBER(INDEX(Inputs!$K$5:$AJ$120,0,MATCH(AF$2,Inputs!$K$4:$AJ$4,0))))+SUMPRODUCT((Inputs!$C$5:$C$120=$B35)*ISNUMBER(INDEX(Inputs!$K$5:$AJ$120,0,MATCH(AF$2,Inputs!$K$4:$AJ$4,0))))+SUMPRODUCT((Inputs!$E$5:$E$120=$B35)*ISNUMBER(INDEX(Inputs!$K$5:$AJ$120,0,MATCH(AF$2,Inputs!$K$4:$AJ$4,0))))=0,NA(),SUMPRODUCT((Inputs!$A$5:$A$120=$B35)*Inputs!$B$5:$B$120*(((Inputs!$G$5:$G$120="moeda")+(Inputs!$G$5:$G$120="acoes"))*Inputs!$B$1+((Inputs!$G$5:$G$120&lt;&gt;"moeda")*(Inputs!$G$5:$G$120&lt;&gt;"acoes")))*INDEX(Inputs!$K$5:$AJ$120,0,MATCH(AF$2,Inputs!$K$4:$AJ$4,0)))+SUMPRODUCT((Inputs!$C$5:$C$120=$B35)*Inputs!$D$5:$D$120*(((Inputs!$G$5:$G$120="moeda")+(Inputs!$G$5:$G$120="acoes"))*Inputs!$B$1+((Inputs!$G$5:$G$120&lt;&gt;"moeda")*(Inputs!$G$5:$G$120&lt;&gt;"acoes")))*INDEX(Inputs!$K$5:$AJ$120,0,MATCH(AF$2,Inputs!$K$4:$AJ$4,0)))+SUMPRODUCT((Inputs!$E$5:$E$120=$B35)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5" s="268" t="e">
        <f>AF35</f>
        <v>#N/A</v>
      </c>
      <c r="AH35" s="267">
        <f>IF(ISNA(MATCH(AH$2,Inputs!$K$4:$AJ$4,0)),NA(),IF(SUMPRODUCT((Inputs!$A$5:$A$120=$B35)*ISNUMBER(INDEX(Inputs!$K$5:$AJ$120,0,MATCH(AH$2,Inputs!$K$4:$AJ$4,0))))+SUMPRODUCT((Inputs!$C$5:$C$120=$B35)*ISNUMBER(INDEX(Inputs!$K$5:$AJ$120,0,MATCH(AH$2,Inputs!$K$4:$AJ$4,0))))+SUMPRODUCT((Inputs!$E$5:$E$120=$B35)*ISNUMBER(INDEX(Inputs!$K$5:$AJ$120,0,MATCH(AH$2,Inputs!$K$4:$AJ$4,0))))=0,NA(),SUMPRODUCT((Inputs!$A$5:$A$120=$B35)*Inputs!$B$5:$B$120*(((Inputs!$G$5:$G$120="moeda")+(Inputs!$G$5:$G$120="acoes"))*Inputs!$B$1+((Inputs!$G$5:$G$120&lt;&gt;"moeda")*(Inputs!$G$5:$G$120&lt;&gt;"acoes")))*INDEX(Inputs!$K$5:$AJ$120,0,MATCH(AH$2,Inputs!$K$4:$AJ$4,0)))+SUMPRODUCT((Inputs!$C$5:$C$120=$B35)*Inputs!$D$5:$D$120*(((Inputs!$G$5:$G$120="moeda")+(Inputs!$G$5:$G$120="acoes"))*Inputs!$B$1+((Inputs!$G$5:$G$120&lt;&gt;"moeda")*(Inputs!$G$5:$G$120&lt;&gt;"acoes")))*INDEX(Inputs!$K$5:$AJ$120,0,MATCH(AH$2,Inputs!$K$4:$AJ$4,0)))+SUMPRODUCT((Inputs!$E$5:$E$120=$B35)*Inputs!$F$5:$F$120*(((Inputs!$G$5:$G$120="moeda")+(Inputs!$G$5:$G$120="acoes"))*Inputs!$B$1+((Inputs!$G$5:$G$120&lt;&gt;"moeda")*(Inputs!$G$5:$G$120&lt;&gt;"acoes")))*INDEX(Inputs!$K$5:$AJ$120,0,MATCH(AH$2,Inputs!$K$4:$AJ$4,0)))))</f>
        <v>3753</v>
      </c>
      <c r="AI35" s="267">
        <f>IF(ISNA(MATCH(AI$2,Inputs!$K$4:$AJ$4,0)),NA(),IF(SUMPRODUCT((Inputs!$A$5:$A$120=$B35)*ISNUMBER(INDEX(Inputs!$K$5:$AJ$120,0,MATCH(AI$2,Inputs!$K$4:$AJ$4,0))))+SUMPRODUCT((Inputs!$C$5:$C$120=$B35)*ISNUMBER(INDEX(Inputs!$K$5:$AJ$120,0,MATCH(AI$2,Inputs!$K$4:$AJ$4,0))))+SUMPRODUCT((Inputs!$E$5:$E$120=$B35)*ISNUMBER(INDEX(Inputs!$K$5:$AJ$120,0,MATCH(AI$2,Inputs!$K$4:$AJ$4,0))))=0,NA(),SUMPRODUCT((Inputs!$A$5:$A$120=$B35)*Inputs!$B$5:$B$120*(((Inputs!$G$5:$G$120="moeda")+(Inputs!$G$5:$G$120="acoes"))*Inputs!$B$1+((Inputs!$G$5:$G$120&lt;&gt;"moeda")*(Inputs!$G$5:$G$120&lt;&gt;"acoes")))*INDEX(Inputs!$K$5:$AJ$120,0,MATCH(AI$2,Inputs!$K$4:$AJ$4,0)))+SUMPRODUCT((Inputs!$C$5:$C$120=$B35)*Inputs!$D$5:$D$120*(((Inputs!$G$5:$G$120="moeda")+(Inputs!$G$5:$G$120="acoes"))*Inputs!$B$1+((Inputs!$G$5:$G$120&lt;&gt;"moeda")*(Inputs!$G$5:$G$120&lt;&gt;"acoes")))*INDEX(Inputs!$K$5:$AJ$120,0,MATCH(AI$2,Inputs!$K$4:$AJ$4,0)))+SUMPRODUCT((Inputs!$E$5:$E$120=$B35)*Inputs!$F$5:$F$120*(((Inputs!$G$5:$G$120="moeda")+(Inputs!$G$5:$G$120="acoes"))*Inputs!$B$1+((Inputs!$G$5:$G$120&lt;&gt;"moeda")*(Inputs!$G$5:$G$120&lt;&gt;"acoes")))*INDEX(Inputs!$K$5:$AJ$120,0,MATCH(AI$2,Inputs!$K$4:$AJ$4,0)))))</f>
        <v>3980</v>
      </c>
      <c r="AJ35" s="267">
        <f>IF(ISNA(MATCH(AJ$2,Inputs!$K$4:$AJ$4,0)),NA(),IF(SUMPRODUCT((Inputs!$A$5:$A$120=$B35)*ISNUMBER(INDEX(Inputs!$K$5:$AJ$120,0,MATCH(AJ$2,Inputs!$K$4:$AJ$4,0))))+SUMPRODUCT((Inputs!$C$5:$C$120=$B35)*ISNUMBER(INDEX(Inputs!$K$5:$AJ$120,0,MATCH(AJ$2,Inputs!$K$4:$AJ$4,0))))+SUMPRODUCT((Inputs!$E$5:$E$120=$B35)*ISNUMBER(INDEX(Inputs!$K$5:$AJ$120,0,MATCH(AJ$2,Inputs!$K$4:$AJ$4,0))))=0,NA(),SUMPRODUCT((Inputs!$A$5:$A$120=$B35)*Inputs!$B$5:$B$120*(((Inputs!$G$5:$G$120="moeda")+(Inputs!$G$5:$G$120="acoes"))*Inputs!$B$1+((Inputs!$G$5:$G$120&lt;&gt;"moeda")*(Inputs!$G$5:$G$120&lt;&gt;"acoes")))*INDEX(Inputs!$K$5:$AJ$120,0,MATCH(AJ$2,Inputs!$K$4:$AJ$4,0)))+SUMPRODUCT((Inputs!$C$5:$C$120=$B35)*Inputs!$D$5:$D$120*(((Inputs!$G$5:$G$120="moeda")+(Inputs!$G$5:$G$120="acoes"))*Inputs!$B$1+((Inputs!$G$5:$G$120&lt;&gt;"moeda")*(Inputs!$G$5:$G$120&lt;&gt;"acoes")))*INDEX(Inputs!$K$5:$AJ$120,0,MATCH(AJ$2,Inputs!$K$4:$AJ$4,0)))+SUMPRODUCT((Inputs!$E$5:$E$120=$B35)*Inputs!$F$5:$F$120*(((Inputs!$G$5:$G$120="moeda")+(Inputs!$G$5:$G$120="acoes"))*Inputs!$B$1+((Inputs!$G$5:$G$120&lt;&gt;"moeda")*(Inputs!$G$5:$G$120&lt;&gt;"acoes")))*INDEX(Inputs!$K$5:$AJ$120,0,MATCH(AJ$2,Inputs!$K$4:$AJ$4,0)))))</f>
        <v>4419</v>
      </c>
      <c r="AK35" s="267">
        <f>IF(ISNA(MATCH(AK$2,Inputs!$K$4:$AJ$4,0)),NA(),IF(SUMPRODUCT((Inputs!$A$5:$A$120=$B35)*ISNUMBER(INDEX(Inputs!$K$5:$AJ$120,0,MATCH(AK$2,Inputs!$K$4:$AJ$4,0))))+SUMPRODUCT((Inputs!$C$5:$C$120=$B35)*ISNUMBER(INDEX(Inputs!$K$5:$AJ$120,0,MATCH(AK$2,Inputs!$K$4:$AJ$4,0))))+SUMPRODUCT((Inputs!$E$5:$E$120=$B35)*ISNUMBER(INDEX(Inputs!$K$5:$AJ$120,0,MATCH(AK$2,Inputs!$K$4:$AJ$4,0))))=0,NA(),SUMPRODUCT((Inputs!$A$5:$A$120=$B35)*Inputs!$B$5:$B$120*(((Inputs!$G$5:$G$120="moeda")+(Inputs!$G$5:$G$120="acoes"))*Inputs!$B$1+((Inputs!$G$5:$G$120&lt;&gt;"moeda")*(Inputs!$G$5:$G$120&lt;&gt;"acoes")))*INDEX(Inputs!$K$5:$AJ$120,0,MATCH(AK$2,Inputs!$K$4:$AJ$4,0)))+SUMPRODUCT((Inputs!$C$5:$C$120=$B35)*Inputs!$D$5:$D$120*(((Inputs!$G$5:$G$120="moeda")+(Inputs!$G$5:$G$120="acoes"))*Inputs!$B$1+((Inputs!$G$5:$G$120&lt;&gt;"moeda")*(Inputs!$G$5:$G$120&lt;&gt;"acoes")))*INDEX(Inputs!$K$5:$AJ$120,0,MATCH(AK$2,Inputs!$K$4:$AJ$4,0)))+SUMPRODUCT((Inputs!$E$5:$E$120=$B35)*Inputs!$F$5:$F$120*(((Inputs!$G$5:$G$120="moeda")+(Inputs!$G$5:$G$120="acoes"))*Inputs!$B$1+((Inputs!$G$5:$G$120&lt;&gt;"moeda")*(Inputs!$G$5:$G$120&lt;&gt;"acoes")))*INDEX(Inputs!$K$5:$AJ$120,0,MATCH(AK$2,Inputs!$K$4:$AJ$4,0)))))</f>
        <v>4452</v>
      </c>
      <c r="AL35" s="268">
        <f>AK35</f>
        <v>4452</v>
      </c>
    </row>
    <row r="36" ht="12.75" customHeight="1" s="255">
      <c r="B36" s="265" t="n">
        <v>31</v>
      </c>
      <c r="C36" s="270" t="inlineStr">
        <is>
          <t>Long term operating leases</t>
        </is>
      </c>
      <c r="D36" s="267">
        <f>IF(ISNA(MATCH(D$2,Inputs!$K$4:$AJ$4,0)),NA(),IF(SUMPRODUCT((Inputs!$A$5:$A$120=$B36)*ISNUMBER(INDEX(Inputs!$K$5:$AJ$120,0,MATCH(D$2,Inputs!$K$4:$AJ$4,0))))+SUMPRODUCT((Inputs!$C$5:$C$120=$B36)*ISNUMBER(INDEX(Inputs!$K$5:$AJ$120,0,MATCH(D$2,Inputs!$K$4:$AJ$4,0))))+SUMPRODUCT((Inputs!$E$5:$E$120=$B36)*ISNUMBER(INDEX(Inputs!$K$5:$AJ$120,0,MATCH(D$2,Inputs!$K$4:$AJ$4,0))))=0,NA(),SUMPRODUCT((Inputs!$A$5:$A$120=$B36)*Inputs!$B$5:$B$120*(((Inputs!$G$5:$G$120="moeda")+(Inputs!$G$5:$G$120="acoes"))*Inputs!$B$1+((Inputs!$G$5:$G$120&lt;&gt;"moeda")*(Inputs!$G$5:$G$120&lt;&gt;"acoes")))*INDEX(Inputs!$K$5:$AJ$120,0,MATCH(D$2,Inputs!$K$4:$AJ$4,0)))+SUMPRODUCT((Inputs!$C$5:$C$120=$B36)*Inputs!$D$5:$D$120*(((Inputs!$G$5:$G$120="moeda")+(Inputs!$G$5:$G$120="acoes"))*Inputs!$B$1+((Inputs!$G$5:$G$120&lt;&gt;"moeda")*(Inputs!$G$5:$G$120&lt;&gt;"acoes")))*INDEX(Inputs!$K$5:$AJ$120,0,MATCH(D$2,Inputs!$K$4:$AJ$4,0)))+SUMPRODUCT((Inputs!$E$5:$E$120=$B36)*Inputs!$F$5:$F$120*(((Inputs!$G$5:$G$120="moeda")+(Inputs!$G$5:$G$120="acoes"))*Inputs!$B$1+((Inputs!$G$5:$G$120&lt;&gt;"moeda")*(Inputs!$G$5:$G$120&lt;&gt;"acoes")))*INDEX(Inputs!$K$5:$AJ$120,0,MATCH(D$2,Inputs!$K$4:$AJ$4,0)))))</f>
        <v>556</v>
      </c>
      <c r="E36" s="267">
        <f>IF(ISNA(MATCH(E$2,Inputs!$K$4:$AJ$4,0)),NA(),IF(SUMPRODUCT((Inputs!$A$5:$A$120=$B36)*ISNUMBER(INDEX(Inputs!$K$5:$AJ$120,0,MATCH(E$2,Inputs!$K$4:$AJ$4,0))))+SUMPRODUCT((Inputs!$C$5:$C$120=$B36)*ISNUMBER(INDEX(Inputs!$K$5:$AJ$120,0,MATCH(E$2,Inputs!$K$4:$AJ$4,0))))+SUMPRODUCT((Inputs!$E$5:$E$120=$B36)*ISNUMBER(INDEX(Inputs!$K$5:$AJ$120,0,MATCH(E$2,Inputs!$K$4:$AJ$4,0))))=0,NA(),SUMPRODUCT((Inputs!$A$5:$A$120=$B36)*Inputs!$B$5:$B$120*(((Inputs!$G$5:$G$120="moeda")+(Inputs!$G$5:$G$120="acoes"))*Inputs!$B$1+((Inputs!$G$5:$G$120&lt;&gt;"moeda")*(Inputs!$G$5:$G$120&lt;&gt;"acoes")))*INDEX(Inputs!$K$5:$AJ$120,0,MATCH(E$2,Inputs!$K$4:$AJ$4,0)))+SUMPRODUCT((Inputs!$C$5:$C$120=$B36)*Inputs!$D$5:$D$120*(((Inputs!$G$5:$G$120="moeda")+(Inputs!$G$5:$G$120="acoes"))*Inputs!$B$1+((Inputs!$G$5:$G$120&lt;&gt;"moeda")*(Inputs!$G$5:$G$120&lt;&gt;"acoes")))*INDEX(Inputs!$K$5:$AJ$120,0,MATCH(E$2,Inputs!$K$4:$AJ$4,0)))+SUMPRODUCT((Inputs!$E$5:$E$120=$B36)*Inputs!$F$5:$F$120*(((Inputs!$G$5:$G$120="moeda")+(Inputs!$G$5:$G$120="acoes"))*Inputs!$B$1+((Inputs!$G$5:$G$120&lt;&gt;"moeda")*(Inputs!$G$5:$G$120&lt;&gt;"acoes")))*INDEX(Inputs!$K$5:$AJ$120,0,MATCH(E$2,Inputs!$K$4:$AJ$4,0)))))</f>
        <v>539</v>
      </c>
      <c r="F36" s="267">
        <f>IF(ISNA(MATCH(F$2,Inputs!$K$4:$AJ$4,0)),NA(),IF(SUMPRODUCT((Inputs!$A$5:$A$120=$B36)*ISNUMBER(INDEX(Inputs!$K$5:$AJ$120,0,MATCH(F$2,Inputs!$K$4:$AJ$4,0))))+SUMPRODUCT((Inputs!$C$5:$C$120=$B36)*ISNUMBER(INDEX(Inputs!$K$5:$AJ$120,0,MATCH(F$2,Inputs!$K$4:$AJ$4,0))))+SUMPRODUCT((Inputs!$E$5:$E$120=$B36)*ISNUMBER(INDEX(Inputs!$K$5:$AJ$120,0,MATCH(F$2,Inputs!$K$4:$AJ$4,0))))=0,NA(),SUMPRODUCT((Inputs!$A$5:$A$120=$B36)*Inputs!$B$5:$B$120*(((Inputs!$G$5:$G$120="moeda")+(Inputs!$G$5:$G$120="acoes"))*Inputs!$B$1+((Inputs!$G$5:$G$120&lt;&gt;"moeda")*(Inputs!$G$5:$G$120&lt;&gt;"acoes")))*INDEX(Inputs!$K$5:$AJ$120,0,MATCH(F$2,Inputs!$K$4:$AJ$4,0)))+SUMPRODUCT((Inputs!$C$5:$C$120=$B36)*Inputs!$D$5:$D$120*(((Inputs!$G$5:$G$120="moeda")+(Inputs!$G$5:$G$120="acoes"))*Inputs!$B$1+((Inputs!$G$5:$G$120&lt;&gt;"moeda")*(Inputs!$G$5:$G$120&lt;&gt;"acoes")))*INDEX(Inputs!$K$5:$AJ$120,0,MATCH(F$2,Inputs!$K$4:$AJ$4,0)))+SUMPRODUCT((Inputs!$E$5:$E$120=$B36)*Inputs!$F$5:$F$120*(((Inputs!$G$5:$G$120="moeda")+(Inputs!$G$5:$G$120="acoes"))*Inputs!$B$1+((Inputs!$G$5:$G$120&lt;&gt;"moeda")*(Inputs!$G$5:$G$120&lt;&gt;"acoes")))*INDEX(Inputs!$K$5:$AJ$120,0,MATCH(F$2,Inputs!$K$4:$AJ$4,0)))))</f>
        <v>522</v>
      </c>
      <c r="G36" s="267">
        <f>IF(ISNA(MATCH(G$2,Inputs!$K$4:$AJ$4,0)),NA(),IF(SUMPRODUCT((Inputs!$A$5:$A$120=$B36)*ISNUMBER(INDEX(Inputs!$K$5:$AJ$120,0,MATCH(G$2,Inputs!$K$4:$AJ$4,0))))+SUMPRODUCT((Inputs!$C$5:$C$120=$B36)*ISNUMBER(INDEX(Inputs!$K$5:$AJ$120,0,MATCH(G$2,Inputs!$K$4:$AJ$4,0))))+SUMPRODUCT((Inputs!$E$5:$E$120=$B36)*ISNUMBER(INDEX(Inputs!$K$5:$AJ$120,0,MATCH(G$2,Inputs!$K$4:$AJ$4,0))))=0,NA(),SUMPRODUCT((Inputs!$A$5:$A$120=$B36)*Inputs!$B$5:$B$120*(((Inputs!$G$5:$G$120="moeda")+(Inputs!$G$5:$G$120="acoes"))*Inputs!$B$1+((Inputs!$G$5:$G$120&lt;&gt;"moeda")*(Inputs!$G$5:$G$120&lt;&gt;"acoes")))*INDEX(Inputs!$K$5:$AJ$120,0,MATCH(G$2,Inputs!$K$4:$AJ$4,0)))+SUMPRODUCT((Inputs!$C$5:$C$120=$B36)*Inputs!$D$5:$D$120*(((Inputs!$G$5:$G$120="moeda")+(Inputs!$G$5:$G$120="acoes"))*Inputs!$B$1+((Inputs!$G$5:$G$120&lt;&gt;"moeda")*(Inputs!$G$5:$G$120&lt;&gt;"acoes")))*INDEX(Inputs!$K$5:$AJ$120,0,MATCH(G$2,Inputs!$K$4:$AJ$4,0)))+SUMPRODUCT((Inputs!$E$5:$E$120=$B36)*Inputs!$F$5:$F$120*(((Inputs!$G$5:$G$120="moeda")+(Inputs!$G$5:$G$120="acoes"))*Inputs!$B$1+((Inputs!$G$5:$G$120&lt;&gt;"moeda")*(Inputs!$G$5:$G$120&lt;&gt;"acoes")))*INDEX(Inputs!$K$5:$AJ$120,0,MATCH(G$2,Inputs!$K$4:$AJ$4,0)))))</f>
        <v>506</v>
      </c>
      <c r="H36" s="268">
        <f>G36</f>
        <v>506</v>
      </c>
      <c r="I36" s="267">
        <f>IF(ISNA(MATCH(I$2,Inputs!$K$4:$AJ$4,0)),NA(),IF(SUMPRODUCT((Inputs!$A$5:$A$120=$B36)*ISNUMBER(INDEX(Inputs!$K$5:$AJ$120,0,MATCH(I$2,Inputs!$K$4:$AJ$4,0))))+SUMPRODUCT((Inputs!$C$5:$C$120=$B36)*ISNUMBER(INDEX(Inputs!$K$5:$AJ$120,0,MATCH(I$2,Inputs!$K$4:$AJ$4,0))))+SUMPRODUCT((Inputs!$E$5:$E$120=$B36)*ISNUMBER(INDEX(Inputs!$K$5:$AJ$120,0,MATCH(I$2,Inputs!$K$4:$AJ$4,0))))=0,NA(),SUMPRODUCT((Inputs!$A$5:$A$120=$B36)*Inputs!$B$5:$B$120*(((Inputs!$G$5:$G$120="moeda")+(Inputs!$G$5:$G$120="acoes"))*Inputs!$B$1+((Inputs!$G$5:$G$120&lt;&gt;"moeda")*(Inputs!$G$5:$G$120&lt;&gt;"acoes")))*INDEX(Inputs!$K$5:$AJ$120,0,MATCH(I$2,Inputs!$K$4:$AJ$4,0)))+SUMPRODUCT((Inputs!$C$5:$C$120=$B36)*Inputs!$D$5:$D$120*(((Inputs!$G$5:$G$120="moeda")+(Inputs!$G$5:$G$120="acoes"))*Inputs!$B$1+((Inputs!$G$5:$G$120&lt;&gt;"moeda")*(Inputs!$G$5:$G$120&lt;&gt;"acoes")))*INDEX(Inputs!$K$5:$AJ$120,0,MATCH(I$2,Inputs!$K$4:$AJ$4,0)))+SUMPRODUCT((Inputs!$E$5:$E$120=$B36)*Inputs!$F$5:$F$120*(((Inputs!$G$5:$G$120="moeda")+(Inputs!$G$5:$G$120="acoes"))*Inputs!$B$1+((Inputs!$G$5:$G$120&lt;&gt;"moeda")*(Inputs!$G$5:$G$120&lt;&gt;"acoes")))*INDEX(Inputs!$K$5:$AJ$120,0,MATCH(I$2,Inputs!$K$4:$AJ$4,0)))))</f>
        <v>559</v>
      </c>
      <c r="J36" s="267">
        <f>IF(ISNA(MATCH(J$2,Inputs!$K$4:$AJ$4,0)),NA(),IF(SUMPRODUCT((Inputs!$A$5:$A$120=$B36)*ISNUMBER(INDEX(Inputs!$K$5:$AJ$120,0,MATCH(J$2,Inputs!$K$4:$AJ$4,0))))+SUMPRODUCT((Inputs!$C$5:$C$120=$B36)*ISNUMBER(INDEX(Inputs!$K$5:$AJ$120,0,MATCH(J$2,Inputs!$K$4:$AJ$4,0))))+SUMPRODUCT((Inputs!$E$5:$E$120=$B36)*ISNUMBER(INDEX(Inputs!$K$5:$AJ$120,0,MATCH(J$2,Inputs!$K$4:$AJ$4,0))))=0,NA(),SUMPRODUCT((Inputs!$A$5:$A$120=$B36)*Inputs!$B$5:$B$120*(((Inputs!$G$5:$G$120="moeda")+(Inputs!$G$5:$G$120="acoes"))*Inputs!$B$1+((Inputs!$G$5:$G$120&lt;&gt;"moeda")*(Inputs!$G$5:$G$120&lt;&gt;"acoes")))*INDEX(Inputs!$K$5:$AJ$120,0,MATCH(J$2,Inputs!$K$4:$AJ$4,0)))+SUMPRODUCT((Inputs!$C$5:$C$120=$B36)*Inputs!$D$5:$D$120*(((Inputs!$G$5:$G$120="moeda")+(Inputs!$G$5:$G$120="acoes"))*Inputs!$B$1+((Inputs!$G$5:$G$120&lt;&gt;"moeda")*(Inputs!$G$5:$G$120&lt;&gt;"acoes")))*INDEX(Inputs!$K$5:$AJ$120,0,MATCH(J$2,Inputs!$K$4:$AJ$4,0)))+SUMPRODUCT((Inputs!$E$5:$E$120=$B36)*Inputs!$F$5:$F$120*(((Inputs!$G$5:$G$120="moeda")+(Inputs!$G$5:$G$120="acoes"))*Inputs!$B$1+((Inputs!$G$5:$G$120&lt;&gt;"moeda")*(Inputs!$G$5:$G$120&lt;&gt;"acoes")))*INDEX(Inputs!$K$5:$AJ$120,0,MATCH(J$2,Inputs!$K$4:$AJ$4,0)))))</f>
        <v>585</v>
      </c>
      <c r="K36" s="267">
        <f>IF(ISNA(MATCH(K$2,Inputs!$K$4:$AJ$4,0)),NA(),IF(SUMPRODUCT((Inputs!$A$5:$A$120=$B36)*ISNUMBER(INDEX(Inputs!$K$5:$AJ$120,0,MATCH(K$2,Inputs!$K$4:$AJ$4,0))))+SUMPRODUCT((Inputs!$C$5:$C$120=$B36)*ISNUMBER(INDEX(Inputs!$K$5:$AJ$120,0,MATCH(K$2,Inputs!$K$4:$AJ$4,0))))+SUMPRODUCT((Inputs!$E$5:$E$120=$B36)*ISNUMBER(INDEX(Inputs!$K$5:$AJ$120,0,MATCH(K$2,Inputs!$K$4:$AJ$4,0))))=0,NA(),SUMPRODUCT((Inputs!$A$5:$A$120=$B36)*Inputs!$B$5:$B$120*(((Inputs!$G$5:$G$120="moeda")+(Inputs!$G$5:$G$120="acoes"))*Inputs!$B$1+((Inputs!$G$5:$G$120&lt;&gt;"moeda")*(Inputs!$G$5:$G$120&lt;&gt;"acoes")))*INDEX(Inputs!$K$5:$AJ$120,0,MATCH(K$2,Inputs!$K$4:$AJ$4,0)))+SUMPRODUCT((Inputs!$C$5:$C$120=$B36)*Inputs!$D$5:$D$120*(((Inputs!$G$5:$G$120="moeda")+(Inputs!$G$5:$G$120="acoes"))*Inputs!$B$1+((Inputs!$G$5:$G$120&lt;&gt;"moeda")*(Inputs!$G$5:$G$120&lt;&gt;"acoes")))*INDEX(Inputs!$K$5:$AJ$120,0,MATCH(K$2,Inputs!$K$4:$AJ$4,0)))+SUMPRODUCT((Inputs!$E$5:$E$120=$B36)*Inputs!$F$5:$F$120*(((Inputs!$G$5:$G$120="moeda")+(Inputs!$G$5:$G$120="acoes"))*Inputs!$B$1+((Inputs!$G$5:$G$120&lt;&gt;"moeda")*(Inputs!$G$5:$G$120&lt;&gt;"acoes")))*INDEX(Inputs!$K$5:$AJ$120,0,MATCH(K$2,Inputs!$K$4:$AJ$4,0)))))</f>
        <v>602</v>
      </c>
      <c r="L36" s="267">
        <f>IF(ISNA(MATCH(L$2,Inputs!$K$4:$AJ$4,0)),NA(),IF(SUMPRODUCT((Inputs!$A$5:$A$120=$B36)*ISNUMBER(INDEX(Inputs!$K$5:$AJ$120,0,MATCH(L$2,Inputs!$K$4:$AJ$4,0))))+SUMPRODUCT((Inputs!$C$5:$C$120=$B36)*ISNUMBER(INDEX(Inputs!$K$5:$AJ$120,0,MATCH(L$2,Inputs!$K$4:$AJ$4,0))))+SUMPRODUCT((Inputs!$E$5:$E$120=$B36)*ISNUMBER(INDEX(Inputs!$K$5:$AJ$120,0,MATCH(L$2,Inputs!$K$4:$AJ$4,0))))=0,NA(),SUMPRODUCT((Inputs!$A$5:$A$120=$B36)*Inputs!$B$5:$B$120*(((Inputs!$G$5:$G$120="moeda")+(Inputs!$G$5:$G$120="acoes"))*Inputs!$B$1+((Inputs!$G$5:$G$120&lt;&gt;"moeda")*(Inputs!$G$5:$G$120&lt;&gt;"acoes")))*INDEX(Inputs!$K$5:$AJ$120,0,MATCH(L$2,Inputs!$K$4:$AJ$4,0)))+SUMPRODUCT((Inputs!$C$5:$C$120=$B36)*Inputs!$D$5:$D$120*(((Inputs!$G$5:$G$120="moeda")+(Inputs!$G$5:$G$120="acoes"))*Inputs!$B$1+((Inputs!$G$5:$G$120&lt;&gt;"moeda")*(Inputs!$G$5:$G$120&lt;&gt;"acoes")))*INDEX(Inputs!$K$5:$AJ$120,0,MATCH(L$2,Inputs!$K$4:$AJ$4,0)))+SUMPRODUCT((Inputs!$E$5:$E$120=$B36)*Inputs!$F$5:$F$120*(((Inputs!$G$5:$G$120="moeda")+(Inputs!$G$5:$G$120="acoes"))*Inputs!$B$1+((Inputs!$G$5:$G$120&lt;&gt;"moeda")*(Inputs!$G$5:$G$120&lt;&gt;"acoes")))*INDEX(Inputs!$K$5:$AJ$120,0,MATCH(L$2,Inputs!$K$4:$AJ$4,0)))))</f>
        <v>547</v>
      </c>
      <c r="M36" s="268">
        <f>L36</f>
        <v>547</v>
      </c>
      <c r="N36" s="267">
        <f>IF(ISNA(MATCH(N$2,Inputs!$K$4:$AJ$4,0)),NA(),IF(SUMPRODUCT((Inputs!$A$5:$A$120=$B36)*ISNUMBER(INDEX(Inputs!$K$5:$AJ$120,0,MATCH(N$2,Inputs!$K$4:$AJ$4,0))))+SUMPRODUCT((Inputs!$C$5:$C$120=$B36)*ISNUMBER(INDEX(Inputs!$K$5:$AJ$120,0,MATCH(N$2,Inputs!$K$4:$AJ$4,0))))+SUMPRODUCT((Inputs!$E$5:$E$120=$B36)*ISNUMBER(INDEX(Inputs!$K$5:$AJ$120,0,MATCH(N$2,Inputs!$K$4:$AJ$4,0))))=0,NA(),SUMPRODUCT((Inputs!$A$5:$A$120=$B36)*Inputs!$B$5:$B$120*(((Inputs!$G$5:$G$120="moeda")+(Inputs!$G$5:$G$120="acoes"))*Inputs!$B$1+((Inputs!$G$5:$G$120&lt;&gt;"moeda")*(Inputs!$G$5:$G$120&lt;&gt;"acoes")))*INDEX(Inputs!$K$5:$AJ$120,0,MATCH(N$2,Inputs!$K$4:$AJ$4,0)))+SUMPRODUCT((Inputs!$C$5:$C$120=$B36)*Inputs!$D$5:$D$120*(((Inputs!$G$5:$G$120="moeda")+(Inputs!$G$5:$G$120="acoes"))*Inputs!$B$1+((Inputs!$G$5:$G$120&lt;&gt;"moeda")*(Inputs!$G$5:$G$120&lt;&gt;"acoes")))*INDEX(Inputs!$K$5:$AJ$120,0,MATCH(N$2,Inputs!$K$4:$AJ$4,0)))+SUMPRODUCT((Inputs!$E$5:$E$120=$B36)*Inputs!$F$5:$F$120*(((Inputs!$G$5:$G$120="moeda")+(Inputs!$G$5:$G$120="acoes"))*Inputs!$B$1+((Inputs!$G$5:$G$120&lt;&gt;"moeda")*(Inputs!$G$5:$G$120&lt;&gt;"acoes")))*INDEX(Inputs!$K$5:$AJ$120,0,MATCH(N$2,Inputs!$K$4:$AJ$4,0)))))</f>
        <v>490</v>
      </c>
      <c r="O36" s="267">
        <f>IF(ISNA(MATCH(O$2,Inputs!$K$4:$AJ$4,0)),NA(),IF(SUMPRODUCT((Inputs!$A$5:$A$120=$B36)*ISNUMBER(INDEX(Inputs!$K$5:$AJ$120,0,MATCH(O$2,Inputs!$K$4:$AJ$4,0))))+SUMPRODUCT((Inputs!$C$5:$C$120=$B36)*ISNUMBER(INDEX(Inputs!$K$5:$AJ$120,0,MATCH(O$2,Inputs!$K$4:$AJ$4,0))))+SUMPRODUCT((Inputs!$E$5:$E$120=$B36)*ISNUMBER(INDEX(Inputs!$K$5:$AJ$120,0,MATCH(O$2,Inputs!$K$4:$AJ$4,0))))=0,NA(),SUMPRODUCT((Inputs!$A$5:$A$120=$B36)*Inputs!$B$5:$B$120*(((Inputs!$G$5:$G$120="moeda")+(Inputs!$G$5:$G$120="acoes"))*Inputs!$B$1+((Inputs!$G$5:$G$120&lt;&gt;"moeda")*(Inputs!$G$5:$G$120&lt;&gt;"acoes")))*INDEX(Inputs!$K$5:$AJ$120,0,MATCH(O$2,Inputs!$K$4:$AJ$4,0)))+SUMPRODUCT((Inputs!$C$5:$C$120=$B36)*Inputs!$D$5:$D$120*(((Inputs!$G$5:$G$120="moeda")+(Inputs!$G$5:$G$120="acoes"))*Inputs!$B$1+((Inputs!$G$5:$G$120&lt;&gt;"moeda")*(Inputs!$G$5:$G$120&lt;&gt;"acoes")))*INDEX(Inputs!$K$5:$AJ$120,0,MATCH(O$2,Inputs!$K$4:$AJ$4,0)))+SUMPRODUCT((Inputs!$E$5:$E$120=$B36)*Inputs!$F$5:$F$120*(((Inputs!$G$5:$G$120="moeda")+(Inputs!$G$5:$G$120="acoes"))*Inputs!$B$1+((Inputs!$G$5:$G$120&lt;&gt;"moeda")*(Inputs!$G$5:$G$120&lt;&gt;"acoes")))*INDEX(Inputs!$K$5:$AJ$120,0,MATCH(O$2,Inputs!$K$4:$AJ$4,0)))))</f>
        <v>529</v>
      </c>
      <c r="P36" s="267">
        <f>IF(ISNA(MATCH(P$2,Inputs!$K$4:$AJ$4,0)),NA(),IF(SUMPRODUCT((Inputs!$A$5:$A$120=$B36)*ISNUMBER(INDEX(Inputs!$K$5:$AJ$120,0,MATCH(P$2,Inputs!$K$4:$AJ$4,0))))+SUMPRODUCT((Inputs!$C$5:$C$120=$B36)*ISNUMBER(INDEX(Inputs!$K$5:$AJ$120,0,MATCH(P$2,Inputs!$K$4:$AJ$4,0))))+SUMPRODUCT((Inputs!$E$5:$E$120=$B36)*ISNUMBER(INDEX(Inputs!$K$5:$AJ$120,0,MATCH(P$2,Inputs!$K$4:$AJ$4,0))))=0,NA(),SUMPRODUCT((Inputs!$A$5:$A$120=$B36)*Inputs!$B$5:$B$120*(((Inputs!$G$5:$G$120="moeda")+(Inputs!$G$5:$G$120="acoes"))*Inputs!$B$1+((Inputs!$G$5:$G$120&lt;&gt;"moeda")*(Inputs!$G$5:$G$120&lt;&gt;"acoes")))*INDEX(Inputs!$K$5:$AJ$120,0,MATCH(P$2,Inputs!$K$4:$AJ$4,0)))+SUMPRODUCT((Inputs!$C$5:$C$120=$B36)*Inputs!$D$5:$D$120*(((Inputs!$G$5:$G$120="moeda")+(Inputs!$G$5:$G$120="acoes"))*Inputs!$B$1+((Inputs!$G$5:$G$120&lt;&gt;"moeda")*(Inputs!$G$5:$G$120&lt;&gt;"acoes")))*INDEX(Inputs!$K$5:$AJ$120,0,MATCH(P$2,Inputs!$K$4:$AJ$4,0)))+SUMPRODUCT((Inputs!$E$5:$E$120=$B36)*Inputs!$F$5:$F$120*(((Inputs!$G$5:$G$120="moeda")+(Inputs!$G$5:$G$120="acoes"))*Inputs!$B$1+((Inputs!$G$5:$G$120&lt;&gt;"moeda")*(Inputs!$G$5:$G$120&lt;&gt;"acoes")))*INDEX(Inputs!$K$5:$AJ$120,0,MATCH(P$2,Inputs!$K$4:$AJ$4,0)))))</f>
        <v>495</v>
      </c>
      <c r="Q36" s="267">
        <f>IF(ISNA(MATCH(Q$2,Inputs!$K$4:$AJ$4,0)),NA(),IF(SUMPRODUCT((Inputs!$A$5:$A$120=$B36)*ISNUMBER(INDEX(Inputs!$K$5:$AJ$120,0,MATCH(Q$2,Inputs!$K$4:$AJ$4,0))))+SUMPRODUCT((Inputs!$C$5:$C$120=$B36)*ISNUMBER(INDEX(Inputs!$K$5:$AJ$120,0,MATCH(Q$2,Inputs!$K$4:$AJ$4,0))))+SUMPRODUCT((Inputs!$E$5:$E$120=$B36)*ISNUMBER(INDEX(Inputs!$K$5:$AJ$120,0,MATCH(Q$2,Inputs!$K$4:$AJ$4,0))))=0,NA(),SUMPRODUCT((Inputs!$A$5:$A$120=$B36)*Inputs!$B$5:$B$120*(((Inputs!$G$5:$G$120="moeda")+(Inputs!$G$5:$G$120="acoes"))*Inputs!$B$1+((Inputs!$G$5:$G$120&lt;&gt;"moeda")*(Inputs!$G$5:$G$120&lt;&gt;"acoes")))*INDEX(Inputs!$K$5:$AJ$120,0,MATCH(Q$2,Inputs!$K$4:$AJ$4,0)))+SUMPRODUCT((Inputs!$C$5:$C$120=$B36)*Inputs!$D$5:$D$120*(((Inputs!$G$5:$G$120="moeda")+(Inputs!$G$5:$G$120="acoes"))*Inputs!$B$1+((Inputs!$G$5:$G$120&lt;&gt;"moeda")*(Inputs!$G$5:$G$120&lt;&gt;"acoes")))*INDEX(Inputs!$K$5:$AJ$120,0,MATCH(Q$2,Inputs!$K$4:$AJ$4,0)))+SUMPRODUCT((Inputs!$E$5:$E$120=$B36)*Inputs!$F$5:$F$120*(((Inputs!$G$5:$G$120="moeda")+(Inputs!$G$5:$G$120="acoes"))*Inputs!$B$1+((Inputs!$G$5:$G$120&lt;&gt;"moeda")*(Inputs!$G$5:$G$120&lt;&gt;"acoes")))*INDEX(Inputs!$K$5:$AJ$120,0,MATCH(Q$2,Inputs!$K$4:$AJ$4,0)))))</f>
        <v>566</v>
      </c>
      <c r="R36" s="268">
        <f>Q36</f>
        <v>566</v>
      </c>
      <c r="S36" s="267">
        <f>IF(ISNA(MATCH(S$2,Inputs!$K$4:$AJ$4,0)),NA(),IF(SUMPRODUCT((Inputs!$A$5:$A$120=$B36)*ISNUMBER(INDEX(Inputs!$K$5:$AJ$120,0,MATCH(S$2,Inputs!$K$4:$AJ$4,0))))+SUMPRODUCT((Inputs!$C$5:$C$120=$B36)*ISNUMBER(INDEX(Inputs!$K$5:$AJ$120,0,MATCH(S$2,Inputs!$K$4:$AJ$4,0))))+SUMPRODUCT((Inputs!$E$5:$E$120=$B36)*ISNUMBER(INDEX(Inputs!$K$5:$AJ$120,0,MATCH(S$2,Inputs!$K$4:$AJ$4,0))))=0,NA(),SUMPRODUCT((Inputs!$A$5:$A$120=$B36)*Inputs!$B$5:$B$120*(((Inputs!$G$5:$G$120="moeda")+(Inputs!$G$5:$G$120="acoes"))*Inputs!$B$1+((Inputs!$G$5:$G$120&lt;&gt;"moeda")*(Inputs!$G$5:$G$120&lt;&gt;"acoes")))*INDEX(Inputs!$K$5:$AJ$120,0,MATCH(S$2,Inputs!$K$4:$AJ$4,0)))+SUMPRODUCT((Inputs!$C$5:$C$120=$B36)*Inputs!$D$5:$D$120*(((Inputs!$G$5:$G$120="moeda")+(Inputs!$G$5:$G$120="acoes"))*Inputs!$B$1+((Inputs!$G$5:$G$120&lt;&gt;"moeda")*(Inputs!$G$5:$G$120&lt;&gt;"acoes")))*INDEX(Inputs!$K$5:$AJ$120,0,MATCH(S$2,Inputs!$K$4:$AJ$4,0)))+SUMPRODUCT((Inputs!$E$5:$E$120=$B36)*Inputs!$F$5:$F$120*(((Inputs!$G$5:$G$120="moeda")+(Inputs!$G$5:$G$120="acoes"))*Inputs!$B$1+((Inputs!$G$5:$G$120&lt;&gt;"moeda")*(Inputs!$G$5:$G$120&lt;&gt;"acoes")))*INDEX(Inputs!$K$5:$AJ$120,0,MATCH(S$2,Inputs!$K$4:$AJ$4,0)))))</f>
        <v>557</v>
      </c>
      <c r="T36" s="267">
        <f>IF(ISNA(MATCH(T$2,Inputs!$K$4:$AJ$4,0)),NA(),IF(SUMPRODUCT((Inputs!$A$5:$A$120=$B36)*ISNUMBER(INDEX(Inputs!$K$5:$AJ$120,0,MATCH(T$2,Inputs!$K$4:$AJ$4,0))))+SUMPRODUCT((Inputs!$C$5:$C$120=$B36)*ISNUMBER(INDEX(Inputs!$K$5:$AJ$120,0,MATCH(T$2,Inputs!$K$4:$AJ$4,0))))+SUMPRODUCT((Inputs!$E$5:$E$120=$B36)*ISNUMBER(INDEX(Inputs!$K$5:$AJ$120,0,MATCH(T$2,Inputs!$K$4:$AJ$4,0))))=0,NA(),SUMPRODUCT((Inputs!$A$5:$A$120=$B36)*Inputs!$B$5:$B$120*(((Inputs!$G$5:$G$120="moeda")+(Inputs!$G$5:$G$120="acoes"))*Inputs!$B$1+((Inputs!$G$5:$G$120&lt;&gt;"moeda")*(Inputs!$G$5:$G$120&lt;&gt;"acoes")))*INDEX(Inputs!$K$5:$AJ$120,0,MATCH(T$2,Inputs!$K$4:$AJ$4,0)))+SUMPRODUCT((Inputs!$C$5:$C$120=$B36)*Inputs!$D$5:$D$120*(((Inputs!$G$5:$G$120="moeda")+(Inputs!$G$5:$G$120="acoes"))*Inputs!$B$1+((Inputs!$G$5:$G$120&lt;&gt;"moeda")*(Inputs!$G$5:$G$120&lt;&gt;"acoes")))*INDEX(Inputs!$K$5:$AJ$120,0,MATCH(T$2,Inputs!$K$4:$AJ$4,0)))+SUMPRODUCT((Inputs!$E$5:$E$120=$B36)*Inputs!$F$5:$F$120*(((Inputs!$G$5:$G$120="moeda")+(Inputs!$G$5:$G$120="acoes"))*Inputs!$B$1+((Inputs!$G$5:$G$120&lt;&gt;"moeda")*(Inputs!$G$5:$G$120&lt;&gt;"acoes")))*INDEX(Inputs!$K$5:$AJ$120,0,MATCH(T$2,Inputs!$K$4:$AJ$4,0)))))</f>
        <v>577</v>
      </c>
      <c r="U36" s="267">
        <f>IF(ISNA(MATCH(U$2,Inputs!$K$4:$AJ$4,0)),NA(),IF(SUMPRODUCT((Inputs!$A$5:$A$120=$B36)*ISNUMBER(INDEX(Inputs!$K$5:$AJ$120,0,MATCH(U$2,Inputs!$K$4:$AJ$4,0))))+SUMPRODUCT((Inputs!$C$5:$C$120=$B36)*ISNUMBER(INDEX(Inputs!$K$5:$AJ$120,0,MATCH(U$2,Inputs!$K$4:$AJ$4,0))))+SUMPRODUCT((Inputs!$E$5:$E$120=$B36)*ISNUMBER(INDEX(Inputs!$K$5:$AJ$120,0,MATCH(U$2,Inputs!$K$4:$AJ$4,0))))=0,NA(),SUMPRODUCT((Inputs!$A$5:$A$120=$B36)*Inputs!$B$5:$B$120*(((Inputs!$G$5:$G$120="moeda")+(Inputs!$G$5:$G$120="acoes"))*Inputs!$B$1+((Inputs!$G$5:$G$120&lt;&gt;"moeda")*(Inputs!$G$5:$G$120&lt;&gt;"acoes")))*INDEX(Inputs!$K$5:$AJ$120,0,MATCH(U$2,Inputs!$K$4:$AJ$4,0)))+SUMPRODUCT((Inputs!$C$5:$C$120=$B36)*Inputs!$D$5:$D$120*(((Inputs!$G$5:$G$120="moeda")+(Inputs!$G$5:$G$120="acoes"))*Inputs!$B$1+((Inputs!$G$5:$G$120&lt;&gt;"moeda")*(Inputs!$G$5:$G$120&lt;&gt;"acoes")))*INDEX(Inputs!$K$5:$AJ$120,0,MATCH(U$2,Inputs!$K$4:$AJ$4,0)))+SUMPRODUCT((Inputs!$E$5:$E$120=$B36)*Inputs!$F$5:$F$120*(((Inputs!$G$5:$G$120="moeda")+(Inputs!$G$5:$G$120="acoes"))*Inputs!$B$1+((Inputs!$G$5:$G$120&lt;&gt;"moeda")*(Inputs!$G$5:$G$120&lt;&gt;"acoes")))*INDEX(Inputs!$K$5:$AJ$120,0,MATCH(U$2,Inputs!$K$4:$AJ$4,0)))))</f>
        <v>595</v>
      </c>
      <c r="V36" s="267">
        <f>IF(ISNA(MATCH(V$2,Inputs!$K$4:$AJ$4,0)),NA(),IF(SUMPRODUCT((Inputs!$A$5:$A$120=$B36)*ISNUMBER(INDEX(Inputs!$K$5:$AJ$120,0,MATCH(V$2,Inputs!$K$4:$AJ$4,0))))+SUMPRODUCT((Inputs!$C$5:$C$120=$B36)*ISNUMBER(INDEX(Inputs!$K$5:$AJ$120,0,MATCH(V$2,Inputs!$K$4:$AJ$4,0))))+SUMPRODUCT((Inputs!$E$5:$E$120=$B36)*ISNUMBER(INDEX(Inputs!$K$5:$AJ$120,0,MATCH(V$2,Inputs!$K$4:$AJ$4,0))))=0,NA(),SUMPRODUCT((Inputs!$A$5:$A$120=$B36)*Inputs!$B$5:$B$120*(((Inputs!$G$5:$G$120="moeda")+(Inputs!$G$5:$G$120="acoes"))*Inputs!$B$1+((Inputs!$G$5:$G$120&lt;&gt;"moeda")*(Inputs!$G$5:$G$120&lt;&gt;"acoes")))*INDEX(Inputs!$K$5:$AJ$120,0,MATCH(V$2,Inputs!$K$4:$AJ$4,0)))+SUMPRODUCT((Inputs!$C$5:$C$120=$B36)*Inputs!$D$5:$D$120*(((Inputs!$G$5:$G$120="moeda")+(Inputs!$G$5:$G$120="acoes"))*Inputs!$B$1+((Inputs!$G$5:$G$120&lt;&gt;"moeda")*(Inputs!$G$5:$G$120&lt;&gt;"acoes")))*INDEX(Inputs!$K$5:$AJ$120,0,MATCH(V$2,Inputs!$K$4:$AJ$4,0)))+SUMPRODUCT((Inputs!$E$5:$E$120=$B36)*Inputs!$F$5:$F$120*(((Inputs!$G$5:$G$120="moeda")+(Inputs!$G$5:$G$120="acoes"))*Inputs!$B$1+((Inputs!$G$5:$G$120&lt;&gt;"moeda")*(Inputs!$G$5:$G$120&lt;&gt;"acoes")))*INDEX(Inputs!$K$5:$AJ$120,0,MATCH(V$2,Inputs!$K$4:$AJ$4,0)))))</f>
        <v>595</v>
      </c>
      <c r="W36" s="268">
        <f>V36</f>
        <v>595</v>
      </c>
      <c r="X36" s="267">
        <f>IF(ISNA(MATCH(X$2,Inputs!$K$4:$AJ$4,0)),NA(),IF(SUMPRODUCT((Inputs!$A$5:$A$120=$B36)*ISNUMBER(INDEX(Inputs!$K$5:$AJ$120,0,MATCH(X$2,Inputs!$K$4:$AJ$4,0))))+SUMPRODUCT((Inputs!$C$5:$C$120=$B36)*ISNUMBER(INDEX(Inputs!$K$5:$AJ$120,0,MATCH(X$2,Inputs!$K$4:$AJ$4,0))))+SUMPRODUCT((Inputs!$E$5:$E$120=$B36)*ISNUMBER(INDEX(Inputs!$K$5:$AJ$120,0,MATCH(X$2,Inputs!$K$4:$AJ$4,0))))=0,NA(),SUMPRODUCT((Inputs!$A$5:$A$120=$B36)*Inputs!$B$5:$B$120*(((Inputs!$G$5:$G$120="moeda")+(Inputs!$G$5:$G$120="acoes"))*Inputs!$B$1+((Inputs!$G$5:$G$120&lt;&gt;"moeda")*(Inputs!$G$5:$G$120&lt;&gt;"acoes")))*INDEX(Inputs!$K$5:$AJ$120,0,MATCH(X$2,Inputs!$K$4:$AJ$4,0)))+SUMPRODUCT((Inputs!$C$5:$C$120=$B36)*Inputs!$D$5:$D$120*(((Inputs!$G$5:$G$120="moeda")+(Inputs!$G$5:$G$120="acoes"))*Inputs!$B$1+((Inputs!$G$5:$G$120&lt;&gt;"moeda")*(Inputs!$G$5:$G$120&lt;&gt;"acoes")))*INDEX(Inputs!$K$5:$AJ$120,0,MATCH(X$2,Inputs!$K$4:$AJ$4,0)))+SUMPRODUCT((Inputs!$E$5:$E$120=$B36)*Inputs!$F$5:$F$120*(((Inputs!$G$5:$G$120="moeda")+(Inputs!$G$5:$G$120="acoes"))*Inputs!$B$1+((Inputs!$G$5:$G$120&lt;&gt;"moeda")*(Inputs!$G$5:$G$120&lt;&gt;"acoes")))*INDEX(Inputs!$K$5:$AJ$120,0,MATCH(X$2,Inputs!$K$4:$AJ$4,0)))))</f>
        <v>659</v>
      </c>
      <c r="Y36" s="267">
        <f>IF(ISNA(MATCH(Y$2,Inputs!$K$4:$AJ$4,0)),NA(),IF(SUMPRODUCT((Inputs!$A$5:$A$120=$B36)*ISNUMBER(INDEX(Inputs!$K$5:$AJ$120,0,MATCH(Y$2,Inputs!$K$4:$AJ$4,0))))+SUMPRODUCT((Inputs!$C$5:$C$120=$B36)*ISNUMBER(INDEX(Inputs!$K$5:$AJ$120,0,MATCH(Y$2,Inputs!$K$4:$AJ$4,0))))+SUMPRODUCT((Inputs!$E$5:$E$120=$B36)*ISNUMBER(INDEX(Inputs!$K$5:$AJ$120,0,MATCH(Y$2,Inputs!$K$4:$AJ$4,0))))=0,NA(),SUMPRODUCT((Inputs!$A$5:$A$120=$B36)*Inputs!$B$5:$B$120*(((Inputs!$G$5:$G$120="moeda")+(Inputs!$G$5:$G$120="acoes"))*Inputs!$B$1+((Inputs!$G$5:$G$120&lt;&gt;"moeda")*(Inputs!$G$5:$G$120&lt;&gt;"acoes")))*INDEX(Inputs!$K$5:$AJ$120,0,MATCH(Y$2,Inputs!$K$4:$AJ$4,0)))+SUMPRODUCT((Inputs!$C$5:$C$120=$B36)*Inputs!$D$5:$D$120*(((Inputs!$G$5:$G$120="moeda")+(Inputs!$G$5:$G$120="acoes"))*Inputs!$B$1+((Inputs!$G$5:$G$120&lt;&gt;"moeda")*(Inputs!$G$5:$G$120&lt;&gt;"acoes")))*INDEX(Inputs!$K$5:$AJ$120,0,MATCH(Y$2,Inputs!$K$4:$AJ$4,0)))+SUMPRODUCT((Inputs!$E$5:$E$120=$B36)*Inputs!$F$5:$F$120*(((Inputs!$G$5:$G$120="moeda")+(Inputs!$G$5:$G$120="acoes"))*Inputs!$B$1+((Inputs!$G$5:$G$120&lt;&gt;"moeda")*(Inputs!$G$5:$G$120&lt;&gt;"acoes")))*INDEX(Inputs!$K$5:$AJ$120,0,MATCH(Y$2,Inputs!$K$4:$AJ$4,0)))))</f>
        <v>662</v>
      </c>
      <c r="Z36" s="267">
        <f>IF(ISNA(MATCH(Z$2,Inputs!$K$4:$AJ$4,0)),NA(),IF(SUMPRODUCT((Inputs!$A$5:$A$120=$B36)*ISNUMBER(INDEX(Inputs!$K$5:$AJ$120,0,MATCH(Z$2,Inputs!$K$4:$AJ$4,0))))+SUMPRODUCT((Inputs!$C$5:$C$120=$B36)*ISNUMBER(INDEX(Inputs!$K$5:$AJ$120,0,MATCH(Z$2,Inputs!$K$4:$AJ$4,0))))+SUMPRODUCT((Inputs!$E$5:$E$120=$B36)*ISNUMBER(INDEX(Inputs!$K$5:$AJ$120,0,MATCH(Z$2,Inputs!$K$4:$AJ$4,0))))=0,NA(),SUMPRODUCT((Inputs!$A$5:$A$120=$B36)*Inputs!$B$5:$B$120*(((Inputs!$G$5:$G$120="moeda")+(Inputs!$G$5:$G$120="acoes"))*Inputs!$B$1+((Inputs!$G$5:$G$120&lt;&gt;"moeda")*(Inputs!$G$5:$G$120&lt;&gt;"acoes")))*INDEX(Inputs!$K$5:$AJ$120,0,MATCH(Z$2,Inputs!$K$4:$AJ$4,0)))+SUMPRODUCT((Inputs!$C$5:$C$120=$B36)*Inputs!$D$5:$D$120*(((Inputs!$G$5:$G$120="moeda")+(Inputs!$G$5:$G$120="acoes"))*Inputs!$B$1+((Inputs!$G$5:$G$120&lt;&gt;"moeda")*(Inputs!$G$5:$G$120&lt;&gt;"acoes")))*INDEX(Inputs!$K$5:$AJ$120,0,MATCH(Z$2,Inputs!$K$4:$AJ$4,0)))+SUMPRODUCT((Inputs!$E$5:$E$120=$B36)*Inputs!$F$5:$F$120*(((Inputs!$G$5:$G$120="moeda")+(Inputs!$G$5:$G$120="acoes"))*Inputs!$B$1+((Inputs!$G$5:$G$120&lt;&gt;"moeda")*(Inputs!$G$5:$G$120&lt;&gt;"acoes")))*INDEX(Inputs!$K$5:$AJ$120,0,MATCH(Z$2,Inputs!$K$4:$AJ$4,0)))))</f>
        <v>1152</v>
      </c>
      <c r="AA36" s="267">
        <f>IF(ISNA(MATCH(AA$2,Inputs!$K$4:$AJ$4,0)),NA(),IF(SUMPRODUCT((Inputs!$A$5:$A$120=$B36)*ISNUMBER(INDEX(Inputs!$K$5:$AJ$120,0,MATCH(AA$2,Inputs!$K$4:$AJ$4,0))))+SUMPRODUCT((Inputs!$C$5:$C$120=$B36)*ISNUMBER(INDEX(Inputs!$K$5:$AJ$120,0,MATCH(AA$2,Inputs!$K$4:$AJ$4,0))))+SUMPRODUCT((Inputs!$E$5:$E$120=$B36)*ISNUMBER(INDEX(Inputs!$K$5:$AJ$120,0,MATCH(AA$2,Inputs!$K$4:$AJ$4,0))))=0,NA(),SUMPRODUCT((Inputs!$A$5:$A$120=$B36)*Inputs!$B$5:$B$120*(((Inputs!$G$5:$G$120="moeda")+(Inputs!$G$5:$G$120="acoes"))*Inputs!$B$1+((Inputs!$G$5:$G$120&lt;&gt;"moeda")*(Inputs!$G$5:$G$120&lt;&gt;"acoes")))*INDEX(Inputs!$K$5:$AJ$120,0,MATCH(AA$2,Inputs!$K$4:$AJ$4,0)))+SUMPRODUCT((Inputs!$C$5:$C$120=$B36)*Inputs!$D$5:$D$120*(((Inputs!$G$5:$G$120="moeda")+(Inputs!$G$5:$G$120="acoes"))*Inputs!$B$1+((Inputs!$G$5:$G$120&lt;&gt;"moeda")*(Inputs!$G$5:$G$120&lt;&gt;"acoes")))*INDEX(Inputs!$K$5:$AJ$120,0,MATCH(AA$2,Inputs!$K$4:$AJ$4,0)))+SUMPRODUCT((Inputs!$E$5:$E$120=$B36)*Inputs!$F$5:$F$120*(((Inputs!$G$5:$G$120="moeda")+(Inputs!$G$5:$G$120="acoes"))*Inputs!$B$1+((Inputs!$G$5:$G$120&lt;&gt;"moeda")*(Inputs!$G$5:$G$120&lt;&gt;"acoes")))*INDEX(Inputs!$K$5:$AJ$120,0,MATCH(AA$2,Inputs!$K$4:$AJ$4,0)))))</f>
        <v>1097</v>
      </c>
      <c r="AB36" s="268">
        <f>AA36</f>
        <v>1097</v>
      </c>
      <c r="AC36" s="267">
        <f>IF(ISNA(MATCH(AC$2,Inputs!$K$4:$AJ$4,0)),NA(),IF(SUMPRODUCT((Inputs!$A$5:$A$120=$B36)*ISNUMBER(INDEX(Inputs!$K$5:$AJ$120,0,MATCH(AC$2,Inputs!$K$4:$AJ$4,0))))+SUMPRODUCT((Inputs!$C$5:$C$120=$B36)*ISNUMBER(INDEX(Inputs!$K$5:$AJ$120,0,MATCH(AC$2,Inputs!$K$4:$AJ$4,0))))+SUMPRODUCT((Inputs!$E$5:$E$120=$B36)*ISNUMBER(INDEX(Inputs!$K$5:$AJ$120,0,MATCH(AC$2,Inputs!$K$4:$AJ$4,0))))=0,NA(),SUMPRODUCT((Inputs!$A$5:$A$120=$B36)*Inputs!$B$5:$B$120*(((Inputs!$G$5:$G$120="moeda")+(Inputs!$G$5:$G$120="acoes"))*Inputs!$B$1+((Inputs!$G$5:$G$120&lt;&gt;"moeda")*(Inputs!$G$5:$G$120&lt;&gt;"acoes")))*INDEX(Inputs!$K$5:$AJ$120,0,MATCH(AC$2,Inputs!$K$4:$AJ$4,0)))+SUMPRODUCT((Inputs!$C$5:$C$120=$B36)*Inputs!$D$5:$D$120*(((Inputs!$G$5:$G$120="moeda")+(Inputs!$G$5:$G$120="acoes"))*Inputs!$B$1+((Inputs!$G$5:$G$120&lt;&gt;"moeda")*(Inputs!$G$5:$G$120&lt;&gt;"acoes")))*INDEX(Inputs!$K$5:$AJ$120,0,MATCH(AC$2,Inputs!$K$4:$AJ$4,0)))+SUMPRODUCT((Inputs!$E$5:$E$120=$B36)*Inputs!$F$5:$F$120*(((Inputs!$G$5:$G$120="moeda")+(Inputs!$G$5:$G$120="acoes"))*Inputs!$B$1+((Inputs!$G$5:$G$120&lt;&gt;"moeda")*(Inputs!$G$5:$G$120&lt;&gt;"acoes")))*INDEX(Inputs!$K$5:$AJ$120,0,MATCH(AC$2,Inputs!$K$4:$AJ$4,0)))))</f>
        <v>1135</v>
      </c>
      <c r="AD36" s="267">
        <f>IF(ISNA(MATCH(AD$2,Inputs!$K$4:$AJ$4,0)),NA(),IF(SUMPRODUCT((Inputs!$A$5:$A$120=$B36)*ISNUMBER(INDEX(Inputs!$K$5:$AJ$120,0,MATCH(AD$2,Inputs!$K$4:$AJ$4,0))))+SUMPRODUCT((Inputs!$C$5:$C$120=$B36)*ISNUMBER(INDEX(Inputs!$K$5:$AJ$120,0,MATCH(AD$2,Inputs!$K$4:$AJ$4,0))))+SUMPRODUCT((Inputs!$E$5:$E$120=$B36)*ISNUMBER(INDEX(Inputs!$K$5:$AJ$120,0,MATCH(AD$2,Inputs!$K$4:$AJ$4,0))))=0,NA(),SUMPRODUCT((Inputs!$A$5:$A$120=$B36)*Inputs!$B$5:$B$120*(((Inputs!$G$5:$G$120="moeda")+(Inputs!$G$5:$G$120="acoes"))*Inputs!$B$1+((Inputs!$G$5:$G$120&lt;&gt;"moeda")*(Inputs!$G$5:$G$120&lt;&gt;"acoes")))*INDEX(Inputs!$K$5:$AJ$120,0,MATCH(AD$2,Inputs!$K$4:$AJ$4,0)))+SUMPRODUCT((Inputs!$C$5:$C$120=$B36)*Inputs!$D$5:$D$120*(((Inputs!$G$5:$G$120="moeda")+(Inputs!$G$5:$G$120="acoes"))*Inputs!$B$1+((Inputs!$G$5:$G$120&lt;&gt;"moeda")*(Inputs!$G$5:$G$120&lt;&gt;"acoes")))*INDEX(Inputs!$K$5:$AJ$120,0,MATCH(AD$2,Inputs!$K$4:$AJ$4,0)))+SUMPRODUCT((Inputs!$E$5:$E$120=$B36)*Inputs!$F$5:$F$120*(((Inputs!$G$5:$G$120="moeda")+(Inputs!$G$5:$G$120="acoes"))*Inputs!$B$1+((Inputs!$G$5:$G$120&lt;&gt;"moeda")*(Inputs!$G$5:$G$120&lt;&gt;"acoes")))*INDEX(Inputs!$K$5:$AJ$120,0,MATCH(AD$2,Inputs!$K$4:$AJ$4,0)))))</f>
        <v>1096</v>
      </c>
      <c r="AE36" s="267" t="e">
        <f>IF(ISNA(MATCH(AE$2,Inputs!$K$4:$AJ$4,0)),NA(),IF(SUMPRODUCT((Inputs!$A$5:$A$120=$B36)*ISNUMBER(INDEX(Inputs!$K$5:$AJ$120,0,MATCH(AE$2,Inputs!$K$4:$AJ$4,0))))+SUMPRODUCT((Inputs!$C$5:$C$120=$B36)*ISNUMBER(INDEX(Inputs!$K$5:$AJ$120,0,MATCH(AE$2,Inputs!$K$4:$AJ$4,0))))+SUMPRODUCT((Inputs!$E$5:$E$120=$B36)*ISNUMBER(INDEX(Inputs!$K$5:$AJ$120,0,MATCH(AE$2,Inputs!$K$4:$AJ$4,0))))=0,NA(),SUMPRODUCT((Inputs!$A$5:$A$120=$B36)*Inputs!$B$5:$B$120*(((Inputs!$G$5:$G$120="moeda")+(Inputs!$G$5:$G$120="acoes"))*Inputs!$B$1+((Inputs!$G$5:$G$120&lt;&gt;"moeda")*(Inputs!$G$5:$G$120&lt;&gt;"acoes")))*INDEX(Inputs!$K$5:$AJ$120,0,MATCH(AE$2,Inputs!$K$4:$AJ$4,0)))+SUMPRODUCT((Inputs!$C$5:$C$120=$B36)*Inputs!$D$5:$D$120*(((Inputs!$G$5:$G$120="moeda")+(Inputs!$G$5:$G$120="acoes"))*Inputs!$B$1+((Inputs!$G$5:$G$120&lt;&gt;"moeda")*(Inputs!$G$5:$G$120&lt;&gt;"acoes")))*INDEX(Inputs!$K$5:$AJ$120,0,MATCH(AE$2,Inputs!$K$4:$AJ$4,0)))+SUMPRODUCT((Inputs!$E$5:$E$120=$B36)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6" s="267" t="e">
        <f>IF(ISNA(MATCH(AF$2,Inputs!$K$4:$AJ$4,0)),NA(),IF(SUMPRODUCT((Inputs!$A$5:$A$120=$B36)*ISNUMBER(INDEX(Inputs!$K$5:$AJ$120,0,MATCH(AF$2,Inputs!$K$4:$AJ$4,0))))+SUMPRODUCT((Inputs!$C$5:$C$120=$B36)*ISNUMBER(INDEX(Inputs!$K$5:$AJ$120,0,MATCH(AF$2,Inputs!$K$4:$AJ$4,0))))+SUMPRODUCT((Inputs!$E$5:$E$120=$B36)*ISNUMBER(INDEX(Inputs!$K$5:$AJ$120,0,MATCH(AF$2,Inputs!$K$4:$AJ$4,0))))=0,NA(),SUMPRODUCT((Inputs!$A$5:$A$120=$B36)*Inputs!$B$5:$B$120*(((Inputs!$G$5:$G$120="moeda")+(Inputs!$G$5:$G$120="acoes"))*Inputs!$B$1+((Inputs!$G$5:$G$120&lt;&gt;"moeda")*(Inputs!$G$5:$G$120&lt;&gt;"acoes")))*INDEX(Inputs!$K$5:$AJ$120,0,MATCH(AF$2,Inputs!$K$4:$AJ$4,0)))+SUMPRODUCT((Inputs!$C$5:$C$120=$B36)*Inputs!$D$5:$D$120*(((Inputs!$G$5:$G$120="moeda")+(Inputs!$G$5:$G$120="acoes"))*Inputs!$B$1+((Inputs!$G$5:$G$120&lt;&gt;"moeda")*(Inputs!$G$5:$G$120&lt;&gt;"acoes")))*INDEX(Inputs!$K$5:$AJ$120,0,MATCH(AF$2,Inputs!$K$4:$AJ$4,0)))+SUMPRODUCT((Inputs!$E$5:$E$120=$B36)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6" s="268" t="e">
        <f>AF36</f>
        <v>#N/A</v>
      </c>
      <c r="AH36" s="267">
        <f>IF(ISNA(MATCH(AH$2,Inputs!$K$4:$AJ$4,0)),NA(),IF(SUMPRODUCT((Inputs!$A$5:$A$120=$B36)*ISNUMBER(INDEX(Inputs!$K$5:$AJ$120,0,MATCH(AH$2,Inputs!$K$4:$AJ$4,0))))+SUMPRODUCT((Inputs!$C$5:$C$120=$B36)*ISNUMBER(INDEX(Inputs!$K$5:$AJ$120,0,MATCH(AH$2,Inputs!$K$4:$AJ$4,0))))+SUMPRODUCT((Inputs!$E$5:$E$120=$B36)*ISNUMBER(INDEX(Inputs!$K$5:$AJ$120,0,MATCH(AH$2,Inputs!$K$4:$AJ$4,0))))=0,NA(),SUMPRODUCT((Inputs!$A$5:$A$120=$B36)*Inputs!$B$5:$B$120*(((Inputs!$G$5:$G$120="moeda")+(Inputs!$G$5:$G$120="acoes"))*Inputs!$B$1+((Inputs!$G$5:$G$120&lt;&gt;"moeda")*(Inputs!$G$5:$G$120&lt;&gt;"acoes")))*INDEX(Inputs!$K$5:$AJ$120,0,MATCH(AH$2,Inputs!$K$4:$AJ$4,0)))+SUMPRODUCT((Inputs!$C$5:$C$120=$B36)*Inputs!$D$5:$D$120*(((Inputs!$G$5:$G$120="moeda")+(Inputs!$G$5:$G$120="acoes"))*Inputs!$B$1+((Inputs!$G$5:$G$120&lt;&gt;"moeda")*(Inputs!$G$5:$G$120&lt;&gt;"acoes")))*INDEX(Inputs!$K$5:$AJ$120,0,MATCH(AH$2,Inputs!$K$4:$AJ$4,0)))+SUMPRODUCT((Inputs!$E$5:$E$120=$B36)*Inputs!$F$5:$F$120*(((Inputs!$G$5:$G$120="moeda")+(Inputs!$G$5:$G$120="acoes"))*Inputs!$B$1+((Inputs!$G$5:$G$120&lt;&gt;"moeda")*(Inputs!$G$5:$G$120&lt;&gt;"acoes")))*INDEX(Inputs!$K$5:$AJ$120,0,MATCH(AH$2,Inputs!$K$4:$AJ$4,0)))))</f>
        <v>494</v>
      </c>
      <c r="AI36" s="267">
        <f>IF(ISNA(MATCH(AI$2,Inputs!$K$4:$AJ$4,0)),NA(),IF(SUMPRODUCT((Inputs!$A$5:$A$120=$B36)*ISNUMBER(INDEX(Inputs!$K$5:$AJ$120,0,MATCH(AI$2,Inputs!$K$4:$AJ$4,0))))+SUMPRODUCT((Inputs!$C$5:$C$120=$B36)*ISNUMBER(INDEX(Inputs!$K$5:$AJ$120,0,MATCH(AI$2,Inputs!$K$4:$AJ$4,0))))+SUMPRODUCT((Inputs!$E$5:$E$120=$B36)*ISNUMBER(INDEX(Inputs!$K$5:$AJ$120,0,MATCH(AI$2,Inputs!$K$4:$AJ$4,0))))=0,NA(),SUMPRODUCT((Inputs!$A$5:$A$120=$B36)*Inputs!$B$5:$B$120*(((Inputs!$G$5:$G$120="moeda")+(Inputs!$G$5:$G$120="acoes"))*Inputs!$B$1+((Inputs!$G$5:$G$120&lt;&gt;"moeda")*(Inputs!$G$5:$G$120&lt;&gt;"acoes")))*INDEX(Inputs!$K$5:$AJ$120,0,MATCH(AI$2,Inputs!$K$4:$AJ$4,0)))+SUMPRODUCT((Inputs!$C$5:$C$120=$B36)*Inputs!$D$5:$D$120*(((Inputs!$G$5:$G$120="moeda")+(Inputs!$G$5:$G$120="acoes"))*Inputs!$B$1+((Inputs!$G$5:$G$120&lt;&gt;"moeda")*(Inputs!$G$5:$G$120&lt;&gt;"acoes")))*INDEX(Inputs!$K$5:$AJ$120,0,MATCH(AI$2,Inputs!$K$4:$AJ$4,0)))+SUMPRODUCT((Inputs!$E$5:$E$120=$B36)*Inputs!$F$5:$F$120*(((Inputs!$G$5:$G$120="moeda")+(Inputs!$G$5:$G$120="acoes"))*Inputs!$B$1+((Inputs!$G$5:$G$120&lt;&gt;"moeda")*(Inputs!$G$5:$G$120&lt;&gt;"acoes")))*INDEX(Inputs!$K$5:$AJ$120,0,MATCH(AI$2,Inputs!$K$4:$AJ$4,0)))))</f>
        <v>503</v>
      </c>
      <c r="AJ36" s="267">
        <f>IF(ISNA(MATCH(AJ$2,Inputs!$K$4:$AJ$4,0)),NA(),IF(SUMPRODUCT((Inputs!$A$5:$A$120=$B36)*ISNUMBER(INDEX(Inputs!$K$5:$AJ$120,0,MATCH(AJ$2,Inputs!$K$4:$AJ$4,0))))+SUMPRODUCT((Inputs!$C$5:$C$120=$B36)*ISNUMBER(INDEX(Inputs!$K$5:$AJ$120,0,MATCH(AJ$2,Inputs!$K$4:$AJ$4,0))))+SUMPRODUCT((Inputs!$E$5:$E$120=$B36)*ISNUMBER(INDEX(Inputs!$K$5:$AJ$120,0,MATCH(AJ$2,Inputs!$K$4:$AJ$4,0))))=0,NA(),SUMPRODUCT((Inputs!$A$5:$A$120=$B36)*Inputs!$B$5:$B$120*(((Inputs!$G$5:$G$120="moeda")+(Inputs!$G$5:$G$120="acoes"))*Inputs!$B$1+((Inputs!$G$5:$G$120&lt;&gt;"moeda")*(Inputs!$G$5:$G$120&lt;&gt;"acoes")))*INDEX(Inputs!$K$5:$AJ$120,0,MATCH(AJ$2,Inputs!$K$4:$AJ$4,0)))+SUMPRODUCT((Inputs!$C$5:$C$120=$B36)*Inputs!$D$5:$D$120*(((Inputs!$G$5:$G$120="moeda")+(Inputs!$G$5:$G$120="acoes"))*Inputs!$B$1+((Inputs!$G$5:$G$120&lt;&gt;"moeda")*(Inputs!$G$5:$G$120&lt;&gt;"acoes")))*INDEX(Inputs!$K$5:$AJ$120,0,MATCH(AJ$2,Inputs!$K$4:$AJ$4,0)))+SUMPRODUCT((Inputs!$E$5:$E$120=$B36)*Inputs!$F$5:$F$120*(((Inputs!$G$5:$G$120="moeda")+(Inputs!$G$5:$G$120="acoes"))*Inputs!$B$1+((Inputs!$G$5:$G$120&lt;&gt;"moeda")*(Inputs!$G$5:$G$120&lt;&gt;"acoes")))*INDEX(Inputs!$K$5:$AJ$120,0,MATCH(AJ$2,Inputs!$K$4:$AJ$4,0)))))</f>
        <v>584</v>
      </c>
      <c r="AK36" s="267">
        <f>IF(ISNA(MATCH(AK$2,Inputs!$K$4:$AJ$4,0)),NA(),IF(SUMPRODUCT((Inputs!$A$5:$A$120=$B36)*ISNUMBER(INDEX(Inputs!$K$5:$AJ$120,0,MATCH(AK$2,Inputs!$K$4:$AJ$4,0))))+SUMPRODUCT((Inputs!$C$5:$C$120=$B36)*ISNUMBER(INDEX(Inputs!$K$5:$AJ$120,0,MATCH(AK$2,Inputs!$K$4:$AJ$4,0))))+SUMPRODUCT((Inputs!$E$5:$E$120=$B36)*ISNUMBER(INDEX(Inputs!$K$5:$AJ$120,0,MATCH(AK$2,Inputs!$K$4:$AJ$4,0))))=0,NA(),SUMPRODUCT((Inputs!$A$5:$A$120=$B36)*Inputs!$B$5:$B$120*(((Inputs!$G$5:$G$120="moeda")+(Inputs!$G$5:$G$120="acoes"))*Inputs!$B$1+((Inputs!$G$5:$G$120&lt;&gt;"moeda")*(Inputs!$G$5:$G$120&lt;&gt;"acoes")))*INDEX(Inputs!$K$5:$AJ$120,0,MATCH(AK$2,Inputs!$K$4:$AJ$4,0)))+SUMPRODUCT((Inputs!$C$5:$C$120=$B36)*Inputs!$D$5:$D$120*(((Inputs!$G$5:$G$120="moeda")+(Inputs!$G$5:$G$120="acoes"))*Inputs!$B$1+((Inputs!$G$5:$G$120&lt;&gt;"moeda")*(Inputs!$G$5:$G$120&lt;&gt;"acoes")))*INDEX(Inputs!$K$5:$AJ$120,0,MATCH(AK$2,Inputs!$K$4:$AJ$4,0)))+SUMPRODUCT((Inputs!$E$5:$E$120=$B36)*Inputs!$F$5:$F$120*(((Inputs!$G$5:$G$120="moeda")+(Inputs!$G$5:$G$120="acoes"))*Inputs!$B$1+((Inputs!$G$5:$G$120&lt;&gt;"moeda")*(Inputs!$G$5:$G$120&lt;&gt;"acoes")))*INDEX(Inputs!$K$5:$AJ$120,0,MATCH(AK$2,Inputs!$K$4:$AJ$4,0)))))</f>
        <v>581</v>
      </c>
      <c r="AL36" s="268">
        <f>AK36</f>
        <v>581</v>
      </c>
    </row>
    <row r="37" ht="12.75" customHeight="1" s="255">
      <c r="B37" s="265" t="n">
        <v>32</v>
      </c>
      <c r="C37" s="270" t="inlineStr">
        <is>
          <t>Convertible debt</t>
        </is>
      </c>
      <c r="D37" s="267">
        <f>IF(ISNA(MATCH(D$2,Inputs!$K$4:$AJ$4,0)),NA(),IF(SUMPRODUCT((Inputs!$A$5:$A$120=$B37)*ISNUMBER(INDEX(Inputs!$K$5:$AJ$120,0,MATCH(D$2,Inputs!$K$4:$AJ$4,0))))+SUMPRODUCT((Inputs!$C$5:$C$120=$B37)*ISNUMBER(INDEX(Inputs!$K$5:$AJ$120,0,MATCH(D$2,Inputs!$K$4:$AJ$4,0))))+SUMPRODUCT((Inputs!$E$5:$E$120=$B37)*ISNUMBER(INDEX(Inputs!$K$5:$AJ$120,0,MATCH(D$2,Inputs!$K$4:$AJ$4,0))))=0,NA(),SUMPRODUCT((Inputs!$A$5:$A$120=$B37)*Inputs!$B$5:$B$120*(((Inputs!$G$5:$G$120="moeda")+(Inputs!$G$5:$G$120="acoes"))*Inputs!$B$1+((Inputs!$G$5:$G$120&lt;&gt;"moeda")*(Inputs!$G$5:$G$120&lt;&gt;"acoes")))*INDEX(Inputs!$K$5:$AJ$120,0,MATCH(D$2,Inputs!$K$4:$AJ$4,0)))+SUMPRODUCT((Inputs!$C$5:$C$120=$B37)*Inputs!$D$5:$D$120*(((Inputs!$G$5:$G$120="moeda")+(Inputs!$G$5:$G$120="acoes"))*Inputs!$B$1+((Inputs!$G$5:$G$120&lt;&gt;"moeda")*(Inputs!$G$5:$G$120&lt;&gt;"acoes")))*INDEX(Inputs!$K$5:$AJ$120,0,MATCH(D$2,Inputs!$K$4:$AJ$4,0)))+SUMPRODUCT((Inputs!$E$5:$E$120=$B37)*Inputs!$F$5:$F$120*(((Inputs!$G$5:$G$120="moeda")+(Inputs!$G$5:$G$120="acoes"))*Inputs!$B$1+((Inputs!$G$5:$G$120&lt;&gt;"moeda")*(Inputs!$G$5:$G$120&lt;&gt;"acoes")))*INDEX(Inputs!$K$5:$AJ$120,0,MATCH(D$2,Inputs!$K$4:$AJ$4,0)))))</f>
        <v>0</v>
      </c>
      <c r="E37" s="267">
        <f>IF(ISNA(MATCH(E$2,Inputs!$K$4:$AJ$4,0)),NA(),IF(SUMPRODUCT((Inputs!$A$5:$A$120=$B37)*ISNUMBER(INDEX(Inputs!$K$5:$AJ$120,0,MATCH(E$2,Inputs!$K$4:$AJ$4,0))))+SUMPRODUCT((Inputs!$C$5:$C$120=$B37)*ISNUMBER(INDEX(Inputs!$K$5:$AJ$120,0,MATCH(E$2,Inputs!$K$4:$AJ$4,0))))+SUMPRODUCT((Inputs!$E$5:$E$120=$B37)*ISNUMBER(INDEX(Inputs!$K$5:$AJ$120,0,MATCH(E$2,Inputs!$K$4:$AJ$4,0))))=0,NA(),SUMPRODUCT((Inputs!$A$5:$A$120=$B37)*Inputs!$B$5:$B$120*(((Inputs!$G$5:$G$120="moeda")+(Inputs!$G$5:$G$120="acoes"))*Inputs!$B$1+((Inputs!$G$5:$G$120&lt;&gt;"moeda")*(Inputs!$G$5:$G$120&lt;&gt;"acoes")))*INDEX(Inputs!$K$5:$AJ$120,0,MATCH(E$2,Inputs!$K$4:$AJ$4,0)))+SUMPRODUCT((Inputs!$C$5:$C$120=$B37)*Inputs!$D$5:$D$120*(((Inputs!$G$5:$G$120="moeda")+(Inputs!$G$5:$G$120="acoes"))*Inputs!$B$1+((Inputs!$G$5:$G$120&lt;&gt;"moeda")*(Inputs!$G$5:$G$120&lt;&gt;"acoes")))*INDEX(Inputs!$K$5:$AJ$120,0,MATCH(E$2,Inputs!$K$4:$AJ$4,0)))+SUMPRODUCT((Inputs!$E$5:$E$120=$B37)*Inputs!$F$5:$F$120*(((Inputs!$G$5:$G$120="moeda")+(Inputs!$G$5:$G$120="acoes"))*Inputs!$B$1+((Inputs!$G$5:$G$120&lt;&gt;"moeda")*(Inputs!$G$5:$G$120&lt;&gt;"acoes")))*INDEX(Inputs!$K$5:$AJ$120,0,MATCH(E$2,Inputs!$K$4:$AJ$4,0)))))</f>
        <v>0</v>
      </c>
      <c r="F37" s="267">
        <f>IF(ISNA(MATCH(F$2,Inputs!$K$4:$AJ$4,0)),NA(),IF(SUMPRODUCT((Inputs!$A$5:$A$120=$B37)*ISNUMBER(INDEX(Inputs!$K$5:$AJ$120,0,MATCH(F$2,Inputs!$K$4:$AJ$4,0))))+SUMPRODUCT((Inputs!$C$5:$C$120=$B37)*ISNUMBER(INDEX(Inputs!$K$5:$AJ$120,0,MATCH(F$2,Inputs!$K$4:$AJ$4,0))))+SUMPRODUCT((Inputs!$E$5:$E$120=$B37)*ISNUMBER(INDEX(Inputs!$K$5:$AJ$120,0,MATCH(F$2,Inputs!$K$4:$AJ$4,0))))=0,NA(),SUMPRODUCT((Inputs!$A$5:$A$120=$B37)*Inputs!$B$5:$B$120*(((Inputs!$G$5:$G$120="moeda")+(Inputs!$G$5:$G$120="acoes"))*Inputs!$B$1+((Inputs!$G$5:$G$120&lt;&gt;"moeda")*(Inputs!$G$5:$G$120&lt;&gt;"acoes")))*INDEX(Inputs!$K$5:$AJ$120,0,MATCH(F$2,Inputs!$K$4:$AJ$4,0)))+SUMPRODUCT((Inputs!$C$5:$C$120=$B37)*Inputs!$D$5:$D$120*(((Inputs!$G$5:$G$120="moeda")+(Inputs!$G$5:$G$120="acoes"))*Inputs!$B$1+((Inputs!$G$5:$G$120&lt;&gt;"moeda")*(Inputs!$G$5:$G$120&lt;&gt;"acoes")))*INDEX(Inputs!$K$5:$AJ$120,0,MATCH(F$2,Inputs!$K$4:$AJ$4,0)))+SUMPRODUCT((Inputs!$E$5:$E$120=$B37)*Inputs!$F$5:$F$120*(((Inputs!$G$5:$G$120="moeda")+(Inputs!$G$5:$G$120="acoes"))*Inputs!$B$1+((Inputs!$G$5:$G$120&lt;&gt;"moeda")*(Inputs!$G$5:$G$120&lt;&gt;"acoes")))*INDEX(Inputs!$K$5:$AJ$120,0,MATCH(F$2,Inputs!$K$4:$AJ$4,0)))))</f>
        <v>0</v>
      </c>
      <c r="G37" s="267">
        <f>IF(ISNA(MATCH(G$2,Inputs!$K$4:$AJ$4,0)),NA(),IF(SUMPRODUCT((Inputs!$A$5:$A$120=$B37)*ISNUMBER(INDEX(Inputs!$K$5:$AJ$120,0,MATCH(G$2,Inputs!$K$4:$AJ$4,0))))+SUMPRODUCT((Inputs!$C$5:$C$120=$B37)*ISNUMBER(INDEX(Inputs!$K$5:$AJ$120,0,MATCH(G$2,Inputs!$K$4:$AJ$4,0))))+SUMPRODUCT((Inputs!$E$5:$E$120=$B37)*ISNUMBER(INDEX(Inputs!$K$5:$AJ$120,0,MATCH(G$2,Inputs!$K$4:$AJ$4,0))))=0,NA(),SUMPRODUCT((Inputs!$A$5:$A$120=$B37)*Inputs!$B$5:$B$120*(((Inputs!$G$5:$G$120="moeda")+(Inputs!$G$5:$G$120="acoes"))*Inputs!$B$1+((Inputs!$G$5:$G$120&lt;&gt;"moeda")*(Inputs!$G$5:$G$120&lt;&gt;"acoes")))*INDEX(Inputs!$K$5:$AJ$120,0,MATCH(G$2,Inputs!$K$4:$AJ$4,0)))+SUMPRODUCT((Inputs!$C$5:$C$120=$B37)*Inputs!$D$5:$D$120*(((Inputs!$G$5:$G$120="moeda")+(Inputs!$G$5:$G$120="acoes"))*Inputs!$B$1+((Inputs!$G$5:$G$120&lt;&gt;"moeda")*(Inputs!$G$5:$G$120&lt;&gt;"acoes")))*INDEX(Inputs!$K$5:$AJ$120,0,MATCH(G$2,Inputs!$K$4:$AJ$4,0)))+SUMPRODUCT((Inputs!$E$5:$E$120=$B37)*Inputs!$F$5:$F$120*(((Inputs!$G$5:$G$120="moeda")+(Inputs!$G$5:$G$120="acoes"))*Inputs!$B$1+((Inputs!$G$5:$G$120&lt;&gt;"moeda")*(Inputs!$G$5:$G$120&lt;&gt;"acoes")))*INDEX(Inputs!$K$5:$AJ$120,0,MATCH(G$2,Inputs!$K$4:$AJ$4,0)))))</f>
        <v>0</v>
      </c>
      <c r="H37" s="268">
        <f>G37</f>
        <v>0</v>
      </c>
      <c r="I37" s="267">
        <f>IF(ISNA(MATCH(I$2,Inputs!$K$4:$AJ$4,0)),NA(),IF(SUMPRODUCT((Inputs!$A$5:$A$120=$B37)*ISNUMBER(INDEX(Inputs!$K$5:$AJ$120,0,MATCH(I$2,Inputs!$K$4:$AJ$4,0))))+SUMPRODUCT((Inputs!$C$5:$C$120=$B37)*ISNUMBER(INDEX(Inputs!$K$5:$AJ$120,0,MATCH(I$2,Inputs!$K$4:$AJ$4,0))))+SUMPRODUCT((Inputs!$E$5:$E$120=$B37)*ISNUMBER(INDEX(Inputs!$K$5:$AJ$120,0,MATCH(I$2,Inputs!$K$4:$AJ$4,0))))=0,NA(),SUMPRODUCT((Inputs!$A$5:$A$120=$B37)*Inputs!$B$5:$B$120*(((Inputs!$G$5:$G$120="moeda")+(Inputs!$G$5:$G$120="acoes"))*Inputs!$B$1+((Inputs!$G$5:$G$120&lt;&gt;"moeda")*(Inputs!$G$5:$G$120&lt;&gt;"acoes")))*INDEX(Inputs!$K$5:$AJ$120,0,MATCH(I$2,Inputs!$K$4:$AJ$4,0)))+SUMPRODUCT((Inputs!$C$5:$C$120=$B37)*Inputs!$D$5:$D$120*(((Inputs!$G$5:$G$120="moeda")+(Inputs!$G$5:$G$120="acoes"))*Inputs!$B$1+((Inputs!$G$5:$G$120&lt;&gt;"moeda")*(Inputs!$G$5:$G$120&lt;&gt;"acoes")))*INDEX(Inputs!$K$5:$AJ$120,0,MATCH(I$2,Inputs!$K$4:$AJ$4,0)))+SUMPRODUCT((Inputs!$E$5:$E$120=$B37)*Inputs!$F$5:$F$120*(((Inputs!$G$5:$G$120="moeda")+(Inputs!$G$5:$G$120="acoes"))*Inputs!$B$1+((Inputs!$G$5:$G$120&lt;&gt;"moeda")*(Inputs!$G$5:$G$120&lt;&gt;"acoes")))*INDEX(Inputs!$K$5:$AJ$120,0,MATCH(I$2,Inputs!$K$4:$AJ$4,0)))))</f>
        <v>0</v>
      </c>
      <c r="J37" s="267">
        <f>IF(ISNA(MATCH(J$2,Inputs!$K$4:$AJ$4,0)),NA(),IF(SUMPRODUCT((Inputs!$A$5:$A$120=$B37)*ISNUMBER(INDEX(Inputs!$K$5:$AJ$120,0,MATCH(J$2,Inputs!$K$4:$AJ$4,0))))+SUMPRODUCT((Inputs!$C$5:$C$120=$B37)*ISNUMBER(INDEX(Inputs!$K$5:$AJ$120,0,MATCH(J$2,Inputs!$K$4:$AJ$4,0))))+SUMPRODUCT((Inputs!$E$5:$E$120=$B37)*ISNUMBER(INDEX(Inputs!$K$5:$AJ$120,0,MATCH(J$2,Inputs!$K$4:$AJ$4,0))))=0,NA(),SUMPRODUCT((Inputs!$A$5:$A$120=$B37)*Inputs!$B$5:$B$120*(((Inputs!$G$5:$G$120="moeda")+(Inputs!$G$5:$G$120="acoes"))*Inputs!$B$1+((Inputs!$G$5:$G$120&lt;&gt;"moeda")*(Inputs!$G$5:$G$120&lt;&gt;"acoes")))*INDEX(Inputs!$K$5:$AJ$120,0,MATCH(J$2,Inputs!$K$4:$AJ$4,0)))+SUMPRODUCT((Inputs!$C$5:$C$120=$B37)*Inputs!$D$5:$D$120*(((Inputs!$G$5:$G$120="moeda")+(Inputs!$G$5:$G$120="acoes"))*Inputs!$B$1+((Inputs!$G$5:$G$120&lt;&gt;"moeda")*(Inputs!$G$5:$G$120&lt;&gt;"acoes")))*INDEX(Inputs!$K$5:$AJ$120,0,MATCH(J$2,Inputs!$K$4:$AJ$4,0)))+SUMPRODUCT((Inputs!$E$5:$E$120=$B37)*Inputs!$F$5:$F$120*(((Inputs!$G$5:$G$120="moeda")+(Inputs!$G$5:$G$120="acoes"))*Inputs!$B$1+((Inputs!$G$5:$G$120&lt;&gt;"moeda")*(Inputs!$G$5:$G$120&lt;&gt;"acoes")))*INDEX(Inputs!$K$5:$AJ$120,0,MATCH(J$2,Inputs!$K$4:$AJ$4,0)))))</f>
        <v>0</v>
      </c>
      <c r="K37" s="267">
        <f>IF(ISNA(MATCH(K$2,Inputs!$K$4:$AJ$4,0)),NA(),IF(SUMPRODUCT((Inputs!$A$5:$A$120=$B37)*ISNUMBER(INDEX(Inputs!$K$5:$AJ$120,0,MATCH(K$2,Inputs!$K$4:$AJ$4,0))))+SUMPRODUCT((Inputs!$C$5:$C$120=$B37)*ISNUMBER(INDEX(Inputs!$K$5:$AJ$120,0,MATCH(K$2,Inputs!$K$4:$AJ$4,0))))+SUMPRODUCT((Inputs!$E$5:$E$120=$B37)*ISNUMBER(INDEX(Inputs!$K$5:$AJ$120,0,MATCH(K$2,Inputs!$K$4:$AJ$4,0))))=0,NA(),SUMPRODUCT((Inputs!$A$5:$A$120=$B37)*Inputs!$B$5:$B$120*(((Inputs!$G$5:$G$120="moeda")+(Inputs!$G$5:$G$120="acoes"))*Inputs!$B$1+((Inputs!$G$5:$G$120&lt;&gt;"moeda")*(Inputs!$G$5:$G$120&lt;&gt;"acoes")))*INDEX(Inputs!$K$5:$AJ$120,0,MATCH(K$2,Inputs!$K$4:$AJ$4,0)))+SUMPRODUCT((Inputs!$C$5:$C$120=$B37)*Inputs!$D$5:$D$120*(((Inputs!$G$5:$G$120="moeda")+(Inputs!$G$5:$G$120="acoes"))*Inputs!$B$1+((Inputs!$G$5:$G$120&lt;&gt;"moeda")*(Inputs!$G$5:$G$120&lt;&gt;"acoes")))*INDEX(Inputs!$K$5:$AJ$120,0,MATCH(K$2,Inputs!$K$4:$AJ$4,0)))+SUMPRODUCT((Inputs!$E$5:$E$120=$B37)*Inputs!$F$5:$F$120*(((Inputs!$G$5:$G$120="moeda")+(Inputs!$G$5:$G$120="acoes"))*Inputs!$B$1+((Inputs!$G$5:$G$120&lt;&gt;"moeda")*(Inputs!$G$5:$G$120&lt;&gt;"acoes")))*INDEX(Inputs!$K$5:$AJ$120,0,MATCH(K$2,Inputs!$K$4:$AJ$4,0)))))</f>
        <v>0</v>
      </c>
      <c r="L37" s="267">
        <f>IF(ISNA(MATCH(L$2,Inputs!$K$4:$AJ$4,0)),NA(),IF(SUMPRODUCT((Inputs!$A$5:$A$120=$B37)*ISNUMBER(INDEX(Inputs!$K$5:$AJ$120,0,MATCH(L$2,Inputs!$K$4:$AJ$4,0))))+SUMPRODUCT((Inputs!$C$5:$C$120=$B37)*ISNUMBER(INDEX(Inputs!$K$5:$AJ$120,0,MATCH(L$2,Inputs!$K$4:$AJ$4,0))))+SUMPRODUCT((Inputs!$E$5:$E$120=$B37)*ISNUMBER(INDEX(Inputs!$K$5:$AJ$120,0,MATCH(L$2,Inputs!$K$4:$AJ$4,0))))=0,NA(),SUMPRODUCT((Inputs!$A$5:$A$120=$B37)*Inputs!$B$5:$B$120*(((Inputs!$G$5:$G$120="moeda")+(Inputs!$G$5:$G$120="acoes"))*Inputs!$B$1+((Inputs!$G$5:$G$120&lt;&gt;"moeda")*(Inputs!$G$5:$G$120&lt;&gt;"acoes")))*INDEX(Inputs!$K$5:$AJ$120,0,MATCH(L$2,Inputs!$K$4:$AJ$4,0)))+SUMPRODUCT((Inputs!$C$5:$C$120=$B37)*Inputs!$D$5:$D$120*(((Inputs!$G$5:$G$120="moeda")+(Inputs!$G$5:$G$120="acoes"))*Inputs!$B$1+((Inputs!$G$5:$G$120&lt;&gt;"moeda")*(Inputs!$G$5:$G$120&lt;&gt;"acoes")))*INDEX(Inputs!$K$5:$AJ$120,0,MATCH(L$2,Inputs!$K$4:$AJ$4,0)))+SUMPRODUCT((Inputs!$E$5:$E$120=$B37)*Inputs!$F$5:$F$120*(((Inputs!$G$5:$G$120="moeda")+(Inputs!$G$5:$G$120="acoes"))*Inputs!$B$1+((Inputs!$G$5:$G$120&lt;&gt;"moeda")*(Inputs!$G$5:$G$120&lt;&gt;"acoes")))*INDEX(Inputs!$K$5:$AJ$120,0,MATCH(L$2,Inputs!$K$4:$AJ$4,0)))))</f>
        <v>0</v>
      </c>
      <c r="M37" s="268">
        <f>L37</f>
        <v>0</v>
      </c>
      <c r="N37" s="267">
        <f>IF(ISNA(MATCH(N$2,Inputs!$K$4:$AJ$4,0)),NA(),IF(SUMPRODUCT((Inputs!$A$5:$A$120=$B37)*ISNUMBER(INDEX(Inputs!$K$5:$AJ$120,0,MATCH(N$2,Inputs!$K$4:$AJ$4,0))))+SUMPRODUCT((Inputs!$C$5:$C$120=$B37)*ISNUMBER(INDEX(Inputs!$K$5:$AJ$120,0,MATCH(N$2,Inputs!$K$4:$AJ$4,0))))+SUMPRODUCT((Inputs!$E$5:$E$120=$B37)*ISNUMBER(INDEX(Inputs!$K$5:$AJ$120,0,MATCH(N$2,Inputs!$K$4:$AJ$4,0))))=0,NA(),SUMPRODUCT((Inputs!$A$5:$A$120=$B37)*Inputs!$B$5:$B$120*(((Inputs!$G$5:$G$120="moeda")+(Inputs!$G$5:$G$120="acoes"))*Inputs!$B$1+((Inputs!$G$5:$G$120&lt;&gt;"moeda")*(Inputs!$G$5:$G$120&lt;&gt;"acoes")))*INDEX(Inputs!$K$5:$AJ$120,0,MATCH(N$2,Inputs!$K$4:$AJ$4,0)))+SUMPRODUCT((Inputs!$C$5:$C$120=$B37)*Inputs!$D$5:$D$120*(((Inputs!$G$5:$G$120="moeda")+(Inputs!$G$5:$G$120="acoes"))*Inputs!$B$1+((Inputs!$G$5:$G$120&lt;&gt;"moeda")*(Inputs!$G$5:$G$120&lt;&gt;"acoes")))*INDEX(Inputs!$K$5:$AJ$120,0,MATCH(N$2,Inputs!$K$4:$AJ$4,0)))+SUMPRODUCT((Inputs!$E$5:$E$120=$B37)*Inputs!$F$5:$F$120*(((Inputs!$G$5:$G$120="moeda")+(Inputs!$G$5:$G$120="acoes"))*Inputs!$B$1+((Inputs!$G$5:$G$120&lt;&gt;"moeda")*(Inputs!$G$5:$G$120&lt;&gt;"acoes")))*INDEX(Inputs!$K$5:$AJ$120,0,MATCH(N$2,Inputs!$K$4:$AJ$4,0)))))</f>
        <v>0</v>
      </c>
      <c r="O37" s="267">
        <f>IF(ISNA(MATCH(O$2,Inputs!$K$4:$AJ$4,0)),NA(),IF(SUMPRODUCT((Inputs!$A$5:$A$120=$B37)*ISNUMBER(INDEX(Inputs!$K$5:$AJ$120,0,MATCH(O$2,Inputs!$K$4:$AJ$4,0))))+SUMPRODUCT((Inputs!$C$5:$C$120=$B37)*ISNUMBER(INDEX(Inputs!$K$5:$AJ$120,0,MATCH(O$2,Inputs!$K$4:$AJ$4,0))))+SUMPRODUCT((Inputs!$E$5:$E$120=$B37)*ISNUMBER(INDEX(Inputs!$K$5:$AJ$120,0,MATCH(O$2,Inputs!$K$4:$AJ$4,0))))=0,NA(),SUMPRODUCT((Inputs!$A$5:$A$120=$B37)*Inputs!$B$5:$B$120*(((Inputs!$G$5:$G$120="moeda")+(Inputs!$G$5:$G$120="acoes"))*Inputs!$B$1+((Inputs!$G$5:$G$120&lt;&gt;"moeda")*(Inputs!$G$5:$G$120&lt;&gt;"acoes")))*INDEX(Inputs!$K$5:$AJ$120,0,MATCH(O$2,Inputs!$K$4:$AJ$4,0)))+SUMPRODUCT((Inputs!$C$5:$C$120=$B37)*Inputs!$D$5:$D$120*(((Inputs!$G$5:$G$120="moeda")+(Inputs!$G$5:$G$120="acoes"))*Inputs!$B$1+((Inputs!$G$5:$G$120&lt;&gt;"moeda")*(Inputs!$G$5:$G$120&lt;&gt;"acoes")))*INDEX(Inputs!$K$5:$AJ$120,0,MATCH(O$2,Inputs!$K$4:$AJ$4,0)))+SUMPRODUCT((Inputs!$E$5:$E$120=$B37)*Inputs!$F$5:$F$120*(((Inputs!$G$5:$G$120="moeda")+(Inputs!$G$5:$G$120="acoes"))*Inputs!$B$1+((Inputs!$G$5:$G$120&lt;&gt;"moeda")*(Inputs!$G$5:$G$120&lt;&gt;"acoes")))*INDEX(Inputs!$K$5:$AJ$120,0,MATCH(O$2,Inputs!$K$4:$AJ$4,0)))))</f>
        <v>0</v>
      </c>
      <c r="P37" s="267">
        <f>IF(ISNA(MATCH(P$2,Inputs!$K$4:$AJ$4,0)),NA(),IF(SUMPRODUCT((Inputs!$A$5:$A$120=$B37)*ISNUMBER(INDEX(Inputs!$K$5:$AJ$120,0,MATCH(P$2,Inputs!$K$4:$AJ$4,0))))+SUMPRODUCT((Inputs!$C$5:$C$120=$B37)*ISNUMBER(INDEX(Inputs!$K$5:$AJ$120,0,MATCH(P$2,Inputs!$K$4:$AJ$4,0))))+SUMPRODUCT((Inputs!$E$5:$E$120=$B37)*ISNUMBER(INDEX(Inputs!$K$5:$AJ$120,0,MATCH(P$2,Inputs!$K$4:$AJ$4,0))))=0,NA(),SUMPRODUCT((Inputs!$A$5:$A$120=$B37)*Inputs!$B$5:$B$120*(((Inputs!$G$5:$G$120="moeda")+(Inputs!$G$5:$G$120="acoes"))*Inputs!$B$1+((Inputs!$G$5:$G$120&lt;&gt;"moeda")*(Inputs!$G$5:$G$120&lt;&gt;"acoes")))*INDEX(Inputs!$K$5:$AJ$120,0,MATCH(P$2,Inputs!$K$4:$AJ$4,0)))+SUMPRODUCT((Inputs!$C$5:$C$120=$B37)*Inputs!$D$5:$D$120*(((Inputs!$G$5:$G$120="moeda")+(Inputs!$G$5:$G$120="acoes"))*Inputs!$B$1+((Inputs!$G$5:$G$120&lt;&gt;"moeda")*(Inputs!$G$5:$G$120&lt;&gt;"acoes")))*INDEX(Inputs!$K$5:$AJ$120,0,MATCH(P$2,Inputs!$K$4:$AJ$4,0)))+SUMPRODUCT((Inputs!$E$5:$E$120=$B37)*Inputs!$F$5:$F$120*(((Inputs!$G$5:$G$120="moeda")+(Inputs!$G$5:$G$120="acoes"))*Inputs!$B$1+((Inputs!$G$5:$G$120&lt;&gt;"moeda")*(Inputs!$G$5:$G$120&lt;&gt;"acoes")))*INDEX(Inputs!$K$5:$AJ$120,0,MATCH(P$2,Inputs!$K$4:$AJ$4,0)))))</f>
        <v>0</v>
      </c>
      <c r="Q37" s="267">
        <f>IF(ISNA(MATCH(Q$2,Inputs!$K$4:$AJ$4,0)),NA(),IF(SUMPRODUCT((Inputs!$A$5:$A$120=$B37)*ISNUMBER(INDEX(Inputs!$K$5:$AJ$120,0,MATCH(Q$2,Inputs!$K$4:$AJ$4,0))))+SUMPRODUCT((Inputs!$C$5:$C$120=$B37)*ISNUMBER(INDEX(Inputs!$K$5:$AJ$120,0,MATCH(Q$2,Inputs!$K$4:$AJ$4,0))))+SUMPRODUCT((Inputs!$E$5:$E$120=$B37)*ISNUMBER(INDEX(Inputs!$K$5:$AJ$120,0,MATCH(Q$2,Inputs!$K$4:$AJ$4,0))))=0,NA(),SUMPRODUCT((Inputs!$A$5:$A$120=$B37)*Inputs!$B$5:$B$120*(((Inputs!$G$5:$G$120="moeda")+(Inputs!$G$5:$G$120="acoes"))*Inputs!$B$1+((Inputs!$G$5:$G$120&lt;&gt;"moeda")*(Inputs!$G$5:$G$120&lt;&gt;"acoes")))*INDEX(Inputs!$K$5:$AJ$120,0,MATCH(Q$2,Inputs!$K$4:$AJ$4,0)))+SUMPRODUCT((Inputs!$C$5:$C$120=$B37)*Inputs!$D$5:$D$120*(((Inputs!$G$5:$G$120="moeda")+(Inputs!$G$5:$G$120="acoes"))*Inputs!$B$1+((Inputs!$G$5:$G$120&lt;&gt;"moeda")*(Inputs!$G$5:$G$120&lt;&gt;"acoes")))*INDEX(Inputs!$K$5:$AJ$120,0,MATCH(Q$2,Inputs!$K$4:$AJ$4,0)))+SUMPRODUCT((Inputs!$E$5:$E$120=$B37)*Inputs!$F$5:$F$120*(((Inputs!$G$5:$G$120="moeda")+(Inputs!$G$5:$G$120="acoes"))*Inputs!$B$1+((Inputs!$G$5:$G$120&lt;&gt;"moeda")*(Inputs!$G$5:$G$120&lt;&gt;"acoes")))*INDEX(Inputs!$K$5:$AJ$120,0,MATCH(Q$2,Inputs!$K$4:$AJ$4,0)))))</f>
        <v>0</v>
      </c>
      <c r="R37" s="268">
        <f>Q37</f>
        <v>0</v>
      </c>
      <c r="S37" s="267">
        <f>IF(ISNA(MATCH(S$2,Inputs!$K$4:$AJ$4,0)),NA(),IF(SUMPRODUCT((Inputs!$A$5:$A$120=$B37)*ISNUMBER(INDEX(Inputs!$K$5:$AJ$120,0,MATCH(S$2,Inputs!$K$4:$AJ$4,0))))+SUMPRODUCT((Inputs!$C$5:$C$120=$B37)*ISNUMBER(INDEX(Inputs!$K$5:$AJ$120,0,MATCH(S$2,Inputs!$K$4:$AJ$4,0))))+SUMPRODUCT((Inputs!$E$5:$E$120=$B37)*ISNUMBER(INDEX(Inputs!$K$5:$AJ$120,0,MATCH(S$2,Inputs!$K$4:$AJ$4,0))))=0,NA(),SUMPRODUCT((Inputs!$A$5:$A$120=$B37)*Inputs!$B$5:$B$120*(((Inputs!$G$5:$G$120="moeda")+(Inputs!$G$5:$G$120="acoes"))*Inputs!$B$1+((Inputs!$G$5:$G$120&lt;&gt;"moeda")*(Inputs!$G$5:$G$120&lt;&gt;"acoes")))*INDEX(Inputs!$K$5:$AJ$120,0,MATCH(S$2,Inputs!$K$4:$AJ$4,0)))+SUMPRODUCT((Inputs!$C$5:$C$120=$B37)*Inputs!$D$5:$D$120*(((Inputs!$G$5:$G$120="moeda")+(Inputs!$G$5:$G$120="acoes"))*Inputs!$B$1+((Inputs!$G$5:$G$120&lt;&gt;"moeda")*(Inputs!$G$5:$G$120&lt;&gt;"acoes")))*INDEX(Inputs!$K$5:$AJ$120,0,MATCH(S$2,Inputs!$K$4:$AJ$4,0)))+SUMPRODUCT((Inputs!$E$5:$E$120=$B37)*Inputs!$F$5:$F$120*(((Inputs!$G$5:$G$120="moeda")+(Inputs!$G$5:$G$120="acoes"))*Inputs!$B$1+((Inputs!$G$5:$G$120&lt;&gt;"moeda")*(Inputs!$G$5:$G$120&lt;&gt;"acoes")))*INDEX(Inputs!$K$5:$AJ$120,0,MATCH(S$2,Inputs!$K$4:$AJ$4,0)))))</f>
        <v>0</v>
      </c>
      <c r="T37" s="267">
        <f>IF(ISNA(MATCH(T$2,Inputs!$K$4:$AJ$4,0)),NA(),IF(SUMPRODUCT((Inputs!$A$5:$A$120=$B37)*ISNUMBER(INDEX(Inputs!$K$5:$AJ$120,0,MATCH(T$2,Inputs!$K$4:$AJ$4,0))))+SUMPRODUCT((Inputs!$C$5:$C$120=$B37)*ISNUMBER(INDEX(Inputs!$K$5:$AJ$120,0,MATCH(T$2,Inputs!$K$4:$AJ$4,0))))+SUMPRODUCT((Inputs!$E$5:$E$120=$B37)*ISNUMBER(INDEX(Inputs!$K$5:$AJ$120,0,MATCH(T$2,Inputs!$K$4:$AJ$4,0))))=0,NA(),SUMPRODUCT((Inputs!$A$5:$A$120=$B37)*Inputs!$B$5:$B$120*(((Inputs!$G$5:$G$120="moeda")+(Inputs!$G$5:$G$120="acoes"))*Inputs!$B$1+((Inputs!$G$5:$G$120&lt;&gt;"moeda")*(Inputs!$G$5:$G$120&lt;&gt;"acoes")))*INDEX(Inputs!$K$5:$AJ$120,0,MATCH(T$2,Inputs!$K$4:$AJ$4,0)))+SUMPRODUCT((Inputs!$C$5:$C$120=$B37)*Inputs!$D$5:$D$120*(((Inputs!$G$5:$G$120="moeda")+(Inputs!$G$5:$G$120="acoes"))*Inputs!$B$1+((Inputs!$G$5:$G$120&lt;&gt;"moeda")*(Inputs!$G$5:$G$120&lt;&gt;"acoes")))*INDEX(Inputs!$K$5:$AJ$120,0,MATCH(T$2,Inputs!$K$4:$AJ$4,0)))+SUMPRODUCT((Inputs!$E$5:$E$120=$B37)*Inputs!$F$5:$F$120*(((Inputs!$G$5:$G$120="moeda")+(Inputs!$G$5:$G$120="acoes"))*Inputs!$B$1+((Inputs!$G$5:$G$120&lt;&gt;"moeda")*(Inputs!$G$5:$G$120&lt;&gt;"acoes")))*INDEX(Inputs!$K$5:$AJ$120,0,MATCH(T$2,Inputs!$K$4:$AJ$4,0)))))</f>
        <v>0</v>
      </c>
      <c r="U37" s="267">
        <f>IF(ISNA(MATCH(U$2,Inputs!$K$4:$AJ$4,0)),NA(),IF(SUMPRODUCT((Inputs!$A$5:$A$120=$B37)*ISNUMBER(INDEX(Inputs!$K$5:$AJ$120,0,MATCH(U$2,Inputs!$K$4:$AJ$4,0))))+SUMPRODUCT((Inputs!$C$5:$C$120=$B37)*ISNUMBER(INDEX(Inputs!$K$5:$AJ$120,0,MATCH(U$2,Inputs!$K$4:$AJ$4,0))))+SUMPRODUCT((Inputs!$E$5:$E$120=$B37)*ISNUMBER(INDEX(Inputs!$K$5:$AJ$120,0,MATCH(U$2,Inputs!$K$4:$AJ$4,0))))=0,NA(),SUMPRODUCT((Inputs!$A$5:$A$120=$B37)*Inputs!$B$5:$B$120*(((Inputs!$G$5:$G$120="moeda")+(Inputs!$G$5:$G$120="acoes"))*Inputs!$B$1+((Inputs!$G$5:$G$120&lt;&gt;"moeda")*(Inputs!$G$5:$G$120&lt;&gt;"acoes")))*INDEX(Inputs!$K$5:$AJ$120,0,MATCH(U$2,Inputs!$K$4:$AJ$4,0)))+SUMPRODUCT((Inputs!$C$5:$C$120=$B37)*Inputs!$D$5:$D$120*(((Inputs!$G$5:$G$120="moeda")+(Inputs!$G$5:$G$120="acoes"))*Inputs!$B$1+((Inputs!$G$5:$G$120&lt;&gt;"moeda")*(Inputs!$G$5:$G$120&lt;&gt;"acoes")))*INDEX(Inputs!$K$5:$AJ$120,0,MATCH(U$2,Inputs!$K$4:$AJ$4,0)))+SUMPRODUCT((Inputs!$E$5:$E$120=$B37)*Inputs!$F$5:$F$120*(((Inputs!$G$5:$G$120="moeda")+(Inputs!$G$5:$G$120="acoes"))*Inputs!$B$1+((Inputs!$G$5:$G$120&lt;&gt;"moeda")*(Inputs!$G$5:$G$120&lt;&gt;"acoes")))*INDEX(Inputs!$K$5:$AJ$120,0,MATCH(U$2,Inputs!$K$4:$AJ$4,0)))))</f>
        <v>0</v>
      </c>
      <c r="V37" s="267">
        <f>IF(ISNA(MATCH(V$2,Inputs!$K$4:$AJ$4,0)),NA(),IF(SUMPRODUCT((Inputs!$A$5:$A$120=$B37)*ISNUMBER(INDEX(Inputs!$K$5:$AJ$120,0,MATCH(V$2,Inputs!$K$4:$AJ$4,0))))+SUMPRODUCT((Inputs!$C$5:$C$120=$B37)*ISNUMBER(INDEX(Inputs!$K$5:$AJ$120,0,MATCH(V$2,Inputs!$K$4:$AJ$4,0))))+SUMPRODUCT((Inputs!$E$5:$E$120=$B37)*ISNUMBER(INDEX(Inputs!$K$5:$AJ$120,0,MATCH(V$2,Inputs!$K$4:$AJ$4,0))))=0,NA(),SUMPRODUCT((Inputs!$A$5:$A$120=$B37)*Inputs!$B$5:$B$120*(((Inputs!$G$5:$G$120="moeda")+(Inputs!$G$5:$G$120="acoes"))*Inputs!$B$1+((Inputs!$G$5:$G$120&lt;&gt;"moeda")*(Inputs!$G$5:$G$120&lt;&gt;"acoes")))*INDEX(Inputs!$K$5:$AJ$120,0,MATCH(V$2,Inputs!$K$4:$AJ$4,0)))+SUMPRODUCT((Inputs!$C$5:$C$120=$B37)*Inputs!$D$5:$D$120*(((Inputs!$G$5:$G$120="moeda")+(Inputs!$G$5:$G$120="acoes"))*Inputs!$B$1+((Inputs!$G$5:$G$120&lt;&gt;"moeda")*(Inputs!$G$5:$G$120&lt;&gt;"acoes")))*INDEX(Inputs!$K$5:$AJ$120,0,MATCH(V$2,Inputs!$K$4:$AJ$4,0)))+SUMPRODUCT((Inputs!$E$5:$E$120=$B37)*Inputs!$F$5:$F$120*(((Inputs!$G$5:$G$120="moeda")+(Inputs!$G$5:$G$120="acoes"))*Inputs!$B$1+((Inputs!$G$5:$G$120&lt;&gt;"moeda")*(Inputs!$G$5:$G$120&lt;&gt;"acoes")))*INDEX(Inputs!$K$5:$AJ$120,0,MATCH(V$2,Inputs!$K$4:$AJ$4,0)))))</f>
        <v>0</v>
      </c>
      <c r="W37" s="268">
        <f>V37</f>
        <v>0</v>
      </c>
      <c r="X37" s="267">
        <f>IF(ISNA(MATCH(X$2,Inputs!$K$4:$AJ$4,0)),NA(),IF(SUMPRODUCT((Inputs!$A$5:$A$120=$B37)*ISNUMBER(INDEX(Inputs!$K$5:$AJ$120,0,MATCH(X$2,Inputs!$K$4:$AJ$4,0))))+SUMPRODUCT((Inputs!$C$5:$C$120=$B37)*ISNUMBER(INDEX(Inputs!$K$5:$AJ$120,0,MATCH(X$2,Inputs!$K$4:$AJ$4,0))))+SUMPRODUCT((Inputs!$E$5:$E$120=$B37)*ISNUMBER(INDEX(Inputs!$K$5:$AJ$120,0,MATCH(X$2,Inputs!$K$4:$AJ$4,0))))=0,NA(),SUMPRODUCT((Inputs!$A$5:$A$120=$B37)*Inputs!$B$5:$B$120*(((Inputs!$G$5:$G$120="moeda")+(Inputs!$G$5:$G$120="acoes"))*Inputs!$B$1+((Inputs!$G$5:$G$120&lt;&gt;"moeda")*(Inputs!$G$5:$G$120&lt;&gt;"acoes")))*INDEX(Inputs!$K$5:$AJ$120,0,MATCH(X$2,Inputs!$K$4:$AJ$4,0)))+SUMPRODUCT((Inputs!$C$5:$C$120=$B37)*Inputs!$D$5:$D$120*(((Inputs!$G$5:$G$120="moeda")+(Inputs!$G$5:$G$120="acoes"))*Inputs!$B$1+((Inputs!$G$5:$G$120&lt;&gt;"moeda")*(Inputs!$G$5:$G$120&lt;&gt;"acoes")))*INDEX(Inputs!$K$5:$AJ$120,0,MATCH(X$2,Inputs!$K$4:$AJ$4,0)))+SUMPRODUCT((Inputs!$E$5:$E$120=$B37)*Inputs!$F$5:$F$120*(((Inputs!$G$5:$G$120="moeda")+(Inputs!$G$5:$G$120="acoes"))*Inputs!$B$1+((Inputs!$G$5:$G$120&lt;&gt;"moeda")*(Inputs!$G$5:$G$120&lt;&gt;"acoes")))*INDEX(Inputs!$K$5:$AJ$120,0,MATCH(X$2,Inputs!$K$4:$AJ$4,0)))))</f>
        <v>0</v>
      </c>
      <c r="Y37" s="267">
        <f>IF(ISNA(MATCH(Y$2,Inputs!$K$4:$AJ$4,0)),NA(),IF(SUMPRODUCT((Inputs!$A$5:$A$120=$B37)*ISNUMBER(INDEX(Inputs!$K$5:$AJ$120,0,MATCH(Y$2,Inputs!$K$4:$AJ$4,0))))+SUMPRODUCT((Inputs!$C$5:$C$120=$B37)*ISNUMBER(INDEX(Inputs!$K$5:$AJ$120,0,MATCH(Y$2,Inputs!$K$4:$AJ$4,0))))+SUMPRODUCT((Inputs!$E$5:$E$120=$B37)*ISNUMBER(INDEX(Inputs!$K$5:$AJ$120,0,MATCH(Y$2,Inputs!$K$4:$AJ$4,0))))=0,NA(),SUMPRODUCT((Inputs!$A$5:$A$120=$B37)*Inputs!$B$5:$B$120*(((Inputs!$G$5:$G$120="moeda")+(Inputs!$G$5:$G$120="acoes"))*Inputs!$B$1+((Inputs!$G$5:$G$120&lt;&gt;"moeda")*(Inputs!$G$5:$G$120&lt;&gt;"acoes")))*INDEX(Inputs!$K$5:$AJ$120,0,MATCH(Y$2,Inputs!$K$4:$AJ$4,0)))+SUMPRODUCT((Inputs!$C$5:$C$120=$B37)*Inputs!$D$5:$D$120*(((Inputs!$G$5:$G$120="moeda")+(Inputs!$G$5:$G$120="acoes"))*Inputs!$B$1+((Inputs!$G$5:$G$120&lt;&gt;"moeda")*(Inputs!$G$5:$G$120&lt;&gt;"acoes")))*INDEX(Inputs!$K$5:$AJ$120,0,MATCH(Y$2,Inputs!$K$4:$AJ$4,0)))+SUMPRODUCT((Inputs!$E$5:$E$120=$B37)*Inputs!$F$5:$F$120*(((Inputs!$G$5:$G$120="moeda")+(Inputs!$G$5:$G$120="acoes"))*Inputs!$B$1+((Inputs!$G$5:$G$120&lt;&gt;"moeda")*(Inputs!$G$5:$G$120&lt;&gt;"acoes")))*INDEX(Inputs!$K$5:$AJ$120,0,MATCH(Y$2,Inputs!$K$4:$AJ$4,0)))))</f>
        <v>0</v>
      </c>
      <c r="Z37" s="267">
        <f>IF(ISNA(MATCH(Z$2,Inputs!$K$4:$AJ$4,0)),NA(),IF(SUMPRODUCT((Inputs!$A$5:$A$120=$B37)*ISNUMBER(INDEX(Inputs!$K$5:$AJ$120,0,MATCH(Z$2,Inputs!$K$4:$AJ$4,0))))+SUMPRODUCT((Inputs!$C$5:$C$120=$B37)*ISNUMBER(INDEX(Inputs!$K$5:$AJ$120,0,MATCH(Z$2,Inputs!$K$4:$AJ$4,0))))+SUMPRODUCT((Inputs!$E$5:$E$120=$B37)*ISNUMBER(INDEX(Inputs!$K$5:$AJ$120,0,MATCH(Z$2,Inputs!$K$4:$AJ$4,0))))=0,NA(),SUMPRODUCT((Inputs!$A$5:$A$120=$B37)*Inputs!$B$5:$B$120*(((Inputs!$G$5:$G$120="moeda")+(Inputs!$G$5:$G$120="acoes"))*Inputs!$B$1+((Inputs!$G$5:$G$120&lt;&gt;"moeda")*(Inputs!$G$5:$G$120&lt;&gt;"acoes")))*INDEX(Inputs!$K$5:$AJ$120,0,MATCH(Z$2,Inputs!$K$4:$AJ$4,0)))+SUMPRODUCT((Inputs!$C$5:$C$120=$B37)*Inputs!$D$5:$D$120*(((Inputs!$G$5:$G$120="moeda")+(Inputs!$G$5:$G$120="acoes"))*Inputs!$B$1+((Inputs!$G$5:$G$120&lt;&gt;"moeda")*(Inputs!$G$5:$G$120&lt;&gt;"acoes")))*INDEX(Inputs!$K$5:$AJ$120,0,MATCH(Z$2,Inputs!$K$4:$AJ$4,0)))+SUMPRODUCT((Inputs!$E$5:$E$120=$B37)*Inputs!$F$5:$F$120*(((Inputs!$G$5:$G$120="moeda")+(Inputs!$G$5:$G$120="acoes"))*Inputs!$B$1+((Inputs!$G$5:$G$120&lt;&gt;"moeda")*(Inputs!$G$5:$G$120&lt;&gt;"acoes")))*INDEX(Inputs!$K$5:$AJ$120,0,MATCH(Z$2,Inputs!$K$4:$AJ$4,0)))))</f>
        <v>0</v>
      </c>
      <c r="AA37" s="267">
        <f>IF(ISNA(MATCH(AA$2,Inputs!$K$4:$AJ$4,0)),NA(),IF(SUMPRODUCT((Inputs!$A$5:$A$120=$B37)*ISNUMBER(INDEX(Inputs!$K$5:$AJ$120,0,MATCH(AA$2,Inputs!$K$4:$AJ$4,0))))+SUMPRODUCT((Inputs!$C$5:$C$120=$B37)*ISNUMBER(INDEX(Inputs!$K$5:$AJ$120,0,MATCH(AA$2,Inputs!$K$4:$AJ$4,0))))+SUMPRODUCT((Inputs!$E$5:$E$120=$B37)*ISNUMBER(INDEX(Inputs!$K$5:$AJ$120,0,MATCH(AA$2,Inputs!$K$4:$AJ$4,0))))=0,NA(),SUMPRODUCT((Inputs!$A$5:$A$120=$B37)*Inputs!$B$5:$B$120*(((Inputs!$G$5:$G$120="moeda")+(Inputs!$G$5:$G$120="acoes"))*Inputs!$B$1+((Inputs!$G$5:$G$120&lt;&gt;"moeda")*(Inputs!$G$5:$G$120&lt;&gt;"acoes")))*INDEX(Inputs!$K$5:$AJ$120,0,MATCH(AA$2,Inputs!$K$4:$AJ$4,0)))+SUMPRODUCT((Inputs!$C$5:$C$120=$B37)*Inputs!$D$5:$D$120*(((Inputs!$G$5:$G$120="moeda")+(Inputs!$G$5:$G$120="acoes"))*Inputs!$B$1+((Inputs!$G$5:$G$120&lt;&gt;"moeda")*(Inputs!$G$5:$G$120&lt;&gt;"acoes")))*INDEX(Inputs!$K$5:$AJ$120,0,MATCH(AA$2,Inputs!$K$4:$AJ$4,0)))+SUMPRODUCT((Inputs!$E$5:$E$120=$B37)*Inputs!$F$5:$F$120*(((Inputs!$G$5:$G$120="moeda")+(Inputs!$G$5:$G$120="acoes"))*Inputs!$B$1+((Inputs!$G$5:$G$120&lt;&gt;"moeda")*(Inputs!$G$5:$G$120&lt;&gt;"acoes")))*INDEX(Inputs!$K$5:$AJ$120,0,MATCH(AA$2,Inputs!$K$4:$AJ$4,0)))))</f>
        <v>0</v>
      </c>
      <c r="AB37" s="268">
        <f>AA37</f>
        <v>0</v>
      </c>
      <c r="AC37" s="267">
        <f>IF(ISNA(MATCH(AC$2,Inputs!$K$4:$AJ$4,0)),NA(),IF(SUMPRODUCT((Inputs!$A$5:$A$120=$B37)*ISNUMBER(INDEX(Inputs!$K$5:$AJ$120,0,MATCH(AC$2,Inputs!$K$4:$AJ$4,0))))+SUMPRODUCT((Inputs!$C$5:$C$120=$B37)*ISNUMBER(INDEX(Inputs!$K$5:$AJ$120,0,MATCH(AC$2,Inputs!$K$4:$AJ$4,0))))+SUMPRODUCT((Inputs!$E$5:$E$120=$B37)*ISNUMBER(INDEX(Inputs!$K$5:$AJ$120,0,MATCH(AC$2,Inputs!$K$4:$AJ$4,0))))=0,NA(),SUMPRODUCT((Inputs!$A$5:$A$120=$B37)*Inputs!$B$5:$B$120*(((Inputs!$G$5:$G$120="moeda")+(Inputs!$G$5:$G$120="acoes"))*Inputs!$B$1+((Inputs!$G$5:$G$120&lt;&gt;"moeda")*(Inputs!$G$5:$G$120&lt;&gt;"acoes")))*INDEX(Inputs!$K$5:$AJ$120,0,MATCH(AC$2,Inputs!$K$4:$AJ$4,0)))+SUMPRODUCT((Inputs!$C$5:$C$120=$B37)*Inputs!$D$5:$D$120*(((Inputs!$G$5:$G$120="moeda")+(Inputs!$G$5:$G$120="acoes"))*Inputs!$B$1+((Inputs!$G$5:$G$120&lt;&gt;"moeda")*(Inputs!$G$5:$G$120&lt;&gt;"acoes")))*INDEX(Inputs!$K$5:$AJ$120,0,MATCH(AC$2,Inputs!$K$4:$AJ$4,0)))+SUMPRODUCT((Inputs!$E$5:$E$120=$B37)*Inputs!$F$5:$F$120*(((Inputs!$G$5:$G$120="moeda")+(Inputs!$G$5:$G$120="acoes"))*Inputs!$B$1+((Inputs!$G$5:$G$120&lt;&gt;"moeda")*(Inputs!$G$5:$G$120&lt;&gt;"acoes")))*INDEX(Inputs!$K$5:$AJ$120,0,MATCH(AC$2,Inputs!$K$4:$AJ$4,0)))))</f>
        <v>0</v>
      </c>
      <c r="AD37" s="267">
        <f>IF(ISNA(MATCH(AD$2,Inputs!$K$4:$AJ$4,0)),NA(),IF(SUMPRODUCT((Inputs!$A$5:$A$120=$B37)*ISNUMBER(INDEX(Inputs!$K$5:$AJ$120,0,MATCH(AD$2,Inputs!$K$4:$AJ$4,0))))+SUMPRODUCT((Inputs!$C$5:$C$120=$B37)*ISNUMBER(INDEX(Inputs!$K$5:$AJ$120,0,MATCH(AD$2,Inputs!$K$4:$AJ$4,0))))+SUMPRODUCT((Inputs!$E$5:$E$120=$B37)*ISNUMBER(INDEX(Inputs!$K$5:$AJ$120,0,MATCH(AD$2,Inputs!$K$4:$AJ$4,0))))=0,NA(),SUMPRODUCT((Inputs!$A$5:$A$120=$B37)*Inputs!$B$5:$B$120*(((Inputs!$G$5:$G$120="moeda")+(Inputs!$G$5:$G$120="acoes"))*Inputs!$B$1+((Inputs!$G$5:$G$120&lt;&gt;"moeda")*(Inputs!$G$5:$G$120&lt;&gt;"acoes")))*INDEX(Inputs!$K$5:$AJ$120,0,MATCH(AD$2,Inputs!$K$4:$AJ$4,0)))+SUMPRODUCT((Inputs!$C$5:$C$120=$B37)*Inputs!$D$5:$D$120*(((Inputs!$G$5:$G$120="moeda")+(Inputs!$G$5:$G$120="acoes"))*Inputs!$B$1+((Inputs!$G$5:$G$120&lt;&gt;"moeda")*(Inputs!$G$5:$G$120&lt;&gt;"acoes")))*INDEX(Inputs!$K$5:$AJ$120,0,MATCH(AD$2,Inputs!$K$4:$AJ$4,0)))+SUMPRODUCT((Inputs!$E$5:$E$120=$B37)*Inputs!$F$5:$F$120*(((Inputs!$G$5:$G$120="moeda")+(Inputs!$G$5:$G$120="acoes"))*Inputs!$B$1+((Inputs!$G$5:$G$120&lt;&gt;"moeda")*(Inputs!$G$5:$G$120&lt;&gt;"acoes")))*INDEX(Inputs!$K$5:$AJ$120,0,MATCH(AD$2,Inputs!$K$4:$AJ$4,0)))))</f>
        <v>0</v>
      </c>
      <c r="AE37" s="267" t="e">
        <f>IF(ISNA(MATCH(AE$2,Inputs!$K$4:$AJ$4,0)),NA(),IF(SUMPRODUCT((Inputs!$A$5:$A$120=$B37)*ISNUMBER(INDEX(Inputs!$K$5:$AJ$120,0,MATCH(AE$2,Inputs!$K$4:$AJ$4,0))))+SUMPRODUCT((Inputs!$C$5:$C$120=$B37)*ISNUMBER(INDEX(Inputs!$K$5:$AJ$120,0,MATCH(AE$2,Inputs!$K$4:$AJ$4,0))))+SUMPRODUCT((Inputs!$E$5:$E$120=$B37)*ISNUMBER(INDEX(Inputs!$K$5:$AJ$120,0,MATCH(AE$2,Inputs!$K$4:$AJ$4,0))))=0,NA(),SUMPRODUCT((Inputs!$A$5:$A$120=$B37)*Inputs!$B$5:$B$120*(((Inputs!$G$5:$G$120="moeda")+(Inputs!$G$5:$G$120="acoes"))*Inputs!$B$1+((Inputs!$G$5:$G$120&lt;&gt;"moeda")*(Inputs!$G$5:$G$120&lt;&gt;"acoes")))*INDEX(Inputs!$K$5:$AJ$120,0,MATCH(AE$2,Inputs!$K$4:$AJ$4,0)))+SUMPRODUCT((Inputs!$C$5:$C$120=$B37)*Inputs!$D$5:$D$120*(((Inputs!$G$5:$G$120="moeda")+(Inputs!$G$5:$G$120="acoes"))*Inputs!$B$1+((Inputs!$G$5:$G$120&lt;&gt;"moeda")*(Inputs!$G$5:$G$120&lt;&gt;"acoes")))*INDEX(Inputs!$K$5:$AJ$120,0,MATCH(AE$2,Inputs!$K$4:$AJ$4,0)))+SUMPRODUCT((Inputs!$E$5:$E$120=$B37)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7" s="267" t="e">
        <f>IF(ISNA(MATCH(AF$2,Inputs!$K$4:$AJ$4,0)),NA(),IF(SUMPRODUCT((Inputs!$A$5:$A$120=$B37)*ISNUMBER(INDEX(Inputs!$K$5:$AJ$120,0,MATCH(AF$2,Inputs!$K$4:$AJ$4,0))))+SUMPRODUCT((Inputs!$C$5:$C$120=$B37)*ISNUMBER(INDEX(Inputs!$K$5:$AJ$120,0,MATCH(AF$2,Inputs!$K$4:$AJ$4,0))))+SUMPRODUCT((Inputs!$E$5:$E$120=$B37)*ISNUMBER(INDEX(Inputs!$K$5:$AJ$120,0,MATCH(AF$2,Inputs!$K$4:$AJ$4,0))))=0,NA(),SUMPRODUCT((Inputs!$A$5:$A$120=$B37)*Inputs!$B$5:$B$120*(((Inputs!$G$5:$G$120="moeda")+(Inputs!$G$5:$G$120="acoes"))*Inputs!$B$1+((Inputs!$G$5:$G$120&lt;&gt;"moeda")*(Inputs!$G$5:$G$120&lt;&gt;"acoes")))*INDEX(Inputs!$K$5:$AJ$120,0,MATCH(AF$2,Inputs!$K$4:$AJ$4,0)))+SUMPRODUCT((Inputs!$C$5:$C$120=$B37)*Inputs!$D$5:$D$120*(((Inputs!$G$5:$G$120="moeda")+(Inputs!$G$5:$G$120="acoes"))*Inputs!$B$1+((Inputs!$G$5:$G$120&lt;&gt;"moeda")*(Inputs!$G$5:$G$120&lt;&gt;"acoes")))*INDEX(Inputs!$K$5:$AJ$120,0,MATCH(AF$2,Inputs!$K$4:$AJ$4,0)))+SUMPRODUCT((Inputs!$E$5:$E$120=$B37)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7" s="268" t="e">
        <f>AF37</f>
        <v>#N/A</v>
      </c>
      <c r="AH37" s="267">
        <f>IF(ISNA(MATCH(AH$2,Inputs!$K$4:$AJ$4,0)),NA(),IF(SUMPRODUCT((Inputs!$A$5:$A$120=$B37)*ISNUMBER(INDEX(Inputs!$K$5:$AJ$120,0,MATCH(AH$2,Inputs!$K$4:$AJ$4,0))))+SUMPRODUCT((Inputs!$C$5:$C$120=$B37)*ISNUMBER(INDEX(Inputs!$K$5:$AJ$120,0,MATCH(AH$2,Inputs!$K$4:$AJ$4,0))))+SUMPRODUCT((Inputs!$E$5:$E$120=$B37)*ISNUMBER(INDEX(Inputs!$K$5:$AJ$120,0,MATCH(AH$2,Inputs!$K$4:$AJ$4,0))))=0,NA(),SUMPRODUCT((Inputs!$A$5:$A$120=$B37)*Inputs!$B$5:$B$120*(((Inputs!$G$5:$G$120="moeda")+(Inputs!$G$5:$G$120="acoes"))*Inputs!$B$1+((Inputs!$G$5:$G$120&lt;&gt;"moeda")*(Inputs!$G$5:$G$120&lt;&gt;"acoes")))*INDEX(Inputs!$K$5:$AJ$120,0,MATCH(AH$2,Inputs!$K$4:$AJ$4,0)))+SUMPRODUCT((Inputs!$C$5:$C$120=$B37)*Inputs!$D$5:$D$120*(((Inputs!$G$5:$G$120="moeda")+(Inputs!$G$5:$G$120="acoes"))*Inputs!$B$1+((Inputs!$G$5:$G$120&lt;&gt;"moeda")*(Inputs!$G$5:$G$120&lt;&gt;"acoes")))*INDEX(Inputs!$K$5:$AJ$120,0,MATCH(AH$2,Inputs!$K$4:$AJ$4,0)))+SUMPRODUCT((Inputs!$E$5:$E$120=$B37)*Inputs!$F$5:$F$120*(((Inputs!$G$5:$G$120="moeda")+(Inputs!$G$5:$G$120="acoes"))*Inputs!$B$1+((Inputs!$G$5:$G$120&lt;&gt;"moeda")*(Inputs!$G$5:$G$120&lt;&gt;"acoes")))*INDEX(Inputs!$K$5:$AJ$120,0,MATCH(AH$2,Inputs!$K$4:$AJ$4,0)))))</f>
        <v>0</v>
      </c>
      <c r="AI37" s="267">
        <f>IF(ISNA(MATCH(AI$2,Inputs!$K$4:$AJ$4,0)),NA(),IF(SUMPRODUCT((Inputs!$A$5:$A$120=$B37)*ISNUMBER(INDEX(Inputs!$K$5:$AJ$120,0,MATCH(AI$2,Inputs!$K$4:$AJ$4,0))))+SUMPRODUCT((Inputs!$C$5:$C$120=$B37)*ISNUMBER(INDEX(Inputs!$K$5:$AJ$120,0,MATCH(AI$2,Inputs!$K$4:$AJ$4,0))))+SUMPRODUCT((Inputs!$E$5:$E$120=$B37)*ISNUMBER(INDEX(Inputs!$K$5:$AJ$120,0,MATCH(AI$2,Inputs!$K$4:$AJ$4,0))))=0,NA(),SUMPRODUCT((Inputs!$A$5:$A$120=$B37)*Inputs!$B$5:$B$120*(((Inputs!$G$5:$G$120="moeda")+(Inputs!$G$5:$G$120="acoes"))*Inputs!$B$1+((Inputs!$G$5:$G$120&lt;&gt;"moeda")*(Inputs!$G$5:$G$120&lt;&gt;"acoes")))*INDEX(Inputs!$K$5:$AJ$120,0,MATCH(AI$2,Inputs!$K$4:$AJ$4,0)))+SUMPRODUCT((Inputs!$C$5:$C$120=$B37)*Inputs!$D$5:$D$120*(((Inputs!$G$5:$G$120="moeda")+(Inputs!$G$5:$G$120="acoes"))*Inputs!$B$1+((Inputs!$G$5:$G$120&lt;&gt;"moeda")*(Inputs!$G$5:$G$120&lt;&gt;"acoes")))*INDEX(Inputs!$K$5:$AJ$120,0,MATCH(AI$2,Inputs!$K$4:$AJ$4,0)))+SUMPRODUCT((Inputs!$E$5:$E$120=$B37)*Inputs!$F$5:$F$120*(((Inputs!$G$5:$G$120="moeda")+(Inputs!$G$5:$G$120="acoes"))*Inputs!$B$1+((Inputs!$G$5:$G$120&lt;&gt;"moeda")*(Inputs!$G$5:$G$120&lt;&gt;"acoes")))*INDEX(Inputs!$K$5:$AJ$120,0,MATCH(AI$2,Inputs!$K$4:$AJ$4,0)))))</f>
        <v>0</v>
      </c>
      <c r="AJ37" s="267">
        <f>IF(ISNA(MATCH(AJ$2,Inputs!$K$4:$AJ$4,0)),NA(),IF(SUMPRODUCT((Inputs!$A$5:$A$120=$B37)*ISNUMBER(INDEX(Inputs!$K$5:$AJ$120,0,MATCH(AJ$2,Inputs!$K$4:$AJ$4,0))))+SUMPRODUCT((Inputs!$C$5:$C$120=$B37)*ISNUMBER(INDEX(Inputs!$K$5:$AJ$120,0,MATCH(AJ$2,Inputs!$K$4:$AJ$4,0))))+SUMPRODUCT((Inputs!$E$5:$E$120=$B37)*ISNUMBER(INDEX(Inputs!$K$5:$AJ$120,0,MATCH(AJ$2,Inputs!$K$4:$AJ$4,0))))=0,NA(),SUMPRODUCT((Inputs!$A$5:$A$120=$B37)*Inputs!$B$5:$B$120*(((Inputs!$G$5:$G$120="moeda")+(Inputs!$G$5:$G$120="acoes"))*Inputs!$B$1+((Inputs!$G$5:$G$120&lt;&gt;"moeda")*(Inputs!$G$5:$G$120&lt;&gt;"acoes")))*INDEX(Inputs!$K$5:$AJ$120,0,MATCH(AJ$2,Inputs!$K$4:$AJ$4,0)))+SUMPRODUCT((Inputs!$C$5:$C$120=$B37)*Inputs!$D$5:$D$120*(((Inputs!$G$5:$G$120="moeda")+(Inputs!$G$5:$G$120="acoes"))*Inputs!$B$1+((Inputs!$G$5:$G$120&lt;&gt;"moeda")*(Inputs!$G$5:$G$120&lt;&gt;"acoes")))*INDEX(Inputs!$K$5:$AJ$120,0,MATCH(AJ$2,Inputs!$K$4:$AJ$4,0)))+SUMPRODUCT((Inputs!$E$5:$E$120=$B37)*Inputs!$F$5:$F$120*(((Inputs!$G$5:$G$120="moeda")+(Inputs!$G$5:$G$120="acoes"))*Inputs!$B$1+((Inputs!$G$5:$G$120&lt;&gt;"moeda")*(Inputs!$G$5:$G$120&lt;&gt;"acoes")))*INDEX(Inputs!$K$5:$AJ$120,0,MATCH(AJ$2,Inputs!$K$4:$AJ$4,0)))))</f>
        <v>0</v>
      </c>
      <c r="AK37" s="267">
        <f>IF(ISNA(MATCH(AK$2,Inputs!$K$4:$AJ$4,0)),NA(),IF(SUMPRODUCT((Inputs!$A$5:$A$120=$B37)*ISNUMBER(INDEX(Inputs!$K$5:$AJ$120,0,MATCH(AK$2,Inputs!$K$4:$AJ$4,0))))+SUMPRODUCT((Inputs!$C$5:$C$120=$B37)*ISNUMBER(INDEX(Inputs!$K$5:$AJ$120,0,MATCH(AK$2,Inputs!$K$4:$AJ$4,0))))+SUMPRODUCT((Inputs!$E$5:$E$120=$B37)*ISNUMBER(INDEX(Inputs!$K$5:$AJ$120,0,MATCH(AK$2,Inputs!$K$4:$AJ$4,0))))=0,NA(),SUMPRODUCT((Inputs!$A$5:$A$120=$B37)*Inputs!$B$5:$B$120*(((Inputs!$G$5:$G$120="moeda")+(Inputs!$G$5:$G$120="acoes"))*Inputs!$B$1+((Inputs!$G$5:$G$120&lt;&gt;"moeda")*(Inputs!$G$5:$G$120&lt;&gt;"acoes")))*INDEX(Inputs!$K$5:$AJ$120,0,MATCH(AK$2,Inputs!$K$4:$AJ$4,0)))+SUMPRODUCT((Inputs!$C$5:$C$120=$B37)*Inputs!$D$5:$D$120*(((Inputs!$G$5:$G$120="moeda")+(Inputs!$G$5:$G$120="acoes"))*Inputs!$B$1+((Inputs!$G$5:$G$120&lt;&gt;"moeda")*(Inputs!$G$5:$G$120&lt;&gt;"acoes")))*INDEX(Inputs!$K$5:$AJ$120,0,MATCH(AK$2,Inputs!$K$4:$AJ$4,0)))+SUMPRODUCT((Inputs!$E$5:$E$120=$B37)*Inputs!$F$5:$F$120*(((Inputs!$G$5:$G$120="moeda")+(Inputs!$G$5:$G$120="acoes"))*Inputs!$B$1+((Inputs!$G$5:$G$120&lt;&gt;"moeda")*(Inputs!$G$5:$G$120&lt;&gt;"acoes")))*INDEX(Inputs!$K$5:$AJ$120,0,MATCH(AK$2,Inputs!$K$4:$AJ$4,0)))))</f>
        <v>0</v>
      </c>
      <c r="AL37" s="268">
        <f>AK37</f>
        <v>0</v>
      </c>
    </row>
    <row r="38" ht="12.75" customHeight="1" s="255">
      <c r="B38" s="265" t="n">
        <v>33</v>
      </c>
      <c r="C38" s="270" t="inlineStr">
        <is>
          <t>Deferred income taxes</t>
        </is>
      </c>
      <c r="D38" s="267">
        <f>IF(ISNA(MATCH(D$2,Inputs!$K$4:$AJ$4,0)),NA(),IF(SUMPRODUCT((Inputs!$A$5:$A$120=$B38)*ISNUMBER(INDEX(Inputs!$K$5:$AJ$120,0,MATCH(D$2,Inputs!$K$4:$AJ$4,0))))+SUMPRODUCT((Inputs!$C$5:$C$120=$B38)*ISNUMBER(INDEX(Inputs!$K$5:$AJ$120,0,MATCH(D$2,Inputs!$K$4:$AJ$4,0))))+SUMPRODUCT((Inputs!$E$5:$E$120=$B38)*ISNUMBER(INDEX(Inputs!$K$5:$AJ$120,0,MATCH(D$2,Inputs!$K$4:$AJ$4,0))))=0,NA(),SUMPRODUCT((Inputs!$A$5:$A$120=$B38)*Inputs!$B$5:$B$120*(((Inputs!$G$5:$G$120="moeda")+(Inputs!$G$5:$G$120="acoes"))*Inputs!$B$1+((Inputs!$G$5:$G$120&lt;&gt;"moeda")*(Inputs!$G$5:$G$120&lt;&gt;"acoes")))*INDEX(Inputs!$K$5:$AJ$120,0,MATCH(D$2,Inputs!$K$4:$AJ$4,0)))+SUMPRODUCT((Inputs!$C$5:$C$120=$B38)*Inputs!$D$5:$D$120*(((Inputs!$G$5:$G$120="moeda")+(Inputs!$G$5:$G$120="acoes"))*Inputs!$B$1+((Inputs!$G$5:$G$120&lt;&gt;"moeda")*(Inputs!$G$5:$G$120&lt;&gt;"acoes")))*INDEX(Inputs!$K$5:$AJ$120,0,MATCH(D$2,Inputs!$K$4:$AJ$4,0)))+SUMPRODUCT((Inputs!$E$5:$E$120=$B38)*Inputs!$F$5:$F$120*(((Inputs!$G$5:$G$120="moeda")+(Inputs!$G$5:$G$120="acoes"))*Inputs!$B$1+((Inputs!$G$5:$G$120&lt;&gt;"moeda")*(Inputs!$G$5:$G$120&lt;&gt;"acoes")))*INDEX(Inputs!$K$5:$AJ$120,0,MATCH(D$2,Inputs!$K$4:$AJ$4,0)))))</f>
        <v>384</v>
      </c>
      <c r="E38" s="267">
        <f>IF(ISNA(MATCH(E$2,Inputs!$K$4:$AJ$4,0)),NA(),IF(SUMPRODUCT((Inputs!$A$5:$A$120=$B38)*ISNUMBER(INDEX(Inputs!$K$5:$AJ$120,0,MATCH(E$2,Inputs!$K$4:$AJ$4,0))))+SUMPRODUCT((Inputs!$C$5:$C$120=$B38)*ISNUMBER(INDEX(Inputs!$K$5:$AJ$120,0,MATCH(E$2,Inputs!$K$4:$AJ$4,0))))+SUMPRODUCT((Inputs!$E$5:$E$120=$B38)*ISNUMBER(INDEX(Inputs!$K$5:$AJ$120,0,MATCH(E$2,Inputs!$K$4:$AJ$4,0))))=0,NA(),SUMPRODUCT((Inputs!$A$5:$A$120=$B38)*Inputs!$B$5:$B$120*(((Inputs!$G$5:$G$120="moeda")+(Inputs!$G$5:$G$120="acoes"))*Inputs!$B$1+((Inputs!$G$5:$G$120&lt;&gt;"moeda")*(Inputs!$G$5:$G$120&lt;&gt;"acoes")))*INDEX(Inputs!$K$5:$AJ$120,0,MATCH(E$2,Inputs!$K$4:$AJ$4,0)))+SUMPRODUCT((Inputs!$C$5:$C$120=$B38)*Inputs!$D$5:$D$120*(((Inputs!$G$5:$G$120="moeda")+(Inputs!$G$5:$G$120="acoes"))*Inputs!$B$1+((Inputs!$G$5:$G$120&lt;&gt;"moeda")*(Inputs!$G$5:$G$120&lt;&gt;"acoes")))*INDEX(Inputs!$K$5:$AJ$120,0,MATCH(E$2,Inputs!$K$4:$AJ$4,0)))+SUMPRODUCT((Inputs!$E$5:$E$120=$B38)*Inputs!$F$5:$F$120*(((Inputs!$G$5:$G$120="moeda")+(Inputs!$G$5:$G$120="acoes"))*Inputs!$B$1+((Inputs!$G$5:$G$120&lt;&gt;"moeda")*(Inputs!$G$5:$G$120&lt;&gt;"acoes")))*INDEX(Inputs!$K$5:$AJ$120,0,MATCH(E$2,Inputs!$K$4:$AJ$4,0)))))</f>
        <v>413</v>
      </c>
      <c r="F38" s="267">
        <f>IF(ISNA(MATCH(F$2,Inputs!$K$4:$AJ$4,0)),NA(),IF(SUMPRODUCT((Inputs!$A$5:$A$120=$B38)*ISNUMBER(INDEX(Inputs!$K$5:$AJ$120,0,MATCH(F$2,Inputs!$K$4:$AJ$4,0))))+SUMPRODUCT((Inputs!$C$5:$C$120=$B38)*ISNUMBER(INDEX(Inputs!$K$5:$AJ$120,0,MATCH(F$2,Inputs!$K$4:$AJ$4,0))))+SUMPRODUCT((Inputs!$E$5:$E$120=$B38)*ISNUMBER(INDEX(Inputs!$K$5:$AJ$120,0,MATCH(F$2,Inputs!$K$4:$AJ$4,0))))=0,NA(),SUMPRODUCT((Inputs!$A$5:$A$120=$B38)*Inputs!$B$5:$B$120*(((Inputs!$G$5:$G$120="moeda")+(Inputs!$G$5:$G$120="acoes"))*Inputs!$B$1+((Inputs!$G$5:$G$120&lt;&gt;"moeda")*(Inputs!$G$5:$G$120&lt;&gt;"acoes")))*INDEX(Inputs!$K$5:$AJ$120,0,MATCH(F$2,Inputs!$K$4:$AJ$4,0)))+SUMPRODUCT((Inputs!$C$5:$C$120=$B38)*Inputs!$D$5:$D$120*(((Inputs!$G$5:$G$120="moeda")+(Inputs!$G$5:$G$120="acoes"))*Inputs!$B$1+((Inputs!$G$5:$G$120&lt;&gt;"moeda")*(Inputs!$G$5:$G$120&lt;&gt;"acoes")))*INDEX(Inputs!$K$5:$AJ$120,0,MATCH(F$2,Inputs!$K$4:$AJ$4,0)))+SUMPRODUCT((Inputs!$E$5:$E$120=$B38)*Inputs!$F$5:$F$120*(((Inputs!$G$5:$G$120="moeda")+(Inputs!$G$5:$G$120="acoes"))*Inputs!$B$1+((Inputs!$G$5:$G$120&lt;&gt;"moeda")*(Inputs!$G$5:$G$120&lt;&gt;"acoes")))*INDEX(Inputs!$K$5:$AJ$120,0,MATCH(F$2,Inputs!$K$4:$AJ$4,0)))))</f>
        <v>323</v>
      </c>
      <c r="G38" s="267">
        <f>IF(ISNA(MATCH(G$2,Inputs!$K$4:$AJ$4,0)),NA(),IF(SUMPRODUCT((Inputs!$A$5:$A$120=$B38)*ISNUMBER(INDEX(Inputs!$K$5:$AJ$120,0,MATCH(G$2,Inputs!$K$4:$AJ$4,0))))+SUMPRODUCT((Inputs!$C$5:$C$120=$B38)*ISNUMBER(INDEX(Inputs!$K$5:$AJ$120,0,MATCH(G$2,Inputs!$K$4:$AJ$4,0))))+SUMPRODUCT((Inputs!$E$5:$E$120=$B38)*ISNUMBER(INDEX(Inputs!$K$5:$AJ$120,0,MATCH(G$2,Inputs!$K$4:$AJ$4,0))))=0,NA(),SUMPRODUCT((Inputs!$A$5:$A$120=$B38)*Inputs!$B$5:$B$120*(((Inputs!$G$5:$G$120="moeda")+(Inputs!$G$5:$G$120="acoes"))*Inputs!$B$1+((Inputs!$G$5:$G$120&lt;&gt;"moeda")*(Inputs!$G$5:$G$120&lt;&gt;"acoes")))*INDEX(Inputs!$K$5:$AJ$120,0,MATCH(G$2,Inputs!$K$4:$AJ$4,0)))+SUMPRODUCT((Inputs!$C$5:$C$120=$B38)*Inputs!$D$5:$D$120*(((Inputs!$G$5:$G$120="moeda")+(Inputs!$G$5:$G$120="acoes"))*Inputs!$B$1+((Inputs!$G$5:$G$120&lt;&gt;"moeda")*(Inputs!$G$5:$G$120&lt;&gt;"acoes")))*INDEX(Inputs!$K$5:$AJ$120,0,MATCH(G$2,Inputs!$K$4:$AJ$4,0)))+SUMPRODUCT((Inputs!$E$5:$E$120=$B38)*Inputs!$F$5:$F$120*(((Inputs!$G$5:$G$120="moeda")+(Inputs!$G$5:$G$120="acoes"))*Inputs!$B$1+((Inputs!$G$5:$G$120&lt;&gt;"moeda")*(Inputs!$G$5:$G$120&lt;&gt;"acoes")))*INDEX(Inputs!$K$5:$AJ$120,0,MATCH(G$2,Inputs!$K$4:$AJ$4,0)))))</f>
        <v>338</v>
      </c>
      <c r="H38" s="268">
        <f>G38</f>
        <v>338</v>
      </c>
      <c r="I38" s="267">
        <f>IF(ISNA(MATCH(I$2,Inputs!$K$4:$AJ$4,0)),NA(),IF(SUMPRODUCT((Inputs!$A$5:$A$120=$B38)*ISNUMBER(INDEX(Inputs!$K$5:$AJ$120,0,MATCH(I$2,Inputs!$K$4:$AJ$4,0))))+SUMPRODUCT((Inputs!$C$5:$C$120=$B38)*ISNUMBER(INDEX(Inputs!$K$5:$AJ$120,0,MATCH(I$2,Inputs!$K$4:$AJ$4,0))))+SUMPRODUCT((Inputs!$E$5:$E$120=$B38)*ISNUMBER(INDEX(Inputs!$K$5:$AJ$120,0,MATCH(I$2,Inputs!$K$4:$AJ$4,0))))=0,NA(),SUMPRODUCT((Inputs!$A$5:$A$120=$B38)*Inputs!$B$5:$B$120*(((Inputs!$G$5:$G$120="moeda")+(Inputs!$G$5:$G$120="acoes"))*Inputs!$B$1+((Inputs!$G$5:$G$120&lt;&gt;"moeda")*(Inputs!$G$5:$G$120&lt;&gt;"acoes")))*INDEX(Inputs!$K$5:$AJ$120,0,MATCH(I$2,Inputs!$K$4:$AJ$4,0)))+SUMPRODUCT((Inputs!$C$5:$C$120=$B38)*Inputs!$D$5:$D$120*(((Inputs!$G$5:$G$120="moeda")+(Inputs!$G$5:$G$120="acoes"))*Inputs!$B$1+((Inputs!$G$5:$G$120&lt;&gt;"moeda")*(Inputs!$G$5:$G$120&lt;&gt;"acoes")))*INDEX(Inputs!$K$5:$AJ$120,0,MATCH(I$2,Inputs!$K$4:$AJ$4,0)))+SUMPRODUCT((Inputs!$E$5:$E$120=$B38)*Inputs!$F$5:$F$120*(((Inputs!$G$5:$G$120="moeda")+(Inputs!$G$5:$G$120="acoes"))*Inputs!$B$1+((Inputs!$G$5:$G$120&lt;&gt;"moeda")*(Inputs!$G$5:$G$120&lt;&gt;"acoes")))*INDEX(Inputs!$K$5:$AJ$120,0,MATCH(I$2,Inputs!$K$4:$AJ$4,0)))))</f>
        <v>354</v>
      </c>
      <c r="J38" s="267">
        <f>IF(ISNA(MATCH(J$2,Inputs!$K$4:$AJ$4,0)),NA(),IF(SUMPRODUCT((Inputs!$A$5:$A$120=$B38)*ISNUMBER(INDEX(Inputs!$K$5:$AJ$120,0,MATCH(J$2,Inputs!$K$4:$AJ$4,0))))+SUMPRODUCT((Inputs!$C$5:$C$120=$B38)*ISNUMBER(INDEX(Inputs!$K$5:$AJ$120,0,MATCH(J$2,Inputs!$K$4:$AJ$4,0))))+SUMPRODUCT((Inputs!$E$5:$E$120=$B38)*ISNUMBER(INDEX(Inputs!$K$5:$AJ$120,0,MATCH(J$2,Inputs!$K$4:$AJ$4,0))))=0,NA(),SUMPRODUCT((Inputs!$A$5:$A$120=$B38)*Inputs!$B$5:$B$120*(((Inputs!$G$5:$G$120="moeda")+(Inputs!$G$5:$G$120="acoes"))*Inputs!$B$1+((Inputs!$G$5:$G$120&lt;&gt;"moeda")*(Inputs!$G$5:$G$120&lt;&gt;"acoes")))*INDEX(Inputs!$K$5:$AJ$120,0,MATCH(J$2,Inputs!$K$4:$AJ$4,0)))+SUMPRODUCT((Inputs!$C$5:$C$120=$B38)*Inputs!$D$5:$D$120*(((Inputs!$G$5:$G$120="moeda")+(Inputs!$G$5:$G$120="acoes"))*Inputs!$B$1+((Inputs!$G$5:$G$120&lt;&gt;"moeda")*(Inputs!$G$5:$G$120&lt;&gt;"acoes")))*INDEX(Inputs!$K$5:$AJ$120,0,MATCH(J$2,Inputs!$K$4:$AJ$4,0)))+SUMPRODUCT((Inputs!$E$5:$E$120=$B38)*Inputs!$F$5:$F$120*(((Inputs!$G$5:$G$120="moeda")+(Inputs!$G$5:$G$120="acoes"))*Inputs!$B$1+((Inputs!$G$5:$G$120&lt;&gt;"moeda")*(Inputs!$G$5:$G$120&lt;&gt;"acoes")))*INDEX(Inputs!$K$5:$AJ$120,0,MATCH(J$2,Inputs!$K$4:$AJ$4,0)))))</f>
        <v>315</v>
      </c>
      <c r="K38" s="267">
        <f>IF(ISNA(MATCH(K$2,Inputs!$K$4:$AJ$4,0)),NA(),IF(SUMPRODUCT((Inputs!$A$5:$A$120=$B38)*ISNUMBER(INDEX(Inputs!$K$5:$AJ$120,0,MATCH(K$2,Inputs!$K$4:$AJ$4,0))))+SUMPRODUCT((Inputs!$C$5:$C$120=$B38)*ISNUMBER(INDEX(Inputs!$K$5:$AJ$120,0,MATCH(K$2,Inputs!$K$4:$AJ$4,0))))+SUMPRODUCT((Inputs!$E$5:$E$120=$B38)*ISNUMBER(INDEX(Inputs!$K$5:$AJ$120,0,MATCH(K$2,Inputs!$K$4:$AJ$4,0))))=0,NA(),SUMPRODUCT((Inputs!$A$5:$A$120=$B38)*Inputs!$B$5:$B$120*(((Inputs!$G$5:$G$120="moeda")+(Inputs!$G$5:$G$120="acoes"))*Inputs!$B$1+((Inputs!$G$5:$G$120&lt;&gt;"moeda")*(Inputs!$G$5:$G$120&lt;&gt;"acoes")))*INDEX(Inputs!$K$5:$AJ$120,0,MATCH(K$2,Inputs!$K$4:$AJ$4,0)))+SUMPRODUCT((Inputs!$C$5:$C$120=$B38)*Inputs!$D$5:$D$120*(((Inputs!$G$5:$G$120="moeda")+(Inputs!$G$5:$G$120="acoes"))*Inputs!$B$1+((Inputs!$G$5:$G$120&lt;&gt;"moeda")*(Inputs!$G$5:$G$120&lt;&gt;"acoes")))*INDEX(Inputs!$K$5:$AJ$120,0,MATCH(K$2,Inputs!$K$4:$AJ$4,0)))+SUMPRODUCT((Inputs!$E$5:$E$120=$B38)*Inputs!$F$5:$F$120*(((Inputs!$G$5:$G$120="moeda")+(Inputs!$G$5:$G$120="acoes"))*Inputs!$B$1+((Inputs!$G$5:$G$120&lt;&gt;"moeda")*(Inputs!$G$5:$G$120&lt;&gt;"acoes")))*INDEX(Inputs!$K$5:$AJ$120,0,MATCH(K$2,Inputs!$K$4:$AJ$4,0)))))</f>
        <v>335</v>
      </c>
      <c r="L38" s="267">
        <f>IF(ISNA(MATCH(L$2,Inputs!$K$4:$AJ$4,0)),NA(),IF(SUMPRODUCT((Inputs!$A$5:$A$120=$B38)*ISNUMBER(INDEX(Inputs!$K$5:$AJ$120,0,MATCH(L$2,Inputs!$K$4:$AJ$4,0))))+SUMPRODUCT((Inputs!$C$5:$C$120=$B38)*ISNUMBER(INDEX(Inputs!$K$5:$AJ$120,0,MATCH(L$2,Inputs!$K$4:$AJ$4,0))))+SUMPRODUCT((Inputs!$E$5:$E$120=$B38)*ISNUMBER(INDEX(Inputs!$K$5:$AJ$120,0,MATCH(L$2,Inputs!$K$4:$AJ$4,0))))=0,NA(),SUMPRODUCT((Inputs!$A$5:$A$120=$B38)*Inputs!$B$5:$B$120*(((Inputs!$G$5:$G$120="moeda")+(Inputs!$G$5:$G$120="acoes"))*Inputs!$B$1+((Inputs!$G$5:$G$120&lt;&gt;"moeda")*(Inputs!$G$5:$G$120&lt;&gt;"acoes")))*INDEX(Inputs!$K$5:$AJ$120,0,MATCH(L$2,Inputs!$K$4:$AJ$4,0)))+SUMPRODUCT((Inputs!$C$5:$C$120=$B38)*Inputs!$D$5:$D$120*(((Inputs!$G$5:$G$120="moeda")+(Inputs!$G$5:$G$120="acoes"))*Inputs!$B$1+((Inputs!$G$5:$G$120&lt;&gt;"moeda")*(Inputs!$G$5:$G$120&lt;&gt;"acoes")))*INDEX(Inputs!$K$5:$AJ$120,0,MATCH(L$2,Inputs!$K$4:$AJ$4,0)))+SUMPRODUCT((Inputs!$E$5:$E$120=$B38)*Inputs!$F$5:$F$120*(((Inputs!$G$5:$G$120="moeda")+(Inputs!$G$5:$G$120="acoes"))*Inputs!$B$1+((Inputs!$G$5:$G$120&lt;&gt;"moeda")*(Inputs!$G$5:$G$120&lt;&gt;"acoes")))*INDEX(Inputs!$K$5:$AJ$120,0,MATCH(L$2,Inputs!$K$4:$AJ$4,0)))))</f>
        <v>365</v>
      </c>
      <c r="M38" s="268">
        <f>L38</f>
        <v>365</v>
      </c>
      <c r="N38" s="267">
        <f>IF(ISNA(MATCH(N$2,Inputs!$K$4:$AJ$4,0)),NA(),IF(SUMPRODUCT((Inputs!$A$5:$A$120=$B38)*ISNUMBER(INDEX(Inputs!$K$5:$AJ$120,0,MATCH(N$2,Inputs!$K$4:$AJ$4,0))))+SUMPRODUCT((Inputs!$C$5:$C$120=$B38)*ISNUMBER(INDEX(Inputs!$K$5:$AJ$120,0,MATCH(N$2,Inputs!$K$4:$AJ$4,0))))+SUMPRODUCT((Inputs!$E$5:$E$120=$B38)*ISNUMBER(INDEX(Inputs!$K$5:$AJ$120,0,MATCH(N$2,Inputs!$K$4:$AJ$4,0))))=0,NA(),SUMPRODUCT((Inputs!$A$5:$A$120=$B38)*Inputs!$B$5:$B$120*(((Inputs!$G$5:$G$120="moeda")+(Inputs!$G$5:$G$120="acoes"))*Inputs!$B$1+((Inputs!$G$5:$G$120&lt;&gt;"moeda")*(Inputs!$G$5:$G$120&lt;&gt;"acoes")))*INDEX(Inputs!$K$5:$AJ$120,0,MATCH(N$2,Inputs!$K$4:$AJ$4,0)))+SUMPRODUCT((Inputs!$C$5:$C$120=$B38)*Inputs!$D$5:$D$120*(((Inputs!$G$5:$G$120="moeda")+(Inputs!$G$5:$G$120="acoes"))*Inputs!$B$1+((Inputs!$G$5:$G$120&lt;&gt;"moeda")*(Inputs!$G$5:$G$120&lt;&gt;"acoes")))*INDEX(Inputs!$K$5:$AJ$120,0,MATCH(N$2,Inputs!$K$4:$AJ$4,0)))+SUMPRODUCT((Inputs!$E$5:$E$120=$B38)*Inputs!$F$5:$F$120*(((Inputs!$G$5:$G$120="moeda")+(Inputs!$G$5:$G$120="acoes"))*Inputs!$B$1+((Inputs!$G$5:$G$120&lt;&gt;"moeda")*(Inputs!$G$5:$G$120&lt;&gt;"acoes")))*INDEX(Inputs!$K$5:$AJ$120,0,MATCH(N$2,Inputs!$K$4:$AJ$4,0)))))</f>
        <v>375</v>
      </c>
      <c r="O38" s="267">
        <f>IF(ISNA(MATCH(O$2,Inputs!$K$4:$AJ$4,0)),NA(),IF(SUMPRODUCT((Inputs!$A$5:$A$120=$B38)*ISNUMBER(INDEX(Inputs!$K$5:$AJ$120,0,MATCH(O$2,Inputs!$K$4:$AJ$4,0))))+SUMPRODUCT((Inputs!$C$5:$C$120=$B38)*ISNUMBER(INDEX(Inputs!$K$5:$AJ$120,0,MATCH(O$2,Inputs!$K$4:$AJ$4,0))))+SUMPRODUCT((Inputs!$E$5:$E$120=$B38)*ISNUMBER(INDEX(Inputs!$K$5:$AJ$120,0,MATCH(O$2,Inputs!$K$4:$AJ$4,0))))=0,NA(),SUMPRODUCT((Inputs!$A$5:$A$120=$B38)*Inputs!$B$5:$B$120*(((Inputs!$G$5:$G$120="moeda")+(Inputs!$G$5:$G$120="acoes"))*Inputs!$B$1+((Inputs!$G$5:$G$120&lt;&gt;"moeda")*(Inputs!$G$5:$G$120&lt;&gt;"acoes")))*INDEX(Inputs!$K$5:$AJ$120,0,MATCH(O$2,Inputs!$K$4:$AJ$4,0)))+SUMPRODUCT((Inputs!$C$5:$C$120=$B38)*Inputs!$D$5:$D$120*(((Inputs!$G$5:$G$120="moeda")+(Inputs!$G$5:$G$120="acoes"))*Inputs!$B$1+((Inputs!$G$5:$G$120&lt;&gt;"moeda")*(Inputs!$G$5:$G$120&lt;&gt;"acoes")))*INDEX(Inputs!$K$5:$AJ$120,0,MATCH(O$2,Inputs!$K$4:$AJ$4,0)))+SUMPRODUCT((Inputs!$E$5:$E$120=$B38)*Inputs!$F$5:$F$120*(((Inputs!$G$5:$G$120="moeda")+(Inputs!$G$5:$G$120="acoes"))*Inputs!$B$1+((Inputs!$G$5:$G$120&lt;&gt;"moeda")*(Inputs!$G$5:$G$120&lt;&gt;"acoes")))*INDEX(Inputs!$K$5:$AJ$120,0,MATCH(O$2,Inputs!$K$4:$AJ$4,0)))))</f>
        <v>381</v>
      </c>
      <c r="P38" s="267">
        <f>IF(ISNA(MATCH(P$2,Inputs!$K$4:$AJ$4,0)),NA(),IF(SUMPRODUCT((Inputs!$A$5:$A$120=$B38)*ISNUMBER(INDEX(Inputs!$K$5:$AJ$120,0,MATCH(P$2,Inputs!$K$4:$AJ$4,0))))+SUMPRODUCT((Inputs!$C$5:$C$120=$B38)*ISNUMBER(INDEX(Inputs!$K$5:$AJ$120,0,MATCH(P$2,Inputs!$K$4:$AJ$4,0))))+SUMPRODUCT((Inputs!$E$5:$E$120=$B38)*ISNUMBER(INDEX(Inputs!$K$5:$AJ$120,0,MATCH(P$2,Inputs!$K$4:$AJ$4,0))))=0,NA(),SUMPRODUCT((Inputs!$A$5:$A$120=$B38)*Inputs!$B$5:$B$120*(((Inputs!$G$5:$G$120="moeda")+(Inputs!$G$5:$G$120="acoes"))*Inputs!$B$1+((Inputs!$G$5:$G$120&lt;&gt;"moeda")*(Inputs!$G$5:$G$120&lt;&gt;"acoes")))*INDEX(Inputs!$K$5:$AJ$120,0,MATCH(P$2,Inputs!$K$4:$AJ$4,0)))+SUMPRODUCT((Inputs!$C$5:$C$120=$B38)*Inputs!$D$5:$D$120*(((Inputs!$G$5:$G$120="moeda")+(Inputs!$G$5:$G$120="acoes"))*Inputs!$B$1+((Inputs!$G$5:$G$120&lt;&gt;"moeda")*(Inputs!$G$5:$G$120&lt;&gt;"acoes")))*INDEX(Inputs!$K$5:$AJ$120,0,MATCH(P$2,Inputs!$K$4:$AJ$4,0)))+SUMPRODUCT((Inputs!$E$5:$E$120=$B38)*Inputs!$F$5:$F$120*(((Inputs!$G$5:$G$120="moeda")+(Inputs!$G$5:$G$120="acoes"))*Inputs!$B$1+((Inputs!$G$5:$G$120&lt;&gt;"moeda")*(Inputs!$G$5:$G$120&lt;&gt;"acoes")))*INDEX(Inputs!$K$5:$AJ$120,0,MATCH(P$2,Inputs!$K$4:$AJ$4,0)))))</f>
        <v>380</v>
      </c>
      <c r="Q38" s="267">
        <f>IF(ISNA(MATCH(Q$2,Inputs!$K$4:$AJ$4,0)),NA(),IF(SUMPRODUCT((Inputs!$A$5:$A$120=$B38)*ISNUMBER(INDEX(Inputs!$K$5:$AJ$120,0,MATCH(Q$2,Inputs!$K$4:$AJ$4,0))))+SUMPRODUCT((Inputs!$C$5:$C$120=$B38)*ISNUMBER(INDEX(Inputs!$K$5:$AJ$120,0,MATCH(Q$2,Inputs!$K$4:$AJ$4,0))))+SUMPRODUCT((Inputs!$E$5:$E$120=$B38)*ISNUMBER(INDEX(Inputs!$K$5:$AJ$120,0,MATCH(Q$2,Inputs!$K$4:$AJ$4,0))))=0,NA(),SUMPRODUCT((Inputs!$A$5:$A$120=$B38)*Inputs!$B$5:$B$120*(((Inputs!$G$5:$G$120="moeda")+(Inputs!$G$5:$G$120="acoes"))*Inputs!$B$1+((Inputs!$G$5:$G$120&lt;&gt;"moeda")*(Inputs!$G$5:$G$120&lt;&gt;"acoes")))*INDEX(Inputs!$K$5:$AJ$120,0,MATCH(Q$2,Inputs!$K$4:$AJ$4,0)))+SUMPRODUCT((Inputs!$C$5:$C$120=$B38)*Inputs!$D$5:$D$120*(((Inputs!$G$5:$G$120="moeda")+(Inputs!$G$5:$G$120="acoes"))*Inputs!$B$1+((Inputs!$G$5:$G$120&lt;&gt;"moeda")*(Inputs!$G$5:$G$120&lt;&gt;"acoes")))*INDEX(Inputs!$K$5:$AJ$120,0,MATCH(Q$2,Inputs!$K$4:$AJ$4,0)))+SUMPRODUCT((Inputs!$E$5:$E$120=$B38)*Inputs!$F$5:$F$120*(((Inputs!$G$5:$G$120="moeda")+(Inputs!$G$5:$G$120="acoes"))*Inputs!$B$1+((Inputs!$G$5:$G$120&lt;&gt;"moeda")*(Inputs!$G$5:$G$120&lt;&gt;"acoes")))*INDEX(Inputs!$K$5:$AJ$120,0,MATCH(Q$2,Inputs!$K$4:$AJ$4,0)))))</f>
        <v>400</v>
      </c>
      <c r="R38" s="268">
        <f>Q38</f>
        <v>400</v>
      </c>
      <c r="S38" s="267">
        <f>IF(ISNA(MATCH(S$2,Inputs!$K$4:$AJ$4,0)),NA(),IF(SUMPRODUCT((Inputs!$A$5:$A$120=$B38)*ISNUMBER(INDEX(Inputs!$K$5:$AJ$120,0,MATCH(S$2,Inputs!$K$4:$AJ$4,0))))+SUMPRODUCT((Inputs!$C$5:$C$120=$B38)*ISNUMBER(INDEX(Inputs!$K$5:$AJ$120,0,MATCH(S$2,Inputs!$K$4:$AJ$4,0))))+SUMPRODUCT((Inputs!$E$5:$E$120=$B38)*ISNUMBER(INDEX(Inputs!$K$5:$AJ$120,0,MATCH(S$2,Inputs!$K$4:$AJ$4,0))))=0,NA(),SUMPRODUCT((Inputs!$A$5:$A$120=$B38)*Inputs!$B$5:$B$120*(((Inputs!$G$5:$G$120="moeda")+(Inputs!$G$5:$G$120="acoes"))*Inputs!$B$1+((Inputs!$G$5:$G$120&lt;&gt;"moeda")*(Inputs!$G$5:$G$120&lt;&gt;"acoes")))*INDEX(Inputs!$K$5:$AJ$120,0,MATCH(S$2,Inputs!$K$4:$AJ$4,0)))+SUMPRODUCT((Inputs!$C$5:$C$120=$B38)*Inputs!$D$5:$D$120*(((Inputs!$G$5:$G$120="moeda")+(Inputs!$G$5:$G$120="acoes"))*Inputs!$B$1+((Inputs!$G$5:$G$120&lt;&gt;"moeda")*(Inputs!$G$5:$G$120&lt;&gt;"acoes")))*INDEX(Inputs!$K$5:$AJ$120,0,MATCH(S$2,Inputs!$K$4:$AJ$4,0)))+SUMPRODUCT((Inputs!$E$5:$E$120=$B38)*Inputs!$F$5:$F$120*(((Inputs!$G$5:$G$120="moeda")+(Inputs!$G$5:$G$120="acoes"))*Inputs!$B$1+((Inputs!$G$5:$G$120&lt;&gt;"moeda")*(Inputs!$G$5:$G$120&lt;&gt;"acoes")))*INDEX(Inputs!$K$5:$AJ$120,0,MATCH(S$2,Inputs!$K$4:$AJ$4,0)))))</f>
        <v>385</v>
      </c>
      <c r="T38" s="267">
        <f>IF(ISNA(MATCH(T$2,Inputs!$K$4:$AJ$4,0)),NA(),IF(SUMPRODUCT((Inputs!$A$5:$A$120=$B38)*ISNUMBER(INDEX(Inputs!$K$5:$AJ$120,0,MATCH(T$2,Inputs!$K$4:$AJ$4,0))))+SUMPRODUCT((Inputs!$C$5:$C$120=$B38)*ISNUMBER(INDEX(Inputs!$K$5:$AJ$120,0,MATCH(T$2,Inputs!$K$4:$AJ$4,0))))+SUMPRODUCT((Inputs!$E$5:$E$120=$B38)*ISNUMBER(INDEX(Inputs!$K$5:$AJ$120,0,MATCH(T$2,Inputs!$K$4:$AJ$4,0))))=0,NA(),SUMPRODUCT((Inputs!$A$5:$A$120=$B38)*Inputs!$B$5:$B$120*(((Inputs!$G$5:$G$120="moeda")+(Inputs!$G$5:$G$120="acoes"))*Inputs!$B$1+((Inputs!$G$5:$G$120&lt;&gt;"moeda")*(Inputs!$G$5:$G$120&lt;&gt;"acoes")))*INDEX(Inputs!$K$5:$AJ$120,0,MATCH(T$2,Inputs!$K$4:$AJ$4,0)))+SUMPRODUCT((Inputs!$C$5:$C$120=$B38)*Inputs!$D$5:$D$120*(((Inputs!$G$5:$G$120="moeda")+(Inputs!$G$5:$G$120="acoes"))*Inputs!$B$1+((Inputs!$G$5:$G$120&lt;&gt;"moeda")*(Inputs!$G$5:$G$120&lt;&gt;"acoes")))*INDEX(Inputs!$K$5:$AJ$120,0,MATCH(T$2,Inputs!$K$4:$AJ$4,0)))+SUMPRODUCT((Inputs!$E$5:$E$120=$B38)*Inputs!$F$5:$F$120*(((Inputs!$G$5:$G$120="moeda")+(Inputs!$G$5:$G$120="acoes"))*Inputs!$B$1+((Inputs!$G$5:$G$120&lt;&gt;"moeda")*(Inputs!$G$5:$G$120&lt;&gt;"acoes")))*INDEX(Inputs!$K$5:$AJ$120,0,MATCH(T$2,Inputs!$K$4:$AJ$4,0)))))</f>
        <v>369</v>
      </c>
      <c r="U38" s="267">
        <f>IF(ISNA(MATCH(U$2,Inputs!$K$4:$AJ$4,0)),NA(),IF(SUMPRODUCT((Inputs!$A$5:$A$120=$B38)*ISNUMBER(INDEX(Inputs!$K$5:$AJ$120,0,MATCH(U$2,Inputs!$K$4:$AJ$4,0))))+SUMPRODUCT((Inputs!$C$5:$C$120=$B38)*ISNUMBER(INDEX(Inputs!$K$5:$AJ$120,0,MATCH(U$2,Inputs!$K$4:$AJ$4,0))))+SUMPRODUCT((Inputs!$E$5:$E$120=$B38)*ISNUMBER(INDEX(Inputs!$K$5:$AJ$120,0,MATCH(U$2,Inputs!$K$4:$AJ$4,0))))=0,NA(),SUMPRODUCT((Inputs!$A$5:$A$120=$B38)*Inputs!$B$5:$B$120*(((Inputs!$G$5:$G$120="moeda")+(Inputs!$G$5:$G$120="acoes"))*Inputs!$B$1+((Inputs!$G$5:$G$120&lt;&gt;"moeda")*(Inputs!$G$5:$G$120&lt;&gt;"acoes")))*INDEX(Inputs!$K$5:$AJ$120,0,MATCH(U$2,Inputs!$K$4:$AJ$4,0)))+SUMPRODUCT((Inputs!$C$5:$C$120=$B38)*Inputs!$D$5:$D$120*(((Inputs!$G$5:$G$120="moeda")+(Inputs!$G$5:$G$120="acoes"))*Inputs!$B$1+((Inputs!$G$5:$G$120&lt;&gt;"moeda")*(Inputs!$G$5:$G$120&lt;&gt;"acoes")))*INDEX(Inputs!$K$5:$AJ$120,0,MATCH(U$2,Inputs!$K$4:$AJ$4,0)))+SUMPRODUCT((Inputs!$E$5:$E$120=$B38)*Inputs!$F$5:$F$120*(((Inputs!$G$5:$G$120="moeda")+(Inputs!$G$5:$G$120="acoes"))*Inputs!$B$1+((Inputs!$G$5:$G$120&lt;&gt;"moeda")*(Inputs!$G$5:$G$120&lt;&gt;"acoes")))*INDEX(Inputs!$K$5:$AJ$120,0,MATCH(U$2,Inputs!$K$4:$AJ$4,0)))))</f>
        <v>376</v>
      </c>
      <c r="V38" s="267">
        <f>IF(ISNA(MATCH(V$2,Inputs!$K$4:$AJ$4,0)),NA(),IF(SUMPRODUCT((Inputs!$A$5:$A$120=$B38)*ISNUMBER(INDEX(Inputs!$K$5:$AJ$120,0,MATCH(V$2,Inputs!$K$4:$AJ$4,0))))+SUMPRODUCT((Inputs!$C$5:$C$120=$B38)*ISNUMBER(INDEX(Inputs!$K$5:$AJ$120,0,MATCH(V$2,Inputs!$K$4:$AJ$4,0))))+SUMPRODUCT((Inputs!$E$5:$E$120=$B38)*ISNUMBER(INDEX(Inputs!$K$5:$AJ$120,0,MATCH(V$2,Inputs!$K$4:$AJ$4,0))))=0,NA(),SUMPRODUCT((Inputs!$A$5:$A$120=$B38)*Inputs!$B$5:$B$120*(((Inputs!$G$5:$G$120="moeda")+(Inputs!$G$5:$G$120="acoes"))*Inputs!$B$1+((Inputs!$G$5:$G$120&lt;&gt;"moeda")*(Inputs!$G$5:$G$120&lt;&gt;"acoes")))*INDEX(Inputs!$K$5:$AJ$120,0,MATCH(V$2,Inputs!$K$4:$AJ$4,0)))+SUMPRODUCT((Inputs!$C$5:$C$120=$B38)*Inputs!$D$5:$D$120*(((Inputs!$G$5:$G$120="moeda")+(Inputs!$G$5:$G$120="acoes"))*Inputs!$B$1+((Inputs!$G$5:$G$120&lt;&gt;"moeda")*(Inputs!$G$5:$G$120&lt;&gt;"acoes")))*INDEX(Inputs!$K$5:$AJ$120,0,MATCH(V$2,Inputs!$K$4:$AJ$4,0)))+SUMPRODUCT((Inputs!$E$5:$E$120=$B38)*Inputs!$F$5:$F$120*(((Inputs!$G$5:$G$120="moeda")+(Inputs!$G$5:$G$120="acoes"))*Inputs!$B$1+((Inputs!$G$5:$G$120&lt;&gt;"moeda")*(Inputs!$G$5:$G$120&lt;&gt;"acoes")))*INDEX(Inputs!$K$5:$AJ$120,0,MATCH(V$2,Inputs!$K$4:$AJ$4,0)))))</f>
        <v>379</v>
      </c>
      <c r="W38" s="268">
        <f>V38</f>
        <v>379</v>
      </c>
      <c r="X38" s="267">
        <f>IF(ISNA(MATCH(X$2,Inputs!$K$4:$AJ$4,0)),NA(),IF(SUMPRODUCT((Inputs!$A$5:$A$120=$B38)*ISNUMBER(INDEX(Inputs!$K$5:$AJ$120,0,MATCH(X$2,Inputs!$K$4:$AJ$4,0))))+SUMPRODUCT((Inputs!$C$5:$C$120=$B38)*ISNUMBER(INDEX(Inputs!$K$5:$AJ$120,0,MATCH(X$2,Inputs!$K$4:$AJ$4,0))))+SUMPRODUCT((Inputs!$E$5:$E$120=$B38)*ISNUMBER(INDEX(Inputs!$K$5:$AJ$120,0,MATCH(X$2,Inputs!$K$4:$AJ$4,0))))=0,NA(),SUMPRODUCT((Inputs!$A$5:$A$120=$B38)*Inputs!$B$5:$B$120*(((Inputs!$G$5:$G$120="moeda")+(Inputs!$G$5:$G$120="acoes"))*Inputs!$B$1+((Inputs!$G$5:$G$120&lt;&gt;"moeda")*(Inputs!$G$5:$G$120&lt;&gt;"acoes")))*INDEX(Inputs!$K$5:$AJ$120,0,MATCH(X$2,Inputs!$K$4:$AJ$4,0)))+SUMPRODUCT((Inputs!$C$5:$C$120=$B38)*Inputs!$D$5:$D$120*(((Inputs!$G$5:$G$120="moeda")+(Inputs!$G$5:$G$120="acoes"))*Inputs!$B$1+((Inputs!$G$5:$G$120&lt;&gt;"moeda")*(Inputs!$G$5:$G$120&lt;&gt;"acoes")))*INDEX(Inputs!$K$5:$AJ$120,0,MATCH(X$2,Inputs!$K$4:$AJ$4,0)))+SUMPRODUCT((Inputs!$E$5:$E$120=$B38)*Inputs!$F$5:$F$120*(((Inputs!$G$5:$G$120="moeda")+(Inputs!$G$5:$G$120="acoes"))*Inputs!$B$1+((Inputs!$G$5:$G$120&lt;&gt;"moeda")*(Inputs!$G$5:$G$120&lt;&gt;"acoes")))*INDEX(Inputs!$K$5:$AJ$120,0,MATCH(X$2,Inputs!$K$4:$AJ$4,0)))))</f>
        <v>373</v>
      </c>
      <c r="Y38" s="267">
        <f>IF(ISNA(MATCH(Y$2,Inputs!$K$4:$AJ$4,0)),NA(),IF(SUMPRODUCT((Inputs!$A$5:$A$120=$B38)*ISNUMBER(INDEX(Inputs!$K$5:$AJ$120,0,MATCH(Y$2,Inputs!$K$4:$AJ$4,0))))+SUMPRODUCT((Inputs!$C$5:$C$120=$B38)*ISNUMBER(INDEX(Inputs!$K$5:$AJ$120,0,MATCH(Y$2,Inputs!$K$4:$AJ$4,0))))+SUMPRODUCT((Inputs!$E$5:$E$120=$B38)*ISNUMBER(INDEX(Inputs!$K$5:$AJ$120,0,MATCH(Y$2,Inputs!$K$4:$AJ$4,0))))=0,NA(),SUMPRODUCT((Inputs!$A$5:$A$120=$B38)*Inputs!$B$5:$B$120*(((Inputs!$G$5:$G$120="moeda")+(Inputs!$G$5:$G$120="acoes"))*Inputs!$B$1+((Inputs!$G$5:$G$120&lt;&gt;"moeda")*(Inputs!$G$5:$G$120&lt;&gt;"acoes")))*INDEX(Inputs!$K$5:$AJ$120,0,MATCH(Y$2,Inputs!$K$4:$AJ$4,0)))+SUMPRODUCT((Inputs!$C$5:$C$120=$B38)*Inputs!$D$5:$D$120*(((Inputs!$G$5:$G$120="moeda")+(Inputs!$G$5:$G$120="acoes"))*Inputs!$B$1+((Inputs!$G$5:$G$120&lt;&gt;"moeda")*(Inputs!$G$5:$G$120&lt;&gt;"acoes")))*INDEX(Inputs!$K$5:$AJ$120,0,MATCH(Y$2,Inputs!$K$4:$AJ$4,0)))+SUMPRODUCT((Inputs!$E$5:$E$120=$B38)*Inputs!$F$5:$F$120*(((Inputs!$G$5:$G$120="moeda")+(Inputs!$G$5:$G$120="acoes"))*Inputs!$B$1+((Inputs!$G$5:$G$120&lt;&gt;"moeda")*(Inputs!$G$5:$G$120&lt;&gt;"acoes")))*INDEX(Inputs!$K$5:$AJ$120,0,MATCH(Y$2,Inputs!$K$4:$AJ$4,0)))))</f>
        <v>347</v>
      </c>
      <c r="Z38" s="267">
        <f>IF(ISNA(MATCH(Z$2,Inputs!$K$4:$AJ$4,0)),NA(),IF(SUMPRODUCT((Inputs!$A$5:$A$120=$B38)*ISNUMBER(INDEX(Inputs!$K$5:$AJ$120,0,MATCH(Z$2,Inputs!$K$4:$AJ$4,0))))+SUMPRODUCT((Inputs!$C$5:$C$120=$B38)*ISNUMBER(INDEX(Inputs!$K$5:$AJ$120,0,MATCH(Z$2,Inputs!$K$4:$AJ$4,0))))+SUMPRODUCT((Inputs!$E$5:$E$120=$B38)*ISNUMBER(INDEX(Inputs!$K$5:$AJ$120,0,MATCH(Z$2,Inputs!$K$4:$AJ$4,0))))=0,NA(),SUMPRODUCT((Inputs!$A$5:$A$120=$B38)*Inputs!$B$5:$B$120*(((Inputs!$G$5:$G$120="moeda")+(Inputs!$G$5:$G$120="acoes"))*Inputs!$B$1+((Inputs!$G$5:$G$120&lt;&gt;"moeda")*(Inputs!$G$5:$G$120&lt;&gt;"acoes")))*INDEX(Inputs!$K$5:$AJ$120,0,MATCH(Z$2,Inputs!$K$4:$AJ$4,0)))+SUMPRODUCT((Inputs!$C$5:$C$120=$B38)*Inputs!$D$5:$D$120*(((Inputs!$G$5:$G$120="moeda")+(Inputs!$G$5:$G$120="acoes"))*Inputs!$B$1+((Inputs!$G$5:$G$120&lt;&gt;"moeda")*(Inputs!$G$5:$G$120&lt;&gt;"acoes")))*INDEX(Inputs!$K$5:$AJ$120,0,MATCH(Z$2,Inputs!$K$4:$AJ$4,0)))+SUMPRODUCT((Inputs!$E$5:$E$120=$B38)*Inputs!$F$5:$F$120*(((Inputs!$G$5:$G$120="moeda")+(Inputs!$G$5:$G$120="acoes"))*Inputs!$B$1+((Inputs!$G$5:$G$120&lt;&gt;"moeda")*(Inputs!$G$5:$G$120&lt;&gt;"acoes")))*INDEX(Inputs!$K$5:$AJ$120,0,MATCH(Z$2,Inputs!$K$4:$AJ$4,0)))))</f>
        <v>925</v>
      </c>
      <c r="AA38" s="267">
        <f>IF(ISNA(MATCH(AA$2,Inputs!$K$4:$AJ$4,0)),NA(),IF(SUMPRODUCT((Inputs!$A$5:$A$120=$B38)*ISNUMBER(INDEX(Inputs!$K$5:$AJ$120,0,MATCH(AA$2,Inputs!$K$4:$AJ$4,0))))+SUMPRODUCT((Inputs!$C$5:$C$120=$B38)*ISNUMBER(INDEX(Inputs!$K$5:$AJ$120,0,MATCH(AA$2,Inputs!$K$4:$AJ$4,0))))+SUMPRODUCT((Inputs!$E$5:$E$120=$B38)*ISNUMBER(INDEX(Inputs!$K$5:$AJ$120,0,MATCH(AA$2,Inputs!$K$4:$AJ$4,0))))=0,NA(),SUMPRODUCT((Inputs!$A$5:$A$120=$B38)*Inputs!$B$5:$B$120*(((Inputs!$G$5:$G$120="moeda")+(Inputs!$G$5:$G$120="acoes"))*Inputs!$B$1+((Inputs!$G$5:$G$120&lt;&gt;"moeda")*(Inputs!$G$5:$G$120&lt;&gt;"acoes")))*INDEX(Inputs!$K$5:$AJ$120,0,MATCH(AA$2,Inputs!$K$4:$AJ$4,0)))+SUMPRODUCT((Inputs!$C$5:$C$120=$B38)*Inputs!$D$5:$D$120*(((Inputs!$G$5:$G$120="moeda")+(Inputs!$G$5:$G$120="acoes"))*Inputs!$B$1+((Inputs!$G$5:$G$120&lt;&gt;"moeda")*(Inputs!$G$5:$G$120&lt;&gt;"acoes")))*INDEX(Inputs!$K$5:$AJ$120,0,MATCH(AA$2,Inputs!$K$4:$AJ$4,0)))+SUMPRODUCT((Inputs!$E$5:$E$120=$B38)*Inputs!$F$5:$F$120*(((Inputs!$G$5:$G$120="moeda")+(Inputs!$G$5:$G$120="acoes"))*Inputs!$B$1+((Inputs!$G$5:$G$120&lt;&gt;"moeda")*(Inputs!$G$5:$G$120&lt;&gt;"acoes")))*INDEX(Inputs!$K$5:$AJ$120,0,MATCH(AA$2,Inputs!$K$4:$AJ$4,0)))))</f>
        <v>988</v>
      </c>
      <c r="AB38" s="268">
        <f>AA38</f>
        <v>988</v>
      </c>
      <c r="AC38" s="267">
        <f>IF(ISNA(MATCH(AC$2,Inputs!$K$4:$AJ$4,0)),NA(),IF(SUMPRODUCT((Inputs!$A$5:$A$120=$B38)*ISNUMBER(INDEX(Inputs!$K$5:$AJ$120,0,MATCH(AC$2,Inputs!$K$4:$AJ$4,0))))+SUMPRODUCT((Inputs!$C$5:$C$120=$B38)*ISNUMBER(INDEX(Inputs!$K$5:$AJ$120,0,MATCH(AC$2,Inputs!$K$4:$AJ$4,0))))+SUMPRODUCT((Inputs!$E$5:$E$120=$B38)*ISNUMBER(INDEX(Inputs!$K$5:$AJ$120,0,MATCH(AC$2,Inputs!$K$4:$AJ$4,0))))=0,NA(),SUMPRODUCT((Inputs!$A$5:$A$120=$B38)*Inputs!$B$5:$B$120*(((Inputs!$G$5:$G$120="moeda")+(Inputs!$G$5:$G$120="acoes"))*Inputs!$B$1+((Inputs!$G$5:$G$120&lt;&gt;"moeda")*(Inputs!$G$5:$G$120&lt;&gt;"acoes")))*INDEX(Inputs!$K$5:$AJ$120,0,MATCH(AC$2,Inputs!$K$4:$AJ$4,0)))+SUMPRODUCT((Inputs!$C$5:$C$120=$B38)*Inputs!$D$5:$D$120*(((Inputs!$G$5:$G$120="moeda")+(Inputs!$G$5:$G$120="acoes"))*Inputs!$B$1+((Inputs!$G$5:$G$120&lt;&gt;"moeda")*(Inputs!$G$5:$G$120&lt;&gt;"acoes")))*INDEX(Inputs!$K$5:$AJ$120,0,MATCH(AC$2,Inputs!$K$4:$AJ$4,0)))+SUMPRODUCT((Inputs!$E$5:$E$120=$B38)*Inputs!$F$5:$F$120*(((Inputs!$G$5:$G$120="moeda")+(Inputs!$G$5:$G$120="acoes"))*Inputs!$B$1+((Inputs!$G$5:$G$120&lt;&gt;"moeda")*(Inputs!$G$5:$G$120&lt;&gt;"acoes")))*INDEX(Inputs!$K$5:$AJ$120,0,MATCH(AC$2,Inputs!$K$4:$AJ$4,0)))))</f>
        <v>929</v>
      </c>
      <c r="AD38" s="267">
        <f>IF(ISNA(MATCH(AD$2,Inputs!$K$4:$AJ$4,0)),NA(),IF(SUMPRODUCT((Inputs!$A$5:$A$120=$B38)*ISNUMBER(INDEX(Inputs!$K$5:$AJ$120,0,MATCH(AD$2,Inputs!$K$4:$AJ$4,0))))+SUMPRODUCT((Inputs!$C$5:$C$120=$B38)*ISNUMBER(INDEX(Inputs!$K$5:$AJ$120,0,MATCH(AD$2,Inputs!$K$4:$AJ$4,0))))+SUMPRODUCT((Inputs!$E$5:$E$120=$B38)*ISNUMBER(INDEX(Inputs!$K$5:$AJ$120,0,MATCH(AD$2,Inputs!$K$4:$AJ$4,0))))=0,NA(),SUMPRODUCT((Inputs!$A$5:$A$120=$B38)*Inputs!$B$5:$B$120*(((Inputs!$G$5:$G$120="moeda")+(Inputs!$G$5:$G$120="acoes"))*Inputs!$B$1+((Inputs!$G$5:$G$120&lt;&gt;"moeda")*(Inputs!$G$5:$G$120&lt;&gt;"acoes")))*INDEX(Inputs!$K$5:$AJ$120,0,MATCH(AD$2,Inputs!$K$4:$AJ$4,0)))+SUMPRODUCT((Inputs!$C$5:$C$120=$B38)*Inputs!$D$5:$D$120*(((Inputs!$G$5:$G$120="moeda")+(Inputs!$G$5:$G$120="acoes"))*Inputs!$B$1+((Inputs!$G$5:$G$120&lt;&gt;"moeda")*(Inputs!$G$5:$G$120&lt;&gt;"acoes")))*INDEX(Inputs!$K$5:$AJ$120,0,MATCH(AD$2,Inputs!$K$4:$AJ$4,0)))+SUMPRODUCT((Inputs!$E$5:$E$120=$B38)*Inputs!$F$5:$F$120*(((Inputs!$G$5:$G$120="moeda")+(Inputs!$G$5:$G$120="acoes"))*Inputs!$B$1+((Inputs!$G$5:$G$120&lt;&gt;"moeda")*(Inputs!$G$5:$G$120&lt;&gt;"acoes")))*INDEX(Inputs!$K$5:$AJ$120,0,MATCH(AD$2,Inputs!$K$4:$AJ$4,0)))))</f>
        <v>931</v>
      </c>
      <c r="AE38" s="267" t="e">
        <f>IF(ISNA(MATCH(AE$2,Inputs!$K$4:$AJ$4,0)),NA(),IF(SUMPRODUCT((Inputs!$A$5:$A$120=$B38)*ISNUMBER(INDEX(Inputs!$K$5:$AJ$120,0,MATCH(AE$2,Inputs!$K$4:$AJ$4,0))))+SUMPRODUCT((Inputs!$C$5:$C$120=$B38)*ISNUMBER(INDEX(Inputs!$K$5:$AJ$120,0,MATCH(AE$2,Inputs!$K$4:$AJ$4,0))))+SUMPRODUCT((Inputs!$E$5:$E$120=$B38)*ISNUMBER(INDEX(Inputs!$K$5:$AJ$120,0,MATCH(AE$2,Inputs!$K$4:$AJ$4,0))))=0,NA(),SUMPRODUCT((Inputs!$A$5:$A$120=$B38)*Inputs!$B$5:$B$120*(((Inputs!$G$5:$G$120="moeda")+(Inputs!$G$5:$G$120="acoes"))*Inputs!$B$1+((Inputs!$G$5:$G$120&lt;&gt;"moeda")*(Inputs!$G$5:$G$120&lt;&gt;"acoes")))*INDEX(Inputs!$K$5:$AJ$120,0,MATCH(AE$2,Inputs!$K$4:$AJ$4,0)))+SUMPRODUCT((Inputs!$C$5:$C$120=$B38)*Inputs!$D$5:$D$120*(((Inputs!$G$5:$G$120="moeda")+(Inputs!$G$5:$G$120="acoes"))*Inputs!$B$1+((Inputs!$G$5:$G$120&lt;&gt;"moeda")*(Inputs!$G$5:$G$120&lt;&gt;"acoes")))*INDEX(Inputs!$K$5:$AJ$120,0,MATCH(AE$2,Inputs!$K$4:$AJ$4,0)))+SUMPRODUCT((Inputs!$E$5:$E$120=$B38)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8" s="267" t="e">
        <f>IF(ISNA(MATCH(AF$2,Inputs!$K$4:$AJ$4,0)),NA(),IF(SUMPRODUCT((Inputs!$A$5:$A$120=$B38)*ISNUMBER(INDEX(Inputs!$K$5:$AJ$120,0,MATCH(AF$2,Inputs!$K$4:$AJ$4,0))))+SUMPRODUCT((Inputs!$C$5:$C$120=$B38)*ISNUMBER(INDEX(Inputs!$K$5:$AJ$120,0,MATCH(AF$2,Inputs!$K$4:$AJ$4,0))))+SUMPRODUCT((Inputs!$E$5:$E$120=$B38)*ISNUMBER(INDEX(Inputs!$K$5:$AJ$120,0,MATCH(AF$2,Inputs!$K$4:$AJ$4,0))))=0,NA(),SUMPRODUCT((Inputs!$A$5:$A$120=$B38)*Inputs!$B$5:$B$120*(((Inputs!$G$5:$G$120="moeda")+(Inputs!$G$5:$G$120="acoes"))*Inputs!$B$1+((Inputs!$G$5:$G$120&lt;&gt;"moeda")*(Inputs!$G$5:$G$120&lt;&gt;"acoes")))*INDEX(Inputs!$K$5:$AJ$120,0,MATCH(AF$2,Inputs!$K$4:$AJ$4,0)))+SUMPRODUCT((Inputs!$C$5:$C$120=$B38)*Inputs!$D$5:$D$120*(((Inputs!$G$5:$G$120="moeda")+(Inputs!$G$5:$G$120="acoes"))*Inputs!$B$1+((Inputs!$G$5:$G$120&lt;&gt;"moeda")*(Inputs!$G$5:$G$120&lt;&gt;"acoes")))*INDEX(Inputs!$K$5:$AJ$120,0,MATCH(AF$2,Inputs!$K$4:$AJ$4,0)))+SUMPRODUCT((Inputs!$E$5:$E$120=$B38)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8" s="268" t="e">
        <f>AF38</f>
        <v>#N/A</v>
      </c>
      <c r="AH38" s="267">
        <f>IF(ISNA(MATCH(AH$2,Inputs!$K$4:$AJ$4,0)),NA(),IF(SUMPRODUCT((Inputs!$A$5:$A$120=$B38)*ISNUMBER(INDEX(Inputs!$K$5:$AJ$120,0,MATCH(AH$2,Inputs!$K$4:$AJ$4,0))))+SUMPRODUCT((Inputs!$C$5:$C$120=$B38)*ISNUMBER(INDEX(Inputs!$K$5:$AJ$120,0,MATCH(AH$2,Inputs!$K$4:$AJ$4,0))))+SUMPRODUCT((Inputs!$E$5:$E$120=$B38)*ISNUMBER(INDEX(Inputs!$K$5:$AJ$120,0,MATCH(AH$2,Inputs!$K$4:$AJ$4,0))))=0,NA(),SUMPRODUCT((Inputs!$A$5:$A$120=$B38)*Inputs!$B$5:$B$120*(((Inputs!$G$5:$G$120="moeda")+(Inputs!$G$5:$G$120="acoes"))*Inputs!$B$1+((Inputs!$G$5:$G$120&lt;&gt;"moeda")*(Inputs!$G$5:$G$120&lt;&gt;"acoes")))*INDEX(Inputs!$K$5:$AJ$120,0,MATCH(AH$2,Inputs!$K$4:$AJ$4,0)))+SUMPRODUCT((Inputs!$C$5:$C$120=$B38)*Inputs!$D$5:$D$120*(((Inputs!$G$5:$G$120="moeda")+(Inputs!$G$5:$G$120="acoes"))*Inputs!$B$1+((Inputs!$G$5:$G$120&lt;&gt;"moeda")*(Inputs!$G$5:$G$120&lt;&gt;"acoes")))*INDEX(Inputs!$K$5:$AJ$120,0,MATCH(AH$2,Inputs!$K$4:$AJ$4,0)))+SUMPRODUCT((Inputs!$E$5:$E$120=$B38)*Inputs!$F$5:$F$120*(((Inputs!$G$5:$G$120="moeda")+(Inputs!$G$5:$G$120="acoes"))*Inputs!$B$1+((Inputs!$G$5:$G$120&lt;&gt;"moeda")*(Inputs!$G$5:$G$120&lt;&gt;"acoes")))*INDEX(Inputs!$K$5:$AJ$120,0,MATCH(AH$2,Inputs!$K$4:$AJ$4,0)))))</f>
        <v>294</v>
      </c>
      <c r="AI38" s="267">
        <f>IF(ISNA(MATCH(AI$2,Inputs!$K$4:$AJ$4,0)),NA(),IF(SUMPRODUCT((Inputs!$A$5:$A$120=$B38)*ISNUMBER(INDEX(Inputs!$K$5:$AJ$120,0,MATCH(AI$2,Inputs!$K$4:$AJ$4,0))))+SUMPRODUCT((Inputs!$C$5:$C$120=$B38)*ISNUMBER(INDEX(Inputs!$K$5:$AJ$120,0,MATCH(AI$2,Inputs!$K$4:$AJ$4,0))))+SUMPRODUCT((Inputs!$E$5:$E$120=$B38)*ISNUMBER(INDEX(Inputs!$K$5:$AJ$120,0,MATCH(AI$2,Inputs!$K$4:$AJ$4,0))))=0,NA(),SUMPRODUCT((Inputs!$A$5:$A$120=$B38)*Inputs!$B$5:$B$120*(((Inputs!$G$5:$G$120="moeda")+(Inputs!$G$5:$G$120="acoes"))*Inputs!$B$1+((Inputs!$G$5:$G$120&lt;&gt;"moeda")*(Inputs!$G$5:$G$120&lt;&gt;"acoes")))*INDEX(Inputs!$K$5:$AJ$120,0,MATCH(AI$2,Inputs!$K$4:$AJ$4,0)))+SUMPRODUCT((Inputs!$C$5:$C$120=$B38)*Inputs!$D$5:$D$120*(((Inputs!$G$5:$G$120="moeda")+(Inputs!$G$5:$G$120="acoes"))*Inputs!$B$1+((Inputs!$G$5:$G$120&lt;&gt;"moeda")*(Inputs!$G$5:$G$120&lt;&gt;"acoes")))*INDEX(Inputs!$K$5:$AJ$120,0,MATCH(AI$2,Inputs!$K$4:$AJ$4,0)))+SUMPRODUCT((Inputs!$E$5:$E$120=$B38)*Inputs!$F$5:$F$120*(((Inputs!$G$5:$G$120="moeda")+(Inputs!$G$5:$G$120="acoes"))*Inputs!$B$1+((Inputs!$G$5:$G$120&lt;&gt;"moeda")*(Inputs!$G$5:$G$120&lt;&gt;"acoes")))*INDEX(Inputs!$K$5:$AJ$120,0,MATCH(AI$2,Inputs!$K$4:$AJ$4,0)))))</f>
        <v>309</v>
      </c>
      <c r="AJ38" s="267">
        <f>IF(ISNA(MATCH(AJ$2,Inputs!$K$4:$AJ$4,0)),NA(),IF(SUMPRODUCT((Inputs!$A$5:$A$120=$B38)*ISNUMBER(INDEX(Inputs!$K$5:$AJ$120,0,MATCH(AJ$2,Inputs!$K$4:$AJ$4,0))))+SUMPRODUCT((Inputs!$C$5:$C$120=$B38)*ISNUMBER(INDEX(Inputs!$K$5:$AJ$120,0,MATCH(AJ$2,Inputs!$K$4:$AJ$4,0))))+SUMPRODUCT((Inputs!$E$5:$E$120=$B38)*ISNUMBER(INDEX(Inputs!$K$5:$AJ$120,0,MATCH(AJ$2,Inputs!$K$4:$AJ$4,0))))=0,NA(),SUMPRODUCT((Inputs!$A$5:$A$120=$B38)*Inputs!$B$5:$B$120*(((Inputs!$G$5:$G$120="moeda")+(Inputs!$G$5:$G$120="acoes"))*Inputs!$B$1+((Inputs!$G$5:$G$120&lt;&gt;"moeda")*(Inputs!$G$5:$G$120&lt;&gt;"acoes")))*INDEX(Inputs!$K$5:$AJ$120,0,MATCH(AJ$2,Inputs!$K$4:$AJ$4,0)))+SUMPRODUCT((Inputs!$C$5:$C$120=$B38)*Inputs!$D$5:$D$120*(((Inputs!$G$5:$G$120="moeda")+(Inputs!$G$5:$G$120="acoes"))*Inputs!$B$1+((Inputs!$G$5:$G$120&lt;&gt;"moeda")*(Inputs!$G$5:$G$120&lt;&gt;"acoes")))*INDEX(Inputs!$K$5:$AJ$120,0,MATCH(AJ$2,Inputs!$K$4:$AJ$4,0)))+SUMPRODUCT((Inputs!$E$5:$E$120=$B38)*Inputs!$F$5:$F$120*(((Inputs!$G$5:$G$120="moeda")+(Inputs!$G$5:$G$120="acoes"))*Inputs!$B$1+((Inputs!$G$5:$G$120&lt;&gt;"moeda")*(Inputs!$G$5:$G$120&lt;&gt;"acoes")))*INDEX(Inputs!$K$5:$AJ$120,0,MATCH(AJ$2,Inputs!$K$4:$AJ$4,0)))))</f>
        <v>335</v>
      </c>
      <c r="AK38" s="267">
        <f>IF(ISNA(MATCH(AK$2,Inputs!$K$4:$AJ$4,0)),NA(),IF(SUMPRODUCT((Inputs!$A$5:$A$120=$B38)*ISNUMBER(INDEX(Inputs!$K$5:$AJ$120,0,MATCH(AK$2,Inputs!$K$4:$AJ$4,0))))+SUMPRODUCT((Inputs!$C$5:$C$120=$B38)*ISNUMBER(INDEX(Inputs!$K$5:$AJ$120,0,MATCH(AK$2,Inputs!$K$4:$AJ$4,0))))+SUMPRODUCT((Inputs!$E$5:$E$120=$B38)*ISNUMBER(INDEX(Inputs!$K$5:$AJ$120,0,MATCH(AK$2,Inputs!$K$4:$AJ$4,0))))=0,NA(),SUMPRODUCT((Inputs!$A$5:$A$120=$B38)*Inputs!$B$5:$B$120*(((Inputs!$G$5:$G$120="moeda")+(Inputs!$G$5:$G$120="acoes"))*Inputs!$B$1+((Inputs!$G$5:$G$120&lt;&gt;"moeda")*(Inputs!$G$5:$G$120&lt;&gt;"acoes")))*INDEX(Inputs!$K$5:$AJ$120,0,MATCH(AK$2,Inputs!$K$4:$AJ$4,0)))+SUMPRODUCT((Inputs!$C$5:$C$120=$B38)*Inputs!$D$5:$D$120*(((Inputs!$G$5:$G$120="moeda")+(Inputs!$G$5:$G$120="acoes"))*Inputs!$B$1+((Inputs!$G$5:$G$120&lt;&gt;"moeda")*(Inputs!$G$5:$G$120&lt;&gt;"acoes")))*INDEX(Inputs!$K$5:$AJ$120,0,MATCH(AK$2,Inputs!$K$4:$AJ$4,0)))+SUMPRODUCT((Inputs!$E$5:$E$120=$B38)*Inputs!$F$5:$F$120*(((Inputs!$G$5:$G$120="moeda")+(Inputs!$G$5:$G$120="acoes"))*Inputs!$B$1+((Inputs!$G$5:$G$120&lt;&gt;"moeda")*(Inputs!$G$5:$G$120&lt;&gt;"acoes")))*INDEX(Inputs!$K$5:$AJ$120,0,MATCH(AK$2,Inputs!$K$4:$AJ$4,0)))))</f>
        <v>360</v>
      </c>
      <c r="AL38" s="268">
        <f>AK38</f>
        <v>360</v>
      </c>
    </row>
    <row r="39" ht="12.75" customHeight="1" s="255">
      <c r="B39" s="265" t="n">
        <v>34</v>
      </c>
      <c r="C39" s="270" t="inlineStr">
        <is>
          <t>Other non-current liabilities</t>
        </is>
      </c>
      <c r="D39" s="267">
        <f>IF(ISNA(MATCH(D$2,Inputs!$K$4:$AJ$4,0)),NA(),IF(SUMPRODUCT((Inputs!$A$5:$A$120=$B39)*ISNUMBER(INDEX(Inputs!$K$5:$AJ$120,0,MATCH(D$2,Inputs!$K$4:$AJ$4,0))))+SUMPRODUCT((Inputs!$C$5:$C$120=$B39)*ISNUMBER(INDEX(Inputs!$K$5:$AJ$120,0,MATCH(D$2,Inputs!$K$4:$AJ$4,0))))+SUMPRODUCT((Inputs!$E$5:$E$120=$B39)*ISNUMBER(INDEX(Inputs!$K$5:$AJ$120,0,MATCH(D$2,Inputs!$K$4:$AJ$4,0))))=0,NA(),SUMPRODUCT((Inputs!$A$5:$A$120=$B39)*Inputs!$B$5:$B$120*(((Inputs!$G$5:$G$120="moeda")+(Inputs!$G$5:$G$120="acoes"))*Inputs!$B$1+((Inputs!$G$5:$G$120&lt;&gt;"moeda")*(Inputs!$G$5:$G$120&lt;&gt;"acoes")))*INDEX(Inputs!$K$5:$AJ$120,0,MATCH(D$2,Inputs!$K$4:$AJ$4,0)))+SUMPRODUCT((Inputs!$C$5:$C$120=$B39)*Inputs!$D$5:$D$120*(((Inputs!$G$5:$G$120="moeda")+(Inputs!$G$5:$G$120="acoes"))*Inputs!$B$1+((Inputs!$G$5:$G$120&lt;&gt;"moeda")*(Inputs!$G$5:$G$120&lt;&gt;"acoes")))*INDEX(Inputs!$K$5:$AJ$120,0,MATCH(D$2,Inputs!$K$4:$AJ$4,0)))+SUMPRODUCT((Inputs!$E$5:$E$120=$B39)*Inputs!$F$5:$F$120*(((Inputs!$G$5:$G$120="moeda")+(Inputs!$G$5:$G$120="acoes"))*Inputs!$B$1+((Inputs!$G$5:$G$120&lt;&gt;"moeda")*(Inputs!$G$5:$G$120&lt;&gt;"acoes")))*INDEX(Inputs!$K$5:$AJ$120,0,MATCH(D$2,Inputs!$K$4:$AJ$4,0)))))</f>
        <v>658</v>
      </c>
      <c r="E39" s="267">
        <f>IF(ISNA(MATCH(E$2,Inputs!$K$4:$AJ$4,0)),NA(),IF(SUMPRODUCT((Inputs!$A$5:$A$120=$B39)*ISNUMBER(INDEX(Inputs!$K$5:$AJ$120,0,MATCH(E$2,Inputs!$K$4:$AJ$4,0))))+SUMPRODUCT((Inputs!$C$5:$C$120=$B39)*ISNUMBER(INDEX(Inputs!$K$5:$AJ$120,0,MATCH(E$2,Inputs!$K$4:$AJ$4,0))))+SUMPRODUCT((Inputs!$E$5:$E$120=$B39)*ISNUMBER(INDEX(Inputs!$K$5:$AJ$120,0,MATCH(E$2,Inputs!$K$4:$AJ$4,0))))=0,NA(),SUMPRODUCT((Inputs!$A$5:$A$120=$B39)*Inputs!$B$5:$B$120*(((Inputs!$G$5:$G$120="moeda")+(Inputs!$G$5:$G$120="acoes"))*Inputs!$B$1+((Inputs!$G$5:$G$120&lt;&gt;"moeda")*(Inputs!$G$5:$G$120&lt;&gt;"acoes")))*INDEX(Inputs!$K$5:$AJ$120,0,MATCH(E$2,Inputs!$K$4:$AJ$4,0)))+SUMPRODUCT((Inputs!$C$5:$C$120=$B39)*Inputs!$D$5:$D$120*(((Inputs!$G$5:$G$120="moeda")+(Inputs!$G$5:$G$120="acoes"))*Inputs!$B$1+((Inputs!$G$5:$G$120&lt;&gt;"moeda")*(Inputs!$G$5:$G$120&lt;&gt;"acoes")))*INDEX(Inputs!$K$5:$AJ$120,0,MATCH(E$2,Inputs!$K$4:$AJ$4,0)))+SUMPRODUCT((Inputs!$E$5:$E$120=$B39)*Inputs!$F$5:$F$120*(((Inputs!$G$5:$G$120="moeda")+(Inputs!$G$5:$G$120="acoes"))*Inputs!$B$1+((Inputs!$G$5:$G$120&lt;&gt;"moeda")*(Inputs!$G$5:$G$120&lt;&gt;"acoes")))*INDEX(Inputs!$K$5:$AJ$120,0,MATCH(E$2,Inputs!$K$4:$AJ$4,0)))))</f>
        <v>664</v>
      </c>
      <c r="F39" s="267">
        <f>IF(ISNA(MATCH(F$2,Inputs!$K$4:$AJ$4,0)),NA(),IF(SUMPRODUCT((Inputs!$A$5:$A$120=$B39)*ISNUMBER(INDEX(Inputs!$K$5:$AJ$120,0,MATCH(F$2,Inputs!$K$4:$AJ$4,0))))+SUMPRODUCT((Inputs!$C$5:$C$120=$B39)*ISNUMBER(INDEX(Inputs!$K$5:$AJ$120,0,MATCH(F$2,Inputs!$K$4:$AJ$4,0))))+SUMPRODUCT((Inputs!$E$5:$E$120=$B39)*ISNUMBER(INDEX(Inputs!$K$5:$AJ$120,0,MATCH(F$2,Inputs!$K$4:$AJ$4,0))))=0,NA(),SUMPRODUCT((Inputs!$A$5:$A$120=$B39)*Inputs!$B$5:$B$120*(((Inputs!$G$5:$G$120="moeda")+(Inputs!$G$5:$G$120="acoes"))*Inputs!$B$1+((Inputs!$G$5:$G$120&lt;&gt;"moeda")*(Inputs!$G$5:$G$120&lt;&gt;"acoes")))*INDEX(Inputs!$K$5:$AJ$120,0,MATCH(F$2,Inputs!$K$4:$AJ$4,0)))+SUMPRODUCT((Inputs!$C$5:$C$120=$B39)*Inputs!$D$5:$D$120*(((Inputs!$G$5:$G$120="moeda")+(Inputs!$G$5:$G$120="acoes"))*Inputs!$B$1+((Inputs!$G$5:$G$120&lt;&gt;"moeda")*(Inputs!$G$5:$G$120&lt;&gt;"acoes")))*INDEX(Inputs!$K$5:$AJ$120,0,MATCH(F$2,Inputs!$K$4:$AJ$4,0)))+SUMPRODUCT((Inputs!$E$5:$E$120=$B39)*Inputs!$F$5:$F$120*(((Inputs!$G$5:$G$120="moeda")+(Inputs!$G$5:$G$120="acoes"))*Inputs!$B$1+((Inputs!$G$5:$G$120&lt;&gt;"moeda")*(Inputs!$G$5:$G$120&lt;&gt;"acoes")))*INDEX(Inputs!$K$5:$AJ$120,0,MATCH(F$2,Inputs!$K$4:$AJ$4,0)))))</f>
        <v>657</v>
      </c>
      <c r="G39" s="267">
        <f>IF(ISNA(MATCH(G$2,Inputs!$K$4:$AJ$4,0)),NA(),IF(SUMPRODUCT((Inputs!$A$5:$A$120=$B39)*ISNUMBER(INDEX(Inputs!$K$5:$AJ$120,0,MATCH(G$2,Inputs!$K$4:$AJ$4,0))))+SUMPRODUCT((Inputs!$C$5:$C$120=$B39)*ISNUMBER(INDEX(Inputs!$K$5:$AJ$120,0,MATCH(G$2,Inputs!$K$4:$AJ$4,0))))+SUMPRODUCT((Inputs!$E$5:$E$120=$B39)*ISNUMBER(INDEX(Inputs!$K$5:$AJ$120,0,MATCH(G$2,Inputs!$K$4:$AJ$4,0))))=0,NA(),SUMPRODUCT((Inputs!$A$5:$A$120=$B39)*Inputs!$B$5:$B$120*(((Inputs!$G$5:$G$120="moeda")+(Inputs!$G$5:$G$120="acoes"))*Inputs!$B$1+((Inputs!$G$5:$G$120&lt;&gt;"moeda")*(Inputs!$G$5:$G$120&lt;&gt;"acoes")))*INDEX(Inputs!$K$5:$AJ$120,0,MATCH(G$2,Inputs!$K$4:$AJ$4,0)))+SUMPRODUCT((Inputs!$C$5:$C$120=$B39)*Inputs!$D$5:$D$120*(((Inputs!$G$5:$G$120="moeda")+(Inputs!$G$5:$G$120="acoes"))*Inputs!$B$1+((Inputs!$G$5:$G$120&lt;&gt;"moeda")*(Inputs!$G$5:$G$120&lt;&gt;"acoes")))*INDEX(Inputs!$K$5:$AJ$120,0,MATCH(G$2,Inputs!$K$4:$AJ$4,0)))+SUMPRODUCT((Inputs!$E$5:$E$120=$B39)*Inputs!$F$5:$F$120*(((Inputs!$G$5:$G$120="moeda")+(Inputs!$G$5:$G$120="acoes"))*Inputs!$B$1+((Inputs!$G$5:$G$120&lt;&gt;"moeda")*(Inputs!$G$5:$G$120&lt;&gt;"acoes")))*INDEX(Inputs!$K$5:$AJ$120,0,MATCH(G$2,Inputs!$K$4:$AJ$4,0)))))</f>
        <v>658</v>
      </c>
      <c r="H39" s="268">
        <f>G39</f>
        <v>658</v>
      </c>
      <c r="I39" s="267">
        <f>IF(ISNA(MATCH(I$2,Inputs!$K$4:$AJ$4,0)),NA(),IF(SUMPRODUCT((Inputs!$A$5:$A$120=$B39)*ISNUMBER(INDEX(Inputs!$K$5:$AJ$120,0,MATCH(I$2,Inputs!$K$4:$AJ$4,0))))+SUMPRODUCT((Inputs!$C$5:$C$120=$B39)*ISNUMBER(INDEX(Inputs!$K$5:$AJ$120,0,MATCH(I$2,Inputs!$K$4:$AJ$4,0))))+SUMPRODUCT((Inputs!$E$5:$E$120=$B39)*ISNUMBER(INDEX(Inputs!$K$5:$AJ$120,0,MATCH(I$2,Inputs!$K$4:$AJ$4,0))))=0,NA(),SUMPRODUCT((Inputs!$A$5:$A$120=$B39)*Inputs!$B$5:$B$120*(((Inputs!$G$5:$G$120="moeda")+(Inputs!$G$5:$G$120="acoes"))*Inputs!$B$1+((Inputs!$G$5:$G$120&lt;&gt;"moeda")*(Inputs!$G$5:$G$120&lt;&gt;"acoes")))*INDEX(Inputs!$K$5:$AJ$120,0,MATCH(I$2,Inputs!$K$4:$AJ$4,0)))+SUMPRODUCT((Inputs!$C$5:$C$120=$B39)*Inputs!$D$5:$D$120*(((Inputs!$G$5:$G$120="moeda")+(Inputs!$G$5:$G$120="acoes"))*Inputs!$B$1+((Inputs!$G$5:$G$120&lt;&gt;"moeda")*(Inputs!$G$5:$G$120&lt;&gt;"acoes")))*INDEX(Inputs!$K$5:$AJ$120,0,MATCH(I$2,Inputs!$K$4:$AJ$4,0)))+SUMPRODUCT((Inputs!$E$5:$E$120=$B39)*Inputs!$F$5:$F$120*(((Inputs!$G$5:$G$120="moeda")+(Inputs!$G$5:$G$120="acoes"))*Inputs!$B$1+((Inputs!$G$5:$G$120&lt;&gt;"moeda")*(Inputs!$G$5:$G$120&lt;&gt;"acoes")))*INDEX(Inputs!$K$5:$AJ$120,0,MATCH(I$2,Inputs!$K$4:$AJ$4,0)))))</f>
        <v>800</v>
      </c>
      <c r="J39" s="267">
        <f>IF(ISNA(MATCH(J$2,Inputs!$K$4:$AJ$4,0)),NA(),IF(SUMPRODUCT((Inputs!$A$5:$A$120=$B39)*ISNUMBER(INDEX(Inputs!$K$5:$AJ$120,0,MATCH(J$2,Inputs!$K$4:$AJ$4,0))))+SUMPRODUCT((Inputs!$C$5:$C$120=$B39)*ISNUMBER(INDEX(Inputs!$K$5:$AJ$120,0,MATCH(J$2,Inputs!$K$4:$AJ$4,0))))+SUMPRODUCT((Inputs!$E$5:$E$120=$B39)*ISNUMBER(INDEX(Inputs!$K$5:$AJ$120,0,MATCH(J$2,Inputs!$K$4:$AJ$4,0))))=0,NA(),SUMPRODUCT((Inputs!$A$5:$A$120=$B39)*Inputs!$B$5:$B$120*(((Inputs!$G$5:$G$120="moeda")+(Inputs!$G$5:$G$120="acoes"))*Inputs!$B$1+((Inputs!$G$5:$G$120&lt;&gt;"moeda")*(Inputs!$G$5:$G$120&lt;&gt;"acoes")))*INDEX(Inputs!$K$5:$AJ$120,0,MATCH(J$2,Inputs!$K$4:$AJ$4,0)))+SUMPRODUCT((Inputs!$C$5:$C$120=$B39)*Inputs!$D$5:$D$120*(((Inputs!$G$5:$G$120="moeda")+(Inputs!$G$5:$G$120="acoes"))*Inputs!$B$1+((Inputs!$G$5:$G$120&lt;&gt;"moeda")*(Inputs!$G$5:$G$120&lt;&gt;"acoes")))*INDEX(Inputs!$K$5:$AJ$120,0,MATCH(J$2,Inputs!$K$4:$AJ$4,0)))+SUMPRODUCT((Inputs!$E$5:$E$120=$B39)*Inputs!$F$5:$F$120*(((Inputs!$G$5:$G$120="moeda")+(Inputs!$G$5:$G$120="acoes"))*Inputs!$B$1+((Inputs!$G$5:$G$120&lt;&gt;"moeda")*(Inputs!$G$5:$G$120&lt;&gt;"acoes")))*INDEX(Inputs!$K$5:$AJ$120,0,MATCH(J$2,Inputs!$K$4:$AJ$4,0)))))</f>
        <v>816</v>
      </c>
      <c r="K39" s="267">
        <f>IF(ISNA(MATCH(K$2,Inputs!$K$4:$AJ$4,0)),NA(),IF(SUMPRODUCT((Inputs!$A$5:$A$120=$B39)*ISNUMBER(INDEX(Inputs!$K$5:$AJ$120,0,MATCH(K$2,Inputs!$K$4:$AJ$4,0))))+SUMPRODUCT((Inputs!$C$5:$C$120=$B39)*ISNUMBER(INDEX(Inputs!$K$5:$AJ$120,0,MATCH(K$2,Inputs!$K$4:$AJ$4,0))))+SUMPRODUCT((Inputs!$E$5:$E$120=$B39)*ISNUMBER(INDEX(Inputs!$K$5:$AJ$120,0,MATCH(K$2,Inputs!$K$4:$AJ$4,0))))=0,NA(),SUMPRODUCT((Inputs!$A$5:$A$120=$B39)*Inputs!$B$5:$B$120*(((Inputs!$G$5:$G$120="moeda")+(Inputs!$G$5:$G$120="acoes"))*Inputs!$B$1+((Inputs!$G$5:$G$120&lt;&gt;"moeda")*(Inputs!$G$5:$G$120&lt;&gt;"acoes")))*INDEX(Inputs!$K$5:$AJ$120,0,MATCH(K$2,Inputs!$K$4:$AJ$4,0)))+SUMPRODUCT((Inputs!$C$5:$C$120=$B39)*Inputs!$D$5:$D$120*(((Inputs!$G$5:$G$120="moeda")+(Inputs!$G$5:$G$120="acoes"))*Inputs!$B$1+((Inputs!$G$5:$G$120&lt;&gt;"moeda")*(Inputs!$G$5:$G$120&lt;&gt;"acoes")))*INDEX(Inputs!$K$5:$AJ$120,0,MATCH(K$2,Inputs!$K$4:$AJ$4,0)))+SUMPRODUCT((Inputs!$E$5:$E$120=$B39)*Inputs!$F$5:$F$120*(((Inputs!$G$5:$G$120="moeda")+(Inputs!$G$5:$G$120="acoes"))*Inputs!$B$1+((Inputs!$G$5:$G$120&lt;&gt;"moeda")*(Inputs!$G$5:$G$120&lt;&gt;"acoes")))*INDEX(Inputs!$K$5:$AJ$120,0,MATCH(K$2,Inputs!$K$4:$AJ$4,0)))))</f>
        <v>918</v>
      </c>
      <c r="L39" s="267">
        <f>IF(ISNA(MATCH(L$2,Inputs!$K$4:$AJ$4,0)),NA(),IF(SUMPRODUCT((Inputs!$A$5:$A$120=$B39)*ISNUMBER(INDEX(Inputs!$K$5:$AJ$120,0,MATCH(L$2,Inputs!$K$4:$AJ$4,0))))+SUMPRODUCT((Inputs!$C$5:$C$120=$B39)*ISNUMBER(INDEX(Inputs!$K$5:$AJ$120,0,MATCH(L$2,Inputs!$K$4:$AJ$4,0))))+SUMPRODUCT((Inputs!$E$5:$E$120=$B39)*ISNUMBER(INDEX(Inputs!$K$5:$AJ$120,0,MATCH(L$2,Inputs!$K$4:$AJ$4,0))))=0,NA(),SUMPRODUCT((Inputs!$A$5:$A$120=$B39)*Inputs!$B$5:$B$120*(((Inputs!$G$5:$G$120="moeda")+(Inputs!$G$5:$G$120="acoes"))*Inputs!$B$1+((Inputs!$G$5:$G$120&lt;&gt;"moeda")*(Inputs!$G$5:$G$120&lt;&gt;"acoes")))*INDEX(Inputs!$K$5:$AJ$120,0,MATCH(L$2,Inputs!$K$4:$AJ$4,0)))+SUMPRODUCT((Inputs!$C$5:$C$120=$B39)*Inputs!$D$5:$D$120*(((Inputs!$G$5:$G$120="moeda")+(Inputs!$G$5:$G$120="acoes"))*Inputs!$B$1+((Inputs!$G$5:$G$120&lt;&gt;"moeda")*(Inputs!$G$5:$G$120&lt;&gt;"acoes")))*INDEX(Inputs!$K$5:$AJ$120,0,MATCH(L$2,Inputs!$K$4:$AJ$4,0)))+SUMPRODUCT((Inputs!$E$5:$E$120=$B39)*Inputs!$F$5:$F$120*(((Inputs!$G$5:$G$120="moeda")+(Inputs!$G$5:$G$120="acoes"))*Inputs!$B$1+((Inputs!$G$5:$G$120&lt;&gt;"moeda")*(Inputs!$G$5:$G$120&lt;&gt;"acoes")))*INDEX(Inputs!$K$5:$AJ$120,0,MATCH(L$2,Inputs!$K$4:$AJ$4,0)))))</f>
        <v>849</v>
      </c>
      <c r="M39" s="268">
        <f>L39</f>
        <v>849</v>
      </c>
      <c r="N39" s="267">
        <f>IF(ISNA(MATCH(N$2,Inputs!$K$4:$AJ$4,0)),NA(),IF(SUMPRODUCT((Inputs!$A$5:$A$120=$B39)*ISNUMBER(INDEX(Inputs!$K$5:$AJ$120,0,MATCH(N$2,Inputs!$K$4:$AJ$4,0))))+SUMPRODUCT((Inputs!$C$5:$C$120=$B39)*ISNUMBER(INDEX(Inputs!$K$5:$AJ$120,0,MATCH(N$2,Inputs!$K$4:$AJ$4,0))))+SUMPRODUCT((Inputs!$E$5:$E$120=$B39)*ISNUMBER(INDEX(Inputs!$K$5:$AJ$120,0,MATCH(N$2,Inputs!$K$4:$AJ$4,0))))=0,NA(),SUMPRODUCT((Inputs!$A$5:$A$120=$B39)*Inputs!$B$5:$B$120*(((Inputs!$G$5:$G$120="moeda")+(Inputs!$G$5:$G$120="acoes"))*Inputs!$B$1+((Inputs!$G$5:$G$120&lt;&gt;"moeda")*(Inputs!$G$5:$G$120&lt;&gt;"acoes")))*INDEX(Inputs!$K$5:$AJ$120,0,MATCH(N$2,Inputs!$K$4:$AJ$4,0)))+SUMPRODUCT((Inputs!$C$5:$C$120=$B39)*Inputs!$D$5:$D$120*(((Inputs!$G$5:$G$120="moeda")+(Inputs!$G$5:$G$120="acoes"))*Inputs!$B$1+((Inputs!$G$5:$G$120&lt;&gt;"moeda")*(Inputs!$G$5:$G$120&lt;&gt;"acoes")))*INDEX(Inputs!$K$5:$AJ$120,0,MATCH(N$2,Inputs!$K$4:$AJ$4,0)))+SUMPRODUCT((Inputs!$E$5:$E$120=$B39)*Inputs!$F$5:$F$120*(((Inputs!$G$5:$G$120="moeda")+(Inputs!$G$5:$G$120="acoes"))*Inputs!$B$1+((Inputs!$G$5:$G$120&lt;&gt;"moeda")*(Inputs!$G$5:$G$120&lt;&gt;"acoes")))*INDEX(Inputs!$K$5:$AJ$120,0,MATCH(N$2,Inputs!$K$4:$AJ$4,0)))))</f>
        <v>802</v>
      </c>
      <c r="O39" s="267">
        <f>IF(ISNA(MATCH(O$2,Inputs!$K$4:$AJ$4,0)),NA(),IF(SUMPRODUCT((Inputs!$A$5:$A$120=$B39)*ISNUMBER(INDEX(Inputs!$K$5:$AJ$120,0,MATCH(O$2,Inputs!$K$4:$AJ$4,0))))+SUMPRODUCT((Inputs!$C$5:$C$120=$B39)*ISNUMBER(INDEX(Inputs!$K$5:$AJ$120,0,MATCH(O$2,Inputs!$K$4:$AJ$4,0))))+SUMPRODUCT((Inputs!$E$5:$E$120=$B39)*ISNUMBER(INDEX(Inputs!$K$5:$AJ$120,0,MATCH(O$2,Inputs!$K$4:$AJ$4,0))))=0,NA(),SUMPRODUCT((Inputs!$A$5:$A$120=$B39)*Inputs!$B$5:$B$120*(((Inputs!$G$5:$G$120="moeda")+(Inputs!$G$5:$G$120="acoes"))*Inputs!$B$1+((Inputs!$G$5:$G$120&lt;&gt;"moeda")*(Inputs!$G$5:$G$120&lt;&gt;"acoes")))*INDEX(Inputs!$K$5:$AJ$120,0,MATCH(O$2,Inputs!$K$4:$AJ$4,0)))+SUMPRODUCT((Inputs!$C$5:$C$120=$B39)*Inputs!$D$5:$D$120*(((Inputs!$G$5:$G$120="moeda")+(Inputs!$G$5:$G$120="acoes"))*Inputs!$B$1+((Inputs!$G$5:$G$120&lt;&gt;"moeda")*(Inputs!$G$5:$G$120&lt;&gt;"acoes")))*INDEX(Inputs!$K$5:$AJ$120,0,MATCH(O$2,Inputs!$K$4:$AJ$4,0)))+SUMPRODUCT((Inputs!$E$5:$E$120=$B39)*Inputs!$F$5:$F$120*(((Inputs!$G$5:$G$120="moeda")+(Inputs!$G$5:$G$120="acoes"))*Inputs!$B$1+((Inputs!$G$5:$G$120&lt;&gt;"moeda")*(Inputs!$G$5:$G$120&lt;&gt;"acoes")))*INDEX(Inputs!$K$5:$AJ$120,0,MATCH(O$2,Inputs!$K$4:$AJ$4,0)))))</f>
        <v>871</v>
      </c>
      <c r="P39" s="267">
        <f>IF(ISNA(MATCH(P$2,Inputs!$K$4:$AJ$4,0)),NA(),IF(SUMPRODUCT((Inputs!$A$5:$A$120=$B39)*ISNUMBER(INDEX(Inputs!$K$5:$AJ$120,0,MATCH(P$2,Inputs!$K$4:$AJ$4,0))))+SUMPRODUCT((Inputs!$C$5:$C$120=$B39)*ISNUMBER(INDEX(Inputs!$K$5:$AJ$120,0,MATCH(P$2,Inputs!$K$4:$AJ$4,0))))+SUMPRODUCT((Inputs!$E$5:$E$120=$B39)*ISNUMBER(INDEX(Inputs!$K$5:$AJ$120,0,MATCH(P$2,Inputs!$K$4:$AJ$4,0))))=0,NA(),SUMPRODUCT((Inputs!$A$5:$A$120=$B39)*Inputs!$B$5:$B$120*(((Inputs!$G$5:$G$120="moeda")+(Inputs!$G$5:$G$120="acoes"))*Inputs!$B$1+((Inputs!$G$5:$G$120&lt;&gt;"moeda")*(Inputs!$G$5:$G$120&lt;&gt;"acoes")))*INDEX(Inputs!$K$5:$AJ$120,0,MATCH(P$2,Inputs!$K$4:$AJ$4,0)))+SUMPRODUCT((Inputs!$C$5:$C$120=$B39)*Inputs!$D$5:$D$120*(((Inputs!$G$5:$G$120="moeda")+(Inputs!$G$5:$G$120="acoes"))*Inputs!$B$1+((Inputs!$G$5:$G$120&lt;&gt;"moeda")*(Inputs!$G$5:$G$120&lt;&gt;"acoes")))*INDEX(Inputs!$K$5:$AJ$120,0,MATCH(P$2,Inputs!$K$4:$AJ$4,0)))+SUMPRODUCT((Inputs!$E$5:$E$120=$B39)*Inputs!$F$5:$F$120*(((Inputs!$G$5:$G$120="moeda")+(Inputs!$G$5:$G$120="acoes"))*Inputs!$B$1+((Inputs!$G$5:$G$120&lt;&gt;"moeda")*(Inputs!$G$5:$G$120&lt;&gt;"acoes")))*INDEX(Inputs!$K$5:$AJ$120,0,MATCH(P$2,Inputs!$K$4:$AJ$4,0)))))</f>
        <v>900</v>
      </c>
      <c r="Q39" s="267">
        <f>IF(ISNA(MATCH(Q$2,Inputs!$K$4:$AJ$4,0)),NA(),IF(SUMPRODUCT((Inputs!$A$5:$A$120=$B39)*ISNUMBER(INDEX(Inputs!$K$5:$AJ$120,0,MATCH(Q$2,Inputs!$K$4:$AJ$4,0))))+SUMPRODUCT((Inputs!$C$5:$C$120=$B39)*ISNUMBER(INDEX(Inputs!$K$5:$AJ$120,0,MATCH(Q$2,Inputs!$K$4:$AJ$4,0))))+SUMPRODUCT((Inputs!$E$5:$E$120=$B39)*ISNUMBER(INDEX(Inputs!$K$5:$AJ$120,0,MATCH(Q$2,Inputs!$K$4:$AJ$4,0))))=0,NA(),SUMPRODUCT((Inputs!$A$5:$A$120=$B39)*Inputs!$B$5:$B$120*(((Inputs!$G$5:$G$120="moeda")+(Inputs!$G$5:$G$120="acoes"))*Inputs!$B$1+((Inputs!$G$5:$G$120&lt;&gt;"moeda")*(Inputs!$G$5:$G$120&lt;&gt;"acoes")))*INDEX(Inputs!$K$5:$AJ$120,0,MATCH(Q$2,Inputs!$K$4:$AJ$4,0)))+SUMPRODUCT((Inputs!$C$5:$C$120=$B39)*Inputs!$D$5:$D$120*(((Inputs!$G$5:$G$120="moeda")+(Inputs!$G$5:$G$120="acoes"))*Inputs!$B$1+((Inputs!$G$5:$G$120&lt;&gt;"moeda")*(Inputs!$G$5:$G$120&lt;&gt;"acoes")))*INDEX(Inputs!$K$5:$AJ$120,0,MATCH(Q$2,Inputs!$K$4:$AJ$4,0)))+SUMPRODUCT((Inputs!$E$5:$E$120=$B39)*Inputs!$F$5:$F$120*(((Inputs!$G$5:$G$120="moeda")+(Inputs!$G$5:$G$120="acoes"))*Inputs!$B$1+((Inputs!$G$5:$G$120&lt;&gt;"moeda")*(Inputs!$G$5:$G$120&lt;&gt;"acoes")))*INDEX(Inputs!$K$5:$AJ$120,0,MATCH(Q$2,Inputs!$K$4:$AJ$4,0)))))</f>
        <v>824</v>
      </c>
      <c r="R39" s="268">
        <f>Q39</f>
        <v>824</v>
      </c>
      <c r="S39" s="267">
        <f>IF(ISNA(MATCH(S$2,Inputs!$K$4:$AJ$4,0)),NA(),IF(SUMPRODUCT((Inputs!$A$5:$A$120=$B39)*ISNUMBER(INDEX(Inputs!$K$5:$AJ$120,0,MATCH(S$2,Inputs!$K$4:$AJ$4,0))))+SUMPRODUCT((Inputs!$C$5:$C$120=$B39)*ISNUMBER(INDEX(Inputs!$K$5:$AJ$120,0,MATCH(S$2,Inputs!$K$4:$AJ$4,0))))+SUMPRODUCT((Inputs!$E$5:$E$120=$B39)*ISNUMBER(INDEX(Inputs!$K$5:$AJ$120,0,MATCH(S$2,Inputs!$K$4:$AJ$4,0))))=0,NA(),SUMPRODUCT((Inputs!$A$5:$A$120=$B39)*Inputs!$B$5:$B$120*(((Inputs!$G$5:$G$120="moeda")+(Inputs!$G$5:$G$120="acoes"))*Inputs!$B$1+((Inputs!$G$5:$G$120&lt;&gt;"moeda")*(Inputs!$G$5:$G$120&lt;&gt;"acoes")))*INDEX(Inputs!$K$5:$AJ$120,0,MATCH(S$2,Inputs!$K$4:$AJ$4,0)))+SUMPRODUCT((Inputs!$C$5:$C$120=$B39)*Inputs!$D$5:$D$120*(((Inputs!$G$5:$G$120="moeda")+(Inputs!$G$5:$G$120="acoes"))*Inputs!$B$1+((Inputs!$G$5:$G$120&lt;&gt;"moeda")*(Inputs!$G$5:$G$120&lt;&gt;"acoes")))*INDEX(Inputs!$K$5:$AJ$120,0,MATCH(S$2,Inputs!$K$4:$AJ$4,0)))+SUMPRODUCT((Inputs!$E$5:$E$120=$B39)*Inputs!$F$5:$F$120*(((Inputs!$G$5:$G$120="moeda")+(Inputs!$G$5:$G$120="acoes"))*Inputs!$B$1+((Inputs!$G$5:$G$120&lt;&gt;"moeda")*(Inputs!$G$5:$G$120&lt;&gt;"acoes")))*INDEX(Inputs!$K$5:$AJ$120,0,MATCH(S$2,Inputs!$K$4:$AJ$4,0)))))</f>
        <v>842</v>
      </c>
      <c r="T39" s="267">
        <f>IF(ISNA(MATCH(T$2,Inputs!$K$4:$AJ$4,0)),NA(),IF(SUMPRODUCT((Inputs!$A$5:$A$120=$B39)*ISNUMBER(INDEX(Inputs!$K$5:$AJ$120,0,MATCH(T$2,Inputs!$K$4:$AJ$4,0))))+SUMPRODUCT((Inputs!$C$5:$C$120=$B39)*ISNUMBER(INDEX(Inputs!$K$5:$AJ$120,0,MATCH(T$2,Inputs!$K$4:$AJ$4,0))))+SUMPRODUCT((Inputs!$E$5:$E$120=$B39)*ISNUMBER(INDEX(Inputs!$K$5:$AJ$120,0,MATCH(T$2,Inputs!$K$4:$AJ$4,0))))=0,NA(),SUMPRODUCT((Inputs!$A$5:$A$120=$B39)*Inputs!$B$5:$B$120*(((Inputs!$G$5:$G$120="moeda")+(Inputs!$G$5:$G$120="acoes"))*Inputs!$B$1+((Inputs!$G$5:$G$120&lt;&gt;"moeda")*(Inputs!$G$5:$G$120&lt;&gt;"acoes")))*INDEX(Inputs!$K$5:$AJ$120,0,MATCH(T$2,Inputs!$K$4:$AJ$4,0)))+SUMPRODUCT((Inputs!$C$5:$C$120=$B39)*Inputs!$D$5:$D$120*(((Inputs!$G$5:$G$120="moeda")+(Inputs!$G$5:$G$120="acoes"))*Inputs!$B$1+((Inputs!$G$5:$G$120&lt;&gt;"moeda")*(Inputs!$G$5:$G$120&lt;&gt;"acoes")))*INDEX(Inputs!$K$5:$AJ$120,0,MATCH(T$2,Inputs!$K$4:$AJ$4,0)))+SUMPRODUCT((Inputs!$E$5:$E$120=$B39)*Inputs!$F$5:$F$120*(((Inputs!$G$5:$G$120="moeda")+(Inputs!$G$5:$G$120="acoes"))*Inputs!$B$1+((Inputs!$G$5:$G$120&lt;&gt;"moeda")*(Inputs!$G$5:$G$120&lt;&gt;"acoes")))*INDEX(Inputs!$K$5:$AJ$120,0,MATCH(T$2,Inputs!$K$4:$AJ$4,0)))))</f>
        <v>805</v>
      </c>
      <c r="U39" s="267">
        <f>IF(ISNA(MATCH(U$2,Inputs!$K$4:$AJ$4,0)),NA(),IF(SUMPRODUCT((Inputs!$A$5:$A$120=$B39)*ISNUMBER(INDEX(Inputs!$K$5:$AJ$120,0,MATCH(U$2,Inputs!$K$4:$AJ$4,0))))+SUMPRODUCT((Inputs!$C$5:$C$120=$B39)*ISNUMBER(INDEX(Inputs!$K$5:$AJ$120,0,MATCH(U$2,Inputs!$K$4:$AJ$4,0))))+SUMPRODUCT((Inputs!$E$5:$E$120=$B39)*ISNUMBER(INDEX(Inputs!$K$5:$AJ$120,0,MATCH(U$2,Inputs!$K$4:$AJ$4,0))))=0,NA(),SUMPRODUCT((Inputs!$A$5:$A$120=$B39)*Inputs!$B$5:$B$120*(((Inputs!$G$5:$G$120="moeda")+(Inputs!$G$5:$G$120="acoes"))*Inputs!$B$1+((Inputs!$G$5:$G$120&lt;&gt;"moeda")*(Inputs!$G$5:$G$120&lt;&gt;"acoes")))*INDEX(Inputs!$K$5:$AJ$120,0,MATCH(U$2,Inputs!$K$4:$AJ$4,0)))+SUMPRODUCT((Inputs!$C$5:$C$120=$B39)*Inputs!$D$5:$D$120*(((Inputs!$G$5:$G$120="moeda")+(Inputs!$G$5:$G$120="acoes"))*Inputs!$B$1+((Inputs!$G$5:$G$120&lt;&gt;"moeda")*(Inputs!$G$5:$G$120&lt;&gt;"acoes")))*INDEX(Inputs!$K$5:$AJ$120,0,MATCH(U$2,Inputs!$K$4:$AJ$4,0)))+SUMPRODUCT((Inputs!$E$5:$E$120=$B39)*Inputs!$F$5:$F$120*(((Inputs!$G$5:$G$120="moeda")+(Inputs!$G$5:$G$120="acoes"))*Inputs!$B$1+((Inputs!$G$5:$G$120&lt;&gt;"moeda")*(Inputs!$G$5:$G$120&lt;&gt;"acoes")))*INDEX(Inputs!$K$5:$AJ$120,0,MATCH(U$2,Inputs!$K$4:$AJ$4,0)))))</f>
        <v>671</v>
      </c>
      <c r="V39" s="267">
        <f>IF(ISNA(MATCH(V$2,Inputs!$K$4:$AJ$4,0)),NA(),IF(SUMPRODUCT((Inputs!$A$5:$A$120=$B39)*ISNUMBER(INDEX(Inputs!$K$5:$AJ$120,0,MATCH(V$2,Inputs!$K$4:$AJ$4,0))))+SUMPRODUCT((Inputs!$C$5:$C$120=$B39)*ISNUMBER(INDEX(Inputs!$K$5:$AJ$120,0,MATCH(V$2,Inputs!$K$4:$AJ$4,0))))+SUMPRODUCT((Inputs!$E$5:$E$120=$B39)*ISNUMBER(INDEX(Inputs!$K$5:$AJ$120,0,MATCH(V$2,Inputs!$K$4:$AJ$4,0))))=0,NA(),SUMPRODUCT((Inputs!$A$5:$A$120=$B39)*Inputs!$B$5:$B$120*(((Inputs!$G$5:$G$120="moeda")+(Inputs!$G$5:$G$120="acoes"))*Inputs!$B$1+((Inputs!$G$5:$G$120&lt;&gt;"moeda")*(Inputs!$G$5:$G$120&lt;&gt;"acoes")))*INDEX(Inputs!$K$5:$AJ$120,0,MATCH(V$2,Inputs!$K$4:$AJ$4,0)))+SUMPRODUCT((Inputs!$C$5:$C$120=$B39)*Inputs!$D$5:$D$120*(((Inputs!$G$5:$G$120="moeda")+(Inputs!$G$5:$G$120="acoes"))*Inputs!$B$1+((Inputs!$G$5:$G$120&lt;&gt;"moeda")*(Inputs!$G$5:$G$120&lt;&gt;"acoes")))*INDEX(Inputs!$K$5:$AJ$120,0,MATCH(V$2,Inputs!$K$4:$AJ$4,0)))+SUMPRODUCT((Inputs!$E$5:$E$120=$B39)*Inputs!$F$5:$F$120*(((Inputs!$G$5:$G$120="moeda")+(Inputs!$G$5:$G$120="acoes"))*Inputs!$B$1+((Inputs!$G$5:$G$120&lt;&gt;"moeda")*(Inputs!$G$5:$G$120&lt;&gt;"acoes")))*INDEX(Inputs!$K$5:$AJ$120,0,MATCH(V$2,Inputs!$K$4:$AJ$4,0)))))</f>
        <v>848</v>
      </c>
      <c r="W39" s="268">
        <f>V39</f>
        <v>848</v>
      </c>
      <c r="X39" s="267">
        <f>IF(ISNA(MATCH(X$2,Inputs!$K$4:$AJ$4,0)),NA(),IF(SUMPRODUCT((Inputs!$A$5:$A$120=$B39)*ISNUMBER(INDEX(Inputs!$K$5:$AJ$120,0,MATCH(X$2,Inputs!$K$4:$AJ$4,0))))+SUMPRODUCT((Inputs!$C$5:$C$120=$B39)*ISNUMBER(INDEX(Inputs!$K$5:$AJ$120,0,MATCH(X$2,Inputs!$K$4:$AJ$4,0))))+SUMPRODUCT((Inputs!$E$5:$E$120=$B39)*ISNUMBER(INDEX(Inputs!$K$5:$AJ$120,0,MATCH(X$2,Inputs!$K$4:$AJ$4,0))))=0,NA(),SUMPRODUCT((Inputs!$A$5:$A$120=$B39)*Inputs!$B$5:$B$120*(((Inputs!$G$5:$G$120="moeda")+(Inputs!$G$5:$G$120="acoes"))*Inputs!$B$1+((Inputs!$G$5:$G$120&lt;&gt;"moeda")*(Inputs!$G$5:$G$120&lt;&gt;"acoes")))*INDEX(Inputs!$K$5:$AJ$120,0,MATCH(X$2,Inputs!$K$4:$AJ$4,0)))+SUMPRODUCT((Inputs!$C$5:$C$120=$B39)*Inputs!$D$5:$D$120*(((Inputs!$G$5:$G$120="moeda")+(Inputs!$G$5:$G$120="acoes"))*Inputs!$B$1+((Inputs!$G$5:$G$120&lt;&gt;"moeda")*(Inputs!$G$5:$G$120&lt;&gt;"acoes")))*INDEX(Inputs!$K$5:$AJ$120,0,MATCH(X$2,Inputs!$K$4:$AJ$4,0)))+SUMPRODUCT((Inputs!$E$5:$E$120=$B39)*Inputs!$F$5:$F$120*(((Inputs!$G$5:$G$120="moeda")+(Inputs!$G$5:$G$120="acoes"))*Inputs!$B$1+((Inputs!$G$5:$G$120&lt;&gt;"moeda")*(Inputs!$G$5:$G$120&lt;&gt;"acoes")))*INDEX(Inputs!$K$5:$AJ$120,0,MATCH(X$2,Inputs!$K$4:$AJ$4,0)))))</f>
        <v>787</v>
      </c>
      <c r="Y39" s="267">
        <f>IF(ISNA(MATCH(Y$2,Inputs!$K$4:$AJ$4,0)),NA(),IF(SUMPRODUCT((Inputs!$A$5:$A$120=$B39)*ISNUMBER(INDEX(Inputs!$K$5:$AJ$120,0,MATCH(Y$2,Inputs!$K$4:$AJ$4,0))))+SUMPRODUCT((Inputs!$C$5:$C$120=$B39)*ISNUMBER(INDEX(Inputs!$K$5:$AJ$120,0,MATCH(Y$2,Inputs!$K$4:$AJ$4,0))))+SUMPRODUCT((Inputs!$E$5:$E$120=$B39)*ISNUMBER(INDEX(Inputs!$K$5:$AJ$120,0,MATCH(Y$2,Inputs!$K$4:$AJ$4,0))))=0,NA(),SUMPRODUCT((Inputs!$A$5:$A$120=$B39)*Inputs!$B$5:$B$120*(((Inputs!$G$5:$G$120="moeda")+(Inputs!$G$5:$G$120="acoes"))*Inputs!$B$1+((Inputs!$G$5:$G$120&lt;&gt;"moeda")*(Inputs!$G$5:$G$120&lt;&gt;"acoes")))*INDEX(Inputs!$K$5:$AJ$120,0,MATCH(Y$2,Inputs!$K$4:$AJ$4,0)))+SUMPRODUCT((Inputs!$C$5:$C$120=$B39)*Inputs!$D$5:$D$120*(((Inputs!$G$5:$G$120="moeda")+(Inputs!$G$5:$G$120="acoes"))*Inputs!$B$1+((Inputs!$G$5:$G$120&lt;&gt;"moeda")*(Inputs!$G$5:$G$120&lt;&gt;"acoes")))*INDEX(Inputs!$K$5:$AJ$120,0,MATCH(Y$2,Inputs!$K$4:$AJ$4,0)))+SUMPRODUCT((Inputs!$E$5:$E$120=$B39)*Inputs!$F$5:$F$120*(((Inputs!$G$5:$G$120="moeda")+(Inputs!$G$5:$G$120="acoes"))*Inputs!$B$1+((Inputs!$G$5:$G$120&lt;&gt;"moeda")*(Inputs!$G$5:$G$120&lt;&gt;"acoes")))*INDEX(Inputs!$K$5:$AJ$120,0,MATCH(Y$2,Inputs!$K$4:$AJ$4,0)))))</f>
        <v>762</v>
      </c>
      <c r="Z39" s="267">
        <f>IF(ISNA(MATCH(Z$2,Inputs!$K$4:$AJ$4,0)),NA(),IF(SUMPRODUCT((Inputs!$A$5:$A$120=$B39)*ISNUMBER(INDEX(Inputs!$K$5:$AJ$120,0,MATCH(Z$2,Inputs!$K$4:$AJ$4,0))))+SUMPRODUCT((Inputs!$C$5:$C$120=$B39)*ISNUMBER(INDEX(Inputs!$K$5:$AJ$120,0,MATCH(Z$2,Inputs!$K$4:$AJ$4,0))))+SUMPRODUCT((Inputs!$E$5:$E$120=$B39)*ISNUMBER(INDEX(Inputs!$K$5:$AJ$120,0,MATCH(Z$2,Inputs!$K$4:$AJ$4,0))))=0,NA(),SUMPRODUCT((Inputs!$A$5:$A$120=$B39)*Inputs!$B$5:$B$120*(((Inputs!$G$5:$G$120="moeda")+(Inputs!$G$5:$G$120="acoes"))*Inputs!$B$1+((Inputs!$G$5:$G$120&lt;&gt;"moeda")*(Inputs!$G$5:$G$120&lt;&gt;"acoes")))*INDEX(Inputs!$K$5:$AJ$120,0,MATCH(Z$2,Inputs!$K$4:$AJ$4,0)))+SUMPRODUCT((Inputs!$C$5:$C$120=$B39)*Inputs!$D$5:$D$120*(((Inputs!$G$5:$G$120="moeda")+(Inputs!$G$5:$G$120="acoes"))*Inputs!$B$1+((Inputs!$G$5:$G$120&lt;&gt;"moeda")*(Inputs!$G$5:$G$120&lt;&gt;"acoes")))*INDEX(Inputs!$K$5:$AJ$120,0,MATCH(Z$2,Inputs!$K$4:$AJ$4,0)))+SUMPRODUCT((Inputs!$E$5:$E$120=$B39)*Inputs!$F$5:$F$120*(((Inputs!$G$5:$G$120="moeda")+(Inputs!$G$5:$G$120="acoes"))*Inputs!$B$1+((Inputs!$G$5:$G$120&lt;&gt;"moeda")*(Inputs!$G$5:$G$120&lt;&gt;"acoes")))*INDEX(Inputs!$K$5:$AJ$120,0,MATCH(Z$2,Inputs!$K$4:$AJ$4,0)))))</f>
        <v>1026</v>
      </c>
      <c r="AA39" s="267">
        <f>IF(ISNA(MATCH(AA$2,Inputs!$K$4:$AJ$4,0)),NA(),IF(SUMPRODUCT((Inputs!$A$5:$A$120=$B39)*ISNUMBER(INDEX(Inputs!$K$5:$AJ$120,0,MATCH(AA$2,Inputs!$K$4:$AJ$4,0))))+SUMPRODUCT((Inputs!$C$5:$C$120=$B39)*ISNUMBER(INDEX(Inputs!$K$5:$AJ$120,0,MATCH(AA$2,Inputs!$K$4:$AJ$4,0))))+SUMPRODUCT((Inputs!$E$5:$E$120=$B39)*ISNUMBER(INDEX(Inputs!$K$5:$AJ$120,0,MATCH(AA$2,Inputs!$K$4:$AJ$4,0))))=0,NA(),SUMPRODUCT((Inputs!$A$5:$A$120=$B39)*Inputs!$B$5:$B$120*(((Inputs!$G$5:$G$120="moeda")+(Inputs!$G$5:$G$120="acoes"))*Inputs!$B$1+((Inputs!$G$5:$G$120&lt;&gt;"moeda")*(Inputs!$G$5:$G$120&lt;&gt;"acoes")))*INDEX(Inputs!$K$5:$AJ$120,0,MATCH(AA$2,Inputs!$K$4:$AJ$4,0)))+SUMPRODUCT((Inputs!$C$5:$C$120=$B39)*Inputs!$D$5:$D$120*(((Inputs!$G$5:$G$120="moeda")+(Inputs!$G$5:$G$120="acoes"))*Inputs!$B$1+((Inputs!$G$5:$G$120&lt;&gt;"moeda")*(Inputs!$G$5:$G$120&lt;&gt;"acoes")))*INDEX(Inputs!$K$5:$AJ$120,0,MATCH(AA$2,Inputs!$K$4:$AJ$4,0)))+SUMPRODUCT((Inputs!$E$5:$E$120=$B39)*Inputs!$F$5:$F$120*(((Inputs!$G$5:$G$120="moeda")+(Inputs!$G$5:$G$120="acoes"))*Inputs!$B$1+((Inputs!$G$5:$G$120&lt;&gt;"moeda")*(Inputs!$G$5:$G$120&lt;&gt;"acoes")))*INDEX(Inputs!$K$5:$AJ$120,0,MATCH(AA$2,Inputs!$K$4:$AJ$4,0)))))</f>
        <v>1065</v>
      </c>
      <c r="AB39" s="268">
        <f>AA39</f>
        <v>1065</v>
      </c>
      <c r="AC39" s="267">
        <f>IF(ISNA(MATCH(AC$2,Inputs!$K$4:$AJ$4,0)),NA(),IF(SUMPRODUCT((Inputs!$A$5:$A$120=$B39)*ISNUMBER(INDEX(Inputs!$K$5:$AJ$120,0,MATCH(AC$2,Inputs!$K$4:$AJ$4,0))))+SUMPRODUCT((Inputs!$C$5:$C$120=$B39)*ISNUMBER(INDEX(Inputs!$K$5:$AJ$120,0,MATCH(AC$2,Inputs!$K$4:$AJ$4,0))))+SUMPRODUCT((Inputs!$E$5:$E$120=$B39)*ISNUMBER(INDEX(Inputs!$K$5:$AJ$120,0,MATCH(AC$2,Inputs!$K$4:$AJ$4,0))))=0,NA(),SUMPRODUCT((Inputs!$A$5:$A$120=$B39)*Inputs!$B$5:$B$120*(((Inputs!$G$5:$G$120="moeda")+(Inputs!$G$5:$G$120="acoes"))*Inputs!$B$1+((Inputs!$G$5:$G$120&lt;&gt;"moeda")*(Inputs!$G$5:$G$120&lt;&gt;"acoes")))*INDEX(Inputs!$K$5:$AJ$120,0,MATCH(AC$2,Inputs!$K$4:$AJ$4,0)))+SUMPRODUCT((Inputs!$C$5:$C$120=$B39)*Inputs!$D$5:$D$120*(((Inputs!$G$5:$G$120="moeda")+(Inputs!$G$5:$G$120="acoes"))*Inputs!$B$1+((Inputs!$G$5:$G$120&lt;&gt;"moeda")*(Inputs!$G$5:$G$120&lt;&gt;"acoes")))*INDEX(Inputs!$K$5:$AJ$120,0,MATCH(AC$2,Inputs!$K$4:$AJ$4,0)))+SUMPRODUCT((Inputs!$E$5:$E$120=$B39)*Inputs!$F$5:$F$120*(((Inputs!$G$5:$G$120="moeda")+(Inputs!$G$5:$G$120="acoes"))*Inputs!$B$1+((Inputs!$G$5:$G$120&lt;&gt;"moeda")*(Inputs!$G$5:$G$120&lt;&gt;"acoes")))*INDEX(Inputs!$K$5:$AJ$120,0,MATCH(AC$2,Inputs!$K$4:$AJ$4,0)))))</f>
        <v>1150</v>
      </c>
      <c r="AD39" s="267">
        <f>IF(ISNA(MATCH(AD$2,Inputs!$K$4:$AJ$4,0)),NA(),IF(SUMPRODUCT((Inputs!$A$5:$A$120=$B39)*ISNUMBER(INDEX(Inputs!$K$5:$AJ$120,0,MATCH(AD$2,Inputs!$K$4:$AJ$4,0))))+SUMPRODUCT((Inputs!$C$5:$C$120=$B39)*ISNUMBER(INDEX(Inputs!$K$5:$AJ$120,0,MATCH(AD$2,Inputs!$K$4:$AJ$4,0))))+SUMPRODUCT((Inputs!$E$5:$E$120=$B39)*ISNUMBER(INDEX(Inputs!$K$5:$AJ$120,0,MATCH(AD$2,Inputs!$K$4:$AJ$4,0))))=0,NA(),SUMPRODUCT((Inputs!$A$5:$A$120=$B39)*Inputs!$B$5:$B$120*(((Inputs!$G$5:$G$120="moeda")+(Inputs!$G$5:$G$120="acoes"))*Inputs!$B$1+((Inputs!$G$5:$G$120&lt;&gt;"moeda")*(Inputs!$G$5:$G$120&lt;&gt;"acoes")))*INDEX(Inputs!$K$5:$AJ$120,0,MATCH(AD$2,Inputs!$K$4:$AJ$4,0)))+SUMPRODUCT((Inputs!$C$5:$C$120=$B39)*Inputs!$D$5:$D$120*(((Inputs!$G$5:$G$120="moeda")+(Inputs!$G$5:$G$120="acoes"))*Inputs!$B$1+((Inputs!$G$5:$G$120&lt;&gt;"moeda")*(Inputs!$G$5:$G$120&lt;&gt;"acoes")))*INDEX(Inputs!$K$5:$AJ$120,0,MATCH(AD$2,Inputs!$K$4:$AJ$4,0)))+SUMPRODUCT((Inputs!$E$5:$E$120=$B39)*Inputs!$F$5:$F$120*(((Inputs!$G$5:$G$120="moeda")+(Inputs!$G$5:$G$120="acoes"))*Inputs!$B$1+((Inputs!$G$5:$G$120&lt;&gt;"moeda")*(Inputs!$G$5:$G$120&lt;&gt;"acoes")))*INDEX(Inputs!$K$5:$AJ$120,0,MATCH(AD$2,Inputs!$K$4:$AJ$4,0)))))</f>
        <v>1187</v>
      </c>
      <c r="AE39" s="267" t="e">
        <f>IF(ISNA(MATCH(AE$2,Inputs!$K$4:$AJ$4,0)),NA(),IF(SUMPRODUCT((Inputs!$A$5:$A$120=$B39)*ISNUMBER(INDEX(Inputs!$K$5:$AJ$120,0,MATCH(AE$2,Inputs!$K$4:$AJ$4,0))))+SUMPRODUCT((Inputs!$C$5:$C$120=$B39)*ISNUMBER(INDEX(Inputs!$K$5:$AJ$120,0,MATCH(AE$2,Inputs!$K$4:$AJ$4,0))))+SUMPRODUCT((Inputs!$E$5:$E$120=$B39)*ISNUMBER(INDEX(Inputs!$K$5:$AJ$120,0,MATCH(AE$2,Inputs!$K$4:$AJ$4,0))))=0,NA(),SUMPRODUCT((Inputs!$A$5:$A$120=$B39)*Inputs!$B$5:$B$120*(((Inputs!$G$5:$G$120="moeda")+(Inputs!$G$5:$G$120="acoes"))*Inputs!$B$1+((Inputs!$G$5:$G$120&lt;&gt;"moeda")*(Inputs!$G$5:$G$120&lt;&gt;"acoes")))*INDEX(Inputs!$K$5:$AJ$120,0,MATCH(AE$2,Inputs!$K$4:$AJ$4,0)))+SUMPRODUCT((Inputs!$C$5:$C$120=$B39)*Inputs!$D$5:$D$120*(((Inputs!$G$5:$G$120="moeda")+(Inputs!$G$5:$G$120="acoes"))*Inputs!$B$1+((Inputs!$G$5:$G$120&lt;&gt;"moeda")*(Inputs!$G$5:$G$120&lt;&gt;"acoes")))*INDEX(Inputs!$K$5:$AJ$120,0,MATCH(AE$2,Inputs!$K$4:$AJ$4,0)))+SUMPRODUCT((Inputs!$E$5:$E$120=$B39)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39" s="267" t="e">
        <f>IF(ISNA(MATCH(AF$2,Inputs!$K$4:$AJ$4,0)),NA(),IF(SUMPRODUCT((Inputs!$A$5:$A$120=$B39)*ISNUMBER(INDEX(Inputs!$K$5:$AJ$120,0,MATCH(AF$2,Inputs!$K$4:$AJ$4,0))))+SUMPRODUCT((Inputs!$C$5:$C$120=$B39)*ISNUMBER(INDEX(Inputs!$K$5:$AJ$120,0,MATCH(AF$2,Inputs!$K$4:$AJ$4,0))))+SUMPRODUCT((Inputs!$E$5:$E$120=$B39)*ISNUMBER(INDEX(Inputs!$K$5:$AJ$120,0,MATCH(AF$2,Inputs!$K$4:$AJ$4,0))))=0,NA(),SUMPRODUCT((Inputs!$A$5:$A$120=$B39)*Inputs!$B$5:$B$120*(((Inputs!$G$5:$G$120="moeda")+(Inputs!$G$5:$G$120="acoes"))*Inputs!$B$1+((Inputs!$G$5:$G$120&lt;&gt;"moeda")*(Inputs!$G$5:$G$120&lt;&gt;"acoes")))*INDEX(Inputs!$K$5:$AJ$120,0,MATCH(AF$2,Inputs!$K$4:$AJ$4,0)))+SUMPRODUCT((Inputs!$C$5:$C$120=$B39)*Inputs!$D$5:$D$120*(((Inputs!$G$5:$G$120="moeda")+(Inputs!$G$5:$G$120="acoes"))*Inputs!$B$1+((Inputs!$G$5:$G$120&lt;&gt;"moeda")*(Inputs!$G$5:$G$120&lt;&gt;"acoes")))*INDEX(Inputs!$K$5:$AJ$120,0,MATCH(AF$2,Inputs!$K$4:$AJ$4,0)))+SUMPRODUCT((Inputs!$E$5:$E$120=$B39)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39" s="268" t="e">
        <f>AF39</f>
        <v>#N/A</v>
      </c>
      <c r="AH39" s="267">
        <f>IF(ISNA(MATCH(AH$2,Inputs!$K$4:$AJ$4,0)),NA(),IF(SUMPRODUCT((Inputs!$A$5:$A$120=$B39)*ISNUMBER(INDEX(Inputs!$K$5:$AJ$120,0,MATCH(AH$2,Inputs!$K$4:$AJ$4,0))))+SUMPRODUCT((Inputs!$C$5:$C$120=$B39)*ISNUMBER(INDEX(Inputs!$K$5:$AJ$120,0,MATCH(AH$2,Inputs!$K$4:$AJ$4,0))))+SUMPRODUCT((Inputs!$E$5:$E$120=$B39)*ISNUMBER(INDEX(Inputs!$K$5:$AJ$120,0,MATCH(AH$2,Inputs!$K$4:$AJ$4,0))))=0,NA(),SUMPRODUCT((Inputs!$A$5:$A$120=$B39)*Inputs!$B$5:$B$120*(((Inputs!$G$5:$G$120="moeda")+(Inputs!$G$5:$G$120="acoes"))*Inputs!$B$1+((Inputs!$G$5:$G$120&lt;&gt;"moeda")*(Inputs!$G$5:$G$120&lt;&gt;"acoes")))*INDEX(Inputs!$K$5:$AJ$120,0,MATCH(AH$2,Inputs!$K$4:$AJ$4,0)))+SUMPRODUCT((Inputs!$C$5:$C$120=$B39)*Inputs!$D$5:$D$120*(((Inputs!$G$5:$G$120="moeda")+(Inputs!$G$5:$G$120="acoes"))*Inputs!$B$1+((Inputs!$G$5:$G$120&lt;&gt;"moeda")*(Inputs!$G$5:$G$120&lt;&gt;"acoes")))*INDEX(Inputs!$K$5:$AJ$120,0,MATCH(AH$2,Inputs!$K$4:$AJ$4,0)))+SUMPRODUCT((Inputs!$E$5:$E$120=$B39)*Inputs!$F$5:$F$120*(((Inputs!$G$5:$G$120="moeda")+(Inputs!$G$5:$G$120="acoes"))*Inputs!$B$1+((Inputs!$G$5:$G$120&lt;&gt;"moeda")*(Inputs!$G$5:$G$120&lt;&gt;"acoes")))*INDEX(Inputs!$K$5:$AJ$120,0,MATCH(AH$2,Inputs!$K$4:$AJ$4,0)))))</f>
        <v>667</v>
      </c>
      <c r="AI39" s="267">
        <f>IF(ISNA(MATCH(AI$2,Inputs!$K$4:$AJ$4,0)),NA(),IF(SUMPRODUCT((Inputs!$A$5:$A$120=$B39)*ISNUMBER(INDEX(Inputs!$K$5:$AJ$120,0,MATCH(AI$2,Inputs!$K$4:$AJ$4,0))))+SUMPRODUCT((Inputs!$C$5:$C$120=$B39)*ISNUMBER(INDEX(Inputs!$K$5:$AJ$120,0,MATCH(AI$2,Inputs!$K$4:$AJ$4,0))))+SUMPRODUCT((Inputs!$E$5:$E$120=$B39)*ISNUMBER(INDEX(Inputs!$K$5:$AJ$120,0,MATCH(AI$2,Inputs!$K$4:$AJ$4,0))))=0,NA(),SUMPRODUCT((Inputs!$A$5:$A$120=$B39)*Inputs!$B$5:$B$120*(((Inputs!$G$5:$G$120="moeda")+(Inputs!$G$5:$G$120="acoes"))*Inputs!$B$1+((Inputs!$G$5:$G$120&lt;&gt;"moeda")*(Inputs!$G$5:$G$120&lt;&gt;"acoes")))*INDEX(Inputs!$K$5:$AJ$120,0,MATCH(AI$2,Inputs!$K$4:$AJ$4,0)))+SUMPRODUCT((Inputs!$C$5:$C$120=$B39)*Inputs!$D$5:$D$120*(((Inputs!$G$5:$G$120="moeda")+(Inputs!$G$5:$G$120="acoes"))*Inputs!$B$1+((Inputs!$G$5:$G$120&lt;&gt;"moeda")*(Inputs!$G$5:$G$120&lt;&gt;"acoes")))*INDEX(Inputs!$K$5:$AJ$120,0,MATCH(AI$2,Inputs!$K$4:$AJ$4,0)))+SUMPRODUCT((Inputs!$E$5:$E$120=$B39)*Inputs!$F$5:$F$120*(((Inputs!$G$5:$G$120="moeda")+(Inputs!$G$5:$G$120="acoes"))*Inputs!$B$1+((Inputs!$G$5:$G$120&lt;&gt;"moeda")*(Inputs!$G$5:$G$120&lt;&gt;"acoes")))*INDEX(Inputs!$K$5:$AJ$120,0,MATCH(AI$2,Inputs!$K$4:$AJ$4,0)))))</f>
        <v>665</v>
      </c>
      <c r="AJ39" s="267">
        <f>IF(ISNA(MATCH(AJ$2,Inputs!$K$4:$AJ$4,0)),NA(),IF(SUMPRODUCT((Inputs!$A$5:$A$120=$B39)*ISNUMBER(INDEX(Inputs!$K$5:$AJ$120,0,MATCH(AJ$2,Inputs!$K$4:$AJ$4,0))))+SUMPRODUCT((Inputs!$C$5:$C$120=$B39)*ISNUMBER(INDEX(Inputs!$K$5:$AJ$120,0,MATCH(AJ$2,Inputs!$K$4:$AJ$4,0))))+SUMPRODUCT((Inputs!$E$5:$E$120=$B39)*ISNUMBER(INDEX(Inputs!$K$5:$AJ$120,0,MATCH(AJ$2,Inputs!$K$4:$AJ$4,0))))=0,NA(),SUMPRODUCT((Inputs!$A$5:$A$120=$B39)*Inputs!$B$5:$B$120*(((Inputs!$G$5:$G$120="moeda")+(Inputs!$G$5:$G$120="acoes"))*Inputs!$B$1+((Inputs!$G$5:$G$120&lt;&gt;"moeda")*(Inputs!$G$5:$G$120&lt;&gt;"acoes")))*INDEX(Inputs!$K$5:$AJ$120,0,MATCH(AJ$2,Inputs!$K$4:$AJ$4,0)))+SUMPRODUCT((Inputs!$C$5:$C$120=$B39)*Inputs!$D$5:$D$120*(((Inputs!$G$5:$G$120="moeda")+(Inputs!$G$5:$G$120="acoes"))*Inputs!$B$1+((Inputs!$G$5:$G$120&lt;&gt;"moeda")*(Inputs!$G$5:$G$120&lt;&gt;"acoes")))*INDEX(Inputs!$K$5:$AJ$120,0,MATCH(AJ$2,Inputs!$K$4:$AJ$4,0)))+SUMPRODUCT((Inputs!$E$5:$E$120=$B39)*Inputs!$F$5:$F$120*(((Inputs!$G$5:$G$120="moeda")+(Inputs!$G$5:$G$120="acoes"))*Inputs!$B$1+((Inputs!$G$5:$G$120&lt;&gt;"moeda")*(Inputs!$G$5:$G$120&lt;&gt;"acoes")))*INDEX(Inputs!$K$5:$AJ$120,0,MATCH(AJ$2,Inputs!$K$4:$AJ$4,0)))))</f>
        <v>637</v>
      </c>
      <c r="AK39" s="267">
        <f>IF(ISNA(MATCH(AK$2,Inputs!$K$4:$AJ$4,0)),NA(),IF(SUMPRODUCT((Inputs!$A$5:$A$120=$B39)*ISNUMBER(INDEX(Inputs!$K$5:$AJ$120,0,MATCH(AK$2,Inputs!$K$4:$AJ$4,0))))+SUMPRODUCT((Inputs!$C$5:$C$120=$B39)*ISNUMBER(INDEX(Inputs!$K$5:$AJ$120,0,MATCH(AK$2,Inputs!$K$4:$AJ$4,0))))+SUMPRODUCT((Inputs!$E$5:$E$120=$B39)*ISNUMBER(INDEX(Inputs!$K$5:$AJ$120,0,MATCH(AK$2,Inputs!$K$4:$AJ$4,0))))=0,NA(),SUMPRODUCT((Inputs!$A$5:$A$120=$B39)*Inputs!$B$5:$B$120*(((Inputs!$G$5:$G$120="moeda")+(Inputs!$G$5:$G$120="acoes"))*Inputs!$B$1+((Inputs!$G$5:$G$120&lt;&gt;"moeda")*(Inputs!$G$5:$G$120&lt;&gt;"acoes")))*INDEX(Inputs!$K$5:$AJ$120,0,MATCH(AK$2,Inputs!$K$4:$AJ$4,0)))+SUMPRODUCT((Inputs!$C$5:$C$120=$B39)*Inputs!$D$5:$D$120*(((Inputs!$G$5:$G$120="moeda")+(Inputs!$G$5:$G$120="acoes"))*Inputs!$B$1+((Inputs!$G$5:$G$120&lt;&gt;"moeda")*(Inputs!$G$5:$G$120&lt;&gt;"acoes")))*INDEX(Inputs!$K$5:$AJ$120,0,MATCH(AK$2,Inputs!$K$4:$AJ$4,0)))+SUMPRODUCT((Inputs!$E$5:$E$120=$B39)*Inputs!$F$5:$F$120*(((Inputs!$G$5:$G$120="moeda")+(Inputs!$G$5:$G$120="acoes"))*Inputs!$B$1+((Inputs!$G$5:$G$120&lt;&gt;"moeda")*(Inputs!$G$5:$G$120&lt;&gt;"acoes")))*INDEX(Inputs!$K$5:$AJ$120,0,MATCH(AK$2,Inputs!$K$4:$AJ$4,0)))))</f>
        <v>657</v>
      </c>
      <c r="AL39" s="268">
        <f>AK39</f>
        <v>657</v>
      </c>
    </row>
    <row r="40" ht="12.75" customHeight="1" s="255">
      <c r="C40" s="259" t="n"/>
    </row>
    <row r="41" ht="12.75" customHeight="1" s="255">
      <c r="B41" s="265" t="n">
        <v>35</v>
      </c>
      <c r="C41" s="270" t="inlineStr">
        <is>
          <t>Minority interest</t>
        </is>
      </c>
      <c r="D41" s="267">
        <f>IF(ISNA(MATCH(D$2,Inputs!$K$4:$AJ$4,0)),NA(),IF(SUMPRODUCT((Inputs!$A$5:$A$120=$B41)*ISNUMBER(INDEX(Inputs!$K$5:$AJ$120,0,MATCH(D$2,Inputs!$K$4:$AJ$4,0))))+SUMPRODUCT((Inputs!$C$5:$C$120=$B41)*ISNUMBER(INDEX(Inputs!$K$5:$AJ$120,0,MATCH(D$2,Inputs!$K$4:$AJ$4,0))))+SUMPRODUCT((Inputs!$E$5:$E$120=$B41)*ISNUMBER(INDEX(Inputs!$K$5:$AJ$120,0,MATCH(D$2,Inputs!$K$4:$AJ$4,0))))=0,NA(),SUMPRODUCT((Inputs!$A$5:$A$120=$B41)*Inputs!$B$5:$B$120*(((Inputs!$G$5:$G$120="moeda")+(Inputs!$G$5:$G$120="acoes"))*Inputs!$B$1+((Inputs!$G$5:$G$120&lt;&gt;"moeda")*(Inputs!$G$5:$G$120&lt;&gt;"acoes")))*INDEX(Inputs!$K$5:$AJ$120,0,MATCH(D$2,Inputs!$K$4:$AJ$4,0)))+SUMPRODUCT((Inputs!$C$5:$C$120=$B41)*Inputs!$D$5:$D$120*(((Inputs!$G$5:$G$120="moeda")+(Inputs!$G$5:$G$120="acoes"))*Inputs!$B$1+((Inputs!$G$5:$G$120&lt;&gt;"moeda")*(Inputs!$G$5:$G$120&lt;&gt;"acoes")))*INDEX(Inputs!$K$5:$AJ$120,0,MATCH(D$2,Inputs!$K$4:$AJ$4,0)))+SUMPRODUCT((Inputs!$E$5:$E$120=$B41)*Inputs!$F$5:$F$120*(((Inputs!$G$5:$G$120="moeda")+(Inputs!$G$5:$G$120="acoes"))*Inputs!$B$1+((Inputs!$G$5:$G$120&lt;&gt;"moeda")*(Inputs!$G$5:$G$120&lt;&gt;"acoes")))*INDEX(Inputs!$K$5:$AJ$120,0,MATCH(D$2,Inputs!$K$4:$AJ$4,0)))))</f>
        <v>617</v>
      </c>
      <c r="E41" s="267">
        <f>IF(ISNA(MATCH(E$2,Inputs!$K$4:$AJ$4,0)),NA(),IF(SUMPRODUCT((Inputs!$A$5:$A$120=$B41)*ISNUMBER(INDEX(Inputs!$K$5:$AJ$120,0,MATCH(E$2,Inputs!$K$4:$AJ$4,0))))+SUMPRODUCT((Inputs!$C$5:$C$120=$B41)*ISNUMBER(INDEX(Inputs!$K$5:$AJ$120,0,MATCH(E$2,Inputs!$K$4:$AJ$4,0))))+SUMPRODUCT((Inputs!$E$5:$E$120=$B41)*ISNUMBER(INDEX(Inputs!$K$5:$AJ$120,0,MATCH(E$2,Inputs!$K$4:$AJ$4,0))))=0,NA(),SUMPRODUCT((Inputs!$A$5:$A$120=$B41)*Inputs!$B$5:$B$120*(((Inputs!$G$5:$G$120="moeda")+(Inputs!$G$5:$G$120="acoes"))*Inputs!$B$1+((Inputs!$G$5:$G$120&lt;&gt;"moeda")*(Inputs!$G$5:$G$120&lt;&gt;"acoes")))*INDEX(Inputs!$K$5:$AJ$120,0,MATCH(E$2,Inputs!$K$4:$AJ$4,0)))+SUMPRODUCT((Inputs!$C$5:$C$120=$B41)*Inputs!$D$5:$D$120*(((Inputs!$G$5:$G$120="moeda")+(Inputs!$G$5:$G$120="acoes"))*Inputs!$B$1+((Inputs!$G$5:$G$120&lt;&gt;"moeda")*(Inputs!$G$5:$G$120&lt;&gt;"acoes")))*INDEX(Inputs!$K$5:$AJ$120,0,MATCH(E$2,Inputs!$K$4:$AJ$4,0)))+SUMPRODUCT((Inputs!$E$5:$E$120=$B41)*Inputs!$F$5:$F$120*(((Inputs!$G$5:$G$120="moeda")+(Inputs!$G$5:$G$120="acoes"))*Inputs!$B$1+((Inputs!$G$5:$G$120&lt;&gt;"moeda")*(Inputs!$G$5:$G$120&lt;&gt;"acoes")))*INDEX(Inputs!$K$5:$AJ$120,0,MATCH(E$2,Inputs!$K$4:$AJ$4,0)))))</f>
        <v>630</v>
      </c>
      <c r="F41" s="267">
        <f>IF(ISNA(MATCH(F$2,Inputs!$K$4:$AJ$4,0)),NA(),IF(SUMPRODUCT((Inputs!$A$5:$A$120=$B41)*ISNUMBER(INDEX(Inputs!$K$5:$AJ$120,0,MATCH(F$2,Inputs!$K$4:$AJ$4,0))))+SUMPRODUCT((Inputs!$C$5:$C$120=$B41)*ISNUMBER(INDEX(Inputs!$K$5:$AJ$120,0,MATCH(F$2,Inputs!$K$4:$AJ$4,0))))+SUMPRODUCT((Inputs!$E$5:$E$120=$B41)*ISNUMBER(INDEX(Inputs!$K$5:$AJ$120,0,MATCH(F$2,Inputs!$K$4:$AJ$4,0))))=0,NA(),SUMPRODUCT((Inputs!$A$5:$A$120=$B41)*Inputs!$B$5:$B$120*(((Inputs!$G$5:$G$120="moeda")+(Inputs!$G$5:$G$120="acoes"))*Inputs!$B$1+((Inputs!$G$5:$G$120&lt;&gt;"moeda")*(Inputs!$G$5:$G$120&lt;&gt;"acoes")))*INDEX(Inputs!$K$5:$AJ$120,0,MATCH(F$2,Inputs!$K$4:$AJ$4,0)))+SUMPRODUCT((Inputs!$C$5:$C$120=$B41)*Inputs!$D$5:$D$120*(((Inputs!$G$5:$G$120="moeda")+(Inputs!$G$5:$G$120="acoes"))*Inputs!$B$1+((Inputs!$G$5:$G$120&lt;&gt;"moeda")*(Inputs!$G$5:$G$120&lt;&gt;"acoes")))*INDEX(Inputs!$K$5:$AJ$120,0,MATCH(F$2,Inputs!$K$4:$AJ$4,0)))+SUMPRODUCT((Inputs!$E$5:$E$120=$B41)*Inputs!$F$5:$F$120*(((Inputs!$G$5:$G$120="moeda")+(Inputs!$G$5:$G$120="acoes"))*Inputs!$B$1+((Inputs!$G$5:$G$120&lt;&gt;"moeda")*(Inputs!$G$5:$G$120&lt;&gt;"acoes")))*INDEX(Inputs!$K$5:$AJ$120,0,MATCH(F$2,Inputs!$K$4:$AJ$4,0)))))</f>
        <v>539</v>
      </c>
      <c r="G41" s="267">
        <f>IF(ISNA(MATCH(G$2,Inputs!$K$4:$AJ$4,0)),NA(),IF(SUMPRODUCT((Inputs!$A$5:$A$120=$B41)*ISNUMBER(INDEX(Inputs!$K$5:$AJ$120,0,MATCH(G$2,Inputs!$K$4:$AJ$4,0))))+SUMPRODUCT((Inputs!$C$5:$C$120=$B41)*ISNUMBER(INDEX(Inputs!$K$5:$AJ$120,0,MATCH(G$2,Inputs!$K$4:$AJ$4,0))))+SUMPRODUCT((Inputs!$E$5:$E$120=$B41)*ISNUMBER(INDEX(Inputs!$K$5:$AJ$120,0,MATCH(G$2,Inputs!$K$4:$AJ$4,0))))=0,NA(),SUMPRODUCT((Inputs!$A$5:$A$120=$B41)*Inputs!$B$5:$B$120*(((Inputs!$G$5:$G$120="moeda")+(Inputs!$G$5:$G$120="acoes"))*Inputs!$B$1+((Inputs!$G$5:$G$120&lt;&gt;"moeda")*(Inputs!$G$5:$G$120&lt;&gt;"acoes")))*INDEX(Inputs!$K$5:$AJ$120,0,MATCH(G$2,Inputs!$K$4:$AJ$4,0)))+SUMPRODUCT((Inputs!$C$5:$C$120=$B41)*Inputs!$D$5:$D$120*(((Inputs!$G$5:$G$120="moeda")+(Inputs!$G$5:$G$120="acoes"))*Inputs!$B$1+((Inputs!$G$5:$G$120&lt;&gt;"moeda")*(Inputs!$G$5:$G$120&lt;&gt;"acoes")))*INDEX(Inputs!$K$5:$AJ$120,0,MATCH(G$2,Inputs!$K$4:$AJ$4,0)))+SUMPRODUCT((Inputs!$E$5:$E$120=$B41)*Inputs!$F$5:$F$120*(((Inputs!$G$5:$G$120="moeda")+(Inputs!$G$5:$G$120="acoes"))*Inputs!$B$1+((Inputs!$G$5:$G$120&lt;&gt;"moeda")*(Inputs!$G$5:$G$120&lt;&gt;"acoes")))*INDEX(Inputs!$K$5:$AJ$120,0,MATCH(G$2,Inputs!$K$4:$AJ$4,0)))))</f>
        <v>537</v>
      </c>
      <c r="H41" s="268">
        <f>G41</f>
        <v>537</v>
      </c>
      <c r="I41" s="267">
        <f>IF(ISNA(MATCH(I$2,Inputs!$K$4:$AJ$4,0)),NA(),IF(SUMPRODUCT((Inputs!$A$5:$A$120=$B41)*ISNUMBER(INDEX(Inputs!$K$5:$AJ$120,0,MATCH(I$2,Inputs!$K$4:$AJ$4,0))))+SUMPRODUCT((Inputs!$C$5:$C$120=$B41)*ISNUMBER(INDEX(Inputs!$K$5:$AJ$120,0,MATCH(I$2,Inputs!$K$4:$AJ$4,0))))+SUMPRODUCT((Inputs!$E$5:$E$120=$B41)*ISNUMBER(INDEX(Inputs!$K$5:$AJ$120,0,MATCH(I$2,Inputs!$K$4:$AJ$4,0))))=0,NA(),SUMPRODUCT((Inputs!$A$5:$A$120=$B41)*Inputs!$B$5:$B$120*(((Inputs!$G$5:$G$120="moeda")+(Inputs!$G$5:$G$120="acoes"))*Inputs!$B$1+((Inputs!$G$5:$G$120&lt;&gt;"moeda")*(Inputs!$G$5:$G$120&lt;&gt;"acoes")))*INDEX(Inputs!$K$5:$AJ$120,0,MATCH(I$2,Inputs!$K$4:$AJ$4,0)))+SUMPRODUCT((Inputs!$C$5:$C$120=$B41)*Inputs!$D$5:$D$120*(((Inputs!$G$5:$G$120="moeda")+(Inputs!$G$5:$G$120="acoes"))*Inputs!$B$1+((Inputs!$G$5:$G$120&lt;&gt;"moeda")*(Inputs!$G$5:$G$120&lt;&gt;"acoes")))*INDEX(Inputs!$K$5:$AJ$120,0,MATCH(I$2,Inputs!$K$4:$AJ$4,0)))+SUMPRODUCT((Inputs!$E$5:$E$120=$B41)*Inputs!$F$5:$F$120*(((Inputs!$G$5:$G$120="moeda")+(Inputs!$G$5:$G$120="acoes"))*Inputs!$B$1+((Inputs!$G$5:$G$120&lt;&gt;"moeda")*(Inputs!$G$5:$G$120&lt;&gt;"acoes")))*INDEX(Inputs!$K$5:$AJ$120,0,MATCH(I$2,Inputs!$K$4:$AJ$4,0)))))</f>
        <v>530</v>
      </c>
      <c r="J41" s="267">
        <f>IF(ISNA(MATCH(J$2,Inputs!$K$4:$AJ$4,0)),NA(),IF(SUMPRODUCT((Inputs!$A$5:$A$120=$B41)*ISNUMBER(INDEX(Inputs!$K$5:$AJ$120,0,MATCH(J$2,Inputs!$K$4:$AJ$4,0))))+SUMPRODUCT((Inputs!$C$5:$C$120=$B41)*ISNUMBER(INDEX(Inputs!$K$5:$AJ$120,0,MATCH(J$2,Inputs!$K$4:$AJ$4,0))))+SUMPRODUCT((Inputs!$E$5:$E$120=$B41)*ISNUMBER(INDEX(Inputs!$K$5:$AJ$120,0,MATCH(J$2,Inputs!$K$4:$AJ$4,0))))=0,NA(),SUMPRODUCT((Inputs!$A$5:$A$120=$B41)*Inputs!$B$5:$B$120*(((Inputs!$G$5:$G$120="moeda")+(Inputs!$G$5:$G$120="acoes"))*Inputs!$B$1+((Inputs!$G$5:$G$120&lt;&gt;"moeda")*(Inputs!$G$5:$G$120&lt;&gt;"acoes")))*INDEX(Inputs!$K$5:$AJ$120,0,MATCH(J$2,Inputs!$K$4:$AJ$4,0)))+SUMPRODUCT((Inputs!$C$5:$C$120=$B41)*Inputs!$D$5:$D$120*(((Inputs!$G$5:$G$120="moeda")+(Inputs!$G$5:$G$120="acoes"))*Inputs!$B$1+((Inputs!$G$5:$G$120&lt;&gt;"moeda")*(Inputs!$G$5:$G$120&lt;&gt;"acoes")))*INDEX(Inputs!$K$5:$AJ$120,0,MATCH(J$2,Inputs!$K$4:$AJ$4,0)))+SUMPRODUCT((Inputs!$E$5:$E$120=$B41)*Inputs!$F$5:$F$120*(((Inputs!$G$5:$G$120="moeda")+(Inputs!$G$5:$G$120="acoes"))*Inputs!$B$1+((Inputs!$G$5:$G$120&lt;&gt;"moeda")*(Inputs!$G$5:$G$120&lt;&gt;"acoes")))*INDEX(Inputs!$K$5:$AJ$120,0,MATCH(J$2,Inputs!$K$4:$AJ$4,0)))))</f>
        <v>808</v>
      </c>
      <c r="K41" s="267">
        <f>IF(ISNA(MATCH(K$2,Inputs!$K$4:$AJ$4,0)),NA(),IF(SUMPRODUCT((Inputs!$A$5:$A$120=$B41)*ISNUMBER(INDEX(Inputs!$K$5:$AJ$120,0,MATCH(K$2,Inputs!$K$4:$AJ$4,0))))+SUMPRODUCT((Inputs!$C$5:$C$120=$B41)*ISNUMBER(INDEX(Inputs!$K$5:$AJ$120,0,MATCH(K$2,Inputs!$K$4:$AJ$4,0))))+SUMPRODUCT((Inputs!$E$5:$E$120=$B41)*ISNUMBER(INDEX(Inputs!$K$5:$AJ$120,0,MATCH(K$2,Inputs!$K$4:$AJ$4,0))))=0,NA(),SUMPRODUCT((Inputs!$A$5:$A$120=$B41)*Inputs!$B$5:$B$120*(((Inputs!$G$5:$G$120="moeda")+(Inputs!$G$5:$G$120="acoes"))*Inputs!$B$1+((Inputs!$G$5:$G$120&lt;&gt;"moeda")*(Inputs!$G$5:$G$120&lt;&gt;"acoes")))*INDEX(Inputs!$K$5:$AJ$120,0,MATCH(K$2,Inputs!$K$4:$AJ$4,0)))+SUMPRODUCT((Inputs!$C$5:$C$120=$B41)*Inputs!$D$5:$D$120*(((Inputs!$G$5:$G$120="moeda")+(Inputs!$G$5:$G$120="acoes"))*Inputs!$B$1+((Inputs!$G$5:$G$120&lt;&gt;"moeda")*(Inputs!$G$5:$G$120&lt;&gt;"acoes")))*INDEX(Inputs!$K$5:$AJ$120,0,MATCH(K$2,Inputs!$K$4:$AJ$4,0)))+SUMPRODUCT((Inputs!$E$5:$E$120=$B41)*Inputs!$F$5:$F$120*(((Inputs!$G$5:$G$120="moeda")+(Inputs!$G$5:$G$120="acoes"))*Inputs!$B$1+((Inputs!$G$5:$G$120&lt;&gt;"moeda")*(Inputs!$G$5:$G$120&lt;&gt;"acoes")))*INDEX(Inputs!$K$5:$AJ$120,0,MATCH(K$2,Inputs!$K$4:$AJ$4,0)))))</f>
        <v>668</v>
      </c>
      <c r="L41" s="267">
        <f>IF(ISNA(MATCH(L$2,Inputs!$K$4:$AJ$4,0)),NA(),IF(SUMPRODUCT((Inputs!$A$5:$A$120=$B41)*ISNUMBER(INDEX(Inputs!$K$5:$AJ$120,0,MATCH(L$2,Inputs!$K$4:$AJ$4,0))))+SUMPRODUCT((Inputs!$C$5:$C$120=$B41)*ISNUMBER(INDEX(Inputs!$K$5:$AJ$120,0,MATCH(L$2,Inputs!$K$4:$AJ$4,0))))+SUMPRODUCT((Inputs!$E$5:$E$120=$B41)*ISNUMBER(INDEX(Inputs!$K$5:$AJ$120,0,MATCH(L$2,Inputs!$K$4:$AJ$4,0))))=0,NA(),SUMPRODUCT((Inputs!$A$5:$A$120=$B41)*Inputs!$B$5:$B$120*(((Inputs!$G$5:$G$120="moeda")+(Inputs!$G$5:$G$120="acoes"))*Inputs!$B$1+((Inputs!$G$5:$G$120&lt;&gt;"moeda")*(Inputs!$G$5:$G$120&lt;&gt;"acoes")))*INDEX(Inputs!$K$5:$AJ$120,0,MATCH(L$2,Inputs!$K$4:$AJ$4,0)))+SUMPRODUCT((Inputs!$C$5:$C$120=$B41)*Inputs!$D$5:$D$120*(((Inputs!$G$5:$G$120="moeda")+(Inputs!$G$5:$G$120="acoes"))*Inputs!$B$1+((Inputs!$G$5:$G$120&lt;&gt;"moeda")*(Inputs!$G$5:$G$120&lt;&gt;"acoes")))*INDEX(Inputs!$K$5:$AJ$120,0,MATCH(L$2,Inputs!$K$4:$AJ$4,0)))+SUMPRODUCT((Inputs!$E$5:$E$120=$B41)*Inputs!$F$5:$F$120*(((Inputs!$G$5:$G$120="moeda")+(Inputs!$G$5:$G$120="acoes"))*Inputs!$B$1+((Inputs!$G$5:$G$120&lt;&gt;"moeda")*(Inputs!$G$5:$G$120&lt;&gt;"acoes")))*INDEX(Inputs!$K$5:$AJ$120,0,MATCH(L$2,Inputs!$K$4:$AJ$4,0)))))</f>
        <v>736</v>
      </c>
      <c r="M41" s="268">
        <f>L41</f>
        <v>736</v>
      </c>
      <c r="N41" s="267">
        <f>IF(ISNA(MATCH(N$2,Inputs!$K$4:$AJ$4,0)),NA(),IF(SUMPRODUCT((Inputs!$A$5:$A$120=$B41)*ISNUMBER(INDEX(Inputs!$K$5:$AJ$120,0,MATCH(N$2,Inputs!$K$4:$AJ$4,0))))+SUMPRODUCT((Inputs!$C$5:$C$120=$B41)*ISNUMBER(INDEX(Inputs!$K$5:$AJ$120,0,MATCH(N$2,Inputs!$K$4:$AJ$4,0))))+SUMPRODUCT((Inputs!$E$5:$E$120=$B41)*ISNUMBER(INDEX(Inputs!$K$5:$AJ$120,0,MATCH(N$2,Inputs!$K$4:$AJ$4,0))))=0,NA(),SUMPRODUCT((Inputs!$A$5:$A$120=$B41)*Inputs!$B$5:$B$120*(((Inputs!$G$5:$G$120="moeda")+(Inputs!$G$5:$G$120="acoes"))*Inputs!$B$1+((Inputs!$G$5:$G$120&lt;&gt;"moeda")*(Inputs!$G$5:$G$120&lt;&gt;"acoes")))*INDEX(Inputs!$K$5:$AJ$120,0,MATCH(N$2,Inputs!$K$4:$AJ$4,0)))+SUMPRODUCT((Inputs!$C$5:$C$120=$B41)*Inputs!$D$5:$D$120*(((Inputs!$G$5:$G$120="moeda")+(Inputs!$G$5:$G$120="acoes"))*Inputs!$B$1+((Inputs!$G$5:$G$120&lt;&gt;"moeda")*(Inputs!$G$5:$G$120&lt;&gt;"acoes")))*INDEX(Inputs!$K$5:$AJ$120,0,MATCH(N$2,Inputs!$K$4:$AJ$4,0)))+SUMPRODUCT((Inputs!$E$5:$E$120=$B41)*Inputs!$F$5:$F$120*(((Inputs!$G$5:$G$120="moeda")+(Inputs!$G$5:$G$120="acoes"))*Inputs!$B$1+((Inputs!$G$5:$G$120&lt;&gt;"moeda")*(Inputs!$G$5:$G$120&lt;&gt;"acoes")))*INDEX(Inputs!$K$5:$AJ$120,0,MATCH(N$2,Inputs!$K$4:$AJ$4,0)))))</f>
        <v>768</v>
      </c>
      <c r="O41" s="267">
        <f>IF(ISNA(MATCH(O$2,Inputs!$K$4:$AJ$4,0)),NA(),IF(SUMPRODUCT((Inputs!$A$5:$A$120=$B41)*ISNUMBER(INDEX(Inputs!$K$5:$AJ$120,0,MATCH(O$2,Inputs!$K$4:$AJ$4,0))))+SUMPRODUCT((Inputs!$C$5:$C$120=$B41)*ISNUMBER(INDEX(Inputs!$K$5:$AJ$120,0,MATCH(O$2,Inputs!$K$4:$AJ$4,0))))+SUMPRODUCT((Inputs!$E$5:$E$120=$B41)*ISNUMBER(INDEX(Inputs!$K$5:$AJ$120,0,MATCH(O$2,Inputs!$K$4:$AJ$4,0))))=0,NA(),SUMPRODUCT((Inputs!$A$5:$A$120=$B41)*Inputs!$B$5:$B$120*(((Inputs!$G$5:$G$120="moeda")+(Inputs!$G$5:$G$120="acoes"))*Inputs!$B$1+((Inputs!$G$5:$G$120&lt;&gt;"moeda")*(Inputs!$G$5:$G$120&lt;&gt;"acoes")))*INDEX(Inputs!$K$5:$AJ$120,0,MATCH(O$2,Inputs!$K$4:$AJ$4,0)))+SUMPRODUCT((Inputs!$C$5:$C$120=$B41)*Inputs!$D$5:$D$120*(((Inputs!$G$5:$G$120="moeda")+(Inputs!$G$5:$G$120="acoes"))*Inputs!$B$1+((Inputs!$G$5:$G$120&lt;&gt;"moeda")*(Inputs!$G$5:$G$120&lt;&gt;"acoes")))*INDEX(Inputs!$K$5:$AJ$120,0,MATCH(O$2,Inputs!$K$4:$AJ$4,0)))+SUMPRODUCT((Inputs!$E$5:$E$120=$B41)*Inputs!$F$5:$F$120*(((Inputs!$G$5:$G$120="moeda")+(Inputs!$G$5:$G$120="acoes"))*Inputs!$B$1+((Inputs!$G$5:$G$120&lt;&gt;"moeda")*(Inputs!$G$5:$G$120&lt;&gt;"acoes")))*INDEX(Inputs!$K$5:$AJ$120,0,MATCH(O$2,Inputs!$K$4:$AJ$4,0)))))</f>
        <v>787</v>
      </c>
      <c r="P41" s="267">
        <f>IF(ISNA(MATCH(P$2,Inputs!$K$4:$AJ$4,0)),NA(),IF(SUMPRODUCT((Inputs!$A$5:$A$120=$B41)*ISNUMBER(INDEX(Inputs!$K$5:$AJ$120,0,MATCH(P$2,Inputs!$K$4:$AJ$4,0))))+SUMPRODUCT((Inputs!$C$5:$C$120=$B41)*ISNUMBER(INDEX(Inputs!$K$5:$AJ$120,0,MATCH(P$2,Inputs!$K$4:$AJ$4,0))))+SUMPRODUCT((Inputs!$E$5:$E$120=$B41)*ISNUMBER(INDEX(Inputs!$K$5:$AJ$120,0,MATCH(P$2,Inputs!$K$4:$AJ$4,0))))=0,NA(),SUMPRODUCT((Inputs!$A$5:$A$120=$B41)*Inputs!$B$5:$B$120*(((Inputs!$G$5:$G$120="moeda")+(Inputs!$G$5:$G$120="acoes"))*Inputs!$B$1+((Inputs!$G$5:$G$120&lt;&gt;"moeda")*(Inputs!$G$5:$G$120&lt;&gt;"acoes")))*INDEX(Inputs!$K$5:$AJ$120,0,MATCH(P$2,Inputs!$K$4:$AJ$4,0)))+SUMPRODUCT((Inputs!$C$5:$C$120=$B41)*Inputs!$D$5:$D$120*(((Inputs!$G$5:$G$120="moeda")+(Inputs!$G$5:$G$120="acoes"))*Inputs!$B$1+((Inputs!$G$5:$G$120&lt;&gt;"moeda")*(Inputs!$G$5:$G$120&lt;&gt;"acoes")))*INDEX(Inputs!$K$5:$AJ$120,0,MATCH(P$2,Inputs!$K$4:$AJ$4,0)))+SUMPRODUCT((Inputs!$E$5:$E$120=$B41)*Inputs!$F$5:$F$120*(((Inputs!$G$5:$G$120="moeda")+(Inputs!$G$5:$G$120="acoes"))*Inputs!$B$1+((Inputs!$G$5:$G$120&lt;&gt;"moeda")*(Inputs!$G$5:$G$120&lt;&gt;"acoes")))*INDEX(Inputs!$K$5:$AJ$120,0,MATCH(P$2,Inputs!$K$4:$AJ$4,0)))))</f>
        <v>895</v>
      </c>
      <c r="Q41" s="267">
        <f>IF(ISNA(MATCH(Q$2,Inputs!$K$4:$AJ$4,0)),NA(),IF(SUMPRODUCT((Inputs!$A$5:$A$120=$B41)*ISNUMBER(INDEX(Inputs!$K$5:$AJ$120,0,MATCH(Q$2,Inputs!$K$4:$AJ$4,0))))+SUMPRODUCT((Inputs!$C$5:$C$120=$B41)*ISNUMBER(INDEX(Inputs!$K$5:$AJ$120,0,MATCH(Q$2,Inputs!$K$4:$AJ$4,0))))+SUMPRODUCT((Inputs!$E$5:$E$120=$B41)*ISNUMBER(INDEX(Inputs!$K$5:$AJ$120,0,MATCH(Q$2,Inputs!$K$4:$AJ$4,0))))=0,NA(),SUMPRODUCT((Inputs!$A$5:$A$120=$B41)*Inputs!$B$5:$B$120*(((Inputs!$G$5:$G$120="moeda")+(Inputs!$G$5:$G$120="acoes"))*Inputs!$B$1+((Inputs!$G$5:$G$120&lt;&gt;"moeda")*(Inputs!$G$5:$G$120&lt;&gt;"acoes")))*INDEX(Inputs!$K$5:$AJ$120,0,MATCH(Q$2,Inputs!$K$4:$AJ$4,0)))+SUMPRODUCT((Inputs!$C$5:$C$120=$B41)*Inputs!$D$5:$D$120*(((Inputs!$G$5:$G$120="moeda")+(Inputs!$G$5:$G$120="acoes"))*Inputs!$B$1+((Inputs!$G$5:$G$120&lt;&gt;"moeda")*(Inputs!$G$5:$G$120&lt;&gt;"acoes")))*INDEX(Inputs!$K$5:$AJ$120,0,MATCH(Q$2,Inputs!$K$4:$AJ$4,0)))+SUMPRODUCT((Inputs!$E$5:$E$120=$B41)*Inputs!$F$5:$F$120*(((Inputs!$G$5:$G$120="moeda")+(Inputs!$G$5:$G$120="acoes"))*Inputs!$B$1+((Inputs!$G$5:$G$120&lt;&gt;"moeda")*(Inputs!$G$5:$G$120&lt;&gt;"acoes")))*INDEX(Inputs!$K$5:$AJ$120,0,MATCH(Q$2,Inputs!$K$4:$AJ$4,0)))))</f>
        <v>964</v>
      </c>
      <c r="R41" s="268">
        <f>Q41</f>
        <v>964</v>
      </c>
      <c r="S41" s="267">
        <f>IF(ISNA(MATCH(S$2,Inputs!$K$4:$AJ$4,0)),NA(),IF(SUMPRODUCT((Inputs!$A$5:$A$120=$B41)*ISNUMBER(INDEX(Inputs!$K$5:$AJ$120,0,MATCH(S$2,Inputs!$K$4:$AJ$4,0))))+SUMPRODUCT((Inputs!$C$5:$C$120=$B41)*ISNUMBER(INDEX(Inputs!$K$5:$AJ$120,0,MATCH(S$2,Inputs!$K$4:$AJ$4,0))))+SUMPRODUCT((Inputs!$E$5:$E$120=$B41)*ISNUMBER(INDEX(Inputs!$K$5:$AJ$120,0,MATCH(S$2,Inputs!$K$4:$AJ$4,0))))=0,NA(),SUMPRODUCT((Inputs!$A$5:$A$120=$B41)*Inputs!$B$5:$B$120*(((Inputs!$G$5:$G$120="moeda")+(Inputs!$G$5:$G$120="acoes"))*Inputs!$B$1+((Inputs!$G$5:$G$120&lt;&gt;"moeda")*(Inputs!$G$5:$G$120&lt;&gt;"acoes")))*INDEX(Inputs!$K$5:$AJ$120,0,MATCH(S$2,Inputs!$K$4:$AJ$4,0)))+SUMPRODUCT((Inputs!$C$5:$C$120=$B41)*Inputs!$D$5:$D$120*(((Inputs!$G$5:$G$120="moeda")+(Inputs!$G$5:$G$120="acoes"))*Inputs!$B$1+((Inputs!$G$5:$G$120&lt;&gt;"moeda")*(Inputs!$G$5:$G$120&lt;&gt;"acoes")))*INDEX(Inputs!$K$5:$AJ$120,0,MATCH(S$2,Inputs!$K$4:$AJ$4,0)))+SUMPRODUCT((Inputs!$E$5:$E$120=$B41)*Inputs!$F$5:$F$120*(((Inputs!$G$5:$G$120="moeda")+(Inputs!$G$5:$G$120="acoes"))*Inputs!$B$1+((Inputs!$G$5:$G$120&lt;&gt;"moeda")*(Inputs!$G$5:$G$120&lt;&gt;"acoes")))*INDEX(Inputs!$K$5:$AJ$120,0,MATCH(S$2,Inputs!$K$4:$AJ$4,0)))))</f>
        <v>978</v>
      </c>
      <c r="T41" s="267">
        <f>IF(ISNA(MATCH(T$2,Inputs!$K$4:$AJ$4,0)),NA(),IF(SUMPRODUCT((Inputs!$A$5:$A$120=$B41)*ISNUMBER(INDEX(Inputs!$K$5:$AJ$120,0,MATCH(T$2,Inputs!$K$4:$AJ$4,0))))+SUMPRODUCT((Inputs!$C$5:$C$120=$B41)*ISNUMBER(INDEX(Inputs!$K$5:$AJ$120,0,MATCH(T$2,Inputs!$K$4:$AJ$4,0))))+SUMPRODUCT((Inputs!$E$5:$E$120=$B41)*ISNUMBER(INDEX(Inputs!$K$5:$AJ$120,0,MATCH(T$2,Inputs!$K$4:$AJ$4,0))))=0,NA(),SUMPRODUCT((Inputs!$A$5:$A$120=$B41)*Inputs!$B$5:$B$120*(((Inputs!$G$5:$G$120="moeda")+(Inputs!$G$5:$G$120="acoes"))*Inputs!$B$1+((Inputs!$G$5:$G$120&lt;&gt;"moeda")*(Inputs!$G$5:$G$120&lt;&gt;"acoes")))*INDEX(Inputs!$K$5:$AJ$120,0,MATCH(T$2,Inputs!$K$4:$AJ$4,0)))+SUMPRODUCT((Inputs!$C$5:$C$120=$B41)*Inputs!$D$5:$D$120*(((Inputs!$G$5:$G$120="moeda")+(Inputs!$G$5:$G$120="acoes"))*Inputs!$B$1+((Inputs!$G$5:$G$120&lt;&gt;"moeda")*(Inputs!$G$5:$G$120&lt;&gt;"acoes")))*INDEX(Inputs!$K$5:$AJ$120,0,MATCH(T$2,Inputs!$K$4:$AJ$4,0)))+SUMPRODUCT((Inputs!$E$5:$E$120=$B41)*Inputs!$F$5:$F$120*(((Inputs!$G$5:$G$120="moeda")+(Inputs!$G$5:$G$120="acoes"))*Inputs!$B$1+((Inputs!$G$5:$G$120&lt;&gt;"moeda")*(Inputs!$G$5:$G$120&lt;&gt;"acoes")))*INDEX(Inputs!$K$5:$AJ$120,0,MATCH(T$2,Inputs!$K$4:$AJ$4,0)))))</f>
        <v>983</v>
      </c>
      <c r="U41" s="267">
        <f>IF(ISNA(MATCH(U$2,Inputs!$K$4:$AJ$4,0)),NA(),IF(SUMPRODUCT((Inputs!$A$5:$A$120=$B41)*ISNUMBER(INDEX(Inputs!$K$5:$AJ$120,0,MATCH(U$2,Inputs!$K$4:$AJ$4,0))))+SUMPRODUCT((Inputs!$C$5:$C$120=$B41)*ISNUMBER(INDEX(Inputs!$K$5:$AJ$120,0,MATCH(U$2,Inputs!$K$4:$AJ$4,0))))+SUMPRODUCT((Inputs!$E$5:$E$120=$B41)*ISNUMBER(INDEX(Inputs!$K$5:$AJ$120,0,MATCH(U$2,Inputs!$K$4:$AJ$4,0))))=0,NA(),SUMPRODUCT((Inputs!$A$5:$A$120=$B41)*Inputs!$B$5:$B$120*(((Inputs!$G$5:$G$120="moeda")+(Inputs!$G$5:$G$120="acoes"))*Inputs!$B$1+((Inputs!$G$5:$G$120&lt;&gt;"moeda")*(Inputs!$G$5:$G$120&lt;&gt;"acoes")))*INDEX(Inputs!$K$5:$AJ$120,0,MATCH(U$2,Inputs!$K$4:$AJ$4,0)))+SUMPRODUCT((Inputs!$C$5:$C$120=$B41)*Inputs!$D$5:$D$120*(((Inputs!$G$5:$G$120="moeda")+(Inputs!$G$5:$G$120="acoes"))*Inputs!$B$1+((Inputs!$G$5:$G$120&lt;&gt;"moeda")*(Inputs!$G$5:$G$120&lt;&gt;"acoes")))*INDEX(Inputs!$K$5:$AJ$120,0,MATCH(U$2,Inputs!$K$4:$AJ$4,0)))+SUMPRODUCT((Inputs!$E$5:$E$120=$B41)*Inputs!$F$5:$F$120*(((Inputs!$G$5:$G$120="moeda")+(Inputs!$G$5:$G$120="acoes"))*Inputs!$B$1+((Inputs!$G$5:$G$120&lt;&gt;"moeda")*(Inputs!$G$5:$G$120&lt;&gt;"acoes")))*INDEX(Inputs!$K$5:$AJ$120,0,MATCH(U$2,Inputs!$K$4:$AJ$4,0)))))</f>
        <v>1023</v>
      </c>
      <c r="V41" s="267">
        <f>IF(ISNA(MATCH(V$2,Inputs!$K$4:$AJ$4,0)),NA(),IF(SUMPRODUCT((Inputs!$A$5:$A$120=$B41)*ISNUMBER(INDEX(Inputs!$K$5:$AJ$120,0,MATCH(V$2,Inputs!$K$4:$AJ$4,0))))+SUMPRODUCT((Inputs!$C$5:$C$120=$B41)*ISNUMBER(INDEX(Inputs!$K$5:$AJ$120,0,MATCH(V$2,Inputs!$K$4:$AJ$4,0))))+SUMPRODUCT((Inputs!$E$5:$E$120=$B41)*ISNUMBER(INDEX(Inputs!$K$5:$AJ$120,0,MATCH(V$2,Inputs!$K$4:$AJ$4,0))))=0,NA(),SUMPRODUCT((Inputs!$A$5:$A$120=$B41)*Inputs!$B$5:$B$120*(((Inputs!$G$5:$G$120="moeda")+(Inputs!$G$5:$G$120="acoes"))*Inputs!$B$1+((Inputs!$G$5:$G$120&lt;&gt;"moeda")*(Inputs!$G$5:$G$120&lt;&gt;"acoes")))*INDEX(Inputs!$K$5:$AJ$120,0,MATCH(V$2,Inputs!$K$4:$AJ$4,0)))+SUMPRODUCT((Inputs!$C$5:$C$120=$B41)*Inputs!$D$5:$D$120*(((Inputs!$G$5:$G$120="moeda")+(Inputs!$G$5:$G$120="acoes"))*Inputs!$B$1+((Inputs!$G$5:$G$120&lt;&gt;"moeda")*(Inputs!$G$5:$G$120&lt;&gt;"acoes")))*INDEX(Inputs!$K$5:$AJ$120,0,MATCH(V$2,Inputs!$K$4:$AJ$4,0)))+SUMPRODUCT((Inputs!$E$5:$E$120=$B41)*Inputs!$F$5:$F$120*(((Inputs!$G$5:$G$120="moeda")+(Inputs!$G$5:$G$120="acoes"))*Inputs!$B$1+((Inputs!$G$5:$G$120&lt;&gt;"moeda")*(Inputs!$G$5:$G$120&lt;&gt;"acoes")))*INDEX(Inputs!$K$5:$AJ$120,0,MATCH(V$2,Inputs!$K$4:$AJ$4,0)))))</f>
        <v>1036</v>
      </c>
      <c r="W41" s="268">
        <f>V41</f>
        <v>1036</v>
      </c>
      <c r="X41" s="267">
        <f>IF(ISNA(MATCH(X$2,Inputs!$K$4:$AJ$4,0)),NA(),IF(SUMPRODUCT((Inputs!$A$5:$A$120=$B41)*ISNUMBER(INDEX(Inputs!$K$5:$AJ$120,0,MATCH(X$2,Inputs!$K$4:$AJ$4,0))))+SUMPRODUCT((Inputs!$C$5:$C$120=$B41)*ISNUMBER(INDEX(Inputs!$K$5:$AJ$120,0,MATCH(X$2,Inputs!$K$4:$AJ$4,0))))+SUMPRODUCT((Inputs!$E$5:$E$120=$B41)*ISNUMBER(INDEX(Inputs!$K$5:$AJ$120,0,MATCH(X$2,Inputs!$K$4:$AJ$4,0))))=0,NA(),SUMPRODUCT((Inputs!$A$5:$A$120=$B41)*Inputs!$B$5:$B$120*(((Inputs!$G$5:$G$120="moeda")+(Inputs!$G$5:$G$120="acoes"))*Inputs!$B$1+((Inputs!$G$5:$G$120&lt;&gt;"moeda")*(Inputs!$G$5:$G$120&lt;&gt;"acoes")))*INDEX(Inputs!$K$5:$AJ$120,0,MATCH(X$2,Inputs!$K$4:$AJ$4,0)))+SUMPRODUCT((Inputs!$C$5:$C$120=$B41)*Inputs!$D$5:$D$120*(((Inputs!$G$5:$G$120="moeda")+(Inputs!$G$5:$G$120="acoes"))*Inputs!$B$1+((Inputs!$G$5:$G$120&lt;&gt;"moeda")*(Inputs!$G$5:$G$120&lt;&gt;"acoes")))*INDEX(Inputs!$K$5:$AJ$120,0,MATCH(X$2,Inputs!$K$4:$AJ$4,0)))+SUMPRODUCT((Inputs!$E$5:$E$120=$B41)*Inputs!$F$5:$F$120*(((Inputs!$G$5:$G$120="moeda")+(Inputs!$G$5:$G$120="acoes"))*Inputs!$B$1+((Inputs!$G$5:$G$120&lt;&gt;"moeda")*(Inputs!$G$5:$G$120&lt;&gt;"acoes")))*INDEX(Inputs!$K$5:$AJ$120,0,MATCH(X$2,Inputs!$K$4:$AJ$4,0)))))</f>
        <v>1015</v>
      </c>
      <c r="Y41" s="267">
        <f>IF(ISNA(MATCH(Y$2,Inputs!$K$4:$AJ$4,0)),NA(),IF(SUMPRODUCT((Inputs!$A$5:$A$120=$B41)*ISNUMBER(INDEX(Inputs!$K$5:$AJ$120,0,MATCH(Y$2,Inputs!$K$4:$AJ$4,0))))+SUMPRODUCT((Inputs!$C$5:$C$120=$B41)*ISNUMBER(INDEX(Inputs!$K$5:$AJ$120,0,MATCH(Y$2,Inputs!$K$4:$AJ$4,0))))+SUMPRODUCT((Inputs!$E$5:$E$120=$B41)*ISNUMBER(INDEX(Inputs!$K$5:$AJ$120,0,MATCH(Y$2,Inputs!$K$4:$AJ$4,0))))=0,NA(),SUMPRODUCT((Inputs!$A$5:$A$120=$B41)*Inputs!$B$5:$B$120*(((Inputs!$G$5:$G$120="moeda")+(Inputs!$G$5:$G$120="acoes"))*Inputs!$B$1+((Inputs!$G$5:$G$120&lt;&gt;"moeda")*(Inputs!$G$5:$G$120&lt;&gt;"acoes")))*INDEX(Inputs!$K$5:$AJ$120,0,MATCH(Y$2,Inputs!$K$4:$AJ$4,0)))+SUMPRODUCT((Inputs!$C$5:$C$120=$B41)*Inputs!$D$5:$D$120*(((Inputs!$G$5:$G$120="moeda")+(Inputs!$G$5:$G$120="acoes"))*Inputs!$B$1+((Inputs!$G$5:$G$120&lt;&gt;"moeda")*(Inputs!$G$5:$G$120&lt;&gt;"acoes")))*INDEX(Inputs!$K$5:$AJ$120,0,MATCH(Y$2,Inputs!$K$4:$AJ$4,0)))+SUMPRODUCT((Inputs!$E$5:$E$120=$B41)*Inputs!$F$5:$F$120*(((Inputs!$G$5:$G$120="moeda")+(Inputs!$G$5:$G$120="acoes"))*Inputs!$B$1+((Inputs!$G$5:$G$120&lt;&gt;"moeda")*(Inputs!$G$5:$G$120&lt;&gt;"acoes")))*INDEX(Inputs!$K$5:$AJ$120,0,MATCH(Y$2,Inputs!$K$4:$AJ$4,0)))))</f>
        <v>1073</v>
      </c>
      <c r="Z41" s="267">
        <f>IF(ISNA(MATCH(Z$2,Inputs!$K$4:$AJ$4,0)),NA(),IF(SUMPRODUCT((Inputs!$A$5:$A$120=$B41)*ISNUMBER(INDEX(Inputs!$K$5:$AJ$120,0,MATCH(Z$2,Inputs!$K$4:$AJ$4,0))))+SUMPRODUCT((Inputs!$C$5:$C$120=$B41)*ISNUMBER(INDEX(Inputs!$K$5:$AJ$120,0,MATCH(Z$2,Inputs!$K$4:$AJ$4,0))))+SUMPRODUCT((Inputs!$E$5:$E$120=$B41)*ISNUMBER(INDEX(Inputs!$K$5:$AJ$120,0,MATCH(Z$2,Inputs!$K$4:$AJ$4,0))))=0,NA(),SUMPRODUCT((Inputs!$A$5:$A$120=$B41)*Inputs!$B$5:$B$120*(((Inputs!$G$5:$G$120="moeda")+(Inputs!$G$5:$G$120="acoes"))*Inputs!$B$1+((Inputs!$G$5:$G$120&lt;&gt;"moeda")*(Inputs!$G$5:$G$120&lt;&gt;"acoes")))*INDEX(Inputs!$K$5:$AJ$120,0,MATCH(Z$2,Inputs!$K$4:$AJ$4,0)))+SUMPRODUCT((Inputs!$C$5:$C$120=$B41)*Inputs!$D$5:$D$120*(((Inputs!$G$5:$G$120="moeda")+(Inputs!$G$5:$G$120="acoes"))*Inputs!$B$1+((Inputs!$G$5:$G$120&lt;&gt;"moeda")*(Inputs!$G$5:$G$120&lt;&gt;"acoes")))*INDEX(Inputs!$K$5:$AJ$120,0,MATCH(Z$2,Inputs!$K$4:$AJ$4,0)))+SUMPRODUCT((Inputs!$E$5:$E$120=$B41)*Inputs!$F$5:$F$120*(((Inputs!$G$5:$G$120="moeda")+(Inputs!$G$5:$G$120="acoes"))*Inputs!$B$1+((Inputs!$G$5:$G$120&lt;&gt;"moeda")*(Inputs!$G$5:$G$120&lt;&gt;"acoes")))*INDEX(Inputs!$K$5:$AJ$120,0,MATCH(Z$2,Inputs!$K$4:$AJ$4,0)))))</f>
        <v>1523</v>
      </c>
      <c r="AA41" s="267">
        <f>IF(ISNA(MATCH(AA$2,Inputs!$K$4:$AJ$4,0)),NA(),IF(SUMPRODUCT((Inputs!$A$5:$A$120=$B41)*ISNUMBER(INDEX(Inputs!$K$5:$AJ$120,0,MATCH(AA$2,Inputs!$K$4:$AJ$4,0))))+SUMPRODUCT((Inputs!$C$5:$C$120=$B41)*ISNUMBER(INDEX(Inputs!$K$5:$AJ$120,0,MATCH(AA$2,Inputs!$K$4:$AJ$4,0))))+SUMPRODUCT((Inputs!$E$5:$E$120=$B41)*ISNUMBER(INDEX(Inputs!$K$5:$AJ$120,0,MATCH(AA$2,Inputs!$K$4:$AJ$4,0))))=0,NA(),SUMPRODUCT((Inputs!$A$5:$A$120=$B41)*Inputs!$B$5:$B$120*(((Inputs!$G$5:$G$120="moeda")+(Inputs!$G$5:$G$120="acoes"))*Inputs!$B$1+((Inputs!$G$5:$G$120&lt;&gt;"moeda")*(Inputs!$G$5:$G$120&lt;&gt;"acoes")))*INDEX(Inputs!$K$5:$AJ$120,0,MATCH(AA$2,Inputs!$K$4:$AJ$4,0)))+SUMPRODUCT((Inputs!$C$5:$C$120=$B41)*Inputs!$D$5:$D$120*(((Inputs!$G$5:$G$120="moeda")+(Inputs!$G$5:$G$120="acoes"))*Inputs!$B$1+((Inputs!$G$5:$G$120&lt;&gt;"moeda")*(Inputs!$G$5:$G$120&lt;&gt;"acoes")))*INDEX(Inputs!$K$5:$AJ$120,0,MATCH(AA$2,Inputs!$K$4:$AJ$4,0)))+SUMPRODUCT((Inputs!$E$5:$E$120=$B41)*Inputs!$F$5:$F$120*(((Inputs!$G$5:$G$120="moeda")+(Inputs!$G$5:$G$120="acoes"))*Inputs!$B$1+((Inputs!$G$5:$G$120&lt;&gt;"moeda")*(Inputs!$G$5:$G$120&lt;&gt;"acoes")))*INDEX(Inputs!$K$5:$AJ$120,0,MATCH(AA$2,Inputs!$K$4:$AJ$4,0)))))</f>
        <v>1518</v>
      </c>
      <c r="AB41" s="268">
        <f>AA41</f>
        <v>1518</v>
      </c>
      <c r="AC41" s="267">
        <f>IF(ISNA(MATCH(AC$2,Inputs!$K$4:$AJ$4,0)),NA(),IF(SUMPRODUCT((Inputs!$A$5:$A$120=$B41)*ISNUMBER(INDEX(Inputs!$K$5:$AJ$120,0,MATCH(AC$2,Inputs!$K$4:$AJ$4,0))))+SUMPRODUCT((Inputs!$C$5:$C$120=$B41)*ISNUMBER(INDEX(Inputs!$K$5:$AJ$120,0,MATCH(AC$2,Inputs!$K$4:$AJ$4,0))))+SUMPRODUCT((Inputs!$E$5:$E$120=$B41)*ISNUMBER(INDEX(Inputs!$K$5:$AJ$120,0,MATCH(AC$2,Inputs!$K$4:$AJ$4,0))))=0,NA(),SUMPRODUCT((Inputs!$A$5:$A$120=$B41)*Inputs!$B$5:$B$120*(((Inputs!$G$5:$G$120="moeda")+(Inputs!$G$5:$G$120="acoes"))*Inputs!$B$1+((Inputs!$G$5:$G$120&lt;&gt;"moeda")*(Inputs!$G$5:$G$120&lt;&gt;"acoes")))*INDEX(Inputs!$K$5:$AJ$120,0,MATCH(AC$2,Inputs!$K$4:$AJ$4,0)))+SUMPRODUCT((Inputs!$C$5:$C$120=$B41)*Inputs!$D$5:$D$120*(((Inputs!$G$5:$G$120="moeda")+(Inputs!$G$5:$G$120="acoes"))*Inputs!$B$1+((Inputs!$G$5:$G$120&lt;&gt;"moeda")*(Inputs!$G$5:$G$120&lt;&gt;"acoes")))*INDEX(Inputs!$K$5:$AJ$120,0,MATCH(AC$2,Inputs!$K$4:$AJ$4,0)))+SUMPRODUCT((Inputs!$E$5:$E$120=$B41)*Inputs!$F$5:$F$120*(((Inputs!$G$5:$G$120="moeda")+(Inputs!$G$5:$G$120="acoes"))*Inputs!$B$1+((Inputs!$G$5:$G$120&lt;&gt;"moeda")*(Inputs!$G$5:$G$120&lt;&gt;"acoes")))*INDEX(Inputs!$K$5:$AJ$120,0,MATCH(AC$2,Inputs!$K$4:$AJ$4,0)))))</f>
        <v>1432</v>
      </c>
      <c r="AD41" s="267">
        <f>IF(ISNA(MATCH(AD$2,Inputs!$K$4:$AJ$4,0)),NA(),IF(SUMPRODUCT((Inputs!$A$5:$A$120=$B41)*ISNUMBER(INDEX(Inputs!$K$5:$AJ$120,0,MATCH(AD$2,Inputs!$K$4:$AJ$4,0))))+SUMPRODUCT((Inputs!$C$5:$C$120=$B41)*ISNUMBER(INDEX(Inputs!$K$5:$AJ$120,0,MATCH(AD$2,Inputs!$K$4:$AJ$4,0))))+SUMPRODUCT((Inputs!$E$5:$E$120=$B41)*ISNUMBER(INDEX(Inputs!$K$5:$AJ$120,0,MATCH(AD$2,Inputs!$K$4:$AJ$4,0))))=0,NA(),SUMPRODUCT((Inputs!$A$5:$A$120=$B41)*Inputs!$B$5:$B$120*(((Inputs!$G$5:$G$120="moeda")+(Inputs!$G$5:$G$120="acoes"))*Inputs!$B$1+((Inputs!$G$5:$G$120&lt;&gt;"moeda")*(Inputs!$G$5:$G$120&lt;&gt;"acoes")))*INDEX(Inputs!$K$5:$AJ$120,0,MATCH(AD$2,Inputs!$K$4:$AJ$4,0)))+SUMPRODUCT((Inputs!$C$5:$C$120=$B41)*Inputs!$D$5:$D$120*(((Inputs!$G$5:$G$120="moeda")+(Inputs!$G$5:$G$120="acoes"))*Inputs!$B$1+((Inputs!$G$5:$G$120&lt;&gt;"moeda")*(Inputs!$G$5:$G$120&lt;&gt;"acoes")))*INDEX(Inputs!$K$5:$AJ$120,0,MATCH(AD$2,Inputs!$K$4:$AJ$4,0)))+SUMPRODUCT((Inputs!$E$5:$E$120=$B41)*Inputs!$F$5:$F$120*(((Inputs!$G$5:$G$120="moeda")+(Inputs!$G$5:$G$120="acoes"))*Inputs!$B$1+((Inputs!$G$5:$G$120&lt;&gt;"moeda")*(Inputs!$G$5:$G$120&lt;&gt;"acoes")))*INDEX(Inputs!$K$5:$AJ$120,0,MATCH(AD$2,Inputs!$K$4:$AJ$4,0)))))</f>
        <v>1457</v>
      </c>
      <c r="AE41" s="267" t="e">
        <f>IF(ISNA(MATCH(AE$2,Inputs!$K$4:$AJ$4,0)),NA(),IF(SUMPRODUCT((Inputs!$A$5:$A$120=$B41)*ISNUMBER(INDEX(Inputs!$K$5:$AJ$120,0,MATCH(AE$2,Inputs!$K$4:$AJ$4,0))))+SUMPRODUCT((Inputs!$C$5:$C$120=$B41)*ISNUMBER(INDEX(Inputs!$K$5:$AJ$120,0,MATCH(AE$2,Inputs!$K$4:$AJ$4,0))))+SUMPRODUCT((Inputs!$E$5:$E$120=$B41)*ISNUMBER(INDEX(Inputs!$K$5:$AJ$120,0,MATCH(AE$2,Inputs!$K$4:$AJ$4,0))))=0,NA(),SUMPRODUCT((Inputs!$A$5:$A$120=$B41)*Inputs!$B$5:$B$120*(((Inputs!$G$5:$G$120="moeda")+(Inputs!$G$5:$G$120="acoes"))*Inputs!$B$1+((Inputs!$G$5:$G$120&lt;&gt;"moeda")*(Inputs!$G$5:$G$120&lt;&gt;"acoes")))*INDEX(Inputs!$K$5:$AJ$120,0,MATCH(AE$2,Inputs!$K$4:$AJ$4,0)))+SUMPRODUCT((Inputs!$C$5:$C$120=$B41)*Inputs!$D$5:$D$120*(((Inputs!$G$5:$G$120="moeda")+(Inputs!$G$5:$G$120="acoes"))*Inputs!$B$1+((Inputs!$G$5:$G$120&lt;&gt;"moeda")*(Inputs!$G$5:$G$120&lt;&gt;"acoes")))*INDEX(Inputs!$K$5:$AJ$120,0,MATCH(AE$2,Inputs!$K$4:$AJ$4,0)))+SUMPRODUCT((Inputs!$E$5:$E$120=$B41)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1" s="267" t="e">
        <f>IF(ISNA(MATCH(AF$2,Inputs!$K$4:$AJ$4,0)),NA(),IF(SUMPRODUCT((Inputs!$A$5:$A$120=$B41)*ISNUMBER(INDEX(Inputs!$K$5:$AJ$120,0,MATCH(AF$2,Inputs!$K$4:$AJ$4,0))))+SUMPRODUCT((Inputs!$C$5:$C$120=$B41)*ISNUMBER(INDEX(Inputs!$K$5:$AJ$120,0,MATCH(AF$2,Inputs!$K$4:$AJ$4,0))))+SUMPRODUCT((Inputs!$E$5:$E$120=$B41)*ISNUMBER(INDEX(Inputs!$K$5:$AJ$120,0,MATCH(AF$2,Inputs!$K$4:$AJ$4,0))))=0,NA(),SUMPRODUCT((Inputs!$A$5:$A$120=$B41)*Inputs!$B$5:$B$120*(((Inputs!$G$5:$G$120="moeda")+(Inputs!$G$5:$G$120="acoes"))*Inputs!$B$1+((Inputs!$G$5:$G$120&lt;&gt;"moeda")*(Inputs!$G$5:$G$120&lt;&gt;"acoes")))*INDEX(Inputs!$K$5:$AJ$120,0,MATCH(AF$2,Inputs!$K$4:$AJ$4,0)))+SUMPRODUCT((Inputs!$C$5:$C$120=$B41)*Inputs!$D$5:$D$120*(((Inputs!$G$5:$G$120="moeda")+(Inputs!$G$5:$G$120="acoes"))*Inputs!$B$1+((Inputs!$G$5:$G$120&lt;&gt;"moeda")*(Inputs!$G$5:$G$120&lt;&gt;"acoes")))*INDEX(Inputs!$K$5:$AJ$120,0,MATCH(AF$2,Inputs!$K$4:$AJ$4,0)))+SUMPRODUCT((Inputs!$E$5:$E$120=$B41)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1" s="268" t="e">
        <f>AF41</f>
        <v>#N/A</v>
      </c>
      <c r="AH41" s="267">
        <f>IF(ISNA(MATCH(AH$2,Inputs!$K$4:$AJ$4,0)),NA(),IF(SUMPRODUCT((Inputs!$A$5:$A$120=$B41)*ISNUMBER(INDEX(Inputs!$K$5:$AJ$120,0,MATCH(AH$2,Inputs!$K$4:$AJ$4,0))))+SUMPRODUCT((Inputs!$C$5:$C$120=$B41)*ISNUMBER(INDEX(Inputs!$K$5:$AJ$120,0,MATCH(AH$2,Inputs!$K$4:$AJ$4,0))))+SUMPRODUCT((Inputs!$E$5:$E$120=$B41)*ISNUMBER(INDEX(Inputs!$K$5:$AJ$120,0,MATCH(AH$2,Inputs!$K$4:$AJ$4,0))))=0,NA(),SUMPRODUCT((Inputs!$A$5:$A$120=$B41)*Inputs!$B$5:$B$120*(((Inputs!$G$5:$G$120="moeda")+(Inputs!$G$5:$G$120="acoes"))*Inputs!$B$1+((Inputs!$G$5:$G$120&lt;&gt;"moeda")*(Inputs!$G$5:$G$120&lt;&gt;"acoes")))*INDEX(Inputs!$K$5:$AJ$120,0,MATCH(AH$2,Inputs!$K$4:$AJ$4,0)))+SUMPRODUCT((Inputs!$C$5:$C$120=$B41)*Inputs!$D$5:$D$120*(((Inputs!$G$5:$G$120="moeda")+(Inputs!$G$5:$G$120="acoes"))*Inputs!$B$1+((Inputs!$G$5:$G$120&lt;&gt;"moeda")*(Inputs!$G$5:$G$120&lt;&gt;"acoes")))*INDEX(Inputs!$K$5:$AJ$120,0,MATCH(AH$2,Inputs!$K$4:$AJ$4,0)))+SUMPRODUCT((Inputs!$E$5:$E$120=$B41)*Inputs!$F$5:$F$120*(((Inputs!$G$5:$G$120="moeda")+(Inputs!$G$5:$G$120="acoes"))*Inputs!$B$1+((Inputs!$G$5:$G$120&lt;&gt;"moeda")*(Inputs!$G$5:$G$120&lt;&gt;"acoes")))*INDEX(Inputs!$K$5:$AJ$120,0,MATCH(AH$2,Inputs!$K$4:$AJ$4,0)))))</f>
        <v>504</v>
      </c>
      <c r="AI41" s="267">
        <f>IF(ISNA(MATCH(AI$2,Inputs!$K$4:$AJ$4,0)),NA(),IF(SUMPRODUCT((Inputs!$A$5:$A$120=$B41)*ISNUMBER(INDEX(Inputs!$K$5:$AJ$120,0,MATCH(AI$2,Inputs!$K$4:$AJ$4,0))))+SUMPRODUCT((Inputs!$C$5:$C$120=$B41)*ISNUMBER(INDEX(Inputs!$K$5:$AJ$120,0,MATCH(AI$2,Inputs!$K$4:$AJ$4,0))))+SUMPRODUCT((Inputs!$E$5:$E$120=$B41)*ISNUMBER(INDEX(Inputs!$K$5:$AJ$120,0,MATCH(AI$2,Inputs!$K$4:$AJ$4,0))))=0,NA(),SUMPRODUCT((Inputs!$A$5:$A$120=$B41)*Inputs!$B$5:$B$120*(((Inputs!$G$5:$G$120="moeda")+(Inputs!$G$5:$G$120="acoes"))*Inputs!$B$1+((Inputs!$G$5:$G$120&lt;&gt;"moeda")*(Inputs!$G$5:$G$120&lt;&gt;"acoes")))*INDEX(Inputs!$K$5:$AJ$120,0,MATCH(AI$2,Inputs!$K$4:$AJ$4,0)))+SUMPRODUCT((Inputs!$C$5:$C$120=$B41)*Inputs!$D$5:$D$120*(((Inputs!$G$5:$G$120="moeda")+(Inputs!$G$5:$G$120="acoes"))*Inputs!$B$1+((Inputs!$G$5:$G$120&lt;&gt;"moeda")*(Inputs!$G$5:$G$120&lt;&gt;"acoes")))*INDEX(Inputs!$K$5:$AJ$120,0,MATCH(AI$2,Inputs!$K$4:$AJ$4,0)))+SUMPRODUCT((Inputs!$E$5:$E$120=$B41)*Inputs!$F$5:$F$120*(((Inputs!$G$5:$G$120="moeda")+(Inputs!$G$5:$G$120="acoes"))*Inputs!$B$1+((Inputs!$G$5:$G$120&lt;&gt;"moeda")*(Inputs!$G$5:$G$120&lt;&gt;"acoes")))*INDEX(Inputs!$K$5:$AJ$120,0,MATCH(AI$2,Inputs!$K$4:$AJ$4,0)))))</f>
        <v>513</v>
      </c>
      <c r="AJ41" s="267">
        <f>IF(ISNA(MATCH(AJ$2,Inputs!$K$4:$AJ$4,0)),NA(),IF(SUMPRODUCT((Inputs!$A$5:$A$120=$B41)*ISNUMBER(INDEX(Inputs!$K$5:$AJ$120,0,MATCH(AJ$2,Inputs!$K$4:$AJ$4,0))))+SUMPRODUCT((Inputs!$C$5:$C$120=$B41)*ISNUMBER(INDEX(Inputs!$K$5:$AJ$120,0,MATCH(AJ$2,Inputs!$K$4:$AJ$4,0))))+SUMPRODUCT((Inputs!$E$5:$E$120=$B41)*ISNUMBER(INDEX(Inputs!$K$5:$AJ$120,0,MATCH(AJ$2,Inputs!$K$4:$AJ$4,0))))=0,NA(),SUMPRODUCT((Inputs!$A$5:$A$120=$B41)*Inputs!$B$5:$B$120*(((Inputs!$G$5:$G$120="moeda")+(Inputs!$G$5:$G$120="acoes"))*Inputs!$B$1+((Inputs!$G$5:$G$120&lt;&gt;"moeda")*(Inputs!$G$5:$G$120&lt;&gt;"acoes")))*INDEX(Inputs!$K$5:$AJ$120,0,MATCH(AJ$2,Inputs!$K$4:$AJ$4,0)))+SUMPRODUCT((Inputs!$C$5:$C$120=$B41)*Inputs!$D$5:$D$120*(((Inputs!$G$5:$G$120="moeda")+(Inputs!$G$5:$G$120="acoes"))*Inputs!$B$1+((Inputs!$G$5:$G$120&lt;&gt;"moeda")*(Inputs!$G$5:$G$120&lt;&gt;"acoes")))*INDEX(Inputs!$K$5:$AJ$120,0,MATCH(AJ$2,Inputs!$K$4:$AJ$4,0)))+SUMPRODUCT((Inputs!$E$5:$E$120=$B41)*Inputs!$F$5:$F$120*(((Inputs!$G$5:$G$120="moeda")+(Inputs!$G$5:$G$120="acoes"))*Inputs!$B$1+((Inputs!$G$5:$G$120&lt;&gt;"moeda")*(Inputs!$G$5:$G$120&lt;&gt;"acoes")))*INDEX(Inputs!$K$5:$AJ$120,0,MATCH(AJ$2,Inputs!$K$4:$AJ$4,0)))))</f>
        <v>527</v>
      </c>
      <c r="AK41" s="267">
        <f>IF(ISNA(MATCH(AK$2,Inputs!$K$4:$AJ$4,0)),NA(),IF(SUMPRODUCT((Inputs!$A$5:$A$120=$B41)*ISNUMBER(INDEX(Inputs!$K$5:$AJ$120,0,MATCH(AK$2,Inputs!$K$4:$AJ$4,0))))+SUMPRODUCT((Inputs!$C$5:$C$120=$B41)*ISNUMBER(INDEX(Inputs!$K$5:$AJ$120,0,MATCH(AK$2,Inputs!$K$4:$AJ$4,0))))+SUMPRODUCT((Inputs!$E$5:$E$120=$B41)*ISNUMBER(INDEX(Inputs!$K$5:$AJ$120,0,MATCH(AK$2,Inputs!$K$4:$AJ$4,0))))=0,NA(),SUMPRODUCT((Inputs!$A$5:$A$120=$B41)*Inputs!$B$5:$B$120*(((Inputs!$G$5:$G$120="moeda")+(Inputs!$G$5:$G$120="acoes"))*Inputs!$B$1+((Inputs!$G$5:$G$120&lt;&gt;"moeda")*(Inputs!$G$5:$G$120&lt;&gt;"acoes")))*INDEX(Inputs!$K$5:$AJ$120,0,MATCH(AK$2,Inputs!$K$4:$AJ$4,0)))+SUMPRODUCT((Inputs!$C$5:$C$120=$B41)*Inputs!$D$5:$D$120*(((Inputs!$G$5:$G$120="moeda")+(Inputs!$G$5:$G$120="acoes"))*Inputs!$B$1+((Inputs!$G$5:$G$120&lt;&gt;"moeda")*(Inputs!$G$5:$G$120&lt;&gt;"acoes")))*INDEX(Inputs!$K$5:$AJ$120,0,MATCH(AK$2,Inputs!$K$4:$AJ$4,0)))+SUMPRODUCT((Inputs!$E$5:$E$120=$B41)*Inputs!$F$5:$F$120*(((Inputs!$G$5:$G$120="moeda")+(Inputs!$G$5:$G$120="acoes"))*Inputs!$B$1+((Inputs!$G$5:$G$120&lt;&gt;"moeda")*(Inputs!$G$5:$G$120&lt;&gt;"acoes")))*INDEX(Inputs!$K$5:$AJ$120,0,MATCH(AK$2,Inputs!$K$4:$AJ$4,0)))))</f>
        <v>551</v>
      </c>
      <c r="AL41" s="268">
        <f>AK41</f>
        <v>551</v>
      </c>
    </row>
    <row r="42" ht="12.75" customHeight="1" s="255">
      <c r="B42" s="265" t="n">
        <v>36</v>
      </c>
      <c r="C42" s="270" t="inlineStr">
        <is>
          <t>Convertible Preferred Stock</t>
        </is>
      </c>
      <c r="D42" s="267" t="e">
        <f>IF(ISNA(MATCH(D$2,Inputs!$K$4:$AJ$4,0)),NA(),IF(SUMPRODUCT((Inputs!$A$5:$A$120=$B42)*ISNUMBER(INDEX(Inputs!$K$5:$AJ$120,0,MATCH(D$2,Inputs!$K$4:$AJ$4,0))))+SUMPRODUCT((Inputs!$C$5:$C$120=$B42)*ISNUMBER(INDEX(Inputs!$K$5:$AJ$120,0,MATCH(D$2,Inputs!$K$4:$AJ$4,0))))+SUMPRODUCT((Inputs!$E$5:$E$120=$B42)*ISNUMBER(INDEX(Inputs!$K$5:$AJ$120,0,MATCH(D$2,Inputs!$K$4:$AJ$4,0))))=0,NA(),SUMPRODUCT((Inputs!$A$5:$A$120=$B42)*Inputs!$B$5:$B$120*(((Inputs!$G$5:$G$120="moeda")+(Inputs!$G$5:$G$120="acoes"))*Inputs!$B$1+((Inputs!$G$5:$G$120&lt;&gt;"moeda")*(Inputs!$G$5:$G$120&lt;&gt;"acoes")))*INDEX(Inputs!$K$5:$AJ$120,0,MATCH(D$2,Inputs!$K$4:$AJ$4,0)))+SUMPRODUCT((Inputs!$C$5:$C$120=$B42)*Inputs!$D$5:$D$120*(((Inputs!$G$5:$G$120="moeda")+(Inputs!$G$5:$G$120="acoes"))*Inputs!$B$1+((Inputs!$G$5:$G$120&lt;&gt;"moeda")*(Inputs!$G$5:$G$120&lt;&gt;"acoes")))*INDEX(Inputs!$K$5:$AJ$120,0,MATCH(D$2,Inputs!$K$4:$AJ$4,0)))+SUMPRODUCT((Inputs!$E$5:$E$120=$B42)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42" s="267" t="e">
        <f>IF(ISNA(MATCH(E$2,Inputs!$K$4:$AJ$4,0)),NA(),IF(SUMPRODUCT((Inputs!$A$5:$A$120=$B42)*ISNUMBER(INDEX(Inputs!$K$5:$AJ$120,0,MATCH(E$2,Inputs!$K$4:$AJ$4,0))))+SUMPRODUCT((Inputs!$C$5:$C$120=$B42)*ISNUMBER(INDEX(Inputs!$K$5:$AJ$120,0,MATCH(E$2,Inputs!$K$4:$AJ$4,0))))+SUMPRODUCT((Inputs!$E$5:$E$120=$B42)*ISNUMBER(INDEX(Inputs!$K$5:$AJ$120,0,MATCH(E$2,Inputs!$K$4:$AJ$4,0))))=0,NA(),SUMPRODUCT((Inputs!$A$5:$A$120=$B42)*Inputs!$B$5:$B$120*(((Inputs!$G$5:$G$120="moeda")+(Inputs!$G$5:$G$120="acoes"))*Inputs!$B$1+((Inputs!$G$5:$G$120&lt;&gt;"moeda")*(Inputs!$G$5:$G$120&lt;&gt;"acoes")))*INDEX(Inputs!$K$5:$AJ$120,0,MATCH(E$2,Inputs!$K$4:$AJ$4,0)))+SUMPRODUCT((Inputs!$C$5:$C$120=$B42)*Inputs!$D$5:$D$120*(((Inputs!$G$5:$G$120="moeda")+(Inputs!$G$5:$G$120="acoes"))*Inputs!$B$1+((Inputs!$G$5:$G$120&lt;&gt;"moeda")*(Inputs!$G$5:$G$120&lt;&gt;"acoes")))*INDEX(Inputs!$K$5:$AJ$120,0,MATCH(E$2,Inputs!$K$4:$AJ$4,0)))+SUMPRODUCT((Inputs!$E$5:$E$120=$B42)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42" s="267" t="e">
        <f>IF(ISNA(MATCH(F$2,Inputs!$K$4:$AJ$4,0)),NA(),IF(SUMPRODUCT((Inputs!$A$5:$A$120=$B42)*ISNUMBER(INDEX(Inputs!$K$5:$AJ$120,0,MATCH(F$2,Inputs!$K$4:$AJ$4,0))))+SUMPRODUCT((Inputs!$C$5:$C$120=$B42)*ISNUMBER(INDEX(Inputs!$K$5:$AJ$120,0,MATCH(F$2,Inputs!$K$4:$AJ$4,0))))+SUMPRODUCT((Inputs!$E$5:$E$120=$B42)*ISNUMBER(INDEX(Inputs!$K$5:$AJ$120,0,MATCH(F$2,Inputs!$K$4:$AJ$4,0))))=0,NA(),SUMPRODUCT((Inputs!$A$5:$A$120=$B42)*Inputs!$B$5:$B$120*(((Inputs!$G$5:$G$120="moeda")+(Inputs!$G$5:$G$120="acoes"))*Inputs!$B$1+((Inputs!$G$5:$G$120&lt;&gt;"moeda")*(Inputs!$G$5:$G$120&lt;&gt;"acoes")))*INDEX(Inputs!$K$5:$AJ$120,0,MATCH(F$2,Inputs!$K$4:$AJ$4,0)))+SUMPRODUCT((Inputs!$C$5:$C$120=$B42)*Inputs!$D$5:$D$120*(((Inputs!$G$5:$G$120="moeda")+(Inputs!$G$5:$G$120="acoes"))*Inputs!$B$1+((Inputs!$G$5:$G$120&lt;&gt;"moeda")*(Inputs!$G$5:$G$120&lt;&gt;"acoes")))*INDEX(Inputs!$K$5:$AJ$120,0,MATCH(F$2,Inputs!$K$4:$AJ$4,0)))+SUMPRODUCT((Inputs!$E$5:$E$120=$B42)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42" s="267" t="e">
        <f>IF(ISNA(MATCH(G$2,Inputs!$K$4:$AJ$4,0)),NA(),IF(SUMPRODUCT((Inputs!$A$5:$A$120=$B42)*ISNUMBER(INDEX(Inputs!$K$5:$AJ$120,0,MATCH(G$2,Inputs!$K$4:$AJ$4,0))))+SUMPRODUCT((Inputs!$C$5:$C$120=$B42)*ISNUMBER(INDEX(Inputs!$K$5:$AJ$120,0,MATCH(G$2,Inputs!$K$4:$AJ$4,0))))+SUMPRODUCT((Inputs!$E$5:$E$120=$B42)*ISNUMBER(INDEX(Inputs!$K$5:$AJ$120,0,MATCH(G$2,Inputs!$K$4:$AJ$4,0))))=0,NA(),SUMPRODUCT((Inputs!$A$5:$A$120=$B42)*Inputs!$B$5:$B$120*(((Inputs!$G$5:$G$120="moeda")+(Inputs!$G$5:$G$120="acoes"))*Inputs!$B$1+((Inputs!$G$5:$G$120&lt;&gt;"moeda")*(Inputs!$G$5:$G$120&lt;&gt;"acoes")))*INDEX(Inputs!$K$5:$AJ$120,0,MATCH(G$2,Inputs!$K$4:$AJ$4,0)))+SUMPRODUCT((Inputs!$C$5:$C$120=$B42)*Inputs!$D$5:$D$120*(((Inputs!$G$5:$G$120="moeda")+(Inputs!$G$5:$G$120="acoes"))*Inputs!$B$1+((Inputs!$G$5:$G$120&lt;&gt;"moeda")*(Inputs!$G$5:$G$120&lt;&gt;"acoes")))*INDEX(Inputs!$K$5:$AJ$120,0,MATCH(G$2,Inputs!$K$4:$AJ$4,0)))+SUMPRODUCT((Inputs!$E$5:$E$120=$B42)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42" s="268" t="e">
        <f>G42</f>
        <v>#N/A</v>
      </c>
      <c r="I42" s="267" t="e">
        <f>IF(ISNA(MATCH(I$2,Inputs!$K$4:$AJ$4,0)),NA(),IF(SUMPRODUCT((Inputs!$A$5:$A$120=$B42)*ISNUMBER(INDEX(Inputs!$K$5:$AJ$120,0,MATCH(I$2,Inputs!$K$4:$AJ$4,0))))+SUMPRODUCT((Inputs!$C$5:$C$120=$B42)*ISNUMBER(INDEX(Inputs!$K$5:$AJ$120,0,MATCH(I$2,Inputs!$K$4:$AJ$4,0))))+SUMPRODUCT((Inputs!$E$5:$E$120=$B42)*ISNUMBER(INDEX(Inputs!$K$5:$AJ$120,0,MATCH(I$2,Inputs!$K$4:$AJ$4,0))))=0,NA(),SUMPRODUCT((Inputs!$A$5:$A$120=$B42)*Inputs!$B$5:$B$120*(((Inputs!$G$5:$G$120="moeda")+(Inputs!$G$5:$G$120="acoes"))*Inputs!$B$1+((Inputs!$G$5:$G$120&lt;&gt;"moeda")*(Inputs!$G$5:$G$120&lt;&gt;"acoes")))*INDEX(Inputs!$K$5:$AJ$120,0,MATCH(I$2,Inputs!$K$4:$AJ$4,0)))+SUMPRODUCT((Inputs!$C$5:$C$120=$B42)*Inputs!$D$5:$D$120*(((Inputs!$G$5:$G$120="moeda")+(Inputs!$G$5:$G$120="acoes"))*Inputs!$B$1+((Inputs!$G$5:$G$120&lt;&gt;"moeda")*(Inputs!$G$5:$G$120&lt;&gt;"acoes")))*INDEX(Inputs!$K$5:$AJ$120,0,MATCH(I$2,Inputs!$K$4:$AJ$4,0)))+SUMPRODUCT((Inputs!$E$5:$E$120=$B42)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42" s="267" t="e">
        <f>IF(ISNA(MATCH(J$2,Inputs!$K$4:$AJ$4,0)),NA(),IF(SUMPRODUCT((Inputs!$A$5:$A$120=$B42)*ISNUMBER(INDEX(Inputs!$K$5:$AJ$120,0,MATCH(J$2,Inputs!$K$4:$AJ$4,0))))+SUMPRODUCT((Inputs!$C$5:$C$120=$B42)*ISNUMBER(INDEX(Inputs!$K$5:$AJ$120,0,MATCH(J$2,Inputs!$K$4:$AJ$4,0))))+SUMPRODUCT((Inputs!$E$5:$E$120=$B42)*ISNUMBER(INDEX(Inputs!$K$5:$AJ$120,0,MATCH(J$2,Inputs!$K$4:$AJ$4,0))))=0,NA(),SUMPRODUCT((Inputs!$A$5:$A$120=$B42)*Inputs!$B$5:$B$120*(((Inputs!$G$5:$G$120="moeda")+(Inputs!$G$5:$G$120="acoes"))*Inputs!$B$1+((Inputs!$G$5:$G$120&lt;&gt;"moeda")*(Inputs!$G$5:$G$120&lt;&gt;"acoes")))*INDEX(Inputs!$K$5:$AJ$120,0,MATCH(J$2,Inputs!$K$4:$AJ$4,0)))+SUMPRODUCT((Inputs!$C$5:$C$120=$B42)*Inputs!$D$5:$D$120*(((Inputs!$G$5:$G$120="moeda")+(Inputs!$G$5:$G$120="acoes"))*Inputs!$B$1+((Inputs!$G$5:$G$120&lt;&gt;"moeda")*(Inputs!$G$5:$G$120&lt;&gt;"acoes")))*INDEX(Inputs!$K$5:$AJ$120,0,MATCH(J$2,Inputs!$K$4:$AJ$4,0)))+SUMPRODUCT((Inputs!$E$5:$E$120=$B42)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42" s="267" t="e">
        <f>IF(ISNA(MATCH(K$2,Inputs!$K$4:$AJ$4,0)),NA(),IF(SUMPRODUCT((Inputs!$A$5:$A$120=$B42)*ISNUMBER(INDEX(Inputs!$K$5:$AJ$120,0,MATCH(K$2,Inputs!$K$4:$AJ$4,0))))+SUMPRODUCT((Inputs!$C$5:$C$120=$B42)*ISNUMBER(INDEX(Inputs!$K$5:$AJ$120,0,MATCH(K$2,Inputs!$K$4:$AJ$4,0))))+SUMPRODUCT((Inputs!$E$5:$E$120=$B42)*ISNUMBER(INDEX(Inputs!$K$5:$AJ$120,0,MATCH(K$2,Inputs!$K$4:$AJ$4,0))))=0,NA(),SUMPRODUCT((Inputs!$A$5:$A$120=$B42)*Inputs!$B$5:$B$120*(((Inputs!$G$5:$G$120="moeda")+(Inputs!$G$5:$G$120="acoes"))*Inputs!$B$1+((Inputs!$G$5:$G$120&lt;&gt;"moeda")*(Inputs!$G$5:$G$120&lt;&gt;"acoes")))*INDEX(Inputs!$K$5:$AJ$120,0,MATCH(K$2,Inputs!$K$4:$AJ$4,0)))+SUMPRODUCT((Inputs!$C$5:$C$120=$B42)*Inputs!$D$5:$D$120*(((Inputs!$G$5:$G$120="moeda")+(Inputs!$G$5:$G$120="acoes"))*Inputs!$B$1+((Inputs!$G$5:$G$120&lt;&gt;"moeda")*(Inputs!$G$5:$G$120&lt;&gt;"acoes")))*INDEX(Inputs!$K$5:$AJ$120,0,MATCH(K$2,Inputs!$K$4:$AJ$4,0)))+SUMPRODUCT((Inputs!$E$5:$E$120=$B42)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42" s="267" t="e">
        <f>IF(ISNA(MATCH(L$2,Inputs!$K$4:$AJ$4,0)),NA(),IF(SUMPRODUCT((Inputs!$A$5:$A$120=$B42)*ISNUMBER(INDEX(Inputs!$K$5:$AJ$120,0,MATCH(L$2,Inputs!$K$4:$AJ$4,0))))+SUMPRODUCT((Inputs!$C$5:$C$120=$B42)*ISNUMBER(INDEX(Inputs!$K$5:$AJ$120,0,MATCH(L$2,Inputs!$K$4:$AJ$4,0))))+SUMPRODUCT((Inputs!$E$5:$E$120=$B42)*ISNUMBER(INDEX(Inputs!$K$5:$AJ$120,0,MATCH(L$2,Inputs!$K$4:$AJ$4,0))))=0,NA(),SUMPRODUCT((Inputs!$A$5:$A$120=$B42)*Inputs!$B$5:$B$120*(((Inputs!$G$5:$G$120="moeda")+(Inputs!$G$5:$G$120="acoes"))*Inputs!$B$1+((Inputs!$G$5:$G$120&lt;&gt;"moeda")*(Inputs!$G$5:$G$120&lt;&gt;"acoes")))*INDEX(Inputs!$K$5:$AJ$120,0,MATCH(L$2,Inputs!$K$4:$AJ$4,0)))+SUMPRODUCT((Inputs!$C$5:$C$120=$B42)*Inputs!$D$5:$D$120*(((Inputs!$G$5:$G$120="moeda")+(Inputs!$G$5:$G$120="acoes"))*Inputs!$B$1+((Inputs!$G$5:$G$120&lt;&gt;"moeda")*(Inputs!$G$5:$G$120&lt;&gt;"acoes")))*INDEX(Inputs!$K$5:$AJ$120,0,MATCH(L$2,Inputs!$K$4:$AJ$4,0)))+SUMPRODUCT((Inputs!$E$5:$E$120=$B42)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42" s="268" t="e">
        <f>L42</f>
        <v>#N/A</v>
      </c>
      <c r="N42" s="267" t="e">
        <f>IF(ISNA(MATCH(N$2,Inputs!$K$4:$AJ$4,0)),NA(),IF(SUMPRODUCT((Inputs!$A$5:$A$120=$B42)*ISNUMBER(INDEX(Inputs!$K$5:$AJ$120,0,MATCH(N$2,Inputs!$K$4:$AJ$4,0))))+SUMPRODUCT((Inputs!$C$5:$C$120=$B42)*ISNUMBER(INDEX(Inputs!$K$5:$AJ$120,0,MATCH(N$2,Inputs!$K$4:$AJ$4,0))))+SUMPRODUCT((Inputs!$E$5:$E$120=$B42)*ISNUMBER(INDEX(Inputs!$K$5:$AJ$120,0,MATCH(N$2,Inputs!$K$4:$AJ$4,0))))=0,NA(),SUMPRODUCT((Inputs!$A$5:$A$120=$B42)*Inputs!$B$5:$B$120*(((Inputs!$G$5:$G$120="moeda")+(Inputs!$G$5:$G$120="acoes"))*Inputs!$B$1+((Inputs!$G$5:$G$120&lt;&gt;"moeda")*(Inputs!$G$5:$G$120&lt;&gt;"acoes")))*INDEX(Inputs!$K$5:$AJ$120,0,MATCH(N$2,Inputs!$K$4:$AJ$4,0)))+SUMPRODUCT((Inputs!$C$5:$C$120=$B42)*Inputs!$D$5:$D$120*(((Inputs!$G$5:$G$120="moeda")+(Inputs!$G$5:$G$120="acoes"))*Inputs!$B$1+((Inputs!$G$5:$G$120&lt;&gt;"moeda")*(Inputs!$G$5:$G$120&lt;&gt;"acoes")))*INDEX(Inputs!$K$5:$AJ$120,0,MATCH(N$2,Inputs!$K$4:$AJ$4,0)))+SUMPRODUCT((Inputs!$E$5:$E$120=$B42)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42" s="267" t="e">
        <f>IF(ISNA(MATCH(O$2,Inputs!$K$4:$AJ$4,0)),NA(),IF(SUMPRODUCT((Inputs!$A$5:$A$120=$B42)*ISNUMBER(INDEX(Inputs!$K$5:$AJ$120,0,MATCH(O$2,Inputs!$K$4:$AJ$4,0))))+SUMPRODUCT((Inputs!$C$5:$C$120=$B42)*ISNUMBER(INDEX(Inputs!$K$5:$AJ$120,0,MATCH(O$2,Inputs!$K$4:$AJ$4,0))))+SUMPRODUCT((Inputs!$E$5:$E$120=$B42)*ISNUMBER(INDEX(Inputs!$K$5:$AJ$120,0,MATCH(O$2,Inputs!$K$4:$AJ$4,0))))=0,NA(),SUMPRODUCT((Inputs!$A$5:$A$120=$B42)*Inputs!$B$5:$B$120*(((Inputs!$G$5:$G$120="moeda")+(Inputs!$G$5:$G$120="acoes"))*Inputs!$B$1+((Inputs!$G$5:$G$120&lt;&gt;"moeda")*(Inputs!$G$5:$G$120&lt;&gt;"acoes")))*INDEX(Inputs!$K$5:$AJ$120,0,MATCH(O$2,Inputs!$K$4:$AJ$4,0)))+SUMPRODUCT((Inputs!$C$5:$C$120=$B42)*Inputs!$D$5:$D$120*(((Inputs!$G$5:$G$120="moeda")+(Inputs!$G$5:$G$120="acoes"))*Inputs!$B$1+((Inputs!$G$5:$G$120&lt;&gt;"moeda")*(Inputs!$G$5:$G$120&lt;&gt;"acoes")))*INDEX(Inputs!$K$5:$AJ$120,0,MATCH(O$2,Inputs!$K$4:$AJ$4,0)))+SUMPRODUCT((Inputs!$E$5:$E$120=$B42)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42" s="267" t="e">
        <f>IF(ISNA(MATCH(P$2,Inputs!$K$4:$AJ$4,0)),NA(),IF(SUMPRODUCT((Inputs!$A$5:$A$120=$B42)*ISNUMBER(INDEX(Inputs!$K$5:$AJ$120,0,MATCH(P$2,Inputs!$K$4:$AJ$4,0))))+SUMPRODUCT((Inputs!$C$5:$C$120=$B42)*ISNUMBER(INDEX(Inputs!$K$5:$AJ$120,0,MATCH(P$2,Inputs!$K$4:$AJ$4,0))))+SUMPRODUCT((Inputs!$E$5:$E$120=$B42)*ISNUMBER(INDEX(Inputs!$K$5:$AJ$120,0,MATCH(P$2,Inputs!$K$4:$AJ$4,0))))=0,NA(),SUMPRODUCT((Inputs!$A$5:$A$120=$B42)*Inputs!$B$5:$B$120*(((Inputs!$G$5:$G$120="moeda")+(Inputs!$G$5:$G$120="acoes"))*Inputs!$B$1+((Inputs!$G$5:$G$120&lt;&gt;"moeda")*(Inputs!$G$5:$G$120&lt;&gt;"acoes")))*INDEX(Inputs!$K$5:$AJ$120,0,MATCH(P$2,Inputs!$K$4:$AJ$4,0)))+SUMPRODUCT((Inputs!$C$5:$C$120=$B42)*Inputs!$D$5:$D$120*(((Inputs!$G$5:$G$120="moeda")+(Inputs!$G$5:$G$120="acoes"))*Inputs!$B$1+((Inputs!$G$5:$G$120&lt;&gt;"moeda")*(Inputs!$G$5:$G$120&lt;&gt;"acoes")))*INDEX(Inputs!$K$5:$AJ$120,0,MATCH(P$2,Inputs!$K$4:$AJ$4,0)))+SUMPRODUCT((Inputs!$E$5:$E$120=$B42)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42" s="267" t="e">
        <f>IF(ISNA(MATCH(Q$2,Inputs!$K$4:$AJ$4,0)),NA(),IF(SUMPRODUCT((Inputs!$A$5:$A$120=$B42)*ISNUMBER(INDEX(Inputs!$K$5:$AJ$120,0,MATCH(Q$2,Inputs!$K$4:$AJ$4,0))))+SUMPRODUCT((Inputs!$C$5:$C$120=$B42)*ISNUMBER(INDEX(Inputs!$K$5:$AJ$120,0,MATCH(Q$2,Inputs!$K$4:$AJ$4,0))))+SUMPRODUCT((Inputs!$E$5:$E$120=$B42)*ISNUMBER(INDEX(Inputs!$K$5:$AJ$120,0,MATCH(Q$2,Inputs!$K$4:$AJ$4,0))))=0,NA(),SUMPRODUCT((Inputs!$A$5:$A$120=$B42)*Inputs!$B$5:$B$120*(((Inputs!$G$5:$G$120="moeda")+(Inputs!$G$5:$G$120="acoes"))*Inputs!$B$1+((Inputs!$G$5:$G$120&lt;&gt;"moeda")*(Inputs!$G$5:$G$120&lt;&gt;"acoes")))*INDEX(Inputs!$K$5:$AJ$120,0,MATCH(Q$2,Inputs!$K$4:$AJ$4,0)))+SUMPRODUCT((Inputs!$C$5:$C$120=$B42)*Inputs!$D$5:$D$120*(((Inputs!$G$5:$G$120="moeda")+(Inputs!$G$5:$G$120="acoes"))*Inputs!$B$1+((Inputs!$G$5:$G$120&lt;&gt;"moeda")*(Inputs!$G$5:$G$120&lt;&gt;"acoes")))*INDEX(Inputs!$K$5:$AJ$120,0,MATCH(Q$2,Inputs!$K$4:$AJ$4,0)))+SUMPRODUCT((Inputs!$E$5:$E$120=$B42)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42" s="268" t="e">
        <f>Q42</f>
        <v>#N/A</v>
      </c>
      <c r="S42" s="267" t="e">
        <f>IF(ISNA(MATCH(S$2,Inputs!$K$4:$AJ$4,0)),NA(),IF(SUMPRODUCT((Inputs!$A$5:$A$120=$B42)*ISNUMBER(INDEX(Inputs!$K$5:$AJ$120,0,MATCH(S$2,Inputs!$K$4:$AJ$4,0))))+SUMPRODUCT((Inputs!$C$5:$C$120=$B42)*ISNUMBER(INDEX(Inputs!$K$5:$AJ$120,0,MATCH(S$2,Inputs!$K$4:$AJ$4,0))))+SUMPRODUCT((Inputs!$E$5:$E$120=$B42)*ISNUMBER(INDEX(Inputs!$K$5:$AJ$120,0,MATCH(S$2,Inputs!$K$4:$AJ$4,0))))=0,NA(),SUMPRODUCT((Inputs!$A$5:$A$120=$B42)*Inputs!$B$5:$B$120*(((Inputs!$G$5:$G$120="moeda")+(Inputs!$G$5:$G$120="acoes"))*Inputs!$B$1+((Inputs!$G$5:$G$120&lt;&gt;"moeda")*(Inputs!$G$5:$G$120&lt;&gt;"acoes")))*INDEX(Inputs!$K$5:$AJ$120,0,MATCH(S$2,Inputs!$K$4:$AJ$4,0)))+SUMPRODUCT((Inputs!$C$5:$C$120=$B42)*Inputs!$D$5:$D$120*(((Inputs!$G$5:$G$120="moeda")+(Inputs!$G$5:$G$120="acoes"))*Inputs!$B$1+((Inputs!$G$5:$G$120&lt;&gt;"moeda")*(Inputs!$G$5:$G$120&lt;&gt;"acoes")))*INDEX(Inputs!$K$5:$AJ$120,0,MATCH(S$2,Inputs!$K$4:$AJ$4,0)))+SUMPRODUCT((Inputs!$E$5:$E$120=$B42)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42" s="267" t="e">
        <f>IF(ISNA(MATCH(T$2,Inputs!$K$4:$AJ$4,0)),NA(),IF(SUMPRODUCT((Inputs!$A$5:$A$120=$B42)*ISNUMBER(INDEX(Inputs!$K$5:$AJ$120,0,MATCH(T$2,Inputs!$K$4:$AJ$4,0))))+SUMPRODUCT((Inputs!$C$5:$C$120=$B42)*ISNUMBER(INDEX(Inputs!$K$5:$AJ$120,0,MATCH(T$2,Inputs!$K$4:$AJ$4,0))))+SUMPRODUCT((Inputs!$E$5:$E$120=$B42)*ISNUMBER(INDEX(Inputs!$K$5:$AJ$120,0,MATCH(T$2,Inputs!$K$4:$AJ$4,0))))=0,NA(),SUMPRODUCT((Inputs!$A$5:$A$120=$B42)*Inputs!$B$5:$B$120*(((Inputs!$G$5:$G$120="moeda")+(Inputs!$G$5:$G$120="acoes"))*Inputs!$B$1+((Inputs!$G$5:$G$120&lt;&gt;"moeda")*(Inputs!$G$5:$G$120&lt;&gt;"acoes")))*INDEX(Inputs!$K$5:$AJ$120,0,MATCH(T$2,Inputs!$K$4:$AJ$4,0)))+SUMPRODUCT((Inputs!$C$5:$C$120=$B42)*Inputs!$D$5:$D$120*(((Inputs!$G$5:$G$120="moeda")+(Inputs!$G$5:$G$120="acoes"))*Inputs!$B$1+((Inputs!$G$5:$G$120&lt;&gt;"moeda")*(Inputs!$G$5:$G$120&lt;&gt;"acoes")))*INDEX(Inputs!$K$5:$AJ$120,0,MATCH(T$2,Inputs!$K$4:$AJ$4,0)))+SUMPRODUCT((Inputs!$E$5:$E$120=$B42)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42" s="267" t="e">
        <f>IF(ISNA(MATCH(U$2,Inputs!$K$4:$AJ$4,0)),NA(),IF(SUMPRODUCT((Inputs!$A$5:$A$120=$B42)*ISNUMBER(INDEX(Inputs!$K$5:$AJ$120,0,MATCH(U$2,Inputs!$K$4:$AJ$4,0))))+SUMPRODUCT((Inputs!$C$5:$C$120=$B42)*ISNUMBER(INDEX(Inputs!$K$5:$AJ$120,0,MATCH(U$2,Inputs!$K$4:$AJ$4,0))))+SUMPRODUCT((Inputs!$E$5:$E$120=$B42)*ISNUMBER(INDEX(Inputs!$K$5:$AJ$120,0,MATCH(U$2,Inputs!$K$4:$AJ$4,0))))=0,NA(),SUMPRODUCT((Inputs!$A$5:$A$120=$B42)*Inputs!$B$5:$B$120*(((Inputs!$G$5:$G$120="moeda")+(Inputs!$G$5:$G$120="acoes"))*Inputs!$B$1+((Inputs!$G$5:$G$120&lt;&gt;"moeda")*(Inputs!$G$5:$G$120&lt;&gt;"acoes")))*INDEX(Inputs!$K$5:$AJ$120,0,MATCH(U$2,Inputs!$K$4:$AJ$4,0)))+SUMPRODUCT((Inputs!$C$5:$C$120=$B42)*Inputs!$D$5:$D$120*(((Inputs!$G$5:$G$120="moeda")+(Inputs!$G$5:$G$120="acoes"))*Inputs!$B$1+((Inputs!$G$5:$G$120&lt;&gt;"moeda")*(Inputs!$G$5:$G$120&lt;&gt;"acoes")))*INDEX(Inputs!$K$5:$AJ$120,0,MATCH(U$2,Inputs!$K$4:$AJ$4,0)))+SUMPRODUCT((Inputs!$E$5:$E$120=$B42)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42" s="267" t="e">
        <f>IF(ISNA(MATCH(V$2,Inputs!$K$4:$AJ$4,0)),NA(),IF(SUMPRODUCT((Inputs!$A$5:$A$120=$B42)*ISNUMBER(INDEX(Inputs!$K$5:$AJ$120,0,MATCH(V$2,Inputs!$K$4:$AJ$4,0))))+SUMPRODUCT((Inputs!$C$5:$C$120=$B42)*ISNUMBER(INDEX(Inputs!$K$5:$AJ$120,0,MATCH(V$2,Inputs!$K$4:$AJ$4,0))))+SUMPRODUCT((Inputs!$E$5:$E$120=$B42)*ISNUMBER(INDEX(Inputs!$K$5:$AJ$120,0,MATCH(V$2,Inputs!$K$4:$AJ$4,0))))=0,NA(),SUMPRODUCT((Inputs!$A$5:$A$120=$B42)*Inputs!$B$5:$B$120*(((Inputs!$G$5:$G$120="moeda")+(Inputs!$G$5:$G$120="acoes"))*Inputs!$B$1+((Inputs!$G$5:$G$120&lt;&gt;"moeda")*(Inputs!$G$5:$G$120&lt;&gt;"acoes")))*INDEX(Inputs!$K$5:$AJ$120,0,MATCH(V$2,Inputs!$K$4:$AJ$4,0)))+SUMPRODUCT((Inputs!$C$5:$C$120=$B42)*Inputs!$D$5:$D$120*(((Inputs!$G$5:$G$120="moeda")+(Inputs!$G$5:$G$120="acoes"))*Inputs!$B$1+((Inputs!$G$5:$G$120&lt;&gt;"moeda")*(Inputs!$G$5:$G$120&lt;&gt;"acoes")))*INDEX(Inputs!$K$5:$AJ$120,0,MATCH(V$2,Inputs!$K$4:$AJ$4,0)))+SUMPRODUCT((Inputs!$E$5:$E$120=$B42)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42" s="268" t="e">
        <f>V42</f>
        <v>#N/A</v>
      </c>
      <c r="X42" s="267" t="e">
        <f>IF(ISNA(MATCH(X$2,Inputs!$K$4:$AJ$4,0)),NA(),IF(SUMPRODUCT((Inputs!$A$5:$A$120=$B42)*ISNUMBER(INDEX(Inputs!$K$5:$AJ$120,0,MATCH(X$2,Inputs!$K$4:$AJ$4,0))))+SUMPRODUCT((Inputs!$C$5:$C$120=$B42)*ISNUMBER(INDEX(Inputs!$K$5:$AJ$120,0,MATCH(X$2,Inputs!$K$4:$AJ$4,0))))+SUMPRODUCT((Inputs!$E$5:$E$120=$B42)*ISNUMBER(INDEX(Inputs!$K$5:$AJ$120,0,MATCH(X$2,Inputs!$K$4:$AJ$4,0))))=0,NA(),SUMPRODUCT((Inputs!$A$5:$A$120=$B42)*Inputs!$B$5:$B$120*(((Inputs!$G$5:$G$120="moeda")+(Inputs!$G$5:$G$120="acoes"))*Inputs!$B$1+((Inputs!$G$5:$G$120&lt;&gt;"moeda")*(Inputs!$G$5:$G$120&lt;&gt;"acoes")))*INDEX(Inputs!$K$5:$AJ$120,0,MATCH(X$2,Inputs!$K$4:$AJ$4,0)))+SUMPRODUCT((Inputs!$C$5:$C$120=$B42)*Inputs!$D$5:$D$120*(((Inputs!$G$5:$G$120="moeda")+(Inputs!$G$5:$G$120="acoes"))*Inputs!$B$1+((Inputs!$G$5:$G$120&lt;&gt;"moeda")*(Inputs!$G$5:$G$120&lt;&gt;"acoes")))*INDEX(Inputs!$K$5:$AJ$120,0,MATCH(X$2,Inputs!$K$4:$AJ$4,0)))+SUMPRODUCT((Inputs!$E$5:$E$120=$B42)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42" s="267" t="e">
        <f>IF(ISNA(MATCH(Y$2,Inputs!$K$4:$AJ$4,0)),NA(),IF(SUMPRODUCT((Inputs!$A$5:$A$120=$B42)*ISNUMBER(INDEX(Inputs!$K$5:$AJ$120,0,MATCH(Y$2,Inputs!$K$4:$AJ$4,0))))+SUMPRODUCT((Inputs!$C$5:$C$120=$B42)*ISNUMBER(INDEX(Inputs!$K$5:$AJ$120,0,MATCH(Y$2,Inputs!$K$4:$AJ$4,0))))+SUMPRODUCT((Inputs!$E$5:$E$120=$B42)*ISNUMBER(INDEX(Inputs!$K$5:$AJ$120,0,MATCH(Y$2,Inputs!$K$4:$AJ$4,0))))=0,NA(),SUMPRODUCT((Inputs!$A$5:$A$120=$B42)*Inputs!$B$5:$B$120*(((Inputs!$G$5:$G$120="moeda")+(Inputs!$G$5:$G$120="acoes"))*Inputs!$B$1+((Inputs!$G$5:$G$120&lt;&gt;"moeda")*(Inputs!$G$5:$G$120&lt;&gt;"acoes")))*INDEX(Inputs!$K$5:$AJ$120,0,MATCH(Y$2,Inputs!$K$4:$AJ$4,0)))+SUMPRODUCT((Inputs!$C$5:$C$120=$B42)*Inputs!$D$5:$D$120*(((Inputs!$G$5:$G$120="moeda")+(Inputs!$G$5:$G$120="acoes"))*Inputs!$B$1+((Inputs!$G$5:$G$120&lt;&gt;"moeda")*(Inputs!$G$5:$G$120&lt;&gt;"acoes")))*INDEX(Inputs!$K$5:$AJ$120,0,MATCH(Y$2,Inputs!$K$4:$AJ$4,0)))+SUMPRODUCT((Inputs!$E$5:$E$120=$B42)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42" s="267" t="e">
        <f>IF(ISNA(MATCH(Z$2,Inputs!$K$4:$AJ$4,0)),NA(),IF(SUMPRODUCT((Inputs!$A$5:$A$120=$B42)*ISNUMBER(INDEX(Inputs!$K$5:$AJ$120,0,MATCH(Z$2,Inputs!$K$4:$AJ$4,0))))+SUMPRODUCT((Inputs!$C$5:$C$120=$B42)*ISNUMBER(INDEX(Inputs!$K$5:$AJ$120,0,MATCH(Z$2,Inputs!$K$4:$AJ$4,0))))+SUMPRODUCT((Inputs!$E$5:$E$120=$B42)*ISNUMBER(INDEX(Inputs!$K$5:$AJ$120,0,MATCH(Z$2,Inputs!$K$4:$AJ$4,0))))=0,NA(),SUMPRODUCT((Inputs!$A$5:$A$120=$B42)*Inputs!$B$5:$B$120*(((Inputs!$G$5:$G$120="moeda")+(Inputs!$G$5:$G$120="acoes"))*Inputs!$B$1+((Inputs!$G$5:$G$120&lt;&gt;"moeda")*(Inputs!$G$5:$G$120&lt;&gt;"acoes")))*INDEX(Inputs!$K$5:$AJ$120,0,MATCH(Z$2,Inputs!$K$4:$AJ$4,0)))+SUMPRODUCT((Inputs!$C$5:$C$120=$B42)*Inputs!$D$5:$D$120*(((Inputs!$G$5:$G$120="moeda")+(Inputs!$G$5:$G$120="acoes"))*Inputs!$B$1+((Inputs!$G$5:$G$120&lt;&gt;"moeda")*(Inputs!$G$5:$G$120&lt;&gt;"acoes")))*INDEX(Inputs!$K$5:$AJ$120,0,MATCH(Z$2,Inputs!$K$4:$AJ$4,0)))+SUMPRODUCT((Inputs!$E$5:$E$120=$B42)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42" s="267" t="e">
        <f>IF(ISNA(MATCH(AA$2,Inputs!$K$4:$AJ$4,0)),NA(),IF(SUMPRODUCT((Inputs!$A$5:$A$120=$B42)*ISNUMBER(INDEX(Inputs!$K$5:$AJ$120,0,MATCH(AA$2,Inputs!$K$4:$AJ$4,0))))+SUMPRODUCT((Inputs!$C$5:$C$120=$B42)*ISNUMBER(INDEX(Inputs!$K$5:$AJ$120,0,MATCH(AA$2,Inputs!$K$4:$AJ$4,0))))+SUMPRODUCT((Inputs!$E$5:$E$120=$B42)*ISNUMBER(INDEX(Inputs!$K$5:$AJ$120,0,MATCH(AA$2,Inputs!$K$4:$AJ$4,0))))=0,NA(),SUMPRODUCT((Inputs!$A$5:$A$120=$B42)*Inputs!$B$5:$B$120*(((Inputs!$G$5:$G$120="moeda")+(Inputs!$G$5:$G$120="acoes"))*Inputs!$B$1+((Inputs!$G$5:$G$120&lt;&gt;"moeda")*(Inputs!$G$5:$G$120&lt;&gt;"acoes")))*INDEX(Inputs!$K$5:$AJ$120,0,MATCH(AA$2,Inputs!$K$4:$AJ$4,0)))+SUMPRODUCT((Inputs!$C$5:$C$120=$B42)*Inputs!$D$5:$D$120*(((Inputs!$G$5:$G$120="moeda")+(Inputs!$G$5:$G$120="acoes"))*Inputs!$B$1+((Inputs!$G$5:$G$120&lt;&gt;"moeda")*(Inputs!$G$5:$G$120&lt;&gt;"acoes")))*INDEX(Inputs!$K$5:$AJ$120,0,MATCH(AA$2,Inputs!$K$4:$AJ$4,0)))+SUMPRODUCT((Inputs!$E$5:$E$120=$B42)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42" s="268" t="e">
        <f>AA42</f>
        <v>#N/A</v>
      </c>
      <c r="AC42" s="267" t="e">
        <f>IF(ISNA(MATCH(AC$2,Inputs!$K$4:$AJ$4,0)),NA(),IF(SUMPRODUCT((Inputs!$A$5:$A$120=$B42)*ISNUMBER(INDEX(Inputs!$K$5:$AJ$120,0,MATCH(AC$2,Inputs!$K$4:$AJ$4,0))))+SUMPRODUCT((Inputs!$C$5:$C$120=$B42)*ISNUMBER(INDEX(Inputs!$K$5:$AJ$120,0,MATCH(AC$2,Inputs!$K$4:$AJ$4,0))))+SUMPRODUCT((Inputs!$E$5:$E$120=$B42)*ISNUMBER(INDEX(Inputs!$K$5:$AJ$120,0,MATCH(AC$2,Inputs!$K$4:$AJ$4,0))))=0,NA(),SUMPRODUCT((Inputs!$A$5:$A$120=$B42)*Inputs!$B$5:$B$120*(((Inputs!$G$5:$G$120="moeda")+(Inputs!$G$5:$G$120="acoes"))*Inputs!$B$1+((Inputs!$G$5:$G$120&lt;&gt;"moeda")*(Inputs!$G$5:$G$120&lt;&gt;"acoes")))*INDEX(Inputs!$K$5:$AJ$120,0,MATCH(AC$2,Inputs!$K$4:$AJ$4,0)))+SUMPRODUCT((Inputs!$C$5:$C$120=$B42)*Inputs!$D$5:$D$120*(((Inputs!$G$5:$G$120="moeda")+(Inputs!$G$5:$G$120="acoes"))*Inputs!$B$1+((Inputs!$G$5:$G$120&lt;&gt;"moeda")*(Inputs!$G$5:$G$120&lt;&gt;"acoes")))*INDEX(Inputs!$K$5:$AJ$120,0,MATCH(AC$2,Inputs!$K$4:$AJ$4,0)))+SUMPRODUCT((Inputs!$E$5:$E$120=$B42)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42" s="267" t="e">
        <f>IF(ISNA(MATCH(AD$2,Inputs!$K$4:$AJ$4,0)),NA(),IF(SUMPRODUCT((Inputs!$A$5:$A$120=$B42)*ISNUMBER(INDEX(Inputs!$K$5:$AJ$120,0,MATCH(AD$2,Inputs!$K$4:$AJ$4,0))))+SUMPRODUCT((Inputs!$C$5:$C$120=$B42)*ISNUMBER(INDEX(Inputs!$K$5:$AJ$120,0,MATCH(AD$2,Inputs!$K$4:$AJ$4,0))))+SUMPRODUCT((Inputs!$E$5:$E$120=$B42)*ISNUMBER(INDEX(Inputs!$K$5:$AJ$120,0,MATCH(AD$2,Inputs!$K$4:$AJ$4,0))))=0,NA(),SUMPRODUCT((Inputs!$A$5:$A$120=$B42)*Inputs!$B$5:$B$120*(((Inputs!$G$5:$G$120="moeda")+(Inputs!$G$5:$G$120="acoes"))*Inputs!$B$1+((Inputs!$G$5:$G$120&lt;&gt;"moeda")*(Inputs!$G$5:$G$120&lt;&gt;"acoes")))*INDEX(Inputs!$K$5:$AJ$120,0,MATCH(AD$2,Inputs!$K$4:$AJ$4,0)))+SUMPRODUCT((Inputs!$C$5:$C$120=$B42)*Inputs!$D$5:$D$120*(((Inputs!$G$5:$G$120="moeda")+(Inputs!$G$5:$G$120="acoes"))*Inputs!$B$1+((Inputs!$G$5:$G$120&lt;&gt;"moeda")*(Inputs!$G$5:$G$120&lt;&gt;"acoes")))*INDEX(Inputs!$K$5:$AJ$120,0,MATCH(AD$2,Inputs!$K$4:$AJ$4,0)))+SUMPRODUCT((Inputs!$E$5:$E$120=$B42)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42" s="267" t="e">
        <f>IF(ISNA(MATCH(AE$2,Inputs!$K$4:$AJ$4,0)),NA(),IF(SUMPRODUCT((Inputs!$A$5:$A$120=$B42)*ISNUMBER(INDEX(Inputs!$K$5:$AJ$120,0,MATCH(AE$2,Inputs!$K$4:$AJ$4,0))))+SUMPRODUCT((Inputs!$C$5:$C$120=$B42)*ISNUMBER(INDEX(Inputs!$K$5:$AJ$120,0,MATCH(AE$2,Inputs!$K$4:$AJ$4,0))))+SUMPRODUCT((Inputs!$E$5:$E$120=$B42)*ISNUMBER(INDEX(Inputs!$K$5:$AJ$120,0,MATCH(AE$2,Inputs!$K$4:$AJ$4,0))))=0,NA(),SUMPRODUCT((Inputs!$A$5:$A$120=$B42)*Inputs!$B$5:$B$120*(((Inputs!$G$5:$G$120="moeda")+(Inputs!$G$5:$G$120="acoes"))*Inputs!$B$1+((Inputs!$G$5:$G$120&lt;&gt;"moeda")*(Inputs!$G$5:$G$120&lt;&gt;"acoes")))*INDEX(Inputs!$K$5:$AJ$120,0,MATCH(AE$2,Inputs!$K$4:$AJ$4,0)))+SUMPRODUCT((Inputs!$C$5:$C$120=$B42)*Inputs!$D$5:$D$120*(((Inputs!$G$5:$G$120="moeda")+(Inputs!$G$5:$G$120="acoes"))*Inputs!$B$1+((Inputs!$G$5:$G$120&lt;&gt;"moeda")*(Inputs!$G$5:$G$120&lt;&gt;"acoes")))*INDEX(Inputs!$K$5:$AJ$120,0,MATCH(AE$2,Inputs!$K$4:$AJ$4,0)))+SUMPRODUCT((Inputs!$E$5:$E$120=$B42)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2" s="267" t="e">
        <f>IF(ISNA(MATCH(AF$2,Inputs!$K$4:$AJ$4,0)),NA(),IF(SUMPRODUCT((Inputs!$A$5:$A$120=$B42)*ISNUMBER(INDEX(Inputs!$K$5:$AJ$120,0,MATCH(AF$2,Inputs!$K$4:$AJ$4,0))))+SUMPRODUCT((Inputs!$C$5:$C$120=$B42)*ISNUMBER(INDEX(Inputs!$K$5:$AJ$120,0,MATCH(AF$2,Inputs!$K$4:$AJ$4,0))))+SUMPRODUCT((Inputs!$E$5:$E$120=$B42)*ISNUMBER(INDEX(Inputs!$K$5:$AJ$120,0,MATCH(AF$2,Inputs!$K$4:$AJ$4,0))))=0,NA(),SUMPRODUCT((Inputs!$A$5:$A$120=$B42)*Inputs!$B$5:$B$120*(((Inputs!$G$5:$G$120="moeda")+(Inputs!$G$5:$G$120="acoes"))*Inputs!$B$1+((Inputs!$G$5:$G$120&lt;&gt;"moeda")*(Inputs!$G$5:$G$120&lt;&gt;"acoes")))*INDEX(Inputs!$K$5:$AJ$120,0,MATCH(AF$2,Inputs!$K$4:$AJ$4,0)))+SUMPRODUCT((Inputs!$C$5:$C$120=$B42)*Inputs!$D$5:$D$120*(((Inputs!$G$5:$G$120="moeda")+(Inputs!$G$5:$G$120="acoes"))*Inputs!$B$1+((Inputs!$G$5:$G$120&lt;&gt;"moeda")*(Inputs!$G$5:$G$120&lt;&gt;"acoes")))*INDEX(Inputs!$K$5:$AJ$120,0,MATCH(AF$2,Inputs!$K$4:$AJ$4,0)))+SUMPRODUCT((Inputs!$E$5:$E$120=$B42)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2" s="268" t="e">
        <f>AF42</f>
        <v>#N/A</v>
      </c>
      <c r="AH42" s="267" t="e">
        <f>IF(ISNA(MATCH(AH$2,Inputs!$K$4:$AJ$4,0)),NA(),IF(SUMPRODUCT((Inputs!$A$5:$A$120=$B42)*ISNUMBER(INDEX(Inputs!$K$5:$AJ$120,0,MATCH(AH$2,Inputs!$K$4:$AJ$4,0))))+SUMPRODUCT((Inputs!$C$5:$C$120=$B42)*ISNUMBER(INDEX(Inputs!$K$5:$AJ$120,0,MATCH(AH$2,Inputs!$K$4:$AJ$4,0))))+SUMPRODUCT((Inputs!$E$5:$E$120=$B42)*ISNUMBER(INDEX(Inputs!$K$5:$AJ$120,0,MATCH(AH$2,Inputs!$K$4:$AJ$4,0))))=0,NA(),SUMPRODUCT((Inputs!$A$5:$A$120=$B42)*Inputs!$B$5:$B$120*(((Inputs!$G$5:$G$120="moeda")+(Inputs!$G$5:$G$120="acoes"))*Inputs!$B$1+((Inputs!$G$5:$G$120&lt;&gt;"moeda")*(Inputs!$G$5:$G$120&lt;&gt;"acoes")))*INDEX(Inputs!$K$5:$AJ$120,0,MATCH(AH$2,Inputs!$K$4:$AJ$4,0)))+SUMPRODUCT((Inputs!$C$5:$C$120=$B42)*Inputs!$D$5:$D$120*(((Inputs!$G$5:$G$120="moeda")+(Inputs!$G$5:$G$120="acoes"))*Inputs!$B$1+((Inputs!$G$5:$G$120&lt;&gt;"moeda")*(Inputs!$G$5:$G$120&lt;&gt;"acoes")))*INDEX(Inputs!$K$5:$AJ$120,0,MATCH(AH$2,Inputs!$K$4:$AJ$4,0)))+SUMPRODUCT((Inputs!$E$5:$E$120=$B42)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42" s="267" t="e">
        <f>IF(ISNA(MATCH(AI$2,Inputs!$K$4:$AJ$4,0)),NA(),IF(SUMPRODUCT((Inputs!$A$5:$A$120=$B42)*ISNUMBER(INDEX(Inputs!$K$5:$AJ$120,0,MATCH(AI$2,Inputs!$K$4:$AJ$4,0))))+SUMPRODUCT((Inputs!$C$5:$C$120=$B42)*ISNUMBER(INDEX(Inputs!$K$5:$AJ$120,0,MATCH(AI$2,Inputs!$K$4:$AJ$4,0))))+SUMPRODUCT((Inputs!$E$5:$E$120=$B42)*ISNUMBER(INDEX(Inputs!$K$5:$AJ$120,0,MATCH(AI$2,Inputs!$K$4:$AJ$4,0))))=0,NA(),SUMPRODUCT((Inputs!$A$5:$A$120=$B42)*Inputs!$B$5:$B$120*(((Inputs!$G$5:$G$120="moeda")+(Inputs!$G$5:$G$120="acoes"))*Inputs!$B$1+((Inputs!$G$5:$G$120&lt;&gt;"moeda")*(Inputs!$G$5:$G$120&lt;&gt;"acoes")))*INDEX(Inputs!$K$5:$AJ$120,0,MATCH(AI$2,Inputs!$K$4:$AJ$4,0)))+SUMPRODUCT((Inputs!$C$5:$C$120=$B42)*Inputs!$D$5:$D$120*(((Inputs!$G$5:$G$120="moeda")+(Inputs!$G$5:$G$120="acoes"))*Inputs!$B$1+((Inputs!$G$5:$G$120&lt;&gt;"moeda")*(Inputs!$G$5:$G$120&lt;&gt;"acoes")))*INDEX(Inputs!$K$5:$AJ$120,0,MATCH(AI$2,Inputs!$K$4:$AJ$4,0)))+SUMPRODUCT((Inputs!$E$5:$E$120=$B42)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42" s="267" t="e">
        <f>IF(ISNA(MATCH(AJ$2,Inputs!$K$4:$AJ$4,0)),NA(),IF(SUMPRODUCT((Inputs!$A$5:$A$120=$B42)*ISNUMBER(INDEX(Inputs!$K$5:$AJ$120,0,MATCH(AJ$2,Inputs!$K$4:$AJ$4,0))))+SUMPRODUCT((Inputs!$C$5:$C$120=$B42)*ISNUMBER(INDEX(Inputs!$K$5:$AJ$120,0,MATCH(AJ$2,Inputs!$K$4:$AJ$4,0))))+SUMPRODUCT((Inputs!$E$5:$E$120=$B42)*ISNUMBER(INDEX(Inputs!$K$5:$AJ$120,0,MATCH(AJ$2,Inputs!$K$4:$AJ$4,0))))=0,NA(),SUMPRODUCT((Inputs!$A$5:$A$120=$B42)*Inputs!$B$5:$B$120*(((Inputs!$G$5:$G$120="moeda")+(Inputs!$G$5:$G$120="acoes"))*Inputs!$B$1+((Inputs!$G$5:$G$120&lt;&gt;"moeda")*(Inputs!$G$5:$G$120&lt;&gt;"acoes")))*INDEX(Inputs!$K$5:$AJ$120,0,MATCH(AJ$2,Inputs!$K$4:$AJ$4,0)))+SUMPRODUCT((Inputs!$C$5:$C$120=$B42)*Inputs!$D$5:$D$120*(((Inputs!$G$5:$G$120="moeda")+(Inputs!$G$5:$G$120="acoes"))*Inputs!$B$1+((Inputs!$G$5:$G$120&lt;&gt;"moeda")*(Inputs!$G$5:$G$120&lt;&gt;"acoes")))*INDEX(Inputs!$K$5:$AJ$120,0,MATCH(AJ$2,Inputs!$K$4:$AJ$4,0)))+SUMPRODUCT((Inputs!$E$5:$E$120=$B42)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42" s="267" t="e">
        <f>IF(ISNA(MATCH(AK$2,Inputs!$K$4:$AJ$4,0)),NA(),IF(SUMPRODUCT((Inputs!$A$5:$A$120=$B42)*ISNUMBER(INDEX(Inputs!$K$5:$AJ$120,0,MATCH(AK$2,Inputs!$K$4:$AJ$4,0))))+SUMPRODUCT((Inputs!$C$5:$C$120=$B42)*ISNUMBER(INDEX(Inputs!$K$5:$AJ$120,0,MATCH(AK$2,Inputs!$K$4:$AJ$4,0))))+SUMPRODUCT((Inputs!$E$5:$E$120=$B42)*ISNUMBER(INDEX(Inputs!$K$5:$AJ$120,0,MATCH(AK$2,Inputs!$K$4:$AJ$4,0))))=0,NA(),SUMPRODUCT((Inputs!$A$5:$A$120=$B42)*Inputs!$B$5:$B$120*(((Inputs!$G$5:$G$120="moeda")+(Inputs!$G$5:$G$120="acoes"))*Inputs!$B$1+((Inputs!$G$5:$G$120&lt;&gt;"moeda")*(Inputs!$G$5:$G$120&lt;&gt;"acoes")))*INDEX(Inputs!$K$5:$AJ$120,0,MATCH(AK$2,Inputs!$K$4:$AJ$4,0)))+SUMPRODUCT((Inputs!$C$5:$C$120=$B42)*Inputs!$D$5:$D$120*(((Inputs!$G$5:$G$120="moeda")+(Inputs!$G$5:$G$120="acoes"))*Inputs!$B$1+((Inputs!$G$5:$G$120&lt;&gt;"moeda")*(Inputs!$G$5:$G$120&lt;&gt;"acoes")))*INDEX(Inputs!$K$5:$AJ$120,0,MATCH(AK$2,Inputs!$K$4:$AJ$4,0)))+SUMPRODUCT((Inputs!$E$5:$E$120=$B42)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42" s="268" t="e">
        <f>AK42</f>
        <v>#N/A</v>
      </c>
    </row>
    <row r="43" ht="12.75" customHeight="1" s="255">
      <c r="B43" s="265" t="n">
        <v>37</v>
      </c>
      <c r="C43" s="269" t="inlineStr">
        <is>
          <t>Common Stock and APIC</t>
        </is>
      </c>
      <c r="D43" s="267">
        <f>IF(ISNA(MATCH(D$2,Inputs!$K$4:$AJ$4,0)),NA(),IF(SUMPRODUCT((Inputs!$A$5:$A$120=$B43)*ISNUMBER(INDEX(Inputs!$K$5:$AJ$120,0,MATCH(D$2,Inputs!$K$4:$AJ$4,0))))+SUMPRODUCT((Inputs!$C$5:$C$120=$B43)*ISNUMBER(INDEX(Inputs!$K$5:$AJ$120,0,MATCH(D$2,Inputs!$K$4:$AJ$4,0))))+SUMPRODUCT((Inputs!$E$5:$E$120=$B43)*ISNUMBER(INDEX(Inputs!$K$5:$AJ$120,0,MATCH(D$2,Inputs!$K$4:$AJ$4,0))))=0,NA(),SUMPRODUCT((Inputs!$A$5:$A$120=$B43)*Inputs!$B$5:$B$120*(((Inputs!$G$5:$G$120="moeda")+(Inputs!$G$5:$G$120="acoes"))*Inputs!$B$1+((Inputs!$G$5:$G$120&lt;&gt;"moeda")*(Inputs!$G$5:$G$120&lt;&gt;"acoes")))*INDEX(Inputs!$K$5:$AJ$120,0,MATCH(D$2,Inputs!$K$4:$AJ$4,0)))+SUMPRODUCT((Inputs!$C$5:$C$120=$B43)*Inputs!$D$5:$D$120*(((Inputs!$G$5:$G$120="moeda")+(Inputs!$G$5:$G$120="acoes"))*Inputs!$B$1+((Inputs!$G$5:$G$120&lt;&gt;"moeda")*(Inputs!$G$5:$G$120&lt;&gt;"acoes")))*INDEX(Inputs!$K$5:$AJ$120,0,MATCH(D$2,Inputs!$K$4:$AJ$4,0)))+SUMPRODUCT((Inputs!$E$5:$E$120=$B43)*Inputs!$F$5:$F$120*(((Inputs!$G$5:$G$120="moeda")+(Inputs!$G$5:$G$120="acoes"))*Inputs!$B$1+((Inputs!$G$5:$G$120&lt;&gt;"moeda")*(Inputs!$G$5:$G$120&lt;&gt;"acoes")))*INDEX(Inputs!$K$5:$AJ$120,0,MATCH(D$2,Inputs!$K$4:$AJ$4,0)))))</f>
        <v>5469</v>
      </c>
      <c r="E43" s="267">
        <f>IF(ISNA(MATCH(E$2,Inputs!$K$4:$AJ$4,0)),NA(),IF(SUMPRODUCT((Inputs!$A$5:$A$120=$B43)*ISNUMBER(INDEX(Inputs!$K$5:$AJ$120,0,MATCH(E$2,Inputs!$K$4:$AJ$4,0))))+SUMPRODUCT((Inputs!$C$5:$C$120=$B43)*ISNUMBER(INDEX(Inputs!$K$5:$AJ$120,0,MATCH(E$2,Inputs!$K$4:$AJ$4,0))))+SUMPRODUCT((Inputs!$E$5:$E$120=$B43)*ISNUMBER(INDEX(Inputs!$K$5:$AJ$120,0,MATCH(E$2,Inputs!$K$4:$AJ$4,0))))=0,NA(),SUMPRODUCT((Inputs!$A$5:$A$120=$B43)*Inputs!$B$5:$B$120*(((Inputs!$G$5:$G$120="moeda")+(Inputs!$G$5:$G$120="acoes"))*Inputs!$B$1+((Inputs!$G$5:$G$120&lt;&gt;"moeda")*(Inputs!$G$5:$G$120&lt;&gt;"acoes")))*INDEX(Inputs!$K$5:$AJ$120,0,MATCH(E$2,Inputs!$K$4:$AJ$4,0)))+SUMPRODUCT((Inputs!$C$5:$C$120=$B43)*Inputs!$D$5:$D$120*(((Inputs!$G$5:$G$120="moeda")+(Inputs!$G$5:$G$120="acoes"))*Inputs!$B$1+((Inputs!$G$5:$G$120&lt;&gt;"moeda")*(Inputs!$G$5:$G$120&lt;&gt;"acoes")))*INDEX(Inputs!$K$5:$AJ$120,0,MATCH(E$2,Inputs!$K$4:$AJ$4,0)))+SUMPRODUCT((Inputs!$E$5:$E$120=$B43)*Inputs!$F$5:$F$120*(((Inputs!$G$5:$G$120="moeda")+(Inputs!$G$5:$G$120="acoes"))*Inputs!$B$1+((Inputs!$G$5:$G$120&lt;&gt;"moeda")*(Inputs!$G$5:$G$120&lt;&gt;"acoes")))*INDEX(Inputs!$K$5:$AJ$120,0,MATCH(E$2,Inputs!$K$4:$AJ$4,0)))))</f>
        <v>5513</v>
      </c>
      <c r="F43" s="267">
        <f>IF(ISNA(MATCH(F$2,Inputs!$K$4:$AJ$4,0)),NA(),IF(SUMPRODUCT((Inputs!$A$5:$A$120=$B43)*ISNUMBER(INDEX(Inputs!$K$5:$AJ$120,0,MATCH(F$2,Inputs!$K$4:$AJ$4,0))))+SUMPRODUCT((Inputs!$C$5:$C$120=$B43)*ISNUMBER(INDEX(Inputs!$K$5:$AJ$120,0,MATCH(F$2,Inputs!$K$4:$AJ$4,0))))+SUMPRODUCT((Inputs!$E$5:$E$120=$B43)*ISNUMBER(INDEX(Inputs!$K$5:$AJ$120,0,MATCH(F$2,Inputs!$K$4:$AJ$4,0))))=0,NA(),SUMPRODUCT((Inputs!$A$5:$A$120=$B43)*Inputs!$B$5:$B$120*(((Inputs!$G$5:$G$120="moeda")+(Inputs!$G$5:$G$120="acoes"))*Inputs!$B$1+((Inputs!$G$5:$G$120&lt;&gt;"moeda")*(Inputs!$G$5:$G$120&lt;&gt;"acoes")))*INDEX(Inputs!$K$5:$AJ$120,0,MATCH(F$2,Inputs!$K$4:$AJ$4,0)))+SUMPRODUCT((Inputs!$C$5:$C$120=$B43)*Inputs!$D$5:$D$120*(((Inputs!$G$5:$G$120="moeda")+(Inputs!$G$5:$G$120="acoes"))*Inputs!$B$1+((Inputs!$G$5:$G$120&lt;&gt;"moeda")*(Inputs!$G$5:$G$120&lt;&gt;"acoes")))*INDEX(Inputs!$K$5:$AJ$120,0,MATCH(F$2,Inputs!$K$4:$AJ$4,0)))+SUMPRODUCT((Inputs!$E$5:$E$120=$B43)*Inputs!$F$5:$F$120*(((Inputs!$G$5:$G$120="moeda")+(Inputs!$G$5:$G$120="acoes"))*Inputs!$B$1+((Inputs!$G$5:$G$120&lt;&gt;"moeda")*(Inputs!$G$5:$G$120&lt;&gt;"acoes")))*INDEX(Inputs!$K$5:$AJ$120,0,MATCH(F$2,Inputs!$K$4:$AJ$4,0)))))</f>
        <v>5531</v>
      </c>
      <c r="G43" s="267">
        <f>IF(ISNA(MATCH(G$2,Inputs!$K$4:$AJ$4,0)),NA(),IF(SUMPRODUCT((Inputs!$A$5:$A$120=$B43)*ISNUMBER(INDEX(Inputs!$K$5:$AJ$120,0,MATCH(G$2,Inputs!$K$4:$AJ$4,0))))+SUMPRODUCT((Inputs!$C$5:$C$120=$B43)*ISNUMBER(INDEX(Inputs!$K$5:$AJ$120,0,MATCH(G$2,Inputs!$K$4:$AJ$4,0))))+SUMPRODUCT((Inputs!$E$5:$E$120=$B43)*ISNUMBER(INDEX(Inputs!$K$5:$AJ$120,0,MATCH(G$2,Inputs!$K$4:$AJ$4,0))))=0,NA(),SUMPRODUCT((Inputs!$A$5:$A$120=$B43)*Inputs!$B$5:$B$120*(((Inputs!$G$5:$G$120="moeda")+(Inputs!$G$5:$G$120="acoes"))*Inputs!$B$1+((Inputs!$G$5:$G$120&lt;&gt;"moeda")*(Inputs!$G$5:$G$120&lt;&gt;"acoes")))*INDEX(Inputs!$K$5:$AJ$120,0,MATCH(G$2,Inputs!$K$4:$AJ$4,0)))+SUMPRODUCT((Inputs!$C$5:$C$120=$B43)*Inputs!$D$5:$D$120*(((Inputs!$G$5:$G$120="moeda")+(Inputs!$G$5:$G$120="acoes"))*Inputs!$B$1+((Inputs!$G$5:$G$120&lt;&gt;"moeda")*(Inputs!$G$5:$G$120&lt;&gt;"acoes")))*INDEX(Inputs!$K$5:$AJ$120,0,MATCH(G$2,Inputs!$K$4:$AJ$4,0)))+SUMPRODUCT((Inputs!$E$5:$E$120=$B43)*Inputs!$F$5:$F$120*(((Inputs!$G$5:$G$120="moeda")+(Inputs!$G$5:$G$120="acoes"))*Inputs!$B$1+((Inputs!$G$5:$G$120&lt;&gt;"moeda")*(Inputs!$G$5:$G$120&lt;&gt;"acoes")))*INDEX(Inputs!$K$5:$AJ$120,0,MATCH(G$2,Inputs!$K$4:$AJ$4,0)))))</f>
        <v>5591</v>
      </c>
      <c r="H43" s="268">
        <f>G43</f>
        <v>5591</v>
      </c>
      <c r="I43" s="267">
        <f>IF(ISNA(MATCH(I$2,Inputs!$K$4:$AJ$4,0)),NA(),IF(SUMPRODUCT((Inputs!$A$5:$A$120=$B43)*ISNUMBER(INDEX(Inputs!$K$5:$AJ$120,0,MATCH(I$2,Inputs!$K$4:$AJ$4,0))))+SUMPRODUCT((Inputs!$C$5:$C$120=$B43)*ISNUMBER(INDEX(Inputs!$K$5:$AJ$120,0,MATCH(I$2,Inputs!$K$4:$AJ$4,0))))+SUMPRODUCT((Inputs!$E$5:$E$120=$B43)*ISNUMBER(INDEX(Inputs!$K$5:$AJ$120,0,MATCH(I$2,Inputs!$K$4:$AJ$4,0))))=0,NA(),SUMPRODUCT((Inputs!$A$5:$A$120=$B43)*Inputs!$B$5:$B$120*(((Inputs!$G$5:$G$120="moeda")+(Inputs!$G$5:$G$120="acoes"))*Inputs!$B$1+((Inputs!$G$5:$G$120&lt;&gt;"moeda")*(Inputs!$G$5:$G$120&lt;&gt;"acoes")))*INDEX(Inputs!$K$5:$AJ$120,0,MATCH(I$2,Inputs!$K$4:$AJ$4,0)))+SUMPRODUCT((Inputs!$C$5:$C$120=$B43)*Inputs!$D$5:$D$120*(((Inputs!$G$5:$G$120="moeda")+(Inputs!$G$5:$G$120="acoes"))*Inputs!$B$1+((Inputs!$G$5:$G$120&lt;&gt;"moeda")*(Inputs!$G$5:$G$120&lt;&gt;"acoes")))*INDEX(Inputs!$K$5:$AJ$120,0,MATCH(I$2,Inputs!$K$4:$AJ$4,0)))+SUMPRODUCT((Inputs!$E$5:$E$120=$B43)*Inputs!$F$5:$F$120*(((Inputs!$G$5:$G$120="moeda")+(Inputs!$G$5:$G$120="acoes"))*Inputs!$B$1+((Inputs!$G$5:$G$120&lt;&gt;"moeda")*(Inputs!$G$5:$G$120&lt;&gt;"acoes")))*INDEX(Inputs!$K$5:$AJ$120,0,MATCH(I$2,Inputs!$K$4:$AJ$4,0)))))</f>
        <v>6333</v>
      </c>
      <c r="J43" s="267">
        <f>IF(ISNA(MATCH(J$2,Inputs!$K$4:$AJ$4,0)),NA(),IF(SUMPRODUCT((Inputs!$A$5:$A$120=$B43)*ISNUMBER(INDEX(Inputs!$K$5:$AJ$120,0,MATCH(J$2,Inputs!$K$4:$AJ$4,0))))+SUMPRODUCT((Inputs!$C$5:$C$120=$B43)*ISNUMBER(INDEX(Inputs!$K$5:$AJ$120,0,MATCH(J$2,Inputs!$K$4:$AJ$4,0))))+SUMPRODUCT((Inputs!$E$5:$E$120=$B43)*ISNUMBER(INDEX(Inputs!$K$5:$AJ$120,0,MATCH(J$2,Inputs!$K$4:$AJ$4,0))))=0,NA(),SUMPRODUCT((Inputs!$A$5:$A$120=$B43)*Inputs!$B$5:$B$120*(((Inputs!$G$5:$G$120="moeda")+(Inputs!$G$5:$G$120="acoes"))*Inputs!$B$1+((Inputs!$G$5:$G$120&lt;&gt;"moeda")*(Inputs!$G$5:$G$120&lt;&gt;"acoes")))*INDEX(Inputs!$K$5:$AJ$120,0,MATCH(J$2,Inputs!$K$4:$AJ$4,0)))+SUMPRODUCT((Inputs!$C$5:$C$120=$B43)*Inputs!$D$5:$D$120*(((Inputs!$G$5:$G$120="moeda")+(Inputs!$G$5:$G$120="acoes"))*Inputs!$B$1+((Inputs!$G$5:$G$120&lt;&gt;"moeda")*(Inputs!$G$5:$G$120&lt;&gt;"acoes")))*INDEX(Inputs!$K$5:$AJ$120,0,MATCH(J$2,Inputs!$K$4:$AJ$4,0)))+SUMPRODUCT((Inputs!$E$5:$E$120=$B43)*Inputs!$F$5:$F$120*(((Inputs!$G$5:$G$120="moeda")+(Inputs!$G$5:$G$120="acoes"))*Inputs!$B$1+((Inputs!$G$5:$G$120&lt;&gt;"moeda")*(Inputs!$G$5:$G$120&lt;&gt;"acoes")))*INDEX(Inputs!$K$5:$AJ$120,0,MATCH(J$2,Inputs!$K$4:$AJ$4,0)))))</f>
        <v>6596</v>
      </c>
      <c r="K43" s="267">
        <f>IF(ISNA(MATCH(K$2,Inputs!$K$4:$AJ$4,0)),NA(),IF(SUMPRODUCT((Inputs!$A$5:$A$120=$B43)*ISNUMBER(INDEX(Inputs!$K$5:$AJ$120,0,MATCH(K$2,Inputs!$K$4:$AJ$4,0))))+SUMPRODUCT((Inputs!$C$5:$C$120=$B43)*ISNUMBER(INDEX(Inputs!$K$5:$AJ$120,0,MATCH(K$2,Inputs!$K$4:$AJ$4,0))))+SUMPRODUCT((Inputs!$E$5:$E$120=$B43)*ISNUMBER(INDEX(Inputs!$K$5:$AJ$120,0,MATCH(K$2,Inputs!$K$4:$AJ$4,0))))=0,NA(),SUMPRODUCT((Inputs!$A$5:$A$120=$B43)*Inputs!$B$5:$B$120*(((Inputs!$G$5:$G$120="moeda")+(Inputs!$G$5:$G$120="acoes"))*Inputs!$B$1+((Inputs!$G$5:$G$120&lt;&gt;"moeda")*(Inputs!$G$5:$G$120&lt;&gt;"acoes")))*INDEX(Inputs!$K$5:$AJ$120,0,MATCH(K$2,Inputs!$K$4:$AJ$4,0)))+SUMPRODUCT((Inputs!$C$5:$C$120=$B43)*Inputs!$D$5:$D$120*(((Inputs!$G$5:$G$120="moeda")+(Inputs!$G$5:$G$120="acoes"))*Inputs!$B$1+((Inputs!$G$5:$G$120&lt;&gt;"moeda")*(Inputs!$G$5:$G$120&lt;&gt;"acoes")))*INDEX(Inputs!$K$5:$AJ$120,0,MATCH(K$2,Inputs!$K$4:$AJ$4,0)))+SUMPRODUCT((Inputs!$E$5:$E$120=$B43)*Inputs!$F$5:$F$120*(((Inputs!$G$5:$G$120="moeda")+(Inputs!$G$5:$G$120="acoes"))*Inputs!$B$1+((Inputs!$G$5:$G$120&lt;&gt;"moeda")*(Inputs!$G$5:$G$120&lt;&gt;"acoes")))*INDEX(Inputs!$K$5:$AJ$120,0,MATCH(K$2,Inputs!$K$4:$AJ$4,0)))))</f>
        <v>6656</v>
      </c>
      <c r="L43" s="267">
        <f>IF(ISNA(MATCH(L$2,Inputs!$K$4:$AJ$4,0)),NA(),IF(SUMPRODUCT((Inputs!$A$5:$A$120=$B43)*ISNUMBER(INDEX(Inputs!$K$5:$AJ$120,0,MATCH(L$2,Inputs!$K$4:$AJ$4,0))))+SUMPRODUCT((Inputs!$C$5:$C$120=$B43)*ISNUMBER(INDEX(Inputs!$K$5:$AJ$120,0,MATCH(L$2,Inputs!$K$4:$AJ$4,0))))+SUMPRODUCT((Inputs!$E$5:$E$120=$B43)*ISNUMBER(INDEX(Inputs!$K$5:$AJ$120,0,MATCH(L$2,Inputs!$K$4:$AJ$4,0))))=0,NA(),SUMPRODUCT((Inputs!$A$5:$A$120=$B43)*Inputs!$B$5:$B$120*(((Inputs!$G$5:$G$120="moeda")+(Inputs!$G$5:$G$120="acoes"))*Inputs!$B$1+((Inputs!$G$5:$G$120&lt;&gt;"moeda")*(Inputs!$G$5:$G$120&lt;&gt;"acoes")))*INDEX(Inputs!$K$5:$AJ$120,0,MATCH(L$2,Inputs!$K$4:$AJ$4,0)))+SUMPRODUCT((Inputs!$C$5:$C$120=$B43)*Inputs!$D$5:$D$120*(((Inputs!$G$5:$G$120="moeda")+(Inputs!$G$5:$G$120="acoes"))*Inputs!$B$1+((Inputs!$G$5:$G$120&lt;&gt;"moeda")*(Inputs!$G$5:$G$120&lt;&gt;"acoes")))*INDEX(Inputs!$K$5:$AJ$120,0,MATCH(L$2,Inputs!$K$4:$AJ$4,0)))+SUMPRODUCT((Inputs!$E$5:$E$120=$B43)*Inputs!$F$5:$F$120*(((Inputs!$G$5:$G$120="moeda")+(Inputs!$G$5:$G$120="acoes"))*Inputs!$B$1+((Inputs!$G$5:$G$120&lt;&gt;"moeda")*(Inputs!$G$5:$G$120&lt;&gt;"acoes")))*INDEX(Inputs!$K$5:$AJ$120,0,MATCH(L$2,Inputs!$K$4:$AJ$4,0)))))</f>
        <v>6693</v>
      </c>
      <c r="M43" s="268">
        <f>L43</f>
        <v>6693</v>
      </c>
      <c r="N43" s="267">
        <f>IF(ISNA(MATCH(N$2,Inputs!$K$4:$AJ$4,0)),NA(),IF(SUMPRODUCT((Inputs!$A$5:$A$120=$B43)*ISNUMBER(INDEX(Inputs!$K$5:$AJ$120,0,MATCH(N$2,Inputs!$K$4:$AJ$4,0))))+SUMPRODUCT((Inputs!$C$5:$C$120=$B43)*ISNUMBER(INDEX(Inputs!$K$5:$AJ$120,0,MATCH(N$2,Inputs!$K$4:$AJ$4,0))))+SUMPRODUCT((Inputs!$E$5:$E$120=$B43)*ISNUMBER(INDEX(Inputs!$K$5:$AJ$120,0,MATCH(N$2,Inputs!$K$4:$AJ$4,0))))=0,NA(),SUMPRODUCT((Inputs!$A$5:$A$120=$B43)*Inputs!$B$5:$B$120*(((Inputs!$G$5:$G$120="moeda")+(Inputs!$G$5:$G$120="acoes"))*Inputs!$B$1+((Inputs!$G$5:$G$120&lt;&gt;"moeda")*(Inputs!$G$5:$G$120&lt;&gt;"acoes")))*INDEX(Inputs!$K$5:$AJ$120,0,MATCH(N$2,Inputs!$K$4:$AJ$4,0)))+SUMPRODUCT((Inputs!$C$5:$C$120=$B43)*Inputs!$D$5:$D$120*(((Inputs!$G$5:$G$120="moeda")+(Inputs!$G$5:$G$120="acoes"))*Inputs!$B$1+((Inputs!$G$5:$G$120&lt;&gt;"moeda")*(Inputs!$G$5:$G$120&lt;&gt;"acoes")))*INDEX(Inputs!$K$5:$AJ$120,0,MATCH(N$2,Inputs!$K$4:$AJ$4,0)))+SUMPRODUCT((Inputs!$E$5:$E$120=$B43)*Inputs!$F$5:$F$120*(((Inputs!$G$5:$G$120="moeda")+(Inputs!$G$5:$G$120="acoes"))*Inputs!$B$1+((Inputs!$G$5:$G$120&lt;&gt;"moeda")*(Inputs!$G$5:$G$120&lt;&gt;"acoes")))*INDEX(Inputs!$K$5:$AJ$120,0,MATCH(N$2,Inputs!$K$4:$AJ$4,0)))))</f>
        <v>6689</v>
      </c>
      <c r="O43" s="267">
        <f>IF(ISNA(MATCH(O$2,Inputs!$K$4:$AJ$4,0)),NA(),IF(SUMPRODUCT((Inputs!$A$5:$A$120=$B43)*ISNUMBER(INDEX(Inputs!$K$5:$AJ$120,0,MATCH(O$2,Inputs!$K$4:$AJ$4,0))))+SUMPRODUCT((Inputs!$C$5:$C$120=$B43)*ISNUMBER(INDEX(Inputs!$K$5:$AJ$120,0,MATCH(O$2,Inputs!$K$4:$AJ$4,0))))+SUMPRODUCT((Inputs!$E$5:$E$120=$B43)*ISNUMBER(INDEX(Inputs!$K$5:$AJ$120,0,MATCH(O$2,Inputs!$K$4:$AJ$4,0))))=0,NA(),SUMPRODUCT((Inputs!$A$5:$A$120=$B43)*Inputs!$B$5:$B$120*(((Inputs!$G$5:$G$120="moeda")+(Inputs!$G$5:$G$120="acoes"))*Inputs!$B$1+((Inputs!$G$5:$G$120&lt;&gt;"moeda")*(Inputs!$G$5:$G$120&lt;&gt;"acoes")))*INDEX(Inputs!$K$5:$AJ$120,0,MATCH(O$2,Inputs!$K$4:$AJ$4,0)))+SUMPRODUCT((Inputs!$C$5:$C$120=$B43)*Inputs!$D$5:$D$120*(((Inputs!$G$5:$G$120="moeda")+(Inputs!$G$5:$G$120="acoes"))*Inputs!$B$1+((Inputs!$G$5:$G$120&lt;&gt;"moeda")*(Inputs!$G$5:$G$120&lt;&gt;"acoes")))*INDEX(Inputs!$K$5:$AJ$120,0,MATCH(O$2,Inputs!$K$4:$AJ$4,0)))+SUMPRODUCT((Inputs!$E$5:$E$120=$B43)*Inputs!$F$5:$F$120*(((Inputs!$G$5:$G$120="moeda")+(Inputs!$G$5:$G$120="acoes"))*Inputs!$B$1+((Inputs!$G$5:$G$120&lt;&gt;"moeda")*(Inputs!$G$5:$G$120&lt;&gt;"acoes")))*INDEX(Inputs!$K$5:$AJ$120,0,MATCH(O$2,Inputs!$K$4:$AJ$4,0)))))</f>
        <v>6707</v>
      </c>
      <c r="P43" s="267">
        <f>IF(ISNA(MATCH(P$2,Inputs!$K$4:$AJ$4,0)),NA(),IF(SUMPRODUCT((Inputs!$A$5:$A$120=$B43)*ISNUMBER(INDEX(Inputs!$K$5:$AJ$120,0,MATCH(P$2,Inputs!$K$4:$AJ$4,0))))+SUMPRODUCT((Inputs!$C$5:$C$120=$B43)*ISNUMBER(INDEX(Inputs!$K$5:$AJ$120,0,MATCH(P$2,Inputs!$K$4:$AJ$4,0))))+SUMPRODUCT((Inputs!$E$5:$E$120=$B43)*ISNUMBER(INDEX(Inputs!$K$5:$AJ$120,0,MATCH(P$2,Inputs!$K$4:$AJ$4,0))))=0,NA(),SUMPRODUCT((Inputs!$A$5:$A$120=$B43)*Inputs!$B$5:$B$120*(((Inputs!$G$5:$G$120="moeda")+(Inputs!$G$5:$G$120="acoes"))*Inputs!$B$1+((Inputs!$G$5:$G$120&lt;&gt;"moeda")*(Inputs!$G$5:$G$120&lt;&gt;"acoes")))*INDEX(Inputs!$K$5:$AJ$120,0,MATCH(P$2,Inputs!$K$4:$AJ$4,0)))+SUMPRODUCT((Inputs!$C$5:$C$120=$B43)*Inputs!$D$5:$D$120*(((Inputs!$G$5:$G$120="moeda")+(Inputs!$G$5:$G$120="acoes"))*Inputs!$B$1+((Inputs!$G$5:$G$120&lt;&gt;"moeda")*(Inputs!$G$5:$G$120&lt;&gt;"acoes")))*INDEX(Inputs!$K$5:$AJ$120,0,MATCH(P$2,Inputs!$K$4:$AJ$4,0)))+SUMPRODUCT((Inputs!$E$5:$E$120=$B43)*Inputs!$F$5:$F$120*(((Inputs!$G$5:$G$120="moeda")+(Inputs!$G$5:$G$120="acoes"))*Inputs!$B$1+((Inputs!$G$5:$G$120&lt;&gt;"moeda")*(Inputs!$G$5:$G$120&lt;&gt;"acoes")))*INDEX(Inputs!$K$5:$AJ$120,0,MATCH(P$2,Inputs!$K$4:$AJ$4,0)))))</f>
        <v>6728</v>
      </c>
      <c r="Q43" s="267">
        <f>IF(ISNA(MATCH(Q$2,Inputs!$K$4:$AJ$4,0)),NA(),IF(SUMPRODUCT((Inputs!$A$5:$A$120=$B43)*ISNUMBER(INDEX(Inputs!$K$5:$AJ$120,0,MATCH(Q$2,Inputs!$K$4:$AJ$4,0))))+SUMPRODUCT((Inputs!$C$5:$C$120=$B43)*ISNUMBER(INDEX(Inputs!$K$5:$AJ$120,0,MATCH(Q$2,Inputs!$K$4:$AJ$4,0))))+SUMPRODUCT((Inputs!$E$5:$E$120=$B43)*ISNUMBER(INDEX(Inputs!$K$5:$AJ$120,0,MATCH(Q$2,Inputs!$K$4:$AJ$4,0))))=0,NA(),SUMPRODUCT((Inputs!$A$5:$A$120=$B43)*Inputs!$B$5:$B$120*(((Inputs!$G$5:$G$120="moeda")+(Inputs!$G$5:$G$120="acoes"))*Inputs!$B$1+((Inputs!$G$5:$G$120&lt;&gt;"moeda")*(Inputs!$G$5:$G$120&lt;&gt;"acoes")))*INDEX(Inputs!$K$5:$AJ$120,0,MATCH(Q$2,Inputs!$K$4:$AJ$4,0)))+SUMPRODUCT((Inputs!$C$5:$C$120=$B43)*Inputs!$D$5:$D$120*(((Inputs!$G$5:$G$120="moeda")+(Inputs!$G$5:$G$120="acoes"))*Inputs!$B$1+((Inputs!$G$5:$G$120&lt;&gt;"moeda")*(Inputs!$G$5:$G$120&lt;&gt;"acoes")))*INDEX(Inputs!$K$5:$AJ$120,0,MATCH(Q$2,Inputs!$K$4:$AJ$4,0)))+SUMPRODUCT((Inputs!$E$5:$E$120=$B43)*Inputs!$F$5:$F$120*(((Inputs!$G$5:$G$120="moeda")+(Inputs!$G$5:$G$120="acoes"))*Inputs!$B$1+((Inputs!$G$5:$G$120&lt;&gt;"moeda")*(Inputs!$G$5:$G$120&lt;&gt;"acoes")))*INDEX(Inputs!$K$5:$AJ$120,0,MATCH(Q$2,Inputs!$K$4:$AJ$4,0)))))</f>
        <v>5900</v>
      </c>
      <c r="R43" s="268">
        <f>Q43</f>
        <v>5900</v>
      </c>
      <c r="S43" s="267">
        <f>IF(ISNA(MATCH(S$2,Inputs!$K$4:$AJ$4,0)),NA(),IF(SUMPRODUCT((Inputs!$A$5:$A$120=$B43)*ISNUMBER(INDEX(Inputs!$K$5:$AJ$120,0,MATCH(S$2,Inputs!$K$4:$AJ$4,0))))+SUMPRODUCT((Inputs!$C$5:$C$120=$B43)*ISNUMBER(INDEX(Inputs!$K$5:$AJ$120,0,MATCH(S$2,Inputs!$K$4:$AJ$4,0))))+SUMPRODUCT((Inputs!$E$5:$E$120=$B43)*ISNUMBER(INDEX(Inputs!$K$5:$AJ$120,0,MATCH(S$2,Inputs!$K$4:$AJ$4,0))))=0,NA(),SUMPRODUCT((Inputs!$A$5:$A$120=$B43)*Inputs!$B$5:$B$120*(((Inputs!$G$5:$G$120="moeda")+(Inputs!$G$5:$G$120="acoes"))*Inputs!$B$1+((Inputs!$G$5:$G$120&lt;&gt;"moeda")*(Inputs!$G$5:$G$120&lt;&gt;"acoes")))*INDEX(Inputs!$K$5:$AJ$120,0,MATCH(S$2,Inputs!$K$4:$AJ$4,0)))+SUMPRODUCT((Inputs!$C$5:$C$120=$B43)*Inputs!$D$5:$D$120*(((Inputs!$G$5:$G$120="moeda")+(Inputs!$G$5:$G$120="acoes"))*Inputs!$B$1+((Inputs!$G$5:$G$120&lt;&gt;"moeda")*(Inputs!$G$5:$G$120&lt;&gt;"acoes")))*INDEX(Inputs!$K$5:$AJ$120,0,MATCH(S$2,Inputs!$K$4:$AJ$4,0)))+SUMPRODUCT((Inputs!$E$5:$E$120=$B43)*Inputs!$F$5:$F$120*(((Inputs!$G$5:$G$120="moeda")+(Inputs!$G$5:$G$120="acoes"))*Inputs!$B$1+((Inputs!$G$5:$G$120&lt;&gt;"moeda")*(Inputs!$G$5:$G$120&lt;&gt;"acoes")))*INDEX(Inputs!$K$5:$AJ$120,0,MATCH(S$2,Inputs!$K$4:$AJ$4,0)))))</f>
        <v>5854</v>
      </c>
      <c r="T43" s="267">
        <f>IF(ISNA(MATCH(T$2,Inputs!$K$4:$AJ$4,0)),NA(),IF(SUMPRODUCT((Inputs!$A$5:$A$120=$B43)*ISNUMBER(INDEX(Inputs!$K$5:$AJ$120,0,MATCH(T$2,Inputs!$K$4:$AJ$4,0))))+SUMPRODUCT((Inputs!$C$5:$C$120=$B43)*ISNUMBER(INDEX(Inputs!$K$5:$AJ$120,0,MATCH(T$2,Inputs!$K$4:$AJ$4,0))))+SUMPRODUCT((Inputs!$E$5:$E$120=$B43)*ISNUMBER(INDEX(Inputs!$K$5:$AJ$120,0,MATCH(T$2,Inputs!$K$4:$AJ$4,0))))=0,NA(),SUMPRODUCT((Inputs!$A$5:$A$120=$B43)*Inputs!$B$5:$B$120*(((Inputs!$G$5:$G$120="moeda")+(Inputs!$G$5:$G$120="acoes"))*Inputs!$B$1+((Inputs!$G$5:$G$120&lt;&gt;"moeda")*(Inputs!$G$5:$G$120&lt;&gt;"acoes")))*INDEX(Inputs!$K$5:$AJ$120,0,MATCH(T$2,Inputs!$K$4:$AJ$4,0)))+SUMPRODUCT((Inputs!$C$5:$C$120=$B43)*Inputs!$D$5:$D$120*(((Inputs!$G$5:$G$120="moeda")+(Inputs!$G$5:$G$120="acoes"))*Inputs!$B$1+((Inputs!$G$5:$G$120&lt;&gt;"moeda")*(Inputs!$G$5:$G$120&lt;&gt;"acoes")))*INDEX(Inputs!$K$5:$AJ$120,0,MATCH(T$2,Inputs!$K$4:$AJ$4,0)))+SUMPRODUCT((Inputs!$E$5:$E$120=$B43)*Inputs!$F$5:$F$120*(((Inputs!$G$5:$G$120="moeda")+(Inputs!$G$5:$G$120="acoes"))*Inputs!$B$1+((Inputs!$G$5:$G$120&lt;&gt;"moeda")*(Inputs!$G$5:$G$120&lt;&gt;"acoes")))*INDEX(Inputs!$K$5:$AJ$120,0,MATCH(T$2,Inputs!$K$4:$AJ$4,0)))))</f>
        <v>5869</v>
      </c>
      <c r="U43" s="267">
        <f>IF(ISNA(MATCH(U$2,Inputs!$K$4:$AJ$4,0)),NA(),IF(SUMPRODUCT((Inputs!$A$5:$A$120=$B43)*ISNUMBER(INDEX(Inputs!$K$5:$AJ$120,0,MATCH(U$2,Inputs!$K$4:$AJ$4,0))))+SUMPRODUCT((Inputs!$C$5:$C$120=$B43)*ISNUMBER(INDEX(Inputs!$K$5:$AJ$120,0,MATCH(U$2,Inputs!$K$4:$AJ$4,0))))+SUMPRODUCT((Inputs!$E$5:$E$120=$B43)*ISNUMBER(INDEX(Inputs!$K$5:$AJ$120,0,MATCH(U$2,Inputs!$K$4:$AJ$4,0))))=0,NA(),SUMPRODUCT((Inputs!$A$5:$A$120=$B43)*Inputs!$B$5:$B$120*(((Inputs!$G$5:$G$120="moeda")+(Inputs!$G$5:$G$120="acoes"))*Inputs!$B$1+((Inputs!$G$5:$G$120&lt;&gt;"moeda")*(Inputs!$G$5:$G$120&lt;&gt;"acoes")))*INDEX(Inputs!$K$5:$AJ$120,0,MATCH(U$2,Inputs!$K$4:$AJ$4,0)))+SUMPRODUCT((Inputs!$C$5:$C$120=$B43)*Inputs!$D$5:$D$120*(((Inputs!$G$5:$G$120="moeda")+(Inputs!$G$5:$G$120="acoes"))*Inputs!$B$1+((Inputs!$G$5:$G$120&lt;&gt;"moeda")*(Inputs!$G$5:$G$120&lt;&gt;"acoes")))*INDEX(Inputs!$K$5:$AJ$120,0,MATCH(U$2,Inputs!$K$4:$AJ$4,0)))+SUMPRODUCT((Inputs!$E$5:$E$120=$B43)*Inputs!$F$5:$F$120*(((Inputs!$G$5:$G$120="moeda")+(Inputs!$G$5:$G$120="acoes"))*Inputs!$B$1+((Inputs!$G$5:$G$120&lt;&gt;"moeda")*(Inputs!$G$5:$G$120&lt;&gt;"acoes")))*INDEX(Inputs!$K$5:$AJ$120,0,MATCH(U$2,Inputs!$K$4:$AJ$4,0)))))</f>
        <v>5881</v>
      </c>
      <c r="V43" s="267">
        <f>IF(ISNA(MATCH(V$2,Inputs!$K$4:$AJ$4,0)),NA(),IF(SUMPRODUCT((Inputs!$A$5:$A$120=$B43)*ISNUMBER(INDEX(Inputs!$K$5:$AJ$120,0,MATCH(V$2,Inputs!$K$4:$AJ$4,0))))+SUMPRODUCT((Inputs!$C$5:$C$120=$B43)*ISNUMBER(INDEX(Inputs!$K$5:$AJ$120,0,MATCH(V$2,Inputs!$K$4:$AJ$4,0))))+SUMPRODUCT((Inputs!$E$5:$E$120=$B43)*ISNUMBER(INDEX(Inputs!$K$5:$AJ$120,0,MATCH(V$2,Inputs!$K$4:$AJ$4,0))))=0,NA(),SUMPRODUCT((Inputs!$A$5:$A$120=$B43)*Inputs!$B$5:$B$120*(((Inputs!$G$5:$G$120="moeda")+(Inputs!$G$5:$G$120="acoes"))*Inputs!$B$1+((Inputs!$G$5:$G$120&lt;&gt;"moeda")*(Inputs!$G$5:$G$120&lt;&gt;"acoes")))*INDEX(Inputs!$K$5:$AJ$120,0,MATCH(V$2,Inputs!$K$4:$AJ$4,0)))+SUMPRODUCT((Inputs!$C$5:$C$120=$B43)*Inputs!$D$5:$D$120*(((Inputs!$G$5:$G$120="moeda")+(Inputs!$G$5:$G$120="acoes"))*Inputs!$B$1+((Inputs!$G$5:$G$120&lt;&gt;"moeda")*(Inputs!$G$5:$G$120&lt;&gt;"acoes")))*INDEX(Inputs!$K$5:$AJ$120,0,MATCH(V$2,Inputs!$K$4:$AJ$4,0)))+SUMPRODUCT((Inputs!$E$5:$E$120=$B43)*Inputs!$F$5:$F$120*(((Inputs!$G$5:$G$120="moeda")+(Inputs!$G$5:$G$120="acoes"))*Inputs!$B$1+((Inputs!$G$5:$G$120&lt;&gt;"moeda")*(Inputs!$G$5:$G$120&lt;&gt;"acoes")))*INDEX(Inputs!$K$5:$AJ$120,0,MATCH(V$2,Inputs!$K$4:$AJ$4,0)))))</f>
        <v>5325</v>
      </c>
      <c r="W43" s="268">
        <f>V43</f>
        <v>5325</v>
      </c>
      <c r="X43" s="267">
        <f>IF(ISNA(MATCH(X$2,Inputs!$K$4:$AJ$4,0)),NA(),IF(SUMPRODUCT((Inputs!$A$5:$A$120=$B43)*ISNUMBER(INDEX(Inputs!$K$5:$AJ$120,0,MATCH(X$2,Inputs!$K$4:$AJ$4,0))))+SUMPRODUCT((Inputs!$C$5:$C$120=$B43)*ISNUMBER(INDEX(Inputs!$K$5:$AJ$120,0,MATCH(X$2,Inputs!$K$4:$AJ$4,0))))+SUMPRODUCT((Inputs!$E$5:$E$120=$B43)*ISNUMBER(INDEX(Inputs!$K$5:$AJ$120,0,MATCH(X$2,Inputs!$K$4:$AJ$4,0))))=0,NA(),SUMPRODUCT((Inputs!$A$5:$A$120=$B43)*Inputs!$B$5:$B$120*(((Inputs!$G$5:$G$120="moeda")+(Inputs!$G$5:$G$120="acoes"))*Inputs!$B$1+((Inputs!$G$5:$G$120&lt;&gt;"moeda")*(Inputs!$G$5:$G$120&lt;&gt;"acoes")))*INDEX(Inputs!$K$5:$AJ$120,0,MATCH(X$2,Inputs!$K$4:$AJ$4,0)))+SUMPRODUCT((Inputs!$C$5:$C$120=$B43)*Inputs!$D$5:$D$120*(((Inputs!$G$5:$G$120="moeda")+(Inputs!$G$5:$G$120="acoes"))*Inputs!$B$1+((Inputs!$G$5:$G$120&lt;&gt;"moeda")*(Inputs!$G$5:$G$120&lt;&gt;"acoes")))*INDEX(Inputs!$K$5:$AJ$120,0,MATCH(X$2,Inputs!$K$4:$AJ$4,0)))+SUMPRODUCT((Inputs!$E$5:$E$120=$B43)*Inputs!$F$5:$F$120*(((Inputs!$G$5:$G$120="moeda")+(Inputs!$G$5:$G$120="acoes"))*Inputs!$B$1+((Inputs!$G$5:$G$120&lt;&gt;"moeda")*(Inputs!$G$5:$G$120&lt;&gt;"acoes")))*INDEX(Inputs!$K$5:$AJ$120,0,MATCH(X$2,Inputs!$K$4:$AJ$4,0)))))</f>
        <v>5490</v>
      </c>
      <c r="Y43" s="267">
        <f>IF(ISNA(MATCH(Y$2,Inputs!$K$4:$AJ$4,0)),NA(),IF(SUMPRODUCT((Inputs!$A$5:$A$120=$B43)*ISNUMBER(INDEX(Inputs!$K$5:$AJ$120,0,MATCH(Y$2,Inputs!$K$4:$AJ$4,0))))+SUMPRODUCT((Inputs!$C$5:$C$120=$B43)*ISNUMBER(INDEX(Inputs!$K$5:$AJ$120,0,MATCH(Y$2,Inputs!$K$4:$AJ$4,0))))+SUMPRODUCT((Inputs!$E$5:$E$120=$B43)*ISNUMBER(INDEX(Inputs!$K$5:$AJ$120,0,MATCH(Y$2,Inputs!$K$4:$AJ$4,0))))=0,NA(),SUMPRODUCT((Inputs!$A$5:$A$120=$B43)*Inputs!$B$5:$B$120*(((Inputs!$G$5:$G$120="moeda")+(Inputs!$G$5:$G$120="acoes"))*Inputs!$B$1+((Inputs!$G$5:$G$120&lt;&gt;"moeda")*(Inputs!$G$5:$G$120&lt;&gt;"acoes")))*INDEX(Inputs!$K$5:$AJ$120,0,MATCH(Y$2,Inputs!$K$4:$AJ$4,0)))+SUMPRODUCT((Inputs!$C$5:$C$120=$B43)*Inputs!$D$5:$D$120*(((Inputs!$G$5:$G$120="moeda")+(Inputs!$G$5:$G$120="acoes"))*Inputs!$B$1+((Inputs!$G$5:$G$120&lt;&gt;"moeda")*(Inputs!$G$5:$G$120&lt;&gt;"acoes")))*INDEX(Inputs!$K$5:$AJ$120,0,MATCH(Y$2,Inputs!$K$4:$AJ$4,0)))+SUMPRODUCT((Inputs!$E$5:$E$120=$B43)*Inputs!$F$5:$F$120*(((Inputs!$G$5:$G$120="moeda")+(Inputs!$G$5:$G$120="acoes"))*Inputs!$B$1+((Inputs!$G$5:$G$120&lt;&gt;"moeda")*(Inputs!$G$5:$G$120&lt;&gt;"acoes")))*INDEX(Inputs!$K$5:$AJ$120,0,MATCH(Y$2,Inputs!$K$4:$AJ$4,0)))))</f>
        <v>5502</v>
      </c>
      <c r="Z43" s="267">
        <f>IF(ISNA(MATCH(Z$2,Inputs!$K$4:$AJ$4,0)),NA(),IF(SUMPRODUCT((Inputs!$A$5:$A$120=$B43)*ISNUMBER(INDEX(Inputs!$K$5:$AJ$120,0,MATCH(Z$2,Inputs!$K$4:$AJ$4,0))))+SUMPRODUCT((Inputs!$C$5:$C$120=$B43)*ISNUMBER(INDEX(Inputs!$K$5:$AJ$120,0,MATCH(Z$2,Inputs!$K$4:$AJ$4,0))))+SUMPRODUCT((Inputs!$E$5:$E$120=$B43)*ISNUMBER(INDEX(Inputs!$K$5:$AJ$120,0,MATCH(Z$2,Inputs!$K$4:$AJ$4,0))))=0,NA(),SUMPRODUCT((Inputs!$A$5:$A$120=$B43)*Inputs!$B$5:$B$120*(((Inputs!$G$5:$G$120="moeda")+(Inputs!$G$5:$G$120="acoes"))*Inputs!$B$1+((Inputs!$G$5:$G$120&lt;&gt;"moeda")*(Inputs!$G$5:$G$120&lt;&gt;"acoes")))*INDEX(Inputs!$K$5:$AJ$120,0,MATCH(Z$2,Inputs!$K$4:$AJ$4,0)))+SUMPRODUCT((Inputs!$C$5:$C$120=$B43)*Inputs!$D$5:$D$120*(((Inputs!$G$5:$G$120="moeda")+(Inputs!$G$5:$G$120="acoes"))*Inputs!$B$1+((Inputs!$G$5:$G$120&lt;&gt;"moeda")*(Inputs!$G$5:$G$120&lt;&gt;"acoes")))*INDEX(Inputs!$K$5:$AJ$120,0,MATCH(Z$2,Inputs!$K$4:$AJ$4,0)))+SUMPRODUCT((Inputs!$E$5:$E$120=$B43)*Inputs!$F$5:$F$120*(((Inputs!$G$5:$G$120="moeda")+(Inputs!$G$5:$G$120="acoes"))*Inputs!$B$1+((Inputs!$G$5:$G$120&lt;&gt;"moeda")*(Inputs!$G$5:$G$120&lt;&gt;"acoes")))*INDEX(Inputs!$K$5:$AJ$120,0,MATCH(Z$2,Inputs!$K$4:$AJ$4,0)))))</f>
        <v>10871</v>
      </c>
      <c r="AA43" s="267">
        <f>IF(ISNA(MATCH(AA$2,Inputs!$K$4:$AJ$4,0)),NA(),IF(SUMPRODUCT((Inputs!$A$5:$A$120=$B43)*ISNUMBER(INDEX(Inputs!$K$5:$AJ$120,0,MATCH(AA$2,Inputs!$K$4:$AJ$4,0))))+SUMPRODUCT((Inputs!$C$5:$C$120=$B43)*ISNUMBER(INDEX(Inputs!$K$5:$AJ$120,0,MATCH(AA$2,Inputs!$K$4:$AJ$4,0))))+SUMPRODUCT((Inputs!$E$5:$E$120=$B43)*ISNUMBER(INDEX(Inputs!$K$5:$AJ$120,0,MATCH(AA$2,Inputs!$K$4:$AJ$4,0))))=0,NA(),SUMPRODUCT((Inputs!$A$5:$A$120=$B43)*Inputs!$B$5:$B$120*(((Inputs!$G$5:$G$120="moeda")+(Inputs!$G$5:$G$120="acoes"))*Inputs!$B$1+((Inputs!$G$5:$G$120&lt;&gt;"moeda")*(Inputs!$G$5:$G$120&lt;&gt;"acoes")))*INDEX(Inputs!$K$5:$AJ$120,0,MATCH(AA$2,Inputs!$K$4:$AJ$4,0)))+SUMPRODUCT((Inputs!$C$5:$C$120=$B43)*Inputs!$D$5:$D$120*(((Inputs!$G$5:$G$120="moeda")+(Inputs!$G$5:$G$120="acoes"))*Inputs!$B$1+((Inputs!$G$5:$G$120&lt;&gt;"moeda")*(Inputs!$G$5:$G$120&lt;&gt;"acoes")))*INDEX(Inputs!$K$5:$AJ$120,0,MATCH(AA$2,Inputs!$K$4:$AJ$4,0)))+SUMPRODUCT((Inputs!$E$5:$E$120=$B43)*Inputs!$F$5:$F$120*(((Inputs!$G$5:$G$120="moeda")+(Inputs!$G$5:$G$120="acoes"))*Inputs!$B$1+((Inputs!$G$5:$G$120&lt;&gt;"moeda")*(Inputs!$G$5:$G$120&lt;&gt;"acoes")))*INDEX(Inputs!$K$5:$AJ$120,0,MATCH(AA$2,Inputs!$K$4:$AJ$4,0)))))</f>
        <v>9841</v>
      </c>
      <c r="AB43" s="268">
        <f>AA43</f>
        <v>9841</v>
      </c>
      <c r="AC43" s="267">
        <f>IF(ISNA(MATCH(AC$2,Inputs!$K$4:$AJ$4,0)),NA(),IF(SUMPRODUCT((Inputs!$A$5:$A$120=$B43)*ISNUMBER(INDEX(Inputs!$K$5:$AJ$120,0,MATCH(AC$2,Inputs!$K$4:$AJ$4,0))))+SUMPRODUCT((Inputs!$C$5:$C$120=$B43)*ISNUMBER(INDEX(Inputs!$K$5:$AJ$120,0,MATCH(AC$2,Inputs!$K$4:$AJ$4,0))))+SUMPRODUCT((Inputs!$E$5:$E$120=$B43)*ISNUMBER(INDEX(Inputs!$K$5:$AJ$120,0,MATCH(AC$2,Inputs!$K$4:$AJ$4,0))))=0,NA(),SUMPRODUCT((Inputs!$A$5:$A$120=$B43)*Inputs!$B$5:$B$120*(((Inputs!$G$5:$G$120="moeda")+(Inputs!$G$5:$G$120="acoes"))*Inputs!$B$1+((Inputs!$G$5:$G$120&lt;&gt;"moeda")*(Inputs!$G$5:$G$120&lt;&gt;"acoes")))*INDEX(Inputs!$K$5:$AJ$120,0,MATCH(AC$2,Inputs!$K$4:$AJ$4,0)))+SUMPRODUCT((Inputs!$C$5:$C$120=$B43)*Inputs!$D$5:$D$120*(((Inputs!$G$5:$G$120="moeda")+(Inputs!$G$5:$G$120="acoes"))*Inputs!$B$1+((Inputs!$G$5:$G$120&lt;&gt;"moeda")*(Inputs!$G$5:$G$120&lt;&gt;"acoes")))*INDEX(Inputs!$K$5:$AJ$120,0,MATCH(AC$2,Inputs!$K$4:$AJ$4,0)))+SUMPRODUCT((Inputs!$E$5:$E$120=$B43)*Inputs!$F$5:$F$120*(((Inputs!$G$5:$G$120="moeda")+(Inputs!$G$5:$G$120="acoes"))*Inputs!$B$1+((Inputs!$G$5:$G$120&lt;&gt;"moeda")*(Inputs!$G$5:$G$120&lt;&gt;"acoes")))*INDEX(Inputs!$K$5:$AJ$120,0,MATCH(AC$2,Inputs!$K$4:$AJ$4,0)))))</f>
        <v>9811</v>
      </c>
      <c r="AD43" s="267">
        <f>IF(ISNA(MATCH(AD$2,Inputs!$K$4:$AJ$4,0)),NA(),IF(SUMPRODUCT((Inputs!$A$5:$A$120=$B43)*ISNUMBER(INDEX(Inputs!$K$5:$AJ$120,0,MATCH(AD$2,Inputs!$K$4:$AJ$4,0))))+SUMPRODUCT((Inputs!$C$5:$C$120=$B43)*ISNUMBER(INDEX(Inputs!$K$5:$AJ$120,0,MATCH(AD$2,Inputs!$K$4:$AJ$4,0))))+SUMPRODUCT((Inputs!$E$5:$E$120=$B43)*ISNUMBER(INDEX(Inputs!$K$5:$AJ$120,0,MATCH(AD$2,Inputs!$K$4:$AJ$4,0))))=0,NA(),SUMPRODUCT((Inputs!$A$5:$A$120=$B43)*Inputs!$B$5:$B$120*(((Inputs!$G$5:$G$120="moeda")+(Inputs!$G$5:$G$120="acoes"))*Inputs!$B$1+((Inputs!$G$5:$G$120&lt;&gt;"moeda")*(Inputs!$G$5:$G$120&lt;&gt;"acoes")))*INDEX(Inputs!$K$5:$AJ$120,0,MATCH(AD$2,Inputs!$K$4:$AJ$4,0)))+SUMPRODUCT((Inputs!$C$5:$C$120=$B43)*Inputs!$D$5:$D$120*(((Inputs!$G$5:$G$120="moeda")+(Inputs!$G$5:$G$120="acoes"))*Inputs!$B$1+((Inputs!$G$5:$G$120&lt;&gt;"moeda")*(Inputs!$G$5:$G$120&lt;&gt;"acoes")))*INDEX(Inputs!$K$5:$AJ$120,0,MATCH(AD$2,Inputs!$K$4:$AJ$4,0)))+SUMPRODUCT((Inputs!$E$5:$E$120=$B43)*Inputs!$F$5:$F$120*(((Inputs!$G$5:$G$120="moeda")+(Inputs!$G$5:$G$120="acoes"))*Inputs!$B$1+((Inputs!$G$5:$G$120&lt;&gt;"moeda")*(Inputs!$G$5:$G$120&lt;&gt;"acoes")))*INDEX(Inputs!$K$5:$AJ$120,0,MATCH(AD$2,Inputs!$K$4:$AJ$4,0)))))</f>
        <v>9838</v>
      </c>
      <c r="AE43" s="267" t="e">
        <f>IF(ISNA(MATCH(AE$2,Inputs!$K$4:$AJ$4,0)),NA(),IF(SUMPRODUCT((Inputs!$A$5:$A$120=$B43)*ISNUMBER(INDEX(Inputs!$K$5:$AJ$120,0,MATCH(AE$2,Inputs!$K$4:$AJ$4,0))))+SUMPRODUCT((Inputs!$C$5:$C$120=$B43)*ISNUMBER(INDEX(Inputs!$K$5:$AJ$120,0,MATCH(AE$2,Inputs!$K$4:$AJ$4,0))))+SUMPRODUCT((Inputs!$E$5:$E$120=$B43)*ISNUMBER(INDEX(Inputs!$K$5:$AJ$120,0,MATCH(AE$2,Inputs!$K$4:$AJ$4,0))))=0,NA(),SUMPRODUCT((Inputs!$A$5:$A$120=$B43)*Inputs!$B$5:$B$120*(((Inputs!$G$5:$G$120="moeda")+(Inputs!$G$5:$G$120="acoes"))*Inputs!$B$1+((Inputs!$G$5:$G$120&lt;&gt;"moeda")*(Inputs!$G$5:$G$120&lt;&gt;"acoes")))*INDEX(Inputs!$K$5:$AJ$120,0,MATCH(AE$2,Inputs!$K$4:$AJ$4,0)))+SUMPRODUCT((Inputs!$C$5:$C$120=$B43)*Inputs!$D$5:$D$120*(((Inputs!$G$5:$G$120="moeda")+(Inputs!$G$5:$G$120="acoes"))*Inputs!$B$1+((Inputs!$G$5:$G$120&lt;&gt;"moeda")*(Inputs!$G$5:$G$120&lt;&gt;"acoes")))*INDEX(Inputs!$K$5:$AJ$120,0,MATCH(AE$2,Inputs!$K$4:$AJ$4,0)))+SUMPRODUCT((Inputs!$E$5:$E$120=$B43)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3" s="267" t="e">
        <f>IF(ISNA(MATCH(AF$2,Inputs!$K$4:$AJ$4,0)),NA(),IF(SUMPRODUCT((Inputs!$A$5:$A$120=$B43)*ISNUMBER(INDEX(Inputs!$K$5:$AJ$120,0,MATCH(AF$2,Inputs!$K$4:$AJ$4,0))))+SUMPRODUCT((Inputs!$C$5:$C$120=$B43)*ISNUMBER(INDEX(Inputs!$K$5:$AJ$120,0,MATCH(AF$2,Inputs!$K$4:$AJ$4,0))))+SUMPRODUCT((Inputs!$E$5:$E$120=$B43)*ISNUMBER(INDEX(Inputs!$K$5:$AJ$120,0,MATCH(AF$2,Inputs!$K$4:$AJ$4,0))))=0,NA(),SUMPRODUCT((Inputs!$A$5:$A$120=$B43)*Inputs!$B$5:$B$120*(((Inputs!$G$5:$G$120="moeda")+(Inputs!$G$5:$G$120="acoes"))*Inputs!$B$1+((Inputs!$G$5:$G$120&lt;&gt;"moeda")*(Inputs!$G$5:$G$120&lt;&gt;"acoes")))*INDEX(Inputs!$K$5:$AJ$120,0,MATCH(AF$2,Inputs!$K$4:$AJ$4,0)))+SUMPRODUCT((Inputs!$C$5:$C$120=$B43)*Inputs!$D$5:$D$120*(((Inputs!$G$5:$G$120="moeda")+(Inputs!$G$5:$G$120="acoes"))*Inputs!$B$1+((Inputs!$G$5:$G$120&lt;&gt;"moeda")*(Inputs!$G$5:$G$120&lt;&gt;"acoes")))*INDEX(Inputs!$K$5:$AJ$120,0,MATCH(AF$2,Inputs!$K$4:$AJ$4,0)))+SUMPRODUCT((Inputs!$E$5:$E$120=$B43)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3" s="268" t="e">
        <f>AF43</f>
        <v>#N/A</v>
      </c>
      <c r="AH43" s="267">
        <f>IF(ISNA(MATCH(AH$2,Inputs!$K$4:$AJ$4,0)),NA(),IF(SUMPRODUCT((Inputs!$A$5:$A$120=$B43)*ISNUMBER(INDEX(Inputs!$K$5:$AJ$120,0,MATCH(AH$2,Inputs!$K$4:$AJ$4,0))))+SUMPRODUCT((Inputs!$C$5:$C$120=$B43)*ISNUMBER(INDEX(Inputs!$K$5:$AJ$120,0,MATCH(AH$2,Inputs!$K$4:$AJ$4,0))))+SUMPRODUCT((Inputs!$E$5:$E$120=$B43)*ISNUMBER(INDEX(Inputs!$K$5:$AJ$120,0,MATCH(AH$2,Inputs!$K$4:$AJ$4,0))))=0,NA(),SUMPRODUCT((Inputs!$A$5:$A$120=$B43)*Inputs!$B$5:$B$120*(((Inputs!$G$5:$G$120="moeda")+(Inputs!$G$5:$G$120="acoes"))*Inputs!$B$1+((Inputs!$G$5:$G$120&lt;&gt;"moeda")*(Inputs!$G$5:$G$120&lt;&gt;"acoes")))*INDEX(Inputs!$K$5:$AJ$120,0,MATCH(AH$2,Inputs!$K$4:$AJ$4,0)))+SUMPRODUCT((Inputs!$C$5:$C$120=$B43)*Inputs!$D$5:$D$120*(((Inputs!$G$5:$G$120="moeda")+(Inputs!$G$5:$G$120="acoes"))*Inputs!$B$1+((Inputs!$G$5:$G$120&lt;&gt;"moeda")*(Inputs!$G$5:$G$120&lt;&gt;"acoes")))*INDEX(Inputs!$K$5:$AJ$120,0,MATCH(AH$2,Inputs!$K$4:$AJ$4,0)))+SUMPRODUCT((Inputs!$E$5:$E$120=$B43)*Inputs!$F$5:$F$120*(((Inputs!$G$5:$G$120="moeda")+(Inputs!$G$5:$G$120="acoes"))*Inputs!$B$1+((Inputs!$G$5:$G$120&lt;&gt;"moeda")*(Inputs!$G$5:$G$120&lt;&gt;"acoes")))*INDEX(Inputs!$K$5:$AJ$120,0,MATCH(AH$2,Inputs!$K$4:$AJ$4,0)))))</f>
        <v>5345</v>
      </c>
      <c r="AI43" s="267">
        <f>IF(ISNA(MATCH(AI$2,Inputs!$K$4:$AJ$4,0)),NA(),IF(SUMPRODUCT((Inputs!$A$5:$A$120=$B43)*ISNUMBER(INDEX(Inputs!$K$5:$AJ$120,0,MATCH(AI$2,Inputs!$K$4:$AJ$4,0))))+SUMPRODUCT((Inputs!$C$5:$C$120=$B43)*ISNUMBER(INDEX(Inputs!$K$5:$AJ$120,0,MATCH(AI$2,Inputs!$K$4:$AJ$4,0))))+SUMPRODUCT((Inputs!$E$5:$E$120=$B43)*ISNUMBER(INDEX(Inputs!$K$5:$AJ$120,0,MATCH(AI$2,Inputs!$K$4:$AJ$4,0))))=0,NA(),SUMPRODUCT((Inputs!$A$5:$A$120=$B43)*Inputs!$B$5:$B$120*(((Inputs!$G$5:$G$120="moeda")+(Inputs!$G$5:$G$120="acoes"))*Inputs!$B$1+((Inputs!$G$5:$G$120&lt;&gt;"moeda")*(Inputs!$G$5:$G$120&lt;&gt;"acoes")))*INDEX(Inputs!$K$5:$AJ$120,0,MATCH(AI$2,Inputs!$K$4:$AJ$4,0)))+SUMPRODUCT((Inputs!$C$5:$C$120=$B43)*Inputs!$D$5:$D$120*(((Inputs!$G$5:$G$120="moeda")+(Inputs!$G$5:$G$120="acoes"))*Inputs!$B$1+((Inputs!$G$5:$G$120&lt;&gt;"moeda")*(Inputs!$G$5:$G$120&lt;&gt;"acoes")))*INDEX(Inputs!$K$5:$AJ$120,0,MATCH(AI$2,Inputs!$K$4:$AJ$4,0)))+SUMPRODUCT((Inputs!$E$5:$E$120=$B43)*Inputs!$F$5:$F$120*(((Inputs!$G$5:$G$120="moeda")+(Inputs!$G$5:$G$120="acoes"))*Inputs!$B$1+((Inputs!$G$5:$G$120&lt;&gt;"moeda")*(Inputs!$G$5:$G$120&lt;&gt;"acoes")))*INDEX(Inputs!$K$5:$AJ$120,0,MATCH(AI$2,Inputs!$K$4:$AJ$4,0)))))</f>
        <v>5357</v>
      </c>
      <c r="AJ43" s="267">
        <f>IF(ISNA(MATCH(AJ$2,Inputs!$K$4:$AJ$4,0)),NA(),IF(SUMPRODUCT((Inputs!$A$5:$A$120=$B43)*ISNUMBER(INDEX(Inputs!$K$5:$AJ$120,0,MATCH(AJ$2,Inputs!$K$4:$AJ$4,0))))+SUMPRODUCT((Inputs!$C$5:$C$120=$B43)*ISNUMBER(INDEX(Inputs!$K$5:$AJ$120,0,MATCH(AJ$2,Inputs!$K$4:$AJ$4,0))))+SUMPRODUCT((Inputs!$E$5:$E$120=$B43)*ISNUMBER(INDEX(Inputs!$K$5:$AJ$120,0,MATCH(AJ$2,Inputs!$K$4:$AJ$4,0))))=0,NA(),SUMPRODUCT((Inputs!$A$5:$A$120=$B43)*Inputs!$B$5:$B$120*(((Inputs!$G$5:$G$120="moeda")+(Inputs!$G$5:$G$120="acoes"))*Inputs!$B$1+((Inputs!$G$5:$G$120&lt;&gt;"moeda")*(Inputs!$G$5:$G$120&lt;&gt;"acoes")))*INDEX(Inputs!$K$5:$AJ$120,0,MATCH(AJ$2,Inputs!$K$4:$AJ$4,0)))+SUMPRODUCT((Inputs!$C$5:$C$120=$B43)*Inputs!$D$5:$D$120*(((Inputs!$G$5:$G$120="moeda")+(Inputs!$G$5:$G$120="acoes"))*Inputs!$B$1+((Inputs!$G$5:$G$120&lt;&gt;"moeda")*(Inputs!$G$5:$G$120&lt;&gt;"acoes")))*INDEX(Inputs!$K$5:$AJ$120,0,MATCH(AJ$2,Inputs!$K$4:$AJ$4,0)))+SUMPRODUCT((Inputs!$E$5:$E$120=$B43)*Inputs!$F$5:$F$120*(((Inputs!$G$5:$G$120="moeda")+(Inputs!$G$5:$G$120="acoes"))*Inputs!$B$1+((Inputs!$G$5:$G$120&lt;&gt;"moeda")*(Inputs!$G$5:$G$120&lt;&gt;"acoes")))*INDEX(Inputs!$K$5:$AJ$120,0,MATCH(AJ$2,Inputs!$K$4:$AJ$4,0)))))</f>
        <v>5377</v>
      </c>
      <c r="AK43" s="267">
        <f>IF(ISNA(MATCH(AK$2,Inputs!$K$4:$AJ$4,0)),NA(),IF(SUMPRODUCT((Inputs!$A$5:$A$120=$B43)*ISNUMBER(INDEX(Inputs!$K$5:$AJ$120,0,MATCH(AK$2,Inputs!$K$4:$AJ$4,0))))+SUMPRODUCT((Inputs!$C$5:$C$120=$B43)*ISNUMBER(INDEX(Inputs!$K$5:$AJ$120,0,MATCH(AK$2,Inputs!$K$4:$AJ$4,0))))+SUMPRODUCT((Inputs!$E$5:$E$120=$B43)*ISNUMBER(INDEX(Inputs!$K$5:$AJ$120,0,MATCH(AK$2,Inputs!$K$4:$AJ$4,0))))=0,NA(),SUMPRODUCT((Inputs!$A$5:$A$120=$B43)*Inputs!$B$5:$B$120*(((Inputs!$G$5:$G$120="moeda")+(Inputs!$G$5:$G$120="acoes"))*Inputs!$B$1+((Inputs!$G$5:$G$120&lt;&gt;"moeda")*(Inputs!$G$5:$G$120&lt;&gt;"acoes")))*INDEX(Inputs!$K$5:$AJ$120,0,MATCH(AK$2,Inputs!$K$4:$AJ$4,0)))+SUMPRODUCT((Inputs!$C$5:$C$120=$B43)*Inputs!$D$5:$D$120*(((Inputs!$G$5:$G$120="moeda")+(Inputs!$G$5:$G$120="acoes"))*Inputs!$B$1+((Inputs!$G$5:$G$120&lt;&gt;"moeda")*(Inputs!$G$5:$G$120&lt;&gt;"acoes")))*INDEX(Inputs!$K$5:$AJ$120,0,MATCH(AK$2,Inputs!$K$4:$AJ$4,0)))+SUMPRODUCT((Inputs!$E$5:$E$120=$B43)*Inputs!$F$5:$F$120*(((Inputs!$G$5:$G$120="moeda")+(Inputs!$G$5:$G$120="acoes"))*Inputs!$B$1+((Inputs!$G$5:$G$120&lt;&gt;"moeda")*(Inputs!$G$5:$G$120&lt;&gt;"acoes")))*INDEX(Inputs!$K$5:$AJ$120,0,MATCH(AK$2,Inputs!$K$4:$AJ$4,0)))))</f>
        <v>5409</v>
      </c>
      <c r="AL43" s="268">
        <f>AK43</f>
        <v>5409</v>
      </c>
    </row>
    <row r="44" ht="12.75" customHeight="1" s="255">
      <c r="B44" s="265" t="n">
        <v>38</v>
      </c>
      <c r="C44" s="270" t="inlineStr">
        <is>
          <t>Treasury stock (contra account)</t>
        </is>
      </c>
      <c r="D44" s="267">
        <f>IF(ISNA(MATCH(D$2,Inputs!$K$4:$AJ$4,0)),NA(),IF(SUMPRODUCT((Inputs!$A$5:$A$120=$B44)*ISNUMBER(INDEX(Inputs!$K$5:$AJ$120,0,MATCH(D$2,Inputs!$K$4:$AJ$4,0))))+SUMPRODUCT((Inputs!$C$5:$C$120=$B44)*ISNUMBER(INDEX(Inputs!$K$5:$AJ$120,0,MATCH(D$2,Inputs!$K$4:$AJ$4,0))))+SUMPRODUCT((Inputs!$E$5:$E$120=$B44)*ISNUMBER(INDEX(Inputs!$K$5:$AJ$120,0,MATCH(D$2,Inputs!$K$4:$AJ$4,0))))=0,NA(),SUMPRODUCT((Inputs!$A$5:$A$120=$B44)*Inputs!$B$5:$B$120*(((Inputs!$G$5:$G$120="moeda")+(Inputs!$G$5:$G$120="acoes"))*Inputs!$B$1+((Inputs!$G$5:$G$120&lt;&gt;"moeda")*(Inputs!$G$5:$G$120&lt;&gt;"acoes")))*INDEX(Inputs!$K$5:$AJ$120,0,MATCH(D$2,Inputs!$K$4:$AJ$4,0)))+SUMPRODUCT((Inputs!$C$5:$C$120=$B44)*Inputs!$D$5:$D$120*(((Inputs!$G$5:$G$120="moeda")+(Inputs!$G$5:$G$120="acoes"))*Inputs!$B$1+((Inputs!$G$5:$G$120&lt;&gt;"moeda")*(Inputs!$G$5:$G$120&lt;&gt;"acoes")))*INDEX(Inputs!$K$5:$AJ$120,0,MATCH(D$2,Inputs!$K$4:$AJ$4,0)))+SUMPRODUCT((Inputs!$E$5:$E$120=$B44)*Inputs!$F$5:$F$120*(((Inputs!$G$5:$G$120="moeda")+(Inputs!$G$5:$G$120="acoes"))*Inputs!$B$1+((Inputs!$G$5:$G$120&lt;&gt;"moeda")*(Inputs!$G$5:$G$120&lt;&gt;"acoes")))*INDEX(Inputs!$K$5:$AJ$120,0,MATCH(D$2,Inputs!$K$4:$AJ$4,0)))))</f>
        <v>-1020</v>
      </c>
      <c r="E44" s="267">
        <f>IF(ISNA(MATCH(E$2,Inputs!$K$4:$AJ$4,0)),NA(),IF(SUMPRODUCT((Inputs!$A$5:$A$120=$B44)*ISNUMBER(INDEX(Inputs!$K$5:$AJ$120,0,MATCH(E$2,Inputs!$K$4:$AJ$4,0))))+SUMPRODUCT((Inputs!$C$5:$C$120=$B44)*ISNUMBER(INDEX(Inputs!$K$5:$AJ$120,0,MATCH(E$2,Inputs!$K$4:$AJ$4,0))))+SUMPRODUCT((Inputs!$E$5:$E$120=$B44)*ISNUMBER(INDEX(Inputs!$K$5:$AJ$120,0,MATCH(E$2,Inputs!$K$4:$AJ$4,0))))=0,NA(),SUMPRODUCT((Inputs!$A$5:$A$120=$B44)*Inputs!$B$5:$B$120*(((Inputs!$G$5:$G$120="moeda")+(Inputs!$G$5:$G$120="acoes"))*Inputs!$B$1+((Inputs!$G$5:$G$120&lt;&gt;"moeda")*(Inputs!$G$5:$G$120&lt;&gt;"acoes")))*INDEX(Inputs!$K$5:$AJ$120,0,MATCH(E$2,Inputs!$K$4:$AJ$4,0)))+SUMPRODUCT((Inputs!$C$5:$C$120=$B44)*Inputs!$D$5:$D$120*(((Inputs!$G$5:$G$120="moeda")+(Inputs!$G$5:$G$120="acoes"))*Inputs!$B$1+((Inputs!$G$5:$G$120&lt;&gt;"moeda")*(Inputs!$G$5:$G$120&lt;&gt;"acoes")))*INDEX(Inputs!$K$5:$AJ$120,0,MATCH(E$2,Inputs!$K$4:$AJ$4,0)))+SUMPRODUCT((Inputs!$E$5:$E$120=$B44)*Inputs!$F$5:$F$120*(((Inputs!$G$5:$G$120="moeda")+(Inputs!$G$5:$G$120="acoes"))*Inputs!$B$1+((Inputs!$G$5:$G$120&lt;&gt;"moeda")*(Inputs!$G$5:$G$120&lt;&gt;"acoes")))*INDEX(Inputs!$K$5:$AJ$120,0,MATCH(E$2,Inputs!$K$4:$AJ$4,0)))))</f>
        <v>-1020</v>
      </c>
      <c r="F44" s="267">
        <f>IF(ISNA(MATCH(F$2,Inputs!$K$4:$AJ$4,0)),NA(),IF(SUMPRODUCT((Inputs!$A$5:$A$120=$B44)*ISNUMBER(INDEX(Inputs!$K$5:$AJ$120,0,MATCH(F$2,Inputs!$K$4:$AJ$4,0))))+SUMPRODUCT((Inputs!$C$5:$C$120=$B44)*ISNUMBER(INDEX(Inputs!$K$5:$AJ$120,0,MATCH(F$2,Inputs!$K$4:$AJ$4,0))))+SUMPRODUCT((Inputs!$E$5:$E$120=$B44)*ISNUMBER(INDEX(Inputs!$K$5:$AJ$120,0,MATCH(F$2,Inputs!$K$4:$AJ$4,0))))=0,NA(),SUMPRODUCT((Inputs!$A$5:$A$120=$B44)*Inputs!$B$5:$B$120*(((Inputs!$G$5:$G$120="moeda")+(Inputs!$G$5:$G$120="acoes"))*Inputs!$B$1+((Inputs!$G$5:$G$120&lt;&gt;"moeda")*(Inputs!$G$5:$G$120&lt;&gt;"acoes")))*INDEX(Inputs!$K$5:$AJ$120,0,MATCH(F$2,Inputs!$K$4:$AJ$4,0)))+SUMPRODUCT((Inputs!$C$5:$C$120=$B44)*Inputs!$D$5:$D$120*(((Inputs!$G$5:$G$120="moeda")+(Inputs!$G$5:$G$120="acoes"))*Inputs!$B$1+((Inputs!$G$5:$G$120&lt;&gt;"moeda")*(Inputs!$G$5:$G$120&lt;&gt;"acoes")))*INDEX(Inputs!$K$5:$AJ$120,0,MATCH(F$2,Inputs!$K$4:$AJ$4,0)))+SUMPRODUCT((Inputs!$E$5:$E$120=$B44)*Inputs!$F$5:$F$120*(((Inputs!$G$5:$G$120="moeda")+(Inputs!$G$5:$G$120="acoes"))*Inputs!$B$1+((Inputs!$G$5:$G$120&lt;&gt;"moeda")*(Inputs!$G$5:$G$120&lt;&gt;"acoes")))*INDEX(Inputs!$K$5:$AJ$120,0,MATCH(F$2,Inputs!$K$4:$AJ$4,0)))))</f>
        <v>-1120</v>
      </c>
      <c r="G44" s="267">
        <f>IF(ISNA(MATCH(G$2,Inputs!$K$4:$AJ$4,0)),NA(),IF(SUMPRODUCT((Inputs!$A$5:$A$120=$B44)*ISNUMBER(INDEX(Inputs!$K$5:$AJ$120,0,MATCH(G$2,Inputs!$K$4:$AJ$4,0))))+SUMPRODUCT((Inputs!$C$5:$C$120=$B44)*ISNUMBER(INDEX(Inputs!$K$5:$AJ$120,0,MATCH(G$2,Inputs!$K$4:$AJ$4,0))))+SUMPRODUCT((Inputs!$E$5:$E$120=$B44)*ISNUMBER(INDEX(Inputs!$K$5:$AJ$120,0,MATCH(G$2,Inputs!$K$4:$AJ$4,0))))=0,NA(),SUMPRODUCT((Inputs!$A$5:$A$120=$B44)*Inputs!$B$5:$B$120*(((Inputs!$G$5:$G$120="moeda")+(Inputs!$G$5:$G$120="acoes"))*Inputs!$B$1+((Inputs!$G$5:$G$120&lt;&gt;"moeda")*(Inputs!$G$5:$G$120&lt;&gt;"acoes")))*INDEX(Inputs!$K$5:$AJ$120,0,MATCH(G$2,Inputs!$K$4:$AJ$4,0)))+SUMPRODUCT((Inputs!$C$5:$C$120=$B44)*Inputs!$D$5:$D$120*(((Inputs!$G$5:$G$120="moeda")+(Inputs!$G$5:$G$120="acoes"))*Inputs!$B$1+((Inputs!$G$5:$G$120&lt;&gt;"moeda")*(Inputs!$G$5:$G$120&lt;&gt;"acoes")))*INDEX(Inputs!$K$5:$AJ$120,0,MATCH(G$2,Inputs!$K$4:$AJ$4,0)))+SUMPRODUCT((Inputs!$E$5:$E$120=$B44)*Inputs!$F$5:$F$120*(((Inputs!$G$5:$G$120="moeda")+(Inputs!$G$5:$G$120="acoes"))*Inputs!$B$1+((Inputs!$G$5:$G$120&lt;&gt;"moeda")*(Inputs!$G$5:$G$120&lt;&gt;"acoes")))*INDEX(Inputs!$K$5:$AJ$120,0,MATCH(G$2,Inputs!$K$4:$AJ$4,0)))))</f>
        <v>-1120</v>
      </c>
      <c r="H44" s="268">
        <f>G44</f>
        <v>-1120</v>
      </c>
      <c r="I44" s="267">
        <f>IF(ISNA(MATCH(I$2,Inputs!$K$4:$AJ$4,0)),NA(),IF(SUMPRODUCT((Inputs!$A$5:$A$120=$B44)*ISNUMBER(INDEX(Inputs!$K$5:$AJ$120,0,MATCH(I$2,Inputs!$K$4:$AJ$4,0))))+SUMPRODUCT((Inputs!$C$5:$C$120=$B44)*ISNUMBER(INDEX(Inputs!$K$5:$AJ$120,0,MATCH(I$2,Inputs!$K$4:$AJ$4,0))))+SUMPRODUCT((Inputs!$E$5:$E$120=$B44)*ISNUMBER(INDEX(Inputs!$K$5:$AJ$120,0,MATCH(I$2,Inputs!$K$4:$AJ$4,0))))=0,NA(),SUMPRODUCT((Inputs!$A$5:$A$120=$B44)*Inputs!$B$5:$B$120*(((Inputs!$G$5:$G$120="moeda")+(Inputs!$G$5:$G$120="acoes"))*Inputs!$B$1+((Inputs!$G$5:$G$120&lt;&gt;"moeda")*(Inputs!$G$5:$G$120&lt;&gt;"acoes")))*INDEX(Inputs!$K$5:$AJ$120,0,MATCH(I$2,Inputs!$K$4:$AJ$4,0)))+SUMPRODUCT((Inputs!$C$5:$C$120=$B44)*Inputs!$D$5:$D$120*(((Inputs!$G$5:$G$120="moeda")+(Inputs!$G$5:$G$120="acoes"))*Inputs!$B$1+((Inputs!$G$5:$G$120&lt;&gt;"moeda")*(Inputs!$G$5:$G$120&lt;&gt;"acoes")))*INDEX(Inputs!$K$5:$AJ$120,0,MATCH(I$2,Inputs!$K$4:$AJ$4,0)))+SUMPRODUCT((Inputs!$E$5:$E$120=$B44)*Inputs!$F$5:$F$120*(((Inputs!$G$5:$G$120="moeda")+(Inputs!$G$5:$G$120="acoes"))*Inputs!$B$1+((Inputs!$G$5:$G$120&lt;&gt;"moeda")*(Inputs!$G$5:$G$120&lt;&gt;"acoes")))*INDEX(Inputs!$K$5:$AJ$120,0,MATCH(I$2,Inputs!$K$4:$AJ$4,0)))))</f>
        <v>-1120</v>
      </c>
      <c r="J44" s="267">
        <f>IF(ISNA(MATCH(J$2,Inputs!$K$4:$AJ$4,0)),NA(),IF(SUMPRODUCT((Inputs!$A$5:$A$120=$B44)*ISNUMBER(INDEX(Inputs!$K$5:$AJ$120,0,MATCH(J$2,Inputs!$K$4:$AJ$4,0))))+SUMPRODUCT((Inputs!$C$5:$C$120=$B44)*ISNUMBER(INDEX(Inputs!$K$5:$AJ$120,0,MATCH(J$2,Inputs!$K$4:$AJ$4,0))))+SUMPRODUCT((Inputs!$E$5:$E$120=$B44)*ISNUMBER(INDEX(Inputs!$K$5:$AJ$120,0,MATCH(J$2,Inputs!$K$4:$AJ$4,0))))=0,NA(),SUMPRODUCT((Inputs!$A$5:$A$120=$B44)*Inputs!$B$5:$B$120*(((Inputs!$G$5:$G$120="moeda")+(Inputs!$G$5:$G$120="acoes"))*Inputs!$B$1+((Inputs!$G$5:$G$120&lt;&gt;"moeda")*(Inputs!$G$5:$G$120&lt;&gt;"acoes")))*INDEX(Inputs!$K$5:$AJ$120,0,MATCH(J$2,Inputs!$K$4:$AJ$4,0)))+SUMPRODUCT((Inputs!$C$5:$C$120=$B44)*Inputs!$D$5:$D$120*(((Inputs!$G$5:$G$120="moeda")+(Inputs!$G$5:$G$120="acoes"))*Inputs!$B$1+((Inputs!$G$5:$G$120&lt;&gt;"moeda")*(Inputs!$G$5:$G$120&lt;&gt;"acoes")))*INDEX(Inputs!$K$5:$AJ$120,0,MATCH(J$2,Inputs!$K$4:$AJ$4,0)))+SUMPRODUCT((Inputs!$E$5:$E$120=$B44)*Inputs!$F$5:$F$120*(((Inputs!$G$5:$G$120="moeda")+(Inputs!$G$5:$G$120="acoes"))*Inputs!$B$1+((Inputs!$G$5:$G$120&lt;&gt;"moeda")*(Inputs!$G$5:$G$120&lt;&gt;"acoes")))*INDEX(Inputs!$K$5:$AJ$120,0,MATCH(J$2,Inputs!$K$4:$AJ$4,0)))))</f>
        <v>-1120</v>
      </c>
      <c r="K44" s="267">
        <f>IF(ISNA(MATCH(K$2,Inputs!$K$4:$AJ$4,0)),NA(),IF(SUMPRODUCT((Inputs!$A$5:$A$120=$B44)*ISNUMBER(INDEX(Inputs!$K$5:$AJ$120,0,MATCH(K$2,Inputs!$K$4:$AJ$4,0))))+SUMPRODUCT((Inputs!$C$5:$C$120=$B44)*ISNUMBER(INDEX(Inputs!$K$5:$AJ$120,0,MATCH(K$2,Inputs!$K$4:$AJ$4,0))))+SUMPRODUCT((Inputs!$E$5:$E$120=$B44)*ISNUMBER(INDEX(Inputs!$K$5:$AJ$120,0,MATCH(K$2,Inputs!$K$4:$AJ$4,0))))=0,NA(),SUMPRODUCT((Inputs!$A$5:$A$120=$B44)*Inputs!$B$5:$B$120*(((Inputs!$G$5:$G$120="moeda")+(Inputs!$G$5:$G$120="acoes"))*Inputs!$B$1+((Inputs!$G$5:$G$120&lt;&gt;"moeda")*(Inputs!$G$5:$G$120&lt;&gt;"acoes")))*INDEX(Inputs!$K$5:$AJ$120,0,MATCH(K$2,Inputs!$K$4:$AJ$4,0)))+SUMPRODUCT((Inputs!$C$5:$C$120=$B44)*Inputs!$D$5:$D$120*(((Inputs!$G$5:$G$120="moeda")+(Inputs!$G$5:$G$120="acoes"))*Inputs!$B$1+((Inputs!$G$5:$G$120&lt;&gt;"moeda")*(Inputs!$G$5:$G$120&lt;&gt;"acoes")))*INDEX(Inputs!$K$5:$AJ$120,0,MATCH(K$2,Inputs!$K$4:$AJ$4,0)))+SUMPRODUCT((Inputs!$E$5:$E$120=$B44)*Inputs!$F$5:$F$120*(((Inputs!$G$5:$G$120="moeda")+(Inputs!$G$5:$G$120="acoes"))*Inputs!$B$1+((Inputs!$G$5:$G$120&lt;&gt;"moeda")*(Inputs!$G$5:$G$120&lt;&gt;"acoes")))*INDEX(Inputs!$K$5:$AJ$120,0,MATCH(K$2,Inputs!$K$4:$AJ$4,0)))))</f>
        <v>-1320</v>
      </c>
      <c r="L44" s="267">
        <f>IF(ISNA(MATCH(L$2,Inputs!$K$4:$AJ$4,0)),NA(),IF(SUMPRODUCT((Inputs!$A$5:$A$120=$B44)*ISNUMBER(INDEX(Inputs!$K$5:$AJ$120,0,MATCH(L$2,Inputs!$K$4:$AJ$4,0))))+SUMPRODUCT((Inputs!$C$5:$C$120=$B44)*ISNUMBER(INDEX(Inputs!$K$5:$AJ$120,0,MATCH(L$2,Inputs!$K$4:$AJ$4,0))))+SUMPRODUCT((Inputs!$E$5:$E$120=$B44)*ISNUMBER(INDEX(Inputs!$K$5:$AJ$120,0,MATCH(L$2,Inputs!$K$4:$AJ$4,0))))=0,NA(),SUMPRODUCT((Inputs!$A$5:$A$120=$B44)*Inputs!$B$5:$B$120*(((Inputs!$G$5:$G$120="moeda")+(Inputs!$G$5:$G$120="acoes"))*Inputs!$B$1+((Inputs!$G$5:$G$120&lt;&gt;"moeda")*(Inputs!$G$5:$G$120&lt;&gt;"acoes")))*INDEX(Inputs!$K$5:$AJ$120,0,MATCH(L$2,Inputs!$K$4:$AJ$4,0)))+SUMPRODUCT((Inputs!$C$5:$C$120=$B44)*Inputs!$D$5:$D$120*(((Inputs!$G$5:$G$120="moeda")+(Inputs!$G$5:$G$120="acoes"))*Inputs!$B$1+((Inputs!$G$5:$G$120&lt;&gt;"moeda")*(Inputs!$G$5:$G$120&lt;&gt;"acoes")))*INDEX(Inputs!$K$5:$AJ$120,0,MATCH(L$2,Inputs!$K$4:$AJ$4,0)))+SUMPRODUCT((Inputs!$E$5:$E$120=$B44)*Inputs!$F$5:$F$120*(((Inputs!$G$5:$G$120="moeda")+(Inputs!$G$5:$G$120="acoes"))*Inputs!$B$1+((Inputs!$G$5:$G$120&lt;&gt;"moeda")*(Inputs!$G$5:$G$120&lt;&gt;"acoes")))*INDEX(Inputs!$K$5:$AJ$120,0,MATCH(L$2,Inputs!$K$4:$AJ$4,0)))))</f>
        <v>-1320</v>
      </c>
      <c r="M44" s="268">
        <f>L44</f>
        <v>-1320</v>
      </c>
      <c r="N44" s="267">
        <f>IF(ISNA(MATCH(N$2,Inputs!$K$4:$AJ$4,0)),NA(),IF(SUMPRODUCT((Inputs!$A$5:$A$120=$B44)*ISNUMBER(INDEX(Inputs!$K$5:$AJ$120,0,MATCH(N$2,Inputs!$K$4:$AJ$4,0))))+SUMPRODUCT((Inputs!$C$5:$C$120=$B44)*ISNUMBER(INDEX(Inputs!$K$5:$AJ$120,0,MATCH(N$2,Inputs!$K$4:$AJ$4,0))))+SUMPRODUCT((Inputs!$E$5:$E$120=$B44)*ISNUMBER(INDEX(Inputs!$K$5:$AJ$120,0,MATCH(N$2,Inputs!$K$4:$AJ$4,0))))=0,NA(),SUMPRODUCT((Inputs!$A$5:$A$120=$B44)*Inputs!$B$5:$B$120*(((Inputs!$G$5:$G$120="moeda")+(Inputs!$G$5:$G$120="acoes"))*Inputs!$B$1+((Inputs!$G$5:$G$120&lt;&gt;"moeda")*(Inputs!$G$5:$G$120&lt;&gt;"acoes")))*INDEX(Inputs!$K$5:$AJ$120,0,MATCH(N$2,Inputs!$K$4:$AJ$4,0)))+SUMPRODUCT((Inputs!$C$5:$C$120=$B44)*Inputs!$D$5:$D$120*(((Inputs!$G$5:$G$120="moeda")+(Inputs!$G$5:$G$120="acoes"))*Inputs!$B$1+((Inputs!$G$5:$G$120&lt;&gt;"moeda")*(Inputs!$G$5:$G$120&lt;&gt;"acoes")))*INDEX(Inputs!$K$5:$AJ$120,0,MATCH(N$2,Inputs!$K$4:$AJ$4,0)))+SUMPRODUCT((Inputs!$E$5:$E$120=$B44)*Inputs!$F$5:$F$120*(((Inputs!$G$5:$G$120="moeda")+(Inputs!$G$5:$G$120="acoes"))*Inputs!$B$1+((Inputs!$G$5:$G$120&lt;&gt;"moeda")*(Inputs!$G$5:$G$120&lt;&gt;"acoes")))*INDEX(Inputs!$K$5:$AJ$120,0,MATCH(N$2,Inputs!$K$4:$AJ$4,0)))))</f>
        <v>-1320</v>
      </c>
      <c r="O44" s="267">
        <f>IF(ISNA(MATCH(O$2,Inputs!$K$4:$AJ$4,0)),NA(),IF(SUMPRODUCT((Inputs!$A$5:$A$120=$B44)*ISNUMBER(INDEX(Inputs!$K$5:$AJ$120,0,MATCH(O$2,Inputs!$K$4:$AJ$4,0))))+SUMPRODUCT((Inputs!$C$5:$C$120=$B44)*ISNUMBER(INDEX(Inputs!$K$5:$AJ$120,0,MATCH(O$2,Inputs!$K$4:$AJ$4,0))))+SUMPRODUCT((Inputs!$E$5:$E$120=$B44)*ISNUMBER(INDEX(Inputs!$K$5:$AJ$120,0,MATCH(O$2,Inputs!$K$4:$AJ$4,0))))=0,NA(),SUMPRODUCT((Inputs!$A$5:$A$120=$B44)*Inputs!$B$5:$B$120*(((Inputs!$G$5:$G$120="moeda")+(Inputs!$G$5:$G$120="acoes"))*Inputs!$B$1+((Inputs!$G$5:$G$120&lt;&gt;"moeda")*(Inputs!$G$5:$G$120&lt;&gt;"acoes")))*INDEX(Inputs!$K$5:$AJ$120,0,MATCH(O$2,Inputs!$K$4:$AJ$4,0)))+SUMPRODUCT((Inputs!$C$5:$C$120=$B44)*Inputs!$D$5:$D$120*(((Inputs!$G$5:$G$120="moeda")+(Inputs!$G$5:$G$120="acoes"))*Inputs!$B$1+((Inputs!$G$5:$G$120&lt;&gt;"moeda")*(Inputs!$G$5:$G$120&lt;&gt;"acoes")))*INDEX(Inputs!$K$5:$AJ$120,0,MATCH(O$2,Inputs!$K$4:$AJ$4,0)))+SUMPRODUCT((Inputs!$E$5:$E$120=$B44)*Inputs!$F$5:$F$120*(((Inputs!$G$5:$G$120="moeda")+(Inputs!$G$5:$G$120="acoes"))*Inputs!$B$1+((Inputs!$G$5:$G$120&lt;&gt;"moeda")*(Inputs!$G$5:$G$120&lt;&gt;"acoes")))*INDEX(Inputs!$K$5:$AJ$120,0,MATCH(O$2,Inputs!$K$4:$AJ$4,0)))))</f>
        <v>-1320</v>
      </c>
      <c r="P44" s="267">
        <f>IF(ISNA(MATCH(P$2,Inputs!$K$4:$AJ$4,0)),NA(),IF(SUMPRODUCT((Inputs!$A$5:$A$120=$B44)*ISNUMBER(INDEX(Inputs!$K$5:$AJ$120,0,MATCH(P$2,Inputs!$K$4:$AJ$4,0))))+SUMPRODUCT((Inputs!$C$5:$C$120=$B44)*ISNUMBER(INDEX(Inputs!$K$5:$AJ$120,0,MATCH(P$2,Inputs!$K$4:$AJ$4,0))))+SUMPRODUCT((Inputs!$E$5:$E$120=$B44)*ISNUMBER(INDEX(Inputs!$K$5:$AJ$120,0,MATCH(P$2,Inputs!$K$4:$AJ$4,0))))=0,NA(),SUMPRODUCT((Inputs!$A$5:$A$120=$B44)*Inputs!$B$5:$B$120*(((Inputs!$G$5:$G$120="moeda")+(Inputs!$G$5:$G$120="acoes"))*Inputs!$B$1+((Inputs!$G$5:$G$120&lt;&gt;"moeda")*(Inputs!$G$5:$G$120&lt;&gt;"acoes")))*INDEX(Inputs!$K$5:$AJ$120,0,MATCH(P$2,Inputs!$K$4:$AJ$4,0)))+SUMPRODUCT((Inputs!$C$5:$C$120=$B44)*Inputs!$D$5:$D$120*(((Inputs!$G$5:$G$120="moeda")+(Inputs!$G$5:$G$120="acoes"))*Inputs!$B$1+((Inputs!$G$5:$G$120&lt;&gt;"moeda")*(Inputs!$G$5:$G$120&lt;&gt;"acoes")))*INDEX(Inputs!$K$5:$AJ$120,0,MATCH(P$2,Inputs!$K$4:$AJ$4,0)))+SUMPRODUCT((Inputs!$E$5:$E$120=$B44)*Inputs!$F$5:$F$120*(((Inputs!$G$5:$G$120="moeda")+(Inputs!$G$5:$G$120="acoes"))*Inputs!$B$1+((Inputs!$G$5:$G$120&lt;&gt;"moeda")*(Inputs!$G$5:$G$120&lt;&gt;"acoes")))*INDEX(Inputs!$K$5:$AJ$120,0,MATCH(P$2,Inputs!$K$4:$AJ$4,0)))))</f>
        <v>-1808</v>
      </c>
      <c r="Q44" s="267">
        <f>IF(ISNA(MATCH(Q$2,Inputs!$K$4:$AJ$4,0)),NA(),IF(SUMPRODUCT((Inputs!$A$5:$A$120=$B44)*ISNUMBER(INDEX(Inputs!$K$5:$AJ$120,0,MATCH(Q$2,Inputs!$K$4:$AJ$4,0))))+SUMPRODUCT((Inputs!$C$5:$C$120=$B44)*ISNUMBER(INDEX(Inputs!$K$5:$AJ$120,0,MATCH(Q$2,Inputs!$K$4:$AJ$4,0))))+SUMPRODUCT((Inputs!$E$5:$E$120=$B44)*ISNUMBER(INDEX(Inputs!$K$5:$AJ$120,0,MATCH(Q$2,Inputs!$K$4:$AJ$4,0))))=0,NA(),SUMPRODUCT((Inputs!$A$5:$A$120=$B44)*Inputs!$B$5:$B$120*(((Inputs!$G$5:$G$120="moeda")+(Inputs!$G$5:$G$120="acoes"))*Inputs!$B$1+((Inputs!$G$5:$G$120&lt;&gt;"moeda")*(Inputs!$G$5:$G$120&lt;&gt;"acoes")))*INDEX(Inputs!$K$5:$AJ$120,0,MATCH(Q$2,Inputs!$K$4:$AJ$4,0)))+SUMPRODUCT((Inputs!$C$5:$C$120=$B44)*Inputs!$D$5:$D$120*(((Inputs!$G$5:$G$120="moeda")+(Inputs!$G$5:$G$120="acoes"))*Inputs!$B$1+((Inputs!$G$5:$G$120&lt;&gt;"moeda")*(Inputs!$G$5:$G$120&lt;&gt;"acoes")))*INDEX(Inputs!$K$5:$AJ$120,0,MATCH(Q$2,Inputs!$K$4:$AJ$4,0)))+SUMPRODUCT((Inputs!$E$5:$E$120=$B44)*Inputs!$F$5:$F$120*(((Inputs!$G$5:$G$120="moeda")+(Inputs!$G$5:$G$120="acoes"))*Inputs!$B$1+((Inputs!$G$5:$G$120&lt;&gt;"moeda")*(Inputs!$G$5:$G$120&lt;&gt;"acoes")))*INDEX(Inputs!$K$5:$AJ$120,0,MATCH(Q$2,Inputs!$K$4:$AJ$4,0)))))</f>
        <v>-1073</v>
      </c>
      <c r="R44" s="268">
        <f>Q44</f>
        <v>-1073</v>
      </c>
      <c r="S44" s="267">
        <f>IF(ISNA(MATCH(S$2,Inputs!$K$4:$AJ$4,0)),NA(),IF(SUMPRODUCT((Inputs!$A$5:$A$120=$B44)*ISNUMBER(INDEX(Inputs!$K$5:$AJ$120,0,MATCH(S$2,Inputs!$K$4:$AJ$4,0))))+SUMPRODUCT((Inputs!$C$5:$C$120=$B44)*ISNUMBER(INDEX(Inputs!$K$5:$AJ$120,0,MATCH(S$2,Inputs!$K$4:$AJ$4,0))))+SUMPRODUCT((Inputs!$E$5:$E$120=$B44)*ISNUMBER(INDEX(Inputs!$K$5:$AJ$120,0,MATCH(S$2,Inputs!$K$4:$AJ$4,0))))=0,NA(),SUMPRODUCT((Inputs!$A$5:$A$120=$B44)*Inputs!$B$5:$B$120*(((Inputs!$G$5:$G$120="moeda")+(Inputs!$G$5:$G$120="acoes"))*Inputs!$B$1+((Inputs!$G$5:$G$120&lt;&gt;"moeda")*(Inputs!$G$5:$G$120&lt;&gt;"acoes")))*INDEX(Inputs!$K$5:$AJ$120,0,MATCH(S$2,Inputs!$K$4:$AJ$4,0)))+SUMPRODUCT((Inputs!$C$5:$C$120=$B44)*Inputs!$D$5:$D$120*(((Inputs!$G$5:$G$120="moeda")+(Inputs!$G$5:$G$120="acoes"))*Inputs!$B$1+((Inputs!$G$5:$G$120&lt;&gt;"moeda")*(Inputs!$G$5:$G$120&lt;&gt;"acoes")))*INDEX(Inputs!$K$5:$AJ$120,0,MATCH(S$2,Inputs!$K$4:$AJ$4,0)))+SUMPRODUCT((Inputs!$E$5:$E$120=$B44)*Inputs!$F$5:$F$120*(((Inputs!$G$5:$G$120="moeda")+(Inputs!$G$5:$G$120="acoes"))*Inputs!$B$1+((Inputs!$G$5:$G$120&lt;&gt;"moeda")*(Inputs!$G$5:$G$120&lt;&gt;"acoes")))*INDEX(Inputs!$K$5:$AJ$120,0,MATCH(S$2,Inputs!$K$4:$AJ$4,0)))))</f>
        <v>-1431</v>
      </c>
      <c r="T44" s="267">
        <f>IF(ISNA(MATCH(T$2,Inputs!$K$4:$AJ$4,0)),NA(),IF(SUMPRODUCT((Inputs!$A$5:$A$120=$B44)*ISNUMBER(INDEX(Inputs!$K$5:$AJ$120,0,MATCH(T$2,Inputs!$K$4:$AJ$4,0))))+SUMPRODUCT((Inputs!$C$5:$C$120=$B44)*ISNUMBER(INDEX(Inputs!$K$5:$AJ$120,0,MATCH(T$2,Inputs!$K$4:$AJ$4,0))))+SUMPRODUCT((Inputs!$E$5:$E$120=$B44)*ISNUMBER(INDEX(Inputs!$K$5:$AJ$120,0,MATCH(T$2,Inputs!$K$4:$AJ$4,0))))=0,NA(),SUMPRODUCT((Inputs!$A$5:$A$120=$B44)*Inputs!$B$5:$B$120*(((Inputs!$G$5:$G$120="moeda")+(Inputs!$G$5:$G$120="acoes"))*Inputs!$B$1+((Inputs!$G$5:$G$120&lt;&gt;"moeda")*(Inputs!$G$5:$G$120&lt;&gt;"acoes")))*INDEX(Inputs!$K$5:$AJ$120,0,MATCH(T$2,Inputs!$K$4:$AJ$4,0)))+SUMPRODUCT((Inputs!$C$5:$C$120=$B44)*Inputs!$D$5:$D$120*(((Inputs!$G$5:$G$120="moeda")+(Inputs!$G$5:$G$120="acoes"))*Inputs!$B$1+((Inputs!$G$5:$G$120&lt;&gt;"moeda")*(Inputs!$G$5:$G$120&lt;&gt;"acoes")))*INDEX(Inputs!$K$5:$AJ$120,0,MATCH(T$2,Inputs!$K$4:$AJ$4,0)))+SUMPRODUCT((Inputs!$E$5:$E$120=$B44)*Inputs!$F$5:$F$120*(((Inputs!$G$5:$G$120="moeda")+(Inputs!$G$5:$G$120="acoes"))*Inputs!$B$1+((Inputs!$G$5:$G$120&lt;&gt;"moeda")*(Inputs!$G$5:$G$120&lt;&gt;"acoes")))*INDEX(Inputs!$K$5:$AJ$120,0,MATCH(T$2,Inputs!$K$4:$AJ$4,0)))))</f>
        <v>-1427</v>
      </c>
      <c r="U44" s="267">
        <f>IF(ISNA(MATCH(U$2,Inputs!$K$4:$AJ$4,0)),NA(),IF(SUMPRODUCT((Inputs!$A$5:$A$120=$B44)*ISNUMBER(INDEX(Inputs!$K$5:$AJ$120,0,MATCH(U$2,Inputs!$K$4:$AJ$4,0))))+SUMPRODUCT((Inputs!$C$5:$C$120=$B44)*ISNUMBER(INDEX(Inputs!$K$5:$AJ$120,0,MATCH(U$2,Inputs!$K$4:$AJ$4,0))))+SUMPRODUCT((Inputs!$E$5:$E$120=$B44)*ISNUMBER(INDEX(Inputs!$K$5:$AJ$120,0,MATCH(U$2,Inputs!$K$4:$AJ$4,0))))=0,NA(),SUMPRODUCT((Inputs!$A$5:$A$120=$B44)*Inputs!$B$5:$B$120*(((Inputs!$G$5:$G$120="moeda")+(Inputs!$G$5:$G$120="acoes"))*Inputs!$B$1+((Inputs!$G$5:$G$120&lt;&gt;"moeda")*(Inputs!$G$5:$G$120&lt;&gt;"acoes")))*INDEX(Inputs!$K$5:$AJ$120,0,MATCH(U$2,Inputs!$K$4:$AJ$4,0)))+SUMPRODUCT((Inputs!$C$5:$C$120=$B44)*Inputs!$D$5:$D$120*(((Inputs!$G$5:$G$120="moeda")+(Inputs!$G$5:$G$120="acoes"))*Inputs!$B$1+((Inputs!$G$5:$G$120&lt;&gt;"moeda")*(Inputs!$G$5:$G$120&lt;&gt;"acoes")))*INDEX(Inputs!$K$5:$AJ$120,0,MATCH(U$2,Inputs!$K$4:$AJ$4,0)))+SUMPRODUCT((Inputs!$E$5:$E$120=$B44)*Inputs!$F$5:$F$120*(((Inputs!$G$5:$G$120="moeda")+(Inputs!$G$5:$G$120="acoes"))*Inputs!$B$1+((Inputs!$G$5:$G$120&lt;&gt;"moeda")*(Inputs!$G$5:$G$120&lt;&gt;"acoes")))*INDEX(Inputs!$K$5:$AJ$120,0,MATCH(U$2,Inputs!$K$4:$AJ$4,0)))))</f>
        <v>-1624</v>
      </c>
      <c r="V44" s="267">
        <f>IF(ISNA(MATCH(V$2,Inputs!$K$4:$AJ$4,0)),NA(),IF(SUMPRODUCT((Inputs!$A$5:$A$120=$B44)*ISNUMBER(INDEX(Inputs!$K$5:$AJ$120,0,MATCH(V$2,Inputs!$K$4:$AJ$4,0))))+SUMPRODUCT((Inputs!$C$5:$C$120=$B44)*ISNUMBER(INDEX(Inputs!$K$5:$AJ$120,0,MATCH(V$2,Inputs!$K$4:$AJ$4,0))))+SUMPRODUCT((Inputs!$E$5:$E$120=$B44)*ISNUMBER(INDEX(Inputs!$K$5:$AJ$120,0,MATCH(V$2,Inputs!$K$4:$AJ$4,0))))=0,NA(),SUMPRODUCT((Inputs!$A$5:$A$120=$B44)*Inputs!$B$5:$B$120*(((Inputs!$G$5:$G$120="moeda")+(Inputs!$G$5:$G$120="acoes"))*Inputs!$B$1+((Inputs!$G$5:$G$120&lt;&gt;"moeda")*(Inputs!$G$5:$G$120&lt;&gt;"acoes")))*INDEX(Inputs!$K$5:$AJ$120,0,MATCH(V$2,Inputs!$K$4:$AJ$4,0)))+SUMPRODUCT((Inputs!$C$5:$C$120=$B44)*Inputs!$D$5:$D$120*(((Inputs!$G$5:$G$120="moeda")+(Inputs!$G$5:$G$120="acoes"))*Inputs!$B$1+((Inputs!$G$5:$G$120&lt;&gt;"moeda")*(Inputs!$G$5:$G$120&lt;&gt;"acoes")))*INDEX(Inputs!$K$5:$AJ$120,0,MATCH(V$2,Inputs!$K$4:$AJ$4,0)))+SUMPRODUCT((Inputs!$E$5:$E$120=$B44)*Inputs!$F$5:$F$120*(((Inputs!$G$5:$G$120="moeda")+(Inputs!$G$5:$G$120="acoes"))*Inputs!$B$1+((Inputs!$G$5:$G$120&lt;&gt;"moeda")*(Inputs!$G$5:$G$120&lt;&gt;"acoes")))*INDEX(Inputs!$K$5:$AJ$120,0,MATCH(V$2,Inputs!$K$4:$AJ$4,0)))))</f>
        <v>-1549</v>
      </c>
      <c r="W44" s="268">
        <f>V44</f>
        <v>-1549</v>
      </c>
      <c r="X44" s="267">
        <f>IF(ISNA(MATCH(X$2,Inputs!$K$4:$AJ$4,0)),NA(),IF(SUMPRODUCT((Inputs!$A$5:$A$120=$B44)*ISNUMBER(INDEX(Inputs!$K$5:$AJ$120,0,MATCH(X$2,Inputs!$K$4:$AJ$4,0))))+SUMPRODUCT((Inputs!$C$5:$C$120=$B44)*ISNUMBER(INDEX(Inputs!$K$5:$AJ$120,0,MATCH(X$2,Inputs!$K$4:$AJ$4,0))))+SUMPRODUCT((Inputs!$E$5:$E$120=$B44)*ISNUMBER(INDEX(Inputs!$K$5:$AJ$120,0,MATCH(X$2,Inputs!$K$4:$AJ$4,0))))=0,NA(),SUMPRODUCT((Inputs!$A$5:$A$120=$B44)*Inputs!$B$5:$B$120*(((Inputs!$G$5:$G$120="moeda")+(Inputs!$G$5:$G$120="acoes"))*Inputs!$B$1+((Inputs!$G$5:$G$120&lt;&gt;"moeda")*(Inputs!$G$5:$G$120&lt;&gt;"acoes")))*INDEX(Inputs!$K$5:$AJ$120,0,MATCH(X$2,Inputs!$K$4:$AJ$4,0)))+SUMPRODUCT((Inputs!$C$5:$C$120=$B44)*Inputs!$D$5:$D$120*(((Inputs!$G$5:$G$120="moeda")+(Inputs!$G$5:$G$120="acoes"))*Inputs!$B$1+((Inputs!$G$5:$G$120&lt;&gt;"moeda")*(Inputs!$G$5:$G$120&lt;&gt;"acoes")))*INDEX(Inputs!$K$5:$AJ$120,0,MATCH(X$2,Inputs!$K$4:$AJ$4,0)))+SUMPRODUCT((Inputs!$E$5:$E$120=$B44)*Inputs!$F$5:$F$120*(((Inputs!$G$5:$G$120="moeda")+(Inputs!$G$5:$G$120="acoes"))*Inputs!$B$1+((Inputs!$G$5:$G$120&lt;&gt;"moeda")*(Inputs!$G$5:$G$120&lt;&gt;"acoes")))*INDEX(Inputs!$K$5:$AJ$120,0,MATCH(X$2,Inputs!$K$4:$AJ$4,0)))))</f>
        <v>-1511</v>
      </c>
      <c r="Y44" s="267">
        <f>IF(ISNA(MATCH(Y$2,Inputs!$K$4:$AJ$4,0)),NA(),IF(SUMPRODUCT((Inputs!$A$5:$A$120=$B44)*ISNUMBER(INDEX(Inputs!$K$5:$AJ$120,0,MATCH(Y$2,Inputs!$K$4:$AJ$4,0))))+SUMPRODUCT((Inputs!$C$5:$C$120=$B44)*ISNUMBER(INDEX(Inputs!$K$5:$AJ$120,0,MATCH(Y$2,Inputs!$K$4:$AJ$4,0))))+SUMPRODUCT((Inputs!$E$5:$E$120=$B44)*ISNUMBER(INDEX(Inputs!$K$5:$AJ$120,0,MATCH(Y$2,Inputs!$K$4:$AJ$4,0))))=0,NA(),SUMPRODUCT((Inputs!$A$5:$A$120=$B44)*Inputs!$B$5:$B$120*(((Inputs!$G$5:$G$120="moeda")+(Inputs!$G$5:$G$120="acoes"))*Inputs!$B$1+((Inputs!$G$5:$G$120&lt;&gt;"moeda")*(Inputs!$G$5:$G$120&lt;&gt;"acoes")))*INDEX(Inputs!$K$5:$AJ$120,0,MATCH(Y$2,Inputs!$K$4:$AJ$4,0)))+SUMPRODUCT((Inputs!$C$5:$C$120=$B44)*Inputs!$D$5:$D$120*(((Inputs!$G$5:$G$120="moeda")+(Inputs!$G$5:$G$120="acoes"))*Inputs!$B$1+((Inputs!$G$5:$G$120&lt;&gt;"moeda")*(Inputs!$G$5:$G$120&lt;&gt;"acoes")))*INDEX(Inputs!$K$5:$AJ$120,0,MATCH(Y$2,Inputs!$K$4:$AJ$4,0)))+SUMPRODUCT((Inputs!$E$5:$E$120=$B44)*Inputs!$F$5:$F$120*(((Inputs!$G$5:$G$120="moeda")+(Inputs!$G$5:$G$120="acoes"))*Inputs!$B$1+((Inputs!$G$5:$G$120&lt;&gt;"moeda")*(Inputs!$G$5:$G$120&lt;&gt;"acoes")))*INDEX(Inputs!$K$5:$AJ$120,0,MATCH(Y$2,Inputs!$K$4:$AJ$4,0)))))</f>
        <v>-1508</v>
      </c>
      <c r="Z44" s="267">
        <f>IF(ISNA(MATCH(Z$2,Inputs!$K$4:$AJ$4,0)),NA(),IF(SUMPRODUCT((Inputs!$A$5:$A$120=$B44)*ISNUMBER(INDEX(Inputs!$K$5:$AJ$120,0,MATCH(Z$2,Inputs!$K$4:$AJ$4,0))))+SUMPRODUCT((Inputs!$C$5:$C$120=$B44)*ISNUMBER(INDEX(Inputs!$K$5:$AJ$120,0,MATCH(Z$2,Inputs!$K$4:$AJ$4,0))))+SUMPRODUCT((Inputs!$E$5:$E$120=$B44)*ISNUMBER(INDEX(Inputs!$K$5:$AJ$120,0,MATCH(Z$2,Inputs!$K$4:$AJ$4,0))))=0,NA(),SUMPRODUCT((Inputs!$A$5:$A$120=$B44)*Inputs!$B$5:$B$120*(((Inputs!$G$5:$G$120="moeda")+(Inputs!$G$5:$G$120="acoes"))*Inputs!$B$1+((Inputs!$G$5:$G$120&lt;&gt;"moeda")*(Inputs!$G$5:$G$120&lt;&gt;"acoes")))*INDEX(Inputs!$K$5:$AJ$120,0,MATCH(Z$2,Inputs!$K$4:$AJ$4,0)))+SUMPRODUCT((Inputs!$C$5:$C$120=$B44)*Inputs!$D$5:$D$120*(((Inputs!$G$5:$G$120="moeda")+(Inputs!$G$5:$G$120="acoes"))*Inputs!$B$1+((Inputs!$G$5:$G$120&lt;&gt;"moeda")*(Inputs!$G$5:$G$120&lt;&gt;"acoes")))*INDEX(Inputs!$K$5:$AJ$120,0,MATCH(Z$2,Inputs!$K$4:$AJ$4,0)))+SUMPRODUCT((Inputs!$E$5:$E$120=$B44)*Inputs!$F$5:$F$120*(((Inputs!$G$5:$G$120="moeda")+(Inputs!$G$5:$G$120="acoes"))*Inputs!$B$1+((Inputs!$G$5:$G$120&lt;&gt;"moeda")*(Inputs!$G$5:$G$120&lt;&gt;"acoes")))*INDEX(Inputs!$K$5:$AJ$120,0,MATCH(Z$2,Inputs!$K$4:$AJ$4,0)))))</f>
        <v>-2051</v>
      </c>
      <c r="AA44" s="267">
        <f>IF(ISNA(MATCH(AA$2,Inputs!$K$4:$AJ$4,0)),NA(),IF(SUMPRODUCT((Inputs!$A$5:$A$120=$B44)*ISNUMBER(INDEX(Inputs!$K$5:$AJ$120,0,MATCH(AA$2,Inputs!$K$4:$AJ$4,0))))+SUMPRODUCT((Inputs!$C$5:$C$120=$B44)*ISNUMBER(INDEX(Inputs!$K$5:$AJ$120,0,MATCH(AA$2,Inputs!$K$4:$AJ$4,0))))+SUMPRODUCT((Inputs!$E$5:$E$120=$B44)*ISNUMBER(INDEX(Inputs!$K$5:$AJ$120,0,MATCH(AA$2,Inputs!$K$4:$AJ$4,0))))=0,NA(),SUMPRODUCT((Inputs!$A$5:$A$120=$B44)*Inputs!$B$5:$B$120*(((Inputs!$G$5:$G$120="moeda")+(Inputs!$G$5:$G$120="acoes"))*Inputs!$B$1+((Inputs!$G$5:$G$120&lt;&gt;"moeda")*(Inputs!$G$5:$G$120&lt;&gt;"acoes")))*INDEX(Inputs!$K$5:$AJ$120,0,MATCH(AA$2,Inputs!$K$4:$AJ$4,0)))+SUMPRODUCT((Inputs!$C$5:$C$120=$B44)*Inputs!$D$5:$D$120*(((Inputs!$G$5:$G$120="moeda")+(Inputs!$G$5:$G$120="acoes"))*Inputs!$B$1+((Inputs!$G$5:$G$120&lt;&gt;"moeda")*(Inputs!$G$5:$G$120&lt;&gt;"acoes")))*INDEX(Inputs!$K$5:$AJ$120,0,MATCH(AA$2,Inputs!$K$4:$AJ$4,0)))+SUMPRODUCT((Inputs!$E$5:$E$120=$B44)*Inputs!$F$5:$F$120*(((Inputs!$G$5:$G$120="moeda")+(Inputs!$G$5:$G$120="acoes"))*Inputs!$B$1+((Inputs!$G$5:$G$120&lt;&gt;"moeda")*(Inputs!$G$5:$G$120&lt;&gt;"acoes")))*INDEX(Inputs!$K$5:$AJ$120,0,MATCH(AA$2,Inputs!$K$4:$AJ$4,0)))))</f>
        <v>-1007</v>
      </c>
      <c r="AB44" s="268">
        <f>AA44</f>
        <v>-1007</v>
      </c>
      <c r="AC44" s="267">
        <f>IF(ISNA(MATCH(AC$2,Inputs!$K$4:$AJ$4,0)),NA(),IF(SUMPRODUCT((Inputs!$A$5:$A$120=$B44)*ISNUMBER(INDEX(Inputs!$K$5:$AJ$120,0,MATCH(AC$2,Inputs!$K$4:$AJ$4,0))))+SUMPRODUCT((Inputs!$C$5:$C$120=$B44)*ISNUMBER(INDEX(Inputs!$K$5:$AJ$120,0,MATCH(AC$2,Inputs!$K$4:$AJ$4,0))))+SUMPRODUCT((Inputs!$E$5:$E$120=$B44)*ISNUMBER(INDEX(Inputs!$K$5:$AJ$120,0,MATCH(AC$2,Inputs!$K$4:$AJ$4,0))))=0,NA(),SUMPRODUCT((Inputs!$A$5:$A$120=$B44)*Inputs!$B$5:$B$120*(((Inputs!$G$5:$G$120="moeda")+(Inputs!$G$5:$G$120="acoes"))*Inputs!$B$1+((Inputs!$G$5:$G$120&lt;&gt;"moeda")*(Inputs!$G$5:$G$120&lt;&gt;"acoes")))*INDEX(Inputs!$K$5:$AJ$120,0,MATCH(AC$2,Inputs!$K$4:$AJ$4,0)))+SUMPRODUCT((Inputs!$C$5:$C$120=$B44)*Inputs!$D$5:$D$120*(((Inputs!$G$5:$G$120="moeda")+(Inputs!$G$5:$G$120="acoes"))*Inputs!$B$1+((Inputs!$G$5:$G$120&lt;&gt;"moeda")*(Inputs!$G$5:$G$120&lt;&gt;"acoes")))*INDEX(Inputs!$K$5:$AJ$120,0,MATCH(AC$2,Inputs!$K$4:$AJ$4,0)))+SUMPRODUCT((Inputs!$E$5:$E$120=$B44)*Inputs!$F$5:$F$120*(((Inputs!$G$5:$G$120="moeda")+(Inputs!$G$5:$G$120="acoes"))*Inputs!$B$1+((Inputs!$G$5:$G$120&lt;&gt;"moeda")*(Inputs!$G$5:$G$120&lt;&gt;"acoes")))*INDEX(Inputs!$K$5:$AJ$120,0,MATCH(AC$2,Inputs!$K$4:$AJ$4,0)))))</f>
        <v>-967</v>
      </c>
      <c r="AD44" s="267">
        <f>IF(ISNA(MATCH(AD$2,Inputs!$K$4:$AJ$4,0)),NA(),IF(SUMPRODUCT((Inputs!$A$5:$A$120=$B44)*ISNUMBER(INDEX(Inputs!$K$5:$AJ$120,0,MATCH(AD$2,Inputs!$K$4:$AJ$4,0))))+SUMPRODUCT((Inputs!$C$5:$C$120=$B44)*ISNUMBER(INDEX(Inputs!$K$5:$AJ$120,0,MATCH(AD$2,Inputs!$K$4:$AJ$4,0))))+SUMPRODUCT((Inputs!$E$5:$E$120=$B44)*ISNUMBER(INDEX(Inputs!$K$5:$AJ$120,0,MATCH(AD$2,Inputs!$K$4:$AJ$4,0))))=0,NA(),SUMPRODUCT((Inputs!$A$5:$A$120=$B44)*Inputs!$B$5:$B$120*(((Inputs!$G$5:$G$120="moeda")+(Inputs!$G$5:$G$120="acoes"))*Inputs!$B$1+((Inputs!$G$5:$G$120&lt;&gt;"moeda")*(Inputs!$G$5:$G$120&lt;&gt;"acoes")))*INDEX(Inputs!$K$5:$AJ$120,0,MATCH(AD$2,Inputs!$K$4:$AJ$4,0)))+SUMPRODUCT((Inputs!$C$5:$C$120=$B44)*Inputs!$D$5:$D$120*(((Inputs!$G$5:$G$120="moeda")+(Inputs!$G$5:$G$120="acoes"))*Inputs!$B$1+((Inputs!$G$5:$G$120&lt;&gt;"moeda")*(Inputs!$G$5:$G$120&lt;&gt;"acoes")))*INDEX(Inputs!$K$5:$AJ$120,0,MATCH(AD$2,Inputs!$K$4:$AJ$4,0)))+SUMPRODUCT((Inputs!$E$5:$E$120=$B44)*Inputs!$F$5:$F$120*(((Inputs!$G$5:$G$120="moeda")+(Inputs!$G$5:$G$120="acoes"))*Inputs!$B$1+((Inputs!$G$5:$G$120&lt;&gt;"moeda")*(Inputs!$G$5:$G$120&lt;&gt;"acoes")))*INDEX(Inputs!$K$5:$AJ$120,0,MATCH(AD$2,Inputs!$K$4:$AJ$4,0)))))</f>
        <v>-1212</v>
      </c>
      <c r="AE44" s="267" t="e">
        <f>IF(ISNA(MATCH(AE$2,Inputs!$K$4:$AJ$4,0)),NA(),IF(SUMPRODUCT((Inputs!$A$5:$A$120=$B44)*ISNUMBER(INDEX(Inputs!$K$5:$AJ$120,0,MATCH(AE$2,Inputs!$K$4:$AJ$4,0))))+SUMPRODUCT((Inputs!$C$5:$C$120=$B44)*ISNUMBER(INDEX(Inputs!$K$5:$AJ$120,0,MATCH(AE$2,Inputs!$K$4:$AJ$4,0))))+SUMPRODUCT((Inputs!$E$5:$E$120=$B44)*ISNUMBER(INDEX(Inputs!$K$5:$AJ$120,0,MATCH(AE$2,Inputs!$K$4:$AJ$4,0))))=0,NA(),SUMPRODUCT((Inputs!$A$5:$A$120=$B44)*Inputs!$B$5:$B$120*(((Inputs!$G$5:$G$120="moeda")+(Inputs!$G$5:$G$120="acoes"))*Inputs!$B$1+((Inputs!$G$5:$G$120&lt;&gt;"moeda")*(Inputs!$G$5:$G$120&lt;&gt;"acoes")))*INDEX(Inputs!$K$5:$AJ$120,0,MATCH(AE$2,Inputs!$K$4:$AJ$4,0)))+SUMPRODUCT((Inputs!$C$5:$C$120=$B44)*Inputs!$D$5:$D$120*(((Inputs!$G$5:$G$120="moeda")+(Inputs!$G$5:$G$120="acoes"))*Inputs!$B$1+((Inputs!$G$5:$G$120&lt;&gt;"moeda")*(Inputs!$G$5:$G$120&lt;&gt;"acoes")))*INDEX(Inputs!$K$5:$AJ$120,0,MATCH(AE$2,Inputs!$K$4:$AJ$4,0)))+SUMPRODUCT((Inputs!$E$5:$E$120=$B44)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4" s="267" t="e">
        <f>IF(ISNA(MATCH(AF$2,Inputs!$K$4:$AJ$4,0)),NA(),IF(SUMPRODUCT((Inputs!$A$5:$A$120=$B44)*ISNUMBER(INDEX(Inputs!$K$5:$AJ$120,0,MATCH(AF$2,Inputs!$K$4:$AJ$4,0))))+SUMPRODUCT((Inputs!$C$5:$C$120=$B44)*ISNUMBER(INDEX(Inputs!$K$5:$AJ$120,0,MATCH(AF$2,Inputs!$K$4:$AJ$4,0))))+SUMPRODUCT((Inputs!$E$5:$E$120=$B44)*ISNUMBER(INDEX(Inputs!$K$5:$AJ$120,0,MATCH(AF$2,Inputs!$K$4:$AJ$4,0))))=0,NA(),SUMPRODUCT((Inputs!$A$5:$A$120=$B44)*Inputs!$B$5:$B$120*(((Inputs!$G$5:$G$120="moeda")+(Inputs!$G$5:$G$120="acoes"))*Inputs!$B$1+((Inputs!$G$5:$G$120&lt;&gt;"moeda")*(Inputs!$G$5:$G$120&lt;&gt;"acoes")))*INDEX(Inputs!$K$5:$AJ$120,0,MATCH(AF$2,Inputs!$K$4:$AJ$4,0)))+SUMPRODUCT((Inputs!$C$5:$C$120=$B44)*Inputs!$D$5:$D$120*(((Inputs!$G$5:$G$120="moeda")+(Inputs!$G$5:$G$120="acoes"))*Inputs!$B$1+((Inputs!$G$5:$G$120&lt;&gt;"moeda")*(Inputs!$G$5:$G$120&lt;&gt;"acoes")))*INDEX(Inputs!$K$5:$AJ$120,0,MATCH(AF$2,Inputs!$K$4:$AJ$4,0)))+SUMPRODUCT((Inputs!$E$5:$E$120=$B44)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4" s="268" t="e">
        <f>AF44</f>
        <v>#N/A</v>
      </c>
      <c r="AH44" s="267">
        <f>IF(ISNA(MATCH(AH$2,Inputs!$K$4:$AJ$4,0)),NA(),IF(SUMPRODUCT((Inputs!$A$5:$A$120=$B44)*ISNUMBER(INDEX(Inputs!$K$5:$AJ$120,0,MATCH(AH$2,Inputs!$K$4:$AJ$4,0))))+SUMPRODUCT((Inputs!$C$5:$C$120=$B44)*ISNUMBER(INDEX(Inputs!$K$5:$AJ$120,0,MATCH(AH$2,Inputs!$K$4:$AJ$4,0))))+SUMPRODUCT((Inputs!$E$5:$E$120=$B44)*ISNUMBER(INDEX(Inputs!$K$5:$AJ$120,0,MATCH(AH$2,Inputs!$K$4:$AJ$4,0))))=0,NA(),SUMPRODUCT((Inputs!$A$5:$A$120=$B44)*Inputs!$B$5:$B$120*(((Inputs!$G$5:$G$120="moeda")+(Inputs!$G$5:$G$120="acoes"))*Inputs!$B$1+((Inputs!$G$5:$G$120&lt;&gt;"moeda")*(Inputs!$G$5:$G$120&lt;&gt;"acoes")))*INDEX(Inputs!$K$5:$AJ$120,0,MATCH(AH$2,Inputs!$K$4:$AJ$4,0)))+SUMPRODUCT((Inputs!$C$5:$C$120=$B44)*Inputs!$D$5:$D$120*(((Inputs!$G$5:$G$120="moeda")+(Inputs!$G$5:$G$120="acoes"))*Inputs!$B$1+((Inputs!$G$5:$G$120&lt;&gt;"moeda")*(Inputs!$G$5:$G$120&lt;&gt;"acoes")))*INDEX(Inputs!$K$5:$AJ$120,0,MATCH(AH$2,Inputs!$K$4:$AJ$4,0)))+SUMPRODUCT((Inputs!$E$5:$E$120=$B44)*Inputs!$F$5:$F$120*(((Inputs!$G$5:$G$120="moeda")+(Inputs!$G$5:$G$120="acoes"))*Inputs!$B$1+((Inputs!$G$5:$G$120&lt;&gt;"moeda")*(Inputs!$G$5:$G$120&lt;&gt;"acoes")))*INDEX(Inputs!$K$5:$AJ$120,0,MATCH(AH$2,Inputs!$K$4:$AJ$4,0)))))</f>
        <v>-920</v>
      </c>
      <c r="AI44" s="267">
        <f>IF(ISNA(MATCH(AI$2,Inputs!$K$4:$AJ$4,0)),NA(),IF(SUMPRODUCT((Inputs!$A$5:$A$120=$B44)*ISNUMBER(INDEX(Inputs!$K$5:$AJ$120,0,MATCH(AI$2,Inputs!$K$4:$AJ$4,0))))+SUMPRODUCT((Inputs!$C$5:$C$120=$B44)*ISNUMBER(INDEX(Inputs!$K$5:$AJ$120,0,MATCH(AI$2,Inputs!$K$4:$AJ$4,0))))+SUMPRODUCT((Inputs!$E$5:$E$120=$B44)*ISNUMBER(INDEX(Inputs!$K$5:$AJ$120,0,MATCH(AI$2,Inputs!$K$4:$AJ$4,0))))=0,NA(),SUMPRODUCT((Inputs!$A$5:$A$120=$B44)*Inputs!$B$5:$B$120*(((Inputs!$G$5:$G$120="moeda")+(Inputs!$G$5:$G$120="acoes"))*Inputs!$B$1+((Inputs!$G$5:$G$120&lt;&gt;"moeda")*(Inputs!$G$5:$G$120&lt;&gt;"acoes")))*INDEX(Inputs!$K$5:$AJ$120,0,MATCH(AI$2,Inputs!$K$4:$AJ$4,0)))+SUMPRODUCT((Inputs!$C$5:$C$120=$B44)*Inputs!$D$5:$D$120*(((Inputs!$G$5:$G$120="moeda")+(Inputs!$G$5:$G$120="acoes"))*Inputs!$B$1+((Inputs!$G$5:$G$120&lt;&gt;"moeda")*(Inputs!$G$5:$G$120&lt;&gt;"acoes")))*INDEX(Inputs!$K$5:$AJ$120,0,MATCH(AI$2,Inputs!$K$4:$AJ$4,0)))+SUMPRODUCT((Inputs!$E$5:$E$120=$B44)*Inputs!$F$5:$F$120*(((Inputs!$G$5:$G$120="moeda")+(Inputs!$G$5:$G$120="acoes"))*Inputs!$B$1+((Inputs!$G$5:$G$120&lt;&gt;"moeda")*(Inputs!$G$5:$G$120&lt;&gt;"acoes")))*INDEX(Inputs!$K$5:$AJ$120,0,MATCH(AI$2,Inputs!$K$4:$AJ$4,0)))))</f>
        <v>-1020</v>
      </c>
      <c r="AJ44" s="267">
        <f>IF(ISNA(MATCH(AJ$2,Inputs!$K$4:$AJ$4,0)),NA(),IF(SUMPRODUCT((Inputs!$A$5:$A$120=$B44)*ISNUMBER(INDEX(Inputs!$K$5:$AJ$120,0,MATCH(AJ$2,Inputs!$K$4:$AJ$4,0))))+SUMPRODUCT((Inputs!$C$5:$C$120=$B44)*ISNUMBER(INDEX(Inputs!$K$5:$AJ$120,0,MATCH(AJ$2,Inputs!$K$4:$AJ$4,0))))+SUMPRODUCT((Inputs!$E$5:$E$120=$B44)*ISNUMBER(INDEX(Inputs!$K$5:$AJ$120,0,MATCH(AJ$2,Inputs!$K$4:$AJ$4,0))))=0,NA(),SUMPRODUCT((Inputs!$A$5:$A$120=$B44)*Inputs!$B$5:$B$120*(((Inputs!$G$5:$G$120="moeda")+(Inputs!$G$5:$G$120="acoes"))*Inputs!$B$1+((Inputs!$G$5:$G$120&lt;&gt;"moeda")*(Inputs!$G$5:$G$120&lt;&gt;"acoes")))*INDEX(Inputs!$K$5:$AJ$120,0,MATCH(AJ$2,Inputs!$K$4:$AJ$4,0)))+SUMPRODUCT((Inputs!$C$5:$C$120=$B44)*Inputs!$D$5:$D$120*(((Inputs!$G$5:$G$120="moeda")+(Inputs!$G$5:$G$120="acoes"))*Inputs!$B$1+((Inputs!$G$5:$G$120&lt;&gt;"moeda")*(Inputs!$G$5:$G$120&lt;&gt;"acoes")))*INDEX(Inputs!$K$5:$AJ$120,0,MATCH(AJ$2,Inputs!$K$4:$AJ$4,0)))+SUMPRODUCT((Inputs!$E$5:$E$120=$B44)*Inputs!$F$5:$F$120*(((Inputs!$G$5:$G$120="moeda")+(Inputs!$G$5:$G$120="acoes"))*Inputs!$B$1+((Inputs!$G$5:$G$120&lt;&gt;"moeda")*(Inputs!$G$5:$G$120&lt;&gt;"acoes")))*INDEX(Inputs!$K$5:$AJ$120,0,MATCH(AJ$2,Inputs!$K$4:$AJ$4,0)))))</f>
        <v>-1020</v>
      </c>
      <c r="AK44" s="267">
        <f>IF(ISNA(MATCH(AK$2,Inputs!$K$4:$AJ$4,0)),NA(),IF(SUMPRODUCT((Inputs!$A$5:$A$120=$B44)*ISNUMBER(INDEX(Inputs!$K$5:$AJ$120,0,MATCH(AK$2,Inputs!$K$4:$AJ$4,0))))+SUMPRODUCT((Inputs!$C$5:$C$120=$B44)*ISNUMBER(INDEX(Inputs!$K$5:$AJ$120,0,MATCH(AK$2,Inputs!$K$4:$AJ$4,0))))+SUMPRODUCT((Inputs!$E$5:$E$120=$B44)*ISNUMBER(INDEX(Inputs!$K$5:$AJ$120,0,MATCH(AK$2,Inputs!$K$4:$AJ$4,0))))=0,NA(),SUMPRODUCT((Inputs!$A$5:$A$120=$B44)*Inputs!$B$5:$B$120*(((Inputs!$G$5:$G$120="moeda")+(Inputs!$G$5:$G$120="acoes"))*Inputs!$B$1+((Inputs!$G$5:$G$120&lt;&gt;"moeda")*(Inputs!$G$5:$G$120&lt;&gt;"acoes")))*INDEX(Inputs!$K$5:$AJ$120,0,MATCH(AK$2,Inputs!$K$4:$AJ$4,0)))+SUMPRODUCT((Inputs!$C$5:$C$120=$B44)*Inputs!$D$5:$D$120*(((Inputs!$G$5:$G$120="moeda")+(Inputs!$G$5:$G$120="acoes"))*Inputs!$B$1+((Inputs!$G$5:$G$120&lt;&gt;"moeda")*(Inputs!$G$5:$G$120&lt;&gt;"acoes")))*INDEX(Inputs!$K$5:$AJ$120,0,MATCH(AK$2,Inputs!$K$4:$AJ$4,0)))+SUMPRODUCT((Inputs!$E$5:$E$120=$B44)*Inputs!$F$5:$F$120*(((Inputs!$G$5:$G$120="moeda")+(Inputs!$G$5:$G$120="acoes"))*Inputs!$B$1+((Inputs!$G$5:$G$120&lt;&gt;"moeda")*(Inputs!$G$5:$G$120&lt;&gt;"acoes")))*INDEX(Inputs!$K$5:$AJ$120,0,MATCH(AK$2,Inputs!$K$4:$AJ$4,0)))))</f>
        <v>-1020</v>
      </c>
      <c r="AL44" s="268">
        <f>AK44</f>
        <v>-1020</v>
      </c>
    </row>
    <row r="45" ht="12.75" customHeight="1" s="255">
      <c r="B45" s="265" t="n">
        <v>39</v>
      </c>
      <c r="C45" s="270" t="inlineStr">
        <is>
          <t>Comprehensive (accumulated) loss</t>
        </is>
      </c>
      <c r="D45" s="267">
        <f>IF(ISNA(MATCH(D$2,Inputs!$K$4:$AJ$4,0)),NA(),IF(SUMPRODUCT((Inputs!$A$5:$A$120=$B45)*ISNUMBER(INDEX(Inputs!$K$5:$AJ$120,0,MATCH(D$2,Inputs!$K$4:$AJ$4,0))))+SUMPRODUCT((Inputs!$C$5:$C$120=$B45)*ISNUMBER(INDEX(Inputs!$K$5:$AJ$120,0,MATCH(D$2,Inputs!$K$4:$AJ$4,0))))+SUMPRODUCT((Inputs!$E$5:$E$120=$B45)*ISNUMBER(INDEX(Inputs!$K$5:$AJ$120,0,MATCH(D$2,Inputs!$K$4:$AJ$4,0))))=0,NA(),SUMPRODUCT((Inputs!$A$5:$A$120=$B45)*Inputs!$B$5:$B$120*(((Inputs!$G$5:$G$120="moeda")+(Inputs!$G$5:$G$120="acoes"))*Inputs!$B$1+((Inputs!$G$5:$G$120&lt;&gt;"moeda")*(Inputs!$G$5:$G$120&lt;&gt;"acoes")))*INDEX(Inputs!$K$5:$AJ$120,0,MATCH(D$2,Inputs!$K$4:$AJ$4,0)))+SUMPRODUCT((Inputs!$C$5:$C$120=$B45)*Inputs!$D$5:$D$120*(((Inputs!$G$5:$G$120="moeda")+(Inputs!$G$5:$G$120="acoes"))*Inputs!$B$1+((Inputs!$G$5:$G$120&lt;&gt;"moeda")*(Inputs!$G$5:$G$120&lt;&gt;"acoes")))*INDEX(Inputs!$K$5:$AJ$120,0,MATCH(D$2,Inputs!$K$4:$AJ$4,0)))+SUMPRODUCT((Inputs!$E$5:$E$120=$B45)*Inputs!$F$5:$F$120*(((Inputs!$G$5:$G$120="moeda")+(Inputs!$G$5:$G$120="acoes"))*Inputs!$B$1+((Inputs!$G$5:$G$120&lt;&gt;"moeda")*(Inputs!$G$5:$G$120&lt;&gt;"acoes")))*INDEX(Inputs!$K$5:$AJ$120,0,MATCH(D$2,Inputs!$K$4:$AJ$4,0)))))</f>
        <v>-6484</v>
      </c>
      <c r="E45" s="267">
        <f>IF(ISNA(MATCH(E$2,Inputs!$K$4:$AJ$4,0)),NA(),IF(SUMPRODUCT((Inputs!$A$5:$A$120=$B45)*ISNUMBER(INDEX(Inputs!$K$5:$AJ$120,0,MATCH(E$2,Inputs!$K$4:$AJ$4,0))))+SUMPRODUCT((Inputs!$C$5:$C$120=$B45)*ISNUMBER(INDEX(Inputs!$K$5:$AJ$120,0,MATCH(E$2,Inputs!$K$4:$AJ$4,0))))+SUMPRODUCT((Inputs!$E$5:$E$120=$B45)*ISNUMBER(INDEX(Inputs!$K$5:$AJ$120,0,MATCH(E$2,Inputs!$K$4:$AJ$4,0))))=0,NA(),SUMPRODUCT((Inputs!$A$5:$A$120=$B45)*Inputs!$B$5:$B$120*(((Inputs!$G$5:$G$120="moeda")+(Inputs!$G$5:$G$120="acoes"))*Inputs!$B$1+((Inputs!$G$5:$G$120&lt;&gt;"moeda")*(Inputs!$G$5:$G$120&lt;&gt;"acoes")))*INDEX(Inputs!$K$5:$AJ$120,0,MATCH(E$2,Inputs!$K$4:$AJ$4,0)))+SUMPRODUCT((Inputs!$C$5:$C$120=$B45)*Inputs!$D$5:$D$120*(((Inputs!$G$5:$G$120="moeda")+(Inputs!$G$5:$G$120="acoes"))*Inputs!$B$1+((Inputs!$G$5:$G$120&lt;&gt;"moeda")*(Inputs!$G$5:$G$120&lt;&gt;"acoes")))*INDEX(Inputs!$K$5:$AJ$120,0,MATCH(E$2,Inputs!$K$4:$AJ$4,0)))+SUMPRODUCT((Inputs!$E$5:$E$120=$B45)*Inputs!$F$5:$F$120*(((Inputs!$G$5:$G$120="moeda")+(Inputs!$G$5:$G$120="acoes"))*Inputs!$B$1+((Inputs!$G$5:$G$120&lt;&gt;"moeda")*(Inputs!$G$5:$G$120&lt;&gt;"acoes")))*INDEX(Inputs!$K$5:$AJ$120,0,MATCH(E$2,Inputs!$K$4:$AJ$4,0)))))</f>
        <v>-6258</v>
      </c>
      <c r="F45" s="267">
        <f>IF(ISNA(MATCH(F$2,Inputs!$K$4:$AJ$4,0)),NA(),IF(SUMPRODUCT((Inputs!$A$5:$A$120=$B45)*ISNUMBER(INDEX(Inputs!$K$5:$AJ$120,0,MATCH(F$2,Inputs!$K$4:$AJ$4,0))))+SUMPRODUCT((Inputs!$C$5:$C$120=$B45)*ISNUMBER(INDEX(Inputs!$K$5:$AJ$120,0,MATCH(F$2,Inputs!$K$4:$AJ$4,0))))+SUMPRODUCT((Inputs!$E$5:$E$120=$B45)*ISNUMBER(INDEX(Inputs!$K$5:$AJ$120,0,MATCH(F$2,Inputs!$K$4:$AJ$4,0))))=0,NA(),SUMPRODUCT((Inputs!$A$5:$A$120=$B45)*Inputs!$B$5:$B$120*(((Inputs!$G$5:$G$120="moeda")+(Inputs!$G$5:$G$120="acoes"))*Inputs!$B$1+((Inputs!$G$5:$G$120&lt;&gt;"moeda")*(Inputs!$G$5:$G$120&lt;&gt;"acoes")))*INDEX(Inputs!$K$5:$AJ$120,0,MATCH(F$2,Inputs!$K$4:$AJ$4,0)))+SUMPRODUCT((Inputs!$C$5:$C$120=$B45)*Inputs!$D$5:$D$120*(((Inputs!$G$5:$G$120="moeda")+(Inputs!$G$5:$G$120="acoes"))*Inputs!$B$1+((Inputs!$G$5:$G$120&lt;&gt;"moeda")*(Inputs!$G$5:$G$120&lt;&gt;"acoes")))*INDEX(Inputs!$K$5:$AJ$120,0,MATCH(F$2,Inputs!$K$4:$AJ$4,0)))+SUMPRODUCT((Inputs!$E$5:$E$120=$B45)*Inputs!$F$5:$F$120*(((Inputs!$G$5:$G$120="moeda")+(Inputs!$G$5:$G$120="acoes"))*Inputs!$B$1+((Inputs!$G$5:$G$120&lt;&gt;"moeda")*(Inputs!$G$5:$G$120&lt;&gt;"acoes")))*INDEX(Inputs!$K$5:$AJ$120,0,MATCH(F$2,Inputs!$K$4:$AJ$4,0)))))</f>
        <v>-6436</v>
      </c>
      <c r="G45" s="267">
        <f>IF(ISNA(MATCH(G$2,Inputs!$K$4:$AJ$4,0)),NA(),IF(SUMPRODUCT((Inputs!$A$5:$A$120=$B45)*ISNUMBER(INDEX(Inputs!$K$5:$AJ$120,0,MATCH(G$2,Inputs!$K$4:$AJ$4,0))))+SUMPRODUCT((Inputs!$C$5:$C$120=$B45)*ISNUMBER(INDEX(Inputs!$K$5:$AJ$120,0,MATCH(G$2,Inputs!$K$4:$AJ$4,0))))+SUMPRODUCT((Inputs!$E$5:$E$120=$B45)*ISNUMBER(INDEX(Inputs!$K$5:$AJ$120,0,MATCH(G$2,Inputs!$K$4:$AJ$4,0))))=0,NA(),SUMPRODUCT((Inputs!$A$5:$A$120=$B45)*Inputs!$B$5:$B$120*(((Inputs!$G$5:$G$120="moeda")+(Inputs!$G$5:$G$120="acoes"))*Inputs!$B$1+((Inputs!$G$5:$G$120&lt;&gt;"moeda")*(Inputs!$G$5:$G$120&lt;&gt;"acoes")))*INDEX(Inputs!$K$5:$AJ$120,0,MATCH(G$2,Inputs!$K$4:$AJ$4,0)))+SUMPRODUCT((Inputs!$C$5:$C$120=$B45)*Inputs!$D$5:$D$120*(((Inputs!$G$5:$G$120="moeda")+(Inputs!$G$5:$G$120="acoes"))*Inputs!$B$1+((Inputs!$G$5:$G$120&lt;&gt;"moeda")*(Inputs!$G$5:$G$120&lt;&gt;"acoes")))*INDEX(Inputs!$K$5:$AJ$120,0,MATCH(G$2,Inputs!$K$4:$AJ$4,0)))+SUMPRODUCT((Inputs!$E$5:$E$120=$B45)*Inputs!$F$5:$F$120*(((Inputs!$G$5:$G$120="moeda")+(Inputs!$G$5:$G$120="acoes"))*Inputs!$B$1+((Inputs!$G$5:$G$120&lt;&gt;"moeda")*(Inputs!$G$5:$G$120&lt;&gt;"acoes")))*INDEX(Inputs!$K$5:$AJ$120,0,MATCH(G$2,Inputs!$K$4:$AJ$4,0)))))</f>
        <v>-6471</v>
      </c>
      <c r="H45" s="268">
        <f>G45</f>
        <v>-6471</v>
      </c>
      <c r="I45" s="267">
        <f>IF(ISNA(MATCH(I$2,Inputs!$K$4:$AJ$4,0)),NA(),IF(SUMPRODUCT((Inputs!$A$5:$A$120=$B45)*ISNUMBER(INDEX(Inputs!$K$5:$AJ$120,0,MATCH(I$2,Inputs!$K$4:$AJ$4,0))))+SUMPRODUCT((Inputs!$C$5:$C$120=$B45)*ISNUMBER(INDEX(Inputs!$K$5:$AJ$120,0,MATCH(I$2,Inputs!$K$4:$AJ$4,0))))+SUMPRODUCT((Inputs!$E$5:$E$120=$B45)*ISNUMBER(INDEX(Inputs!$K$5:$AJ$120,0,MATCH(I$2,Inputs!$K$4:$AJ$4,0))))=0,NA(),SUMPRODUCT((Inputs!$A$5:$A$120=$B45)*Inputs!$B$5:$B$120*(((Inputs!$G$5:$G$120="moeda")+(Inputs!$G$5:$G$120="acoes"))*Inputs!$B$1+((Inputs!$G$5:$G$120&lt;&gt;"moeda")*(Inputs!$G$5:$G$120&lt;&gt;"acoes")))*INDEX(Inputs!$K$5:$AJ$120,0,MATCH(I$2,Inputs!$K$4:$AJ$4,0)))+SUMPRODUCT((Inputs!$C$5:$C$120=$B45)*Inputs!$D$5:$D$120*(((Inputs!$G$5:$G$120="moeda")+(Inputs!$G$5:$G$120="acoes"))*Inputs!$B$1+((Inputs!$G$5:$G$120&lt;&gt;"moeda")*(Inputs!$G$5:$G$120&lt;&gt;"acoes")))*INDEX(Inputs!$K$5:$AJ$120,0,MATCH(I$2,Inputs!$K$4:$AJ$4,0)))+SUMPRODUCT((Inputs!$E$5:$E$120=$B45)*Inputs!$F$5:$F$120*(((Inputs!$G$5:$G$120="moeda")+(Inputs!$G$5:$G$120="acoes"))*Inputs!$B$1+((Inputs!$G$5:$G$120&lt;&gt;"moeda")*(Inputs!$G$5:$G$120&lt;&gt;"acoes")))*INDEX(Inputs!$K$5:$AJ$120,0,MATCH(I$2,Inputs!$K$4:$AJ$4,0)))))</f>
        <v>-6213</v>
      </c>
      <c r="J45" s="267">
        <f>IF(ISNA(MATCH(J$2,Inputs!$K$4:$AJ$4,0)),NA(),IF(SUMPRODUCT((Inputs!$A$5:$A$120=$B45)*ISNUMBER(INDEX(Inputs!$K$5:$AJ$120,0,MATCH(J$2,Inputs!$K$4:$AJ$4,0))))+SUMPRODUCT((Inputs!$C$5:$C$120=$B45)*ISNUMBER(INDEX(Inputs!$K$5:$AJ$120,0,MATCH(J$2,Inputs!$K$4:$AJ$4,0))))+SUMPRODUCT((Inputs!$E$5:$E$120=$B45)*ISNUMBER(INDEX(Inputs!$K$5:$AJ$120,0,MATCH(J$2,Inputs!$K$4:$AJ$4,0))))=0,NA(),SUMPRODUCT((Inputs!$A$5:$A$120=$B45)*Inputs!$B$5:$B$120*(((Inputs!$G$5:$G$120="moeda")+(Inputs!$G$5:$G$120="acoes"))*Inputs!$B$1+((Inputs!$G$5:$G$120&lt;&gt;"moeda")*(Inputs!$G$5:$G$120&lt;&gt;"acoes")))*INDEX(Inputs!$K$5:$AJ$120,0,MATCH(J$2,Inputs!$K$4:$AJ$4,0)))+SUMPRODUCT((Inputs!$C$5:$C$120=$B45)*Inputs!$D$5:$D$120*(((Inputs!$G$5:$G$120="moeda")+(Inputs!$G$5:$G$120="acoes"))*Inputs!$B$1+((Inputs!$G$5:$G$120&lt;&gt;"moeda")*(Inputs!$G$5:$G$120&lt;&gt;"acoes")))*INDEX(Inputs!$K$5:$AJ$120,0,MATCH(J$2,Inputs!$K$4:$AJ$4,0)))+SUMPRODUCT((Inputs!$E$5:$E$120=$B45)*Inputs!$F$5:$F$120*(((Inputs!$G$5:$G$120="moeda")+(Inputs!$G$5:$G$120="acoes"))*Inputs!$B$1+((Inputs!$G$5:$G$120&lt;&gt;"moeda")*(Inputs!$G$5:$G$120&lt;&gt;"acoes")))*INDEX(Inputs!$K$5:$AJ$120,0,MATCH(J$2,Inputs!$K$4:$AJ$4,0)))))</f>
        <v>-6436</v>
      </c>
      <c r="K45" s="267">
        <f>IF(ISNA(MATCH(K$2,Inputs!$K$4:$AJ$4,0)),NA(),IF(SUMPRODUCT((Inputs!$A$5:$A$120=$B45)*ISNUMBER(INDEX(Inputs!$K$5:$AJ$120,0,MATCH(K$2,Inputs!$K$4:$AJ$4,0))))+SUMPRODUCT((Inputs!$C$5:$C$120=$B45)*ISNUMBER(INDEX(Inputs!$K$5:$AJ$120,0,MATCH(K$2,Inputs!$K$4:$AJ$4,0))))+SUMPRODUCT((Inputs!$E$5:$E$120=$B45)*ISNUMBER(INDEX(Inputs!$K$5:$AJ$120,0,MATCH(K$2,Inputs!$K$4:$AJ$4,0))))=0,NA(),SUMPRODUCT((Inputs!$A$5:$A$120=$B45)*Inputs!$B$5:$B$120*(((Inputs!$G$5:$G$120="moeda")+(Inputs!$G$5:$G$120="acoes"))*Inputs!$B$1+((Inputs!$G$5:$G$120&lt;&gt;"moeda")*(Inputs!$G$5:$G$120&lt;&gt;"acoes")))*INDEX(Inputs!$K$5:$AJ$120,0,MATCH(K$2,Inputs!$K$4:$AJ$4,0)))+SUMPRODUCT((Inputs!$C$5:$C$120=$B45)*Inputs!$D$5:$D$120*(((Inputs!$G$5:$G$120="moeda")+(Inputs!$G$5:$G$120="acoes"))*Inputs!$B$1+((Inputs!$G$5:$G$120&lt;&gt;"moeda")*(Inputs!$G$5:$G$120&lt;&gt;"acoes")))*INDEX(Inputs!$K$5:$AJ$120,0,MATCH(K$2,Inputs!$K$4:$AJ$4,0)))+SUMPRODUCT((Inputs!$E$5:$E$120=$B45)*Inputs!$F$5:$F$120*(((Inputs!$G$5:$G$120="moeda")+(Inputs!$G$5:$G$120="acoes"))*Inputs!$B$1+((Inputs!$G$5:$G$120&lt;&gt;"moeda")*(Inputs!$G$5:$G$120&lt;&gt;"acoes")))*INDEX(Inputs!$K$5:$AJ$120,0,MATCH(K$2,Inputs!$K$4:$AJ$4,0)))))</f>
        <v>-6611</v>
      </c>
      <c r="L45" s="267">
        <f>IF(ISNA(MATCH(L$2,Inputs!$K$4:$AJ$4,0)),NA(),IF(SUMPRODUCT((Inputs!$A$5:$A$120=$B45)*ISNUMBER(INDEX(Inputs!$K$5:$AJ$120,0,MATCH(L$2,Inputs!$K$4:$AJ$4,0))))+SUMPRODUCT((Inputs!$C$5:$C$120=$B45)*ISNUMBER(INDEX(Inputs!$K$5:$AJ$120,0,MATCH(L$2,Inputs!$K$4:$AJ$4,0))))+SUMPRODUCT((Inputs!$E$5:$E$120=$B45)*ISNUMBER(INDEX(Inputs!$K$5:$AJ$120,0,MATCH(L$2,Inputs!$K$4:$AJ$4,0))))=0,NA(),SUMPRODUCT((Inputs!$A$5:$A$120=$B45)*Inputs!$B$5:$B$120*(((Inputs!$G$5:$G$120="moeda")+(Inputs!$G$5:$G$120="acoes"))*Inputs!$B$1+((Inputs!$G$5:$G$120&lt;&gt;"moeda")*(Inputs!$G$5:$G$120&lt;&gt;"acoes")))*INDEX(Inputs!$K$5:$AJ$120,0,MATCH(L$2,Inputs!$K$4:$AJ$4,0)))+SUMPRODUCT((Inputs!$C$5:$C$120=$B45)*Inputs!$D$5:$D$120*(((Inputs!$G$5:$G$120="moeda")+(Inputs!$G$5:$G$120="acoes"))*Inputs!$B$1+((Inputs!$G$5:$G$120&lt;&gt;"moeda")*(Inputs!$G$5:$G$120&lt;&gt;"acoes")))*INDEX(Inputs!$K$5:$AJ$120,0,MATCH(L$2,Inputs!$K$4:$AJ$4,0)))+SUMPRODUCT((Inputs!$E$5:$E$120=$B45)*Inputs!$F$5:$F$120*(((Inputs!$G$5:$G$120="moeda")+(Inputs!$G$5:$G$120="acoes"))*Inputs!$B$1+((Inputs!$G$5:$G$120&lt;&gt;"moeda")*(Inputs!$G$5:$G$120&lt;&gt;"acoes")))*INDEX(Inputs!$K$5:$AJ$120,0,MATCH(L$2,Inputs!$K$4:$AJ$4,0)))))</f>
        <v>-6371</v>
      </c>
      <c r="M45" s="268">
        <f>L45</f>
        <v>-6371</v>
      </c>
      <c r="N45" s="267">
        <f>IF(ISNA(MATCH(N$2,Inputs!$K$4:$AJ$4,0)),NA(),IF(SUMPRODUCT((Inputs!$A$5:$A$120=$B45)*ISNUMBER(INDEX(Inputs!$K$5:$AJ$120,0,MATCH(N$2,Inputs!$K$4:$AJ$4,0))))+SUMPRODUCT((Inputs!$C$5:$C$120=$B45)*ISNUMBER(INDEX(Inputs!$K$5:$AJ$120,0,MATCH(N$2,Inputs!$K$4:$AJ$4,0))))+SUMPRODUCT((Inputs!$E$5:$E$120=$B45)*ISNUMBER(INDEX(Inputs!$K$5:$AJ$120,0,MATCH(N$2,Inputs!$K$4:$AJ$4,0))))=0,NA(),SUMPRODUCT((Inputs!$A$5:$A$120=$B45)*Inputs!$B$5:$B$120*(((Inputs!$G$5:$G$120="moeda")+(Inputs!$G$5:$G$120="acoes"))*Inputs!$B$1+((Inputs!$G$5:$G$120&lt;&gt;"moeda")*(Inputs!$G$5:$G$120&lt;&gt;"acoes")))*INDEX(Inputs!$K$5:$AJ$120,0,MATCH(N$2,Inputs!$K$4:$AJ$4,0)))+SUMPRODUCT((Inputs!$C$5:$C$120=$B45)*Inputs!$D$5:$D$120*(((Inputs!$G$5:$G$120="moeda")+(Inputs!$G$5:$G$120="acoes"))*Inputs!$B$1+((Inputs!$G$5:$G$120&lt;&gt;"moeda")*(Inputs!$G$5:$G$120&lt;&gt;"acoes")))*INDEX(Inputs!$K$5:$AJ$120,0,MATCH(N$2,Inputs!$K$4:$AJ$4,0)))+SUMPRODUCT((Inputs!$E$5:$E$120=$B45)*Inputs!$F$5:$F$120*(((Inputs!$G$5:$G$120="moeda")+(Inputs!$G$5:$G$120="acoes"))*Inputs!$B$1+((Inputs!$G$5:$G$120&lt;&gt;"moeda")*(Inputs!$G$5:$G$120&lt;&gt;"acoes")))*INDEX(Inputs!$K$5:$AJ$120,0,MATCH(N$2,Inputs!$K$4:$AJ$4,0)))))</f>
        <v>-6171</v>
      </c>
      <c r="O45" s="267">
        <f>IF(ISNA(MATCH(O$2,Inputs!$K$4:$AJ$4,0)),NA(),IF(SUMPRODUCT((Inputs!$A$5:$A$120=$B45)*ISNUMBER(INDEX(Inputs!$K$5:$AJ$120,0,MATCH(O$2,Inputs!$K$4:$AJ$4,0))))+SUMPRODUCT((Inputs!$C$5:$C$120=$B45)*ISNUMBER(INDEX(Inputs!$K$5:$AJ$120,0,MATCH(O$2,Inputs!$K$4:$AJ$4,0))))+SUMPRODUCT((Inputs!$E$5:$E$120=$B45)*ISNUMBER(INDEX(Inputs!$K$5:$AJ$120,0,MATCH(O$2,Inputs!$K$4:$AJ$4,0))))=0,NA(),SUMPRODUCT((Inputs!$A$5:$A$120=$B45)*Inputs!$B$5:$B$120*(((Inputs!$G$5:$G$120="moeda")+(Inputs!$G$5:$G$120="acoes"))*Inputs!$B$1+((Inputs!$G$5:$G$120&lt;&gt;"moeda")*(Inputs!$G$5:$G$120&lt;&gt;"acoes")))*INDEX(Inputs!$K$5:$AJ$120,0,MATCH(O$2,Inputs!$K$4:$AJ$4,0)))+SUMPRODUCT((Inputs!$C$5:$C$120=$B45)*Inputs!$D$5:$D$120*(((Inputs!$G$5:$G$120="moeda")+(Inputs!$G$5:$G$120="acoes"))*Inputs!$B$1+((Inputs!$G$5:$G$120&lt;&gt;"moeda")*(Inputs!$G$5:$G$120&lt;&gt;"acoes")))*INDEX(Inputs!$K$5:$AJ$120,0,MATCH(O$2,Inputs!$K$4:$AJ$4,0)))+SUMPRODUCT((Inputs!$E$5:$E$120=$B45)*Inputs!$F$5:$F$120*(((Inputs!$G$5:$G$120="moeda")+(Inputs!$G$5:$G$120="acoes"))*Inputs!$B$1+((Inputs!$G$5:$G$120&lt;&gt;"moeda")*(Inputs!$G$5:$G$120&lt;&gt;"acoes")))*INDEX(Inputs!$K$5:$AJ$120,0,MATCH(O$2,Inputs!$K$4:$AJ$4,0)))))</f>
        <v>-6091</v>
      </c>
      <c r="P45" s="267">
        <f>IF(ISNA(MATCH(P$2,Inputs!$K$4:$AJ$4,0)),NA(),IF(SUMPRODUCT((Inputs!$A$5:$A$120=$B45)*ISNUMBER(INDEX(Inputs!$K$5:$AJ$120,0,MATCH(P$2,Inputs!$K$4:$AJ$4,0))))+SUMPRODUCT((Inputs!$C$5:$C$120=$B45)*ISNUMBER(INDEX(Inputs!$K$5:$AJ$120,0,MATCH(P$2,Inputs!$K$4:$AJ$4,0))))+SUMPRODUCT((Inputs!$E$5:$E$120=$B45)*ISNUMBER(INDEX(Inputs!$K$5:$AJ$120,0,MATCH(P$2,Inputs!$K$4:$AJ$4,0))))=0,NA(),SUMPRODUCT((Inputs!$A$5:$A$120=$B45)*Inputs!$B$5:$B$120*(((Inputs!$G$5:$G$120="moeda")+(Inputs!$G$5:$G$120="acoes"))*Inputs!$B$1+((Inputs!$G$5:$G$120&lt;&gt;"moeda")*(Inputs!$G$5:$G$120&lt;&gt;"acoes")))*INDEX(Inputs!$K$5:$AJ$120,0,MATCH(P$2,Inputs!$K$4:$AJ$4,0)))+SUMPRODUCT((Inputs!$C$5:$C$120=$B45)*Inputs!$D$5:$D$120*(((Inputs!$G$5:$G$120="moeda")+(Inputs!$G$5:$G$120="acoes"))*Inputs!$B$1+((Inputs!$G$5:$G$120&lt;&gt;"moeda")*(Inputs!$G$5:$G$120&lt;&gt;"acoes")))*INDEX(Inputs!$K$5:$AJ$120,0,MATCH(P$2,Inputs!$K$4:$AJ$4,0)))+SUMPRODUCT((Inputs!$E$5:$E$120=$B45)*Inputs!$F$5:$F$120*(((Inputs!$G$5:$G$120="moeda")+(Inputs!$G$5:$G$120="acoes"))*Inputs!$B$1+((Inputs!$G$5:$G$120&lt;&gt;"moeda")*(Inputs!$G$5:$G$120&lt;&gt;"acoes")))*INDEX(Inputs!$K$5:$AJ$120,0,MATCH(P$2,Inputs!$K$4:$AJ$4,0)))))</f>
        <v>-6224</v>
      </c>
      <c r="Q45" s="267">
        <f>IF(ISNA(MATCH(Q$2,Inputs!$K$4:$AJ$4,0)),NA(),IF(SUMPRODUCT((Inputs!$A$5:$A$120=$B45)*ISNUMBER(INDEX(Inputs!$K$5:$AJ$120,0,MATCH(Q$2,Inputs!$K$4:$AJ$4,0))))+SUMPRODUCT((Inputs!$C$5:$C$120=$B45)*ISNUMBER(INDEX(Inputs!$K$5:$AJ$120,0,MATCH(Q$2,Inputs!$K$4:$AJ$4,0))))+SUMPRODUCT((Inputs!$E$5:$E$120=$B45)*ISNUMBER(INDEX(Inputs!$K$5:$AJ$120,0,MATCH(Q$2,Inputs!$K$4:$AJ$4,0))))=0,NA(),SUMPRODUCT((Inputs!$A$5:$A$120=$B45)*Inputs!$B$5:$B$120*(((Inputs!$G$5:$G$120="moeda")+(Inputs!$G$5:$G$120="acoes"))*Inputs!$B$1+((Inputs!$G$5:$G$120&lt;&gt;"moeda")*(Inputs!$G$5:$G$120&lt;&gt;"acoes")))*INDEX(Inputs!$K$5:$AJ$120,0,MATCH(Q$2,Inputs!$K$4:$AJ$4,0)))+SUMPRODUCT((Inputs!$C$5:$C$120=$B45)*Inputs!$D$5:$D$120*(((Inputs!$G$5:$G$120="moeda")+(Inputs!$G$5:$G$120="acoes"))*Inputs!$B$1+((Inputs!$G$5:$G$120&lt;&gt;"moeda")*(Inputs!$G$5:$G$120&lt;&gt;"acoes")))*INDEX(Inputs!$K$5:$AJ$120,0,MATCH(Q$2,Inputs!$K$4:$AJ$4,0)))+SUMPRODUCT((Inputs!$E$5:$E$120=$B45)*Inputs!$F$5:$F$120*(((Inputs!$G$5:$G$120="moeda")+(Inputs!$G$5:$G$120="acoes"))*Inputs!$B$1+((Inputs!$G$5:$G$120&lt;&gt;"moeda")*(Inputs!$G$5:$G$120&lt;&gt;"acoes")))*INDEX(Inputs!$K$5:$AJ$120,0,MATCH(Q$2,Inputs!$K$4:$AJ$4,0)))))</f>
        <v>-6054</v>
      </c>
      <c r="R45" s="268">
        <f>Q45</f>
        <v>-6054</v>
      </c>
      <c r="S45" s="267">
        <f>IF(ISNA(MATCH(S$2,Inputs!$K$4:$AJ$4,0)),NA(),IF(SUMPRODUCT((Inputs!$A$5:$A$120=$B45)*ISNUMBER(INDEX(Inputs!$K$5:$AJ$120,0,MATCH(S$2,Inputs!$K$4:$AJ$4,0))))+SUMPRODUCT((Inputs!$C$5:$C$120=$B45)*ISNUMBER(INDEX(Inputs!$K$5:$AJ$120,0,MATCH(S$2,Inputs!$K$4:$AJ$4,0))))+SUMPRODUCT((Inputs!$E$5:$E$120=$B45)*ISNUMBER(INDEX(Inputs!$K$5:$AJ$120,0,MATCH(S$2,Inputs!$K$4:$AJ$4,0))))=0,NA(),SUMPRODUCT((Inputs!$A$5:$A$120=$B45)*Inputs!$B$5:$B$120*(((Inputs!$G$5:$G$120="moeda")+(Inputs!$G$5:$G$120="acoes"))*Inputs!$B$1+((Inputs!$G$5:$G$120&lt;&gt;"moeda")*(Inputs!$G$5:$G$120&lt;&gt;"acoes")))*INDEX(Inputs!$K$5:$AJ$120,0,MATCH(S$2,Inputs!$K$4:$AJ$4,0)))+SUMPRODUCT((Inputs!$C$5:$C$120=$B45)*Inputs!$D$5:$D$120*(((Inputs!$G$5:$G$120="moeda")+(Inputs!$G$5:$G$120="acoes"))*Inputs!$B$1+((Inputs!$G$5:$G$120&lt;&gt;"moeda")*(Inputs!$G$5:$G$120&lt;&gt;"acoes")))*INDEX(Inputs!$K$5:$AJ$120,0,MATCH(S$2,Inputs!$K$4:$AJ$4,0)))+SUMPRODUCT((Inputs!$E$5:$E$120=$B45)*Inputs!$F$5:$F$120*(((Inputs!$G$5:$G$120="moeda")+(Inputs!$G$5:$G$120="acoes"))*Inputs!$B$1+((Inputs!$G$5:$G$120&lt;&gt;"moeda")*(Inputs!$G$5:$G$120&lt;&gt;"acoes")))*INDEX(Inputs!$K$5:$AJ$120,0,MATCH(S$2,Inputs!$K$4:$AJ$4,0)))))</f>
        <v>-6194</v>
      </c>
      <c r="T45" s="267">
        <f>IF(ISNA(MATCH(T$2,Inputs!$K$4:$AJ$4,0)),NA(),IF(SUMPRODUCT((Inputs!$A$5:$A$120=$B45)*ISNUMBER(INDEX(Inputs!$K$5:$AJ$120,0,MATCH(T$2,Inputs!$K$4:$AJ$4,0))))+SUMPRODUCT((Inputs!$C$5:$C$120=$B45)*ISNUMBER(INDEX(Inputs!$K$5:$AJ$120,0,MATCH(T$2,Inputs!$K$4:$AJ$4,0))))+SUMPRODUCT((Inputs!$E$5:$E$120=$B45)*ISNUMBER(INDEX(Inputs!$K$5:$AJ$120,0,MATCH(T$2,Inputs!$K$4:$AJ$4,0))))=0,NA(),SUMPRODUCT((Inputs!$A$5:$A$120=$B45)*Inputs!$B$5:$B$120*(((Inputs!$G$5:$G$120="moeda")+(Inputs!$G$5:$G$120="acoes"))*Inputs!$B$1+((Inputs!$G$5:$G$120&lt;&gt;"moeda")*(Inputs!$G$5:$G$120&lt;&gt;"acoes")))*INDEX(Inputs!$K$5:$AJ$120,0,MATCH(T$2,Inputs!$K$4:$AJ$4,0)))+SUMPRODUCT((Inputs!$C$5:$C$120=$B45)*Inputs!$D$5:$D$120*(((Inputs!$G$5:$G$120="moeda")+(Inputs!$G$5:$G$120="acoes"))*Inputs!$B$1+((Inputs!$G$5:$G$120&lt;&gt;"moeda")*(Inputs!$G$5:$G$120&lt;&gt;"acoes")))*INDEX(Inputs!$K$5:$AJ$120,0,MATCH(T$2,Inputs!$K$4:$AJ$4,0)))+SUMPRODUCT((Inputs!$E$5:$E$120=$B45)*Inputs!$F$5:$F$120*(((Inputs!$G$5:$G$120="moeda")+(Inputs!$G$5:$G$120="acoes"))*Inputs!$B$1+((Inputs!$G$5:$G$120&lt;&gt;"moeda")*(Inputs!$G$5:$G$120&lt;&gt;"acoes")))*INDEX(Inputs!$K$5:$AJ$120,0,MATCH(T$2,Inputs!$K$4:$AJ$4,0)))))</f>
        <v>-6446</v>
      </c>
      <c r="U45" s="267">
        <f>IF(ISNA(MATCH(U$2,Inputs!$K$4:$AJ$4,0)),NA(),IF(SUMPRODUCT((Inputs!$A$5:$A$120=$B45)*ISNUMBER(INDEX(Inputs!$K$5:$AJ$120,0,MATCH(U$2,Inputs!$K$4:$AJ$4,0))))+SUMPRODUCT((Inputs!$C$5:$C$120=$B45)*ISNUMBER(INDEX(Inputs!$K$5:$AJ$120,0,MATCH(U$2,Inputs!$K$4:$AJ$4,0))))+SUMPRODUCT((Inputs!$E$5:$E$120=$B45)*ISNUMBER(INDEX(Inputs!$K$5:$AJ$120,0,MATCH(U$2,Inputs!$K$4:$AJ$4,0))))=0,NA(),SUMPRODUCT((Inputs!$A$5:$A$120=$B45)*Inputs!$B$5:$B$120*(((Inputs!$G$5:$G$120="moeda")+(Inputs!$G$5:$G$120="acoes"))*Inputs!$B$1+((Inputs!$G$5:$G$120&lt;&gt;"moeda")*(Inputs!$G$5:$G$120&lt;&gt;"acoes")))*INDEX(Inputs!$K$5:$AJ$120,0,MATCH(U$2,Inputs!$K$4:$AJ$4,0)))+SUMPRODUCT((Inputs!$C$5:$C$120=$B45)*Inputs!$D$5:$D$120*(((Inputs!$G$5:$G$120="moeda")+(Inputs!$G$5:$G$120="acoes"))*Inputs!$B$1+((Inputs!$G$5:$G$120&lt;&gt;"moeda")*(Inputs!$G$5:$G$120&lt;&gt;"acoes")))*INDEX(Inputs!$K$5:$AJ$120,0,MATCH(U$2,Inputs!$K$4:$AJ$4,0)))+SUMPRODUCT((Inputs!$E$5:$E$120=$B45)*Inputs!$F$5:$F$120*(((Inputs!$G$5:$G$120="moeda")+(Inputs!$G$5:$G$120="acoes"))*Inputs!$B$1+((Inputs!$G$5:$G$120&lt;&gt;"moeda")*(Inputs!$G$5:$G$120&lt;&gt;"acoes")))*INDEX(Inputs!$K$5:$AJ$120,0,MATCH(U$2,Inputs!$K$4:$AJ$4,0)))))</f>
        <v>-6354</v>
      </c>
      <c r="V45" s="267">
        <f>IF(ISNA(MATCH(V$2,Inputs!$K$4:$AJ$4,0)),NA(),IF(SUMPRODUCT((Inputs!$A$5:$A$120=$B45)*ISNUMBER(INDEX(Inputs!$K$5:$AJ$120,0,MATCH(V$2,Inputs!$K$4:$AJ$4,0))))+SUMPRODUCT((Inputs!$C$5:$C$120=$B45)*ISNUMBER(INDEX(Inputs!$K$5:$AJ$120,0,MATCH(V$2,Inputs!$K$4:$AJ$4,0))))+SUMPRODUCT((Inputs!$E$5:$E$120=$B45)*ISNUMBER(INDEX(Inputs!$K$5:$AJ$120,0,MATCH(V$2,Inputs!$K$4:$AJ$4,0))))=0,NA(),SUMPRODUCT((Inputs!$A$5:$A$120=$B45)*Inputs!$B$5:$B$120*(((Inputs!$G$5:$G$120="moeda")+(Inputs!$G$5:$G$120="acoes"))*Inputs!$B$1+((Inputs!$G$5:$G$120&lt;&gt;"moeda")*(Inputs!$G$5:$G$120&lt;&gt;"acoes")))*INDEX(Inputs!$K$5:$AJ$120,0,MATCH(V$2,Inputs!$K$4:$AJ$4,0)))+SUMPRODUCT((Inputs!$C$5:$C$120=$B45)*Inputs!$D$5:$D$120*(((Inputs!$G$5:$G$120="moeda")+(Inputs!$G$5:$G$120="acoes"))*Inputs!$B$1+((Inputs!$G$5:$G$120&lt;&gt;"moeda")*(Inputs!$G$5:$G$120&lt;&gt;"acoes")))*INDEX(Inputs!$K$5:$AJ$120,0,MATCH(V$2,Inputs!$K$4:$AJ$4,0)))+SUMPRODUCT((Inputs!$E$5:$E$120=$B45)*Inputs!$F$5:$F$120*(((Inputs!$G$5:$G$120="moeda")+(Inputs!$G$5:$G$120="acoes"))*Inputs!$B$1+((Inputs!$G$5:$G$120&lt;&gt;"moeda")*(Inputs!$G$5:$G$120&lt;&gt;"acoes")))*INDEX(Inputs!$K$5:$AJ$120,0,MATCH(V$2,Inputs!$K$4:$AJ$4,0)))))</f>
        <v>-6702</v>
      </c>
      <c r="W45" s="268">
        <f>V45</f>
        <v>-6702</v>
      </c>
      <c r="X45" s="267">
        <f>IF(ISNA(MATCH(X$2,Inputs!$K$4:$AJ$4,0)),NA(),IF(SUMPRODUCT((Inputs!$A$5:$A$120=$B45)*ISNUMBER(INDEX(Inputs!$K$5:$AJ$120,0,MATCH(X$2,Inputs!$K$4:$AJ$4,0))))+SUMPRODUCT((Inputs!$C$5:$C$120=$B45)*ISNUMBER(INDEX(Inputs!$K$5:$AJ$120,0,MATCH(X$2,Inputs!$K$4:$AJ$4,0))))+SUMPRODUCT((Inputs!$E$5:$E$120=$B45)*ISNUMBER(INDEX(Inputs!$K$5:$AJ$120,0,MATCH(X$2,Inputs!$K$4:$AJ$4,0))))=0,NA(),SUMPRODUCT((Inputs!$A$5:$A$120=$B45)*Inputs!$B$5:$B$120*(((Inputs!$G$5:$G$120="moeda")+(Inputs!$G$5:$G$120="acoes"))*Inputs!$B$1+((Inputs!$G$5:$G$120&lt;&gt;"moeda")*(Inputs!$G$5:$G$120&lt;&gt;"acoes")))*INDEX(Inputs!$K$5:$AJ$120,0,MATCH(X$2,Inputs!$K$4:$AJ$4,0)))+SUMPRODUCT((Inputs!$C$5:$C$120=$B45)*Inputs!$D$5:$D$120*(((Inputs!$G$5:$G$120="moeda")+(Inputs!$G$5:$G$120="acoes"))*Inputs!$B$1+((Inputs!$G$5:$G$120&lt;&gt;"moeda")*(Inputs!$G$5:$G$120&lt;&gt;"acoes")))*INDEX(Inputs!$K$5:$AJ$120,0,MATCH(X$2,Inputs!$K$4:$AJ$4,0)))+SUMPRODUCT((Inputs!$E$5:$E$120=$B45)*Inputs!$F$5:$F$120*(((Inputs!$G$5:$G$120="moeda")+(Inputs!$G$5:$G$120="acoes"))*Inputs!$B$1+((Inputs!$G$5:$G$120&lt;&gt;"moeda")*(Inputs!$G$5:$G$120&lt;&gt;"acoes")))*INDEX(Inputs!$K$5:$AJ$120,0,MATCH(X$2,Inputs!$K$4:$AJ$4,0)))))</f>
        <v>-6436</v>
      </c>
      <c r="Y45" s="267">
        <f>IF(ISNA(MATCH(Y$2,Inputs!$K$4:$AJ$4,0)),NA(),IF(SUMPRODUCT((Inputs!$A$5:$A$120=$B45)*ISNUMBER(INDEX(Inputs!$K$5:$AJ$120,0,MATCH(Y$2,Inputs!$K$4:$AJ$4,0))))+SUMPRODUCT((Inputs!$C$5:$C$120=$B45)*ISNUMBER(INDEX(Inputs!$K$5:$AJ$120,0,MATCH(Y$2,Inputs!$K$4:$AJ$4,0))))+SUMPRODUCT((Inputs!$E$5:$E$120=$B45)*ISNUMBER(INDEX(Inputs!$K$5:$AJ$120,0,MATCH(Y$2,Inputs!$K$4:$AJ$4,0))))=0,NA(),SUMPRODUCT((Inputs!$A$5:$A$120=$B45)*Inputs!$B$5:$B$120*(((Inputs!$G$5:$G$120="moeda")+(Inputs!$G$5:$G$120="acoes"))*Inputs!$B$1+((Inputs!$G$5:$G$120&lt;&gt;"moeda")*(Inputs!$G$5:$G$120&lt;&gt;"acoes")))*INDEX(Inputs!$K$5:$AJ$120,0,MATCH(Y$2,Inputs!$K$4:$AJ$4,0)))+SUMPRODUCT((Inputs!$C$5:$C$120=$B45)*Inputs!$D$5:$D$120*(((Inputs!$G$5:$G$120="moeda")+(Inputs!$G$5:$G$120="acoes"))*Inputs!$B$1+((Inputs!$G$5:$G$120&lt;&gt;"moeda")*(Inputs!$G$5:$G$120&lt;&gt;"acoes")))*INDEX(Inputs!$K$5:$AJ$120,0,MATCH(Y$2,Inputs!$K$4:$AJ$4,0)))+SUMPRODUCT((Inputs!$E$5:$E$120=$B45)*Inputs!$F$5:$F$120*(((Inputs!$G$5:$G$120="moeda")+(Inputs!$G$5:$G$120="acoes"))*Inputs!$B$1+((Inputs!$G$5:$G$120&lt;&gt;"moeda")*(Inputs!$G$5:$G$120&lt;&gt;"acoes")))*INDEX(Inputs!$K$5:$AJ$120,0,MATCH(Y$2,Inputs!$K$4:$AJ$4,0)))))</f>
        <v>-6123</v>
      </c>
      <c r="Z45" s="267">
        <f>IF(ISNA(MATCH(Z$2,Inputs!$K$4:$AJ$4,0)),NA(),IF(SUMPRODUCT((Inputs!$A$5:$A$120=$B45)*ISNUMBER(INDEX(Inputs!$K$5:$AJ$120,0,MATCH(Z$2,Inputs!$K$4:$AJ$4,0))))+SUMPRODUCT((Inputs!$C$5:$C$120=$B45)*ISNUMBER(INDEX(Inputs!$K$5:$AJ$120,0,MATCH(Z$2,Inputs!$K$4:$AJ$4,0))))+SUMPRODUCT((Inputs!$E$5:$E$120=$B45)*ISNUMBER(INDEX(Inputs!$K$5:$AJ$120,0,MATCH(Z$2,Inputs!$K$4:$AJ$4,0))))=0,NA(),SUMPRODUCT((Inputs!$A$5:$A$120=$B45)*Inputs!$B$5:$B$120*(((Inputs!$G$5:$G$120="moeda")+(Inputs!$G$5:$G$120="acoes"))*Inputs!$B$1+((Inputs!$G$5:$G$120&lt;&gt;"moeda")*(Inputs!$G$5:$G$120&lt;&gt;"acoes")))*INDEX(Inputs!$K$5:$AJ$120,0,MATCH(Z$2,Inputs!$K$4:$AJ$4,0)))+SUMPRODUCT((Inputs!$C$5:$C$120=$B45)*Inputs!$D$5:$D$120*(((Inputs!$G$5:$G$120="moeda")+(Inputs!$G$5:$G$120="acoes"))*Inputs!$B$1+((Inputs!$G$5:$G$120&lt;&gt;"moeda")*(Inputs!$G$5:$G$120&lt;&gt;"acoes")))*INDEX(Inputs!$K$5:$AJ$120,0,MATCH(Z$2,Inputs!$K$4:$AJ$4,0)))+SUMPRODUCT((Inputs!$E$5:$E$120=$B45)*Inputs!$F$5:$F$120*(((Inputs!$G$5:$G$120="moeda")+(Inputs!$G$5:$G$120="acoes"))*Inputs!$B$1+((Inputs!$G$5:$G$120&lt;&gt;"moeda")*(Inputs!$G$5:$G$120&lt;&gt;"acoes")))*INDEX(Inputs!$K$5:$AJ$120,0,MATCH(Z$2,Inputs!$K$4:$AJ$4,0)))))</f>
        <v>-6107</v>
      </c>
      <c r="AA45" s="267">
        <f>IF(ISNA(MATCH(AA$2,Inputs!$K$4:$AJ$4,0)),NA(),IF(SUMPRODUCT((Inputs!$A$5:$A$120=$B45)*ISNUMBER(INDEX(Inputs!$K$5:$AJ$120,0,MATCH(AA$2,Inputs!$K$4:$AJ$4,0))))+SUMPRODUCT((Inputs!$C$5:$C$120=$B45)*ISNUMBER(INDEX(Inputs!$K$5:$AJ$120,0,MATCH(AA$2,Inputs!$K$4:$AJ$4,0))))+SUMPRODUCT((Inputs!$E$5:$E$120=$B45)*ISNUMBER(INDEX(Inputs!$K$5:$AJ$120,0,MATCH(AA$2,Inputs!$K$4:$AJ$4,0))))=0,NA(),SUMPRODUCT((Inputs!$A$5:$A$120=$B45)*Inputs!$B$5:$B$120*(((Inputs!$G$5:$G$120="moeda")+(Inputs!$G$5:$G$120="acoes"))*Inputs!$B$1+((Inputs!$G$5:$G$120&lt;&gt;"moeda")*(Inputs!$G$5:$G$120&lt;&gt;"acoes")))*INDEX(Inputs!$K$5:$AJ$120,0,MATCH(AA$2,Inputs!$K$4:$AJ$4,0)))+SUMPRODUCT((Inputs!$C$5:$C$120=$B45)*Inputs!$D$5:$D$120*(((Inputs!$G$5:$G$120="moeda")+(Inputs!$G$5:$G$120="acoes"))*Inputs!$B$1+((Inputs!$G$5:$G$120&lt;&gt;"moeda")*(Inputs!$G$5:$G$120&lt;&gt;"acoes")))*INDEX(Inputs!$K$5:$AJ$120,0,MATCH(AA$2,Inputs!$K$4:$AJ$4,0)))+SUMPRODUCT((Inputs!$E$5:$E$120=$B45)*Inputs!$F$5:$F$120*(((Inputs!$G$5:$G$120="moeda")+(Inputs!$G$5:$G$120="acoes"))*Inputs!$B$1+((Inputs!$G$5:$G$120&lt;&gt;"moeda")*(Inputs!$G$5:$G$120&lt;&gt;"acoes")))*INDEX(Inputs!$K$5:$AJ$120,0,MATCH(AA$2,Inputs!$K$4:$AJ$4,0)))))</f>
        <v>-6084</v>
      </c>
      <c r="AB45" s="268">
        <f>AA45</f>
        <v>-6084</v>
      </c>
      <c r="AC45" s="267">
        <f>IF(ISNA(MATCH(AC$2,Inputs!$K$4:$AJ$4,0)),NA(),IF(SUMPRODUCT((Inputs!$A$5:$A$120=$B45)*ISNUMBER(INDEX(Inputs!$K$5:$AJ$120,0,MATCH(AC$2,Inputs!$K$4:$AJ$4,0))))+SUMPRODUCT((Inputs!$C$5:$C$120=$B45)*ISNUMBER(INDEX(Inputs!$K$5:$AJ$120,0,MATCH(AC$2,Inputs!$K$4:$AJ$4,0))))+SUMPRODUCT((Inputs!$E$5:$E$120=$B45)*ISNUMBER(INDEX(Inputs!$K$5:$AJ$120,0,MATCH(AC$2,Inputs!$K$4:$AJ$4,0))))=0,NA(),SUMPRODUCT((Inputs!$A$5:$A$120=$B45)*Inputs!$B$5:$B$120*(((Inputs!$G$5:$G$120="moeda")+(Inputs!$G$5:$G$120="acoes"))*Inputs!$B$1+((Inputs!$G$5:$G$120&lt;&gt;"moeda")*(Inputs!$G$5:$G$120&lt;&gt;"acoes")))*INDEX(Inputs!$K$5:$AJ$120,0,MATCH(AC$2,Inputs!$K$4:$AJ$4,0)))+SUMPRODUCT((Inputs!$C$5:$C$120=$B45)*Inputs!$D$5:$D$120*(((Inputs!$G$5:$G$120="moeda")+(Inputs!$G$5:$G$120="acoes"))*Inputs!$B$1+((Inputs!$G$5:$G$120&lt;&gt;"moeda")*(Inputs!$G$5:$G$120&lt;&gt;"acoes")))*INDEX(Inputs!$K$5:$AJ$120,0,MATCH(AC$2,Inputs!$K$4:$AJ$4,0)))+SUMPRODUCT((Inputs!$E$5:$E$120=$B45)*Inputs!$F$5:$F$120*(((Inputs!$G$5:$G$120="moeda")+(Inputs!$G$5:$G$120="acoes"))*Inputs!$B$1+((Inputs!$G$5:$G$120&lt;&gt;"moeda")*(Inputs!$G$5:$G$120&lt;&gt;"acoes")))*INDEX(Inputs!$K$5:$AJ$120,0,MATCH(AC$2,Inputs!$K$4:$AJ$4,0)))))</f>
        <v>-6017</v>
      </c>
      <c r="AD45" s="267">
        <f>IF(ISNA(MATCH(AD$2,Inputs!$K$4:$AJ$4,0)),NA(),IF(SUMPRODUCT((Inputs!$A$5:$A$120=$B45)*ISNUMBER(INDEX(Inputs!$K$5:$AJ$120,0,MATCH(AD$2,Inputs!$K$4:$AJ$4,0))))+SUMPRODUCT((Inputs!$C$5:$C$120=$B45)*ISNUMBER(INDEX(Inputs!$K$5:$AJ$120,0,MATCH(AD$2,Inputs!$K$4:$AJ$4,0))))+SUMPRODUCT((Inputs!$E$5:$E$120=$B45)*ISNUMBER(INDEX(Inputs!$K$5:$AJ$120,0,MATCH(AD$2,Inputs!$K$4:$AJ$4,0))))=0,NA(),SUMPRODUCT((Inputs!$A$5:$A$120=$B45)*Inputs!$B$5:$B$120*(((Inputs!$G$5:$G$120="moeda")+(Inputs!$G$5:$G$120="acoes"))*Inputs!$B$1+((Inputs!$G$5:$G$120&lt;&gt;"moeda")*(Inputs!$G$5:$G$120&lt;&gt;"acoes")))*INDEX(Inputs!$K$5:$AJ$120,0,MATCH(AD$2,Inputs!$K$4:$AJ$4,0)))+SUMPRODUCT((Inputs!$C$5:$C$120=$B45)*Inputs!$D$5:$D$120*(((Inputs!$G$5:$G$120="moeda")+(Inputs!$G$5:$G$120="acoes"))*Inputs!$B$1+((Inputs!$G$5:$G$120&lt;&gt;"moeda")*(Inputs!$G$5:$G$120&lt;&gt;"acoes")))*INDEX(Inputs!$K$5:$AJ$120,0,MATCH(AD$2,Inputs!$K$4:$AJ$4,0)))+SUMPRODUCT((Inputs!$E$5:$E$120=$B45)*Inputs!$F$5:$F$120*(((Inputs!$G$5:$G$120="moeda")+(Inputs!$G$5:$G$120="acoes"))*Inputs!$B$1+((Inputs!$G$5:$G$120&lt;&gt;"moeda")*(Inputs!$G$5:$G$120&lt;&gt;"acoes")))*INDEX(Inputs!$K$5:$AJ$120,0,MATCH(AD$2,Inputs!$K$4:$AJ$4,0)))))</f>
        <v>-6014</v>
      </c>
      <c r="AE45" s="267" t="e">
        <f>IF(ISNA(MATCH(AE$2,Inputs!$K$4:$AJ$4,0)),NA(),IF(SUMPRODUCT((Inputs!$A$5:$A$120=$B45)*ISNUMBER(INDEX(Inputs!$K$5:$AJ$120,0,MATCH(AE$2,Inputs!$K$4:$AJ$4,0))))+SUMPRODUCT((Inputs!$C$5:$C$120=$B45)*ISNUMBER(INDEX(Inputs!$K$5:$AJ$120,0,MATCH(AE$2,Inputs!$K$4:$AJ$4,0))))+SUMPRODUCT((Inputs!$E$5:$E$120=$B45)*ISNUMBER(INDEX(Inputs!$K$5:$AJ$120,0,MATCH(AE$2,Inputs!$K$4:$AJ$4,0))))=0,NA(),SUMPRODUCT((Inputs!$A$5:$A$120=$B45)*Inputs!$B$5:$B$120*(((Inputs!$G$5:$G$120="moeda")+(Inputs!$G$5:$G$120="acoes"))*Inputs!$B$1+((Inputs!$G$5:$G$120&lt;&gt;"moeda")*(Inputs!$G$5:$G$120&lt;&gt;"acoes")))*INDEX(Inputs!$K$5:$AJ$120,0,MATCH(AE$2,Inputs!$K$4:$AJ$4,0)))+SUMPRODUCT((Inputs!$C$5:$C$120=$B45)*Inputs!$D$5:$D$120*(((Inputs!$G$5:$G$120="moeda")+(Inputs!$G$5:$G$120="acoes"))*Inputs!$B$1+((Inputs!$G$5:$G$120&lt;&gt;"moeda")*(Inputs!$G$5:$G$120&lt;&gt;"acoes")))*INDEX(Inputs!$K$5:$AJ$120,0,MATCH(AE$2,Inputs!$K$4:$AJ$4,0)))+SUMPRODUCT((Inputs!$E$5:$E$120=$B45)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5" s="267" t="e">
        <f>IF(ISNA(MATCH(AF$2,Inputs!$K$4:$AJ$4,0)),NA(),IF(SUMPRODUCT((Inputs!$A$5:$A$120=$B45)*ISNUMBER(INDEX(Inputs!$K$5:$AJ$120,0,MATCH(AF$2,Inputs!$K$4:$AJ$4,0))))+SUMPRODUCT((Inputs!$C$5:$C$120=$B45)*ISNUMBER(INDEX(Inputs!$K$5:$AJ$120,0,MATCH(AF$2,Inputs!$K$4:$AJ$4,0))))+SUMPRODUCT((Inputs!$E$5:$E$120=$B45)*ISNUMBER(INDEX(Inputs!$K$5:$AJ$120,0,MATCH(AF$2,Inputs!$K$4:$AJ$4,0))))=0,NA(),SUMPRODUCT((Inputs!$A$5:$A$120=$B45)*Inputs!$B$5:$B$120*(((Inputs!$G$5:$G$120="moeda")+(Inputs!$G$5:$G$120="acoes"))*Inputs!$B$1+((Inputs!$G$5:$G$120&lt;&gt;"moeda")*(Inputs!$G$5:$G$120&lt;&gt;"acoes")))*INDEX(Inputs!$K$5:$AJ$120,0,MATCH(AF$2,Inputs!$K$4:$AJ$4,0)))+SUMPRODUCT((Inputs!$C$5:$C$120=$B45)*Inputs!$D$5:$D$120*(((Inputs!$G$5:$G$120="moeda")+(Inputs!$G$5:$G$120="acoes"))*Inputs!$B$1+((Inputs!$G$5:$G$120&lt;&gt;"moeda")*(Inputs!$G$5:$G$120&lt;&gt;"acoes")))*INDEX(Inputs!$K$5:$AJ$120,0,MATCH(AF$2,Inputs!$K$4:$AJ$4,0)))+SUMPRODUCT((Inputs!$E$5:$E$120=$B45)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5" s="268" t="e">
        <f>AF45</f>
        <v>#N/A</v>
      </c>
      <c r="AH45" s="267">
        <f>IF(ISNA(MATCH(AH$2,Inputs!$K$4:$AJ$4,0)),NA(),IF(SUMPRODUCT((Inputs!$A$5:$A$120=$B45)*ISNUMBER(INDEX(Inputs!$K$5:$AJ$120,0,MATCH(AH$2,Inputs!$K$4:$AJ$4,0))))+SUMPRODUCT((Inputs!$C$5:$C$120=$B45)*ISNUMBER(INDEX(Inputs!$K$5:$AJ$120,0,MATCH(AH$2,Inputs!$K$4:$AJ$4,0))))+SUMPRODUCT((Inputs!$E$5:$E$120=$B45)*ISNUMBER(INDEX(Inputs!$K$5:$AJ$120,0,MATCH(AH$2,Inputs!$K$4:$AJ$4,0))))=0,NA(),SUMPRODUCT((Inputs!$A$5:$A$120=$B45)*Inputs!$B$5:$B$120*(((Inputs!$G$5:$G$120="moeda")+(Inputs!$G$5:$G$120="acoes"))*Inputs!$B$1+((Inputs!$G$5:$G$120&lt;&gt;"moeda")*(Inputs!$G$5:$G$120&lt;&gt;"acoes")))*INDEX(Inputs!$K$5:$AJ$120,0,MATCH(AH$2,Inputs!$K$4:$AJ$4,0)))+SUMPRODUCT((Inputs!$C$5:$C$120=$B45)*Inputs!$D$5:$D$120*(((Inputs!$G$5:$G$120="moeda")+(Inputs!$G$5:$G$120="acoes"))*Inputs!$B$1+((Inputs!$G$5:$G$120&lt;&gt;"moeda")*(Inputs!$G$5:$G$120&lt;&gt;"acoes")))*INDEX(Inputs!$K$5:$AJ$120,0,MATCH(AH$2,Inputs!$K$4:$AJ$4,0)))+SUMPRODUCT((Inputs!$E$5:$E$120=$B45)*Inputs!$F$5:$F$120*(((Inputs!$G$5:$G$120="moeda")+(Inputs!$G$5:$G$120="acoes"))*Inputs!$B$1+((Inputs!$G$5:$G$120&lt;&gt;"moeda")*(Inputs!$G$5:$G$120&lt;&gt;"acoes")))*INDEX(Inputs!$K$5:$AJ$120,0,MATCH(AH$2,Inputs!$K$4:$AJ$4,0)))))</f>
        <v>-6411</v>
      </c>
      <c r="AI45" s="267">
        <f>IF(ISNA(MATCH(AI$2,Inputs!$K$4:$AJ$4,0)),NA(),IF(SUMPRODUCT((Inputs!$A$5:$A$120=$B45)*ISNUMBER(INDEX(Inputs!$K$5:$AJ$120,0,MATCH(AI$2,Inputs!$K$4:$AJ$4,0))))+SUMPRODUCT((Inputs!$C$5:$C$120=$B45)*ISNUMBER(INDEX(Inputs!$K$5:$AJ$120,0,MATCH(AI$2,Inputs!$K$4:$AJ$4,0))))+SUMPRODUCT((Inputs!$E$5:$E$120=$B45)*ISNUMBER(INDEX(Inputs!$K$5:$AJ$120,0,MATCH(AI$2,Inputs!$K$4:$AJ$4,0))))=0,NA(),SUMPRODUCT((Inputs!$A$5:$A$120=$B45)*Inputs!$B$5:$B$120*(((Inputs!$G$5:$G$120="moeda")+(Inputs!$G$5:$G$120="acoes"))*Inputs!$B$1+((Inputs!$G$5:$G$120&lt;&gt;"moeda")*(Inputs!$G$5:$G$120&lt;&gt;"acoes")))*INDEX(Inputs!$K$5:$AJ$120,0,MATCH(AI$2,Inputs!$K$4:$AJ$4,0)))+SUMPRODUCT((Inputs!$C$5:$C$120=$B45)*Inputs!$D$5:$D$120*(((Inputs!$G$5:$G$120="moeda")+(Inputs!$G$5:$G$120="acoes"))*Inputs!$B$1+((Inputs!$G$5:$G$120&lt;&gt;"moeda")*(Inputs!$G$5:$G$120&lt;&gt;"acoes")))*INDEX(Inputs!$K$5:$AJ$120,0,MATCH(AI$2,Inputs!$K$4:$AJ$4,0)))+SUMPRODUCT((Inputs!$E$5:$E$120=$B45)*Inputs!$F$5:$F$120*(((Inputs!$G$5:$G$120="moeda")+(Inputs!$G$5:$G$120="acoes"))*Inputs!$B$1+((Inputs!$G$5:$G$120&lt;&gt;"moeda")*(Inputs!$G$5:$G$120&lt;&gt;"acoes")))*INDEX(Inputs!$K$5:$AJ$120,0,MATCH(AI$2,Inputs!$K$4:$AJ$4,0)))))</f>
        <v>-6515</v>
      </c>
      <c r="AJ45" s="267">
        <f>IF(ISNA(MATCH(AJ$2,Inputs!$K$4:$AJ$4,0)),NA(),IF(SUMPRODUCT((Inputs!$A$5:$A$120=$B45)*ISNUMBER(INDEX(Inputs!$K$5:$AJ$120,0,MATCH(AJ$2,Inputs!$K$4:$AJ$4,0))))+SUMPRODUCT((Inputs!$C$5:$C$120=$B45)*ISNUMBER(INDEX(Inputs!$K$5:$AJ$120,0,MATCH(AJ$2,Inputs!$K$4:$AJ$4,0))))+SUMPRODUCT((Inputs!$E$5:$E$120=$B45)*ISNUMBER(INDEX(Inputs!$K$5:$AJ$120,0,MATCH(AJ$2,Inputs!$K$4:$AJ$4,0))))=0,NA(),SUMPRODUCT((Inputs!$A$5:$A$120=$B45)*Inputs!$B$5:$B$120*(((Inputs!$G$5:$G$120="moeda")+(Inputs!$G$5:$G$120="acoes"))*Inputs!$B$1+((Inputs!$G$5:$G$120&lt;&gt;"moeda")*(Inputs!$G$5:$G$120&lt;&gt;"acoes")))*INDEX(Inputs!$K$5:$AJ$120,0,MATCH(AJ$2,Inputs!$K$4:$AJ$4,0)))+SUMPRODUCT((Inputs!$C$5:$C$120=$B45)*Inputs!$D$5:$D$120*(((Inputs!$G$5:$G$120="moeda")+(Inputs!$G$5:$G$120="acoes"))*Inputs!$B$1+((Inputs!$G$5:$G$120&lt;&gt;"moeda")*(Inputs!$G$5:$G$120&lt;&gt;"acoes")))*INDEX(Inputs!$K$5:$AJ$120,0,MATCH(AJ$2,Inputs!$K$4:$AJ$4,0)))+SUMPRODUCT((Inputs!$E$5:$E$120=$B45)*Inputs!$F$5:$F$120*(((Inputs!$G$5:$G$120="moeda")+(Inputs!$G$5:$G$120="acoes"))*Inputs!$B$1+((Inputs!$G$5:$G$120&lt;&gt;"moeda")*(Inputs!$G$5:$G$120&lt;&gt;"acoes")))*INDEX(Inputs!$K$5:$AJ$120,0,MATCH(AJ$2,Inputs!$K$4:$AJ$4,0)))))</f>
        <v>-6504</v>
      </c>
      <c r="AK45" s="267">
        <f>IF(ISNA(MATCH(AK$2,Inputs!$K$4:$AJ$4,0)),NA(),IF(SUMPRODUCT((Inputs!$A$5:$A$120=$B45)*ISNUMBER(INDEX(Inputs!$K$5:$AJ$120,0,MATCH(AK$2,Inputs!$K$4:$AJ$4,0))))+SUMPRODUCT((Inputs!$C$5:$C$120=$B45)*ISNUMBER(INDEX(Inputs!$K$5:$AJ$120,0,MATCH(AK$2,Inputs!$K$4:$AJ$4,0))))+SUMPRODUCT((Inputs!$E$5:$E$120=$B45)*ISNUMBER(INDEX(Inputs!$K$5:$AJ$120,0,MATCH(AK$2,Inputs!$K$4:$AJ$4,0))))=0,NA(),SUMPRODUCT((Inputs!$A$5:$A$120=$B45)*Inputs!$B$5:$B$120*(((Inputs!$G$5:$G$120="moeda")+(Inputs!$G$5:$G$120="acoes"))*Inputs!$B$1+((Inputs!$G$5:$G$120&lt;&gt;"moeda")*(Inputs!$G$5:$G$120&lt;&gt;"acoes")))*INDEX(Inputs!$K$5:$AJ$120,0,MATCH(AK$2,Inputs!$K$4:$AJ$4,0)))+SUMPRODUCT((Inputs!$C$5:$C$120=$B45)*Inputs!$D$5:$D$120*(((Inputs!$G$5:$G$120="moeda")+(Inputs!$G$5:$G$120="acoes"))*Inputs!$B$1+((Inputs!$G$5:$G$120&lt;&gt;"moeda")*(Inputs!$G$5:$G$120&lt;&gt;"acoes")))*INDEX(Inputs!$K$5:$AJ$120,0,MATCH(AK$2,Inputs!$K$4:$AJ$4,0)))+SUMPRODUCT((Inputs!$E$5:$E$120=$B45)*Inputs!$F$5:$F$120*(((Inputs!$G$5:$G$120="moeda")+(Inputs!$G$5:$G$120="acoes"))*Inputs!$B$1+((Inputs!$G$5:$G$120&lt;&gt;"moeda")*(Inputs!$G$5:$G$120&lt;&gt;"acoes")))*INDEX(Inputs!$K$5:$AJ$120,0,MATCH(AK$2,Inputs!$K$4:$AJ$4,0)))))</f>
        <v>-6246</v>
      </c>
      <c r="AL45" s="268">
        <f>AK45</f>
        <v>-6246</v>
      </c>
    </row>
    <row r="46" ht="12.75" customHeight="1" s="255">
      <c r="B46" s="265" t="n">
        <v>40</v>
      </c>
      <c r="C46" s="270" t="inlineStr">
        <is>
          <t>Other equity account</t>
        </is>
      </c>
      <c r="D46" s="267">
        <f>IF(ISNA(MATCH(D$2,Inputs!$K$4:$AJ$4,0)),NA(),IF(SUMPRODUCT((Inputs!$A$5:$A$120=$B46)*ISNUMBER(INDEX(Inputs!$K$5:$AJ$120,0,MATCH(D$2,Inputs!$K$4:$AJ$4,0))))+SUMPRODUCT((Inputs!$C$5:$C$120=$B46)*ISNUMBER(INDEX(Inputs!$K$5:$AJ$120,0,MATCH(D$2,Inputs!$K$4:$AJ$4,0))))+SUMPRODUCT((Inputs!$E$5:$E$120=$B46)*ISNUMBER(INDEX(Inputs!$K$5:$AJ$120,0,MATCH(D$2,Inputs!$K$4:$AJ$4,0))))=0,NA(),SUMPRODUCT((Inputs!$A$5:$A$120=$B46)*Inputs!$B$5:$B$120*(((Inputs!$G$5:$G$120="moeda")+(Inputs!$G$5:$G$120="acoes"))*Inputs!$B$1+((Inputs!$G$5:$G$120&lt;&gt;"moeda")*(Inputs!$G$5:$G$120&lt;&gt;"acoes")))*INDEX(Inputs!$K$5:$AJ$120,0,MATCH(D$2,Inputs!$K$4:$AJ$4,0)))+SUMPRODUCT((Inputs!$C$5:$C$120=$B46)*Inputs!$D$5:$D$120*(((Inputs!$G$5:$G$120="moeda")+(Inputs!$G$5:$G$120="acoes"))*Inputs!$B$1+((Inputs!$G$5:$G$120&lt;&gt;"moeda")*(Inputs!$G$5:$G$120&lt;&gt;"acoes")))*INDEX(Inputs!$K$5:$AJ$120,0,MATCH(D$2,Inputs!$K$4:$AJ$4,0)))+SUMPRODUCT((Inputs!$E$5:$E$120=$B46)*Inputs!$F$5:$F$120*(((Inputs!$G$5:$G$120="moeda")+(Inputs!$G$5:$G$120="acoes"))*Inputs!$B$1+((Inputs!$G$5:$G$120&lt;&gt;"moeda")*(Inputs!$G$5:$G$120&lt;&gt;"acoes")))*INDEX(Inputs!$K$5:$AJ$120,0,MATCH(D$2,Inputs!$K$4:$AJ$4,0)))))</f>
        <v>690</v>
      </c>
      <c r="E46" s="267">
        <f>IF(ISNA(MATCH(E$2,Inputs!$K$4:$AJ$4,0)),NA(),IF(SUMPRODUCT((Inputs!$A$5:$A$120=$B46)*ISNUMBER(INDEX(Inputs!$K$5:$AJ$120,0,MATCH(E$2,Inputs!$K$4:$AJ$4,0))))+SUMPRODUCT((Inputs!$C$5:$C$120=$B46)*ISNUMBER(INDEX(Inputs!$K$5:$AJ$120,0,MATCH(E$2,Inputs!$K$4:$AJ$4,0))))+SUMPRODUCT((Inputs!$E$5:$E$120=$B46)*ISNUMBER(INDEX(Inputs!$K$5:$AJ$120,0,MATCH(E$2,Inputs!$K$4:$AJ$4,0))))=0,NA(),SUMPRODUCT((Inputs!$A$5:$A$120=$B46)*Inputs!$B$5:$B$120*(((Inputs!$G$5:$G$120="moeda")+(Inputs!$G$5:$G$120="acoes"))*Inputs!$B$1+((Inputs!$G$5:$G$120&lt;&gt;"moeda")*(Inputs!$G$5:$G$120&lt;&gt;"acoes")))*INDEX(Inputs!$K$5:$AJ$120,0,MATCH(E$2,Inputs!$K$4:$AJ$4,0)))+SUMPRODUCT((Inputs!$C$5:$C$120=$B46)*Inputs!$D$5:$D$120*(((Inputs!$G$5:$G$120="moeda")+(Inputs!$G$5:$G$120="acoes"))*Inputs!$B$1+((Inputs!$G$5:$G$120&lt;&gt;"moeda")*(Inputs!$G$5:$G$120&lt;&gt;"acoes")))*INDEX(Inputs!$K$5:$AJ$120,0,MATCH(E$2,Inputs!$K$4:$AJ$4,0)))+SUMPRODUCT((Inputs!$E$5:$E$120=$B46)*Inputs!$F$5:$F$120*(((Inputs!$G$5:$G$120="moeda")+(Inputs!$G$5:$G$120="acoes"))*Inputs!$B$1+((Inputs!$G$5:$G$120&lt;&gt;"moeda")*(Inputs!$G$5:$G$120&lt;&gt;"acoes")))*INDEX(Inputs!$K$5:$AJ$120,0,MATCH(E$2,Inputs!$K$4:$AJ$4,0)))))</f>
        <v>690</v>
      </c>
      <c r="F46" s="267">
        <f>IF(ISNA(MATCH(F$2,Inputs!$K$4:$AJ$4,0)),NA(),IF(SUMPRODUCT((Inputs!$A$5:$A$120=$B46)*ISNUMBER(INDEX(Inputs!$K$5:$AJ$120,0,MATCH(F$2,Inputs!$K$4:$AJ$4,0))))+SUMPRODUCT((Inputs!$C$5:$C$120=$B46)*ISNUMBER(INDEX(Inputs!$K$5:$AJ$120,0,MATCH(F$2,Inputs!$K$4:$AJ$4,0))))+SUMPRODUCT((Inputs!$E$5:$E$120=$B46)*ISNUMBER(INDEX(Inputs!$K$5:$AJ$120,0,MATCH(F$2,Inputs!$K$4:$AJ$4,0))))=0,NA(),SUMPRODUCT((Inputs!$A$5:$A$120=$B46)*Inputs!$B$5:$B$120*(((Inputs!$G$5:$G$120="moeda")+(Inputs!$G$5:$G$120="acoes"))*Inputs!$B$1+((Inputs!$G$5:$G$120&lt;&gt;"moeda")*(Inputs!$G$5:$G$120&lt;&gt;"acoes")))*INDEX(Inputs!$K$5:$AJ$120,0,MATCH(F$2,Inputs!$K$4:$AJ$4,0)))+SUMPRODUCT((Inputs!$C$5:$C$120=$B46)*Inputs!$D$5:$D$120*(((Inputs!$G$5:$G$120="moeda")+(Inputs!$G$5:$G$120="acoes"))*Inputs!$B$1+((Inputs!$G$5:$G$120&lt;&gt;"moeda")*(Inputs!$G$5:$G$120&lt;&gt;"acoes")))*INDEX(Inputs!$K$5:$AJ$120,0,MATCH(F$2,Inputs!$K$4:$AJ$4,0)))+SUMPRODUCT((Inputs!$E$5:$E$120=$B46)*Inputs!$F$5:$F$120*(((Inputs!$G$5:$G$120="moeda")+(Inputs!$G$5:$G$120="acoes"))*Inputs!$B$1+((Inputs!$G$5:$G$120&lt;&gt;"moeda")*(Inputs!$G$5:$G$120&lt;&gt;"acoes")))*INDEX(Inputs!$K$5:$AJ$120,0,MATCH(F$2,Inputs!$K$4:$AJ$4,0)))))</f>
        <v>690</v>
      </c>
      <c r="G46" s="267">
        <f>IF(ISNA(MATCH(G$2,Inputs!$K$4:$AJ$4,0)),NA(),IF(SUMPRODUCT((Inputs!$A$5:$A$120=$B46)*ISNUMBER(INDEX(Inputs!$K$5:$AJ$120,0,MATCH(G$2,Inputs!$K$4:$AJ$4,0))))+SUMPRODUCT((Inputs!$C$5:$C$120=$B46)*ISNUMBER(INDEX(Inputs!$K$5:$AJ$120,0,MATCH(G$2,Inputs!$K$4:$AJ$4,0))))+SUMPRODUCT((Inputs!$E$5:$E$120=$B46)*ISNUMBER(INDEX(Inputs!$K$5:$AJ$120,0,MATCH(G$2,Inputs!$K$4:$AJ$4,0))))=0,NA(),SUMPRODUCT((Inputs!$A$5:$A$120=$B46)*Inputs!$B$5:$B$120*(((Inputs!$G$5:$G$120="moeda")+(Inputs!$G$5:$G$120="acoes"))*Inputs!$B$1+((Inputs!$G$5:$G$120&lt;&gt;"moeda")*(Inputs!$G$5:$G$120&lt;&gt;"acoes")))*INDEX(Inputs!$K$5:$AJ$120,0,MATCH(G$2,Inputs!$K$4:$AJ$4,0)))+SUMPRODUCT((Inputs!$C$5:$C$120=$B46)*Inputs!$D$5:$D$120*(((Inputs!$G$5:$G$120="moeda")+(Inputs!$G$5:$G$120="acoes"))*Inputs!$B$1+((Inputs!$G$5:$G$120&lt;&gt;"moeda")*(Inputs!$G$5:$G$120&lt;&gt;"acoes")))*INDEX(Inputs!$K$5:$AJ$120,0,MATCH(G$2,Inputs!$K$4:$AJ$4,0)))+SUMPRODUCT((Inputs!$E$5:$E$120=$B46)*Inputs!$F$5:$F$120*(((Inputs!$G$5:$G$120="moeda")+(Inputs!$G$5:$G$120="acoes"))*Inputs!$B$1+((Inputs!$G$5:$G$120&lt;&gt;"moeda")*(Inputs!$G$5:$G$120&lt;&gt;"acoes")))*INDEX(Inputs!$K$5:$AJ$120,0,MATCH(G$2,Inputs!$K$4:$AJ$4,0)))))</f>
        <v>690</v>
      </c>
      <c r="H46" s="268">
        <f>G46</f>
        <v>690</v>
      </c>
      <c r="I46" s="267">
        <f>IF(ISNA(MATCH(I$2,Inputs!$K$4:$AJ$4,0)),NA(),IF(SUMPRODUCT((Inputs!$A$5:$A$120=$B46)*ISNUMBER(INDEX(Inputs!$K$5:$AJ$120,0,MATCH(I$2,Inputs!$K$4:$AJ$4,0))))+SUMPRODUCT((Inputs!$C$5:$C$120=$B46)*ISNUMBER(INDEX(Inputs!$K$5:$AJ$120,0,MATCH(I$2,Inputs!$K$4:$AJ$4,0))))+SUMPRODUCT((Inputs!$E$5:$E$120=$B46)*ISNUMBER(INDEX(Inputs!$K$5:$AJ$120,0,MATCH(I$2,Inputs!$K$4:$AJ$4,0))))=0,NA(),SUMPRODUCT((Inputs!$A$5:$A$120=$B46)*Inputs!$B$5:$B$120*(((Inputs!$G$5:$G$120="moeda")+(Inputs!$G$5:$G$120="acoes"))*Inputs!$B$1+((Inputs!$G$5:$G$120&lt;&gt;"moeda")*(Inputs!$G$5:$G$120&lt;&gt;"acoes")))*INDEX(Inputs!$K$5:$AJ$120,0,MATCH(I$2,Inputs!$K$4:$AJ$4,0)))+SUMPRODUCT((Inputs!$C$5:$C$120=$B46)*Inputs!$D$5:$D$120*(((Inputs!$G$5:$G$120="moeda")+(Inputs!$G$5:$G$120="acoes"))*Inputs!$B$1+((Inputs!$G$5:$G$120&lt;&gt;"moeda")*(Inputs!$G$5:$G$120&lt;&gt;"acoes")))*INDEX(Inputs!$K$5:$AJ$120,0,MATCH(I$2,Inputs!$K$4:$AJ$4,0)))+SUMPRODUCT((Inputs!$E$5:$E$120=$B46)*Inputs!$F$5:$F$120*(((Inputs!$G$5:$G$120="moeda")+(Inputs!$G$5:$G$120="acoes"))*Inputs!$B$1+((Inputs!$G$5:$G$120&lt;&gt;"moeda")*(Inputs!$G$5:$G$120&lt;&gt;"acoes")))*INDEX(Inputs!$K$5:$AJ$120,0,MATCH(I$2,Inputs!$K$4:$AJ$4,0)))))</f>
        <v>0</v>
      </c>
      <c r="J46" s="267">
        <f>IF(ISNA(MATCH(J$2,Inputs!$K$4:$AJ$4,0)),NA(),IF(SUMPRODUCT((Inputs!$A$5:$A$120=$B46)*ISNUMBER(INDEX(Inputs!$K$5:$AJ$120,0,MATCH(J$2,Inputs!$K$4:$AJ$4,0))))+SUMPRODUCT((Inputs!$C$5:$C$120=$B46)*ISNUMBER(INDEX(Inputs!$K$5:$AJ$120,0,MATCH(J$2,Inputs!$K$4:$AJ$4,0))))+SUMPRODUCT((Inputs!$E$5:$E$120=$B46)*ISNUMBER(INDEX(Inputs!$K$5:$AJ$120,0,MATCH(J$2,Inputs!$K$4:$AJ$4,0))))=0,NA(),SUMPRODUCT((Inputs!$A$5:$A$120=$B46)*Inputs!$B$5:$B$120*(((Inputs!$G$5:$G$120="moeda")+(Inputs!$G$5:$G$120="acoes"))*Inputs!$B$1+((Inputs!$G$5:$G$120&lt;&gt;"moeda")*(Inputs!$G$5:$G$120&lt;&gt;"acoes")))*INDEX(Inputs!$K$5:$AJ$120,0,MATCH(J$2,Inputs!$K$4:$AJ$4,0)))+SUMPRODUCT((Inputs!$C$5:$C$120=$B46)*Inputs!$D$5:$D$120*(((Inputs!$G$5:$G$120="moeda")+(Inputs!$G$5:$G$120="acoes"))*Inputs!$B$1+((Inputs!$G$5:$G$120&lt;&gt;"moeda")*(Inputs!$G$5:$G$120&lt;&gt;"acoes")))*INDEX(Inputs!$K$5:$AJ$120,0,MATCH(J$2,Inputs!$K$4:$AJ$4,0)))+SUMPRODUCT((Inputs!$E$5:$E$120=$B46)*Inputs!$F$5:$F$120*(((Inputs!$G$5:$G$120="moeda")+(Inputs!$G$5:$G$120="acoes"))*Inputs!$B$1+((Inputs!$G$5:$G$120&lt;&gt;"moeda")*(Inputs!$G$5:$G$120&lt;&gt;"acoes")))*INDEX(Inputs!$K$5:$AJ$120,0,MATCH(J$2,Inputs!$K$4:$AJ$4,0)))))</f>
        <v>0</v>
      </c>
      <c r="K46" s="267">
        <f>IF(ISNA(MATCH(K$2,Inputs!$K$4:$AJ$4,0)),NA(),IF(SUMPRODUCT((Inputs!$A$5:$A$120=$B46)*ISNUMBER(INDEX(Inputs!$K$5:$AJ$120,0,MATCH(K$2,Inputs!$K$4:$AJ$4,0))))+SUMPRODUCT((Inputs!$C$5:$C$120=$B46)*ISNUMBER(INDEX(Inputs!$K$5:$AJ$120,0,MATCH(K$2,Inputs!$K$4:$AJ$4,0))))+SUMPRODUCT((Inputs!$E$5:$E$120=$B46)*ISNUMBER(INDEX(Inputs!$K$5:$AJ$120,0,MATCH(K$2,Inputs!$K$4:$AJ$4,0))))=0,NA(),SUMPRODUCT((Inputs!$A$5:$A$120=$B46)*Inputs!$B$5:$B$120*(((Inputs!$G$5:$G$120="moeda")+(Inputs!$G$5:$G$120="acoes"))*Inputs!$B$1+((Inputs!$G$5:$G$120&lt;&gt;"moeda")*(Inputs!$G$5:$G$120&lt;&gt;"acoes")))*INDEX(Inputs!$K$5:$AJ$120,0,MATCH(K$2,Inputs!$K$4:$AJ$4,0)))+SUMPRODUCT((Inputs!$C$5:$C$120=$B46)*Inputs!$D$5:$D$120*(((Inputs!$G$5:$G$120="moeda")+(Inputs!$G$5:$G$120="acoes"))*Inputs!$B$1+((Inputs!$G$5:$G$120&lt;&gt;"moeda")*(Inputs!$G$5:$G$120&lt;&gt;"acoes")))*INDEX(Inputs!$K$5:$AJ$120,0,MATCH(K$2,Inputs!$K$4:$AJ$4,0)))+SUMPRODUCT((Inputs!$E$5:$E$120=$B46)*Inputs!$F$5:$F$120*(((Inputs!$G$5:$G$120="moeda")+(Inputs!$G$5:$G$120="acoes"))*Inputs!$B$1+((Inputs!$G$5:$G$120&lt;&gt;"moeda")*(Inputs!$G$5:$G$120&lt;&gt;"acoes")))*INDEX(Inputs!$K$5:$AJ$120,0,MATCH(K$2,Inputs!$K$4:$AJ$4,0)))))</f>
        <v>0</v>
      </c>
      <c r="L46" s="267">
        <f>IF(ISNA(MATCH(L$2,Inputs!$K$4:$AJ$4,0)),NA(),IF(SUMPRODUCT((Inputs!$A$5:$A$120=$B46)*ISNUMBER(INDEX(Inputs!$K$5:$AJ$120,0,MATCH(L$2,Inputs!$K$4:$AJ$4,0))))+SUMPRODUCT((Inputs!$C$5:$C$120=$B46)*ISNUMBER(INDEX(Inputs!$K$5:$AJ$120,0,MATCH(L$2,Inputs!$K$4:$AJ$4,0))))+SUMPRODUCT((Inputs!$E$5:$E$120=$B46)*ISNUMBER(INDEX(Inputs!$K$5:$AJ$120,0,MATCH(L$2,Inputs!$K$4:$AJ$4,0))))=0,NA(),SUMPRODUCT((Inputs!$A$5:$A$120=$B46)*Inputs!$B$5:$B$120*(((Inputs!$G$5:$G$120="moeda")+(Inputs!$G$5:$G$120="acoes"))*Inputs!$B$1+((Inputs!$G$5:$G$120&lt;&gt;"moeda")*(Inputs!$G$5:$G$120&lt;&gt;"acoes")))*INDEX(Inputs!$K$5:$AJ$120,0,MATCH(L$2,Inputs!$K$4:$AJ$4,0)))+SUMPRODUCT((Inputs!$C$5:$C$120=$B46)*Inputs!$D$5:$D$120*(((Inputs!$G$5:$G$120="moeda")+(Inputs!$G$5:$G$120="acoes"))*Inputs!$B$1+((Inputs!$G$5:$G$120&lt;&gt;"moeda")*(Inputs!$G$5:$G$120&lt;&gt;"acoes")))*INDEX(Inputs!$K$5:$AJ$120,0,MATCH(L$2,Inputs!$K$4:$AJ$4,0)))+SUMPRODUCT((Inputs!$E$5:$E$120=$B46)*Inputs!$F$5:$F$120*(((Inputs!$G$5:$G$120="moeda")+(Inputs!$G$5:$G$120="acoes"))*Inputs!$B$1+((Inputs!$G$5:$G$120&lt;&gt;"moeda")*(Inputs!$G$5:$G$120&lt;&gt;"acoes")))*INDEX(Inputs!$K$5:$AJ$120,0,MATCH(L$2,Inputs!$K$4:$AJ$4,0)))))</f>
        <v>0</v>
      </c>
      <c r="M46" s="268">
        <f>L46</f>
        <v>0</v>
      </c>
      <c r="N46" s="267">
        <f>IF(ISNA(MATCH(N$2,Inputs!$K$4:$AJ$4,0)),NA(),IF(SUMPRODUCT((Inputs!$A$5:$A$120=$B46)*ISNUMBER(INDEX(Inputs!$K$5:$AJ$120,0,MATCH(N$2,Inputs!$K$4:$AJ$4,0))))+SUMPRODUCT((Inputs!$C$5:$C$120=$B46)*ISNUMBER(INDEX(Inputs!$K$5:$AJ$120,0,MATCH(N$2,Inputs!$K$4:$AJ$4,0))))+SUMPRODUCT((Inputs!$E$5:$E$120=$B46)*ISNUMBER(INDEX(Inputs!$K$5:$AJ$120,0,MATCH(N$2,Inputs!$K$4:$AJ$4,0))))=0,NA(),SUMPRODUCT((Inputs!$A$5:$A$120=$B46)*Inputs!$B$5:$B$120*(((Inputs!$G$5:$G$120="moeda")+(Inputs!$G$5:$G$120="acoes"))*Inputs!$B$1+((Inputs!$G$5:$G$120&lt;&gt;"moeda")*(Inputs!$G$5:$G$120&lt;&gt;"acoes")))*INDEX(Inputs!$K$5:$AJ$120,0,MATCH(N$2,Inputs!$K$4:$AJ$4,0)))+SUMPRODUCT((Inputs!$C$5:$C$120=$B46)*Inputs!$D$5:$D$120*(((Inputs!$G$5:$G$120="moeda")+(Inputs!$G$5:$G$120="acoes"))*Inputs!$B$1+((Inputs!$G$5:$G$120&lt;&gt;"moeda")*(Inputs!$G$5:$G$120&lt;&gt;"acoes")))*INDEX(Inputs!$K$5:$AJ$120,0,MATCH(N$2,Inputs!$K$4:$AJ$4,0)))+SUMPRODUCT((Inputs!$E$5:$E$120=$B46)*Inputs!$F$5:$F$120*(((Inputs!$G$5:$G$120="moeda")+(Inputs!$G$5:$G$120="acoes"))*Inputs!$B$1+((Inputs!$G$5:$G$120&lt;&gt;"moeda")*(Inputs!$G$5:$G$120&lt;&gt;"acoes")))*INDEX(Inputs!$K$5:$AJ$120,0,MATCH(N$2,Inputs!$K$4:$AJ$4,0)))))</f>
        <v>0</v>
      </c>
      <c r="O46" s="267">
        <f>IF(ISNA(MATCH(O$2,Inputs!$K$4:$AJ$4,0)),NA(),IF(SUMPRODUCT((Inputs!$A$5:$A$120=$B46)*ISNUMBER(INDEX(Inputs!$K$5:$AJ$120,0,MATCH(O$2,Inputs!$K$4:$AJ$4,0))))+SUMPRODUCT((Inputs!$C$5:$C$120=$B46)*ISNUMBER(INDEX(Inputs!$K$5:$AJ$120,0,MATCH(O$2,Inputs!$K$4:$AJ$4,0))))+SUMPRODUCT((Inputs!$E$5:$E$120=$B46)*ISNUMBER(INDEX(Inputs!$K$5:$AJ$120,0,MATCH(O$2,Inputs!$K$4:$AJ$4,0))))=0,NA(),SUMPRODUCT((Inputs!$A$5:$A$120=$B46)*Inputs!$B$5:$B$120*(((Inputs!$G$5:$G$120="moeda")+(Inputs!$G$5:$G$120="acoes"))*Inputs!$B$1+((Inputs!$G$5:$G$120&lt;&gt;"moeda")*(Inputs!$G$5:$G$120&lt;&gt;"acoes")))*INDEX(Inputs!$K$5:$AJ$120,0,MATCH(O$2,Inputs!$K$4:$AJ$4,0)))+SUMPRODUCT((Inputs!$C$5:$C$120=$B46)*Inputs!$D$5:$D$120*(((Inputs!$G$5:$G$120="moeda")+(Inputs!$G$5:$G$120="acoes"))*Inputs!$B$1+((Inputs!$G$5:$G$120&lt;&gt;"moeda")*(Inputs!$G$5:$G$120&lt;&gt;"acoes")))*INDEX(Inputs!$K$5:$AJ$120,0,MATCH(O$2,Inputs!$K$4:$AJ$4,0)))+SUMPRODUCT((Inputs!$E$5:$E$120=$B46)*Inputs!$F$5:$F$120*(((Inputs!$G$5:$G$120="moeda")+(Inputs!$G$5:$G$120="acoes"))*Inputs!$B$1+((Inputs!$G$5:$G$120&lt;&gt;"moeda")*(Inputs!$G$5:$G$120&lt;&gt;"acoes")))*INDEX(Inputs!$K$5:$AJ$120,0,MATCH(O$2,Inputs!$K$4:$AJ$4,0)))))</f>
        <v>0</v>
      </c>
      <c r="P46" s="267">
        <f>IF(ISNA(MATCH(P$2,Inputs!$K$4:$AJ$4,0)),NA(),IF(SUMPRODUCT((Inputs!$A$5:$A$120=$B46)*ISNUMBER(INDEX(Inputs!$K$5:$AJ$120,0,MATCH(P$2,Inputs!$K$4:$AJ$4,0))))+SUMPRODUCT((Inputs!$C$5:$C$120=$B46)*ISNUMBER(INDEX(Inputs!$K$5:$AJ$120,0,MATCH(P$2,Inputs!$K$4:$AJ$4,0))))+SUMPRODUCT((Inputs!$E$5:$E$120=$B46)*ISNUMBER(INDEX(Inputs!$K$5:$AJ$120,0,MATCH(P$2,Inputs!$K$4:$AJ$4,0))))=0,NA(),SUMPRODUCT((Inputs!$A$5:$A$120=$B46)*Inputs!$B$5:$B$120*(((Inputs!$G$5:$G$120="moeda")+(Inputs!$G$5:$G$120="acoes"))*Inputs!$B$1+((Inputs!$G$5:$G$120&lt;&gt;"moeda")*(Inputs!$G$5:$G$120&lt;&gt;"acoes")))*INDEX(Inputs!$K$5:$AJ$120,0,MATCH(P$2,Inputs!$K$4:$AJ$4,0)))+SUMPRODUCT((Inputs!$C$5:$C$120=$B46)*Inputs!$D$5:$D$120*(((Inputs!$G$5:$G$120="moeda")+(Inputs!$G$5:$G$120="acoes"))*Inputs!$B$1+((Inputs!$G$5:$G$120&lt;&gt;"moeda")*(Inputs!$G$5:$G$120&lt;&gt;"acoes")))*INDEX(Inputs!$K$5:$AJ$120,0,MATCH(P$2,Inputs!$K$4:$AJ$4,0)))+SUMPRODUCT((Inputs!$E$5:$E$120=$B46)*Inputs!$F$5:$F$120*(((Inputs!$G$5:$G$120="moeda")+(Inputs!$G$5:$G$120="acoes"))*Inputs!$B$1+((Inputs!$G$5:$G$120&lt;&gt;"moeda")*(Inputs!$G$5:$G$120&lt;&gt;"acoes")))*INDEX(Inputs!$K$5:$AJ$120,0,MATCH(P$2,Inputs!$K$4:$AJ$4,0)))))</f>
        <v>0</v>
      </c>
      <c r="Q46" s="267">
        <f>IF(ISNA(MATCH(Q$2,Inputs!$K$4:$AJ$4,0)),NA(),IF(SUMPRODUCT((Inputs!$A$5:$A$120=$B46)*ISNUMBER(INDEX(Inputs!$K$5:$AJ$120,0,MATCH(Q$2,Inputs!$K$4:$AJ$4,0))))+SUMPRODUCT((Inputs!$C$5:$C$120=$B46)*ISNUMBER(INDEX(Inputs!$K$5:$AJ$120,0,MATCH(Q$2,Inputs!$K$4:$AJ$4,0))))+SUMPRODUCT((Inputs!$E$5:$E$120=$B46)*ISNUMBER(INDEX(Inputs!$K$5:$AJ$120,0,MATCH(Q$2,Inputs!$K$4:$AJ$4,0))))=0,NA(),SUMPRODUCT((Inputs!$A$5:$A$120=$B46)*Inputs!$B$5:$B$120*(((Inputs!$G$5:$G$120="moeda")+(Inputs!$G$5:$G$120="acoes"))*Inputs!$B$1+((Inputs!$G$5:$G$120&lt;&gt;"moeda")*(Inputs!$G$5:$G$120&lt;&gt;"acoes")))*INDEX(Inputs!$K$5:$AJ$120,0,MATCH(Q$2,Inputs!$K$4:$AJ$4,0)))+SUMPRODUCT((Inputs!$C$5:$C$120=$B46)*Inputs!$D$5:$D$120*(((Inputs!$G$5:$G$120="moeda")+(Inputs!$G$5:$G$120="acoes"))*Inputs!$B$1+((Inputs!$G$5:$G$120&lt;&gt;"moeda")*(Inputs!$G$5:$G$120&lt;&gt;"acoes")))*INDEX(Inputs!$K$5:$AJ$120,0,MATCH(Q$2,Inputs!$K$4:$AJ$4,0)))+SUMPRODUCT((Inputs!$E$5:$E$120=$B46)*Inputs!$F$5:$F$120*(((Inputs!$G$5:$G$120="moeda")+(Inputs!$G$5:$G$120="acoes"))*Inputs!$B$1+((Inputs!$G$5:$G$120&lt;&gt;"moeda")*(Inputs!$G$5:$G$120&lt;&gt;"acoes")))*INDEX(Inputs!$K$5:$AJ$120,0,MATCH(Q$2,Inputs!$K$4:$AJ$4,0)))))</f>
        <v>0</v>
      </c>
      <c r="R46" s="268">
        <f>Q46</f>
        <v>0</v>
      </c>
      <c r="S46" s="267">
        <f>IF(ISNA(MATCH(S$2,Inputs!$K$4:$AJ$4,0)),NA(),IF(SUMPRODUCT((Inputs!$A$5:$A$120=$B46)*ISNUMBER(INDEX(Inputs!$K$5:$AJ$120,0,MATCH(S$2,Inputs!$K$4:$AJ$4,0))))+SUMPRODUCT((Inputs!$C$5:$C$120=$B46)*ISNUMBER(INDEX(Inputs!$K$5:$AJ$120,0,MATCH(S$2,Inputs!$K$4:$AJ$4,0))))+SUMPRODUCT((Inputs!$E$5:$E$120=$B46)*ISNUMBER(INDEX(Inputs!$K$5:$AJ$120,0,MATCH(S$2,Inputs!$K$4:$AJ$4,0))))=0,NA(),SUMPRODUCT((Inputs!$A$5:$A$120=$B46)*Inputs!$B$5:$B$120*(((Inputs!$G$5:$G$120="moeda")+(Inputs!$G$5:$G$120="acoes"))*Inputs!$B$1+((Inputs!$G$5:$G$120&lt;&gt;"moeda")*(Inputs!$G$5:$G$120&lt;&gt;"acoes")))*INDEX(Inputs!$K$5:$AJ$120,0,MATCH(S$2,Inputs!$K$4:$AJ$4,0)))+SUMPRODUCT((Inputs!$C$5:$C$120=$B46)*Inputs!$D$5:$D$120*(((Inputs!$G$5:$G$120="moeda")+(Inputs!$G$5:$G$120="acoes"))*Inputs!$B$1+((Inputs!$G$5:$G$120&lt;&gt;"moeda")*(Inputs!$G$5:$G$120&lt;&gt;"acoes")))*INDEX(Inputs!$K$5:$AJ$120,0,MATCH(S$2,Inputs!$K$4:$AJ$4,0)))+SUMPRODUCT((Inputs!$E$5:$E$120=$B46)*Inputs!$F$5:$F$120*(((Inputs!$G$5:$G$120="moeda")+(Inputs!$G$5:$G$120="acoes"))*Inputs!$B$1+((Inputs!$G$5:$G$120&lt;&gt;"moeda")*(Inputs!$G$5:$G$120&lt;&gt;"acoes")))*INDEX(Inputs!$K$5:$AJ$120,0,MATCH(S$2,Inputs!$K$4:$AJ$4,0)))))</f>
        <v>0</v>
      </c>
      <c r="T46" s="267">
        <f>IF(ISNA(MATCH(T$2,Inputs!$K$4:$AJ$4,0)),NA(),IF(SUMPRODUCT((Inputs!$A$5:$A$120=$B46)*ISNUMBER(INDEX(Inputs!$K$5:$AJ$120,0,MATCH(T$2,Inputs!$K$4:$AJ$4,0))))+SUMPRODUCT((Inputs!$C$5:$C$120=$B46)*ISNUMBER(INDEX(Inputs!$K$5:$AJ$120,0,MATCH(T$2,Inputs!$K$4:$AJ$4,0))))+SUMPRODUCT((Inputs!$E$5:$E$120=$B46)*ISNUMBER(INDEX(Inputs!$K$5:$AJ$120,0,MATCH(T$2,Inputs!$K$4:$AJ$4,0))))=0,NA(),SUMPRODUCT((Inputs!$A$5:$A$120=$B46)*Inputs!$B$5:$B$120*(((Inputs!$G$5:$G$120="moeda")+(Inputs!$G$5:$G$120="acoes"))*Inputs!$B$1+((Inputs!$G$5:$G$120&lt;&gt;"moeda")*(Inputs!$G$5:$G$120&lt;&gt;"acoes")))*INDEX(Inputs!$K$5:$AJ$120,0,MATCH(T$2,Inputs!$K$4:$AJ$4,0)))+SUMPRODUCT((Inputs!$C$5:$C$120=$B46)*Inputs!$D$5:$D$120*(((Inputs!$G$5:$G$120="moeda")+(Inputs!$G$5:$G$120="acoes"))*Inputs!$B$1+((Inputs!$G$5:$G$120&lt;&gt;"moeda")*(Inputs!$G$5:$G$120&lt;&gt;"acoes")))*INDEX(Inputs!$K$5:$AJ$120,0,MATCH(T$2,Inputs!$K$4:$AJ$4,0)))+SUMPRODUCT((Inputs!$E$5:$E$120=$B46)*Inputs!$F$5:$F$120*(((Inputs!$G$5:$G$120="moeda")+(Inputs!$G$5:$G$120="acoes"))*Inputs!$B$1+((Inputs!$G$5:$G$120&lt;&gt;"moeda")*(Inputs!$G$5:$G$120&lt;&gt;"acoes")))*INDEX(Inputs!$K$5:$AJ$120,0,MATCH(T$2,Inputs!$K$4:$AJ$4,0)))))</f>
        <v>0</v>
      </c>
      <c r="U46" s="267">
        <f>IF(ISNA(MATCH(U$2,Inputs!$K$4:$AJ$4,0)),NA(),IF(SUMPRODUCT((Inputs!$A$5:$A$120=$B46)*ISNUMBER(INDEX(Inputs!$K$5:$AJ$120,0,MATCH(U$2,Inputs!$K$4:$AJ$4,0))))+SUMPRODUCT((Inputs!$C$5:$C$120=$B46)*ISNUMBER(INDEX(Inputs!$K$5:$AJ$120,0,MATCH(U$2,Inputs!$K$4:$AJ$4,0))))+SUMPRODUCT((Inputs!$E$5:$E$120=$B46)*ISNUMBER(INDEX(Inputs!$K$5:$AJ$120,0,MATCH(U$2,Inputs!$K$4:$AJ$4,0))))=0,NA(),SUMPRODUCT((Inputs!$A$5:$A$120=$B46)*Inputs!$B$5:$B$120*(((Inputs!$G$5:$G$120="moeda")+(Inputs!$G$5:$G$120="acoes"))*Inputs!$B$1+((Inputs!$G$5:$G$120&lt;&gt;"moeda")*(Inputs!$G$5:$G$120&lt;&gt;"acoes")))*INDEX(Inputs!$K$5:$AJ$120,0,MATCH(U$2,Inputs!$K$4:$AJ$4,0)))+SUMPRODUCT((Inputs!$C$5:$C$120=$B46)*Inputs!$D$5:$D$120*(((Inputs!$G$5:$G$120="moeda")+(Inputs!$G$5:$G$120="acoes"))*Inputs!$B$1+((Inputs!$G$5:$G$120&lt;&gt;"moeda")*(Inputs!$G$5:$G$120&lt;&gt;"acoes")))*INDEX(Inputs!$K$5:$AJ$120,0,MATCH(U$2,Inputs!$K$4:$AJ$4,0)))+SUMPRODUCT((Inputs!$E$5:$E$120=$B46)*Inputs!$F$5:$F$120*(((Inputs!$G$5:$G$120="moeda")+(Inputs!$G$5:$G$120="acoes"))*Inputs!$B$1+((Inputs!$G$5:$G$120&lt;&gt;"moeda")*(Inputs!$G$5:$G$120&lt;&gt;"acoes")))*INDEX(Inputs!$K$5:$AJ$120,0,MATCH(U$2,Inputs!$K$4:$AJ$4,0)))))</f>
        <v>0</v>
      </c>
      <c r="V46" s="267">
        <f>IF(ISNA(MATCH(V$2,Inputs!$K$4:$AJ$4,0)),NA(),IF(SUMPRODUCT((Inputs!$A$5:$A$120=$B46)*ISNUMBER(INDEX(Inputs!$K$5:$AJ$120,0,MATCH(V$2,Inputs!$K$4:$AJ$4,0))))+SUMPRODUCT((Inputs!$C$5:$C$120=$B46)*ISNUMBER(INDEX(Inputs!$K$5:$AJ$120,0,MATCH(V$2,Inputs!$K$4:$AJ$4,0))))+SUMPRODUCT((Inputs!$E$5:$E$120=$B46)*ISNUMBER(INDEX(Inputs!$K$5:$AJ$120,0,MATCH(V$2,Inputs!$K$4:$AJ$4,0))))=0,NA(),SUMPRODUCT((Inputs!$A$5:$A$120=$B46)*Inputs!$B$5:$B$120*(((Inputs!$G$5:$G$120="moeda")+(Inputs!$G$5:$G$120="acoes"))*Inputs!$B$1+((Inputs!$G$5:$G$120&lt;&gt;"moeda")*(Inputs!$G$5:$G$120&lt;&gt;"acoes")))*INDEX(Inputs!$K$5:$AJ$120,0,MATCH(V$2,Inputs!$K$4:$AJ$4,0)))+SUMPRODUCT((Inputs!$C$5:$C$120=$B46)*Inputs!$D$5:$D$120*(((Inputs!$G$5:$G$120="moeda")+(Inputs!$G$5:$G$120="acoes"))*Inputs!$B$1+((Inputs!$G$5:$G$120&lt;&gt;"moeda")*(Inputs!$G$5:$G$120&lt;&gt;"acoes")))*INDEX(Inputs!$K$5:$AJ$120,0,MATCH(V$2,Inputs!$K$4:$AJ$4,0)))+SUMPRODUCT((Inputs!$E$5:$E$120=$B46)*Inputs!$F$5:$F$120*(((Inputs!$G$5:$G$120="moeda")+(Inputs!$G$5:$G$120="acoes"))*Inputs!$B$1+((Inputs!$G$5:$G$120&lt;&gt;"moeda")*(Inputs!$G$5:$G$120&lt;&gt;"acoes")))*INDEX(Inputs!$K$5:$AJ$120,0,MATCH(V$2,Inputs!$K$4:$AJ$4,0)))))</f>
        <v>0</v>
      </c>
      <c r="W46" s="268">
        <f>V46</f>
        <v>0</v>
      </c>
      <c r="X46" s="267">
        <f>IF(ISNA(MATCH(X$2,Inputs!$K$4:$AJ$4,0)),NA(),IF(SUMPRODUCT((Inputs!$A$5:$A$120=$B46)*ISNUMBER(INDEX(Inputs!$K$5:$AJ$120,0,MATCH(X$2,Inputs!$K$4:$AJ$4,0))))+SUMPRODUCT((Inputs!$C$5:$C$120=$B46)*ISNUMBER(INDEX(Inputs!$K$5:$AJ$120,0,MATCH(X$2,Inputs!$K$4:$AJ$4,0))))+SUMPRODUCT((Inputs!$E$5:$E$120=$B46)*ISNUMBER(INDEX(Inputs!$K$5:$AJ$120,0,MATCH(X$2,Inputs!$K$4:$AJ$4,0))))=0,NA(),SUMPRODUCT((Inputs!$A$5:$A$120=$B46)*Inputs!$B$5:$B$120*(((Inputs!$G$5:$G$120="moeda")+(Inputs!$G$5:$G$120="acoes"))*Inputs!$B$1+((Inputs!$G$5:$G$120&lt;&gt;"moeda")*(Inputs!$G$5:$G$120&lt;&gt;"acoes")))*INDEX(Inputs!$K$5:$AJ$120,0,MATCH(X$2,Inputs!$K$4:$AJ$4,0)))+SUMPRODUCT((Inputs!$C$5:$C$120=$B46)*Inputs!$D$5:$D$120*(((Inputs!$G$5:$G$120="moeda")+(Inputs!$G$5:$G$120="acoes"))*Inputs!$B$1+((Inputs!$G$5:$G$120&lt;&gt;"moeda")*(Inputs!$G$5:$G$120&lt;&gt;"acoes")))*INDEX(Inputs!$K$5:$AJ$120,0,MATCH(X$2,Inputs!$K$4:$AJ$4,0)))+SUMPRODUCT((Inputs!$E$5:$E$120=$B46)*Inputs!$F$5:$F$120*(((Inputs!$G$5:$G$120="moeda")+(Inputs!$G$5:$G$120="acoes"))*Inputs!$B$1+((Inputs!$G$5:$G$120&lt;&gt;"moeda")*(Inputs!$G$5:$G$120&lt;&gt;"acoes")))*INDEX(Inputs!$K$5:$AJ$120,0,MATCH(X$2,Inputs!$K$4:$AJ$4,0)))))</f>
        <v>0</v>
      </c>
      <c r="Y46" s="267">
        <f>IF(ISNA(MATCH(Y$2,Inputs!$K$4:$AJ$4,0)),NA(),IF(SUMPRODUCT((Inputs!$A$5:$A$120=$B46)*ISNUMBER(INDEX(Inputs!$K$5:$AJ$120,0,MATCH(Y$2,Inputs!$K$4:$AJ$4,0))))+SUMPRODUCT((Inputs!$C$5:$C$120=$B46)*ISNUMBER(INDEX(Inputs!$K$5:$AJ$120,0,MATCH(Y$2,Inputs!$K$4:$AJ$4,0))))+SUMPRODUCT((Inputs!$E$5:$E$120=$B46)*ISNUMBER(INDEX(Inputs!$K$5:$AJ$120,0,MATCH(Y$2,Inputs!$K$4:$AJ$4,0))))=0,NA(),SUMPRODUCT((Inputs!$A$5:$A$120=$B46)*Inputs!$B$5:$B$120*(((Inputs!$G$5:$G$120="moeda")+(Inputs!$G$5:$G$120="acoes"))*Inputs!$B$1+((Inputs!$G$5:$G$120&lt;&gt;"moeda")*(Inputs!$G$5:$G$120&lt;&gt;"acoes")))*INDEX(Inputs!$K$5:$AJ$120,0,MATCH(Y$2,Inputs!$K$4:$AJ$4,0)))+SUMPRODUCT((Inputs!$C$5:$C$120=$B46)*Inputs!$D$5:$D$120*(((Inputs!$G$5:$G$120="moeda")+(Inputs!$G$5:$G$120="acoes"))*Inputs!$B$1+((Inputs!$G$5:$G$120&lt;&gt;"moeda")*(Inputs!$G$5:$G$120&lt;&gt;"acoes")))*INDEX(Inputs!$K$5:$AJ$120,0,MATCH(Y$2,Inputs!$K$4:$AJ$4,0)))+SUMPRODUCT((Inputs!$E$5:$E$120=$B46)*Inputs!$F$5:$F$120*(((Inputs!$G$5:$G$120="moeda")+(Inputs!$G$5:$G$120="acoes"))*Inputs!$B$1+((Inputs!$G$5:$G$120&lt;&gt;"moeda")*(Inputs!$G$5:$G$120&lt;&gt;"acoes")))*INDEX(Inputs!$K$5:$AJ$120,0,MATCH(Y$2,Inputs!$K$4:$AJ$4,0)))))</f>
        <v>0</v>
      </c>
      <c r="Z46" s="267">
        <f>IF(ISNA(MATCH(Z$2,Inputs!$K$4:$AJ$4,0)),NA(),IF(SUMPRODUCT((Inputs!$A$5:$A$120=$B46)*ISNUMBER(INDEX(Inputs!$K$5:$AJ$120,0,MATCH(Z$2,Inputs!$K$4:$AJ$4,0))))+SUMPRODUCT((Inputs!$C$5:$C$120=$B46)*ISNUMBER(INDEX(Inputs!$K$5:$AJ$120,0,MATCH(Z$2,Inputs!$K$4:$AJ$4,0))))+SUMPRODUCT((Inputs!$E$5:$E$120=$B46)*ISNUMBER(INDEX(Inputs!$K$5:$AJ$120,0,MATCH(Z$2,Inputs!$K$4:$AJ$4,0))))=0,NA(),SUMPRODUCT((Inputs!$A$5:$A$120=$B46)*Inputs!$B$5:$B$120*(((Inputs!$G$5:$G$120="moeda")+(Inputs!$G$5:$G$120="acoes"))*Inputs!$B$1+((Inputs!$G$5:$G$120&lt;&gt;"moeda")*(Inputs!$G$5:$G$120&lt;&gt;"acoes")))*INDEX(Inputs!$K$5:$AJ$120,0,MATCH(Z$2,Inputs!$K$4:$AJ$4,0)))+SUMPRODUCT((Inputs!$C$5:$C$120=$B46)*Inputs!$D$5:$D$120*(((Inputs!$G$5:$G$120="moeda")+(Inputs!$G$5:$G$120="acoes"))*Inputs!$B$1+((Inputs!$G$5:$G$120&lt;&gt;"moeda")*(Inputs!$G$5:$G$120&lt;&gt;"acoes")))*INDEX(Inputs!$K$5:$AJ$120,0,MATCH(Z$2,Inputs!$K$4:$AJ$4,0)))+SUMPRODUCT((Inputs!$E$5:$E$120=$B46)*Inputs!$F$5:$F$120*(((Inputs!$G$5:$G$120="moeda")+(Inputs!$G$5:$G$120="acoes"))*Inputs!$B$1+((Inputs!$G$5:$G$120&lt;&gt;"moeda")*(Inputs!$G$5:$G$120&lt;&gt;"acoes")))*INDEX(Inputs!$K$5:$AJ$120,0,MATCH(Z$2,Inputs!$K$4:$AJ$4,0)))))</f>
        <v>0</v>
      </c>
      <c r="AA46" s="267">
        <f>IF(ISNA(MATCH(AA$2,Inputs!$K$4:$AJ$4,0)),NA(),IF(SUMPRODUCT((Inputs!$A$5:$A$120=$B46)*ISNUMBER(INDEX(Inputs!$K$5:$AJ$120,0,MATCH(AA$2,Inputs!$K$4:$AJ$4,0))))+SUMPRODUCT((Inputs!$C$5:$C$120=$B46)*ISNUMBER(INDEX(Inputs!$K$5:$AJ$120,0,MATCH(AA$2,Inputs!$K$4:$AJ$4,0))))+SUMPRODUCT((Inputs!$E$5:$E$120=$B46)*ISNUMBER(INDEX(Inputs!$K$5:$AJ$120,0,MATCH(AA$2,Inputs!$K$4:$AJ$4,0))))=0,NA(),SUMPRODUCT((Inputs!$A$5:$A$120=$B46)*Inputs!$B$5:$B$120*(((Inputs!$G$5:$G$120="moeda")+(Inputs!$G$5:$G$120="acoes"))*Inputs!$B$1+((Inputs!$G$5:$G$120&lt;&gt;"moeda")*(Inputs!$G$5:$G$120&lt;&gt;"acoes")))*INDEX(Inputs!$K$5:$AJ$120,0,MATCH(AA$2,Inputs!$K$4:$AJ$4,0)))+SUMPRODUCT((Inputs!$C$5:$C$120=$B46)*Inputs!$D$5:$D$120*(((Inputs!$G$5:$G$120="moeda")+(Inputs!$G$5:$G$120="acoes"))*Inputs!$B$1+((Inputs!$G$5:$G$120&lt;&gt;"moeda")*(Inputs!$G$5:$G$120&lt;&gt;"acoes")))*INDEX(Inputs!$K$5:$AJ$120,0,MATCH(AA$2,Inputs!$K$4:$AJ$4,0)))+SUMPRODUCT((Inputs!$E$5:$E$120=$B46)*Inputs!$F$5:$F$120*(((Inputs!$G$5:$G$120="moeda")+(Inputs!$G$5:$G$120="acoes"))*Inputs!$B$1+((Inputs!$G$5:$G$120&lt;&gt;"moeda")*(Inputs!$G$5:$G$120&lt;&gt;"acoes")))*INDEX(Inputs!$K$5:$AJ$120,0,MATCH(AA$2,Inputs!$K$4:$AJ$4,0)))))</f>
        <v>0</v>
      </c>
      <c r="AB46" s="268">
        <f>AA46</f>
        <v>0</v>
      </c>
      <c r="AC46" s="267">
        <f>IF(ISNA(MATCH(AC$2,Inputs!$K$4:$AJ$4,0)),NA(),IF(SUMPRODUCT((Inputs!$A$5:$A$120=$B46)*ISNUMBER(INDEX(Inputs!$K$5:$AJ$120,0,MATCH(AC$2,Inputs!$K$4:$AJ$4,0))))+SUMPRODUCT((Inputs!$C$5:$C$120=$B46)*ISNUMBER(INDEX(Inputs!$K$5:$AJ$120,0,MATCH(AC$2,Inputs!$K$4:$AJ$4,0))))+SUMPRODUCT((Inputs!$E$5:$E$120=$B46)*ISNUMBER(INDEX(Inputs!$K$5:$AJ$120,0,MATCH(AC$2,Inputs!$K$4:$AJ$4,0))))=0,NA(),SUMPRODUCT((Inputs!$A$5:$A$120=$B46)*Inputs!$B$5:$B$120*(((Inputs!$G$5:$G$120="moeda")+(Inputs!$G$5:$G$120="acoes"))*Inputs!$B$1+((Inputs!$G$5:$G$120&lt;&gt;"moeda")*(Inputs!$G$5:$G$120&lt;&gt;"acoes")))*INDEX(Inputs!$K$5:$AJ$120,0,MATCH(AC$2,Inputs!$K$4:$AJ$4,0)))+SUMPRODUCT((Inputs!$C$5:$C$120=$B46)*Inputs!$D$5:$D$120*(((Inputs!$G$5:$G$120="moeda")+(Inputs!$G$5:$G$120="acoes"))*Inputs!$B$1+((Inputs!$G$5:$G$120&lt;&gt;"moeda")*(Inputs!$G$5:$G$120&lt;&gt;"acoes")))*INDEX(Inputs!$K$5:$AJ$120,0,MATCH(AC$2,Inputs!$K$4:$AJ$4,0)))+SUMPRODUCT((Inputs!$E$5:$E$120=$B46)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46" s="267">
        <f>IF(ISNA(MATCH(AD$2,Inputs!$K$4:$AJ$4,0)),NA(),IF(SUMPRODUCT((Inputs!$A$5:$A$120=$B46)*ISNUMBER(INDEX(Inputs!$K$5:$AJ$120,0,MATCH(AD$2,Inputs!$K$4:$AJ$4,0))))+SUMPRODUCT((Inputs!$C$5:$C$120=$B46)*ISNUMBER(INDEX(Inputs!$K$5:$AJ$120,0,MATCH(AD$2,Inputs!$K$4:$AJ$4,0))))+SUMPRODUCT((Inputs!$E$5:$E$120=$B46)*ISNUMBER(INDEX(Inputs!$K$5:$AJ$120,0,MATCH(AD$2,Inputs!$K$4:$AJ$4,0))))=0,NA(),SUMPRODUCT((Inputs!$A$5:$A$120=$B46)*Inputs!$B$5:$B$120*(((Inputs!$G$5:$G$120="moeda")+(Inputs!$G$5:$G$120="acoes"))*Inputs!$B$1+((Inputs!$G$5:$G$120&lt;&gt;"moeda")*(Inputs!$G$5:$G$120&lt;&gt;"acoes")))*INDEX(Inputs!$K$5:$AJ$120,0,MATCH(AD$2,Inputs!$K$4:$AJ$4,0)))+SUMPRODUCT((Inputs!$C$5:$C$120=$B46)*Inputs!$D$5:$D$120*(((Inputs!$G$5:$G$120="moeda")+(Inputs!$G$5:$G$120="acoes"))*Inputs!$B$1+((Inputs!$G$5:$G$120&lt;&gt;"moeda")*(Inputs!$G$5:$G$120&lt;&gt;"acoes")))*INDEX(Inputs!$K$5:$AJ$120,0,MATCH(AD$2,Inputs!$K$4:$AJ$4,0)))+SUMPRODUCT((Inputs!$E$5:$E$120=$B46)*Inputs!$F$5:$F$120*(((Inputs!$G$5:$G$120="moeda")+(Inputs!$G$5:$G$120="acoes"))*Inputs!$B$1+((Inputs!$G$5:$G$120&lt;&gt;"moeda")*(Inputs!$G$5:$G$120&lt;&gt;"acoes")))*INDEX(Inputs!$K$5:$AJ$120,0,MATCH(AD$2,Inputs!$K$4:$AJ$4,0)))))</f>
        <v>0</v>
      </c>
      <c r="AE46" s="267" t="e">
        <f>IF(ISNA(MATCH(AE$2,Inputs!$K$4:$AJ$4,0)),NA(),IF(SUMPRODUCT((Inputs!$A$5:$A$120=$B46)*ISNUMBER(INDEX(Inputs!$K$5:$AJ$120,0,MATCH(AE$2,Inputs!$K$4:$AJ$4,0))))+SUMPRODUCT((Inputs!$C$5:$C$120=$B46)*ISNUMBER(INDEX(Inputs!$K$5:$AJ$120,0,MATCH(AE$2,Inputs!$K$4:$AJ$4,0))))+SUMPRODUCT((Inputs!$E$5:$E$120=$B46)*ISNUMBER(INDEX(Inputs!$K$5:$AJ$120,0,MATCH(AE$2,Inputs!$K$4:$AJ$4,0))))=0,NA(),SUMPRODUCT((Inputs!$A$5:$A$120=$B46)*Inputs!$B$5:$B$120*(((Inputs!$G$5:$G$120="moeda")+(Inputs!$G$5:$G$120="acoes"))*Inputs!$B$1+((Inputs!$G$5:$G$120&lt;&gt;"moeda")*(Inputs!$G$5:$G$120&lt;&gt;"acoes")))*INDEX(Inputs!$K$5:$AJ$120,0,MATCH(AE$2,Inputs!$K$4:$AJ$4,0)))+SUMPRODUCT((Inputs!$C$5:$C$120=$B46)*Inputs!$D$5:$D$120*(((Inputs!$G$5:$G$120="moeda")+(Inputs!$G$5:$G$120="acoes"))*Inputs!$B$1+((Inputs!$G$5:$G$120&lt;&gt;"moeda")*(Inputs!$G$5:$G$120&lt;&gt;"acoes")))*INDEX(Inputs!$K$5:$AJ$120,0,MATCH(AE$2,Inputs!$K$4:$AJ$4,0)))+SUMPRODUCT((Inputs!$E$5:$E$120=$B46)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6" s="267" t="e">
        <f>IF(ISNA(MATCH(AF$2,Inputs!$K$4:$AJ$4,0)),NA(),IF(SUMPRODUCT((Inputs!$A$5:$A$120=$B46)*ISNUMBER(INDEX(Inputs!$K$5:$AJ$120,0,MATCH(AF$2,Inputs!$K$4:$AJ$4,0))))+SUMPRODUCT((Inputs!$C$5:$C$120=$B46)*ISNUMBER(INDEX(Inputs!$K$5:$AJ$120,0,MATCH(AF$2,Inputs!$K$4:$AJ$4,0))))+SUMPRODUCT((Inputs!$E$5:$E$120=$B46)*ISNUMBER(INDEX(Inputs!$K$5:$AJ$120,0,MATCH(AF$2,Inputs!$K$4:$AJ$4,0))))=0,NA(),SUMPRODUCT((Inputs!$A$5:$A$120=$B46)*Inputs!$B$5:$B$120*(((Inputs!$G$5:$G$120="moeda")+(Inputs!$G$5:$G$120="acoes"))*Inputs!$B$1+((Inputs!$G$5:$G$120&lt;&gt;"moeda")*(Inputs!$G$5:$G$120&lt;&gt;"acoes")))*INDEX(Inputs!$K$5:$AJ$120,0,MATCH(AF$2,Inputs!$K$4:$AJ$4,0)))+SUMPRODUCT((Inputs!$C$5:$C$120=$B46)*Inputs!$D$5:$D$120*(((Inputs!$G$5:$G$120="moeda")+(Inputs!$G$5:$G$120="acoes"))*Inputs!$B$1+((Inputs!$G$5:$G$120&lt;&gt;"moeda")*(Inputs!$G$5:$G$120&lt;&gt;"acoes")))*INDEX(Inputs!$K$5:$AJ$120,0,MATCH(AF$2,Inputs!$K$4:$AJ$4,0)))+SUMPRODUCT((Inputs!$E$5:$E$120=$B46)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6" s="268" t="e">
        <f>AF46</f>
        <v>#N/A</v>
      </c>
      <c r="AH46" s="267">
        <f>IF(ISNA(MATCH(AH$2,Inputs!$K$4:$AJ$4,0)),NA(),IF(SUMPRODUCT((Inputs!$A$5:$A$120=$B46)*ISNUMBER(INDEX(Inputs!$K$5:$AJ$120,0,MATCH(AH$2,Inputs!$K$4:$AJ$4,0))))+SUMPRODUCT((Inputs!$C$5:$C$120=$B46)*ISNUMBER(INDEX(Inputs!$K$5:$AJ$120,0,MATCH(AH$2,Inputs!$K$4:$AJ$4,0))))+SUMPRODUCT((Inputs!$E$5:$E$120=$B46)*ISNUMBER(INDEX(Inputs!$K$5:$AJ$120,0,MATCH(AH$2,Inputs!$K$4:$AJ$4,0))))=0,NA(),SUMPRODUCT((Inputs!$A$5:$A$120=$B46)*Inputs!$B$5:$B$120*(((Inputs!$G$5:$G$120="moeda")+(Inputs!$G$5:$G$120="acoes"))*Inputs!$B$1+((Inputs!$G$5:$G$120&lt;&gt;"moeda")*(Inputs!$G$5:$G$120&lt;&gt;"acoes")))*INDEX(Inputs!$K$5:$AJ$120,0,MATCH(AH$2,Inputs!$K$4:$AJ$4,0)))+SUMPRODUCT((Inputs!$C$5:$C$120=$B46)*Inputs!$D$5:$D$120*(((Inputs!$G$5:$G$120="moeda")+(Inputs!$G$5:$G$120="acoes"))*Inputs!$B$1+((Inputs!$G$5:$G$120&lt;&gt;"moeda")*(Inputs!$G$5:$G$120&lt;&gt;"acoes")))*INDEX(Inputs!$K$5:$AJ$120,0,MATCH(AH$2,Inputs!$K$4:$AJ$4,0)))+SUMPRODUCT((Inputs!$E$5:$E$120=$B46)*Inputs!$F$5:$F$120*(((Inputs!$G$5:$G$120="moeda")+(Inputs!$G$5:$G$120="acoes"))*Inputs!$B$1+((Inputs!$G$5:$G$120&lt;&gt;"moeda")*(Inputs!$G$5:$G$120&lt;&gt;"acoes")))*INDEX(Inputs!$K$5:$AJ$120,0,MATCH(AH$2,Inputs!$K$4:$AJ$4,0)))))</f>
        <v>690</v>
      </c>
      <c r="AI46" s="267">
        <f>IF(ISNA(MATCH(AI$2,Inputs!$K$4:$AJ$4,0)),NA(),IF(SUMPRODUCT((Inputs!$A$5:$A$120=$B46)*ISNUMBER(INDEX(Inputs!$K$5:$AJ$120,0,MATCH(AI$2,Inputs!$K$4:$AJ$4,0))))+SUMPRODUCT((Inputs!$C$5:$C$120=$B46)*ISNUMBER(INDEX(Inputs!$K$5:$AJ$120,0,MATCH(AI$2,Inputs!$K$4:$AJ$4,0))))+SUMPRODUCT((Inputs!$E$5:$E$120=$B46)*ISNUMBER(INDEX(Inputs!$K$5:$AJ$120,0,MATCH(AI$2,Inputs!$K$4:$AJ$4,0))))=0,NA(),SUMPRODUCT((Inputs!$A$5:$A$120=$B46)*Inputs!$B$5:$B$120*(((Inputs!$G$5:$G$120="moeda")+(Inputs!$G$5:$G$120="acoes"))*Inputs!$B$1+((Inputs!$G$5:$G$120&lt;&gt;"moeda")*(Inputs!$G$5:$G$120&lt;&gt;"acoes")))*INDEX(Inputs!$K$5:$AJ$120,0,MATCH(AI$2,Inputs!$K$4:$AJ$4,0)))+SUMPRODUCT((Inputs!$C$5:$C$120=$B46)*Inputs!$D$5:$D$120*(((Inputs!$G$5:$G$120="moeda")+(Inputs!$G$5:$G$120="acoes"))*Inputs!$B$1+((Inputs!$G$5:$G$120&lt;&gt;"moeda")*(Inputs!$G$5:$G$120&lt;&gt;"acoes")))*INDEX(Inputs!$K$5:$AJ$120,0,MATCH(AI$2,Inputs!$K$4:$AJ$4,0)))+SUMPRODUCT((Inputs!$E$5:$E$120=$B46)*Inputs!$F$5:$F$120*(((Inputs!$G$5:$G$120="moeda")+(Inputs!$G$5:$G$120="acoes"))*Inputs!$B$1+((Inputs!$G$5:$G$120&lt;&gt;"moeda")*(Inputs!$G$5:$G$120&lt;&gt;"acoes")))*INDEX(Inputs!$K$5:$AJ$120,0,MATCH(AI$2,Inputs!$K$4:$AJ$4,0)))))</f>
        <v>690</v>
      </c>
      <c r="AJ46" s="267">
        <f>IF(ISNA(MATCH(AJ$2,Inputs!$K$4:$AJ$4,0)),NA(),IF(SUMPRODUCT((Inputs!$A$5:$A$120=$B46)*ISNUMBER(INDEX(Inputs!$K$5:$AJ$120,0,MATCH(AJ$2,Inputs!$K$4:$AJ$4,0))))+SUMPRODUCT((Inputs!$C$5:$C$120=$B46)*ISNUMBER(INDEX(Inputs!$K$5:$AJ$120,0,MATCH(AJ$2,Inputs!$K$4:$AJ$4,0))))+SUMPRODUCT((Inputs!$E$5:$E$120=$B46)*ISNUMBER(INDEX(Inputs!$K$5:$AJ$120,0,MATCH(AJ$2,Inputs!$K$4:$AJ$4,0))))=0,NA(),SUMPRODUCT((Inputs!$A$5:$A$120=$B46)*Inputs!$B$5:$B$120*(((Inputs!$G$5:$G$120="moeda")+(Inputs!$G$5:$G$120="acoes"))*Inputs!$B$1+((Inputs!$G$5:$G$120&lt;&gt;"moeda")*(Inputs!$G$5:$G$120&lt;&gt;"acoes")))*INDEX(Inputs!$K$5:$AJ$120,0,MATCH(AJ$2,Inputs!$K$4:$AJ$4,0)))+SUMPRODUCT((Inputs!$C$5:$C$120=$B46)*Inputs!$D$5:$D$120*(((Inputs!$G$5:$G$120="moeda")+(Inputs!$G$5:$G$120="acoes"))*Inputs!$B$1+((Inputs!$G$5:$G$120&lt;&gt;"moeda")*(Inputs!$G$5:$G$120&lt;&gt;"acoes")))*INDEX(Inputs!$K$5:$AJ$120,0,MATCH(AJ$2,Inputs!$K$4:$AJ$4,0)))+SUMPRODUCT((Inputs!$E$5:$E$120=$B46)*Inputs!$F$5:$F$120*(((Inputs!$G$5:$G$120="moeda")+(Inputs!$G$5:$G$120="acoes"))*Inputs!$B$1+((Inputs!$G$5:$G$120&lt;&gt;"moeda")*(Inputs!$G$5:$G$120&lt;&gt;"acoes")))*INDEX(Inputs!$K$5:$AJ$120,0,MATCH(AJ$2,Inputs!$K$4:$AJ$4,0)))))</f>
        <v>690</v>
      </c>
      <c r="AK46" s="267">
        <f>IF(ISNA(MATCH(AK$2,Inputs!$K$4:$AJ$4,0)),NA(),IF(SUMPRODUCT((Inputs!$A$5:$A$120=$B46)*ISNUMBER(INDEX(Inputs!$K$5:$AJ$120,0,MATCH(AK$2,Inputs!$K$4:$AJ$4,0))))+SUMPRODUCT((Inputs!$C$5:$C$120=$B46)*ISNUMBER(INDEX(Inputs!$K$5:$AJ$120,0,MATCH(AK$2,Inputs!$K$4:$AJ$4,0))))+SUMPRODUCT((Inputs!$E$5:$E$120=$B46)*ISNUMBER(INDEX(Inputs!$K$5:$AJ$120,0,MATCH(AK$2,Inputs!$K$4:$AJ$4,0))))=0,NA(),SUMPRODUCT((Inputs!$A$5:$A$120=$B46)*Inputs!$B$5:$B$120*(((Inputs!$G$5:$G$120="moeda")+(Inputs!$G$5:$G$120="acoes"))*Inputs!$B$1+((Inputs!$G$5:$G$120&lt;&gt;"moeda")*(Inputs!$G$5:$G$120&lt;&gt;"acoes")))*INDEX(Inputs!$K$5:$AJ$120,0,MATCH(AK$2,Inputs!$K$4:$AJ$4,0)))+SUMPRODUCT((Inputs!$C$5:$C$120=$B46)*Inputs!$D$5:$D$120*(((Inputs!$G$5:$G$120="moeda")+(Inputs!$G$5:$G$120="acoes"))*Inputs!$B$1+((Inputs!$G$5:$G$120&lt;&gt;"moeda")*(Inputs!$G$5:$G$120&lt;&gt;"acoes")))*INDEX(Inputs!$K$5:$AJ$120,0,MATCH(AK$2,Inputs!$K$4:$AJ$4,0)))+SUMPRODUCT((Inputs!$E$5:$E$120=$B46)*Inputs!$F$5:$F$120*(((Inputs!$G$5:$G$120="moeda")+(Inputs!$G$5:$G$120="acoes"))*Inputs!$B$1+((Inputs!$G$5:$G$120&lt;&gt;"moeda")*(Inputs!$G$5:$G$120&lt;&gt;"acoes")))*INDEX(Inputs!$K$5:$AJ$120,0,MATCH(AK$2,Inputs!$K$4:$AJ$4,0)))))</f>
        <v>690</v>
      </c>
      <c r="AL46" s="268">
        <f>AK46</f>
        <v>690</v>
      </c>
    </row>
    <row r="47" ht="12.75" customHeight="1" s="255">
      <c r="B47" s="265" t="n">
        <v>41</v>
      </c>
      <c r="C47" s="271" t="inlineStr">
        <is>
          <t>Retained earnings</t>
        </is>
      </c>
      <c r="D47" s="267">
        <f>IF(ISNA(MATCH(D$2,Inputs!$K$4:$AJ$4,0)),NA(),IF(SUMPRODUCT((Inputs!$A$5:$A$120=$B47)*ISNUMBER(INDEX(Inputs!$K$5:$AJ$120,0,MATCH(D$2,Inputs!$K$4:$AJ$4,0))))+SUMPRODUCT((Inputs!$C$5:$C$120=$B47)*ISNUMBER(INDEX(Inputs!$K$5:$AJ$120,0,MATCH(D$2,Inputs!$K$4:$AJ$4,0))))+SUMPRODUCT((Inputs!$E$5:$E$120=$B47)*ISNUMBER(INDEX(Inputs!$K$5:$AJ$120,0,MATCH(D$2,Inputs!$K$4:$AJ$4,0))))=0,NA(),SUMPRODUCT((Inputs!$A$5:$A$120=$B47)*Inputs!$B$5:$B$120*(((Inputs!$G$5:$G$120="moeda")+(Inputs!$G$5:$G$120="acoes"))*Inputs!$B$1+((Inputs!$G$5:$G$120&lt;&gt;"moeda")*(Inputs!$G$5:$G$120&lt;&gt;"acoes")))*INDEX(Inputs!$K$5:$AJ$120,0,MATCH(D$2,Inputs!$K$4:$AJ$4,0)))+SUMPRODUCT((Inputs!$C$5:$C$120=$B47)*Inputs!$D$5:$D$120*(((Inputs!$G$5:$G$120="moeda")+(Inputs!$G$5:$G$120="acoes"))*Inputs!$B$1+((Inputs!$G$5:$G$120&lt;&gt;"moeda")*(Inputs!$G$5:$G$120&lt;&gt;"acoes")))*INDEX(Inputs!$K$5:$AJ$120,0,MATCH(D$2,Inputs!$K$4:$AJ$4,0)))+SUMPRODUCT((Inputs!$E$5:$E$120=$B47)*Inputs!$F$5:$F$120*(((Inputs!$G$5:$G$120="moeda")+(Inputs!$G$5:$G$120="acoes"))*Inputs!$B$1+((Inputs!$G$5:$G$120&lt;&gt;"moeda")*(Inputs!$G$5:$G$120&lt;&gt;"acoes")))*INDEX(Inputs!$K$5:$AJ$120,0,MATCH(D$2,Inputs!$K$4:$AJ$4,0)))))</f>
        <v>7982</v>
      </c>
      <c r="E47" s="267">
        <f>IF(ISNA(MATCH(E$2,Inputs!$K$4:$AJ$4,0)),NA(),IF(SUMPRODUCT((Inputs!$A$5:$A$120=$B47)*ISNUMBER(INDEX(Inputs!$K$5:$AJ$120,0,MATCH(E$2,Inputs!$K$4:$AJ$4,0))))+SUMPRODUCT((Inputs!$C$5:$C$120=$B47)*ISNUMBER(INDEX(Inputs!$K$5:$AJ$120,0,MATCH(E$2,Inputs!$K$4:$AJ$4,0))))+SUMPRODUCT((Inputs!$E$5:$E$120=$B47)*ISNUMBER(INDEX(Inputs!$K$5:$AJ$120,0,MATCH(E$2,Inputs!$K$4:$AJ$4,0))))=0,NA(),SUMPRODUCT((Inputs!$A$5:$A$120=$B47)*Inputs!$B$5:$B$120*(((Inputs!$G$5:$G$120="moeda")+(Inputs!$G$5:$G$120="acoes"))*Inputs!$B$1+((Inputs!$G$5:$G$120&lt;&gt;"moeda")*(Inputs!$G$5:$G$120&lt;&gt;"acoes")))*INDEX(Inputs!$K$5:$AJ$120,0,MATCH(E$2,Inputs!$K$4:$AJ$4,0)))+SUMPRODUCT((Inputs!$C$5:$C$120=$B47)*Inputs!$D$5:$D$120*(((Inputs!$G$5:$G$120="moeda")+(Inputs!$G$5:$G$120="acoes"))*Inputs!$B$1+((Inputs!$G$5:$G$120&lt;&gt;"moeda")*(Inputs!$G$5:$G$120&lt;&gt;"acoes")))*INDEX(Inputs!$K$5:$AJ$120,0,MATCH(E$2,Inputs!$K$4:$AJ$4,0)))+SUMPRODUCT((Inputs!$E$5:$E$120=$B47)*Inputs!$F$5:$F$120*(((Inputs!$G$5:$G$120="moeda")+(Inputs!$G$5:$G$120="acoes"))*Inputs!$B$1+((Inputs!$G$5:$G$120&lt;&gt;"moeda")*(Inputs!$G$5:$G$120&lt;&gt;"acoes")))*INDEX(Inputs!$K$5:$AJ$120,0,MATCH(E$2,Inputs!$K$4:$AJ$4,0)))))</f>
        <v>8259</v>
      </c>
      <c r="F47" s="267">
        <f>IF(ISNA(MATCH(F$2,Inputs!$K$4:$AJ$4,0)),NA(),IF(SUMPRODUCT((Inputs!$A$5:$A$120=$B47)*ISNUMBER(INDEX(Inputs!$K$5:$AJ$120,0,MATCH(F$2,Inputs!$K$4:$AJ$4,0))))+SUMPRODUCT((Inputs!$C$5:$C$120=$B47)*ISNUMBER(INDEX(Inputs!$K$5:$AJ$120,0,MATCH(F$2,Inputs!$K$4:$AJ$4,0))))+SUMPRODUCT((Inputs!$E$5:$E$120=$B47)*ISNUMBER(INDEX(Inputs!$K$5:$AJ$120,0,MATCH(F$2,Inputs!$K$4:$AJ$4,0))))=0,NA(),SUMPRODUCT((Inputs!$A$5:$A$120=$B47)*Inputs!$B$5:$B$120*(((Inputs!$G$5:$G$120="moeda")+(Inputs!$G$5:$G$120="acoes"))*Inputs!$B$1+((Inputs!$G$5:$G$120&lt;&gt;"moeda")*(Inputs!$G$5:$G$120&lt;&gt;"acoes")))*INDEX(Inputs!$K$5:$AJ$120,0,MATCH(F$2,Inputs!$K$4:$AJ$4,0)))+SUMPRODUCT((Inputs!$C$5:$C$120=$B47)*Inputs!$D$5:$D$120*(((Inputs!$G$5:$G$120="moeda")+(Inputs!$G$5:$G$120="acoes"))*Inputs!$B$1+((Inputs!$G$5:$G$120&lt;&gt;"moeda")*(Inputs!$G$5:$G$120&lt;&gt;"acoes")))*INDEX(Inputs!$K$5:$AJ$120,0,MATCH(F$2,Inputs!$K$4:$AJ$4,0)))+SUMPRODUCT((Inputs!$E$5:$E$120=$B47)*Inputs!$F$5:$F$120*(((Inputs!$G$5:$G$120="moeda")+(Inputs!$G$5:$G$120="acoes"))*Inputs!$B$1+((Inputs!$G$5:$G$120&lt;&gt;"moeda")*(Inputs!$G$5:$G$120&lt;&gt;"acoes")))*INDEX(Inputs!$K$5:$AJ$120,0,MATCH(F$2,Inputs!$K$4:$AJ$4,0)))))</f>
        <v>8830</v>
      </c>
      <c r="G47" s="267">
        <f>IF(ISNA(MATCH(G$2,Inputs!$K$4:$AJ$4,0)),NA(),IF(SUMPRODUCT((Inputs!$A$5:$A$120=$B47)*ISNUMBER(INDEX(Inputs!$K$5:$AJ$120,0,MATCH(G$2,Inputs!$K$4:$AJ$4,0))))+SUMPRODUCT((Inputs!$C$5:$C$120=$B47)*ISNUMBER(INDEX(Inputs!$K$5:$AJ$120,0,MATCH(G$2,Inputs!$K$4:$AJ$4,0))))+SUMPRODUCT((Inputs!$E$5:$E$120=$B47)*ISNUMBER(INDEX(Inputs!$K$5:$AJ$120,0,MATCH(G$2,Inputs!$K$4:$AJ$4,0))))=0,NA(),SUMPRODUCT((Inputs!$A$5:$A$120=$B47)*Inputs!$B$5:$B$120*(((Inputs!$G$5:$G$120="moeda")+(Inputs!$G$5:$G$120="acoes"))*Inputs!$B$1+((Inputs!$G$5:$G$120&lt;&gt;"moeda")*(Inputs!$G$5:$G$120&lt;&gt;"acoes")))*INDEX(Inputs!$K$5:$AJ$120,0,MATCH(G$2,Inputs!$K$4:$AJ$4,0)))+SUMPRODUCT((Inputs!$C$5:$C$120=$B47)*Inputs!$D$5:$D$120*(((Inputs!$G$5:$G$120="moeda")+(Inputs!$G$5:$G$120="acoes"))*Inputs!$B$1+((Inputs!$G$5:$G$120&lt;&gt;"moeda")*(Inputs!$G$5:$G$120&lt;&gt;"acoes")))*INDEX(Inputs!$K$5:$AJ$120,0,MATCH(G$2,Inputs!$K$4:$AJ$4,0)))+SUMPRODUCT((Inputs!$E$5:$E$120=$B47)*Inputs!$F$5:$F$120*(((Inputs!$G$5:$G$120="moeda")+(Inputs!$G$5:$G$120="acoes"))*Inputs!$B$1+((Inputs!$G$5:$G$120&lt;&gt;"moeda")*(Inputs!$G$5:$G$120&lt;&gt;"acoes")))*INDEX(Inputs!$K$5:$AJ$120,0,MATCH(G$2,Inputs!$K$4:$AJ$4,0)))))</f>
        <v>8979</v>
      </c>
      <c r="H47" s="268">
        <f>G47</f>
        <v>8979</v>
      </c>
      <c r="I47" s="267">
        <f>IF(ISNA(MATCH(I$2,Inputs!$K$4:$AJ$4,0)),NA(),IF(SUMPRODUCT((Inputs!$A$5:$A$120=$B47)*ISNUMBER(INDEX(Inputs!$K$5:$AJ$120,0,MATCH(I$2,Inputs!$K$4:$AJ$4,0))))+SUMPRODUCT((Inputs!$C$5:$C$120=$B47)*ISNUMBER(INDEX(Inputs!$K$5:$AJ$120,0,MATCH(I$2,Inputs!$K$4:$AJ$4,0))))+SUMPRODUCT((Inputs!$E$5:$E$120=$B47)*ISNUMBER(INDEX(Inputs!$K$5:$AJ$120,0,MATCH(I$2,Inputs!$K$4:$AJ$4,0))))=0,NA(),SUMPRODUCT((Inputs!$A$5:$A$120=$B47)*Inputs!$B$5:$B$120*(((Inputs!$G$5:$G$120="moeda")+(Inputs!$G$5:$G$120="acoes"))*Inputs!$B$1+((Inputs!$G$5:$G$120&lt;&gt;"moeda")*(Inputs!$G$5:$G$120&lt;&gt;"acoes")))*INDEX(Inputs!$K$5:$AJ$120,0,MATCH(I$2,Inputs!$K$4:$AJ$4,0)))+SUMPRODUCT((Inputs!$C$5:$C$120=$B47)*Inputs!$D$5:$D$120*(((Inputs!$G$5:$G$120="moeda")+(Inputs!$G$5:$G$120="acoes"))*Inputs!$B$1+((Inputs!$G$5:$G$120&lt;&gt;"moeda")*(Inputs!$G$5:$G$120&lt;&gt;"acoes")))*INDEX(Inputs!$K$5:$AJ$120,0,MATCH(I$2,Inputs!$K$4:$AJ$4,0)))+SUMPRODUCT((Inputs!$E$5:$E$120=$B47)*Inputs!$F$5:$F$120*(((Inputs!$G$5:$G$120="moeda")+(Inputs!$G$5:$G$120="acoes"))*Inputs!$B$1+((Inputs!$G$5:$G$120&lt;&gt;"moeda")*(Inputs!$G$5:$G$120&lt;&gt;"acoes")))*INDEX(Inputs!$K$5:$AJ$120,0,MATCH(I$2,Inputs!$K$4:$AJ$4,0)))))</f>
        <v>9581</v>
      </c>
      <c r="J47" s="267">
        <f>IF(ISNA(MATCH(J$2,Inputs!$K$4:$AJ$4,0)),NA(),IF(SUMPRODUCT((Inputs!$A$5:$A$120=$B47)*ISNUMBER(INDEX(Inputs!$K$5:$AJ$120,0,MATCH(J$2,Inputs!$K$4:$AJ$4,0))))+SUMPRODUCT((Inputs!$C$5:$C$120=$B47)*ISNUMBER(INDEX(Inputs!$K$5:$AJ$120,0,MATCH(J$2,Inputs!$K$4:$AJ$4,0))))+SUMPRODUCT((Inputs!$E$5:$E$120=$B47)*ISNUMBER(INDEX(Inputs!$K$5:$AJ$120,0,MATCH(J$2,Inputs!$K$4:$AJ$4,0))))=0,NA(),SUMPRODUCT((Inputs!$A$5:$A$120=$B47)*Inputs!$B$5:$B$120*(((Inputs!$G$5:$G$120="moeda")+(Inputs!$G$5:$G$120="acoes"))*Inputs!$B$1+((Inputs!$G$5:$G$120&lt;&gt;"moeda")*(Inputs!$G$5:$G$120&lt;&gt;"acoes")))*INDEX(Inputs!$K$5:$AJ$120,0,MATCH(J$2,Inputs!$K$4:$AJ$4,0)))+SUMPRODUCT((Inputs!$C$5:$C$120=$B47)*Inputs!$D$5:$D$120*(((Inputs!$G$5:$G$120="moeda")+(Inputs!$G$5:$G$120="acoes"))*Inputs!$B$1+((Inputs!$G$5:$G$120&lt;&gt;"moeda")*(Inputs!$G$5:$G$120&lt;&gt;"acoes")))*INDEX(Inputs!$K$5:$AJ$120,0,MATCH(J$2,Inputs!$K$4:$AJ$4,0)))+SUMPRODUCT((Inputs!$E$5:$E$120=$B47)*Inputs!$F$5:$F$120*(((Inputs!$G$5:$G$120="moeda")+(Inputs!$G$5:$G$120="acoes"))*Inputs!$B$1+((Inputs!$G$5:$G$120&lt;&gt;"moeda")*(Inputs!$G$5:$G$120&lt;&gt;"acoes")))*INDEX(Inputs!$K$5:$AJ$120,0,MATCH(J$2,Inputs!$K$4:$AJ$4,0)))))</f>
        <v>9692</v>
      </c>
      <c r="K47" s="267">
        <f>IF(ISNA(MATCH(K$2,Inputs!$K$4:$AJ$4,0)),NA(),IF(SUMPRODUCT((Inputs!$A$5:$A$120=$B47)*ISNUMBER(INDEX(Inputs!$K$5:$AJ$120,0,MATCH(K$2,Inputs!$K$4:$AJ$4,0))))+SUMPRODUCT((Inputs!$C$5:$C$120=$B47)*ISNUMBER(INDEX(Inputs!$K$5:$AJ$120,0,MATCH(K$2,Inputs!$K$4:$AJ$4,0))))+SUMPRODUCT((Inputs!$E$5:$E$120=$B47)*ISNUMBER(INDEX(Inputs!$K$5:$AJ$120,0,MATCH(K$2,Inputs!$K$4:$AJ$4,0))))=0,NA(),SUMPRODUCT((Inputs!$A$5:$A$120=$B47)*Inputs!$B$5:$B$120*(((Inputs!$G$5:$G$120="moeda")+(Inputs!$G$5:$G$120="acoes"))*Inputs!$B$1+((Inputs!$G$5:$G$120&lt;&gt;"moeda")*(Inputs!$G$5:$G$120&lt;&gt;"acoes")))*INDEX(Inputs!$K$5:$AJ$120,0,MATCH(K$2,Inputs!$K$4:$AJ$4,0)))+SUMPRODUCT((Inputs!$C$5:$C$120=$B47)*Inputs!$D$5:$D$120*(((Inputs!$G$5:$G$120="moeda")+(Inputs!$G$5:$G$120="acoes"))*Inputs!$B$1+((Inputs!$G$5:$G$120&lt;&gt;"moeda")*(Inputs!$G$5:$G$120&lt;&gt;"acoes")))*INDEX(Inputs!$K$5:$AJ$120,0,MATCH(K$2,Inputs!$K$4:$AJ$4,0)))+SUMPRODUCT((Inputs!$E$5:$E$120=$B47)*Inputs!$F$5:$F$120*(((Inputs!$G$5:$G$120="moeda")+(Inputs!$G$5:$G$120="acoes"))*Inputs!$B$1+((Inputs!$G$5:$G$120&lt;&gt;"moeda")*(Inputs!$G$5:$G$120&lt;&gt;"acoes")))*INDEX(Inputs!$K$5:$AJ$120,0,MATCH(K$2,Inputs!$K$4:$AJ$4,0)))))</f>
        <v>9980</v>
      </c>
      <c r="L47" s="267">
        <f>IF(ISNA(MATCH(L$2,Inputs!$K$4:$AJ$4,0)),NA(),IF(SUMPRODUCT((Inputs!$A$5:$A$120=$B47)*ISNUMBER(INDEX(Inputs!$K$5:$AJ$120,0,MATCH(L$2,Inputs!$K$4:$AJ$4,0))))+SUMPRODUCT((Inputs!$C$5:$C$120=$B47)*ISNUMBER(INDEX(Inputs!$K$5:$AJ$120,0,MATCH(L$2,Inputs!$K$4:$AJ$4,0))))+SUMPRODUCT((Inputs!$E$5:$E$120=$B47)*ISNUMBER(INDEX(Inputs!$K$5:$AJ$120,0,MATCH(L$2,Inputs!$K$4:$AJ$4,0))))=0,NA(),SUMPRODUCT((Inputs!$A$5:$A$120=$B47)*Inputs!$B$5:$B$120*(((Inputs!$G$5:$G$120="moeda")+(Inputs!$G$5:$G$120="acoes"))*Inputs!$B$1+((Inputs!$G$5:$G$120&lt;&gt;"moeda")*(Inputs!$G$5:$G$120&lt;&gt;"acoes")))*INDEX(Inputs!$K$5:$AJ$120,0,MATCH(L$2,Inputs!$K$4:$AJ$4,0)))+SUMPRODUCT((Inputs!$C$5:$C$120=$B47)*Inputs!$D$5:$D$120*(((Inputs!$G$5:$G$120="moeda")+(Inputs!$G$5:$G$120="acoes"))*Inputs!$B$1+((Inputs!$G$5:$G$120&lt;&gt;"moeda")*(Inputs!$G$5:$G$120&lt;&gt;"acoes")))*INDEX(Inputs!$K$5:$AJ$120,0,MATCH(L$2,Inputs!$K$4:$AJ$4,0)))+SUMPRODUCT((Inputs!$E$5:$E$120=$B47)*Inputs!$F$5:$F$120*(((Inputs!$G$5:$G$120="moeda")+(Inputs!$G$5:$G$120="acoes"))*Inputs!$B$1+((Inputs!$G$5:$G$120&lt;&gt;"moeda")*(Inputs!$G$5:$G$120&lt;&gt;"acoes")))*INDEX(Inputs!$K$5:$AJ$120,0,MATCH(L$2,Inputs!$K$4:$AJ$4,0)))))</f>
        <v>10222</v>
      </c>
      <c r="M47" s="268">
        <f>L47</f>
        <v>10222</v>
      </c>
      <c r="N47" s="267">
        <f>IF(ISNA(MATCH(N$2,Inputs!$K$4:$AJ$4,0)),NA(),IF(SUMPRODUCT((Inputs!$A$5:$A$120=$B47)*ISNUMBER(INDEX(Inputs!$K$5:$AJ$120,0,MATCH(N$2,Inputs!$K$4:$AJ$4,0))))+SUMPRODUCT((Inputs!$C$5:$C$120=$B47)*ISNUMBER(INDEX(Inputs!$K$5:$AJ$120,0,MATCH(N$2,Inputs!$K$4:$AJ$4,0))))+SUMPRODUCT((Inputs!$E$5:$E$120=$B47)*ISNUMBER(INDEX(Inputs!$K$5:$AJ$120,0,MATCH(N$2,Inputs!$K$4:$AJ$4,0))))=0,NA(),SUMPRODUCT((Inputs!$A$5:$A$120=$B47)*Inputs!$B$5:$B$120*(((Inputs!$G$5:$G$120="moeda")+(Inputs!$G$5:$G$120="acoes"))*Inputs!$B$1+((Inputs!$G$5:$G$120&lt;&gt;"moeda")*(Inputs!$G$5:$G$120&lt;&gt;"acoes")))*INDEX(Inputs!$K$5:$AJ$120,0,MATCH(N$2,Inputs!$K$4:$AJ$4,0)))+SUMPRODUCT((Inputs!$C$5:$C$120=$B47)*Inputs!$D$5:$D$120*(((Inputs!$G$5:$G$120="moeda")+(Inputs!$G$5:$G$120="acoes"))*Inputs!$B$1+((Inputs!$G$5:$G$120&lt;&gt;"moeda")*(Inputs!$G$5:$G$120&lt;&gt;"acoes")))*INDEX(Inputs!$K$5:$AJ$120,0,MATCH(N$2,Inputs!$K$4:$AJ$4,0)))+SUMPRODUCT((Inputs!$E$5:$E$120=$B47)*Inputs!$F$5:$F$120*(((Inputs!$G$5:$G$120="moeda")+(Inputs!$G$5:$G$120="acoes"))*Inputs!$B$1+((Inputs!$G$5:$G$120&lt;&gt;"moeda")*(Inputs!$G$5:$G$120&lt;&gt;"acoes")))*INDEX(Inputs!$K$5:$AJ$120,0,MATCH(N$2,Inputs!$K$4:$AJ$4,0)))))</f>
        <v>10757</v>
      </c>
      <c r="O47" s="267">
        <f>IF(ISNA(MATCH(O$2,Inputs!$K$4:$AJ$4,0)),NA(),IF(SUMPRODUCT((Inputs!$A$5:$A$120=$B47)*ISNUMBER(INDEX(Inputs!$K$5:$AJ$120,0,MATCH(O$2,Inputs!$K$4:$AJ$4,0))))+SUMPRODUCT((Inputs!$C$5:$C$120=$B47)*ISNUMBER(INDEX(Inputs!$K$5:$AJ$120,0,MATCH(O$2,Inputs!$K$4:$AJ$4,0))))+SUMPRODUCT((Inputs!$E$5:$E$120=$B47)*ISNUMBER(INDEX(Inputs!$K$5:$AJ$120,0,MATCH(O$2,Inputs!$K$4:$AJ$4,0))))=0,NA(),SUMPRODUCT((Inputs!$A$5:$A$120=$B47)*Inputs!$B$5:$B$120*(((Inputs!$G$5:$G$120="moeda")+(Inputs!$G$5:$G$120="acoes"))*Inputs!$B$1+((Inputs!$G$5:$G$120&lt;&gt;"moeda")*(Inputs!$G$5:$G$120&lt;&gt;"acoes")))*INDEX(Inputs!$K$5:$AJ$120,0,MATCH(O$2,Inputs!$K$4:$AJ$4,0)))+SUMPRODUCT((Inputs!$C$5:$C$120=$B47)*Inputs!$D$5:$D$120*(((Inputs!$G$5:$G$120="moeda")+(Inputs!$G$5:$G$120="acoes"))*Inputs!$B$1+((Inputs!$G$5:$G$120&lt;&gt;"moeda")*(Inputs!$G$5:$G$120&lt;&gt;"acoes")))*INDEX(Inputs!$K$5:$AJ$120,0,MATCH(O$2,Inputs!$K$4:$AJ$4,0)))+SUMPRODUCT((Inputs!$E$5:$E$120=$B47)*Inputs!$F$5:$F$120*(((Inputs!$G$5:$G$120="moeda")+(Inputs!$G$5:$G$120="acoes"))*Inputs!$B$1+((Inputs!$G$5:$G$120&lt;&gt;"moeda")*(Inputs!$G$5:$G$120&lt;&gt;"acoes")))*INDEX(Inputs!$K$5:$AJ$120,0,MATCH(O$2,Inputs!$K$4:$AJ$4,0)))))</f>
        <v>11279</v>
      </c>
      <c r="P47" s="267">
        <f>IF(ISNA(MATCH(P$2,Inputs!$K$4:$AJ$4,0)),NA(),IF(SUMPRODUCT((Inputs!$A$5:$A$120=$B47)*ISNUMBER(INDEX(Inputs!$K$5:$AJ$120,0,MATCH(P$2,Inputs!$K$4:$AJ$4,0))))+SUMPRODUCT((Inputs!$C$5:$C$120=$B47)*ISNUMBER(INDEX(Inputs!$K$5:$AJ$120,0,MATCH(P$2,Inputs!$K$4:$AJ$4,0))))+SUMPRODUCT((Inputs!$E$5:$E$120=$B47)*ISNUMBER(INDEX(Inputs!$K$5:$AJ$120,0,MATCH(P$2,Inputs!$K$4:$AJ$4,0))))=0,NA(),SUMPRODUCT((Inputs!$A$5:$A$120=$B47)*Inputs!$B$5:$B$120*(((Inputs!$G$5:$G$120="moeda")+(Inputs!$G$5:$G$120="acoes"))*Inputs!$B$1+((Inputs!$G$5:$G$120&lt;&gt;"moeda")*(Inputs!$G$5:$G$120&lt;&gt;"acoes")))*INDEX(Inputs!$K$5:$AJ$120,0,MATCH(P$2,Inputs!$K$4:$AJ$4,0)))+SUMPRODUCT((Inputs!$C$5:$C$120=$B47)*Inputs!$D$5:$D$120*(((Inputs!$G$5:$G$120="moeda")+(Inputs!$G$5:$G$120="acoes"))*Inputs!$B$1+((Inputs!$G$5:$G$120&lt;&gt;"moeda")*(Inputs!$G$5:$G$120&lt;&gt;"acoes")))*INDEX(Inputs!$K$5:$AJ$120,0,MATCH(P$2,Inputs!$K$4:$AJ$4,0)))+SUMPRODUCT((Inputs!$E$5:$E$120=$B47)*Inputs!$F$5:$F$120*(((Inputs!$G$5:$G$120="moeda")+(Inputs!$G$5:$G$120="acoes"))*Inputs!$B$1+((Inputs!$G$5:$G$120&lt;&gt;"moeda")*(Inputs!$G$5:$G$120&lt;&gt;"acoes")))*INDEX(Inputs!$K$5:$AJ$120,0,MATCH(P$2,Inputs!$K$4:$AJ$4,0)))))</f>
        <v>11555</v>
      </c>
      <c r="Q47" s="267">
        <f>IF(ISNA(MATCH(Q$2,Inputs!$K$4:$AJ$4,0)),NA(),IF(SUMPRODUCT((Inputs!$A$5:$A$120=$B47)*ISNUMBER(INDEX(Inputs!$K$5:$AJ$120,0,MATCH(Q$2,Inputs!$K$4:$AJ$4,0))))+SUMPRODUCT((Inputs!$C$5:$C$120=$B47)*ISNUMBER(INDEX(Inputs!$K$5:$AJ$120,0,MATCH(Q$2,Inputs!$K$4:$AJ$4,0))))+SUMPRODUCT((Inputs!$E$5:$E$120=$B47)*ISNUMBER(INDEX(Inputs!$K$5:$AJ$120,0,MATCH(Q$2,Inputs!$K$4:$AJ$4,0))))=0,NA(),SUMPRODUCT((Inputs!$A$5:$A$120=$B47)*Inputs!$B$5:$B$120*(((Inputs!$G$5:$G$120="moeda")+(Inputs!$G$5:$G$120="acoes"))*Inputs!$B$1+((Inputs!$G$5:$G$120&lt;&gt;"moeda")*(Inputs!$G$5:$G$120&lt;&gt;"acoes")))*INDEX(Inputs!$K$5:$AJ$120,0,MATCH(Q$2,Inputs!$K$4:$AJ$4,0)))+SUMPRODUCT((Inputs!$C$5:$C$120=$B47)*Inputs!$D$5:$D$120*(((Inputs!$G$5:$G$120="moeda")+(Inputs!$G$5:$G$120="acoes"))*Inputs!$B$1+((Inputs!$G$5:$G$120&lt;&gt;"moeda")*(Inputs!$G$5:$G$120&lt;&gt;"acoes")))*INDEX(Inputs!$K$5:$AJ$120,0,MATCH(Q$2,Inputs!$K$4:$AJ$4,0)))+SUMPRODUCT((Inputs!$E$5:$E$120=$B47)*Inputs!$F$5:$F$120*(((Inputs!$G$5:$G$120="moeda")+(Inputs!$G$5:$G$120="acoes"))*Inputs!$B$1+((Inputs!$G$5:$G$120&lt;&gt;"moeda")*(Inputs!$G$5:$G$120&lt;&gt;"acoes")))*INDEX(Inputs!$K$5:$AJ$120,0,MATCH(Q$2,Inputs!$K$4:$AJ$4,0)))))</f>
        <v>12077</v>
      </c>
      <c r="R47" s="268">
        <f>Q47</f>
        <v>12077</v>
      </c>
      <c r="S47" s="267">
        <f>IF(ISNA(MATCH(S$2,Inputs!$K$4:$AJ$4,0)),NA(),IF(SUMPRODUCT((Inputs!$A$5:$A$120=$B47)*ISNUMBER(INDEX(Inputs!$K$5:$AJ$120,0,MATCH(S$2,Inputs!$K$4:$AJ$4,0))))+SUMPRODUCT((Inputs!$C$5:$C$120=$B47)*ISNUMBER(INDEX(Inputs!$K$5:$AJ$120,0,MATCH(S$2,Inputs!$K$4:$AJ$4,0))))+SUMPRODUCT((Inputs!$E$5:$E$120=$B47)*ISNUMBER(INDEX(Inputs!$K$5:$AJ$120,0,MATCH(S$2,Inputs!$K$4:$AJ$4,0))))=0,NA(),SUMPRODUCT((Inputs!$A$5:$A$120=$B47)*Inputs!$B$5:$B$120*(((Inputs!$G$5:$G$120="moeda")+(Inputs!$G$5:$G$120="acoes"))*Inputs!$B$1+((Inputs!$G$5:$G$120&lt;&gt;"moeda")*(Inputs!$G$5:$G$120&lt;&gt;"acoes")))*INDEX(Inputs!$K$5:$AJ$120,0,MATCH(S$2,Inputs!$K$4:$AJ$4,0)))+SUMPRODUCT((Inputs!$C$5:$C$120=$B47)*Inputs!$D$5:$D$120*(((Inputs!$G$5:$G$120="moeda")+(Inputs!$G$5:$G$120="acoes"))*Inputs!$B$1+((Inputs!$G$5:$G$120&lt;&gt;"moeda")*(Inputs!$G$5:$G$120&lt;&gt;"acoes")))*INDEX(Inputs!$K$5:$AJ$120,0,MATCH(S$2,Inputs!$K$4:$AJ$4,0)))+SUMPRODUCT((Inputs!$E$5:$E$120=$B47)*Inputs!$F$5:$F$120*(((Inputs!$G$5:$G$120="moeda")+(Inputs!$G$5:$G$120="acoes"))*Inputs!$B$1+((Inputs!$G$5:$G$120&lt;&gt;"moeda")*(Inputs!$G$5:$G$120&lt;&gt;"acoes")))*INDEX(Inputs!$K$5:$AJ$120,0,MATCH(S$2,Inputs!$K$4:$AJ$4,0)))))</f>
        <v>12321</v>
      </c>
      <c r="T47" s="267">
        <f>IF(ISNA(MATCH(T$2,Inputs!$K$4:$AJ$4,0)),NA(),IF(SUMPRODUCT((Inputs!$A$5:$A$120=$B47)*ISNUMBER(INDEX(Inputs!$K$5:$AJ$120,0,MATCH(T$2,Inputs!$K$4:$AJ$4,0))))+SUMPRODUCT((Inputs!$C$5:$C$120=$B47)*ISNUMBER(INDEX(Inputs!$K$5:$AJ$120,0,MATCH(T$2,Inputs!$K$4:$AJ$4,0))))+SUMPRODUCT((Inputs!$E$5:$E$120=$B47)*ISNUMBER(INDEX(Inputs!$K$5:$AJ$120,0,MATCH(T$2,Inputs!$K$4:$AJ$4,0))))=0,NA(),SUMPRODUCT((Inputs!$A$5:$A$120=$B47)*Inputs!$B$5:$B$120*(((Inputs!$G$5:$G$120="moeda")+(Inputs!$G$5:$G$120="acoes"))*Inputs!$B$1+((Inputs!$G$5:$G$120&lt;&gt;"moeda")*(Inputs!$G$5:$G$120&lt;&gt;"acoes")))*INDEX(Inputs!$K$5:$AJ$120,0,MATCH(T$2,Inputs!$K$4:$AJ$4,0)))+SUMPRODUCT((Inputs!$C$5:$C$120=$B47)*Inputs!$D$5:$D$120*(((Inputs!$G$5:$G$120="moeda")+(Inputs!$G$5:$G$120="acoes"))*Inputs!$B$1+((Inputs!$G$5:$G$120&lt;&gt;"moeda")*(Inputs!$G$5:$G$120&lt;&gt;"acoes")))*INDEX(Inputs!$K$5:$AJ$120,0,MATCH(T$2,Inputs!$K$4:$AJ$4,0)))+SUMPRODUCT((Inputs!$E$5:$E$120=$B47)*Inputs!$F$5:$F$120*(((Inputs!$G$5:$G$120="moeda")+(Inputs!$G$5:$G$120="acoes"))*Inputs!$B$1+((Inputs!$G$5:$G$120&lt;&gt;"moeda")*(Inputs!$G$5:$G$120&lt;&gt;"acoes")))*INDEX(Inputs!$K$5:$AJ$120,0,MATCH(T$2,Inputs!$K$4:$AJ$4,0)))))</f>
        <v>12005</v>
      </c>
      <c r="U47" s="267">
        <f>IF(ISNA(MATCH(U$2,Inputs!$K$4:$AJ$4,0)),NA(),IF(SUMPRODUCT((Inputs!$A$5:$A$120=$B47)*ISNUMBER(INDEX(Inputs!$K$5:$AJ$120,0,MATCH(U$2,Inputs!$K$4:$AJ$4,0))))+SUMPRODUCT((Inputs!$C$5:$C$120=$B47)*ISNUMBER(INDEX(Inputs!$K$5:$AJ$120,0,MATCH(U$2,Inputs!$K$4:$AJ$4,0))))+SUMPRODUCT((Inputs!$E$5:$E$120=$B47)*ISNUMBER(INDEX(Inputs!$K$5:$AJ$120,0,MATCH(U$2,Inputs!$K$4:$AJ$4,0))))=0,NA(),SUMPRODUCT((Inputs!$A$5:$A$120=$B47)*Inputs!$B$5:$B$120*(((Inputs!$G$5:$G$120="moeda")+(Inputs!$G$5:$G$120="acoes"))*Inputs!$B$1+((Inputs!$G$5:$G$120&lt;&gt;"moeda")*(Inputs!$G$5:$G$120&lt;&gt;"acoes")))*INDEX(Inputs!$K$5:$AJ$120,0,MATCH(U$2,Inputs!$K$4:$AJ$4,0)))+SUMPRODUCT((Inputs!$C$5:$C$120=$B47)*Inputs!$D$5:$D$120*(((Inputs!$G$5:$G$120="moeda")+(Inputs!$G$5:$G$120="acoes"))*Inputs!$B$1+((Inputs!$G$5:$G$120&lt;&gt;"moeda")*(Inputs!$G$5:$G$120&lt;&gt;"acoes")))*INDEX(Inputs!$K$5:$AJ$120,0,MATCH(U$2,Inputs!$K$4:$AJ$4,0)))+SUMPRODUCT((Inputs!$E$5:$E$120=$B47)*Inputs!$F$5:$F$120*(((Inputs!$G$5:$G$120="moeda")+(Inputs!$G$5:$G$120="acoes"))*Inputs!$B$1+((Inputs!$G$5:$G$120&lt;&gt;"moeda")*(Inputs!$G$5:$G$120&lt;&gt;"acoes")))*INDEX(Inputs!$K$5:$AJ$120,0,MATCH(U$2,Inputs!$K$4:$AJ$4,0)))))</f>
        <v>12231</v>
      </c>
      <c r="V47" s="267">
        <f>IF(ISNA(MATCH(V$2,Inputs!$K$4:$AJ$4,0)),NA(),IF(SUMPRODUCT((Inputs!$A$5:$A$120=$B47)*ISNUMBER(INDEX(Inputs!$K$5:$AJ$120,0,MATCH(V$2,Inputs!$K$4:$AJ$4,0))))+SUMPRODUCT((Inputs!$C$5:$C$120=$B47)*ISNUMBER(INDEX(Inputs!$K$5:$AJ$120,0,MATCH(V$2,Inputs!$K$4:$AJ$4,0))))+SUMPRODUCT((Inputs!$E$5:$E$120=$B47)*ISNUMBER(INDEX(Inputs!$K$5:$AJ$120,0,MATCH(V$2,Inputs!$K$4:$AJ$4,0))))=0,NA(),SUMPRODUCT((Inputs!$A$5:$A$120=$B47)*Inputs!$B$5:$B$120*(((Inputs!$G$5:$G$120="moeda")+(Inputs!$G$5:$G$120="acoes"))*Inputs!$B$1+((Inputs!$G$5:$G$120&lt;&gt;"moeda")*(Inputs!$G$5:$G$120&lt;&gt;"acoes")))*INDEX(Inputs!$K$5:$AJ$120,0,MATCH(V$2,Inputs!$K$4:$AJ$4,0)))+SUMPRODUCT((Inputs!$C$5:$C$120=$B47)*Inputs!$D$5:$D$120*(((Inputs!$G$5:$G$120="moeda")+(Inputs!$G$5:$G$120="acoes"))*Inputs!$B$1+((Inputs!$G$5:$G$120&lt;&gt;"moeda")*(Inputs!$G$5:$G$120&lt;&gt;"acoes")))*INDEX(Inputs!$K$5:$AJ$120,0,MATCH(V$2,Inputs!$K$4:$AJ$4,0)))+SUMPRODUCT((Inputs!$E$5:$E$120=$B47)*Inputs!$F$5:$F$120*(((Inputs!$G$5:$G$120="moeda")+(Inputs!$G$5:$G$120="acoes"))*Inputs!$B$1+((Inputs!$G$5:$G$120&lt;&gt;"moeda")*(Inputs!$G$5:$G$120&lt;&gt;"acoes")))*INDEX(Inputs!$K$5:$AJ$120,0,MATCH(V$2,Inputs!$K$4:$AJ$4,0)))))</f>
        <v>12838</v>
      </c>
      <c r="W47" s="268">
        <f>V47</f>
        <v>12838</v>
      </c>
      <c r="X47" s="267">
        <f>IF(ISNA(MATCH(X$2,Inputs!$K$4:$AJ$4,0)),NA(),IF(SUMPRODUCT((Inputs!$A$5:$A$120=$B47)*ISNUMBER(INDEX(Inputs!$K$5:$AJ$120,0,MATCH(X$2,Inputs!$K$4:$AJ$4,0))))+SUMPRODUCT((Inputs!$C$5:$C$120=$B47)*ISNUMBER(INDEX(Inputs!$K$5:$AJ$120,0,MATCH(X$2,Inputs!$K$4:$AJ$4,0))))+SUMPRODUCT((Inputs!$E$5:$E$120=$B47)*ISNUMBER(INDEX(Inputs!$K$5:$AJ$120,0,MATCH(X$2,Inputs!$K$4:$AJ$4,0))))=0,NA(),SUMPRODUCT((Inputs!$A$5:$A$120=$B47)*Inputs!$B$5:$B$120*(((Inputs!$G$5:$G$120="moeda")+(Inputs!$G$5:$G$120="acoes"))*Inputs!$B$1+((Inputs!$G$5:$G$120&lt;&gt;"moeda")*(Inputs!$G$5:$G$120&lt;&gt;"acoes")))*INDEX(Inputs!$K$5:$AJ$120,0,MATCH(X$2,Inputs!$K$4:$AJ$4,0)))+SUMPRODUCT((Inputs!$C$5:$C$120=$B47)*Inputs!$D$5:$D$120*(((Inputs!$G$5:$G$120="moeda")+(Inputs!$G$5:$G$120="acoes"))*Inputs!$B$1+((Inputs!$G$5:$G$120&lt;&gt;"moeda")*(Inputs!$G$5:$G$120&lt;&gt;"acoes")))*INDEX(Inputs!$K$5:$AJ$120,0,MATCH(X$2,Inputs!$K$4:$AJ$4,0)))+SUMPRODUCT((Inputs!$E$5:$E$120=$B47)*Inputs!$F$5:$F$120*(((Inputs!$G$5:$G$120="moeda")+(Inputs!$G$5:$G$120="acoes"))*Inputs!$B$1+((Inputs!$G$5:$G$120&lt;&gt;"moeda")*(Inputs!$G$5:$G$120&lt;&gt;"acoes")))*INDEX(Inputs!$K$5:$AJ$120,0,MATCH(X$2,Inputs!$K$4:$AJ$4,0)))))</f>
        <v>13034</v>
      </c>
      <c r="Y47" s="267">
        <f>IF(ISNA(MATCH(Y$2,Inputs!$K$4:$AJ$4,0)),NA(),IF(SUMPRODUCT((Inputs!$A$5:$A$120=$B47)*ISNUMBER(INDEX(Inputs!$K$5:$AJ$120,0,MATCH(Y$2,Inputs!$K$4:$AJ$4,0))))+SUMPRODUCT((Inputs!$C$5:$C$120=$B47)*ISNUMBER(INDEX(Inputs!$K$5:$AJ$120,0,MATCH(Y$2,Inputs!$K$4:$AJ$4,0))))+SUMPRODUCT((Inputs!$E$5:$E$120=$B47)*ISNUMBER(INDEX(Inputs!$K$5:$AJ$120,0,MATCH(Y$2,Inputs!$K$4:$AJ$4,0))))=0,NA(),SUMPRODUCT((Inputs!$A$5:$A$120=$B47)*Inputs!$B$5:$B$120*(((Inputs!$G$5:$G$120="moeda")+(Inputs!$G$5:$G$120="acoes"))*Inputs!$B$1+((Inputs!$G$5:$G$120&lt;&gt;"moeda")*(Inputs!$G$5:$G$120&lt;&gt;"acoes")))*INDEX(Inputs!$K$5:$AJ$120,0,MATCH(Y$2,Inputs!$K$4:$AJ$4,0)))+SUMPRODUCT((Inputs!$C$5:$C$120=$B47)*Inputs!$D$5:$D$120*(((Inputs!$G$5:$G$120="moeda")+(Inputs!$G$5:$G$120="acoes"))*Inputs!$B$1+((Inputs!$G$5:$G$120&lt;&gt;"moeda")*(Inputs!$G$5:$G$120&lt;&gt;"acoes")))*INDEX(Inputs!$K$5:$AJ$120,0,MATCH(Y$2,Inputs!$K$4:$AJ$4,0)))+SUMPRODUCT((Inputs!$E$5:$E$120=$B47)*Inputs!$F$5:$F$120*(((Inputs!$G$5:$G$120="moeda")+(Inputs!$G$5:$G$120="acoes"))*Inputs!$B$1+((Inputs!$G$5:$G$120&lt;&gt;"moeda")*(Inputs!$G$5:$G$120&lt;&gt;"acoes")))*INDEX(Inputs!$K$5:$AJ$120,0,MATCH(Y$2,Inputs!$K$4:$AJ$4,0)))))</f>
        <v>13011</v>
      </c>
      <c r="Z47" s="267">
        <f>IF(ISNA(MATCH(Z$2,Inputs!$K$4:$AJ$4,0)),NA(),IF(SUMPRODUCT((Inputs!$A$5:$A$120=$B47)*ISNUMBER(INDEX(Inputs!$K$5:$AJ$120,0,MATCH(Z$2,Inputs!$K$4:$AJ$4,0))))+SUMPRODUCT((Inputs!$C$5:$C$120=$B47)*ISNUMBER(INDEX(Inputs!$K$5:$AJ$120,0,MATCH(Z$2,Inputs!$K$4:$AJ$4,0))))+SUMPRODUCT((Inputs!$E$5:$E$120=$B47)*ISNUMBER(INDEX(Inputs!$K$5:$AJ$120,0,MATCH(Z$2,Inputs!$K$4:$AJ$4,0))))=0,NA(),SUMPRODUCT((Inputs!$A$5:$A$120=$B47)*Inputs!$B$5:$B$120*(((Inputs!$G$5:$G$120="moeda")+(Inputs!$G$5:$G$120="acoes"))*Inputs!$B$1+((Inputs!$G$5:$G$120&lt;&gt;"moeda")*(Inputs!$G$5:$G$120&lt;&gt;"acoes")))*INDEX(Inputs!$K$5:$AJ$120,0,MATCH(Z$2,Inputs!$K$4:$AJ$4,0)))+SUMPRODUCT((Inputs!$C$5:$C$120=$B47)*Inputs!$D$5:$D$120*(((Inputs!$G$5:$G$120="moeda")+(Inputs!$G$5:$G$120="acoes"))*Inputs!$B$1+((Inputs!$G$5:$G$120&lt;&gt;"moeda")*(Inputs!$G$5:$G$120&lt;&gt;"acoes")))*INDEX(Inputs!$K$5:$AJ$120,0,MATCH(Z$2,Inputs!$K$4:$AJ$4,0)))+SUMPRODUCT((Inputs!$E$5:$E$120=$B47)*Inputs!$F$5:$F$120*(((Inputs!$G$5:$G$120="moeda")+(Inputs!$G$5:$G$120="acoes"))*Inputs!$B$1+((Inputs!$G$5:$G$120&lt;&gt;"moeda")*(Inputs!$G$5:$G$120&lt;&gt;"acoes")))*INDEX(Inputs!$K$5:$AJ$120,0,MATCH(Z$2,Inputs!$K$4:$AJ$4,0)))))</f>
        <v>13053</v>
      </c>
      <c r="AA47" s="267">
        <f>IF(ISNA(MATCH(AA$2,Inputs!$K$4:$AJ$4,0)),NA(),IF(SUMPRODUCT((Inputs!$A$5:$A$120=$B47)*ISNUMBER(INDEX(Inputs!$K$5:$AJ$120,0,MATCH(AA$2,Inputs!$K$4:$AJ$4,0))))+SUMPRODUCT((Inputs!$C$5:$C$120=$B47)*ISNUMBER(INDEX(Inputs!$K$5:$AJ$120,0,MATCH(AA$2,Inputs!$K$4:$AJ$4,0))))+SUMPRODUCT((Inputs!$E$5:$E$120=$B47)*ISNUMBER(INDEX(Inputs!$K$5:$AJ$120,0,MATCH(AA$2,Inputs!$K$4:$AJ$4,0))))=0,NA(),SUMPRODUCT((Inputs!$A$5:$A$120=$B47)*Inputs!$B$5:$B$120*(((Inputs!$G$5:$G$120="moeda")+(Inputs!$G$5:$G$120="acoes"))*Inputs!$B$1+((Inputs!$G$5:$G$120&lt;&gt;"moeda")*(Inputs!$G$5:$G$120&lt;&gt;"acoes")))*INDEX(Inputs!$K$5:$AJ$120,0,MATCH(AA$2,Inputs!$K$4:$AJ$4,0)))+SUMPRODUCT((Inputs!$C$5:$C$120=$B47)*Inputs!$D$5:$D$120*(((Inputs!$G$5:$G$120="moeda")+(Inputs!$G$5:$G$120="acoes"))*Inputs!$B$1+((Inputs!$G$5:$G$120&lt;&gt;"moeda")*(Inputs!$G$5:$G$120&lt;&gt;"acoes")))*INDEX(Inputs!$K$5:$AJ$120,0,MATCH(AA$2,Inputs!$K$4:$AJ$4,0)))+SUMPRODUCT((Inputs!$E$5:$E$120=$B47)*Inputs!$F$5:$F$120*(((Inputs!$G$5:$G$120="moeda")+(Inputs!$G$5:$G$120="acoes"))*Inputs!$B$1+((Inputs!$G$5:$G$120&lt;&gt;"moeda")*(Inputs!$G$5:$G$120&lt;&gt;"acoes")))*INDEX(Inputs!$K$5:$AJ$120,0,MATCH(AA$2,Inputs!$K$4:$AJ$4,0)))))</f>
        <v>13152</v>
      </c>
      <c r="AB47" s="268">
        <f>AA47</f>
        <v>13152</v>
      </c>
      <c r="AC47" s="267">
        <f>IF(ISNA(MATCH(AC$2,Inputs!$K$4:$AJ$4,0)),NA(),IF(SUMPRODUCT((Inputs!$A$5:$A$120=$B47)*ISNUMBER(INDEX(Inputs!$K$5:$AJ$120,0,MATCH(AC$2,Inputs!$K$4:$AJ$4,0))))+SUMPRODUCT((Inputs!$C$5:$C$120=$B47)*ISNUMBER(INDEX(Inputs!$K$5:$AJ$120,0,MATCH(AC$2,Inputs!$K$4:$AJ$4,0))))+SUMPRODUCT((Inputs!$E$5:$E$120=$B47)*ISNUMBER(INDEX(Inputs!$K$5:$AJ$120,0,MATCH(AC$2,Inputs!$K$4:$AJ$4,0))))=0,NA(),SUMPRODUCT((Inputs!$A$5:$A$120=$B47)*Inputs!$B$5:$B$120*(((Inputs!$G$5:$G$120="moeda")+(Inputs!$G$5:$G$120="acoes"))*Inputs!$B$1+((Inputs!$G$5:$G$120&lt;&gt;"moeda")*(Inputs!$G$5:$G$120&lt;&gt;"acoes")))*INDEX(Inputs!$K$5:$AJ$120,0,MATCH(AC$2,Inputs!$K$4:$AJ$4,0)))+SUMPRODUCT((Inputs!$C$5:$C$120=$B47)*Inputs!$D$5:$D$120*(((Inputs!$G$5:$G$120="moeda")+(Inputs!$G$5:$G$120="acoes"))*Inputs!$B$1+((Inputs!$G$5:$G$120&lt;&gt;"moeda")*(Inputs!$G$5:$G$120&lt;&gt;"acoes")))*INDEX(Inputs!$K$5:$AJ$120,0,MATCH(AC$2,Inputs!$K$4:$AJ$4,0)))+SUMPRODUCT((Inputs!$E$5:$E$120=$B47)*Inputs!$F$5:$F$120*(((Inputs!$G$5:$G$120="moeda")+(Inputs!$G$5:$G$120="acoes"))*Inputs!$B$1+((Inputs!$G$5:$G$120&lt;&gt;"moeda")*(Inputs!$G$5:$G$120&lt;&gt;"acoes")))*INDEX(Inputs!$K$5:$AJ$120,0,MATCH(AC$2,Inputs!$K$4:$AJ$4,0)))))</f>
        <v>13216</v>
      </c>
      <c r="AD47" s="267">
        <f>IF(ISNA(MATCH(AD$2,Inputs!$K$4:$AJ$4,0)),NA(),IF(SUMPRODUCT((Inputs!$A$5:$A$120=$B47)*ISNUMBER(INDEX(Inputs!$K$5:$AJ$120,0,MATCH(AD$2,Inputs!$K$4:$AJ$4,0))))+SUMPRODUCT((Inputs!$C$5:$C$120=$B47)*ISNUMBER(INDEX(Inputs!$K$5:$AJ$120,0,MATCH(AD$2,Inputs!$K$4:$AJ$4,0))))+SUMPRODUCT((Inputs!$E$5:$E$120=$B47)*ISNUMBER(INDEX(Inputs!$K$5:$AJ$120,0,MATCH(AD$2,Inputs!$K$4:$AJ$4,0))))=0,NA(),SUMPRODUCT((Inputs!$A$5:$A$120=$B47)*Inputs!$B$5:$B$120*(((Inputs!$G$5:$G$120="moeda")+(Inputs!$G$5:$G$120="acoes"))*Inputs!$B$1+((Inputs!$G$5:$G$120&lt;&gt;"moeda")*(Inputs!$G$5:$G$120&lt;&gt;"acoes")))*INDEX(Inputs!$K$5:$AJ$120,0,MATCH(AD$2,Inputs!$K$4:$AJ$4,0)))+SUMPRODUCT((Inputs!$C$5:$C$120=$B47)*Inputs!$D$5:$D$120*(((Inputs!$G$5:$G$120="moeda")+(Inputs!$G$5:$G$120="acoes"))*Inputs!$B$1+((Inputs!$G$5:$G$120&lt;&gt;"moeda")*(Inputs!$G$5:$G$120&lt;&gt;"acoes")))*INDEX(Inputs!$K$5:$AJ$120,0,MATCH(AD$2,Inputs!$K$4:$AJ$4,0)))+SUMPRODUCT((Inputs!$E$5:$E$120=$B47)*Inputs!$F$5:$F$120*(((Inputs!$G$5:$G$120="moeda")+(Inputs!$G$5:$G$120="acoes"))*Inputs!$B$1+((Inputs!$G$5:$G$120&lt;&gt;"moeda")*(Inputs!$G$5:$G$120&lt;&gt;"acoes")))*INDEX(Inputs!$K$5:$AJ$120,0,MATCH(AD$2,Inputs!$K$4:$AJ$4,0)))))</f>
        <v>13339</v>
      </c>
      <c r="AE47" s="267" t="e">
        <f>IF(ISNA(MATCH(AE$2,Inputs!$K$4:$AJ$4,0)),NA(),IF(SUMPRODUCT((Inputs!$A$5:$A$120=$B47)*ISNUMBER(INDEX(Inputs!$K$5:$AJ$120,0,MATCH(AE$2,Inputs!$K$4:$AJ$4,0))))+SUMPRODUCT((Inputs!$C$5:$C$120=$B47)*ISNUMBER(INDEX(Inputs!$K$5:$AJ$120,0,MATCH(AE$2,Inputs!$K$4:$AJ$4,0))))+SUMPRODUCT((Inputs!$E$5:$E$120=$B47)*ISNUMBER(INDEX(Inputs!$K$5:$AJ$120,0,MATCH(AE$2,Inputs!$K$4:$AJ$4,0))))=0,NA(),SUMPRODUCT((Inputs!$A$5:$A$120=$B47)*Inputs!$B$5:$B$120*(((Inputs!$G$5:$G$120="moeda")+(Inputs!$G$5:$G$120="acoes"))*Inputs!$B$1+((Inputs!$G$5:$G$120&lt;&gt;"moeda")*(Inputs!$G$5:$G$120&lt;&gt;"acoes")))*INDEX(Inputs!$K$5:$AJ$120,0,MATCH(AE$2,Inputs!$K$4:$AJ$4,0)))+SUMPRODUCT((Inputs!$C$5:$C$120=$B47)*Inputs!$D$5:$D$120*(((Inputs!$G$5:$G$120="moeda")+(Inputs!$G$5:$G$120="acoes"))*Inputs!$B$1+((Inputs!$G$5:$G$120&lt;&gt;"moeda")*(Inputs!$G$5:$G$120&lt;&gt;"acoes")))*INDEX(Inputs!$K$5:$AJ$120,0,MATCH(AE$2,Inputs!$K$4:$AJ$4,0)))+SUMPRODUCT((Inputs!$E$5:$E$120=$B47)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47" s="267" t="e">
        <f>IF(ISNA(MATCH(AF$2,Inputs!$K$4:$AJ$4,0)),NA(),IF(SUMPRODUCT((Inputs!$A$5:$A$120=$B47)*ISNUMBER(INDEX(Inputs!$K$5:$AJ$120,0,MATCH(AF$2,Inputs!$K$4:$AJ$4,0))))+SUMPRODUCT((Inputs!$C$5:$C$120=$B47)*ISNUMBER(INDEX(Inputs!$K$5:$AJ$120,0,MATCH(AF$2,Inputs!$K$4:$AJ$4,0))))+SUMPRODUCT((Inputs!$E$5:$E$120=$B47)*ISNUMBER(INDEX(Inputs!$K$5:$AJ$120,0,MATCH(AF$2,Inputs!$K$4:$AJ$4,0))))=0,NA(),SUMPRODUCT((Inputs!$A$5:$A$120=$B47)*Inputs!$B$5:$B$120*(((Inputs!$G$5:$G$120="moeda")+(Inputs!$G$5:$G$120="acoes"))*Inputs!$B$1+((Inputs!$G$5:$G$120&lt;&gt;"moeda")*(Inputs!$G$5:$G$120&lt;&gt;"acoes")))*INDEX(Inputs!$K$5:$AJ$120,0,MATCH(AF$2,Inputs!$K$4:$AJ$4,0)))+SUMPRODUCT((Inputs!$C$5:$C$120=$B47)*Inputs!$D$5:$D$120*(((Inputs!$G$5:$G$120="moeda")+(Inputs!$G$5:$G$120="acoes"))*Inputs!$B$1+((Inputs!$G$5:$G$120&lt;&gt;"moeda")*(Inputs!$G$5:$G$120&lt;&gt;"acoes")))*INDEX(Inputs!$K$5:$AJ$120,0,MATCH(AF$2,Inputs!$K$4:$AJ$4,0)))+SUMPRODUCT((Inputs!$E$5:$E$120=$B47)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47" s="268" t="e">
        <f>AF47</f>
        <v>#N/A</v>
      </c>
      <c r="AH47" s="267">
        <f>IF(ISNA(MATCH(AH$2,Inputs!$K$4:$AJ$4,0)),NA(),IF(SUMPRODUCT((Inputs!$A$5:$A$120=$B47)*ISNUMBER(INDEX(Inputs!$K$5:$AJ$120,0,MATCH(AH$2,Inputs!$K$4:$AJ$4,0))))+SUMPRODUCT((Inputs!$C$5:$C$120=$B47)*ISNUMBER(INDEX(Inputs!$K$5:$AJ$120,0,MATCH(AH$2,Inputs!$K$4:$AJ$4,0))))+SUMPRODUCT((Inputs!$E$5:$E$120=$B47)*ISNUMBER(INDEX(Inputs!$K$5:$AJ$120,0,MATCH(AH$2,Inputs!$K$4:$AJ$4,0))))=0,NA(),SUMPRODUCT((Inputs!$A$5:$A$120=$B47)*Inputs!$B$5:$B$120*(((Inputs!$G$5:$G$120="moeda")+(Inputs!$G$5:$G$120="acoes"))*Inputs!$B$1+((Inputs!$G$5:$G$120&lt;&gt;"moeda")*(Inputs!$G$5:$G$120&lt;&gt;"acoes")))*INDEX(Inputs!$K$5:$AJ$120,0,MATCH(AH$2,Inputs!$K$4:$AJ$4,0)))+SUMPRODUCT((Inputs!$C$5:$C$120=$B47)*Inputs!$D$5:$D$120*(((Inputs!$G$5:$G$120="moeda")+(Inputs!$G$5:$G$120="acoes"))*Inputs!$B$1+((Inputs!$G$5:$G$120&lt;&gt;"moeda")*(Inputs!$G$5:$G$120&lt;&gt;"acoes")))*INDEX(Inputs!$K$5:$AJ$120,0,MATCH(AH$2,Inputs!$K$4:$AJ$4,0)))+SUMPRODUCT((Inputs!$E$5:$E$120=$B47)*Inputs!$F$5:$F$120*(((Inputs!$G$5:$G$120="moeda")+(Inputs!$G$5:$G$120="acoes"))*Inputs!$B$1+((Inputs!$G$5:$G$120&lt;&gt;"moeda")*(Inputs!$G$5:$G$120&lt;&gt;"acoes")))*INDEX(Inputs!$K$5:$AJ$120,0,MATCH(AH$2,Inputs!$K$4:$AJ$4,0)))))</f>
        <v>6158</v>
      </c>
      <c r="AI47" s="267">
        <f>IF(ISNA(MATCH(AI$2,Inputs!$K$4:$AJ$4,0)),NA(),IF(SUMPRODUCT((Inputs!$A$5:$A$120=$B47)*ISNUMBER(INDEX(Inputs!$K$5:$AJ$120,0,MATCH(AI$2,Inputs!$K$4:$AJ$4,0))))+SUMPRODUCT((Inputs!$C$5:$C$120=$B47)*ISNUMBER(INDEX(Inputs!$K$5:$AJ$120,0,MATCH(AI$2,Inputs!$K$4:$AJ$4,0))))+SUMPRODUCT((Inputs!$E$5:$E$120=$B47)*ISNUMBER(INDEX(Inputs!$K$5:$AJ$120,0,MATCH(AI$2,Inputs!$K$4:$AJ$4,0))))=0,NA(),SUMPRODUCT((Inputs!$A$5:$A$120=$B47)*Inputs!$B$5:$B$120*(((Inputs!$G$5:$G$120="moeda")+(Inputs!$G$5:$G$120="acoes"))*Inputs!$B$1+((Inputs!$G$5:$G$120&lt;&gt;"moeda")*(Inputs!$G$5:$G$120&lt;&gt;"acoes")))*INDEX(Inputs!$K$5:$AJ$120,0,MATCH(AI$2,Inputs!$K$4:$AJ$4,0)))+SUMPRODUCT((Inputs!$C$5:$C$120=$B47)*Inputs!$D$5:$D$120*(((Inputs!$G$5:$G$120="moeda")+(Inputs!$G$5:$G$120="acoes"))*Inputs!$B$1+((Inputs!$G$5:$G$120&lt;&gt;"moeda")*(Inputs!$G$5:$G$120&lt;&gt;"acoes")))*INDEX(Inputs!$K$5:$AJ$120,0,MATCH(AI$2,Inputs!$K$4:$AJ$4,0)))+SUMPRODUCT((Inputs!$E$5:$E$120=$B47)*Inputs!$F$5:$F$120*(((Inputs!$G$5:$G$120="moeda")+(Inputs!$G$5:$G$120="acoes"))*Inputs!$B$1+((Inputs!$G$5:$G$120&lt;&gt;"moeda")*(Inputs!$G$5:$G$120&lt;&gt;"acoes")))*INDEX(Inputs!$K$5:$AJ$120,0,MATCH(AI$2,Inputs!$K$4:$AJ$4,0)))))</f>
        <v>6581</v>
      </c>
      <c r="AJ47" s="267">
        <f>IF(ISNA(MATCH(AJ$2,Inputs!$K$4:$AJ$4,0)),NA(),IF(SUMPRODUCT((Inputs!$A$5:$A$120=$B47)*ISNUMBER(INDEX(Inputs!$K$5:$AJ$120,0,MATCH(AJ$2,Inputs!$K$4:$AJ$4,0))))+SUMPRODUCT((Inputs!$C$5:$C$120=$B47)*ISNUMBER(INDEX(Inputs!$K$5:$AJ$120,0,MATCH(AJ$2,Inputs!$K$4:$AJ$4,0))))+SUMPRODUCT((Inputs!$E$5:$E$120=$B47)*ISNUMBER(INDEX(Inputs!$K$5:$AJ$120,0,MATCH(AJ$2,Inputs!$K$4:$AJ$4,0))))=0,NA(),SUMPRODUCT((Inputs!$A$5:$A$120=$B47)*Inputs!$B$5:$B$120*(((Inputs!$G$5:$G$120="moeda")+(Inputs!$G$5:$G$120="acoes"))*Inputs!$B$1+((Inputs!$G$5:$G$120&lt;&gt;"moeda")*(Inputs!$G$5:$G$120&lt;&gt;"acoes")))*INDEX(Inputs!$K$5:$AJ$120,0,MATCH(AJ$2,Inputs!$K$4:$AJ$4,0)))+SUMPRODUCT((Inputs!$C$5:$C$120=$B47)*Inputs!$D$5:$D$120*(((Inputs!$G$5:$G$120="moeda")+(Inputs!$G$5:$G$120="acoes"))*Inputs!$B$1+((Inputs!$G$5:$G$120&lt;&gt;"moeda")*(Inputs!$G$5:$G$120&lt;&gt;"acoes")))*INDEX(Inputs!$K$5:$AJ$120,0,MATCH(AJ$2,Inputs!$K$4:$AJ$4,0)))+SUMPRODUCT((Inputs!$E$5:$E$120=$B47)*Inputs!$F$5:$F$120*(((Inputs!$G$5:$G$120="moeda")+(Inputs!$G$5:$G$120="acoes"))*Inputs!$B$1+((Inputs!$G$5:$G$120&lt;&gt;"moeda")*(Inputs!$G$5:$G$120&lt;&gt;"acoes")))*INDEX(Inputs!$K$5:$AJ$120,0,MATCH(AJ$2,Inputs!$K$4:$AJ$4,0)))))</f>
        <v>6784</v>
      </c>
      <c r="AK47" s="267">
        <f>IF(ISNA(MATCH(AK$2,Inputs!$K$4:$AJ$4,0)),NA(),IF(SUMPRODUCT((Inputs!$A$5:$A$120=$B47)*ISNUMBER(INDEX(Inputs!$K$5:$AJ$120,0,MATCH(AK$2,Inputs!$K$4:$AJ$4,0))))+SUMPRODUCT((Inputs!$C$5:$C$120=$B47)*ISNUMBER(INDEX(Inputs!$K$5:$AJ$120,0,MATCH(AK$2,Inputs!$K$4:$AJ$4,0))))+SUMPRODUCT((Inputs!$E$5:$E$120=$B47)*ISNUMBER(INDEX(Inputs!$K$5:$AJ$120,0,MATCH(AK$2,Inputs!$K$4:$AJ$4,0))))=0,NA(),SUMPRODUCT((Inputs!$A$5:$A$120=$B47)*Inputs!$B$5:$B$120*(((Inputs!$G$5:$G$120="moeda")+(Inputs!$G$5:$G$120="acoes"))*Inputs!$B$1+((Inputs!$G$5:$G$120&lt;&gt;"moeda")*(Inputs!$G$5:$G$120&lt;&gt;"acoes")))*INDEX(Inputs!$K$5:$AJ$120,0,MATCH(AK$2,Inputs!$K$4:$AJ$4,0)))+SUMPRODUCT((Inputs!$C$5:$C$120=$B47)*Inputs!$D$5:$D$120*(((Inputs!$G$5:$G$120="moeda")+(Inputs!$G$5:$G$120="acoes"))*Inputs!$B$1+((Inputs!$G$5:$G$120&lt;&gt;"moeda")*(Inputs!$G$5:$G$120&lt;&gt;"acoes")))*INDEX(Inputs!$K$5:$AJ$120,0,MATCH(AK$2,Inputs!$K$4:$AJ$4,0)))+SUMPRODUCT((Inputs!$E$5:$E$120=$B47)*Inputs!$F$5:$F$120*(((Inputs!$G$5:$G$120="moeda")+(Inputs!$G$5:$G$120="acoes"))*Inputs!$B$1+((Inputs!$G$5:$G$120&lt;&gt;"moeda")*(Inputs!$G$5:$G$120&lt;&gt;"acoes")))*INDEX(Inputs!$K$5:$AJ$120,0,MATCH(AK$2,Inputs!$K$4:$AJ$4,0)))))</f>
        <v>7236</v>
      </c>
      <c r="AL47" s="268">
        <f>AK47</f>
        <v>7236</v>
      </c>
    </row>
    <row r="48"/>
    <row r="49" ht="12.75" customFormat="1" customHeight="1" s="259">
      <c r="C49" s="260" t="n"/>
      <c r="D49" s="272" t="n"/>
      <c r="E49" s="272" t="n"/>
      <c r="F49" s="272" t="n"/>
      <c r="G49" s="272" t="n"/>
      <c r="H49" s="268" t="n"/>
      <c r="I49" s="272" t="n"/>
      <c r="J49" s="272" t="n"/>
      <c r="K49" s="272" t="n"/>
      <c r="L49" s="272" t="n"/>
      <c r="M49" s="268" t="n"/>
      <c r="N49" s="272" t="n"/>
      <c r="O49" s="272" t="n"/>
      <c r="P49" s="272" t="n"/>
      <c r="Q49" s="272" t="n"/>
      <c r="R49" s="268" t="n"/>
      <c r="S49" s="272" t="n"/>
      <c r="T49" s="272" t="n"/>
      <c r="U49" s="272" t="n"/>
      <c r="V49" s="272" t="n"/>
      <c r="W49" s="268" t="n"/>
      <c r="X49" s="272" t="n"/>
      <c r="Y49" s="272" t="n"/>
      <c r="Z49" s="272" t="n"/>
      <c r="AA49" s="272" t="n"/>
      <c r="AC49" s="272" t="n"/>
      <c r="AD49" s="272" t="n"/>
      <c r="AE49" s="272" t="n"/>
      <c r="AF49" s="272" t="n"/>
    </row>
    <row r="50" ht="12.75" customHeight="1" s="255">
      <c r="B50" s="265" t="n">
        <v>44</v>
      </c>
      <c r="C50" s="269" t="inlineStr">
        <is>
          <t>Net income reported (lucro liquido) - memo p/ check IS [Model linha 4]</t>
        </is>
      </c>
      <c r="D50" s="267">
        <f>IF(ISNA(MATCH(D$2,Inputs!$K$4:$AJ$4,0)),NA(),IF(SUMPRODUCT((Inputs!$A$5:$A$120=$B50)*ISNUMBER(INDEX(Inputs!$K$5:$AJ$120,0,MATCH(D$2,Inputs!$K$4:$AJ$4,0))))+SUMPRODUCT((Inputs!$C$5:$C$120=$B50)*ISNUMBER(INDEX(Inputs!$K$5:$AJ$120,0,MATCH(D$2,Inputs!$K$4:$AJ$4,0))))+SUMPRODUCT((Inputs!$E$5:$E$120=$B50)*ISNUMBER(INDEX(Inputs!$K$5:$AJ$120,0,MATCH(D$2,Inputs!$K$4:$AJ$4,0))))=0,NA(),SUMPRODUCT((Inputs!$A$5:$A$120=$B50)*Inputs!$B$5:$B$120*(((Inputs!$G$5:$G$120="moeda")+(Inputs!$G$5:$G$120="acoes"))*Inputs!$B$1+((Inputs!$G$5:$G$120&lt;&gt;"moeda")*(Inputs!$G$5:$G$120&lt;&gt;"acoes")))*INDEX(Inputs!$K$5:$AJ$120,0,MATCH(D$2,Inputs!$K$4:$AJ$4,0)))+SUMPRODUCT((Inputs!$C$5:$C$120=$B50)*Inputs!$D$5:$D$120*(((Inputs!$G$5:$G$120="moeda")+(Inputs!$G$5:$G$120="acoes"))*Inputs!$B$1+((Inputs!$G$5:$G$120&lt;&gt;"moeda")*(Inputs!$G$5:$G$120&lt;&gt;"acoes")))*INDEX(Inputs!$K$5:$AJ$120,0,MATCH(D$2,Inputs!$K$4:$AJ$4,0)))+SUMPRODUCT((Inputs!$E$5:$E$120=$B50)*Inputs!$F$5:$F$120*(((Inputs!$G$5:$G$120="moeda")+(Inputs!$G$5:$G$120="acoes"))*Inputs!$B$1+((Inputs!$G$5:$G$120&lt;&gt;"moeda")*(Inputs!$G$5:$G$120&lt;&gt;"acoes")))*INDEX(Inputs!$K$5:$AJ$120,0,MATCH(D$2,Inputs!$K$4:$AJ$4,0)))))</f>
        <v>831</v>
      </c>
      <c r="E50" s="267">
        <f>IF(ISNA(MATCH(E$2,Inputs!$K$4:$AJ$4,0)),NA(),IF(SUMPRODUCT((Inputs!$A$5:$A$120=$B50)*ISNUMBER(INDEX(Inputs!$K$5:$AJ$120,0,MATCH(E$2,Inputs!$K$4:$AJ$4,0))))+SUMPRODUCT((Inputs!$C$5:$C$120=$B50)*ISNUMBER(INDEX(Inputs!$K$5:$AJ$120,0,MATCH(E$2,Inputs!$K$4:$AJ$4,0))))+SUMPRODUCT((Inputs!$E$5:$E$120=$B50)*ISNUMBER(INDEX(Inputs!$K$5:$AJ$120,0,MATCH(E$2,Inputs!$K$4:$AJ$4,0))))=0,NA(),SUMPRODUCT((Inputs!$A$5:$A$120=$B50)*Inputs!$B$5:$B$120*(((Inputs!$G$5:$G$120="moeda")+(Inputs!$G$5:$G$120="acoes"))*Inputs!$B$1+((Inputs!$G$5:$G$120&lt;&gt;"moeda")*(Inputs!$G$5:$G$120&lt;&gt;"acoes")))*INDEX(Inputs!$K$5:$AJ$120,0,MATCH(E$2,Inputs!$K$4:$AJ$4,0)))+SUMPRODUCT((Inputs!$C$5:$C$120=$B50)*Inputs!$D$5:$D$120*(((Inputs!$G$5:$G$120="moeda")+(Inputs!$G$5:$G$120="acoes"))*Inputs!$B$1+((Inputs!$G$5:$G$120&lt;&gt;"moeda")*(Inputs!$G$5:$G$120&lt;&gt;"acoes")))*INDEX(Inputs!$K$5:$AJ$120,0,MATCH(E$2,Inputs!$K$4:$AJ$4,0)))+SUMPRODUCT((Inputs!$E$5:$E$120=$B50)*Inputs!$F$5:$F$120*(((Inputs!$G$5:$G$120="moeda")+(Inputs!$G$5:$G$120="acoes"))*Inputs!$B$1+((Inputs!$G$5:$G$120&lt;&gt;"moeda")*(Inputs!$G$5:$G$120&lt;&gt;"acoes")))*INDEX(Inputs!$K$5:$AJ$120,0,MATCH(E$2,Inputs!$K$4:$AJ$4,0)))))</f>
        <v>362</v>
      </c>
      <c r="F50" s="267">
        <f>IF(ISNA(MATCH(F$2,Inputs!$K$4:$AJ$4,0)),NA(),IF(SUMPRODUCT((Inputs!$A$5:$A$120=$B50)*ISNUMBER(INDEX(Inputs!$K$5:$AJ$120,0,MATCH(F$2,Inputs!$K$4:$AJ$4,0))))+SUMPRODUCT((Inputs!$C$5:$C$120=$B50)*ISNUMBER(INDEX(Inputs!$K$5:$AJ$120,0,MATCH(F$2,Inputs!$K$4:$AJ$4,0))))+SUMPRODUCT((Inputs!$E$5:$E$120=$B50)*ISNUMBER(INDEX(Inputs!$K$5:$AJ$120,0,MATCH(F$2,Inputs!$K$4:$AJ$4,0))))=0,NA(),SUMPRODUCT((Inputs!$A$5:$A$120=$B50)*Inputs!$B$5:$B$120*(((Inputs!$G$5:$G$120="moeda")+(Inputs!$G$5:$G$120="acoes"))*Inputs!$B$1+((Inputs!$G$5:$G$120&lt;&gt;"moeda")*(Inputs!$G$5:$G$120&lt;&gt;"acoes")))*INDEX(Inputs!$K$5:$AJ$120,0,MATCH(F$2,Inputs!$K$4:$AJ$4,0)))+SUMPRODUCT((Inputs!$C$5:$C$120=$B50)*Inputs!$D$5:$D$120*(((Inputs!$G$5:$G$120="moeda")+(Inputs!$G$5:$G$120="acoes"))*Inputs!$B$1+((Inputs!$G$5:$G$120&lt;&gt;"moeda")*(Inputs!$G$5:$G$120&lt;&gt;"acoes")))*INDEX(Inputs!$K$5:$AJ$120,0,MATCH(F$2,Inputs!$K$4:$AJ$4,0)))+SUMPRODUCT((Inputs!$E$5:$E$120=$B50)*Inputs!$F$5:$F$120*(((Inputs!$G$5:$G$120="moeda")+(Inputs!$G$5:$G$120="acoes"))*Inputs!$B$1+((Inputs!$G$5:$G$120&lt;&gt;"moeda")*(Inputs!$G$5:$G$120&lt;&gt;"acoes")))*INDEX(Inputs!$K$5:$AJ$120,0,MATCH(F$2,Inputs!$K$4:$AJ$4,0)))))</f>
        <v>653</v>
      </c>
      <c r="G50" s="267">
        <f>IF(ISNA(MATCH(G$2,Inputs!$K$4:$AJ$4,0)),NA(),IF(SUMPRODUCT((Inputs!$A$5:$A$120=$B50)*ISNUMBER(INDEX(Inputs!$K$5:$AJ$120,0,MATCH(G$2,Inputs!$K$4:$AJ$4,0))))+SUMPRODUCT((Inputs!$C$5:$C$120=$B50)*ISNUMBER(INDEX(Inputs!$K$5:$AJ$120,0,MATCH(G$2,Inputs!$K$4:$AJ$4,0))))+SUMPRODUCT((Inputs!$E$5:$E$120=$B50)*ISNUMBER(INDEX(Inputs!$K$5:$AJ$120,0,MATCH(G$2,Inputs!$K$4:$AJ$4,0))))=0,NA(),SUMPRODUCT((Inputs!$A$5:$A$120=$B50)*Inputs!$B$5:$B$120*(((Inputs!$G$5:$G$120="moeda")+(Inputs!$G$5:$G$120="acoes"))*Inputs!$B$1+((Inputs!$G$5:$G$120&lt;&gt;"moeda")*(Inputs!$G$5:$G$120&lt;&gt;"acoes")))*INDEX(Inputs!$K$5:$AJ$120,0,MATCH(G$2,Inputs!$K$4:$AJ$4,0)))+SUMPRODUCT((Inputs!$C$5:$C$120=$B50)*Inputs!$D$5:$D$120*(((Inputs!$G$5:$G$120="moeda")+(Inputs!$G$5:$G$120="acoes"))*Inputs!$B$1+((Inputs!$G$5:$G$120&lt;&gt;"moeda")*(Inputs!$G$5:$G$120&lt;&gt;"acoes")))*INDEX(Inputs!$K$5:$AJ$120,0,MATCH(G$2,Inputs!$K$4:$AJ$4,0)))+SUMPRODUCT((Inputs!$E$5:$E$120=$B50)*Inputs!$F$5:$F$120*(((Inputs!$G$5:$G$120="moeda")+(Inputs!$G$5:$G$120="acoes"))*Inputs!$B$1+((Inputs!$G$5:$G$120&lt;&gt;"moeda")*(Inputs!$G$5:$G$120&lt;&gt;"acoes")))*INDEX(Inputs!$K$5:$AJ$120,0,MATCH(G$2,Inputs!$K$4:$AJ$4,0)))))</f>
        <v>231</v>
      </c>
      <c r="H50" s="268">
        <f>SUM(D50:G50)</f>
        <v>2077</v>
      </c>
      <c r="I50" s="267">
        <f>IF(ISNA(MATCH(I$2,Inputs!$K$4:$AJ$4,0)),NA(),IF(SUMPRODUCT((Inputs!$A$5:$A$120=$B50)*ISNUMBER(INDEX(Inputs!$K$5:$AJ$120,0,MATCH(I$2,Inputs!$K$4:$AJ$4,0))))+SUMPRODUCT((Inputs!$C$5:$C$120=$B50)*ISNUMBER(INDEX(Inputs!$K$5:$AJ$120,0,MATCH(I$2,Inputs!$K$4:$AJ$4,0))))+SUMPRODUCT((Inputs!$E$5:$E$120=$B50)*ISNUMBER(INDEX(Inputs!$K$5:$AJ$120,0,MATCH(I$2,Inputs!$K$4:$AJ$4,0))))=0,NA(),SUMPRODUCT((Inputs!$A$5:$A$120=$B50)*Inputs!$B$5:$B$120*(((Inputs!$G$5:$G$120="moeda")+(Inputs!$G$5:$G$120="acoes"))*Inputs!$B$1+((Inputs!$G$5:$G$120&lt;&gt;"moeda")*(Inputs!$G$5:$G$120&lt;&gt;"acoes")))*INDEX(Inputs!$K$5:$AJ$120,0,MATCH(I$2,Inputs!$K$4:$AJ$4,0)))+SUMPRODUCT((Inputs!$C$5:$C$120=$B50)*Inputs!$D$5:$D$120*(((Inputs!$G$5:$G$120="moeda")+(Inputs!$G$5:$G$120="acoes"))*Inputs!$B$1+((Inputs!$G$5:$G$120&lt;&gt;"moeda")*(Inputs!$G$5:$G$120&lt;&gt;"acoes")))*INDEX(Inputs!$K$5:$AJ$120,0,MATCH(I$2,Inputs!$K$4:$AJ$4,0)))+SUMPRODUCT((Inputs!$E$5:$E$120=$B50)*Inputs!$F$5:$F$120*(((Inputs!$G$5:$G$120="moeda")+(Inputs!$G$5:$G$120="acoes"))*Inputs!$B$1+((Inputs!$G$5:$G$120&lt;&gt;"moeda")*(Inputs!$G$5:$G$120&lt;&gt;"acoes")))*INDEX(Inputs!$K$5:$AJ$120,0,MATCH(I$2,Inputs!$K$4:$AJ$4,0)))))</f>
        <v>688</v>
      </c>
      <c r="J50" s="267">
        <f>IF(ISNA(MATCH(J$2,Inputs!$K$4:$AJ$4,0)),NA(),IF(SUMPRODUCT((Inputs!$A$5:$A$120=$B50)*ISNUMBER(INDEX(Inputs!$K$5:$AJ$120,0,MATCH(J$2,Inputs!$K$4:$AJ$4,0))))+SUMPRODUCT((Inputs!$C$5:$C$120=$B50)*ISNUMBER(INDEX(Inputs!$K$5:$AJ$120,0,MATCH(J$2,Inputs!$K$4:$AJ$4,0))))+SUMPRODUCT((Inputs!$E$5:$E$120=$B50)*ISNUMBER(INDEX(Inputs!$K$5:$AJ$120,0,MATCH(J$2,Inputs!$K$4:$AJ$4,0))))=0,NA(),SUMPRODUCT((Inputs!$A$5:$A$120=$B50)*Inputs!$B$5:$B$120*(((Inputs!$G$5:$G$120="moeda")+(Inputs!$G$5:$G$120="acoes"))*Inputs!$B$1+((Inputs!$G$5:$G$120&lt;&gt;"moeda")*(Inputs!$G$5:$G$120&lt;&gt;"acoes")))*INDEX(Inputs!$K$5:$AJ$120,0,MATCH(J$2,Inputs!$K$4:$AJ$4,0)))+SUMPRODUCT((Inputs!$C$5:$C$120=$B50)*Inputs!$D$5:$D$120*(((Inputs!$G$5:$G$120="moeda")+(Inputs!$G$5:$G$120="acoes"))*Inputs!$B$1+((Inputs!$G$5:$G$120&lt;&gt;"moeda")*(Inputs!$G$5:$G$120&lt;&gt;"acoes")))*INDEX(Inputs!$K$5:$AJ$120,0,MATCH(J$2,Inputs!$K$4:$AJ$4,0)))+SUMPRODUCT((Inputs!$E$5:$E$120=$B50)*Inputs!$F$5:$F$120*(((Inputs!$G$5:$G$120="moeda")+(Inputs!$G$5:$G$120="acoes"))*Inputs!$B$1+((Inputs!$G$5:$G$120&lt;&gt;"moeda")*(Inputs!$G$5:$G$120&lt;&gt;"acoes")))*INDEX(Inputs!$K$5:$AJ$120,0,MATCH(J$2,Inputs!$K$4:$AJ$4,0)))))</f>
        <v>206</v>
      </c>
      <c r="K50" s="267">
        <f>IF(ISNA(MATCH(K$2,Inputs!$K$4:$AJ$4,0)),NA(),IF(SUMPRODUCT((Inputs!$A$5:$A$120=$B50)*ISNUMBER(INDEX(Inputs!$K$5:$AJ$120,0,MATCH(K$2,Inputs!$K$4:$AJ$4,0))))+SUMPRODUCT((Inputs!$C$5:$C$120=$B50)*ISNUMBER(INDEX(Inputs!$K$5:$AJ$120,0,MATCH(K$2,Inputs!$K$4:$AJ$4,0))))+SUMPRODUCT((Inputs!$E$5:$E$120=$B50)*ISNUMBER(INDEX(Inputs!$K$5:$AJ$120,0,MATCH(K$2,Inputs!$K$4:$AJ$4,0))))=0,NA(),SUMPRODUCT((Inputs!$A$5:$A$120=$B50)*Inputs!$B$5:$B$120*(((Inputs!$G$5:$G$120="moeda")+(Inputs!$G$5:$G$120="acoes"))*Inputs!$B$1+((Inputs!$G$5:$G$120&lt;&gt;"moeda")*(Inputs!$G$5:$G$120&lt;&gt;"acoes")))*INDEX(Inputs!$K$5:$AJ$120,0,MATCH(K$2,Inputs!$K$4:$AJ$4,0)))+SUMPRODUCT((Inputs!$C$5:$C$120=$B50)*Inputs!$D$5:$D$120*(((Inputs!$G$5:$G$120="moeda")+(Inputs!$G$5:$G$120="acoes"))*Inputs!$B$1+((Inputs!$G$5:$G$120&lt;&gt;"moeda")*(Inputs!$G$5:$G$120&lt;&gt;"acoes")))*INDEX(Inputs!$K$5:$AJ$120,0,MATCH(K$2,Inputs!$K$4:$AJ$4,0)))+SUMPRODUCT((Inputs!$E$5:$E$120=$B50)*Inputs!$F$5:$F$120*(((Inputs!$G$5:$G$120="moeda")+(Inputs!$G$5:$G$120="acoes"))*Inputs!$B$1+((Inputs!$G$5:$G$120&lt;&gt;"moeda")*(Inputs!$G$5:$G$120&lt;&gt;"acoes")))*INDEX(Inputs!$K$5:$AJ$120,0,MATCH(K$2,Inputs!$K$4:$AJ$4,0)))))</f>
        <v>380</v>
      </c>
      <c r="L50" s="267">
        <f>IF(ISNA(MATCH(L$2,Inputs!$K$4:$AJ$4,0)),NA(),IF(SUMPRODUCT((Inputs!$A$5:$A$120=$B50)*ISNUMBER(INDEX(Inputs!$K$5:$AJ$120,0,MATCH(L$2,Inputs!$K$4:$AJ$4,0))))+SUMPRODUCT((Inputs!$C$5:$C$120=$B50)*ISNUMBER(INDEX(Inputs!$K$5:$AJ$120,0,MATCH(L$2,Inputs!$K$4:$AJ$4,0))))+SUMPRODUCT((Inputs!$E$5:$E$120=$B50)*ISNUMBER(INDEX(Inputs!$K$5:$AJ$120,0,MATCH(L$2,Inputs!$K$4:$AJ$4,0))))=0,NA(),SUMPRODUCT((Inputs!$A$5:$A$120=$B50)*Inputs!$B$5:$B$120*(((Inputs!$G$5:$G$120="moeda")+(Inputs!$G$5:$G$120="acoes"))*Inputs!$B$1+((Inputs!$G$5:$G$120&lt;&gt;"moeda")*(Inputs!$G$5:$G$120&lt;&gt;"acoes")))*INDEX(Inputs!$K$5:$AJ$120,0,MATCH(L$2,Inputs!$K$4:$AJ$4,0)))+SUMPRODUCT((Inputs!$C$5:$C$120=$B50)*Inputs!$D$5:$D$120*(((Inputs!$G$5:$G$120="moeda")+(Inputs!$G$5:$G$120="acoes"))*Inputs!$B$1+((Inputs!$G$5:$G$120&lt;&gt;"moeda")*(Inputs!$G$5:$G$120&lt;&gt;"acoes")))*INDEX(Inputs!$K$5:$AJ$120,0,MATCH(L$2,Inputs!$K$4:$AJ$4,0)))+SUMPRODUCT((Inputs!$E$5:$E$120=$B50)*Inputs!$F$5:$F$120*(((Inputs!$G$5:$G$120="moeda")+(Inputs!$G$5:$G$120="acoes"))*Inputs!$B$1+((Inputs!$G$5:$G$120&lt;&gt;"moeda")*(Inputs!$G$5:$G$120&lt;&gt;"acoes")))*INDEX(Inputs!$K$5:$AJ$120,0,MATCH(L$2,Inputs!$K$4:$AJ$4,0)))))</f>
        <v>336</v>
      </c>
      <c r="M50" s="268">
        <f>SUM(I50:L50)</f>
        <v>1610</v>
      </c>
      <c r="N50" s="267">
        <f>IF(ISNA(MATCH(N$2,Inputs!$K$4:$AJ$4,0)),NA(),IF(SUMPRODUCT((Inputs!$A$5:$A$120=$B50)*ISNUMBER(INDEX(Inputs!$K$5:$AJ$120,0,MATCH(N$2,Inputs!$K$4:$AJ$4,0))))+SUMPRODUCT((Inputs!$C$5:$C$120=$B50)*ISNUMBER(INDEX(Inputs!$K$5:$AJ$120,0,MATCH(N$2,Inputs!$K$4:$AJ$4,0))))+SUMPRODUCT((Inputs!$E$5:$E$120=$B50)*ISNUMBER(INDEX(Inputs!$K$5:$AJ$120,0,MATCH(N$2,Inputs!$K$4:$AJ$4,0))))=0,NA(),SUMPRODUCT((Inputs!$A$5:$A$120=$B50)*Inputs!$B$5:$B$120*(((Inputs!$G$5:$G$120="moeda")+(Inputs!$G$5:$G$120="acoes"))*Inputs!$B$1+((Inputs!$G$5:$G$120&lt;&gt;"moeda")*(Inputs!$G$5:$G$120&lt;&gt;"acoes")))*INDEX(Inputs!$K$5:$AJ$120,0,MATCH(N$2,Inputs!$K$4:$AJ$4,0)))+SUMPRODUCT((Inputs!$C$5:$C$120=$B50)*Inputs!$D$5:$D$120*(((Inputs!$G$5:$G$120="moeda")+(Inputs!$G$5:$G$120="acoes"))*Inputs!$B$1+((Inputs!$G$5:$G$120&lt;&gt;"moeda")*(Inputs!$G$5:$G$120&lt;&gt;"acoes")))*INDEX(Inputs!$K$5:$AJ$120,0,MATCH(N$2,Inputs!$K$4:$AJ$4,0)))+SUMPRODUCT((Inputs!$E$5:$E$120=$B50)*Inputs!$F$5:$F$120*(((Inputs!$G$5:$G$120="moeda")+(Inputs!$G$5:$G$120="acoes"))*Inputs!$B$1+((Inputs!$G$5:$G$120&lt;&gt;"moeda")*(Inputs!$G$5:$G$120&lt;&gt;"acoes")))*INDEX(Inputs!$K$5:$AJ$120,0,MATCH(N$2,Inputs!$K$4:$AJ$4,0)))))</f>
        <v>632</v>
      </c>
      <c r="O50" s="267">
        <f>IF(ISNA(MATCH(O$2,Inputs!$K$4:$AJ$4,0)),NA(),IF(SUMPRODUCT((Inputs!$A$5:$A$120=$B50)*ISNUMBER(INDEX(Inputs!$K$5:$AJ$120,0,MATCH(O$2,Inputs!$K$4:$AJ$4,0))))+SUMPRODUCT((Inputs!$C$5:$C$120=$B50)*ISNUMBER(INDEX(Inputs!$K$5:$AJ$120,0,MATCH(O$2,Inputs!$K$4:$AJ$4,0))))+SUMPRODUCT((Inputs!$E$5:$E$120=$B50)*ISNUMBER(INDEX(Inputs!$K$5:$AJ$120,0,MATCH(O$2,Inputs!$K$4:$AJ$4,0))))=0,NA(),SUMPRODUCT((Inputs!$A$5:$A$120=$B50)*Inputs!$B$5:$B$120*(((Inputs!$G$5:$G$120="moeda")+(Inputs!$G$5:$G$120="acoes"))*Inputs!$B$1+((Inputs!$G$5:$G$120&lt;&gt;"moeda")*(Inputs!$G$5:$G$120&lt;&gt;"acoes")))*INDEX(Inputs!$K$5:$AJ$120,0,MATCH(O$2,Inputs!$K$4:$AJ$4,0)))+SUMPRODUCT((Inputs!$C$5:$C$120=$B50)*Inputs!$D$5:$D$120*(((Inputs!$G$5:$G$120="moeda")+(Inputs!$G$5:$G$120="acoes"))*Inputs!$B$1+((Inputs!$G$5:$G$120&lt;&gt;"moeda")*(Inputs!$G$5:$G$120&lt;&gt;"acoes")))*INDEX(Inputs!$K$5:$AJ$120,0,MATCH(O$2,Inputs!$K$4:$AJ$4,0)))+SUMPRODUCT((Inputs!$E$5:$E$120=$B50)*Inputs!$F$5:$F$120*(((Inputs!$G$5:$G$120="moeda")+(Inputs!$G$5:$G$120="acoes"))*Inputs!$B$1+((Inputs!$G$5:$G$120&lt;&gt;"moeda")*(Inputs!$G$5:$G$120&lt;&gt;"acoes")))*INDEX(Inputs!$K$5:$AJ$120,0,MATCH(O$2,Inputs!$K$4:$AJ$4,0)))))</f>
        <v>622</v>
      </c>
      <c r="P50" s="267">
        <f>IF(ISNA(MATCH(P$2,Inputs!$K$4:$AJ$4,0)),NA(),IF(SUMPRODUCT((Inputs!$A$5:$A$120=$B50)*ISNUMBER(INDEX(Inputs!$K$5:$AJ$120,0,MATCH(P$2,Inputs!$K$4:$AJ$4,0))))+SUMPRODUCT((Inputs!$C$5:$C$120=$B50)*ISNUMBER(INDEX(Inputs!$K$5:$AJ$120,0,MATCH(P$2,Inputs!$K$4:$AJ$4,0))))+SUMPRODUCT((Inputs!$E$5:$E$120=$B50)*ISNUMBER(INDEX(Inputs!$K$5:$AJ$120,0,MATCH(P$2,Inputs!$K$4:$AJ$4,0))))=0,NA(),SUMPRODUCT((Inputs!$A$5:$A$120=$B50)*Inputs!$B$5:$B$120*(((Inputs!$G$5:$G$120="moeda")+(Inputs!$G$5:$G$120="acoes"))*Inputs!$B$1+((Inputs!$G$5:$G$120&lt;&gt;"moeda")*(Inputs!$G$5:$G$120&lt;&gt;"acoes")))*INDEX(Inputs!$K$5:$AJ$120,0,MATCH(P$2,Inputs!$K$4:$AJ$4,0)))+SUMPRODUCT((Inputs!$C$5:$C$120=$B50)*Inputs!$D$5:$D$120*(((Inputs!$G$5:$G$120="moeda")+(Inputs!$G$5:$G$120="acoes"))*Inputs!$B$1+((Inputs!$G$5:$G$120&lt;&gt;"moeda")*(Inputs!$G$5:$G$120&lt;&gt;"acoes")))*INDEX(Inputs!$K$5:$AJ$120,0,MATCH(P$2,Inputs!$K$4:$AJ$4,0)))+SUMPRODUCT((Inputs!$E$5:$E$120=$B50)*Inputs!$F$5:$F$120*(((Inputs!$G$5:$G$120="moeda")+(Inputs!$G$5:$G$120="acoes"))*Inputs!$B$1+((Inputs!$G$5:$G$120&lt;&gt;"moeda")*(Inputs!$G$5:$G$120&lt;&gt;"acoes")))*INDEX(Inputs!$K$5:$AJ$120,0,MATCH(P$2,Inputs!$K$4:$AJ$4,0)))))</f>
        <v>373</v>
      </c>
      <c r="Q50" s="267">
        <f>IF(ISNA(MATCH(Q$2,Inputs!$K$4:$AJ$4,0)),NA(),IF(SUMPRODUCT((Inputs!$A$5:$A$120=$B50)*ISNUMBER(INDEX(Inputs!$K$5:$AJ$120,0,MATCH(Q$2,Inputs!$K$4:$AJ$4,0))))+SUMPRODUCT((Inputs!$C$5:$C$120=$B50)*ISNUMBER(INDEX(Inputs!$K$5:$AJ$120,0,MATCH(Q$2,Inputs!$K$4:$AJ$4,0))))+SUMPRODUCT((Inputs!$E$5:$E$120=$B50)*ISNUMBER(INDEX(Inputs!$K$5:$AJ$120,0,MATCH(Q$2,Inputs!$K$4:$AJ$4,0))))=0,NA(),SUMPRODUCT((Inputs!$A$5:$A$120=$B50)*Inputs!$B$5:$B$120*(((Inputs!$G$5:$G$120="moeda")+(Inputs!$G$5:$G$120="acoes"))*Inputs!$B$1+((Inputs!$G$5:$G$120&lt;&gt;"moeda")*(Inputs!$G$5:$G$120&lt;&gt;"acoes")))*INDEX(Inputs!$K$5:$AJ$120,0,MATCH(Q$2,Inputs!$K$4:$AJ$4,0)))+SUMPRODUCT((Inputs!$C$5:$C$120=$B50)*Inputs!$D$5:$D$120*(((Inputs!$G$5:$G$120="moeda")+(Inputs!$G$5:$G$120="acoes"))*Inputs!$B$1+((Inputs!$G$5:$G$120&lt;&gt;"moeda")*(Inputs!$G$5:$G$120&lt;&gt;"acoes")))*INDEX(Inputs!$K$5:$AJ$120,0,MATCH(Q$2,Inputs!$K$4:$AJ$4,0)))+SUMPRODUCT((Inputs!$E$5:$E$120=$B50)*Inputs!$F$5:$F$120*(((Inputs!$G$5:$G$120="moeda")+(Inputs!$G$5:$G$120="acoes"))*Inputs!$B$1+((Inputs!$G$5:$G$120&lt;&gt;"moeda")*(Inputs!$G$5:$G$120&lt;&gt;"acoes")))*INDEX(Inputs!$K$5:$AJ$120,0,MATCH(Q$2,Inputs!$K$4:$AJ$4,0)))))</f>
        <v>616</v>
      </c>
      <c r="R50" s="268">
        <f>SUM(N50:Q50)</f>
        <v>2243</v>
      </c>
      <c r="S50" s="267">
        <f>IF(ISNA(MATCH(S$2,Inputs!$K$4:$AJ$4,0)),NA(),IF(SUMPRODUCT((Inputs!$A$5:$A$120=$B50)*ISNUMBER(INDEX(Inputs!$K$5:$AJ$120,0,MATCH(S$2,Inputs!$K$4:$AJ$4,0))))+SUMPRODUCT((Inputs!$C$5:$C$120=$B50)*ISNUMBER(INDEX(Inputs!$K$5:$AJ$120,0,MATCH(S$2,Inputs!$K$4:$AJ$4,0))))+SUMPRODUCT((Inputs!$E$5:$E$120=$B50)*ISNUMBER(INDEX(Inputs!$K$5:$AJ$120,0,MATCH(S$2,Inputs!$K$4:$AJ$4,0))))=0,NA(),SUMPRODUCT((Inputs!$A$5:$A$120=$B50)*Inputs!$B$5:$B$120*(((Inputs!$G$5:$G$120="moeda")+(Inputs!$G$5:$G$120="acoes"))*Inputs!$B$1+((Inputs!$G$5:$G$120&lt;&gt;"moeda")*(Inputs!$G$5:$G$120&lt;&gt;"acoes")))*INDEX(Inputs!$K$5:$AJ$120,0,MATCH(S$2,Inputs!$K$4:$AJ$4,0)))+SUMPRODUCT((Inputs!$C$5:$C$120=$B50)*Inputs!$D$5:$D$120*(((Inputs!$G$5:$G$120="moeda")+(Inputs!$G$5:$G$120="acoes"))*Inputs!$B$1+((Inputs!$G$5:$G$120&lt;&gt;"moeda")*(Inputs!$G$5:$G$120&lt;&gt;"acoes")))*INDEX(Inputs!$K$5:$AJ$120,0,MATCH(S$2,Inputs!$K$4:$AJ$4,0)))+SUMPRODUCT((Inputs!$E$5:$E$120=$B50)*Inputs!$F$5:$F$120*(((Inputs!$G$5:$G$120="moeda")+(Inputs!$G$5:$G$120="acoes"))*Inputs!$B$1+((Inputs!$G$5:$G$120&lt;&gt;"moeda")*(Inputs!$G$5:$G$120&lt;&gt;"acoes")))*INDEX(Inputs!$K$5:$AJ$120,0,MATCH(S$2,Inputs!$K$4:$AJ$4,0)))))</f>
        <v>244</v>
      </c>
      <c r="T50" s="267">
        <f>IF(ISNA(MATCH(T$2,Inputs!$K$4:$AJ$4,0)),NA(),IF(SUMPRODUCT((Inputs!$A$5:$A$120=$B50)*ISNUMBER(INDEX(Inputs!$K$5:$AJ$120,0,MATCH(T$2,Inputs!$K$4:$AJ$4,0))))+SUMPRODUCT((Inputs!$C$5:$C$120=$B50)*ISNUMBER(INDEX(Inputs!$K$5:$AJ$120,0,MATCH(T$2,Inputs!$K$4:$AJ$4,0))))+SUMPRODUCT((Inputs!$E$5:$E$120=$B50)*ISNUMBER(INDEX(Inputs!$K$5:$AJ$120,0,MATCH(T$2,Inputs!$K$4:$AJ$4,0))))=0,NA(),SUMPRODUCT((Inputs!$A$5:$A$120=$B50)*Inputs!$B$5:$B$120*(((Inputs!$G$5:$G$120="moeda")+(Inputs!$G$5:$G$120="acoes"))*Inputs!$B$1+((Inputs!$G$5:$G$120&lt;&gt;"moeda")*(Inputs!$G$5:$G$120&lt;&gt;"acoes")))*INDEX(Inputs!$K$5:$AJ$120,0,MATCH(T$2,Inputs!$K$4:$AJ$4,0)))+SUMPRODUCT((Inputs!$C$5:$C$120=$B50)*Inputs!$D$5:$D$120*(((Inputs!$G$5:$G$120="moeda")+(Inputs!$G$5:$G$120="acoes"))*Inputs!$B$1+((Inputs!$G$5:$G$120&lt;&gt;"moeda")*(Inputs!$G$5:$G$120&lt;&gt;"acoes")))*INDEX(Inputs!$K$5:$AJ$120,0,MATCH(T$2,Inputs!$K$4:$AJ$4,0)))+SUMPRODUCT((Inputs!$E$5:$E$120=$B50)*Inputs!$F$5:$F$120*(((Inputs!$G$5:$G$120="moeda")+(Inputs!$G$5:$G$120="acoes"))*Inputs!$B$1+((Inputs!$G$5:$G$120&lt;&gt;"moeda")*(Inputs!$G$5:$G$120&lt;&gt;"acoes")))*INDEX(Inputs!$K$5:$AJ$120,0,MATCH(T$2,Inputs!$K$4:$AJ$4,0)))))</f>
        <v>70</v>
      </c>
      <c r="U50" s="267">
        <f>IF(ISNA(MATCH(U$2,Inputs!$K$4:$AJ$4,0)),NA(),IF(SUMPRODUCT((Inputs!$A$5:$A$120=$B50)*ISNUMBER(INDEX(Inputs!$K$5:$AJ$120,0,MATCH(U$2,Inputs!$K$4:$AJ$4,0))))+SUMPRODUCT((Inputs!$C$5:$C$120=$B50)*ISNUMBER(INDEX(Inputs!$K$5:$AJ$120,0,MATCH(U$2,Inputs!$K$4:$AJ$4,0))))+SUMPRODUCT((Inputs!$E$5:$E$120=$B50)*ISNUMBER(INDEX(Inputs!$K$5:$AJ$120,0,MATCH(U$2,Inputs!$K$4:$AJ$4,0))))=0,NA(),SUMPRODUCT((Inputs!$A$5:$A$120=$B50)*Inputs!$B$5:$B$120*(((Inputs!$G$5:$G$120="moeda")+(Inputs!$G$5:$G$120="acoes"))*Inputs!$B$1+((Inputs!$G$5:$G$120&lt;&gt;"moeda")*(Inputs!$G$5:$G$120&lt;&gt;"acoes")))*INDEX(Inputs!$K$5:$AJ$120,0,MATCH(U$2,Inputs!$K$4:$AJ$4,0)))+SUMPRODUCT((Inputs!$C$5:$C$120=$B50)*Inputs!$D$5:$D$120*(((Inputs!$G$5:$G$120="moeda")+(Inputs!$G$5:$G$120="acoes"))*Inputs!$B$1+((Inputs!$G$5:$G$120&lt;&gt;"moeda")*(Inputs!$G$5:$G$120&lt;&gt;"acoes")))*INDEX(Inputs!$K$5:$AJ$120,0,MATCH(U$2,Inputs!$K$4:$AJ$4,0)))+SUMPRODUCT((Inputs!$E$5:$E$120=$B50)*Inputs!$F$5:$F$120*(((Inputs!$G$5:$G$120="moeda")+(Inputs!$G$5:$G$120="acoes"))*Inputs!$B$1+((Inputs!$G$5:$G$120&lt;&gt;"moeda")*(Inputs!$G$5:$G$120&lt;&gt;"acoes")))*INDEX(Inputs!$K$5:$AJ$120,0,MATCH(U$2,Inputs!$K$4:$AJ$4,0)))))</f>
        <v>221</v>
      </c>
      <c r="V50" s="267">
        <f>IF(ISNA(MATCH(V$2,Inputs!$K$4:$AJ$4,0)),NA(),IF(SUMPRODUCT((Inputs!$A$5:$A$120=$B50)*ISNUMBER(INDEX(Inputs!$K$5:$AJ$120,0,MATCH(V$2,Inputs!$K$4:$AJ$4,0))))+SUMPRODUCT((Inputs!$C$5:$C$120=$B50)*ISNUMBER(INDEX(Inputs!$K$5:$AJ$120,0,MATCH(V$2,Inputs!$K$4:$AJ$4,0))))+SUMPRODUCT((Inputs!$E$5:$E$120=$B50)*ISNUMBER(INDEX(Inputs!$K$5:$AJ$120,0,MATCH(V$2,Inputs!$K$4:$AJ$4,0))))=0,NA(),SUMPRODUCT((Inputs!$A$5:$A$120=$B50)*Inputs!$B$5:$B$120*(((Inputs!$G$5:$G$120="moeda")+(Inputs!$G$5:$G$120="acoes"))*Inputs!$B$1+((Inputs!$G$5:$G$120&lt;&gt;"moeda")*(Inputs!$G$5:$G$120&lt;&gt;"acoes")))*INDEX(Inputs!$K$5:$AJ$120,0,MATCH(V$2,Inputs!$K$4:$AJ$4,0)))+SUMPRODUCT((Inputs!$C$5:$C$120=$B50)*Inputs!$D$5:$D$120*(((Inputs!$G$5:$G$120="moeda")+(Inputs!$G$5:$G$120="acoes"))*Inputs!$B$1+((Inputs!$G$5:$G$120&lt;&gt;"moeda")*(Inputs!$G$5:$G$120&lt;&gt;"acoes")))*INDEX(Inputs!$K$5:$AJ$120,0,MATCH(V$2,Inputs!$K$4:$AJ$4,0)))+SUMPRODUCT((Inputs!$E$5:$E$120=$B50)*Inputs!$F$5:$F$120*(((Inputs!$G$5:$G$120="moeda")+(Inputs!$G$5:$G$120="acoes"))*Inputs!$B$1+((Inputs!$G$5:$G$120&lt;&gt;"moeda")*(Inputs!$G$5:$G$120&lt;&gt;"acoes")))*INDEX(Inputs!$K$5:$AJ$120,0,MATCH(V$2,Inputs!$K$4:$AJ$4,0)))))</f>
        <v>602</v>
      </c>
      <c r="W50" s="268">
        <f>SUM(S50:V50)</f>
        <v>1137</v>
      </c>
      <c r="X50" s="267">
        <f>IF(ISNA(MATCH(X$2,Inputs!$K$4:$AJ$4,0)),NA(),IF(SUMPRODUCT((Inputs!$A$5:$A$120=$B50)*ISNUMBER(INDEX(Inputs!$K$5:$AJ$120,0,MATCH(X$2,Inputs!$K$4:$AJ$4,0))))+SUMPRODUCT((Inputs!$C$5:$C$120=$B50)*ISNUMBER(INDEX(Inputs!$K$5:$AJ$120,0,MATCH(X$2,Inputs!$K$4:$AJ$4,0))))+SUMPRODUCT((Inputs!$E$5:$E$120=$B50)*ISNUMBER(INDEX(Inputs!$K$5:$AJ$120,0,MATCH(X$2,Inputs!$K$4:$AJ$4,0))))=0,NA(),SUMPRODUCT((Inputs!$A$5:$A$120=$B50)*Inputs!$B$5:$B$120*(((Inputs!$G$5:$G$120="moeda")+(Inputs!$G$5:$G$120="acoes"))*Inputs!$B$1+((Inputs!$G$5:$G$120&lt;&gt;"moeda")*(Inputs!$G$5:$G$120&lt;&gt;"acoes")))*INDEX(Inputs!$K$5:$AJ$120,0,MATCH(X$2,Inputs!$K$4:$AJ$4,0)))+SUMPRODUCT((Inputs!$C$5:$C$120=$B50)*Inputs!$D$5:$D$120*(((Inputs!$G$5:$G$120="moeda")+(Inputs!$G$5:$G$120="acoes"))*Inputs!$B$1+((Inputs!$G$5:$G$120&lt;&gt;"moeda")*(Inputs!$G$5:$G$120&lt;&gt;"acoes")))*INDEX(Inputs!$K$5:$AJ$120,0,MATCH(X$2,Inputs!$K$4:$AJ$4,0)))+SUMPRODUCT((Inputs!$E$5:$E$120=$B50)*Inputs!$F$5:$F$120*(((Inputs!$G$5:$G$120="moeda")+(Inputs!$G$5:$G$120="acoes"))*Inputs!$B$1+((Inputs!$G$5:$G$120&lt;&gt;"moeda")*(Inputs!$G$5:$G$120&lt;&gt;"acoes")))*INDEX(Inputs!$K$5:$AJ$120,0,MATCH(X$2,Inputs!$K$4:$AJ$4,0)))))</f>
        <v>201</v>
      </c>
      <c r="Y50" s="267">
        <f>IF(ISNA(MATCH(Y$2,Inputs!$K$4:$AJ$4,0)),NA(),IF(SUMPRODUCT((Inputs!$A$5:$A$120=$B50)*ISNUMBER(INDEX(Inputs!$K$5:$AJ$120,0,MATCH(Y$2,Inputs!$K$4:$AJ$4,0))))+SUMPRODUCT((Inputs!$C$5:$C$120=$B50)*ISNUMBER(INDEX(Inputs!$K$5:$AJ$120,0,MATCH(Y$2,Inputs!$K$4:$AJ$4,0))))+SUMPRODUCT((Inputs!$E$5:$E$120=$B50)*ISNUMBER(INDEX(Inputs!$K$5:$AJ$120,0,MATCH(Y$2,Inputs!$K$4:$AJ$4,0))))=0,NA(),SUMPRODUCT((Inputs!$A$5:$A$120=$B50)*Inputs!$B$5:$B$120*(((Inputs!$G$5:$G$120="moeda")+(Inputs!$G$5:$G$120="acoes"))*Inputs!$B$1+((Inputs!$G$5:$G$120&lt;&gt;"moeda")*(Inputs!$G$5:$G$120&lt;&gt;"acoes")))*INDEX(Inputs!$K$5:$AJ$120,0,MATCH(Y$2,Inputs!$K$4:$AJ$4,0)))+SUMPRODUCT((Inputs!$C$5:$C$120=$B50)*Inputs!$D$5:$D$120*(((Inputs!$G$5:$G$120="moeda")+(Inputs!$G$5:$G$120="acoes"))*Inputs!$B$1+((Inputs!$G$5:$G$120&lt;&gt;"moeda")*(Inputs!$G$5:$G$120&lt;&gt;"acoes")))*INDEX(Inputs!$K$5:$AJ$120,0,MATCH(Y$2,Inputs!$K$4:$AJ$4,0)))+SUMPRODUCT((Inputs!$E$5:$E$120=$B50)*Inputs!$F$5:$F$120*(((Inputs!$G$5:$G$120="moeda")+(Inputs!$G$5:$G$120="acoes"))*Inputs!$B$1+((Inputs!$G$5:$G$120&lt;&gt;"moeda")*(Inputs!$G$5:$G$120&lt;&gt;"acoes")))*INDEX(Inputs!$K$5:$AJ$120,0,MATCH(Y$2,Inputs!$K$4:$AJ$4,0)))))</f>
        <v>354</v>
      </c>
      <c r="Z50" s="267">
        <f>IF(ISNA(MATCH(Z$2,Inputs!$K$4:$AJ$4,0)),NA(),IF(SUMPRODUCT((Inputs!$A$5:$A$120=$B50)*ISNUMBER(INDEX(Inputs!$K$5:$AJ$120,0,MATCH(Z$2,Inputs!$K$4:$AJ$4,0))))+SUMPRODUCT((Inputs!$C$5:$C$120=$B50)*ISNUMBER(INDEX(Inputs!$K$5:$AJ$120,0,MATCH(Z$2,Inputs!$K$4:$AJ$4,0))))+SUMPRODUCT((Inputs!$E$5:$E$120=$B50)*ISNUMBER(INDEX(Inputs!$K$5:$AJ$120,0,MATCH(Z$2,Inputs!$K$4:$AJ$4,0))))=0,NA(),SUMPRODUCT((Inputs!$A$5:$A$120=$B50)*Inputs!$B$5:$B$120*(((Inputs!$G$5:$G$120="moeda")+(Inputs!$G$5:$G$120="acoes"))*Inputs!$B$1+((Inputs!$G$5:$G$120&lt;&gt;"moeda")*(Inputs!$G$5:$G$120&lt;&gt;"acoes")))*INDEX(Inputs!$K$5:$AJ$120,0,MATCH(Z$2,Inputs!$K$4:$AJ$4,0)))+SUMPRODUCT((Inputs!$C$5:$C$120=$B50)*Inputs!$D$5:$D$120*(((Inputs!$G$5:$G$120="moeda")+(Inputs!$G$5:$G$120="acoes"))*Inputs!$B$1+((Inputs!$G$5:$G$120&lt;&gt;"moeda")*(Inputs!$G$5:$G$120&lt;&gt;"acoes")))*INDEX(Inputs!$K$5:$AJ$120,0,MATCH(Z$2,Inputs!$K$4:$AJ$4,0)))+SUMPRODUCT((Inputs!$E$5:$E$120=$B50)*Inputs!$F$5:$F$120*(((Inputs!$G$5:$G$120="moeda")+(Inputs!$G$5:$G$120="acoes"))*Inputs!$B$1+((Inputs!$G$5:$G$120&lt;&gt;"moeda")*(Inputs!$G$5:$G$120&lt;&gt;"acoes")))*INDEX(Inputs!$K$5:$AJ$120,0,MATCH(Z$2,Inputs!$K$4:$AJ$4,0)))))</f>
        <v>166</v>
      </c>
      <c r="AA50" s="267">
        <f>IF(ISNA(MATCH(AA$2,Inputs!$K$4:$AJ$4,0)),NA(),IF(SUMPRODUCT((Inputs!$A$5:$A$120=$B50)*ISNUMBER(INDEX(Inputs!$K$5:$AJ$120,0,MATCH(AA$2,Inputs!$K$4:$AJ$4,0))))+SUMPRODUCT((Inputs!$C$5:$C$120=$B50)*ISNUMBER(INDEX(Inputs!$K$5:$AJ$120,0,MATCH(AA$2,Inputs!$K$4:$AJ$4,0))))+SUMPRODUCT((Inputs!$E$5:$E$120=$B50)*ISNUMBER(INDEX(Inputs!$K$5:$AJ$120,0,MATCH(AA$2,Inputs!$K$4:$AJ$4,0))))=0,NA(),SUMPRODUCT((Inputs!$A$5:$A$120=$B50)*Inputs!$B$5:$B$120*(((Inputs!$G$5:$G$120="moeda")+(Inputs!$G$5:$G$120="acoes"))*Inputs!$B$1+((Inputs!$G$5:$G$120&lt;&gt;"moeda")*(Inputs!$G$5:$G$120&lt;&gt;"acoes")))*INDEX(Inputs!$K$5:$AJ$120,0,MATCH(AA$2,Inputs!$K$4:$AJ$4,0)))+SUMPRODUCT((Inputs!$C$5:$C$120=$B50)*Inputs!$D$5:$D$120*(((Inputs!$G$5:$G$120="moeda")+(Inputs!$G$5:$G$120="acoes"))*Inputs!$B$1+((Inputs!$G$5:$G$120&lt;&gt;"moeda")*(Inputs!$G$5:$G$120&lt;&gt;"acoes")))*INDEX(Inputs!$K$5:$AJ$120,0,MATCH(AA$2,Inputs!$K$4:$AJ$4,0)))+SUMPRODUCT((Inputs!$E$5:$E$120=$B50)*Inputs!$F$5:$F$120*(((Inputs!$G$5:$G$120="moeda")+(Inputs!$G$5:$G$120="acoes"))*Inputs!$B$1+((Inputs!$G$5:$G$120&lt;&gt;"moeda")*(Inputs!$G$5:$G$120&lt;&gt;"acoes")))*INDEX(Inputs!$K$5:$AJ$120,0,MATCH(AA$2,Inputs!$K$4:$AJ$4,0)))))</f>
        <v>95</v>
      </c>
      <c r="AB50" s="268">
        <f>SUM(X50:AA50)</f>
        <v>816</v>
      </c>
      <c r="AC50" s="267">
        <f>IF(ISNA(MATCH(AC$2,Inputs!$K$4:$AJ$4,0)),NA(),IF(SUMPRODUCT((Inputs!$A$5:$A$120=$B50)*ISNUMBER(INDEX(Inputs!$K$5:$AJ$120,0,MATCH(AC$2,Inputs!$K$4:$AJ$4,0))))+SUMPRODUCT((Inputs!$C$5:$C$120=$B50)*ISNUMBER(INDEX(Inputs!$K$5:$AJ$120,0,MATCH(AC$2,Inputs!$K$4:$AJ$4,0))))+SUMPRODUCT((Inputs!$E$5:$E$120=$B50)*ISNUMBER(INDEX(Inputs!$K$5:$AJ$120,0,MATCH(AC$2,Inputs!$K$4:$AJ$4,0))))=0,NA(),SUMPRODUCT((Inputs!$A$5:$A$120=$B50)*Inputs!$B$5:$B$120*(((Inputs!$G$5:$G$120="moeda")+(Inputs!$G$5:$G$120="acoes"))*Inputs!$B$1+((Inputs!$G$5:$G$120&lt;&gt;"moeda")*(Inputs!$G$5:$G$120&lt;&gt;"acoes")))*INDEX(Inputs!$K$5:$AJ$120,0,MATCH(AC$2,Inputs!$K$4:$AJ$4,0)))+SUMPRODUCT((Inputs!$C$5:$C$120=$B50)*Inputs!$D$5:$D$120*(((Inputs!$G$5:$G$120="moeda")+(Inputs!$G$5:$G$120="acoes"))*Inputs!$B$1+((Inputs!$G$5:$G$120&lt;&gt;"moeda")*(Inputs!$G$5:$G$120&lt;&gt;"acoes")))*INDEX(Inputs!$K$5:$AJ$120,0,MATCH(AC$2,Inputs!$K$4:$AJ$4,0)))+SUMPRODUCT((Inputs!$E$5:$E$120=$B50)*Inputs!$F$5:$F$120*(((Inputs!$G$5:$G$120="moeda")+(Inputs!$G$5:$G$120="acoes"))*Inputs!$B$1+((Inputs!$G$5:$G$120&lt;&gt;"moeda")*(Inputs!$G$5:$G$120&lt;&gt;"acoes")))*INDEX(Inputs!$K$5:$AJ$120,0,MATCH(AC$2,Inputs!$K$4:$AJ$4,0)))))</f>
        <v>68</v>
      </c>
      <c r="AD50" s="267">
        <f>IF(ISNA(MATCH(AD$2,Inputs!$K$4:$AJ$4,0)),NA(),IF(SUMPRODUCT((Inputs!$A$5:$A$120=$B50)*ISNUMBER(INDEX(Inputs!$K$5:$AJ$120,0,MATCH(AD$2,Inputs!$K$4:$AJ$4,0))))+SUMPRODUCT((Inputs!$C$5:$C$120=$B50)*ISNUMBER(INDEX(Inputs!$K$5:$AJ$120,0,MATCH(AD$2,Inputs!$K$4:$AJ$4,0))))+SUMPRODUCT((Inputs!$E$5:$E$120=$B50)*ISNUMBER(INDEX(Inputs!$K$5:$AJ$120,0,MATCH(AD$2,Inputs!$K$4:$AJ$4,0))))=0,NA(),SUMPRODUCT((Inputs!$A$5:$A$120=$B50)*Inputs!$B$5:$B$120*(((Inputs!$G$5:$G$120="moeda")+(Inputs!$G$5:$G$120="acoes"))*Inputs!$B$1+((Inputs!$G$5:$G$120&lt;&gt;"moeda")*(Inputs!$G$5:$G$120&lt;&gt;"acoes")))*INDEX(Inputs!$K$5:$AJ$120,0,MATCH(AD$2,Inputs!$K$4:$AJ$4,0)))+SUMPRODUCT((Inputs!$C$5:$C$120=$B50)*Inputs!$D$5:$D$120*(((Inputs!$G$5:$G$120="moeda")+(Inputs!$G$5:$G$120="acoes"))*Inputs!$B$1+((Inputs!$G$5:$G$120&lt;&gt;"moeda")*(Inputs!$G$5:$G$120&lt;&gt;"acoes")))*INDEX(Inputs!$K$5:$AJ$120,0,MATCH(AD$2,Inputs!$K$4:$AJ$4,0)))+SUMPRODUCT((Inputs!$E$5:$E$120=$B50)*Inputs!$F$5:$F$120*(((Inputs!$G$5:$G$120="moeda")+(Inputs!$G$5:$G$120="acoes"))*Inputs!$B$1+((Inputs!$G$5:$G$120&lt;&gt;"moeda")*(Inputs!$G$5:$G$120&lt;&gt;"acoes")))*INDEX(Inputs!$K$5:$AJ$120,0,MATCH(AD$2,Inputs!$K$4:$AJ$4,0)))))</f>
        <v>678</v>
      </c>
      <c r="AE50" s="267" t="e">
        <f>IF(ISNA(MATCH(AE$2,Inputs!$K$4:$AJ$4,0)),NA(),IF(SUMPRODUCT((Inputs!$A$5:$A$120=$B50)*ISNUMBER(INDEX(Inputs!$K$5:$AJ$120,0,MATCH(AE$2,Inputs!$K$4:$AJ$4,0))))+SUMPRODUCT((Inputs!$C$5:$C$120=$B50)*ISNUMBER(INDEX(Inputs!$K$5:$AJ$120,0,MATCH(AE$2,Inputs!$K$4:$AJ$4,0))))+SUMPRODUCT((Inputs!$E$5:$E$120=$B50)*ISNUMBER(INDEX(Inputs!$K$5:$AJ$120,0,MATCH(AE$2,Inputs!$K$4:$AJ$4,0))))=0,NA(),SUMPRODUCT((Inputs!$A$5:$A$120=$B50)*Inputs!$B$5:$B$120*(((Inputs!$G$5:$G$120="moeda")+(Inputs!$G$5:$G$120="acoes"))*Inputs!$B$1+((Inputs!$G$5:$G$120&lt;&gt;"moeda")*(Inputs!$G$5:$G$120&lt;&gt;"acoes")))*INDEX(Inputs!$K$5:$AJ$120,0,MATCH(AE$2,Inputs!$K$4:$AJ$4,0)))+SUMPRODUCT((Inputs!$C$5:$C$120=$B50)*Inputs!$D$5:$D$120*(((Inputs!$G$5:$G$120="moeda")+(Inputs!$G$5:$G$120="acoes"))*Inputs!$B$1+((Inputs!$G$5:$G$120&lt;&gt;"moeda")*(Inputs!$G$5:$G$120&lt;&gt;"acoes")))*INDEX(Inputs!$K$5:$AJ$120,0,MATCH(AE$2,Inputs!$K$4:$AJ$4,0)))+SUMPRODUCT((Inputs!$E$5:$E$120=$B50)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0" s="267" t="e">
        <f>IF(ISNA(MATCH(AF$2,Inputs!$K$4:$AJ$4,0)),NA(),IF(SUMPRODUCT((Inputs!$A$5:$A$120=$B50)*ISNUMBER(INDEX(Inputs!$K$5:$AJ$120,0,MATCH(AF$2,Inputs!$K$4:$AJ$4,0))))+SUMPRODUCT((Inputs!$C$5:$C$120=$B50)*ISNUMBER(INDEX(Inputs!$K$5:$AJ$120,0,MATCH(AF$2,Inputs!$K$4:$AJ$4,0))))+SUMPRODUCT((Inputs!$E$5:$E$120=$B50)*ISNUMBER(INDEX(Inputs!$K$5:$AJ$120,0,MATCH(AF$2,Inputs!$K$4:$AJ$4,0))))=0,NA(),SUMPRODUCT((Inputs!$A$5:$A$120=$B50)*Inputs!$B$5:$B$120*(((Inputs!$G$5:$G$120="moeda")+(Inputs!$G$5:$G$120="acoes"))*Inputs!$B$1+((Inputs!$G$5:$G$120&lt;&gt;"moeda")*(Inputs!$G$5:$G$120&lt;&gt;"acoes")))*INDEX(Inputs!$K$5:$AJ$120,0,MATCH(AF$2,Inputs!$K$4:$AJ$4,0)))+SUMPRODUCT((Inputs!$C$5:$C$120=$B50)*Inputs!$D$5:$D$120*(((Inputs!$G$5:$G$120="moeda")+(Inputs!$G$5:$G$120="acoes"))*Inputs!$B$1+((Inputs!$G$5:$G$120&lt;&gt;"moeda")*(Inputs!$G$5:$G$120&lt;&gt;"acoes")))*INDEX(Inputs!$K$5:$AJ$120,0,MATCH(AF$2,Inputs!$K$4:$AJ$4,0)))+SUMPRODUCT((Inputs!$E$5:$E$120=$B50)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0" s="268" t="e">
        <f>SUM(AC50:AF50)</f>
        <v>#N/A</v>
      </c>
      <c r="AH50" s="260">
        <f>IF(ISNA(MATCH(AH$2,Inputs!$K$4:$AJ$4,0)),NA(),IF(SUMPRODUCT((Inputs!$A$5:$A$120=$B50)*ISNUMBER(INDEX(Inputs!$K$5:$AJ$120,0,MATCH(AH$2,Inputs!$K$4:$AJ$4,0))))+SUMPRODUCT((Inputs!$C$5:$C$120=$B50)*ISNUMBER(INDEX(Inputs!$K$5:$AJ$120,0,MATCH(AH$2,Inputs!$K$4:$AJ$4,0))))+SUMPRODUCT((Inputs!$E$5:$E$120=$B50)*ISNUMBER(INDEX(Inputs!$K$5:$AJ$120,0,MATCH(AH$2,Inputs!$K$4:$AJ$4,0))))=0,NA(),SUMPRODUCT((Inputs!$A$5:$A$120=$B50)*Inputs!$B$5:$B$120*(((Inputs!$G$5:$G$120="moeda")+(Inputs!$G$5:$G$120="acoes"))*Inputs!$B$1+((Inputs!$G$5:$G$120&lt;&gt;"moeda")*(Inputs!$G$5:$G$120&lt;&gt;"acoes")))*INDEX(Inputs!$K$5:$AJ$120,0,MATCH(AH$2,Inputs!$K$4:$AJ$4,0)))+SUMPRODUCT((Inputs!$C$5:$C$120=$B50)*Inputs!$D$5:$D$120*(((Inputs!$G$5:$G$120="moeda")+(Inputs!$G$5:$G$120="acoes"))*Inputs!$B$1+((Inputs!$G$5:$G$120&lt;&gt;"moeda")*(Inputs!$G$5:$G$120&lt;&gt;"acoes")))*INDEX(Inputs!$K$5:$AJ$120,0,MATCH(AH$2,Inputs!$K$4:$AJ$4,0)))+SUMPRODUCT((Inputs!$E$5:$E$120=$B50)*Inputs!$F$5:$F$120*(((Inputs!$G$5:$G$120="moeda")+(Inputs!$G$5:$G$120="acoes"))*Inputs!$B$1+((Inputs!$G$5:$G$120&lt;&gt;"moeda")*(Inputs!$G$5:$G$120&lt;&gt;"acoes")))*INDEX(Inputs!$K$5:$AJ$120,0,MATCH(AH$2,Inputs!$K$4:$AJ$4,0)))))</f>
        <v>-184</v>
      </c>
      <c r="AI50" s="260">
        <f>IF(ISNA(MATCH(AI$2,Inputs!$K$4:$AJ$4,0)),NA(),IF(SUMPRODUCT((Inputs!$A$5:$A$120=$B50)*ISNUMBER(INDEX(Inputs!$K$5:$AJ$120,0,MATCH(AI$2,Inputs!$K$4:$AJ$4,0))))+SUMPRODUCT((Inputs!$C$5:$C$120=$B50)*ISNUMBER(INDEX(Inputs!$K$5:$AJ$120,0,MATCH(AI$2,Inputs!$K$4:$AJ$4,0))))+SUMPRODUCT((Inputs!$E$5:$E$120=$B50)*ISNUMBER(INDEX(Inputs!$K$5:$AJ$120,0,MATCH(AI$2,Inputs!$K$4:$AJ$4,0))))=0,NA(),SUMPRODUCT((Inputs!$A$5:$A$120=$B50)*Inputs!$B$5:$B$120*(((Inputs!$G$5:$G$120="moeda")+(Inputs!$G$5:$G$120="acoes"))*Inputs!$B$1+((Inputs!$G$5:$G$120&lt;&gt;"moeda")*(Inputs!$G$5:$G$120&lt;&gt;"acoes")))*INDEX(Inputs!$K$5:$AJ$120,0,MATCH(AI$2,Inputs!$K$4:$AJ$4,0)))+SUMPRODUCT((Inputs!$C$5:$C$120=$B50)*Inputs!$D$5:$D$120*(((Inputs!$G$5:$G$120="moeda")+(Inputs!$G$5:$G$120="acoes"))*Inputs!$B$1+((Inputs!$G$5:$G$120&lt;&gt;"moeda")*(Inputs!$G$5:$G$120&lt;&gt;"acoes")))*INDEX(Inputs!$K$5:$AJ$120,0,MATCH(AI$2,Inputs!$K$4:$AJ$4,0)))+SUMPRODUCT((Inputs!$E$5:$E$120=$B50)*Inputs!$F$5:$F$120*(((Inputs!$G$5:$G$120="moeda")+(Inputs!$G$5:$G$120="acoes"))*Inputs!$B$1+((Inputs!$G$5:$G$120&lt;&gt;"moeda")*(Inputs!$G$5:$G$120&lt;&gt;"acoes")))*INDEX(Inputs!$K$5:$AJ$120,0,MATCH(AI$2,Inputs!$K$4:$AJ$4,0)))))</f>
        <v>516</v>
      </c>
      <c r="AJ50" s="260">
        <f>IF(ISNA(MATCH(AJ$2,Inputs!$K$4:$AJ$4,0)),NA(),IF(SUMPRODUCT((Inputs!$A$5:$A$120=$B50)*ISNUMBER(INDEX(Inputs!$K$5:$AJ$120,0,MATCH(AJ$2,Inputs!$K$4:$AJ$4,0))))+SUMPRODUCT((Inputs!$C$5:$C$120=$B50)*ISNUMBER(INDEX(Inputs!$K$5:$AJ$120,0,MATCH(AJ$2,Inputs!$K$4:$AJ$4,0))))+SUMPRODUCT((Inputs!$E$5:$E$120=$B50)*ISNUMBER(INDEX(Inputs!$K$5:$AJ$120,0,MATCH(AJ$2,Inputs!$K$4:$AJ$4,0))))=0,NA(),SUMPRODUCT((Inputs!$A$5:$A$120=$B50)*Inputs!$B$5:$B$120*(((Inputs!$G$5:$G$120="moeda")+(Inputs!$G$5:$G$120="acoes"))*Inputs!$B$1+((Inputs!$G$5:$G$120&lt;&gt;"moeda")*(Inputs!$G$5:$G$120&lt;&gt;"acoes")))*INDEX(Inputs!$K$5:$AJ$120,0,MATCH(AJ$2,Inputs!$K$4:$AJ$4,0)))+SUMPRODUCT((Inputs!$C$5:$C$120=$B50)*Inputs!$D$5:$D$120*(((Inputs!$G$5:$G$120="moeda")+(Inputs!$G$5:$G$120="acoes"))*Inputs!$B$1+((Inputs!$G$5:$G$120&lt;&gt;"moeda")*(Inputs!$G$5:$G$120&lt;&gt;"acoes")))*INDEX(Inputs!$K$5:$AJ$120,0,MATCH(AJ$2,Inputs!$K$4:$AJ$4,0)))+SUMPRODUCT((Inputs!$E$5:$E$120=$B50)*Inputs!$F$5:$F$120*(((Inputs!$G$5:$G$120="moeda")+(Inputs!$G$5:$G$120="acoes"))*Inputs!$B$1+((Inputs!$G$5:$G$120&lt;&gt;"moeda")*(Inputs!$G$5:$G$120&lt;&gt;"acoes")))*INDEX(Inputs!$K$5:$AJ$120,0,MATCH(AJ$2,Inputs!$K$4:$AJ$4,0)))))</f>
        <v>262</v>
      </c>
      <c r="AK50" s="260">
        <f>IF(ISNA(MATCH(AK$2,Inputs!$K$4:$AJ$4,0)),NA(),IF(SUMPRODUCT((Inputs!$A$5:$A$120=$B50)*ISNUMBER(INDEX(Inputs!$K$5:$AJ$120,0,MATCH(AK$2,Inputs!$K$4:$AJ$4,0))))+SUMPRODUCT((Inputs!$C$5:$C$120=$B50)*ISNUMBER(INDEX(Inputs!$K$5:$AJ$120,0,MATCH(AK$2,Inputs!$K$4:$AJ$4,0))))+SUMPRODUCT((Inputs!$E$5:$E$120=$B50)*ISNUMBER(INDEX(Inputs!$K$5:$AJ$120,0,MATCH(AK$2,Inputs!$K$4:$AJ$4,0))))=0,NA(),SUMPRODUCT((Inputs!$A$5:$A$120=$B50)*Inputs!$B$5:$B$120*(((Inputs!$G$5:$G$120="moeda")+(Inputs!$G$5:$G$120="acoes"))*Inputs!$B$1+((Inputs!$G$5:$G$120&lt;&gt;"moeda")*(Inputs!$G$5:$G$120&lt;&gt;"acoes")))*INDEX(Inputs!$K$5:$AJ$120,0,MATCH(AK$2,Inputs!$K$4:$AJ$4,0)))+SUMPRODUCT((Inputs!$C$5:$C$120=$B50)*Inputs!$D$5:$D$120*(((Inputs!$G$5:$G$120="moeda")+(Inputs!$G$5:$G$120="acoes"))*Inputs!$B$1+((Inputs!$G$5:$G$120&lt;&gt;"moeda")*(Inputs!$G$5:$G$120&lt;&gt;"acoes")))*INDEX(Inputs!$K$5:$AJ$120,0,MATCH(AK$2,Inputs!$K$4:$AJ$4,0)))+SUMPRODUCT((Inputs!$E$5:$E$120=$B50)*Inputs!$F$5:$F$120*(((Inputs!$G$5:$G$120="moeda")+(Inputs!$G$5:$G$120="acoes"))*Inputs!$B$1+((Inputs!$G$5:$G$120&lt;&gt;"moeda")*(Inputs!$G$5:$G$120&lt;&gt;"acoes")))*INDEX(Inputs!$K$5:$AJ$120,0,MATCH(AK$2,Inputs!$K$4:$AJ$4,0)))))</f>
        <v>551</v>
      </c>
      <c r="AL50" s="260">
        <f>SUM(AH50:AK50)</f>
        <v>1145</v>
      </c>
    </row>
    <row r="52">
      <c r="C52" s="511" t="inlineStr">
        <is>
          <t>Drivers de receita (memo) - codigos 45+ [Model, bloco abaixo da receita liquida]</t>
        </is>
      </c>
    </row>
    <row r="53">
      <c r="B53" s="265" t="n">
        <v>45</v>
      </c>
      <c r="C53" s="266" t="inlineStr">
        <is>
          <t>Agribusiness - receita (USD)</t>
        </is>
      </c>
      <c r="D53" s="513">
        <f>IF(ISNA(MATCH(D$2,Inputs!$K$4:$AJ$4,0)),NA(),IF(SUMPRODUCT((Inputs!$A$5:$A$120=$B53)*ISNUMBER(INDEX(Inputs!$K$5:$AJ$120,0,MATCH(D$2,Inputs!$K$4:$AJ$4,0))))+SUMPRODUCT((Inputs!$C$5:$C$120=$B53)*ISNUMBER(INDEX(Inputs!$K$5:$AJ$120,0,MATCH(D$2,Inputs!$K$4:$AJ$4,0))))+SUMPRODUCT((Inputs!$E$5:$E$120=$B53)*ISNUMBER(INDEX(Inputs!$K$5:$AJ$120,0,MATCH(D$2,Inputs!$K$4:$AJ$4,0))))=0,NA(),SUMPRODUCT((Inputs!$A$5:$A$120=$B53)*Inputs!$B$5:$B$120*(((Inputs!$G$5:$G$120="moeda")+(Inputs!$G$5:$G$120="acoes"))*Inputs!$B$1+((Inputs!$G$5:$G$120&lt;&gt;"moeda")*(Inputs!$G$5:$G$120&lt;&gt;"acoes")))*INDEX(Inputs!$K$5:$AJ$120,0,MATCH(D$2,Inputs!$K$4:$AJ$4,0)))+SUMPRODUCT((Inputs!$C$5:$C$120=$B53)*Inputs!$D$5:$D$120*(((Inputs!$G$5:$G$120="moeda")+(Inputs!$G$5:$G$120="acoes"))*Inputs!$B$1+((Inputs!$G$5:$G$120&lt;&gt;"moeda")*(Inputs!$G$5:$G$120&lt;&gt;"acoes")))*INDEX(Inputs!$K$5:$AJ$120,0,MATCH(D$2,Inputs!$K$4:$AJ$4,0)))+SUMPRODUCT((Inputs!$E$5:$E$120=$B53)*Inputs!$F$5:$F$120*(((Inputs!$G$5:$G$120="moeda")+(Inputs!$G$5:$G$120="acoes"))*Inputs!$B$1+((Inputs!$G$5:$G$120&lt;&gt;"moeda")*(Inputs!$G$5:$G$120&lt;&gt;"acoes")))*INDEX(Inputs!$K$5:$AJ$120,0,MATCH(D$2,Inputs!$K$4:$AJ$4,0)))))</f>
        <v>9791</v>
      </c>
      <c r="E53" s="513">
        <f>IF(ISNA(MATCH(E$2,Inputs!$K$4:$AJ$4,0)),NA(),IF(SUMPRODUCT((Inputs!$A$5:$A$120=$B53)*ISNUMBER(INDEX(Inputs!$K$5:$AJ$120,0,MATCH(E$2,Inputs!$K$4:$AJ$4,0))))+SUMPRODUCT((Inputs!$C$5:$C$120=$B53)*ISNUMBER(INDEX(Inputs!$K$5:$AJ$120,0,MATCH(E$2,Inputs!$K$4:$AJ$4,0))))+SUMPRODUCT((Inputs!$E$5:$E$120=$B53)*ISNUMBER(INDEX(Inputs!$K$5:$AJ$120,0,MATCH(E$2,Inputs!$K$4:$AJ$4,0))))=0,NA(),SUMPRODUCT((Inputs!$A$5:$A$120=$B53)*Inputs!$B$5:$B$120*(((Inputs!$G$5:$G$120="moeda")+(Inputs!$G$5:$G$120="acoes"))*Inputs!$B$1+((Inputs!$G$5:$G$120&lt;&gt;"moeda")*(Inputs!$G$5:$G$120&lt;&gt;"acoes")))*INDEX(Inputs!$K$5:$AJ$120,0,MATCH(E$2,Inputs!$K$4:$AJ$4,0)))+SUMPRODUCT((Inputs!$C$5:$C$120=$B53)*Inputs!$D$5:$D$120*(((Inputs!$G$5:$G$120="moeda")+(Inputs!$G$5:$G$120="acoes"))*Inputs!$B$1+((Inputs!$G$5:$G$120&lt;&gt;"moeda")*(Inputs!$G$5:$G$120&lt;&gt;"acoes")))*INDEX(Inputs!$K$5:$AJ$120,0,MATCH(E$2,Inputs!$K$4:$AJ$4,0)))+SUMPRODUCT((Inputs!$E$5:$E$120=$B53)*Inputs!$F$5:$F$120*(((Inputs!$G$5:$G$120="moeda")+(Inputs!$G$5:$G$120="acoes"))*Inputs!$B$1+((Inputs!$G$5:$G$120&lt;&gt;"moeda")*(Inputs!$G$5:$G$120&lt;&gt;"acoes")))*INDEX(Inputs!$K$5:$AJ$120,0,MATCH(E$2,Inputs!$K$4:$AJ$4,0)))))</f>
        <v>11654</v>
      </c>
      <c r="F53" s="513">
        <f>IF(ISNA(MATCH(F$2,Inputs!$K$4:$AJ$4,0)),NA(),IF(SUMPRODUCT((Inputs!$A$5:$A$120=$B53)*ISNUMBER(INDEX(Inputs!$K$5:$AJ$120,0,MATCH(F$2,Inputs!$K$4:$AJ$4,0))))+SUMPRODUCT((Inputs!$C$5:$C$120=$B53)*ISNUMBER(INDEX(Inputs!$K$5:$AJ$120,0,MATCH(F$2,Inputs!$K$4:$AJ$4,0))))+SUMPRODUCT((Inputs!$E$5:$E$120=$B53)*ISNUMBER(INDEX(Inputs!$K$5:$AJ$120,0,MATCH(F$2,Inputs!$K$4:$AJ$4,0))))=0,NA(),SUMPRODUCT((Inputs!$A$5:$A$120=$B53)*Inputs!$B$5:$B$120*(((Inputs!$G$5:$G$120="moeda")+(Inputs!$G$5:$G$120="acoes"))*Inputs!$B$1+((Inputs!$G$5:$G$120&lt;&gt;"moeda")*(Inputs!$G$5:$G$120&lt;&gt;"acoes")))*INDEX(Inputs!$K$5:$AJ$120,0,MATCH(F$2,Inputs!$K$4:$AJ$4,0)))+SUMPRODUCT((Inputs!$C$5:$C$120=$B53)*Inputs!$D$5:$D$120*(((Inputs!$G$5:$G$120="moeda")+(Inputs!$G$5:$G$120="acoes"))*Inputs!$B$1+((Inputs!$G$5:$G$120&lt;&gt;"moeda")*(Inputs!$G$5:$G$120&lt;&gt;"acoes")))*INDEX(Inputs!$K$5:$AJ$120,0,MATCH(F$2,Inputs!$K$4:$AJ$4,0)))+SUMPRODUCT((Inputs!$E$5:$E$120=$B53)*Inputs!$F$5:$F$120*(((Inputs!$G$5:$G$120="moeda")+(Inputs!$G$5:$G$120="acoes"))*Inputs!$B$1+((Inputs!$G$5:$G$120&lt;&gt;"moeda")*(Inputs!$G$5:$G$120&lt;&gt;"acoes")))*INDEX(Inputs!$K$5:$AJ$120,0,MATCH(F$2,Inputs!$K$4:$AJ$4,0)))))</f>
        <v>9868</v>
      </c>
      <c r="G53" s="513">
        <f>IF(ISNA(MATCH(G$2,Inputs!$K$4:$AJ$4,0)),NA(),IF(SUMPRODUCT((Inputs!$A$5:$A$120=$B53)*ISNUMBER(INDEX(Inputs!$K$5:$AJ$120,0,MATCH(G$2,Inputs!$K$4:$AJ$4,0))))+SUMPRODUCT((Inputs!$C$5:$C$120=$B53)*ISNUMBER(INDEX(Inputs!$K$5:$AJ$120,0,MATCH(G$2,Inputs!$K$4:$AJ$4,0))))+SUMPRODUCT((Inputs!$E$5:$E$120=$B53)*ISNUMBER(INDEX(Inputs!$K$5:$AJ$120,0,MATCH(G$2,Inputs!$K$4:$AJ$4,0))))=0,NA(),SUMPRODUCT((Inputs!$A$5:$A$120=$B53)*Inputs!$B$5:$B$120*(((Inputs!$G$5:$G$120="moeda")+(Inputs!$G$5:$G$120="acoes"))*Inputs!$B$1+((Inputs!$G$5:$G$120&lt;&gt;"moeda")*(Inputs!$G$5:$G$120&lt;&gt;"acoes")))*INDEX(Inputs!$K$5:$AJ$120,0,MATCH(G$2,Inputs!$K$4:$AJ$4,0)))+SUMPRODUCT((Inputs!$C$5:$C$120=$B53)*Inputs!$D$5:$D$120*(((Inputs!$G$5:$G$120="moeda")+(Inputs!$G$5:$G$120="acoes"))*Inputs!$B$1+((Inputs!$G$5:$G$120&lt;&gt;"moeda")*(Inputs!$G$5:$G$120&lt;&gt;"acoes")))*INDEX(Inputs!$K$5:$AJ$120,0,MATCH(G$2,Inputs!$K$4:$AJ$4,0)))+SUMPRODUCT((Inputs!$E$5:$E$120=$B53)*Inputs!$F$5:$F$120*(((Inputs!$G$5:$G$120="moeda")+(Inputs!$G$5:$G$120="acoes"))*Inputs!$B$1+((Inputs!$G$5:$G$120&lt;&gt;"moeda")*(Inputs!$G$5:$G$120&lt;&gt;"acoes")))*INDEX(Inputs!$K$5:$AJ$120,0,MATCH(G$2,Inputs!$K$4:$AJ$4,0)))))</f>
        <v>12324</v>
      </c>
      <c r="H53" s="514">
        <f>SUM(D53:G53)</f>
        <v>43637</v>
      </c>
      <c r="I53" s="513">
        <f>IF(ISNA(MATCH(I$2,Inputs!$K$4:$AJ$4,0)),NA(),IF(SUMPRODUCT((Inputs!$A$5:$A$120=$B53)*ISNUMBER(INDEX(Inputs!$K$5:$AJ$120,0,MATCH(I$2,Inputs!$K$4:$AJ$4,0))))+SUMPRODUCT((Inputs!$C$5:$C$120=$B53)*ISNUMBER(INDEX(Inputs!$K$5:$AJ$120,0,MATCH(I$2,Inputs!$K$4:$AJ$4,0))))+SUMPRODUCT((Inputs!$E$5:$E$120=$B53)*ISNUMBER(INDEX(Inputs!$K$5:$AJ$120,0,MATCH(I$2,Inputs!$K$4:$AJ$4,0))))=0,NA(),SUMPRODUCT((Inputs!$A$5:$A$120=$B53)*Inputs!$B$5:$B$120*(((Inputs!$G$5:$G$120="moeda")+(Inputs!$G$5:$G$120="acoes"))*Inputs!$B$1+((Inputs!$G$5:$G$120&lt;&gt;"moeda")*(Inputs!$G$5:$G$120&lt;&gt;"acoes")))*INDEX(Inputs!$K$5:$AJ$120,0,MATCH(I$2,Inputs!$K$4:$AJ$4,0)))+SUMPRODUCT((Inputs!$C$5:$C$120=$B53)*Inputs!$D$5:$D$120*(((Inputs!$G$5:$G$120="moeda")+(Inputs!$G$5:$G$120="acoes"))*Inputs!$B$1+((Inputs!$G$5:$G$120&lt;&gt;"moeda")*(Inputs!$G$5:$G$120&lt;&gt;"acoes")))*INDEX(Inputs!$K$5:$AJ$120,0,MATCH(I$2,Inputs!$K$4:$AJ$4,0)))+SUMPRODUCT((Inputs!$E$5:$E$120=$B53)*Inputs!$F$5:$F$120*(((Inputs!$G$5:$G$120="moeda")+(Inputs!$G$5:$G$120="acoes"))*Inputs!$B$1+((Inputs!$G$5:$G$120&lt;&gt;"moeda")*(Inputs!$G$5:$G$120&lt;&gt;"acoes")))*INDEX(Inputs!$K$5:$AJ$120,0,MATCH(I$2,Inputs!$K$4:$AJ$4,0)))))</f>
        <v>11231</v>
      </c>
      <c r="J53" s="513">
        <f>IF(ISNA(MATCH(J$2,Inputs!$K$4:$AJ$4,0)),NA(),IF(SUMPRODUCT((Inputs!$A$5:$A$120=$B53)*ISNUMBER(INDEX(Inputs!$K$5:$AJ$120,0,MATCH(J$2,Inputs!$K$4:$AJ$4,0))))+SUMPRODUCT((Inputs!$C$5:$C$120=$B53)*ISNUMBER(INDEX(Inputs!$K$5:$AJ$120,0,MATCH(J$2,Inputs!$K$4:$AJ$4,0))))+SUMPRODUCT((Inputs!$E$5:$E$120=$B53)*ISNUMBER(INDEX(Inputs!$K$5:$AJ$120,0,MATCH(J$2,Inputs!$K$4:$AJ$4,0))))=0,NA(),SUMPRODUCT((Inputs!$A$5:$A$120=$B53)*Inputs!$B$5:$B$120*(((Inputs!$G$5:$G$120="moeda")+(Inputs!$G$5:$G$120="acoes"))*Inputs!$B$1+((Inputs!$G$5:$G$120&lt;&gt;"moeda")*(Inputs!$G$5:$G$120&lt;&gt;"acoes")))*INDEX(Inputs!$K$5:$AJ$120,0,MATCH(J$2,Inputs!$K$4:$AJ$4,0)))+SUMPRODUCT((Inputs!$C$5:$C$120=$B53)*Inputs!$D$5:$D$120*(((Inputs!$G$5:$G$120="moeda")+(Inputs!$G$5:$G$120="acoes"))*Inputs!$B$1+((Inputs!$G$5:$G$120&lt;&gt;"moeda")*(Inputs!$G$5:$G$120&lt;&gt;"acoes")))*INDEX(Inputs!$K$5:$AJ$120,0,MATCH(J$2,Inputs!$K$4:$AJ$4,0)))+SUMPRODUCT((Inputs!$E$5:$E$120=$B53)*Inputs!$F$5:$F$120*(((Inputs!$G$5:$G$120="moeda")+(Inputs!$G$5:$G$120="acoes"))*Inputs!$B$1+((Inputs!$G$5:$G$120&lt;&gt;"moeda")*(Inputs!$G$5:$G$120&lt;&gt;"acoes")))*INDEX(Inputs!$K$5:$AJ$120,0,MATCH(J$2,Inputs!$K$4:$AJ$4,0)))))</f>
        <v>12747</v>
      </c>
      <c r="K53" s="513">
        <f>IF(ISNA(MATCH(K$2,Inputs!$K$4:$AJ$4,0)),NA(),IF(SUMPRODUCT((Inputs!$A$5:$A$120=$B53)*ISNUMBER(INDEX(Inputs!$K$5:$AJ$120,0,MATCH(K$2,Inputs!$K$4:$AJ$4,0))))+SUMPRODUCT((Inputs!$C$5:$C$120=$B53)*ISNUMBER(INDEX(Inputs!$K$5:$AJ$120,0,MATCH(K$2,Inputs!$K$4:$AJ$4,0))))+SUMPRODUCT((Inputs!$E$5:$E$120=$B53)*ISNUMBER(INDEX(Inputs!$K$5:$AJ$120,0,MATCH(K$2,Inputs!$K$4:$AJ$4,0))))=0,NA(),SUMPRODUCT((Inputs!$A$5:$A$120=$B53)*Inputs!$B$5:$B$120*(((Inputs!$G$5:$G$120="moeda")+(Inputs!$G$5:$G$120="acoes"))*Inputs!$B$1+((Inputs!$G$5:$G$120&lt;&gt;"moeda")*(Inputs!$G$5:$G$120&lt;&gt;"acoes")))*INDEX(Inputs!$K$5:$AJ$120,0,MATCH(K$2,Inputs!$K$4:$AJ$4,0)))+SUMPRODUCT((Inputs!$C$5:$C$120=$B53)*Inputs!$D$5:$D$120*(((Inputs!$G$5:$G$120="moeda")+(Inputs!$G$5:$G$120="acoes"))*Inputs!$B$1+((Inputs!$G$5:$G$120&lt;&gt;"moeda")*(Inputs!$G$5:$G$120&lt;&gt;"acoes")))*INDEX(Inputs!$K$5:$AJ$120,0,MATCH(K$2,Inputs!$K$4:$AJ$4,0)))+SUMPRODUCT((Inputs!$E$5:$E$120=$B53)*Inputs!$F$5:$F$120*(((Inputs!$G$5:$G$120="moeda")+(Inputs!$G$5:$G$120="acoes"))*Inputs!$B$1+((Inputs!$G$5:$G$120&lt;&gt;"moeda")*(Inputs!$G$5:$G$120&lt;&gt;"acoes")))*INDEX(Inputs!$K$5:$AJ$120,0,MATCH(K$2,Inputs!$K$4:$AJ$4,0)))))</f>
        <v>11741</v>
      </c>
      <c r="L53" s="513">
        <f>IF(ISNA(MATCH(L$2,Inputs!$K$4:$AJ$4,0)),NA(),IF(SUMPRODUCT((Inputs!$A$5:$A$120=$B53)*ISNUMBER(INDEX(Inputs!$K$5:$AJ$120,0,MATCH(L$2,Inputs!$K$4:$AJ$4,0))))+SUMPRODUCT((Inputs!$C$5:$C$120=$B53)*ISNUMBER(INDEX(Inputs!$K$5:$AJ$120,0,MATCH(L$2,Inputs!$K$4:$AJ$4,0))))+SUMPRODUCT((Inputs!$E$5:$E$120=$B53)*ISNUMBER(INDEX(Inputs!$K$5:$AJ$120,0,MATCH(L$2,Inputs!$K$4:$AJ$4,0))))=0,NA(),SUMPRODUCT((Inputs!$A$5:$A$120=$B53)*Inputs!$B$5:$B$120*(((Inputs!$G$5:$G$120="moeda")+(Inputs!$G$5:$G$120="acoes"))*Inputs!$B$1+((Inputs!$G$5:$G$120&lt;&gt;"moeda")*(Inputs!$G$5:$G$120&lt;&gt;"acoes")))*INDEX(Inputs!$K$5:$AJ$120,0,MATCH(L$2,Inputs!$K$4:$AJ$4,0)))+SUMPRODUCT((Inputs!$C$5:$C$120=$B53)*Inputs!$D$5:$D$120*(((Inputs!$G$5:$G$120="moeda")+(Inputs!$G$5:$G$120="acoes"))*Inputs!$B$1+((Inputs!$G$5:$G$120&lt;&gt;"moeda")*(Inputs!$G$5:$G$120&lt;&gt;"acoes")))*INDEX(Inputs!$K$5:$AJ$120,0,MATCH(L$2,Inputs!$K$4:$AJ$4,0)))+SUMPRODUCT((Inputs!$E$5:$E$120=$B53)*Inputs!$F$5:$F$120*(((Inputs!$G$5:$G$120="moeda")+(Inputs!$G$5:$G$120="acoes"))*Inputs!$B$1+((Inputs!$G$5:$G$120&lt;&gt;"moeda")*(Inputs!$G$5:$G$120&lt;&gt;"acoes")))*INDEX(Inputs!$K$5:$AJ$120,0,MATCH(L$2,Inputs!$K$4:$AJ$4,0)))))</f>
        <v>11981</v>
      </c>
      <c r="M53" s="514">
        <f>SUM(I53:L53)</f>
        <v>47700</v>
      </c>
      <c r="N53" s="513">
        <f>IF(ISNA(MATCH(N$2,Inputs!$K$4:$AJ$4,0)),NA(),IF(SUMPRODUCT((Inputs!$A$5:$A$120=$B53)*ISNUMBER(INDEX(Inputs!$K$5:$AJ$120,0,MATCH(N$2,Inputs!$K$4:$AJ$4,0))))+SUMPRODUCT((Inputs!$C$5:$C$120=$B53)*ISNUMBER(INDEX(Inputs!$K$5:$AJ$120,0,MATCH(N$2,Inputs!$K$4:$AJ$4,0))))+SUMPRODUCT((Inputs!$E$5:$E$120=$B53)*ISNUMBER(INDEX(Inputs!$K$5:$AJ$120,0,MATCH(N$2,Inputs!$K$4:$AJ$4,0))))=0,NA(),SUMPRODUCT((Inputs!$A$5:$A$120=$B53)*Inputs!$B$5:$B$120*(((Inputs!$G$5:$G$120="moeda")+(Inputs!$G$5:$G$120="acoes"))*Inputs!$B$1+((Inputs!$G$5:$G$120&lt;&gt;"moeda")*(Inputs!$G$5:$G$120&lt;&gt;"acoes")))*INDEX(Inputs!$K$5:$AJ$120,0,MATCH(N$2,Inputs!$K$4:$AJ$4,0)))+SUMPRODUCT((Inputs!$C$5:$C$120=$B53)*Inputs!$D$5:$D$120*(((Inputs!$G$5:$G$120="moeda")+(Inputs!$G$5:$G$120="acoes"))*Inputs!$B$1+((Inputs!$G$5:$G$120&lt;&gt;"moeda")*(Inputs!$G$5:$G$120&lt;&gt;"acoes")))*INDEX(Inputs!$K$5:$AJ$120,0,MATCH(N$2,Inputs!$K$4:$AJ$4,0)))+SUMPRODUCT((Inputs!$E$5:$E$120=$B53)*Inputs!$F$5:$F$120*(((Inputs!$G$5:$G$120="moeda")+(Inputs!$G$5:$G$120="acoes"))*Inputs!$B$1+((Inputs!$G$5:$G$120&lt;&gt;"moeda")*(Inputs!$G$5:$G$120&lt;&gt;"acoes")))*INDEX(Inputs!$K$5:$AJ$120,0,MATCH(N$2,Inputs!$K$4:$AJ$4,0)))))</f>
        <v>10852</v>
      </c>
      <c r="O53" s="513">
        <f>IF(ISNA(MATCH(O$2,Inputs!$K$4:$AJ$4,0)),NA(),IF(SUMPRODUCT((Inputs!$A$5:$A$120=$B53)*ISNUMBER(INDEX(Inputs!$K$5:$AJ$120,0,MATCH(O$2,Inputs!$K$4:$AJ$4,0))))+SUMPRODUCT((Inputs!$C$5:$C$120=$B53)*ISNUMBER(INDEX(Inputs!$K$5:$AJ$120,0,MATCH(O$2,Inputs!$K$4:$AJ$4,0))))+SUMPRODUCT((Inputs!$E$5:$E$120=$B53)*ISNUMBER(INDEX(Inputs!$K$5:$AJ$120,0,MATCH(O$2,Inputs!$K$4:$AJ$4,0))))=0,NA(),SUMPRODUCT((Inputs!$A$5:$A$120=$B53)*Inputs!$B$5:$B$120*(((Inputs!$G$5:$G$120="moeda")+(Inputs!$G$5:$G$120="acoes"))*Inputs!$B$1+((Inputs!$G$5:$G$120&lt;&gt;"moeda")*(Inputs!$G$5:$G$120&lt;&gt;"acoes")))*INDEX(Inputs!$K$5:$AJ$120,0,MATCH(O$2,Inputs!$K$4:$AJ$4,0)))+SUMPRODUCT((Inputs!$C$5:$C$120=$B53)*Inputs!$D$5:$D$120*(((Inputs!$G$5:$G$120="moeda")+(Inputs!$G$5:$G$120="acoes"))*Inputs!$B$1+((Inputs!$G$5:$G$120&lt;&gt;"moeda")*(Inputs!$G$5:$G$120&lt;&gt;"acoes")))*INDEX(Inputs!$K$5:$AJ$120,0,MATCH(O$2,Inputs!$K$4:$AJ$4,0)))+SUMPRODUCT((Inputs!$E$5:$E$120=$B53)*Inputs!$F$5:$F$120*(((Inputs!$G$5:$G$120="moeda")+(Inputs!$G$5:$G$120="acoes"))*Inputs!$B$1+((Inputs!$G$5:$G$120&lt;&gt;"moeda")*(Inputs!$G$5:$G$120&lt;&gt;"acoes")))*INDEX(Inputs!$K$5:$AJ$120,0,MATCH(O$2,Inputs!$K$4:$AJ$4,0)))))</f>
        <v>10875</v>
      </c>
      <c r="P53" s="513">
        <f>IF(ISNA(MATCH(P$2,Inputs!$K$4:$AJ$4,0)),NA(),IF(SUMPRODUCT((Inputs!$A$5:$A$120=$B53)*ISNUMBER(INDEX(Inputs!$K$5:$AJ$120,0,MATCH(P$2,Inputs!$K$4:$AJ$4,0))))+SUMPRODUCT((Inputs!$C$5:$C$120=$B53)*ISNUMBER(INDEX(Inputs!$K$5:$AJ$120,0,MATCH(P$2,Inputs!$K$4:$AJ$4,0))))+SUMPRODUCT((Inputs!$E$5:$E$120=$B53)*ISNUMBER(INDEX(Inputs!$K$5:$AJ$120,0,MATCH(P$2,Inputs!$K$4:$AJ$4,0))))=0,NA(),SUMPRODUCT((Inputs!$A$5:$A$120=$B53)*Inputs!$B$5:$B$120*(((Inputs!$G$5:$G$120="moeda")+(Inputs!$G$5:$G$120="acoes"))*Inputs!$B$1+((Inputs!$G$5:$G$120&lt;&gt;"moeda")*(Inputs!$G$5:$G$120&lt;&gt;"acoes")))*INDEX(Inputs!$K$5:$AJ$120,0,MATCH(P$2,Inputs!$K$4:$AJ$4,0)))+SUMPRODUCT((Inputs!$C$5:$C$120=$B53)*Inputs!$D$5:$D$120*(((Inputs!$G$5:$G$120="moeda")+(Inputs!$G$5:$G$120="acoes"))*Inputs!$B$1+((Inputs!$G$5:$G$120&lt;&gt;"moeda")*(Inputs!$G$5:$G$120&lt;&gt;"acoes")))*INDEX(Inputs!$K$5:$AJ$120,0,MATCH(P$2,Inputs!$K$4:$AJ$4,0)))+SUMPRODUCT((Inputs!$E$5:$E$120=$B53)*Inputs!$F$5:$F$120*(((Inputs!$G$5:$G$120="moeda")+(Inputs!$G$5:$G$120="acoes"))*Inputs!$B$1+((Inputs!$G$5:$G$120&lt;&gt;"moeda")*(Inputs!$G$5:$G$120&lt;&gt;"acoes")))*INDEX(Inputs!$K$5:$AJ$120,0,MATCH(P$2,Inputs!$K$4:$AJ$4,0)))))</f>
        <v>10082</v>
      </c>
      <c r="Q53" s="513">
        <f>IF(ISNA(MATCH(Q$2,Inputs!$K$4:$AJ$4,0)),NA(),IF(SUMPRODUCT((Inputs!$A$5:$A$120=$B53)*ISNUMBER(INDEX(Inputs!$K$5:$AJ$120,0,MATCH(Q$2,Inputs!$K$4:$AJ$4,0))))+SUMPRODUCT((Inputs!$C$5:$C$120=$B53)*ISNUMBER(INDEX(Inputs!$K$5:$AJ$120,0,MATCH(Q$2,Inputs!$K$4:$AJ$4,0))))+SUMPRODUCT((Inputs!$E$5:$E$120=$B53)*ISNUMBER(INDEX(Inputs!$K$5:$AJ$120,0,MATCH(Q$2,Inputs!$K$4:$AJ$4,0))))=0,NA(),SUMPRODUCT((Inputs!$A$5:$A$120=$B53)*Inputs!$B$5:$B$120*(((Inputs!$G$5:$G$120="moeda")+(Inputs!$G$5:$G$120="acoes"))*Inputs!$B$1+((Inputs!$G$5:$G$120&lt;&gt;"moeda")*(Inputs!$G$5:$G$120&lt;&gt;"acoes")))*INDEX(Inputs!$K$5:$AJ$120,0,MATCH(Q$2,Inputs!$K$4:$AJ$4,0)))+SUMPRODUCT((Inputs!$C$5:$C$120=$B53)*Inputs!$D$5:$D$120*(((Inputs!$G$5:$G$120="moeda")+(Inputs!$G$5:$G$120="acoes"))*Inputs!$B$1+((Inputs!$G$5:$G$120&lt;&gt;"moeda")*(Inputs!$G$5:$G$120&lt;&gt;"acoes")))*INDEX(Inputs!$K$5:$AJ$120,0,MATCH(Q$2,Inputs!$K$4:$AJ$4,0)))+SUMPRODUCT((Inputs!$E$5:$E$120=$B53)*Inputs!$F$5:$F$120*(((Inputs!$G$5:$G$120="moeda")+(Inputs!$G$5:$G$120="acoes"))*Inputs!$B$1+((Inputs!$G$5:$G$120&lt;&gt;"moeda")*(Inputs!$G$5:$G$120&lt;&gt;"acoes")))*INDEX(Inputs!$K$5:$AJ$120,0,MATCH(Q$2,Inputs!$K$4:$AJ$4,0)))))</f>
        <v>10955</v>
      </c>
      <c r="R53" s="514">
        <f>SUM(N53:Q53)</f>
        <v>42764</v>
      </c>
      <c r="S53" s="513">
        <f>IF(ISNA(MATCH(S$2,Inputs!$K$4:$AJ$4,0)),NA(),IF(SUMPRODUCT((Inputs!$A$5:$A$120=$B53)*ISNUMBER(INDEX(Inputs!$K$5:$AJ$120,0,MATCH(S$2,Inputs!$K$4:$AJ$4,0))))+SUMPRODUCT((Inputs!$C$5:$C$120=$B53)*ISNUMBER(INDEX(Inputs!$K$5:$AJ$120,0,MATCH(S$2,Inputs!$K$4:$AJ$4,0))))+SUMPRODUCT((Inputs!$E$5:$E$120=$B53)*ISNUMBER(INDEX(Inputs!$K$5:$AJ$120,0,MATCH(S$2,Inputs!$K$4:$AJ$4,0))))=0,NA(),SUMPRODUCT((Inputs!$A$5:$A$120=$B53)*Inputs!$B$5:$B$120*(((Inputs!$G$5:$G$120="moeda")+(Inputs!$G$5:$G$120="acoes"))*Inputs!$B$1+((Inputs!$G$5:$G$120&lt;&gt;"moeda")*(Inputs!$G$5:$G$120&lt;&gt;"acoes")))*INDEX(Inputs!$K$5:$AJ$120,0,MATCH(S$2,Inputs!$K$4:$AJ$4,0)))+SUMPRODUCT((Inputs!$C$5:$C$120=$B53)*Inputs!$D$5:$D$120*(((Inputs!$G$5:$G$120="moeda")+(Inputs!$G$5:$G$120="acoes"))*Inputs!$B$1+((Inputs!$G$5:$G$120&lt;&gt;"moeda")*(Inputs!$G$5:$G$120&lt;&gt;"acoes")))*INDEX(Inputs!$K$5:$AJ$120,0,MATCH(S$2,Inputs!$K$4:$AJ$4,0)))+SUMPRODUCT((Inputs!$E$5:$E$120=$B53)*Inputs!$F$5:$F$120*(((Inputs!$G$5:$G$120="moeda")+(Inputs!$G$5:$G$120="acoes"))*Inputs!$B$1+((Inputs!$G$5:$G$120&lt;&gt;"moeda")*(Inputs!$G$5:$G$120&lt;&gt;"acoes")))*INDEX(Inputs!$K$5:$AJ$120,0,MATCH(S$2,Inputs!$K$4:$AJ$4,0)))))</f>
        <v>9740</v>
      </c>
      <c r="T53" s="513">
        <f>IF(ISNA(MATCH(T$2,Inputs!$K$4:$AJ$4,0)),NA(),IF(SUMPRODUCT((Inputs!$A$5:$A$120=$B53)*ISNUMBER(INDEX(Inputs!$K$5:$AJ$120,0,MATCH(T$2,Inputs!$K$4:$AJ$4,0))))+SUMPRODUCT((Inputs!$C$5:$C$120=$B53)*ISNUMBER(INDEX(Inputs!$K$5:$AJ$120,0,MATCH(T$2,Inputs!$K$4:$AJ$4,0))))+SUMPRODUCT((Inputs!$E$5:$E$120=$B53)*ISNUMBER(INDEX(Inputs!$K$5:$AJ$120,0,MATCH(T$2,Inputs!$K$4:$AJ$4,0))))=0,NA(),SUMPRODUCT((Inputs!$A$5:$A$120=$B53)*Inputs!$B$5:$B$120*(((Inputs!$G$5:$G$120="moeda")+(Inputs!$G$5:$G$120="acoes"))*Inputs!$B$1+((Inputs!$G$5:$G$120&lt;&gt;"moeda")*(Inputs!$G$5:$G$120&lt;&gt;"acoes")))*INDEX(Inputs!$K$5:$AJ$120,0,MATCH(T$2,Inputs!$K$4:$AJ$4,0)))+SUMPRODUCT((Inputs!$C$5:$C$120=$B53)*Inputs!$D$5:$D$120*(((Inputs!$G$5:$G$120="moeda")+(Inputs!$G$5:$G$120="acoes"))*Inputs!$B$1+((Inputs!$G$5:$G$120&lt;&gt;"moeda")*(Inputs!$G$5:$G$120&lt;&gt;"acoes")))*INDEX(Inputs!$K$5:$AJ$120,0,MATCH(T$2,Inputs!$K$4:$AJ$4,0)))+SUMPRODUCT((Inputs!$E$5:$E$120=$B53)*Inputs!$F$5:$F$120*(((Inputs!$G$5:$G$120="moeda")+(Inputs!$G$5:$G$120="acoes"))*Inputs!$B$1+((Inputs!$G$5:$G$120&lt;&gt;"moeda")*(Inputs!$G$5:$G$120&lt;&gt;"acoes")))*INDEX(Inputs!$K$5:$AJ$120,0,MATCH(T$2,Inputs!$K$4:$AJ$4,0)))))</f>
        <v>9657</v>
      </c>
      <c r="U53" s="513">
        <f>IF(ISNA(MATCH(U$2,Inputs!$K$4:$AJ$4,0)),NA(),IF(SUMPRODUCT((Inputs!$A$5:$A$120=$B53)*ISNUMBER(INDEX(Inputs!$K$5:$AJ$120,0,MATCH(U$2,Inputs!$K$4:$AJ$4,0))))+SUMPRODUCT((Inputs!$C$5:$C$120=$B53)*ISNUMBER(INDEX(Inputs!$K$5:$AJ$120,0,MATCH(U$2,Inputs!$K$4:$AJ$4,0))))+SUMPRODUCT((Inputs!$E$5:$E$120=$B53)*ISNUMBER(INDEX(Inputs!$K$5:$AJ$120,0,MATCH(U$2,Inputs!$K$4:$AJ$4,0))))=0,NA(),SUMPRODUCT((Inputs!$A$5:$A$120=$B53)*Inputs!$B$5:$B$120*(((Inputs!$G$5:$G$120="moeda")+(Inputs!$G$5:$G$120="acoes"))*Inputs!$B$1+((Inputs!$G$5:$G$120&lt;&gt;"moeda")*(Inputs!$G$5:$G$120&lt;&gt;"acoes")))*INDEX(Inputs!$K$5:$AJ$120,0,MATCH(U$2,Inputs!$K$4:$AJ$4,0)))+SUMPRODUCT((Inputs!$C$5:$C$120=$B53)*Inputs!$D$5:$D$120*(((Inputs!$G$5:$G$120="moeda")+(Inputs!$G$5:$G$120="acoes"))*Inputs!$B$1+((Inputs!$G$5:$G$120&lt;&gt;"moeda")*(Inputs!$G$5:$G$120&lt;&gt;"acoes")))*INDEX(Inputs!$K$5:$AJ$120,0,MATCH(U$2,Inputs!$K$4:$AJ$4,0)))+SUMPRODUCT((Inputs!$E$5:$E$120=$B53)*Inputs!$F$5:$F$120*(((Inputs!$G$5:$G$120="moeda")+(Inputs!$G$5:$G$120="acoes"))*Inputs!$B$1+((Inputs!$G$5:$G$120&lt;&gt;"moeda")*(Inputs!$G$5:$G$120&lt;&gt;"acoes")))*INDEX(Inputs!$K$5:$AJ$120,0,MATCH(U$2,Inputs!$K$4:$AJ$4,0)))))</f>
        <v>9292</v>
      </c>
      <c r="V53" s="513">
        <f>IF(ISNA(MATCH(V$2,Inputs!$K$4:$AJ$4,0)),NA(),IF(SUMPRODUCT((Inputs!$A$5:$A$120=$B53)*ISNUMBER(INDEX(Inputs!$K$5:$AJ$120,0,MATCH(V$2,Inputs!$K$4:$AJ$4,0))))+SUMPRODUCT((Inputs!$C$5:$C$120=$B53)*ISNUMBER(INDEX(Inputs!$K$5:$AJ$120,0,MATCH(V$2,Inputs!$K$4:$AJ$4,0))))+SUMPRODUCT((Inputs!$E$5:$E$120=$B53)*ISNUMBER(INDEX(Inputs!$K$5:$AJ$120,0,MATCH(V$2,Inputs!$K$4:$AJ$4,0))))=0,NA(),SUMPRODUCT((Inputs!$A$5:$A$120=$B53)*Inputs!$B$5:$B$120*(((Inputs!$G$5:$G$120="moeda")+(Inputs!$G$5:$G$120="acoes"))*Inputs!$B$1+((Inputs!$G$5:$G$120&lt;&gt;"moeda")*(Inputs!$G$5:$G$120&lt;&gt;"acoes")))*INDEX(Inputs!$K$5:$AJ$120,0,MATCH(V$2,Inputs!$K$4:$AJ$4,0)))+SUMPRODUCT((Inputs!$C$5:$C$120=$B53)*Inputs!$D$5:$D$120*(((Inputs!$G$5:$G$120="moeda")+(Inputs!$G$5:$G$120="acoes"))*Inputs!$B$1+((Inputs!$G$5:$G$120&lt;&gt;"moeda")*(Inputs!$G$5:$G$120&lt;&gt;"acoes")))*INDEX(Inputs!$K$5:$AJ$120,0,MATCH(V$2,Inputs!$K$4:$AJ$4,0)))+SUMPRODUCT((Inputs!$E$5:$E$120=$B53)*Inputs!$F$5:$F$120*(((Inputs!$G$5:$G$120="moeda")+(Inputs!$G$5:$G$120="acoes"))*Inputs!$B$1+((Inputs!$G$5:$G$120&lt;&gt;"moeda")*(Inputs!$G$5:$G$120&lt;&gt;"acoes")))*INDEX(Inputs!$K$5:$AJ$120,0,MATCH(V$2,Inputs!$K$4:$AJ$4,0)))))</f>
        <v>9909</v>
      </c>
      <c r="W53" s="514">
        <f>SUM(S53:V53)</f>
        <v>38598</v>
      </c>
      <c r="X53" s="513">
        <f>IF(ISNA(MATCH(X$2,Inputs!$K$4:$AJ$4,0)),NA(),IF(SUMPRODUCT((Inputs!$A$5:$A$120=$B53)*ISNUMBER(INDEX(Inputs!$K$5:$AJ$120,0,MATCH(X$2,Inputs!$K$4:$AJ$4,0))))+SUMPRODUCT((Inputs!$C$5:$C$120=$B53)*ISNUMBER(INDEX(Inputs!$K$5:$AJ$120,0,MATCH(X$2,Inputs!$K$4:$AJ$4,0))))+SUMPRODUCT((Inputs!$E$5:$E$120=$B53)*ISNUMBER(INDEX(Inputs!$K$5:$AJ$120,0,MATCH(X$2,Inputs!$K$4:$AJ$4,0))))=0,NA(),SUMPRODUCT((Inputs!$A$5:$A$120=$B53)*Inputs!$B$5:$B$120*(((Inputs!$G$5:$G$120="moeda")+(Inputs!$G$5:$G$120="acoes"))*Inputs!$B$1+((Inputs!$G$5:$G$120&lt;&gt;"moeda")*(Inputs!$G$5:$G$120&lt;&gt;"acoes")))*INDEX(Inputs!$K$5:$AJ$120,0,MATCH(X$2,Inputs!$K$4:$AJ$4,0)))+SUMPRODUCT((Inputs!$C$5:$C$120=$B53)*Inputs!$D$5:$D$120*(((Inputs!$G$5:$G$120="moeda")+(Inputs!$G$5:$G$120="acoes"))*Inputs!$B$1+((Inputs!$G$5:$G$120&lt;&gt;"moeda")*(Inputs!$G$5:$G$120&lt;&gt;"acoes")))*INDEX(Inputs!$K$5:$AJ$120,0,MATCH(X$2,Inputs!$K$4:$AJ$4,0)))+SUMPRODUCT((Inputs!$E$5:$E$120=$B53)*Inputs!$F$5:$F$120*(((Inputs!$G$5:$G$120="moeda")+(Inputs!$G$5:$G$120="acoes"))*Inputs!$B$1+((Inputs!$G$5:$G$120&lt;&gt;"moeda")*(Inputs!$G$5:$G$120&lt;&gt;"acoes")))*INDEX(Inputs!$K$5:$AJ$120,0,MATCH(X$2,Inputs!$K$4:$AJ$4,0)))))</f>
        <v>8161</v>
      </c>
      <c r="Y53" s="513">
        <f>IF(ISNA(MATCH(Y$2,Inputs!$K$4:$AJ$4,0)),NA(),IF(SUMPRODUCT((Inputs!$A$5:$A$120=$B53)*ISNUMBER(INDEX(Inputs!$K$5:$AJ$120,0,MATCH(Y$2,Inputs!$K$4:$AJ$4,0))))+SUMPRODUCT((Inputs!$C$5:$C$120=$B53)*ISNUMBER(INDEX(Inputs!$K$5:$AJ$120,0,MATCH(Y$2,Inputs!$K$4:$AJ$4,0))))+SUMPRODUCT((Inputs!$E$5:$E$120=$B53)*ISNUMBER(INDEX(Inputs!$K$5:$AJ$120,0,MATCH(Y$2,Inputs!$K$4:$AJ$4,0))))=0,NA(),SUMPRODUCT((Inputs!$A$5:$A$120=$B53)*Inputs!$B$5:$B$120*(((Inputs!$G$5:$G$120="moeda")+(Inputs!$G$5:$G$120="acoes"))*Inputs!$B$1+((Inputs!$G$5:$G$120&lt;&gt;"moeda")*(Inputs!$G$5:$G$120&lt;&gt;"acoes")))*INDEX(Inputs!$K$5:$AJ$120,0,MATCH(Y$2,Inputs!$K$4:$AJ$4,0)))+SUMPRODUCT((Inputs!$C$5:$C$120=$B53)*Inputs!$D$5:$D$120*(((Inputs!$G$5:$G$120="moeda")+(Inputs!$G$5:$G$120="acoes"))*Inputs!$B$1+((Inputs!$G$5:$G$120&lt;&gt;"moeda")*(Inputs!$G$5:$G$120&lt;&gt;"acoes")))*INDEX(Inputs!$K$5:$AJ$120,0,MATCH(Y$2,Inputs!$K$4:$AJ$4,0)))+SUMPRODUCT((Inputs!$E$5:$E$120=$B53)*Inputs!$F$5:$F$120*(((Inputs!$G$5:$G$120="moeda")+(Inputs!$G$5:$G$120="acoes"))*Inputs!$B$1+((Inputs!$G$5:$G$120&lt;&gt;"moeda")*(Inputs!$G$5:$G$120&lt;&gt;"acoes")))*INDEX(Inputs!$K$5:$AJ$120,0,MATCH(Y$2,Inputs!$K$4:$AJ$4,0)))))</f>
        <v>9167</v>
      </c>
      <c r="Z53" s="513" t="e">
        <f>IF(ISNA(MATCH(Z$2,Inputs!$K$4:$AJ$4,0)),NA(),IF(SUMPRODUCT((Inputs!$A$5:$A$120=$B53)*ISNUMBER(INDEX(Inputs!$K$5:$AJ$120,0,MATCH(Z$2,Inputs!$K$4:$AJ$4,0))))+SUMPRODUCT((Inputs!$C$5:$C$120=$B53)*ISNUMBER(INDEX(Inputs!$K$5:$AJ$120,0,MATCH(Z$2,Inputs!$K$4:$AJ$4,0))))+SUMPRODUCT((Inputs!$E$5:$E$120=$B53)*ISNUMBER(INDEX(Inputs!$K$5:$AJ$120,0,MATCH(Z$2,Inputs!$K$4:$AJ$4,0))))=0,NA(),SUMPRODUCT((Inputs!$A$5:$A$120=$B53)*Inputs!$B$5:$B$120*(((Inputs!$G$5:$G$120="moeda")+(Inputs!$G$5:$G$120="acoes"))*Inputs!$B$1+((Inputs!$G$5:$G$120&lt;&gt;"moeda")*(Inputs!$G$5:$G$120&lt;&gt;"acoes")))*INDEX(Inputs!$K$5:$AJ$120,0,MATCH(Z$2,Inputs!$K$4:$AJ$4,0)))+SUMPRODUCT((Inputs!$C$5:$C$120=$B53)*Inputs!$D$5:$D$120*(((Inputs!$G$5:$G$120="moeda")+(Inputs!$G$5:$G$120="acoes"))*Inputs!$B$1+((Inputs!$G$5:$G$120&lt;&gt;"moeda")*(Inputs!$G$5:$G$120&lt;&gt;"acoes")))*INDEX(Inputs!$K$5:$AJ$120,0,MATCH(Z$2,Inputs!$K$4:$AJ$4,0)))+SUMPRODUCT((Inputs!$E$5:$E$120=$B53)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3" s="513" t="e">
        <f>IF(ISNA(MATCH(AA$2,Inputs!$K$4:$AJ$4,0)),NA(),IF(SUMPRODUCT((Inputs!$A$5:$A$120=$B53)*ISNUMBER(INDEX(Inputs!$K$5:$AJ$120,0,MATCH(AA$2,Inputs!$K$4:$AJ$4,0))))+SUMPRODUCT((Inputs!$C$5:$C$120=$B53)*ISNUMBER(INDEX(Inputs!$K$5:$AJ$120,0,MATCH(AA$2,Inputs!$K$4:$AJ$4,0))))+SUMPRODUCT((Inputs!$E$5:$E$120=$B53)*ISNUMBER(INDEX(Inputs!$K$5:$AJ$120,0,MATCH(AA$2,Inputs!$K$4:$AJ$4,0))))=0,NA(),SUMPRODUCT((Inputs!$A$5:$A$120=$B53)*Inputs!$B$5:$B$120*(((Inputs!$G$5:$G$120="moeda")+(Inputs!$G$5:$G$120="acoes"))*Inputs!$B$1+((Inputs!$G$5:$G$120&lt;&gt;"moeda")*(Inputs!$G$5:$G$120&lt;&gt;"acoes")))*INDEX(Inputs!$K$5:$AJ$120,0,MATCH(AA$2,Inputs!$K$4:$AJ$4,0)))+SUMPRODUCT((Inputs!$C$5:$C$120=$B53)*Inputs!$D$5:$D$120*(((Inputs!$G$5:$G$120="moeda")+(Inputs!$G$5:$G$120="acoes"))*Inputs!$B$1+((Inputs!$G$5:$G$120&lt;&gt;"moeda")*(Inputs!$G$5:$G$120&lt;&gt;"acoes")))*INDEX(Inputs!$K$5:$AJ$120,0,MATCH(AA$2,Inputs!$K$4:$AJ$4,0)))+SUMPRODUCT((Inputs!$E$5:$E$120=$B53)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3" s="514" t="e">
        <f>SUM(X53:AA53)</f>
        <v>#N/A</v>
      </c>
      <c r="AC53" s="513" t="e">
        <f>IF(ISNA(MATCH(AC$2,Inputs!$K$4:$AJ$4,0)),NA(),IF(SUMPRODUCT((Inputs!$A$5:$A$120=$B53)*ISNUMBER(INDEX(Inputs!$K$5:$AJ$120,0,MATCH(AC$2,Inputs!$K$4:$AJ$4,0))))+SUMPRODUCT((Inputs!$C$5:$C$120=$B53)*ISNUMBER(INDEX(Inputs!$K$5:$AJ$120,0,MATCH(AC$2,Inputs!$K$4:$AJ$4,0))))+SUMPRODUCT((Inputs!$E$5:$E$120=$B53)*ISNUMBER(INDEX(Inputs!$K$5:$AJ$120,0,MATCH(AC$2,Inputs!$K$4:$AJ$4,0))))=0,NA(),SUMPRODUCT((Inputs!$A$5:$A$120=$B53)*Inputs!$B$5:$B$120*(((Inputs!$G$5:$G$120="moeda")+(Inputs!$G$5:$G$120="acoes"))*Inputs!$B$1+((Inputs!$G$5:$G$120&lt;&gt;"moeda")*(Inputs!$G$5:$G$120&lt;&gt;"acoes")))*INDEX(Inputs!$K$5:$AJ$120,0,MATCH(AC$2,Inputs!$K$4:$AJ$4,0)))+SUMPRODUCT((Inputs!$C$5:$C$120=$B53)*Inputs!$D$5:$D$120*(((Inputs!$G$5:$G$120="moeda")+(Inputs!$G$5:$G$120="acoes"))*Inputs!$B$1+((Inputs!$G$5:$G$120&lt;&gt;"moeda")*(Inputs!$G$5:$G$120&lt;&gt;"acoes")))*INDEX(Inputs!$K$5:$AJ$120,0,MATCH(AC$2,Inputs!$K$4:$AJ$4,0)))+SUMPRODUCT((Inputs!$E$5:$E$120=$B53)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3" s="513" t="e">
        <f>IF(ISNA(MATCH(AD$2,Inputs!$K$4:$AJ$4,0)),NA(),IF(SUMPRODUCT((Inputs!$A$5:$A$120=$B53)*ISNUMBER(INDEX(Inputs!$K$5:$AJ$120,0,MATCH(AD$2,Inputs!$K$4:$AJ$4,0))))+SUMPRODUCT((Inputs!$C$5:$C$120=$B53)*ISNUMBER(INDEX(Inputs!$K$5:$AJ$120,0,MATCH(AD$2,Inputs!$K$4:$AJ$4,0))))+SUMPRODUCT((Inputs!$E$5:$E$120=$B53)*ISNUMBER(INDEX(Inputs!$K$5:$AJ$120,0,MATCH(AD$2,Inputs!$K$4:$AJ$4,0))))=0,NA(),SUMPRODUCT((Inputs!$A$5:$A$120=$B53)*Inputs!$B$5:$B$120*(((Inputs!$G$5:$G$120="moeda")+(Inputs!$G$5:$G$120="acoes"))*Inputs!$B$1+((Inputs!$G$5:$G$120&lt;&gt;"moeda")*(Inputs!$G$5:$G$120&lt;&gt;"acoes")))*INDEX(Inputs!$K$5:$AJ$120,0,MATCH(AD$2,Inputs!$K$4:$AJ$4,0)))+SUMPRODUCT((Inputs!$C$5:$C$120=$B53)*Inputs!$D$5:$D$120*(((Inputs!$G$5:$G$120="moeda")+(Inputs!$G$5:$G$120="acoes"))*Inputs!$B$1+((Inputs!$G$5:$G$120&lt;&gt;"moeda")*(Inputs!$G$5:$G$120&lt;&gt;"acoes")))*INDEX(Inputs!$K$5:$AJ$120,0,MATCH(AD$2,Inputs!$K$4:$AJ$4,0)))+SUMPRODUCT((Inputs!$E$5:$E$120=$B53)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3" s="513" t="e">
        <f>IF(ISNA(MATCH(AE$2,Inputs!$K$4:$AJ$4,0)),NA(),IF(SUMPRODUCT((Inputs!$A$5:$A$120=$B53)*ISNUMBER(INDEX(Inputs!$K$5:$AJ$120,0,MATCH(AE$2,Inputs!$K$4:$AJ$4,0))))+SUMPRODUCT((Inputs!$C$5:$C$120=$B53)*ISNUMBER(INDEX(Inputs!$K$5:$AJ$120,0,MATCH(AE$2,Inputs!$K$4:$AJ$4,0))))+SUMPRODUCT((Inputs!$E$5:$E$120=$B53)*ISNUMBER(INDEX(Inputs!$K$5:$AJ$120,0,MATCH(AE$2,Inputs!$K$4:$AJ$4,0))))=0,NA(),SUMPRODUCT((Inputs!$A$5:$A$120=$B53)*Inputs!$B$5:$B$120*(((Inputs!$G$5:$G$120="moeda")+(Inputs!$G$5:$G$120="acoes"))*Inputs!$B$1+((Inputs!$G$5:$G$120&lt;&gt;"moeda")*(Inputs!$G$5:$G$120&lt;&gt;"acoes")))*INDEX(Inputs!$K$5:$AJ$120,0,MATCH(AE$2,Inputs!$K$4:$AJ$4,0)))+SUMPRODUCT((Inputs!$C$5:$C$120=$B53)*Inputs!$D$5:$D$120*(((Inputs!$G$5:$G$120="moeda")+(Inputs!$G$5:$G$120="acoes"))*Inputs!$B$1+((Inputs!$G$5:$G$120&lt;&gt;"moeda")*(Inputs!$G$5:$G$120&lt;&gt;"acoes")))*INDEX(Inputs!$K$5:$AJ$120,0,MATCH(AE$2,Inputs!$K$4:$AJ$4,0)))+SUMPRODUCT((Inputs!$E$5:$E$120=$B53)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3" s="513" t="e">
        <f>IF(ISNA(MATCH(AF$2,Inputs!$K$4:$AJ$4,0)),NA(),IF(SUMPRODUCT((Inputs!$A$5:$A$120=$B53)*ISNUMBER(INDEX(Inputs!$K$5:$AJ$120,0,MATCH(AF$2,Inputs!$K$4:$AJ$4,0))))+SUMPRODUCT((Inputs!$C$5:$C$120=$B53)*ISNUMBER(INDEX(Inputs!$K$5:$AJ$120,0,MATCH(AF$2,Inputs!$K$4:$AJ$4,0))))+SUMPRODUCT((Inputs!$E$5:$E$120=$B53)*ISNUMBER(INDEX(Inputs!$K$5:$AJ$120,0,MATCH(AF$2,Inputs!$K$4:$AJ$4,0))))=0,NA(),SUMPRODUCT((Inputs!$A$5:$A$120=$B53)*Inputs!$B$5:$B$120*(((Inputs!$G$5:$G$120="moeda")+(Inputs!$G$5:$G$120="acoes"))*Inputs!$B$1+((Inputs!$G$5:$G$120&lt;&gt;"moeda")*(Inputs!$G$5:$G$120&lt;&gt;"acoes")))*INDEX(Inputs!$K$5:$AJ$120,0,MATCH(AF$2,Inputs!$K$4:$AJ$4,0)))+SUMPRODUCT((Inputs!$C$5:$C$120=$B53)*Inputs!$D$5:$D$120*(((Inputs!$G$5:$G$120="moeda")+(Inputs!$G$5:$G$120="acoes"))*Inputs!$B$1+((Inputs!$G$5:$G$120&lt;&gt;"moeda")*(Inputs!$G$5:$G$120&lt;&gt;"acoes")))*INDEX(Inputs!$K$5:$AJ$120,0,MATCH(AF$2,Inputs!$K$4:$AJ$4,0)))+SUMPRODUCT((Inputs!$E$5:$E$120=$B53)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3" s="514" t="e">
        <f>SUM(AC53:AF53)</f>
        <v>#N/A</v>
      </c>
      <c r="AH53" s="513">
        <f>IF(ISNA(MATCH(AH$2,Inputs!$K$4:$AJ$4,0)),NA(),IF(SUMPRODUCT((Inputs!$A$5:$A$120=$B53)*ISNUMBER(INDEX(Inputs!$K$5:$AJ$120,0,MATCH(AH$2,Inputs!$K$4:$AJ$4,0))))+SUMPRODUCT((Inputs!$C$5:$C$120=$B53)*ISNUMBER(INDEX(Inputs!$K$5:$AJ$120,0,MATCH(AH$2,Inputs!$K$4:$AJ$4,0))))+SUMPRODUCT((Inputs!$E$5:$E$120=$B53)*ISNUMBER(INDEX(Inputs!$K$5:$AJ$120,0,MATCH(AH$2,Inputs!$K$4:$AJ$4,0))))=0,NA(),SUMPRODUCT((Inputs!$A$5:$A$120=$B53)*Inputs!$B$5:$B$120*(((Inputs!$G$5:$G$120="moeda")+(Inputs!$G$5:$G$120="acoes"))*Inputs!$B$1+((Inputs!$G$5:$G$120&lt;&gt;"moeda")*(Inputs!$G$5:$G$120&lt;&gt;"acoes")))*INDEX(Inputs!$K$5:$AJ$120,0,MATCH(AH$2,Inputs!$K$4:$AJ$4,0)))+SUMPRODUCT((Inputs!$C$5:$C$120=$B53)*Inputs!$D$5:$D$120*(((Inputs!$G$5:$G$120="moeda")+(Inputs!$G$5:$G$120="acoes"))*Inputs!$B$1+((Inputs!$G$5:$G$120&lt;&gt;"moeda")*(Inputs!$G$5:$G$120&lt;&gt;"acoes")))*INDEX(Inputs!$K$5:$AJ$120,0,MATCH(AH$2,Inputs!$K$4:$AJ$4,0)))+SUMPRODUCT((Inputs!$E$5:$E$120=$B53)*Inputs!$F$5:$F$120*(((Inputs!$G$5:$G$120="moeda")+(Inputs!$G$5:$G$120="acoes"))*Inputs!$B$1+((Inputs!$G$5:$G$120&lt;&gt;"moeda")*(Inputs!$G$5:$G$120&lt;&gt;"acoes")))*INDEX(Inputs!$K$5:$AJ$120,0,MATCH(AH$2,Inputs!$K$4:$AJ$4,0)))))</f>
        <v>6382</v>
      </c>
      <c r="AI53" s="513">
        <f>IF(ISNA(MATCH(AI$2,Inputs!$K$4:$AJ$4,0)),NA(),IF(SUMPRODUCT((Inputs!$A$5:$A$120=$B53)*ISNUMBER(INDEX(Inputs!$K$5:$AJ$120,0,MATCH(AI$2,Inputs!$K$4:$AJ$4,0))))+SUMPRODUCT((Inputs!$C$5:$C$120=$B53)*ISNUMBER(INDEX(Inputs!$K$5:$AJ$120,0,MATCH(AI$2,Inputs!$K$4:$AJ$4,0))))+SUMPRODUCT((Inputs!$E$5:$E$120=$B53)*ISNUMBER(INDEX(Inputs!$K$5:$AJ$120,0,MATCH(AI$2,Inputs!$K$4:$AJ$4,0))))=0,NA(),SUMPRODUCT((Inputs!$A$5:$A$120=$B53)*Inputs!$B$5:$B$120*(((Inputs!$G$5:$G$120="moeda")+(Inputs!$G$5:$G$120="acoes"))*Inputs!$B$1+((Inputs!$G$5:$G$120&lt;&gt;"moeda")*(Inputs!$G$5:$G$120&lt;&gt;"acoes")))*INDEX(Inputs!$K$5:$AJ$120,0,MATCH(AI$2,Inputs!$K$4:$AJ$4,0)))+SUMPRODUCT((Inputs!$C$5:$C$120=$B53)*Inputs!$D$5:$D$120*(((Inputs!$G$5:$G$120="moeda")+(Inputs!$G$5:$G$120="acoes"))*Inputs!$B$1+((Inputs!$G$5:$G$120&lt;&gt;"moeda")*(Inputs!$G$5:$G$120&lt;&gt;"acoes")))*INDEX(Inputs!$K$5:$AJ$120,0,MATCH(AI$2,Inputs!$K$4:$AJ$4,0)))+SUMPRODUCT((Inputs!$E$5:$E$120=$B53)*Inputs!$F$5:$F$120*(((Inputs!$G$5:$G$120="moeda")+(Inputs!$G$5:$G$120="acoes"))*Inputs!$B$1+((Inputs!$G$5:$G$120&lt;&gt;"moeda")*(Inputs!$G$5:$G$120&lt;&gt;"acoes")))*INDEX(Inputs!$K$5:$AJ$120,0,MATCH(AI$2,Inputs!$K$4:$AJ$4,0)))))</f>
        <v>6925</v>
      </c>
      <c r="AJ53" s="513">
        <f>IF(ISNA(MATCH(AJ$2,Inputs!$K$4:$AJ$4,0)),NA(),IF(SUMPRODUCT((Inputs!$A$5:$A$120=$B53)*ISNUMBER(INDEX(Inputs!$K$5:$AJ$120,0,MATCH(AJ$2,Inputs!$K$4:$AJ$4,0))))+SUMPRODUCT((Inputs!$C$5:$C$120=$B53)*ISNUMBER(INDEX(Inputs!$K$5:$AJ$120,0,MATCH(AJ$2,Inputs!$K$4:$AJ$4,0))))+SUMPRODUCT((Inputs!$E$5:$E$120=$B53)*ISNUMBER(INDEX(Inputs!$K$5:$AJ$120,0,MATCH(AJ$2,Inputs!$K$4:$AJ$4,0))))=0,NA(),SUMPRODUCT((Inputs!$A$5:$A$120=$B53)*Inputs!$B$5:$B$120*(((Inputs!$G$5:$G$120="moeda")+(Inputs!$G$5:$G$120="acoes"))*Inputs!$B$1+((Inputs!$G$5:$G$120&lt;&gt;"moeda")*(Inputs!$G$5:$G$120&lt;&gt;"acoes")))*INDEX(Inputs!$K$5:$AJ$120,0,MATCH(AJ$2,Inputs!$K$4:$AJ$4,0)))+SUMPRODUCT((Inputs!$C$5:$C$120=$B53)*Inputs!$D$5:$D$120*(((Inputs!$G$5:$G$120="moeda")+(Inputs!$G$5:$G$120="acoes"))*Inputs!$B$1+((Inputs!$G$5:$G$120&lt;&gt;"moeda")*(Inputs!$G$5:$G$120&lt;&gt;"acoes")))*INDEX(Inputs!$K$5:$AJ$120,0,MATCH(AJ$2,Inputs!$K$4:$AJ$4,0)))+SUMPRODUCT((Inputs!$E$5:$E$120=$B53)*Inputs!$F$5:$F$120*(((Inputs!$G$5:$G$120="moeda")+(Inputs!$G$5:$G$120="acoes"))*Inputs!$B$1+((Inputs!$G$5:$G$120&lt;&gt;"moeda")*(Inputs!$G$5:$G$120&lt;&gt;"acoes")))*INDEX(Inputs!$K$5:$AJ$120,0,MATCH(AJ$2,Inputs!$K$4:$AJ$4,0)))))</f>
        <v>7290</v>
      </c>
      <c r="AK53" s="513">
        <f>IF(ISNA(MATCH(AK$2,Inputs!$K$4:$AJ$4,0)),NA(),IF(SUMPRODUCT((Inputs!$A$5:$A$120=$B53)*ISNUMBER(INDEX(Inputs!$K$5:$AJ$120,0,MATCH(AK$2,Inputs!$K$4:$AJ$4,0))))+SUMPRODUCT((Inputs!$C$5:$C$120=$B53)*ISNUMBER(INDEX(Inputs!$K$5:$AJ$120,0,MATCH(AK$2,Inputs!$K$4:$AJ$4,0))))+SUMPRODUCT((Inputs!$E$5:$E$120=$B53)*ISNUMBER(INDEX(Inputs!$K$5:$AJ$120,0,MATCH(AK$2,Inputs!$K$4:$AJ$4,0))))=0,NA(),SUMPRODUCT((Inputs!$A$5:$A$120=$B53)*Inputs!$B$5:$B$120*(((Inputs!$G$5:$G$120="moeda")+(Inputs!$G$5:$G$120="acoes"))*Inputs!$B$1+((Inputs!$G$5:$G$120&lt;&gt;"moeda")*(Inputs!$G$5:$G$120&lt;&gt;"acoes")))*INDEX(Inputs!$K$5:$AJ$120,0,MATCH(AK$2,Inputs!$K$4:$AJ$4,0)))+SUMPRODUCT((Inputs!$C$5:$C$120=$B53)*Inputs!$D$5:$D$120*(((Inputs!$G$5:$G$120="moeda")+(Inputs!$G$5:$G$120="acoes"))*Inputs!$B$1+((Inputs!$G$5:$G$120&lt;&gt;"moeda")*(Inputs!$G$5:$G$120&lt;&gt;"acoes")))*INDEX(Inputs!$K$5:$AJ$120,0,MATCH(AK$2,Inputs!$K$4:$AJ$4,0)))+SUMPRODUCT((Inputs!$E$5:$E$120=$B53)*Inputs!$F$5:$F$120*(((Inputs!$G$5:$G$120="moeda")+(Inputs!$G$5:$G$120="acoes"))*Inputs!$B$1+((Inputs!$G$5:$G$120&lt;&gt;"moeda")*(Inputs!$G$5:$G$120&lt;&gt;"acoes")))*INDEX(Inputs!$K$5:$AJ$120,0,MATCH(AK$2,Inputs!$K$4:$AJ$4,0)))))</f>
        <v>9416</v>
      </c>
      <c r="AL53" s="514">
        <f>SUM(AH53:AK53)</f>
        <v>30013</v>
      </c>
    </row>
    <row r="54">
      <c r="B54" s="265" t="n">
        <v>46</v>
      </c>
      <c r="C54" s="266" t="inlineStr">
        <is>
          <t>Agribusiness - lucro do segmento (USD)</t>
        </is>
      </c>
      <c r="D54" s="513">
        <f>IF(ISNA(MATCH(D$2,Inputs!$K$4:$AJ$4,0)),NA(),IF(SUMPRODUCT((Inputs!$A$5:$A$120=$B54)*ISNUMBER(INDEX(Inputs!$K$5:$AJ$120,0,MATCH(D$2,Inputs!$K$4:$AJ$4,0))))+SUMPRODUCT((Inputs!$C$5:$C$120=$B54)*ISNUMBER(INDEX(Inputs!$K$5:$AJ$120,0,MATCH(D$2,Inputs!$K$4:$AJ$4,0))))+SUMPRODUCT((Inputs!$E$5:$E$120=$B54)*ISNUMBER(INDEX(Inputs!$K$5:$AJ$120,0,MATCH(D$2,Inputs!$K$4:$AJ$4,0))))=0,NA(),SUMPRODUCT((Inputs!$A$5:$A$120=$B54)*Inputs!$B$5:$B$120*(((Inputs!$G$5:$G$120="moeda")+(Inputs!$G$5:$G$120="acoes"))*Inputs!$B$1+((Inputs!$G$5:$G$120&lt;&gt;"moeda")*(Inputs!$G$5:$G$120&lt;&gt;"acoes")))*INDEX(Inputs!$K$5:$AJ$120,0,MATCH(D$2,Inputs!$K$4:$AJ$4,0)))+SUMPRODUCT((Inputs!$C$5:$C$120=$B54)*Inputs!$D$5:$D$120*(((Inputs!$G$5:$G$120="moeda")+(Inputs!$G$5:$G$120="acoes"))*Inputs!$B$1+((Inputs!$G$5:$G$120&lt;&gt;"moeda")*(Inputs!$G$5:$G$120&lt;&gt;"acoes")))*INDEX(Inputs!$K$5:$AJ$120,0,MATCH(D$2,Inputs!$K$4:$AJ$4,0)))+SUMPRODUCT((Inputs!$E$5:$E$120=$B54)*Inputs!$F$5:$F$120*(((Inputs!$G$5:$G$120="moeda")+(Inputs!$G$5:$G$120="acoes"))*Inputs!$B$1+((Inputs!$G$5:$G$120&lt;&gt;"moeda")*(Inputs!$G$5:$G$120&lt;&gt;"acoes")))*INDEX(Inputs!$K$5:$AJ$120,0,MATCH(D$2,Inputs!$K$4:$AJ$4,0)))))</f>
        <v>886</v>
      </c>
      <c r="E54" s="513">
        <f>IF(ISNA(MATCH(E$2,Inputs!$K$4:$AJ$4,0)),NA(),IF(SUMPRODUCT((Inputs!$A$5:$A$120=$B54)*ISNUMBER(INDEX(Inputs!$K$5:$AJ$120,0,MATCH(E$2,Inputs!$K$4:$AJ$4,0))))+SUMPRODUCT((Inputs!$C$5:$C$120=$B54)*ISNUMBER(INDEX(Inputs!$K$5:$AJ$120,0,MATCH(E$2,Inputs!$K$4:$AJ$4,0))))+SUMPRODUCT((Inputs!$E$5:$E$120=$B54)*ISNUMBER(INDEX(Inputs!$K$5:$AJ$120,0,MATCH(E$2,Inputs!$K$4:$AJ$4,0))))=0,NA(),SUMPRODUCT((Inputs!$A$5:$A$120=$B54)*Inputs!$B$5:$B$120*(((Inputs!$G$5:$G$120="moeda")+(Inputs!$G$5:$G$120="acoes"))*Inputs!$B$1+((Inputs!$G$5:$G$120&lt;&gt;"moeda")*(Inputs!$G$5:$G$120&lt;&gt;"acoes")))*INDEX(Inputs!$K$5:$AJ$120,0,MATCH(E$2,Inputs!$K$4:$AJ$4,0)))+SUMPRODUCT((Inputs!$C$5:$C$120=$B54)*Inputs!$D$5:$D$120*(((Inputs!$G$5:$G$120="moeda")+(Inputs!$G$5:$G$120="acoes"))*Inputs!$B$1+((Inputs!$G$5:$G$120&lt;&gt;"moeda")*(Inputs!$G$5:$G$120&lt;&gt;"acoes")))*INDEX(Inputs!$K$5:$AJ$120,0,MATCH(E$2,Inputs!$K$4:$AJ$4,0)))+SUMPRODUCT((Inputs!$E$5:$E$120=$B54)*Inputs!$F$5:$F$120*(((Inputs!$G$5:$G$120="moeda")+(Inputs!$G$5:$G$120="acoes"))*Inputs!$B$1+((Inputs!$G$5:$G$120&lt;&gt;"moeda")*(Inputs!$G$5:$G$120&lt;&gt;"acoes")))*INDEX(Inputs!$K$5:$AJ$120,0,MATCH(E$2,Inputs!$K$4:$AJ$4,0)))))</f>
        <v>410</v>
      </c>
      <c r="F54" s="513">
        <f>IF(ISNA(MATCH(F$2,Inputs!$K$4:$AJ$4,0)),NA(),IF(SUMPRODUCT((Inputs!$A$5:$A$120=$B54)*ISNUMBER(INDEX(Inputs!$K$5:$AJ$120,0,MATCH(F$2,Inputs!$K$4:$AJ$4,0))))+SUMPRODUCT((Inputs!$C$5:$C$120=$B54)*ISNUMBER(INDEX(Inputs!$K$5:$AJ$120,0,MATCH(F$2,Inputs!$K$4:$AJ$4,0))))+SUMPRODUCT((Inputs!$E$5:$E$120=$B54)*ISNUMBER(INDEX(Inputs!$K$5:$AJ$120,0,MATCH(F$2,Inputs!$K$4:$AJ$4,0))))=0,NA(),SUMPRODUCT((Inputs!$A$5:$A$120=$B54)*Inputs!$B$5:$B$120*(((Inputs!$G$5:$G$120="moeda")+(Inputs!$G$5:$G$120="acoes"))*Inputs!$B$1+((Inputs!$G$5:$G$120&lt;&gt;"moeda")*(Inputs!$G$5:$G$120&lt;&gt;"acoes")))*INDEX(Inputs!$K$5:$AJ$120,0,MATCH(F$2,Inputs!$K$4:$AJ$4,0)))+SUMPRODUCT((Inputs!$C$5:$C$120=$B54)*Inputs!$D$5:$D$120*(((Inputs!$G$5:$G$120="moeda")+(Inputs!$G$5:$G$120="acoes"))*Inputs!$B$1+((Inputs!$G$5:$G$120&lt;&gt;"moeda")*(Inputs!$G$5:$G$120&lt;&gt;"acoes")))*INDEX(Inputs!$K$5:$AJ$120,0,MATCH(F$2,Inputs!$K$4:$AJ$4,0)))+SUMPRODUCT((Inputs!$E$5:$E$120=$B54)*Inputs!$F$5:$F$120*(((Inputs!$G$5:$G$120="moeda")+(Inputs!$G$5:$G$120="acoes"))*Inputs!$B$1+((Inputs!$G$5:$G$120&lt;&gt;"moeda")*(Inputs!$G$5:$G$120&lt;&gt;"acoes")))*INDEX(Inputs!$K$5:$AJ$120,0,MATCH(F$2,Inputs!$K$4:$AJ$4,0)))))</f>
        <v>591</v>
      </c>
      <c r="G54" s="513" t="e">
        <f>IF(ISNA(MATCH(G$2,Inputs!$K$4:$AJ$4,0)),NA(),IF(SUMPRODUCT((Inputs!$A$5:$A$120=$B54)*ISNUMBER(INDEX(Inputs!$K$5:$AJ$120,0,MATCH(G$2,Inputs!$K$4:$AJ$4,0))))+SUMPRODUCT((Inputs!$C$5:$C$120=$B54)*ISNUMBER(INDEX(Inputs!$K$5:$AJ$120,0,MATCH(G$2,Inputs!$K$4:$AJ$4,0))))+SUMPRODUCT((Inputs!$E$5:$E$120=$B54)*ISNUMBER(INDEX(Inputs!$K$5:$AJ$120,0,MATCH(G$2,Inputs!$K$4:$AJ$4,0))))=0,NA(),SUMPRODUCT((Inputs!$A$5:$A$120=$B54)*Inputs!$B$5:$B$120*(((Inputs!$G$5:$G$120="moeda")+(Inputs!$G$5:$G$120="acoes"))*Inputs!$B$1+((Inputs!$G$5:$G$120&lt;&gt;"moeda")*(Inputs!$G$5:$G$120&lt;&gt;"acoes")))*INDEX(Inputs!$K$5:$AJ$120,0,MATCH(G$2,Inputs!$K$4:$AJ$4,0)))+SUMPRODUCT((Inputs!$C$5:$C$120=$B54)*Inputs!$D$5:$D$120*(((Inputs!$G$5:$G$120="moeda")+(Inputs!$G$5:$G$120="acoes"))*Inputs!$B$1+((Inputs!$G$5:$G$120&lt;&gt;"moeda")*(Inputs!$G$5:$G$120&lt;&gt;"acoes")))*INDEX(Inputs!$K$5:$AJ$120,0,MATCH(G$2,Inputs!$K$4:$AJ$4,0)))+SUMPRODUCT((Inputs!$E$5:$E$120=$B54)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4" s="514" t="e">
        <f>SUM(D54:G54)</f>
        <v>#N/A</v>
      </c>
      <c r="I54" s="513">
        <f>IF(ISNA(MATCH(I$2,Inputs!$K$4:$AJ$4,0)),NA(),IF(SUMPRODUCT((Inputs!$A$5:$A$120=$B54)*ISNUMBER(INDEX(Inputs!$K$5:$AJ$120,0,MATCH(I$2,Inputs!$K$4:$AJ$4,0))))+SUMPRODUCT((Inputs!$C$5:$C$120=$B54)*ISNUMBER(INDEX(Inputs!$K$5:$AJ$120,0,MATCH(I$2,Inputs!$K$4:$AJ$4,0))))+SUMPRODUCT((Inputs!$E$5:$E$120=$B54)*ISNUMBER(INDEX(Inputs!$K$5:$AJ$120,0,MATCH(I$2,Inputs!$K$4:$AJ$4,0))))=0,NA(),SUMPRODUCT((Inputs!$A$5:$A$120=$B54)*Inputs!$B$5:$B$120*(((Inputs!$G$5:$G$120="moeda")+(Inputs!$G$5:$G$120="acoes"))*Inputs!$B$1+((Inputs!$G$5:$G$120&lt;&gt;"moeda")*(Inputs!$G$5:$G$120&lt;&gt;"acoes")))*INDEX(Inputs!$K$5:$AJ$120,0,MATCH(I$2,Inputs!$K$4:$AJ$4,0)))+SUMPRODUCT((Inputs!$C$5:$C$120=$B54)*Inputs!$D$5:$D$120*(((Inputs!$G$5:$G$120="moeda")+(Inputs!$G$5:$G$120="acoes"))*Inputs!$B$1+((Inputs!$G$5:$G$120&lt;&gt;"moeda")*(Inputs!$G$5:$G$120&lt;&gt;"acoes")))*INDEX(Inputs!$K$5:$AJ$120,0,MATCH(I$2,Inputs!$K$4:$AJ$4,0)))+SUMPRODUCT((Inputs!$E$5:$E$120=$B54)*Inputs!$F$5:$F$120*(((Inputs!$G$5:$G$120="moeda")+(Inputs!$G$5:$G$120="acoes"))*Inputs!$B$1+((Inputs!$G$5:$G$120&lt;&gt;"moeda")*(Inputs!$G$5:$G$120&lt;&gt;"acoes")))*INDEX(Inputs!$K$5:$AJ$120,0,MATCH(I$2,Inputs!$K$4:$AJ$4,0)))))</f>
        <v>864</v>
      </c>
      <c r="J54" s="513">
        <f>IF(ISNA(MATCH(J$2,Inputs!$K$4:$AJ$4,0)),NA(),IF(SUMPRODUCT((Inputs!$A$5:$A$120=$B54)*ISNUMBER(INDEX(Inputs!$K$5:$AJ$120,0,MATCH(J$2,Inputs!$K$4:$AJ$4,0))))+SUMPRODUCT((Inputs!$C$5:$C$120=$B54)*ISNUMBER(INDEX(Inputs!$K$5:$AJ$120,0,MATCH(J$2,Inputs!$K$4:$AJ$4,0))))+SUMPRODUCT((Inputs!$E$5:$E$120=$B54)*ISNUMBER(INDEX(Inputs!$K$5:$AJ$120,0,MATCH(J$2,Inputs!$K$4:$AJ$4,0))))=0,NA(),SUMPRODUCT((Inputs!$A$5:$A$120=$B54)*Inputs!$B$5:$B$120*(((Inputs!$G$5:$G$120="moeda")+(Inputs!$G$5:$G$120="acoes"))*Inputs!$B$1+((Inputs!$G$5:$G$120&lt;&gt;"moeda")*(Inputs!$G$5:$G$120&lt;&gt;"acoes")))*INDEX(Inputs!$K$5:$AJ$120,0,MATCH(J$2,Inputs!$K$4:$AJ$4,0)))+SUMPRODUCT((Inputs!$C$5:$C$120=$B54)*Inputs!$D$5:$D$120*(((Inputs!$G$5:$G$120="moeda")+(Inputs!$G$5:$G$120="acoes"))*Inputs!$B$1+((Inputs!$G$5:$G$120&lt;&gt;"moeda")*(Inputs!$G$5:$G$120&lt;&gt;"acoes")))*INDEX(Inputs!$K$5:$AJ$120,0,MATCH(J$2,Inputs!$K$4:$AJ$4,0)))+SUMPRODUCT((Inputs!$E$5:$E$120=$B54)*Inputs!$F$5:$F$120*(((Inputs!$G$5:$G$120="moeda")+(Inputs!$G$5:$G$120="acoes"))*Inputs!$B$1+((Inputs!$G$5:$G$120&lt;&gt;"moeda")*(Inputs!$G$5:$G$120&lt;&gt;"acoes")))*INDEX(Inputs!$K$5:$AJ$120,0,MATCH(J$2,Inputs!$K$4:$AJ$4,0)))))</f>
        <v>316</v>
      </c>
      <c r="K54" s="513">
        <f>IF(ISNA(MATCH(K$2,Inputs!$K$4:$AJ$4,0)),NA(),IF(SUMPRODUCT((Inputs!$A$5:$A$120=$B54)*ISNUMBER(INDEX(Inputs!$K$5:$AJ$120,0,MATCH(K$2,Inputs!$K$4:$AJ$4,0))))+SUMPRODUCT((Inputs!$C$5:$C$120=$B54)*ISNUMBER(INDEX(Inputs!$K$5:$AJ$120,0,MATCH(K$2,Inputs!$K$4:$AJ$4,0))))+SUMPRODUCT((Inputs!$E$5:$E$120=$B54)*ISNUMBER(INDEX(Inputs!$K$5:$AJ$120,0,MATCH(K$2,Inputs!$K$4:$AJ$4,0))))=0,NA(),SUMPRODUCT((Inputs!$A$5:$A$120=$B54)*Inputs!$B$5:$B$120*(((Inputs!$G$5:$G$120="moeda")+(Inputs!$G$5:$G$120="acoes"))*Inputs!$B$1+((Inputs!$G$5:$G$120&lt;&gt;"moeda")*(Inputs!$G$5:$G$120&lt;&gt;"acoes")))*INDEX(Inputs!$K$5:$AJ$120,0,MATCH(K$2,Inputs!$K$4:$AJ$4,0)))+SUMPRODUCT((Inputs!$C$5:$C$120=$B54)*Inputs!$D$5:$D$120*(((Inputs!$G$5:$G$120="moeda")+(Inputs!$G$5:$G$120="acoes"))*Inputs!$B$1+((Inputs!$G$5:$G$120&lt;&gt;"moeda")*(Inputs!$G$5:$G$120&lt;&gt;"acoes")))*INDEX(Inputs!$K$5:$AJ$120,0,MATCH(K$2,Inputs!$K$4:$AJ$4,0)))+SUMPRODUCT((Inputs!$E$5:$E$120=$B54)*Inputs!$F$5:$F$120*(((Inputs!$G$5:$G$120="moeda")+(Inputs!$G$5:$G$120="acoes"))*Inputs!$B$1+((Inputs!$G$5:$G$120&lt;&gt;"moeda")*(Inputs!$G$5:$G$120&lt;&gt;"acoes")))*INDEX(Inputs!$K$5:$AJ$120,0,MATCH(K$2,Inputs!$K$4:$AJ$4,0)))))</f>
        <v>632</v>
      </c>
      <c r="L54" s="513" t="e">
        <f>IF(ISNA(MATCH(L$2,Inputs!$K$4:$AJ$4,0)),NA(),IF(SUMPRODUCT((Inputs!$A$5:$A$120=$B54)*ISNUMBER(INDEX(Inputs!$K$5:$AJ$120,0,MATCH(L$2,Inputs!$K$4:$AJ$4,0))))+SUMPRODUCT((Inputs!$C$5:$C$120=$B54)*ISNUMBER(INDEX(Inputs!$K$5:$AJ$120,0,MATCH(L$2,Inputs!$K$4:$AJ$4,0))))+SUMPRODUCT((Inputs!$E$5:$E$120=$B54)*ISNUMBER(INDEX(Inputs!$K$5:$AJ$120,0,MATCH(L$2,Inputs!$K$4:$AJ$4,0))))=0,NA(),SUMPRODUCT((Inputs!$A$5:$A$120=$B54)*Inputs!$B$5:$B$120*(((Inputs!$G$5:$G$120="moeda")+(Inputs!$G$5:$G$120="acoes"))*Inputs!$B$1+((Inputs!$G$5:$G$120&lt;&gt;"moeda")*(Inputs!$G$5:$G$120&lt;&gt;"acoes")))*INDEX(Inputs!$K$5:$AJ$120,0,MATCH(L$2,Inputs!$K$4:$AJ$4,0)))+SUMPRODUCT((Inputs!$C$5:$C$120=$B54)*Inputs!$D$5:$D$120*(((Inputs!$G$5:$G$120="moeda")+(Inputs!$G$5:$G$120="acoes"))*Inputs!$B$1+((Inputs!$G$5:$G$120&lt;&gt;"moeda")*(Inputs!$G$5:$G$120&lt;&gt;"acoes")))*INDEX(Inputs!$K$5:$AJ$120,0,MATCH(L$2,Inputs!$K$4:$AJ$4,0)))+SUMPRODUCT((Inputs!$E$5:$E$120=$B54)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4" s="514" t="e">
        <f>SUM(I54:L54)</f>
        <v>#N/A</v>
      </c>
      <c r="N54" s="513">
        <f>IF(ISNA(MATCH(N$2,Inputs!$K$4:$AJ$4,0)),NA(),IF(SUMPRODUCT((Inputs!$A$5:$A$120=$B54)*ISNUMBER(INDEX(Inputs!$K$5:$AJ$120,0,MATCH(N$2,Inputs!$K$4:$AJ$4,0))))+SUMPRODUCT((Inputs!$C$5:$C$120=$B54)*ISNUMBER(INDEX(Inputs!$K$5:$AJ$120,0,MATCH(N$2,Inputs!$K$4:$AJ$4,0))))+SUMPRODUCT((Inputs!$E$5:$E$120=$B54)*ISNUMBER(INDEX(Inputs!$K$5:$AJ$120,0,MATCH(N$2,Inputs!$K$4:$AJ$4,0))))=0,NA(),SUMPRODUCT((Inputs!$A$5:$A$120=$B54)*Inputs!$B$5:$B$120*(((Inputs!$G$5:$G$120="moeda")+(Inputs!$G$5:$G$120="acoes"))*Inputs!$B$1+((Inputs!$G$5:$G$120&lt;&gt;"moeda")*(Inputs!$G$5:$G$120&lt;&gt;"acoes")))*INDEX(Inputs!$K$5:$AJ$120,0,MATCH(N$2,Inputs!$K$4:$AJ$4,0)))+SUMPRODUCT((Inputs!$C$5:$C$120=$B54)*Inputs!$D$5:$D$120*(((Inputs!$G$5:$G$120="moeda")+(Inputs!$G$5:$G$120="acoes"))*Inputs!$B$1+((Inputs!$G$5:$G$120&lt;&gt;"moeda")*(Inputs!$G$5:$G$120&lt;&gt;"acoes")))*INDEX(Inputs!$K$5:$AJ$120,0,MATCH(N$2,Inputs!$K$4:$AJ$4,0)))+SUMPRODUCT((Inputs!$E$5:$E$120=$B54)*Inputs!$F$5:$F$120*(((Inputs!$G$5:$G$120="moeda")+(Inputs!$G$5:$G$120="acoes"))*Inputs!$B$1+((Inputs!$G$5:$G$120&lt;&gt;"moeda")*(Inputs!$G$5:$G$120&lt;&gt;"acoes")))*INDEX(Inputs!$K$5:$AJ$120,0,MATCH(N$2,Inputs!$K$4:$AJ$4,0)))))</f>
        <v>808</v>
      </c>
      <c r="O54" s="513">
        <f>IF(ISNA(MATCH(O$2,Inputs!$K$4:$AJ$4,0)),NA(),IF(SUMPRODUCT((Inputs!$A$5:$A$120=$B54)*ISNUMBER(INDEX(Inputs!$K$5:$AJ$120,0,MATCH(O$2,Inputs!$K$4:$AJ$4,0))))+SUMPRODUCT((Inputs!$C$5:$C$120=$B54)*ISNUMBER(INDEX(Inputs!$K$5:$AJ$120,0,MATCH(O$2,Inputs!$K$4:$AJ$4,0))))+SUMPRODUCT((Inputs!$E$5:$E$120=$B54)*ISNUMBER(INDEX(Inputs!$K$5:$AJ$120,0,MATCH(O$2,Inputs!$K$4:$AJ$4,0))))=0,NA(),SUMPRODUCT((Inputs!$A$5:$A$120=$B54)*Inputs!$B$5:$B$120*(((Inputs!$G$5:$G$120="moeda")+(Inputs!$G$5:$G$120="acoes"))*Inputs!$B$1+((Inputs!$G$5:$G$120&lt;&gt;"moeda")*(Inputs!$G$5:$G$120&lt;&gt;"acoes")))*INDEX(Inputs!$K$5:$AJ$120,0,MATCH(O$2,Inputs!$K$4:$AJ$4,0)))+SUMPRODUCT((Inputs!$C$5:$C$120=$B54)*Inputs!$D$5:$D$120*(((Inputs!$G$5:$G$120="moeda")+(Inputs!$G$5:$G$120="acoes"))*Inputs!$B$1+((Inputs!$G$5:$G$120&lt;&gt;"moeda")*(Inputs!$G$5:$G$120&lt;&gt;"acoes")))*INDEX(Inputs!$K$5:$AJ$120,0,MATCH(O$2,Inputs!$K$4:$AJ$4,0)))+SUMPRODUCT((Inputs!$E$5:$E$120=$B54)*Inputs!$F$5:$F$120*(((Inputs!$G$5:$G$120="moeda")+(Inputs!$G$5:$G$120="acoes"))*Inputs!$B$1+((Inputs!$G$5:$G$120&lt;&gt;"moeda")*(Inputs!$G$5:$G$120&lt;&gt;"acoes")))*INDEX(Inputs!$K$5:$AJ$120,0,MATCH(O$2,Inputs!$K$4:$AJ$4,0)))))</f>
        <v>997</v>
      </c>
      <c r="P54" s="513">
        <f>IF(ISNA(MATCH(P$2,Inputs!$K$4:$AJ$4,0)),NA(),IF(SUMPRODUCT((Inputs!$A$5:$A$120=$B54)*ISNUMBER(INDEX(Inputs!$K$5:$AJ$120,0,MATCH(P$2,Inputs!$K$4:$AJ$4,0))))+SUMPRODUCT((Inputs!$C$5:$C$120=$B54)*ISNUMBER(INDEX(Inputs!$K$5:$AJ$120,0,MATCH(P$2,Inputs!$K$4:$AJ$4,0))))+SUMPRODUCT((Inputs!$E$5:$E$120=$B54)*ISNUMBER(INDEX(Inputs!$K$5:$AJ$120,0,MATCH(P$2,Inputs!$K$4:$AJ$4,0))))=0,NA(),SUMPRODUCT((Inputs!$A$5:$A$120=$B54)*Inputs!$B$5:$B$120*(((Inputs!$G$5:$G$120="moeda")+(Inputs!$G$5:$G$120="acoes"))*Inputs!$B$1+((Inputs!$G$5:$G$120&lt;&gt;"moeda")*(Inputs!$G$5:$G$120&lt;&gt;"acoes")))*INDEX(Inputs!$K$5:$AJ$120,0,MATCH(P$2,Inputs!$K$4:$AJ$4,0)))+SUMPRODUCT((Inputs!$C$5:$C$120=$B54)*Inputs!$D$5:$D$120*(((Inputs!$G$5:$G$120="moeda")+(Inputs!$G$5:$G$120="acoes"))*Inputs!$B$1+((Inputs!$G$5:$G$120&lt;&gt;"moeda")*(Inputs!$G$5:$G$120&lt;&gt;"acoes")))*INDEX(Inputs!$K$5:$AJ$120,0,MATCH(P$2,Inputs!$K$4:$AJ$4,0)))+SUMPRODUCT((Inputs!$E$5:$E$120=$B54)*Inputs!$F$5:$F$120*(((Inputs!$G$5:$G$120="moeda")+(Inputs!$G$5:$G$120="acoes"))*Inputs!$B$1+((Inputs!$G$5:$G$120&lt;&gt;"moeda")*(Inputs!$G$5:$G$120&lt;&gt;"acoes")))*INDEX(Inputs!$K$5:$AJ$120,0,MATCH(P$2,Inputs!$K$4:$AJ$4,0)))))</f>
        <v>645</v>
      </c>
      <c r="Q54" s="513" t="e">
        <f>IF(ISNA(MATCH(Q$2,Inputs!$K$4:$AJ$4,0)),NA(),IF(SUMPRODUCT((Inputs!$A$5:$A$120=$B54)*ISNUMBER(INDEX(Inputs!$K$5:$AJ$120,0,MATCH(Q$2,Inputs!$K$4:$AJ$4,0))))+SUMPRODUCT((Inputs!$C$5:$C$120=$B54)*ISNUMBER(INDEX(Inputs!$K$5:$AJ$120,0,MATCH(Q$2,Inputs!$K$4:$AJ$4,0))))+SUMPRODUCT((Inputs!$E$5:$E$120=$B54)*ISNUMBER(INDEX(Inputs!$K$5:$AJ$120,0,MATCH(Q$2,Inputs!$K$4:$AJ$4,0))))=0,NA(),SUMPRODUCT((Inputs!$A$5:$A$120=$B54)*Inputs!$B$5:$B$120*(((Inputs!$G$5:$G$120="moeda")+(Inputs!$G$5:$G$120="acoes"))*Inputs!$B$1+((Inputs!$G$5:$G$120&lt;&gt;"moeda")*(Inputs!$G$5:$G$120&lt;&gt;"acoes")))*INDEX(Inputs!$K$5:$AJ$120,0,MATCH(Q$2,Inputs!$K$4:$AJ$4,0)))+SUMPRODUCT((Inputs!$C$5:$C$120=$B54)*Inputs!$D$5:$D$120*(((Inputs!$G$5:$G$120="moeda")+(Inputs!$G$5:$G$120="acoes"))*Inputs!$B$1+((Inputs!$G$5:$G$120&lt;&gt;"moeda")*(Inputs!$G$5:$G$120&lt;&gt;"acoes")))*INDEX(Inputs!$K$5:$AJ$120,0,MATCH(Q$2,Inputs!$K$4:$AJ$4,0)))+SUMPRODUCT((Inputs!$E$5:$E$120=$B54)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4" s="514" t="e">
        <f>SUM(N54:Q54)</f>
        <v>#N/A</v>
      </c>
      <c r="S54" s="513">
        <f>IF(ISNA(MATCH(S$2,Inputs!$K$4:$AJ$4,0)),NA(),IF(SUMPRODUCT((Inputs!$A$5:$A$120=$B54)*ISNUMBER(INDEX(Inputs!$K$5:$AJ$120,0,MATCH(S$2,Inputs!$K$4:$AJ$4,0))))+SUMPRODUCT((Inputs!$C$5:$C$120=$B54)*ISNUMBER(INDEX(Inputs!$K$5:$AJ$120,0,MATCH(S$2,Inputs!$K$4:$AJ$4,0))))+SUMPRODUCT((Inputs!$E$5:$E$120=$B54)*ISNUMBER(INDEX(Inputs!$K$5:$AJ$120,0,MATCH(S$2,Inputs!$K$4:$AJ$4,0))))=0,NA(),SUMPRODUCT((Inputs!$A$5:$A$120=$B54)*Inputs!$B$5:$B$120*(((Inputs!$G$5:$G$120="moeda")+(Inputs!$G$5:$G$120="acoes"))*Inputs!$B$1+((Inputs!$G$5:$G$120&lt;&gt;"moeda")*(Inputs!$G$5:$G$120&lt;&gt;"acoes")))*INDEX(Inputs!$K$5:$AJ$120,0,MATCH(S$2,Inputs!$K$4:$AJ$4,0)))+SUMPRODUCT((Inputs!$C$5:$C$120=$B54)*Inputs!$D$5:$D$120*(((Inputs!$G$5:$G$120="moeda")+(Inputs!$G$5:$G$120="acoes"))*Inputs!$B$1+((Inputs!$G$5:$G$120&lt;&gt;"moeda")*(Inputs!$G$5:$G$120&lt;&gt;"acoes")))*INDEX(Inputs!$K$5:$AJ$120,0,MATCH(S$2,Inputs!$K$4:$AJ$4,0)))+SUMPRODUCT((Inputs!$E$5:$E$120=$B54)*Inputs!$F$5:$F$120*(((Inputs!$G$5:$G$120="moeda")+(Inputs!$G$5:$G$120="acoes"))*Inputs!$B$1+((Inputs!$G$5:$G$120&lt;&gt;"moeda")*(Inputs!$G$5:$G$120&lt;&gt;"acoes")))*INDEX(Inputs!$K$5:$AJ$120,0,MATCH(S$2,Inputs!$K$4:$AJ$4,0)))))</f>
        <v>454</v>
      </c>
      <c r="T54" s="513">
        <f>IF(ISNA(MATCH(T$2,Inputs!$K$4:$AJ$4,0)),NA(),IF(SUMPRODUCT((Inputs!$A$5:$A$120=$B54)*ISNUMBER(INDEX(Inputs!$K$5:$AJ$120,0,MATCH(T$2,Inputs!$K$4:$AJ$4,0))))+SUMPRODUCT((Inputs!$C$5:$C$120=$B54)*ISNUMBER(INDEX(Inputs!$K$5:$AJ$120,0,MATCH(T$2,Inputs!$K$4:$AJ$4,0))))+SUMPRODUCT((Inputs!$E$5:$E$120=$B54)*ISNUMBER(INDEX(Inputs!$K$5:$AJ$120,0,MATCH(T$2,Inputs!$K$4:$AJ$4,0))))=0,NA(),SUMPRODUCT((Inputs!$A$5:$A$120=$B54)*Inputs!$B$5:$B$120*(((Inputs!$G$5:$G$120="moeda")+(Inputs!$G$5:$G$120="acoes"))*Inputs!$B$1+((Inputs!$G$5:$G$120&lt;&gt;"moeda")*(Inputs!$G$5:$G$120&lt;&gt;"acoes")))*INDEX(Inputs!$K$5:$AJ$120,0,MATCH(T$2,Inputs!$K$4:$AJ$4,0)))+SUMPRODUCT((Inputs!$C$5:$C$120=$B54)*Inputs!$D$5:$D$120*(((Inputs!$G$5:$G$120="moeda")+(Inputs!$G$5:$G$120="acoes"))*Inputs!$B$1+((Inputs!$G$5:$G$120&lt;&gt;"moeda")*(Inputs!$G$5:$G$120&lt;&gt;"acoes")))*INDEX(Inputs!$K$5:$AJ$120,0,MATCH(T$2,Inputs!$K$4:$AJ$4,0)))+SUMPRODUCT((Inputs!$E$5:$E$120=$B54)*Inputs!$F$5:$F$120*(((Inputs!$G$5:$G$120="moeda")+(Inputs!$G$5:$G$120="acoes"))*Inputs!$B$1+((Inputs!$G$5:$G$120&lt;&gt;"moeda")*(Inputs!$G$5:$G$120&lt;&gt;"acoes")))*INDEX(Inputs!$K$5:$AJ$120,0,MATCH(T$2,Inputs!$K$4:$AJ$4,0)))))</f>
        <v>289</v>
      </c>
      <c r="U54" s="513">
        <f>IF(ISNA(MATCH(U$2,Inputs!$K$4:$AJ$4,0)),NA(),IF(SUMPRODUCT((Inputs!$A$5:$A$120=$B54)*ISNUMBER(INDEX(Inputs!$K$5:$AJ$120,0,MATCH(U$2,Inputs!$K$4:$AJ$4,0))))+SUMPRODUCT((Inputs!$C$5:$C$120=$B54)*ISNUMBER(INDEX(Inputs!$K$5:$AJ$120,0,MATCH(U$2,Inputs!$K$4:$AJ$4,0))))+SUMPRODUCT((Inputs!$E$5:$E$120=$B54)*ISNUMBER(INDEX(Inputs!$K$5:$AJ$120,0,MATCH(U$2,Inputs!$K$4:$AJ$4,0))))=0,NA(),SUMPRODUCT((Inputs!$A$5:$A$120=$B54)*Inputs!$B$5:$B$120*(((Inputs!$G$5:$G$120="moeda")+(Inputs!$G$5:$G$120="acoes"))*Inputs!$B$1+((Inputs!$G$5:$G$120&lt;&gt;"moeda")*(Inputs!$G$5:$G$120&lt;&gt;"acoes")))*INDEX(Inputs!$K$5:$AJ$120,0,MATCH(U$2,Inputs!$K$4:$AJ$4,0)))+SUMPRODUCT((Inputs!$C$5:$C$120=$B54)*Inputs!$D$5:$D$120*(((Inputs!$G$5:$G$120="moeda")+(Inputs!$G$5:$G$120="acoes"))*Inputs!$B$1+((Inputs!$G$5:$G$120&lt;&gt;"moeda")*(Inputs!$G$5:$G$120&lt;&gt;"acoes")))*INDEX(Inputs!$K$5:$AJ$120,0,MATCH(U$2,Inputs!$K$4:$AJ$4,0)))+SUMPRODUCT((Inputs!$E$5:$E$120=$B54)*Inputs!$F$5:$F$120*(((Inputs!$G$5:$G$120="moeda")+(Inputs!$G$5:$G$120="acoes"))*Inputs!$B$1+((Inputs!$G$5:$G$120&lt;&gt;"moeda")*(Inputs!$G$5:$G$120&lt;&gt;"acoes")))*INDEX(Inputs!$K$5:$AJ$120,0,MATCH(U$2,Inputs!$K$4:$AJ$4,0)))))</f>
        <v>392</v>
      </c>
      <c r="V54" s="513" t="e">
        <f>IF(ISNA(MATCH(V$2,Inputs!$K$4:$AJ$4,0)),NA(),IF(SUMPRODUCT((Inputs!$A$5:$A$120=$B54)*ISNUMBER(INDEX(Inputs!$K$5:$AJ$120,0,MATCH(V$2,Inputs!$K$4:$AJ$4,0))))+SUMPRODUCT((Inputs!$C$5:$C$120=$B54)*ISNUMBER(INDEX(Inputs!$K$5:$AJ$120,0,MATCH(V$2,Inputs!$K$4:$AJ$4,0))))+SUMPRODUCT((Inputs!$E$5:$E$120=$B54)*ISNUMBER(INDEX(Inputs!$K$5:$AJ$120,0,MATCH(V$2,Inputs!$K$4:$AJ$4,0))))=0,NA(),SUMPRODUCT((Inputs!$A$5:$A$120=$B54)*Inputs!$B$5:$B$120*(((Inputs!$G$5:$G$120="moeda")+(Inputs!$G$5:$G$120="acoes"))*Inputs!$B$1+((Inputs!$G$5:$G$120&lt;&gt;"moeda")*(Inputs!$G$5:$G$120&lt;&gt;"acoes")))*INDEX(Inputs!$K$5:$AJ$120,0,MATCH(V$2,Inputs!$K$4:$AJ$4,0)))+SUMPRODUCT((Inputs!$C$5:$C$120=$B54)*Inputs!$D$5:$D$120*(((Inputs!$G$5:$G$120="moeda")+(Inputs!$G$5:$G$120="acoes"))*Inputs!$B$1+((Inputs!$G$5:$G$120&lt;&gt;"moeda")*(Inputs!$G$5:$G$120&lt;&gt;"acoes")))*INDEX(Inputs!$K$5:$AJ$120,0,MATCH(V$2,Inputs!$K$4:$AJ$4,0)))+SUMPRODUCT((Inputs!$E$5:$E$120=$B54)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4" s="514" t="e">
        <f>SUM(S54:V54)</f>
        <v>#N/A</v>
      </c>
      <c r="X54" s="513" t="e">
        <f>IF(ISNA(MATCH(X$2,Inputs!$K$4:$AJ$4,0)),NA(),IF(SUMPRODUCT((Inputs!$A$5:$A$120=$B54)*ISNUMBER(INDEX(Inputs!$K$5:$AJ$120,0,MATCH(X$2,Inputs!$K$4:$AJ$4,0))))+SUMPRODUCT((Inputs!$C$5:$C$120=$B54)*ISNUMBER(INDEX(Inputs!$K$5:$AJ$120,0,MATCH(X$2,Inputs!$K$4:$AJ$4,0))))+SUMPRODUCT((Inputs!$E$5:$E$120=$B54)*ISNUMBER(INDEX(Inputs!$K$5:$AJ$120,0,MATCH(X$2,Inputs!$K$4:$AJ$4,0))))=0,NA(),SUMPRODUCT((Inputs!$A$5:$A$120=$B54)*Inputs!$B$5:$B$120*(((Inputs!$G$5:$G$120="moeda")+(Inputs!$G$5:$G$120="acoes"))*Inputs!$B$1+((Inputs!$G$5:$G$120&lt;&gt;"moeda")*(Inputs!$G$5:$G$120&lt;&gt;"acoes")))*INDEX(Inputs!$K$5:$AJ$120,0,MATCH(X$2,Inputs!$K$4:$AJ$4,0)))+SUMPRODUCT((Inputs!$C$5:$C$120=$B54)*Inputs!$D$5:$D$120*(((Inputs!$G$5:$G$120="moeda")+(Inputs!$G$5:$G$120="acoes"))*Inputs!$B$1+((Inputs!$G$5:$G$120&lt;&gt;"moeda")*(Inputs!$G$5:$G$120&lt;&gt;"acoes")))*INDEX(Inputs!$K$5:$AJ$120,0,MATCH(X$2,Inputs!$K$4:$AJ$4,0)))+SUMPRODUCT((Inputs!$E$5:$E$120=$B54)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4" s="513" t="e">
        <f>IF(ISNA(MATCH(Y$2,Inputs!$K$4:$AJ$4,0)),NA(),IF(SUMPRODUCT((Inputs!$A$5:$A$120=$B54)*ISNUMBER(INDEX(Inputs!$K$5:$AJ$120,0,MATCH(Y$2,Inputs!$K$4:$AJ$4,0))))+SUMPRODUCT((Inputs!$C$5:$C$120=$B54)*ISNUMBER(INDEX(Inputs!$K$5:$AJ$120,0,MATCH(Y$2,Inputs!$K$4:$AJ$4,0))))+SUMPRODUCT((Inputs!$E$5:$E$120=$B54)*ISNUMBER(INDEX(Inputs!$K$5:$AJ$120,0,MATCH(Y$2,Inputs!$K$4:$AJ$4,0))))=0,NA(),SUMPRODUCT((Inputs!$A$5:$A$120=$B54)*Inputs!$B$5:$B$120*(((Inputs!$G$5:$G$120="moeda")+(Inputs!$G$5:$G$120="acoes"))*Inputs!$B$1+((Inputs!$G$5:$G$120&lt;&gt;"moeda")*(Inputs!$G$5:$G$120&lt;&gt;"acoes")))*INDEX(Inputs!$K$5:$AJ$120,0,MATCH(Y$2,Inputs!$K$4:$AJ$4,0)))+SUMPRODUCT((Inputs!$C$5:$C$120=$B54)*Inputs!$D$5:$D$120*(((Inputs!$G$5:$G$120="moeda")+(Inputs!$G$5:$G$120="acoes"))*Inputs!$B$1+((Inputs!$G$5:$G$120&lt;&gt;"moeda")*(Inputs!$G$5:$G$120&lt;&gt;"acoes")))*INDEX(Inputs!$K$5:$AJ$120,0,MATCH(Y$2,Inputs!$K$4:$AJ$4,0)))+SUMPRODUCT((Inputs!$E$5:$E$120=$B54)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4" s="513" t="e">
        <f>IF(ISNA(MATCH(Z$2,Inputs!$K$4:$AJ$4,0)),NA(),IF(SUMPRODUCT((Inputs!$A$5:$A$120=$B54)*ISNUMBER(INDEX(Inputs!$K$5:$AJ$120,0,MATCH(Z$2,Inputs!$K$4:$AJ$4,0))))+SUMPRODUCT((Inputs!$C$5:$C$120=$B54)*ISNUMBER(INDEX(Inputs!$K$5:$AJ$120,0,MATCH(Z$2,Inputs!$K$4:$AJ$4,0))))+SUMPRODUCT((Inputs!$E$5:$E$120=$B54)*ISNUMBER(INDEX(Inputs!$K$5:$AJ$120,0,MATCH(Z$2,Inputs!$K$4:$AJ$4,0))))=0,NA(),SUMPRODUCT((Inputs!$A$5:$A$120=$B54)*Inputs!$B$5:$B$120*(((Inputs!$G$5:$G$120="moeda")+(Inputs!$G$5:$G$120="acoes"))*Inputs!$B$1+((Inputs!$G$5:$G$120&lt;&gt;"moeda")*(Inputs!$G$5:$G$120&lt;&gt;"acoes")))*INDEX(Inputs!$K$5:$AJ$120,0,MATCH(Z$2,Inputs!$K$4:$AJ$4,0)))+SUMPRODUCT((Inputs!$C$5:$C$120=$B54)*Inputs!$D$5:$D$120*(((Inputs!$G$5:$G$120="moeda")+(Inputs!$G$5:$G$120="acoes"))*Inputs!$B$1+((Inputs!$G$5:$G$120&lt;&gt;"moeda")*(Inputs!$G$5:$G$120&lt;&gt;"acoes")))*INDEX(Inputs!$K$5:$AJ$120,0,MATCH(Z$2,Inputs!$K$4:$AJ$4,0)))+SUMPRODUCT((Inputs!$E$5:$E$120=$B54)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4" s="513" t="e">
        <f>IF(ISNA(MATCH(AA$2,Inputs!$K$4:$AJ$4,0)),NA(),IF(SUMPRODUCT((Inputs!$A$5:$A$120=$B54)*ISNUMBER(INDEX(Inputs!$K$5:$AJ$120,0,MATCH(AA$2,Inputs!$K$4:$AJ$4,0))))+SUMPRODUCT((Inputs!$C$5:$C$120=$B54)*ISNUMBER(INDEX(Inputs!$K$5:$AJ$120,0,MATCH(AA$2,Inputs!$K$4:$AJ$4,0))))+SUMPRODUCT((Inputs!$E$5:$E$120=$B54)*ISNUMBER(INDEX(Inputs!$K$5:$AJ$120,0,MATCH(AA$2,Inputs!$K$4:$AJ$4,0))))=0,NA(),SUMPRODUCT((Inputs!$A$5:$A$120=$B54)*Inputs!$B$5:$B$120*(((Inputs!$G$5:$G$120="moeda")+(Inputs!$G$5:$G$120="acoes"))*Inputs!$B$1+((Inputs!$G$5:$G$120&lt;&gt;"moeda")*(Inputs!$G$5:$G$120&lt;&gt;"acoes")))*INDEX(Inputs!$K$5:$AJ$120,0,MATCH(AA$2,Inputs!$K$4:$AJ$4,0)))+SUMPRODUCT((Inputs!$C$5:$C$120=$B54)*Inputs!$D$5:$D$120*(((Inputs!$G$5:$G$120="moeda")+(Inputs!$G$5:$G$120="acoes"))*Inputs!$B$1+((Inputs!$G$5:$G$120&lt;&gt;"moeda")*(Inputs!$G$5:$G$120&lt;&gt;"acoes")))*INDEX(Inputs!$K$5:$AJ$120,0,MATCH(AA$2,Inputs!$K$4:$AJ$4,0)))+SUMPRODUCT((Inputs!$E$5:$E$120=$B54)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4" s="514" t="e">
        <f>SUM(X54:AA54)</f>
        <v>#N/A</v>
      </c>
      <c r="AC54" s="513" t="e">
        <f>IF(ISNA(MATCH(AC$2,Inputs!$K$4:$AJ$4,0)),NA(),IF(SUMPRODUCT((Inputs!$A$5:$A$120=$B54)*ISNUMBER(INDEX(Inputs!$K$5:$AJ$120,0,MATCH(AC$2,Inputs!$K$4:$AJ$4,0))))+SUMPRODUCT((Inputs!$C$5:$C$120=$B54)*ISNUMBER(INDEX(Inputs!$K$5:$AJ$120,0,MATCH(AC$2,Inputs!$K$4:$AJ$4,0))))+SUMPRODUCT((Inputs!$E$5:$E$120=$B54)*ISNUMBER(INDEX(Inputs!$K$5:$AJ$120,0,MATCH(AC$2,Inputs!$K$4:$AJ$4,0))))=0,NA(),SUMPRODUCT((Inputs!$A$5:$A$120=$B54)*Inputs!$B$5:$B$120*(((Inputs!$G$5:$G$120="moeda")+(Inputs!$G$5:$G$120="acoes"))*Inputs!$B$1+((Inputs!$G$5:$G$120&lt;&gt;"moeda")*(Inputs!$G$5:$G$120&lt;&gt;"acoes")))*INDEX(Inputs!$K$5:$AJ$120,0,MATCH(AC$2,Inputs!$K$4:$AJ$4,0)))+SUMPRODUCT((Inputs!$C$5:$C$120=$B54)*Inputs!$D$5:$D$120*(((Inputs!$G$5:$G$120="moeda")+(Inputs!$G$5:$G$120="acoes"))*Inputs!$B$1+((Inputs!$G$5:$G$120&lt;&gt;"moeda")*(Inputs!$G$5:$G$120&lt;&gt;"acoes")))*INDEX(Inputs!$K$5:$AJ$120,0,MATCH(AC$2,Inputs!$K$4:$AJ$4,0)))+SUMPRODUCT((Inputs!$E$5:$E$120=$B54)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4" s="513" t="e">
        <f>IF(ISNA(MATCH(AD$2,Inputs!$K$4:$AJ$4,0)),NA(),IF(SUMPRODUCT((Inputs!$A$5:$A$120=$B54)*ISNUMBER(INDEX(Inputs!$K$5:$AJ$120,0,MATCH(AD$2,Inputs!$K$4:$AJ$4,0))))+SUMPRODUCT((Inputs!$C$5:$C$120=$B54)*ISNUMBER(INDEX(Inputs!$K$5:$AJ$120,0,MATCH(AD$2,Inputs!$K$4:$AJ$4,0))))+SUMPRODUCT((Inputs!$E$5:$E$120=$B54)*ISNUMBER(INDEX(Inputs!$K$5:$AJ$120,0,MATCH(AD$2,Inputs!$K$4:$AJ$4,0))))=0,NA(),SUMPRODUCT((Inputs!$A$5:$A$120=$B54)*Inputs!$B$5:$B$120*(((Inputs!$G$5:$G$120="moeda")+(Inputs!$G$5:$G$120="acoes"))*Inputs!$B$1+((Inputs!$G$5:$G$120&lt;&gt;"moeda")*(Inputs!$G$5:$G$120&lt;&gt;"acoes")))*INDEX(Inputs!$K$5:$AJ$120,0,MATCH(AD$2,Inputs!$K$4:$AJ$4,0)))+SUMPRODUCT((Inputs!$C$5:$C$120=$B54)*Inputs!$D$5:$D$120*(((Inputs!$G$5:$G$120="moeda")+(Inputs!$G$5:$G$120="acoes"))*Inputs!$B$1+((Inputs!$G$5:$G$120&lt;&gt;"moeda")*(Inputs!$G$5:$G$120&lt;&gt;"acoes")))*INDEX(Inputs!$K$5:$AJ$120,0,MATCH(AD$2,Inputs!$K$4:$AJ$4,0)))+SUMPRODUCT((Inputs!$E$5:$E$120=$B54)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4" s="513" t="e">
        <f>IF(ISNA(MATCH(AE$2,Inputs!$K$4:$AJ$4,0)),NA(),IF(SUMPRODUCT((Inputs!$A$5:$A$120=$B54)*ISNUMBER(INDEX(Inputs!$K$5:$AJ$120,0,MATCH(AE$2,Inputs!$K$4:$AJ$4,0))))+SUMPRODUCT((Inputs!$C$5:$C$120=$B54)*ISNUMBER(INDEX(Inputs!$K$5:$AJ$120,0,MATCH(AE$2,Inputs!$K$4:$AJ$4,0))))+SUMPRODUCT((Inputs!$E$5:$E$120=$B54)*ISNUMBER(INDEX(Inputs!$K$5:$AJ$120,0,MATCH(AE$2,Inputs!$K$4:$AJ$4,0))))=0,NA(),SUMPRODUCT((Inputs!$A$5:$A$120=$B54)*Inputs!$B$5:$B$120*(((Inputs!$G$5:$G$120="moeda")+(Inputs!$G$5:$G$120="acoes"))*Inputs!$B$1+((Inputs!$G$5:$G$120&lt;&gt;"moeda")*(Inputs!$G$5:$G$120&lt;&gt;"acoes")))*INDEX(Inputs!$K$5:$AJ$120,0,MATCH(AE$2,Inputs!$K$4:$AJ$4,0)))+SUMPRODUCT((Inputs!$C$5:$C$120=$B54)*Inputs!$D$5:$D$120*(((Inputs!$G$5:$G$120="moeda")+(Inputs!$G$5:$G$120="acoes"))*Inputs!$B$1+((Inputs!$G$5:$G$120&lt;&gt;"moeda")*(Inputs!$G$5:$G$120&lt;&gt;"acoes")))*INDEX(Inputs!$K$5:$AJ$120,0,MATCH(AE$2,Inputs!$K$4:$AJ$4,0)))+SUMPRODUCT((Inputs!$E$5:$E$120=$B54)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4" s="513" t="e">
        <f>IF(ISNA(MATCH(AF$2,Inputs!$K$4:$AJ$4,0)),NA(),IF(SUMPRODUCT((Inputs!$A$5:$A$120=$B54)*ISNUMBER(INDEX(Inputs!$K$5:$AJ$120,0,MATCH(AF$2,Inputs!$K$4:$AJ$4,0))))+SUMPRODUCT((Inputs!$C$5:$C$120=$B54)*ISNUMBER(INDEX(Inputs!$K$5:$AJ$120,0,MATCH(AF$2,Inputs!$K$4:$AJ$4,0))))+SUMPRODUCT((Inputs!$E$5:$E$120=$B54)*ISNUMBER(INDEX(Inputs!$K$5:$AJ$120,0,MATCH(AF$2,Inputs!$K$4:$AJ$4,0))))=0,NA(),SUMPRODUCT((Inputs!$A$5:$A$120=$B54)*Inputs!$B$5:$B$120*(((Inputs!$G$5:$G$120="moeda")+(Inputs!$G$5:$G$120="acoes"))*Inputs!$B$1+((Inputs!$G$5:$G$120&lt;&gt;"moeda")*(Inputs!$G$5:$G$120&lt;&gt;"acoes")))*INDEX(Inputs!$K$5:$AJ$120,0,MATCH(AF$2,Inputs!$K$4:$AJ$4,0)))+SUMPRODUCT((Inputs!$C$5:$C$120=$B54)*Inputs!$D$5:$D$120*(((Inputs!$G$5:$G$120="moeda")+(Inputs!$G$5:$G$120="acoes"))*Inputs!$B$1+((Inputs!$G$5:$G$120&lt;&gt;"moeda")*(Inputs!$G$5:$G$120&lt;&gt;"acoes")))*INDEX(Inputs!$K$5:$AJ$120,0,MATCH(AF$2,Inputs!$K$4:$AJ$4,0)))+SUMPRODUCT((Inputs!$E$5:$E$120=$B54)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4" s="514" t="e">
        <f>SUM(AC54:AF54)</f>
        <v>#N/A</v>
      </c>
      <c r="AH54" s="513">
        <f>IF(ISNA(MATCH(AH$2,Inputs!$K$4:$AJ$4,0)),NA(),IF(SUMPRODUCT((Inputs!$A$5:$A$120=$B54)*ISNUMBER(INDEX(Inputs!$K$5:$AJ$120,0,MATCH(AH$2,Inputs!$K$4:$AJ$4,0))))+SUMPRODUCT((Inputs!$C$5:$C$120=$B54)*ISNUMBER(INDEX(Inputs!$K$5:$AJ$120,0,MATCH(AH$2,Inputs!$K$4:$AJ$4,0))))+SUMPRODUCT((Inputs!$E$5:$E$120=$B54)*ISNUMBER(INDEX(Inputs!$K$5:$AJ$120,0,MATCH(AH$2,Inputs!$K$4:$AJ$4,0))))=0,NA(),SUMPRODUCT((Inputs!$A$5:$A$120=$B54)*Inputs!$B$5:$B$120*(((Inputs!$G$5:$G$120="moeda")+(Inputs!$G$5:$G$120="acoes"))*Inputs!$B$1+((Inputs!$G$5:$G$120&lt;&gt;"moeda")*(Inputs!$G$5:$G$120&lt;&gt;"acoes")))*INDEX(Inputs!$K$5:$AJ$120,0,MATCH(AH$2,Inputs!$K$4:$AJ$4,0)))+SUMPRODUCT((Inputs!$C$5:$C$120=$B54)*Inputs!$D$5:$D$120*(((Inputs!$G$5:$G$120="moeda")+(Inputs!$G$5:$G$120="acoes"))*Inputs!$B$1+((Inputs!$G$5:$G$120&lt;&gt;"moeda")*(Inputs!$G$5:$G$120&lt;&gt;"acoes")))*INDEX(Inputs!$K$5:$AJ$120,0,MATCH(AH$2,Inputs!$K$4:$AJ$4,0)))+SUMPRODUCT((Inputs!$E$5:$E$120=$B54)*Inputs!$F$5:$F$120*(((Inputs!$G$5:$G$120="moeda")+(Inputs!$G$5:$G$120="acoes"))*Inputs!$B$1+((Inputs!$G$5:$G$120&lt;&gt;"moeda")*(Inputs!$G$5:$G$120&lt;&gt;"acoes")))*INDEX(Inputs!$K$5:$AJ$120,0,MATCH(AH$2,Inputs!$K$4:$AJ$4,0)))))</f>
        <v>-3</v>
      </c>
      <c r="AI54" s="513">
        <f>IF(ISNA(MATCH(AI$2,Inputs!$K$4:$AJ$4,0)),NA(),IF(SUMPRODUCT((Inputs!$A$5:$A$120=$B54)*ISNUMBER(INDEX(Inputs!$K$5:$AJ$120,0,MATCH(AI$2,Inputs!$K$4:$AJ$4,0))))+SUMPRODUCT((Inputs!$C$5:$C$120=$B54)*ISNUMBER(INDEX(Inputs!$K$5:$AJ$120,0,MATCH(AI$2,Inputs!$K$4:$AJ$4,0))))+SUMPRODUCT((Inputs!$E$5:$E$120=$B54)*ISNUMBER(INDEX(Inputs!$K$5:$AJ$120,0,MATCH(AI$2,Inputs!$K$4:$AJ$4,0))))=0,NA(),SUMPRODUCT((Inputs!$A$5:$A$120=$B54)*Inputs!$B$5:$B$120*(((Inputs!$G$5:$G$120="moeda")+(Inputs!$G$5:$G$120="acoes"))*Inputs!$B$1+((Inputs!$G$5:$G$120&lt;&gt;"moeda")*(Inputs!$G$5:$G$120&lt;&gt;"acoes")))*INDEX(Inputs!$K$5:$AJ$120,0,MATCH(AI$2,Inputs!$K$4:$AJ$4,0)))+SUMPRODUCT((Inputs!$C$5:$C$120=$B54)*Inputs!$D$5:$D$120*(((Inputs!$G$5:$G$120="moeda")+(Inputs!$G$5:$G$120="acoes"))*Inputs!$B$1+((Inputs!$G$5:$G$120&lt;&gt;"moeda")*(Inputs!$G$5:$G$120&lt;&gt;"acoes")))*INDEX(Inputs!$K$5:$AJ$120,0,MATCH(AI$2,Inputs!$K$4:$AJ$4,0)))+SUMPRODUCT((Inputs!$E$5:$E$120=$B54)*Inputs!$F$5:$F$120*(((Inputs!$G$5:$G$120="moeda")+(Inputs!$G$5:$G$120="acoes"))*Inputs!$B$1+((Inputs!$G$5:$G$120&lt;&gt;"moeda")*(Inputs!$G$5:$G$120&lt;&gt;"acoes")))*INDEX(Inputs!$K$5:$AJ$120,0,MATCH(AI$2,Inputs!$K$4:$AJ$4,0)))))</f>
        <v>907</v>
      </c>
      <c r="AJ54" s="513">
        <f>IF(ISNA(MATCH(AJ$2,Inputs!$K$4:$AJ$4,0)),NA(),IF(SUMPRODUCT((Inputs!$A$5:$A$120=$B54)*ISNUMBER(INDEX(Inputs!$K$5:$AJ$120,0,MATCH(AJ$2,Inputs!$K$4:$AJ$4,0))))+SUMPRODUCT((Inputs!$C$5:$C$120=$B54)*ISNUMBER(INDEX(Inputs!$K$5:$AJ$120,0,MATCH(AJ$2,Inputs!$K$4:$AJ$4,0))))+SUMPRODUCT((Inputs!$E$5:$E$120=$B54)*ISNUMBER(INDEX(Inputs!$K$5:$AJ$120,0,MATCH(AJ$2,Inputs!$K$4:$AJ$4,0))))=0,NA(),SUMPRODUCT((Inputs!$A$5:$A$120=$B54)*Inputs!$B$5:$B$120*(((Inputs!$G$5:$G$120="moeda")+(Inputs!$G$5:$G$120="acoes"))*Inputs!$B$1+((Inputs!$G$5:$G$120&lt;&gt;"moeda")*(Inputs!$G$5:$G$120&lt;&gt;"acoes")))*INDEX(Inputs!$K$5:$AJ$120,0,MATCH(AJ$2,Inputs!$K$4:$AJ$4,0)))+SUMPRODUCT((Inputs!$C$5:$C$120=$B54)*Inputs!$D$5:$D$120*(((Inputs!$G$5:$G$120="moeda")+(Inputs!$G$5:$G$120="acoes"))*Inputs!$B$1+((Inputs!$G$5:$G$120&lt;&gt;"moeda")*(Inputs!$G$5:$G$120&lt;&gt;"acoes")))*INDEX(Inputs!$K$5:$AJ$120,0,MATCH(AJ$2,Inputs!$K$4:$AJ$4,0)))+SUMPRODUCT((Inputs!$E$5:$E$120=$B54)*Inputs!$F$5:$F$120*(((Inputs!$G$5:$G$120="moeda")+(Inputs!$G$5:$G$120="acoes"))*Inputs!$B$1+((Inputs!$G$5:$G$120&lt;&gt;"moeda")*(Inputs!$G$5:$G$120&lt;&gt;"acoes")))*INDEX(Inputs!$K$5:$AJ$120,0,MATCH(AJ$2,Inputs!$K$4:$AJ$4,0)))))</f>
        <v>373</v>
      </c>
      <c r="AK54" s="513" t="e">
        <f>IF(ISNA(MATCH(AK$2,Inputs!$K$4:$AJ$4,0)),NA(),IF(SUMPRODUCT((Inputs!$A$5:$A$120=$B54)*ISNUMBER(INDEX(Inputs!$K$5:$AJ$120,0,MATCH(AK$2,Inputs!$K$4:$AJ$4,0))))+SUMPRODUCT((Inputs!$C$5:$C$120=$B54)*ISNUMBER(INDEX(Inputs!$K$5:$AJ$120,0,MATCH(AK$2,Inputs!$K$4:$AJ$4,0))))+SUMPRODUCT((Inputs!$E$5:$E$120=$B54)*ISNUMBER(INDEX(Inputs!$K$5:$AJ$120,0,MATCH(AK$2,Inputs!$K$4:$AJ$4,0))))=0,NA(),SUMPRODUCT((Inputs!$A$5:$A$120=$B54)*Inputs!$B$5:$B$120*(((Inputs!$G$5:$G$120="moeda")+(Inputs!$G$5:$G$120="acoes"))*Inputs!$B$1+((Inputs!$G$5:$G$120&lt;&gt;"moeda")*(Inputs!$G$5:$G$120&lt;&gt;"acoes")))*INDEX(Inputs!$K$5:$AJ$120,0,MATCH(AK$2,Inputs!$K$4:$AJ$4,0)))+SUMPRODUCT((Inputs!$C$5:$C$120=$B54)*Inputs!$D$5:$D$120*(((Inputs!$G$5:$G$120="moeda")+(Inputs!$G$5:$G$120="acoes"))*Inputs!$B$1+((Inputs!$G$5:$G$120&lt;&gt;"moeda")*(Inputs!$G$5:$G$120&lt;&gt;"acoes")))*INDEX(Inputs!$K$5:$AJ$120,0,MATCH(AK$2,Inputs!$K$4:$AJ$4,0)))+SUMPRODUCT((Inputs!$E$5:$E$120=$B54)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4" s="514" t="e">
        <f>SUM(AH54:AK54)</f>
        <v>#N/A</v>
      </c>
    </row>
    <row r="55">
      <c r="B55" s="265" t="n">
        <v>47</v>
      </c>
      <c r="C55" s="266" t="inlineStr">
        <is>
          <t>Refined &amp; Specialty Oils - receita (USD)</t>
        </is>
      </c>
      <c r="D55" s="513">
        <f>IF(ISNA(MATCH(D$2,Inputs!$K$4:$AJ$4,0)),NA(),IF(SUMPRODUCT((Inputs!$A$5:$A$120=$B55)*ISNUMBER(INDEX(Inputs!$K$5:$AJ$120,0,MATCH(D$2,Inputs!$K$4:$AJ$4,0))))+SUMPRODUCT((Inputs!$C$5:$C$120=$B55)*ISNUMBER(INDEX(Inputs!$K$5:$AJ$120,0,MATCH(D$2,Inputs!$K$4:$AJ$4,0))))+SUMPRODUCT((Inputs!$E$5:$E$120=$B55)*ISNUMBER(INDEX(Inputs!$K$5:$AJ$120,0,MATCH(D$2,Inputs!$K$4:$AJ$4,0))))=0,NA(),SUMPRODUCT((Inputs!$A$5:$A$120=$B55)*Inputs!$B$5:$B$120*(((Inputs!$G$5:$G$120="moeda")+(Inputs!$G$5:$G$120="acoes"))*Inputs!$B$1+((Inputs!$G$5:$G$120&lt;&gt;"moeda")*(Inputs!$G$5:$G$120&lt;&gt;"acoes")))*INDEX(Inputs!$K$5:$AJ$120,0,MATCH(D$2,Inputs!$K$4:$AJ$4,0)))+SUMPRODUCT((Inputs!$C$5:$C$120=$B55)*Inputs!$D$5:$D$120*(((Inputs!$G$5:$G$120="moeda")+(Inputs!$G$5:$G$120="acoes"))*Inputs!$B$1+((Inputs!$G$5:$G$120&lt;&gt;"moeda")*(Inputs!$G$5:$G$120&lt;&gt;"acoes")))*INDEX(Inputs!$K$5:$AJ$120,0,MATCH(D$2,Inputs!$K$4:$AJ$4,0)))+SUMPRODUCT((Inputs!$E$5:$E$120=$B55)*Inputs!$F$5:$F$120*(((Inputs!$G$5:$G$120="moeda")+(Inputs!$G$5:$G$120="acoes"))*Inputs!$B$1+((Inputs!$G$5:$G$120&lt;&gt;"moeda")*(Inputs!$G$5:$G$120&lt;&gt;"acoes")))*INDEX(Inputs!$K$5:$AJ$120,0,MATCH(D$2,Inputs!$K$4:$AJ$4,0)))))</f>
        <v>2726</v>
      </c>
      <c r="E55" s="513">
        <f>IF(ISNA(MATCH(E$2,Inputs!$K$4:$AJ$4,0)),NA(),IF(SUMPRODUCT((Inputs!$A$5:$A$120=$B55)*ISNUMBER(INDEX(Inputs!$K$5:$AJ$120,0,MATCH(E$2,Inputs!$K$4:$AJ$4,0))))+SUMPRODUCT((Inputs!$C$5:$C$120=$B55)*ISNUMBER(INDEX(Inputs!$K$5:$AJ$120,0,MATCH(E$2,Inputs!$K$4:$AJ$4,0))))+SUMPRODUCT((Inputs!$E$5:$E$120=$B55)*ISNUMBER(INDEX(Inputs!$K$5:$AJ$120,0,MATCH(E$2,Inputs!$K$4:$AJ$4,0))))=0,NA(),SUMPRODUCT((Inputs!$A$5:$A$120=$B55)*Inputs!$B$5:$B$120*(((Inputs!$G$5:$G$120="moeda")+(Inputs!$G$5:$G$120="acoes"))*Inputs!$B$1+((Inputs!$G$5:$G$120&lt;&gt;"moeda")*(Inputs!$G$5:$G$120&lt;&gt;"acoes")))*INDEX(Inputs!$K$5:$AJ$120,0,MATCH(E$2,Inputs!$K$4:$AJ$4,0)))+SUMPRODUCT((Inputs!$C$5:$C$120=$B55)*Inputs!$D$5:$D$120*(((Inputs!$G$5:$G$120="moeda")+(Inputs!$G$5:$G$120="acoes"))*Inputs!$B$1+((Inputs!$G$5:$G$120&lt;&gt;"moeda")*(Inputs!$G$5:$G$120&lt;&gt;"acoes")))*INDEX(Inputs!$K$5:$AJ$120,0,MATCH(E$2,Inputs!$K$4:$AJ$4,0)))+SUMPRODUCT((Inputs!$E$5:$E$120=$B55)*Inputs!$F$5:$F$120*(((Inputs!$G$5:$G$120="moeda")+(Inputs!$G$5:$G$120="acoes"))*Inputs!$B$1+((Inputs!$G$5:$G$120&lt;&gt;"moeda")*(Inputs!$G$5:$G$120&lt;&gt;"acoes")))*INDEX(Inputs!$K$5:$AJ$120,0,MATCH(E$2,Inputs!$K$4:$AJ$4,0)))))</f>
        <v>3198</v>
      </c>
      <c r="F55" s="513">
        <f>IF(ISNA(MATCH(F$2,Inputs!$K$4:$AJ$4,0)),NA(),IF(SUMPRODUCT((Inputs!$A$5:$A$120=$B55)*ISNUMBER(INDEX(Inputs!$K$5:$AJ$120,0,MATCH(F$2,Inputs!$K$4:$AJ$4,0))))+SUMPRODUCT((Inputs!$C$5:$C$120=$B55)*ISNUMBER(INDEX(Inputs!$K$5:$AJ$120,0,MATCH(F$2,Inputs!$K$4:$AJ$4,0))))+SUMPRODUCT((Inputs!$E$5:$E$120=$B55)*ISNUMBER(INDEX(Inputs!$K$5:$AJ$120,0,MATCH(F$2,Inputs!$K$4:$AJ$4,0))))=0,NA(),SUMPRODUCT((Inputs!$A$5:$A$120=$B55)*Inputs!$B$5:$B$120*(((Inputs!$G$5:$G$120="moeda")+(Inputs!$G$5:$G$120="acoes"))*Inputs!$B$1+((Inputs!$G$5:$G$120&lt;&gt;"moeda")*(Inputs!$G$5:$G$120&lt;&gt;"acoes")))*INDEX(Inputs!$K$5:$AJ$120,0,MATCH(F$2,Inputs!$K$4:$AJ$4,0)))+SUMPRODUCT((Inputs!$C$5:$C$120=$B55)*Inputs!$D$5:$D$120*(((Inputs!$G$5:$G$120="moeda")+(Inputs!$G$5:$G$120="acoes"))*Inputs!$B$1+((Inputs!$G$5:$G$120&lt;&gt;"moeda")*(Inputs!$G$5:$G$120&lt;&gt;"acoes")))*INDEX(Inputs!$K$5:$AJ$120,0,MATCH(F$2,Inputs!$K$4:$AJ$4,0)))+SUMPRODUCT((Inputs!$E$5:$E$120=$B55)*Inputs!$F$5:$F$120*(((Inputs!$G$5:$G$120="moeda")+(Inputs!$G$5:$G$120="acoes"))*Inputs!$B$1+((Inputs!$G$5:$G$120&lt;&gt;"moeda")*(Inputs!$G$5:$G$120&lt;&gt;"acoes")))*INDEX(Inputs!$K$5:$AJ$120,0,MATCH(F$2,Inputs!$K$4:$AJ$4,0)))))</f>
        <v>3648</v>
      </c>
      <c r="G55" s="513">
        <f>IF(ISNA(MATCH(G$2,Inputs!$K$4:$AJ$4,0)),NA(),IF(SUMPRODUCT((Inputs!$A$5:$A$120=$B55)*ISNUMBER(INDEX(Inputs!$K$5:$AJ$120,0,MATCH(G$2,Inputs!$K$4:$AJ$4,0))))+SUMPRODUCT((Inputs!$C$5:$C$120=$B55)*ISNUMBER(INDEX(Inputs!$K$5:$AJ$120,0,MATCH(G$2,Inputs!$K$4:$AJ$4,0))))+SUMPRODUCT((Inputs!$E$5:$E$120=$B55)*ISNUMBER(INDEX(Inputs!$K$5:$AJ$120,0,MATCH(G$2,Inputs!$K$4:$AJ$4,0))))=0,NA(),SUMPRODUCT((Inputs!$A$5:$A$120=$B55)*Inputs!$B$5:$B$120*(((Inputs!$G$5:$G$120="moeda")+(Inputs!$G$5:$G$120="acoes"))*Inputs!$B$1+((Inputs!$G$5:$G$120&lt;&gt;"moeda")*(Inputs!$G$5:$G$120&lt;&gt;"acoes")))*INDEX(Inputs!$K$5:$AJ$120,0,MATCH(G$2,Inputs!$K$4:$AJ$4,0)))+SUMPRODUCT((Inputs!$C$5:$C$120=$B55)*Inputs!$D$5:$D$120*(((Inputs!$G$5:$G$120="moeda")+(Inputs!$G$5:$G$120="acoes"))*Inputs!$B$1+((Inputs!$G$5:$G$120&lt;&gt;"moeda")*(Inputs!$G$5:$G$120&lt;&gt;"acoes")))*INDEX(Inputs!$K$5:$AJ$120,0,MATCH(G$2,Inputs!$K$4:$AJ$4,0)))+SUMPRODUCT((Inputs!$E$5:$E$120=$B55)*Inputs!$F$5:$F$120*(((Inputs!$G$5:$G$120="moeda")+(Inputs!$G$5:$G$120="acoes"))*Inputs!$B$1+((Inputs!$G$5:$G$120&lt;&gt;"moeda")*(Inputs!$G$5:$G$120&lt;&gt;"acoes")))*INDEX(Inputs!$K$5:$AJ$120,0,MATCH(G$2,Inputs!$K$4:$AJ$4,0)))))</f>
        <v>3760</v>
      </c>
      <c r="H55" s="514">
        <f>SUM(D55:G55)</f>
        <v>13332</v>
      </c>
      <c r="I55" s="513">
        <f>IF(ISNA(MATCH(I$2,Inputs!$K$4:$AJ$4,0)),NA(),IF(SUMPRODUCT((Inputs!$A$5:$A$120=$B55)*ISNUMBER(INDEX(Inputs!$K$5:$AJ$120,0,MATCH(I$2,Inputs!$K$4:$AJ$4,0))))+SUMPRODUCT((Inputs!$C$5:$C$120=$B55)*ISNUMBER(INDEX(Inputs!$K$5:$AJ$120,0,MATCH(I$2,Inputs!$K$4:$AJ$4,0))))+SUMPRODUCT((Inputs!$E$5:$E$120=$B55)*ISNUMBER(INDEX(Inputs!$K$5:$AJ$120,0,MATCH(I$2,Inputs!$K$4:$AJ$4,0))))=0,NA(),SUMPRODUCT((Inputs!$A$5:$A$120=$B55)*Inputs!$B$5:$B$120*(((Inputs!$G$5:$G$120="moeda")+(Inputs!$G$5:$G$120="acoes"))*Inputs!$B$1+((Inputs!$G$5:$G$120&lt;&gt;"moeda")*(Inputs!$G$5:$G$120&lt;&gt;"acoes")))*INDEX(Inputs!$K$5:$AJ$120,0,MATCH(I$2,Inputs!$K$4:$AJ$4,0)))+SUMPRODUCT((Inputs!$C$5:$C$120=$B55)*Inputs!$D$5:$D$120*(((Inputs!$G$5:$G$120="moeda")+(Inputs!$G$5:$G$120="acoes"))*Inputs!$B$1+((Inputs!$G$5:$G$120&lt;&gt;"moeda")*(Inputs!$G$5:$G$120&lt;&gt;"acoes")))*INDEX(Inputs!$K$5:$AJ$120,0,MATCH(I$2,Inputs!$K$4:$AJ$4,0)))+SUMPRODUCT((Inputs!$E$5:$E$120=$B55)*Inputs!$F$5:$F$120*(((Inputs!$G$5:$G$120="moeda")+(Inputs!$G$5:$G$120="acoes"))*Inputs!$B$1+((Inputs!$G$5:$G$120&lt;&gt;"moeda")*(Inputs!$G$5:$G$120&lt;&gt;"acoes")))*INDEX(Inputs!$K$5:$AJ$120,0,MATCH(I$2,Inputs!$K$4:$AJ$4,0)))))</f>
        <v>3976</v>
      </c>
      <c r="J55" s="513">
        <f>IF(ISNA(MATCH(J$2,Inputs!$K$4:$AJ$4,0)),NA(),IF(SUMPRODUCT((Inputs!$A$5:$A$120=$B55)*ISNUMBER(INDEX(Inputs!$K$5:$AJ$120,0,MATCH(J$2,Inputs!$K$4:$AJ$4,0))))+SUMPRODUCT((Inputs!$C$5:$C$120=$B55)*ISNUMBER(INDEX(Inputs!$K$5:$AJ$120,0,MATCH(J$2,Inputs!$K$4:$AJ$4,0))))+SUMPRODUCT((Inputs!$E$5:$E$120=$B55)*ISNUMBER(INDEX(Inputs!$K$5:$AJ$120,0,MATCH(J$2,Inputs!$K$4:$AJ$4,0))))=0,NA(),SUMPRODUCT((Inputs!$A$5:$A$120=$B55)*Inputs!$B$5:$B$120*(((Inputs!$G$5:$G$120="moeda")+(Inputs!$G$5:$G$120="acoes"))*Inputs!$B$1+((Inputs!$G$5:$G$120&lt;&gt;"moeda")*(Inputs!$G$5:$G$120&lt;&gt;"acoes")))*INDEX(Inputs!$K$5:$AJ$120,0,MATCH(J$2,Inputs!$K$4:$AJ$4,0)))+SUMPRODUCT((Inputs!$C$5:$C$120=$B55)*Inputs!$D$5:$D$120*(((Inputs!$G$5:$G$120="moeda")+(Inputs!$G$5:$G$120="acoes"))*Inputs!$B$1+((Inputs!$G$5:$G$120&lt;&gt;"moeda")*(Inputs!$G$5:$G$120&lt;&gt;"acoes")))*INDEX(Inputs!$K$5:$AJ$120,0,MATCH(J$2,Inputs!$K$4:$AJ$4,0)))+SUMPRODUCT((Inputs!$E$5:$E$120=$B55)*Inputs!$F$5:$F$120*(((Inputs!$G$5:$G$120="moeda")+(Inputs!$G$5:$G$120="acoes"))*Inputs!$B$1+((Inputs!$G$5:$G$120&lt;&gt;"moeda")*(Inputs!$G$5:$G$120&lt;&gt;"acoes")))*INDEX(Inputs!$K$5:$AJ$120,0,MATCH(J$2,Inputs!$K$4:$AJ$4,0)))))</f>
        <v>4445</v>
      </c>
      <c r="K55" s="513">
        <f>IF(ISNA(MATCH(K$2,Inputs!$K$4:$AJ$4,0)),NA(),IF(SUMPRODUCT((Inputs!$A$5:$A$120=$B55)*ISNUMBER(INDEX(Inputs!$K$5:$AJ$120,0,MATCH(K$2,Inputs!$K$4:$AJ$4,0))))+SUMPRODUCT((Inputs!$C$5:$C$120=$B55)*ISNUMBER(INDEX(Inputs!$K$5:$AJ$120,0,MATCH(K$2,Inputs!$K$4:$AJ$4,0))))+SUMPRODUCT((Inputs!$E$5:$E$120=$B55)*ISNUMBER(INDEX(Inputs!$K$5:$AJ$120,0,MATCH(K$2,Inputs!$K$4:$AJ$4,0))))=0,NA(),SUMPRODUCT((Inputs!$A$5:$A$120=$B55)*Inputs!$B$5:$B$120*(((Inputs!$G$5:$G$120="moeda")+(Inputs!$G$5:$G$120="acoes"))*Inputs!$B$1+((Inputs!$G$5:$G$120&lt;&gt;"moeda")*(Inputs!$G$5:$G$120&lt;&gt;"acoes")))*INDEX(Inputs!$K$5:$AJ$120,0,MATCH(K$2,Inputs!$K$4:$AJ$4,0)))+SUMPRODUCT((Inputs!$C$5:$C$120=$B55)*Inputs!$D$5:$D$120*(((Inputs!$G$5:$G$120="moeda")+(Inputs!$G$5:$G$120="acoes"))*Inputs!$B$1+((Inputs!$G$5:$G$120&lt;&gt;"moeda")*(Inputs!$G$5:$G$120&lt;&gt;"acoes")))*INDEX(Inputs!$K$5:$AJ$120,0,MATCH(K$2,Inputs!$K$4:$AJ$4,0)))+SUMPRODUCT((Inputs!$E$5:$E$120=$B55)*Inputs!$F$5:$F$120*(((Inputs!$G$5:$G$120="moeda")+(Inputs!$G$5:$G$120="acoes"))*Inputs!$B$1+((Inputs!$G$5:$G$120&lt;&gt;"moeda")*(Inputs!$G$5:$G$120&lt;&gt;"acoes")))*INDEX(Inputs!$K$5:$AJ$120,0,MATCH(K$2,Inputs!$K$4:$AJ$4,0)))))</f>
        <v>4302</v>
      </c>
      <c r="L55" s="513">
        <f>IF(ISNA(MATCH(L$2,Inputs!$K$4:$AJ$4,0)),NA(),IF(SUMPRODUCT((Inputs!$A$5:$A$120=$B55)*ISNUMBER(INDEX(Inputs!$K$5:$AJ$120,0,MATCH(L$2,Inputs!$K$4:$AJ$4,0))))+SUMPRODUCT((Inputs!$C$5:$C$120=$B55)*ISNUMBER(INDEX(Inputs!$K$5:$AJ$120,0,MATCH(L$2,Inputs!$K$4:$AJ$4,0))))+SUMPRODUCT((Inputs!$E$5:$E$120=$B55)*ISNUMBER(INDEX(Inputs!$K$5:$AJ$120,0,MATCH(L$2,Inputs!$K$4:$AJ$4,0))))=0,NA(),SUMPRODUCT((Inputs!$A$5:$A$120=$B55)*Inputs!$B$5:$B$120*(((Inputs!$G$5:$G$120="moeda")+(Inputs!$G$5:$G$120="acoes"))*Inputs!$B$1+((Inputs!$G$5:$G$120&lt;&gt;"moeda")*(Inputs!$G$5:$G$120&lt;&gt;"acoes")))*INDEX(Inputs!$K$5:$AJ$120,0,MATCH(L$2,Inputs!$K$4:$AJ$4,0)))+SUMPRODUCT((Inputs!$C$5:$C$120=$B55)*Inputs!$D$5:$D$120*(((Inputs!$G$5:$G$120="moeda")+(Inputs!$G$5:$G$120="acoes"))*Inputs!$B$1+((Inputs!$G$5:$G$120&lt;&gt;"moeda")*(Inputs!$G$5:$G$120&lt;&gt;"acoes")))*INDEX(Inputs!$K$5:$AJ$120,0,MATCH(L$2,Inputs!$K$4:$AJ$4,0)))+SUMPRODUCT((Inputs!$E$5:$E$120=$B55)*Inputs!$F$5:$F$120*(((Inputs!$G$5:$G$120="moeda")+(Inputs!$G$5:$G$120="acoes"))*Inputs!$B$1+((Inputs!$G$5:$G$120&lt;&gt;"moeda")*(Inputs!$G$5:$G$120&lt;&gt;"acoes")))*INDEX(Inputs!$K$5:$AJ$120,0,MATCH(L$2,Inputs!$K$4:$AJ$4,0)))))</f>
        <v>4127</v>
      </c>
      <c r="M55" s="514">
        <f>SUM(I55:L55)</f>
        <v>16850</v>
      </c>
      <c r="N55" s="513">
        <f>IF(ISNA(MATCH(N$2,Inputs!$K$4:$AJ$4,0)),NA(),IF(SUMPRODUCT((Inputs!$A$5:$A$120=$B55)*ISNUMBER(INDEX(Inputs!$K$5:$AJ$120,0,MATCH(N$2,Inputs!$K$4:$AJ$4,0))))+SUMPRODUCT((Inputs!$C$5:$C$120=$B55)*ISNUMBER(INDEX(Inputs!$K$5:$AJ$120,0,MATCH(N$2,Inputs!$K$4:$AJ$4,0))))+SUMPRODUCT((Inputs!$E$5:$E$120=$B55)*ISNUMBER(INDEX(Inputs!$K$5:$AJ$120,0,MATCH(N$2,Inputs!$K$4:$AJ$4,0))))=0,NA(),SUMPRODUCT((Inputs!$A$5:$A$120=$B55)*Inputs!$B$5:$B$120*(((Inputs!$G$5:$G$120="moeda")+(Inputs!$G$5:$G$120="acoes"))*Inputs!$B$1+((Inputs!$G$5:$G$120&lt;&gt;"moeda")*(Inputs!$G$5:$G$120&lt;&gt;"acoes")))*INDEX(Inputs!$K$5:$AJ$120,0,MATCH(N$2,Inputs!$K$4:$AJ$4,0)))+SUMPRODUCT((Inputs!$C$5:$C$120=$B55)*Inputs!$D$5:$D$120*(((Inputs!$G$5:$G$120="moeda")+(Inputs!$G$5:$G$120="acoes"))*Inputs!$B$1+((Inputs!$G$5:$G$120&lt;&gt;"moeda")*(Inputs!$G$5:$G$120&lt;&gt;"acoes")))*INDEX(Inputs!$K$5:$AJ$120,0,MATCH(N$2,Inputs!$K$4:$AJ$4,0)))+SUMPRODUCT((Inputs!$E$5:$E$120=$B55)*Inputs!$F$5:$F$120*(((Inputs!$G$5:$G$120="moeda")+(Inputs!$G$5:$G$120="acoes"))*Inputs!$B$1+((Inputs!$G$5:$G$120&lt;&gt;"moeda")*(Inputs!$G$5:$G$120&lt;&gt;"acoes")))*INDEX(Inputs!$K$5:$AJ$120,0,MATCH(N$2,Inputs!$K$4:$AJ$4,0)))))</f>
        <v>3888</v>
      </c>
      <c r="O55" s="513">
        <f>IF(ISNA(MATCH(O$2,Inputs!$K$4:$AJ$4,0)),NA(),IF(SUMPRODUCT((Inputs!$A$5:$A$120=$B55)*ISNUMBER(INDEX(Inputs!$K$5:$AJ$120,0,MATCH(O$2,Inputs!$K$4:$AJ$4,0))))+SUMPRODUCT((Inputs!$C$5:$C$120=$B55)*ISNUMBER(INDEX(Inputs!$K$5:$AJ$120,0,MATCH(O$2,Inputs!$K$4:$AJ$4,0))))+SUMPRODUCT((Inputs!$E$5:$E$120=$B55)*ISNUMBER(INDEX(Inputs!$K$5:$AJ$120,0,MATCH(O$2,Inputs!$K$4:$AJ$4,0))))=0,NA(),SUMPRODUCT((Inputs!$A$5:$A$120=$B55)*Inputs!$B$5:$B$120*(((Inputs!$G$5:$G$120="moeda")+(Inputs!$G$5:$G$120="acoes"))*Inputs!$B$1+((Inputs!$G$5:$G$120&lt;&gt;"moeda")*(Inputs!$G$5:$G$120&lt;&gt;"acoes")))*INDEX(Inputs!$K$5:$AJ$120,0,MATCH(O$2,Inputs!$K$4:$AJ$4,0)))+SUMPRODUCT((Inputs!$C$5:$C$120=$B55)*Inputs!$D$5:$D$120*(((Inputs!$G$5:$G$120="moeda")+(Inputs!$G$5:$G$120="acoes"))*Inputs!$B$1+((Inputs!$G$5:$G$120&lt;&gt;"moeda")*(Inputs!$G$5:$G$120&lt;&gt;"acoes")))*INDEX(Inputs!$K$5:$AJ$120,0,MATCH(O$2,Inputs!$K$4:$AJ$4,0)))+SUMPRODUCT((Inputs!$E$5:$E$120=$B55)*Inputs!$F$5:$F$120*(((Inputs!$G$5:$G$120="moeda")+(Inputs!$G$5:$G$120="acoes"))*Inputs!$B$1+((Inputs!$G$5:$G$120&lt;&gt;"moeda")*(Inputs!$G$5:$G$120&lt;&gt;"acoes")))*INDEX(Inputs!$K$5:$AJ$120,0,MATCH(O$2,Inputs!$K$4:$AJ$4,0)))))</f>
        <v>3601</v>
      </c>
      <c r="P55" s="513">
        <f>IF(ISNA(MATCH(P$2,Inputs!$K$4:$AJ$4,0)),NA(),IF(SUMPRODUCT((Inputs!$A$5:$A$120=$B55)*ISNUMBER(INDEX(Inputs!$K$5:$AJ$120,0,MATCH(P$2,Inputs!$K$4:$AJ$4,0))))+SUMPRODUCT((Inputs!$C$5:$C$120=$B55)*ISNUMBER(INDEX(Inputs!$K$5:$AJ$120,0,MATCH(P$2,Inputs!$K$4:$AJ$4,0))))+SUMPRODUCT((Inputs!$E$5:$E$120=$B55)*ISNUMBER(INDEX(Inputs!$K$5:$AJ$120,0,MATCH(P$2,Inputs!$K$4:$AJ$4,0))))=0,NA(),SUMPRODUCT((Inputs!$A$5:$A$120=$B55)*Inputs!$B$5:$B$120*(((Inputs!$G$5:$G$120="moeda")+(Inputs!$G$5:$G$120="acoes"))*Inputs!$B$1+((Inputs!$G$5:$G$120&lt;&gt;"moeda")*(Inputs!$G$5:$G$120&lt;&gt;"acoes")))*INDEX(Inputs!$K$5:$AJ$120,0,MATCH(P$2,Inputs!$K$4:$AJ$4,0)))+SUMPRODUCT((Inputs!$C$5:$C$120=$B55)*Inputs!$D$5:$D$120*(((Inputs!$G$5:$G$120="moeda")+(Inputs!$G$5:$G$120="acoes"))*Inputs!$B$1+((Inputs!$G$5:$G$120&lt;&gt;"moeda")*(Inputs!$G$5:$G$120&lt;&gt;"acoes")))*INDEX(Inputs!$K$5:$AJ$120,0,MATCH(P$2,Inputs!$K$4:$AJ$4,0)))+SUMPRODUCT((Inputs!$E$5:$E$120=$B55)*Inputs!$F$5:$F$120*(((Inputs!$G$5:$G$120="moeda")+(Inputs!$G$5:$G$120="acoes"))*Inputs!$B$1+((Inputs!$G$5:$G$120&lt;&gt;"moeda")*(Inputs!$G$5:$G$120&lt;&gt;"acoes")))*INDEX(Inputs!$K$5:$AJ$120,0,MATCH(P$2,Inputs!$K$4:$AJ$4,0)))))</f>
        <v>3601</v>
      </c>
      <c r="Q55" s="513">
        <f>IF(ISNA(MATCH(Q$2,Inputs!$K$4:$AJ$4,0)),NA(),IF(SUMPRODUCT((Inputs!$A$5:$A$120=$B55)*ISNUMBER(INDEX(Inputs!$K$5:$AJ$120,0,MATCH(Q$2,Inputs!$K$4:$AJ$4,0))))+SUMPRODUCT((Inputs!$C$5:$C$120=$B55)*ISNUMBER(INDEX(Inputs!$K$5:$AJ$120,0,MATCH(Q$2,Inputs!$K$4:$AJ$4,0))))+SUMPRODUCT((Inputs!$E$5:$E$120=$B55)*ISNUMBER(INDEX(Inputs!$K$5:$AJ$120,0,MATCH(Q$2,Inputs!$K$4:$AJ$4,0))))=0,NA(),SUMPRODUCT((Inputs!$A$5:$A$120=$B55)*Inputs!$B$5:$B$120*(((Inputs!$G$5:$G$120="moeda")+(Inputs!$G$5:$G$120="acoes"))*Inputs!$B$1+((Inputs!$G$5:$G$120&lt;&gt;"moeda")*(Inputs!$G$5:$G$120&lt;&gt;"acoes")))*INDEX(Inputs!$K$5:$AJ$120,0,MATCH(Q$2,Inputs!$K$4:$AJ$4,0)))+SUMPRODUCT((Inputs!$C$5:$C$120=$B55)*Inputs!$D$5:$D$120*(((Inputs!$G$5:$G$120="moeda")+(Inputs!$G$5:$G$120="acoes"))*Inputs!$B$1+((Inputs!$G$5:$G$120&lt;&gt;"moeda")*(Inputs!$G$5:$G$120&lt;&gt;"acoes")))*INDEX(Inputs!$K$5:$AJ$120,0,MATCH(Q$2,Inputs!$K$4:$AJ$4,0)))+SUMPRODUCT((Inputs!$E$5:$E$120=$B55)*Inputs!$F$5:$F$120*(((Inputs!$G$5:$G$120="moeda")+(Inputs!$G$5:$G$120="acoes"))*Inputs!$B$1+((Inputs!$G$5:$G$120&lt;&gt;"moeda")*(Inputs!$G$5:$G$120&lt;&gt;"acoes")))*INDEX(Inputs!$K$5:$AJ$120,0,MATCH(Q$2,Inputs!$K$4:$AJ$4,0)))))</f>
        <v>3513</v>
      </c>
      <c r="R55" s="514">
        <f>SUM(N55:Q55)</f>
        <v>14603</v>
      </c>
      <c r="S55" s="513">
        <f>IF(ISNA(MATCH(S$2,Inputs!$K$4:$AJ$4,0)),NA(),IF(SUMPRODUCT((Inputs!$A$5:$A$120=$B55)*ISNUMBER(INDEX(Inputs!$K$5:$AJ$120,0,MATCH(S$2,Inputs!$K$4:$AJ$4,0))))+SUMPRODUCT((Inputs!$C$5:$C$120=$B55)*ISNUMBER(INDEX(Inputs!$K$5:$AJ$120,0,MATCH(S$2,Inputs!$K$4:$AJ$4,0))))+SUMPRODUCT((Inputs!$E$5:$E$120=$B55)*ISNUMBER(INDEX(Inputs!$K$5:$AJ$120,0,MATCH(S$2,Inputs!$K$4:$AJ$4,0))))=0,NA(),SUMPRODUCT((Inputs!$A$5:$A$120=$B55)*Inputs!$B$5:$B$120*(((Inputs!$G$5:$G$120="moeda")+(Inputs!$G$5:$G$120="acoes"))*Inputs!$B$1+((Inputs!$G$5:$G$120&lt;&gt;"moeda")*(Inputs!$G$5:$G$120&lt;&gt;"acoes")))*INDEX(Inputs!$K$5:$AJ$120,0,MATCH(S$2,Inputs!$K$4:$AJ$4,0)))+SUMPRODUCT((Inputs!$C$5:$C$120=$B55)*Inputs!$D$5:$D$120*(((Inputs!$G$5:$G$120="moeda")+(Inputs!$G$5:$G$120="acoes"))*Inputs!$B$1+((Inputs!$G$5:$G$120&lt;&gt;"moeda")*(Inputs!$G$5:$G$120&lt;&gt;"acoes")))*INDEX(Inputs!$K$5:$AJ$120,0,MATCH(S$2,Inputs!$K$4:$AJ$4,0)))+SUMPRODUCT((Inputs!$E$5:$E$120=$B55)*Inputs!$F$5:$F$120*(((Inputs!$G$5:$G$120="moeda")+(Inputs!$G$5:$G$120="acoes"))*Inputs!$B$1+((Inputs!$G$5:$G$120&lt;&gt;"moeda")*(Inputs!$G$5:$G$120&lt;&gt;"acoes")))*INDEX(Inputs!$K$5:$AJ$120,0,MATCH(S$2,Inputs!$K$4:$AJ$4,0)))))</f>
        <v>3240</v>
      </c>
      <c r="T55" s="513">
        <f>IF(ISNA(MATCH(T$2,Inputs!$K$4:$AJ$4,0)),NA(),IF(SUMPRODUCT((Inputs!$A$5:$A$120=$B55)*ISNUMBER(INDEX(Inputs!$K$5:$AJ$120,0,MATCH(T$2,Inputs!$K$4:$AJ$4,0))))+SUMPRODUCT((Inputs!$C$5:$C$120=$B55)*ISNUMBER(INDEX(Inputs!$K$5:$AJ$120,0,MATCH(T$2,Inputs!$K$4:$AJ$4,0))))+SUMPRODUCT((Inputs!$E$5:$E$120=$B55)*ISNUMBER(INDEX(Inputs!$K$5:$AJ$120,0,MATCH(T$2,Inputs!$K$4:$AJ$4,0))))=0,NA(),SUMPRODUCT((Inputs!$A$5:$A$120=$B55)*Inputs!$B$5:$B$120*(((Inputs!$G$5:$G$120="moeda")+(Inputs!$G$5:$G$120="acoes"))*Inputs!$B$1+((Inputs!$G$5:$G$120&lt;&gt;"moeda")*(Inputs!$G$5:$G$120&lt;&gt;"acoes")))*INDEX(Inputs!$K$5:$AJ$120,0,MATCH(T$2,Inputs!$K$4:$AJ$4,0)))+SUMPRODUCT((Inputs!$C$5:$C$120=$B55)*Inputs!$D$5:$D$120*(((Inputs!$G$5:$G$120="moeda")+(Inputs!$G$5:$G$120="acoes"))*Inputs!$B$1+((Inputs!$G$5:$G$120&lt;&gt;"moeda")*(Inputs!$G$5:$G$120&lt;&gt;"acoes")))*INDEX(Inputs!$K$5:$AJ$120,0,MATCH(T$2,Inputs!$K$4:$AJ$4,0)))+SUMPRODUCT((Inputs!$E$5:$E$120=$B55)*Inputs!$F$5:$F$120*(((Inputs!$G$5:$G$120="moeda")+(Inputs!$G$5:$G$120="acoes"))*Inputs!$B$1+((Inputs!$G$5:$G$120&lt;&gt;"moeda")*(Inputs!$G$5:$G$120&lt;&gt;"acoes")))*INDEX(Inputs!$K$5:$AJ$120,0,MATCH(T$2,Inputs!$K$4:$AJ$4,0)))))</f>
        <v>3121</v>
      </c>
      <c r="U55" s="513">
        <f>IF(ISNA(MATCH(U$2,Inputs!$K$4:$AJ$4,0)),NA(),IF(SUMPRODUCT((Inputs!$A$5:$A$120=$B55)*ISNUMBER(INDEX(Inputs!$K$5:$AJ$120,0,MATCH(U$2,Inputs!$K$4:$AJ$4,0))))+SUMPRODUCT((Inputs!$C$5:$C$120=$B55)*ISNUMBER(INDEX(Inputs!$K$5:$AJ$120,0,MATCH(U$2,Inputs!$K$4:$AJ$4,0))))+SUMPRODUCT((Inputs!$E$5:$E$120=$B55)*ISNUMBER(INDEX(Inputs!$K$5:$AJ$120,0,MATCH(U$2,Inputs!$K$4:$AJ$4,0))))=0,NA(),SUMPRODUCT((Inputs!$A$5:$A$120=$B55)*Inputs!$B$5:$B$120*(((Inputs!$G$5:$G$120="moeda")+(Inputs!$G$5:$G$120="acoes"))*Inputs!$B$1+((Inputs!$G$5:$G$120&lt;&gt;"moeda")*(Inputs!$G$5:$G$120&lt;&gt;"acoes")))*INDEX(Inputs!$K$5:$AJ$120,0,MATCH(U$2,Inputs!$K$4:$AJ$4,0)))+SUMPRODUCT((Inputs!$C$5:$C$120=$B55)*Inputs!$D$5:$D$120*(((Inputs!$G$5:$G$120="moeda")+(Inputs!$G$5:$G$120="acoes"))*Inputs!$B$1+((Inputs!$G$5:$G$120&lt;&gt;"moeda")*(Inputs!$G$5:$G$120&lt;&gt;"acoes")))*INDEX(Inputs!$K$5:$AJ$120,0,MATCH(U$2,Inputs!$K$4:$AJ$4,0)))+SUMPRODUCT((Inputs!$E$5:$E$120=$B55)*Inputs!$F$5:$F$120*(((Inputs!$G$5:$G$120="moeda")+(Inputs!$G$5:$G$120="acoes"))*Inputs!$B$1+((Inputs!$G$5:$G$120&lt;&gt;"moeda")*(Inputs!$G$5:$G$120&lt;&gt;"acoes")))*INDEX(Inputs!$K$5:$AJ$120,0,MATCH(U$2,Inputs!$K$4:$AJ$4,0)))))</f>
        <v>3158</v>
      </c>
      <c r="V55" s="513">
        <f>IF(ISNA(MATCH(V$2,Inputs!$K$4:$AJ$4,0)),NA(),IF(SUMPRODUCT((Inputs!$A$5:$A$120=$B55)*ISNUMBER(INDEX(Inputs!$K$5:$AJ$120,0,MATCH(V$2,Inputs!$K$4:$AJ$4,0))))+SUMPRODUCT((Inputs!$C$5:$C$120=$B55)*ISNUMBER(INDEX(Inputs!$K$5:$AJ$120,0,MATCH(V$2,Inputs!$K$4:$AJ$4,0))))+SUMPRODUCT((Inputs!$E$5:$E$120=$B55)*ISNUMBER(INDEX(Inputs!$K$5:$AJ$120,0,MATCH(V$2,Inputs!$K$4:$AJ$4,0))))=0,NA(),SUMPRODUCT((Inputs!$A$5:$A$120=$B55)*Inputs!$B$5:$B$120*(((Inputs!$G$5:$G$120="moeda")+(Inputs!$G$5:$G$120="acoes"))*Inputs!$B$1+((Inputs!$G$5:$G$120&lt;&gt;"moeda")*(Inputs!$G$5:$G$120&lt;&gt;"acoes")))*INDEX(Inputs!$K$5:$AJ$120,0,MATCH(V$2,Inputs!$K$4:$AJ$4,0)))+SUMPRODUCT((Inputs!$C$5:$C$120=$B55)*Inputs!$D$5:$D$120*(((Inputs!$G$5:$G$120="moeda")+(Inputs!$G$5:$G$120="acoes"))*Inputs!$B$1+((Inputs!$G$5:$G$120&lt;&gt;"moeda")*(Inputs!$G$5:$G$120&lt;&gt;"acoes")))*INDEX(Inputs!$K$5:$AJ$120,0,MATCH(V$2,Inputs!$K$4:$AJ$4,0)))+SUMPRODUCT((Inputs!$E$5:$E$120=$B55)*Inputs!$F$5:$F$120*(((Inputs!$G$5:$G$120="moeda")+(Inputs!$G$5:$G$120="acoes"))*Inputs!$B$1+((Inputs!$G$5:$G$120&lt;&gt;"moeda")*(Inputs!$G$5:$G$120&lt;&gt;"acoes")))*INDEX(Inputs!$K$5:$AJ$120,0,MATCH(V$2,Inputs!$K$4:$AJ$4,0)))))</f>
        <v>3252</v>
      </c>
      <c r="W55" s="514">
        <f>SUM(S55:V55)</f>
        <v>12771</v>
      </c>
      <c r="X55" s="513">
        <f>IF(ISNA(MATCH(X$2,Inputs!$K$4:$AJ$4,0)),NA(),IF(SUMPRODUCT((Inputs!$A$5:$A$120=$B55)*ISNUMBER(INDEX(Inputs!$K$5:$AJ$120,0,MATCH(X$2,Inputs!$K$4:$AJ$4,0))))+SUMPRODUCT((Inputs!$C$5:$C$120=$B55)*ISNUMBER(INDEX(Inputs!$K$5:$AJ$120,0,MATCH(X$2,Inputs!$K$4:$AJ$4,0))))+SUMPRODUCT((Inputs!$E$5:$E$120=$B55)*ISNUMBER(INDEX(Inputs!$K$5:$AJ$120,0,MATCH(X$2,Inputs!$K$4:$AJ$4,0))))=0,NA(),SUMPRODUCT((Inputs!$A$5:$A$120=$B55)*Inputs!$B$5:$B$120*(((Inputs!$G$5:$G$120="moeda")+(Inputs!$G$5:$G$120="acoes"))*Inputs!$B$1+((Inputs!$G$5:$G$120&lt;&gt;"moeda")*(Inputs!$G$5:$G$120&lt;&gt;"acoes")))*INDEX(Inputs!$K$5:$AJ$120,0,MATCH(X$2,Inputs!$K$4:$AJ$4,0)))+SUMPRODUCT((Inputs!$C$5:$C$120=$B55)*Inputs!$D$5:$D$120*(((Inputs!$G$5:$G$120="moeda")+(Inputs!$G$5:$G$120="acoes"))*Inputs!$B$1+((Inputs!$G$5:$G$120&lt;&gt;"moeda")*(Inputs!$G$5:$G$120&lt;&gt;"acoes")))*INDEX(Inputs!$K$5:$AJ$120,0,MATCH(X$2,Inputs!$K$4:$AJ$4,0)))+SUMPRODUCT((Inputs!$E$5:$E$120=$B55)*Inputs!$F$5:$F$120*(((Inputs!$G$5:$G$120="moeda")+(Inputs!$G$5:$G$120="acoes"))*Inputs!$B$1+((Inputs!$G$5:$G$120&lt;&gt;"moeda")*(Inputs!$G$5:$G$120&lt;&gt;"acoes")))*INDEX(Inputs!$K$5:$AJ$120,0,MATCH(X$2,Inputs!$K$4:$AJ$4,0)))))</f>
        <v>3092</v>
      </c>
      <c r="Y55" s="513">
        <f>IF(ISNA(MATCH(Y$2,Inputs!$K$4:$AJ$4,0)),NA(),IF(SUMPRODUCT((Inputs!$A$5:$A$120=$B55)*ISNUMBER(INDEX(Inputs!$K$5:$AJ$120,0,MATCH(Y$2,Inputs!$K$4:$AJ$4,0))))+SUMPRODUCT((Inputs!$C$5:$C$120=$B55)*ISNUMBER(INDEX(Inputs!$K$5:$AJ$120,0,MATCH(Y$2,Inputs!$K$4:$AJ$4,0))))+SUMPRODUCT((Inputs!$E$5:$E$120=$B55)*ISNUMBER(INDEX(Inputs!$K$5:$AJ$120,0,MATCH(Y$2,Inputs!$K$4:$AJ$4,0))))=0,NA(),SUMPRODUCT((Inputs!$A$5:$A$120=$B55)*Inputs!$B$5:$B$120*(((Inputs!$G$5:$G$120="moeda")+(Inputs!$G$5:$G$120="acoes"))*Inputs!$B$1+((Inputs!$G$5:$G$120&lt;&gt;"moeda")*(Inputs!$G$5:$G$120&lt;&gt;"acoes")))*INDEX(Inputs!$K$5:$AJ$120,0,MATCH(Y$2,Inputs!$K$4:$AJ$4,0)))+SUMPRODUCT((Inputs!$C$5:$C$120=$B55)*Inputs!$D$5:$D$120*(((Inputs!$G$5:$G$120="moeda")+(Inputs!$G$5:$G$120="acoes"))*Inputs!$B$1+((Inputs!$G$5:$G$120&lt;&gt;"moeda")*(Inputs!$G$5:$G$120&lt;&gt;"acoes")))*INDEX(Inputs!$K$5:$AJ$120,0,MATCH(Y$2,Inputs!$K$4:$AJ$4,0)))+SUMPRODUCT((Inputs!$E$5:$E$120=$B55)*Inputs!$F$5:$F$120*(((Inputs!$G$5:$G$120="moeda")+(Inputs!$G$5:$G$120="acoes"))*Inputs!$B$1+((Inputs!$G$5:$G$120&lt;&gt;"moeda")*(Inputs!$G$5:$G$120&lt;&gt;"acoes")))*INDEX(Inputs!$K$5:$AJ$120,0,MATCH(Y$2,Inputs!$K$4:$AJ$4,0)))))</f>
        <v>3177</v>
      </c>
      <c r="Z55" s="513" t="e">
        <f>IF(ISNA(MATCH(Z$2,Inputs!$K$4:$AJ$4,0)),NA(),IF(SUMPRODUCT((Inputs!$A$5:$A$120=$B55)*ISNUMBER(INDEX(Inputs!$K$5:$AJ$120,0,MATCH(Z$2,Inputs!$K$4:$AJ$4,0))))+SUMPRODUCT((Inputs!$C$5:$C$120=$B55)*ISNUMBER(INDEX(Inputs!$K$5:$AJ$120,0,MATCH(Z$2,Inputs!$K$4:$AJ$4,0))))+SUMPRODUCT((Inputs!$E$5:$E$120=$B55)*ISNUMBER(INDEX(Inputs!$K$5:$AJ$120,0,MATCH(Z$2,Inputs!$K$4:$AJ$4,0))))=0,NA(),SUMPRODUCT((Inputs!$A$5:$A$120=$B55)*Inputs!$B$5:$B$120*(((Inputs!$G$5:$G$120="moeda")+(Inputs!$G$5:$G$120="acoes"))*Inputs!$B$1+((Inputs!$G$5:$G$120&lt;&gt;"moeda")*(Inputs!$G$5:$G$120&lt;&gt;"acoes")))*INDEX(Inputs!$K$5:$AJ$120,0,MATCH(Z$2,Inputs!$K$4:$AJ$4,0)))+SUMPRODUCT((Inputs!$C$5:$C$120=$B55)*Inputs!$D$5:$D$120*(((Inputs!$G$5:$G$120="moeda")+(Inputs!$G$5:$G$120="acoes"))*Inputs!$B$1+((Inputs!$G$5:$G$120&lt;&gt;"moeda")*(Inputs!$G$5:$G$120&lt;&gt;"acoes")))*INDEX(Inputs!$K$5:$AJ$120,0,MATCH(Z$2,Inputs!$K$4:$AJ$4,0)))+SUMPRODUCT((Inputs!$E$5:$E$120=$B55)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5" s="513" t="e">
        <f>IF(ISNA(MATCH(AA$2,Inputs!$K$4:$AJ$4,0)),NA(),IF(SUMPRODUCT((Inputs!$A$5:$A$120=$B55)*ISNUMBER(INDEX(Inputs!$K$5:$AJ$120,0,MATCH(AA$2,Inputs!$K$4:$AJ$4,0))))+SUMPRODUCT((Inputs!$C$5:$C$120=$B55)*ISNUMBER(INDEX(Inputs!$K$5:$AJ$120,0,MATCH(AA$2,Inputs!$K$4:$AJ$4,0))))+SUMPRODUCT((Inputs!$E$5:$E$120=$B55)*ISNUMBER(INDEX(Inputs!$K$5:$AJ$120,0,MATCH(AA$2,Inputs!$K$4:$AJ$4,0))))=0,NA(),SUMPRODUCT((Inputs!$A$5:$A$120=$B55)*Inputs!$B$5:$B$120*(((Inputs!$G$5:$G$120="moeda")+(Inputs!$G$5:$G$120="acoes"))*Inputs!$B$1+((Inputs!$G$5:$G$120&lt;&gt;"moeda")*(Inputs!$G$5:$G$120&lt;&gt;"acoes")))*INDEX(Inputs!$K$5:$AJ$120,0,MATCH(AA$2,Inputs!$K$4:$AJ$4,0)))+SUMPRODUCT((Inputs!$C$5:$C$120=$B55)*Inputs!$D$5:$D$120*(((Inputs!$G$5:$G$120="moeda")+(Inputs!$G$5:$G$120="acoes"))*Inputs!$B$1+((Inputs!$G$5:$G$120&lt;&gt;"moeda")*(Inputs!$G$5:$G$120&lt;&gt;"acoes")))*INDEX(Inputs!$K$5:$AJ$120,0,MATCH(AA$2,Inputs!$K$4:$AJ$4,0)))+SUMPRODUCT((Inputs!$E$5:$E$120=$B55)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5" s="514" t="e">
        <f>SUM(X55:AA55)</f>
        <v>#N/A</v>
      </c>
      <c r="AC55" s="513" t="e">
        <f>IF(ISNA(MATCH(AC$2,Inputs!$K$4:$AJ$4,0)),NA(),IF(SUMPRODUCT((Inputs!$A$5:$A$120=$B55)*ISNUMBER(INDEX(Inputs!$K$5:$AJ$120,0,MATCH(AC$2,Inputs!$K$4:$AJ$4,0))))+SUMPRODUCT((Inputs!$C$5:$C$120=$B55)*ISNUMBER(INDEX(Inputs!$K$5:$AJ$120,0,MATCH(AC$2,Inputs!$K$4:$AJ$4,0))))+SUMPRODUCT((Inputs!$E$5:$E$120=$B55)*ISNUMBER(INDEX(Inputs!$K$5:$AJ$120,0,MATCH(AC$2,Inputs!$K$4:$AJ$4,0))))=0,NA(),SUMPRODUCT((Inputs!$A$5:$A$120=$B55)*Inputs!$B$5:$B$120*(((Inputs!$G$5:$G$120="moeda")+(Inputs!$G$5:$G$120="acoes"))*Inputs!$B$1+((Inputs!$G$5:$G$120&lt;&gt;"moeda")*(Inputs!$G$5:$G$120&lt;&gt;"acoes")))*INDEX(Inputs!$K$5:$AJ$120,0,MATCH(AC$2,Inputs!$K$4:$AJ$4,0)))+SUMPRODUCT((Inputs!$C$5:$C$120=$B55)*Inputs!$D$5:$D$120*(((Inputs!$G$5:$G$120="moeda")+(Inputs!$G$5:$G$120="acoes"))*Inputs!$B$1+((Inputs!$G$5:$G$120&lt;&gt;"moeda")*(Inputs!$G$5:$G$120&lt;&gt;"acoes")))*INDEX(Inputs!$K$5:$AJ$120,0,MATCH(AC$2,Inputs!$K$4:$AJ$4,0)))+SUMPRODUCT((Inputs!$E$5:$E$120=$B55)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5" s="513" t="e">
        <f>IF(ISNA(MATCH(AD$2,Inputs!$K$4:$AJ$4,0)),NA(),IF(SUMPRODUCT((Inputs!$A$5:$A$120=$B55)*ISNUMBER(INDEX(Inputs!$K$5:$AJ$120,0,MATCH(AD$2,Inputs!$K$4:$AJ$4,0))))+SUMPRODUCT((Inputs!$C$5:$C$120=$B55)*ISNUMBER(INDEX(Inputs!$K$5:$AJ$120,0,MATCH(AD$2,Inputs!$K$4:$AJ$4,0))))+SUMPRODUCT((Inputs!$E$5:$E$120=$B55)*ISNUMBER(INDEX(Inputs!$K$5:$AJ$120,0,MATCH(AD$2,Inputs!$K$4:$AJ$4,0))))=0,NA(),SUMPRODUCT((Inputs!$A$5:$A$120=$B55)*Inputs!$B$5:$B$120*(((Inputs!$G$5:$G$120="moeda")+(Inputs!$G$5:$G$120="acoes"))*Inputs!$B$1+((Inputs!$G$5:$G$120&lt;&gt;"moeda")*(Inputs!$G$5:$G$120&lt;&gt;"acoes")))*INDEX(Inputs!$K$5:$AJ$120,0,MATCH(AD$2,Inputs!$K$4:$AJ$4,0)))+SUMPRODUCT((Inputs!$C$5:$C$120=$B55)*Inputs!$D$5:$D$120*(((Inputs!$G$5:$G$120="moeda")+(Inputs!$G$5:$G$120="acoes"))*Inputs!$B$1+((Inputs!$G$5:$G$120&lt;&gt;"moeda")*(Inputs!$G$5:$G$120&lt;&gt;"acoes")))*INDEX(Inputs!$K$5:$AJ$120,0,MATCH(AD$2,Inputs!$K$4:$AJ$4,0)))+SUMPRODUCT((Inputs!$E$5:$E$120=$B55)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5" s="513" t="e">
        <f>IF(ISNA(MATCH(AE$2,Inputs!$K$4:$AJ$4,0)),NA(),IF(SUMPRODUCT((Inputs!$A$5:$A$120=$B55)*ISNUMBER(INDEX(Inputs!$K$5:$AJ$120,0,MATCH(AE$2,Inputs!$K$4:$AJ$4,0))))+SUMPRODUCT((Inputs!$C$5:$C$120=$B55)*ISNUMBER(INDEX(Inputs!$K$5:$AJ$120,0,MATCH(AE$2,Inputs!$K$4:$AJ$4,0))))+SUMPRODUCT((Inputs!$E$5:$E$120=$B55)*ISNUMBER(INDEX(Inputs!$K$5:$AJ$120,0,MATCH(AE$2,Inputs!$K$4:$AJ$4,0))))=0,NA(),SUMPRODUCT((Inputs!$A$5:$A$120=$B55)*Inputs!$B$5:$B$120*(((Inputs!$G$5:$G$120="moeda")+(Inputs!$G$5:$G$120="acoes"))*Inputs!$B$1+((Inputs!$G$5:$G$120&lt;&gt;"moeda")*(Inputs!$G$5:$G$120&lt;&gt;"acoes")))*INDEX(Inputs!$K$5:$AJ$120,0,MATCH(AE$2,Inputs!$K$4:$AJ$4,0)))+SUMPRODUCT((Inputs!$C$5:$C$120=$B55)*Inputs!$D$5:$D$120*(((Inputs!$G$5:$G$120="moeda")+(Inputs!$G$5:$G$120="acoes"))*Inputs!$B$1+((Inputs!$G$5:$G$120&lt;&gt;"moeda")*(Inputs!$G$5:$G$120&lt;&gt;"acoes")))*INDEX(Inputs!$K$5:$AJ$120,0,MATCH(AE$2,Inputs!$K$4:$AJ$4,0)))+SUMPRODUCT((Inputs!$E$5:$E$120=$B55)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5" s="513" t="e">
        <f>IF(ISNA(MATCH(AF$2,Inputs!$K$4:$AJ$4,0)),NA(),IF(SUMPRODUCT((Inputs!$A$5:$A$120=$B55)*ISNUMBER(INDEX(Inputs!$K$5:$AJ$120,0,MATCH(AF$2,Inputs!$K$4:$AJ$4,0))))+SUMPRODUCT((Inputs!$C$5:$C$120=$B55)*ISNUMBER(INDEX(Inputs!$K$5:$AJ$120,0,MATCH(AF$2,Inputs!$K$4:$AJ$4,0))))+SUMPRODUCT((Inputs!$E$5:$E$120=$B55)*ISNUMBER(INDEX(Inputs!$K$5:$AJ$120,0,MATCH(AF$2,Inputs!$K$4:$AJ$4,0))))=0,NA(),SUMPRODUCT((Inputs!$A$5:$A$120=$B55)*Inputs!$B$5:$B$120*(((Inputs!$G$5:$G$120="moeda")+(Inputs!$G$5:$G$120="acoes"))*Inputs!$B$1+((Inputs!$G$5:$G$120&lt;&gt;"moeda")*(Inputs!$G$5:$G$120&lt;&gt;"acoes")))*INDEX(Inputs!$K$5:$AJ$120,0,MATCH(AF$2,Inputs!$K$4:$AJ$4,0)))+SUMPRODUCT((Inputs!$C$5:$C$120=$B55)*Inputs!$D$5:$D$120*(((Inputs!$G$5:$G$120="moeda")+(Inputs!$G$5:$G$120="acoes"))*Inputs!$B$1+((Inputs!$G$5:$G$120&lt;&gt;"moeda")*(Inputs!$G$5:$G$120&lt;&gt;"acoes")))*INDEX(Inputs!$K$5:$AJ$120,0,MATCH(AF$2,Inputs!$K$4:$AJ$4,0)))+SUMPRODUCT((Inputs!$E$5:$E$120=$B55)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5" s="514" t="e">
        <f>SUM(AC55:AF55)</f>
        <v>#N/A</v>
      </c>
      <c r="AH55" s="513">
        <f>IF(ISNA(MATCH(AH$2,Inputs!$K$4:$AJ$4,0)),NA(),IF(SUMPRODUCT((Inputs!$A$5:$A$120=$B55)*ISNUMBER(INDEX(Inputs!$K$5:$AJ$120,0,MATCH(AH$2,Inputs!$K$4:$AJ$4,0))))+SUMPRODUCT((Inputs!$C$5:$C$120=$B55)*ISNUMBER(INDEX(Inputs!$K$5:$AJ$120,0,MATCH(AH$2,Inputs!$K$4:$AJ$4,0))))+SUMPRODUCT((Inputs!$E$5:$E$120=$B55)*ISNUMBER(INDEX(Inputs!$K$5:$AJ$120,0,MATCH(AH$2,Inputs!$K$4:$AJ$4,0))))=0,NA(),SUMPRODUCT((Inputs!$A$5:$A$120=$B55)*Inputs!$B$5:$B$120*(((Inputs!$G$5:$G$120="moeda")+(Inputs!$G$5:$G$120="acoes"))*Inputs!$B$1+((Inputs!$G$5:$G$120&lt;&gt;"moeda")*(Inputs!$G$5:$G$120&lt;&gt;"acoes")))*INDEX(Inputs!$K$5:$AJ$120,0,MATCH(AH$2,Inputs!$K$4:$AJ$4,0)))+SUMPRODUCT((Inputs!$C$5:$C$120=$B55)*Inputs!$D$5:$D$120*(((Inputs!$G$5:$G$120="moeda")+(Inputs!$G$5:$G$120="acoes"))*Inputs!$B$1+((Inputs!$G$5:$G$120&lt;&gt;"moeda")*(Inputs!$G$5:$G$120&lt;&gt;"acoes")))*INDEX(Inputs!$K$5:$AJ$120,0,MATCH(AH$2,Inputs!$K$4:$AJ$4,0)))+SUMPRODUCT((Inputs!$E$5:$E$120=$B55)*Inputs!$F$5:$F$120*(((Inputs!$G$5:$G$120="moeda")+(Inputs!$G$5:$G$120="acoes"))*Inputs!$B$1+((Inputs!$G$5:$G$120&lt;&gt;"moeda")*(Inputs!$G$5:$G$120&lt;&gt;"acoes")))*INDEX(Inputs!$K$5:$AJ$120,0,MATCH(AH$2,Inputs!$K$4:$AJ$4,0)))))</f>
        <v>2325</v>
      </c>
      <c r="AI55" s="513">
        <f>IF(ISNA(MATCH(AI$2,Inputs!$K$4:$AJ$4,0)),NA(),IF(SUMPRODUCT((Inputs!$A$5:$A$120=$B55)*ISNUMBER(INDEX(Inputs!$K$5:$AJ$120,0,MATCH(AI$2,Inputs!$K$4:$AJ$4,0))))+SUMPRODUCT((Inputs!$C$5:$C$120=$B55)*ISNUMBER(INDEX(Inputs!$K$5:$AJ$120,0,MATCH(AI$2,Inputs!$K$4:$AJ$4,0))))+SUMPRODUCT((Inputs!$E$5:$E$120=$B55)*ISNUMBER(INDEX(Inputs!$K$5:$AJ$120,0,MATCH(AI$2,Inputs!$K$4:$AJ$4,0))))=0,NA(),SUMPRODUCT((Inputs!$A$5:$A$120=$B55)*Inputs!$B$5:$B$120*(((Inputs!$G$5:$G$120="moeda")+(Inputs!$G$5:$G$120="acoes"))*Inputs!$B$1+((Inputs!$G$5:$G$120&lt;&gt;"moeda")*(Inputs!$G$5:$G$120&lt;&gt;"acoes")))*INDEX(Inputs!$K$5:$AJ$120,0,MATCH(AI$2,Inputs!$K$4:$AJ$4,0)))+SUMPRODUCT((Inputs!$C$5:$C$120=$B55)*Inputs!$D$5:$D$120*(((Inputs!$G$5:$G$120="moeda")+(Inputs!$G$5:$G$120="acoes"))*Inputs!$B$1+((Inputs!$G$5:$G$120&lt;&gt;"moeda")*(Inputs!$G$5:$G$120&lt;&gt;"acoes")))*INDEX(Inputs!$K$5:$AJ$120,0,MATCH(AI$2,Inputs!$K$4:$AJ$4,0)))+SUMPRODUCT((Inputs!$E$5:$E$120=$B55)*Inputs!$F$5:$F$120*(((Inputs!$G$5:$G$120="moeda")+(Inputs!$G$5:$G$120="acoes"))*Inputs!$B$1+((Inputs!$G$5:$G$120&lt;&gt;"moeda")*(Inputs!$G$5:$G$120&lt;&gt;"acoes")))*INDEX(Inputs!$K$5:$AJ$120,0,MATCH(AI$2,Inputs!$K$4:$AJ$4,0)))))</f>
        <v>2129</v>
      </c>
      <c r="AJ55" s="513">
        <f>IF(ISNA(MATCH(AJ$2,Inputs!$K$4:$AJ$4,0)),NA(),IF(SUMPRODUCT((Inputs!$A$5:$A$120=$B55)*ISNUMBER(INDEX(Inputs!$K$5:$AJ$120,0,MATCH(AJ$2,Inputs!$K$4:$AJ$4,0))))+SUMPRODUCT((Inputs!$C$5:$C$120=$B55)*ISNUMBER(INDEX(Inputs!$K$5:$AJ$120,0,MATCH(AJ$2,Inputs!$K$4:$AJ$4,0))))+SUMPRODUCT((Inputs!$E$5:$E$120=$B55)*ISNUMBER(INDEX(Inputs!$K$5:$AJ$120,0,MATCH(AJ$2,Inputs!$K$4:$AJ$4,0))))=0,NA(),SUMPRODUCT((Inputs!$A$5:$A$120=$B55)*Inputs!$B$5:$B$120*(((Inputs!$G$5:$G$120="moeda")+(Inputs!$G$5:$G$120="acoes"))*Inputs!$B$1+((Inputs!$G$5:$G$120&lt;&gt;"moeda")*(Inputs!$G$5:$G$120&lt;&gt;"acoes")))*INDEX(Inputs!$K$5:$AJ$120,0,MATCH(AJ$2,Inputs!$K$4:$AJ$4,0)))+SUMPRODUCT((Inputs!$C$5:$C$120=$B55)*Inputs!$D$5:$D$120*(((Inputs!$G$5:$G$120="moeda")+(Inputs!$G$5:$G$120="acoes"))*Inputs!$B$1+((Inputs!$G$5:$G$120&lt;&gt;"moeda")*(Inputs!$G$5:$G$120&lt;&gt;"acoes")))*INDEX(Inputs!$K$5:$AJ$120,0,MATCH(AJ$2,Inputs!$K$4:$AJ$4,0)))+SUMPRODUCT((Inputs!$E$5:$E$120=$B55)*Inputs!$F$5:$F$120*(((Inputs!$G$5:$G$120="moeda")+(Inputs!$G$5:$G$120="acoes"))*Inputs!$B$1+((Inputs!$G$5:$G$120&lt;&gt;"moeda")*(Inputs!$G$5:$G$120&lt;&gt;"acoes")))*INDEX(Inputs!$K$5:$AJ$120,0,MATCH(AJ$2,Inputs!$K$4:$AJ$4,0)))))</f>
        <v>2432</v>
      </c>
      <c r="AK55" s="513">
        <f>IF(ISNA(MATCH(AK$2,Inputs!$K$4:$AJ$4,0)),NA(),IF(SUMPRODUCT((Inputs!$A$5:$A$120=$B55)*ISNUMBER(INDEX(Inputs!$K$5:$AJ$120,0,MATCH(AK$2,Inputs!$K$4:$AJ$4,0))))+SUMPRODUCT((Inputs!$C$5:$C$120=$B55)*ISNUMBER(INDEX(Inputs!$K$5:$AJ$120,0,MATCH(AK$2,Inputs!$K$4:$AJ$4,0))))+SUMPRODUCT((Inputs!$E$5:$E$120=$B55)*ISNUMBER(INDEX(Inputs!$K$5:$AJ$120,0,MATCH(AK$2,Inputs!$K$4:$AJ$4,0))))=0,NA(),SUMPRODUCT((Inputs!$A$5:$A$120=$B55)*Inputs!$B$5:$B$120*(((Inputs!$G$5:$G$120="moeda")+(Inputs!$G$5:$G$120="acoes"))*Inputs!$B$1+((Inputs!$G$5:$G$120&lt;&gt;"moeda")*(Inputs!$G$5:$G$120&lt;&gt;"acoes")))*INDEX(Inputs!$K$5:$AJ$120,0,MATCH(AK$2,Inputs!$K$4:$AJ$4,0)))+SUMPRODUCT((Inputs!$C$5:$C$120=$B55)*Inputs!$D$5:$D$120*(((Inputs!$G$5:$G$120="moeda")+(Inputs!$G$5:$G$120="acoes"))*Inputs!$B$1+((Inputs!$G$5:$G$120&lt;&gt;"moeda")*(Inputs!$G$5:$G$120&lt;&gt;"acoes")))*INDEX(Inputs!$K$5:$AJ$120,0,MATCH(AK$2,Inputs!$K$4:$AJ$4,0)))+SUMPRODUCT((Inputs!$E$5:$E$120=$B55)*Inputs!$F$5:$F$120*(((Inputs!$G$5:$G$120="moeda")+(Inputs!$G$5:$G$120="acoes"))*Inputs!$B$1+((Inputs!$G$5:$G$120&lt;&gt;"moeda")*(Inputs!$G$5:$G$120&lt;&gt;"acoes")))*INDEX(Inputs!$K$5:$AJ$120,0,MATCH(AK$2,Inputs!$K$4:$AJ$4,0)))))</f>
        <v>2714</v>
      </c>
      <c r="AL55" s="514">
        <f>SUM(AH55:AK55)</f>
        <v>9600</v>
      </c>
    </row>
    <row r="56">
      <c r="B56" s="265" t="n">
        <v>48</v>
      </c>
      <c r="C56" s="266" t="inlineStr">
        <is>
          <t>Refined &amp; Specialty Oils - lucro do segmento (USD)</t>
        </is>
      </c>
      <c r="D56" s="513">
        <f>IF(ISNA(MATCH(D$2,Inputs!$K$4:$AJ$4,0)),NA(),IF(SUMPRODUCT((Inputs!$A$5:$A$120=$B56)*ISNUMBER(INDEX(Inputs!$K$5:$AJ$120,0,MATCH(D$2,Inputs!$K$4:$AJ$4,0))))+SUMPRODUCT((Inputs!$C$5:$C$120=$B56)*ISNUMBER(INDEX(Inputs!$K$5:$AJ$120,0,MATCH(D$2,Inputs!$K$4:$AJ$4,0))))+SUMPRODUCT((Inputs!$E$5:$E$120=$B56)*ISNUMBER(INDEX(Inputs!$K$5:$AJ$120,0,MATCH(D$2,Inputs!$K$4:$AJ$4,0))))=0,NA(),SUMPRODUCT((Inputs!$A$5:$A$120=$B56)*Inputs!$B$5:$B$120*(((Inputs!$G$5:$G$120="moeda")+(Inputs!$G$5:$G$120="acoes"))*Inputs!$B$1+((Inputs!$G$5:$G$120&lt;&gt;"moeda")*(Inputs!$G$5:$G$120&lt;&gt;"acoes")))*INDEX(Inputs!$K$5:$AJ$120,0,MATCH(D$2,Inputs!$K$4:$AJ$4,0)))+SUMPRODUCT((Inputs!$C$5:$C$120=$B56)*Inputs!$D$5:$D$120*(((Inputs!$G$5:$G$120="moeda")+(Inputs!$G$5:$G$120="acoes"))*Inputs!$B$1+((Inputs!$G$5:$G$120&lt;&gt;"moeda")*(Inputs!$G$5:$G$120&lt;&gt;"acoes")))*INDEX(Inputs!$K$5:$AJ$120,0,MATCH(D$2,Inputs!$K$4:$AJ$4,0)))+SUMPRODUCT((Inputs!$E$5:$E$120=$B56)*Inputs!$F$5:$F$120*(((Inputs!$G$5:$G$120="moeda")+(Inputs!$G$5:$G$120="acoes"))*Inputs!$B$1+((Inputs!$G$5:$G$120&lt;&gt;"moeda")*(Inputs!$G$5:$G$120&lt;&gt;"acoes")))*INDEX(Inputs!$K$5:$AJ$120,0,MATCH(D$2,Inputs!$K$4:$AJ$4,0)))))</f>
        <v>235</v>
      </c>
      <c r="E56" s="513">
        <f>IF(ISNA(MATCH(E$2,Inputs!$K$4:$AJ$4,0)),NA(),IF(SUMPRODUCT((Inputs!$A$5:$A$120=$B56)*ISNUMBER(INDEX(Inputs!$K$5:$AJ$120,0,MATCH(E$2,Inputs!$K$4:$AJ$4,0))))+SUMPRODUCT((Inputs!$C$5:$C$120=$B56)*ISNUMBER(INDEX(Inputs!$K$5:$AJ$120,0,MATCH(E$2,Inputs!$K$4:$AJ$4,0))))+SUMPRODUCT((Inputs!$E$5:$E$120=$B56)*ISNUMBER(INDEX(Inputs!$K$5:$AJ$120,0,MATCH(E$2,Inputs!$K$4:$AJ$4,0))))=0,NA(),SUMPRODUCT((Inputs!$A$5:$A$120=$B56)*Inputs!$B$5:$B$120*(((Inputs!$G$5:$G$120="moeda")+(Inputs!$G$5:$G$120="acoes"))*Inputs!$B$1+((Inputs!$G$5:$G$120&lt;&gt;"moeda")*(Inputs!$G$5:$G$120&lt;&gt;"acoes")))*INDEX(Inputs!$K$5:$AJ$120,0,MATCH(E$2,Inputs!$K$4:$AJ$4,0)))+SUMPRODUCT((Inputs!$C$5:$C$120=$B56)*Inputs!$D$5:$D$120*(((Inputs!$G$5:$G$120="moeda")+(Inputs!$G$5:$G$120="acoes"))*Inputs!$B$1+((Inputs!$G$5:$G$120&lt;&gt;"moeda")*(Inputs!$G$5:$G$120&lt;&gt;"acoes")))*INDEX(Inputs!$K$5:$AJ$120,0,MATCH(E$2,Inputs!$K$4:$AJ$4,0)))+SUMPRODUCT((Inputs!$E$5:$E$120=$B56)*Inputs!$F$5:$F$120*(((Inputs!$G$5:$G$120="moeda")+(Inputs!$G$5:$G$120="acoes"))*Inputs!$B$1+((Inputs!$G$5:$G$120&lt;&gt;"moeda")*(Inputs!$G$5:$G$120&lt;&gt;"acoes")))*INDEX(Inputs!$K$5:$AJ$120,0,MATCH(E$2,Inputs!$K$4:$AJ$4,0)))))</f>
        <v>195</v>
      </c>
      <c r="F56" s="513">
        <f>IF(ISNA(MATCH(F$2,Inputs!$K$4:$AJ$4,0)),NA(),IF(SUMPRODUCT((Inputs!$A$5:$A$120=$B56)*ISNUMBER(INDEX(Inputs!$K$5:$AJ$120,0,MATCH(F$2,Inputs!$K$4:$AJ$4,0))))+SUMPRODUCT((Inputs!$C$5:$C$120=$B56)*ISNUMBER(INDEX(Inputs!$K$5:$AJ$120,0,MATCH(F$2,Inputs!$K$4:$AJ$4,0))))+SUMPRODUCT((Inputs!$E$5:$E$120=$B56)*ISNUMBER(INDEX(Inputs!$K$5:$AJ$120,0,MATCH(F$2,Inputs!$K$4:$AJ$4,0))))=0,NA(),SUMPRODUCT((Inputs!$A$5:$A$120=$B56)*Inputs!$B$5:$B$120*(((Inputs!$G$5:$G$120="moeda")+(Inputs!$G$5:$G$120="acoes"))*Inputs!$B$1+((Inputs!$G$5:$G$120&lt;&gt;"moeda")*(Inputs!$G$5:$G$120&lt;&gt;"acoes")))*INDEX(Inputs!$K$5:$AJ$120,0,MATCH(F$2,Inputs!$K$4:$AJ$4,0)))+SUMPRODUCT((Inputs!$C$5:$C$120=$B56)*Inputs!$D$5:$D$120*(((Inputs!$G$5:$G$120="moeda")+(Inputs!$G$5:$G$120="acoes"))*Inputs!$B$1+((Inputs!$G$5:$G$120&lt;&gt;"moeda")*(Inputs!$G$5:$G$120&lt;&gt;"acoes")))*INDEX(Inputs!$K$5:$AJ$120,0,MATCH(F$2,Inputs!$K$4:$AJ$4,0)))+SUMPRODUCT((Inputs!$E$5:$E$120=$B56)*Inputs!$F$5:$F$120*(((Inputs!$G$5:$G$120="moeda")+(Inputs!$G$5:$G$120="acoes"))*Inputs!$B$1+((Inputs!$G$5:$G$120&lt;&gt;"moeda")*(Inputs!$G$5:$G$120&lt;&gt;"acoes")))*INDEX(Inputs!$K$5:$AJ$120,0,MATCH(F$2,Inputs!$K$4:$AJ$4,0)))))</f>
        <v>218</v>
      </c>
      <c r="G56" s="513" t="e">
        <f>IF(ISNA(MATCH(G$2,Inputs!$K$4:$AJ$4,0)),NA(),IF(SUMPRODUCT((Inputs!$A$5:$A$120=$B56)*ISNUMBER(INDEX(Inputs!$K$5:$AJ$120,0,MATCH(G$2,Inputs!$K$4:$AJ$4,0))))+SUMPRODUCT((Inputs!$C$5:$C$120=$B56)*ISNUMBER(INDEX(Inputs!$K$5:$AJ$120,0,MATCH(G$2,Inputs!$K$4:$AJ$4,0))))+SUMPRODUCT((Inputs!$E$5:$E$120=$B56)*ISNUMBER(INDEX(Inputs!$K$5:$AJ$120,0,MATCH(G$2,Inputs!$K$4:$AJ$4,0))))=0,NA(),SUMPRODUCT((Inputs!$A$5:$A$120=$B56)*Inputs!$B$5:$B$120*(((Inputs!$G$5:$G$120="moeda")+(Inputs!$G$5:$G$120="acoes"))*Inputs!$B$1+((Inputs!$G$5:$G$120&lt;&gt;"moeda")*(Inputs!$G$5:$G$120&lt;&gt;"acoes")))*INDEX(Inputs!$K$5:$AJ$120,0,MATCH(G$2,Inputs!$K$4:$AJ$4,0)))+SUMPRODUCT((Inputs!$C$5:$C$120=$B56)*Inputs!$D$5:$D$120*(((Inputs!$G$5:$G$120="moeda")+(Inputs!$G$5:$G$120="acoes"))*Inputs!$B$1+((Inputs!$G$5:$G$120&lt;&gt;"moeda")*(Inputs!$G$5:$G$120&lt;&gt;"acoes")))*INDEX(Inputs!$K$5:$AJ$120,0,MATCH(G$2,Inputs!$K$4:$AJ$4,0)))+SUMPRODUCT((Inputs!$E$5:$E$120=$B56)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6" s="514" t="e">
        <f>SUM(D56:G56)</f>
        <v>#N/A</v>
      </c>
      <c r="I56" s="513">
        <f>IF(ISNA(MATCH(I$2,Inputs!$K$4:$AJ$4,0)),NA(),IF(SUMPRODUCT((Inputs!$A$5:$A$120=$B56)*ISNUMBER(INDEX(Inputs!$K$5:$AJ$120,0,MATCH(I$2,Inputs!$K$4:$AJ$4,0))))+SUMPRODUCT((Inputs!$C$5:$C$120=$B56)*ISNUMBER(INDEX(Inputs!$K$5:$AJ$120,0,MATCH(I$2,Inputs!$K$4:$AJ$4,0))))+SUMPRODUCT((Inputs!$E$5:$E$120=$B56)*ISNUMBER(INDEX(Inputs!$K$5:$AJ$120,0,MATCH(I$2,Inputs!$K$4:$AJ$4,0))))=0,NA(),SUMPRODUCT((Inputs!$A$5:$A$120=$B56)*Inputs!$B$5:$B$120*(((Inputs!$G$5:$G$120="moeda")+(Inputs!$G$5:$G$120="acoes"))*Inputs!$B$1+((Inputs!$G$5:$G$120&lt;&gt;"moeda")*(Inputs!$G$5:$G$120&lt;&gt;"acoes")))*INDEX(Inputs!$K$5:$AJ$120,0,MATCH(I$2,Inputs!$K$4:$AJ$4,0)))+SUMPRODUCT((Inputs!$C$5:$C$120=$B56)*Inputs!$D$5:$D$120*(((Inputs!$G$5:$G$120="moeda")+(Inputs!$G$5:$G$120="acoes"))*Inputs!$B$1+((Inputs!$G$5:$G$120&lt;&gt;"moeda")*(Inputs!$G$5:$G$120&lt;&gt;"acoes")))*INDEX(Inputs!$K$5:$AJ$120,0,MATCH(I$2,Inputs!$K$4:$AJ$4,0)))+SUMPRODUCT((Inputs!$E$5:$E$120=$B56)*Inputs!$F$5:$F$120*(((Inputs!$G$5:$G$120="moeda")+(Inputs!$G$5:$G$120="acoes"))*Inputs!$B$1+((Inputs!$G$5:$G$120&lt;&gt;"moeda")*(Inputs!$G$5:$G$120&lt;&gt;"acoes")))*INDEX(Inputs!$K$5:$AJ$120,0,MATCH(I$2,Inputs!$K$4:$AJ$4,0)))))</f>
        <v>262</v>
      </c>
      <c r="J56" s="513">
        <f>IF(ISNA(MATCH(J$2,Inputs!$K$4:$AJ$4,0)),NA(),IF(SUMPRODUCT((Inputs!$A$5:$A$120=$B56)*ISNUMBER(INDEX(Inputs!$K$5:$AJ$120,0,MATCH(J$2,Inputs!$K$4:$AJ$4,0))))+SUMPRODUCT((Inputs!$C$5:$C$120=$B56)*ISNUMBER(INDEX(Inputs!$K$5:$AJ$120,0,MATCH(J$2,Inputs!$K$4:$AJ$4,0))))+SUMPRODUCT((Inputs!$E$5:$E$120=$B56)*ISNUMBER(INDEX(Inputs!$K$5:$AJ$120,0,MATCH(J$2,Inputs!$K$4:$AJ$4,0))))=0,NA(),SUMPRODUCT((Inputs!$A$5:$A$120=$B56)*Inputs!$B$5:$B$120*(((Inputs!$G$5:$G$120="moeda")+(Inputs!$G$5:$G$120="acoes"))*Inputs!$B$1+((Inputs!$G$5:$G$120&lt;&gt;"moeda")*(Inputs!$G$5:$G$120&lt;&gt;"acoes")))*INDEX(Inputs!$K$5:$AJ$120,0,MATCH(J$2,Inputs!$K$4:$AJ$4,0)))+SUMPRODUCT((Inputs!$C$5:$C$120=$B56)*Inputs!$D$5:$D$120*(((Inputs!$G$5:$G$120="moeda")+(Inputs!$G$5:$G$120="acoes"))*Inputs!$B$1+((Inputs!$G$5:$G$120&lt;&gt;"moeda")*(Inputs!$G$5:$G$120&lt;&gt;"acoes")))*INDEX(Inputs!$K$5:$AJ$120,0,MATCH(J$2,Inputs!$K$4:$AJ$4,0)))+SUMPRODUCT((Inputs!$E$5:$E$120=$B56)*Inputs!$F$5:$F$120*(((Inputs!$G$5:$G$120="moeda")+(Inputs!$G$5:$G$120="acoes"))*Inputs!$B$1+((Inputs!$G$5:$G$120&lt;&gt;"moeda")*(Inputs!$G$5:$G$120&lt;&gt;"acoes")))*INDEX(Inputs!$K$5:$AJ$120,0,MATCH(J$2,Inputs!$K$4:$AJ$4,0)))))</f>
        <v>325</v>
      </c>
      <c r="K56" s="513">
        <f>IF(ISNA(MATCH(K$2,Inputs!$K$4:$AJ$4,0)),NA(),IF(SUMPRODUCT((Inputs!$A$5:$A$120=$B56)*ISNUMBER(INDEX(Inputs!$K$5:$AJ$120,0,MATCH(K$2,Inputs!$K$4:$AJ$4,0))))+SUMPRODUCT((Inputs!$C$5:$C$120=$B56)*ISNUMBER(INDEX(Inputs!$K$5:$AJ$120,0,MATCH(K$2,Inputs!$K$4:$AJ$4,0))))+SUMPRODUCT((Inputs!$E$5:$E$120=$B56)*ISNUMBER(INDEX(Inputs!$K$5:$AJ$120,0,MATCH(K$2,Inputs!$K$4:$AJ$4,0))))=0,NA(),SUMPRODUCT((Inputs!$A$5:$A$120=$B56)*Inputs!$B$5:$B$120*(((Inputs!$G$5:$G$120="moeda")+(Inputs!$G$5:$G$120="acoes"))*Inputs!$B$1+((Inputs!$G$5:$G$120&lt;&gt;"moeda")*(Inputs!$G$5:$G$120&lt;&gt;"acoes")))*INDEX(Inputs!$K$5:$AJ$120,0,MATCH(K$2,Inputs!$K$4:$AJ$4,0)))+SUMPRODUCT((Inputs!$C$5:$C$120=$B56)*Inputs!$D$5:$D$120*(((Inputs!$G$5:$G$120="moeda")+(Inputs!$G$5:$G$120="acoes"))*Inputs!$B$1+((Inputs!$G$5:$G$120&lt;&gt;"moeda")*(Inputs!$G$5:$G$120&lt;&gt;"acoes")))*INDEX(Inputs!$K$5:$AJ$120,0,MATCH(K$2,Inputs!$K$4:$AJ$4,0)))+SUMPRODUCT((Inputs!$E$5:$E$120=$B56)*Inputs!$F$5:$F$120*(((Inputs!$G$5:$G$120="moeda")+(Inputs!$G$5:$G$120="acoes"))*Inputs!$B$1+((Inputs!$G$5:$G$120&lt;&gt;"moeda")*(Inputs!$G$5:$G$120&lt;&gt;"acoes")))*INDEX(Inputs!$K$5:$AJ$120,0,MATCH(K$2,Inputs!$K$4:$AJ$4,0)))))</f>
        <v>232</v>
      </c>
      <c r="L56" s="513" t="e">
        <f>IF(ISNA(MATCH(L$2,Inputs!$K$4:$AJ$4,0)),NA(),IF(SUMPRODUCT((Inputs!$A$5:$A$120=$B56)*ISNUMBER(INDEX(Inputs!$K$5:$AJ$120,0,MATCH(L$2,Inputs!$K$4:$AJ$4,0))))+SUMPRODUCT((Inputs!$C$5:$C$120=$B56)*ISNUMBER(INDEX(Inputs!$K$5:$AJ$120,0,MATCH(L$2,Inputs!$K$4:$AJ$4,0))))+SUMPRODUCT((Inputs!$E$5:$E$120=$B56)*ISNUMBER(INDEX(Inputs!$K$5:$AJ$120,0,MATCH(L$2,Inputs!$K$4:$AJ$4,0))))=0,NA(),SUMPRODUCT((Inputs!$A$5:$A$120=$B56)*Inputs!$B$5:$B$120*(((Inputs!$G$5:$G$120="moeda")+(Inputs!$G$5:$G$120="acoes"))*Inputs!$B$1+((Inputs!$G$5:$G$120&lt;&gt;"moeda")*(Inputs!$G$5:$G$120&lt;&gt;"acoes")))*INDEX(Inputs!$K$5:$AJ$120,0,MATCH(L$2,Inputs!$K$4:$AJ$4,0)))+SUMPRODUCT((Inputs!$C$5:$C$120=$B56)*Inputs!$D$5:$D$120*(((Inputs!$G$5:$G$120="moeda")+(Inputs!$G$5:$G$120="acoes"))*Inputs!$B$1+((Inputs!$G$5:$G$120&lt;&gt;"moeda")*(Inputs!$G$5:$G$120&lt;&gt;"acoes")))*INDEX(Inputs!$K$5:$AJ$120,0,MATCH(L$2,Inputs!$K$4:$AJ$4,0)))+SUMPRODUCT((Inputs!$E$5:$E$120=$B56)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6" s="514" t="e">
        <f>SUM(I56:L56)</f>
        <v>#N/A</v>
      </c>
      <c r="N56" s="513">
        <f>IF(ISNA(MATCH(N$2,Inputs!$K$4:$AJ$4,0)),NA(),IF(SUMPRODUCT((Inputs!$A$5:$A$120=$B56)*ISNUMBER(INDEX(Inputs!$K$5:$AJ$120,0,MATCH(N$2,Inputs!$K$4:$AJ$4,0))))+SUMPRODUCT((Inputs!$C$5:$C$120=$B56)*ISNUMBER(INDEX(Inputs!$K$5:$AJ$120,0,MATCH(N$2,Inputs!$K$4:$AJ$4,0))))+SUMPRODUCT((Inputs!$E$5:$E$120=$B56)*ISNUMBER(INDEX(Inputs!$K$5:$AJ$120,0,MATCH(N$2,Inputs!$K$4:$AJ$4,0))))=0,NA(),SUMPRODUCT((Inputs!$A$5:$A$120=$B56)*Inputs!$B$5:$B$120*(((Inputs!$G$5:$G$120="moeda")+(Inputs!$G$5:$G$120="acoes"))*Inputs!$B$1+((Inputs!$G$5:$G$120&lt;&gt;"moeda")*(Inputs!$G$5:$G$120&lt;&gt;"acoes")))*INDEX(Inputs!$K$5:$AJ$120,0,MATCH(N$2,Inputs!$K$4:$AJ$4,0)))+SUMPRODUCT((Inputs!$C$5:$C$120=$B56)*Inputs!$D$5:$D$120*(((Inputs!$G$5:$G$120="moeda")+(Inputs!$G$5:$G$120="acoes"))*Inputs!$B$1+((Inputs!$G$5:$G$120&lt;&gt;"moeda")*(Inputs!$G$5:$G$120&lt;&gt;"acoes")))*INDEX(Inputs!$K$5:$AJ$120,0,MATCH(N$2,Inputs!$K$4:$AJ$4,0)))+SUMPRODUCT((Inputs!$E$5:$E$120=$B56)*Inputs!$F$5:$F$120*(((Inputs!$G$5:$G$120="moeda")+(Inputs!$G$5:$G$120="acoes"))*Inputs!$B$1+((Inputs!$G$5:$G$120&lt;&gt;"moeda")*(Inputs!$G$5:$G$120&lt;&gt;"acoes")))*INDEX(Inputs!$K$5:$AJ$120,0,MATCH(N$2,Inputs!$K$4:$AJ$4,0)))))</f>
        <v>342</v>
      </c>
      <c r="O56" s="513">
        <f>IF(ISNA(MATCH(O$2,Inputs!$K$4:$AJ$4,0)),NA(),IF(SUMPRODUCT((Inputs!$A$5:$A$120=$B56)*ISNUMBER(INDEX(Inputs!$K$5:$AJ$120,0,MATCH(O$2,Inputs!$K$4:$AJ$4,0))))+SUMPRODUCT((Inputs!$C$5:$C$120=$B56)*ISNUMBER(INDEX(Inputs!$K$5:$AJ$120,0,MATCH(O$2,Inputs!$K$4:$AJ$4,0))))+SUMPRODUCT((Inputs!$E$5:$E$120=$B56)*ISNUMBER(INDEX(Inputs!$K$5:$AJ$120,0,MATCH(O$2,Inputs!$K$4:$AJ$4,0))))=0,NA(),SUMPRODUCT((Inputs!$A$5:$A$120=$B56)*Inputs!$B$5:$B$120*(((Inputs!$G$5:$G$120="moeda")+(Inputs!$G$5:$G$120="acoes"))*Inputs!$B$1+((Inputs!$G$5:$G$120&lt;&gt;"moeda")*(Inputs!$G$5:$G$120&lt;&gt;"acoes")))*INDEX(Inputs!$K$5:$AJ$120,0,MATCH(O$2,Inputs!$K$4:$AJ$4,0)))+SUMPRODUCT((Inputs!$C$5:$C$120=$B56)*Inputs!$D$5:$D$120*(((Inputs!$G$5:$G$120="moeda")+(Inputs!$G$5:$G$120="acoes"))*Inputs!$B$1+((Inputs!$G$5:$G$120&lt;&gt;"moeda")*(Inputs!$G$5:$G$120&lt;&gt;"acoes")))*INDEX(Inputs!$K$5:$AJ$120,0,MATCH(O$2,Inputs!$K$4:$AJ$4,0)))+SUMPRODUCT((Inputs!$E$5:$E$120=$B56)*Inputs!$F$5:$F$120*(((Inputs!$G$5:$G$120="moeda")+(Inputs!$G$5:$G$120="acoes"))*Inputs!$B$1+((Inputs!$G$5:$G$120&lt;&gt;"moeda")*(Inputs!$G$5:$G$120&lt;&gt;"acoes")))*INDEX(Inputs!$K$5:$AJ$120,0,MATCH(O$2,Inputs!$K$4:$AJ$4,0)))))</f>
        <v>333</v>
      </c>
      <c r="P56" s="513">
        <f>IF(ISNA(MATCH(P$2,Inputs!$K$4:$AJ$4,0)),NA(),IF(SUMPRODUCT((Inputs!$A$5:$A$120=$B56)*ISNUMBER(INDEX(Inputs!$K$5:$AJ$120,0,MATCH(P$2,Inputs!$K$4:$AJ$4,0))))+SUMPRODUCT((Inputs!$C$5:$C$120=$B56)*ISNUMBER(INDEX(Inputs!$K$5:$AJ$120,0,MATCH(P$2,Inputs!$K$4:$AJ$4,0))))+SUMPRODUCT((Inputs!$E$5:$E$120=$B56)*ISNUMBER(INDEX(Inputs!$K$5:$AJ$120,0,MATCH(P$2,Inputs!$K$4:$AJ$4,0))))=0,NA(),SUMPRODUCT((Inputs!$A$5:$A$120=$B56)*Inputs!$B$5:$B$120*(((Inputs!$G$5:$G$120="moeda")+(Inputs!$G$5:$G$120="acoes"))*Inputs!$B$1+((Inputs!$G$5:$G$120&lt;&gt;"moeda")*(Inputs!$G$5:$G$120&lt;&gt;"acoes")))*INDEX(Inputs!$K$5:$AJ$120,0,MATCH(P$2,Inputs!$K$4:$AJ$4,0)))+SUMPRODUCT((Inputs!$C$5:$C$120=$B56)*Inputs!$D$5:$D$120*(((Inputs!$G$5:$G$120="moeda")+(Inputs!$G$5:$G$120="acoes"))*Inputs!$B$1+((Inputs!$G$5:$G$120&lt;&gt;"moeda")*(Inputs!$G$5:$G$120&lt;&gt;"acoes")))*INDEX(Inputs!$K$5:$AJ$120,0,MATCH(P$2,Inputs!$K$4:$AJ$4,0)))+SUMPRODUCT((Inputs!$E$5:$E$120=$B56)*Inputs!$F$5:$F$120*(((Inputs!$G$5:$G$120="moeda")+(Inputs!$G$5:$G$120="acoes"))*Inputs!$B$1+((Inputs!$G$5:$G$120&lt;&gt;"moeda")*(Inputs!$G$5:$G$120&lt;&gt;"acoes")))*INDEX(Inputs!$K$5:$AJ$120,0,MATCH(P$2,Inputs!$K$4:$AJ$4,0)))))</f>
        <v>352</v>
      </c>
      <c r="Q56" s="513" t="e">
        <f>IF(ISNA(MATCH(Q$2,Inputs!$K$4:$AJ$4,0)),NA(),IF(SUMPRODUCT((Inputs!$A$5:$A$120=$B56)*ISNUMBER(INDEX(Inputs!$K$5:$AJ$120,0,MATCH(Q$2,Inputs!$K$4:$AJ$4,0))))+SUMPRODUCT((Inputs!$C$5:$C$120=$B56)*ISNUMBER(INDEX(Inputs!$K$5:$AJ$120,0,MATCH(Q$2,Inputs!$K$4:$AJ$4,0))))+SUMPRODUCT((Inputs!$E$5:$E$120=$B56)*ISNUMBER(INDEX(Inputs!$K$5:$AJ$120,0,MATCH(Q$2,Inputs!$K$4:$AJ$4,0))))=0,NA(),SUMPRODUCT((Inputs!$A$5:$A$120=$B56)*Inputs!$B$5:$B$120*(((Inputs!$G$5:$G$120="moeda")+(Inputs!$G$5:$G$120="acoes"))*Inputs!$B$1+((Inputs!$G$5:$G$120&lt;&gt;"moeda")*(Inputs!$G$5:$G$120&lt;&gt;"acoes")))*INDEX(Inputs!$K$5:$AJ$120,0,MATCH(Q$2,Inputs!$K$4:$AJ$4,0)))+SUMPRODUCT((Inputs!$C$5:$C$120=$B56)*Inputs!$D$5:$D$120*(((Inputs!$G$5:$G$120="moeda")+(Inputs!$G$5:$G$120="acoes"))*Inputs!$B$1+((Inputs!$G$5:$G$120&lt;&gt;"moeda")*(Inputs!$G$5:$G$120&lt;&gt;"acoes")))*INDEX(Inputs!$K$5:$AJ$120,0,MATCH(Q$2,Inputs!$K$4:$AJ$4,0)))+SUMPRODUCT((Inputs!$E$5:$E$120=$B56)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6" s="514" t="e">
        <f>SUM(N56:Q56)</f>
        <v>#N/A</v>
      </c>
      <c r="S56" s="513">
        <f>IF(ISNA(MATCH(S$2,Inputs!$K$4:$AJ$4,0)),NA(),IF(SUMPRODUCT((Inputs!$A$5:$A$120=$B56)*ISNUMBER(INDEX(Inputs!$K$5:$AJ$120,0,MATCH(S$2,Inputs!$K$4:$AJ$4,0))))+SUMPRODUCT((Inputs!$C$5:$C$120=$B56)*ISNUMBER(INDEX(Inputs!$K$5:$AJ$120,0,MATCH(S$2,Inputs!$K$4:$AJ$4,0))))+SUMPRODUCT((Inputs!$E$5:$E$120=$B56)*ISNUMBER(INDEX(Inputs!$K$5:$AJ$120,0,MATCH(S$2,Inputs!$K$4:$AJ$4,0))))=0,NA(),SUMPRODUCT((Inputs!$A$5:$A$120=$B56)*Inputs!$B$5:$B$120*(((Inputs!$G$5:$G$120="moeda")+(Inputs!$G$5:$G$120="acoes"))*Inputs!$B$1+((Inputs!$G$5:$G$120&lt;&gt;"moeda")*(Inputs!$G$5:$G$120&lt;&gt;"acoes")))*INDEX(Inputs!$K$5:$AJ$120,0,MATCH(S$2,Inputs!$K$4:$AJ$4,0)))+SUMPRODUCT((Inputs!$C$5:$C$120=$B56)*Inputs!$D$5:$D$120*(((Inputs!$G$5:$G$120="moeda")+(Inputs!$G$5:$G$120="acoes"))*Inputs!$B$1+((Inputs!$G$5:$G$120&lt;&gt;"moeda")*(Inputs!$G$5:$G$120&lt;&gt;"acoes")))*INDEX(Inputs!$K$5:$AJ$120,0,MATCH(S$2,Inputs!$K$4:$AJ$4,0)))+SUMPRODUCT((Inputs!$E$5:$E$120=$B56)*Inputs!$F$5:$F$120*(((Inputs!$G$5:$G$120="moeda")+(Inputs!$G$5:$G$120="acoes"))*Inputs!$B$1+((Inputs!$G$5:$G$120&lt;&gt;"moeda")*(Inputs!$G$5:$G$120&lt;&gt;"acoes")))*INDEX(Inputs!$K$5:$AJ$120,0,MATCH(S$2,Inputs!$K$4:$AJ$4,0)))))</f>
        <v>359</v>
      </c>
      <c r="T56" s="513">
        <f>IF(ISNA(MATCH(T$2,Inputs!$K$4:$AJ$4,0)),NA(),IF(SUMPRODUCT((Inputs!$A$5:$A$120=$B56)*ISNUMBER(INDEX(Inputs!$K$5:$AJ$120,0,MATCH(T$2,Inputs!$K$4:$AJ$4,0))))+SUMPRODUCT((Inputs!$C$5:$C$120=$B56)*ISNUMBER(INDEX(Inputs!$K$5:$AJ$120,0,MATCH(T$2,Inputs!$K$4:$AJ$4,0))))+SUMPRODUCT((Inputs!$E$5:$E$120=$B56)*ISNUMBER(INDEX(Inputs!$K$5:$AJ$120,0,MATCH(T$2,Inputs!$K$4:$AJ$4,0))))=0,NA(),SUMPRODUCT((Inputs!$A$5:$A$120=$B56)*Inputs!$B$5:$B$120*(((Inputs!$G$5:$G$120="moeda")+(Inputs!$G$5:$G$120="acoes"))*Inputs!$B$1+((Inputs!$G$5:$G$120&lt;&gt;"moeda")*(Inputs!$G$5:$G$120&lt;&gt;"acoes")))*INDEX(Inputs!$K$5:$AJ$120,0,MATCH(T$2,Inputs!$K$4:$AJ$4,0)))+SUMPRODUCT((Inputs!$C$5:$C$120=$B56)*Inputs!$D$5:$D$120*(((Inputs!$G$5:$G$120="moeda")+(Inputs!$G$5:$G$120="acoes"))*Inputs!$B$1+((Inputs!$G$5:$G$120&lt;&gt;"moeda")*(Inputs!$G$5:$G$120&lt;&gt;"acoes")))*INDEX(Inputs!$K$5:$AJ$120,0,MATCH(T$2,Inputs!$K$4:$AJ$4,0)))+SUMPRODUCT((Inputs!$E$5:$E$120=$B56)*Inputs!$F$5:$F$120*(((Inputs!$G$5:$G$120="moeda")+(Inputs!$G$5:$G$120="acoes"))*Inputs!$B$1+((Inputs!$G$5:$G$120&lt;&gt;"moeda")*(Inputs!$G$5:$G$120&lt;&gt;"acoes")))*INDEX(Inputs!$K$5:$AJ$120,0,MATCH(T$2,Inputs!$K$4:$AJ$4,0)))))</f>
        <v>315</v>
      </c>
      <c r="U56" s="513">
        <f>IF(ISNA(MATCH(U$2,Inputs!$K$4:$AJ$4,0)),NA(),IF(SUMPRODUCT((Inputs!$A$5:$A$120=$B56)*ISNUMBER(INDEX(Inputs!$K$5:$AJ$120,0,MATCH(U$2,Inputs!$K$4:$AJ$4,0))))+SUMPRODUCT((Inputs!$C$5:$C$120=$B56)*ISNUMBER(INDEX(Inputs!$K$5:$AJ$120,0,MATCH(U$2,Inputs!$K$4:$AJ$4,0))))+SUMPRODUCT((Inputs!$E$5:$E$120=$B56)*ISNUMBER(INDEX(Inputs!$K$5:$AJ$120,0,MATCH(U$2,Inputs!$K$4:$AJ$4,0))))=0,NA(),SUMPRODUCT((Inputs!$A$5:$A$120=$B56)*Inputs!$B$5:$B$120*(((Inputs!$G$5:$G$120="moeda")+(Inputs!$G$5:$G$120="acoes"))*Inputs!$B$1+((Inputs!$G$5:$G$120&lt;&gt;"moeda")*(Inputs!$G$5:$G$120&lt;&gt;"acoes")))*INDEX(Inputs!$K$5:$AJ$120,0,MATCH(U$2,Inputs!$K$4:$AJ$4,0)))+SUMPRODUCT((Inputs!$C$5:$C$120=$B56)*Inputs!$D$5:$D$120*(((Inputs!$G$5:$G$120="moeda")+(Inputs!$G$5:$G$120="acoes"))*Inputs!$B$1+((Inputs!$G$5:$G$120&lt;&gt;"moeda")*(Inputs!$G$5:$G$120&lt;&gt;"acoes")))*INDEX(Inputs!$K$5:$AJ$120,0,MATCH(U$2,Inputs!$K$4:$AJ$4,0)))+SUMPRODUCT((Inputs!$E$5:$E$120=$B56)*Inputs!$F$5:$F$120*(((Inputs!$G$5:$G$120="moeda")+(Inputs!$G$5:$G$120="acoes"))*Inputs!$B$1+((Inputs!$G$5:$G$120&lt;&gt;"moeda")*(Inputs!$G$5:$G$120&lt;&gt;"acoes")))*INDEX(Inputs!$K$5:$AJ$120,0,MATCH(U$2,Inputs!$K$4:$AJ$4,0)))))</f>
        <v>338</v>
      </c>
      <c r="V56" s="513" t="e">
        <f>IF(ISNA(MATCH(V$2,Inputs!$K$4:$AJ$4,0)),NA(),IF(SUMPRODUCT((Inputs!$A$5:$A$120=$B56)*ISNUMBER(INDEX(Inputs!$K$5:$AJ$120,0,MATCH(V$2,Inputs!$K$4:$AJ$4,0))))+SUMPRODUCT((Inputs!$C$5:$C$120=$B56)*ISNUMBER(INDEX(Inputs!$K$5:$AJ$120,0,MATCH(V$2,Inputs!$K$4:$AJ$4,0))))+SUMPRODUCT((Inputs!$E$5:$E$120=$B56)*ISNUMBER(INDEX(Inputs!$K$5:$AJ$120,0,MATCH(V$2,Inputs!$K$4:$AJ$4,0))))=0,NA(),SUMPRODUCT((Inputs!$A$5:$A$120=$B56)*Inputs!$B$5:$B$120*(((Inputs!$G$5:$G$120="moeda")+(Inputs!$G$5:$G$120="acoes"))*Inputs!$B$1+((Inputs!$G$5:$G$120&lt;&gt;"moeda")*(Inputs!$G$5:$G$120&lt;&gt;"acoes")))*INDEX(Inputs!$K$5:$AJ$120,0,MATCH(V$2,Inputs!$K$4:$AJ$4,0)))+SUMPRODUCT((Inputs!$C$5:$C$120=$B56)*Inputs!$D$5:$D$120*(((Inputs!$G$5:$G$120="moeda")+(Inputs!$G$5:$G$120="acoes"))*Inputs!$B$1+((Inputs!$G$5:$G$120&lt;&gt;"moeda")*(Inputs!$G$5:$G$120&lt;&gt;"acoes")))*INDEX(Inputs!$K$5:$AJ$120,0,MATCH(V$2,Inputs!$K$4:$AJ$4,0)))+SUMPRODUCT((Inputs!$E$5:$E$120=$B56)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6" s="514" t="e">
        <f>SUM(S56:V56)</f>
        <v>#N/A</v>
      </c>
      <c r="X56" s="513" t="e">
        <f>IF(ISNA(MATCH(X$2,Inputs!$K$4:$AJ$4,0)),NA(),IF(SUMPRODUCT((Inputs!$A$5:$A$120=$B56)*ISNUMBER(INDEX(Inputs!$K$5:$AJ$120,0,MATCH(X$2,Inputs!$K$4:$AJ$4,0))))+SUMPRODUCT((Inputs!$C$5:$C$120=$B56)*ISNUMBER(INDEX(Inputs!$K$5:$AJ$120,0,MATCH(X$2,Inputs!$K$4:$AJ$4,0))))+SUMPRODUCT((Inputs!$E$5:$E$120=$B56)*ISNUMBER(INDEX(Inputs!$K$5:$AJ$120,0,MATCH(X$2,Inputs!$K$4:$AJ$4,0))))=0,NA(),SUMPRODUCT((Inputs!$A$5:$A$120=$B56)*Inputs!$B$5:$B$120*(((Inputs!$G$5:$G$120="moeda")+(Inputs!$G$5:$G$120="acoes"))*Inputs!$B$1+((Inputs!$G$5:$G$120&lt;&gt;"moeda")*(Inputs!$G$5:$G$120&lt;&gt;"acoes")))*INDEX(Inputs!$K$5:$AJ$120,0,MATCH(X$2,Inputs!$K$4:$AJ$4,0)))+SUMPRODUCT((Inputs!$C$5:$C$120=$B56)*Inputs!$D$5:$D$120*(((Inputs!$G$5:$G$120="moeda")+(Inputs!$G$5:$G$120="acoes"))*Inputs!$B$1+((Inputs!$G$5:$G$120&lt;&gt;"moeda")*(Inputs!$G$5:$G$120&lt;&gt;"acoes")))*INDEX(Inputs!$K$5:$AJ$120,0,MATCH(X$2,Inputs!$K$4:$AJ$4,0)))+SUMPRODUCT((Inputs!$E$5:$E$120=$B56)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6" s="513" t="e">
        <f>IF(ISNA(MATCH(Y$2,Inputs!$K$4:$AJ$4,0)),NA(),IF(SUMPRODUCT((Inputs!$A$5:$A$120=$B56)*ISNUMBER(INDEX(Inputs!$K$5:$AJ$120,0,MATCH(Y$2,Inputs!$K$4:$AJ$4,0))))+SUMPRODUCT((Inputs!$C$5:$C$120=$B56)*ISNUMBER(INDEX(Inputs!$K$5:$AJ$120,0,MATCH(Y$2,Inputs!$K$4:$AJ$4,0))))+SUMPRODUCT((Inputs!$E$5:$E$120=$B56)*ISNUMBER(INDEX(Inputs!$K$5:$AJ$120,0,MATCH(Y$2,Inputs!$K$4:$AJ$4,0))))=0,NA(),SUMPRODUCT((Inputs!$A$5:$A$120=$B56)*Inputs!$B$5:$B$120*(((Inputs!$G$5:$G$120="moeda")+(Inputs!$G$5:$G$120="acoes"))*Inputs!$B$1+((Inputs!$G$5:$G$120&lt;&gt;"moeda")*(Inputs!$G$5:$G$120&lt;&gt;"acoes")))*INDEX(Inputs!$K$5:$AJ$120,0,MATCH(Y$2,Inputs!$K$4:$AJ$4,0)))+SUMPRODUCT((Inputs!$C$5:$C$120=$B56)*Inputs!$D$5:$D$120*(((Inputs!$G$5:$G$120="moeda")+(Inputs!$G$5:$G$120="acoes"))*Inputs!$B$1+((Inputs!$G$5:$G$120&lt;&gt;"moeda")*(Inputs!$G$5:$G$120&lt;&gt;"acoes")))*INDEX(Inputs!$K$5:$AJ$120,0,MATCH(Y$2,Inputs!$K$4:$AJ$4,0)))+SUMPRODUCT((Inputs!$E$5:$E$120=$B56)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6" s="513" t="e">
        <f>IF(ISNA(MATCH(Z$2,Inputs!$K$4:$AJ$4,0)),NA(),IF(SUMPRODUCT((Inputs!$A$5:$A$120=$B56)*ISNUMBER(INDEX(Inputs!$K$5:$AJ$120,0,MATCH(Z$2,Inputs!$K$4:$AJ$4,0))))+SUMPRODUCT((Inputs!$C$5:$C$120=$B56)*ISNUMBER(INDEX(Inputs!$K$5:$AJ$120,0,MATCH(Z$2,Inputs!$K$4:$AJ$4,0))))+SUMPRODUCT((Inputs!$E$5:$E$120=$B56)*ISNUMBER(INDEX(Inputs!$K$5:$AJ$120,0,MATCH(Z$2,Inputs!$K$4:$AJ$4,0))))=0,NA(),SUMPRODUCT((Inputs!$A$5:$A$120=$B56)*Inputs!$B$5:$B$120*(((Inputs!$G$5:$G$120="moeda")+(Inputs!$G$5:$G$120="acoes"))*Inputs!$B$1+((Inputs!$G$5:$G$120&lt;&gt;"moeda")*(Inputs!$G$5:$G$120&lt;&gt;"acoes")))*INDEX(Inputs!$K$5:$AJ$120,0,MATCH(Z$2,Inputs!$K$4:$AJ$4,0)))+SUMPRODUCT((Inputs!$C$5:$C$120=$B56)*Inputs!$D$5:$D$120*(((Inputs!$G$5:$G$120="moeda")+(Inputs!$G$5:$G$120="acoes"))*Inputs!$B$1+((Inputs!$G$5:$G$120&lt;&gt;"moeda")*(Inputs!$G$5:$G$120&lt;&gt;"acoes")))*INDEX(Inputs!$K$5:$AJ$120,0,MATCH(Z$2,Inputs!$K$4:$AJ$4,0)))+SUMPRODUCT((Inputs!$E$5:$E$120=$B56)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6" s="513" t="e">
        <f>IF(ISNA(MATCH(AA$2,Inputs!$K$4:$AJ$4,0)),NA(),IF(SUMPRODUCT((Inputs!$A$5:$A$120=$B56)*ISNUMBER(INDEX(Inputs!$K$5:$AJ$120,0,MATCH(AA$2,Inputs!$K$4:$AJ$4,0))))+SUMPRODUCT((Inputs!$C$5:$C$120=$B56)*ISNUMBER(INDEX(Inputs!$K$5:$AJ$120,0,MATCH(AA$2,Inputs!$K$4:$AJ$4,0))))+SUMPRODUCT((Inputs!$E$5:$E$120=$B56)*ISNUMBER(INDEX(Inputs!$K$5:$AJ$120,0,MATCH(AA$2,Inputs!$K$4:$AJ$4,0))))=0,NA(),SUMPRODUCT((Inputs!$A$5:$A$120=$B56)*Inputs!$B$5:$B$120*(((Inputs!$G$5:$G$120="moeda")+(Inputs!$G$5:$G$120="acoes"))*Inputs!$B$1+((Inputs!$G$5:$G$120&lt;&gt;"moeda")*(Inputs!$G$5:$G$120&lt;&gt;"acoes")))*INDEX(Inputs!$K$5:$AJ$120,0,MATCH(AA$2,Inputs!$K$4:$AJ$4,0)))+SUMPRODUCT((Inputs!$C$5:$C$120=$B56)*Inputs!$D$5:$D$120*(((Inputs!$G$5:$G$120="moeda")+(Inputs!$G$5:$G$120="acoes"))*Inputs!$B$1+((Inputs!$G$5:$G$120&lt;&gt;"moeda")*(Inputs!$G$5:$G$120&lt;&gt;"acoes")))*INDEX(Inputs!$K$5:$AJ$120,0,MATCH(AA$2,Inputs!$K$4:$AJ$4,0)))+SUMPRODUCT((Inputs!$E$5:$E$120=$B56)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6" s="514" t="e">
        <f>SUM(X56:AA56)</f>
        <v>#N/A</v>
      </c>
      <c r="AC56" s="513" t="e">
        <f>IF(ISNA(MATCH(AC$2,Inputs!$K$4:$AJ$4,0)),NA(),IF(SUMPRODUCT((Inputs!$A$5:$A$120=$B56)*ISNUMBER(INDEX(Inputs!$K$5:$AJ$120,0,MATCH(AC$2,Inputs!$K$4:$AJ$4,0))))+SUMPRODUCT((Inputs!$C$5:$C$120=$B56)*ISNUMBER(INDEX(Inputs!$K$5:$AJ$120,0,MATCH(AC$2,Inputs!$K$4:$AJ$4,0))))+SUMPRODUCT((Inputs!$E$5:$E$120=$B56)*ISNUMBER(INDEX(Inputs!$K$5:$AJ$120,0,MATCH(AC$2,Inputs!$K$4:$AJ$4,0))))=0,NA(),SUMPRODUCT((Inputs!$A$5:$A$120=$B56)*Inputs!$B$5:$B$120*(((Inputs!$G$5:$G$120="moeda")+(Inputs!$G$5:$G$120="acoes"))*Inputs!$B$1+((Inputs!$G$5:$G$120&lt;&gt;"moeda")*(Inputs!$G$5:$G$120&lt;&gt;"acoes")))*INDEX(Inputs!$K$5:$AJ$120,0,MATCH(AC$2,Inputs!$K$4:$AJ$4,0)))+SUMPRODUCT((Inputs!$C$5:$C$120=$B56)*Inputs!$D$5:$D$120*(((Inputs!$G$5:$G$120="moeda")+(Inputs!$G$5:$G$120="acoes"))*Inputs!$B$1+((Inputs!$G$5:$G$120&lt;&gt;"moeda")*(Inputs!$G$5:$G$120&lt;&gt;"acoes")))*INDEX(Inputs!$K$5:$AJ$120,0,MATCH(AC$2,Inputs!$K$4:$AJ$4,0)))+SUMPRODUCT((Inputs!$E$5:$E$120=$B56)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6" s="513" t="e">
        <f>IF(ISNA(MATCH(AD$2,Inputs!$K$4:$AJ$4,0)),NA(),IF(SUMPRODUCT((Inputs!$A$5:$A$120=$B56)*ISNUMBER(INDEX(Inputs!$K$5:$AJ$120,0,MATCH(AD$2,Inputs!$K$4:$AJ$4,0))))+SUMPRODUCT((Inputs!$C$5:$C$120=$B56)*ISNUMBER(INDEX(Inputs!$K$5:$AJ$120,0,MATCH(AD$2,Inputs!$K$4:$AJ$4,0))))+SUMPRODUCT((Inputs!$E$5:$E$120=$B56)*ISNUMBER(INDEX(Inputs!$K$5:$AJ$120,0,MATCH(AD$2,Inputs!$K$4:$AJ$4,0))))=0,NA(),SUMPRODUCT((Inputs!$A$5:$A$120=$B56)*Inputs!$B$5:$B$120*(((Inputs!$G$5:$G$120="moeda")+(Inputs!$G$5:$G$120="acoes"))*Inputs!$B$1+((Inputs!$G$5:$G$120&lt;&gt;"moeda")*(Inputs!$G$5:$G$120&lt;&gt;"acoes")))*INDEX(Inputs!$K$5:$AJ$120,0,MATCH(AD$2,Inputs!$K$4:$AJ$4,0)))+SUMPRODUCT((Inputs!$C$5:$C$120=$B56)*Inputs!$D$5:$D$120*(((Inputs!$G$5:$G$120="moeda")+(Inputs!$G$5:$G$120="acoes"))*Inputs!$B$1+((Inputs!$G$5:$G$120&lt;&gt;"moeda")*(Inputs!$G$5:$G$120&lt;&gt;"acoes")))*INDEX(Inputs!$K$5:$AJ$120,0,MATCH(AD$2,Inputs!$K$4:$AJ$4,0)))+SUMPRODUCT((Inputs!$E$5:$E$120=$B56)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6" s="513" t="e">
        <f>IF(ISNA(MATCH(AE$2,Inputs!$K$4:$AJ$4,0)),NA(),IF(SUMPRODUCT((Inputs!$A$5:$A$120=$B56)*ISNUMBER(INDEX(Inputs!$K$5:$AJ$120,0,MATCH(AE$2,Inputs!$K$4:$AJ$4,0))))+SUMPRODUCT((Inputs!$C$5:$C$120=$B56)*ISNUMBER(INDEX(Inputs!$K$5:$AJ$120,0,MATCH(AE$2,Inputs!$K$4:$AJ$4,0))))+SUMPRODUCT((Inputs!$E$5:$E$120=$B56)*ISNUMBER(INDEX(Inputs!$K$5:$AJ$120,0,MATCH(AE$2,Inputs!$K$4:$AJ$4,0))))=0,NA(),SUMPRODUCT((Inputs!$A$5:$A$120=$B56)*Inputs!$B$5:$B$120*(((Inputs!$G$5:$G$120="moeda")+(Inputs!$G$5:$G$120="acoes"))*Inputs!$B$1+((Inputs!$G$5:$G$120&lt;&gt;"moeda")*(Inputs!$G$5:$G$120&lt;&gt;"acoes")))*INDEX(Inputs!$K$5:$AJ$120,0,MATCH(AE$2,Inputs!$K$4:$AJ$4,0)))+SUMPRODUCT((Inputs!$C$5:$C$120=$B56)*Inputs!$D$5:$D$120*(((Inputs!$G$5:$G$120="moeda")+(Inputs!$G$5:$G$120="acoes"))*Inputs!$B$1+((Inputs!$G$5:$G$120&lt;&gt;"moeda")*(Inputs!$G$5:$G$120&lt;&gt;"acoes")))*INDEX(Inputs!$K$5:$AJ$120,0,MATCH(AE$2,Inputs!$K$4:$AJ$4,0)))+SUMPRODUCT((Inputs!$E$5:$E$120=$B56)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6" s="513" t="e">
        <f>IF(ISNA(MATCH(AF$2,Inputs!$K$4:$AJ$4,0)),NA(),IF(SUMPRODUCT((Inputs!$A$5:$A$120=$B56)*ISNUMBER(INDEX(Inputs!$K$5:$AJ$120,0,MATCH(AF$2,Inputs!$K$4:$AJ$4,0))))+SUMPRODUCT((Inputs!$C$5:$C$120=$B56)*ISNUMBER(INDEX(Inputs!$K$5:$AJ$120,0,MATCH(AF$2,Inputs!$K$4:$AJ$4,0))))+SUMPRODUCT((Inputs!$E$5:$E$120=$B56)*ISNUMBER(INDEX(Inputs!$K$5:$AJ$120,0,MATCH(AF$2,Inputs!$K$4:$AJ$4,0))))=0,NA(),SUMPRODUCT((Inputs!$A$5:$A$120=$B56)*Inputs!$B$5:$B$120*(((Inputs!$G$5:$G$120="moeda")+(Inputs!$G$5:$G$120="acoes"))*Inputs!$B$1+((Inputs!$G$5:$G$120&lt;&gt;"moeda")*(Inputs!$G$5:$G$120&lt;&gt;"acoes")))*INDEX(Inputs!$K$5:$AJ$120,0,MATCH(AF$2,Inputs!$K$4:$AJ$4,0)))+SUMPRODUCT((Inputs!$C$5:$C$120=$B56)*Inputs!$D$5:$D$120*(((Inputs!$G$5:$G$120="moeda")+(Inputs!$G$5:$G$120="acoes"))*Inputs!$B$1+((Inputs!$G$5:$G$120&lt;&gt;"moeda")*(Inputs!$G$5:$G$120&lt;&gt;"acoes")))*INDEX(Inputs!$K$5:$AJ$120,0,MATCH(AF$2,Inputs!$K$4:$AJ$4,0)))+SUMPRODUCT((Inputs!$E$5:$E$120=$B56)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6" s="514" t="e">
        <f>SUM(AC56:AF56)</f>
        <v>#N/A</v>
      </c>
      <c r="AH56" s="513">
        <f>IF(ISNA(MATCH(AH$2,Inputs!$K$4:$AJ$4,0)),NA(),IF(SUMPRODUCT((Inputs!$A$5:$A$120=$B56)*ISNUMBER(INDEX(Inputs!$K$5:$AJ$120,0,MATCH(AH$2,Inputs!$K$4:$AJ$4,0))))+SUMPRODUCT((Inputs!$C$5:$C$120=$B56)*ISNUMBER(INDEX(Inputs!$K$5:$AJ$120,0,MATCH(AH$2,Inputs!$K$4:$AJ$4,0))))+SUMPRODUCT((Inputs!$E$5:$E$120=$B56)*ISNUMBER(INDEX(Inputs!$K$5:$AJ$120,0,MATCH(AH$2,Inputs!$K$4:$AJ$4,0))))=0,NA(),SUMPRODUCT((Inputs!$A$5:$A$120=$B56)*Inputs!$B$5:$B$120*(((Inputs!$G$5:$G$120="moeda")+(Inputs!$G$5:$G$120="acoes"))*Inputs!$B$1+((Inputs!$G$5:$G$120&lt;&gt;"moeda")*(Inputs!$G$5:$G$120&lt;&gt;"acoes")))*INDEX(Inputs!$K$5:$AJ$120,0,MATCH(AH$2,Inputs!$K$4:$AJ$4,0)))+SUMPRODUCT((Inputs!$C$5:$C$120=$B56)*Inputs!$D$5:$D$120*(((Inputs!$G$5:$G$120="moeda")+(Inputs!$G$5:$G$120="acoes"))*Inputs!$B$1+((Inputs!$G$5:$G$120&lt;&gt;"moeda")*(Inputs!$G$5:$G$120&lt;&gt;"acoes")))*INDEX(Inputs!$K$5:$AJ$120,0,MATCH(AH$2,Inputs!$K$4:$AJ$4,0)))+SUMPRODUCT((Inputs!$E$5:$E$120=$B56)*Inputs!$F$5:$F$120*(((Inputs!$G$5:$G$120="moeda")+(Inputs!$G$5:$G$120="acoes"))*Inputs!$B$1+((Inputs!$G$5:$G$120&lt;&gt;"moeda")*(Inputs!$G$5:$G$120&lt;&gt;"acoes")))*INDEX(Inputs!$K$5:$AJ$120,0,MATCH(AH$2,Inputs!$K$4:$AJ$4,0)))))</f>
        <v>128</v>
      </c>
      <c r="AI56" s="513">
        <f>IF(ISNA(MATCH(AI$2,Inputs!$K$4:$AJ$4,0)),NA(),IF(SUMPRODUCT((Inputs!$A$5:$A$120=$B56)*ISNUMBER(INDEX(Inputs!$K$5:$AJ$120,0,MATCH(AI$2,Inputs!$K$4:$AJ$4,0))))+SUMPRODUCT((Inputs!$C$5:$C$120=$B56)*ISNUMBER(INDEX(Inputs!$K$5:$AJ$120,0,MATCH(AI$2,Inputs!$K$4:$AJ$4,0))))+SUMPRODUCT((Inputs!$E$5:$E$120=$B56)*ISNUMBER(INDEX(Inputs!$K$5:$AJ$120,0,MATCH(AI$2,Inputs!$K$4:$AJ$4,0))))=0,NA(),SUMPRODUCT((Inputs!$A$5:$A$120=$B56)*Inputs!$B$5:$B$120*(((Inputs!$G$5:$G$120="moeda")+(Inputs!$G$5:$G$120="acoes"))*Inputs!$B$1+((Inputs!$G$5:$G$120&lt;&gt;"moeda")*(Inputs!$G$5:$G$120&lt;&gt;"acoes")))*INDEX(Inputs!$K$5:$AJ$120,0,MATCH(AI$2,Inputs!$K$4:$AJ$4,0)))+SUMPRODUCT((Inputs!$C$5:$C$120=$B56)*Inputs!$D$5:$D$120*(((Inputs!$G$5:$G$120="moeda")+(Inputs!$G$5:$G$120="acoes"))*Inputs!$B$1+((Inputs!$G$5:$G$120&lt;&gt;"moeda")*(Inputs!$G$5:$G$120&lt;&gt;"acoes")))*INDEX(Inputs!$K$5:$AJ$120,0,MATCH(AI$2,Inputs!$K$4:$AJ$4,0)))+SUMPRODUCT((Inputs!$E$5:$E$120=$B56)*Inputs!$F$5:$F$120*(((Inputs!$G$5:$G$120="moeda")+(Inputs!$G$5:$G$120="acoes"))*Inputs!$B$1+((Inputs!$G$5:$G$120&lt;&gt;"moeda")*(Inputs!$G$5:$G$120&lt;&gt;"acoes")))*INDEX(Inputs!$K$5:$AJ$120,0,MATCH(AI$2,Inputs!$K$4:$AJ$4,0)))))</f>
        <v>146</v>
      </c>
      <c r="AJ56" s="513">
        <f>IF(ISNA(MATCH(AJ$2,Inputs!$K$4:$AJ$4,0)),NA(),IF(SUMPRODUCT((Inputs!$A$5:$A$120=$B56)*ISNUMBER(INDEX(Inputs!$K$5:$AJ$120,0,MATCH(AJ$2,Inputs!$K$4:$AJ$4,0))))+SUMPRODUCT((Inputs!$C$5:$C$120=$B56)*ISNUMBER(INDEX(Inputs!$K$5:$AJ$120,0,MATCH(AJ$2,Inputs!$K$4:$AJ$4,0))))+SUMPRODUCT((Inputs!$E$5:$E$120=$B56)*ISNUMBER(INDEX(Inputs!$K$5:$AJ$120,0,MATCH(AJ$2,Inputs!$K$4:$AJ$4,0))))=0,NA(),SUMPRODUCT((Inputs!$A$5:$A$120=$B56)*Inputs!$B$5:$B$120*(((Inputs!$G$5:$G$120="moeda")+(Inputs!$G$5:$G$120="acoes"))*Inputs!$B$1+((Inputs!$G$5:$G$120&lt;&gt;"moeda")*(Inputs!$G$5:$G$120&lt;&gt;"acoes")))*INDEX(Inputs!$K$5:$AJ$120,0,MATCH(AJ$2,Inputs!$K$4:$AJ$4,0)))+SUMPRODUCT((Inputs!$C$5:$C$120=$B56)*Inputs!$D$5:$D$120*(((Inputs!$G$5:$G$120="moeda")+(Inputs!$G$5:$G$120="acoes"))*Inputs!$B$1+((Inputs!$G$5:$G$120&lt;&gt;"moeda")*(Inputs!$G$5:$G$120&lt;&gt;"acoes")))*INDEX(Inputs!$K$5:$AJ$120,0,MATCH(AJ$2,Inputs!$K$4:$AJ$4,0)))+SUMPRODUCT((Inputs!$E$5:$E$120=$B56)*Inputs!$F$5:$F$120*(((Inputs!$G$5:$G$120="moeda")+(Inputs!$G$5:$G$120="acoes"))*Inputs!$B$1+((Inputs!$G$5:$G$120&lt;&gt;"moeda")*(Inputs!$G$5:$G$120&lt;&gt;"acoes")))*INDEX(Inputs!$K$5:$AJ$120,0,MATCH(AJ$2,Inputs!$K$4:$AJ$4,0)))))</f>
        <v>178</v>
      </c>
      <c r="AK56" s="513" t="e">
        <f>IF(ISNA(MATCH(AK$2,Inputs!$K$4:$AJ$4,0)),NA(),IF(SUMPRODUCT((Inputs!$A$5:$A$120=$B56)*ISNUMBER(INDEX(Inputs!$K$5:$AJ$120,0,MATCH(AK$2,Inputs!$K$4:$AJ$4,0))))+SUMPRODUCT((Inputs!$C$5:$C$120=$B56)*ISNUMBER(INDEX(Inputs!$K$5:$AJ$120,0,MATCH(AK$2,Inputs!$K$4:$AJ$4,0))))+SUMPRODUCT((Inputs!$E$5:$E$120=$B56)*ISNUMBER(INDEX(Inputs!$K$5:$AJ$120,0,MATCH(AK$2,Inputs!$K$4:$AJ$4,0))))=0,NA(),SUMPRODUCT((Inputs!$A$5:$A$120=$B56)*Inputs!$B$5:$B$120*(((Inputs!$G$5:$G$120="moeda")+(Inputs!$G$5:$G$120="acoes"))*Inputs!$B$1+((Inputs!$G$5:$G$120&lt;&gt;"moeda")*(Inputs!$G$5:$G$120&lt;&gt;"acoes")))*INDEX(Inputs!$K$5:$AJ$120,0,MATCH(AK$2,Inputs!$K$4:$AJ$4,0)))+SUMPRODUCT((Inputs!$C$5:$C$120=$B56)*Inputs!$D$5:$D$120*(((Inputs!$G$5:$G$120="moeda")+(Inputs!$G$5:$G$120="acoes"))*Inputs!$B$1+((Inputs!$G$5:$G$120&lt;&gt;"moeda")*(Inputs!$G$5:$G$120&lt;&gt;"acoes")))*INDEX(Inputs!$K$5:$AJ$120,0,MATCH(AK$2,Inputs!$K$4:$AJ$4,0)))+SUMPRODUCT((Inputs!$E$5:$E$120=$B56)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6" s="514" t="e">
        <f>SUM(AH56:AK56)</f>
        <v>#N/A</v>
      </c>
    </row>
    <row r="57">
      <c r="B57" s="265" t="n">
        <v>49</v>
      </c>
      <c r="C57" s="266" t="inlineStr">
        <is>
          <t>Milling - receita (USD)</t>
        </is>
      </c>
      <c r="D57" s="513">
        <f>IF(ISNA(MATCH(D$2,Inputs!$K$4:$AJ$4,0)),NA(),IF(SUMPRODUCT((Inputs!$A$5:$A$120=$B57)*ISNUMBER(INDEX(Inputs!$K$5:$AJ$120,0,MATCH(D$2,Inputs!$K$4:$AJ$4,0))))+SUMPRODUCT((Inputs!$C$5:$C$120=$B57)*ISNUMBER(INDEX(Inputs!$K$5:$AJ$120,0,MATCH(D$2,Inputs!$K$4:$AJ$4,0))))+SUMPRODUCT((Inputs!$E$5:$E$120=$B57)*ISNUMBER(INDEX(Inputs!$K$5:$AJ$120,0,MATCH(D$2,Inputs!$K$4:$AJ$4,0))))=0,NA(),SUMPRODUCT((Inputs!$A$5:$A$120=$B57)*Inputs!$B$5:$B$120*(((Inputs!$G$5:$G$120="moeda")+(Inputs!$G$5:$G$120="acoes"))*Inputs!$B$1+((Inputs!$G$5:$G$120&lt;&gt;"moeda")*(Inputs!$G$5:$G$120&lt;&gt;"acoes")))*INDEX(Inputs!$K$5:$AJ$120,0,MATCH(D$2,Inputs!$K$4:$AJ$4,0)))+SUMPRODUCT((Inputs!$C$5:$C$120=$B57)*Inputs!$D$5:$D$120*(((Inputs!$G$5:$G$120="moeda")+(Inputs!$G$5:$G$120="acoes"))*Inputs!$B$1+((Inputs!$G$5:$G$120&lt;&gt;"moeda")*(Inputs!$G$5:$G$120&lt;&gt;"acoes")))*INDEX(Inputs!$K$5:$AJ$120,0,MATCH(D$2,Inputs!$K$4:$AJ$4,0)))+SUMPRODUCT((Inputs!$E$5:$E$120=$B57)*Inputs!$F$5:$F$120*(((Inputs!$G$5:$G$120="moeda")+(Inputs!$G$5:$G$120="acoes"))*Inputs!$B$1+((Inputs!$G$5:$G$120&lt;&gt;"moeda")*(Inputs!$G$5:$G$120&lt;&gt;"acoes")))*INDEX(Inputs!$K$5:$AJ$120,0,MATCH(D$2,Inputs!$K$4:$AJ$4,0)))))</f>
        <v>390</v>
      </c>
      <c r="E57" s="513">
        <f>IF(ISNA(MATCH(E$2,Inputs!$K$4:$AJ$4,0)),NA(),IF(SUMPRODUCT((Inputs!$A$5:$A$120=$B57)*ISNUMBER(INDEX(Inputs!$K$5:$AJ$120,0,MATCH(E$2,Inputs!$K$4:$AJ$4,0))))+SUMPRODUCT((Inputs!$C$5:$C$120=$B57)*ISNUMBER(INDEX(Inputs!$K$5:$AJ$120,0,MATCH(E$2,Inputs!$K$4:$AJ$4,0))))+SUMPRODUCT((Inputs!$E$5:$E$120=$B57)*ISNUMBER(INDEX(Inputs!$K$5:$AJ$120,0,MATCH(E$2,Inputs!$K$4:$AJ$4,0))))=0,NA(),SUMPRODUCT((Inputs!$A$5:$A$120=$B57)*Inputs!$B$5:$B$120*(((Inputs!$G$5:$G$120="moeda")+(Inputs!$G$5:$G$120="acoes"))*Inputs!$B$1+((Inputs!$G$5:$G$120&lt;&gt;"moeda")*(Inputs!$G$5:$G$120&lt;&gt;"acoes")))*INDEX(Inputs!$K$5:$AJ$120,0,MATCH(E$2,Inputs!$K$4:$AJ$4,0)))+SUMPRODUCT((Inputs!$C$5:$C$120=$B57)*Inputs!$D$5:$D$120*(((Inputs!$G$5:$G$120="moeda")+(Inputs!$G$5:$G$120="acoes"))*Inputs!$B$1+((Inputs!$G$5:$G$120&lt;&gt;"moeda")*(Inputs!$G$5:$G$120&lt;&gt;"acoes")))*INDEX(Inputs!$K$5:$AJ$120,0,MATCH(E$2,Inputs!$K$4:$AJ$4,0)))+SUMPRODUCT((Inputs!$E$5:$E$120=$B57)*Inputs!$F$5:$F$120*(((Inputs!$G$5:$G$120="moeda")+(Inputs!$G$5:$G$120="acoes"))*Inputs!$B$1+((Inputs!$G$5:$G$120&lt;&gt;"moeda")*(Inputs!$G$5:$G$120&lt;&gt;"acoes")))*INDEX(Inputs!$K$5:$AJ$120,0,MATCH(E$2,Inputs!$K$4:$AJ$4,0)))))</f>
        <v>471</v>
      </c>
      <c r="F57" s="513">
        <f>IF(ISNA(MATCH(F$2,Inputs!$K$4:$AJ$4,0)),NA(),IF(SUMPRODUCT((Inputs!$A$5:$A$120=$B57)*ISNUMBER(INDEX(Inputs!$K$5:$AJ$120,0,MATCH(F$2,Inputs!$K$4:$AJ$4,0))))+SUMPRODUCT((Inputs!$C$5:$C$120=$B57)*ISNUMBER(INDEX(Inputs!$K$5:$AJ$120,0,MATCH(F$2,Inputs!$K$4:$AJ$4,0))))+SUMPRODUCT((Inputs!$E$5:$E$120=$B57)*ISNUMBER(INDEX(Inputs!$K$5:$AJ$120,0,MATCH(F$2,Inputs!$K$4:$AJ$4,0))))=0,NA(),SUMPRODUCT((Inputs!$A$5:$A$120=$B57)*Inputs!$B$5:$B$120*(((Inputs!$G$5:$G$120="moeda")+(Inputs!$G$5:$G$120="acoes"))*Inputs!$B$1+((Inputs!$G$5:$G$120&lt;&gt;"moeda")*(Inputs!$G$5:$G$120&lt;&gt;"acoes")))*INDEX(Inputs!$K$5:$AJ$120,0,MATCH(F$2,Inputs!$K$4:$AJ$4,0)))+SUMPRODUCT((Inputs!$C$5:$C$120=$B57)*Inputs!$D$5:$D$120*(((Inputs!$G$5:$G$120="moeda")+(Inputs!$G$5:$G$120="acoes"))*Inputs!$B$1+((Inputs!$G$5:$G$120&lt;&gt;"moeda")*(Inputs!$G$5:$G$120&lt;&gt;"acoes")))*INDEX(Inputs!$K$5:$AJ$120,0,MATCH(F$2,Inputs!$K$4:$AJ$4,0)))+SUMPRODUCT((Inputs!$E$5:$E$120=$B57)*Inputs!$F$5:$F$120*(((Inputs!$G$5:$G$120="moeda")+(Inputs!$G$5:$G$120="acoes"))*Inputs!$B$1+((Inputs!$G$5:$G$120&lt;&gt;"moeda")*(Inputs!$G$5:$G$120&lt;&gt;"acoes")))*INDEX(Inputs!$K$5:$AJ$120,0,MATCH(F$2,Inputs!$K$4:$AJ$4,0)))))</f>
        <v>530</v>
      </c>
      <c r="G57" s="513">
        <f>IF(ISNA(MATCH(G$2,Inputs!$K$4:$AJ$4,0)),NA(),IF(SUMPRODUCT((Inputs!$A$5:$A$120=$B57)*ISNUMBER(INDEX(Inputs!$K$5:$AJ$120,0,MATCH(G$2,Inputs!$K$4:$AJ$4,0))))+SUMPRODUCT((Inputs!$C$5:$C$120=$B57)*ISNUMBER(INDEX(Inputs!$K$5:$AJ$120,0,MATCH(G$2,Inputs!$K$4:$AJ$4,0))))+SUMPRODUCT((Inputs!$E$5:$E$120=$B57)*ISNUMBER(INDEX(Inputs!$K$5:$AJ$120,0,MATCH(G$2,Inputs!$K$4:$AJ$4,0))))=0,NA(),SUMPRODUCT((Inputs!$A$5:$A$120=$B57)*Inputs!$B$5:$B$120*(((Inputs!$G$5:$G$120="moeda")+(Inputs!$G$5:$G$120="acoes"))*Inputs!$B$1+((Inputs!$G$5:$G$120&lt;&gt;"moeda")*(Inputs!$G$5:$G$120&lt;&gt;"acoes")))*INDEX(Inputs!$K$5:$AJ$120,0,MATCH(G$2,Inputs!$K$4:$AJ$4,0)))+SUMPRODUCT((Inputs!$C$5:$C$120=$B57)*Inputs!$D$5:$D$120*(((Inputs!$G$5:$G$120="moeda")+(Inputs!$G$5:$G$120="acoes"))*Inputs!$B$1+((Inputs!$G$5:$G$120&lt;&gt;"moeda")*(Inputs!$G$5:$G$120&lt;&gt;"acoes")))*INDEX(Inputs!$K$5:$AJ$120,0,MATCH(G$2,Inputs!$K$4:$AJ$4,0)))+SUMPRODUCT((Inputs!$E$5:$E$120=$B57)*Inputs!$F$5:$F$120*(((Inputs!$G$5:$G$120="moeda")+(Inputs!$G$5:$G$120="acoes"))*Inputs!$B$1+((Inputs!$G$5:$G$120&lt;&gt;"moeda")*(Inputs!$G$5:$G$120&lt;&gt;"acoes")))*INDEX(Inputs!$K$5:$AJ$120,0,MATCH(G$2,Inputs!$K$4:$AJ$4,0)))))</f>
        <v>517</v>
      </c>
      <c r="H57" s="514">
        <f>SUM(D57:G57)</f>
        <v>1908</v>
      </c>
      <c r="I57" s="513">
        <f>IF(ISNA(MATCH(I$2,Inputs!$K$4:$AJ$4,0)),NA(),IF(SUMPRODUCT((Inputs!$A$5:$A$120=$B57)*ISNUMBER(INDEX(Inputs!$K$5:$AJ$120,0,MATCH(I$2,Inputs!$K$4:$AJ$4,0))))+SUMPRODUCT((Inputs!$C$5:$C$120=$B57)*ISNUMBER(INDEX(Inputs!$K$5:$AJ$120,0,MATCH(I$2,Inputs!$K$4:$AJ$4,0))))+SUMPRODUCT((Inputs!$E$5:$E$120=$B57)*ISNUMBER(INDEX(Inputs!$K$5:$AJ$120,0,MATCH(I$2,Inputs!$K$4:$AJ$4,0))))=0,NA(),SUMPRODUCT((Inputs!$A$5:$A$120=$B57)*Inputs!$B$5:$B$120*(((Inputs!$G$5:$G$120="moeda")+(Inputs!$G$5:$G$120="acoes"))*Inputs!$B$1+((Inputs!$G$5:$G$120&lt;&gt;"moeda")*(Inputs!$G$5:$G$120&lt;&gt;"acoes")))*INDEX(Inputs!$K$5:$AJ$120,0,MATCH(I$2,Inputs!$K$4:$AJ$4,0)))+SUMPRODUCT((Inputs!$C$5:$C$120=$B57)*Inputs!$D$5:$D$120*(((Inputs!$G$5:$G$120="moeda")+(Inputs!$G$5:$G$120="acoes"))*Inputs!$B$1+((Inputs!$G$5:$G$120&lt;&gt;"moeda")*(Inputs!$G$5:$G$120&lt;&gt;"acoes")))*INDEX(Inputs!$K$5:$AJ$120,0,MATCH(I$2,Inputs!$K$4:$AJ$4,0)))+SUMPRODUCT((Inputs!$E$5:$E$120=$B57)*Inputs!$F$5:$F$120*(((Inputs!$G$5:$G$120="moeda")+(Inputs!$G$5:$G$120="acoes"))*Inputs!$B$1+((Inputs!$G$5:$G$120&lt;&gt;"moeda")*(Inputs!$G$5:$G$120&lt;&gt;"acoes")))*INDEX(Inputs!$K$5:$AJ$120,0,MATCH(I$2,Inputs!$K$4:$AJ$4,0)))))</f>
        <v>603</v>
      </c>
      <c r="J57" s="513">
        <f>IF(ISNA(MATCH(J$2,Inputs!$K$4:$AJ$4,0)),NA(),IF(SUMPRODUCT((Inputs!$A$5:$A$120=$B57)*ISNUMBER(INDEX(Inputs!$K$5:$AJ$120,0,MATCH(J$2,Inputs!$K$4:$AJ$4,0))))+SUMPRODUCT((Inputs!$C$5:$C$120=$B57)*ISNUMBER(INDEX(Inputs!$K$5:$AJ$120,0,MATCH(J$2,Inputs!$K$4:$AJ$4,0))))+SUMPRODUCT((Inputs!$E$5:$E$120=$B57)*ISNUMBER(INDEX(Inputs!$K$5:$AJ$120,0,MATCH(J$2,Inputs!$K$4:$AJ$4,0))))=0,NA(),SUMPRODUCT((Inputs!$A$5:$A$120=$B57)*Inputs!$B$5:$B$120*(((Inputs!$G$5:$G$120="moeda")+(Inputs!$G$5:$G$120="acoes"))*Inputs!$B$1+((Inputs!$G$5:$G$120&lt;&gt;"moeda")*(Inputs!$G$5:$G$120&lt;&gt;"acoes")))*INDEX(Inputs!$K$5:$AJ$120,0,MATCH(J$2,Inputs!$K$4:$AJ$4,0)))+SUMPRODUCT((Inputs!$C$5:$C$120=$B57)*Inputs!$D$5:$D$120*(((Inputs!$G$5:$G$120="moeda")+(Inputs!$G$5:$G$120="acoes"))*Inputs!$B$1+((Inputs!$G$5:$G$120&lt;&gt;"moeda")*(Inputs!$G$5:$G$120&lt;&gt;"acoes")))*INDEX(Inputs!$K$5:$AJ$120,0,MATCH(J$2,Inputs!$K$4:$AJ$4,0)))+SUMPRODUCT((Inputs!$E$5:$E$120=$B57)*Inputs!$F$5:$F$120*(((Inputs!$G$5:$G$120="moeda")+(Inputs!$G$5:$G$120="acoes"))*Inputs!$B$1+((Inputs!$G$5:$G$120&lt;&gt;"moeda")*(Inputs!$G$5:$G$120&lt;&gt;"acoes")))*INDEX(Inputs!$K$5:$AJ$120,0,MATCH(J$2,Inputs!$K$4:$AJ$4,0)))))</f>
        <v>677</v>
      </c>
      <c r="K57" s="513">
        <f>IF(ISNA(MATCH(K$2,Inputs!$K$4:$AJ$4,0)),NA(),IF(SUMPRODUCT((Inputs!$A$5:$A$120=$B57)*ISNUMBER(INDEX(Inputs!$K$5:$AJ$120,0,MATCH(K$2,Inputs!$K$4:$AJ$4,0))))+SUMPRODUCT((Inputs!$C$5:$C$120=$B57)*ISNUMBER(INDEX(Inputs!$K$5:$AJ$120,0,MATCH(K$2,Inputs!$K$4:$AJ$4,0))))+SUMPRODUCT((Inputs!$E$5:$E$120=$B57)*ISNUMBER(INDEX(Inputs!$K$5:$AJ$120,0,MATCH(K$2,Inputs!$K$4:$AJ$4,0))))=0,NA(),SUMPRODUCT((Inputs!$A$5:$A$120=$B57)*Inputs!$B$5:$B$120*(((Inputs!$G$5:$G$120="moeda")+(Inputs!$G$5:$G$120="acoes"))*Inputs!$B$1+((Inputs!$G$5:$G$120&lt;&gt;"moeda")*(Inputs!$G$5:$G$120&lt;&gt;"acoes")))*INDEX(Inputs!$K$5:$AJ$120,0,MATCH(K$2,Inputs!$K$4:$AJ$4,0)))+SUMPRODUCT((Inputs!$C$5:$C$120=$B57)*Inputs!$D$5:$D$120*(((Inputs!$G$5:$G$120="moeda")+(Inputs!$G$5:$G$120="acoes"))*Inputs!$B$1+((Inputs!$G$5:$G$120&lt;&gt;"moeda")*(Inputs!$G$5:$G$120&lt;&gt;"acoes")))*INDEX(Inputs!$K$5:$AJ$120,0,MATCH(K$2,Inputs!$K$4:$AJ$4,0)))+SUMPRODUCT((Inputs!$E$5:$E$120=$B57)*Inputs!$F$5:$F$120*(((Inputs!$G$5:$G$120="moeda")+(Inputs!$G$5:$G$120="acoes"))*Inputs!$B$1+((Inputs!$G$5:$G$120&lt;&gt;"moeda")*(Inputs!$G$5:$G$120&lt;&gt;"acoes")))*INDEX(Inputs!$K$5:$AJ$120,0,MATCH(K$2,Inputs!$K$4:$AJ$4,0)))))</f>
        <v>631</v>
      </c>
      <c r="L57" s="513">
        <f>IF(ISNA(MATCH(L$2,Inputs!$K$4:$AJ$4,0)),NA(),IF(SUMPRODUCT((Inputs!$A$5:$A$120=$B57)*ISNUMBER(INDEX(Inputs!$K$5:$AJ$120,0,MATCH(L$2,Inputs!$K$4:$AJ$4,0))))+SUMPRODUCT((Inputs!$C$5:$C$120=$B57)*ISNUMBER(INDEX(Inputs!$K$5:$AJ$120,0,MATCH(L$2,Inputs!$K$4:$AJ$4,0))))+SUMPRODUCT((Inputs!$E$5:$E$120=$B57)*ISNUMBER(INDEX(Inputs!$K$5:$AJ$120,0,MATCH(L$2,Inputs!$K$4:$AJ$4,0))))=0,NA(),SUMPRODUCT((Inputs!$A$5:$A$120=$B57)*Inputs!$B$5:$B$120*(((Inputs!$G$5:$G$120="moeda")+(Inputs!$G$5:$G$120="acoes"))*Inputs!$B$1+((Inputs!$G$5:$G$120&lt;&gt;"moeda")*(Inputs!$G$5:$G$120&lt;&gt;"acoes")))*INDEX(Inputs!$K$5:$AJ$120,0,MATCH(L$2,Inputs!$K$4:$AJ$4,0)))+SUMPRODUCT((Inputs!$C$5:$C$120=$B57)*Inputs!$D$5:$D$120*(((Inputs!$G$5:$G$120="moeda")+(Inputs!$G$5:$G$120="acoes"))*Inputs!$B$1+((Inputs!$G$5:$G$120&lt;&gt;"moeda")*(Inputs!$G$5:$G$120&lt;&gt;"acoes")))*INDEX(Inputs!$K$5:$AJ$120,0,MATCH(L$2,Inputs!$K$4:$AJ$4,0)))+SUMPRODUCT((Inputs!$E$5:$E$120=$B57)*Inputs!$F$5:$F$120*(((Inputs!$G$5:$G$120="moeda")+(Inputs!$G$5:$G$120="acoes"))*Inputs!$B$1+((Inputs!$G$5:$G$120&lt;&gt;"moeda")*(Inputs!$G$5:$G$120&lt;&gt;"acoes")))*INDEX(Inputs!$K$5:$AJ$120,0,MATCH(L$2,Inputs!$K$4:$AJ$4,0)))))</f>
        <v>477</v>
      </c>
      <c r="M57" s="514">
        <f>SUM(I57:L57)</f>
        <v>2388</v>
      </c>
      <c r="N57" s="513">
        <f>IF(ISNA(MATCH(N$2,Inputs!$K$4:$AJ$4,0)),NA(),IF(SUMPRODUCT((Inputs!$A$5:$A$120=$B57)*ISNUMBER(INDEX(Inputs!$K$5:$AJ$120,0,MATCH(N$2,Inputs!$K$4:$AJ$4,0))))+SUMPRODUCT((Inputs!$C$5:$C$120=$B57)*ISNUMBER(INDEX(Inputs!$K$5:$AJ$120,0,MATCH(N$2,Inputs!$K$4:$AJ$4,0))))+SUMPRODUCT((Inputs!$E$5:$E$120=$B57)*ISNUMBER(INDEX(Inputs!$K$5:$AJ$120,0,MATCH(N$2,Inputs!$K$4:$AJ$4,0))))=0,NA(),SUMPRODUCT((Inputs!$A$5:$A$120=$B57)*Inputs!$B$5:$B$120*(((Inputs!$G$5:$G$120="moeda")+(Inputs!$G$5:$G$120="acoes"))*Inputs!$B$1+((Inputs!$G$5:$G$120&lt;&gt;"moeda")*(Inputs!$G$5:$G$120&lt;&gt;"acoes")))*INDEX(Inputs!$K$5:$AJ$120,0,MATCH(N$2,Inputs!$K$4:$AJ$4,0)))+SUMPRODUCT((Inputs!$C$5:$C$120=$B57)*Inputs!$D$5:$D$120*(((Inputs!$G$5:$G$120="moeda")+(Inputs!$G$5:$G$120="acoes"))*Inputs!$B$1+((Inputs!$G$5:$G$120&lt;&gt;"moeda")*(Inputs!$G$5:$G$120&lt;&gt;"acoes")))*INDEX(Inputs!$K$5:$AJ$120,0,MATCH(N$2,Inputs!$K$4:$AJ$4,0)))+SUMPRODUCT((Inputs!$E$5:$E$120=$B57)*Inputs!$F$5:$F$120*(((Inputs!$G$5:$G$120="moeda")+(Inputs!$G$5:$G$120="acoes"))*Inputs!$B$1+((Inputs!$G$5:$G$120&lt;&gt;"moeda")*(Inputs!$G$5:$G$120&lt;&gt;"acoes")))*INDEX(Inputs!$K$5:$AJ$120,0,MATCH(N$2,Inputs!$K$4:$AJ$4,0)))))</f>
        <v>515</v>
      </c>
      <c r="O57" s="513">
        <f>IF(ISNA(MATCH(O$2,Inputs!$K$4:$AJ$4,0)),NA(),IF(SUMPRODUCT((Inputs!$A$5:$A$120=$B57)*ISNUMBER(INDEX(Inputs!$K$5:$AJ$120,0,MATCH(O$2,Inputs!$K$4:$AJ$4,0))))+SUMPRODUCT((Inputs!$C$5:$C$120=$B57)*ISNUMBER(INDEX(Inputs!$K$5:$AJ$120,0,MATCH(O$2,Inputs!$K$4:$AJ$4,0))))+SUMPRODUCT((Inputs!$E$5:$E$120=$B57)*ISNUMBER(INDEX(Inputs!$K$5:$AJ$120,0,MATCH(O$2,Inputs!$K$4:$AJ$4,0))))=0,NA(),SUMPRODUCT((Inputs!$A$5:$A$120=$B57)*Inputs!$B$5:$B$120*(((Inputs!$G$5:$G$120="moeda")+(Inputs!$G$5:$G$120="acoes"))*Inputs!$B$1+((Inputs!$G$5:$G$120&lt;&gt;"moeda")*(Inputs!$G$5:$G$120&lt;&gt;"acoes")))*INDEX(Inputs!$K$5:$AJ$120,0,MATCH(O$2,Inputs!$K$4:$AJ$4,0)))+SUMPRODUCT((Inputs!$C$5:$C$120=$B57)*Inputs!$D$5:$D$120*(((Inputs!$G$5:$G$120="moeda")+(Inputs!$G$5:$G$120="acoes"))*Inputs!$B$1+((Inputs!$G$5:$G$120&lt;&gt;"moeda")*(Inputs!$G$5:$G$120&lt;&gt;"acoes")))*INDEX(Inputs!$K$5:$AJ$120,0,MATCH(O$2,Inputs!$K$4:$AJ$4,0)))+SUMPRODUCT((Inputs!$E$5:$E$120=$B57)*Inputs!$F$5:$F$120*(((Inputs!$G$5:$G$120="moeda")+(Inputs!$G$5:$G$120="acoes"))*Inputs!$B$1+((Inputs!$G$5:$G$120&lt;&gt;"moeda")*(Inputs!$G$5:$G$120&lt;&gt;"acoes")))*INDEX(Inputs!$K$5:$AJ$120,0,MATCH(O$2,Inputs!$K$4:$AJ$4,0)))))</f>
        <v>490</v>
      </c>
      <c r="P57" s="513">
        <f>IF(ISNA(MATCH(P$2,Inputs!$K$4:$AJ$4,0)),NA(),IF(SUMPRODUCT((Inputs!$A$5:$A$120=$B57)*ISNUMBER(INDEX(Inputs!$K$5:$AJ$120,0,MATCH(P$2,Inputs!$K$4:$AJ$4,0))))+SUMPRODUCT((Inputs!$C$5:$C$120=$B57)*ISNUMBER(INDEX(Inputs!$K$5:$AJ$120,0,MATCH(P$2,Inputs!$K$4:$AJ$4,0))))+SUMPRODUCT((Inputs!$E$5:$E$120=$B57)*ISNUMBER(INDEX(Inputs!$K$5:$AJ$120,0,MATCH(P$2,Inputs!$K$4:$AJ$4,0))))=0,NA(),SUMPRODUCT((Inputs!$A$5:$A$120=$B57)*Inputs!$B$5:$B$120*(((Inputs!$G$5:$G$120="moeda")+(Inputs!$G$5:$G$120="acoes"))*Inputs!$B$1+((Inputs!$G$5:$G$120&lt;&gt;"moeda")*(Inputs!$G$5:$G$120&lt;&gt;"acoes")))*INDEX(Inputs!$K$5:$AJ$120,0,MATCH(P$2,Inputs!$K$4:$AJ$4,0)))+SUMPRODUCT((Inputs!$C$5:$C$120=$B57)*Inputs!$D$5:$D$120*(((Inputs!$G$5:$G$120="moeda")+(Inputs!$G$5:$G$120="acoes"))*Inputs!$B$1+((Inputs!$G$5:$G$120&lt;&gt;"moeda")*(Inputs!$G$5:$G$120&lt;&gt;"acoes")))*INDEX(Inputs!$K$5:$AJ$120,0,MATCH(P$2,Inputs!$K$4:$AJ$4,0)))+SUMPRODUCT((Inputs!$E$5:$E$120=$B57)*Inputs!$F$5:$F$120*(((Inputs!$G$5:$G$120="moeda")+(Inputs!$G$5:$G$120="acoes"))*Inputs!$B$1+((Inputs!$G$5:$G$120&lt;&gt;"moeda")*(Inputs!$G$5:$G$120&lt;&gt;"acoes")))*INDEX(Inputs!$K$5:$AJ$120,0,MATCH(P$2,Inputs!$K$4:$AJ$4,0)))))</f>
        <v>479</v>
      </c>
      <c r="Q57" s="513">
        <f>IF(ISNA(MATCH(Q$2,Inputs!$K$4:$AJ$4,0)),NA(),IF(SUMPRODUCT((Inputs!$A$5:$A$120=$B57)*ISNUMBER(INDEX(Inputs!$K$5:$AJ$120,0,MATCH(Q$2,Inputs!$K$4:$AJ$4,0))))+SUMPRODUCT((Inputs!$C$5:$C$120=$B57)*ISNUMBER(INDEX(Inputs!$K$5:$AJ$120,0,MATCH(Q$2,Inputs!$K$4:$AJ$4,0))))+SUMPRODUCT((Inputs!$E$5:$E$120=$B57)*ISNUMBER(INDEX(Inputs!$K$5:$AJ$120,0,MATCH(Q$2,Inputs!$K$4:$AJ$4,0))))=0,NA(),SUMPRODUCT((Inputs!$A$5:$A$120=$B57)*Inputs!$B$5:$B$120*(((Inputs!$G$5:$G$120="moeda")+(Inputs!$G$5:$G$120="acoes"))*Inputs!$B$1+((Inputs!$G$5:$G$120&lt;&gt;"moeda")*(Inputs!$G$5:$G$120&lt;&gt;"acoes")))*INDEX(Inputs!$K$5:$AJ$120,0,MATCH(Q$2,Inputs!$K$4:$AJ$4,0)))+SUMPRODUCT((Inputs!$C$5:$C$120=$B57)*Inputs!$D$5:$D$120*(((Inputs!$G$5:$G$120="moeda")+(Inputs!$G$5:$G$120="acoes"))*Inputs!$B$1+((Inputs!$G$5:$G$120&lt;&gt;"moeda")*(Inputs!$G$5:$G$120&lt;&gt;"acoes")))*INDEX(Inputs!$K$5:$AJ$120,0,MATCH(Q$2,Inputs!$K$4:$AJ$4,0)))+SUMPRODUCT((Inputs!$E$5:$E$120=$B57)*Inputs!$F$5:$F$120*(((Inputs!$G$5:$G$120="moeda")+(Inputs!$G$5:$G$120="acoes"))*Inputs!$B$1+((Inputs!$G$5:$G$120&lt;&gt;"moeda")*(Inputs!$G$5:$G$120&lt;&gt;"acoes")))*INDEX(Inputs!$K$5:$AJ$120,0,MATCH(Q$2,Inputs!$K$4:$AJ$4,0)))))</f>
        <v>412</v>
      </c>
      <c r="R57" s="514">
        <f>SUM(N57:Q57)</f>
        <v>1896</v>
      </c>
      <c r="S57" s="513">
        <f>IF(ISNA(MATCH(S$2,Inputs!$K$4:$AJ$4,0)),NA(),IF(SUMPRODUCT((Inputs!$A$5:$A$120=$B57)*ISNUMBER(INDEX(Inputs!$K$5:$AJ$120,0,MATCH(S$2,Inputs!$K$4:$AJ$4,0))))+SUMPRODUCT((Inputs!$C$5:$C$120=$B57)*ISNUMBER(INDEX(Inputs!$K$5:$AJ$120,0,MATCH(S$2,Inputs!$K$4:$AJ$4,0))))+SUMPRODUCT((Inputs!$E$5:$E$120=$B57)*ISNUMBER(INDEX(Inputs!$K$5:$AJ$120,0,MATCH(S$2,Inputs!$K$4:$AJ$4,0))))=0,NA(),SUMPRODUCT((Inputs!$A$5:$A$120=$B57)*Inputs!$B$5:$B$120*(((Inputs!$G$5:$G$120="moeda")+(Inputs!$G$5:$G$120="acoes"))*Inputs!$B$1+((Inputs!$G$5:$G$120&lt;&gt;"moeda")*(Inputs!$G$5:$G$120&lt;&gt;"acoes")))*INDEX(Inputs!$K$5:$AJ$120,0,MATCH(S$2,Inputs!$K$4:$AJ$4,0)))+SUMPRODUCT((Inputs!$C$5:$C$120=$B57)*Inputs!$D$5:$D$120*(((Inputs!$G$5:$G$120="moeda")+(Inputs!$G$5:$G$120="acoes"))*Inputs!$B$1+((Inputs!$G$5:$G$120&lt;&gt;"moeda")*(Inputs!$G$5:$G$120&lt;&gt;"acoes")))*INDEX(Inputs!$K$5:$AJ$120,0,MATCH(S$2,Inputs!$K$4:$AJ$4,0)))+SUMPRODUCT((Inputs!$E$5:$E$120=$B57)*Inputs!$F$5:$F$120*(((Inputs!$G$5:$G$120="moeda")+(Inputs!$G$5:$G$120="acoes"))*Inputs!$B$1+((Inputs!$G$5:$G$120&lt;&gt;"moeda")*(Inputs!$G$5:$G$120&lt;&gt;"acoes")))*INDEX(Inputs!$K$5:$AJ$120,0,MATCH(S$2,Inputs!$K$4:$AJ$4,0)))))</f>
        <v>381</v>
      </c>
      <c r="T57" s="513">
        <f>IF(ISNA(MATCH(T$2,Inputs!$K$4:$AJ$4,0)),NA(),IF(SUMPRODUCT((Inputs!$A$5:$A$120=$B57)*ISNUMBER(INDEX(Inputs!$K$5:$AJ$120,0,MATCH(T$2,Inputs!$K$4:$AJ$4,0))))+SUMPRODUCT((Inputs!$C$5:$C$120=$B57)*ISNUMBER(INDEX(Inputs!$K$5:$AJ$120,0,MATCH(T$2,Inputs!$K$4:$AJ$4,0))))+SUMPRODUCT((Inputs!$E$5:$E$120=$B57)*ISNUMBER(INDEX(Inputs!$K$5:$AJ$120,0,MATCH(T$2,Inputs!$K$4:$AJ$4,0))))=0,NA(),SUMPRODUCT((Inputs!$A$5:$A$120=$B57)*Inputs!$B$5:$B$120*(((Inputs!$G$5:$G$120="moeda")+(Inputs!$G$5:$G$120="acoes"))*Inputs!$B$1+((Inputs!$G$5:$G$120&lt;&gt;"moeda")*(Inputs!$G$5:$G$120&lt;&gt;"acoes")))*INDEX(Inputs!$K$5:$AJ$120,0,MATCH(T$2,Inputs!$K$4:$AJ$4,0)))+SUMPRODUCT((Inputs!$C$5:$C$120=$B57)*Inputs!$D$5:$D$120*(((Inputs!$G$5:$G$120="moeda")+(Inputs!$G$5:$G$120="acoes"))*Inputs!$B$1+((Inputs!$G$5:$G$120&lt;&gt;"moeda")*(Inputs!$G$5:$G$120&lt;&gt;"acoes")))*INDEX(Inputs!$K$5:$AJ$120,0,MATCH(T$2,Inputs!$K$4:$AJ$4,0)))+SUMPRODUCT((Inputs!$E$5:$E$120=$B57)*Inputs!$F$5:$F$120*(((Inputs!$G$5:$G$120="moeda")+(Inputs!$G$5:$G$120="acoes"))*Inputs!$B$1+((Inputs!$G$5:$G$120&lt;&gt;"moeda")*(Inputs!$G$5:$G$120&lt;&gt;"acoes")))*INDEX(Inputs!$K$5:$AJ$120,0,MATCH(T$2,Inputs!$K$4:$AJ$4,0)))))</f>
        <v>401</v>
      </c>
      <c r="U57" s="513">
        <f>IF(ISNA(MATCH(U$2,Inputs!$K$4:$AJ$4,0)),NA(),IF(SUMPRODUCT((Inputs!$A$5:$A$120=$B57)*ISNUMBER(INDEX(Inputs!$K$5:$AJ$120,0,MATCH(U$2,Inputs!$K$4:$AJ$4,0))))+SUMPRODUCT((Inputs!$C$5:$C$120=$B57)*ISNUMBER(INDEX(Inputs!$K$5:$AJ$120,0,MATCH(U$2,Inputs!$K$4:$AJ$4,0))))+SUMPRODUCT((Inputs!$E$5:$E$120=$B57)*ISNUMBER(INDEX(Inputs!$K$5:$AJ$120,0,MATCH(U$2,Inputs!$K$4:$AJ$4,0))))=0,NA(),SUMPRODUCT((Inputs!$A$5:$A$120=$B57)*Inputs!$B$5:$B$120*(((Inputs!$G$5:$G$120="moeda")+(Inputs!$G$5:$G$120="acoes"))*Inputs!$B$1+((Inputs!$G$5:$G$120&lt;&gt;"moeda")*(Inputs!$G$5:$G$120&lt;&gt;"acoes")))*INDEX(Inputs!$K$5:$AJ$120,0,MATCH(U$2,Inputs!$K$4:$AJ$4,0)))+SUMPRODUCT((Inputs!$C$5:$C$120=$B57)*Inputs!$D$5:$D$120*(((Inputs!$G$5:$G$120="moeda")+(Inputs!$G$5:$G$120="acoes"))*Inputs!$B$1+((Inputs!$G$5:$G$120&lt;&gt;"moeda")*(Inputs!$G$5:$G$120&lt;&gt;"acoes")))*INDEX(Inputs!$K$5:$AJ$120,0,MATCH(U$2,Inputs!$K$4:$AJ$4,0)))+SUMPRODUCT((Inputs!$E$5:$E$120=$B57)*Inputs!$F$5:$F$120*(((Inputs!$G$5:$G$120="moeda")+(Inputs!$G$5:$G$120="acoes"))*Inputs!$B$1+((Inputs!$G$5:$G$120&lt;&gt;"moeda")*(Inputs!$G$5:$G$120&lt;&gt;"acoes")))*INDEX(Inputs!$K$5:$AJ$120,0,MATCH(U$2,Inputs!$K$4:$AJ$4,0)))))</f>
        <v>407</v>
      </c>
      <c r="V57" s="513">
        <f>IF(ISNA(MATCH(V$2,Inputs!$K$4:$AJ$4,0)),NA(),IF(SUMPRODUCT((Inputs!$A$5:$A$120=$B57)*ISNUMBER(INDEX(Inputs!$K$5:$AJ$120,0,MATCH(V$2,Inputs!$K$4:$AJ$4,0))))+SUMPRODUCT((Inputs!$C$5:$C$120=$B57)*ISNUMBER(INDEX(Inputs!$K$5:$AJ$120,0,MATCH(V$2,Inputs!$K$4:$AJ$4,0))))+SUMPRODUCT((Inputs!$E$5:$E$120=$B57)*ISNUMBER(INDEX(Inputs!$K$5:$AJ$120,0,MATCH(V$2,Inputs!$K$4:$AJ$4,0))))=0,NA(),SUMPRODUCT((Inputs!$A$5:$A$120=$B57)*Inputs!$B$5:$B$120*(((Inputs!$G$5:$G$120="moeda")+(Inputs!$G$5:$G$120="acoes"))*Inputs!$B$1+((Inputs!$G$5:$G$120&lt;&gt;"moeda")*(Inputs!$G$5:$G$120&lt;&gt;"acoes")))*INDEX(Inputs!$K$5:$AJ$120,0,MATCH(V$2,Inputs!$K$4:$AJ$4,0)))+SUMPRODUCT((Inputs!$C$5:$C$120=$B57)*Inputs!$D$5:$D$120*(((Inputs!$G$5:$G$120="moeda")+(Inputs!$G$5:$G$120="acoes"))*Inputs!$B$1+((Inputs!$G$5:$G$120&lt;&gt;"moeda")*(Inputs!$G$5:$G$120&lt;&gt;"acoes")))*INDEX(Inputs!$K$5:$AJ$120,0,MATCH(V$2,Inputs!$K$4:$AJ$4,0)))+SUMPRODUCT((Inputs!$E$5:$E$120=$B57)*Inputs!$F$5:$F$120*(((Inputs!$G$5:$G$120="moeda")+(Inputs!$G$5:$G$120="acoes"))*Inputs!$B$1+((Inputs!$G$5:$G$120&lt;&gt;"moeda")*(Inputs!$G$5:$G$120&lt;&gt;"acoes")))*INDEX(Inputs!$K$5:$AJ$120,0,MATCH(V$2,Inputs!$K$4:$AJ$4,0)))))</f>
        <v>366</v>
      </c>
      <c r="W57" s="514">
        <f>SUM(S57:V57)</f>
        <v>1555</v>
      </c>
      <c r="X57" s="513">
        <f>IF(ISNA(MATCH(X$2,Inputs!$K$4:$AJ$4,0)),NA(),IF(SUMPRODUCT((Inputs!$A$5:$A$120=$B57)*ISNUMBER(INDEX(Inputs!$K$5:$AJ$120,0,MATCH(X$2,Inputs!$K$4:$AJ$4,0))))+SUMPRODUCT((Inputs!$C$5:$C$120=$B57)*ISNUMBER(INDEX(Inputs!$K$5:$AJ$120,0,MATCH(X$2,Inputs!$K$4:$AJ$4,0))))+SUMPRODUCT((Inputs!$E$5:$E$120=$B57)*ISNUMBER(INDEX(Inputs!$K$5:$AJ$120,0,MATCH(X$2,Inputs!$K$4:$AJ$4,0))))=0,NA(),SUMPRODUCT((Inputs!$A$5:$A$120=$B57)*Inputs!$B$5:$B$120*(((Inputs!$G$5:$G$120="moeda")+(Inputs!$G$5:$G$120="acoes"))*Inputs!$B$1+((Inputs!$G$5:$G$120&lt;&gt;"moeda")*(Inputs!$G$5:$G$120&lt;&gt;"acoes")))*INDEX(Inputs!$K$5:$AJ$120,0,MATCH(X$2,Inputs!$K$4:$AJ$4,0)))+SUMPRODUCT((Inputs!$C$5:$C$120=$B57)*Inputs!$D$5:$D$120*(((Inputs!$G$5:$G$120="moeda")+(Inputs!$G$5:$G$120="acoes"))*Inputs!$B$1+((Inputs!$G$5:$G$120&lt;&gt;"moeda")*(Inputs!$G$5:$G$120&lt;&gt;"acoes")))*INDEX(Inputs!$K$5:$AJ$120,0,MATCH(X$2,Inputs!$K$4:$AJ$4,0)))+SUMPRODUCT((Inputs!$E$5:$E$120=$B57)*Inputs!$F$5:$F$120*(((Inputs!$G$5:$G$120="moeda")+(Inputs!$G$5:$G$120="acoes"))*Inputs!$B$1+((Inputs!$G$5:$G$120&lt;&gt;"moeda")*(Inputs!$G$5:$G$120&lt;&gt;"acoes")))*INDEX(Inputs!$K$5:$AJ$120,0,MATCH(X$2,Inputs!$K$4:$AJ$4,0)))))</f>
        <v>375</v>
      </c>
      <c r="Y57" s="513">
        <f>IF(ISNA(MATCH(Y$2,Inputs!$K$4:$AJ$4,0)),NA(),IF(SUMPRODUCT((Inputs!$A$5:$A$120=$B57)*ISNUMBER(INDEX(Inputs!$K$5:$AJ$120,0,MATCH(Y$2,Inputs!$K$4:$AJ$4,0))))+SUMPRODUCT((Inputs!$C$5:$C$120=$B57)*ISNUMBER(INDEX(Inputs!$K$5:$AJ$120,0,MATCH(Y$2,Inputs!$K$4:$AJ$4,0))))+SUMPRODUCT((Inputs!$E$5:$E$120=$B57)*ISNUMBER(INDEX(Inputs!$K$5:$AJ$120,0,MATCH(Y$2,Inputs!$K$4:$AJ$4,0))))=0,NA(),SUMPRODUCT((Inputs!$A$5:$A$120=$B57)*Inputs!$B$5:$B$120*(((Inputs!$G$5:$G$120="moeda")+(Inputs!$G$5:$G$120="acoes"))*Inputs!$B$1+((Inputs!$G$5:$G$120&lt;&gt;"moeda")*(Inputs!$G$5:$G$120&lt;&gt;"acoes")))*INDEX(Inputs!$K$5:$AJ$120,0,MATCH(Y$2,Inputs!$K$4:$AJ$4,0)))+SUMPRODUCT((Inputs!$C$5:$C$120=$B57)*Inputs!$D$5:$D$120*(((Inputs!$G$5:$G$120="moeda")+(Inputs!$G$5:$G$120="acoes"))*Inputs!$B$1+((Inputs!$G$5:$G$120&lt;&gt;"moeda")*(Inputs!$G$5:$G$120&lt;&gt;"acoes")))*INDEX(Inputs!$K$5:$AJ$120,0,MATCH(Y$2,Inputs!$K$4:$AJ$4,0)))+SUMPRODUCT((Inputs!$E$5:$E$120=$B57)*Inputs!$F$5:$F$120*(((Inputs!$G$5:$G$120="moeda")+(Inputs!$G$5:$G$120="acoes"))*Inputs!$B$1+((Inputs!$G$5:$G$120&lt;&gt;"moeda")*(Inputs!$G$5:$G$120&lt;&gt;"acoes")))*INDEX(Inputs!$K$5:$AJ$120,0,MATCH(Y$2,Inputs!$K$4:$AJ$4,0)))))</f>
        <v>409</v>
      </c>
      <c r="Z57" s="513" t="e">
        <f>IF(ISNA(MATCH(Z$2,Inputs!$K$4:$AJ$4,0)),NA(),IF(SUMPRODUCT((Inputs!$A$5:$A$120=$B57)*ISNUMBER(INDEX(Inputs!$K$5:$AJ$120,0,MATCH(Z$2,Inputs!$K$4:$AJ$4,0))))+SUMPRODUCT((Inputs!$C$5:$C$120=$B57)*ISNUMBER(INDEX(Inputs!$K$5:$AJ$120,0,MATCH(Z$2,Inputs!$K$4:$AJ$4,0))))+SUMPRODUCT((Inputs!$E$5:$E$120=$B57)*ISNUMBER(INDEX(Inputs!$K$5:$AJ$120,0,MATCH(Z$2,Inputs!$K$4:$AJ$4,0))))=0,NA(),SUMPRODUCT((Inputs!$A$5:$A$120=$B57)*Inputs!$B$5:$B$120*(((Inputs!$G$5:$G$120="moeda")+(Inputs!$G$5:$G$120="acoes"))*Inputs!$B$1+((Inputs!$G$5:$G$120&lt;&gt;"moeda")*(Inputs!$G$5:$G$120&lt;&gt;"acoes")))*INDEX(Inputs!$K$5:$AJ$120,0,MATCH(Z$2,Inputs!$K$4:$AJ$4,0)))+SUMPRODUCT((Inputs!$C$5:$C$120=$B57)*Inputs!$D$5:$D$120*(((Inputs!$G$5:$G$120="moeda")+(Inputs!$G$5:$G$120="acoes"))*Inputs!$B$1+((Inputs!$G$5:$G$120&lt;&gt;"moeda")*(Inputs!$G$5:$G$120&lt;&gt;"acoes")))*INDEX(Inputs!$K$5:$AJ$120,0,MATCH(Z$2,Inputs!$K$4:$AJ$4,0)))+SUMPRODUCT((Inputs!$E$5:$E$120=$B57)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7" s="513" t="e">
        <f>IF(ISNA(MATCH(AA$2,Inputs!$K$4:$AJ$4,0)),NA(),IF(SUMPRODUCT((Inputs!$A$5:$A$120=$B57)*ISNUMBER(INDEX(Inputs!$K$5:$AJ$120,0,MATCH(AA$2,Inputs!$K$4:$AJ$4,0))))+SUMPRODUCT((Inputs!$C$5:$C$120=$B57)*ISNUMBER(INDEX(Inputs!$K$5:$AJ$120,0,MATCH(AA$2,Inputs!$K$4:$AJ$4,0))))+SUMPRODUCT((Inputs!$E$5:$E$120=$B57)*ISNUMBER(INDEX(Inputs!$K$5:$AJ$120,0,MATCH(AA$2,Inputs!$K$4:$AJ$4,0))))=0,NA(),SUMPRODUCT((Inputs!$A$5:$A$120=$B57)*Inputs!$B$5:$B$120*(((Inputs!$G$5:$G$120="moeda")+(Inputs!$G$5:$G$120="acoes"))*Inputs!$B$1+((Inputs!$G$5:$G$120&lt;&gt;"moeda")*(Inputs!$G$5:$G$120&lt;&gt;"acoes")))*INDEX(Inputs!$K$5:$AJ$120,0,MATCH(AA$2,Inputs!$K$4:$AJ$4,0)))+SUMPRODUCT((Inputs!$C$5:$C$120=$B57)*Inputs!$D$5:$D$120*(((Inputs!$G$5:$G$120="moeda")+(Inputs!$G$5:$G$120="acoes"))*Inputs!$B$1+((Inputs!$G$5:$G$120&lt;&gt;"moeda")*(Inputs!$G$5:$G$120&lt;&gt;"acoes")))*INDEX(Inputs!$K$5:$AJ$120,0,MATCH(AA$2,Inputs!$K$4:$AJ$4,0)))+SUMPRODUCT((Inputs!$E$5:$E$120=$B57)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7" s="514" t="e">
        <f>SUM(X57:AA57)</f>
        <v>#N/A</v>
      </c>
      <c r="AC57" s="513" t="e">
        <f>IF(ISNA(MATCH(AC$2,Inputs!$K$4:$AJ$4,0)),NA(),IF(SUMPRODUCT((Inputs!$A$5:$A$120=$B57)*ISNUMBER(INDEX(Inputs!$K$5:$AJ$120,0,MATCH(AC$2,Inputs!$K$4:$AJ$4,0))))+SUMPRODUCT((Inputs!$C$5:$C$120=$B57)*ISNUMBER(INDEX(Inputs!$K$5:$AJ$120,0,MATCH(AC$2,Inputs!$K$4:$AJ$4,0))))+SUMPRODUCT((Inputs!$E$5:$E$120=$B57)*ISNUMBER(INDEX(Inputs!$K$5:$AJ$120,0,MATCH(AC$2,Inputs!$K$4:$AJ$4,0))))=0,NA(),SUMPRODUCT((Inputs!$A$5:$A$120=$B57)*Inputs!$B$5:$B$120*(((Inputs!$G$5:$G$120="moeda")+(Inputs!$G$5:$G$120="acoes"))*Inputs!$B$1+((Inputs!$G$5:$G$120&lt;&gt;"moeda")*(Inputs!$G$5:$G$120&lt;&gt;"acoes")))*INDEX(Inputs!$K$5:$AJ$120,0,MATCH(AC$2,Inputs!$K$4:$AJ$4,0)))+SUMPRODUCT((Inputs!$C$5:$C$120=$B57)*Inputs!$D$5:$D$120*(((Inputs!$G$5:$G$120="moeda")+(Inputs!$G$5:$G$120="acoes"))*Inputs!$B$1+((Inputs!$G$5:$G$120&lt;&gt;"moeda")*(Inputs!$G$5:$G$120&lt;&gt;"acoes")))*INDEX(Inputs!$K$5:$AJ$120,0,MATCH(AC$2,Inputs!$K$4:$AJ$4,0)))+SUMPRODUCT((Inputs!$E$5:$E$120=$B57)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7" s="513" t="e">
        <f>IF(ISNA(MATCH(AD$2,Inputs!$K$4:$AJ$4,0)),NA(),IF(SUMPRODUCT((Inputs!$A$5:$A$120=$B57)*ISNUMBER(INDEX(Inputs!$K$5:$AJ$120,0,MATCH(AD$2,Inputs!$K$4:$AJ$4,0))))+SUMPRODUCT((Inputs!$C$5:$C$120=$B57)*ISNUMBER(INDEX(Inputs!$K$5:$AJ$120,0,MATCH(AD$2,Inputs!$K$4:$AJ$4,0))))+SUMPRODUCT((Inputs!$E$5:$E$120=$B57)*ISNUMBER(INDEX(Inputs!$K$5:$AJ$120,0,MATCH(AD$2,Inputs!$K$4:$AJ$4,0))))=0,NA(),SUMPRODUCT((Inputs!$A$5:$A$120=$B57)*Inputs!$B$5:$B$120*(((Inputs!$G$5:$G$120="moeda")+(Inputs!$G$5:$G$120="acoes"))*Inputs!$B$1+((Inputs!$G$5:$G$120&lt;&gt;"moeda")*(Inputs!$G$5:$G$120&lt;&gt;"acoes")))*INDEX(Inputs!$K$5:$AJ$120,0,MATCH(AD$2,Inputs!$K$4:$AJ$4,0)))+SUMPRODUCT((Inputs!$C$5:$C$120=$B57)*Inputs!$D$5:$D$120*(((Inputs!$G$5:$G$120="moeda")+(Inputs!$G$5:$G$120="acoes"))*Inputs!$B$1+((Inputs!$G$5:$G$120&lt;&gt;"moeda")*(Inputs!$G$5:$G$120&lt;&gt;"acoes")))*INDEX(Inputs!$K$5:$AJ$120,0,MATCH(AD$2,Inputs!$K$4:$AJ$4,0)))+SUMPRODUCT((Inputs!$E$5:$E$120=$B57)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7" s="513" t="e">
        <f>IF(ISNA(MATCH(AE$2,Inputs!$K$4:$AJ$4,0)),NA(),IF(SUMPRODUCT((Inputs!$A$5:$A$120=$B57)*ISNUMBER(INDEX(Inputs!$K$5:$AJ$120,0,MATCH(AE$2,Inputs!$K$4:$AJ$4,0))))+SUMPRODUCT((Inputs!$C$5:$C$120=$B57)*ISNUMBER(INDEX(Inputs!$K$5:$AJ$120,0,MATCH(AE$2,Inputs!$K$4:$AJ$4,0))))+SUMPRODUCT((Inputs!$E$5:$E$120=$B57)*ISNUMBER(INDEX(Inputs!$K$5:$AJ$120,0,MATCH(AE$2,Inputs!$K$4:$AJ$4,0))))=0,NA(),SUMPRODUCT((Inputs!$A$5:$A$120=$B57)*Inputs!$B$5:$B$120*(((Inputs!$G$5:$G$120="moeda")+(Inputs!$G$5:$G$120="acoes"))*Inputs!$B$1+((Inputs!$G$5:$G$120&lt;&gt;"moeda")*(Inputs!$G$5:$G$120&lt;&gt;"acoes")))*INDEX(Inputs!$K$5:$AJ$120,0,MATCH(AE$2,Inputs!$K$4:$AJ$4,0)))+SUMPRODUCT((Inputs!$C$5:$C$120=$B57)*Inputs!$D$5:$D$120*(((Inputs!$G$5:$G$120="moeda")+(Inputs!$G$5:$G$120="acoes"))*Inputs!$B$1+((Inputs!$G$5:$G$120&lt;&gt;"moeda")*(Inputs!$G$5:$G$120&lt;&gt;"acoes")))*INDEX(Inputs!$K$5:$AJ$120,0,MATCH(AE$2,Inputs!$K$4:$AJ$4,0)))+SUMPRODUCT((Inputs!$E$5:$E$120=$B57)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7" s="513" t="e">
        <f>IF(ISNA(MATCH(AF$2,Inputs!$K$4:$AJ$4,0)),NA(),IF(SUMPRODUCT((Inputs!$A$5:$A$120=$B57)*ISNUMBER(INDEX(Inputs!$K$5:$AJ$120,0,MATCH(AF$2,Inputs!$K$4:$AJ$4,0))))+SUMPRODUCT((Inputs!$C$5:$C$120=$B57)*ISNUMBER(INDEX(Inputs!$K$5:$AJ$120,0,MATCH(AF$2,Inputs!$K$4:$AJ$4,0))))+SUMPRODUCT((Inputs!$E$5:$E$120=$B57)*ISNUMBER(INDEX(Inputs!$K$5:$AJ$120,0,MATCH(AF$2,Inputs!$K$4:$AJ$4,0))))=0,NA(),SUMPRODUCT((Inputs!$A$5:$A$120=$B57)*Inputs!$B$5:$B$120*(((Inputs!$G$5:$G$120="moeda")+(Inputs!$G$5:$G$120="acoes"))*Inputs!$B$1+((Inputs!$G$5:$G$120&lt;&gt;"moeda")*(Inputs!$G$5:$G$120&lt;&gt;"acoes")))*INDEX(Inputs!$K$5:$AJ$120,0,MATCH(AF$2,Inputs!$K$4:$AJ$4,0)))+SUMPRODUCT((Inputs!$C$5:$C$120=$B57)*Inputs!$D$5:$D$120*(((Inputs!$G$5:$G$120="moeda")+(Inputs!$G$5:$G$120="acoes"))*Inputs!$B$1+((Inputs!$G$5:$G$120&lt;&gt;"moeda")*(Inputs!$G$5:$G$120&lt;&gt;"acoes")))*INDEX(Inputs!$K$5:$AJ$120,0,MATCH(AF$2,Inputs!$K$4:$AJ$4,0)))+SUMPRODUCT((Inputs!$E$5:$E$120=$B57)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7" s="514" t="e">
        <f>SUM(AC57:AF57)</f>
        <v>#N/A</v>
      </c>
      <c r="AH57" s="513">
        <f>IF(ISNA(MATCH(AH$2,Inputs!$K$4:$AJ$4,0)),NA(),IF(SUMPRODUCT((Inputs!$A$5:$A$120=$B57)*ISNUMBER(INDEX(Inputs!$K$5:$AJ$120,0,MATCH(AH$2,Inputs!$K$4:$AJ$4,0))))+SUMPRODUCT((Inputs!$C$5:$C$120=$B57)*ISNUMBER(INDEX(Inputs!$K$5:$AJ$120,0,MATCH(AH$2,Inputs!$K$4:$AJ$4,0))))+SUMPRODUCT((Inputs!$E$5:$E$120=$B57)*ISNUMBER(INDEX(Inputs!$K$5:$AJ$120,0,MATCH(AH$2,Inputs!$K$4:$AJ$4,0))))=0,NA(),SUMPRODUCT((Inputs!$A$5:$A$120=$B57)*Inputs!$B$5:$B$120*(((Inputs!$G$5:$G$120="moeda")+(Inputs!$G$5:$G$120="acoes"))*Inputs!$B$1+((Inputs!$G$5:$G$120&lt;&gt;"moeda")*(Inputs!$G$5:$G$120&lt;&gt;"acoes")))*INDEX(Inputs!$K$5:$AJ$120,0,MATCH(AH$2,Inputs!$K$4:$AJ$4,0)))+SUMPRODUCT((Inputs!$C$5:$C$120=$B57)*Inputs!$D$5:$D$120*(((Inputs!$G$5:$G$120="moeda")+(Inputs!$G$5:$G$120="acoes"))*Inputs!$B$1+((Inputs!$G$5:$G$120&lt;&gt;"moeda")*(Inputs!$G$5:$G$120&lt;&gt;"acoes")))*INDEX(Inputs!$K$5:$AJ$120,0,MATCH(AH$2,Inputs!$K$4:$AJ$4,0)))+SUMPRODUCT((Inputs!$E$5:$E$120=$B57)*Inputs!$F$5:$F$120*(((Inputs!$G$5:$G$120="moeda")+(Inputs!$G$5:$G$120="acoes"))*Inputs!$B$1+((Inputs!$G$5:$G$120&lt;&gt;"moeda")*(Inputs!$G$5:$G$120&lt;&gt;"acoes")))*INDEX(Inputs!$K$5:$AJ$120,0,MATCH(AH$2,Inputs!$K$4:$AJ$4,0)))))</f>
        <v>416</v>
      </c>
      <c r="AI57" s="513">
        <f>IF(ISNA(MATCH(AI$2,Inputs!$K$4:$AJ$4,0)),NA(),IF(SUMPRODUCT((Inputs!$A$5:$A$120=$B57)*ISNUMBER(INDEX(Inputs!$K$5:$AJ$120,0,MATCH(AI$2,Inputs!$K$4:$AJ$4,0))))+SUMPRODUCT((Inputs!$C$5:$C$120=$B57)*ISNUMBER(INDEX(Inputs!$K$5:$AJ$120,0,MATCH(AI$2,Inputs!$K$4:$AJ$4,0))))+SUMPRODUCT((Inputs!$E$5:$E$120=$B57)*ISNUMBER(INDEX(Inputs!$K$5:$AJ$120,0,MATCH(AI$2,Inputs!$K$4:$AJ$4,0))))=0,NA(),SUMPRODUCT((Inputs!$A$5:$A$120=$B57)*Inputs!$B$5:$B$120*(((Inputs!$G$5:$G$120="moeda")+(Inputs!$G$5:$G$120="acoes"))*Inputs!$B$1+((Inputs!$G$5:$G$120&lt;&gt;"moeda")*(Inputs!$G$5:$G$120&lt;&gt;"acoes")))*INDEX(Inputs!$K$5:$AJ$120,0,MATCH(AI$2,Inputs!$K$4:$AJ$4,0)))+SUMPRODUCT((Inputs!$C$5:$C$120=$B57)*Inputs!$D$5:$D$120*(((Inputs!$G$5:$G$120="moeda")+(Inputs!$G$5:$G$120="acoes"))*Inputs!$B$1+((Inputs!$G$5:$G$120&lt;&gt;"moeda")*(Inputs!$G$5:$G$120&lt;&gt;"acoes")))*INDEX(Inputs!$K$5:$AJ$120,0,MATCH(AI$2,Inputs!$K$4:$AJ$4,0)))+SUMPRODUCT((Inputs!$E$5:$E$120=$B57)*Inputs!$F$5:$F$120*(((Inputs!$G$5:$G$120="moeda")+(Inputs!$G$5:$G$120="acoes"))*Inputs!$B$1+((Inputs!$G$5:$G$120&lt;&gt;"moeda")*(Inputs!$G$5:$G$120&lt;&gt;"acoes")))*INDEX(Inputs!$K$5:$AJ$120,0,MATCH(AI$2,Inputs!$K$4:$AJ$4,0)))))</f>
        <v>382</v>
      </c>
      <c r="AJ57" s="513">
        <f>IF(ISNA(MATCH(AJ$2,Inputs!$K$4:$AJ$4,0)),NA(),IF(SUMPRODUCT((Inputs!$A$5:$A$120=$B57)*ISNUMBER(INDEX(Inputs!$K$5:$AJ$120,0,MATCH(AJ$2,Inputs!$K$4:$AJ$4,0))))+SUMPRODUCT((Inputs!$C$5:$C$120=$B57)*ISNUMBER(INDEX(Inputs!$K$5:$AJ$120,0,MATCH(AJ$2,Inputs!$K$4:$AJ$4,0))))+SUMPRODUCT((Inputs!$E$5:$E$120=$B57)*ISNUMBER(INDEX(Inputs!$K$5:$AJ$120,0,MATCH(AJ$2,Inputs!$K$4:$AJ$4,0))))=0,NA(),SUMPRODUCT((Inputs!$A$5:$A$120=$B57)*Inputs!$B$5:$B$120*(((Inputs!$G$5:$G$120="moeda")+(Inputs!$G$5:$G$120="acoes"))*Inputs!$B$1+((Inputs!$G$5:$G$120&lt;&gt;"moeda")*(Inputs!$G$5:$G$120&lt;&gt;"acoes")))*INDEX(Inputs!$K$5:$AJ$120,0,MATCH(AJ$2,Inputs!$K$4:$AJ$4,0)))+SUMPRODUCT((Inputs!$C$5:$C$120=$B57)*Inputs!$D$5:$D$120*(((Inputs!$G$5:$G$120="moeda")+(Inputs!$G$5:$G$120="acoes"))*Inputs!$B$1+((Inputs!$G$5:$G$120&lt;&gt;"moeda")*(Inputs!$G$5:$G$120&lt;&gt;"acoes")))*INDEX(Inputs!$K$5:$AJ$120,0,MATCH(AJ$2,Inputs!$K$4:$AJ$4,0)))+SUMPRODUCT((Inputs!$E$5:$E$120=$B57)*Inputs!$F$5:$F$120*(((Inputs!$G$5:$G$120="moeda")+(Inputs!$G$5:$G$120="acoes"))*Inputs!$B$1+((Inputs!$G$5:$G$120&lt;&gt;"moeda")*(Inputs!$G$5:$G$120&lt;&gt;"acoes")))*INDEX(Inputs!$K$5:$AJ$120,0,MATCH(AJ$2,Inputs!$K$4:$AJ$4,0)))))</f>
        <v>388</v>
      </c>
      <c r="AK57" s="513">
        <f>IF(ISNA(MATCH(AK$2,Inputs!$K$4:$AJ$4,0)),NA(),IF(SUMPRODUCT((Inputs!$A$5:$A$120=$B57)*ISNUMBER(INDEX(Inputs!$K$5:$AJ$120,0,MATCH(AK$2,Inputs!$K$4:$AJ$4,0))))+SUMPRODUCT((Inputs!$C$5:$C$120=$B57)*ISNUMBER(INDEX(Inputs!$K$5:$AJ$120,0,MATCH(AK$2,Inputs!$K$4:$AJ$4,0))))+SUMPRODUCT((Inputs!$E$5:$E$120=$B57)*ISNUMBER(INDEX(Inputs!$K$5:$AJ$120,0,MATCH(AK$2,Inputs!$K$4:$AJ$4,0))))=0,NA(),SUMPRODUCT((Inputs!$A$5:$A$120=$B57)*Inputs!$B$5:$B$120*(((Inputs!$G$5:$G$120="moeda")+(Inputs!$G$5:$G$120="acoes"))*Inputs!$B$1+((Inputs!$G$5:$G$120&lt;&gt;"moeda")*(Inputs!$G$5:$G$120&lt;&gt;"acoes")))*INDEX(Inputs!$K$5:$AJ$120,0,MATCH(AK$2,Inputs!$K$4:$AJ$4,0)))+SUMPRODUCT((Inputs!$C$5:$C$120=$B57)*Inputs!$D$5:$D$120*(((Inputs!$G$5:$G$120="moeda")+(Inputs!$G$5:$G$120="acoes"))*Inputs!$B$1+((Inputs!$G$5:$G$120&lt;&gt;"moeda")*(Inputs!$G$5:$G$120&lt;&gt;"acoes")))*INDEX(Inputs!$K$5:$AJ$120,0,MATCH(AK$2,Inputs!$K$4:$AJ$4,0)))+SUMPRODUCT((Inputs!$E$5:$E$120=$B57)*Inputs!$F$5:$F$120*(((Inputs!$G$5:$G$120="moeda")+(Inputs!$G$5:$G$120="acoes"))*Inputs!$B$1+((Inputs!$G$5:$G$120&lt;&gt;"moeda")*(Inputs!$G$5:$G$120&lt;&gt;"acoes")))*INDEX(Inputs!$K$5:$AJ$120,0,MATCH(AK$2,Inputs!$K$4:$AJ$4,0)))))</f>
        <v>463</v>
      </c>
      <c r="AL57" s="514">
        <f>SUM(AH57:AK57)</f>
        <v>1649</v>
      </c>
    </row>
    <row r="58">
      <c r="B58" s="265" t="n">
        <v>50</v>
      </c>
      <c r="C58" s="266" t="inlineStr">
        <is>
          <t>Milling - lucro do segmento (USD)</t>
        </is>
      </c>
      <c r="D58" s="513">
        <f>IF(ISNA(MATCH(D$2,Inputs!$K$4:$AJ$4,0)),NA(),IF(SUMPRODUCT((Inputs!$A$5:$A$120=$B58)*ISNUMBER(INDEX(Inputs!$K$5:$AJ$120,0,MATCH(D$2,Inputs!$K$4:$AJ$4,0))))+SUMPRODUCT((Inputs!$C$5:$C$120=$B58)*ISNUMBER(INDEX(Inputs!$K$5:$AJ$120,0,MATCH(D$2,Inputs!$K$4:$AJ$4,0))))+SUMPRODUCT((Inputs!$E$5:$E$120=$B58)*ISNUMBER(INDEX(Inputs!$K$5:$AJ$120,0,MATCH(D$2,Inputs!$K$4:$AJ$4,0))))=0,NA(),SUMPRODUCT((Inputs!$A$5:$A$120=$B58)*Inputs!$B$5:$B$120*(((Inputs!$G$5:$G$120="moeda")+(Inputs!$G$5:$G$120="acoes"))*Inputs!$B$1+((Inputs!$G$5:$G$120&lt;&gt;"moeda")*(Inputs!$G$5:$G$120&lt;&gt;"acoes")))*INDEX(Inputs!$K$5:$AJ$120,0,MATCH(D$2,Inputs!$K$4:$AJ$4,0)))+SUMPRODUCT((Inputs!$C$5:$C$120=$B58)*Inputs!$D$5:$D$120*(((Inputs!$G$5:$G$120="moeda")+(Inputs!$G$5:$G$120="acoes"))*Inputs!$B$1+((Inputs!$G$5:$G$120&lt;&gt;"moeda")*(Inputs!$G$5:$G$120&lt;&gt;"acoes")))*INDEX(Inputs!$K$5:$AJ$120,0,MATCH(D$2,Inputs!$K$4:$AJ$4,0)))+SUMPRODUCT((Inputs!$E$5:$E$120=$B58)*Inputs!$F$5:$F$120*(((Inputs!$G$5:$G$120="moeda")+(Inputs!$G$5:$G$120="acoes"))*Inputs!$B$1+((Inputs!$G$5:$G$120&lt;&gt;"moeda")*(Inputs!$G$5:$G$120&lt;&gt;"acoes")))*INDEX(Inputs!$K$5:$AJ$120,0,MATCH(D$2,Inputs!$K$4:$AJ$4,0)))))</f>
        <v>34</v>
      </c>
      <c r="E58" s="513">
        <f>IF(ISNA(MATCH(E$2,Inputs!$K$4:$AJ$4,0)),NA(),IF(SUMPRODUCT((Inputs!$A$5:$A$120=$B58)*ISNUMBER(INDEX(Inputs!$K$5:$AJ$120,0,MATCH(E$2,Inputs!$K$4:$AJ$4,0))))+SUMPRODUCT((Inputs!$C$5:$C$120=$B58)*ISNUMBER(INDEX(Inputs!$K$5:$AJ$120,0,MATCH(E$2,Inputs!$K$4:$AJ$4,0))))+SUMPRODUCT((Inputs!$E$5:$E$120=$B58)*ISNUMBER(INDEX(Inputs!$K$5:$AJ$120,0,MATCH(E$2,Inputs!$K$4:$AJ$4,0))))=0,NA(),SUMPRODUCT((Inputs!$A$5:$A$120=$B58)*Inputs!$B$5:$B$120*(((Inputs!$G$5:$G$120="moeda")+(Inputs!$G$5:$G$120="acoes"))*Inputs!$B$1+((Inputs!$G$5:$G$120&lt;&gt;"moeda")*(Inputs!$G$5:$G$120&lt;&gt;"acoes")))*INDEX(Inputs!$K$5:$AJ$120,0,MATCH(E$2,Inputs!$K$4:$AJ$4,0)))+SUMPRODUCT((Inputs!$C$5:$C$120=$B58)*Inputs!$D$5:$D$120*(((Inputs!$G$5:$G$120="moeda")+(Inputs!$G$5:$G$120="acoes"))*Inputs!$B$1+((Inputs!$G$5:$G$120&lt;&gt;"moeda")*(Inputs!$G$5:$G$120&lt;&gt;"acoes")))*INDEX(Inputs!$K$5:$AJ$120,0,MATCH(E$2,Inputs!$K$4:$AJ$4,0)))+SUMPRODUCT((Inputs!$E$5:$E$120=$B58)*Inputs!$F$5:$F$120*(((Inputs!$G$5:$G$120="moeda")+(Inputs!$G$5:$G$120="acoes"))*Inputs!$B$1+((Inputs!$G$5:$G$120&lt;&gt;"moeda")*(Inputs!$G$5:$G$120&lt;&gt;"acoes")))*INDEX(Inputs!$K$5:$AJ$120,0,MATCH(E$2,Inputs!$K$4:$AJ$4,0)))))</f>
        <v>57</v>
      </c>
      <c r="F58" s="513">
        <f>IF(ISNA(MATCH(F$2,Inputs!$K$4:$AJ$4,0)),NA(),IF(SUMPRODUCT((Inputs!$A$5:$A$120=$B58)*ISNUMBER(INDEX(Inputs!$K$5:$AJ$120,0,MATCH(F$2,Inputs!$K$4:$AJ$4,0))))+SUMPRODUCT((Inputs!$C$5:$C$120=$B58)*ISNUMBER(INDEX(Inputs!$K$5:$AJ$120,0,MATCH(F$2,Inputs!$K$4:$AJ$4,0))))+SUMPRODUCT((Inputs!$E$5:$E$120=$B58)*ISNUMBER(INDEX(Inputs!$K$5:$AJ$120,0,MATCH(F$2,Inputs!$K$4:$AJ$4,0))))=0,NA(),SUMPRODUCT((Inputs!$A$5:$A$120=$B58)*Inputs!$B$5:$B$120*(((Inputs!$G$5:$G$120="moeda")+(Inputs!$G$5:$G$120="acoes"))*Inputs!$B$1+((Inputs!$G$5:$G$120&lt;&gt;"moeda")*(Inputs!$G$5:$G$120&lt;&gt;"acoes")))*INDEX(Inputs!$K$5:$AJ$120,0,MATCH(F$2,Inputs!$K$4:$AJ$4,0)))+SUMPRODUCT((Inputs!$C$5:$C$120=$B58)*Inputs!$D$5:$D$120*(((Inputs!$G$5:$G$120="moeda")+(Inputs!$G$5:$G$120="acoes"))*Inputs!$B$1+((Inputs!$G$5:$G$120&lt;&gt;"moeda")*(Inputs!$G$5:$G$120&lt;&gt;"acoes")))*INDEX(Inputs!$K$5:$AJ$120,0,MATCH(F$2,Inputs!$K$4:$AJ$4,0)))+SUMPRODUCT((Inputs!$E$5:$E$120=$B58)*Inputs!$F$5:$F$120*(((Inputs!$G$5:$G$120="moeda")+(Inputs!$G$5:$G$120="acoes"))*Inputs!$B$1+((Inputs!$G$5:$G$120&lt;&gt;"moeda")*(Inputs!$G$5:$G$120&lt;&gt;"acoes")))*INDEX(Inputs!$K$5:$AJ$120,0,MATCH(F$2,Inputs!$K$4:$AJ$4,0)))))</f>
        <v>70</v>
      </c>
      <c r="G58" s="513" t="e">
        <f>IF(ISNA(MATCH(G$2,Inputs!$K$4:$AJ$4,0)),NA(),IF(SUMPRODUCT((Inputs!$A$5:$A$120=$B58)*ISNUMBER(INDEX(Inputs!$K$5:$AJ$120,0,MATCH(G$2,Inputs!$K$4:$AJ$4,0))))+SUMPRODUCT((Inputs!$C$5:$C$120=$B58)*ISNUMBER(INDEX(Inputs!$K$5:$AJ$120,0,MATCH(G$2,Inputs!$K$4:$AJ$4,0))))+SUMPRODUCT((Inputs!$E$5:$E$120=$B58)*ISNUMBER(INDEX(Inputs!$K$5:$AJ$120,0,MATCH(G$2,Inputs!$K$4:$AJ$4,0))))=0,NA(),SUMPRODUCT((Inputs!$A$5:$A$120=$B58)*Inputs!$B$5:$B$120*(((Inputs!$G$5:$G$120="moeda")+(Inputs!$G$5:$G$120="acoes"))*Inputs!$B$1+((Inputs!$G$5:$G$120&lt;&gt;"moeda")*(Inputs!$G$5:$G$120&lt;&gt;"acoes")))*INDEX(Inputs!$K$5:$AJ$120,0,MATCH(G$2,Inputs!$K$4:$AJ$4,0)))+SUMPRODUCT((Inputs!$C$5:$C$120=$B58)*Inputs!$D$5:$D$120*(((Inputs!$G$5:$G$120="moeda")+(Inputs!$G$5:$G$120="acoes"))*Inputs!$B$1+((Inputs!$G$5:$G$120&lt;&gt;"moeda")*(Inputs!$G$5:$G$120&lt;&gt;"acoes")))*INDEX(Inputs!$K$5:$AJ$120,0,MATCH(G$2,Inputs!$K$4:$AJ$4,0)))+SUMPRODUCT((Inputs!$E$5:$E$120=$B58)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58" s="514" t="e">
        <f>SUM(D58:G58)</f>
        <v>#N/A</v>
      </c>
      <c r="I58" s="513">
        <f>IF(ISNA(MATCH(I$2,Inputs!$K$4:$AJ$4,0)),NA(),IF(SUMPRODUCT((Inputs!$A$5:$A$120=$B58)*ISNUMBER(INDEX(Inputs!$K$5:$AJ$120,0,MATCH(I$2,Inputs!$K$4:$AJ$4,0))))+SUMPRODUCT((Inputs!$C$5:$C$120=$B58)*ISNUMBER(INDEX(Inputs!$K$5:$AJ$120,0,MATCH(I$2,Inputs!$K$4:$AJ$4,0))))+SUMPRODUCT((Inputs!$E$5:$E$120=$B58)*ISNUMBER(INDEX(Inputs!$K$5:$AJ$120,0,MATCH(I$2,Inputs!$K$4:$AJ$4,0))))=0,NA(),SUMPRODUCT((Inputs!$A$5:$A$120=$B58)*Inputs!$B$5:$B$120*(((Inputs!$G$5:$G$120="moeda")+(Inputs!$G$5:$G$120="acoes"))*Inputs!$B$1+((Inputs!$G$5:$G$120&lt;&gt;"moeda")*(Inputs!$G$5:$G$120&lt;&gt;"acoes")))*INDEX(Inputs!$K$5:$AJ$120,0,MATCH(I$2,Inputs!$K$4:$AJ$4,0)))+SUMPRODUCT((Inputs!$C$5:$C$120=$B58)*Inputs!$D$5:$D$120*(((Inputs!$G$5:$G$120="moeda")+(Inputs!$G$5:$G$120="acoes"))*Inputs!$B$1+((Inputs!$G$5:$G$120&lt;&gt;"moeda")*(Inputs!$G$5:$G$120&lt;&gt;"acoes")))*INDEX(Inputs!$K$5:$AJ$120,0,MATCH(I$2,Inputs!$K$4:$AJ$4,0)))+SUMPRODUCT((Inputs!$E$5:$E$120=$B58)*Inputs!$F$5:$F$120*(((Inputs!$G$5:$G$120="moeda")+(Inputs!$G$5:$G$120="acoes"))*Inputs!$B$1+((Inputs!$G$5:$G$120&lt;&gt;"moeda")*(Inputs!$G$5:$G$120&lt;&gt;"acoes")))*INDEX(Inputs!$K$5:$AJ$120,0,MATCH(I$2,Inputs!$K$4:$AJ$4,0)))))</f>
        <v>71</v>
      </c>
      <c r="J58" s="513">
        <f>IF(ISNA(MATCH(J$2,Inputs!$K$4:$AJ$4,0)),NA(),IF(SUMPRODUCT((Inputs!$A$5:$A$120=$B58)*ISNUMBER(INDEX(Inputs!$K$5:$AJ$120,0,MATCH(J$2,Inputs!$K$4:$AJ$4,0))))+SUMPRODUCT((Inputs!$C$5:$C$120=$B58)*ISNUMBER(INDEX(Inputs!$K$5:$AJ$120,0,MATCH(J$2,Inputs!$K$4:$AJ$4,0))))+SUMPRODUCT((Inputs!$E$5:$E$120=$B58)*ISNUMBER(INDEX(Inputs!$K$5:$AJ$120,0,MATCH(J$2,Inputs!$K$4:$AJ$4,0))))=0,NA(),SUMPRODUCT((Inputs!$A$5:$A$120=$B58)*Inputs!$B$5:$B$120*(((Inputs!$G$5:$G$120="moeda")+(Inputs!$G$5:$G$120="acoes"))*Inputs!$B$1+((Inputs!$G$5:$G$120&lt;&gt;"moeda")*(Inputs!$G$5:$G$120&lt;&gt;"acoes")))*INDEX(Inputs!$K$5:$AJ$120,0,MATCH(J$2,Inputs!$K$4:$AJ$4,0)))+SUMPRODUCT((Inputs!$C$5:$C$120=$B58)*Inputs!$D$5:$D$120*(((Inputs!$G$5:$G$120="moeda")+(Inputs!$G$5:$G$120="acoes"))*Inputs!$B$1+((Inputs!$G$5:$G$120&lt;&gt;"moeda")*(Inputs!$G$5:$G$120&lt;&gt;"acoes")))*INDEX(Inputs!$K$5:$AJ$120,0,MATCH(J$2,Inputs!$K$4:$AJ$4,0)))+SUMPRODUCT((Inputs!$E$5:$E$120=$B58)*Inputs!$F$5:$F$120*(((Inputs!$G$5:$G$120="moeda")+(Inputs!$G$5:$G$120="acoes"))*Inputs!$B$1+((Inputs!$G$5:$G$120&lt;&gt;"moeda")*(Inputs!$G$5:$G$120&lt;&gt;"acoes")))*INDEX(Inputs!$K$5:$AJ$120,0,MATCH(J$2,Inputs!$K$4:$AJ$4,0)))))</f>
        <v>126</v>
      </c>
      <c r="K58" s="513">
        <f>IF(ISNA(MATCH(K$2,Inputs!$K$4:$AJ$4,0)),NA(),IF(SUMPRODUCT((Inputs!$A$5:$A$120=$B58)*ISNUMBER(INDEX(Inputs!$K$5:$AJ$120,0,MATCH(K$2,Inputs!$K$4:$AJ$4,0))))+SUMPRODUCT((Inputs!$C$5:$C$120=$B58)*ISNUMBER(INDEX(Inputs!$K$5:$AJ$120,0,MATCH(K$2,Inputs!$K$4:$AJ$4,0))))+SUMPRODUCT((Inputs!$E$5:$E$120=$B58)*ISNUMBER(INDEX(Inputs!$K$5:$AJ$120,0,MATCH(K$2,Inputs!$K$4:$AJ$4,0))))=0,NA(),SUMPRODUCT((Inputs!$A$5:$A$120=$B58)*Inputs!$B$5:$B$120*(((Inputs!$G$5:$G$120="moeda")+(Inputs!$G$5:$G$120="acoes"))*Inputs!$B$1+((Inputs!$G$5:$G$120&lt;&gt;"moeda")*(Inputs!$G$5:$G$120&lt;&gt;"acoes")))*INDEX(Inputs!$K$5:$AJ$120,0,MATCH(K$2,Inputs!$K$4:$AJ$4,0)))+SUMPRODUCT((Inputs!$C$5:$C$120=$B58)*Inputs!$D$5:$D$120*(((Inputs!$G$5:$G$120="moeda")+(Inputs!$G$5:$G$120="acoes"))*Inputs!$B$1+((Inputs!$G$5:$G$120&lt;&gt;"moeda")*(Inputs!$G$5:$G$120&lt;&gt;"acoes")))*INDEX(Inputs!$K$5:$AJ$120,0,MATCH(K$2,Inputs!$K$4:$AJ$4,0)))+SUMPRODUCT((Inputs!$E$5:$E$120=$B58)*Inputs!$F$5:$F$120*(((Inputs!$G$5:$G$120="moeda")+(Inputs!$G$5:$G$120="acoes"))*Inputs!$B$1+((Inputs!$G$5:$G$120&lt;&gt;"moeda")*(Inputs!$G$5:$G$120&lt;&gt;"acoes")))*INDEX(Inputs!$K$5:$AJ$120,0,MATCH(K$2,Inputs!$K$4:$AJ$4,0)))))</f>
        <v>45</v>
      </c>
      <c r="L58" s="513" t="e">
        <f>IF(ISNA(MATCH(L$2,Inputs!$K$4:$AJ$4,0)),NA(),IF(SUMPRODUCT((Inputs!$A$5:$A$120=$B58)*ISNUMBER(INDEX(Inputs!$K$5:$AJ$120,0,MATCH(L$2,Inputs!$K$4:$AJ$4,0))))+SUMPRODUCT((Inputs!$C$5:$C$120=$B58)*ISNUMBER(INDEX(Inputs!$K$5:$AJ$120,0,MATCH(L$2,Inputs!$K$4:$AJ$4,0))))+SUMPRODUCT((Inputs!$E$5:$E$120=$B58)*ISNUMBER(INDEX(Inputs!$K$5:$AJ$120,0,MATCH(L$2,Inputs!$K$4:$AJ$4,0))))=0,NA(),SUMPRODUCT((Inputs!$A$5:$A$120=$B58)*Inputs!$B$5:$B$120*(((Inputs!$G$5:$G$120="moeda")+(Inputs!$G$5:$G$120="acoes"))*Inputs!$B$1+((Inputs!$G$5:$G$120&lt;&gt;"moeda")*(Inputs!$G$5:$G$120&lt;&gt;"acoes")))*INDEX(Inputs!$K$5:$AJ$120,0,MATCH(L$2,Inputs!$K$4:$AJ$4,0)))+SUMPRODUCT((Inputs!$C$5:$C$120=$B58)*Inputs!$D$5:$D$120*(((Inputs!$G$5:$G$120="moeda")+(Inputs!$G$5:$G$120="acoes"))*Inputs!$B$1+((Inputs!$G$5:$G$120&lt;&gt;"moeda")*(Inputs!$G$5:$G$120&lt;&gt;"acoes")))*INDEX(Inputs!$K$5:$AJ$120,0,MATCH(L$2,Inputs!$K$4:$AJ$4,0)))+SUMPRODUCT((Inputs!$E$5:$E$120=$B58)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58" s="514" t="e">
        <f>SUM(I58:L58)</f>
        <v>#N/A</v>
      </c>
      <c r="N58" s="513">
        <f>IF(ISNA(MATCH(N$2,Inputs!$K$4:$AJ$4,0)),NA(),IF(SUMPRODUCT((Inputs!$A$5:$A$120=$B58)*ISNUMBER(INDEX(Inputs!$K$5:$AJ$120,0,MATCH(N$2,Inputs!$K$4:$AJ$4,0))))+SUMPRODUCT((Inputs!$C$5:$C$120=$B58)*ISNUMBER(INDEX(Inputs!$K$5:$AJ$120,0,MATCH(N$2,Inputs!$K$4:$AJ$4,0))))+SUMPRODUCT((Inputs!$E$5:$E$120=$B58)*ISNUMBER(INDEX(Inputs!$K$5:$AJ$120,0,MATCH(N$2,Inputs!$K$4:$AJ$4,0))))=0,NA(),SUMPRODUCT((Inputs!$A$5:$A$120=$B58)*Inputs!$B$5:$B$120*(((Inputs!$G$5:$G$120="moeda")+(Inputs!$G$5:$G$120="acoes"))*Inputs!$B$1+((Inputs!$G$5:$G$120&lt;&gt;"moeda")*(Inputs!$G$5:$G$120&lt;&gt;"acoes")))*INDEX(Inputs!$K$5:$AJ$120,0,MATCH(N$2,Inputs!$K$4:$AJ$4,0)))+SUMPRODUCT((Inputs!$C$5:$C$120=$B58)*Inputs!$D$5:$D$120*(((Inputs!$G$5:$G$120="moeda")+(Inputs!$G$5:$G$120="acoes"))*Inputs!$B$1+((Inputs!$G$5:$G$120&lt;&gt;"moeda")*(Inputs!$G$5:$G$120&lt;&gt;"acoes")))*INDEX(Inputs!$K$5:$AJ$120,0,MATCH(N$2,Inputs!$K$4:$AJ$4,0)))+SUMPRODUCT((Inputs!$E$5:$E$120=$B58)*Inputs!$F$5:$F$120*(((Inputs!$G$5:$G$120="moeda")+(Inputs!$G$5:$G$120="acoes"))*Inputs!$B$1+((Inputs!$G$5:$G$120&lt;&gt;"moeda")*(Inputs!$G$5:$G$120&lt;&gt;"acoes")))*INDEX(Inputs!$K$5:$AJ$120,0,MATCH(N$2,Inputs!$K$4:$AJ$4,0)))))</f>
        <v>31</v>
      </c>
      <c r="O58" s="513">
        <f>IF(ISNA(MATCH(O$2,Inputs!$K$4:$AJ$4,0)),NA(),IF(SUMPRODUCT((Inputs!$A$5:$A$120=$B58)*ISNUMBER(INDEX(Inputs!$K$5:$AJ$120,0,MATCH(O$2,Inputs!$K$4:$AJ$4,0))))+SUMPRODUCT((Inputs!$C$5:$C$120=$B58)*ISNUMBER(INDEX(Inputs!$K$5:$AJ$120,0,MATCH(O$2,Inputs!$K$4:$AJ$4,0))))+SUMPRODUCT((Inputs!$E$5:$E$120=$B58)*ISNUMBER(INDEX(Inputs!$K$5:$AJ$120,0,MATCH(O$2,Inputs!$K$4:$AJ$4,0))))=0,NA(),SUMPRODUCT((Inputs!$A$5:$A$120=$B58)*Inputs!$B$5:$B$120*(((Inputs!$G$5:$G$120="moeda")+(Inputs!$G$5:$G$120="acoes"))*Inputs!$B$1+((Inputs!$G$5:$G$120&lt;&gt;"moeda")*(Inputs!$G$5:$G$120&lt;&gt;"acoes")))*INDEX(Inputs!$K$5:$AJ$120,0,MATCH(O$2,Inputs!$K$4:$AJ$4,0)))+SUMPRODUCT((Inputs!$C$5:$C$120=$B58)*Inputs!$D$5:$D$120*(((Inputs!$G$5:$G$120="moeda")+(Inputs!$G$5:$G$120="acoes"))*Inputs!$B$1+((Inputs!$G$5:$G$120&lt;&gt;"moeda")*(Inputs!$G$5:$G$120&lt;&gt;"acoes")))*INDEX(Inputs!$K$5:$AJ$120,0,MATCH(O$2,Inputs!$K$4:$AJ$4,0)))+SUMPRODUCT((Inputs!$E$5:$E$120=$B58)*Inputs!$F$5:$F$120*(((Inputs!$G$5:$G$120="moeda")+(Inputs!$G$5:$G$120="acoes"))*Inputs!$B$1+((Inputs!$G$5:$G$120&lt;&gt;"moeda")*(Inputs!$G$5:$G$120&lt;&gt;"acoes")))*INDEX(Inputs!$K$5:$AJ$120,0,MATCH(O$2,Inputs!$K$4:$AJ$4,0)))))</f>
        <v>40</v>
      </c>
      <c r="P58" s="513">
        <f>IF(ISNA(MATCH(P$2,Inputs!$K$4:$AJ$4,0)),NA(),IF(SUMPRODUCT((Inputs!$A$5:$A$120=$B58)*ISNUMBER(INDEX(Inputs!$K$5:$AJ$120,0,MATCH(P$2,Inputs!$K$4:$AJ$4,0))))+SUMPRODUCT((Inputs!$C$5:$C$120=$B58)*ISNUMBER(INDEX(Inputs!$K$5:$AJ$120,0,MATCH(P$2,Inputs!$K$4:$AJ$4,0))))+SUMPRODUCT((Inputs!$E$5:$E$120=$B58)*ISNUMBER(INDEX(Inputs!$K$5:$AJ$120,0,MATCH(P$2,Inputs!$K$4:$AJ$4,0))))=0,NA(),SUMPRODUCT((Inputs!$A$5:$A$120=$B58)*Inputs!$B$5:$B$120*(((Inputs!$G$5:$G$120="moeda")+(Inputs!$G$5:$G$120="acoes"))*Inputs!$B$1+((Inputs!$G$5:$G$120&lt;&gt;"moeda")*(Inputs!$G$5:$G$120&lt;&gt;"acoes")))*INDEX(Inputs!$K$5:$AJ$120,0,MATCH(P$2,Inputs!$K$4:$AJ$4,0)))+SUMPRODUCT((Inputs!$C$5:$C$120=$B58)*Inputs!$D$5:$D$120*(((Inputs!$G$5:$G$120="moeda")+(Inputs!$G$5:$G$120="acoes"))*Inputs!$B$1+((Inputs!$G$5:$G$120&lt;&gt;"moeda")*(Inputs!$G$5:$G$120&lt;&gt;"acoes")))*INDEX(Inputs!$K$5:$AJ$120,0,MATCH(P$2,Inputs!$K$4:$AJ$4,0)))+SUMPRODUCT((Inputs!$E$5:$E$120=$B58)*Inputs!$F$5:$F$120*(((Inputs!$G$5:$G$120="moeda")+(Inputs!$G$5:$G$120="acoes"))*Inputs!$B$1+((Inputs!$G$5:$G$120&lt;&gt;"moeda")*(Inputs!$G$5:$G$120&lt;&gt;"acoes")))*INDEX(Inputs!$K$5:$AJ$120,0,MATCH(P$2,Inputs!$K$4:$AJ$4,0)))))</f>
        <v>50</v>
      </c>
      <c r="Q58" s="513" t="e">
        <f>IF(ISNA(MATCH(Q$2,Inputs!$K$4:$AJ$4,0)),NA(),IF(SUMPRODUCT((Inputs!$A$5:$A$120=$B58)*ISNUMBER(INDEX(Inputs!$K$5:$AJ$120,0,MATCH(Q$2,Inputs!$K$4:$AJ$4,0))))+SUMPRODUCT((Inputs!$C$5:$C$120=$B58)*ISNUMBER(INDEX(Inputs!$K$5:$AJ$120,0,MATCH(Q$2,Inputs!$K$4:$AJ$4,0))))+SUMPRODUCT((Inputs!$E$5:$E$120=$B58)*ISNUMBER(INDEX(Inputs!$K$5:$AJ$120,0,MATCH(Q$2,Inputs!$K$4:$AJ$4,0))))=0,NA(),SUMPRODUCT((Inputs!$A$5:$A$120=$B58)*Inputs!$B$5:$B$120*(((Inputs!$G$5:$G$120="moeda")+(Inputs!$G$5:$G$120="acoes"))*Inputs!$B$1+((Inputs!$G$5:$G$120&lt;&gt;"moeda")*(Inputs!$G$5:$G$120&lt;&gt;"acoes")))*INDEX(Inputs!$K$5:$AJ$120,0,MATCH(Q$2,Inputs!$K$4:$AJ$4,0)))+SUMPRODUCT((Inputs!$C$5:$C$120=$B58)*Inputs!$D$5:$D$120*(((Inputs!$G$5:$G$120="moeda")+(Inputs!$G$5:$G$120="acoes"))*Inputs!$B$1+((Inputs!$G$5:$G$120&lt;&gt;"moeda")*(Inputs!$G$5:$G$120&lt;&gt;"acoes")))*INDEX(Inputs!$K$5:$AJ$120,0,MATCH(Q$2,Inputs!$K$4:$AJ$4,0)))+SUMPRODUCT((Inputs!$E$5:$E$120=$B58)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58" s="514" t="e">
        <f>SUM(N58:Q58)</f>
        <v>#N/A</v>
      </c>
      <c r="S58" s="513">
        <f>IF(ISNA(MATCH(S$2,Inputs!$K$4:$AJ$4,0)),NA(),IF(SUMPRODUCT((Inputs!$A$5:$A$120=$B58)*ISNUMBER(INDEX(Inputs!$K$5:$AJ$120,0,MATCH(S$2,Inputs!$K$4:$AJ$4,0))))+SUMPRODUCT((Inputs!$C$5:$C$120=$B58)*ISNUMBER(INDEX(Inputs!$K$5:$AJ$120,0,MATCH(S$2,Inputs!$K$4:$AJ$4,0))))+SUMPRODUCT((Inputs!$E$5:$E$120=$B58)*ISNUMBER(INDEX(Inputs!$K$5:$AJ$120,0,MATCH(S$2,Inputs!$K$4:$AJ$4,0))))=0,NA(),SUMPRODUCT((Inputs!$A$5:$A$120=$B58)*Inputs!$B$5:$B$120*(((Inputs!$G$5:$G$120="moeda")+(Inputs!$G$5:$G$120="acoes"))*Inputs!$B$1+((Inputs!$G$5:$G$120&lt;&gt;"moeda")*(Inputs!$G$5:$G$120&lt;&gt;"acoes")))*INDEX(Inputs!$K$5:$AJ$120,0,MATCH(S$2,Inputs!$K$4:$AJ$4,0)))+SUMPRODUCT((Inputs!$C$5:$C$120=$B58)*Inputs!$D$5:$D$120*(((Inputs!$G$5:$G$120="moeda")+(Inputs!$G$5:$G$120="acoes"))*Inputs!$B$1+((Inputs!$G$5:$G$120&lt;&gt;"moeda")*(Inputs!$G$5:$G$120&lt;&gt;"acoes")))*INDEX(Inputs!$K$5:$AJ$120,0,MATCH(S$2,Inputs!$K$4:$AJ$4,0)))+SUMPRODUCT((Inputs!$E$5:$E$120=$B58)*Inputs!$F$5:$F$120*(((Inputs!$G$5:$G$120="moeda")+(Inputs!$G$5:$G$120="acoes"))*Inputs!$B$1+((Inputs!$G$5:$G$120&lt;&gt;"moeda")*(Inputs!$G$5:$G$120&lt;&gt;"acoes")))*INDEX(Inputs!$K$5:$AJ$120,0,MATCH(S$2,Inputs!$K$4:$AJ$4,0)))))</f>
        <v>60</v>
      </c>
      <c r="T58" s="513">
        <f>IF(ISNA(MATCH(T$2,Inputs!$K$4:$AJ$4,0)),NA(),IF(SUMPRODUCT((Inputs!$A$5:$A$120=$B58)*ISNUMBER(INDEX(Inputs!$K$5:$AJ$120,0,MATCH(T$2,Inputs!$K$4:$AJ$4,0))))+SUMPRODUCT((Inputs!$C$5:$C$120=$B58)*ISNUMBER(INDEX(Inputs!$K$5:$AJ$120,0,MATCH(T$2,Inputs!$K$4:$AJ$4,0))))+SUMPRODUCT((Inputs!$E$5:$E$120=$B58)*ISNUMBER(INDEX(Inputs!$K$5:$AJ$120,0,MATCH(T$2,Inputs!$K$4:$AJ$4,0))))=0,NA(),SUMPRODUCT((Inputs!$A$5:$A$120=$B58)*Inputs!$B$5:$B$120*(((Inputs!$G$5:$G$120="moeda")+(Inputs!$G$5:$G$120="acoes"))*Inputs!$B$1+((Inputs!$G$5:$G$120&lt;&gt;"moeda")*(Inputs!$G$5:$G$120&lt;&gt;"acoes")))*INDEX(Inputs!$K$5:$AJ$120,0,MATCH(T$2,Inputs!$K$4:$AJ$4,0)))+SUMPRODUCT((Inputs!$C$5:$C$120=$B58)*Inputs!$D$5:$D$120*(((Inputs!$G$5:$G$120="moeda")+(Inputs!$G$5:$G$120="acoes"))*Inputs!$B$1+((Inputs!$G$5:$G$120&lt;&gt;"moeda")*(Inputs!$G$5:$G$120&lt;&gt;"acoes")))*INDEX(Inputs!$K$5:$AJ$120,0,MATCH(T$2,Inputs!$K$4:$AJ$4,0)))+SUMPRODUCT((Inputs!$E$5:$E$120=$B58)*Inputs!$F$5:$F$120*(((Inputs!$G$5:$G$120="moeda")+(Inputs!$G$5:$G$120="acoes"))*Inputs!$B$1+((Inputs!$G$5:$G$120&lt;&gt;"moeda")*(Inputs!$G$5:$G$120&lt;&gt;"acoes")))*INDEX(Inputs!$K$5:$AJ$120,0,MATCH(T$2,Inputs!$K$4:$AJ$4,0)))))</f>
        <v>66</v>
      </c>
      <c r="U58" s="513">
        <f>IF(ISNA(MATCH(U$2,Inputs!$K$4:$AJ$4,0)),NA(),IF(SUMPRODUCT((Inputs!$A$5:$A$120=$B58)*ISNUMBER(INDEX(Inputs!$K$5:$AJ$120,0,MATCH(U$2,Inputs!$K$4:$AJ$4,0))))+SUMPRODUCT((Inputs!$C$5:$C$120=$B58)*ISNUMBER(INDEX(Inputs!$K$5:$AJ$120,0,MATCH(U$2,Inputs!$K$4:$AJ$4,0))))+SUMPRODUCT((Inputs!$E$5:$E$120=$B58)*ISNUMBER(INDEX(Inputs!$K$5:$AJ$120,0,MATCH(U$2,Inputs!$K$4:$AJ$4,0))))=0,NA(),SUMPRODUCT((Inputs!$A$5:$A$120=$B58)*Inputs!$B$5:$B$120*(((Inputs!$G$5:$G$120="moeda")+(Inputs!$G$5:$G$120="acoes"))*Inputs!$B$1+((Inputs!$G$5:$G$120&lt;&gt;"moeda")*(Inputs!$G$5:$G$120&lt;&gt;"acoes")))*INDEX(Inputs!$K$5:$AJ$120,0,MATCH(U$2,Inputs!$K$4:$AJ$4,0)))+SUMPRODUCT((Inputs!$C$5:$C$120=$B58)*Inputs!$D$5:$D$120*(((Inputs!$G$5:$G$120="moeda")+(Inputs!$G$5:$G$120="acoes"))*Inputs!$B$1+((Inputs!$G$5:$G$120&lt;&gt;"moeda")*(Inputs!$G$5:$G$120&lt;&gt;"acoes")))*INDEX(Inputs!$K$5:$AJ$120,0,MATCH(U$2,Inputs!$K$4:$AJ$4,0)))+SUMPRODUCT((Inputs!$E$5:$E$120=$B58)*Inputs!$F$5:$F$120*(((Inputs!$G$5:$G$120="moeda")+(Inputs!$G$5:$G$120="acoes"))*Inputs!$B$1+((Inputs!$G$5:$G$120&lt;&gt;"moeda")*(Inputs!$G$5:$G$120&lt;&gt;"acoes")))*INDEX(Inputs!$K$5:$AJ$120,0,MATCH(U$2,Inputs!$K$4:$AJ$4,0)))))</f>
        <v>43</v>
      </c>
      <c r="V58" s="513" t="e">
        <f>IF(ISNA(MATCH(V$2,Inputs!$K$4:$AJ$4,0)),NA(),IF(SUMPRODUCT((Inputs!$A$5:$A$120=$B58)*ISNUMBER(INDEX(Inputs!$K$5:$AJ$120,0,MATCH(V$2,Inputs!$K$4:$AJ$4,0))))+SUMPRODUCT((Inputs!$C$5:$C$120=$B58)*ISNUMBER(INDEX(Inputs!$K$5:$AJ$120,0,MATCH(V$2,Inputs!$K$4:$AJ$4,0))))+SUMPRODUCT((Inputs!$E$5:$E$120=$B58)*ISNUMBER(INDEX(Inputs!$K$5:$AJ$120,0,MATCH(V$2,Inputs!$K$4:$AJ$4,0))))=0,NA(),SUMPRODUCT((Inputs!$A$5:$A$120=$B58)*Inputs!$B$5:$B$120*(((Inputs!$G$5:$G$120="moeda")+(Inputs!$G$5:$G$120="acoes"))*Inputs!$B$1+((Inputs!$G$5:$G$120&lt;&gt;"moeda")*(Inputs!$G$5:$G$120&lt;&gt;"acoes")))*INDEX(Inputs!$K$5:$AJ$120,0,MATCH(V$2,Inputs!$K$4:$AJ$4,0)))+SUMPRODUCT((Inputs!$C$5:$C$120=$B58)*Inputs!$D$5:$D$120*(((Inputs!$G$5:$G$120="moeda")+(Inputs!$G$5:$G$120="acoes"))*Inputs!$B$1+((Inputs!$G$5:$G$120&lt;&gt;"moeda")*(Inputs!$G$5:$G$120&lt;&gt;"acoes")))*INDEX(Inputs!$K$5:$AJ$120,0,MATCH(V$2,Inputs!$K$4:$AJ$4,0)))+SUMPRODUCT((Inputs!$E$5:$E$120=$B58)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58" s="514" t="e">
        <f>SUM(S58:V58)</f>
        <v>#N/A</v>
      </c>
      <c r="X58" s="513" t="e">
        <f>IF(ISNA(MATCH(X$2,Inputs!$K$4:$AJ$4,0)),NA(),IF(SUMPRODUCT((Inputs!$A$5:$A$120=$B58)*ISNUMBER(INDEX(Inputs!$K$5:$AJ$120,0,MATCH(X$2,Inputs!$K$4:$AJ$4,0))))+SUMPRODUCT((Inputs!$C$5:$C$120=$B58)*ISNUMBER(INDEX(Inputs!$K$5:$AJ$120,0,MATCH(X$2,Inputs!$K$4:$AJ$4,0))))+SUMPRODUCT((Inputs!$E$5:$E$120=$B58)*ISNUMBER(INDEX(Inputs!$K$5:$AJ$120,0,MATCH(X$2,Inputs!$K$4:$AJ$4,0))))=0,NA(),SUMPRODUCT((Inputs!$A$5:$A$120=$B58)*Inputs!$B$5:$B$120*(((Inputs!$G$5:$G$120="moeda")+(Inputs!$G$5:$G$120="acoes"))*Inputs!$B$1+((Inputs!$G$5:$G$120&lt;&gt;"moeda")*(Inputs!$G$5:$G$120&lt;&gt;"acoes")))*INDEX(Inputs!$K$5:$AJ$120,0,MATCH(X$2,Inputs!$K$4:$AJ$4,0)))+SUMPRODUCT((Inputs!$C$5:$C$120=$B58)*Inputs!$D$5:$D$120*(((Inputs!$G$5:$G$120="moeda")+(Inputs!$G$5:$G$120="acoes"))*Inputs!$B$1+((Inputs!$G$5:$G$120&lt;&gt;"moeda")*(Inputs!$G$5:$G$120&lt;&gt;"acoes")))*INDEX(Inputs!$K$5:$AJ$120,0,MATCH(X$2,Inputs!$K$4:$AJ$4,0)))+SUMPRODUCT((Inputs!$E$5:$E$120=$B58)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8" s="513" t="e">
        <f>IF(ISNA(MATCH(Y$2,Inputs!$K$4:$AJ$4,0)),NA(),IF(SUMPRODUCT((Inputs!$A$5:$A$120=$B58)*ISNUMBER(INDEX(Inputs!$K$5:$AJ$120,0,MATCH(Y$2,Inputs!$K$4:$AJ$4,0))))+SUMPRODUCT((Inputs!$C$5:$C$120=$B58)*ISNUMBER(INDEX(Inputs!$K$5:$AJ$120,0,MATCH(Y$2,Inputs!$K$4:$AJ$4,0))))+SUMPRODUCT((Inputs!$E$5:$E$120=$B58)*ISNUMBER(INDEX(Inputs!$K$5:$AJ$120,0,MATCH(Y$2,Inputs!$K$4:$AJ$4,0))))=0,NA(),SUMPRODUCT((Inputs!$A$5:$A$120=$B58)*Inputs!$B$5:$B$120*(((Inputs!$G$5:$G$120="moeda")+(Inputs!$G$5:$G$120="acoes"))*Inputs!$B$1+((Inputs!$G$5:$G$120&lt;&gt;"moeda")*(Inputs!$G$5:$G$120&lt;&gt;"acoes")))*INDEX(Inputs!$K$5:$AJ$120,0,MATCH(Y$2,Inputs!$K$4:$AJ$4,0)))+SUMPRODUCT((Inputs!$C$5:$C$120=$B58)*Inputs!$D$5:$D$120*(((Inputs!$G$5:$G$120="moeda")+(Inputs!$G$5:$G$120="acoes"))*Inputs!$B$1+((Inputs!$G$5:$G$120&lt;&gt;"moeda")*(Inputs!$G$5:$G$120&lt;&gt;"acoes")))*INDEX(Inputs!$K$5:$AJ$120,0,MATCH(Y$2,Inputs!$K$4:$AJ$4,0)))+SUMPRODUCT((Inputs!$E$5:$E$120=$B58)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8" s="513" t="e">
        <f>IF(ISNA(MATCH(Z$2,Inputs!$K$4:$AJ$4,0)),NA(),IF(SUMPRODUCT((Inputs!$A$5:$A$120=$B58)*ISNUMBER(INDEX(Inputs!$K$5:$AJ$120,0,MATCH(Z$2,Inputs!$K$4:$AJ$4,0))))+SUMPRODUCT((Inputs!$C$5:$C$120=$B58)*ISNUMBER(INDEX(Inputs!$K$5:$AJ$120,0,MATCH(Z$2,Inputs!$K$4:$AJ$4,0))))+SUMPRODUCT((Inputs!$E$5:$E$120=$B58)*ISNUMBER(INDEX(Inputs!$K$5:$AJ$120,0,MATCH(Z$2,Inputs!$K$4:$AJ$4,0))))=0,NA(),SUMPRODUCT((Inputs!$A$5:$A$120=$B58)*Inputs!$B$5:$B$120*(((Inputs!$G$5:$G$120="moeda")+(Inputs!$G$5:$G$120="acoes"))*Inputs!$B$1+((Inputs!$G$5:$G$120&lt;&gt;"moeda")*(Inputs!$G$5:$G$120&lt;&gt;"acoes")))*INDEX(Inputs!$K$5:$AJ$120,0,MATCH(Z$2,Inputs!$K$4:$AJ$4,0)))+SUMPRODUCT((Inputs!$C$5:$C$120=$B58)*Inputs!$D$5:$D$120*(((Inputs!$G$5:$G$120="moeda")+(Inputs!$G$5:$G$120="acoes"))*Inputs!$B$1+((Inputs!$G$5:$G$120&lt;&gt;"moeda")*(Inputs!$G$5:$G$120&lt;&gt;"acoes")))*INDEX(Inputs!$K$5:$AJ$120,0,MATCH(Z$2,Inputs!$K$4:$AJ$4,0)))+SUMPRODUCT((Inputs!$E$5:$E$120=$B58)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8" s="513" t="e">
        <f>IF(ISNA(MATCH(AA$2,Inputs!$K$4:$AJ$4,0)),NA(),IF(SUMPRODUCT((Inputs!$A$5:$A$120=$B58)*ISNUMBER(INDEX(Inputs!$K$5:$AJ$120,0,MATCH(AA$2,Inputs!$K$4:$AJ$4,0))))+SUMPRODUCT((Inputs!$C$5:$C$120=$B58)*ISNUMBER(INDEX(Inputs!$K$5:$AJ$120,0,MATCH(AA$2,Inputs!$K$4:$AJ$4,0))))+SUMPRODUCT((Inputs!$E$5:$E$120=$B58)*ISNUMBER(INDEX(Inputs!$K$5:$AJ$120,0,MATCH(AA$2,Inputs!$K$4:$AJ$4,0))))=0,NA(),SUMPRODUCT((Inputs!$A$5:$A$120=$B58)*Inputs!$B$5:$B$120*(((Inputs!$G$5:$G$120="moeda")+(Inputs!$G$5:$G$120="acoes"))*Inputs!$B$1+((Inputs!$G$5:$G$120&lt;&gt;"moeda")*(Inputs!$G$5:$G$120&lt;&gt;"acoes")))*INDEX(Inputs!$K$5:$AJ$120,0,MATCH(AA$2,Inputs!$K$4:$AJ$4,0)))+SUMPRODUCT((Inputs!$C$5:$C$120=$B58)*Inputs!$D$5:$D$120*(((Inputs!$G$5:$G$120="moeda")+(Inputs!$G$5:$G$120="acoes"))*Inputs!$B$1+((Inputs!$G$5:$G$120&lt;&gt;"moeda")*(Inputs!$G$5:$G$120&lt;&gt;"acoes")))*INDEX(Inputs!$K$5:$AJ$120,0,MATCH(AA$2,Inputs!$K$4:$AJ$4,0)))+SUMPRODUCT((Inputs!$E$5:$E$120=$B58)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8" s="514" t="e">
        <f>SUM(X58:AA58)</f>
        <v>#N/A</v>
      </c>
      <c r="AC58" s="513" t="e">
        <f>IF(ISNA(MATCH(AC$2,Inputs!$K$4:$AJ$4,0)),NA(),IF(SUMPRODUCT((Inputs!$A$5:$A$120=$B58)*ISNUMBER(INDEX(Inputs!$K$5:$AJ$120,0,MATCH(AC$2,Inputs!$K$4:$AJ$4,0))))+SUMPRODUCT((Inputs!$C$5:$C$120=$B58)*ISNUMBER(INDEX(Inputs!$K$5:$AJ$120,0,MATCH(AC$2,Inputs!$K$4:$AJ$4,0))))+SUMPRODUCT((Inputs!$E$5:$E$120=$B58)*ISNUMBER(INDEX(Inputs!$K$5:$AJ$120,0,MATCH(AC$2,Inputs!$K$4:$AJ$4,0))))=0,NA(),SUMPRODUCT((Inputs!$A$5:$A$120=$B58)*Inputs!$B$5:$B$120*(((Inputs!$G$5:$G$120="moeda")+(Inputs!$G$5:$G$120="acoes"))*Inputs!$B$1+((Inputs!$G$5:$G$120&lt;&gt;"moeda")*(Inputs!$G$5:$G$120&lt;&gt;"acoes")))*INDEX(Inputs!$K$5:$AJ$120,0,MATCH(AC$2,Inputs!$K$4:$AJ$4,0)))+SUMPRODUCT((Inputs!$C$5:$C$120=$B58)*Inputs!$D$5:$D$120*(((Inputs!$G$5:$G$120="moeda")+(Inputs!$G$5:$G$120="acoes"))*Inputs!$B$1+((Inputs!$G$5:$G$120&lt;&gt;"moeda")*(Inputs!$G$5:$G$120&lt;&gt;"acoes")))*INDEX(Inputs!$K$5:$AJ$120,0,MATCH(AC$2,Inputs!$K$4:$AJ$4,0)))+SUMPRODUCT((Inputs!$E$5:$E$120=$B58)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8" s="513" t="e">
        <f>IF(ISNA(MATCH(AD$2,Inputs!$K$4:$AJ$4,0)),NA(),IF(SUMPRODUCT((Inputs!$A$5:$A$120=$B58)*ISNUMBER(INDEX(Inputs!$K$5:$AJ$120,0,MATCH(AD$2,Inputs!$K$4:$AJ$4,0))))+SUMPRODUCT((Inputs!$C$5:$C$120=$B58)*ISNUMBER(INDEX(Inputs!$K$5:$AJ$120,0,MATCH(AD$2,Inputs!$K$4:$AJ$4,0))))+SUMPRODUCT((Inputs!$E$5:$E$120=$B58)*ISNUMBER(INDEX(Inputs!$K$5:$AJ$120,0,MATCH(AD$2,Inputs!$K$4:$AJ$4,0))))=0,NA(),SUMPRODUCT((Inputs!$A$5:$A$120=$B58)*Inputs!$B$5:$B$120*(((Inputs!$G$5:$G$120="moeda")+(Inputs!$G$5:$G$120="acoes"))*Inputs!$B$1+((Inputs!$G$5:$G$120&lt;&gt;"moeda")*(Inputs!$G$5:$G$120&lt;&gt;"acoes")))*INDEX(Inputs!$K$5:$AJ$120,0,MATCH(AD$2,Inputs!$K$4:$AJ$4,0)))+SUMPRODUCT((Inputs!$C$5:$C$120=$B58)*Inputs!$D$5:$D$120*(((Inputs!$G$5:$G$120="moeda")+(Inputs!$G$5:$G$120="acoes"))*Inputs!$B$1+((Inputs!$G$5:$G$120&lt;&gt;"moeda")*(Inputs!$G$5:$G$120&lt;&gt;"acoes")))*INDEX(Inputs!$K$5:$AJ$120,0,MATCH(AD$2,Inputs!$K$4:$AJ$4,0)))+SUMPRODUCT((Inputs!$E$5:$E$120=$B58)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8" s="513" t="e">
        <f>IF(ISNA(MATCH(AE$2,Inputs!$K$4:$AJ$4,0)),NA(),IF(SUMPRODUCT((Inputs!$A$5:$A$120=$B58)*ISNUMBER(INDEX(Inputs!$K$5:$AJ$120,0,MATCH(AE$2,Inputs!$K$4:$AJ$4,0))))+SUMPRODUCT((Inputs!$C$5:$C$120=$B58)*ISNUMBER(INDEX(Inputs!$K$5:$AJ$120,0,MATCH(AE$2,Inputs!$K$4:$AJ$4,0))))+SUMPRODUCT((Inputs!$E$5:$E$120=$B58)*ISNUMBER(INDEX(Inputs!$K$5:$AJ$120,0,MATCH(AE$2,Inputs!$K$4:$AJ$4,0))))=0,NA(),SUMPRODUCT((Inputs!$A$5:$A$120=$B58)*Inputs!$B$5:$B$120*(((Inputs!$G$5:$G$120="moeda")+(Inputs!$G$5:$G$120="acoes"))*Inputs!$B$1+((Inputs!$G$5:$G$120&lt;&gt;"moeda")*(Inputs!$G$5:$G$120&lt;&gt;"acoes")))*INDEX(Inputs!$K$5:$AJ$120,0,MATCH(AE$2,Inputs!$K$4:$AJ$4,0)))+SUMPRODUCT((Inputs!$C$5:$C$120=$B58)*Inputs!$D$5:$D$120*(((Inputs!$G$5:$G$120="moeda")+(Inputs!$G$5:$G$120="acoes"))*Inputs!$B$1+((Inputs!$G$5:$G$120&lt;&gt;"moeda")*(Inputs!$G$5:$G$120&lt;&gt;"acoes")))*INDEX(Inputs!$K$5:$AJ$120,0,MATCH(AE$2,Inputs!$K$4:$AJ$4,0)))+SUMPRODUCT((Inputs!$E$5:$E$120=$B58)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8" s="513" t="e">
        <f>IF(ISNA(MATCH(AF$2,Inputs!$K$4:$AJ$4,0)),NA(),IF(SUMPRODUCT((Inputs!$A$5:$A$120=$B58)*ISNUMBER(INDEX(Inputs!$K$5:$AJ$120,0,MATCH(AF$2,Inputs!$K$4:$AJ$4,0))))+SUMPRODUCT((Inputs!$C$5:$C$120=$B58)*ISNUMBER(INDEX(Inputs!$K$5:$AJ$120,0,MATCH(AF$2,Inputs!$K$4:$AJ$4,0))))+SUMPRODUCT((Inputs!$E$5:$E$120=$B58)*ISNUMBER(INDEX(Inputs!$K$5:$AJ$120,0,MATCH(AF$2,Inputs!$K$4:$AJ$4,0))))=0,NA(),SUMPRODUCT((Inputs!$A$5:$A$120=$B58)*Inputs!$B$5:$B$120*(((Inputs!$G$5:$G$120="moeda")+(Inputs!$G$5:$G$120="acoes"))*Inputs!$B$1+((Inputs!$G$5:$G$120&lt;&gt;"moeda")*(Inputs!$G$5:$G$120&lt;&gt;"acoes")))*INDEX(Inputs!$K$5:$AJ$120,0,MATCH(AF$2,Inputs!$K$4:$AJ$4,0)))+SUMPRODUCT((Inputs!$C$5:$C$120=$B58)*Inputs!$D$5:$D$120*(((Inputs!$G$5:$G$120="moeda")+(Inputs!$G$5:$G$120="acoes"))*Inputs!$B$1+((Inputs!$G$5:$G$120&lt;&gt;"moeda")*(Inputs!$G$5:$G$120&lt;&gt;"acoes")))*INDEX(Inputs!$K$5:$AJ$120,0,MATCH(AF$2,Inputs!$K$4:$AJ$4,0)))+SUMPRODUCT((Inputs!$E$5:$E$120=$B58)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8" s="514" t="e">
        <f>SUM(AC58:AF58)</f>
        <v>#N/A</v>
      </c>
      <c r="AH58" s="513">
        <f>IF(ISNA(MATCH(AH$2,Inputs!$K$4:$AJ$4,0)),NA(),IF(SUMPRODUCT((Inputs!$A$5:$A$120=$B58)*ISNUMBER(INDEX(Inputs!$K$5:$AJ$120,0,MATCH(AH$2,Inputs!$K$4:$AJ$4,0))))+SUMPRODUCT((Inputs!$C$5:$C$120=$B58)*ISNUMBER(INDEX(Inputs!$K$5:$AJ$120,0,MATCH(AH$2,Inputs!$K$4:$AJ$4,0))))+SUMPRODUCT((Inputs!$E$5:$E$120=$B58)*ISNUMBER(INDEX(Inputs!$K$5:$AJ$120,0,MATCH(AH$2,Inputs!$K$4:$AJ$4,0))))=0,NA(),SUMPRODUCT((Inputs!$A$5:$A$120=$B58)*Inputs!$B$5:$B$120*(((Inputs!$G$5:$G$120="moeda")+(Inputs!$G$5:$G$120="acoes"))*Inputs!$B$1+((Inputs!$G$5:$G$120&lt;&gt;"moeda")*(Inputs!$G$5:$G$120&lt;&gt;"acoes")))*INDEX(Inputs!$K$5:$AJ$120,0,MATCH(AH$2,Inputs!$K$4:$AJ$4,0)))+SUMPRODUCT((Inputs!$C$5:$C$120=$B58)*Inputs!$D$5:$D$120*(((Inputs!$G$5:$G$120="moeda")+(Inputs!$G$5:$G$120="acoes"))*Inputs!$B$1+((Inputs!$G$5:$G$120&lt;&gt;"moeda")*(Inputs!$G$5:$G$120&lt;&gt;"acoes")))*INDEX(Inputs!$K$5:$AJ$120,0,MATCH(AH$2,Inputs!$K$4:$AJ$4,0)))+SUMPRODUCT((Inputs!$E$5:$E$120=$B58)*Inputs!$F$5:$F$120*(((Inputs!$G$5:$G$120="moeda")+(Inputs!$G$5:$G$120="acoes"))*Inputs!$B$1+((Inputs!$G$5:$G$120&lt;&gt;"moeda")*(Inputs!$G$5:$G$120&lt;&gt;"acoes")))*INDEX(Inputs!$K$5:$AJ$120,0,MATCH(AH$2,Inputs!$K$4:$AJ$4,0)))))</f>
        <v>48</v>
      </c>
      <c r="AI58" s="513">
        <f>IF(ISNA(MATCH(AI$2,Inputs!$K$4:$AJ$4,0)),NA(),IF(SUMPRODUCT((Inputs!$A$5:$A$120=$B58)*ISNUMBER(INDEX(Inputs!$K$5:$AJ$120,0,MATCH(AI$2,Inputs!$K$4:$AJ$4,0))))+SUMPRODUCT((Inputs!$C$5:$C$120=$B58)*ISNUMBER(INDEX(Inputs!$K$5:$AJ$120,0,MATCH(AI$2,Inputs!$K$4:$AJ$4,0))))+SUMPRODUCT((Inputs!$E$5:$E$120=$B58)*ISNUMBER(INDEX(Inputs!$K$5:$AJ$120,0,MATCH(AI$2,Inputs!$K$4:$AJ$4,0))))=0,NA(),SUMPRODUCT((Inputs!$A$5:$A$120=$B58)*Inputs!$B$5:$B$120*(((Inputs!$G$5:$G$120="moeda")+(Inputs!$G$5:$G$120="acoes"))*Inputs!$B$1+((Inputs!$G$5:$G$120&lt;&gt;"moeda")*(Inputs!$G$5:$G$120&lt;&gt;"acoes")))*INDEX(Inputs!$K$5:$AJ$120,0,MATCH(AI$2,Inputs!$K$4:$AJ$4,0)))+SUMPRODUCT((Inputs!$C$5:$C$120=$B58)*Inputs!$D$5:$D$120*(((Inputs!$G$5:$G$120="moeda")+(Inputs!$G$5:$G$120="acoes"))*Inputs!$B$1+((Inputs!$G$5:$G$120&lt;&gt;"moeda")*(Inputs!$G$5:$G$120&lt;&gt;"acoes")))*INDEX(Inputs!$K$5:$AJ$120,0,MATCH(AI$2,Inputs!$K$4:$AJ$4,0)))+SUMPRODUCT((Inputs!$E$5:$E$120=$B58)*Inputs!$F$5:$F$120*(((Inputs!$G$5:$G$120="moeda")+(Inputs!$G$5:$G$120="acoes"))*Inputs!$B$1+((Inputs!$G$5:$G$120&lt;&gt;"moeda")*(Inputs!$G$5:$G$120&lt;&gt;"acoes")))*INDEX(Inputs!$K$5:$AJ$120,0,MATCH(AI$2,Inputs!$K$4:$AJ$4,0)))))</f>
        <v>53</v>
      </c>
      <c r="AJ58" s="513">
        <f>IF(ISNA(MATCH(AJ$2,Inputs!$K$4:$AJ$4,0)),NA(),IF(SUMPRODUCT((Inputs!$A$5:$A$120=$B58)*ISNUMBER(INDEX(Inputs!$K$5:$AJ$120,0,MATCH(AJ$2,Inputs!$K$4:$AJ$4,0))))+SUMPRODUCT((Inputs!$C$5:$C$120=$B58)*ISNUMBER(INDEX(Inputs!$K$5:$AJ$120,0,MATCH(AJ$2,Inputs!$K$4:$AJ$4,0))))+SUMPRODUCT((Inputs!$E$5:$E$120=$B58)*ISNUMBER(INDEX(Inputs!$K$5:$AJ$120,0,MATCH(AJ$2,Inputs!$K$4:$AJ$4,0))))=0,NA(),SUMPRODUCT((Inputs!$A$5:$A$120=$B58)*Inputs!$B$5:$B$120*(((Inputs!$G$5:$G$120="moeda")+(Inputs!$G$5:$G$120="acoes"))*Inputs!$B$1+((Inputs!$G$5:$G$120&lt;&gt;"moeda")*(Inputs!$G$5:$G$120&lt;&gt;"acoes")))*INDEX(Inputs!$K$5:$AJ$120,0,MATCH(AJ$2,Inputs!$K$4:$AJ$4,0)))+SUMPRODUCT((Inputs!$C$5:$C$120=$B58)*Inputs!$D$5:$D$120*(((Inputs!$G$5:$G$120="moeda")+(Inputs!$G$5:$G$120="acoes"))*Inputs!$B$1+((Inputs!$G$5:$G$120&lt;&gt;"moeda")*(Inputs!$G$5:$G$120&lt;&gt;"acoes")))*INDEX(Inputs!$K$5:$AJ$120,0,MATCH(AJ$2,Inputs!$K$4:$AJ$4,0)))+SUMPRODUCT((Inputs!$E$5:$E$120=$B58)*Inputs!$F$5:$F$120*(((Inputs!$G$5:$G$120="moeda")+(Inputs!$G$5:$G$120="acoes"))*Inputs!$B$1+((Inputs!$G$5:$G$120&lt;&gt;"moeda")*(Inputs!$G$5:$G$120&lt;&gt;"acoes")))*INDEX(Inputs!$K$5:$AJ$120,0,MATCH(AJ$2,Inputs!$K$4:$AJ$4,0)))))</f>
        <v>50</v>
      </c>
      <c r="AK58" s="513" t="e">
        <f>IF(ISNA(MATCH(AK$2,Inputs!$K$4:$AJ$4,0)),NA(),IF(SUMPRODUCT((Inputs!$A$5:$A$120=$B58)*ISNUMBER(INDEX(Inputs!$K$5:$AJ$120,0,MATCH(AK$2,Inputs!$K$4:$AJ$4,0))))+SUMPRODUCT((Inputs!$C$5:$C$120=$B58)*ISNUMBER(INDEX(Inputs!$K$5:$AJ$120,0,MATCH(AK$2,Inputs!$K$4:$AJ$4,0))))+SUMPRODUCT((Inputs!$E$5:$E$120=$B58)*ISNUMBER(INDEX(Inputs!$K$5:$AJ$120,0,MATCH(AK$2,Inputs!$K$4:$AJ$4,0))))=0,NA(),SUMPRODUCT((Inputs!$A$5:$A$120=$B58)*Inputs!$B$5:$B$120*(((Inputs!$G$5:$G$120="moeda")+(Inputs!$G$5:$G$120="acoes"))*Inputs!$B$1+((Inputs!$G$5:$G$120&lt;&gt;"moeda")*(Inputs!$G$5:$G$120&lt;&gt;"acoes")))*INDEX(Inputs!$K$5:$AJ$120,0,MATCH(AK$2,Inputs!$K$4:$AJ$4,0)))+SUMPRODUCT((Inputs!$C$5:$C$120=$B58)*Inputs!$D$5:$D$120*(((Inputs!$G$5:$G$120="moeda")+(Inputs!$G$5:$G$120="acoes"))*Inputs!$B$1+((Inputs!$G$5:$G$120&lt;&gt;"moeda")*(Inputs!$G$5:$G$120&lt;&gt;"acoes")))*INDEX(Inputs!$K$5:$AJ$120,0,MATCH(AK$2,Inputs!$K$4:$AJ$4,0)))+SUMPRODUCT((Inputs!$E$5:$E$120=$B58)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58" s="514" t="e">
        <f>SUM(AH58:AK58)</f>
        <v>#N/A</v>
      </c>
    </row>
    <row r="59">
      <c r="B59" s="265" t="n">
        <v>51</v>
      </c>
      <c r="C59" s="266" t="inlineStr">
        <is>
          <t>Sugar &amp; Bioenergy - receita (USD)</t>
        </is>
      </c>
      <c r="D59" s="513">
        <f>IF(ISNA(MATCH(D$2,Inputs!$K$4:$AJ$4,0)),NA(),IF(SUMPRODUCT((Inputs!$A$5:$A$120=$B59)*ISNUMBER(INDEX(Inputs!$K$5:$AJ$120,0,MATCH(D$2,Inputs!$K$4:$AJ$4,0))))+SUMPRODUCT((Inputs!$C$5:$C$120=$B59)*ISNUMBER(INDEX(Inputs!$K$5:$AJ$120,0,MATCH(D$2,Inputs!$K$4:$AJ$4,0))))+SUMPRODUCT((Inputs!$E$5:$E$120=$B59)*ISNUMBER(INDEX(Inputs!$K$5:$AJ$120,0,MATCH(D$2,Inputs!$K$4:$AJ$4,0))))=0,NA(),SUMPRODUCT((Inputs!$A$5:$A$120=$B59)*Inputs!$B$5:$B$120*(((Inputs!$G$5:$G$120="moeda")+(Inputs!$G$5:$G$120="acoes"))*Inputs!$B$1+((Inputs!$G$5:$G$120&lt;&gt;"moeda")*(Inputs!$G$5:$G$120&lt;&gt;"acoes")))*INDEX(Inputs!$K$5:$AJ$120,0,MATCH(D$2,Inputs!$K$4:$AJ$4,0)))+SUMPRODUCT((Inputs!$C$5:$C$120=$B59)*Inputs!$D$5:$D$120*(((Inputs!$G$5:$G$120="moeda")+(Inputs!$G$5:$G$120="acoes"))*Inputs!$B$1+((Inputs!$G$5:$G$120&lt;&gt;"moeda")*(Inputs!$G$5:$G$120&lt;&gt;"acoes")))*INDEX(Inputs!$K$5:$AJ$120,0,MATCH(D$2,Inputs!$K$4:$AJ$4,0)))+SUMPRODUCT((Inputs!$E$5:$E$120=$B59)*Inputs!$F$5:$F$120*(((Inputs!$G$5:$G$120="moeda")+(Inputs!$G$5:$G$120="acoes"))*Inputs!$B$1+((Inputs!$G$5:$G$120&lt;&gt;"moeda")*(Inputs!$G$5:$G$120&lt;&gt;"acoes")))*INDEX(Inputs!$K$5:$AJ$120,0,MATCH(D$2,Inputs!$K$4:$AJ$4,0)))))</f>
        <v>54</v>
      </c>
      <c r="E59" s="513">
        <f>IF(ISNA(MATCH(E$2,Inputs!$K$4:$AJ$4,0)),NA(),IF(SUMPRODUCT((Inputs!$A$5:$A$120=$B59)*ISNUMBER(INDEX(Inputs!$K$5:$AJ$120,0,MATCH(E$2,Inputs!$K$4:$AJ$4,0))))+SUMPRODUCT((Inputs!$C$5:$C$120=$B59)*ISNUMBER(INDEX(Inputs!$K$5:$AJ$120,0,MATCH(E$2,Inputs!$K$4:$AJ$4,0))))+SUMPRODUCT((Inputs!$E$5:$E$120=$B59)*ISNUMBER(INDEX(Inputs!$K$5:$AJ$120,0,MATCH(E$2,Inputs!$K$4:$AJ$4,0))))=0,NA(),SUMPRODUCT((Inputs!$A$5:$A$120=$B59)*Inputs!$B$5:$B$120*(((Inputs!$G$5:$G$120="moeda")+(Inputs!$G$5:$G$120="acoes"))*Inputs!$B$1+((Inputs!$G$5:$G$120&lt;&gt;"moeda")*(Inputs!$G$5:$G$120&lt;&gt;"acoes")))*INDEX(Inputs!$K$5:$AJ$120,0,MATCH(E$2,Inputs!$K$4:$AJ$4,0)))+SUMPRODUCT((Inputs!$C$5:$C$120=$B59)*Inputs!$D$5:$D$120*(((Inputs!$G$5:$G$120="moeda")+(Inputs!$G$5:$G$120="acoes"))*Inputs!$B$1+((Inputs!$G$5:$G$120&lt;&gt;"moeda")*(Inputs!$G$5:$G$120&lt;&gt;"acoes")))*INDEX(Inputs!$K$5:$AJ$120,0,MATCH(E$2,Inputs!$K$4:$AJ$4,0)))+SUMPRODUCT((Inputs!$E$5:$E$120=$B59)*Inputs!$F$5:$F$120*(((Inputs!$G$5:$G$120="moeda")+(Inputs!$G$5:$G$120="acoes"))*Inputs!$B$1+((Inputs!$G$5:$G$120&lt;&gt;"moeda")*(Inputs!$G$5:$G$120&lt;&gt;"acoes")))*INDEX(Inputs!$K$5:$AJ$120,0,MATCH(E$2,Inputs!$K$4:$AJ$4,0)))))</f>
        <v>68</v>
      </c>
      <c r="F59" s="513">
        <f>IF(ISNA(MATCH(F$2,Inputs!$K$4:$AJ$4,0)),NA(),IF(SUMPRODUCT((Inputs!$A$5:$A$120=$B59)*ISNUMBER(INDEX(Inputs!$K$5:$AJ$120,0,MATCH(F$2,Inputs!$K$4:$AJ$4,0))))+SUMPRODUCT((Inputs!$C$5:$C$120=$B59)*ISNUMBER(INDEX(Inputs!$K$5:$AJ$120,0,MATCH(F$2,Inputs!$K$4:$AJ$4,0))))+SUMPRODUCT((Inputs!$E$5:$E$120=$B59)*ISNUMBER(INDEX(Inputs!$K$5:$AJ$120,0,MATCH(F$2,Inputs!$K$4:$AJ$4,0))))=0,NA(),SUMPRODUCT((Inputs!$A$5:$A$120=$B59)*Inputs!$B$5:$B$120*(((Inputs!$G$5:$G$120="moeda")+(Inputs!$G$5:$G$120="acoes"))*Inputs!$B$1+((Inputs!$G$5:$G$120&lt;&gt;"moeda")*(Inputs!$G$5:$G$120&lt;&gt;"acoes")))*INDEX(Inputs!$K$5:$AJ$120,0,MATCH(F$2,Inputs!$K$4:$AJ$4,0)))+SUMPRODUCT((Inputs!$C$5:$C$120=$B59)*Inputs!$D$5:$D$120*(((Inputs!$G$5:$G$120="moeda")+(Inputs!$G$5:$G$120="acoes"))*Inputs!$B$1+((Inputs!$G$5:$G$120&lt;&gt;"moeda")*(Inputs!$G$5:$G$120&lt;&gt;"acoes")))*INDEX(Inputs!$K$5:$AJ$120,0,MATCH(F$2,Inputs!$K$4:$AJ$4,0)))+SUMPRODUCT((Inputs!$E$5:$E$120=$B59)*Inputs!$F$5:$F$120*(((Inputs!$G$5:$G$120="moeda")+(Inputs!$G$5:$G$120="acoes"))*Inputs!$B$1+((Inputs!$G$5:$G$120&lt;&gt;"moeda")*(Inputs!$G$5:$G$120&lt;&gt;"acoes")))*INDEX(Inputs!$K$5:$AJ$120,0,MATCH(F$2,Inputs!$K$4:$AJ$4,0)))))</f>
        <v>69</v>
      </c>
      <c r="G59" s="513">
        <f>IF(ISNA(MATCH(G$2,Inputs!$K$4:$AJ$4,0)),NA(),IF(SUMPRODUCT((Inputs!$A$5:$A$120=$B59)*ISNUMBER(INDEX(Inputs!$K$5:$AJ$120,0,MATCH(G$2,Inputs!$K$4:$AJ$4,0))))+SUMPRODUCT((Inputs!$C$5:$C$120=$B59)*ISNUMBER(INDEX(Inputs!$K$5:$AJ$120,0,MATCH(G$2,Inputs!$K$4:$AJ$4,0))))+SUMPRODUCT((Inputs!$E$5:$E$120=$B59)*ISNUMBER(INDEX(Inputs!$K$5:$AJ$120,0,MATCH(G$2,Inputs!$K$4:$AJ$4,0))))=0,NA(),SUMPRODUCT((Inputs!$A$5:$A$120=$B59)*Inputs!$B$5:$B$120*(((Inputs!$G$5:$G$120="moeda")+(Inputs!$G$5:$G$120="acoes"))*Inputs!$B$1+((Inputs!$G$5:$G$120&lt;&gt;"moeda")*(Inputs!$G$5:$G$120&lt;&gt;"acoes")))*INDEX(Inputs!$K$5:$AJ$120,0,MATCH(G$2,Inputs!$K$4:$AJ$4,0)))+SUMPRODUCT((Inputs!$C$5:$C$120=$B59)*Inputs!$D$5:$D$120*(((Inputs!$G$5:$G$120="moeda")+(Inputs!$G$5:$G$120="acoes"))*Inputs!$B$1+((Inputs!$G$5:$G$120&lt;&gt;"moeda")*(Inputs!$G$5:$G$120&lt;&gt;"acoes")))*INDEX(Inputs!$K$5:$AJ$120,0,MATCH(G$2,Inputs!$K$4:$AJ$4,0)))+SUMPRODUCT((Inputs!$E$5:$E$120=$B59)*Inputs!$F$5:$F$120*(((Inputs!$G$5:$G$120="moeda")+(Inputs!$G$5:$G$120="acoes"))*Inputs!$B$1+((Inputs!$G$5:$G$120&lt;&gt;"moeda")*(Inputs!$G$5:$G$120&lt;&gt;"acoes")))*INDEX(Inputs!$K$5:$AJ$120,0,MATCH(G$2,Inputs!$K$4:$AJ$4,0)))))</f>
        <v>80</v>
      </c>
      <c r="H59" s="514">
        <f>SUM(D59:G59)</f>
        <v>271</v>
      </c>
      <c r="I59" s="513">
        <f>IF(ISNA(MATCH(I$2,Inputs!$K$4:$AJ$4,0)),NA(),IF(SUMPRODUCT((Inputs!$A$5:$A$120=$B59)*ISNUMBER(INDEX(Inputs!$K$5:$AJ$120,0,MATCH(I$2,Inputs!$K$4:$AJ$4,0))))+SUMPRODUCT((Inputs!$C$5:$C$120=$B59)*ISNUMBER(INDEX(Inputs!$K$5:$AJ$120,0,MATCH(I$2,Inputs!$K$4:$AJ$4,0))))+SUMPRODUCT((Inputs!$E$5:$E$120=$B59)*ISNUMBER(INDEX(Inputs!$K$5:$AJ$120,0,MATCH(I$2,Inputs!$K$4:$AJ$4,0))))=0,NA(),SUMPRODUCT((Inputs!$A$5:$A$120=$B59)*Inputs!$B$5:$B$120*(((Inputs!$G$5:$G$120="moeda")+(Inputs!$G$5:$G$120="acoes"))*Inputs!$B$1+((Inputs!$G$5:$G$120&lt;&gt;"moeda")*(Inputs!$G$5:$G$120&lt;&gt;"acoes")))*INDEX(Inputs!$K$5:$AJ$120,0,MATCH(I$2,Inputs!$K$4:$AJ$4,0)))+SUMPRODUCT((Inputs!$C$5:$C$120=$B59)*Inputs!$D$5:$D$120*(((Inputs!$G$5:$G$120="moeda")+(Inputs!$G$5:$G$120="acoes"))*Inputs!$B$1+((Inputs!$G$5:$G$120&lt;&gt;"moeda")*(Inputs!$G$5:$G$120&lt;&gt;"acoes")))*INDEX(Inputs!$K$5:$AJ$120,0,MATCH(I$2,Inputs!$K$4:$AJ$4,0)))+SUMPRODUCT((Inputs!$E$5:$E$120=$B59)*Inputs!$F$5:$F$120*(((Inputs!$G$5:$G$120="moeda")+(Inputs!$G$5:$G$120="acoes"))*Inputs!$B$1+((Inputs!$G$5:$G$120&lt;&gt;"moeda")*(Inputs!$G$5:$G$120&lt;&gt;"acoes")))*INDEX(Inputs!$K$5:$AJ$120,0,MATCH(I$2,Inputs!$K$4:$AJ$4,0)))))</f>
        <v>64</v>
      </c>
      <c r="J59" s="513">
        <f>IF(ISNA(MATCH(J$2,Inputs!$K$4:$AJ$4,0)),NA(),IF(SUMPRODUCT((Inputs!$A$5:$A$120=$B59)*ISNUMBER(INDEX(Inputs!$K$5:$AJ$120,0,MATCH(J$2,Inputs!$K$4:$AJ$4,0))))+SUMPRODUCT((Inputs!$C$5:$C$120=$B59)*ISNUMBER(INDEX(Inputs!$K$5:$AJ$120,0,MATCH(J$2,Inputs!$K$4:$AJ$4,0))))+SUMPRODUCT((Inputs!$E$5:$E$120=$B59)*ISNUMBER(INDEX(Inputs!$K$5:$AJ$120,0,MATCH(J$2,Inputs!$K$4:$AJ$4,0))))=0,NA(),SUMPRODUCT((Inputs!$A$5:$A$120=$B59)*Inputs!$B$5:$B$120*(((Inputs!$G$5:$G$120="moeda")+(Inputs!$G$5:$G$120="acoes"))*Inputs!$B$1+((Inputs!$G$5:$G$120&lt;&gt;"moeda")*(Inputs!$G$5:$G$120&lt;&gt;"acoes")))*INDEX(Inputs!$K$5:$AJ$120,0,MATCH(J$2,Inputs!$K$4:$AJ$4,0)))+SUMPRODUCT((Inputs!$C$5:$C$120=$B59)*Inputs!$D$5:$D$120*(((Inputs!$G$5:$G$120="moeda")+(Inputs!$G$5:$G$120="acoes"))*Inputs!$B$1+((Inputs!$G$5:$G$120&lt;&gt;"moeda")*(Inputs!$G$5:$G$120&lt;&gt;"acoes")))*INDEX(Inputs!$K$5:$AJ$120,0,MATCH(J$2,Inputs!$K$4:$AJ$4,0)))+SUMPRODUCT((Inputs!$E$5:$E$120=$B59)*Inputs!$F$5:$F$120*(((Inputs!$G$5:$G$120="moeda")+(Inputs!$G$5:$G$120="acoes"))*Inputs!$B$1+((Inputs!$G$5:$G$120&lt;&gt;"moeda")*(Inputs!$G$5:$G$120&lt;&gt;"acoes")))*INDEX(Inputs!$K$5:$AJ$120,0,MATCH(J$2,Inputs!$K$4:$AJ$4,0)))))</f>
        <v>57</v>
      </c>
      <c r="K59" s="513">
        <f>IF(ISNA(MATCH(K$2,Inputs!$K$4:$AJ$4,0)),NA(),IF(SUMPRODUCT((Inputs!$A$5:$A$120=$B59)*ISNUMBER(INDEX(Inputs!$K$5:$AJ$120,0,MATCH(K$2,Inputs!$K$4:$AJ$4,0))))+SUMPRODUCT((Inputs!$C$5:$C$120=$B59)*ISNUMBER(INDEX(Inputs!$K$5:$AJ$120,0,MATCH(K$2,Inputs!$K$4:$AJ$4,0))))+SUMPRODUCT((Inputs!$E$5:$E$120=$B59)*ISNUMBER(INDEX(Inputs!$K$5:$AJ$120,0,MATCH(K$2,Inputs!$K$4:$AJ$4,0))))=0,NA(),SUMPRODUCT((Inputs!$A$5:$A$120=$B59)*Inputs!$B$5:$B$120*(((Inputs!$G$5:$G$120="moeda")+(Inputs!$G$5:$G$120="acoes"))*Inputs!$B$1+((Inputs!$G$5:$G$120&lt;&gt;"moeda")*(Inputs!$G$5:$G$120&lt;&gt;"acoes")))*INDEX(Inputs!$K$5:$AJ$120,0,MATCH(K$2,Inputs!$K$4:$AJ$4,0)))+SUMPRODUCT((Inputs!$C$5:$C$120=$B59)*Inputs!$D$5:$D$120*(((Inputs!$G$5:$G$120="moeda")+(Inputs!$G$5:$G$120="acoes"))*Inputs!$B$1+((Inputs!$G$5:$G$120&lt;&gt;"moeda")*(Inputs!$G$5:$G$120&lt;&gt;"acoes")))*INDEX(Inputs!$K$5:$AJ$120,0,MATCH(K$2,Inputs!$K$4:$AJ$4,0)))+SUMPRODUCT((Inputs!$E$5:$E$120=$B59)*Inputs!$F$5:$F$120*(((Inputs!$G$5:$G$120="moeda")+(Inputs!$G$5:$G$120="acoes"))*Inputs!$B$1+((Inputs!$G$5:$G$120&lt;&gt;"moeda")*(Inputs!$G$5:$G$120&lt;&gt;"acoes")))*INDEX(Inputs!$K$5:$AJ$120,0,MATCH(K$2,Inputs!$K$4:$AJ$4,0)))))</f>
        <v>74</v>
      </c>
      <c r="L59" s="513">
        <f>IF(ISNA(MATCH(L$2,Inputs!$K$4:$AJ$4,0)),NA(),IF(SUMPRODUCT((Inputs!$A$5:$A$120=$B59)*ISNUMBER(INDEX(Inputs!$K$5:$AJ$120,0,MATCH(L$2,Inputs!$K$4:$AJ$4,0))))+SUMPRODUCT((Inputs!$C$5:$C$120=$B59)*ISNUMBER(INDEX(Inputs!$K$5:$AJ$120,0,MATCH(L$2,Inputs!$K$4:$AJ$4,0))))+SUMPRODUCT((Inputs!$E$5:$E$120=$B59)*ISNUMBER(INDEX(Inputs!$K$5:$AJ$120,0,MATCH(L$2,Inputs!$K$4:$AJ$4,0))))=0,NA(),SUMPRODUCT((Inputs!$A$5:$A$120=$B59)*Inputs!$B$5:$B$120*(((Inputs!$G$5:$G$120="moeda")+(Inputs!$G$5:$G$120="acoes"))*Inputs!$B$1+((Inputs!$G$5:$G$120&lt;&gt;"moeda")*(Inputs!$G$5:$G$120&lt;&gt;"acoes")))*INDEX(Inputs!$K$5:$AJ$120,0,MATCH(L$2,Inputs!$K$4:$AJ$4,0)))+SUMPRODUCT((Inputs!$C$5:$C$120=$B59)*Inputs!$D$5:$D$120*(((Inputs!$G$5:$G$120="moeda")+(Inputs!$G$5:$G$120="acoes"))*Inputs!$B$1+((Inputs!$G$5:$G$120&lt;&gt;"moeda")*(Inputs!$G$5:$G$120&lt;&gt;"acoes")))*INDEX(Inputs!$K$5:$AJ$120,0,MATCH(L$2,Inputs!$K$4:$AJ$4,0)))+SUMPRODUCT((Inputs!$E$5:$E$120=$B59)*Inputs!$F$5:$F$120*(((Inputs!$G$5:$G$120="moeda")+(Inputs!$G$5:$G$120="acoes"))*Inputs!$B$1+((Inputs!$G$5:$G$120&lt;&gt;"moeda")*(Inputs!$G$5:$G$120&lt;&gt;"acoes")))*INDEX(Inputs!$K$5:$AJ$120,0,MATCH(L$2,Inputs!$K$4:$AJ$4,0)))))</f>
        <v>64</v>
      </c>
      <c r="M59" s="514">
        <f>SUM(I59:L59)</f>
        <v>259</v>
      </c>
      <c r="N59" s="513">
        <f>IF(ISNA(MATCH(N$2,Inputs!$K$4:$AJ$4,0)),NA(),IF(SUMPRODUCT((Inputs!$A$5:$A$120=$B59)*ISNUMBER(INDEX(Inputs!$K$5:$AJ$120,0,MATCH(N$2,Inputs!$K$4:$AJ$4,0))))+SUMPRODUCT((Inputs!$C$5:$C$120=$B59)*ISNUMBER(INDEX(Inputs!$K$5:$AJ$120,0,MATCH(N$2,Inputs!$K$4:$AJ$4,0))))+SUMPRODUCT((Inputs!$E$5:$E$120=$B59)*ISNUMBER(INDEX(Inputs!$K$5:$AJ$120,0,MATCH(N$2,Inputs!$K$4:$AJ$4,0))))=0,NA(),SUMPRODUCT((Inputs!$A$5:$A$120=$B59)*Inputs!$B$5:$B$120*(((Inputs!$G$5:$G$120="moeda")+(Inputs!$G$5:$G$120="acoes"))*Inputs!$B$1+((Inputs!$G$5:$G$120&lt;&gt;"moeda")*(Inputs!$G$5:$G$120&lt;&gt;"acoes")))*INDEX(Inputs!$K$5:$AJ$120,0,MATCH(N$2,Inputs!$K$4:$AJ$4,0)))+SUMPRODUCT((Inputs!$C$5:$C$120=$B59)*Inputs!$D$5:$D$120*(((Inputs!$G$5:$G$120="moeda")+(Inputs!$G$5:$G$120="acoes"))*Inputs!$B$1+((Inputs!$G$5:$G$120&lt;&gt;"moeda")*(Inputs!$G$5:$G$120&lt;&gt;"acoes")))*INDEX(Inputs!$K$5:$AJ$120,0,MATCH(N$2,Inputs!$K$4:$AJ$4,0)))+SUMPRODUCT((Inputs!$E$5:$E$120=$B59)*Inputs!$F$5:$F$120*(((Inputs!$G$5:$G$120="moeda")+(Inputs!$G$5:$G$120="acoes"))*Inputs!$B$1+((Inputs!$G$5:$G$120&lt;&gt;"moeda")*(Inputs!$G$5:$G$120&lt;&gt;"acoes")))*INDEX(Inputs!$K$5:$AJ$120,0,MATCH(N$2,Inputs!$K$4:$AJ$4,0)))))</f>
        <v>64</v>
      </c>
      <c r="O59" s="513">
        <f>IF(ISNA(MATCH(O$2,Inputs!$K$4:$AJ$4,0)),NA(),IF(SUMPRODUCT((Inputs!$A$5:$A$120=$B59)*ISNUMBER(INDEX(Inputs!$K$5:$AJ$120,0,MATCH(O$2,Inputs!$K$4:$AJ$4,0))))+SUMPRODUCT((Inputs!$C$5:$C$120=$B59)*ISNUMBER(INDEX(Inputs!$K$5:$AJ$120,0,MATCH(O$2,Inputs!$K$4:$AJ$4,0))))+SUMPRODUCT((Inputs!$E$5:$E$120=$B59)*ISNUMBER(INDEX(Inputs!$K$5:$AJ$120,0,MATCH(O$2,Inputs!$K$4:$AJ$4,0))))=0,NA(),SUMPRODUCT((Inputs!$A$5:$A$120=$B59)*Inputs!$B$5:$B$120*(((Inputs!$G$5:$G$120="moeda")+(Inputs!$G$5:$G$120="acoes"))*Inputs!$B$1+((Inputs!$G$5:$G$120&lt;&gt;"moeda")*(Inputs!$G$5:$G$120&lt;&gt;"acoes")))*INDEX(Inputs!$K$5:$AJ$120,0,MATCH(O$2,Inputs!$K$4:$AJ$4,0)))+SUMPRODUCT((Inputs!$C$5:$C$120=$B59)*Inputs!$D$5:$D$120*(((Inputs!$G$5:$G$120="moeda")+(Inputs!$G$5:$G$120="acoes"))*Inputs!$B$1+((Inputs!$G$5:$G$120&lt;&gt;"moeda")*(Inputs!$G$5:$G$120&lt;&gt;"acoes")))*INDEX(Inputs!$K$5:$AJ$120,0,MATCH(O$2,Inputs!$K$4:$AJ$4,0)))+SUMPRODUCT((Inputs!$E$5:$E$120=$B59)*Inputs!$F$5:$F$120*(((Inputs!$G$5:$G$120="moeda")+(Inputs!$G$5:$G$120="acoes"))*Inputs!$B$1+((Inputs!$G$5:$G$120&lt;&gt;"moeda")*(Inputs!$G$5:$G$120&lt;&gt;"acoes")))*INDEX(Inputs!$K$5:$AJ$120,0,MATCH(O$2,Inputs!$K$4:$AJ$4,0)))))</f>
        <v>72</v>
      </c>
      <c r="P59" s="513">
        <f>IF(ISNA(MATCH(P$2,Inputs!$K$4:$AJ$4,0)),NA(),IF(SUMPRODUCT((Inputs!$A$5:$A$120=$B59)*ISNUMBER(INDEX(Inputs!$K$5:$AJ$120,0,MATCH(P$2,Inputs!$K$4:$AJ$4,0))))+SUMPRODUCT((Inputs!$C$5:$C$120=$B59)*ISNUMBER(INDEX(Inputs!$K$5:$AJ$120,0,MATCH(P$2,Inputs!$K$4:$AJ$4,0))))+SUMPRODUCT((Inputs!$E$5:$E$120=$B59)*ISNUMBER(INDEX(Inputs!$K$5:$AJ$120,0,MATCH(P$2,Inputs!$K$4:$AJ$4,0))))=0,NA(),SUMPRODUCT((Inputs!$A$5:$A$120=$B59)*Inputs!$B$5:$B$120*(((Inputs!$G$5:$G$120="moeda")+(Inputs!$G$5:$G$120="acoes"))*Inputs!$B$1+((Inputs!$G$5:$G$120&lt;&gt;"moeda")*(Inputs!$G$5:$G$120&lt;&gt;"acoes")))*INDEX(Inputs!$K$5:$AJ$120,0,MATCH(P$2,Inputs!$K$4:$AJ$4,0)))+SUMPRODUCT((Inputs!$C$5:$C$120=$B59)*Inputs!$D$5:$D$120*(((Inputs!$G$5:$G$120="moeda")+(Inputs!$G$5:$G$120="acoes"))*Inputs!$B$1+((Inputs!$G$5:$G$120&lt;&gt;"moeda")*(Inputs!$G$5:$G$120&lt;&gt;"acoes")))*INDEX(Inputs!$K$5:$AJ$120,0,MATCH(P$2,Inputs!$K$4:$AJ$4,0)))+SUMPRODUCT((Inputs!$E$5:$E$120=$B59)*Inputs!$F$5:$F$120*(((Inputs!$G$5:$G$120="moeda")+(Inputs!$G$5:$G$120="acoes"))*Inputs!$B$1+((Inputs!$G$5:$G$120&lt;&gt;"moeda")*(Inputs!$G$5:$G$120&lt;&gt;"acoes")))*INDEX(Inputs!$K$5:$AJ$120,0,MATCH(P$2,Inputs!$K$4:$AJ$4,0)))))</f>
        <v>56</v>
      </c>
      <c r="Q59" s="513">
        <f>IF(ISNA(MATCH(Q$2,Inputs!$K$4:$AJ$4,0)),NA(),IF(SUMPRODUCT((Inputs!$A$5:$A$120=$B59)*ISNUMBER(INDEX(Inputs!$K$5:$AJ$120,0,MATCH(Q$2,Inputs!$K$4:$AJ$4,0))))+SUMPRODUCT((Inputs!$C$5:$C$120=$B59)*ISNUMBER(INDEX(Inputs!$K$5:$AJ$120,0,MATCH(Q$2,Inputs!$K$4:$AJ$4,0))))+SUMPRODUCT((Inputs!$E$5:$E$120=$B59)*ISNUMBER(INDEX(Inputs!$K$5:$AJ$120,0,MATCH(Q$2,Inputs!$K$4:$AJ$4,0))))=0,NA(),SUMPRODUCT((Inputs!$A$5:$A$120=$B59)*Inputs!$B$5:$B$120*(((Inputs!$G$5:$G$120="moeda")+(Inputs!$G$5:$G$120="acoes"))*Inputs!$B$1+((Inputs!$G$5:$G$120&lt;&gt;"moeda")*(Inputs!$G$5:$G$120&lt;&gt;"acoes")))*INDEX(Inputs!$K$5:$AJ$120,0,MATCH(Q$2,Inputs!$K$4:$AJ$4,0)))+SUMPRODUCT((Inputs!$C$5:$C$120=$B59)*Inputs!$D$5:$D$120*(((Inputs!$G$5:$G$120="moeda")+(Inputs!$G$5:$G$120="acoes"))*Inputs!$B$1+((Inputs!$G$5:$G$120&lt;&gt;"moeda")*(Inputs!$G$5:$G$120&lt;&gt;"acoes")))*INDEX(Inputs!$K$5:$AJ$120,0,MATCH(Q$2,Inputs!$K$4:$AJ$4,0)))+SUMPRODUCT((Inputs!$E$5:$E$120=$B59)*Inputs!$F$5:$F$120*(((Inputs!$G$5:$G$120="moeda")+(Inputs!$G$5:$G$120="acoes"))*Inputs!$B$1+((Inputs!$G$5:$G$120&lt;&gt;"moeda")*(Inputs!$G$5:$G$120&lt;&gt;"acoes")))*INDEX(Inputs!$K$5:$AJ$120,0,MATCH(Q$2,Inputs!$K$4:$AJ$4,0)))))</f>
        <v>43</v>
      </c>
      <c r="R59" s="514">
        <f>SUM(N59:Q59)</f>
        <v>235</v>
      </c>
      <c r="S59" s="513">
        <f>IF(ISNA(MATCH(S$2,Inputs!$K$4:$AJ$4,0)),NA(),IF(SUMPRODUCT((Inputs!$A$5:$A$120=$B59)*ISNUMBER(INDEX(Inputs!$K$5:$AJ$120,0,MATCH(S$2,Inputs!$K$4:$AJ$4,0))))+SUMPRODUCT((Inputs!$C$5:$C$120=$B59)*ISNUMBER(INDEX(Inputs!$K$5:$AJ$120,0,MATCH(S$2,Inputs!$K$4:$AJ$4,0))))+SUMPRODUCT((Inputs!$E$5:$E$120=$B59)*ISNUMBER(INDEX(Inputs!$K$5:$AJ$120,0,MATCH(S$2,Inputs!$K$4:$AJ$4,0))))=0,NA(),SUMPRODUCT((Inputs!$A$5:$A$120=$B59)*Inputs!$B$5:$B$120*(((Inputs!$G$5:$G$120="moeda")+(Inputs!$G$5:$G$120="acoes"))*Inputs!$B$1+((Inputs!$G$5:$G$120&lt;&gt;"moeda")*(Inputs!$G$5:$G$120&lt;&gt;"acoes")))*INDEX(Inputs!$K$5:$AJ$120,0,MATCH(S$2,Inputs!$K$4:$AJ$4,0)))+SUMPRODUCT((Inputs!$C$5:$C$120=$B59)*Inputs!$D$5:$D$120*(((Inputs!$G$5:$G$120="moeda")+(Inputs!$G$5:$G$120="acoes"))*Inputs!$B$1+((Inputs!$G$5:$G$120&lt;&gt;"moeda")*(Inputs!$G$5:$G$120&lt;&gt;"acoes")))*INDEX(Inputs!$K$5:$AJ$120,0,MATCH(S$2,Inputs!$K$4:$AJ$4,0)))+SUMPRODUCT((Inputs!$E$5:$E$120=$B59)*Inputs!$F$5:$F$120*(((Inputs!$G$5:$G$120="moeda")+(Inputs!$G$5:$G$120="acoes"))*Inputs!$B$1+((Inputs!$G$5:$G$120&lt;&gt;"moeda")*(Inputs!$G$5:$G$120&lt;&gt;"acoes")))*INDEX(Inputs!$K$5:$AJ$120,0,MATCH(S$2,Inputs!$K$4:$AJ$4,0)))))</f>
        <v>43</v>
      </c>
      <c r="T59" s="513">
        <f>IF(ISNA(MATCH(T$2,Inputs!$K$4:$AJ$4,0)),NA(),IF(SUMPRODUCT((Inputs!$A$5:$A$120=$B59)*ISNUMBER(INDEX(Inputs!$K$5:$AJ$120,0,MATCH(T$2,Inputs!$K$4:$AJ$4,0))))+SUMPRODUCT((Inputs!$C$5:$C$120=$B59)*ISNUMBER(INDEX(Inputs!$K$5:$AJ$120,0,MATCH(T$2,Inputs!$K$4:$AJ$4,0))))+SUMPRODUCT((Inputs!$E$5:$E$120=$B59)*ISNUMBER(INDEX(Inputs!$K$5:$AJ$120,0,MATCH(T$2,Inputs!$K$4:$AJ$4,0))))=0,NA(),SUMPRODUCT((Inputs!$A$5:$A$120=$B59)*Inputs!$B$5:$B$120*(((Inputs!$G$5:$G$120="moeda")+(Inputs!$G$5:$G$120="acoes"))*Inputs!$B$1+((Inputs!$G$5:$G$120&lt;&gt;"moeda")*(Inputs!$G$5:$G$120&lt;&gt;"acoes")))*INDEX(Inputs!$K$5:$AJ$120,0,MATCH(T$2,Inputs!$K$4:$AJ$4,0)))+SUMPRODUCT((Inputs!$C$5:$C$120=$B59)*Inputs!$D$5:$D$120*(((Inputs!$G$5:$G$120="moeda")+(Inputs!$G$5:$G$120="acoes"))*Inputs!$B$1+((Inputs!$G$5:$G$120&lt;&gt;"moeda")*(Inputs!$G$5:$G$120&lt;&gt;"acoes")))*INDEX(Inputs!$K$5:$AJ$120,0,MATCH(T$2,Inputs!$K$4:$AJ$4,0)))+SUMPRODUCT((Inputs!$E$5:$E$120=$B59)*Inputs!$F$5:$F$120*(((Inputs!$G$5:$G$120="moeda")+(Inputs!$G$5:$G$120="acoes"))*Inputs!$B$1+((Inputs!$G$5:$G$120&lt;&gt;"moeda")*(Inputs!$G$5:$G$120&lt;&gt;"acoes")))*INDEX(Inputs!$K$5:$AJ$120,0,MATCH(T$2,Inputs!$K$4:$AJ$4,0)))))</f>
        <v>49</v>
      </c>
      <c r="U59" s="513">
        <f>IF(ISNA(MATCH(U$2,Inputs!$K$4:$AJ$4,0)),NA(),IF(SUMPRODUCT((Inputs!$A$5:$A$120=$B59)*ISNUMBER(INDEX(Inputs!$K$5:$AJ$120,0,MATCH(U$2,Inputs!$K$4:$AJ$4,0))))+SUMPRODUCT((Inputs!$C$5:$C$120=$B59)*ISNUMBER(INDEX(Inputs!$K$5:$AJ$120,0,MATCH(U$2,Inputs!$K$4:$AJ$4,0))))+SUMPRODUCT((Inputs!$E$5:$E$120=$B59)*ISNUMBER(INDEX(Inputs!$K$5:$AJ$120,0,MATCH(U$2,Inputs!$K$4:$AJ$4,0))))=0,NA(),SUMPRODUCT((Inputs!$A$5:$A$120=$B59)*Inputs!$B$5:$B$120*(((Inputs!$G$5:$G$120="moeda")+(Inputs!$G$5:$G$120="acoes"))*Inputs!$B$1+((Inputs!$G$5:$G$120&lt;&gt;"moeda")*(Inputs!$G$5:$G$120&lt;&gt;"acoes")))*INDEX(Inputs!$K$5:$AJ$120,0,MATCH(U$2,Inputs!$K$4:$AJ$4,0)))+SUMPRODUCT((Inputs!$C$5:$C$120=$B59)*Inputs!$D$5:$D$120*(((Inputs!$G$5:$G$120="moeda")+(Inputs!$G$5:$G$120="acoes"))*Inputs!$B$1+((Inputs!$G$5:$G$120&lt;&gt;"moeda")*(Inputs!$G$5:$G$120&lt;&gt;"acoes")))*INDEX(Inputs!$K$5:$AJ$120,0,MATCH(U$2,Inputs!$K$4:$AJ$4,0)))+SUMPRODUCT((Inputs!$E$5:$E$120=$B59)*Inputs!$F$5:$F$120*(((Inputs!$G$5:$G$120="moeda")+(Inputs!$G$5:$G$120="acoes"))*Inputs!$B$1+((Inputs!$G$5:$G$120&lt;&gt;"moeda")*(Inputs!$G$5:$G$120&lt;&gt;"acoes")))*INDEX(Inputs!$K$5:$AJ$120,0,MATCH(U$2,Inputs!$K$4:$AJ$4,0)))))</f>
        <v>38</v>
      </c>
      <c r="V59" s="513">
        <f>IF(ISNA(MATCH(V$2,Inputs!$K$4:$AJ$4,0)),NA(),IF(SUMPRODUCT((Inputs!$A$5:$A$120=$B59)*ISNUMBER(INDEX(Inputs!$K$5:$AJ$120,0,MATCH(V$2,Inputs!$K$4:$AJ$4,0))))+SUMPRODUCT((Inputs!$C$5:$C$120=$B59)*ISNUMBER(INDEX(Inputs!$K$5:$AJ$120,0,MATCH(V$2,Inputs!$K$4:$AJ$4,0))))+SUMPRODUCT((Inputs!$E$5:$E$120=$B59)*ISNUMBER(INDEX(Inputs!$K$5:$AJ$120,0,MATCH(V$2,Inputs!$K$4:$AJ$4,0))))=0,NA(),SUMPRODUCT((Inputs!$A$5:$A$120=$B59)*Inputs!$B$5:$B$120*(((Inputs!$G$5:$G$120="moeda")+(Inputs!$G$5:$G$120="acoes"))*Inputs!$B$1+((Inputs!$G$5:$G$120&lt;&gt;"moeda")*(Inputs!$G$5:$G$120&lt;&gt;"acoes")))*INDEX(Inputs!$K$5:$AJ$120,0,MATCH(V$2,Inputs!$K$4:$AJ$4,0)))+SUMPRODUCT((Inputs!$C$5:$C$120=$B59)*Inputs!$D$5:$D$120*(((Inputs!$G$5:$G$120="moeda")+(Inputs!$G$5:$G$120="acoes"))*Inputs!$B$1+((Inputs!$G$5:$G$120&lt;&gt;"moeda")*(Inputs!$G$5:$G$120&lt;&gt;"acoes")))*INDEX(Inputs!$K$5:$AJ$120,0,MATCH(V$2,Inputs!$K$4:$AJ$4,0)))+SUMPRODUCT((Inputs!$E$5:$E$120=$B59)*Inputs!$F$5:$F$120*(((Inputs!$G$5:$G$120="moeda")+(Inputs!$G$5:$G$120="acoes"))*Inputs!$B$1+((Inputs!$G$5:$G$120&lt;&gt;"moeda")*(Inputs!$G$5:$G$120&lt;&gt;"acoes")))*INDEX(Inputs!$K$5:$AJ$120,0,MATCH(V$2,Inputs!$K$4:$AJ$4,0)))))</f>
        <v>0</v>
      </c>
      <c r="W59" s="514">
        <f>SUM(S59:V59)</f>
        <v>130</v>
      </c>
      <c r="X59" s="513" t="e">
        <f>IF(ISNA(MATCH(X$2,Inputs!$K$4:$AJ$4,0)),NA(),IF(SUMPRODUCT((Inputs!$A$5:$A$120=$B59)*ISNUMBER(INDEX(Inputs!$K$5:$AJ$120,0,MATCH(X$2,Inputs!$K$4:$AJ$4,0))))+SUMPRODUCT((Inputs!$C$5:$C$120=$B59)*ISNUMBER(INDEX(Inputs!$K$5:$AJ$120,0,MATCH(X$2,Inputs!$K$4:$AJ$4,0))))+SUMPRODUCT((Inputs!$E$5:$E$120=$B59)*ISNUMBER(INDEX(Inputs!$K$5:$AJ$120,0,MATCH(X$2,Inputs!$K$4:$AJ$4,0))))=0,NA(),SUMPRODUCT((Inputs!$A$5:$A$120=$B59)*Inputs!$B$5:$B$120*(((Inputs!$G$5:$G$120="moeda")+(Inputs!$G$5:$G$120="acoes"))*Inputs!$B$1+((Inputs!$G$5:$G$120&lt;&gt;"moeda")*(Inputs!$G$5:$G$120&lt;&gt;"acoes")))*INDEX(Inputs!$K$5:$AJ$120,0,MATCH(X$2,Inputs!$K$4:$AJ$4,0)))+SUMPRODUCT((Inputs!$C$5:$C$120=$B59)*Inputs!$D$5:$D$120*(((Inputs!$G$5:$G$120="moeda")+(Inputs!$G$5:$G$120="acoes"))*Inputs!$B$1+((Inputs!$G$5:$G$120&lt;&gt;"moeda")*(Inputs!$G$5:$G$120&lt;&gt;"acoes")))*INDEX(Inputs!$K$5:$AJ$120,0,MATCH(X$2,Inputs!$K$4:$AJ$4,0)))+SUMPRODUCT((Inputs!$E$5:$E$120=$B59)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59" s="513" t="e">
        <f>IF(ISNA(MATCH(Y$2,Inputs!$K$4:$AJ$4,0)),NA(),IF(SUMPRODUCT((Inputs!$A$5:$A$120=$B59)*ISNUMBER(INDEX(Inputs!$K$5:$AJ$120,0,MATCH(Y$2,Inputs!$K$4:$AJ$4,0))))+SUMPRODUCT((Inputs!$C$5:$C$120=$B59)*ISNUMBER(INDEX(Inputs!$K$5:$AJ$120,0,MATCH(Y$2,Inputs!$K$4:$AJ$4,0))))+SUMPRODUCT((Inputs!$E$5:$E$120=$B59)*ISNUMBER(INDEX(Inputs!$K$5:$AJ$120,0,MATCH(Y$2,Inputs!$K$4:$AJ$4,0))))=0,NA(),SUMPRODUCT((Inputs!$A$5:$A$120=$B59)*Inputs!$B$5:$B$120*(((Inputs!$G$5:$G$120="moeda")+(Inputs!$G$5:$G$120="acoes"))*Inputs!$B$1+((Inputs!$G$5:$G$120&lt;&gt;"moeda")*(Inputs!$G$5:$G$120&lt;&gt;"acoes")))*INDEX(Inputs!$K$5:$AJ$120,0,MATCH(Y$2,Inputs!$K$4:$AJ$4,0)))+SUMPRODUCT((Inputs!$C$5:$C$120=$B59)*Inputs!$D$5:$D$120*(((Inputs!$G$5:$G$120="moeda")+(Inputs!$G$5:$G$120="acoes"))*Inputs!$B$1+((Inputs!$G$5:$G$120&lt;&gt;"moeda")*(Inputs!$G$5:$G$120&lt;&gt;"acoes")))*INDEX(Inputs!$K$5:$AJ$120,0,MATCH(Y$2,Inputs!$K$4:$AJ$4,0)))+SUMPRODUCT((Inputs!$E$5:$E$120=$B59)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59" s="513" t="e">
        <f>IF(ISNA(MATCH(Z$2,Inputs!$K$4:$AJ$4,0)),NA(),IF(SUMPRODUCT((Inputs!$A$5:$A$120=$B59)*ISNUMBER(INDEX(Inputs!$K$5:$AJ$120,0,MATCH(Z$2,Inputs!$K$4:$AJ$4,0))))+SUMPRODUCT((Inputs!$C$5:$C$120=$B59)*ISNUMBER(INDEX(Inputs!$K$5:$AJ$120,0,MATCH(Z$2,Inputs!$K$4:$AJ$4,0))))+SUMPRODUCT((Inputs!$E$5:$E$120=$B59)*ISNUMBER(INDEX(Inputs!$K$5:$AJ$120,0,MATCH(Z$2,Inputs!$K$4:$AJ$4,0))))=0,NA(),SUMPRODUCT((Inputs!$A$5:$A$120=$B59)*Inputs!$B$5:$B$120*(((Inputs!$G$5:$G$120="moeda")+(Inputs!$G$5:$G$120="acoes"))*Inputs!$B$1+((Inputs!$G$5:$G$120&lt;&gt;"moeda")*(Inputs!$G$5:$G$120&lt;&gt;"acoes")))*INDEX(Inputs!$K$5:$AJ$120,0,MATCH(Z$2,Inputs!$K$4:$AJ$4,0)))+SUMPRODUCT((Inputs!$C$5:$C$120=$B59)*Inputs!$D$5:$D$120*(((Inputs!$G$5:$G$120="moeda")+(Inputs!$G$5:$G$120="acoes"))*Inputs!$B$1+((Inputs!$G$5:$G$120&lt;&gt;"moeda")*(Inputs!$G$5:$G$120&lt;&gt;"acoes")))*INDEX(Inputs!$K$5:$AJ$120,0,MATCH(Z$2,Inputs!$K$4:$AJ$4,0)))+SUMPRODUCT((Inputs!$E$5:$E$120=$B59)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59" s="513" t="e">
        <f>IF(ISNA(MATCH(AA$2,Inputs!$K$4:$AJ$4,0)),NA(),IF(SUMPRODUCT((Inputs!$A$5:$A$120=$B59)*ISNUMBER(INDEX(Inputs!$K$5:$AJ$120,0,MATCH(AA$2,Inputs!$K$4:$AJ$4,0))))+SUMPRODUCT((Inputs!$C$5:$C$120=$B59)*ISNUMBER(INDEX(Inputs!$K$5:$AJ$120,0,MATCH(AA$2,Inputs!$K$4:$AJ$4,0))))+SUMPRODUCT((Inputs!$E$5:$E$120=$B59)*ISNUMBER(INDEX(Inputs!$K$5:$AJ$120,0,MATCH(AA$2,Inputs!$K$4:$AJ$4,0))))=0,NA(),SUMPRODUCT((Inputs!$A$5:$A$120=$B59)*Inputs!$B$5:$B$120*(((Inputs!$G$5:$G$120="moeda")+(Inputs!$G$5:$G$120="acoes"))*Inputs!$B$1+((Inputs!$G$5:$G$120&lt;&gt;"moeda")*(Inputs!$G$5:$G$120&lt;&gt;"acoes")))*INDEX(Inputs!$K$5:$AJ$120,0,MATCH(AA$2,Inputs!$K$4:$AJ$4,0)))+SUMPRODUCT((Inputs!$C$5:$C$120=$B59)*Inputs!$D$5:$D$120*(((Inputs!$G$5:$G$120="moeda")+(Inputs!$G$5:$G$120="acoes"))*Inputs!$B$1+((Inputs!$G$5:$G$120&lt;&gt;"moeda")*(Inputs!$G$5:$G$120&lt;&gt;"acoes")))*INDEX(Inputs!$K$5:$AJ$120,0,MATCH(AA$2,Inputs!$K$4:$AJ$4,0)))+SUMPRODUCT((Inputs!$E$5:$E$120=$B59)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59" s="514" t="e">
        <f>SUM(X59:AA59)</f>
        <v>#N/A</v>
      </c>
      <c r="AC59" s="513" t="e">
        <f>IF(ISNA(MATCH(AC$2,Inputs!$K$4:$AJ$4,0)),NA(),IF(SUMPRODUCT((Inputs!$A$5:$A$120=$B59)*ISNUMBER(INDEX(Inputs!$K$5:$AJ$120,0,MATCH(AC$2,Inputs!$K$4:$AJ$4,0))))+SUMPRODUCT((Inputs!$C$5:$C$120=$B59)*ISNUMBER(INDEX(Inputs!$K$5:$AJ$120,0,MATCH(AC$2,Inputs!$K$4:$AJ$4,0))))+SUMPRODUCT((Inputs!$E$5:$E$120=$B59)*ISNUMBER(INDEX(Inputs!$K$5:$AJ$120,0,MATCH(AC$2,Inputs!$K$4:$AJ$4,0))))=0,NA(),SUMPRODUCT((Inputs!$A$5:$A$120=$B59)*Inputs!$B$5:$B$120*(((Inputs!$G$5:$G$120="moeda")+(Inputs!$G$5:$G$120="acoes"))*Inputs!$B$1+((Inputs!$G$5:$G$120&lt;&gt;"moeda")*(Inputs!$G$5:$G$120&lt;&gt;"acoes")))*INDEX(Inputs!$K$5:$AJ$120,0,MATCH(AC$2,Inputs!$K$4:$AJ$4,0)))+SUMPRODUCT((Inputs!$C$5:$C$120=$B59)*Inputs!$D$5:$D$120*(((Inputs!$G$5:$G$120="moeda")+(Inputs!$G$5:$G$120="acoes"))*Inputs!$B$1+((Inputs!$G$5:$G$120&lt;&gt;"moeda")*(Inputs!$G$5:$G$120&lt;&gt;"acoes")))*INDEX(Inputs!$K$5:$AJ$120,0,MATCH(AC$2,Inputs!$K$4:$AJ$4,0)))+SUMPRODUCT((Inputs!$E$5:$E$120=$B59)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59" s="513" t="e">
        <f>IF(ISNA(MATCH(AD$2,Inputs!$K$4:$AJ$4,0)),NA(),IF(SUMPRODUCT((Inputs!$A$5:$A$120=$B59)*ISNUMBER(INDEX(Inputs!$K$5:$AJ$120,0,MATCH(AD$2,Inputs!$K$4:$AJ$4,0))))+SUMPRODUCT((Inputs!$C$5:$C$120=$B59)*ISNUMBER(INDEX(Inputs!$K$5:$AJ$120,0,MATCH(AD$2,Inputs!$K$4:$AJ$4,0))))+SUMPRODUCT((Inputs!$E$5:$E$120=$B59)*ISNUMBER(INDEX(Inputs!$K$5:$AJ$120,0,MATCH(AD$2,Inputs!$K$4:$AJ$4,0))))=0,NA(),SUMPRODUCT((Inputs!$A$5:$A$120=$B59)*Inputs!$B$5:$B$120*(((Inputs!$G$5:$G$120="moeda")+(Inputs!$G$5:$G$120="acoes"))*Inputs!$B$1+((Inputs!$G$5:$G$120&lt;&gt;"moeda")*(Inputs!$G$5:$G$120&lt;&gt;"acoes")))*INDEX(Inputs!$K$5:$AJ$120,0,MATCH(AD$2,Inputs!$K$4:$AJ$4,0)))+SUMPRODUCT((Inputs!$C$5:$C$120=$B59)*Inputs!$D$5:$D$120*(((Inputs!$G$5:$G$120="moeda")+(Inputs!$G$5:$G$120="acoes"))*Inputs!$B$1+((Inputs!$G$5:$G$120&lt;&gt;"moeda")*(Inputs!$G$5:$G$120&lt;&gt;"acoes")))*INDEX(Inputs!$K$5:$AJ$120,0,MATCH(AD$2,Inputs!$K$4:$AJ$4,0)))+SUMPRODUCT((Inputs!$E$5:$E$120=$B59)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59" s="513" t="e">
        <f>IF(ISNA(MATCH(AE$2,Inputs!$K$4:$AJ$4,0)),NA(),IF(SUMPRODUCT((Inputs!$A$5:$A$120=$B59)*ISNUMBER(INDEX(Inputs!$K$5:$AJ$120,0,MATCH(AE$2,Inputs!$K$4:$AJ$4,0))))+SUMPRODUCT((Inputs!$C$5:$C$120=$B59)*ISNUMBER(INDEX(Inputs!$K$5:$AJ$120,0,MATCH(AE$2,Inputs!$K$4:$AJ$4,0))))+SUMPRODUCT((Inputs!$E$5:$E$120=$B59)*ISNUMBER(INDEX(Inputs!$K$5:$AJ$120,0,MATCH(AE$2,Inputs!$K$4:$AJ$4,0))))=0,NA(),SUMPRODUCT((Inputs!$A$5:$A$120=$B59)*Inputs!$B$5:$B$120*(((Inputs!$G$5:$G$120="moeda")+(Inputs!$G$5:$G$120="acoes"))*Inputs!$B$1+((Inputs!$G$5:$G$120&lt;&gt;"moeda")*(Inputs!$G$5:$G$120&lt;&gt;"acoes")))*INDEX(Inputs!$K$5:$AJ$120,0,MATCH(AE$2,Inputs!$K$4:$AJ$4,0)))+SUMPRODUCT((Inputs!$C$5:$C$120=$B59)*Inputs!$D$5:$D$120*(((Inputs!$G$5:$G$120="moeda")+(Inputs!$G$5:$G$120="acoes"))*Inputs!$B$1+((Inputs!$G$5:$G$120&lt;&gt;"moeda")*(Inputs!$G$5:$G$120&lt;&gt;"acoes")))*INDEX(Inputs!$K$5:$AJ$120,0,MATCH(AE$2,Inputs!$K$4:$AJ$4,0)))+SUMPRODUCT((Inputs!$E$5:$E$120=$B59)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59" s="513" t="e">
        <f>IF(ISNA(MATCH(AF$2,Inputs!$K$4:$AJ$4,0)),NA(),IF(SUMPRODUCT((Inputs!$A$5:$A$120=$B59)*ISNUMBER(INDEX(Inputs!$K$5:$AJ$120,0,MATCH(AF$2,Inputs!$K$4:$AJ$4,0))))+SUMPRODUCT((Inputs!$C$5:$C$120=$B59)*ISNUMBER(INDEX(Inputs!$K$5:$AJ$120,0,MATCH(AF$2,Inputs!$K$4:$AJ$4,0))))+SUMPRODUCT((Inputs!$E$5:$E$120=$B59)*ISNUMBER(INDEX(Inputs!$K$5:$AJ$120,0,MATCH(AF$2,Inputs!$K$4:$AJ$4,0))))=0,NA(),SUMPRODUCT((Inputs!$A$5:$A$120=$B59)*Inputs!$B$5:$B$120*(((Inputs!$G$5:$G$120="moeda")+(Inputs!$G$5:$G$120="acoes"))*Inputs!$B$1+((Inputs!$G$5:$G$120&lt;&gt;"moeda")*(Inputs!$G$5:$G$120&lt;&gt;"acoes")))*INDEX(Inputs!$K$5:$AJ$120,0,MATCH(AF$2,Inputs!$K$4:$AJ$4,0)))+SUMPRODUCT((Inputs!$C$5:$C$120=$B59)*Inputs!$D$5:$D$120*(((Inputs!$G$5:$G$120="moeda")+(Inputs!$G$5:$G$120="acoes"))*Inputs!$B$1+((Inputs!$G$5:$G$120&lt;&gt;"moeda")*(Inputs!$G$5:$G$120&lt;&gt;"acoes")))*INDEX(Inputs!$K$5:$AJ$120,0,MATCH(AF$2,Inputs!$K$4:$AJ$4,0)))+SUMPRODUCT((Inputs!$E$5:$E$120=$B59)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59" s="514" t="e">
        <f>SUM(AC59:AF59)</f>
        <v>#N/A</v>
      </c>
      <c r="AH59" s="513">
        <f>IF(ISNA(MATCH(AH$2,Inputs!$K$4:$AJ$4,0)),NA(),IF(SUMPRODUCT((Inputs!$A$5:$A$120=$B59)*ISNUMBER(INDEX(Inputs!$K$5:$AJ$120,0,MATCH(AH$2,Inputs!$K$4:$AJ$4,0))))+SUMPRODUCT((Inputs!$C$5:$C$120=$B59)*ISNUMBER(INDEX(Inputs!$K$5:$AJ$120,0,MATCH(AH$2,Inputs!$K$4:$AJ$4,0))))+SUMPRODUCT((Inputs!$E$5:$E$120=$B59)*ISNUMBER(INDEX(Inputs!$K$5:$AJ$120,0,MATCH(AH$2,Inputs!$K$4:$AJ$4,0))))=0,NA(),SUMPRODUCT((Inputs!$A$5:$A$120=$B59)*Inputs!$B$5:$B$120*(((Inputs!$G$5:$G$120="moeda")+(Inputs!$G$5:$G$120="acoes"))*Inputs!$B$1+((Inputs!$G$5:$G$120&lt;&gt;"moeda")*(Inputs!$G$5:$G$120&lt;&gt;"acoes")))*INDEX(Inputs!$K$5:$AJ$120,0,MATCH(AH$2,Inputs!$K$4:$AJ$4,0)))+SUMPRODUCT((Inputs!$C$5:$C$120=$B59)*Inputs!$D$5:$D$120*(((Inputs!$G$5:$G$120="moeda")+(Inputs!$G$5:$G$120="acoes"))*Inputs!$B$1+((Inputs!$G$5:$G$120&lt;&gt;"moeda")*(Inputs!$G$5:$G$120&lt;&gt;"acoes")))*INDEX(Inputs!$K$5:$AJ$120,0,MATCH(AH$2,Inputs!$K$4:$AJ$4,0)))+SUMPRODUCT((Inputs!$E$5:$E$120=$B59)*Inputs!$F$5:$F$120*(((Inputs!$G$5:$G$120="moeda")+(Inputs!$G$5:$G$120="acoes"))*Inputs!$B$1+((Inputs!$G$5:$G$120&lt;&gt;"moeda")*(Inputs!$G$5:$G$120&lt;&gt;"acoes")))*INDEX(Inputs!$K$5:$AJ$120,0,MATCH(AH$2,Inputs!$K$4:$AJ$4,0)))))</f>
        <v>50</v>
      </c>
      <c r="AI59" s="513">
        <f>IF(ISNA(MATCH(AI$2,Inputs!$K$4:$AJ$4,0)),NA(),IF(SUMPRODUCT((Inputs!$A$5:$A$120=$B59)*ISNUMBER(INDEX(Inputs!$K$5:$AJ$120,0,MATCH(AI$2,Inputs!$K$4:$AJ$4,0))))+SUMPRODUCT((Inputs!$C$5:$C$120=$B59)*ISNUMBER(INDEX(Inputs!$K$5:$AJ$120,0,MATCH(AI$2,Inputs!$K$4:$AJ$4,0))))+SUMPRODUCT((Inputs!$E$5:$E$120=$B59)*ISNUMBER(INDEX(Inputs!$K$5:$AJ$120,0,MATCH(AI$2,Inputs!$K$4:$AJ$4,0))))=0,NA(),SUMPRODUCT((Inputs!$A$5:$A$120=$B59)*Inputs!$B$5:$B$120*(((Inputs!$G$5:$G$120="moeda")+(Inputs!$G$5:$G$120="acoes"))*Inputs!$B$1+((Inputs!$G$5:$G$120&lt;&gt;"moeda")*(Inputs!$G$5:$G$120&lt;&gt;"acoes")))*INDEX(Inputs!$K$5:$AJ$120,0,MATCH(AI$2,Inputs!$K$4:$AJ$4,0)))+SUMPRODUCT((Inputs!$C$5:$C$120=$B59)*Inputs!$D$5:$D$120*(((Inputs!$G$5:$G$120="moeda")+(Inputs!$G$5:$G$120="acoes"))*Inputs!$B$1+((Inputs!$G$5:$G$120&lt;&gt;"moeda")*(Inputs!$G$5:$G$120&lt;&gt;"acoes")))*INDEX(Inputs!$K$5:$AJ$120,0,MATCH(AI$2,Inputs!$K$4:$AJ$4,0)))+SUMPRODUCT((Inputs!$E$5:$E$120=$B59)*Inputs!$F$5:$F$120*(((Inputs!$G$5:$G$120="moeda")+(Inputs!$G$5:$G$120="acoes"))*Inputs!$B$1+((Inputs!$G$5:$G$120&lt;&gt;"moeda")*(Inputs!$G$5:$G$120&lt;&gt;"acoes")))*INDEX(Inputs!$K$5:$AJ$120,0,MATCH(AI$2,Inputs!$K$4:$AJ$4,0)))))</f>
        <v>26</v>
      </c>
      <c r="AJ59" s="513">
        <f>IF(ISNA(MATCH(AJ$2,Inputs!$K$4:$AJ$4,0)),NA(),IF(SUMPRODUCT((Inputs!$A$5:$A$120=$B59)*ISNUMBER(INDEX(Inputs!$K$5:$AJ$120,0,MATCH(AJ$2,Inputs!$K$4:$AJ$4,0))))+SUMPRODUCT((Inputs!$C$5:$C$120=$B59)*ISNUMBER(INDEX(Inputs!$K$5:$AJ$120,0,MATCH(AJ$2,Inputs!$K$4:$AJ$4,0))))+SUMPRODUCT((Inputs!$E$5:$E$120=$B59)*ISNUMBER(INDEX(Inputs!$K$5:$AJ$120,0,MATCH(AJ$2,Inputs!$K$4:$AJ$4,0))))=0,NA(),SUMPRODUCT((Inputs!$A$5:$A$120=$B59)*Inputs!$B$5:$B$120*(((Inputs!$G$5:$G$120="moeda")+(Inputs!$G$5:$G$120="acoes"))*Inputs!$B$1+((Inputs!$G$5:$G$120&lt;&gt;"moeda")*(Inputs!$G$5:$G$120&lt;&gt;"acoes")))*INDEX(Inputs!$K$5:$AJ$120,0,MATCH(AJ$2,Inputs!$K$4:$AJ$4,0)))+SUMPRODUCT((Inputs!$C$5:$C$120=$B59)*Inputs!$D$5:$D$120*(((Inputs!$G$5:$G$120="moeda")+(Inputs!$G$5:$G$120="acoes"))*Inputs!$B$1+((Inputs!$G$5:$G$120&lt;&gt;"moeda")*(Inputs!$G$5:$G$120&lt;&gt;"acoes")))*INDEX(Inputs!$K$5:$AJ$120,0,MATCH(AJ$2,Inputs!$K$4:$AJ$4,0)))+SUMPRODUCT((Inputs!$E$5:$E$120=$B59)*Inputs!$F$5:$F$120*(((Inputs!$G$5:$G$120="moeda")+(Inputs!$G$5:$G$120="acoes"))*Inputs!$B$1+((Inputs!$G$5:$G$120&lt;&gt;"moeda")*(Inputs!$G$5:$G$120&lt;&gt;"acoes")))*INDEX(Inputs!$K$5:$AJ$120,0,MATCH(AJ$2,Inputs!$K$4:$AJ$4,0)))))</f>
        <v>49</v>
      </c>
      <c r="AK59" s="513">
        <f>IF(ISNA(MATCH(AK$2,Inputs!$K$4:$AJ$4,0)),NA(),IF(SUMPRODUCT((Inputs!$A$5:$A$120=$B59)*ISNUMBER(INDEX(Inputs!$K$5:$AJ$120,0,MATCH(AK$2,Inputs!$K$4:$AJ$4,0))))+SUMPRODUCT((Inputs!$C$5:$C$120=$B59)*ISNUMBER(INDEX(Inputs!$K$5:$AJ$120,0,MATCH(AK$2,Inputs!$K$4:$AJ$4,0))))+SUMPRODUCT((Inputs!$E$5:$E$120=$B59)*ISNUMBER(INDEX(Inputs!$K$5:$AJ$120,0,MATCH(AK$2,Inputs!$K$4:$AJ$4,0))))=0,NA(),SUMPRODUCT((Inputs!$A$5:$A$120=$B59)*Inputs!$B$5:$B$120*(((Inputs!$G$5:$G$120="moeda")+(Inputs!$G$5:$G$120="acoes"))*Inputs!$B$1+((Inputs!$G$5:$G$120&lt;&gt;"moeda")*(Inputs!$G$5:$G$120&lt;&gt;"acoes")))*INDEX(Inputs!$K$5:$AJ$120,0,MATCH(AK$2,Inputs!$K$4:$AJ$4,0)))+SUMPRODUCT((Inputs!$C$5:$C$120=$B59)*Inputs!$D$5:$D$120*(((Inputs!$G$5:$G$120="moeda")+(Inputs!$G$5:$G$120="acoes"))*Inputs!$B$1+((Inputs!$G$5:$G$120&lt;&gt;"moeda")*(Inputs!$G$5:$G$120&lt;&gt;"acoes")))*INDEX(Inputs!$K$5:$AJ$120,0,MATCH(AK$2,Inputs!$K$4:$AJ$4,0)))+SUMPRODUCT((Inputs!$E$5:$E$120=$B59)*Inputs!$F$5:$F$120*(((Inputs!$G$5:$G$120="moeda")+(Inputs!$G$5:$G$120="acoes"))*Inputs!$B$1+((Inputs!$G$5:$G$120&lt;&gt;"moeda")*(Inputs!$G$5:$G$120&lt;&gt;"acoes")))*INDEX(Inputs!$K$5:$AJ$120,0,MATCH(AK$2,Inputs!$K$4:$AJ$4,0)))))</f>
        <v>17</v>
      </c>
      <c r="AL59" s="514">
        <f>SUM(AH59:AK59)</f>
        <v>142</v>
      </c>
    </row>
    <row r="60">
      <c r="B60" s="265" t="n">
        <v>52</v>
      </c>
      <c r="C60" s="266" t="inlineStr">
        <is>
          <t>Sugar &amp; Bioenergy - lucro do segmento (USD)</t>
        </is>
      </c>
      <c r="D60" s="513">
        <f>IF(ISNA(MATCH(D$2,Inputs!$K$4:$AJ$4,0)),NA(),IF(SUMPRODUCT((Inputs!$A$5:$A$120=$B60)*ISNUMBER(INDEX(Inputs!$K$5:$AJ$120,0,MATCH(D$2,Inputs!$K$4:$AJ$4,0))))+SUMPRODUCT((Inputs!$C$5:$C$120=$B60)*ISNUMBER(INDEX(Inputs!$K$5:$AJ$120,0,MATCH(D$2,Inputs!$K$4:$AJ$4,0))))+SUMPRODUCT((Inputs!$E$5:$E$120=$B60)*ISNUMBER(INDEX(Inputs!$K$5:$AJ$120,0,MATCH(D$2,Inputs!$K$4:$AJ$4,0))))=0,NA(),SUMPRODUCT((Inputs!$A$5:$A$120=$B60)*Inputs!$B$5:$B$120*(((Inputs!$G$5:$G$120="moeda")+(Inputs!$G$5:$G$120="acoes"))*Inputs!$B$1+((Inputs!$G$5:$G$120&lt;&gt;"moeda")*(Inputs!$G$5:$G$120&lt;&gt;"acoes")))*INDEX(Inputs!$K$5:$AJ$120,0,MATCH(D$2,Inputs!$K$4:$AJ$4,0)))+SUMPRODUCT((Inputs!$C$5:$C$120=$B60)*Inputs!$D$5:$D$120*(((Inputs!$G$5:$G$120="moeda")+(Inputs!$G$5:$G$120="acoes"))*Inputs!$B$1+((Inputs!$G$5:$G$120&lt;&gt;"moeda")*(Inputs!$G$5:$G$120&lt;&gt;"acoes")))*INDEX(Inputs!$K$5:$AJ$120,0,MATCH(D$2,Inputs!$K$4:$AJ$4,0)))+SUMPRODUCT((Inputs!$E$5:$E$120=$B60)*Inputs!$F$5:$F$120*(((Inputs!$G$5:$G$120="moeda")+(Inputs!$G$5:$G$120="acoes"))*Inputs!$B$1+((Inputs!$G$5:$G$120&lt;&gt;"moeda")*(Inputs!$G$5:$G$120&lt;&gt;"acoes")))*INDEX(Inputs!$K$5:$AJ$120,0,MATCH(D$2,Inputs!$K$4:$AJ$4,0)))))</f>
        <v>0</v>
      </c>
      <c r="E60" s="513">
        <f>IF(ISNA(MATCH(E$2,Inputs!$K$4:$AJ$4,0)),NA(),IF(SUMPRODUCT((Inputs!$A$5:$A$120=$B60)*ISNUMBER(INDEX(Inputs!$K$5:$AJ$120,0,MATCH(E$2,Inputs!$K$4:$AJ$4,0))))+SUMPRODUCT((Inputs!$C$5:$C$120=$B60)*ISNUMBER(INDEX(Inputs!$K$5:$AJ$120,0,MATCH(E$2,Inputs!$K$4:$AJ$4,0))))+SUMPRODUCT((Inputs!$E$5:$E$120=$B60)*ISNUMBER(INDEX(Inputs!$K$5:$AJ$120,0,MATCH(E$2,Inputs!$K$4:$AJ$4,0))))=0,NA(),SUMPRODUCT((Inputs!$A$5:$A$120=$B60)*Inputs!$B$5:$B$120*(((Inputs!$G$5:$G$120="moeda")+(Inputs!$G$5:$G$120="acoes"))*Inputs!$B$1+((Inputs!$G$5:$G$120&lt;&gt;"moeda")*(Inputs!$G$5:$G$120&lt;&gt;"acoes")))*INDEX(Inputs!$K$5:$AJ$120,0,MATCH(E$2,Inputs!$K$4:$AJ$4,0)))+SUMPRODUCT((Inputs!$C$5:$C$120=$B60)*Inputs!$D$5:$D$120*(((Inputs!$G$5:$G$120="moeda")+(Inputs!$G$5:$G$120="acoes"))*Inputs!$B$1+((Inputs!$G$5:$G$120&lt;&gt;"moeda")*(Inputs!$G$5:$G$120&lt;&gt;"acoes")))*INDEX(Inputs!$K$5:$AJ$120,0,MATCH(E$2,Inputs!$K$4:$AJ$4,0)))+SUMPRODUCT((Inputs!$E$5:$E$120=$B60)*Inputs!$F$5:$F$120*(((Inputs!$G$5:$G$120="moeda")+(Inputs!$G$5:$G$120="acoes"))*Inputs!$B$1+((Inputs!$G$5:$G$120&lt;&gt;"moeda")*(Inputs!$G$5:$G$120&lt;&gt;"acoes")))*INDEX(Inputs!$K$5:$AJ$120,0,MATCH(E$2,Inputs!$K$4:$AJ$4,0)))))</f>
        <v>1</v>
      </c>
      <c r="F60" s="513">
        <f>IF(ISNA(MATCH(F$2,Inputs!$K$4:$AJ$4,0)),NA(),IF(SUMPRODUCT((Inputs!$A$5:$A$120=$B60)*ISNUMBER(INDEX(Inputs!$K$5:$AJ$120,0,MATCH(F$2,Inputs!$K$4:$AJ$4,0))))+SUMPRODUCT((Inputs!$C$5:$C$120=$B60)*ISNUMBER(INDEX(Inputs!$K$5:$AJ$120,0,MATCH(F$2,Inputs!$K$4:$AJ$4,0))))+SUMPRODUCT((Inputs!$E$5:$E$120=$B60)*ISNUMBER(INDEX(Inputs!$K$5:$AJ$120,0,MATCH(F$2,Inputs!$K$4:$AJ$4,0))))=0,NA(),SUMPRODUCT((Inputs!$A$5:$A$120=$B60)*Inputs!$B$5:$B$120*(((Inputs!$G$5:$G$120="moeda")+(Inputs!$G$5:$G$120="acoes"))*Inputs!$B$1+((Inputs!$G$5:$G$120&lt;&gt;"moeda")*(Inputs!$G$5:$G$120&lt;&gt;"acoes")))*INDEX(Inputs!$K$5:$AJ$120,0,MATCH(F$2,Inputs!$K$4:$AJ$4,0)))+SUMPRODUCT((Inputs!$C$5:$C$120=$B60)*Inputs!$D$5:$D$120*(((Inputs!$G$5:$G$120="moeda")+(Inputs!$G$5:$G$120="acoes"))*Inputs!$B$1+((Inputs!$G$5:$G$120&lt;&gt;"moeda")*(Inputs!$G$5:$G$120&lt;&gt;"acoes")))*INDEX(Inputs!$K$5:$AJ$120,0,MATCH(F$2,Inputs!$K$4:$AJ$4,0)))+SUMPRODUCT((Inputs!$E$5:$E$120=$B60)*Inputs!$F$5:$F$120*(((Inputs!$G$5:$G$120="moeda")+(Inputs!$G$5:$G$120="acoes"))*Inputs!$B$1+((Inputs!$G$5:$G$120&lt;&gt;"moeda")*(Inputs!$G$5:$G$120&lt;&gt;"acoes")))*INDEX(Inputs!$K$5:$AJ$120,0,MATCH(F$2,Inputs!$K$4:$AJ$4,0)))))</f>
        <v>2</v>
      </c>
      <c r="G60" s="513" t="e">
        <f>IF(ISNA(MATCH(G$2,Inputs!$K$4:$AJ$4,0)),NA(),IF(SUMPRODUCT((Inputs!$A$5:$A$120=$B60)*ISNUMBER(INDEX(Inputs!$K$5:$AJ$120,0,MATCH(G$2,Inputs!$K$4:$AJ$4,0))))+SUMPRODUCT((Inputs!$C$5:$C$120=$B60)*ISNUMBER(INDEX(Inputs!$K$5:$AJ$120,0,MATCH(G$2,Inputs!$K$4:$AJ$4,0))))+SUMPRODUCT((Inputs!$E$5:$E$120=$B60)*ISNUMBER(INDEX(Inputs!$K$5:$AJ$120,0,MATCH(G$2,Inputs!$K$4:$AJ$4,0))))=0,NA(),SUMPRODUCT((Inputs!$A$5:$A$120=$B60)*Inputs!$B$5:$B$120*(((Inputs!$G$5:$G$120="moeda")+(Inputs!$G$5:$G$120="acoes"))*Inputs!$B$1+((Inputs!$G$5:$G$120&lt;&gt;"moeda")*(Inputs!$G$5:$G$120&lt;&gt;"acoes")))*INDEX(Inputs!$K$5:$AJ$120,0,MATCH(G$2,Inputs!$K$4:$AJ$4,0)))+SUMPRODUCT((Inputs!$C$5:$C$120=$B60)*Inputs!$D$5:$D$120*(((Inputs!$G$5:$G$120="moeda")+(Inputs!$G$5:$G$120="acoes"))*Inputs!$B$1+((Inputs!$G$5:$G$120&lt;&gt;"moeda")*(Inputs!$G$5:$G$120&lt;&gt;"acoes")))*INDEX(Inputs!$K$5:$AJ$120,0,MATCH(G$2,Inputs!$K$4:$AJ$4,0)))+SUMPRODUCT((Inputs!$E$5:$E$120=$B60)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0" s="514" t="e">
        <f>SUM(D60:G60)</f>
        <v>#N/A</v>
      </c>
      <c r="I60" s="513">
        <f>IF(ISNA(MATCH(I$2,Inputs!$K$4:$AJ$4,0)),NA(),IF(SUMPRODUCT((Inputs!$A$5:$A$120=$B60)*ISNUMBER(INDEX(Inputs!$K$5:$AJ$120,0,MATCH(I$2,Inputs!$K$4:$AJ$4,0))))+SUMPRODUCT((Inputs!$C$5:$C$120=$B60)*ISNUMBER(INDEX(Inputs!$K$5:$AJ$120,0,MATCH(I$2,Inputs!$K$4:$AJ$4,0))))+SUMPRODUCT((Inputs!$E$5:$E$120=$B60)*ISNUMBER(INDEX(Inputs!$K$5:$AJ$120,0,MATCH(I$2,Inputs!$K$4:$AJ$4,0))))=0,NA(),SUMPRODUCT((Inputs!$A$5:$A$120=$B60)*Inputs!$B$5:$B$120*(((Inputs!$G$5:$G$120="moeda")+(Inputs!$G$5:$G$120="acoes"))*Inputs!$B$1+((Inputs!$G$5:$G$120&lt;&gt;"moeda")*(Inputs!$G$5:$G$120&lt;&gt;"acoes")))*INDEX(Inputs!$K$5:$AJ$120,0,MATCH(I$2,Inputs!$K$4:$AJ$4,0)))+SUMPRODUCT((Inputs!$C$5:$C$120=$B60)*Inputs!$D$5:$D$120*(((Inputs!$G$5:$G$120="moeda")+(Inputs!$G$5:$G$120="acoes"))*Inputs!$B$1+((Inputs!$G$5:$G$120&lt;&gt;"moeda")*(Inputs!$G$5:$G$120&lt;&gt;"acoes")))*INDEX(Inputs!$K$5:$AJ$120,0,MATCH(I$2,Inputs!$K$4:$AJ$4,0)))+SUMPRODUCT((Inputs!$E$5:$E$120=$B60)*Inputs!$F$5:$F$120*(((Inputs!$G$5:$G$120="moeda")+(Inputs!$G$5:$G$120="acoes"))*Inputs!$B$1+((Inputs!$G$5:$G$120&lt;&gt;"moeda")*(Inputs!$G$5:$G$120&lt;&gt;"acoes")))*INDEX(Inputs!$K$5:$AJ$120,0,MATCH(I$2,Inputs!$K$4:$AJ$4,0)))))</f>
        <v>2</v>
      </c>
      <c r="J60" s="513">
        <f>IF(ISNA(MATCH(J$2,Inputs!$K$4:$AJ$4,0)),NA(),IF(SUMPRODUCT((Inputs!$A$5:$A$120=$B60)*ISNUMBER(INDEX(Inputs!$K$5:$AJ$120,0,MATCH(J$2,Inputs!$K$4:$AJ$4,0))))+SUMPRODUCT((Inputs!$C$5:$C$120=$B60)*ISNUMBER(INDEX(Inputs!$K$5:$AJ$120,0,MATCH(J$2,Inputs!$K$4:$AJ$4,0))))+SUMPRODUCT((Inputs!$E$5:$E$120=$B60)*ISNUMBER(INDEX(Inputs!$K$5:$AJ$120,0,MATCH(J$2,Inputs!$K$4:$AJ$4,0))))=0,NA(),SUMPRODUCT((Inputs!$A$5:$A$120=$B60)*Inputs!$B$5:$B$120*(((Inputs!$G$5:$G$120="moeda")+(Inputs!$G$5:$G$120="acoes"))*Inputs!$B$1+((Inputs!$G$5:$G$120&lt;&gt;"moeda")*(Inputs!$G$5:$G$120&lt;&gt;"acoes")))*INDEX(Inputs!$K$5:$AJ$120,0,MATCH(J$2,Inputs!$K$4:$AJ$4,0)))+SUMPRODUCT((Inputs!$C$5:$C$120=$B60)*Inputs!$D$5:$D$120*(((Inputs!$G$5:$G$120="moeda")+(Inputs!$G$5:$G$120="acoes"))*Inputs!$B$1+((Inputs!$G$5:$G$120&lt;&gt;"moeda")*(Inputs!$G$5:$G$120&lt;&gt;"acoes")))*INDEX(Inputs!$K$5:$AJ$120,0,MATCH(J$2,Inputs!$K$4:$AJ$4,0)))+SUMPRODUCT((Inputs!$E$5:$E$120=$B60)*Inputs!$F$5:$F$120*(((Inputs!$G$5:$G$120="moeda")+(Inputs!$G$5:$G$120="acoes"))*Inputs!$B$1+((Inputs!$G$5:$G$120&lt;&gt;"moeda")*(Inputs!$G$5:$G$120&lt;&gt;"acoes")))*INDEX(Inputs!$K$5:$AJ$120,0,MATCH(J$2,Inputs!$K$4:$AJ$4,0)))))</f>
        <v>2</v>
      </c>
      <c r="K60" s="513">
        <f>IF(ISNA(MATCH(K$2,Inputs!$K$4:$AJ$4,0)),NA(),IF(SUMPRODUCT((Inputs!$A$5:$A$120=$B60)*ISNUMBER(INDEX(Inputs!$K$5:$AJ$120,0,MATCH(K$2,Inputs!$K$4:$AJ$4,0))))+SUMPRODUCT((Inputs!$C$5:$C$120=$B60)*ISNUMBER(INDEX(Inputs!$K$5:$AJ$120,0,MATCH(K$2,Inputs!$K$4:$AJ$4,0))))+SUMPRODUCT((Inputs!$E$5:$E$120=$B60)*ISNUMBER(INDEX(Inputs!$K$5:$AJ$120,0,MATCH(K$2,Inputs!$K$4:$AJ$4,0))))=0,NA(),SUMPRODUCT((Inputs!$A$5:$A$120=$B60)*Inputs!$B$5:$B$120*(((Inputs!$G$5:$G$120="moeda")+(Inputs!$G$5:$G$120="acoes"))*Inputs!$B$1+((Inputs!$G$5:$G$120&lt;&gt;"moeda")*(Inputs!$G$5:$G$120&lt;&gt;"acoes")))*INDEX(Inputs!$K$5:$AJ$120,0,MATCH(K$2,Inputs!$K$4:$AJ$4,0)))+SUMPRODUCT((Inputs!$C$5:$C$120=$B60)*Inputs!$D$5:$D$120*(((Inputs!$G$5:$G$120="moeda")+(Inputs!$G$5:$G$120="acoes"))*Inputs!$B$1+((Inputs!$G$5:$G$120&lt;&gt;"moeda")*(Inputs!$G$5:$G$120&lt;&gt;"acoes")))*INDEX(Inputs!$K$5:$AJ$120,0,MATCH(K$2,Inputs!$K$4:$AJ$4,0)))+SUMPRODUCT((Inputs!$E$5:$E$120=$B60)*Inputs!$F$5:$F$120*(((Inputs!$G$5:$G$120="moeda")+(Inputs!$G$5:$G$120="acoes"))*Inputs!$B$1+((Inputs!$G$5:$G$120&lt;&gt;"moeda")*(Inputs!$G$5:$G$120&lt;&gt;"acoes")))*INDEX(Inputs!$K$5:$AJ$120,0,MATCH(K$2,Inputs!$K$4:$AJ$4,0)))))</f>
        <v>2</v>
      </c>
      <c r="L60" s="513" t="e">
        <f>IF(ISNA(MATCH(L$2,Inputs!$K$4:$AJ$4,0)),NA(),IF(SUMPRODUCT((Inputs!$A$5:$A$120=$B60)*ISNUMBER(INDEX(Inputs!$K$5:$AJ$120,0,MATCH(L$2,Inputs!$K$4:$AJ$4,0))))+SUMPRODUCT((Inputs!$C$5:$C$120=$B60)*ISNUMBER(INDEX(Inputs!$K$5:$AJ$120,0,MATCH(L$2,Inputs!$K$4:$AJ$4,0))))+SUMPRODUCT((Inputs!$E$5:$E$120=$B60)*ISNUMBER(INDEX(Inputs!$K$5:$AJ$120,0,MATCH(L$2,Inputs!$K$4:$AJ$4,0))))=0,NA(),SUMPRODUCT((Inputs!$A$5:$A$120=$B60)*Inputs!$B$5:$B$120*(((Inputs!$G$5:$G$120="moeda")+(Inputs!$G$5:$G$120="acoes"))*Inputs!$B$1+((Inputs!$G$5:$G$120&lt;&gt;"moeda")*(Inputs!$G$5:$G$120&lt;&gt;"acoes")))*INDEX(Inputs!$K$5:$AJ$120,0,MATCH(L$2,Inputs!$K$4:$AJ$4,0)))+SUMPRODUCT((Inputs!$C$5:$C$120=$B60)*Inputs!$D$5:$D$120*(((Inputs!$G$5:$G$120="moeda")+(Inputs!$G$5:$G$120="acoes"))*Inputs!$B$1+((Inputs!$G$5:$G$120&lt;&gt;"moeda")*(Inputs!$G$5:$G$120&lt;&gt;"acoes")))*INDEX(Inputs!$K$5:$AJ$120,0,MATCH(L$2,Inputs!$K$4:$AJ$4,0)))+SUMPRODUCT((Inputs!$E$5:$E$120=$B60)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0" s="514" t="e">
        <f>SUM(I60:L60)</f>
        <v>#N/A</v>
      </c>
      <c r="N60" s="513">
        <f>IF(ISNA(MATCH(N$2,Inputs!$K$4:$AJ$4,0)),NA(),IF(SUMPRODUCT((Inputs!$A$5:$A$120=$B60)*ISNUMBER(INDEX(Inputs!$K$5:$AJ$120,0,MATCH(N$2,Inputs!$K$4:$AJ$4,0))))+SUMPRODUCT((Inputs!$C$5:$C$120=$B60)*ISNUMBER(INDEX(Inputs!$K$5:$AJ$120,0,MATCH(N$2,Inputs!$K$4:$AJ$4,0))))+SUMPRODUCT((Inputs!$E$5:$E$120=$B60)*ISNUMBER(INDEX(Inputs!$K$5:$AJ$120,0,MATCH(N$2,Inputs!$K$4:$AJ$4,0))))=0,NA(),SUMPRODUCT((Inputs!$A$5:$A$120=$B60)*Inputs!$B$5:$B$120*(((Inputs!$G$5:$G$120="moeda")+(Inputs!$G$5:$G$120="acoes"))*Inputs!$B$1+((Inputs!$G$5:$G$120&lt;&gt;"moeda")*(Inputs!$G$5:$G$120&lt;&gt;"acoes")))*INDEX(Inputs!$K$5:$AJ$120,0,MATCH(N$2,Inputs!$K$4:$AJ$4,0)))+SUMPRODUCT((Inputs!$C$5:$C$120=$B60)*Inputs!$D$5:$D$120*(((Inputs!$G$5:$G$120="moeda")+(Inputs!$G$5:$G$120="acoes"))*Inputs!$B$1+((Inputs!$G$5:$G$120&lt;&gt;"moeda")*(Inputs!$G$5:$G$120&lt;&gt;"acoes")))*INDEX(Inputs!$K$5:$AJ$120,0,MATCH(N$2,Inputs!$K$4:$AJ$4,0)))+SUMPRODUCT((Inputs!$E$5:$E$120=$B60)*Inputs!$F$5:$F$120*(((Inputs!$G$5:$G$120="moeda")+(Inputs!$G$5:$G$120="acoes"))*Inputs!$B$1+((Inputs!$G$5:$G$120&lt;&gt;"moeda")*(Inputs!$G$5:$G$120&lt;&gt;"acoes")))*INDEX(Inputs!$K$5:$AJ$120,0,MATCH(N$2,Inputs!$K$4:$AJ$4,0)))))</f>
        <v>0</v>
      </c>
      <c r="O60" s="513">
        <f>IF(ISNA(MATCH(O$2,Inputs!$K$4:$AJ$4,0)),NA(),IF(SUMPRODUCT((Inputs!$A$5:$A$120=$B60)*ISNUMBER(INDEX(Inputs!$K$5:$AJ$120,0,MATCH(O$2,Inputs!$K$4:$AJ$4,0))))+SUMPRODUCT((Inputs!$C$5:$C$120=$B60)*ISNUMBER(INDEX(Inputs!$K$5:$AJ$120,0,MATCH(O$2,Inputs!$K$4:$AJ$4,0))))+SUMPRODUCT((Inputs!$E$5:$E$120=$B60)*ISNUMBER(INDEX(Inputs!$K$5:$AJ$120,0,MATCH(O$2,Inputs!$K$4:$AJ$4,0))))=0,NA(),SUMPRODUCT((Inputs!$A$5:$A$120=$B60)*Inputs!$B$5:$B$120*(((Inputs!$G$5:$G$120="moeda")+(Inputs!$G$5:$G$120="acoes"))*Inputs!$B$1+((Inputs!$G$5:$G$120&lt;&gt;"moeda")*(Inputs!$G$5:$G$120&lt;&gt;"acoes")))*INDEX(Inputs!$K$5:$AJ$120,0,MATCH(O$2,Inputs!$K$4:$AJ$4,0)))+SUMPRODUCT((Inputs!$C$5:$C$120=$B60)*Inputs!$D$5:$D$120*(((Inputs!$G$5:$G$120="moeda")+(Inputs!$G$5:$G$120="acoes"))*Inputs!$B$1+((Inputs!$G$5:$G$120&lt;&gt;"moeda")*(Inputs!$G$5:$G$120&lt;&gt;"acoes")))*INDEX(Inputs!$K$5:$AJ$120,0,MATCH(O$2,Inputs!$K$4:$AJ$4,0)))+SUMPRODUCT((Inputs!$E$5:$E$120=$B60)*Inputs!$F$5:$F$120*(((Inputs!$G$5:$G$120="moeda")+(Inputs!$G$5:$G$120="acoes"))*Inputs!$B$1+((Inputs!$G$5:$G$120&lt;&gt;"moeda")*(Inputs!$G$5:$G$120&lt;&gt;"acoes")))*INDEX(Inputs!$K$5:$AJ$120,0,MATCH(O$2,Inputs!$K$4:$AJ$4,0)))))</f>
        <v>2</v>
      </c>
      <c r="P60" s="513">
        <f>IF(ISNA(MATCH(P$2,Inputs!$K$4:$AJ$4,0)),NA(),IF(SUMPRODUCT((Inputs!$A$5:$A$120=$B60)*ISNUMBER(INDEX(Inputs!$K$5:$AJ$120,0,MATCH(P$2,Inputs!$K$4:$AJ$4,0))))+SUMPRODUCT((Inputs!$C$5:$C$120=$B60)*ISNUMBER(INDEX(Inputs!$K$5:$AJ$120,0,MATCH(P$2,Inputs!$K$4:$AJ$4,0))))+SUMPRODUCT((Inputs!$E$5:$E$120=$B60)*ISNUMBER(INDEX(Inputs!$K$5:$AJ$120,0,MATCH(P$2,Inputs!$K$4:$AJ$4,0))))=0,NA(),SUMPRODUCT((Inputs!$A$5:$A$120=$B60)*Inputs!$B$5:$B$120*(((Inputs!$G$5:$G$120="moeda")+(Inputs!$G$5:$G$120="acoes"))*Inputs!$B$1+((Inputs!$G$5:$G$120&lt;&gt;"moeda")*(Inputs!$G$5:$G$120&lt;&gt;"acoes")))*INDEX(Inputs!$K$5:$AJ$120,0,MATCH(P$2,Inputs!$K$4:$AJ$4,0)))+SUMPRODUCT((Inputs!$C$5:$C$120=$B60)*Inputs!$D$5:$D$120*(((Inputs!$G$5:$G$120="moeda")+(Inputs!$G$5:$G$120="acoes"))*Inputs!$B$1+((Inputs!$G$5:$G$120&lt;&gt;"moeda")*(Inputs!$G$5:$G$120&lt;&gt;"acoes")))*INDEX(Inputs!$K$5:$AJ$120,0,MATCH(P$2,Inputs!$K$4:$AJ$4,0)))+SUMPRODUCT((Inputs!$E$5:$E$120=$B60)*Inputs!$F$5:$F$120*(((Inputs!$G$5:$G$120="moeda")+(Inputs!$G$5:$G$120="acoes"))*Inputs!$B$1+((Inputs!$G$5:$G$120&lt;&gt;"moeda")*(Inputs!$G$5:$G$120&lt;&gt;"acoes")))*INDEX(Inputs!$K$5:$AJ$120,0,MATCH(P$2,Inputs!$K$4:$AJ$4,0)))))</f>
        <v>2</v>
      </c>
      <c r="Q60" s="513" t="e">
        <f>IF(ISNA(MATCH(Q$2,Inputs!$K$4:$AJ$4,0)),NA(),IF(SUMPRODUCT((Inputs!$A$5:$A$120=$B60)*ISNUMBER(INDEX(Inputs!$K$5:$AJ$120,0,MATCH(Q$2,Inputs!$K$4:$AJ$4,0))))+SUMPRODUCT((Inputs!$C$5:$C$120=$B60)*ISNUMBER(INDEX(Inputs!$K$5:$AJ$120,0,MATCH(Q$2,Inputs!$K$4:$AJ$4,0))))+SUMPRODUCT((Inputs!$E$5:$E$120=$B60)*ISNUMBER(INDEX(Inputs!$K$5:$AJ$120,0,MATCH(Q$2,Inputs!$K$4:$AJ$4,0))))=0,NA(),SUMPRODUCT((Inputs!$A$5:$A$120=$B60)*Inputs!$B$5:$B$120*(((Inputs!$G$5:$G$120="moeda")+(Inputs!$G$5:$G$120="acoes"))*Inputs!$B$1+((Inputs!$G$5:$G$120&lt;&gt;"moeda")*(Inputs!$G$5:$G$120&lt;&gt;"acoes")))*INDEX(Inputs!$K$5:$AJ$120,0,MATCH(Q$2,Inputs!$K$4:$AJ$4,0)))+SUMPRODUCT((Inputs!$C$5:$C$120=$B60)*Inputs!$D$5:$D$120*(((Inputs!$G$5:$G$120="moeda")+(Inputs!$G$5:$G$120="acoes"))*Inputs!$B$1+((Inputs!$G$5:$G$120&lt;&gt;"moeda")*(Inputs!$G$5:$G$120&lt;&gt;"acoes")))*INDEX(Inputs!$K$5:$AJ$120,0,MATCH(Q$2,Inputs!$K$4:$AJ$4,0)))+SUMPRODUCT((Inputs!$E$5:$E$120=$B60)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0" s="514" t="e">
        <f>SUM(N60:Q60)</f>
        <v>#N/A</v>
      </c>
      <c r="S60" s="513">
        <f>IF(ISNA(MATCH(S$2,Inputs!$K$4:$AJ$4,0)),NA(),IF(SUMPRODUCT((Inputs!$A$5:$A$120=$B60)*ISNUMBER(INDEX(Inputs!$K$5:$AJ$120,0,MATCH(S$2,Inputs!$K$4:$AJ$4,0))))+SUMPRODUCT((Inputs!$C$5:$C$120=$B60)*ISNUMBER(INDEX(Inputs!$K$5:$AJ$120,0,MATCH(S$2,Inputs!$K$4:$AJ$4,0))))+SUMPRODUCT((Inputs!$E$5:$E$120=$B60)*ISNUMBER(INDEX(Inputs!$K$5:$AJ$120,0,MATCH(S$2,Inputs!$K$4:$AJ$4,0))))=0,NA(),SUMPRODUCT((Inputs!$A$5:$A$120=$B60)*Inputs!$B$5:$B$120*(((Inputs!$G$5:$G$120="moeda")+(Inputs!$G$5:$G$120="acoes"))*Inputs!$B$1+((Inputs!$G$5:$G$120&lt;&gt;"moeda")*(Inputs!$G$5:$G$120&lt;&gt;"acoes")))*INDEX(Inputs!$K$5:$AJ$120,0,MATCH(S$2,Inputs!$K$4:$AJ$4,0)))+SUMPRODUCT((Inputs!$C$5:$C$120=$B60)*Inputs!$D$5:$D$120*(((Inputs!$G$5:$G$120="moeda")+(Inputs!$G$5:$G$120="acoes"))*Inputs!$B$1+((Inputs!$G$5:$G$120&lt;&gt;"moeda")*(Inputs!$G$5:$G$120&lt;&gt;"acoes")))*INDEX(Inputs!$K$5:$AJ$120,0,MATCH(S$2,Inputs!$K$4:$AJ$4,0)))+SUMPRODUCT((Inputs!$E$5:$E$120=$B60)*Inputs!$F$5:$F$120*(((Inputs!$G$5:$G$120="moeda")+(Inputs!$G$5:$G$120="acoes"))*Inputs!$B$1+((Inputs!$G$5:$G$120&lt;&gt;"moeda")*(Inputs!$G$5:$G$120&lt;&gt;"acoes")))*INDEX(Inputs!$K$5:$AJ$120,0,MATCH(S$2,Inputs!$K$4:$AJ$4,0)))))</f>
        <v>1</v>
      </c>
      <c r="T60" s="513">
        <f>IF(ISNA(MATCH(T$2,Inputs!$K$4:$AJ$4,0)),NA(),IF(SUMPRODUCT((Inputs!$A$5:$A$120=$B60)*ISNUMBER(INDEX(Inputs!$K$5:$AJ$120,0,MATCH(T$2,Inputs!$K$4:$AJ$4,0))))+SUMPRODUCT((Inputs!$C$5:$C$120=$B60)*ISNUMBER(INDEX(Inputs!$K$5:$AJ$120,0,MATCH(T$2,Inputs!$K$4:$AJ$4,0))))+SUMPRODUCT((Inputs!$E$5:$E$120=$B60)*ISNUMBER(INDEX(Inputs!$K$5:$AJ$120,0,MATCH(T$2,Inputs!$K$4:$AJ$4,0))))=0,NA(),SUMPRODUCT((Inputs!$A$5:$A$120=$B60)*Inputs!$B$5:$B$120*(((Inputs!$G$5:$G$120="moeda")+(Inputs!$G$5:$G$120="acoes"))*Inputs!$B$1+((Inputs!$G$5:$G$120&lt;&gt;"moeda")*(Inputs!$G$5:$G$120&lt;&gt;"acoes")))*INDEX(Inputs!$K$5:$AJ$120,0,MATCH(T$2,Inputs!$K$4:$AJ$4,0)))+SUMPRODUCT((Inputs!$C$5:$C$120=$B60)*Inputs!$D$5:$D$120*(((Inputs!$G$5:$G$120="moeda")+(Inputs!$G$5:$G$120="acoes"))*Inputs!$B$1+((Inputs!$G$5:$G$120&lt;&gt;"moeda")*(Inputs!$G$5:$G$120&lt;&gt;"acoes")))*INDEX(Inputs!$K$5:$AJ$120,0,MATCH(T$2,Inputs!$K$4:$AJ$4,0)))+SUMPRODUCT((Inputs!$E$5:$E$120=$B60)*Inputs!$F$5:$F$120*(((Inputs!$G$5:$G$120="moeda")+(Inputs!$G$5:$G$120="acoes"))*Inputs!$B$1+((Inputs!$G$5:$G$120&lt;&gt;"moeda")*(Inputs!$G$5:$G$120&lt;&gt;"acoes")))*INDEX(Inputs!$K$5:$AJ$120,0,MATCH(T$2,Inputs!$K$4:$AJ$4,0)))))</f>
        <v>1</v>
      </c>
      <c r="U60" s="513">
        <f>IF(ISNA(MATCH(U$2,Inputs!$K$4:$AJ$4,0)),NA(),IF(SUMPRODUCT((Inputs!$A$5:$A$120=$B60)*ISNUMBER(INDEX(Inputs!$K$5:$AJ$120,0,MATCH(U$2,Inputs!$K$4:$AJ$4,0))))+SUMPRODUCT((Inputs!$C$5:$C$120=$B60)*ISNUMBER(INDEX(Inputs!$K$5:$AJ$120,0,MATCH(U$2,Inputs!$K$4:$AJ$4,0))))+SUMPRODUCT((Inputs!$E$5:$E$120=$B60)*ISNUMBER(INDEX(Inputs!$K$5:$AJ$120,0,MATCH(U$2,Inputs!$K$4:$AJ$4,0))))=0,NA(),SUMPRODUCT((Inputs!$A$5:$A$120=$B60)*Inputs!$B$5:$B$120*(((Inputs!$G$5:$G$120="moeda")+(Inputs!$G$5:$G$120="acoes"))*Inputs!$B$1+((Inputs!$G$5:$G$120&lt;&gt;"moeda")*(Inputs!$G$5:$G$120&lt;&gt;"acoes")))*INDEX(Inputs!$K$5:$AJ$120,0,MATCH(U$2,Inputs!$K$4:$AJ$4,0)))+SUMPRODUCT((Inputs!$C$5:$C$120=$B60)*Inputs!$D$5:$D$120*(((Inputs!$G$5:$G$120="moeda")+(Inputs!$G$5:$G$120="acoes"))*Inputs!$B$1+((Inputs!$G$5:$G$120&lt;&gt;"moeda")*(Inputs!$G$5:$G$120&lt;&gt;"acoes")))*INDEX(Inputs!$K$5:$AJ$120,0,MATCH(U$2,Inputs!$K$4:$AJ$4,0)))+SUMPRODUCT((Inputs!$E$5:$E$120=$B60)*Inputs!$F$5:$F$120*(((Inputs!$G$5:$G$120="moeda")+(Inputs!$G$5:$G$120="acoes"))*Inputs!$B$1+((Inputs!$G$5:$G$120&lt;&gt;"moeda")*(Inputs!$G$5:$G$120&lt;&gt;"acoes")))*INDEX(Inputs!$K$5:$AJ$120,0,MATCH(U$2,Inputs!$K$4:$AJ$4,0)))))</f>
        <v>1</v>
      </c>
      <c r="V60" s="513" t="e">
        <f>IF(ISNA(MATCH(V$2,Inputs!$K$4:$AJ$4,0)),NA(),IF(SUMPRODUCT((Inputs!$A$5:$A$120=$B60)*ISNUMBER(INDEX(Inputs!$K$5:$AJ$120,0,MATCH(V$2,Inputs!$K$4:$AJ$4,0))))+SUMPRODUCT((Inputs!$C$5:$C$120=$B60)*ISNUMBER(INDEX(Inputs!$K$5:$AJ$120,0,MATCH(V$2,Inputs!$K$4:$AJ$4,0))))+SUMPRODUCT((Inputs!$E$5:$E$120=$B60)*ISNUMBER(INDEX(Inputs!$K$5:$AJ$120,0,MATCH(V$2,Inputs!$K$4:$AJ$4,0))))=0,NA(),SUMPRODUCT((Inputs!$A$5:$A$120=$B60)*Inputs!$B$5:$B$120*(((Inputs!$G$5:$G$120="moeda")+(Inputs!$G$5:$G$120="acoes"))*Inputs!$B$1+((Inputs!$G$5:$G$120&lt;&gt;"moeda")*(Inputs!$G$5:$G$120&lt;&gt;"acoes")))*INDEX(Inputs!$K$5:$AJ$120,0,MATCH(V$2,Inputs!$K$4:$AJ$4,0)))+SUMPRODUCT((Inputs!$C$5:$C$120=$B60)*Inputs!$D$5:$D$120*(((Inputs!$G$5:$G$120="moeda")+(Inputs!$G$5:$G$120="acoes"))*Inputs!$B$1+((Inputs!$G$5:$G$120&lt;&gt;"moeda")*(Inputs!$G$5:$G$120&lt;&gt;"acoes")))*INDEX(Inputs!$K$5:$AJ$120,0,MATCH(V$2,Inputs!$K$4:$AJ$4,0)))+SUMPRODUCT((Inputs!$E$5:$E$120=$B60)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0" s="514" t="e">
        <f>SUM(S60:V60)</f>
        <v>#N/A</v>
      </c>
      <c r="X60" s="513" t="e">
        <f>IF(ISNA(MATCH(X$2,Inputs!$K$4:$AJ$4,0)),NA(),IF(SUMPRODUCT((Inputs!$A$5:$A$120=$B60)*ISNUMBER(INDEX(Inputs!$K$5:$AJ$120,0,MATCH(X$2,Inputs!$K$4:$AJ$4,0))))+SUMPRODUCT((Inputs!$C$5:$C$120=$B60)*ISNUMBER(INDEX(Inputs!$K$5:$AJ$120,0,MATCH(X$2,Inputs!$K$4:$AJ$4,0))))+SUMPRODUCT((Inputs!$E$5:$E$120=$B60)*ISNUMBER(INDEX(Inputs!$K$5:$AJ$120,0,MATCH(X$2,Inputs!$K$4:$AJ$4,0))))=0,NA(),SUMPRODUCT((Inputs!$A$5:$A$120=$B60)*Inputs!$B$5:$B$120*(((Inputs!$G$5:$G$120="moeda")+(Inputs!$G$5:$G$120="acoes"))*Inputs!$B$1+((Inputs!$G$5:$G$120&lt;&gt;"moeda")*(Inputs!$G$5:$G$120&lt;&gt;"acoes")))*INDEX(Inputs!$K$5:$AJ$120,0,MATCH(X$2,Inputs!$K$4:$AJ$4,0)))+SUMPRODUCT((Inputs!$C$5:$C$120=$B60)*Inputs!$D$5:$D$120*(((Inputs!$G$5:$G$120="moeda")+(Inputs!$G$5:$G$120="acoes"))*Inputs!$B$1+((Inputs!$G$5:$G$120&lt;&gt;"moeda")*(Inputs!$G$5:$G$120&lt;&gt;"acoes")))*INDEX(Inputs!$K$5:$AJ$120,0,MATCH(X$2,Inputs!$K$4:$AJ$4,0)))+SUMPRODUCT((Inputs!$E$5:$E$120=$B60)*Inputs!$F$5:$F$120*(((Inputs!$G$5:$G$120="moeda")+(Inputs!$G$5:$G$120="acoes"))*Inputs!$B$1+((Inputs!$G$5:$G$120&lt;&gt;"moeda")*(Inputs!$G$5:$G$120&lt;&gt;"acoes")))*INDEX(Inputs!$K$5:$AJ$120,0,MATCH(X$2,Inputs!$K$4:$AJ$4,0)))))</f>
        <v>#N/A</v>
      </c>
      <c r="Y60" s="513" t="e">
        <f>IF(ISNA(MATCH(Y$2,Inputs!$K$4:$AJ$4,0)),NA(),IF(SUMPRODUCT((Inputs!$A$5:$A$120=$B60)*ISNUMBER(INDEX(Inputs!$K$5:$AJ$120,0,MATCH(Y$2,Inputs!$K$4:$AJ$4,0))))+SUMPRODUCT((Inputs!$C$5:$C$120=$B60)*ISNUMBER(INDEX(Inputs!$K$5:$AJ$120,0,MATCH(Y$2,Inputs!$K$4:$AJ$4,0))))+SUMPRODUCT((Inputs!$E$5:$E$120=$B60)*ISNUMBER(INDEX(Inputs!$K$5:$AJ$120,0,MATCH(Y$2,Inputs!$K$4:$AJ$4,0))))=0,NA(),SUMPRODUCT((Inputs!$A$5:$A$120=$B60)*Inputs!$B$5:$B$120*(((Inputs!$G$5:$G$120="moeda")+(Inputs!$G$5:$G$120="acoes"))*Inputs!$B$1+((Inputs!$G$5:$G$120&lt;&gt;"moeda")*(Inputs!$G$5:$G$120&lt;&gt;"acoes")))*INDEX(Inputs!$K$5:$AJ$120,0,MATCH(Y$2,Inputs!$K$4:$AJ$4,0)))+SUMPRODUCT((Inputs!$C$5:$C$120=$B60)*Inputs!$D$5:$D$120*(((Inputs!$G$5:$G$120="moeda")+(Inputs!$G$5:$G$120="acoes"))*Inputs!$B$1+((Inputs!$G$5:$G$120&lt;&gt;"moeda")*(Inputs!$G$5:$G$120&lt;&gt;"acoes")))*INDEX(Inputs!$K$5:$AJ$120,0,MATCH(Y$2,Inputs!$K$4:$AJ$4,0)))+SUMPRODUCT((Inputs!$E$5:$E$120=$B60)*Inputs!$F$5:$F$120*(((Inputs!$G$5:$G$120="moeda")+(Inputs!$G$5:$G$120="acoes"))*Inputs!$B$1+((Inputs!$G$5:$G$120&lt;&gt;"moeda")*(Inputs!$G$5:$G$120&lt;&gt;"acoes")))*INDEX(Inputs!$K$5:$AJ$120,0,MATCH(Y$2,Inputs!$K$4:$AJ$4,0)))))</f>
        <v>#N/A</v>
      </c>
      <c r="Z60" s="513" t="e">
        <f>IF(ISNA(MATCH(Z$2,Inputs!$K$4:$AJ$4,0)),NA(),IF(SUMPRODUCT((Inputs!$A$5:$A$120=$B60)*ISNUMBER(INDEX(Inputs!$K$5:$AJ$120,0,MATCH(Z$2,Inputs!$K$4:$AJ$4,0))))+SUMPRODUCT((Inputs!$C$5:$C$120=$B60)*ISNUMBER(INDEX(Inputs!$K$5:$AJ$120,0,MATCH(Z$2,Inputs!$K$4:$AJ$4,0))))+SUMPRODUCT((Inputs!$E$5:$E$120=$B60)*ISNUMBER(INDEX(Inputs!$K$5:$AJ$120,0,MATCH(Z$2,Inputs!$K$4:$AJ$4,0))))=0,NA(),SUMPRODUCT((Inputs!$A$5:$A$120=$B60)*Inputs!$B$5:$B$120*(((Inputs!$G$5:$G$120="moeda")+(Inputs!$G$5:$G$120="acoes"))*Inputs!$B$1+((Inputs!$G$5:$G$120&lt;&gt;"moeda")*(Inputs!$G$5:$G$120&lt;&gt;"acoes")))*INDEX(Inputs!$K$5:$AJ$120,0,MATCH(Z$2,Inputs!$K$4:$AJ$4,0)))+SUMPRODUCT((Inputs!$C$5:$C$120=$B60)*Inputs!$D$5:$D$120*(((Inputs!$G$5:$G$120="moeda")+(Inputs!$G$5:$G$120="acoes"))*Inputs!$B$1+((Inputs!$G$5:$G$120&lt;&gt;"moeda")*(Inputs!$G$5:$G$120&lt;&gt;"acoes")))*INDEX(Inputs!$K$5:$AJ$120,0,MATCH(Z$2,Inputs!$K$4:$AJ$4,0)))+SUMPRODUCT((Inputs!$E$5:$E$120=$B60)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0" s="513" t="e">
        <f>IF(ISNA(MATCH(AA$2,Inputs!$K$4:$AJ$4,0)),NA(),IF(SUMPRODUCT((Inputs!$A$5:$A$120=$B60)*ISNUMBER(INDEX(Inputs!$K$5:$AJ$120,0,MATCH(AA$2,Inputs!$K$4:$AJ$4,0))))+SUMPRODUCT((Inputs!$C$5:$C$120=$B60)*ISNUMBER(INDEX(Inputs!$K$5:$AJ$120,0,MATCH(AA$2,Inputs!$K$4:$AJ$4,0))))+SUMPRODUCT((Inputs!$E$5:$E$120=$B60)*ISNUMBER(INDEX(Inputs!$K$5:$AJ$120,0,MATCH(AA$2,Inputs!$K$4:$AJ$4,0))))=0,NA(),SUMPRODUCT((Inputs!$A$5:$A$120=$B60)*Inputs!$B$5:$B$120*(((Inputs!$G$5:$G$120="moeda")+(Inputs!$G$5:$G$120="acoes"))*Inputs!$B$1+((Inputs!$G$5:$G$120&lt;&gt;"moeda")*(Inputs!$G$5:$G$120&lt;&gt;"acoes")))*INDEX(Inputs!$K$5:$AJ$120,0,MATCH(AA$2,Inputs!$K$4:$AJ$4,0)))+SUMPRODUCT((Inputs!$C$5:$C$120=$B60)*Inputs!$D$5:$D$120*(((Inputs!$G$5:$G$120="moeda")+(Inputs!$G$5:$G$120="acoes"))*Inputs!$B$1+((Inputs!$G$5:$G$120&lt;&gt;"moeda")*(Inputs!$G$5:$G$120&lt;&gt;"acoes")))*INDEX(Inputs!$K$5:$AJ$120,0,MATCH(AA$2,Inputs!$K$4:$AJ$4,0)))+SUMPRODUCT((Inputs!$E$5:$E$120=$B60)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0" s="514" t="e">
        <f>SUM(X60:AA60)</f>
        <v>#N/A</v>
      </c>
      <c r="AC60" s="513" t="e">
        <f>IF(ISNA(MATCH(AC$2,Inputs!$K$4:$AJ$4,0)),NA(),IF(SUMPRODUCT((Inputs!$A$5:$A$120=$B60)*ISNUMBER(INDEX(Inputs!$K$5:$AJ$120,0,MATCH(AC$2,Inputs!$K$4:$AJ$4,0))))+SUMPRODUCT((Inputs!$C$5:$C$120=$B60)*ISNUMBER(INDEX(Inputs!$K$5:$AJ$120,0,MATCH(AC$2,Inputs!$K$4:$AJ$4,0))))+SUMPRODUCT((Inputs!$E$5:$E$120=$B60)*ISNUMBER(INDEX(Inputs!$K$5:$AJ$120,0,MATCH(AC$2,Inputs!$K$4:$AJ$4,0))))=0,NA(),SUMPRODUCT((Inputs!$A$5:$A$120=$B60)*Inputs!$B$5:$B$120*(((Inputs!$G$5:$G$120="moeda")+(Inputs!$G$5:$G$120="acoes"))*Inputs!$B$1+((Inputs!$G$5:$G$120&lt;&gt;"moeda")*(Inputs!$G$5:$G$120&lt;&gt;"acoes")))*INDEX(Inputs!$K$5:$AJ$120,0,MATCH(AC$2,Inputs!$K$4:$AJ$4,0)))+SUMPRODUCT((Inputs!$C$5:$C$120=$B60)*Inputs!$D$5:$D$120*(((Inputs!$G$5:$G$120="moeda")+(Inputs!$G$5:$G$120="acoes"))*Inputs!$B$1+((Inputs!$G$5:$G$120&lt;&gt;"moeda")*(Inputs!$G$5:$G$120&lt;&gt;"acoes")))*INDEX(Inputs!$K$5:$AJ$120,0,MATCH(AC$2,Inputs!$K$4:$AJ$4,0)))+SUMPRODUCT((Inputs!$E$5:$E$120=$B60)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0" s="513" t="e">
        <f>IF(ISNA(MATCH(AD$2,Inputs!$K$4:$AJ$4,0)),NA(),IF(SUMPRODUCT((Inputs!$A$5:$A$120=$B60)*ISNUMBER(INDEX(Inputs!$K$5:$AJ$120,0,MATCH(AD$2,Inputs!$K$4:$AJ$4,0))))+SUMPRODUCT((Inputs!$C$5:$C$120=$B60)*ISNUMBER(INDEX(Inputs!$K$5:$AJ$120,0,MATCH(AD$2,Inputs!$K$4:$AJ$4,0))))+SUMPRODUCT((Inputs!$E$5:$E$120=$B60)*ISNUMBER(INDEX(Inputs!$K$5:$AJ$120,0,MATCH(AD$2,Inputs!$K$4:$AJ$4,0))))=0,NA(),SUMPRODUCT((Inputs!$A$5:$A$120=$B60)*Inputs!$B$5:$B$120*(((Inputs!$G$5:$G$120="moeda")+(Inputs!$G$5:$G$120="acoes"))*Inputs!$B$1+((Inputs!$G$5:$G$120&lt;&gt;"moeda")*(Inputs!$G$5:$G$120&lt;&gt;"acoes")))*INDEX(Inputs!$K$5:$AJ$120,0,MATCH(AD$2,Inputs!$K$4:$AJ$4,0)))+SUMPRODUCT((Inputs!$C$5:$C$120=$B60)*Inputs!$D$5:$D$120*(((Inputs!$G$5:$G$120="moeda")+(Inputs!$G$5:$G$120="acoes"))*Inputs!$B$1+((Inputs!$G$5:$G$120&lt;&gt;"moeda")*(Inputs!$G$5:$G$120&lt;&gt;"acoes")))*INDEX(Inputs!$K$5:$AJ$120,0,MATCH(AD$2,Inputs!$K$4:$AJ$4,0)))+SUMPRODUCT((Inputs!$E$5:$E$120=$B60)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0" s="513" t="e">
        <f>IF(ISNA(MATCH(AE$2,Inputs!$K$4:$AJ$4,0)),NA(),IF(SUMPRODUCT((Inputs!$A$5:$A$120=$B60)*ISNUMBER(INDEX(Inputs!$K$5:$AJ$120,0,MATCH(AE$2,Inputs!$K$4:$AJ$4,0))))+SUMPRODUCT((Inputs!$C$5:$C$120=$B60)*ISNUMBER(INDEX(Inputs!$K$5:$AJ$120,0,MATCH(AE$2,Inputs!$K$4:$AJ$4,0))))+SUMPRODUCT((Inputs!$E$5:$E$120=$B60)*ISNUMBER(INDEX(Inputs!$K$5:$AJ$120,0,MATCH(AE$2,Inputs!$K$4:$AJ$4,0))))=0,NA(),SUMPRODUCT((Inputs!$A$5:$A$120=$B60)*Inputs!$B$5:$B$120*(((Inputs!$G$5:$G$120="moeda")+(Inputs!$G$5:$G$120="acoes"))*Inputs!$B$1+((Inputs!$G$5:$G$120&lt;&gt;"moeda")*(Inputs!$G$5:$G$120&lt;&gt;"acoes")))*INDEX(Inputs!$K$5:$AJ$120,0,MATCH(AE$2,Inputs!$K$4:$AJ$4,0)))+SUMPRODUCT((Inputs!$C$5:$C$120=$B60)*Inputs!$D$5:$D$120*(((Inputs!$G$5:$G$120="moeda")+(Inputs!$G$5:$G$120="acoes"))*Inputs!$B$1+((Inputs!$G$5:$G$120&lt;&gt;"moeda")*(Inputs!$G$5:$G$120&lt;&gt;"acoes")))*INDEX(Inputs!$K$5:$AJ$120,0,MATCH(AE$2,Inputs!$K$4:$AJ$4,0)))+SUMPRODUCT((Inputs!$E$5:$E$120=$B60)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0" s="513" t="e">
        <f>IF(ISNA(MATCH(AF$2,Inputs!$K$4:$AJ$4,0)),NA(),IF(SUMPRODUCT((Inputs!$A$5:$A$120=$B60)*ISNUMBER(INDEX(Inputs!$K$5:$AJ$120,0,MATCH(AF$2,Inputs!$K$4:$AJ$4,0))))+SUMPRODUCT((Inputs!$C$5:$C$120=$B60)*ISNUMBER(INDEX(Inputs!$K$5:$AJ$120,0,MATCH(AF$2,Inputs!$K$4:$AJ$4,0))))+SUMPRODUCT((Inputs!$E$5:$E$120=$B60)*ISNUMBER(INDEX(Inputs!$K$5:$AJ$120,0,MATCH(AF$2,Inputs!$K$4:$AJ$4,0))))=0,NA(),SUMPRODUCT((Inputs!$A$5:$A$120=$B60)*Inputs!$B$5:$B$120*(((Inputs!$G$5:$G$120="moeda")+(Inputs!$G$5:$G$120="acoes"))*Inputs!$B$1+((Inputs!$G$5:$G$120&lt;&gt;"moeda")*(Inputs!$G$5:$G$120&lt;&gt;"acoes")))*INDEX(Inputs!$K$5:$AJ$120,0,MATCH(AF$2,Inputs!$K$4:$AJ$4,0)))+SUMPRODUCT((Inputs!$C$5:$C$120=$B60)*Inputs!$D$5:$D$120*(((Inputs!$G$5:$G$120="moeda")+(Inputs!$G$5:$G$120="acoes"))*Inputs!$B$1+((Inputs!$G$5:$G$120&lt;&gt;"moeda")*(Inputs!$G$5:$G$120&lt;&gt;"acoes")))*INDEX(Inputs!$K$5:$AJ$120,0,MATCH(AF$2,Inputs!$K$4:$AJ$4,0)))+SUMPRODUCT((Inputs!$E$5:$E$120=$B60)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0" s="514" t="e">
        <f>SUM(AC60:AF60)</f>
        <v>#N/A</v>
      </c>
      <c r="AH60" s="513">
        <f>IF(ISNA(MATCH(AH$2,Inputs!$K$4:$AJ$4,0)),NA(),IF(SUMPRODUCT((Inputs!$A$5:$A$120=$B60)*ISNUMBER(INDEX(Inputs!$K$5:$AJ$120,0,MATCH(AH$2,Inputs!$K$4:$AJ$4,0))))+SUMPRODUCT((Inputs!$C$5:$C$120=$B60)*ISNUMBER(INDEX(Inputs!$K$5:$AJ$120,0,MATCH(AH$2,Inputs!$K$4:$AJ$4,0))))+SUMPRODUCT((Inputs!$E$5:$E$120=$B60)*ISNUMBER(INDEX(Inputs!$K$5:$AJ$120,0,MATCH(AH$2,Inputs!$K$4:$AJ$4,0))))=0,NA(),SUMPRODUCT((Inputs!$A$5:$A$120=$B60)*Inputs!$B$5:$B$120*(((Inputs!$G$5:$G$120="moeda")+(Inputs!$G$5:$G$120="acoes"))*Inputs!$B$1+((Inputs!$G$5:$G$120&lt;&gt;"moeda")*(Inputs!$G$5:$G$120&lt;&gt;"acoes")))*INDEX(Inputs!$K$5:$AJ$120,0,MATCH(AH$2,Inputs!$K$4:$AJ$4,0)))+SUMPRODUCT((Inputs!$C$5:$C$120=$B60)*Inputs!$D$5:$D$120*(((Inputs!$G$5:$G$120="moeda")+(Inputs!$G$5:$G$120="acoes"))*Inputs!$B$1+((Inputs!$G$5:$G$120&lt;&gt;"moeda")*(Inputs!$G$5:$G$120&lt;&gt;"acoes")))*INDEX(Inputs!$K$5:$AJ$120,0,MATCH(AH$2,Inputs!$K$4:$AJ$4,0)))+SUMPRODUCT((Inputs!$E$5:$E$120=$B60)*Inputs!$F$5:$F$120*(((Inputs!$G$5:$G$120="moeda")+(Inputs!$G$5:$G$120="acoes"))*Inputs!$B$1+((Inputs!$G$5:$G$120&lt;&gt;"moeda")*(Inputs!$G$5:$G$120&lt;&gt;"acoes")))*INDEX(Inputs!$K$5:$AJ$120,0,MATCH(AH$2,Inputs!$K$4:$AJ$4,0)))))</f>
        <v>2</v>
      </c>
      <c r="AI60" s="513">
        <f>IF(ISNA(MATCH(AI$2,Inputs!$K$4:$AJ$4,0)),NA(),IF(SUMPRODUCT((Inputs!$A$5:$A$120=$B60)*ISNUMBER(INDEX(Inputs!$K$5:$AJ$120,0,MATCH(AI$2,Inputs!$K$4:$AJ$4,0))))+SUMPRODUCT((Inputs!$C$5:$C$120=$B60)*ISNUMBER(INDEX(Inputs!$K$5:$AJ$120,0,MATCH(AI$2,Inputs!$K$4:$AJ$4,0))))+SUMPRODUCT((Inputs!$E$5:$E$120=$B60)*ISNUMBER(INDEX(Inputs!$K$5:$AJ$120,0,MATCH(AI$2,Inputs!$K$4:$AJ$4,0))))=0,NA(),SUMPRODUCT((Inputs!$A$5:$A$120=$B60)*Inputs!$B$5:$B$120*(((Inputs!$G$5:$G$120="moeda")+(Inputs!$G$5:$G$120="acoes"))*Inputs!$B$1+((Inputs!$G$5:$G$120&lt;&gt;"moeda")*(Inputs!$G$5:$G$120&lt;&gt;"acoes")))*INDEX(Inputs!$K$5:$AJ$120,0,MATCH(AI$2,Inputs!$K$4:$AJ$4,0)))+SUMPRODUCT((Inputs!$C$5:$C$120=$B60)*Inputs!$D$5:$D$120*(((Inputs!$G$5:$G$120="moeda")+(Inputs!$G$5:$G$120="acoes"))*Inputs!$B$1+((Inputs!$G$5:$G$120&lt;&gt;"moeda")*(Inputs!$G$5:$G$120&lt;&gt;"acoes")))*INDEX(Inputs!$K$5:$AJ$120,0,MATCH(AI$2,Inputs!$K$4:$AJ$4,0)))+SUMPRODUCT((Inputs!$E$5:$E$120=$B60)*Inputs!$F$5:$F$120*(((Inputs!$G$5:$G$120="moeda")+(Inputs!$G$5:$G$120="acoes"))*Inputs!$B$1+((Inputs!$G$5:$G$120&lt;&gt;"moeda")*(Inputs!$G$5:$G$120&lt;&gt;"acoes")))*INDEX(Inputs!$K$5:$AJ$120,0,MATCH(AI$2,Inputs!$K$4:$AJ$4,0)))))</f>
        <v>0</v>
      </c>
      <c r="AJ60" s="513">
        <f>IF(ISNA(MATCH(AJ$2,Inputs!$K$4:$AJ$4,0)),NA(),IF(SUMPRODUCT((Inputs!$A$5:$A$120=$B60)*ISNUMBER(INDEX(Inputs!$K$5:$AJ$120,0,MATCH(AJ$2,Inputs!$K$4:$AJ$4,0))))+SUMPRODUCT((Inputs!$C$5:$C$120=$B60)*ISNUMBER(INDEX(Inputs!$K$5:$AJ$120,0,MATCH(AJ$2,Inputs!$K$4:$AJ$4,0))))+SUMPRODUCT((Inputs!$E$5:$E$120=$B60)*ISNUMBER(INDEX(Inputs!$K$5:$AJ$120,0,MATCH(AJ$2,Inputs!$K$4:$AJ$4,0))))=0,NA(),SUMPRODUCT((Inputs!$A$5:$A$120=$B60)*Inputs!$B$5:$B$120*(((Inputs!$G$5:$G$120="moeda")+(Inputs!$G$5:$G$120="acoes"))*Inputs!$B$1+((Inputs!$G$5:$G$120&lt;&gt;"moeda")*(Inputs!$G$5:$G$120&lt;&gt;"acoes")))*INDEX(Inputs!$K$5:$AJ$120,0,MATCH(AJ$2,Inputs!$K$4:$AJ$4,0)))+SUMPRODUCT((Inputs!$C$5:$C$120=$B60)*Inputs!$D$5:$D$120*(((Inputs!$G$5:$G$120="moeda")+(Inputs!$G$5:$G$120="acoes"))*Inputs!$B$1+((Inputs!$G$5:$G$120&lt;&gt;"moeda")*(Inputs!$G$5:$G$120&lt;&gt;"acoes")))*INDEX(Inputs!$K$5:$AJ$120,0,MATCH(AJ$2,Inputs!$K$4:$AJ$4,0)))+SUMPRODUCT((Inputs!$E$5:$E$120=$B60)*Inputs!$F$5:$F$120*(((Inputs!$G$5:$G$120="moeda")+(Inputs!$G$5:$G$120="acoes"))*Inputs!$B$1+((Inputs!$G$5:$G$120&lt;&gt;"moeda")*(Inputs!$G$5:$G$120&lt;&gt;"acoes")))*INDEX(Inputs!$K$5:$AJ$120,0,MATCH(AJ$2,Inputs!$K$4:$AJ$4,0)))))</f>
        <v>5</v>
      </c>
      <c r="AK60" s="513" t="e">
        <f>IF(ISNA(MATCH(AK$2,Inputs!$K$4:$AJ$4,0)),NA(),IF(SUMPRODUCT((Inputs!$A$5:$A$120=$B60)*ISNUMBER(INDEX(Inputs!$K$5:$AJ$120,0,MATCH(AK$2,Inputs!$K$4:$AJ$4,0))))+SUMPRODUCT((Inputs!$C$5:$C$120=$B60)*ISNUMBER(INDEX(Inputs!$K$5:$AJ$120,0,MATCH(AK$2,Inputs!$K$4:$AJ$4,0))))+SUMPRODUCT((Inputs!$E$5:$E$120=$B60)*ISNUMBER(INDEX(Inputs!$K$5:$AJ$120,0,MATCH(AK$2,Inputs!$K$4:$AJ$4,0))))=0,NA(),SUMPRODUCT((Inputs!$A$5:$A$120=$B60)*Inputs!$B$5:$B$120*(((Inputs!$G$5:$G$120="moeda")+(Inputs!$G$5:$G$120="acoes"))*Inputs!$B$1+((Inputs!$G$5:$G$120&lt;&gt;"moeda")*(Inputs!$G$5:$G$120&lt;&gt;"acoes")))*INDEX(Inputs!$K$5:$AJ$120,0,MATCH(AK$2,Inputs!$K$4:$AJ$4,0)))+SUMPRODUCT((Inputs!$C$5:$C$120=$B60)*Inputs!$D$5:$D$120*(((Inputs!$G$5:$G$120="moeda")+(Inputs!$G$5:$G$120="acoes"))*Inputs!$B$1+((Inputs!$G$5:$G$120&lt;&gt;"moeda")*(Inputs!$G$5:$G$120&lt;&gt;"acoes")))*INDEX(Inputs!$K$5:$AJ$120,0,MATCH(AK$2,Inputs!$K$4:$AJ$4,0)))+SUMPRODUCT((Inputs!$E$5:$E$120=$B60)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0" s="514" t="e">
        <f>SUM(AH60:AK60)</f>
        <v>#N/A</v>
      </c>
    </row>
    <row r="61">
      <c r="B61" s="265" t="n">
        <v>53</v>
      </c>
      <c r="C61" s="266" t="inlineStr">
        <is>
          <t>Corporate &amp; Other - receita (USD)</t>
        </is>
      </c>
      <c r="D61" s="513">
        <f>IF(ISNA(MATCH(D$2,Inputs!$K$4:$AJ$4,0)),NA(),IF(SUMPRODUCT((Inputs!$A$5:$A$120=$B61)*ISNUMBER(INDEX(Inputs!$K$5:$AJ$120,0,MATCH(D$2,Inputs!$K$4:$AJ$4,0))))+SUMPRODUCT((Inputs!$C$5:$C$120=$B61)*ISNUMBER(INDEX(Inputs!$K$5:$AJ$120,0,MATCH(D$2,Inputs!$K$4:$AJ$4,0))))+SUMPRODUCT((Inputs!$E$5:$E$120=$B61)*ISNUMBER(INDEX(Inputs!$K$5:$AJ$120,0,MATCH(D$2,Inputs!$K$4:$AJ$4,0))))=0,NA(),SUMPRODUCT((Inputs!$A$5:$A$120=$B61)*Inputs!$B$5:$B$120*(((Inputs!$G$5:$G$120="moeda")+(Inputs!$G$5:$G$120="acoes"))*Inputs!$B$1+((Inputs!$G$5:$G$120&lt;&gt;"moeda")*(Inputs!$G$5:$G$120&lt;&gt;"acoes")))*INDEX(Inputs!$K$5:$AJ$120,0,MATCH(D$2,Inputs!$K$4:$AJ$4,0)))+SUMPRODUCT((Inputs!$C$5:$C$120=$B61)*Inputs!$D$5:$D$120*(((Inputs!$G$5:$G$120="moeda")+(Inputs!$G$5:$G$120="acoes"))*Inputs!$B$1+((Inputs!$G$5:$G$120&lt;&gt;"moeda")*(Inputs!$G$5:$G$120&lt;&gt;"acoes")))*INDEX(Inputs!$K$5:$AJ$120,0,MATCH(D$2,Inputs!$K$4:$AJ$4,0)))+SUMPRODUCT((Inputs!$E$5:$E$120=$B61)*Inputs!$F$5:$F$120*(((Inputs!$G$5:$G$120="moeda")+(Inputs!$G$5:$G$120="acoes"))*Inputs!$B$1+((Inputs!$G$5:$G$120&lt;&gt;"moeda")*(Inputs!$G$5:$G$120&lt;&gt;"acoes")))*INDEX(Inputs!$K$5:$AJ$120,0,MATCH(D$2,Inputs!$K$4:$AJ$4,0)))))</f>
        <v>0</v>
      </c>
      <c r="E61" s="513">
        <f>IF(ISNA(MATCH(E$2,Inputs!$K$4:$AJ$4,0)),NA(),IF(SUMPRODUCT((Inputs!$A$5:$A$120=$B61)*ISNUMBER(INDEX(Inputs!$K$5:$AJ$120,0,MATCH(E$2,Inputs!$K$4:$AJ$4,0))))+SUMPRODUCT((Inputs!$C$5:$C$120=$B61)*ISNUMBER(INDEX(Inputs!$K$5:$AJ$120,0,MATCH(E$2,Inputs!$K$4:$AJ$4,0))))+SUMPRODUCT((Inputs!$E$5:$E$120=$B61)*ISNUMBER(INDEX(Inputs!$K$5:$AJ$120,0,MATCH(E$2,Inputs!$K$4:$AJ$4,0))))=0,NA(),SUMPRODUCT((Inputs!$A$5:$A$120=$B61)*Inputs!$B$5:$B$120*(((Inputs!$G$5:$G$120="moeda")+(Inputs!$G$5:$G$120="acoes"))*Inputs!$B$1+((Inputs!$G$5:$G$120&lt;&gt;"moeda")*(Inputs!$G$5:$G$120&lt;&gt;"acoes")))*INDEX(Inputs!$K$5:$AJ$120,0,MATCH(E$2,Inputs!$K$4:$AJ$4,0)))+SUMPRODUCT((Inputs!$C$5:$C$120=$B61)*Inputs!$D$5:$D$120*(((Inputs!$G$5:$G$120="moeda")+(Inputs!$G$5:$G$120="acoes"))*Inputs!$B$1+((Inputs!$G$5:$G$120&lt;&gt;"moeda")*(Inputs!$G$5:$G$120&lt;&gt;"acoes")))*INDEX(Inputs!$K$5:$AJ$120,0,MATCH(E$2,Inputs!$K$4:$AJ$4,0)))+SUMPRODUCT((Inputs!$E$5:$E$120=$B61)*Inputs!$F$5:$F$120*(((Inputs!$G$5:$G$120="moeda")+(Inputs!$G$5:$G$120="acoes"))*Inputs!$B$1+((Inputs!$G$5:$G$120&lt;&gt;"moeda")*(Inputs!$G$5:$G$120&lt;&gt;"acoes")))*INDEX(Inputs!$K$5:$AJ$120,0,MATCH(E$2,Inputs!$K$4:$AJ$4,0)))))</f>
        <v>0</v>
      </c>
      <c r="F61" s="513">
        <f>IF(ISNA(MATCH(F$2,Inputs!$K$4:$AJ$4,0)),NA(),IF(SUMPRODUCT((Inputs!$A$5:$A$120=$B61)*ISNUMBER(INDEX(Inputs!$K$5:$AJ$120,0,MATCH(F$2,Inputs!$K$4:$AJ$4,0))))+SUMPRODUCT((Inputs!$C$5:$C$120=$B61)*ISNUMBER(INDEX(Inputs!$K$5:$AJ$120,0,MATCH(F$2,Inputs!$K$4:$AJ$4,0))))+SUMPRODUCT((Inputs!$E$5:$E$120=$B61)*ISNUMBER(INDEX(Inputs!$K$5:$AJ$120,0,MATCH(F$2,Inputs!$K$4:$AJ$4,0))))=0,NA(),SUMPRODUCT((Inputs!$A$5:$A$120=$B61)*Inputs!$B$5:$B$120*(((Inputs!$G$5:$G$120="moeda")+(Inputs!$G$5:$G$120="acoes"))*Inputs!$B$1+((Inputs!$G$5:$G$120&lt;&gt;"moeda")*(Inputs!$G$5:$G$120&lt;&gt;"acoes")))*INDEX(Inputs!$K$5:$AJ$120,0,MATCH(F$2,Inputs!$K$4:$AJ$4,0)))+SUMPRODUCT((Inputs!$C$5:$C$120=$B61)*Inputs!$D$5:$D$120*(((Inputs!$G$5:$G$120="moeda")+(Inputs!$G$5:$G$120="acoes"))*Inputs!$B$1+((Inputs!$G$5:$G$120&lt;&gt;"moeda")*(Inputs!$G$5:$G$120&lt;&gt;"acoes")))*INDEX(Inputs!$K$5:$AJ$120,0,MATCH(F$2,Inputs!$K$4:$AJ$4,0)))+SUMPRODUCT((Inputs!$E$5:$E$120=$B61)*Inputs!$F$5:$F$120*(((Inputs!$G$5:$G$120="moeda")+(Inputs!$G$5:$G$120="acoes"))*Inputs!$B$1+((Inputs!$G$5:$G$120&lt;&gt;"moeda")*(Inputs!$G$5:$G$120&lt;&gt;"acoes")))*INDEX(Inputs!$K$5:$AJ$120,0,MATCH(F$2,Inputs!$K$4:$AJ$4,0)))))</f>
        <v>2</v>
      </c>
      <c r="G61" s="513">
        <f>IF(ISNA(MATCH(G$2,Inputs!$K$4:$AJ$4,0)),NA(),IF(SUMPRODUCT((Inputs!$A$5:$A$120=$B61)*ISNUMBER(INDEX(Inputs!$K$5:$AJ$120,0,MATCH(G$2,Inputs!$K$4:$AJ$4,0))))+SUMPRODUCT((Inputs!$C$5:$C$120=$B61)*ISNUMBER(INDEX(Inputs!$K$5:$AJ$120,0,MATCH(G$2,Inputs!$K$4:$AJ$4,0))))+SUMPRODUCT((Inputs!$E$5:$E$120=$B61)*ISNUMBER(INDEX(Inputs!$K$5:$AJ$120,0,MATCH(G$2,Inputs!$K$4:$AJ$4,0))))=0,NA(),SUMPRODUCT((Inputs!$A$5:$A$120=$B61)*Inputs!$B$5:$B$120*(((Inputs!$G$5:$G$120="moeda")+(Inputs!$G$5:$G$120="acoes"))*Inputs!$B$1+((Inputs!$G$5:$G$120&lt;&gt;"moeda")*(Inputs!$G$5:$G$120&lt;&gt;"acoes")))*INDEX(Inputs!$K$5:$AJ$120,0,MATCH(G$2,Inputs!$K$4:$AJ$4,0)))+SUMPRODUCT((Inputs!$C$5:$C$120=$B61)*Inputs!$D$5:$D$120*(((Inputs!$G$5:$G$120="moeda")+(Inputs!$G$5:$G$120="acoes"))*Inputs!$B$1+((Inputs!$G$5:$G$120&lt;&gt;"moeda")*(Inputs!$G$5:$G$120&lt;&gt;"acoes")))*INDEX(Inputs!$K$5:$AJ$120,0,MATCH(G$2,Inputs!$K$4:$AJ$4,0)))+SUMPRODUCT((Inputs!$E$5:$E$120=$B61)*Inputs!$F$5:$F$120*(((Inputs!$G$5:$G$120="moeda")+(Inputs!$G$5:$G$120="acoes"))*Inputs!$B$1+((Inputs!$G$5:$G$120&lt;&gt;"moeda")*(Inputs!$G$5:$G$120&lt;&gt;"acoes")))*INDEX(Inputs!$K$5:$AJ$120,0,MATCH(G$2,Inputs!$K$4:$AJ$4,0)))))</f>
        <v>2</v>
      </c>
      <c r="H61" s="514">
        <f>SUM(D61:G61)</f>
        <v>4</v>
      </c>
      <c r="I61" s="513">
        <f>IF(ISNA(MATCH(I$2,Inputs!$K$4:$AJ$4,0)),NA(),IF(SUMPRODUCT((Inputs!$A$5:$A$120=$B61)*ISNUMBER(INDEX(Inputs!$K$5:$AJ$120,0,MATCH(I$2,Inputs!$K$4:$AJ$4,0))))+SUMPRODUCT((Inputs!$C$5:$C$120=$B61)*ISNUMBER(INDEX(Inputs!$K$5:$AJ$120,0,MATCH(I$2,Inputs!$K$4:$AJ$4,0))))+SUMPRODUCT((Inputs!$E$5:$E$120=$B61)*ISNUMBER(INDEX(Inputs!$K$5:$AJ$120,0,MATCH(I$2,Inputs!$K$4:$AJ$4,0))))=0,NA(),SUMPRODUCT((Inputs!$A$5:$A$120=$B61)*Inputs!$B$5:$B$120*(((Inputs!$G$5:$G$120="moeda")+(Inputs!$G$5:$G$120="acoes"))*Inputs!$B$1+((Inputs!$G$5:$G$120&lt;&gt;"moeda")*(Inputs!$G$5:$G$120&lt;&gt;"acoes")))*INDEX(Inputs!$K$5:$AJ$120,0,MATCH(I$2,Inputs!$K$4:$AJ$4,0)))+SUMPRODUCT((Inputs!$C$5:$C$120=$B61)*Inputs!$D$5:$D$120*(((Inputs!$G$5:$G$120="moeda")+(Inputs!$G$5:$G$120="acoes"))*Inputs!$B$1+((Inputs!$G$5:$G$120&lt;&gt;"moeda")*(Inputs!$G$5:$G$120&lt;&gt;"acoes")))*INDEX(Inputs!$K$5:$AJ$120,0,MATCH(I$2,Inputs!$K$4:$AJ$4,0)))+SUMPRODUCT((Inputs!$E$5:$E$120=$B61)*Inputs!$F$5:$F$120*(((Inputs!$G$5:$G$120="moeda")+(Inputs!$G$5:$G$120="acoes"))*Inputs!$B$1+((Inputs!$G$5:$G$120&lt;&gt;"moeda")*(Inputs!$G$5:$G$120&lt;&gt;"acoes")))*INDEX(Inputs!$K$5:$AJ$120,0,MATCH(I$2,Inputs!$K$4:$AJ$4,0)))))</f>
        <v>6</v>
      </c>
      <c r="J61" s="513">
        <f>IF(ISNA(MATCH(J$2,Inputs!$K$4:$AJ$4,0)),NA(),IF(SUMPRODUCT((Inputs!$A$5:$A$120=$B61)*ISNUMBER(INDEX(Inputs!$K$5:$AJ$120,0,MATCH(J$2,Inputs!$K$4:$AJ$4,0))))+SUMPRODUCT((Inputs!$C$5:$C$120=$B61)*ISNUMBER(INDEX(Inputs!$K$5:$AJ$120,0,MATCH(J$2,Inputs!$K$4:$AJ$4,0))))+SUMPRODUCT((Inputs!$E$5:$E$120=$B61)*ISNUMBER(INDEX(Inputs!$K$5:$AJ$120,0,MATCH(J$2,Inputs!$K$4:$AJ$4,0))))=0,NA(),SUMPRODUCT((Inputs!$A$5:$A$120=$B61)*Inputs!$B$5:$B$120*(((Inputs!$G$5:$G$120="moeda")+(Inputs!$G$5:$G$120="acoes"))*Inputs!$B$1+((Inputs!$G$5:$G$120&lt;&gt;"moeda")*(Inputs!$G$5:$G$120&lt;&gt;"acoes")))*INDEX(Inputs!$K$5:$AJ$120,0,MATCH(J$2,Inputs!$K$4:$AJ$4,0)))+SUMPRODUCT((Inputs!$C$5:$C$120=$B61)*Inputs!$D$5:$D$120*(((Inputs!$G$5:$G$120="moeda")+(Inputs!$G$5:$G$120="acoes"))*Inputs!$B$1+((Inputs!$G$5:$G$120&lt;&gt;"moeda")*(Inputs!$G$5:$G$120&lt;&gt;"acoes")))*INDEX(Inputs!$K$5:$AJ$120,0,MATCH(J$2,Inputs!$K$4:$AJ$4,0)))+SUMPRODUCT((Inputs!$E$5:$E$120=$B61)*Inputs!$F$5:$F$120*(((Inputs!$G$5:$G$120="moeda")+(Inputs!$G$5:$G$120="acoes"))*Inputs!$B$1+((Inputs!$G$5:$G$120&lt;&gt;"moeda")*(Inputs!$G$5:$G$120&lt;&gt;"acoes")))*INDEX(Inputs!$K$5:$AJ$120,0,MATCH(J$2,Inputs!$K$4:$AJ$4,0)))))</f>
        <v>7</v>
      </c>
      <c r="K61" s="513">
        <f>IF(ISNA(MATCH(K$2,Inputs!$K$4:$AJ$4,0)),NA(),IF(SUMPRODUCT((Inputs!$A$5:$A$120=$B61)*ISNUMBER(INDEX(Inputs!$K$5:$AJ$120,0,MATCH(K$2,Inputs!$K$4:$AJ$4,0))))+SUMPRODUCT((Inputs!$C$5:$C$120=$B61)*ISNUMBER(INDEX(Inputs!$K$5:$AJ$120,0,MATCH(K$2,Inputs!$K$4:$AJ$4,0))))+SUMPRODUCT((Inputs!$E$5:$E$120=$B61)*ISNUMBER(INDEX(Inputs!$K$5:$AJ$120,0,MATCH(K$2,Inputs!$K$4:$AJ$4,0))))=0,NA(),SUMPRODUCT((Inputs!$A$5:$A$120=$B61)*Inputs!$B$5:$B$120*(((Inputs!$G$5:$G$120="moeda")+(Inputs!$G$5:$G$120="acoes"))*Inputs!$B$1+((Inputs!$G$5:$G$120&lt;&gt;"moeda")*(Inputs!$G$5:$G$120&lt;&gt;"acoes")))*INDEX(Inputs!$K$5:$AJ$120,0,MATCH(K$2,Inputs!$K$4:$AJ$4,0)))+SUMPRODUCT((Inputs!$C$5:$C$120=$B61)*Inputs!$D$5:$D$120*(((Inputs!$G$5:$G$120="moeda")+(Inputs!$G$5:$G$120="acoes"))*Inputs!$B$1+((Inputs!$G$5:$G$120&lt;&gt;"moeda")*(Inputs!$G$5:$G$120&lt;&gt;"acoes")))*INDEX(Inputs!$K$5:$AJ$120,0,MATCH(K$2,Inputs!$K$4:$AJ$4,0)))+SUMPRODUCT((Inputs!$E$5:$E$120=$B61)*Inputs!$F$5:$F$120*(((Inputs!$G$5:$G$120="moeda")+(Inputs!$G$5:$G$120="acoes"))*Inputs!$B$1+((Inputs!$G$5:$G$120&lt;&gt;"moeda")*(Inputs!$G$5:$G$120&lt;&gt;"acoes")))*INDEX(Inputs!$K$5:$AJ$120,0,MATCH(K$2,Inputs!$K$4:$AJ$4,0)))))</f>
        <v>11</v>
      </c>
      <c r="L61" s="513">
        <f>IF(ISNA(MATCH(L$2,Inputs!$K$4:$AJ$4,0)),NA(),IF(SUMPRODUCT((Inputs!$A$5:$A$120=$B61)*ISNUMBER(INDEX(Inputs!$K$5:$AJ$120,0,MATCH(L$2,Inputs!$K$4:$AJ$4,0))))+SUMPRODUCT((Inputs!$C$5:$C$120=$B61)*ISNUMBER(INDEX(Inputs!$K$5:$AJ$120,0,MATCH(L$2,Inputs!$K$4:$AJ$4,0))))+SUMPRODUCT((Inputs!$E$5:$E$120=$B61)*ISNUMBER(INDEX(Inputs!$K$5:$AJ$120,0,MATCH(L$2,Inputs!$K$4:$AJ$4,0))))=0,NA(),SUMPRODUCT((Inputs!$A$5:$A$120=$B61)*Inputs!$B$5:$B$120*(((Inputs!$G$5:$G$120="moeda")+(Inputs!$G$5:$G$120="acoes"))*Inputs!$B$1+((Inputs!$G$5:$G$120&lt;&gt;"moeda")*(Inputs!$G$5:$G$120&lt;&gt;"acoes")))*INDEX(Inputs!$K$5:$AJ$120,0,MATCH(L$2,Inputs!$K$4:$AJ$4,0)))+SUMPRODUCT((Inputs!$C$5:$C$120=$B61)*Inputs!$D$5:$D$120*(((Inputs!$G$5:$G$120="moeda")+(Inputs!$G$5:$G$120="acoes"))*Inputs!$B$1+((Inputs!$G$5:$G$120&lt;&gt;"moeda")*(Inputs!$G$5:$G$120&lt;&gt;"acoes")))*INDEX(Inputs!$K$5:$AJ$120,0,MATCH(L$2,Inputs!$K$4:$AJ$4,0)))+SUMPRODUCT((Inputs!$E$5:$E$120=$B61)*Inputs!$F$5:$F$120*(((Inputs!$G$5:$G$120="moeda")+(Inputs!$G$5:$G$120="acoes"))*Inputs!$B$1+((Inputs!$G$5:$G$120&lt;&gt;"moeda")*(Inputs!$G$5:$G$120&lt;&gt;"acoes")))*INDEX(Inputs!$K$5:$AJ$120,0,MATCH(L$2,Inputs!$K$4:$AJ$4,0)))))</f>
        <v>11</v>
      </c>
      <c r="M61" s="514">
        <f>SUM(I61:L61)</f>
        <v>35</v>
      </c>
      <c r="N61" s="513">
        <f>IF(ISNA(MATCH(N$2,Inputs!$K$4:$AJ$4,0)),NA(),IF(SUMPRODUCT((Inputs!$A$5:$A$120=$B61)*ISNUMBER(INDEX(Inputs!$K$5:$AJ$120,0,MATCH(N$2,Inputs!$K$4:$AJ$4,0))))+SUMPRODUCT((Inputs!$C$5:$C$120=$B61)*ISNUMBER(INDEX(Inputs!$K$5:$AJ$120,0,MATCH(N$2,Inputs!$K$4:$AJ$4,0))))+SUMPRODUCT((Inputs!$E$5:$E$120=$B61)*ISNUMBER(INDEX(Inputs!$K$5:$AJ$120,0,MATCH(N$2,Inputs!$K$4:$AJ$4,0))))=0,NA(),SUMPRODUCT((Inputs!$A$5:$A$120=$B61)*Inputs!$B$5:$B$120*(((Inputs!$G$5:$G$120="moeda")+(Inputs!$G$5:$G$120="acoes"))*Inputs!$B$1+((Inputs!$G$5:$G$120&lt;&gt;"moeda")*(Inputs!$G$5:$G$120&lt;&gt;"acoes")))*INDEX(Inputs!$K$5:$AJ$120,0,MATCH(N$2,Inputs!$K$4:$AJ$4,0)))+SUMPRODUCT((Inputs!$C$5:$C$120=$B61)*Inputs!$D$5:$D$120*(((Inputs!$G$5:$G$120="moeda")+(Inputs!$G$5:$G$120="acoes"))*Inputs!$B$1+((Inputs!$G$5:$G$120&lt;&gt;"moeda")*(Inputs!$G$5:$G$120&lt;&gt;"acoes")))*INDEX(Inputs!$K$5:$AJ$120,0,MATCH(N$2,Inputs!$K$4:$AJ$4,0)))+SUMPRODUCT((Inputs!$E$5:$E$120=$B61)*Inputs!$F$5:$F$120*(((Inputs!$G$5:$G$120="moeda")+(Inputs!$G$5:$G$120="acoes"))*Inputs!$B$1+((Inputs!$G$5:$G$120&lt;&gt;"moeda")*(Inputs!$G$5:$G$120&lt;&gt;"acoes")))*INDEX(Inputs!$K$5:$AJ$120,0,MATCH(N$2,Inputs!$K$4:$AJ$4,0)))))</f>
        <v>9</v>
      </c>
      <c r="O61" s="513">
        <f>IF(ISNA(MATCH(O$2,Inputs!$K$4:$AJ$4,0)),NA(),IF(SUMPRODUCT((Inputs!$A$5:$A$120=$B61)*ISNUMBER(INDEX(Inputs!$K$5:$AJ$120,0,MATCH(O$2,Inputs!$K$4:$AJ$4,0))))+SUMPRODUCT((Inputs!$C$5:$C$120=$B61)*ISNUMBER(INDEX(Inputs!$K$5:$AJ$120,0,MATCH(O$2,Inputs!$K$4:$AJ$4,0))))+SUMPRODUCT((Inputs!$E$5:$E$120=$B61)*ISNUMBER(INDEX(Inputs!$K$5:$AJ$120,0,MATCH(O$2,Inputs!$K$4:$AJ$4,0))))=0,NA(),SUMPRODUCT((Inputs!$A$5:$A$120=$B61)*Inputs!$B$5:$B$120*(((Inputs!$G$5:$G$120="moeda")+(Inputs!$G$5:$G$120="acoes"))*Inputs!$B$1+((Inputs!$G$5:$G$120&lt;&gt;"moeda")*(Inputs!$G$5:$G$120&lt;&gt;"acoes")))*INDEX(Inputs!$K$5:$AJ$120,0,MATCH(O$2,Inputs!$K$4:$AJ$4,0)))+SUMPRODUCT((Inputs!$C$5:$C$120=$B61)*Inputs!$D$5:$D$120*(((Inputs!$G$5:$G$120="moeda")+(Inputs!$G$5:$G$120="acoes"))*Inputs!$B$1+((Inputs!$G$5:$G$120&lt;&gt;"moeda")*(Inputs!$G$5:$G$120&lt;&gt;"acoes")))*INDEX(Inputs!$K$5:$AJ$120,0,MATCH(O$2,Inputs!$K$4:$AJ$4,0)))+SUMPRODUCT((Inputs!$E$5:$E$120=$B61)*Inputs!$F$5:$F$120*(((Inputs!$G$5:$G$120="moeda")+(Inputs!$G$5:$G$120="acoes"))*Inputs!$B$1+((Inputs!$G$5:$G$120&lt;&gt;"moeda")*(Inputs!$G$5:$G$120&lt;&gt;"acoes")))*INDEX(Inputs!$K$5:$AJ$120,0,MATCH(O$2,Inputs!$K$4:$AJ$4,0)))))</f>
        <v>11</v>
      </c>
      <c r="P61" s="513">
        <f>IF(ISNA(MATCH(P$2,Inputs!$K$4:$AJ$4,0)),NA(),IF(SUMPRODUCT((Inputs!$A$5:$A$120=$B61)*ISNUMBER(INDEX(Inputs!$K$5:$AJ$120,0,MATCH(P$2,Inputs!$K$4:$AJ$4,0))))+SUMPRODUCT((Inputs!$C$5:$C$120=$B61)*ISNUMBER(INDEX(Inputs!$K$5:$AJ$120,0,MATCH(P$2,Inputs!$K$4:$AJ$4,0))))+SUMPRODUCT((Inputs!$E$5:$E$120=$B61)*ISNUMBER(INDEX(Inputs!$K$5:$AJ$120,0,MATCH(P$2,Inputs!$K$4:$AJ$4,0))))=0,NA(),SUMPRODUCT((Inputs!$A$5:$A$120=$B61)*Inputs!$B$5:$B$120*(((Inputs!$G$5:$G$120="moeda")+(Inputs!$G$5:$G$120="acoes"))*Inputs!$B$1+((Inputs!$G$5:$G$120&lt;&gt;"moeda")*(Inputs!$G$5:$G$120&lt;&gt;"acoes")))*INDEX(Inputs!$K$5:$AJ$120,0,MATCH(P$2,Inputs!$K$4:$AJ$4,0)))+SUMPRODUCT((Inputs!$C$5:$C$120=$B61)*Inputs!$D$5:$D$120*(((Inputs!$G$5:$G$120="moeda")+(Inputs!$G$5:$G$120="acoes"))*Inputs!$B$1+((Inputs!$G$5:$G$120&lt;&gt;"moeda")*(Inputs!$G$5:$G$120&lt;&gt;"acoes")))*INDEX(Inputs!$K$5:$AJ$120,0,MATCH(P$2,Inputs!$K$4:$AJ$4,0)))+SUMPRODUCT((Inputs!$E$5:$E$120=$B61)*Inputs!$F$5:$F$120*(((Inputs!$G$5:$G$120="moeda")+(Inputs!$G$5:$G$120="acoes"))*Inputs!$B$1+((Inputs!$G$5:$G$120&lt;&gt;"moeda")*(Inputs!$G$5:$G$120&lt;&gt;"acoes")))*INDEX(Inputs!$K$5:$AJ$120,0,MATCH(P$2,Inputs!$K$4:$AJ$4,0)))))</f>
        <v>9</v>
      </c>
      <c r="Q61" s="513">
        <f>IF(ISNA(MATCH(Q$2,Inputs!$K$4:$AJ$4,0)),NA(),IF(SUMPRODUCT((Inputs!$A$5:$A$120=$B61)*ISNUMBER(INDEX(Inputs!$K$5:$AJ$120,0,MATCH(Q$2,Inputs!$K$4:$AJ$4,0))))+SUMPRODUCT((Inputs!$C$5:$C$120=$B61)*ISNUMBER(INDEX(Inputs!$K$5:$AJ$120,0,MATCH(Q$2,Inputs!$K$4:$AJ$4,0))))+SUMPRODUCT((Inputs!$E$5:$E$120=$B61)*ISNUMBER(INDEX(Inputs!$K$5:$AJ$120,0,MATCH(Q$2,Inputs!$K$4:$AJ$4,0))))=0,NA(),SUMPRODUCT((Inputs!$A$5:$A$120=$B61)*Inputs!$B$5:$B$120*(((Inputs!$G$5:$G$120="moeda")+(Inputs!$G$5:$G$120="acoes"))*Inputs!$B$1+((Inputs!$G$5:$G$120&lt;&gt;"moeda")*(Inputs!$G$5:$G$120&lt;&gt;"acoes")))*INDEX(Inputs!$K$5:$AJ$120,0,MATCH(Q$2,Inputs!$K$4:$AJ$4,0)))+SUMPRODUCT((Inputs!$C$5:$C$120=$B61)*Inputs!$D$5:$D$120*(((Inputs!$G$5:$G$120="moeda")+(Inputs!$G$5:$G$120="acoes"))*Inputs!$B$1+((Inputs!$G$5:$G$120&lt;&gt;"moeda")*(Inputs!$G$5:$G$120&lt;&gt;"acoes")))*INDEX(Inputs!$K$5:$AJ$120,0,MATCH(Q$2,Inputs!$K$4:$AJ$4,0)))+SUMPRODUCT((Inputs!$E$5:$E$120=$B61)*Inputs!$F$5:$F$120*(((Inputs!$G$5:$G$120="moeda")+(Inputs!$G$5:$G$120="acoes"))*Inputs!$B$1+((Inputs!$G$5:$G$120&lt;&gt;"moeda")*(Inputs!$G$5:$G$120&lt;&gt;"acoes")))*INDEX(Inputs!$K$5:$AJ$120,0,MATCH(Q$2,Inputs!$K$4:$AJ$4,0)))))</f>
        <v>13</v>
      </c>
      <c r="R61" s="514">
        <f>SUM(N61:Q61)</f>
        <v>42</v>
      </c>
      <c r="S61" s="513">
        <f>IF(ISNA(MATCH(S$2,Inputs!$K$4:$AJ$4,0)),NA(),IF(SUMPRODUCT((Inputs!$A$5:$A$120=$B61)*ISNUMBER(INDEX(Inputs!$K$5:$AJ$120,0,MATCH(S$2,Inputs!$K$4:$AJ$4,0))))+SUMPRODUCT((Inputs!$C$5:$C$120=$B61)*ISNUMBER(INDEX(Inputs!$K$5:$AJ$120,0,MATCH(S$2,Inputs!$K$4:$AJ$4,0))))+SUMPRODUCT((Inputs!$E$5:$E$120=$B61)*ISNUMBER(INDEX(Inputs!$K$5:$AJ$120,0,MATCH(S$2,Inputs!$K$4:$AJ$4,0))))=0,NA(),SUMPRODUCT((Inputs!$A$5:$A$120=$B61)*Inputs!$B$5:$B$120*(((Inputs!$G$5:$G$120="moeda")+(Inputs!$G$5:$G$120="acoes"))*Inputs!$B$1+((Inputs!$G$5:$G$120&lt;&gt;"moeda")*(Inputs!$G$5:$G$120&lt;&gt;"acoes")))*INDEX(Inputs!$K$5:$AJ$120,0,MATCH(S$2,Inputs!$K$4:$AJ$4,0)))+SUMPRODUCT((Inputs!$C$5:$C$120=$B61)*Inputs!$D$5:$D$120*(((Inputs!$G$5:$G$120="moeda")+(Inputs!$G$5:$G$120="acoes"))*Inputs!$B$1+((Inputs!$G$5:$G$120&lt;&gt;"moeda")*(Inputs!$G$5:$G$120&lt;&gt;"acoes")))*INDEX(Inputs!$K$5:$AJ$120,0,MATCH(S$2,Inputs!$K$4:$AJ$4,0)))+SUMPRODUCT((Inputs!$E$5:$E$120=$B61)*Inputs!$F$5:$F$120*(((Inputs!$G$5:$G$120="moeda")+(Inputs!$G$5:$G$120="acoes"))*Inputs!$B$1+((Inputs!$G$5:$G$120&lt;&gt;"moeda")*(Inputs!$G$5:$G$120&lt;&gt;"acoes")))*INDEX(Inputs!$K$5:$AJ$120,0,MATCH(S$2,Inputs!$K$4:$AJ$4,0)))))</f>
        <v>56</v>
      </c>
      <c r="T61" s="513">
        <f>IF(ISNA(MATCH(T$2,Inputs!$K$4:$AJ$4,0)),NA(),IF(SUMPRODUCT((Inputs!$A$5:$A$120=$B61)*ISNUMBER(INDEX(Inputs!$K$5:$AJ$120,0,MATCH(T$2,Inputs!$K$4:$AJ$4,0))))+SUMPRODUCT((Inputs!$C$5:$C$120=$B61)*ISNUMBER(INDEX(Inputs!$K$5:$AJ$120,0,MATCH(T$2,Inputs!$K$4:$AJ$4,0))))+SUMPRODUCT((Inputs!$E$5:$E$120=$B61)*ISNUMBER(INDEX(Inputs!$K$5:$AJ$120,0,MATCH(T$2,Inputs!$K$4:$AJ$4,0))))=0,NA(),SUMPRODUCT((Inputs!$A$5:$A$120=$B61)*Inputs!$B$5:$B$120*(((Inputs!$G$5:$G$120="moeda")+(Inputs!$G$5:$G$120="acoes"))*Inputs!$B$1+((Inputs!$G$5:$G$120&lt;&gt;"moeda")*(Inputs!$G$5:$G$120&lt;&gt;"acoes")))*INDEX(Inputs!$K$5:$AJ$120,0,MATCH(T$2,Inputs!$K$4:$AJ$4,0)))+SUMPRODUCT((Inputs!$C$5:$C$120=$B61)*Inputs!$D$5:$D$120*(((Inputs!$G$5:$G$120="moeda")+(Inputs!$G$5:$G$120="acoes"))*Inputs!$B$1+((Inputs!$G$5:$G$120&lt;&gt;"moeda")*(Inputs!$G$5:$G$120&lt;&gt;"acoes")))*INDEX(Inputs!$K$5:$AJ$120,0,MATCH(T$2,Inputs!$K$4:$AJ$4,0)))+SUMPRODUCT((Inputs!$E$5:$E$120=$B61)*Inputs!$F$5:$F$120*(((Inputs!$G$5:$G$120="moeda")+(Inputs!$G$5:$G$120="acoes"))*Inputs!$B$1+((Inputs!$G$5:$G$120&lt;&gt;"moeda")*(Inputs!$G$5:$G$120&lt;&gt;"acoes")))*INDEX(Inputs!$K$5:$AJ$120,0,MATCH(T$2,Inputs!$K$4:$AJ$4,0)))))</f>
        <v>62</v>
      </c>
      <c r="U61" s="513">
        <f>IF(ISNA(MATCH(U$2,Inputs!$K$4:$AJ$4,0)),NA(),IF(SUMPRODUCT((Inputs!$A$5:$A$120=$B61)*ISNUMBER(INDEX(Inputs!$K$5:$AJ$120,0,MATCH(U$2,Inputs!$K$4:$AJ$4,0))))+SUMPRODUCT((Inputs!$C$5:$C$120=$B61)*ISNUMBER(INDEX(Inputs!$K$5:$AJ$120,0,MATCH(U$2,Inputs!$K$4:$AJ$4,0))))+SUMPRODUCT((Inputs!$E$5:$E$120=$B61)*ISNUMBER(INDEX(Inputs!$K$5:$AJ$120,0,MATCH(U$2,Inputs!$K$4:$AJ$4,0))))=0,NA(),SUMPRODUCT((Inputs!$A$5:$A$120=$B61)*Inputs!$B$5:$B$120*(((Inputs!$G$5:$G$120="moeda")+(Inputs!$G$5:$G$120="acoes"))*Inputs!$B$1+((Inputs!$G$5:$G$120&lt;&gt;"moeda")*(Inputs!$G$5:$G$120&lt;&gt;"acoes")))*INDEX(Inputs!$K$5:$AJ$120,0,MATCH(U$2,Inputs!$K$4:$AJ$4,0)))+SUMPRODUCT((Inputs!$C$5:$C$120=$B61)*Inputs!$D$5:$D$120*(((Inputs!$G$5:$G$120="moeda")+(Inputs!$G$5:$G$120="acoes"))*Inputs!$B$1+((Inputs!$G$5:$G$120&lt;&gt;"moeda")*(Inputs!$G$5:$G$120&lt;&gt;"acoes")))*INDEX(Inputs!$K$5:$AJ$120,0,MATCH(U$2,Inputs!$K$4:$AJ$4,0)))+SUMPRODUCT((Inputs!$E$5:$E$120=$B61)*Inputs!$F$5:$F$120*(((Inputs!$G$5:$G$120="moeda")+(Inputs!$G$5:$G$120="acoes"))*Inputs!$B$1+((Inputs!$G$5:$G$120&lt;&gt;"moeda")*(Inputs!$G$5:$G$120&lt;&gt;"acoes")))*INDEX(Inputs!$K$5:$AJ$120,0,MATCH(U$2,Inputs!$K$4:$AJ$4,0)))))</f>
        <v>1</v>
      </c>
      <c r="V61" s="513">
        <f>IF(ISNA(MATCH(V$2,Inputs!$K$4:$AJ$4,0)),NA(),IF(SUMPRODUCT((Inputs!$A$5:$A$120=$B61)*ISNUMBER(INDEX(Inputs!$K$5:$AJ$120,0,MATCH(V$2,Inputs!$K$4:$AJ$4,0))))+SUMPRODUCT((Inputs!$C$5:$C$120=$B61)*ISNUMBER(INDEX(Inputs!$K$5:$AJ$120,0,MATCH(V$2,Inputs!$K$4:$AJ$4,0))))+SUMPRODUCT((Inputs!$E$5:$E$120=$B61)*ISNUMBER(INDEX(Inputs!$K$5:$AJ$120,0,MATCH(V$2,Inputs!$K$4:$AJ$4,0))))=0,NA(),SUMPRODUCT((Inputs!$A$5:$A$120=$B61)*Inputs!$B$5:$B$120*(((Inputs!$G$5:$G$120="moeda")+(Inputs!$G$5:$G$120="acoes"))*Inputs!$B$1+((Inputs!$G$5:$G$120&lt;&gt;"moeda")*(Inputs!$G$5:$G$120&lt;&gt;"acoes")))*INDEX(Inputs!$K$5:$AJ$120,0,MATCH(V$2,Inputs!$K$4:$AJ$4,0)))+SUMPRODUCT((Inputs!$C$5:$C$120=$B61)*Inputs!$D$5:$D$120*(((Inputs!$G$5:$G$120="moeda")+(Inputs!$G$5:$G$120="acoes"))*Inputs!$B$1+((Inputs!$G$5:$G$120&lt;&gt;"moeda")*(Inputs!$G$5:$G$120&lt;&gt;"acoes")))*INDEX(Inputs!$K$5:$AJ$120,0,MATCH(V$2,Inputs!$K$4:$AJ$4,0)))+SUMPRODUCT((Inputs!$E$5:$E$120=$B61)*Inputs!$F$5:$F$120*(((Inputs!$G$5:$G$120="moeda")+(Inputs!$G$5:$G$120="acoes"))*Inputs!$B$1+((Inputs!$G$5:$G$120&lt;&gt;"moeda")*(Inputs!$G$5:$G$120&lt;&gt;"acoes")))*INDEX(Inputs!$K$5:$AJ$120,0,MATCH(V$2,Inputs!$K$4:$AJ$4,0)))))</f>
        <v>15</v>
      </c>
      <c r="W61" s="514">
        <f>SUM(S61:V61)</f>
        <v>134</v>
      </c>
      <c r="X61" s="513">
        <f>IF(ISNA(MATCH(X$2,Inputs!$K$4:$AJ$4,0)),NA(),IF(SUMPRODUCT((Inputs!$A$5:$A$120=$B61)*ISNUMBER(INDEX(Inputs!$K$5:$AJ$120,0,MATCH(X$2,Inputs!$K$4:$AJ$4,0))))+SUMPRODUCT((Inputs!$C$5:$C$120=$B61)*ISNUMBER(INDEX(Inputs!$K$5:$AJ$120,0,MATCH(X$2,Inputs!$K$4:$AJ$4,0))))+SUMPRODUCT((Inputs!$E$5:$E$120=$B61)*ISNUMBER(INDEX(Inputs!$K$5:$AJ$120,0,MATCH(X$2,Inputs!$K$4:$AJ$4,0))))=0,NA(),SUMPRODUCT((Inputs!$A$5:$A$120=$B61)*Inputs!$B$5:$B$120*(((Inputs!$G$5:$G$120="moeda")+(Inputs!$G$5:$G$120="acoes"))*Inputs!$B$1+((Inputs!$G$5:$G$120&lt;&gt;"moeda")*(Inputs!$G$5:$G$120&lt;&gt;"acoes")))*INDEX(Inputs!$K$5:$AJ$120,0,MATCH(X$2,Inputs!$K$4:$AJ$4,0)))+SUMPRODUCT((Inputs!$C$5:$C$120=$B61)*Inputs!$D$5:$D$120*(((Inputs!$G$5:$G$120="moeda")+(Inputs!$G$5:$G$120="acoes"))*Inputs!$B$1+((Inputs!$G$5:$G$120&lt;&gt;"moeda")*(Inputs!$G$5:$G$120&lt;&gt;"acoes")))*INDEX(Inputs!$K$5:$AJ$120,0,MATCH(X$2,Inputs!$K$4:$AJ$4,0)))+SUMPRODUCT((Inputs!$E$5:$E$120=$B61)*Inputs!$F$5:$F$120*(((Inputs!$G$5:$G$120="moeda")+(Inputs!$G$5:$G$120="acoes"))*Inputs!$B$1+((Inputs!$G$5:$G$120&lt;&gt;"moeda")*(Inputs!$G$5:$G$120&lt;&gt;"acoes")))*INDEX(Inputs!$K$5:$AJ$120,0,MATCH(X$2,Inputs!$K$4:$AJ$4,0)))))</f>
        <v>0</v>
      </c>
      <c r="Y61" s="513">
        <f>IF(ISNA(MATCH(Y$2,Inputs!$K$4:$AJ$4,0)),NA(),IF(SUMPRODUCT((Inputs!$A$5:$A$120=$B61)*ISNUMBER(INDEX(Inputs!$K$5:$AJ$120,0,MATCH(Y$2,Inputs!$K$4:$AJ$4,0))))+SUMPRODUCT((Inputs!$C$5:$C$120=$B61)*ISNUMBER(INDEX(Inputs!$K$5:$AJ$120,0,MATCH(Y$2,Inputs!$K$4:$AJ$4,0))))+SUMPRODUCT((Inputs!$E$5:$E$120=$B61)*ISNUMBER(INDEX(Inputs!$K$5:$AJ$120,0,MATCH(Y$2,Inputs!$K$4:$AJ$4,0))))=0,NA(),SUMPRODUCT((Inputs!$A$5:$A$120=$B61)*Inputs!$B$5:$B$120*(((Inputs!$G$5:$G$120="moeda")+(Inputs!$G$5:$G$120="acoes"))*Inputs!$B$1+((Inputs!$G$5:$G$120&lt;&gt;"moeda")*(Inputs!$G$5:$G$120&lt;&gt;"acoes")))*INDEX(Inputs!$K$5:$AJ$120,0,MATCH(Y$2,Inputs!$K$4:$AJ$4,0)))+SUMPRODUCT((Inputs!$C$5:$C$120=$B61)*Inputs!$D$5:$D$120*(((Inputs!$G$5:$G$120="moeda")+(Inputs!$G$5:$G$120="acoes"))*Inputs!$B$1+((Inputs!$G$5:$G$120&lt;&gt;"moeda")*(Inputs!$G$5:$G$120&lt;&gt;"acoes")))*INDEX(Inputs!$K$5:$AJ$120,0,MATCH(Y$2,Inputs!$K$4:$AJ$4,0)))+SUMPRODUCT((Inputs!$E$5:$E$120=$B61)*Inputs!$F$5:$F$120*(((Inputs!$G$5:$G$120="moeda")+(Inputs!$G$5:$G$120="acoes"))*Inputs!$B$1+((Inputs!$G$5:$G$120&lt;&gt;"moeda")*(Inputs!$G$5:$G$120&lt;&gt;"acoes")))*INDEX(Inputs!$K$5:$AJ$120,0,MATCH(Y$2,Inputs!$K$4:$AJ$4,0)))))</f>
        <v>2</v>
      </c>
      <c r="Z61" s="513" t="e">
        <f>IF(ISNA(MATCH(Z$2,Inputs!$K$4:$AJ$4,0)),NA(),IF(SUMPRODUCT((Inputs!$A$5:$A$120=$B61)*ISNUMBER(INDEX(Inputs!$K$5:$AJ$120,0,MATCH(Z$2,Inputs!$K$4:$AJ$4,0))))+SUMPRODUCT((Inputs!$C$5:$C$120=$B61)*ISNUMBER(INDEX(Inputs!$K$5:$AJ$120,0,MATCH(Z$2,Inputs!$K$4:$AJ$4,0))))+SUMPRODUCT((Inputs!$E$5:$E$120=$B61)*ISNUMBER(INDEX(Inputs!$K$5:$AJ$120,0,MATCH(Z$2,Inputs!$K$4:$AJ$4,0))))=0,NA(),SUMPRODUCT((Inputs!$A$5:$A$120=$B61)*Inputs!$B$5:$B$120*(((Inputs!$G$5:$G$120="moeda")+(Inputs!$G$5:$G$120="acoes"))*Inputs!$B$1+((Inputs!$G$5:$G$120&lt;&gt;"moeda")*(Inputs!$G$5:$G$120&lt;&gt;"acoes")))*INDEX(Inputs!$K$5:$AJ$120,0,MATCH(Z$2,Inputs!$K$4:$AJ$4,0)))+SUMPRODUCT((Inputs!$C$5:$C$120=$B61)*Inputs!$D$5:$D$120*(((Inputs!$G$5:$G$120="moeda")+(Inputs!$G$5:$G$120="acoes"))*Inputs!$B$1+((Inputs!$G$5:$G$120&lt;&gt;"moeda")*(Inputs!$G$5:$G$120&lt;&gt;"acoes")))*INDEX(Inputs!$K$5:$AJ$120,0,MATCH(Z$2,Inputs!$K$4:$AJ$4,0)))+SUMPRODUCT((Inputs!$E$5:$E$120=$B61)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1" s="513" t="e">
        <f>IF(ISNA(MATCH(AA$2,Inputs!$K$4:$AJ$4,0)),NA(),IF(SUMPRODUCT((Inputs!$A$5:$A$120=$B61)*ISNUMBER(INDEX(Inputs!$K$5:$AJ$120,0,MATCH(AA$2,Inputs!$K$4:$AJ$4,0))))+SUMPRODUCT((Inputs!$C$5:$C$120=$B61)*ISNUMBER(INDEX(Inputs!$K$5:$AJ$120,0,MATCH(AA$2,Inputs!$K$4:$AJ$4,0))))+SUMPRODUCT((Inputs!$E$5:$E$120=$B61)*ISNUMBER(INDEX(Inputs!$K$5:$AJ$120,0,MATCH(AA$2,Inputs!$K$4:$AJ$4,0))))=0,NA(),SUMPRODUCT((Inputs!$A$5:$A$120=$B61)*Inputs!$B$5:$B$120*(((Inputs!$G$5:$G$120="moeda")+(Inputs!$G$5:$G$120="acoes"))*Inputs!$B$1+((Inputs!$G$5:$G$120&lt;&gt;"moeda")*(Inputs!$G$5:$G$120&lt;&gt;"acoes")))*INDEX(Inputs!$K$5:$AJ$120,0,MATCH(AA$2,Inputs!$K$4:$AJ$4,0)))+SUMPRODUCT((Inputs!$C$5:$C$120=$B61)*Inputs!$D$5:$D$120*(((Inputs!$G$5:$G$120="moeda")+(Inputs!$G$5:$G$120="acoes"))*Inputs!$B$1+((Inputs!$G$5:$G$120&lt;&gt;"moeda")*(Inputs!$G$5:$G$120&lt;&gt;"acoes")))*INDEX(Inputs!$K$5:$AJ$120,0,MATCH(AA$2,Inputs!$K$4:$AJ$4,0)))+SUMPRODUCT((Inputs!$E$5:$E$120=$B61)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1" s="514" t="e">
        <f>SUM(X61:AA61)</f>
        <v>#N/A</v>
      </c>
      <c r="AC61" s="513" t="e">
        <f>IF(ISNA(MATCH(AC$2,Inputs!$K$4:$AJ$4,0)),NA(),IF(SUMPRODUCT((Inputs!$A$5:$A$120=$B61)*ISNUMBER(INDEX(Inputs!$K$5:$AJ$120,0,MATCH(AC$2,Inputs!$K$4:$AJ$4,0))))+SUMPRODUCT((Inputs!$C$5:$C$120=$B61)*ISNUMBER(INDEX(Inputs!$K$5:$AJ$120,0,MATCH(AC$2,Inputs!$K$4:$AJ$4,0))))+SUMPRODUCT((Inputs!$E$5:$E$120=$B61)*ISNUMBER(INDEX(Inputs!$K$5:$AJ$120,0,MATCH(AC$2,Inputs!$K$4:$AJ$4,0))))=0,NA(),SUMPRODUCT((Inputs!$A$5:$A$120=$B61)*Inputs!$B$5:$B$120*(((Inputs!$G$5:$G$120="moeda")+(Inputs!$G$5:$G$120="acoes"))*Inputs!$B$1+((Inputs!$G$5:$G$120&lt;&gt;"moeda")*(Inputs!$G$5:$G$120&lt;&gt;"acoes")))*INDEX(Inputs!$K$5:$AJ$120,0,MATCH(AC$2,Inputs!$K$4:$AJ$4,0)))+SUMPRODUCT((Inputs!$C$5:$C$120=$B61)*Inputs!$D$5:$D$120*(((Inputs!$G$5:$G$120="moeda")+(Inputs!$G$5:$G$120="acoes"))*Inputs!$B$1+((Inputs!$G$5:$G$120&lt;&gt;"moeda")*(Inputs!$G$5:$G$120&lt;&gt;"acoes")))*INDEX(Inputs!$K$5:$AJ$120,0,MATCH(AC$2,Inputs!$K$4:$AJ$4,0)))+SUMPRODUCT((Inputs!$E$5:$E$120=$B61)*Inputs!$F$5:$F$120*(((Inputs!$G$5:$G$120="moeda")+(Inputs!$G$5:$G$120="acoes"))*Inputs!$B$1+((Inputs!$G$5:$G$120&lt;&gt;"moeda")*(Inputs!$G$5:$G$120&lt;&gt;"acoes")))*INDEX(Inputs!$K$5:$AJ$120,0,MATCH(AC$2,Inputs!$K$4:$AJ$4,0)))))</f>
        <v>#N/A</v>
      </c>
      <c r="AD61" s="513" t="e">
        <f>IF(ISNA(MATCH(AD$2,Inputs!$K$4:$AJ$4,0)),NA(),IF(SUMPRODUCT((Inputs!$A$5:$A$120=$B61)*ISNUMBER(INDEX(Inputs!$K$5:$AJ$120,0,MATCH(AD$2,Inputs!$K$4:$AJ$4,0))))+SUMPRODUCT((Inputs!$C$5:$C$120=$B61)*ISNUMBER(INDEX(Inputs!$K$5:$AJ$120,0,MATCH(AD$2,Inputs!$K$4:$AJ$4,0))))+SUMPRODUCT((Inputs!$E$5:$E$120=$B61)*ISNUMBER(INDEX(Inputs!$K$5:$AJ$120,0,MATCH(AD$2,Inputs!$K$4:$AJ$4,0))))=0,NA(),SUMPRODUCT((Inputs!$A$5:$A$120=$B61)*Inputs!$B$5:$B$120*(((Inputs!$G$5:$G$120="moeda")+(Inputs!$G$5:$G$120="acoes"))*Inputs!$B$1+((Inputs!$G$5:$G$120&lt;&gt;"moeda")*(Inputs!$G$5:$G$120&lt;&gt;"acoes")))*INDEX(Inputs!$K$5:$AJ$120,0,MATCH(AD$2,Inputs!$K$4:$AJ$4,0)))+SUMPRODUCT((Inputs!$C$5:$C$120=$B61)*Inputs!$D$5:$D$120*(((Inputs!$G$5:$G$120="moeda")+(Inputs!$G$5:$G$120="acoes"))*Inputs!$B$1+((Inputs!$G$5:$G$120&lt;&gt;"moeda")*(Inputs!$G$5:$G$120&lt;&gt;"acoes")))*INDEX(Inputs!$K$5:$AJ$120,0,MATCH(AD$2,Inputs!$K$4:$AJ$4,0)))+SUMPRODUCT((Inputs!$E$5:$E$120=$B61)*Inputs!$F$5:$F$120*(((Inputs!$G$5:$G$120="moeda")+(Inputs!$G$5:$G$120="acoes"))*Inputs!$B$1+((Inputs!$G$5:$G$120&lt;&gt;"moeda")*(Inputs!$G$5:$G$120&lt;&gt;"acoes")))*INDEX(Inputs!$K$5:$AJ$120,0,MATCH(AD$2,Inputs!$K$4:$AJ$4,0)))))</f>
        <v>#N/A</v>
      </c>
      <c r="AE61" s="513" t="e">
        <f>IF(ISNA(MATCH(AE$2,Inputs!$K$4:$AJ$4,0)),NA(),IF(SUMPRODUCT((Inputs!$A$5:$A$120=$B61)*ISNUMBER(INDEX(Inputs!$K$5:$AJ$120,0,MATCH(AE$2,Inputs!$K$4:$AJ$4,0))))+SUMPRODUCT((Inputs!$C$5:$C$120=$B61)*ISNUMBER(INDEX(Inputs!$K$5:$AJ$120,0,MATCH(AE$2,Inputs!$K$4:$AJ$4,0))))+SUMPRODUCT((Inputs!$E$5:$E$120=$B61)*ISNUMBER(INDEX(Inputs!$K$5:$AJ$120,0,MATCH(AE$2,Inputs!$K$4:$AJ$4,0))))=0,NA(),SUMPRODUCT((Inputs!$A$5:$A$120=$B61)*Inputs!$B$5:$B$120*(((Inputs!$G$5:$G$120="moeda")+(Inputs!$G$5:$G$120="acoes"))*Inputs!$B$1+((Inputs!$G$5:$G$120&lt;&gt;"moeda")*(Inputs!$G$5:$G$120&lt;&gt;"acoes")))*INDEX(Inputs!$K$5:$AJ$120,0,MATCH(AE$2,Inputs!$K$4:$AJ$4,0)))+SUMPRODUCT((Inputs!$C$5:$C$120=$B61)*Inputs!$D$5:$D$120*(((Inputs!$G$5:$G$120="moeda")+(Inputs!$G$5:$G$120="acoes"))*Inputs!$B$1+((Inputs!$G$5:$G$120&lt;&gt;"moeda")*(Inputs!$G$5:$G$120&lt;&gt;"acoes")))*INDEX(Inputs!$K$5:$AJ$120,0,MATCH(AE$2,Inputs!$K$4:$AJ$4,0)))+SUMPRODUCT((Inputs!$E$5:$E$120=$B61)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1" s="513" t="e">
        <f>IF(ISNA(MATCH(AF$2,Inputs!$K$4:$AJ$4,0)),NA(),IF(SUMPRODUCT((Inputs!$A$5:$A$120=$B61)*ISNUMBER(INDEX(Inputs!$K$5:$AJ$120,0,MATCH(AF$2,Inputs!$K$4:$AJ$4,0))))+SUMPRODUCT((Inputs!$C$5:$C$120=$B61)*ISNUMBER(INDEX(Inputs!$K$5:$AJ$120,0,MATCH(AF$2,Inputs!$K$4:$AJ$4,0))))+SUMPRODUCT((Inputs!$E$5:$E$120=$B61)*ISNUMBER(INDEX(Inputs!$K$5:$AJ$120,0,MATCH(AF$2,Inputs!$K$4:$AJ$4,0))))=0,NA(),SUMPRODUCT((Inputs!$A$5:$A$120=$B61)*Inputs!$B$5:$B$120*(((Inputs!$G$5:$G$120="moeda")+(Inputs!$G$5:$G$120="acoes"))*Inputs!$B$1+((Inputs!$G$5:$G$120&lt;&gt;"moeda")*(Inputs!$G$5:$G$120&lt;&gt;"acoes")))*INDEX(Inputs!$K$5:$AJ$120,0,MATCH(AF$2,Inputs!$K$4:$AJ$4,0)))+SUMPRODUCT((Inputs!$C$5:$C$120=$B61)*Inputs!$D$5:$D$120*(((Inputs!$G$5:$G$120="moeda")+(Inputs!$G$5:$G$120="acoes"))*Inputs!$B$1+((Inputs!$G$5:$G$120&lt;&gt;"moeda")*(Inputs!$G$5:$G$120&lt;&gt;"acoes")))*INDEX(Inputs!$K$5:$AJ$120,0,MATCH(AF$2,Inputs!$K$4:$AJ$4,0)))+SUMPRODUCT((Inputs!$E$5:$E$120=$B61)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1" s="514" t="e">
        <f>SUM(AC61:AF61)</f>
        <v>#N/A</v>
      </c>
      <c r="AH61" s="513" t="e">
        <f>IF(ISNA(MATCH(AH$2,Inputs!$K$4:$AJ$4,0)),NA(),IF(SUMPRODUCT((Inputs!$A$5:$A$120=$B61)*ISNUMBER(INDEX(Inputs!$K$5:$AJ$120,0,MATCH(AH$2,Inputs!$K$4:$AJ$4,0))))+SUMPRODUCT((Inputs!$C$5:$C$120=$B61)*ISNUMBER(INDEX(Inputs!$K$5:$AJ$120,0,MATCH(AH$2,Inputs!$K$4:$AJ$4,0))))+SUMPRODUCT((Inputs!$E$5:$E$120=$B61)*ISNUMBER(INDEX(Inputs!$K$5:$AJ$120,0,MATCH(AH$2,Inputs!$K$4:$AJ$4,0))))=0,NA(),SUMPRODUCT((Inputs!$A$5:$A$120=$B61)*Inputs!$B$5:$B$120*(((Inputs!$G$5:$G$120="moeda")+(Inputs!$G$5:$G$120="acoes"))*Inputs!$B$1+((Inputs!$G$5:$G$120&lt;&gt;"moeda")*(Inputs!$G$5:$G$120&lt;&gt;"acoes")))*INDEX(Inputs!$K$5:$AJ$120,0,MATCH(AH$2,Inputs!$K$4:$AJ$4,0)))+SUMPRODUCT((Inputs!$C$5:$C$120=$B61)*Inputs!$D$5:$D$120*(((Inputs!$G$5:$G$120="moeda")+(Inputs!$G$5:$G$120="acoes"))*Inputs!$B$1+((Inputs!$G$5:$G$120&lt;&gt;"moeda")*(Inputs!$G$5:$G$120&lt;&gt;"acoes")))*INDEX(Inputs!$K$5:$AJ$120,0,MATCH(AH$2,Inputs!$K$4:$AJ$4,0)))+SUMPRODUCT((Inputs!$E$5:$E$120=$B61)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1" s="513" t="e">
        <f>IF(ISNA(MATCH(AI$2,Inputs!$K$4:$AJ$4,0)),NA(),IF(SUMPRODUCT((Inputs!$A$5:$A$120=$B61)*ISNUMBER(INDEX(Inputs!$K$5:$AJ$120,0,MATCH(AI$2,Inputs!$K$4:$AJ$4,0))))+SUMPRODUCT((Inputs!$C$5:$C$120=$B61)*ISNUMBER(INDEX(Inputs!$K$5:$AJ$120,0,MATCH(AI$2,Inputs!$K$4:$AJ$4,0))))+SUMPRODUCT((Inputs!$E$5:$E$120=$B61)*ISNUMBER(INDEX(Inputs!$K$5:$AJ$120,0,MATCH(AI$2,Inputs!$K$4:$AJ$4,0))))=0,NA(),SUMPRODUCT((Inputs!$A$5:$A$120=$B61)*Inputs!$B$5:$B$120*(((Inputs!$G$5:$G$120="moeda")+(Inputs!$G$5:$G$120="acoes"))*Inputs!$B$1+((Inputs!$G$5:$G$120&lt;&gt;"moeda")*(Inputs!$G$5:$G$120&lt;&gt;"acoes")))*INDEX(Inputs!$K$5:$AJ$120,0,MATCH(AI$2,Inputs!$K$4:$AJ$4,0)))+SUMPRODUCT((Inputs!$C$5:$C$120=$B61)*Inputs!$D$5:$D$120*(((Inputs!$G$5:$G$120="moeda")+(Inputs!$G$5:$G$120="acoes"))*Inputs!$B$1+((Inputs!$G$5:$G$120&lt;&gt;"moeda")*(Inputs!$G$5:$G$120&lt;&gt;"acoes")))*INDEX(Inputs!$K$5:$AJ$120,0,MATCH(AI$2,Inputs!$K$4:$AJ$4,0)))+SUMPRODUCT((Inputs!$E$5:$E$120=$B61)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1" s="513">
        <f>IF(ISNA(MATCH(AJ$2,Inputs!$K$4:$AJ$4,0)),NA(),IF(SUMPRODUCT((Inputs!$A$5:$A$120=$B61)*ISNUMBER(INDEX(Inputs!$K$5:$AJ$120,0,MATCH(AJ$2,Inputs!$K$4:$AJ$4,0))))+SUMPRODUCT((Inputs!$C$5:$C$120=$B61)*ISNUMBER(INDEX(Inputs!$K$5:$AJ$120,0,MATCH(AJ$2,Inputs!$K$4:$AJ$4,0))))+SUMPRODUCT((Inputs!$E$5:$E$120=$B61)*ISNUMBER(INDEX(Inputs!$K$5:$AJ$120,0,MATCH(AJ$2,Inputs!$K$4:$AJ$4,0))))=0,NA(),SUMPRODUCT((Inputs!$A$5:$A$120=$B61)*Inputs!$B$5:$B$120*(((Inputs!$G$5:$G$120="moeda")+(Inputs!$G$5:$G$120="acoes"))*Inputs!$B$1+((Inputs!$G$5:$G$120&lt;&gt;"moeda")*(Inputs!$G$5:$G$120&lt;&gt;"acoes")))*INDEX(Inputs!$K$5:$AJ$120,0,MATCH(AJ$2,Inputs!$K$4:$AJ$4,0)))+SUMPRODUCT((Inputs!$C$5:$C$120=$B61)*Inputs!$D$5:$D$120*(((Inputs!$G$5:$G$120="moeda")+(Inputs!$G$5:$G$120="acoes"))*Inputs!$B$1+((Inputs!$G$5:$G$120&lt;&gt;"moeda")*(Inputs!$G$5:$G$120&lt;&gt;"acoes")))*INDEX(Inputs!$K$5:$AJ$120,0,MATCH(AJ$2,Inputs!$K$4:$AJ$4,0)))+SUMPRODUCT((Inputs!$E$5:$E$120=$B61)*Inputs!$F$5:$F$120*(((Inputs!$G$5:$G$120="moeda")+(Inputs!$G$5:$G$120="acoes"))*Inputs!$B$1+((Inputs!$G$5:$G$120&lt;&gt;"moeda")*(Inputs!$G$5:$G$120&lt;&gt;"acoes")))*INDEX(Inputs!$K$5:$AJ$120,0,MATCH(AJ$2,Inputs!$K$4:$AJ$4,0)))))</f>
        <v>0</v>
      </c>
      <c r="AK61" s="513">
        <f>IF(ISNA(MATCH(AK$2,Inputs!$K$4:$AJ$4,0)),NA(),IF(SUMPRODUCT((Inputs!$A$5:$A$120=$B61)*ISNUMBER(INDEX(Inputs!$K$5:$AJ$120,0,MATCH(AK$2,Inputs!$K$4:$AJ$4,0))))+SUMPRODUCT((Inputs!$C$5:$C$120=$B61)*ISNUMBER(INDEX(Inputs!$K$5:$AJ$120,0,MATCH(AK$2,Inputs!$K$4:$AJ$4,0))))+SUMPRODUCT((Inputs!$E$5:$E$120=$B61)*ISNUMBER(INDEX(Inputs!$K$5:$AJ$120,0,MATCH(AK$2,Inputs!$K$4:$AJ$4,0))))=0,NA(),SUMPRODUCT((Inputs!$A$5:$A$120=$B61)*Inputs!$B$5:$B$120*(((Inputs!$G$5:$G$120="moeda")+(Inputs!$G$5:$G$120="acoes"))*Inputs!$B$1+((Inputs!$G$5:$G$120&lt;&gt;"moeda")*(Inputs!$G$5:$G$120&lt;&gt;"acoes")))*INDEX(Inputs!$K$5:$AJ$120,0,MATCH(AK$2,Inputs!$K$4:$AJ$4,0)))+SUMPRODUCT((Inputs!$C$5:$C$120=$B61)*Inputs!$D$5:$D$120*(((Inputs!$G$5:$G$120="moeda")+(Inputs!$G$5:$G$120="acoes"))*Inputs!$B$1+((Inputs!$G$5:$G$120&lt;&gt;"moeda")*(Inputs!$G$5:$G$120&lt;&gt;"acoes")))*INDEX(Inputs!$K$5:$AJ$120,0,MATCH(AK$2,Inputs!$K$4:$AJ$4,0)))+SUMPRODUCT((Inputs!$E$5:$E$120=$B61)*Inputs!$F$5:$F$120*(((Inputs!$G$5:$G$120="moeda")+(Inputs!$G$5:$G$120="acoes"))*Inputs!$B$1+((Inputs!$G$5:$G$120&lt;&gt;"moeda")*(Inputs!$G$5:$G$120&lt;&gt;"acoes")))*INDEX(Inputs!$K$5:$AJ$120,0,MATCH(AK$2,Inputs!$K$4:$AJ$4,0)))))</f>
        <v>0</v>
      </c>
      <c r="AL61" s="514" t="e">
        <f>SUM(AH61:AK61)</f>
        <v>#N/A</v>
      </c>
    </row>
    <row r="62">
      <c r="B62" s="265" t="n">
        <v>54</v>
      </c>
      <c r="C62" s="266" t="inlineStr">
        <is>
          <t>Nova estrutura - Soybean Processing &amp; Refining (USD)</t>
        </is>
      </c>
      <c r="D62" s="513" t="e">
        <f>IF(ISNA(MATCH(D$2,Inputs!$K$4:$AJ$4,0)),NA(),IF(SUMPRODUCT((Inputs!$A$5:$A$120=$B62)*ISNUMBER(INDEX(Inputs!$K$5:$AJ$120,0,MATCH(D$2,Inputs!$K$4:$AJ$4,0))))+SUMPRODUCT((Inputs!$C$5:$C$120=$B62)*ISNUMBER(INDEX(Inputs!$K$5:$AJ$120,0,MATCH(D$2,Inputs!$K$4:$AJ$4,0))))+SUMPRODUCT((Inputs!$E$5:$E$120=$B62)*ISNUMBER(INDEX(Inputs!$K$5:$AJ$120,0,MATCH(D$2,Inputs!$K$4:$AJ$4,0))))=0,NA(),SUMPRODUCT((Inputs!$A$5:$A$120=$B62)*Inputs!$B$5:$B$120*(((Inputs!$G$5:$G$120="moeda")+(Inputs!$G$5:$G$120="acoes"))*Inputs!$B$1+((Inputs!$G$5:$G$120&lt;&gt;"moeda")*(Inputs!$G$5:$G$120&lt;&gt;"acoes")))*INDEX(Inputs!$K$5:$AJ$120,0,MATCH(D$2,Inputs!$K$4:$AJ$4,0)))+SUMPRODUCT((Inputs!$C$5:$C$120=$B62)*Inputs!$D$5:$D$120*(((Inputs!$G$5:$G$120="moeda")+(Inputs!$G$5:$G$120="acoes"))*Inputs!$B$1+((Inputs!$G$5:$G$120&lt;&gt;"moeda")*(Inputs!$G$5:$G$120&lt;&gt;"acoes")))*INDEX(Inputs!$K$5:$AJ$120,0,MATCH(D$2,Inputs!$K$4:$AJ$4,0)))+SUMPRODUCT((Inputs!$E$5:$E$120=$B62)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2" s="513" t="e">
        <f>IF(ISNA(MATCH(E$2,Inputs!$K$4:$AJ$4,0)),NA(),IF(SUMPRODUCT((Inputs!$A$5:$A$120=$B62)*ISNUMBER(INDEX(Inputs!$K$5:$AJ$120,0,MATCH(E$2,Inputs!$K$4:$AJ$4,0))))+SUMPRODUCT((Inputs!$C$5:$C$120=$B62)*ISNUMBER(INDEX(Inputs!$K$5:$AJ$120,0,MATCH(E$2,Inputs!$K$4:$AJ$4,0))))+SUMPRODUCT((Inputs!$E$5:$E$120=$B62)*ISNUMBER(INDEX(Inputs!$K$5:$AJ$120,0,MATCH(E$2,Inputs!$K$4:$AJ$4,0))))=0,NA(),SUMPRODUCT((Inputs!$A$5:$A$120=$B62)*Inputs!$B$5:$B$120*(((Inputs!$G$5:$G$120="moeda")+(Inputs!$G$5:$G$120="acoes"))*Inputs!$B$1+((Inputs!$G$5:$G$120&lt;&gt;"moeda")*(Inputs!$G$5:$G$120&lt;&gt;"acoes")))*INDEX(Inputs!$K$5:$AJ$120,0,MATCH(E$2,Inputs!$K$4:$AJ$4,0)))+SUMPRODUCT((Inputs!$C$5:$C$120=$B62)*Inputs!$D$5:$D$120*(((Inputs!$G$5:$G$120="moeda")+(Inputs!$G$5:$G$120="acoes"))*Inputs!$B$1+((Inputs!$G$5:$G$120&lt;&gt;"moeda")*(Inputs!$G$5:$G$120&lt;&gt;"acoes")))*INDEX(Inputs!$K$5:$AJ$120,0,MATCH(E$2,Inputs!$K$4:$AJ$4,0)))+SUMPRODUCT((Inputs!$E$5:$E$120=$B62)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2" s="513" t="e">
        <f>IF(ISNA(MATCH(F$2,Inputs!$K$4:$AJ$4,0)),NA(),IF(SUMPRODUCT((Inputs!$A$5:$A$120=$B62)*ISNUMBER(INDEX(Inputs!$K$5:$AJ$120,0,MATCH(F$2,Inputs!$K$4:$AJ$4,0))))+SUMPRODUCT((Inputs!$C$5:$C$120=$B62)*ISNUMBER(INDEX(Inputs!$K$5:$AJ$120,0,MATCH(F$2,Inputs!$K$4:$AJ$4,0))))+SUMPRODUCT((Inputs!$E$5:$E$120=$B62)*ISNUMBER(INDEX(Inputs!$K$5:$AJ$120,0,MATCH(F$2,Inputs!$K$4:$AJ$4,0))))=0,NA(),SUMPRODUCT((Inputs!$A$5:$A$120=$B62)*Inputs!$B$5:$B$120*(((Inputs!$G$5:$G$120="moeda")+(Inputs!$G$5:$G$120="acoes"))*Inputs!$B$1+((Inputs!$G$5:$G$120&lt;&gt;"moeda")*(Inputs!$G$5:$G$120&lt;&gt;"acoes")))*INDEX(Inputs!$K$5:$AJ$120,0,MATCH(F$2,Inputs!$K$4:$AJ$4,0)))+SUMPRODUCT((Inputs!$C$5:$C$120=$B62)*Inputs!$D$5:$D$120*(((Inputs!$G$5:$G$120="moeda")+(Inputs!$G$5:$G$120="acoes"))*Inputs!$B$1+((Inputs!$G$5:$G$120&lt;&gt;"moeda")*(Inputs!$G$5:$G$120&lt;&gt;"acoes")))*INDEX(Inputs!$K$5:$AJ$120,0,MATCH(F$2,Inputs!$K$4:$AJ$4,0)))+SUMPRODUCT((Inputs!$E$5:$E$120=$B62)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2" s="513" t="e">
        <f>IF(ISNA(MATCH(G$2,Inputs!$K$4:$AJ$4,0)),NA(),IF(SUMPRODUCT((Inputs!$A$5:$A$120=$B62)*ISNUMBER(INDEX(Inputs!$K$5:$AJ$120,0,MATCH(G$2,Inputs!$K$4:$AJ$4,0))))+SUMPRODUCT((Inputs!$C$5:$C$120=$B62)*ISNUMBER(INDEX(Inputs!$K$5:$AJ$120,0,MATCH(G$2,Inputs!$K$4:$AJ$4,0))))+SUMPRODUCT((Inputs!$E$5:$E$120=$B62)*ISNUMBER(INDEX(Inputs!$K$5:$AJ$120,0,MATCH(G$2,Inputs!$K$4:$AJ$4,0))))=0,NA(),SUMPRODUCT((Inputs!$A$5:$A$120=$B62)*Inputs!$B$5:$B$120*(((Inputs!$G$5:$G$120="moeda")+(Inputs!$G$5:$G$120="acoes"))*Inputs!$B$1+((Inputs!$G$5:$G$120&lt;&gt;"moeda")*(Inputs!$G$5:$G$120&lt;&gt;"acoes")))*INDEX(Inputs!$K$5:$AJ$120,0,MATCH(G$2,Inputs!$K$4:$AJ$4,0)))+SUMPRODUCT((Inputs!$C$5:$C$120=$B62)*Inputs!$D$5:$D$120*(((Inputs!$G$5:$G$120="moeda")+(Inputs!$G$5:$G$120="acoes"))*Inputs!$B$1+((Inputs!$G$5:$G$120&lt;&gt;"moeda")*(Inputs!$G$5:$G$120&lt;&gt;"acoes")))*INDEX(Inputs!$K$5:$AJ$120,0,MATCH(G$2,Inputs!$K$4:$AJ$4,0)))+SUMPRODUCT((Inputs!$E$5:$E$120=$B62)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2" s="514" t="e">
        <f>SUM(D62:G62)</f>
        <v>#N/A</v>
      </c>
      <c r="I62" s="513" t="e">
        <f>IF(ISNA(MATCH(I$2,Inputs!$K$4:$AJ$4,0)),NA(),IF(SUMPRODUCT((Inputs!$A$5:$A$120=$B62)*ISNUMBER(INDEX(Inputs!$K$5:$AJ$120,0,MATCH(I$2,Inputs!$K$4:$AJ$4,0))))+SUMPRODUCT((Inputs!$C$5:$C$120=$B62)*ISNUMBER(INDEX(Inputs!$K$5:$AJ$120,0,MATCH(I$2,Inputs!$K$4:$AJ$4,0))))+SUMPRODUCT((Inputs!$E$5:$E$120=$B62)*ISNUMBER(INDEX(Inputs!$K$5:$AJ$120,0,MATCH(I$2,Inputs!$K$4:$AJ$4,0))))=0,NA(),SUMPRODUCT((Inputs!$A$5:$A$120=$B62)*Inputs!$B$5:$B$120*(((Inputs!$G$5:$G$120="moeda")+(Inputs!$G$5:$G$120="acoes"))*Inputs!$B$1+((Inputs!$G$5:$G$120&lt;&gt;"moeda")*(Inputs!$G$5:$G$120&lt;&gt;"acoes")))*INDEX(Inputs!$K$5:$AJ$120,0,MATCH(I$2,Inputs!$K$4:$AJ$4,0)))+SUMPRODUCT((Inputs!$C$5:$C$120=$B62)*Inputs!$D$5:$D$120*(((Inputs!$G$5:$G$120="moeda")+(Inputs!$G$5:$G$120="acoes"))*Inputs!$B$1+((Inputs!$G$5:$G$120&lt;&gt;"moeda")*(Inputs!$G$5:$G$120&lt;&gt;"acoes")))*INDEX(Inputs!$K$5:$AJ$120,0,MATCH(I$2,Inputs!$K$4:$AJ$4,0)))+SUMPRODUCT((Inputs!$E$5:$E$120=$B62)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2" s="513" t="e">
        <f>IF(ISNA(MATCH(J$2,Inputs!$K$4:$AJ$4,0)),NA(),IF(SUMPRODUCT((Inputs!$A$5:$A$120=$B62)*ISNUMBER(INDEX(Inputs!$K$5:$AJ$120,0,MATCH(J$2,Inputs!$K$4:$AJ$4,0))))+SUMPRODUCT((Inputs!$C$5:$C$120=$B62)*ISNUMBER(INDEX(Inputs!$K$5:$AJ$120,0,MATCH(J$2,Inputs!$K$4:$AJ$4,0))))+SUMPRODUCT((Inputs!$E$5:$E$120=$B62)*ISNUMBER(INDEX(Inputs!$K$5:$AJ$120,0,MATCH(J$2,Inputs!$K$4:$AJ$4,0))))=0,NA(),SUMPRODUCT((Inputs!$A$5:$A$120=$B62)*Inputs!$B$5:$B$120*(((Inputs!$G$5:$G$120="moeda")+(Inputs!$G$5:$G$120="acoes"))*Inputs!$B$1+((Inputs!$G$5:$G$120&lt;&gt;"moeda")*(Inputs!$G$5:$G$120&lt;&gt;"acoes")))*INDEX(Inputs!$K$5:$AJ$120,0,MATCH(J$2,Inputs!$K$4:$AJ$4,0)))+SUMPRODUCT((Inputs!$C$5:$C$120=$B62)*Inputs!$D$5:$D$120*(((Inputs!$G$5:$G$120="moeda")+(Inputs!$G$5:$G$120="acoes"))*Inputs!$B$1+((Inputs!$G$5:$G$120&lt;&gt;"moeda")*(Inputs!$G$5:$G$120&lt;&gt;"acoes")))*INDEX(Inputs!$K$5:$AJ$120,0,MATCH(J$2,Inputs!$K$4:$AJ$4,0)))+SUMPRODUCT((Inputs!$E$5:$E$120=$B62)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2" s="513" t="e">
        <f>IF(ISNA(MATCH(K$2,Inputs!$K$4:$AJ$4,0)),NA(),IF(SUMPRODUCT((Inputs!$A$5:$A$120=$B62)*ISNUMBER(INDEX(Inputs!$K$5:$AJ$120,0,MATCH(K$2,Inputs!$K$4:$AJ$4,0))))+SUMPRODUCT((Inputs!$C$5:$C$120=$B62)*ISNUMBER(INDEX(Inputs!$K$5:$AJ$120,0,MATCH(K$2,Inputs!$K$4:$AJ$4,0))))+SUMPRODUCT((Inputs!$E$5:$E$120=$B62)*ISNUMBER(INDEX(Inputs!$K$5:$AJ$120,0,MATCH(K$2,Inputs!$K$4:$AJ$4,0))))=0,NA(),SUMPRODUCT((Inputs!$A$5:$A$120=$B62)*Inputs!$B$5:$B$120*(((Inputs!$G$5:$G$120="moeda")+(Inputs!$G$5:$G$120="acoes"))*Inputs!$B$1+((Inputs!$G$5:$G$120&lt;&gt;"moeda")*(Inputs!$G$5:$G$120&lt;&gt;"acoes")))*INDEX(Inputs!$K$5:$AJ$120,0,MATCH(K$2,Inputs!$K$4:$AJ$4,0)))+SUMPRODUCT((Inputs!$C$5:$C$120=$B62)*Inputs!$D$5:$D$120*(((Inputs!$G$5:$G$120="moeda")+(Inputs!$G$5:$G$120="acoes"))*Inputs!$B$1+((Inputs!$G$5:$G$120&lt;&gt;"moeda")*(Inputs!$G$5:$G$120&lt;&gt;"acoes")))*INDEX(Inputs!$K$5:$AJ$120,0,MATCH(K$2,Inputs!$K$4:$AJ$4,0)))+SUMPRODUCT((Inputs!$E$5:$E$120=$B62)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2" s="513" t="e">
        <f>IF(ISNA(MATCH(L$2,Inputs!$K$4:$AJ$4,0)),NA(),IF(SUMPRODUCT((Inputs!$A$5:$A$120=$B62)*ISNUMBER(INDEX(Inputs!$K$5:$AJ$120,0,MATCH(L$2,Inputs!$K$4:$AJ$4,0))))+SUMPRODUCT((Inputs!$C$5:$C$120=$B62)*ISNUMBER(INDEX(Inputs!$K$5:$AJ$120,0,MATCH(L$2,Inputs!$K$4:$AJ$4,0))))+SUMPRODUCT((Inputs!$E$5:$E$120=$B62)*ISNUMBER(INDEX(Inputs!$K$5:$AJ$120,0,MATCH(L$2,Inputs!$K$4:$AJ$4,0))))=0,NA(),SUMPRODUCT((Inputs!$A$5:$A$120=$B62)*Inputs!$B$5:$B$120*(((Inputs!$G$5:$G$120="moeda")+(Inputs!$G$5:$G$120="acoes"))*Inputs!$B$1+((Inputs!$G$5:$G$120&lt;&gt;"moeda")*(Inputs!$G$5:$G$120&lt;&gt;"acoes")))*INDEX(Inputs!$K$5:$AJ$120,0,MATCH(L$2,Inputs!$K$4:$AJ$4,0)))+SUMPRODUCT((Inputs!$C$5:$C$120=$B62)*Inputs!$D$5:$D$120*(((Inputs!$G$5:$G$120="moeda")+(Inputs!$G$5:$G$120="acoes"))*Inputs!$B$1+((Inputs!$G$5:$G$120&lt;&gt;"moeda")*(Inputs!$G$5:$G$120&lt;&gt;"acoes")))*INDEX(Inputs!$K$5:$AJ$120,0,MATCH(L$2,Inputs!$K$4:$AJ$4,0)))+SUMPRODUCT((Inputs!$E$5:$E$120=$B62)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2" s="514" t="e">
        <f>SUM(I62:L62)</f>
        <v>#N/A</v>
      </c>
      <c r="N62" s="513" t="e">
        <f>IF(ISNA(MATCH(N$2,Inputs!$K$4:$AJ$4,0)),NA(),IF(SUMPRODUCT((Inputs!$A$5:$A$120=$B62)*ISNUMBER(INDEX(Inputs!$K$5:$AJ$120,0,MATCH(N$2,Inputs!$K$4:$AJ$4,0))))+SUMPRODUCT((Inputs!$C$5:$C$120=$B62)*ISNUMBER(INDEX(Inputs!$K$5:$AJ$120,0,MATCH(N$2,Inputs!$K$4:$AJ$4,0))))+SUMPRODUCT((Inputs!$E$5:$E$120=$B62)*ISNUMBER(INDEX(Inputs!$K$5:$AJ$120,0,MATCH(N$2,Inputs!$K$4:$AJ$4,0))))=0,NA(),SUMPRODUCT((Inputs!$A$5:$A$120=$B62)*Inputs!$B$5:$B$120*(((Inputs!$G$5:$G$120="moeda")+(Inputs!$G$5:$G$120="acoes"))*Inputs!$B$1+((Inputs!$G$5:$G$120&lt;&gt;"moeda")*(Inputs!$G$5:$G$120&lt;&gt;"acoes")))*INDEX(Inputs!$K$5:$AJ$120,0,MATCH(N$2,Inputs!$K$4:$AJ$4,0)))+SUMPRODUCT((Inputs!$C$5:$C$120=$B62)*Inputs!$D$5:$D$120*(((Inputs!$G$5:$G$120="moeda")+(Inputs!$G$5:$G$120="acoes"))*Inputs!$B$1+((Inputs!$G$5:$G$120&lt;&gt;"moeda")*(Inputs!$G$5:$G$120&lt;&gt;"acoes")))*INDEX(Inputs!$K$5:$AJ$120,0,MATCH(N$2,Inputs!$K$4:$AJ$4,0)))+SUMPRODUCT((Inputs!$E$5:$E$120=$B62)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2" s="513" t="e">
        <f>IF(ISNA(MATCH(O$2,Inputs!$K$4:$AJ$4,0)),NA(),IF(SUMPRODUCT((Inputs!$A$5:$A$120=$B62)*ISNUMBER(INDEX(Inputs!$K$5:$AJ$120,0,MATCH(O$2,Inputs!$K$4:$AJ$4,0))))+SUMPRODUCT((Inputs!$C$5:$C$120=$B62)*ISNUMBER(INDEX(Inputs!$K$5:$AJ$120,0,MATCH(O$2,Inputs!$K$4:$AJ$4,0))))+SUMPRODUCT((Inputs!$E$5:$E$120=$B62)*ISNUMBER(INDEX(Inputs!$K$5:$AJ$120,0,MATCH(O$2,Inputs!$K$4:$AJ$4,0))))=0,NA(),SUMPRODUCT((Inputs!$A$5:$A$120=$B62)*Inputs!$B$5:$B$120*(((Inputs!$G$5:$G$120="moeda")+(Inputs!$G$5:$G$120="acoes"))*Inputs!$B$1+((Inputs!$G$5:$G$120&lt;&gt;"moeda")*(Inputs!$G$5:$G$120&lt;&gt;"acoes")))*INDEX(Inputs!$K$5:$AJ$120,0,MATCH(O$2,Inputs!$K$4:$AJ$4,0)))+SUMPRODUCT((Inputs!$C$5:$C$120=$B62)*Inputs!$D$5:$D$120*(((Inputs!$G$5:$G$120="moeda")+(Inputs!$G$5:$G$120="acoes"))*Inputs!$B$1+((Inputs!$G$5:$G$120&lt;&gt;"moeda")*(Inputs!$G$5:$G$120&lt;&gt;"acoes")))*INDEX(Inputs!$K$5:$AJ$120,0,MATCH(O$2,Inputs!$K$4:$AJ$4,0)))+SUMPRODUCT((Inputs!$E$5:$E$120=$B62)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2" s="513" t="e">
        <f>IF(ISNA(MATCH(P$2,Inputs!$K$4:$AJ$4,0)),NA(),IF(SUMPRODUCT((Inputs!$A$5:$A$120=$B62)*ISNUMBER(INDEX(Inputs!$K$5:$AJ$120,0,MATCH(P$2,Inputs!$K$4:$AJ$4,0))))+SUMPRODUCT((Inputs!$C$5:$C$120=$B62)*ISNUMBER(INDEX(Inputs!$K$5:$AJ$120,0,MATCH(P$2,Inputs!$K$4:$AJ$4,0))))+SUMPRODUCT((Inputs!$E$5:$E$120=$B62)*ISNUMBER(INDEX(Inputs!$K$5:$AJ$120,0,MATCH(P$2,Inputs!$K$4:$AJ$4,0))))=0,NA(),SUMPRODUCT((Inputs!$A$5:$A$120=$B62)*Inputs!$B$5:$B$120*(((Inputs!$G$5:$G$120="moeda")+(Inputs!$G$5:$G$120="acoes"))*Inputs!$B$1+((Inputs!$G$5:$G$120&lt;&gt;"moeda")*(Inputs!$G$5:$G$120&lt;&gt;"acoes")))*INDEX(Inputs!$K$5:$AJ$120,0,MATCH(P$2,Inputs!$K$4:$AJ$4,0)))+SUMPRODUCT((Inputs!$C$5:$C$120=$B62)*Inputs!$D$5:$D$120*(((Inputs!$G$5:$G$120="moeda")+(Inputs!$G$5:$G$120="acoes"))*Inputs!$B$1+((Inputs!$G$5:$G$120&lt;&gt;"moeda")*(Inputs!$G$5:$G$120&lt;&gt;"acoes")))*INDEX(Inputs!$K$5:$AJ$120,0,MATCH(P$2,Inputs!$K$4:$AJ$4,0)))+SUMPRODUCT((Inputs!$E$5:$E$120=$B62)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2" s="513" t="e">
        <f>IF(ISNA(MATCH(Q$2,Inputs!$K$4:$AJ$4,0)),NA(),IF(SUMPRODUCT((Inputs!$A$5:$A$120=$B62)*ISNUMBER(INDEX(Inputs!$K$5:$AJ$120,0,MATCH(Q$2,Inputs!$K$4:$AJ$4,0))))+SUMPRODUCT((Inputs!$C$5:$C$120=$B62)*ISNUMBER(INDEX(Inputs!$K$5:$AJ$120,0,MATCH(Q$2,Inputs!$K$4:$AJ$4,0))))+SUMPRODUCT((Inputs!$E$5:$E$120=$B62)*ISNUMBER(INDEX(Inputs!$K$5:$AJ$120,0,MATCH(Q$2,Inputs!$K$4:$AJ$4,0))))=0,NA(),SUMPRODUCT((Inputs!$A$5:$A$120=$B62)*Inputs!$B$5:$B$120*(((Inputs!$G$5:$G$120="moeda")+(Inputs!$G$5:$G$120="acoes"))*Inputs!$B$1+((Inputs!$G$5:$G$120&lt;&gt;"moeda")*(Inputs!$G$5:$G$120&lt;&gt;"acoes")))*INDEX(Inputs!$K$5:$AJ$120,0,MATCH(Q$2,Inputs!$K$4:$AJ$4,0)))+SUMPRODUCT((Inputs!$C$5:$C$120=$B62)*Inputs!$D$5:$D$120*(((Inputs!$G$5:$G$120="moeda")+(Inputs!$G$5:$G$120="acoes"))*Inputs!$B$1+((Inputs!$G$5:$G$120&lt;&gt;"moeda")*(Inputs!$G$5:$G$120&lt;&gt;"acoes")))*INDEX(Inputs!$K$5:$AJ$120,0,MATCH(Q$2,Inputs!$K$4:$AJ$4,0)))+SUMPRODUCT((Inputs!$E$5:$E$120=$B62)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2" s="514" t="e">
        <f>SUM(N62:Q62)</f>
        <v>#N/A</v>
      </c>
      <c r="S62" s="513" t="e">
        <f>IF(ISNA(MATCH(S$2,Inputs!$K$4:$AJ$4,0)),NA(),IF(SUMPRODUCT((Inputs!$A$5:$A$120=$B62)*ISNUMBER(INDEX(Inputs!$K$5:$AJ$120,0,MATCH(S$2,Inputs!$K$4:$AJ$4,0))))+SUMPRODUCT((Inputs!$C$5:$C$120=$B62)*ISNUMBER(INDEX(Inputs!$K$5:$AJ$120,0,MATCH(S$2,Inputs!$K$4:$AJ$4,0))))+SUMPRODUCT((Inputs!$E$5:$E$120=$B62)*ISNUMBER(INDEX(Inputs!$K$5:$AJ$120,0,MATCH(S$2,Inputs!$K$4:$AJ$4,0))))=0,NA(),SUMPRODUCT((Inputs!$A$5:$A$120=$B62)*Inputs!$B$5:$B$120*(((Inputs!$G$5:$G$120="moeda")+(Inputs!$G$5:$G$120="acoes"))*Inputs!$B$1+((Inputs!$G$5:$G$120&lt;&gt;"moeda")*(Inputs!$G$5:$G$120&lt;&gt;"acoes")))*INDEX(Inputs!$K$5:$AJ$120,0,MATCH(S$2,Inputs!$K$4:$AJ$4,0)))+SUMPRODUCT((Inputs!$C$5:$C$120=$B62)*Inputs!$D$5:$D$120*(((Inputs!$G$5:$G$120="moeda")+(Inputs!$G$5:$G$120="acoes"))*Inputs!$B$1+((Inputs!$G$5:$G$120&lt;&gt;"moeda")*(Inputs!$G$5:$G$120&lt;&gt;"acoes")))*INDEX(Inputs!$K$5:$AJ$120,0,MATCH(S$2,Inputs!$K$4:$AJ$4,0)))+SUMPRODUCT((Inputs!$E$5:$E$120=$B62)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2" s="513" t="e">
        <f>IF(ISNA(MATCH(T$2,Inputs!$K$4:$AJ$4,0)),NA(),IF(SUMPRODUCT((Inputs!$A$5:$A$120=$B62)*ISNUMBER(INDEX(Inputs!$K$5:$AJ$120,0,MATCH(T$2,Inputs!$K$4:$AJ$4,0))))+SUMPRODUCT((Inputs!$C$5:$C$120=$B62)*ISNUMBER(INDEX(Inputs!$K$5:$AJ$120,0,MATCH(T$2,Inputs!$K$4:$AJ$4,0))))+SUMPRODUCT((Inputs!$E$5:$E$120=$B62)*ISNUMBER(INDEX(Inputs!$K$5:$AJ$120,0,MATCH(T$2,Inputs!$K$4:$AJ$4,0))))=0,NA(),SUMPRODUCT((Inputs!$A$5:$A$120=$B62)*Inputs!$B$5:$B$120*(((Inputs!$G$5:$G$120="moeda")+(Inputs!$G$5:$G$120="acoes"))*Inputs!$B$1+((Inputs!$G$5:$G$120&lt;&gt;"moeda")*(Inputs!$G$5:$G$120&lt;&gt;"acoes")))*INDEX(Inputs!$K$5:$AJ$120,0,MATCH(T$2,Inputs!$K$4:$AJ$4,0)))+SUMPRODUCT((Inputs!$C$5:$C$120=$B62)*Inputs!$D$5:$D$120*(((Inputs!$G$5:$G$120="moeda")+(Inputs!$G$5:$G$120="acoes"))*Inputs!$B$1+((Inputs!$G$5:$G$120&lt;&gt;"moeda")*(Inputs!$G$5:$G$120&lt;&gt;"acoes")))*INDEX(Inputs!$K$5:$AJ$120,0,MATCH(T$2,Inputs!$K$4:$AJ$4,0)))+SUMPRODUCT((Inputs!$E$5:$E$120=$B62)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2" s="513">
        <f>IF(ISNA(MATCH(U$2,Inputs!$K$4:$AJ$4,0)),NA(),IF(SUMPRODUCT((Inputs!$A$5:$A$120=$B62)*ISNUMBER(INDEX(Inputs!$K$5:$AJ$120,0,MATCH(U$2,Inputs!$K$4:$AJ$4,0))))+SUMPRODUCT((Inputs!$C$5:$C$120=$B62)*ISNUMBER(INDEX(Inputs!$K$5:$AJ$120,0,MATCH(U$2,Inputs!$K$4:$AJ$4,0))))+SUMPRODUCT((Inputs!$E$5:$E$120=$B62)*ISNUMBER(INDEX(Inputs!$K$5:$AJ$120,0,MATCH(U$2,Inputs!$K$4:$AJ$4,0))))=0,NA(),SUMPRODUCT((Inputs!$A$5:$A$120=$B62)*Inputs!$B$5:$B$120*(((Inputs!$G$5:$G$120="moeda")+(Inputs!$G$5:$G$120="acoes"))*Inputs!$B$1+((Inputs!$G$5:$G$120&lt;&gt;"moeda")*(Inputs!$G$5:$G$120&lt;&gt;"acoes")))*INDEX(Inputs!$K$5:$AJ$120,0,MATCH(U$2,Inputs!$K$4:$AJ$4,0)))+SUMPRODUCT((Inputs!$C$5:$C$120=$B62)*Inputs!$D$5:$D$120*(((Inputs!$G$5:$G$120="moeda")+(Inputs!$G$5:$G$120="acoes"))*Inputs!$B$1+((Inputs!$G$5:$G$120&lt;&gt;"moeda")*(Inputs!$G$5:$G$120&lt;&gt;"acoes")))*INDEX(Inputs!$K$5:$AJ$120,0,MATCH(U$2,Inputs!$K$4:$AJ$4,0)))+SUMPRODUCT((Inputs!$E$5:$E$120=$B62)*Inputs!$F$5:$F$120*(((Inputs!$G$5:$G$120="moeda")+(Inputs!$G$5:$G$120="acoes"))*Inputs!$B$1+((Inputs!$G$5:$G$120&lt;&gt;"moeda")*(Inputs!$G$5:$G$120&lt;&gt;"acoes")))*INDEX(Inputs!$K$5:$AJ$120,0,MATCH(U$2,Inputs!$K$4:$AJ$4,0)))))</f>
        <v>7857</v>
      </c>
      <c r="V62" s="513">
        <f>IF(ISNA(MATCH(V$2,Inputs!$K$4:$AJ$4,0)),NA(),IF(SUMPRODUCT((Inputs!$A$5:$A$120=$B62)*ISNUMBER(INDEX(Inputs!$K$5:$AJ$120,0,MATCH(V$2,Inputs!$K$4:$AJ$4,0))))+SUMPRODUCT((Inputs!$C$5:$C$120=$B62)*ISNUMBER(INDEX(Inputs!$K$5:$AJ$120,0,MATCH(V$2,Inputs!$K$4:$AJ$4,0))))+SUMPRODUCT((Inputs!$E$5:$E$120=$B62)*ISNUMBER(INDEX(Inputs!$K$5:$AJ$120,0,MATCH(V$2,Inputs!$K$4:$AJ$4,0))))=0,NA(),SUMPRODUCT((Inputs!$A$5:$A$120=$B62)*Inputs!$B$5:$B$120*(((Inputs!$G$5:$G$120="moeda")+(Inputs!$G$5:$G$120="acoes"))*Inputs!$B$1+((Inputs!$G$5:$G$120&lt;&gt;"moeda")*(Inputs!$G$5:$G$120&lt;&gt;"acoes")))*INDEX(Inputs!$K$5:$AJ$120,0,MATCH(V$2,Inputs!$K$4:$AJ$4,0)))+SUMPRODUCT((Inputs!$C$5:$C$120=$B62)*Inputs!$D$5:$D$120*(((Inputs!$G$5:$G$120="moeda")+(Inputs!$G$5:$G$120="acoes"))*Inputs!$B$1+((Inputs!$G$5:$G$120&lt;&gt;"moeda")*(Inputs!$G$5:$G$120&lt;&gt;"acoes")))*INDEX(Inputs!$K$5:$AJ$120,0,MATCH(V$2,Inputs!$K$4:$AJ$4,0)))+SUMPRODUCT((Inputs!$E$5:$E$120=$B62)*Inputs!$F$5:$F$120*(((Inputs!$G$5:$G$120="moeda")+(Inputs!$G$5:$G$120="acoes"))*Inputs!$B$1+((Inputs!$G$5:$G$120&lt;&gt;"moeda")*(Inputs!$G$5:$G$120&lt;&gt;"acoes")))*INDEX(Inputs!$K$5:$AJ$120,0,MATCH(V$2,Inputs!$K$4:$AJ$4,0)))))</f>
        <v>8374</v>
      </c>
      <c r="W62" s="514" t="e">
        <f>SUM(S62:V62)</f>
        <v>#N/A</v>
      </c>
      <c r="X62" s="513">
        <f>IF(ISNA(MATCH(X$2,Inputs!$K$4:$AJ$4,0)),NA(),IF(SUMPRODUCT((Inputs!$A$5:$A$120=$B62)*ISNUMBER(INDEX(Inputs!$K$5:$AJ$120,0,MATCH(X$2,Inputs!$K$4:$AJ$4,0))))+SUMPRODUCT((Inputs!$C$5:$C$120=$B62)*ISNUMBER(INDEX(Inputs!$K$5:$AJ$120,0,MATCH(X$2,Inputs!$K$4:$AJ$4,0))))+SUMPRODUCT((Inputs!$E$5:$E$120=$B62)*ISNUMBER(INDEX(Inputs!$K$5:$AJ$120,0,MATCH(X$2,Inputs!$K$4:$AJ$4,0))))=0,NA(),SUMPRODUCT((Inputs!$A$5:$A$120=$B62)*Inputs!$B$5:$B$120*(((Inputs!$G$5:$G$120="moeda")+(Inputs!$G$5:$G$120="acoes"))*Inputs!$B$1+((Inputs!$G$5:$G$120&lt;&gt;"moeda")*(Inputs!$G$5:$G$120&lt;&gt;"acoes")))*INDEX(Inputs!$K$5:$AJ$120,0,MATCH(X$2,Inputs!$K$4:$AJ$4,0)))+SUMPRODUCT((Inputs!$C$5:$C$120=$B62)*Inputs!$D$5:$D$120*(((Inputs!$G$5:$G$120="moeda")+(Inputs!$G$5:$G$120="acoes"))*Inputs!$B$1+((Inputs!$G$5:$G$120&lt;&gt;"moeda")*(Inputs!$G$5:$G$120&lt;&gt;"acoes")))*INDEX(Inputs!$K$5:$AJ$120,0,MATCH(X$2,Inputs!$K$4:$AJ$4,0)))+SUMPRODUCT((Inputs!$E$5:$E$120=$B62)*Inputs!$F$5:$F$120*(((Inputs!$G$5:$G$120="moeda")+(Inputs!$G$5:$G$120="acoes"))*Inputs!$B$1+((Inputs!$G$5:$G$120&lt;&gt;"moeda")*(Inputs!$G$5:$G$120&lt;&gt;"acoes")))*INDEX(Inputs!$K$5:$AJ$120,0,MATCH(X$2,Inputs!$K$4:$AJ$4,0)))))</f>
        <v>6661</v>
      </c>
      <c r="Y62" s="513">
        <f>IF(ISNA(MATCH(Y$2,Inputs!$K$4:$AJ$4,0)),NA(),IF(SUMPRODUCT((Inputs!$A$5:$A$120=$B62)*ISNUMBER(INDEX(Inputs!$K$5:$AJ$120,0,MATCH(Y$2,Inputs!$K$4:$AJ$4,0))))+SUMPRODUCT((Inputs!$C$5:$C$120=$B62)*ISNUMBER(INDEX(Inputs!$K$5:$AJ$120,0,MATCH(Y$2,Inputs!$K$4:$AJ$4,0))))+SUMPRODUCT((Inputs!$E$5:$E$120=$B62)*ISNUMBER(INDEX(Inputs!$K$5:$AJ$120,0,MATCH(Y$2,Inputs!$K$4:$AJ$4,0))))=0,NA(),SUMPRODUCT((Inputs!$A$5:$A$120=$B62)*Inputs!$B$5:$B$120*(((Inputs!$G$5:$G$120="moeda")+(Inputs!$G$5:$G$120="acoes"))*Inputs!$B$1+((Inputs!$G$5:$G$120&lt;&gt;"moeda")*(Inputs!$G$5:$G$120&lt;&gt;"acoes")))*INDEX(Inputs!$K$5:$AJ$120,0,MATCH(Y$2,Inputs!$K$4:$AJ$4,0)))+SUMPRODUCT((Inputs!$C$5:$C$120=$B62)*Inputs!$D$5:$D$120*(((Inputs!$G$5:$G$120="moeda")+(Inputs!$G$5:$G$120="acoes"))*Inputs!$B$1+((Inputs!$G$5:$G$120&lt;&gt;"moeda")*(Inputs!$G$5:$G$120&lt;&gt;"acoes")))*INDEX(Inputs!$K$5:$AJ$120,0,MATCH(Y$2,Inputs!$K$4:$AJ$4,0)))+SUMPRODUCT((Inputs!$E$5:$E$120=$B62)*Inputs!$F$5:$F$120*(((Inputs!$G$5:$G$120="moeda")+(Inputs!$G$5:$G$120="acoes"))*Inputs!$B$1+((Inputs!$G$5:$G$120&lt;&gt;"moeda")*(Inputs!$G$5:$G$120&lt;&gt;"acoes")))*INDEX(Inputs!$K$5:$AJ$120,0,MATCH(Y$2,Inputs!$K$4:$AJ$4,0)))))</f>
        <v>7750</v>
      </c>
      <c r="Z62" s="513">
        <f>IF(ISNA(MATCH(Z$2,Inputs!$K$4:$AJ$4,0)),NA(),IF(SUMPRODUCT((Inputs!$A$5:$A$120=$B62)*ISNUMBER(INDEX(Inputs!$K$5:$AJ$120,0,MATCH(Z$2,Inputs!$K$4:$AJ$4,0))))+SUMPRODUCT((Inputs!$C$5:$C$120=$B62)*ISNUMBER(INDEX(Inputs!$K$5:$AJ$120,0,MATCH(Z$2,Inputs!$K$4:$AJ$4,0))))+SUMPRODUCT((Inputs!$E$5:$E$120=$B62)*ISNUMBER(INDEX(Inputs!$K$5:$AJ$120,0,MATCH(Z$2,Inputs!$K$4:$AJ$4,0))))=0,NA(),SUMPRODUCT((Inputs!$A$5:$A$120=$B62)*Inputs!$B$5:$B$120*(((Inputs!$G$5:$G$120="moeda")+(Inputs!$G$5:$G$120="acoes"))*Inputs!$B$1+((Inputs!$G$5:$G$120&lt;&gt;"moeda")*(Inputs!$G$5:$G$120&lt;&gt;"acoes")))*INDEX(Inputs!$K$5:$AJ$120,0,MATCH(Z$2,Inputs!$K$4:$AJ$4,0)))+SUMPRODUCT((Inputs!$C$5:$C$120=$B62)*Inputs!$D$5:$D$120*(((Inputs!$G$5:$G$120="moeda")+(Inputs!$G$5:$G$120="acoes"))*Inputs!$B$1+((Inputs!$G$5:$G$120&lt;&gt;"moeda")*(Inputs!$G$5:$G$120&lt;&gt;"acoes")))*INDEX(Inputs!$K$5:$AJ$120,0,MATCH(Z$2,Inputs!$K$4:$AJ$4,0)))+SUMPRODUCT((Inputs!$E$5:$E$120=$B62)*Inputs!$F$5:$F$120*(((Inputs!$G$5:$G$120="moeda")+(Inputs!$G$5:$G$120="acoes"))*Inputs!$B$1+((Inputs!$G$5:$G$120&lt;&gt;"moeda")*(Inputs!$G$5:$G$120&lt;&gt;"acoes")))*INDEX(Inputs!$K$5:$AJ$120,0,MATCH(Z$2,Inputs!$K$4:$AJ$4,0)))))</f>
        <v>10857</v>
      </c>
      <c r="AA62" s="513">
        <f>IF(ISNA(MATCH(AA$2,Inputs!$K$4:$AJ$4,0)),NA(),IF(SUMPRODUCT((Inputs!$A$5:$A$120=$B62)*ISNUMBER(INDEX(Inputs!$K$5:$AJ$120,0,MATCH(AA$2,Inputs!$K$4:$AJ$4,0))))+SUMPRODUCT((Inputs!$C$5:$C$120=$B62)*ISNUMBER(INDEX(Inputs!$K$5:$AJ$120,0,MATCH(AA$2,Inputs!$K$4:$AJ$4,0))))+SUMPRODUCT((Inputs!$E$5:$E$120=$B62)*ISNUMBER(INDEX(Inputs!$K$5:$AJ$120,0,MATCH(AA$2,Inputs!$K$4:$AJ$4,0))))=0,NA(),SUMPRODUCT((Inputs!$A$5:$A$120=$B62)*Inputs!$B$5:$B$120*(((Inputs!$G$5:$G$120="moeda")+(Inputs!$G$5:$G$120="acoes"))*Inputs!$B$1+((Inputs!$G$5:$G$120&lt;&gt;"moeda")*(Inputs!$G$5:$G$120&lt;&gt;"acoes")))*INDEX(Inputs!$K$5:$AJ$120,0,MATCH(AA$2,Inputs!$K$4:$AJ$4,0)))+SUMPRODUCT((Inputs!$C$5:$C$120=$B62)*Inputs!$D$5:$D$120*(((Inputs!$G$5:$G$120="moeda")+(Inputs!$G$5:$G$120="acoes"))*Inputs!$B$1+((Inputs!$G$5:$G$120&lt;&gt;"moeda")*(Inputs!$G$5:$G$120&lt;&gt;"acoes")))*INDEX(Inputs!$K$5:$AJ$120,0,MATCH(AA$2,Inputs!$K$4:$AJ$4,0)))+SUMPRODUCT((Inputs!$E$5:$E$120=$B62)*Inputs!$F$5:$F$120*(((Inputs!$G$5:$G$120="moeda")+(Inputs!$G$5:$G$120="acoes"))*Inputs!$B$1+((Inputs!$G$5:$G$120&lt;&gt;"moeda")*(Inputs!$G$5:$G$120&lt;&gt;"acoes")))*INDEX(Inputs!$K$5:$AJ$120,0,MATCH(AA$2,Inputs!$K$4:$AJ$4,0)))))</f>
        <v>11045</v>
      </c>
      <c r="AB62" s="514">
        <f>SUM(X62:AA62)</f>
        <v>36313</v>
      </c>
      <c r="AC62" s="513">
        <f>IF(ISNA(MATCH(AC$2,Inputs!$K$4:$AJ$4,0)),NA(),IF(SUMPRODUCT((Inputs!$A$5:$A$120=$B62)*ISNUMBER(INDEX(Inputs!$K$5:$AJ$120,0,MATCH(AC$2,Inputs!$K$4:$AJ$4,0))))+SUMPRODUCT((Inputs!$C$5:$C$120=$B62)*ISNUMBER(INDEX(Inputs!$K$5:$AJ$120,0,MATCH(AC$2,Inputs!$K$4:$AJ$4,0))))+SUMPRODUCT((Inputs!$E$5:$E$120=$B62)*ISNUMBER(INDEX(Inputs!$K$5:$AJ$120,0,MATCH(AC$2,Inputs!$K$4:$AJ$4,0))))=0,NA(),SUMPRODUCT((Inputs!$A$5:$A$120=$B62)*Inputs!$B$5:$B$120*(((Inputs!$G$5:$G$120="moeda")+(Inputs!$G$5:$G$120="acoes"))*Inputs!$B$1+((Inputs!$G$5:$G$120&lt;&gt;"moeda")*(Inputs!$G$5:$G$120&lt;&gt;"acoes")))*INDEX(Inputs!$K$5:$AJ$120,0,MATCH(AC$2,Inputs!$K$4:$AJ$4,0)))+SUMPRODUCT((Inputs!$C$5:$C$120=$B62)*Inputs!$D$5:$D$120*(((Inputs!$G$5:$G$120="moeda")+(Inputs!$G$5:$G$120="acoes"))*Inputs!$B$1+((Inputs!$G$5:$G$120&lt;&gt;"moeda")*(Inputs!$G$5:$G$120&lt;&gt;"acoes")))*INDEX(Inputs!$K$5:$AJ$120,0,MATCH(AC$2,Inputs!$K$4:$AJ$4,0)))+SUMPRODUCT((Inputs!$E$5:$E$120=$B62)*Inputs!$F$5:$F$120*(((Inputs!$G$5:$G$120="moeda")+(Inputs!$G$5:$G$120="acoes"))*Inputs!$B$1+((Inputs!$G$5:$G$120&lt;&gt;"moeda")*(Inputs!$G$5:$G$120&lt;&gt;"acoes")))*INDEX(Inputs!$K$5:$AJ$120,0,MATCH(AC$2,Inputs!$K$4:$AJ$4,0)))))</f>
        <v>9552</v>
      </c>
      <c r="AD62" s="513">
        <f>IF(ISNA(MATCH(AD$2,Inputs!$K$4:$AJ$4,0)),NA(),IF(SUMPRODUCT((Inputs!$A$5:$A$120=$B62)*ISNUMBER(INDEX(Inputs!$K$5:$AJ$120,0,MATCH(AD$2,Inputs!$K$4:$AJ$4,0))))+SUMPRODUCT((Inputs!$C$5:$C$120=$B62)*ISNUMBER(INDEX(Inputs!$K$5:$AJ$120,0,MATCH(AD$2,Inputs!$K$4:$AJ$4,0))))+SUMPRODUCT((Inputs!$E$5:$E$120=$B62)*ISNUMBER(INDEX(Inputs!$K$5:$AJ$120,0,MATCH(AD$2,Inputs!$K$4:$AJ$4,0))))=0,NA(),SUMPRODUCT((Inputs!$A$5:$A$120=$B62)*Inputs!$B$5:$B$120*(((Inputs!$G$5:$G$120="moeda")+(Inputs!$G$5:$G$120="acoes"))*Inputs!$B$1+((Inputs!$G$5:$G$120&lt;&gt;"moeda")*(Inputs!$G$5:$G$120&lt;&gt;"acoes")))*INDEX(Inputs!$K$5:$AJ$120,0,MATCH(AD$2,Inputs!$K$4:$AJ$4,0)))+SUMPRODUCT((Inputs!$C$5:$C$120=$B62)*Inputs!$D$5:$D$120*(((Inputs!$G$5:$G$120="moeda")+(Inputs!$G$5:$G$120="acoes"))*Inputs!$B$1+((Inputs!$G$5:$G$120&lt;&gt;"moeda")*(Inputs!$G$5:$G$120&lt;&gt;"acoes")))*INDEX(Inputs!$K$5:$AJ$120,0,MATCH(AD$2,Inputs!$K$4:$AJ$4,0)))+SUMPRODUCT((Inputs!$E$5:$E$120=$B62)*Inputs!$F$5:$F$120*(((Inputs!$G$5:$G$120="moeda")+(Inputs!$G$5:$G$120="acoes"))*Inputs!$B$1+((Inputs!$G$5:$G$120&lt;&gt;"moeda")*(Inputs!$G$5:$G$120&lt;&gt;"acoes")))*INDEX(Inputs!$K$5:$AJ$120,0,MATCH(AD$2,Inputs!$K$4:$AJ$4,0)))))</f>
        <v>12071</v>
      </c>
      <c r="AE62" s="513" t="e">
        <f>IF(ISNA(MATCH(AE$2,Inputs!$K$4:$AJ$4,0)),NA(),IF(SUMPRODUCT((Inputs!$A$5:$A$120=$B62)*ISNUMBER(INDEX(Inputs!$K$5:$AJ$120,0,MATCH(AE$2,Inputs!$K$4:$AJ$4,0))))+SUMPRODUCT((Inputs!$C$5:$C$120=$B62)*ISNUMBER(INDEX(Inputs!$K$5:$AJ$120,0,MATCH(AE$2,Inputs!$K$4:$AJ$4,0))))+SUMPRODUCT((Inputs!$E$5:$E$120=$B62)*ISNUMBER(INDEX(Inputs!$K$5:$AJ$120,0,MATCH(AE$2,Inputs!$K$4:$AJ$4,0))))=0,NA(),SUMPRODUCT((Inputs!$A$5:$A$120=$B62)*Inputs!$B$5:$B$120*(((Inputs!$G$5:$G$120="moeda")+(Inputs!$G$5:$G$120="acoes"))*Inputs!$B$1+((Inputs!$G$5:$G$120&lt;&gt;"moeda")*(Inputs!$G$5:$G$120&lt;&gt;"acoes")))*INDEX(Inputs!$K$5:$AJ$120,0,MATCH(AE$2,Inputs!$K$4:$AJ$4,0)))+SUMPRODUCT((Inputs!$C$5:$C$120=$B62)*Inputs!$D$5:$D$120*(((Inputs!$G$5:$G$120="moeda")+(Inputs!$G$5:$G$120="acoes"))*Inputs!$B$1+((Inputs!$G$5:$G$120&lt;&gt;"moeda")*(Inputs!$G$5:$G$120&lt;&gt;"acoes")))*INDEX(Inputs!$K$5:$AJ$120,0,MATCH(AE$2,Inputs!$K$4:$AJ$4,0)))+SUMPRODUCT((Inputs!$E$5:$E$120=$B62)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2" s="513" t="e">
        <f>IF(ISNA(MATCH(AF$2,Inputs!$K$4:$AJ$4,0)),NA(),IF(SUMPRODUCT((Inputs!$A$5:$A$120=$B62)*ISNUMBER(INDEX(Inputs!$K$5:$AJ$120,0,MATCH(AF$2,Inputs!$K$4:$AJ$4,0))))+SUMPRODUCT((Inputs!$C$5:$C$120=$B62)*ISNUMBER(INDEX(Inputs!$K$5:$AJ$120,0,MATCH(AF$2,Inputs!$K$4:$AJ$4,0))))+SUMPRODUCT((Inputs!$E$5:$E$120=$B62)*ISNUMBER(INDEX(Inputs!$K$5:$AJ$120,0,MATCH(AF$2,Inputs!$K$4:$AJ$4,0))))=0,NA(),SUMPRODUCT((Inputs!$A$5:$A$120=$B62)*Inputs!$B$5:$B$120*(((Inputs!$G$5:$G$120="moeda")+(Inputs!$G$5:$G$120="acoes"))*Inputs!$B$1+((Inputs!$G$5:$G$120&lt;&gt;"moeda")*(Inputs!$G$5:$G$120&lt;&gt;"acoes")))*INDEX(Inputs!$K$5:$AJ$120,0,MATCH(AF$2,Inputs!$K$4:$AJ$4,0)))+SUMPRODUCT((Inputs!$C$5:$C$120=$B62)*Inputs!$D$5:$D$120*(((Inputs!$G$5:$G$120="moeda")+(Inputs!$G$5:$G$120="acoes"))*Inputs!$B$1+((Inputs!$G$5:$G$120&lt;&gt;"moeda")*(Inputs!$G$5:$G$120&lt;&gt;"acoes")))*INDEX(Inputs!$K$5:$AJ$120,0,MATCH(AF$2,Inputs!$K$4:$AJ$4,0)))+SUMPRODUCT((Inputs!$E$5:$E$120=$B62)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2" s="514" t="e">
        <f>SUM(AC62:AF62)</f>
        <v>#N/A</v>
      </c>
      <c r="AH62" s="513" t="e">
        <f>IF(ISNA(MATCH(AH$2,Inputs!$K$4:$AJ$4,0)),NA(),IF(SUMPRODUCT((Inputs!$A$5:$A$120=$B62)*ISNUMBER(INDEX(Inputs!$K$5:$AJ$120,0,MATCH(AH$2,Inputs!$K$4:$AJ$4,0))))+SUMPRODUCT((Inputs!$C$5:$C$120=$B62)*ISNUMBER(INDEX(Inputs!$K$5:$AJ$120,0,MATCH(AH$2,Inputs!$K$4:$AJ$4,0))))+SUMPRODUCT((Inputs!$E$5:$E$120=$B62)*ISNUMBER(INDEX(Inputs!$K$5:$AJ$120,0,MATCH(AH$2,Inputs!$K$4:$AJ$4,0))))=0,NA(),SUMPRODUCT((Inputs!$A$5:$A$120=$B62)*Inputs!$B$5:$B$120*(((Inputs!$G$5:$G$120="moeda")+(Inputs!$G$5:$G$120="acoes"))*Inputs!$B$1+((Inputs!$G$5:$G$120&lt;&gt;"moeda")*(Inputs!$G$5:$G$120&lt;&gt;"acoes")))*INDEX(Inputs!$K$5:$AJ$120,0,MATCH(AH$2,Inputs!$K$4:$AJ$4,0)))+SUMPRODUCT((Inputs!$C$5:$C$120=$B62)*Inputs!$D$5:$D$120*(((Inputs!$G$5:$G$120="moeda")+(Inputs!$G$5:$G$120="acoes"))*Inputs!$B$1+((Inputs!$G$5:$G$120&lt;&gt;"moeda")*(Inputs!$G$5:$G$120&lt;&gt;"acoes")))*INDEX(Inputs!$K$5:$AJ$120,0,MATCH(AH$2,Inputs!$K$4:$AJ$4,0)))+SUMPRODUCT((Inputs!$E$5:$E$120=$B62)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2" s="513" t="e">
        <f>IF(ISNA(MATCH(AI$2,Inputs!$K$4:$AJ$4,0)),NA(),IF(SUMPRODUCT((Inputs!$A$5:$A$120=$B62)*ISNUMBER(INDEX(Inputs!$K$5:$AJ$120,0,MATCH(AI$2,Inputs!$K$4:$AJ$4,0))))+SUMPRODUCT((Inputs!$C$5:$C$120=$B62)*ISNUMBER(INDEX(Inputs!$K$5:$AJ$120,0,MATCH(AI$2,Inputs!$K$4:$AJ$4,0))))+SUMPRODUCT((Inputs!$E$5:$E$120=$B62)*ISNUMBER(INDEX(Inputs!$K$5:$AJ$120,0,MATCH(AI$2,Inputs!$K$4:$AJ$4,0))))=0,NA(),SUMPRODUCT((Inputs!$A$5:$A$120=$B62)*Inputs!$B$5:$B$120*(((Inputs!$G$5:$G$120="moeda")+(Inputs!$G$5:$G$120="acoes"))*Inputs!$B$1+((Inputs!$G$5:$G$120&lt;&gt;"moeda")*(Inputs!$G$5:$G$120&lt;&gt;"acoes")))*INDEX(Inputs!$K$5:$AJ$120,0,MATCH(AI$2,Inputs!$K$4:$AJ$4,0)))+SUMPRODUCT((Inputs!$C$5:$C$120=$B62)*Inputs!$D$5:$D$120*(((Inputs!$G$5:$G$120="moeda")+(Inputs!$G$5:$G$120="acoes"))*Inputs!$B$1+((Inputs!$G$5:$G$120&lt;&gt;"moeda")*(Inputs!$G$5:$G$120&lt;&gt;"acoes")))*INDEX(Inputs!$K$5:$AJ$120,0,MATCH(AI$2,Inputs!$K$4:$AJ$4,0)))+SUMPRODUCT((Inputs!$E$5:$E$120=$B62)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2" s="513" t="e">
        <f>IF(ISNA(MATCH(AJ$2,Inputs!$K$4:$AJ$4,0)),NA(),IF(SUMPRODUCT((Inputs!$A$5:$A$120=$B62)*ISNUMBER(INDEX(Inputs!$K$5:$AJ$120,0,MATCH(AJ$2,Inputs!$K$4:$AJ$4,0))))+SUMPRODUCT((Inputs!$C$5:$C$120=$B62)*ISNUMBER(INDEX(Inputs!$K$5:$AJ$120,0,MATCH(AJ$2,Inputs!$K$4:$AJ$4,0))))+SUMPRODUCT((Inputs!$E$5:$E$120=$B62)*ISNUMBER(INDEX(Inputs!$K$5:$AJ$120,0,MATCH(AJ$2,Inputs!$K$4:$AJ$4,0))))=0,NA(),SUMPRODUCT((Inputs!$A$5:$A$120=$B62)*Inputs!$B$5:$B$120*(((Inputs!$G$5:$G$120="moeda")+(Inputs!$G$5:$G$120="acoes"))*Inputs!$B$1+((Inputs!$G$5:$G$120&lt;&gt;"moeda")*(Inputs!$G$5:$G$120&lt;&gt;"acoes")))*INDEX(Inputs!$K$5:$AJ$120,0,MATCH(AJ$2,Inputs!$K$4:$AJ$4,0)))+SUMPRODUCT((Inputs!$C$5:$C$120=$B62)*Inputs!$D$5:$D$120*(((Inputs!$G$5:$G$120="moeda")+(Inputs!$G$5:$G$120="acoes"))*Inputs!$B$1+((Inputs!$G$5:$G$120&lt;&gt;"moeda")*(Inputs!$G$5:$G$120&lt;&gt;"acoes")))*INDEX(Inputs!$K$5:$AJ$120,0,MATCH(AJ$2,Inputs!$K$4:$AJ$4,0)))+SUMPRODUCT((Inputs!$E$5:$E$120=$B62)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2" s="513" t="e">
        <f>IF(ISNA(MATCH(AK$2,Inputs!$K$4:$AJ$4,0)),NA(),IF(SUMPRODUCT((Inputs!$A$5:$A$120=$B62)*ISNUMBER(INDEX(Inputs!$K$5:$AJ$120,0,MATCH(AK$2,Inputs!$K$4:$AJ$4,0))))+SUMPRODUCT((Inputs!$C$5:$C$120=$B62)*ISNUMBER(INDEX(Inputs!$K$5:$AJ$120,0,MATCH(AK$2,Inputs!$K$4:$AJ$4,0))))+SUMPRODUCT((Inputs!$E$5:$E$120=$B62)*ISNUMBER(INDEX(Inputs!$K$5:$AJ$120,0,MATCH(AK$2,Inputs!$K$4:$AJ$4,0))))=0,NA(),SUMPRODUCT((Inputs!$A$5:$A$120=$B62)*Inputs!$B$5:$B$120*(((Inputs!$G$5:$G$120="moeda")+(Inputs!$G$5:$G$120="acoes"))*Inputs!$B$1+((Inputs!$G$5:$G$120&lt;&gt;"moeda")*(Inputs!$G$5:$G$120&lt;&gt;"acoes")))*INDEX(Inputs!$K$5:$AJ$120,0,MATCH(AK$2,Inputs!$K$4:$AJ$4,0)))+SUMPRODUCT((Inputs!$C$5:$C$120=$B62)*Inputs!$D$5:$D$120*(((Inputs!$G$5:$G$120="moeda")+(Inputs!$G$5:$G$120="acoes"))*Inputs!$B$1+((Inputs!$G$5:$G$120&lt;&gt;"moeda")*(Inputs!$G$5:$G$120&lt;&gt;"acoes")))*INDEX(Inputs!$K$5:$AJ$120,0,MATCH(AK$2,Inputs!$K$4:$AJ$4,0)))+SUMPRODUCT((Inputs!$E$5:$E$120=$B62)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2" s="514" t="e">
        <f>SUM(AH62:AK62)</f>
        <v>#N/A</v>
      </c>
    </row>
    <row r="63">
      <c r="B63" s="265" t="n">
        <v>55</v>
      </c>
      <c r="C63" s="266" t="inlineStr">
        <is>
          <t>Nova estrutura - Softseed Processing &amp; Refining (USD)</t>
        </is>
      </c>
      <c r="D63" s="513" t="e">
        <f>IF(ISNA(MATCH(D$2,Inputs!$K$4:$AJ$4,0)),NA(),IF(SUMPRODUCT((Inputs!$A$5:$A$120=$B63)*ISNUMBER(INDEX(Inputs!$K$5:$AJ$120,0,MATCH(D$2,Inputs!$K$4:$AJ$4,0))))+SUMPRODUCT((Inputs!$C$5:$C$120=$B63)*ISNUMBER(INDEX(Inputs!$K$5:$AJ$120,0,MATCH(D$2,Inputs!$K$4:$AJ$4,0))))+SUMPRODUCT((Inputs!$E$5:$E$120=$B63)*ISNUMBER(INDEX(Inputs!$K$5:$AJ$120,0,MATCH(D$2,Inputs!$K$4:$AJ$4,0))))=0,NA(),SUMPRODUCT((Inputs!$A$5:$A$120=$B63)*Inputs!$B$5:$B$120*(((Inputs!$G$5:$G$120="moeda")+(Inputs!$G$5:$G$120="acoes"))*Inputs!$B$1+((Inputs!$G$5:$G$120&lt;&gt;"moeda")*(Inputs!$G$5:$G$120&lt;&gt;"acoes")))*INDEX(Inputs!$K$5:$AJ$120,0,MATCH(D$2,Inputs!$K$4:$AJ$4,0)))+SUMPRODUCT((Inputs!$C$5:$C$120=$B63)*Inputs!$D$5:$D$120*(((Inputs!$G$5:$G$120="moeda")+(Inputs!$G$5:$G$120="acoes"))*Inputs!$B$1+((Inputs!$G$5:$G$120&lt;&gt;"moeda")*(Inputs!$G$5:$G$120&lt;&gt;"acoes")))*INDEX(Inputs!$K$5:$AJ$120,0,MATCH(D$2,Inputs!$K$4:$AJ$4,0)))+SUMPRODUCT((Inputs!$E$5:$E$120=$B63)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3" s="513" t="e">
        <f>IF(ISNA(MATCH(E$2,Inputs!$K$4:$AJ$4,0)),NA(),IF(SUMPRODUCT((Inputs!$A$5:$A$120=$B63)*ISNUMBER(INDEX(Inputs!$K$5:$AJ$120,0,MATCH(E$2,Inputs!$K$4:$AJ$4,0))))+SUMPRODUCT((Inputs!$C$5:$C$120=$B63)*ISNUMBER(INDEX(Inputs!$K$5:$AJ$120,0,MATCH(E$2,Inputs!$K$4:$AJ$4,0))))+SUMPRODUCT((Inputs!$E$5:$E$120=$B63)*ISNUMBER(INDEX(Inputs!$K$5:$AJ$120,0,MATCH(E$2,Inputs!$K$4:$AJ$4,0))))=0,NA(),SUMPRODUCT((Inputs!$A$5:$A$120=$B63)*Inputs!$B$5:$B$120*(((Inputs!$G$5:$G$120="moeda")+(Inputs!$G$5:$G$120="acoes"))*Inputs!$B$1+((Inputs!$G$5:$G$120&lt;&gt;"moeda")*(Inputs!$G$5:$G$120&lt;&gt;"acoes")))*INDEX(Inputs!$K$5:$AJ$120,0,MATCH(E$2,Inputs!$K$4:$AJ$4,0)))+SUMPRODUCT((Inputs!$C$5:$C$120=$B63)*Inputs!$D$5:$D$120*(((Inputs!$G$5:$G$120="moeda")+(Inputs!$G$5:$G$120="acoes"))*Inputs!$B$1+((Inputs!$G$5:$G$120&lt;&gt;"moeda")*(Inputs!$G$5:$G$120&lt;&gt;"acoes")))*INDEX(Inputs!$K$5:$AJ$120,0,MATCH(E$2,Inputs!$K$4:$AJ$4,0)))+SUMPRODUCT((Inputs!$E$5:$E$120=$B63)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3" s="513" t="e">
        <f>IF(ISNA(MATCH(F$2,Inputs!$K$4:$AJ$4,0)),NA(),IF(SUMPRODUCT((Inputs!$A$5:$A$120=$B63)*ISNUMBER(INDEX(Inputs!$K$5:$AJ$120,0,MATCH(F$2,Inputs!$K$4:$AJ$4,0))))+SUMPRODUCT((Inputs!$C$5:$C$120=$B63)*ISNUMBER(INDEX(Inputs!$K$5:$AJ$120,0,MATCH(F$2,Inputs!$K$4:$AJ$4,0))))+SUMPRODUCT((Inputs!$E$5:$E$120=$B63)*ISNUMBER(INDEX(Inputs!$K$5:$AJ$120,0,MATCH(F$2,Inputs!$K$4:$AJ$4,0))))=0,NA(),SUMPRODUCT((Inputs!$A$5:$A$120=$B63)*Inputs!$B$5:$B$120*(((Inputs!$G$5:$G$120="moeda")+(Inputs!$G$5:$G$120="acoes"))*Inputs!$B$1+((Inputs!$G$5:$G$120&lt;&gt;"moeda")*(Inputs!$G$5:$G$120&lt;&gt;"acoes")))*INDEX(Inputs!$K$5:$AJ$120,0,MATCH(F$2,Inputs!$K$4:$AJ$4,0)))+SUMPRODUCT((Inputs!$C$5:$C$120=$B63)*Inputs!$D$5:$D$120*(((Inputs!$G$5:$G$120="moeda")+(Inputs!$G$5:$G$120="acoes"))*Inputs!$B$1+((Inputs!$G$5:$G$120&lt;&gt;"moeda")*(Inputs!$G$5:$G$120&lt;&gt;"acoes")))*INDEX(Inputs!$K$5:$AJ$120,0,MATCH(F$2,Inputs!$K$4:$AJ$4,0)))+SUMPRODUCT((Inputs!$E$5:$E$120=$B63)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3" s="513" t="e">
        <f>IF(ISNA(MATCH(G$2,Inputs!$K$4:$AJ$4,0)),NA(),IF(SUMPRODUCT((Inputs!$A$5:$A$120=$B63)*ISNUMBER(INDEX(Inputs!$K$5:$AJ$120,0,MATCH(G$2,Inputs!$K$4:$AJ$4,0))))+SUMPRODUCT((Inputs!$C$5:$C$120=$B63)*ISNUMBER(INDEX(Inputs!$K$5:$AJ$120,0,MATCH(G$2,Inputs!$K$4:$AJ$4,0))))+SUMPRODUCT((Inputs!$E$5:$E$120=$B63)*ISNUMBER(INDEX(Inputs!$K$5:$AJ$120,0,MATCH(G$2,Inputs!$K$4:$AJ$4,0))))=0,NA(),SUMPRODUCT((Inputs!$A$5:$A$120=$B63)*Inputs!$B$5:$B$120*(((Inputs!$G$5:$G$120="moeda")+(Inputs!$G$5:$G$120="acoes"))*Inputs!$B$1+((Inputs!$G$5:$G$120&lt;&gt;"moeda")*(Inputs!$G$5:$G$120&lt;&gt;"acoes")))*INDEX(Inputs!$K$5:$AJ$120,0,MATCH(G$2,Inputs!$K$4:$AJ$4,0)))+SUMPRODUCT((Inputs!$C$5:$C$120=$B63)*Inputs!$D$5:$D$120*(((Inputs!$G$5:$G$120="moeda")+(Inputs!$G$5:$G$120="acoes"))*Inputs!$B$1+((Inputs!$G$5:$G$120&lt;&gt;"moeda")*(Inputs!$G$5:$G$120&lt;&gt;"acoes")))*INDEX(Inputs!$K$5:$AJ$120,0,MATCH(G$2,Inputs!$K$4:$AJ$4,0)))+SUMPRODUCT((Inputs!$E$5:$E$120=$B63)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3" s="514" t="e">
        <f>SUM(D63:G63)</f>
        <v>#N/A</v>
      </c>
      <c r="I63" s="513" t="e">
        <f>IF(ISNA(MATCH(I$2,Inputs!$K$4:$AJ$4,0)),NA(),IF(SUMPRODUCT((Inputs!$A$5:$A$120=$B63)*ISNUMBER(INDEX(Inputs!$K$5:$AJ$120,0,MATCH(I$2,Inputs!$K$4:$AJ$4,0))))+SUMPRODUCT((Inputs!$C$5:$C$120=$B63)*ISNUMBER(INDEX(Inputs!$K$5:$AJ$120,0,MATCH(I$2,Inputs!$K$4:$AJ$4,0))))+SUMPRODUCT((Inputs!$E$5:$E$120=$B63)*ISNUMBER(INDEX(Inputs!$K$5:$AJ$120,0,MATCH(I$2,Inputs!$K$4:$AJ$4,0))))=0,NA(),SUMPRODUCT((Inputs!$A$5:$A$120=$B63)*Inputs!$B$5:$B$120*(((Inputs!$G$5:$G$120="moeda")+(Inputs!$G$5:$G$120="acoes"))*Inputs!$B$1+((Inputs!$G$5:$G$120&lt;&gt;"moeda")*(Inputs!$G$5:$G$120&lt;&gt;"acoes")))*INDEX(Inputs!$K$5:$AJ$120,0,MATCH(I$2,Inputs!$K$4:$AJ$4,0)))+SUMPRODUCT((Inputs!$C$5:$C$120=$B63)*Inputs!$D$5:$D$120*(((Inputs!$G$5:$G$120="moeda")+(Inputs!$G$5:$G$120="acoes"))*Inputs!$B$1+((Inputs!$G$5:$G$120&lt;&gt;"moeda")*(Inputs!$G$5:$G$120&lt;&gt;"acoes")))*INDEX(Inputs!$K$5:$AJ$120,0,MATCH(I$2,Inputs!$K$4:$AJ$4,0)))+SUMPRODUCT((Inputs!$E$5:$E$120=$B63)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3" s="513" t="e">
        <f>IF(ISNA(MATCH(J$2,Inputs!$K$4:$AJ$4,0)),NA(),IF(SUMPRODUCT((Inputs!$A$5:$A$120=$B63)*ISNUMBER(INDEX(Inputs!$K$5:$AJ$120,0,MATCH(J$2,Inputs!$K$4:$AJ$4,0))))+SUMPRODUCT((Inputs!$C$5:$C$120=$B63)*ISNUMBER(INDEX(Inputs!$K$5:$AJ$120,0,MATCH(J$2,Inputs!$K$4:$AJ$4,0))))+SUMPRODUCT((Inputs!$E$5:$E$120=$B63)*ISNUMBER(INDEX(Inputs!$K$5:$AJ$120,0,MATCH(J$2,Inputs!$K$4:$AJ$4,0))))=0,NA(),SUMPRODUCT((Inputs!$A$5:$A$120=$B63)*Inputs!$B$5:$B$120*(((Inputs!$G$5:$G$120="moeda")+(Inputs!$G$5:$G$120="acoes"))*Inputs!$B$1+((Inputs!$G$5:$G$120&lt;&gt;"moeda")*(Inputs!$G$5:$G$120&lt;&gt;"acoes")))*INDEX(Inputs!$K$5:$AJ$120,0,MATCH(J$2,Inputs!$K$4:$AJ$4,0)))+SUMPRODUCT((Inputs!$C$5:$C$120=$B63)*Inputs!$D$5:$D$120*(((Inputs!$G$5:$G$120="moeda")+(Inputs!$G$5:$G$120="acoes"))*Inputs!$B$1+((Inputs!$G$5:$G$120&lt;&gt;"moeda")*(Inputs!$G$5:$G$120&lt;&gt;"acoes")))*INDEX(Inputs!$K$5:$AJ$120,0,MATCH(J$2,Inputs!$K$4:$AJ$4,0)))+SUMPRODUCT((Inputs!$E$5:$E$120=$B63)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3" s="513" t="e">
        <f>IF(ISNA(MATCH(K$2,Inputs!$K$4:$AJ$4,0)),NA(),IF(SUMPRODUCT((Inputs!$A$5:$A$120=$B63)*ISNUMBER(INDEX(Inputs!$K$5:$AJ$120,0,MATCH(K$2,Inputs!$K$4:$AJ$4,0))))+SUMPRODUCT((Inputs!$C$5:$C$120=$B63)*ISNUMBER(INDEX(Inputs!$K$5:$AJ$120,0,MATCH(K$2,Inputs!$K$4:$AJ$4,0))))+SUMPRODUCT((Inputs!$E$5:$E$120=$B63)*ISNUMBER(INDEX(Inputs!$K$5:$AJ$120,0,MATCH(K$2,Inputs!$K$4:$AJ$4,0))))=0,NA(),SUMPRODUCT((Inputs!$A$5:$A$120=$B63)*Inputs!$B$5:$B$120*(((Inputs!$G$5:$G$120="moeda")+(Inputs!$G$5:$G$120="acoes"))*Inputs!$B$1+((Inputs!$G$5:$G$120&lt;&gt;"moeda")*(Inputs!$G$5:$G$120&lt;&gt;"acoes")))*INDEX(Inputs!$K$5:$AJ$120,0,MATCH(K$2,Inputs!$K$4:$AJ$4,0)))+SUMPRODUCT((Inputs!$C$5:$C$120=$B63)*Inputs!$D$5:$D$120*(((Inputs!$G$5:$G$120="moeda")+(Inputs!$G$5:$G$120="acoes"))*Inputs!$B$1+((Inputs!$G$5:$G$120&lt;&gt;"moeda")*(Inputs!$G$5:$G$120&lt;&gt;"acoes")))*INDEX(Inputs!$K$5:$AJ$120,0,MATCH(K$2,Inputs!$K$4:$AJ$4,0)))+SUMPRODUCT((Inputs!$E$5:$E$120=$B63)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3" s="513" t="e">
        <f>IF(ISNA(MATCH(L$2,Inputs!$K$4:$AJ$4,0)),NA(),IF(SUMPRODUCT((Inputs!$A$5:$A$120=$B63)*ISNUMBER(INDEX(Inputs!$K$5:$AJ$120,0,MATCH(L$2,Inputs!$K$4:$AJ$4,0))))+SUMPRODUCT((Inputs!$C$5:$C$120=$B63)*ISNUMBER(INDEX(Inputs!$K$5:$AJ$120,0,MATCH(L$2,Inputs!$K$4:$AJ$4,0))))+SUMPRODUCT((Inputs!$E$5:$E$120=$B63)*ISNUMBER(INDEX(Inputs!$K$5:$AJ$120,0,MATCH(L$2,Inputs!$K$4:$AJ$4,0))))=0,NA(),SUMPRODUCT((Inputs!$A$5:$A$120=$B63)*Inputs!$B$5:$B$120*(((Inputs!$G$5:$G$120="moeda")+(Inputs!$G$5:$G$120="acoes"))*Inputs!$B$1+((Inputs!$G$5:$G$120&lt;&gt;"moeda")*(Inputs!$G$5:$G$120&lt;&gt;"acoes")))*INDEX(Inputs!$K$5:$AJ$120,0,MATCH(L$2,Inputs!$K$4:$AJ$4,0)))+SUMPRODUCT((Inputs!$C$5:$C$120=$B63)*Inputs!$D$5:$D$120*(((Inputs!$G$5:$G$120="moeda")+(Inputs!$G$5:$G$120="acoes"))*Inputs!$B$1+((Inputs!$G$5:$G$120&lt;&gt;"moeda")*(Inputs!$G$5:$G$120&lt;&gt;"acoes")))*INDEX(Inputs!$K$5:$AJ$120,0,MATCH(L$2,Inputs!$K$4:$AJ$4,0)))+SUMPRODUCT((Inputs!$E$5:$E$120=$B63)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3" s="514" t="e">
        <f>SUM(I63:L63)</f>
        <v>#N/A</v>
      </c>
      <c r="N63" s="513" t="e">
        <f>IF(ISNA(MATCH(N$2,Inputs!$K$4:$AJ$4,0)),NA(),IF(SUMPRODUCT((Inputs!$A$5:$A$120=$B63)*ISNUMBER(INDEX(Inputs!$K$5:$AJ$120,0,MATCH(N$2,Inputs!$K$4:$AJ$4,0))))+SUMPRODUCT((Inputs!$C$5:$C$120=$B63)*ISNUMBER(INDEX(Inputs!$K$5:$AJ$120,0,MATCH(N$2,Inputs!$K$4:$AJ$4,0))))+SUMPRODUCT((Inputs!$E$5:$E$120=$B63)*ISNUMBER(INDEX(Inputs!$K$5:$AJ$120,0,MATCH(N$2,Inputs!$K$4:$AJ$4,0))))=0,NA(),SUMPRODUCT((Inputs!$A$5:$A$120=$B63)*Inputs!$B$5:$B$120*(((Inputs!$G$5:$G$120="moeda")+(Inputs!$G$5:$G$120="acoes"))*Inputs!$B$1+((Inputs!$G$5:$G$120&lt;&gt;"moeda")*(Inputs!$G$5:$G$120&lt;&gt;"acoes")))*INDEX(Inputs!$K$5:$AJ$120,0,MATCH(N$2,Inputs!$K$4:$AJ$4,0)))+SUMPRODUCT((Inputs!$C$5:$C$120=$B63)*Inputs!$D$5:$D$120*(((Inputs!$G$5:$G$120="moeda")+(Inputs!$G$5:$G$120="acoes"))*Inputs!$B$1+((Inputs!$G$5:$G$120&lt;&gt;"moeda")*(Inputs!$G$5:$G$120&lt;&gt;"acoes")))*INDEX(Inputs!$K$5:$AJ$120,0,MATCH(N$2,Inputs!$K$4:$AJ$4,0)))+SUMPRODUCT((Inputs!$E$5:$E$120=$B63)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3" s="513" t="e">
        <f>IF(ISNA(MATCH(O$2,Inputs!$K$4:$AJ$4,0)),NA(),IF(SUMPRODUCT((Inputs!$A$5:$A$120=$B63)*ISNUMBER(INDEX(Inputs!$K$5:$AJ$120,0,MATCH(O$2,Inputs!$K$4:$AJ$4,0))))+SUMPRODUCT((Inputs!$C$5:$C$120=$B63)*ISNUMBER(INDEX(Inputs!$K$5:$AJ$120,0,MATCH(O$2,Inputs!$K$4:$AJ$4,0))))+SUMPRODUCT((Inputs!$E$5:$E$120=$B63)*ISNUMBER(INDEX(Inputs!$K$5:$AJ$120,0,MATCH(O$2,Inputs!$K$4:$AJ$4,0))))=0,NA(),SUMPRODUCT((Inputs!$A$5:$A$120=$B63)*Inputs!$B$5:$B$120*(((Inputs!$G$5:$G$120="moeda")+(Inputs!$G$5:$G$120="acoes"))*Inputs!$B$1+((Inputs!$G$5:$G$120&lt;&gt;"moeda")*(Inputs!$G$5:$G$120&lt;&gt;"acoes")))*INDEX(Inputs!$K$5:$AJ$120,0,MATCH(O$2,Inputs!$K$4:$AJ$4,0)))+SUMPRODUCT((Inputs!$C$5:$C$120=$B63)*Inputs!$D$5:$D$120*(((Inputs!$G$5:$G$120="moeda")+(Inputs!$G$5:$G$120="acoes"))*Inputs!$B$1+((Inputs!$G$5:$G$120&lt;&gt;"moeda")*(Inputs!$G$5:$G$120&lt;&gt;"acoes")))*INDEX(Inputs!$K$5:$AJ$120,0,MATCH(O$2,Inputs!$K$4:$AJ$4,0)))+SUMPRODUCT((Inputs!$E$5:$E$120=$B63)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3" s="513" t="e">
        <f>IF(ISNA(MATCH(P$2,Inputs!$K$4:$AJ$4,0)),NA(),IF(SUMPRODUCT((Inputs!$A$5:$A$120=$B63)*ISNUMBER(INDEX(Inputs!$K$5:$AJ$120,0,MATCH(P$2,Inputs!$K$4:$AJ$4,0))))+SUMPRODUCT((Inputs!$C$5:$C$120=$B63)*ISNUMBER(INDEX(Inputs!$K$5:$AJ$120,0,MATCH(P$2,Inputs!$K$4:$AJ$4,0))))+SUMPRODUCT((Inputs!$E$5:$E$120=$B63)*ISNUMBER(INDEX(Inputs!$K$5:$AJ$120,0,MATCH(P$2,Inputs!$K$4:$AJ$4,0))))=0,NA(),SUMPRODUCT((Inputs!$A$5:$A$120=$B63)*Inputs!$B$5:$B$120*(((Inputs!$G$5:$G$120="moeda")+(Inputs!$G$5:$G$120="acoes"))*Inputs!$B$1+((Inputs!$G$5:$G$120&lt;&gt;"moeda")*(Inputs!$G$5:$G$120&lt;&gt;"acoes")))*INDEX(Inputs!$K$5:$AJ$120,0,MATCH(P$2,Inputs!$K$4:$AJ$4,0)))+SUMPRODUCT((Inputs!$C$5:$C$120=$B63)*Inputs!$D$5:$D$120*(((Inputs!$G$5:$G$120="moeda")+(Inputs!$G$5:$G$120="acoes"))*Inputs!$B$1+((Inputs!$G$5:$G$120&lt;&gt;"moeda")*(Inputs!$G$5:$G$120&lt;&gt;"acoes")))*INDEX(Inputs!$K$5:$AJ$120,0,MATCH(P$2,Inputs!$K$4:$AJ$4,0)))+SUMPRODUCT((Inputs!$E$5:$E$120=$B63)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3" s="513" t="e">
        <f>IF(ISNA(MATCH(Q$2,Inputs!$K$4:$AJ$4,0)),NA(),IF(SUMPRODUCT((Inputs!$A$5:$A$120=$B63)*ISNUMBER(INDEX(Inputs!$K$5:$AJ$120,0,MATCH(Q$2,Inputs!$K$4:$AJ$4,0))))+SUMPRODUCT((Inputs!$C$5:$C$120=$B63)*ISNUMBER(INDEX(Inputs!$K$5:$AJ$120,0,MATCH(Q$2,Inputs!$K$4:$AJ$4,0))))+SUMPRODUCT((Inputs!$E$5:$E$120=$B63)*ISNUMBER(INDEX(Inputs!$K$5:$AJ$120,0,MATCH(Q$2,Inputs!$K$4:$AJ$4,0))))=0,NA(),SUMPRODUCT((Inputs!$A$5:$A$120=$B63)*Inputs!$B$5:$B$120*(((Inputs!$G$5:$G$120="moeda")+(Inputs!$G$5:$G$120="acoes"))*Inputs!$B$1+((Inputs!$G$5:$G$120&lt;&gt;"moeda")*(Inputs!$G$5:$G$120&lt;&gt;"acoes")))*INDEX(Inputs!$K$5:$AJ$120,0,MATCH(Q$2,Inputs!$K$4:$AJ$4,0)))+SUMPRODUCT((Inputs!$C$5:$C$120=$B63)*Inputs!$D$5:$D$120*(((Inputs!$G$5:$G$120="moeda")+(Inputs!$G$5:$G$120="acoes"))*Inputs!$B$1+((Inputs!$G$5:$G$120&lt;&gt;"moeda")*(Inputs!$G$5:$G$120&lt;&gt;"acoes")))*INDEX(Inputs!$K$5:$AJ$120,0,MATCH(Q$2,Inputs!$K$4:$AJ$4,0)))+SUMPRODUCT((Inputs!$E$5:$E$120=$B63)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3" s="514" t="e">
        <f>SUM(N63:Q63)</f>
        <v>#N/A</v>
      </c>
      <c r="S63" s="513" t="e">
        <f>IF(ISNA(MATCH(S$2,Inputs!$K$4:$AJ$4,0)),NA(),IF(SUMPRODUCT((Inputs!$A$5:$A$120=$B63)*ISNUMBER(INDEX(Inputs!$K$5:$AJ$120,0,MATCH(S$2,Inputs!$K$4:$AJ$4,0))))+SUMPRODUCT((Inputs!$C$5:$C$120=$B63)*ISNUMBER(INDEX(Inputs!$K$5:$AJ$120,0,MATCH(S$2,Inputs!$K$4:$AJ$4,0))))+SUMPRODUCT((Inputs!$E$5:$E$120=$B63)*ISNUMBER(INDEX(Inputs!$K$5:$AJ$120,0,MATCH(S$2,Inputs!$K$4:$AJ$4,0))))=0,NA(),SUMPRODUCT((Inputs!$A$5:$A$120=$B63)*Inputs!$B$5:$B$120*(((Inputs!$G$5:$G$120="moeda")+(Inputs!$G$5:$G$120="acoes"))*Inputs!$B$1+((Inputs!$G$5:$G$120&lt;&gt;"moeda")*(Inputs!$G$5:$G$120&lt;&gt;"acoes")))*INDEX(Inputs!$K$5:$AJ$120,0,MATCH(S$2,Inputs!$K$4:$AJ$4,0)))+SUMPRODUCT((Inputs!$C$5:$C$120=$B63)*Inputs!$D$5:$D$120*(((Inputs!$G$5:$G$120="moeda")+(Inputs!$G$5:$G$120="acoes"))*Inputs!$B$1+((Inputs!$G$5:$G$120&lt;&gt;"moeda")*(Inputs!$G$5:$G$120&lt;&gt;"acoes")))*INDEX(Inputs!$K$5:$AJ$120,0,MATCH(S$2,Inputs!$K$4:$AJ$4,0)))+SUMPRODUCT((Inputs!$E$5:$E$120=$B63)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3" s="513" t="e">
        <f>IF(ISNA(MATCH(T$2,Inputs!$K$4:$AJ$4,0)),NA(),IF(SUMPRODUCT((Inputs!$A$5:$A$120=$B63)*ISNUMBER(INDEX(Inputs!$K$5:$AJ$120,0,MATCH(T$2,Inputs!$K$4:$AJ$4,0))))+SUMPRODUCT((Inputs!$C$5:$C$120=$B63)*ISNUMBER(INDEX(Inputs!$K$5:$AJ$120,0,MATCH(T$2,Inputs!$K$4:$AJ$4,0))))+SUMPRODUCT((Inputs!$E$5:$E$120=$B63)*ISNUMBER(INDEX(Inputs!$K$5:$AJ$120,0,MATCH(T$2,Inputs!$K$4:$AJ$4,0))))=0,NA(),SUMPRODUCT((Inputs!$A$5:$A$120=$B63)*Inputs!$B$5:$B$120*(((Inputs!$G$5:$G$120="moeda")+(Inputs!$G$5:$G$120="acoes"))*Inputs!$B$1+((Inputs!$G$5:$G$120&lt;&gt;"moeda")*(Inputs!$G$5:$G$120&lt;&gt;"acoes")))*INDEX(Inputs!$K$5:$AJ$120,0,MATCH(T$2,Inputs!$K$4:$AJ$4,0)))+SUMPRODUCT((Inputs!$C$5:$C$120=$B63)*Inputs!$D$5:$D$120*(((Inputs!$G$5:$G$120="moeda")+(Inputs!$G$5:$G$120="acoes"))*Inputs!$B$1+((Inputs!$G$5:$G$120&lt;&gt;"moeda")*(Inputs!$G$5:$G$120&lt;&gt;"acoes")))*INDEX(Inputs!$K$5:$AJ$120,0,MATCH(T$2,Inputs!$K$4:$AJ$4,0)))+SUMPRODUCT((Inputs!$E$5:$E$120=$B63)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3" s="513">
        <f>IF(ISNA(MATCH(U$2,Inputs!$K$4:$AJ$4,0)),NA(),IF(SUMPRODUCT((Inputs!$A$5:$A$120=$B63)*ISNUMBER(INDEX(Inputs!$K$5:$AJ$120,0,MATCH(U$2,Inputs!$K$4:$AJ$4,0))))+SUMPRODUCT((Inputs!$C$5:$C$120=$B63)*ISNUMBER(INDEX(Inputs!$K$5:$AJ$120,0,MATCH(U$2,Inputs!$K$4:$AJ$4,0))))+SUMPRODUCT((Inputs!$E$5:$E$120=$B63)*ISNUMBER(INDEX(Inputs!$K$5:$AJ$120,0,MATCH(U$2,Inputs!$K$4:$AJ$4,0))))=0,NA(),SUMPRODUCT((Inputs!$A$5:$A$120=$B63)*Inputs!$B$5:$B$120*(((Inputs!$G$5:$G$120="moeda")+(Inputs!$G$5:$G$120="acoes"))*Inputs!$B$1+((Inputs!$G$5:$G$120&lt;&gt;"moeda")*(Inputs!$G$5:$G$120&lt;&gt;"acoes")))*INDEX(Inputs!$K$5:$AJ$120,0,MATCH(U$2,Inputs!$K$4:$AJ$4,0)))+SUMPRODUCT((Inputs!$C$5:$C$120=$B63)*Inputs!$D$5:$D$120*(((Inputs!$G$5:$G$120="moeda")+(Inputs!$G$5:$G$120="acoes"))*Inputs!$B$1+((Inputs!$G$5:$G$120&lt;&gt;"moeda")*(Inputs!$G$5:$G$120&lt;&gt;"acoes")))*INDEX(Inputs!$K$5:$AJ$120,0,MATCH(U$2,Inputs!$K$4:$AJ$4,0)))+SUMPRODUCT((Inputs!$E$5:$E$120=$B63)*Inputs!$F$5:$F$120*(((Inputs!$G$5:$G$120="moeda")+(Inputs!$G$5:$G$120="acoes"))*Inputs!$B$1+((Inputs!$G$5:$G$120&lt;&gt;"moeda")*(Inputs!$G$5:$G$120&lt;&gt;"acoes")))*INDEX(Inputs!$K$5:$AJ$120,0,MATCH(U$2,Inputs!$K$4:$AJ$4,0)))))</f>
        <v>1589</v>
      </c>
      <c r="V63" s="513">
        <f>IF(ISNA(MATCH(V$2,Inputs!$K$4:$AJ$4,0)),NA(),IF(SUMPRODUCT((Inputs!$A$5:$A$120=$B63)*ISNUMBER(INDEX(Inputs!$K$5:$AJ$120,0,MATCH(V$2,Inputs!$K$4:$AJ$4,0))))+SUMPRODUCT((Inputs!$C$5:$C$120=$B63)*ISNUMBER(INDEX(Inputs!$K$5:$AJ$120,0,MATCH(V$2,Inputs!$K$4:$AJ$4,0))))+SUMPRODUCT((Inputs!$E$5:$E$120=$B63)*ISNUMBER(INDEX(Inputs!$K$5:$AJ$120,0,MATCH(V$2,Inputs!$K$4:$AJ$4,0))))=0,NA(),SUMPRODUCT((Inputs!$A$5:$A$120=$B63)*Inputs!$B$5:$B$120*(((Inputs!$G$5:$G$120="moeda")+(Inputs!$G$5:$G$120="acoes"))*Inputs!$B$1+((Inputs!$G$5:$G$120&lt;&gt;"moeda")*(Inputs!$G$5:$G$120&lt;&gt;"acoes")))*INDEX(Inputs!$K$5:$AJ$120,0,MATCH(V$2,Inputs!$K$4:$AJ$4,0)))+SUMPRODUCT((Inputs!$C$5:$C$120=$B63)*Inputs!$D$5:$D$120*(((Inputs!$G$5:$G$120="moeda")+(Inputs!$G$5:$G$120="acoes"))*Inputs!$B$1+((Inputs!$G$5:$G$120&lt;&gt;"moeda")*(Inputs!$G$5:$G$120&lt;&gt;"acoes")))*INDEX(Inputs!$K$5:$AJ$120,0,MATCH(V$2,Inputs!$K$4:$AJ$4,0)))+SUMPRODUCT((Inputs!$E$5:$E$120=$B63)*Inputs!$F$5:$F$120*(((Inputs!$G$5:$G$120="moeda")+(Inputs!$G$5:$G$120="acoes"))*Inputs!$B$1+((Inputs!$G$5:$G$120&lt;&gt;"moeda")*(Inputs!$G$5:$G$120&lt;&gt;"acoes")))*INDEX(Inputs!$K$5:$AJ$120,0,MATCH(V$2,Inputs!$K$4:$AJ$4,0)))))</f>
        <v>1808</v>
      </c>
      <c r="W63" s="514" t="e">
        <f>SUM(S63:V63)</f>
        <v>#N/A</v>
      </c>
      <c r="X63" s="513">
        <f>IF(ISNA(MATCH(X$2,Inputs!$K$4:$AJ$4,0)),NA(),IF(SUMPRODUCT((Inputs!$A$5:$A$120=$B63)*ISNUMBER(INDEX(Inputs!$K$5:$AJ$120,0,MATCH(X$2,Inputs!$K$4:$AJ$4,0))))+SUMPRODUCT((Inputs!$C$5:$C$120=$B63)*ISNUMBER(INDEX(Inputs!$K$5:$AJ$120,0,MATCH(X$2,Inputs!$K$4:$AJ$4,0))))+SUMPRODUCT((Inputs!$E$5:$E$120=$B63)*ISNUMBER(INDEX(Inputs!$K$5:$AJ$120,0,MATCH(X$2,Inputs!$K$4:$AJ$4,0))))=0,NA(),SUMPRODUCT((Inputs!$A$5:$A$120=$B63)*Inputs!$B$5:$B$120*(((Inputs!$G$5:$G$120="moeda")+(Inputs!$G$5:$G$120="acoes"))*Inputs!$B$1+((Inputs!$G$5:$G$120&lt;&gt;"moeda")*(Inputs!$G$5:$G$120&lt;&gt;"acoes")))*INDEX(Inputs!$K$5:$AJ$120,0,MATCH(X$2,Inputs!$K$4:$AJ$4,0)))+SUMPRODUCT((Inputs!$C$5:$C$120=$B63)*Inputs!$D$5:$D$120*(((Inputs!$G$5:$G$120="moeda")+(Inputs!$G$5:$G$120="acoes"))*Inputs!$B$1+((Inputs!$G$5:$G$120&lt;&gt;"moeda")*(Inputs!$G$5:$G$120&lt;&gt;"acoes")))*INDEX(Inputs!$K$5:$AJ$120,0,MATCH(X$2,Inputs!$K$4:$AJ$4,0)))+SUMPRODUCT((Inputs!$E$5:$E$120=$B63)*Inputs!$F$5:$F$120*(((Inputs!$G$5:$G$120="moeda")+(Inputs!$G$5:$G$120="acoes"))*Inputs!$B$1+((Inputs!$G$5:$G$120&lt;&gt;"moeda")*(Inputs!$G$5:$G$120&lt;&gt;"acoes")))*INDEX(Inputs!$K$5:$AJ$120,0,MATCH(X$2,Inputs!$K$4:$AJ$4,0)))))</f>
        <v>1515</v>
      </c>
      <c r="Y63" s="513">
        <f>IF(ISNA(MATCH(Y$2,Inputs!$K$4:$AJ$4,0)),NA(),IF(SUMPRODUCT((Inputs!$A$5:$A$120=$B63)*ISNUMBER(INDEX(Inputs!$K$5:$AJ$120,0,MATCH(Y$2,Inputs!$K$4:$AJ$4,0))))+SUMPRODUCT((Inputs!$C$5:$C$120=$B63)*ISNUMBER(INDEX(Inputs!$K$5:$AJ$120,0,MATCH(Y$2,Inputs!$K$4:$AJ$4,0))))+SUMPRODUCT((Inputs!$E$5:$E$120=$B63)*ISNUMBER(INDEX(Inputs!$K$5:$AJ$120,0,MATCH(Y$2,Inputs!$K$4:$AJ$4,0))))=0,NA(),SUMPRODUCT((Inputs!$A$5:$A$120=$B63)*Inputs!$B$5:$B$120*(((Inputs!$G$5:$G$120="moeda")+(Inputs!$G$5:$G$120="acoes"))*Inputs!$B$1+((Inputs!$G$5:$G$120&lt;&gt;"moeda")*(Inputs!$G$5:$G$120&lt;&gt;"acoes")))*INDEX(Inputs!$K$5:$AJ$120,0,MATCH(Y$2,Inputs!$K$4:$AJ$4,0)))+SUMPRODUCT((Inputs!$C$5:$C$120=$B63)*Inputs!$D$5:$D$120*(((Inputs!$G$5:$G$120="moeda")+(Inputs!$G$5:$G$120="acoes"))*Inputs!$B$1+((Inputs!$G$5:$G$120&lt;&gt;"moeda")*(Inputs!$G$5:$G$120&lt;&gt;"acoes")))*INDEX(Inputs!$K$5:$AJ$120,0,MATCH(Y$2,Inputs!$K$4:$AJ$4,0)))+SUMPRODUCT((Inputs!$E$5:$E$120=$B63)*Inputs!$F$5:$F$120*(((Inputs!$G$5:$G$120="moeda")+(Inputs!$G$5:$G$120="acoes"))*Inputs!$B$1+((Inputs!$G$5:$G$120&lt;&gt;"moeda")*(Inputs!$G$5:$G$120&lt;&gt;"acoes")))*INDEX(Inputs!$K$5:$AJ$120,0,MATCH(Y$2,Inputs!$K$4:$AJ$4,0)))))</f>
        <v>1531</v>
      </c>
      <c r="Z63" s="513">
        <f>IF(ISNA(MATCH(Z$2,Inputs!$K$4:$AJ$4,0)),NA(),IF(SUMPRODUCT((Inputs!$A$5:$A$120=$B63)*ISNUMBER(INDEX(Inputs!$K$5:$AJ$120,0,MATCH(Z$2,Inputs!$K$4:$AJ$4,0))))+SUMPRODUCT((Inputs!$C$5:$C$120=$B63)*ISNUMBER(INDEX(Inputs!$K$5:$AJ$120,0,MATCH(Z$2,Inputs!$K$4:$AJ$4,0))))+SUMPRODUCT((Inputs!$E$5:$E$120=$B63)*ISNUMBER(INDEX(Inputs!$K$5:$AJ$120,0,MATCH(Z$2,Inputs!$K$4:$AJ$4,0))))=0,NA(),SUMPRODUCT((Inputs!$A$5:$A$120=$B63)*Inputs!$B$5:$B$120*(((Inputs!$G$5:$G$120="moeda")+(Inputs!$G$5:$G$120="acoes"))*Inputs!$B$1+((Inputs!$G$5:$G$120&lt;&gt;"moeda")*(Inputs!$G$5:$G$120&lt;&gt;"acoes")))*INDEX(Inputs!$K$5:$AJ$120,0,MATCH(Z$2,Inputs!$K$4:$AJ$4,0)))+SUMPRODUCT((Inputs!$C$5:$C$120=$B63)*Inputs!$D$5:$D$120*(((Inputs!$G$5:$G$120="moeda")+(Inputs!$G$5:$G$120="acoes"))*Inputs!$B$1+((Inputs!$G$5:$G$120&lt;&gt;"moeda")*(Inputs!$G$5:$G$120&lt;&gt;"acoes")))*INDEX(Inputs!$K$5:$AJ$120,0,MATCH(Z$2,Inputs!$K$4:$AJ$4,0)))+SUMPRODUCT((Inputs!$E$5:$E$120=$B63)*Inputs!$F$5:$F$120*(((Inputs!$G$5:$G$120="moeda")+(Inputs!$G$5:$G$120="acoes"))*Inputs!$B$1+((Inputs!$G$5:$G$120&lt;&gt;"moeda")*(Inputs!$G$5:$G$120&lt;&gt;"acoes")))*INDEX(Inputs!$K$5:$AJ$120,0,MATCH(Z$2,Inputs!$K$4:$AJ$4,0)))))</f>
        <v>3661</v>
      </c>
      <c r="AA63" s="513">
        <f>IF(ISNA(MATCH(AA$2,Inputs!$K$4:$AJ$4,0)),NA(),IF(SUMPRODUCT((Inputs!$A$5:$A$120=$B63)*ISNUMBER(INDEX(Inputs!$K$5:$AJ$120,0,MATCH(AA$2,Inputs!$K$4:$AJ$4,0))))+SUMPRODUCT((Inputs!$C$5:$C$120=$B63)*ISNUMBER(INDEX(Inputs!$K$5:$AJ$120,0,MATCH(AA$2,Inputs!$K$4:$AJ$4,0))))+SUMPRODUCT((Inputs!$E$5:$E$120=$B63)*ISNUMBER(INDEX(Inputs!$K$5:$AJ$120,0,MATCH(AA$2,Inputs!$K$4:$AJ$4,0))))=0,NA(),SUMPRODUCT((Inputs!$A$5:$A$120=$B63)*Inputs!$B$5:$B$120*(((Inputs!$G$5:$G$120="moeda")+(Inputs!$G$5:$G$120="acoes"))*Inputs!$B$1+((Inputs!$G$5:$G$120&lt;&gt;"moeda")*(Inputs!$G$5:$G$120&lt;&gt;"acoes")))*INDEX(Inputs!$K$5:$AJ$120,0,MATCH(AA$2,Inputs!$K$4:$AJ$4,0)))+SUMPRODUCT((Inputs!$C$5:$C$120=$B63)*Inputs!$D$5:$D$120*(((Inputs!$G$5:$G$120="moeda")+(Inputs!$G$5:$G$120="acoes"))*Inputs!$B$1+((Inputs!$G$5:$G$120&lt;&gt;"moeda")*(Inputs!$G$5:$G$120&lt;&gt;"acoes")))*INDEX(Inputs!$K$5:$AJ$120,0,MATCH(AA$2,Inputs!$K$4:$AJ$4,0)))+SUMPRODUCT((Inputs!$E$5:$E$120=$B63)*Inputs!$F$5:$F$120*(((Inputs!$G$5:$G$120="moeda")+(Inputs!$G$5:$G$120="acoes"))*Inputs!$B$1+((Inputs!$G$5:$G$120&lt;&gt;"moeda")*(Inputs!$G$5:$G$120&lt;&gt;"acoes")))*INDEX(Inputs!$K$5:$AJ$120,0,MATCH(AA$2,Inputs!$K$4:$AJ$4,0)))))</f>
        <v>4545</v>
      </c>
      <c r="AB63" s="514">
        <f>SUM(X63:AA63)</f>
        <v>11252</v>
      </c>
      <c r="AC63" s="513">
        <f>IF(ISNA(MATCH(AC$2,Inputs!$K$4:$AJ$4,0)),NA(),IF(SUMPRODUCT((Inputs!$A$5:$A$120=$B63)*ISNUMBER(INDEX(Inputs!$K$5:$AJ$120,0,MATCH(AC$2,Inputs!$K$4:$AJ$4,0))))+SUMPRODUCT((Inputs!$C$5:$C$120=$B63)*ISNUMBER(INDEX(Inputs!$K$5:$AJ$120,0,MATCH(AC$2,Inputs!$K$4:$AJ$4,0))))+SUMPRODUCT((Inputs!$E$5:$E$120=$B63)*ISNUMBER(INDEX(Inputs!$K$5:$AJ$120,0,MATCH(AC$2,Inputs!$K$4:$AJ$4,0))))=0,NA(),SUMPRODUCT((Inputs!$A$5:$A$120=$B63)*Inputs!$B$5:$B$120*(((Inputs!$G$5:$G$120="moeda")+(Inputs!$G$5:$G$120="acoes"))*Inputs!$B$1+((Inputs!$G$5:$G$120&lt;&gt;"moeda")*(Inputs!$G$5:$G$120&lt;&gt;"acoes")))*INDEX(Inputs!$K$5:$AJ$120,0,MATCH(AC$2,Inputs!$K$4:$AJ$4,0)))+SUMPRODUCT((Inputs!$C$5:$C$120=$B63)*Inputs!$D$5:$D$120*(((Inputs!$G$5:$G$120="moeda")+(Inputs!$G$5:$G$120="acoes"))*Inputs!$B$1+((Inputs!$G$5:$G$120&lt;&gt;"moeda")*(Inputs!$G$5:$G$120&lt;&gt;"acoes")))*INDEX(Inputs!$K$5:$AJ$120,0,MATCH(AC$2,Inputs!$K$4:$AJ$4,0)))+SUMPRODUCT((Inputs!$E$5:$E$120=$B63)*Inputs!$F$5:$F$120*(((Inputs!$G$5:$G$120="moeda")+(Inputs!$G$5:$G$120="acoes"))*Inputs!$B$1+((Inputs!$G$5:$G$120&lt;&gt;"moeda")*(Inputs!$G$5:$G$120&lt;&gt;"acoes")))*INDEX(Inputs!$K$5:$AJ$120,0,MATCH(AC$2,Inputs!$K$4:$AJ$4,0)))))</f>
        <v>3904</v>
      </c>
      <c r="AD63" s="513">
        <f>IF(ISNA(MATCH(AD$2,Inputs!$K$4:$AJ$4,0)),NA(),IF(SUMPRODUCT((Inputs!$A$5:$A$120=$B63)*ISNUMBER(INDEX(Inputs!$K$5:$AJ$120,0,MATCH(AD$2,Inputs!$K$4:$AJ$4,0))))+SUMPRODUCT((Inputs!$C$5:$C$120=$B63)*ISNUMBER(INDEX(Inputs!$K$5:$AJ$120,0,MATCH(AD$2,Inputs!$K$4:$AJ$4,0))))+SUMPRODUCT((Inputs!$E$5:$E$120=$B63)*ISNUMBER(INDEX(Inputs!$K$5:$AJ$120,0,MATCH(AD$2,Inputs!$K$4:$AJ$4,0))))=0,NA(),SUMPRODUCT((Inputs!$A$5:$A$120=$B63)*Inputs!$B$5:$B$120*(((Inputs!$G$5:$G$120="moeda")+(Inputs!$G$5:$G$120="acoes"))*Inputs!$B$1+((Inputs!$G$5:$G$120&lt;&gt;"moeda")*(Inputs!$G$5:$G$120&lt;&gt;"acoes")))*INDEX(Inputs!$K$5:$AJ$120,0,MATCH(AD$2,Inputs!$K$4:$AJ$4,0)))+SUMPRODUCT((Inputs!$C$5:$C$120=$B63)*Inputs!$D$5:$D$120*(((Inputs!$G$5:$G$120="moeda")+(Inputs!$G$5:$G$120="acoes"))*Inputs!$B$1+((Inputs!$G$5:$G$120&lt;&gt;"moeda")*(Inputs!$G$5:$G$120&lt;&gt;"acoes")))*INDEX(Inputs!$K$5:$AJ$120,0,MATCH(AD$2,Inputs!$K$4:$AJ$4,0)))+SUMPRODUCT((Inputs!$E$5:$E$120=$B63)*Inputs!$F$5:$F$120*(((Inputs!$G$5:$G$120="moeda")+(Inputs!$G$5:$G$120="acoes"))*Inputs!$B$1+((Inputs!$G$5:$G$120&lt;&gt;"moeda")*(Inputs!$G$5:$G$120&lt;&gt;"acoes")))*INDEX(Inputs!$K$5:$AJ$120,0,MATCH(AD$2,Inputs!$K$4:$AJ$4,0)))))</f>
        <v>4095</v>
      </c>
      <c r="AE63" s="513" t="e">
        <f>IF(ISNA(MATCH(AE$2,Inputs!$K$4:$AJ$4,0)),NA(),IF(SUMPRODUCT((Inputs!$A$5:$A$120=$B63)*ISNUMBER(INDEX(Inputs!$K$5:$AJ$120,0,MATCH(AE$2,Inputs!$K$4:$AJ$4,0))))+SUMPRODUCT((Inputs!$C$5:$C$120=$B63)*ISNUMBER(INDEX(Inputs!$K$5:$AJ$120,0,MATCH(AE$2,Inputs!$K$4:$AJ$4,0))))+SUMPRODUCT((Inputs!$E$5:$E$120=$B63)*ISNUMBER(INDEX(Inputs!$K$5:$AJ$120,0,MATCH(AE$2,Inputs!$K$4:$AJ$4,0))))=0,NA(),SUMPRODUCT((Inputs!$A$5:$A$120=$B63)*Inputs!$B$5:$B$120*(((Inputs!$G$5:$G$120="moeda")+(Inputs!$G$5:$G$120="acoes"))*Inputs!$B$1+((Inputs!$G$5:$G$120&lt;&gt;"moeda")*(Inputs!$G$5:$G$120&lt;&gt;"acoes")))*INDEX(Inputs!$K$5:$AJ$120,0,MATCH(AE$2,Inputs!$K$4:$AJ$4,0)))+SUMPRODUCT((Inputs!$C$5:$C$120=$B63)*Inputs!$D$5:$D$120*(((Inputs!$G$5:$G$120="moeda")+(Inputs!$G$5:$G$120="acoes"))*Inputs!$B$1+((Inputs!$G$5:$G$120&lt;&gt;"moeda")*(Inputs!$G$5:$G$120&lt;&gt;"acoes")))*INDEX(Inputs!$K$5:$AJ$120,0,MATCH(AE$2,Inputs!$K$4:$AJ$4,0)))+SUMPRODUCT((Inputs!$E$5:$E$120=$B63)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3" s="513" t="e">
        <f>IF(ISNA(MATCH(AF$2,Inputs!$K$4:$AJ$4,0)),NA(),IF(SUMPRODUCT((Inputs!$A$5:$A$120=$B63)*ISNUMBER(INDEX(Inputs!$K$5:$AJ$120,0,MATCH(AF$2,Inputs!$K$4:$AJ$4,0))))+SUMPRODUCT((Inputs!$C$5:$C$120=$B63)*ISNUMBER(INDEX(Inputs!$K$5:$AJ$120,0,MATCH(AF$2,Inputs!$K$4:$AJ$4,0))))+SUMPRODUCT((Inputs!$E$5:$E$120=$B63)*ISNUMBER(INDEX(Inputs!$K$5:$AJ$120,0,MATCH(AF$2,Inputs!$K$4:$AJ$4,0))))=0,NA(),SUMPRODUCT((Inputs!$A$5:$A$120=$B63)*Inputs!$B$5:$B$120*(((Inputs!$G$5:$G$120="moeda")+(Inputs!$G$5:$G$120="acoes"))*Inputs!$B$1+((Inputs!$G$5:$G$120&lt;&gt;"moeda")*(Inputs!$G$5:$G$120&lt;&gt;"acoes")))*INDEX(Inputs!$K$5:$AJ$120,0,MATCH(AF$2,Inputs!$K$4:$AJ$4,0)))+SUMPRODUCT((Inputs!$C$5:$C$120=$B63)*Inputs!$D$5:$D$120*(((Inputs!$G$5:$G$120="moeda")+(Inputs!$G$5:$G$120="acoes"))*Inputs!$B$1+((Inputs!$G$5:$G$120&lt;&gt;"moeda")*(Inputs!$G$5:$G$120&lt;&gt;"acoes")))*INDEX(Inputs!$K$5:$AJ$120,0,MATCH(AF$2,Inputs!$K$4:$AJ$4,0)))+SUMPRODUCT((Inputs!$E$5:$E$120=$B63)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3" s="514" t="e">
        <f>SUM(AC63:AF63)</f>
        <v>#N/A</v>
      </c>
      <c r="AH63" s="513" t="e">
        <f>IF(ISNA(MATCH(AH$2,Inputs!$K$4:$AJ$4,0)),NA(),IF(SUMPRODUCT((Inputs!$A$5:$A$120=$B63)*ISNUMBER(INDEX(Inputs!$K$5:$AJ$120,0,MATCH(AH$2,Inputs!$K$4:$AJ$4,0))))+SUMPRODUCT((Inputs!$C$5:$C$120=$B63)*ISNUMBER(INDEX(Inputs!$K$5:$AJ$120,0,MATCH(AH$2,Inputs!$K$4:$AJ$4,0))))+SUMPRODUCT((Inputs!$E$5:$E$120=$B63)*ISNUMBER(INDEX(Inputs!$K$5:$AJ$120,0,MATCH(AH$2,Inputs!$K$4:$AJ$4,0))))=0,NA(),SUMPRODUCT((Inputs!$A$5:$A$120=$B63)*Inputs!$B$5:$B$120*(((Inputs!$G$5:$G$120="moeda")+(Inputs!$G$5:$G$120="acoes"))*Inputs!$B$1+((Inputs!$G$5:$G$120&lt;&gt;"moeda")*(Inputs!$G$5:$G$120&lt;&gt;"acoes")))*INDEX(Inputs!$K$5:$AJ$120,0,MATCH(AH$2,Inputs!$K$4:$AJ$4,0)))+SUMPRODUCT((Inputs!$C$5:$C$120=$B63)*Inputs!$D$5:$D$120*(((Inputs!$G$5:$G$120="moeda")+(Inputs!$G$5:$G$120="acoes"))*Inputs!$B$1+((Inputs!$G$5:$G$120&lt;&gt;"moeda")*(Inputs!$G$5:$G$120&lt;&gt;"acoes")))*INDEX(Inputs!$K$5:$AJ$120,0,MATCH(AH$2,Inputs!$K$4:$AJ$4,0)))+SUMPRODUCT((Inputs!$E$5:$E$120=$B63)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3" s="513" t="e">
        <f>IF(ISNA(MATCH(AI$2,Inputs!$K$4:$AJ$4,0)),NA(),IF(SUMPRODUCT((Inputs!$A$5:$A$120=$B63)*ISNUMBER(INDEX(Inputs!$K$5:$AJ$120,0,MATCH(AI$2,Inputs!$K$4:$AJ$4,0))))+SUMPRODUCT((Inputs!$C$5:$C$120=$B63)*ISNUMBER(INDEX(Inputs!$K$5:$AJ$120,0,MATCH(AI$2,Inputs!$K$4:$AJ$4,0))))+SUMPRODUCT((Inputs!$E$5:$E$120=$B63)*ISNUMBER(INDEX(Inputs!$K$5:$AJ$120,0,MATCH(AI$2,Inputs!$K$4:$AJ$4,0))))=0,NA(),SUMPRODUCT((Inputs!$A$5:$A$120=$B63)*Inputs!$B$5:$B$120*(((Inputs!$G$5:$G$120="moeda")+(Inputs!$G$5:$G$120="acoes"))*Inputs!$B$1+((Inputs!$G$5:$G$120&lt;&gt;"moeda")*(Inputs!$G$5:$G$120&lt;&gt;"acoes")))*INDEX(Inputs!$K$5:$AJ$120,0,MATCH(AI$2,Inputs!$K$4:$AJ$4,0)))+SUMPRODUCT((Inputs!$C$5:$C$120=$B63)*Inputs!$D$5:$D$120*(((Inputs!$G$5:$G$120="moeda")+(Inputs!$G$5:$G$120="acoes"))*Inputs!$B$1+((Inputs!$G$5:$G$120&lt;&gt;"moeda")*(Inputs!$G$5:$G$120&lt;&gt;"acoes")))*INDEX(Inputs!$K$5:$AJ$120,0,MATCH(AI$2,Inputs!$K$4:$AJ$4,0)))+SUMPRODUCT((Inputs!$E$5:$E$120=$B63)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3" s="513" t="e">
        <f>IF(ISNA(MATCH(AJ$2,Inputs!$K$4:$AJ$4,0)),NA(),IF(SUMPRODUCT((Inputs!$A$5:$A$120=$B63)*ISNUMBER(INDEX(Inputs!$K$5:$AJ$120,0,MATCH(AJ$2,Inputs!$K$4:$AJ$4,0))))+SUMPRODUCT((Inputs!$C$5:$C$120=$B63)*ISNUMBER(INDEX(Inputs!$K$5:$AJ$120,0,MATCH(AJ$2,Inputs!$K$4:$AJ$4,0))))+SUMPRODUCT((Inputs!$E$5:$E$120=$B63)*ISNUMBER(INDEX(Inputs!$K$5:$AJ$120,0,MATCH(AJ$2,Inputs!$K$4:$AJ$4,0))))=0,NA(),SUMPRODUCT((Inputs!$A$5:$A$120=$B63)*Inputs!$B$5:$B$120*(((Inputs!$G$5:$G$120="moeda")+(Inputs!$G$5:$G$120="acoes"))*Inputs!$B$1+((Inputs!$G$5:$G$120&lt;&gt;"moeda")*(Inputs!$G$5:$G$120&lt;&gt;"acoes")))*INDEX(Inputs!$K$5:$AJ$120,0,MATCH(AJ$2,Inputs!$K$4:$AJ$4,0)))+SUMPRODUCT((Inputs!$C$5:$C$120=$B63)*Inputs!$D$5:$D$120*(((Inputs!$G$5:$G$120="moeda")+(Inputs!$G$5:$G$120="acoes"))*Inputs!$B$1+((Inputs!$G$5:$G$120&lt;&gt;"moeda")*(Inputs!$G$5:$G$120&lt;&gt;"acoes")))*INDEX(Inputs!$K$5:$AJ$120,0,MATCH(AJ$2,Inputs!$K$4:$AJ$4,0)))+SUMPRODUCT((Inputs!$E$5:$E$120=$B63)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3" s="513" t="e">
        <f>IF(ISNA(MATCH(AK$2,Inputs!$K$4:$AJ$4,0)),NA(),IF(SUMPRODUCT((Inputs!$A$5:$A$120=$B63)*ISNUMBER(INDEX(Inputs!$K$5:$AJ$120,0,MATCH(AK$2,Inputs!$K$4:$AJ$4,0))))+SUMPRODUCT((Inputs!$C$5:$C$120=$B63)*ISNUMBER(INDEX(Inputs!$K$5:$AJ$120,0,MATCH(AK$2,Inputs!$K$4:$AJ$4,0))))+SUMPRODUCT((Inputs!$E$5:$E$120=$B63)*ISNUMBER(INDEX(Inputs!$K$5:$AJ$120,0,MATCH(AK$2,Inputs!$K$4:$AJ$4,0))))=0,NA(),SUMPRODUCT((Inputs!$A$5:$A$120=$B63)*Inputs!$B$5:$B$120*(((Inputs!$G$5:$G$120="moeda")+(Inputs!$G$5:$G$120="acoes"))*Inputs!$B$1+((Inputs!$G$5:$G$120&lt;&gt;"moeda")*(Inputs!$G$5:$G$120&lt;&gt;"acoes")))*INDEX(Inputs!$K$5:$AJ$120,0,MATCH(AK$2,Inputs!$K$4:$AJ$4,0)))+SUMPRODUCT((Inputs!$C$5:$C$120=$B63)*Inputs!$D$5:$D$120*(((Inputs!$G$5:$G$120="moeda")+(Inputs!$G$5:$G$120="acoes"))*Inputs!$B$1+((Inputs!$G$5:$G$120&lt;&gt;"moeda")*(Inputs!$G$5:$G$120&lt;&gt;"acoes")))*INDEX(Inputs!$K$5:$AJ$120,0,MATCH(AK$2,Inputs!$K$4:$AJ$4,0)))+SUMPRODUCT((Inputs!$E$5:$E$120=$B63)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3" s="514" t="e">
        <f>SUM(AH63:AK63)</f>
        <v>#N/A</v>
      </c>
    </row>
    <row r="64">
      <c r="B64" s="265" t="n">
        <v>56</v>
      </c>
      <c r="C64" s="266" t="inlineStr">
        <is>
          <t>Nova estrutura - Tropical Oils &amp; Specialty Ingredients (USD)</t>
        </is>
      </c>
      <c r="D64" s="513" t="e">
        <f>IF(ISNA(MATCH(D$2,Inputs!$K$4:$AJ$4,0)),NA(),IF(SUMPRODUCT((Inputs!$A$5:$A$120=$B64)*ISNUMBER(INDEX(Inputs!$K$5:$AJ$120,0,MATCH(D$2,Inputs!$K$4:$AJ$4,0))))+SUMPRODUCT((Inputs!$C$5:$C$120=$B64)*ISNUMBER(INDEX(Inputs!$K$5:$AJ$120,0,MATCH(D$2,Inputs!$K$4:$AJ$4,0))))+SUMPRODUCT((Inputs!$E$5:$E$120=$B64)*ISNUMBER(INDEX(Inputs!$K$5:$AJ$120,0,MATCH(D$2,Inputs!$K$4:$AJ$4,0))))=0,NA(),SUMPRODUCT((Inputs!$A$5:$A$120=$B64)*Inputs!$B$5:$B$120*(((Inputs!$G$5:$G$120="moeda")+(Inputs!$G$5:$G$120="acoes"))*Inputs!$B$1+((Inputs!$G$5:$G$120&lt;&gt;"moeda")*(Inputs!$G$5:$G$120&lt;&gt;"acoes")))*INDEX(Inputs!$K$5:$AJ$120,0,MATCH(D$2,Inputs!$K$4:$AJ$4,0)))+SUMPRODUCT((Inputs!$C$5:$C$120=$B64)*Inputs!$D$5:$D$120*(((Inputs!$G$5:$G$120="moeda")+(Inputs!$G$5:$G$120="acoes"))*Inputs!$B$1+((Inputs!$G$5:$G$120&lt;&gt;"moeda")*(Inputs!$G$5:$G$120&lt;&gt;"acoes")))*INDEX(Inputs!$K$5:$AJ$120,0,MATCH(D$2,Inputs!$K$4:$AJ$4,0)))+SUMPRODUCT((Inputs!$E$5:$E$120=$B64)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4" s="513" t="e">
        <f>IF(ISNA(MATCH(E$2,Inputs!$K$4:$AJ$4,0)),NA(),IF(SUMPRODUCT((Inputs!$A$5:$A$120=$B64)*ISNUMBER(INDEX(Inputs!$K$5:$AJ$120,0,MATCH(E$2,Inputs!$K$4:$AJ$4,0))))+SUMPRODUCT((Inputs!$C$5:$C$120=$B64)*ISNUMBER(INDEX(Inputs!$K$5:$AJ$120,0,MATCH(E$2,Inputs!$K$4:$AJ$4,0))))+SUMPRODUCT((Inputs!$E$5:$E$120=$B64)*ISNUMBER(INDEX(Inputs!$K$5:$AJ$120,0,MATCH(E$2,Inputs!$K$4:$AJ$4,0))))=0,NA(),SUMPRODUCT((Inputs!$A$5:$A$120=$B64)*Inputs!$B$5:$B$120*(((Inputs!$G$5:$G$120="moeda")+(Inputs!$G$5:$G$120="acoes"))*Inputs!$B$1+((Inputs!$G$5:$G$120&lt;&gt;"moeda")*(Inputs!$G$5:$G$120&lt;&gt;"acoes")))*INDEX(Inputs!$K$5:$AJ$120,0,MATCH(E$2,Inputs!$K$4:$AJ$4,0)))+SUMPRODUCT((Inputs!$C$5:$C$120=$B64)*Inputs!$D$5:$D$120*(((Inputs!$G$5:$G$120="moeda")+(Inputs!$G$5:$G$120="acoes"))*Inputs!$B$1+((Inputs!$G$5:$G$120&lt;&gt;"moeda")*(Inputs!$G$5:$G$120&lt;&gt;"acoes")))*INDEX(Inputs!$K$5:$AJ$120,0,MATCH(E$2,Inputs!$K$4:$AJ$4,0)))+SUMPRODUCT((Inputs!$E$5:$E$120=$B64)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4" s="513" t="e">
        <f>IF(ISNA(MATCH(F$2,Inputs!$K$4:$AJ$4,0)),NA(),IF(SUMPRODUCT((Inputs!$A$5:$A$120=$B64)*ISNUMBER(INDEX(Inputs!$K$5:$AJ$120,0,MATCH(F$2,Inputs!$K$4:$AJ$4,0))))+SUMPRODUCT((Inputs!$C$5:$C$120=$B64)*ISNUMBER(INDEX(Inputs!$K$5:$AJ$120,0,MATCH(F$2,Inputs!$K$4:$AJ$4,0))))+SUMPRODUCT((Inputs!$E$5:$E$120=$B64)*ISNUMBER(INDEX(Inputs!$K$5:$AJ$120,0,MATCH(F$2,Inputs!$K$4:$AJ$4,0))))=0,NA(),SUMPRODUCT((Inputs!$A$5:$A$120=$B64)*Inputs!$B$5:$B$120*(((Inputs!$G$5:$G$120="moeda")+(Inputs!$G$5:$G$120="acoes"))*Inputs!$B$1+((Inputs!$G$5:$G$120&lt;&gt;"moeda")*(Inputs!$G$5:$G$120&lt;&gt;"acoes")))*INDEX(Inputs!$K$5:$AJ$120,0,MATCH(F$2,Inputs!$K$4:$AJ$4,0)))+SUMPRODUCT((Inputs!$C$5:$C$120=$B64)*Inputs!$D$5:$D$120*(((Inputs!$G$5:$G$120="moeda")+(Inputs!$G$5:$G$120="acoes"))*Inputs!$B$1+((Inputs!$G$5:$G$120&lt;&gt;"moeda")*(Inputs!$G$5:$G$120&lt;&gt;"acoes")))*INDEX(Inputs!$K$5:$AJ$120,0,MATCH(F$2,Inputs!$K$4:$AJ$4,0)))+SUMPRODUCT((Inputs!$E$5:$E$120=$B64)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4" s="513" t="e">
        <f>IF(ISNA(MATCH(G$2,Inputs!$K$4:$AJ$4,0)),NA(),IF(SUMPRODUCT((Inputs!$A$5:$A$120=$B64)*ISNUMBER(INDEX(Inputs!$K$5:$AJ$120,0,MATCH(G$2,Inputs!$K$4:$AJ$4,0))))+SUMPRODUCT((Inputs!$C$5:$C$120=$B64)*ISNUMBER(INDEX(Inputs!$K$5:$AJ$120,0,MATCH(G$2,Inputs!$K$4:$AJ$4,0))))+SUMPRODUCT((Inputs!$E$5:$E$120=$B64)*ISNUMBER(INDEX(Inputs!$K$5:$AJ$120,0,MATCH(G$2,Inputs!$K$4:$AJ$4,0))))=0,NA(),SUMPRODUCT((Inputs!$A$5:$A$120=$B64)*Inputs!$B$5:$B$120*(((Inputs!$G$5:$G$120="moeda")+(Inputs!$G$5:$G$120="acoes"))*Inputs!$B$1+((Inputs!$G$5:$G$120&lt;&gt;"moeda")*(Inputs!$G$5:$G$120&lt;&gt;"acoes")))*INDEX(Inputs!$K$5:$AJ$120,0,MATCH(G$2,Inputs!$K$4:$AJ$4,0)))+SUMPRODUCT((Inputs!$C$5:$C$120=$B64)*Inputs!$D$5:$D$120*(((Inputs!$G$5:$G$120="moeda")+(Inputs!$G$5:$G$120="acoes"))*Inputs!$B$1+((Inputs!$G$5:$G$120&lt;&gt;"moeda")*(Inputs!$G$5:$G$120&lt;&gt;"acoes")))*INDEX(Inputs!$K$5:$AJ$120,0,MATCH(G$2,Inputs!$K$4:$AJ$4,0)))+SUMPRODUCT((Inputs!$E$5:$E$120=$B64)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4" s="514" t="e">
        <f>SUM(D64:G64)</f>
        <v>#N/A</v>
      </c>
      <c r="I64" s="513" t="e">
        <f>IF(ISNA(MATCH(I$2,Inputs!$K$4:$AJ$4,0)),NA(),IF(SUMPRODUCT((Inputs!$A$5:$A$120=$B64)*ISNUMBER(INDEX(Inputs!$K$5:$AJ$120,0,MATCH(I$2,Inputs!$K$4:$AJ$4,0))))+SUMPRODUCT((Inputs!$C$5:$C$120=$B64)*ISNUMBER(INDEX(Inputs!$K$5:$AJ$120,0,MATCH(I$2,Inputs!$K$4:$AJ$4,0))))+SUMPRODUCT((Inputs!$E$5:$E$120=$B64)*ISNUMBER(INDEX(Inputs!$K$5:$AJ$120,0,MATCH(I$2,Inputs!$K$4:$AJ$4,0))))=0,NA(),SUMPRODUCT((Inputs!$A$5:$A$120=$B64)*Inputs!$B$5:$B$120*(((Inputs!$G$5:$G$120="moeda")+(Inputs!$G$5:$G$120="acoes"))*Inputs!$B$1+((Inputs!$G$5:$G$120&lt;&gt;"moeda")*(Inputs!$G$5:$G$120&lt;&gt;"acoes")))*INDEX(Inputs!$K$5:$AJ$120,0,MATCH(I$2,Inputs!$K$4:$AJ$4,0)))+SUMPRODUCT((Inputs!$C$5:$C$120=$B64)*Inputs!$D$5:$D$120*(((Inputs!$G$5:$G$120="moeda")+(Inputs!$G$5:$G$120="acoes"))*Inputs!$B$1+((Inputs!$G$5:$G$120&lt;&gt;"moeda")*(Inputs!$G$5:$G$120&lt;&gt;"acoes")))*INDEX(Inputs!$K$5:$AJ$120,0,MATCH(I$2,Inputs!$K$4:$AJ$4,0)))+SUMPRODUCT((Inputs!$E$5:$E$120=$B64)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4" s="513" t="e">
        <f>IF(ISNA(MATCH(J$2,Inputs!$K$4:$AJ$4,0)),NA(),IF(SUMPRODUCT((Inputs!$A$5:$A$120=$B64)*ISNUMBER(INDEX(Inputs!$K$5:$AJ$120,0,MATCH(J$2,Inputs!$K$4:$AJ$4,0))))+SUMPRODUCT((Inputs!$C$5:$C$120=$B64)*ISNUMBER(INDEX(Inputs!$K$5:$AJ$120,0,MATCH(J$2,Inputs!$K$4:$AJ$4,0))))+SUMPRODUCT((Inputs!$E$5:$E$120=$B64)*ISNUMBER(INDEX(Inputs!$K$5:$AJ$120,0,MATCH(J$2,Inputs!$K$4:$AJ$4,0))))=0,NA(),SUMPRODUCT((Inputs!$A$5:$A$120=$B64)*Inputs!$B$5:$B$120*(((Inputs!$G$5:$G$120="moeda")+(Inputs!$G$5:$G$120="acoes"))*Inputs!$B$1+((Inputs!$G$5:$G$120&lt;&gt;"moeda")*(Inputs!$G$5:$G$120&lt;&gt;"acoes")))*INDEX(Inputs!$K$5:$AJ$120,0,MATCH(J$2,Inputs!$K$4:$AJ$4,0)))+SUMPRODUCT((Inputs!$C$5:$C$120=$B64)*Inputs!$D$5:$D$120*(((Inputs!$G$5:$G$120="moeda")+(Inputs!$G$5:$G$120="acoes"))*Inputs!$B$1+((Inputs!$G$5:$G$120&lt;&gt;"moeda")*(Inputs!$G$5:$G$120&lt;&gt;"acoes")))*INDEX(Inputs!$K$5:$AJ$120,0,MATCH(J$2,Inputs!$K$4:$AJ$4,0)))+SUMPRODUCT((Inputs!$E$5:$E$120=$B64)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4" s="513" t="e">
        <f>IF(ISNA(MATCH(K$2,Inputs!$K$4:$AJ$4,0)),NA(),IF(SUMPRODUCT((Inputs!$A$5:$A$120=$B64)*ISNUMBER(INDEX(Inputs!$K$5:$AJ$120,0,MATCH(K$2,Inputs!$K$4:$AJ$4,0))))+SUMPRODUCT((Inputs!$C$5:$C$120=$B64)*ISNUMBER(INDEX(Inputs!$K$5:$AJ$120,0,MATCH(K$2,Inputs!$K$4:$AJ$4,0))))+SUMPRODUCT((Inputs!$E$5:$E$120=$B64)*ISNUMBER(INDEX(Inputs!$K$5:$AJ$120,0,MATCH(K$2,Inputs!$K$4:$AJ$4,0))))=0,NA(),SUMPRODUCT((Inputs!$A$5:$A$120=$B64)*Inputs!$B$5:$B$120*(((Inputs!$G$5:$G$120="moeda")+(Inputs!$G$5:$G$120="acoes"))*Inputs!$B$1+((Inputs!$G$5:$G$120&lt;&gt;"moeda")*(Inputs!$G$5:$G$120&lt;&gt;"acoes")))*INDEX(Inputs!$K$5:$AJ$120,0,MATCH(K$2,Inputs!$K$4:$AJ$4,0)))+SUMPRODUCT((Inputs!$C$5:$C$120=$B64)*Inputs!$D$5:$D$120*(((Inputs!$G$5:$G$120="moeda")+(Inputs!$G$5:$G$120="acoes"))*Inputs!$B$1+((Inputs!$G$5:$G$120&lt;&gt;"moeda")*(Inputs!$G$5:$G$120&lt;&gt;"acoes")))*INDEX(Inputs!$K$5:$AJ$120,0,MATCH(K$2,Inputs!$K$4:$AJ$4,0)))+SUMPRODUCT((Inputs!$E$5:$E$120=$B64)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4" s="513" t="e">
        <f>IF(ISNA(MATCH(L$2,Inputs!$K$4:$AJ$4,0)),NA(),IF(SUMPRODUCT((Inputs!$A$5:$A$120=$B64)*ISNUMBER(INDEX(Inputs!$K$5:$AJ$120,0,MATCH(L$2,Inputs!$K$4:$AJ$4,0))))+SUMPRODUCT((Inputs!$C$5:$C$120=$B64)*ISNUMBER(INDEX(Inputs!$K$5:$AJ$120,0,MATCH(L$2,Inputs!$K$4:$AJ$4,0))))+SUMPRODUCT((Inputs!$E$5:$E$120=$B64)*ISNUMBER(INDEX(Inputs!$K$5:$AJ$120,0,MATCH(L$2,Inputs!$K$4:$AJ$4,0))))=0,NA(),SUMPRODUCT((Inputs!$A$5:$A$120=$B64)*Inputs!$B$5:$B$120*(((Inputs!$G$5:$G$120="moeda")+(Inputs!$G$5:$G$120="acoes"))*Inputs!$B$1+((Inputs!$G$5:$G$120&lt;&gt;"moeda")*(Inputs!$G$5:$G$120&lt;&gt;"acoes")))*INDEX(Inputs!$K$5:$AJ$120,0,MATCH(L$2,Inputs!$K$4:$AJ$4,0)))+SUMPRODUCT((Inputs!$C$5:$C$120=$B64)*Inputs!$D$5:$D$120*(((Inputs!$G$5:$G$120="moeda")+(Inputs!$G$5:$G$120="acoes"))*Inputs!$B$1+((Inputs!$G$5:$G$120&lt;&gt;"moeda")*(Inputs!$G$5:$G$120&lt;&gt;"acoes")))*INDEX(Inputs!$K$5:$AJ$120,0,MATCH(L$2,Inputs!$K$4:$AJ$4,0)))+SUMPRODUCT((Inputs!$E$5:$E$120=$B64)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4" s="514" t="e">
        <f>SUM(I64:L64)</f>
        <v>#N/A</v>
      </c>
      <c r="N64" s="513" t="e">
        <f>IF(ISNA(MATCH(N$2,Inputs!$K$4:$AJ$4,0)),NA(),IF(SUMPRODUCT((Inputs!$A$5:$A$120=$B64)*ISNUMBER(INDEX(Inputs!$K$5:$AJ$120,0,MATCH(N$2,Inputs!$K$4:$AJ$4,0))))+SUMPRODUCT((Inputs!$C$5:$C$120=$B64)*ISNUMBER(INDEX(Inputs!$K$5:$AJ$120,0,MATCH(N$2,Inputs!$K$4:$AJ$4,0))))+SUMPRODUCT((Inputs!$E$5:$E$120=$B64)*ISNUMBER(INDEX(Inputs!$K$5:$AJ$120,0,MATCH(N$2,Inputs!$K$4:$AJ$4,0))))=0,NA(),SUMPRODUCT((Inputs!$A$5:$A$120=$B64)*Inputs!$B$5:$B$120*(((Inputs!$G$5:$G$120="moeda")+(Inputs!$G$5:$G$120="acoes"))*Inputs!$B$1+((Inputs!$G$5:$G$120&lt;&gt;"moeda")*(Inputs!$G$5:$G$120&lt;&gt;"acoes")))*INDEX(Inputs!$K$5:$AJ$120,0,MATCH(N$2,Inputs!$K$4:$AJ$4,0)))+SUMPRODUCT((Inputs!$C$5:$C$120=$B64)*Inputs!$D$5:$D$120*(((Inputs!$G$5:$G$120="moeda")+(Inputs!$G$5:$G$120="acoes"))*Inputs!$B$1+((Inputs!$G$5:$G$120&lt;&gt;"moeda")*(Inputs!$G$5:$G$120&lt;&gt;"acoes")))*INDEX(Inputs!$K$5:$AJ$120,0,MATCH(N$2,Inputs!$K$4:$AJ$4,0)))+SUMPRODUCT((Inputs!$E$5:$E$120=$B64)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4" s="513" t="e">
        <f>IF(ISNA(MATCH(O$2,Inputs!$K$4:$AJ$4,0)),NA(),IF(SUMPRODUCT((Inputs!$A$5:$A$120=$B64)*ISNUMBER(INDEX(Inputs!$K$5:$AJ$120,0,MATCH(O$2,Inputs!$K$4:$AJ$4,0))))+SUMPRODUCT((Inputs!$C$5:$C$120=$B64)*ISNUMBER(INDEX(Inputs!$K$5:$AJ$120,0,MATCH(O$2,Inputs!$K$4:$AJ$4,0))))+SUMPRODUCT((Inputs!$E$5:$E$120=$B64)*ISNUMBER(INDEX(Inputs!$K$5:$AJ$120,0,MATCH(O$2,Inputs!$K$4:$AJ$4,0))))=0,NA(),SUMPRODUCT((Inputs!$A$5:$A$120=$B64)*Inputs!$B$5:$B$120*(((Inputs!$G$5:$G$120="moeda")+(Inputs!$G$5:$G$120="acoes"))*Inputs!$B$1+((Inputs!$G$5:$G$120&lt;&gt;"moeda")*(Inputs!$G$5:$G$120&lt;&gt;"acoes")))*INDEX(Inputs!$K$5:$AJ$120,0,MATCH(O$2,Inputs!$K$4:$AJ$4,0)))+SUMPRODUCT((Inputs!$C$5:$C$120=$B64)*Inputs!$D$5:$D$120*(((Inputs!$G$5:$G$120="moeda")+(Inputs!$G$5:$G$120="acoes"))*Inputs!$B$1+((Inputs!$G$5:$G$120&lt;&gt;"moeda")*(Inputs!$G$5:$G$120&lt;&gt;"acoes")))*INDEX(Inputs!$K$5:$AJ$120,0,MATCH(O$2,Inputs!$K$4:$AJ$4,0)))+SUMPRODUCT((Inputs!$E$5:$E$120=$B64)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4" s="513" t="e">
        <f>IF(ISNA(MATCH(P$2,Inputs!$K$4:$AJ$4,0)),NA(),IF(SUMPRODUCT((Inputs!$A$5:$A$120=$B64)*ISNUMBER(INDEX(Inputs!$K$5:$AJ$120,0,MATCH(P$2,Inputs!$K$4:$AJ$4,0))))+SUMPRODUCT((Inputs!$C$5:$C$120=$B64)*ISNUMBER(INDEX(Inputs!$K$5:$AJ$120,0,MATCH(P$2,Inputs!$K$4:$AJ$4,0))))+SUMPRODUCT((Inputs!$E$5:$E$120=$B64)*ISNUMBER(INDEX(Inputs!$K$5:$AJ$120,0,MATCH(P$2,Inputs!$K$4:$AJ$4,0))))=0,NA(),SUMPRODUCT((Inputs!$A$5:$A$120=$B64)*Inputs!$B$5:$B$120*(((Inputs!$G$5:$G$120="moeda")+(Inputs!$G$5:$G$120="acoes"))*Inputs!$B$1+((Inputs!$G$5:$G$120&lt;&gt;"moeda")*(Inputs!$G$5:$G$120&lt;&gt;"acoes")))*INDEX(Inputs!$K$5:$AJ$120,0,MATCH(P$2,Inputs!$K$4:$AJ$4,0)))+SUMPRODUCT((Inputs!$C$5:$C$120=$B64)*Inputs!$D$5:$D$120*(((Inputs!$G$5:$G$120="moeda")+(Inputs!$G$5:$G$120="acoes"))*Inputs!$B$1+((Inputs!$G$5:$G$120&lt;&gt;"moeda")*(Inputs!$G$5:$G$120&lt;&gt;"acoes")))*INDEX(Inputs!$K$5:$AJ$120,0,MATCH(P$2,Inputs!$K$4:$AJ$4,0)))+SUMPRODUCT((Inputs!$E$5:$E$120=$B64)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4" s="513" t="e">
        <f>IF(ISNA(MATCH(Q$2,Inputs!$K$4:$AJ$4,0)),NA(),IF(SUMPRODUCT((Inputs!$A$5:$A$120=$B64)*ISNUMBER(INDEX(Inputs!$K$5:$AJ$120,0,MATCH(Q$2,Inputs!$K$4:$AJ$4,0))))+SUMPRODUCT((Inputs!$C$5:$C$120=$B64)*ISNUMBER(INDEX(Inputs!$K$5:$AJ$120,0,MATCH(Q$2,Inputs!$K$4:$AJ$4,0))))+SUMPRODUCT((Inputs!$E$5:$E$120=$B64)*ISNUMBER(INDEX(Inputs!$K$5:$AJ$120,0,MATCH(Q$2,Inputs!$K$4:$AJ$4,0))))=0,NA(),SUMPRODUCT((Inputs!$A$5:$A$120=$B64)*Inputs!$B$5:$B$120*(((Inputs!$G$5:$G$120="moeda")+(Inputs!$G$5:$G$120="acoes"))*Inputs!$B$1+((Inputs!$G$5:$G$120&lt;&gt;"moeda")*(Inputs!$G$5:$G$120&lt;&gt;"acoes")))*INDEX(Inputs!$K$5:$AJ$120,0,MATCH(Q$2,Inputs!$K$4:$AJ$4,0)))+SUMPRODUCT((Inputs!$C$5:$C$120=$B64)*Inputs!$D$5:$D$120*(((Inputs!$G$5:$G$120="moeda")+(Inputs!$G$5:$G$120="acoes"))*Inputs!$B$1+((Inputs!$G$5:$G$120&lt;&gt;"moeda")*(Inputs!$G$5:$G$120&lt;&gt;"acoes")))*INDEX(Inputs!$K$5:$AJ$120,0,MATCH(Q$2,Inputs!$K$4:$AJ$4,0)))+SUMPRODUCT((Inputs!$E$5:$E$120=$B64)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4" s="514" t="e">
        <f>SUM(N64:Q64)</f>
        <v>#N/A</v>
      </c>
      <c r="S64" s="513" t="e">
        <f>IF(ISNA(MATCH(S$2,Inputs!$K$4:$AJ$4,0)),NA(),IF(SUMPRODUCT((Inputs!$A$5:$A$120=$B64)*ISNUMBER(INDEX(Inputs!$K$5:$AJ$120,0,MATCH(S$2,Inputs!$K$4:$AJ$4,0))))+SUMPRODUCT((Inputs!$C$5:$C$120=$B64)*ISNUMBER(INDEX(Inputs!$K$5:$AJ$120,0,MATCH(S$2,Inputs!$K$4:$AJ$4,0))))+SUMPRODUCT((Inputs!$E$5:$E$120=$B64)*ISNUMBER(INDEX(Inputs!$K$5:$AJ$120,0,MATCH(S$2,Inputs!$K$4:$AJ$4,0))))=0,NA(),SUMPRODUCT((Inputs!$A$5:$A$120=$B64)*Inputs!$B$5:$B$120*(((Inputs!$G$5:$G$120="moeda")+(Inputs!$G$5:$G$120="acoes"))*Inputs!$B$1+((Inputs!$G$5:$G$120&lt;&gt;"moeda")*(Inputs!$G$5:$G$120&lt;&gt;"acoes")))*INDEX(Inputs!$K$5:$AJ$120,0,MATCH(S$2,Inputs!$K$4:$AJ$4,0)))+SUMPRODUCT((Inputs!$C$5:$C$120=$B64)*Inputs!$D$5:$D$120*(((Inputs!$G$5:$G$120="moeda")+(Inputs!$G$5:$G$120="acoes"))*Inputs!$B$1+((Inputs!$G$5:$G$120&lt;&gt;"moeda")*(Inputs!$G$5:$G$120&lt;&gt;"acoes")))*INDEX(Inputs!$K$5:$AJ$120,0,MATCH(S$2,Inputs!$K$4:$AJ$4,0)))+SUMPRODUCT((Inputs!$E$5:$E$120=$B64)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4" s="513" t="e">
        <f>IF(ISNA(MATCH(T$2,Inputs!$K$4:$AJ$4,0)),NA(),IF(SUMPRODUCT((Inputs!$A$5:$A$120=$B64)*ISNUMBER(INDEX(Inputs!$K$5:$AJ$120,0,MATCH(T$2,Inputs!$K$4:$AJ$4,0))))+SUMPRODUCT((Inputs!$C$5:$C$120=$B64)*ISNUMBER(INDEX(Inputs!$K$5:$AJ$120,0,MATCH(T$2,Inputs!$K$4:$AJ$4,0))))+SUMPRODUCT((Inputs!$E$5:$E$120=$B64)*ISNUMBER(INDEX(Inputs!$K$5:$AJ$120,0,MATCH(T$2,Inputs!$K$4:$AJ$4,0))))=0,NA(),SUMPRODUCT((Inputs!$A$5:$A$120=$B64)*Inputs!$B$5:$B$120*(((Inputs!$G$5:$G$120="moeda")+(Inputs!$G$5:$G$120="acoes"))*Inputs!$B$1+((Inputs!$G$5:$G$120&lt;&gt;"moeda")*(Inputs!$G$5:$G$120&lt;&gt;"acoes")))*INDEX(Inputs!$K$5:$AJ$120,0,MATCH(T$2,Inputs!$K$4:$AJ$4,0)))+SUMPRODUCT((Inputs!$C$5:$C$120=$B64)*Inputs!$D$5:$D$120*(((Inputs!$G$5:$G$120="moeda")+(Inputs!$G$5:$G$120="acoes"))*Inputs!$B$1+((Inputs!$G$5:$G$120&lt;&gt;"moeda")*(Inputs!$G$5:$G$120&lt;&gt;"acoes")))*INDEX(Inputs!$K$5:$AJ$120,0,MATCH(T$2,Inputs!$K$4:$AJ$4,0)))+SUMPRODUCT((Inputs!$E$5:$E$120=$B64)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4" s="513" t="e">
        <f>IF(ISNA(MATCH(U$2,Inputs!$K$4:$AJ$4,0)),NA(),IF(SUMPRODUCT((Inputs!$A$5:$A$120=$B64)*ISNUMBER(INDEX(Inputs!$K$5:$AJ$120,0,MATCH(U$2,Inputs!$K$4:$AJ$4,0))))+SUMPRODUCT((Inputs!$C$5:$C$120=$B64)*ISNUMBER(INDEX(Inputs!$K$5:$AJ$120,0,MATCH(U$2,Inputs!$K$4:$AJ$4,0))))+SUMPRODUCT((Inputs!$E$5:$E$120=$B64)*ISNUMBER(INDEX(Inputs!$K$5:$AJ$120,0,MATCH(U$2,Inputs!$K$4:$AJ$4,0))))=0,NA(),SUMPRODUCT((Inputs!$A$5:$A$120=$B64)*Inputs!$B$5:$B$120*(((Inputs!$G$5:$G$120="moeda")+(Inputs!$G$5:$G$120="acoes"))*Inputs!$B$1+((Inputs!$G$5:$G$120&lt;&gt;"moeda")*(Inputs!$G$5:$G$120&lt;&gt;"acoes")))*INDEX(Inputs!$K$5:$AJ$120,0,MATCH(U$2,Inputs!$K$4:$AJ$4,0)))+SUMPRODUCT((Inputs!$C$5:$C$120=$B64)*Inputs!$D$5:$D$120*(((Inputs!$G$5:$G$120="moeda")+(Inputs!$G$5:$G$120="acoes"))*Inputs!$B$1+((Inputs!$G$5:$G$120&lt;&gt;"moeda")*(Inputs!$G$5:$G$120&lt;&gt;"acoes")))*INDEX(Inputs!$K$5:$AJ$120,0,MATCH(U$2,Inputs!$K$4:$AJ$4,0)))+SUMPRODUCT((Inputs!$E$5:$E$120=$B64)*Inputs!$F$5:$F$120*(((Inputs!$G$5:$G$120="moeda")+(Inputs!$G$5:$G$120="acoes"))*Inputs!$B$1+((Inputs!$G$5:$G$120&lt;&gt;"moeda")*(Inputs!$G$5:$G$120&lt;&gt;"acoes")))*INDEX(Inputs!$K$5:$AJ$120,0,MATCH(U$2,Inputs!$K$4:$AJ$4,0)))))</f>
        <v>#N/A</v>
      </c>
      <c r="V64" s="513" t="e">
        <f>IF(ISNA(MATCH(V$2,Inputs!$K$4:$AJ$4,0)),NA(),IF(SUMPRODUCT((Inputs!$A$5:$A$120=$B64)*ISNUMBER(INDEX(Inputs!$K$5:$AJ$120,0,MATCH(V$2,Inputs!$K$4:$AJ$4,0))))+SUMPRODUCT((Inputs!$C$5:$C$120=$B64)*ISNUMBER(INDEX(Inputs!$K$5:$AJ$120,0,MATCH(V$2,Inputs!$K$4:$AJ$4,0))))+SUMPRODUCT((Inputs!$E$5:$E$120=$B64)*ISNUMBER(INDEX(Inputs!$K$5:$AJ$120,0,MATCH(V$2,Inputs!$K$4:$AJ$4,0))))=0,NA(),SUMPRODUCT((Inputs!$A$5:$A$120=$B64)*Inputs!$B$5:$B$120*(((Inputs!$G$5:$G$120="moeda")+(Inputs!$G$5:$G$120="acoes"))*Inputs!$B$1+((Inputs!$G$5:$G$120&lt;&gt;"moeda")*(Inputs!$G$5:$G$120&lt;&gt;"acoes")))*INDEX(Inputs!$K$5:$AJ$120,0,MATCH(V$2,Inputs!$K$4:$AJ$4,0)))+SUMPRODUCT((Inputs!$C$5:$C$120=$B64)*Inputs!$D$5:$D$120*(((Inputs!$G$5:$G$120="moeda")+(Inputs!$G$5:$G$120="acoes"))*Inputs!$B$1+((Inputs!$G$5:$G$120&lt;&gt;"moeda")*(Inputs!$G$5:$G$120&lt;&gt;"acoes")))*INDEX(Inputs!$K$5:$AJ$120,0,MATCH(V$2,Inputs!$K$4:$AJ$4,0)))+SUMPRODUCT((Inputs!$E$5:$E$120=$B64)*Inputs!$F$5:$F$120*(((Inputs!$G$5:$G$120="moeda")+(Inputs!$G$5:$G$120="acoes"))*Inputs!$B$1+((Inputs!$G$5:$G$120&lt;&gt;"moeda")*(Inputs!$G$5:$G$120&lt;&gt;"acoes")))*INDEX(Inputs!$K$5:$AJ$120,0,MATCH(V$2,Inputs!$K$4:$AJ$4,0)))))</f>
        <v>#N/A</v>
      </c>
      <c r="W64" s="514" t="e">
        <f>SUM(S64:V64)</f>
        <v>#N/A</v>
      </c>
      <c r="X64" s="513">
        <f>IF(ISNA(MATCH(X$2,Inputs!$K$4:$AJ$4,0)),NA(),IF(SUMPRODUCT((Inputs!$A$5:$A$120=$B64)*ISNUMBER(INDEX(Inputs!$K$5:$AJ$120,0,MATCH(X$2,Inputs!$K$4:$AJ$4,0))))+SUMPRODUCT((Inputs!$C$5:$C$120=$B64)*ISNUMBER(INDEX(Inputs!$K$5:$AJ$120,0,MATCH(X$2,Inputs!$K$4:$AJ$4,0))))+SUMPRODUCT((Inputs!$E$5:$E$120=$B64)*ISNUMBER(INDEX(Inputs!$K$5:$AJ$120,0,MATCH(X$2,Inputs!$K$4:$AJ$4,0))))=0,NA(),SUMPRODUCT((Inputs!$A$5:$A$120=$B64)*Inputs!$B$5:$B$120*(((Inputs!$G$5:$G$120="moeda")+(Inputs!$G$5:$G$120="acoes"))*Inputs!$B$1+((Inputs!$G$5:$G$120&lt;&gt;"moeda")*(Inputs!$G$5:$G$120&lt;&gt;"acoes")))*INDEX(Inputs!$K$5:$AJ$120,0,MATCH(X$2,Inputs!$K$4:$AJ$4,0)))+SUMPRODUCT((Inputs!$C$5:$C$120=$B64)*Inputs!$D$5:$D$120*(((Inputs!$G$5:$G$120="moeda")+(Inputs!$G$5:$G$120="acoes"))*Inputs!$B$1+((Inputs!$G$5:$G$120&lt;&gt;"moeda")*(Inputs!$G$5:$G$120&lt;&gt;"acoes")))*INDEX(Inputs!$K$5:$AJ$120,0,MATCH(X$2,Inputs!$K$4:$AJ$4,0)))+SUMPRODUCT((Inputs!$E$5:$E$120=$B64)*Inputs!$F$5:$F$120*(((Inputs!$G$5:$G$120="moeda")+(Inputs!$G$5:$G$120="acoes"))*Inputs!$B$1+((Inputs!$G$5:$G$120&lt;&gt;"moeda")*(Inputs!$G$5:$G$120&lt;&gt;"acoes")))*INDEX(Inputs!$K$5:$AJ$120,0,MATCH(X$2,Inputs!$K$4:$AJ$4,0)))))</f>
        <v>1083</v>
      </c>
      <c r="Y64" s="513">
        <f>IF(ISNA(MATCH(Y$2,Inputs!$K$4:$AJ$4,0)),NA(),IF(SUMPRODUCT((Inputs!$A$5:$A$120=$B64)*ISNUMBER(INDEX(Inputs!$K$5:$AJ$120,0,MATCH(Y$2,Inputs!$K$4:$AJ$4,0))))+SUMPRODUCT((Inputs!$C$5:$C$120=$B64)*ISNUMBER(INDEX(Inputs!$K$5:$AJ$120,0,MATCH(Y$2,Inputs!$K$4:$AJ$4,0))))+SUMPRODUCT((Inputs!$E$5:$E$120=$B64)*ISNUMBER(INDEX(Inputs!$K$5:$AJ$120,0,MATCH(Y$2,Inputs!$K$4:$AJ$4,0))))=0,NA(),SUMPRODUCT((Inputs!$A$5:$A$120=$B64)*Inputs!$B$5:$B$120*(((Inputs!$G$5:$G$120="moeda")+(Inputs!$G$5:$G$120="acoes"))*Inputs!$B$1+((Inputs!$G$5:$G$120&lt;&gt;"moeda")*(Inputs!$G$5:$G$120&lt;&gt;"acoes")))*INDEX(Inputs!$K$5:$AJ$120,0,MATCH(Y$2,Inputs!$K$4:$AJ$4,0)))+SUMPRODUCT((Inputs!$C$5:$C$120=$B64)*Inputs!$D$5:$D$120*(((Inputs!$G$5:$G$120="moeda")+(Inputs!$G$5:$G$120="acoes"))*Inputs!$B$1+((Inputs!$G$5:$G$120&lt;&gt;"moeda")*(Inputs!$G$5:$G$120&lt;&gt;"acoes")))*INDEX(Inputs!$K$5:$AJ$120,0,MATCH(Y$2,Inputs!$K$4:$AJ$4,0)))+SUMPRODUCT((Inputs!$E$5:$E$120=$B64)*Inputs!$F$5:$F$120*(((Inputs!$G$5:$G$120="moeda")+(Inputs!$G$5:$G$120="acoes"))*Inputs!$B$1+((Inputs!$G$5:$G$120&lt;&gt;"moeda")*(Inputs!$G$5:$G$120&lt;&gt;"acoes")))*INDEX(Inputs!$K$5:$AJ$120,0,MATCH(Y$2,Inputs!$K$4:$AJ$4,0)))))</f>
        <v>1152</v>
      </c>
      <c r="Z64" s="513" t="e">
        <f>IF(ISNA(MATCH(Z$2,Inputs!$K$4:$AJ$4,0)),NA(),IF(SUMPRODUCT((Inputs!$A$5:$A$120=$B64)*ISNUMBER(INDEX(Inputs!$K$5:$AJ$120,0,MATCH(Z$2,Inputs!$K$4:$AJ$4,0))))+SUMPRODUCT((Inputs!$C$5:$C$120=$B64)*ISNUMBER(INDEX(Inputs!$K$5:$AJ$120,0,MATCH(Z$2,Inputs!$K$4:$AJ$4,0))))+SUMPRODUCT((Inputs!$E$5:$E$120=$B64)*ISNUMBER(INDEX(Inputs!$K$5:$AJ$120,0,MATCH(Z$2,Inputs!$K$4:$AJ$4,0))))=0,NA(),SUMPRODUCT((Inputs!$A$5:$A$120=$B64)*Inputs!$B$5:$B$120*(((Inputs!$G$5:$G$120="moeda")+(Inputs!$G$5:$G$120="acoes"))*Inputs!$B$1+((Inputs!$G$5:$G$120&lt;&gt;"moeda")*(Inputs!$G$5:$G$120&lt;&gt;"acoes")))*INDEX(Inputs!$K$5:$AJ$120,0,MATCH(Z$2,Inputs!$K$4:$AJ$4,0)))+SUMPRODUCT((Inputs!$C$5:$C$120=$B64)*Inputs!$D$5:$D$120*(((Inputs!$G$5:$G$120="moeda")+(Inputs!$G$5:$G$120="acoes"))*Inputs!$B$1+((Inputs!$G$5:$G$120&lt;&gt;"moeda")*(Inputs!$G$5:$G$120&lt;&gt;"acoes")))*INDEX(Inputs!$K$5:$AJ$120,0,MATCH(Z$2,Inputs!$K$4:$AJ$4,0)))+SUMPRODUCT((Inputs!$E$5:$E$120=$B64)*Inputs!$F$5:$F$120*(((Inputs!$G$5:$G$120="moeda")+(Inputs!$G$5:$G$120="acoes"))*Inputs!$B$1+((Inputs!$G$5:$G$120&lt;&gt;"moeda")*(Inputs!$G$5:$G$120&lt;&gt;"acoes")))*INDEX(Inputs!$K$5:$AJ$120,0,MATCH(Z$2,Inputs!$K$4:$AJ$4,0)))))</f>
        <v>#N/A</v>
      </c>
      <c r="AA64" s="513" t="e">
        <f>IF(ISNA(MATCH(AA$2,Inputs!$K$4:$AJ$4,0)),NA(),IF(SUMPRODUCT((Inputs!$A$5:$A$120=$B64)*ISNUMBER(INDEX(Inputs!$K$5:$AJ$120,0,MATCH(AA$2,Inputs!$K$4:$AJ$4,0))))+SUMPRODUCT((Inputs!$C$5:$C$120=$B64)*ISNUMBER(INDEX(Inputs!$K$5:$AJ$120,0,MATCH(AA$2,Inputs!$K$4:$AJ$4,0))))+SUMPRODUCT((Inputs!$E$5:$E$120=$B64)*ISNUMBER(INDEX(Inputs!$K$5:$AJ$120,0,MATCH(AA$2,Inputs!$K$4:$AJ$4,0))))=0,NA(),SUMPRODUCT((Inputs!$A$5:$A$120=$B64)*Inputs!$B$5:$B$120*(((Inputs!$G$5:$G$120="moeda")+(Inputs!$G$5:$G$120="acoes"))*Inputs!$B$1+((Inputs!$G$5:$G$120&lt;&gt;"moeda")*(Inputs!$G$5:$G$120&lt;&gt;"acoes")))*INDEX(Inputs!$K$5:$AJ$120,0,MATCH(AA$2,Inputs!$K$4:$AJ$4,0)))+SUMPRODUCT((Inputs!$C$5:$C$120=$B64)*Inputs!$D$5:$D$120*(((Inputs!$G$5:$G$120="moeda")+(Inputs!$G$5:$G$120="acoes"))*Inputs!$B$1+((Inputs!$G$5:$G$120&lt;&gt;"moeda")*(Inputs!$G$5:$G$120&lt;&gt;"acoes")))*INDEX(Inputs!$K$5:$AJ$120,0,MATCH(AA$2,Inputs!$K$4:$AJ$4,0)))+SUMPRODUCT((Inputs!$E$5:$E$120=$B64)*Inputs!$F$5:$F$120*(((Inputs!$G$5:$G$120="moeda")+(Inputs!$G$5:$G$120="acoes"))*Inputs!$B$1+((Inputs!$G$5:$G$120&lt;&gt;"moeda")*(Inputs!$G$5:$G$120&lt;&gt;"acoes")))*INDEX(Inputs!$K$5:$AJ$120,0,MATCH(AA$2,Inputs!$K$4:$AJ$4,0)))))</f>
        <v>#N/A</v>
      </c>
      <c r="AB64" s="514" t="e">
        <f>SUM(X64:AA64)</f>
        <v>#N/A</v>
      </c>
      <c r="AC64" s="513">
        <f>IF(ISNA(MATCH(AC$2,Inputs!$K$4:$AJ$4,0)),NA(),IF(SUMPRODUCT((Inputs!$A$5:$A$120=$B64)*ISNUMBER(INDEX(Inputs!$K$5:$AJ$120,0,MATCH(AC$2,Inputs!$K$4:$AJ$4,0))))+SUMPRODUCT((Inputs!$C$5:$C$120=$B64)*ISNUMBER(INDEX(Inputs!$K$5:$AJ$120,0,MATCH(AC$2,Inputs!$K$4:$AJ$4,0))))+SUMPRODUCT((Inputs!$E$5:$E$120=$B64)*ISNUMBER(INDEX(Inputs!$K$5:$AJ$120,0,MATCH(AC$2,Inputs!$K$4:$AJ$4,0))))=0,NA(),SUMPRODUCT((Inputs!$A$5:$A$120=$B64)*Inputs!$B$5:$B$120*(((Inputs!$G$5:$G$120="moeda")+(Inputs!$G$5:$G$120="acoes"))*Inputs!$B$1+((Inputs!$G$5:$G$120&lt;&gt;"moeda")*(Inputs!$G$5:$G$120&lt;&gt;"acoes")))*INDEX(Inputs!$K$5:$AJ$120,0,MATCH(AC$2,Inputs!$K$4:$AJ$4,0)))+SUMPRODUCT((Inputs!$C$5:$C$120=$B64)*Inputs!$D$5:$D$120*(((Inputs!$G$5:$G$120="moeda")+(Inputs!$G$5:$G$120="acoes"))*Inputs!$B$1+((Inputs!$G$5:$G$120&lt;&gt;"moeda")*(Inputs!$G$5:$G$120&lt;&gt;"acoes")))*INDEX(Inputs!$K$5:$AJ$120,0,MATCH(AC$2,Inputs!$K$4:$AJ$4,0)))+SUMPRODUCT((Inputs!$E$5:$E$120=$B64)*Inputs!$F$5:$F$120*(((Inputs!$G$5:$G$120="moeda")+(Inputs!$G$5:$G$120="acoes"))*Inputs!$B$1+((Inputs!$G$5:$G$120&lt;&gt;"moeda")*(Inputs!$G$5:$G$120&lt;&gt;"acoes")))*INDEX(Inputs!$K$5:$AJ$120,0,MATCH(AC$2,Inputs!$K$4:$AJ$4,0)))))</f>
        <v>1228</v>
      </c>
      <c r="AD64" s="513">
        <f>IF(ISNA(MATCH(AD$2,Inputs!$K$4:$AJ$4,0)),NA(),IF(SUMPRODUCT((Inputs!$A$5:$A$120=$B64)*ISNUMBER(INDEX(Inputs!$K$5:$AJ$120,0,MATCH(AD$2,Inputs!$K$4:$AJ$4,0))))+SUMPRODUCT((Inputs!$C$5:$C$120=$B64)*ISNUMBER(INDEX(Inputs!$K$5:$AJ$120,0,MATCH(AD$2,Inputs!$K$4:$AJ$4,0))))+SUMPRODUCT((Inputs!$E$5:$E$120=$B64)*ISNUMBER(INDEX(Inputs!$K$5:$AJ$120,0,MATCH(AD$2,Inputs!$K$4:$AJ$4,0))))=0,NA(),SUMPRODUCT((Inputs!$A$5:$A$120=$B64)*Inputs!$B$5:$B$120*(((Inputs!$G$5:$G$120="moeda")+(Inputs!$G$5:$G$120="acoes"))*Inputs!$B$1+((Inputs!$G$5:$G$120&lt;&gt;"moeda")*(Inputs!$G$5:$G$120&lt;&gt;"acoes")))*INDEX(Inputs!$K$5:$AJ$120,0,MATCH(AD$2,Inputs!$K$4:$AJ$4,0)))+SUMPRODUCT((Inputs!$C$5:$C$120=$B64)*Inputs!$D$5:$D$120*(((Inputs!$G$5:$G$120="moeda")+(Inputs!$G$5:$G$120="acoes"))*Inputs!$B$1+((Inputs!$G$5:$G$120&lt;&gt;"moeda")*(Inputs!$G$5:$G$120&lt;&gt;"acoes")))*INDEX(Inputs!$K$5:$AJ$120,0,MATCH(AD$2,Inputs!$K$4:$AJ$4,0)))+SUMPRODUCT((Inputs!$E$5:$E$120=$B64)*Inputs!$F$5:$F$120*(((Inputs!$G$5:$G$120="moeda")+(Inputs!$G$5:$G$120="acoes"))*Inputs!$B$1+((Inputs!$G$5:$G$120&lt;&gt;"moeda")*(Inputs!$G$5:$G$120&lt;&gt;"acoes")))*INDEX(Inputs!$K$5:$AJ$120,0,MATCH(AD$2,Inputs!$K$4:$AJ$4,0)))))</f>
        <v>1259</v>
      </c>
      <c r="AE64" s="513" t="e">
        <f>IF(ISNA(MATCH(AE$2,Inputs!$K$4:$AJ$4,0)),NA(),IF(SUMPRODUCT((Inputs!$A$5:$A$120=$B64)*ISNUMBER(INDEX(Inputs!$K$5:$AJ$120,0,MATCH(AE$2,Inputs!$K$4:$AJ$4,0))))+SUMPRODUCT((Inputs!$C$5:$C$120=$B64)*ISNUMBER(INDEX(Inputs!$K$5:$AJ$120,0,MATCH(AE$2,Inputs!$K$4:$AJ$4,0))))+SUMPRODUCT((Inputs!$E$5:$E$120=$B64)*ISNUMBER(INDEX(Inputs!$K$5:$AJ$120,0,MATCH(AE$2,Inputs!$K$4:$AJ$4,0))))=0,NA(),SUMPRODUCT((Inputs!$A$5:$A$120=$B64)*Inputs!$B$5:$B$120*(((Inputs!$G$5:$G$120="moeda")+(Inputs!$G$5:$G$120="acoes"))*Inputs!$B$1+((Inputs!$G$5:$G$120&lt;&gt;"moeda")*(Inputs!$G$5:$G$120&lt;&gt;"acoes")))*INDEX(Inputs!$K$5:$AJ$120,0,MATCH(AE$2,Inputs!$K$4:$AJ$4,0)))+SUMPRODUCT((Inputs!$C$5:$C$120=$B64)*Inputs!$D$5:$D$120*(((Inputs!$G$5:$G$120="moeda")+(Inputs!$G$5:$G$120="acoes"))*Inputs!$B$1+((Inputs!$G$5:$G$120&lt;&gt;"moeda")*(Inputs!$G$5:$G$120&lt;&gt;"acoes")))*INDEX(Inputs!$K$5:$AJ$120,0,MATCH(AE$2,Inputs!$K$4:$AJ$4,0)))+SUMPRODUCT((Inputs!$E$5:$E$120=$B64)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4" s="513" t="e">
        <f>IF(ISNA(MATCH(AF$2,Inputs!$K$4:$AJ$4,0)),NA(),IF(SUMPRODUCT((Inputs!$A$5:$A$120=$B64)*ISNUMBER(INDEX(Inputs!$K$5:$AJ$120,0,MATCH(AF$2,Inputs!$K$4:$AJ$4,0))))+SUMPRODUCT((Inputs!$C$5:$C$120=$B64)*ISNUMBER(INDEX(Inputs!$K$5:$AJ$120,0,MATCH(AF$2,Inputs!$K$4:$AJ$4,0))))+SUMPRODUCT((Inputs!$E$5:$E$120=$B64)*ISNUMBER(INDEX(Inputs!$K$5:$AJ$120,0,MATCH(AF$2,Inputs!$K$4:$AJ$4,0))))=0,NA(),SUMPRODUCT((Inputs!$A$5:$A$120=$B64)*Inputs!$B$5:$B$120*(((Inputs!$G$5:$G$120="moeda")+(Inputs!$G$5:$G$120="acoes"))*Inputs!$B$1+((Inputs!$G$5:$G$120&lt;&gt;"moeda")*(Inputs!$G$5:$G$120&lt;&gt;"acoes")))*INDEX(Inputs!$K$5:$AJ$120,0,MATCH(AF$2,Inputs!$K$4:$AJ$4,0)))+SUMPRODUCT((Inputs!$C$5:$C$120=$B64)*Inputs!$D$5:$D$120*(((Inputs!$G$5:$G$120="moeda")+(Inputs!$G$5:$G$120="acoes"))*Inputs!$B$1+((Inputs!$G$5:$G$120&lt;&gt;"moeda")*(Inputs!$G$5:$G$120&lt;&gt;"acoes")))*INDEX(Inputs!$K$5:$AJ$120,0,MATCH(AF$2,Inputs!$K$4:$AJ$4,0)))+SUMPRODUCT((Inputs!$E$5:$E$120=$B64)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4" s="514" t="e">
        <f>SUM(AC64:AF64)</f>
        <v>#N/A</v>
      </c>
      <c r="AH64" s="513" t="e">
        <f>IF(ISNA(MATCH(AH$2,Inputs!$K$4:$AJ$4,0)),NA(),IF(SUMPRODUCT((Inputs!$A$5:$A$120=$B64)*ISNUMBER(INDEX(Inputs!$K$5:$AJ$120,0,MATCH(AH$2,Inputs!$K$4:$AJ$4,0))))+SUMPRODUCT((Inputs!$C$5:$C$120=$B64)*ISNUMBER(INDEX(Inputs!$K$5:$AJ$120,0,MATCH(AH$2,Inputs!$K$4:$AJ$4,0))))+SUMPRODUCT((Inputs!$E$5:$E$120=$B64)*ISNUMBER(INDEX(Inputs!$K$5:$AJ$120,0,MATCH(AH$2,Inputs!$K$4:$AJ$4,0))))=0,NA(),SUMPRODUCT((Inputs!$A$5:$A$120=$B64)*Inputs!$B$5:$B$120*(((Inputs!$G$5:$G$120="moeda")+(Inputs!$G$5:$G$120="acoes"))*Inputs!$B$1+((Inputs!$G$5:$G$120&lt;&gt;"moeda")*(Inputs!$G$5:$G$120&lt;&gt;"acoes")))*INDEX(Inputs!$K$5:$AJ$120,0,MATCH(AH$2,Inputs!$K$4:$AJ$4,0)))+SUMPRODUCT((Inputs!$C$5:$C$120=$B64)*Inputs!$D$5:$D$120*(((Inputs!$G$5:$G$120="moeda")+(Inputs!$G$5:$G$120="acoes"))*Inputs!$B$1+((Inputs!$G$5:$G$120&lt;&gt;"moeda")*(Inputs!$G$5:$G$120&lt;&gt;"acoes")))*INDEX(Inputs!$K$5:$AJ$120,0,MATCH(AH$2,Inputs!$K$4:$AJ$4,0)))+SUMPRODUCT((Inputs!$E$5:$E$120=$B64)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4" s="513" t="e">
        <f>IF(ISNA(MATCH(AI$2,Inputs!$K$4:$AJ$4,0)),NA(),IF(SUMPRODUCT((Inputs!$A$5:$A$120=$B64)*ISNUMBER(INDEX(Inputs!$K$5:$AJ$120,0,MATCH(AI$2,Inputs!$K$4:$AJ$4,0))))+SUMPRODUCT((Inputs!$C$5:$C$120=$B64)*ISNUMBER(INDEX(Inputs!$K$5:$AJ$120,0,MATCH(AI$2,Inputs!$K$4:$AJ$4,0))))+SUMPRODUCT((Inputs!$E$5:$E$120=$B64)*ISNUMBER(INDEX(Inputs!$K$5:$AJ$120,0,MATCH(AI$2,Inputs!$K$4:$AJ$4,0))))=0,NA(),SUMPRODUCT((Inputs!$A$5:$A$120=$B64)*Inputs!$B$5:$B$120*(((Inputs!$G$5:$G$120="moeda")+(Inputs!$G$5:$G$120="acoes"))*Inputs!$B$1+((Inputs!$G$5:$G$120&lt;&gt;"moeda")*(Inputs!$G$5:$G$120&lt;&gt;"acoes")))*INDEX(Inputs!$K$5:$AJ$120,0,MATCH(AI$2,Inputs!$K$4:$AJ$4,0)))+SUMPRODUCT((Inputs!$C$5:$C$120=$B64)*Inputs!$D$5:$D$120*(((Inputs!$G$5:$G$120="moeda")+(Inputs!$G$5:$G$120="acoes"))*Inputs!$B$1+((Inputs!$G$5:$G$120&lt;&gt;"moeda")*(Inputs!$G$5:$G$120&lt;&gt;"acoes")))*INDEX(Inputs!$K$5:$AJ$120,0,MATCH(AI$2,Inputs!$K$4:$AJ$4,0)))+SUMPRODUCT((Inputs!$E$5:$E$120=$B64)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4" s="513" t="e">
        <f>IF(ISNA(MATCH(AJ$2,Inputs!$K$4:$AJ$4,0)),NA(),IF(SUMPRODUCT((Inputs!$A$5:$A$120=$B64)*ISNUMBER(INDEX(Inputs!$K$5:$AJ$120,0,MATCH(AJ$2,Inputs!$K$4:$AJ$4,0))))+SUMPRODUCT((Inputs!$C$5:$C$120=$B64)*ISNUMBER(INDEX(Inputs!$K$5:$AJ$120,0,MATCH(AJ$2,Inputs!$K$4:$AJ$4,0))))+SUMPRODUCT((Inputs!$E$5:$E$120=$B64)*ISNUMBER(INDEX(Inputs!$K$5:$AJ$120,0,MATCH(AJ$2,Inputs!$K$4:$AJ$4,0))))=0,NA(),SUMPRODUCT((Inputs!$A$5:$A$120=$B64)*Inputs!$B$5:$B$120*(((Inputs!$G$5:$G$120="moeda")+(Inputs!$G$5:$G$120="acoes"))*Inputs!$B$1+((Inputs!$G$5:$G$120&lt;&gt;"moeda")*(Inputs!$G$5:$G$120&lt;&gt;"acoes")))*INDEX(Inputs!$K$5:$AJ$120,0,MATCH(AJ$2,Inputs!$K$4:$AJ$4,0)))+SUMPRODUCT((Inputs!$C$5:$C$120=$B64)*Inputs!$D$5:$D$120*(((Inputs!$G$5:$G$120="moeda")+(Inputs!$G$5:$G$120="acoes"))*Inputs!$B$1+((Inputs!$G$5:$G$120&lt;&gt;"moeda")*(Inputs!$G$5:$G$120&lt;&gt;"acoes")))*INDEX(Inputs!$K$5:$AJ$120,0,MATCH(AJ$2,Inputs!$K$4:$AJ$4,0)))+SUMPRODUCT((Inputs!$E$5:$E$120=$B64)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4" s="513" t="e">
        <f>IF(ISNA(MATCH(AK$2,Inputs!$K$4:$AJ$4,0)),NA(),IF(SUMPRODUCT((Inputs!$A$5:$A$120=$B64)*ISNUMBER(INDEX(Inputs!$K$5:$AJ$120,0,MATCH(AK$2,Inputs!$K$4:$AJ$4,0))))+SUMPRODUCT((Inputs!$C$5:$C$120=$B64)*ISNUMBER(INDEX(Inputs!$K$5:$AJ$120,0,MATCH(AK$2,Inputs!$K$4:$AJ$4,0))))+SUMPRODUCT((Inputs!$E$5:$E$120=$B64)*ISNUMBER(INDEX(Inputs!$K$5:$AJ$120,0,MATCH(AK$2,Inputs!$K$4:$AJ$4,0))))=0,NA(),SUMPRODUCT((Inputs!$A$5:$A$120=$B64)*Inputs!$B$5:$B$120*(((Inputs!$G$5:$G$120="moeda")+(Inputs!$G$5:$G$120="acoes"))*Inputs!$B$1+((Inputs!$G$5:$G$120&lt;&gt;"moeda")*(Inputs!$G$5:$G$120&lt;&gt;"acoes")))*INDEX(Inputs!$K$5:$AJ$120,0,MATCH(AK$2,Inputs!$K$4:$AJ$4,0)))+SUMPRODUCT((Inputs!$C$5:$C$120=$B64)*Inputs!$D$5:$D$120*(((Inputs!$G$5:$G$120="moeda")+(Inputs!$G$5:$G$120="acoes"))*Inputs!$B$1+((Inputs!$G$5:$G$120&lt;&gt;"moeda")*(Inputs!$G$5:$G$120&lt;&gt;"acoes")))*INDEX(Inputs!$K$5:$AJ$120,0,MATCH(AK$2,Inputs!$K$4:$AJ$4,0)))+SUMPRODUCT((Inputs!$E$5:$E$120=$B64)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4" s="514" t="e">
        <f>SUM(AH64:AK64)</f>
        <v>#N/A</v>
      </c>
    </row>
    <row r="65">
      <c r="B65" s="265" t="n">
        <v>57</v>
      </c>
      <c r="C65" s="266" t="inlineStr">
        <is>
          <t>Nova estrutura - Grain Merchandising &amp; Milling (USD)</t>
        </is>
      </c>
      <c r="D65" s="513" t="e">
        <f>IF(ISNA(MATCH(D$2,Inputs!$K$4:$AJ$4,0)),NA(),IF(SUMPRODUCT((Inputs!$A$5:$A$120=$B65)*ISNUMBER(INDEX(Inputs!$K$5:$AJ$120,0,MATCH(D$2,Inputs!$K$4:$AJ$4,0))))+SUMPRODUCT((Inputs!$C$5:$C$120=$B65)*ISNUMBER(INDEX(Inputs!$K$5:$AJ$120,0,MATCH(D$2,Inputs!$K$4:$AJ$4,0))))+SUMPRODUCT((Inputs!$E$5:$E$120=$B65)*ISNUMBER(INDEX(Inputs!$K$5:$AJ$120,0,MATCH(D$2,Inputs!$K$4:$AJ$4,0))))=0,NA(),SUMPRODUCT((Inputs!$A$5:$A$120=$B65)*Inputs!$B$5:$B$120*(((Inputs!$G$5:$G$120="moeda")+(Inputs!$G$5:$G$120="acoes"))*Inputs!$B$1+((Inputs!$G$5:$G$120&lt;&gt;"moeda")*(Inputs!$G$5:$G$120&lt;&gt;"acoes")))*INDEX(Inputs!$K$5:$AJ$120,0,MATCH(D$2,Inputs!$K$4:$AJ$4,0)))+SUMPRODUCT((Inputs!$C$5:$C$120=$B65)*Inputs!$D$5:$D$120*(((Inputs!$G$5:$G$120="moeda")+(Inputs!$G$5:$G$120="acoes"))*Inputs!$B$1+((Inputs!$G$5:$G$120&lt;&gt;"moeda")*(Inputs!$G$5:$G$120&lt;&gt;"acoes")))*INDEX(Inputs!$K$5:$AJ$120,0,MATCH(D$2,Inputs!$K$4:$AJ$4,0)))+SUMPRODUCT((Inputs!$E$5:$E$120=$B65)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5" s="513" t="e">
        <f>IF(ISNA(MATCH(E$2,Inputs!$K$4:$AJ$4,0)),NA(),IF(SUMPRODUCT((Inputs!$A$5:$A$120=$B65)*ISNUMBER(INDEX(Inputs!$K$5:$AJ$120,0,MATCH(E$2,Inputs!$K$4:$AJ$4,0))))+SUMPRODUCT((Inputs!$C$5:$C$120=$B65)*ISNUMBER(INDEX(Inputs!$K$5:$AJ$120,0,MATCH(E$2,Inputs!$K$4:$AJ$4,0))))+SUMPRODUCT((Inputs!$E$5:$E$120=$B65)*ISNUMBER(INDEX(Inputs!$K$5:$AJ$120,0,MATCH(E$2,Inputs!$K$4:$AJ$4,0))))=0,NA(),SUMPRODUCT((Inputs!$A$5:$A$120=$B65)*Inputs!$B$5:$B$120*(((Inputs!$G$5:$G$120="moeda")+(Inputs!$G$5:$G$120="acoes"))*Inputs!$B$1+((Inputs!$G$5:$G$120&lt;&gt;"moeda")*(Inputs!$G$5:$G$120&lt;&gt;"acoes")))*INDEX(Inputs!$K$5:$AJ$120,0,MATCH(E$2,Inputs!$K$4:$AJ$4,0)))+SUMPRODUCT((Inputs!$C$5:$C$120=$B65)*Inputs!$D$5:$D$120*(((Inputs!$G$5:$G$120="moeda")+(Inputs!$G$5:$G$120="acoes"))*Inputs!$B$1+((Inputs!$G$5:$G$120&lt;&gt;"moeda")*(Inputs!$G$5:$G$120&lt;&gt;"acoes")))*INDEX(Inputs!$K$5:$AJ$120,0,MATCH(E$2,Inputs!$K$4:$AJ$4,0)))+SUMPRODUCT((Inputs!$E$5:$E$120=$B65)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5" s="513" t="e">
        <f>IF(ISNA(MATCH(F$2,Inputs!$K$4:$AJ$4,0)),NA(),IF(SUMPRODUCT((Inputs!$A$5:$A$120=$B65)*ISNUMBER(INDEX(Inputs!$K$5:$AJ$120,0,MATCH(F$2,Inputs!$K$4:$AJ$4,0))))+SUMPRODUCT((Inputs!$C$5:$C$120=$B65)*ISNUMBER(INDEX(Inputs!$K$5:$AJ$120,0,MATCH(F$2,Inputs!$K$4:$AJ$4,0))))+SUMPRODUCT((Inputs!$E$5:$E$120=$B65)*ISNUMBER(INDEX(Inputs!$K$5:$AJ$120,0,MATCH(F$2,Inputs!$K$4:$AJ$4,0))))=0,NA(),SUMPRODUCT((Inputs!$A$5:$A$120=$B65)*Inputs!$B$5:$B$120*(((Inputs!$G$5:$G$120="moeda")+(Inputs!$G$5:$G$120="acoes"))*Inputs!$B$1+((Inputs!$G$5:$G$120&lt;&gt;"moeda")*(Inputs!$G$5:$G$120&lt;&gt;"acoes")))*INDEX(Inputs!$K$5:$AJ$120,0,MATCH(F$2,Inputs!$K$4:$AJ$4,0)))+SUMPRODUCT((Inputs!$C$5:$C$120=$B65)*Inputs!$D$5:$D$120*(((Inputs!$G$5:$G$120="moeda")+(Inputs!$G$5:$G$120="acoes"))*Inputs!$B$1+((Inputs!$G$5:$G$120&lt;&gt;"moeda")*(Inputs!$G$5:$G$120&lt;&gt;"acoes")))*INDEX(Inputs!$K$5:$AJ$120,0,MATCH(F$2,Inputs!$K$4:$AJ$4,0)))+SUMPRODUCT((Inputs!$E$5:$E$120=$B65)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5" s="513" t="e">
        <f>IF(ISNA(MATCH(G$2,Inputs!$K$4:$AJ$4,0)),NA(),IF(SUMPRODUCT((Inputs!$A$5:$A$120=$B65)*ISNUMBER(INDEX(Inputs!$K$5:$AJ$120,0,MATCH(G$2,Inputs!$K$4:$AJ$4,0))))+SUMPRODUCT((Inputs!$C$5:$C$120=$B65)*ISNUMBER(INDEX(Inputs!$K$5:$AJ$120,0,MATCH(G$2,Inputs!$K$4:$AJ$4,0))))+SUMPRODUCT((Inputs!$E$5:$E$120=$B65)*ISNUMBER(INDEX(Inputs!$K$5:$AJ$120,0,MATCH(G$2,Inputs!$K$4:$AJ$4,0))))=0,NA(),SUMPRODUCT((Inputs!$A$5:$A$120=$B65)*Inputs!$B$5:$B$120*(((Inputs!$G$5:$G$120="moeda")+(Inputs!$G$5:$G$120="acoes"))*Inputs!$B$1+((Inputs!$G$5:$G$120&lt;&gt;"moeda")*(Inputs!$G$5:$G$120&lt;&gt;"acoes")))*INDEX(Inputs!$K$5:$AJ$120,0,MATCH(G$2,Inputs!$K$4:$AJ$4,0)))+SUMPRODUCT((Inputs!$C$5:$C$120=$B65)*Inputs!$D$5:$D$120*(((Inputs!$G$5:$G$120="moeda")+(Inputs!$G$5:$G$120="acoes"))*Inputs!$B$1+((Inputs!$G$5:$G$120&lt;&gt;"moeda")*(Inputs!$G$5:$G$120&lt;&gt;"acoes")))*INDEX(Inputs!$K$5:$AJ$120,0,MATCH(G$2,Inputs!$K$4:$AJ$4,0)))+SUMPRODUCT((Inputs!$E$5:$E$120=$B65)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5" s="514" t="e">
        <f>SUM(D65:G65)</f>
        <v>#N/A</v>
      </c>
      <c r="I65" s="513" t="e">
        <f>IF(ISNA(MATCH(I$2,Inputs!$K$4:$AJ$4,0)),NA(),IF(SUMPRODUCT((Inputs!$A$5:$A$120=$B65)*ISNUMBER(INDEX(Inputs!$K$5:$AJ$120,0,MATCH(I$2,Inputs!$K$4:$AJ$4,0))))+SUMPRODUCT((Inputs!$C$5:$C$120=$B65)*ISNUMBER(INDEX(Inputs!$K$5:$AJ$120,0,MATCH(I$2,Inputs!$K$4:$AJ$4,0))))+SUMPRODUCT((Inputs!$E$5:$E$120=$B65)*ISNUMBER(INDEX(Inputs!$K$5:$AJ$120,0,MATCH(I$2,Inputs!$K$4:$AJ$4,0))))=0,NA(),SUMPRODUCT((Inputs!$A$5:$A$120=$B65)*Inputs!$B$5:$B$120*(((Inputs!$G$5:$G$120="moeda")+(Inputs!$G$5:$G$120="acoes"))*Inputs!$B$1+((Inputs!$G$5:$G$120&lt;&gt;"moeda")*(Inputs!$G$5:$G$120&lt;&gt;"acoes")))*INDEX(Inputs!$K$5:$AJ$120,0,MATCH(I$2,Inputs!$K$4:$AJ$4,0)))+SUMPRODUCT((Inputs!$C$5:$C$120=$B65)*Inputs!$D$5:$D$120*(((Inputs!$G$5:$G$120="moeda")+(Inputs!$G$5:$G$120="acoes"))*Inputs!$B$1+((Inputs!$G$5:$G$120&lt;&gt;"moeda")*(Inputs!$G$5:$G$120&lt;&gt;"acoes")))*INDEX(Inputs!$K$5:$AJ$120,0,MATCH(I$2,Inputs!$K$4:$AJ$4,0)))+SUMPRODUCT((Inputs!$E$5:$E$120=$B65)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5" s="513" t="e">
        <f>IF(ISNA(MATCH(J$2,Inputs!$K$4:$AJ$4,0)),NA(),IF(SUMPRODUCT((Inputs!$A$5:$A$120=$B65)*ISNUMBER(INDEX(Inputs!$K$5:$AJ$120,0,MATCH(J$2,Inputs!$K$4:$AJ$4,0))))+SUMPRODUCT((Inputs!$C$5:$C$120=$B65)*ISNUMBER(INDEX(Inputs!$K$5:$AJ$120,0,MATCH(J$2,Inputs!$K$4:$AJ$4,0))))+SUMPRODUCT((Inputs!$E$5:$E$120=$B65)*ISNUMBER(INDEX(Inputs!$K$5:$AJ$120,0,MATCH(J$2,Inputs!$K$4:$AJ$4,0))))=0,NA(),SUMPRODUCT((Inputs!$A$5:$A$120=$B65)*Inputs!$B$5:$B$120*(((Inputs!$G$5:$G$120="moeda")+(Inputs!$G$5:$G$120="acoes"))*Inputs!$B$1+((Inputs!$G$5:$G$120&lt;&gt;"moeda")*(Inputs!$G$5:$G$120&lt;&gt;"acoes")))*INDEX(Inputs!$K$5:$AJ$120,0,MATCH(J$2,Inputs!$K$4:$AJ$4,0)))+SUMPRODUCT((Inputs!$C$5:$C$120=$B65)*Inputs!$D$5:$D$120*(((Inputs!$G$5:$G$120="moeda")+(Inputs!$G$5:$G$120="acoes"))*Inputs!$B$1+((Inputs!$G$5:$G$120&lt;&gt;"moeda")*(Inputs!$G$5:$G$120&lt;&gt;"acoes")))*INDEX(Inputs!$K$5:$AJ$120,0,MATCH(J$2,Inputs!$K$4:$AJ$4,0)))+SUMPRODUCT((Inputs!$E$5:$E$120=$B65)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5" s="513" t="e">
        <f>IF(ISNA(MATCH(K$2,Inputs!$K$4:$AJ$4,0)),NA(),IF(SUMPRODUCT((Inputs!$A$5:$A$120=$B65)*ISNUMBER(INDEX(Inputs!$K$5:$AJ$120,0,MATCH(K$2,Inputs!$K$4:$AJ$4,0))))+SUMPRODUCT((Inputs!$C$5:$C$120=$B65)*ISNUMBER(INDEX(Inputs!$K$5:$AJ$120,0,MATCH(K$2,Inputs!$K$4:$AJ$4,0))))+SUMPRODUCT((Inputs!$E$5:$E$120=$B65)*ISNUMBER(INDEX(Inputs!$K$5:$AJ$120,0,MATCH(K$2,Inputs!$K$4:$AJ$4,0))))=0,NA(),SUMPRODUCT((Inputs!$A$5:$A$120=$B65)*Inputs!$B$5:$B$120*(((Inputs!$G$5:$G$120="moeda")+(Inputs!$G$5:$G$120="acoes"))*Inputs!$B$1+((Inputs!$G$5:$G$120&lt;&gt;"moeda")*(Inputs!$G$5:$G$120&lt;&gt;"acoes")))*INDEX(Inputs!$K$5:$AJ$120,0,MATCH(K$2,Inputs!$K$4:$AJ$4,0)))+SUMPRODUCT((Inputs!$C$5:$C$120=$B65)*Inputs!$D$5:$D$120*(((Inputs!$G$5:$G$120="moeda")+(Inputs!$G$5:$G$120="acoes"))*Inputs!$B$1+((Inputs!$G$5:$G$120&lt;&gt;"moeda")*(Inputs!$G$5:$G$120&lt;&gt;"acoes")))*INDEX(Inputs!$K$5:$AJ$120,0,MATCH(K$2,Inputs!$K$4:$AJ$4,0)))+SUMPRODUCT((Inputs!$E$5:$E$120=$B65)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5" s="513" t="e">
        <f>IF(ISNA(MATCH(L$2,Inputs!$K$4:$AJ$4,0)),NA(),IF(SUMPRODUCT((Inputs!$A$5:$A$120=$B65)*ISNUMBER(INDEX(Inputs!$K$5:$AJ$120,0,MATCH(L$2,Inputs!$K$4:$AJ$4,0))))+SUMPRODUCT((Inputs!$C$5:$C$120=$B65)*ISNUMBER(INDEX(Inputs!$K$5:$AJ$120,0,MATCH(L$2,Inputs!$K$4:$AJ$4,0))))+SUMPRODUCT((Inputs!$E$5:$E$120=$B65)*ISNUMBER(INDEX(Inputs!$K$5:$AJ$120,0,MATCH(L$2,Inputs!$K$4:$AJ$4,0))))=0,NA(),SUMPRODUCT((Inputs!$A$5:$A$120=$B65)*Inputs!$B$5:$B$120*(((Inputs!$G$5:$G$120="moeda")+(Inputs!$G$5:$G$120="acoes"))*Inputs!$B$1+((Inputs!$G$5:$G$120&lt;&gt;"moeda")*(Inputs!$G$5:$G$120&lt;&gt;"acoes")))*INDEX(Inputs!$K$5:$AJ$120,0,MATCH(L$2,Inputs!$K$4:$AJ$4,0)))+SUMPRODUCT((Inputs!$C$5:$C$120=$B65)*Inputs!$D$5:$D$120*(((Inputs!$G$5:$G$120="moeda")+(Inputs!$G$5:$G$120="acoes"))*Inputs!$B$1+((Inputs!$G$5:$G$120&lt;&gt;"moeda")*(Inputs!$G$5:$G$120&lt;&gt;"acoes")))*INDEX(Inputs!$K$5:$AJ$120,0,MATCH(L$2,Inputs!$K$4:$AJ$4,0)))+SUMPRODUCT((Inputs!$E$5:$E$120=$B65)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5" s="514" t="e">
        <f>SUM(I65:L65)</f>
        <v>#N/A</v>
      </c>
      <c r="N65" s="513" t="e">
        <f>IF(ISNA(MATCH(N$2,Inputs!$K$4:$AJ$4,0)),NA(),IF(SUMPRODUCT((Inputs!$A$5:$A$120=$B65)*ISNUMBER(INDEX(Inputs!$K$5:$AJ$120,0,MATCH(N$2,Inputs!$K$4:$AJ$4,0))))+SUMPRODUCT((Inputs!$C$5:$C$120=$B65)*ISNUMBER(INDEX(Inputs!$K$5:$AJ$120,0,MATCH(N$2,Inputs!$K$4:$AJ$4,0))))+SUMPRODUCT((Inputs!$E$5:$E$120=$B65)*ISNUMBER(INDEX(Inputs!$K$5:$AJ$120,0,MATCH(N$2,Inputs!$K$4:$AJ$4,0))))=0,NA(),SUMPRODUCT((Inputs!$A$5:$A$120=$B65)*Inputs!$B$5:$B$120*(((Inputs!$G$5:$G$120="moeda")+(Inputs!$G$5:$G$120="acoes"))*Inputs!$B$1+((Inputs!$G$5:$G$120&lt;&gt;"moeda")*(Inputs!$G$5:$G$120&lt;&gt;"acoes")))*INDEX(Inputs!$K$5:$AJ$120,0,MATCH(N$2,Inputs!$K$4:$AJ$4,0)))+SUMPRODUCT((Inputs!$C$5:$C$120=$B65)*Inputs!$D$5:$D$120*(((Inputs!$G$5:$G$120="moeda")+(Inputs!$G$5:$G$120="acoes"))*Inputs!$B$1+((Inputs!$G$5:$G$120&lt;&gt;"moeda")*(Inputs!$G$5:$G$120&lt;&gt;"acoes")))*INDEX(Inputs!$K$5:$AJ$120,0,MATCH(N$2,Inputs!$K$4:$AJ$4,0)))+SUMPRODUCT((Inputs!$E$5:$E$120=$B65)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5" s="513" t="e">
        <f>IF(ISNA(MATCH(O$2,Inputs!$K$4:$AJ$4,0)),NA(),IF(SUMPRODUCT((Inputs!$A$5:$A$120=$B65)*ISNUMBER(INDEX(Inputs!$K$5:$AJ$120,0,MATCH(O$2,Inputs!$K$4:$AJ$4,0))))+SUMPRODUCT((Inputs!$C$5:$C$120=$B65)*ISNUMBER(INDEX(Inputs!$K$5:$AJ$120,0,MATCH(O$2,Inputs!$K$4:$AJ$4,0))))+SUMPRODUCT((Inputs!$E$5:$E$120=$B65)*ISNUMBER(INDEX(Inputs!$K$5:$AJ$120,0,MATCH(O$2,Inputs!$K$4:$AJ$4,0))))=0,NA(),SUMPRODUCT((Inputs!$A$5:$A$120=$B65)*Inputs!$B$5:$B$120*(((Inputs!$G$5:$G$120="moeda")+(Inputs!$G$5:$G$120="acoes"))*Inputs!$B$1+((Inputs!$G$5:$G$120&lt;&gt;"moeda")*(Inputs!$G$5:$G$120&lt;&gt;"acoes")))*INDEX(Inputs!$K$5:$AJ$120,0,MATCH(O$2,Inputs!$K$4:$AJ$4,0)))+SUMPRODUCT((Inputs!$C$5:$C$120=$B65)*Inputs!$D$5:$D$120*(((Inputs!$G$5:$G$120="moeda")+(Inputs!$G$5:$G$120="acoes"))*Inputs!$B$1+((Inputs!$G$5:$G$120&lt;&gt;"moeda")*(Inputs!$G$5:$G$120&lt;&gt;"acoes")))*INDEX(Inputs!$K$5:$AJ$120,0,MATCH(O$2,Inputs!$K$4:$AJ$4,0)))+SUMPRODUCT((Inputs!$E$5:$E$120=$B65)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5" s="513" t="e">
        <f>IF(ISNA(MATCH(P$2,Inputs!$K$4:$AJ$4,0)),NA(),IF(SUMPRODUCT((Inputs!$A$5:$A$120=$B65)*ISNUMBER(INDEX(Inputs!$K$5:$AJ$120,0,MATCH(P$2,Inputs!$K$4:$AJ$4,0))))+SUMPRODUCT((Inputs!$C$5:$C$120=$B65)*ISNUMBER(INDEX(Inputs!$K$5:$AJ$120,0,MATCH(P$2,Inputs!$K$4:$AJ$4,0))))+SUMPRODUCT((Inputs!$E$5:$E$120=$B65)*ISNUMBER(INDEX(Inputs!$K$5:$AJ$120,0,MATCH(P$2,Inputs!$K$4:$AJ$4,0))))=0,NA(),SUMPRODUCT((Inputs!$A$5:$A$120=$B65)*Inputs!$B$5:$B$120*(((Inputs!$G$5:$G$120="moeda")+(Inputs!$G$5:$G$120="acoes"))*Inputs!$B$1+((Inputs!$G$5:$G$120&lt;&gt;"moeda")*(Inputs!$G$5:$G$120&lt;&gt;"acoes")))*INDEX(Inputs!$K$5:$AJ$120,0,MATCH(P$2,Inputs!$K$4:$AJ$4,0)))+SUMPRODUCT((Inputs!$C$5:$C$120=$B65)*Inputs!$D$5:$D$120*(((Inputs!$G$5:$G$120="moeda")+(Inputs!$G$5:$G$120="acoes"))*Inputs!$B$1+((Inputs!$G$5:$G$120&lt;&gt;"moeda")*(Inputs!$G$5:$G$120&lt;&gt;"acoes")))*INDEX(Inputs!$K$5:$AJ$120,0,MATCH(P$2,Inputs!$K$4:$AJ$4,0)))+SUMPRODUCT((Inputs!$E$5:$E$120=$B65)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5" s="513" t="e">
        <f>IF(ISNA(MATCH(Q$2,Inputs!$K$4:$AJ$4,0)),NA(),IF(SUMPRODUCT((Inputs!$A$5:$A$120=$B65)*ISNUMBER(INDEX(Inputs!$K$5:$AJ$120,0,MATCH(Q$2,Inputs!$K$4:$AJ$4,0))))+SUMPRODUCT((Inputs!$C$5:$C$120=$B65)*ISNUMBER(INDEX(Inputs!$K$5:$AJ$120,0,MATCH(Q$2,Inputs!$K$4:$AJ$4,0))))+SUMPRODUCT((Inputs!$E$5:$E$120=$B65)*ISNUMBER(INDEX(Inputs!$K$5:$AJ$120,0,MATCH(Q$2,Inputs!$K$4:$AJ$4,0))))=0,NA(),SUMPRODUCT((Inputs!$A$5:$A$120=$B65)*Inputs!$B$5:$B$120*(((Inputs!$G$5:$G$120="moeda")+(Inputs!$G$5:$G$120="acoes"))*Inputs!$B$1+((Inputs!$G$5:$G$120&lt;&gt;"moeda")*(Inputs!$G$5:$G$120&lt;&gt;"acoes")))*INDEX(Inputs!$K$5:$AJ$120,0,MATCH(Q$2,Inputs!$K$4:$AJ$4,0)))+SUMPRODUCT((Inputs!$C$5:$C$120=$B65)*Inputs!$D$5:$D$120*(((Inputs!$G$5:$G$120="moeda")+(Inputs!$G$5:$G$120="acoes"))*Inputs!$B$1+((Inputs!$G$5:$G$120&lt;&gt;"moeda")*(Inputs!$G$5:$G$120&lt;&gt;"acoes")))*INDEX(Inputs!$K$5:$AJ$120,0,MATCH(Q$2,Inputs!$K$4:$AJ$4,0)))+SUMPRODUCT((Inputs!$E$5:$E$120=$B65)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5" s="514" t="e">
        <f>SUM(N65:Q65)</f>
        <v>#N/A</v>
      </c>
      <c r="S65" s="513" t="e">
        <f>IF(ISNA(MATCH(S$2,Inputs!$K$4:$AJ$4,0)),NA(),IF(SUMPRODUCT((Inputs!$A$5:$A$120=$B65)*ISNUMBER(INDEX(Inputs!$K$5:$AJ$120,0,MATCH(S$2,Inputs!$K$4:$AJ$4,0))))+SUMPRODUCT((Inputs!$C$5:$C$120=$B65)*ISNUMBER(INDEX(Inputs!$K$5:$AJ$120,0,MATCH(S$2,Inputs!$K$4:$AJ$4,0))))+SUMPRODUCT((Inputs!$E$5:$E$120=$B65)*ISNUMBER(INDEX(Inputs!$K$5:$AJ$120,0,MATCH(S$2,Inputs!$K$4:$AJ$4,0))))=0,NA(),SUMPRODUCT((Inputs!$A$5:$A$120=$B65)*Inputs!$B$5:$B$120*(((Inputs!$G$5:$G$120="moeda")+(Inputs!$G$5:$G$120="acoes"))*Inputs!$B$1+((Inputs!$G$5:$G$120&lt;&gt;"moeda")*(Inputs!$G$5:$G$120&lt;&gt;"acoes")))*INDEX(Inputs!$K$5:$AJ$120,0,MATCH(S$2,Inputs!$K$4:$AJ$4,0)))+SUMPRODUCT((Inputs!$C$5:$C$120=$B65)*Inputs!$D$5:$D$120*(((Inputs!$G$5:$G$120="moeda")+(Inputs!$G$5:$G$120="acoes"))*Inputs!$B$1+((Inputs!$G$5:$G$120&lt;&gt;"moeda")*(Inputs!$G$5:$G$120&lt;&gt;"acoes")))*INDEX(Inputs!$K$5:$AJ$120,0,MATCH(S$2,Inputs!$K$4:$AJ$4,0)))+SUMPRODUCT((Inputs!$E$5:$E$120=$B65)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5" s="513" t="e">
        <f>IF(ISNA(MATCH(T$2,Inputs!$K$4:$AJ$4,0)),NA(),IF(SUMPRODUCT((Inputs!$A$5:$A$120=$B65)*ISNUMBER(INDEX(Inputs!$K$5:$AJ$120,0,MATCH(T$2,Inputs!$K$4:$AJ$4,0))))+SUMPRODUCT((Inputs!$C$5:$C$120=$B65)*ISNUMBER(INDEX(Inputs!$K$5:$AJ$120,0,MATCH(T$2,Inputs!$K$4:$AJ$4,0))))+SUMPRODUCT((Inputs!$E$5:$E$120=$B65)*ISNUMBER(INDEX(Inputs!$K$5:$AJ$120,0,MATCH(T$2,Inputs!$K$4:$AJ$4,0))))=0,NA(),SUMPRODUCT((Inputs!$A$5:$A$120=$B65)*Inputs!$B$5:$B$120*(((Inputs!$G$5:$G$120="moeda")+(Inputs!$G$5:$G$120="acoes"))*Inputs!$B$1+((Inputs!$G$5:$G$120&lt;&gt;"moeda")*(Inputs!$G$5:$G$120&lt;&gt;"acoes")))*INDEX(Inputs!$K$5:$AJ$120,0,MATCH(T$2,Inputs!$K$4:$AJ$4,0)))+SUMPRODUCT((Inputs!$C$5:$C$120=$B65)*Inputs!$D$5:$D$120*(((Inputs!$G$5:$G$120="moeda")+(Inputs!$G$5:$G$120="acoes"))*Inputs!$B$1+((Inputs!$G$5:$G$120&lt;&gt;"moeda")*(Inputs!$G$5:$G$120&lt;&gt;"acoes")))*INDEX(Inputs!$K$5:$AJ$120,0,MATCH(T$2,Inputs!$K$4:$AJ$4,0)))+SUMPRODUCT((Inputs!$E$5:$E$120=$B65)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5" s="513">
        <f>IF(ISNA(MATCH(U$2,Inputs!$K$4:$AJ$4,0)),NA(),IF(SUMPRODUCT((Inputs!$A$5:$A$120=$B65)*ISNUMBER(INDEX(Inputs!$K$5:$AJ$120,0,MATCH(U$2,Inputs!$K$4:$AJ$4,0))))+SUMPRODUCT((Inputs!$C$5:$C$120=$B65)*ISNUMBER(INDEX(Inputs!$K$5:$AJ$120,0,MATCH(U$2,Inputs!$K$4:$AJ$4,0))))+SUMPRODUCT((Inputs!$E$5:$E$120=$B65)*ISNUMBER(INDEX(Inputs!$K$5:$AJ$120,0,MATCH(U$2,Inputs!$K$4:$AJ$4,0))))=0,NA(),SUMPRODUCT((Inputs!$A$5:$A$120=$B65)*Inputs!$B$5:$B$120*(((Inputs!$G$5:$G$120="moeda")+(Inputs!$G$5:$G$120="acoes"))*Inputs!$B$1+((Inputs!$G$5:$G$120&lt;&gt;"moeda")*(Inputs!$G$5:$G$120&lt;&gt;"acoes")))*INDEX(Inputs!$K$5:$AJ$120,0,MATCH(U$2,Inputs!$K$4:$AJ$4,0)))+SUMPRODUCT((Inputs!$C$5:$C$120=$B65)*Inputs!$D$5:$D$120*(((Inputs!$G$5:$G$120="moeda")+(Inputs!$G$5:$G$120="acoes"))*Inputs!$B$1+((Inputs!$G$5:$G$120&lt;&gt;"moeda")*(Inputs!$G$5:$G$120&lt;&gt;"acoes")))*INDEX(Inputs!$K$5:$AJ$120,0,MATCH(U$2,Inputs!$K$4:$AJ$4,0)))+SUMPRODUCT((Inputs!$E$5:$E$120=$B65)*Inputs!$F$5:$F$120*(((Inputs!$G$5:$G$120="moeda")+(Inputs!$G$5:$G$120="acoes"))*Inputs!$B$1+((Inputs!$G$5:$G$120&lt;&gt;"moeda")*(Inputs!$G$5:$G$120&lt;&gt;"acoes")))*INDEX(Inputs!$K$5:$AJ$120,0,MATCH(U$2,Inputs!$K$4:$AJ$4,0)))))</f>
        <v>2397</v>
      </c>
      <c r="V65" s="513">
        <f>IF(ISNA(MATCH(V$2,Inputs!$K$4:$AJ$4,0)),NA(),IF(SUMPRODUCT((Inputs!$A$5:$A$120=$B65)*ISNUMBER(INDEX(Inputs!$K$5:$AJ$120,0,MATCH(V$2,Inputs!$K$4:$AJ$4,0))))+SUMPRODUCT((Inputs!$C$5:$C$120=$B65)*ISNUMBER(INDEX(Inputs!$K$5:$AJ$120,0,MATCH(V$2,Inputs!$K$4:$AJ$4,0))))+SUMPRODUCT((Inputs!$E$5:$E$120=$B65)*ISNUMBER(INDEX(Inputs!$K$5:$AJ$120,0,MATCH(V$2,Inputs!$K$4:$AJ$4,0))))=0,NA(),SUMPRODUCT((Inputs!$A$5:$A$120=$B65)*Inputs!$B$5:$B$120*(((Inputs!$G$5:$G$120="moeda")+(Inputs!$G$5:$G$120="acoes"))*Inputs!$B$1+((Inputs!$G$5:$G$120&lt;&gt;"moeda")*(Inputs!$G$5:$G$120&lt;&gt;"acoes")))*INDEX(Inputs!$K$5:$AJ$120,0,MATCH(V$2,Inputs!$K$4:$AJ$4,0)))+SUMPRODUCT((Inputs!$C$5:$C$120=$B65)*Inputs!$D$5:$D$120*(((Inputs!$G$5:$G$120="moeda")+(Inputs!$G$5:$G$120="acoes"))*Inputs!$B$1+((Inputs!$G$5:$G$120&lt;&gt;"moeda")*(Inputs!$G$5:$G$120&lt;&gt;"acoes")))*INDEX(Inputs!$K$5:$AJ$120,0,MATCH(V$2,Inputs!$K$4:$AJ$4,0)))+SUMPRODUCT((Inputs!$E$5:$E$120=$B65)*Inputs!$F$5:$F$120*(((Inputs!$G$5:$G$120="moeda")+(Inputs!$G$5:$G$120="acoes"))*Inputs!$B$1+((Inputs!$G$5:$G$120&lt;&gt;"moeda")*(Inputs!$G$5:$G$120&lt;&gt;"acoes")))*INDEX(Inputs!$K$5:$AJ$120,0,MATCH(V$2,Inputs!$K$4:$AJ$4,0)))))</f>
        <v>2242</v>
      </c>
      <c r="W65" s="514" t="e">
        <f>SUM(S65:V65)</f>
        <v>#N/A</v>
      </c>
      <c r="X65" s="513">
        <f>IF(ISNA(MATCH(X$2,Inputs!$K$4:$AJ$4,0)),NA(),IF(SUMPRODUCT((Inputs!$A$5:$A$120=$B65)*ISNUMBER(INDEX(Inputs!$K$5:$AJ$120,0,MATCH(X$2,Inputs!$K$4:$AJ$4,0))))+SUMPRODUCT((Inputs!$C$5:$C$120=$B65)*ISNUMBER(INDEX(Inputs!$K$5:$AJ$120,0,MATCH(X$2,Inputs!$K$4:$AJ$4,0))))+SUMPRODUCT((Inputs!$E$5:$E$120=$B65)*ISNUMBER(INDEX(Inputs!$K$5:$AJ$120,0,MATCH(X$2,Inputs!$K$4:$AJ$4,0))))=0,NA(),SUMPRODUCT((Inputs!$A$5:$A$120=$B65)*Inputs!$B$5:$B$120*(((Inputs!$G$5:$G$120="moeda")+(Inputs!$G$5:$G$120="acoes"))*Inputs!$B$1+((Inputs!$G$5:$G$120&lt;&gt;"moeda")*(Inputs!$G$5:$G$120&lt;&gt;"acoes")))*INDEX(Inputs!$K$5:$AJ$120,0,MATCH(X$2,Inputs!$K$4:$AJ$4,0)))+SUMPRODUCT((Inputs!$C$5:$C$120=$B65)*Inputs!$D$5:$D$120*(((Inputs!$G$5:$G$120="moeda")+(Inputs!$G$5:$G$120="acoes"))*Inputs!$B$1+((Inputs!$G$5:$G$120&lt;&gt;"moeda")*(Inputs!$G$5:$G$120&lt;&gt;"acoes")))*INDEX(Inputs!$K$5:$AJ$120,0,MATCH(X$2,Inputs!$K$4:$AJ$4,0)))+SUMPRODUCT((Inputs!$E$5:$E$120=$B65)*Inputs!$F$5:$F$120*(((Inputs!$G$5:$G$120="moeda")+(Inputs!$G$5:$G$120="acoes"))*Inputs!$B$1+((Inputs!$G$5:$G$120&lt;&gt;"moeda")*(Inputs!$G$5:$G$120&lt;&gt;"acoes")))*INDEX(Inputs!$K$5:$AJ$120,0,MATCH(X$2,Inputs!$K$4:$AJ$4,0)))))</f>
        <v>2384</v>
      </c>
      <c r="Y65" s="513">
        <f>IF(ISNA(MATCH(Y$2,Inputs!$K$4:$AJ$4,0)),NA(),IF(SUMPRODUCT((Inputs!$A$5:$A$120=$B65)*ISNUMBER(INDEX(Inputs!$K$5:$AJ$120,0,MATCH(Y$2,Inputs!$K$4:$AJ$4,0))))+SUMPRODUCT((Inputs!$C$5:$C$120=$B65)*ISNUMBER(INDEX(Inputs!$K$5:$AJ$120,0,MATCH(Y$2,Inputs!$K$4:$AJ$4,0))))+SUMPRODUCT((Inputs!$E$5:$E$120=$B65)*ISNUMBER(INDEX(Inputs!$K$5:$AJ$120,0,MATCH(Y$2,Inputs!$K$4:$AJ$4,0))))=0,NA(),SUMPRODUCT((Inputs!$A$5:$A$120=$B65)*Inputs!$B$5:$B$120*(((Inputs!$G$5:$G$120="moeda")+(Inputs!$G$5:$G$120="acoes"))*Inputs!$B$1+((Inputs!$G$5:$G$120&lt;&gt;"moeda")*(Inputs!$G$5:$G$120&lt;&gt;"acoes")))*INDEX(Inputs!$K$5:$AJ$120,0,MATCH(Y$2,Inputs!$K$4:$AJ$4,0)))+SUMPRODUCT((Inputs!$C$5:$C$120=$B65)*Inputs!$D$5:$D$120*(((Inputs!$G$5:$G$120="moeda")+(Inputs!$G$5:$G$120="acoes"))*Inputs!$B$1+((Inputs!$G$5:$G$120&lt;&gt;"moeda")*(Inputs!$G$5:$G$120&lt;&gt;"acoes")))*INDEX(Inputs!$K$5:$AJ$120,0,MATCH(Y$2,Inputs!$K$4:$AJ$4,0)))+SUMPRODUCT((Inputs!$E$5:$E$120=$B65)*Inputs!$F$5:$F$120*(((Inputs!$G$5:$G$120="moeda")+(Inputs!$G$5:$G$120="acoes"))*Inputs!$B$1+((Inputs!$G$5:$G$120&lt;&gt;"moeda")*(Inputs!$G$5:$G$120&lt;&gt;"acoes")))*INDEX(Inputs!$K$5:$AJ$120,0,MATCH(Y$2,Inputs!$K$4:$AJ$4,0)))))</f>
        <v>2334</v>
      </c>
      <c r="Z65" s="513">
        <f>IF(ISNA(MATCH(Z$2,Inputs!$K$4:$AJ$4,0)),NA(),IF(SUMPRODUCT((Inputs!$A$5:$A$120=$B65)*ISNUMBER(INDEX(Inputs!$K$5:$AJ$120,0,MATCH(Z$2,Inputs!$K$4:$AJ$4,0))))+SUMPRODUCT((Inputs!$C$5:$C$120=$B65)*ISNUMBER(INDEX(Inputs!$K$5:$AJ$120,0,MATCH(Z$2,Inputs!$K$4:$AJ$4,0))))+SUMPRODUCT((Inputs!$E$5:$E$120=$B65)*ISNUMBER(INDEX(Inputs!$K$5:$AJ$120,0,MATCH(Z$2,Inputs!$K$4:$AJ$4,0))))=0,NA(),SUMPRODUCT((Inputs!$A$5:$A$120=$B65)*Inputs!$B$5:$B$120*(((Inputs!$G$5:$G$120="moeda")+(Inputs!$G$5:$G$120="acoes"))*Inputs!$B$1+((Inputs!$G$5:$G$120&lt;&gt;"moeda")*(Inputs!$G$5:$G$120&lt;&gt;"acoes")))*INDEX(Inputs!$K$5:$AJ$120,0,MATCH(Z$2,Inputs!$K$4:$AJ$4,0)))+SUMPRODUCT((Inputs!$C$5:$C$120=$B65)*Inputs!$D$5:$D$120*(((Inputs!$G$5:$G$120="moeda")+(Inputs!$G$5:$G$120="acoes"))*Inputs!$B$1+((Inputs!$G$5:$G$120&lt;&gt;"moeda")*(Inputs!$G$5:$G$120&lt;&gt;"acoes")))*INDEX(Inputs!$K$5:$AJ$120,0,MATCH(Z$2,Inputs!$K$4:$AJ$4,0)))+SUMPRODUCT((Inputs!$E$5:$E$120=$B65)*Inputs!$F$5:$F$120*(((Inputs!$G$5:$G$120="moeda")+(Inputs!$G$5:$G$120="acoes"))*Inputs!$B$1+((Inputs!$G$5:$G$120&lt;&gt;"moeda")*(Inputs!$G$5:$G$120&lt;&gt;"acoes")))*INDEX(Inputs!$K$5:$AJ$120,0,MATCH(Z$2,Inputs!$K$4:$AJ$4,0)))))</f>
        <v>6428</v>
      </c>
      <c r="AA65" s="513">
        <f>IF(ISNA(MATCH(AA$2,Inputs!$K$4:$AJ$4,0)),NA(),IF(SUMPRODUCT((Inputs!$A$5:$A$120=$B65)*ISNUMBER(INDEX(Inputs!$K$5:$AJ$120,0,MATCH(AA$2,Inputs!$K$4:$AJ$4,0))))+SUMPRODUCT((Inputs!$C$5:$C$120=$B65)*ISNUMBER(INDEX(Inputs!$K$5:$AJ$120,0,MATCH(AA$2,Inputs!$K$4:$AJ$4,0))))+SUMPRODUCT((Inputs!$E$5:$E$120=$B65)*ISNUMBER(INDEX(Inputs!$K$5:$AJ$120,0,MATCH(AA$2,Inputs!$K$4:$AJ$4,0))))=0,NA(),SUMPRODUCT((Inputs!$A$5:$A$120=$B65)*Inputs!$B$5:$B$120*(((Inputs!$G$5:$G$120="moeda")+(Inputs!$G$5:$G$120="acoes"))*Inputs!$B$1+((Inputs!$G$5:$G$120&lt;&gt;"moeda")*(Inputs!$G$5:$G$120&lt;&gt;"acoes")))*INDEX(Inputs!$K$5:$AJ$120,0,MATCH(AA$2,Inputs!$K$4:$AJ$4,0)))+SUMPRODUCT((Inputs!$C$5:$C$120=$B65)*Inputs!$D$5:$D$120*(((Inputs!$G$5:$G$120="moeda")+(Inputs!$G$5:$G$120="acoes"))*Inputs!$B$1+((Inputs!$G$5:$G$120&lt;&gt;"moeda")*(Inputs!$G$5:$G$120&lt;&gt;"acoes")))*INDEX(Inputs!$K$5:$AJ$120,0,MATCH(AA$2,Inputs!$K$4:$AJ$4,0)))+SUMPRODUCT((Inputs!$E$5:$E$120=$B65)*Inputs!$F$5:$F$120*(((Inputs!$G$5:$G$120="moeda")+(Inputs!$G$5:$G$120="acoes"))*Inputs!$B$1+((Inputs!$G$5:$G$120&lt;&gt;"moeda")*(Inputs!$G$5:$G$120&lt;&gt;"acoes")))*INDEX(Inputs!$K$5:$AJ$120,0,MATCH(AA$2,Inputs!$K$4:$AJ$4,0)))))</f>
        <v>6982</v>
      </c>
      <c r="AB65" s="514">
        <f>SUM(X65:AA65)</f>
        <v>18128</v>
      </c>
      <c r="AC65" s="513">
        <f>IF(ISNA(MATCH(AC$2,Inputs!$K$4:$AJ$4,0)),NA(),IF(SUMPRODUCT((Inputs!$A$5:$A$120=$B65)*ISNUMBER(INDEX(Inputs!$K$5:$AJ$120,0,MATCH(AC$2,Inputs!$K$4:$AJ$4,0))))+SUMPRODUCT((Inputs!$C$5:$C$120=$B65)*ISNUMBER(INDEX(Inputs!$K$5:$AJ$120,0,MATCH(AC$2,Inputs!$K$4:$AJ$4,0))))+SUMPRODUCT((Inputs!$E$5:$E$120=$B65)*ISNUMBER(INDEX(Inputs!$K$5:$AJ$120,0,MATCH(AC$2,Inputs!$K$4:$AJ$4,0))))=0,NA(),SUMPRODUCT((Inputs!$A$5:$A$120=$B65)*Inputs!$B$5:$B$120*(((Inputs!$G$5:$G$120="moeda")+(Inputs!$G$5:$G$120="acoes"))*Inputs!$B$1+((Inputs!$G$5:$G$120&lt;&gt;"moeda")*(Inputs!$G$5:$G$120&lt;&gt;"acoes")))*INDEX(Inputs!$K$5:$AJ$120,0,MATCH(AC$2,Inputs!$K$4:$AJ$4,0)))+SUMPRODUCT((Inputs!$C$5:$C$120=$B65)*Inputs!$D$5:$D$120*(((Inputs!$G$5:$G$120="moeda")+(Inputs!$G$5:$G$120="acoes"))*Inputs!$B$1+((Inputs!$G$5:$G$120&lt;&gt;"moeda")*(Inputs!$G$5:$G$120&lt;&gt;"acoes")))*INDEX(Inputs!$K$5:$AJ$120,0,MATCH(AC$2,Inputs!$K$4:$AJ$4,0)))+SUMPRODUCT((Inputs!$E$5:$E$120=$B65)*Inputs!$F$5:$F$120*(((Inputs!$G$5:$G$120="moeda")+(Inputs!$G$5:$G$120="acoes"))*Inputs!$B$1+((Inputs!$G$5:$G$120&lt;&gt;"moeda")*(Inputs!$G$5:$G$120&lt;&gt;"acoes")))*INDEX(Inputs!$K$5:$AJ$120,0,MATCH(AC$2,Inputs!$K$4:$AJ$4,0)))))</f>
        <v>7177</v>
      </c>
      <c r="AD65" s="513">
        <f>IF(ISNA(MATCH(AD$2,Inputs!$K$4:$AJ$4,0)),NA(),IF(SUMPRODUCT((Inputs!$A$5:$A$120=$B65)*ISNUMBER(INDEX(Inputs!$K$5:$AJ$120,0,MATCH(AD$2,Inputs!$K$4:$AJ$4,0))))+SUMPRODUCT((Inputs!$C$5:$C$120=$B65)*ISNUMBER(INDEX(Inputs!$K$5:$AJ$120,0,MATCH(AD$2,Inputs!$K$4:$AJ$4,0))))+SUMPRODUCT((Inputs!$E$5:$E$120=$B65)*ISNUMBER(INDEX(Inputs!$K$5:$AJ$120,0,MATCH(AD$2,Inputs!$K$4:$AJ$4,0))))=0,NA(),SUMPRODUCT((Inputs!$A$5:$A$120=$B65)*Inputs!$B$5:$B$120*(((Inputs!$G$5:$G$120="moeda")+(Inputs!$G$5:$G$120="acoes"))*Inputs!$B$1+((Inputs!$G$5:$G$120&lt;&gt;"moeda")*(Inputs!$G$5:$G$120&lt;&gt;"acoes")))*INDEX(Inputs!$K$5:$AJ$120,0,MATCH(AD$2,Inputs!$K$4:$AJ$4,0)))+SUMPRODUCT((Inputs!$C$5:$C$120=$B65)*Inputs!$D$5:$D$120*(((Inputs!$G$5:$G$120="moeda")+(Inputs!$G$5:$G$120="acoes"))*Inputs!$B$1+((Inputs!$G$5:$G$120&lt;&gt;"moeda")*(Inputs!$G$5:$G$120&lt;&gt;"acoes")))*INDEX(Inputs!$K$5:$AJ$120,0,MATCH(AD$2,Inputs!$K$4:$AJ$4,0)))+SUMPRODUCT((Inputs!$E$5:$E$120=$B65)*Inputs!$F$5:$F$120*(((Inputs!$G$5:$G$120="moeda")+(Inputs!$G$5:$G$120="acoes"))*Inputs!$B$1+((Inputs!$G$5:$G$120&lt;&gt;"moeda")*(Inputs!$G$5:$G$120&lt;&gt;"acoes")))*INDEX(Inputs!$K$5:$AJ$120,0,MATCH(AD$2,Inputs!$K$4:$AJ$4,0)))))</f>
        <v>6614</v>
      </c>
      <c r="AE65" s="513" t="e">
        <f>IF(ISNA(MATCH(AE$2,Inputs!$K$4:$AJ$4,0)),NA(),IF(SUMPRODUCT((Inputs!$A$5:$A$120=$B65)*ISNUMBER(INDEX(Inputs!$K$5:$AJ$120,0,MATCH(AE$2,Inputs!$K$4:$AJ$4,0))))+SUMPRODUCT((Inputs!$C$5:$C$120=$B65)*ISNUMBER(INDEX(Inputs!$K$5:$AJ$120,0,MATCH(AE$2,Inputs!$K$4:$AJ$4,0))))+SUMPRODUCT((Inputs!$E$5:$E$120=$B65)*ISNUMBER(INDEX(Inputs!$K$5:$AJ$120,0,MATCH(AE$2,Inputs!$K$4:$AJ$4,0))))=0,NA(),SUMPRODUCT((Inputs!$A$5:$A$120=$B65)*Inputs!$B$5:$B$120*(((Inputs!$G$5:$G$120="moeda")+(Inputs!$G$5:$G$120="acoes"))*Inputs!$B$1+((Inputs!$G$5:$G$120&lt;&gt;"moeda")*(Inputs!$G$5:$G$120&lt;&gt;"acoes")))*INDEX(Inputs!$K$5:$AJ$120,0,MATCH(AE$2,Inputs!$K$4:$AJ$4,0)))+SUMPRODUCT((Inputs!$C$5:$C$120=$B65)*Inputs!$D$5:$D$120*(((Inputs!$G$5:$G$120="moeda")+(Inputs!$G$5:$G$120="acoes"))*Inputs!$B$1+((Inputs!$G$5:$G$120&lt;&gt;"moeda")*(Inputs!$G$5:$G$120&lt;&gt;"acoes")))*INDEX(Inputs!$K$5:$AJ$120,0,MATCH(AE$2,Inputs!$K$4:$AJ$4,0)))+SUMPRODUCT((Inputs!$E$5:$E$120=$B65)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5" s="513" t="e">
        <f>IF(ISNA(MATCH(AF$2,Inputs!$K$4:$AJ$4,0)),NA(),IF(SUMPRODUCT((Inputs!$A$5:$A$120=$B65)*ISNUMBER(INDEX(Inputs!$K$5:$AJ$120,0,MATCH(AF$2,Inputs!$K$4:$AJ$4,0))))+SUMPRODUCT((Inputs!$C$5:$C$120=$B65)*ISNUMBER(INDEX(Inputs!$K$5:$AJ$120,0,MATCH(AF$2,Inputs!$K$4:$AJ$4,0))))+SUMPRODUCT((Inputs!$E$5:$E$120=$B65)*ISNUMBER(INDEX(Inputs!$K$5:$AJ$120,0,MATCH(AF$2,Inputs!$K$4:$AJ$4,0))))=0,NA(),SUMPRODUCT((Inputs!$A$5:$A$120=$B65)*Inputs!$B$5:$B$120*(((Inputs!$G$5:$G$120="moeda")+(Inputs!$G$5:$G$120="acoes"))*Inputs!$B$1+((Inputs!$G$5:$G$120&lt;&gt;"moeda")*(Inputs!$G$5:$G$120&lt;&gt;"acoes")))*INDEX(Inputs!$K$5:$AJ$120,0,MATCH(AF$2,Inputs!$K$4:$AJ$4,0)))+SUMPRODUCT((Inputs!$C$5:$C$120=$B65)*Inputs!$D$5:$D$120*(((Inputs!$G$5:$G$120="moeda")+(Inputs!$G$5:$G$120="acoes"))*Inputs!$B$1+((Inputs!$G$5:$G$120&lt;&gt;"moeda")*(Inputs!$G$5:$G$120&lt;&gt;"acoes")))*INDEX(Inputs!$K$5:$AJ$120,0,MATCH(AF$2,Inputs!$K$4:$AJ$4,0)))+SUMPRODUCT((Inputs!$E$5:$E$120=$B65)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5" s="514" t="e">
        <f>SUM(AC65:AF65)</f>
        <v>#N/A</v>
      </c>
      <c r="AH65" s="513" t="e">
        <f>IF(ISNA(MATCH(AH$2,Inputs!$K$4:$AJ$4,0)),NA(),IF(SUMPRODUCT((Inputs!$A$5:$A$120=$B65)*ISNUMBER(INDEX(Inputs!$K$5:$AJ$120,0,MATCH(AH$2,Inputs!$K$4:$AJ$4,0))))+SUMPRODUCT((Inputs!$C$5:$C$120=$B65)*ISNUMBER(INDEX(Inputs!$K$5:$AJ$120,0,MATCH(AH$2,Inputs!$K$4:$AJ$4,0))))+SUMPRODUCT((Inputs!$E$5:$E$120=$B65)*ISNUMBER(INDEX(Inputs!$K$5:$AJ$120,0,MATCH(AH$2,Inputs!$K$4:$AJ$4,0))))=0,NA(),SUMPRODUCT((Inputs!$A$5:$A$120=$B65)*Inputs!$B$5:$B$120*(((Inputs!$G$5:$G$120="moeda")+(Inputs!$G$5:$G$120="acoes"))*Inputs!$B$1+((Inputs!$G$5:$G$120&lt;&gt;"moeda")*(Inputs!$G$5:$G$120&lt;&gt;"acoes")))*INDEX(Inputs!$K$5:$AJ$120,0,MATCH(AH$2,Inputs!$K$4:$AJ$4,0)))+SUMPRODUCT((Inputs!$C$5:$C$120=$B65)*Inputs!$D$5:$D$120*(((Inputs!$G$5:$G$120="moeda")+(Inputs!$G$5:$G$120="acoes"))*Inputs!$B$1+((Inputs!$G$5:$G$120&lt;&gt;"moeda")*(Inputs!$G$5:$G$120&lt;&gt;"acoes")))*INDEX(Inputs!$K$5:$AJ$120,0,MATCH(AH$2,Inputs!$K$4:$AJ$4,0)))+SUMPRODUCT((Inputs!$E$5:$E$120=$B65)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5" s="513" t="e">
        <f>IF(ISNA(MATCH(AI$2,Inputs!$K$4:$AJ$4,0)),NA(),IF(SUMPRODUCT((Inputs!$A$5:$A$120=$B65)*ISNUMBER(INDEX(Inputs!$K$5:$AJ$120,0,MATCH(AI$2,Inputs!$K$4:$AJ$4,0))))+SUMPRODUCT((Inputs!$C$5:$C$120=$B65)*ISNUMBER(INDEX(Inputs!$K$5:$AJ$120,0,MATCH(AI$2,Inputs!$K$4:$AJ$4,0))))+SUMPRODUCT((Inputs!$E$5:$E$120=$B65)*ISNUMBER(INDEX(Inputs!$K$5:$AJ$120,0,MATCH(AI$2,Inputs!$K$4:$AJ$4,0))))=0,NA(),SUMPRODUCT((Inputs!$A$5:$A$120=$B65)*Inputs!$B$5:$B$120*(((Inputs!$G$5:$G$120="moeda")+(Inputs!$G$5:$G$120="acoes"))*Inputs!$B$1+((Inputs!$G$5:$G$120&lt;&gt;"moeda")*(Inputs!$G$5:$G$120&lt;&gt;"acoes")))*INDEX(Inputs!$K$5:$AJ$120,0,MATCH(AI$2,Inputs!$K$4:$AJ$4,0)))+SUMPRODUCT((Inputs!$C$5:$C$120=$B65)*Inputs!$D$5:$D$120*(((Inputs!$G$5:$G$120="moeda")+(Inputs!$G$5:$G$120="acoes"))*Inputs!$B$1+((Inputs!$G$5:$G$120&lt;&gt;"moeda")*(Inputs!$G$5:$G$120&lt;&gt;"acoes")))*INDEX(Inputs!$K$5:$AJ$120,0,MATCH(AI$2,Inputs!$K$4:$AJ$4,0)))+SUMPRODUCT((Inputs!$E$5:$E$120=$B65)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5" s="513" t="e">
        <f>IF(ISNA(MATCH(AJ$2,Inputs!$K$4:$AJ$4,0)),NA(),IF(SUMPRODUCT((Inputs!$A$5:$A$120=$B65)*ISNUMBER(INDEX(Inputs!$K$5:$AJ$120,0,MATCH(AJ$2,Inputs!$K$4:$AJ$4,0))))+SUMPRODUCT((Inputs!$C$5:$C$120=$B65)*ISNUMBER(INDEX(Inputs!$K$5:$AJ$120,0,MATCH(AJ$2,Inputs!$K$4:$AJ$4,0))))+SUMPRODUCT((Inputs!$E$5:$E$120=$B65)*ISNUMBER(INDEX(Inputs!$K$5:$AJ$120,0,MATCH(AJ$2,Inputs!$K$4:$AJ$4,0))))=0,NA(),SUMPRODUCT((Inputs!$A$5:$A$120=$B65)*Inputs!$B$5:$B$120*(((Inputs!$G$5:$G$120="moeda")+(Inputs!$G$5:$G$120="acoes"))*Inputs!$B$1+((Inputs!$G$5:$G$120&lt;&gt;"moeda")*(Inputs!$G$5:$G$120&lt;&gt;"acoes")))*INDEX(Inputs!$K$5:$AJ$120,0,MATCH(AJ$2,Inputs!$K$4:$AJ$4,0)))+SUMPRODUCT((Inputs!$C$5:$C$120=$B65)*Inputs!$D$5:$D$120*(((Inputs!$G$5:$G$120="moeda")+(Inputs!$G$5:$G$120="acoes"))*Inputs!$B$1+((Inputs!$G$5:$G$120&lt;&gt;"moeda")*(Inputs!$G$5:$G$120&lt;&gt;"acoes")))*INDEX(Inputs!$K$5:$AJ$120,0,MATCH(AJ$2,Inputs!$K$4:$AJ$4,0)))+SUMPRODUCT((Inputs!$E$5:$E$120=$B65)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5" s="513" t="e">
        <f>IF(ISNA(MATCH(AK$2,Inputs!$K$4:$AJ$4,0)),NA(),IF(SUMPRODUCT((Inputs!$A$5:$A$120=$B65)*ISNUMBER(INDEX(Inputs!$K$5:$AJ$120,0,MATCH(AK$2,Inputs!$K$4:$AJ$4,0))))+SUMPRODUCT((Inputs!$C$5:$C$120=$B65)*ISNUMBER(INDEX(Inputs!$K$5:$AJ$120,0,MATCH(AK$2,Inputs!$K$4:$AJ$4,0))))+SUMPRODUCT((Inputs!$E$5:$E$120=$B65)*ISNUMBER(INDEX(Inputs!$K$5:$AJ$120,0,MATCH(AK$2,Inputs!$K$4:$AJ$4,0))))=0,NA(),SUMPRODUCT((Inputs!$A$5:$A$120=$B65)*Inputs!$B$5:$B$120*(((Inputs!$G$5:$G$120="moeda")+(Inputs!$G$5:$G$120="acoes"))*Inputs!$B$1+((Inputs!$G$5:$G$120&lt;&gt;"moeda")*(Inputs!$G$5:$G$120&lt;&gt;"acoes")))*INDEX(Inputs!$K$5:$AJ$120,0,MATCH(AK$2,Inputs!$K$4:$AJ$4,0)))+SUMPRODUCT((Inputs!$C$5:$C$120=$B65)*Inputs!$D$5:$D$120*(((Inputs!$G$5:$G$120="moeda")+(Inputs!$G$5:$G$120="acoes"))*Inputs!$B$1+((Inputs!$G$5:$G$120&lt;&gt;"moeda")*(Inputs!$G$5:$G$120&lt;&gt;"acoes")))*INDEX(Inputs!$K$5:$AJ$120,0,MATCH(AK$2,Inputs!$K$4:$AJ$4,0)))+SUMPRODUCT((Inputs!$E$5:$E$120=$B65)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5" s="514" t="e">
        <f>SUM(AH65:AK65)</f>
        <v>#N/A</v>
      </c>
    </row>
    <row r="66">
      <c r="B66" s="265" t="n">
        <v>58</v>
      </c>
      <c r="C66" s="266" t="inlineStr">
        <is>
          <t>Nova estrutura - Corporate &amp; Other (USD)</t>
        </is>
      </c>
      <c r="D66" s="513" t="e">
        <f>IF(ISNA(MATCH(D$2,Inputs!$K$4:$AJ$4,0)),NA(),IF(SUMPRODUCT((Inputs!$A$5:$A$120=$B66)*ISNUMBER(INDEX(Inputs!$K$5:$AJ$120,0,MATCH(D$2,Inputs!$K$4:$AJ$4,0))))+SUMPRODUCT((Inputs!$C$5:$C$120=$B66)*ISNUMBER(INDEX(Inputs!$K$5:$AJ$120,0,MATCH(D$2,Inputs!$K$4:$AJ$4,0))))+SUMPRODUCT((Inputs!$E$5:$E$120=$B66)*ISNUMBER(INDEX(Inputs!$K$5:$AJ$120,0,MATCH(D$2,Inputs!$K$4:$AJ$4,0))))=0,NA(),SUMPRODUCT((Inputs!$A$5:$A$120=$B66)*Inputs!$B$5:$B$120*(((Inputs!$G$5:$G$120="moeda")+(Inputs!$G$5:$G$120="acoes"))*Inputs!$B$1+((Inputs!$G$5:$G$120&lt;&gt;"moeda")*(Inputs!$G$5:$G$120&lt;&gt;"acoes")))*INDEX(Inputs!$K$5:$AJ$120,0,MATCH(D$2,Inputs!$K$4:$AJ$4,0)))+SUMPRODUCT((Inputs!$C$5:$C$120=$B66)*Inputs!$D$5:$D$120*(((Inputs!$G$5:$G$120="moeda")+(Inputs!$G$5:$G$120="acoes"))*Inputs!$B$1+((Inputs!$G$5:$G$120&lt;&gt;"moeda")*(Inputs!$G$5:$G$120&lt;&gt;"acoes")))*INDEX(Inputs!$K$5:$AJ$120,0,MATCH(D$2,Inputs!$K$4:$AJ$4,0)))+SUMPRODUCT((Inputs!$E$5:$E$120=$B66)*Inputs!$F$5:$F$120*(((Inputs!$G$5:$G$120="moeda")+(Inputs!$G$5:$G$120="acoes"))*Inputs!$B$1+((Inputs!$G$5:$G$120&lt;&gt;"moeda")*(Inputs!$G$5:$G$120&lt;&gt;"acoes")))*INDEX(Inputs!$K$5:$AJ$120,0,MATCH(D$2,Inputs!$K$4:$AJ$4,0)))))</f>
        <v>#N/A</v>
      </c>
      <c r="E66" s="513" t="e">
        <f>IF(ISNA(MATCH(E$2,Inputs!$K$4:$AJ$4,0)),NA(),IF(SUMPRODUCT((Inputs!$A$5:$A$120=$B66)*ISNUMBER(INDEX(Inputs!$K$5:$AJ$120,0,MATCH(E$2,Inputs!$K$4:$AJ$4,0))))+SUMPRODUCT((Inputs!$C$5:$C$120=$B66)*ISNUMBER(INDEX(Inputs!$K$5:$AJ$120,0,MATCH(E$2,Inputs!$K$4:$AJ$4,0))))+SUMPRODUCT((Inputs!$E$5:$E$120=$B66)*ISNUMBER(INDEX(Inputs!$K$5:$AJ$120,0,MATCH(E$2,Inputs!$K$4:$AJ$4,0))))=0,NA(),SUMPRODUCT((Inputs!$A$5:$A$120=$B66)*Inputs!$B$5:$B$120*(((Inputs!$G$5:$G$120="moeda")+(Inputs!$G$5:$G$120="acoes"))*Inputs!$B$1+((Inputs!$G$5:$G$120&lt;&gt;"moeda")*(Inputs!$G$5:$G$120&lt;&gt;"acoes")))*INDEX(Inputs!$K$5:$AJ$120,0,MATCH(E$2,Inputs!$K$4:$AJ$4,0)))+SUMPRODUCT((Inputs!$C$5:$C$120=$B66)*Inputs!$D$5:$D$120*(((Inputs!$G$5:$G$120="moeda")+(Inputs!$G$5:$G$120="acoes"))*Inputs!$B$1+((Inputs!$G$5:$G$120&lt;&gt;"moeda")*(Inputs!$G$5:$G$120&lt;&gt;"acoes")))*INDEX(Inputs!$K$5:$AJ$120,0,MATCH(E$2,Inputs!$K$4:$AJ$4,0)))+SUMPRODUCT((Inputs!$E$5:$E$120=$B66)*Inputs!$F$5:$F$120*(((Inputs!$G$5:$G$120="moeda")+(Inputs!$G$5:$G$120="acoes"))*Inputs!$B$1+((Inputs!$G$5:$G$120&lt;&gt;"moeda")*(Inputs!$G$5:$G$120&lt;&gt;"acoes")))*INDEX(Inputs!$K$5:$AJ$120,0,MATCH(E$2,Inputs!$K$4:$AJ$4,0)))))</f>
        <v>#N/A</v>
      </c>
      <c r="F66" s="513" t="e">
        <f>IF(ISNA(MATCH(F$2,Inputs!$K$4:$AJ$4,0)),NA(),IF(SUMPRODUCT((Inputs!$A$5:$A$120=$B66)*ISNUMBER(INDEX(Inputs!$K$5:$AJ$120,0,MATCH(F$2,Inputs!$K$4:$AJ$4,0))))+SUMPRODUCT((Inputs!$C$5:$C$120=$B66)*ISNUMBER(INDEX(Inputs!$K$5:$AJ$120,0,MATCH(F$2,Inputs!$K$4:$AJ$4,0))))+SUMPRODUCT((Inputs!$E$5:$E$120=$B66)*ISNUMBER(INDEX(Inputs!$K$5:$AJ$120,0,MATCH(F$2,Inputs!$K$4:$AJ$4,0))))=0,NA(),SUMPRODUCT((Inputs!$A$5:$A$120=$B66)*Inputs!$B$5:$B$120*(((Inputs!$G$5:$G$120="moeda")+(Inputs!$G$5:$G$120="acoes"))*Inputs!$B$1+((Inputs!$G$5:$G$120&lt;&gt;"moeda")*(Inputs!$G$5:$G$120&lt;&gt;"acoes")))*INDEX(Inputs!$K$5:$AJ$120,0,MATCH(F$2,Inputs!$K$4:$AJ$4,0)))+SUMPRODUCT((Inputs!$C$5:$C$120=$B66)*Inputs!$D$5:$D$120*(((Inputs!$G$5:$G$120="moeda")+(Inputs!$G$5:$G$120="acoes"))*Inputs!$B$1+((Inputs!$G$5:$G$120&lt;&gt;"moeda")*(Inputs!$G$5:$G$120&lt;&gt;"acoes")))*INDEX(Inputs!$K$5:$AJ$120,0,MATCH(F$2,Inputs!$K$4:$AJ$4,0)))+SUMPRODUCT((Inputs!$E$5:$E$120=$B66)*Inputs!$F$5:$F$120*(((Inputs!$G$5:$G$120="moeda")+(Inputs!$G$5:$G$120="acoes"))*Inputs!$B$1+((Inputs!$G$5:$G$120&lt;&gt;"moeda")*(Inputs!$G$5:$G$120&lt;&gt;"acoes")))*INDEX(Inputs!$K$5:$AJ$120,0,MATCH(F$2,Inputs!$K$4:$AJ$4,0)))))</f>
        <v>#N/A</v>
      </c>
      <c r="G66" s="513" t="e">
        <f>IF(ISNA(MATCH(G$2,Inputs!$K$4:$AJ$4,0)),NA(),IF(SUMPRODUCT((Inputs!$A$5:$A$120=$B66)*ISNUMBER(INDEX(Inputs!$K$5:$AJ$120,0,MATCH(G$2,Inputs!$K$4:$AJ$4,0))))+SUMPRODUCT((Inputs!$C$5:$C$120=$B66)*ISNUMBER(INDEX(Inputs!$K$5:$AJ$120,0,MATCH(G$2,Inputs!$K$4:$AJ$4,0))))+SUMPRODUCT((Inputs!$E$5:$E$120=$B66)*ISNUMBER(INDEX(Inputs!$K$5:$AJ$120,0,MATCH(G$2,Inputs!$K$4:$AJ$4,0))))=0,NA(),SUMPRODUCT((Inputs!$A$5:$A$120=$B66)*Inputs!$B$5:$B$120*(((Inputs!$G$5:$G$120="moeda")+(Inputs!$G$5:$G$120="acoes"))*Inputs!$B$1+((Inputs!$G$5:$G$120&lt;&gt;"moeda")*(Inputs!$G$5:$G$120&lt;&gt;"acoes")))*INDEX(Inputs!$K$5:$AJ$120,0,MATCH(G$2,Inputs!$K$4:$AJ$4,0)))+SUMPRODUCT((Inputs!$C$5:$C$120=$B66)*Inputs!$D$5:$D$120*(((Inputs!$G$5:$G$120="moeda")+(Inputs!$G$5:$G$120="acoes"))*Inputs!$B$1+((Inputs!$G$5:$G$120&lt;&gt;"moeda")*(Inputs!$G$5:$G$120&lt;&gt;"acoes")))*INDEX(Inputs!$K$5:$AJ$120,0,MATCH(G$2,Inputs!$K$4:$AJ$4,0)))+SUMPRODUCT((Inputs!$E$5:$E$120=$B66)*Inputs!$F$5:$F$120*(((Inputs!$G$5:$G$120="moeda")+(Inputs!$G$5:$G$120="acoes"))*Inputs!$B$1+((Inputs!$G$5:$G$120&lt;&gt;"moeda")*(Inputs!$G$5:$G$120&lt;&gt;"acoes")))*INDEX(Inputs!$K$5:$AJ$120,0,MATCH(G$2,Inputs!$K$4:$AJ$4,0)))))</f>
        <v>#N/A</v>
      </c>
      <c r="H66" s="514" t="e">
        <f>SUM(D66:G66)</f>
        <v>#N/A</v>
      </c>
      <c r="I66" s="513" t="e">
        <f>IF(ISNA(MATCH(I$2,Inputs!$K$4:$AJ$4,0)),NA(),IF(SUMPRODUCT((Inputs!$A$5:$A$120=$B66)*ISNUMBER(INDEX(Inputs!$K$5:$AJ$120,0,MATCH(I$2,Inputs!$K$4:$AJ$4,0))))+SUMPRODUCT((Inputs!$C$5:$C$120=$B66)*ISNUMBER(INDEX(Inputs!$K$5:$AJ$120,0,MATCH(I$2,Inputs!$K$4:$AJ$4,0))))+SUMPRODUCT((Inputs!$E$5:$E$120=$B66)*ISNUMBER(INDEX(Inputs!$K$5:$AJ$120,0,MATCH(I$2,Inputs!$K$4:$AJ$4,0))))=0,NA(),SUMPRODUCT((Inputs!$A$5:$A$120=$B66)*Inputs!$B$5:$B$120*(((Inputs!$G$5:$G$120="moeda")+(Inputs!$G$5:$G$120="acoes"))*Inputs!$B$1+((Inputs!$G$5:$G$120&lt;&gt;"moeda")*(Inputs!$G$5:$G$120&lt;&gt;"acoes")))*INDEX(Inputs!$K$5:$AJ$120,0,MATCH(I$2,Inputs!$K$4:$AJ$4,0)))+SUMPRODUCT((Inputs!$C$5:$C$120=$B66)*Inputs!$D$5:$D$120*(((Inputs!$G$5:$G$120="moeda")+(Inputs!$G$5:$G$120="acoes"))*Inputs!$B$1+((Inputs!$G$5:$G$120&lt;&gt;"moeda")*(Inputs!$G$5:$G$120&lt;&gt;"acoes")))*INDEX(Inputs!$K$5:$AJ$120,0,MATCH(I$2,Inputs!$K$4:$AJ$4,0)))+SUMPRODUCT((Inputs!$E$5:$E$120=$B66)*Inputs!$F$5:$F$120*(((Inputs!$G$5:$G$120="moeda")+(Inputs!$G$5:$G$120="acoes"))*Inputs!$B$1+((Inputs!$G$5:$G$120&lt;&gt;"moeda")*(Inputs!$G$5:$G$120&lt;&gt;"acoes")))*INDEX(Inputs!$K$5:$AJ$120,0,MATCH(I$2,Inputs!$K$4:$AJ$4,0)))))</f>
        <v>#N/A</v>
      </c>
      <c r="J66" s="513" t="e">
        <f>IF(ISNA(MATCH(J$2,Inputs!$K$4:$AJ$4,0)),NA(),IF(SUMPRODUCT((Inputs!$A$5:$A$120=$B66)*ISNUMBER(INDEX(Inputs!$K$5:$AJ$120,0,MATCH(J$2,Inputs!$K$4:$AJ$4,0))))+SUMPRODUCT((Inputs!$C$5:$C$120=$B66)*ISNUMBER(INDEX(Inputs!$K$5:$AJ$120,0,MATCH(J$2,Inputs!$K$4:$AJ$4,0))))+SUMPRODUCT((Inputs!$E$5:$E$120=$B66)*ISNUMBER(INDEX(Inputs!$K$5:$AJ$120,0,MATCH(J$2,Inputs!$K$4:$AJ$4,0))))=0,NA(),SUMPRODUCT((Inputs!$A$5:$A$120=$B66)*Inputs!$B$5:$B$120*(((Inputs!$G$5:$G$120="moeda")+(Inputs!$G$5:$G$120="acoes"))*Inputs!$B$1+((Inputs!$G$5:$G$120&lt;&gt;"moeda")*(Inputs!$G$5:$G$120&lt;&gt;"acoes")))*INDEX(Inputs!$K$5:$AJ$120,0,MATCH(J$2,Inputs!$K$4:$AJ$4,0)))+SUMPRODUCT((Inputs!$C$5:$C$120=$B66)*Inputs!$D$5:$D$120*(((Inputs!$G$5:$G$120="moeda")+(Inputs!$G$5:$G$120="acoes"))*Inputs!$B$1+((Inputs!$G$5:$G$120&lt;&gt;"moeda")*(Inputs!$G$5:$G$120&lt;&gt;"acoes")))*INDEX(Inputs!$K$5:$AJ$120,0,MATCH(J$2,Inputs!$K$4:$AJ$4,0)))+SUMPRODUCT((Inputs!$E$5:$E$120=$B66)*Inputs!$F$5:$F$120*(((Inputs!$G$5:$G$120="moeda")+(Inputs!$G$5:$G$120="acoes"))*Inputs!$B$1+((Inputs!$G$5:$G$120&lt;&gt;"moeda")*(Inputs!$G$5:$G$120&lt;&gt;"acoes")))*INDEX(Inputs!$K$5:$AJ$120,0,MATCH(J$2,Inputs!$K$4:$AJ$4,0)))))</f>
        <v>#N/A</v>
      </c>
      <c r="K66" s="513" t="e">
        <f>IF(ISNA(MATCH(K$2,Inputs!$K$4:$AJ$4,0)),NA(),IF(SUMPRODUCT((Inputs!$A$5:$A$120=$B66)*ISNUMBER(INDEX(Inputs!$K$5:$AJ$120,0,MATCH(K$2,Inputs!$K$4:$AJ$4,0))))+SUMPRODUCT((Inputs!$C$5:$C$120=$B66)*ISNUMBER(INDEX(Inputs!$K$5:$AJ$120,0,MATCH(K$2,Inputs!$K$4:$AJ$4,0))))+SUMPRODUCT((Inputs!$E$5:$E$120=$B66)*ISNUMBER(INDEX(Inputs!$K$5:$AJ$120,0,MATCH(K$2,Inputs!$K$4:$AJ$4,0))))=0,NA(),SUMPRODUCT((Inputs!$A$5:$A$120=$B66)*Inputs!$B$5:$B$120*(((Inputs!$G$5:$G$120="moeda")+(Inputs!$G$5:$G$120="acoes"))*Inputs!$B$1+((Inputs!$G$5:$G$120&lt;&gt;"moeda")*(Inputs!$G$5:$G$120&lt;&gt;"acoes")))*INDEX(Inputs!$K$5:$AJ$120,0,MATCH(K$2,Inputs!$K$4:$AJ$4,0)))+SUMPRODUCT((Inputs!$C$5:$C$120=$B66)*Inputs!$D$5:$D$120*(((Inputs!$G$5:$G$120="moeda")+(Inputs!$G$5:$G$120="acoes"))*Inputs!$B$1+((Inputs!$G$5:$G$120&lt;&gt;"moeda")*(Inputs!$G$5:$G$120&lt;&gt;"acoes")))*INDEX(Inputs!$K$5:$AJ$120,0,MATCH(K$2,Inputs!$K$4:$AJ$4,0)))+SUMPRODUCT((Inputs!$E$5:$E$120=$B66)*Inputs!$F$5:$F$120*(((Inputs!$G$5:$G$120="moeda")+(Inputs!$G$5:$G$120="acoes"))*Inputs!$B$1+((Inputs!$G$5:$G$120&lt;&gt;"moeda")*(Inputs!$G$5:$G$120&lt;&gt;"acoes")))*INDEX(Inputs!$K$5:$AJ$120,0,MATCH(K$2,Inputs!$K$4:$AJ$4,0)))))</f>
        <v>#N/A</v>
      </c>
      <c r="L66" s="513" t="e">
        <f>IF(ISNA(MATCH(L$2,Inputs!$K$4:$AJ$4,0)),NA(),IF(SUMPRODUCT((Inputs!$A$5:$A$120=$B66)*ISNUMBER(INDEX(Inputs!$K$5:$AJ$120,0,MATCH(L$2,Inputs!$K$4:$AJ$4,0))))+SUMPRODUCT((Inputs!$C$5:$C$120=$B66)*ISNUMBER(INDEX(Inputs!$K$5:$AJ$120,0,MATCH(L$2,Inputs!$K$4:$AJ$4,0))))+SUMPRODUCT((Inputs!$E$5:$E$120=$B66)*ISNUMBER(INDEX(Inputs!$K$5:$AJ$120,0,MATCH(L$2,Inputs!$K$4:$AJ$4,0))))=0,NA(),SUMPRODUCT((Inputs!$A$5:$A$120=$B66)*Inputs!$B$5:$B$120*(((Inputs!$G$5:$G$120="moeda")+(Inputs!$G$5:$G$120="acoes"))*Inputs!$B$1+((Inputs!$G$5:$G$120&lt;&gt;"moeda")*(Inputs!$G$5:$G$120&lt;&gt;"acoes")))*INDEX(Inputs!$K$5:$AJ$120,0,MATCH(L$2,Inputs!$K$4:$AJ$4,0)))+SUMPRODUCT((Inputs!$C$5:$C$120=$B66)*Inputs!$D$5:$D$120*(((Inputs!$G$5:$G$120="moeda")+(Inputs!$G$5:$G$120="acoes"))*Inputs!$B$1+((Inputs!$G$5:$G$120&lt;&gt;"moeda")*(Inputs!$G$5:$G$120&lt;&gt;"acoes")))*INDEX(Inputs!$K$5:$AJ$120,0,MATCH(L$2,Inputs!$K$4:$AJ$4,0)))+SUMPRODUCT((Inputs!$E$5:$E$120=$B66)*Inputs!$F$5:$F$120*(((Inputs!$G$5:$G$120="moeda")+(Inputs!$G$5:$G$120="acoes"))*Inputs!$B$1+((Inputs!$G$5:$G$120&lt;&gt;"moeda")*(Inputs!$G$5:$G$120&lt;&gt;"acoes")))*INDEX(Inputs!$K$5:$AJ$120,0,MATCH(L$2,Inputs!$K$4:$AJ$4,0)))))</f>
        <v>#N/A</v>
      </c>
      <c r="M66" s="514" t="e">
        <f>SUM(I66:L66)</f>
        <v>#N/A</v>
      </c>
      <c r="N66" s="513" t="e">
        <f>IF(ISNA(MATCH(N$2,Inputs!$K$4:$AJ$4,0)),NA(),IF(SUMPRODUCT((Inputs!$A$5:$A$120=$B66)*ISNUMBER(INDEX(Inputs!$K$5:$AJ$120,0,MATCH(N$2,Inputs!$K$4:$AJ$4,0))))+SUMPRODUCT((Inputs!$C$5:$C$120=$B66)*ISNUMBER(INDEX(Inputs!$K$5:$AJ$120,0,MATCH(N$2,Inputs!$K$4:$AJ$4,0))))+SUMPRODUCT((Inputs!$E$5:$E$120=$B66)*ISNUMBER(INDEX(Inputs!$K$5:$AJ$120,0,MATCH(N$2,Inputs!$K$4:$AJ$4,0))))=0,NA(),SUMPRODUCT((Inputs!$A$5:$A$120=$B66)*Inputs!$B$5:$B$120*(((Inputs!$G$5:$G$120="moeda")+(Inputs!$G$5:$G$120="acoes"))*Inputs!$B$1+((Inputs!$G$5:$G$120&lt;&gt;"moeda")*(Inputs!$G$5:$G$120&lt;&gt;"acoes")))*INDEX(Inputs!$K$5:$AJ$120,0,MATCH(N$2,Inputs!$K$4:$AJ$4,0)))+SUMPRODUCT((Inputs!$C$5:$C$120=$B66)*Inputs!$D$5:$D$120*(((Inputs!$G$5:$G$120="moeda")+(Inputs!$G$5:$G$120="acoes"))*Inputs!$B$1+((Inputs!$G$5:$G$120&lt;&gt;"moeda")*(Inputs!$G$5:$G$120&lt;&gt;"acoes")))*INDEX(Inputs!$K$5:$AJ$120,0,MATCH(N$2,Inputs!$K$4:$AJ$4,0)))+SUMPRODUCT((Inputs!$E$5:$E$120=$B66)*Inputs!$F$5:$F$120*(((Inputs!$G$5:$G$120="moeda")+(Inputs!$G$5:$G$120="acoes"))*Inputs!$B$1+((Inputs!$G$5:$G$120&lt;&gt;"moeda")*(Inputs!$G$5:$G$120&lt;&gt;"acoes")))*INDEX(Inputs!$K$5:$AJ$120,0,MATCH(N$2,Inputs!$K$4:$AJ$4,0)))))</f>
        <v>#N/A</v>
      </c>
      <c r="O66" s="513" t="e">
        <f>IF(ISNA(MATCH(O$2,Inputs!$K$4:$AJ$4,0)),NA(),IF(SUMPRODUCT((Inputs!$A$5:$A$120=$B66)*ISNUMBER(INDEX(Inputs!$K$5:$AJ$120,0,MATCH(O$2,Inputs!$K$4:$AJ$4,0))))+SUMPRODUCT((Inputs!$C$5:$C$120=$B66)*ISNUMBER(INDEX(Inputs!$K$5:$AJ$120,0,MATCH(O$2,Inputs!$K$4:$AJ$4,0))))+SUMPRODUCT((Inputs!$E$5:$E$120=$B66)*ISNUMBER(INDEX(Inputs!$K$5:$AJ$120,0,MATCH(O$2,Inputs!$K$4:$AJ$4,0))))=0,NA(),SUMPRODUCT((Inputs!$A$5:$A$120=$B66)*Inputs!$B$5:$B$120*(((Inputs!$G$5:$G$120="moeda")+(Inputs!$G$5:$G$120="acoes"))*Inputs!$B$1+((Inputs!$G$5:$G$120&lt;&gt;"moeda")*(Inputs!$G$5:$G$120&lt;&gt;"acoes")))*INDEX(Inputs!$K$5:$AJ$120,0,MATCH(O$2,Inputs!$K$4:$AJ$4,0)))+SUMPRODUCT((Inputs!$C$5:$C$120=$B66)*Inputs!$D$5:$D$120*(((Inputs!$G$5:$G$120="moeda")+(Inputs!$G$5:$G$120="acoes"))*Inputs!$B$1+((Inputs!$G$5:$G$120&lt;&gt;"moeda")*(Inputs!$G$5:$G$120&lt;&gt;"acoes")))*INDEX(Inputs!$K$5:$AJ$120,0,MATCH(O$2,Inputs!$K$4:$AJ$4,0)))+SUMPRODUCT((Inputs!$E$5:$E$120=$B66)*Inputs!$F$5:$F$120*(((Inputs!$G$5:$G$120="moeda")+(Inputs!$G$5:$G$120="acoes"))*Inputs!$B$1+((Inputs!$G$5:$G$120&lt;&gt;"moeda")*(Inputs!$G$5:$G$120&lt;&gt;"acoes")))*INDEX(Inputs!$K$5:$AJ$120,0,MATCH(O$2,Inputs!$K$4:$AJ$4,0)))))</f>
        <v>#N/A</v>
      </c>
      <c r="P66" s="513" t="e">
        <f>IF(ISNA(MATCH(P$2,Inputs!$K$4:$AJ$4,0)),NA(),IF(SUMPRODUCT((Inputs!$A$5:$A$120=$B66)*ISNUMBER(INDEX(Inputs!$K$5:$AJ$120,0,MATCH(P$2,Inputs!$K$4:$AJ$4,0))))+SUMPRODUCT((Inputs!$C$5:$C$120=$B66)*ISNUMBER(INDEX(Inputs!$K$5:$AJ$120,0,MATCH(P$2,Inputs!$K$4:$AJ$4,0))))+SUMPRODUCT((Inputs!$E$5:$E$120=$B66)*ISNUMBER(INDEX(Inputs!$K$5:$AJ$120,0,MATCH(P$2,Inputs!$K$4:$AJ$4,0))))=0,NA(),SUMPRODUCT((Inputs!$A$5:$A$120=$B66)*Inputs!$B$5:$B$120*(((Inputs!$G$5:$G$120="moeda")+(Inputs!$G$5:$G$120="acoes"))*Inputs!$B$1+((Inputs!$G$5:$G$120&lt;&gt;"moeda")*(Inputs!$G$5:$G$120&lt;&gt;"acoes")))*INDEX(Inputs!$K$5:$AJ$120,0,MATCH(P$2,Inputs!$K$4:$AJ$4,0)))+SUMPRODUCT((Inputs!$C$5:$C$120=$B66)*Inputs!$D$5:$D$120*(((Inputs!$G$5:$G$120="moeda")+(Inputs!$G$5:$G$120="acoes"))*Inputs!$B$1+((Inputs!$G$5:$G$120&lt;&gt;"moeda")*(Inputs!$G$5:$G$120&lt;&gt;"acoes")))*INDEX(Inputs!$K$5:$AJ$120,0,MATCH(P$2,Inputs!$K$4:$AJ$4,0)))+SUMPRODUCT((Inputs!$E$5:$E$120=$B66)*Inputs!$F$5:$F$120*(((Inputs!$G$5:$G$120="moeda")+(Inputs!$G$5:$G$120="acoes"))*Inputs!$B$1+((Inputs!$G$5:$G$120&lt;&gt;"moeda")*(Inputs!$G$5:$G$120&lt;&gt;"acoes")))*INDEX(Inputs!$K$5:$AJ$120,0,MATCH(P$2,Inputs!$K$4:$AJ$4,0)))))</f>
        <v>#N/A</v>
      </c>
      <c r="Q66" s="513" t="e">
        <f>IF(ISNA(MATCH(Q$2,Inputs!$K$4:$AJ$4,0)),NA(),IF(SUMPRODUCT((Inputs!$A$5:$A$120=$B66)*ISNUMBER(INDEX(Inputs!$K$5:$AJ$120,0,MATCH(Q$2,Inputs!$K$4:$AJ$4,0))))+SUMPRODUCT((Inputs!$C$5:$C$120=$B66)*ISNUMBER(INDEX(Inputs!$K$5:$AJ$120,0,MATCH(Q$2,Inputs!$K$4:$AJ$4,0))))+SUMPRODUCT((Inputs!$E$5:$E$120=$B66)*ISNUMBER(INDEX(Inputs!$K$5:$AJ$120,0,MATCH(Q$2,Inputs!$K$4:$AJ$4,0))))=0,NA(),SUMPRODUCT((Inputs!$A$5:$A$120=$B66)*Inputs!$B$5:$B$120*(((Inputs!$G$5:$G$120="moeda")+(Inputs!$G$5:$G$120="acoes"))*Inputs!$B$1+((Inputs!$G$5:$G$120&lt;&gt;"moeda")*(Inputs!$G$5:$G$120&lt;&gt;"acoes")))*INDEX(Inputs!$K$5:$AJ$120,0,MATCH(Q$2,Inputs!$K$4:$AJ$4,0)))+SUMPRODUCT((Inputs!$C$5:$C$120=$B66)*Inputs!$D$5:$D$120*(((Inputs!$G$5:$G$120="moeda")+(Inputs!$G$5:$G$120="acoes"))*Inputs!$B$1+((Inputs!$G$5:$G$120&lt;&gt;"moeda")*(Inputs!$G$5:$G$120&lt;&gt;"acoes")))*INDEX(Inputs!$K$5:$AJ$120,0,MATCH(Q$2,Inputs!$K$4:$AJ$4,0)))+SUMPRODUCT((Inputs!$E$5:$E$120=$B66)*Inputs!$F$5:$F$120*(((Inputs!$G$5:$G$120="moeda")+(Inputs!$G$5:$G$120="acoes"))*Inputs!$B$1+((Inputs!$G$5:$G$120&lt;&gt;"moeda")*(Inputs!$G$5:$G$120&lt;&gt;"acoes")))*INDEX(Inputs!$K$5:$AJ$120,0,MATCH(Q$2,Inputs!$K$4:$AJ$4,0)))))</f>
        <v>#N/A</v>
      </c>
      <c r="R66" s="514" t="e">
        <f>SUM(N66:Q66)</f>
        <v>#N/A</v>
      </c>
      <c r="S66" s="513" t="e">
        <f>IF(ISNA(MATCH(S$2,Inputs!$K$4:$AJ$4,0)),NA(),IF(SUMPRODUCT((Inputs!$A$5:$A$120=$B66)*ISNUMBER(INDEX(Inputs!$K$5:$AJ$120,0,MATCH(S$2,Inputs!$K$4:$AJ$4,0))))+SUMPRODUCT((Inputs!$C$5:$C$120=$B66)*ISNUMBER(INDEX(Inputs!$K$5:$AJ$120,0,MATCH(S$2,Inputs!$K$4:$AJ$4,0))))+SUMPRODUCT((Inputs!$E$5:$E$120=$B66)*ISNUMBER(INDEX(Inputs!$K$5:$AJ$120,0,MATCH(S$2,Inputs!$K$4:$AJ$4,0))))=0,NA(),SUMPRODUCT((Inputs!$A$5:$A$120=$B66)*Inputs!$B$5:$B$120*(((Inputs!$G$5:$G$120="moeda")+(Inputs!$G$5:$G$120="acoes"))*Inputs!$B$1+((Inputs!$G$5:$G$120&lt;&gt;"moeda")*(Inputs!$G$5:$G$120&lt;&gt;"acoes")))*INDEX(Inputs!$K$5:$AJ$120,0,MATCH(S$2,Inputs!$K$4:$AJ$4,0)))+SUMPRODUCT((Inputs!$C$5:$C$120=$B66)*Inputs!$D$5:$D$120*(((Inputs!$G$5:$G$120="moeda")+(Inputs!$G$5:$G$120="acoes"))*Inputs!$B$1+((Inputs!$G$5:$G$120&lt;&gt;"moeda")*(Inputs!$G$5:$G$120&lt;&gt;"acoes")))*INDEX(Inputs!$K$5:$AJ$120,0,MATCH(S$2,Inputs!$K$4:$AJ$4,0)))+SUMPRODUCT((Inputs!$E$5:$E$120=$B66)*Inputs!$F$5:$F$120*(((Inputs!$G$5:$G$120="moeda")+(Inputs!$G$5:$G$120="acoes"))*Inputs!$B$1+((Inputs!$G$5:$G$120&lt;&gt;"moeda")*(Inputs!$G$5:$G$120&lt;&gt;"acoes")))*INDEX(Inputs!$K$5:$AJ$120,0,MATCH(S$2,Inputs!$K$4:$AJ$4,0)))))</f>
        <v>#N/A</v>
      </c>
      <c r="T66" s="513" t="e">
        <f>IF(ISNA(MATCH(T$2,Inputs!$K$4:$AJ$4,0)),NA(),IF(SUMPRODUCT((Inputs!$A$5:$A$120=$B66)*ISNUMBER(INDEX(Inputs!$K$5:$AJ$120,0,MATCH(T$2,Inputs!$K$4:$AJ$4,0))))+SUMPRODUCT((Inputs!$C$5:$C$120=$B66)*ISNUMBER(INDEX(Inputs!$K$5:$AJ$120,0,MATCH(T$2,Inputs!$K$4:$AJ$4,0))))+SUMPRODUCT((Inputs!$E$5:$E$120=$B66)*ISNUMBER(INDEX(Inputs!$K$5:$AJ$120,0,MATCH(T$2,Inputs!$K$4:$AJ$4,0))))=0,NA(),SUMPRODUCT((Inputs!$A$5:$A$120=$B66)*Inputs!$B$5:$B$120*(((Inputs!$G$5:$G$120="moeda")+(Inputs!$G$5:$G$120="acoes"))*Inputs!$B$1+((Inputs!$G$5:$G$120&lt;&gt;"moeda")*(Inputs!$G$5:$G$120&lt;&gt;"acoes")))*INDEX(Inputs!$K$5:$AJ$120,0,MATCH(T$2,Inputs!$K$4:$AJ$4,0)))+SUMPRODUCT((Inputs!$C$5:$C$120=$B66)*Inputs!$D$5:$D$120*(((Inputs!$G$5:$G$120="moeda")+(Inputs!$G$5:$G$120="acoes"))*Inputs!$B$1+((Inputs!$G$5:$G$120&lt;&gt;"moeda")*(Inputs!$G$5:$G$120&lt;&gt;"acoes")))*INDEX(Inputs!$K$5:$AJ$120,0,MATCH(T$2,Inputs!$K$4:$AJ$4,0)))+SUMPRODUCT((Inputs!$E$5:$E$120=$B66)*Inputs!$F$5:$F$120*(((Inputs!$G$5:$G$120="moeda")+(Inputs!$G$5:$G$120="acoes"))*Inputs!$B$1+((Inputs!$G$5:$G$120&lt;&gt;"moeda")*(Inputs!$G$5:$G$120&lt;&gt;"acoes")))*INDEX(Inputs!$K$5:$AJ$120,0,MATCH(T$2,Inputs!$K$4:$AJ$4,0)))))</f>
        <v>#N/A</v>
      </c>
      <c r="U66" s="513">
        <f>IF(ISNA(MATCH(U$2,Inputs!$K$4:$AJ$4,0)),NA(),IF(SUMPRODUCT((Inputs!$A$5:$A$120=$B66)*ISNUMBER(INDEX(Inputs!$K$5:$AJ$120,0,MATCH(U$2,Inputs!$K$4:$AJ$4,0))))+SUMPRODUCT((Inputs!$C$5:$C$120=$B66)*ISNUMBER(INDEX(Inputs!$K$5:$AJ$120,0,MATCH(U$2,Inputs!$K$4:$AJ$4,0))))+SUMPRODUCT((Inputs!$E$5:$E$120=$B66)*ISNUMBER(INDEX(Inputs!$K$5:$AJ$120,0,MATCH(U$2,Inputs!$K$4:$AJ$4,0))))=0,NA(),SUMPRODUCT((Inputs!$A$5:$A$120=$B66)*Inputs!$B$5:$B$120*(((Inputs!$G$5:$G$120="moeda")+(Inputs!$G$5:$G$120="acoes"))*Inputs!$B$1+((Inputs!$G$5:$G$120&lt;&gt;"moeda")*(Inputs!$G$5:$G$120&lt;&gt;"acoes")))*INDEX(Inputs!$K$5:$AJ$120,0,MATCH(U$2,Inputs!$K$4:$AJ$4,0)))+SUMPRODUCT((Inputs!$C$5:$C$120=$B66)*Inputs!$D$5:$D$120*(((Inputs!$G$5:$G$120="moeda")+(Inputs!$G$5:$G$120="acoes"))*Inputs!$B$1+((Inputs!$G$5:$G$120&lt;&gt;"moeda")*(Inputs!$G$5:$G$120&lt;&gt;"acoes")))*INDEX(Inputs!$K$5:$AJ$120,0,MATCH(U$2,Inputs!$K$4:$AJ$4,0)))+SUMPRODUCT((Inputs!$E$5:$E$120=$B66)*Inputs!$F$5:$F$120*(((Inputs!$G$5:$G$120="moeda")+(Inputs!$G$5:$G$120="acoes"))*Inputs!$B$1+((Inputs!$G$5:$G$120&lt;&gt;"moeda")*(Inputs!$G$5:$G$120&lt;&gt;"acoes")))*INDEX(Inputs!$K$5:$AJ$120,0,MATCH(U$2,Inputs!$K$4:$AJ$4,0)))))</f>
        <v>1</v>
      </c>
      <c r="V66" s="513">
        <f>IF(ISNA(MATCH(V$2,Inputs!$K$4:$AJ$4,0)),NA(),IF(SUMPRODUCT((Inputs!$A$5:$A$120=$B66)*ISNUMBER(INDEX(Inputs!$K$5:$AJ$120,0,MATCH(V$2,Inputs!$K$4:$AJ$4,0))))+SUMPRODUCT((Inputs!$C$5:$C$120=$B66)*ISNUMBER(INDEX(Inputs!$K$5:$AJ$120,0,MATCH(V$2,Inputs!$K$4:$AJ$4,0))))+SUMPRODUCT((Inputs!$E$5:$E$120=$B66)*ISNUMBER(INDEX(Inputs!$K$5:$AJ$120,0,MATCH(V$2,Inputs!$K$4:$AJ$4,0))))=0,NA(),SUMPRODUCT((Inputs!$A$5:$A$120=$B66)*Inputs!$B$5:$B$120*(((Inputs!$G$5:$G$120="moeda")+(Inputs!$G$5:$G$120="acoes"))*Inputs!$B$1+((Inputs!$G$5:$G$120&lt;&gt;"moeda")*(Inputs!$G$5:$G$120&lt;&gt;"acoes")))*INDEX(Inputs!$K$5:$AJ$120,0,MATCH(V$2,Inputs!$K$4:$AJ$4,0)))+SUMPRODUCT((Inputs!$C$5:$C$120=$B66)*Inputs!$D$5:$D$120*(((Inputs!$G$5:$G$120="moeda")+(Inputs!$G$5:$G$120="acoes"))*Inputs!$B$1+((Inputs!$G$5:$G$120&lt;&gt;"moeda")*(Inputs!$G$5:$G$120&lt;&gt;"acoes")))*INDEX(Inputs!$K$5:$AJ$120,0,MATCH(V$2,Inputs!$K$4:$AJ$4,0)))+SUMPRODUCT((Inputs!$E$5:$E$120=$B66)*Inputs!$F$5:$F$120*(((Inputs!$G$5:$G$120="moeda")+(Inputs!$G$5:$G$120="acoes"))*Inputs!$B$1+((Inputs!$G$5:$G$120&lt;&gt;"moeda")*(Inputs!$G$5:$G$120&lt;&gt;"acoes")))*INDEX(Inputs!$K$5:$AJ$120,0,MATCH(V$2,Inputs!$K$4:$AJ$4,0)))))</f>
        <v>52</v>
      </c>
      <c r="W66" s="514" t="e">
        <f>SUM(S66:V66)</f>
        <v>#N/A</v>
      </c>
      <c r="X66" s="513">
        <f>IF(ISNA(MATCH(X$2,Inputs!$K$4:$AJ$4,0)),NA(),IF(SUMPRODUCT((Inputs!$A$5:$A$120=$B66)*ISNUMBER(INDEX(Inputs!$K$5:$AJ$120,0,MATCH(X$2,Inputs!$K$4:$AJ$4,0))))+SUMPRODUCT((Inputs!$C$5:$C$120=$B66)*ISNUMBER(INDEX(Inputs!$K$5:$AJ$120,0,MATCH(X$2,Inputs!$K$4:$AJ$4,0))))+SUMPRODUCT((Inputs!$E$5:$E$120=$B66)*ISNUMBER(INDEX(Inputs!$K$5:$AJ$120,0,MATCH(X$2,Inputs!$K$4:$AJ$4,0))))=0,NA(),SUMPRODUCT((Inputs!$A$5:$A$120=$B66)*Inputs!$B$5:$B$120*(((Inputs!$G$5:$G$120="moeda")+(Inputs!$G$5:$G$120="acoes"))*Inputs!$B$1+((Inputs!$G$5:$G$120&lt;&gt;"moeda")*(Inputs!$G$5:$G$120&lt;&gt;"acoes")))*INDEX(Inputs!$K$5:$AJ$120,0,MATCH(X$2,Inputs!$K$4:$AJ$4,0)))+SUMPRODUCT((Inputs!$C$5:$C$120=$B66)*Inputs!$D$5:$D$120*(((Inputs!$G$5:$G$120="moeda")+(Inputs!$G$5:$G$120="acoes"))*Inputs!$B$1+((Inputs!$G$5:$G$120&lt;&gt;"moeda")*(Inputs!$G$5:$G$120&lt;&gt;"acoes")))*INDEX(Inputs!$K$5:$AJ$120,0,MATCH(X$2,Inputs!$K$4:$AJ$4,0)))+SUMPRODUCT((Inputs!$E$5:$E$120=$B66)*Inputs!$F$5:$F$120*(((Inputs!$G$5:$G$120="moeda")+(Inputs!$G$5:$G$120="acoes"))*Inputs!$B$1+((Inputs!$G$5:$G$120&lt;&gt;"moeda")*(Inputs!$G$5:$G$120&lt;&gt;"acoes")))*INDEX(Inputs!$K$5:$AJ$120,0,MATCH(X$2,Inputs!$K$4:$AJ$4,0)))))</f>
        <v>0</v>
      </c>
      <c r="Y66" s="513">
        <f>IF(ISNA(MATCH(Y$2,Inputs!$K$4:$AJ$4,0)),NA(),IF(SUMPRODUCT((Inputs!$A$5:$A$120=$B66)*ISNUMBER(INDEX(Inputs!$K$5:$AJ$120,0,MATCH(Y$2,Inputs!$K$4:$AJ$4,0))))+SUMPRODUCT((Inputs!$C$5:$C$120=$B66)*ISNUMBER(INDEX(Inputs!$K$5:$AJ$120,0,MATCH(Y$2,Inputs!$K$4:$AJ$4,0))))+SUMPRODUCT((Inputs!$E$5:$E$120=$B66)*ISNUMBER(INDEX(Inputs!$K$5:$AJ$120,0,MATCH(Y$2,Inputs!$K$4:$AJ$4,0))))=0,NA(),SUMPRODUCT((Inputs!$A$5:$A$120=$B66)*Inputs!$B$5:$B$120*(((Inputs!$G$5:$G$120="moeda")+(Inputs!$G$5:$G$120="acoes"))*Inputs!$B$1+((Inputs!$G$5:$G$120&lt;&gt;"moeda")*(Inputs!$G$5:$G$120&lt;&gt;"acoes")))*INDEX(Inputs!$K$5:$AJ$120,0,MATCH(Y$2,Inputs!$K$4:$AJ$4,0)))+SUMPRODUCT((Inputs!$C$5:$C$120=$B66)*Inputs!$D$5:$D$120*(((Inputs!$G$5:$G$120="moeda")+(Inputs!$G$5:$G$120="acoes"))*Inputs!$B$1+((Inputs!$G$5:$G$120&lt;&gt;"moeda")*(Inputs!$G$5:$G$120&lt;&gt;"acoes")))*INDEX(Inputs!$K$5:$AJ$120,0,MATCH(Y$2,Inputs!$K$4:$AJ$4,0)))+SUMPRODUCT((Inputs!$E$5:$E$120=$B66)*Inputs!$F$5:$F$120*(((Inputs!$G$5:$G$120="moeda")+(Inputs!$G$5:$G$120="acoes"))*Inputs!$B$1+((Inputs!$G$5:$G$120&lt;&gt;"moeda")*(Inputs!$G$5:$G$120&lt;&gt;"acoes")))*INDEX(Inputs!$K$5:$AJ$120,0,MATCH(Y$2,Inputs!$K$4:$AJ$4,0)))))</f>
        <v>2</v>
      </c>
      <c r="Z66" s="513">
        <f>IF(ISNA(MATCH(Z$2,Inputs!$K$4:$AJ$4,0)),NA(),IF(SUMPRODUCT((Inputs!$A$5:$A$120=$B66)*ISNUMBER(INDEX(Inputs!$K$5:$AJ$120,0,MATCH(Z$2,Inputs!$K$4:$AJ$4,0))))+SUMPRODUCT((Inputs!$C$5:$C$120=$B66)*ISNUMBER(INDEX(Inputs!$K$5:$AJ$120,0,MATCH(Z$2,Inputs!$K$4:$AJ$4,0))))+SUMPRODUCT((Inputs!$E$5:$E$120=$B66)*ISNUMBER(INDEX(Inputs!$K$5:$AJ$120,0,MATCH(Z$2,Inputs!$K$4:$AJ$4,0))))=0,NA(),SUMPRODUCT((Inputs!$A$5:$A$120=$B66)*Inputs!$B$5:$B$120*(((Inputs!$G$5:$G$120="moeda")+(Inputs!$G$5:$G$120="acoes"))*Inputs!$B$1+((Inputs!$G$5:$G$120&lt;&gt;"moeda")*(Inputs!$G$5:$G$120&lt;&gt;"acoes")))*INDEX(Inputs!$K$5:$AJ$120,0,MATCH(Z$2,Inputs!$K$4:$AJ$4,0)))+SUMPRODUCT((Inputs!$C$5:$C$120=$B66)*Inputs!$D$5:$D$120*(((Inputs!$G$5:$G$120="moeda")+(Inputs!$G$5:$G$120="acoes"))*Inputs!$B$1+((Inputs!$G$5:$G$120&lt;&gt;"moeda")*(Inputs!$G$5:$G$120&lt;&gt;"acoes")))*INDEX(Inputs!$K$5:$AJ$120,0,MATCH(Z$2,Inputs!$K$4:$AJ$4,0)))+SUMPRODUCT((Inputs!$E$5:$E$120=$B66)*Inputs!$F$5:$F$120*(((Inputs!$G$5:$G$120="moeda")+(Inputs!$G$5:$G$120="acoes"))*Inputs!$B$1+((Inputs!$G$5:$G$120&lt;&gt;"moeda")*(Inputs!$G$5:$G$120&lt;&gt;"acoes")))*INDEX(Inputs!$K$5:$AJ$120,0,MATCH(Z$2,Inputs!$K$4:$AJ$4,0)))))</f>
        <v>2</v>
      </c>
      <c r="AA66" s="513">
        <f>IF(ISNA(MATCH(AA$2,Inputs!$K$4:$AJ$4,0)),NA(),IF(SUMPRODUCT((Inputs!$A$5:$A$120=$B66)*ISNUMBER(INDEX(Inputs!$K$5:$AJ$120,0,MATCH(AA$2,Inputs!$K$4:$AJ$4,0))))+SUMPRODUCT((Inputs!$C$5:$C$120=$B66)*ISNUMBER(INDEX(Inputs!$K$5:$AJ$120,0,MATCH(AA$2,Inputs!$K$4:$AJ$4,0))))+SUMPRODUCT((Inputs!$E$5:$E$120=$B66)*ISNUMBER(INDEX(Inputs!$K$5:$AJ$120,0,MATCH(AA$2,Inputs!$K$4:$AJ$4,0))))=0,NA(),SUMPRODUCT((Inputs!$A$5:$A$120=$B66)*Inputs!$B$5:$B$120*(((Inputs!$G$5:$G$120="moeda")+(Inputs!$G$5:$G$120="acoes"))*Inputs!$B$1+((Inputs!$G$5:$G$120&lt;&gt;"moeda")*(Inputs!$G$5:$G$120&lt;&gt;"acoes")))*INDEX(Inputs!$K$5:$AJ$120,0,MATCH(AA$2,Inputs!$K$4:$AJ$4,0)))+SUMPRODUCT((Inputs!$C$5:$C$120=$B66)*Inputs!$D$5:$D$120*(((Inputs!$G$5:$G$120="moeda")+(Inputs!$G$5:$G$120="acoes"))*Inputs!$B$1+((Inputs!$G$5:$G$120&lt;&gt;"moeda")*(Inputs!$G$5:$G$120&lt;&gt;"acoes")))*INDEX(Inputs!$K$5:$AJ$120,0,MATCH(AA$2,Inputs!$K$4:$AJ$4,0)))+SUMPRODUCT((Inputs!$E$5:$E$120=$B66)*Inputs!$F$5:$F$120*(((Inputs!$G$5:$G$120="moeda")+(Inputs!$G$5:$G$120="acoes"))*Inputs!$B$1+((Inputs!$G$5:$G$120&lt;&gt;"moeda")*(Inputs!$G$5:$G$120&lt;&gt;"acoes")))*INDEX(Inputs!$K$5:$AJ$120,0,MATCH(AA$2,Inputs!$K$4:$AJ$4,0)))))</f>
        <v>-1</v>
      </c>
      <c r="AB66" s="514">
        <f>SUM(X66:AA66)</f>
        <v>3</v>
      </c>
      <c r="AC66" s="513">
        <f>IF(ISNA(MATCH(AC$2,Inputs!$K$4:$AJ$4,0)),NA(),IF(SUMPRODUCT((Inputs!$A$5:$A$120=$B66)*ISNUMBER(INDEX(Inputs!$K$5:$AJ$120,0,MATCH(AC$2,Inputs!$K$4:$AJ$4,0))))+SUMPRODUCT((Inputs!$C$5:$C$120=$B66)*ISNUMBER(INDEX(Inputs!$K$5:$AJ$120,0,MATCH(AC$2,Inputs!$K$4:$AJ$4,0))))+SUMPRODUCT((Inputs!$E$5:$E$120=$B66)*ISNUMBER(INDEX(Inputs!$K$5:$AJ$120,0,MATCH(AC$2,Inputs!$K$4:$AJ$4,0))))=0,NA(),SUMPRODUCT((Inputs!$A$5:$A$120=$B66)*Inputs!$B$5:$B$120*(((Inputs!$G$5:$G$120="moeda")+(Inputs!$G$5:$G$120="acoes"))*Inputs!$B$1+((Inputs!$G$5:$G$120&lt;&gt;"moeda")*(Inputs!$G$5:$G$120&lt;&gt;"acoes")))*INDEX(Inputs!$K$5:$AJ$120,0,MATCH(AC$2,Inputs!$K$4:$AJ$4,0)))+SUMPRODUCT((Inputs!$C$5:$C$120=$B66)*Inputs!$D$5:$D$120*(((Inputs!$G$5:$G$120="moeda")+(Inputs!$G$5:$G$120="acoes"))*Inputs!$B$1+((Inputs!$G$5:$G$120&lt;&gt;"moeda")*(Inputs!$G$5:$G$120&lt;&gt;"acoes")))*INDEX(Inputs!$K$5:$AJ$120,0,MATCH(AC$2,Inputs!$K$4:$AJ$4,0)))+SUMPRODUCT((Inputs!$E$5:$E$120=$B66)*Inputs!$F$5:$F$120*(((Inputs!$G$5:$G$120="moeda")+(Inputs!$G$5:$G$120="acoes"))*Inputs!$B$1+((Inputs!$G$5:$G$120&lt;&gt;"moeda")*(Inputs!$G$5:$G$120&lt;&gt;"acoes")))*INDEX(Inputs!$K$5:$AJ$120,0,MATCH(AC$2,Inputs!$K$4:$AJ$4,0)))))</f>
        <v>0</v>
      </c>
      <c r="AD66" s="513">
        <f>IF(ISNA(MATCH(AD$2,Inputs!$K$4:$AJ$4,0)),NA(),IF(SUMPRODUCT((Inputs!$A$5:$A$120=$B66)*ISNUMBER(INDEX(Inputs!$K$5:$AJ$120,0,MATCH(AD$2,Inputs!$K$4:$AJ$4,0))))+SUMPRODUCT((Inputs!$C$5:$C$120=$B66)*ISNUMBER(INDEX(Inputs!$K$5:$AJ$120,0,MATCH(AD$2,Inputs!$K$4:$AJ$4,0))))+SUMPRODUCT((Inputs!$E$5:$E$120=$B66)*ISNUMBER(INDEX(Inputs!$K$5:$AJ$120,0,MATCH(AD$2,Inputs!$K$4:$AJ$4,0))))=0,NA(),SUMPRODUCT((Inputs!$A$5:$A$120=$B66)*Inputs!$B$5:$B$120*(((Inputs!$G$5:$G$120="moeda")+(Inputs!$G$5:$G$120="acoes"))*Inputs!$B$1+((Inputs!$G$5:$G$120&lt;&gt;"moeda")*(Inputs!$G$5:$G$120&lt;&gt;"acoes")))*INDEX(Inputs!$K$5:$AJ$120,0,MATCH(AD$2,Inputs!$K$4:$AJ$4,0)))+SUMPRODUCT((Inputs!$C$5:$C$120=$B66)*Inputs!$D$5:$D$120*(((Inputs!$G$5:$G$120="moeda")+(Inputs!$G$5:$G$120="acoes"))*Inputs!$B$1+((Inputs!$G$5:$G$120&lt;&gt;"moeda")*(Inputs!$G$5:$G$120&lt;&gt;"acoes")))*INDEX(Inputs!$K$5:$AJ$120,0,MATCH(AD$2,Inputs!$K$4:$AJ$4,0)))+SUMPRODUCT((Inputs!$E$5:$E$120=$B66)*Inputs!$F$5:$F$120*(((Inputs!$G$5:$G$120="moeda")+(Inputs!$G$5:$G$120="acoes"))*Inputs!$B$1+((Inputs!$G$5:$G$120&lt;&gt;"moeda")*(Inputs!$G$5:$G$120&lt;&gt;"acoes")))*INDEX(Inputs!$K$5:$AJ$120,0,MATCH(AD$2,Inputs!$K$4:$AJ$4,0)))))</f>
        <v>2</v>
      </c>
      <c r="AE66" s="513" t="e">
        <f>IF(ISNA(MATCH(AE$2,Inputs!$K$4:$AJ$4,0)),NA(),IF(SUMPRODUCT((Inputs!$A$5:$A$120=$B66)*ISNUMBER(INDEX(Inputs!$K$5:$AJ$120,0,MATCH(AE$2,Inputs!$K$4:$AJ$4,0))))+SUMPRODUCT((Inputs!$C$5:$C$120=$B66)*ISNUMBER(INDEX(Inputs!$K$5:$AJ$120,0,MATCH(AE$2,Inputs!$K$4:$AJ$4,0))))+SUMPRODUCT((Inputs!$E$5:$E$120=$B66)*ISNUMBER(INDEX(Inputs!$K$5:$AJ$120,0,MATCH(AE$2,Inputs!$K$4:$AJ$4,0))))=0,NA(),SUMPRODUCT((Inputs!$A$5:$A$120=$B66)*Inputs!$B$5:$B$120*(((Inputs!$G$5:$G$120="moeda")+(Inputs!$G$5:$G$120="acoes"))*Inputs!$B$1+((Inputs!$G$5:$G$120&lt;&gt;"moeda")*(Inputs!$G$5:$G$120&lt;&gt;"acoes")))*INDEX(Inputs!$K$5:$AJ$120,0,MATCH(AE$2,Inputs!$K$4:$AJ$4,0)))+SUMPRODUCT((Inputs!$C$5:$C$120=$B66)*Inputs!$D$5:$D$120*(((Inputs!$G$5:$G$120="moeda")+(Inputs!$G$5:$G$120="acoes"))*Inputs!$B$1+((Inputs!$G$5:$G$120&lt;&gt;"moeda")*(Inputs!$G$5:$G$120&lt;&gt;"acoes")))*INDEX(Inputs!$K$5:$AJ$120,0,MATCH(AE$2,Inputs!$K$4:$AJ$4,0)))+SUMPRODUCT((Inputs!$E$5:$E$120=$B66)*Inputs!$F$5:$F$120*(((Inputs!$G$5:$G$120="moeda")+(Inputs!$G$5:$G$120="acoes"))*Inputs!$B$1+((Inputs!$G$5:$G$120&lt;&gt;"moeda")*(Inputs!$G$5:$G$120&lt;&gt;"acoes")))*INDEX(Inputs!$K$5:$AJ$120,0,MATCH(AE$2,Inputs!$K$4:$AJ$4,0)))))</f>
        <v>#N/A</v>
      </c>
      <c r="AF66" s="513" t="e">
        <f>IF(ISNA(MATCH(AF$2,Inputs!$K$4:$AJ$4,0)),NA(),IF(SUMPRODUCT((Inputs!$A$5:$A$120=$B66)*ISNUMBER(INDEX(Inputs!$K$5:$AJ$120,0,MATCH(AF$2,Inputs!$K$4:$AJ$4,0))))+SUMPRODUCT((Inputs!$C$5:$C$120=$B66)*ISNUMBER(INDEX(Inputs!$K$5:$AJ$120,0,MATCH(AF$2,Inputs!$K$4:$AJ$4,0))))+SUMPRODUCT((Inputs!$E$5:$E$120=$B66)*ISNUMBER(INDEX(Inputs!$K$5:$AJ$120,0,MATCH(AF$2,Inputs!$K$4:$AJ$4,0))))=0,NA(),SUMPRODUCT((Inputs!$A$5:$A$120=$B66)*Inputs!$B$5:$B$120*(((Inputs!$G$5:$G$120="moeda")+(Inputs!$G$5:$G$120="acoes"))*Inputs!$B$1+((Inputs!$G$5:$G$120&lt;&gt;"moeda")*(Inputs!$G$5:$G$120&lt;&gt;"acoes")))*INDEX(Inputs!$K$5:$AJ$120,0,MATCH(AF$2,Inputs!$K$4:$AJ$4,0)))+SUMPRODUCT((Inputs!$C$5:$C$120=$B66)*Inputs!$D$5:$D$120*(((Inputs!$G$5:$G$120="moeda")+(Inputs!$G$5:$G$120="acoes"))*Inputs!$B$1+((Inputs!$G$5:$G$120&lt;&gt;"moeda")*(Inputs!$G$5:$G$120&lt;&gt;"acoes")))*INDEX(Inputs!$K$5:$AJ$120,0,MATCH(AF$2,Inputs!$K$4:$AJ$4,0)))+SUMPRODUCT((Inputs!$E$5:$E$120=$B66)*Inputs!$F$5:$F$120*(((Inputs!$G$5:$G$120="moeda")+(Inputs!$G$5:$G$120="acoes"))*Inputs!$B$1+((Inputs!$G$5:$G$120&lt;&gt;"moeda")*(Inputs!$G$5:$G$120&lt;&gt;"acoes")))*INDEX(Inputs!$K$5:$AJ$120,0,MATCH(AF$2,Inputs!$K$4:$AJ$4,0)))))</f>
        <v>#N/A</v>
      </c>
      <c r="AG66" s="514" t="e">
        <f>SUM(AC66:AF66)</f>
        <v>#N/A</v>
      </c>
      <c r="AH66" s="513" t="e">
        <f>IF(ISNA(MATCH(AH$2,Inputs!$K$4:$AJ$4,0)),NA(),IF(SUMPRODUCT((Inputs!$A$5:$A$120=$B66)*ISNUMBER(INDEX(Inputs!$K$5:$AJ$120,0,MATCH(AH$2,Inputs!$K$4:$AJ$4,0))))+SUMPRODUCT((Inputs!$C$5:$C$120=$B66)*ISNUMBER(INDEX(Inputs!$K$5:$AJ$120,0,MATCH(AH$2,Inputs!$K$4:$AJ$4,0))))+SUMPRODUCT((Inputs!$E$5:$E$120=$B66)*ISNUMBER(INDEX(Inputs!$K$5:$AJ$120,0,MATCH(AH$2,Inputs!$K$4:$AJ$4,0))))=0,NA(),SUMPRODUCT((Inputs!$A$5:$A$120=$B66)*Inputs!$B$5:$B$120*(((Inputs!$G$5:$G$120="moeda")+(Inputs!$G$5:$G$120="acoes"))*Inputs!$B$1+((Inputs!$G$5:$G$120&lt;&gt;"moeda")*(Inputs!$G$5:$G$120&lt;&gt;"acoes")))*INDEX(Inputs!$K$5:$AJ$120,0,MATCH(AH$2,Inputs!$K$4:$AJ$4,0)))+SUMPRODUCT((Inputs!$C$5:$C$120=$B66)*Inputs!$D$5:$D$120*(((Inputs!$G$5:$G$120="moeda")+(Inputs!$G$5:$G$120="acoes"))*Inputs!$B$1+((Inputs!$G$5:$G$120&lt;&gt;"moeda")*(Inputs!$G$5:$G$120&lt;&gt;"acoes")))*INDEX(Inputs!$K$5:$AJ$120,0,MATCH(AH$2,Inputs!$K$4:$AJ$4,0)))+SUMPRODUCT((Inputs!$E$5:$E$120=$B66)*Inputs!$F$5:$F$120*(((Inputs!$G$5:$G$120="moeda")+(Inputs!$G$5:$G$120="acoes"))*Inputs!$B$1+((Inputs!$G$5:$G$120&lt;&gt;"moeda")*(Inputs!$G$5:$G$120&lt;&gt;"acoes")))*INDEX(Inputs!$K$5:$AJ$120,0,MATCH(AH$2,Inputs!$K$4:$AJ$4,0)))))</f>
        <v>#N/A</v>
      </c>
      <c r="AI66" s="513" t="e">
        <f>IF(ISNA(MATCH(AI$2,Inputs!$K$4:$AJ$4,0)),NA(),IF(SUMPRODUCT((Inputs!$A$5:$A$120=$B66)*ISNUMBER(INDEX(Inputs!$K$5:$AJ$120,0,MATCH(AI$2,Inputs!$K$4:$AJ$4,0))))+SUMPRODUCT((Inputs!$C$5:$C$120=$B66)*ISNUMBER(INDEX(Inputs!$K$5:$AJ$120,0,MATCH(AI$2,Inputs!$K$4:$AJ$4,0))))+SUMPRODUCT((Inputs!$E$5:$E$120=$B66)*ISNUMBER(INDEX(Inputs!$K$5:$AJ$120,0,MATCH(AI$2,Inputs!$K$4:$AJ$4,0))))=0,NA(),SUMPRODUCT((Inputs!$A$5:$A$120=$B66)*Inputs!$B$5:$B$120*(((Inputs!$G$5:$G$120="moeda")+(Inputs!$G$5:$G$120="acoes"))*Inputs!$B$1+((Inputs!$G$5:$G$120&lt;&gt;"moeda")*(Inputs!$G$5:$G$120&lt;&gt;"acoes")))*INDEX(Inputs!$K$5:$AJ$120,0,MATCH(AI$2,Inputs!$K$4:$AJ$4,0)))+SUMPRODUCT((Inputs!$C$5:$C$120=$B66)*Inputs!$D$5:$D$120*(((Inputs!$G$5:$G$120="moeda")+(Inputs!$G$5:$G$120="acoes"))*Inputs!$B$1+((Inputs!$G$5:$G$120&lt;&gt;"moeda")*(Inputs!$G$5:$G$120&lt;&gt;"acoes")))*INDEX(Inputs!$K$5:$AJ$120,0,MATCH(AI$2,Inputs!$K$4:$AJ$4,0)))+SUMPRODUCT((Inputs!$E$5:$E$120=$B66)*Inputs!$F$5:$F$120*(((Inputs!$G$5:$G$120="moeda")+(Inputs!$G$5:$G$120="acoes"))*Inputs!$B$1+((Inputs!$G$5:$G$120&lt;&gt;"moeda")*(Inputs!$G$5:$G$120&lt;&gt;"acoes")))*INDEX(Inputs!$K$5:$AJ$120,0,MATCH(AI$2,Inputs!$K$4:$AJ$4,0)))))</f>
        <v>#N/A</v>
      </c>
      <c r="AJ66" s="513" t="e">
        <f>IF(ISNA(MATCH(AJ$2,Inputs!$K$4:$AJ$4,0)),NA(),IF(SUMPRODUCT((Inputs!$A$5:$A$120=$B66)*ISNUMBER(INDEX(Inputs!$K$5:$AJ$120,0,MATCH(AJ$2,Inputs!$K$4:$AJ$4,0))))+SUMPRODUCT((Inputs!$C$5:$C$120=$B66)*ISNUMBER(INDEX(Inputs!$K$5:$AJ$120,0,MATCH(AJ$2,Inputs!$K$4:$AJ$4,0))))+SUMPRODUCT((Inputs!$E$5:$E$120=$B66)*ISNUMBER(INDEX(Inputs!$K$5:$AJ$120,0,MATCH(AJ$2,Inputs!$K$4:$AJ$4,0))))=0,NA(),SUMPRODUCT((Inputs!$A$5:$A$120=$B66)*Inputs!$B$5:$B$120*(((Inputs!$G$5:$G$120="moeda")+(Inputs!$G$5:$G$120="acoes"))*Inputs!$B$1+((Inputs!$G$5:$G$120&lt;&gt;"moeda")*(Inputs!$G$5:$G$120&lt;&gt;"acoes")))*INDEX(Inputs!$K$5:$AJ$120,0,MATCH(AJ$2,Inputs!$K$4:$AJ$4,0)))+SUMPRODUCT((Inputs!$C$5:$C$120=$B66)*Inputs!$D$5:$D$120*(((Inputs!$G$5:$G$120="moeda")+(Inputs!$G$5:$G$120="acoes"))*Inputs!$B$1+((Inputs!$G$5:$G$120&lt;&gt;"moeda")*(Inputs!$G$5:$G$120&lt;&gt;"acoes")))*INDEX(Inputs!$K$5:$AJ$120,0,MATCH(AJ$2,Inputs!$K$4:$AJ$4,0)))+SUMPRODUCT((Inputs!$E$5:$E$120=$B66)*Inputs!$F$5:$F$120*(((Inputs!$G$5:$G$120="moeda")+(Inputs!$G$5:$G$120="acoes"))*Inputs!$B$1+((Inputs!$G$5:$G$120&lt;&gt;"moeda")*(Inputs!$G$5:$G$120&lt;&gt;"acoes")))*INDEX(Inputs!$K$5:$AJ$120,0,MATCH(AJ$2,Inputs!$K$4:$AJ$4,0)))))</f>
        <v>#N/A</v>
      </c>
      <c r="AK66" s="513" t="e">
        <f>IF(ISNA(MATCH(AK$2,Inputs!$K$4:$AJ$4,0)),NA(),IF(SUMPRODUCT((Inputs!$A$5:$A$120=$B66)*ISNUMBER(INDEX(Inputs!$K$5:$AJ$120,0,MATCH(AK$2,Inputs!$K$4:$AJ$4,0))))+SUMPRODUCT((Inputs!$C$5:$C$120=$B66)*ISNUMBER(INDEX(Inputs!$K$5:$AJ$120,0,MATCH(AK$2,Inputs!$K$4:$AJ$4,0))))+SUMPRODUCT((Inputs!$E$5:$E$120=$B66)*ISNUMBER(INDEX(Inputs!$K$5:$AJ$120,0,MATCH(AK$2,Inputs!$K$4:$AJ$4,0))))=0,NA(),SUMPRODUCT((Inputs!$A$5:$A$120=$B66)*Inputs!$B$5:$B$120*(((Inputs!$G$5:$G$120="moeda")+(Inputs!$G$5:$G$120="acoes"))*Inputs!$B$1+((Inputs!$G$5:$G$120&lt;&gt;"moeda")*(Inputs!$G$5:$G$120&lt;&gt;"acoes")))*INDEX(Inputs!$K$5:$AJ$120,0,MATCH(AK$2,Inputs!$K$4:$AJ$4,0)))+SUMPRODUCT((Inputs!$C$5:$C$120=$B66)*Inputs!$D$5:$D$120*(((Inputs!$G$5:$G$120="moeda")+(Inputs!$G$5:$G$120="acoes"))*Inputs!$B$1+((Inputs!$G$5:$G$120&lt;&gt;"moeda")*(Inputs!$G$5:$G$120&lt;&gt;"acoes")))*INDEX(Inputs!$K$5:$AJ$120,0,MATCH(AK$2,Inputs!$K$4:$AJ$4,0)))+SUMPRODUCT((Inputs!$E$5:$E$120=$B66)*Inputs!$F$5:$F$120*(((Inputs!$G$5:$G$120="moeda")+(Inputs!$G$5:$G$120="acoes"))*Inputs!$B$1+((Inputs!$G$5:$G$120&lt;&gt;"moeda")*(Inputs!$G$5:$G$120&lt;&gt;"acoes")))*INDEX(Inputs!$K$5:$AJ$120,0,MATCH(AK$2,Inputs!$K$4:$AJ$4,0)))))</f>
        <v>#N/A</v>
      </c>
      <c r="AL66" s="514" t="e">
        <f>SUM(AH66:AK66)</f>
        <v>#N/A</v>
      </c>
    </row>
  </sheetData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C392"/>
  <sheetViews>
    <sheetView showFormulas="0" showGridLines="0" showRowColHeaders="1" showZeros="1" rightToLeft="0" tabSelected="1" showOutlineSymbols="1" defaultGridColor="1" view="normal" topLeftCell="A1" colorId="64" zoomScale="85" zoomScaleNormal="85" zoomScalePageLayoutView="100" workbookViewId="0">
      <pane xSplit="3" ySplit="369" topLeftCell="D370" activePane="bottomRight" state="frozen"/>
      <selection pane="topRight" activeCell="A1" sqref="A1"/>
      <selection pane="bottomLeft" activeCell="A1" sqref="A1"/>
      <selection pane="bottomRight" activeCell="A1" activeCellId="0" sqref="A1"/>
      <selection pane="topRight" activeCell="D1" activeCellId="0" sqref="D1"/>
      <selection pane="bottomLeft" activeCell="A336" activeCellId="0" sqref="A336"/>
      <selection pane="bottomRight" activeCell="D298" activeCellId="0" sqref="D298"/>
    </sheetView>
  </sheetViews>
  <sheetFormatPr baseColWidth="8" defaultColWidth="9.140625" defaultRowHeight="12.75" zeroHeight="0" outlineLevelRow="1"/>
  <cols>
    <col width="1.71" customWidth="1" style="259" min="1" max="1"/>
    <col outlineLevel="1" width="7.85" customWidth="1" style="259" min="2" max="2"/>
    <col width="84.70999999999999" customWidth="1" style="260" min="3" max="3"/>
    <col outlineLevel="1" width="11.42" customWidth="1" style="260" min="4" max="7"/>
    <col width="11.42" customWidth="1" style="260" min="8" max="8"/>
    <col outlineLevel="1" width="11.42" customWidth="1" style="260" min="9" max="12"/>
    <col width="11.42" customWidth="1" style="260" min="13" max="13"/>
    <col outlineLevel="1" width="11.42" customWidth="1" style="260" min="14" max="17"/>
    <col width="11.42" customWidth="1" style="260" min="18" max="18"/>
    <col outlineLevel="1" width="11.42" customWidth="1" style="260" min="19" max="22"/>
    <col width="11.42" customWidth="1" style="260" min="23" max="23"/>
    <col outlineLevel="1" width="11.42" customWidth="1" style="260" min="24" max="24"/>
    <col outlineLevel="1" width="11.14" customWidth="1" style="260" min="25" max="25"/>
    <col outlineLevel="1" width="11.42" customWidth="1" style="260" min="26" max="27"/>
    <col width="11.14" customWidth="1" style="260" min="28" max="28"/>
    <col outlineLevel="1" width="12.28" customWidth="1" style="260" min="29" max="29"/>
    <col outlineLevel="1" width="13.28" customWidth="1" style="260" min="30" max="30"/>
    <col outlineLevel="1" width="11" customWidth="1" style="260" min="31" max="31"/>
    <col outlineLevel="1" width="10.14" customWidth="1" style="260" min="32" max="32"/>
    <col width="11" customWidth="1" style="260" min="33" max="33"/>
    <col outlineLevel="1" width="10.14" customWidth="1" style="260" min="34" max="34"/>
    <col outlineLevel="1" width="11.14" customWidth="1" style="260" min="35" max="35"/>
    <col outlineLevel="1" width="10.14" customWidth="1" style="260" min="36" max="37"/>
    <col width="10" customWidth="1" style="260" min="38" max="38"/>
    <col outlineLevel="1" width="10.14" customWidth="1" style="260" min="39" max="39"/>
    <col outlineLevel="1" width="11.14" customWidth="1" style="260" min="40" max="40"/>
    <col outlineLevel="1" width="10.14" customWidth="1" style="260" min="41" max="42"/>
    <col width="10" customWidth="1" style="260" min="43" max="43"/>
    <col outlineLevel="1" width="10.14" customWidth="1" style="260" min="44" max="44"/>
    <col outlineLevel="1" width="11.14" customWidth="1" style="260" min="45" max="45"/>
    <col outlineLevel="1" width="10.14" customWidth="1" style="260" min="46" max="47"/>
    <col width="10" customWidth="1" style="260" min="48" max="48"/>
    <col outlineLevel="1" width="10.14" customWidth="1" style="260" min="49" max="49"/>
    <col outlineLevel="1" width="11.14" customWidth="1" style="260" min="50" max="50"/>
    <col outlineLevel="1" width="10.14" customWidth="1" style="260" min="51" max="52"/>
    <col width="10" customWidth="1" style="260" min="53" max="53"/>
    <col outlineLevel="1" width="10.14" customWidth="1" style="260" min="54" max="54"/>
    <col outlineLevel="1" width="11.14" customWidth="1" style="260" min="55" max="55"/>
    <col outlineLevel="1" width="10.14" customWidth="1" style="260" min="56" max="57"/>
    <col width="10" customWidth="1" style="260" min="58" max="58"/>
    <col outlineLevel="1" width="10.14" customWidth="1" style="260" min="59" max="59"/>
    <col outlineLevel="1" width="11.14" customWidth="1" style="260" min="60" max="60"/>
    <col outlineLevel="1" width="10.14" customWidth="1" style="260" min="61" max="62"/>
    <col width="10" customWidth="1" style="260" min="63" max="63"/>
    <col outlineLevel="1" width="10.14" customWidth="1" style="260" min="64" max="64"/>
    <col outlineLevel="1" width="11.14" customWidth="1" style="260" min="65" max="65"/>
    <col outlineLevel="1" width="10.14" customWidth="1" style="260" min="66" max="67"/>
    <col width="10" customWidth="1" style="260" min="68" max="68"/>
    <col outlineLevel="1" width="10.14" customWidth="1" style="260" min="69" max="69"/>
    <col outlineLevel="1" width="11.14" customWidth="1" style="260" min="70" max="70"/>
    <col outlineLevel="1" width="10.14" customWidth="1" style="260" min="71" max="72"/>
    <col width="10" customWidth="1" style="260" min="73" max="73"/>
    <col outlineLevel="1" width="10.14" customWidth="1" style="260" min="74" max="74"/>
    <col outlineLevel="1" width="11.14" customWidth="1" style="260" min="75" max="75"/>
    <col outlineLevel="1" width="10.14" customWidth="1" style="260" min="76" max="77"/>
    <col width="10" customWidth="1" style="260" min="78" max="78"/>
    <col outlineLevel="1" width="10.14" customWidth="1" style="260" min="79" max="79"/>
    <col outlineLevel="1" width="11.14" customWidth="1" style="260" min="80" max="80"/>
    <col outlineLevel="1" width="10.14" customWidth="1" style="260" min="81" max="82"/>
    <col width="10" customWidth="1" style="260" min="83" max="83"/>
    <col outlineLevel="1" width="10.14" customWidth="1" style="260" min="84" max="84"/>
    <col outlineLevel="1" width="11.14" customWidth="1" style="260" min="85" max="85"/>
    <col outlineLevel="1" width="10.14" customWidth="1" style="260" min="86" max="87"/>
    <col width="10" customWidth="1" style="260" min="88" max="88"/>
    <col outlineLevel="1" width="10.14" customWidth="1" style="260" min="89" max="89"/>
    <col outlineLevel="1" width="11.14" customWidth="1" style="260" min="90" max="90"/>
    <col outlineLevel="1" width="10.14" customWidth="1" style="260" min="91" max="92"/>
    <col width="10" customWidth="1" style="260" min="93" max="93"/>
    <col outlineLevel="1" width="10.14" customWidth="1" style="260" min="94" max="94"/>
    <col outlineLevel="1" width="11.14" customWidth="1" style="260" min="95" max="95"/>
    <col outlineLevel="1" width="10.14" customWidth="1" style="260" min="96" max="97"/>
    <col width="10" customWidth="1" style="260" min="98" max="98"/>
    <col outlineLevel="1" width="10.14" customWidth="1" style="260" min="99" max="99"/>
    <col outlineLevel="1" width="11.14" customWidth="1" style="260" min="100" max="100"/>
    <col outlineLevel="1" width="10.14" customWidth="1" style="260" min="101" max="102"/>
    <col width="10" customWidth="1" style="260" min="103" max="103"/>
    <col width="9.140000000000001" customWidth="1" style="260" min="104" max="16384"/>
  </cols>
  <sheetData>
    <row r="1" ht="12.75" customHeight="1" s="255">
      <c r="C1" s="273" t="inlineStr">
        <is>
          <t>CHECKS</t>
        </is>
      </c>
      <c r="D1" s="268">
        <f>SUM(D2,D3)</f>
        <v>0</v>
      </c>
      <c r="E1" s="268">
        <f>SUM(E2,E3)</f>
        <v>0</v>
      </c>
      <c r="F1" s="268">
        <f>SUM(F2,F3)</f>
        <v>0</v>
      </c>
      <c r="G1" s="268">
        <f>SUM(G2,G3)</f>
        <v>0</v>
      </c>
      <c r="H1" s="268">
        <f>SUM(H2,H3)</f>
        <v>0</v>
      </c>
      <c r="I1" s="268">
        <f>SUM(I2,I3)</f>
        <v>0</v>
      </c>
      <c r="J1" s="268">
        <f>SUM(J2,J3)</f>
        <v>0</v>
      </c>
      <c r="K1" s="268">
        <f>SUM(K2,K3)</f>
        <v>0</v>
      </c>
      <c r="L1" s="268">
        <f>SUM(L2,L3)</f>
        <v>0</v>
      </c>
      <c r="M1" s="268">
        <f>SUM(M2,M3)</f>
        <v>0</v>
      </c>
      <c r="N1" s="268">
        <f>SUM(N2,N3)</f>
        <v>0</v>
      </c>
      <c r="O1" s="268">
        <f>SUM(O2,O3)</f>
        <v>0</v>
      </c>
      <c r="P1" s="268">
        <f>SUM(P2,P3)</f>
        <v>0</v>
      </c>
      <c r="Q1" s="268">
        <f>SUM(Q2,Q3)</f>
        <v>0</v>
      </c>
      <c r="R1" s="268">
        <f>SUM(R2,R3)</f>
        <v>0</v>
      </c>
      <c r="S1" s="268">
        <f>SUM(S2,S3)</f>
        <v>0</v>
      </c>
      <c r="T1" s="268">
        <f>SUM(T2,T3)</f>
        <v>0</v>
      </c>
      <c r="U1" s="268">
        <f>SUM(U2,U3)</f>
        <v>0</v>
      </c>
      <c r="V1" s="268">
        <f>SUM(V2,V3)</f>
        <v>0</v>
      </c>
      <c r="W1" s="268">
        <f>SUM(W2,W3)</f>
        <v>0</v>
      </c>
      <c r="X1" s="268">
        <f>SUM(X2,X3)</f>
        <v>0</v>
      </c>
      <c r="Y1" s="268">
        <f>SUM(Y2,Y3)</f>
        <v>0</v>
      </c>
      <c r="Z1" s="268">
        <f>SUM(Z2,Z3)</f>
        <v>0</v>
      </c>
      <c r="AA1" s="268">
        <f>SUM(AA2,AA3)</f>
        <v>0</v>
      </c>
      <c r="AB1" s="268">
        <f>SUM(AB2,AB3)</f>
        <v>0</v>
      </c>
      <c r="AC1" s="268">
        <f>SUM(AC2,AC3)</f>
        <v>0</v>
      </c>
      <c r="AD1" s="268">
        <f>SUM(AD2,AD3)</f>
        <v>0</v>
      </c>
      <c r="AE1" s="268">
        <f>SUM(AE2,AE3)</f>
        <v>0</v>
      </c>
      <c r="AF1" s="268">
        <f>SUM(AF2,AF3)</f>
        <v>0</v>
      </c>
      <c r="AG1" s="268">
        <f>SUM(AG2,AG3)</f>
        <v>0</v>
      </c>
      <c r="AH1" s="268">
        <f>SUM(AH2,AH3)</f>
        <v>0</v>
      </c>
      <c r="AI1" s="268">
        <f>SUM(AI2,AI3)</f>
        <v>0</v>
      </c>
      <c r="AJ1" s="268">
        <f>SUM(AJ2,AJ3)</f>
        <v>0</v>
      </c>
      <c r="AK1" s="268">
        <f>SUM(AK2,AK3)</f>
        <v>0</v>
      </c>
      <c r="AL1" s="268">
        <f>SUM(AL2,AL3)</f>
        <v>0</v>
      </c>
      <c r="AM1" s="268" t="e">
        <f>SUM(AM2,AM3)</f>
        <v>#DIV/0!</v>
      </c>
      <c r="AN1" s="268" t="e">
        <f>SUM(AN2,AN3)</f>
        <v>#DIV/0!</v>
      </c>
      <c r="AO1" s="268" t="e">
        <f>SUM(AO2,AO3)</f>
        <v>#DIV/0!</v>
      </c>
      <c r="AP1" s="268" t="e">
        <f>SUM(AP2,AP3)</f>
        <v>#DIV/0!</v>
      </c>
      <c r="AQ1" s="268" t="e">
        <f>SUM(AQ2,AQ3)</f>
        <v>#DIV/0!</v>
      </c>
      <c r="AR1" s="268" t="e">
        <f>SUM(AR2,AR3)</f>
        <v>#DIV/0!</v>
      </c>
      <c r="AS1" s="268" t="e">
        <f>SUM(AS2,AS3)</f>
        <v>#DIV/0!</v>
      </c>
      <c r="AT1" s="268" t="e">
        <f>SUM(AT2,AT3)</f>
        <v>#DIV/0!</v>
      </c>
      <c r="AU1" s="268" t="e">
        <f>SUM(AU2,AU3)</f>
        <v>#DIV/0!</v>
      </c>
      <c r="AV1" s="268" t="e">
        <f>SUM(AV2,AV3)</f>
        <v>#DIV/0!</v>
      </c>
      <c r="AW1" s="268" t="e">
        <f>SUM(AW2,AW3)</f>
        <v>#DIV/0!</v>
      </c>
      <c r="AX1" s="268" t="e">
        <f>SUM(AX2,AX3)</f>
        <v>#DIV/0!</v>
      </c>
      <c r="AY1" s="268" t="e">
        <f>SUM(AY2,AY3)</f>
        <v>#DIV/0!</v>
      </c>
      <c r="AZ1" s="268" t="e">
        <f>SUM(AZ2,AZ3)</f>
        <v>#DIV/0!</v>
      </c>
      <c r="BA1" s="268" t="e">
        <f>SUM(BA2,BA3)</f>
        <v>#DIV/0!</v>
      </c>
      <c r="BB1" s="268" t="e">
        <f>SUM(BB2,BB3)</f>
        <v>#DIV/0!</v>
      </c>
      <c r="BC1" s="268" t="e">
        <f>SUM(BC2,BC3)</f>
        <v>#DIV/0!</v>
      </c>
      <c r="BD1" s="268" t="e">
        <f>SUM(BD2,BD3)</f>
        <v>#DIV/0!</v>
      </c>
      <c r="BE1" s="268" t="e">
        <f>SUM(BE2,BE3)</f>
        <v>#DIV/0!</v>
      </c>
      <c r="BF1" s="268" t="e">
        <f>SUM(BF2,BF3)</f>
        <v>#DIV/0!</v>
      </c>
      <c r="BG1" s="268" t="e">
        <f>SUM(BG2,BG3)</f>
        <v>#DIV/0!</v>
      </c>
      <c r="BH1" s="268" t="e">
        <f>SUM(BH2,BH3)</f>
        <v>#DIV/0!</v>
      </c>
      <c r="BI1" s="268" t="e">
        <f>SUM(BI2,BI3)</f>
        <v>#DIV/0!</v>
      </c>
      <c r="BJ1" s="268" t="e">
        <f>SUM(BJ2,BJ3)</f>
        <v>#DIV/0!</v>
      </c>
      <c r="BK1" s="268" t="e">
        <f>SUM(BK2,BK3)</f>
        <v>#DIV/0!</v>
      </c>
      <c r="BL1" s="268" t="e">
        <f>SUM(BL2,BL3)</f>
        <v>#DIV/0!</v>
      </c>
      <c r="BM1" s="268" t="e">
        <f>SUM(BM2,BM3)</f>
        <v>#DIV/0!</v>
      </c>
      <c r="BN1" s="268" t="e">
        <f>SUM(BN2,BN3)</f>
        <v>#DIV/0!</v>
      </c>
      <c r="BO1" s="268" t="e">
        <f>SUM(BO2,BO3)</f>
        <v>#DIV/0!</v>
      </c>
      <c r="BP1" s="268" t="e">
        <f>SUM(BP2,BP3)</f>
        <v>#DIV/0!</v>
      </c>
      <c r="BQ1" s="268" t="e">
        <f>SUM(BQ2,BQ3)</f>
        <v>#DIV/0!</v>
      </c>
      <c r="BR1" s="268" t="e">
        <f>SUM(BR2,BR3)</f>
        <v>#DIV/0!</v>
      </c>
      <c r="BS1" s="268" t="e">
        <f>SUM(BS2,BS3)</f>
        <v>#DIV/0!</v>
      </c>
      <c r="BT1" s="268" t="e">
        <f>SUM(BT2,BT3)</f>
        <v>#DIV/0!</v>
      </c>
      <c r="BU1" s="268" t="e">
        <f>SUM(BU2,BU3)</f>
        <v>#DIV/0!</v>
      </c>
      <c r="BV1" s="268" t="e">
        <f>SUM(BV2,BV3)</f>
        <v>#DIV/0!</v>
      </c>
      <c r="BW1" s="268" t="e">
        <f>SUM(BW2,BW3)</f>
        <v>#DIV/0!</v>
      </c>
      <c r="BX1" s="268" t="e">
        <f>SUM(BX2,BX3)</f>
        <v>#DIV/0!</v>
      </c>
      <c r="BY1" s="268" t="e">
        <f>SUM(BY2,BY3)</f>
        <v>#DIV/0!</v>
      </c>
      <c r="BZ1" s="268" t="e">
        <f>SUM(BZ2,BZ3)</f>
        <v>#DIV/0!</v>
      </c>
      <c r="CA1" s="268" t="e">
        <f>SUM(CA2,CA3)</f>
        <v>#DIV/0!</v>
      </c>
      <c r="CB1" s="268" t="e">
        <f>SUM(CB2,CB3)</f>
        <v>#DIV/0!</v>
      </c>
      <c r="CC1" s="268" t="e">
        <f>SUM(CC2,CC3)</f>
        <v>#DIV/0!</v>
      </c>
      <c r="CD1" s="268" t="e">
        <f>SUM(CD2,CD3)</f>
        <v>#DIV/0!</v>
      </c>
      <c r="CE1" s="268" t="e">
        <f>SUM(CE2,CE3)</f>
        <v>#DIV/0!</v>
      </c>
      <c r="CF1" s="268" t="e">
        <f>SUM(CF2,CF3)</f>
        <v>#DIV/0!</v>
      </c>
      <c r="CG1" s="268" t="e">
        <f>SUM(CG2,CG3)</f>
        <v>#DIV/0!</v>
      </c>
      <c r="CH1" s="268" t="e">
        <f>SUM(CH2,CH3)</f>
        <v>#DIV/0!</v>
      </c>
      <c r="CI1" s="268" t="e">
        <f>SUM(CI2,CI3)</f>
        <v>#DIV/0!</v>
      </c>
      <c r="CJ1" s="268" t="e">
        <f>SUM(CJ2,CJ3)</f>
        <v>#DIV/0!</v>
      </c>
      <c r="CK1" s="268" t="e">
        <f>SUM(CK2,CK3)</f>
        <v>#DIV/0!</v>
      </c>
      <c r="CL1" s="268" t="e">
        <f>SUM(CL2,CL3)</f>
        <v>#DIV/0!</v>
      </c>
      <c r="CM1" s="268" t="e">
        <f>SUM(CM2,CM3)</f>
        <v>#DIV/0!</v>
      </c>
      <c r="CN1" s="268" t="e">
        <f>SUM(CN2,CN3)</f>
        <v>#DIV/0!</v>
      </c>
      <c r="CO1" s="268" t="e">
        <f>SUM(CO2,CO3)</f>
        <v>#DIV/0!</v>
      </c>
      <c r="CP1" s="268" t="e">
        <f>SUM(CP2,CP3)</f>
        <v>#DIV/0!</v>
      </c>
      <c r="CQ1" s="268" t="e">
        <f>SUM(CQ2,CQ3)</f>
        <v>#DIV/0!</v>
      </c>
      <c r="CR1" s="268" t="e">
        <f>SUM(CR2,CR3)</f>
        <v>#DIV/0!</v>
      </c>
      <c r="CS1" s="268" t="e">
        <f>SUM(CS2,CS3)</f>
        <v>#DIV/0!</v>
      </c>
      <c r="CT1" s="268" t="e">
        <f>SUM(CT2,CT3)</f>
        <v>#DIV/0!</v>
      </c>
      <c r="CU1" s="268" t="e">
        <f>SUM(CU2,CU3)</f>
        <v>#DIV/0!</v>
      </c>
      <c r="CV1" s="268" t="e">
        <f>SUM(CV2,CV3)</f>
        <v>#DIV/0!</v>
      </c>
      <c r="CW1" s="268" t="e">
        <f>SUM(CW2,CW3)</f>
        <v>#DIV/0!</v>
      </c>
      <c r="CX1" s="268" t="e">
        <f>SUM(CX2,CX3)</f>
        <v>#DIV/0!</v>
      </c>
      <c r="CY1" s="268" t="e">
        <f>SUM(CY2,CY3)</f>
        <v>#DIV/0!</v>
      </c>
    </row>
    <row r="2" outlineLevel="1" ht="12.75" customHeight="1" s="255">
      <c r="C2" s="274" t="inlineStr">
        <is>
          <t>BS</t>
        </is>
      </c>
      <c r="D2" s="268">
        <f>ABS(D197-D273)</f>
        <v>0</v>
      </c>
      <c r="E2" s="268">
        <f>ABS(E197-E273)</f>
        <v>0</v>
      </c>
      <c r="F2" s="268">
        <f>ABS(F197-F273)</f>
        <v>0</v>
      </c>
      <c r="G2" s="268">
        <f>ABS(G197-G273)</f>
        <v>0</v>
      </c>
      <c r="H2" s="268">
        <f>ABS(H197-H273)</f>
        <v>0</v>
      </c>
      <c r="I2" s="268">
        <f>ABS(I197-I273)</f>
        <v>0</v>
      </c>
      <c r="J2" s="268">
        <f>ABS(J197-J273)</f>
        <v>0</v>
      </c>
      <c r="K2" s="268">
        <f>ABS(K197-K273)</f>
        <v>0</v>
      </c>
      <c r="L2" s="268">
        <f>ABS(L197-L273)</f>
        <v>0</v>
      </c>
      <c r="M2" s="268">
        <f>ABS(M197-M273)</f>
        <v>0</v>
      </c>
      <c r="N2" s="268">
        <f>ABS(N197-N273)</f>
        <v>0</v>
      </c>
      <c r="O2" s="268">
        <f>ABS(O197-O273)</f>
        <v>0</v>
      </c>
      <c r="P2" s="268">
        <f>ABS(P197-P273)</f>
        <v>0</v>
      </c>
      <c r="Q2" s="268">
        <f>ABS(Q197-Q273)</f>
        <v>0</v>
      </c>
      <c r="R2" s="268">
        <f>ABS(R197-R273)</f>
        <v>0</v>
      </c>
      <c r="S2" s="268">
        <f>ABS(S197-S273)</f>
        <v>0</v>
      </c>
      <c r="T2" s="268">
        <f>ABS(T197-T273)</f>
        <v>0</v>
      </c>
      <c r="U2" s="268">
        <f>ABS(U197-U273)</f>
        <v>0</v>
      </c>
      <c r="V2" s="268">
        <f>ABS(V197-V273)</f>
        <v>0</v>
      </c>
      <c r="W2" s="268">
        <f>ABS(W197-W273)</f>
        <v>0</v>
      </c>
      <c r="X2" s="268">
        <f>ABS(X197-X273)</f>
        <v>0</v>
      </c>
      <c r="Y2" s="268">
        <f>ABS(Y197-Y273)</f>
        <v>0</v>
      </c>
      <c r="Z2" s="268">
        <f>ABS(Z197-Z273)</f>
        <v>0</v>
      </c>
      <c r="AA2" s="268">
        <f>ABS(AA197-AA273)</f>
        <v>0</v>
      </c>
      <c r="AB2" s="268">
        <f>ABS(AB197-AB273)</f>
        <v>0</v>
      </c>
      <c r="AC2" s="268">
        <f>ABS(AC197-AC273)</f>
        <v>0</v>
      </c>
      <c r="AD2" s="268">
        <f>ABS(AD197-AD273)</f>
        <v>0</v>
      </c>
      <c r="AE2" s="268">
        <f>ABS(AE197-AE273)</f>
        <v>0</v>
      </c>
      <c r="AF2" s="268">
        <f>ABS(AF197-AF273)</f>
        <v>0</v>
      </c>
      <c r="AG2" s="268">
        <f>ABS(AG197-AG273)</f>
        <v>0</v>
      </c>
      <c r="AH2" s="268">
        <f>ABS(AH197-AH273)</f>
        <v>0</v>
      </c>
      <c r="AI2" s="268">
        <f>ABS(AI197-AI273)</f>
        <v>0</v>
      </c>
      <c r="AJ2" s="268">
        <f>ABS(AJ197-AJ273)</f>
        <v>0</v>
      </c>
      <c r="AK2" s="268">
        <f>ABS(AK197-AK273)</f>
        <v>0</v>
      </c>
      <c r="AL2" s="268">
        <f>ABS(AL197-AL273)</f>
        <v>0</v>
      </c>
      <c r="AM2" s="268" t="e">
        <f>ABS(AM197-AM273)</f>
        <v>#DIV/0!</v>
      </c>
      <c r="AN2" s="268" t="e">
        <f>ABS(AN197-AN273)</f>
        <v>#DIV/0!</v>
      </c>
      <c r="AO2" s="268" t="e">
        <f>ABS(AO197-AO273)</f>
        <v>#DIV/0!</v>
      </c>
      <c r="AP2" s="268" t="e">
        <f>ABS(AP197-AP273)</f>
        <v>#DIV/0!</v>
      </c>
      <c r="AQ2" s="268" t="e">
        <f>ABS(AQ197-AQ273)</f>
        <v>#DIV/0!</v>
      </c>
      <c r="AR2" s="268" t="e">
        <f>ABS(AR197-AR273)</f>
        <v>#DIV/0!</v>
      </c>
      <c r="AS2" s="268" t="e">
        <f>ABS(AS197-AS273)</f>
        <v>#DIV/0!</v>
      </c>
      <c r="AT2" s="268" t="e">
        <f>ABS(AT197-AT273)</f>
        <v>#DIV/0!</v>
      </c>
      <c r="AU2" s="268" t="e">
        <f>ABS(AU197-AU273)</f>
        <v>#DIV/0!</v>
      </c>
      <c r="AV2" s="268" t="e">
        <f>ABS(AV197-AV273)</f>
        <v>#DIV/0!</v>
      </c>
      <c r="AW2" s="268" t="e">
        <f>ABS(AW197-AW273)</f>
        <v>#DIV/0!</v>
      </c>
      <c r="AX2" s="268" t="e">
        <f>ABS(AX197-AX273)</f>
        <v>#DIV/0!</v>
      </c>
      <c r="AY2" s="268" t="e">
        <f>ABS(AY197-AY273)</f>
        <v>#DIV/0!</v>
      </c>
      <c r="AZ2" s="268" t="e">
        <f>ABS(AZ197-AZ273)</f>
        <v>#DIV/0!</v>
      </c>
      <c r="BA2" s="268" t="e">
        <f>ABS(BA197-BA273)</f>
        <v>#DIV/0!</v>
      </c>
      <c r="BB2" s="268" t="e">
        <f>ABS(BB197-BB273)</f>
        <v>#DIV/0!</v>
      </c>
      <c r="BC2" s="268" t="e">
        <f>ABS(BC197-BC273)</f>
        <v>#DIV/0!</v>
      </c>
      <c r="BD2" s="268" t="e">
        <f>ABS(BD197-BD273)</f>
        <v>#DIV/0!</v>
      </c>
      <c r="BE2" s="268" t="e">
        <f>ABS(BE197-BE273)</f>
        <v>#DIV/0!</v>
      </c>
      <c r="BF2" s="268" t="e">
        <f>ABS(BF197-BF273)</f>
        <v>#DIV/0!</v>
      </c>
      <c r="BG2" s="268" t="e">
        <f>ABS(BG197-BG273)</f>
        <v>#DIV/0!</v>
      </c>
      <c r="BH2" s="268" t="e">
        <f>ABS(BH197-BH273)</f>
        <v>#DIV/0!</v>
      </c>
      <c r="BI2" s="268" t="e">
        <f>ABS(BI197-BI273)</f>
        <v>#DIV/0!</v>
      </c>
      <c r="BJ2" s="268" t="e">
        <f>ABS(BJ197-BJ273)</f>
        <v>#DIV/0!</v>
      </c>
      <c r="BK2" s="268" t="e">
        <f>ABS(BK197-BK273)</f>
        <v>#DIV/0!</v>
      </c>
      <c r="BL2" s="268" t="e">
        <f>ABS(BL197-BL273)</f>
        <v>#DIV/0!</v>
      </c>
      <c r="BM2" s="268" t="e">
        <f>ABS(BM197-BM273)</f>
        <v>#DIV/0!</v>
      </c>
      <c r="BN2" s="268" t="e">
        <f>ABS(BN197-BN273)</f>
        <v>#DIV/0!</v>
      </c>
      <c r="BO2" s="268" t="e">
        <f>ABS(BO197-BO273)</f>
        <v>#DIV/0!</v>
      </c>
      <c r="BP2" s="268" t="e">
        <f>ABS(BP197-BP273)</f>
        <v>#DIV/0!</v>
      </c>
      <c r="BQ2" s="268" t="e">
        <f>ABS(BQ197-BQ273)</f>
        <v>#DIV/0!</v>
      </c>
      <c r="BR2" s="268" t="e">
        <f>ABS(BR197-BR273)</f>
        <v>#DIV/0!</v>
      </c>
      <c r="BS2" s="268" t="e">
        <f>ABS(BS197-BS273)</f>
        <v>#DIV/0!</v>
      </c>
      <c r="BT2" s="268" t="e">
        <f>ABS(BT197-BT273)</f>
        <v>#DIV/0!</v>
      </c>
      <c r="BU2" s="268" t="e">
        <f>ABS(BU197-BU273)</f>
        <v>#DIV/0!</v>
      </c>
      <c r="BV2" s="268" t="e">
        <f>ABS(BV197-BV273)</f>
        <v>#DIV/0!</v>
      </c>
      <c r="BW2" s="268" t="e">
        <f>ABS(BW197-BW273)</f>
        <v>#DIV/0!</v>
      </c>
      <c r="BX2" s="268" t="e">
        <f>ABS(BX197-BX273)</f>
        <v>#DIV/0!</v>
      </c>
      <c r="BY2" s="268" t="e">
        <f>ABS(BY197-BY273)</f>
        <v>#DIV/0!</v>
      </c>
      <c r="BZ2" s="268" t="e">
        <f>ABS(BZ197-BZ273)</f>
        <v>#DIV/0!</v>
      </c>
      <c r="CA2" s="268" t="e">
        <f>ABS(CA197-CA273)</f>
        <v>#DIV/0!</v>
      </c>
      <c r="CB2" s="268" t="e">
        <f>ABS(CB197-CB273)</f>
        <v>#DIV/0!</v>
      </c>
      <c r="CC2" s="268" t="e">
        <f>ABS(CC197-CC273)</f>
        <v>#DIV/0!</v>
      </c>
      <c r="CD2" s="268" t="e">
        <f>ABS(CD197-CD273)</f>
        <v>#DIV/0!</v>
      </c>
      <c r="CE2" s="268" t="e">
        <f>ABS(CE197-CE273)</f>
        <v>#DIV/0!</v>
      </c>
      <c r="CF2" s="268" t="e">
        <f>ABS(CF197-CF273)</f>
        <v>#DIV/0!</v>
      </c>
      <c r="CG2" s="268" t="e">
        <f>ABS(CG197-CG273)</f>
        <v>#DIV/0!</v>
      </c>
      <c r="CH2" s="268" t="e">
        <f>ABS(CH197-CH273)</f>
        <v>#DIV/0!</v>
      </c>
      <c r="CI2" s="268" t="e">
        <f>ABS(CI197-CI273)</f>
        <v>#DIV/0!</v>
      </c>
      <c r="CJ2" s="268" t="e">
        <f>ABS(CJ197-CJ273)</f>
        <v>#DIV/0!</v>
      </c>
      <c r="CK2" s="268" t="e">
        <f>ABS(CK197-CK273)</f>
        <v>#DIV/0!</v>
      </c>
      <c r="CL2" s="268" t="e">
        <f>ABS(CL197-CL273)</f>
        <v>#DIV/0!</v>
      </c>
      <c r="CM2" s="268" t="e">
        <f>ABS(CM197-CM273)</f>
        <v>#DIV/0!</v>
      </c>
      <c r="CN2" s="268" t="e">
        <f>ABS(CN197-CN273)</f>
        <v>#DIV/0!</v>
      </c>
      <c r="CO2" s="268" t="e">
        <f>ABS(CO197-CO273)</f>
        <v>#DIV/0!</v>
      </c>
      <c r="CP2" s="268" t="e">
        <f>ABS(CP197-CP273)</f>
        <v>#DIV/0!</v>
      </c>
      <c r="CQ2" s="268" t="e">
        <f>ABS(CQ197-CQ273)</f>
        <v>#DIV/0!</v>
      </c>
      <c r="CR2" s="268" t="e">
        <f>ABS(CR197-CR273)</f>
        <v>#DIV/0!</v>
      </c>
      <c r="CS2" s="268" t="e">
        <f>ABS(CS197-CS273)</f>
        <v>#DIV/0!</v>
      </c>
      <c r="CT2" s="268" t="e">
        <f>ABS(CT197-CT273)</f>
        <v>#DIV/0!</v>
      </c>
      <c r="CU2" s="268" t="e">
        <f>ABS(CU197-CU273)</f>
        <v>#DIV/0!</v>
      </c>
      <c r="CV2" s="268" t="e">
        <f>ABS(CV197-CV273)</f>
        <v>#DIV/0!</v>
      </c>
      <c r="CW2" s="268" t="e">
        <f>ABS(CW197-CW273)</f>
        <v>#DIV/0!</v>
      </c>
      <c r="CX2" s="268" t="e">
        <f>ABS(CX197-CX273)</f>
        <v>#DIV/0!</v>
      </c>
      <c r="CY2" s="268" t="e">
        <f>ABS(CY197-CY273)</f>
        <v>#DIV/0!</v>
      </c>
    </row>
    <row r="3" outlineLevel="1" ht="12.75" customHeight="1" s="255">
      <c r="C3" s="274" t="inlineStr">
        <is>
          <t>IS</t>
        </is>
      </c>
      <c r="D3" s="268">
        <f>IF(COUNT(D4)=0,"",ABS(D137-D4))</f>
        <v>0</v>
      </c>
      <c r="E3" s="268">
        <f>IF(COUNT(E4)=0,"",ABS(E137-E4))</f>
        <v>0</v>
      </c>
      <c r="F3" s="268">
        <f>IF(COUNT(F4)=0,"",ABS(F137-F4))</f>
        <v>0</v>
      </c>
      <c r="G3" s="268">
        <f>IF(COUNT(G4)=0,"",ABS(G137-G4))</f>
        <v>0</v>
      </c>
      <c r="H3" s="268">
        <f>IF(COUNT(H4)=0,"",ABS(H137-H4))</f>
        <v>0</v>
      </c>
      <c r="I3" s="268">
        <f>IF(COUNT(I4)=0,"",ABS(I137-I4))</f>
        <v>0</v>
      </c>
      <c r="J3" s="268">
        <f>IF(COUNT(J4)=0,"",ABS(J137-J4))</f>
        <v>0</v>
      </c>
      <c r="K3" s="268">
        <f>IF(COUNT(K4)=0,"",ABS(K137-K4))</f>
        <v>0</v>
      </c>
      <c r="L3" s="268">
        <f>IF(COUNT(L4)=0,"",ABS(L137-L4))</f>
        <v>0</v>
      </c>
      <c r="M3" s="268">
        <f>IF(COUNT(M4)=0,"",ABS(M137-M4))</f>
        <v>0</v>
      </c>
      <c r="N3" s="268">
        <f>IF(COUNT(N4)=0,"",ABS(N137-N4))</f>
        <v>0</v>
      </c>
      <c r="O3" s="268">
        <f>IF(COUNT(O4)=0,"",ABS(O137-O4))</f>
        <v>0</v>
      </c>
      <c r="P3" s="268">
        <f>IF(COUNT(P4)=0,"",ABS(P137-P4))</f>
        <v>0</v>
      </c>
      <c r="Q3" s="268">
        <f>IF(COUNT(Q4)=0,"",ABS(Q137-Q4))</f>
        <v>0</v>
      </c>
      <c r="R3" s="268">
        <f>IF(COUNT(R4)=0,"",ABS(R137-R4))</f>
        <v>0</v>
      </c>
      <c r="S3" s="268">
        <f>IF(COUNT(S4)=0,"",ABS(S137-S4))</f>
        <v>0</v>
      </c>
      <c r="T3" s="268">
        <f>IF(COUNT(T4)=0,"",ABS(T137-T4))</f>
        <v>0</v>
      </c>
      <c r="U3" s="268">
        <f>IF(COUNT(U4)=0,"",ABS(U137-U4))</f>
        <v>0</v>
      </c>
      <c r="V3" s="268">
        <f>IF(COUNT(V4)=0,"",ABS(V137-V4))</f>
        <v>0</v>
      </c>
      <c r="W3" s="268">
        <f>IF(COUNT(W4)=0,"",ABS(W137-W4))</f>
        <v>0</v>
      </c>
      <c r="X3" s="268">
        <f>IF(COUNT(X4)=0,"",ABS(X137-X4))</f>
        <v>0</v>
      </c>
      <c r="Y3" s="268">
        <f>IF(COUNT(Y4)=0,"",ABS(Y137-Y4))</f>
        <v>0</v>
      </c>
      <c r="Z3" s="268">
        <f>IF(COUNT(Z4)=0,"",ABS(Z137-Z4))</f>
        <v>0</v>
      </c>
      <c r="AA3" s="268">
        <f>IF(COUNT(AA4)=0,"",ABS(AA137-AA4))</f>
        <v>0</v>
      </c>
      <c r="AB3" s="268">
        <f>IF(COUNT(AB4)=0,"",ABS(AB137-AB4))</f>
        <v>0</v>
      </c>
      <c r="AC3" s="268">
        <f>IF(COUNT(AC4)=0,"",ABS(AC137-AC4))</f>
        <v>0</v>
      </c>
      <c r="AD3" s="268">
        <f>IF(COUNT(AD4)=0,"",ABS(AD137-AD4))</f>
        <v>0</v>
      </c>
      <c r="AE3" s="268">
        <f>IF(COUNT(AE4)=0,"",ABS(AE137-AE4))</f>
        <v>0</v>
      </c>
      <c r="AF3" s="268">
        <f>IF(COUNT(AF4)=0,"",ABS(AF137-AF4))</f>
        <v>0</v>
      </c>
      <c r="AG3" s="268">
        <f>IF(COUNT(AG4)=0,"",ABS(AG137-AG4))</f>
        <v>0</v>
      </c>
      <c r="AH3" s="268">
        <f>IF(COUNT(AH4)=0,"",ABS(AH137-AH4))</f>
        <v>0</v>
      </c>
      <c r="AI3" s="268">
        <f>IF(COUNT(AI4)=0,"",ABS(AI137-AI4))</f>
        <v>0</v>
      </c>
      <c r="AJ3" s="268" t="str">
        <f>IF(COUNT(AJ4)=0,"",ABS(AJ137-AJ4))</f>
        <v/>
      </c>
      <c r="AK3" s="268" t="str">
        <f>IF(COUNT(AK4)=0,"",ABS(AK137-AK4))</f>
        <v/>
      </c>
      <c r="AL3" s="268" t="str">
        <f>IF(COUNT(AL4)=0,"",ABS(AL137-AL4))</f>
        <v/>
      </c>
      <c r="AM3" s="268" t="str">
        <f>IF(COUNT(AM4)=0,"",ABS(AM137-AM4))</f>
        <v/>
      </c>
      <c r="AN3" s="268" t="str">
        <f>IF(COUNT(AN4)=0,"",ABS(AN137-AN4))</f>
        <v/>
      </c>
      <c r="AO3" s="268" t="str">
        <f>IF(COUNT(AO4)=0,"",ABS(AO137-AO4))</f>
        <v/>
      </c>
      <c r="AP3" s="268" t="str">
        <f>IF(COUNT(AP4)=0,"",ABS(AP137-AP4))</f>
        <v/>
      </c>
      <c r="AQ3" s="268" t="str">
        <f>IF(COUNT(AQ4)=0,"",ABS(AQ137-AQ4))</f>
        <v/>
      </c>
      <c r="AR3" s="268" t="str">
        <f>IF(COUNT(AR4)=0,"",ABS(AR137-AR4))</f>
        <v/>
      </c>
      <c r="AS3" s="268" t="str">
        <f>IF(COUNT(AS4)=0,"",ABS(AS137-AS4))</f>
        <v/>
      </c>
      <c r="AT3" s="268" t="str">
        <f>IF(COUNT(AT4)=0,"",ABS(AT137-AT4))</f>
        <v/>
      </c>
      <c r="AU3" s="268" t="str">
        <f>IF(COUNT(AU4)=0,"",ABS(AU137-AU4))</f>
        <v/>
      </c>
      <c r="AV3" s="268" t="str">
        <f>IF(COUNT(AV4)=0,"",ABS(AV137-AV4))</f>
        <v/>
      </c>
      <c r="AW3" s="268" t="str">
        <f>IF(COUNT(AW4)=0,"",ABS(AW137-AW4))</f>
        <v/>
      </c>
      <c r="AX3" s="268" t="str">
        <f>IF(COUNT(AX4)=0,"",ABS(AX137-AX4))</f>
        <v/>
      </c>
      <c r="AY3" s="268" t="str">
        <f>IF(COUNT(AY4)=0,"",ABS(AY137-AY4))</f>
        <v/>
      </c>
      <c r="AZ3" s="268" t="str">
        <f>IF(COUNT(AZ4)=0,"",ABS(AZ137-AZ4))</f>
        <v/>
      </c>
      <c r="BA3" s="268" t="str">
        <f>IF(COUNT(BA4)=0,"",ABS(BA137-BA4))</f>
        <v/>
      </c>
      <c r="BB3" s="268" t="str">
        <f>IF(COUNT(BB4)=0,"",ABS(BB137-BB4))</f>
        <v/>
      </c>
      <c r="BC3" s="268" t="str">
        <f>IF(COUNT(BC4)=0,"",ABS(BC137-BC4))</f>
        <v/>
      </c>
      <c r="BD3" s="268" t="str">
        <f>IF(COUNT(BD4)=0,"",ABS(BD137-BD4))</f>
        <v/>
      </c>
      <c r="BE3" s="268" t="str">
        <f>IF(COUNT(BE4)=0,"",ABS(BE137-BE4))</f>
        <v/>
      </c>
      <c r="BF3" s="268" t="str">
        <f>IF(COUNT(BF4)=0,"",ABS(BF137-BF4))</f>
        <v/>
      </c>
      <c r="BG3" s="268" t="str">
        <f>IF(COUNT(BG4)=0,"",ABS(BG137-BG4))</f>
        <v/>
      </c>
      <c r="BH3" s="268" t="str">
        <f>IF(COUNT(BH4)=0,"",ABS(BH137-BH4))</f>
        <v/>
      </c>
      <c r="BI3" s="268" t="str">
        <f>IF(COUNT(BI4)=0,"",ABS(BI137-BI4))</f>
        <v/>
      </c>
      <c r="BJ3" s="268" t="str">
        <f>IF(COUNT(BJ4)=0,"",ABS(BJ137-BJ4))</f>
        <v/>
      </c>
      <c r="BK3" s="268" t="str">
        <f>IF(COUNT(BK4)=0,"",ABS(BK137-BK4))</f>
        <v/>
      </c>
      <c r="BL3" s="268" t="str">
        <f>IF(COUNT(BL4)=0,"",ABS(BL137-BL4))</f>
        <v/>
      </c>
      <c r="BM3" s="268" t="str">
        <f>IF(COUNT(BM4)=0,"",ABS(BM137-BM4))</f>
        <v/>
      </c>
      <c r="BN3" s="268" t="str">
        <f>IF(COUNT(BN4)=0,"",ABS(BN137-BN4))</f>
        <v/>
      </c>
      <c r="BO3" s="268" t="str">
        <f>IF(COUNT(BO4)=0,"",ABS(BO137-BO4))</f>
        <v/>
      </c>
      <c r="BP3" s="268" t="str">
        <f>IF(COUNT(BP4)=0,"",ABS(BP137-BP4))</f>
        <v/>
      </c>
      <c r="BQ3" s="268" t="str">
        <f>IF(COUNT(BQ4)=0,"",ABS(BQ137-BQ4))</f>
        <v/>
      </c>
      <c r="BR3" s="268" t="str">
        <f>IF(COUNT(BR4)=0,"",ABS(BR137-BR4))</f>
        <v/>
      </c>
      <c r="BS3" s="268" t="str">
        <f>IF(COUNT(BS4)=0,"",ABS(BS137-BS4))</f>
        <v/>
      </c>
      <c r="BT3" s="268" t="str">
        <f>IF(COUNT(BT4)=0,"",ABS(BT137-BT4))</f>
        <v/>
      </c>
      <c r="BU3" s="268" t="str">
        <f>IF(COUNT(BU4)=0,"",ABS(BU137-BU4))</f>
        <v/>
      </c>
      <c r="BV3" s="268" t="str">
        <f>IF(COUNT(BV4)=0,"",ABS(BV137-BV4))</f>
        <v/>
      </c>
      <c r="BW3" s="268" t="str">
        <f>IF(COUNT(BW4)=0,"",ABS(BW137-BW4))</f>
        <v/>
      </c>
      <c r="BX3" s="268" t="str">
        <f>IF(COUNT(BX4)=0,"",ABS(BX137-BX4))</f>
        <v/>
      </c>
      <c r="BY3" s="268" t="str">
        <f>IF(COUNT(BY4)=0,"",ABS(BY137-BY4))</f>
        <v/>
      </c>
      <c r="BZ3" s="268" t="str">
        <f>IF(COUNT(BZ4)=0,"",ABS(BZ137-BZ4))</f>
        <v/>
      </c>
      <c r="CA3" s="268" t="str">
        <f>IF(COUNT(CA4)=0,"",ABS(CA137-CA4))</f>
        <v/>
      </c>
      <c r="CB3" s="268" t="str">
        <f>IF(COUNT(CB4)=0,"",ABS(CB137-CB4))</f>
        <v/>
      </c>
      <c r="CC3" s="268" t="str">
        <f>IF(COUNT(CC4)=0,"",ABS(CC137-CC4))</f>
        <v/>
      </c>
      <c r="CD3" s="268" t="str">
        <f>IF(COUNT(CD4)=0,"",ABS(CD137-CD4))</f>
        <v/>
      </c>
      <c r="CE3" s="268" t="str">
        <f>IF(COUNT(CE4)=0,"",ABS(CE137-CE4))</f>
        <v/>
      </c>
      <c r="CF3" s="268" t="str">
        <f>IF(COUNT(CF4)=0,"",ABS(CF137-CF4))</f>
        <v/>
      </c>
      <c r="CG3" s="268" t="str">
        <f>IF(COUNT(CG4)=0,"",ABS(CG137-CG4))</f>
        <v/>
      </c>
      <c r="CH3" s="268" t="str">
        <f>IF(COUNT(CH4)=0,"",ABS(CH137-CH4))</f>
        <v/>
      </c>
      <c r="CI3" s="268" t="str">
        <f>IF(COUNT(CI4)=0,"",ABS(CI137-CI4))</f>
        <v/>
      </c>
      <c r="CJ3" s="268" t="str">
        <f>IF(COUNT(CJ4)=0,"",ABS(CJ137-CJ4))</f>
        <v/>
      </c>
      <c r="CK3" s="268" t="str">
        <f>IF(COUNT(CK4)=0,"",ABS(CK137-CK4))</f>
        <v/>
      </c>
      <c r="CL3" s="268" t="str">
        <f>IF(COUNT(CL4)=0,"",ABS(CL137-CL4))</f>
        <v/>
      </c>
      <c r="CM3" s="268" t="str">
        <f>IF(COUNT(CM4)=0,"",ABS(CM137-CM4))</f>
        <v/>
      </c>
      <c r="CN3" s="268" t="str">
        <f>IF(COUNT(CN4)=0,"",ABS(CN137-CN4))</f>
        <v/>
      </c>
      <c r="CO3" s="268" t="str">
        <f>IF(COUNT(CO4)=0,"",ABS(CO137-CO4))</f>
        <v/>
      </c>
      <c r="CP3" s="268" t="str">
        <f>IF(COUNT(CP4)=0,"",ABS(CP137-CP4))</f>
        <v/>
      </c>
      <c r="CQ3" s="268" t="str">
        <f>IF(COUNT(CQ4)=0,"",ABS(CQ137-CQ4))</f>
        <v/>
      </c>
      <c r="CR3" s="268" t="str">
        <f>IF(COUNT(CR4)=0,"",ABS(CR137-CR4))</f>
        <v/>
      </c>
      <c r="CS3" s="268" t="str">
        <f>IF(COUNT(CS4)=0,"",ABS(CS137-CS4))</f>
        <v/>
      </c>
      <c r="CT3" s="268" t="str">
        <f>IF(COUNT(CT4)=0,"",ABS(CT137-CT4))</f>
        <v/>
      </c>
      <c r="CU3" s="268" t="str">
        <f>IF(COUNT(CU4)=0,"",ABS(CU137-CU4))</f>
        <v/>
      </c>
      <c r="CV3" s="268" t="str">
        <f>IF(COUNT(CV4)=0,"",ABS(CV137-CV4))</f>
        <v/>
      </c>
      <c r="CW3" s="268" t="str">
        <f>IF(COUNT(CW4)=0,"",ABS(CW137-CW4))</f>
        <v/>
      </c>
      <c r="CX3" s="268" t="str">
        <f>IF(COUNT(CX4)=0,"",ABS(CX137-CX4))</f>
        <v/>
      </c>
      <c r="CY3" s="268" t="str">
        <f>IF(COUNT(CY4)=0,"",ABS(CY137-CY4))</f>
        <v/>
      </c>
    </row>
    <row r="4" outlineLevel="1" ht="12.75" customHeight="1" s="255">
      <c r="C4" s="275" t="inlineStr">
        <is>
          <t>Net Income reportado (lucro liquido) - base do check IS</t>
        </is>
      </c>
      <c r="D4" s="276">
        <f>INDEX('Inputs (2)'!$D$50:$AL$50,MATCH(D$7,'Inputs (2)'!$D$2:$AL$2,0))</f>
        <v>-184</v>
      </c>
      <c r="E4" s="276">
        <f>INDEX('Inputs (2)'!$D$50:$AL$50,MATCH(E$7,'Inputs (2)'!$D$2:$AL$2,0))</f>
        <v>516</v>
      </c>
      <c r="F4" s="276">
        <f>INDEX('Inputs (2)'!$D$50:$AL$50,MATCH(F$7,'Inputs (2)'!$D$2:$AL$2,0))</f>
        <v>262</v>
      </c>
      <c r="G4" s="276">
        <f>INDEX('Inputs (2)'!$D$50:$AL$50,MATCH(G$7,'Inputs (2)'!$D$2:$AL$2,0))</f>
        <v>551</v>
      </c>
      <c r="H4" s="276">
        <f>IF(COUNT(D4:G4)=4,SUM(D4:G4),"")</f>
        <v>1145</v>
      </c>
      <c r="I4" s="276">
        <f>INDEX('Inputs (2)'!$D$50:$AL$50,MATCH(I$7,'Inputs (2)'!$D$2:$AL$2,0))</f>
        <v>831</v>
      </c>
      <c r="J4" s="276">
        <f>INDEX('Inputs (2)'!$D$50:$AL$50,MATCH(J$7,'Inputs (2)'!$D$2:$AL$2,0))</f>
        <v>362</v>
      </c>
      <c r="K4" s="276">
        <f>INDEX('Inputs (2)'!$D$50:$AL$50,MATCH(K$7,'Inputs (2)'!$D$2:$AL$2,0))</f>
        <v>653</v>
      </c>
      <c r="L4" s="276">
        <f>INDEX('Inputs (2)'!$D$50:$AL$50,MATCH(L$7,'Inputs (2)'!$D$2:$AL$2,0))</f>
        <v>231</v>
      </c>
      <c r="M4" s="276">
        <f>IF(COUNT(I4:L4)=4,SUM(I4:L4),"")</f>
        <v>2077</v>
      </c>
      <c r="N4" s="276">
        <f>INDEX('Inputs (2)'!$D$50:$AL$50,MATCH(N$7,'Inputs (2)'!$D$2:$AL$2,0))</f>
        <v>688</v>
      </c>
      <c r="O4" s="276">
        <f>INDEX('Inputs (2)'!$D$50:$AL$50,MATCH(O$7,'Inputs (2)'!$D$2:$AL$2,0))</f>
        <v>206</v>
      </c>
      <c r="P4" s="276">
        <f>INDEX('Inputs (2)'!$D$50:$AL$50,MATCH(P$7,'Inputs (2)'!$D$2:$AL$2,0))</f>
        <v>380</v>
      </c>
      <c r="Q4" s="276">
        <f>INDEX('Inputs (2)'!$D$50:$AL$50,MATCH(Q$7,'Inputs (2)'!$D$2:$AL$2,0))</f>
        <v>336</v>
      </c>
      <c r="R4" s="276">
        <f>IF(COUNT(N4:Q4)=4,SUM(N4:Q4),"")</f>
        <v>1610</v>
      </c>
      <c r="S4" s="276">
        <f>INDEX('Inputs (2)'!$D$50:$AL$50,MATCH(S$7,'Inputs (2)'!$D$2:$AL$2,0))</f>
        <v>632</v>
      </c>
      <c r="T4" s="276">
        <f>INDEX('Inputs (2)'!$D$50:$AL$50,MATCH(T$7,'Inputs (2)'!$D$2:$AL$2,0))</f>
        <v>622</v>
      </c>
      <c r="U4" s="276">
        <f>INDEX('Inputs (2)'!$D$50:$AL$50,MATCH(U$7,'Inputs (2)'!$D$2:$AL$2,0))</f>
        <v>373</v>
      </c>
      <c r="V4" s="276">
        <f>INDEX('Inputs (2)'!$D$50:$AL$50,MATCH(V$7,'Inputs (2)'!$D$2:$AL$2,0))</f>
        <v>616</v>
      </c>
      <c r="W4" s="276">
        <f>IF(COUNT(S4:V4)=4,SUM(S4:V4),"")</f>
        <v>2243</v>
      </c>
      <c r="X4" s="276">
        <f>INDEX('Inputs (2)'!$D$50:$AL$50,MATCH(X$7,'Inputs (2)'!$D$2:$AL$2,0))</f>
        <v>244</v>
      </c>
      <c r="Y4" s="276">
        <f>INDEX('Inputs (2)'!$D$50:$AL$50,MATCH(Y$7,'Inputs (2)'!$D$2:$AL$2,0))</f>
        <v>70</v>
      </c>
      <c r="Z4" s="276">
        <f>INDEX('Inputs (2)'!$D$50:$AL$50,MATCH(Z$7,'Inputs (2)'!$D$2:$AL$2,0))</f>
        <v>221</v>
      </c>
      <c r="AA4" s="276">
        <f>INDEX('Inputs (2)'!$D$50:$AL$50,MATCH(AA$7,'Inputs (2)'!$D$2:$AL$2,0))</f>
        <v>602</v>
      </c>
      <c r="AB4" s="276">
        <f>IF(COUNT(X4:AA4)=4,SUM(X4:AA4),"")</f>
        <v>1137</v>
      </c>
      <c r="AC4" s="276">
        <f>INDEX('Inputs (2)'!$D$50:$AL$50,MATCH(AC$7,'Inputs (2)'!$D$2:$AL$2,0))</f>
        <v>201</v>
      </c>
      <c r="AD4" s="276">
        <f>INDEX('Inputs (2)'!$D$50:$AL$50,MATCH(AD$7,'Inputs (2)'!$D$2:$AL$2,0))</f>
        <v>354</v>
      </c>
      <c r="AE4" s="276">
        <f>INDEX('Inputs (2)'!$D$50:$AL$50,MATCH(AE$7,'Inputs (2)'!$D$2:$AL$2,0))</f>
        <v>166</v>
      </c>
      <c r="AF4" s="276">
        <f>INDEX('Inputs (2)'!$D$50:$AL$50,MATCH(AF$7,'Inputs (2)'!$D$2:$AL$2,0))</f>
        <v>95</v>
      </c>
      <c r="AG4" s="276">
        <f>IF(COUNT(AC4:AF4)=4,SUM(AC4:AF4),"")</f>
        <v>816</v>
      </c>
      <c r="AH4" s="267">
        <f>INDEX('Inputs (2)'!$D$50:$AL$50,MATCH(AH$7,'Inputs (2)'!$D$2:$AL$2,0))</f>
        <v>68</v>
      </c>
      <c r="AI4" s="267">
        <f>INDEX('Inputs (2)'!$D$50:$AL$50,MATCH(AI$7,'Inputs (2)'!$D$2:$AL$2,0))</f>
        <v>678</v>
      </c>
      <c r="AJ4" s="267" t="n"/>
      <c r="AK4" s="267" t="n"/>
      <c r="AL4" s="267" t="n"/>
      <c r="AM4" s="267" t="n"/>
      <c r="AN4" s="267" t="n"/>
      <c r="AO4" s="267" t="n"/>
      <c r="AP4" s="267" t="n"/>
      <c r="AQ4" s="267" t="n"/>
      <c r="AR4" s="267" t="n"/>
      <c r="AS4" s="267" t="n"/>
      <c r="AT4" s="267" t="n"/>
      <c r="AU4" s="267" t="n"/>
      <c r="AV4" s="267" t="n"/>
      <c r="AW4" s="267" t="n"/>
      <c r="AX4" s="267" t="n"/>
      <c r="AY4" s="267" t="n"/>
      <c r="AZ4" s="267" t="n"/>
      <c r="BA4" s="267" t="n"/>
      <c r="BB4" s="267" t="n"/>
      <c r="BC4" s="267" t="n"/>
      <c r="BD4" s="267" t="n"/>
      <c r="BE4" s="267" t="n"/>
      <c r="BF4" s="267" t="n"/>
      <c r="BG4" s="267" t="n"/>
      <c r="BH4" s="267" t="n"/>
      <c r="BI4" s="267" t="n"/>
      <c r="BJ4" s="267" t="n"/>
      <c r="BK4" s="267" t="n"/>
      <c r="BL4" s="267" t="n"/>
      <c r="BM4" s="267" t="n"/>
      <c r="BN4" s="267" t="n"/>
      <c r="BO4" s="267" t="n"/>
      <c r="BP4" s="267" t="n"/>
      <c r="BQ4" s="267" t="n"/>
      <c r="BR4" s="267" t="n"/>
      <c r="BS4" s="267" t="n"/>
      <c r="BT4" s="267" t="n"/>
      <c r="BU4" s="267" t="n"/>
      <c r="BV4" s="267" t="n"/>
      <c r="BW4" s="267" t="n"/>
      <c r="BX4" s="267" t="n"/>
      <c r="BY4" s="267" t="n"/>
      <c r="BZ4" s="267" t="n"/>
      <c r="CA4" s="267" t="n"/>
      <c r="CB4" s="267" t="n"/>
      <c r="CC4" s="267" t="n"/>
      <c r="CD4" s="267" t="n"/>
      <c r="CE4" s="267" t="n"/>
      <c r="CF4" s="267" t="n"/>
      <c r="CG4" s="267" t="n"/>
      <c r="CH4" s="267" t="n"/>
      <c r="CI4" s="267" t="n"/>
      <c r="CJ4" s="267" t="n"/>
      <c r="CK4" s="267" t="n"/>
      <c r="CL4" s="267" t="n"/>
      <c r="CM4" s="267" t="n"/>
      <c r="CN4" s="267" t="n"/>
      <c r="CO4" s="267" t="n"/>
      <c r="CP4" s="267" t="n"/>
      <c r="CQ4" s="267" t="n"/>
      <c r="CR4" s="267" t="n"/>
      <c r="CS4" s="267" t="n"/>
      <c r="CT4" s="267" t="n"/>
      <c r="CU4" s="267" t="n"/>
      <c r="CV4" s="267" t="n"/>
      <c r="CW4" s="267" t="n"/>
      <c r="CX4" s="267" t="n"/>
      <c r="CY4" s="267" t="n"/>
    </row>
    <row r="5" ht="12.75" customHeight="1" s="255">
      <c r="B5" s="277" t="n">
        <v>45930</v>
      </c>
      <c r="D5" s="278" t="n">
        <v>43921</v>
      </c>
      <c r="E5" s="279">
        <f>DATE(YEAR(D5),MONTH(D5)+3,DAY(D5)-1)</f>
        <v>44012.0</v>
      </c>
      <c r="F5" s="279">
        <f>DATE(YEAR(E5),MONTH(E5)+3,DAY(E5))</f>
        <v>44104.0</v>
      </c>
      <c r="G5" s="279">
        <f>DATE(YEAR(F5),MONTH(F5)+3,DAY(F5)+1)</f>
        <v>44196.0</v>
      </c>
      <c r="H5" s="280">
        <f>G5</f>
        <v>44196.0</v>
      </c>
      <c r="I5" s="278" t="n">
        <v>44286</v>
      </c>
      <c r="J5" s="279">
        <f>DATE(YEAR(I5),MONTH(I5)+3,DAY(I5)-1)</f>
        <v>44377.0</v>
      </c>
      <c r="K5" s="279">
        <f>DATE(YEAR(J5),MONTH(J5)+3,DAY(J5))</f>
        <v>44469.0</v>
      </c>
      <c r="L5" s="279">
        <f>DATE(YEAR(K5),MONTH(K5)+3,DAY(K5)+1)</f>
        <v>44561.0</v>
      </c>
      <c r="M5" s="280">
        <f>L5</f>
        <v>44561.0</v>
      </c>
      <c r="N5" s="279">
        <f>DATE(YEAR(M5),MONTH(M5)+3,DAY(M5))</f>
        <v>44651.0</v>
      </c>
      <c r="O5" s="279">
        <f>DATE(YEAR(N5),MONTH(N5)+3,DAY(N5)-1)</f>
        <v>44742.0</v>
      </c>
      <c r="P5" s="279">
        <f>DATE(YEAR(O5),MONTH(O5)+3,DAY(O5))</f>
        <v>44834.0</v>
      </c>
      <c r="Q5" s="279">
        <f>DATE(YEAR(P5),MONTH(P5)+3,DAY(P5)+1)</f>
        <v>44926.0</v>
      </c>
      <c r="R5" s="280">
        <f>Q5</f>
        <v>44926.0</v>
      </c>
      <c r="S5" s="279">
        <f>DATE(YEAR(R5),MONTH(R5)+3,DAY(R5))</f>
        <v>45016.0</v>
      </c>
      <c r="T5" s="279">
        <f>DATE(YEAR(S5),MONTH(S5)+3,DAY(S5))-1</f>
        <v>45107.0</v>
      </c>
      <c r="U5" s="279">
        <f>DATE(YEAR(T5),MONTH(T5)+3,DAY(T5))</f>
        <v>45199.0</v>
      </c>
      <c r="V5" s="279">
        <f>DATE(YEAR(U5),MONTH(U5)+3,DAY(U5))+1</f>
        <v>45291.0</v>
      </c>
      <c r="W5" s="280">
        <f>V5</f>
        <v>45291.0</v>
      </c>
      <c r="X5" s="279">
        <f>DATE(YEAR(W5),MONTH(W5)+3,DAY(W5))</f>
        <v>45382.0</v>
      </c>
      <c r="Y5" s="279">
        <f>DATE(YEAR(X5),MONTH(X5)+3,DAY(X5))-1</f>
        <v>45473.0</v>
      </c>
      <c r="Z5" s="279">
        <f>DATE(YEAR(Y5),MONTH(Y5)+3,DAY(Y5))</f>
        <v>45565.0</v>
      </c>
      <c r="AA5" s="279">
        <f>DATE(YEAR(Z5),MONTH(Z5)+3,DAY(Z5))+1</f>
        <v>45657.0</v>
      </c>
      <c r="AB5" s="280">
        <f>AA5</f>
        <v>45657.0</v>
      </c>
      <c r="AC5" s="279">
        <f>DATE(YEAR(AB5),MONTH(AB5)+3,DAY(AB5))</f>
        <v>45747.0</v>
      </c>
      <c r="AD5" s="279">
        <f>DATE(YEAR(AC5),MONTH(AC5)+3,DAY(AC5))-1</f>
        <v>45838.0</v>
      </c>
      <c r="AE5" s="279">
        <f>DATE(YEAR(AD5),MONTH(AD5)+3,DAY(AD5))</f>
        <v>45930.0</v>
      </c>
      <c r="AF5" s="279">
        <f>DATE(YEAR(AE5),MONTH(AE5)+3,DAY(AE5))+1</f>
        <v>46022.0</v>
      </c>
      <c r="AG5" s="280">
        <f>AF5</f>
        <v>46022.0</v>
      </c>
      <c r="AH5" s="279">
        <f>DATE(YEAR(AG5),MONTH(AG5)+3,DAY(AG5))</f>
        <v>46112.0</v>
      </c>
      <c r="AI5" s="279">
        <f>DATE(YEAR(AH5),MONTH(AH5)+3,DAY(AH5))-1</f>
        <v>46203.0</v>
      </c>
      <c r="AJ5" s="279">
        <f>DATE(YEAR(AI5),MONTH(AI5)+3,DAY(AI5))</f>
        <v>46295.0</v>
      </c>
      <c r="AK5" s="279">
        <f>DATE(YEAR(AJ5),MONTH(AJ5)+3,DAY(AJ5))+1</f>
        <v>46387.0</v>
      </c>
      <c r="AL5" s="280">
        <f>AK5</f>
        <v>46387.0</v>
      </c>
      <c r="AM5" s="279">
        <f>DATE(YEAR(AL5),MONTH(AL5)+3,DAY(AL5))</f>
        <v>46477.0</v>
      </c>
      <c r="AN5" s="279">
        <f>DATE(YEAR(AM5),MONTH(AM5)+3,DAY(AM5))-1</f>
        <v>46568.0</v>
      </c>
      <c r="AO5" s="279">
        <f>DATE(YEAR(AN5),MONTH(AN5)+3,DAY(AN5))</f>
        <v>46660.0</v>
      </c>
      <c r="AP5" s="279">
        <f>DATE(YEAR(AO5),MONTH(AO5)+3,DAY(AO5))+1</f>
        <v>46752.0</v>
      </c>
      <c r="AQ5" s="280">
        <f>AP5</f>
        <v>46752.0</v>
      </c>
      <c r="AR5" s="279">
        <f>DATE(YEAR(AQ5),MONTH(AQ5)+3,DAY(AQ5))</f>
        <v>46843.0</v>
      </c>
      <c r="AS5" s="279">
        <f>DATE(YEAR(AR5),MONTH(AR5)+3,DAY(AR5))-1</f>
        <v>46934.0</v>
      </c>
      <c r="AT5" s="279">
        <f>DATE(YEAR(AS5),MONTH(AS5)+3,DAY(AS5))</f>
        <v>47026.0</v>
      </c>
      <c r="AU5" s="279">
        <f>DATE(YEAR(AT5),MONTH(AT5)+3,DAY(AT5))+1</f>
        <v>47118.0</v>
      </c>
      <c r="AV5" s="280">
        <f>AU5</f>
        <v>47118.0</v>
      </c>
      <c r="AW5" s="279">
        <f>DATE(YEAR(AV5),MONTH(AV5)+3,DAY(AV5))</f>
        <v>47208.0</v>
      </c>
      <c r="AX5" s="279">
        <f>DATE(YEAR(AW5),MONTH(AW5)+3,DAY(AW5))-1</f>
        <v>47299.0</v>
      </c>
      <c r="AY5" s="279">
        <f>DATE(YEAR(AX5),MONTH(AX5)+3,DAY(AX5))</f>
        <v>47391.0</v>
      </c>
      <c r="AZ5" s="279">
        <f>DATE(YEAR(AY5),MONTH(AY5)+3,DAY(AY5))+1</f>
        <v>47483.0</v>
      </c>
      <c r="BA5" s="280">
        <f>AZ5</f>
        <v>47483.0</v>
      </c>
      <c r="BB5" s="279">
        <f>DATE(YEAR(BA5),MONTH(BA5)+3,DAY(BA5))</f>
        <v>47573.0</v>
      </c>
      <c r="BC5" s="279">
        <f>DATE(YEAR(BB5),MONTH(BB5)+3,DAY(BB5))-1</f>
        <v>47664.0</v>
      </c>
      <c r="BD5" s="279">
        <f>DATE(YEAR(BC5),MONTH(BC5)+3,DAY(BC5))</f>
        <v>47756.0</v>
      </c>
      <c r="BE5" s="279">
        <f>DATE(YEAR(BD5),MONTH(BD5)+3,DAY(BD5))+1</f>
        <v>47848.0</v>
      </c>
      <c r="BF5" s="280">
        <f>BE5</f>
        <v>47848.0</v>
      </c>
      <c r="BG5" s="279">
        <f>DATE(YEAR(BF5),MONTH(BF5)+3,DAY(BF5))</f>
        <v>47938.0</v>
      </c>
      <c r="BH5" s="279">
        <f>DATE(YEAR(BG5),MONTH(BG5)+3,DAY(BG5))-1</f>
        <v>48029.0</v>
      </c>
      <c r="BI5" s="279">
        <f>DATE(YEAR(BH5),MONTH(BH5)+3,DAY(BH5))</f>
        <v>48121.0</v>
      </c>
      <c r="BJ5" s="279">
        <f>DATE(YEAR(BI5),MONTH(BI5)+3,DAY(BI5))+1</f>
        <v>48213.0</v>
      </c>
      <c r="BK5" s="280">
        <f>BJ5</f>
        <v>48213.0</v>
      </c>
      <c r="BL5" s="279">
        <f>DATE(YEAR(BK5),MONTH(BK5)+3,DAY(BK5))</f>
        <v>48304.0</v>
      </c>
      <c r="BM5" s="279">
        <f>DATE(YEAR(BL5),MONTH(BL5)+3,DAY(BL5))-1</f>
        <v>48395.0</v>
      </c>
      <c r="BN5" s="279">
        <f>DATE(YEAR(BM5),MONTH(BM5)+3,DAY(BM5))</f>
        <v>48487.0</v>
      </c>
      <c r="BO5" s="279">
        <f>DATE(YEAR(BN5),MONTH(BN5)+3,DAY(BN5))+1</f>
        <v>48579.0</v>
      </c>
      <c r="BP5" s="280">
        <f>BO5</f>
        <v>48579.0</v>
      </c>
      <c r="BQ5" s="279">
        <f>DATE(YEAR(BP5),MONTH(BP5)+3,DAY(BP5))</f>
        <v>48669.0</v>
      </c>
      <c r="BR5" s="279">
        <f>DATE(YEAR(BQ5),MONTH(BQ5)+3,DAY(BQ5))-1</f>
        <v>48760.0</v>
      </c>
      <c r="BS5" s="279">
        <f>DATE(YEAR(BR5),MONTH(BR5)+3,DAY(BR5))</f>
        <v>48852.0</v>
      </c>
      <c r="BT5" s="279">
        <f>DATE(YEAR(BS5),MONTH(BS5)+3,DAY(BS5))+1</f>
        <v>48944.0</v>
      </c>
      <c r="BU5" s="280">
        <f>BT5</f>
        <v>48944.0</v>
      </c>
      <c r="BV5" s="279">
        <f>DATE(YEAR(BU5),MONTH(BU5)+3,DAY(BU5))</f>
        <v>49034.0</v>
      </c>
      <c r="BW5" s="279">
        <f>DATE(YEAR(BV5),MONTH(BV5)+3,DAY(BV5))-1</f>
        <v>49125.0</v>
      </c>
      <c r="BX5" s="279">
        <f>DATE(YEAR(BW5),MONTH(BW5)+3,DAY(BW5))</f>
        <v>49217.0</v>
      </c>
      <c r="BY5" s="279">
        <f>DATE(YEAR(BX5),MONTH(BX5)+3,DAY(BX5))+1</f>
        <v>49309.0</v>
      </c>
      <c r="BZ5" s="280">
        <f>BY5</f>
        <v>49309.0</v>
      </c>
      <c r="CA5" s="279">
        <f>DATE(YEAR(BZ5),MONTH(BZ5)+3,DAY(BZ5))</f>
        <v>49399.0</v>
      </c>
      <c r="CB5" s="279">
        <f>DATE(YEAR(CA5),MONTH(CA5)+3,DAY(CA5))-1</f>
        <v>49490.0</v>
      </c>
      <c r="CC5" s="279">
        <f>DATE(YEAR(CB5),MONTH(CB5)+3,DAY(CB5))</f>
        <v>49582.0</v>
      </c>
      <c r="CD5" s="279">
        <f>DATE(YEAR(CC5),MONTH(CC5)+3,DAY(CC5))+1</f>
        <v>49674.0</v>
      </c>
      <c r="CE5" s="280">
        <f>CD5</f>
        <v>49674.0</v>
      </c>
      <c r="CF5" s="279">
        <f>DATE(YEAR(CE5),MONTH(CE5)+3,DAY(CE5))</f>
        <v>49765.0</v>
      </c>
      <c r="CG5" s="279">
        <f>DATE(YEAR(CF5),MONTH(CF5)+3,DAY(CF5))-1</f>
        <v>49856.0</v>
      </c>
      <c r="CH5" s="279">
        <f>DATE(YEAR(CG5),MONTH(CG5)+3,DAY(CG5))</f>
        <v>49948.0</v>
      </c>
      <c r="CI5" s="279">
        <f>DATE(YEAR(CH5),MONTH(CH5)+3,DAY(CH5))+1</f>
        <v>50040.0</v>
      </c>
      <c r="CJ5" s="280">
        <f>CI5</f>
        <v>50040.0</v>
      </c>
      <c r="CK5" s="279">
        <f>DATE(YEAR(CJ5),MONTH(CJ5)+3,DAY(CJ5))</f>
        <v>50130.0</v>
      </c>
      <c r="CL5" s="279">
        <f>DATE(YEAR(CK5),MONTH(CK5)+3,DAY(CK5))-1</f>
        <v>50221.0</v>
      </c>
      <c r="CM5" s="279">
        <f>DATE(YEAR(CL5),MONTH(CL5)+3,DAY(CL5))</f>
        <v>50313.0</v>
      </c>
      <c r="CN5" s="279">
        <f>DATE(YEAR(CM5),MONTH(CM5)+3,DAY(CM5))+1</f>
        <v>50405.0</v>
      </c>
      <c r="CO5" s="280">
        <f>CN5</f>
        <v>50405.0</v>
      </c>
      <c r="CP5" s="279">
        <f>DATE(YEAR(CO5),MONTH(CO5)+3,DAY(CO5))</f>
        <v>50495.0</v>
      </c>
      <c r="CQ5" s="279">
        <f>DATE(YEAR(CP5),MONTH(CP5)+3,DAY(CP5))-1</f>
        <v>50586.0</v>
      </c>
      <c r="CR5" s="279">
        <f>DATE(YEAR(CQ5),MONTH(CQ5)+3,DAY(CQ5))</f>
        <v>50678.0</v>
      </c>
      <c r="CS5" s="279">
        <f>DATE(YEAR(CR5),MONTH(CR5)+3,DAY(CR5))+1</f>
        <v>50770.0</v>
      </c>
      <c r="CT5" s="280">
        <f>CS5</f>
        <v>50770.0</v>
      </c>
      <c r="CU5" s="279">
        <f>DATE(YEAR(CT5),MONTH(CT5)+3,DAY(CT5))</f>
        <v>50860.0</v>
      </c>
      <c r="CV5" s="279">
        <f>DATE(YEAR(CU5),MONTH(CU5)+3,DAY(CU5))-1</f>
        <v>50951.0</v>
      </c>
      <c r="CW5" s="279">
        <f>DATE(YEAR(CV5),MONTH(CV5)+3,DAY(CV5))</f>
        <v>51043.0</v>
      </c>
      <c r="CX5" s="279">
        <f>DATE(YEAR(CW5),MONTH(CW5)+3,DAY(CW5))+1</f>
        <v>51135.0</v>
      </c>
      <c r="CY5" s="280">
        <f>CX5</f>
        <v>51135.0</v>
      </c>
    </row>
    <row r="6" ht="12.75" customHeight="1" s="255">
      <c r="B6" s="281" t="n"/>
      <c r="D6" s="282">
        <f>YEAR(D5)</f>
        <v>2020</v>
      </c>
      <c r="E6" s="282">
        <f>YEAR(E5)</f>
        <v>2020</v>
      </c>
      <c r="F6" s="282">
        <f>YEAR(F5)</f>
        <v>2020</v>
      </c>
      <c r="G6" s="282">
        <f>YEAR(G5)</f>
        <v>2020</v>
      </c>
      <c r="H6" s="282">
        <f>YEAR(H5)</f>
        <v>2020</v>
      </c>
      <c r="I6" s="282">
        <f>YEAR(I5)</f>
        <v>2021</v>
      </c>
      <c r="J6" s="282">
        <f>YEAR(J5)</f>
        <v>2021</v>
      </c>
      <c r="K6" s="282">
        <f>YEAR(K5)</f>
        <v>2021</v>
      </c>
      <c r="L6" s="282">
        <f>YEAR(L5)</f>
        <v>2021</v>
      </c>
      <c r="M6" s="282">
        <f>YEAR(M5)</f>
        <v>2021</v>
      </c>
      <c r="N6" s="282">
        <f>YEAR(N5)</f>
        <v>2022</v>
      </c>
      <c r="O6" s="282">
        <f>YEAR(O5)</f>
        <v>2022</v>
      </c>
      <c r="P6" s="282">
        <f>YEAR(P5)</f>
        <v>2022</v>
      </c>
      <c r="Q6" s="282">
        <f>YEAR(Q5)</f>
        <v>2022</v>
      </c>
      <c r="R6" s="282">
        <f>YEAR(R5)</f>
        <v>2022</v>
      </c>
      <c r="S6" s="282">
        <f>YEAR(S5)</f>
        <v>2023</v>
      </c>
      <c r="T6" s="282">
        <f>YEAR(T5)</f>
        <v>2023</v>
      </c>
      <c r="U6" s="282">
        <f>YEAR(U5)</f>
        <v>2023</v>
      </c>
      <c r="V6" s="282">
        <f>YEAR(V5)</f>
        <v>2023</v>
      </c>
      <c r="W6" s="282">
        <f>YEAR(W5)</f>
        <v>2023</v>
      </c>
      <c r="X6" s="282">
        <f>YEAR(X5)</f>
        <v>2024</v>
      </c>
      <c r="Y6" s="282">
        <f>YEAR(Y5)</f>
        <v>2024</v>
      </c>
      <c r="Z6" s="282">
        <f>YEAR(Z5)</f>
        <v>2024</v>
      </c>
      <c r="AA6" s="282">
        <f>YEAR(AA5)</f>
        <v>2024</v>
      </c>
      <c r="AB6" s="282">
        <f>YEAR(AB5)</f>
        <v>2024</v>
      </c>
      <c r="AC6" s="282">
        <f>YEAR(AC5)</f>
        <v>2025</v>
      </c>
      <c r="AD6" s="282">
        <f>YEAR(AD5)</f>
        <v>2025</v>
      </c>
      <c r="AE6" s="282">
        <f>YEAR(AE5)</f>
        <v>2025</v>
      </c>
      <c r="AF6" s="282">
        <f>YEAR(AF5)</f>
        <v>2025</v>
      </c>
      <c r="AG6" s="282">
        <f>YEAR(AG5)</f>
        <v>2025</v>
      </c>
      <c r="AH6" s="282">
        <f>YEAR(AH5)</f>
        <v>2026</v>
      </c>
      <c r="AI6" s="282">
        <f>YEAR(AI5)</f>
        <v>2026</v>
      </c>
      <c r="AJ6" s="282">
        <f>YEAR(AJ5)</f>
        <v>2026</v>
      </c>
      <c r="AK6" s="282">
        <f>YEAR(AK5)</f>
        <v>2026</v>
      </c>
      <c r="AL6" s="282">
        <f>YEAR(AL5)</f>
        <v>2026</v>
      </c>
      <c r="AM6" s="282">
        <f>YEAR(AM5)</f>
        <v>2027</v>
      </c>
      <c r="AN6" s="282">
        <f>YEAR(AN5)</f>
        <v>2027</v>
      </c>
      <c r="AO6" s="282">
        <f>YEAR(AO5)</f>
        <v>2027</v>
      </c>
      <c r="AP6" s="282">
        <f>YEAR(AP5)</f>
        <v>2027</v>
      </c>
      <c r="AQ6" s="282">
        <f>YEAR(AQ5)</f>
        <v>2027</v>
      </c>
      <c r="AR6" s="282">
        <f>YEAR(AR5)</f>
        <v>2028</v>
      </c>
      <c r="AS6" s="282">
        <f>YEAR(AS5)</f>
        <v>2028</v>
      </c>
      <c r="AT6" s="282">
        <f>YEAR(AT5)</f>
        <v>2028</v>
      </c>
      <c r="AU6" s="282">
        <f>YEAR(AU5)</f>
        <v>2028</v>
      </c>
      <c r="AV6" s="282">
        <f>YEAR(AV5)</f>
        <v>2028</v>
      </c>
      <c r="AW6" s="282">
        <f>YEAR(AW5)</f>
        <v>2029</v>
      </c>
      <c r="AX6" s="282">
        <f>YEAR(AX5)</f>
        <v>2029</v>
      </c>
      <c r="AY6" s="282">
        <f>YEAR(AY5)</f>
        <v>2029</v>
      </c>
      <c r="AZ6" s="282">
        <f>YEAR(AZ5)</f>
        <v>2029</v>
      </c>
      <c r="BA6" s="282">
        <f>YEAR(BA5)</f>
        <v>2029</v>
      </c>
      <c r="BB6" s="282">
        <f>YEAR(BB5)</f>
        <v>2030</v>
      </c>
      <c r="BC6" s="282">
        <f>YEAR(BC5)</f>
        <v>2030</v>
      </c>
      <c r="BD6" s="282">
        <f>YEAR(BD5)</f>
        <v>2030</v>
      </c>
      <c r="BE6" s="282">
        <f>YEAR(BE5)</f>
        <v>2030</v>
      </c>
      <c r="BF6" s="282">
        <f>YEAR(BF5)</f>
        <v>2030</v>
      </c>
      <c r="BG6" s="282">
        <f>YEAR(BG5)</f>
        <v>2031</v>
      </c>
      <c r="BH6" s="282">
        <f>YEAR(BH5)</f>
        <v>2031</v>
      </c>
      <c r="BI6" s="282">
        <f>YEAR(BI5)</f>
        <v>2031</v>
      </c>
      <c r="BJ6" s="282">
        <f>YEAR(BJ5)</f>
        <v>2031</v>
      </c>
      <c r="BK6" s="282">
        <f>YEAR(BK5)</f>
        <v>2031</v>
      </c>
      <c r="BL6" s="282">
        <f>YEAR(BL5)</f>
        <v>2032</v>
      </c>
      <c r="BM6" s="282">
        <f>YEAR(BM5)</f>
        <v>2032</v>
      </c>
      <c r="BN6" s="282">
        <f>YEAR(BN5)</f>
        <v>2032</v>
      </c>
      <c r="BO6" s="282">
        <f>YEAR(BO5)</f>
        <v>2032</v>
      </c>
      <c r="BP6" s="282">
        <f>YEAR(BP5)</f>
        <v>2032</v>
      </c>
      <c r="BQ6" s="282">
        <f>YEAR(BQ5)</f>
        <v>2033</v>
      </c>
      <c r="BR6" s="282">
        <f>YEAR(BR5)</f>
        <v>2033</v>
      </c>
      <c r="BS6" s="282">
        <f>YEAR(BS5)</f>
        <v>2033</v>
      </c>
      <c r="BT6" s="282">
        <f>YEAR(BT5)</f>
        <v>2033</v>
      </c>
      <c r="BU6" s="282">
        <f>YEAR(BU5)</f>
        <v>2033</v>
      </c>
      <c r="BV6" s="282">
        <f>YEAR(BV5)</f>
        <v>2034</v>
      </c>
      <c r="BW6" s="282">
        <f>YEAR(BW5)</f>
        <v>2034</v>
      </c>
      <c r="BX6" s="282">
        <f>YEAR(BX5)</f>
        <v>2034</v>
      </c>
      <c r="BY6" s="282">
        <f>YEAR(BY5)</f>
        <v>2034</v>
      </c>
      <c r="BZ6" s="282">
        <f>YEAR(BZ5)</f>
        <v>2034</v>
      </c>
      <c r="CA6" s="282">
        <f>YEAR(CA5)</f>
        <v>2035</v>
      </c>
      <c r="CB6" s="282">
        <f>YEAR(CB5)</f>
        <v>2035</v>
      </c>
      <c r="CC6" s="282">
        <f>YEAR(CC5)</f>
        <v>2035</v>
      </c>
      <c r="CD6" s="282">
        <f>YEAR(CD5)</f>
        <v>2035</v>
      </c>
      <c r="CE6" s="282">
        <f>YEAR(CE5)</f>
        <v>2035</v>
      </c>
      <c r="CF6" s="282">
        <f>YEAR(CF5)</f>
        <v>2036</v>
      </c>
      <c r="CG6" s="282">
        <f>YEAR(CG5)</f>
        <v>2036</v>
      </c>
      <c r="CH6" s="282">
        <f>YEAR(CH5)</f>
        <v>2036</v>
      </c>
      <c r="CI6" s="282">
        <f>YEAR(CI5)</f>
        <v>2036</v>
      </c>
      <c r="CJ6" s="282">
        <f>YEAR(CJ5)</f>
        <v>2036</v>
      </c>
      <c r="CK6" s="282">
        <f>YEAR(CK5)</f>
        <v>2037</v>
      </c>
      <c r="CL6" s="282">
        <f>YEAR(CL5)</f>
        <v>2037</v>
      </c>
      <c r="CM6" s="282">
        <f>YEAR(CM5)</f>
        <v>2037</v>
      </c>
      <c r="CN6" s="282">
        <f>YEAR(CN5)</f>
        <v>2037</v>
      </c>
      <c r="CO6" s="282">
        <f>YEAR(CO5)</f>
        <v>2037</v>
      </c>
      <c r="CP6" s="282">
        <f>YEAR(CP5)</f>
        <v>2038</v>
      </c>
      <c r="CQ6" s="282">
        <f>YEAR(CQ5)</f>
        <v>2038</v>
      </c>
      <c r="CR6" s="282">
        <f>YEAR(CR5)</f>
        <v>2038</v>
      </c>
      <c r="CS6" s="282">
        <f>YEAR(CS5)</f>
        <v>2038</v>
      </c>
      <c r="CT6" s="282">
        <f>YEAR(CT5)</f>
        <v>2038</v>
      </c>
      <c r="CU6" s="282">
        <f>YEAR(CU5)</f>
        <v>2039</v>
      </c>
      <c r="CV6" s="282">
        <f>YEAR(CV5)</f>
        <v>2039</v>
      </c>
      <c r="CW6" s="282">
        <f>YEAR(CW5)</f>
        <v>2039</v>
      </c>
      <c r="CX6" s="282">
        <f>YEAR(CX5)</f>
        <v>2039</v>
      </c>
      <c r="CY6" s="282">
        <f>YEAR(CY5)</f>
        <v>2039</v>
      </c>
    </row>
    <row r="7" ht="12.75" customHeight="1" s="255">
      <c r="B7" s="260" t="n"/>
      <c r="D7" s="261" t="str">
        <f>"1Q"&amp;RIGHT(D6,2)</f>
        <v>1Q20</v>
      </c>
      <c r="E7" s="261" t="str">
        <f>"2Q"&amp;RIGHT(E6,2)</f>
        <v>2Q20</v>
      </c>
      <c r="F7" s="261" t="str">
        <f>"3Q"&amp;RIGHT(F6,2)</f>
        <v>3Q20</v>
      </c>
      <c r="G7" s="261" t="str">
        <f>"4Q"&amp;RIGHT(G6,2)</f>
        <v>4Q20</v>
      </c>
      <c r="H7" s="283" t="n">
        <v>2020</v>
      </c>
      <c r="I7" s="261" t="str">
        <f>"1Q"&amp;RIGHT(I6,2)</f>
        <v>1Q21</v>
      </c>
      <c r="J7" s="261" t="str">
        <f>"2Q"&amp;RIGHT(J6,2)</f>
        <v>2Q21</v>
      </c>
      <c r="K7" s="261" t="str">
        <f>"3Q"&amp;RIGHT(K6,2)</f>
        <v>3Q21</v>
      </c>
      <c r="L7" s="261" t="str">
        <f>"4Q"&amp;RIGHT(L6,2)</f>
        <v>4Q21</v>
      </c>
      <c r="M7" s="283">
        <f>H7+1</f>
        <v>2021</v>
      </c>
      <c r="N7" s="261" t="str">
        <f>"1Q"&amp;RIGHT(N6,2)</f>
        <v>1Q22</v>
      </c>
      <c r="O7" s="261" t="str">
        <f>"2Q"&amp;RIGHT(O6,2)</f>
        <v>2Q22</v>
      </c>
      <c r="P7" s="261" t="str">
        <f>"3Q"&amp;RIGHT(P6,2)</f>
        <v>3Q22</v>
      </c>
      <c r="Q7" s="261" t="str">
        <f>"4Q"&amp;RIGHT(Q6,2)</f>
        <v>4Q22</v>
      </c>
      <c r="R7" s="283">
        <f>M7+1</f>
        <v>2022</v>
      </c>
      <c r="S7" s="261" t="str">
        <f>"1Q"&amp;RIGHT(S6,2)</f>
        <v>1Q23</v>
      </c>
      <c r="T7" s="261" t="str">
        <f>"2Q"&amp;RIGHT(T6,2)</f>
        <v>2Q23</v>
      </c>
      <c r="U7" s="261" t="str">
        <f>"3Q"&amp;RIGHT(U6,2)</f>
        <v>3Q23</v>
      </c>
      <c r="V7" s="261" t="str">
        <f>"4Q"&amp;RIGHT(V6,2)</f>
        <v>4Q23</v>
      </c>
      <c r="W7" s="283">
        <f>R7+1</f>
        <v>2023</v>
      </c>
      <c r="X7" s="261" t="str">
        <f>"1Q"&amp;RIGHT(X6,2)</f>
        <v>1Q24</v>
      </c>
      <c r="Y7" s="261" t="str">
        <f>"2Q"&amp;RIGHT(Y6,2)</f>
        <v>2Q24</v>
      </c>
      <c r="Z7" s="261" t="str">
        <f>"3Q"&amp;RIGHT(Z6,2)</f>
        <v>3Q24</v>
      </c>
      <c r="AA7" s="261" t="str">
        <f>"4Q"&amp;RIGHT(AA6,2)</f>
        <v>4Q24</v>
      </c>
      <c r="AB7" s="283">
        <f>W7+1</f>
        <v>2024</v>
      </c>
      <c r="AC7" s="261" t="str">
        <f>"1Q"&amp;RIGHT(AC6,2)</f>
        <v>1Q25</v>
      </c>
      <c r="AD7" s="261" t="str">
        <f>"2Q"&amp;RIGHT(AD6,2)</f>
        <v>2Q25</v>
      </c>
      <c r="AE7" s="261" t="str">
        <f>"3Q"&amp;RIGHT(AE6,2)</f>
        <v>3Q25</v>
      </c>
      <c r="AF7" s="261" t="str">
        <f>"4Q"&amp;RIGHT(AF6,2)</f>
        <v>4Q25</v>
      </c>
      <c r="AG7" s="283">
        <f>AB7+1</f>
        <v>2025</v>
      </c>
      <c r="AH7" s="261" t="str">
        <f>"1Q"&amp;RIGHT(AH6,2)</f>
        <v>1Q26</v>
      </c>
      <c r="AI7" s="261" t="str">
        <f>"2Q"&amp;RIGHT(AI6,2)</f>
        <v>2Q26</v>
      </c>
      <c r="AJ7" s="261" t="str">
        <f>"3Q"&amp;RIGHT(AJ6,2)</f>
        <v>3Q26</v>
      </c>
      <c r="AK7" s="261" t="str">
        <f>"4Q"&amp;RIGHT(AK6,2)</f>
        <v>4Q26</v>
      </c>
      <c r="AL7" s="283">
        <f>AG7+1</f>
        <v>2026</v>
      </c>
      <c r="AM7" s="261" t="str">
        <f>"1Q"&amp;RIGHT(AM6,2)</f>
        <v>1Q27</v>
      </c>
      <c r="AN7" s="261" t="str">
        <f>"2Q"&amp;RIGHT(AN6,2)</f>
        <v>2Q27</v>
      </c>
      <c r="AO7" s="261" t="str">
        <f>"3Q"&amp;RIGHT(AO6,2)</f>
        <v>3Q27</v>
      </c>
      <c r="AP7" s="261" t="str">
        <f>"4Q"&amp;RIGHT(AP6,2)</f>
        <v>4Q27</v>
      </c>
      <c r="AQ7" s="283">
        <f>AL7+1</f>
        <v>2027</v>
      </c>
      <c r="AR7" s="261" t="str">
        <f>"1Q"&amp;RIGHT(AR6,2)</f>
        <v>1Q28</v>
      </c>
      <c r="AS7" s="261" t="str">
        <f>"2Q"&amp;RIGHT(AS6,2)</f>
        <v>2Q28</v>
      </c>
      <c r="AT7" s="261" t="str">
        <f>"3Q"&amp;RIGHT(AT6,2)</f>
        <v>3Q28</v>
      </c>
      <c r="AU7" s="261" t="str">
        <f>"4Q"&amp;RIGHT(AU6,2)</f>
        <v>4Q28</v>
      </c>
      <c r="AV7" s="283">
        <f>AQ7+1</f>
        <v>2028</v>
      </c>
      <c r="AW7" s="261" t="str">
        <f>"1Q"&amp;RIGHT(AW6,2)</f>
        <v>1Q29</v>
      </c>
      <c r="AX7" s="261" t="str">
        <f>"2Q"&amp;RIGHT(AX6,2)</f>
        <v>2Q29</v>
      </c>
      <c r="AY7" s="261" t="str">
        <f>"3Q"&amp;RIGHT(AY6,2)</f>
        <v>3Q29</v>
      </c>
      <c r="AZ7" s="261" t="str">
        <f>"4Q"&amp;RIGHT(AZ6,2)</f>
        <v>4Q29</v>
      </c>
      <c r="BA7" s="283">
        <f>AV7+1</f>
        <v>2029</v>
      </c>
      <c r="BB7" s="261" t="str">
        <f>"1Q"&amp;RIGHT(BB6,2)</f>
        <v>1Q30</v>
      </c>
      <c r="BC7" s="261" t="str">
        <f>"2Q"&amp;RIGHT(BC6,2)</f>
        <v>2Q30</v>
      </c>
      <c r="BD7" s="261" t="str">
        <f>"3Q"&amp;RIGHT(BD6,2)</f>
        <v>3Q30</v>
      </c>
      <c r="BE7" s="261" t="str">
        <f>"4Q"&amp;RIGHT(BE6,2)</f>
        <v>4Q30</v>
      </c>
      <c r="BF7" s="283">
        <f>BA7+1</f>
        <v>2030</v>
      </c>
      <c r="BG7" s="261" t="str">
        <f>"1Q"&amp;RIGHT(BG6,2)</f>
        <v>1Q31</v>
      </c>
      <c r="BH7" s="261" t="str">
        <f>"2Q"&amp;RIGHT(BH6,2)</f>
        <v>2Q31</v>
      </c>
      <c r="BI7" s="261" t="str">
        <f>"3Q"&amp;RIGHT(BI6,2)</f>
        <v>3Q31</v>
      </c>
      <c r="BJ7" s="261" t="str">
        <f>"4Q"&amp;RIGHT(BJ6,2)</f>
        <v>4Q31</v>
      </c>
      <c r="BK7" s="283">
        <f>BF7+1</f>
        <v>2031</v>
      </c>
      <c r="BL7" s="261" t="str">
        <f>"1Q"&amp;RIGHT(BL6,2)</f>
        <v>1Q32</v>
      </c>
      <c r="BM7" s="261" t="str">
        <f>"2Q"&amp;RIGHT(BM6,2)</f>
        <v>2Q32</v>
      </c>
      <c r="BN7" s="261" t="str">
        <f>"3Q"&amp;RIGHT(BN6,2)</f>
        <v>3Q32</v>
      </c>
      <c r="BO7" s="261" t="str">
        <f>"4Q"&amp;RIGHT(BO6,2)</f>
        <v>4Q32</v>
      </c>
      <c r="BP7" s="283">
        <f>BK7+1</f>
        <v>2032</v>
      </c>
      <c r="BQ7" s="261" t="str">
        <f>"1Q"&amp;RIGHT(BQ6,2)</f>
        <v>1Q33</v>
      </c>
      <c r="BR7" s="261" t="str">
        <f>"2Q"&amp;RIGHT(BR6,2)</f>
        <v>2Q33</v>
      </c>
      <c r="BS7" s="261" t="str">
        <f>"3Q"&amp;RIGHT(BS6,2)</f>
        <v>3Q33</v>
      </c>
      <c r="BT7" s="261" t="str">
        <f>"4Q"&amp;RIGHT(BT6,2)</f>
        <v>4Q33</v>
      </c>
      <c r="BU7" s="283">
        <f>BP7+1</f>
        <v>2033</v>
      </c>
      <c r="BV7" s="261" t="str">
        <f>"1Q"&amp;RIGHT(BV6,2)</f>
        <v>1Q34</v>
      </c>
      <c r="BW7" s="261" t="str">
        <f>"2Q"&amp;RIGHT(BW6,2)</f>
        <v>2Q34</v>
      </c>
      <c r="BX7" s="261" t="str">
        <f>"3Q"&amp;RIGHT(BX6,2)</f>
        <v>3Q34</v>
      </c>
      <c r="BY7" s="261" t="str">
        <f>"4Q"&amp;RIGHT(BY6,2)</f>
        <v>4Q34</v>
      </c>
      <c r="BZ7" s="283">
        <f>BU7+1</f>
        <v>2034</v>
      </c>
      <c r="CA7" s="261" t="str">
        <f>"1Q"&amp;RIGHT(CA6,2)</f>
        <v>1Q35</v>
      </c>
      <c r="CB7" s="261" t="str">
        <f>"2Q"&amp;RIGHT(CB6,2)</f>
        <v>2Q35</v>
      </c>
      <c r="CC7" s="261" t="str">
        <f>"3Q"&amp;RIGHT(CC6,2)</f>
        <v>3Q35</v>
      </c>
      <c r="CD7" s="261" t="str">
        <f>"4Q"&amp;RIGHT(CD6,2)</f>
        <v>4Q35</v>
      </c>
      <c r="CE7" s="283">
        <f>BZ7+1</f>
        <v>2035</v>
      </c>
      <c r="CF7" s="261" t="str">
        <f>"1Q"&amp;RIGHT(CF6,2)</f>
        <v>1Q36</v>
      </c>
      <c r="CG7" s="261" t="str">
        <f>"2Q"&amp;RIGHT(CG6,2)</f>
        <v>2Q36</v>
      </c>
      <c r="CH7" s="261" t="str">
        <f>"3Q"&amp;RIGHT(CH6,2)</f>
        <v>3Q36</v>
      </c>
      <c r="CI7" s="261" t="str">
        <f>"4Q"&amp;RIGHT(CI6,2)</f>
        <v>4Q36</v>
      </c>
      <c r="CJ7" s="283">
        <f>CE7+1</f>
        <v>2036</v>
      </c>
      <c r="CK7" s="261" t="str">
        <f>"1Q"&amp;RIGHT(CK6,2)</f>
        <v>1Q37</v>
      </c>
      <c r="CL7" s="261" t="str">
        <f>"2Q"&amp;RIGHT(CL6,2)</f>
        <v>2Q37</v>
      </c>
      <c r="CM7" s="261" t="str">
        <f>"3Q"&amp;RIGHT(CM6,2)</f>
        <v>3Q37</v>
      </c>
      <c r="CN7" s="261" t="str">
        <f>"4Q"&amp;RIGHT(CN6,2)</f>
        <v>4Q37</v>
      </c>
      <c r="CO7" s="283">
        <f>CJ7+1</f>
        <v>2037</v>
      </c>
      <c r="CP7" s="261" t="str">
        <f>"1Q"&amp;RIGHT(CP6,2)</f>
        <v>1Q38</v>
      </c>
      <c r="CQ7" s="261" t="str">
        <f>"2Q"&amp;RIGHT(CQ6,2)</f>
        <v>2Q38</v>
      </c>
      <c r="CR7" s="261" t="str">
        <f>"3Q"&amp;RIGHT(CR6,2)</f>
        <v>3Q38</v>
      </c>
      <c r="CS7" s="261" t="str">
        <f>"4Q"&amp;RIGHT(CS6,2)</f>
        <v>4Q38</v>
      </c>
      <c r="CT7" s="283">
        <f>CO7+1</f>
        <v>2038</v>
      </c>
      <c r="CU7" s="261" t="str">
        <f>"1Q"&amp;RIGHT(CU6,2)</f>
        <v>1Q39</v>
      </c>
      <c r="CV7" s="261" t="str">
        <f>"2Q"&amp;RIGHT(CV6,2)</f>
        <v>2Q39</v>
      </c>
      <c r="CW7" s="261" t="str">
        <f>"3Q"&amp;RIGHT(CW6,2)</f>
        <v>3Q39</v>
      </c>
      <c r="CX7" s="261" t="str">
        <f>"4Q"&amp;RIGHT(CX6,2)</f>
        <v>4Q39</v>
      </c>
      <c r="CY7" s="283">
        <f>CT7+1</f>
        <v>2039</v>
      </c>
    </row>
    <row r="8" ht="12.75" customHeight="1" s="255">
      <c r="B8" s="260" t="n"/>
      <c r="C8" s="260" t="inlineStr">
        <is>
          <t>IPCA</t>
        </is>
      </c>
      <c r="D8" s="261" t="n"/>
      <c r="E8" s="261" t="n"/>
      <c r="F8" s="261" t="n"/>
      <c r="G8" s="261" t="n"/>
      <c r="H8" s="284" t="n">
        <v>0.0485</v>
      </c>
      <c r="I8" s="261" t="n"/>
      <c r="J8" s="261" t="n"/>
      <c r="K8" s="261" t="n"/>
      <c r="L8" s="261" t="n"/>
      <c r="M8" s="284" t="n">
        <v>0.1006</v>
      </c>
      <c r="N8" s="261" t="n"/>
      <c r="O8" s="261" t="n"/>
      <c r="P8" s="261" t="n"/>
      <c r="Q8" s="261" t="n"/>
      <c r="R8" s="284" t="n">
        <v>0.0579</v>
      </c>
      <c r="S8" s="261" t="n"/>
      <c r="T8" s="261" t="n"/>
      <c r="U8" s="261" t="n"/>
      <c r="V8" s="261" t="n"/>
      <c r="W8" s="284" t="n">
        <v>0.0468</v>
      </c>
      <c r="X8" s="261" t="n"/>
      <c r="Y8" s="261" t="n"/>
      <c r="Z8" s="261" t="n"/>
      <c r="AA8" s="261" t="n"/>
      <c r="AB8" s="284" t="n">
        <v>0.0483</v>
      </c>
      <c r="AC8" s="261" t="n"/>
      <c r="AD8" s="261" t="n"/>
      <c r="AE8" s="261" t="n"/>
      <c r="AF8" s="261" t="n"/>
      <c r="AG8" s="284" t="n">
        <v>0.0468</v>
      </c>
      <c r="AH8" s="261" t="n"/>
      <c r="AI8" s="261" t="n"/>
      <c r="AJ8" s="261" t="n"/>
      <c r="AK8" s="261" t="n"/>
      <c r="AL8" s="285" t="n"/>
      <c r="AM8" s="261" t="n"/>
      <c r="AN8" s="261" t="n"/>
      <c r="AO8" s="261" t="n"/>
      <c r="AP8" s="261" t="n"/>
      <c r="AQ8" s="285" t="n"/>
      <c r="AR8" s="261" t="n"/>
      <c r="AS8" s="261" t="n"/>
      <c r="AT8" s="261" t="n"/>
      <c r="AU8" s="261" t="n"/>
      <c r="AV8" s="285" t="n"/>
      <c r="AW8" s="261" t="n"/>
      <c r="AX8" s="261" t="n"/>
      <c r="AY8" s="261" t="n"/>
      <c r="AZ8" s="261" t="n"/>
      <c r="BA8" s="285" t="n"/>
      <c r="BB8" s="261" t="n"/>
      <c r="BC8" s="261" t="n"/>
      <c r="BD8" s="261" t="n"/>
      <c r="BE8" s="261" t="n"/>
      <c r="BF8" s="285" t="n"/>
      <c r="BG8" s="261" t="n"/>
      <c r="BH8" s="261" t="n"/>
      <c r="BI8" s="261" t="n"/>
      <c r="BJ8" s="261" t="n"/>
      <c r="BK8" s="285" t="n"/>
      <c r="BL8" s="261" t="n"/>
      <c r="BM8" s="261" t="n"/>
      <c r="BN8" s="261" t="n"/>
      <c r="BO8" s="261" t="n"/>
      <c r="BP8" s="285" t="n"/>
      <c r="BQ8" s="261" t="n"/>
      <c r="BR8" s="261" t="n"/>
      <c r="BS8" s="261" t="n"/>
      <c r="BT8" s="261" t="n"/>
      <c r="BU8" s="285" t="n"/>
      <c r="BV8" s="261" t="n"/>
      <c r="BW8" s="261" t="n"/>
      <c r="BX8" s="261" t="n"/>
      <c r="BY8" s="261" t="n"/>
      <c r="BZ8" s="285" t="n"/>
      <c r="CA8" s="261" t="n"/>
      <c r="CB8" s="261" t="n"/>
      <c r="CC8" s="261" t="n"/>
      <c r="CD8" s="261" t="n"/>
      <c r="CE8" s="285" t="n"/>
      <c r="CF8" s="261" t="n"/>
      <c r="CG8" s="261" t="n"/>
      <c r="CH8" s="261" t="n"/>
      <c r="CI8" s="261" t="n"/>
      <c r="CJ8" s="285" t="n"/>
      <c r="CK8" s="261" t="n"/>
      <c r="CL8" s="261" t="n"/>
      <c r="CM8" s="261" t="n"/>
      <c r="CN8" s="261" t="n"/>
      <c r="CO8" s="285" t="n"/>
      <c r="CP8" s="261" t="n"/>
      <c r="CQ8" s="261" t="n"/>
      <c r="CR8" s="261" t="n"/>
      <c r="CS8" s="261" t="n"/>
      <c r="CT8" s="285" t="n"/>
      <c r="CU8" s="261" t="n"/>
      <c r="CV8" s="261" t="n"/>
      <c r="CW8" s="261" t="n"/>
      <c r="CX8" s="261" t="n"/>
      <c r="CY8" s="285" t="n"/>
    </row>
    <row r="9" ht="12.75" customHeight="1" s="255">
      <c r="B9" s="260" t="n"/>
      <c r="C9" s="260" t="inlineStr">
        <is>
          <t>GDP BRAZIL</t>
        </is>
      </c>
      <c r="D9" s="261" t="n"/>
      <c r="E9" s="261" t="n"/>
      <c r="F9" s="261" t="n"/>
      <c r="G9" s="261" t="n"/>
      <c r="H9" s="286" t="n">
        <v>-0.046</v>
      </c>
      <c r="I9" s="261" t="n"/>
      <c r="J9" s="261" t="n"/>
      <c r="K9" s="261" t="n"/>
      <c r="L9" s="261" t="n"/>
      <c r="M9" s="286" t="n">
        <v>0.046</v>
      </c>
      <c r="N9" s="261" t="n"/>
      <c r="O9" s="261" t="n"/>
      <c r="P9" s="261" t="n"/>
      <c r="Q9" s="261" t="n"/>
      <c r="R9" s="286" t="n"/>
      <c r="S9" s="261" t="n"/>
      <c r="T9" s="261" t="n"/>
      <c r="U9" s="261" t="n"/>
      <c r="V9" s="261" t="n"/>
      <c r="W9" s="286" t="n"/>
      <c r="X9" s="261" t="n"/>
      <c r="Y9" s="261" t="n"/>
      <c r="Z9" s="261" t="n"/>
      <c r="AA9" s="261" t="n"/>
      <c r="AB9" s="286" t="n"/>
      <c r="AC9" s="261" t="n"/>
      <c r="AD9" s="261" t="n"/>
      <c r="AE9" s="261" t="n"/>
      <c r="AF9" s="261" t="n"/>
      <c r="AG9" s="286" t="n"/>
      <c r="AH9" s="261" t="n"/>
      <c r="AI9" s="261" t="n"/>
      <c r="AJ9" s="261" t="n"/>
      <c r="AK9" s="261" t="n"/>
      <c r="AL9" s="285" t="n"/>
      <c r="AM9" s="261" t="n"/>
      <c r="AN9" s="261" t="n"/>
      <c r="AO9" s="261" t="n"/>
      <c r="AP9" s="261" t="n"/>
      <c r="AQ9" s="285" t="n"/>
      <c r="AR9" s="261" t="n"/>
      <c r="AS9" s="261" t="n"/>
      <c r="AT9" s="261" t="n"/>
      <c r="AU9" s="261" t="n"/>
      <c r="AV9" s="285" t="n"/>
      <c r="AW9" s="261" t="n"/>
      <c r="AX9" s="261" t="n"/>
      <c r="AY9" s="261" t="n"/>
      <c r="AZ9" s="261" t="n"/>
      <c r="BA9" s="285" t="n"/>
      <c r="BB9" s="261" t="n"/>
      <c r="BC9" s="261" t="n"/>
      <c r="BD9" s="261" t="n"/>
      <c r="BE9" s="261" t="n"/>
      <c r="BF9" s="285" t="n"/>
      <c r="BG9" s="261" t="n"/>
      <c r="BH9" s="261" t="n"/>
      <c r="BI9" s="261" t="n"/>
      <c r="BJ9" s="261" t="n"/>
      <c r="BK9" s="285" t="n"/>
      <c r="BL9" s="261" t="n"/>
      <c r="BM9" s="261" t="n"/>
      <c r="BN9" s="261" t="n"/>
      <c r="BO9" s="261" t="n"/>
      <c r="BP9" s="285" t="n"/>
      <c r="BQ9" s="261" t="n"/>
      <c r="BR9" s="261" t="n"/>
      <c r="BS9" s="261" t="n"/>
      <c r="BT9" s="261" t="n"/>
      <c r="BU9" s="285" t="n"/>
      <c r="BV9" s="261" t="n"/>
      <c r="BW9" s="261" t="n"/>
      <c r="BX9" s="261" t="n"/>
      <c r="BY9" s="261" t="n"/>
      <c r="BZ9" s="285" t="n"/>
      <c r="CA9" s="261" t="n"/>
      <c r="CB9" s="261" t="n"/>
      <c r="CC9" s="261" t="n"/>
      <c r="CD9" s="261" t="n"/>
      <c r="CE9" s="285" t="n"/>
      <c r="CF9" s="261" t="n"/>
      <c r="CG9" s="261" t="n"/>
      <c r="CH9" s="261" t="n"/>
      <c r="CI9" s="261" t="n"/>
      <c r="CJ9" s="285" t="n"/>
      <c r="CK9" s="261" t="n"/>
      <c r="CL9" s="261" t="n"/>
      <c r="CM9" s="261" t="n"/>
      <c r="CN9" s="261" t="n"/>
      <c r="CO9" s="285" t="n"/>
      <c r="CP9" s="261" t="n"/>
      <c r="CQ9" s="261" t="n"/>
      <c r="CR9" s="261" t="n"/>
      <c r="CS9" s="261" t="n"/>
      <c r="CT9" s="285" t="n"/>
      <c r="CU9" s="261" t="n"/>
      <c r="CV9" s="261" t="n"/>
      <c r="CW9" s="261" t="n"/>
      <c r="CX9" s="261" t="n"/>
      <c r="CY9" s="285" t="n"/>
    </row>
    <row r="10" ht="12.75" customHeight="1" s="255">
      <c r="C10" s="260" t="inlineStr">
        <is>
          <t>CDI</t>
        </is>
      </c>
      <c r="H10" s="286" t="n">
        <v>0.0275</v>
      </c>
      <c r="M10" s="286" t="n">
        <v>0.0442</v>
      </c>
      <c r="R10" s="286" t="n">
        <v>0.1239</v>
      </c>
      <c r="W10" s="286" t="n">
        <v>0.1304</v>
      </c>
      <c r="AB10" s="286" t="n">
        <v>0.1064</v>
      </c>
      <c r="AG10" s="286" t="n">
        <v>0.1464</v>
      </c>
    </row>
    <row r="13" ht="12.75" customFormat="1" customHeight="1" s="287">
      <c r="A13" s="288" t="n"/>
      <c r="B13" s="288" t="n"/>
      <c r="C13" s="289" t="inlineStr">
        <is>
          <t>Income Statement</t>
        </is>
      </c>
      <c r="D13" s="289" t="str">
        <f>D7</f>
        <v>1Q20</v>
      </c>
      <c r="E13" s="289" t="str">
        <f>E7</f>
        <v>2Q20</v>
      </c>
      <c r="F13" s="289" t="str">
        <f>F7</f>
        <v>3Q20</v>
      </c>
      <c r="G13" s="289" t="str">
        <f>G7</f>
        <v>4Q20</v>
      </c>
      <c r="H13" s="289">
        <f>H7</f>
        <v>2020</v>
      </c>
      <c r="I13" s="289" t="str">
        <f>I7</f>
        <v>1Q21</v>
      </c>
      <c r="J13" s="289" t="str">
        <f>J7</f>
        <v>2Q21</v>
      </c>
      <c r="K13" s="289" t="str">
        <f>K7</f>
        <v>3Q21</v>
      </c>
      <c r="L13" s="289" t="str">
        <f>L7</f>
        <v>4Q21</v>
      </c>
      <c r="M13" s="289">
        <f>M7</f>
        <v>2021</v>
      </c>
      <c r="N13" s="289" t="str">
        <f>N7</f>
        <v>1Q22</v>
      </c>
      <c r="O13" s="289" t="str">
        <f>O7</f>
        <v>2Q22</v>
      </c>
      <c r="P13" s="289" t="str">
        <f>P7</f>
        <v>3Q22</v>
      </c>
      <c r="Q13" s="289" t="str">
        <f>Q7</f>
        <v>4Q22</v>
      </c>
      <c r="R13" s="289">
        <f>R7</f>
        <v>2022</v>
      </c>
      <c r="S13" s="289" t="str">
        <f>S7</f>
        <v>1Q23</v>
      </c>
      <c r="T13" s="289" t="str">
        <f>T7</f>
        <v>2Q23</v>
      </c>
      <c r="U13" s="289" t="str">
        <f>U7</f>
        <v>3Q23</v>
      </c>
      <c r="V13" s="289" t="str">
        <f>V7</f>
        <v>4Q23</v>
      </c>
      <c r="W13" s="289">
        <f>W7</f>
        <v>2023</v>
      </c>
      <c r="X13" s="289" t="str">
        <f>X7</f>
        <v>1Q24</v>
      </c>
      <c r="Y13" s="289" t="str">
        <f>Y7</f>
        <v>2Q24</v>
      </c>
      <c r="Z13" s="289" t="str">
        <f>Z7</f>
        <v>3Q24</v>
      </c>
      <c r="AA13" s="289" t="str">
        <f>AA7</f>
        <v>4Q24</v>
      </c>
      <c r="AB13" s="289">
        <f>AB7</f>
        <v>2024</v>
      </c>
      <c r="AC13" s="289" t="str">
        <f>AC7</f>
        <v>1Q25</v>
      </c>
      <c r="AD13" s="289" t="str">
        <f>AD7</f>
        <v>2Q25</v>
      </c>
      <c r="AE13" s="289" t="str">
        <f>AE7</f>
        <v>3Q25</v>
      </c>
      <c r="AF13" s="289" t="str">
        <f>AF7</f>
        <v>4Q25</v>
      </c>
      <c r="AG13" s="289">
        <f>AG7</f>
        <v>2025</v>
      </c>
      <c r="AH13" s="289" t="str">
        <f>AH7</f>
        <v>1Q26</v>
      </c>
      <c r="AI13" s="289" t="str">
        <f>AI7</f>
        <v>2Q26</v>
      </c>
      <c r="AJ13" s="289" t="str">
        <f>AJ7</f>
        <v>3Q26</v>
      </c>
      <c r="AK13" s="289" t="str">
        <f>AK7</f>
        <v>4Q26</v>
      </c>
      <c r="AL13" s="289">
        <f>AL7</f>
        <v>2026</v>
      </c>
      <c r="AM13" s="289" t="str">
        <f>AM7</f>
        <v>1Q27</v>
      </c>
      <c r="AN13" s="289" t="str">
        <f>AN7</f>
        <v>2Q27</v>
      </c>
      <c r="AO13" s="289" t="str">
        <f>AO7</f>
        <v>3Q27</v>
      </c>
      <c r="AP13" s="289" t="str">
        <f>AP7</f>
        <v>4Q27</v>
      </c>
      <c r="AQ13" s="289">
        <f>AQ7</f>
        <v>2027</v>
      </c>
      <c r="AR13" s="289" t="str">
        <f>AR7</f>
        <v>1Q28</v>
      </c>
      <c r="AS13" s="289" t="str">
        <f>AS7</f>
        <v>2Q28</v>
      </c>
      <c r="AT13" s="289" t="str">
        <f>AT7</f>
        <v>3Q28</v>
      </c>
      <c r="AU13" s="289" t="str">
        <f>AU7</f>
        <v>4Q28</v>
      </c>
      <c r="AV13" s="289">
        <f>AV7</f>
        <v>2028</v>
      </c>
      <c r="AW13" s="289" t="str">
        <f>AW7</f>
        <v>1Q29</v>
      </c>
      <c r="AX13" s="289" t="str">
        <f>AX7</f>
        <v>2Q29</v>
      </c>
      <c r="AY13" s="289" t="str">
        <f>AY7</f>
        <v>3Q29</v>
      </c>
      <c r="AZ13" s="289" t="str">
        <f>AZ7</f>
        <v>4Q29</v>
      </c>
      <c r="BA13" s="289">
        <f>BA7</f>
        <v>2029</v>
      </c>
      <c r="BB13" s="289" t="str">
        <f>BB7</f>
        <v>1Q30</v>
      </c>
      <c r="BC13" s="289" t="str">
        <f>BC7</f>
        <v>2Q30</v>
      </c>
      <c r="BD13" s="289" t="str">
        <f>BD7</f>
        <v>3Q30</v>
      </c>
      <c r="BE13" s="289" t="str">
        <f>BE7</f>
        <v>4Q30</v>
      </c>
      <c r="BF13" s="289">
        <f>BF7</f>
        <v>2030</v>
      </c>
      <c r="BG13" s="289" t="str">
        <f>BG7</f>
        <v>1Q31</v>
      </c>
      <c r="BH13" s="289" t="str">
        <f>BH7</f>
        <v>2Q31</v>
      </c>
      <c r="BI13" s="289" t="str">
        <f>BI7</f>
        <v>3Q31</v>
      </c>
      <c r="BJ13" s="289" t="str">
        <f>BJ7</f>
        <v>4Q31</v>
      </c>
      <c r="BK13" s="289">
        <f>BK7</f>
        <v>2031</v>
      </c>
      <c r="BL13" s="289" t="str">
        <f>BL7</f>
        <v>1Q32</v>
      </c>
      <c r="BM13" s="289" t="str">
        <f>BM7</f>
        <v>2Q32</v>
      </c>
      <c r="BN13" s="289" t="str">
        <f>BN7</f>
        <v>3Q32</v>
      </c>
      <c r="BO13" s="289" t="str">
        <f>BO7</f>
        <v>4Q32</v>
      </c>
      <c r="BP13" s="289">
        <f>BP7</f>
        <v>2032</v>
      </c>
      <c r="BQ13" s="289" t="str">
        <f>BQ7</f>
        <v>1Q33</v>
      </c>
      <c r="BR13" s="289" t="str">
        <f>BR7</f>
        <v>2Q33</v>
      </c>
      <c r="BS13" s="289" t="str">
        <f>BS7</f>
        <v>3Q33</v>
      </c>
      <c r="BT13" s="289" t="str">
        <f>BT7</f>
        <v>4Q33</v>
      </c>
      <c r="BU13" s="289">
        <f>BU7</f>
        <v>2033</v>
      </c>
      <c r="BV13" s="289" t="str">
        <f>BV7</f>
        <v>1Q34</v>
      </c>
      <c r="BW13" s="289" t="str">
        <f>BW7</f>
        <v>2Q34</v>
      </c>
      <c r="BX13" s="289" t="str">
        <f>BX7</f>
        <v>3Q34</v>
      </c>
      <c r="BY13" s="289" t="str">
        <f>BY7</f>
        <v>4Q34</v>
      </c>
      <c r="BZ13" s="289">
        <f>BZ7</f>
        <v>2034</v>
      </c>
      <c r="CA13" s="289" t="str">
        <f>CA7</f>
        <v>1Q35</v>
      </c>
      <c r="CB13" s="289" t="str">
        <f>CB7</f>
        <v>2Q35</v>
      </c>
      <c r="CC13" s="289" t="str">
        <f>CC7</f>
        <v>3Q35</v>
      </c>
      <c r="CD13" s="289" t="str">
        <f>CD7</f>
        <v>4Q35</v>
      </c>
      <c r="CE13" s="289">
        <f>CE7</f>
        <v>2035</v>
      </c>
      <c r="CF13" s="289" t="str">
        <f>CF7</f>
        <v>1Q36</v>
      </c>
      <c r="CG13" s="289" t="str">
        <f>CG7</f>
        <v>2Q36</v>
      </c>
      <c r="CH13" s="289" t="str">
        <f>CH7</f>
        <v>3Q36</v>
      </c>
      <c r="CI13" s="289" t="str">
        <f>CI7</f>
        <v>4Q36</v>
      </c>
      <c r="CJ13" s="289">
        <f>CJ7</f>
        <v>2036</v>
      </c>
      <c r="CK13" s="289" t="str">
        <f>CK7</f>
        <v>1Q37</v>
      </c>
      <c r="CL13" s="289" t="str">
        <f>CL7</f>
        <v>2Q37</v>
      </c>
      <c r="CM13" s="289" t="str">
        <f>CM7</f>
        <v>3Q37</v>
      </c>
      <c r="CN13" s="289" t="str">
        <f>CN7</f>
        <v>4Q37</v>
      </c>
      <c r="CO13" s="289">
        <f>CO7</f>
        <v>2037</v>
      </c>
      <c r="CP13" s="289" t="str">
        <f>CP7</f>
        <v>1Q38</v>
      </c>
      <c r="CQ13" s="289" t="str">
        <f>CQ7</f>
        <v>2Q38</v>
      </c>
      <c r="CR13" s="289" t="str">
        <f>CR7</f>
        <v>3Q38</v>
      </c>
      <c r="CS13" s="289" t="str">
        <f>CS7</f>
        <v>4Q38</v>
      </c>
      <c r="CT13" s="289">
        <f>CT7</f>
        <v>2038</v>
      </c>
      <c r="CU13" s="289" t="str">
        <f>CU7</f>
        <v>1Q39</v>
      </c>
      <c r="CV13" s="289" t="str">
        <f>CV7</f>
        <v>2Q39</v>
      </c>
      <c r="CW13" s="289" t="str">
        <f>CW7</f>
        <v>3Q39</v>
      </c>
      <c r="CX13" s="289" t="str">
        <f>CX7</f>
        <v>4Q39</v>
      </c>
      <c r="CY13" s="289">
        <f>CY7</f>
        <v>2039</v>
      </c>
    </row>
    <row r="14" ht="12.75" customHeight="1" s="255">
      <c r="C14" s="273" t="n"/>
    </row>
    <row r="15" ht="12.75" customFormat="1" customHeight="1" s="287">
      <c r="A15" s="288" t="n"/>
      <c r="B15" s="259" t="n"/>
      <c r="C15" s="275" t="inlineStr">
        <is>
          <t>Net Revenues</t>
        </is>
      </c>
      <c r="D15" s="290">
        <f>INDEX('Inputs (2)'!$D$4:$AL$4,MATCH(D$7,'Inputs (2)'!$D$2:$AL$2,0))</f>
        <v>9173</v>
      </c>
      <c r="E15" s="290">
        <f>INDEX('Inputs (2)'!$D$4:$AL$4,MATCH(E$7,'Inputs (2)'!$D$2:$AL$2,0))</f>
        <v>9462</v>
      </c>
      <c r="F15" s="290">
        <f>INDEX('Inputs (2)'!$D$4:$AL$4,MATCH(F$7,'Inputs (2)'!$D$2:$AL$2,0))</f>
        <v>10159</v>
      </c>
      <c r="G15" s="290">
        <f>INDEX('Inputs (2)'!$D$4:$AL$4,MATCH(G$7,'Inputs (2)'!$D$2:$AL$2,0))</f>
        <v>12610</v>
      </c>
      <c r="H15" s="276">
        <f>SUM(D15:G15)</f>
        <v>41404</v>
      </c>
      <c r="I15" s="290">
        <f>INDEX('Inputs (2)'!$D$4:$AL$4,MATCH(I$7,'Inputs (2)'!$D$2:$AL$2,0))</f>
        <v>12961</v>
      </c>
      <c r="J15" s="290">
        <f>INDEX('Inputs (2)'!$D$4:$AL$4,MATCH(J$7,'Inputs (2)'!$D$2:$AL$2,0))</f>
        <v>15391</v>
      </c>
      <c r="K15" s="290">
        <f>INDEX('Inputs (2)'!$D$4:$AL$4,MATCH(K$7,'Inputs (2)'!$D$2:$AL$2,0))</f>
        <v>14117</v>
      </c>
      <c r="L15" s="290">
        <f>INDEX('Inputs (2)'!$D$4:$AL$4,MATCH(L$7,'Inputs (2)'!$D$2:$AL$2,0))</f>
        <v>16683</v>
      </c>
      <c r="M15" s="276">
        <f>SUM(I15:L15)</f>
        <v>59152</v>
      </c>
      <c r="N15" s="290">
        <f>INDEX('Inputs (2)'!$D$4:$AL$4,MATCH(N$7,'Inputs (2)'!$D$2:$AL$2,0))</f>
        <v>15880</v>
      </c>
      <c r="O15" s="290">
        <f>INDEX('Inputs (2)'!$D$4:$AL$4,MATCH(O$7,'Inputs (2)'!$D$2:$AL$2,0))</f>
        <v>17933</v>
      </c>
      <c r="P15" s="290">
        <f>INDEX('Inputs (2)'!$D$4:$AL$4,MATCH(P$7,'Inputs (2)'!$D$2:$AL$2,0))</f>
        <v>16759</v>
      </c>
      <c r="Q15" s="290">
        <f>INDEX('Inputs (2)'!$D$4:$AL$4,MATCH(Q$7,'Inputs (2)'!$D$2:$AL$2,0))</f>
        <v>16660</v>
      </c>
      <c r="R15" s="276">
        <f>SUM(N15:Q15)</f>
        <v>67232</v>
      </c>
      <c r="S15" s="290">
        <f>INDEX('Inputs (2)'!$D$4:$AL$4,MATCH(S$7,'Inputs (2)'!$D$2:$AL$2,0))</f>
        <v>15328</v>
      </c>
      <c r="T15" s="290">
        <f>INDEX('Inputs (2)'!$D$4:$AL$4,MATCH(T$7,'Inputs (2)'!$D$2:$AL$2,0))</f>
        <v>15049</v>
      </c>
      <c r="U15" s="290">
        <f>INDEX('Inputs (2)'!$D$4:$AL$4,MATCH(U$7,'Inputs (2)'!$D$2:$AL$2,0))</f>
        <v>14227</v>
      </c>
      <c r="V15" s="290">
        <f>INDEX('Inputs (2)'!$D$4:$AL$4,MATCH(V$7,'Inputs (2)'!$D$2:$AL$2,0))</f>
        <v>14936</v>
      </c>
      <c r="W15" s="276">
        <f>SUM(S15:V15)</f>
        <v>59540</v>
      </c>
      <c r="X15" s="290">
        <f>INDEX('Inputs (2)'!$D$4:$AL$4,MATCH(X$7,'Inputs (2)'!$D$2:$AL$2,0))</f>
        <v>13417</v>
      </c>
      <c r="Y15" s="290">
        <f>INDEX('Inputs (2)'!$D$4:$AL$4,MATCH(Y$7,'Inputs (2)'!$D$2:$AL$2,0))</f>
        <v>13241</v>
      </c>
      <c r="Z15" s="290">
        <f>INDEX('Inputs (2)'!$D$4:$AL$4,MATCH(Z$7,'Inputs (2)'!$D$2:$AL$2,0))</f>
        <v>12908</v>
      </c>
      <c r="AA15" s="290">
        <f>INDEX('Inputs (2)'!$D$4:$AL$4,MATCH(AA$7,'Inputs (2)'!$D$2:$AL$2,0))</f>
        <v>13542</v>
      </c>
      <c r="AB15" s="276">
        <f>SUM(X15:AA15)</f>
        <v>53108</v>
      </c>
      <c r="AC15" s="290">
        <f>INDEX('Inputs (2)'!$D$4:$AL$4,MATCH(AC$7,'Inputs (2)'!$D$2:$AL$2,0))</f>
        <v>11643</v>
      </c>
      <c r="AD15" s="290">
        <f>INDEX('Inputs (2)'!$D$4:$AL$4,MATCH(AD$7,'Inputs (2)'!$D$2:$AL$2,0))</f>
        <v>12769</v>
      </c>
      <c r="AE15" s="290">
        <f>INDEX('Inputs (2)'!$D$4:$AL$4,MATCH(AE$7,'Inputs (2)'!$D$2:$AL$2,0))</f>
        <v>22155</v>
      </c>
      <c r="AF15" s="290">
        <f>INDEX('Inputs (2)'!$D$4:$AL$4,MATCH(AF$7,'Inputs (2)'!$D$2:$AL$2,0))</f>
        <v>23762</v>
      </c>
      <c r="AG15" s="276">
        <f>SUM(AC15:AF15)</f>
        <v>70329</v>
      </c>
      <c r="AH15" s="276">
        <f>INDEX('Inputs (2)'!$D$4:$AL$4,MATCH(AH$7,'Inputs (2)'!$D$2:$AL$2,0))</f>
        <v>21861</v>
      </c>
      <c r="AI15" s="276">
        <f>INDEX('Inputs (2)'!$D$4:$AL$4,MATCH(AI$7,'Inputs (2)'!$D$2:$AL$2,0))</f>
        <v>24041</v>
      </c>
      <c r="AJ15" s="276">
        <f>AE15*(1+AJ16)</f>
        <v>22155</v>
      </c>
      <c r="AK15" s="276">
        <f>AF15*(1+AK16)</f>
        <v>23762</v>
      </c>
      <c r="AL15" s="276">
        <f>SUM(AH15:AK15)</f>
        <v>91819</v>
      </c>
      <c r="AM15" s="276">
        <f>AH15*(1+AM16)</f>
        <v>21861</v>
      </c>
      <c r="AN15" s="276">
        <f>AI15*(1+AN16)</f>
        <v>24041</v>
      </c>
      <c r="AO15" s="276">
        <f>AJ15*(1+AO16)</f>
        <v>22155</v>
      </c>
      <c r="AP15" s="276">
        <f>AK15*(1+AP16)</f>
        <v>23762</v>
      </c>
      <c r="AQ15" s="276">
        <f>SUM(AM15:AP15)</f>
        <v>91819</v>
      </c>
      <c r="AR15" s="276">
        <f>AM15*(1+AR16)</f>
        <v>21861</v>
      </c>
      <c r="AS15" s="276">
        <f>AN15*(1+AS16)</f>
        <v>24041</v>
      </c>
      <c r="AT15" s="276">
        <f>AO15*(1+AT16)</f>
        <v>22155</v>
      </c>
      <c r="AU15" s="276">
        <f>AP15*(1+AU16)</f>
        <v>23762</v>
      </c>
      <c r="AV15" s="276">
        <f>SUM(AR15:AU15)</f>
        <v>91819</v>
      </c>
      <c r="AW15" s="276">
        <f>AR15*(1+AW16)</f>
        <v>21861</v>
      </c>
      <c r="AX15" s="276">
        <f>AS15*(1+AX16)</f>
        <v>24041</v>
      </c>
      <c r="AY15" s="276">
        <f>AT15*(1+AY16)</f>
        <v>22155</v>
      </c>
      <c r="AZ15" s="276">
        <f>AU15*(1+AZ16)</f>
        <v>23762</v>
      </c>
      <c r="BA15" s="276">
        <f>SUM(AW15:AZ15)</f>
        <v>91819</v>
      </c>
      <c r="BB15" s="276">
        <f>AW15*(1+BB16)</f>
        <v>21861</v>
      </c>
      <c r="BC15" s="276">
        <f>AX15*(1+BC16)</f>
        <v>24041</v>
      </c>
      <c r="BD15" s="276">
        <f>AY15*(1+BD16)</f>
        <v>22155</v>
      </c>
      <c r="BE15" s="276">
        <f>AZ15*(1+BE16)</f>
        <v>23762</v>
      </c>
      <c r="BF15" s="276">
        <f>SUM(BB15:BE15)</f>
        <v>91819</v>
      </c>
      <c r="BG15" s="276">
        <f>BB15*(1+BG16)</f>
        <v>21861</v>
      </c>
      <c r="BH15" s="276">
        <f>BC15*(1+BH16)</f>
        <v>24041</v>
      </c>
      <c r="BI15" s="276">
        <f>BD15*(1+BI16)</f>
        <v>22155</v>
      </c>
      <c r="BJ15" s="276">
        <f>BE15*(1+BJ16)</f>
        <v>23762</v>
      </c>
      <c r="BK15" s="276">
        <f>SUM(BG15:BJ15)</f>
        <v>91819</v>
      </c>
      <c r="BL15" s="276">
        <f>BG15*(1+BL16)</f>
        <v>21861</v>
      </c>
      <c r="BM15" s="276">
        <f>BH15*(1+BM16)</f>
        <v>24041</v>
      </c>
      <c r="BN15" s="276">
        <f>BI15*(1+BN16)</f>
        <v>22155</v>
      </c>
      <c r="BO15" s="276">
        <f>BJ15*(1+BO16)</f>
        <v>23762</v>
      </c>
      <c r="BP15" s="276">
        <f>SUM(BL15:BO15)</f>
        <v>91819</v>
      </c>
      <c r="BQ15" s="276">
        <f>BL15*(1+BQ16)</f>
        <v>21861</v>
      </c>
      <c r="BR15" s="276">
        <f>BM15*(1+BR16)</f>
        <v>24041</v>
      </c>
      <c r="BS15" s="276">
        <f>BN15*(1+BS16)</f>
        <v>22155</v>
      </c>
      <c r="BT15" s="276">
        <f>BO15*(1+BT16)</f>
        <v>23762</v>
      </c>
      <c r="BU15" s="276">
        <f>SUM(BQ15:BT15)</f>
        <v>91819</v>
      </c>
      <c r="BV15" s="276">
        <f>BQ15*(1+BV16)</f>
        <v>21861</v>
      </c>
      <c r="BW15" s="276">
        <f>BR15*(1+BW16)</f>
        <v>24041</v>
      </c>
      <c r="BX15" s="276">
        <f>BS15*(1+BX16)</f>
        <v>22155</v>
      </c>
      <c r="BY15" s="276">
        <f>BT15*(1+BY16)</f>
        <v>23762</v>
      </c>
      <c r="BZ15" s="276">
        <f>SUM(BV15:BY15)</f>
        <v>91819</v>
      </c>
      <c r="CA15" s="276">
        <f>BV15*(1+CA16)</f>
        <v>21861</v>
      </c>
      <c r="CB15" s="276">
        <f>BW15*(1+CB16)</f>
        <v>24041</v>
      </c>
      <c r="CC15" s="276">
        <f>BX15*(1+CC16)</f>
        <v>22155</v>
      </c>
      <c r="CD15" s="276">
        <f>BY15*(1+CD16)</f>
        <v>23762</v>
      </c>
      <c r="CE15" s="276">
        <f>SUM(CA15:CD15)</f>
        <v>91819</v>
      </c>
      <c r="CF15" s="276">
        <f>CA15*(1+CF16)</f>
        <v>21861</v>
      </c>
      <c r="CG15" s="276">
        <f>CB15*(1+CG16)</f>
        <v>24041</v>
      </c>
      <c r="CH15" s="276">
        <f>CC15*(1+CH16)</f>
        <v>22155</v>
      </c>
      <c r="CI15" s="276">
        <f>CD15*(1+CI16)</f>
        <v>23762</v>
      </c>
      <c r="CJ15" s="276">
        <f>SUM(CF15:CI15)</f>
        <v>91819</v>
      </c>
      <c r="CK15" s="276">
        <f>CF15*(1+CK16)</f>
        <v>21861</v>
      </c>
      <c r="CL15" s="276">
        <f>CG15*(1+CL16)</f>
        <v>24041</v>
      </c>
      <c r="CM15" s="276">
        <f>CH15*(1+CM16)</f>
        <v>22155</v>
      </c>
      <c r="CN15" s="276">
        <f>CI15*(1+CN16)</f>
        <v>23762</v>
      </c>
      <c r="CO15" s="276">
        <f>SUM(CK15:CN15)</f>
        <v>91819</v>
      </c>
      <c r="CP15" s="276">
        <f>CK15*(1+CP16)</f>
        <v>21861</v>
      </c>
      <c r="CQ15" s="276">
        <f>CL15*(1+CQ16)</f>
        <v>24041</v>
      </c>
      <c r="CR15" s="276">
        <f>CM15*(1+CR16)</f>
        <v>22155</v>
      </c>
      <c r="CS15" s="276">
        <f>CN15*(1+CS16)</f>
        <v>23762</v>
      </c>
      <c r="CT15" s="276">
        <f>SUM(CP15:CS15)</f>
        <v>91819</v>
      </c>
      <c r="CU15" s="276">
        <f>CP15*(1+CU16)</f>
        <v>21861</v>
      </c>
      <c r="CV15" s="276">
        <f>CQ15*(1+CV16)</f>
        <v>24041</v>
      </c>
      <c r="CW15" s="276">
        <f>CR15*(1+CW16)</f>
        <v>22155</v>
      </c>
      <c r="CX15" s="276">
        <f>CS15*(1+CX16)</f>
        <v>23762</v>
      </c>
      <c r="CY15" s="276">
        <f>SUM(CU15:CX15)</f>
        <v>91819</v>
      </c>
    </row>
    <row r="16" hidden="1" outlineLevel="1" ht="12.75" customFormat="1" customHeight="1" s="291">
      <c r="A16" s="292" t="n"/>
      <c r="B16" s="293" t="n"/>
      <c r="C16" s="294" t="inlineStr">
        <is>
          <t>% YoY</t>
        </is>
      </c>
      <c r="D16" s="295" t="n"/>
      <c r="E16" s="296" t="n"/>
      <c r="F16" s="296" t="n"/>
      <c r="G16" s="296" t="n"/>
      <c r="H16" s="295" t="n"/>
      <c r="I16" s="295" t="n"/>
      <c r="J16" s="296" t="n"/>
      <c r="K16" s="296" t="n"/>
      <c r="L16" s="296" t="n"/>
      <c r="M16" s="295" t="n"/>
      <c r="N16" s="296">
        <f>N15/I15-1</f>
        <v>0.225214103850012</v>
      </c>
      <c r="O16" s="296">
        <f>O15/J15-1</f>
        <v>0.165161457994932</v>
      </c>
      <c r="P16" s="296">
        <f>P15/K15-1</f>
        <v>0.187150244386201</v>
      </c>
      <c r="Q16" s="296">
        <f>Q15/L15-1</f>
        <v>-0.00137864892405448</v>
      </c>
      <c r="R16" s="296">
        <f>R15/M15-1</f>
        <v>0.136597241006221</v>
      </c>
      <c r="S16" s="296">
        <f>S15/N15-1</f>
        <v>-0.0347607052896726</v>
      </c>
      <c r="T16" s="296">
        <f>T15/O15-1</f>
        <v>-0.160820833100987</v>
      </c>
      <c r="U16" s="296">
        <f>U15/P15-1</f>
        <v>-0.151083000179008</v>
      </c>
      <c r="V16" s="296">
        <f>V15/Q15-1</f>
        <v>-0.103481392557023</v>
      </c>
      <c r="W16" s="296">
        <f>W15/R15-1</f>
        <v>-0.114409804854831</v>
      </c>
      <c r="X16" s="296">
        <f>X15/S15-1</f>
        <v>-0.124673799582464</v>
      </c>
      <c r="Y16" s="296">
        <f>Y15/T15-1</f>
        <v>-0.120140873147717</v>
      </c>
      <c r="Z16" s="296">
        <f>Z15/U15-1</f>
        <v>-0.092711042384199</v>
      </c>
      <c r="AA16" s="296">
        <f>AA15/V15-1</f>
        <v>-0.0933315479378682</v>
      </c>
      <c r="AB16" s="296">
        <f>AB15/W15-1</f>
        <v>-0.10802821632516</v>
      </c>
      <c r="AC16" s="296">
        <f>AC15/X15-1</f>
        <v>-0.13222031750764</v>
      </c>
      <c r="AD16" s="296">
        <f>AD15/Y15-1</f>
        <v>-0.0356468544671853</v>
      </c>
      <c r="AE16" s="296">
        <f>AE15/Z15-1</f>
        <v>0.716377440347072</v>
      </c>
      <c r="AF16" s="297">
        <f>AF15/AA15-1</f>
        <v>0.754689115344853</v>
      </c>
      <c r="AG16" s="296">
        <f>AG15/AB15-1</f>
        <v>0.32426376440461</v>
      </c>
      <c r="AH16" s="297">
        <f>AH15/AC15-1</f>
        <v>0.877608863694924</v>
      </c>
      <c r="AI16" s="297">
        <f>AI15/AD15-1</f>
        <v>0.882762941498943</v>
      </c>
      <c r="AJ16" s="297" t="n"/>
      <c r="AK16" s="297" t="n"/>
      <c r="AL16" s="298">
        <f>AL15/AG15-1</f>
        <v>0.305563849905445</v>
      </c>
      <c r="AM16" s="297" t="n"/>
      <c r="AN16" s="297" t="n"/>
      <c r="AO16" s="297" t="n"/>
      <c r="AP16" s="297" t="n"/>
      <c r="AQ16" s="298">
        <f>AQ15/AL15-1</f>
        <v>0</v>
      </c>
      <c r="AR16" s="297" t="n"/>
      <c r="AS16" s="297" t="n"/>
      <c r="AT16" s="297" t="n"/>
      <c r="AU16" s="297" t="n"/>
      <c r="AV16" s="298">
        <f>AV15/AQ15-1</f>
        <v>0</v>
      </c>
      <c r="AW16" s="297" t="n"/>
      <c r="AX16" s="297" t="n"/>
      <c r="AY16" s="297" t="n"/>
      <c r="AZ16" s="297" t="n"/>
      <c r="BA16" s="298">
        <f>BA15/AV15-1</f>
        <v>0</v>
      </c>
      <c r="BB16" s="297" t="n"/>
      <c r="BC16" s="297" t="n"/>
      <c r="BD16" s="297" t="n"/>
      <c r="BE16" s="297" t="n"/>
      <c r="BF16" s="298">
        <f>BF15/BA15-1</f>
        <v>0</v>
      </c>
      <c r="BG16" s="297" t="n"/>
      <c r="BH16" s="297" t="n"/>
      <c r="BI16" s="297" t="n"/>
      <c r="BJ16" s="297" t="n"/>
      <c r="BK16" s="298">
        <f>BK15/BF15-1</f>
        <v>0</v>
      </c>
      <c r="BL16" s="297" t="n"/>
      <c r="BM16" s="297" t="n"/>
      <c r="BN16" s="297" t="n"/>
      <c r="BO16" s="297" t="n"/>
      <c r="BP16" s="298">
        <f>BP15/BK15-1</f>
        <v>0</v>
      </c>
      <c r="BQ16" s="297" t="n"/>
      <c r="BR16" s="297" t="n"/>
      <c r="BS16" s="297" t="n"/>
      <c r="BT16" s="297" t="n"/>
      <c r="BU16" s="298">
        <f>BU15/BP15-1</f>
        <v>0</v>
      </c>
      <c r="BV16" s="297" t="n"/>
      <c r="BW16" s="297" t="n"/>
      <c r="BX16" s="297" t="n"/>
      <c r="BY16" s="297" t="n"/>
      <c r="BZ16" s="298">
        <f>BZ15/BU15-1</f>
        <v>0</v>
      </c>
      <c r="CA16" s="297" t="n"/>
      <c r="CB16" s="297" t="n"/>
      <c r="CC16" s="297" t="n"/>
      <c r="CD16" s="297" t="n"/>
      <c r="CE16" s="298">
        <f>CE15/BZ15-1</f>
        <v>0</v>
      </c>
      <c r="CF16" s="297" t="n"/>
      <c r="CG16" s="297" t="n"/>
      <c r="CH16" s="297" t="n"/>
      <c r="CI16" s="297" t="n"/>
      <c r="CJ16" s="298">
        <f>CJ15/CE15-1</f>
        <v>0</v>
      </c>
      <c r="CK16" s="297" t="n"/>
      <c r="CL16" s="297" t="n"/>
      <c r="CM16" s="297" t="n"/>
      <c r="CN16" s="297" t="n"/>
      <c r="CO16" s="298">
        <f>CO15/CJ15-1</f>
        <v>0</v>
      </c>
      <c r="CP16" s="297" t="n"/>
      <c r="CQ16" s="297" t="n"/>
      <c r="CR16" s="297" t="n"/>
      <c r="CS16" s="297" t="n"/>
      <c r="CT16" s="298">
        <f>CT15/CO15-1</f>
        <v>0</v>
      </c>
      <c r="CU16" s="297" t="n"/>
      <c r="CV16" s="297" t="n"/>
      <c r="CW16" s="297" t="n"/>
      <c r="CX16" s="297" t="n"/>
      <c r="CY16" s="298">
        <f>CY15/CT15-1</f>
        <v>0</v>
      </c>
    </row>
    <row r="17" hidden="1" outlineLevel="1" ht="12.75" customFormat="1" customHeight="1" s="291">
      <c r="A17" s="292" t="n"/>
      <c r="B17" s="293" t="n"/>
      <c r="C17" s="299" t="inlineStr">
        <is>
          <t>Check Receita (linha 15 - soma dos segmentos)</t>
        </is>
      </c>
      <c r="D17" s="290">
        <f>IF(COUNT(D25)=0,"",D25)</f>
        <v>0</v>
      </c>
      <c r="E17" s="290">
        <f>IF(COUNT(E25)=0,"",E25)</f>
        <v>0</v>
      </c>
      <c r="F17" s="290">
        <f>IF(COUNT(F25)=0,"",F25)</f>
        <v>0</v>
      </c>
      <c r="G17" s="290">
        <f>IF(COUNT(G25)=0,"",G25)</f>
        <v>0</v>
      </c>
      <c r="H17" s="276">
        <f>IF(COUNT(H25)=0,"",H25)</f>
        <v>0</v>
      </c>
      <c r="I17" s="290">
        <f>IF(COUNT(I25)=0,"",I25)</f>
        <v>0</v>
      </c>
      <c r="J17" s="290">
        <f>IF(COUNT(J25)=0,"",J25)</f>
        <v>0</v>
      </c>
      <c r="K17" s="290">
        <f>IF(COUNT(K25)=0,"",K25)</f>
        <v>0</v>
      </c>
      <c r="L17" s="290">
        <f>IF(COUNT(L25)=0,"",L25)</f>
        <v>0</v>
      </c>
      <c r="M17" s="276">
        <f>IF(COUNT(M25)=0,"",M25)</f>
        <v>0</v>
      </c>
      <c r="N17" s="290">
        <f>IF(COUNT(N25)=0,"",N25)</f>
        <v>0</v>
      </c>
      <c r="O17" s="290">
        <f>IF(COUNT(O25)=0,"",O25)</f>
        <v>0</v>
      </c>
      <c r="P17" s="290">
        <f>IF(COUNT(P25)=0,"",P25)</f>
        <v>0</v>
      </c>
      <c r="Q17" s="290">
        <f>IF(COUNT(Q25)=0,"",Q25)</f>
        <v>0</v>
      </c>
      <c r="R17" s="276">
        <f>IF(COUNT(R25)=0,"",R25)</f>
        <v>0</v>
      </c>
      <c r="S17" s="290">
        <f>IF(COUNT(S25)=0,"",S25)</f>
        <v>0</v>
      </c>
      <c r="T17" s="290">
        <f>IF(COUNT(T25)=0,"",T25)</f>
        <v>0</v>
      </c>
      <c r="U17" s="290">
        <f>IF(COUNT(U25)=0,"",U25)</f>
        <v>0</v>
      </c>
      <c r="V17" s="290">
        <f>IF(COUNT(V25)=0,"",V25)</f>
        <v>0</v>
      </c>
      <c r="W17" s="276">
        <f>IF(COUNT(W25)=0,"",W25)</f>
        <v>0</v>
      </c>
      <c r="X17" s="290">
        <f>IF(COUNT(X25)=0,"",X25)</f>
        <v>-43</v>
      </c>
      <c r="Y17" s="290">
        <f>IF(COUNT(Y25)=0,"",Y25)</f>
        <v>-49</v>
      </c>
      <c r="Z17" s="290">
        <f>IF(COUNT(Z25)=0,"",Z25)</f>
        <v>12</v>
      </c>
      <c r="AA17" s="290">
        <f>IF(COUNT(AA25)=0,"",AA25)</f>
        <v>0</v>
      </c>
      <c r="AB17" s="276">
        <f>IF(COUNT(AB25)=0,"",AB25)</f>
        <v>-80</v>
      </c>
      <c r="AC17" s="290">
        <f>IF(COUNT(AC25)=0,"",AC25)</f>
        <v>15</v>
      </c>
      <c r="AD17" s="290">
        <f>IF(COUNT(AD25)=0,"",AD25)</f>
        <v>14</v>
      </c>
      <c r="AE17" s="290" t="str">
        <f>IF(COUNT(AE25)=0,"",AE25)</f>
        <v/>
      </c>
      <c r="AF17" s="290" t="str">
        <f>IF(COUNT(AF25)=0,"",AF25)</f>
        <v/>
      </c>
      <c r="AG17" s="276" t="str">
        <f>IF(COUNT(AG25)=0,"",AG25)</f>
        <v/>
      </c>
      <c r="AH17" s="276" t="str">
        <f>IF(COUNT(AH25)=0,"",AH25)</f>
        <v/>
      </c>
      <c r="AI17" s="276" t="str">
        <f>IF(COUNT(AI25)=0,"",AI25)</f>
        <v/>
      </c>
      <c r="AJ17" s="297" t="n"/>
      <c r="AK17" s="297" t="n"/>
      <c r="AL17" s="298" t="n"/>
      <c r="AM17" s="297" t="n"/>
      <c r="AN17" s="297" t="n"/>
      <c r="AO17" s="297" t="n"/>
      <c r="AP17" s="297" t="n"/>
      <c r="AQ17" s="298" t="n"/>
      <c r="AR17" s="297" t="n"/>
      <c r="AS17" s="297" t="n"/>
      <c r="AT17" s="297" t="n"/>
      <c r="AU17" s="297" t="n"/>
      <c r="AV17" s="298" t="n"/>
      <c r="AW17" s="297" t="n"/>
      <c r="AX17" s="297" t="n"/>
      <c r="AY17" s="297" t="n"/>
      <c r="AZ17" s="297" t="n"/>
      <c r="BA17" s="298" t="n"/>
      <c r="BB17" s="297" t="n"/>
      <c r="BC17" s="297" t="n"/>
      <c r="BD17" s="297" t="n"/>
      <c r="BE17" s="297" t="n"/>
      <c r="BF17" s="298" t="n"/>
      <c r="BG17" s="297" t="n"/>
      <c r="BH17" s="297" t="n"/>
      <c r="BI17" s="297" t="n"/>
      <c r="BJ17" s="297" t="n"/>
      <c r="BK17" s="298" t="n"/>
      <c r="BL17" s="297" t="n"/>
      <c r="BM17" s="297" t="n"/>
      <c r="BN17" s="297" t="n"/>
      <c r="BO17" s="297" t="n"/>
      <c r="BP17" s="298" t="n"/>
      <c r="BQ17" s="297" t="n"/>
      <c r="BR17" s="297" t="n"/>
      <c r="BS17" s="297" t="n"/>
      <c r="BT17" s="297" t="n"/>
      <c r="BU17" s="298" t="n"/>
      <c r="BV17" s="297" t="n"/>
      <c r="BW17" s="297" t="n"/>
      <c r="BX17" s="297" t="n"/>
      <c r="BY17" s="297" t="n"/>
      <c r="BZ17" s="298" t="n"/>
      <c r="CA17" s="297" t="n"/>
      <c r="CB17" s="297" t="n"/>
      <c r="CC17" s="297" t="n"/>
      <c r="CD17" s="297" t="n"/>
      <c r="CE17" s="298" t="n"/>
      <c r="CF17" s="297" t="n"/>
      <c r="CG17" s="297" t="n"/>
      <c r="CH17" s="297" t="n"/>
      <c r="CI17" s="297" t="n"/>
      <c r="CJ17" s="298" t="n"/>
      <c r="CK17" s="297" t="n"/>
      <c r="CL17" s="297" t="n"/>
      <c r="CM17" s="297" t="n"/>
      <c r="CN17" s="297" t="n"/>
      <c r="CO17" s="298" t="n"/>
      <c r="CP17" s="297" t="n"/>
      <c r="CQ17" s="297" t="n"/>
      <c r="CR17" s="297" t="n"/>
      <c r="CS17" s="297" t="n"/>
      <c r="CT17" s="298" t="n"/>
      <c r="CU17" s="297" t="n"/>
      <c r="CV17" s="297" t="n"/>
      <c r="CW17" s="297" t="n"/>
      <c r="CX17" s="297" t="n"/>
      <c r="CY17" s="298" t="n"/>
    </row>
    <row r="18" s="255">
      <c r="C18" s="289" t="inlineStr">
        <is>
          <t>Segmentos - receita (USD milhões)</t>
        </is>
      </c>
      <c r="D18" s="289" t="str">
        <f>D7</f>
        <v>1Q20</v>
      </c>
      <c r="E18" s="289" t="str">
        <f>E7</f>
        <v>2Q20</v>
      </c>
      <c r="F18" s="289" t="str">
        <f>F7</f>
        <v>3Q20</v>
      </c>
      <c r="G18" s="289" t="str">
        <f>G7</f>
        <v>4Q20</v>
      </c>
      <c r="H18" s="289">
        <f>H7</f>
        <v>2020</v>
      </c>
      <c r="I18" s="289" t="str">
        <f>I7</f>
        <v>1Q21</v>
      </c>
      <c r="J18" s="289" t="str">
        <f>J7</f>
        <v>2Q21</v>
      </c>
      <c r="K18" s="289" t="str">
        <f>K7</f>
        <v>3Q21</v>
      </c>
      <c r="L18" s="289" t="str">
        <f>L7</f>
        <v>4Q21</v>
      </c>
      <c r="M18" s="289">
        <f>M7</f>
        <v>2021</v>
      </c>
      <c r="N18" s="289" t="str">
        <f>N7</f>
        <v>1Q22</v>
      </c>
      <c r="O18" s="289" t="str">
        <f>O7</f>
        <v>2Q22</v>
      </c>
      <c r="P18" s="289" t="str">
        <f>P7</f>
        <v>3Q22</v>
      </c>
      <c r="Q18" s="289" t="str">
        <f>Q7</f>
        <v>4Q22</v>
      </c>
      <c r="R18" s="289">
        <f>R7</f>
        <v>2022</v>
      </c>
      <c r="S18" s="289" t="str">
        <f>S7</f>
        <v>1Q23</v>
      </c>
      <c r="T18" s="289" t="str">
        <f>T7</f>
        <v>2Q23</v>
      </c>
      <c r="U18" s="289" t="str">
        <f>U7</f>
        <v>3Q23</v>
      </c>
      <c r="V18" s="289" t="str">
        <f>V7</f>
        <v>4Q23</v>
      </c>
      <c r="W18" s="289">
        <f>W7</f>
        <v>2023</v>
      </c>
      <c r="X18" s="289" t="str">
        <f>X7</f>
        <v>1Q24</v>
      </c>
      <c r="Y18" s="289" t="str">
        <f>Y7</f>
        <v>2Q24</v>
      </c>
      <c r="Z18" s="289" t="str">
        <f>Z7</f>
        <v>3Q24</v>
      </c>
      <c r="AA18" s="289" t="str">
        <f>AA7</f>
        <v>4Q24</v>
      </c>
      <c r="AB18" s="289">
        <f>AB7</f>
        <v>2024</v>
      </c>
      <c r="AC18" s="289" t="str">
        <f>AC7</f>
        <v>1Q25</v>
      </c>
      <c r="AD18" s="289" t="str">
        <f>AD7</f>
        <v>2Q25</v>
      </c>
      <c r="AE18" s="289" t="str">
        <f>AE7</f>
        <v>3Q25</v>
      </c>
      <c r="AF18" s="289" t="str">
        <f>AF7</f>
        <v>4Q25</v>
      </c>
      <c r="AG18" s="289">
        <f>AG7</f>
        <v>2025</v>
      </c>
      <c r="AH18" s="289" t="str">
        <f>AH7</f>
        <v>1Q26</v>
      </c>
      <c r="AI18" s="289" t="str">
        <f>AI7</f>
        <v>2Q26</v>
      </c>
    </row>
    <row r="19" s="255">
      <c r="C19" s="275" t="inlineStr">
        <is>
          <t xml:space="preserve">   Agribusiness</t>
        </is>
      </c>
      <c r="D19" s="515">
        <f>IFERROR(INDEX('Inputs (2)'!$D$53:$AL$53,MATCH(D$7,'Inputs (2)'!$D$2:$AL$2,0)),"")</f>
        <v>6382</v>
      </c>
      <c r="E19" s="515">
        <f>IFERROR(INDEX('Inputs (2)'!$D$53:$AL$53,MATCH(E$7,'Inputs (2)'!$D$2:$AL$2,0)),"")</f>
        <v>6925</v>
      </c>
      <c r="F19" s="515">
        <f>IFERROR(INDEX('Inputs (2)'!$D$53:$AL$53,MATCH(F$7,'Inputs (2)'!$D$2:$AL$2,0)),"")</f>
        <v>7290</v>
      </c>
      <c r="G19" s="515">
        <f>IFERROR(INDEX('Inputs (2)'!$D$53:$AL$53,MATCH(G$7,'Inputs (2)'!$D$2:$AL$2,0)),"")</f>
        <v>9416</v>
      </c>
      <c r="H19" s="516">
        <f>IF(COUNT(D19:G19)=4,SUM(D19:G19),"")</f>
        <v>30013</v>
      </c>
      <c r="I19" s="515">
        <f>IFERROR(INDEX('Inputs (2)'!$D$53:$AL$53,MATCH(I$7,'Inputs (2)'!$D$2:$AL$2,0)),"")</f>
        <v>9791</v>
      </c>
      <c r="J19" s="515">
        <f>IFERROR(INDEX('Inputs (2)'!$D$53:$AL$53,MATCH(J$7,'Inputs (2)'!$D$2:$AL$2,0)),"")</f>
        <v>11654</v>
      </c>
      <c r="K19" s="515">
        <f>IFERROR(INDEX('Inputs (2)'!$D$53:$AL$53,MATCH(K$7,'Inputs (2)'!$D$2:$AL$2,0)),"")</f>
        <v>9868</v>
      </c>
      <c r="L19" s="515">
        <f>IFERROR(INDEX('Inputs (2)'!$D$53:$AL$53,MATCH(L$7,'Inputs (2)'!$D$2:$AL$2,0)),"")</f>
        <v>12324</v>
      </c>
      <c r="M19" s="516">
        <f>IF(COUNT(I19:L19)=4,SUM(I19:L19),"")</f>
        <v>43637</v>
      </c>
      <c r="N19" s="515">
        <f>IFERROR(INDEX('Inputs (2)'!$D$53:$AL$53,MATCH(N$7,'Inputs (2)'!$D$2:$AL$2,0)),"")</f>
        <v>11231</v>
      </c>
      <c r="O19" s="515">
        <f>IFERROR(INDEX('Inputs (2)'!$D$53:$AL$53,MATCH(O$7,'Inputs (2)'!$D$2:$AL$2,0)),"")</f>
        <v>12747</v>
      </c>
      <c r="P19" s="515">
        <f>IFERROR(INDEX('Inputs (2)'!$D$53:$AL$53,MATCH(P$7,'Inputs (2)'!$D$2:$AL$2,0)),"")</f>
        <v>11741</v>
      </c>
      <c r="Q19" s="515">
        <f>IFERROR(INDEX('Inputs (2)'!$D$53:$AL$53,MATCH(Q$7,'Inputs (2)'!$D$2:$AL$2,0)),"")</f>
        <v>11981</v>
      </c>
      <c r="R19" s="516">
        <f>IF(COUNT(N19:Q19)=4,SUM(N19:Q19),"")</f>
        <v>47700</v>
      </c>
      <c r="S19" s="515">
        <f>IFERROR(INDEX('Inputs (2)'!$D$53:$AL$53,MATCH(S$7,'Inputs (2)'!$D$2:$AL$2,0)),"")</f>
        <v>10852</v>
      </c>
      <c r="T19" s="515">
        <f>IFERROR(INDEX('Inputs (2)'!$D$53:$AL$53,MATCH(T$7,'Inputs (2)'!$D$2:$AL$2,0)),"")</f>
        <v>10875</v>
      </c>
      <c r="U19" s="515">
        <f>IFERROR(INDEX('Inputs (2)'!$D$53:$AL$53,MATCH(U$7,'Inputs (2)'!$D$2:$AL$2,0)),"")</f>
        <v>10082</v>
      </c>
      <c r="V19" s="515">
        <f>IFERROR(INDEX('Inputs (2)'!$D$53:$AL$53,MATCH(V$7,'Inputs (2)'!$D$2:$AL$2,0)),"")</f>
        <v>10955</v>
      </c>
      <c r="W19" s="516">
        <f>IF(COUNT(S19:V19)=4,SUM(S19:V19),"")</f>
        <v>42764</v>
      </c>
      <c r="X19" s="515">
        <f>IFERROR(INDEX('Inputs (2)'!$D$53:$AL$53,MATCH(X$7,'Inputs (2)'!$D$2:$AL$2,0)),"")</f>
        <v>9740</v>
      </c>
      <c r="Y19" s="515">
        <f>IFERROR(INDEX('Inputs (2)'!$D$53:$AL$53,MATCH(Y$7,'Inputs (2)'!$D$2:$AL$2,0)),"")</f>
        <v>9657</v>
      </c>
      <c r="Z19" s="515">
        <f>IFERROR(INDEX('Inputs (2)'!$D$53:$AL$53,MATCH(Z$7,'Inputs (2)'!$D$2:$AL$2,0)),"")</f>
        <v>9292</v>
      </c>
      <c r="AA19" s="515">
        <f>IFERROR(INDEX('Inputs (2)'!$D$53:$AL$53,MATCH(AA$7,'Inputs (2)'!$D$2:$AL$2,0)),"")</f>
        <v>9909</v>
      </c>
      <c r="AB19" s="516">
        <f>IF(COUNT(X19:AA19)=4,SUM(X19:AA19),"")</f>
        <v>38598</v>
      </c>
      <c r="AC19" s="515">
        <f>IFERROR(INDEX('Inputs (2)'!$D$53:$AL$53,MATCH(AC$7,'Inputs (2)'!$D$2:$AL$2,0)),"")</f>
        <v>8161</v>
      </c>
      <c r="AD19" s="515">
        <f>IFERROR(INDEX('Inputs (2)'!$D$53:$AL$53,MATCH(AD$7,'Inputs (2)'!$D$2:$AL$2,0)),"")</f>
        <v>9167</v>
      </c>
      <c r="AE19" s="515" t="str">
        <f>IFERROR(INDEX('Inputs (2)'!$D$53:$AL$53,MATCH(AE$7,'Inputs (2)'!$D$2:$AL$2,0)),"")</f>
        <v/>
      </c>
      <c r="AF19" s="515" t="str">
        <f>IFERROR(INDEX('Inputs (2)'!$D$53:$AL$53,MATCH(AF$7,'Inputs (2)'!$D$2:$AL$2,0)),"")</f>
        <v/>
      </c>
      <c r="AG19" s="516" t="str">
        <f>IF(COUNT(AC19:AF19)=4,SUM(AC19:AF19),"")</f>
        <v/>
      </c>
      <c r="AH19" s="516" t="str">
        <f>IFERROR(INDEX('Inputs (2)'!$D$53:$AL$53,MATCH(AH$7,'Inputs (2)'!$D$2:$AL$2,0)),"")</f>
        <v/>
      </c>
      <c r="AI19" s="516" t="str">
        <f>IFERROR(INDEX('Inputs (2)'!$D$53:$AL$53,MATCH(AI$7,'Inputs (2)'!$D$2:$AL$2,0)),"")</f>
        <v/>
      </c>
    </row>
    <row r="20" s="255">
      <c r="C20" s="275" t="inlineStr">
        <is>
          <t xml:space="preserve">   Refined &amp; Specialty Oils</t>
        </is>
      </c>
      <c r="D20" s="515">
        <f>IFERROR(INDEX('Inputs (2)'!$D$55:$AL$55,MATCH(D$7,'Inputs (2)'!$D$2:$AL$2,0)),"")</f>
        <v>2325</v>
      </c>
      <c r="E20" s="515">
        <f>IFERROR(INDEX('Inputs (2)'!$D$55:$AL$55,MATCH(E$7,'Inputs (2)'!$D$2:$AL$2,0)),"")</f>
        <v>2129</v>
      </c>
      <c r="F20" s="515">
        <f>IFERROR(INDEX('Inputs (2)'!$D$55:$AL$55,MATCH(F$7,'Inputs (2)'!$D$2:$AL$2,0)),"")</f>
        <v>2432</v>
      </c>
      <c r="G20" s="515">
        <f>IFERROR(INDEX('Inputs (2)'!$D$55:$AL$55,MATCH(G$7,'Inputs (2)'!$D$2:$AL$2,0)),"")</f>
        <v>2714</v>
      </c>
      <c r="H20" s="516">
        <f>IF(COUNT(D20:G20)=4,SUM(D20:G20),"")</f>
        <v>9600</v>
      </c>
      <c r="I20" s="515">
        <f>IFERROR(INDEX('Inputs (2)'!$D$55:$AL$55,MATCH(I$7,'Inputs (2)'!$D$2:$AL$2,0)),"")</f>
        <v>2726</v>
      </c>
      <c r="J20" s="515">
        <f>IFERROR(INDEX('Inputs (2)'!$D$55:$AL$55,MATCH(J$7,'Inputs (2)'!$D$2:$AL$2,0)),"")</f>
        <v>3198</v>
      </c>
      <c r="K20" s="515">
        <f>IFERROR(INDEX('Inputs (2)'!$D$55:$AL$55,MATCH(K$7,'Inputs (2)'!$D$2:$AL$2,0)),"")</f>
        <v>3648</v>
      </c>
      <c r="L20" s="515">
        <f>IFERROR(INDEX('Inputs (2)'!$D$55:$AL$55,MATCH(L$7,'Inputs (2)'!$D$2:$AL$2,0)),"")</f>
        <v>3760</v>
      </c>
      <c r="M20" s="516">
        <f>IF(COUNT(I20:L20)=4,SUM(I20:L20),"")</f>
        <v>13332</v>
      </c>
      <c r="N20" s="515">
        <f>IFERROR(INDEX('Inputs (2)'!$D$55:$AL$55,MATCH(N$7,'Inputs (2)'!$D$2:$AL$2,0)),"")</f>
        <v>3976</v>
      </c>
      <c r="O20" s="515">
        <f>IFERROR(INDEX('Inputs (2)'!$D$55:$AL$55,MATCH(O$7,'Inputs (2)'!$D$2:$AL$2,0)),"")</f>
        <v>4445</v>
      </c>
      <c r="P20" s="515">
        <f>IFERROR(INDEX('Inputs (2)'!$D$55:$AL$55,MATCH(P$7,'Inputs (2)'!$D$2:$AL$2,0)),"")</f>
        <v>4302</v>
      </c>
      <c r="Q20" s="515">
        <f>IFERROR(INDEX('Inputs (2)'!$D$55:$AL$55,MATCH(Q$7,'Inputs (2)'!$D$2:$AL$2,0)),"")</f>
        <v>4127</v>
      </c>
      <c r="R20" s="516">
        <f>IF(COUNT(N20:Q20)=4,SUM(N20:Q20),"")</f>
        <v>16850</v>
      </c>
      <c r="S20" s="515">
        <f>IFERROR(INDEX('Inputs (2)'!$D$55:$AL$55,MATCH(S$7,'Inputs (2)'!$D$2:$AL$2,0)),"")</f>
        <v>3888</v>
      </c>
      <c r="T20" s="515">
        <f>IFERROR(INDEX('Inputs (2)'!$D$55:$AL$55,MATCH(T$7,'Inputs (2)'!$D$2:$AL$2,0)),"")</f>
        <v>3601</v>
      </c>
      <c r="U20" s="515">
        <f>IFERROR(INDEX('Inputs (2)'!$D$55:$AL$55,MATCH(U$7,'Inputs (2)'!$D$2:$AL$2,0)),"")</f>
        <v>3601</v>
      </c>
      <c r="V20" s="515">
        <f>IFERROR(INDEX('Inputs (2)'!$D$55:$AL$55,MATCH(V$7,'Inputs (2)'!$D$2:$AL$2,0)),"")</f>
        <v>3513</v>
      </c>
      <c r="W20" s="516">
        <f>IF(COUNT(S20:V20)=4,SUM(S20:V20),"")</f>
        <v>14603</v>
      </c>
      <c r="X20" s="515">
        <f>IFERROR(INDEX('Inputs (2)'!$D$55:$AL$55,MATCH(X$7,'Inputs (2)'!$D$2:$AL$2,0)),"")</f>
        <v>3240</v>
      </c>
      <c r="Y20" s="515">
        <f>IFERROR(INDEX('Inputs (2)'!$D$55:$AL$55,MATCH(Y$7,'Inputs (2)'!$D$2:$AL$2,0)),"")</f>
        <v>3121</v>
      </c>
      <c r="Z20" s="515">
        <f>IFERROR(INDEX('Inputs (2)'!$D$55:$AL$55,MATCH(Z$7,'Inputs (2)'!$D$2:$AL$2,0)),"")</f>
        <v>3158</v>
      </c>
      <c r="AA20" s="515">
        <f>IFERROR(INDEX('Inputs (2)'!$D$55:$AL$55,MATCH(AA$7,'Inputs (2)'!$D$2:$AL$2,0)),"")</f>
        <v>3252</v>
      </c>
      <c r="AB20" s="516">
        <f>IF(COUNT(X20:AA20)=4,SUM(X20:AA20),"")</f>
        <v>12771</v>
      </c>
      <c r="AC20" s="515">
        <f>IFERROR(INDEX('Inputs (2)'!$D$55:$AL$55,MATCH(AC$7,'Inputs (2)'!$D$2:$AL$2,0)),"")</f>
        <v>3092</v>
      </c>
      <c r="AD20" s="515">
        <f>IFERROR(INDEX('Inputs (2)'!$D$55:$AL$55,MATCH(AD$7,'Inputs (2)'!$D$2:$AL$2,0)),"")</f>
        <v>3177</v>
      </c>
      <c r="AE20" s="515" t="str">
        <f>IFERROR(INDEX('Inputs (2)'!$D$55:$AL$55,MATCH(AE$7,'Inputs (2)'!$D$2:$AL$2,0)),"")</f>
        <v/>
      </c>
      <c r="AF20" s="515" t="str">
        <f>IFERROR(INDEX('Inputs (2)'!$D$55:$AL$55,MATCH(AF$7,'Inputs (2)'!$D$2:$AL$2,0)),"")</f>
        <v/>
      </c>
      <c r="AG20" s="516" t="str">
        <f>IF(COUNT(AC20:AF20)=4,SUM(AC20:AF20),"")</f>
        <v/>
      </c>
      <c r="AH20" s="516" t="str">
        <f>IFERROR(INDEX('Inputs (2)'!$D$55:$AL$55,MATCH(AH$7,'Inputs (2)'!$D$2:$AL$2,0)),"")</f>
        <v/>
      </c>
      <c r="AI20" s="516" t="str">
        <f>IFERROR(INDEX('Inputs (2)'!$D$55:$AL$55,MATCH(AI$7,'Inputs (2)'!$D$2:$AL$2,0)),"")</f>
        <v/>
      </c>
    </row>
    <row r="21" s="255">
      <c r="C21" s="275" t="inlineStr">
        <is>
          <t xml:space="preserve">   Milling</t>
        </is>
      </c>
      <c r="D21" s="515">
        <f>IFERROR(INDEX('Inputs (2)'!$D$57:$AL$57,MATCH(D$7,'Inputs (2)'!$D$2:$AL$2,0)),"")</f>
        <v>416</v>
      </c>
      <c r="E21" s="515">
        <f>IFERROR(INDEX('Inputs (2)'!$D$57:$AL$57,MATCH(E$7,'Inputs (2)'!$D$2:$AL$2,0)),"")</f>
        <v>382</v>
      </c>
      <c r="F21" s="515">
        <f>IFERROR(INDEX('Inputs (2)'!$D$57:$AL$57,MATCH(F$7,'Inputs (2)'!$D$2:$AL$2,0)),"")</f>
        <v>388</v>
      </c>
      <c r="G21" s="515">
        <f>IFERROR(INDEX('Inputs (2)'!$D$57:$AL$57,MATCH(G$7,'Inputs (2)'!$D$2:$AL$2,0)),"")</f>
        <v>463</v>
      </c>
      <c r="H21" s="516">
        <f>IF(COUNT(D21:G21)=4,SUM(D21:G21),"")</f>
        <v>1649</v>
      </c>
      <c r="I21" s="515">
        <f>IFERROR(INDEX('Inputs (2)'!$D$57:$AL$57,MATCH(I$7,'Inputs (2)'!$D$2:$AL$2,0)),"")</f>
        <v>390</v>
      </c>
      <c r="J21" s="515">
        <f>IFERROR(INDEX('Inputs (2)'!$D$57:$AL$57,MATCH(J$7,'Inputs (2)'!$D$2:$AL$2,0)),"")</f>
        <v>471</v>
      </c>
      <c r="K21" s="515">
        <f>IFERROR(INDEX('Inputs (2)'!$D$57:$AL$57,MATCH(K$7,'Inputs (2)'!$D$2:$AL$2,0)),"")</f>
        <v>530</v>
      </c>
      <c r="L21" s="515">
        <f>IFERROR(INDEX('Inputs (2)'!$D$57:$AL$57,MATCH(L$7,'Inputs (2)'!$D$2:$AL$2,0)),"")</f>
        <v>517</v>
      </c>
      <c r="M21" s="516">
        <f>IF(COUNT(I21:L21)=4,SUM(I21:L21),"")</f>
        <v>1908</v>
      </c>
      <c r="N21" s="515">
        <f>IFERROR(INDEX('Inputs (2)'!$D$57:$AL$57,MATCH(N$7,'Inputs (2)'!$D$2:$AL$2,0)),"")</f>
        <v>603</v>
      </c>
      <c r="O21" s="515">
        <f>IFERROR(INDEX('Inputs (2)'!$D$57:$AL$57,MATCH(O$7,'Inputs (2)'!$D$2:$AL$2,0)),"")</f>
        <v>677</v>
      </c>
      <c r="P21" s="515">
        <f>IFERROR(INDEX('Inputs (2)'!$D$57:$AL$57,MATCH(P$7,'Inputs (2)'!$D$2:$AL$2,0)),"")</f>
        <v>631</v>
      </c>
      <c r="Q21" s="515">
        <f>IFERROR(INDEX('Inputs (2)'!$D$57:$AL$57,MATCH(Q$7,'Inputs (2)'!$D$2:$AL$2,0)),"")</f>
        <v>477</v>
      </c>
      <c r="R21" s="516">
        <f>IF(COUNT(N21:Q21)=4,SUM(N21:Q21),"")</f>
        <v>2388</v>
      </c>
      <c r="S21" s="515">
        <f>IFERROR(INDEX('Inputs (2)'!$D$57:$AL$57,MATCH(S$7,'Inputs (2)'!$D$2:$AL$2,0)),"")</f>
        <v>515</v>
      </c>
      <c r="T21" s="515">
        <f>IFERROR(INDEX('Inputs (2)'!$D$57:$AL$57,MATCH(T$7,'Inputs (2)'!$D$2:$AL$2,0)),"")</f>
        <v>490</v>
      </c>
      <c r="U21" s="515">
        <f>IFERROR(INDEX('Inputs (2)'!$D$57:$AL$57,MATCH(U$7,'Inputs (2)'!$D$2:$AL$2,0)),"")</f>
        <v>479</v>
      </c>
      <c r="V21" s="515">
        <f>IFERROR(INDEX('Inputs (2)'!$D$57:$AL$57,MATCH(V$7,'Inputs (2)'!$D$2:$AL$2,0)),"")</f>
        <v>412</v>
      </c>
      <c r="W21" s="516">
        <f>IF(COUNT(S21:V21)=4,SUM(S21:V21),"")</f>
        <v>1896</v>
      </c>
      <c r="X21" s="515">
        <f>IFERROR(INDEX('Inputs (2)'!$D$57:$AL$57,MATCH(X$7,'Inputs (2)'!$D$2:$AL$2,0)),"")</f>
        <v>381</v>
      </c>
      <c r="Y21" s="515">
        <f>IFERROR(INDEX('Inputs (2)'!$D$57:$AL$57,MATCH(Y$7,'Inputs (2)'!$D$2:$AL$2,0)),"")</f>
        <v>401</v>
      </c>
      <c r="Z21" s="515">
        <f>IFERROR(INDEX('Inputs (2)'!$D$57:$AL$57,MATCH(Z$7,'Inputs (2)'!$D$2:$AL$2,0)),"")</f>
        <v>407</v>
      </c>
      <c r="AA21" s="515">
        <f>IFERROR(INDEX('Inputs (2)'!$D$57:$AL$57,MATCH(AA$7,'Inputs (2)'!$D$2:$AL$2,0)),"")</f>
        <v>366</v>
      </c>
      <c r="AB21" s="516">
        <f>IF(COUNT(X21:AA21)=4,SUM(X21:AA21),"")</f>
        <v>1555</v>
      </c>
      <c r="AC21" s="515">
        <f>IFERROR(INDEX('Inputs (2)'!$D$57:$AL$57,MATCH(AC$7,'Inputs (2)'!$D$2:$AL$2,0)),"")</f>
        <v>375</v>
      </c>
      <c r="AD21" s="515">
        <f>IFERROR(INDEX('Inputs (2)'!$D$57:$AL$57,MATCH(AD$7,'Inputs (2)'!$D$2:$AL$2,0)),"")</f>
        <v>409</v>
      </c>
      <c r="AE21" s="515" t="str">
        <f>IFERROR(INDEX('Inputs (2)'!$D$57:$AL$57,MATCH(AE$7,'Inputs (2)'!$D$2:$AL$2,0)),"")</f>
        <v/>
      </c>
      <c r="AF21" s="515" t="str">
        <f>IFERROR(INDEX('Inputs (2)'!$D$57:$AL$57,MATCH(AF$7,'Inputs (2)'!$D$2:$AL$2,0)),"")</f>
        <v/>
      </c>
      <c r="AG21" s="516" t="str">
        <f>IF(COUNT(AC21:AF21)=4,SUM(AC21:AF21),"")</f>
        <v/>
      </c>
      <c r="AH21" s="516" t="str">
        <f>IFERROR(INDEX('Inputs (2)'!$D$57:$AL$57,MATCH(AH$7,'Inputs (2)'!$D$2:$AL$2,0)),"")</f>
        <v/>
      </c>
      <c r="AI21" s="516" t="str">
        <f>IFERROR(INDEX('Inputs (2)'!$D$57:$AL$57,MATCH(AI$7,'Inputs (2)'!$D$2:$AL$2,0)),"")</f>
        <v/>
      </c>
    </row>
    <row r="22" s="255">
      <c r="C22" s="275" t="inlineStr">
        <is>
          <t xml:space="preserve">   Sugar &amp; Bioenergy</t>
        </is>
      </c>
      <c r="D22" s="515">
        <f>IFERROR(INDEX('Inputs (2)'!$D$59:$AL$59,MATCH(D$7,'Inputs (2)'!$D$2:$AL$2,0)),"")</f>
        <v>50</v>
      </c>
      <c r="E22" s="515">
        <f>IFERROR(INDEX('Inputs (2)'!$D$59:$AL$59,MATCH(E$7,'Inputs (2)'!$D$2:$AL$2,0)),"")</f>
        <v>26</v>
      </c>
      <c r="F22" s="515">
        <f>IFERROR(INDEX('Inputs (2)'!$D$59:$AL$59,MATCH(F$7,'Inputs (2)'!$D$2:$AL$2,0)),"")</f>
        <v>49</v>
      </c>
      <c r="G22" s="515">
        <f>IFERROR(INDEX('Inputs (2)'!$D$59:$AL$59,MATCH(G$7,'Inputs (2)'!$D$2:$AL$2,0)),"")</f>
        <v>17</v>
      </c>
      <c r="H22" s="516">
        <f>IF(COUNT(D22:G22)=4,SUM(D22:G22),"")</f>
        <v>142</v>
      </c>
      <c r="I22" s="515">
        <f>IFERROR(INDEX('Inputs (2)'!$D$59:$AL$59,MATCH(I$7,'Inputs (2)'!$D$2:$AL$2,0)),"")</f>
        <v>54</v>
      </c>
      <c r="J22" s="515">
        <f>IFERROR(INDEX('Inputs (2)'!$D$59:$AL$59,MATCH(J$7,'Inputs (2)'!$D$2:$AL$2,0)),"")</f>
        <v>68</v>
      </c>
      <c r="K22" s="515">
        <f>IFERROR(INDEX('Inputs (2)'!$D$59:$AL$59,MATCH(K$7,'Inputs (2)'!$D$2:$AL$2,0)),"")</f>
        <v>69</v>
      </c>
      <c r="L22" s="515">
        <f>IFERROR(INDEX('Inputs (2)'!$D$59:$AL$59,MATCH(L$7,'Inputs (2)'!$D$2:$AL$2,0)),"")</f>
        <v>80</v>
      </c>
      <c r="M22" s="516">
        <f>IF(COUNT(I22:L22)=4,SUM(I22:L22),"")</f>
        <v>271</v>
      </c>
      <c r="N22" s="515">
        <f>IFERROR(INDEX('Inputs (2)'!$D$59:$AL$59,MATCH(N$7,'Inputs (2)'!$D$2:$AL$2,0)),"")</f>
        <v>64</v>
      </c>
      <c r="O22" s="515">
        <f>IFERROR(INDEX('Inputs (2)'!$D$59:$AL$59,MATCH(O$7,'Inputs (2)'!$D$2:$AL$2,0)),"")</f>
        <v>57</v>
      </c>
      <c r="P22" s="515">
        <f>IFERROR(INDEX('Inputs (2)'!$D$59:$AL$59,MATCH(P$7,'Inputs (2)'!$D$2:$AL$2,0)),"")</f>
        <v>74</v>
      </c>
      <c r="Q22" s="515">
        <f>IFERROR(INDEX('Inputs (2)'!$D$59:$AL$59,MATCH(Q$7,'Inputs (2)'!$D$2:$AL$2,0)),"")</f>
        <v>64</v>
      </c>
      <c r="R22" s="516">
        <f>IF(COUNT(N22:Q22)=4,SUM(N22:Q22),"")</f>
        <v>259</v>
      </c>
      <c r="S22" s="515">
        <f>IFERROR(INDEX('Inputs (2)'!$D$59:$AL$59,MATCH(S$7,'Inputs (2)'!$D$2:$AL$2,0)),"")</f>
        <v>64</v>
      </c>
      <c r="T22" s="515">
        <f>IFERROR(INDEX('Inputs (2)'!$D$59:$AL$59,MATCH(T$7,'Inputs (2)'!$D$2:$AL$2,0)),"")</f>
        <v>72</v>
      </c>
      <c r="U22" s="515">
        <f>IFERROR(INDEX('Inputs (2)'!$D$59:$AL$59,MATCH(U$7,'Inputs (2)'!$D$2:$AL$2,0)),"")</f>
        <v>56</v>
      </c>
      <c r="V22" s="515">
        <f>IFERROR(INDEX('Inputs (2)'!$D$59:$AL$59,MATCH(V$7,'Inputs (2)'!$D$2:$AL$2,0)),"")</f>
        <v>43</v>
      </c>
      <c r="W22" s="516">
        <f>IF(COUNT(S22:V22)=4,SUM(S22:V22),"")</f>
        <v>235</v>
      </c>
      <c r="X22" s="515">
        <f>IFERROR(INDEX('Inputs (2)'!$D$59:$AL$59,MATCH(X$7,'Inputs (2)'!$D$2:$AL$2,0)),"")</f>
        <v>43</v>
      </c>
      <c r="Y22" s="515">
        <f>IFERROR(INDEX('Inputs (2)'!$D$59:$AL$59,MATCH(Y$7,'Inputs (2)'!$D$2:$AL$2,0)),"")</f>
        <v>49</v>
      </c>
      <c r="Z22" s="515">
        <f>IFERROR(INDEX('Inputs (2)'!$D$59:$AL$59,MATCH(Z$7,'Inputs (2)'!$D$2:$AL$2,0)),"")</f>
        <v>38</v>
      </c>
      <c r="AA22" s="515">
        <f>IFERROR(INDEX('Inputs (2)'!$D$59:$AL$59,MATCH(AA$7,'Inputs (2)'!$D$2:$AL$2,0)),"")</f>
        <v>0</v>
      </c>
      <c r="AB22" s="516">
        <f>IF(COUNT(X22:AA22)=4,SUM(X22:AA22),"")</f>
        <v>130</v>
      </c>
      <c r="AC22" s="515" t="str">
        <f>IFERROR(INDEX('Inputs (2)'!$D$59:$AL$59,MATCH(AC$7,'Inputs (2)'!$D$2:$AL$2,0)),"")</f>
        <v/>
      </c>
      <c r="AD22" s="515" t="str">
        <f>IFERROR(INDEX('Inputs (2)'!$D$59:$AL$59,MATCH(AD$7,'Inputs (2)'!$D$2:$AL$2,0)),"")</f>
        <v/>
      </c>
      <c r="AE22" s="515" t="str">
        <f>IFERROR(INDEX('Inputs (2)'!$D$59:$AL$59,MATCH(AE$7,'Inputs (2)'!$D$2:$AL$2,0)),"")</f>
        <v/>
      </c>
      <c r="AF22" s="515" t="str">
        <f>IFERROR(INDEX('Inputs (2)'!$D$59:$AL$59,MATCH(AF$7,'Inputs (2)'!$D$2:$AL$2,0)),"")</f>
        <v/>
      </c>
      <c r="AG22" s="516" t="str">
        <f>IF(COUNT(AC22:AF22)=4,SUM(AC22:AF22),"")</f>
        <v/>
      </c>
      <c r="AH22" s="516" t="str">
        <f>IFERROR(INDEX('Inputs (2)'!$D$59:$AL$59,MATCH(AH$7,'Inputs (2)'!$D$2:$AL$2,0)),"")</f>
        <v/>
      </c>
      <c r="AI22" s="516" t="str">
        <f>IFERROR(INDEX('Inputs (2)'!$D$59:$AL$59,MATCH(AI$7,'Inputs (2)'!$D$2:$AL$2,0)),"")</f>
        <v/>
      </c>
    </row>
    <row r="23" s="255">
      <c r="C23" s="275" t="inlineStr">
        <is>
          <t xml:space="preserve">   Corporate &amp; Other</t>
        </is>
      </c>
      <c r="D23" s="515" t="str">
        <f>IFERROR(INDEX('Inputs (2)'!$D$61:$AL$61,MATCH(D$7,'Inputs (2)'!$D$2:$AL$2,0)),"")</f>
        <v/>
      </c>
      <c r="E23" s="515" t="str">
        <f>IFERROR(INDEX('Inputs (2)'!$D$61:$AL$61,MATCH(E$7,'Inputs (2)'!$D$2:$AL$2,0)),"")</f>
        <v/>
      </c>
      <c r="F23" s="515">
        <f>IFERROR(INDEX('Inputs (2)'!$D$61:$AL$61,MATCH(F$7,'Inputs (2)'!$D$2:$AL$2,0)),"")</f>
        <v>0</v>
      </c>
      <c r="G23" s="515">
        <f>IFERROR(INDEX('Inputs (2)'!$D$61:$AL$61,MATCH(G$7,'Inputs (2)'!$D$2:$AL$2,0)),"")</f>
        <v>0</v>
      </c>
      <c r="H23" s="516" t="str">
        <f>IF(COUNT(D23:G23)=4,SUM(D23:G23),"")</f>
        <v/>
      </c>
      <c r="I23" s="515">
        <f>IFERROR(INDEX('Inputs (2)'!$D$61:$AL$61,MATCH(I$7,'Inputs (2)'!$D$2:$AL$2,0)),"")</f>
        <v>0</v>
      </c>
      <c r="J23" s="515">
        <f>IFERROR(INDEX('Inputs (2)'!$D$61:$AL$61,MATCH(J$7,'Inputs (2)'!$D$2:$AL$2,0)),"")</f>
        <v>0</v>
      </c>
      <c r="K23" s="515">
        <f>IFERROR(INDEX('Inputs (2)'!$D$61:$AL$61,MATCH(K$7,'Inputs (2)'!$D$2:$AL$2,0)),"")</f>
        <v>2</v>
      </c>
      <c r="L23" s="515">
        <f>IFERROR(INDEX('Inputs (2)'!$D$61:$AL$61,MATCH(L$7,'Inputs (2)'!$D$2:$AL$2,0)),"")</f>
        <v>2</v>
      </c>
      <c r="M23" s="516">
        <f>IF(COUNT(I23:L23)=4,SUM(I23:L23),"")</f>
        <v>4</v>
      </c>
      <c r="N23" s="515">
        <f>IFERROR(INDEX('Inputs (2)'!$D$61:$AL$61,MATCH(N$7,'Inputs (2)'!$D$2:$AL$2,0)),"")</f>
        <v>6</v>
      </c>
      <c r="O23" s="515">
        <f>IFERROR(INDEX('Inputs (2)'!$D$61:$AL$61,MATCH(O$7,'Inputs (2)'!$D$2:$AL$2,0)),"")</f>
        <v>7</v>
      </c>
      <c r="P23" s="515">
        <f>IFERROR(INDEX('Inputs (2)'!$D$61:$AL$61,MATCH(P$7,'Inputs (2)'!$D$2:$AL$2,0)),"")</f>
        <v>11</v>
      </c>
      <c r="Q23" s="515">
        <f>IFERROR(INDEX('Inputs (2)'!$D$61:$AL$61,MATCH(Q$7,'Inputs (2)'!$D$2:$AL$2,0)),"")</f>
        <v>11</v>
      </c>
      <c r="R23" s="516">
        <f>IF(COUNT(N23:Q23)=4,SUM(N23:Q23),"")</f>
        <v>35</v>
      </c>
      <c r="S23" s="515">
        <f>IFERROR(INDEX('Inputs (2)'!$D$61:$AL$61,MATCH(S$7,'Inputs (2)'!$D$2:$AL$2,0)),"")</f>
        <v>9</v>
      </c>
      <c r="T23" s="515">
        <f>IFERROR(INDEX('Inputs (2)'!$D$61:$AL$61,MATCH(T$7,'Inputs (2)'!$D$2:$AL$2,0)),"")</f>
        <v>11</v>
      </c>
      <c r="U23" s="515">
        <f>IFERROR(INDEX('Inputs (2)'!$D$61:$AL$61,MATCH(U$7,'Inputs (2)'!$D$2:$AL$2,0)),"")</f>
        <v>9</v>
      </c>
      <c r="V23" s="515">
        <f>IFERROR(INDEX('Inputs (2)'!$D$61:$AL$61,MATCH(V$7,'Inputs (2)'!$D$2:$AL$2,0)),"")</f>
        <v>13</v>
      </c>
      <c r="W23" s="516">
        <f>IF(COUNT(S23:V23)=4,SUM(S23:V23),"")</f>
        <v>42</v>
      </c>
      <c r="X23" s="515">
        <f>IFERROR(INDEX('Inputs (2)'!$D$61:$AL$61,MATCH(X$7,'Inputs (2)'!$D$2:$AL$2,0)),"")</f>
        <v>56</v>
      </c>
      <c r="Y23" s="515">
        <f>IFERROR(INDEX('Inputs (2)'!$D$61:$AL$61,MATCH(Y$7,'Inputs (2)'!$D$2:$AL$2,0)),"")</f>
        <v>62</v>
      </c>
      <c r="Z23" s="515">
        <f>IFERROR(INDEX('Inputs (2)'!$D$61:$AL$61,MATCH(Z$7,'Inputs (2)'!$D$2:$AL$2,0)),"")</f>
        <v>1</v>
      </c>
      <c r="AA23" s="515">
        <f>IFERROR(INDEX('Inputs (2)'!$D$61:$AL$61,MATCH(AA$7,'Inputs (2)'!$D$2:$AL$2,0)),"")</f>
        <v>15</v>
      </c>
      <c r="AB23" s="516">
        <f>IF(COUNT(X23:AA23)=4,SUM(X23:AA23),"")</f>
        <v>134</v>
      </c>
      <c r="AC23" s="515">
        <f>IFERROR(INDEX('Inputs (2)'!$D$61:$AL$61,MATCH(AC$7,'Inputs (2)'!$D$2:$AL$2,0)),"")</f>
        <v>0</v>
      </c>
      <c r="AD23" s="515">
        <f>IFERROR(INDEX('Inputs (2)'!$D$61:$AL$61,MATCH(AD$7,'Inputs (2)'!$D$2:$AL$2,0)),"")</f>
        <v>2</v>
      </c>
      <c r="AE23" s="515" t="str">
        <f>IFERROR(INDEX('Inputs (2)'!$D$61:$AL$61,MATCH(AE$7,'Inputs (2)'!$D$2:$AL$2,0)),"")</f>
        <v/>
      </c>
      <c r="AF23" s="515" t="str">
        <f>IFERROR(INDEX('Inputs (2)'!$D$61:$AL$61,MATCH(AF$7,'Inputs (2)'!$D$2:$AL$2,0)),"")</f>
        <v/>
      </c>
      <c r="AG23" s="516" t="str">
        <f>IF(COUNT(AC23:AF23)=4,SUM(AC23:AF23),"")</f>
        <v/>
      </c>
      <c r="AH23" s="516" t="str">
        <f>IFERROR(INDEX('Inputs (2)'!$D$61:$AL$61,MATCH(AH$7,'Inputs (2)'!$D$2:$AL$2,0)),"")</f>
        <v/>
      </c>
      <c r="AI23" s="516" t="str">
        <f>IFERROR(INDEX('Inputs (2)'!$D$61:$AL$61,MATCH(AI$7,'Inputs (2)'!$D$2:$AL$2,0)),"")</f>
        <v/>
      </c>
    </row>
    <row r="24" s="255">
      <c r="C24" s="517" t="inlineStr">
        <is>
          <t>Receita (soma dos segmentos)</t>
        </is>
      </c>
      <c r="D24" s="515">
        <f>IF(COUNT(D19,D20,D21,D22,D23)=0,"",N(D19)+N(D20)+N(D21)+N(D22)+N(D23))</f>
        <v>9173</v>
      </c>
      <c r="E24" s="515">
        <f>IF(COUNT(E19,E20,E21,E22,E23)=0,"",N(E19)+N(E20)+N(E21)+N(E22)+N(E23))</f>
        <v>9462</v>
      </c>
      <c r="F24" s="515">
        <f>IF(COUNT(F19,F20,F21,F22,F23)=0,"",N(F19)+N(F20)+N(F21)+N(F22)+N(F23))</f>
        <v>10159</v>
      </c>
      <c r="G24" s="515">
        <f>IF(COUNT(G19,G20,G21,G22,G23)=0,"",N(G19)+N(G20)+N(G21)+N(G22)+N(G23))</f>
        <v>12610</v>
      </c>
      <c r="H24" s="516">
        <f>IF(COUNT(H19,H20,H21,H22,H23)=0,"",N(H19)+N(H20)+N(H21)+N(H22)+N(H23))</f>
        <v>41404</v>
      </c>
      <c r="I24" s="515">
        <f>IF(COUNT(I19,I20,I21,I22,I23)=0,"",N(I19)+N(I20)+N(I21)+N(I22)+N(I23))</f>
        <v>12961</v>
      </c>
      <c r="J24" s="515">
        <f>IF(COUNT(J19,J20,J21,J22,J23)=0,"",N(J19)+N(J20)+N(J21)+N(J22)+N(J23))</f>
        <v>15391</v>
      </c>
      <c r="K24" s="515">
        <f>IF(COUNT(K19,K20,K21,K22,K23)=0,"",N(K19)+N(K20)+N(K21)+N(K22)+N(K23))</f>
        <v>14117</v>
      </c>
      <c r="L24" s="515">
        <f>IF(COUNT(L19,L20,L21,L22,L23)=0,"",N(L19)+N(L20)+N(L21)+N(L22)+N(L23))</f>
        <v>16683</v>
      </c>
      <c r="M24" s="516">
        <f>IF(COUNT(M19,M20,M21,M22,M23)=0,"",N(M19)+N(M20)+N(M21)+N(M22)+N(M23))</f>
        <v>59152</v>
      </c>
      <c r="N24" s="515">
        <f>IF(COUNT(N19,N20,N21,N22,N23)=0,"",N(N19)+N(N20)+N(N21)+N(N22)+N(N23))</f>
        <v>15880</v>
      </c>
      <c r="O24" s="515">
        <f>IF(COUNT(O19,O20,O21,O22,O23)=0,"",N(O19)+N(O20)+N(O21)+N(O22)+N(O23))</f>
        <v>17933</v>
      </c>
      <c r="P24" s="515">
        <f>IF(COUNT(P19,P20,P21,P22,P23)=0,"",N(P19)+N(P20)+N(P21)+N(P22)+N(P23))</f>
        <v>16759</v>
      </c>
      <c r="Q24" s="515">
        <f>IF(COUNT(Q19,Q20,Q21,Q22,Q23)=0,"",N(Q19)+N(Q20)+N(Q21)+N(Q22)+N(Q23))</f>
        <v>16660</v>
      </c>
      <c r="R24" s="516">
        <f>IF(COUNT(R19,R20,R21,R22,R23)=0,"",N(R19)+N(R20)+N(R21)+N(R22)+N(R23))</f>
        <v>67232</v>
      </c>
      <c r="S24" s="515">
        <f>IF(COUNT(S19,S20,S21,S22,S23)=0,"",N(S19)+N(S20)+N(S21)+N(S22)+N(S23))</f>
        <v>15328</v>
      </c>
      <c r="T24" s="515">
        <f>IF(COUNT(T19,T20,T21,T22,T23)=0,"",N(T19)+N(T20)+N(T21)+N(T22)+N(T23))</f>
        <v>15049</v>
      </c>
      <c r="U24" s="515">
        <f>IF(COUNT(U19,U20,U21,U22,U23)=0,"",N(U19)+N(U20)+N(U21)+N(U22)+N(U23))</f>
        <v>14227</v>
      </c>
      <c r="V24" s="515">
        <f>IF(COUNT(V19,V20,V21,V22,V23)=0,"",N(V19)+N(V20)+N(V21)+N(V22)+N(V23))</f>
        <v>14936</v>
      </c>
      <c r="W24" s="516">
        <f>IF(COUNT(W19,W20,W21,W22,W23)=0,"",N(W19)+N(W20)+N(W21)+N(W22)+N(W23))</f>
        <v>59540</v>
      </c>
      <c r="X24" s="515">
        <f>IF(COUNT(X19,X20,X21,X22,X23)=0,"",N(X19)+N(X20)+N(X21)+N(X22)+N(X23))</f>
        <v>13460</v>
      </c>
      <c r="Y24" s="515">
        <f>IF(COUNT(Y19,Y20,Y21,Y22,Y23)=0,"",N(Y19)+N(Y20)+N(Y21)+N(Y22)+N(Y23))</f>
        <v>13290</v>
      </c>
      <c r="Z24" s="515">
        <f>IF(COUNT(Z19,Z20,Z21,Z22,Z23)=0,"",N(Z19)+N(Z20)+N(Z21)+N(Z22)+N(Z23))</f>
        <v>12896</v>
      </c>
      <c r="AA24" s="515">
        <f>IF(COUNT(AA19,AA20,AA21,AA22,AA23)=0,"",N(AA19)+N(AA20)+N(AA21)+N(AA22)+N(AA23))</f>
        <v>13542</v>
      </c>
      <c r="AB24" s="516">
        <f>IF(COUNT(AB19,AB20,AB21,AB22,AB23)=0,"",N(AB19)+N(AB20)+N(AB21)+N(AB22)+N(AB23))</f>
        <v>53188</v>
      </c>
      <c r="AC24" s="515">
        <f>IF(COUNT(AC19,AC20,AC21,AC22,AC23)=0,"",N(AC19)+N(AC20)+N(AC21)+N(AC22)+N(AC23))</f>
        <v>11628</v>
      </c>
      <c r="AD24" s="515">
        <f>IF(COUNT(AD19,AD20,AD21,AD22,AD23)=0,"",N(AD19)+N(AD20)+N(AD21)+N(AD22)+N(AD23))</f>
        <v>12755</v>
      </c>
      <c r="AE24" s="515" t="str">
        <f>IF(COUNT(AE19,AE20,AE21,AE22,AE23)=0,"",N(AE19)+N(AE20)+N(AE21)+N(AE22)+N(AE23))</f>
        <v/>
      </c>
      <c r="AF24" s="515" t="str">
        <f>IF(COUNT(AF19,AF20,AF21,AF22,AF23)=0,"",N(AF19)+N(AF20)+N(AF21)+N(AF22)+N(AF23))</f>
        <v/>
      </c>
      <c r="AG24" s="516" t="str">
        <f>IF(COUNT(AG19,AG20,AG21,AG22,AG23)=0,"",N(AG19)+N(AG20)+N(AG21)+N(AG22)+N(AG23))</f>
        <v/>
      </c>
      <c r="AH24" s="516" t="str">
        <f>IF(COUNT(AH19,AH20,AH21,AH22,AH23)=0,"",N(AH19)+N(AH20)+N(AH21)+N(AH22)+N(AH23))</f>
        <v/>
      </c>
      <c r="AI24" s="516" t="str">
        <f>IF(COUNT(AI19,AI20,AI21,AI22,AI23)=0,"",N(AI19)+N(AI20)+N(AI21)+N(AI22)+N(AI23))</f>
        <v/>
      </c>
    </row>
    <row r="25" s="255">
      <c r="C25" s="275" t="inlineStr">
        <is>
          <t>Check Receita (linha 15 - soma dos segmentos)</t>
        </is>
      </c>
      <c r="D25" s="515">
        <f>IF(COUNT(D24)=0,"",ROUND(D15-D24,1))</f>
        <v>0</v>
      </c>
      <c r="E25" s="515">
        <f>IF(COUNT(E24)=0,"",ROUND(E15-E24,1))</f>
        <v>0</v>
      </c>
      <c r="F25" s="515">
        <f>IF(COUNT(F24)=0,"",ROUND(F15-F24,1))</f>
        <v>0</v>
      </c>
      <c r="G25" s="515">
        <f>IF(COUNT(G24)=0,"",ROUND(G15-G24,1))</f>
        <v>0</v>
      </c>
      <c r="H25" s="516">
        <f>IF(COUNT(H24)=0,"",ROUND(H15-H24,1))</f>
        <v>0</v>
      </c>
      <c r="I25" s="515">
        <f>IF(COUNT(I24)=0,"",ROUND(I15-I24,1))</f>
        <v>0</v>
      </c>
      <c r="J25" s="515">
        <f>IF(COUNT(J24)=0,"",ROUND(J15-J24,1))</f>
        <v>0</v>
      </c>
      <c r="K25" s="515">
        <f>IF(COUNT(K24)=0,"",ROUND(K15-K24,1))</f>
        <v>0</v>
      </c>
      <c r="L25" s="515">
        <f>IF(COUNT(L24)=0,"",ROUND(L15-L24,1))</f>
        <v>0</v>
      </c>
      <c r="M25" s="516">
        <f>IF(COUNT(M24)=0,"",ROUND(M15-M24,1))</f>
        <v>0</v>
      </c>
      <c r="N25" s="515">
        <f>IF(COUNT(N24)=0,"",ROUND(N15-N24,1))</f>
        <v>0</v>
      </c>
      <c r="O25" s="515">
        <f>IF(COUNT(O24)=0,"",ROUND(O15-O24,1))</f>
        <v>0</v>
      </c>
      <c r="P25" s="515">
        <f>IF(COUNT(P24)=0,"",ROUND(P15-P24,1))</f>
        <v>0</v>
      </c>
      <c r="Q25" s="515">
        <f>IF(COUNT(Q24)=0,"",ROUND(Q15-Q24,1))</f>
        <v>0</v>
      </c>
      <c r="R25" s="516">
        <f>IF(COUNT(R24)=0,"",ROUND(R15-R24,1))</f>
        <v>0</v>
      </c>
      <c r="S25" s="515">
        <f>IF(COUNT(S24)=0,"",ROUND(S15-S24,1))</f>
        <v>0</v>
      </c>
      <c r="T25" s="515">
        <f>IF(COUNT(T24)=0,"",ROUND(T15-T24,1))</f>
        <v>0</v>
      </c>
      <c r="U25" s="515">
        <f>IF(COUNT(U24)=0,"",ROUND(U15-U24,1))</f>
        <v>0</v>
      </c>
      <c r="V25" s="515">
        <f>IF(COUNT(V24)=0,"",ROUND(V15-V24,1))</f>
        <v>0</v>
      </c>
      <c r="W25" s="516">
        <f>IF(COUNT(W24)=0,"",ROUND(W15-W24,1))</f>
        <v>0</v>
      </c>
      <c r="X25" s="515">
        <f>IF(COUNT(X24)=0,"",ROUND(X15-X24,1))</f>
        <v>-43</v>
      </c>
      <c r="Y25" s="515">
        <f>IF(COUNT(Y24)=0,"",ROUND(Y15-Y24,1))</f>
        <v>-49</v>
      </c>
      <c r="Z25" s="515">
        <f>IF(COUNT(Z24)=0,"",ROUND(Z15-Z24,1))</f>
        <v>12</v>
      </c>
      <c r="AA25" s="515">
        <f>IF(COUNT(AA24)=0,"",ROUND(AA15-AA24,1))</f>
        <v>0</v>
      </c>
      <c r="AB25" s="516">
        <f>IF(COUNT(AB24)=0,"",ROUND(AB15-AB24,1))</f>
        <v>-80</v>
      </c>
      <c r="AC25" s="515">
        <f>IF(COUNT(AC24)=0,"",ROUND(AC15-AC24,1))</f>
        <v>15</v>
      </c>
      <c r="AD25" s="515">
        <f>IF(COUNT(AD24)=0,"",ROUND(AD15-AD24,1))</f>
        <v>14</v>
      </c>
      <c r="AE25" s="515" t="str">
        <f>IF(COUNT(AE24)=0,"",ROUND(AE15-AE24,1))</f>
        <v/>
      </c>
      <c r="AF25" s="515" t="str">
        <f>IF(COUNT(AF24)=0,"",ROUND(AF15-AF24,1))</f>
        <v/>
      </c>
      <c r="AG25" s="516" t="str">
        <f>IF(COUNT(AG24)=0,"",ROUND(AG15-AG24,1))</f>
        <v/>
      </c>
      <c r="AH25" s="516" t="str">
        <f>IF(COUNT(AH24)=0,"",ROUND(AH15-AH24,1))</f>
        <v/>
      </c>
      <c r="AI25" s="516" t="str">
        <f>IF(COUNT(AI24)=0,"",ROUND(AI15-AI24,1))</f>
        <v/>
      </c>
    </row>
    <row r="26" s="255">
      <c r="C26" s="275" t="inlineStr">
        <is>
          <t xml:space="preserve">   % YoY Agribusiness</t>
        </is>
      </c>
      <c r="D26" s="518" t="str">
        <f>""</f>
        <v/>
      </c>
      <c r="E26" s="518" t="str">
        <f>""</f>
        <v/>
      </c>
      <c r="F26" s="518" t="str">
        <f>""</f>
        <v/>
      </c>
      <c r="G26" s="518" t="str">
        <f>""</f>
        <v/>
      </c>
      <c r="H26" s="519" t="str">
        <f>""</f>
        <v/>
      </c>
      <c r="I26" s="518">
        <f>IFERROR(I19/D19-1,"")</f>
        <v>0.534158570980884</v>
      </c>
      <c r="J26" s="518">
        <f>IFERROR(J19/E19-1,"")</f>
        <v>0.682888086642599</v>
      </c>
      <c r="K26" s="518">
        <f>IFERROR(K19/F19-1,"")</f>
        <v>0.35363511659808</v>
      </c>
      <c r="L26" s="518">
        <f>IFERROR(L19/G19-1,"")</f>
        <v>0.308836023789295</v>
      </c>
      <c r="M26" s="519">
        <f>IFERROR(M19/H19-1,"")</f>
        <v>0.453936627461433</v>
      </c>
      <c r="N26" s="518">
        <f>IFERROR(N19/I19-1,"")</f>
        <v>0.147073843325503</v>
      </c>
      <c r="O26" s="518">
        <f>IFERROR(O19/J19-1,"")</f>
        <v>0.0937875407585378</v>
      </c>
      <c r="P26" s="518">
        <f>IFERROR(P19/K19-1,"")</f>
        <v>0.189805431698419</v>
      </c>
      <c r="Q26" s="518">
        <f>IFERROR(Q19/L19-1,"")</f>
        <v>-0.0278318727685817</v>
      </c>
      <c r="R26" s="519">
        <f>IFERROR(R19/M19-1,"")</f>
        <v>0.0931090588262256</v>
      </c>
      <c r="S26" s="518">
        <f>IFERROR(S19/N19-1,"")</f>
        <v>-0.0337458819339329</v>
      </c>
      <c r="T26" s="518">
        <f>IFERROR(T19/O19-1,"")</f>
        <v>-0.146858084255119</v>
      </c>
      <c r="U26" s="518">
        <f>IFERROR(U19/P19-1,"")</f>
        <v>-0.141299718933651</v>
      </c>
      <c r="V26" s="518">
        <f>IFERROR(V19/Q19-1,"")</f>
        <v>-0.0856355896836658</v>
      </c>
      <c r="W26" s="519">
        <f>IFERROR(W19/R19-1,"")</f>
        <v>-0.103480083857442</v>
      </c>
      <c r="X26" s="518">
        <f>IFERROR(X19/S19-1,"")</f>
        <v>-0.102469590858828</v>
      </c>
      <c r="Y26" s="518">
        <f>IFERROR(Y19/T19-1,"")</f>
        <v>-0.112</v>
      </c>
      <c r="Z26" s="518">
        <f>IFERROR(Z19/U19-1,"")</f>
        <v>-0.0783574687561992</v>
      </c>
      <c r="AA26" s="518">
        <f>IFERROR(AA19/V19-1,"")</f>
        <v>-0.095481515289822</v>
      </c>
      <c r="AB26" s="519">
        <f>IFERROR(AB19/W19-1,"")</f>
        <v>-0.0974183892994107</v>
      </c>
      <c r="AC26" s="518">
        <f>IFERROR(AC19/X19-1,"")</f>
        <v>-0.16211498973306</v>
      </c>
      <c r="AD26" s="518">
        <f>IFERROR(AD19/Y19-1,"")</f>
        <v>-0.0507403955679818</v>
      </c>
      <c r="AE26" s="518" t="str">
        <f>IFERROR(AE19/Z19-1,"")</f>
        <v/>
      </c>
      <c r="AF26" s="518" t="str">
        <f>IFERROR(AF19/AA19-1,"")</f>
        <v/>
      </c>
      <c r="AG26" s="519" t="str">
        <f>IFERROR(AG19/AB19-1,"")</f>
        <v/>
      </c>
      <c r="AH26" s="519" t="str">
        <f>IFERROR(AH19/AC19-1,"")</f>
        <v/>
      </c>
      <c r="AI26" s="519" t="str">
        <f>IFERROR(AI19/AD19-1,"")</f>
        <v/>
      </c>
    </row>
    <row r="27" s="255">
      <c r="C27" s="275" t="inlineStr">
        <is>
          <t xml:space="preserve">   % YoY Refined &amp; Specialty Oils</t>
        </is>
      </c>
      <c r="D27" s="518" t="str">
        <f>""</f>
        <v/>
      </c>
      <c r="E27" s="518" t="str">
        <f>""</f>
        <v/>
      </c>
      <c r="F27" s="518" t="str">
        <f>""</f>
        <v/>
      </c>
      <c r="G27" s="518" t="str">
        <f>""</f>
        <v/>
      </c>
      <c r="H27" s="519" t="str">
        <f>""</f>
        <v/>
      </c>
      <c r="I27" s="518">
        <f>IFERROR(I20/D20-1,"")</f>
        <v>0.17247311827957</v>
      </c>
      <c r="J27" s="518">
        <f>IFERROR(J20/E20-1,"")</f>
        <v>0.502113668388915</v>
      </c>
      <c r="K27" s="518">
        <f>IFERROR(K20/F20-1,"")</f>
        <v>0.5</v>
      </c>
      <c r="L27" s="518">
        <f>IFERROR(L20/G20-1,"")</f>
        <v>0.385408990420044</v>
      </c>
      <c r="M27" s="519">
        <f>IFERROR(M20/H20-1,"")</f>
        <v>0.38875</v>
      </c>
      <c r="N27" s="518">
        <f>IFERROR(N20/I20-1,"")</f>
        <v>0.458547322083639</v>
      </c>
      <c r="O27" s="518">
        <f>IFERROR(O20/J20-1,"")</f>
        <v>0.389931207004378</v>
      </c>
      <c r="P27" s="518">
        <f>IFERROR(P20/K20-1,"")</f>
        <v>0.179276315789474</v>
      </c>
      <c r="Q27" s="518">
        <f>IFERROR(Q20/L20-1,"")</f>
        <v>0.0976063829787235</v>
      </c>
      <c r="R27" s="519">
        <f>IFERROR(R20/M20-1,"")</f>
        <v>0.263876387638764</v>
      </c>
      <c r="S27" s="518">
        <f>IFERROR(S20/N20-1,"")</f>
        <v>-0.0221327967806841</v>
      </c>
      <c r="T27" s="518">
        <f>IFERROR(T20/O20-1,"")</f>
        <v>-0.189876265466817</v>
      </c>
      <c r="U27" s="518">
        <f>IFERROR(U20/P20-1,"")</f>
        <v>-0.162947466294747</v>
      </c>
      <c r="V27" s="518">
        <f>IFERROR(V20/Q20-1,"")</f>
        <v>-0.148776350860189</v>
      </c>
      <c r="W27" s="519">
        <f>IFERROR(W20/R20-1,"")</f>
        <v>-0.133353115727003</v>
      </c>
      <c r="X27" s="518">
        <f>IFERROR(X20/S20-1,"")</f>
        <v>-0.166666666666667</v>
      </c>
      <c r="Y27" s="518">
        <f>IFERROR(Y20/T20-1,"")</f>
        <v>-0.133296306581505</v>
      </c>
      <c r="Z27" s="518">
        <f>IFERROR(Z20/U20-1,"")</f>
        <v>-0.123021382949181</v>
      </c>
      <c r="AA27" s="518">
        <f>IFERROR(AA20/V20-1,"")</f>
        <v>-0.0742954739538856</v>
      </c>
      <c r="AB27" s="519">
        <f>IFERROR(AB20/W20-1,"")</f>
        <v>-0.125453673902623</v>
      </c>
      <c r="AC27" s="518">
        <f>IFERROR(AC20/X20-1,"")</f>
        <v>-0.0456790123456791</v>
      </c>
      <c r="AD27" s="518">
        <f>IFERROR(AD20/Y20-1,"")</f>
        <v>0.0179429669977571</v>
      </c>
      <c r="AE27" s="518" t="str">
        <f>IFERROR(AE20/Z20-1,"")</f>
        <v/>
      </c>
      <c r="AF27" s="518" t="str">
        <f>IFERROR(AF20/AA20-1,"")</f>
        <v/>
      </c>
      <c r="AG27" s="519" t="str">
        <f>IFERROR(AG20/AB20-1,"")</f>
        <v/>
      </c>
      <c r="AH27" s="519" t="str">
        <f>IFERROR(AH20/AC20-1,"")</f>
        <v/>
      </c>
      <c r="AI27" s="519" t="str">
        <f>IFERROR(AI20/AD20-1,"")</f>
        <v/>
      </c>
    </row>
    <row r="28" s="255">
      <c r="C28" s="275" t="inlineStr">
        <is>
          <t xml:space="preserve">   % YoY Milling</t>
        </is>
      </c>
      <c r="D28" s="518" t="str">
        <f>""</f>
        <v/>
      </c>
      <c r="E28" s="518" t="str">
        <f>""</f>
        <v/>
      </c>
      <c r="F28" s="518" t="str">
        <f>""</f>
        <v/>
      </c>
      <c r="G28" s="518" t="str">
        <f>""</f>
        <v/>
      </c>
      <c r="H28" s="519" t="str">
        <f>""</f>
        <v/>
      </c>
      <c r="I28" s="518">
        <f>IFERROR(I21/D21-1,"")</f>
        <v>-0.0625</v>
      </c>
      <c r="J28" s="518">
        <f>IFERROR(J21/E21-1,"")</f>
        <v>0.232984293193717</v>
      </c>
      <c r="K28" s="518">
        <f>IFERROR(K21/F21-1,"")</f>
        <v>0.365979381443299</v>
      </c>
      <c r="L28" s="518">
        <f>IFERROR(L21/G21-1,"")</f>
        <v>0.116630669546436</v>
      </c>
      <c r="M28" s="519">
        <f>IFERROR(M21/H21-1,"")</f>
        <v>0.157064887810795</v>
      </c>
      <c r="N28" s="518">
        <f>IFERROR(N21/I21-1,"")</f>
        <v>0.546153846153846</v>
      </c>
      <c r="O28" s="518">
        <f>IFERROR(O21/J21-1,"")</f>
        <v>0.437367303609342</v>
      </c>
      <c r="P28" s="518">
        <f>IFERROR(P21/K21-1,"")</f>
        <v>0.190566037735849</v>
      </c>
      <c r="Q28" s="518">
        <f>IFERROR(Q21/L21-1,"")</f>
        <v>-0.0773694390715667</v>
      </c>
      <c r="R28" s="519">
        <f>IFERROR(R21/M21-1,"")</f>
        <v>0.251572327044025</v>
      </c>
      <c r="S28" s="518">
        <f>IFERROR(S21/N21-1,"")</f>
        <v>-0.145936981757877</v>
      </c>
      <c r="T28" s="518">
        <f>IFERROR(T21/O21-1,"")</f>
        <v>-0.276218611521418</v>
      </c>
      <c r="U28" s="518">
        <f>IFERROR(U21/P21-1,"")</f>
        <v>-0.240887480190174</v>
      </c>
      <c r="V28" s="518">
        <f>IFERROR(V21/Q21-1,"")</f>
        <v>-0.136268343815514</v>
      </c>
      <c r="W28" s="519">
        <f>IFERROR(W21/R21-1,"")</f>
        <v>-0.206030150753769</v>
      </c>
      <c r="X28" s="518">
        <f>IFERROR(X21/S21-1,"")</f>
        <v>-0.260194174757282</v>
      </c>
      <c r="Y28" s="518">
        <f>IFERROR(Y21/T21-1,"")</f>
        <v>-0.181632653061224</v>
      </c>
      <c r="Z28" s="518">
        <f>IFERROR(Z21/U21-1,"")</f>
        <v>-0.150313152400835</v>
      </c>
      <c r="AA28" s="518">
        <f>IFERROR(AA21/V21-1,"")</f>
        <v>-0.111650485436893</v>
      </c>
      <c r="AB28" s="519">
        <f>IFERROR(AB21/W21-1,"")</f>
        <v>-0.179852320675105</v>
      </c>
      <c r="AC28" s="518">
        <f>IFERROR(AC21/X21-1,"")</f>
        <v>-0.015748031496063</v>
      </c>
      <c r="AD28" s="518">
        <f>IFERROR(AD21/Y21-1,"")</f>
        <v>0.0199501246882794</v>
      </c>
      <c r="AE28" s="518" t="str">
        <f>IFERROR(AE21/Z21-1,"")</f>
        <v/>
      </c>
      <c r="AF28" s="518" t="str">
        <f>IFERROR(AF21/AA21-1,"")</f>
        <v/>
      </c>
      <c r="AG28" s="519" t="str">
        <f>IFERROR(AG21/AB21-1,"")</f>
        <v/>
      </c>
      <c r="AH28" s="519" t="str">
        <f>IFERROR(AH21/AC21-1,"")</f>
        <v/>
      </c>
      <c r="AI28" s="519" t="str">
        <f>IFERROR(AI21/AD21-1,"")</f>
        <v/>
      </c>
    </row>
    <row r="29" s="255"/>
    <row r="30" s="255">
      <c r="C30" s="289" t="inlineStr">
        <is>
          <t>Segmentos - lucro e margem (USD milhões)</t>
        </is>
      </c>
      <c r="D30" s="289" t="str">
        <f>D7</f>
        <v>1Q20</v>
      </c>
      <c r="E30" s="289" t="str">
        <f>E7</f>
        <v>2Q20</v>
      </c>
      <c r="F30" s="289" t="str">
        <f>F7</f>
        <v>3Q20</v>
      </c>
      <c r="G30" s="289" t="str">
        <f>G7</f>
        <v>4Q20</v>
      </c>
      <c r="H30" s="289">
        <f>H7</f>
        <v>2020</v>
      </c>
      <c r="I30" s="289" t="str">
        <f>I7</f>
        <v>1Q21</v>
      </c>
      <c r="J30" s="289" t="str">
        <f>J7</f>
        <v>2Q21</v>
      </c>
      <c r="K30" s="289" t="str">
        <f>K7</f>
        <v>3Q21</v>
      </c>
      <c r="L30" s="289" t="str">
        <f>L7</f>
        <v>4Q21</v>
      </c>
      <c r="M30" s="289">
        <f>M7</f>
        <v>2021</v>
      </c>
      <c r="N30" s="289" t="str">
        <f>N7</f>
        <v>1Q22</v>
      </c>
      <c r="O30" s="289" t="str">
        <f>O7</f>
        <v>2Q22</v>
      </c>
      <c r="P30" s="289" t="str">
        <f>P7</f>
        <v>3Q22</v>
      </c>
      <c r="Q30" s="289" t="str">
        <f>Q7</f>
        <v>4Q22</v>
      </c>
      <c r="R30" s="289">
        <f>R7</f>
        <v>2022</v>
      </c>
      <c r="S30" s="289" t="str">
        <f>S7</f>
        <v>1Q23</v>
      </c>
      <c r="T30" s="289" t="str">
        <f>T7</f>
        <v>2Q23</v>
      </c>
      <c r="U30" s="289" t="str">
        <f>U7</f>
        <v>3Q23</v>
      </c>
      <c r="V30" s="289" t="str">
        <f>V7</f>
        <v>4Q23</v>
      </c>
      <c r="W30" s="289">
        <f>W7</f>
        <v>2023</v>
      </c>
      <c r="X30" s="289" t="str">
        <f>X7</f>
        <v>1Q24</v>
      </c>
      <c r="Y30" s="289" t="str">
        <f>Y7</f>
        <v>2Q24</v>
      </c>
      <c r="Z30" s="289" t="str">
        <f>Z7</f>
        <v>3Q24</v>
      </c>
      <c r="AA30" s="289" t="str">
        <f>AA7</f>
        <v>4Q24</v>
      </c>
      <c r="AB30" s="289">
        <f>AB7</f>
        <v>2024</v>
      </c>
      <c r="AC30" s="289" t="str">
        <f>AC7</f>
        <v>1Q25</v>
      </c>
      <c r="AD30" s="289" t="str">
        <f>AD7</f>
        <v>2Q25</v>
      </c>
      <c r="AE30" s="289" t="str">
        <f>AE7</f>
        <v>3Q25</v>
      </c>
      <c r="AF30" s="289" t="str">
        <f>AF7</f>
        <v>4Q25</v>
      </c>
      <c r="AG30" s="289">
        <f>AG7</f>
        <v>2025</v>
      </c>
      <c r="AH30" s="289" t="str">
        <f>AH7</f>
        <v>1Q26</v>
      </c>
      <c r="AI30" s="289" t="str">
        <f>AI7</f>
        <v>2Q26</v>
      </c>
    </row>
    <row r="31" s="255">
      <c r="C31" s="275" t="inlineStr">
        <is>
          <t xml:space="preserve">   Agribusiness</t>
        </is>
      </c>
      <c r="D31" s="515">
        <f>IFERROR(INDEX('Inputs (2)'!$D$54:$AL$54,MATCH(D$7,'Inputs (2)'!$D$2:$AL$2,0)),"")</f>
        <v>-3</v>
      </c>
      <c r="E31" s="515">
        <f>IFERROR(INDEX('Inputs (2)'!$D$54:$AL$54,MATCH(E$7,'Inputs (2)'!$D$2:$AL$2,0)),"")</f>
        <v>907</v>
      </c>
      <c r="F31" s="515">
        <f>IFERROR(INDEX('Inputs (2)'!$D$54:$AL$54,MATCH(F$7,'Inputs (2)'!$D$2:$AL$2,0)),"")</f>
        <v>373</v>
      </c>
      <c r="G31" s="515" t="str">
        <f>IFERROR(INDEX('Inputs (2)'!$D$54:$AL$54,MATCH(G$7,'Inputs (2)'!$D$2:$AL$2,0)),"")</f>
        <v/>
      </c>
      <c r="H31" s="516" t="str">
        <f>IF(COUNT(D31:G31)=4,SUM(D31:G31),"")</f>
        <v/>
      </c>
      <c r="I31" s="515">
        <f>IFERROR(INDEX('Inputs (2)'!$D$54:$AL$54,MATCH(I$7,'Inputs (2)'!$D$2:$AL$2,0)),"")</f>
        <v>886</v>
      </c>
      <c r="J31" s="515">
        <f>IFERROR(INDEX('Inputs (2)'!$D$54:$AL$54,MATCH(J$7,'Inputs (2)'!$D$2:$AL$2,0)),"")</f>
        <v>410</v>
      </c>
      <c r="K31" s="515">
        <f>IFERROR(INDEX('Inputs (2)'!$D$54:$AL$54,MATCH(K$7,'Inputs (2)'!$D$2:$AL$2,0)),"")</f>
        <v>591</v>
      </c>
      <c r="L31" s="515" t="str">
        <f>IFERROR(INDEX('Inputs (2)'!$D$54:$AL$54,MATCH(L$7,'Inputs (2)'!$D$2:$AL$2,0)),"")</f>
        <v/>
      </c>
      <c r="M31" s="516" t="str">
        <f>IF(COUNT(I31:L31)=4,SUM(I31:L31),"")</f>
        <v/>
      </c>
      <c r="N31" s="515">
        <f>IFERROR(INDEX('Inputs (2)'!$D$54:$AL$54,MATCH(N$7,'Inputs (2)'!$D$2:$AL$2,0)),"")</f>
        <v>864</v>
      </c>
      <c r="O31" s="515">
        <f>IFERROR(INDEX('Inputs (2)'!$D$54:$AL$54,MATCH(O$7,'Inputs (2)'!$D$2:$AL$2,0)),"")</f>
        <v>316</v>
      </c>
      <c r="P31" s="515">
        <f>IFERROR(INDEX('Inputs (2)'!$D$54:$AL$54,MATCH(P$7,'Inputs (2)'!$D$2:$AL$2,0)),"")</f>
        <v>632</v>
      </c>
      <c r="Q31" s="515" t="str">
        <f>IFERROR(INDEX('Inputs (2)'!$D$54:$AL$54,MATCH(Q$7,'Inputs (2)'!$D$2:$AL$2,0)),"")</f>
        <v/>
      </c>
      <c r="R31" s="516" t="str">
        <f>IF(COUNT(N31:Q31)=4,SUM(N31:Q31),"")</f>
        <v/>
      </c>
      <c r="S31" s="515">
        <f>IFERROR(INDEX('Inputs (2)'!$D$54:$AL$54,MATCH(S$7,'Inputs (2)'!$D$2:$AL$2,0)),"")</f>
        <v>808</v>
      </c>
      <c r="T31" s="515">
        <f>IFERROR(INDEX('Inputs (2)'!$D$54:$AL$54,MATCH(T$7,'Inputs (2)'!$D$2:$AL$2,0)),"")</f>
        <v>997</v>
      </c>
      <c r="U31" s="515">
        <f>IFERROR(INDEX('Inputs (2)'!$D$54:$AL$54,MATCH(U$7,'Inputs (2)'!$D$2:$AL$2,0)),"")</f>
        <v>645</v>
      </c>
      <c r="V31" s="515" t="str">
        <f>IFERROR(INDEX('Inputs (2)'!$D$54:$AL$54,MATCH(V$7,'Inputs (2)'!$D$2:$AL$2,0)),"")</f>
        <v/>
      </c>
      <c r="W31" s="516" t="str">
        <f>IF(COUNT(S31:V31)=4,SUM(S31:V31),"")</f>
        <v/>
      </c>
      <c r="X31" s="515">
        <f>IFERROR(INDEX('Inputs (2)'!$D$54:$AL$54,MATCH(X$7,'Inputs (2)'!$D$2:$AL$2,0)),"")</f>
        <v>454</v>
      </c>
      <c r="Y31" s="515">
        <f>IFERROR(INDEX('Inputs (2)'!$D$54:$AL$54,MATCH(Y$7,'Inputs (2)'!$D$2:$AL$2,0)),"")</f>
        <v>289</v>
      </c>
      <c r="Z31" s="515">
        <f>IFERROR(INDEX('Inputs (2)'!$D$54:$AL$54,MATCH(Z$7,'Inputs (2)'!$D$2:$AL$2,0)),"")</f>
        <v>392</v>
      </c>
      <c r="AA31" s="515" t="str">
        <f>IFERROR(INDEX('Inputs (2)'!$D$54:$AL$54,MATCH(AA$7,'Inputs (2)'!$D$2:$AL$2,0)),"")</f>
        <v/>
      </c>
      <c r="AB31" s="516" t="str">
        <f>IF(COUNT(X31:AA31)=4,SUM(X31:AA31),"")</f>
        <v/>
      </c>
      <c r="AC31" s="515" t="str">
        <f>IFERROR(INDEX('Inputs (2)'!$D$54:$AL$54,MATCH(AC$7,'Inputs (2)'!$D$2:$AL$2,0)),"")</f>
        <v/>
      </c>
      <c r="AD31" s="515" t="str">
        <f>IFERROR(INDEX('Inputs (2)'!$D$54:$AL$54,MATCH(AD$7,'Inputs (2)'!$D$2:$AL$2,0)),"")</f>
        <v/>
      </c>
      <c r="AE31" s="515" t="str">
        <f>IFERROR(INDEX('Inputs (2)'!$D$54:$AL$54,MATCH(AE$7,'Inputs (2)'!$D$2:$AL$2,0)),"")</f>
        <v/>
      </c>
      <c r="AF31" s="515" t="str">
        <f>IFERROR(INDEX('Inputs (2)'!$D$54:$AL$54,MATCH(AF$7,'Inputs (2)'!$D$2:$AL$2,0)),"")</f>
        <v/>
      </c>
      <c r="AG31" s="516" t="str">
        <f>IF(COUNT(AC31:AF31)=4,SUM(AC31:AF31),"")</f>
        <v/>
      </c>
      <c r="AH31" s="516" t="str">
        <f>IFERROR(INDEX('Inputs (2)'!$D$54:$AL$54,MATCH(AH$7,'Inputs (2)'!$D$2:$AL$2,0)),"")</f>
        <v/>
      </c>
      <c r="AI31" s="516" t="str">
        <f>IFERROR(INDEX('Inputs (2)'!$D$54:$AL$54,MATCH(AI$7,'Inputs (2)'!$D$2:$AL$2,0)),"")</f>
        <v/>
      </c>
    </row>
    <row r="32" s="255">
      <c r="C32" s="275" t="inlineStr">
        <is>
          <t xml:space="preserve">   Refined &amp; Specialty Oils</t>
        </is>
      </c>
      <c r="D32" s="515">
        <f>IFERROR(INDEX('Inputs (2)'!$D$56:$AL$56,MATCH(D$7,'Inputs (2)'!$D$2:$AL$2,0)),"")</f>
        <v>128</v>
      </c>
      <c r="E32" s="515">
        <f>IFERROR(INDEX('Inputs (2)'!$D$56:$AL$56,MATCH(E$7,'Inputs (2)'!$D$2:$AL$2,0)),"")</f>
        <v>146</v>
      </c>
      <c r="F32" s="515">
        <f>IFERROR(INDEX('Inputs (2)'!$D$56:$AL$56,MATCH(F$7,'Inputs (2)'!$D$2:$AL$2,0)),"")</f>
        <v>178</v>
      </c>
      <c r="G32" s="515" t="str">
        <f>IFERROR(INDEX('Inputs (2)'!$D$56:$AL$56,MATCH(G$7,'Inputs (2)'!$D$2:$AL$2,0)),"")</f>
        <v/>
      </c>
      <c r="H32" s="516" t="str">
        <f>IF(COUNT(D32:G32)=4,SUM(D32:G32),"")</f>
        <v/>
      </c>
      <c r="I32" s="515">
        <f>IFERROR(INDEX('Inputs (2)'!$D$56:$AL$56,MATCH(I$7,'Inputs (2)'!$D$2:$AL$2,0)),"")</f>
        <v>235</v>
      </c>
      <c r="J32" s="515">
        <f>IFERROR(INDEX('Inputs (2)'!$D$56:$AL$56,MATCH(J$7,'Inputs (2)'!$D$2:$AL$2,0)),"")</f>
        <v>195</v>
      </c>
      <c r="K32" s="515">
        <f>IFERROR(INDEX('Inputs (2)'!$D$56:$AL$56,MATCH(K$7,'Inputs (2)'!$D$2:$AL$2,0)),"")</f>
        <v>218</v>
      </c>
      <c r="L32" s="515" t="str">
        <f>IFERROR(INDEX('Inputs (2)'!$D$56:$AL$56,MATCH(L$7,'Inputs (2)'!$D$2:$AL$2,0)),"")</f>
        <v/>
      </c>
      <c r="M32" s="516" t="str">
        <f>IF(COUNT(I32:L32)=4,SUM(I32:L32),"")</f>
        <v/>
      </c>
      <c r="N32" s="515">
        <f>IFERROR(INDEX('Inputs (2)'!$D$56:$AL$56,MATCH(N$7,'Inputs (2)'!$D$2:$AL$2,0)),"")</f>
        <v>262</v>
      </c>
      <c r="O32" s="515">
        <f>IFERROR(INDEX('Inputs (2)'!$D$56:$AL$56,MATCH(O$7,'Inputs (2)'!$D$2:$AL$2,0)),"")</f>
        <v>325</v>
      </c>
      <c r="P32" s="515">
        <f>IFERROR(INDEX('Inputs (2)'!$D$56:$AL$56,MATCH(P$7,'Inputs (2)'!$D$2:$AL$2,0)),"")</f>
        <v>232</v>
      </c>
      <c r="Q32" s="515" t="str">
        <f>IFERROR(INDEX('Inputs (2)'!$D$56:$AL$56,MATCH(Q$7,'Inputs (2)'!$D$2:$AL$2,0)),"")</f>
        <v/>
      </c>
      <c r="R32" s="516" t="str">
        <f>IF(COUNT(N32:Q32)=4,SUM(N32:Q32),"")</f>
        <v/>
      </c>
      <c r="S32" s="515">
        <f>IFERROR(INDEX('Inputs (2)'!$D$56:$AL$56,MATCH(S$7,'Inputs (2)'!$D$2:$AL$2,0)),"")</f>
        <v>342</v>
      </c>
      <c r="T32" s="515">
        <f>IFERROR(INDEX('Inputs (2)'!$D$56:$AL$56,MATCH(T$7,'Inputs (2)'!$D$2:$AL$2,0)),"")</f>
        <v>333</v>
      </c>
      <c r="U32" s="515">
        <f>IFERROR(INDEX('Inputs (2)'!$D$56:$AL$56,MATCH(U$7,'Inputs (2)'!$D$2:$AL$2,0)),"")</f>
        <v>352</v>
      </c>
      <c r="V32" s="515" t="str">
        <f>IFERROR(INDEX('Inputs (2)'!$D$56:$AL$56,MATCH(V$7,'Inputs (2)'!$D$2:$AL$2,0)),"")</f>
        <v/>
      </c>
      <c r="W32" s="516" t="str">
        <f>IF(COUNT(S32:V32)=4,SUM(S32:V32),"")</f>
        <v/>
      </c>
      <c r="X32" s="515">
        <f>IFERROR(INDEX('Inputs (2)'!$D$56:$AL$56,MATCH(X$7,'Inputs (2)'!$D$2:$AL$2,0)),"")</f>
        <v>359</v>
      </c>
      <c r="Y32" s="515">
        <f>IFERROR(INDEX('Inputs (2)'!$D$56:$AL$56,MATCH(Y$7,'Inputs (2)'!$D$2:$AL$2,0)),"")</f>
        <v>315</v>
      </c>
      <c r="Z32" s="515">
        <f>IFERROR(INDEX('Inputs (2)'!$D$56:$AL$56,MATCH(Z$7,'Inputs (2)'!$D$2:$AL$2,0)),"")</f>
        <v>338</v>
      </c>
      <c r="AA32" s="515" t="str">
        <f>IFERROR(INDEX('Inputs (2)'!$D$56:$AL$56,MATCH(AA$7,'Inputs (2)'!$D$2:$AL$2,0)),"")</f>
        <v/>
      </c>
      <c r="AB32" s="516" t="str">
        <f>IF(COUNT(X32:AA32)=4,SUM(X32:AA32),"")</f>
        <v/>
      </c>
      <c r="AC32" s="515" t="str">
        <f>IFERROR(INDEX('Inputs (2)'!$D$56:$AL$56,MATCH(AC$7,'Inputs (2)'!$D$2:$AL$2,0)),"")</f>
        <v/>
      </c>
      <c r="AD32" s="515" t="str">
        <f>IFERROR(INDEX('Inputs (2)'!$D$56:$AL$56,MATCH(AD$7,'Inputs (2)'!$D$2:$AL$2,0)),"")</f>
        <v/>
      </c>
      <c r="AE32" s="515" t="str">
        <f>IFERROR(INDEX('Inputs (2)'!$D$56:$AL$56,MATCH(AE$7,'Inputs (2)'!$D$2:$AL$2,0)),"")</f>
        <v/>
      </c>
      <c r="AF32" s="515" t="str">
        <f>IFERROR(INDEX('Inputs (2)'!$D$56:$AL$56,MATCH(AF$7,'Inputs (2)'!$D$2:$AL$2,0)),"")</f>
        <v/>
      </c>
      <c r="AG32" s="516" t="str">
        <f>IF(COUNT(AC32:AF32)=4,SUM(AC32:AF32),"")</f>
        <v/>
      </c>
      <c r="AH32" s="516" t="str">
        <f>IFERROR(INDEX('Inputs (2)'!$D$56:$AL$56,MATCH(AH$7,'Inputs (2)'!$D$2:$AL$2,0)),"")</f>
        <v/>
      </c>
      <c r="AI32" s="516" t="str">
        <f>IFERROR(INDEX('Inputs (2)'!$D$56:$AL$56,MATCH(AI$7,'Inputs (2)'!$D$2:$AL$2,0)),"")</f>
        <v/>
      </c>
    </row>
    <row r="33" s="255">
      <c r="C33" s="275" t="inlineStr">
        <is>
          <t xml:space="preserve">   Milling</t>
        </is>
      </c>
      <c r="D33" s="515">
        <f>IFERROR(INDEX('Inputs (2)'!$D$58:$AL$58,MATCH(D$7,'Inputs (2)'!$D$2:$AL$2,0)),"")</f>
        <v>48</v>
      </c>
      <c r="E33" s="515">
        <f>IFERROR(INDEX('Inputs (2)'!$D$58:$AL$58,MATCH(E$7,'Inputs (2)'!$D$2:$AL$2,0)),"")</f>
        <v>53</v>
      </c>
      <c r="F33" s="515">
        <f>IFERROR(INDEX('Inputs (2)'!$D$58:$AL$58,MATCH(F$7,'Inputs (2)'!$D$2:$AL$2,0)),"")</f>
        <v>50</v>
      </c>
      <c r="G33" s="515" t="str">
        <f>IFERROR(INDEX('Inputs (2)'!$D$58:$AL$58,MATCH(G$7,'Inputs (2)'!$D$2:$AL$2,0)),"")</f>
        <v/>
      </c>
      <c r="H33" s="516" t="str">
        <f>IF(COUNT(D33:G33)=4,SUM(D33:G33),"")</f>
        <v/>
      </c>
      <c r="I33" s="515">
        <f>IFERROR(INDEX('Inputs (2)'!$D$58:$AL$58,MATCH(I$7,'Inputs (2)'!$D$2:$AL$2,0)),"")</f>
        <v>34</v>
      </c>
      <c r="J33" s="515">
        <f>IFERROR(INDEX('Inputs (2)'!$D$58:$AL$58,MATCH(J$7,'Inputs (2)'!$D$2:$AL$2,0)),"")</f>
        <v>57</v>
      </c>
      <c r="K33" s="515">
        <f>IFERROR(INDEX('Inputs (2)'!$D$58:$AL$58,MATCH(K$7,'Inputs (2)'!$D$2:$AL$2,0)),"")</f>
        <v>70</v>
      </c>
      <c r="L33" s="515" t="str">
        <f>IFERROR(INDEX('Inputs (2)'!$D$58:$AL$58,MATCH(L$7,'Inputs (2)'!$D$2:$AL$2,0)),"")</f>
        <v/>
      </c>
      <c r="M33" s="516" t="str">
        <f>IF(COUNT(I33:L33)=4,SUM(I33:L33),"")</f>
        <v/>
      </c>
      <c r="N33" s="515">
        <f>IFERROR(INDEX('Inputs (2)'!$D$58:$AL$58,MATCH(N$7,'Inputs (2)'!$D$2:$AL$2,0)),"")</f>
        <v>71</v>
      </c>
      <c r="O33" s="515">
        <f>IFERROR(INDEX('Inputs (2)'!$D$58:$AL$58,MATCH(O$7,'Inputs (2)'!$D$2:$AL$2,0)),"")</f>
        <v>126</v>
      </c>
      <c r="P33" s="515">
        <f>IFERROR(INDEX('Inputs (2)'!$D$58:$AL$58,MATCH(P$7,'Inputs (2)'!$D$2:$AL$2,0)),"")</f>
        <v>45</v>
      </c>
      <c r="Q33" s="515" t="str">
        <f>IFERROR(INDEX('Inputs (2)'!$D$58:$AL$58,MATCH(Q$7,'Inputs (2)'!$D$2:$AL$2,0)),"")</f>
        <v/>
      </c>
      <c r="R33" s="516" t="str">
        <f>IF(COUNT(N33:Q33)=4,SUM(N33:Q33),"")</f>
        <v/>
      </c>
      <c r="S33" s="515">
        <f>IFERROR(INDEX('Inputs (2)'!$D$58:$AL$58,MATCH(S$7,'Inputs (2)'!$D$2:$AL$2,0)),"")</f>
        <v>31</v>
      </c>
      <c r="T33" s="515">
        <f>IFERROR(INDEX('Inputs (2)'!$D$58:$AL$58,MATCH(T$7,'Inputs (2)'!$D$2:$AL$2,0)),"")</f>
        <v>40</v>
      </c>
      <c r="U33" s="515">
        <f>IFERROR(INDEX('Inputs (2)'!$D$58:$AL$58,MATCH(U$7,'Inputs (2)'!$D$2:$AL$2,0)),"")</f>
        <v>50</v>
      </c>
      <c r="V33" s="515" t="str">
        <f>IFERROR(INDEX('Inputs (2)'!$D$58:$AL$58,MATCH(V$7,'Inputs (2)'!$D$2:$AL$2,0)),"")</f>
        <v/>
      </c>
      <c r="W33" s="516" t="str">
        <f>IF(COUNT(S33:V33)=4,SUM(S33:V33),"")</f>
        <v/>
      </c>
      <c r="X33" s="515">
        <f>IFERROR(INDEX('Inputs (2)'!$D$58:$AL$58,MATCH(X$7,'Inputs (2)'!$D$2:$AL$2,0)),"")</f>
        <v>60</v>
      </c>
      <c r="Y33" s="515">
        <f>IFERROR(INDEX('Inputs (2)'!$D$58:$AL$58,MATCH(Y$7,'Inputs (2)'!$D$2:$AL$2,0)),"")</f>
        <v>66</v>
      </c>
      <c r="Z33" s="515">
        <f>IFERROR(INDEX('Inputs (2)'!$D$58:$AL$58,MATCH(Z$7,'Inputs (2)'!$D$2:$AL$2,0)),"")</f>
        <v>43</v>
      </c>
      <c r="AA33" s="515" t="str">
        <f>IFERROR(INDEX('Inputs (2)'!$D$58:$AL$58,MATCH(AA$7,'Inputs (2)'!$D$2:$AL$2,0)),"")</f>
        <v/>
      </c>
      <c r="AB33" s="516" t="str">
        <f>IF(COUNT(X33:AA33)=4,SUM(X33:AA33),"")</f>
        <v/>
      </c>
      <c r="AC33" s="515" t="str">
        <f>IFERROR(INDEX('Inputs (2)'!$D$58:$AL$58,MATCH(AC$7,'Inputs (2)'!$D$2:$AL$2,0)),"")</f>
        <v/>
      </c>
      <c r="AD33" s="515" t="str">
        <f>IFERROR(INDEX('Inputs (2)'!$D$58:$AL$58,MATCH(AD$7,'Inputs (2)'!$D$2:$AL$2,0)),"")</f>
        <v/>
      </c>
      <c r="AE33" s="515" t="str">
        <f>IFERROR(INDEX('Inputs (2)'!$D$58:$AL$58,MATCH(AE$7,'Inputs (2)'!$D$2:$AL$2,0)),"")</f>
        <v/>
      </c>
      <c r="AF33" s="515" t="str">
        <f>IFERROR(INDEX('Inputs (2)'!$D$58:$AL$58,MATCH(AF$7,'Inputs (2)'!$D$2:$AL$2,0)),"")</f>
        <v/>
      </c>
      <c r="AG33" s="516" t="str">
        <f>IF(COUNT(AC33:AF33)=4,SUM(AC33:AF33),"")</f>
        <v/>
      </c>
      <c r="AH33" s="516" t="str">
        <f>IFERROR(INDEX('Inputs (2)'!$D$58:$AL$58,MATCH(AH$7,'Inputs (2)'!$D$2:$AL$2,0)),"")</f>
        <v/>
      </c>
      <c r="AI33" s="516" t="str">
        <f>IFERROR(INDEX('Inputs (2)'!$D$58:$AL$58,MATCH(AI$7,'Inputs (2)'!$D$2:$AL$2,0)),"")</f>
        <v/>
      </c>
    </row>
    <row r="34" s="255">
      <c r="C34" s="275" t="inlineStr">
        <is>
          <t xml:space="preserve">   Sugar &amp; Bioenergy</t>
        </is>
      </c>
      <c r="D34" s="515">
        <f>IFERROR(INDEX('Inputs (2)'!$D$60:$AL$60,MATCH(D$7,'Inputs (2)'!$D$2:$AL$2,0)),"")</f>
        <v>2</v>
      </c>
      <c r="E34" s="515">
        <f>IFERROR(INDEX('Inputs (2)'!$D$60:$AL$60,MATCH(E$7,'Inputs (2)'!$D$2:$AL$2,0)),"")</f>
        <v>0</v>
      </c>
      <c r="F34" s="515">
        <f>IFERROR(INDEX('Inputs (2)'!$D$60:$AL$60,MATCH(F$7,'Inputs (2)'!$D$2:$AL$2,0)),"")</f>
        <v>5</v>
      </c>
      <c r="G34" s="515" t="str">
        <f>IFERROR(INDEX('Inputs (2)'!$D$60:$AL$60,MATCH(G$7,'Inputs (2)'!$D$2:$AL$2,0)),"")</f>
        <v/>
      </c>
      <c r="H34" s="516" t="str">
        <f>IF(COUNT(D34:G34)=4,SUM(D34:G34),"")</f>
        <v/>
      </c>
      <c r="I34" s="515">
        <f>IFERROR(INDEX('Inputs (2)'!$D$60:$AL$60,MATCH(I$7,'Inputs (2)'!$D$2:$AL$2,0)),"")</f>
        <v>0</v>
      </c>
      <c r="J34" s="515">
        <f>IFERROR(INDEX('Inputs (2)'!$D$60:$AL$60,MATCH(J$7,'Inputs (2)'!$D$2:$AL$2,0)),"")</f>
        <v>1</v>
      </c>
      <c r="K34" s="515">
        <f>IFERROR(INDEX('Inputs (2)'!$D$60:$AL$60,MATCH(K$7,'Inputs (2)'!$D$2:$AL$2,0)),"")</f>
        <v>2</v>
      </c>
      <c r="L34" s="515" t="str">
        <f>IFERROR(INDEX('Inputs (2)'!$D$60:$AL$60,MATCH(L$7,'Inputs (2)'!$D$2:$AL$2,0)),"")</f>
        <v/>
      </c>
      <c r="M34" s="516" t="str">
        <f>IF(COUNT(I34:L34)=4,SUM(I34:L34),"")</f>
        <v/>
      </c>
      <c r="N34" s="515">
        <f>IFERROR(INDEX('Inputs (2)'!$D$60:$AL$60,MATCH(N$7,'Inputs (2)'!$D$2:$AL$2,0)),"")</f>
        <v>2</v>
      </c>
      <c r="O34" s="515">
        <f>IFERROR(INDEX('Inputs (2)'!$D$60:$AL$60,MATCH(O$7,'Inputs (2)'!$D$2:$AL$2,0)),"")</f>
        <v>2</v>
      </c>
      <c r="P34" s="515">
        <f>IFERROR(INDEX('Inputs (2)'!$D$60:$AL$60,MATCH(P$7,'Inputs (2)'!$D$2:$AL$2,0)),"")</f>
        <v>2</v>
      </c>
      <c r="Q34" s="515" t="str">
        <f>IFERROR(INDEX('Inputs (2)'!$D$60:$AL$60,MATCH(Q$7,'Inputs (2)'!$D$2:$AL$2,0)),"")</f>
        <v/>
      </c>
      <c r="R34" s="516" t="str">
        <f>IF(COUNT(N34:Q34)=4,SUM(N34:Q34),"")</f>
        <v/>
      </c>
      <c r="S34" s="515">
        <f>IFERROR(INDEX('Inputs (2)'!$D$60:$AL$60,MATCH(S$7,'Inputs (2)'!$D$2:$AL$2,0)),"")</f>
        <v>0</v>
      </c>
      <c r="T34" s="515">
        <f>IFERROR(INDEX('Inputs (2)'!$D$60:$AL$60,MATCH(T$7,'Inputs (2)'!$D$2:$AL$2,0)),"")</f>
        <v>2</v>
      </c>
      <c r="U34" s="515">
        <f>IFERROR(INDEX('Inputs (2)'!$D$60:$AL$60,MATCH(U$7,'Inputs (2)'!$D$2:$AL$2,0)),"")</f>
        <v>2</v>
      </c>
      <c r="V34" s="515" t="str">
        <f>IFERROR(INDEX('Inputs (2)'!$D$60:$AL$60,MATCH(V$7,'Inputs (2)'!$D$2:$AL$2,0)),"")</f>
        <v/>
      </c>
      <c r="W34" s="516" t="str">
        <f>IF(COUNT(S34:V34)=4,SUM(S34:V34),"")</f>
        <v/>
      </c>
      <c r="X34" s="515">
        <f>IFERROR(INDEX('Inputs (2)'!$D$60:$AL$60,MATCH(X$7,'Inputs (2)'!$D$2:$AL$2,0)),"")</f>
        <v>1</v>
      </c>
      <c r="Y34" s="515">
        <f>IFERROR(INDEX('Inputs (2)'!$D$60:$AL$60,MATCH(Y$7,'Inputs (2)'!$D$2:$AL$2,0)),"")</f>
        <v>1</v>
      </c>
      <c r="Z34" s="515">
        <f>IFERROR(INDEX('Inputs (2)'!$D$60:$AL$60,MATCH(Z$7,'Inputs (2)'!$D$2:$AL$2,0)),"")</f>
        <v>1</v>
      </c>
      <c r="AA34" s="515" t="str">
        <f>IFERROR(INDEX('Inputs (2)'!$D$60:$AL$60,MATCH(AA$7,'Inputs (2)'!$D$2:$AL$2,0)),"")</f>
        <v/>
      </c>
      <c r="AB34" s="516" t="str">
        <f>IF(COUNT(X34:AA34)=4,SUM(X34:AA34),"")</f>
        <v/>
      </c>
      <c r="AC34" s="515" t="str">
        <f>IFERROR(INDEX('Inputs (2)'!$D$60:$AL$60,MATCH(AC$7,'Inputs (2)'!$D$2:$AL$2,0)),"")</f>
        <v/>
      </c>
      <c r="AD34" s="515" t="str">
        <f>IFERROR(INDEX('Inputs (2)'!$D$60:$AL$60,MATCH(AD$7,'Inputs (2)'!$D$2:$AL$2,0)),"")</f>
        <v/>
      </c>
      <c r="AE34" s="515" t="str">
        <f>IFERROR(INDEX('Inputs (2)'!$D$60:$AL$60,MATCH(AE$7,'Inputs (2)'!$D$2:$AL$2,0)),"")</f>
        <v/>
      </c>
      <c r="AF34" s="515" t="str">
        <f>IFERROR(INDEX('Inputs (2)'!$D$60:$AL$60,MATCH(AF$7,'Inputs (2)'!$D$2:$AL$2,0)),"")</f>
        <v/>
      </c>
      <c r="AG34" s="516" t="str">
        <f>IF(COUNT(AC34:AF34)=4,SUM(AC34:AF34),"")</f>
        <v/>
      </c>
      <c r="AH34" s="516" t="str">
        <f>IFERROR(INDEX('Inputs (2)'!$D$60:$AL$60,MATCH(AH$7,'Inputs (2)'!$D$2:$AL$2,0)),"")</f>
        <v/>
      </c>
      <c r="AI34" s="516" t="str">
        <f>IFERROR(INDEX('Inputs (2)'!$D$60:$AL$60,MATCH(AI$7,'Inputs (2)'!$D$2:$AL$2,0)),"")</f>
        <v/>
      </c>
    </row>
    <row r="35" s="255">
      <c r="C35" s="275" t="inlineStr">
        <is>
          <t xml:space="preserve">   Margem Agribusiness</t>
        </is>
      </c>
      <c r="D35" s="518">
        <f>IFERROR(D31/D19,"")</f>
        <v>-0.000470072077718584</v>
      </c>
      <c r="E35" s="518">
        <f>IFERROR(E31/E19,"")</f>
        <v>0.130974729241877</v>
      </c>
      <c r="F35" s="518">
        <f>IFERROR(F31/F19,"")</f>
        <v>0.0511659807956104</v>
      </c>
      <c r="G35" s="518" t="str">
        <f>IFERROR(G31/G19,"")</f>
        <v/>
      </c>
      <c r="H35" s="519" t="str">
        <f>IFERROR(H31/H19,"")</f>
        <v/>
      </c>
      <c r="I35" s="518">
        <f>IFERROR(I31/I19,"")</f>
        <v>0.0904912674905525</v>
      </c>
      <c r="J35" s="518">
        <f>IFERROR(J31/J19,"")</f>
        <v>0.0351810537154625</v>
      </c>
      <c r="K35" s="518">
        <f>IFERROR(K31/K19,"")</f>
        <v>0.0598905553303608</v>
      </c>
      <c r="L35" s="518" t="str">
        <f>IFERROR(L31/L19,"")</f>
        <v/>
      </c>
      <c r="M35" s="519" t="str">
        <f>IFERROR(M31/M19,"")</f>
        <v/>
      </c>
      <c r="N35" s="518">
        <f>IFERROR(N31/N19,"")</f>
        <v>0.076929926097409</v>
      </c>
      <c r="O35" s="518">
        <f>IFERROR(O31/O19,"")</f>
        <v>0.0247901467011846</v>
      </c>
      <c r="P35" s="518">
        <f>IFERROR(P31/P19,"")</f>
        <v>0.0538284643556767</v>
      </c>
      <c r="Q35" s="518" t="str">
        <f>IFERROR(Q31/Q19,"")</f>
        <v/>
      </c>
      <c r="R35" s="519" t="str">
        <f>IFERROR(R31/R19,"")</f>
        <v/>
      </c>
      <c r="S35" s="518">
        <f>IFERROR(S31/S19,"")</f>
        <v>0.0744563214154073</v>
      </c>
      <c r="T35" s="518">
        <f>IFERROR(T31/T19,"")</f>
        <v>0.0916781609195402</v>
      </c>
      <c r="U35" s="518">
        <f>IFERROR(U31/U19,"")</f>
        <v>0.0639754017060107</v>
      </c>
      <c r="V35" s="518" t="str">
        <f>IFERROR(V31/V19,"")</f>
        <v/>
      </c>
      <c r="W35" s="519" t="str">
        <f>IFERROR(W31/W19,"")</f>
        <v/>
      </c>
      <c r="X35" s="518">
        <f>IFERROR(X31/X19,"")</f>
        <v>0.046611909650924</v>
      </c>
      <c r="Y35" s="518">
        <f>IFERROR(Y31/Y19,"")</f>
        <v>0.0299264782023403</v>
      </c>
      <c r="Z35" s="518">
        <f>IFERROR(Z31/Z19,"")</f>
        <v>0.04218682737839</v>
      </c>
      <c r="AA35" s="518" t="str">
        <f>IFERROR(AA31/AA19,"")</f>
        <v/>
      </c>
      <c r="AB35" s="519" t="str">
        <f>IFERROR(AB31/AB19,"")</f>
        <v/>
      </c>
      <c r="AC35" s="518" t="str">
        <f>IFERROR(AC31/AC19,"")</f>
        <v/>
      </c>
      <c r="AD35" s="518" t="str">
        <f>IFERROR(AD31/AD19,"")</f>
        <v/>
      </c>
      <c r="AE35" s="518" t="str">
        <f>IFERROR(AE31/AE19,"")</f>
        <v/>
      </c>
      <c r="AF35" s="518" t="str">
        <f>IFERROR(AF31/AF19,"")</f>
        <v/>
      </c>
      <c r="AG35" s="519" t="str">
        <f>IFERROR(AG31/AG19,"")</f>
        <v/>
      </c>
      <c r="AH35" s="519" t="str">
        <f>IFERROR(AH31/AH19,"")</f>
        <v/>
      </c>
      <c r="AI35" s="519" t="str">
        <f>IFERROR(AI31/AI19,"")</f>
        <v/>
      </c>
    </row>
    <row r="36" s="255">
      <c r="C36" s="275" t="inlineStr">
        <is>
          <t xml:space="preserve">   Margem Refined &amp; Specialty Oils</t>
        </is>
      </c>
      <c r="D36" s="518">
        <f>IFERROR(D32/D20,"")</f>
        <v>0.0550537634408602</v>
      </c>
      <c r="E36" s="518">
        <f>IFERROR(E32/E20,"")</f>
        <v>0.0685767966181306</v>
      </c>
      <c r="F36" s="518">
        <f>IFERROR(F32/F20,"")</f>
        <v>0.0731907894736842</v>
      </c>
      <c r="G36" s="518" t="str">
        <f>IFERROR(G32/G20,"")</f>
        <v/>
      </c>
      <c r="H36" s="519" t="str">
        <f>IFERROR(H32/H20,"")</f>
        <v/>
      </c>
      <c r="I36" s="518">
        <f>IFERROR(I32/I20,"")</f>
        <v>0.0862068965517241</v>
      </c>
      <c r="J36" s="518">
        <f>IFERROR(J32/J20,"")</f>
        <v>0.0609756097560976</v>
      </c>
      <c r="K36" s="518">
        <f>IFERROR(K32/K20,"")</f>
        <v>0.0597587719298246</v>
      </c>
      <c r="L36" s="518" t="str">
        <f>IFERROR(L32/L20,"")</f>
        <v/>
      </c>
      <c r="M36" s="519" t="str">
        <f>IFERROR(M32/M20,"")</f>
        <v/>
      </c>
      <c r="N36" s="518">
        <f>IFERROR(N32/N20,"")</f>
        <v>0.0658953722334004</v>
      </c>
      <c r="O36" s="518">
        <f>IFERROR(O32/O20,"")</f>
        <v>0.0731158605174353</v>
      </c>
      <c r="P36" s="518">
        <f>IFERROR(P32/P20,"")</f>
        <v>0.0539284053928405</v>
      </c>
      <c r="Q36" s="518" t="str">
        <f>IFERROR(Q32/Q20,"")</f>
        <v/>
      </c>
      <c r="R36" s="519" t="str">
        <f>IFERROR(R32/R20,"")</f>
        <v/>
      </c>
      <c r="S36" s="518">
        <f>IFERROR(S32/S20,"")</f>
        <v>0.087962962962963</v>
      </c>
      <c r="T36" s="518">
        <f>IFERROR(T32/T20,"")</f>
        <v>0.0924743126909192</v>
      </c>
      <c r="U36" s="518">
        <f>IFERROR(U32/U20,"")</f>
        <v>0.0977506248264371</v>
      </c>
      <c r="V36" s="518" t="str">
        <f>IFERROR(V32/V20,"")</f>
        <v/>
      </c>
      <c r="W36" s="519" t="str">
        <f>IFERROR(W32/W20,"")</f>
        <v/>
      </c>
      <c r="X36" s="518">
        <f>IFERROR(X32/X20,"")</f>
        <v>0.110802469135802</v>
      </c>
      <c r="Y36" s="518">
        <f>IFERROR(Y32/Y20,"")</f>
        <v>0.100929189362384</v>
      </c>
      <c r="Z36" s="518">
        <f>IFERROR(Z32/Z20,"")</f>
        <v>0.107029765674478</v>
      </c>
      <c r="AA36" s="518" t="str">
        <f>IFERROR(AA32/AA20,"")</f>
        <v/>
      </c>
      <c r="AB36" s="519" t="str">
        <f>IFERROR(AB32/AB20,"")</f>
        <v/>
      </c>
      <c r="AC36" s="518" t="str">
        <f>IFERROR(AC32/AC20,"")</f>
        <v/>
      </c>
      <c r="AD36" s="518" t="str">
        <f>IFERROR(AD32/AD20,"")</f>
        <v/>
      </c>
      <c r="AE36" s="518" t="str">
        <f>IFERROR(AE32/AE20,"")</f>
        <v/>
      </c>
      <c r="AF36" s="518" t="str">
        <f>IFERROR(AF32/AF20,"")</f>
        <v/>
      </c>
      <c r="AG36" s="519" t="str">
        <f>IFERROR(AG32/AG20,"")</f>
        <v/>
      </c>
      <c r="AH36" s="519" t="str">
        <f>IFERROR(AH32/AH20,"")</f>
        <v/>
      </c>
      <c r="AI36" s="519" t="str">
        <f>IFERROR(AI32/AI20,"")</f>
        <v/>
      </c>
    </row>
    <row r="37" s="255">
      <c r="C37" s="275" t="inlineStr">
        <is>
          <t xml:space="preserve">   Margem Milling</t>
        </is>
      </c>
      <c r="D37" s="518">
        <f>IFERROR(D33/D21,"")</f>
        <v>0.115384615384615</v>
      </c>
      <c r="E37" s="518">
        <f>IFERROR(E33/E21,"")</f>
        <v>0.138743455497382</v>
      </c>
      <c r="F37" s="518">
        <f>IFERROR(F33/F21,"")</f>
        <v>0.128865979381443</v>
      </c>
      <c r="G37" s="518" t="str">
        <f>IFERROR(G33/G21,"")</f>
        <v/>
      </c>
      <c r="H37" s="519" t="str">
        <f>IFERROR(H33/H21,"")</f>
        <v/>
      </c>
      <c r="I37" s="518">
        <f>IFERROR(I33/I21,"")</f>
        <v>0.0871794871794872</v>
      </c>
      <c r="J37" s="518">
        <f>IFERROR(J33/J21,"")</f>
        <v>0.121019108280255</v>
      </c>
      <c r="K37" s="518">
        <f>IFERROR(K33/K21,"")</f>
        <v>0.132075471698113</v>
      </c>
      <c r="L37" s="518" t="str">
        <f>IFERROR(L33/L21,"")</f>
        <v/>
      </c>
      <c r="M37" s="519" t="str">
        <f>IFERROR(M33/M21,"")</f>
        <v/>
      </c>
      <c r="N37" s="518">
        <f>IFERROR(N33/N21,"")</f>
        <v>0.117744610281924</v>
      </c>
      <c r="O37" s="518">
        <f>IFERROR(O33/O21,"")</f>
        <v>0.186115214180207</v>
      </c>
      <c r="P37" s="518">
        <f>IFERROR(P33/P21,"")</f>
        <v>0.0713153724247227</v>
      </c>
      <c r="Q37" s="518" t="str">
        <f>IFERROR(Q33/Q21,"")</f>
        <v/>
      </c>
      <c r="R37" s="519" t="str">
        <f>IFERROR(R33/R21,"")</f>
        <v/>
      </c>
      <c r="S37" s="518">
        <f>IFERROR(S33/S21,"")</f>
        <v>0.0601941747572816</v>
      </c>
      <c r="T37" s="518">
        <f>IFERROR(T33/T21,"")</f>
        <v>0.0816326530612245</v>
      </c>
      <c r="U37" s="518">
        <f>IFERROR(U33/U21,"")</f>
        <v>0.104384133611691</v>
      </c>
      <c r="V37" s="518" t="str">
        <f>IFERROR(V33/V21,"")</f>
        <v/>
      </c>
      <c r="W37" s="519" t="str">
        <f>IFERROR(W33/W21,"")</f>
        <v/>
      </c>
      <c r="X37" s="518">
        <f>IFERROR(X33/X21,"")</f>
        <v>0.15748031496063</v>
      </c>
      <c r="Y37" s="518">
        <f>IFERROR(Y33/Y21,"")</f>
        <v>0.164588528678304</v>
      </c>
      <c r="Z37" s="518">
        <f>IFERROR(Z33/Z21,"")</f>
        <v>0.105651105651106</v>
      </c>
      <c r="AA37" s="518" t="str">
        <f>IFERROR(AA33/AA21,"")</f>
        <v/>
      </c>
      <c r="AB37" s="519" t="str">
        <f>IFERROR(AB33/AB21,"")</f>
        <v/>
      </c>
      <c r="AC37" s="518" t="str">
        <f>IFERROR(AC33/AC21,"")</f>
        <v/>
      </c>
      <c r="AD37" s="518" t="str">
        <f>IFERROR(AD33/AD21,"")</f>
        <v/>
      </c>
      <c r="AE37" s="518" t="str">
        <f>IFERROR(AE33/AE21,"")</f>
        <v/>
      </c>
      <c r="AF37" s="518" t="str">
        <f>IFERROR(AF33/AF21,"")</f>
        <v/>
      </c>
      <c r="AG37" s="519" t="str">
        <f>IFERROR(AG33/AG21,"")</f>
        <v/>
      </c>
      <c r="AH37" s="519" t="str">
        <f>IFERROR(AH33/AH21,"")</f>
        <v/>
      </c>
      <c r="AI37" s="519" t="str">
        <f>IFERROR(AI33/AI21,"")</f>
        <v/>
      </c>
    </row>
    <row r="38" s="255">
      <c r="C38" s="275" t="inlineStr">
        <is>
          <t xml:space="preserve">   Margem Sugar &amp; Bioenergy</t>
        </is>
      </c>
      <c r="D38" s="518">
        <f>IFERROR(D34/D22,"")</f>
        <v>0.04</v>
      </c>
      <c r="E38" s="518">
        <f>IFERROR(E34/E22,"")</f>
        <v>0</v>
      </c>
      <c r="F38" s="518">
        <f>IFERROR(F34/F22,"")</f>
        <v>0.102040816326531</v>
      </c>
      <c r="G38" s="518" t="str">
        <f>IFERROR(G34/G22,"")</f>
        <v/>
      </c>
      <c r="H38" s="519" t="str">
        <f>IFERROR(H34/H22,"")</f>
        <v/>
      </c>
      <c r="I38" s="518">
        <f>IFERROR(I34/I22,"")</f>
        <v>0</v>
      </c>
      <c r="J38" s="518">
        <f>IFERROR(J34/J22,"")</f>
        <v>0.0147058823529412</v>
      </c>
      <c r="K38" s="518">
        <f>IFERROR(K34/K22,"")</f>
        <v>0.0289855072463768</v>
      </c>
      <c r="L38" s="518" t="str">
        <f>IFERROR(L34/L22,"")</f>
        <v/>
      </c>
      <c r="M38" s="519" t="str">
        <f>IFERROR(M34/M22,"")</f>
        <v/>
      </c>
      <c r="N38" s="518">
        <f>IFERROR(N34/N22,"")</f>
        <v>0.03125</v>
      </c>
      <c r="O38" s="518">
        <f>IFERROR(O34/O22,"")</f>
        <v>0.0350877192982456</v>
      </c>
      <c r="P38" s="518">
        <f>IFERROR(P34/P22,"")</f>
        <v>0.027027027027027</v>
      </c>
      <c r="Q38" s="518" t="str">
        <f>IFERROR(Q34/Q22,"")</f>
        <v/>
      </c>
      <c r="R38" s="519" t="str">
        <f>IFERROR(R34/R22,"")</f>
        <v/>
      </c>
      <c r="S38" s="518">
        <f>IFERROR(S34/S22,"")</f>
        <v>0</v>
      </c>
      <c r="T38" s="518">
        <f>IFERROR(T34/T22,"")</f>
        <v>0.0277777777777778</v>
      </c>
      <c r="U38" s="518">
        <f>IFERROR(U34/U22,"")</f>
        <v>0.0357142857142857</v>
      </c>
      <c r="V38" s="518" t="str">
        <f>IFERROR(V34/V22,"")</f>
        <v/>
      </c>
      <c r="W38" s="519" t="str">
        <f>IFERROR(W34/W22,"")</f>
        <v/>
      </c>
      <c r="X38" s="518">
        <f>IFERROR(X34/X22,"")</f>
        <v>0.0232558139534884</v>
      </c>
      <c r="Y38" s="518">
        <f>IFERROR(Y34/Y22,"")</f>
        <v>0.0204081632653061</v>
      </c>
      <c r="Z38" s="518">
        <f>IFERROR(Z34/Z22,"")</f>
        <v>0.0263157894736842</v>
      </c>
      <c r="AA38" s="518" t="str">
        <f>IFERROR(AA34/AA22,"")</f>
        <v/>
      </c>
      <c r="AB38" s="519" t="str">
        <f>IFERROR(AB34/AB22,"")</f>
        <v/>
      </c>
      <c r="AC38" s="518" t="str">
        <f>IFERROR(AC34/AC22,"")</f>
        <v/>
      </c>
      <c r="AD38" s="518" t="str">
        <f>IFERROR(AD34/AD22,"")</f>
        <v/>
      </c>
      <c r="AE38" s="518" t="str">
        <f>IFERROR(AE34/AE22,"")</f>
        <v/>
      </c>
      <c r="AF38" s="518" t="str">
        <f>IFERROR(AF34/AF22,"")</f>
        <v/>
      </c>
      <c r="AG38" s="519" t="str">
        <f>IFERROR(AG34/AG22,"")</f>
        <v/>
      </c>
      <c r="AH38" s="519" t="str">
        <f>IFERROR(AH34/AH22,"")</f>
        <v/>
      </c>
      <c r="AI38" s="519" t="str">
        <f>IFERROR(AI34/AI22,"")</f>
        <v/>
      </c>
    </row>
    <row r="39" s="255"/>
    <row r="40" s="255">
      <c r="C40" s="289" t="inlineStr">
        <is>
          <t>Outras aberturas (USD milhões)</t>
        </is>
      </c>
      <c r="D40" s="289" t="str">
        <f>D7</f>
        <v>1Q20</v>
      </c>
      <c r="E40" s="289" t="str">
        <f>E7</f>
        <v>2Q20</v>
      </c>
      <c r="F40" s="289" t="str">
        <f>F7</f>
        <v>3Q20</v>
      </c>
      <c r="G40" s="289" t="str">
        <f>G7</f>
        <v>4Q20</v>
      </c>
      <c r="H40" s="289">
        <f>H7</f>
        <v>2020</v>
      </c>
      <c r="I40" s="289" t="str">
        <f>I7</f>
        <v>1Q21</v>
      </c>
      <c r="J40" s="289" t="str">
        <f>J7</f>
        <v>2Q21</v>
      </c>
      <c r="K40" s="289" t="str">
        <f>K7</f>
        <v>3Q21</v>
      </c>
      <c r="L40" s="289" t="str">
        <f>L7</f>
        <v>4Q21</v>
      </c>
      <c r="M40" s="289">
        <f>M7</f>
        <v>2021</v>
      </c>
      <c r="N40" s="289" t="str">
        <f>N7</f>
        <v>1Q22</v>
      </c>
      <c r="O40" s="289" t="str">
        <f>O7</f>
        <v>2Q22</v>
      </c>
      <c r="P40" s="289" t="str">
        <f>P7</f>
        <v>3Q22</v>
      </c>
      <c r="Q40" s="289" t="str">
        <f>Q7</f>
        <v>4Q22</v>
      </c>
      <c r="R40" s="289">
        <f>R7</f>
        <v>2022</v>
      </c>
      <c r="S40" s="289" t="str">
        <f>S7</f>
        <v>1Q23</v>
      </c>
      <c r="T40" s="289" t="str">
        <f>T7</f>
        <v>2Q23</v>
      </c>
      <c r="U40" s="289" t="str">
        <f>U7</f>
        <v>3Q23</v>
      </c>
      <c r="V40" s="289" t="str">
        <f>V7</f>
        <v>4Q23</v>
      </c>
      <c r="W40" s="289">
        <f>W7</f>
        <v>2023</v>
      </c>
      <c r="X40" s="289" t="str">
        <f>X7</f>
        <v>1Q24</v>
      </c>
      <c r="Y40" s="289" t="str">
        <f>Y7</f>
        <v>2Q24</v>
      </c>
      <c r="Z40" s="289" t="str">
        <f>Z7</f>
        <v>3Q24</v>
      </c>
      <c r="AA40" s="289" t="str">
        <f>AA7</f>
        <v>4Q24</v>
      </c>
      <c r="AB40" s="289">
        <f>AB7</f>
        <v>2024</v>
      </c>
      <c r="AC40" s="289" t="str">
        <f>AC7</f>
        <v>1Q25</v>
      </c>
      <c r="AD40" s="289" t="str">
        <f>AD7</f>
        <v>2Q25</v>
      </c>
      <c r="AE40" s="289" t="str">
        <f>AE7</f>
        <v>3Q25</v>
      </c>
      <c r="AF40" s="289" t="str">
        <f>AF7</f>
        <v>4Q25</v>
      </c>
      <c r="AG40" s="289">
        <f>AG7</f>
        <v>2025</v>
      </c>
      <c r="AH40" s="289" t="str">
        <f>AH7</f>
        <v>1Q26</v>
      </c>
      <c r="AI40" s="289" t="str">
        <f>AI7</f>
        <v>2Q26</v>
      </c>
    </row>
    <row r="41" s="255">
      <c r="C41" s="275" t="inlineStr">
        <is>
          <t xml:space="preserve">   Nova estrutura - Soybean Processing &amp; Refining</t>
        </is>
      </c>
      <c r="D41" s="515" t="str">
        <f>IFERROR(INDEX('Inputs (2)'!$D$62:$AL$62,MATCH(D$7,'Inputs (2)'!$D$2:$AL$2,0)),"")</f>
        <v/>
      </c>
      <c r="E41" s="515" t="str">
        <f>IFERROR(INDEX('Inputs (2)'!$D$62:$AL$62,MATCH(E$7,'Inputs (2)'!$D$2:$AL$2,0)),"")</f>
        <v/>
      </c>
      <c r="F41" s="515" t="str">
        <f>IFERROR(INDEX('Inputs (2)'!$D$62:$AL$62,MATCH(F$7,'Inputs (2)'!$D$2:$AL$2,0)),"")</f>
        <v/>
      </c>
      <c r="G41" s="515" t="str">
        <f>IFERROR(INDEX('Inputs (2)'!$D$62:$AL$62,MATCH(G$7,'Inputs (2)'!$D$2:$AL$2,0)),"")</f>
        <v/>
      </c>
      <c r="H41" s="516" t="str">
        <f>IF(COUNT(D41:G41)=4,SUM(D41:G41),"")</f>
        <v/>
      </c>
      <c r="I41" s="515" t="str">
        <f>IFERROR(INDEX('Inputs (2)'!$D$62:$AL$62,MATCH(I$7,'Inputs (2)'!$D$2:$AL$2,0)),"")</f>
        <v/>
      </c>
      <c r="J41" s="515" t="str">
        <f>IFERROR(INDEX('Inputs (2)'!$D$62:$AL$62,MATCH(J$7,'Inputs (2)'!$D$2:$AL$2,0)),"")</f>
        <v/>
      </c>
      <c r="K41" s="515" t="str">
        <f>IFERROR(INDEX('Inputs (2)'!$D$62:$AL$62,MATCH(K$7,'Inputs (2)'!$D$2:$AL$2,0)),"")</f>
        <v/>
      </c>
      <c r="L41" s="515" t="str">
        <f>IFERROR(INDEX('Inputs (2)'!$D$62:$AL$62,MATCH(L$7,'Inputs (2)'!$D$2:$AL$2,0)),"")</f>
        <v/>
      </c>
      <c r="M41" s="516" t="str">
        <f>IF(COUNT(I41:L41)=4,SUM(I41:L41),"")</f>
        <v/>
      </c>
      <c r="N41" s="515" t="str">
        <f>IFERROR(INDEX('Inputs (2)'!$D$62:$AL$62,MATCH(N$7,'Inputs (2)'!$D$2:$AL$2,0)),"")</f>
        <v/>
      </c>
      <c r="O41" s="515" t="str">
        <f>IFERROR(INDEX('Inputs (2)'!$D$62:$AL$62,MATCH(O$7,'Inputs (2)'!$D$2:$AL$2,0)),"")</f>
        <v/>
      </c>
      <c r="P41" s="515" t="str">
        <f>IFERROR(INDEX('Inputs (2)'!$D$62:$AL$62,MATCH(P$7,'Inputs (2)'!$D$2:$AL$2,0)),"")</f>
        <v/>
      </c>
      <c r="Q41" s="515" t="str">
        <f>IFERROR(INDEX('Inputs (2)'!$D$62:$AL$62,MATCH(Q$7,'Inputs (2)'!$D$2:$AL$2,0)),"")</f>
        <v/>
      </c>
      <c r="R41" s="516" t="str">
        <f>IF(COUNT(N41:Q41)=4,SUM(N41:Q41),"")</f>
        <v/>
      </c>
      <c r="S41" s="515" t="str">
        <f>IFERROR(INDEX('Inputs (2)'!$D$62:$AL$62,MATCH(S$7,'Inputs (2)'!$D$2:$AL$2,0)),"")</f>
        <v/>
      </c>
      <c r="T41" s="515" t="str">
        <f>IFERROR(INDEX('Inputs (2)'!$D$62:$AL$62,MATCH(T$7,'Inputs (2)'!$D$2:$AL$2,0)),"")</f>
        <v/>
      </c>
      <c r="U41" s="515" t="str">
        <f>IFERROR(INDEX('Inputs (2)'!$D$62:$AL$62,MATCH(U$7,'Inputs (2)'!$D$2:$AL$2,0)),"")</f>
        <v/>
      </c>
      <c r="V41" s="515" t="str">
        <f>IFERROR(INDEX('Inputs (2)'!$D$62:$AL$62,MATCH(V$7,'Inputs (2)'!$D$2:$AL$2,0)),"")</f>
        <v/>
      </c>
      <c r="W41" s="516" t="str">
        <f>IF(COUNT(S41:V41)=4,SUM(S41:V41),"")</f>
        <v/>
      </c>
      <c r="X41" s="515" t="str">
        <f>IFERROR(INDEX('Inputs (2)'!$D$62:$AL$62,MATCH(X$7,'Inputs (2)'!$D$2:$AL$2,0)),"")</f>
        <v/>
      </c>
      <c r="Y41" s="515" t="str">
        <f>IFERROR(INDEX('Inputs (2)'!$D$62:$AL$62,MATCH(Y$7,'Inputs (2)'!$D$2:$AL$2,0)),"")</f>
        <v/>
      </c>
      <c r="Z41" s="515">
        <f>IFERROR(INDEX('Inputs (2)'!$D$62:$AL$62,MATCH(Z$7,'Inputs (2)'!$D$2:$AL$2,0)),"")</f>
        <v>7857</v>
      </c>
      <c r="AA41" s="515">
        <f>IFERROR(INDEX('Inputs (2)'!$D$62:$AL$62,MATCH(AA$7,'Inputs (2)'!$D$2:$AL$2,0)),"")</f>
        <v>8374</v>
      </c>
      <c r="AB41" s="516" t="str">
        <f>IF(COUNT(X41:AA41)=4,SUM(X41:AA41),"")</f>
        <v/>
      </c>
      <c r="AC41" s="515">
        <f>IFERROR(INDEX('Inputs (2)'!$D$62:$AL$62,MATCH(AC$7,'Inputs (2)'!$D$2:$AL$2,0)),"")</f>
        <v>6661</v>
      </c>
      <c r="AD41" s="515">
        <f>IFERROR(INDEX('Inputs (2)'!$D$62:$AL$62,MATCH(AD$7,'Inputs (2)'!$D$2:$AL$2,0)),"")</f>
        <v>7750</v>
      </c>
      <c r="AE41" s="515">
        <f>IFERROR(INDEX('Inputs (2)'!$D$62:$AL$62,MATCH(AE$7,'Inputs (2)'!$D$2:$AL$2,0)),"")</f>
        <v>10857</v>
      </c>
      <c r="AF41" s="515">
        <f>IFERROR(INDEX('Inputs (2)'!$D$62:$AL$62,MATCH(AF$7,'Inputs (2)'!$D$2:$AL$2,0)),"")</f>
        <v>11045</v>
      </c>
      <c r="AG41" s="516">
        <f>IF(COUNT(AC41:AF41)=4,SUM(AC41:AF41),"")</f>
        <v>36313</v>
      </c>
      <c r="AH41" s="516">
        <f>IFERROR(INDEX('Inputs (2)'!$D$62:$AL$62,MATCH(AH$7,'Inputs (2)'!$D$2:$AL$2,0)),"")</f>
        <v>9552</v>
      </c>
      <c r="AI41" s="516">
        <f>IFERROR(INDEX('Inputs (2)'!$D$62:$AL$62,MATCH(AI$7,'Inputs (2)'!$D$2:$AL$2,0)),"")</f>
        <v>12071</v>
      </c>
    </row>
    <row r="42" s="255">
      <c r="C42" s="275" t="inlineStr">
        <is>
          <t xml:space="preserve">   Nova estrutura - Softseed Processing &amp; Refining</t>
        </is>
      </c>
      <c r="D42" s="515" t="str">
        <f>IFERROR(INDEX('Inputs (2)'!$D$63:$AL$63,MATCH(D$7,'Inputs (2)'!$D$2:$AL$2,0)),"")</f>
        <v/>
      </c>
      <c r="E42" s="515" t="str">
        <f>IFERROR(INDEX('Inputs (2)'!$D$63:$AL$63,MATCH(E$7,'Inputs (2)'!$D$2:$AL$2,0)),"")</f>
        <v/>
      </c>
      <c r="F42" s="515" t="str">
        <f>IFERROR(INDEX('Inputs (2)'!$D$63:$AL$63,MATCH(F$7,'Inputs (2)'!$D$2:$AL$2,0)),"")</f>
        <v/>
      </c>
      <c r="G42" s="515" t="str">
        <f>IFERROR(INDEX('Inputs (2)'!$D$63:$AL$63,MATCH(G$7,'Inputs (2)'!$D$2:$AL$2,0)),"")</f>
        <v/>
      </c>
      <c r="H42" s="516" t="str">
        <f>IF(COUNT(D42:G42)=4,SUM(D42:G42),"")</f>
        <v/>
      </c>
      <c r="I42" s="515" t="str">
        <f>IFERROR(INDEX('Inputs (2)'!$D$63:$AL$63,MATCH(I$7,'Inputs (2)'!$D$2:$AL$2,0)),"")</f>
        <v/>
      </c>
      <c r="J42" s="515" t="str">
        <f>IFERROR(INDEX('Inputs (2)'!$D$63:$AL$63,MATCH(J$7,'Inputs (2)'!$D$2:$AL$2,0)),"")</f>
        <v/>
      </c>
      <c r="K42" s="515" t="str">
        <f>IFERROR(INDEX('Inputs (2)'!$D$63:$AL$63,MATCH(K$7,'Inputs (2)'!$D$2:$AL$2,0)),"")</f>
        <v/>
      </c>
      <c r="L42" s="515" t="str">
        <f>IFERROR(INDEX('Inputs (2)'!$D$63:$AL$63,MATCH(L$7,'Inputs (2)'!$D$2:$AL$2,0)),"")</f>
        <v/>
      </c>
      <c r="M42" s="516" t="str">
        <f>IF(COUNT(I42:L42)=4,SUM(I42:L42),"")</f>
        <v/>
      </c>
      <c r="N42" s="515" t="str">
        <f>IFERROR(INDEX('Inputs (2)'!$D$63:$AL$63,MATCH(N$7,'Inputs (2)'!$D$2:$AL$2,0)),"")</f>
        <v/>
      </c>
      <c r="O42" s="515" t="str">
        <f>IFERROR(INDEX('Inputs (2)'!$D$63:$AL$63,MATCH(O$7,'Inputs (2)'!$D$2:$AL$2,0)),"")</f>
        <v/>
      </c>
      <c r="P42" s="515" t="str">
        <f>IFERROR(INDEX('Inputs (2)'!$D$63:$AL$63,MATCH(P$7,'Inputs (2)'!$D$2:$AL$2,0)),"")</f>
        <v/>
      </c>
      <c r="Q42" s="515" t="str">
        <f>IFERROR(INDEX('Inputs (2)'!$D$63:$AL$63,MATCH(Q$7,'Inputs (2)'!$D$2:$AL$2,0)),"")</f>
        <v/>
      </c>
      <c r="R42" s="516" t="str">
        <f>IF(COUNT(N42:Q42)=4,SUM(N42:Q42),"")</f>
        <v/>
      </c>
      <c r="S42" s="515" t="str">
        <f>IFERROR(INDEX('Inputs (2)'!$D$63:$AL$63,MATCH(S$7,'Inputs (2)'!$D$2:$AL$2,0)),"")</f>
        <v/>
      </c>
      <c r="T42" s="515" t="str">
        <f>IFERROR(INDEX('Inputs (2)'!$D$63:$AL$63,MATCH(T$7,'Inputs (2)'!$D$2:$AL$2,0)),"")</f>
        <v/>
      </c>
      <c r="U42" s="515" t="str">
        <f>IFERROR(INDEX('Inputs (2)'!$D$63:$AL$63,MATCH(U$7,'Inputs (2)'!$D$2:$AL$2,0)),"")</f>
        <v/>
      </c>
      <c r="V42" s="515" t="str">
        <f>IFERROR(INDEX('Inputs (2)'!$D$63:$AL$63,MATCH(V$7,'Inputs (2)'!$D$2:$AL$2,0)),"")</f>
        <v/>
      </c>
      <c r="W42" s="516" t="str">
        <f>IF(COUNT(S42:V42)=4,SUM(S42:V42),"")</f>
        <v/>
      </c>
      <c r="X42" s="515" t="str">
        <f>IFERROR(INDEX('Inputs (2)'!$D$63:$AL$63,MATCH(X$7,'Inputs (2)'!$D$2:$AL$2,0)),"")</f>
        <v/>
      </c>
      <c r="Y42" s="515" t="str">
        <f>IFERROR(INDEX('Inputs (2)'!$D$63:$AL$63,MATCH(Y$7,'Inputs (2)'!$D$2:$AL$2,0)),"")</f>
        <v/>
      </c>
      <c r="Z42" s="515">
        <f>IFERROR(INDEX('Inputs (2)'!$D$63:$AL$63,MATCH(Z$7,'Inputs (2)'!$D$2:$AL$2,0)),"")</f>
        <v>1589</v>
      </c>
      <c r="AA42" s="515">
        <f>IFERROR(INDEX('Inputs (2)'!$D$63:$AL$63,MATCH(AA$7,'Inputs (2)'!$D$2:$AL$2,0)),"")</f>
        <v>1808</v>
      </c>
      <c r="AB42" s="516" t="str">
        <f>IF(COUNT(X42:AA42)=4,SUM(X42:AA42),"")</f>
        <v/>
      </c>
      <c r="AC42" s="515">
        <f>IFERROR(INDEX('Inputs (2)'!$D$63:$AL$63,MATCH(AC$7,'Inputs (2)'!$D$2:$AL$2,0)),"")</f>
        <v>1515</v>
      </c>
      <c r="AD42" s="515">
        <f>IFERROR(INDEX('Inputs (2)'!$D$63:$AL$63,MATCH(AD$7,'Inputs (2)'!$D$2:$AL$2,0)),"")</f>
        <v>1531</v>
      </c>
      <c r="AE42" s="515">
        <f>IFERROR(INDEX('Inputs (2)'!$D$63:$AL$63,MATCH(AE$7,'Inputs (2)'!$D$2:$AL$2,0)),"")</f>
        <v>3661</v>
      </c>
      <c r="AF42" s="515">
        <f>IFERROR(INDEX('Inputs (2)'!$D$63:$AL$63,MATCH(AF$7,'Inputs (2)'!$D$2:$AL$2,0)),"")</f>
        <v>4545</v>
      </c>
      <c r="AG42" s="516">
        <f>IF(COUNT(AC42:AF42)=4,SUM(AC42:AF42),"")</f>
        <v>11252</v>
      </c>
      <c r="AH42" s="516">
        <f>IFERROR(INDEX('Inputs (2)'!$D$63:$AL$63,MATCH(AH$7,'Inputs (2)'!$D$2:$AL$2,0)),"")</f>
        <v>3904</v>
      </c>
      <c r="AI42" s="516">
        <f>IFERROR(INDEX('Inputs (2)'!$D$63:$AL$63,MATCH(AI$7,'Inputs (2)'!$D$2:$AL$2,0)),"")</f>
        <v>4095</v>
      </c>
    </row>
    <row r="43" s="255">
      <c r="C43" s="275" t="inlineStr">
        <is>
          <t xml:space="preserve">   Nova estrutura - Tropical Oils &amp; Specialty Ingredients</t>
        </is>
      </c>
      <c r="D43" s="515" t="str">
        <f>IFERROR(INDEX('Inputs (2)'!$D$64:$AL$64,MATCH(D$7,'Inputs (2)'!$D$2:$AL$2,0)),"")</f>
        <v/>
      </c>
      <c r="E43" s="515" t="str">
        <f>IFERROR(INDEX('Inputs (2)'!$D$64:$AL$64,MATCH(E$7,'Inputs (2)'!$D$2:$AL$2,0)),"")</f>
        <v/>
      </c>
      <c r="F43" s="515" t="str">
        <f>IFERROR(INDEX('Inputs (2)'!$D$64:$AL$64,MATCH(F$7,'Inputs (2)'!$D$2:$AL$2,0)),"")</f>
        <v/>
      </c>
      <c r="G43" s="515" t="str">
        <f>IFERROR(INDEX('Inputs (2)'!$D$64:$AL$64,MATCH(G$7,'Inputs (2)'!$D$2:$AL$2,0)),"")</f>
        <v/>
      </c>
      <c r="H43" s="516" t="str">
        <f>IF(COUNT(D43:G43)=4,SUM(D43:G43),"")</f>
        <v/>
      </c>
      <c r="I43" s="515" t="str">
        <f>IFERROR(INDEX('Inputs (2)'!$D$64:$AL$64,MATCH(I$7,'Inputs (2)'!$D$2:$AL$2,0)),"")</f>
        <v/>
      </c>
      <c r="J43" s="515" t="str">
        <f>IFERROR(INDEX('Inputs (2)'!$D$64:$AL$64,MATCH(J$7,'Inputs (2)'!$D$2:$AL$2,0)),"")</f>
        <v/>
      </c>
      <c r="K43" s="515" t="str">
        <f>IFERROR(INDEX('Inputs (2)'!$D$64:$AL$64,MATCH(K$7,'Inputs (2)'!$D$2:$AL$2,0)),"")</f>
        <v/>
      </c>
      <c r="L43" s="515" t="str">
        <f>IFERROR(INDEX('Inputs (2)'!$D$64:$AL$64,MATCH(L$7,'Inputs (2)'!$D$2:$AL$2,0)),"")</f>
        <v/>
      </c>
      <c r="M43" s="516" t="str">
        <f>IF(COUNT(I43:L43)=4,SUM(I43:L43),"")</f>
        <v/>
      </c>
      <c r="N43" s="515" t="str">
        <f>IFERROR(INDEX('Inputs (2)'!$D$64:$AL$64,MATCH(N$7,'Inputs (2)'!$D$2:$AL$2,0)),"")</f>
        <v/>
      </c>
      <c r="O43" s="515" t="str">
        <f>IFERROR(INDEX('Inputs (2)'!$D$64:$AL$64,MATCH(O$7,'Inputs (2)'!$D$2:$AL$2,0)),"")</f>
        <v/>
      </c>
      <c r="P43" s="515" t="str">
        <f>IFERROR(INDEX('Inputs (2)'!$D$64:$AL$64,MATCH(P$7,'Inputs (2)'!$D$2:$AL$2,0)),"")</f>
        <v/>
      </c>
      <c r="Q43" s="515" t="str">
        <f>IFERROR(INDEX('Inputs (2)'!$D$64:$AL$64,MATCH(Q$7,'Inputs (2)'!$D$2:$AL$2,0)),"")</f>
        <v/>
      </c>
      <c r="R43" s="516" t="str">
        <f>IF(COUNT(N43:Q43)=4,SUM(N43:Q43),"")</f>
        <v/>
      </c>
      <c r="S43" s="515" t="str">
        <f>IFERROR(INDEX('Inputs (2)'!$D$64:$AL$64,MATCH(S$7,'Inputs (2)'!$D$2:$AL$2,0)),"")</f>
        <v/>
      </c>
      <c r="T43" s="515" t="str">
        <f>IFERROR(INDEX('Inputs (2)'!$D$64:$AL$64,MATCH(T$7,'Inputs (2)'!$D$2:$AL$2,0)),"")</f>
        <v/>
      </c>
      <c r="U43" s="515" t="str">
        <f>IFERROR(INDEX('Inputs (2)'!$D$64:$AL$64,MATCH(U$7,'Inputs (2)'!$D$2:$AL$2,0)),"")</f>
        <v/>
      </c>
      <c r="V43" s="515" t="str">
        <f>IFERROR(INDEX('Inputs (2)'!$D$64:$AL$64,MATCH(V$7,'Inputs (2)'!$D$2:$AL$2,0)),"")</f>
        <v/>
      </c>
      <c r="W43" s="516" t="str">
        <f>IF(COUNT(S43:V43)=4,SUM(S43:V43),"")</f>
        <v/>
      </c>
      <c r="X43" s="515" t="str">
        <f>IFERROR(INDEX('Inputs (2)'!$D$64:$AL$64,MATCH(X$7,'Inputs (2)'!$D$2:$AL$2,0)),"")</f>
        <v/>
      </c>
      <c r="Y43" s="515" t="str">
        <f>IFERROR(INDEX('Inputs (2)'!$D$64:$AL$64,MATCH(Y$7,'Inputs (2)'!$D$2:$AL$2,0)),"")</f>
        <v/>
      </c>
      <c r="Z43" s="515" t="str">
        <f>IFERROR(INDEX('Inputs (2)'!$D$64:$AL$64,MATCH(Z$7,'Inputs (2)'!$D$2:$AL$2,0)),"")</f>
        <v/>
      </c>
      <c r="AA43" s="515" t="str">
        <f>IFERROR(INDEX('Inputs (2)'!$D$64:$AL$64,MATCH(AA$7,'Inputs (2)'!$D$2:$AL$2,0)),"")</f>
        <v/>
      </c>
      <c r="AB43" s="516" t="str">
        <f>IF(COUNT(X43:AA43)=4,SUM(X43:AA43),"")</f>
        <v/>
      </c>
      <c r="AC43" s="515">
        <f>IFERROR(INDEX('Inputs (2)'!$D$64:$AL$64,MATCH(AC$7,'Inputs (2)'!$D$2:$AL$2,0)),"")</f>
        <v>1083</v>
      </c>
      <c r="AD43" s="515">
        <f>IFERROR(INDEX('Inputs (2)'!$D$64:$AL$64,MATCH(AD$7,'Inputs (2)'!$D$2:$AL$2,0)),"")</f>
        <v>1152</v>
      </c>
      <c r="AE43" s="515" t="str">
        <f>IFERROR(INDEX('Inputs (2)'!$D$64:$AL$64,MATCH(AE$7,'Inputs (2)'!$D$2:$AL$2,0)),"")</f>
        <v/>
      </c>
      <c r="AF43" s="515" t="str">
        <f>IFERROR(INDEX('Inputs (2)'!$D$64:$AL$64,MATCH(AF$7,'Inputs (2)'!$D$2:$AL$2,0)),"")</f>
        <v/>
      </c>
      <c r="AG43" s="516" t="str">
        <f>IF(COUNT(AC43:AF43)=4,SUM(AC43:AF43),"")</f>
        <v/>
      </c>
      <c r="AH43" s="516">
        <f>IFERROR(INDEX('Inputs (2)'!$D$64:$AL$64,MATCH(AH$7,'Inputs (2)'!$D$2:$AL$2,0)),"")</f>
        <v>1228</v>
      </c>
      <c r="AI43" s="516">
        <f>IFERROR(INDEX('Inputs (2)'!$D$64:$AL$64,MATCH(AI$7,'Inputs (2)'!$D$2:$AL$2,0)),"")</f>
        <v>1259</v>
      </c>
    </row>
    <row r="44" s="255">
      <c r="C44" s="275" t="inlineStr">
        <is>
          <t xml:space="preserve">   Nova estrutura - Grain Merchandising &amp; Milling</t>
        </is>
      </c>
      <c r="D44" s="515" t="str">
        <f>IFERROR(INDEX('Inputs (2)'!$D$65:$AL$65,MATCH(D$7,'Inputs (2)'!$D$2:$AL$2,0)),"")</f>
        <v/>
      </c>
      <c r="E44" s="515" t="str">
        <f>IFERROR(INDEX('Inputs (2)'!$D$65:$AL$65,MATCH(E$7,'Inputs (2)'!$D$2:$AL$2,0)),"")</f>
        <v/>
      </c>
      <c r="F44" s="515" t="str">
        <f>IFERROR(INDEX('Inputs (2)'!$D$65:$AL$65,MATCH(F$7,'Inputs (2)'!$D$2:$AL$2,0)),"")</f>
        <v/>
      </c>
      <c r="G44" s="515" t="str">
        <f>IFERROR(INDEX('Inputs (2)'!$D$65:$AL$65,MATCH(G$7,'Inputs (2)'!$D$2:$AL$2,0)),"")</f>
        <v/>
      </c>
      <c r="H44" s="516" t="str">
        <f>IF(COUNT(D44:G44)=4,SUM(D44:G44),"")</f>
        <v/>
      </c>
      <c r="I44" s="515" t="str">
        <f>IFERROR(INDEX('Inputs (2)'!$D$65:$AL$65,MATCH(I$7,'Inputs (2)'!$D$2:$AL$2,0)),"")</f>
        <v/>
      </c>
      <c r="J44" s="515" t="str">
        <f>IFERROR(INDEX('Inputs (2)'!$D$65:$AL$65,MATCH(J$7,'Inputs (2)'!$D$2:$AL$2,0)),"")</f>
        <v/>
      </c>
      <c r="K44" s="515" t="str">
        <f>IFERROR(INDEX('Inputs (2)'!$D$65:$AL$65,MATCH(K$7,'Inputs (2)'!$D$2:$AL$2,0)),"")</f>
        <v/>
      </c>
      <c r="L44" s="515" t="str">
        <f>IFERROR(INDEX('Inputs (2)'!$D$65:$AL$65,MATCH(L$7,'Inputs (2)'!$D$2:$AL$2,0)),"")</f>
        <v/>
      </c>
      <c r="M44" s="516" t="str">
        <f>IF(COUNT(I44:L44)=4,SUM(I44:L44),"")</f>
        <v/>
      </c>
      <c r="N44" s="515" t="str">
        <f>IFERROR(INDEX('Inputs (2)'!$D$65:$AL$65,MATCH(N$7,'Inputs (2)'!$D$2:$AL$2,0)),"")</f>
        <v/>
      </c>
      <c r="O44" s="515" t="str">
        <f>IFERROR(INDEX('Inputs (2)'!$D$65:$AL$65,MATCH(O$7,'Inputs (2)'!$D$2:$AL$2,0)),"")</f>
        <v/>
      </c>
      <c r="P44" s="515" t="str">
        <f>IFERROR(INDEX('Inputs (2)'!$D$65:$AL$65,MATCH(P$7,'Inputs (2)'!$D$2:$AL$2,0)),"")</f>
        <v/>
      </c>
      <c r="Q44" s="515" t="str">
        <f>IFERROR(INDEX('Inputs (2)'!$D$65:$AL$65,MATCH(Q$7,'Inputs (2)'!$D$2:$AL$2,0)),"")</f>
        <v/>
      </c>
      <c r="R44" s="516" t="str">
        <f>IF(COUNT(N44:Q44)=4,SUM(N44:Q44),"")</f>
        <v/>
      </c>
      <c r="S44" s="515" t="str">
        <f>IFERROR(INDEX('Inputs (2)'!$D$65:$AL$65,MATCH(S$7,'Inputs (2)'!$D$2:$AL$2,0)),"")</f>
        <v/>
      </c>
      <c r="T44" s="515" t="str">
        <f>IFERROR(INDEX('Inputs (2)'!$D$65:$AL$65,MATCH(T$7,'Inputs (2)'!$D$2:$AL$2,0)),"")</f>
        <v/>
      </c>
      <c r="U44" s="515" t="str">
        <f>IFERROR(INDEX('Inputs (2)'!$D$65:$AL$65,MATCH(U$7,'Inputs (2)'!$D$2:$AL$2,0)),"")</f>
        <v/>
      </c>
      <c r="V44" s="515" t="str">
        <f>IFERROR(INDEX('Inputs (2)'!$D$65:$AL$65,MATCH(V$7,'Inputs (2)'!$D$2:$AL$2,0)),"")</f>
        <v/>
      </c>
      <c r="W44" s="516" t="str">
        <f>IF(COUNT(S44:V44)=4,SUM(S44:V44),"")</f>
        <v/>
      </c>
      <c r="X44" s="515" t="str">
        <f>IFERROR(INDEX('Inputs (2)'!$D$65:$AL$65,MATCH(X$7,'Inputs (2)'!$D$2:$AL$2,0)),"")</f>
        <v/>
      </c>
      <c r="Y44" s="515" t="str">
        <f>IFERROR(INDEX('Inputs (2)'!$D$65:$AL$65,MATCH(Y$7,'Inputs (2)'!$D$2:$AL$2,0)),"")</f>
        <v/>
      </c>
      <c r="Z44" s="515">
        <f>IFERROR(INDEX('Inputs (2)'!$D$65:$AL$65,MATCH(Z$7,'Inputs (2)'!$D$2:$AL$2,0)),"")</f>
        <v>2397</v>
      </c>
      <c r="AA44" s="515">
        <f>IFERROR(INDEX('Inputs (2)'!$D$65:$AL$65,MATCH(AA$7,'Inputs (2)'!$D$2:$AL$2,0)),"")</f>
        <v>2242</v>
      </c>
      <c r="AB44" s="516" t="str">
        <f>IF(COUNT(X44:AA44)=4,SUM(X44:AA44),"")</f>
        <v/>
      </c>
      <c r="AC44" s="515">
        <f>IFERROR(INDEX('Inputs (2)'!$D$65:$AL$65,MATCH(AC$7,'Inputs (2)'!$D$2:$AL$2,0)),"")</f>
        <v>2384</v>
      </c>
      <c r="AD44" s="515">
        <f>IFERROR(INDEX('Inputs (2)'!$D$65:$AL$65,MATCH(AD$7,'Inputs (2)'!$D$2:$AL$2,0)),"")</f>
        <v>2334</v>
      </c>
      <c r="AE44" s="515">
        <f>IFERROR(INDEX('Inputs (2)'!$D$65:$AL$65,MATCH(AE$7,'Inputs (2)'!$D$2:$AL$2,0)),"")</f>
        <v>6428</v>
      </c>
      <c r="AF44" s="515">
        <f>IFERROR(INDEX('Inputs (2)'!$D$65:$AL$65,MATCH(AF$7,'Inputs (2)'!$D$2:$AL$2,0)),"")</f>
        <v>6982</v>
      </c>
      <c r="AG44" s="516">
        <f>IF(COUNT(AC44:AF44)=4,SUM(AC44:AF44),"")</f>
        <v>18128</v>
      </c>
      <c r="AH44" s="516">
        <f>IFERROR(INDEX('Inputs (2)'!$D$65:$AL$65,MATCH(AH$7,'Inputs (2)'!$D$2:$AL$2,0)),"")</f>
        <v>7177</v>
      </c>
      <c r="AI44" s="516">
        <f>IFERROR(INDEX('Inputs (2)'!$D$65:$AL$65,MATCH(AI$7,'Inputs (2)'!$D$2:$AL$2,0)),"")</f>
        <v>6614</v>
      </c>
    </row>
    <row r="45" s="255">
      <c r="C45" s="275" t="inlineStr">
        <is>
          <t xml:space="preserve">   Nova estrutura - Corporate &amp; Other</t>
        </is>
      </c>
      <c r="D45" s="515" t="str">
        <f>IFERROR(INDEX('Inputs (2)'!$D$66:$AL$66,MATCH(D$7,'Inputs (2)'!$D$2:$AL$2,0)),"")</f>
        <v/>
      </c>
      <c r="E45" s="515" t="str">
        <f>IFERROR(INDEX('Inputs (2)'!$D$66:$AL$66,MATCH(E$7,'Inputs (2)'!$D$2:$AL$2,0)),"")</f>
        <v/>
      </c>
      <c r="F45" s="515" t="str">
        <f>IFERROR(INDEX('Inputs (2)'!$D$66:$AL$66,MATCH(F$7,'Inputs (2)'!$D$2:$AL$2,0)),"")</f>
        <v/>
      </c>
      <c r="G45" s="515" t="str">
        <f>IFERROR(INDEX('Inputs (2)'!$D$66:$AL$66,MATCH(G$7,'Inputs (2)'!$D$2:$AL$2,0)),"")</f>
        <v/>
      </c>
      <c r="H45" s="516" t="str">
        <f>IF(COUNT(D45:G45)=4,SUM(D45:G45),"")</f>
        <v/>
      </c>
      <c r="I45" s="515" t="str">
        <f>IFERROR(INDEX('Inputs (2)'!$D$66:$AL$66,MATCH(I$7,'Inputs (2)'!$D$2:$AL$2,0)),"")</f>
        <v/>
      </c>
      <c r="J45" s="515" t="str">
        <f>IFERROR(INDEX('Inputs (2)'!$D$66:$AL$66,MATCH(J$7,'Inputs (2)'!$D$2:$AL$2,0)),"")</f>
        <v/>
      </c>
      <c r="K45" s="515" t="str">
        <f>IFERROR(INDEX('Inputs (2)'!$D$66:$AL$66,MATCH(K$7,'Inputs (2)'!$D$2:$AL$2,0)),"")</f>
        <v/>
      </c>
      <c r="L45" s="515" t="str">
        <f>IFERROR(INDEX('Inputs (2)'!$D$66:$AL$66,MATCH(L$7,'Inputs (2)'!$D$2:$AL$2,0)),"")</f>
        <v/>
      </c>
      <c r="M45" s="516" t="str">
        <f>IF(COUNT(I45:L45)=4,SUM(I45:L45),"")</f>
        <v/>
      </c>
      <c r="N45" s="515" t="str">
        <f>IFERROR(INDEX('Inputs (2)'!$D$66:$AL$66,MATCH(N$7,'Inputs (2)'!$D$2:$AL$2,0)),"")</f>
        <v/>
      </c>
      <c r="O45" s="515" t="str">
        <f>IFERROR(INDEX('Inputs (2)'!$D$66:$AL$66,MATCH(O$7,'Inputs (2)'!$D$2:$AL$2,0)),"")</f>
        <v/>
      </c>
      <c r="P45" s="515" t="str">
        <f>IFERROR(INDEX('Inputs (2)'!$D$66:$AL$66,MATCH(P$7,'Inputs (2)'!$D$2:$AL$2,0)),"")</f>
        <v/>
      </c>
      <c r="Q45" s="515" t="str">
        <f>IFERROR(INDEX('Inputs (2)'!$D$66:$AL$66,MATCH(Q$7,'Inputs (2)'!$D$2:$AL$2,0)),"")</f>
        <v/>
      </c>
      <c r="R45" s="516" t="str">
        <f>IF(COUNT(N45:Q45)=4,SUM(N45:Q45),"")</f>
        <v/>
      </c>
      <c r="S45" s="515" t="str">
        <f>IFERROR(INDEX('Inputs (2)'!$D$66:$AL$66,MATCH(S$7,'Inputs (2)'!$D$2:$AL$2,0)),"")</f>
        <v/>
      </c>
      <c r="T45" s="515" t="str">
        <f>IFERROR(INDEX('Inputs (2)'!$D$66:$AL$66,MATCH(T$7,'Inputs (2)'!$D$2:$AL$2,0)),"")</f>
        <v/>
      </c>
      <c r="U45" s="515" t="str">
        <f>IFERROR(INDEX('Inputs (2)'!$D$66:$AL$66,MATCH(U$7,'Inputs (2)'!$D$2:$AL$2,0)),"")</f>
        <v/>
      </c>
      <c r="V45" s="515" t="str">
        <f>IFERROR(INDEX('Inputs (2)'!$D$66:$AL$66,MATCH(V$7,'Inputs (2)'!$D$2:$AL$2,0)),"")</f>
        <v/>
      </c>
      <c r="W45" s="516" t="str">
        <f>IF(COUNT(S45:V45)=4,SUM(S45:V45),"")</f>
        <v/>
      </c>
      <c r="X45" s="515" t="str">
        <f>IFERROR(INDEX('Inputs (2)'!$D$66:$AL$66,MATCH(X$7,'Inputs (2)'!$D$2:$AL$2,0)),"")</f>
        <v/>
      </c>
      <c r="Y45" s="515" t="str">
        <f>IFERROR(INDEX('Inputs (2)'!$D$66:$AL$66,MATCH(Y$7,'Inputs (2)'!$D$2:$AL$2,0)),"")</f>
        <v/>
      </c>
      <c r="Z45" s="515">
        <f>IFERROR(INDEX('Inputs (2)'!$D$66:$AL$66,MATCH(Z$7,'Inputs (2)'!$D$2:$AL$2,0)),"")</f>
        <v>1</v>
      </c>
      <c r="AA45" s="515">
        <f>IFERROR(INDEX('Inputs (2)'!$D$66:$AL$66,MATCH(AA$7,'Inputs (2)'!$D$2:$AL$2,0)),"")</f>
        <v>52</v>
      </c>
      <c r="AB45" s="516" t="str">
        <f>IF(COUNT(X45:AA45)=4,SUM(X45:AA45),"")</f>
        <v/>
      </c>
      <c r="AC45" s="515">
        <f>IFERROR(INDEX('Inputs (2)'!$D$66:$AL$66,MATCH(AC$7,'Inputs (2)'!$D$2:$AL$2,0)),"")</f>
        <v>0</v>
      </c>
      <c r="AD45" s="515">
        <f>IFERROR(INDEX('Inputs (2)'!$D$66:$AL$66,MATCH(AD$7,'Inputs (2)'!$D$2:$AL$2,0)),"")</f>
        <v>2</v>
      </c>
      <c r="AE45" s="515">
        <f>IFERROR(INDEX('Inputs (2)'!$D$66:$AL$66,MATCH(AE$7,'Inputs (2)'!$D$2:$AL$2,0)),"")</f>
        <v>2</v>
      </c>
      <c r="AF45" s="515">
        <f>IFERROR(INDEX('Inputs (2)'!$D$66:$AL$66,MATCH(AF$7,'Inputs (2)'!$D$2:$AL$2,0)),"")</f>
        <v>-1</v>
      </c>
      <c r="AG45" s="516">
        <f>IF(COUNT(AC45:AF45)=4,SUM(AC45:AF45),"")</f>
        <v>3</v>
      </c>
      <c r="AH45" s="516">
        <f>IFERROR(INDEX('Inputs (2)'!$D$66:$AL$66,MATCH(AH$7,'Inputs (2)'!$D$2:$AL$2,0)),"")</f>
        <v>0</v>
      </c>
      <c r="AI45" s="516">
        <f>IFERROR(INDEX('Inputs (2)'!$D$66:$AL$66,MATCH(AI$7,'Inputs (2)'!$D$2:$AL$2,0)),"")</f>
        <v>2</v>
      </c>
    </row>
    <row r="46" s="255"/>
    <row r="47" s="255"/>
    <row r="48" s="255"/>
    <row r="49" s="255"/>
    <row r="50" s="255"/>
    <row r="51" s="255"/>
    <row r="52" hidden="1" outlineLevel="1" ht="12.75" customFormat="1" customHeight="1" s="291">
      <c r="A52" s="292" t="n"/>
      <c r="B52" s="293" t="n"/>
      <c r="C52" s="300" t="n"/>
      <c r="D52" s="295" t="n"/>
      <c r="E52" s="295" t="n"/>
      <c r="F52" s="295" t="n"/>
      <c r="G52" s="295" t="n"/>
      <c r="H52" s="295" t="n"/>
      <c r="I52" s="295" t="n"/>
      <c r="J52" s="295" t="n"/>
      <c r="K52" s="295" t="n"/>
      <c r="L52" s="295" t="n"/>
      <c r="M52" s="295" t="n"/>
      <c r="N52" s="295" t="n"/>
      <c r="O52" s="295" t="n"/>
      <c r="P52" s="295" t="n"/>
      <c r="Q52" s="295" t="n"/>
      <c r="R52" s="295" t="n"/>
      <c r="S52" s="295" t="n"/>
      <c r="T52" s="295" t="n"/>
      <c r="U52" s="295" t="n"/>
      <c r="V52" s="295" t="n"/>
      <c r="W52" s="295" t="n"/>
      <c r="X52" s="295" t="n"/>
      <c r="Y52" s="295" t="n"/>
      <c r="Z52" s="295" t="n"/>
      <c r="AA52" s="295" t="n"/>
      <c r="AB52" s="295" t="n"/>
      <c r="AC52" s="295" t="n"/>
      <c r="AD52" s="295" t="n"/>
      <c r="AE52" s="295" t="n"/>
      <c r="AF52" s="295" t="n"/>
      <c r="AG52" s="295" t="n"/>
      <c r="AH52" s="295" t="n"/>
      <c r="AI52" s="295" t="n"/>
      <c r="AJ52" s="295" t="n"/>
      <c r="AK52" s="295" t="n"/>
      <c r="AL52" s="295" t="n"/>
      <c r="AM52" s="295" t="n"/>
      <c r="AN52" s="295" t="n"/>
      <c r="AO52" s="295" t="n"/>
      <c r="AP52" s="295" t="n"/>
      <c r="AQ52" s="295" t="n"/>
      <c r="AR52" s="295" t="n"/>
      <c r="AS52" s="295" t="n"/>
      <c r="AT52" s="295" t="n"/>
      <c r="AU52" s="295" t="n"/>
      <c r="AV52" s="295" t="n"/>
      <c r="AW52" s="295" t="n"/>
      <c r="AX52" s="295" t="n"/>
      <c r="AY52" s="295" t="n"/>
      <c r="AZ52" s="295" t="n"/>
      <c r="BA52" s="295" t="n"/>
      <c r="BB52" s="295" t="n"/>
      <c r="BC52" s="295" t="n"/>
      <c r="BD52" s="295" t="n"/>
      <c r="BE52" s="295" t="n"/>
      <c r="BF52" s="295" t="n"/>
      <c r="BG52" s="295" t="n"/>
      <c r="BH52" s="295" t="n"/>
      <c r="BI52" s="295" t="n"/>
      <c r="BJ52" s="295" t="n"/>
      <c r="BK52" s="295" t="n"/>
      <c r="BL52" s="295" t="n"/>
      <c r="BM52" s="295" t="n"/>
      <c r="BN52" s="295" t="n"/>
      <c r="BO52" s="295" t="n"/>
      <c r="BP52" s="295" t="n"/>
      <c r="BQ52" s="295" t="n"/>
      <c r="BR52" s="295" t="n"/>
      <c r="BS52" s="295" t="n"/>
      <c r="BT52" s="295" t="n"/>
      <c r="BU52" s="295" t="n"/>
      <c r="BV52" s="295" t="n"/>
      <c r="BW52" s="295" t="n"/>
      <c r="BX52" s="295" t="n"/>
      <c r="BY52" s="295" t="n"/>
      <c r="BZ52" s="295" t="n"/>
      <c r="CA52" s="295" t="n"/>
      <c r="CB52" s="295" t="n"/>
      <c r="CC52" s="295" t="n"/>
      <c r="CD52" s="295" t="n"/>
      <c r="CE52" s="295" t="n"/>
      <c r="CF52" s="295" t="n"/>
      <c r="CG52" s="295" t="n"/>
      <c r="CH52" s="295" t="n"/>
      <c r="CI52" s="295" t="n"/>
      <c r="CJ52" s="295" t="n"/>
      <c r="CK52" s="295" t="n"/>
      <c r="CL52" s="295" t="n"/>
      <c r="CM52" s="295" t="n"/>
      <c r="CN52" s="295" t="n"/>
      <c r="CO52" s="295" t="n"/>
      <c r="CP52" s="295" t="n"/>
      <c r="CQ52" s="295" t="n"/>
      <c r="CR52" s="295" t="n"/>
      <c r="CS52" s="295" t="n"/>
      <c r="CT52" s="295" t="n"/>
      <c r="CU52" s="295" t="n"/>
      <c r="CV52" s="295" t="n"/>
      <c r="CW52" s="295" t="n"/>
      <c r="CX52" s="295" t="n"/>
      <c r="CY52" s="295" t="n"/>
    </row>
    <row r="53" hidden="1" outlineLevel="1" ht="12.75" customFormat="1" customHeight="1" s="291">
      <c r="A53" s="292" t="n"/>
      <c r="B53" s="293" t="n"/>
      <c r="C53" s="300" t="n"/>
      <c r="D53" s="295" t="n"/>
      <c r="E53" s="295" t="n"/>
      <c r="F53" s="295" t="n"/>
      <c r="G53" s="295" t="n"/>
      <c r="H53" s="295" t="n"/>
      <c r="I53" s="295" t="n"/>
      <c r="J53" s="295" t="n"/>
      <c r="K53" s="295" t="n"/>
      <c r="L53" s="295" t="n"/>
      <c r="M53" s="295" t="n"/>
      <c r="N53" s="295" t="n"/>
      <c r="O53" s="295" t="n"/>
      <c r="P53" s="295" t="n"/>
      <c r="Q53" s="295" t="n"/>
      <c r="R53" s="295" t="n"/>
      <c r="S53" s="295" t="n"/>
      <c r="T53" s="295" t="n"/>
      <c r="U53" s="295" t="n"/>
      <c r="V53" s="295" t="n"/>
      <c r="W53" s="295" t="n"/>
      <c r="X53" s="295" t="n"/>
      <c r="Y53" s="295" t="n"/>
      <c r="Z53" s="295" t="n"/>
      <c r="AA53" s="295" t="n"/>
      <c r="AB53" s="295" t="n"/>
      <c r="AC53" s="295" t="n"/>
      <c r="AD53" s="295" t="n"/>
      <c r="AE53" s="295" t="n"/>
      <c r="AF53" s="295" t="n"/>
      <c r="AG53" s="295" t="n"/>
      <c r="AH53" s="295" t="n"/>
      <c r="AI53" s="295" t="n"/>
      <c r="AJ53" s="295" t="n"/>
      <c r="AK53" s="295" t="n"/>
      <c r="AL53" s="295" t="n"/>
      <c r="AM53" s="295" t="n"/>
      <c r="AN53" s="295" t="n"/>
      <c r="AO53" s="295" t="n"/>
      <c r="AP53" s="295" t="n"/>
      <c r="AQ53" s="295" t="n"/>
      <c r="AR53" s="295" t="n"/>
      <c r="AS53" s="295" t="n"/>
      <c r="AT53" s="295" t="n"/>
      <c r="AU53" s="295" t="n"/>
      <c r="AV53" s="295" t="n"/>
      <c r="AW53" s="295" t="n"/>
      <c r="AX53" s="295" t="n"/>
      <c r="AY53" s="295" t="n"/>
      <c r="AZ53" s="295" t="n"/>
      <c r="BA53" s="295" t="n"/>
      <c r="BB53" s="295" t="n"/>
      <c r="BC53" s="295" t="n"/>
      <c r="BD53" s="295" t="n"/>
      <c r="BE53" s="295" t="n"/>
      <c r="BF53" s="295" t="n"/>
      <c r="BG53" s="295" t="n"/>
      <c r="BH53" s="295" t="n"/>
      <c r="BI53" s="295" t="n"/>
      <c r="BJ53" s="295" t="n"/>
      <c r="BK53" s="295" t="n"/>
      <c r="BL53" s="295" t="n"/>
      <c r="BM53" s="295" t="n"/>
      <c r="BN53" s="295" t="n"/>
      <c r="BO53" s="295" t="n"/>
      <c r="BP53" s="295" t="n"/>
      <c r="BQ53" s="295" t="n"/>
      <c r="BR53" s="295" t="n"/>
      <c r="BS53" s="295" t="n"/>
      <c r="BT53" s="295" t="n"/>
      <c r="BU53" s="295" t="n"/>
      <c r="BV53" s="295" t="n"/>
      <c r="BW53" s="295" t="n"/>
      <c r="BX53" s="295" t="n"/>
      <c r="BY53" s="295" t="n"/>
      <c r="BZ53" s="295" t="n"/>
      <c r="CA53" s="295" t="n"/>
      <c r="CB53" s="295" t="n"/>
      <c r="CC53" s="295" t="n"/>
      <c r="CD53" s="295" t="n"/>
      <c r="CE53" s="295" t="n"/>
      <c r="CF53" s="295" t="n"/>
      <c r="CG53" s="295" t="n"/>
      <c r="CH53" s="295" t="n"/>
      <c r="CI53" s="295" t="n"/>
      <c r="CJ53" s="295" t="n"/>
      <c r="CK53" s="295" t="n"/>
      <c r="CL53" s="295" t="n"/>
      <c r="CM53" s="295" t="n"/>
      <c r="CN53" s="295" t="n"/>
      <c r="CO53" s="295" t="n"/>
      <c r="CP53" s="295" t="n"/>
      <c r="CQ53" s="295" t="n"/>
      <c r="CR53" s="295" t="n"/>
      <c r="CS53" s="295" t="n"/>
      <c r="CT53" s="295" t="n"/>
      <c r="CU53" s="295" t="n"/>
      <c r="CV53" s="295" t="n"/>
      <c r="CW53" s="295" t="n"/>
      <c r="CX53" s="295" t="n"/>
      <c r="CY53" s="295" t="n"/>
    </row>
    <row r="54" ht="12.75" customHeight="1" s="255">
      <c r="C54" s="269" t="inlineStr">
        <is>
          <t>COGS (cash)</t>
        </is>
      </c>
      <c r="D54" s="301">
        <f>INDEX('Inputs (2)'!$D$5:$AL$5,MATCH(D$7,'Inputs (2)'!$D$2:$AL$2,0))</f>
        <v>-8886</v>
      </c>
      <c r="E54" s="301">
        <f>INDEX('Inputs (2)'!$D$5:$AL$5,MATCH(E$7,'Inputs (2)'!$D$2:$AL$2,0))</f>
        <v>-8253</v>
      </c>
      <c r="F54" s="301">
        <f>INDEX('Inputs (2)'!$D$5:$AL$5,MATCH(F$7,'Inputs (2)'!$D$2:$AL$2,0))</f>
        <v>-9451</v>
      </c>
      <c r="G54" s="301">
        <f>INDEX('Inputs (2)'!$D$5:$AL$5,MATCH(G$7,'Inputs (2)'!$D$2:$AL$2,0))</f>
        <v>-11594</v>
      </c>
      <c r="H54" s="268">
        <f>SUM(D54:G54)</f>
        <v>-38184</v>
      </c>
      <c r="I54" s="301">
        <f>INDEX('Inputs (2)'!$D$5:$AL$5,MATCH(I$7,'Inputs (2)'!$D$2:$AL$2,0))</f>
        <v>-11708</v>
      </c>
      <c r="J54" s="301">
        <f>INDEX('Inputs (2)'!$D$5:$AL$5,MATCH(J$7,'Inputs (2)'!$D$2:$AL$2,0))</f>
        <v>-14620</v>
      </c>
      <c r="K54" s="301">
        <f>INDEX('Inputs (2)'!$D$5:$AL$5,MATCH(K$7,'Inputs (2)'!$D$2:$AL$2,0))</f>
        <v>-13150</v>
      </c>
      <c r="L54" s="301">
        <f>INDEX('Inputs (2)'!$D$5:$AL$5,MATCH(L$7,'Inputs (2)'!$D$2:$AL$2,0))</f>
        <v>-15887</v>
      </c>
      <c r="M54" s="268">
        <f>SUM(I54:L54)</f>
        <v>-55365</v>
      </c>
      <c r="N54" s="301">
        <f>INDEX('Inputs (2)'!$D$5:$AL$5,MATCH(N$7,'Inputs (2)'!$D$2:$AL$2,0))</f>
        <v>-14574</v>
      </c>
      <c r="O54" s="301">
        <f>INDEX('Inputs (2)'!$D$5:$AL$5,MATCH(O$7,'Inputs (2)'!$D$2:$AL$2,0))</f>
        <v>-17059</v>
      </c>
      <c r="P54" s="301">
        <f>INDEX('Inputs (2)'!$D$5:$AL$5,MATCH(P$7,'Inputs (2)'!$D$2:$AL$2,0))</f>
        <v>-15770</v>
      </c>
      <c r="Q54" s="301">
        <f>INDEX('Inputs (2)'!$D$5:$AL$5,MATCH(Q$7,'Inputs (2)'!$D$2:$AL$2,0))</f>
        <v>-15739</v>
      </c>
      <c r="R54" s="268">
        <f>SUM(N54:Q54)</f>
        <v>-63142</v>
      </c>
      <c r="S54" s="301">
        <f>INDEX('Inputs (2)'!$D$5:$AL$5,MATCH(S$7,'Inputs (2)'!$D$2:$AL$2,0))</f>
        <v>-14045</v>
      </c>
      <c r="T54" s="301">
        <f>INDEX('Inputs (2)'!$D$5:$AL$5,MATCH(T$7,'Inputs (2)'!$D$2:$AL$2,0))</f>
        <v>-13578</v>
      </c>
      <c r="U54" s="301">
        <f>INDEX('Inputs (2)'!$D$5:$AL$5,MATCH(U$7,'Inputs (2)'!$D$2:$AL$2,0))</f>
        <v>-13073</v>
      </c>
      <c r="V54" s="301">
        <f>INDEX('Inputs (2)'!$D$5:$AL$5,MATCH(V$7,'Inputs (2)'!$D$2:$AL$2,0))</f>
        <v>-13548</v>
      </c>
      <c r="W54" s="268">
        <f>SUM(S54:V54)</f>
        <v>-54244</v>
      </c>
      <c r="X54" s="301">
        <f>INDEX('Inputs (2)'!$D$5:$AL$5,MATCH(X$7,'Inputs (2)'!$D$2:$AL$2,0))</f>
        <v>-12429</v>
      </c>
      <c r="Y54" s="301">
        <f>INDEX('Inputs (2)'!$D$5:$AL$5,MATCH(Y$7,'Inputs (2)'!$D$2:$AL$2,0))</f>
        <v>-12463</v>
      </c>
      <c r="Z54" s="301">
        <f>INDEX('Inputs (2)'!$D$5:$AL$5,MATCH(Z$7,'Inputs (2)'!$D$2:$AL$2,0))</f>
        <v>-12017</v>
      </c>
      <c r="AA54" s="301">
        <f>INDEX('Inputs (2)'!$D$5:$AL$5,MATCH(AA$7,'Inputs (2)'!$D$2:$AL$2,0))</f>
        <v>-12338</v>
      </c>
      <c r="AB54" s="268">
        <f>SUM(X54:AA54)</f>
        <v>-49247</v>
      </c>
      <c r="AC54" s="301">
        <f>INDEX('Inputs (2)'!$D$5:$AL$5,MATCH(AC$7,'Inputs (2)'!$D$2:$AL$2,0))</f>
        <v>-10926</v>
      </c>
      <c r="AD54" s="301">
        <f>INDEX('Inputs (2)'!$D$5:$AL$5,MATCH(AD$7,'Inputs (2)'!$D$2:$AL$2,0))</f>
        <v>-11915</v>
      </c>
      <c r="AE54" s="301">
        <f>INDEX('Inputs (2)'!$D$5:$AL$5,MATCH(AE$7,'Inputs (2)'!$D$2:$AL$2,0))</f>
        <v>-20851</v>
      </c>
      <c r="AF54" s="301">
        <f>INDEX('Inputs (2)'!$D$5:$AL$5,MATCH(AF$7,'Inputs (2)'!$D$2:$AL$2,0))</f>
        <v>-22525</v>
      </c>
      <c r="AG54" s="268">
        <f>SUM(AC54:AF54)</f>
        <v>-66217</v>
      </c>
      <c r="AH54" s="268">
        <f>INDEX('Inputs (2)'!$D$5:$AL$5,MATCH(AH$7,'Inputs (2)'!$D$2:$AL$2,0))</f>
        <v>-20857</v>
      </c>
      <c r="AI54" s="268">
        <f>INDEX('Inputs (2)'!$D$5:$AL$5,MATCH(AI$7,'Inputs (2)'!$D$2:$AL$2,0))</f>
        <v>-22104</v>
      </c>
      <c r="AJ54" s="268">
        <f>(100%-AJ55)*-AJ15</f>
        <v>-22155</v>
      </c>
      <c r="AK54" s="268">
        <f>(100%-AK55)*-AK15</f>
        <v>-23762</v>
      </c>
      <c r="AL54" s="268">
        <f>SUM(AH54:AK54)</f>
        <v>-88878</v>
      </c>
      <c r="AM54" s="268">
        <f>(100%-AM55)*-AM15</f>
        <v>-21861</v>
      </c>
      <c r="AN54" s="268">
        <f>(100%-AN55)*-AN15</f>
        <v>-24041</v>
      </c>
      <c r="AO54" s="268">
        <f>(100%-AO55)*-AO15</f>
        <v>-22155</v>
      </c>
      <c r="AP54" s="268">
        <f>(100%-AP55)*-AP15</f>
        <v>-23762</v>
      </c>
      <c r="AQ54" s="268">
        <f>SUM(AM54:AP54)</f>
        <v>-91819</v>
      </c>
      <c r="AR54" s="268">
        <f>(100%-AR55)*-AR15</f>
        <v>-21861</v>
      </c>
      <c r="AS54" s="268">
        <f>(100%-AS55)*-AS15</f>
        <v>-24041</v>
      </c>
      <c r="AT54" s="268">
        <f>(100%-AT55)*-AT15</f>
        <v>-22155</v>
      </c>
      <c r="AU54" s="268">
        <f>(100%-AU55)*-AU15</f>
        <v>-23762</v>
      </c>
      <c r="AV54" s="268">
        <f>SUM(AR54:AU54)</f>
        <v>-91819</v>
      </c>
      <c r="AW54" s="268">
        <f>(100%-AW55)*-AW15</f>
        <v>-21861</v>
      </c>
      <c r="AX54" s="268">
        <f>(100%-AX55)*-AX15</f>
        <v>-24041</v>
      </c>
      <c r="AY54" s="268">
        <f>(100%-AY55)*-AY15</f>
        <v>-22155</v>
      </c>
      <c r="AZ54" s="268">
        <f>(100%-AZ55)*-AZ15</f>
        <v>-23762</v>
      </c>
      <c r="BA54" s="268">
        <f>SUM(AW54:AZ54)</f>
        <v>-91819</v>
      </c>
      <c r="BB54" s="268">
        <f>(100%-BB55)*-BB15</f>
        <v>-21861</v>
      </c>
      <c r="BC54" s="268">
        <f>(100%-BC55)*-BC15</f>
        <v>-24041</v>
      </c>
      <c r="BD54" s="268">
        <f>(100%-BD55)*-BD15</f>
        <v>-22155</v>
      </c>
      <c r="BE54" s="268">
        <f>(100%-BE55)*-BE15</f>
        <v>-23762</v>
      </c>
      <c r="BF54" s="268">
        <f>SUM(BB54:BE54)</f>
        <v>-91819</v>
      </c>
      <c r="BG54" s="268">
        <f>(100%-BG55)*-BG15</f>
        <v>-21861</v>
      </c>
      <c r="BH54" s="268">
        <f>(100%-BH55)*-BH15</f>
        <v>-24041</v>
      </c>
      <c r="BI54" s="268">
        <f>(100%-BI55)*-BI15</f>
        <v>-22155</v>
      </c>
      <c r="BJ54" s="268">
        <f>(100%-BJ55)*-BJ15</f>
        <v>-23762</v>
      </c>
      <c r="BK54" s="268">
        <f>SUM(BG54:BJ54)</f>
        <v>-91819</v>
      </c>
      <c r="BL54" s="268">
        <f>(100%-BL55)*-BL15</f>
        <v>-21861</v>
      </c>
      <c r="BM54" s="268">
        <f>(100%-BM55)*-BM15</f>
        <v>-24041</v>
      </c>
      <c r="BN54" s="268">
        <f>(100%-BN55)*-BN15</f>
        <v>-22155</v>
      </c>
      <c r="BO54" s="268">
        <f>(100%-BO55)*-BO15</f>
        <v>-23762</v>
      </c>
      <c r="BP54" s="268">
        <f>SUM(BL54:BO54)</f>
        <v>-91819</v>
      </c>
      <c r="BQ54" s="268">
        <f>(100%-BQ55)*-BQ15</f>
        <v>-21861</v>
      </c>
      <c r="BR54" s="268">
        <f>(100%-BR55)*-BR15</f>
        <v>-24041</v>
      </c>
      <c r="BS54" s="268">
        <f>(100%-BS55)*-BS15</f>
        <v>-22155</v>
      </c>
      <c r="BT54" s="268">
        <f>(100%-BT55)*-BT15</f>
        <v>-23762</v>
      </c>
      <c r="BU54" s="268">
        <f>SUM(BQ54:BT54)</f>
        <v>-91819</v>
      </c>
      <c r="BV54" s="268">
        <f>(100%-BV55)*-BV15</f>
        <v>-21861</v>
      </c>
      <c r="BW54" s="268">
        <f>(100%-BW55)*-BW15</f>
        <v>-24041</v>
      </c>
      <c r="BX54" s="268">
        <f>(100%-BX55)*-BX15</f>
        <v>-22155</v>
      </c>
      <c r="BY54" s="268">
        <f>(100%-BY55)*-BY15</f>
        <v>-23762</v>
      </c>
      <c r="BZ54" s="268">
        <f>SUM(BV54:BY54)</f>
        <v>-91819</v>
      </c>
      <c r="CA54" s="268">
        <f>(100%-CA55)*-CA15</f>
        <v>-21861</v>
      </c>
      <c r="CB54" s="268">
        <f>(100%-CB55)*-CB15</f>
        <v>-24041</v>
      </c>
      <c r="CC54" s="268">
        <f>(100%-CC55)*-CC15</f>
        <v>-22155</v>
      </c>
      <c r="CD54" s="268">
        <f>(100%-CD55)*-CD15</f>
        <v>-23762</v>
      </c>
      <c r="CE54" s="268">
        <f>SUM(CA54:CD54)</f>
        <v>-91819</v>
      </c>
      <c r="CF54" s="268">
        <f>(100%-CF55)*-CF15</f>
        <v>-21861</v>
      </c>
      <c r="CG54" s="268">
        <f>(100%-CG55)*-CG15</f>
        <v>-24041</v>
      </c>
      <c r="CH54" s="268">
        <f>(100%-CH55)*-CH15</f>
        <v>-22155</v>
      </c>
      <c r="CI54" s="268">
        <f>(100%-CI55)*-CI15</f>
        <v>-23762</v>
      </c>
      <c r="CJ54" s="268">
        <f>SUM(CF54:CI54)</f>
        <v>-91819</v>
      </c>
      <c r="CK54" s="268">
        <f>(100%-CK55)*-CK15</f>
        <v>-21861</v>
      </c>
      <c r="CL54" s="268">
        <f>(100%-CL55)*-CL15</f>
        <v>-24041</v>
      </c>
      <c r="CM54" s="268">
        <f>(100%-CM55)*-CM15</f>
        <v>-22155</v>
      </c>
      <c r="CN54" s="268">
        <f>(100%-CN55)*-CN15</f>
        <v>-23762</v>
      </c>
      <c r="CO54" s="268">
        <f>SUM(CK54:CN54)</f>
        <v>-91819</v>
      </c>
      <c r="CP54" s="268">
        <f>(100%-CP55)*-CP15</f>
        <v>-21861</v>
      </c>
      <c r="CQ54" s="268">
        <f>(100%-CQ55)*-CQ15</f>
        <v>-24041</v>
      </c>
      <c r="CR54" s="268">
        <f>(100%-CR55)*-CR15</f>
        <v>-22155</v>
      </c>
      <c r="CS54" s="268">
        <f>(100%-CS55)*-CS15</f>
        <v>-23762</v>
      </c>
      <c r="CT54" s="268">
        <f>SUM(CP54:CS54)</f>
        <v>-91819</v>
      </c>
      <c r="CU54" s="268">
        <f>(100%-CU55)*-CU15</f>
        <v>-21861</v>
      </c>
      <c r="CV54" s="268">
        <f>(100%-CV55)*-CV15</f>
        <v>-24041</v>
      </c>
      <c r="CW54" s="268">
        <f>(100%-CW55)*-CW15</f>
        <v>-22155</v>
      </c>
      <c r="CX54" s="268">
        <f>(100%-CX55)*-CX15</f>
        <v>-23762</v>
      </c>
      <c r="CY54" s="268">
        <f>SUM(CU54:CX54)</f>
        <v>-91819</v>
      </c>
    </row>
    <row r="55" hidden="1" outlineLevel="1" ht="12.75" customFormat="1" customHeight="1" s="259">
      <c r="C55" s="302" t="inlineStr">
        <is>
          <t>% Gross Margin</t>
        </is>
      </c>
      <c r="D55" s="303">
        <f>(D15+D54)/D$15</f>
        <v>0.0312874741087976</v>
      </c>
      <c r="E55" s="303">
        <f>(E15+E54)/E$15</f>
        <v>0.127774254914394</v>
      </c>
      <c r="F55" s="303">
        <f>(F15+F54)/F$15</f>
        <v>0.0696918988089379</v>
      </c>
      <c r="G55" s="303">
        <f>(G15+G54)/G$15</f>
        <v>0.0805709754163363</v>
      </c>
      <c r="H55" s="303">
        <f>(H15+H54)/H$15</f>
        <v>0.0777702637426336</v>
      </c>
      <c r="I55" s="303">
        <f>(I15+I54)/I$15</f>
        <v>0.096674639302523</v>
      </c>
      <c r="J55" s="303">
        <f>(J15+J54)/J$15</f>
        <v>0.0500942109024755</v>
      </c>
      <c r="K55" s="303">
        <f>(K15+K54)/K$15</f>
        <v>0.0684989728695899</v>
      </c>
      <c r="L55" s="303">
        <f>(L15+L54)/L$15</f>
        <v>0.0477132410237967</v>
      </c>
      <c r="M55" s="303">
        <f>(M15+M54)/M$15</f>
        <v>0.064021503922099</v>
      </c>
      <c r="N55" s="303">
        <f>(N15+N54)/N$15</f>
        <v>0.0822418136020151</v>
      </c>
      <c r="O55" s="303">
        <f>(O15+O54)/O$15</f>
        <v>0.0487369653711036</v>
      </c>
      <c r="P55" s="303">
        <f>(P15+P54)/P$15</f>
        <v>0.0590130676054657</v>
      </c>
      <c r="Q55" s="303">
        <f>(Q15+Q54)/Q$15</f>
        <v>0.0552821128451381</v>
      </c>
      <c r="R55" s="303">
        <f>(R15+R54)/R$15</f>
        <v>0.0608341266063779</v>
      </c>
      <c r="S55" s="303">
        <f>(S15+S54)/S$15</f>
        <v>0.0837030271398747</v>
      </c>
      <c r="T55" s="303">
        <f>(T15+T54)/T$15</f>
        <v>0.0977473586284803</v>
      </c>
      <c r="U55" s="303">
        <f>(U15+U54)/U$15</f>
        <v>0.0811133759752583</v>
      </c>
      <c r="V55" s="303">
        <f>(V15+V54)/V$15</f>
        <v>0.0929298339582217</v>
      </c>
      <c r="W55" s="303">
        <f>(W15+W54)/W$15</f>
        <v>0.0889486059791737</v>
      </c>
      <c r="X55" s="303">
        <f>(X15+X54)/X$15</f>
        <v>0.073637922039204</v>
      </c>
      <c r="Y55" s="303">
        <f>(Y15+Y54)/Y$15</f>
        <v>0.0587568914734537</v>
      </c>
      <c r="Z55" s="303">
        <f>(Z15+Z54)/Z$15</f>
        <v>0.0690269600247908</v>
      </c>
      <c r="AA55" s="303">
        <f>(AA15+AA54)/AA$15</f>
        <v>0.0889085807118594</v>
      </c>
      <c r="AB55" s="303">
        <f>(AB15+AB54)/AB$15</f>
        <v>0.0727009113504557</v>
      </c>
      <c r="AC55" s="303">
        <f>(AC15+AC54)/AC$15</f>
        <v>0.0615820664777119</v>
      </c>
      <c r="AD55" s="303">
        <f>(AD15+AD54)/AD$15</f>
        <v>0.0668807267601222</v>
      </c>
      <c r="AE55" s="303">
        <f>(AE15+AE54)/AE$15</f>
        <v>0.0588580455879034</v>
      </c>
      <c r="AF55" s="297">
        <f>(AF15+AF54)/AF$15</f>
        <v>0.0520579075835367</v>
      </c>
      <c r="AG55" s="303">
        <f>(AG15+AG54)/AG$15</f>
        <v>0.0584680572736709</v>
      </c>
      <c r="AH55" s="304">
        <f>(AH15+AH54)/AH$15</f>
        <v>0.0459265358400805</v>
      </c>
      <c r="AI55" s="304">
        <f>(AI15+AI54)/AI$15</f>
        <v>0.0805706917349528</v>
      </c>
      <c r="AJ55" s="304" t="n"/>
      <c r="AK55" s="304" t="n"/>
      <c r="AL55" s="303">
        <f>(AL15+AL54)/AL$15</f>
        <v>0.0320304076498328</v>
      </c>
      <c r="AM55" s="304" t="n"/>
      <c r="AN55" s="304" t="n"/>
      <c r="AO55" s="304" t="n"/>
      <c r="AP55" s="304" t="n"/>
      <c r="AQ55" s="303">
        <f>(AQ15+AQ54)/AQ$15</f>
        <v>0</v>
      </c>
      <c r="AR55" s="304" t="n"/>
      <c r="AS55" s="304" t="n"/>
      <c r="AT55" s="304" t="n"/>
      <c r="AU55" s="304" t="n"/>
      <c r="AV55" s="303">
        <f>(AV15+AV54)/AV$15</f>
        <v>0</v>
      </c>
      <c r="AW55" s="304" t="n"/>
      <c r="AX55" s="304" t="n"/>
      <c r="AY55" s="304" t="n"/>
      <c r="AZ55" s="304" t="n"/>
      <c r="BA55" s="303">
        <f>(BA15+BA54)/BA$15</f>
        <v>0</v>
      </c>
      <c r="BB55" s="304" t="n"/>
      <c r="BC55" s="304" t="n"/>
      <c r="BD55" s="304" t="n"/>
      <c r="BE55" s="304" t="n"/>
      <c r="BF55" s="303">
        <f>(BF15+BF54)/BF$15</f>
        <v>0</v>
      </c>
      <c r="BG55" s="304" t="n"/>
      <c r="BH55" s="304" t="n"/>
      <c r="BI55" s="304" t="n"/>
      <c r="BJ55" s="304" t="n"/>
      <c r="BK55" s="303">
        <f>(BK15+BK54)/BK$15</f>
        <v>0</v>
      </c>
      <c r="BL55" s="304" t="n"/>
      <c r="BM55" s="304" t="n"/>
      <c r="BN55" s="304" t="n"/>
      <c r="BO55" s="304" t="n"/>
      <c r="BP55" s="303">
        <f>(BP15+BP54)/BP$15</f>
        <v>0</v>
      </c>
      <c r="BQ55" s="304" t="n"/>
      <c r="BR55" s="304" t="n"/>
      <c r="BS55" s="304" t="n"/>
      <c r="BT55" s="304" t="n"/>
      <c r="BU55" s="303">
        <f>(BU15+BU54)/BU$15</f>
        <v>0</v>
      </c>
      <c r="BV55" s="304" t="n"/>
      <c r="BW55" s="304" t="n"/>
      <c r="BX55" s="304" t="n"/>
      <c r="BY55" s="304" t="n"/>
      <c r="BZ55" s="303">
        <f>(BZ15+BZ54)/BZ$15</f>
        <v>0</v>
      </c>
      <c r="CA55" s="304" t="n"/>
      <c r="CB55" s="304" t="n"/>
      <c r="CC55" s="304" t="n"/>
      <c r="CD55" s="304" t="n"/>
      <c r="CE55" s="303">
        <f>(CE15+CE54)/CE$15</f>
        <v>0</v>
      </c>
      <c r="CF55" s="304" t="n"/>
      <c r="CG55" s="304" t="n"/>
      <c r="CH55" s="304" t="n"/>
      <c r="CI55" s="304" t="n"/>
      <c r="CJ55" s="303">
        <f>(CJ15+CJ54)/CJ$15</f>
        <v>0</v>
      </c>
      <c r="CK55" s="304" t="n"/>
      <c r="CL55" s="304" t="n"/>
      <c r="CM55" s="304" t="n"/>
      <c r="CN55" s="304" t="n"/>
      <c r="CO55" s="303">
        <f>(CO15+CO54)/CO$15</f>
        <v>0</v>
      </c>
      <c r="CP55" s="304" t="n"/>
      <c r="CQ55" s="304" t="n"/>
      <c r="CR55" s="304" t="n"/>
      <c r="CS55" s="304" t="n"/>
      <c r="CT55" s="303">
        <f>(CT15+CT54)/CT$15</f>
        <v>0</v>
      </c>
      <c r="CU55" s="304" t="n"/>
      <c r="CV55" s="304" t="n"/>
      <c r="CW55" s="304" t="n"/>
      <c r="CX55" s="304" t="n"/>
      <c r="CY55" s="303">
        <f>(CY15+CY54)/CY$15</f>
        <v>0</v>
      </c>
    </row>
    <row r="56" hidden="1" outlineLevel="1" ht="12.75" customHeight="1" s="255">
      <c r="C56" s="305" t="n"/>
      <c r="D56" s="305" t="n"/>
      <c r="E56" s="305" t="n"/>
      <c r="F56" s="305" t="n"/>
      <c r="G56" s="305" t="n"/>
      <c r="H56" s="305" t="n"/>
      <c r="I56" s="305" t="n"/>
      <c r="J56" s="305" t="n"/>
      <c r="K56" s="305" t="n"/>
      <c r="L56" s="305" t="n"/>
      <c r="M56" s="305" t="n"/>
      <c r="N56" s="305" t="n"/>
      <c r="O56" s="305" t="n"/>
      <c r="P56" s="305" t="n"/>
      <c r="Q56" s="305" t="n"/>
      <c r="R56" s="305" t="n"/>
      <c r="S56" s="305" t="n"/>
      <c r="T56" s="305" t="n"/>
      <c r="U56" s="305" t="n"/>
      <c r="V56" s="305" t="n"/>
      <c r="W56" s="305" t="n"/>
      <c r="X56" s="305" t="n"/>
      <c r="Y56" s="305" t="n"/>
      <c r="Z56" s="305" t="n"/>
      <c r="AA56" s="305" t="n"/>
      <c r="AB56" s="305" t="n"/>
      <c r="AC56" s="305" t="n"/>
      <c r="AD56" s="305" t="n"/>
      <c r="AE56" s="305" t="n"/>
      <c r="AF56" s="305" t="n"/>
      <c r="AG56" s="305" t="n"/>
      <c r="AH56" s="305" t="n"/>
      <c r="AI56" s="305" t="n"/>
      <c r="AJ56" s="305" t="n"/>
      <c r="AK56" s="305" t="n"/>
      <c r="AL56" s="305" t="n"/>
      <c r="AM56" s="305" t="n"/>
      <c r="AN56" s="305" t="n"/>
      <c r="AO56" s="305" t="n"/>
      <c r="AP56" s="305" t="n"/>
      <c r="AQ56" s="305" t="n"/>
      <c r="AR56" s="305" t="n"/>
      <c r="AS56" s="305" t="n"/>
      <c r="AT56" s="305" t="n"/>
      <c r="AU56" s="305" t="n"/>
      <c r="AV56" s="305" t="n"/>
      <c r="AW56" s="305" t="n"/>
      <c r="AX56" s="305" t="n"/>
      <c r="AY56" s="305" t="n"/>
      <c r="AZ56" s="305" t="n"/>
      <c r="BA56" s="305" t="n"/>
      <c r="BB56" s="305" t="n"/>
      <c r="BC56" s="305" t="n"/>
      <c r="BD56" s="305" t="n"/>
      <c r="BE56" s="305" t="n"/>
      <c r="BF56" s="305" t="n"/>
      <c r="BG56" s="305" t="n"/>
      <c r="BH56" s="305" t="n"/>
      <c r="BI56" s="305" t="n"/>
      <c r="BJ56" s="305" t="n"/>
      <c r="BK56" s="305" t="n"/>
      <c r="BL56" s="305" t="n"/>
      <c r="BM56" s="305" t="n"/>
      <c r="BN56" s="305" t="n"/>
      <c r="BO56" s="305" t="n"/>
      <c r="BP56" s="305" t="n"/>
      <c r="BQ56" s="305" t="n"/>
      <c r="BR56" s="305" t="n"/>
      <c r="BS56" s="305" t="n"/>
      <c r="BT56" s="305" t="n"/>
      <c r="BU56" s="305" t="n"/>
      <c r="BV56" s="305" t="n"/>
      <c r="BW56" s="305" t="n"/>
      <c r="BX56" s="305" t="n"/>
      <c r="BY56" s="305" t="n"/>
      <c r="BZ56" s="305" t="n"/>
      <c r="CA56" s="305" t="n"/>
      <c r="CB56" s="305" t="n"/>
      <c r="CC56" s="305" t="n"/>
      <c r="CD56" s="305" t="n"/>
      <c r="CE56" s="305" t="n"/>
      <c r="CF56" s="305" t="n"/>
      <c r="CG56" s="305" t="n"/>
      <c r="CH56" s="305" t="n"/>
      <c r="CI56" s="305" t="n"/>
      <c r="CJ56" s="305" t="n"/>
      <c r="CK56" s="305" t="n"/>
      <c r="CL56" s="305" t="n"/>
      <c r="CM56" s="305" t="n"/>
      <c r="CN56" s="305" t="n"/>
      <c r="CO56" s="305" t="n"/>
      <c r="CP56" s="305" t="n"/>
      <c r="CQ56" s="305" t="n"/>
      <c r="CR56" s="305" t="n"/>
      <c r="CS56" s="305" t="n"/>
      <c r="CT56" s="305" t="n"/>
      <c r="CU56" s="305" t="n"/>
      <c r="CV56" s="305" t="n"/>
      <c r="CW56" s="305" t="n"/>
      <c r="CX56" s="305" t="n"/>
      <c r="CY56" s="305" t="n"/>
    </row>
    <row r="57" hidden="1" outlineLevel="1" ht="12.75" customHeight="1" s="255">
      <c r="C57" s="305" t="n"/>
      <c r="D57" s="305" t="n"/>
      <c r="E57" s="305" t="n"/>
      <c r="F57" s="305" t="n"/>
      <c r="G57" s="305" t="n"/>
      <c r="H57" s="305" t="n"/>
      <c r="I57" s="305" t="n"/>
      <c r="J57" s="305" t="n"/>
      <c r="K57" s="305" t="n"/>
      <c r="L57" s="305" t="n"/>
      <c r="M57" s="305" t="n"/>
      <c r="N57" s="305" t="n"/>
      <c r="O57" s="305" t="n"/>
      <c r="P57" s="305" t="n"/>
      <c r="Q57" s="305" t="n"/>
      <c r="R57" s="305" t="n"/>
      <c r="S57" s="305" t="n"/>
      <c r="T57" s="305" t="n"/>
      <c r="U57" s="305" t="n"/>
      <c r="V57" s="305" t="n"/>
      <c r="W57" s="305" t="n"/>
      <c r="X57" s="305" t="n"/>
      <c r="Y57" s="305" t="n"/>
      <c r="Z57" s="305" t="n"/>
      <c r="AA57" s="305" t="n"/>
      <c r="AB57" s="305" t="n"/>
      <c r="AC57" s="305" t="n"/>
      <c r="AD57" s="305" t="n"/>
      <c r="AE57" s="305" t="n"/>
      <c r="AF57" s="305" t="n"/>
      <c r="AG57" s="305" t="n"/>
      <c r="AH57" s="305" t="n"/>
      <c r="AI57" s="305" t="n"/>
      <c r="AJ57" s="305" t="n"/>
      <c r="AK57" s="305" t="n"/>
      <c r="AL57" s="305" t="n"/>
      <c r="AM57" s="305" t="n"/>
      <c r="AN57" s="305" t="n"/>
      <c r="AO57" s="305" t="n"/>
      <c r="AP57" s="305" t="n"/>
      <c r="AQ57" s="305" t="n"/>
      <c r="AR57" s="305" t="n"/>
      <c r="AS57" s="305" t="n"/>
      <c r="AT57" s="305" t="n"/>
      <c r="AU57" s="305" t="n"/>
      <c r="AV57" s="305" t="n"/>
      <c r="AW57" s="305" t="n"/>
      <c r="AX57" s="305" t="n"/>
      <c r="AY57" s="305" t="n"/>
      <c r="AZ57" s="305" t="n"/>
      <c r="BA57" s="305" t="n"/>
      <c r="BB57" s="305" t="n"/>
      <c r="BC57" s="305" t="n"/>
      <c r="BD57" s="305" t="n"/>
      <c r="BE57" s="305" t="n"/>
      <c r="BF57" s="305" t="n"/>
      <c r="BG57" s="305" t="n"/>
      <c r="BH57" s="305" t="n"/>
      <c r="BI57" s="305" t="n"/>
      <c r="BJ57" s="305" t="n"/>
      <c r="BK57" s="305" t="n"/>
      <c r="BL57" s="305" t="n"/>
      <c r="BM57" s="305" t="n"/>
      <c r="BN57" s="305" t="n"/>
      <c r="BO57" s="305" t="n"/>
      <c r="BP57" s="305" t="n"/>
      <c r="BQ57" s="305" t="n"/>
      <c r="BR57" s="305" t="n"/>
      <c r="BS57" s="305" t="n"/>
      <c r="BT57" s="305" t="n"/>
      <c r="BU57" s="305" t="n"/>
      <c r="BV57" s="305" t="n"/>
      <c r="BW57" s="305" t="n"/>
      <c r="BX57" s="305" t="n"/>
      <c r="BY57" s="305" t="n"/>
      <c r="BZ57" s="305" t="n"/>
      <c r="CA57" s="305" t="n"/>
      <c r="CB57" s="305" t="n"/>
      <c r="CC57" s="305" t="n"/>
      <c r="CD57" s="305" t="n"/>
      <c r="CE57" s="305" t="n"/>
      <c r="CF57" s="305" t="n"/>
      <c r="CG57" s="305" t="n"/>
      <c r="CH57" s="305" t="n"/>
      <c r="CI57" s="305" t="n"/>
      <c r="CJ57" s="305" t="n"/>
      <c r="CK57" s="305" t="n"/>
      <c r="CL57" s="305" t="n"/>
      <c r="CM57" s="305" t="n"/>
      <c r="CN57" s="305" t="n"/>
      <c r="CO57" s="305" t="n"/>
      <c r="CP57" s="305" t="n"/>
      <c r="CQ57" s="305" t="n"/>
      <c r="CR57" s="305" t="n"/>
      <c r="CS57" s="305" t="n"/>
      <c r="CT57" s="305" t="n"/>
      <c r="CU57" s="305" t="n"/>
      <c r="CV57" s="305" t="n"/>
      <c r="CW57" s="305" t="n"/>
      <c r="CX57" s="305" t="n"/>
      <c r="CY57" s="305" t="n"/>
    </row>
    <row r="58" ht="12.75" customHeight="1" s="255">
      <c r="C58" s="269" t="inlineStr">
        <is>
          <t>SG&amp;A and Other (cash)</t>
        </is>
      </c>
      <c r="D58" s="301">
        <f>INDEX('Inputs (2)'!$D$6:$AL$6,MATCH(D$7,'Inputs (2)'!$D$2:$AL$2,0))</f>
        <v>-295</v>
      </c>
      <c r="E58" s="301">
        <f>INDEX('Inputs (2)'!$D$6:$AL$6,MATCH(E$7,'Inputs (2)'!$D$2:$AL$2,0))</f>
        <v>-346</v>
      </c>
      <c r="F58" s="301">
        <f>INDEX('Inputs (2)'!$D$6:$AL$6,MATCH(F$7,'Inputs (2)'!$D$2:$AL$2,0))</f>
        <v>-352</v>
      </c>
      <c r="G58" s="301">
        <f>INDEX('Inputs (2)'!$D$6:$AL$6,MATCH(G$7,'Inputs (2)'!$D$2:$AL$2,0))</f>
        <v>-365</v>
      </c>
      <c r="H58" s="268">
        <f>SUM(D58:G58)</f>
        <v>-1358</v>
      </c>
      <c r="I58" s="301">
        <f>INDEX('Inputs (2)'!$D$6:$AL$6,MATCH(I$7,'Inputs (2)'!$D$2:$AL$2,0))</f>
        <v>-271</v>
      </c>
      <c r="J58" s="301">
        <f>INDEX('Inputs (2)'!$D$6:$AL$6,MATCH(J$7,'Inputs (2)'!$D$2:$AL$2,0))</f>
        <v>-297</v>
      </c>
      <c r="K58" s="301">
        <f>INDEX('Inputs (2)'!$D$6:$AL$6,MATCH(K$7,'Inputs (2)'!$D$2:$AL$2,0))</f>
        <v>-327</v>
      </c>
      <c r="L58" s="301">
        <f>INDEX('Inputs (2)'!$D$6:$AL$6,MATCH(L$7,'Inputs (2)'!$D$2:$AL$2,0))</f>
        <v>-338</v>
      </c>
      <c r="M58" s="268">
        <f>SUM(I58:L58)</f>
        <v>-1233</v>
      </c>
      <c r="N58" s="301">
        <f>INDEX('Inputs (2)'!$D$6:$AL$6,MATCH(N$7,'Inputs (2)'!$D$2:$AL$2,0))</f>
        <v>-308</v>
      </c>
      <c r="O58" s="301">
        <f>INDEX('Inputs (2)'!$D$6:$AL$6,MATCH(O$7,'Inputs (2)'!$D$2:$AL$2,0))</f>
        <v>-334</v>
      </c>
      <c r="P58" s="301">
        <f>INDEX('Inputs (2)'!$D$6:$AL$6,MATCH(P$7,'Inputs (2)'!$D$2:$AL$2,0))</f>
        <v>-337</v>
      </c>
      <c r="Q58" s="301">
        <f>INDEX('Inputs (2)'!$D$6:$AL$6,MATCH(Q$7,'Inputs (2)'!$D$2:$AL$2,0))</f>
        <v>-390</v>
      </c>
      <c r="R58" s="268">
        <f>SUM(N58:Q58)</f>
        <v>-1369</v>
      </c>
      <c r="S58" s="301">
        <f>INDEX('Inputs (2)'!$D$6:$AL$6,MATCH(S$7,'Inputs (2)'!$D$2:$AL$2,0))</f>
        <v>-353</v>
      </c>
      <c r="T58" s="301">
        <f>INDEX('Inputs (2)'!$D$6:$AL$6,MATCH(T$7,'Inputs (2)'!$D$2:$AL$2,0))</f>
        <v>-420</v>
      </c>
      <c r="U58" s="301">
        <f>INDEX('Inputs (2)'!$D$6:$AL$6,MATCH(U$7,'Inputs (2)'!$D$2:$AL$2,0))</f>
        <v>-447</v>
      </c>
      <c r="V58" s="301">
        <f>INDEX('Inputs (2)'!$D$6:$AL$6,MATCH(V$7,'Inputs (2)'!$D$2:$AL$2,0))</f>
        <v>-495</v>
      </c>
      <c r="W58" s="268">
        <f>SUM(S58:V58)</f>
        <v>-1715</v>
      </c>
      <c r="X58" s="301">
        <f>INDEX('Inputs (2)'!$D$6:$AL$6,MATCH(X$7,'Inputs (2)'!$D$2:$AL$2,0))</f>
        <v>-439</v>
      </c>
      <c r="Y58" s="301">
        <f>INDEX('Inputs (2)'!$D$6:$AL$6,MATCH(Y$7,'Inputs (2)'!$D$2:$AL$2,0))</f>
        <v>-449</v>
      </c>
      <c r="Z58" s="301">
        <f>INDEX('Inputs (2)'!$D$6:$AL$6,MATCH(Z$7,'Inputs (2)'!$D$2:$AL$2,0))</f>
        <v>-437</v>
      </c>
      <c r="AA58" s="301">
        <f>INDEX('Inputs (2)'!$D$6:$AL$6,MATCH(AA$7,'Inputs (2)'!$D$2:$AL$2,0))</f>
        <v>-451</v>
      </c>
      <c r="AB58" s="268">
        <f>SUM(X58:AA58)</f>
        <v>-1776</v>
      </c>
      <c r="AC58" s="301">
        <f>INDEX('Inputs (2)'!$D$6:$AL$6,MATCH(AC$7,'Inputs (2)'!$D$2:$AL$2,0))</f>
        <v>-380</v>
      </c>
      <c r="AD58" s="301">
        <f>INDEX('Inputs (2)'!$D$6:$AL$6,MATCH(AD$7,'Inputs (2)'!$D$2:$AL$2,0))</f>
        <v>-418</v>
      </c>
      <c r="AE58" s="301">
        <f>INDEX('Inputs (2)'!$D$6:$AL$6,MATCH(AE$7,'Inputs (2)'!$D$2:$AL$2,0))</f>
        <v>-678</v>
      </c>
      <c r="AF58" s="301">
        <f>INDEX('Inputs (2)'!$D$6:$AL$6,MATCH(AF$7,'Inputs (2)'!$D$2:$AL$2,0))</f>
        <v>-637</v>
      </c>
      <c r="AG58" s="268">
        <f>SUM(AC58:AF58)</f>
        <v>-2113</v>
      </c>
      <c r="AH58" s="268">
        <f>INDEX('Inputs (2)'!$D$6:$AL$6,MATCH(AH$7,'Inputs (2)'!$D$2:$AL$2,0))</f>
        <v>-531</v>
      </c>
      <c r="AI58" s="268">
        <f>INDEX('Inputs (2)'!$D$6:$AL$6,MATCH(AI$7,'Inputs (2)'!$D$2:$AL$2,0))</f>
        <v>-606</v>
      </c>
      <c r="AJ58" s="268">
        <f>-AJ15*AJ59</f>
        <v>0</v>
      </c>
      <c r="AK58" s="268">
        <f>-AK15*AK59</f>
        <v>0</v>
      </c>
      <c r="AL58" s="268">
        <f>SUM(AH58:AK58)</f>
        <v>-1137</v>
      </c>
      <c r="AM58" s="268">
        <f>-AM15*AM59</f>
        <v>0</v>
      </c>
      <c r="AN58" s="268">
        <f>-AN15*AN59</f>
        <v>0</v>
      </c>
      <c r="AO58" s="268">
        <f>-AO15*AO59</f>
        <v>0</v>
      </c>
      <c r="AP58" s="268">
        <f>-AP15*AP59</f>
        <v>0</v>
      </c>
      <c r="AQ58" s="268">
        <f>SUM(AM58:AP58)</f>
        <v>0</v>
      </c>
      <c r="AR58" s="268">
        <f>-AR15*AR59</f>
        <v>0</v>
      </c>
      <c r="AS58" s="268">
        <f>-AS15*AS59</f>
        <v>0</v>
      </c>
      <c r="AT58" s="268">
        <f>-AT15*AT59</f>
        <v>0</v>
      </c>
      <c r="AU58" s="268">
        <f>-AU15*AU59</f>
        <v>0</v>
      </c>
      <c r="AV58" s="268">
        <f>SUM(AR58:AU58)</f>
        <v>0</v>
      </c>
      <c r="AW58" s="268">
        <f>-AW15*AW59</f>
        <v>0</v>
      </c>
      <c r="AX58" s="268">
        <f>-AX15*AX59</f>
        <v>0</v>
      </c>
      <c r="AY58" s="268">
        <f>-AY15*AY59</f>
        <v>0</v>
      </c>
      <c r="AZ58" s="268">
        <f>-AZ15*AZ59</f>
        <v>0</v>
      </c>
      <c r="BA58" s="268">
        <f>SUM(AW58:AZ58)</f>
        <v>0</v>
      </c>
      <c r="BB58" s="268">
        <f>-BB15*BB59</f>
        <v>0</v>
      </c>
      <c r="BC58" s="268">
        <f>-BC15*BC59</f>
        <v>0</v>
      </c>
      <c r="BD58" s="268">
        <f>-BD15*BD59</f>
        <v>0</v>
      </c>
      <c r="BE58" s="268">
        <f>-BE15*BE59</f>
        <v>0</v>
      </c>
      <c r="BF58" s="268">
        <f>SUM(BB58:BE58)</f>
        <v>0</v>
      </c>
      <c r="BG58" s="268">
        <f>-BG15*BG59</f>
        <v>0</v>
      </c>
      <c r="BH58" s="268">
        <f>-BH15*BH59</f>
        <v>0</v>
      </c>
      <c r="BI58" s="268">
        <f>-BI15*BI59</f>
        <v>0</v>
      </c>
      <c r="BJ58" s="268">
        <f>-BJ15*BJ59</f>
        <v>0</v>
      </c>
      <c r="BK58" s="268">
        <f>SUM(BG58:BJ58)</f>
        <v>0</v>
      </c>
      <c r="BL58" s="268">
        <f>-BL15*BL59</f>
        <v>0</v>
      </c>
      <c r="BM58" s="268">
        <f>-BM15*BM59</f>
        <v>0</v>
      </c>
      <c r="BN58" s="268">
        <f>-BN15*BN59</f>
        <v>0</v>
      </c>
      <c r="BO58" s="268">
        <f>-BO15*BO59</f>
        <v>0</v>
      </c>
      <c r="BP58" s="268">
        <f>SUM(BL58:BO58)</f>
        <v>0</v>
      </c>
      <c r="BQ58" s="268">
        <f>-BQ15*BQ59</f>
        <v>0</v>
      </c>
      <c r="BR58" s="268">
        <f>-BR15*BR59</f>
        <v>0</v>
      </c>
      <c r="BS58" s="268">
        <f>-BS15*BS59</f>
        <v>0</v>
      </c>
      <c r="BT58" s="268">
        <f>-BT15*BT59</f>
        <v>0</v>
      </c>
      <c r="BU58" s="268">
        <f>SUM(BQ58:BT58)</f>
        <v>0</v>
      </c>
      <c r="BV58" s="268">
        <f>-BV15*BV59</f>
        <v>0</v>
      </c>
      <c r="BW58" s="268">
        <f>-BW15*BW59</f>
        <v>0</v>
      </c>
      <c r="BX58" s="268">
        <f>-BX15*BX59</f>
        <v>0</v>
      </c>
      <c r="BY58" s="268">
        <f>-BY15*BY59</f>
        <v>0</v>
      </c>
      <c r="BZ58" s="268">
        <f>SUM(BV58:BY58)</f>
        <v>0</v>
      </c>
      <c r="CA58" s="268">
        <f>-CA15*CA59</f>
        <v>0</v>
      </c>
      <c r="CB58" s="268">
        <f>-CB15*CB59</f>
        <v>0</v>
      </c>
      <c r="CC58" s="268">
        <f>-CC15*CC59</f>
        <v>0</v>
      </c>
      <c r="CD58" s="268">
        <f>-CD15*CD59</f>
        <v>0</v>
      </c>
      <c r="CE58" s="268">
        <f>SUM(CA58:CD58)</f>
        <v>0</v>
      </c>
      <c r="CF58" s="268">
        <f>-CF15*CF59</f>
        <v>0</v>
      </c>
      <c r="CG58" s="268">
        <f>-CG15*CG59</f>
        <v>0</v>
      </c>
      <c r="CH58" s="268">
        <f>-CH15*CH59</f>
        <v>0</v>
      </c>
      <c r="CI58" s="268">
        <f>-CI15*CI59</f>
        <v>0</v>
      </c>
      <c r="CJ58" s="268">
        <f>SUM(CF58:CI58)</f>
        <v>0</v>
      </c>
      <c r="CK58" s="268">
        <f>-CK15*CK59</f>
        <v>0</v>
      </c>
      <c r="CL58" s="268">
        <f>-CL15*CL59</f>
        <v>0</v>
      </c>
      <c r="CM58" s="268">
        <f>-CM15*CM59</f>
        <v>0</v>
      </c>
      <c r="CN58" s="268">
        <f>-CN15*CN59</f>
        <v>0</v>
      </c>
      <c r="CO58" s="268">
        <f>SUM(CK58:CN58)</f>
        <v>0</v>
      </c>
      <c r="CP58" s="268">
        <f>-CP15*CP59</f>
        <v>0</v>
      </c>
      <c r="CQ58" s="268">
        <f>-CQ15*CQ59</f>
        <v>0</v>
      </c>
      <c r="CR58" s="268">
        <f>-CR15*CR59</f>
        <v>0</v>
      </c>
      <c r="CS58" s="268">
        <f>-CS15*CS59</f>
        <v>0</v>
      </c>
      <c r="CT58" s="268">
        <f>SUM(CP58:CS58)</f>
        <v>0</v>
      </c>
      <c r="CU58" s="268">
        <f>-CU15*CU59</f>
        <v>0</v>
      </c>
      <c r="CV58" s="268">
        <f>-CV15*CV59</f>
        <v>0</v>
      </c>
      <c r="CW58" s="268">
        <f>-CW15*CW59</f>
        <v>0</v>
      </c>
      <c r="CX58" s="268">
        <f>-CX15*CX59</f>
        <v>0</v>
      </c>
      <c r="CY58" s="268">
        <f>SUM(CU58:CX58)</f>
        <v>0</v>
      </c>
    </row>
    <row r="59" hidden="1" outlineLevel="1" ht="12.75" customHeight="1" s="255">
      <c r="C59" s="294" t="inlineStr">
        <is>
          <t>% SG&amp;A and Other Margin</t>
        </is>
      </c>
      <c r="D59" s="306">
        <f>-(D58/D$15)</f>
        <v>0.0321595988226316</v>
      </c>
      <c r="E59" s="306">
        <f>-(E58/E$15)</f>
        <v>0.036567321919256</v>
      </c>
      <c r="F59" s="306">
        <f>-(F58/F$15)</f>
        <v>0.0346490796338222</v>
      </c>
      <c r="G59" s="306">
        <f>-(G58/G$15)</f>
        <v>0.0289452815226011</v>
      </c>
      <c r="H59" s="306">
        <f>-(H58/H$15)</f>
        <v>0.032798763404502</v>
      </c>
      <c r="I59" s="306">
        <f>-(I58/I$15)</f>
        <v>0.0209088804876167</v>
      </c>
      <c r="J59" s="306">
        <f>-(J58/J$15)</f>
        <v>0.0192969917484244</v>
      </c>
      <c r="K59" s="306">
        <f>-(K58/K$15)</f>
        <v>0.0231635616632429</v>
      </c>
      <c r="L59" s="306">
        <f>-(L58/L$15)</f>
        <v>0.0202601450578433</v>
      </c>
      <c r="M59" s="306">
        <f>-(M58/M$15)</f>
        <v>0.0208446037327563</v>
      </c>
      <c r="N59" s="306">
        <f>-(N58/N$15)</f>
        <v>0.0193954659949622</v>
      </c>
      <c r="O59" s="306">
        <f>-(O58/O$15)</f>
        <v>0.0186248815033737</v>
      </c>
      <c r="P59" s="306">
        <f>-(P58/P$15)</f>
        <v>0.0201085983650576</v>
      </c>
      <c r="Q59" s="306">
        <f>-(Q58/Q$15)</f>
        <v>0.0234093637454982</v>
      </c>
      <c r="R59" s="306">
        <f>-(R58/R$15)</f>
        <v>0.0203623274631128</v>
      </c>
      <c r="S59" s="306">
        <f>-(S58/S$15)</f>
        <v>0.0230297494780793</v>
      </c>
      <c r="T59" s="306">
        <f>-(T58/T$15)</f>
        <v>0.0279088311515715</v>
      </c>
      <c r="U59" s="306">
        <f>-(U58/U$15)</f>
        <v>0.0314191326351304</v>
      </c>
      <c r="V59" s="306">
        <f>-(V58/V$15)</f>
        <v>0.0331414033208356</v>
      </c>
      <c r="W59" s="306">
        <f>-(W58/W$15)</f>
        <v>0.0288041652670474</v>
      </c>
      <c r="X59" s="306">
        <f>-(X58/X$15)</f>
        <v>0.0327196839830066</v>
      </c>
      <c r="Y59" s="306">
        <f>-(Y58/Y$15)</f>
        <v>0.0339098255418775</v>
      </c>
      <c r="Z59" s="306">
        <f>-(Z58/Z$15)</f>
        <v>0.0338549736597459</v>
      </c>
      <c r="AA59" s="306">
        <f>-(AA58/AA$15)</f>
        <v>0.0333037955988776</v>
      </c>
      <c r="AB59" s="306">
        <f>-(AB58/AB$15)</f>
        <v>0.0334412894479175</v>
      </c>
      <c r="AC59" s="306">
        <f>-(AC58/AC$15)</f>
        <v>0.0326376363480203</v>
      </c>
      <c r="AD59" s="306">
        <f>-(AD58/AD$15)</f>
        <v>0.0327355313650247</v>
      </c>
      <c r="AE59" s="306">
        <f>-(AE58/AE$15)</f>
        <v>0.0306025727826676</v>
      </c>
      <c r="AF59" s="297">
        <f>-(AF58/AF$15)</f>
        <v>0.0268075077855399</v>
      </c>
      <c r="AG59" s="306">
        <f>-(AG58/AG$15)</f>
        <v>0.0300445051116893</v>
      </c>
      <c r="AH59" s="307">
        <f>-(AH58/AH$15)</f>
        <v>0.0242898312062577</v>
      </c>
      <c r="AI59" s="307">
        <f>-(AI58/AI$15)</f>
        <v>0.0252069381473316</v>
      </c>
      <c r="AJ59" s="307" t="n"/>
      <c r="AK59" s="307" t="n"/>
      <c r="AL59" s="306">
        <f>-(AL58/AL$15)</f>
        <v>0.0123830579727507</v>
      </c>
      <c r="AM59" s="307" t="n"/>
      <c r="AN59" s="307" t="n"/>
      <c r="AO59" s="307" t="n"/>
      <c r="AP59" s="307" t="n"/>
      <c r="AQ59" s="306">
        <f>-(AQ58/AQ$15)</f>
        <v>0</v>
      </c>
      <c r="AR59" s="307" t="n"/>
      <c r="AS59" s="307" t="n"/>
      <c r="AT59" s="307" t="n"/>
      <c r="AU59" s="307" t="n"/>
      <c r="AV59" s="306">
        <f>-(AV58/AV$15)</f>
        <v>0</v>
      </c>
      <c r="AW59" s="307" t="n"/>
      <c r="AX59" s="307" t="n"/>
      <c r="AY59" s="307" t="n"/>
      <c r="AZ59" s="307" t="n"/>
      <c r="BA59" s="306">
        <f>-(BA58/BA$15)</f>
        <v>0</v>
      </c>
      <c r="BB59" s="307" t="n"/>
      <c r="BC59" s="307" t="n"/>
      <c r="BD59" s="307" t="n"/>
      <c r="BE59" s="307" t="n"/>
      <c r="BF59" s="306">
        <f>-(BF58/BF$15)</f>
        <v>0</v>
      </c>
      <c r="BG59" s="307" t="n"/>
      <c r="BH59" s="307" t="n"/>
      <c r="BI59" s="307" t="n"/>
      <c r="BJ59" s="307" t="n"/>
      <c r="BK59" s="306">
        <f>-(BK58/BK$15)</f>
        <v>0</v>
      </c>
      <c r="BL59" s="307" t="n"/>
      <c r="BM59" s="307" t="n"/>
      <c r="BN59" s="307" t="n"/>
      <c r="BO59" s="307" t="n"/>
      <c r="BP59" s="306">
        <f>-(BP58/BP$15)</f>
        <v>0</v>
      </c>
      <c r="BQ59" s="307" t="n"/>
      <c r="BR59" s="307" t="n"/>
      <c r="BS59" s="307" t="n"/>
      <c r="BT59" s="307" t="n"/>
      <c r="BU59" s="306">
        <f>-(BU58/BU$15)</f>
        <v>0</v>
      </c>
      <c r="BV59" s="307" t="n"/>
      <c r="BW59" s="307" t="n"/>
      <c r="BX59" s="307" t="n"/>
      <c r="BY59" s="307" t="n"/>
      <c r="BZ59" s="306">
        <f>-(BZ58/BZ$15)</f>
        <v>0</v>
      </c>
      <c r="CA59" s="307" t="n"/>
      <c r="CB59" s="307" t="n"/>
      <c r="CC59" s="307" t="n"/>
      <c r="CD59" s="307" t="n"/>
      <c r="CE59" s="306">
        <f>-(CE58/CE$15)</f>
        <v>0</v>
      </c>
      <c r="CF59" s="307" t="n"/>
      <c r="CG59" s="307" t="n"/>
      <c r="CH59" s="307" t="n"/>
      <c r="CI59" s="307" t="n"/>
      <c r="CJ59" s="306">
        <f>-(CJ58/CJ$15)</f>
        <v>0</v>
      </c>
      <c r="CK59" s="307" t="n"/>
      <c r="CL59" s="307" t="n"/>
      <c r="CM59" s="307" t="n"/>
      <c r="CN59" s="307" t="n"/>
      <c r="CO59" s="306">
        <f>-(CO58/CO$15)</f>
        <v>0</v>
      </c>
      <c r="CP59" s="307" t="n"/>
      <c r="CQ59" s="307" t="n"/>
      <c r="CR59" s="307" t="n"/>
      <c r="CS59" s="307" t="n"/>
      <c r="CT59" s="306">
        <f>-(CT58/CT$15)</f>
        <v>0</v>
      </c>
      <c r="CU59" s="307" t="n"/>
      <c r="CV59" s="307" t="n"/>
      <c r="CW59" s="307" t="n"/>
      <c r="CX59" s="307" t="n"/>
      <c r="CY59" s="306">
        <f>-(CY58/CY$15)</f>
        <v>0</v>
      </c>
    </row>
    <row r="60" hidden="1" outlineLevel="1" ht="12.75" customHeight="1" s="255">
      <c r="C60" s="305" t="n"/>
      <c r="D60" s="305" t="n"/>
      <c r="E60" s="305" t="n"/>
      <c r="F60" s="305" t="n"/>
      <c r="G60" s="305" t="n"/>
      <c r="H60" s="305" t="n"/>
      <c r="I60" s="305" t="n"/>
      <c r="J60" s="305" t="n"/>
      <c r="K60" s="305" t="n"/>
      <c r="L60" s="305" t="n"/>
      <c r="M60" s="305" t="n"/>
      <c r="N60" s="305" t="n"/>
      <c r="O60" s="305" t="n"/>
      <c r="P60" s="305" t="n"/>
      <c r="Q60" s="305" t="n"/>
      <c r="R60" s="305" t="n"/>
      <c r="S60" s="305" t="n"/>
      <c r="T60" s="305" t="n"/>
      <c r="U60" s="305" t="n"/>
      <c r="V60" s="305" t="n"/>
      <c r="W60" s="305" t="n"/>
      <c r="X60" s="305" t="n"/>
      <c r="Y60" s="305" t="n"/>
      <c r="Z60" s="305" t="n"/>
      <c r="AA60" s="305" t="n"/>
      <c r="AB60" s="305" t="n"/>
      <c r="AC60" s="305" t="n"/>
      <c r="AD60" s="305" t="n"/>
      <c r="AE60" s="305" t="n"/>
      <c r="AF60" s="305" t="n"/>
      <c r="AG60" s="305" t="n"/>
      <c r="AH60" s="305" t="n"/>
      <c r="AI60" s="305" t="n"/>
      <c r="AJ60" s="305" t="n"/>
      <c r="AK60" s="305" t="n"/>
      <c r="AL60" s="305" t="n"/>
      <c r="AM60" s="305" t="n"/>
      <c r="AN60" s="305" t="n"/>
      <c r="AO60" s="305" t="n"/>
      <c r="AP60" s="305" t="n"/>
      <c r="AQ60" s="305" t="n"/>
      <c r="AR60" s="305" t="n"/>
      <c r="AS60" s="305" t="n"/>
      <c r="AT60" s="305" t="n"/>
      <c r="AU60" s="305" t="n"/>
      <c r="AV60" s="305" t="n"/>
      <c r="AW60" s="305" t="n"/>
      <c r="AX60" s="305" t="n"/>
      <c r="AY60" s="305" t="n"/>
      <c r="AZ60" s="305" t="n"/>
      <c r="BA60" s="305" t="n"/>
      <c r="BB60" s="305" t="n"/>
      <c r="BC60" s="305" t="n"/>
      <c r="BD60" s="305" t="n"/>
      <c r="BE60" s="305" t="n"/>
      <c r="BF60" s="305" t="n"/>
      <c r="BG60" s="305" t="n"/>
      <c r="BH60" s="305" t="n"/>
      <c r="BI60" s="305" t="n"/>
      <c r="BJ60" s="305" t="n"/>
      <c r="BK60" s="305" t="n"/>
      <c r="BL60" s="305" t="n"/>
      <c r="BM60" s="305" t="n"/>
      <c r="BN60" s="305" t="n"/>
      <c r="BO60" s="305" t="n"/>
      <c r="BP60" s="305" t="n"/>
      <c r="BQ60" s="305" t="n"/>
      <c r="BR60" s="305" t="n"/>
      <c r="BS60" s="305" t="n"/>
      <c r="BT60" s="305" t="n"/>
      <c r="BU60" s="305" t="n"/>
      <c r="BV60" s="305" t="n"/>
      <c r="BW60" s="305" t="n"/>
      <c r="BX60" s="305" t="n"/>
      <c r="BY60" s="305" t="n"/>
      <c r="BZ60" s="305" t="n"/>
      <c r="CA60" s="305" t="n"/>
      <c r="CB60" s="305" t="n"/>
      <c r="CC60" s="305" t="n"/>
      <c r="CD60" s="305" t="n"/>
      <c r="CE60" s="305" t="n"/>
      <c r="CF60" s="305" t="n"/>
      <c r="CG60" s="305" t="n"/>
      <c r="CH60" s="305" t="n"/>
      <c r="CI60" s="305" t="n"/>
      <c r="CJ60" s="305" t="n"/>
      <c r="CK60" s="305" t="n"/>
      <c r="CL60" s="305" t="n"/>
      <c r="CM60" s="305" t="n"/>
      <c r="CN60" s="305" t="n"/>
      <c r="CO60" s="305" t="n"/>
      <c r="CP60" s="305" t="n"/>
      <c r="CQ60" s="305" t="n"/>
      <c r="CR60" s="305" t="n"/>
      <c r="CS60" s="305" t="n"/>
      <c r="CT60" s="305" t="n"/>
      <c r="CU60" s="305" t="n"/>
      <c r="CV60" s="305" t="n"/>
      <c r="CW60" s="305" t="n"/>
      <c r="CX60" s="305" t="n"/>
      <c r="CY60" s="305" t="n"/>
    </row>
    <row r="61" hidden="1" outlineLevel="1" ht="12.75" customHeight="1" s="255">
      <c r="C61" s="305" t="inlineStr">
        <is>
          <t>Com Vendas</t>
        </is>
      </c>
      <c r="D61" s="267" t="n"/>
      <c r="E61" s="267" t="n"/>
      <c r="F61" s="267" t="n"/>
      <c r="G61" s="267" t="n"/>
      <c r="H61" s="305" t="n"/>
      <c r="I61" s="267" t="n"/>
      <c r="J61" s="267" t="n"/>
      <c r="K61" s="267" t="n"/>
      <c r="L61" s="267" t="n"/>
      <c r="M61" s="305" t="n"/>
      <c r="N61" s="267" t="n"/>
      <c r="O61" s="267" t="n"/>
      <c r="P61" s="267" t="n"/>
      <c r="Q61" s="267" t="n"/>
      <c r="R61" s="305" t="n"/>
      <c r="S61" s="267" t="n"/>
      <c r="T61" s="267" t="n"/>
      <c r="U61" s="267" t="n"/>
      <c r="V61" s="267" t="n"/>
      <c r="W61" s="305" t="n"/>
      <c r="X61" s="267" t="n"/>
      <c r="Y61" s="267" t="n"/>
      <c r="Z61" s="267" t="n"/>
      <c r="AA61" s="267" t="n"/>
      <c r="AB61" s="305" t="n"/>
      <c r="AC61" s="267" t="n"/>
      <c r="AD61" s="267" t="n"/>
      <c r="AE61" s="267" t="n"/>
      <c r="AF61" s="267" t="n"/>
      <c r="AG61" s="305" t="n"/>
      <c r="AH61" s="305" t="n"/>
      <c r="AI61" s="305" t="n"/>
      <c r="AJ61" s="305" t="n"/>
      <c r="AK61" s="305" t="n"/>
      <c r="AL61" s="305" t="n"/>
      <c r="AM61" s="305" t="n"/>
      <c r="AN61" s="305" t="n"/>
      <c r="AO61" s="305" t="n"/>
      <c r="AP61" s="305" t="n"/>
      <c r="AQ61" s="305" t="n"/>
      <c r="AR61" s="305" t="n"/>
      <c r="AS61" s="305" t="n"/>
      <c r="AT61" s="305" t="n"/>
      <c r="AU61" s="305" t="n"/>
      <c r="AV61" s="305" t="n"/>
      <c r="AW61" s="305" t="n"/>
      <c r="AX61" s="305" t="n"/>
      <c r="AY61" s="305" t="n"/>
      <c r="AZ61" s="305" t="n"/>
      <c r="BA61" s="305" t="n"/>
      <c r="BB61" s="305" t="n"/>
      <c r="BC61" s="305" t="n"/>
      <c r="BD61" s="305" t="n"/>
      <c r="BE61" s="305" t="n"/>
      <c r="BF61" s="305" t="n"/>
      <c r="BG61" s="305" t="n"/>
      <c r="BH61" s="305" t="n"/>
      <c r="BI61" s="305" t="n"/>
      <c r="BJ61" s="305" t="n"/>
      <c r="BK61" s="305" t="n"/>
      <c r="BL61" s="305" t="n"/>
      <c r="BM61" s="305" t="n"/>
      <c r="BN61" s="305" t="n"/>
      <c r="BO61" s="305" t="n"/>
      <c r="BP61" s="305" t="n"/>
      <c r="BQ61" s="305" t="n"/>
      <c r="BR61" s="305" t="n"/>
      <c r="BS61" s="305" t="n"/>
      <c r="BT61" s="305" t="n"/>
      <c r="BU61" s="305" t="n"/>
      <c r="BV61" s="305" t="n"/>
      <c r="BW61" s="305" t="n"/>
      <c r="BX61" s="305" t="n"/>
      <c r="BY61" s="305" t="n"/>
      <c r="BZ61" s="305" t="n"/>
      <c r="CA61" s="305" t="n"/>
      <c r="CB61" s="305" t="n"/>
      <c r="CC61" s="305" t="n"/>
      <c r="CD61" s="305" t="n"/>
      <c r="CE61" s="305" t="n"/>
      <c r="CF61" s="305" t="n"/>
      <c r="CG61" s="305" t="n"/>
      <c r="CH61" s="305" t="n"/>
      <c r="CI61" s="305" t="n"/>
      <c r="CJ61" s="305" t="n"/>
      <c r="CK61" s="305" t="n"/>
      <c r="CL61" s="305" t="n"/>
      <c r="CM61" s="305" t="n"/>
      <c r="CN61" s="305" t="n"/>
      <c r="CO61" s="305" t="n"/>
      <c r="CP61" s="305" t="n"/>
      <c r="CQ61" s="305" t="n"/>
      <c r="CR61" s="305" t="n"/>
      <c r="CS61" s="305" t="n"/>
      <c r="CT61" s="305" t="n"/>
      <c r="CU61" s="305" t="n"/>
      <c r="CV61" s="305" t="n"/>
      <c r="CW61" s="305" t="n"/>
      <c r="CX61" s="305" t="n"/>
      <c r="CY61" s="305" t="n"/>
    </row>
    <row r="62" hidden="1" outlineLevel="1" ht="12.75" customHeight="1" s="255">
      <c r="C62" s="305" t="inlineStr">
        <is>
          <t>Gerais &amp; Administrativas</t>
        </is>
      </c>
      <c r="D62" s="267" t="n"/>
      <c r="E62" s="267" t="n"/>
      <c r="F62" s="267" t="n"/>
      <c r="G62" s="267" t="n"/>
      <c r="H62" s="305" t="n"/>
      <c r="I62" s="267" t="n"/>
      <c r="J62" s="267" t="n"/>
      <c r="K62" s="267" t="n"/>
      <c r="L62" s="267" t="n"/>
      <c r="M62" s="305" t="n"/>
      <c r="N62" s="267" t="n"/>
      <c r="O62" s="267" t="n"/>
      <c r="P62" s="267" t="n"/>
      <c r="Q62" s="267" t="n"/>
      <c r="R62" s="305" t="n"/>
      <c r="S62" s="267" t="n"/>
      <c r="T62" s="267" t="n"/>
      <c r="U62" s="267" t="n"/>
      <c r="V62" s="267" t="n"/>
      <c r="W62" s="305" t="n"/>
      <c r="X62" s="267" t="n"/>
      <c r="Y62" s="267" t="n"/>
      <c r="Z62" s="267" t="n"/>
      <c r="AA62" s="267" t="n"/>
      <c r="AB62" s="305" t="n"/>
      <c r="AC62" s="267" t="n"/>
      <c r="AD62" s="267" t="n"/>
      <c r="AE62" s="267" t="n"/>
      <c r="AF62" s="267" t="n"/>
      <c r="AG62" s="305" t="n"/>
      <c r="AH62" s="305" t="n"/>
      <c r="AI62" s="305" t="n"/>
      <c r="AJ62" s="305" t="n"/>
      <c r="AK62" s="305" t="n"/>
      <c r="AL62" s="305" t="n"/>
      <c r="AM62" s="305" t="n"/>
      <c r="AN62" s="305" t="n"/>
      <c r="AO62" s="305" t="n"/>
      <c r="AP62" s="305" t="n"/>
      <c r="AQ62" s="305" t="n"/>
      <c r="AR62" s="305" t="n"/>
      <c r="AS62" s="305" t="n"/>
      <c r="AT62" s="305" t="n"/>
      <c r="AU62" s="305" t="n"/>
      <c r="AV62" s="305" t="n"/>
      <c r="AW62" s="305" t="n"/>
      <c r="AX62" s="305" t="n"/>
      <c r="AY62" s="305" t="n"/>
      <c r="AZ62" s="305" t="n"/>
      <c r="BA62" s="305" t="n"/>
      <c r="BB62" s="305" t="n"/>
      <c r="BC62" s="305" t="n"/>
      <c r="BD62" s="305" t="n"/>
      <c r="BE62" s="305" t="n"/>
      <c r="BF62" s="305" t="n"/>
      <c r="BG62" s="305" t="n"/>
      <c r="BH62" s="305" t="n"/>
      <c r="BI62" s="305" t="n"/>
      <c r="BJ62" s="305" t="n"/>
      <c r="BK62" s="305" t="n"/>
      <c r="BL62" s="305" t="n"/>
      <c r="BM62" s="305" t="n"/>
      <c r="BN62" s="305" t="n"/>
      <c r="BO62" s="305" t="n"/>
      <c r="BP62" s="305" t="n"/>
      <c r="BQ62" s="305" t="n"/>
      <c r="BR62" s="305" t="n"/>
      <c r="BS62" s="305" t="n"/>
      <c r="BT62" s="305" t="n"/>
      <c r="BU62" s="305" t="n"/>
      <c r="BV62" s="305" t="n"/>
      <c r="BW62" s="305" t="n"/>
      <c r="BX62" s="305" t="n"/>
      <c r="BY62" s="305" t="n"/>
      <c r="BZ62" s="305" t="n"/>
      <c r="CA62" s="305" t="n"/>
      <c r="CB62" s="305" t="n"/>
      <c r="CC62" s="305" t="n"/>
      <c r="CD62" s="305" t="n"/>
      <c r="CE62" s="305" t="n"/>
      <c r="CF62" s="305" t="n"/>
      <c r="CG62" s="305" t="n"/>
      <c r="CH62" s="305" t="n"/>
      <c r="CI62" s="305" t="n"/>
      <c r="CJ62" s="305" t="n"/>
      <c r="CK62" s="305" t="n"/>
      <c r="CL62" s="305" t="n"/>
      <c r="CM62" s="305" t="n"/>
      <c r="CN62" s="305" t="n"/>
      <c r="CO62" s="305" t="n"/>
      <c r="CP62" s="305" t="n"/>
      <c r="CQ62" s="305" t="n"/>
      <c r="CR62" s="305" t="n"/>
      <c r="CS62" s="305" t="n"/>
      <c r="CT62" s="305" t="n"/>
      <c r="CU62" s="305" t="n"/>
      <c r="CV62" s="305" t="n"/>
      <c r="CW62" s="305" t="n"/>
      <c r="CX62" s="305" t="n"/>
      <c r="CY62" s="305" t="n"/>
    </row>
    <row r="63" hidden="1" outlineLevel="1" ht="12.75" customHeight="1" s="255">
      <c r="C63" s="305" t="inlineStr">
        <is>
          <t>Outras Receitas (Despesas) Operacionais, Líquidas</t>
        </is>
      </c>
      <c r="D63" s="267" t="n"/>
      <c r="E63" s="267" t="n"/>
      <c r="F63" s="267" t="n"/>
      <c r="G63" s="267" t="n"/>
      <c r="H63" s="305" t="n"/>
      <c r="I63" s="267" t="n"/>
      <c r="J63" s="267" t="n"/>
      <c r="K63" s="267" t="n"/>
      <c r="L63" s="267" t="n"/>
      <c r="M63" s="305" t="n"/>
      <c r="N63" s="267" t="n"/>
      <c r="O63" s="267" t="n"/>
      <c r="P63" s="267" t="n"/>
      <c r="Q63" s="267" t="n"/>
      <c r="R63" s="305" t="n"/>
      <c r="S63" s="267" t="n"/>
      <c r="T63" s="267" t="n"/>
      <c r="U63" s="267" t="n"/>
      <c r="V63" s="267" t="n"/>
      <c r="W63" s="305" t="n"/>
      <c r="X63" s="267" t="n"/>
      <c r="Y63" s="267" t="n"/>
      <c r="Z63" s="267" t="n"/>
      <c r="AA63" s="267" t="n"/>
      <c r="AB63" s="305" t="n"/>
      <c r="AC63" s="267" t="n"/>
      <c r="AD63" s="267" t="n"/>
      <c r="AE63" s="267" t="n"/>
      <c r="AF63" s="267" t="n"/>
      <c r="AG63" s="305" t="n"/>
      <c r="AH63" s="305" t="n"/>
      <c r="AI63" s="305" t="n"/>
      <c r="AJ63" s="305" t="n"/>
      <c r="AK63" s="305" t="n"/>
      <c r="AL63" s="305" t="n"/>
      <c r="AM63" s="305" t="n"/>
      <c r="AN63" s="305" t="n"/>
      <c r="AO63" s="305" t="n"/>
      <c r="AP63" s="305" t="n"/>
      <c r="AQ63" s="305" t="n"/>
      <c r="AR63" s="305" t="n"/>
      <c r="AS63" s="305" t="n"/>
      <c r="AT63" s="305" t="n"/>
      <c r="AU63" s="305" t="n"/>
      <c r="AV63" s="305" t="n"/>
      <c r="AW63" s="305" t="n"/>
      <c r="AX63" s="305" t="n"/>
      <c r="AY63" s="305" t="n"/>
      <c r="AZ63" s="305" t="n"/>
      <c r="BA63" s="305" t="n"/>
      <c r="BB63" s="305" t="n"/>
      <c r="BC63" s="305" t="n"/>
      <c r="BD63" s="305" t="n"/>
      <c r="BE63" s="305" t="n"/>
      <c r="BF63" s="305" t="n"/>
      <c r="BG63" s="305" t="n"/>
      <c r="BH63" s="305" t="n"/>
      <c r="BI63" s="305" t="n"/>
      <c r="BJ63" s="305" t="n"/>
      <c r="BK63" s="305" t="n"/>
      <c r="BL63" s="305" t="n"/>
      <c r="BM63" s="305" t="n"/>
      <c r="BN63" s="305" t="n"/>
      <c r="BO63" s="305" t="n"/>
      <c r="BP63" s="305" t="n"/>
      <c r="BQ63" s="305" t="n"/>
      <c r="BR63" s="305" t="n"/>
      <c r="BS63" s="305" t="n"/>
      <c r="BT63" s="305" t="n"/>
      <c r="BU63" s="305" t="n"/>
      <c r="BV63" s="305" t="n"/>
      <c r="BW63" s="305" t="n"/>
      <c r="BX63" s="305" t="n"/>
      <c r="BY63" s="305" t="n"/>
      <c r="BZ63" s="305" t="n"/>
      <c r="CA63" s="305" t="n"/>
      <c r="CB63" s="305" t="n"/>
      <c r="CC63" s="305" t="n"/>
      <c r="CD63" s="305" t="n"/>
      <c r="CE63" s="305" t="n"/>
      <c r="CF63" s="305" t="n"/>
      <c r="CG63" s="305" t="n"/>
      <c r="CH63" s="305" t="n"/>
      <c r="CI63" s="305" t="n"/>
      <c r="CJ63" s="305" t="n"/>
      <c r="CK63" s="305" t="n"/>
      <c r="CL63" s="305" t="n"/>
      <c r="CM63" s="305" t="n"/>
      <c r="CN63" s="305" t="n"/>
      <c r="CO63" s="305" t="n"/>
      <c r="CP63" s="305" t="n"/>
      <c r="CQ63" s="305" t="n"/>
      <c r="CR63" s="305" t="n"/>
      <c r="CS63" s="305" t="n"/>
      <c r="CT63" s="305" t="n"/>
      <c r="CU63" s="305" t="n"/>
      <c r="CV63" s="305" t="n"/>
      <c r="CW63" s="305" t="n"/>
      <c r="CX63" s="305" t="n"/>
      <c r="CY63" s="305" t="n"/>
    </row>
    <row r="64" hidden="1" outlineLevel="1" ht="12.75" customHeight="1" s="255">
      <c r="C64" s="305" t="n"/>
      <c r="D64" s="305" t="n"/>
      <c r="E64" s="305" t="n"/>
      <c r="F64" s="305" t="n"/>
      <c r="G64" s="305" t="n"/>
      <c r="H64" s="305" t="n"/>
      <c r="I64" s="305" t="n"/>
      <c r="J64" s="305" t="n"/>
      <c r="K64" s="305" t="n"/>
      <c r="L64" s="305" t="n"/>
      <c r="M64" s="305" t="n"/>
      <c r="N64" s="305" t="n"/>
      <c r="O64" s="305" t="n"/>
      <c r="P64" s="305" t="n"/>
      <c r="Q64" s="305" t="n"/>
      <c r="R64" s="305" t="n"/>
      <c r="S64" s="305" t="n"/>
      <c r="T64" s="305" t="n"/>
      <c r="U64" s="305" t="n"/>
      <c r="V64" s="305" t="n"/>
      <c r="W64" s="305" t="n"/>
      <c r="X64" s="305" t="n"/>
      <c r="Y64" s="305" t="n"/>
      <c r="Z64" s="305" t="n"/>
      <c r="AA64" s="305" t="n"/>
      <c r="AB64" s="305" t="n"/>
      <c r="AC64" s="305" t="n"/>
      <c r="AD64" s="305" t="n"/>
      <c r="AE64" s="305" t="n"/>
      <c r="AF64" s="305" t="n"/>
      <c r="AG64" s="305" t="n"/>
      <c r="AH64" s="305" t="n"/>
      <c r="AI64" s="305" t="n"/>
      <c r="AJ64" s="305" t="n"/>
      <c r="AK64" s="305" t="n"/>
      <c r="AL64" s="305" t="n"/>
      <c r="AM64" s="305" t="n"/>
      <c r="AN64" s="305" t="n"/>
      <c r="AO64" s="305" t="n"/>
      <c r="AP64" s="305" t="n"/>
      <c r="AQ64" s="305" t="n"/>
      <c r="AR64" s="305" t="n"/>
      <c r="AS64" s="305" t="n"/>
      <c r="AT64" s="305" t="n"/>
      <c r="AU64" s="305" t="n"/>
      <c r="AV64" s="305" t="n"/>
      <c r="AW64" s="305" t="n"/>
      <c r="AX64" s="305" t="n"/>
      <c r="AY64" s="305" t="n"/>
      <c r="AZ64" s="305" t="n"/>
      <c r="BA64" s="305" t="n"/>
      <c r="BB64" s="305" t="n"/>
      <c r="BC64" s="305" t="n"/>
      <c r="BD64" s="305" t="n"/>
      <c r="BE64" s="305" t="n"/>
      <c r="BF64" s="305" t="n"/>
      <c r="BG64" s="305" t="n"/>
      <c r="BH64" s="305" t="n"/>
      <c r="BI64" s="305" t="n"/>
      <c r="BJ64" s="305" t="n"/>
      <c r="BK64" s="305" t="n"/>
      <c r="BL64" s="305" t="n"/>
      <c r="BM64" s="305" t="n"/>
      <c r="BN64" s="305" t="n"/>
      <c r="BO64" s="305" t="n"/>
      <c r="BP64" s="305" t="n"/>
      <c r="BQ64" s="305" t="n"/>
      <c r="BR64" s="305" t="n"/>
      <c r="BS64" s="305" t="n"/>
      <c r="BT64" s="305" t="n"/>
      <c r="BU64" s="305" t="n"/>
      <c r="BV64" s="305" t="n"/>
      <c r="BW64" s="305" t="n"/>
      <c r="BX64" s="305" t="n"/>
      <c r="BY64" s="305" t="n"/>
      <c r="BZ64" s="305" t="n"/>
      <c r="CA64" s="305" t="n"/>
      <c r="CB64" s="305" t="n"/>
      <c r="CC64" s="305" t="n"/>
      <c r="CD64" s="305" t="n"/>
      <c r="CE64" s="305" t="n"/>
      <c r="CF64" s="305" t="n"/>
      <c r="CG64" s="305" t="n"/>
      <c r="CH64" s="305" t="n"/>
      <c r="CI64" s="305" t="n"/>
      <c r="CJ64" s="305" t="n"/>
      <c r="CK64" s="305" t="n"/>
      <c r="CL64" s="305" t="n"/>
      <c r="CM64" s="305" t="n"/>
      <c r="CN64" s="305" t="n"/>
      <c r="CO64" s="305" t="n"/>
      <c r="CP64" s="305" t="n"/>
      <c r="CQ64" s="305" t="n"/>
      <c r="CR64" s="305" t="n"/>
      <c r="CS64" s="305" t="n"/>
      <c r="CT64" s="305" t="n"/>
      <c r="CU64" s="305" t="n"/>
      <c r="CV64" s="305" t="n"/>
      <c r="CW64" s="305" t="n"/>
      <c r="CX64" s="305" t="n"/>
      <c r="CY64" s="305" t="n"/>
    </row>
    <row r="65" hidden="1" outlineLevel="1" ht="12.75" customHeight="1" s="255">
      <c r="C65" s="305" t="inlineStr">
        <is>
          <t>Com Vendas (%)</t>
        </is>
      </c>
      <c r="D65" s="305" t="n"/>
      <c r="E65" s="305" t="n"/>
      <c r="F65" s="305" t="n"/>
      <c r="G65" s="305" t="n"/>
      <c r="H65" s="305" t="n"/>
      <c r="I65" s="305" t="n"/>
      <c r="J65" s="305" t="n"/>
      <c r="K65" s="305" t="n"/>
      <c r="L65" s="305" t="n"/>
      <c r="M65" s="305" t="n"/>
      <c r="N65" s="305" t="n"/>
      <c r="O65" s="305" t="n"/>
      <c r="P65" s="305" t="n"/>
      <c r="Q65" s="305" t="n"/>
      <c r="R65" s="305" t="n"/>
      <c r="S65" s="305" t="n"/>
      <c r="T65" s="305" t="n"/>
      <c r="U65" s="305" t="n"/>
      <c r="V65" s="305" t="n"/>
      <c r="W65" s="305" t="n"/>
      <c r="X65" s="305" t="n"/>
      <c r="Y65" s="305" t="n"/>
      <c r="Z65" s="305" t="n"/>
      <c r="AA65" s="305" t="n"/>
      <c r="AB65" s="305" t="n"/>
      <c r="AC65" s="305" t="n"/>
      <c r="AD65" s="305" t="n"/>
      <c r="AE65" s="305" t="n"/>
      <c r="AF65" s="305" t="n"/>
      <c r="AG65" s="305" t="n"/>
      <c r="AH65" s="305" t="n"/>
      <c r="AI65" s="305" t="n"/>
      <c r="AJ65" s="305" t="n"/>
      <c r="AK65" s="305" t="n"/>
      <c r="AL65" s="305" t="n"/>
      <c r="AM65" s="305" t="n"/>
      <c r="AN65" s="305" t="n"/>
      <c r="AO65" s="305" t="n"/>
      <c r="AP65" s="305" t="n"/>
      <c r="AQ65" s="305" t="n"/>
      <c r="AR65" s="305" t="n"/>
      <c r="AS65" s="305" t="n"/>
      <c r="AT65" s="305" t="n"/>
      <c r="AU65" s="305" t="n"/>
      <c r="AV65" s="305" t="n"/>
      <c r="AW65" s="305" t="n"/>
      <c r="AX65" s="305" t="n"/>
      <c r="AY65" s="305" t="n"/>
      <c r="AZ65" s="305" t="n"/>
      <c r="BA65" s="305" t="n"/>
      <c r="BB65" s="305" t="n"/>
      <c r="BC65" s="305" t="n"/>
      <c r="BD65" s="305" t="n"/>
      <c r="BE65" s="305" t="n"/>
      <c r="BF65" s="305" t="n"/>
      <c r="BG65" s="305" t="n"/>
      <c r="BH65" s="305" t="n"/>
      <c r="BI65" s="305" t="n"/>
      <c r="BJ65" s="305" t="n"/>
      <c r="BK65" s="305" t="n"/>
      <c r="BL65" s="305" t="n"/>
      <c r="BM65" s="305" t="n"/>
      <c r="BN65" s="305" t="n"/>
      <c r="BO65" s="305" t="n"/>
      <c r="BP65" s="305" t="n"/>
      <c r="BQ65" s="305" t="n"/>
      <c r="BR65" s="305" t="n"/>
      <c r="BS65" s="305" t="n"/>
      <c r="BT65" s="305" t="n"/>
      <c r="BU65" s="305" t="n"/>
      <c r="BV65" s="305" t="n"/>
      <c r="BW65" s="305" t="n"/>
      <c r="BX65" s="305" t="n"/>
      <c r="BY65" s="305" t="n"/>
      <c r="BZ65" s="305" t="n"/>
      <c r="CA65" s="305" t="n"/>
      <c r="CB65" s="305" t="n"/>
      <c r="CC65" s="305" t="n"/>
      <c r="CD65" s="305" t="n"/>
      <c r="CE65" s="305" t="n"/>
      <c r="CF65" s="305" t="n"/>
      <c r="CG65" s="305" t="n"/>
      <c r="CH65" s="305" t="n"/>
      <c r="CI65" s="305" t="n"/>
      <c r="CJ65" s="305" t="n"/>
      <c r="CK65" s="305" t="n"/>
      <c r="CL65" s="305" t="n"/>
      <c r="CM65" s="305" t="n"/>
      <c r="CN65" s="305" t="n"/>
      <c r="CO65" s="305" t="n"/>
      <c r="CP65" s="305" t="n"/>
      <c r="CQ65" s="305" t="n"/>
      <c r="CR65" s="305" t="n"/>
      <c r="CS65" s="305" t="n"/>
      <c r="CT65" s="305" t="n"/>
      <c r="CU65" s="305" t="n"/>
      <c r="CV65" s="305" t="n"/>
      <c r="CW65" s="305" t="n"/>
      <c r="CX65" s="305" t="n"/>
      <c r="CY65" s="305" t="n"/>
    </row>
    <row r="66" hidden="1" outlineLevel="1" ht="12.75" customHeight="1" s="255">
      <c r="C66" s="305" t="inlineStr">
        <is>
          <t>Gerais &amp; Administrativas (%)</t>
        </is>
      </c>
      <c r="D66" s="305" t="n"/>
      <c r="E66" s="305" t="n"/>
      <c r="F66" s="305" t="n"/>
      <c r="G66" s="305" t="n"/>
      <c r="H66" s="305" t="n"/>
      <c r="I66" s="305" t="n"/>
      <c r="J66" s="305" t="n"/>
      <c r="K66" s="305" t="n"/>
      <c r="L66" s="305" t="n"/>
      <c r="M66" s="305" t="n"/>
      <c r="N66" s="305" t="n"/>
      <c r="O66" s="305" t="n"/>
      <c r="P66" s="305" t="n"/>
      <c r="Q66" s="305" t="n"/>
      <c r="R66" s="305" t="n"/>
      <c r="S66" s="305" t="n"/>
      <c r="T66" s="305" t="n"/>
      <c r="U66" s="305" t="n"/>
      <c r="V66" s="305" t="n"/>
      <c r="W66" s="305" t="n"/>
      <c r="X66" s="305" t="n"/>
      <c r="Y66" s="305" t="n"/>
      <c r="Z66" s="305" t="n"/>
      <c r="AA66" s="305" t="n"/>
      <c r="AB66" s="305" t="n"/>
      <c r="AC66" s="305" t="n"/>
      <c r="AD66" s="305" t="n"/>
      <c r="AE66" s="305" t="n"/>
      <c r="AF66" s="305" t="n"/>
      <c r="AG66" s="305" t="n"/>
      <c r="AH66" s="305" t="n"/>
      <c r="AI66" s="305" t="n"/>
      <c r="AJ66" s="305" t="n"/>
      <c r="AK66" s="305" t="n"/>
      <c r="AL66" s="305" t="n"/>
      <c r="AM66" s="305" t="n"/>
      <c r="AN66" s="305" t="n"/>
      <c r="AO66" s="305" t="n"/>
      <c r="AP66" s="305" t="n"/>
      <c r="AQ66" s="305" t="n"/>
      <c r="AR66" s="305" t="n"/>
      <c r="AS66" s="305" t="n"/>
      <c r="AT66" s="305" t="n"/>
      <c r="AU66" s="305" t="n"/>
      <c r="AV66" s="305" t="n"/>
      <c r="AW66" s="305" t="n"/>
      <c r="AX66" s="305" t="n"/>
      <c r="AY66" s="305" t="n"/>
      <c r="AZ66" s="305" t="n"/>
      <c r="BA66" s="305" t="n"/>
      <c r="BB66" s="305" t="n"/>
      <c r="BC66" s="305" t="n"/>
      <c r="BD66" s="305" t="n"/>
      <c r="BE66" s="305" t="n"/>
      <c r="BF66" s="305" t="n"/>
      <c r="BG66" s="305" t="n"/>
      <c r="BH66" s="305" t="n"/>
      <c r="BI66" s="305" t="n"/>
      <c r="BJ66" s="305" t="n"/>
      <c r="BK66" s="305" t="n"/>
      <c r="BL66" s="305" t="n"/>
      <c r="BM66" s="305" t="n"/>
      <c r="BN66" s="305" t="n"/>
      <c r="BO66" s="305" t="n"/>
      <c r="BP66" s="305" t="n"/>
      <c r="BQ66" s="305" t="n"/>
      <c r="BR66" s="305" t="n"/>
      <c r="BS66" s="305" t="n"/>
      <c r="BT66" s="305" t="n"/>
      <c r="BU66" s="305" t="n"/>
      <c r="BV66" s="305" t="n"/>
      <c r="BW66" s="305" t="n"/>
      <c r="BX66" s="305" t="n"/>
      <c r="BY66" s="305" t="n"/>
      <c r="BZ66" s="305" t="n"/>
      <c r="CA66" s="305" t="n"/>
      <c r="CB66" s="305" t="n"/>
      <c r="CC66" s="305" t="n"/>
      <c r="CD66" s="305" t="n"/>
      <c r="CE66" s="305" t="n"/>
      <c r="CF66" s="305" t="n"/>
      <c r="CG66" s="305" t="n"/>
      <c r="CH66" s="305" t="n"/>
      <c r="CI66" s="305" t="n"/>
      <c r="CJ66" s="305" t="n"/>
      <c r="CK66" s="305" t="n"/>
      <c r="CL66" s="305" t="n"/>
      <c r="CM66" s="305" t="n"/>
      <c r="CN66" s="305" t="n"/>
      <c r="CO66" s="305" t="n"/>
      <c r="CP66" s="305" t="n"/>
      <c r="CQ66" s="305" t="n"/>
      <c r="CR66" s="305" t="n"/>
      <c r="CS66" s="305" t="n"/>
      <c r="CT66" s="305" t="n"/>
      <c r="CU66" s="305" t="n"/>
      <c r="CV66" s="305" t="n"/>
      <c r="CW66" s="305" t="n"/>
      <c r="CX66" s="305" t="n"/>
      <c r="CY66" s="305" t="n"/>
    </row>
    <row r="67" hidden="1" outlineLevel="1" ht="12.75" customHeight="1" s="255">
      <c r="C67" s="305" t="inlineStr">
        <is>
          <t>Outras Receitas (Despesas) Operacionais, Líquidas (%)</t>
        </is>
      </c>
      <c r="D67" s="305" t="n"/>
      <c r="E67" s="305" t="n"/>
      <c r="F67" s="305" t="n"/>
      <c r="G67" s="305" t="n"/>
      <c r="H67" s="305" t="n"/>
      <c r="I67" s="305" t="n"/>
      <c r="J67" s="305" t="n"/>
      <c r="K67" s="305" t="n"/>
      <c r="L67" s="305" t="n"/>
      <c r="M67" s="305" t="n"/>
      <c r="N67" s="305" t="n"/>
      <c r="O67" s="305" t="n"/>
      <c r="P67" s="305" t="n"/>
      <c r="Q67" s="305" t="n"/>
      <c r="R67" s="305" t="n"/>
      <c r="S67" s="305" t="n"/>
      <c r="T67" s="305" t="n"/>
      <c r="U67" s="305" t="n"/>
      <c r="V67" s="305" t="n"/>
      <c r="W67" s="305" t="n"/>
      <c r="X67" s="305" t="n"/>
      <c r="Y67" s="305" t="n"/>
      <c r="Z67" s="305" t="n"/>
      <c r="AA67" s="305" t="n"/>
      <c r="AB67" s="305" t="n"/>
      <c r="AC67" s="305" t="n"/>
      <c r="AD67" s="305" t="n"/>
      <c r="AE67" s="305" t="n"/>
      <c r="AF67" s="305" t="n"/>
      <c r="AG67" s="305" t="n"/>
      <c r="AH67" s="305" t="n"/>
      <c r="AI67" s="305" t="n"/>
      <c r="AJ67" s="305" t="n"/>
      <c r="AK67" s="305" t="n"/>
      <c r="AL67" s="305" t="n"/>
      <c r="AM67" s="305" t="n"/>
      <c r="AN67" s="305" t="n"/>
      <c r="AO67" s="305" t="n"/>
      <c r="AP67" s="305" t="n"/>
      <c r="AQ67" s="305" t="n"/>
      <c r="AR67" s="305" t="n"/>
      <c r="AS67" s="305" t="n"/>
      <c r="AT67" s="305" t="n"/>
      <c r="AU67" s="305" t="n"/>
      <c r="AV67" s="305" t="n"/>
      <c r="AW67" s="305" t="n"/>
      <c r="AX67" s="305" t="n"/>
      <c r="AY67" s="305" t="n"/>
      <c r="AZ67" s="305" t="n"/>
      <c r="BA67" s="305" t="n"/>
      <c r="BB67" s="305" t="n"/>
      <c r="BC67" s="305" t="n"/>
      <c r="BD67" s="305" t="n"/>
      <c r="BE67" s="305" t="n"/>
      <c r="BF67" s="305" t="n"/>
      <c r="BG67" s="305" t="n"/>
      <c r="BH67" s="305" t="n"/>
      <c r="BI67" s="305" t="n"/>
      <c r="BJ67" s="305" t="n"/>
      <c r="BK67" s="305" t="n"/>
      <c r="BL67" s="305" t="n"/>
      <c r="BM67" s="305" t="n"/>
      <c r="BN67" s="305" t="n"/>
      <c r="BO67" s="305" t="n"/>
      <c r="BP67" s="305" t="n"/>
      <c r="BQ67" s="305" t="n"/>
      <c r="BR67" s="305" t="n"/>
      <c r="BS67" s="305" t="n"/>
      <c r="BT67" s="305" t="n"/>
      <c r="BU67" s="305" t="n"/>
      <c r="BV67" s="305" t="n"/>
      <c r="BW67" s="305" t="n"/>
      <c r="BX67" s="305" t="n"/>
      <c r="BY67" s="305" t="n"/>
      <c r="BZ67" s="305" t="n"/>
      <c r="CA67" s="305" t="n"/>
      <c r="CB67" s="305" t="n"/>
      <c r="CC67" s="305" t="n"/>
      <c r="CD67" s="305" t="n"/>
      <c r="CE67" s="305" t="n"/>
      <c r="CF67" s="305" t="n"/>
      <c r="CG67" s="305" t="n"/>
      <c r="CH67" s="305" t="n"/>
      <c r="CI67" s="305" t="n"/>
      <c r="CJ67" s="305" t="n"/>
      <c r="CK67" s="305" t="n"/>
      <c r="CL67" s="305" t="n"/>
      <c r="CM67" s="305" t="n"/>
      <c r="CN67" s="305" t="n"/>
      <c r="CO67" s="305" t="n"/>
      <c r="CP67" s="305" t="n"/>
      <c r="CQ67" s="305" t="n"/>
      <c r="CR67" s="305" t="n"/>
      <c r="CS67" s="305" t="n"/>
      <c r="CT67" s="305" t="n"/>
      <c r="CU67" s="305" t="n"/>
      <c r="CV67" s="305" t="n"/>
      <c r="CW67" s="305" t="n"/>
      <c r="CX67" s="305" t="n"/>
      <c r="CY67" s="305" t="n"/>
    </row>
    <row r="68" hidden="1" outlineLevel="1" ht="12.75" customHeight="1" s="255">
      <c r="C68" s="305" t="n"/>
      <c r="D68" s="305" t="n"/>
      <c r="E68" s="305" t="n"/>
      <c r="F68" s="305" t="n"/>
      <c r="G68" s="305" t="n"/>
      <c r="H68" s="305" t="n"/>
      <c r="I68" s="305" t="n"/>
      <c r="J68" s="305" t="n"/>
      <c r="K68" s="305" t="n"/>
      <c r="L68" s="305" t="n"/>
      <c r="M68" s="305" t="n"/>
      <c r="N68" s="305" t="n"/>
      <c r="O68" s="305" t="n"/>
      <c r="P68" s="305" t="n"/>
      <c r="Q68" s="305" t="n"/>
      <c r="R68" s="305" t="n"/>
      <c r="S68" s="305" t="n"/>
      <c r="T68" s="305" t="n"/>
      <c r="U68" s="305" t="n"/>
      <c r="V68" s="305" t="n"/>
      <c r="W68" s="305" t="n"/>
      <c r="X68" s="305" t="n"/>
      <c r="Y68" s="305" t="n"/>
      <c r="Z68" s="305" t="n"/>
      <c r="AA68" s="305" t="n"/>
      <c r="AB68" s="305" t="n"/>
      <c r="AC68" s="305" t="n"/>
      <c r="AD68" s="305" t="n"/>
      <c r="AE68" s="305" t="n"/>
      <c r="AF68" s="305" t="n"/>
      <c r="AG68" s="305" t="n"/>
      <c r="AH68" s="305" t="n"/>
      <c r="AI68" s="305" t="n"/>
      <c r="AJ68" s="305" t="n"/>
      <c r="AK68" s="305" t="n"/>
      <c r="AL68" s="305" t="n"/>
      <c r="AM68" s="305" t="n"/>
      <c r="AN68" s="305" t="n"/>
      <c r="AO68" s="305" t="n"/>
      <c r="AP68" s="305" t="n"/>
      <c r="AQ68" s="305" t="n"/>
      <c r="AR68" s="305" t="n"/>
      <c r="AS68" s="305" t="n"/>
      <c r="AT68" s="305" t="n"/>
      <c r="AU68" s="305" t="n"/>
      <c r="AV68" s="305" t="n"/>
      <c r="AW68" s="305" t="n"/>
      <c r="AX68" s="305" t="n"/>
      <c r="AY68" s="305" t="n"/>
      <c r="AZ68" s="305" t="n"/>
      <c r="BA68" s="305" t="n"/>
      <c r="BB68" s="305" t="n"/>
      <c r="BC68" s="305" t="n"/>
      <c r="BD68" s="305" t="n"/>
      <c r="BE68" s="305" t="n"/>
      <c r="BF68" s="305" t="n"/>
      <c r="BG68" s="305" t="n"/>
      <c r="BH68" s="305" t="n"/>
      <c r="BI68" s="305" t="n"/>
      <c r="BJ68" s="305" t="n"/>
      <c r="BK68" s="305" t="n"/>
      <c r="BL68" s="305" t="n"/>
      <c r="BM68" s="305" t="n"/>
      <c r="BN68" s="305" t="n"/>
      <c r="BO68" s="305" t="n"/>
      <c r="BP68" s="305" t="n"/>
      <c r="BQ68" s="305" t="n"/>
      <c r="BR68" s="305" t="n"/>
      <c r="BS68" s="305" t="n"/>
      <c r="BT68" s="305" t="n"/>
      <c r="BU68" s="305" t="n"/>
      <c r="BV68" s="305" t="n"/>
      <c r="BW68" s="305" t="n"/>
      <c r="BX68" s="305" t="n"/>
      <c r="BY68" s="305" t="n"/>
      <c r="BZ68" s="305" t="n"/>
      <c r="CA68" s="305" t="n"/>
      <c r="CB68" s="305" t="n"/>
      <c r="CC68" s="305" t="n"/>
      <c r="CD68" s="305" t="n"/>
      <c r="CE68" s="305" t="n"/>
      <c r="CF68" s="305" t="n"/>
      <c r="CG68" s="305" t="n"/>
      <c r="CH68" s="305" t="n"/>
      <c r="CI68" s="305" t="n"/>
      <c r="CJ68" s="305" t="n"/>
      <c r="CK68" s="305" t="n"/>
      <c r="CL68" s="305" t="n"/>
      <c r="CM68" s="305" t="n"/>
      <c r="CN68" s="305" t="n"/>
      <c r="CO68" s="305" t="n"/>
      <c r="CP68" s="305" t="n"/>
      <c r="CQ68" s="305" t="n"/>
      <c r="CR68" s="305" t="n"/>
      <c r="CS68" s="305" t="n"/>
      <c r="CT68" s="305" t="n"/>
      <c r="CU68" s="305" t="n"/>
      <c r="CV68" s="305" t="n"/>
      <c r="CW68" s="305" t="n"/>
      <c r="CX68" s="305" t="n"/>
      <c r="CY68" s="305" t="n"/>
    </row>
    <row r="69" ht="12.75" customFormat="1" customHeight="1" s="287">
      <c r="A69" s="288" t="n"/>
      <c r="B69" s="259" t="n"/>
      <c r="C69" s="275" t="inlineStr">
        <is>
          <t>EBITDA</t>
        </is>
      </c>
      <c r="D69" s="276">
        <f>SUM(D15,D54,D58)</f>
        <v>-8</v>
      </c>
      <c r="E69" s="276">
        <f>SUM(E15,E54,E58)</f>
        <v>863</v>
      </c>
      <c r="F69" s="276">
        <f>SUM(F15,F54,F58)</f>
        <v>356</v>
      </c>
      <c r="G69" s="276">
        <f>SUM(G15,G54,G58)</f>
        <v>651</v>
      </c>
      <c r="H69" s="276">
        <f>SUM(D69:G69)</f>
        <v>1862</v>
      </c>
      <c r="I69" s="276">
        <f>SUM(I15,I54,I58)</f>
        <v>982</v>
      </c>
      <c r="J69" s="276">
        <f>SUM(J15,J54,J58)</f>
        <v>474</v>
      </c>
      <c r="K69" s="276">
        <f>SUM(K15,K54,K58)</f>
        <v>640</v>
      </c>
      <c r="L69" s="276">
        <f>SUM(L15,L54,L58)</f>
        <v>458</v>
      </c>
      <c r="M69" s="276">
        <f>SUM(I69:L69)</f>
        <v>2554</v>
      </c>
      <c r="N69" s="276">
        <f>SUM(N15,N54,N58)</f>
        <v>998</v>
      </c>
      <c r="O69" s="276">
        <f>SUM(O15,O54,O58)</f>
        <v>540</v>
      </c>
      <c r="P69" s="276">
        <f>SUM(P15,P54,P58)</f>
        <v>652</v>
      </c>
      <c r="Q69" s="276">
        <f>SUM(Q15,Q54,Q58)</f>
        <v>531</v>
      </c>
      <c r="R69" s="276">
        <f>SUM(N69:Q69)</f>
        <v>2721</v>
      </c>
      <c r="S69" s="276">
        <f>SUM(S15,S54,S58)</f>
        <v>930</v>
      </c>
      <c r="T69" s="276">
        <f>SUM(T15,T54,T58)</f>
        <v>1051</v>
      </c>
      <c r="U69" s="276">
        <f>SUM(U15,U54,U58)</f>
        <v>707</v>
      </c>
      <c r="V69" s="276">
        <f>SUM(V15,V54,V58)</f>
        <v>893</v>
      </c>
      <c r="W69" s="276">
        <f>SUM(S69:V69)</f>
        <v>3581</v>
      </c>
      <c r="X69" s="276">
        <f>SUM(X15,X54,X58)</f>
        <v>549</v>
      </c>
      <c r="Y69" s="276">
        <f>SUM(Y15,Y54,Y58)</f>
        <v>329</v>
      </c>
      <c r="Z69" s="276">
        <f>SUM(Z15,Z54,Z58)</f>
        <v>454</v>
      </c>
      <c r="AA69" s="276">
        <f>SUM(AA15,AA54,AA58)</f>
        <v>753</v>
      </c>
      <c r="AB69" s="276">
        <f>SUM(X69:AA69)</f>
        <v>2085</v>
      </c>
      <c r="AC69" s="276">
        <f>SUM(AC15,AC54,AC58)</f>
        <v>337</v>
      </c>
      <c r="AD69" s="276">
        <f>SUM(AD15,AD54,AD58)</f>
        <v>436</v>
      </c>
      <c r="AE69" s="276">
        <f>SUM(AE15,AE54,AE58)</f>
        <v>626</v>
      </c>
      <c r="AF69" s="276">
        <f>SUM(AF15,AF54,AF58)</f>
        <v>600</v>
      </c>
      <c r="AG69" s="276">
        <f>SUM(AC69:AF69)</f>
        <v>1999</v>
      </c>
      <c r="AH69" s="276">
        <f>SUM(AH15,AH54,AH58)</f>
        <v>473</v>
      </c>
      <c r="AI69" s="276">
        <f>SUM(AI15,AI54,AI58)</f>
        <v>1331</v>
      </c>
      <c r="AJ69" s="276">
        <f>SUM(AJ15,AJ54,AJ58)</f>
        <v>0</v>
      </c>
      <c r="AK69" s="276">
        <f>SUM(AK15,AK54,AK58)</f>
        <v>0</v>
      </c>
      <c r="AL69" s="276">
        <f>SUM(AH69:AK69)</f>
        <v>1804</v>
      </c>
      <c r="AM69" s="276">
        <f>SUM(AM15,AM54,AM58)</f>
        <v>0</v>
      </c>
      <c r="AN69" s="276">
        <f>SUM(AN15,AN54,AN58)</f>
        <v>0</v>
      </c>
      <c r="AO69" s="276">
        <f>SUM(AO15,AO54,AO58)</f>
        <v>0</v>
      </c>
      <c r="AP69" s="276">
        <f>SUM(AP15,AP54,AP58)</f>
        <v>0</v>
      </c>
      <c r="AQ69" s="276">
        <f>SUM(AM69:AP69)</f>
        <v>0</v>
      </c>
      <c r="AR69" s="276">
        <f>SUM(AR15,AR54,AR58)</f>
        <v>0</v>
      </c>
      <c r="AS69" s="276">
        <f>SUM(AS15,AS54,AS58)</f>
        <v>0</v>
      </c>
      <c r="AT69" s="276">
        <f>SUM(AT15,AT54,AT58)</f>
        <v>0</v>
      </c>
      <c r="AU69" s="276">
        <f>SUM(AU15,AU54,AU58)</f>
        <v>0</v>
      </c>
      <c r="AV69" s="276">
        <f>SUM(AR69:AU69)</f>
        <v>0</v>
      </c>
      <c r="AW69" s="276">
        <f>SUM(AW15,AW54,AW58)</f>
        <v>0</v>
      </c>
      <c r="AX69" s="276">
        <f>SUM(AX15,AX54,AX58)</f>
        <v>0</v>
      </c>
      <c r="AY69" s="276">
        <f>SUM(AY15,AY54,AY58)</f>
        <v>0</v>
      </c>
      <c r="AZ69" s="276">
        <f>SUM(AZ15,AZ54,AZ58)</f>
        <v>0</v>
      </c>
      <c r="BA69" s="276">
        <f>SUM(AW69:AZ69)</f>
        <v>0</v>
      </c>
      <c r="BB69" s="276">
        <f>SUM(BB15,BB54,BB58)</f>
        <v>0</v>
      </c>
      <c r="BC69" s="276">
        <f>SUM(BC15,BC54,BC58)</f>
        <v>0</v>
      </c>
      <c r="BD69" s="276">
        <f>SUM(BD15,BD54,BD58)</f>
        <v>0</v>
      </c>
      <c r="BE69" s="276">
        <f>SUM(BE15,BE54,BE58)</f>
        <v>0</v>
      </c>
      <c r="BF69" s="276">
        <f>SUM(BB69:BE69)</f>
        <v>0</v>
      </c>
      <c r="BG69" s="276">
        <f>SUM(BG15,BG54,BG58)</f>
        <v>0</v>
      </c>
      <c r="BH69" s="276">
        <f>SUM(BH15,BH54,BH58)</f>
        <v>0</v>
      </c>
      <c r="BI69" s="276">
        <f>SUM(BI15,BI54,BI58)</f>
        <v>0</v>
      </c>
      <c r="BJ69" s="276">
        <f>SUM(BJ15,BJ54,BJ58)</f>
        <v>0</v>
      </c>
      <c r="BK69" s="276">
        <f>SUM(BG69:BJ69)</f>
        <v>0</v>
      </c>
      <c r="BL69" s="276">
        <f>SUM(BL15,BL54,BL58)</f>
        <v>0</v>
      </c>
      <c r="BM69" s="276">
        <f>SUM(BM15,BM54,BM58)</f>
        <v>0</v>
      </c>
      <c r="BN69" s="276">
        <f>SUM(BN15,BN54,BN58)</f>
        <v>0</v>
      </c>
      <c r="BO69" s="276">
        <f>SUM(BO15,BO54,BO58)</f>
        <v>0</v>
      </c>
      <c r="BP69" s="276">
        <f>SUM(BL69:BO69)</f>
        <v>0</v>
      </c>
      <c r="BQ69" s="276">
        <f>SUM(BQ15,BQ54,BQ58)</f>
        <v>0</v>
      </c>
      <c r="BR69" s="276">
        <f>SUM(BR15,BR54,BR58)</f>
        <v>0</v>
      </c>
      <c r="BS69" s="276">
        <f>SUM(BS15,BS54,BS58)</f>
        <v>0</v>
      </c>
      <c r="BT69" s="276">
        <f>SUM(BT15,BT54,BT58)</f>
        <v>0</v>
      </c>
      <c r="BU69" s="276">
        <f>SUM(BQ69:BT69)</f>
        <v>0</v>
      </c>
      <c r="BV69" s="276">
        <f>SUM(BV15,BV54,BV58)</f>
        <v>0</v>
      </c>
      <c r="BW69" s="276">
        <f>SUM(BW15,BW54,BW58)</f>
        <v>0</v>
      </c>
      <c r="BX69" s="276">
        <f>SUM(BX15,BX54,BX58)</f>
        <v>0</v>
      </c>
      <c r="BY69" s="276">
        <f>SUM(BY15,BY54,BY58)</f>
        <v>0</v>
      </c>
      <c r="BZ69" s="276">
        <f>SUM(BV69:BY69)</f>
        <v>0</v>
      </c>
      <c r="CA69" s="276">
        <f>SUM(CA15,CA54,CA58)</f>
        <v>0</v>
      </c>
      <c r="CB69" s="276">
        <f>SUM(CB15,CB54,CB58)</f>
        <v>0</v>
      </c>
      <c r="CC69" s="276">
        <f>SUM(CC15,CC54,CC58)</f>
        <v>0</v>
      </c>
      <c r="CD69" s="276">
        <f>SUM(CD15,CD54,CD58)</f>
        <v>0</v>
      </c>
      <c r="CE69" s="276">
        <f>SUM(CA69:CD69)</f>
        <v>0</v>
      </c>
      <c r="CF69" s="276">
        <f>SUM(CF15,CF54,CF58)</f>
        <v>0</v>
      </c>
      <c r="CG69" s="276">
        <f>SUM(CG15,CG54,CG58)</f>
        <v>0</v>
      </c>
      <c r="CH69" s="276">
        <f>SUM(CH15,CH54,CH58)</f>
        <v>0</v>
      </c>
      <c r="CI69" s="276">
        <f>SUM(CI15,CI54,CI58)</f>
        <v>0</v>
      </c>
      <c r="CJ69" s="276">
        <f>SUM(CF69:CI69)</f>
        <v>0</v>
      </c>
      <c r="CK69" s="276">
        <f>SUM(CK15,CK54,CK58)</f>
        <v>0</v>
      </c>
      <c r="CL69" s="276">
        <f>SUM(CL15,CL54,CL58)</f>
        <v>0</v>
      </c>
      <c r="CM69" s="276">
        <f>SUM(CM15,CM54,CM58)</f>
        <v>0</v>
      </c>
      <c r="CN69" s="276">
        <f>SUM(CN15,CN54,CN58)</f>
        <v>0</v>
      </c>
      <c r="CO69" s="276">
        <f>SUM(CK69:CN69)</f>
        <v>0</v>
      </c>
      <c r="CP69" s="276">
        <f>SUM(CP15,CP54,CP58)</f>
        <v>0</v>
      </c>
      <c r="CQ69" s="276">
        <f>SUM(CQ15,CQ54,CQ58)</f>
        <v>0</v>
      </c>
      <c r="CR69" s="276">
        <f>SUM(CR15,CR54,CR58)</f>
        <v>0</v>
      </c>
      <c r="CS69" s="276">
        <f>SUM(CS15,CS54,CS58)</f>
        <v>0</v>
      </c>
      <c r="CT69" s="276">
        <f>SUM(CP69:CS69)</f>
        <v>0</v>
      </c>
      <c r="CU69" s="276">
        <f>SUM(CU15,CU54,CU58)</f>
        <v>0</v>
      </c>
      <c r="CV69" s="276">
        <f>SUM(CV15,CV54,CV58)</f>
        <v>0</v>
      </c>
      <c r="CW69" s="276">
        <f>SUM(CW15,CW54,CW58)</f>
        <v>0</v>
      </c>
      <c r="CX69" s="276">
        <f>SUM(CX15,CX54,CX58)</f>
        <v>0</v>
      </c>
      <c r="CY69" s="276">
        <f>SUM(CU69:CX69)</f>
        <v>0</v>
      </c>
    </row>
    <row r="70" ht="13.5" customHeight="1" s="255">
      <c r="C70" s="269" t="inlineStr">
        <is>
          <t>D&amp;A</t>
        </is>
      </c>
      <c r="D70" s="301">
        <f>INDEX('Inputs (2)'!$D$7:$AL$7,MATCH(D$7,'Inputs (2)'!$D$2:$AL$2,0))</f>
        <v>-113</v>
      </c>
      <c r="E70" s="301">
        <f>INDEX('Inputs (2)'!$D$7:$AL$7,MATCH(E$7,'Inputs (2)'!$D$2:$AL$2,0))</f>
        <v>-104</v>
      </c>
      <c r="F70" s="301">
        <f>INDEX('Inputs (2)'!$D$7:$AL$7,MATCH(F$7,'Inputs (2)'!$D$2:$AL$2,0))</f>
        <v>-106</v>
      </c>
      <c r="G70" s="301">
        <f>INDEX('Inputs (2)'!$D$7:$AL$7,MATCH(G$7,'Inputs (2)'!$D$2:$AL$2,0))</f>
        <v>-112</v>
      </c>
      <c r="H70" s="268">
        <f>SUM(D70:G70)</f>
        <v>-435</v>
      </c>
      <c r="I70" s="301">
        <f>INDEX('Inputs (2)'!$D$7:$AL$7,MATCH(I$7,'Inputs (2)'!$D$2:$AL$2,0))</f>
        <v>-106</v>
      </c>
      <c r="J70" s="301">
        <f>INDEX('Inputs (2)'!$D$7:$AL$7,MATCH(J$7,'Inputs (2)'!$D$2:$AL$2,0))</f>
        <v>-106</v>
      </c>
      <c r="K70" s="301">
        <f>INDEX('Inputs (2)'!$D$7:$AL$7,MATCH(K$7,'Inputs (2)'!$D$2:$AL$2,0))</f>
        <v>-105</v>
      </c>
      <c r="L70" s="301">
        <f>INDEX('Inputs (2)'!$D$7:$AL$7,MATCH(L$7,'Inputs (2)'!$D$2:$AL$2,0))</f>
        <v>-107</v>
      </c>
      <c r="M70" s="268">
        <f>SUM(I70:L70)</f>
        <v>-424</v>
      </c>
      <c r="N70" s="301">
        <f>INDEX('Inputs (2)'!$D$7:$AL$7,MATCH(N$7,'Inputs (2)'!$D$2:$AL$2,0))</f>
        <v>-102</v>
      </c>
      <c r="O70" s="301">
        <f>INDEX('Inputs (2)'!$D$7:$AL$7,MATCH(O$7,'Inputs (2)'!$D$2:$AL$2,0))</f>
        <v>-102</v>
      </c>
      <c r="P70" s="301">
        <f>INDEX('Inputs (2)'!$D$7:$AL$7,MATCH(P$7,'Inputs (2)'!$D$2:$AL$2,0))</f>
        <v>-101</v>
      </c>
      <c r="Q70" s="301">
        <f>INDEX('Inputs (2)'!$D$7:$AL$7,MATCH(Q$7,'Inputs (2)'!$D$2:$AL$2,0))</f>
        <v>-103</v>
      </c>
      <c r="R70" s="268">
        <f>SUM(N70:Q70)</f>
        <v>-408</v>
      </c>
      <c r="S70" s="301">
        <f>INDEX('Inputs (2)'!$D$7:$AL$7,MATCH(S$7,'Inputs (2)'!$D$2:$AL$2,0))</f>
        <v>-102</v>
      </c>
      <c r="T70" s="301">
        <f>INDEX('Inputs (2)'!$D$7:$AL$7,MATCH(T$7,'Inputs (2)'!$D$2:$AL$2,0))</f>
        <v>-106</v>
      </c>
      <c r="U70" s="301">
        <f>INDEX('Inputs (2)'!$D$7:$AL$7,MATCH(U$7,'Inputs (2)'!$D$2:$AL$2,0))</f>
        <v>-109</v>
      </c>
      <c r="V70" s="301">
        <f>INDEX('Inputs (2)'!$D$7:$AL$7,MATCH(V$7,'Inputs (2)'!$D$2:$AL$2,0))</f>
        <v>-134</v>
      </c>
      <c r="W70" s="268">
        <f>SUM(S70:V70)</f>
        <v>-451</v>
      </c>
      <c r="X70" s="301">
        <f>INDEX('Inputs (2)'!$D$7:$AL$7,MATCH(X$7,'Inputs (2)'!$D$2:$AL$2,0))</f>
        <v>-112</v>
      </c>
      <c r="Y70" s="301">
        <f>INDEX('Inputs (2)'!$D$7:$AL$7,MATCH(Y$7,'Inputs (2)'!$D$2:$AL$2,0))</f>
        <v>-114</v>
      </c>
      <c r="Z70" s="301">
        <f>INDEX('Inputs (2)'!$D$7:$AL$7,MATCH(Z$7,'Inputs (2)'!$D$2:$AL$2,0))</f>
        <v>-119</v>
      </c>
      <c r="AA70" s="301">
        <f>INDEX('Inputs (2)'!$D$7:$AL$7,MATCH(AA$7,'Inputs (2)'!$D$2:$AL$2,0))</f>
        <v>-123</v>
      </c>
      <c r="AB70" s="268">
        <f>SUM(X70:AA70)</f>
        <v>-468</v>
      </c>
      <c r="AC70" s="301">
        <f>INDEX('Inputs (2)'!$D$7:$AL$7,MATCH(AC$7,'Inputs (2)'!$D$2:$AL$2,0))</f>
        <v>-120</v>
      </c>
      <c r="AD70" s="301">
        <f>INDEX('Inputs (2)'!$D$7:$AL$7,MATCH(AD$7,'Inputs (2)'!$D$2:$AL$2,0))</f>
        <v>-116</v>
      </c>
      <c r="AE70" s="301">
        <f>INDEX('Inputs (2)'!$D$7:$AL$7,MATCH(AE$7,'Inputs (2)'!$D$2:$AL$2,0))</f>
        <v>-241</v>
      </c>
      <c r="AF70" s="301">
        <f>INDEX('Inputs (2)'!$D$7:$AL$7,MATCH(AF$7,'Inputs (2)'!$D$2:$AL$2,0))</f>
        <v>-226</v>
      </c>
      <c r="AG70" s="268">
        <f>SUM(AC70:AF70)</f>
        <v>-703</v>
      </c>
      <c r="AH70" s="268">
        <f>INDEX('Inputs (2)'!$D$7:$AL$7,MATCH(AH$7,'Inputs (2)'!$D$2:$AL$2,0))</f>
        <v>-238</v>
      </c>
      <c r="AI70" s="268">
        <f>INDEX('Inputs (2)'!$D$7:$AL$7,MATCH(AI$7,'Inputs (2)'!$D$2:$AL$2,0))</f>
        <v>-256</v>
      </c>
      <c r="AJ70" s="268">
        <f>-AJ71*AJ15</f>
        <v>0</v>
      </c>
      <c r="AK70" s="268">
        <f>-AK71*AK15</f>
        <v>0</v>
      </c>
      <c r="AL70" s="268">
        <f>SUM(AH70:AK70)</f>
        <v>-494</v>
      </c>
      <c r="AM70" s="268">
        <f>-AM71*AM15</f>
        <v>0</v>
      </c>
      <c r="AN70" s="268">
        <f>-AN71*AN15</f>
        <v>0</v>
      </c>
      <c r="AO70" s="268">
        <f>-AO71*AO15</f>
        <v>0</v>
      </c>
      <c r="AP70" s="268">
        <f>-AP71*AP15</f>
        <v>0</v>
      </c>
      <c r="AQ70" s="268">
        <f>SUM(AM70:AP70)</f>
        <v>0</v>
      </c>
      <c r="AR70" s="268">
        <f>-AR71*AR15</f>
        <v>0</v>
      </c>
      <c r="AS70" s="268">
        <f>-AS71*AS15</f>
        <v>0</v>
      </c>
      <c r="AT70" s="268">
        <f>-AT71*AT15</f>
        <v>0</v>
      </c>
      <c r="AU70" s="268">
        <f>-AU71*AU15</f>
        <v>0</v>
      </c>
      <c r="AV70" s="268">
        <f>SUM(AR70:AU70)</f>
        <v>0</v>
      </c>
      <c r="AW70" s="268">
        <f>-AW71*AW15</f>
        <v>0</v>
      </c>
      <c r="AX70" s="268">
        <f>-AX71*AX15</f>
        <v>0</v>
      </c>
      <c r="AY70" s="268">
        <f>-AY71*AY15</f>
        <v>0</v>
      </c>
      <c r="AZ70" s="268">
        <f>-AZ71*AZ15</f>
        <v>0</v>
      </c>
      <c r="BA70" s="268">
        <f>SUM(AW70:AZ70)</f>
        <v>0</v>
      </c>
      <c r="BB70" s="268">
        <f>-BB71*BB15</f>
        <v>0</v>
      </c>
      <c r="BC70" s="268">
        <f>-BC71*BC15</f>
        <v>0</v>
      </c>
      <c r="BD70" s="268">
        <f>-BD71*BD15</f>
        <v>0</v>
      </c>
      <c r="BE70" s="268">
        <f>-BE71*BE15</f>
        <v>0</v>
      </c>
      <c r="BF70" s="268">
        <f>SUM(BB70:BE70)</f>
        <v>0</v>
      </c>
      <c r="BG70" s="268">
        <f>-BG71*BG15</f>
        <v>0</v>
      </c>
      <c r="BH70" s="268">
        <f>-BH71*BH15</f>
        <v>0</v>
      </c>
      <c r="BI70" s="268">
        <f>-BI71*BI15</f>
        <v>0</v>
      </c>
      <c r="BJ70" s="268">
        <f>-BJ71*BJ15</f>
        <v>0</v>
      </c>
      <c r="BK70" s="268">
        <f>SUM(BG70:BJ70)</f>
        <v>0</v>
      </c>
      <c r="BL70" s="268">
        <f>-BL71*BL15</f>
        <v>0</v>
      </c>
      <c r="BM70" s="268">
        <f>-BM71*BM15</f>
        <v>0</v>
      </c>
      <c r="BN70" s="268">
        <f>-BN71*BN15</f>
        <v>0</v>
      </c>
      <c r="BO70" s="268">
        <f>-BO71*BO15</f>
        <v>0</v>
      </c>
      <c r="BP70" s="268">
        <f>SUM(BL70:BO70)</f>
        <v>0</v>
      </c>
      <c r="BQ70" s="268">
        <f>-BQ71*BQ15</f>
        <v>0</v>
      </c>
      <c r="BR70" s="268">
        <f>-BR71*BR15</f>
        <v>0</v>
      </c>
      <c r="BS70" s="268">
        <f>-BS71*BS15</f>
        <v>0</v>
      </c>
      <c r="BT70" s="268">
        <f>-BT71*BT15</f>
        <v>0</v>
      </c>
      <c r="BU70" s="268">
        <f>SUM(BQ70:BT70)</f>
        <v>0</v>
      </c>
      <c r="BV70" s="268">
        <f>-BV71*BV15</f>
        <v>0</v>
      </c>
      <c r="BW70" s="268">
        <f>-BW71*BW15</f>
        <v>0</v>
      </c>
      <c r="BX70" s="268">
        <f>-BX71*BX15</f>
        <v>0</v>
      </c>
      <c r="BY70" s="268">
        <f>-BY71*BY15</f>
        <v>0</v>
      </c>
      <c r="BZ70" s="268">
        <f>SUM(BV70:BY70)</f>
        <v>0</v>
      </c>
      <c r="CA70" s="268">
        <f>-CA71*CA15</f>
        <v>0</v>
      </c>
      <c r="CB70" s="268">
        <f>-CB71*CB15</f>
        <v>0</v>
      </c>
      <c r="CC70" s="268">
        <f>-CC71*CC15</f>
        <v>0</v>
      </c>
      <c r="CD70" s="268">
        <f>-CD71*CD15</f>
        <v>0</v>
      </c>
      <c r="CE70" s="268">
        <f>SUM(CA70:CD70)</f>
        <v>0</v>
      </c>
      <c r="CF70" s="268">
        <f>-CF71*CF15</f>
        <v>0</v>
      </c>
      <c r="CG70" s="268">
        <f>-CG71*CG15</f>
        <v>0</v>
      </c>
      <c r="CH70" s="268">
        <f>-CH71*CH15</f>
        <v>0</v>
      </c>
      <c r="CI70" s="268">
        <f>-CI71*CI15</f>
        <v>0</v>
      </c>
      <c r="CJ70" s="268">
        <f>SUM(CF70:CI70)</f>
        <v>0</v>
      </c>
      <c r="CK70" s="268">
        <f>-CK71*CK15</f>
        <v>0</v>
      </c>
      <c r="CL70" s="268">
        <f>-CL71*CL15</f>
        <v>0</v>
      </c>
      <c r="CM70" s="268">
        <f>-CM71*CM15</f>
        <v>0</v>
      </c>
      <c r="CN70" s="268">
        <f>-CN71*CN15</f>
        <v>0</v>
      </c>
      <c r="CO70" s="268">
        <f>SUM(CK70:CN70)</f>
        <v>0</v>
      </c>
      <c r="CP70" s="268">
        <f>-CP71*CP15</f>
        <v>0</v>
      </c>
      <c r="CQ70" s="268">
        <f>-CQ71*CQ15</f>
        <v>0</v>
      </c>
      <c r="CR70" s="268">
        <f>-CR71*CR15</f>
        <v>0</v>
      </c>
      <c r="CS70" s="268">
        <f>-CS71*CS15</f>
        <v>0</v>
      </c>
      <c r="CT70" s="268">
        <f>SUM(CP70:CS70)</f>
        <v>0</v>
      </c>
      <c r="CU70" s="268">
        <f>-CU71*CU15</f>
        <v>0</v>
      </c>
      <c r="CV70" s="268">
        <f>-CV71*CV15</f>
        <v>0</v>
      </c>
      <c r="CW70" s="268">
        <f>-CW71*CW15</f>
        <v>0</v>
      </c>
      <c r="CX70" s="268">
        <f>-CX71*CX15</f>
        <v>0</v>
      </c>
      <c r="CY70" s="268">
        <f>SUM(CU70:CX70)</f>
        <v>0</v>
      </c>
    </row>
    <row r="71" hidden="1" outlineLevel="1" ht="12.75" customFormat="1" customHeight="1" s="308">
      <c r="A71" s="309" t="n"/>
      <c r="B71" s="309" t="n"/>
      <c r="C71" s="310" t="inlineStr">
        <is>
          <t>% of Revenue</t>
        </is>
      </c>
      <c r="D71" s="309">
        <f>-D70/D15</f>
        <v>0.0123187615829064</v>
      </c>
      <c r="E71" s="309">
        <f>-E70/E15</f>
        <v>0.0109913337560769</v>
      </c>
      <c r="F71" s="309">
        <f>-F70/F15</f>
        <v>0.010434097844276</v>
      </c>
      <c r="G71" s="309">
        <f>-G70/G15</f>
        <v>0.00888183980967486</v>
      </c>
      <c r="H71" s="309" t="n"/>
      <c r="I71" s="309">
        <f>-I70/I15</f>
        <v>0.00817838129773937</v>
      </c>
      <c r="J71" s="309">
        <f>-J70/J15</f>
        <v>0.006887141836138</v>
      </c>
      <c r="K71" s="309">
        <f>-K70/K15</f>
        <v>0.0074378409010413</v>
      </c>
      <c r="L71" s="309">
        <f>-L70/L15</f>
        <v>0.00641371455973146</v>
      </c>
      <c r="M71" s="309" t="n"/>
      <c r="N71" s="309">
        <f>-N70/N15</f>
        <v>0.00642317380352645</v>
      </c>
      <c r="O71" s="309">
        <f>-O70/O15</f>
        <v>0.00568783806390453</v>
      </c>
      <c r="P71" s="309">
        <f>-P70/P15</f>
        <v>0.00602661256638224</v>
      </c>
      <c r="Q71" s="309">
        <f>-Q70/Q15</f>
        <v>0.00618247298919568</v>
      </c>
      <c r="R71" s="309" t="n"/>
      <c r="S71" s="309">
        <f>-S70/S15</f>
        <v>0.0066544885177453</v>
      </c>
      <c r="T71" s="309">
        <f>-T70/T15</f>
        <v>0.00704365738587282</v>
      </c>
      <c r="U71" s="309">
        <f>-U70/U15</f>
        <v>0.00766148871863358</v>
      </c>
      <c r="V71" s="309">
        <f>-V70/V15</f>
        <v>0.00897161221210498</v>
      </c>
      <c r="W71" s="309" t="n"/>
      <c r="X71" s="309">
        <f>-X70/X15</f>
        <v>0.00834761869270329</v>
      </c>
      <c r="Y71" s="309">
        <f>-Y70/Y15</f>
        <v>0.00860962162978627</v>
      </c>
      <c r="Z71" s="309">
        <f>-Z70/Z15</f>
        <v>0.00921908893709328</v>
      </c>
      <c r="AA71" s="309">
        <f>-AA70/AA15</f>
        <v>0.00908285334514843</v>
      </c>
      <c r="AB71" s="309" t="n"/>
      <c r="AC71" s="309">
        <f>-AC70/AC15</f>
        <v>0.010306622004638</v>
      </c>
      <c r="AD71" s="309">
        <f>-AD70/AD15</f>
        <v>0.00908450152713603</v>
      </c>
      <c r="AE71" s="309">
        <f>-AE70/AE15</f>
        <v>0.0108779056646355</v>
      </c>
      <c r="AF71" s="311">
        <f>-AF70/AF15</f>
        <v>0.00951098392391213</v>
      </c>
      <c r="AG71" s="309" t="n"/>
      <c r="AH71" s="311">
        <f>-AH70/AH15</f>
        <v>0.010886967659302</v>
      </c>
      <c r="AI71" s="311">
        <f>-AI70/AI15</f>
        <v>0.010648475520985</v>
      </c>
      <c r="AJ71" s="311" t="n"/>
      <c r="AK71" s="311" t="n"/>
      <c r="AL71" s="309" t="n"/>
      <c r="AM71" s="311" t="n"/>
      <c r="AN71" s="311" t="n"/>
      <c r="AO71" s="311" t="n"/>
      <c r="AP71" s="311" t="n"/>
      <c r="AQ71" s="309" t="n"/>
      <c r="AR71" s="311" t="n"/>
      <c r="AS71" s="311" t="n"/>
      <c r="AT71" s="311" t="n"/>
      <c r="AU71" s="311" t="n"/>
      <c r="AV71" s="309" t="n"/>
      <c r="AW71" s="311" t="n"/>
      <c r="AX71" s="311" t="n"/>
      <c r="AY71" s="311" t="n"/>
      <c r="AZ71" s="311" t="n"/>
      <c r="BA71" s="309" t="n"/>
      <c r="BB71" s="311" t="n"/>
      <c r="BC71" s="311" t="n"/>
      <c r="BD71" s="311" t="n"/>
      <c r="BE71" s="311" t="n"/>
      <c r="BF71" s="309" t="n"/>
      <c r="BG71" s="311" t="n"/>
      <c r="BH71" s="311" t="n"/>
      <c r="BI71" s="311" t="n"/>
      <c r="BJ71" s="311" t="n"/>
      <c r="BK71" s="309" t="n"/>
      <c r="BL71" s="311" t="n"/>
      <c r="BM71" s="311" t="n"/>
      <c r="BN71" s="311" t="n"/>
      <c r="BO71" s="311" t="n"/>
      <c r="BP71" s="309" t="n"/>
      <c r="BQ71" s="311" t="n"/>
      <c r="BR71" s="311" t="n"/>
      <c r="BS71" s="311" t="n"/>
      <c r="BT71" s="311" t="n"/>
      <c r="BU71" s="309" t="n"/>
      <c r="BV71" s="311" t="n"/>
      <c r="BW71" s="311" t="n"/>
      <c r="BX71" s="311" t="n"/>
      <c r="BY71" s="311" t="n"/>
      <c r="BZ71" s="309" t="n"/>
      <c r="CA71" s="311" t="n"/>
      <c r="CB71" s="311" t="n"/>
      <c r="CC71" s="311" t="n"/>
      <c r="CD71" s="311" t="n"/>
      <c r="CE71" s="309" t="n"/>
      <c r="CF71" s="311" t="n"/>
      <c r="CG71" s="311" t="n"/>
      <c r="CH71" s="311" t="n"/>
      <c r="CI71" s="311" t="n"/>
      <c r="CJ71" s="309" t="n"/>
      <c r="CK71" s="311" t="n"/>
      <c r="CL71" s="311" t="n"/>
      <c r="CM71" s="311" t="n"/>
      <c r="CN71" s="311" t="n"/>
      <c r="CO71" s="309" t="n"/>
      <c r="CP71" s="311" t="n"/>
      <c r="CQ71" s="311" t="n"/>
      <c r="CR71" s="311" t="n"/>
      <c r="CS71" s="311" t="n"/>
      <c r="CT71" s="309" t="n"/>
      <c r="CU71" s="311" t="n"/>
      <c r="CV71" s="311" t="n"/>
      <c r="CW71" s="311" t="n"/>
      <c r="CX71" s="311" t="n"/>
      <c r="CY71" s="309" t="n"/>
    </row>
    <row r="72" hidden="1" outlineLevel="1" ht="12.75" customHeight="1" s="255">
      <c r="C72" s="305" t="n"/>
      <c r="D72" s="268" t="n"/>
      <c r="E72" s="268" t="n"/>
      <c r="F72" s="268" t="n"/>
      <c r="G72" s="268" t="n"/>
      <c r="H72" s="268" t="n"/>
      <c r="I72" s="268" t="n"/>
      <c r="J72" s="268" t="n"/>
      <c r="K72" s="268" t="n"/>
      <c r="L72" s="268" t="n"/>
      <c r="M72" s="268" t="n"/>
      <c r="N72" s="268" t="n"/>
      <c r="O72" s="268" t="n"/>
      <c r="P72" s="268" t="n"/>
      <c r="Q72" s="268" t="n"/>
      <c r="R72" s="268" t="n"/>
      <c r="S72" s="268" t="n"/>
      <c r="T72" s="268" t="n"/>
      <c r="U72" s="268" t="n"/>
      <c r="V72" s="268" t="n"/>
      <c r="W72" s="268" t="n"/>
      <c r="X72" s="268" t="n"/>
      <c r="Y72" s="268" t="n"/>
      <c r="Z72" s="268" t="n"/>
      <c r="AA72" s="268" t="n"/>
      <c r="AB72" s="268" t="n"/>
      <c r="AC72" s="268" t="n"/>
      <c r="AD72" s="268" t="n"/>
      <c r="AE72" s="268" t="n"/>
      <c r="AF72" s="268" t="n"/>
      <c r="AG72" s="268" t="n"/>
      <c r="AH72" s="268" t="n"/>
      <c r="AI72" s="268" t="n"/>
      <c r="AJ72" s="268" t="n"/>
      <c r="AK72" s="268" t="n"/>
      <c r="AL72" s="268" t="n"/>
      <c r="AM72" s="268" t="n"/>
      <c r="AN72" s="268" t="n"/>
      <c r="AO72" s="268" t="n"/>
      <c r="AP72" s="268" t="n"/>
      <c r="AQ72" s="268" t="n"/>
      <c r="AR72" s="268" t="n"/>
      <c r="AS72" s="268" t="n"/>
      <c r="AT72" s="268" t="n"/>
      <c r="AU72" s="268" t="n"/>
      <c r="AV72" s="268" t="n"/>
      <c r="AW72" s="268" t="n"/>
      <c r="AX72" s="268" t="n"/>
      <c r="AY72" s="268" t="n"/>
      <c r="AZ72" s="268" t="n"/>
      <c r="BA72" s="268" t="n"/>
      <c r="BB72" s="268" t="n"/>
      <c r="BC72" s="268" t="n"/>
      <c r="BD72" s="268" t="n"/>
      <c r="BE72" s="268" t="n"/>
      <c r="BF72" s="268" t="n"/>
      <c r="BG72" s="268" t="n"/>
      <c r="BH72" s="268" t="n"/>
      <c r="BI72" s="268" t="n"/>
      <c r="BJ72" s="268" t="n"/>
      <c r="BK72" s="268" t="n"/>
      <c r="BL72" s="268" t="n"/>
      <c r="BM72" s="268" t="n"/>
      <c r="BN72" s="268" t="n"/>
      <c r="BO72" s="268" t="n"/>
      <c r="BP72" s="268" t="n"/>
      <c r="BQ72" s="268" t="n"/>
      <c r="BR72" s="268" t="n"/>
      <c r="BS72" s="268" t="n"/>
      <c r="BT72" s="268" t="n"/>
      <c r="BU72" s="268" t="n"/>
      <c r="BV72" s="268" t="n"/>
      <c r="BW72" s="268" t="n"/>
      <c r="BX72" s="268" t="n"/>
      <c r="BY72" s="268" t="n"/>
      <c r="BZ72" s="268" t="n"/>
      <c r="CA72" s="268" t="n"/>
      <c r="CB72" s="268" t="n"/>
      <c r="CC72" s="268" t="n"/>
      <c r="CD72" s="268" t="n"/>
      <c r="CE72" s="268" t="n"/>
      <c r="CF72" s="268" t="n"/>
      <c r="CG72" s="268" t="n"/>
      <c r="CH72" s="268" t="n"/>
      <c r="CI72" s="268" t="n"/>
      <c r="CJ72" s="268" t="n"/>
      <c r="CK72" s="268" t="n"/>
      <c r="CL72" s="268" t="n"/>
      <c r="CM72" s="268" t="n"/>
      <c r="CN72" s="268" t="n"/>
      <c r="CO72" s="268" t="n"/>
      <c r="CP72" s="268" t="n"/>
      <c r="CQ72" s="268" t="n"/>
      <c r="CR72" s="268" t="n"/>
      <c r="CS72" s="268" t="n"/>
      <c r="CT72" s="268" t="n"/>
      <c r="CU72" s="268" t="n"/>
      <c r="CV72" s="268" t="n"/>
      <c r="CW72" s="268" t="n"/>
      <c r="CX72" s="268" t="n"/>
      <c r="CY72" s="268" t="n"/>
    </row>
    <row r="73" ht="12.75" customFormat="1" customHeight="1" s="287">
      <c r="A73" s="288" t="n"/>
      <c r="B73" s="259" t="n"/>
      <c r="C73" s="275" t="inlineStr">
        <is>
          <t>Operating Profit - EBIT</t>
        </is>
      </c>
      <c r="D73" s="276">
        <f>SUM(D69,D70)</f>
        <v>-121</v>
      </c>
      <c r="E73" s="276">
        <f>SUM(E69,E70)</f>
        <v>759</v>
      </c>
      <c r="F73" s="276">
        <f>SUM(F69,F70)</f>
        <v>250</v>
      </c>
      <c r="G73" s="276">
        <f>SUM(G69,G70)</f>
        <v>539</v>
      </c>
      <c r="H73" s="276">
        <f>SUM(D73:G73)</f>
        <v>1427</v>
      </c>
      <c r="I73" s="276">
        <f>SUM(I69,I70)</f>
        <v>876</v>
      </c>
      <c r="J73" s="276">
        <f>SUM(J69,J70)</f>
        <v>368</v>
      </c>
      <c r="K73" s="276">
        <f>SUM(K69,K70)</f>
        <v>535</v>
      </c>
      <c r="L73" s="276">
        <f>SUM(L69,L70)</f>
        <v>351</v>
      </c>
      <c r="M73" s="276">
        <f>SUM(I73:L73)</f>
        <v>2130</v>
      </c>
      <c r="N73" s="276">
        <f>SUM(N69,N70)</f>
        <v>896</v>
      </c>
      <c r="O73" s="276">
        <f>SUM(O69,O70)</f>
        <v>438</v>
      </c>
      <c r="P73" s="276">
        <f>SUM(P69,P70)</f>
        <v>551</v>
      </c>
      <c r="Q73" s="276">
        <f>SUM(Q69,Q70)</f>
        <v>428</v>
      </c>
      <c r="R73" s="276">
        <f>SUM(N73:Q73)</f>
        <v>2313</v>
      </c>
      <c r="S73" s="276">
        <f>SUM(S69,S70)</f>
        <v>828</v>
      </c>
      <c r="T73" s="276">
        <f>SUM(T69,T70)</f>
        <v>945</v>
      </c>
      <c r="U73" s="276">
        <f>SUM(U69,U70)</f>
        <v>598</v>
      </c>
      <c r="V73" s="276">
        <f>SUM(V69,V70)</f>
        <v>759</v>
      </c>
      <c r="W73" s="276">
        <f>SUM(S73:V73)</f>
        <v>3130</v>
      </c>
      <c r="X73" s="276">
        <f>SUM(X69,X70)</f>
        <v>437</v>
      </c>
      <c r="Y73" s="276">
        <f>SUM(Y69,Y70)</f>
        <v>215</v>
      </c>
      <c r="Z73" s="276">
        <f>SUM(Z69,Z70)</f>
        <v>335</v>
      </c>
      <c r="AA73" s="276">
        <f>SUM(AA69,AA70)</f>
        <v>630</v>
      </c>
      <c r="AB73" s="276">
        <f>SUM(X73:AA73)</f>
        <v>1617</v>
      </c>
      <c r="AC73" s="276">
        <f>SUM(AC69,AC70)</f>
        <v>217</v>
      </c>
      <c r="AD73" s="276">
        <f>SUM(AD69,AD70)</f>
        <v>320</v>
      </c>
      <c r="AE73" s="276">
        <f>SUM(AE69,AE70)</f>
        <v>385</v>
      </c>
      <c r="AF73" s="276">
        <f>SUM(AF69,AF70)</f>
        <v>374</v>
      </c>
      <c r="AG73" s="276">
        <f>SUM(AC73:AF73)</f>
        <v>1296</v>
      </c>
      <c r="AH73" s="276">
        <f>SUM(AH69,AH70)</f>
        <v>235</v>
      </c>
      <c r="AI73" s="276">
        <f>SUM(AI69,AI70)</f>
        <v>1075</v>
      </c>
      <c r="AJ73" s="276">
        <f>SUM(AJ69,AJ70)</f>
        <v>0</v>
      </c>
      <c r="AK73" s="276">
        <f>SUM(AK69,AK70)</f>
        <v>0</v>
      </c>
      <c r="AL73" s="276">
        <f>SUM(AL69,AL70)</f>
        <v>1310</v>
      </c>
      <c r="AM73" s="276">
        <f>SUM(AM69,AM70)</f>
        <v>0</v>
      </c>
      <c r="AN73" s="276">
        <f>SUM(AN69,AN70)</f>
        <v>0</v>
      </c>
      <c r="AO73" s="276">
        <f>SUM(AO69,AO70)</f>
        <v>0</v>
      </c>
      <c r="AP73" s="276">
        <f>SUM(AP69,AP70)</f>
        <v>0</v>
      </c>
      <c r="AQ73" s="276">
        <f>SUM(AQ69,AQ70)</f>
        <v>0</v>
      </c>
      <c r="AR73" s="276">
        <f>SUM(AR69,AR70)</f>
        <v>0</v>
      </c>
      <c r="AS73" s="276">
        <f>SUM(AS69,AS70)</f>
        <v>0</v>
      </c>
      <c r="AT73" s="276">
        <f>SUM(AT69,AT70)</f>
        <v>0</v>
      </c>
      <c r="AU73" s="276">
        <f>SUM(AU69,AU70)</f>
        <v>0</v>
      </c>
      <c r="AV73" s="276">
        <f>SUM(AV69,AV70)</f>
        <v>0</v>
      </c>
      <c r="AW73" s="276">
        <f>SUM(AW69,AW70)</f>
        <v>0</v>
      </c>
      <c r="AX73" s="276">
        <f>SUM(AX69,AX70)</f>
        <v>0</v>
      </c>
      <c r="AY73" s="276">
        <f>SUM(AY69,AY70)</f>
        <v>0</v>
      </c>
      <c r="AZ73" s="276">
        <f>SUM(AZ69,AZ70)</f>
        <v>0</v>
      </c>
      <c r="BA73" s="276">
        <f>SUM(BA69,BA70)</f>
        <v>0</v>
      </c>
      <c r="BB73" s="276">
        <f>SUM(BB69,BB70)</f>
        <v>0</v>
      </c>
      <c r="BC73" s="276">
        <f>SUM(BC69,BC70)</f>
        <v>0</v>
      </c>
      <c r="BD73" s="276">
        <f>SUM(BD69,BD70)</f>
        <v>0</v>
      </c>
      <c r="BE73" s="276">
        <f>SUM(BE69,BE70)</f>
        <v>0</v>
      </c>
      <c r="BF73" s="276">
        <f>SUM(BF69,BF70)</f>
        <v>0</v>
      </c>
      <c r="BG73" s="276">
        <f>SUM(BG69,BG70)</f>
        <v>0</v>
      </c>
      <c r="BH73" s="276">
        <f>SUM(BH69,BH70)</f>
        <v>0</v>
      </c>
      <c r="BI73" s="276">
        <f>SUM(BI69,BI70)</f>
        <v>0</v>
      </c>
      <c r="BJ73" s="276">
        <f>SUM(BJ69,BJ70)</f>
        <v>0</v>
      </c>
      <c r="BK73" s="276">
        <f>SUM(BK69,BK70)</f>
        <v>0</v>
      </c>
      <c r="BL73" s="276">
        <f>SUM(BL69,BL70)</f>
        <v>0</v>
      </c>
      <c r="BM73" s="276">
        <f>SUM(BM69,BM70)</f>
        <v>0</v>
      </c>
      <c r="BN73" s="276">
        <f>SUM(BN69,BN70)</f>
        <v>0</v>
      </c>
      <c r="BO73" s="276">
        <f>SUM(BO69,BO70)</f>
        <v>0</v>
      </c>
      <c r="BP73" s="276">
        <f>SUM(BP69,BP70)</f>
        <v>0</v>
      </c>
      <c r="BQ73" s="276">
        <f>SUM(BQ69,BQ70)</f>
        <v>0</v>
      </c>
      <c r="BR73" s="276">
        <f>SUM(BR69,BR70)</f>
        <v>0</v>
      </c>
      <c r="BS73" s="276">
        <f>SUM(BS69,BS70)</f>
        <v>0</v>
      </c>
      <c r="BT73" s="276">
        <f>SUM(BT69,BT70)</f>
        <v>0</v>
      </c>
      <c r="BU73" s="276">
        <f>SUM(BU69,BU70)</f>
        <v>0</v>
      </c>
      <c r="BV73" s="276">
        <f>SUM(BV69,BV70)</f>
        <v>0</v>
      </c>
      <c r="BW73" s="276">
        <f>SUM(BW69,BW70)</f>
        <v>0</v>
      </c>
      <c r="BX73" s="276">
        <f>SUM(BX69,BX70)</f>
        <v>0</v>
      </c>
      <c r="BY73" s="276">
        <f>SUM(BY69,BY70)</f>
        <v>0</v>
      </c>
      <c r="BZ73" s="276">
        <f>SUM(BZ69,BZ70)</f>
        <v>0</v>
      </c>
      <c r="CA73" s="276">
        <f>SUM(CA69,CA70)</f>
        <v>0</v>
      </c>
      <c r="CB73" s="276">
        <f>SUM(CB69,CB70)</f>
        <v>0</v>
      </c>
      <c r="CC73" s="276">
        <f>SUM(CC69,CC70)</f>
        <v>0</v>
      </c>
      <c r="CD73" s="276">
        <f>SUM(CD69,CD70)</f>
        <v>0</v>
      </c>
      <c r="CE73" s="276">
        <f>SUM(CE69,CE70)</f>
        <v>0</v>
      </c>
      <c r="CF73" s="276">
        <f>SUM(CF69,CF70)</f>
        <v>0</v>
      </c>
      <c r="CG73" s="276">
        <f>SUM(CG69,CG70)</f>
        <v>0</v>
      </c>
      <c r="CH73" s="276">
        <f>SUM(CH69,CH70)</f>
        <v>0</v>
      </c>
      <c r="CI73" s="276">
        <f>SUM(CI69,CI70)</f>
        <v>0</v>
      </c>
      <c r="CJ73" s="276">
        <f>SUM(CJ69,CJ70)</f>
        <v>0</v>
      </c>
      <c r="CK73" s="276">
        <f>SUM(CK69,CK70)</f>
        <v>0</v>
      </c>
      <c r="CL73" s="276">
        <f>SUM(CL69,CL70)</f>
        <v>0</v>
      </c>
      <c r="CM73" s="276">
        <f>SUM(CM69,CM70)</f>
        <v>0</v>
      </c>
      <c r="CN73" s="276">
        <f>SUM(CN69,CN70)</f>
        <v>0</v>
      </c>
      <c r="CO73" s="276">
        <f>SUM(CO69,CO70)</f>
        <v>0</v>
      </c>
      <c r="CP73" s="276">
        <f>SUM(CP69,CP70)</f>
        <v>0</v>
      </c>
      <c r="CQ73" s="276">
        <f>SUM(CQ69,CQ70)</f>
        <v>0</v>
      </c>
      <c r="CR73" s="276">
        <f>SUM(CR69,CR70)</f>
        <v>0</v>
      </c>
      <c r="CS73" s="276">
        <f>SUM(CS69,CS70)</f>
        <v>0</v>
      </c>
      <c r="CT73" s="276">
        <f>SUM(CT69,CT70)</f>
        <v>0</v>
      </c>
      <c r="CU73" s="276">
        <f>SUM(CU69,CU70)</f>
        <v>0</v>
      </c>
      <c r="CV73" s="276">
        <f>SUM(CV69,CV70)</f>
        <v>0</v>
      </c>
      <c r="CW73" s="276">
        <f>SUM(CW69,CW70)</f>
        <v>0</v>
      </c>
      <c r="CX73" s="276">
        <f>SUM(CX69,CX70)</f>
        <v>0</v>
      </c>
      <c r="CY73" s="276">
        <f>SUM(CY69,CY70)</f>
        <v>0</v>
      </c>
    </row>
    <row r="74" ht="12.75" customHeight="1" s="255">
      <c r="C74" s="270" t="inlineStr">
        <is>
          <t>Interest Expense</t>
        </is>
      </c>
      <c r="D74" s="301">
        <f>INDEX('Inputs (2)'!$D$8:$AL$8,MATCH(D$7,'Inputs (2)'!$D$2:$AL$2,0))</f>
        <v>-77</v>
      </c>
      <c r="E74" s="301">
        <f>INDEX('Inputs (2)'!$D$8:$AL$8,MATCH(E$7,'Inputs (2)'!$D$2:$AL$2,0))</f>
        <v>-62</v>
      </c>
      <c r="F74" s="301">
        <f>INDEX('Inputs (2)'!$D$8:$AL$8,MATCH(F$7,'Inputs (2)'!$D$2:$AL$2,0))</f>
        <v>-56</v>
      </c>
      <c r="G74" s="301">
        <f>INDEX('Inputs (2)'!$D$8:$AL$8,MATCH(G$7,'Inputs (2)'!$D$2:$AL$2,0))</f>
        <v>-70</v>
      </c>
      <c r="H74" s="268">
        <f>SUM(D74:G74)</f>
        <v>-265</v>
      </c>
      <c r="I74" s="301">
        <f>INDEX('Inputs (2)'!$D$8:$AL$8,MATCH(I$7,'Inputs (2)'!$D$2:$AL$2,0))</f>
        <v>-73</v>
      </c>
      <c r="J74" s="301">
        <f>INDEX('Inputs (2)'!$D$8:$AL$8,MATCH(J$7,'Inputs (2)'!$D$2:$AL$2,0))</f>
        <v>-54</v>
      </c>
      <c r="K74" s="301">
        <f>INDEX('Inputs (2)'!$D$8:$AL$8,MATCH(K$7,'Inputs (2)'!$D$2:$AL$2,0))</f>
        <v>-57</v>
      </c>
      <c r="L74" s="301">
        <f>INDEX('Inputs (2)'!$D$8:$AL$8,MATCH(L$7,'Inputs (2)'!$D$2:$AL$2,0))</f>
        <v>-59</v>
      </c>
      <c r="M74" s="268">
        <f>SUM(I74:L74)</f>
        <v>-243</v>
      </c>
      <c r="N74" s="301">
        <f>INDEX('Inputs (2)'!$D$8:$AL$8,MATCH(N$7,'Inputs (2)'!$D$2:$AL$2,0))</f>
        <v>-111</v>
      </c>
      <c r="O74" s="301">
        <f>INDEX('Inputs (2)'!$D$8:$AL$8,MATCH(O$7,'Inputs (2)'!$D$2:$AL$2,0))</f>
        <v>-92</v>
      </c>
      <c r="P74" s="301">
        <f>INDEX('Inputs (2)'!$D$8:$AL$8,MATCH(P$7,'Inputs (2)'!$D$2:$AL$2,0))</f>
        <v>-103</v>
      </c>
      <c r="Q74" s="301">
        <f>INDEX('Inputs (2)'!$D$8:$AL$8,MATCH(Q$7,'Inputs (2)'!$D$2:$AL$2,0))</f>
        <v>-97</v>
      </c>
      <c r="R74" s="268">
        <f>SUM(N74:Q74)</f>
        <v>-403</v>
      </c>
      <c r="S74" s="301">
        <f>INDEX('Inputs (2)'!$D$8:$AL$8,MATCH(S$7,'Inputs (2)'!$D$2:$AL$2,0))</f>
        <v>-112</v>
      </c>
      <c r="T74" s="301">
        <f>INDEX('Inputs (2)'!$D$8:$AL$8,MATCH(T$7,'Inputs (2)'!$D$2:$AL$2,0))</f>
        <v>-129</v>
      </c>
      <c r="U74" s="301">
        <f>INDEX('Inputs (2)'!$D$8:$AL$8,MATCH(U$7,'Inputs (2)'!$D$2:$AL$2,0))</f>
        <v>-133</v>
      </c>
      <c r="V74" s="301">
        <f>INDEX('Inputs (2)'!$D$8:$AL$8,MATCH(V$7,'Inputs (2)'!$D$2:$AL$2,0))</f>
        <v>-142</v>
      </c>
      <c r="W74" s="268">
        <f>SUM(S74:V74)</f>
        <v>-516</v>
      </c>
      <c r="X74" s="301">
        <f>INDEX('Inputs (2)'!$D$8:$AL$8,MATCH(X$7,'Inputs (2)'!$D$2:$AL$2,0))</f>
        <v>-108</v>
      </c>
      <c r="Y74" s="301">
        <f>INDEX('Inputs (2)'!$D$8:$AL$8,MATCH(Y$7,'Inputs (2)'!$D$2:$AL$2,0))</f>
        <v>-123</v>
      </c>
      <c r="Z74" s="301">
        <f>INDEX('Inputs (2)'!$D$8:$AL$8,MATCH(Z$7,'Inputs (2)'!$D$2:$AL$2,0))</f>
        <v>-127</v>
      </c>
      <c r="AA74" s="301">
        <f>INDEX('Inputs (2)'!$D$8:$AL$8,MATCH(AA$7,'Inputs (2)'!$D$2:$AL$2,0))</f>
        <v>-113</v>
      </c>
      <c r="AB74" s="268">
        <f>SUM(X74:AA74)</f>
        <v>-471</v>
      </c>
      <c r="AC74" s="301">
        <f>INDEX('Inputs (2)'!$D$8:$AL$8,MATCH(AC$7,'Inputs (2)'!$D$2:$AL$2,0))</f>
        <v>-104</v>
      </c>
      <c r="AD74" s="301">
        <f>INDEX('Inputs (2)'!$D$8:$AL$8,MATCH(AD$7,'Inputs (2)'!$D$2:$AL$2,0))</f>
        <v>-106</v>
      </c>
      <c r="AE74" s="301">
        <f>INDEX('Inputs (2)'!$D$8:$AL$8,MATCH(AE$7,'Inputs (2)'!$D$2:$AL$2,0))</f>
        <v>-202</v>
      </c>
      <c r="AF74" s="301">
        <f>INDEX('Inputs (2)'!$D$8:$AL$8,MATCH(AF$7,'Inputs (2)'!$D$2:$AL$2,0))</f>
        <v>-216</v>
      </c>
      <c r="AG74" s="268">
        <f>SUM(AC74:AF74)</f>
        <v>-628</v>
      </c>
      <c r="AH74" s="268">
        <f>INDEX('Inputs (2)'!$D$8:$AL$8,MATCH(AH$7,'Inputs (2)'!$D$2:$AL$2,0))</f>
        <v>-181</v>
      </c>
      <c r="AI74" s="268">
        <f>INDEX('Inputs (2)'!$D$8:$AL$8,MATCH(AI$7,'Inputs (2)'!$D$2:$AL$2,0))</f>
        <v>-197</v>
      </c>
      <c r="AJ74" s="268" t="n"/>
      <c r="AK74" s="268" t="n"/>
      <c r="AL74" s="268">
        <f>SUM(AH74:AK74)</f>
        <v>-378</v>
      </c>
      <c r="AM74" s="268" t="n"/>
      <c r="AN74" s="268" t="n"/>
      <c r="AO74" s="268" t="n"/>
      <c r="AP74" s="268" t="n"/>
      <c r="AQ74" s="268">
        <f>SUM(AM74:AP74)</f>
        <v>0</v>
      </c>
      <c r="AR74" s="268" t="n"/>
      <c r="AS74" s="268" t="n"/>
      <c r="AT74" s="268" t="n"/>
      <c r="AU74" s="268" t="n"/>
      <c r="AV74" s="268">
        <f>SUM(AR74:AU74)</f>
        <v>0</v>
      </c>
      <c r="AW74" s="268" t="n"/>
      <c r="AX74" s="268" t="n"/>
      <c r="AY74" s="268" t="n"/>
      <c r="AZ74" s="268" t="n"/>
      <c r="BA74" s="268">
        <f>SUM(AW74:AZ74)</f>
        <v>0</v>
      </c>
      <c r="BB74" s="268" t="n"/>
      <c r="BC74" s="268" t="n"/>
      <c r="BD74" s="268" t="n"/>
      <c r="BE74" s="268" t="n"/>
      <c r="BF74" s="268">
        <f>SUM(BB74:BE74)</f>
        <v>0</v>
      </c>
      <c r="BG74" s="268" t="n"/>
      <c r="BH74" s="268" t="n"/>
      <c r="BI74" s="268" t="n"/>
      <c r="BJ74" s="268" t="n"/>
      <c r="BK74" s="268">
        <f>SUM(BG74:BJ74)</f>
        <v>0</v>
      </c>
      <c r="BL74" s="268" t="n"/>
      <c r="BM74" s="268" t="n"/>
      <c r="BN74" s="268" t="n"/>
      <c r="BO74" s="268" t="n"/>
      <c r="BP74" s="268">
        <f>SUM(BL74:BO74)</f>
        <v>0</v>
      </c>
      <c r="BQ74" s="268" t="n"/>
      <c r="BR74" s="268" t="n"/>
      <c r="BS74" s="268" t="n"/>
      <c r="BT74" s="268" t="n"/>
      <c r="BU74" s="268">
        <f>SUM(BQ74:BT74)</f>
        <v>0</v>
      </c>
      <c r="BV74" s="268" t="n"/>
      <c r="BW74" s="268" t="n"/>
      <c r="BX74" s="268" t="n"/>
      <c r="BY74" s="268" t="n"/>
      <c r="BZ74" s="268">
        <f>SUM(BV74:BY74)</f>
        <v>0</v>
      </c>
      <c r="CA74" s="268" t="n"/>
      <c r="CB74" s="268" t="n"/>
      <c r="CC74" s="268" t="n"/>
      <c r="CD74" s="268" t="n"/>
      <c r="CE74" s="268">
        <f>SUM(CA74:CD74)</f>
        <v>0</v>
      </c>
      <c r="CF74" s="268" t="n"/>
      <c r="CG74" s="268" t="n"/>
      <c r="CH74" s="268" t="n"/>
      <c r="CI74" s="268" t="n"/>
      <c r="CJ74" s="268">
        <f>SUM(CF74:CI74)</f>
        <v>0</v>
      </c>
      <c r="CK74" s="268" t="n"/>
      <c r="CL74" s="268" t="n"/>
      <c r="CM74" s="268" t="n"/>
      <c r="CN74" s="268" t="n"/>
      <c r="CO74" s="268">
        <f>SUM(CK74:CN74)</f>
        <v>0</v>
      </c>
      <c r="CP74" s="268" t="n"/>
      <c r="CQ74" s="268" t="n"/>
      <c r="CR74" s="268" t="n"/>
      <c r="CS74" s="268" t="n"/>
      <c r="CT74" s="268">
        <f>SUM(CP74:CS74)</f>
        <v>0</v>
      </c>
      <c r="CU74" s="268" t="n"/>
      <c r="CV74" s="268" t="n"/>
      <c r="CW74" s="268" t="n"/>
      <c r="CX74" s="268" t="n"/>
      <c r="CY74" s="268">
        <f>SUM(CU74:CX74)</f>
        <v>0</v>
      </c>
    </row>
    <row r="75" hidden="1" outlineLevel="1" ht="12.75" customHeight="1" s="255">
      <c r="C75" s="305" t="inlineStr">
        <is>
          <t>% of Debt</t>
        </is>
      </c>
      <c r="D75" s="309">
        <f>IFERROR(-D74/SUM(D212+D217),0)</f>
        <v>0.015406162464986</v>
      </c>
      <c r="E75" s="309">
        <f>IFERROR(-E74/SUM(E212+E217),0)</f>
        <v>0.0102700016564519</v>
      </c>
      <c r="F75" s="309">
        <f>IFERROR(-F74/SUM(F212+F217),0)</f>
        <v>0.00856531049250535</v>
      </c>
      <c r="G75" s="309">
        <f>IFERROR(-G74/SUM(G212+G217),0)</f>
        <v>0.00960482985729967</v>
      </c>
      <c r="H75" s="268" t="n"/>
      <c r="I75" s="309">
        <f>IFERROR(-I74/SUM(I212+I217),0)</f>
        <v>0.0103458049886621</v>
      </c>
      <c r="J75" s="309">
        <f>IFERROR(-J74/SUM(J212+J217),0)</f>
        <v>0.00750729876268595</v>
      </c>
      <c r="K75" s="309">
        <f>IFERROR(-K74/SUM(K212+K217),0)</f>
        <v>0.0088030888030888</v>
      </c>
      <c r="L75" s="309">
        <f>IFERROR(-L74/SUM(L212+L217),0)</f>
        <v>0.00989268947015426</v>
      </c>
      <c r="M75" s="268" t="n"/>
      <c r="N75" s="309">
        <f>IFERROR(-N74/SUM(N212+N217),0)</f>
        <v>0.0171296296296296</v>
      </c>
      <c r="O75" s="309">
        <f>IFERROR(-O74/SUM(O212+O217),0)</f>
        <v>0.0141125939561282</v>
      </c>
      <c r="P75" s="309">
        <f>IFERROR(-P74/SUM(P212+P217),0)</f>
        <v>0.0202079654698842</v>
      </c>
      <c r="Q75" s="309">
        <f>IFERROR(-Q74/SUM(Q212+Q217),0)</f>
        <v>0.0208557299505483</v>
      </c>
      <c r="R75" s="268" t="n"/>
      <c r="S75" s="309">
        <f>IFERROR(-S74/SUM(S212+S217),0)</f>
        <v>0.0195804195804196</v>
      </c>
      <c r="T75" s="309">
        <f>IFERROR(-T74/SUM(T212+T217),0)</f>
        <v>0.0260658718933118</v>
      </c>
      <c r="U75" s="309">
        <f>IFERROR(-U74/SUM(U212+U217),0)</f>
        <v>0.0256657661134697</v>
      </c>
      <c r="V75" s="309">
        <f>IFERROR(-V74/SUM(V212+V217),0)</f>
        <v>0.0290864399836133</v>
      </c>
      <c r="W75" s="268" t="n"/>
      <c r="X75" s="309">
        <f>IFERROR(-X74/SUM(X212+X217),0)</f>
        <v>0.0211972522080471</v>
      </c>
      <c r="Y75" s="309">
        <f>IFERROR(-Y74/SUM(Y212+Y217),0)</f>
        <v>0.0244047619047619</v>
      </c>
      <c r="Z75" s="309">
        <f>IFERROR(-Z74/SUM(Z212+Z217),0)</f>
        <v>0.020500403551251</v>
      </c>
      <c r="AA75" s="309">
        <f>IFERROR(-AA74/SUM(AA212+AA217),0)</f>
        <v>0.0181147803783264</v>
      </c>
      <c r="AB75" s="268" t="n"/>
      <c r="AC75" s="309">
        <f>IFERROR(-AC74/SUM(AC212+AC217),0)</f>
        <v>0.0154831025755546</v>
      </c>
      <c r="AD75" s="309">
        <f>IFERROR(-AD74/SUM(AD212+AD217),0)</f>
        <v>0.00940633596592422</v>
      </c>
      <c r="AE75" s="309">
        <f>IFERROR(-AE74/SUM(AE212+AE217),0)</f>
        <v>0.0129578548976843</v>
      </c>
      <c r="AF75" s="311">
        <f>IFERROR(-AF74/SUM(AF212+AF217),0)</f>
        <v>0.0153725713472351</v>
      </c>
      <c r="AG75" s="268" t="n"/>
      <c r="AH75" s="267">
        <f>IFERROR(-AH74/SUM(AH212+AH217),0)</f>
        <v>0.0124372981515839</v>
      </c>
      <c r="AI75" s="267">
        <f>IFERROR(-AI74/SUM(AI212+AI217),0)</f>
        <v>0.0129485999737084</v>
      </c>
      <c r="AJ75" s="267" t="n"/>
      <c r="AK75" s="267" t="n"/>
      <c r="AL75" s="268" t="n"/>
      <c r="AM75" s="267" t="n"/>
      <c r="AN75" s="267" t="n"/>
      <c r="AO75" s="267" t="n"/>
      <c r="AP75" s="267" t="n"/>
      <c r="AQ75" s="268" t="n"/>
      <c r="AR75" s="267" t="n"/>
      <c r="AS75" s="267" t="n"/>
      <c r="AT75" s="267" t="n"/>
      <c r="AU75" s="267" t="n"/>
      <c r="AV75" s="268" t="n"/>
      <c r="AW75" s="267" t="n"/>
      <c r="AX75" s="267" t="n"/>
      <c r="AY75" s="267" t="n"/>
      <c r="AZ75" s="267" t="n"/>
      <c r="BA75" s="268" t="n"/>
      <c r="BB75" s="267" t="n"/>
      <c r="BC75" s="267" t="n"/>
      <c r="BD75" s="267" t="n"/>
      <c r="BE75" s="267" t="n"/>
      <c r="BF75" s="268" t="n"/>
      <c r="BG75" s="267" t="n"/>
      <c r="BH75" s="267" t="n"/>
      <c r="BI75" s="267" t="n"/>
      <c r="BJ75" s="267" t="n"/>
      <c r="BK75" s="268" t="n"/>
      <c r="BL75" s="267" t="n"/>
      <c r="BM75" s="267" t="n"/>
      <c r="BN75" s="267" t="n"/>
      <c r="BO75" s="267" t="n"/>
      <c r="BP75" s="268" t="n"/>
      <c r="BQ75" s="267" t="n"/>
      <c r="BR75" s="267" t="n"/>
      <c r="BS75" s="267" t="n"/>
      <c r="BT75" s="267" t="n"/>
      <c r="BU75" s="268" t="n"/>
      <c r="BV75" s="267" t="n"/>
      <c r="BW75" s="267" t="n"/>
      <c r="BX75" s="267" t="n"/>
      <c r="BY75" s="267" t="n"/>
      <c r="BZ75" s="268" t="n"/>
      <c r="CA75" s="267" t="n"/>
      <c r="CB75" s="267" t="n"/>
      <c r="CC75" s="267" t="n"/>
      <c r="CD75" s="267" t="n"/>
      <c r="CE75" s="268" t="n"/>
      <c r="CF75" s="267" t="n"/>
      <c r="CG75" s="267" t="n"/>
      <c r="CH75" s="267" t="n"/>
      <c r="CI75" s="267" t="n"/>
      <c r="CJ75" s="268" t="n"/>
      <c r="CK75" s="267" t="n"/>
      <c r="CL75" s="267" t="n"/>
      <c r="CM75" s="267" t="n"/>
      <c r="CN75" s="267" t="n"/>
      <c r="CO75" s="268" t="n"/>
      <c r="CP75" s="267" t="n"/>
      <c r="CQ75" s="267" t="n"/>
      <c r="CR75" s="267" t="n"/>
      <c r="CS75" s="267" t="n"/>
      <c r="CT75" s="268" t="n"/>
      <c r="CU75" s="267" t="n"/>
      <c r="CV75" s="267" t="n"/>
      <c r="CW75" s="267" t="n"/>
      <c r="CX75" s="267" t="n"/>
      <c r="CY75" s="268" t="n"/>
    </row>
    <row r="76" hidden="1" outlineLevel="1" ht="12.75" customHeight="1" s="255">
      <c r="C76" s="305" t="inlineStr">
        <is>
          <t>%CDI</t>
        </is>
      </c>
      <c r="D76" s="267" t="n"/>
      <c r="E76" s="267" t="n"/>
      <c r="F76" s="267" t="n"/>
      <c r="G76" s="267" t="n"/>
      <c r="H76" s="268" t="n"/>
      <c r="I76" s="267" t="n"/>
      <c r="J76" s="267" t="n"/>
      <c r="K76" s="267" t="n"/>
      <c r="L76" s="267" t="n"/>
      <c r="M76" s="268" t="n"/>
      <c r="N76" s="267" t="n"/>
      <c r="O76" s="267" t="n"/>
      <c r="P76" s="267" t="n"/>
      <c r="Q76" s="267" t="n"/>
      <c r="R76" s="268" t="n"/>
      <c r="S76" s="267" t="n"/>
      <c r="T76" s="267" t="n"/>
      <c r="U76" s="267" t="n"/>
      <c r="V76" s="267" t="n"/>
      <c r="W76" s="268" t="n"/>
      <c r="X76" s="267" t="n"/>
      <c r="Y76" s="267" t="n"/>
      <c r="Z76" s="267" t="n"/>
      <c r="AA76" s="267" t="n"/>
      <c r="AB76" s="268" t="n"/>
      <c r="AC76" s="267" t="n"/>
      <c r="AD76" s="267" t="n"/>
      <c r="AE76" s="267" t="n"/>
      <c r="AF76" s="267" t="n"/>
      <c r="AG76" s="268" t="n"/>
      <c r="AH76" s="267" t="n"/>
      <c r="AI76" s="267" t="n"/>
      <c r="AJ76" s="267" t="n"/>
      <c r="AK76" s="267" t="n"/>
      <c r="AL76" s="268" t="n"/>
      <c r="AM76" s="267" t="n"/>
      <c r="AN76" s="267" t="n"/>
      <c r="AO76" s="267" t="n"/>
      <c r="AP76" s="267" t="n"/>
      <c r="AQ76" s="268" t="n"/>
      <c r="AR76" s="267" t="n"/>
      <c r="AS76" s="267" t="n"/>
      <c r="AT76" s="267" t="n"/>
      <c r="AU76" s="267" t="n"/>
      <c r="AV76" s="268" t="n"/>
      <c r="AW76" s="267" t="n"/>
      <c r="AX76" s="267" t="n"/>
      <c r="AY76" s="267" t="n"/>
      <c r="AZ76" s="267" t="n"/>
      <c r="BA76" s="268" t="n"/>
      <c r="BB76" s="267" t="n"/>
      <c r="BC76" s="267" t="n"/>
      <c r="BD76" s="267" t="n"/>
      <c r="BE76" s="267" t="n"/>
      <c r="BF76" s="268" t="n"/>
      <c r="BG76" s="267" t="n"/>
      <c r="BH76" s="267" t="n"/>
      <c r="BI76" s="267" t="n"/>
      <c r="BJ76" s="267" t="n"/>
      <c r="BK76" s="268" t="n"/>
      <c r="BL76" s="267" t="n"/>
      <c r="BM76" s="267" t="n"/>
      <c r="BN76" s="267" t="n"/>
      <c r="BO76" s="267" t="n"/>
      <c r="BP76" s="268" t="n"/>
      <c r="BQ76" s="267" t="n"/>
      <c r="BR76" s="267" t="n"/>
      <c r="BS76" s="267" t="n"/>
      <c r="BT76" s="267" t="n"/>
      <c r="BU76" s="268" t="n"/>
      <c r="BV76" s="267" t="n"/>
      <c r="BW76" s="267" t="n"/>
      <c r="BX76" s="267" t="n"/>
      <c r="BY76" s="267" t="n"/>
      <c r="BZ76" s="268" t="n"/>
      <c r="CA76" s="267" t="n"/>
      <c r="CB76" s="267" t="n"/>
      <c r="CC76" s="267" t="n"/>
      <c r="CD76" s="267" t="n"/>
      <c r="CE76" s="268" t="n"/>
      <c r="CF76" s="267" t="n"/>
      <c r="CG76" s="267" t="n"/>
      <c r="CH76" s="267" t="n"/>
      <c r="CI76" s="267" t="n"/>
      <c r="CJ76" s="268" t="n"/>
      <c r="CK76" s="267" t="n"/>
      <c r="CL76" s="267" t="n"/>
      <c r="CM76" s="267" t="n"/>
      <c r="CN76" s="267" t="n"/>
      <c r="CO76" s="268" t="n"/>
      <c r="CP76" s="267" t="n"/>
      <c r="CQ76" s="267" t="n"/>
      <c r="CR76" s="267" t="n"/>
      <c r="CS76" s="267" t="n"/>
      <c r="CT76" s="268" t="n"/>
      <c r="CU76" s="267" t="n"/>
      <c r="CV76" s="267" t="n"/>
      <c r="CW76" s="267" t="n"/>
      <c r="CX76" s="267" t="n"/>
      <c r="CY76" s="268" t="n"/>
    </row>
    <row r="77" hidden="1" outlineLevel="1" ht="12.75" customHeight="1" s="255">
      <c r="C77" s="312" t="n"/>
      <c r="D77" s="268" t="n"/>
      <c r="E77" s="268" t="n"/>
      <c r="F77" s="268" t="n"/>
      <c r="G77" s="268" t="n"/>
      <c r="H77" s="268" t="n"/>
      <c r="I77" s="268" t="n"/>
      <c r="J77" s="268" t="n"/>
      <c r="K77" s="268" t="n"/>
      <c r="L77" s="268" t="n"/>
      <c r="M77" s="268" t="n"/>
      <c r="N77" s="268" t="n"/>
      <c r="O77" s="268" t="n"/>
      <c r="P77" s="268" t="n"/>
      <c r="Q77" s="268" t="n"/>
      <c r="R77" s="268" t="n"/>
      <c r="S77" s="268" t="n"/>
      <c r="T77" s="268" t="n"/>
      <c r="U77" s="268" t="n"/>
      <c r="V77" s="268" t="n"/>
      <c r="W77" s="268" t="n"/>
      <c r="X77" s="268" t="n"/>
      <c r="Y77" s="268" t="n"/>
      <c r="Z77" s="268" t="n"/>
      <c r="AA77" s="268" t="n"/>
      <c r="AB77" s="268" t="n"/>
      <c r="AC77" s="268" t="n"/>
      <c r="AD77" s="268" t="n"/>
      <c r="AE77" s="268" t="n"/>
      <c r="AF77" s="268" t="n"/>
      <c r="AG77" s="268" t="n"/>
      <c r="AH77" s="268" t="n"/>
      <c r="AI77" s="268" t="n"/>
      <c r="AJ77" s="268" t="n"/>
      <c r="AK77" s="268" t="n"/>
      <c r="AL77" s="268" t="n"/>
      <c r="AM77" s="268" t="n"/>
      <c r="AN77" s="268" t="n"/>
      <c r="AO77" s="268" t="n"/>
      <c r="AP77" s="268" t="n"/>
      <c r="AQ77" s="268" t="n"/>
      <c r="AR77" s="268" t="n"/>
      <c r="AS77" s="268" t="n"/>
      <c r="AT77" s="268" t="n"/>
      <c r="AU77" s="268" t="n"/>
      <c r="AV77" s="268" t="n"/>
      <c r="AW77" s="268" t="n"/>
      <c r="AX77" s="268" t="n"/>
      <c r="AY77" s="268" t="n"/>
      <c r="AZ77" s="268" t="n"/>
      <c r="BA77" s="268" t="n"/>
      <c r="BB77" s="268" t="n"/>
      <c r="BC77" s="268" t="n"/>
      <c r="BD77" s="268" t="n"/>
      <c r="BE77" s="268" t="n"/>
      <c r="BF77" s="268" t="n"/>
      <c r="BG77" s="268" t="n"/>
      <c r="BH77" s="268" t="n"/>
      <c r="BI77" s="268" t="n"/>
      <c r="BJ77" s="268" t="n"/>
      <c r="BK77" s="268" t="n"/>
      <c r="BL77" s="268" t="n"/>
      <c r="BM77" s="268" t="n"/>
      <c r="BN77" s="268" t="n"/>
      <c r="BO77" s="268" t="n"/>
      <c r="BP77" s="268" t="n"/>
      <c r="BQ77" s="268" t="n"/>
      <c r="BR77" s="268" t="n"/>
      <c r="BS77" s="268" t="n"/>
      <c r="BT77" s="268" t="n"/>
      <c r="BU77" s="268" t="n"/>
      <c r="BV77" s="268" t="n"/>
      <c r="BW77" s="268" t="n"/>
      <c r="BX77" s="268" t="n"/>
      <c r="BY77" s="268" t="n"/>
      <c r="BZ77" s="268" t="n"/>
      <c r="CA77" s="268" t="n"/>
      <c r="CB77" s="268" t="n"/>
      <c r="CC77" s="268" t="n"/>
      <c r="CD77" s="268" t="n"/>
      <c r="CE77" s="268" t="n"/>
      <c r="CF77" s="268" t="n"/>
      <c r="CG77" s="268" t="n"/>
      <c r="CH77" s="268" t="n"/>
      <c r="CI77" s="268" t="n"/>
      <c r="CJ77" s="268" t="n"/>
      <c r="CK77" s="268" t="n"/>
      <c r="CL77" s="268" t="n"/>
      <c r="CM77" s="268" t="n"/>
      <c r="CN77" s="268" t="n"/>
      <c r="CO77" s="268" t="n"/>
      <c r="CP77" s="268" t="n"/>
      <c r="CQ77" s="268" t="n"/>
      <c r="CR77" s="268" t="n"/>
      <c r="CS77" s="268" t="n"/>
      <c r="CT77" s="268" t="n"/>
      <c r="CU77" s="268" t="n"/>
      <c r="CV77" s="268" t="n"/>
      <c r="CW77" s="268" t="n"/>
      <c r="CX77" s="268" t="n"/>
      <c r="CY77" s="268" t="n"/>
    </row>
    <row r="78" hidden="1" outlineLevel="1" ht="12.75" customHeight="1" s="255">
      <c r="C78" s="312" t="n"/>
      <c r="D78" s="268" t="n"/>
      <c r="E78" s="268" t="n"/>
      <c r="F78" s="268" t="n"/>
      <c r="G78" s="268" t="n"/>
      <c r="H78" s="268" t="n"/>
      <c r="I78" s="268" t="n"/>
      <c r="J78" s="268" t="n"/>
      <c r="K78" s="268" t="n"/>
      <c r="L78" s="268" t="n"/>
      <c r="M78" s="268" t="n"/>
      <c r="N78" s="268" t="n"/>
      <c r="O78" s="268" t="n"/>
      <c r="P78" s="268" t="n"/>
      <c r="Q78" s="268" t="n"/>
      <c r="R78" s="268" t="n"/>
      <c r="S78" s="268" t="n"/>
      <c r="T78" s="268" t="n"/>
      <c r="U78" s="268" t="n"/>
      <c r="V78" s="268" t="n"/>
      <c r="W78" s="268" t="n"/>
      <c r="X78" s="268" t="n"/>
      <c r="Y78" s="268" t="n"/>
      <c r="Z78" s="268" t="n"/>
      <c r="AA78" s="268" t="n"/>
      <c r="AB78" s="268" t="n"/>
      <c r="AC78" s="268" t="n"/>
      <c r="AD78" s="268" t="n"/>
      <c r="AE78" s="268" t="n"/>
      <c r="AF78" s="268" t="n"/>
      <c r="AG78" s="268" t="n"/>
      <c r="AH78" s="268" t="n"/>
      <c r="AI78" s="268" t="n"/>
      <c r="AJ78" s="268" t="n"/>
      <c r="AK78" s="268" t="n"/>
      <c r="AL78" s="268" t="n"/>
      <c r="AM78" s="268" t="n"/>
      <c r="AN78" s="268" t="n"/>
      <c r="AO78" s="268" t="n"/>
      <c r="AP78" s="268" t="n"/>
      <c r="AQ78" s="268" t="n"/>
      <c r="AR78" s="268" t="n"/>
      <c r="AS78" s="268" t="n"/>
      <c r="AT78" s="268" t="n"/>
      <c r="AU78" s="268" t="n"/>
      <c r="AV78" s="268" t="n"/>
      <c r="AW78" s="268" t="n"/>
      <c r="AX78" s="268" t="n"/>
      <c r="AY78" s="268" t="n"/>
      <c r="AZ78" s="268" t="n"/>
      <c r="BA78" s="268" t="n"/>
      <c r="BB78" s="268" t="n"/>
      <c r="BC78" s="268" t="n"/>
      <c r="BD78" s="268" t="n"/>
      <c r="BE78" s="268" t="n"/>
      <c r="BF78" s="268" t="n"/>
      <c r="BG78" s="268" t="n"/>
      <c r="BH78" s="268" t="n"/>
      <c r="BI78" s="268" t="n"/>
      <c r="BJ78" s="268" t="n"/>
      <c r="BK78" s="268" t="n"/>
      <c r="BL78" s="268" t="n"/>
      <c r="BM78" s="268" t="n"/>
      <c r="BN78" s="268" t="n"/>
      <c r="BO78" s="268" t="n"/>
      <c r="BP78" s="268" t="n"/>
      <c r="BQ78" s="268" t="n"/>
      <c r="BR78" s="268" t="n"/>
      <c r="BS78" s="268" t="n"/>
      <c r="BT78" s="268" t="n"/>
      <c r="BU78" s="268" t="n"/>
      <c r="BV78" s="268" t="n"/>
      <c r="BW78" s="268" t="n"/>
      <c r="BX78" s="268" t="n"/>
      <c r="BY78" s="268" t="n"/>
      <c r="BZ78" s="268" t="n"/>
      <c r="CA78" s="268" t="n"/>
      <c r="CB78" s="268" t="n"/>
      <c r="CC78" s="268" t="n"/>
      <c r="CD78" s="268" t="n"/>
      <c r="CE78" s="268" t="n"/>
      <c r="CF78" s="268" t="n"/>
      <c r="CG78" s="268" t="n"/>
      <c r="CH78" s="268" t="n"/>
      <c r="CI78" s="268" t="n"/>
      <c r="CJ78" s="268" t="n"/>
      <c r="CK78" s="268" t="n"/>
      <c r="CL78" s="268" t="n"/>
      <c r="CM78" s="268" t="n"/>
      <c r="CN78" s="268" t="n"/>
      <c r="CO78" s="268" t="n"/>
      <c r="CP78" s="268" t="n"/>
      <c r="CQ78" s="268" t="n"/>
      <c r="CR78" s="268" t="n"/>
      <c r="CS78" s="268" t="n"/>
      <c r="CT78" s="268" t="n"/>
      <c r="CU78" s="268" t="n"/>
      <c r="CV78" s="268" t="n"/>
      <c r="CW78" s="268" t="n"/>
      <c r="CX78" s="268" t="n"/>
      <c r="CY78" s="268" t="n"/>
    </row>
    <row r="79" hidden="1" outlineLevel="1" ht="12.75" customHeight="1" s="255">
      <c r="C79" s="312" t="inlineStr">
        <is>
          <t>RECEITA FINANCEIRA</t>
        </is>
      </c>
      <c r="D79" s="268" t="n"/>
      <c r="E79" s="268" t="n"/>
      <c r="F79" s="268" t="n"/>
      <c r="G79" s="268" t="n"/>
      <c r="H79" s="268" t="n"/>
      <c r="I79" s="268" t="n"/>
      <c r="J79" s="268" t="n"/>
      <c r="K79" s="268" t="n"/>
      <c r="L79" s="268" t="n"/>
      <c r="M79" s="268" t="n"/>
      <c r="N79" s="268" t="n"/>
      <c r="O79" s="268" t="n"/>
      <c r="P79" s="268" t="n"/>
      <c r="Q79" s="268" t="n"/>
      <c r="R79" s="268" t="n"/>
      <c r="S79" s="268" t="n"/>
      <c r="T79" s="268" t="n"/>
      <c r="U79" s="268" t="n"/>
      <c r="V79" s="268" t="n"/>
      <c r="W79" s="268" t="n"/>
      <c r="X79" s="268" t="n"/>
      <c r="Y79" s="268" t="n"/>
      <c r="Z79" s="268" t="n"/>
      <c r="AA79" s="268" t="n"/>
      <c r="AB79" s="268" t="n"/>
      <c r="AC79" s="268" t="n"/>
      <c r="AD79" s="268" t="n"/>
      <c r="AE79" s="268" t="n"/>
      <c r="AF79" s="268" t="n"/>
      <c r="AG79" s="268" t="n"/>
      <c r="AH79" s="268" t="n"/>
      <c r="AI79" s="268" t="n"/>
      <c r="AJ79" s="268" t="n"/>
      <c r="AK79" s="268" t="n"/>
      <c r="AL79" s="268" t="n"/>
      <c r="AM79" s="268" t="n"/>
      <c r="AN79" s="268" t="n"/>
      <c r="AO79" s="268" t="n"/>
      <c r="AP79" s="268" t="n"/>
      <c r="AQ79" s="268" t="n"/>
      <c r="AR79" s="268" t="n"/>
      <c r="AS79" s="268" t="n"/>
      <c r="AT79" s="268" t="n"/>
      <c r="AU79" s="268" t="n"/>
      <c r="AV79" s="268" t="n"/>
      <c r="AW79" s="268" t="n"/>
      <c r="AX79" s="268" t="n"/>
      <c r="AY79" s="268" t="n"/>
      <c r="AZ79" s="268" t="n"/>
      <c r="BA79" s="268" t="n"/>
      <c r="BB79" s="268" t="n"/>
      <c r="BC79" s="268" t="n"/>
      <c r="BD79" s="268" t="n"/>
      <c r="BE79" s="268" t="n"/>
      <c r="BF79" s="268" t="n"/>
      <c r="BG79" s="268" t="n"/>
      <c r="BH79" s="268" t="n"/>
      <c r="BI79" s="268" t="n"/>
      <c r="BJ79" s="268" t="n"/>
      <c r="BK79" s="268" t="n"/>
      <c r="BL79" s="268" t="n"/>
      <c r="BM79" s="268" t="n"/>
      <c r="BN79" s="268" t="n"/>
      <c r="BO79" s="268" t="n"/>
      <c r="BP79" s="268" t="n"/>
      <c r="BQ79" s="268" t="n"/>
      <c r="BR79" s="268" t="n"/>
      <c r="BS79" s="268" t="n"/>
      <c r="BT79" s="268" t="n"/>
      <c r="BU79" s="268" t="n"/>
      <c r="BV79" s="268" t="n"/>
      <c r="BW79" s="268" t="n"/>
      <c r="BX79" s="268" t="n"/>
      <c r="BY79" s="268" t="n"/>
      <c r="BZ79" s="268" t="n"/>
      <c r="CA79" s="268" t="n"/>
      <c r="CB79" s="268" t="n"/>
      <c r="CC79" s="268" t="n"/>
      <c r="CD79" s="268" t="n"/>
      <c r="CE79" s="268" t="n"/>
      <c r="CF79" s="268" t="n"/>
      <c r="CG79" s="268" t="n"/>
      <c r="CH79" s="268" t="n"/>
      <c r="CI79" s="268" t="n"/>
      <c r="CJ79" s="268" t="n"/>
      <c r="CK79" s="268" t="n"/>
      <c r="CL79" s="268" t="n"/>
      <c r="CM79" s="268" t="n"/>
      <c r="CN79" s="268" t="n"/>
      <c r="CO79" s="268" t="n"/>
      <c r="CP79" s="268" t="n"/>
      <c r="CQ79" s="268" t="n"/>
      <c r="CR79" s="268" t="n"/>
      <c r="CS79" s="268" t="n"/>
      <c r="CT79" s="268" t="n"/>
      <c r="CU79" s="268" t="n"/>
      <c r="CV79" s="268" t="n"/>
      <c r="CW79" s="268" t="n"/>
      <c r="CX79" s="268" t="n"/>
      <c r="CY79" s="268" t="n"/>
    </row>
    <row r="80" hidden="1" outlineLevel="1" ht="12.75" customHeight="1" s="255">
      <c r="C80" s="312" t="inlineStr">
        <is>
          <t>DESPESA FINANCEIRA</t>
        </is>
      </c>
      <c r="D80" s="268" t="n"/>
      <c r="E80" s="268" t="n"/>
      <c r="F80" s="268" t="n"/>
      <c r="G80" s="268" t="n"/>
      <c r="H80" s="268" t="n"/>
      <c r="I80" s="268" t="n"/>
      <c r="J80" s="268" t="n"/>
      <c r="K80" s="268" t="n"/>
      <c r="L80" s="268" t="n"/>
      <c r="M80" s="268" t="n"/>
      <c r="N80" s="268" t="n"/>
      <c r="O80" s="268" t="n"/>
      <c r="P80" s="268" t="n"/>
      <c r="Q80" s="268" t="n"/>
      <c r="R80" s="268" t="n"/>
      <c r="S80" s="268" t="n"/>
      <c r="T80" s="268" t="n"/>
      <c r="U80" s="268" t="n"/>
      <c r="V80" s="268" t="n"/>
      <c r="W80" s="268" t="n"/>
      <c r="X80" s="268" t="n"/>
      <c r="Y80" s="268" t="n"/>
      <c r="Z80" s="268" t="n"/>
      <c r="AA80" s="268" t="n"/>
      <c r="AB80" s="268" t="n"/>
      <c r="AC80" s="268" t="n"/>
      <c r="AD80" s="268" t="n"/>
      <c r="AE80" s="268" t="n"/>
      <c r="AF80" s="268" t="n"/>
      <c r="AG80" s="268" t="n"/>
      <c r="AH80" s="268" t="n"/>
      <c r="AI80" s="268" t="n"/>
      <c r="AJ80" s="268" t="n"/>
      <c r="AK80" s="268" t="n"/>
      <c r="AL80" s="268" t="n"/>
      <c r="AM80" s="268" t="n"/>
      <c r="AN80" s="268" t="n"/>
      <c r="AO80" s="268" t="n"/>
      <c r="AP80" s="268" t="n"/>
      <c r="AQ80" s="268" t="n"/>
      <c r="AR80" s="268" t="n"/>
      <c r="AS80" s="268" t="n"/>
      <c r="AT80" s="268" t="n"/>
      <c r="AU80" s="268" t="n"/>
      <c r="AV80" s="268" t="n"/>
      <c r="AW80" s="268" t="n"/>
      <c r="AX80" s="268" t="n"/>
      <c r="AY80" s="268" t="n"/>
      <c r="AZ80" s="268" t="n"/>
      <c r="BA80" s="268" t="n"/>
      <c r="BB80" s="268" t="n"/>
      <c r="BC80" s="268" t="n"/>
      <c r="BD80" s="268" t="n"/>
      <c r="BE80" s="268" t="n"/>
      <c r="BF80" s="268" t="n"/>
      <c r="BG80" s="268" t="n"/>
      <c r="BH80" s="268" t="n"/>
      <c r="BI80" s="268" t="n"/>
      <c r="BJ80" s="268" t="n"/>
      <c r="BK80" s="268" t="n"/>
      <c r="BL80" s="268" t="n"/>
      <c r="BM80" s="268" t="n"/>
      <c r="BN80" s="268" t="n"/>
      <c r="BO80" s="268" t="n"/>
      <c r="BP80" s="268" t="n"/>
      <c r="BQ80" s="268" t="n"/>
      <c r="BR80" s="268" t="n"/>
      <c r="BS80" s="268" t="n"/>
      <c r="BT80" s="268" t="n"/>
      <c r="BU80" s="268" t="n"/>
      <c r="BV80" s="268" t="n"/>
      <c r="BW80" s="268" t="n"/>
      <c r="BX80" s="268" t="n"/>
      <c r="BY80" s="268" t="n"/>
      <c r="BZ80" s="268" t="n"/>
      <c r="CA80" s="268" t="n"/>
      <c r="CB80" s="268" t="n"/>
      <c r="CC80" s="268" t="n"/>
      <c r="CD80" s="268" t="n"/>
      <c r="CE80" s="268" t="n"/>
      <c r="CF80" s="268" t="n"/>
      <c r="CG80" s="268" t="n"/>
      <c r="CH80" s="268" t="n"/>
      <c r="CI80" s="268" t="n"/>
      <c r="CJ80" s="268" t="n"/>
      <c r="CK80" s="268" t="n"/>
      <c r="CL80" s="268" t="n"/>
      <c r="CM80" s="268" t="n"/>
      <c r="CN80" s="268" t="n"/>
      <c r="CO80" s="268" t="n"/>
      <c r="CP80" s="268" t="n"/>
      <c r="CQ80" s="268" t="n"/>
      <c r="CR80" s="268" t="n"/>
      <c r="CS80" s="268" t="n"/>
      <c r="CT80" s="268" t="n"/>
      <c r="CU80" s="268" t="n"/>
      <c r="CV80" s="268" t="n"/>
      <c r="CW80" s="268" t="n"/>
      <c r="CX80" s="268" t="n"/>
      <c r="CY80" s="268" t="n"/>
    </row>
    <row r="81" hidden="1" outlineLevel="1" ht="12.75" customHeight="1" s="255">
      <c r="C81" s="312" t="inlineStr">
        <is>
          <t>OUTROS</t>
        </is>
      </c>
      <c r="D81" s="268" t="n"/>
      <c r="E81" s="268" t="n"/>
      <c r="F81" s="268" t="n"/>
      <c r="G81" s="268" t="n"/>
      <c r="H81" s="268" t="n"/>
      <c r="I81" s="268" t="n"/>
      <c r="J81" s="268" t="n"/>
      <c r="K81" s="268" t="n"/>
      <c r="L81" s="268" t="n"/>
      <c r="M81" s="268" t="n"/>
      <c r="N81" s="268" t="n"/>
      <c r="O81" s="268" t="n"/>
      <c r="P81" s="268" t="n"/>
      <c r="Q81" s="268" t="n"/>
      <c r="R81" s="268" t="n"/>
      <c r="S81" s="268" t="n"/>
      <c r="T81" s="268" t="n"/>
      <c r="U81" s="268" t="n"/>
      <c r="V81" s="268" t="n"/>
      <c r="W81" s="268" t="n"/>
      <c r="X81" s="268" t="n"/>
      <c r="Y81" s="268" t="n"/>
      <c r="Z81" s="268" t="n"/>
      <c r="AA81" s="268" t="n"/>
      <c r="AB81" s="268" t="n"/>
      <c r="AC81" s="268" t="n"/>
      <c r="AD81" s="268" t="n"/>
      <c r="AE81" s="268" t="n"/>
      <c r="AF81" s="268" t="n"/>
      <c r="AG81" s="268" t="n"/>
      <c r="AH81" s="268" t="n"/>
      <c r="AI81" s="268" t="n"/>
      <c r="AJ81" s="268" t="n"/>
      <c r="AK81" s="268" t="n"/>
      <c r="AL81" s="268" t="n"/>
      <c r="AM81" s="268" t="n"/>
      <c r="AN81" s="268" t="n"/>
      <c r="AO81" s="268" t="n"/>
      <c r="AP81" s="268" t="n"/>
      <c r="AQ81" s="268" t="n"/>
      <c r="AR81" s="268" t="n"/>
      <c r="AS81" s="268" t="n"/>
      <c r="AT81" s="268" t="n"/>
      <c r="AU81" s="268" t="n"/>
      <c r="AV81" s="268" t="n"/>
      <c r="AW81" s="268" t="n"/>
      <c r="AX81" s="268" t="n"/>
      <c r="AY81" s="268" t="n"/>
      <c r="AZ81" s="268" t="n"/>
      <c r="BA81" s="268" t="n"/>
      <c r="BB81" s="268" t="n"/>
      <c r="BC81" s="268" t="n"/>
      <c r="BD81" s="268" t="n"/>
      <c r="BE81" s="268" t="n"/>
      <c r="BF81" s="268" t="n"/>
      <c r="BG81" s="268" t="n"/>
      <c r="BH81" s="268" t="n"/>
      <c r="BI81" s="268" t="n"/>
      <c r="BJ81" s="268" t="n"/>
      <c r="BK81" s="268" t="n"/>
      <c r="BL81" s="268" t="n"/>
      <c r="BM81" s="268" t="n"/>
      <c r="BN81" s="268" t="n"/>
      <c r="BO81" s="268" t="n"/>
      <c r="BP81" s="268" t="n"/>
      <c r="BQ81" s="268" t="n"/>
      <c r="BR81" s="268" t="n"/>
      <c r="BS81" s="268" t="n"/>
      <c r="BT81" s="268" t="n"/>
      <c r="BU81" s="268" t="n"/>
      <c r="BV81" s="268" t="n"/>
      <c r="BW81" s="268" t="n"/>
      <c r="BX81" s="268" t="n"/>
      <c r="BY81" s="268" t="n"/>
      <c r="BZ81" s="268" t="n"/>
      <c r="CA81" s="268" t="n"/>
      <c r="CB81" s="268" t="n"/>
      <c r="CC81" s="268" t="n"/>
      <c r="CD81" s="268" t="n"/>
      <c r="CE81" s="268" t="n"/>
      <c r="CF81" s="268" t="n"/>
      <c r="CG81" s="268" t="n"/>
      <c r="CH81" s="268" t="n"/>
      <c r="CI81" s="268" t="n"/>
      <c r="CJ81" s="268" t="n"/>
      <c r="CK81" s="268" t="n"/>
      <c r="CL81" s="268" t="n"/>
      <c r="CM81" s="268" t="n"/>
      <c r="CN81" s="268" t="n"/>
      <c r="CO81" s="268" t="n"/>
      <c r="CP81" s="268" t="n"/>
      <c r="CQ81" s="268" t="n"/>
      <c r="CR81" s="268" t="n"/>
      <c r="CS81" s="268" t="n"/>
      <c r="CT81" s="268" t="n"/>
      <c r="CU81" s="268" t="n"/>
      <c r="CV81" s="268" t="n"/>
      <c r="CW81" s="268" t="n"/>
      <c r="CX81" s="268" t="n"/>
      <c r="CY81" s="268" t="n"/>
    </row>
    <row r="82" hidden="1" outlineLevel="1" ht="12.75" customHeight="1" s="255">
      <c r="C82" s="312" t="n"/>
      <c r="D82" s="268" t="n"/>
      <c r="E82" s="268" t="n"/>
      <c r="F82" s="268" t="n"/>
      <c r="G82" s="268" t="n"/>
      <c r="H82" s="268" t="n"/>
      <c r="I82" s="268" t="n"/>
      <c r="J82" s="268" t="n"/>
      <c r="K82" s="268" t="n"/>
      <c r="L82" s="268" t="n"/>
      <c r="M82" s="268" t="n"/>
      <c r="N82" s="268" t="n"/>
      <c r="O82" s="268" t="n"/>
      <c r="P82" s="268" t="n"/>
      <c r="Q82" s="268" t="n"/>
      <c r="R82" s="268" t="n"/>
      <c r="S82" s="268" t="n"/>
      <c r="T82" s="268" t="n"/>
      <c r="U82" s="268" t="n"/>
      <c r="V82" s="268" t="n"/>
      <c r="W82" s="268" t="n"/>
      <c r="X82" s="268" t="n"/>
      <c r="Y82" s="268" t="n"/>
      <c r="Z82" s="268" t="n"/>
      <c r="AA82" s="268" t="n"/>
      <c r="AB82" s="268" t="n"/>
      <c r="AC82" s="268" t="n"/>
      <c r="AD82" s="268" t="n"/>
      <c r="AE82" s="268" t="n"/>
      <c r="AF82" s="268" t="n"/>
      <c r="AG82" s="268" t="n"/>
      <c r="AH82" s="268" t="n"/>
      <c r="AI82" s="268" t="n"/>
      <c r="AJ82" s="268" t="n"/>
      <c r="AK82" s="268" t="n"/>
      <c r="AL82" s="268" t="n"/>
      <c r="AM82" s="268" t="n"/>
      <c r="AN82" s="268" t="n"/>
      <c r="AO82" s="268" t="n"/>
      <c r="AP82" s="268" t="n"/>
      <c r="AQ82" s="268" t="n"/>
      <c r="AR82" s="268" t="n"/>
      <c r="AS82" s="268" t="n"/>
      <c r="AT82" s="268" t="n"/>
      <c r="AU82" s="268" t="n"/>
      <c r="AV82" s="268" t="n"/>
      <c r="AW82" s="268" t="n"/>
      <c r="AX82" s="268" t="n"/>
      <c r="AY82" s="268" t="n"/>
      <c r="AZ82" s="268" t="n"/>
      <c r="BA82" s="268" t="n"/>
      <c r="BB82" s="268" t="n"/>
      <c r="BC82" s="268" t="n"/>
      <c r="BD82" s="268" t="n"/>
      <c r="BE82" s="268" t="n"/>
      <c r="BF82" s="268" t="n"/>
      <c r="BG82" s="268" t="n"/>
      <c r="BH82" s="268" t="n"/>
      <c r="BI82" s="268" t="n"/>
      <c r="BJ82" s="268" t="n"/>
      <c r="BK82" s="268" t="n"/>
      <c r="BL82" s="268" t="n"/>
      <c r="BM82" s="268" t="n"/>
      <c r="BN82" s="268" t="n"/>
      <c r="BO82" s="268" t="n"/>
      <c r="BP82" s="268" t="n"/>
      <c r="BQ82" s="268" t="n"/>
      <c r="BR82" s="268" t="n"/>
      <c r="BS82" s="268" t="n"/>
      <c r="BT82" s="268" t="n"/>
      <c r="BU82" s="268" t="n"/>
      <c r="BV82" s="268" t="n"/>
      <c r="BW82" s="268" t="n"/>
      <c r="BX82" s="268" t="n"/>
      <c r="BY82" s="268" t="n"/>
      <c r="BZ82" s="268" t="n"/>
      <c r="CA82" s="268" t="n"/>
      <c r="CB82" s="268" t="n"/>
      <c r="CC82" s="268" t="n"/>
      <c r="CD82" s="268" t="n"/>
      <c r="CE82" s="268" t="n"/>
      <c r="CF82" s="268" t="n"/>
      <c r="CG82" s="268" t="n"/>
      <c r="CH82" s="268" t="n"/>
      <c r="CI82" s="268" t="n"/>
      <c r="CJ82" s="268" t="n"/>
      <c r="CK82" s="268" t="n"/>
      <c r="CL82" s="268" t="n"/>
      <c r="CM82" s="268" t="n"/>
      <c r="CN82" s="268" t="n"/>
      <c r="CO82" s="268" t="n"/>
      <c r="CP82" s="268" t="n"/>
      <c r="CQ82" s="268" t="n"/>
      <c r="CR82" s="268" t="n"/>
      <c r="CS82" s="268" t="n"/>
      <c r="CT82" s="268" t="n"/>
      <c r="CU82" s="268" t="n"/>
      <c r="CV82" s="268" t="n"/>
      <c r="CW82" s="268" t="n"/>
      <c r="CX82" s="268" t="n"/>
      <c r="CY82" s="268" t="n"/>
    </row>
    <row r="83" hidden="1" outlineLevel="1" ht="12.75" customHeight="1" s="255">
      <c r="C83" s="312" t="inlineStr">
        <is>
          <t>Cash and equivalents (inc. investment securities)</t>
        </is>
      </c>
      <c r="D83" s="268" t="n"/>
      <c r="E83" s="268" t="n"/>
      <c r="F83" s="268" t="n"/>
      <c r="G83" s="268" t="n"/>
      <c r="H83" s="268" t="n"/>
      <c r="I83" s="268" t="n"/>
      <c r="J83" s="268" t="n"/>
      <c r="K83" s="268" t="n"/>
      <c r="L83" s="268" t="n"/>
      <c r="M83" s="268" t="n"/>
      <c r="N83" s="268" t="n"/>
      <c r="O83" s="268" t="n"/>
      <c r="P83" s="268" t="n"/>
      <c r="Q83" s="268" t="n"/>
      <c r="R83" s="268" t="n"/>
      <c r="S83" s="268" t="n"/>
      <c r="T83" s="268" t="n"/>
      <c r="U83" s="268" t="n"/>
      <c r="V83" s="268" t="n"/>
      <c r="W83" s="268" t="n"/>
      <c r="X83" s="268" t="n"/>
      <c r="Y83" s="268" t="n"/>
      <c r="Z83" s="268" t="n"/>
      <c r="AA83" s="268" t="n"/>
      <c r="AB83" s="268" t="n"/>
      <c r="AC83" s="268" t="n"/>
      <c r="AD83" s="268" t="n"/>
      <c r="AE83" s="268" t="n"/>
      <c r="AF83" s="268" t="n"/>
      <c r="AG83" s="268" t="n"/>
      <c r="AH83" s="268" t="n"/>
      <c r="AI83" s="268" t="n"/>
      <c r="AJ83" s="268" t="n"/>
      <c r="AK83" s="268" t="n"/>
      <c r="AL83" s="268" t="n"/>
      <c r="AM83" s="268" t="n"/>
      <c r="AN83" s="268" t="n"/>
      <c r="AO83" s="268" t="n"/>
      <c r="AP83" s="268" t="n"/>
      <c r="AQ83" s="268" t="n"/>
      <c r="AR83" s="268" t="n"/>
      <c r="AS83" s="268" t="n"/>
      <c r="AT83" s="268" t="n"/>
      <c r="AU83" s="268" t="n"/>
      <c r="AV83" s="268" t="n"/>
      <c r="AW83" s="268" t="n"/>
      <c r="AX83" s="268" t="n"/>
      <c r="AY83" s="268" t="n"/>
      <c r="AZ83" s="268" t="n"/>
      <c r="BA83" s="268" t="n"/>
      <c r="BB83" s="268" t="n"/>
      <c r="BC83" s="268" t="n"/>
      <c r="BD83" s="268" t="n"/>
      <c r="BE83" s="268" t="n"/>
      <c r="BF83" s="268" t="n"/>
      <c r="BG83" s="268" t="n"/>
      <c r="BH83" s="268" t="n"/>
      <c r="BI83" s="268" t="n"/>
      <c r="BJ83" s="268" t="n"/>
      <c r="BK83" s="268" t="n"/>
      <c r="BL83" s="268" t="n"/>
      <c r="BM83" s="268" t="n"/>
      <c r="BN83" s="268" t="n"/>
      <c r="BO83" s="268" t="n"/>
      <c r="BP83" s="268" t="n"/>
      <c r="BQ83" s="268" t="n"/>
      <c r="BR83" s="268" t="n"/>
      <c r="BS83" s="268" t="n"/>
      <c r="BT83" s="268" t="n"/>
      <c r="BU83" s="268" t="n"/>
      <c r="BV83" s="268" t="n"/>
      <c r="BW83" s="268" t="n"/>
      <c r="BX83" s="268" t="n"/>
      <c r="BY83" s="268" t="n"/>
      <c r="BZ83" s="268" t="n"/>
      <c r="CA83" s="268" t="n"/>
      <c r="CB83" s="268" t="n"/>
      <c r="CC83" s="268" t="n"/>
      <c r="CD83" s="268" t="n"/>
      <c r="CE83" s="268" t="n"/>
      <c r="CF83" s="268" t="n"/>
      <c r="CG83" s="268" t="n"/>
      <c r="CH83" s="268" t="n"/>
      <c r="CI83" s="268" t="n"/>
      <c r="CJ83" s="268" t="n"/>
      <c r="CK83" s="268" t="n"/>
      <c r="CL83" s="268" t="n"/>
      <c r="CM83" s="268" t="n"/>
      <c r="CN83" s="268" t="n"/>
      <c r="CO83" s="268" t="n"/>
      <c r="CP83" s="268" t="n"/>
      <c r="CQ83" s="268" t="n"/>
      <c r="CR83" s="268" t="n"/>
      <c r="CS83" s="268" t="n"/>
      <c r="CT83" s="268" t="n"/>
      <c r="CU83" s="268" t="n"/>
      <c r="CV83" s="268" t="n"/>
      <c r="CW83" s="268" t="n"/>
      <c r="CX83" s="268" t="n"/>
      <c r="CY83" s="268" t="n"/>
    </row>
    <row r="84" hidden="1" outlineLevel="1" ht="12.75" customHeight="1" s="255">
      <c r="C84" s="312" t="inlineStr">
        <is>
          <t>Interest on cash</t>
        </is>
      </c>
      <c r="D84" s="268" t="n"/>
      <c r="E84" s="268" t="n"/>
      <c r="F84" s="268" t="n"/>
      <c r="G84" s="268" t="n"/>
      <c r="H84" s="268" t="n"/>
      <c r="I84" s="268" t="n"/>
      <c r="J84" s="268" t="n"/>
      <c r="K84" s="268" t="n"/>
      <c r="L84" s="268" t="n"/>
      <c r="M84" s="268" t="n"/>
      <c r="N84" s="268" t="n"/>
      <c r="O84" s="268" t="n"/>
      <c r="P84" s="268" t="n"/>
      <c r="Q84" s="268" t="n"/>
      <c r="R84" s="268" t="n"/>
      <c r="S84" s="268" t="n"/>
      <c r="T84" s="268" t="n"/>
      <c r="U84" s="268" t="n"/>
      <c r="V84" s="268" t="n"/>
      <c r="W84" s="268" t="n"/>
      <c r="X84" s="268" t="n"/>
      <c r="Y84" s="268" t="n"/>
      <c r="Z84" s="268" t="n"/>
      <c r="AA84" s="268" t="n"/>
      <c r="AB84" s="268" t="n"/>
      <c r="AC84" s="268" t="n"/>
      <c r="AD84" s="268" t="n"/>
      <c r="AE84" s="268" t="n"/>
      <c r="AF84" s="268" t="n"/>
      <c r="AG84" s="268" t="n"/>
      <c r="AH84" s="268" t="n"/>
      <c r="AI84" s="268" t="n"/>
      <c r="AJ84" s="268" t="n"/>
      <c r="AK84" s="268" t="n"/>
      <c r="AL84" s="268" t="n"/>
      <c r="AM84" s="268" t="n"/>
      <c r="AN84" s="268" t="n"/>
      <c r="AO84" s="268" t="n"/>
      <c r="AP84" s="268" t="n"/>
      <c r="AQ84" s="268" t="n"/>
      <c r="AR84" s="268" t="n"/>
      <c r="AS84" s="268" t="n"/>
      <c r="AT84" s="268" t="n"/>
      <c r="AU84" s="268" t="n"/>
      <c r="AV84" s="268" t="n"/>
      <c r="AW84" s="268" t="n"/>
      <c r="AX84" s="268" t="n"/>
      <c r="AY84" s="268" t="n"/>
      <c r="AZ84" s="268" t="n"/>
      <c r="BA84" s="268" t="n"/>
      <c r="BB84" s="268" t="n"/>
      <c r="BC84" s="268" t="n"/>
      <c r="BD84" s="268" t="n"/>
      <c r="BE84" s="268" t="n"/>
      <c r="BF84" s="268" t="n"/>
      <c r="BG84" s="268" t="n"/>
      <c r="BH84" s="268" t="n"/>
      <c r="BI84" s="268" t="n"/>
      <c r="BJ84" s="268" t="n"/>
      <c r="BK84" s="268" t="n"/>
      <c r="BL84" s="268" t="n"/>
      <c r="BM84" s="268" t="n"/>
      <c r="BN84" s="268" t="n"/>
      <c r="BO84" s="268" t="n"/>
      <c r="BP84" s="268" t="n"/>
      <c r="BQ84" s="268" t="n"/>
      <c r="BR84" s="268" t="n"/>
      <c r="BS84" s="268" t="n"/>
      <c r="BT84" s="268" t="n"/>
      <c r="BU84" s="268" t="n"/>
      <c r="BV84" s="268" t="n"/>
      <c r="BW84" s="268" t="n"/>
      <c r="BX84" s="268" t="n"/>
      <c r="BY84" s="268" t="n"/>
      <c r="BZ84" s="268" t="n"/>
      <c r="CA84" s="268" t="n"/>
      <c r="CB84" s="268" t="n"/>
      <c r="CC84" s="268" t="n"/>
      <c r="CD84" s="268" t="n"/>
      <c r="CE84" s="268" t="n"/>
      <c r="CF84" s="268" t="n"/>
      <c r="CG84" s="268" t="n"/>
      <c r="CH84" s="268" t="n"/>
      <c r="CI84" s="268" t="n"/>
      <c r="CJ84" s="268" t="n"/>
      <c r="CK84" s="268" t="n"/>
      <c r="CL84" s="268" t="n"/>
      <c r="CM84" s="268" t="n"/>
      <c r="CN84" s="268" t="n"/>
      <c r="CO84" s="268" t="n"/>
      <c r="CP84" s="268" t="n"/>
      <c r="CQ84" s="268" t="n"/>
      <c r="CR84" s="268" t="n"/>
      <c r="CS84" s="268" t="n"/>
      <c r="CT84" s="268" t="n"/>
      <c r="CU84" s="268" t="n"/>
      <c r="CV84" s="268" t="n"/>
      <c r="CW84" s="268" t="n"/>
      <c r="CX84" s="268" t="n"/>
      <c r="CY84" s="268" t="n"/>
    </row>
    <row r="85" hidden="1" outlineLevel="1" ht="12.75" customHeight="1" s="255">
      <c r="C85" s="312" t="inlineStr">
        <is>
          <t>Average interest rate</t>
        </is>
      </c>
      <c r="D85" s="268" t="n"/>
      <c r="E85" s="268" t="n"/>
      <c r="F85" s="268" t="n"/>
      <c r="G85" s="268" t="n"/>
      <c r="H85" s="268" t="n"/>
      <c r="I85" s="268" t="n"/>
      <c r="J85" s="268" t="n"/>
      <c r="K85" s="268" t="n"/>
      <c r="L85" s="268" t="n"/>
      <c r="M85" s="268" t="n"/>
      <c r="N85" s="268" t="n"/>
      <c r="O85" s="268" t="n"/>
      <c r="P85" s="268" t="n"/>
      <c r="Q85" s="268" t="n"/>
      <c r="R85" s="268" t="n"/>
      <c r="S85" s="268" t="n"/>
      <c r="T85" s="268" t="n"/>
      <c r="U85" s="268" t="n"/>
      <c r="V85" s="268" t="n"/>
      <c r="W85" s="268" t="n"/>
      <c r="X85" s="268" t="n"/>
      <c r="Y85" s="268" t="n"/>
      <c r="Z85" s="268" t="n"/>
      <c r="AA85" s="268" t="n"/>
      <c r="AB85" s="268" t="n"/>
      <c r="AC85" s="268" t="n"/>
      <c r="AD85" s="268" t="n"/>
      <c r="AE85" s="268" t="n"/>
      <c r="AF85" s="268" t="n"/>
      <c r="AG85" s="268" t="n"/>
      <c r="AH85" s="268" t="n"/>
      <c r="AI85" s="268" t="n"/>
      <c r="AJ85" s="268" t="n"/>
      <c r="AK85" s="268" t="n"/>
      <c r="AL85" s="268" t="n"/>
      <c r="AM85" s="268" t="n"/>
      <c r="AN85" s="268" t="n"/>
      <c r="AO85" s="268" t="n"/>
      <c r="AP85" s="268" t="n"/>
      <c r="AQ85" s="268" t="n"/>
      <c r="AR85" s="268" t="n"/>
      <c r="AS85" s="268" t="n"/>
      <c r="AT85" s="268" t="n"/>
      <c r="AU85" s="268" t="n"/>
      <c r="AV85" s="268" t="n"/>
      <c r="AW85" s="268" t="n"/>
      <c r="AX85" s="268" t="n"/>
      <c r="AY85" s="268" t="n"/>
      <c r="AZ85" s="268" t="n"/>
      <c r="BA85" s="268" t="n"/>
      <c r="BB85" s="268" t="n"/>
      <c r="BC85" s="268" t="n"/>
      <c r="BD85" s="268" t="n"/>
      <c r="BE85" s="268" t="n"/>
      <c r="BF85" s="268" t="n"/>
      <c r="BG85" s="268" t="n"/>
      <c r="BH85" s="268" t="n"/>
      <c r="BI85" s="268" t="n"/>
      <c r="BJ85" s="268" t="n"/>
      <c r="BK85" s="268" t="n"/>
      <c r="BL85" s="268" t="n"/>
      <c r="BM85" s="268" t="n"/>
      <c r="BN85" s="268" t="n"/>
      <c r="BO85" s="268" t="n"/>
      <c r="BP85" s="268" t="n"/>
      <c r="BQ85" s="268" t="n"/>
      <c r="BR85" s="268" t="n"/>
      <c r="BS85" s="268" t="n"/>
      <c r="BT85" s="268" t="n"/>
      <c r="BU85" s="268" t="n"/>
      <c r="BV85" s="268" t="n"/>
      <c r="BW85" s="268" t="n"/>
      <c r="BX85" s="268" t="n"/>
      <c r="BY85" s="268" t="n"/>
      <c r="BZ85" s="268" t="n"/>
      <c r="CA85" s="268" t="n"/>
      <c r="CB85" s="268" t="n"/>
      <c r="CC85" s="268" t="n"/>
      <c r="CD85" s="268" t="n"/>
      <c r="CE85" s="268" t="n"/>
      <c r="CF85" s="268" t="n"/>
      <c r="CG85" s="268" t="n"/>
      <c r="CH85" s="268" t="n"/>
      <c r="CI85" s="268" t="n"/>
      <c r="CJ85" s="268" t="n"/>
      <c r="CK85" s="268" t="n"/>
      <c r="CL85" s="268" t="n"/>
      <c r="CM85" s="268" t="n"/>
      <c r="CN85" s="268" t="n"/>
      <c r="CO85" s="268" t="n"/>
      <c r="CP85" s="268" t="n"/>
      <c r="CQ85" s="268" t="n"/>
      <c r="CR85" s="268" t="n"/>
      <c r="CS85" s="268" t="n"/>
      <c r="CT85" s="268" t="n"/>
      <c r="CU85" s="268" t="n"/>
      <c r="CV85" s="268" t="n"/>
      <c r="CW85" s="268" t="n"/>
      <c r="CX85" s="268" t="n"/>
      <c r="CY85" s="268" t="n"/>
    </row>
    <row r="86" hidden="1" outlineLevel="1" ht="12.75" customHeight="1" s="255">
      <c r="C86" s="312" t="inlineStr">
        <is>
          <t>% CDI</t>
        </is>
      </c>
      <c r="D86" s="268" t="n"/>
      <c r="E86" s="268" t="n"/>
      <c r="F86" s="268" t="n"/>
      <c r="G86" s="268" t="n"/>
      <c r="H86" s="268" t="n"/>
      <c r="I86" s="268" t="n"/>
      <c r="J86" s="268" t="n"/>
      <c r="K86" s="268" t="n"/>
      <c r="L86" s="268" t="n"/>
      <c r="M86" s="268" t="n"/>
      <c r="N86" s="268" t="n"/>
      <c r="O86" s="268" t="n"/>
      <c r="P86" s="268" t="n"/>
      <c r="Q86" s="268" t="n"/>
      <c r="R86" s="268" t="n"/>
      <c r="S86" s="268" t="n"/>
      <c r="T86" s="268" t="n"/>
      <c r="U86" s="268" t="n"/>
      <c r="V86" s="268" t="n"/>
      <c r="W86" s="268" t="n"/>
      <c r="X86" s="268" t="n"/>
      <c r="Y86" s="268" t="n"/>
      <c r="Z86" s="268" t="n"/>
      <c r="AA86" s="268" t="n"/>
      <c r="AB86" s="268" t="n"/>
      <c r="AC86" s="268" t="n"/>
      <c r="AD86" s="268" t="n"/>
      <c r="AE86" s="268" t="n"/>
      <c r="AF86" s="268" t="n"/>
      <c r="AG86" s="268" t="n"/>
      <c r="AH86" s="268" t="n"/>
      <c r="AI86" s="268" t="n"/>
      <c r="AJ86" s="268" t="n"/>
      <c r="AK86" s="268" t="n"/>
      <c r="AL86" s="268" t="n"/>
      <c r="AM86" s="268" t="n"/>
      <c r="AN86" s="268" t="n"/>
      <c r="AO86" s="268" t="n"/>
      <c r="AP86" s="268" t="n"/>
      <c r="AQ86" s="268" t="n"/>
      <c r="AR86" s="268" t="n"/>
      <c r="AS86" s="268" t="n"/>
      <c r="AT86" s="268" t="n"/>
      <c r="AU86" s="268" t="n"/>
      <c r="AV86" s="268" t="n"/>
      <c r="AW86" s="268" t="n"/>
      <c r="AX86" s="268" t="n"/>
      <c r="AY86" s="268" t="n"/>
      <c r="AZ86" s="268" t="n"/>
      <c r="BA86" s="268" t="n"/>
      <c r="BB86" s="268" t="n"/>
      <c r="BC86" s="268" t="n"/>
      <c r="BD86" s="268" t="n"/>
      <c r="BE86" s="268" t="n"/>
      <c r="BF86" s="268" t="n"/>
      <c r="BG86" s="268" t="n"/>
      <c r="BH86" s="268" t="n"/>
      <c r="BI86" s="268" t="n"/>
      <c r="BJ86" s="268" t="n"/>
      <c r="BK86" s="268" t="n"/>
      <c r="BL86" s="268" t="n"/>
      <c r="BM86" s="268" t="n"/>
      <c r="BN86" s="268" t="n"/>
      <c r="BO86" s="268" t="n"/>
      <c r="BP86" s="268" t="n"/>
      <c r="BQ86" s="268" t="n"/>
      <c r="BR86" s="268" t="n"/>
      <c r="BS86" s="268" t="n"/>
      <c r="BT86" s="268" t="n"/>
      <c r="BU86" s="268" t="n"/>
      <c r="BV86" s="268" t="n"/>
      <c r="BW86" s="268" t="n"/>
      <c r="BX86" s="268" t="n"/>
      <c r="BY86" s="268" t="n"/>
      <c r="BZ86" s="268" t="n"/>
      <c r="CA86" s="268" t="n"/>
      <c r="CB86" s="268" t="n"/>
      <c r="CC86" s="268" t="n"/>
      <c r="CD86" s="268" t="n"/>
      <c r="CE86" s="268" t="n"/>
      <c r="CF86" s="268" t="n"/>
      <c r="CG86" s="268" t="n"/>
      <c r="CH86" s="268" t="n"/>
      <c r="CI86" s="268" t="n"/>
      <c r="CJ86" s="268" t="n"/>
      <c r="CK86" s="268" t="n"/>
      <c r="CL86" s="268" t="n"/>
      <c r="CM86" s="268" t="n"/>
      <c r="CN86" s="268" t="n"/>
      <c r="CO86" s="268" t="n"/>
      <c r="CP86" s="268" t="n"/>
      <c r="CQ86" s="268" t="n"/>
      <c r="CR86" s="268" t="n"/>
      <c r="CS86" s="268" t="n"/>
      <c r="CT86" s="268" t="n"/>
      <c r="CU86" s="268" t="n"/>
      <c r="CV86" s="268" t="n"/>
      <c r="CW86" s="268" t="n"/>
      <c r="CX86" s="268" t="n"/>
      <c r="CY86" s="268" t="n"/>
    </row>
    <row r="87" hidden="1" outlineLevel="1" ht="12.75" customHeight="1" s="255">
      <c r="C87" s="312" t="n"/>
      <c r="D87" s="268" t="n"/>
      <c r="E87" s="268" t="n"/>
      <c r="F87" s="268" t="n"/>
      <c r="G87" s="268" t="n"/>
      <c r="H87" s="268" t="n"/>
      <c r="I87" s="268" t="n"/>
      <c r="J87" s="268" t="n"/>
      <c r="K87" s="268" t="n"/>
      <c r="L87" s="268" t="n"/>
      <c r="M87" s="268" t="n"/>
      <c r="N87" s="268" t="n"/>
      <c r="O87" s="268" t="n"/>
      <c r="P87" s="268" t="n"/>
      <c r="Q87" s="268" t="n"/>
      <c r="R87" s="268" t="n"/>
      <c r="S87" s="268" t="n"/>
      <c r="T87" s="268" t="n"/>
      <c r="U87" s="268" t="n"/>
      <c r="V87" s="268" t="n"/>
      <c r="W87" s="268" t="n"/>
      <c r="X87" s="268" t="n"/>
      <c r="Y87" s="268" t="n"/>
      <c r="Z87" s="268" t="n"/>
      <c r="AA87" s="268" t="n"/>
      <c r="AB87" s="268" t="n"/>
      <c r="AC87" s="268" t="n"/>
      <c r="AD87" s="268" t="n"/>
      <c r="AE87" s="268" t="n"/>
      <c r="AF87" s="268" t="n"/>
      <c r="AG87" s="268" t="n"/>
      <c r="AH87" s="268" t="n"/>
      <c r="AI87" s="268" t="n"/>
      <c r="AJ87" s="268" t="n"/>
      <c r="AK87" s="268" t="n"/>
      <c r="AL87" s="268" t="n"/>
      <c r="AM87" s="268" t="n"/>
      <c r="AN87" s="268" t="n"/>
      <c r="AO87" s="268" t="n"/>
      <c r="AP87" s="268" t="n"/>
      <c r="AQ87" s="268" t="n"/>
      <c r="AR87" s="268" t="n"/>
      <c r="AS87" s="268" t="n"/>
      <c r="AT87" s="268" t="n"/>
      <c r="AU87" s="268" t="n"/>
      <c r="AV87" s="268" t="n"/>
      <c r="AW87" s="268" t="n"/>
      <c r="AX87" s="268" t="n"/>
      <c r="AY87" s="268" t="n"/>
      <c r="AZ87" s="268" t="n"/>
      <c r="BA87" s="268" t="n"/>
      <c r="BB87" s="268" t="n"/>
      <c r="BC87" s="268" t="n"/>
      <c r="BD87" s="268" t="n"/>
      <c r="BE87" s="268" t="n"/>
      <c r="BF87" s="268" t="n"/>
      <c r="BG87" s="268" t="n"/>
      <c r="BH87" s="268" t="n"/>
      <c r="BI87" s="268" t="n"/>
      <c r="BJ87" s="268" t="n"/>
      <c r="BK87" s="268" t="n"/>
      <c r="BL87" s="268" t="n"/>
      <c r="BM87" s="268" t="n"/>
      <c r="BN87" s="268" t="n"/>
      <c r="BO87" s="268" t="n"/>
      <c r="BP87" s="268" t="n"/>
      <c r="BQ87" s="268" t="n"/>
      <c r="BR87" s="268" t="n"/>
      <c r="BS87" s="268" t="n"/>
      <c r="BT87" s="268" t="n"/>
      <c r="BU87" s="268" t="n"/>
      <c r="BV87" s="268" t="n"/>
      <c r="BW87" s="268" t="n"/>
      <c r="BX87" s="268" t="n"/>
      <c r="BY87" s="268" t="n"/>
      <c r="BZ87" s="268" t="n"/>
      <c r="CA87" s="268" t="n"/>
      <c r="CB87" s="268" t="n"/>
      <c r="CC87" s="268" t="n"/>
      <c r="CD87" s="268" t="n"/>
      <c r="CE87" s="268" t="n"/>
      <c r="CF87" s="268" t="n"/>
      <c r="CG87" s="268" t="n"/>
      <c r="CH87" s="268" t="n"/>
      <c r="CI87" s="268" t="n"/>
      <c r="CJ87" s="268" t="n"/>
      <c r="CK87" s="268" t="n"/>
      <c r="CL87" s="268" t="n"/>
      <c r="CM87" s="268" t="n"/>
      <c r="CN87" s="268" t="n"/>
      <c r="CO87" s="268" t="n"/>
      <c r="CP87" s="268" t="n"/>
      <c r="CQ87" s="268" t="n"/>
      <c r="CR87" s="268" t="n"/>
      <c r="CS87" s="268" t="n"/>
      <c r="CT87" s="268" t="n"/>
      <c r="CU87" s="268" t="n"/>
      <c r="CV87" s="268" t="n"/>
      <c r="CW87" s="268" t="n"/>
      <c r="CX87" s="268" t="n"/>
      <c r="CY87" s="268" t="n"/>
    </row>
    <row r="88" hidden="1" outlineLevel="1" ht="12.75" customHeight="1" s="255">
      <c r="C88" s="312" t="inlineStr">
        <is>
          <t>Current portion of long-term debt</t>
        </is>
      </c>
      <c r="D88" s="268" t="n"/>
      <c r="E88" s="268" t="n"/>
      <c r="F88" s="268" t="n"/>
      <c r="G88" s="268" t="n"/>
      <c r="H88" s="268" t="n"/>
      <c r="I88" s="268" t="n"/>
      <c r="J88" s="268" t="n"/>
      <c r="K88" s="268" t="n"/>
      <c r="L88" s="268" t="n"/>
      <c r="M88" s="268" t="n"/>
      <c r="N88" s="268" t="n"/>
      <c r="O88" s="268" t="n"/>
      <c r="P88" s="268" t="n"/>
      <c r="Q88" s="268" t="n"/>
      <c r="R88" s="268" t="n"/>
      <c r="S88" s="268" t="n"/>
      <c r="T88" s="268" t="n"/>
      <c r="U88" s="268" t="n"/>
      <c r="V88" s="268" t="n"/>
      <c r="W88" s="268" t="n"/>
      <c r="X88" s="268" t="n"/>
      <c r="Y88" s="268" t="n"/>
      <c r="Z88" s="268" t="n"/>
      <c r="AA88" s="268" t="n"/>
      <c r="AB88" s="268" t="n"/>
      <c r="AC88" s="268" t="n"/>
      <c r="AD88" s="268" t="n"/>
      <c r="AE88" s="268" t="n"/>
      <c r="AF88" s="268" t="n"/>
      <c r="AG88" s="268" t="n"/>
      <c r="AH88" s="268" t="n"/>
      <c r="AI88" s="268" t="n"/>
      <c r="AJ88" s="268" t="n"/>
      <c r="AK88" s="268" t="n"/>
      <c r="AL88" s="268" t="n"/>
      <c r="AM88" s="268" t="n"/>
      <c r="AN88" s="268" t="n"/>
      <c r="AO88" s="268" t="n"/>
      <c r="AP88" s="268" t="n"/>
      <c r="AQ88" s="268" t="n"/>
      <c r="AR88" s="268" t="n"/>
      <c r="AS88" s="268" t="n"/>
      <c r="AT88" s="268" t="n"/>
      <c r="AU88" s="268" t="n"/>
      <c r="AV88" s="268" t="n"/>
      <c r="AW88" s="268" t="n"/>
      <c r="AX88" s="268" t="n"/>
      <c r="AY88" s="268" t="n"/>
      <c r="AZ88" s="268" t="n"/>
      <c r="BA88" s="268" t="n"/>
      <c r="BB88" s="268" t="n"/>
      <c r="BC88" s="268" t="n"/>
      <c r="BD88" s="268" t="n"/>
      <c r="BE88" s="268" t="n"/>
      <c r="BF88" s="268" t="n"/>
      <c r="BG88" s="268" t="n"/>
      <c r="BH88" s="268" t="n"/>
      <c r="BI88" s="268" t="n"/>
      <c r="BJ88" s="268" t="n"/>
      <c r="BK88" s="268" t="n"/>
      <c r="BL88" s="268" t="n"/>
      <c r="BM88" s="268" t="n"/>
      <c r="BN88" s="268" t="n"/>
      <c r="BO88" s="268" t="n"/>
      <c r="BP88" s="268" t="n"/>
      <c r="BQ88" s="268" t="n"/>
      <c r="BR88" s="268" t="n"/>
      <c r="BS88" s="268" t="n"/>
      <c r="BT88" s="268" t="n"/>
      <c r="BU88" s="268" t="n"/>
      <c r="BV88" s="268" t="n"/>
      <c r="BW88" s="268" t="n"/>
      <c r="BX88" s="268" t="n"/>
      <c r="BY88" s="268" t="n"/>
      <c r="BZ88" s="268" t="n"/>
      <c r="CA88" s="268" t="n"/>
      <c r="CB88" s="268" t="n"/>
      <c r="CC88" s="268" t="n"/>
      <c r="CD88" s="268" t="n"/>
      <c r="CE88" s="268" t="n"/>
      <c r="CF88" s="268" t="n"/>
      <c r="CG88" s="268" t="n"/>
      <c r="CH88" s="268" t="n"/>
      <c r="CI88" s="268" t="n"/>
      <c r="CJ88" s="268" t="n"/>
      <c r="CK88" s="268" t="n"/>
      <c r="CL88" s="268" t="n"/>
      <c r="CM88" s="268" t="n"/>
      <c r="CN88" s="268" t="n"/>
      <c r="CO88" s="268" t="n"/>
      <c r="CP88" s="268" t="n"/>
      <c r="CQ88" s="268" t="n"/>
      <c r="CR88" s="268" t="n"/>
      <c r="CS88" s="268" t="n"/>
      <c r="CT88" s="268" t="n"/>
      <c r="CU88" s="268" t="n"/>
      <c r="CV88" s="268" t="n"/>
      <c r="CW88" s="268" t="n"/>
      <c r="CX88" s="268" t="n"/>
      <c r="CY88" s="268" t="n"/>
    </row>
    <row r="89" hidden="1" outlineLevel="1" ht="12.75" customHeight="1" s="255">
      <c r="C89" s="312" t="inlineStr">
        <is>
          <t>Short term debt (Revolving credit facility)</t>
        </is>
      </c>
      <c r="D89" s="268" t="n"/>
      <c r="E89" s="268" t="n"/>
      <c r="F89" s="268" t="n"/>
      <c r="G89" s="268" t="n"/>
      <c r="H89" s="268" t="n"/>
      <c r="I89" s="268" t="n"/>
      <c r="J89" s="268" t="n"/>
      <c r="K89" s="268" t="n"/>
      <c r="L89" s="268" t="n"/>
      <c r="M89" s="268" t="n"/>
      <c r="N89" s="268" t="n"/>
      <c r="O89" s="268" t="n"/>
      <c r="P89" s="268" t="n"/>
      <c r="Q89" s="268" t="n"/>
      <c r="R89" s="268" t="n"/>
      <c r="S89" s="268" t="n"/>
      <c r="T89" s="268" t="n"/>
      <c r="U89" s="268" t="n"/>
      <c r="V89" s="268" t="n"/>
      <c r="W89" s="268" t="n"/>
      <c r="X89" s="268" t="n"/>
      <c r="Y89" s="268" t="n"/>
      <c r="Z89" s="268" t="n"/>
      <c r="AA89" s="268" t="n"/>
      <c r="AB89" s="268" t="n"/>
      <c r="AC89" s="268" t="n"/>
      <c r="AD89" s="268" t="n"/>
      <c r="AE89" s="268" t="n"/>
      <c r="AF89" s="268" t="n"/>
      <c r="AG89" s="268" t="n"/>
      <c r="AH89" s="268" t="n"/>
      <c r="AI89" s="268" t="n"/>
      <c r="AJ89" s="268" t="n"/>
      <c r="AK89" s="268" t="n"/>
      <c r="AL89" s="268" t="n"/>
      <c r="AM89" s="268" t="n"/>
      <c r="AN89" s="268" t="n"/>
      <c r="AO89" s="268" t="n"/>
      <c r="AP89" s="268" t="n"/>
      <c r="AQ89" s="268" t="n"/>
      <c r="AR89" s="268" t="n"/>
      <c r="AS89" s="268" t="n"/>
      <c r="AT89" s="268" t="n"/>
      <c r="AU89" s="268" t="n"/>
      <c r="AV89" s="268" t="n"/>
      <c r="AW89" s="268" t="n"/>
      <c r="AX89" s="268" t="n"/>
      <c r="AY89" s="268" t="n"/>
      <c r="AZ89" s="268" t="n"/>
      <c r="BA89" s="268" t="n"/>
      <c r="BB89" s="268" t="n"/>
      <c r="BC89" s="268" t="n"/>
      <c r="BD89" s="268" t="n"/>
      <c r="BE89" s="268" t="n"/>
      <c r="BF89" s="268" t="n"/>
      <c r="BG89" s="268" t="n"/>
      <c r="BH89" s="268" t="n"/>
      <c r="BI89" s="268" t="n"/>
      <c r="BJ89" s="268" t="n"/>
      <c r="BK89" s="268" t="n"/>
      <c r="BL89" s="268" t="n"/>
      <c r="BM89" s="268" t="n"/>
      <c r="BN89" s="268" t="n"/>
      <c r="BO89" s="268" t="n"/>
      <c r="BP89" s="268" t="n"/>
      <c r="BQ89" s="268" t="n"/>
      <c r="BR89" s="268" t="n"/>
      <c r="BS89" s="268" t="n"/>
      <c r="BT89" s="268" t="n"/>
      <c r="BU89" s="268" t="n"/>
      <c r="BV89" s="268" t="n"/>
      <c r="BW89" s="268" t="n"/>
      <c r="BX89" s="268" t="n"/>
      <c r="BY89" s="268" t="n"/>
      <c r="BZ89" s="268" t="n"/>
      <c r="CA89" s="268" t="n"/>
      <c r="CB89" s="268" t="n"/>
      <c r="CC89" s="268" t="n"/>
      <c r="CD89" s="268" t="n"/>
      <c r="CE89" s="268" t="n"/>
      <c r="CF89" s="268" t="n"/>
      <c r="CG89" s="268" t="n"/>
      <c r="CH89" s="268" t="n"/>
      <c r="CI89" s="268" t="n"/>
      <c r="CJ89" s="268" t="n"/>
      <c r="CK89" s="268" t="n"/>
      <c r="CL89" s="268" t="n"/>
      <c r="CM89" s="268" t="n"/>
      <c r="CN89" s="268" t="n"/>
      <c r="CO89" s="268" t="n"/>
      <c r="CP89" s="268" t="n"/>
      <c r="CQ89" s="268" t="n"/>
      <c r="CR89" s="268" t="n"/>
      <c r="CS89" s="268" t="n"/>
      <c r="CT89" s="268" t="n"/>
      <c r="CU89" s="268" t="n"/>
      <c r="CV89" s="268" t="n"/>
      <c r="CW89" s="268" t="n"/>
      <c r="CX89" s="268" t="n"/>
      <c r="CY89" s="268" t="n"/>
    </row>
    <row r="90" hidden="1" outlineLevel="1" ht="12.75" customHeight="1" s="255">
      <c r="C90" s="312" t="inlineStr">
        <is>
          <t>Long term debt</t>
        </is>
      </c>
      <c r="D90" s="268" t="n"/>
      <c r="E90" s="268" t="n"/>
      <c r="F90" s="268" t="n"/>
      <c r="G90" s="268" t="n"/>
      <c r="H90" s="268" t="n"/>
      <c r="I90" s="268" t="n"/>
      <c r="J90" s="268" t="n"/>
      <c r="K90" s="268" t="n"/>
      <c r="L90" s="268" t="n"/>
      <c r="M90" s="268" t="n"/>
      <c r="N90" s="268" t="n"/>
      <c r="O90" s="268" t="n"/>
      <c r="P90" s="268" t="n"/>
      <c r="Q90" s="268" t="n"/>
      <c r="R90" s="268" t="n"/>
      <c r="S90" s="268" t="n"/>
      <c r="T90" s="268" t="n"/>
      <c r="U90" s="268" t="n"/>
      <c r="V90" s="268" t="n"/>
      <c r="W90" s="268" t="n"/>
      <c r="X90" s="268" t="n"/>
      <c r="Y90" s="268" t="n"/>
      <c r="Z90" s="268" t="n"/>
      <c r="AA90" s="268" t="n"/>
      <c r="AB90" s="268" t="n"/>
      <c r="AC90" s="268" t="n"/>
      <c r="AD90" s="268" t="n"/>
      <c r="AE90" s="268" t="n"/>
      <c r="AF90" s="268" t="n"/>
      <c r="AG90" s="268" t="n"/>
      <c r="AH90" s="268" t="n"/>
      <c r="AI90" s="268" t="n"/>
      <c r="AJ90" s="268" t="n"/>
      <c r="AK90" s="268" t="n"/>
      <c r="AL90" s="268" t="n"/>
      <c r="AM90" s="268" t="n"/>
      <c r="AN90" s="268" t="n"/>
      <c r="AO90" s="268" t="n"/>
      <c r="AP90" s="268" t="n"/>
      <c r="AQ90" s="268" t="n"/>
      <c r="AR90" s="268" t="n"/>
      <c r="AS90" s="268" t="n"/>
      <c r="AT90" s="268" t="n"/>
      <c r="AU90" s="268" t="n"/>
      <c r="AV90" s="268" t="n"/>
      <c r="AW90" s="268" t="n"/>
      <c r="AX90" s="268" t="n"/>
      <c r="AY90" s="268" t="n"/>
      <c r="AZ90" s="268" t="n"/>
      <c r="BA90" s="268" t="n"/>
      <c r="BB90" s="268" t="n"/>
      <c r="BC90" s="268" t="n"/>
      <c r="BD90" s="268" t="n"/>
      <c r="BE90" s="268" t="n"/>
      <c r="BF90" s="268" t="n"/>
      <c r="BG90" s="268" t="n"/>
      <c r="BH90" s="268" t="n"/>
      <c r="BI90" s="268" t="n"/>
      <c r="BJ90" s="268" t="n"/>
      <c r="BK90" s="268" t="n"/>
      <c r="BL90" s="268" t="n"/>
      <c r="BM90" s="268" t="n"/>
      <c r="BN90" s="268" t="n"/>
      <c r="BO90" s="268" t="n"/>
      <c r="BP90" s="268" t="n"/>
      <c r="BQ90" s="268" t="n"/>
      <c r="BR90" s="268" t="n"/>
      <c r="BS90" s="268" t="n"/>
      <c r="BT90" s="268" t="n"/>
      <c r="BU90" s="268" t="n"/>
      <c r="BV90" s="268" t="n"/>
      <c r="BW90" s="268" t="n"/>
      <c r="BX90" s="268" t="n"/>
      <c r="BY90" s="268" t="n"/>
      <c r="BZ90" s="268" t="n"/>
      <c r="CA90" s="268" t="n"/>
      <c r="CB90" s="268" t="n"/>
      <c r="CC90" s="268" t="n"/>
      <c r="CD90" s="268" t="n"/>
      <c r="CE90" s="268" t="n"/>
      <c r="CF90" s="268" t="n"/>
      <c r="CG90" s="268" t="n"/>
      <c r="CH90" s="268" t="n"/>
      <c r="CI90" s="268" t="n"/>
      <c r="CJ90" s="268" t="n"/>
      <c r="CK90" s="268" t="n"/>
      <c r="CL90" s="268" t="n"/>
      <c r="CM90" s="268" t="n"/>
      <c r="CN90" s="268" t="n"/>
      <c r="CO90" s="268" t="n"/>
      <c r="CP90" s="268" t="n"/>
      <c r="CQ90" s="268" t="n"/>
      <c r="CR90" s="268" t="n"/>
      <c r="CS90" s="268" t="n"/>
      <c r="CT90" s="268" t="n"/>
      <c r="CU90" s="268" t="n"/>
      <c r="CV90" s="268" t="n"/>
      <c r="CW90" s="268" t="n"/>
      <c r="CX90" s="268" t="n"/>
      <c r="CY90" s="268" t="n"/>
    </row>
    <row r="91" hidden="1" outlineLevel="1" ht="12.75" customHeight="1" s="255">
      <c r="C91" s="312" t="inlineStr">
        <is>
          <t>Convertible debt</t>
        </is>
      </c>
      <c r="D91" s="268" t="n"/>
      <c r="E91" s="268" t="n"/>
      <c r="F91" s="268" t="n"/>
      <c r="G91" s="268" t="n"/>
      <c r="H91" s="268" t="n"/>
      <c r="I91" s="268" t="n"/>
      <c r="J91" s="268" t="n"/>
      <c r="K91" s="268" t="n"/>
      <c r="L91" s="268" t="n"/>
      <c r="M91" s="268" t="n"/>
      <c r="N91" s="268" t="n"/>
      <c r="O91" s="268" t="n"/>
      <c r="P91" s="268" t="n"/>
      <c r="Q91" s="268" t="n"/>
      <c r="R91" s="268" t="n"/>
      <c r="S91" s="268" t="n"/>
      <c r="T91" s="268" t="n"/>
      <c r="U91" s="268" t="n"/>
      <c r="V91" s="268" t="n"/>
      <c r="W91" s="268" t="n"/>
      <c r="X91" s="268" t="n"/>
      <c r="Y91" s="268" t="n"/>
      <c r="Z91" s="268" t="n"/>
      <c r="AA91" s="268" t="n"/>
      <c r="AB91" s="268" t="n"/>
      <c r="AC91" s="268" t="n"/>
      <c r="AD91" s="268" t="n"/>
      <c r="AE91" s="268" t="n"/>
      <c r="AF91" s="268" t="n"/>
      <c r="AG91" s="268" t="n"/>
      <c r="AH91" s="268" t="n"/>
      <c r="AI91" s="268" t="n"/>
      <c r="AJ91" s="268" t="n"/>
      <c r="AK91" s="268" t="n"/>
      <c r="AL91" s="268" t="n"/>
      <c r="AM91" s="268" t="n"/>
      <c r="AN91" s="268" t="n"/>
      <c r="AO91" s="268" t="n"/>
      <c r="AP91" s="268" t="n"/>
      <c r="AQ91" s="268" t="n"/>
      <c r="AR91" s="268" t="n"/>
      <c r="AS91" s="268" t="n"/>
      <c r="AT91" s="268" t="n"/>
      <c r="AU91" s="268" t="n"/>
      <c r="AV91" s="268" t="n"/>
      <c r="AW91" s="268" t="n"/>
      <c r="AX91" s="268" t="n"/>
      <c r="AY91" s="268" t="n"/>
      <c r="AZ91" s="268" t="n"/>
      <c r="BA91" s="268" t="n"/>
      <c r="BB91" s="268" t="n"/>
      <c r="BC91" s="268" t="n"/>
      <c r="BD91" s="268" t="n"/>
      <c r="BE91" s="268" t="n"/>
      <c r="BF91" s="268" t="n"/>
      <c r="BG91" s="268" t="n"/>
      <c r="BH91" s="268" t="n"/>
      <c r="BI91" s="268" t="n"/>
      <c r="BJ91" s="268" t="n"/>
      <c r="BK91" s="268" t="n"/>
      <c r="BL91" s="268" t="n"/>
      <c r="BM91" s="268" t="n"/>
      <c r="BN91" s="268" t="n"/>
      <c r="BO91" s="268" t="n"/>
      <c r="BP91" s="268" t="n"/>
      <c r="BQ91" s="268" t="n"/>
      <c r="BR91" s="268" t="n"/>
      <c r="BS91" s="268" t="n"/>
      <c r="BT91" s="268" t="n"/>
      <c r="BU91" s="268" t="n"/>
      <c r="BV91" s="268" t="n"/>
      <c r="BW91" s="268" t="n"/>
      <c r="BX91" s="268" t="n"/>
      <c r="BY91" s="268" t="n"/>
      <c r="BZ91" s="268" t="n"/>
      <c r="CA91" s="268" t="n"/>
      <c r="CB91" s="268" t="n"/>
      <c r="CC91" s="268" t="n"/>
      <c r="CD91" s="268" t="n"/>
      <c r="CE91" s="268" t="n"/>
      <c r="CF91" s="268" t="n"/>
      <c r="CG91" s="268" t="n"/>
      <c r="CH91" s="268" t="n"/>
      <c r="CI91" s="268" t="n"/>
      <c r="CJ91" s="268" t="n"/>
      <c r="CK91" s="268" t="n"/>
      <c r="CL91" s="268" t="n"/>
      <c r="CM91" s="268" t="n"/>
      <c r="CN91" s="268" t="n"/>
      <c r="CO91" s="268" t="n"/>
      <c r="CP91" s="268" t="n"/>
      <c r="CQ91" s="268" t="n"/>
      <c r="CR91" s="268" t="n"/>
      <c r="CS91" s="268" t="n"/>
      <c r="CT91" s="268" t="n"/>
      <c r="CU91" s="268" t="n"/>
      <c r="CV91" s="268" t="n"/>
      <c r="CW91" s="268" t="n"/>
      <c r="CX91" s="268" t="n"/>
      <c r="CY91" s="268" t="n"/>
    </row>
    <row r="92" hidden="1" outlineLevel="1" ht="12.75" customHeight="1" s="255">
      <c r="C92" s="312" t="inlineStr">
        <is>
          <t>Total debt</t>
        </is>
      </c>
      <c r="D92" s="268" t="n"/>
      <c r="E92" s="268" t="n"/>
      <c r="F92" s="268" t="n"/>
      <c r="G92" s="268" t="n"/>
      <c r="H92" s="268" t="n"/>
      <c r="I92" s="268" t="n"/>
      <c r="J92" s="268" t="n"/>
      <c r="K92" s="268" t="n"/>
      <c r="L92" s="268" t="n"/>
      <c r="M92" s="268" t="n"/>
      <c r="N92" s="268" t="n"/>
      <c r="O92" s="268" t="n"/>
      <c r="P92" s="268" t="n"/>
      <c r="Q92" s="268" t="n"/>
      <c r="R92" s="268" t="n"/>
      <c r="S92" s="268" t="n"/>
      <c r="T92" s="268" t="n"/>
      <c r="U92" s="268" t="n"/>
      <c r="V92" s="268" t="n"/>
      <c r="W92" s="268" t="n"/>
      <c r="X92" s="268" t="n"/>
      <c r="Y92" s="268" t="n"/>
      <c r="Z92" s="268" t="n"/>
      <c r="AA92" s="268" t="n"/>
      <c r="AB92" s="268" t="n"/>
      <c r="AC92" s="268" t="n"/>
      <c r="AD92" s="268" t="n"/>
      <c r="AE92" s="268" t="n"/>
      <c r="AF92" s="268" t="n"/>
      <c r="AG92" s="268" t="n"/>
      <c r="AH92" s="268" t="n"/>
      <c r="AI92" s="268" t="n"/>
      <c r="AJ92" s="268" t="n"/>
      <c r="AK92" s="268" t="n"/>
      <c r="AL92" s="268" t="n"/>
      <c r="AM92" s="268" t="n"/>
      <c r="AN92" s="268" t="n"/>
      <c r="AO92" s="268" t="n"/>
      <c r="AP92" s="268" t="n"/>
      <c r="AQ92" s="268" t="n"/>
      <c r="AR92" s="268" t="n"/>
      <c r="AS92" s="268" t="n"/>
      <c r="AT92" s="268" t="n"/>
      <c r="AU92" s="268" t="n"/>
      <c r="AV92" s="268" t="n"/>
      <c r="AW92" s="268" t="n"/>
      <c r="AX92" s="268" t="n"/>
      <c r="AY92" s="268" t="n"/>
      <c r="AZ92" s="268" t="n"/>
      <c r="BA92" s="268" t="n"/>
      <c r="BB92" s="268" t="n"/>
      <c r="BC92" s="268" t="n"/>
      <c r="BD92" s="268" t="n"/>
      <c r="BE92" s="268" t="n"/>
      <c r="BF92" s="268" t="n"/>
      <c r="BG92" s="268" t="n"/>
      <c r="BH92" s="268" t="n"/>
      <c r="BI92" s="268" t="n"/>
      <c r="BJ92" s="268" t="n"/>
      <c r="BK92" s="268" t="n"/>
      <c r="BL92" s="268" t="n"/>
      <c r="BM92" s="268" t="n"/>
      <c r="BN92" s="268" t="n"/>
      <c r="BO92" s="268" t="n"/>
      <c r="BP92" s="268" t="n"/>
      <c r="BQ92" s="268" t="n"/>
      <c r="BR92" s="268" t="n"/>
      <c r="BS92" s="268" t="n"/>
      <c r="BT92" s="268" t="n"/>
      <c r="BU92" s="268" t="n"/>
      <c r="BV92" s="268" t="n"/>
      <c r="BW92" s="268" t="n"/>
      <c r="BX92" s="268" t="n"/>
      <c r="BY92" s="268" t="n"/>
      <c r="BZ92" s="268" t="n"/>
      <c r="CA92" s="268" t="n"/>
      <c r="CB92" s="268" t="n"/>
      <c r="CC92" s="268" t="n"/>
      <c r="CD92" s="268" t="n"/>
      <c r="CE92" s="268" t="n"/>
      <c r="CF92" s="268" t="n"/>
      <c r="CG92" s="268" t="n"/>
      <c r="CH92" s="268" t="n"/>
      <c r="CI92" s="268" t="n"/>
      <c r="CJ92" s="268" t="n"/>
      <c r="CK92" s="268" t="n"/>
      <c r="CL92" s="268" t="n"/>
      <c r="CM92" s="268" t="n"/>
      <c r="CN92" s="268" t="n"/>
      <c r="CO92" s="268" t="n"/>
      <c r="CP92" s="268" t="n"/>
      <c r="CQ92" s="268" t="n"/>
      <c r="CR92" s="268" t="n"/>
      <c r="CS92" s="268" t="n"/>
      <c r="CT92" s="268" t="n"/>
      <c r="CU92" s="268" t="n"/>
      <c r="CV92" s="268" t="n"/>
      <c r="CW92" s="268" t="n"/>
      <c r="CX92" s="268" t="n"/>
      <c r="CY92" s="268" t="n"/>
    </row>
    <row r="93" hidden="1" outlineLevel="1" ht="12.75" customHeight="1" s="255">
      <c r="C93" s="312" t="inlineStr">
        <is>
          <t>Interest expense</t>
        </is>
      </c>
      <c r="D93" s="268" t="n"/>
      <c r="E93" s="268" t="n"/>
      <c r="F93" s="268" t="n"/>
      <c r="G93" s="268" t="n"/>
      <c r="H93" s="268" t="n"/>
      <c r="I93" s="268" t="n"/>
      <c r="J93" s="268" t="n"/>
      <c r="K93" s="268" t="n"/>
      <c r="L93" s="268" t="n"/>
      <c r="M93" s="268" t="n"/>
      <c r="N93" s="268" t="n"/>
      <c r="O93" s="268" t="n"/>
      <c r="P93" s="268" t="n"/>
      <c r="Q93" s="268" t="n"/>
      <c r="R93" s="268" t="n"/>
      <c r="S93" s="268" t="n"/>
      <c r="T93" s="268" t="n"/>
      <c r="U93" s="268" t="n"/>
      <c r="V93" s="268" t="n"/>
      <c r="W93" s="268" t="n"/>
      <c r="X93" s="268" t="n"/>
      <c r="Y93" s="268" t="n"/>
      <c r="Z93" s="268" t="n"/>
      <c r="AA93" s="268" t="n"/>
      <c r="AB93" s="268" t="n"/>
      <c r="AC93" s="268" t="n"/>
      <c r="AD93" s="268" t="n"/>
      <c r="AE93" s="268" t="n"/>
      <c r="AF93" s="268" t="n"/>
      <c r="AG93" s="268" t="n"/>
      <c r="AH93" s="268" t="n"/>
      <c r="AI93" s="268" t="n"/>
      <c r="AJ93" s="268" t="n"/>
      <c r="AK93" s="268" t="n"/>
      <c r="AL93" s="268" t="n"/>
      <c r="AM93" s="268" t="n"/>
      <c r="AN93" s="268" t="n"/>
      <c r="AO93" s="268" t="n"/>
      <c r="AP93" s="268" t="n"/>
      <c r="AQ93" s="268" t="n"/>
      <c r="AR93" s="268" t="n"/>
      <c r="AS93" s="268" t="n"/>
      <c r="AT93" s="268" t="n"/>
      <c r="AU93" s="268" t="n"/>
      <c r="AV93" s="268" t="n"/>
      <c r="AW93" s="268" t="n"/>
      <c r="AX93" s="268" t="n"/>
      <c r="AY93" s="268" t="n"/>
      <c r="AZ93" s="268" t="n"/>
      <c r="BA93" s="268" t="n"/>
      <c r="BB93" s="268" t="n"/>
      <c r="BC93" s="268" t="n"/>
      <c r="BD93" s="268" t="n"/>
      <c r="BE93" s="268" t="n"/>
      <c r="BF93" s="268" t="n"/>
      <c r="BG93" s="268" t="n"/>
      <c r="BH93" s="268" t="n"/>
      <c r="BI93" s="268" t="n"/>
      <c r="BJ93" s="268" t="n"/>
      <c r="BK93" s="268" t="n"/>
      <c r="BL93" s="268" t="n"/>
      <c r="BM93" s="268" t="n"/>
      <c r="BN93" s="268" t="n"/>
      <c r="BO93" s="268" t="n"/>
      <c r="BP93" s="268" t="n"/>
      <c r="BQ93" s="268" t="n"/>
      <c r="BR93" s="268" t="n"/>
      <c r="BS93" s="268" t="n"/>
      <c r="BT93" s="268" t="n"/>
      <c r="BU93" s="268" t="n"/>
      <c r="BV93" s="268" t="n"/>
      <c r="BW93" s="268" t="n"/>
      <c r="BX93" s="268" t="n"/>
      <c r="BY93" s="268" t="n"/>
      <c r="BZ93" s="268" t="n"/>
      <c r="CA93" s="268" t="n"/>
      <c r="CB93" s="268" t="n"/>
      <c r="CC93" s="268" t="n"/>
      <c r="CD93" s="268" t="n"/>
      <c r="CE93" s="268" t="n"/>
      <c r="CF93" s="268" t="n"/>
      <c r="CG93" s="268" t="n"/>
      <c r="CH93" s="268" t="n"/>
      <c r="CI93" s="268" t="n"/>
      <c r="CJ93" s="268" t="n"/>
      <c r="CK93" s="268" t="n"/>
      <c r="CL93" s="268" t="n"/>
      <c r="CM93" s="268" t="n"/>
      <c r="CN93" s="268" t="n"/>
      <c r="CO93" s="268" t="n"/>
      <c r="CP93" s="268" t="n"/>
      <c r="CQ93" s="268" t="n"/>
      <c r="CR93" s="268" t="n"/>
      <c r="CS93" s="268" t="n"/>
      <c r="CT93" s="268" t="n"/>
      <c r="CU93" s="268" t="n"/>
      <c r="CV93" s="268" t="n"/>
      <c r="CW93" s="268" t="n"/>
      <c r="CX93" s="268" t="n"/>
      <c r="CY93" s="268" t="n"/>
    </row>
    <row r="94" hidden="1" outlineLevel="1" ht="12.75" customHeight="1" s="255">
      <c r="C94" s="312" t="inlineStr">
        <is>
          <t>Average interest rate</t>
        </is>
      </c>
      <c r="D94" s="268" t="n"/>
      <c r="E94" s="268" t="n"/>
      <c r="F94" s="268" t="n"/>
      <c r="G94" s="268" t="n"/>
      <c r="H94" s="268" t="n"/>
      <c r="I94" s="268" t="n"/>
      <c r="J94" s="268" t="n"/>
      <c r="K94" s="268" t="n"/>
      <c r="L94" s="268" t="n"/>
      <c r="M94" s="268" t="n"/>
      <c r="N94" s="268" t="n"/>
      <c r="O94" s="268" t="n"/>
      <c r="P94" s="268" t="n"/>
      <c r="Q94" s="268" t="n"/>
      <c r="R94" s="268" t="n"/>
      <c r="S94" s="268" t="n"/>
      <c r="T94" s="268" t="n"/>
      <c r="U94" s="268" t="n"/>
      <c r="V94" s="268" t="n"/>
      <c r="W94" s="268" t="n"/>
      <c r="X94" s="268" t="n"/>
      <c r="Y94" s="268" t="n"/>
      <c r="Z94" s="268" t="n"/>
      <c r="AA94" s="268" t="n"/>
      <c r="AB94" s="268" t="n"/>
      <c r="AC94" s="268" t="n"/>
      <c r="AD94" s="268" t="n"/>
      <c r="AE94" s="268" t="n"/>
      <c r="AF94" s="268" t="n"/>
      <c r="AG94" s="268" t="n"/>
      <c r="AH94" s="268" t="n"/>
      <c r="AI94" s="268" t="n"/>
      <c r="AJ94" s="268" t="n"/>
      <c r="AK94" s="268" t="n"/>
      <c r="AL94" s="268" t="n"/>
      <c r="AM94" s="268" t="n"/>
      <c r="AN94" s="268" t="n"/>
      <c r="AO94" s="268" t="n"/>
      <c r="AP94" s="268" t="n"/>
      <c r="AQ94" s="268" t="n"/>
      <c r="AR94" s="268" t="n"/>
      <c r="AS94" s="268" t="n"/>
      <c r="AT94" s="268" t="n"/>
      <c r="AU94" s="268" t="n"/>
      <c r="AV94" s="268" t="n"/>
      <c r="AW94" s="268" t="n"/>
      <c r="AX94" s="268" t="n"/>
      <c r="AY94" s="268" t="n"/>
      <c r="AZ94" s="268" t="n"/>
      <c r="BA94" s="268" t="n"/>
      <c r="BB94" s="268" t="n"/>
      <c r="BC94" s="268" t="n"/>
      <c r="BD94" s="268" t="n"/>
      <c r="BE94" s="268" t="n"/>
      <c r="BF94" s="268" t="n"/>
      <c r="BG94" s="268" t="n"/>
      <c r="BH94" s="268" t="n"/>
      <c r="BI94" s="268" t="n"/>
      <c r="BJ94" s="268" t="n"/>
      <c r="BK94" s="268" t="n"/>
      <c r="BL94" s="268" t="n"/>
      <c r="BM94" s="268" t="n"/>
      <c r="BN94" s="268" t="n"/>
      <c r="BO94" s="268" t="n"/>
      <c r="BP94" s="268" t="n"/>
      <c r="BQ94" s="268" t="n"/>
      <c r="BR94" s="268" t="n"/>
      <c r="BS94" s="268" t="n"/>
      <c r="BT94" s="268" t="n"/>
      <c r="BU94" s="268" t="n"/>
      <c r="BV94" s="268" t="n"/>
      <c r="BW94" s="268" t="n"/>
      <c r="BX94" s="268" t="n"/>
      <c r="BY94" s="268" t="n"/>
      <c r="BZ94" s="268" t="n"/>
      <c r="CA94" s="268" t="n"/>
      <c r="CB94" s="268" t="n"/>
      <c r="CC94" s="268" t="n"/>
      <c r="CD94" s="268" t="n"/>
      <c r="CE94" s="268" t="n"/>
      <c r="CF94" s="268" t="n"/>
      <c r="CG94" s="268" t="n"/>
      <c r="CH94" s="268" t="n"/>
      <c r="CI94" s="268" t="n"/>
      <c r="CJ94" s="268" t="n"/>
      <c r="CK94" s="268" t="n"/>
      <c r="CL94" s="268" t="n"/>
      <c r="CM94" s="268" t="n"/>
      <c r="CN94" s="268" t="n"/>
      <c r="CO94" s="268" t="n"/>
      <c r="CP94" s="268" t="n"/>
      <c r="CQ94" s="268" t="n"/>
      <c r="CR94" s="268" t="n"/>
      <c r="CS94" s="268" t="n"/>
      <c r="CT94" s="268" t="n"/>
      <c r="CU94" s="268" t="n"/>
      <c r="CV94" s="268" t="n"/>
      <c r="CW94" s="268" t="n"/>
      <c r="CX94" s="268" t="n"/>
      <c r="CY94" s="268" t="n"/>
    </row>
    <row r="95" hidden="1" outlineLevel="1" ht="12.75" customHeight="1" s="255">
      <c r="C95" s="312" t="n"/>
      <c r="D95" s="268" t="n"/>
      <c r="E95" s="268" t="n"/>
      <c r="F95" s="268" t="n"/>
      <c r="G95" s="268" t="n"/>
      <c r="H95" s="268" t="n"/>
      <c r="I95" s="268" t="n"/>
      <c r="J95" s="268" t="n"/>
      <c r="K95" s="268" t="n"/>
      <c r="L95" s="268" t="n"/>
      <c r="M95" s="268" t="n"/>
      <c r="N95" s="268" t="n"/>
      <c r="O95" s="268" t="n"/>
      <c r="P95" s="268" t="n"/>
      <c r="Q95" s="268" t="n"/>
      <c r="R95" s="268" t="n"/>
      <c r="S95" s="268" t="n"/>
      <c r="T95" s="268" t="n"/>
      <c r="U95" s="268" t="n"/>
      <c r="V95" s="268" t="n"/>
      <c r="W95" s="268" t="n"/>
      <c r="X95" s="268" t="n"/>
      <c r="Y95" s="268" t="n"/>
      <c r="Z95" s="268" t="n"/>
      <c r="AA95" s="268" t="n"/>
      <c r="AB95" s="268" t="n"/>
      <c r="AC95" s="268" t="n"/>
      <c r="AD95" s="268" t="n"/>
      <c r="AE95" s="268" t="n"/>
      <c r="AF95" s="268" t="n"/>
      <c r="AG95" s="268" t="n"/>
      <c r="AH95" s="268" t="n"/>
      <c r="AI95" s="268" t="n"/>
      <c r="AJ95" s="268" t="n"/>
      <c r="AK95" s="268" t="n"/>
      <c r="AL95" s="268" t="n"/>
      <c r="AM95" s="268" t="n"/>
      <c r="AN95" s="268" t="n"/>
      <c r="AO95" s="268" t="n"/>
      <c r="AP95" s="268" t="n"/>
      <c r="AQ95" s="268" t="n"/>
      <c r="AR95" s="268" t="n"/>
      <c r="AS95" s="268" t="n"/>
      <c r="AT95" s="268" t="n"/>
      <c r="AU95" s="268" t="n"/>
      <c r="AV95" s="268" t="n"/>
      <c r="AW95" s="268" t="n"/>
      <c r="AX95" s="268" t="n"/>
      <c r="AY95" s="268" t="n"/>
      <c r="AZ95" s="268" t="n"/>
      <c r="BA95" s="268" t="n"/>
      <c r="BB95" s="268" t="n"/>
      <c r="BC95" s="268" t="n"/>
      <c r="BD95" s="268" t="n"/>
      <c r="BE95" s="268" t="n"/>
      <c r="BF95" s="268" t="n"/>
      <c r="BG95" s="268" t="n"/>
      <c r="BH95" s="268" t="n"/>
      <c r="BI95" s="268" t="n"/>
      <c r="BJ95" s="268" t="n"/>
      <c r="BK95" s="268" t="n"/>
      <c r="BL95" s="268" t="n"/>
      <c r="BM95" s="268" t="n"/>
      <c r="BN95" s="268" t="n"/>
      <c r="BO95" s="268" t="n"/>
      <c r="BP95" s="268" t="n"/>
      <c r="BQ95" s="268" t="n"/>
      <c r="BR95" s="268" t="n"/>
      <c r="BS95" s="268" t="n"/>
      <c r="BT95" s="268" t="n"/>
      <c r="BU95" s="268" t="n"/>
      <c r="BV95" s="268" t="n"/>
      <c r="BW95" s="268" t="n"/>
      <c r="BX95" s="268" t="n"/>
      <c r="BY95" s="268" t="n"/>
      <c r="BZ95" s="268" t="n"/>
      <c r="CA95" s="268" t="n"/>
      <c r="CB95" s="268" t="n"/>
      <c r="CC95" s="268" t="n"/>
      <c r="CD95" s="268" t="n"/>
      <c r="CE95" s="268" t="n"/>
      <c r="CF95" s="268" t="n"/>
      <c r="CG95" s="268" t="n"/>
      <c r="CH95" s="268" t="n"/>
      <c r="CI95" s="268" t="n"/>
      <c r="CJ95" s="268" t="n"/>
      <c r="CK95" s="268" t="n"/>
      <c r="CL95" s="268" t="n"/>
      <c r="CM95" s="268" t="n"/>
      <c r="CN95" s="268" t="n"/>
      <c r="CO95" s="268" t="n"/>
      <c r="CP95" s="268" t="n"/>
      <c r="CQ95" s="268" t="n"/>
      <c r="CR95" s="268" t="n"/>
      <c r="CS95" s="268" t="n"/>
      <c r="CT95" s="268" t="n"/>
      <c r="CU95" s="268" t="n"/>
      <c r="CV95" s="268" t="n"/>
      <c r="CW95" s="268" t="n"/>
      <c r="CX95" s="268" t="n"/>
      <c r="CY95" s="268" t="n"/>
    </row>
    <row r="96" hidden="1" outlineLevel="1" ht="12.75" customHeight="1" s="255">
      <c r="C96" s="312" t="inlineStr">
        <is>
          <t>Stake</t>
        </is>
      </c>
      <c r="D96" s="268" t="n"/>
      <c r="E96" s="268" t="n"/>
      <c r="F96" s="268" t="n"/>
      <c r="G96" s="268" t="n"/>
      <c r="H96" s="268" t="n"/>
      <c r="I96" s="268" t="n"/>
      <c r="J96" s="268" t="n"/>
      <c r="K96" s="268" t="n"/>
      <c r="L96" s="268" t="n"/>
      <c r="M96" s="268" t="n"/>
      <c r="N96" s="268" t="n"/>
      <c r="O96" s="268" t="n"/>
      <c r="P96" s="268" t="n"/>
      <c r="Q96" s="268" t="n"/>
      <c r="R96" s="268" t="n"/>
      <c r="S96" s="268" t="n"/>
      <c r="T96" s="268" t="n"/>
      <c r="U96" s="268" t="n"/>
      <c r="V96" s="268" t="n"/>
      <c r="W96" s="268" t="n"/>
      <c r="X96" s="268" t="n"/>
      <c r="Y96" s="268" t="n"/>
      <c r="Z96" s="268" t="n"/>
      <c r="AA96" s="268" t="n"/>
      <c r="AB96" s="268" t="n"/>
      <c r="AC96" s="268" t="n"/>
      <c r="AD96" s="268" t="n"/>
      <c r="AE96" s="268" t="n"/>
      <c r="AF96" s="268" t="n"/>
      <c r="AG96" s="268" t="n"/>
      <c r="AH96" s="268" t="n"/>
      <c r="AI96" s="268" t="n"/>
      <c r="AJ96" s="268" t="n"/>
      <c r="AK96" s="268" t="n"/>
      <c r="AL96" s="268" t="n"/>
      <c r="AM96" s="268" t="n"/>
      <c r="AN96" s="268" t="n"/>
      <c r="AO96" s="268" t="n"/>
      <c r="AP96" s="268" t="n"/>
      <c r="AQ96" s="268" t="n"/>
      <c r="AR96" s="268" t="n"/>
      <c r="AS96" s="268" t="n"/>
      <c r="AT96" s="268" t="n"/>
      <c r="AU96" s="268" t="n"/>
      <c r="AV96" s="268" t="n"/>
      <c r="AW96" s="268" t="n"/>
      <c r="AX96" s="268" t="n"/>
      <c r="AY96" s="268" t="n"/>
      <c r="AZ96" s="268" t="n"/>
      <c r="BA96" s="268" t="n"/>
      <c r="BB96" s="268" t="n"/>
      <c r="BC96" s="268" t="n"/>
      <c r="BD96" s="268" t="n"/>
      <c r="BE96" s="268" t="n"/>
      <c r="BF96" s="268" t="n"/>
      <c r="BG96" s="268" t="n"/>
      <c r="BH96" s="268" t="n"/>
      <c r="BI96" s="268" t="n"/>
      <c r="BJ96" s="268" t="n"/>
      <c r="BK96" s="268" t="n"/>
      <c r="BL96" s="268" t="n"/>
      <c r="BM96" s="268" t="n"/>
      <c r="BN96" s="268" t="n"/>
      <c r="BO96" s="268" t="n"/>
      <c r="BP96" s="268" t="n"/>
      <c r="BQ96" s="268" t="n"/>
      <c r="BR96" s="268" t="n"/>
      <c r="BS96" s="268" t="n"/>
      <c r="BT96" s="268" t="n"/>
      <c r="BU96" s="268" t="n"/>
      <c r="BV96" s="268" t="n"/>
      <c r="BW96" s="268" t="n"/>
      <c r="BX96" s="268" t="n"/>
      <c r="BY96" s="268" t="n"/>
      <c r="BZ96" s="268" t="n"/>
      <c r="CA96" s="268" t="n"/>
      <c r="CB96" s="268" t="n"/>
      <c r="CC96" s="268" t="n"/>
      <c r="CD96" s="268" t="n"/>
      <c r="CE96" s="268" t="n"/>
      <c r="CF96" s="268" t="n"/>
      <c r="CG96" s="268" t="n"/>
      <c r="CH96" s="268" t="n"/>
      <c r="CI96" s="268" t="n"/>
      <c r="CJ96" s="268" t="n"/>
      <c r="CK96" s="268" t="n"/>
      <c r="CL96" s="268" t="n"/>
      <c r="CM96" s="268" t="n"/>
      <c r="CN96" s="268" t="n"/>
      <c r="CO96" s="268" t="n"/>
      <c r="CP96" s="268" t="n"/>
      <c r="CQ96" s="268" t="n"/>
      <c r="CR96" s="268" t="n"/>
      <c r="CS96" s="268" t="n"/>
      <c r="CT96" s="268" t="n"/>
      <c r="CU96" s="268" t="n"/>
      <c r="CV96" s="268" t="n"/>
      <c r="CW96" s="268" t="n"/>
      <c r="CX96" s="268" t="n"/>
      <c r="CY96" s="268" t="n"/>
    </row>
    <row r="97" hidden="1" outlineLevel="1" ht="12.75" customHeight="1" s="255">
      <c r="C97" s="312" t="inlineStr">
        <is>
          <t>PRE</t>
        </is>
      </c>
      <c r="D97" s="268" t="n"/>
      <c r="E97" s="268" t="n"/>
      <c r="F97" s="268" t="n"/>
      <c r="G97" s="268" t="n"/>
      <c r="H97" s="268" t="n"/>
      <c r="I97" s="268" t="n"/>
      <c r="J97" s="268" t="n"/>
      <c r="K97" s="268" t="n"/>
      <c r="L97" s="268" t="n"/>
      <c r="M97" s="268" t="n"/>
      <c r="N97" s="268" t="n"/>
      <c r="O97" s="268" t="n"/>
      <c r="P97" s="268" t="n"/>
      <c r="Q97" s="268" t="n"/>
      <c r="R97" s="268" t="n"/>
      <c r="S97" s="268" t="n"/>
      <c r="T97" s="268" t="n"/>
      <c r="U97" s="268" t="n"/>
      <c r="V97" s="268" t="n"/>
      <c r="W97" s="268" t="n"/>
      <c r="X97" s="268" t="n"/>
      <c r="Y97" s="268" t="n"/>
      <c r="Z97" s="268" t="n"/>
      <c r="AA97" s="268" t="n"/>
      <c r="AB97" s="268" t="n"/>
      <c r="AC97" s="268" t="n"/>
      <c r="AD97" s="268" t="n"/>
      <c r="AE97" s="268" t="n"/>
      <c r="AF97" s="268" t="n"/>
      <c r="AG97" s="268" t="n"/>
      <c r="AH97" s="268" t="n"/>
      <c r="AI97" s="268" t="n"/>
      <c r="AJ97" s="268" t="n"/>
      <c r="AK97" s="268" t="n"/>
      <c r="AL97" s="268" t="n"/>
      <c r="AM97" s="268" t="n"/>
      <c r="AN97" s="268" t="n"/>
      <c r="AO97" s="268" t="n"/>
      <c r="AP97" s="268" t="n"/>
      <c r="AQ97" s="268" t="n"/>
      <c r="AR97" s="268" t="n"/>
      <c r="AS97" s="268" t="n"/>
      <c r="AT97" s="268" t="n"/>
      <c r="AU97" s="268" t="n"/>
      <c r="AV97" s="268" t="n"/>
      <c r="AW97" s="268" t="n"/>
      <c r="AX97" s="268" t="n"/>
      <c r="AY97" s="268" t="n"/>
      <c r="AZ97" s="268" t="n"/>
      <c r="BA97" s="268" t="n"/>
      <c r="BB97" s="268" t="n"/>
      <c r="BC97" s="268" t="n"/>
      <c r="BD97" s="268" t="n"/>
      <c r="BE97" s="268" t="n"/>
      <c r="BF97" s="268" t="n"/>
      <c r="BG97" s="268" t="n"/>
      <c r="BH97" s="268" t="n"/>
      <c r="BI97" s="268" t="n"/>
      <c r="BJ97" s="268" t="n"/>
      <c r="BK97" s="268" t="n"/>
      <c r="BL97" s="268" t="n"/>
      <c r="BM97" s="268" t="n"/>
      <c r="BN97" s="268" t="n"/>
      <c r="BO97" s="268" t="n"/>
      <c r="BP97" s="268" t="n"/>
      <c r="BQ97" s="268" t="n"/>
      <c r="BR97" s="268" t="n"/>
      <c r="BS97" s="268" t="n"/>
      <c r="BT97" s="268" t="n"/>
      <c r="BU97" s="268" t="n"/>
      <c r="BV97" s="268" t="n"/>
      <c r="BW97" s="268" t="n"/>
      <c r="BX97" s="268" t="n"/>
      <c r="BY97" s="268" t="n"/>
      <c r="BZ97" s="268" t="n"/>
      <c r="CA97" s="268" t="n"/>
      <c r="CB97" s="268" t="n"/>
      <c r="CC97" s="268" t="n"/>
      <c r="CD97" s="268" t="n"/>
      <c r="CE97" s="268" t="n"/>
      <c r="CF97" s="268" t="n"/>
      <c r="CG97" s="268" t="n"/>
      <c r="CH97" s="268" t="n"/>
      <c r="CI97" s="268" t="n"/>
      <c r="CJ97" s="268" t="n"/>
      <c r="CK97" s="268" t="n"/>
      <c r="CL97" s="268" t="n"/>
      <c r="CM97" s="268" t="n"/>
      <c r="CN97" s="268" t="n"/>
      <c r="CO97" s="268" t="n"/>
      <c r="CP97" s="268" t="n"/>
      <c r="CQ97" s="268" t="n"/>
      <c r="CR97" s="268" t="n"/>
      <c r="CS97" s="268" t="n"/>
      <c r="CT97" s="268" t="n"/>
      <c r="CU97" s="268" t="n"/>
      <c r="CV97" s="268" t="n"/>
      <c r="CW97" s="268" t="n"/>
      <c r="CX97" s="268" t="n"/>
      <c r="CY97" s="268" t="n"/>
    </row>
    <row r="98" hidden="1" outlineLevel="1" ht="12.75" customHeight="1" s="255">
      <c r="C98" s="312" t="inlineStr">
        <is>
          <t>CDI+</t>
        </is>
      </c>
      <c r="D98" s="268" t="n"/>
      <c r="E98" s="268" t="n"/>
      <c r="F98" s="268" t="n"/>
      <c r="G98" s="268" t="n"/>
      <c r="H98" s="268" t="n"/>
      <c r="I98" s="268" t="n"/>
      <c r="J98" s="268" t="n"/>
      <c r="K98" s="268" t="n"/>
      <c r="L98" s="268" t="n"/>
      <c r="M98" s="268" t="n"/>
      <c r="N98" s="268" t="n"/>
      <c r="O98" s="268" t="n"/>
      <c r="P98" s="268" t="n"/>
      <c r="Q98" s="268" t="n"/>
      <c r="R98" s="268" t="n"/>
      <c r="S98" s="268" t="n"/>
      <c r="T98" s="268" t="n"/>
      <c r="U98" s="268" t="n"/>
      <c r="V98" s="268" t="n"/>
      <c r="W98" s="268" t="n"/>
      <c r="X98" s="268" t="n"/>
      <c r="Y98" s="268" t="n"/>
      <c r="Z98" s="268" t="n"/>
      <c r="AA98" s="268" t="n"/>
      <c r="AB98" s="268" t="n"/>
      <c r="AC98" s="268" t="n"/>
      <c r="AD98" s="268" t="n"/>
      <c r="AE98" s="268" t="n"/>
      <c r="AF98" s="268" t="n"/>
      <c r="AG98" s="268" t="n"/>
      <c r="AH98" s="268" t="n"/>
      <c r="AI98" s="268" t="n"/>
      <c r="AJ98" s="268" t="n"/>
      <c r="AK98" s="268" t="n"/>
      <c r="AL98" s="268" t="n"/>
      <c r="AM98" s="268" t="n"/>
      <c r="AN98" s="268" t="n"/>
      <c r="AO98" s="268" t="n"/>
      <c r="AP98" s="268" t="n"/>
      <c r="AQ98" s="268" t="n"/>
      <c r="AR98" s="268" t="n"/>
      <c r="AS98" s="268" t="n"/>
      <c r="AT98" s="268" t="n"/>
      <c r="AU98" s="268" t="n"/>
      <c r="AV98" s="268" t="n"/>
      <c r="AW98" s="268" t="n"/>
      <c r="AX98" s="268" t="n"/>
      <c r="AY98" s="268" t="n"/>
      <c r="AZ98" s="268" t="n"/>
      <c r="BA98" s="268" t="n"/>
      <c r="BB98" s="268" t="n"/>
      <c r="BC98" s="268" t="n"/>
      <c r="BD98" s="268" t="n"/>
      <c r="BE98" s="268" t="n"/>
      <c r="BF98" s="268" t="n"/>
      <c r="BG98" s="268" t="n"/>
      <c r="BH98" s="268" t="n"/>
      <c r="BI98" s="268" t="n"/>
      <c r="BJ98" s="268" t="n"/>
      <c r="BK98" s="268" t="n"/>
      <c r="BL98" s="268" t="n"/>
      <c r="BM98" s="268" t="n"/>
      <c r="BN98" s="268" t="n"/>
      <c r="BO98" s="268" t="n"/>
      <c r="BP98" s="268" t="n"/>
      <c r="BQ98" s="268" t="n"/>
      <c r="BR98" s="268" t="n"/>
      <c r="BS98" s="268" t="n"/>
      <c r="BT98" s="268" t="n"/>
      <c r="BU98" s="268" t="n"/>
      <c r="BV98" s="268" t="n"/>
      <c r="BW98" s="268" t="n"/>
      <c r="BX98" s="268" t="n"/>
      <c r="BY98" s="268" t="n"/>
      <c r="BZ98" s="268" t="n"/>
      <c r="CA98" s="268" t="n"/>
      <c r="CB98" s="268" t="n"/>
      <c r="CC98" s="268" t="n"/>
      <c r="CD98" s="268" t="n"/>
      <c r="CE98" s="268" t="n"/>
      <c r="CF98" s="268" t="n"/>
      <c r="CG98" s="268" t="n"/>
      <c r="CH98" s="268" t="n"/>
      <c r="CI98" s="268" t="n"/>
      <c r="CJ98" s="268" t="n"/>
      <c r="CK98" s="268" t="n"/>
      <c r="CL98" s="268" t="n"/>
      <c r="CM98" s="268" t="n"/>
      <c r="CN98" s="268" t="n"/>
      <c r="CO98" s="268" t="n"/>
      <c r="CP98" s="268" t="n"/>
      <c r="CQ98" s="268" t="n"/>
      <c r="CR98" s="268" t="n"/>
      <c r="CS98" s="268" t="n"/>
      <c r="CT98" s="268" t="n"/>
      <c r="CU98" s="268" t="n"/>
      <c r="CV98" s="268" t="n"/>
      <c r="CW98" s="268" t="n"/>
      <c r="CX98" s="268" t="n"/>
      <c r="CY98" s="268" t="n"/>
    </row>
    <row r="99" hidden="1" outlineLevel="1" ht="12.75" customHeight="1" s="255">
      <c r="C99" s="312" t="n"/>
      <c r="D99" s="268" t="n"/>
      <c r="E99" s="268" t="n"/>
      <c r="F99" s="268" t="n"/>
      <c r="G99" s="268" t="n"/>
      <c r="H99" s="268" t="n"/>
      <c r="I99" s="268" t="n"/>
      <c r="J99" s="268" t="n"/>
      <c r="K99" s="268" t="n"/>
      <c r="L99" s="268" t="n"/>
      <c r="M99" s="268" t="n"/>
      <c r="N99" s="268" t="n"/>
      <c r="O99" s="268" t="n"/>
      <c r="P99" s="268" t="n"/>
      <c r="Q99" s="268" t="n"/>
      <c r="R99" s="268" t="n"/>
      <c r="S99" s="268" t="n"/>
      <c r="T99" s="268" t="n"/>
      <c r="U99" s="268" t="n"/>
      <c r="V99" s="268" t="n"/>
      <c r="W99" s="268" t="n"/>
      <c r="X99" s="268" t="n"/>
      <c r="Y99" s="268" t="n"/>
      <c r="Z99" s="268" t="n"/>
      <c r="AA99" s="268" t="n"/>
      <c r="AB99" s="268" t="n"/>
      <c r="AC99" s="268" t="n"/>
      <c r="AD99" s="268" t="n"/>
      <c r="AE99" s="268" t="n"/>
      <c r="AF99" s="268" t="n"/>
      <c r="AG99" s="268" t="n"/>
      <c r="AH99" s="268" t="n"/>
      <c r="AI99" s="268" t="n"/>
      <c r="AJ99" s="268" t="n"/>
      <c r="AK99" s="268" t="n"/>
      <c r="AL99" s="268" t="n"/>
      <c r="AM99" s="268" t="n"/>
      <c r="AN99" s="268" t="n"/>
      <c r="AO99" s="268" t="n"/>
      <c r="AP99" s="268" t="n"/>
      <c r="AQ99" s="268" t="n"/>
      <c r="AR99" s="268" t="n"/>
      <c r="AS99" s="268" t="n"/>
      <c r="AT99" s="268" t="n"/>
      <c r="AU99" s="268" t="n"/>
      <c r="AV99" s="268" t="n"/>
      <c r="AW99" s="268" t="n"/>
      <c r="AX99" s="268" t="n"/>
      <c r="AY99" s="268" t="n"/>
      <c r="AZ99" s="268" t="n"/>
      <c r="BA99" s="268" t="n"/>
      <c r="BB99" s="268" t="n"/>
      <c r="BC99" s="268" t="n"/>
      <c r="BD99" s="268" t="n"/>
      <c r="BE99" s="268" t="n"/>
      <c r="BF99" s="268" t="n"/>
      <c r="BG99" s="268" t="n"/>
      <c r="BH99" s="268" t="n"/>
      <c r="BI99" s="268" t="n"/>
      <c r="BJ99" s="268" t="n"/>
      <c r="BK99" s="268" t="n"/>
      <c r="BL99" s="268" t="n"/>
      <c r="BM99" s="268" t="n"/>
      <c r="BN99" s="268" t="n"/>
      <c r="BO99" s="268" t="n"/>
      <c r="BP99" s="268" t="n"/>
      <c r="BQ99" s="268" t="n"/>
      <c r="BR99" s="268" t="n"/>
      <c r="BS99" s="268" t="n"/>
      <c r="BT99" s="268" t="n"/>
      <c r="BU99" s="268" t="n"/>
      <c r="BV99" s="268" t="n"/>
      <c r="BW99" s="268" t="n"/>
      <c r="BX99" s="268" t="n"/>
      <c r="BY99" s="268" t="n"/>
      <c r="BZ99" s="268" t="n"/>
      <c r="CA99" s="268" t="n"/>
      <c r="CB99" s="268" t="n"/>
      <c r="CC99" s="268" t="n"/>
      <c r="CD99" s="268" t="n"/>
      <c r="CE99" s="268" t="n"/>
      <c r="CF99" s="268" t="n"/>
      <c r="CG99" s="268" t="n"/>
      <c r="CH99" s="268" t="n"/>
      <c r="CI99" s="268" t="n"/>
      <c r="CJ99" s="268" t="n"/>
      <c r="CK99" s="268" t="n"/>
      <c r="CL99" s="268" t="n"/>
      <c r="CM99" s="268" t="n"/>
      <c r="CN99" s="268" t="n"/>
      <c r="CO99" s="268" t="n"/>
      <c r="CP99" s="268" t="n"/>
      <c r="CQ99" s="268" t="n"/>
      <c r="CR99" s="268" t="n"/>
      <c r="CS99" s="268" t="n"/>
      <c r="CT99" s="268" t="n"/>
      <c r="CU99" s="268" t="n"/>
      <c r="CV99" s="268" t="n"/>
      <c r="CW99" s="268" t="n"/>
      <c r="CX99" s="268" t="n"/>
      <c r="CY99" s="268" t="n"/>
    </row>
    <row r="100" hidden="1" outlineLevel="1" ht="12.75" customHeight="1" s="255">
      <c r="C100" s="312" t="inlineStr">
        <is>
          <t>Spread</t>
        </is>
      </c>
      <c r="D100" s="268" t="n"/>
      <c r="E100" s="268" t="n"/>
      <c r="F100" s="268" t="n"/>
      <c r="G100" s="268" t="n"/>
      <c r="H100" s="268" t="n"/>
      <c r="I100" s="268" t="n"/>
      <c r="J100" s="268" t="n"/>
      <c r="K100" s="268" t="n"/>
      <c r="L100" s="268" t="n"/>
      <c r="M100" s="268" t="n"/>
      <c r="N100" s="268" t="n"/>
      <c r="O100" s="268" t="n"/>
      <c r="P100" s="268" t="n"/>
      <c r="Q100" s="268" t="n"/>
      <c r="R100" s="268" t="n"/>
      <c r="S100" s="268" t="n"/>
      <c r="T100" s="268" t="n"/>
      <c r="U100" s="268" t="n"/>
      <c r="V100" s="268" t="n"/>
      <c r="W100" s="268" t="n"/>
      <c r="X100" s="268" t="n"/>
      <c r="Y100" s="268" t="n"/>
      <c r="Z100" s="268" t="n"/>
      <c r="AA100" s="268" t="n"/>
      <c r="AB100" s="268" t="n"/>
      <c r="AC100" s="268" t="n"/>
      <c r="AD100" s="268" t="n"/>
      <c r="AE100" s="268" t="n"/>
      <c r="AF100" s="268" t="n"/>
      <c r="AG100" s="268" t="n"/>
      <c r="AH100" s="268" t="n"/>
      <c r="AI100" s="268" t="n"/>
      <c r="AJ100" s="268" t="n"/>
      <c r="AK100" s="268" t="n"/>
      <c r="AL100" s="268" t="n"/>
      <c r="AM100" s="268" t="n"/>
      <c r="AN100" s="268" t="n"/>
      <c r="AO100" s="268" t="n"/>
      <c r="AP100" s="268" t="n"/>
      <c r="AQ100" s="268" t="n"/>
      <c r="AR100" s="268" t="n"/>
      <c r="AS100" s="268" t="n"/>
      <c r="AT100" s="268" t="n"/>
      <c r="AU100" s="268" t="n"/>
      <c r="AV100" s="268" t="n"/>
      <c r="AW100" s="268" t="n"/>
      <c r="AX100" s="268" t="n"/>
      <c r="AY100" s="268" t="n"/>
      <c r="AZ100" s="268" t="n"/>
      <c r="BA100" s="268" t="n"/>
      <c r="BB100" s="268" t="n"/>
      <c r="BC100" s="268" t="n"/>
      <c r="BD100" s="268" t="n"/>
      <c r="BE100" s="268" t="n"/>
      <c r="BF100" s="268" t="n"/>
      <c r="BG100" s="268" t="n"/>
      <c r="BH100" s="268" t="n"/>
      <c r="BI100" s="268" t="n"/>
      <c r="BJ100" s="268" t="n"/>
      <c r="BK100" s="268" t="n"/>
      <c r="BL100" s="268" t="n"/>
      <c r="BM100" s="268" t="n"/>
      <c r="BN100" s="268" t="n"/>
      <c r="BO100" s="268" t="n"/>
      <c r="BP100" s="268" t="n"/>
      <c r="BQ100" s="268" t="n"/>
      <c r="BR100" s="268" t="n"/>
      <c r="BS100" s="268" t="n"/>
      <c r="BT100" s="268" t="n"/>
      <c r="BU100" s="268" t="n"/>
      <c r="BV100" s="268" t="n"/>
      <c r="BW100" s="268" t="n"/>
      <c r="BX100" s="268" t="n"/>
      <c r="BY100" s="268" t="n"/>
      <c r="BZ100" s="268" t="n"/>
      <c r="CA100" s="268" t="n"/>
      <c r="CB100" s="268" t="n"/>
      <c r="CC100" s="268" t="n"/>
      <c r="CD100" s="268" t="n"/>
      <c r="CE100" s="268" t="n"/>
      <c r="CF100" s="268" t="n"/>
      <c r="CG100" s="268" t="n"/>
      <c r="CH100" s="268" t="n"/>
      <c r="CI100" s="268" t="n"/>
      <c r="CJ100" s="268" t="n"/>
      <c r="CK100" s="268" t="n"/>
      <c r="CL100" s="268" t="n"/>
      <c r="CM100" s="268" t="n"/>
      <c r="CN100" s="268" t="n"/>
      <c r="CO100" s="268" t="n"/>
      <c r="CP100" s="268" t="n"/>
      <c r="CQ100" s="268" t="n"/>
      <c r="CR100" s="268" t="n"/>
      <c r="CS100" s="268" t="n"/>
      <c r="CT100" s="268" t="n"/>
      <c r="CU100" s="268" t="n"/>
      <c r="CV100" s="268" t="n"/>
      <c r="CW100" s="268" t="n"/>
      <c r="CX100" s="268" t="n"/>
      <c r="CY100" s="268" t="n"/>
    </row>
    <row r="101" hidden="1" outlineLevel="1" ht="12.75" customHeight="1" s="255">
      <c r="C101" s="312" t="inlineStr">
        <is>
          <t>PRE</t>
        </is>
      </c>
      <c r="D101" s="268" t="n"/>
      <c r="E101" s="268" t="n"/>
      <c r="F101" s="268" t="n"/>
      <c r="G101" s="268" t="n"/>
      <c r="H101" s="268" t="n"/>
      <c r="I101" s="268" t="n"/>
      <c r="J101" s="268" t="n"/>
      <c r="K101" s="268" t="n"/>
      <c r="L101" s="268" t="n"/>
      <c r="M101" s="268" t="n"/>
      <c r="N101" s="268" t="n"/>
      <c r="O101" s="268" t="n"/>
      <c r="P101" s="268" t="n"/>
      <c r="Q101" s="268" t="n"/>
      <c r="R101" s="268" t="n"/>
      <c r="S101" s="268" t="n"/>
      <c r="T101" s="268" t="n"/>
      <c r="U101" s="268" t="n"/>
      <c r="V101" s="268" t="n"/>
      <c r="W101" s="268" t="n"/>
      <c r="X101" s="268" t="n"/>
      <c r="Y101" s="268" t="n"/>
      <c r="Z101" s="268" t="n"/>
      <c r="AA101" s="268" t="n"/>
      <c r="AB101" s="268" t="n"/>
      <c r="AC101" s="268" t="n"/>
      <c r="AD101" s="268" t="n"/>
      <c r="AE101" s="268" t="n"/>
      <c r="AF101" s="268" t="n"/>
      <c r="AG101" s="268" t="n"/>
      <c r="AH101" s="268" t="n"/>
      <c r="AI101" s="268" t="n"/>
      <c r="AJ101" s="268" t="n"/>
      <c r="AK101" s="268" t="n"/>
      <c r="AL101" s="268" t="n"/>
      <c r="AM101" s="268" t="n"/>
      <c r="AN101" s="268" t="n"/>
      <c r="AO101" s="268" t="n"/>
      <c r="AP101" s="268" t="n"/>
      <c r="AQ101" s="268" t="n"/>
      <c r="AR101" s="268" t="n"/>
      <c r="AS101" s="268" t="n"/>
      <c r="AT101" s="268" t="n"/>
      <c r="AU101" s="268" t="n"/>
      <c r="AV101" s="268" t="n"/>
      <c r="AW101" s="268" t="n"/>
      <c r="AX101" s="268" t="n"/>
      <c r="AY101" s="268" t="n"/>
      <c r="AZ101" s="268" t="n"/>
      <c r="BA101" s="268" t="n"/>
      <c r="BB101" s="268" t="n"/>
      <c r="BC101" s="268" t="n"/>
      <c r="BD101" s="268" t="n"/>
      <c r="BE101" s="268" t="n"/>
      <c r="BF101" s="268" t="n"/>
      <c r="BG101" s="268" t="n"/>
      <c r="BH101" s="268" t="n"/>
      <c r="BI101" s="268" t="n"/>
      <c r="BJ101" s="268" t="n"/>
      <c r="BK101" s="268" t="n"/>
      <c r="BL101" s="268" t="n"/>
      <c r="BM101" s="268" t="n"/>
      <c r="BN101" s="268" t="n"/>
      <c r="BO101" s="268" t="n"/>
      <c r="BP101" s="268" t="n"/>
      <c r="BQ101" s="268" t="n"/>
      <c r="BR101" s="268" t="n"/>
      <c r="BS101" s="268" t="n"/>
      <c r="BT101" s="268" t="n"/>
      <c r="BU101" s="268" t="n"/>
      <c r="BV101" s="268" t="n"/>
      <c r="BW101" s="268" t="n"/>
      <c r="BX101" s="268" t="n"/>
      <c r="BY101" s="268" t="n"/>
      <c r="BZ101" s="268" t="n"/>
      <c r="CA101" s="268" t="n"/>
      <c r="CB101" s="268" t="n"/>
      <c r="CC101" s="268" t="n"/>
      <c r="CD101" s="268" t="n"/>
      <c r="CE101" s="268" t="n"/>
      <c r="CF101" s="268" t="n"/>
      <c r="CG101" s="268" t="n"/>
      <c r="CH101" s="268" t="n"/>
      <c r="CI101" s="268" t="n"/>
      <c r="CJ101" s="268" t="n"/>
      <c r="CK101" s="268" t="n"/>
      <c r="CL101" s="268" t="n"/>
      <c r="CM101" s="268" t="n"/>
      <c r="CN101" s="268" t="n"/>
      <c r="CO101" s="268" t="n"/>
      <c r="CP101" s="268" t="n"/>
      <c r="CQ101" s="268" t="n"/>
      <c r="CR101" s="268" t="n"/>
      <c r="CS101" s="268" t="n"/>
      <c r="CT101" s="268" t="n"/>
      <c r="CU101" s="268" t="n"/>
      <c r="CV101" s="268" t="n"/>
      <c r="CW101" s="268" t="n"/>
      <c r="CX101" s="268" t="n"/>
      <c r="CY101" s="268" t="n"/>
    </row>
    <row r="102" hidden="1" outlineLevel="1" ht="12.75" customHeight="1" s="255">
      <c r="C102" s="312" t="inlineStr">
        <is>
          <t>CDI+</t>
        </is>
      </c>
      <c r="D102" s="268" t="n"/>
      <c r="E102" s="268" t="n"/>
      <c r="F102" s="268" t="n"/>
      <c r="G102" s="268" t="n"/>
      <c r="H102" s="268" t="n"/>
      <c r="I102" s="268" t="n"/>
      <c r="J102" s="268" t="n"/>
      <c r="K102" s="268" t="n"/>
      <c r="L102" s="268" t="n"/>
      <c r="M102" s="268" t="n"/>
      <c r="N102" s="268" t="n"/>
      <c r="O102" s="268" t="n"/>
      <c r="P102" s="268" t="n"/>
      <c r="Q102" s="268" t="n"/>
      <c r="R102" s="268" t="n"/>
      <c r="S102" s="268" t="n"/>
      <c r="T102" s="268" t="n"/>
      <c r="U102" s="268" t="n"/>
      <c r="V102" s="268" t="n"/>
      <c r="W102" s="268" t="n"/>
      <c r="X102" s="268" t="n"/>
      <c r="Y102" s="268" t="n"/>
      <c r="Z102" s="268" t="n"/>
      <c r="AA102" s="268" t="n"/>
      <c r="AB102" s="268" t="n"/>
      <c r="AC102" s="268" t="n"/>
      <c r="AD102" s="268" t="n"/>
      <c r="AE102" s="268" t="n"/>
      <c r="AF102" s="268" t="n"/>
      <c r="AG102" s="268" t="n"/>
      <c r="AH102" s="268" t="n"/>
      <c r="AI102" s="268" t="n"/>
      <c r="AJ102" s="268" t="n"/>
      <c r="AK102" s="268" t="n"/>
      <c r="AL102" s="268" t="n"/>
      <c r="AM102" s="268" t="n"/>
      <c r="AN102" s="268" t="n"/>
      <c r="AO102" s="268" t="n"/>
      <c r="AP102" s="268" t="n"/>
      <c r="AQ102" s="268" t="n"/>
      <c r="AR102" s="268" t="n"/>
      <c r="AS102" s="268" t="n"/>
      <c r="AT102" s="268" t="n"/>
      <c r="AU102" s="268" t="n"/>
      <c r="AV102" s="268" t="n"/>
      <c r="AW102" s="268" t="n"/>
      <c r="AX102" s="268" t="n"/>
      <c r="AY102" s="268" t="n"/>
      <c r="AZ102" s="268" t="n"/>
      <c r="BA102" s="268" t="n"/>
      <c r="BB102" s="268" t="n"/>
      <c r="BC102" s="268" t="n"/>
      <c r="BD102" s="268" t="n"/>
      <c r="BE102" s="268" t="n"/>
      <c r="BF102" s="268" t="n"/>
      <c r="BG102" s="268" t="n"/>
      <c r="BH102" s="268" t="n"/>
      <c r="BI102" s="268" t="n"/>
      <c r="BJ102" s="268" t="n"/>
      <c r="BK102" s="268" t="n"/>
      <c r="BL102" s="268" t="n"/>
      <c r="BM102" s="268" t="n"/>
      <c r="BN102" s="268" t="n"/>
      <c r="BO102" s="268" t="n"/>
      <c r="BP102" s="268" t="n"/>
      <c r="BQ102" s="268" t="n"/>
      <c r="BR102" s="268" t="n"/>
      <c r="BS102" s="268" t="n"/>
      <c r="BT102" s="268" t="n"/>
      <c r="BU102" s="268" t="n"/>
      <c r="BV102" s="268" t="n"/>
      <c r="BW102" s="268" t="n"/>
      <c r="BX102" s="268" t="n"/>
      <c r="BY102" s="268" t="n"/>
      <c r="BZ102" s="268" t="n"/>
      <c r="CA102" s="268" t="n"/>
      <c r="CB102" s="268" t="n"/>
      <c r="CC102" s="268" t="n"/>
      <c r="CD102" s="268" t="n"/>
      <c r="CE102" s="268" t="n"/>
      <c r="CF102" s="268" t="n"/>
      <c r="CG102" s="268" t="n"/>
      <c r="CH102" s="268" t="n"/>
      <c r="CI102" s="268" t="n"/>
      <c r="CJ102" s="268" t="n"/>
      <c r="CK102" s="268" t="n"/>
      <c r="CL102" s="268" t="n"/>
      <c r="CM102" s="268" t="n"/>
      <c r="CN102" s="268" t="n"/>
      <c r="CO102" s="268" t="n"/>
      <c r="CP102" s="268" t="n"/>
      <c r="CQ102" s="268" t="n"/>
      <c r="CR102" s="268" t="n"/>
      <c r="CS102" s="268" t="n"/>
      <c r="CT102" s="268" t="n"/>
      <c r="CU102" s="268" t="n"/>
      <c r="CV102" s="268" t="n"/>
      <c r="CW102" s="268" t="n"/>
      <c r="CX102" s="268" t="n"/>
      <c r="CY102" s="268" t="n"/>
    </row>
    <row r="103" hidden="1" outlineLevel="1" ht="12.75" customHeight="1" s="255">
      <c r="C103" s="312" t="n"/>
      <c r="D103" s="268" t="n"/>
      <c r="E103" s="268" t="n"/>
      <c r="F103" s="268" t="n"/>
      <c r="G103" s="268" t="n"/>
      <c r="H103" s="268" t="n"/>
      <c r="I103" s="268" t="n"/>
      <c r="J103" s="268" t="n"/>
      <c r="K103" s="268" t="n"/>
      <c r="L103" s="268" t="n"/>
      <c r="M103" s="268" t="n"/>
      <c r="N103" s="268" t="n"/>
      <c r="O103" s="268" t="n"/>
      <c r="P103" s="268" t="n"/>
      <c r="Q103" s="268" t="n"/>
      <c r="R103" s="268" t="n"/>
      <c r="S103" s="268" t="n"/>
      <c r="T103" s="268" t="n"/>
      <c r="U103" s="268" t="n"/>
      <c r="V103" s="268" t="n"/>
      <c r="W103" s="268" t="n"/>
      <c r="X103" s="268" t="n"/>
      <c r="Y103" s="268" t="n"/>
      <c r="Z103" s="268" t="n"/>
      <c r="AA103" s="268" t="n"/>
      <c r="AB103" s="268" t="n"/>
      <c r="AC103" s="268" t="n"/>
      <c r="AD103" s="268" t="n"/>
      <c r="AE103" s="268" t="n"/>
      <c r="AF103" s="268" t="n"/>
      <c r="AG103" s="268" t="n"/>
      <c r="AH103" s="268" t="n"/>
      <c r="AI103" s="268" t="n"/>
      <c r="AJ103" s="268" t="n"/>
      <c r="AK103" s="268" t="n"/>
      <c r="AL103" s="268" t="n"/>
      <c r="AM103" s="268" t="n"/>
      <c r="AN103" s="268" t="n"/>
      <c r="AO103" s="268" t="n"/>
      <c r="AP103" s="268" t="n"/>
      <c r="AQ103" s="268" t="n"/>
      <c r="AR103" s="268" t="n"/>
      <c r="AS103" s="268" t="n"/>
      <c r="AT103" s="268" t="n"/>
      <c r="AU103" s="268" t="n"/>
      <c r="AV103" s="268" t="n"/>
      <c r="AW103" s="268" t="n"/>
      <c r="AX103" s="268" t="n"/>
      <c r="AY103" s="268" t="n"/>
      <c r="AZ103" s="268" t="n"/>
      <c r="BA103" s="268" t="n"/>
      <c r="BB103" s="268" t="n"/>
      <c r="BC103" s="268" t="n"/>
      <c r="BD103" s="268" t="n"/>
      <c r="BE103" s="268" t="n"/>
      <c r="BF103" s="268" t="n"/>
      <c r="BG103" s="268" t="n"/>
      <c r="BH103" s="268" t="n"/>
      <c r="BI103" s="268" t="n"/>
      <c r="BJ103" s="268" t="n"/>
      <c r="BK103" s="268" t="n"/>
      <c r="BL103" s="268" t="n"/>
      <c r="BM103" s="268" t="n"/>
      <c r="BN103" s="268" t="n"/>
      <c r="BO103" s="268" t="n"/>
      <c r="BP103" s="268" t="n"/>
      <c r="BQ103" s="268" t="n"/>
      <c r="BR103" s="268" t="n"/>
      <c r="BS103" s="268" t="n"/>
      <c r="BT103" s="268" t="n"/>
      <c r="BU103" s="268" t="n"/>
      <c r="BV103" s="268" t="n"/>
      <c r="BW103" s="268" t="n"/>
      <c r="BX103" s="268" t="n"/>
      <c r="BY103" s="268" t="n"/>
      <c r="BZ103" s="268" t="n"/>
      <c r="CA103" s="268" t="n"/>
      <c r="CB103" s="268" t="n"/>
      <c r="CC103" s="268" t="n"/>
      <c r="CD103" s="268" t="n"/>
      <c r="CE103" s="268" t="n"/>
      <c r="CF103" s="268" t="n"/>
      <c r="CG103" s="268" t="n"/>
      <c r="CH103" s="268" t="n"/>
      <c r="CI103" s="268" t="n"/>
      <c r="CJ103" s="268" t="n"/>
      <c r="CK103" s="268" t="n"/>
      <c r="CL103" s="268" t="n"/>
      <c r="CM103" s="268" t="n"/>
      <c r="CN103" s="268" t="n"/>
      <c r="CO103" s="268" t="n"/>
      <c r="CP103" s="268" t="n"/>
      <c r="CQ103" s="268" t="n"/>
      <c r="CR103" s="268" t="n"/>
      <c r="CS103" s="268" t="n"/>
      <c r="CT103" s="268" t="n"/>
      <c r="CU103" s="268" t="n"/>
      <c r="CV103" s="268" t="n"/>
      <c r="CW103" s="268" t="n"/>
      <c r="CX103" s="268" t="n"/>
      <c r="CY103" s="268" t="n"/>
    </row>
    <row r="104" hidden="1" outlineLevel="1" ht="12.75" customHeight="1" s="255">
      <c r="C104" s="312" t="inlineStr">
        <is>
          <t>RECEITAS FINANCEIRAS - Rendimentos de aplicações financeiras</t>
        </is>
      </c>
      <c r="D104" s="268" t="n"/>
      <c r="E104" s="268" t="n"/>
      <c r="F104" s="268" t="n"/>
      <c r="G104" s="268" t="n"/>
      <c r="H104" s="268" t="n"/>
      <c r="I104" s="268" t="n"/>
      <c r="J104" s="268" t="n"/>
      <c r="K104" s="268" t="n"/>
      <c r="L104" s="268" t="n"/>
      <c r="M104" s="268" t="n"/>
      <c r="N104" s="268" t="n"/>
      <c r="O104" s="268" t="n"/>
      <c r="P104" s="268" t="n"/>
      <c r="Q104" s="268" t="n"/>
      <c r="R104" s="268" t="n"/>
      <c r="S104" s="268" t="n"/>
      <c r="T104" s="268" t="n"/>
      <c r="U104" s="268" t="n"/>
      <c r="V104" s="268" t="n"/>
      <c r="W104" s="268" t="n"/>
      <c r="X104" s="268" t="n"/>
      <c r="Y104" s="268" t="n"/>
      <c r="Z104" s="268" t="n"/>
      <c r="AA104" s="268" t="n"/>
      <c r="AB104" s="268" t="n"/>
      <c r="AC104" s="268" t="n"/>
      <c r="AD104" s="268" t="n"/>
      <c r="AE104" s="268" t="n"/>
      <c r="AF104" s="268" t="n"/>
      <c r="AG104" s="268" t="n"/>
      <c r="AH104" s="268" t="n"/>
      <c r="AI104" s="268" t="n"/>
      <c r="AJ104" s="268" t="n"/>
      <c r="AK104" s="268" t="n"/>
      <c r="AL104" s="268" t="n"/>
      <c r="AM104" s="268" t="n"/>
      <c r="AN104" s="268" t="n"/>
      <c r="AO104" s="268" t="n"/>
      <c r="AP104" s="268" t="n"/>
      <c r="AQ104" s="268" t="n"/>
      <c r="AR104" s="268" t="n"/>
      <c r="AS104" s="268" t="n"/>
      <c r="AT104" s="268" t="n"/>
      <c r="AU104" s="268" t="n"/>
      <c r="AV104" s="268" t="n"/>
      <c r="AW104" s="268" t="n"/>
      <c r="AX104" s="268" t="n"/>
      <c r="AY104" s="268" t="n"/>
      <c r="AZ104" s="268" t="n"/>
      <c r="BA104" s="268" t="n"/>
      <c r="BB104" s="268" t="n"/>
      <c r="BC104" s="268" t="n"/>
      <c r="BD104" s="268" t="n"/>
      <c r="BE104" s="268" t="n"/>
      <c r="BF104" s="268" t="n"/>
      <c r="BG104" s="268" t="n"/>
      <c r="BH104" s="268" t="n"/>
      <c r="BI104" s="268" t="n"/>
      <c r="BJ104" s="268" t="n"/>
      <c r="BK104" s="268" t="n"/>
      <c r="BL104" s="268" t="n"/>
      <c r="BM104" s="268" t="n"/>
      <c r="BN104" s="268" t="n"/>
      <c r="BO104" s="268" t="n"/>
      <c r="BP104" s="268" t="n"/>
      <c r="BQ104" s="268" t="n"/>
      <c r="BR104" s="268" t="n"/>
      <c r="BS104" s="268" t="n"/>
      <c r="BT104" s="268" t="n"/>
      <c r="BU104" s="268" t="n"/>
      <c r="BV104" s="268" t="n"/>
      <c r="BW104" s="268" t="n"/>
      <c r="BX104" s="268" t="n"/>
      <c r="BY104" s="268" t="n"/>
      <c r="BZ104" s="268" t="n"/>
      <c r="CA104" s="268" t="n"/>
      <c r="CB104" s="268" t="n"/>
      <c r="CC104" s="268" t="n"/>
      <c r="CD104" s="268" t="n"/>
      <c r="CE104" s="268" t="n"/>
      <c r="CF104" s="268" t="n"/>
      <c r="CG104" s="268" t="n"/>
      <c r="CH104" s="268" t="n"/>
      <c r="CI104" s="268" t="n"/>
      <c r="CJ104" s="268" t="n"/>
      <c r="CK104" s="268" t="n"/>
      <c r="CL104" s="268" t="n"/>
      <c r="CM104" s="268" t="n"/>
      <c r="CN104" s="268" t="n"/>
      <c r="CO104" s="268" t="n"/>
      <c r="CP104" s="268" t="n"/>
      <c r="CQ104" s="268" t="n"/>
      <c r="CR104" s="268" t="n"/>
      <c r="CS104" s="268" t="n"/>
      <c r="CT104" s="268" t="n"/>
      <c r="CU104" s="268" t="n"/>
      <c r="CV104" s="268" t="n"/>
      <c r="CW104" s="268" t="n"/>
      <c r="CX104" s="268" t="n"/>
      <c r="CY104" s="268" t="n"/>
    </row>
    <row r="105" hidden="1" outlineLevel="1" ht="12.75" customHeight="1" s="255">
      <c r="C105" s="312" t="inlineStr">
        <is>
          <t>RECEITAS FINANCEIRAS - Variação cambial ativa</t>
        </is>
      </c>
      <c r="D105" s="268" t="n"/>
      <c r="E105" s="268" t="n"/>
      <c r="F105" s="268" t="n"/>
      <c r="G105" s="268" t="n"/>
      <c r="H105" s="268" t="n"/>
      <c r="I105" s="268" t="n"/>
      <c r="J105" s="268" t="n"/>
      <c r="K105" s="268" t="n"/>
      <c r="L105" s="268" t="n"/>
      <c r="M105" s="268" t="n"/>
      <c r="N105" s="268" t="n"/>
      <c r="O105" s="268" t="n"/>
      <c r="P105" s="268" t="n"/>
      <c r="Q105" s="268" t="n"/>
      <c r="R105" s="268" t="n"/>
      <c r="S105" s="268" t="n"/>
      <c r="T105" s="268" t="n"/>
      <c r="U105" s="268" t="n"/>
      <c r="V105" s="268" t="n"/>
      <c r="W105" s="268" t="n"/>
      <c r="X105" s="268" t="n"/>
      <c r="Y105" s="268" t="n"/>
      <c r="Z105" s="268" t="n"/>
      <c r="AA105" s="268" t="n"/>
      <c r="AB105" s="268" t="n"/>
      <c r="AC105" s="268" t="n"/>
      <c r="AD105" s="268" t="n"/>
      <c r="AE105" s="268" t="n"/>
      <c r="AF105" s="268" t="n"/>
      <c r="AG105" s="268" t="n"/>
      <c r="AH105" s="268" t="n"/>
      <c r="AI105" s="268" t="n"/>
      <c r="AJ105" s="268" t="n"/>
      <c r="AK105" s="268" t="n"/>
      <c r="AL105" s="268" t="n"/>
      <c r="AM105" s="268" t="n"/>
      <c r="AN105" s="268" t="n"/>
      <c r="AO105" s="268" t="n"/>
      <c r="AP105" s="268" t="n"/>
      <c r="AQ105" s="268" t="n"/>
      <c r="AR105" s="268" t="n"/>
      <c r="AS105" s="268" t="n"/>
      <c r="AT105" s="268" t="n"/>
      <c r="AU105" s="268" t="n"/>
      <c r="AV105" s="268" t="n"/>
      <c r="AW105" s="268" t="n"/>
      <c r="AX105" s="268" t="n"/>
      <c r="AY105" s="268" t="n"/>
      <c r="AZ105" s="268" t="n"/>
      <c r="BA105" s="268" t="n"/>
      <c r="BB105" s="268" t="n"/>
      <c r="BC105" s="268" t="n"/>
      <c r="BD105" s="268" t="n"/>
      <c r="BE105" s="268" t="n"/>
      <c r="BF105" s="268" t="n"/>
      <c r="BG105" s="268" t="n"/>
      <c r="BH105" s="268" t="n"/>
      <c r="BI105" s="268" t="n"/>
      <c r="BJ105" s="268" t="n"/>
      <c r="BK105" s="268" t="n"/>
      <c r="BL105" s="268" t="n"/>
      <c r="BM105" s="268" t="n"/>
      <c r="BN105" s="268" t="n"/>
      <c r="BO105" s="268" t="n"/>
      <c r="BP105" s="268" t="n"/>
      <c r="BQ105" s="268" t="n"/>
      <c r="BR105" s="268" t="n"/>
      <c r="BS105" s="268" t="n"/>
      <c r="BT105" s="268" t="n"/>
      <c r="BU105" s="268" t="n"/>
      <c r="BV105" s="268" t="n"/>
      <c r="BW105" s="268" t="n"/>
      <c r="BX105" s="268" t="n"/>
      <c r="BY105" s="268" t="n"/>
      <c r="BZ105" s="268" t="n"/>
      <c r="CA105" s="268" t="n"/>
      <c r="CB105" s="268" t="n"/>
      <c r="CC105" s="268" t="n"/>
      <c r="CD105" s="268" t="n"/>
      <c r="CE105" s="268" t="n"/>
      <c r="CF105" s="268" t="n"/>
      <c r="CG105" s="268" t="n"/>
      <c r="CH105" s="268" t="n"/>
      <c r="CI105" s="268" t="n"/>
      <c r="CJ105" s="268" t="n"/>
      <c r="CK105" s="268" t="n"/>
      <c r="CL105" s="268" t="n"/>
      <c r="CM105" s="268" t="n"/>
      <c r="CN105" s="268" t="n"/>
      <c r="CO105" s="268" t="n"/>
      <c r="CP105" s="268" t="n"/>
      <c r="CQ105" s="268" t="n"/>
      <c r="CR105" s="268" t="n"/>
      <c r="CS105" s="268" t="n"/>
      <c r="CT105" s="268" t="n"/>
      <c r="CU105" s="268" t="n"/>
      <c r="CV105" s="268" t="n"/>
      <c r="CW105" s="268" t="n"/>
      <c r="CX105" s="268" t="n"/>
      <c r="CY105" s="268" t="n"/>
    </row>
    <row r="106" hidden="1" outlineLevel="1" ht="12.75" customHeight="1" s="255">
      <c r="C106" s="312" t="inlineStr">
        <is>
          <t>RECEITAS FINANCEIRAS - Atualização de contas a pagar por aquisição de empresas</t>
        </is>
      </c>
      <c r="D106" s="268" t="n"/>
      <c r="E106" s="268" t="n"/>
      <c r="F106" s="268" t="n"/>
      <c r="G106" s="268" t="n"/>
      <c r="H106" s="268" t="n"/>
      <c r="I106" s="268" t="n"/>
      <c r="J106" s="268" t="n"/>
      <c r="K106" s="268" t="n"/>
      <c r="L106" s="268" t="n"/>
      <c r="M106" s="268" t="n"/>
      <c r="N106" s="268" t="n"/>
      <c r="O106" s="268" t="n"/>
      <c r="P106" s="268" t="n"/>
      <c r="Q106" s="268" t="n"/>
      <c r="R106" s="268" t="n"/>
      <c r="S106" s="268" t="n"/>
      <c r="T106" s="268" t="n"/>
      <c r="U106" s="268" t="n"/>
      <c r="V106" s="268" t="n"/>
      <c r="W106" s="268" t="n"/>
      <c r="X106" s="268" t="n"/>
      <c r="Y106" s="268" t="n"/>
      <c r="Z106" s="268" t="n"/>
      <c r="AA106" s="268" t="n"/>
      <c r="AB106" s="268" t="n"/>
      <c r="AC106" s="268" t="n"/>
      <c r="AD106" s="268" t="n"/>
      <c r="AE106" s="268" t="n"/>
      <c r="AF106" s="268" t="n"/>
      <c r="AG106" s="268" t="n"/>
      <c r="AH106" s="268" t="n"/>
      <c r="AI106" s="268" t="n"/>
      <c r="AJ106" s="268" t="n"/>
      <c r="AK106" s="268" t="n"/>
      <c r="AL106" s="268" t="n"/>
      <c r="AM106" s="268" t="n"/>
      <c r="AN106" s="268" t="n"/>
      <c r="AO106" s="268" t="n"/>
      <c r="AP106" s="268" t="n"/>
      <c r="AQ106" s="268" t="n"/>
      <c r="AR106" s="268" t="n"/>
      <c r="AS106" s="268" t="n"/>
      <c r="AT106" s="268" t="n"/>
      <c r="AU106" s="268" t="n"/>
      <c r="AV106" s="268" t="n"/>
      <c r="AW106" s="268" t="n"/>
      <c r="AX106" s="268" t="n"/>
      <c r="AY106" s="268" t="n"/>
      <c r="AZ106" s="268" t="n"/>
      <c r="BA106" s="268" t="n"/>
      <c r="BB106" s="268" t="n"/>
      <c r="BC106" s="268" t="n"/>
      <c r="BD106" s="268" t="n"/>
      <c r="BE106" s="268" t="n"/>
      <c r="BF106" s="268" t="n"/>
      <c r="BG106" s="268" t="n"/>
      <c r="BH106" s="268" t="n"/>
      <c r="BI106" s="268" t="n"/>
      <c r="BJ106" s="268" t="n"/>
      <c r="BK106" s="268" t="n"/>
      <c r="BL106" s="268" t="n"/>
      <c r="BM106" s="268" t="n"/>
      <c r="BN106" s="268" t="n"/>
      <c r="BO106" s="268" t="n"/>
      <c r="BP106" s="268" t="n"/>
      <c r="BQ106" s="268" t="n"/>
      <c r="BR106" s="268" t="n"/>
      <c r="BS106" s="268" t="n"/>
      <c r="BT106" s="268" t="n"/>
      <c r="BU106" s="268" t="n"/>
      <c r="BV106" s="268" t="n"/>
      <c r="BW106" s="268" t="n"/>
      <c r="BX106" s="268" t="n"/>
      <c r="BY106" s="268" t="n"/>
      <c r="BZ106" s="268" t="n"/>
      <c r="CA106" s="268" t="n"/>
      <c r="CB106" s="268" t="n"/>
      <c r="CC106" s="268" t="n"/>
      <c r="CD106" s="268" t="n"/>
      <c r="CE106" s="268" t="n"/>
      <c r="CF106" s="268" t="n"/>
      <c r="CG106" s="268" t="n"/>
      <c r="CH106" s="268" t="n"/>
      <c r="CI106" s="268" t="n"/>
      <c r="CJ106" s="268" t="n"/>
      <c r="CK106" s="268" t="n"/>
      <c r="CL106" s="268" t="n"/>
      <c r="CM106" s="268" t="n"/>
      <c r="CN106" s="268" t="n"/>
      <c r="CO106" s="268" t="n"/>
      <c r="CP106" s="268" t="n"/>
      <c r="CQ106" s="268" t="n"/>
      <c r="CR106" s="268" t="n"/>
      <c r="CS106" s="268" t="n"/>
      <c r="CT106" s="268" t="n"/>
      <c r="CU106" s="268" t="n"/>
      <c r="CV106" s="268" t="n"/>
      <c r="CW106" s="268" t="n"/>
      <c r="CX106" s="268" t="n"/>
      <c r="CY106" s="268" t="n"/>
    </row>
    <row r="107" hidden="1" outlineLevel="1" ht="12.75" customHeight="1" s="255">
      <c r="C107" s="312" t="inlineStr">
        <is>
          <t>RECEITAS FINANCEIRAS - Resultado positivo com instrumentos derivativos</t>
        </is>
      </c>
      <c r="D107" s="268" t="n"/>
      <c r="E107" s="268" t="n"/>
      <c r="F107" s="268" t="n"/>
      <c r="G107" s="268" t="n"/>
      <c r="H107" s="268" t="n"/>
      <c r="I107" s="268" t="n"/>
      <c r="J107" s="268" t="n"/>
      <c r="K107" s="268" t="n"/>
      <c r="L107" s="268" t="n"/>
      <c r="M107" s="268" t="n"/>
      <c r="N107" s="268" t="n"/>
      <c r="O107" s="268" t="n"/>
      <c r="P107" s="268" t="n"/>
      <c r="Q107" s="268" t="n"/>
      <c r="R107" s="268" t="n"/>
      <c r="S107" s="268" t="n"/>
      <c r="T107" s="268" t="n"/>
      <c r="U107" s="268" t="n"/>
      <c r="V107" s="268" t="n"/>
      <c r="W107" s="268" t="n"/>
      <c r="X107" s="268" t="n"/>
      <c r="Y107" s="268" t="n"/>
      <c r="Z107" s="268" t="n"/>
      <c r="AA107" s="268" t="n"/>
      <c r="AB107" s="268" t="n"/>
      <c r="AC107" s="268" t="n"/>
      <c r="AD107" s="268" t="n"/>
      <c r="AE107" s="268" t="n"/>
      <c r="AF107" s="268" t="n"/>
      <c r="AG107" s="268" t="n"/>
      <c r="AH107" s="268" t="n"/>
      <c r="AI107" s="268" t="n"/>
      <c r="AJ107" s="268" t="n"/>
      <c r="AK107" s="268" t="n"/>
      <c r="AL107" s="268" t="n"/>
      <c r="AM107" s="268" t="n"/>
      <c r="AN107" s="268" t="n"/>
      <c r="AO107" s="268" t="n"/>
      <c r="AP107" s="268" t="n"/>
      <c r="AQ107" s="268" t="n"/>
      <c r="AR107" s="268" t="n"/>
      <c r="AS107" s="268" t="n"/>
      <c r="AT107" s="268" t="n"/>
      <c r="AU107" s="268" t="n"/>
      <c r="AV107" s="268" t="n"/>
      <c r="AW107" s="268" t="n"/>
      <c r="AX107" s="268" t="n"/>
      <c r="AY107" s="268" t="n"/>
      <c r="AZ107" s="268" t="n"/>
      <c r="BA107" s="268" t="n"/>
      <c r="BB107" s="268" t="n"/>
      <c r="BC107" s="268" t="n"/>
      <c r="BD107" s="268" t="n"/>
      <c r="BE107" s="268" t="n"/>
      <c r="BF107" s="268" t="n"/>
      <c r="BG107" s="268" t="n"/>
      <c r="BH107" s="268" t="n"/>
      <c r="BI107" s="268" t="n"/>
      <c r="BJ107" s="268" t="n"/>
      <c r="BK107" s="268" t="n"/>
      <c r="BL107" s="268" t="n"/>
      <c r="BM107" s="268" t="n"/>
      <c r="BN107" s="268" t="n"/>
      <c r="BO107" s="268" t="n"/>
      <c r="BP107" s="268" t="n"/>
      <c r="BQ107" s="268" t="n"/>
      <c r="BR107" s="268" t="n"/>
      <c r="BS107" s="268" t="n"/>
      <c r="BT107" s="268" t="n"/>
      <c r="BU107" s="268" t="n"/>
      <c r="BV107" s="268" t="n"/>
      <c r="BW107" s="268" t="n"/>
      <c r="BX107" s="268" t="n"/>
      <c r="BY107" s="268" t="n"/>
      <c r="BZ107" s="268" t="n"/>
      <c r="CA107" s="268" t="n"/>
      <c r="CB107" s="268" t="n"/>
      <c r="CC107" s="268" t="n"/>
      <c r="CD107" s="268" t="n"/>
      <c r="CE107" s="268" t="n"/>
      <c r="CF107" s="268" t="n"/>
      <c r="CG107" s="268" t="n"/>
      <c r="CH107" s="268" t="n"/>
      <c r="CI107" s="268" t="n"/>
      <c r="CJ107" s="268" t="n"/>
      <c r="CK107" s="268" t="n"/>
      <c r="CL107" s="268" t="n"/>
      <c r="CM107" s="268" t="n"/>
      <c r="CN107" s="268" t="n"/>
      <c r="CO107" s="268" t="n"/>
      <c r="CP107" s="268" t="n"/>
      <c r="CQ107" s="268" t="n"/>
      <c r="CR107" s="268" t="n"/>
      <c r="CS107" s="268" t="n"/>
      <c r="CT107" s="268" t="n"/>
      <c r="CU107" s="268" t="n"/>
      <c r="CV107" s="268" t="n"/>
      <c r="CW107" s="268" t="n"/>
      <c r="CX107" s="268" t="n"/>
      <c r="CY107" s="268" t="n"/>
    </row>
    <row r="108" hidden="1" outlineLevel="1" ht="12.75" customHeight="1" s="255">
      <c r="C108" s="312" t="inlineStr">
        <is>
          <t>RECEITAS FINANCEIRAS - Descontos obtidos de fornecedores por antecipação</t>
        </is>
      </c>
      <c r="D108" s="268" t="n"/>
      <c r="E108" s="268" t="n"/>
      <c r="F108" s="268" t="n"/>
      <c r="G108" s="268" t="n"/>
      <c r="H108" s="268" t="n"/>
      <c r="I108" s="268" t="n"/>
      <c r="J108" s="268" t="n"/>
      <c r="K108" s="268" t="n"/>
      <c r="L108" s="268" t="n"/>
      <c r="M108" s="268" t="n"/>
      <c r="N108" s="268" t="n"/>
      <c r="O108" s="268" t="n"/>
      <c r="P108" s="268" t="n"/>
      <c r="Q108" s="268" t="n"/>
      <c r="R108" s="268" t="n"/>
      <c r="S108" s="268" t="n"/>
      <c r="T108" s="268" t="n"/>
      <c r="U108" s="268" t="n"/>
      <c r="V108" s="268" t="n"/>
      <c r="W108" s="268" t="n"/>
      <c r="X108" s="268" t="n"/>
      <c r="Y108" s="268" t="n"/>
      <c r="Z108" s="268" t="n"/>
      <c r="AA108" s="268" t="n"/>
      <c r="AB108" s="268" t="n"/>
      <c r="AC108" s="268" t="n"/>
      <c r="AD108" s="268" t="n"/>
      <c r="AE108" s="268" t="n"/>
      <c r="AF108" s="268" t="n"/>
      <c r="AG108" s="268" t="n"/>
      <c r="AH108" s="268" t="n"/>
      <c r="AI108" s="268" t="n"/>
      <c r="AJ108" s="268" t="n"/>
      <c r="AK108" s="268" t="n"/>
      <c r="AL108" s="268" t="n"/>
      <c r="AM108" s="268" t="n"/>
      <c r="AN108" s="268" t="n"/>
      <c r="AO108" s="268" t="n"/>
      <c r="AP108" s="268" t="n"/>
      <c r="AQ108" s="268" t="n"/>
      <c r="AR108" s="268" t="n"/>
      <c r="AS108" s="268" t="n"/>
      <c r="AT108" s="268" t="n"/>
      <c r="AU108" s="268" t="n"/>
      <c r="AV108" s="268" t="n"/>
      <c r="AW108" s="268" t="n"/>
      <c r="AX108" s="268" t="n"/>
      <c r="AY108" s="268" t="n"/>
      <c r="AZ108" s="268" t="n"/>
      <c r="BA108" s="268" t="n"/>
      <c r="BB108" s="268" t="n"/>
      <c r="BC108" s="268" t="n"/>
      <c r="BD108" s="268" t="n"/>
      <c r="BE108" s="268" t="n"/>
      <c r="BF108" s="268" t="n"/>
      <c r="BG108" s="268" t="n"/>
      <c r="BH108" s="268" t="n"/>
      <c r="BI108" s="268" t="n"/>
      <c r="BJ108" s="268" t="n"/>
      <c r="BK108" s="268" t="n"/>
      <c r="BL108" s="268" t="n"/>
      <c r="BM108" s="268" t="n"/>
      <c r="BN108" s="268" t="n"/>
      <c r="BO108" s="268" t="n"/>
      <c r="BP108" s="268" t="n"/>
      <c r="BQ108" s="268" t="n"/>
      <c r="BR108" s="268" t="n"/>
      <c r="BS108" s="268" t="n"/>
      <c r="BT108" s="268" t="n"/>
      <c r="BU108" s="268" t="n"/>
      <c r="BV108" s="268" t="n"/>
      <c r="BW108" s="268" t="n"/>
      <c r="BX108" s="268" t="n"/>
      <c r="BY108" s="268" t="n"/>
      <c r="BZ108" s="268" t="n"/>
      <c r="CA108" s="268" t="n"/>
      <c r="CB108" s="268" t="n"/>
      <c r="CC108" s="268" t="n"/>
      <c r="CD108" s="268" t="n"/>
      <c r="CE108" s="268" t="n"/>
      <c r="CF108" s="268" t="n"/>
      <c r="CG108" s="268" t="n"/>
      <c r="CH108" s="268" t="n"/>
      <c r="CI108" s="268" t="n"/>
      <c r="CJ108" s="268" t="n"/>
      <c r="CK108" s="268" t="n"/>
      <c r="CL108" s="268" t="n"/>
      <c r="CM108" s="268" t="n"/>
      <c r="CN108" s="268" t="n"/>
      <c r="CO108" s="268" t="n"/>
      <c r="CP108" s="268" t="n"/>
      <c r="CQ108" s="268" t="n"/>
      <c r="CR108" s="268" t="n"/>
      <c r="CS108" s="268" t="n"/>
      <c r="CT108" s="268" t="n"/>
      <c r="CU108" s="268" t="n"/>
      <c r="CV108" s="268" t="n"/>
      <c r="CW108" s="268" t="n"/>
      <c r="CX108" s="268" t="n"/>
      <c r="CY108" s="268" t="n"/>
    </row>
    <row r="109" hidden="1" outlineLevel="1" ht="12.75" customHeight="1" s="255">
      <c r="C109" s="312" t="inlineStr">
        <is>
          <t>RECEITAS FINANCEIRAS - Atualização monetária sobre Exclusão ICMS da base de PIS/COFINS (nota explicativa nº 7)</t>
        </is>
      </c>
      <c r="D109" s="268" t="n"/>
      <c r="E109" s="268" t="n"/>
      <c r="F109" s="268" t="n"/>
      <c r="G109" s="268" t="n"/>
      <c r="H109" s="268" t="n"/>
      <c r="I109" s="268" t="n"/>
      <c r="J109" s="268" t="n"/>
      <c r="K109" s="268" t="n"/>
      <c r="L109" s="268" t="n"/>
      <c r="M109" s="268" t="n"/>
      <c r="N109" s="268" t="n"/>
      <c r="O109" s="268" t="n"/>
      <c r="P109" s="268" t="n"/>
      <c r="Q109" s="268" t="n"/>
      <c r="R109" s="268" t="n"/>
      <c r="S109" s="268" t="n"/>
      <c r="T109" s="268" t="n"/>
      <c r="U109" s="268" t="n"/>
      <c r="V109" s="268" t="n"/>
      <c r="W109" s="268" t="n"/>
      <c r="X109" s="268" t="n"/>
      <c r="Y109" s="268" t="n"/>
      <c r="Z109" s="268" t="n"/>
      <c r="AA109" s="268" t="n"/>
      <c r="AB109" s="268" t="n"/>
      <c r="AC109" s="268" t="n"/>
      <c r="AD109" s="268" t="n"/>
      <c r="AE109" s="268" t="n"/>
      <c r="AF109" s="268" t="n"/>
      <c r="AG109" s="268" t="n"/>
      <c r="AH109" s="268" t="n"/>
      <c r="AI109" s="268" t="n"/>
      <c r="AJ109" s="268" t="n"/>
      <c r="AK109" s="268" t="n"/>
      <c r="AL109" s="268" t="n"/>
      <c r="AM109" s="268" t="n"/>
      <c r="AN109" s="268" t="n"/>
      <c r="AO109" s="268" t="n"/>
      <c r="AP109" s="268" t="n"/>
      <c r="AQ109" s="268" t="n"/>
      <c r="AR109" s="268" t="n"/>
      <c r="AS109" s="268" t="n"/>
      <c r="AT109" s="268" t="n"/>
      <c r="AU109" s="268" t="n"/>
      <c r="AV109" s="268" t="n"/>
      <c r="AW109" s="268" t="n"/>
      <c r="AX109" s="268" t="n"/>
      <c r="AY109" s="268" t="n"/>
      <c r="AZ109" s="268" t="n"/>
      <c r="BA109" s="268" t="n"/>
      <c r="BB109" s="268" t="n"/>
      <c r="BC109" s="268" t="n"/>
      <c r="BD109" s="268" t="n"/>
      <c r="BE109" s="268" t="n"/>
      <c r="BF109" s="268" t="n"/>
      <c r="BG109" s="268" t="n"/>
      <c r="BH109" s="268" t="n"/>
      <c r="BI109" s="268" t="n"/>
      <c r="BJ109" s="268" t="n"/>
      <c r="BK109" s="268" t="n"/>
      <c r="BL109" s="268" t="n"/>
      <c r="BM109" s="268" t="n"/>
      <c r="BN109" s="268" t="n"/>
      <c r="BO109" s="268" t="n"/>
      <c r="BP109" s="268" t="n"/>
      <c r="BQ109" s="268" t="n"/>
      <c r="BR109" s="268" t="n"/>
      <c r="BS109" s="268" t="n"/>
      <c r="BT109" s="268" t="n"/>
      <c r="BU109" s="268" t="n"/>
      <c r="BV109" s="268" t="n"/>
      <c r="BW109" s="268" t="n"/>
      <c r="BX109" s="268" t="n"/>
      <c r="BY109" s="268" t="n"/>
      <c r="BZ109" s="268" t="n"/>
      <c r="CA109" s="268" t="n"/>
      <c r="CB109" s="268" t="n"/>
      <c r="CC109" s="268" t="n"/>
      <c r="CD109" s="268" t="n"/>
      <c r="CE109" s="268" t="n"/>
      <c r="CF109" s="268" t="n"/>
      <c r="CG109" s="268" t="n"/>
      <c r="CH109" s="268" t="n"/>
      <c r="CI109" s="268" t="n"/>
      <c r="CJ109" s="268" t="n"/>
      <c r="CK109" s="268" t="n"/>
      <c r="CL109" s="268" t="n"/>
      <c r="CM109" s="268" t="n"/>
      <c r="CN109" s="268" t="n"/>
      <c r="CO109" s="268" t="n"/>
      <c r="CP109" s="268" t="n"/>
      <c r="CQ109" s="268" t="n"/>
      <c r="CR109" s="268" t="n"/>
      <c r="CS109" s="268" t="n"/>
      <c r="CT109" s="268" t="n"/>
      <c r="CU109" s="268" t="n"/>
      <c r="CV109" s="268" t="n"/>
      <c r="CW109" s="268" t="n"/>
      <c r="CX109" s="268" t="n"/>
      <c r="CY109" s="268" t="n"/>
    </row>
    <row r="110" hidden="1" outlineLevel="1" ht="12.75" customHeight="1" s="255">
      <c r="C110" s="312" t="inlineStr">
        <is>
          <t>RECEITAS FINANCEIRAS - Outras</t>
        </is>
      </c>
      <c r="D110" s="268" t="n"/>
      <c r="E110" s="268" t="n"/>
      <c r="F110" s="268" t="n"/>
      <c r="G110" s="268" t="n"/>
      <c r="H110" s="268" t="n"/>
      <c r="I110" s="268" t="n"/>
      <c r="J110" s="268" t="n"/>
      <c r="K110" s="268" t="n"/>
      <c r="L110" s="268" t="n"/>
      <c r="M110" s="268" t="n"/>
      <c r="N110" s="268" t="n"/>
      <c r="O110" s="268" t="n"/>
      <c r="P110" s="268" t="n"/>
      <c r="Q110" s="268" t="n"/>
      <c r="R110" s="268" t="n"/>
      <c r="S110" s="268" t="n"/>
      <c r="T110" s="268" t="n"/>
      <c r="U110" s="268" t="n"/>
      <c r="V110" s="268" t="n"/>
      <c r="W110" s="268" t="n"/>
      <c r="X110" s="268" t="n"/>
      <c r="Y110" s="268" t="n"/>
      <c r="Z110" s="268" t="n"/>
      <c r="AA110" s="268" t="n"/>
      <c r="AB110" s="268" t="n"/>
      <c r="AC110" s="268" t="n"/>
      <c r="AD110" s="268" t="n"/>
      <c r="AE110" s="268" t="n"/>
      <c r="AF110" s="268" t="n"/>
      <c r="AG110" s="268" t="n"/>
      <c r="AH110" s="268" t="n"/>
      <c r="AI110" s="268" t="n"/>
      <c r="AJ110" s="268" t="n"/>
      <c r="AK110" s="268" t="n"/>
      <c r="AL110" s="268" t="n"/>
      <c r="AM110" s="268" t="n"/>
      <c r="AN110" s="268" t="n"/>
      <c r="AO110" s="268" t="n"/>
      <c r="AP110" s="268" t="n"/>
      <c r="AQ110" s="268" t="n"/>
      <c r="AR110" s="268" t="n"/>
      <c r="AS110" s="268" t="n"/>
      <c r="AT110" s="268" t="n"/>
      <c r="AU110" s="268" t="n"/>
      <c r="AV110" s="268" t="n"/>
      <c r="AW110" s="268" t="n"/>
      <c r="AX110" s="268" t="n"/>
      <c r="AY110" s="268" t="n"/>
      <c r="AZ110" s="268" t="n"/>
      <c r="BA110" s="268" t="n"/>
      <c r="BB110" s="268" t="n"/>
      <c r="BC110" s="268" t="n"/>
      <c r="BD110" s="268" t="n"/>
      <c r="BE110" s="268" t="n"/>
      <c r="BF110" s="268" t="n"/>
      <c r="BG110" s="268" t="n"/>
      <c r="BH110" s="268" t="n"/>
      <c r="BI110" s="268" t="n"/>
      <c r="BJ110" s="268" t="n"/>
      <c r="BK110" s="268" t="n"/>
      <c r="BL110" s="268" t="n"/>
      <c r="BM110" s="268" t="n"/>
      <c r="BN110" s="268" t="n"/>
      <c r="BO110" s="268" t="n"/>
      <c r="BP110" s="268" t="n"/>
      <c r="BQ110" s="268" t="n"/>
      <c r="BR110" s="268" t="n"/>
      <c r="BS110" s="268" t="n"/>
      <c r="BT110" s="268" t="n"/>
      <c r="BU110" s="268" t="n"/>
      <c r="BV110" s="268" t="n"/>
      <c r="BW110" s="268" t="n"/>
      <c r="BX110" s="268" t="n"/>
      <c r="BY110" s="268" t="n"/>
      <c r="BZ110" s="268" t="n"/>
      <c r="CA110" s="268" t="n"/>
      <c r="CB110" s="268" t="n"/>
      <c r="CC110" s="268" t="n"/>
      <c r="CD110" s="268" t="n"/>
      <c r="CE110" s="268" t="n"/>
      <c r="CF110" s="268" t="n"/>
      <c r="CG110" s="268" t="n"/>
      <c r="CH110" s="268" t="n"/>
      <c r="CI110" s="268" t="n"/>
      <c r="CJ110" s="268" t="n"/>
      <c r="CK110" s="268" t="n"/>
      <c r="CL110" s="268" t="n"/>
      <c r="CM110" s="268" t="n"/>
      <c r="CN110" s="268" t="n"/>
      <c r="CO110" s="268" t="n"/>
      <c r="CP110" s="268" t="n"/>
      <c r="CQ110" s="268" t="n"/>
      <c r="CR110" s="268" t="n"/>
      <c r="CS110" s="268" t="n"/>
      <c r="CT110" s="268" t="n"/>
      <c r="CU110" s="268" t="n"/>
      <c r="CV110" s="268" t="n"/>
      <c r="CW110" s="268" t="n"/>
      <c r="CX110" s="268" t="n"/>
      <c r="CY110" s="268" t="n"/>
    </row>
    <row r="111" hidden="1" outlineLevel="1" ht="12.75" customHeight="1" s="255">
      <c r="C111" s="312" t="n"/>
      <c r="D111" s="268" t="n"/>
      <c r="E111" s="268" t="n"/>
      <c r="F111" s="268" t="n"/>
      <c r="G111" s="268" t="n"/>
      <c r="H111" s="268" t="n"/>
      <c r="I111" s="268" t="n"/>
      <c r="J111" s="268" t="n"/>
      <c r="K111" s="268" t="n"/>
      <c r="L111" s="268" t="n"/>
      <c r="M111" s="268" t="n"/>
      <c r="N111" s="268" t="n"/>
      <c r="O111" s="268" t="n"/>
      <c r="P111" s="268" t="n"/>
      <c r="Q111" s="268" t="n"/>
      <c r="R111" s="268" t="n"/>
      <c r="S111" s="268" t="n"/>
      <c r="T111" s="268" t="n"/>
      <c r="U111" s="268" t="n"/>
      <c r="V111" s="268" t="n"/>
      <c r="W111" s="268" t="n"/>
      <c r="X111" s="268" t="n"/>
      <c r="Y111" s="268" t="n"/>
      <c r="Z111" s="268" t="n"/>
      <c r="AA111" s="268" t="n"/>
      <c r="AB111" s="268" t="n"/>
      <c r="AC111" s="268" t="n"/>
      <c r="AD111" s="268" t="n"/>
      <c r="AE111" s="268" t="n"/>
      <c r="AF111" s="268" t="n"/>
      <c r="AG111" s="268" t="n"/>
      <c r="AH111" s="268" t="n"/>
      <c r="AI111" s="268" t="n"/>
      <c r="AJ111" s="268" t="n"/>
      <c r="AK111" s="268" t="n"/>
      <c r="AL111" s="268" t="n"/>
      <c r="AM111" s="268" t="n"/>
      <c r="AN111" s="268" t="n"/>
      <c r="AO111" s="268" t="n"/>
      <c r="AP111" s="268" t="n"/>
      <c r="AQ111" s="268" t="n"/>
      <c r="AR111" s="268" t="n"/>
      <c r="AS111" s="268" t="n"/>
      <c r="AT111" s="268" t="n"/>
      <c r="AU111" s="268" t="n"/>
      <c r="AV111" s="268" t="n"/>
      <c r="AW111" s="268" t="n"/>
      <c r="AX111" s="268" t="n"/>
      <c r="AY111" s="268" t="n"/>
      <c r="AZ111" s="268" t="n"/>
      <c r="BA111" s="268" t="n"/>
      <c r="BB111" s="268" t="n"/>
      <c r="BC111" s="268" t="n"/>
      <c r="BD111" s="268" t="n"/>
      <c r="BE111" s="268" t="n"/>
      <c r="BF111" s="268" t="n"/>
      <c r="BG111" s="268" t="n"/>
      <c r="BH111" s="268" t="n"/>
      <c r="BI111" s="268" t="n"/>
      <c r="BJ111" s="268" t="n"/>
      <c r="BK111" s="268" t="n"/>
      <c r="BL111" s="268" t="n"/>
      <c r="BM111" s="268" t="n"/>
      <c r="BN111" s="268" t="n"/>
      <c r="BO111" s="268" t="n"/>
      <c r="BP111" s="268" t="n"/>
      <c r="BQ111" s="268" t="n"/>
      <c r="BR111" s="268" t="n"/>
      <c r="BS111" s="268" t="n"/>
      <c r="BT111" s="268" t="n"/>
      <c r="BU111" s="268" t="n"/>
      <c r="BV111" s="268" t="n"/>
      <c r="BW111" s="268" t="n"/>
      <c r="BX111" s="268" t="n"/>
      <c r="BY111" s="268" t="n"/>
      <c r="BZ111" s="268" t="n"/>
      <c r="CA111" s="268" t="n"/>
      <c r="CB111" s="268" t="n"/>
      <c r="CC111" s="268" t="n"/>
      <c r="CD111" s="268" t="n"/>
      <c r="CE111" s="268" t="n"/>
      <c r="CF111" s="268" t="n"/>
      <c r="CG111" s="268" t="n"/>
      <c r="CH111" s="268" t="n"/>
      <c r="CI111" s="268" t="n"/>
      <c r="CJ111" s="268" t="n"/>
      <c r="CK111" s="268" t="n"/>
      <c r="CL111" s="268" t="n"/>
      <c r="CM111" s="268" t="n"/>
      <c r="CN111" s="268" t="n"/>
      <c r="CO111" s="268" t="n"/>
      <c r="CP111" s="268" t="n"/>
      <c r="CQ111" s="268" t="n"/>
      <c r="CR111" s="268" t="n"/>
      <c r="CS111" s="268" t="n"/>
      <c r="CT111" s="268" t="n"/>
      <c r="CU111" s="268" t="n"/>
      <c r="CV111" s="268" t="n"/>
      <c r="CW111" s="268" t="n"/>
      <c r="CX111" s="268" t="n"/>
      <c r="CY111" s="268" t="n"/>
    </row>
    <row r="112" hidden="1" outlineLevel="1" ht="12.75" customHeight="1" s="255">
      <c r="C112" s="312" t="inlineStr">
        <is>
          <t>DESPESAS FINANCEIRAS - Encargos sobre empréstimos, financiamentos e debêntures</t>
        </is>
      </c>
      <c r="D112" s="268" t="n"/>
      <c r="E112" s="268" t="n"/>
      <c r="F112" s="268" t="n"/>
      <c r="G112" s="268" t="n"/>
      <c r="H112" s="268" t="n"/>
      <c r="I112" s="268" t="n"/>
      <c r="J112" s="268" t="n"/>
      <c r="K112" s="268" t="n"/>
      <c r="L112" s="268" t="n"/>
      <c r="M112" s="268" t="n"/>
      <c r="N112" s="268" t="n"/>
      <c r="O112" s="268" t="n"/>
      <c r="P112" s="268" t="n"/>
      <c r="Q112" s="268" t="n"/>
      <c r="R112" s="268" t="n"/>
      <c r="S112" s="268" t="n"/>
      <c r="T112" s="268" t="n"/>
      <c r="U112" s="268" t="n"/>
      <c r="V112" s="268" t="n"/>
      <c r="W112" s="268" t="n"/>
      <c r="X112" s="268" t="n"/>
      <c r="Y112" s="268" t="n"/>
      <c r="Z112" s="268" t="n"/>
      <c r="AA112" s="268" t="n"/>
      <c r="AB112" s="268" t="n"/>
      <c r="AC112" s="268" t="n"/>
      <c r="AD112" s="268" t="n"/>
      <c r="AE112" s="268" t="n"/>
      <c r="AF112" s="268" t="n"/>
      <c r="AG112" s="268" t="n"/>
      <c r="AH112" s="268" t="n"/>
      <c r="AI112" s="268" t="n"/>
      <c r="AJ112" s="268" t="n"/>
      <c r="AK112" s="268" t="n"/>
      <c r="AL112" s="268" t="n"/>
      <c r="AM112" s="268" t="n"/>
      <c r="AN112" s="268" t="n"/>
      <c r="AO112" s="268" t="n"/>
      <c r="AP112" s="268" t="n"/>
      <c r="AQ112" s="268" t="n"/>
      <c r="AR112" s="268" t="n"/>
      <c r="AS112" s="268" t="n"/>
      <c r="AT112" s="268" t="n"/>
      <c r="AU112" s="268" t="n"/>
      <c r="AV112" s="268" t="n"/>
      <c r="AW112" s="268" t="n"/>
      <c r="AX112" s="268" t="n"/>
      <c r="AY112" s="268" t="n"/>
      <c r="AZ112" s="268" t="n"/>
      <c r="BA112" s="268" t="n"/>
      <c r="BB112" s="268" t="n"/>
      <c r="BC112" s="268" t="n"/>
      <c r="BD112" s="268" t="n"/>
      <c r="BE112" s="268" t="n"/>
      <c r="BF112" s="268" t="n"/>
      <c r="BG112" s="268" t="n"/>
      <c r="BH112" s="268" t="n"/>
      <c r="BI112" s="268" t="n"/>
      <c r="BJ112" s="268" t="n"/>
      <c r="BK112" s="268" t="n"/>
      <c r="BL112" s="268" t="n"/>
      <c r="BM112" s="268" t="n"/>
      <c r="BN112" s="268" t="n"/>
      <c r="BO112" s="268" t="n"/>
      <c r="BP112" s="268" t="n"/>
      <c r="BQ112" s="268" t="n"/>
      <c r="BR112" s="268" t="n"/>
      <c r="BS112" s="268" t="n"/>
      <c r="BT112" s="268" t="n"/>
      <c r="BU112" s="268" t="n"/>
      <c r="BV112" s="268" t="n"/>
      <c r="BW112" s="268" t="n"/>
      <c r="BX112" s="268" t="n"/>
      <c r="BY112" s="268" t="n"/>
      <c r="BZ112" s="268" t="n"/>
      <c r="CA112" s="268" t="n"/>
      <c r="CB112" s="268" t="n"/>
      <c r="CC112" s="268" t="n"/>
      <c r="CD112" s="268" t="n"/>
      <c r="CE112" s="268" t="n"/>
      <c r="CF112" s="268" t="n"/>
      <c r="CG112" s="268" t="n"/>
      <c r="CH112" s="268" t="n"/>
      <c r="CI112" s="268" t="n"/>
      <c r="CJ112" s="268" t="n"/>
      <c r="CK112" s="268" t="n"/>
      <c r="CL112" s="268" t="n"/>
      <c r="CM112" s="268" t="n"/>
      <c r="CN112" s="268" t="n"/>
      <c r="CO112" s="268" t="n"/>
      <c r="CP112" s="268" t="n"/>
      <c r="CQ112" s="268" t="n"/>
      <c r="CR112" s="268" t="n"/>
      <c r="CS112" s="268" t="n"/>
      <c r="CT112" s="268" t="n"/>
      <c r="CU112" s="268" t="n"/>
      <c r="CV112" s="268" t="n"/>
      <c r="CW112" s="268" t="n"/>
      <c r="CX112" s="268" t="n"/>
      <c r="CY112" s="268" t="n"/>
    </row>
    <row r="113" hidden="1" outlineLevel="1" ht="12.75" customHeight="1" s="255">
      <c r="C113" s="312" t="inlineStr">
        <is>
          <t>DESPESAS FINANCEIRAS - Variação cambial passiva</t>
        </is>
      </c>
      <c r="D113" s="268" t="n"/>
      <c r="E113" s="268" t="n"/>
      <c r="F113" s="268" t="n"/>
      <c r="G113" s="268" t="n"/>
      <c r="H113" s="268" t="n"/>
      <c r="I113" s="268" t="n"/>
      <c r="J113" s="268" t="n"/>
      <c r="K113" s="268" t="n"/>
      <c r="L113" s="268" t="n"/>
      <c r="M113" s="268" t="n"/>
      <c r="N113" s="268" t="n"/>
      <c r="O113" s="268" t="n"/>
      <c r="P113" s="268" t="n"/>
      <c r="Q113" s="268" t="n"/>
      <c r="R113" s="268" t="n"/>
      <c r="S113" s="268" t="n"/>
      <c r="T113" s="268" t="n"/>
      <c r="U113" s="268" t="n"/>
      <c r="V113" s="268" t="n"/>
      <c r="W113" s="268" t="n"/>
      <c r="X113" s="268" t="n"/>
      <c r="Y113" s="268" t="n"/>
      <c r="Z113" s="268" t="n"/>
      <c r="AA113" s="268" t="n"/>
      <c r="AB113" s="268" t="n"/>
      <c r="AC113" s="268" t="n"/>
      <c r="AD113" s="268" t="n"/>
      <c r="AE113" s="268" t="n"/>
      <c r="AF113" s="268" t="n"/>
      <c r="AG113" s="268" t="n"/>
      <c r="AH113" s="268" t="n"/>
      <c r="AI113" s="268" t="n"/>
      <c r="AJ113" s="268" t="n"/>
      <c r="AK113" s="268" t="n"/>
      <c r="AL113" s="268" t="n"/>
      <c r="AM113" s="268" t="n"/>
      <c r="AN113" s="268" t="n"/>
      <c r="AO113" s="268" t="n"/>
      <c r="AP113" s="268" t="n"/>
      <c r="AQ113" s="268" t="n"/>
      <c r="AR113" s="268" t="n"/>
      <c r="AS113" s="268" t="n"/>
      <c r="AT113" s="268" t="n"/>
      <c r="AU113" s="268" t="n"/>
      <c r="AV113" s="268" t="n"/>
      <c r="AW113" s="268" t="n"/>
      <c r="AX113" s="268" t="n"/>
      <c r="AY113" s="268" t="n"/>
      <c r="AZ113" s="268" t="n"/>
      <c r="BA113" s="268" t="n"/>
      <c r="BB113" s="268" t="n"/>
      <c r="BC113" s="268" t="n"/>
      <c r="BD113" s="268" t="n"/>
      <c r="BE113" s="268" t="n"/>
      <c r="BF113" s="268" t="n"/>
      <c r="BG113" s="268" t="n"/>
      <c r="BH113" s="268" t="n"/>
      <c r="BI113" s="268" t="n"/>
      <c r="BJ113" s="268" t="n"/>
      <c r="BK113" s="268" t="n"/>
      <c r="BL113" s="268" t="n"/>
      <c r="BM113" s="268" t="n"/>
      <c r="BN113" s="268" t="n"/>
      <c r="BO113" s="268" t="n"/>
      <c r="BP113" s="268" t="n"/>
      <c r="BQ113" s="268" t="n"/>
      <c r="BR113" s="268" t="n"/>
      <c r="BS113" s="268" t="n"/>
      <c r="BT113" s="268" t="n"/>
      <c r="BU113" s="268" t="n"/>
      <c r="BV113" s="268" t="n"/>
      <c r="BW113" s="268" t="n"/>
      <c r="BX113" s="268" t="n"/>
      <c r="BY113" s="268" t="n"/>
      <c r="BZ113" s="268" t="n"/>
      <c r="CA113" s="268" t="n"/>
      <c r="CB113" s="268" t="n"/>
      <c r="CC113" s="268" t="n"/>
      <c r="CD113" s="268" t="n"/>
      <c r="CE113" s="268" t="n"/>
      <c r="CF113" s="268" t="n"/>
      <c r="CG113" s="268" t="n"/>
      <c r="CH113" s="268" t="n"/>
      <c r="CI113" s="268" t="n"/>
      <c r="CJ113" s="268" t="n"/>
      <c r="CK113" s="268" t="n"/>
      <c r="CL113" s="268" t="n"/>
      <c r="CM113" s="268" t="n"/>
      <c r="CN113" s="268" t="n"/>
      <c r="CO113" s="268" t="n"/>
      <c r="CP113" s="268" t="n"/>
      <c r="CQ113" s="268" t="n"/>
      <c r="CR113" s="268" t="n"/>
      <c r="CS113" s="268" t="n"/>
      <c r="CT113" s="268" t="n"/>
      <c r="CU113" s="268" t="n"/>
      <c r="CV113" s="268" t="n"/>
      <c r="CW113" s="268" t="n"/>
      <c r="CX113" s="268" t="n"/>
      <c r="CY113" s="268" t="n"/>
    </row>
    <row r="114" hidden="1" outlineLevel="1" ht="12.75" customHeight="1" s="255">
      <c r="C114" s="312" t="inlineStr">
        <is>
          <t>DESPESAS FINANCEIRAS - Resultado negativo com instrumentos derivativos</t>
        </is>
      </c>
      <c r="D114" s="268" t="n"/>
      <c r="E114" s="268" t="n"/>
      <c r="F114" s="268" t="n"/>
      <c r="G114" s="268" t="n"/>
      <c r="H114" s="268" t="n"/>
      <c r="I114" s="268" t="n"/>
      <c r="J114" s="268" t="n"/>
      <c r="K114" s="268" t="n"/>
      <c r="L114" s="268" t="n"/>
      <c r="M114" s="268" t="n"/>
      <c r="N114" s="268" t="n"/>
      <c r="O114" s="268" t="n"/>
      <c r="P114" s="268" t="n"/>
      <c r="Q114" s="268" t="n"/>
      <c r="R114" s="268" t="n"/>
      <c r="S114" s="268" t="n"/>
      <c r="T114" s="268" t="n"/>
      <c r="U114" s="268" t="n"/>
      <c r="V114" s="268" t="n"/>
      <c r="W114" s="268" t="n"/>
      <c r="X114" s="268" t="n"/>
      <c r="Y114" s="268" t="n"/>
      <c r="Z114" s="268" t="n"/>
      <c r="AA114" s="268" t="n"/>
      <c r="AB114" s="268" t="n"/>
      <c r="AC114" s="268" t="n"/>
      <c r="AD114" s="268" t="n"/>
      <c r="AE114" s="268" t="n"/>
      <c r="AF114" s="268" t="n"/>
      <c r="AG114" s="268" t="n"/>
      <c r="AH114" s="268" t="n"/>
      <c r="AI114" s="268" t="n"/>
      <c r="AJ114" s="268" t="n"/>
      <c r="AK114" s="268" t="n"/>
      <c r="AL114" s="268" t="n"/>
      <c r="AM114" s="268" t="n"/>
      <c r="AN114" s="268" t="n"/>
      <c r="AO114" s="268" t="n"/>
      <c r="AP114" s="268" t="n"/>
      <c r="AQ114" s="268" t="n"/>
      <c r="AR114" s="268" t="n"/>
      <c r="AS114" s="268" t="n"/>
      <c r="AT114" s="268" t="n"/>
      <c r="AU114" s="268" t="n"/>
      <c r="AV114" s="268" t="n"/>
      <c r="AW114" s="268" t="n"/>
      <c r="AX114" s="268" t="n"/>
      <c r="AY114" s="268" t="n"/>
      <c r="AZ114" s="268" t="n"/>
      <c r="BA114" s="268" t="n"/>
      <c r="BB114" s="268" t="n"/>
      <c r="BC114" s="268" t="n"/>
      <c r="BD114" s="268" t="n"/>
      <c r="BE114" s="268" t="n"/>
      <c r="BF114" s="268" t="n"/>
      <c r="BG114" s="268" t="n"/>
      <c r="BH114" s="268" t="n"/>
      <c r="BI114" s="268" t="n"/>
      <c r="BJ114" s="268" t="n"/>
      <c r="BK114" s="268" t="n"/>
      <c r="BL114" s="268" t="n"/>
      <c r="BM114" s="268" t="n"/>
      <c r="BN114" s="268" t="n"/>
      <c r="BO114" s="268" t="n"/>
      <c r="BP114" s="268" t="n"/>
      <c r="BQ114" s="268" t="n"/>
      <c r="BR114" s="268" t="n"/>
      <c r="BS114" s="268" t="n"/>
      <c r="BT114" s="268" t="n"/>
      <c r="BU114" s="268" t="n"/>
      <c r="BV114" s="268" t="n"/>
      <c r="BW114" s="268" t="n"/>
      <c r="BX114" s="268" t="n"/>
      <c r="BY114" s="268" t="n"/>
      <c r="BZ114" s="268" t="n"/>
      <c r="CA114" s="268" t="n"/>
      <c r="CB114" s="268" t="n"/>
      <c r="CC114" s="268" t="n"/>
      <c r="CD114" s="268" t="n"/>
      <c r="CE114" s="268" t="n"/>
      <c r="CF114" s="268" t="n"/>
      <c r="CG114" s="268" t="n"/>
      <c r="CH114" s="268" t="n"/>
      <c r="CI114" s="268" t="n"/>
      <c r="CJ114" s="268" t="n"/>
      <c r="CK114" s="268" t="n"/>
      <c r="CL114" s="268" t="n"/>
      <c r="CM114" s="268" t="n"/>
      <c r="CN114" s="268" t="n"/>
      <c r="CO114" s="268" t="n"/>
      <c r="CP114" s="268" t="n"/>
      <c r="CQ114" s="268" t="n"/>
      <c r="CR114" s="268" t="n"/>
      <c r="CS114" s="268" t="n"/>
      <c r="CT114" s="268" t="n"/>
      <c r="CU114" s="268" t="n"/>
      <c r="CV114" s="268" t="n"/>
      <c r="CW114" s="268" t="n"/>
      <c r="CX114" s="268" t="n"/>
      <c r="CY114" s="268" t="n"/>
    </row>
    <row r="115" hidden="1" outlineLevel="1" ht="12.75" customHeight="1" s="255">
      <c r="C115" s="312" t="inlineStr">
        <is>
          <t>DESPESAS FINANCEIRAS - Juros sobre arrendamento - IFRS16</t>
        </is>
      </c>
      <c r="D115" s="268" t="n"/>
      <c r="E115" s="268" t="n"/>
      <c r="F115" s="268" t="n"/>
      <c r="G115" s="268" t="n"/>
      <c r="H115" s="268" t="n"/>
      <c r="I115" s="268" t="n"/>
      <c r="J115" s="268" t="n"/>
      <c r="K115" s="268" t="n"/>
      <c r="L115" s="268" t="n"/>
      <c r="M115" s="268" t="n"/>
      <c r="N115" s="268" t="n"/>
      <c r="O115" s="268" t="n"/>
      <c r="P115" s="268" t="n"/>
      <c r="Q115" s="268" t="n"/>
      <c r="R115" s="268" t="n"/>
      <c r="S115" s="268" t="n"/>
      <c r="T115" s="268" t="n"/>
      <c r="U115" s="268" t="n"/>
      <c r="V115" s="268" t="n"/>
      <c r="W115" s="268" t="n"/>
      <c r="X115" s="268" t="n"/>
      <c r="Y115" s="268" t="n"/>
      <c r="Z115" s="268" t="n"/>
      <c r="AA115" s="268" t="n"/>
      <c r="AB115" s="268" t="n"/>
      <c r="AC115" s="268" t="n"/>
      <c r="AD115" s="268" t="n"/>
      <c r="AE115" s="268" t="n"/>
      <c r="AF115" s="268" t="n"/>
      <c r="AG115" s="268" t="n"/>
      <c r="AH115" s="268" t="n"/>
      <c r="AI115" s="268" t="n"/>
      <c r="AJ115" s="268" t="n"/>
      <c r="AK115" s="268" t="n"/>
      <c r="AL115" s="268" t="n"/>
      <c r="AM115" s="268" t="n"/>
      <c r="AN115" s="268" t="n"/>
      <c r="AO115" s="268" t="n"/>
      <c r="AP115" s="268" t="n"/>
      <c r="AQ115" s="268" t="n"/>
      <c r="AR115" s="268" t="n"/>
      <c r="AS115" s="268" t="n"/>
      <c r="AT115" s="268" t="n"/>
      <c r="AU115" s="268" t="n"/>
      <c r="AV115" s="268" t="n"/>
      <c r="AW115" s="268" t="n"/>
      <c r="AX115" s="268" t="n"/>
      <c r="AY115" s="268" t="n"/>
      <c r="AZ115" s="268" t="n"/>
      <c r="BA115" s="268" t="n"/>
      <c r="BB115" s="268" t="n"/>
      <c r="BC115" s="268" t="n"/>
      <c r="BD115" s="268" t="n"/>
      <c r="BE115" s="268" t="n"/>
      <c r="BF115" s="268" t="n"/>
      <c r="BG115" s="268" t="n"/>
      <c r="BH115" s="268" t="n"/>
      <c r="BI115" s="268" t="n"/>
      <c r="BJ115" s="268" t="n"/>
      <c r="BK115" s="268" t="n"/>
      <c r="BL115" s="268" t="n"/>
      <c r="BM115" s="268" t="n"/>
      <c r="BN115" s="268" t="n"/>
      <c r="BO115" s="268" t="n"/>
      <c r="BP115" s="268" t="n"/>
      <c r="BQ115" s="268" t="n"/>
      <c r="BR115" s="268" t="n"/>
      <c r="BS115" s="268" t="n"/>
      <c r="BT115" s="268" t="n"/>
      <c r="BU115" s="268" t="n"/>
      <c r="BV115" s="268" t="n"/>
      <c r="BW115" s="268" t="n"/>
      <c r="BX115" s="268" t="n"/>
      <c r="BY115" s="268" t="n"/>
      <c r="BZ115" s="268" t="n"/>
      <c r="CA115" s="268" t="n"/>
      <c r="CB115" s="268" t="n"/>
      <c r="CC115" s="268" t="n"/>
      <c r="CD115" s="268" t="n"/>
      <c r="CE115" s="268" t="n"/>
      <c r="CF115" s="268" t="n"/>
      <c r="CG115" s="268" t="n"/>
      <c r="CH115" s="268" t="n"/>
      <c r="CI115" s="268" t="n"/>
      <c r="CJ115" s="268" t="n"/>
      <c r="CK115" s="268" t="n"/>
      <c r="CL115" s="268" t="n"/>
      <c r="CM115" s="268" t="n"/>
      <c r="CN115" s="268" t="n"/>
      <c r="CO115" s="268" t="n"/>
      <c r="CP115" s="268" t="n"/>
      <c r="CQ115" s="268" t="n"/>
      <c r="CR115" s="268" t="n"/>
      <c r="CS115" s="268" t="n"/>
      <c r="CT115" s="268" t="n"/>
      <c r="CU115" s="268" t="n"/>
      <c r="CV115" s="268" t="n"/>
      <c r="CW115" s="268" t="n"/>
      <c r="CX115" s="268" t="n"/>
      <c r="CY115" s="268" t="n"/>
    </row>
    <row r="116" hidden="1" outlineLevel="1" ht="12.75" customHeight="1" s="255">
      <c r="C116" s="312" t="inlineStr">
        <is>
          <t>DESPESAS FINANCEIRAS - Despesas bancárias</t>
        </is>
      </c>
      <c r="D116" s="268" t="n"/>
      <c r="E116" s="268" t="n"/>
      <c r="F116" s="268" t="n"/>
      <c r="G116" s="268" t="n"/>
      <c r="H116" s="268" t="n"/>
      <c r="I116" s="268" t="n"/>
      <c r="J116" s="268" t="n"/>
      <c r="K116" s="268" t="n"/>
      <c r="L116" s="268" t="n"/>
      <c r="M116" s="268" t="n"/>
      <c r="N116" s="268" t="n"/>
      <c r="O116" s="268" t="n"/>
      <c r="P116" s="268" t="n"/>
      <c r="Q116" s="268" t="n"/>
      <c r="R116" s="268" t="n"/>
      <c r="S116" s="268" t="n"/>
      <c r="T116" s="268" t="n"/>
      <c r="U116" s="268" t="n"/>
      <c r="V116" s="268" t="n"/>
      <c r="W116" s="268" t="n"/>
      <c r="X116" s="268" t="n"/>
      <c r="Y116" s="268" t="n"/>
      <c r="Z116" s="268" t="n"/>
      <c r="AA116" s="268" t="n"/>
      <c r="AB116" s="268" t="n"/>
      <c r="AC116" s="268" t="n"/>
      <c r="AD116" s="268" t="n"/>
      <c r="AE116" s="268" t="n"/>
      <c r="AF116" s="268" t="n"/>
      <c r="AG116" s="268" t="n"/>
      <c r="AH116" s="268" t="n"/>
      <c r="AI116" s="268" t="n"/>
      <c r="AJ116" s="268" t="n"/>
      <c r="AK116" s="268" t="n"/>
      <c r="AL116" s="268" t="n"/>
      <c r="AM116" s="268" t="n"/>
      <c r="AN116" s="268" t="n"/>
      <c r="AO116" s="268" t="n"/>
      <c r="AP116" s="268" t="n"/>
      <c r="AQ116" s="268" t="n"/>
      <c r="AR116" s="268" t="n"/>
      <c r="AS116" s="268" t="n"/>
      <c r="AT116" s="268" t="n"/>
      <c r="AU116" s="268" t="n"/>
      <c r="AV116" s="268" t="n"/>
      <c r="AW116" s="268" t="n"/>
      <c r="AX116" s="268" t="n"/>
      <c r="AY116" s="268" t="n"/>
      <c r="AZ116" s="268" t="n"/>
      <c r="BA116" s="268" t="n"/>
      <c r="BB116" s="268" t="n"/>
      <c r="BC116" s="268" t="n"/>
      <c r="BD116" s="268" t="n"/>
      <c r="BE116" s="268" t="n"/>
      <c r="BF116" s="268" t="n"/>
      <c r="BG116" s="268" t="n"/>
      <c r="BH116" s="268" t="n"/>
      <c r="BI116" s="268" t="n"/>
      <c r="BJ116" s="268" t="n"/>
      <c r="BK116" s="268" t="n"/>
      <c r="BL116" s="268" t="n"/>
      <c r="BM116" s="268" t="n"/>
      <c r="BN116" s="268" t="n"/>
      <c r="BO116" s="268" t="n"/>
      <c r="BP116" s="268" t="n"/>
      <c r="BQ116" s="268" t="n"/>
      <c r="BR116" s="268" t="n"/>
      <c r="BS116" s="268" t="n"/>
      <c r="BT116" s="268" t="n"/>
      <c r="BU116" s="268" t="n"/>
      <c r="BV116" s="268" t="n"/>
      <c r="BW116" s="268" t="n"/>
      <c r="BX116" s="268" t="n"/>
      <c r="BY116" s="268" t="n"/>
      <c r="BZ116" s="268" t="n"/>
      <c r="CA116" s="268" t="n"/>
      <c r="CB116" s="268" t="n"/>
      <c r="CC116" s="268" t="n"/>
      <c r="CD116" s="268" t="n"/>
      <c r="CE116" s="268" t="n"/>
      <c r="CF116" s="268" t="n"/>
      <c r="CG116" s="268" t="n"/>
      <c r="CH116" s="268" t="n"/>
      <c r="CI116" s="268" t="n"/>
      <c r="CJ116" s="268" t="n"/>
      <c r="CK116" s="268" t="n"/>
      <c r="CL116" s="268" t="n"/>
      <c r="CM116" s="268" t="n"/>
      <c r="CN116" s="268" t="n"/>
      <c r="CO116" s="268" t="n"/>
      <c r="CP116" s="268" t="n"/>
      <c r="CQ116" s="268" t="n"/>
      <c r="CR116" s="268" t="n"/>
      <c r="CS116" s="268" t="n"/>
      <c r="CT116" s="268" t="n"/>
      <c r="CU116" s="268" t="n"/>
      <c r="CV116" s="268" t="n"/>
      <c r="CW116" s="268" t="n"/>
      <c r="CX116" s="268" t="n"/>
      <c r="CY116" s="268" t="n"/>
    </row>
    <row r="117" hidden="1" outlineLevel="1" ht="12.75" customHeight="1" s="255">
      <c r="C117" s="312" t="inlineStr">
        <is>
          <t>DESPESAS FINANCEIRAS - Despesas com obtenção de empréstimos e financiamentos</t>
        </is>
      </c>
      <c r="D117" s="268" t="n"/>
      <c r="E117" s="268" t="n"/>
      <c r="F117" s="268" t="n"/>
      <c r="G117" s="268" t="n"/>
      <c r="H117" s="268" t="n"/>
      <c r="I117" s="268" t="n"/>
      <c r="J117" s="268" t="n"/>
      <c r="K117" s="268" t="n"/>
      <c r="L117" s="268" t="n"/>
      <c r="M117" s="268" t="n"/>
      <c r="N117" s="268" t="n"/>
      <c r="O117" s="268" t="n"/>
      <c r="P117" s="268" t="n"/>
      <c r="Q117" s="268" t="n"/>
      <c r="R117" s="268" t="n"/>
      <c r="S117" s="268" t="n"/>
      <c r="T117" s="268" t="n"/>
      <c r="U117" s="268" t="n"/>
      <c r="V117" s="268" t="n"/>
      <c r="W117" s="268" t="n"/>
      <c r="X117" s="268" t="n"/>
      <c r="Y117" s="268" t="n"/>
      <c r="Z117" s="268" t="n"/>
      <c r="AA117" s="268" t="n"/>
      <c r="AB117" s="268" t="n"/>
      <c r="AC117" s="268" t="n"/>
      <c r="AD117" s="268" t="n"/>
      <c r="AE117" s="268" t="n"/>
      <c r="AF117" s="268" t="n"/>
      <c r="AG117" s="268" t="n"/>
      <c r="AH117" s="268" t="n"/>
      <c r="AI117" s="268" t="n"/>
      <c r="AJ117" s="268" t="n"/>
      <c r="AK117" s="268" t="n"/>
      <c r="AL117" s="268" t="n"/>
      <c r="AM117" s="268" t="n"/>
      <c r="AN117" s="268" t="n"/>
      <c r="AO117" s="268" t="n"/>
      <c r="AP117" s="268" t="n"/>
      <c r="AQ117" s="268" t="n"/>
      <c r="AR117" s="268" t="n"/>
      <c r="AS117" s="268" t="n"/>
      <c r="AT117" s="268" t="n"/>
      <c r="AU117" s="268" t="n"/>
      <c r="AV117" s="268" t="n"/>
      <c r="AW117" s="268" t="n"/>
      <c r="AX117" s="268" t="n"/>
      <c r="AY117" s="268" t="n"/>
      <c r="AZ117" s="268" t="n"/>
      <c r="BA117" s="268" t="n"/>
      <c r="BB117" s="268" t="n"/>
      <c r="BC117" s="268" t="n"/>
      <c r="BD117" s="268" t="n"/>
      <c r="BE117" s="268" t="n"/>
      <c r="BF117" s="268" t="n"/>
      <c r="BG117" s="268" t="n"/>
      <c r="BH117" s="268" t="n"/>
      <c r="BI117" s="268" t="n"/>
      <c r="BJ117" s="268" t="n"/>
      <c r="BK117" s="268" t="n"/>
      <c r="BL117" s="268" t="n"/>
      <c r="BM117" s="268" t="n"/>
      <c r="BN117" s="268" t="n"/>
      <c r="BO117" s="268" t="n"/>
      <c r="BP117" s="268" t="n"/>
      <c r="BQ117" s="268" t="n"/>
      <c r="BR117" s="268" t="n"/>
      <c r="BS117" s="268" t="n"/>
      <c r="BT117" s="268" t="n"/>
      <c r="BU117" s="268" t="n"/>
      <c r="BV117" s="268" t="n"/>
      <c r="BW117" s="268" t="n"/>
      <c r="BX117" s="268" t="n"/>
      <c r="BY117" s="268" t="n"/>
      <c r="BZ117" s="268" t="n"/>
      <c r="CA117" s="268" t="n"/>
      <c r="CB117" s="268" t="n"/>
      <c r="CC117" s="268" t="n"/>
      <c r="CD117" s="268" t="n"/>
      <c r="CE117" s="268" t="n"/>
      <c r="CF117" s="268" t="n"/>
      <c r="CG117" s="268" t="n"/>
      <c r="CH117" s="268" t="n"/>
      <c r="CI117" s="268" t="n"/>
      <c r="CJ117" s="268" t="n"/>
      <c r="CK117" s="268" t="n"/>
      <c r="CL117" s="268" t="n"/>
      <c r="CM117" s="268" t="n"/>
      <c r="CN117" s="268" t="n"/>
      <c r="CO117" s="268" t="n"/>
      <c r="CP117" s="268" t="n"/>
      <c r="CQ117" s="268" t="n"/>
      <c r="CR117" s="268" t="n"/>
      <c r="CS117" s="268" t="n"/>
      <c r="CT117" s="268" t="n"/>
      <c r="CU117" s="268" t="n"/>
      <c r="CV117" s="268" t="n"/>
      <c r="CW117" s="268" t="n"/>
      <c r="CX117" s="268" t="n"/>
      <c r="CY117" s="268" t="n"/>
    </row>
    <row r="118" hidden="1" outlineLevel="1" ht="12.75" customHeight="1" s="255">
      <c r="C118" s="312" t="inlineStr">
        <is>
          <t>DESPESAS FINANCEIRAS - Atualização de contas a pagar por aquisição de empresas</t>
        </is>
      </c>
      <c r="D118" s="268" t="n"/>
      <c r="E118" s="268" t="n"/>
      <c r="F118" s="268" t="n"/>
      <c r="G118" s="268" t="n"/>
      <c r="H118" s="268" t="n"/>
      <c r="I118" s="268" t="n"/>
      <c r="J118" s="268" t="n"/>
      <c r="K118" s="268" t="n"/>
      <c r="L118" s="268" t="n"/>
      <c r="M118" s="268" t="n"/>
      <c r="N118" s="268" t="n"/>
      <c r="O118" s="268" t="n"/>
      <c r="P118" s="268" t="n"/>
      <c r="Q118" s="268" t="n"/>
      <c r="R118" s="268" t="n"/>
      <c r="S118" s="268" t="n"/>
      <c r="T118" s="268" t="n"/>
      <c r="U118" s="268" t="n"/>
      <c r="V118" s="268" t="n"/>
      <c r="W118" s="268" t="n"/>
      <c r="X118" s="268" t="n"/>
      <c r="Y118" s="268" t="n"/>
      <c r="Z118" s="268" t="n"/>
      <c r="AA118" s="268" t="n"/>
      <c r="AB118" s="268" t="n"/>
      <c r="AC118" s="268" t="n"/>
      <c r="AD118" s="268" t="n"/>
      <c r="AE118" s="268" t="n"/>
      <c r="AF118" s="268" t="n"/>
      <c r="AG118" s="268" t="n"/>
      <c r="AH118" s="268" t="n"/>
      <c r="AI118" s="268" t="n"/>
      <c r="AJ118" s="268" t="n"/>
      <c r="AK118" s="268" t="n"/>
      <c r="AL118" s="268" t="n"/>
      <c r="AM118" s="268" t="n"/>
      <c r="AN118" s="268" t="n"/>
      <c r="AO118" s="268" t="n"/>
      <c r="AP118" s="268" t="n"/>
      <c r="AQ118" s="268" t="n"/>
      <c r="AR118" s="268" t="n"/>
      <c r="AS118" s="268" t="n"/>
      <c r="AT118" s="268" t="n"/>
      <c r="AU118" s="268" t="n"/>
      <c r="AV118" s="268" t="n"/>
      <c r="AW118" s="268" t="n"/>
      <c r="AX118" s="268" t="n"/>
      <c r="AY118" s="268" t="n"/>
      <c r="AZ118" s="268" t="n"/>
      <c r="BA118" s="268" t="n"/>
      <c r="BB118" s="268" t="n"/>
      <c r="BC118" s="268" t="n"/>
      <c r="BD118" s="268" t="n"/>
      <c r="BE118" s="268" t="n"/>
      <c r="BF118" s="268" t="n"/>
      <c r="BG118" s="268" t="n"/>
      <c r="BH118" s="268" t="n"/>
      <c r="BI118" s="268" t="n"/>
      <c r="BJ118" s="268" t="n"/>
      <c r="BK118" s="268" t="n"/>
      <c r="BL118" s="268" t="n"/>
      <c r="BM118" s="268" t="n"/>
      <c r="BN118" s="268" t="n"/>
      <c r="BO118" s="268" t="n"/>
      <c r="BP118" s="268" t="n"/>
      <c r="BQ118" s="268" t="n"/>
      <c r="BR118" s="268" t="n"/>
      <c r="BS118" s="268" t="n"/>
      <c r="BT118" s="268" t="n"/>
      <c r="BU118" s="268" t="n"/>
      <c r="BV118" s="268" t="n"/>
      <c r="BW118" s="268" t="n"/>
      <c r="BX118" s="268" t="n"/>
      <c r="BY118" s="268" t="n"/>
      <c r="BZ118" s="268" t="n"/>
      <c r="CA118" s="268" t="n"/>
      <c r="CB118" s="268" t="n"/>
      <c r="CC118" s="268" t="n"/>
      <c r="CD118" s="268" t="n"/>
      <c r="CE118" s="268" t="n"/>
      <c r="CF118" s="268" t="n"/>
      <c r="CG118" s="268" t="n"/>
      <c r="CH118" s="268" t="n"/>
      <c r="CI118" s="268" t="n"/>
      <c r="CJ118" s="268" t="n"/>
      <c r="CK118" s="268" t="n"/>
      <c r="CL118" s="268" t="n"/>
      <c r="CM118" s="268" t="n"/>
      <c r="CN118" s="268" t="n"/>
      <c r="CO118" s="268" t="n"/>
      <c r="CP118" s="268" t="n"/>
      <c r="CQ118" s="268" t="n"/>
      <c r="CR118" s="268" t="n"/>
      <c r="CS118" s="268" t="n"/>
      <c r="CT118" s="268" t="n"/>
      <c r="CU118" s="268" t="n"/>
      <c r="CV118" s="268" t="n"/>
      <c r="CW118" s="268" t="n"/>
      <c r="CX118" s="268" t="n"/>
      <c r="CY118" s="268" t="n"/>
    </row>
    <row r="119" hidden="1" outlineLevel="1" ht="12.75" customHeight="1" s="255">
      <c r="C119" s="312" t="inlineStr">
        <is>
          <t>DESPESAS FINANCEIRAS - Outras</t>
        </is>
      </c>
      <c r="D119" s="268" t="n"/>
      <c r="E119" s="268" t="n"/>
      <c r="F119" s="268" t="n"/>
      <c r="G119" s="268" t="n"/>
      <c r="H119" s="268" t="n"/>
      <c r="I119" s="268" t="n"/>
      <c r="J119" s="268" t="n"/>
      <c r="K119" s="268" t="n"/>
      <c r="L119" s="268" t="n"/>
      <c r="M119" s="268" t="n"/>
      <c r="N119" s="268" t="n"/>
      <c r="O119" s="268" t="n"/>
      <c r="P119" s="268" t="n"/>
      <c r="Q119" s="268" t="n"/>
      <c r="R119" s="268" t="n"/>
      <c r="S119" s="268" t="n"/>
      <c r="T119" s="268" t="n"/>
      <c r="U119" s="268" t="n"/>
      <c r="V119" s="268" t="n"/>
      <c r="W119" s="268" t="n"/>
      <c r="X119" s="268" t="n"/>
      <c r="Y119" s="268" t="n"/>
      <c r="Z119" s="268" t="n"/>
      <c r="AA119" s="268" t="n"/>
      <c r="AB119" s="268" t="n"/>
      <c r="AC119" s="268" t="n"/>
      <c r="AD119" s="268" t="n"/>
      <c r="AE119" s="268" t="n"/>
      <c r="AF119" s="268" t="n"/>
      <c r="AG119" s="268" t="n"/>
      <c r="AH119" s="268" t="n"/>
      <c r="AI119" s="268" t="n"/>
      <c r="AJ119" s="268" t="n"/>
      <c r="AK119" s="268" t="n"/>
      <c r="AL119" s="268" t="n"/>
      <c r="AM119" s="268" t="n"/>
      <c r="AN119" s="268" t="n"/>
      <c r="AO119" s="268" t="n"/>
      <c r="AP119" s="268" t="n"/>
      <c r="AQ119" s="268" t="n"/>
      <c r="AR119" s="268" t="n"/>
      <c r="AS119" s="268" t="n"/>
      <c r="AT119" s="268" t="n"/>
      <c r="AU119" s="268" t="n"/>
      <c r="AV119" s="268" t="n"/>
      <c r="AW119" s="268" t="n"/>
      <c r="AX119" s="268" t="n"/>
      <c r="AY119" s="268" t="n"/>
      <c r="AZ119" s="268" t="n"/>
      <c r="BA119" s="268" t="n"/>
      <c r="BB119" s="268" t="n"/>
      <c r="BC119" s="268" t="n"/>
      <c r="BD119" s="268" t="n"/>
      <c r="BE119" s="268" t="n"/>
      <c r="BF119" s="268" t="n"/>
      <c r="BG119" s="268" t="n"/>
      <c r="BH119" s="268" t="n"/>
      <c r="BI119" s="268" t="n"/>
      <c r="BJ119" s="268" t="n"/>
      <c r="BK119" s="268" t="n"/>
      <c r="BL119" s="268" t="n"/>
      <c r="BM119" s="268" t="n"/>
      <c r="BN119" s="268" t="n"/>
      <c r="BO119" s="268" t="n"/>
      <c r="BP119" s="268" t="n"/>
      <c r="BQ119" s="268" t="n"/>
      <c r="BR119" s="268" t="n"/>
      <c r="BS119" s="268" t="n"/>
      <c r="BT119" s="268" t="n"/>
      <c r="BU119" s="268" t="n"/>
      <c r="BV119" s="268" t="n"/>
      <c r="BW119" s="268" t="n"/>
      <c r="BX119" s="268" t="n"/>
      <c r="BY119" s="268" t="n"/>
      <c r="BZ119" s="268" t="n"/>
      <c r="CA119" s="268" t="n"/>
      <c r="CB119" s="268" t="n"/>
      <c r="CC119" s="268" t="n"/>
      <c r="CD119" s="268" t="n"/>
      <c r="CE119" s="268" t="n"/>
      <c r="CF119" s="268" t="n"/>
      <c r="CG119" s="268" t="n"/>
      <c r="CH119" s="268" t="n"/>
      <c r="CI119" s="268" t="n"/>
      <c r="CJ119" s="268" t="n"/>
      <c r="CK119" s="268" t="n"/>
      <c r="CL119" s="268" t="n"/>
      <c r="CM119" s="268" t="n"/>
      <c r="CN119" s="268" t="n"/>
      <c r="CO119" s="268" t="n"/>
      <c r="CP119" s="268" t="n"/>
      <c r="CQ119" s="268" t="n"/>
      <c r="CR119" s="268" t="n"/>
      <c r="CS119" s="268" t="n"/>
      <c r="CT119" s="268" t="n"/>
      <c r="CU119" s="268" t="n"/>
      <c r="CV119" s="268" t="n"/>
      <c r="CW119" s="268" t="n"/>
      <c r="CX119" s="268" t="n"/>
      <c r="CY119" s="268" t="n"/>
    </row>
    <row r="120" hidden="1" outlineLevel="1" ht="12.75" customHeight="1" s="255">
      <c r="C120" s="312" t="n"/>
      <c r="D120" s="268" t="n"/>
      <c r="E120" s="268" t="n"/>
      <c r="F120" s="268" t="n"/>
      <c r="G120" s="268" t="n"/>
      <c r="H120" s="268" t="n"/>
      <c r="I120" s="268" t="n"/>
      <c r="J120" s="268" t="n"/>
      <c r="K120" s="268" t="n"/>
      <c r="L120" s="268" t="n"/>
      <c r="M120" s="268" t="n"/>
      <c r="N120" s="268" t="n"/>
      <c r="O120" s="268" t="n"/>
      <c r="P120" s="268" t="n"/>
      <c r="Q120" s="268" t="n"/>
      <c r="R120" s="268" t="n"/>
      <c r="S120" s="268" t="n"/>
      <c r="T120" s="268" t="n"/>
      <c r="U120" s="268" t="n"/>
      <c r="V120" s="268" t="n"/>
      <c r="W120" s="268" t="n"/>
      <c r="X120" s="268" t="n"/>
      <c r="Y120" s="268" t="n"/>
      <c r="Z120" s="268" t="n"/>
      <c r="AA120" s="268" t="n"/>
      <c r="AB120" s="268" t="n"/>
      <c r="AC120" s="268" t="n"/>
      <c r="AD120" s="268" t="n"/>
      <c r="AE120" s="268" t="n"/>
      <c r="AF120" s="268" t="n"/>
      <c r="AG120" s="268" t="n"/>
      <c r="AH120" s="268" t="n"/>
      <c r="AI120" s="268" t="n"/>
      <c r="AJ120" s="268" t="n"/>
      <c r="AK120" s="268" t="n"/>
      <c r="AL120" s="268" t="n"/>
      <c r="AM120" s="268" t="n"/>
      <c r="AN120" s="268" t="n"/>
      <c r="AO120" s="268" t="n"/>
      <c r="AP120" s="268" t="n"/>
      <c r="AQ120" s="268" t="n"/>
      <c r="AR120" s="268" t="n"/>
      <c r="AS120" s="268" t="n"/>
      <c r="AT120" s="268" t="n"/>
      <c r="AU120" s="268" t="n"/>
      <c r="AV120" s="268" t="n"/>
      <c r="AW120" s="268" t="n"/>
      <c r="AX120" s="268" t="n"/>
      <c r="AY120" s="268" t="n"/>
      <c r="AZ120" s="268" t="n"/>
      <c r="BA120" s="268" t="n"/>
      <c r="BB120" s="268" t="n"/>
      <c r="BC120" s="268" t="n"/>
      <c r="BD120" s="268" t="n"/>
      <c r="BE120" s="268" t="n"/>
      <c r="BF120" s="268" t="n"/>
      <c r="BG120" s="268" t="n"/>
      <c r="BH120" s="268" t="n"/>
      <c r="BI120" s="268" t="n"/>
      <c r="BJ120" s="268" t="n"/>
      <c r="BK120" s="268" t="n"/>
      <c r="BL120" s="268" t="n"/>
      <c r="BM120" s="268" t="n"/>
      <c r="BN120" s="268" t="n"/>
      <c r="BO120" s="268" t="n"/>
      <c r="BP120" s="268" t="n"/>
      <c r="BQ120" s="268" t="n"/>
      <c r="BR120" s="268" t="n"/>
      <c r="BS120" s="268" t="n"/>
      <c r="BT120" s="268" t="n"/>
      <c r="BU120" s="268" t="n"/>
      <c r="BV120" s="268" t="n"/>
      <c r="BW120" s="268" t="n"/>
      <c r="BX120" s="268" t="n"/>
      <c r="BY120" s="268" t="n"/>
      <c r="BZ120" s="268" t="n"/>
      <c r="CA120" s="268" t="n"/>
      <c r="CB120" s="268" t="n"/>
      <c r="CC120" s="268" t="n"/>
      <c r="CD120" s="268" t="n"/>
      <c r="CE120" s="268" t="n"/>
      <c r="CF120" s="268" t="n"/>
      <c r="CG120" s="268" t="n"/>
      <c r="CH120" s="268" t="n"/>
      <c r="CI120" s="268" t="n"/>
      <c r="CJ120" s="268" t="n"/>
      <c r="CK120" s="268" t="n"/>
      <c r="CL120" s="268" t="n"/>
      <c r="CM120" s="268" t="n"/>
      <c r="CN120" s="268" t="n"/>
      <c r="CO120" s="268" t="n"/>
      <c r="CP120" s="268" t="n"/>
      <c r="CQ120" s="268" t="n"/>
      <c r="CR120" s="268" t="n"/>
      <c r="CS120" s="268" t="n"/>
      <c r="CT120" s="268" t="n"/>
      <c r="CU120" s="268" t="n"/>
      <c r="CV120" s="268" t="n"/>
      <c r="CW120" s="268" t="n"/>
      <c r="CX120" s="268" t="n"/>
      <c r="CY120" s="268" t="n"/>
    </row>
    <row r="121" hidden="1" outlineLevel="1" ht="12.75" customHeight="1" s="255">
      <c r="C121" s="312" t="inlineStr">
        <is>
          <t>CHECK [EX IFRS-16]</t>
        </is>
      </c>
      <c r="D121" s="268" t="n"/>
      <c r="E121" s="268" t="n"/>
      <c r="F121" s="268" t="n"/>
      <c r="G121" s="268" t="n"/>
      <c r="H121" s="268" t="n"/>
      <c r="I121" s="268" t="n"/>
      <c r="J121" s="268" t="n"/>
      <c r="K121" s="268" t="n"/>
      <c r="L121" s="268" t="n"/>
      <c r="M121" s="268" t="n"/>
      <c r="N121" s="268" t="n"/>
      <c r="O121" s="268" t="n"/>
      <c r="P121" s="268" t="n"/>
      <c r="Q121" s="268" t="n"/>
      <c r="R121" s="268" t="n"/>
      <c r="S121" s="268" t="n"/>
      <c r="T121" s="268" t="n"/>
      <c r="U121" s="268" t="n"/>
      <c r="V121" s="268" t="n"/>
      <c r="W121" s="268" t="n"/>
      <c r="X121" s="268" t="n"/>
      <c r="Y121" s="268" t="n"/>
      <c r="Z121" s="268" t="n"/>
      <c r="AA121" s="268" t="n"/>
      <c r="AB121" s="268" t="n"/>
      <c r="AC121" s="268" t="n"/>
      <c r="AD121" s="268" t="n"/>
      <c r="AE121" s="268" t="n"/>
      <c r="AF121" s="268" t="n"/>
      <c r="AG121" s="268" t="n"/>
      <c r="AH121" s="268" t="n"/>
      <c r="AI121" s="268" t="n"/>
      <c r="AJ121" s="268" t="n"/>
      <c r="AK121" s="268" t="n"/>
      <c r="AL121" s="268" t="n"/>
      <c r="AM121" s="268" t="n"/>
      <c r="AN121" s="268" t="n"/>
      <c r="AO121" s="268" t="n"/>
      <c r="AP121" s="268" t="n"/>
      <c r="AQ121" s="268" t="n"/>
      <c r="AR121" s="268" t="n"/>
      <c r="AS121" s="268" t="n"/>
      <c r="AT121" s="268" t="n"/>
      <c r="AU121" s="268" t="n"/>
      <c r="AV121" s="268" t="n"/>
      <c r="AW121" s="268" t="n"/>
      <c r="AX121" s="268" t="n"/>
      <c r="AY121" s="268" t="n"/>
      <c r="AZ121" s="268" t="n"/>
      <c r="BA121" s="268" t="n"/>
      <c r="BB121" s="268" t="n"/>
      <c r="BC121" s="268" t="n"/>
      <c r="BD121" s="268" t="n"/>
      <c r="BE121" s="268" t="n"/>
      <c r="BF121" s="268" t="n"/>
      <c r="BG121" s="268" t="n"/>
      <c r="BH121" s="268" t="n"/>
      <c r="BI121" s="268" t="n"/>
      <c r="BJ121" s="268" t="n"/>
      <c r="BK121" s="268" t="n"/>
      <c r="BL121" s="268" t="n"/>
      <c r="BM121" s="268" t="n"/>
      <c r="BN121" s="268" t="n"/>
      <c r="BO121" s="268" t="n"/>
      <c r="BP121" s="268" t="n"/>
      <c r="BQ121" s="268" t="n"/>
      <c r="BR121" s="268" t="n"/>
      <c r="BS121" s="268" t="n"/>
      <c r="BT121" s="268" t="n"/>
      <c r="BU121" s="268" t="n"/>
      <c r="BV121" s="268" t="n"/>
      <c r="BW121" s="268" t="n"/>
      <c r="BX121" s="268" t="n"/>
      <c r="BY121" s="268" t="n"/>
      <c r="BZ121" s="268" t="n"/>
      <c r="CA121" s="268" t="n"/>
      <c r="CB121" s="268" t="n"/>
      <c r="CC121" s="268" t="n"/>
      <c r="CD121" s="268" t="n"/>
      <c r="CE121" s="268" t="n"/>
      <c r="CF121" s="268" t="n"/>
      <c r="CG121" s="268" t="n"/>
      <c r="CH121" s="268" t="n"/>
      <c r="CI121" s="268" t="n"/>
      <c r="CJ121" s="268" t="n"/>
      <c r="CK121" s="268" t="n"/>
      <c r="CL121" s="268" t="n"/>
      <c r="CM121" s="268" t="n"/>
      <c r="CN121" s="268" t="n"/>
      <c r="CO121" s="268" t="n"/>
      <c r="CP121" s="268" t="n"/>
      <c r="CQ121" s="268" t="n"/>
      <c r="CR121" s="268" t="n"/>
      <c r="CS121" s="268" t="n"/>
      <c r="CT121" s="268" t="n"/>
      <c r="CU121" s="268" t="n"/>
      <c r="CV121" s="268" t="n"/>
      <c r="CW121" s="268" t="n"/>
      <c r="CX121" s="268" t="n"/>
      <c r="CY121" s="268" t="n"/>
    </row>
    <row r="122" hidden="1" outlineLevel="1" ht="12.75" customHeight="1" s="255">
      <c r="C122" s="312" t="n"/>
      <c r="D122" s="268" t="n"/>
      <c r="E122" s="268" t="n"/>
      <c r="F122" s="268" t="n"/>
      <c r="G122" s="268" t="n"/>
      <c r="H122" s="268" t="n"/>
      <c r="I122" s="268" t="n"/>
      <c r="J122" s="268" t="n"/>
      <c r="K122" s="268" t="n"/>
      <c r="L122" s="268" t="n"/>
      <c r="M122" s="268" t="n"/>
      <c r="N122" s="268" t="n"/>
      <c r="O122" s="268" t="n"/>
      <c r="P122" s="268" t="n"/>
      <c r="Q122" s="268" t="n"/>
      <c r="R122" s="268" t="n"/>
      <c r="S122" s="268" t="n"/>
      <c r="T122" s="268" t="n"/>
      <c r="U122" s="268" t="n"/>
      <c r="V122" s="268" t="n"/>
      <c r="W122" s="268" t="n"/>
      <c r="X122" s="268" t="n"/>
      <c r="Y122" s="268" t="n"/>
      <c r="Z122" s="268" t="n"/>
      <c r="AA122" s="268" t="n"/>
      <c r="AB122" s="268" t="n"/>
      <c r="AC122" s="268" t="n"/>
      <c r="AD122" s="268" t="n"/>
      <c r="AE122" s="268" t="n"/>
      <c r="AF122" s="268" t="n"/>
      <c r="AG122" s="268" t="n"/>
      <c r="AH122" s="268" t="n"/>
      <c r="AI122" s="268" t="n"/>
      <c r="AJ122" s="268" t="n"/>
      <c r="AK122" s="268" t="n"/>
      <c r="AL122" s="268" t="n"/>
      <c r="AM122" s="268" t="n"/>
      <c r="AN122" s="268" t="n"/>
      <c r="AO122" s="268" t="n"/>
      <c r="AP122" s="268" t="n"/>
      <c r="AQ122" s="268" t="n"/>
      <c r="AR122" s="268" t="n"/>
      <c r="AS122" s="268" t="n"/>
      <c r="AT122" s="268" t="n"/>
      <c r="AU122" s="268" t="n"/>
      <c r="AV122" s="268" t="n"/>
      <c r="AW122" s="268" t="n"/>
      <c r="AX122" s="268" t="n"/>
      <c r="AY122" s="268" t="n"/>
      <c r="AZ122" s="268" t="n"/>
      <c r="BA122" s="268" t="n"/>
      <c r="BB122" s="268" t="n"/>
      <c r="BC122" s="268" t="n"/>
      <c r="BD122" s="268" t="n"/>
      <c r="BE122" s="268" t="n"/>
      <c r="BF122" s="268" t="n"/>
      <c r="BG122" s="268" t="n"/>
      <c r="BH122" s="268" t="n"/>
      <c r="BI122" s="268" t="n"/>
      <c r="BJ122" s="268" t="n"/>
      <c r="BK122" s="268" t="n"/>
      <c r="BL122" s="268" t="n"/>
      <c r="BM122" s="268" t="n"/>
      <c r="BN122" s="268" t="n"/>
      <c r="BO122" s="268" t="n"/>
      <c r="BP122" s="268" t="n"/>
      <c r="BQ122" s="268" t="n"/>
      <c r="BR122" s="268" t="n"/>
      <c r="BS122" s="268" t="n"/>
      <c r="BT122" s="268" t="n"/>
      <c r="BU122" s="268" t="n"/>
      <c r="BV122" s="268" t="n"/>
      <c r="BW122" s="268" t="n"/>
      <c r="BX122" s="268" t="n"/>
      <c r="BY122" s="268" t="n"/>
      <c r="BZ122" s="268" t="n"/>
      <c r="CA122" s="268" t="n"/>
      <c r="CB122" s="268" t="n"/>
      <c r="CC122" s="268" t="n"/>
      <c r="CD122" s="268" t="n"/>
      <c r="CE122" s="268" t="n"/>
      <c r="CF122" s="268" t="n"/>
      <c r="CG122" s="268" t="n"/>
      <c r="CH122" s="268" t="n"/>
      <c r="CI122" s="268" t="n"/>
      <c r="CJ122" s="268" t="n"/>
      <c r="CK122" s="268" t="n"/>
      <c r="CL122" s="268" t="n"/>
      <c r="CM122" s="268" t="n"/>
      <c r="CN122" s="268" t="n"/>
      <c r="CO122" s="268" t="n"/>
      <c r="CP122" s="268" t="n"/>
      <c r="CQ122" s="268" t="n"/>
      <c r="CR122" s="268" t="n"/>
      <c r="CS122" s="268" t="n"/>
      <c r="CT122" s="268" t="n"/>
      <c r="CU122" s="268" t="n"/>
      <c r="CV122" s="268" t="n"/>
      <c r="CW122" s="268" t="n"/>
      <c r="CX122" s="268" t="n"/>
      <c r="CY122" s="268" t="n"/>
    </row>
    <row r="123" ht="12.75" customHeight="1" s="255">
      <c r="C123" s="270" t="inlineStr">
        <is>
          <t>Nonoperating Income / (Loss)</t>
        </is>
      </c>
      <c r="D123" s="301">
        <f>INDEX('Inputs (2)'!$D$9:$AL$9,MATCH(D$7,'Inputs (2)'!$D$2:$AL$2,0))</f>
        <v>-50</v>
      </c>
      <c r="E123" s="301">
        <f>INDEX('Inputs (2)'!$D$9:$AL$9,MATCH(E$7,'Inputs (2)'!$D$2:$AL$2,0))</f>
        <v>-7</v>
      </c>
      <c r="F123" s="301">
        <f>INDEX('Inputs (2)'!$D$9:$AL$9,MATCH(F$7,'Inputs (2)'!$D$2:$AL$2,0))</f>
        <v>111</v>
      </c>
      <c r="G123" s="301">
        <f>INDEX('Inputs (2)'!$D$9:$AL$9,MATCH(G$7,'Inputs (2)'!$D$2:$AL$2,0))</f>
        <v>197</v>
      </c>
      <c r="H123" s="268">
        <f>SUM(D123:G123)</f>
        <v>251</v>
      </c>
      <c r="I123" s="301">
        <f>INDEX('Inputs (2)'!$D$9:$AL$9,MATCH(I$7,'Inputs (2)'!$D$2:$AL$2,0))</f>
        <v>306</v>
      </c>
      <c r="J123" s="301">
        <f>INDEX('Inputs (2)'!$D$9:$AL$9,MATCH(J$7,'Inputs (2)'!$D$2:$AL$2,0))</f>
        <v>105</v>
      </c>
      <c r="K123" s="301">
        <f>INDEX('Inputs (2)'!$D$9:$AL$9,MATCH(K$7,'Inputs (2)'!$D$2:$AL$2,0))</f>
        <v>263</v>
      </c>
      <c r="L123" s="301">
        <f>INDEX('Inputs (2)'!$D$9:$AL$9,MATCH(L$7,'Inputs (2)'!$D$2:$AL$2,0))</f>
        <v>4</v>
      </c>
      <c r="M123" s="268">
        <f>SUM(I123:L123)</f>
        <v>678</v>
      </c>
      <c r="N123" s="301">
        <f>INDEX('Inputs (2)'!$D$9:$AL$9,MATCH(N$7,'Inputs (2)'!$D$2:$AL$2,0))</f>
        <v>19</v>
      </c>
      <c r="O123" s="301">
        <f>INDEX('Inputs (2)'!$D$9:$AL$9,MATCH(O$7,'Inputs (2)'!$D$2:$AL$2,0))</f>
        <v>-85</v>
      </c>
      <c r="P123" s="301">
        <f>INDEX('Inputs (2)'!$D$9:$AL$9,MATCH(P$7,'Inputs (2)'!$D$2:$AL$2,0))</f>
        <v>48</v>
      </c>
      <c r="Q123" s="301">
        <f>INDEX('Inputs (2)'!$D$9:$AL$9,MATCH(Q$7,'Inputs (2)'!$D$2:$AL$2,0))</f>
        <v>174</v>
      </c>
      <c r="R123" s="268">
        <f>SUM(N123:Q123)</f>
        <v>156</v>
      </c>
      <c r="S123" s="301">
        <f>INDEX('Inputs (2)'!$D$9:$AL$9,MATCH(S$7,'Inputs (2)'!$D$2:$AL$2,0))</f>
        <v>126</v>
      </c>
      <c r="T123" s="301">
        <f>INDEX('Inputs (2)'!$D$9:$AL$9,MATCH(T$7,'Inputs (2)'!$D$2:$AL$2,0))</f>
        <v>11</v>
      </c>
      <c r="U123" s="301">
        <f>INDEX('Inputs (2)'!$D$9:$AL$9,MATCH(U$7,'Inputs (2)'!$D$2:$AL$2,0))</f>
        <v>38</v>
      </c>
      <c r="V123" s="301">
        <f>INDEX('Inputs (2)'!$D$9:$AL$9,MATCH(V$7,'Inputs (2)'!$D$2:$AL$2,0))</f>
        <v>262</v>
      </c>
      <c r="W123" s="268">
        <f>SUM(S123:V123)</f>
        <v>437</v>
      </c>
      <c r="X123" s="301">
        <f>INDEX('Inputs (2)'!$D$9:$AL$9,MATCH(X$7,'Inputs (2)'!$D$2:$AL$2,0))</f>
        <v>40</v>
      </c>
      <c r="Y123" s="301">
        <f>INDEX('Inputs (2)'!$D$9:$AL$9,MATCH(Y$7,'Inputs (2)'!$D$2:$AL$2,0))</f>
        <v>11</v>
      </c>
      <c r="Z123" s="301">
        <f>INDEX('Inputs (2)'!$D$9:$AL$9,MATCH(Z$7,'Inputs (2)'!$D$2:$AL$2,0))</f>
        <v>114</v>
      </c>
      <c r="AA123" s="301">
        <f>INDEX('Inputs (2)'!$D$9:$AL$9,MATCH(AA$7,'Inputs (2)'!$D$2:$AL$2,0))</f>
        <v>213</v>
      </c>
      <c r="AB123" s="268">
        <f>SUM(X123:AA123)</f>
        <v>378</v>
      </c>
      <c r="AC123" s="301">
        <f>INDEX('Inputs (2)'!$D$9:$AL$9,MATCH(AC$7,'Inputs (2)'!$D$2:$AL$2,0))</f>
        <v>171</v>
      </c>
      <c r="AD123" s="301">
        <f>INDEX('Inputs (2)'!$D$9:$AL$9,MATCH(AD$7,'Inputs (2)'!$D$2:$AL$2,0))</f>
        <v>280</v>
      </c>
      <c r="AE123" s="301">
        <f>INDEX('Inputs (2)'!$D$9:$AL$9,MATCH(AE$7,'Inputs (2)'!$D$2:$AL$2,0))</f>
        <v>87</v>
      </c>
      <c r="AF123" s="301">
        <f>INDEX('Inputs (2)'!$D$9:$AL$9,MATCH(AF$7,'Inputs (2)'!$D$2:$AL$2,0))</f>
        <v>-72</v>
      </c>
      <c r="AG123" s="268">
        <f>SUM(AC123:AF123)</f>
        <v>466</v>
      </c>
      <c r="AH123" s="268">
        <f>INDEX('Inputs (2)'!$D$9:$AL$9,MATCH(AH$7,'Inputs (2)'!$D$2:$AL$2,0))</f>
        <v>7</v>
      </c>
      <c r="AI123" s="268">
        <f>INDEX('Inputs (2)'!$D$9:$AL$9,MATCH(AI$7,'Inputs (2)'!$D$2:$AL$2,0))</f>
        <v>65</v>
      </c>
      <c r="AJ123" s="268">
        <f>AH123</f>
        <v>7</v>
      </c>
      <c r="AK123" s="268">
        <f>AI123</f>
        <v>65</v>
      </c>
      <c r="AL123" s="268">
        <f>SUM(AH123:AK123)</f>
        <v>144</v>
      </c>
      <c r="AM123" s="268">
        <f>AK123</f>
        <v>65</v>
      </c>
      <c r="AN123" s="268">
        <f>AL123</f>
        <v>144</v>
      </c>
      <c r="AO123" s="268">
        <f>AM123</f>
        <v>65</v>
      </c>
      <c r="AP123" s="268">
        <f>AN123</f>
        <v>144</v>
      </c>
      <c r="AQ123" s="268">
        <f>SUM(AM123:AP123)</f>
        <v>418</v>
      </c>
      <c r="AR123" s="268">
        <f>AP123</f>
        <v>144</v>
      </c>
      <c r="AS123" s="268">
        <f>AQ123</f>
        <v>418</v>
      </c>
      <c r="AT123" s="268">
        <f>AR123</f>
        <v>144</v>
      </c>
      <c r="AU123" s="268">
        <f>AS123</f>
        <v>418</v>
      </c>
      <c r="AV123" s="268">
        <f>SUM(AR123:AU123)</f>
        <v>1124</v>
      </c>
      <c r="AW123" s="268">
        <f>AU123</f>
        <v>418</v>
      </c>
      <c r="AX123" s="268">
        <f>AV123</f>
        <v>1124</v>
      </c>
      <c r="AY123" s="268">
        <f>AW123</f>
        <v>418</v>
      </c>
      <c r="AZ123" s="268">
        <f>AX123</f>
        <v>1124</v>
      </c>
      <c r="BA123" s="268">
        <f>SUM(AW123:AZ123)</f>
        <v>3084</v>
      </c>
      <c r="BB123" s="268">
        <f>AZ123</f>
        <v>1124</v>
      </c>
      <c r="BC123" s="268">
        <f>BA123</f>
        <v>3084</v>
      </c>
      <c r="BD123" s="268">
        <f>BB123</f>
        <v>1124</v>
      </c>
      <c r="BE123" s="268">
        <f>BC123</f>
        <v>3084</v>
      </c>
      <c r="BF123" s="268">
        <f>SUM(BB123:BE123)</f>
        <v>8416</v>
      </c>
      <c r="BG123" s="268">
        <f>BE123</f>
        <v>3084</v>
      </c>
      <c r="BH123" s="268">
        <f>BF123</f>
        <v>8416</v>
      </c>
      <c r="BI123" s="268">
        <f>BG123</f>
        <v>3084</v>
      </c>
      <c r="BJ123" s="268">
        <f>BH123</f>
        <v>8416</v>
      </c>
      <c r="BK123" s="268">
        <f>SUM(BG123:BJ123)</f>
        <v>23000</v>
      </c>
      <c r="BL123" s="268">
        <f>BJ123</f>
        <v>8416</v>
      </c>
      <c r="BM123" s="268">
        <f>BK123</f>
        <v>23000</v>
      </c>
      <c r="BN123" s="268">
        <f>BL123</f>
        <v>8416</v>
      </c>
      <c r="BO123" s="268">
        <f>BM123</f>
        <v>23000</v>
      </c>
      <c r="BP123" s="268">
        <f>SUM(BL123:BO123)</f>
        <v>62832</v>
      </c>
      <c r="BQ123" s="268">
        <f>BO123</f>
        <v>23000</v>
      </c>
      <c r="BR123" s="268">
        <f>BP123</f>
        <v>62832</v>
      </c>
      <c r="BS123" s="268">
        <f>BQ123</f>
        <v>23000</v>
      </c>
      <c r="BT123" s="268">
        <f>BR123</f>
        <v>62832</v>
      </c>
      <c r="BU123" s="268">
        <f>SUM(BQ123:BT123)</f>
        <v>171664</v>
      </c>
      <c r="BV123" s="268">
        <f>BT123</f>
        <v>62832</v>
      </c>
      <c r="BW123" s="268">
        <f>BU123</f>
        <v>171664</v>
      </c>
      <c r="BX123" s="268">
        <f>BV123</f>
        <v>62832</v>
      </c>
      <c r="BY123" s="268">
        <f>BW123</f>
        <v>171664</v>
      </c>
      <c r="BZ123" s="268">
        <f>SUM(BV123:BY123)</f>
        <v>468992</v>
      </c>
      <c r="CA123" s="268">
        <f>BY123</f>
        <v>171664</v>
      </c>
      <c r="CB123" s="268">
        <f>BZ123</f>
        <v>468992</v>
      </c>
      <c r="CC123" s="268">
        <f>CA123</f>
        <v>171664</v>
      </c>
      <c r="CD123" s="268">
        <f>CB123</f>
        <v>468992</v>
      </c>
      <c r="CE123" s="268">
        <f>SUM(CA123:CD123)</f>
        <v>1281312</v>
      </c>
      <c r="CF123" s="268">
        <f>CD123</f>
        <v>468992</v>
      </c>
      <c r="CG123" s="268">
        <f>CE123</f>
        <v>1281312</v>
      </c>
      <c r="CH123" s="268">
        <f>CF123</f>
        <v>468992</v>
      </c>
      <c r="CI123" s="268">
        <f>CG123</f>
        <v>1281312</v>
      </c>
      <c r="CJ123" s="268">
        <f>SUM(CF123:CI123)</f>
        <v>3500608</v>
      </c>
      <c r="CK123" s="268">
        <f>CI123</f>
        <v>1281312</v>
      </c>
      <c r="CL123" s="268">
        <f>CJ123</f>
        <v>3500608</v>
      </c>
      <c r="CM123" s="268">
        <f>CK123</f>
        <v>1281312</v>
      </c>
      <c r="CN123" s="268">
        <f>CL123</f>
        <v>3500608</v>
      </c>
      <c r="CO123" s="268">
        <f>SUM(CK123:CN123)</f>
        <v>9563840</v>
      </c>
      <c r="CP123" s="268">
        <f>CN123</f>
        <v>3500608</v>
      </c>
      <c r="CQ123" s="268">
        <f>CO123</f>
        <v>9563840</v>
      </c>
      <c r="CR123" s="268">
        <f>CP123</f>
        <v>3500608</v>
      </c>
      <c r="CS123" s="268">
        <f>CQ123</f>
        <v>9563840</v>
      </c>
      <c r="CT123" s="268">
        <f>SUM(CP123:CS123)</f>
        <v>26128896</v>
      </c>
      <c r="CU123" s="268">
        <f>CS123</f>
        <v>9563840</v>
      </c>
      <c r="CV123" s="268">
        <f>CT123</f>
        <v>26128896</v>
      </c>
      <c r="CW123" s="268">
        <f>CU123</f>
        <v>9563840</v>
      </c>
      <c r="CX123" s="268">
        <f>CV123</f>
        <v>26128896</v>
      </c>
      <c r="CY123" s="268">
        <f>SUM(CU123:CX123)</f>
        <v>71385472</v>
      </c>
    </row>
    <row r="124" hidden="1" outlineLevel="1" ht="12.75" customHeight="1" s="255">
      <c r="C124" s="312" t="n"/>
      <c r="D124" s="268" t="n"/>
      <c r="E124" s="268" t="n"/>
      <c r="F124" s="268" t="n"/>
      <c r="G124" s="268" t="n"/>
      <c r="H124" s="268" t="n"/>
      <c r="I124" s="268" t="n"/>
      <c r="J124" s="268" t="n"/>
      <c r="K124" s="268" t="n"/>
      <c r="L124" s="268" t="n"/>
      <c r="M124" s="268" t="n"/>
      <c r="N124" s="268" t="n"/>
      <c r="O124" s="268" t="n"/>
      <c r="P124" s="268" t="n"/>
      <c r="Q124" s="268" t="n"/>
      <c r="R124" s="268" t="n"/>
      <c r="S124" s="268" t="n"/>
      <c r="T124" s="268" t="n"/>
      <c r="U124" s="268" t="n"/>
      <c r="V124" s="268" t="n"/>
      <c r="W124" s="268" t="n"/>
      <c r="X124" s="268" t="n"/>
      <c r="Y124" s="268" t="n"/>
      <c r="Z124" s="268" t="n"/>
      <c r="AA124" s="268" t="n"/>
      <c r="AB124" s="268" t="n"/>
      <c r="AC124" s="268" t="n"/>
      <c r="AD124" s="268" t="n"/>
      <c r="AE124" s="268" t="n"/>
      <c r="AF124" s="268" t="n"/>
      <c r="AG124" s="268" t="n"/>
      <c r="AH124" s="268" t="n"/>
      <c r="AI124" s="268" t="n"/>
      <c r="AJ124" s="268" t="n"/>
      <c r="AK124" s="268" t="n"/>
      <c r="AL124" s="268" t="n"/>
      <c r="AM124" s="268" t="n"/>
      <c r="AN124" s="268" t="n"/>
      <c r="AO124" s="268" t="n"/>
      <c r="AP124" s="268" t="n"/>
      <c r="AQ124" s="268" t="n"/>
      <c r="AR124" s="268" t="n"/>
      <c r="AS124" s="268" t="n"/>
      <c r="AT124" s="268" t="n"/>
      <c r="AU124" s="268" t="n"/>
      <c r="AV124" s="268" t="n"/>
      <c r="AW124" s="268" t="n"/>
      <c r="AX124" s="268" t="n"/>
      <c r="AY124" s="268" t="n"/>
      <c r="AZ124" s="268" t="n"/>
      <c r="BA124" s="268" t="n"/>
      <c r="BB124" s="268" t="n"/>
      <c r="BC124" s="268" t="n"/>
      <c r="BD124" s="268" t="n"/>
      <c r="BE124" s="268" t="n"/>
      <c r="BF124" s="268" t="n"/>
      <c r="BG124" s="268" t="n"/>
      <c r="BH124" s="268" t="n"/>
      <c r="BI124" s="268" t="n"/>
      <c r="BJ124" s="268" t="n"/>
      <c r="BK124" s="268" t="n"/>
      <c r="BL124" s="268" t="n"/>
      <c r="BM124" s="268" t="n"/>
      <c r="BN124" s="268" t="n"/>
      <c r="BO124" s="268" t="n"/>
      <c r="BP124" s="268" t="n"/>
      <c r="BQ124" s="268" t="n"/>
      <c r="BR124" s="268" t="n"/>
      <c r="BS124" s="268" t="n"/>
      <c r="BT124" s="268" t="n"/>
      <c r="BU124" s="268" t="n"/>
      <c r="BV124" s="268" t="n"/>
      <c r="BW124" s="268" t="n"/>
      <c r="BX124" s="268" t="n"/>
      <c r="BY124" s="268" t="n"/>
      <c r="BZ124" s="268" t="n"/>
      <c r="CA124" s="268" t="n"/>
      <c r="CB124" s="268" t="n"/>
      <c r="CC124" s="268" t="n"/>
      <c r="CD124" s="268" t="n"/>
      <c r="CE124" s="268" t="n"/>
      <c r="CF124" s="268" t="n"/>
      <c r="CG124" s="268" t="n"/>
      <c r="CH124" s="268" t="n"/>
      <c r="CI124" s="268" t="n"/>
      <c r="CJ124" s="268" t="n"/>
      <c r="CK124" s="268" t="n"/>
      <c r="CL124" s="268" t="n"/>
      <c r="CM124" s="268" t="n"/>
      <c r="CN124" s="268" t="n"/>
      <c r="CO124" s="268" t="n"/>
      <c r="CP124" s="268" t="n"/>
      <c r="CQ124" s="268" t="n"/>
      <c r="CR124" s="268" t="n"/>
      <c r="CS124" s="268" t="n"/>
      <c r="CT124" s="268" t="n"/>
      <c r="CU124" s="268" t="n"/>
      <c r="CV124" s="268" t="n"/>
      <c r="CW124" s="268" t="n"/>
      <c r="CX124" s="268" t="n"/>
      <c r="CY124" s="268" t="n"/>
    </row>
    <row r="125" hidden="1" outlineLevel="1" ht="12.75" customHeight="1" s="255">
      <c r="C125" s="305" t="inlineStr">
        <is>
          <t>Resultado Não Recorrente</t>
        </is>
      </c>
      <c r="D125" s="267" t="n"/>
      <c r="E125" s="267" t="n"/>
      <c r="F125" s="267" t="n"/>
      <c r="G125" s="267" t="n"/>
      <c r="H125" s="268" t="n"/>
      <c r="I125" s="267" t="n"/>
      <c r="J125" s="267" t="n"/>
      <c r="K125" s="267" t="n"/>
      <c r="L125" s="267" t="n"/>
      <c r="M125" s="268" t="n"/>
      <c r="N125" s="267" t="n"/>
      <c r="O125" s="267" t="n"/>
      <c r="P125" s="267" t="n"/>
      <c r="Q125" s="267" t="n"/>
      <c r="R125" s="268" t="n"/>
      <c r="S125" s="267" t="n"/>
      <c r="T125" s="267" t="n"/>
      <c r="U125" s="267" t="n"/>
      <c r="V125" s="267" t="n"/>
      <c r="W125" s="268" t="n"/>
      <c r="X125" s="267" t="n"/>
      <c r="Y125" s="267" t="n"/>
      <c r="Z125" s="267" t="n"/>
      <c r="AA125" s="267" t="n"/>
      <c r="AB125" s="268" t="n"/>
      <c r="AC125" s="267" t="n"/>
      <c r="AD125" s="267" t="n"/>
      <c r="AE125" s="267" t="n"/>
      <c r="AF125" s="267" t="n"/>
      <c r="AG125" s="268" t="n"/>
      <c r="AH125" s="268" t="n"/>
      <c r="AI125" s="268" t="n"/>
      <c r="AJ125" s="268" t="n"/>
      <c r="AK125" s="268" t="n"/>
      <c r="AL125" s="268" t="n"/>
      <c r="AM125" s="268" t="n"/>
      <c r="AN125" s="268" t="n"/>
      <c r="AO125" s="268" t="n"/>
      <c r="AP125" s="268" t="n"/>
      <c r="AQ125" s="268" t="n"/>
      <c r="AR125" s="268" t="n"/>
      <c r="AS125" s="268" t="n"/>
      <c r="AT125" s="268" t="n"/>
      <c r="AU125" s="268" t="n"/>
      <c r="AV125" s="268" t="n"/>
      <c r="AW125" s="268" t="n"/>
      <c r="AX125" s="268" t="n"/>
      <c r="AY125" s="268" t="n"/>
      <c r="AZ125" s="268" t="n"/>
      <c r="BA125" s="268" t="n"/>
      <c r="BB125" s="268" t="n"/>
      <c r="BC125" s="268" t="n"/>
      <c r="BD125" s="268" t="n"/>
      <c r="BE125" s="268" t="n"/>
      <c r="BF125" s="268" t="n"/>
      <c r="BG125" s="268" t="n"/>
      <c r="BH125" s="268" t="n"/>
      <c r="BI125" s="268" t="n"/>
      <c r="BJ125" s="268" t="n"/>
      <c r="BK125" s="268" t="n"/>
      <c r="BL125" s="268" t="n"/>
      <c r="BM125" s="268" t="n"/>
      <c r="BN125" s="268" t="n"/>
      <c r="BO125" s="268" t="n"/>
      <c r="BP125" s="268" t="n"/>
      <c r="BQ125" s="268" t="n"/>
      <c r="BR125" s="268" t="n"/>
      <c r="BS125" s="268" t="n"/>
      <c r="BT125" s="268" t="n"/>
      <c r="BU125" s="268" t="n"/>
      <c r="BV125" s="268" t="n"/>
      <c r="BW125" s="268" t="n"/>
      <c r="BX125" s="268" t="n"/>
      <c r="BY125" s="268" t="n"/>
      <c r="BZ125" s="268" t="n"/>
      <c r="CA125" s="268" t="n"/>
      <c r="CB125" s="268" t="n"/>
      <c r="CC125" s="268" t="n"/>
      <c r="CD125" s="268" t="n"/>
      <c r="CE125" s="268" t="n"/>
      <c r="CF125" s="268" t="n"/>
      <c r="CG125" s="268" t="n"/>
      <c r="CH125" s="268" t="n"/>
      <c r="CI125" s="268" t="n"/>
      <c r="CJ125" s="268" t="n"/>
      <c r="CK125" s="268" t="n"/>
      <c r="CL125" s="268" t="n"/>
      <c r="CM125" s="268" t="n"/>
      <c r="CN125" s="268" t="n"/>
      <c r="CO125" s="268" t="n"/>
      <c r="CP125" s="268" t="n"/>
      <c r="CQ125" s="268" t="n"/>
      <c r="CR125" s="268" t="n"/>
      <c r="CS125" s="268" t="n"/>
      <c r="CT125" s="268" t="n"/>
      <c r="CU125" s="268" t="n"/>
      <c r="CV125" s="268" t="n"/>
      <c r="CW125" s="268" t="n"/>
      <c r="CX125" s="268" t="n"/>
      <c r="CY125" s="268" t="n"/>
    </row>
    <row r="126" hidden="1" outlineLevel="1" ht="12.75" customHeight="1" s="255">
      <c r="C126" s="305" t="inlineStr">
        <is>
          <t>Plano de Opção de Compra de Ações</t>
        </is>
      </c>
      <c r="D126" s="267" t="n"/>
      <c r="E126" s="267" t="n"/>
      <c r="F126" s="267" t="n"/>
      <c r="G126" s="267" t="n"/>
      <c r="H126" s="268" t="n"/>
      <c r="I126" s="267" t="n"/>
      <c r="J126" s="267" t="n"/>
      <c r="K126" s="267" t="n"/>
      <c r="L126" s="267" t="n"/>
      <c r="M126" s="268" t="n"/>
      <c r="N126" s="267" t="n"/>
      <c r="O126" s="267" t="n"/>
      <c r="P126" s="267" t="n"/>
      <c r="Q126" s="267" t="n"/>
      <c r="R126" s="268" t="n"/>
      <c r="S126" s="267" t="n"/>
      <c r="T126" s="267" t="n"/>
      <c r="U126" s="267" t="n"/>
      <c r="V126" s="267" t="n"/>
      <c r="W126" s="268" t="n"/>
      <c r="X126" s="267" t="n"/>
      <c r="Y126" s="267" t="n"/>
      <c r="Z126" s="267" t="n"/>
      <c r="AA126" s="267" t="n"/>
      <c r="AB126" s="268" t="n"/>
      <c r="AC126" s="267" t="n"/>
      <c r="AD126" s="267" t="n"/>
      <c r="AE126" s="267" t="n"/>
      <c r="AF126" s="267" t="n"/>
      <c r="AG126" s="268" t="n"/>
      <c r="AH126" s="268" t="n"/>
      <c r="AI126" s="268" t="n"/>
      <c r="AJ126" s="268" t="n"/>
      <c r="AK126" s="268" t="n"/>
      <c r="AL126" s="268" t="n"/>
      <c r="AM126" s="268" t="n"/>
      <c r="AN126" s="268" t="n"/>
      <c r="AO126" s="268" t="n"/>
      <c r="AP126" s="268" t="n"/>
      <c r="AQ126" s="268" t="n"/>
      <c r="AR126" s="268" t="n"/>
      <c r="AS126" s="268" t="n"/>
      <c r="AT126" s="268" t="n"/>
      <c r="AU126" s="268" t="n"/>
      <c r="AV126" s="268" t="n"/>
      <c r="AW126" s="268" t="n"/>
      <c r="AX126" s="268" t="n"/>
      <c r="AY126" s="268" t="n"/>
      <c r="AZ126" s="268" t="n"/>
      <c r="BA126" s="268" t="n"/>
      <c r="BB126" s="268" t="n"/>
      <c r="BC126" s="268" t="n"/>
      <c r="BD126" s="268" t="n"/>
      <c r="BE126" s="268" t="n"/>
      <c r="BF126" s="268" t="n"/>
      <c r="BG126" s="268" t="n"/>
      <c r="BH126" s="268" t="n"/>
      <c r="BI126" s="268" t="n"/>
      <c r="BJ126" s="268" t="n"/>
      <c r="BK126" s="268" t="n"/>
      <c r="BL126" s="268" t="n"/>
      <c r="BM126" s="268" t="n"/>
      <c r="BN126" s="268" t="n"/>
      <c r="BO126" s="268" t="n"/>
      <c r="BP126" s="268" t="n"/>
      <c r="BQ126" s="268" t="n"/>
      <c r="BR126" s="268" t="n"/>
      <c r="BS126" s="268" t="n"/>
      <c r="BT126" s="268" t="n"/>
      <c r="BU126" s="268" t="n"/>
      <c r="BV126" s="268" t="n"/>
      <c r="BW126" s="268" t="n"/>
      <c r="BX126" s="268" t="n"/>
      <c r="BY126" s="268" t="n"/>
      <c r="BZ126" s="268" t="n"/>
      <c r="CA126" s="268" t="n"/>
      <c r="CB126" s="268" t="n"/>
      <c r="CC126" s="268" t="n"/>
      <c r="CD126" s="268" t="n"/>
      <c r="CE126" s="268" t="n"/>
      <c r="CF126" s="268" t="n"/>
      <c r="CG126" s="268" t="n"/>
      <c r="CH126" s="268" t="n"/>
      <c r="CI126" s="268" t="n"/>
      <c r="CJ126" s="268" t="n"/>
      <c r="CK126" s="268" t="n"/>
      <c r="CL126" s="268" t="n"/>
      <c r="CM126" s="268" t="n"/>
      <c r="CN126" s="268" t="n"/>
      <c r="CO126" s="268" t="n"/>
      <c r="CP126" s="268" t="n"/>
      <c r="CQ126" s="268" t="n"/>
      <c r="CR126" s="268" t="n"/>
      <c r="CS126" s="268" t="n"/>
      <c r="CT126" s="268" t="n"/>
      <c r="CU126" s="268" t="n"/>
      <c r="CV126" s="268" t="n"/>
      <c r="CW126" s="268" t="n"/>
      <c r="CX126" s="268" t="n"/>
      <c r="CY126" s="268" t="n"/>
    </row>
    <row r="127" hidden="1" outlineLevel="1" ht="12.75" customHeight="1" s="255">
      <c r="C127" s="305" t="inlineStr">
        <is>
          <t>Baixa Imobilizado</t>
        </is>
      </c>
      <c r="D127" s="267" t="n"/>
      <c r="E127" s="267" t="n"/>
      <c r="F127" s="267" t="n"/>
      <c r="G127" s="267" t="n"/>
      <c r="H127" s="268" t="n"/>
      <c r="I127" s="267" t="n"/>
      <c r="J127" s="267" t="n"/>
      <c r="K127" s="267" t="n"/>
      <c r="L127" s="267" t="n"/>
      <c r="M127" s="268" t="n"/>
      <c r="N127" s="267" t="n"/>
      <c r="O127" s="267" t="n"/>
      <c r="P127" s="267" t="n"/>
      <c r="Q127" s="267" t="n"/>
      <c r="R127" s="268" t="n"/>
      <c r="S127" s="267" t="n"/>
      <c r="T127" s="267" t="n"/>
      <c r="U127" s="267" t="n"/>
      <c r="V127" s="267" t="n"/>
      <c r="W127" s="268" t="n"/>
      <c r="X127" s="267" t="n"/>
      <c r="Y127" s="267" t="n"/>
      <c r="Z127" s="267" t="n"/>
      <c r="AA127" s="267" t="n"/>
      <c r="AB127" s="268" t="n"/>
      <c r="AC127" s="267" t="n"/>
      <c r="AD127" s="267" t="n"/>
      <c r="AE127" s="267" t="n"/>
      <c r="AF127" s="267" t="n"/>
      <c r="AG127" s="268" t="n"/>
      <c r="AH127" s="268" t="n"/>
      <c r="AI127" s="268" t="n"/>
      <c r="AJ127" s="268" t="n"/>
      <c r="AK127" s="268" t="n"/>
      <c r="AL127" s="268" t="n"/>
      <c r="AM127" s="268" t="n"/>
      <c r="AN127" s="268" t="n"/>
      <c r="AO127" s="268" t="n"/>
      <c r="AP127" s="268" t="n"/>
      <c r="AQ127" s="268" t="n"/>
      <c r="AR127" s="268" t="n"/>
      <c r="AS127" s="268" t="n"/>
      <c r="AT127" s="268" t="n"/>
      <c r="AU127" s="268" t="n"/>
      <c r="AV127" s="268" t="n"/>
      <c r="AW127" s="268" t="n"/>
      <c r="AX127" s="268" t="n"/>
      <c r="AY127" s="268" t="n"/>
      <c r="AZ127" s="268" t="n"/>
      <c r="BA127" s="268" t="n"/>
      <c r="BB127" s="268" t="n"/>
      <c r="BC127" s="268" t="n"/>
      <c r="BD127" s="268" t="n"/>
      <c r="BE127" s="268" t="n"/>
      <c r="BF127" s="268" t="n"/>
      <c r="BG127" s="268" t="n"/>
      <c r="BH127" s="268" t="n"/>
      <c r="BI127" s="268" t="n"/>
      <c r="BJ127" s="268" t="n"/>
      <c r="BK127" s="268" t="n"/>
      <c r="BL127" s="268" t="n"/>
      <c r="BM127" s="268" t="n"/>
      <c r="BN127" s="268" t="n"/>
      <c r="BO127" s="268" t="n"/>
      <c r="BP127" s="268" t="n"/>
      <c r="BQ127" s="268" t="n"/>
      <c r="BR127" s="268" t="n"/>
      <c r="BS127" s="268" t="n"/>
      <c r="BT127" s="268" t="n"/>
      <c r="BU127" s="268" t="n"/>
      <c r="BV127" s="268" t="n"/>
      <c r="BW127" s="268" t="n"/>
      <c r="BX127" s="268" t="n"/>
      <c r="BY127" s="268" t="n"/>
      <c r="BZ127" s="268" t="n"/>
      <c r="CA127" s="268" t="n"/>
      <c r="CB127" s="268" t="n"/>
      <c r="CC127" s="268" t="n"/>
      <c r="CD127" s="268" t="n"/>
      <c r="CE127" s="268" t="n"/>
      <c r="CF127" s="268" t="n"/>
      <c r="CG127" s="268" t="n"/>
      <c r="CH127" s="268" t="n"/>
      <c r="CI127" s="268" t="n"/>
      <c r="CJ127" s="268" t="n"/>
      <c r="CK127" s="268" t="n"/>
      <c r="CL127" s="268" t="n"/>
      <c r="CM127" s="268" t="n"/>
      <c r="CN127" s="268" t="n"/>
      <c r="CO127" s="268" t="n"/>
      <c r="CP127" s="268" t="n"/>
      <c r="CQ127" s="268" t="n"/>
      <c r="CR127" s="268" t="n"/>
      <c r="CS127" s="268" t="n"/>
      <c r="CT127" s="268" t="n"/>
      <c r="CU127" s="268" t="n"/>
      <c r="CV127" s="268" t="n"/>
      <c r="CW127" s="268" t="n"/>
      <c r="CX127" s="268" t="n"/>
      <c r="CY127" s="268" t="n"/>
    </row>
    <row r="128" hidden="1" outlineLevel="1" ht="12.75" customHeight="1" s="255">
      <c r="C128" s="312" t="n"/>
      <c r="D128" s="268" t="n"/>
      <c r="E128" s="268" t="n"/>
      <c r="F128" s="268" t="n"/>
      <c r="G128" s="268" t="n"/>
      <c r="H128" s="268" t="n"/>
      <c r="I128" s="268" t="n"/>
      <c r="J128" s="268" t="n"/>
      <c r="K128" s="268" t="n"/>
      <c r="L128" s="268" t="n"/>
      <c r="M128" s="268" t="n"/>
      <c r="N128" s="268" t="n"/>
      <c r="O128" s="268" t="n"/>
      <c r="P128" s="268" t="n"/>
      <c r="Q128" s="268" t="n"/>
      <c r="R128" s="268" t="n"/>
      <c r="S128" s="268" t="n"/>
      <c r="T128" s="268" t="n"/>
      <c r="U128" s="268" t="n"/>
      <c r="V128" s="268" t="n"/>
      <c r="W128" s="268" t="n"/>
      <c r="X128" s="268" t="n"/>
      <c r="Y128" s="268" t="n"/>
      <c r="Z128" s="268" t="n"/>
      <c r="AA128" s="268" t="n"/>
      <c r="AB128" s="268" t="n"/>
      <c r="AC128" s="268" t="n"/>
      <c r="AD128" s="268" t="n"/>
      <c r="AE128" s="268" t="n"/>
      <c r="AF128" s="268" t="n"/>
      <c r="AG128" s="268" t="n"/>
      <c r="AH128" s="268" t="n"/>
      <c r="AI128" s="268" t="n"/>
      <c r="AJ128" s="268" t="n"/>
      <c r="AK128" s="268" t="n"/>
      <c r="AL128" s="268" t="n"/>
      <c r="AM128" s="268" t="n"/>
      <c r="AN128" s="268" t="n"/>
      <c r="AO128" s="268" t="n"/>
      <c r="AP128" s="268" t="n"/>
      <c r="AQ128" s="268" t="n"/>
      <c r="AR128" s="268" t="n"/>
      <c r="AS128" s="268" t="n"/>
      <c r="AT128" s="268" t="n"/>
      <c r="AU128" s="268" t="n"/>
      <c r="AV128" s="268" t="n"/>
      <c r="AW128" s="268" t="n"/>
      <c r="AX128" s="268" t="n"/>
      <c r="AY128" s="268" t="n"/>
      <c r="AZ128" s="268" t="n"/>
      <c r="BA128" s="268" t="n"/>
      <c r="BB128" s="268" t="n"/>
      <c r="BC128" s="268" t="n"/>
      <c r="BD128" s="268" t="n"/>
      <c r="BE128" s="268" t="n"/>
      <c r="BF128" s="268" t="n"/>
      <c r="BG128" s="268" t="n"/>
      <c r="BH128" s="268" t="n"/>
      <c r="BI128" s="268" t="n"/>
      <c r="BJ128" s="268" t="n"/>
      <c r="BK128" s="268" t="n"/>
      <c r="BL128" s="268" t="n"/>
      <c r="BM128" s="268" t="n"/>
      <c r="BN128" s="268" t="n"/>
      <c r="BO128" s="268" t="n"/>
      <c r="BP128" s="268" t="n"/>
      <c r="BQ128" s="268" t="n"/>
      <c r="BR128" s="268" t="n"/>
      <c r="BS128" s="268" t="n"/>
      <c r="BT128" s="268" t="n"/>
      <c r="BU128" s="268" t="n"/>
      <c r="BV128" s="268" t="n"/>
      <c r="BW128" s="268" t="n"/>
      <c r="BX128" s="268" t="n"/>
      <c r="BY128" s="268" t="n"/>
      <c r="BZ128" s="268" t="n"/>
      <c r="CA128" s="268" t="n"/>
      <c r="CB128" s="268" t="n"/>
      <c r="CC128" s="268" t="n"/>
      <c r="CD128" s="268" t="n"/>
      <c r="CE128" s="268" t="n"/>
      <c r="CF128" s="268" t="n"/>
      <c r="CG128" s="268" t="n"/>
      <c r="CH128" s="268" t="n"/>
      <c r="CI128" s="268" t="n"/>
      <c r="CJ128" s="268" t="n"/>
      <c r="CK128" s="268" t="n"/>
      <c r="CL128" s="268" t="n"/>
      <c r="CM128" s="268" t="n"/>
      <c r="CN128" s="268" t="n"/>
      <c r="CO128" s="268" t="n"/>
      <c r="CP128" s="268" t="n"/>
      <c r="CQ128" s="268" t="n"/>
      <c r="CR128" s="268" t="n"/>
      <c r="CS128" s="268" t="n"/>
      <c r="CT128" s="268" t="n"/>
      <c r="CU128" s="268" t="n"/>
      <c r="CV128" s="268" t="n"/>
      <c r="CW128" s="268" t="n"/>
      <c r="CX128" s="268" t="n"/>
      <c r="CY128" s="268" t="n"/>
    </row>
    <row r="129" hidden="1" outlineLevel="1" ht="12.75" customHeight="1" s="255">
      <c r="C129" s="312" t="n"/>
      <c r="D129" s="268" t="n"/>
      <c r="E129" s="268" t="n"/>
      <c r="F129" s="268" t="n"/>
      <c r="G129" s="268" t="n"/>
      <c r="H129" s="268" t="n"/>
      <c r="I129" s="268" t="n"/>
      <c r="J129" s="268" t="n"/>
      <c r="K129" s="268" t="n"/>
      <c r="L129" s="268" t="n"/>
      <c r="M129" s="268" t="n"/>
      <c r="N129" s="268" t="n"/>
      <c r="O129" s="268" t="n"/>
      <c r="P129" s="268" t="n"/>
      <c r="Q129" s="268" t="n"/>
      <c r="R129" s="268" t="n"/>
      <c r="S129" s="268" t="n"/>
      <c r="T129" s="268" t="n"/>
      <c r="U129" s="268" t="n"/>
      <c r="V129" s="268" t="n"/>
      <c r="W129" s="268" t="n"/>
      <c r="X129" s="268" t="n"/>
      <c r="Y129" s="268" t="n"/>
      <c r="Z129" s="268" t="n"/>
      <c r="AA129" s="268" t="n"/>
      <c r="AB129" s="268" t="n"/>
      <c r="AC129" s="268" t="n"/>
      <c r="AD129" s="268" t="n"/>
      <c r="AE129" s="268" t="n"/>
      <c r="AF129" s="268" t="n"/>
      <c r="AG129" s="268" t="n"/>
      <c r="AH129" s="268" t="n"/>
      <c r="AI129" s="268" t="n"/>
      <c r="AJ129" s="268" t="n"/>
      <c r="AK129" s="268" t="n"/>
      <c r="AL129" s="268" t="n"/>
      <c r="AM129" s="268" t="n"/>
      <c r="AN129" s="268" t="n"/>
      <c r="AO129" s="268" t="n"/>
      <c r="AP129" s="268" t="n"/>
      <c r="AQ129" s="268" t="n"/>
      <c r="AR129" s="268" t="n"/>
      <c r="AS129" s="268" t="n"/>
      <c r="AT129" s="268" t="n"/>
      <c r="AU129" s="268" t="n"/>
      <c r="AV129" s="268" t="n"/>
      <c r="AW129" s="268" t="n"/>
      <c r="AX129" s="268" t="n"/>
      <c r="AY129" s="268" t="n"/>
      <c r="AZ129" s="268" t="n"/>
      <c r="BA129" s="268" t="n"/>
      <c r="BB129" s="268" t="n"/>
      <c r="BC129" s="268" t="n"/>
      <c r="BD129" s="268" t="n"/>
      <c r="BE129" s="268" t="n"/>
      <c r="BF129" s="268" t="n"/>
      <c r="BG129" s="268" t="n"/>
      <c r="BH129" s="268" t="n"/>
      <c r="BI129" s="268" t="n"/>
      <c r="BJ129" s="268" t="n"/>
      <c r="BK129" s="268" t="n"/>
      <c r="BL129" s="268" t="n"/>
      <c r="BM129" s="268" t="n"/>
      <c r="BN129" s="268" t="n"/>
      <c r="BO129" s="268" t="n"/>
      <c r="BP129" s="268" t="n"/>
      <c r="BQ129" s="268" t="n"/>
      <c r="BR129" s="268" t="n"/>
      <c r="BS129" s="268" t="n"/>
      <c r="BT129" s="268" t="n"/>
      <c r="BU129" s="268" t="n"/>
      <c r="BV129" s="268" t="n"/>
      <c r="BW129" s="268" t="n"/>
      <c r="BX129" s="268" t="n"/>
      <c r="BY129" s="268" t="n"/>
      <c r="BZ129" s="268" t="n"/>
      <c r="CA129" s="268" t="n"/>
      <c r="CB129" s="268" t="n"/>
      <c r="CC129" s="268" t="n"/>
      <c r="CD129" s="268" t="n"/>
      <c r="CE129" s="268" t="n"/>
      <c r="CF129" s="268" t="n"/>
      <c r="CG129" s="268" t="n"/>
      <c r="CH129" s="268" t="n"/>
      <c r="CI129" s="268" t="n"/>
      <c r="CJ129" s="268" t="n"/>
      <c r="CK129" s="268" t="n"/>
      <c r="CL129" s="268" t="n"/>
      <c r="CM129" s="268" t="n"/>
      <c r="CN129" s="268" t="n"/>
      <c r="CO129" s="268" t="n"/>
      <c r="CP129" s="268" t="n"/>
      <c r="CQ129" s="268" t="n"/>
      <c r="CR129" s="268" t="n"/>
      <c r="CS129" s="268" t="n"/>
      <c r="CT129" s="268" t="n"/>
      <c r="CU129" s="268" t="n"/>
      <c r="CV129" s="268" t="n"/>
      <c r="CW129" s="268" t="n"/>
      <c r="CX129" s="268" t="n"/>
      <c r="CY129" s="268" t="n"/>
    </row>
    <row r="130" ht="12.75" customFormat="1" customHeight="1" s="287">
      <c r="A130" s="288" t="n"/>
      <c r="B130" s="259" t="n"/>
      <c r="C130" s="275" t="inlineStr">
        <is>
          <t>Pretax Income - EBT</t>
        </is>
      </c>
      <c r="D130" s="276">
        <f>SUM(D73,D74,D123)</f>
        <v>-248</v>
      </c>
      <c r="E130" s="276">
        <f>SUM(E73,E74,E123)</f>
        <v>690</v>
      </c>
      <c r="F130" s="276">
        <f>SUM(F73,F74,F123)</f>
        <v>305</v>
      </c>
      <c r="G130" s="276">
        <f>SUM(G73,G74,G123)</f>
        <v>666</v>
      </c>
      <c r="H130" s="276">
        <f>SUM(D130:G130)</f>
        <v>1413</v>
      </c>
      <c r="I130" s="276">
        <f>SUM(I73,I74,I123)</f>
        <v>1109</v>
      </c>
      <c r="J130" s="276">
        <f>SUM(J73,J74,J123)</f>
        <v>419</v>
      </c>
      <c r="K130" s="276">
        <f>SUM(K73,K74,K123)</f>
        <v>741</v>
      </c>
      <c r="L130" s="276">
        <f>SUM(L73,L74,L123)</f>
        <v>296</v>
      </c>
      <c r="M130" s="276">
        <f>SUM(I130:L130)</f>
        <v>2565</v>
      </c>
      <c r="N130" s="276">
        <f>SUM(N73,N74,N123)</f>
        <v>804</v>
      </c>
      <c r="O130" s="276">
        <f>SUM(O73,O74,O123)</f>
        <v>261</v>
      </c>
      <c r="P130" s="276">
        <f>SUM(P73,P74,P123)</f>
        <v>496</v>
      </c>
      <c r="Q130" s="276">
        <f>SUM(Q73,Q74,Q123)</f>
        <v>505</v>
      </c>
      <c r="R130" s="276">
        <f>SUM(N130:Q130)</f>
        <v>2066</v>
      </c>
      <c r="S130" s="276">
        <f>SUM(S73,S74,S123)</f>
        <v>842</v>
      </c>
      <c r="T130" s="276">
        <f>SUM(T73,T74,T123)</f>
        <v>827</v>
      </c>
      <c r="U130" s="276">
        <f>SUM(U73,U74,U123)</f>
        <v>503</v>
      </c>
      <c r="V130" s="276">
        <f>SUM(V73,V74,V123)</f>
        <v>879</v>
      </c>
      <c r="W130" s="276">
        <f>SUM(S130:V130)</f>
        <v>3051</v>
      </c>
      <c r="X130" s="276">
        <f>SUM(X73,X74,X123)</f>
        <v>369</v>
      </c>
      <c r="Y130" s="276">
        <f>SUM(Y73,Y74,Y123)</f>
        <v>103</v>
      </c>
      <c r="Z130" s="276">
        <f>SUM(Z73,Z74,Z123)</f>
        <v>322</v>
      </c>
      <c r="AA130" s="276">
        <f>SUM(AA73,AA74,AA123)</f>
        <v>730</v>
      </c>
      <c r="AB130" s="276">
        <f>SUM(X130:AA130)</f>
        <v>1524</v>
      </c>
      <c r="AC130" s="276">
        <f>SUM(AC73,AC74,AC123)</f>
        <v>284</v>
      </c>
      <c r="AD130" s="276">
        <f>SUM(AD73,AD74,AD123)</f>
        <v>494</v>
      </c>
      <c r="AE130" s="276">
        <f>SUM(AE73,AE74,AE123)</f>
        <v>270</v>
      </c>
      <c r="AF130" s="276">
        <f>SUM(AF73,AF74,AF123)</f>
        <v>86</v>
      </c>
      <c r="AG130" s="276">
        <f>SUM(AC130:AF130)</f>
        <v>1134</v>
      </c>
      <c r="AH130" s="276">
        <f>SUM(AH73,AH74,AH123)</f>
        <v>61</v>
      </c>
      <c r="AI130" s="276">
        <f>SUM(AI73,AI74,AI123)</f>
        <v>943</v>
      </c>
      <c r="AJ130" s="276">
        <f>SUM(AJ73,AJ74,AJ123)</f>
        <v>7</v>
      </c>
      <c r="AK130" s="276">
        <f>SUM(AK73,AK74,AK123)</f>
        <v>65</v>
      </c>
      <c r="AL130" s="276">
        <f>SUM(AH130:AK130)</f>
        <v>1076</v>
      </c>
      <c r="AM130" s="276">
        <f>SUM(AM73,AM74,AM123)</f>
        <v>65</v>
      </c>
      <c r="AN130" s="276">
        <f>SUM(AN73,AN74,AN123)</f>
        <v>144</v>
      </c>
      <c r="AO130" s="276">
        <f>SUM(AO73,AO74,AO123)</f>
        <v>65</v>
      </c>
      <c r="AP130" s="276">
        <f>SUM(AP73,AP74,AP123)</f>
        <v>144</v>
      </c>
      <c r="AQ130" s="276">
        <f>SUM(AM130:AP130)</f>
        <v>418</v>
      </c>
      <c r="AR130" s="276">
        <f>SUM(AR73,AR74,AR123)</f>
        <v>144</v>
      </c>
      <c r="AS130" s="276">
        <f>SUM(AS73,AS74,AS123)</f>
        <v>418</v>
      </c>
      <c r="AT130" s="276">
        <f>SUM(AT73,AT74,AT123)</f>
        <v>144</v>
      </c>
      <c r="AU130" s="276">
        <f>SUM(AU73,AU74,AU123)</f>
        <v>418</v>
      </c>
      <c r="AV130" s="276">
        <f>SUM(AR130:AU130)</f>
        <v>1124</v>
      </c>
      <c r="AW130" s="276">
        <f>SUM(AW73,AW74,AW123)</f>
        <v>418</v>
      </c>
      <c r="AX130" s="276">
        <f>SUM(AX73,AX74,AX123)</f>
        <v>1124</v>
      </c>
      <c r="AY130" s="276">
        <f>SUM(AY73,AY74,AY123)</f>
        <v>418</v>
      </c>
      <c r="AZ130" s="276">
        <f>SUM(AZ73,AZ74,AZ123)</f>
        <v>1124</v>
      </c>
      <c r="BA130" s="276">
        <f>SUM(AW130:AZ130)</f>
        <v>3084</v>
      </c>
      <c r="BB130" s="276">
        <f>SUM(BB73,BB74,BB123)</f>
        <v>1124</v>
      </c>
      <c r="BC130" s="276">
        <f>SUM(BC73,BC74,BC123)</f>
        <v>3084</v>
      </c>
      <c r="BD130" s="276">
        <f>SUM(BD73,BD74,BD123)</f>
        <v>1124</v>
      </c>
      <c r="BE130" s="276">
        <f>SUM(BE73,BE74,BE123)</f>
        <v>3084</v>
      </c>
      <c r="BF130" s="276">
        <f>SUM(BB130:BE130)</f>
        <v>8416</v>
      </c>
      <c r="BG130" s="276">
        <f>SUM(BG73,BG74,BG123)</f>
        <v>3084</v>
      </c>
      <c r="BH130" s="276">
        <f>SUM(BH73,BH74,BH123)</f>
        <v>8416</v>
      </c>
      <c r="BI130" s="276">
        <f>SUM(BI73,BI74,BI123)</f>
        <v>3084</v>
      </c>
      <c r="BJ130" s="276">
        <f>SUM(BJ73,BJ74,BJ123)</f>
        <v>8416</v>
      </c>
      <c r="BK130" s="276">
        <f>SUM(BG130:BJ130)</f>
        <v>23000</v>
      </c>
      <c r="BL130" s="276">
        <f>SUM(BL73,BL74,BL123)</f>
        <v>8416</v>
      </c>
      <c r="BM130" s="276">
        <f>SUM(BM73,BM74,BM123)</f>
        <v>23000</v>
      </c>
      <c r="BN130" s="276">
        <f>SUM(BN73,BN74,BN123)</f>
        <v>8416</v>
      </c>
      <c r="BO130" s="276">
        <f>SUM(BO73,BO74,BO123)</f>
        <v>23000</v>
      </c>
      <c r="BP130" s="276">
        <f>SUM(BL130:BO130)</f>
        <v>62832</v>
      </c>
      <c r="BQ130" s="276">
        <f>SUM(BQ73,BQ74,BQ123)</f>
        <v>23000</v>
      </c>
      <c r="BR130" s="276">
        <f>SUM(BR73,BR74,BR123)</f>
        <v>62832</v>
      </c>
      <c r="BS130" s="276">
        <f>SUM(BS73,BS74,BS123)</f>
        <v>23000</v>
      </c>
      <c r="BT130" s="276">
        <f>SUM(BT73,BT74,BT123)</f>
        <v>62832</v>
      </c>
      <c r="BU130" s="276">
        <f>SUM(BQ130:BT130)</f>
        <v>171664</v>
      </c>
      <c r="BV130" s="276">
        <f>SUM(BV73,BV74,BV123)</f>
        <v>62832</v>
      </c>
      <c r="BW130" s="276">
        <f>SUM(BW73,BW74,BW123)</f>
        <v>171664</v>
      </c>
      <c r="BX130" s="276">
        <f>SUM(BX73,BX74,BX123)</f>
        <v>62832</v>
      </c>
      <c r="BY130" s="276">
        <f>SUM(BY73,BY74,BY123)</f>
        <v>171664</v>
      </c>
      <c r="BZ130" s="276">
        <f>SUM(BV130:BY130)</f>
        <v>468992</v>
      </c>
      <c r="CA130" s="276">
        <f>SUM(CA73,CA74,CA123)</f>
        <v>171664</v>
      </c>
      <c r="CB130" s="276">
        <f>SUM(CB73,CB74,CB123)</f>
        <v>468992</v>
      </c>
      <c r="CC130" s="276">
        <f>SUM(CC73,CC74,CC123)</f>
        <v>171664</v>
      </c>
      <c r="CD130" s="276">
        <f>SUM(CD73,CD74,CD123)</f>
        <v>468992</v>
      </c>
      <c r="CE130" s="276">
        <f>SUM(CA130:CD130)</f>
        <v>1281312</v>
      </c>
      <c r="CF130" s="276">
        <f>SUM(CF73,CF74,CF123)</f>
        <v>468992</v>
      </c>
      <c r="CG130" s="276">
        <f>SUM(CG73,CG74,CG123)</f>
        <v>1281312</v>
      </c>
      <c r="CH130" s="276">
        <f>SUM(CH73,CH74,CH123)</f>
        <v>468992</v>
      </c>
      <c r="CI130" s="276">
        <f>SUM(CI73,CI74,CI123)</f>
        <v>1281312</v>
      </c>
      <c r="CJ130" s="276">
        <f>SUM(CF130:CI130)</f>
        <v>3500608</v>
      </c>
      <c r="CK130" s="276">
        <f>SUM(CK73,CK74,CK123)</f>
        <v>1281312</v>
      </c>
      <c r="CL130" s="276">
        <f>SUM(CL73,CL74,CL123)</f>
        <v>3500608</v>
      </c>
      <c r="CM130" s="276">
        <f>SUM(CM73,CM74,CM123)</f>
        <v>1281312</v>
      </c>
      <c r="CN130" s="276">
        <f>SUM(CN73,CN74,CN123)</f>
        <v>3500608</v>
      </c>
      <c r="CO130" s="276">
        <f>SUM(CK130:CN130)</f>
        <v>9563840</v>
      </c>
      <c r="CP130" s="276">
        <f>SUM(CP73,CP74,CP123)</f>
        <v>3500608</v>
      </c>
      <c r="CQ130" s="276">
        <f>SUM(CQ73,CQ74,CQ123)</f>
        <v>9563840</v>
      </c>
      <c r="CR130" s="276">
        <f>SUM(CR73,CR74,CR123)</f>
        <v>3500608</v>
      </c>
      <c r="CS130" s="276">
        <f>SUM(CS73,CS74,CS123)</f>
        <v>9563840</v>
      </c>
      <c r="CT130" s="276">
        <f>SUM(CP130:CS130)</f>
        <v>26128896</v>
      </c>
      <c r="CU130" s="276">
        <f>SUM(CU73,CU74,CU123)</f>
        <v>9563840</v>
      </c>
      <c r="CV130" s="276">
        <f>SUM(CV73,CV74,CV123)</f>
        <v>26128896</v>
      </c>
      <c r="CW130" s="276">
        <f>SUM(CW73,CW74,CW123)</f>
        <v>9563840</v>
      </c>
      <c r="CX130" s="276">
        <f>SUM(CX73,CX74,CX123)</f>
        <v>26128896</v>
      </c>
      <c r="CY130" s="276">
        <f>SUM(CU130:CX130)</f>
        <v>71385472</v>
      </c>
    </row>
    <row r="131" ht="12.75" customHeight="1" s="255">
      <c r="C131" s="270" t="inlineStr">
        <is>
          <t>Taxes</t>
        </is>
      </c>
      <c r="D131" s="301">
        <f>INDEX('Inputs (2)'!$D$10:$AL$10,MATCH(D$7,'Inputs (2)'!$D$2:$AL$2,0))</f>
        <v>55</v>
      </c>
      <c r="E131" s="301">
        <f>INDEX('Inputs (2)'!$D$10:$AL$10,MATCH(E$7,'Inputs (2)'!$D$2:$AL$2,0))</f>
        <v>-168</v>
      </c>
      <c r="F131" s="301">
        <f>INDEX('Inputs (2)'!$D$10:$AL$10,MATCH(F$7,'Inputs (2)'!$D$2:$AL$2,0))</f>
        <v>-38</v>
      </c>
      <c r="G131" s="301">
        <f>INDEX('Inputs (2)'!$D$10:$AL$10,MATCH(G$7,'Inputs (2)'!$D$2:$AL$2,0))</f>
        <v>-97</v>
      </c>
      <c r="H131" s="268">
        <f>SUM(D131:G131)</f>
        <v>-248</v>
      </c>
      <c r="I131" s="301">
        <f>INDEX('Inputs (2)'!$D$10:$AL$10,MATCH(I$7,'Inputs (2)'!$D$2:$AL$2,0))</f>
        <v>-192</v>
      </c>
      <c r="J131" s="301">
        <f>INDEX('Inputs (2)'!$D$10:$AL$10,MATCH(J$7,'Inputs (2)'!$D$2:$AL$2,0))</f>
        <v>-50</v>
      </c>
      <c r="K131" s="301">
        <f>INDEX('Inputs (2)'!$D$10:$AL$10,MATCH(K$7,'Inputs (2)'!$D$2:$AL$2,0))</f>
        <v>-92</v>
      </c>
      <c r="L131" s="301">
        <f>INDEX('Inputs (2)'!$D$10:$AL$10,MATCH(L$7,'Inputs (2)'!$D$2:$AL$2,0))</f>
        <v>-64</v>
      </c>
      <c r="M131" s="268">
        <f>SUM(I131:L131)</f>
        <v>-398</v>
      </c>
      <c r="N131" s="301">
        <f>INDEX('Inputs (2)'!$D$10:$AL$10,MATCH(N$7,'Inputs (2)'!$D$2:$AL$2,0))</f>
        <v>-108</v>
      </c>
      <c r="O131" s="301">
        <f>INDEX('Inputs (2)'!$D$10:$AL$10,MATCH(O$7,'Inputs (2)'!$D$2:$AL$2,0))</f>
        <v>-36</v>
      </c>
      <c r="P131" s="301">
        <f>INDEX('Inputs (2)'!$D$10:$AL$10,MATCH(P$7,'Inputs (2)'!$D$2:$AL$2,0))</f>
        <v>-113</v>
      </c>
      <c r="Q131" s="301">
        <f>INDEX('Inputs (2)'!$D$10:$AL$10,MATCH(Q$7,'Inputs (2)'!$D$2:$AL$2,0))</f>
        <v>-131</v>
      </c>
      <c r="R131" s="268">
        <f>SUM(N131:Q131)</f>
        <v>-388</v>
      </c>
      <c r="S131" s="301">
        <f>INDEX('Inputs (2)'!$D$10:$AL$10,MATCH(S$7,'Inputs (2)'!$D$2:$AL$2,0))</f>
        <v>-183</v>
      </c>
      <c r="T131" s="301">
        <f>INDEX('Inputs (2)'!$D$10:$AL$10,MATCH(T$7,'Inputs (2)'!$D$2:$AL$2,0))</f>
        <v>-198</v>
      </c>
      <c r="U131" s="301">
        <f>INDEX('Inputs (2)'!$D$10:$AL$10,MATCH(U$7,'Inputs (2)'!$D$2:$AL$2,0))</f>
        <v>-114</v>
      </c>
      <c r="V131" s="301">
        <f>INDEX('Inputs (2)'!$D$10:$AL$10,MATCH(V$7,'Inputs (2)'!$D$2:$AL$2,0))</f>
        <v>-219</v>
      </c>
      <c r="W131" s="268">
        <f>SUM(S131:V131)</f>
        <v>-714</v>
      </c>
      <c r="X131" s="301">
        <f>INDEX('Inputs (2)'!$D$10:$AL$10,MATCH(X$7,'Inputs (2)'!$D$2:$AL$2,0))</f>
        <v>-117</v>
      </c>
      <c r="Y131" s="301">
        <f>INDEX('Inputs (2)'!$D$10:$AL$10,MATCH(Y$7,'Inputs (2)'!$D$2:$AL$2,0))</f>
        <v>-30</v>
      </c>
      <c r="Z131" s="301">
        <f>INDEX('Inputs (2)'!$D$10:$AL$10,MATCH(Z$7,'Inputs (2)'!$D$2:$AL$2,0))</f>
        <v>-89</v>
      </c>
      <c r="AA131" s="301">
        <f>INDEX('Inputs (2)'!$D$10:$AL$10,MATCH(AA$7,'Inputs (2)'!$D$2:$AL$2,0))</f>
        <v>-100</v>
      </c>
      <c r="AB131" s="268">
        <f>SUM(X131:AA131)</f>
        <v>-336</v>
      </c>
      <c r="AC131" s="301">
        <f>INDEX('Inputs (2)'!$D$10:$AL$10,MATCH(AC$7,'Inputs (2)'!$D$2:$AL$2,0))</f>
        <v>-80</v>
      </c>
      <c r="AD131" s="301">
        <f>INDEX('Inputs (2)'!$D$10:$AL$10,MATCH(AD$7,'Inputs (2)'!$D$2:$AL$2,0))</f>
        <v>-124</v>
      </c>
      <c r="AE131" s="301">
        <f>INDEX('Inputs (2)'!$D$10:$AL$10,MATCH(AE$7,'Inputs (2)'!$D$2:$AL$2,0))</f>
        <v>-86</v>
      </c>
      <c r="AF131" s="301">
        <f>INDEX('Inputs (2)'!$D$10:$AL$10,MATCH(AF$7,'Inputs (2)'!$D$2:$AL$2,0))</f>
        <v>2</v>
      </c>
      <c r="AG131" s="268">
        <f>SUM(AC131:AF131)</f>
        <v>-288</v>
      </c>
      <c r="AH131" s="268">
        <f>INDEX('Inputs (2)'!$D$10:$AL$10,MATCH(AH$7,'Inputs (2)'!$D$2:$AL$2,0))</f>
        <v>14</v>
      </c>
      <c r="AI131" s="268">
        <f>INDEX('Inputs (2)'!$D$10:$AL$10,MATCH(AI$7,'Inputs (2)'!$D$2:$AL$2,0))</f>
        <v>-236</v>
      </c>
      <c r="AJ131" s="268">
        <f>AJ132*-AJ130</f>
        <v>0</v>
      </c>
      <c r="AK131" s="268">
        <f>AK132*-AK130</f>
        <v>0</v>
      </c>
      <c r="AL131" s="268">
        <f>SUM(AH131:AK131)</f>
        <v>-222</v>
      </c>
      <c r="AM131" s="268">
        <f>AM132*-AM130</f>
        <v>0</v>
      </c>
      <c r="AN131" s="268">
        <f>AN132*-AN130</f>
        <v>0</v>
      </c>
      <c r="AO131" s="268">
        <f>AO132*-AO130</f>
        <v>0</v>
      </c>
      <c r="AP131" s="268">
        <f>AP132*-AP130</f>
        <v>0</v>
      </c>
      <c r="AQ131" s="268">
        <f>SUM(AM131:AP131)</f>
        <v>0</v>
      </c>
      <c r="AR131" s="268">
        <f>AR132*-AR130</f>
        <v>0</v>
      </c>
      <c r="AS131" s="268">
        <f>AS132*-AS130</f>
        <v>0</v>
      </c>
      <c r="AT131" s="268">
        <f>AT132*-AT130</f>
        <v>0</v>
      </c>
      <c r="AU131" s="268">
        <f>AU132*-AU130</f>
        <v>0</v>
      </c>
      <c r="AV131" s="268">
        <f>SUM(AR131:AU131)</f>
        <v>0</v>
      </c>
      <c r="AW131" s="268">
        <f>AW132*-AW130</f>
        <v>0</v>
      </c>
      <c r="AX131" s="268">
        <f>AX132*-AX130</f>
        <v>0</v>
      </c>
      <c r="AY131" s="268">
        <f>AY132*-AY130</f>
        <v>0</v>
      </c>
      <c r="AZ131" s="268">
        <f>AZ132*-AZ130</f>
        <v>0</v>
      </c>
      <c r="BA131" s="268">
        <f>SUM(AW131:AZ131)</f>
        <v>0</v>
      </c>
      <c r="BB131" s="268">
        <f>BB132*-BB130</f>
        <v>0</v>
      </c>
      <c r="BC131" s="268">
        <f>BC132*-BC130</f>
        <v>0</v>
      </c>
      <c r="BD131" s="268">
        <f>BD132*-BD130</f>
        <v>0</v>
      </c>
      <c r="BE131" s="268">
        <f>BE132*-BE130</f>
        <v>0</v>
      </c>
      <c r="BF131" s="268">
        <f>SUM(BB131:BE131)</f>
        <v>0</v>
      </c>
      <c r="BG131" s="268">
        <f>BG132*-BG130</f>
        <v>0</v>
      </c>
      <c r="BH131" s="268">
        <f>BH132*-BH130</f>
        <v>0</v>
      </c>
      <c r="BI131" s="268">
        <f>BI132*-BI130</f>
        <v>0</v>
      </c>
      <c r="BJ131" s="268">
        <f>BJ132*-BJ130</f>
        <v>0</v>
      </c>
      <c r="BK131" s="268">
        <f>SUM(BG131:BJ131)</f>
        <v>0</v>
      </c>
      <c r="BL131" s="268">
        <f>BL132*-BL130</f>
        <v>0</v>
      </c>
      <c r="BM131" s="268">
        <f>BM132*-BM130</f>
        <v>0</v>
      </c>
      <c r="BN131" s="268">
        <f>BN132*-BN130</f>
        <v>0</v>
      </c>
      <c r="BO131" s="268">
        <f>BO132*-BO130</f>
        <v>0</v>
      </c>
      <c r="BP131" s="268">
        <f>SUM(BL131:BO131)</f>
        <v>0</v>
      </c>
      <c r="BQ131" s="268">
        <f>BQ132*-BQ130</f>
        <v>0</v>
      </c>
      <c r="BR131" s="268">
        <f>BR132*-BR130</f>
        <v>0</v>
      </c>
      <c r="BS131" s="268">
        <f>BS132*-BS130</f>
        <v>0</v>
      </c>
      <c r="BT131" s="268">
        <f>BT132*-BT130</f>
        <v>0</v>
      </c>
      <c r="BU131" s="268">
        <f>SUM(BQ131:BT131)</f>
        <v>0</v>
      </c>
      <c r="BV131" s="268">
        <f>BV132*-BV130</f>
        <v>0</v>
      </c>
      <c r="BW131" s="268">
        <f>BW132*-BW130</f>
        <v>0</v>
      </c>
      <c r="BX131" s="268">
        <f>BX132*-BX130</f>
        <v>0</v>
      </c>
      <c r="BY131" s="268">
        <f>BY132*-BY130</f>
        <v>0</v>
      </c>
      <c r="BZ131" s="268">
        <f>SUM(BV131:BY131)</f>
        <v>0</v>
      </c>
      <c r="CA131" s="268">
        <f>CA132*-CA130</f>
        <v>0</v>
      </c>
      <c r="CB131" s="268">
        <f>CB132*-CB130</f>
        <v>0</v>
      </c>
      <c r="CC131" s="268">
        <f>CC132*-CC130</f>
        <v>0</v>
      </c>
      <c r="CD131" s="268">
        <f>CD132*-CD130</f>
        <v>0</v>
      </c>
      <c r="CE131" s="268">
        <f>SUM(CA131:CD131)</f>
        <v>0</v>
      </c>
      <c r="CF131" s="268">
        <f>CF132*-CF130</f>
        <v>0</v>
      </c>
      <c r="CG131" s="268">
        <f>CG132*-CG130</f>
        <v>0</v>
      </c>
      <c r="CH131" s="268">
        <f>CH132*-CH130</f>
        <v>0</v>
      </c>
      <c r="CI131" s="268">
        <f>CI132*-CI130</f>
        <v>0</v>
      </c>
      <c r="CJ131" s="268">
        <f>SUM(CF131:CI131)</f>
        <v>0</v>
      </c>
      <c r="CK131" s="268">
        <f>CK132*-CK130</f>
        <v>0</v>
      </c>
      <c r="CL131" s="268">
        <f>CL132*-CL130</f>
        <v>0</v>
      </c>
      <c r="CM131" s="268">
        <f>CM132*-CM130</f>
        <v>0</v>
      </c>
      <c r="CN131" s="268">
        <f>CN132*-CN130</f>
        <v>0</v>
      </c>
      <c r="CO131" s="268">
        <f>SUM(CK131:CN131)</f>
        <v>0</v>
      </c>
      <c r="CP131" s="268">
        <f>CP132*-CP130</f>
        <v>0</v>
      </c>
      <c r="CQ131" s="268">
        <f>CQ132*-CQ130</f>
        <v>0</v>
      </c>
      <c r="CR131" s="268">
        <f>CR132*-CR130</f>
        <v>0</v>
      </c>
      <c r="CS131" s="268">
        <f>CS132*-CS130</f>
        <v>0</v>
      </c>
      <c r="CT131" s="268">
        <f>SUM(CP131:CS131)</f>
        <v>0</v>
      </c>
      <c r="CU131" s="268">
        <f>CU132*-CU130</f>
        <v>0</v>
      </c>
      <c r="CV131" s="268">
        <f>CV132*-CV130</f>
        <v>0</v>
      </c>
      <c r="CW131" s="268">
        <f>CW132*-CW130</f>
        <v>0</v>
      </c>
      <c r="CX131" s="268">
        <f>CX132*-CX130</f>
        <v>0</v>
      </c>
      <c r="CY131" s="268">
        <f>SUM(CU131:CX131)</f>
        <v>0</v>
      </c>
    </row>
    <row r="132" hidden="1" outlineLevel="1" ht="12.75" customHeight="1" s="255">
      <c r="C132" s="312" t="inlineStr">
        <is>
          <t>% ETR</t>
        </is>
      </c>
      <c r="D132" s="309">
        <f>-D131/D130</f>
        <v>0.221774193548387</v>
      </c>
      <c r="E132" s="309">
        <f>-E131/E130</f>
        <v>0.243478260869565</v>
      </c>
      <c r="F132" s="309">
        <f>-F131/F130</f>
        <v>0.124590163934426</v>
      </c>
      <c r="G132" s="309">
        <f>-G131/G130</f>
        <v>0.145645645645646</v>
      </c>
      <c r="H132" s="309">
        <f>-H131/H130</f>
        <v>0.175513092710545</v>
      </c>
      <c r="I132" s="309">
        <f>-I131/I130</f>
        <v>0.173128944995491</v>
      </c>
      <c r="J132" s="309">
        <f>-J131/J130</f>
        <v>0.119331742243437</v>
      </c>
      <c r="K132" s="309">
        <f>-K131/K130</f>
        <v>0.124156545209177</v>
      </c>
      <c r="L132" s="309">
        <f>-L131/L130</f>
        <v>0.216216216216216</v>
      </c>
      <c r="M132" s="309">
        <f>-M131/M130</f>
        <v>0.155165692007797</v>
      </c>
      <c r="N132" s="309">
        <f>-N131/N130</f>
        <v>0.134328358208955</v>
      </c>
      <c r="O132" s="309">
        <f>-O131/O130</f>
        <v>0.137931034482759</v>
      </c>
      <c r="P132" s="309">
        <f>-P131/P130</f>
        <v>0.227822580645161</v>
      </c>
      <c r="Q132" s="309">
        <f>-Q131/Q130</f>
        <v>0.259405940594059</v>
      </c>
      <c r="R132" s="309">
        <f>-R131/R130</f>
        <v>0.187802516940949</v>
      </c>
      <c r="S132" s="309">
        <f>-S131/S130</f>
        <v>0.217339667458432</v>
      </c>
      <c r="T132" s="309">
        <f>-T131/T130</f>
        <v>0.239419588875453</v>
      </c>
      <c r="U132" s="309">
        <f>-U131/U130</f>
        <v>0.226640159045726</v>
      </c>
      <c r="V132" s="309">
        <f>-V131/V130</f>
        <v>0.249146757679181</v>
      </c>
      <c r="W132" s="309">
        <f>-W131/W130</f>
        <v>0.234021632251721</v>
      </c>
      <c r="X132" s="309">
        <f>-X131/X130</f>
        <v>0.317073170731707</v>
      </c>
      <c r="Y132" s="309">
        <f>-Y131/Y130</f>
        <v>0.29126213592233</v>
      </c>
      <c r="Z132" s="309">
        <f>-Z131/Z130</f>
        <v>0.27639751552795</v>
      </c>
      <c r="AA132" s="309">
        <f>-AA131/AA130</f>
        <v>0.136986301369863</v>
      </c>
      <c r="AB132" s="309">
        <f>-AB131/AB130</f>
        <v>0.220472440944882</v>
      </c>
      <c r="AC132" s="309">
        <f>-AC131/AC130</f>
        <v>0.28169014084507</v>
      </c>
      <c r="AD132" s="309">
        <f>-AD131/AD130</f>
        <v>0.251012145748988</v>
      </c>
      <c r="AE132" s="309">
        <f>-AE131/AE130</f>
        <v>0.318518518518519</v>
      </c>
      <c r="AF132" s="297">
        <f>-AF131/AF130</f>
        <v>-0.0232558139534884</v>
      </c>
      <c r="AG132" s="309">
        <f>-AG131/AG130</f>
        <v>0.253968253968254</v>
      </c>
      <c r="AH132" s="297">
        <f>-AH131/AH130</f>
        <v>-0.229508196721311</v>
      </c>
      <c r="AI132" s="297">
        <f>-AI131/AI130</f>
        <v>0.250265111346766</v>
      </c>
      <c r="AJ132" s="297" t="n"/>
      <c r="AK132" s="297" t="n"/>
      <c r="AL132" s="309">
        <f>-AL131/AL130</f>
        <v>0.20631970260223</v>
      </c>
      <c r="AM132" s="297" t="n"/>
      <c r="AN132" s="297" t="n"/>
      <c r="AO132" s="297" t="n"/>
      <c r="AP132" s="297" t="n"/>
      <c r="AQ132" s="309">
        <f>-AQ131/AQ130</f>
        <v>0</v>
      </c>
      <c r="AR132" s="297" t="n"/>
      <c r="AS132" s="297" t="n"/>
      <c r="AT132" s="297" t="n"/>
      <c r="AU132" s="297" t="n"/>
      <c r="AV132" s="309">
        <f>-AV131/AV130</f>
        <v>0</v>
      </c>
      <c r="AW132" s="297" t="n"/>
      <c r="AX132" s="297" t="n"/>
      <c r="AY132" s="297" t="n"/>
      <c r="AZ132" s="297" t="n"/>
      <c r="BA132" s="309">
        <f>-BA131/BA130</f>
        <v>0</v>
      </c>
      <c r="BB132" s="297" t="n"/>
      <c r="BC132" s="297" t="n"/>
      <c r="BD132" s="297" t="n"/>
      <c r="BE132" s="297" t="n"/>
      <c r="BF132" s="309">
        <f>-BF131/BF130</f>
        <v>0</v>
      </c>
      <c r="BG132" s="297" t="n"/>
      <c r="BH132" s="297" t="n"/>
      <c r="BI132" s="297" t="n"/>
      <c r="BJ132" s="297" t="n"/>
      <c r="BK132" s="309">
        <f>-BK131/BK130</f>
        <v>0</v>
      </c>
      <c r="BL132" s="297" t="n"/>
      <c r="BM132" s="297" t="n"/>
      <c r="BN132" s="297" t="n"/>
      <c r="BO132" s="297" t="n"/>
      <c r="BP132" s="309">
        <f>-BP131/BP130</f>
        <v>0</v>
      </c>
      <c r="BQ132" s="297" t="n"/>
      <c r="BR132" s="297" t="n"/>
      <c r="BS132" s="297" t="n"/>
      <c r="BT132" s="297" t="n"/>
      <c r="BU132" s="309">
        <f>-BU131/BU130</f>
        <v>0</v>
      </c>
      <c r="BV132" s="297" t="n"/>
      <c r="BW132" s="297" t="n"/>
      <c r="BX132" s="297" t="n"/>
      <c r="BY132" s="297" t="n"/>
      <c r="BZ132" s="309">
        <f>-BZ131/BZ130</f>
        <v>0</v>
      </c>
      <c r="CA132" s="297" t="n"/>
      <c r="CB132" s="297" t="n"/>
      <c r="CC132" s="297" t="n"/>
      <c r="CD132" s="297" t="n"/>
      <c r="CE132" s="309">
        <f>-CE131/CE130</f>
        <v>0</v>
      </c>
      <c r="CF132" s="297" t="n"/>
      <c r="CG132" s="297" t="n"/>
      <c r="CH132" s="297" t="n"/>
      <c r="CI132" s="297" t="n"/>
      <c r="CJ132" s="309">
        <f>-CJ131/CJ130</f>
        <v>0</v>
      </c>
      <c r="CK132" s="297" t="n"/>
      <c r="CL132" s="297" t="n"/>
      <c r="CM132" s="297" t="n"/>
      <c r="CN132" s="297" t="n"/>
      <c r="CO132" s="309">
        <f>-CO131/CO130</f>
        <v>0</v>
      </c>
      <c r="CP132" s="297" t="n"/>
      <c r="CQ132" s="297" t="n"/>
      <c r="CR132" s="297" t="n"/>
      <c r="CS132" s="297" t="n"/>
      <c r="CT132" s="309">
        <f>-CT131/CT130</f>
        <v>0</v>
      </c>
      <c r="CU132" s="297" t="n"/>
      <c r="CV132" s="297" t="n"/>
      <c r="CW132" s="297" t="n"/>
      <c r="CX132" s="297" t="n"/>
      <c r="CY132" s="309">
        <f>-CY131/CY130</f>
        <v>0</v>
      </c>
    </row>
    <row r="133" hidden="1" outlineLevel="1" ht="12.75" customHeight="1" s="255">
      <c r="C133" s="312" t="n"/>
      <c r="D133" s="268" t="n"/>
      <c r="E133" s="268" t="n"/>
      <c r="F133" s="268" t="n"/>
      <c r="G133" s="268" t="n"/>
      <c r="H133" s="268" t="n"/>
      <c r="I133" s="268" t="n"/>
      <c r="J133" s="268" t="n"/>
      <c r="K133" s="268" t="n"/>
      <c r="L133" s="268" t="n"/>
      <c r="M133" s="268" t="n"/>
      <c r="N133" s="268" t="n"/>
      <c r="O133" s="268" t="n"/>
      <c r="P133" s="268" t="n"/>
      <c r="Q133" s="268" t="n"/>
      <c r="R133" s="268" t="n"/>
      <c r="S133" s="268" t="n"/>
      <c r="T133" s="268" t="n"/>
      <c r="U133" s="268" t="n"/>
      <c r="V133" s="268" t="n"/>
      <c r="W133" s="268" t="n"/>
      <c r="X133" s="268" t="n"/>
      <c r="Y133" s="268" t="n"/>
      <c r="Z133" s="268" t="n"/>
      <c r="AA133" s="268" t="n"/>
      <c r="AB133" s="268" t="n"/>
      <c r="AC133" s="268" t="n"/>
      <c r="AD133" s="268" t="n"/>
      <c r="AE133" s="268" t="n"/>
      <c r="AF133" s="268" t="n"/>
      <c r="AG133" s="268" t="n"/>
      <c r="AH133" s="268" t="n"/>
      <c r="AI133" s="268" t="n"/>
      <c r="AJ133" s="268" t="n"/>
      <c r="AK133" s="268" t="n"/>
      <c r="AL133" s="268" t="n"/>
      <c r="AM133" s="268" t="n"/>
      <c r="AN133" s="268" t="n"/>
      <c r="AO133" s="268" t="n"/>
      <c r="AP133" s="268" t="n"/>
      <c r="AQ133" s="268" t="n"/>
      <c r="AR133" s="268" t="n"/>
      <c r="AS133" s="268" t="n"/>
      <c r="AT133" s="268" t="n"/>
      <c r="AU133" s="268" t="n"/>
      <c r="AV133" s="268" t="n"/>
      <c r="AW133" s="268" t="n"/>
      <c r="AX133" s="268" t="n"/>
      <c r="AY133" s="268" t="n"/>
      <c r="AZ133" s="268" t="n"/>
      <c r="BA133" s="268" t="n"/>
      <c r="BB133" s="268" t="n"/>
      <c r="BC133" s="268" t="n"/>
      <c r="BD133" s="268" t="n"/>
      <c r="BE133" s="268" t="n"/>
      <c r="BF133" s="268" t="n"/>
      <c r="BG133" s="268" t="n"/>
      <c r="BH133" s="268" t="n"/>
      <c r="BI133" s="268" t="n"/>
      <c r="BJ133" s="268" t="n"/>
      <c r="BK133" s="268" t="n"/>
      <c r="BL133" s="268" t="n"/>
      <c r="BM133" s="268" t="n"/>
      <c r="BN133" s="268" t="n"/>
      <c r="BO133" s="268" t="n"/>
      <c r="BP133" s="268" t="n"/>
      <c r="BQ133" s="268" t="n"/>
      <c r="BR133" s="268" t="n"/>
      <c r="BS133" s="268" t="n"/>
      <c r="BT133" s="268" t="n"/>
      <c r="BU133" s="268" t="n"/>
      <c r="BV133" s="268" t="n"/>
      <c r="BW133" s="268" t="n"/>
      <c r="BX133" s="268" t="n"/>
      <c r="BY133" s="268" t="n"/>
      <c r="BZ133" s="268" t="n"/>
      <c r="CA133" s="268" t="n"/>
      <c r="CB133" s="268" t="n"/>
      <c r="CC133" s="268" t="n"/>
      <c r="CD133" s="268" t="n"/>
      <c r="CE133" s="268" t="n"/>
      <c r="CF133" s="268" t="n"/>
      <c r="CG133" s="268" t="n"/>
      <c r="CH133" s="268" t="n"/>
      <c r="CI133" s="268" t="n"/>
      <c r="CJ133" s="268" t="n"/>
      <c r="CK133" s="268" t="n"/>
      <c r="CL133" s="268" t="n"/>
      <c r="CM133" s="268" t="n"/>
      <c r="CN133" s="268" t="n"/>
      <c r="CO133" s="268" t="n"/>
      <c r="CP133" s="268" t="n"/>
      <c r="CQ133" s="268" t="n"/>
      <c r="CR133" s="268" t="n"/>
      <c r="CS133" s="268" t="n"/>
      <c r="CT133" s="268" t="n"/>
      <c r="CU133" s="268" t="n"/>
      <c r="CV133" s="268" t="n"/>
      <c r="CW133" s="268" t="n"/>
      <c r="CX133" s="268" t="n"/>
      <c r="CY133" s="268" t="n"/>
    </row>
    <row r="134" hidden="1" outlineLevel="1" ht="12.75" customHeight="1" s="255">
      <c r="C134" s="312" t="n"/>
      <c r="D134" s="268" t="n"/>
      <c r="E134" s="268" t="n"/>
      <c r="F134" s="268" t="n"/>
      <c r="G134" s="268" t="n"/>
      <c r="H134" s="268" t="n"/>
      <c r="I134" s="268" t="n"/>
      <c r="J134" s="268" t="n"/>
      <c r="K134" s="268" t="n"/>
      <c r="L134" s="268" t="n"/>
      <c r="M134" s="268" t="n"/>
      <c r="N134" s="268" t="n"/>
      <c r="O134" s="268" t="n"/>
      <c r="P134" s="268" t="n"/>
      <c r="Q134" s="268" t="n"/>
      <c r="R134" s="268" t="n"/>
      <c r="S134" s="268" t="n"/>
      <c r="T134" s="268" t="n"/>
      <c r="U134" s="268" t="n"/>
      <c r="V134" s="268" t="n"/>
      <c r="W134" s="268" t="n"/>
      <c r="X134" s="268" t="n"/>
      <c r="Y134" s="268" t="n"/>
      <c r="Z134" s="268" t="n"/>
      <c r="AA134" s="268" t="n"/>
      <c r="AB134" s="268" t="n"/>
      <c r="AC134" s="268" t="n"/>
      <c r="AD134" s="268" t="n"/>
      <c r="AE134" s="268" t="n"/>
      <c r="AF134" s="268" t="n"/>
      <c r="AG134" s="268" t="n"/>
      <c r="AH134" s="268" t="n"/>
      <c r="AI134" s="268" t="n"/>
      <c r="AJ134" s="268" t="n"/>
      <c r="AK134" s="268" t="n"/>
      <c r="AL134" s="268" t="n"/>
      <c r="AM134" s="268" t="n"/>
      <c r="AN134" s="268" t="n"/>
      <c r="AO134" s="268" t="n"/>
      <c r="AP134" s="268" t="n"/>
      <c r="AQ134" s="268" t="n"/>
      <c r="AR134" s="268" t="n"/>
      <c r="AS134" s="268" t="n"/>
      <c r="AT134" s="268" t="n"/>
      <c r="AU134" s="268" t="n"/>
      <c r="AV134" s="268" t="n"/>
      <c r="AW134" s="268" t="n"/>
      <c r="AX134" s="268" t="n"/>
      <c r="AY134" s="268" t="n"/>
      <c r="AZ134" s="268" t="n"/>
      <c r="BA134" s="268" t="n"/>
      <c r="BB134" s="268" t="n"/>
      <c r="BC134" s="268" t="n"/>
      <c r="BD134" s="268" t="n"/>
      <c r="BE134" s="268" t="n"/>
      <c r="BF134" s="268" t="n"/>
      <c r="BG134" s="268" t="n"/>
      <c r="BH134" s="268" t="n"/>
      <c r="BI134" s="268" t="n"/>
      <c r="BJ134" s="268" t="n"/>
      <c r="BK134" s="268" t="n"/>
      <c r="BL134" s="268" t="n"/>
      <c r="BM134" s="268" t="n"/>
      <c r="BN134" s="268" t="n"/>
      <c r="BO134" s="268" t="n"/>
      <c r="BP134" s="268" t="n"/>
      <c r="BQ134" s="268" t="n"/>
      <c r="BR134" s="268" t="n"/>
      <c r="BS134" s="268" t="n"/>
      <c r="BT134" s="268" t="n"/>
      <c r="BU134" s="268" t="n"/>
      <c r="BV134" s="268" t="n"/>
      <c r="BW134" s="268" t="n"/>
      <c r="BX134" s="268" t="n"/>
      <c r="BY134" s="268" t="n"/>
      <c r="BZ134" s="268" t="n"/>
      <c r="CA134" s="268" t="n"/>
      <c r="CB134" s="268" t="n"/>
      <c r="CC134" s="268" t="n"/>
      <c r="CD134" s="268" t="n"/>
      <c r="CE134" s="268" t="n"/>
      <c r="CF134" s="268" t="n"/>
      <c r="CG134" s="268" t="n"/>
      <c r="CH134" s="268" t="n"/>
      <c r="CI134" s="268" t="n"/>
      <c r="CJ134" s="268" t="n"/>
      <c r="CK134" s="268" t="n"/>
      <c r="CL134" s="268" t="n"/>
      <c r="CM134" s="268" t="n"/>
      <c r="CN134" s="268" t="n"/>
      <c r="CO134" s="268" t="n"/>
      <c r="CP134" s="268" t="n"/>
      <c r="CQ134" s="268" t="n"/>
      <c r="CR134" s="268" t="n"/>
      <c r="CS134" s="268" t="n"/>
      <c r="CT134" s="268" t="n"/>
      <c r="CU134" s="268" t="n"/>
      <c r="CV134" s="268" t="n"/>
      <c r="CW134" s="268" t="n"/>
      <c r="CX134" s="268" t="n"/>
      <c r="CY134" s="268" t="n"/>
    </row>
    <row r="135" ht="12.75" customHeight="1" s="255">
      <c r="C135" s="270" t="inlineStr">
        <is>
          <t>Equity in Income of Affiliates, after tax (enter as +)</t>
        </is>
      </c>
      <c r="D135" s="301">
        <f>INDEX('Inputs (2)'!$D$11:$AL$11,MATCH(D$7,'Inputs (2)'!$D$2:$AL$2,0))</f>
        <v>0</v>
      </c>
      <c r="E135" s="301">
        <f>INDEX('Inputs (2)'!$D$11:$AL$11,MATCH(E$7,'Inputs (2)'!$D$2:$AL$2,0))</f>
        <v>0</v>
      </c>
      <c r="F135" s="301">
        <f>INDEX('Inputs (2)'!$D$11:$AL$11,MATCH(F$7,'Inputs (2)'!$D$2:$AL$2,0))</f>
        <v>0</v>
      </c>
      <c r="G135" s="301">
        <f>INDEX('Inputs (2)'!$D$11:$AL$11,MATCH(G$7,'Inputs (2)'!$D$2:$AL$2,0))</f>
        <v>0</v>
      </c>
      <c r="H135" s="268">
        <f>SUM(D135:G135)</f>
        <v>0</v>
      </c>
      <c r="I135" s="301">
        <f>INDEX('Inputs (2)'!$D$11:$AL$11,MATCH(I$7,'Inputs (2)'!$D$2:$AL$2,0))</f>
        <v>0</v>
      </c>
      <c r="J135" s="301">
        <f>INDEX('Inputs (2)'!$D$11:$AL$11,MATCH(J$7,'Inputs (2)'!$D$2:$AL$2,0))</f>
        <v>0</v>
      </c>
      <c r="K135" s="301">
        <f>INDEX('Inputs (2)'!$D$11:$AL$11,MATCH(K$7,'Inputs (2)'!$D$2:$AL$2,0))</f>
        <v>0</v>
      </c>
      <c r="L135" s="301">
        <f>INDEX('Inputs (2)'!$D$11:$AL$11,MATCH(L$7,'Inputs (2)'!$D$2:$AL$2,0))</f>
        <v>0</v>
      </c>
      <c r="M135" s="268">
        <f>SUM(I135:L135)</f>
        <v>0</v>
      </c>
      <c r="N135" s="301">
        <f>INDEX('Inputs (2)'!$D$11:$AL$11,MATCH(N$7,'Inputs (2)'!$D$2:$AL$2,0))</f>
        <v>0</v>
      </c>
      <c r="O135" s="301">
        <f>INDEX('Inputs (2)'!$D$11:$AL$11,MATCH(O$7,'Inputs (2)'!$D$2:$AL$2,0))</f>
        <v>0</v>
      </c>
      <c r="P135" s="301">
        <f>INDEX('Inputs (2)'!$D$11:$AL$11,MATCH(P$7,'Inputs (2)'!$D$2:$AL$2,0))</f>
        <v>0</v>
      </c>
      <c r="Q135" s="301">
        <f>INDEX('Inputs (2)'!$D$11:$AL$11,MATCH(Q$7,'Inputs (2)'!$D$2:$AL$2,0))</f>
        <v>0</v>
      </c>
      <c r="R135" s="268">
        <f>SUM(N135:Q135)</f>
        <v>0</v>
      </c>
      <c r="S135" s="301">
        <f>INDEX('Inputs (2)'!$D$11:$AL$11,MATCH(S$7,'Inputs (2)'!$D$2:$AL$2,0))</f>
        <v>0</v>
      </c>
      <c r="T135" s="301">
        <f>INDEX('Inputs (2)'!$D$11:$AL$11,MATCH(T$7,'Inputs (2)'!$D$2:$AL$2,0))</f>
        <v>0</v>
      </c>
      <c r="U135" s="301">
        <f>INDEX('Inputs (2)'!$D$11:$AL$11,MATCH(U$7,'Inputs (2)'!$D$2:$AL$2,0))</f>
        <v>0</v>
      </c>
      <c r="V135" s="301">
        <f>INDEX('Inputs (2)'!$D$11:$AL$11,MATCH(V$7,'Inputs (2)'!$D$2:$AL$2,0))</f>
        <v>0</v>
      </c>
      <c r="W135" s="268">
        <f>SUM(S135:V135)</f>
        <v>0</v>
      </c>
      <c r="X135" s="301">
        <f>INDEX('Inputs (2)'!$D$11:$AL$11,MATCH(X$7,'Inputs (2)'!$D$2:$AL$2,0))</f>
        <v>0</v>
      </c>
      <c r="Y135" s="301">
        <f>INDEX('Inputs (2)'!$D$11:$AL$11,MATCH(Y$7,'Inputs (2)'!$D$2:$AL$2,0))</f>
        <v>0</v>
      </c>
      <c r="Z135" s="301">
        <f>INDEX('Inputs (2)'!$D$11:$AL$11,MATCH(Z$7,'Inputs (2)'!$D$2:$AL$2,0))</f>
        <v>0</v>
      </c>
      <c r="AA135" s="301">
        <f>INDEX('Inputs (2)'!$D$11:$AL$11,MATCH(AA$7,'Inputs (2)'!$D$2:$AL$2,0))</f>
        <v>0</v>
      </c>
      <c r="AB135" s="268">
        <f>SUM(X135:AA135)</f>
        <v>0</v>
      </c>
      <c r="AC135" s="301">
        <f>INDEX('Inputs (2)'!$D$11:$AL$11,MATCH(AC$7,'Inputs (2)'!$D$2:$AL$2,0))</f>
        <v>0</v>
      </c>
      <c r="AD135" s="301">
        <f>INDEX('Inputs (2)'!$D$11:$AL$11,MATCH(AD$7,'Inputs (2)'!$D$2:$AL$2,0))</f>
        <v>0</v>
      </c>
      <c r="AE135" s="301">
        <f>INDEX('Inputs (2)'!$D$11:$AL$11,MATCH(AE$7,'Inputs (2)'!$D$2:$AL$2,0))</f>
        <v>-3</v>
      </c>
      <c r="AF135" s="301">
        <f>INDEX('Inputs (2)'!$D$11:$AL$11,MATCH(AF$7,'Inputs (2)'!$D$2:$AL$2,0))</f>
        <v>0</v>
      </c>
      <c r="AG135" s="268">
        <f>SUM(AC135:AF135)</f>
        <v>-3</v>
      </c>
      <c r="AH135" s="268">
        <f>INDEX('Inputs (2)'!$D$11:$AL$11,MATCH(AH$7,'Inputs (2)'!$D$2:$AL$2,0))</f>
        <v>0</v>
      </c>
      <c r="AI135" s="268">
        <f>INDEX('Inputs (2)'!$D$11:$AL$11,MATCH(AI$7,'Inputs (2)'!$D$2:$AL$2,0))</f>
        <v>0</v>
      </c>
      <c r="AJ135" s="268">
        <f>AE135*(1+AJ163)</f>
        <v>-3</v>
      </c>
      <c r="AK135" s="268">
        <f>AF135*(1+AK163)</f>
        <v>0</v>
      </c>
      <c r="AL135" s="268">
        <f>SUM(AH135:AK135)</f>
        <v>-3</v>
      </c>
      <c r="AM135" s="268">
        <f>AH135*(1+AM163)</f>
        <v>0</v>
      </c>
      <c r="AN135" s="268">
        <f>AI135*(1+AN163)</f>
        <v>0</v>
      </c>
      <c r="AO135" s="268">
        <f>AJ135*(1+AO163)</f>
        <v>-3</v>
      </c>
      <c r="AP135" s="268">
        <f>AK135*(1+AP163)</f>
        <v>0</v>
      </c>
      <c r="AQ135" s="268">
        <f>SUM(AM135:AP135)</f>
        <v>-3</v>
      </c>
      <c r="AR135" s="268">
        <f>AM135*(1+AR163)</f>
        <v>0</v>
      </c>
      <c r="AS135" s="268">
        <f>AN135*(1+AS163)</f>
        <v>0</v>
      </c>
      <c r="AT135" s="268">
        <f>AO135*(1+AT163)</f>
        <v>-3</v>
      </c>
      <c r="AU135" s="268">
        <f>AP135*(1+AU163)</f>
        <v>0</v>
      </c>
      <c r="AV135" s="268">
        <f>SUM(AR135:AU135)</f>
        <v>-3</v>
      </c>
      <c r="AW135" s="268">
        <f>AR135*(1+AW163)</f>
        <v>0</v>
      </c>
      <c r="AX135" s="268">
        <f>AS135*(1+AX163)</f>
        <v>0</v>
      </c>
      <c r="AY135" s="268">
        <f>AT135*(1+AY163)</f>
        <v>-3</v>
      </c>
      <c r="AZ135" s="268">
        <f>AU135*(1+AZ163)</f>
        <v>0</v>
      </c>
      <c r="BA135" s="268">
        <f>SUM(AW135:AZ135)</f>
        <v>-3</v>
      </c>
      <c r="BB135" s="268">
        <f>AW135*(1+BB163)</f>
        <v>0</v>
      </c>
      <c r="BC135" s="268">
        <f>AX135*(1+BC163)</f>
        <v>0</v>
      </c>
      <c r="BD135" s="268">
        <f>AY135*(1+BD163)</f>
        <v>-3</v>
      </c>
      <c r="BE135" s="268">
        <f>AZ135*(1+BE163)</f>
        <v>0</v>
      </c>
      <c r="BF135" s="268">
        <f>SUM(BB135:BE135)</f>
        <v>-3</v>
      </c>
      <c r="BG135" s="268">
        <f>BB135*(1+BG163)</f>
        <v>0</v>
      </c>
      <c r="BH135" s="268">
        <f>BC135*(1+BH163)</f>
        <v>0</v>
      </c>
      <c r="BI135" s="268">
        <f>BD135*(1+BI163)</f>
        <v>-3</v>
      </c>
      <c r="BJ135" s="268">
        <f>BE135*(1+BJ163)</f>
        <v>0</v>
      </c>
      <c r="BK135" s="268">
        <f>SUM(BG135:BJ135)</f>
        <v>-3</v>
      </c>
      <c r="BL135" s="268">
        <f>BG135*(1+BL163)</f>
        <v>0</v>
      </c>
      <c r="BM135" s="268">
        <f>BH135*(1+BM163)</f>
        <v>0</v>
      </c>
      <c r="BN135" s="268">
        <f>BI135*(1+BN163)</f>
        <v>-3</v>
      </c>
      <c r="BO135" s="268">
        <f>BJ135*(1+BO163)</f>
        <v>0</v>
      </c>
      <c r="BP135" s="268">
        <f>SUM(BL135:BO135)</f>
        <v>-3</v>
      </c>
      <c r="BQ135" s="268">
        <f>BL135*(1+BQ163)</f>
        <v>0</v>
      </c>
      <c r="BR135" s="268">
        <f>BM135*(1+BR163)</f>
        <v>0</v>
      </c>
      <c r="BS135" s="268">
        <f>BN135*(1+BS163)</f>
        <v>-3</v>
      </c>
      <c r="BT135" s="268">
        <f>BO135*(1+BT163)</f>
        <v>0</v>
      </c>
      <c r="BU135" s="268">
        <f>SUM(BQ135:BT135)</f>
        <v>-3</v>
      </c>
      <c r="BV135" s="268">
        <f>BQ135*(1+BV163)</f>
        <v>0</v>
      </c>
      <c r="BW135" s="268">
        <f>BR135*(1+BW163)</f>
        <v>0</v>
      </c>
      <c r="BX135" s="268">
        <f>BS135*(1+BX163)</f>
        <v>-3</v>
      </c>
      <c r="BY135" s="268">
        <f>BT135*(1+BY163)</f>
        <v>0</v>
      </c>
      <c r="BZ135" s="268">
        <f>SUM(BV135:BY135)</f>
        <v>-3</v>
      </c>
      <c r="CA135" s="268">
        <f>BV135*(1+CA163)</f>
        <v>0</v>
      </c>
      <c r="CB135" s="268">
        <f>BW135*(1+CB163)</f>
        <v>0</v>
      </c>
      <c r="CC135" s="268">
        <f>BX135*(1+CC163)</f>
        <v>-3</v>
      </c>
      <c r="CD135" s="268">
        <f>BY135*(1+CD163)</f>
        <v>0</v>
      </c>
      <c r="CE135" s="268">
        <f>SUM(CA135:CD135)</f>
        <v>-3</v>
      </c>
      <c r="CF135" s="268">
        <f>CA135*(1+CF163)</f>
        <v>0</v>
      </c>
      <c r="CG135" s="268">
        <f>CB135*(1+CG163)</f>
        <v>0</v>
      </c>
      <c r="CH135" s="268">
        <f>CC135*(1+CH163)</f>
        <v>-3</v>
      </c>
      <c r="CI135" s="268">
        <f>CD135*(1+CI163)</f>
        <v>0</v>
      </c>
      <c r="CJ135" s="268">
        <f>SUM(CF135:CI135)</f>
        <v>-3</v>
      </c>
      <c r="CK135" s="268">
        <f>CF135*(1+CK163)</f>
        <v>0</v>
      </c>
      <c r="CL135" s="268">
        <f>CG135*(1+CL163)</f>
        <v>0</v>
      </c>
      <c r="CM135" s="268">
        <f>CH135*(1+CM163)</f>
        <v>-3</v>
      </c>
      <c r="CN135" s="268">
        <f>CI135*(1+CN163)</f>
        <v>0</v>
      </c>
      <c r="CO135" s="268">
        <f>SUM(CK135:CN135)</f>
        <v>-3</v>
      </c>
      <c r="CP135" s="268">
        <f>CK135*(1+CP163)</f>
        <v>0</v>
      </c>
      <c r="CQ135" s="268">
        <f>CL135*(1+CQ163)</f>
        <v>0</v>
      </c>
      <c r="CR135" s="268">
        <f>CM135*(1+CR163)</f>
        <v>-3</v>
      </c>
      <c r="CS135" s="268">
        <f>CN135*(1+CS163)</f>
        <v>0</v>
      </c>
      <c r="CT135" s="268">
        <f>SUM(CP135:CS135)</f>
        <v>-3</v>
      </c>
      <c r="CU135" s="268">
        <f>CP135*(1+CU163)</f>
        <v>0</v>
      </c>
      <c r="CV135" s="268">
        <f>CQ135*(1+CV163)</f>
        <v>0</v>
      </c>
      <c r="CW135" s="268">
        <f>CR135*(1+CW163)</f>
        <v>-3</v>
      </c>
      <c r="CX135" s="268">
        <f>CS135*(1+CX163)</f>
        <v>0</v>
      </c>
      <c r="CY135" s="268">
        <f>SUM(CU135:CX135)</f>
        <v>-3</v>
      </c>
    </row>
    <row r="136" ht="12.75" customHeight="1" s="255">
      <c r="C136" s="270" t="inlineStr">
        <is>
          <t>Minority Interest Expense, after tax (enter as - )</t>
        </is>
      </c>
      <c r="D136" s="301">
        <f>INDEX('Inputs (2)'!$D$12:$AL$12,MATCH(D$7,'Inputs (2)'!$D$2:$AL$2,0))</f>
        <v>9</v>
      </c>
      <c r="E136" s="301">
        <f>INDEX('Inputs (2)'!$D$12:$AL$12,MATCH(E$7,'Inputs (2)'!$D$2:$AL$2,0))</f>
        <v>-6</v>
      </c>
      <c r="F136" s="301">
        <f>INDEX('Inputs (2)'!$D$12:$AL$12,MATCH(F$7,'Inputs (2)'!$D$2:$AL$2,0))</f>
        <v>-5</v>
      </c>
      <c r="G136" s="301">
        <f>INDEX('Inputs (2)'!$D$12:$AL$12,MATCH(G$7,'Inputs (2)'!$D$2:$AL$2,0))</f>
        <v>-18</v>
      </c>
      <c r="H136" s="268">
        <f>SUM(D136:G136)</f>
        <v>-20</v>
      </c>
      <c r="I136" s="301">
        <f>INDEX('Inputs (2)'!$D$12:$AL$12,MATCH(I$7,'Inputs (2)'!$D$2:$AL$2,0))</f>
        <v>-86</v>
      </c>
      <c r="J136" s="301">
        <f>INDEX('Inputs (2)'!$D$12:$AL$12,MATCH(J$7,'Inputs (2)'!$D$2:$AL$2,0))</f>
        <v>-7</v>
      </c>
      <c r="K136" s="301">
        <f>INDEX('Inputs (2)'!$D$12:$AL$12,MATCH(K$7,'Inputs (2)'!$D$2:$AL$2,0))</f>
        <v>4</v>
      </c>
      <c r="L136" s="301">
        <f>INDEX('Inputs (2)'!$D$12:$AL$12,MATCH(L$7,'Inputs (2)'!$D$2:$AL$2,0))</f>
        <v>-1</v>
      </c>
      <c r="M136" s="268">
        <f>SUM(I136:L136)</f>
        <v>-90</v>
      </c>
      <c r="N136" s="301">
        <f>INDEX('Inputs (2)'!$D$12:$AL$12,MATCH(N$7,'Inputs (2)'!$D$2:$AL$2,0))</f>
        <v>-8</v>
      </c>
      <c r="O136" s="301">
        <f>INDEX('Inputs (2)'!$D$12:$AL$12,MATCH(O$7,'Inputs (2)'!$D$2:$AL$2,0))</f>
        <v>-19</v>
      </c>
      <c r="P136" s="301">
        <f>INDEX('Inputs (2)'!$D$12:$AL$12,MATCH(P$7,'Inputs (2)'!$D$2:$AL$2,0))</f>
        <v>-3</v>
      </c>
      <c r="Q136" s="301">
        <f>INDEX('Inputs (2)'!$D$12:$AL$12,MATCH(Q$7,'Inputs (2)'!$D$2:$AL$2,0))</f>
        <v>-38</v>
      </c>
      <c r="R136" s="268">
        <f>SUM(N136:Q136)</f>
        <v>-68</v>
      </c>
      <c r="S136" s="301">
        <f>INDEX('Inputs (2)'!$D$12:$AL$12,MATCH(S$7,'Inputs (2)'!$D$2:$AL$2,0))</f>
        <v>-27</v>
      </c>
      <c r="T136" s="301">
        <f>INDEX('Inputs (2)'!$D$12:$AL$12,MATCH(T$7,'Inputs (2)'!$D$2:$AL$2,0))</f>
        <v>-7</v>
      </c>
      <c r="U136" s="301">
        <f>INDEX('Inputs (2)'!$D$12:$AL$12,MATCH(U$7,'Inputs (2)'!$D$2:$AL$2,0))</f>
        <v>-16</v>
      </c>
      <c r="V136" s="301">
        <f>INDEX('Inputs (2)'!$D$12:$AL$12,MATCH(V$7,'Inputs (2)'!$D$2:$AL$2,0))</f>
        <v>-44</v>
      </c>
      <c r="W136" s="268">
        <f>SUM(S136:V136)</f>
        <v>-94</v>
      </c>
      <c r="X136" s="301">
        <f>INDEX('Inputs (2)'!$D$12:$AL$12,MATCH(X$7,'Inputs (2)'!$D$2:$AL$2,0))</f>
        <v>-8</v>
      </c>
      <c r="Y136" s="301">
        <f>INDEX('Inputs (2)'!$D$12:$AL$12,MATCH(Y$7,'Inputs (2)'!$D$2:$AL$2,0))</f>
        <v>-3</v>
      </c>
      <c r="Z136" s="301">
        <f>INDEX('Inputs (2)'!$D$12:$AL$12,MATCH(Z$7,'Inputs (2)'!$D$2:$AL$2,0))</f>
        <v>-12</v>
      </c>
      <c r="AA136" s="301">
        <f>INDEX('Inputs (2)'!$D$12:$AL$12,MATCH(AA$7,'Inputs (2)'!$D$2:$AL$2,0))</f>
        <v>-28</v>
      </c>
      <c r="AB136" s="268">
        <f>SUM(X136:AA136)</f>
        <v>-51</v>
      </c>
      <c r="AC136" s="301">
        <f>INDEX('Inputs (2)'!$D$12:$AL$12,MATCH(AC$7,'Inputs (2)'!$D$2:$AL$2,0))</f>
        <v>-3</v>
      </c>
      <c r="AD136" s="301">
        <f>INDEX('Inputs (2)'!$D$12:$AL$12,MATCH(AD$7,'Inputs (2)'!$D$2:$AL$2,0))</f>
        <v>-16</v>
      </c>
      <c r="AE136" s="301">
        <f>INDEX('Inputs (2)'!$D$12:$AL$12,MATCH(AE$7,'Inputs (2)'!$D$2:$AL$2,0))</f>
        <v>-15</v>
      </c>
      <c r="AF136" s="301">
        <f>INDEX('Inputs (2)'!$D$12:$AL$12,MATCH(AF$7,'Inputs (2)'!$D$2:$AL$2,0))</f>
        <v>7</v>
      </c>
      <c r="AG136" s="268">
        <f>SUM(AC136:AF136)</f>
        <v>-27</v>
      </c>
      <c r="AH136" s="268">
        <f>INDEX('Inputs (2)'!$D$12:$AL$12,MATCH(AH$7,'Inputs (2)'!$D$2:$AL$2,0))</f>
        <v>-7</v>
      </c>
      <c r="AI136" s="268">
        <f>INDEX('Inputs (2)'!$D$12:$AL$12,MATCH(AI$7,'Inputs (2)'!$D$2:$AL$2,0))</f>
        <v>-29</v>
      </c>
      <c r="AJ136" s="268">
        <f>AE136*(1+AJ250)</f>
        <v>-15</v>
      </c>
      <c r="AK136" s="268">
        <f>AF136*(1+AK250)</f>
        <v>7</v>
      </c>
      <c r="AL136" s="268">
        <f>SUM(AH136:AK136)</f>
        <v>-44</v>
      </c>
      <c r="AM136" s="268">
        <f>AH136*(1+AM250)</f>
        <v>-7</v>
      </c>
      <c r="AN136" s="268">
        <f>AI136*(1+AN250)</f>
        <v>-29</v>
      </c>
      <c r="AO136" s="268">
        <f>AJ136*(1+AO250)</f>
        <v>-15</v>
      </c>
      <c r="AP136" s="268">
        <f>AK136*(1+AP250)</f>
        <v>7</v>
      </c>
      <c r="AQ136" s="268">
        <f>SUM(AM136:AP136)</f>
        <v>-44</v>
      </c>
      <c r="AR136" s="268">
        <f>AM136*(1+AR250)</f>
        <v>-7</v>
      </c>
      <c r="AS136" s="268">
        <f>AN136*(1+AS250)</f>
        <v>-29</v>
      </c>
      <c r="AT136" s="268">
        <f>AO136*(1+AT250)</f>
        <v>-15</v>
      </c>
      <c r="AU136" s="268">
        <f>AP136*(1+AU250)</f>
        <v>7</v>
      </c>
      <c r="AV136" s="268">
        <f>SUM(AR136:AU136)</f>
        <v>-44</v>
      </c>
      <c r="AW136" s="268">
        <f>AR136*(1+AW250)</f>
        <v>-7</v>
      </c>
      <c r="AX136" s="268">
        <f>AS136*(1+AX250)</f>
        <v>-29</v>
      </c>
      <c r="AY136" s="268">
        <f>AT136*(1+AY250)</f>
        <v>-15</v>
      </c>
      <c r="AZ136" s="268">
        <f>AU136*(1+AZ250)</f>
        <v>7</v>
      </c>
      <c r="BA136" s="268">
        <f>SUM(AW136:AZ136)</f>
        <v>-44</v>
      </c>
      <c r="BB136" s="268">
        <f>AW136*(1+BB250)</f>
        <v>-7</v>
      </c>
      <c r="BC136" s="268">
        <f>AX136*(1+BC250)</f>
        <v>-29</v>
      </c>
      <c r="BD136" s="268">
        <f>AY136*(1+BD250)</f>
        <v>-15</v>
      </c>
      <c r="BE136" s="268">
        <f>AZ136*(1+BE250)</f>
        <v>7</v>
      </c>
      <c r="BF136" s="268">
        <f>SUM(BB136:BE136)</f>
        <v>-44</v>
      </c>
      <c r="BG136" s="268">
        <f>BB136*(1+BG250)</f>
        <v>-7</v>
      </c>
      <c r="BH136" s="268">
        <f>BC136*(1+BH250)</f>
        <v>-29</v>
      </c>
      <c r="BI136" s="268">
        <f>BD136*(1+BI250)</f>
        <v>-15</v>
      </c>
      <c r="BJ136" s="268">
        <f>BE136*(1+BJ250)</f>
        <v>7</v>
      </c>
      <c r="BK136" s="268">
        <f>SUM(BG136:BJ136)</f>
        <v>-44</v>
      </c>
      <c r="BL136" s="268">
        <f>BG136*(1+BL250)</f>
        <v>-7</v>
      </c>
      <c r="BM136" s="268">
        <f>BH136*(1+BM250)</f>
        <v>-29</v>
      </c>
      <c r="BN136" s="268">
        <f>BI136*(1+BN250)</f>
        <v>-15</v>
      </c>
      <c r="BO136" s="268">
        <f>BJ136*(1+BO250)</f>
        <v>7</v>
      </c>
      <c r="BP136" s="268">
        <f>SUM(BL136:BO136)</f>
        <v>-44</v>
      </c>
      <c r="BQ136" s="268">
        <f>BL136*(1+BQ250)</f>
        <v>-7</v>
      </c>
      <c r="BR136" s="268">
        <f>BM136*(1+BR250)</f>
        <v>-29</v>
      </c>
      <c r="BS136" s="268">
        <f>BN136*(1+BS250)</f>
        <v>-15</v>
      </c>
      <c r="BT136" s="268">
        <f>BO136*(1+BT250)</f>
        <v>7</v>
      </c>
      <c r="BU136" s="268">
        <f>SUM(BQ136:BT136)</f>
        <v>-44</v>
      </c>
      <c r="BV136" s="268">
        <f>BQ136*(1+BV250)</f>
        <v>-7</v>
      </c>
      <c r="BW136" s="268">
        <f>BR136*(1+BW250)</f>
        <v>-29</v>
      </c>
      <c r="BX136" s="268">
        <f>BS136*(1+BX250)</f>
        <v>-15</v>
      </c>
      <c r="BY136" s="268">
        <f>BT136*(1+BY250)</f>
        <v>7</v>
      </c>
      <c r="BZ136" s="268">
        <f>SUM(BV136:BY136)</f>
        <v>-44</v>
      </c>
      <c r="CA136" s="268">
        <f>BV136*(1+CA250)</f>
        <v>-7</v>
      </c>
      <c r="CB136" s="268">
        <f>BW136*(1+CB250)</f>
        <v>-29</v>
      </c>
      <c r="CC136" s="268">
        <f>BX136*(1+CC250)</f>
        <v>-15</v>
      </c>
      <c r="CD136" s="268">
        <f>BY136*(1+CD250)</f>
        <v>7</v>
      </c>
      <c r="CE136" s="268">
        <f>SUM(CA136:CD136)</f>
        <v>-44</v>
      </c>
      <c r="CF136" s="268">
        <f>CA136*(1+CF250)</f>
        <v>-7</v>
      </c>
      <c r="CG136" s="268">
        <f>CB136*(1+CG250)</f>
        <v>-29</v>
      </c>
      <c r="CH136" s="268">
        <f>CC136*(1+CH250)</f>
        <v>-15</v>
      </c>
      <c r="CI136" s="268">
        <f>CD136*(1+CI250)</f>
        <v>7</v>
      </c>
      <c r="CJ136" s="268">
        <f>SUM(CF136:CI136)</f>
        <v>-44</v>
      </c>
      <c r="CK136" s="268">
        <f>CF136*(1+CK250)</f>
        <v>-7</v>
      </c>
      <c r="CL136" s="268">
        <f>CG136*(1+CL250)</f>
        <v>-29</v>
      </c>
      <c r="CM136" s="268">
        <f>CH136*(1+CM250)</f>
        <v>-15</v>
      </c>
      <c r="CN136" s="268">
        <f>CI136*(1+CN250)</f>
        <v>7</v>
      </c>
      <c r="CO136" s="268">
        <f>SUM(CK136:CN136)</f>
        <v>-44</v>
      </c>
      <c r="CP136" s="268">
        <f>CK136*(1+CP250)</f>
        <v>-7</v>
      </c>
      <c r="CQ136" s="268">
        <f>CL136*(1+CQ250)</f>
        <v>-29</v>
      </c>
      <c r="CR136" s="268">
        <f>CM136*(1+CR250)</f>
        <v>-15</v>
      </c>
      <c r="CS136" s="268">
        <f>CN136*(1+CS250)</f>
        <v>7</v>
      </c>
      <c r="CT136" s="268">
        <f>SUM(CP136:CS136)</f>
        <v>-44</v>
      </c>
      <c r="CU136" s="268">
        <f>CP136*(1+CU250)</f>
        <v>-7</v>
      </c>
      <c r="CV136" s="268">
        <f>CQ136*(1+CV250)</f>
        <v>-29</v>
      </c>
      <c r="CW136" s="268">
        <f>CR136*(1+CW250)</f>
        <v>-15</v>
      </c>
      <c r="CX136" s="268">
        <f>CS136*(1+CX250)</f>
        <v>7</v>
      </c>
      <c r="CY136" s="268">
        <f>SUM(CU136:CX136)</f>
        <v>-44</v>
      </c>
    </row>
    <row r="137" ht="12.75" customFormat="1" customHeight="1" s="287">
      <c r="A137" s="288" t="n"/>
      <c r="B137" s="259" t="n"/>
      <c r="C137" s="275" t="inlineStr">
        <is>
          <t>Net Income</t>
        </is>
      </c>
      <c r="D137" s="276">
        <f>SUM(D130,D131,D135,D136)</f>
        <v>-184</v>
      </c>
      <c r="E137" s="276">
        <f>SUM(E130,E131,E135,E136)</f>
        <v>516</v>
      </c>
      <c r="F137" s="276">
        <f>SUM(F130,F131,F135,F136)</f>
        <v>262</v>
      </c>
      <c r="G137" s="276">
        <f>SUM(G130,G131,G135,G136)</f>
        <v>551</v>
      </c>
      <c r="H137" s="276">
        <f>SUM(D137:G137)</f>
        <v>1145</v>
      </c>
      <c r="I137" s="276">
        <f>SUM(I130,I131,I135,I136)</f>
        <v>831</v>
      </c>
      <c r="J137" s="276">
        <f>SUM(J130,J131,J135,J136)</f>
        <v>362</v>
      </c>
      <c r="K137" s="276">
        <f>SUM(K130,K131,K135,K136)</f>
        <v>653</v>
      </c>
      <c r="L137" s="276">
        <f>SUM(L130,L131,L135,L136)</f>
        <v>231</v>
      </c>
      <c r="M137" s="276">
        <f>SUM(I137:L137)</f>
        <v>2077</v>
      </c>
      <c r="N137" s="276">
        <f>SUM(N130,N131,N135,N136)</f>
        <v>688</v>
      </c>
      <c r="O137" s="276">
        <f>SUM(O130,O131,O135,O136)</f>
        <v>206</v>
      </c>
      <c r="P137" s="276">
        <f>SUM(P130,P131,P135,P136)</f>
        <v>380</v>
      </c>
      <c r="Q137" s="276">
        <f>SUM(Q130,Q131,Q135,Q136)</f>
        <v>336</v>
      </c>
      <c r="R137" s="276">
        <f>SUM(N137:Q137)</f>
        <v>1610</v>
      </c>
      <c r="S137" s="276">
        <f>SUM(S130,S131,S135,S136)</f>
        <v>632</v>
      </c>
      <c r="T137" s="276">
        <f>SUM(T130,T131,T135,T136)</f>
        <v>622</v>
      </c>
      <c r="U137" s="276">
        <f>SUM(U130,U131,U135,U136)</f>
        <v>373</v>
      </c>
      <c r="V137" s="276">
        <f>SUM(V130,V131,V135,V136)</f>
        <v>616</v>
      </c>
      <c r="W137" s="276">
        <f>SUM(S137:V137)</f>
        <v>2243</v>
      </c>
      <c r="X137" s="276">
        <f>SUM(X130,X131,X135,X136)</f>
        <v>244</v>
      </c>
      <c r="Y137" s="276">
        <f>SUM(Y130,Y131,Y135,Y136)</f>
        <v>70</v>
      </c>
      <c r="Z137" s="276">
        <f>SUM(Z130,Z131,Z135,Z136)</f>
        <v>221</v>
      </c>
      <c r="AA137" s="276">
        <f>SUM(AA130,AA131,AA135,AA136)</f>
        <v>602</v>
      </c>
      <c r="AB137" s="276">
        <f>SUM(X137:AA137)</f>
        <v>1137</v>
      </c>
      <c r="AC137" s="276">
        <f>SUM(AC130,AC131,AC135,AC136)</f>
        <v>201</v>
      </c>
      <c r="AD137" s="276">
        <f>SUM(AD130,AD131,AD135,AD136)</f>
        <v>354</v>
      </c>
      <c r="AE137" s="276">
        <f>SUM(AE130,AE131,AE135,AE136)</f>
        <v>166</v>
      </c>
      <c r="AF137" s="276">
        <f>SUM(AF130,AF131,AF135,AF136)</f>
        <v>95</v>
      </c>
      <c r="AG137" s="276">
        <f>SUM(AC137:AF137)</f>
        <v>816</v>
      </c>
      <c r="AH137" s="276">
        <f>SUM(AH130,AH131,AH135,AH136)</f>
        <v>68</v>
      </c>
      <c r="AI137" s="276">
        <f>SUM(AI130,AI131,AI135,AI136)</f>
        <v>678</v>
      </c>
      <c r="AJ137" s="276">
        <f>SUM(AJ130,AJ131,AJ135,AJ136)</f>
        <v>-11</v>
      </c>
      <c r="AK137" s="276">
        <f>SUM(AK130,AK131,AK135,AK136)</f>
        <v>72</v>
      </c>
      <c r="AL137" s="276">
        <f>SUM(AH137:AK137)</f>
        <v>807</v>
      </c>
      <c r="AM137" s="276">
        <f>SUM(AM130,AM131,AM135,AM136)</f>
        <v>58</v>
      </c>
      <c r="AN137" s="276">
        <f>SUM(AN130,AN131,AN135,AN136)</f>
        <v>115</v>
      </c>
      <c r="AO137" s="276">
        <f>SUM(AO130,AO131,AO135,AO136)</f>
        <v>47</v>
      </c>
      <c r="AP137" s="276">
        <f>SUM(AP130,AP131,AP135,AP136)</f>
        <v>151</v>
      </c>
      <c r="AQ137" s="276">
        <f>SUM(AM137:AP137)</f>
        <v>371</v>
      </c>
      <c r="AR137" s="276">
        <f>SUM(AR130,AR131,AR135,AR136)</f>
        <v>137</v>
      </c>
      <c r="AS137" s="276">
        <f>SUM(AS130,AS131,AS135,AS136)</f>
        <v>389</v>
      </c>
      <c r="AT137" s="276">
        <f>SUM(AT130,AT131,AT135,AT136)</f>
        <v>126</v>
      </c>
      <c r="AU137" s="276">
        <f>SUM(AU130,AU131,AU135,AU136)</f>
        <v>425</v>
      </c>
      <c r="AV137" s="276">
        <f>SUM(AR137:AU137)</f>
        <v>1077</v>
      </c>
      <c r="AW137" s="276">
        <f>SUM(AW130,AW131,AW135,AW136)</f>
        <v>411</v>
      </c>
      <c r="AX137" s="276">
        <f>SUM(AX130,AX131,AX135,AX136)</f>
        <v>1095</v>
      </c>
      <c r="AY137" s="276">
        <f>SUM(AY130,AY131,AY135,AY136)</f>
        <v>400</v>
      </c>
      <c r="AZ137" s="276">
        <f>SUM(AZ130,AZ131,AZ135,AZ136)</f>
        <v>1131</v>
      </c>
      <c r="BA137" s="276">
        <f>SUM(AW137:AZ137)</f>
        <v>3037</v>
      </c>
      <c r="BB137" s="276">
        <f>SUM(BB130,BB131,BB135,BB136)</f>
        <v>1117</v>
      </c>
      <c r="BC137" s="276">
        <f>SUM(BC130,BC131,BC135,BC136)</f>
        <v>3055</v>
      </c>
      <c r="BD137" s="276">
        <f>SUM(BD130,BD131,BD135,BD136)</f>
        <v>1106</v>
      </c>
      <c r="BE137" s="276">
        <f>SUM(BE130,BE131,BE135,BE136)</f>
        <v>3091</v>
      </c>
      <c r="BF137" s="276">
        <f>SUM(BB137:BE137)</f>
        <v>8369</v>
      </c>
      <c r="BG137" s="276">
        <f>SUM(BG130,BG131,BG135,BG136)</f>
        <v>3077</v>
      </c>
      <c r="BH137" s="276">
        <f>SUM(BH130,BH131,BH135,BH136)</f>
        <v>8387</v>
      </c>
      <c r="BI137" s="276">
        <f>SUM(BI130,BI131,BI135,BI136)</f>
        <v>3066</v>
      </c>
      <c r="BJ137" s="276">
        <f>SUM(BJ130,BJ131,BJ135,BJ136)</f>
        <v>8423</v>
      </c>
      <c r="BK137" s="276">
        <f>SUM(BG137:BJ137)</f>
        <v>22953</v>
      </c>
      <c r="BL137" s="276">
        <f>SUM(BL130,BL131,BL135,BL136)</f>
        <v>8409</v>
      </c>
      <c r="BM137" s="276">
        <f>SUM(BM130,BM131,BM135,BM136)</f>
        <v>22971</v>
      </c>
      <c r="BN137" s="276">
        <f>SUM(BN130,BN131,BN135,BN136)</f>
        <v>8398</v>
      </c>
      <c r="BO137" s="276">
        <f>SUM(BO130,BO131,BO135,BO136)</f>
        <v>23007</v>
      </c>
      <c r="BP137" s="276">
        <f>SUM(BL137:BO137)</f>
        <v>62785</v>
      </c>
      <c r="BQ137" s="276">
        <f>SUM(BQ130,BQ131,BQ135,BQ136)</f>
        <v>22993</v>
      </c>
      <c r="BR137" s="276">
        <f>SUM(BR130,BR131,BR135,BR136)</f>
        <v>62803</v>
      </c>
      <c r="BS137" s="276">
        <f>SUM(BS130,BS131,BS135,BS136)</f>
        <v>22982</v>
      </c>
      <c r="BT137" s="276">
        <f>SUM(BT130,BT131,BT135,BT136)</f>
        <v>62839</v>
      </c>
      <c r="BU137" s="276">
        <f>SUM(BQ137:BT137)</f>
        <v>171617</v>
      </c>
      <c r="BV137" s="276">
        <f>SUM(BV130,BV131,BV135,BV136)</f>
        <v>62825</v>
      </c>
      <c r="BW137" s="276">
        <f>SUM(BW130,BW131,BW135,BW136)</f>
        <v>171635</v>
      </c>
      <c r="BX137" s="276">
        <f>SUM(BX130,BX131,BX135,BX136)</f>
        <v>62814</v>
      </c>
      <c r="BY137" s="276">
        <f>SUM(BY130,BY131,BY135,BY136)</f>
        <v>171671</v>
      </c>
      <c r="BZ137" s="276">
        <f>SUM(BV137:BY137)</f>
        <v>468945</v>
      </c>
      <c r="CA137" s="276">
        <f>SUM(CA130,CA131,CA135,CA136)</f>
        <v>171657</v>
      </c>
      <c r="CB137" s="276">
        <f>SUM(CB130,CB131,CB135,CB136)</f>
        <v>468963</v>
      </c>
      <c r="CC137" s="276">
        <f>SUM(CC130,CC131,CC135,CC136)</f>
        <v>171646</v>
      </c>
      <c r="CD137" s="276">
        <f>SUM(CD130,CD131,CD135,CD136)</f>
        <v>468999</v>
      </c>
      <c r="CE137" s="276">
        <f>SUM(CA137:CD137)</f>
        <v>1281265</v>
      </c>
      <c r="CF137" s="276">
        <f>SUM(CF130,CF131,CF135,CF136)</f>
        <v>468985</v>
      </c>
      <c r="CG137" s="276">
        <f>SUM(CG130,CG131,CG135,CG136)</f>
        <v>1281283</v>
      </c>
      <c r="CH137" s="276">
        <f>SUM(CH130,CH131,CH135,CH136)</f>
        <v>468974</v>
      </c>
      <c r="CI137" s="276">
        <f>SUM(CI130,CI131,CI135,CI136)</f>
        <v>1281319</v>
      </c>
      <c r="CJ137" s="276">
        <f>SUM(CF137:CI137)</f>
        <v>3500561</v>
      </c>
      <c r="CK137" s="276">
        <f>SUM(CK130,CK131,CK135,CK136)</f>
        <v>1281305</v>
      </c>
      <c r="CL137" s="276">
        <f>SUM(CL130,CL131,CL135,CL136)</f>
        <v>3500579</v>
      </c>
      <c r="CM137" s="276">
        <f>SUM(CM130,CM131,CM135,CM136)</f>
        <v>1281294</v>
      </c>
      <c r="CN137" s="276">
        <f>SUM(CN130,CN131,CN135,CN136)</f>
        <v>3500615</v>
      </c>
      <c r="CO137" s="276">
        <f>SUM(CK137:CN137)</f>
        <v>9563793</v>
      </c>
      <c r="CP137" s="276">
        <f>SUM(CP130,CP131,CP135,CP136)</f>
        <v>3500601</v>
      </c>
      <c r="CQ137" s="276">
        <f>SUM(CQ130,CQ131,CQ135,CQ136)</f>
        <v>9563811</v>
      </c>
      <c r="CR137" s="276">
        <f>SUM(CR130,CR131,CR135,CR136)</f>
        <v>3500590</v>
      </c>
      <c r="CS137" s="276">
        <f>SUM(CS130,CS131,CS135,CS136)</f>
        <v>9563847</v>
      </c>
      <c r="CT137" s="276">
        <f>SUM(CP137:CS137)</f>
        <v>26128849</v>
      </c>
      <c r="CU137" s="276">
        <f>SUM(CU130,CU131,CU135,CU136)</f>
        <v>9563833</v>
      </c>
      <c r="CV137" s="276">
        <f>SUM(CV130,CV131,CV135,CV136)</f>
        <v>26128867</v>
      </c>
      <c r="CW137" s="276">
        <f>SUM(CW130,CW131,CW135,CW136)</f>
        <v>9563822</v>
      </c>
      <c r="CX137" s="276">
        <f>SUM(CX130,CX131,CX135,CX136)</f>
        <v>26128903</v>
      </c>
      <c r="CY137" s="276">
        <f>SUM(CU137:CX137)</f>
        <v>71385425</v>
      </c>
    </row>
    <row r="138" ht="12.75" customHeight="1" s="255">
      <c r="C138" s="269" t="inlineStr">
        <is>
          <t>Common Dividends</t>
        </is>
      </c>
      <c r="D138" s="301">
        <f>INDEX('Inputs (2)'!$D$13:$AL$13,MATCH(D$7,'Inputs (2)'!$D$2:$AL$2,0))</f>
        <v>-79</v>
      </c>
      <c r="E138" s="301">
        <f>INDEX('Inputs (2)'!$D$13:$AL$13,MATCH(E$7,'Inputs (2)'!$D$2:$AL$2,0))</f>
        <v>-80</v>
      </c>
      <c r="F138" s="301">
        <f>INDEX('Inputs (2)'!$D$13:$AL$13,MATCH(F$7,'Inputs (2)'!$D$2:$AL$2,0))</f>
        <v>-78</v>
      </c>
      <c r="G138" s="301">
        <f>INDEX('Inputs (2)'!$D$13:$AL$13,MATCH(G$7,'Inputs (2)'!$D$2:$AL$2,0))</f>
        <v>-45</v>
      </c>
      <c r="H138" s="268">
        <f>SUM(D138:G138)</f>
        <v>-282</v>
      </c>
      <c r="I138" s="301">
        <f>INDEX('Inputs (2)'!$D$13:$AL$13,MATCH(I$7,'Inputs (2)'!$D$2:$AL$2,0))</f>
        <v>-79</v>
      </c>
      <c r="J138" s="301">
        <f>INDEX('Inputs (2)'!$D$13:$AL$13,MATCH(J$7,'Inputs (2)'!$D$2:$AL$2,0))</f>
        <v>-79</v>
      </c>
      <c r="K138" s="301">
        <f>INDEX('Inputs (2)'!$D$13:$AL$13,MATCH(K$7,'Inputs (2)'!$D$2:$AL$2,0))</f>
        <v>0</v>
      </c>
      <c r="L138" s="301">
        <f>INDEX('Inputs (2)'!$D$13:$AL$13,MATCH(L$7,'Inputs (2)'!$D$2:$AL$2,0))</f>
        <v>0</v>
      </c>
      <c r="M138" s="268">
        <f>SUM(I138:L138)</f>
        <v>-158</v>
      </c>
      <c r="N138" s="301">
        <f>INDEX('Inputs (2)'!$D$13:$AL$13,MATCH(N$7,'Inputs (2)'!$D$2:$AL$2,0))</f>
        <v>0</v>
      </c>
      <c r="O138" s="301">
        <f>INDEX('Inputs (2)'!$D$13:$AL$13,MATCH(O$7,'Inputs (2)'!$D$2:$AL$2,0))</f>
        <v>0</v>
      </c>
      <c r="P138" s="301">
        <f>INDEX('Inputs (2)'!$D$13:$AL$13,MATCH(P$7,'Inputs (2)'!$D$2:$AL$2,0))</f>
        <v>0</v>
      </c>
      <c r="Q138" s="301">
        <f>INDEX('Inputs (2)'!$D$13:$AL$13,MATCH(Q$7,'Inputs (2)'!$D$2:$AL$2,0))</f>
        <v>0</v>
      </c>
      <c r="R138" s="268">
        <f>SUM(N138:Q138)</f>
        <v>0</v>
      </c>
      <c r="S138" s="301">
        <f>INDEX('Inputs (2)'!$D$13:$AL$13,MATCH(S$7,'Inputs (2)'!$D$2:$AL$2,0))</f>
        <v>-94</v>
      </c>
      <c r="T138" s="301">
        <f>INDEX('Inputs (2)'!$D$13:$AL$13,MATCH(T$7,'Inputs (2)'!$D$2:$AL$2,0))</f>
        <v>-94</v>
      </c>
      <c r="U138" s="301">
        <f>INDEX('Inputs (2)'!$D$13:$AL$13,MATCH(U$7,'Inputs (2)'!$D$2:$AL$2,0))</f>
        <v>-99</v>
      </c>
      <c r="V138" s="301">
        <f>INDEX('Inputs (2)'!$D$13:$AL$13,MATCH(V$7,'Inputs (2)'!$D$2:$AL$2,0))</f>
        <v>-96</v>
      </c>
      <c r="W138" s="268">
        <f>SUM(S138:V138)</f>
        <v>-383</v>
      </c>
      <c r="X138" s="301">
        <f>INDEX('Inputs (2)'!$D$13:$AL$13,MATCH(X$7,'Inputs (2)'!$D$2:$AL$2,0))</f>
        <v>-95</v>
      </c>
      <c r="Y138" s="301">
        <f>INDEX('Inputs (2)'!$D$13:$AL$13,MATCH(Y$7,'Inputs (2)'!$D$2:$AL$2,0))</f>
        <v>-96</v>
      </c>
      <c r="Z138" s="301">
        <f>INDEX('Inputs (2)'!$D$13:$AL$13,MATCH(Z$7,'Inputs (2)'!$D$2:$AL$2,0))</f>
        <v>-96</v>
      </c>
      <c r="AA138" s="301">
        <f>INDEX('Inputs (2)'!$D$13:$AL$13,MATCH(AA$7,'Inputs (2)'!$D$2:$AL$2,0))</f>
        <v>-91</v>
      </c>
      <c r="AB138" s="268">
        <f>SUM(X138:AA138)</f>
        <v>-378</v>
      </c>
      <c r="AC138" s="301">
        <f>INDEX('Inputs (2)'!$D$13:$AL$13,MATCH(AC$7,'Inputs (2)'!$D$2:$AL$2,0))</f>
        <v>-91</v>
      </c>
      <c r="AD138" s="301">
        <f>INDEX('Inputs (2)'!$D$13:$AL$13,MATCH(AD$7,'Inputs (2)'!$D$2:$AL$2,0))</f>
        <v>-94</v>
      </c>
      <c r="AE138" s="301">
        <f>INDEX('Inputs (2)'!$D$13:$AL$13,MATCH(AE$7,'Inputs (2)'!$D$2:$AL$2,0))</f>
        <v>-139</v>
      </c>
      <c r="AF138" s="301">
        <f>INDEX('Inputs (2)'!$D$13:$AL$13,MATCH(AF$7,'Inputs (2)'!$D$2:$AL$2,0))</f>
        <v>-135</v>
      </c>
      <c r="AG138" s="268">
        <f>SUM(AC138:AF138)</f>
        <v>-459</v>
      </c>
      <c r="AH138" s="268">
        <f>INDEX('Inputs (2)'!$D$13:$AL$13,MATCH(AH$7,'Inputs (2)'!$D$2:$AL$2,0))</f>
        <v>-136</v>
      </c>
      <c r="AI138" s="268">
        <f>INDEX('Inputs (2)'!$D$13:$AL$13,MATCH(AI$7,'Inputs (2)'!$D$2:$AL$2,0))</f>
        <v>-139</v>
      </c>
      <c r="AJ138" s="268" t="n"/>
      <c r="AK138" s="268" t="n"/>
      <c r="AL138" s="268">
        <f>SUM(AH138:AK138)</f>
        <v>-275</v>
      </c>
      <c r="AM138" s="268" t="n"/>
      <c r="AN138" s="268" t="n"/>
      <c r="AO138" s="268" t="n"/>
      <c r="AP138" s="268" t="n"/>
      <c r="AQ138" s="268">
        <f>SUM(AM138:AP138)</f>
        <v>0</v>
      </c>
      <c r="AR138" s="268" t="n"/>
      <c r="AS138" s="268" t="n"/>
      <c r="AT138" s="268" t="n"/>
      <c r="AU138" s="268" t="n"/>
      <c r="AV138" s="268">
        <f>SUM(AR138:AU138)</f>
        <v>0</v>
      </c>
      <c r="AW138" s="268" t="n"/>
      <c r="AX138" s="268" t="n"/>
      <c r="AY138" s="268" t="n"/>
      <c r="AZ138" s="268" t="n"/>
      <c r="BA138" s="268">
        <f>SUM(AW138:AZ138)</f>
        <v>0</v>
      </c>
      <c r="BB138" s="268" t="n"/>
      <c r="BC138" s="268" t="n"/>
      <c r="BD138" s="268" t="n"/>
      <c r="BE138" s="268" t="n"/>
      <c r="BF138" s="268">
        <f>SUM(BB138:BE138)</f>
        <v>0</v>
      </c>
      <c r="BG138" s="268" t="n"/>
      <c r="BH138" s="268" t="n"/>
      <c r="BI138" s="268" t="n"/>
      <c r="BJ138" s="268" t="n"/>
      <c r="BK138" s="268">
        <f>SUM(BG138:BJ138)</f>
        <v>0</v>
      </c>
      <c r="BL138" s="268" t="n"/>
      <c r="BM138" s="268" t="n"/>
      <c r="BN138" s="268" t="n"/>
      <c r="BO138" s="268" t="n"/>
      <c r="BP138" s="268">
        <f>SUM(BL138:BO138)</f>
        <v>0</v>
      </c>
      <c r="BQ138" s="268" t="n"/>
      <c r="BR138" s="268" t="n"/>
      <c r="BS138" s="268" t="n"/>
      <c r="BT138" s="268" t="n"/>
      <c r="BU138" s="268">
        <f>SUM(BQ138:BT138)</f>
        <v>0</v>
      </c>
      <c r="BV138" s="268" t="n"/>
      <c r="BW138" s="268" t="n"/>
      <c r="BX138" s="268" t="n"/>
      <c r="BY138" s="268" t="n"/>
      <c r="BZ138" s="268">
        <f>SUM(BV138:BY138)</f>
        <v>0</v>
      </c>
      <c r="CA138" s="268" t="n"/>
      <c r="CB138" s="268" t="n"/>
      <c r="CC138" s="268" t="n"/>
      <c r="CD138" s="268" t="n"/>
      <c r="CE138" s="268">
        <f>SUM(CA138:CD138)</f>
        <v>0</v>
      </c>
      <c r="CF138" s="268" t="n"/>
      <c r="CG138" s="268" t="n"/>
      <c r="CH138" s="268" t="n"/>
      <c r="CI138" s="268" t="n"/>
      <c r="CJ138" s="268">
        <f>SUM(CF138:CI138)</f>
        <v>0</v>
      </c>
      <c r="CK138" s="268" t="n"/>
      <c r="CL138" s="268" t="n"/>
      <c r="CM138" s="268" t="n"/>
      <c r="CN138" s="268" t="n"/>
      <c r="CO138" s="268">
        <f>SUM(CK138:CN138)</f>
        <v>0</v>
      </c>
      <c r="CP138" s="268" t="n"/>
      <c r="CQ138" s="268" t="n"/>
      <c r="CR138" s="268" t="n"/>
      <c r="CS138" s="268" t="n"/>
      <c r="CT138" s="268">
        <f>SUM(CP138:CS138)</f>
        <v>0</v>
      </c>
      <c r="CU138" s="268" t="n"/>
      <c r="CV138" s="268" t="n"/>
      <c r="CW138" s="268" t="n"/>
      <c r="CX138" s="268" t="n"/>
      <c r="CY138" s="268">
        <f>SUM(CU138:CX138)</f>
        <v>0</v>
      </c>
    </row>
    <row r="139" hidden="1" outlineLevel="1" ht="12.75" customHeight="1" s="255">
      <c r="C139" s="305" t="inlineStr">
        <is>
          <t>% DVD Payout</t>
        </is>
      </c>
      <c r="D139" s="313">
        <f>-D138/D137</f>
        <v>-0.429347826086957</v>
      </c>
      <c r="E139" s="313">
        <f>-E138/E137</f>
        <v>0.155038759689922</v>
      </c>
      <c r="F139" s="313">
        <f>-F138/F137</f>
        <v>0.297709923664122</v>
      </c>
      <c r="G139" s="313">
        <f>-G138/G137</f>
        <v>0.0816696914700544</v>
      </c>
      <c r="H139" s="313">
        <f>-H138/H137</f>
        <v>0.246288209606987</v>
      </c>
      <c r="I139" s="313">
        <f>-I138/I137</f>
        <v>0.0950661853188929</v>
      </c>
      <c r="J139" s="313">
        <f>-J138/J137</f>
        <v>0.218232044198895</v>
      </c>
      <c r="K139" s="313">
        <f>-K138/K137</f>
        <v>0</v>
      </c>
      <c r="L139" s="313">
        <f>-L138/L137</f>
        <v>0</v>
      </c>
      <c r="M139" s="313">
        <f>-M138/M137</f>
        <v>0.0760712566201252</v>
      </c>
      <c r="N139" s="313">
        <f>-N138/N137</f>
        <v>0</v>
      </c>
      <c r="O139" s="313">
        <f>-O138/O137</f>
        <v>0</v>
      </c>
      <c r="P139" s="313">
        <f>-P138/P137</f>
        <v>0</v>
      </c>
      <c r="Q139" s="313">
        <f>-Q138/Q137</f>
        <v>0</v>
      </c>
      <c r="R139" s="313">
        <f>-R138/R137</f>
        <v>0</v>
      </c>
      <c r="S139" s="313">
        <f>-S138/S137</f>
        <v>0.14873417721519</v>
      </c>
      <c r="T139" s="313">
        <f>-T138/T137</f>
        <v>0.15112540192926</v>
      </c>
      <c r="U139" s="313">
        <f>-U138/U137</f>
        <v>0.265415549597855</v>
      </c>
      <c r="V139" s="313">
        <f>-V138/V137</f>
        <v>0.155844155844156</v>
      </c>
      <c r="W139" s="313">
        <f>-W138/W137</f>
        <v>0.170753455193937</v>
      </c>
      <c r="X139" s="313">
        <f>-X138/X137</f>
        <v>0.389344262295082</v>
      </c>
      <c r="Y139" s="313">
        <f>-Y138/Y137</f>
        <v>1.37142857142857</v>
      </c>
      <c r="Z139" s="313">
        <f>-Z138/Z137</f>
        <v>0.434389140271493</v>
      </c>
      <c r="AA139" s="313">
        <f>-AA138/AA137</f>
        <v>0.151162790697674</v>
      </c>
      <c r="AB139" s="313">
        <f>-AB138/AB137</f>
        <v>0.33245382585752</v>
      </c>
      <c r="AC139" s="313">
        <f>-AC138/AC137</f>
        <v>0.45273631840796</v>
      </c>
      <c r="AD139" s="313">
        <f>-AD138/AD137</f>
        <v>0.265536723163842</v>
      </c>
      <c r="AE139" s="313">
        <f>-AE138/AE137</f>
        <v>0.837349397590361</v>
      </c>
      <c r="AF139" s="297">
        <f>-AF138/AF137</f>
        <v>1.42105263157895</v>
      </c>
      <c r="AG139" s="268" t="n"/>
      <c r="AH139" s="297">
        <f>-AH138/AH137</f>
        <v>2</v>
      </c>
      <c r="AI139" s="297">
        <f>-AI138/AI137</f>
        <v>0.205014749262537</v>
      </c>
      <c r="AJ139" s="297" t="n"/>
      <c r="AK139" s="297" t="n"/>
      <c r="AL139" s="268">
        <f>-AL138/AL137</f>
        <v>0.340768277571252</v>
      </c>
      <c r="AM139" s="297" t="n"/>
      <c r="AN139" s="297" t="n"/>
      <c r="AO139" s="297" t="n"/>
      <c r="AP139" s="297" t="n"/>
      <c r="AQ139" s="268">
        <f>-AQ138/AQ137</f>
        <v>0</v>
      </c>
      <c r="AR139" s="297" t="n"/>
      <c r="AS139" s="297" t="n"/>
      <c r="AT139" s="297" t="n"/>
      <c r="AU139" s="297" t="n"/>
      <c r="AV139" s="268">
        <f>-AV138/AV137</f>
        <v>0</v>
      </c>
      <c r="AW139" s="297" t="n"/>
      <c r="AX139" s="297" t="n"/>
      <c r="AY139" s="297" t="n"/>
      <c r="AZ139" s="297" t="n"/>
      <c r="BA139" s="268">
        <f>-BA138/BA137</f>
        <v>0</v>
      </c>
      <c r="BB139" s="297" t="n"/>
      <c r="BC139" s="297" t="n"/>
      <c r="BD139" s="297" t="n"/>
      <c r="BE139" s="297" t="n"/>
      <c r="BF139" s="268">
        <f>-BF138/BF137</f>
        <v>0</v>
      </c>
      <c r="BG139" s="297" t="n"/>
      <c r="BH139" s="297" t="n"/>
      <c r="BI139" s="297" t="n"/>
      <c r="BJ139" s="297" t="n"/>
      <c r="BK139" s="268">
        <f>-BK138/BK137</f>
        <v>0</v>
      </c>
      <c r="BL139" s="297" t="n"/>
      <c r="BM139" s="297" t="n"/>
      <c r="BN139" s="297" t="n"/>
      <c r="BO139" s="297" t="n"/>
      <c r="BP139" s="268">
        <f>-BP138/BP137</f>
        <v>0</v>
      </c>
      <c r="BQ139" s="297" t="n"/>
      <c r="BR139" s="297" t="n"/>
      <c r="BS139" s="297" t="n"/>
      <c r="BT139" s="297" t="n"/>
      <c r="BU139" s="268">
        <f>-BU138/BU137</f>
        <v>0</v>
      </c>
      <c r="BV139" s="297" t="n"/>
      <c r="BW139" s="297" t="n"/>
      <c r="BX139" s="297" t="n"/>
      <c r="BY139" s="297" t="n"/>
      <c r="BZ139" s="268">
        <f>-BZ138/BZ137</f>
        <v>0</v>
      </c>
      <c r="CA139" s="297" t="n"/>
      <c r="CB139" s="297" t="n"/>
      <c r="CC139" s="297" t="n"/>
      <c r="CD139" s="297" t="n"/>
      <c r="CE139" s="268">
        <f>-CE138/CE137</f>
        <v>0</v>
      </c>
      <c r="CF139" s="297" t="n"/>
      <c r="CG139" s="297" t="n"/>
      <c r="CH139" s="297" t="n"/>
      <c r="CI139" s="297" t="n"/>
      <c r="CJ139" s="268">
        <f>-CJ138/CJ137</f>
        <v>0</v>
      </c>
      <c r="CK139" s="297" t="n"/>
      <c r="CL139" s="297" t="n"/>
      <c r="CM139" s="297" t="n"/>
      <c r="CN139" s="297" t="n"/>
      <c r="CO139" s="268">
        <f>-CO138/CO137</f>
        <v>0</v>
      </c>
      <c r="CP139" s="297" t="n"/>
      <c r="CQ139" s="297" t="n"/>
      <c r="CR139" s="297" t="n"/>
      <c r="CS139" s="297" t="n"/>
      <c r="CT139" s="268">
        <f>-CT138/CT137</f>
        <v>0</v>
      </c>
      <c r="CU139" s="297" t="n"/>
      <c r="CV139" s="297" t="n"/>
      <c r="CW139" s="297" t="n"/>
      <c r="CX139" s="297" t="n"/>
      <c r="CY139" s="268">
        <f>-CY138/CY137</f>
        <v>0</v>
      </c>
    </row>
    <row r="140" hidden="1" outlineLevel="1" ht="12.75" customHeight="1" s="255">
      <c r="C140" s="274" t="n"/>
      <c r="D140" s="259" t="n"/>
      <c r="E140" s="259" t="n"/>
      <c r="F140" s="259" t="n"/>
      <c r="G140" s="259" t="n"/>
      <c r="H140" s="259" t="n"/>
      <c r="I140" s="259" t="n"/>
      <c r="J140" s="259" t="n"/>
      <c r="K140" s="259" t="n"/>
      <c r="L140" s="259" t="n"/>
      <c r="M140" s="259" t="n"/>
      <c r="N140" s="259" t="n"/>
      <c r="O140" s="259" t="n"/>
      <c r="P140" s="259" t="n"/>
      <c r="Q140" s="259" t="n"/>
      <c r="R140" s="259" t="n"/>
      <c r="S140" s="259" t="n"/>
      <c r="T140" s="259" t="n"/>
      <c r="U140" s="259" t="n"/>
      <c r="V140" s="259" t="n"/>
      <c r="W140" s="259" t="n"/>
      <c r="X140" s="259" t="n"/>
      <c r="Y140" s="259" t="n"/>
      <c r="Z140" s="259" t="n"/>
      <c r="AA140" s="259" t="n"/>
      <c r="AB140" s="259" t="n"/>
      <c r="AC140" s="259" t="n"/>
      <c r="AD140" s="259" t="n"/>
      <c r="AE140" s="259" t="n"/>
      <c r="AF140" s="259" t="n"/>
      <c r="AG140" s="259" t="n"/>
      <c r="AH140" s="259" t="n"/>
      <c r="AI140" s="259" t="n"/>
      <c r="AJ140" s="259" t="n"/>
      <c r="AK140" s="259" t="n"/>
      <c r="AL140" s="259" t="n"/>
      <c r="AM140" s="259" t="n"/>
      <c r="AN140" s="259" t="n"/>
      <c r="AO140" s="259" t="n"/>
      <c r="AP140" s="259" t="n"/>
      <c r="AQ140" s="259" t="n"/>
      <c r="AR140" s="259" t="n"/>
      <c r="AS140" s="259" t="n"/>
      <c r="AT140" s="259" t="n"/>
      <c r="AU140" s="259" t="n"/>
      <c r="AV140" s="259" t="n"/>
      <c r="AW140" s="259" t="n"/>
      <c r="AX140" s="259" t="n"/>
      <c r="AY140" s="259" t="n"/>
      <c r="AZ140" s="259" t="n"/>
      <c r="BA140" s="259" t="n"/>
      <c r="BB140" s="259" t="n"/>
      <c r="BC140" s="259" t="n"/>
      <c r="BD140" s="259" t="n"/>
      <c r="BE140" s="259" t="n"/>
      <c r="BF140" s="259" t="n"/>
      <c r="BG140" s="259" t="n"/>
      <c r="BH140" s="259" t="n"/>
      <c r="BI140" s="259" t="n"/>
      <c r="BJ140" s="259" t="n"/>
      <c r="BK140" s="259" t="n"/>
      <c r="BL140" s="259" t="n"/>
      <c r="BM140" s="259" t="n"/>
      <c r="BN140" s="259" t="n"/>
      <c r="BO140" s="259" t="n"/>
      <c r="BP140" s="259" t="n"/>
      <c r="BQ140" s="259" t="n"/>
      <c r="BR140" s="259" t="n"/>
      <c r="BS140" s="259" t="n"/>
      <c r="BT140" s="259" t="n"/>
      <c r="BU140" s="259" t="n"/>
      <c r="BV140" s="259" t="n"/>
      <c r="BW140" s="259" t="n"/>
      <c r="BX140" s="259" t="n"/>
      <c r="BY140" s="259" t="n"/>
      <c r="BZ140" s="259" t="n"/>
      <c r="CA140" s="259" t="n"/>
      <c r="CB140" s="259" t="n"/>
      <c r="CC140" s="259" t="n"/>
      <c r="CD140" s="259" t="n"/>
      <c r="CE140" s="259" t="n"/>
      <c r="CF140" s="259" t="n"/>
      <c r="CG140" s="259" t="n"/>
      <c r="CH140" s="259" t="n"/>
      <c r="CI140" s="259" t="n"/>
      <c r="CJ140" s="259" t="n"/>
      <c r="CK140" s="259" t="n"/>
      <c r="CL140" s="259" t="n"/>
      <c r="CM140" s="259" t="n"/>
      <c r="CN140" s="259" t="n"/>
      <c r="CO140" s="259" t="n"/>
      <c r="CP140" s="259" t="n"/>
      <c r="CQ140" s="259" t="n"/>
      <c r="CR140" s="259" t="n"/>
      <c r="CS140" s="259" t="n"/>
      <c r="CT140" s="259" t="n"/>
      <c r="CU140" s="259" t="n"/>
      <c r="CV140" s="259" t="n"/>
      <c r="CW140" s="259" t="n"/>
      <c r="CX140" s="259" t="n"/>
      <c r="CY140" s="259" t="n"/>
    </row>
    <row r="141" hidden="1" outlineLevel="1" ht="12.75" customHeight="1" s="255">
      <c r="C141" s="274" t="n"/>
      <c r="D141" s="259" t="n"/>
      <c r="E141" s="259" t="n"/>
      <c r="F141" s="259" t="n"/>
      <c r="G141" s="259" t="n"/>
      <c r="H141" s="259" t="n"/>
      <c r="I141" s="259" t="n"/>
      <c r="J141" s="259" t="n"/>
      <c r="K141" s="259" t="n"/>
      <c r="L141" s="259" t="n"/>
      <c r="M141" s="259" t="n"/>
      <c r="N141" s="259" t="n"/>
      <c r="O141" s="259" t="n"/>
      <c r="P141" s="259" t="n"/>
      <c r="Q141" s="259" t="n"/>
      <c r="R141" s="259" t="n"/>
      <c r="S141" s="259" t="n"/>
      <c r="T141" s="259" t="n"/>
      <c r="U141" s="259" t="n"/>
      <c r="V141" s="259" t="n"/>
      <c r="W141" s="259" t="n"/>
      <c r="X141" s="259" t="n"/>
      <c r="Y141" s="259" t="n"/>
      <c r="Z141" s="259" t="n"/>
      <c r="AA141" s="259" t="n"/>
      <c r="AB141" s="259" t="n"/>
      <c r="AC141" s="259" t="n"/>
      <c r="AD141" s="259" t="n"/>
      <c r="AE141" s="259" t="n"/>
      <c r="AF141" s="259" t="n"/>
      <c r="AG141" s="259" t="n"/>
      <c r="AH141" s="259" t="n"/>
      <c r="AI141" s="259" t="n"/>
      <c r="AJ141" s="259" t="n"/>
      <c r="AK141" s="259" t="n"/>
      <c r="AL141" s="259" t="n"/>
      <c r="AM141" s="259" t="n"/>
      <c r="AN141" s="259" t="n"/>
      <c r="AO141" s="259" t="n"/>
      <c r="AP141" s="259" t="n"/>
      <c r="AQ141" s="259" t="n"/>
      <c r="AR141" s="259" t="n"/>
      <c r="AS141" s="259" t="n"/>
      <c r="AT141" s="259" t="n"/>
      <c r="AU141" s="259" t="n"/>
      <c r="AV141" s="259" t="n"/>
      <c r="AW141" s="259" t="n"/>
      <c r="AX141" s="259" t="n"/>
      <c r="AY141" s="259" t="n"/>
      <c r="AZ141" s="259" t="n"/>
      <c r="BA141" s="259" t="n"/>
      <c r="BB141" s="259" t="n"/>
      <c r="BC141" s="259" t="n"/>
      <c r="BD141" s="259" t="n"/>
      <c r="BE141" s="259" t="n"/>
      <c r="BF141" s="259" t="n"/>
      <c r="BG141" s="259" t="n"/>
      <c r="BH141" s="259" t="n"/>
      <c r="BI141" s="259" t="n"/>
      <c r="BJ141" s="259" t="n"/>
      <c r="BK141" s="259" t="n"/>
      <c r="BL141" s="259" t="n"/>
      <c r="BM141" s="259" t="n"/>
      <c r="BN141" s="259" t="n"/>
      <c r="BO141" s="259" t="n"/>
      <c r="BP141" s="259" t="n"/>
      <c r="BQ141" s="259" t="n"/>
      <c r="BR141" s="259" t="n"/>
      <c r="BS141" s="259" t="n"/>
      <c r="BT141" s="259" t="n"/>
      <c r="BU141" s="259" t="n"/>
      <c r="BV141" s="259" t="n"/>
      <c r="BW141" s="259" t="n"/>
      <c r="BX141" s="259" t="n"/>
      <c r="BY141" s="259" t="n"/>
      <c r="BZ141" s="259" t="n"/>
      <c r="CA141" s="259" t="n"/>
      <c r="CB141" s="259" t="n"/>
      <c r="CC141" s="259" t="n"/>
      <c r="CD141" s="259" t="n"/>
      <c r="CE141" s="259" t="n"/>
      <c r="CF141" s="259" t="n"/>
      <c r="CG141" s="259" t="n"/>
      <c r="CH141" s="259" t="n"/>
      <c r="CI141" s="259" t="n"/>
      <c r="CJ141" s="259" t="n"/>
      <c r="CK141" s="259" t="n"/>
      <c r="CL141" s="259" t="n"/>
      <c r="CM141" s="259" t="n"/>
      <c r="CN141" s="259" t="n"/>
      <c r="CO141" s="259" t="n"/>
      <c r="CP141" s="259" t="n"/>
      <c r="CQ141" s="259" t="n"/>
      <c r="CR141" s="259" t="n"/>
      <c r="CS141" s="259" t="n"/>
      <c r="CT141" s="259" t="n"/>
      <c r="CU141" s="259" t="n"/>
      <c r="CV141" s="259" t="n"/>
      <c r="CW141" s="259" t="n"/>
      <c r="CX141" s="259" t="n"/>
      <c r="CY141" s="259" t="n"/>
    </row>
    <row r="142" ht="11.25" customHeight="1" s="255">
      <c r="C142" s="289" t="inlineStr">
        <is>
          <t>Balance Sheet</t>
        </is>
      </c>
      <c r="D142" s="289" t="str">
        <f>D13</f>
        <v>1Q20</v>
      </c>
      <c r="E142" s="289" t="str">
        <f>E13</f>
        <v>2Q20</v>
      </c>
      <c r="F142" s="289" t="str">
        <f>F13</f>
        <v>3Q20</v>
      </c>
      <c r="G142" s="289" t="str">
        <f>G13</f>
        <v>4Q20</v>
      </c>
      <c r="H142" s="289">
        <f>H13</f>
        <v>2020</v>
      </c>
      <c r="I142" s="289" t="str">
        <f>I13</f>
        <v>1Q21</v>
      </c>
      <c r="J142" s="289" t="str">
        <f>J13</f>
        <v>2Q21</v>
      </c>
      <c r="K142" s="289" t="str">
        <f>K13</f>
        <v>3Q21</v>
      </c>
      <c r="L142" s="289" t="str">
        <f>L13</f>
        <v>4Q21</v>
      </c>
      <c r="M142" s="289">
        <f>M13</f>
        <v>2021</v>
      </c>
      <c r="N142" s="289" t="str">
        <f>N13</f>
        <v>1Q22</v>
      </c>
      <c r="O142" s="289" t="str">
        <f>O13</f>
        <v>2Q22</v>
      </c>
      <c r="P142" s="289" t="str">
        <f>P13</f>
        <v>3Q22</v>
      </c>
      <c r="Q142" s="289" t="str">
        <f>Q13</f>
        <v>4Q22</v>
      </c>
      <c r="R142" s="289">
        <f>R13</f>
        <v>2022</v>
      </c>
      <c r="S142" s="289" t="str">
        <f>S13</f>
        <v>1Q23</v>
      </c>
      <c r="T142" s="289" t="str">
        <f>T13</f>
        <v>2Q23</v>
      </c>
      <c r="U142" s="289" t="str">
        <f>U13</f>
        <v>3Q23</v>
      </c>
      <c r="V142" s="289" t="str">
        <f>V13</f>
        <v>4Q23</v>
      </c>
      <c r="W142" s="289">
        <f>W13</f>
        <v>2023</v>
      </c>
      <c r="X142" s="289" t="str">
        <f>X13</f>
        <v>1Q24</v>
      </c>
      <c r="Y142" s="289" t="str">
        <f>Y13</f>
        <v>2Q24</v>
      </c>
      <c r="Z142" s="289" t="str">
        <f>Z13</f>
        <v>3Q24</v>
      </c>
      <c r="AA142" s="289" t="str">
        <f>AA13</f>
        <v>4Q24</v>
      </c>
      <c r="AB142" s="289">
        <f>AB13</f>
        <v>2024</v>
      </c>
      <c r="AC142" s="289" t="str">
        <f>AC13</f>
        <v>1Q25</v>
      </c>
      <c r="AD142" s="289" t="str">
        <f>AD13</f>
        <v>2Q25</v>
      </c>
      <c r="AE142" s="289" t="str">
        <f>AE13</f>
        <v>3Q25</v>
      </c>
      <c r="AF142" s="289" t="str">
        <f>AF13</f>
        <v>4Q25</v>
      </c>
      <c r="AG142" s="289">
        <f>AG13</f>
        <v>2025</v>
      </c>
      <c r="AH142" s="289" t="str">
        <f>AH13</f>
        <v>1Q26</v>
      </c>
      <c r="AI142" s="289" t="str">
        <f>AI13</f>
        <v>2Q26</v>
      </c>
      <c r="AJ142" s="289" t="str">
        <f>AJ13</f>
        <v>3Q26</v>
      </c>
      <c r="AK142" s="289" t="str">
        <f>AK13</f>
        <v>4Q26</v>
      </c>
      <c r="AL142" s="289">
        <f>AL13</f>
        <v>2026</v>
      </c>
      <c r="AM142" s="289" t="str">
        <f>AM13</f>
        <v>1Q27</v>
      </c>
      <c r="AN142" s="289" t="str">
        <f>AN13</f>
        <v>2Q27</v>
      </c>
      <c r="AO142" s="289" t="str">
        <f>AO13</f>
        <v>3Q27</v>
      </c>
      <c r="AP142" s="289" t="str">
        <f>AP13</f>
        <v>4Q27</v>
      </c>
      <c r="AQ142" s="289">
        <f>AQ13</f>
        <v>2027</v>
      </c>
      <c r="AR142" s="289" t="str">
        <f>AR13</f>
        <v>1Q28</v>
      </c>
      <c r="AS142" s="289" t="str">
        <f>AS13</f>
        <v>2Q28</v>
      </c>
      <c r="AT142" s="289" t="str">
        <f>AT13</f>
        <v>3Q28</v>
      </c>
      <c r="AU142" s="289" t="str">
        <f>AU13</f>
        <v>4Q28</v>
      </c>
      <c r="AV142" s="289">
        <f>AV13</f>
        <v>2028</v>
      </c>
      <c r="AW142" s="289" t="str">
        <f>AW13</f>
        <v>1Q29</v>
      </c>
      <c r="AX142" s="289" t="str">
        <f>AX13</f>
        <v>2Q29</v>
      </c>
      <c r="AY142" s="289" t="str">
        <f>AY13</f>
        <v>3Q29</v>
      </c>
      <c r="AZ142" s="289" t="str">
        <f>AZ13</f>
        <v>4Q29</v>
      </c>
      <c r="BA142" s="289">
        <f>BA13</f>
        <v>2029</v>
      </c>
      <c r="BB142" s="289" t="str">
        <f>BB13</f>
        <v>1Q30</v>
      </c>
      <c r="BC142" s="289" t="str">
        <f>BC13</f>
        <v>2Q30</v>
      </c>
      <c r="BD142" s="289" t="str">
        <f>BD13</f>
        <v>3Q30</v>
      </c>
      <c r="BE142" s="289" t="str">
        <f>BE13</f>
        <v>4Q30</v>
      </c>
      <c r="BF142" s="289">
        <f>BF13</f>
        <v>2030</v>
      </c>
      <c r="BG142" s="289" t="str">
        <f>BG13</f>
        <v>1Q31</v>
      </c>
      <c r="BH142" s="289" t="str">
        <f>BH13</f>
        <v>2Q31</v>
      </c>
      <c r="BI142" s="289" t="str">
        <f>BI13</f>
        <v>3Q31</v>
      </c>
      <c r="BJ142" s="289" t="str">
        <f>BJ13</f>
        <v>4Q31</v>
      </c>
      <c r="BK142" s="289">
        <f>BK13</f>
        <v>2031</v>
      </c>
      <c r="BL142" s="289" t="str">
        <f>BL13</f>
        <v>1Q32</v>
      </c>
      <c r="BM142" s="289" t="str">
        <f>BM13</f>
        <v>2Q32</v>
      </c>
      <c r="BN142" s="289" t="str">
        <f>BN13</f>
        <v>3Q32</v>
      </c>
      <c r="BO142" s="289" t="str">
        <f>BO13</f>
        <v>4Q32</v>
      </c>
      <c r="BP142" s="289">
        <f>BP13</f>
        <v>2032</v>
      </c>
      <c r="BQ142" s="289" t="str">
        <f>BQ13</f>
        <v>1Q33</v>
      </c>
      <c r="BR142" s="289" t="str">
        <f>BR13</f>
        <v>2Q33</v>
      </c>
      <c r="BS142" s="289" t="str">
        <f>BS13</f>
        <v>3Q33</v>
      </c>
      <c r="BT142" s="289" t="str">
        <f>BT13</f>
        <v>4Q33</v>
      </c>
      <c r="BU142" s="289">
        <f>BU13</f>
        <v>2033</v>
      </c>
      <c r="BV142" s="289" t="str">
        <f>BV13</f>
        <v>1Q34</v>
      </c>
      <c r="BW142" s="289" t="str">
        <f>BW13</f>
        <v>2Q34</v>
      </c>
      <c r="BX142" s="289" t="str">
        <f>BX13</f>
        <v>3Q34</v>
      </c>
      <c r="BY142" s="289" t="str">
        <f>BY13</f>
        <v>4Q34</v>
      </c>
      <c r="BZ142" s="289">
        <f>BZ13</f>
        <v>2034</v>
      </c>
      <c r="CA142" s="289" t="str">
        <f>CA13</f>
        <v>1Q35</v>
      </c>
      <c r="CB142" s="289" t="str">
        <f>CB13</f>
        <v>2Q35</v>
      </c>
      <c r="CC142" s="289" t="str">
        <f>CC13</f>
        <v>3Q35</v>
      </c>
      <c r="CD142" s="289" t="str">
        <f>CD13</f>
        <v>4Q35</v>
      </c>
      <c r="CE142" s="289">
        <f>CE13</f>
        <v>2035</v>
      </c>
      <c r="CF142" s="289" t="str">
        <f>CF13</f>
        <v>1Q36</v>
      </c>
      <c r="CG142" s="289" t="str">
        <f>CG13</f>
        <v>2Q36</v>
      </c>
      <c r="CH142" s="289" t="str">
        <f>CH13</f>
        <v>3Q36</v>
      </c>
      <c r="CI142" s="289" t="str">
        <f>CI13</f>
        <v>4Q36</v>
      </c>
      <c r="CJ142" s="289">
        <f>CJ13</f>
        <v>2036</v>
      </c>
      <c r="CK142" s="289" t="str">
        <f>CK13</f>
        <v>1Q37</v>
      </c>
      <c r="CL142" s="289" t="str">
        <f>CL13</f>
        <v>2Q37</v>
      </c>
      <c r="CM142" s="289" t="str">
        <f>CM13</f>
        <v>3Q37</v>
      </c>
      <c r="CN142" s="289" t="str">
        <f>CN13</f>
        <v>4Q37</v>
      </c>
      <c r="CO142" s="289">
        <f>CO13</f>
        <v>2037</v>
      </c>
      <c r="CP142" s="289" t="str">
        <f>CP13</f>
        <v>1Q38</v>
      </c>
      <c r="CQ142" s="289" t="str">
        <f>CQ13</f>
        <v>2Q38</v>
      </c>
      <c r="CR142" s="289" t="str">
        <f>CR13</f>
        <v>3Q38</v>
      </c>
      <c r="CS142" s="289" t="str">
        <f>CS13</f>
        <v>4Q38</v>
      </c>
      <c r="CT142" s="289">
        <f>CT13</f>
        <v>2038</v>
      </c>
      <c r="CU142" s="289" t="str">
        <f>CU13</f>
        <v>1Q39</v>
      </c>
      <c r="CV142" s="289" t="str">
        <f>CV13</f>
        <v>2Q39</v>
      </c>
      <c r="CW142" s="289" t="str">
        <f>CW13</f>
        <v>3Q39</v>
      </c>
      <c r="CX142" s="289" t="str">
        <f>CX13</f>
        <v>4Q39</v>
      </c>
      <c r="CY142" s="289">
        <f>CY13</f>
        <v>2039</v>
      </c>
    </row>
    <row r="143" ht="12.75" customHeight="1" s="255">
      <c r="C143" s="274" t="n"/>
      <c r="D143" s="259" t="n"/>
      <c r="E143" s="259" t="n"/>
      <c r="F143" s="259" t="n"/>
      <c r="G143" s="259" t="n"/>
      <c r="H143" s="259" t="n"/>
      <c r="I143" s="259" t="n"/>
      <c r="J143" s="259" t="n"/>
      <c r="K143" s="259" t="n"/>
      <c r="L143" s="259" t="n"/>
      <c r="M143" s="259" t="n"/>
      <c r="N143" s="259" t="n"/>
      <c r="O143" s="259" t="n"/>
      <c r="P143" s="259" t="n"/>
      <c r="Q143" s="259" t="n"/>
      <c r="R143" s="259" t="n"/>
      <c r="S143" s="259" t="n"/>
      <c r="T143" s="259" t="n"/>
      <c r="U143" s="259" t="n"/>
      <c r="V143" s="259" t="n"/>
      <c r="W143" s="259" t="n"/>
      <c r="X143" s="259" t="n"/>
      <c r="Y143" s="259" t="n"/>
      <c r="Z143" s="259" t="n"/>
      <c r="AA143" s="259" t="n"/>
      <c r="AB143" s="259" t="n"/>
      <c r="AC143" s="259" t="n"/>
      <c r="AD143" s="259" t="n"/>
      <c r="AE143" s="259" t="n"/>
      <c r="AF143" s="259" t="n"/>
      <c r="AG143" s="259" t="n"/>
      <c r="AH143" s="259" t="n"/>
      <c r="AI143" s="259" t="n"/>
      <c r="AJ143" s="259" t="n"/>
      <c r="AK143" s="259" t="n"/>
      <c r="AL143" s="259" t="n"/>
      <c r="AM143" s="259" t="n"/>
      <c r="AN143" s="259" t="n"/>
      <c r="AO143" s="259" t="n"/>
      <c r="AP143" s="259" t="n"/>
      <c r="AQ143" s="259" t="n"/>
      <c r="AR143" s="259" t="n"/>
      <c r="AS143" s="259" t="n"/>
      <c r="AT143" s="259" t="n"/>
      <c r="AU143" s="259" t="n"/>
      <c r="AV143" s="259" t="n"/>
      <c r="AW143" s="259" t="n"/>
      <c r="AX143" s="259" t="n"/>
      <c r="AY143" s="259" t="n"/>
      <c r="AZ143" s="259" t="n"/>
      <c r="BA143" s="259" t="n"/>
      <c r="BB143" s="259" t="n"/>
      <c r="BC143" s="259" t="n"/>
      <c r="BD143" s="259" t="n"/>
      <c r="BE143" s="259" t="n"/>
      <c r="BF143" s="259" t="n"/>
      <c r="BG143" s="259" t="n"/>
      <c r="BH143" s="259" t="n"/>
      <c r="BI143" s="259" t="n"/>
      <c r="BJ143" s="259" t="n"/>
      <c r="BK143" s="259" t="n"/>
      <c r="BL143" s="259" t="n"/>
      <c r="BM143" s="259" t="n"/>
      <c r="BN143" s="259" t="n"/>
      <c r="BO143" s="259" t="n"/>
      <c r="BP143" s="259" t="n"/>
      <c r="BQ143" s="259" t="n"/>
      <c r="BR143" s="259" t="n"/>
      <c r="BS143" s="259" t="n"/>
      <c r="BT143" s="259" t="n"/>
      <c r="BU143" s="259" t="n"/>
      <c r="BV143" s="259" t="n"/>
      <c r="BW143" s="259" t="n"/>
      <c r="BX143" s="259" t="n"/>
      <c r="BY143" s="259" t="n"/>
      <c r="BZ143" s="259" t="n"/>
      <c r="CA143" s="259" t="n"/>
      <c r="CB143" s="259" t="n"/>
      <c r="CC143" s="259" t="n"/>
      <c r="CD143" s="259" t="n"/>
      <c r="CE143" s="259" t="n"/>
      <c r="CF143" s="259" t="n"/>
      <c r="CG143" s="259" t="n"/>
      <c r="CH143" s="259" t="n"/>
      <c r="CI143" s="259" t="n"/>
      <c r="CJ143" s="259" t="n"/>
      <c r="CK143" s="259" t="n"/>
      <c r="CL143" s="259" t="n"/>
      <c r="CM143" s="259" t="n"/>
      <c r="CN143" s="259" t="n"/>
      <c r="CO143" s="259" t="n"/>
      <c r="CP143" s="259" t="n"/>
      <c r="CQ143" s="259" t="n"/>
      <c r="CR143" s="259" t="n"/>
      <c r="CS143" s="259" t="n"/>
      <c r="CT143" s="259" t="n"/>
      <c r="CU143" s="259" t="n"/>
      <c r="CV143" s="259" t="n"/>
      <c r="CW143" s="259" t="n"/>
      <c r="CX143" s="259" t="n"/>
      <c r="CY143" s="259" t="n"/>
    </row>
    <row r="144" ht="12.75" customHeight="1" s="255">
      <c r="C144" s="269" t="inlineStr">
        <is>
          <t>Cash and equivalents (inc. investment securities)</t>
        </is>
      </c>
      <c r="D144" s="301">
        <f>INDEX('Inputs (2)'!$D$15:$AL$15,MATCH(D$7,'Inputs (2)'!$D$2:$AL$2,0))</f>
        <v>193</v>
      </c>
      <c r="E144" s="301">
        <f>INDEX('Inputs (2)'!$D$15:$AL$15,MATCH(E$7,'Inputs (2)'!$D$2:$AL$2,0))</f>
        <v>277</v>
      </c>
      <c r="F144" s="301">
        <f>INDEX('Inputs (2)'!$D$15:$AL$15,MATCH(F$7,'Inputs (2)'!$D$2:$AL$2,0))</f>
        <v>291</v>
      </c>
      <c r="G144" s="301">
        <f>INDEX('Inputs (2)'!$D$15:$AL$15,MATCH(G$7,'Inputs (2)'!$D$2:$AL$2,0))</f>
        <v>352</v>
      </c>
      <c r="H144" s="268">
        <f>G144</f>
        <v>352</v>
      </c>
      <c r="I144" s="301">
        <f>INDEX('Inputs (2)'!$D$15:$AL$15,MATCH(I$7,'Inputs (2)'!$D$2:$AL$2,0))</f>
        <v>226</v>
      </c>
      <c r="J144" s="301">
        <f>INDEX('Inputs (2)'!$D$15:$AL$15,MATCH(J$7,'Inputs (2)'!$D$2:$AL$2,0))</f>
        <v>464</v>
      </c>
      <c r="K144" s="301">
        <f>INDEX('Inputs (2)'!$D$15:$AL$15,MATCH(K$7,'Inputs (2)'!$D$2:$AL$2,0))</f>
        <v>1033</v>
      </c>
      <c r="L144" s="301">
        <f>INDEX('Inputs (2)'!$D$15:$AL$15,MATCH(L$7,'Inputs (2)'!$D$2:$AL$2,0))</f>
        <v>902</v>
      </c>
      <c r="M144" s="268">
        <f>L144</f>
        <v>902</v>
      </c>
      <c r="N144" s="301">
        <f>INDEX('Inputs (2)'!$D$15:$AL$15,MATCH(N$7,'Inputs (2)'!$D$2:$AL$2,0))</f>
        <v>386</v>
      </c>
      <c r="O144" s="301">
        <f>INDEX('Inputs (2)'!$D$15:$AL$15,MATCH(O$7,'Inputs (2)'!$D$2:$AL$2,0))</f>
        <v>818</v>
      </c>
      <c r="P144" s="301">
        <f>INDEX('Inputs (2)'!$D$15:$AL$15,MATCH(P$7,'Inputs (2)'!$D$2:$AL$2,0))</f>
        <v>956</v>
      </c>
      <c r="Q144" s="301">
        <f>INDEX('Inputs (2)'!$D$15:$AL$15,MATCH(Q$7,'Inputs (2)'!$D$2:$AL$2,0))</f>
        <v>1104</v>
      </c>
      <c r="R144" s="268">
        <f>Q144</f>
        <v>1104</v>
      </c>
      <c r="S144" s="301">
        <f>INDEX('Inputs (2)'!$D$15:$AL$15,MATCH(S$7,'Inputs (2)'!$D$2:$AL$2,0))</f>
        <v>3052</v>
      </c>
      <c r="T144" s="301">
        <f>INDEX('Inputs (2)'!$D$15:$AL$15,MATCH(T$7,'Inputs (2)'!$D$2:$AL$2,0))</f>
        <v>1330</v>
      </c>
      <c r="U144" s="301">
        <f>INDEX('Inputs (2)'!$D$15:$AL$15,MATCH(U$7,'Inputs (2)'!$D$2:$AL$2,0))</f>
        <v>2173</v>
      </c>
      <c r="V144" s="301">
        <f>INDEX('Inputs (2)'!$D$15:$AL$15,MATCH(V$7,'Inputs (2)'!$D$2:$AL$2,0))</f>
        <v>2602</v>
      </c>
      <c r="W144" s="268">
        <f>V144</f>
        <v>2602</v>
      </c>
      <c r="X144" s="301">
        <f>INDEX('Inputs (2)'!$D$15:$AL$15,MATCH(X$7,'Inputs (2)'!$D$2:$AL$2,0))</f>
        <v>2939</v>
      </c>
      <c r="Y144" s="301">
        <f>INDEX('Inputs (2)'!$D$15:$AL$15,MATCH(Y$7,'Inputs (2)'!$D$2:$AL$2,0))</f>
        <v>1161</v>
      </c>
      <c r="Z144" s="301">
        <f>INDEX('Inputs (2)'!$D$15:$AL$15,MATCH(Z$7,'Inputs (2)'!$D$2:$AL$2,0))</f>
        <v>2836</v>
      </c>
      <c r="AA144" s="301">
        <f>INDEX('Inputs (2)'!$D$15:$AL$15,MATCH(AA$7,'Inputs (2)'!$D$2:$AL$2,0))</f>
        <v>3311</v>
      </c>
      <c r="AB144" s="268">
        <f>AA144</f>
        <v>3311</v>
      </c>
      <c r="AC144" s="301">
        <f>INDEX('Inputs (2)'!$D$15:$AL$15,MATCH(AC$7,'Inputs (2)'!$D$2:$AL$2,0))</f>
        <v>3245</v>
      </c>
      <c r="AD144" s="301">
        <f>INDEX('Inputs (2)'!$D$15:$AL$15,MATCH(AD$7,'Inputs (2)'!$D$2:$AL$2,0))</f>
        <v>6790</v>
      </c>
      <c r="AE144" s="301">
        <f>INDEX('Inputs (2)'!$D$15:$AL$15,MATCH(AE$7,'Inputs (2)'!$D$2:$AL$2,0))</f>
        <v>1315</v>
      </c>
      <c r="AF144" s="301">
        <f>INDEX('Inputs (2)'!$D$15:$AL$15,MATCH(AF$7,'Inputs (2)'!$D$2:$AL$2,0))</f>
        <v>1135</v>
      </c>
      <c r="AG144" s="268">
        <f>AF144</f>
        <v>1135</v>
      </c>
      <c r="AH144" s="268">
        <f>INDEX('Inputs (2)'!$D$15:$AL$15,MATCH(AH$7,'Inputs (2)'!$D$2:$AL$2,0))</f>
        <v>839</v>
      </c>
      <c r="AI144" s="268">
        <f>INDEX('Inputs (2)'!$D$15:$AL$15,MATCH(AI$7,'Inputs (2)'!$D$2:$AL$2,0))</f>
        <v>593</v>
      </c>
      <c r="AJ144" s="268">
        <f>AI144+AJ314</f>
        <v>14910</v>
      </c>
      <c r="AK144" s="268">
        <f>AJ144+AK314</f>
        <v>14975</v>
      </c>
      <c r="AL144" s="268">
        <f>AK144</f>
        <v>14975</v>
      </c>
      <c r="AM144" s="268" t="e">
        <f>AL144+AM314</f>
        <v>#DIV/0!</v>
      </c>
      <c r="AN144" s="268" t="e">
        <f>AM144+AN314</f>
        <v>#DIV/0!</v>
      </c>
      <c r="AO144" s="268" t="e">
        <f>AN144+AO314</f>
        <v>#DIV/0!</v>
      </c>
      <c r="AP144" s="268" t="e">
        <f>AO144+AP314</f>
        <v>#DIV/0!</v>
      </c>
      <c r="AQ144" s="268" t="e">
        <f>AP144</f>
        <v>#DIV/0!</v>
      </c>
      <c r="AR144" s="268" t="e">
        <f>AQ144+AR314</f>
        <v>#DIV/0!</v>
      </c>
      <c r="AS144" s="268" t="e">
        <f>AR144+AS314</f>
        <v>#DIV/0!</v>
      </c>
      <c r="AT144" s="268" t="e">
        <f>AS144+AT314</f>
        <v>#DIV/0!</v>
      </c>
      <c r="AU144" s="268" t="e">
        <f>AT144+AU314</f>
        <v>#DIV/0!</v>
      </c>
      <c r="AV144" s="268" t="e">
        <f>AU144</f>
        <v>#DIV/0!</v>
      </c>
      <c r="AW144" s="268" t="e">
        <f>AV144+AW314</f>
        <v>#DIV/0!</v>
      </c>
      <c r="AX144" s="268" t="e">
        <f>AW144+AX314</f>
        <v>#DIV/0!</v>
      </c>
      <c r="AY144" s="268" t="e">
        <f>AX144+AY314</f>
        <v>#DIV/0!</v>
      </c>
      <c r="AZ144" s="268" t="e">
        <f>AY144+AZ314</f>
        <v>#DIV/0!</v>
      </c>
      <c r="BA144" s="268" t="e">
        <f>AZ144</f>
        <v>#DIV/0!</v>
      </c>
      <c r="BB144" s="268" t="e">
        <f>BA144+BB314</f>
        <v>#DIV/0!</v>
      </c>
      <c r="BC144" s="268" t="e">
        <f>BB144+BC314</f>
        <v>#DIV/0!</v>
      </c>
      <c r="BD144" s="268" t="e">
        <f>BC144+BD314</f>
        <v>#DIV/0!</v>
      </c>
      <c r="BE144" s="268" t="e">
        <f>BD144+BE314</f>
        <v>#DIV/0!</v>
      </c>
      <c r="BF144" s="268" t="e">
        <f>BE144</f>
        <v>#DIV/0!</v>
      </c>
      <c r="BG144" s="268" t="e">
        <f>BF144+BG314</f>
        <v>#DIV/0!</v>
      </c>
      <c r="BH144" s="268" t="e">
        <f>BG144+BH314</f>
        <v>#DIV/0!</v>
      </c>
      <c r="BI144" s="268" t="e">
        <f>BH144+BI314</f>
        <v>#DIV/0!</v>
      </c>
      <c r="BJ144" s="268" t="e">
        <f>BI144+BJ314</f>
        <v>#DIV/0!</v>
      </c>
      <c r="BK144" s="268" t="e">
        <f>BJ144</f>
        <v>#DIV/0!</v>
      </c>
      <c r="BL144" s="268" t="e">
        <f>BK144+BL314</f>
        <v>#DIV/0!</v>
      </c>
      <c r="BM144" s="268" t="e">
        <f>BL144+BM314</f>
        <v>#DIV/0!</v>
      </c>
      <c r="BN144" s="268" t="e">
        <f>BM144+BN314</f>
        <v>#DIV/0!</v>
      </c>
      <c r="BO144" s="268" t="e">
        <f>BN144+BO314</f>
        <v>#DIV/0!</v>
      </c>
      <c r="BP144" s="268" t="e">
        <f>BO144</f>
        <v>#DIV/0!</v>
      </c>
      <c r="BQ144" s="268" t="e">
        <f>BP144+BQ314</f>
        <v>#DIV/0!</v>
      </c>
      <c r="BR144" s="268" t="e">
        <f>BQ144+BR314</f>
        <v>#DIV/0!</v>
      </c>
      <c r="BS144" s="268" t="e">
        <f>BR144+BS314</f>
        <v>#DIV/0!</v>
      </c>
      <c r="BT144" s="268" t="e">
        <f>BS144+BT314</f>
        <v>#DIV/0!</v>
      </c>
      <c r="BU144" s="268" t="e">
        <f>BT144</f>
        <v>#DIV/0!</v>
      </c>
      <c r="BV144" s="268" t="e">
        <f>BU144+BV314</f>
        <v>#DIV/0!</v>
      </c>
      <c r="BW144" s="268" t="e">
        <f>BV144+BW314</f>
        <v>#DIV/0!</v>
      </c>
      <c r="BX144" s="268" t="e">
        <f>BW144+BX314</f>
        <v>#DIV/0!</v>
      </c>
      <c r="BY144" s="268" t="e">
        <f>BX144+BY314</f>
        <v>#DIV/0!</v>
      </c>
      <c r="BZ144" s="268" t="e">
        <f>BY144</f>
        <v>#DIV/0!</v>
      </c>
      <c r="CA144" s="268" t="e">
        <f>BZ144+CA314</f>
        <v>#DIV/0!</v>
      </c>
      <c r="CB144" s="268" t="e">
        <f>CA144+CB314</f>
        <v>#DIV/0!</v>
      </c>
      <c r="CC144" s="268" t="e">
        <f>CB144+CC314</f>
        <v>#DIV/0!</v>
      </c>
      <c r="CD144" s="268" t="e">
        <f>CC144+CD314</f>
        <v>#DIV/0!</v>
      </c>
      <c r="CE144" s="268" t="e">
        <f>CD144</f>
        <v>#DIV/0!</v>
      </c>
      <c r="CF144" s="268" t="e">
        <f>CE144+CF314</f>
        <v>#DIV/0!</v>
      </c>
      <c r="CG144" s="268" t="e">
        <f>CF144+CG314</f>
        <v>#DIV/0!</v>
      </c>
      <c r="CH144" s="268" t="e">
        <f>CG144+CH314</f>
        <v>#DIV/0!</v>
      </c>
      <c r="CI144" s="268" t="e">
        <f>CH144+CI314</f>
        <v>#DIV/0!</v>
      </c>
      <c r="CJ144" s="268" t="e">
        <f>CI144</f>
        <v>#DIV/0!</v>
      </c>
      <c r="CK144" s="268" t="e">
        <f>CJ144+CK314</f>
        <v>#DIV/0!</v>
      </c>
      <c r="CL144" s="268" t="e">
        <f>CK144+CL314</f>
        <v>#DIV/0!</v>
      </c>
      <c r="CM144" s="268" t="e">
        <f>CL144+CM314</f>
        <v>#DIV/0!</v>
      </c>
      <c r="CN144" s="268" t="e">
        <f>CM144+CN314</f>
        <v>#DIV/0!</v>
      </c>
      <c r="CO144" s="268" t="e">
        <f>CN144</f>
        <v>#DIV/0!</v>
      </c>
      <c r="CP144" s="268" t="e">
        <f>CO144+CP314</f>
        <v>#DIV/0!</v>
      </c>
      <c r="CQ144" s="268" t="e">
        <f>CP144+CQ314</f>
        <v>#DIV/0!</v>
      </c>
      <c r="CR144" s="268" t="e">
        <f>CQ144+CR314</f>
        <v>#DIV/0!</v>
      </c>
      <c r="CS144" s="268" t="e">
        <f>CR144+CS314</f>
        <v>#DIV/0!</v>
      </c>
      <c r="CT144" s="268" t="e">
        <f>CS144</f>
        <v>#DIV/0!</v>
      </c>
      <c r="CU144" s="268" t="e">
        <f>CT144+CU314</f>
        <v>#DIV/0!</v>
      </c>
      <c r="CV144" s="268" t="e">
        <f>CU144+CV314</f>
        <v>#DIV/0!</v>
      </c>
      <c r="CW144" s="268" t="e">
        <f>CV144+CW314</f>
        <v>#DIV/0!</v>
      </c>
      <c r="CX144" s="268" t="e">
        <f>CW144+CX314</f>
        <v>#DIV/0!</v>
      </c>
      <c r="CY144" s="268" t="e">
        <f>CX144</f>
        <v>#DIV/0!</v>
      </c>
    </row>
    <row r="145" ht="12.75" customHeight="1" s="255">
      <c r="C145" s="270" t="inlineStr">
        <is>
          <t>Accounts receivable</t>
        </is>
      </c>
      <c r="D145" s="301">
        <f>INDEX('Inputs (2)'!$D$16:$AL$16,MATCH(D$7,'Inputs (2)'!$D$2:$AL$2,0))</f>
        <v>1616</v>
      </c>
      <c r="E145" s="301">
        <f>INDEX('Inputs (2)'!$D$16:$AL$16,MATCH(E$7,'Inputs (2)'!$D$2:$AL$2,0))</f>
        <v>1526</v>
      </c>
      <c r="F145" s="301">
        <f>INDEX('Inputs (2)'!$D$16:$AL$16,MATCH(F$7,'Inputs (2)'!$D$2:$AL$2,0))</f>
        <v>1623</v>
      </c>
      <c r="G145" s="301">
        <f>INDEX('Inputs (2)'!$D$16:$AL$16,MATCH(G$7,'Inputs (2)'!$D$2:$AL$2,0))</f>
        <v>1717</v>
      </c>
      <c r="H145" s="268">
        <f>G145</f>
        <v>1717</v>
      </c>
      <c r="I145" s="301">
        <f>INDEX('Inputs (2)'!$D$16:$AL$16,MATCH(I$7,'Inputs (2)'!$D$2:$AL$2,0))</f>
        <v>2253</v>
      </c>
      <c r="J145" s="301">
        <f>INDEX('Inputs (2)'!$D$16:$AL$16,MATCH(J$7,'Inputs (2)'!$D$2:$AL$2,0))</f>
        <v>2526</v>
      </c>
      <c r="K145" s="301">
        <f>INDEX('Inputs (2)'!$D$16:$AL$16,MATCH(K$7,'Inputs (2)'!$D$2:$AL$2,0))</f>
        <v>2431</v>
      </c>
      <c r="L145" s="301">
        <f>INDEX('Inputs (2)'!$D$16:$AL$16,MATCH(L$7,'Inputs (2)'!$D$2:$AL$2,0))</f>
        <v>2112</v>
      </c>
      <c r="M145" s="268">
        <f>L145</f>
        <v>2112</v>
      </c>
      <c r="N145" s="301">
        <f>INDEX('Inputs (2)'!$D$16:$AL$16,MATCH(N$7,'Inputs (2)'!$D$2:$AL$2,0))</f>
        <v>2564</v>
      </c>
      <c r="O145" s="301">
        <f>INDEX('Inputs (2)'!$D$16:$AL$16,MATCH(O$7,'Inputs (2)'!$D$2:$AL$2,0))</f>
        <v>2427</v>
      </c>
      <c r="P145" s="301">
        <f>INDEX('Inputs (2)'!$D$16:$AL$16,MATCH(P$7,'Inputs (2)'!$D$2:$AL$2,0))</f>
        <v>2336</v>
      </c>
      <c r="Q145" s="301">
        <f>INDEX('Inputs (2)'!$D$16:$AL$16,MATCH(Q$7,'Inputs (2)'!$D$2:$AL$2,0))</f>
        <v>2829</v>
      </c>
      <c r="R145" s="268">
        <f>Q145</f>
        <v>2829</v>
      </c>
      <c r="S145" s="301">
        <f>INDEX('Inputs (2)'!$D$16:$AL$16,MATCH(S$7,'Inputs (2)'!$D$2:$AL$2,0))</f>
        <v>2789</v>
      </c>
      <c r="T145" s="301">
        <f>INDEX('Inputs (2)'!$D$16:$AL$16,MATCH(T$7,'Inputs (2)'!$D$2:$AL$2,0))</f>
        <v>2599</v>
      </c>
      <c r="U145" s="301">
        <f>INDEX('Inputs (2)'!$D$16:$AL$16,MATCH(U$7,'Inputs (2)'!$D$2:$AL$2,0))</f>
        <v>2509</v>
      </c>
      <c r="V145" s="301">
        <f>INDEX('Inputs (2)'!$D$16:$AL$16,MATCH(V$7,'Inputs (2)'!$D$2:$AL$2,0))</f>
        <v>2592</v>
      </c>
      <c r="W145" s="268">
        <f>V145</f>
        <v>2592</v>
      </c>
      <c r="X145" s="301">
        <f>INDEX('Inputs (2)'!$D$16:$AL$16,MATCH(X$7,'Inputs (2)'!$D$2:$AL$2,0))</f>
        <v>2285</v>
      </c>
      <c r="Y145" s="301">
        <f>INDEX('Inputs (2)'!$D$16:$AL$16,MATCH(Y$7,'Inputs (2)'!$D$2:$AL$2,0))</f>
        <v>2277</v>
      </c>
      <c r="Z145" s="301">
        <f>INDEX('Inputs (2)'!$D$16:$AL$16,MATCH(Z$7,'Inputs (2)'!$D$2:$AL$2,0))</f>
        <v>2100</v>
      </c>
      <c r="AA145" s="301">
        <f>INDEX('Inputs (2)'!$D$16:$AL$16,MATCH(AA$7,'Inputs (2)'!$D$2:$AL$2,0))</f>
        <v>2148</v>
      </c>
      <c r="AB145" s="268">
        <f>AA145</f>
        <v>2148</v>
      </c>
      <c r="AC145" s="301">
        <f>INDEX('Inputs (2)'!$D$16:$AL$16,MATCH(AC$7,'Inputs (2)'!$D$2:$AL$2,0))</f>
        <v>2334</v>
      </c>
      <c r="AD145" s="301">
        <f>INDEX('Inputs (2)'!$D$16:$AL$16,MATCH(AD$7,'Inputs (2)'!$D$2:$AL$2,0))</f>
        <v>2258</v>
      </c>
      <c r="AE145" s="301">
        <f>INDEX('Inputs (2)'!$D$16:$AL$16,MATCH(AE$7,'Inputs (2)'!$D$2:$AL$2,0))</f>
        <v>3494</v>
      </c>
      <c r="AF145" s="301">
        <f>INDEX('Inputs (2)'!$D$16:$AL$16,MATCH(AF$7,'Inputs (2)'!$D$2:$AL$2,0))</f>
        <v>3870</v>
      </c>
      <c r="AG145" s="268">
        <f>AF145</f>
        <v>3870</v>
      </c>
      <c r="AH145" s="268">
        <f>INDEX('Inputs (2)'!$D$16:$AL$16,MATCH(AH$7,'Inputs (2)'!$D$2:$AL$2,0))</f>
        <v>3975</v>
      </c>
      <c r="AI145" s="268">
        <f>INDEX('Inputs (2)'!$D$16:$AL$16,MATCH(AI$7,'Inputs (2)'!$D$2:$AL$2,0))</f>
        <v>3931</v>
      </c>
      <c r="AJ145" s="268">
        <f>(AJ146/(AJ$5-AI$5))*AJ$15</f>
        <v>0</v>
      </c>
      <c r="AK145" s="268">
        <f>(AK146/(AK$5-AJ$5))*AK$15</f>
        <v>0</v>
      </c>
      <c r="AL145" s="268">
        <f>AK145</f>
        <v>0</v>
      </c>
      <c r="AM145" s="268">
        <f>(AM146/(AM$5-AL$5))*AM$15</f>
        <v>0</v>
      </c>
      <c r="AN145" s="268">
        <f>(AN146/(AN$5-AM$5))*AN$15</f>
        <v>0</v>
      </c>
      <c r="AO145" s="268">
        <f>(AO146/(AO$5-AN$5))*AO$15</f>
        <v>0</v>
      </c>
      <c r="AP145" s="268">
        <f>(AP146/(AP$5-AO$5))*AP$15</f>
        <v>0</v>
      </c>
      <c r="AQ145" s="268">
        <f>AP145</f>
        <v>0</v>
      </c>
      <c r="AR145" s="268">
        <f>(AR146/(AR$5-AQ$5))*AR$15</f>
        <v>0</v>
      </c>
      <c r="AS145" s="268">
        <f>(AS146/(AS$5-AR$5))*AS$15</f>
        <v>0</v>
      </c>
      <c r="AT145" s="268">
        <f>(AT146/(AT$5-AS$5))*AT$15</f>
        <v>0</v>
      </c>
      <c r="AU145" s="268">
        <f>(AU146/(AU$5-AT$5))*AU$15</f>
        <v>0</v>
      </c>
      <c r="AV145" s="268">
        <f>AU145</f>
        <v>0</v>
      </c>
      <c r="AW145" s="268">
        <f>(AW146/(AW$5-AV$5))*AW$15</f>
        <v>0</v>
      </c>
      <c r="AX145" s="268">
        <f>(AX146/(AX$5-AW$5))*AX$15</f>
        <v>0</v>
      </c>
      <c r="AY145" s="268">
        <f>(AY146/(AY$5-AX$5))*AY$15</f>
        <v>0</v>
      </c>
      <c r="AZ145" s="268">
        <f>(AZ146/(AZ$5-AY$5))*AZ$15</f>
        <v>0</v>
      </c>
      <c r="BA145" s="268">
        <f>AZ145</f>
        <v>0</v>
      </c>
      <c r="BB145" s="268">
        <f>(BB146/(BB$5-BA$5))*BB$15</f>
        <v>0</v>
      </c>
      <c r="BC145" s="268">
        <f>(BC146/(BC$5-BB$5))*BC$15</f>
        <v>0</v>
      </c>
      <c r="BD145" s="268">
        <f>(BD146/(BD$5-BC$5))*BD$15</f>
        <v>0</v>
      </c>
      <c r="BE145" s="268">
        <f>(BE146/(BE$5-BD$5))*BE$15</f>
        <v>0</v>
      </c>
      <c r="BF145" s="268">
        <f>BE145</f>
        <v>0</v>
      </c>
      <c r="BG145" s="268">
        <f>(BG146/(BG$5-BF$5))*BG$15</f>
        <v>0</v>
      </c>
      <c r="BH145" s="268">
        <f>(BH146/(BH$5-BG$5))*BH$15</f>
        <v>0</v>
      </c>
      <c r="BI145" s="268">
        <f>(BI146/(BI$5-BH$5))*BI$15</f>
        <v>0</v>
      </c>
      <c r="BJ145" s="268">
        <f>(BJ146/(BJ$5-BI$5))*BJ$15</f>
        <v>0</v>
      </c>
      <c r="BK145" s="268">
        <f>BJ145</f>
        <v>0</v>
      </c>
      <c r="BL145" s="268">
        <f>(BL146/(BL$5-BK$5))*BL$15</f>
        <v>0</v>
      </c>
      <c r="BM145" s="268">
        <f>(BM146/(BM$5-BL$5))*BM$15</f>
        <v>0</v>
      </c>
      <c r="BN145" s="268">
        <f>(BN146/(BN$5-BM$5))*BN$15</f>
        <v>0</v>
      </c>
      <c r="BO145" s="268">
        <f>(BO146/(BO$5-BN$5))*BO$15</f>
        <v>0</v>
      </c>
      <c r="BP145" s="268">
        <f>BO145</f>
        <v>0</v>
      </c>
      <c r="BQ145" s="268">
        <f>(BQ146/(BQ$5-BP$5))*BQ$15</f>
        <v>0</v>
      </c>
      <c r="BR145" s="268">
        <f>(BR146/(BR$5-BQ$5))*BR$15</f>
        <v>0</v>
      </c>
      <c r="BS145" s="268">
        <f>(BS146/(BS$5-BR$5))*BS$15</f>
        <v>0</v>
      </c>
      <c r="BT145" s="268">
        <f>(BT146/(BT$5-BS$5))*BT$15</f>
        <v>0</v>
      </c>
      <c r="BU145" s="268">
        <f>BT145</f>
        <v>0</v>
      </c>
      <c r="BV145" s="268">
        <f>(BV146/(BV$5-BU$5))*BV$15</f>
        <v>0</v>
      </c>
      <c r="BW145" s="268">
        <f>(BW146/(BW$5-BV$5))*BW$15</f>
        <v>0</v>
      </c>
      <c r="BX145" s="268">
        <f>(BX146/(BX$5-BW$5))*BX$15</f>
        <v>0</v>
      </c>
      <c r="BY145" s="268">
        <f>(BY146/(BY$5-BX$5))*BY$15</f>
        <v>0</v>
      </c>
      <c r="BZ145" s="268">
        <f>BY145</f>
        <v>0</v>
      </c>
      <c r="CA145" s="268">
        <f>(CA146/(CA$5-BZ$5))*CA$15</f>
        <v>0</v>
      </c>
      <c r="CB145" s="268">
        <f>(CB146/(CB$5-CA$5))*CB$15</f>
        <v>0</v>
      </c>
      <c r="CC145" s="268">
        <f>(CC146/(CC$5-CB$5))*CC$15</f>
        <v>0</v>
      </c>
      <c r="CD145" s="268">
        <f>(CD146/(CD$5-CC$5))*CD$15</f>
        <v>0</v>
      </c>
      <c r="CE145" s="268">
        <f>CD145</f>
        <v>0</v>
      </c>
      <c r="CF145" s="268">
        <f>(CF146/(CF$5-CE$5))*CF$15</f>
        <v>0</v>
      </c>
      <c r="CG145" s="268">
        <f>(CG146/(CG$5-CF$5))*CG$15</f>
        <v>0</v>
      </c>
      <c r="CH145" s="268">
        <f>(CH146/(CH$5-CG$5))*CH$15</f>
        <v>0</v>
      </c>
      <c r="CI145" s="268">
        <f>(CI146/(CI$5-CH$5))*CI$15</f>
        <v>0</v>
      </c>
      <c r="CJ145" s="268">
        <f>CI145</f>
        <v>0</v>
      </c>
      <c r="CK145" s="268">
        <f>(CK146/(CK$5-CJ$5))*CK$15</f>
        <v>0</v>
      </c>
      <c r="CL145" s="268">
        <f>(CL146/(CL$5-CK$5))*CL$15</f>
        <v>0</v>
      </c>
      <c r="CM145" s="268">
        <f>(CM146/(CM$5-CL$5))*CM$15</f>
        <v>0</v>
      </c>
      <c r="CN145" s="268">
        <f>(CN146/(CN$5-CM$5))*CN$15</f>
        <v>0</v>
      </c>
      <c r="CO145" s="268">
        <f>CN145</f>
        <v>0</v>
      </c>
      <c r="CP145" s="268">
        <f>(CP146/(CP$5-CO$5))*CP$15</f>
        <v>0</v>
      </c>
      <c r="CQ145" s="268">
        <f>(CQ146/(CQ$5-CP$5))*CQ$15</f>
        <v>0</v>
      </c>
      <c r="CR145" s="268">
        <f>(CR146/(CR$5-CQ$5))*CR$15</f>
        <v>0</v>
      </c>
      <c r="CS145" s="268">
        <f>(CS146/(CS$5-CR$5))*CS$15</f>
        <v>0</v>
      </c>
      <c r="CT145" s="268">
        <f>CS145</f>
        <v>0</v>
      </c>
      <c r="CU145" s="268">
        <f>(CU146/(CU$5-CT$5))*CU$15</f>
        <v>0</v>
      </c>
      <c r="CV145" s="268">
        <f>(CV146/(CV$5-CU$5))*CV$15</f>
        <v>0</v>
      </c>
      <c r="CW145" s="268">
        <f>(CW146/(CW$5-CV$5))*CW$15</f>
        <v>0</v>
      </c>
      <c r="CX145" s="268">
        <f>(CX146/(CX$5-CW$5))*CX$15</f>
        <v>0</v>
      </c>
      <c r="CY145" s="268">
        <f>CX145</f>
        <v>0</v>
      </c>
    </row>
    <row r="146" hidden="1" outlineLevel="1" ht="12.75" customHeight="1" s="255">
      <c r="C146" s="312" t="inlineStr">
        <is>
          <t>DSO</t>
        </is>
      </c>
      <c r="D146" s="268" t="n"/>
      <c r="E146" s="268">
        <f>(E145/E$15)*(E$5-D$5)</f>
        <v>14.6761783978017</v>
      </c>
      <c r="F146" s="268">
        <f>(F145/F$15)*(F$5-E$5)</f>
        <v>14.6979033369426</v>
      </c>
      <c r="G146" s="268">
        <f>(G145/G$15)*(G$5-F$5)</f>
        <v>12.5268834258525</v>
      </c>
      <c r="H146" s="268" t="n"/>
      <c r="I146" s="268">
        <f>(I145/I$15)*(I$5-H$5)</f>
        <v>15.6446261862511</v>
      </c>
      <c r="J146" s="268">
        <f>(J145/J$15)*(J$5-I$5)</f>
        <v>14.9350919368462</v>
      </c>
      <c r="K146" s="268">
        <f>(K145/K$15)*(K$5-J$5)</f>
        <v>15.842742792378</v>
      </c>
      <c r="L146" s="268">
        <f>(L145/L$15)*(L$5-K$5)</f>
        <v>11.6468261104118</v>
      </c>
      <c r="M146" s="268" t="n"/>
      <c r="N146" s="268">
        <f>(N145/N$15)*(N$5-M$5)</f>
        <v>14.5314861460957</v>
      </c>
      <c r="O146" s="268">
        <f>(O145/O$15)*(O$5-N$5)</f>
        <v>12.3156750125467</v>
      </c>
      <c r="P146" s="268">
        <f>(P145/P$15)*(P$5-O$5)</f>
        <v>12.8236768303598</v>
      </c>
      <c r="Q146" s="268">
        <f>(Q145/Q$15)*(Q$5-P$5)</f>
        <v>15.6223289315726</v>
      </c>
      <c r="R146" s="268" t="n"/>
      <c r="S146" s="268">
        <f>(S145/S$15)*(S$5-R$5)</f>
        <v>16.3759133611691</v>
      </c>
      <c r="T146" s="268">
        <f>(T145/T$15)*(T$5-S$5)</f>
        <v>15.7159279686358</v>
      </c>
      <c r="U146" s="268">
        <f>(U145/U$15)*(U$5-T$5)</f>
        <v>16.2246432838968</v>
      </c>
      <c r="V146" s="268">
        <f>(V145/V$15)*(V$5-U$5)</f>
        <v>15.9657204070702</v>
      </c>
      <c r="W146" s="268" t="n"/>
      <c r="X146" s="268">
        <f>(X145/X$15)*(X$5-W$5)</f>
        <v>15.4978758291719</v>
      </c>
      <c r="Y146" s="268">
        <f>(Y145/Y$15)*(Y$5-X$5)</f>
        <v>15.6488935880976</v>
      </c>
      <c r="Z146" s="268">
        <f>(Z145/Z$15)*(Z$5-Y$5)</f>
        <v>14.9674620390456</v>
      </c>
      <c r="AA146" s="268">
        <f>(AA145/AA$15)*(AA$5-Z$5)</f>
        <v>14.5928223305272</v>
      </c>
      <c r="AB146" s="268" t="n"/>
      <c r="AC146" s="268">
        <f>(AC145/AC$15)*(AC$5-AB$5)</f>
        <v>18.0417418191188</v>
      </c>
      <c r="AD146" s="268">
        <f>(AD145/AD$15)*(AD$5-AC$5)</f>
        <v>16.0919414206281</v>
      </c>
      <c r="AE146" s="268">
        <f>(AE145/AE$15)*(AE$5-AD$5)</f>
        <v>14.5090498758745</v>
      </c>
      <c r="AF146" s="267">
        <f>(AF145/AF$15)*(AF$5-AE$5)</f>
        <v>14.9835872401313</v>
      </c>
      <c r="AG146" s="268" t="n"/>
      <c r="AH146" s="267">
        <f>(AH145/AH$15)*(AH$5-AG$5)</f>
        <v>16.3647591601482</v>
      </c>
      <c r="AI146" s="267">
        <f>(AI145/AI$15)*(AI$5-AH$5)</f>
        <v>14.8796223118839</v>
      </c>
      <c r="AJ146" s="267" t="n"/>
      <c r="AK146" s="267" t="n"/>
      <c r="AL146" s="268" t="n"/>
      <c r="AM146" s="267" t="n"/>
      <c r="AN146" s="267" t="n"/>
      <c r="AO146" s="267" t="n"/>
      <c r="AP146" s="267" t="n"/>
      <c r="AQ146" s="268" t="n"/>
      <c r="AR146" s="267" t="n"/>
      <c r="AS146" s="267" t="n"/>
      <c r="AT146" s="267" t="n"/>
      <c r="AU146" s="267" t="n"/>
      <c r="AV146" s="268" t="n"/>
      <c r="AW146" s="267" t="n"/>
      <c r="AX146" s="267" t="n"/>
      <c r="AY146" s="267" t="n"/>
      <c r="AZ146" s="267" t="n"/>
      <c r="BA146" s="268" t="n"/>
      <c r="BB146" s="267" t="n"/>
      <c r="BC146" s="267" t="n"/>
      <c r="BD146" s="267" t="n"/>
      <c r="BE146" s="267" t="n"/>
      <c r="BF146" s="268" t="n"/>
      <c r="BG146" s="267" t="n"/>
      <c r="BH146" s="267" t="n"/>
      <c r="BI146" s="267" t="n"/>
      <c r="BJ146" s="267" t="n"/>
      <c r="BK146" s="268" t="n"/>
      <c r="BL146" s="267" t="n"/>
      <c r="BM146" s="267" t="n"/>
      <c r="BN146" s="267" t="n"/>
      <c r="BO146" s="267" t="n"/>
      <c r="BP146" s="268" t="n"/>
      <c r="BQ146" s="267" t="n"/>
      <c r="BR146" s="267" t="n"/>
      <c r="BS146" s="267" t="n"/>
      <c r="BT146" s="267" t="n"/>
      <c r="BU146" s="268" t="n"/>
      <c r="BV146" s="267" t="n"/>
      <c r="BW146" s="267" t="n"/>
      <c r="BX146" s="267" t="n"/>
      <c r="BY146" s="267" t="n"/>
      <c r="BZ146" s="268" t="n"/>
      <c r="CA146" s="267" t="n"/>
      <c r="CB146" s="267" t="n"/>
      <c r="CC146" s="267" t="n"/>
      <c r="CD146" s="267" t="n"/>
      <c r="CE146" s="268" t="n"/>
      <c r="CF146" s="267" t="n"/>
      <c r="CG146" s="267" t="n"/>
      <c r="CH146" s="267" t="n"/>
      <c r="CI146" s="267" t="n"/>
      <c r="CJ146" s="268" t="n"/>
      <c r="CK146" s="267" t="n"/>
      <c r="CL146" s="267" t="n"/>
      <c r="CM146" s="267" t="n"/>
      <c r="CN146" s="267" t="n"/>
      <c r="CO146" s="268" t="n"/>
      <c r="CP146" s="267" t="n"/>
      <c r="CQ146" s="267" t="n"/>
      <c r="CR146" s="267" t="n"/>
      <c r="CS146" s="267" t="n"/>
      <c r="CT146" s="268" t="n"/>
      <c r="CU146" s="267" t="n"/>
      <c r="CV146" s="267" t="n"/>
      <c r="CW146" s="267" t="n"/>
      <c r="CX146" s="267" t="n"/>
      <c r="CY146" s="268" t="n"/>
    </row>
    <row r="147" hidden="1" outlineLevel="1" ht="12.75" customHeight="1" s="255">
      <c r="C147" s="312" t="n"/>
      <c r="D147" s="268" t="n"/>
      <c r="E147" s="268" t="n"/>
      <c r="F147" s="268" t="n"/>
      <c r="G147" s="268" t="n"/>
      <c r="H147" s="268" t="n"/>
      <c r="I147" s="268" t="n"/>
      <c r="J147" s="268" t="n"/>
      <c r="K147" s="268" t="n"/>
      <c r="L147" s="268" t="n"/>
      <c r="M147" s="268" t="n"/>
      <c r="N147" s="268" t="n"/>
      <c r="O147" s="268" t="n"/>
      <c r="P147" s="268" t="n"/>
      <c r="Q147" s="268" t="n"/>
      <c r="R147" s="268" t="n"/>
      <c r="S147" s="268" t="n"/>
      <c r="T147" s="268" t="n"/>
      <c r="U147" s="268" t="n"/>
      <c r="V147" s="268" t="n"/>
      <c r="W147" s="268" t="n"/>
      <c r="X147" s="268" t="n"/>
      <c r="Y147" s="268" t="n"/>
      <c r="Z147" s="268" t="n"/>
      <c r="AA147" s="268" t="n"/>
      <c r="AB147" s="268" t="n"/>
      <c r="AC147" s="268" t="n"/>
      <c r="AD147" s="268" t="n"/>
      <c r="AE147" s="268" t="n"/>
      <c r="AF147" s="268" t="n"/>
      <c r="AG147" s="268" t="n"/>
      <c r="AH147" s="268" t="n"/>
      <c r="AI147" s="268" t="n"/>
      <c r="AJ147" s="268" t="n"/>
      <c r="AK147" s="268" t="n"/>
      <c r="AL147" s="268" t="n"/>
      <c r="AM147" s="268" t="n"/>
      <c r="AN147" s="268" t="n"/>
      <c r="AO147" s="268" t="n"/>
      <c r="AP147" s="268" t="n"/>
      <c r="AQ147" s="268" t="n"/>
      <c r="AR147" s="268" t="n"/>
      <c r="AS147" s="268" t="n"/>
      <c r="AT147" s="268" t="n"/>
      <c r="AU147" s="268" t="n"/>
      <c r="AV147" s="268" t="n"/>
      <c r="AW147" s="268" t="n"/>
      <c r="AX147" s="268" t="n"/>
      <c r="AY147" s="268" t="n"/>
      <c r="AZ147" s="268" t="n"/>
      <c r="BA147" s="268" t="n"/>
      <c r="BB147" s="268" t="n"/>
      <c r="BC147" s="268" t="n"/>
      <c r="BD147" s="268" t="n"/>
      <c r="BE147" s="268" t="n"/>
      <c r="BF147" s="268" t="n"/>
      <c r="BG147" s="268" t="n"/>
      <c r="BH147" s="268" t="n"/>
      <c r="BI147" s="268" t="n"/>
      <c r="BJ147" s="268" t="n"/>
      <c r="BK147" s="268" t="n"/>
      <c r="BL147" s="268" t="n"/>
      <c r="BM147" s="268" t="n"/>
      <c r="BN147" s="268" t="n"/>
      <c r="BO147" s="268" t="n"/>
      <c r="BP147" s="268" t="n"/>
      <c r="BQ147" s="268" t="n"/>
      <c r="BR147" s="268" t="n"/>
      <c r="BS147" s="268" t="n"/>
      <c r="BT147" s="268" t="n"/>
      <c r="BU147" s="268" t="n"/>
      <c r="BV147" s="268" t="n"/>
      <c r="BW147" s="268" t="n"/>
      <c r="BX147" s="268" t="n"/>
      <c r="BY147" s="268" t="n"/>
      <c r="BZ147" s="268" t="n"/>
      <c r="CA147" s="268" t="n"/>
      <c r="CB147" s="268" t="n"/>
      <c r="CC147" s="268" t="n"/>
      <c r="CD147" s="268" t="n"/>
      <c r="CE147" s="268" t="n"/>
      <c r="CF147" s="268" t="n"/>
      <c r="CG147" s="268" t="n"/>
      <c r="CH147" s="268" t="n"/>
      <c r="CI147" s="268" t="n"/>
      <c r="CJ147" s="268" t="n"/>
      <c r="CK147" s="268" t="n"/>
      <c r="CL147" s="268" t="n"/>
      <c r="CM147" s="268" t="n"/>
      <c r="CN147" s="268" t="n"/>
      <c r="CO147" s="268" t="n"/>
      <c r="CP147" s="268" t="n"/>
      <c r="CQ147" s="268" t="n"/>
      <c r="CR147" s="268" t="n"/>
      <c r="CS147" s="268" t="n"/>
      <c r="CT147" s="268" t="n"/>
      <c r="CU147" s="268" t="n"/>
      <c r="CV147" s="268" t="n"/>
      <c r="CW147" s="268" t="n"/>
      <c r="CX147" s="268" t="n"/>
      <c r="CY147" s="268" t="n"/>
    </row>
    <row r="148" hidden="1" outlineLevel="1" ht="12.75" customHeight="1" s="255">
      <c r="C148" s="312" t="n"/>
      <c r="D148" s="268" t="n"/>
      <c r="E148" s="268" t="n"/>
      <c r="F148" s="268" t="n"/>
      <c r="G148" s="268" t="n"/>
      <c r="H148" s="268" t="n"/>
      <c r="I148" s="268" t="n"/>
      <c r="J148" s="268" t="n"/>
      <c r="K148" s="268" t="n"/>
      <c r="L148" s="268" t="n"/>
      <c r="M148" s="268" t="n"/>
      <c r="N148" s="268" t="n"/>
      <c r="O148" s="268" t="n"/>
      <c r="P148" s="268" t="n"/>
      <c r="Q148" s="268" t="n"/>
      <c r="R148" s="268" t="n"/>
      <c r="S148" s="268" t="n"/>
      <c r="T148" s="268" t="n"/>
      <c r="U148" s="268" t="n"/>
      <c r="V148" s="268" t="n"/>
      <c r="W148" s="268" t="n"/>
      <c r="X148" s="268" t="n"/>
      <c r="Y148" s="268" t="n"/>
      <c r="Z148" s="268" t="n"/>
      <c r="AA148" s="268" t="n"/>
      <c r="AB148" s="268" t="n"/>
      <c r="AC148" s="268" t="n"/>
      <c r="AD148" s="268" t="n"/>
      <c r="AE148" s="268" t="n"/>
      <c r="AF148" s="268" t="n"/>
      <c r="AG148" s="268" t="n"/>
      <c r="AH148" s="268" t="n"/>
      <c r="AI148" s="268" t="n"/>
      <c r="AJ148" s="268" t="n"/>
      <c r="AK148" s="268" t="n"/>
      <c r="AL148" s="268" t="n"/>
      <c r="AM148" s="268" t="n"/>
      <c r="AN148" s="268" t="n"/>
      <c r="AO148" s="268" t="n"/>
      <c r="AP148" s="268" t="n"/>
      <c r="AQ148" s="268" t="n"/>
      <c r="AR148" s="268" t="n"/>
      <c r="AS148" s="268" t="n"/>
      <c r="AT148" s="268" t="n"/>
      <c r="AU148" s="268" t="n"/>
      <c r="AV148" s="268" t="n"/>
      <c r="AW148" s="268" t="n"/>
      <c r="AX148" s="268" t="n"/>
      <c r="AY148" s="268" t="n"/>
      <c r="AZ148" s="268" t="n"/>
      <c r="BA148" s="268" t="n"/>
      <c r="BB148" s="268" t="n"/>
      <c r="BC148" s="268" t="n"/>
      <c r="BD148" s="268" t="n"/>
      <c r="BE148" s="268" t="n"/>
      <c r="BF148" s="268" t="n"/>
      <c r="BG148" s="268" t="n"/>
      <c r="BH148" s="268" t="n"/>
      <c r="BI148" s="268" t="n"/>
      <c r="BJ148" s="268" t="n"/>
      <c r="BK148" s="268" t="n"/>
      <c r="BL148" s="268" t="n"/>
      <c r="BM148" s="268" t="n"/>
      <c r="BN148" s="268" t="n"/>
      <c r="BO148" s="268" t="n"/>
      <c r="BP148" s="268" t="n"/>
      <c r="BQ148" s="268" t="n"/>
      <c r="BR148" s="268" t="n"/>
      <c r="BS148" s="268" t="n"/>
      <c r="BT148" s="268" t="n"/>
      <c r="BU148" s="268" t="n"/>
      <c r="BV148" s="268" t="n"/>
      <c r="BW148" s="268" t="n"/>
      <c r="BX148" s="268" t="n"/>
      <c r="BY148" s="268" t="n"/>
      <c r="BZ148" s="268" t="n"/>
      <c r="CA148" s="268" t="n"/>
      <c r="CB148" s="268" t="n"/>
      <c r="CC148" s="268" t="n"/>
      <c r="CD148" s="268" t="n"/>
      <c r="CE148" s="268" t="n"/>
      <c r="CF148" s="268" t="n"/>
      <c r="CG148" s="268" t="n"/>
      <c r="CH148" s="268" t="n"/>
      <c r="CI148" s="268" t="n"/>
      <c r="CJ148" s="268" t="n"/>
      <c r="CK148" s="268" t="n"/>
      <c r="CL148" s="268" t="n"/>
      <c r="CM148" s="268" t="n"/>
      <c r="CN148" s="268" t="n"/>
      <c r="CO148" s="268" t="n"/>
      <c r="CP148" s="268" t="n"/>
      <c r="CQ148" s="268" t="n"/>
      <c r="CR148" s="268" t="n"/>
      <c r="CS148" s="268" t="n"/>
      <c r="CT148" s="268" t="n"/>
      <c r="CU148" s="268" t="n"/>
      <c r="CV148" s="268" t="n"/>
      <c r="CW148" s="268" t="n"/>
      <c r="CX148" s="268" t="n"/>
      <c r="CY148" s="268" t="n"/>
    </row>
    <row r="149" ht="12.75" customHeight="1" s="255">
      <c r="C149" s="270" t="inlineStr">
        <is>
          <t>Inventories</t>
        </is>
      </c>
      <c r="D149" s="301">
        <f>INDEX('Inputs (2)'!$D$17:$AL$17,MATCH(D$7,'Inputs (2)'!$D$2:$AL$2,0))</f>
        <v>5451</v>
      </c>
      <c r="E149" s="301">
        <f>INDEX('Inputs (2)'!$D$17:$AL$17,MATCH(E$7,'Inputs (2)'!$D$2:$AL$2,0))</f>
        <v>6007</v>
      </c>
      <c r="F149" s="301">
        <f>INDEX('Inputs (2)'!$D$17:$AL$17,MATCH(F$7,'Inputs (2)'!$D$2:$AL$2,0))</f>
        <v>6463</v>
      </c>
      <c r="G149" s="301">
        <f>INDEX('Inputs (2)'!$D$17:$AL$17,MATCH(G$7,'Inputs (2)'!$D$2:$AL$2,0))</f>
        <v>7172</v>
      </c>
      <c r="H149" s="268">
        <f>G149</f>
        <v>7172</v>
      </c>
      <c r="I149" s="301">
        <f>INDEX('Inputs (2)'!$D$17:$AL$17,MATCH(I$7,'Inputs (2)'!$D$2:$AL$2,0))</f>
        <v>8616</v>
      </c>
      <c r="J149" s="301">
        <f>INDEX('Inputs (2)'!$D$17:$AL$17,MATCH(J$7,'Inputs (2)'!$D$2:$AL$2,0))</f>
        <v>8460</v>
      </c>
      <c r="K149" s="301">
        <f>INDEX('Inputs (2)'!$D$17:$AL$17,MATCH(K$7,'Inputs (2)'!$D$2:$AL$2,0))</f>
        <v>8014</v>
      </c>
      <c r="L149" s="301">
        <f>INDEX('Inputs (2)'!$D$17:$AL$17,MATCH(L$7,'Inputs (2)'!$D$2:$AL$2,0))</f>
        <v>8431</v>
      </c>
      <c r="M149" s="268">
        <f>L149</f>
        <v>8431</v>
      </c>
      <c r="N149" s="301">
        <f>INDEX('Inputs (2)'!$D$17:$AL$17,MATCH(N$7,'Inputs (2)'!$D$2:$AL$2,0))</f>
        <v>10988</v>
      </c>
      <c r="O149" s="301">
        <f>INDEX('Inputs (2)'!$D$17:$AL$17,MATCH(O$7,'Inputs (2)'!$D$2:$AL$2,0))</f>
        <v>10481</v>
      </c>
      <c r="P149" s="301">
        <f>INDEX('Inputs (2)'!$D$17:$AL$17,MATCH(P$7,'Inputs (2)'!$D$2:$AL$2,0))</f>
        <v>8112</v>
      </c>
      <c r="Q149" s="301">
        <f>INDEX('Inputs (2)'!$D$17:$AL$17,MATCH(Q$7,'Inputs (2)'!$D$2:$AL$2,0))</f>
        <v>8408</v>
      </c>
      <c r="R149" s="268">
        <f>Q149</f>
        <v>8408</v>
      </c>
      <c r="S149" s="301">
        <f>INDEX('Inputs (2)'!$D$17:$AL$17,MATCH(S$7,'Inputs (2)'!$D$2:$AL$2,0))</f>
        <v>8952</v>
      </c>
      <c r="T149" s="301">
        <f>INDEX('Inputs (2)'!$D$17:$AL$17,MATCH(T$7,'Inputs (2)'!$D$2:$AL$2,0))</f>
        <v>8806</v>
      </c>
      <c r="U149" s="301">
        <f>INDEX('Inputs (2)'!$D$17:$AL$17,MATCH(U$7,'Inputs (2)'!$D$2:$AL$2,0))</f>
        <v>7548</v>
      </c>
      <c r="V149" s="301">
        <f>INDEX('Inputs (2)'!$D$17:$AL$17,MATCH(V$7,'Inputs (2)'!$D$2:$AL$2,0))</f>
        <v>7105</v>
      </c>
      <c r="W149" s="268">
        <f>V149</f>
        <v>7105</v>
      </c>
      <c r="X149" s="301">
        <f>INDEX('Inputs (2)'!$D$17:$AL$17,MATCH(X$7,'Inputs (2)'!$D$2:$AL$2,0))</f>
        <v>7505</v>
      </c>
      <c r="Y149" s="301">
        <f>INDEX('Inputs (2)'!$D$17:$AL$17,MATCH(Y$7,'Inputs (2)'!$D$2:$AL$2,0))</f>
        <v>8057</v>
      </c>
      <c r="Z149" s="301">
        <f>INDEX('Inputs (2)'!$D$17:$AL$17,MATCH(Z$7,'Inputs (2)'!$D$2:$AL$2,0))</f>
        <v>7465</v>
      </c>
      <c r="AA149" s="301">
        <f>INDEX('Inputs (2)'!$D$17:$AL$17,MATCH(AA$7,'Inputs (2)'!$D$2:$AL$2,0))</f>
        <v>6491</v>
      </c>
      <c r="AB149" s="268">
        <f>AA149</f>
        <v>6491</v>
      </c>
      <c r="AC149" s="301">
        <f>INDEX('Inputs (2)'!$D$17:$AL$17,MATCH(AC$7,'Inputs (2)'!$D$2:$AL$2,0))</f>
        <v>7817</v>
      </c>
      <c r="AD149" s="301">
        <f>INDEX('Inputs (2)'!$D$17:$AL$17,MATCH(AD$7,'Inputs (2)'!$D$2:$AL$2,0))</f>
        <v>8014</v>
      </c>
      <c r="AE149" s="301">
        <f>INDEX('Inputs (2)'!$D$17:$AL$17,MATCH(AE$7,'Inputs (2)'!$D$2:$AL$2,0))</f>
        <v>13312</v>
      </c>
      <c r="AF149" s="301">
        <f>INDEX('Inputs (2)'!$D$17:$AL$17,MATCH(AF$7,'Inputs (2)'!$D$2:$AL$2,0))</f>
        <v>13198</v>
      </c>
      <c r="AG149" s="268">
        <f>AF149</f>
        <v>13198</v>
      </c>
      <c r="AH149" s="268">
        <f>INDEX('Inputs (2)'!$D$17:$AL$17,MATCH(AH$7,'Inputs (2)'!$D$2:$AL$2,0))</f>
        <v>15428</v>
      </c>
      <c r="AI149" s="268">
        <f>INDEX('Inputs (2)'!$D$17:$AL$17,MATCH(AI$7,'Inputs (2)'!$D$2:$AL$2,0))</f>
        <v>15461</v>
      </c>
      <c r="AJ149" s="268">
        <f>(AJ150/(AJ$5-AI$5))*-AJ$54</f>
        <v>0</v>
      </c>
      <c r="AK149" s="268">
        <f>(AK150/(AK$5-AJ$5))*-AK$54</f>
        <v>0</v>
      </c>
      <c r="AL149" s="268">
        <f>AK149</f>
        <v>0</v>
      </c>
      <c r="AM149" s="268">
        <f>(AM150/(AM$5-AL$5))*-AM$54</f>
        <v>0</v>
      </c>
      <c r="AN149" s="268">
        <f>(AN150/(AN$5-AM$5))*-AN$54</f>
        <v>0</v>
      </c>
      <c r="AO149" s="268">
        <f>(AO150/(AO$5-AN$5))*-AO$54</f>
        <v>0</v>
      </c>
      <c r="AP149" s="268">
        <f>(AP150/(AP$5-AO$5))*-AP$54</f>
        <v>0</v>
      </c>
      <c r="AQ149" s="268">
        <f>AP149</f>
        <v>0</v>
      </c>
      <c r="AR149" s="268">
        <f>(AR150/(AR$5-AQ$5))*-AR$54</f>
        <v>0</v>
      </c>
      <c r="AS149" s="268">
        <f>(AS150/(AS$5-AR$5))*-AS$54</f>
        <v>0</v>
      </c>
      <c r="AT149" s="268">
        <f>(AT150/(AT$5-AS$5))*-AT$54</f>
        <v>0</v>
      </c>
      <c r="AU149" s="268">
        <f>(AU150/(AU$5-AT$5))*-AU$54</f>
        <v>0</v>
      </c>
      <c r="AV149" s="268">
        <f>AU149</f>
        <v>0</v>
      </c>
      <c r="AW149" s="268">
        <f>(AW150/(AW$5-AV$5))*-AW$54</f>
        <v>0</v>
      </c>
      <c r="AX149" s="268">
        <f>(AX150/(AX$5-AW$5))*-AX$54</f>
        <v>0</v>
      </c>
      <c r="AY149" s="268">
        <f>(AY150/(AY$5-AX$5))*-AY$54</f>
        <v>0</v>
      </c>
      <c r="AZ149" s="268">
        <f>(AZ150/(AZ$5-AY$5))*-AZ$54</f>
        <v>0</v>
      </c>
      <c r="BA149" s="268">
        <f>AZ149</f>
        <v>0</v>
      </c>
      <c r="BB149" s="268">
        <f>(BB150/(BB$5-BA$5))*-BB$54</f>
        <v>0</v>
      </c>
      <c r="BC149" s="268">
        <f>(BC150/(BC$5-BB$5))*-BC$54</f>
        <v>0</v>
      </c>
      <c r="BD149" s="268">
        <f>(BD150/(BD$5-BC$5))*-BD$54</f>
        <v>0</v>
      </c>
      <c r="BE149" s="268">
        <f>(BE150/(BE$5-BD$5))*-BE$54</f>
        <v>0</v>
      </c>
      <c r="BF149" s="268">
        <f>BE149</f>
        <v>0</v>
      </c>
      <c r="BG149" s="268">
        <f>(BG150/(BG$5-BF$5))*-BG$54</f>
        <v>0</v>
      </c>
      <c r="BH149" s="268">
        <f>(BH150/(BH$5-BG$5))*-BH$54</f>
        <v>0</v>
      </c>
      <c r="BI149" s="268">
        <f>(BI150/(BI$5-BH$5))*-BI$54</f>
        <v>0</v>
      </c>
      <c r="BJ149" s="268">
        <f>(BJ150/(BJ$5-BI$5))*-BJ$54</f>
        <v>0</v>
      </c>
      <c r="BK149" s="268">
        <f>BJ149</f>
        <v>0</v>
      </c>
      <c r="BL149" s="268">
        <f>(BL150/(BL$5-BK$5))*-BL$54</f>
        <v>0</v>
      </c>
      <c r="BM149" s="268">
        <f>(BM150/(BM$5-BL$5))*-BM$54</f>
        <v>0</v>
      </c>
      <c r="BN149" s="268">
        <f>(BN150/(BN$5-BM$5))*-BN$54</f>
        <v>0</v>
      </c>
      <c r="BO149" s="268">
        <f>(BO150/(BO$5-BN$5))*-BO$54</f>
        <v>0</v>
      </c>
      <c r="BP149" s="268">
        <f>BO149</f>
        <v>0</v>
      </c>
      <c r="BQ149" s="268">
        <f>(BQ150/(BQ$5-BP$5))*-BQ$54</f>
        <v>0</v>
      </c>
      <c r="BR149" s="268">
        <f>(BR150/(BR$5-BQ$5))*-BR$54</f>
        <v>0</v>
      </c>
      <c r="BS149" s="268">
        <f>(BS150/(BS$5-BR$5))*-BS$54</f>
        <v>0</v>
      </c>
      <c r="BT149" s="268">
        <f>(BT150/(BT$5-BS$5))*-BT$54</f>
        <v>0</v>
      </c>
      <c r="BU149" s="268">
        <f>BT149</f>
        <v>0</v>
      </c>
      <c r="BV149" s="268">
        <f>(BV150/(BV$5-BU$5))*-BV$54</f>
        <v>0</v>
      </c>
      <c r="BW149" s="268">
        <f>(BW150/(BW$5-BV$5))*-BW$54</f>
        <v>0</v>
      </c>
      <c r="BX149" s="268">
        <f>(BX150/(BX$5-BW$5))*-BX$54</f>
        <v>0</v>
      </c>
      <c r="BY149" s="268">
        <f>(BY150/(BY$5-BX$5))*-BY$54</f>
        <v>0</v>
      </c>
      <c r="BZ149" s="268">
        <f>BY149</f>
        <v>0</v>
      </c>
      <c r="CA149" s="268">
        <f>(CA150/(CA$5-BZ$5))*-CA$54</f>
        <v>0</v>
      </c>
      <c r="CB149" s="268">
        <f>(CB150/(CB$5-CA$5))*-CB$54</f>
        <v>0</v>
      </c>
      <c r="CC149" s="268">
        <f>(CC150/(CC$5-CB$5))*-CC$54</f>
        <v>0</v>
      </c>
      <c r="CD149" s="268">
        <f>(CD150/(CD$5-CC$5))*-CD$54</f>
        <v>0</v>
      </c>
      <c r="CE149" s="268">
        <f>CD149</f>
        <v>0</v>
      </c>
      <c r="CF149" s="268">
        <f>(CF150/(CF$5-CE$5))*-CF$54</f>
        <v>0</v>
      </c>
      <c r="CG149" s="268">
        <f>(CG150/(CG$5-CF$5))*-CG$54</f>
        <v>0</v>
      </c>
      <c r="CH149" s="268">
        <f>(CH150/(CH$5-CG$5))*-CH$54</f>
        <v>0</v>
      </c>
      <c r="CI149" s="268">
        <f>(CI150/(CI$5-CH$5))*-CI$54</f>
        <v>0</v>
      </c>
      <c r="CJ149" s="268">
        <f>CI149</f>
        <v>0</v>
      </c>
      <c r="CK149" s="268">
        <f>(CK150/(CK$5-CJ$5))*-CK$54</f>
        <v>0</v>
      </c>
      <c r="CL149" s="268">
        <f>(CL150/(CL$5-CK$5))*-CL$54</f>
        <v>0</v>
      </c>
      <c r="CM149" s="268">
        <f>(CM150/(CM$5-CL$5))*-CM$54</f>
        <v>0</v>
      </c>
      <c r="CN149" s="268">
        <f>(CN150/(CN$5-CM$5))*-CN$54</f>
        <v>0</v>
      </c>
      <c r="CO149" s="268">
        <f>CN149</f>
        <v>0</v>
      </c>
      <c r="CP149" s="268">
        <f>(CP150/(CP$5-CO$5))*-CP$54</f>
        <v>0</v>
      </c>
      <c r="CQ149" s="268">
        <f>(CQ150/(CQ$5-CP$5))*-CQ$54</f>
        <v>0</v>
      </c>
      <c r="CR149" s="268">
        <f>(CR150/(CR$5-CQ$5))*-CR$54</f>
        <v>0</v>
      </c>
      <c r="CS149" s="268">
        <f>(CS150/(CS$5-CR$5))*-CS$54</f>
        <v>0</v>
      </c>
      <c r="CT149" s="268">
        <f>CS149</f>
        <v>0</v>
      </c>
      <c r="CU149" s="268">
        <f>(CU150/(CU$5-CT$5))*-CU$54</f>
        <v>0</v>
      </c>
      <c r="CV149" s="268">
        <f>(CV150/(CV$5-CU$5))*-CV$54</f>
        <v>0</v>
      </c>
      <c r="CW149" s="268">
        <f>(CW150/(CW$5-CV$5))*-CW$54</f>
        <v>0</v>
      </c>
      <c r="CX149" s="268">
        <f>(CX150/(CX$5-CW$5))*-CX$54</f>
        <v>0</v>
      </c>
      <c r="CY149" s="268">
        <f>CX149</f>
        <v>0</v>
      </c>
    </row>
    <row r="150" hidden="1" outlineLevel="1" ht="12.75" customHeight="1" s="255">
      <c r="C150" s="312" t="inlineStr">
        <is>
          <t>DIO</t>
        </is>
      </c>
      <c r="D150" s="268" t="n"/>
      <c r="E150" s="268">
        <f>((E149/E$54)*(E$5-D$5))*-1</f>
        <v>66.2349448685327</v>
      </c>
      <c r="F150" s="268">
        <f>((F149/F$54)*(F$5-E$5))*-1</f>
        <v>62.913554121257</v>
      </c>
      <c r="G150" s="268">
        <f>((G149/G$54)*(G$5-F$5))*-1</f>
        <v>56.9108159392789</v>
      </c>
      <c r="H150" s="268" t="n"/>
      <c r="I150" s="268">
        <f>((I149/I$54)*(I$5-H$5))*-1</f>
        <v>66.2316364878715</v>
      </c>
      <c r="J150" s="268">
        <f>((J149/J$54)*(J$5-I$5))*-1</f>
        <v>52.6580027359781</v>
      </c>
      <c r="K150" s="268">
        <f>((K149/K$54)*(K$5-J$5))*-1</f>
        <v>56.0675285171103</v>
      </c>
      <c r="L150" s="268">
        <f>((L149/L$54)*(L$5-K$5))*-1</f>
        <v>48.8230628816013</v>
      </c>
      <c r="M150" s="268" t="n"/>
      <c r="N150" s="268">
        <f>((N149/N$54)*(N$5-M$5))*-1</f>
        <v>67.8550843968711</v>
      </c>
      <c r="O150" s="268">
        <f>((O149/O$54)*(O$5-N$5))*-1</f>
        <v>55.9101354123923</v>
      </c>
      <c r="P150" s="268">
        <f>((P149/P$54)*(P$5-O$5))*-1</f>
        <v>47.3242866201649</v>
      </c>
      <c r="Q150" s="268">
        <f>((Q149/Q$54)*(Q$5-P$5))*-1</f>
        <v>49.1477222186924</v>
      </c>
      <c r="R150" s="268" t="n"/>
      <c r="S150" s="268">
        <f>((S149/S$54)*(S$5-R$5))*-1</f>
        <v>57.3641865432538</v>
      </c>
      <c r="T150" s="268">
        <f>((T149/T$54)*(T$5-S$5))*-1</f>
        <v>59.0179702459862</v>
      </c>
      <c r="U150" s="268">
        <f>((U149/U$54)*(U$5-T$5))*-1</f>
        <v>53.1183355006502</v>
      </c>
      <c r="V150" s="268">
        <f>((V149/V$54)*(V$5-U$5))*-1</f>
        <v>48.2477118393859</v>
      </c>
      <c r="W150" s="268" t="n"/>
      <c r="X150" s="268">
        <f>((X149/X$54)*(X$5-W$5))*-1</f>
        <v>54.9485075227291</v>
      </c>
      <c r="Y150" s="268">
        <f>((Y149/Y$54)*(Y$5-X$5))*-1</f>
        <v>58.829094118591</v>
      </c>
      <c r="Z150" s="268">
        <f>((Z149/Z$54)*(Z$5-Y$5))*-1</f>
        <v>57.1507031705085</v>
      </c>
      <c r="AA150" s="268">
        <f>((AA149/AA$54)*(AA$5-Z$5))*-1</f>
        <v>48.401037445291</v>
      </c>
      <c r="AB150" s="268" t="n"/>
      <c r="AC150" s="268">
        <f>((AC149/AC$54)*(AC$5-AB$5))*-1</f>
        <v>64.3904448105437</v>
      </c>
      <c r="AD150" s="268">
        <f>((AD149/AD$54)*(AD$5-AC$5))*-1</f>
        <v>61.2063785144776</v>
      </c>
      <c r="AE150" s="268">
        <f>((AE149/AE$54)*(AE$5-AD$5))*-1</f>
        <v>58.735983885665</v>
      </c>
      <c r="AF150" s="267">
        <f>((AF149/AF$54)*(AF$5-AE$5))*-1</f>
        <v>53.9052608213097</v>
      </c>
      <c r="AG150" s="268" t="n"/>
      <c r="AH150" s="267">
        <f>((AH149/AH$54)*(AH$5-AG$5))*-1</f>
        <v>66.5733326940595</v>
      </c>
      <c r="AI150" s="267">
        <f>((AI149/AI$54)*(AI$5-AH$5))*-1</f>
        <v>63.6514205573652</v>
      </c>
      <c r="AJ150" s="267" t="n"/>
      <c r="AK150" s="267" t="n"/>
      <c r="AL150" s="268" t="n"/>
      <c r="AM150" s="267" t="n"/>
      <c r="AN150" s="267" t="n"/>
      <c r="AO150" s="267" t="n"/>
      <c r="AP150" s="267" t="n"/>
      <c r="AQ150" s="268" t="n"/>
      <c r="AR150" s="267" t="n"/>
      <c r="AS150" s="267" t="n"/>
      <c r="AT150" s="267" t="n"/>
      <c r="AU150" s="267" t="n"/>
      <c r="AV150" s="268" t="n"/>
      <c r="AW150" s="267" t="n"/>
      <c r="AX150" s="267" t="n"/>
      <c r="AY150" s="267" t="n"/>
      <c r="AZ150" s="267" t="n"/>
      <c r="BA150" s="268" t="n"/>
      <c r="BB150" s="267" t="n"/>
      <c r="BC150" s="267" t="n"/>
      <c r="BD150" s="267" t="n"/>
      <c r="BE150" s="267" t="n"/>
      <c r="BF150" s="268" t="n"/>
      <c r="BG150" s="267" t="n"/>
      <c r="BH150" s="267" t="n"/>
      <c r="BI150" s="267" t="n"/>
      <c r="BJ150" s="267" t="n"/>
      <c r="BK150" s="268" t="n"/>
      <c r="BL150" s="267" t="n"/>
      <c r="BM150" s="267" t="n"/>
      <c r="BN150" s="267" t="n"/>
      <c r="BO150" s="267" t="n"/>
      <c r="BP150" s="268" t="n"/>
      <c r="BQ150" s="267" t="n"/>
      <c r="BR150" s="267" t="n"/>
      <c r="BS150" s="267" t="n"/>
      <c r="BT150" s="267" t="n"/>
      <c r="BU150" s="268" t="n"/>
      <c r="BV150" s="267" t="n"/>
      <c r="BW150" s="267" t="n"/>
      <c r="BX150" s="267" t="n"/>
      <c r="BY150" s="267" t="n"/>
      <c r="BZ150" s="268" t="n"/>
      <c r="CA150" s="267" t="n"/>
      <c r="CB150" s="267" t="n"/>
      <c r="CC150" s="267" t="n"/>
      <c r="CD150" s="267" t="n"/>
      <c r="CE150" s="268" t="n"/>
      <c r="CF150" s="267" t="n"/>
      <c r="CG150" s="267" t="n"/>
      <c r="CH150" s="267" t="n"/>
      <c r="CI150" s="267" t="n"/>
      <c r="CJ150" s="268" t="n"/>
      <c r="CK150" s="267" t="n"/>
      <c r="CL150" s="267" t="n"/>
      <c r="CM150" s="267" t="n"/>
      <c r="CN150" s="267" t="n"/>
      <c r="CO150" s="268" t="n"/>
      <c r="CP150" s="267" t="n"/>
      <c r="CQ150" s="267" t="n"/>
      <c r="CR150" s="267" t="n"/>
      <c r="CS150" s="267" t="n"/>
      <c r="CT150" s="268" t="n"/>
      <c r="CU150" s="267" t="n"/>
      <c r="CV150" s="267" t="n"/>
      <c r="CW150" s="267" t="n"/>
      <c r="CX150" s="267" t="n"/>
      <c r="CY150" s="268" t="n"/>
    </row>
    <row r="151" hidden="1" outlineLevel="1" ht="12.75" customHeight="1" s="255">
      <c r="C151" s="312" t="n"/>
      <c r="D151" s="268" t="n"/>
      <c r="E151" s="268" t="n"/>
      <c r="F151" s="268" t="n"/>
      <c r="G151" s="268" t="n"/>
      <c r="H151" s="268" t="n"/>
      <c r="I151" s="268" t="n"/>
      <c r="J151" s="268" t="n"/>
      <c r="K151" s="268" t="n"/>
      <c r="L151" s="268" t="n"/>
      <c r="M151" s="268" t="n"/>
      <c r="N151" s="268" t="n"/>
      <c r="O151" s="268" t="n"/>
      <c r="P151" s="268" t="n"/>
      <c r="Q151" s="268" t="n"/>
      <c r="R151" s="268" t="n"/>
      <c r="S151" s="268" t="n"/>
      <c r="T151" s="268" t="n"/>
      <c r="U151" s="268" t="n"/>
      <c r="V151" s="268" t="n"/>
      <c r="W151" s="268" t="n"/>
      <c r="X151" s="268" t="n"/>
      <c r="Y151" s="268" t="n"/>
      <c r="Z151" s="268" t="n"/>
      <c r="AA151" s="268" t="n"/>
      <c r="AB151" s="268" t="n"/>
      <c r="AC151" s="268" t="n"/>
      <c r="AD151" s="268" t="n"/>
      <c r="AE151" s="268" t="n"/>
      <c r="AF151" s="268" t="n"/>
      <c r="AG151" s="268" t="n"/>
      <c r="AH151" s="268" t="n"/>
      <c r="AI151" s="268" t="n"/>
      <c r="AJ151" s="268" t="n"/>
      <c r="AK151" s="268" t="n"/>
      <c r="AL151" s="268" t="n"/>
      <c r="AM151" s="268" t="n"/>
      <c r="AN151" s="268" t="n"/>
      <c r="AO151" s="268" t="n"/>
      <c r="AP151" s="268" t="n"/>
      <c r="AQ151" s="268" t="n"/>
      <c r="AR151" s="268" t="n"/>
      <c r="AS151" s="268" t="n"/>
      <c r="AT151" s="268" t="n"/>
      <c r="AU151" s="268" t="n"/>
      <c r="AV151" s="268" t="n"/>
      <c r="AW151" s="268" t="n"/>
      <c r="AX151" s="268" t="n"/>
      <c r="AY151" s="268" t="n"/>
      <c r="AZ151" s="268" t="n"/>
      <c r="BA151" s="268" t="n"/>
      <c r="BB151" s="268" t="n"/>
      <c r="BC151" s="268" t="n"/>
      <c r="BD151" s="268" t="n"/>
      <c r="BE151" s="268" t="n"/>
      <c r="BF151" s="268" t="n"/>
      <c r="BG151" s="268" t="n"/>
      <c r="BH151" s="268" t="n"/>
      <c r="BI151" s="268" t="n"/>
      <c r="BJ151" s="268" t="n"/>
      <c r="BK151" s="268" t="n"/>
      <c r="BL151" s="268" t="n"/>
      <c r="BM151" s="268" t="n"/>
      <c r="BN151" s="268" t="n"/>
      <c r="BO151" s="268" t="n"/>
      <c r="BP151" s="268" t="n"/>
      <c r="BQ151" s="268" t="n"/>
      <c r="BR151" s="268" t="n"/>
      <c r="BS151" s="268" t="n"/>
      <c r="BT151" s="268" t="n"/>
      <c r="BU151" s="268" t="n"/>
      <c r="BV151" s="268" t="n"/>
      <c r="BW151" s="268" t="n"/>
      <c r="BX151" s="268" t="n"/>
      <c r="BY151" s="268" t="n"/>
      <c r="BZ151" s="268" t="n"/>
      <c r="CA151" s="268" t="n"/>
      <c r="CB151" s="268" t="n"/>
      <c r="CC151" s="268" t="n"/>
      <c r="CD151" s="268" t="n"/>
      <c r="CE151" s="268" t="n"/>
      <c r="CF151" s="268" t="n"/>
      <c r="CG151" s="268" t="n"/>
      <c r="CH151" s="268" t="n"/>
      <c r="CI151" s="268" t="n"/>
      <c r="CJ151" s="268" t="n"/>
      <c r="CK151" s="268" t="n"/>
      <c r="CL151" s="268" t="n"/>
      <c r="CM151" s="268" t="n"/>
      <c r="CN151" s="268" t="n"/>
      <c r="CO151" s="268" t="n"/>
      <c r="CP151" s="268" t="n"/>
      <c r="CQ151" s="268" t="n"/>
      <c r="CR151" s="268" t="n"/>
      <c r="CS151" s="268" t="n"/>
      <c r="CT151" s="268" t="n"/>
      <c r="CU151" s="268" t="n"/>
      <c r="CV151" s="268" t="n"/>
      <c r="CW151" s="268" t="n"/>
      <c r="CX151" s="268" t="n"/>
      <c r="CY151" s="268" t="n"/>
    </row>
    <row r="152" hidden="1" outlineLevel="1" ht="12.75" customHeight="1" s="255">
      <c r="C152" s="312" t="n"/>
      <c r="D152" s="268" t="n"/>
      <c r="E152" s="268" t="n"/>
      <c r="F152" s="268" t="n"/>
      <c r="G152" s="268" t="n"/>
      <c r="H152" s="268" t="n"/>
      <c r="I152" s="268" t="n"/>
      <c r="J152" s="268" t="n"/>
      <c r="K152" s="268" t="n"/>
      <c r="L152" s="268" t="n"/>
      <c r="M152" s="268" t="n"/>
      <c r="N152" s="268" t="n"/>
      <c r="O152" s="268" t="n"/>
      <c r="P152" s="268" t="n"/>
      <c r="Q152" s="268" t="n"/>
      <c r="R152" s="268" t="n"/>
      <c r="S152" s="268" t="n"/>
      <c r="T152" s="268" t="n"/>
      <c r="U152" s="268" t="n"/>
      <c r="V152" s="268" t="n"/>
      <c r="W152" s="268" t="n"/>
      <c r="X152" s="268" t="n"/>
      <c r="Y152" s="268" t="n"/>
      <c r="Z152" s="268" t="n"/>
      <c r="AA152" s="268" t="n"/>
      <c r="AB152" s="268" t="n"/>
      <c r="AC152" s="268" t="n"/>
      <c r="AD152" s="268" t="n"/>
      <c r="AE152" s="268" t="n"/>
      <c r="AF152" s="268" t="n"/>
      <c r="AG152" s="268" t="n"/>
      <c r="AH152" s="268" t="n"/>
      <c r="AI152" s="268" t="n"/>
      <c r="AJ152" s="268" t="n"/>
      <c r="AK152" s="268" t="n"/>
      <c r="AL152" s="268" t="n"/>
      <c r="AM152" s="268" t="n"/>
      <c r="AN152" s="268" t="n"/>
      <c r="AO152" s="268" t="n"/>
      <c r="AP152" s="268" t="n"/>
      <c r="AQ152" s="268" t="n"/>
      <c r="AR152" s="268" t="n"/>
      <c r="AS152" s="268" t="n"/>
      <c r="AT152" s="268" t="n"/>
      <c r="AU152" s="268" t="n"/>
      <c r="AV152" s="268" t="n"/>
      <c r="AW152" s="268" t="n"/>
      <c r="AX152" s="268" t="n"/>
      <c r="AY152" s="268" t="n"/>
      <c r="AZ152" s="268" t="n"/>
      <c r="BA152" s="268" t="n"/>
      <c r="BB152" s="268" t="n"/>
      <c r="BC152" s="268" t="n"/>
      <c r="BD152" s="268" t="n"/>
      <c r="BE152" s="268" t="n"/>
      <c r="BF152" s="268" t="n"/>
      <c r="BG152" s="268" t="n"/>
      <c r="BH152" s="268" t="n"/>
      <c r="BI152" s="268" t="n"/>
      <c r="BJ152" s="268" t="n"/>
      <c r="BK152" s="268" t="n"/>
      <c r="BL152" s="268" t="n"/>
      <c r="BM152" s="268" t="n"/>
      <c r="BN152" s="268" t="n"/>
      <c r="BO152" s="268" t="n"/>
      <c r="BP152" s="268" t="n"/>
      <c r="BQ152" s="268" t="n"/>
      <c r="BR152" s="268" t="n"/>
      <c r="BS152" s="268" t="n"/>
      <c r="BT152" s="268" t="n"/>
      <c r="BU152" s="268" t="n"/>
      <c r="BV152" s="268" t="n"/>
      <c r="BW152" s="268" t="n"/>
      <c r="BX152" s="268" t="n"/>
      <c r="BY152" s="268" t="n"/>
      <c r="BZ152" s="268" t="n"/>
      <c r="CA152" s="268" t="n"/>
      <c r="CB152" s="268" t="n"/>
      <c r="CC152" s="268" t="n"/>
      <c r="CD152" s="268" t="n"/>
      <c r="CE152" s="268" t="n"/>
      <c r="CF152" s="268" t="n"/>
      <c r="CG152" s="268" t="n"/>
      <c r="CH152" s="268" t="n"/>
      <c r="CI152" s="268" t="n"/>
      <c r="CJ152" s="268" t="n"/>
      <c r="CK152" s="268" t="n"/>
      <c r="CL152" s="268" t="n"/>
      <c r="CM152" s="268" t="n"/>
      <c r="CN152" s="268" t="n"/>
      <c r="CO152" s="268" t="n"/>
      <c r="CP152" s="268" t="n"/>
      <c r="CQ152" s="268" t="n"/>
      <c r="CR152" s="268" t="n"/>
      <c r="CS152" s="268" t="n"/>
      <c r="CT152" s="268" t="n"/>
      <c r="CU152" s="268" t="n"/>
      <c r="CV152" s="268" t="n"/>
      <c r="CW152" s="268" t="n"/>
      <c r="CX152" s="268" t="n"/>
      <c r="CY152" s="268" t="n"/>
    </row>
    <row r="153" ht="12.75" customHeight="1" s="255">
      <c r="C153" s="270" t="inlineStr">
        <is>
          <t>Deferred income taxes</t>
        </is>
      </c>
      <c r="D153" s="301">
        <f>INDEX('Inputs (2)'!$D$18:$AL$18,MATCH(D$7,'Inputs (2)'!$D$2:$AL$2,0))</f>
        <v>416</v>
      </c>
      <c r="E153" s="301">
        <f>INDEX('Inputs (2)'!$D$18:$AL$18,MATCH(E$7,'Inputs (2)'!$D$2:$AL$2,0))</f>
        <v>295</v>
      </c>
      <c r="F153" s="301">
        <f>INDEX('Inputs (2)'!$D$18:$AL$18,MATCH(F$7,'Inputs (2)'!$D$2:$AL$2,0))</f>
        <v>311</v>
      </c>
      <c r="G153" s="301">
        <f>INDEX('Inputs (2)'!$D$18:$AL$18,MATCH(G$7,'Inputs (2)'!$D$2:$AL$2,0))</f>
        <v>339</v>
      </c>
      <c r="H153" s="268">
        <f>G153</f>
        <v>339</v>
      </c>
      <c r="I153" s="301">
        <f>INDEX('Inputs (2)'!$D$18:$AL$18,MATCH(I$7,'Inputs (2)'!$D$2:$AL$2,0))</f>
        <v>319</v>
      </c>
      <c r="J153" s="301">
        <f>INDEX('Inputs (2)'!$D$18:$AL$18,MATCH(J$7,'Inputs (2)'!$D$2:$AL$2,0))</f>
        <v>473</v>
      </c>
      <c r="K153" s="301">
        <f>INDEX('Inputs (2)'!$D$18:$AL$18,MATCH(K$7,'Inputs (2)'!$D$2:$AL$2,0))</f>
        <v>552</v>
      </c>
      <c r="L153" s="301">
        <f>INDEX('Inputs (2)'!$D$18:$AL$18,MATCH(L$7,'Inputs (2)'!$D$2:$AL$2,0))</f>
        <v>550</v>
      </c>
      <c r="M153" s="268">
        <f>L153</f>
        <v>550</v>
      </c>
      <c r="N153" s="301">
        <f>INDEX('Inputs (2)'!$D$18:$AL$18,MATCH(N$7,'Inputs (2)'!$D$2:$AL$2,0))</f>
        <v>689</v>
      </c>
      <c r="O153" s="301">
        <f>INDEX('Inputs (2)'!$D$18:$AL$18,MATCH(O$7,'Inputs (2)'!$D$2:$AL$2,0))</f>
        <v>622</v>
      </c>
      <c r="P153" s="301">
        <f>INDEX('Inputs (2)'!$D$18:$AL$18,MATCH(P$7,'Inputs (2)'!$D$2:$AL$2,0))</f>
        <v>638</v>
      </c>
      <c r="Q153" s="301">
        <f>INDEX('Inputs (2)'!$D$18:$AL$18,MATCH(Q$7,'Inputs (2)'!$D$2:$AL$2,0))</f>
        <v>712</v>
      </c>
      <c r="R153" s="268">
        <f>Q153</f>
        <v>712</v>
      </c>
      <c r="S153" s="301">
        <f>INDEX('Inputs (2)'!$D$18:$AL$18,MATCH(S$7,'Inputs (2)'!$D$2:$AL$2,0))</f>
        <v>724</v>
      </c>
      <c r="T153" s="301">
        <f>INDEX('Inputs (2)'!$D$18:$AL$18,MATCH(T$7,'Inputs (2)'!$D$2:$AL$2,0))</f>
        <v>697</v>
      </c>
      <c r="U153" s="301">
        <f>INDEX('Inputs (2)'!$D$18:$AL$18,MATCH(U$7,'Inputs (2)'!$D$2:$AL$2,0))</f>
        <v>632</v>
      </c>
      <c r="V153" s="301">
        <f>INDEX('Inputs (2)'!$D$18:$AL$18,MATCH(V$7,'Inputs (2)'!$D$2:$AL$2,0))</f>
        <v>773</v>
      </c>
      <c r="W153" s="268">
        <f>V153</f>
        <v>773</v>
      </c>
      <c r="X153" s="301">
        <f>INDEX('Inputs (2)'!$D$18:$AL$18,MATCH(X$7,'Inputs (2)'!$D$2:$AL$2,0))</f>
        <v>743</v>
      </c>
      <c r="Y153" s="301">
        <f>INDEX('Inputs (2)'!$D$18:$AL$18,MATCH(Y$7,'Inputs (2)'!$D$2:$AL$2,0))</f>
        <v>698</v>
      </c>
      <c r="Z153" s="301">
        <f>INDEX('Inputs (2)'!$D$18:$AL$18,MATCH(Z$7,'Inputs (2)'!$D$2:$AL$2,0))</f>
        <v>725</v>
      </c>
      <c r="AA153" s="301">
        <f>INDEX('Inputs (2)'!$D$18:$AL$18,MATCH(AA$7,'Inputs (2)'!$D$2:$AL$2,0))</f>
        <v>645</v>
      </c>
      <c r="AB153" s="268">
        <f>AA153</f>
        <v>645</v>
      </c>
      <c r="AC153" s="301">
        <f>INDEX('Inputs (2)'!$D$18:$AL$18,MATCH(AC$7,'Inputs (2)'!$D$2:$AL$2,0))</f>
        <v>648</v>
      </c>
      <c r="AD153" s="301">
        <f>INDEX('Inputs (2)'!$D$18:$AL$18,MATCH(AD$7,'Inputs (2)'!$D$2:$AL$2,0))</f>
        <v>646</v>
      </c>
      <c r="AE153" s="301">
        <f>INDEX('Inputs (2)'!$D$18:$AL$18,MATCH(AE$7,'Inputs (2)'!$D$2:$AL$2,0))</f>
        <v>789</v>
      </c>
      <c r="AF153" s="301">
        <f>INDEX('Inputs (2)'!$D$18:$AL$18,MATCH(AF$7,'Inputs (2)'!$D$2:$AL$2,0))</f>
        <v>890</v>
      </c>
      <c r="AG153" s="268">
        <f>AF153</f>
        <v>890</v>
      </c>
      <c r="AH153" s="268">
        <f>INDEX('Inputs (2)'!$D$18:$AL$18,MATCH(AH$7,'Inputs (2)'!$D$2:$AL$2,0))</f>
        <v>934</v>
      </c>
      <c r="AI153" s="268">
        <f>INDEX('Inputs (2)'!$D$18:$AL$18,MATCH(AI$7,'Inputs (2)'!$D$2:$AL$2,0))</f>
        <v>902</v>
      </c>
      <c r="AJ153" s="268">
        <f>AI153</f>
        <v>902</v>
      </c>
      <c r="AK153" s="268">
        <f>AJ153</f>
        <v>902</v>
      </c>
      <c r="AL153" s="268">
        <f>AK153</f>
        <v>902</v>
      </c>
      <c r="AM153" s="268">
        <f>AL153</f>
        <v>902</v>
      </c>
      <c r="AN153" s="268">
        <f>AM153</f>
        <v>902</v>
      </c>
      <c r="AO153" s="268">
        <f>AN153</f>
        <v>902</v>
      </c>
      <c r="AP153" s="268">
        <f>AO153</f>
        <v>902</v>
      </c>
      <c r="AQ153" s="268">
        <f>AP153</f>
        <v>902</v>
      </c>
      <c r="AR153" s="268">
        <f>AQ153</f>
        <v>902</v>
      </c>
      <c r="AS153" s="268">
        <f>AR153</f>
        <v>902</v>
      </c>
      <c r="AT153" s="268">
        <f>AS153</f>
        <v>902</v>
      </c>
      <c r="AU153" s="268">
        <f>AT153</f>
        <v>902</v>
      </c>
      <c r="AV153" s="268">
        <f>AU153</f>
        <v>902</v>
      </c>
      <c r="AW153" s="268">
        <f>AV153</f>
        <v>902</v>
      </c>
      <c r="AX153" s="268">
        <f>AW153</f>
        <v>902</v>
      </c>
      <c r="AY153" s="268">
        <f>AX153</f>
        <v>902</v>
      </c>
      <c r="AZ153" s="268">
        <f>AY153</f>
        <v>902</v>
      </c>
      <c r="BA153" s="268">
        <f>AZ153</f>
        <v>902</v>
      </c>
      <c r="BB153" s="268">
        <f>BA153</f>
        <v>902</v>
      </c>
      <c r="BC153" s="268">
        <f>BB153</f>
        <v>902</v>
      </c>
      <c r="BD153" s="268">
        <f>BC153</f>
        <v>902</v>
      </c>
      <c r="BE153" s="268">
        <f>BD153</f>
        <v>902</v>
      </c>
      <c r="BF153" s="268">
        <f>BE153</f>
        <v>902</v>
      </c>
      <c r="BG153" s="268">
        <f>BF153</f>
        <v>902</v>
      </c>
      <c r="BH153" s="268">
        <f>BG153</f>
        <v>902</v>
      </c>
      <c r="BI153" s="268">
        <f>BH153</f>
        <v>902</v>
      </c>
      <c r="BJ153" s="268">
        <f>BI153</f>
        <v>902</v>
      </c>
      <c r="BK153" s="268">
        <f>BJ153</f>
        <v>902</v>
      </c>
      <c r="BL153" s="268">
        <f>BK153</f>
        <v>902</v>
      </c>
      <c r="BM153" s="268">
        <f>BL153</f>
        <v>902</v>
      </c>
      <c r="BN153" s="268">
        <f>BM153</f>
        <v>902</v>
      </c>
      <c r="BO153" s="268">
        <f>BN153</f>
        <v>902</v>
      </c>
      <c r="BP153" s="268">
        <f>BO153</f>
        <v>902</v>
      </c>
      <c r="BQ153" s="268">
        <f>BP153</f>
        <v>902</v>
      </c>
      <c r="BR153" s="268">
        <f>BQ153</f>
        <v>902</v>
      </c>
      <c r="BS153" s="268">
        <f>BR153</f>
        <v>902</v>
      </c>
      <c r="BT153" s="268">
        <f>BS153</f>
        <v>902</v>
      </c>
      <c r="BU153" s="268">
        <f>BT153</f>
        <v>902</v>
      </c>
      <c r="BV153" s="268">
        <f>BU153</f>
        <v>902</v>
      </c>
      <c r="BW153" s="268">
        <f>BV153</f>
        <v>902</v>
      </c>
      <c r="BX153" s="268">
        <f>BW153</f>
        <v>902</v>
      </c>
      <c r="BY153" s="268">
        <f>BX153</f>
        <v>902</v>
      </c>
      <c r="BZ153" s="268">
        <f>BY153</f>
        <v>902</v>
      </c>
      <c r="CA153" s="268">
        <f>BZ153</f>
        <v>902</v>
      </c>
      <c r="CB153" s="268">
        <f>CA153</f>
        <v>902</v>
      </c>
      <c r="CC153" s="268">
        <f>CB153</f>
        <v>902</v>
      </c>
      <c r="CD153" s="268">
        <f>CC153</f>
        <v>902</v>
      </c>
      <c r="CE153" s="268">
        <f>CD153</f>
        <v>902</v>
      </c>
      <c r="CF153" s="268">
        <f>CE153</f>
        <v>902</v>
      </c>
      <c r="CG153" s="268">
        <f>CF153</f>
        <v>902</v>
      </c>
      <c r="CH153" s="268">
        <f>CG153</f>
        <v>902</v>
      </c>
      <c r="CI153" s="268">
        <f>CH153</f>
        <v>902</v>
      </c>
      <c r="CJ153" s="268">
        <f>CI153</f>
        <v>902</v>
      </c>
      <c r="CK153" s="268">
        <f>CJ153</f>
        <v>902</v>
      </c>
      <c r="CL153" s="268">
        <f>CK153</f>
        <v>902</v>
      </c>
      <c r="CM153" s="268">
        <f>CL153</f>
        <v>902</v>
      </c>
      <c r="CN153" s="268">
        <f>CM153</f>
        <v>902</v>
      </c>
      <c r="CO153" s="268">
        <f>CN153</f>
        <v>902</v>
      </c>
      <c r="CP153" s="268">
        <f>CO153</f>
        <v>902</v>
      </c>
      <c r="CQ153" s="268">
        <f>CP153</f>
        <v>902</v>
      </c>
      <c r="CR153" s="268">
        <f>CQ153</f>
        <v>902</v>
      </c>
      <c r="CS153" s="268">
        <f>CR153</f>
        <v>902</v>
      </c>
      <c r="CT153" s="268">
        <f>CS153</f>
        <v>902</v>
      </c>
      <c r="CU153" s="268">
        <f>CT153</f>
        <v>902</v>
      </c>
      <c r="CV153" s="268">
        <f>CU153</f>
        <v>902</v>
      </c>
      <c r="CW153" s="268">
        <f>CV153</f>
        <v>902</v>
      </c>
      <c r="CX153" s="268">
        <f>CW153</f>
        <v>902</v>
      </c>
      <c r="CY153" s="268">
        <f>CX153</f>
        <v>902</v>
      </c>
    </row>
    <row r="154" ht="12.75" customHeight="1" s="255">
      <c r="C154" s="270" t="inlineStr">
        <is>
          <t>Prepaid expenses</t>
        </is>
      </c>
      <c r="D154" s="301">
        <f>INDEX('Inputs (2)'!$D$19:$AL$19,MATCH(D$7,'Inputs (2)'!$D$2:$AL$2,0))</f>
        <v>0</v>
      </c>
      <c r="E154" s="301">
        <f>INDEX('Inputs (2)'!$D$19:$AL$19,MATCH(E$7,'Inputs (2)'!$D$2:$AL$2,0))</f>
        <v>0</v>
      </c>
      <c r="F154" s="301">
        <f>INDEX('Inputs (2)'!$D$19:$AL$19,MATCH(F$7,'Inputs (2)'!$D$2:$AL$2,0))</f>
        <v>0</v>
      </c>
      <c r="G154" s="301">
        <f>INDEX('Inputs (2)'!$D$19:$AL$19,MATCH(G$7,'Inputs (2)'!$D$2:$AL$2,0))</f>
        <v>0</v>
      </c>
      <c r="H154" s="268">
        <f>G154</f>
        <v>0</v>
      </c>
      <c r="I154" s="301">
        <f>INDEX('Inputs (2)'!$D$19:$AL$19,MATCH(I$7,'Inputs (2)'!$D$2:$AL$2,0))</f>
        <v>0</v>
      </c>
      <c r="J154" s="301">
        <f>INDEX('Inputs (2)'!$D$19:$AL$19,MATCH(J$7,'Inputs (2)'!$D$2:$AL$2,0))</f>
        <v>0</v>
      </c>
      <c r="K154" s="301">
        <f>INDEX('Inputs (2)'!$D$19:$AL$19,MATCH(K$7,'Inputs (2)'!$D$2:$AL$2,0))</f>
        <v>0</v>
      </c>
      <c r="L154" s="301">
        <f>INDEX('Inputs (2)'!$D$19:$AL$19,MATCH(L$7,'Inputs (2)'!$D$2:$AL$2,0))</f>
        <v>0</v>
      </c>
      <c r="M154" s="268">
        <f>L154</f>
        <v>0</v>
      </c>
      <c r="N154" s="301">
        <f>INDEX('Inputs (2)'!$D$19:$AL$19,MATCH(N$7,'Inputs (2)'!$D$2:$AL$2,0))</f>
        <v>0</v>
      </c>
      <c r="O154" s="301">
        <f>INDEX('Inputs (2)'!$D$19:$AL$19,MATCH(O$7,'Inputs (2)'!$D$2:$AL$2,0))</f>
        <v>0</v>
      </c>
      <c r="P154" s="301">
        <f>INDEX('Inputs (2)'!$D$19:$AL$19,MATCH(P$7,'Inputs (2)'!$D$2:$AL$2,0))</f>
        <v>0</v>
      </c>
      <c r="Q154" s="301">
        <f>INDEX('Inputs (2)'!$D$19:$AL$19,MATCH(Q$7,'Inputs (2)'!$D$2:$AL$2,0))</f>
        <v>0</v>
      </c>
      <c r="R154" s="268">
        <f>Q154</f>
        <v>0</v>
      </c>
      <c r="S154" s="301">
        <f>INDEX('Inputs (2)'!$D$19:$AL$19,MATCH(S$7,'Inputs (2)'!$D$2:$AL$2,0))</f>
        <v>0</v>
      </c>
      <c r="T154" s="301">
        <f>INDEX('Inputs (2)'!$D$19:$AL$19,MATCH(T$7,'Inputs (2)'!$D$2:$AL$2,0))</f>
        <v>0</v>
      </c>
      <c r="U154" s="301">
        <f>INDEX('Inputs (2)'!$D$19:$AL$19,MATCH(U$7,'Inputs (2)'!$D$2:$AL$2,0))</f>
        <v>0</v>
      </c>
      <c r="V154" s="301">
        <f>INDEX('Inputs (2)'!$D$19:$AL$19,MATCH(V$7,'Inputs (2)'!$D$2:$AL$2,0))</f>
        <v>0</v>
      </c>
      <c r="W154" s="268">
        <f>V154</f>
        <v>0</v>
      </c>
      <c r="X154" s="301">
        <f>INDEX('Inputs (2)'!$D$19:$AL$19,MATCH(X$7,'Inputs (2)'!$D$2:$AL$2,0))</f>
        <v>0</v>
      </c>
      <c r="Y154" s="301">
        <f>INDEX('Inputs (2)'!$D$19:$AL$19,MATCH(Y$7,'Inputs (2)'!$D$2:$AL$2,0))</f>
        <v>0</v>
      </c>
      <c r="Z154" s="301">
        <f>INDEX('Inputs (2)'!$D$19:$AL$19,MATCH(Z$7,'Inputs (2)'!$D$2:$AL$2,0))</f>
        <v>0</v>
      </c>
      <c r="AA154" s="301">
        <f>INDEX('Inputs (2)'!$D$19:$AL$19,MATCH(AA$7,'Inputs (2)'!$D$2:$AL$2,0))</f>
        <v>0</v>
      </c>
      <c r="AB154" s="268">
        <f>AA154</f>
        <v>0</v>
      </c>
      <c r="AC154" s="301">
        <f>INDEX('Inputs (2)'!$D$19:$AL$19,MATCH(AC$7,'Inputs (2)'!$D$2:$AL$2,0))</f>
        <v>0</v>
      </c>
      <c r="AD154" s="301">
        <f>INDEX('Inputs (2)'!$D$19:$AL$19,MATCH(AD$7,'Inputs (2)'!$D$2:$AL$2,0))</f>
        <v>0</v>
      </c>
      <c r="AE154" s="301">
        <f>INDEX('Inputs (2)'!$D$19:$AL$19,MATCH(AE$7,'Inputs (2)'!$D$2:$AL$2,0))</f>
        <v>0</v>
      </c>
      <c r="AF154" s="301">
        <f>INDEX('Inputs (2)'!$D$19:$AL$19,MATCH(AF$7,'Inputs (2)'!$D$2:$AL$2,0))</f>
        <v>0</v>
      </c>
      <c r="AG154" s="268">
        <f>AF154</f>
        <v>0</v>
      </c>
      <c r="AH154" s="268">
        <f>INDEX('Inputs (2)'!$D$19:$AL$19,MATCH(AH$7,'Inputs (2)'!$D$2:$AL$2,0))</f>
        <v>0</v>
      </c>
      <c r="AI154" s="268">
        <f>INDEX('Inputs (2)'!$D$19:$AL$19,MATCH(AI$7,'Inputs (2)'!$D$2:$AL$2,0))</f>
        <v>0</v>
      </c>
      <c r="AJ154" s="268">
        <f>AI154</f>
        <v>0</v>
      </c>
      <c r="AK154" s="268">
        <f>AJ154</f>
        <v>0</v>
      </c>
      <c r="AL154" s="268">
        <f>AK154</f>
        <v>0</v>
      </c>
      <c r="AM154" s="268">
        <f>AL154</f>
        <v>0</v>
      </c>
      <c r="AN154" s="268">
        <f>AM154</f>
        <v>0</v>
      </c>
      <c r="AO154" s="268">
        <f>AN154</f>
        <v>0</v>
      </c>
      <c r="AP154" s="268">
        <f>AO154</f>
        <v>0</v>
      </c>
      <c r="AQ154" s="268">
        <f>AP154</f>
        <v>0</v>
      </c>
      <c r="AR154" s="268">
        <f>AQ154</f>
        <v>0</v>
      </c>
      <c r="AS154" s="268">
        <f>AR154</f>
        <v>0</v>
      </c>
      <c r="AT154" s="268">
        <f>AS154</f>
        <v>0</v>
      </c>
      <c r="AU154" s="268">
        <f>AT154</f>
        <v>0</v>
      </c>
      <c r="AV154" s="268">
        <f>AU154</f>
        <v>0</v>
      </c>
      <c r="AW154" s="268">
        <f>AV154</f>
        <v>0</v>
      </c>
      <c r="AX154" s="268">
        <f>AW154</f>
        <v>0</v>
      </c>
      <c r="AY154" s="268">
        <f>AX154</f>
        <v>0</v>
      </c>
      <c r="AZ154" s="268">
        <f>AY154</f>
        <v>0</v>
      </c>
      <c r="BA154" s="268">
        <f>AZ154</f>
        <v>0</v>
      </c>
      <c r="BB154" s="268">
        <f>BA154</f>
        <v>0</v>
      </c>
      <c r="BC154" s="268">
        <f>BB154</f>
        <v>0</v>
      </c>
      <c r="BD154" s="268">
        <f>BC154</f>
        <v>0</v>
      </c>
      <c r="BE154" s="268">
        <f>BD154</f>
        <v>0</v>
      </c>
      <c r="BF154" s="268">
        <f>BE154</f>
        <v>0</v>
      </c>
      <c r="BG154" s="268">
        <f>BF154</f>
        <v>0</v>
      </c>
      <c r="BH154" s="268">
        <f>BG154</f>
        <v>0</v>
      </c>
      <c r="BI154" s="268">
        <f>BH154</f>
        <v>0</v>
      </c>
      <c r="BJ154" s="268">
        <f>BI154</f>
        <v>0</v>
      </c>
      <c r="BK154" s="268">
        <f>BJ154</f>
        <v>0</v>
      </c>
      <c r="BL154" s="268">
        <f>BK154</f>
        <v>0</v>
      </c>
      <c r="BM154" s="268">
        <f>BL154</f>
        <v>0</v>
      </c>
      <c r="BN154" s="268">
        <f>BM154</f>
        <v>0</v>
      </c>
      <c r="BO154" s="268">
        <f>BN154</f>
        <v>0</v>
      </c>
      <c r="BP154" s="268">
        <f>BO154</f>
        <v>0</v>
      </c>
      <c r="BQ154" s="268">
        <f>BP154</f>
        <v>0</v>
      </c>
      <c r="BR154" s="268">
        <f>BQ154</f>
        <v>0</v>
      </c>
      <c r="BS154" s="268">
        <f>BR154</f>
        <v>0</v>
      </c>
      <c r="BT154" s="268">
        <f>BS154</f>
        <v>0</v>
      </c>
      <c r="BU154" s="268">
        <f>BT154</f>
        <v>0</v>
      </c>
      <c r="BV154" s="268">
        <f>BU154</f>
        <v>0</v>
      </c>
      <c r="BW154" s="268">
        <f>BV154</f>
        <v>0</v>
      </c>
      <c r="BX154" s="268">
        <f>BW154</f>
        <v>0</v>
      </c>
      <c r="BY154" s="268">
        <f>BX154</f>
        <v>0</v>
      </c>
      <c r="BZ154" s="268">
        <f>BY154</f>
        <v>0</v>
      </c>
      <c r="CA154" s="268">
        <f>BZ154</f>
        <v>0</v>
      </c>
      <c r="CB154" s="268">
        <f>CA154</f>
        <v>0</v>
      </c>
      <c r="CC154" s="268">
        <f>CB154</f>
        <v>0</v>
      </c>
      <c r="CD154" s="268">
        <f>CC154</f>
        <v>0</v>
      </c>
      <c r="CE154" s="268">
        <f>CD154</f>
        <v>0</v>
      </c>
      <c r="CF154" s="268">
        <f>CE154</f>
        <v>0</v>
      </c>
      <c r="CG154" s="268">
        <f>CF154</f>
        <v>0</v>
      </c>
      <c r="CH154" s="268">
        <f>CG154</f>
        <v>0</v>
      </c>
      <c r="CI154" s="268">
        <f>CH154</f>
        <v>0</v>
      </c>
      <c r="CJ154" s="268">
        <f>CI154</f>
        <v>0</v>
      </c>
      <c r="CK154" s="268">
        <f>CJ154</f>
        <v>0</v>
      </c>
      <c r="CL154" s="268">
        <f>CK154</f>
        <v>0</v>
      </c>
      <c r="CM154" s="268">
        <f>CL154</f>
        <v>0</v>
      </c>
      <c r="CN154" s="268">
        <f>CM154</f>
        <v>0</v>
      </c>
      <c r="CO154" s="268">
        <f>CN154</f>
        <v>0</v>
      </c>
      <c r="CP154" s="268">
        <f>CO154</f>
        <v>0</v>
      </c>
      <c r="CQ154" s="268">
        <f>CP154</f>
        <v>0</v>
      </c>
      <c r="CR154" s="268">
        <f>CQ154</f>
        <v>0</v>
      </c>
      <c r="CS154" s="268">
        <f>CR154</f>
        <v>0</v>
      </c>
      <c r="CT154" s="268">
        <f>CS154</f>
        <v>0</v>
      </c>
      <c r="CU154" s="268">
        <f>CT154</f>
        <v>0</v>
      </c>
      <c r="CV154" s="268">
        <f>CU154</f>
        <v>0</v>
      </c>
      <c r="CW154" s="268">
        <f>CV154</f>
        <v>0</v>
      </c>
      <c r="CX154" s="268">
        <f>CW154</f>
        <v>0</v>
      </c>
      <c r="CY154" s="268">
        <f>CX154</f>
        <v>0</v>
      </c>
    </row>
    <row r="155" ht="12.75" customHeight="1" s="255">
      <c r="C155" s="270" t="inlineStr">
        <is>
          <t>Other current assets</t>
        </is>
      </c>
      <c r="D155" s="301">
        <f>INDEX('Inputs (2)'!$D$20:$AL$20,MATCH(D$7,'Inputs (2)'!$D$2:$AL$2,0))</f>
        <v>3840</v>
      </c>
      <c r="E155" s="301">
        <f>INDEX('Inputs (2)'!$D$20:$AL$20,MATCH(E$7,'Inputs (2)'!$D$2:$AL$2,0))</f>
        <v>3658</v>
      </c>
      <c r="F155" s="301">
        <f>INDEX('Inputs (2)'!$D$20:$AL$20,MATCH(F$7,'Inputs (2)'!$D$2:$AL$2,0))</f>
        <v>5124</v>
      </c>
      <c r="G155" s="301">
        <f>INDEX('Inputs (2)'!$D$20:$AL$20,MATCH(G$7,'Inputs (2)'!$D$2:$AL$2,0))</f>
        <v>6940</v>
      </c>
      <c r="H155" s="268">
        <f>G155</f>
        <v>6940</v>
      </c>
      <c r="I155" s="301">
        <f>INDEX('Inputs (2)'!$D$20:$AL$20,MATCH(I$7,'Inputs (2)'!$D$2:$AL$2,0))</f>
        <v>6190</v>
      </c>
      <c r="J155" s="301">
        <f>INDEX('Inputs (2)'!$D$20:$AL$20,MATCH(J$7,'Inputs (2)'!$D$2:$AL$2,0))</f>
        <v>6105</v>
      </c>
      <c r="K155" s="301">
        <f>INDEX('Inputs (2)'!$D$20:$AL$20,MATCH(K$7,'Inputs (2)'!$D$2:$AL$2,0))</f>
        <v>5056</v>
      </c>
      <c r="L155" s="301">
        <f>INDEX('Inputs (2)'!$D$20:$AL$20,MATCH(L$7,'Inputs (2)'!$D$2:$AL$2,0))</f>
        <v>5015</v>
      </c>
      <c r="M155" s="268">
        <f>L155</f>
        <v>5015</v>
      </c>
      <c r="N155" s="301">
        <f>INDEX('Inputs (2)'!$D$20:$AL$20,MATCH(N$7,'Inputs (2)'!$D$2:$AL$2,0))</f>
        <v>6952</v>
      </c>
      <c r="O155" s="301">
        <f>INDEX('Inputs (2)'!$D$20:$AL$20,MATCH(O$7,'Inputs (2)'!$D$2:$AL$2,0))</f>
        <v>6006</v>
      </c>
      <c r="P155" s="301">
        <f>INDEX('Inputs (2)'!$D$20:$AL$20,MATCH(P$7,'Inputs (2)'!$D$2:$AL$2,0))</f>
        <v>5791</v>
      </c>
      <c r="Q155" s="301">
        <f>INDEX('Inputs (2)'!$D$20:$AL$20,MATCH(Q$7,'Inputs (2)'!$D$2:$AL$2,0))</f>
        <v>4417</v>
      </c>
      <c r="R155" s="268">
        <f>Q155</f>
        <v>4417</v>
      </c>
      <c r="S155" s="301">
        <f>INDEX('Inputs (2)'!$D$20:$AL$20,MATCH(S$7,'Inputs (2)'!$D$2:$AL$2,0))</f>
        <v>4247</v>
      </c>
      <c r="T155" s="301">
        <f>INDEX('Inputs (2)'!$D$20:$AL$20,MATCH(T$7,'Inputs (2)'!$D$2:$AL$2,0))</f>
        <v>4465</v>
      </c>
      <c r="U155" s="301">
        <f>INDEX('Inputs (2)'!$D$20:$AL$20,MATCH(U$7,'Inputs (2)'!$D$2:$AL$2,0))</f>
        <v>4394</v>
      </c>
      <c r="V155" s="301">
        <f>INDEX('Inputs (2)'!$D$20:$AL$20,MATCH(V$7,'Inputs (2)'!$D$2:$AL$2,0))</f>
        <v>4051</v>
      </c>
      <c r="W155" s="268">
        <f>V155</f>
        <v>4051</v>
      </c>
      <c r="X155" s="301">
        <f>INDEX('Inputs (2)'!$D$20:$AL$20,MATCH(X$7,'Inputs (2)'!$D$2:$AL$2,0))</f>
        <v>4011</v>
      </c>
      <c r="Y155" s="301">
        <f>INDEX('Inputs (2)'!$D$20:$AL$20,MATCH(Y$7,'Inputs (2)'!$D$2:$AL$2,0))</f>
        <v>3957</v>
      </c>
      <c r="Z155" s="301">
        <f>INDEX('Inputs (2)'!$D$20:$AL$20,MATCH(Z$7,'Inputs (2)'!$D$2:$AL$2,0))</f>
        <v>3518</v>
      </c>
      <c r="AA155" s="301">
        <f>INDEX('Inputs (2)'!$D$20:$AL$20,MATCH(AA$7,'Inputs (2)'!$D$2:$AL$2,0))</f>
        <v>4008</v>
      </c>
      <c r="AB155" s="268">
        <f>AA155</f>
        <v>4008</v>
      </c>
      <c r="AC155" s="301">
        <f>INDEX('Inputs (2)'!$D$20:$AL$20,MATCH(AC$7,'Inputs (2)'!$D$2:$AL$2,0))</f>
        <v>3977</v>
      </c>
      <c r="AD155" s="301">
        <f>INDEX('Inputs (2)'!$D$20:$AL$20,MATCH(AD$7,'Inputs (2)'!$D$2:$AL$2,0))</f>
        <v>4383</v>
      </c>
      <c r="AE155" s="301">
        <f>INDEX('Inputs (2)'!$D$20:$AL$20,MATCH(AE$7,'Inputs (2)'!$D$2:$AL$2,0))</f>
        <v>8598</v>
      </c>
      <c r="AF155" s="301">
        <f>INDEX('Inputs (2)'!$D$20:$AL$20,MATCH(AF$7,'Inputs (2)'!$D$2:$AL$2,0))</f>
        <v>6188</v>
      </c>
      <c r="AG155" s="268">
        <f>AF155</f>
        <v>6188</v>
      </c>
      <c r="AH155" s="268">
        <f>INDEX('Inputs (2)'!$D$20:$AL$20,MATCH(AH$7,'Inputs (2)'!$D$2:$AL$2,0))</f>
        <v>6852</v>
      </c>
      <c r="AI155" s="268">
        <f>INDEX('Inputs (2)'!$D$20:$AL$20,MATCH(AI$7,'Inputs (2)'!$D$2:$AL$2,0))</f>
        <v>6230</v>
      </c>
      <c r="AJ155" s="268">
        <f>AI155</f>
        <v>6230</v>
      </c>
      <c r="AK155" s="268">
        <f>AJ155</f>
        <v>6230</v>
      </c>
      <c r="AL155" s="268">
        <f>AK155</f>
        <v>6230</v>
      </c>
      <c r="AM155" s="268">
        <f>AL155</f>
        <v>6230</v>
      </c>
      <c r="AN155" s="268">
        <f>AM155</f>
        <v>6230</v>
      </c>
      <c r="AO155" s="268">
        <f>AN155</f>
        <v>6230</v>
      </c>
      <c r="AP155" s="268">
        <f>AO155</f>
        <v>6230</v>
      </c>
      <c r="AQ155" s="268">
        <f>AP155</f>
        <v>6230</v>
      </c>
      <c r="AR155" s="268">
        <f>AQ155</f>
        <v>6230</v>
      </c>
      <c r="AS155" s="268">
        <f>AR155</f>
        <v>6230</v>
      </c>
      <c r="AT155" s="268">
        <f>AS155</f>
        <v>6230</v>
      </c>
      <c r="AU155" s="268">
        <f>AT155</f>
        <v>6230</v>
      </c>
      <c r="AV155" s="268">
        <f>AU155</f>
        <v>6230</v>
      </c>
      <c r="AW155" s="268">
        <f>AV155</f>
        <v>6230</v>
      </c>
      <c r="AX155" s="268">
        <f>AW155</f>
        <v>6230</v>
      </c>
      <c r="AY155" s="268">
        <f>AX155</f>
        <v>6230</v>
      </c>
      <c r="AZ155" s="268">
        <f>AY155</f>
        <v>6230</v>
      </c>
      <c r="BA155" s="268">
        <f>AZ155</f>
        <v>6230</v>
      </c>
      <c r="BB155" s="268">
        <f>BA155</f>
        <v>6230</v>
      </c>
      <c r="BC155" s="268">
        <f>BB155</f>
        <v>6230</v>
      </c>
      <c r="BD155" s="268">
        <f>BC155</f>
        <v>6230</v>
      </c>
      <c r="BE155" s="268">
        <f>BD155</f>
        <v>6230</v>
      </c>
      <c r="BF155" s="268">
        <f>BE155</f>
        <v>6230</v>
      </c>
      <c r="BG155" s="268">
        <f>BF155</f>
        <v>6230</v>
      </c>
      <c r="BH155" s="268">
        <f>BG155</f>
        <v>6230</v>
      </c>
      <c r="BI155" s="268">
        <f>BH155</f>
        <v>6230</v>
      </c>
      <c r="BJ155" s="268">
        <f>BI155</f>
        <v>6230</v>
      </c>
      <c r="BK155" s="268">
        <f>BJ155</f>
        <v>6230</v>
      </c>
      <c r="BL155" s="268">
        <f>BK155</f>
        <v>6230</v>
      </c>
      <c r="BM155" s="268">
        <f>BL155</f>
        <v>6230</v>
      </c>
      <c r="BN155" s="268">
        <f>BM155</f>
        <v>6230</v>
      </c>
      <c r="BO155" s="268">
        <f>BN155</f>
        <v>6230</v>
      </c>
      <c r="BP155" s="268">
        <f>BO155</f>
        <v>6230</v>
      </c>
      <c r="BQ155" s="268">
        <f>BP155</f>
        <v>6230</v>
      </c>
      <c r="BR155" s="268">
        <f>BQ155</f>
        <v>6230</v>
      </c>
      <c r="BS155" s="268">
        <f>BR155</f>
        <v>6230</v>
      </c>
      <c r="BT155" s="268">
        <f>BS155</f>
        <v>6230</v>
      </c>
      <c r="BU155" s="268">
        <f>BT155</f>
        <v>6230</v>
      </c>
      <c r="BV155" s="268">
        <f>BU155</f>
        <v>6230</v>
      </c>
      <c r="BW155" s="268">
        <f>BV155</f>
        <v>6230</v>
      </c>
      <c r="BX155" s="268">
        <f>BW155</f>
        <v>6230</v>
      </c>
      <c r="BY155" s="268">
        <f>BX155</f>
        <v>6230</v>
      </c>
      <c r="BZ155" s="268">
        <f>BY155</f>
        <v>6230</v>
      </c>
      <c r="CA155" s="268">
        <f>BZ155</f>
        <v>6230</v>
      </c>
      <c r="CB155" s="268">
        <f>CA155</f>
        <v>6230</v>
      </c>
      <c r="CC155" s="268">
        <f>CB155</f>
        <v>6230</v>
      </c>
      <c r="CD155" s="268">
        <f>CC155</f>
        <v>6230</v>
      </c>
      <c r="CE155" s="268">
        <f>CD155</f>
        <v>6230</v>
      </c>
      <c r="CF155" s="268">
        <f>CE155</f>
        <v>6230</v>
      </c>
      <c r="CG155" s="268">
        <f>CF155</f>
        <v>6230</v>
      </c>
      <c r="CH155" s="268">
        <f>CG155</f>
        <v>6230</v>
      </c>
      <c r="CI155" s="268">
        <f>CH155</f>
        <v>6230</v>
      </c>
      <c r="CJ155" s="268">
        <f>CI155</f>
        <v>6230</v>
      </c>
      <c r="CK155" s="268">
        <f>CJ155</f>
        <v>6230</v>
      </c>
      <c r="CL155" s="268">
        <f>CK155</f>
        <v>6230</v>
      </c>
      <c r="CM155" s="268">
        <f>CL155</f>
        <v>6230</v>
      </c>
      <c r="CN155" s="268">
        <f>CM155</f>
        <v>6230</v>
      </c>
      <c r="CO155" s="268">
        <f>CN155</f>
        <v>6230</v>
      </c>
      <c r="CP155" s="268">
        <f>CO155</f>
        <v>6230</v>
      </c>
      <c r="CQ155" s="268">
        <f>CP155</f>
        <v>6230</v>
      </c>
      <c r="CR155" s="268">
        <f>CQ155</f>
        <v>6230</v>
      </c>
      <c r="CS155" s="268">
        <f>CR155</f>
        <v>6230</v>
      </c>
      <c r="CT155" s="268">
        <f>CS155</f>
        <v>6230</v>
      </c>
      <c r="CU155" s="268">
        <f>CT155</f>
        <v>6230</v>
      </c>
      <c r="CV155" s="268">
        <f>CU155</f>
        <v>6230</v>
      </c>
      <c r="CW155" s="268">
        <f>CV155</f>
        <v>6230</v>
      </c>
      <c r="CX155" s="268">
        <f>CW155</f>
        <v>6230</v>
      </c>
      <c r="CY155" s="268">
        <f>CX155</f>
        <v>6230</v>
      </c>
    </row>
    <row r="156" hidden="1" outlineLevel="1" ht="12.75" customHeight="1" s="255">
      <c r="C156" s="314" t="inlineStr">
        <is>
          <t>%(Var.)</t>
        </is>
      </c>
      <c r="D156" s="268" t="n"/>
      <c r="E156" s="296">
        <f>(E155-D155)/D155</f>
        <v>-0.0473958333333333</v>
      </c>
      <c r="F156" s="296">
        <f>(F155-E155)/E155</f>
        <v>0.400765445598688</v>
      </c>
      <c r="G156" s="296">
        <f>(G155-F155)/F155</f>
        <v>0.354410616705699</v>
      </c>
      <c r="H156" s="268" t="n"/>
      <c r="I156" s="296">
        <f>(I155-H155)/H155</f>
        <v>-0.10806916426513</v>
      </c>
      <c r="J156" s="296">
        <f>(J155-I155)/I155</f>
        <v>-0.0137318255250404</v>
      </c>
      <c r="K156" s="296">
        <f>(K155-J155)/J155</f>
        <v>-0.171826371826372</v>
      </c>
      <c r="L156" s="296">
        <f>(L155-K155)/K155</f>
        <v>-0.00810917721518987</v>
      </c>
      <c r="M156" s="268" t="n"/>
      <c r="N156" s="296">
        <f>(N155-M155)/M155</f>
        <v>0.386241276171486</v>
      </c>
      <c r="O156" s="296">
        <f>(O155-N155)/N155</f>
        <v>-0.136075949367089</v>
      </c>
      <c r="P156" s="296">
        <f>(P155-O155)/O155</f>
        <v>-0.0357975357975358</v>
      </c>
      <c r="Q156" s="296">
        <f>(Q155-P155)/P155</f>
        <v>-0.237264721118978</v>
      </c>
      <c r="R156" s="268" t="n"/>
      <c r="S156" s="296">
        <f>(S155-R155)/R155</f>
        <v>-0.0384876613085805</v>
      </c>
      <c r="T156" s="296">
        <f>(T155-S155)/S155</f>
        <v>0.0513303508358842</v>
      </c>
      <c r="U156" s="296">
        <f>(U155-T155)/T155</f>
        <v>-0.0159014557670773</v>
      </c>
      <c r="V156" s="296">
        <f>(V155-U155)/U155</f>
        <v>-0.0780609922621757</v>
      </c>
      <c r="W156" s="268" t="n"/>
      <c r="X156" s="296">
        <f>(X155-W155)/W155</f>
        <v>-0.00987410515921995</v>
      </c>
      <c r="Y156" s="296">
        <f>(Y155-X155)/X155</f>
        <v>-0.0134629768137622</v>
      </c>
      <c r="Z156" s="296">
        <f>(Z155-Y155)/Y155</f>
        <v>-0.110942633308062</v>
      </c>
      <c r="AA156" s="296">
        <f>(AA155-Z155)/Z155</f>
        <v>0.139283683911313</v>
      </c>
      <c r="AB156" s="268" t="n"/>
      <c r="AC156" s="296">
        <f>(AC155-AB155)/AB155</f>
        <v>-0.00773453093812375</v>
      </c>
      <c r="AD156" s="296">
        <f>(AD155-AC155)/AC155</f>
        <v>0.102087000251446</v>
      </c>
      <c r="AE156" s="296">
        <f>(AE155-AD155)/AD155</f>
        <v>0.961670088980151</v>
      </c>
      <c r="AF156" s="311">
        <f>(AF155-AE155)/AE155</f>
        <v>-0.280297743661317</v>
      </c>
      <c r="AG156" s="268" t="n"/>
      <c r="AH156" s="268">
        <f>(AH155-AG155)/AG155</f>
        <v>0.107304460245637</v>
      </c>
      <c r="AI156" s="268">
        <f>(AI155-AH155)/AH155</f>
        <v>-0.0907764156450671</v>
      </c>
      <c r="AJ156" s="268" t="n"/>
      <c r="AK156" s="268" t="n"/>
      <c r="AL156" s="268" t="n"/>
      <c r="AM156" s="268" t="n"/>
      <c r="AN156" s="268" t="n"/>
      <c r="AO156" s="268" t="n"/>
      <c r="AP156" s="268" t="n"/>
      <c r="AQ156" s="268" t="n"/>
      <c r="AR156" s="268" t="n"/>
      <c r="AS156" s="268" t="n"/>
      <c r="AT156" s="268" t="n"/>
      <c r="AU156" s="268" t="n"/>
      <c r="AV156" s="268" t="n"/>
      <c r="AW156" s="268" t="n"/>
      <c r="AX156" s="268" t="n"/>
      <c r="AY156" s="268" t="n"/>
      <c r="AZ156" s="268" t="n"/>
      <c r="BA156" s="268" t="n"/>
      <c r="BB156" s="268" t="n"/>
      <c r="BC156" s="268" t="n"/>
      <c r="BD156" s="268" t="n"/>
      <c r="BE156" s="268" t="n"/>
      <c r="BF156" s="268" t="n"/>
      <c r="BG156" s="268" t="n"/>
      <c r="BH156" s="268" t="n"/>
      <c r="BI156" s="268" t="n"/>
      <c r="BJ156" s="268" t="n"/>
      <c r="BK156" s="268" t="n"/>
      <c r="BL156" s="268" t="n"/>
      <c r="BM156" s="268" t="n"/>
      <c r="BN156" s="268" t="n"/>
      <c r="BO156" s="268" t="n"/>
      <c r="BP156" s="268" t="n"/>
      <c r="BQ156" s="268" t="n"/>
      <c r="BR156" s="268" t="n"/>
      <c r="BS156" s="268" t="n"/>
      <c r="BT156" s="268" t="n"/>
      <c r="BU156" s="268" t="n"/>
      <c r="BV156" s="268" t="n"/>
      <c r="BW156" s="268" t="n"/>
      <c r="BX156" s="268" t="n"/>
      <c r="BY156" s="268" t="n"/>
      <c r="BZ156" s="268" t="n"/>
      <c r="CA156" s="268" t="n"/>
      <c r="CB156" s="268" t="n"/>
      <c r="CC156" s="268" t="n"/>
      <c r="CD156" s="268" t="n"/>
      <c r="CE156" s="268" t="n"/>
      <c r="CF156" s="268" t="n"/>
      <c r="CG156" s="268" t="n"/>
      <c r="CH156" s="268" t="n"/>
      <c r="CI156" s="268" t="n"/>
      <c r="CJ156" s="268" t="n"/>
      <c r="CK156" s="268" t="n"/>
      <c r="CL156" s="268" t="n"/>
      <c r="CM156" s="268" t="n"/>
      <c r="CN156" s="268" t="n"/>
      <c r="CO156" s="268" t="n"/>
      <c r="CP156" s="268" t="n"/>
      <c r="CQ156" s="268" t="n"/>
      <c r="CR156" s="268" t="n"/>
      <c r="CS156" s="268" t="n"/>
      <c r="CT156" s="268" t="n"/>
      <c r="CU156" s="268" t="n"/>
      <c r="CV156" s="268" t="n"/>
      <c r="CW156" s="268" t="n"/>
      <c r="CX156" s="268" t="n"/>
      <c r="CY156" s="268" t="n"/>
    </row>
    <row r="157" hidden="1" outlineLevel="1" ht="12.75" customHeight="1" s="255">
      <c r="C157" s="312" t="n"/>
      <c r="D157" s="268" t="n"/>
      <c r="E157" s="296" t="n"/>
      <c r="F157" s="268" t="n"/>
      <c r="G157" s="268" t="n"/>
      <c r="H157" s="268" t="n"/>
      <c r="I157" s="268" t="n"/>
      <c r="J157" s="268" t="n"/>
      <c r="K157" s="268" t="n"/>
      <c r="L157" s="268" t="n"/>
      <c r="M157" s="268" t="n"/>
      <c r="N157" s="268" t="n"/>
      <c r="O157" s="268" t="n"/>
      <c r="P157" s="268" t="n"/>
      <c r="Q157" s="268" t="n"/>
      <c r="R157" s="268" t="n"/>
      <c r="S157" s="268" t="n"/>
      <c r="T157" s="268" t="n"/>
      <c r="U157" s="268" t="n"/>
      <c r="V157" s="268" t="n"/>
      <c r="W157" s="268" t="n"/>
      <c r="X157" s="268" t="n"/>
      <c r="Y157" s="268" t="n"/>
      <c r="Z157" s="268" t="n"/>
      <c r="AA157" s="268" t="n"/>
      <c r="AB157" s="268" t="n"/>
      <c r="AC157" s="268" t="n"/>
      <c r="AD157" s="268" t="n"/>
      <c r="AE157" s="268" t="n"/>
      <c r="AF157" s="268" t="n"/>
      <c r="AG157" s="268" t="n"/>
      <c r="AH157" s="268" t="n"/>
      <c r="AI157" s="268" t="n"/>
      <c r="AJ157" s="268" t="n"/>
      <c r="AK157" s="268" t="n"/>
      <c r="AL157" s="268" t="n"/>
      <c r="AM157" s="268" t="n"/>
      <c r="AN157" s="268" t="n"/>
      <c r="AO157" s="268" t="n"/>
      <c r="AP157" s="268" t="n"/>
      <c r="AQ157" s="268" t="n"/>
      <c r="AR157" s="268" t="n"/>
      <c r="AS157" s="268" t="n"/>
      <c r="AT157" s="268" t="n"/>
      <c r="AU157" s="268" t="n"/>
      <c r="AV157" s="268" t="n"/>
      <c r="AW157" s="268" t="n"/>
      <c r="AX157" s="268" t="n"/>
      <c r="AY157" s="268" t="n"/>
      <c r="AZ157" s="268" t="n"/>
      <c r="BA157" s="268" t="n"/>
      <c r="BB157" s="268" t="n"/>
      <c r="BC157" s="268" t="n"/>
      <c r="BD157" s="268" t="n"/>
      <c r="BE157" s="268" t="n"/>
      <c r="BF157" s="268" t="n"/>
      <c r="BG157" s="268" t="n"/>
      <c r="BH157" s="268" t="n"/>
      <c r="BI157" s="268" t="n"/>
      <c r="BJ157" s="268" t="n"/>
      <c r="BK157" s="268" t="n"/>
      <c r="BL157" s="268" t="n"/>
      <c r="BM157" s="268" t="n"/>
      <c r="BN157" s="268" t="n"/>
      <c r="BO157" s="268" t="n"/>
      <c r="BP157" s="268" t="n"/>
      <c r="BQ157" s="268" t="n"/>
      <c r="BR157" s="268" t="n"/>
      <c r="BS157" s="268" t="n"/>
      <c r="BT157" s="268" t="n"/>
      <c r="BU157" s="268" t="n"/>
      <c r="BV157" s="268" t="n"/>
      <c r="BW157" s="268" t="n"/>
      <c r="BX157" s="268" t="n"/>
      <c r="BY157" s="268" t="n"/>
      <c r="BZ157" s="268" t="n"/>
      <c r="CA157" s="268" t="n"/>
      <c r="CB157" s="268" t="n"/>
      <c r="CC157" s="268" t="n"/>
      <c r="CD157" s="268" t="n"/>
      <c r="CE157" s="268" t="n"/>
      <c r="CF157" s="268" t="n"/>
      <c r="CG157" s="268" t="n"/>
      <c r="CH157" s="268" t="n"/>
      <c r="CI157" s="268" t="n"/>
      <c r="CJ157" s="268" t="n"/>
      <c r="CK157" s="268" t="n"/>
      <c r="CL157" s="268" t="n"/>
      <c r="CM157" s="268" t="n"/>
      <c r="CN157" s="268" t="n"/>
      <c r="CO157" s="268" t="n"/>
      <c r="CP157" s="268" t="n"/>
      <c r="CQ157" s="268" t="n"/>
      <c r="CR157" s="268" t="n"/>
      <c r="CS157" s="268" t="n"/>
      <c r="CT157" s="268" t="n"/>
      <c r="CU157" s="268" t="n"/>
      <c r="CV157" s="268" t="n"/>
      <c r="CW157" s="268" t="n"/>
      <c r="CX157" s="268" t="n"/>
      <c r="CY157" s="268" t="n"/>
    </row>
    <row r="158" hidden="1" outlineLevel="1" ht="12.75" customHeight="1" s="255">
      <c r="C158" s="315" t="inlineStr">
        <is>
          <t xml:space="preserve">Impostos e Contribuições a Recuperar </t>
        </is>
      </c>
      <c r="D158" s="267" t="n"/>
      <c r="E158" s="267" t="n"/>
      <c r="F158" s="267" t="n"/>
      <c r="G158" s="267" t="n"/>
      <c r="H158" s="268" t="n"/>
      <c r="I158" s="267" t="n"/>
      <c r="J158" s="267" t="n"/>
      <c r="K158" s="267" t="n"/>
      <c r="L158" s="267" t="n"/>
      <c r="M158" s="268" t="n"/>
      <c r="N158" s="267" t="n"/>
      <c r="O158" s="267" t="n"/>
      <c r="P158" s="267" t="n"/>
      <c r="Q158" s="267" t="n"/>
      <c r="R158" s="268" t="n"/>
      <c r="S158" s="267" t="n"/>
      <c r="T158" s="267" t="n"/>
      <c r="U158" s="267" t="n"/>
      <c r="V158" s="267" t="n"/>
      <c r="W158" s="268" t="n"/>
      <c r="X158" s="267" t="n"/>
      <c r="Y158" s="267" t="n"/>
      <c r="Z158" s="267" t="n"/>
      <c r="AA158" s="267" t="n"/>
      <c r="AB158" s="268" t="n"/>
      <c r="AC158" s="267" t="n"/>
      <c r="AD158" s="267" t="n"/>
      <c r="AE158" s="267" t="n"/>
      <c r="AF158" s="267" t="n"/>
      <c r="AG158" s="268">
        <f>AF158</f>
        <v>0</v>
      </c>
      <c r="AH158" s="316">
        <f>AG158*AH15/AG15</f>
        <v>0</v>
      </c>
      <c r="AI158" s="316">
        <f>AH158*AI15/AH15</f>
        <v>0</v>
      </c>
      <c r="AJ158" s="316">
        <f>AI158*AJ15/AI15</f>
        <v>0</v>
      </c>
      <c r="AK158" s="316">
        <f>AJ158*AK15/AJ15</f>
        <v>0</v>
      </c>
      <c r="AL158" s="268">
        <f>AK158</f>
        <v>0</v>
      </c>
      <c r="AM158" s="268" t="n"/>
      <c r="AN158" s="268" t="n"/>
      <c r="AO158" s="268" t="n"/>
      <c r="AP158" s="268" t="n"/>
      <c r="AQ158" s="268" t="n"/>
      <c r="AR158" s="268" t="n"/>
      <c r="AS158" s="268" t="n"/>
      <c r="AT158" s="268" t="n"/>
      <c r="AU158" s="268" t="n"/>
      <c r="AV158" s="268" t="n"/>
      <c r="AW158" s="268" t="n"/>
      <c r="AX158" s="268" t="n"/>
      <c r="AY158" s="268" t="n"/>
      <c r="AZ158" s="268" t="n"/>
      <c r="BA158" s="268" t="n"/>
      <c r="BB158" s="268" t="n"/>
      <c r="BC158" s="268" t="n"/>
      <c r="BD158" s="268" t="n"/>
      <c r="BE158" s="268" t="n"/>
      <c r="BF158" s="268" t="n"/>
      <c r="BG158" s="268" t="n"/>
      <c r="BH158" s="268" t="n"/>
      <c r="BI158" s="268" t="n"/>
      <c r="BJ158" s="268" t="n"/>
      <c r="BK158" s="268" t="n"/>
      <c r="BL158" s="268" t="n"/>
      <c r="BM158" s="268" t="n"/>
      <c r="BN158" s="268" t="n"/>
      <c r="BO158" s="268" t="n"/>
      <c r="BP158" s="268" t="n"/>
      <c r="BQ158" s="268" t="n"/>
      <c r="BR158" s="268" t="n"/>
      <c r="BS158" s="268" t="n"/>
      <c r="BT158" s="268" t="n"/>
      <c r="BU158" s="268" t="n"/>
      <c r="BV158" s="268" t="n"/>
      <c r="BW158" s="268" t="n"/>
      <c r="BX158" s="268" t="n"/>
      <c r="BY158" s="268" t="n"/>
      <c r="BZ158" s="268" t="n"/>
      <c r="CA158" s="268" t="n"/>
      <c r="CB158" s="268" t="n"/>
      <c r="CC158" s="268" t="n"/>
      <c r="CD158" s="268" t="n"/>
      <c r="CE158" s="268" t="n"/>
      <c r="CF158" s="268" t="n"/>
      <c r="CG158" s="268" t="n"/>
      <c r="CH158" s="268" t="n"/>
      <c r="CI158" s="268" t="n"/>
      <c r="CJ158" s="268" t="n"/>
      <c r="CK158" s="268" t="n"/>
      <c r="CL158" s="268" t="n"/>
      <c r="CM158" s="268" t="n"/>
      <c r="CN158" s="268" t="n"/>
      <c r="CO158" s="268" t="n"/>
      <c r="CP158" s="268" t="n"/>
      <c r="CQ158" s="268" t="n"/>
      <c r="CR158" s="268" t="n"/>
      <c r="CS158" s="268" t="n"/>
      <c r="CT158" s="268" t="n"/>
      <c r="CU158" s="268" t="n"/>
      <c r="CV158" s="268" t="n"/>
      <c r="CW158" s="268" t="n"/>
      <c r="CX158" s="268" t="n"/>
      <c r="CY158" s="268" t="n"/>
    </row>
    <row r="159" hidden="1" outlineLevel="1" ht="12.75" customHeight="1" s="255">
      <c r="C159" s="315" t="inlineStr">
        <is>
          <t>Outros Créditos</t>
        </is>
      </c>
      <c r="D159" s="267" t="n"/>
      <c r="E159" s="267" t="n"/>
      <c r="F159" s="267" t="n"/>
      <c r="G159" s="267" t="n"/>
      <c r="H159" s="268" t="n"/>
      <c r="I159" s="267" t="n"/>
      <c r="J159" s="267" t="n"/>
      <c r="K159" s="267" t="n"/>
      <c r="L159" s="267" t="n"/>
      <c r="M159" s="268" t="n"/>
      <c r="N159" s="267" t="n"/>
      <c r="O159" s="267" t="n"/>
      <c r="P159" s="267" t="n"/>
      <c r="Q159" s="267" t="n"/>
      <c r="R159" s="268" t="n"/>
      <c r="S159" s="267" t="n"/>
      <c r="T159" s="267" t="n"/>
      <c r="U159" s="267" t="n"/>
      <c r="V159" s="267" t="n"/>
      <c r="W159" s="268" t="n"/>
      <c r="X159" s="267" t="n"/>
      <c r="Y159" s="267" t="n"/>
      <c r="Z159" s="267" t="n"/>
      <c r="AA159" s="267" t="n"/>
      <c r="AB159" s="268" t="n"/>
      <c r="AC159" s="267" t="n"/>
      <c r="AD159" s="267" t="n"/>
      <c r="AE159" s="267" t="n"/>
      <c r="AF159" s="267" t="n"/>
      <c r="AG159" s="268">
        <f>AF159</f>
        <v>0</v>
      </c>
      <c r="AH159" s="268">
        <f>AG159</f>
        <v>0</v>
      </c>
      <c r="AI159" s="268">
        <f>AH159</f>
        <v>0</v>
      </c>
      <c r="AJ159" s="268">
        <f>AI159</f>
        <v>0</v>
      </c>
      <c r="AK159" s="268">
        <f>AJ159</f>
        <v>0</v>
      </c>
      <c r="AL159" s="268">
        <f>AK159</f>
        <v>0</v>
      </c>
      <c r="AM159" s="268" t="n"/>
      <c r="AN159" s="268" t="n"/>
      <c r="AO159" s="268" t="n"/>
      <c r="AP159" s="268" t="n"/>
      <c r="AQ159" s="268" t="n"/>
      <c r="AR159" s="268" t="n"/>
      <c r="AS159" s="268" t="n"/>
      <c r="AT159" s="268" t="n"/>
      <c r="AU159" s="268" t="n"/>
      <c r="AV159" s="268" t="n"/>
      <c r="AW159" s="268" t="n"/>
      <c r="AX159" s="268" t="n"/>
      <c r="AY159" s="268" t="n"/>
      <c r="AZ159" s="268" t="n"/>
      <c r="BA159" s="268" t="n"/>
      <c r="BB159" s="268" t="n"/>
      <c r="BC159" s="268" t="n"/>
      <c r="BD159" s="268" t="n"/>
      <c r="BE159" s="268" t="n"/>
      <c r="BF159" s="268" t="n"/>
      <c r="BG159" s="268" t="n"/>
      <c r="BH159" s="268" t="n"/>
      <c r="BI159" s="268" t="n"/>
      <c r="BJ159" s="268" t="n"/>
      <c r="BK159" s="268" t="n"/>
      <c r="BL159" s="268" t="n"/>
      <c r="BM159" s="268" t="n"/>
      <c r="BN159" s="268" t="n"/>
      <c r="BO159" s="268" t="n"/>
      <c r="BP159" s="268" t="n"/>
      <c r="BQ159" s="268" t="n"/>
      <c r="BR159" s="268" t="n"/>
      <c r="BS159" s="268" t="n"/>
      <c r="BT159" s="268" t="n"/>
      <c r="BU159" s="268" t="n"/>
      <c r="BV159" s="268" t="n"/>
      <c r="BW159" s="268" t="n"/>
      <c r="BX159" s="268" t="n"/>
      <c r="BY159" s="268" t="n"/>
      <c r="BZ159" s="268" t="n"/>
      <c r="CA159" s="268" t="n"/>
      <c r="CB159" s="268" t="n"/>
      <c r="CC159" s="268" t="n"/>
      <c r="CD159" s="268" t="n"/>
      <c r="CE159" s="268" t="n"/>
      <c r="CF159" s="268" t="n"/>
      <c r="CG159" s="268" t="n"/>
      <c r="CH159" s="268" t="n"/>
      <c r="CI159" s="268" t="n"/>
      <c r="CJ159" s="268" t="n"/>
      <c r="CK159" s="268" t="n"/>
      <c r="CL159" s="268" t="n"/>
      <c r="CM159" s="268" t="n"/>
      <c r="CN159" s="268" t="n"/>
      <c r="CO159" s="268" t="n"/>
      <c r="CP159" s="268" t="n"/>
      <c r="CQ159" s="268" t="n"/>
      <c r="CR159" s="268" t="n"/>
      <c r="CS159" s="268" t="n"/>
      <c r="CT159" s="268" t="n"/>
      <c r="CU159" s="268" t="n"/>
      <c r="CV159" s="268" t="n"/>
      <c r="CW159" s="268" t="n"/>
      <c r="CX159" s="268" t="n"/>
      <c r="CY159" s="268" t="n"/>
    </row>
    <row r="160" hidden="1" outlineLevel="1" ht="12.75" customHeight="1" s="255">
      <c r="C160" s="312" t="n"/>
      <c r="D160" s="268" t="n"/>
      <c r="E160" s="268" t="n"/>
      <c r="F160" s="268" t="n"/>
      <c r="G160" s="268" t="n"/>
      <c r="H160" s="268" t="n"/>
      <c r="I160" s="268" t="n"/>
      <c r="J160" s="268" t="n"/>
      <c r="K160" s="268" t="n"/>
      <c r="L160" s="268" t="n"/>
      <c r="M160" s="268" t="n"/>
      <c r="N160" s="268" t="n"/>
      <c r="O160" s="268" t="n"/>
      <c r="P160" s="268" t="n"/>
      <c r="Q160" s="268" t="n"/>
      <c r="R160" s="268" t="n"/>
      <c r="S160" s="268" t="n"/>
      <c r="T160" s="268" t="n"/>
      <c r="U160" s="268" t="n"/>
      <c r="V160" s="268" t="n"/>
      <c r="W160" s="268" t="n"/>
      <c r="X160" s="268" t="n"/>
      <c r="Y160" s="268" t="n"/>
      <c r="Z160" s="268" t="n"/>
      <c r="AA160" s="268" t="n"/>
      <c r="AB160" s="268" t="n"/>
      <c r="AC160" s="268" t="n"/>
      <c r="AD160" s="268" t="n"/>
      <c r="AE160" s="268" t="n"/>
      <c r="AF160" s="268" t="n"/>
      <c r="AG160" s="268" t="n"/>
      <c r="AH160" s="268" t="n"/>
      <c r="AI160" s="268" t="n"/>
      <c r="AJ160" s="268" t="n"/>
      <c r="AK160" s="268" t="n"/>
      <c r="AL160" s="268" t="n"/>
      <c r="AM160" s="268" t="n"/>
      <c r="AN160" s="268" t="n"/>
      <c r="AO160" s="268" t="n"/>
      <c r="AP160" s="268" t="n"/>
      <c r="AQ160" s="268" t="n"/>
      <c r="AR160" s="268" t="n"/>
      <c r="AS160" s="268" t="n"/>
      <c r="AT160" s="268" t="n"/>
      <c r="AU160" s="268" t="n"/>
      <c r="AV160" s="268" t="n"/>
      <c r="AW160" s="268" t="n"/>
      <c r="AX160" s="268" t="n"/>
      <c r="AY160" s="268" t="n"/>
      <c r="AZ160" s="268" t="n"/>
      <c r="BA160" s="268" t="n"/>
      <c r="BB160" s="268" t="n"/>
      <c r="BC160" s="268" t="n"/>
      <c r="BD160" s="268" t="n"/>
      <c r="BE160" s="268" t="n"/>
      <c r="BF160" s="268" t="n"/>
      <c r="BG160" s="268" t="n"/>
      <c r="BH160" s="268" t="n"/>
      <c r="BI160" s="268" t="n"/>
      <c r="BJ160" s="268" t="n"/>
      <c r="BK160" s="268" t="n"/>
      <c r="BL160" s="268" t="n"/>
      <c r="BM160" s="268" t="n"/>
      <c r="BN160" s="268" t="n"/>
      <c r="BO160" s="268" t="n"/>
      <c r="BP160" s="268" t="n"/>
      <c r="BQ160" s="268" t="n"/>
      <c r="BR160" s="268" t="n"/>
      <c r="BS160" s="268" t="n"/>
      <c r="BT160" s="268" t="n"/>
      <c r="BU160" s="268" t="n"/>
      <c r="BV160" s="268" t="n"/>
      <c r="BW160" s="268" t="n"/>
      <c r="BX160" s="268" t="n"/>
      <c r="BY160" s="268" t="n"/>
      <c r="BZ160" s="268" t="n"/>
      <c r="CA160" s="268" t="n"/>
      <c r="CB160" s="268" t="n"/>
      <c r="CC160" s="268" t="n"/>
      <c r="CD160" s="268" t="n"/>
      <c r="CE160" s="268" t="n"/>
      <c r="CF160" s="268" t="n"/>
      <c r="CG160" s="268" t="n"/>
      <c r="CH160" s="268" t="n"/>
      <c r="CI160" s="268" t="n"/>
      <c r="CJ160" s="268" t="n"/>
      <c r="CK160" s="268" t="n"/>
      <c r="CL160" s="268" t="n"/>
      <c r="CM160" s="268" t="n"/>
      <c r="CN160" s="268" t="n"/>
      <c r="CO160" s="268" t="n"/>
      <c r="CP160" s="268" t="n"/>
      <c r="CQ160" s="268" t="n"/>
      <c r="CR160" s="268" t="n"/>
      <c r="CS160" s="268" t="n"/>
      <c r="CT160" s="268" t="n"/>
      <c r="CU160" s="268" t="n"/>
      <c r="CV160" s="268" t="n"/>
      <c r="CW160" s="268" t="n"/>
      <c r="CX160" s="268" t="n"/>
      <c r="CY160" s="268" t="n"/>
    </row>
    <row r="161" ht="12.75" customHeight="1" s="255">
      <c r="C161" s="270" t="inlineStr">
        <is>
          <t>Equity in affiliates</t>
        </is>
      </c>
      <c r="D161" s="301">
        <f>INDEX('Inputs (2)'!$D$21:$AL$21,MATCH(D$7,'Inputs (2)'!$D$2:$AL$2,0))</f>
        <v>0</v>
      </c>
      <c r="E161" s="301">
        <f>INDEX('Inputs (2)'!$D$21:$AL$21,MATCH(E$7,'Inputs (2)'!$D$2:$AL$2,0))</f>
        <v>0</v>
      </c>
      <c r="F161" s="301">
        <f>INDEX('Inputs (2)'!$D$21:$AL$21,MATCH(F$7,'Inputs (2)'!$D$2:$AL$2,0))</f>
        <v>0</v>
      </c>
      <c r="G161" s="301">
        <f>INDEX('Inputs (2)'!$D$21:$AL$21,MATCH(G$7,'Inputs (2)'!$D$2:$AL$2,0))</f>
        <v>0</v>
      </c>
      <c r="H161" s="268">
        <f>G161</f>
        <v>0</v>
      </c>
      <c r="I161" s="301">
        <f>INDEX('Inputs (2)'!$D$21:$AL$21,MATCH(I$7,'Inputs (2)'!$D$2:$AL$2,0))</f>
        <v>0</v>
      </c>
      <c r="J161" s="301">
        <f>INDEX('Inputs (2)'!$D$21:$AL$21,MATCH(J$7,'Inputs (2)'!$D$2:$AL$2,0))</f>
        <v>0</v>
      </c>
      <c r="K161" s="301">
        <f>INDEX('Inputs (2)'!$D$21:$AL$21,MATCH(K$7,'Inputs (2)'!$D$2:$AL$2,0))</f>
        <v>0</v>
      </c>
      <c r="L161" s="301">
        <f>INDEX('Inputs (2)'!$D$21:$AL$21,MATCH(L$7,'Inputs (2)'!$D$2:$AL$2,0))</f>
        <v>0</v>
      </c>
      <c r="M161" s="268">
        <f>L161</f>
        <v>0</v>
      </c>
      <c r="N161" s="301">
        <f>INDEX('Inputs (2)'!$D$21:$AL$21,MATCH(N$7,'Inputs (2)'!$D$2:$AL$2,0))</f>
        <v>0</v>
      </c>
      <c r="O161" s="301">
        <f>INDEX('Inputs (2)'!$D$21:$AL$21,MATCH(O$7,'Inputs (2)'!$D$2:$AL$2,0))</f>
        <v>0</v>
      </c>
      <c r="P161" s="301">
        <f>INDEX('Inputs (2)'!$D$21:$AL$21,MATCH(P$7,'Inputs (2)'!$D$2:$AL$2,0))</f>
        <v>0</v>
      </c>
      <c r="Q161" s="301">
        <f>INDEX('Inputs (2)'!$D$21:$AL$21,MATCH(Q$7,'Inputs (2)'!$D$2:$AL$2,0))</f>
        <v>0</v>
      </c>
      <c r="R161" s="268">
        <f>Q161</f>
        <v>0</v>
      </c>
      <c r="S161" s="301">
        <f>INDEX('Inputs (2)'!$D$21:$AL$21,MATCH(S$7,'Inputs (2)'!$D$2:$AL$2,0))</f>
        <v>0</v>
      </c>
      <c r="T161" s="301">
        <f>INDEX('Inputs (2)'!$D$21:$AL$21,MATCH(T$7,'Inputs (2)'!$D$2:$AL$2,0))</f>
        <v>0</v>
      </c>
      <c r="U161" s="301">
        <f>INDEX('Inputs (2)'!$D$21:$AL$21,MATCH(U$7,'Inputs (2)'!$D$2:$AL$2,0))</f>
        <v>0</v>
      </c>
      <c r="V161" s="301">
        <f>INDEX('Inputs (2)'!$D$21:$AL$21,MATCH(V$7,'Inputs (2)'!$D$2:$AL$2,0))</f>
        <v>0</v>
      </c>
      <c r="W161" s="268">
        <f>V161</f>
        <v>0</v>
      </c>
      <c r="X161" s="301">
        <f>INDEX('Inputs (2)'!$D$21:$AL$21,MATCH(X$7,'Inputs (2)'!$D$2:$AL$2,0))</f>
        <v>0</v>
      </c>
      <c r="Y161" s="301">
        <f>INDEX('Inputs (2)'!$D$21:$AL$21,MATCH(Y$7,'Inputs (2)'!$D$2:$AL$2,0))</f>
        <v>0</v>
      </c>
      <c r="Z161" s="301">
        <f>INDEX('Inputs (2)'!$D$21:$AL$21,MATCH(Z$7,'Inputs (2)'!$D$2:$AL$2,0))</f>
        <v>0</v>
      </c>
      <c r="AA161" s="301">
        <f>INDEX('Inputs (2)'!$D$21:$AL$21,MATCH(AA$7,'Inputs (2)'!$D$2:$AL$2,0))</f>
        <v>0</v>
      </c>
      <c r="AB161" s="268">
        <f>AA161</f>
        <v>0</v>
      </c>
      <c r="AC161" s="301">
        <f>INDEX('Inputs (2)'!$D$21:$AL$21,MATCH(AC$7,'Inputs (2)'!$D$2:$AL$2,0))</f>
        <v>0</v>
      </c>
      <c r="AD161" s="301">
        <f>INDEX('Inputs (2)'!$D$21:$AL$21,MATCH(AD$7,'Inputs (2)'!$D$2:$AL$2,0))</f>
        <v>0</v>
      </c>
      <c r="AE161" s="301">
        <f>INDEX('Inputs (2)'!$D$21:$AL$21,MATCH(AE$7,'Inputs (2)'!$D$2:$AL$2,0))</f>
        <v>0</v>
      </c>
      <c r="AF161" s="301">
        <f>INDEX('Inputs (2)'!$D$21:$AL$21,MATCH(AF$7,'Inputs (2)'!$D$2:$AL$2,0))</f>
        <v>0</v>
      </c>
      <c r="AG161" s="268">
        <f>AF161</f>
        <v>0</v>
      </c>
      <c r="AH161" s="268">
        <f>INDEX('Inputs (2)'!$D$21:$AL$21,MATCH(AH$7,'Inputs (2)'!$D$2:$AL$2,0))</f>
        <v>0</v>
      </c>
      <c r="AI161" s="268">
        <f>INDEX('Inputs (2)'!$D$21:$AL$21,MATCH(AI$7,'Inputs (2)'!$D$2:$AL$2,0))</f>
        <v>0</v>
      </c>
      <c r="AJ161" s="268">
        <f>AI161+AJ135+AJ164</f>
        <v>-3</v>
      </c>
      <c r="AK161" s="268">
        <f>AJ161+AK135+AK164</f>
        <v>-3</v>
      </c>
      <c r="AL161" s="268">
        <f>AK161</f>
        <v>-3</v>
      </c>
      <c r="AM161" s="268">
        <f>AL161+AM135+AM164</f>
        <v>-3</v>
      </c>
      <c r="AN161" s="268">
        <f>AM161+AN135+AN164</f>
        <v>-3</v>
      </c>
      <c r="AO161" s="268">
        <f>AN161+AO135+AO164</f>
        <v>-6</v>
      </c>
      <c r="AP161" s="268">
        <f>AO161+AP135+AP164</f>
        <v>-6</v>
      </c>
      <c r="AQ161" s="268">
        <f>AP161</f>
        <v>-6</v>
      </c>
      <c r="AR161" s="268">
        <f>AQ161+AR135+AR164</f>
        <v>-6</v>
      </c>
      <c r="AS161" s="268">
        <f>AR161+AS135+AS164</f>
        <v>-6</v>
      </c>
      <c r="AT161" s="268">
        <f>AS161+AT135+AT164</f>
        <v>-9</v>
      </c>
      <c r="AU161" s="268">
        <f>AT161+AU135+AU164</f>
        <v>-9</v>
      </c>
      <c r="AV161" s="268">
        <f>AU161</f>
        <v>-9</v>
      </c>
      <c r="AW161" s="268">
        <f>AV161+AW135+AW164</f>
        <v>-9</v>
      </c>
      <c r="AX161" s="268">
        <f>AW161+AX135+AX164</f>
        <v>-9</v>
      </c>
      <c r="AY161" s="268">
        <f>AX161+AY135+AY164</f>
        <v>-12</v>
      </c>
      <c r="AZ161" s="268">
        <f>AY161+AZ135+AZ164</f>
        <v>-12</v>
      </c>
      <c r="BA161" s="268">
        <f>AZ161</f>
        <v>-12</v>
      </c>
      <c r="BB161" s="268">
        <f>BA161+BB135+BB164</f>
        <v>-12</v>
      </c>
      <c r="BC161" s="268">
        <f>BB161+BC135+BC164</f>
        <v>-12</v>
      </c>
      <c r="BD161" s="268">
        <f>BC161+BD135+BD164</f>
        <v>-15</v>
      </c>
      <c r="BE161" s="268">
        <f>BD161+BE135+BE164</f>
        <v>-15</v>
      </c>
      <c r="BF161" s="268">
        <f>BE161</f>
        <v>-15</v>
      </c>
      <c r="BG161" s="268">
        <f>BF161+BG135+BG164</f>
        <v>-15</v>
      </c>
      <c r="BH161" s="268">
        <f>BG161+BH135+BH164</f>
        <v>-15</v>
      </c>
      <c r="BI161" s="268">
        <f>BH161+BI135+BI164</f>
        <v>-18</v>
      </c>
      <c r="BJ161" s="268">
        <f>BI161+BJ135+BJ164</f>
        <v>-18</v>
      </c>
      <c r="BK161" s="268">
        <f>BJ161</f>
        <v>-18</v>
      </c>
      <c r="BL161" s="268">
        <f>BK161+BL135+BL164</f>
        <v>-18</v>
      </c>
      <c r="BM161" s="268">
        <f>BL161+BM135+BM164</f>
        <v>-18</v>
      </c>
      <c r="BN161" s="268">
        <f>BM161+BN135+BN164</f>
        <v>-21</v>
      </c>
      <c r="BO161" s="268">
        <f>BN161+BO135+BO164</f>
        <v>-21</v>
      </c>
      <c r="BP161" s="268">
        <f>BO161</f>
        <v>-21</v>
      </c>
      <c r="BQ161" s="268">
        <f>BP161+BQ135+BQ164</f>
        <v>-21</v>
      </c>
      <c r="BR161" s="268">
        <f>BQ161+BR135+BR164</f>
        <v>-21</v>
      </c>
      <c r="BS161" s="268">
        <f>BR161+BS135+BS164</f>
        <v>-24</v>
      </c>
      <c r="BT161" s="268">
        <f>BS161+BT135+BT164</f>
        <v>-24</v>
      </c>
      <c r="BU161" s="268">
        <f>BT161</f>
        <v>-24</v>
      </c>
      <c r="BV161" s="268">
        <f>BU161+BV135+BV164</f>
        <v>-24</v>
      </c>
      <c r="BW161" s="268">
        <f>BV161+BW135+BW164</f>
        <v>-24</v>
      </c>
      <c r="BX161" s="268">
        <f>BW161+BX135+BX164</f>
        <v>-27</v>
      </c>
      <c r="BY161" s="268">
        <f>BX161+BY135+BY164</f>
        <v>-27</v>
      </c>
      <c r="BZ161" s="268">
        <f>BY161</f>
        <v>-27</v>
      </c>
      <c r="CA161" s="268">
        <f>BZ161+CA135+CA164</f>
        <v>-27</v>
      </c>
      <c r="CB161" s="268">
        <f>CA161+CB135+CB164</f>
        <v>-27</v>
      </c>
      <c r="CC161" s="268">
        <f>CB161+CC135+CC164</f>
        <v>-30</v>
      </c>
      <c r="CD161" s="268">
        <f>CC161+CD135+CD164</f>
        <v>-30</v>
      </c>
      <c r="CE161" s="268">
        <f>CD161</f>
        <v>-30</v>
      </c>
      <c r="CF161" s="268">
        <f>CE161+CF135+CF164</f>
        <v>-30</v>
      </c>
      <c r="CG161" s="268">
        <f>CF161+CG135+CG164</f>
        <v>-30</v>
      </c>
      <c r="CH161" s="268">
        <f>CG161+CH135+CH164</f>
        <v>-33</v>
      </c>
      <c r="CI161" s="268">
        <f>CH161+CI135+CI164</f>
        <v>-33</v>
      </c>
      <c r="CJ161" s="268">
        <f>CI161</f>
        <v>-33</v>
      </c>
      <c r="CK161" s="268">
        <f>CJ161+CK135+CK164</f>
        <v>-33</v>
      </c>
      <c r="CL161" s="268">
        <f>CK161+CL135+CL164</f>
        <v>-33</v>
      </c>
      <c r="CM161" s="268">
        <f>CL161+CM135+CM164</f>
        <v>-36</v>
      </c>
      <c r="CN161" s="268">
        <f>CM161+CN135+CN164</f>
        <v>-36</v>
      </c>
      <c r="CO161" s="268">
        <f>CN161</f>
        <v>-36</v>
      </c>
      <c r="CP161" s="268">
        <f>CO161+CP135+CP164</f>
        <v>-36</v>
      </c>
      <c r="CQ161" s="268">
        <f>CP161+CQ135+CQ164</f>
        <v>-36</v>
      </c>
      <c r="CR161" s="268">
        <f>CQ161+CR135+CR164</f>
        <v>-39</v>
      </c>
      <c r="CS161" s="268">
        <f>CR161+CS135+CS164</f>
        <v>-39</v>
      </c>
      <c r="CT161" s="268">
        <f>CS161</f>
        <v>-39</v>
      </c>
      <c r="CU161" s="268">
        <f>CT161+CU135+CU164</f>
        <v>-39</v>
      </c>
      <c r="CV161" s="268">
        <f>CU161+CV135+CV164</f>
        <v>-39</v>
      </c>
      <c r="CW161" s="268">
        <f>CV161+CW135+CW164</f>
        <v>-42</v>
      </c>
      <c r="CX161" s="268">
        <f>CW161+CX135+CX164</f>
        <v>-42</v>
      </c>
      <c r="CY161" s="268">
        <f>CX161</f>
        <v>-42</v>
      </c>
    </row>
    <row r="162" hidden="1" outlineLevel="1" ht="12.75" customHeight="1" s="255">
      <c r="C162" s="312" t="n"/>
      <c r="D162" s="268" t="n"/>
      <c r="E162" s="268" t="n"/>
      <c r="F162" s="268" t="n"/>
      <c r="G162" s="268" t="n"/>
      <c r="H162" s="268" t="n"/>
      <c r="I162" s="268" t="n"/>
      <c r="J162" s="268" t="n"/>
      <c r="K162" s="268" t="n"/>
      <c r="L162" s="268" t="n"/>
      <c r="M162" s="268" t="n"/>
      <c r="N162" s="268" t="n"/>
      <c r="O162" s="268" t="n"/>
      <c r="P162" s="268" t="n"/>
      <c r="Q162" s="268" t="n"/>
      <c r="R162" s="268" t="n"/>
      <c r="S162" s="268" t="n"/>
      <c r="T162" s="268" t="n"/>
      <c r="U162" s="268" t="n"/>
      <c r="V162" s="268" t="n"/>
      <c r="W162" s="268" t="n"/>
      <c r="X162" s="268" t="n"/>
      <c r="Y162" s="268" t="n"/>
      <c r="Z162" s="268" t="n"/>
      <c r="AA162" s="268" t="n"/>
      <c r="AB162" s="268" t="n"/>
      <c r="AC162" s="268" t="n"/>
      <c r="AD162" s="268" t="n"/>
      <c r="AE162" s="268" t="n"/>
      <c r="AF162" s="268" t="n"/>
      <c r="AG162" s="268" t="n"/>
      <c r="AH162" s="268" t="n"/>
      <c r="AI162" s="268" t="n"/>
      <c r="AJ162" s="268" t="n"/>
      <c r="AK162" s="268" t="n"/>
      <c r="AL162" s="268" t="n"/>
      <c r="AM162" s="268" t="n"/>
      <c r="AN162" s="268" t="n"/>
      <c r="AO162" s="268" t="n"/>
      <c r="AP162" s="268" t="n"/>
      <c r="AQ162" s="268" t="n"/>
      <c r="AR162" s="268" t="n"/>
      <c r="AS162" s="268" t="n"/>
      <c r="AT162" s="268" t="n"/>
      <c r="AU162" s="268" t="n"/>
      <c r="AV162" s="268" t="n"/>
      <c r="AW162" s="268" t="n"/>
      <c r="AX162" s="268" t="n"/>
      <c r="AY162" s="268" t="n"/>
      <c r="AZ162" s="268" t="n"/>
      <c r="BA162" s="268" t="n"/>
      <c r="BB162" s="268" t="n"/>
      <c r="BC162" s="268" t="n"/>
      <c r="BD162" s="268" t="n"/>
      <c r="BE162" s="268" t="n"/>
      <c r="BF162" s="268" t="n"/>
      <c r="BG162" s="268" t="n"/>
      <c r="BH162" s="268" t="n"/>
      <c r="BI162" s="268" t="n"/>
      <c r="BJ162" s="268" t="n"/>
      <c r="BK162" s="268" t="n"/>
      <c r="BL162" s="268" t="n"/>
      <c r="BM162" s="268" t="n"/>
      <c r="BN162" s="268" t="n"/>
      <c r="BO162" s="268" t="n"/>
      <c r="BP162" s="268" t="n"/>
      <c r="BQ162" s="268" t="n"/>
      <c r="BR162" s="268" t="n"/>
      <c r="BS162" s="268" t="n"/>
      <c r="BT162" s="268" t="n"/>
      <c r="BU162" s="268" t="n"/>
      <c r="BV162" s="268" t="n"/>
      <c r="BW162" s="268" t="n"/>
      <c r="BX162" s="268" t="n"/>
      <c r="BY162" s="268" t="n"/>
      <c r="BZ162" s="268" t="n"/>
      <c r="CA162" s="268" t="n"/>
      <c r="CB162" s="268" t="n"/>
      <c r="CC162" s="268" t="n"/>
      <c r="CD162" s="268" t="n"/>
      <c r="CE162" s="268" t="n"/>
      <c r="CF162" s="268" t="n"/>
      <c r="CG162" s="268" t="n"/>
      <c r="CH162" s="268" t="n"/>
      <c r="CI162" s="268" t="n"/>
      <c r="CJ162" s="268" t="n"/>
      <c r="CK162" s="268" t="n"/>
      <c r="CL162" s="268" t="n"/>
      <c r="CM162" s="268" t="n"/>
      <c r="CN162" s="268" t="n"/>
      <c r="CO162" s="268" t="n"/>
      <c r="CP162" s="268" t="n"/>
      <c r="CQ162" s="268" t="n"/>
      <c r="CR162" s="268" t="n"/>
      <c r="CS162" s="268" t="n"/>
      <c r="CT162" s="268" t="n"/>
      <c r="CU162" s="268" t="n"/>
      <c r="CV162" s="268" t="n"/>
      <c r="CW162" s="268" t="n"/>
      <c r="CX162" s="268" t="n"/>
      <c r="CY162" s="268" t="n"/>
    </row>
    <row r="163" hidden="1" outlineLevel="1" ht="12.75" customHeight="1" s="255">
      <c r="C163" s="312" t="inlineStr">
        <is>
          <t>Equity in Income - % YoY</t>
        </is>
      </c>
      <c r="D163" s="268" t="n"/>
      <c r="E163" s="268" t="n"/>
      <c r="F163" s="268" t="n"/>
      <c r="G163" s="268" t="n"/>
      <c r="H163" s="268" t="n"/>
      <c r="I163" s="268" t="n"/>
      <c r="J163" s="268" t="n"/>
      <c r="K163" s="268" t="n"/>
      <c r="L163" s="268" t="n"/>
      <c r="M163" s="268" t="n"/>
      <c r="N163" s="268">
        <f>IF(I135=0,0,N135/I135-1)</f>
        <v>0</v>
      </c>
      <c r="O163" s="268">
        <f>IF(J135=0,0,O135/J135-1)</f>
        <v>0</v>
      </c>
      <c r="P163" s="268">
        <f>IF(K135=0,0,P135/K135-1)</f>
        <v>0</v>
      </c>
      <c r="Q163" s="268">
        <f>IF(L135=0,0,Q135/L135-1)</f>
        <v>0</v>
      </c>
      <c r="R163" s="268" t="n"/>
      <c r="S163" s="268">
        <f>IF(N135=0,0,S135/N135-1)</f>
        <v>0</v>
      </c>
      <c r="T163" s="268">
        <f>IF(O135=0,0,T135/O135-1)</f>
        <v>0</v>
      </c>
      <c r="U163" s="268">
        <f>IF(P135=0,0,U135/P135-1)</f>
        <v>0</v>
      </c>
      <c r="V163" s="268">
        <f>IF(Q135=0,0,V135/Q135-1)</f>
        <v>0</v>
      </c>
      <c r="W163" s="268" t="n"/>
      <c r="X163" s="268">
        <f>IF(S135=0,0,X135/S135-1)</f>
        <v>0</v>
      </c>
      <c r="Y163" s="268">
        <f>IF(T135=0,0,Y135/T135-1)</f>
        <v>0</v>
      </c>
      <c r="Z163" s="268">
        <f>IF(U135=0,0,Z135/U135-1)</f>
        <v>0</v>
      </c>
      <c r="AA163" s="268">
        <f>IF(V135=0,0,AA135/V135-1)</f>
        <v>0</v>
      </c>
      <c r="AB163" s="268" t="n"/>
      <c r="AC163" s="268">
        <f>IF(X135=0,0,AC135/X135-1)</f>
        <v>0</v>
      </c>
      <c r="AD163" s="268">
        <f>IF(Y135=0,0,AD135/Y135-1)</f>
        <v>0</v>
      </c>
      <c r="AE163" s="268">
        <f>IF(Z135=0,0,AE135/Z135-1)</f>
        <v>0</v>
      </c>
      <c r="AF163" s="268">
        <f>IF(AA135=0,0,AF135/AA135-1)</f>
        <v>0</v>
      </c>
      <c r="AG163" s="268" t="n"/>
      <c r="AH163" s="267">
        <f>IF(AC135=0,0,AH135/AC135-1)</f>
        <v>0</v>
      </c>
      <c r="AI163" s="267">
        <f>IF(AD135=0,0,AI135/AD135-1)</f>
        <v>0</v>
      </c>
      <c r="AJ163" s="267" t="n"/>
      <c r="AK163" s="267" t="n"/>
      <c r="AL163" s="268" t="n"/>
      <c r="AM163" s="267" t="n"/>
      <c r="AN163" s="267" t="n"/>
      <c r="AO163" s="267" t="n"/>
      <c r="AP163" s="267" t="n"/>
      <c r="AQ163" s="268" t="n"/>
      <c r="AR163" s="267" t="n"/>
      <c r="AS163" s="267" t="n"/>
      <c r="AT163" s="267" t="n"/>
      <c r="AU163" s="267" t="n"/>
      <c r="AV163" s="268" t="n"/>
      <c r="AW163" s="267" t="n"/>
      <c r="AX163" s="267" t="n"/>
      <c r="AY163" s="267" t="n"/>
      <c r="AZ163" s="267" t="n"/>
      <c r="BA163" s="268" t="n"/>
      <c r="BB163" s="267" t="n"/>
      <c r="BC163" s="267" t="n"/>
      <c r="BD163" s="267" t="n"/>
      <c r="BE163" s="267" t="n"/>
      <c r="BF163" s="268" t="n"/>
      <c r="BG163" s="267" t="n"/>
      <c r="BH163" s="267" t="n"/>
      <c r="BI163" s="267" t="n"/>
      <c r="BJ163" s="267" t="n"/>
      <c r="BK163" s="268" t="n"/>
      <c r="BL163" s="267" t="n"/>
      <c r="BM163" s="267" t="n"/>
      <c r="BN163" s="267" t="n"/>
      <c r="BO163" s="267" t="n"/>
      <c r="BP163" s="268" t="n"/>
      <c r="BQ163" s="267" t="n"/>
      <c r="BR163" s="267" t="n"/>
      <c r="BS163" s="267" t="n"/>
      <c r="BT163" s="267" t="n"/>
      <c r="BU163" s="268" t="n"/>
      <c r="BV163" s="267" t="n"/>
      <c r="BW163" s="267" t="n"/>
      <c r="BX163" s="267" t="n"/>
      <c r="BY163" s="267" t="n"/>
      <c r="BZ163" s="268" t="n"/>
      <c r="CA163" s="267" t="n"/>
      <c r="CB163" s="267" t="n"/>
      <c r="CC163" s="267" t="n"/>
      <c r="CD163" s="267" t="n"/>
      <c r="CE163" s="268" t="n"/>
      <c r="CF163" s="267" t="n"/>
      <c r="CG163" s="267" t="n"/>
      <c r="CH163" s="267" t="n"/>
      <c r="CI163" s="267" t="n"/>
      <c r="CJ163" s="268" t="n"/>
      <c r="CK163" s="267" t="n"/>
      <c r="CL163" s="267" t="n"/>
      <c r="CM163" s="267" t="n"/>
      <c r="CN163" s="267" t="n"/>
      <c r="CO163" s="268" t="n"/>
      <c r="CP163" s="267" t="n"/>
      <c r="CQ163" s="267" t="n"/>
      <c r="CR163" s="267" t="n"/>
      <c r="CS163" s="267" t="n"/>
      <c r="CT163" s="268" t="n"/>
      <c r="CU163" s="267" t="n"/>
      <c r="CV163" s="267" t="n"/>
      <c r="CW163" s="267" t="n"/>
      <c r="CX163" s="267" t="n"/>
      <c r="CY163" s="268" t="n"/>
    </row>
    <row r="164" hidden="1" outlineLevel="1" ht="12.75" customHeight="1" s="255">
      <c r="C164" s="312" t="inlineStr">
        <is>
          <t>Dividends (enter as -)</t>
        </is>
      </c>
      <c r="D164" s="268" t="n"/>
      <c r="E164" s="268" t="n"/>
      <c r="F164" s="268" t="n"/>
      <c r="G164" s="268" t="n"/>
      <c r="H164" s="268" t="n"/>
      <c r="I164" s="268" t="n"/>
      <c r="J164" s="268" t="n"/>
      <c r="K164" s="268" t="n"/>
      <c r="L164" s="268" t="n"/>
      <c r="M164" s="268" t="n"/>
      <c r="N164" s="268" t="n"/>
      <c r="O164" s="268" t="n"/>
      <c r="P164" s="268" t="n"/>
      <c r="Q164" s="268" t="n"/>
      <c r="R164" s="268" t="n"/>
      <c r="S164" s="268" t="n"/>
      <c r="T164" s="268" t="n"/>
      <c r="U164" s="268" t="n"/>
      <c r="V164" s="268" t="n"/>
      <c r="W164" s="268" t="n"/>
      <c r="X164" s="268" t="n"/>
      <c r="Y164" s="268" t="n"/>
      <c r="Z164" s="268" t="n"/>
      <c r="AA164" s="268" t="n"/>
      <c r="AB164" s="268" t="n"/>
      <c r="AC164" s="268" t="n"/>
      <c r="AD164" s="268" t="n"/>
      <c r="AE164" s="268" t="n"/>
      <c r="AF164" s="268" t="n"/>
      <c r="AG164" s="268" t="n"/>
      <c r="AH164" s="267" t="n"/>
      <c r="AI164" s="267" t="n"/>
      <c r="AJ164" s="267" t="n"/>
      <c r="AK164" s="267" t="n"/>
      <c r="AL164" s="268" t="n"/>
      <c r="AM164" s="267" t="n"/>
      <c r="AN164" s="267" t="n"/>
      <c r="AO164" s="267" t="n"/>
      <c r="AP164" s="267" t="n"/>
      <c r="AQ164" s="268" t="n"/>
      <c r="AR164" s="267" t="n"/>
      <c r="AS164" s="267" t="n"/>
      <c r="AT164" s="267" t="n"/>
      <c r="AU164" s="267" t="n"/>
      <c r="AV164" s="268" t="n"/>
      <c r="AW164" s="267" t="n"/>
      <c r="AX164" s="267" t="n"/>
      <c r="AY164" s="267" t="n"/>
      <c r="AZ164" s="267" t="n"/>
      <c r="BA164" s="268" t="n"/>
      <c r="BB164" s="267" t="n"/>
      <c r="BC164" s="267" t="n"/>
      <c r="BD164" s="267" t="n"/>
      <c r="BE164" s="267" t="n"/>
      <c r="BF164" s="268" t="n"/>
      <c r="BG164" s="267" t="n"/>
      <c r="BH164" s="267" t="n"/>
      <c r="BI164" s="267" t="n"/>
      <c r="BJ164" s="267" t="n"/>
      <c r="BK164" s="268" t="n"/>
      <c r="BL164" s="267" t="n"/>
      <c r="BM164" s="267" t="n"/>
      <c r="BN164" s="267" t="n"/>
      <c r="BO164" s="267" t="n"/>
      <c r="BP164" s="268" t="n"/>
      <c r="BQ164" s="267" t="n"/>
      <c r="BR164" s="267" t="n"/>
      <c r="BS164" s="267" t="n"/>
      <c r="BT164" s="267" t="n"/>
      <c r="BU164" s="268" t="n"/>
      <c r="BV164" s="267" t="n"/>
      <c r="BW164" s="267" t="n"/>
      <c r="BX164" s="267" t="n"/>
      <c r="BY164" s="267" t="n"/>
      <c r="BZ164" s="268" t="n"/>
      <c r="CA164" s="267" t="n"/>
      <c r="CB164" s="267" t="n"/>
      <c r="CC164" s="267" t="n"/>
      <c r="CD164" s="267" t="n"/>
      <c r="CE164" s="268" t="n"/>
      <c r="CF164" s="267" t="n"/>
      <c r="CG164" s="267" t="n"/>
      <c r="CH164" s="267" t="n"/>
      <c r="CI164" s="267" t="n"/>
      <c r="CJ164" s="268" t="n"/>
      <c r="CK164" s="267" t="n"/>
      <c r="CL164" s="267" t="n"/>
      <c r="CM164" s="267" t="n"/>
      <c r="CN164" s="267" t="n"/>
      <c r="CO164" s="268" t="n"/>
      <c r="CP164" s="267" t="n"/>
      <c r="CQ164" s="267" t="n"/>
      <c r="CR164" s="267" t="n"/>
      <c r="CS164" s="267" t="n"/>
      <c r="CT164" s="268" t="n"/>
      <c r="CU164" s="267" t="n"/>
      <c r="CV164" s="267" t="n"/>
      <c r="CW164" s="267" t="n"/>
      <c r="CX164" s="267" t="n"/>
      <c r="CY164" s="268" t="n"/>
    </row>
    <row r="165" hidden="1" outlineLevel="1" ht="12.75" customHeight="1" s="255">
      <c r="C165" s="312" t="n"/>
      <c r="D165" s="268" t="n"/>
      <c r="E165" s="268" t="n"/>
      <c r="F165" s="268" t="n"/>
      <c r="G165" s="268" t="n"/>
      <c r="H165" s="268" t="n"/>
      <c r="I165" s="268" t="n"/>
      <c r="J165" s="268" t="n"/>
      <c r="K165" s="268" t="n"/>
      <c r="L165" s="268" t="n"/>
      <c r="M165" s="268" t="n"/>
      <c r="N165" s="268" t="n"/>
      <c r="O165" s="268" t="n"/>
      <c r="P165" s="268" t="n"/>
      <c r="Q165" s="268" t="n"/>
      <c r="R165" s="268" t="n"/>
      <c r="S165" s="268" t="n"/>
      <c r="T165" s="268" t="n"/>
      <c r="U165" s="268" t="n"/>
      <c r="V165" s="268" t="n"/>
      <c r="W165" s="268" t="n"/>
      <c r="X165" s="268" t="n"/>
      <c r="Y165" s="268" t="n"/>
      <c r="Z165" s="268" t="n"/>
      <c r="AA165" s="268" t="n"/>
      <c r="AB165" s="268" t="n"/>
      <c r="AC165" s="268" t="n"/>
      <c r="AD165" s="268" t="n"/>
      <c r="AE165" s="268" t="n"/>
      <c r="AF165" s="268" t="n"/>
      <c r="AG165" s="268" t="n"/>
      <c r="AH165" s="268" t="n"/>
      <c r="AI165" s="268" t="n"/>
      <c r="AJ165" s="268" t="n"/>
      <c r="AK165" s="268" t="n"/>
      <c r="AL165" s="268" t="n"/>
      <c r="AM165" s="268" t="n"/>
      <c r="AN165" s="268" t="n"/>
      <c r="AO165" s="268" t="n"/>
      <c r="AP165" s="268" t="n"/>
      <c r="AQ165" s="268" t="n"/>
      <c r="AR165" s="268" t="n"/>
      <c r="AS165" s="268" t="n"/>
      <c r="AT165" s="268" t="n"/>
      <c r="AU165" s="268" t="n"/>
      <c r="AV165" s="268" t="n"/>
      <c r="AW165" s="268" t="n"/>
      <c r="AX165" s="268" t="n"/>
      <c r="AY165" s="268" t="n"/>
      <c r="AZ165" s="268" t="n"/>
      <c r="BA165" s="268" t="n"/>
      <c r="BB165" s="268" t="n"/>
      <c r="BC165" s="268" t="n"/>
      <c r="BD165" s="268" t="n"/>
      <c r="BE165" s="268" t="n"/>
      <c r="BF165" s="268" t="n"/>
      <c r="BG165" s="268" t="n"/>
      <c r="BH165" s="268" t="n"/>
      <c r="BI165" s="268" t="n"/>
      <c r="BJ165" s="268" t="n"/>
      <c r="BK165" s="268" t="n"/>
      <c r="BL165" s="268" t="n"/>
      <c r="BM165" s="268" t="n"/>
      <c r="BN165" s="268" t="n"/>
      <c r="BO165" s="268" t="n"/>
      <c r="BP165" s="268" t="n"/>
      <c r="BQ165" s="268" t="n"/>
      <c r="BR165" s="268" t="n"/>
      <c r="BS165" s="268" t="n"/>
      <c r="BT165" s="268" t="n"/>
      <c r="BU165" s="268" t="n"/>
      <c r="BV165" s="268" t="n"/>
      <c r="BW165" s="268" t="n"/>
      <c r="BX165" s="268" t="n"/>
      <c r="BY165" s="268" t="n"/>
      <c r="BZ165" s="268" t="n"/>
      <c r="CA165" s="268" t="n"/>
      <c r="CB165" s="268" t="n"/>
      <c r="CC165" s="268" t="n"/>
      <c r="CD165" s="268" t="n"/>
      <c r="CE165" s="268" t="n"/>
      <c r="CF165" s="268" t="n"/>
      <c r="CG165" s="268" t="n"/>
      <c r="CH165" s="268" t="n"/>
      <c r="CI165" s="268" t="n"/>
      <c r="CJ165" s="268" t="n"/>
      <c r="CK165" s="268" t="n"/>
      <c r="CL165" s="268" t="n"/>
      <c r="CM165" s="268" t="n"/>
      <c r="CN165" s="268" t="n"/>
      <c r="CO165" s="268" t="n"/>
      <c r="CP165" s="268" t="n"/>
      <c r="CQ165" s="268" t="n"/>
      <c r="CR165" s="268" t="n"/>
      <c r="CS165" s="268" t="n"/>
      <c r="CT165" s="268" t="n"/>
      <c r="CU165" s="268" t="n"/>
      <c r="CV165" s="268" t="n"/>
      <c r="CW165" s="268" t="n"/>
      <c r="CX165" s="268" t="n"/>
      <c r="CY165" s="268" t="n"/>
    </row>
    <row r="166" ht="12.75" customHeight="1" s="255">
      <c r="C166" s="270" t="inlineStr">
        <is>
          <t>PP&amp;E</t>
        </is>
      </c>
      <c r="D166" s="301">
        <f>INDEX('Inputs (2)'!$D$22:$AL$22,MATCH(D$7,'Inputs (2)'!$D$2:$AL$2,0))</f>
        <v>3830</v>
      </c>
      <c r="E166" s="301">
        <f>INDEX('Inputs (2)'!$D$22:$AL$22,MATCH(E$7,'Inputs (2)'!$D$2:$AL$2,0))</f>
        <v>3714</v>
      </c>
      <c r="F166" s="301">
        <f>INDEX('Inputs (2)'!$D$22:$AL$22,MATCH(F$7,'Inputs (2)'!$D$2:$AL$2,0))</f>
        <v>3720</v>
      </c>
      <c r="G166" s="301">
        <f>INDEX('Inputs (2)'!$D$22:$AL$22,MATCH(G$7,'Inputs (2)'!$D$2:$AL$2,0))</f>
        <v>3775</v>
      </c>
      <c r="H166" s="268">
        <f>G166</f>
        <v>3775</v>
      </c>
      <c r="I166" s="301">
        <f>INDEX('Inputs (2)'!$D$22:$AL$22,MATCH(I$7,'Inputs (2)'!$D$2:$AL$2,0))</f>
        <v>3645</v>
      </c>
      <c r="J166" s="301">
        <f>INDEX('Inputs (2)'!$D$22:$AL$22,MATCH(J$7,'Inputs (2)'!$D$2:$AL$2,0))</f>
        <v>3719</v>
      </c>
      <c r="K166" s="301">
        <f>INDEX('Inputs (2)'!$D$22:$AL$22,MATCH(K$7,'Inputs (2)'!$D$2:$AL$2,0))</f>
        <v>3658</v>
      </c>
      <c r="L166" s="301">
        <f>INDEX('Inputs (2)'!$D$22:$AL$22,MATCH(L$7,'Inputs (2)'!$D$2:$AL$2,0))</f>
        <v>3499</v>
      </c>
      <c r="M166" s="268">
        <f>L166</f>
        <v>3499</v>
      </c>
      <c r="N166" s="301">
        <f>INDEX('Inputs (2)'!$D$22:$AL$22,MATCH(N$7,'Inputs (2)'!$D$2:$AL$2,0))</f>
        <v>3561</v>
      </c>
      <c r="O166" s="301">
        <f>INDEX('Inputs (2)'!$D$22:$AL$22,MATCH(O$7,'Inputs (2)'!$D$2:$AL$2,0))</f>
        <v>3463</v>
      </c>
      <c r="P166" s="301">
        <f>INDEX('Inputs (2)'!$D$22:$AL$22,MATCH(P$7,'Inputs (2)'!$D$2:$AL$2,0))</f>
        <v>3408</v>
      </c>
      <c r="Q166" s="301">
        <f>INDEX('Inputs (2)'!$D$22:$AL$22,MATCH(Q$7,'Inputs (2)'!$D$2:$AL$2,0))</f>
        <v>3617</v>
      </c>
      <c r="R166" s="268">
        <f>Q166</f>
        <v>3617</v>
      </c>
      <c r="S166" s="301">
        <f>INDEX('Inputs (2)'!$D$22:$AL$22,MATCH(S$7,'Inputs (2)'!$D$2:$AL$2,0))</f>
        <v>3731</v>
      </c>
      <c r="T166" s="301">
        <f>INDEX('Inputs (2)'!$D$22:$AL$22,MATCH(T$7,'Inputs (2)'!$D$2:$AL$2,0))</f>
        <v>4152</v>
      </c>
      <c r="U166" s="301">
        <f>INDEX('Inputs (2)'!$D$22:$AL$22,MATCH(U$7,'Inputs (2)'!$D$2:$AL$2,0))</f>
        <v>4283</v>
      </c>
      <c r="V166" s="301">
        <f>INDEX('Inputs (2)'!$D$22:$AL$22,MATCH(V$7,'Inputs (2)'!$D$2:$AL$2,0))</f>
        <v>4541</v>
      </c>
      <c r="W166" s="268">
        <f>V166</f>
        <v>4541</v>
      </c>
      <c r="X166" s="301">
        <f>INDEX('Inputs (2)'!$D$22:$AL$22,MATCH(X$7,'Inputs (2)'!$D$2:$AL$2,0))</f>
        <v>4620</v>
      </c>
      <c r="Y166" s="301">
        <f>INDEX('Inputs (2)'!$D$22:$AL$22,MATCH(Y$7,'Inputs (2)'!$D$2:$AL$2,0))</f>
        <v>4751</v>
      </c>
      <c r="Z166" s="301">
        <f>INDEX('Inputs (2)'!$D$22:$AL$22,MATCH(Z$7,'Inputs (2)'!$D$2:$AL$2,0))</f>
        <v>5115</v>
      </c>
      <c r="AA166" s="301">
        <f>INDEX('Inputs (2)'!$D$22:$AL$22,MATCH(AA$7,'Inputs (2)'!$D$2:$AL$2,0))</f>
        <v>5254</v>
      </c>
      <c r="AB166" s="268">
        <f>AA166</f>
        <v>5254</v>
      </c>
      <c r="AC166" s="301">
        <f>INDEX('Inputs (2)'!$D$22:$AL$22,MATCH(AC$7,'Inputs (2)'!$D$2:$AL$2,0))</f>
        <v>5511</v>
      </c>
      <c r="AD166" s="301">
        <f>INDEX('Inputs (2)'!$D$22:$AL$22,MATCH(AD$7,'Inputs (2)'!$D$2:$AL$2,0))</f>
        <v>5828</v>
      </c>
      <c r="AE166" s="301">
        <f>INDEX('Inputs (2)'!$D$22:$AL$22,MATCH(AE$7,'Inputs (2)'!$D$2:$AL$2,0))</f>
        <v>11550</v>
      </c>
      <c r="AF166" s="301">
        <f>INDEX('Inputs (2)'!$D$22:$AL$22,MATCH(AF$7,'Inputs (2)'!$D$2:$AL$2,0))</f>
        <v>11678</v>
      </c>
      <c r="AG166" s="268">
        <f>AF166</f>
        <v>11678</v>
      </c>
      <c r="AH166" s="268">
        <f>INDEX('Inputs (2)'!$D$22:$AL$22,MATCH(AH$7,'Inputs (2)'!$D$2:$AL$2,0))</f>
        <v>11877</v>
      </c>
      <c r="AI166" s="268">
        <f>INDEX('Inputs (2)'!$D$22:$AL$22,MATCH(AI$7,'Inputs (2)'!$D$2:$AL$2,0))</f>
        <v>11945</v>
      </c>
      <c r="AJ166" s="268">
        <f>AJ171</f>
        <v>11945</v>
      </c>
      <c r="AK166" s="268">
        <f>AK171</f>
        <v>11945</v>
      </c>
      <c r="AL166" s="268">
        <f>AK166</f>
        <v>11945</v>
      </c>
      <c r="AM166" s="268">
        <f>AM171</f>
        <v>11945</v>
      </c>
      <c r="AN166" s="268">
        <f>AN171</f>
        <v>11945</v>
      </c>
      <c r="AO166" s="268">
        <f>AO171</f>
        <v>11945</v>
      </c>
      <c r="AP166" s="268">
        <f>AP171</f>
        <v>11945</v>
      </c>
      <c r="AQ166" s="268">
        <f>AP166</f>
        <v>11945</v>
      </c>
      <c r="AR166" s="268">
        <f>AR171</f>
        <v>11945</v>
      </c>
      <c r="AS166" s="268">
        <f>AS171</f>
        <v>11945</v>
      </c>
      <c r="AT166" s="268">
        <f>AT171</f>
        <v>11945</v>
      </c>
      <c r="AU166" s="268">
        <f>AU171</f>
        <v>11945</v>
      </c>
      <c r="AV166" s="268">
        <f>AU166</f>
        <v>11945</v>
      </c>
      <c r="AW166" s="268">
        <f>AW171</f>
        <v>11945</v>
      </c>
      <c r="AX166" s="268">
        <f>AX171</f>
        <v>11945</v>
      </c>
      <c r="AY166" s="268">
        <f>AY171</f>
        <v>11945</v>
      </c>
      <c r="AZ166" s="268">
        <f>AZ171</f>
        <v>11945</v>
      </c>
      <c r="BA166" s="268">
        <f>AZ166</f>
        <v>11945</v>
      </c>
      <c r="BB166" s="268">
        <f>BB171</f>
        <v>11945</v>
      </c>
      <c r="BC166" s="268">
        <f>BC171</f>
        <v>11945</v>
      </c>
      <c r="BD166" s="268">
        <f>BD171</f>
        <v>11945</v>
      </c>
      <c r="BE166" s="268">
        <f>BE171</f>
        <v>11945</v>
      </c>
      <c r="BF166" s="268">
        <f>BE166</f>
        <v>11945</v>
      </c>
      <c r="BG166" s="268">
        <f>BG171</f>
        <v>11945</v>
      </c>
      <c r="BH166" s="268">
        <f>BH171</f>
        <v>11945</v>
      </c>
      <c r="BI166" s="268">
        <f>BI171</f>
        <v>11945</v>
      </c>
      <c r="BJ166" s="268">
        <f>BJ171</f>
        <v>11945</v>
      </c>
      <c r="BK166" s="268">
        <f>BJ166</f>
        <v>11945</v>
      </c>
      <c r="BL166" s="268">
        <f>BL171</f>
        <v>11945</v>
      </c>
      <c r="BM166" s="268">
        <f>BM171</f>
        <v>11945</v>
      </c>
      <c r="BN166" s="268">
        <f>BN171</f>
        <v>11945</v>
      </c>
      <c r="BO166" s="268">
        <f>BO171</f>
        <v>11945</v>
      </c>
      <c r="BP166" s="268">
        <f>BO166</f>
        <v>11945</v>
      </c>
      <c r="BQ166" s="268">
        <f>BQ171</f>
        <v>11945</v>
      </c>
      <c r="BR166" s="268">
        <f>BR171</f>
        <v>11945</v>
      </c>
      <c r="BS166" s="268">
        <f>BS171</f>
        <v>11945</v>
      </c>
      <c r="BT166" s="268">
        <f>BT171</f>
        <v>11945</v>
      </c>
      <c r="BU166" s="268">
        <f>BT166</f>
        <v>11945</v>
      </c>
      <c r="BV166" s="268">
        <f>BV171</f>
        <v>11945</v>
      </c>
      <c r="BW166" s="268">
        <f>BW171</f>
        <v>11945</v>
      </c>
      <c r="BX166" s="268">
        <f>BX171</f>
        <v>11945</v>
      </c>
      <c r="BY166" s="268">
        <f>BY171</f>
        <v>11945</v>
      </c>
      <c r="BZ166" s="268">
        <f>BY166</f>
        <v>11945</v>
      </c>
      <c r="CA166" s="268">
        <f>CA171</f>
        <v>11945</v>
      </c>
      <c r="CB166" s="268">
        <f>CB171</f>
        <v>11945</v>
      </c>
      <c r="CC166" s="268">
        <f>CC171</f>
        <v>11945</v>
      </c>
      <c r="CD166" s="268">
        <f>CD171</f>
        <v>11945</v>
      </c>
      <c r="CE166" s="268">
        <f>CD166</f>
        <v>11945</v>
      </c>
      <c r="CF166" s="268">
        <f>CF171</f>
        <v>11945</v>
      </c>
      <c r="CG166" s="268">
        <f>CG171</f>
        <v>11945</v>
      </c>
      <c r="CH166" s="268">
        <f>CH171</f>
        <v>11945</v>
      </c>
      <c r="CI166" s="268">
        <f>CI171</f>
        <v>11945</v>
      </c>
      <c r="CJ166" s="268">
        <f>CI166</f>
        <v>11945</v>
      </c>
      <c r="CK166" s="268">
        <f>CK171</f>
        <v>11945</v>
      </c>
      <c r="CL166" s="268">
        <f>CL171</f>
        <v>11945</v>
      </c>
      <c r="CM166" s="268">
        <f>CM171</f>
        <v>11945</v>
      </c>
      <c r="CN166" s="268">
        <f>CN171</f>
        <v>11945</v>
      </c>
      <c r="CO166" s="268">
        <f>CN166</f>
        <v>11945</v>
      </c>
      <c r="CP166" s="268">
        <f>CP171</f>
        <v>11945</v>
      </c>
      <c r="CQ166" s="268">
        <f>CQ171</f>
        <v>11945</v>
      </c>
      <c r="CR166" s="268">
        <f>CR171</f>
        <v>11945</v>
      </c>
      <c r="CS166" s="268">
        <f>CS171</f>
        <v>11945</v>
      </c>
      <c r="CT166" s="268">
        <f>CS166</f>
        <v>11945</v>
      </c>
      <c r="CU166" s="268">
        <f>CU171</f>
        <v>11945</v>
      </c>
      <c r="CV166" s="268">
        <f>CV171</f>
        <v>11945</v>
      </c>
      <c r="CW166" s="268">
        <f>CW171</f>
        <v>11945</v>
      </c>
      <c r="CX166" s="268">
        <f>CX171</f>
        <v>11945</v>
      </c>
      <c r="CY166" s="268">
        <f>CX166</f>
        <v>11945</v>
      </c>
    </row>
    <row r="167" hidden="1" outlineLevel="1" ht="12.75" customHeight="1" s="255">
      <c r="C167" s="312" t="n"/>
      <c r="D167" s="268" t="n"/>
      <c r="E167" s="268" t="n"/>
      <c r="F167" s="268" t="n"/>
      <c r="G167" s="268" t="n"/>
      <c r="H167" s="268" t="n"/>
      <c r="I167" s="268" t="n"/>
      <c r="J167" s="268" t="n"/>
      <c r="K167" s="268" t="n"/>
      <c r="L167" s="268" t="n"/>
      <c r="M167" s="268" t="n"/>
      <c r="N167" s="268" t="n"/>
      <c r="O167" s="268" t="n"/>
      <c r="P167" s="268" t="n"/>
      <c r="Q167" s="268" t="n"/>
      <c r="R167" s="268" t="n"/>
      <c r="S167" s="268" t="n"/>
      <c r="T167" s="268" t="n"/>
      <c r="U167" s="268" t="n"/>
      <c r="V167" s="268" t="n"/>
      <c r="W167" s="268" t="n"/>
      <c r="X167" s="268" t="n"/>
      <c r="Y167" s="268" t="n"/>
      <c r="Z167" s="268" t="n"/>
      <c r="AA167" s="268" t="n"/>
      <c r="AB167" s="268" t="n"/>
      <c r="AC167" s="268" t="n"/>
      <c r="AD167" s="268" t="n"/>
      <c r="AE167" s="268" t="n"/>
      <c r="AF167" s="268" t="n"/>
      <c r="AG167" s="268" t="n"/>
      <c r="AH167" s="268" t="n"/>
      <c r="AI167" s="268" t="n"/>
      <c r="AJ167" s="268" t="n"/>
      <c r="AK167" s="268" t="n"/>
      <c r="AL167" s="268" t="n"/>
      <c r="AM167" s="268" t="n"/>
      <c r="AN167" s="268" t="n"/>
      <c r="AO167" s="268" t="n"/>
      <c r="AP167" s="268" t="n"/>
      <c r="AQ167" s="268" t="n"/>
      <c r="AR167" s="268" t="n"/>
      <c r="AS167" s="268" t="n"/>
      <c r="AT167" s="268" t="n"/>
      <c r="AU167" s="268" t="n"/>
      <c r="AV167" s="268" t="n"/>
      <c r="AW167" s="268" t="n"/>
      <c r="AX167" s="268" t="n"/>
      <c r="AY167" s="268" t="n"/>
      <c r="AZ167" s="268" t="n"/>
      <c r="BA167" s="268" t="n"/>
      <c r="BB167" s="268" t="n"/>
      <c r="BC167" s="268" t="n"/>
      <c r="BD167" s="268" t="n"/>
      <c r="BE167" s="268" t="n"/>
      <c r="BF167" s="268" t="n"/>
      <c r="BG167" s="268" t="n"/>
      <c r="BH167" s="268" t="n"/>
      <c r="BI167" s="268" t="n"/>
      <c r="BJ167" s="268" t="n"/>
      <c r="BK167" s="268" t="n"/>
      <c r="BL167" s="268" t="n"/>
      <c r="BM167" s="268" t="n"/>
      <c r="BN167" s="268" t="n"/>
      <c r="BO167" s="268" t="n"/>
      <c r="BP167" s="268" t="n"/>
      <c r="BQ167" s="268" t="n"/>
      <c r="BR167" s="268" t="n"/>
      <c r="BS167" s="268" t="n"/>
      <c r="BT167" s="268" t="n"/>
      <c r="BU167" s="268" t="n"/>
      <c r="BV167" s="268" t="n"/>
      <c r="BW167" s="268" t="n"/>
      <c r="BX167" s="268" t="n"/>
      <c r="BY167" s="268" t="n"/>
      <c r="BZ167" s="268" t="n"/>
      <c r="CA167" s="268" t="n"/>
      <c r="CB167" s="268" t="n"/>
      <c r="CC167" s="268" t="n"/>
      <c r="CD167" s="268" t="n"/>
      <c r="CE167" s="268" t="n"/>
      <c r="CF167" s="268" t="n"/>
      <c r="CG167" s="268" t="n"/>
      <c r="CH167" s="268" t="n"/>
      <c r="CI167" s="268" t="n"/>
      <c r="CJ167" s="268" t="n"/>
      <c r="CK167" s="268" t="n"/>
      <c r="CL167" s="268" t="n"/>
      <c r="CM167" s="268" t="n"/>
      <c r="CN167" s="268" t="n"/>
      <c r="CO167" s="268" t="n"/>
      <c r="CP167" s="268" t="n"/>
      <c r="CQ167" s="268" t="n"/>
      <c r="CR167" s="268" t="n"/>
      <c r="CS167" s="268" t="n"/>
      <c r="CT167" s="268" t="n"/>
      <c r="CU167" s="268" t="n"/>
      <c r="CV167" s="268" t="n"/>
      <c r="CW167" s="268" t="n"/>
      <c r="CX167" s="268" t="n"/>
      <c r="CY167" s="268" t="n"/>
    </row>
    <row r="168" hidden="1" outlineLevel="1" ht="12.75" customHeight="1" s="255">
      <c r="C168" s="312" t="inlineStr">
        <is>
          <t>Capital expenditures</t>
        </is>
      </c>
      <c r="D168" s="268" t="n"/>
      <c r="E168" s="268">
        <f>E166-D166-E70</f>
        <v>-12</v>
      </c>
      <c r="F168" s="268">
        <f>F166-E166-F70</f>
        <v>112</v>
      </c>
      <c r="G168" s="268">
        <f>G166-F166-G70</f>
        <v>167</v>
      </c>
      <c r="H168" s="268" t="n"/>
      <c r="I168" s="268">
        <f>I166-H166-I70</f>
        <v>-24</v>
      </c>
      <c r="J168" s="268">
        <f>J166-I166-J70</f>
        <v>180</v>
      </c>
      <c r="K168" s="268">
        <f>K166-J166-K70</f>
        <v>44</v>
      </c>
      <c r="L168" s="268">
        <f>L166-K166-L70</f>
        <v>-52</v>
      </c>
      <c r="M168" s="268" t="n"/>
      <c r="N168" s="268">
        <f>N166-M166-N70</f>
        <v>164</v>
      </c>
      <c r="O168" s="268">
        <f>O166-N166-O70</f>
        <v>4</v>
      </c>
      <c r="P168" s="268">
        <f>P166-O166-P70</f>
        <v>46</v>
      </c>
      <c r="Q168" s="268">
        <f>Q166-P166-Q70</f>
        <v>312</v>
      </c>
      <c r="R168" s="268" t="n"/>
      <c r="S168" s="268">
        <f>S166-R166-S70</f>
        <v>216</v>
      </c>
      <c r="T168" s="268">
        <f>T166-S166-T70</f>
        <v>527</v>
      </c>
      <c r="U168" s="268">
        <f>U166-T166-U70</f>
        <v>240</v>
      </c>
      <c r="V168" s="268">
        <f>V166-U166-V70</f>
        <v>392</v>
      </c>
      <c r="W168" s="268" t="n"/>
      <c r="X168" s="268">
        <f>X166-W166-X70</f>
        <v>191</v>
      </c>
      <c r="Y168" s="268">
        <f>Y166-X166-Y70</f>
        <v>245</v>
      </c>
      <c r="Z168" s="268">
        <f>Z166-Y166-Z70</f>
        <v>483</v>
      </c>
      <c r="AA168" s="268">
        <f>AA166-Z166-AA70</f>
        <v>262</v>
      </c>
      <c r="AB168" s="268" t="n"/>
      <c r="AC168" s="268">
        <f>AC166-AB166-AC70</f>
        <v>377</v>
      </c>
      <c r="AD168" s="268">
        <f>AD166-AC166-AD70</f>
        <v>433</v>
      </c>
      <c r="AE168" s="268">
        <f>AE166-AD166-AE70</f>
        <v>5963</v>
      </c>
      <c r="AF168" s="267">
        <f>AF166-AE166-AF70</f>
        <v>354</v>
      </c>
      <c r="AG168" s="268">
        <f>SUM(AC168:AF168)</f>
        <v>7127</v>
      </c>
      <c r="AH168" s="267">
        <f>AH166-AG166-AH70</f>
        <v>437</v>
      </c>
      <c r="AI168" s="267">
        <f>AI166-AH166-AI70</f>
        <v>324</v>
      </c>
      <c r="AJ168" s="267" t="n"/>
      <c r="AK168" s="267" t="n"/>
      <c r="AL168" s="268" t="n"/>
      <c r="AM168" s="267" t="n"/>
      <c r="AN168" s="267" t="n"/>
      <c r="AO168" s="267" t="n"/>
      <c r="AP168" s="267" t="n"/>
      <c r="AQ168" s="268" t="n"/>
      <c r="AR168" s="267" t="n"/>
      <c r="AS168" s="267" t="n"/>
      <c r="AT168" s="267" t="n"/>
      <c r="AU168" s="267" t="n"/>
      <c r="AV168" s="268" t="n"/>
      <c r="AW168" s="267" t="n"/>
      <c r="AX168" s="267" t="n"/>
      <c r="AY168" s="267" t="n"/>
      <c r="AZ168" s="267" t="n"/>
      <c r="BA168" s="268" t="n"/>
      <c r="BB168" s="267" t="n"/>
      <c r="BC168" s="267" t="n"/>
      <c r="BD168" s="267" t="n"/>
      <c r="BE168" s="267" t="n"/>
      <c r="BF168" s="268" t="n"/>
      <c r="BG168" s="267" t="n"/>
      <c r="BH168" s="267" t="n"/>
      <c r="BI168" s="267" t="n"/>
      <c r="BJ168" s="267" t="n"/>
      <c r="BK168" s="268" t="n"/>
      <c r="BL168" s="267" t="n"/>
      <c r="BM168" s="267" t="n"/>
      <c r="BN168" s="267" t="n"/>
      <c r="BO168" s="267" t="n"/>
      <c r="BP168" s="268" t="n"/>
      <c r="BQ168" s="267" t="n"/>
      <c r="BR168" s="267" t="n"/>
      <c r="BS168" s="267" t="n"/>
      <c r="BT168" s="267" t="n"/>
      <c r="BU168" s="268" t="n"/>
      <c r="BV168" s="267" t="n"/>
      <c r="BW168" s="267" t="n"/>
      <c r="BX168" s="267" t="n"/>
      <c r="BY168" s="267" t="n"/>
      <c r="BZ168" s="268" t="n"/>
      <c r="CA168" s="267" t="n"/>
      <c r="CB168" s="267" t="n"/>
      <c r="CC168" s="267" t="n"/>
      <c r="CD168" s="267" t="n"/>
      <c r="CE168" s="268" t="n"/>
      <c r="CF168" s="267" t="n"/>
      <c r="CG168" s="267" t="n"/>
      <c r="CH168" s="267" t="n"/>
      <c r="CI168" s="267" t="n"/>
      <c r="CJ168" s="268" t="n"/>
      <c r="CK168" s="267" t="n"/>
      <c r="CL168" s="267" t="n"/>
      <c r="CM168" s="267" t="n"/>
      <c r="CN168" s="267" t="n"/>
      <c r="CO168" s="268" t="n"/>
      <c r="CP168" s="267" t="n"/>
      <c r="CQ168" s="267" t="n"/>
      <c r="CR168" s="267" t="n"/>
      <c r="CS168" s="267" t="n"/>
      <c r="CT168" s="268" t="n"/>
      <c r="CU168" s="267" t="n"/>
      <c r="CV168" s="267" t="n"/>
      <c r="CW168" s="267" t="n"/>
      <c r="CX168" s="267" t="n"/>
      <c r="CY168" s="268" t="n"/>
    </row>
    <row r="169" hidden="1" outlineLevel="1" ht="12.75" customHeight="1" s="255">
      <c r="C169" s="312" t="inlineStr">
        <is>
          <t>Recurring asset sales (enter as -)</t>
        </is>
      </c>
      <c r="D169" s="268" t="n"/>
      <c r="E169" s="268" t="n"/>
      <c r="F169" s="268" t="n"/>
      <c r="G169" s="268" t="n"/>
      <c r="H169" s="268">
        <f>SUM(D169:G169)</f>
        <v>0</v>
      </c>
      <c r="I169" s="268" t="n"/>
      <c r="J169" s="268" t="n"/>
      <c r="K169" s="268" t="n"/>
      <c r="L169" s="268" t="n"/>
      <c r="M169" s="268">
        <f>SUM(I169:L169)</f>
        <v>0</v>
      </c>
      <c r="N169" s="268" t="n"/>
      <c r="O169" s="268" t="n"/>
      <c r="P169" s="268" t="n"/>
      <c r="Q169" s="268" t="n"/>
      <c r="R169" s="268">
        <f>SUM(N169:Q169)</f>
        <v>0</v>
      </c>
      <c r="S169" s="268" t="n"/>
      <c r="T169" s="268" t="n"/>
      <c r="U169" s="268" t="n"/>
      <c r="V169" s="268" t="n"/>
      <c r="W169" s="268">
        <f>SUM(S169:V169)</f>
        <v>0</v>
      </c>
      <c r="X169" s="268" t="n"/>
      <c r="Y169" s="268" t="n"/>
      <c r="Z169" s="268" t="n"/>
      <c r="AA169" s="268" t="n"/>
      <c r="AB169" s="268">
        <f>SUM(X169:AA169)</f>
        <v>0</v>
      </c>
      <c r="AC169" s="268" t="n"/>
      <c r="AD169" s="268" t="n"/>
      <c r="AE169" s="268" t="n"/>
      <c r="AF169" s="267" t="n"/>
      <c r="AG169" s="268" t="n"/>
      <c r="AH169" s="267" t="n"/>
      <c r="AI169" s="267" t="n"/>
      <c r="AJ169" s="267" t="n"/>
      <c r="AK169" s="267" t="n"/>
      <c r="AL169" s="268" t="n"/>
      <c r="AM169" s="267" t="n"/>
      <c r="AN169" s="267" t="n"/>
      <c r="AO169" s="267" t="n"/>
      <c r="AP169" s="267" t="n"/>
      <c r="AQ169" s="268" t="n"/>
      <c r="AR169" s="267" t="n"/>
      <c r="AS169" s="267" t="n"/>
      <c r="AT169" s="267" t="n"/>
      <c r="AU169" s="267" t="n"/>
      <c r="AV169" s="268" t="n"/>
      <c r="AW169" s="267" t="n"/>
      <c r="AX169" s="267" t="n"/>
      <c r="AY169" s="267" t="n"/>
      <c r="AZ169" s="267" t="n"/>
      <c r="BA169" s="268" t="n"/>
      <c r="BB169" s="267" t="n"/>
      <c r="BC169" s="267" t="n"/>
      <c r="BD169" s="267" t="n"/>
      <c r="BE169" s="267" t="n"/>
      <c r="BF169" s="268" t="n"/>
      <c r="BG169" s="267" t="n"/>
      <c r="BH169" s="267" t="n"/>
      <c r="BI169" s="267" t="n"/>
      <c r="BJ169" s="267" t="n"/>
      <c r="BK169" s="268" t="n"/>
      <c r="BL169" s="267" t="n"/>
      <c r="BM169" s="267" t="n"/>
      <c r="BN169" s="267" t="n"/>
      <c r="BO169" s="267" t="n"/>
      <c r="BP169" s="268" t="n"/>
      <c r="BQ169" s="267" t="n"/>
      <c r="BR169" s="267" t="n"/>
      <c r="BS169" s="267" t="n"/>
      <c r="BT169" s="267" t="n"/>
      <c r="BU169" s="268" t="n"/>
      <c r="BV169" s="267" t="n"/>
      <c r="BW169" s="267" t="n"/>
      <c r="BX169" s="267" t="n"/>
      <c r="BY169" s="267" t="n"/>
      <c r="BZ169" s="268" t="n"/>
      <c r="CA169" s="267" t="n"/>
      <c r="CB169" s="267" t="n"/>
      <c r="CC169" s="267" t="n"/>
      <c r="CD169" s="267" t="n"/>
      <c r="CE169" s="268" t="n"/>
      <c r="CF169" s="267" t="n"/>
      <c r="CG169" s="267" t="n"/>
      <c r="CH169" s="267" t="n"/>
      <c r="CI169" s="267" t="n"/>
      <c r="CJ169" s="268" t="n"/>
      <c r="CK169" s="267" t="n"/>
      <c r="CL169" s="267" t="n"/>
      <c r="CM169" s="267" t="n"/>
      <c r="CN169" s="267" t="n"/>
      <c r="CO169" s="268" t="n"/>
      <c r="CP169" s="267" t="n"/>
      <c r="CQ169" s="267" t="n"/>
      <c r="CR169" s="267" t="n"/>
      <c r="CS169" s="267" t="n"/>
      <c r="CT169" s="268" t="n"/>
      <c r="CU169" s="267" t="n"/>
      <c r="CV169" s="267" t="n"/>
      <c r="CW169" s="267" t="n"/>
      <c r="CX169" s="267" t="n"/>
      <c r="CY169" s="268" t="n"/>
    </row>
    <row r="170" hidden="1" outlineLevel="1" ht="12.75" customHeight="1" s="255">
      <c r="C170" s="312" t="inlineStr">
        <is>
          <t>Depreciation</t>
        </is>
      </c>
      <c r="D170" s="268">
        <f>D70</f>
        <v>-113</v>
      </c>
      <c r="E170" s="268">
        <f>E70</f>
        <v>-104</v>
      </c>
      <c r="F170" s="268">
        <f>F70</f>
        <v>-106</v>
      </c>
      <c r="G170" s="268">
        <f>G70</f>
        <v>-112</v>
      </c>
      <c r="H170" s="268" t="n"/>
      <c r="I170" s="268">
        <f>I70</f>
        <v>-106</v>
      </c>
      <c r="J170" s="268">
        <f>J70</f>
        <v>-106</v>
      </c>
      <c r="K170" s="268">
        <f>K70</f>
        <v>-105</v>
      </c>
      <c r="L170" s="268">
        <f>L70</f>
        <v>-107</v>
      </c>
      <c r="M170" s="268" t="n"/>
      <c r="N170" s="268">
        <f>N70</f>
        <v>-102</v>
      </c>
      <c r="O170" s="268">
        <f>O70</f>
        <v>-102</v>
      </c>
      <c r="P170" s="268">
        <f>P70</f>
        <v>-101</v>
      </c>
      <c r="Q170" s="268">
        <f>Q70</f>
        <v>-103</v>
      </c>
      <c r="R170" s="268" t="n"/>
      <c r="S170" s="268">
        <f>S70</f>
        <v>-102</v>
      </c>
      <c r="T170" s="268">
        <f>T70</f>
        <v>-106</v>
      </c>
      <c r="U170" s="268">
        <f>U70</f>
        <v>-109</v>
      </c>
      <c r="V170" s="268">
        <f>V70</f>
        <v>-134</v>
      </c>
      <c r="W170" s="268" t="n"/>
      <c r="X170" s="268">
        <f>X70</f>
        <v>-112</v>
      </c>
      <c r="Y170" s="268">
        <f>Y70</f>
        <v>-114</v>
      </c>
      <c r="Z170" s="268">
        <f>Z70</f>
        <v>-119</v>
      </c>
      <c r="AA170" s="268">
        <f>AA70</f>
        <v>-123</v>
      </c>
      <c r="AB170" s="268" t="n"/>
      <c r="AC170" s="268">
        <f>AC70</f>
        <v>-120</v>
      </c>
      <c r="AD170" s="268">
        <f>AD70</f>
        <v>-116</v>
      </c>
      <c r="AE170" s="268">
        <f>AE70</f>
        <v>-241</v>
      </c>
      <c r="AF170" s="268">
        <f>AF70</f>
        <v>-226</v>
      </c>
      <c r="AG170" s="268" t="n"/>
      <c r="AH170" s="268">
        <f>AH70</f>
        <v>-238</v>
      </c>
      <c r="AI170" s="268">
        <f>AI70</f>
        <v>-256</v>
      </c>
      <c r="AJ170" s="268">
        <f>AJ70</f>
        <v>0</v>
      </c>
      <c r="AK170" s="268">
        <f>AK70</f>
        <v>0</v>
      </c>
      <c r="AL170" s="268" t="n"/>
      <c r="AM170" s="268">
        <f>AM70</f>
        <v>0</v>
      </c>
      <c r="AN170" s="268">
        <f>AN70</f>
        <v>0</v>
      </c>
      <c r="AO170" s="268">
        <f>AO70</f>
        <v>0</v>
      </c>
      <c r="AP170" s="268">
        <f>AP70</f>
        <v>0</v>
      </c>
      <c r="AQ170" s="268" t="n"/>
      <c r="AR170" s="268">
        <f>AR70</f>
        <v>0</v>
      </c>
      <c r="AS170" s="268">
        <f>AS70</f>
        <v>0</v>
      </c>
      <c r="AT170" s="268">
        <f>AT70</f>
        <v>0</v>
      </c>
      <c r="AU170" s="268">
        <f>AU70</f>
        <v>0</v>
      </c>
      <c r="AV170" s="268" t="n"/>
      <c r="AW170" s="268">
        <f>AW70</f>
        <v>0</v>
      </c>
      <c r="AX170" s="268">
        <f>AX70</f>
        <v>0</v>
      </c>
      <c r="AY170" s="268">
        <f>AY70</f>
        <v>0</v>
      </c>
      <c r="AZ170" s="268">
        <f>AZ70</f>
        <v>0</v>
      </c>
      <c r="BA170" s="268" t="n"/>
      <c r="BB170" s="268">
        <f>BB70</f>
        <v>0</v>
      </c>
      <c r="BC170" s="268">
        <f>BC70</f>
        <v>0</v>
      </c>
      <c r="BD170" s="268">
        <f>BD70</f>
        <v>0</v>
      </c>
      <c r="BE170" s="268">
        <f>BE70</f>
        <v>0</v>
      </c>
      <c r="BF170" s="268" t="n"/>
      <c r="BG170" s="268">
        <f>BG70</f>
        <v>0</v>
      </c>
      <c r="BH170" s="268">
        <f>BH70</f>
        <v>0</v>
      </c>
      <c r="BI170" s="268">
        <f>BI70</f>
        <v>0</v>
      </c>
      <c r="BJ170" s="268">
        <f>BJ70</f>
        <v>0</v>
      </c>
      <c r="BK170" s="268" t="n"/>
      <c r="BL170" s="268">
        <f>BL70</f>
        <v>0</v>
      </c>
      <c r="BM170" s="268">
        <f>BM70</f>
        <v>0</v>
      </c>
      <c r="BN170" s="268">
        <f>BN70</f>
        <v>0</v>
      </c>
      <c r="BO170" s="268">
        <f>BO70</f>
        <v>0</v>
      </c>
      <c r="BP170" s="268" t="n"/>
      <c r="BQ170" s="268">
        <f>BQ70</f>
        <v>0</v>
      </c>
      <c r="BR170" s="268">
        <f>BR70</f>
        <v>0</v>
      </c>
      <c r="BS170" s="268">
        <f>BS70</f>
        <v>0</v>
      </c>
      <c r="BT170" s="268">
        <f>BT70</f>
        <v>0</v>
      </c>
      <c r="BU170" s="268" t="n"/>
      <c r="BV170" s="268">
        <f>BV70</f>
        <v>0</v>
      </c>
      <c r="BW170" s="268">
        <f>BW70</f>
        <v>0</v>
      </c>
      <c r="BX170" s="268">
        <f>BX70</f>
        <v>0</v>
      </c>
      <c r="BY170" s="268">
        <f>BY70</f>
        <v>0</v>
      </c>
      <c r="BZ170" s="268" t="n"/>
      <c r="CA170" s="268">
        <f>CA70</f>
        <v>0</v>
      </c>
      <c r="CB170" s="268">
        <f>CB70</f>
        <v>0</v>
      </c>
      <c r="CC170" s="268">
        <f>CC70</f>
        <v>0</v>
      </c>
      <c r="CD170" s="268">
        <f>CD70</f>
        <v>0</v>
      </c>
      <c r="CE170" s="268" t="n"/>
      <c r="CF170" s="268">
        <f>CF70</f>
        <v>0</v>
      </c>
      <c r="CG170" s="268">
        <f>CG70</f>
        <v>0</v>
      </c>
      <c r="CH170" s="268">
        <f>CH70</f>
        <v>0</v>
      </c>
      <c r="CI170" s="268">
        <f>CI70</f>
        <v>0</v>
      </c>
      <c r="CJ170" s="268" t="n"/>
      <c r="CK170" s="268">
        <f>CK70</f>
        <v>0</v>
      </c>
      <c r="CL170" s="268">
        <f>CL70</f>
        <v>0</v>
      </c>
      <c r="CM170" s="268">
        <f>CM70</f>
        <v>0</v>
      </c>
      <c r="CN170" s="268">
        <f>CN70</f>
        <v>0</v>
      </c>
      <c r="CO170" s="268" t="n"/>
      <c r="CP170" s="268">
        <f>CP70</f>
        <v>0</v>
      </c>
      <c r="CQ170" s="268">
        <f>CQ70</f>
        <v>0</v>
      </c>
      <c r="CR170" s="268">
        <f>CR70</f>
        <v>0</v>
      </c>
      <c r="CS170" s="268">
        <f>CS70</f>
        <v>0</v>
      </c>
      <c r="CT170" s="268" t="n"/>
      <c r="CU170" s="268">
        <f>CU70</f>
        <v>0</v>
      </c>
      <c r="CV170" s="268">
        <f>CV70</f>
        <v>0</v>
      </c>
      <c r="CW170" s="268">
        <f>CW70</f>
        <v>0</v>
      </c>
      <c r="CX170" s="268">
        <f>CX70</f>
        <v>0</v>
      </c>
      <c r="CY170" s="268" t="n"/>
    </row>
    <row r="171" hidden="1" outlineLevel="1" ht="12.75" customHeight="1" s="255">
      <c r="C171" s="312" t="inlineStr">
        <is>
          <t>PP&amp;E</t>
        </is>
      </c>
      <c r="D171" s="268">
        <f>D166</f>
        <v>3830</v>
      </c>
      <c r="E171" s="268">
        <f>E166</f>
        <v>3714</v>
      </c>
      <c r="F171" s="268">
        <f>F166</f>
        <v>3720</v>
      </c>
      <c r="G171" s="268">
        <f>G166</f>
        <v>3775</v>
      </c>
      <c r="H171" s="268" t="n"/>
      <c r="I171" s="268">
        <f>I166</f>
        <v>3645</v>
      </c>
      <c r="J171" s="268">
        <f>J166</f>
        <v>3719</v>
      </c>
      <c r="K171" s="268">
        <f>K166</f>
        <v>3658</v>
      </c>
      <c r="L171" s="268">
        <f>L166</f>
        <v>3499</v>
      </c>
      <c r="M171" s="268" t="n"/>
      <c r="N171" s="268">
        <f>N166</f>
        <v>3561</v>
      </c>
      <c r="O171" s="268">
        <f>O166</f>
        <v>3463</v>
      </c>
      <c r="P171" s="268">
        <f>P166</f>
        <v>3408</v>
      </c>
      <c r="Q171" s="268">
        <f>Q166</f>
        <v>3617</v>
      </c>
      <c r="R171" s="268" t="n"/>
      <c r="S171" s="268">
        <f>S166</f>
        <v>3731</v>
      </c>
      <c r="T171" s="268">
        <f>T166</f>
        <v>4152</v>
      </c>
      <c r="U171" s="268">
        <f>U166</f>
        <v>4283</v>
      </c>
      <c r="V171" s="268">
        <f>V166</f>
        <v>4541</v>
      </c>
      <c r="W171" s="268" t="n"/>
      <c r="X171" s="268">
        <f>X166</f>
        <v>4620</v>
      </c>
      <c r="Y171" s="268">
        <f>Y166</f>
        <v>4751</v>
      </c>
      <c r="Z171" s="268">
        <f>Z166</f>
        <v>5115</v>
      </c>
      <c r="AA171" s="268">
        <f>Y171+SUM(AA168:AA170)</f>
        <v>4890</v>
      </c>
      <c r="AB171" s="268" t="n"/>
      <c r="AC171" s="268">
        <f>AC166</f>
        <v>5511</v>
      </c>
      <c r="AD171" s="268">
        <f>AD166</f>
        <v>5828</v>
      </c>
      <c r="AE171" s="268">
        <f>AE166</f>
        <v>11550</v>
      </c>
      <c r="AF171" s="268">
        <f>AE171+SUM(AF168:AF170)</f>
        <v>11678</v>
      </c>
      <c r="AG171" s="268" t="n"/>
      <c r="AH171" s="268">
        <f>AH166</f>
        <v>11877</v>
      </c>
      <c r="AI171" s="268">
        <f>AI166</f>
        <v>11945</v>
      </c>
      <c r="AJ171" s="268">
        <f>AI171+SUM(AJ168:AJ170)</f>
        <v>11945</v>
      </c>
      <c r="AK171" s="268">
        <f>AJ171+SUM(AK168:AK170)</f>
        <v>11945</v>
      </c>
      <c r="AL171" s="268" t="n"/>
      <c r="AM171" s="268">
        <f>AK171+SUM(AM168:AM170)</f>
        <v>11945</v>
      </c>
      <c r="AN171" s="268">
        <f>AM171+SUM(AN168:AN170)</f>
        <v>11945</v>
      </c>
      <c r="AO171" s="268">
        <f>AN171+SUM(AO168:AO170)</f>
        <v>11945</v>
      </c>
      <c r="AP171" s="268">
        <f>AO171+SUM(AP168:AP170)</f>
        <v>11945</v>
      </c>
      <c r="AQ171" s="268" t="n"/>
      <c r="AR171" s="268">
        <f>AP171+SUM(AR168:AR170)</f>
        <v>11945</v>
      </c>
      <c r="AS171" s="268">
        <f>AR171+SUM(AS168:AS170)</f>
        <v>11945</v>
      </c>
      <c r="AT171" s="268">
        <f>AS171+SUM(AT168:AT170)</f>
        <v>11945</v>
      </c>
      <c r="AU171" s="268">
        <f>AT171+SUM(AU168:AU170)</f>
        <v>11945</v>
      </c>
      <c r="AV171" s="268" t="n"/>
      <c r="AW171" s="268">
        <f>AU171+SUM(AW168:AW170)</f>
        <v>11945</v>
      </c>
      <c r="AX171" s="268">
        <f>AW171+SUM(AX168:AX170)</f>
        <v>11945</v>
      </c>
      <c r="AY171" s="268">
        <f>AX171+SUM(AY168:AY170)</f>
        <v>11945</v>
      </c>
      <c r="AZ171" s="268">
        <f>AY171+SUM(AZ168:AZ170)</f>
        <v>11945</v>
      </c>
      <c r="BA171" s="268" t="n"/>
      <c r="BB171" s="268">
        <f>AZ171+SUM(BB168:BB170)</f>
        <v>11945</v>
      </c>
      <c r="BC171" s="268">
        <f>BB171+SUM(BC168:BC170)</f>
        <v>11945</v>
      </c>
      <c r="BD171" s="268">
        <f>BC171+SUM(BD168:BD170)</f>
        <v>11945</v>
      </c>
      <c r="BE171" s="268">
        <f>BD171+SUM(BE168:BE170)</f>
        <v>11945</v>
      </c>
      <c r="BF171" s="268" t="n"/>
      <c r="BG171" s="268">
        <f>BE171+SUM(BG168:BG170)</f>
        <v>11945</v>
      </c>
      <c r="BH171" s="268">
        <f>BG171+SUM(BH168:BH170)</f>
        <v>11945</v>
      </c>
      <c r="BI171" s="268">
        <f>BH171+SUM(BI168:BI170)</f>
        <v>11945</v>
      </c>
      <c r="BJ171" s="268">
        <f>BI171+SUM(BJ168:BJ170)</f>
        <v>11945</v>
      </c>
      <c r="BK171" s="268" t="n"/>
      <c r="BL171" s="268">
        <f>BJ171+SUM(BL168:BL170)</f>
        <v>11945</v>
      </c>
      <c r="BM171" s="268">
        <f>BL171+SUM(BM168:BM170)</f>
        <v>11945</v>
      </c>
      <c r="BN171" s="268">
        <f>BM171+SUM(BN168:BN170)</f>
        <v>11945</v>
      </c>
      <c r="BO171" s="268">
        <f>BN171+SUM(BO168:BO170)</f>
        <v>11945</v>
      </c>
      <c r="BP171" s="268" t="n"/>
      <c r="BQ171" s="268">
        <f>BO171+SUM(BQ168:BQ170)</f>
        <v>11945</v>
      </c>
      <c r="BR171" s="268">
        <f>BQ171+SUM(BR168:BR170)</f>
        <v>11945</v>
      </c>
      <c r="BS171" s="268">
        <f>BR171+SUM(BS168:BS170)</f>
        <v>11945</v>
      </c>
      <c r="BT171" s="268">
        <f>BS171+SUM(BT168:BT170)</f>
        <v>11945</v>
      </c>
      <c r="BU171" s="268" t="n"/>
      <c r="BV171" s="268">
        <f>BT171+SUM(BV168:BV170)</f>
        <v>11945</v>
      </c>
      <c r="BW171" s="268">
        <f>BV171+SUM(BW168:BW170)</f>
        <v>11945</v>
      </c>
      <c r="BX171" s="268">
        <f>BW171+SUM(BX168:BX170)</f>
        <v>11945</v>
      </c>
      <c r="BY171" s="268">
        <f>BX171+SUM(BY168:BY170)</f>
        <v>11945</v>
      </c>
      <c r="BZ171" s="268" t="n"/>
      <c r="CA171" s="268">
        <f>BY171+SUM(CA168:CA170)</f>
        <v>11945</v>
      </c>
      <c r="CB171" s="268">
        <f>CA171+SUM(CB168:CB170)</f>
        <v>11945</v>
      </c>
      <c r="CC171" s="268">
        <f>CB171+SUM(CC168:CC170)</f>
        <v>11945</v>
      </c>
      <c r="CD171" s="268">
        <f>CC171+SUM(CD168:CD170)</f>
        <v>11945</v>
      </c>
      <c r="CE171" s="268" t="n"/>
      <c r="CF171" s="268">
        <f>CD171+SUM(CF168:CF170)</f>
        <v>11945</v>
      </c>
      <c r="CG171" s="268">
        <f>CF171+SUM(CG168:CG170)</f>
        <v>11945</v>
      </c>
      <c r="CH171" s="268">
        <f>CG171+SUM(CH168:CH170)</f>
        <v>11945</v>
      </c>
      <c r="CI171" s="268">
        <f>CH171+SUM(CI168:CI170)</f>
        <v>11945</v>
      </c>
      <c r="CJ171" s="268" t="n"/>
      <c r="CK171" s="268">
        <f>CI171+SUM(CK168:CK170)</f>
        <v>11945</v>
      </c>
      <c r="CL171" s="268">
        <f>CK171+SUM(CL168:CL170)</f>
        <v>11945</v>
      </c>
      <c r="CM171" s="268">
        <f>CL171+SUM(CM168:CM170)</f>
        <v>11945</v>
      </c>
      <c r="CN171" s="268">
        <f>CM171+SUM(CN168:CN170)</f>
        <v>11945</v>
      </c>
      <c r="CO171" s="268" t="n"/>
      <c r="CP171" s="268">
        <f>CN171+SUM(CP168:CP170)</f>
        <v>11945</v>
      </c>
      <c r="CQ171" s="268">
        <f>CP171+SUM(CQ168:CQ170)</f>
        <v>11945</v>
      </c>
      <c r="CR171" s="268">
        <f>CQ171+SUM(CR168:CR170)</f>
        <v>11945</v>
      </c>
      <c r="CS171" s="268">
        <f>CR171+SUM(CS168:CS170)</f>
        <v>11945</v>
      </c>
      <c r="CT171" s="268" t="n"/>
      <c r="CU171" s="268">
        <f>CS171+SUM(CU168:CU170)</f>
        <v>11945</v>
      </c>
      <c r="CV171" s="268">
        <f>CU171+SUM(CV168:CV170)</f>
        <v>11945</v>
      </c>
      <c r="CW171" s="268">
        <f>CV171+SUM(CW168:CW170)</f>
        <v>11945</v>
      </c>
      <c r="CX171" s="268">
        <f>CW171+SUM(CX168:CX170)</f>
        <v>11945</v>
      </c>
      <c r="CY171" s="268" t="n"/>
      <c r="CZ171" s="260">
        <f>CX171+SUM(CZ168:CZ170)</f>
        <v>11945</v>
      </c>
      <c r="DA171" s="260">
        <f>CZ171+SUM(DA168:DA170)</f>
        <v>11945</v>
      </c>
      <c r="DB171" s="260">
        <f>DA171+SUM(DB168:DB170)</f>
        <v>11945</v>
      </c>
      <c r="DC171" s="260">
        <f>DB171+SUM(DC168:DC170)</f>
        <v>11945</v>
      </c>
    </row>
    <row r="172" hidden="1" outlineLevel="1" ht="12.75" customHeight="1" s="255">
      <c r="C172" s="312" t="n"/>
      <c r="D172" s="268" t="n"/>
      <c r="E172" s="268" t="n"/>
      <c r="F172" s="268" t="n"/>
      <c r="G172" s="268" t="n"/>
      <c r="H172" s="268" t="n"/>
      <c r="I172" s="268" t="n"/>
      <c r="J172" s="268" t="n"/>
      <c r="K172" s="268" t="n"/>
      <c r="L172" s="268" t="n"/>
      <c r="M172" s="268" t="n"/>
      <c r="N172" s="268" t="n"/>
      <c r="O172" s="268" t="n"/>
      <c r="P172" s="268" t="n"/>
      <c r="Q172" s="268" t="n"/>
      <c r="R172" s="268" t="n"/>
      <c r="S172" s="268" t="n"/>
      <c r="T172" s="268" t="n"/>
      <c r="U172" s="268" t="n"/>
      <c r="V172" s="268" t="n"/>
      <c r="W172" s="268" t="n"/>
      <c r="X172" s="268" t="n"/>
      <c r="Y172" s="268" t="n"/>
      <c r="Z172" s="268" t="n"/>
      <c r="AA172" s="268" t="n"/>
      <c r="AB172" s="268" t="n"/>
      <c r="AC172" s="268" t="n"/>
      <c r="AD172" s="268" t="n"/>
      <c r="AE172" s="268" t="n"/>
      <c r="AF172" s="268" t="n"/>
      <c r="AG172" s="268" t="n"/>
      <c r="AH172" s="268" t="n"/>
      <c r="AI172" s="268" t="n"/>
      <c r="AJ172" s="268" t="n"/>
      <c r="AK172" s="268" t="n"/>
      <c r="AL172" s="268" t="n"/>
      <c r="AM172" s="268" t="n"/>
      <c r="AN172" s="268" t="n"/>
      <c r="AO172" s="268" t="n"/>
      <c r="AP172" s="268" t="n"/>
      <c r="AQ172" s="268" t="n"/>
      <c r="AR172" s="268" t="n"/>
      <c r="AS172" s="268" t="n"/>
      <c r="AT172" s="268" t="n"/>
      <c r="AU172" s="268" t="n"/>
      <c r="AV172" s="268" t="n"/>
      <c r="AW172" s="268" t="n"/>
      <c r="AX172" s="268" t="n"/>
      <c r="AY172" s="268" t="n"/>
      <c r="AZ172" s="268" t="n"/>
      <c r="BA172" s="268" t="n"/>
      <c r="BB172" s="268" t="n"/>
      <c r="BC172" s="268" t="n"/>
      <c r="BD172" s="268" t="n"/>
      <c r="BE172" s="268" t="n"/>
      <c r="BF172" s="268" t="n"/>
      <c r="BG172" s="268" t="n"/>
      <c r="BH172" s="268" t="n"/>
      <c r="BI172" s="268" t="n"/>
      <c r="BJ172" s="268" t="n"/>
      <c r="BK172" s="268" t="n"/>
      <c r="BL172" s="268" t="n"/>
      <c r="BM172" s="268" t="n"/>
      <c r="BN172" s="268" t="n"/>
      <c r="BO172" s="268" t="n"/>
      <c r="BP172" s="268" t="n"/>
      <c r="BQ172" s="268" t="n"/>
      <c r="BR172" s="268" t="n"/>
      <c r="BS172" s="268" t="n"/>
      <c r="BT172" s="268" t="n"/>
      <c r="BU172" s="268" t="n"/>
      <c r="BV172" s="268" t="n"/>
      <c r="BW172" s="268" t="n"/>
      <c r="BX172" s="268" t="n"/>
      <c r="BY172" s="268" t="n"/>
      <c r="BZ172" s="268" t="n"/>
      <c r="CA172" s="268" t="n"/>
      <c r="CB172" s="268" t="n"/>
      <c r="CC172" s="268" t="n"/>
      <c r="CD172" s="268" t="n"/>
      <c r="CE172" s="268" t="n"/>
      <c r="CF172" s="268" t="n"/>
      <c r="CG172" s="268" t="n"/>
      <c r="CH172" s="268" t="n"/>
      <c r="CI172" s="268" t="n"/>
      <c r="CJ172" s="268" t="n"/>
      <c r="CK172" s="268" t="n"/>
      <c r="CL172" s="268" t="n"/>
      <c r="CM172" s="268" t="n"/>
      <c r="CN172" s="268" t="n"/>
      <c r="CO172" s="268" t="n"/>
      <c r="CP172" s="268" t="n"/>
      <c r="CQ172" s="268" t="n"/>
      <c r="CR172" s="268" t="n"/>
      <c r="CS172" s="268" t="n"/>
      <c r="CT172" s="268" t="n"/>
      <c r="CU172" s="268" t="n"/>
      <c r="CV172" s="268" t="n"/>
      <c r="CW172" s="268" t="n"/>
      <c r="CX172" s="268" t="n"/>
      <c r="CY172" s="268" t="n"/>
    </row>
    <row r="173" hidden="1" outlineLevel="1" ht="12.75" customHeight="1" s="255">
      <c r="C173" s="312" t="inlineStr">
        <is>
          <t>Capital expenditures (% Net Revenues)</t>
        </is>
      </c>
      <c r="D173" s="268" t="n"/>
      <c r="E173" s="268" t="n"/>
      <c r="F173" s="268" t="n"/>
      <c r="G173" s="268" t="n"/>
      <c r="H173" s="268" t="n"/>
      <c r="I173" s="268" t="n"/>
      <c r="J173" s="268" t="n"/>
      <c r="K173" s="268" t="n"/>
      <c r="L173" s="268" t="n"/>
      <c r="M173" s="268" t="n"/>
      <c r="N173" s="268" t="n"/>
      <c r="O173" s="268" t="n"/>
      <c r="P173" s="268" t="n"/>
      <c r="Q173" s="268" t="n"/>
      <c r="R173" s="268" t="n"/>
      <c r="S173" s="268" t="n"/>
      <c r="T173" s="268" t="n"/>
      <c r="U173" s="268" t="n"/>
      <c r="V173" s="268" t="n"/>
      <c r="W173" s="268" t="n"/>
      <c r="X173" s="268" t="n"/>
      <c r="Y173" s="268" t="n"/>
      <c r="Z173" s="268" t="n"/>
      <c r="AA173" s="268" t="n"/>
      <c r="AB173" s="268" t="n"/>
      <c r="AC173" s="268" t="n"/>
      <c r="AD173" s="268" t="n"/>
      <c r="AE173" s="268" t="n"/>
      <c r="AF173" s="313">
        <f>AF168/AF15</f>
        <v>0.0148977358808181</v>
      </c>
      <c r="AG173" s="313">
        <f>AG168/AG15</f>
        <v>0.101337997127785</v>
      </c>
      <c r="AH173" s="313">
        <f>AH168/AH15</f>
        <v>0.0199899364164494</v>
      </c>
      <c r="AI173" s="313">
        <f>AI168/AI15</f>
        <v>0.0134769768312466</v>
      </c>
      <c r="AJ173" s="313">
        <f>AJ168/AJ15</f>
        <v>0</v>
      </c>
      <c r="AK173" s="313">
        <f>AK168/AK15</f>
        <v>0</v>
      </c>
      <c r="AL173" s="313">
        <f>AL168/AL15</f>
        <v>0</v>
      </c>
      <c r="AM173" s="313">
        <f>AM168/AM15</f>
        <v>0</v>
      </c>
      <c r="AN173" s="313">
        <f>AN168/AN15</f>
        <v>0</v>
      </c>
      <c r="AO173" s="313">
        <f>AO168/AO15</f>
        <v>0</v>
      </c>
      <c r="AP173" s="313">
        <f>AP168/AP15</f>
        <v>0</v>
      </c>
      <c r="AQ173" s="313">
        <f>AQ168/AQ15</f>
        <v>0</v>
      </c>
      <c r="AR173" s="313">
        <f>AR168/AR15</f>
        <v>0</v>
      </c>
      <c r="AS173" s="313">
        <f>AS168/AS15</f>
        <v>0</v>
      </c>
      <c r="AT173" s="313">
        <f>AT168/AT15</f>
        <v>0</v>
      </c>
      <c r="AU173" s="313">
        <f>AU168/AU15</f>
        <v>0</v>
      </c>
      <c r="AV173" s="313">
        <f>AV168/AV15</f>
        <v>0</v>
      </c>
      <c r="AW173" s="313">
        <f>AW168/AW15</f>
        <v>0</v>
      </c>
      <c r="AX173" s="313">
        <f>AX168/AX15</f>
        <v>0</v>
      </c>
      <c r="AY173" s="313">
        <f>AY168/AY15</f>
        <v>0</v>
      </c>
      <c r="AZ173" s="313">
        <f>AZ168/AZ15</f>
        <v>0</v>
      </c>
      <c r="BA173" s="313">
        <f>BA168/BA15</f>
        <v>0</v>
      </c>
      <c r="BB173" s="313">
        <f>BB168/BB15</f>
        <v>0</v>
      </c>
      <c r="BC173" s="313">
        <f>BC168/BC15</f>
        <v>0</v>
      </c>
      <c r="BD173" s="313">
        <f>BD168/BD15</f>
        <v>0</v>
      </c>
      <c r="BE173" s="313">
        <f>BE168/BE15</f>
        <v>0</v>
      </c>
      <c r="BF173" s="313">
        <f>BF168/BF15</f>
        <v>0</v>
      </c>
      <c r="BG173" s="313">
        <f>BG168/BG15</f>
        <v>0</v>
      </c>
      <c r="BH173" s="313">
        <f>BH168/BH15</f>
        <v>0</v>
      </c>
      <c r="BI173" s="313">
        <f>BI168/BI15</f>
        <v>0</v>
      </c>
      <c r="BJ173" s="313">
        <f>BJ168/BJ15</f>
        <v>0</v>
      </c>
      <c r="BK173" s="313">
        <f>BK168/BK15</f>
        <v>0</v>
      </c>
      <c r="BL173" s="313">
        <f>BL168/BL15</f>
        <v>0</v>
      </c>
      <c r="BM173" s="313">
        <f>BM168/BM15</f>
        <v>0</v>
      </c>
      <c r="BN173" s="313">
        <f>BN168/BN15</f>
        <v>0</v>
      </c>
      <c r="BO173" s="313">
        <f>BO168/BO15</f>
        <v>0</v>
      </c>
      <c r="BP173" s="313">
        <f>BP168/BP15</f>
        <v>0</v>
      </c>
      <c r="BQ173" s="313">
        <f>BQ168/BQ15</f>
        <v>0</v>
      </c>
      <c r="BR173" s="313">
        <f>BR168/BR15</f>
        <v>0</v>
      </c>
      <c r="BS173" s="313">
        <f>BS168/BS15</f>
        <v>0</v>
      </c>
      <c r="BT173" s="313">
        <f>BT168/BT15</f>
        <v>0</v>
      </c>
      <c r="BU173" s="313">
        <f>BU168/BU15</f>
        <v>0</v>
      </c>
      <c r="BV173" s="313">
        <f>BV168/BV15</f>
        <v>0</v>
      </c>
      <c r="BW173" s="313">
        <f>BW168/BW15</f>
        <v>0</v>
      </c>
      <c r="BX173" s="313">
        <f>BX168/BX15</f>
        <v>0</v>
      </c>
      <c r="BY173" s="313">
        <f>BY168/BY15</f>
        <v>0</v>
      </c>
      <c r="BZ173" s="313">
        <f>BZ168/BZ15</f>
        <v>0</v>
      </c>
      <c r="CA173" s="313">
        <f>CA168/CA15</f>
        <v>0</v>
      </c>
      <c r="CB173" s="313">
        <f>CB168/CB15</f>
        <v>0</v>
      </c>
      <c r="CC173" s="313">
        <f>CC168/CC15</f>
        <v>0</v>
      </c>
      <c r="CD173" s="313">
        <f>CD168/CD15</f>
        <v>0</v>
      </c>
      <c r="CE173" s="313">
        <f>CE168/CE15</f>
        <v>0</v>
      </c>
      <c r="CF173" s="313">
        <f>CF168/CF15</f>
        <v>0</v>
      </c>
      <c r="CG173" s="313">
        <f>CG168/CG15</f>
        <v>0</v>
      </c>
      <c r="CH173" s="313">
        <f>CH168/CH15</f>
        <v>0</v>
      </c>
      <c r="CI173" s="313">
        <f>CI168/CI15</f>
        <v>0</v>
      </c>
      <c r="CJ173" s="313">
        <f>CJ168/CJ15</f>
        <v>0</v>
      </c>
      <c r="CK173" s="313">
        <f>CK168/CK15</f>
        <v>0</v>
      </c>
      <c r="CL173" s="313">
        <f>CL168/CL15</f>
        <v>0</v>
      </c>
      <c r="CM173" s="313">
        <f>CM168/CM15</f>
        <v>0</v>
      </c>
      <c r="CN173" s="313">
        <f>CN168/CN15</f>
        <v>0</v>
      </c>
      <c r="CO173" s="313">
        <f>CO168/CO15</f>
        <v>0</v>
      </c>
      <c r="CP173" s="313">
        <f>CP168/CP15</f>
        <v>0</v>
      </c>
      <c r="CQ173" s="313">
        <f>CQ168/CQ15</f>
        <v>0</v>
      </c>
      <c r="CR173" s="313">
        <f>CR168/CR15</f>
        <v>0</v>
      </c>
      <c r="CS173" s="313">
        <f>CS168/CS15</f>
        <v>0</v>
      </c>
      <c r="CT173" s="313">
        <f>CT168/CT15</f>
        <v>0</v>
      </c>
      <c r="CU173" s="313">
        <f>CU168/CU15</f>
        <v>0</v>
      </c>
      <c r="CV173" s="313">
        <f>CV168/CV15</f>
        <v>0</v>
      </c>
      <c r="CW173" s="313">
        <f>CW168/CW15</f>
        <v>0</v>
      </c>
      <c r="CX173" s="313">
        <f>CX168/CX15</f>
        <v>0</v>
      </c>
      <c r="CY173" s="313">
        <f>CY168/CY15</f>
        <v>0</v>
      </c>
    </row>
    <row r="174" hidden="1" outlineLevel="1" ht="12.75" customHeight="1" s="255">
      <c r="C174" s="312" t="n"/>
      <c r="D174" s="268" t="n"/>
      <c r="E174" s="268" t="n"/>
      <c r="F174" s="268" t="n"/>
      <c r="G174" s="268" t="n"/>
      <c r="H174" s="268" t="n"/>
      <c r="I174" s="268" t="n"/>
      <c r="J174" s="268" t="n"/>
      <c r="K174" s="268" t="n"/>
      <c r="L174" s="268" t="n"/>
      <c r="M174" s="268" t="n"/>
      <c r="N174" s="268" t="n"/>
      <c r="O174" s="268" t="n"/>
      <c r="P174" s="268" t="n"/>
      <c r="Q174" s="268" t="n"/>
      <c r="R174" s="268" t="n"/>
      <c r="S174" s="268" t="n"/>
      <c r="T174" s="268" t="n"/>
      <c r="U174" s="268" t="n"/>
      <c r="V174" s="268" t="n"/>
      <c r="W174" s="268" t="n"/>
      <c r="X174" s="268" t="n"/>
      <c r="Y174" s="268" t="n"/>
      <c r="Z174" s="268" t="n"/>
      <c r="AA174" s="268" t="n"/>
      <c r="AB174" s="268" t="n"/>
      <c r="AC174" s="268" t="n"/>
      <c r="AD174" s="268" t="n"/>
      <c r="AE174" s="268" t="n"/>
      <c r="AF174" s="268" t="n"/>
      <c r="AG174" s="268" t="n"/>
      <c r="AH174" s="268" t="n"/>
      <c r="AI174" s="268" t="n"/>
      <c r="AJ174" s="268" t="n"/>
      <c r="AK174" s="268" t="n"/>
      <c r="AL174" s="268" t="n"/>
      <c r="AM174" s="268" t="n"/>
      <c r="AN174" s="268" t="n"/>
      <c r="AO174" s="268" t="n"/>
      <c r="AP174" s="268" t="n"/>
      <c r="AQ174" s="268" t="n"/>
      <c r="AR174" s="268" t="n"/>
      <c r="AS174" s="268" t="n"/>
      <c r="AT174" s="268" t="n"/>
      <c r="AU174" s="268" t="n"/>
      <c r="AV174" s="268" t="n"/>
      <c r="AW174" s="268" t="n"/>
      <c r="AX174" s="268" t="n"/>
      <c r="AY174" s="268" t="n"/>
      <c r="AZ174" s="268" t="n"/>
      <c r="BA174" s="268" t="n"/>
      <c r="BB174" s="268" t="n"/>
      <c r="BC174" s="268" t="n"/>
      <c r="BD174" s="268" t="n"/>
      <c r="BE174" s="268" t="n"/>
      <c r="BF174" s="268" t="n"/>
      <c r="BG174" s="268" t="n"/>
      <c r="BH174" s="268" t="n"/>
      <c r="BI174" s="268" t="n"/>
      <c r="BJ174" s="268" t="n"/>
      <c r="BK174" s="268" t="n"/>
      <c r="BL174" s="268" t="n"/>
      <c r="BM174" s="268" t="n"/>
      <c r="BN174" s="268" t="n"/>
      <c r="BO174" s="268" t="n"/>
      <c r="BP174" s="268" t="n"/>
      <c r="BQ174" s="268" t="n"/>
      <c r="BR174" s="268" t="n"/>
      <c r="BS174" s="268" t="n"/>
      <c r="BT174" s="268" t="n"/>
      <c r="BU174" s="268" t="n"/>
      <c r="BV174" s="268" t="n"/>
      <c r="BW174" s="268" t="n"/>
      <c r="BX174" s="268" t="n"/>
      <c r="BY174" s="268" t="n"/>
      <c r="BZ174" s="268" t="n"/>
      <c r="CA174" s="268" t="n"/>
      <c r="CB174" s="268" t="n"/>
      <c r="CC174" s="268" t="n"/>
      <c r="CD174" s="268" t="n"/>
      <c r="CE174" s="268" t="n"/>
      <c r="CF174" s="268" t="n"/>
      <c r="CG174" s="268" t="n"/>
      <c r="CH174" s="268" t="n"/>
      <c r="CI174" s="268" t="n"/>
      <c r="CJ174" s="268" t="n"/>
      <c r="CK174" s="268" t="n"/>
      <c r="CL174" s="268" t="n"/>
      <c r="CM174" s="268" t="n"/>
      <c r="CN174" s="268" t="n"/>
      <c r="CO174" s="268" t="n"/>
      <c r="CP174" s="268" t="n"/>
      <c r="CQ174" s="268" t="n"/>
      <c r="CR174" s="268" t="n"/>
      <c r="CS174" s="268" t="n"/>
      <c r="CT174" s="268" t="n"/>
      <c r="CU174" s="268" t="n"/>
      <c r="CV174" s="268" t="n"/>
      <c r="CW174" s="268" t="n"/>
      <c r="CX174" s="268" t="n"/>
      <c r="CY174" s="268" t="n"/>
    </row>
    <row r="175" hidden="1" outlineLevel="1" ht="12.75" customHeight="1" s="255">
      <c r="C175" s="312" t="n"/>
      <c r="D175" s="268" t="n"/>
      <c r="E175" s="268" t="n"/>
      <c r="F175" s="268" t="n"/>
      <c r="G175" s="268" t="n"/>
      <c r="H175" s="268" t="n"/>
      <c r="I175" s="268" t="n"/>
      <c r="J175" s="268" t="n"/>
      <c r="K175" s="268" t="n"/>
      <c r="L175" s="268" t="n"/>
      <c r="M175" s="268" t="n"/>
      <c r="N175" s="268" t="n"/>
      <c r="O175" s="268" t="n"/>
      <c r="P175" s="268" t="n"/>
      <c r="Q175" s="268" t="n"/>
      <c r="R175" s="268" t="n"/>
      <c r="S175" s="268" t="n"/>
      <c r="T175" s="268" t="n"/>
      <c r="U175" s="268" t="n"/>
      <c r="V175" s="268" t="n"/>
      <c r="W175" s="268" t="n"/>
      <c r="X175" s="268" t="n"/>
      <c r="Y175" s="268" t="n"/>
      <c r="Z175" s="268" t="n"/>
      <c r="AA175" s="268" t="n"/>
      <c r="AB175" s="268" t="n"/>
      <c r="AC175" s="268" t="n"/>
      <c r="AD175" s="268" t="n"/>
      <c r="AE175" s="268" t="n"/>
      <c r="AF175" s="268" t="n"/>
      <c r="AG175" s="268" t="n"/>
      <c r="AH175" s="268" t="n"/>
      <c r="AI175" s="268" t="n"/>
      <c r="AJ175" s="268" t="n"/>
      <c r="AK175" s="268" t="n"/>
      <c r="AL175" s="268" t="n"/>
      <c r="AM175" s="268" t="n"/>
      <c r="AN175" s="268" t="n"/>
      <c r="AO175" s="268" t="n"/>
      <c r="AP175" s="268" t="n"/>
      <c r="AQ175" s="268" t="n"/>
      <c r="AR175" s="268" t="n"/>
      <c r="AS175" s="268" t="n"/>
      <c r="AT175" s="268" t="n"/>
      <c r="AU175" s="268" t="n"/>
      <c r="AV175" s="268" t="n"/>
      <c r="AW175" s="268" t="n"/>
      <c r="AX175" s="268" t="n"/>
      <c r="AY175" s="268" t="n"/>
      <c r="AZ175" s="268" t="n"/>
      <c r="BA175" s="268" t="n"/>
      <c r="BB175" s="268" t="n"/>
      <c r="BC175" s="268" t="n"/>
      <c r="BD175" s="268" t="n"/>
      <c r="BE175" s="268" t="n"/>
      <c r="BF175" s="268" t="n"/>
      <c r="BG175" s="268" t="n"/>
      <c r="BH175" s="268" t="n"/>
      <c r="BI175" s="268" t="n"/>
      <c r="BJ175" s="268" t="n"/>
      <c r="BK175" s="268" t="n"/>
      <c r="BL175" s="268" t="n"/>
      <c r="BM175" s="268" t="n"/>
      <c r="BN175" s="268" t="n"/>
      <c r="BO175" s="268" t="n"/>
      <c r="BP175" s="268" t="n"/>
      <c r="BQ175" s="268" t="n"/>
      <c r="BR175" s="268" t="n"/>
      <c r="BS175" s="268" t="n"/>
      <c r="BT175" s="268" t="n"/>
      <c r="BU175" s="268" t="n"/>
      <c r="BV175" s="268" t="n"/>
      <c r="BW175" s="268" t="n"/>
      <c r="BX175" s="268" t="n"/>
      <c r="BY175" s="268" t="n"/>
      <c r="BZ175" s="268" t="n"/>
      <c r="CA175" s="268" t="n"/>
      <c r="CB175" s="268" t="n"/>
      <c r="CC175" s="268" t="n"/>
      <c r="CD175" s="268" t="n"/>
      <c r="CE175" s="268" t="n"/>
      <c r="CF175" s="268" t="n"/>
      <c r="CG175" s="268" t="n"/>
      <c r="CH175" s="268" t="n"/>
      <c r="CI175" s="268" t="n"/>
      <c r="CJ175" s="268" t="n"/>
      <c r="CK175" s="268" t="n"/>
      <c r="CL175" s="268" t="n"/>
      <c r="CM175" s="268" t="n"/>
      <c r="CN175" s="268" t="n"/>
      <c r="CO175" s="268" t="n"/>
      <c r="CP175" s="268" t="n"/>
      <c r="CQ175" s="268" t="n"/>
      <c r="CR175" s="268" t="n"/>
      <c r="CS175" s="268" t="n"/>
      <c r="CT175" s="268" t="n"/>
      <c r="CU175" s="268" t="n"/>
      <c r="CV175" s="268" t="n"/>
      <c r="CW175" s="268" t="n"/>
      <c r="CX175" s="268" t="n"/>
      <c r="CY175" s="268" t="n"/>
    </row>
    <row r="176" ht="12.75" customHeight="1" s="255">
      <c r="C176" s="270" t="inlineStr">
        <is>
          <t>Right-of-use-assets</t>
        </is>
      </c>
      <c r="D176" s="301">
        <f>INDEX('Inputs (2)'!$D$23:$AL$23,MATCH(D$7,'Inputs (2)'!$D$2:$AL$2,0))</f>
        <v>756</v>
      </c>
      <c r="E176" s="301">
        <f>INDEX('Inputs (2)'!$D$23:$AL$23,MATCH(E$7,'Inputs (2)'!$D$2:$AL$2,0))</f>
        <v>776</v>
      </c>
      <c r="F176" s="301">
        <f>INDEX('Inputs (2)'!$D$23:$AL$23,MATCH(F$7,'Inputs (2)'!$D$2:$AL$2,0))</f>
        <v>871</v>
      </c>
      <c r="G176" s="301">
        <f>INDEX('Inputs (2)'!$D$23:$AL$23,MATCH(G$7,'Inputs (2)'!$D$2:$AL$2,0))</f>
        <v>868</v>
      </c>
      <c r="H176" s="268">
        <f>G176</f>
        <v>868</v>
      </c>
      <c r="I176" s="301">
        <f>INDEX('Inputs (2)'!$D$23:$AL$23,MATCH(I$7,'Inputs (2)'!$D$2:$AL$2,0))</f>
        <v>852</v>
      </c>
      <c r="J176" s="301">
        <f>INDEX('Inputs (2)'!$D$23:$AL$23,MATCH(J$7,'Inputs (2)'!$D$2:$AL$2,0))</f>
        <v>858</v>
      </c>
      <c r="K176" s="301">
        <f>INDEX('Inputs (2)'!$D$23:$AL$23,MATCH(K$7,'Inputs (2)'!$D$2:$AL$2,0))</f>
        <v>910</v>
      </c>
      <c r="L176" s="301">
        <f>INDEX('Inputs (2)'!$D$23:$AL$23,MATCH(L$7,'Inputs (2)'!$D$2:$AL$2,0))</f>
        <v>912</v>
      </c>
      <c r="M176" s="268">
        <f>L176</f>
        <v>912</v>
      </c>
      <c r="N176" s="301">
        <f>INDEX('Inputs (2)'!$D$23:$AL$23,MATCH(N$7,'Inputs (2)'!$D$2:$AL$2,0))</f>
        <v>994</v>
      </c>
      <c r="O176" s="301">
        <f>INDEX('Inputs (2)'!$D$23:$AL$23,MATCH(O$7,'Inputs (2)'!$D$2:$AL$2,0))</f>
        <v>1038</v>
      </c>
      <c r="P176" s="301">
        <f>INDEX('Inputs (2)'!$D$23:$AL$23,MATCH(P$7,'Inputs (2)'!$D$2:$AL$2,0))</f>
        <v>1091</v>
      </c>
      <c r="Q176" s="301">
        <f>INDEX('Inputs (2)'!$D$23:$AL$23,MATCH(Q$7,'Inputs (2)'!$D$2:$AL$2,0))</f>
        <v>1024</v>
      </c>
      <c r="R176" s="268">
        <f>Q176</f>
        <v>1024</v>
      </c>
      <c r="S176" s="301">
        <f>INDEX('Inputs (2)'!$D$23:$AL$23,MATCH(S$7,'Inputs (2)'!$D$2:$AL$2,0))</f>
        <v>953</v>
      </c>
      <c r="T176" s="301">
        <f>INDEX('Inputs (2)'!$D$23:$AL$23,MATCH(T$7,'Inputs (2)'!$D$2:$AL$2,0))</f>
        <v>951</v>
      </c>
      <c r="U176" s="301">
        <f>INDEX('Inputs (2)'!$D$23:$AL$23,MATCH(U$7,'Inputs (2)'!$D$2:$AL$2,0))</f>
        <v>864</v>
      </c>
      <c r="V176" s="301">
        <f>INDEX('Inputs (2)'!$D$23:$AL$23,MATCH(V$7,'Inputs (2)'!$D$2:$AL$2,0))</f>
        <v>926</v>
      </c>
      <c r="W176" s="268">
        <f>V176</f>
        <v>926</v>
      </c>
      <c r="X176" s="301">
        <f>INDEX('Inputs (2)'!$D$23:$AL$23,MATCH(X$7,'Inputs (2)'!$D$2:$AL$2,0))</f>
        <v>922</v>
      </c>
      <c r="Y176" s="301">
        <f>INDEX('Inputs (2)'!$D$23:$AL$23,MATCH(Y$7,'Inputs (2)'!$D$2:$AL$2,0))</f>
        <v>927</v>
      </c>
      <c r="Z176" s="301">
        <f>INDEX('Inputs (2)'!$D$23:$AL$23,MATCH(Z$7,'Inputs (2)'!$D$2:$AL$2,0))</f>
        <v>937</v>
      </c>
      <c r="AA176" s="301">
        <f>INDEX('Inputs (2)'!$D$23:$AL$23,MATCH(AA$7,'Inputs (2)'!$D$2:$AL$2,0))</f>
        <v>932</v>
      </c>
      <c r="AB176" s="268">
        <f>AA176</f>
        <v>932</v>
      </c>
      <c r="AC176" s="301">
        <f>INDEX('Inputs (2)'!$D$23:$AL$23,MATCH(AC$7,'Inputs (2)'!$D$2:$AL$2,0))</f>
        <v>996</v>
      </c>
      <c r="AD176" s="301">
        <f>INDEX('Inputs (2)'!$D$23:$AL$23,MATCH(AD$7,'Inputs (2)'!$D$2:$AL$2,0))</f>
        <v>1002</v>
      </c>
      <c r="AE176" s="301">
        <f>INDEX('Inputs (2)'!$D$23:$AL$23,MATCH(AE$7,'Inputs (2)'!$D$2:$AL$2,0))</f>
        <v>1747</v>
      </c>
      <c r="AF176" s="301">
        <f>INDEX('Inputs (2)'!$D$23:$AL$23,MATCH(AF$7,'Inputs (2)'!$D$2:$AL$2,0))</f>
        <v>1686</v>
      </c>
      <c r="AG176" s="268">
        <f>AF176</f>
        <v>1686</v>
      </c>
      <c r="AH176" s="268">
        <f>INDEX('Inputs (2)'!$D$23:$AL$23,MATCH(AH$7,'Inputs (2)'!$D$2:$AL$2,0))</f>
        <v>1733</v>
      </c>
      <c r="AI176" s="268">
        <f>INDEX('Inputs (2)'!$D$23:$AL$23,MATCH(AI$7,'Inputs (2)'!$D$2:$AL$2,0))</f>
        <v>1707</v>
      </c>
      <c r="AJ176" s="268">
        <f>AI176</f>
        <v>1707</v>
      </c>
      <c r="AK176" s="268">
        <f>AJ176</f>
        <v>1707</v>
      </c>
      <c r="AL176" s="268">
        <f>AK176</f>
        <v>1707</v>
      </c>
      <c r="AM176" s="268">
        <f>AL176</f>
        <v>1707</v>
      </c>
      <c r="AN176" s="268">
        <f>AM176</f>
        <v>1707</v>
      </c>
      <c r="AO176" s="268">
        <f>AN176</f>
        <v>1707</v>
      </c>
      <c r="AP176" s="268">
        <f>AO176</f>
        <v>1707</v>
      </c>
      <c r="AQ176" s="268">
        <f>AP176</f>
        <v>1707</v>
      </c>
      <c r="AR176" s="268">
        <f>AQ176</f>
        <v>1707</v>
      </c>
      <c r="AS176" s="268">
        <f>AR176</f>
        <v>1707</v>
      </c>
      <c r="AT176" s="268">
        <f>AS176</f>
        <v>1707</v>
      </c>
      <c r="AU176" s="268">
        <f>AT176</f>
        <v>1707</v>
      </c>
      <c r="AV176" s="268">
        <f>AU176</f>
        <v>1707</v>
      </c>
      <c r="AW176" s="268">
        <f>AV176</f>
        <v>1707</v>
      </c>
      <c r="AX176" s="268">
        <f>AW176</f>
        <v>1707</v>
      </c>
      <c r="AY176" s="268">
        <f>AX176</f>
        <v>1707</v>
      </c>
      <c r="AZ176" s="268">
        <f>AY176</f>
        <v>1707</v>
      </c>
      <c r="BA176" s="268">
        <f>AZ176</f>
        <v>1707</v>
      </c>
      <c r="BB176" s="268">
        <f>BA176</f>
        <v>1707</v>
      </c>
      <c r="BC176" s="268">
        <f>BB176</f>
        <v>1707</v>
      </c>
      <c r="BD176" s="268">
        <f>BC176</f>
        <v>1707</v>
      </c>
      <c r="BE176" s="268">
        <f>BD176</f>
        <v>1707</v>
      </c>
      <c r="BF176" s="268">
        <f>BE176</f>
        <v>1707</v>
      </c>
      <c r="BG176" s="268">
        <f>BF176</f>
        <v>1707</v>
      </c>
      <c r="BH176" s="268">
        <f>BG176</f>
        <v>1707</v>
      </c>
      <c r="BI176" s="268">
        <f>BH176</f>
        <v>1707</v>
      </c>
      <c r="BJ176" s="268">
        <f>BI176</f>
        <v>1707</v>
      </c>
      <c r="BK176" s="268">
        <f>BJ176</f>
        <v>1707</v>
      </c>
      <c r="BL176" s="268">
        <f>BK176</f>
        <v>1707</v>
      </c>
      <c r="BM176" s="268">
        <f>BL176</f>
        <v>1707</v>
      </c>
      <c r="BN176" s="268">
        <f>BM176</f>
        <v>1707</v>
      </c>
      <c r="BO176" s="268">
        <f>BN176</f>
        <v>1707</v>
      </c>
      <c r="BP176" s="268">
        <f>BO176</f>
        <v>1707</v>
      </c>
      <c r="BQ176" s="268">
        <f>BP176</f>
        <v>1707</v>
      </c>
      <c r="BR176" s="268">
        <f>BQ176</f>
        <v>1707</v>
      </c>
      <c r="BS176" s="268">
        <f>BR176</f>
        <v>1707</v>
      </c>
      <c r="BT176" s="268">
        <f>BS176</f>
        <v>1707</v>
      </c>
      <c r="BU176" s="268">
        <f>BT176</f>
        <v>1707</v>
      </c>
      <c r="BV176" s="268">
        <f>BU176</f>
        <v>1707</v>
      </c>
      <c r="BW176" s="268">
        <f>BV176</f>
        <v>1707</v>
      </c>
      <c r="BX176" s="268">
        <f>BW176</f>
        <v>1707</v>
      </c>
      <c r="BY176" s="268">
        <f>BX176</f>
        <v>1707</v>
      </c>
      <c r="BZ176" s="268">
        <f>BY176</f>
        <v>1707</v>
      </c>
      <c r="CA176" s="268">
        <f>BZ176</f>
        <v>1707</v>
      </c>
      <c r="CB176" s="268">
        <f>CA176</f>
        <v>1707</v>
      </c>
      <c r="CC176" s="268">
        <f>CB176</f>
        <v>1707</v>
      </c>
      <c r="CD176" s="268">
        <f>CC176</f>
        <v>1707</v>
      </c>
      <c r="CE176" s="268">
        <f>CD176</f>
        <v>1707</v>
      </c>
      <c r="CF176" s="268">
        <f>CE176</f>
        <v>1707</v>
      </c>
      <c r="CG176" s="268">
        <f>CF176</f>
        <v>1707</v>
      </c>
      <c r="CH176" s="268">
        <f>CG176</f>
        <v>1707</v>
      </c>
      <c r="CI176" s="268">
        <f>CH176</f>
        <v>1707</v>
      </c>
      <c r="CJ176" s="268">
        <f>CI176</f>
        <v>1707</v>
      </c>
      <c r="CK176" s="268">
        <f>CJ176</f>
        <v>1707</v>
      </c>
      <c r="CL176" s="268">
        <f>CK176</f>
        <v>1707</v>
      </c>
      <c r="CM176" s="268">
        <f>CL176</f>
        <v>1707</v>
      </c>
      <c r="CN176" s="268">
        <f>CM176</f>
        <v>1707</v>
      </c>
      <c r="CO176" s="268">
        <f>CN176</f>
        <v>1707</v>
      </c>
      <c r="CP176" s="268">
        <f>CO176</f>
        <v>1707</v>
      </c>
      <c r="CQ176" s="268">
        <f>CP176</f>
        <v>1707</v>
      </c>
      <c r="CR176" s="268">
        <f>CQ176</f>
        <v>1707</v>
      </c>
      <c r="CS176" s="268">
        <f>CR176</f>
        <v>1707</v>
      </c>
      <c r="CT176" s="268">
        <f>CS176</f>
        <v>1707</v>
      </c>
      <c r="CU176" s="268">
        <f>CT176</f>
        <v>1707</v>
      </c>
      <c r="CV176" s="268">
        <f>CU176</f>
        <v>1707</v>
      </c>
      <c r="CW176" s="268">
        <f>CV176</f>
        <v>1707</v>
      </c>
      <c r="CX176" s="268">
        <f>CW176</f>
        <v>1707</v>
      </c>
      <c r="CY176" s="268">
        <f>CX176</f>
        <v>1707</v>
      </c>
    </row>
    <row r="177" hidden="1" outlineLevel="1" ht="12.75" customHeight="1" s="255">
      <c r="C177" s="314" t="inlineStr">
        <is>
          <t>%(Var.)</t>
        </is>
      </c>
      <c r="D177" s="268" t="n"/>
      <c r="E177" s="296">
        <f>IFERROR((E176-D176)/D176,0)</f>
        <v>0.0264550264550265</v>
      </c>
      <c r="F177" s="296">
        <f>IFERROR((F176-E176)/E176,0)</f>
        <v>0.122422680412371</v>
      </c>
      <c r="G177" s="296">
        <f>IFERROR((G176-F176)/F176,0)</f>
        <v>-0.0034443168771527</v>
      </c>
      <c r="H177" s="268" t="n"/>
      <c r="I177" s="296">
        <f>IFERROR((I176-H176)/H176,0)</f>
        <v>-0.0184331797235023</v>
      </c>
      <c r="J177" s="296">
        <f>IFERROR((J176-I176)/I176,0)</f>
        <v>0.00704225352112676</v>
      </c>
      <c r="K177" s="296">
        <f>IFERROR((K176-J176)/J176,0)</f>
        <v>0.0606060606060606</v>
      </c>
      <c r="L177" s="296">
        <f>IFERROR((L176-K176)/K176,0)</f>
        <v>0.0021978021978022</v>
      </c>
      <c r="M177" s="268" t="n"/>
      <c r="N177" s="296">
        <f>IFERROR((N176-M176)/M176,0)</f>
        <v>0.0899122807017544</v>
      </c>
      <c r="O177" s="296">
        <f>IFERROR((O176-N176)/N176,0)</f>
        <v>0.0442655935613682</v>
      </c>
      <c r="P177" s="296">
        <f>IFERROR((P176-O176)/O176,0)</f>
        <v>0.0510597302504817</v>
      </c>
      <c r="Q177" s="296">
        <f>IFERROR((Q176-P176)/P176,0)</f>
        <v>-0.0614115490375802</v>
      </c>
      <c r="R177" s="268" t="n"/>
      <c r="S177" s="296">
        <f>IFERROR((S176-R176)/R176,0)</f>
        <v>-0.0693359375</v>
      </c>
      <c r="T177" s="296">
        <f>IFERROR((T176-S176)/S176,0)</f>
        <v>-0.00209863588667366</v>
      </c>
      <c r="U177" s="296">
        <f>IFERROR((U176-T176)/T176,0)</f>
        <v>-0.0914826498422713</v>
      </c>
      <c r="V177" s="296">
        <f>IFERROR((V176-U176)/U176,0)</f>
        <v>0.0717592592592593</v>
      </c>
      <c r="W177" s="268" t="n"/>
      <c r="X177" s="296">
        <f>IFERROR((X176-W176)/W176,0)</f>
        <v>-0.00431965442764579</v>
      </c>
      <c r="Y177" s="296">
        <f>IFERROR((Y176-X176)/X176,0)</f>
        <v>0.00542299349240781</v>
      </c>
      <c r="Z177" s="296">
        <f>IFERROR((Z176-Y176)/Y176,0)</f>
        <v>0.0107874865156419</v>
      </c>
      <c r="AA177" s="296">
        <f>IFERROR((AA176-Z176)/Z176,0)</f>
        <v>-0.00533617929562433</v>
      </c>
      <c r="AB177" s="268" t="n"/>
      <c r="AC177" s="296">
        <f>IFERROR((AC176-AB176)/AB176,0)</f>
        <v>0.0686695278969957</v>
      </c>
      <c r="AD177" s="296">
        <f>IFERROR((AD176-AC176)/AC176,0)</f>
        <v>0.00602409638554217</v>
      </c>
      <c r="AE177" s="296">
        <f>IFERROR((AE176-AD176)/AD176,0)</f>
        <v>0.743512974051896</v>
      </c>
      <c r="AF177" s="311">
        <f>IFERROR((AF176-AE176)/AE176,0)</f>
        <v>-0.0349170005724098</v>
      </c>
      <c r="AG177" s="268" t="n"/>
      <c r="AH177" s="311">
        <f>IFERROR((AH176-AG176)/AG176,0)</f>
        <v>0.0278766310794781</v>
      </c>
      <c r="AI177" s="311">
        <f>IFERROR((AI176-AH176)/AH176,0)</f>
        <v>-0.015002885170225</v>
      </c>
      <c r="AJ177" s="311" t="n"/>
      <c r="AK177" s="311" t="n"/>
      <c r="AL177" s="268" t="n"/>
      <c r="AM177" s="311" t="n"/>
      <c r="AN177" s="311" t="n"/>
      <c r="AO177" s="311" t="n"/>
      <c r="AP177" s="311" t="n"/>
      <c r="AQ177" s="268" t="n"/>
      <c r="AR177" s="311" t="n"/>
      <c r="AS177" s="311" t="n"/>
      <c r="AT177" s="311" t="n"/>
      <c r="AU177" s="311" t="n"/>
      <c r="AV177" s="268" t="n"/>
      <c r="AW177" s="311" t="n"/>
      <c r="AX177" s="311" t="n"/>
      <c r="AY177" s="311" t="n"/>
      <c r="AZ177" s="311" t="n"/>
      <c r="BA177" s="268" t="n"/>
      <c r="BB177" s="311" t="n"/>
      <c r="BC177" s="311" t="n"/>
      <c r="BD177" s="311" t="n"/>
      <c r="BE177" s="311" t="n"/>
      <c r="BF177" s="268" t="n"/>
      <c r="BG177" s="311" t="n"/>
      <c r="BH177" s="311" t="n"/>
      <c r="BI177" s="311" t="n"/>
      <c r="BJ177" s="311" t="n"/>
      <c r="BK177" s="268" t="n"/>
      <c r="BL177" s="311" t="n"/>
      <c r="BM177" s="311" t="n"/>
      <c r="BN177" s="311" t="n"/>
      <c r="BO177" s="311" t="n"/>
      <c r="BP177" s="268" t="n"/>
      <c r="BQ177" s="311" t="n"/>
      <c r="BR177" s="311" t="n"/>
      <c r="BS177" s="311" t="n"/>
      <c r="BT177" s="311" t="n"/>
      <c r="BU177" s="268" t="n"/>
      <c r="BV177" s="311" t="n"/>
      <c r="BW177" s="311" t="n"/>
      <c r="BX177" s="311" t="n"/>
      <c r="BY177" s="311" t="n"/>
      <c r="BZ177" s="268" t="n"/>
      <c r="CA177" s="311" t="n"/>
      <c r="CB177" s="311" t="n"/>
      <c r="CC177" s="311" t="n"/>
      <c r="CD177" s="311" t="n"/>
      <c r="CE177" s="268" t="n"/>
      <c r="CF177" s="311" t="n"/>
      <c r="CG177" s="311" t="n"/>
      <c r="CH177" s="311" t="n"/>
      <c r="CI177" s="311" t="n"/>
      <c r="CJ177" s="268" t="n"/>
      <c r="CK177" s="311" t="n"/>
      <c r="CL177" s="311" t="n"/>
      <c r="CM177" s="311" t="n"/>
      <c r="CN177" s="311" t="n"/>
      <c r="CO177" s="268" t="n"/>
      <c r="CP177" s="311" t="n"/>
      <c r="CQ177" s="311" t="n"/>
      <c r="CR177" s="311" t="n"/>
      <c r="CS177" s="311" t="n"/>
      <c r="CT177" s="268" t="n"/>
      <c r="CU177" s="311" t="n"/>
      <c r="CV177" s="311" t="n"/>
      <c r="CW177" s="311" t="n"/>
      <c r="CX177" s="311" t="n"/>
      <c r="CY177" s="268" t="n"/>
    </row>
    <row r="178" hidden="1" outlineLevel="1" ht="12.75" customHeight="1" s="255">
      <c r="C178" s="312" t="n"/>
      <c r="D178" s="268" t="n"/>
      <c r="E178" s="268" t="n"/>
      <c r="F178" s="268" t="n"/>
      <c r="G178" s="268" t="n"/>
      <c r="H178" s="268" t="n"/>
      <c r="I178" s="268" t="n"/>
      <c r="J178" s="268" t="n"/>
      <c r="K178" s="268" t="n"/>
      <c r="L178" s="268" t="n"/>
      <c r="M178" s="268" t="n"/>
      <c r="N178" s="268" t="n"/>
      <c r="O178" s="268" t="n"/>
      <c r="P178" s="268" t="n"/>
      <c r="Q178" s="268" t="n"/>
      <c r="R178" s="268" t="n"/>
      <c r="S178" s="268" t="n"/>
      <c r="T178" s="268" t="n"/>
      <c r="U178" s="268" t="n"/>
      <c r="V178" s="268" t="n"/>
      <c r="W178" s="268" t="n"/>
      <c r="X178" s="268" t="n"/>
      <c r="Y178" s="268" t="n"/>
      <c r="Z178" s="268" t="n"/>
      <c r="AA178" s="268" t="n"/>
      <c r="AB178" s="268" t="n"/>
      <c r="AC178" s="268" t="n"/>
      <c r="AD178" s="268" t="n"/>
      <c r="AE178" s="268" t="n"/>
      <c r="AF178" s="268" t="n"/>
      <c r="AG178" s="268" t="n"/>
      <c r="AH178" s="268" t="n"/>
      <c r="AI178" s="268" t="n"/>
      <c r="AJ178" s="268" t="n"/>
      <c r="AK178" s="268" t="n"/>
      <c r="AL178" s="268" t="n"/>
      <c r="AM178" s="268" t="n"/>
      <c r="AN178" s="268" t="n"/>
      <c r="AO178" s="268" t="n"/>
      <c r="AP178" s="268" t="n"/>
      <c r="AQ178" s="268" t="n"/>
      <c r="AR178" s="268" t="n"/>
      <c r="AS178" s="268" t="n"/>
      <c r="AT178" s="268" t="n"/>
      <c r="AU178" s="268" t="n"/>
      <c r="AV178" s="268" t="n"/>
      <c r="AW178" s="268" t="n"/>
      <c r="AX178" s="268" t="n"/>
      <c r="AY178" s="268" t="n"/>
      <c r="AZ178" s="268" t="n"/>
      <c r="BA178" s="268" t="n"/>
      <c r="BB178" s="268" t="n"/>
      <c r="BC178" s="268" t="n"/>
      <c r="BD178" s="268" t="n"/>
      <c r="BE178" s="268" t="n"/>
      <c r="BF178" s="268" t="n"/>
      <c r="BG178" s="268" t="n"/>
      <c r="BH178" s="268" t="n"/>
      <c r="BI178" s="268" t="n"/>
      <c r="BJ178" s="268" t="n"/>
      <c r="BK178" s="268" t="n"/>
      <c r="BL178" s="268" t="n"/>
      <c r="BM178" s="268" t="n"/>
      <c r="BN178" s="268" t="n"/>
      <c r="BO178" s="268" t="n"/>
      <c r="BP178" s="268" t="n"/>
      <c r="BQ178" s="268" t="n"/>
      <c r="BR178" s="268" t="n"/>
      <c r="BS178" s="268" t="n"/>
      <c r="BT178" s="268" t="n"/>
      <c r="BU178" s="268" t="n"/>
      <c r="BV178" s="268" t="n"/>
      <c r="BW178" s="268" t="n"/>
      <c r="BX178" s="268" t="n"/>
      <c r="BY178" s="268" t="n"/>
      <c r="BZ178" s="268" t="n"/>
      <c r="CA178" s="268" t="n"/>
      <c r="CB178" s="268" t="n"/>
      <c r="CC178" s="268" t="n"/>
      <c r="CD178" s="268" t="n"/>
      <c r="CE178" s="268" t="n"/>
      <c r="CF178" s="268" t="n"/>
      <c r="CG178" s="268" t="n"/>
      <c r="CH178" s="268" t="n"/>
      <c r="CI178" s="268" t="n"/>
      <c r="CJ178" s="268" t="n"/>
      <c r="CK178" s="268" t="n"/>
      <c r="CL178" s="268" t="n"/>
      <c r="CM178" s="268" t="n"/>
      <c r="CN178" s="268" t="n"/>
      <c r="CO178" s="268" t="n"/>
      <c r="CP178" s="268" t="n"/>
      <c r="CQ178" s="268" t="n"/>
      <c r="CR178" s="268" t="n"/>
      <c r="CS178" s="268" t="n"/>
      <c r="CT178" s="268" t="n"/>
      <c r="CU178" s="268" t="n"/>
      <c r="CV178" s="268" t="n"/>
      <c r="CW178" s="268" t="n"/>
      <c r="CX178" s="268" t="n"/>
      <c r="CY178" s="268" t="n"/>
    </row>
    <row r="179" ht="12.75" customHeight="1" s="255">
      <c r="C179" s="270" t="inlineStr">
        <is>
          <t>Goodwill</t>
        </is>
      </c>
      <c r="D179" s="301">
        <f>INDEX('Inputs (2)'!$D$24:$AL$24,MATCH(D$7,'Inputs (2)'!$D$2:$AL$2,0))</f>
        <v>553</v>
      </c>
      <c r="E179" s="301">
        <f>INDEX('Inputs (2)'!$D$24:$AL$24,MATCH(E$7,'Inputs (2)'!$D$2:$AL$2,0))</f>
        <v>550</v>
      </c>
      <c r="F179" s="301">
        <f>INDEX('Inputs (2)'!$D$24:$AL$24,MATCH(F$7,'Inputs (2)'!$D$2:$AL$2,0))</f>
        <v>559</v>
      </c>
      <c r="G179" s="301">
        <f>INDEX('Inputs (2)'!$D$24:$AL$24,MATCH(G$7,'Inputs (2)'!$D$2:$AL$2,0))</f>
        <v>586</v>
      </c>
      <c r="H179" s="268">
        <f>G179</f>
        <v>586</v>
      </c>
      <c r="I179" s="301">
        <f>INDEX('Inputs (2)'!$D$24:$AL$24,MATCH(I$7,'Inputs (2)'!$D$2:$AL$2,0))</f>
        <v>556</v>
      </c>
      <c r="J179" s="301">
        <f>INDEX('Inputs (2)'!$D$24:$AL$24,MATCH(J$7,'Inputs (2)'!$D$2:$AL$2,0))</f>
        <v>579</v>
      </c>
      <c r="K179" s="301">
        <f>INDEX('Inputs (2)'!$D$24:$AL$24,MATCH(K$7,'Inputs (2)'!$D$2:$AL$2,0))</f>
        <v>562</v>
      </c>
      <c r="L179" s="301">
        <f>INDEX('Inputs (2)'!$D$24:$AL$24,MATCH(L$7,'Inputs (2)'!$D$2:$AL$2,0))</f>
        <v>484</v>
      </c>
      <c r="M179" s="268">
        <f>L179</f>
        <v>484</v>
      </c>
      <c r="N179" s="301">
        <f>INDEX('Inputs (2)'!$D$24:$AL$24,MATCH(N$7,'Inputs (2)'!$D$2:$AL$2,0))</f>
        <v>497</v>
      </c>
      <c r="O179" s="301">
        <f>INDEX('Inputs (2)'!$D$24:$AL$24,MATCH(O$7,'Inputs (2)'!$D$2:$AL$2,0))</f>
        <v>468</v>
      </c>
      <c r="P179" s="301">
        <f>INDEX('Inputs (2)'!$D$24:$AL$24,MATCH(P$7,'Inputs (2)'!$D$2:$AL$2,0))</f>
        <v>445</v>
      </c>
      <c r="Q179" s="301">
        <f>INDEX('Inputs (2)'!$D$24:$AL$24,MATCH(Q$7,'Inputs (2)'!$D$2:$AL$2,0))</f>
        <v>470</v>
      </c>
      <c r="R179" s="268">
        <f>Q179</f>
        <v>470</v>
      </c>
      <c r="S179" s="301">
        <f>INDEX('Inputs (2)'!$D$24:$AL$24,MATCH(S$7,'Inputs (2)'!$D$2:$AL$2,0))</f>
        <v>478</v>
      </c>
      <c r="T179" s="301">
        <f>INDEX('Inputs (2)'!$D$24:$AL$24,MATCH(T$7,'Inputs (2)'!$D$2:$AL$2,0))</f>
        <v>484</v>
      </c>
      <c r="U179" s="301">
        <f>INDEX('Inputs (2)'!$D$24:$AL$24,MATCH(U$7,'Inputs (2)'!$D$2:$AL$2,0))</f>
        <v>472</v>
      </c>
      <c r="V179" s="301">
        <f>INDEX('Inputs (2)'!$D$24:$AL$24,MATCH(V$7,'Inputs (2)'!$D$2:$AL$2,0))</f>
        <v>489</v>
      </c>
      <c r="W179" s="268">
        <f>V179</f>
        <v>489</v>
      </c>
      <c r="X179" s="301">
        <f>INDEX('Inputs (2)'!$D$24:$AL$24,MATCH(X$7,'Inputs (2)'!$D$2:$AL$2,0))</f>
        <v>480</v>
      </c>
      <c r="Y179" s="301">
        <f>INDEX('Inputs (2)'!$D$24:$AL$24,MATCH(Y$7,'Inputs (2)'!$D$2:$AL$2,0))</f>
        <v>466</v>
      </c>
      <c r="Z179" s="301">
        <f>INDEX('Inputs (2)'!$D$24:$AL$24,MATCH(Z$7,'Inputs (2)'!$D$2:$AL$2,0))</f>
        <v>482</v>
      </c>
      <c r="AA179" s="301">
        <f>INDEX('Inputs (2)'!$D$24:$AL$24,MATCH(AA$7,'Inputs (2)'!$D$2:$AL$2,0))</f>
        <v>453</v>
      </c>
      <c r="AB179" s="268">
        <f>AA179</f>
        <v>453</v>
      </c>
      <c r="AC179" s="301">
        <f>INDEX('Inputs (2)'!$D$24:$AL$24,MATCH(AC$7,'Inputs (2)'!$D$2:$AL$2,0))</f>
        <v>463</v>
      </c>
      <c r="AD179" s="301">
        <f>INDEX('Inputs (2)'!$D$24:$AL$24,MATCH(AD$7,'Inputs (2)'!$D$2:$AL$2,0))</f>
        <v>460</v>
      </c>
      <c r="AE179" s="301">
        <f>INDEX('Inputs (2)'!$D$24:$AL$24,MATCH(AE$7,'Inputs (2)'!$D$2:$AL$2,0))</f>
        <v>2769</v>
      </c>
      <c r="AF179" s="301">
        <f>INDEX('Inputs (2)'!$D$24:$AL$24,MATCH(AF$7,'Inputs (2)'!$D$2:$AL$2,0))</f>
        <v>3141</v>
      </c>
      <c r="AG179" s="268">
        <f>AF179</f>
        <v>3141</v>
      </c>
      <c r="AH179" s="268">
        <f>INDEX('Inputs (2)'!$D$24:$AL$24,MATCH(AH$7,'Inputs (2)'!$D$2:$AL$2,0))</f>
        <v>3291</v>
      </c>
      <c r="AI179" s="268">
        <f>INDEX('Inputs (2)'!$D$24:$AL$24,MATCH(AI$7,'Inputs (2)'!$D$2:$AL$2,0))</f>
        <v>3354</v>
      </c>
      <c r="AJ179" s="268">
        <f>AI179</f>
        <v>3354</v>
      </c>
      <c r="AK179" s="268">
        <f>AJ179</f>
        <v>3354</v>
      </c>
      <c r="AL179" s="268">
        <f>AK179</f>
        <v>3354</v>
      </c>
      <c r="AM179" s="268">
        <f>AL179</f>
        <v>3354</v>
      </c>
      <c r="AN179" s="268">
        <f>AM179</f>
        <v>3354</v>
      </c>
      <c r="AO179" s="268">
        <f>AN179</f>
        <v>3354</v>
      </c>
      <c r="AP179" s="268">
        <f>AO179</f>
        <v>3354</v>
      </c>
      <c r="AQ179" s="268">
        <f>AP179</f>
        <v>3354</v>
      </c>
      <c r="AR179" s="268">
        <f>AQ179</f>
        <v>3354</v>
      </c>
      <c r="AS179" s="268">
        <f>AR179</f>
        <v>3354</v>
      </c>
      <c r="AT179" s="268">
        <f>AS179</f>
        <v>3354</v>
      </c>
      <c r="AU179" s="268">
        <f>AT179</f>
        <v>3354</v>
      </c>
      <c r="AV179" s="268">
        <f>AU179</f>
        <v>3354</v>
      </c>
      <c r="AW179" s="268">
        <f>AV179</f>
        <v>3354</v>
      </c>
      <c r="AX179" s="268">
        <f>AW179</f>
        <v>3354</v>
      </c>
      <c r="AY179" s="268">
        <f>AX179</f>
        <v>3354</v>
      </c>
      <c r="AZ179" s="268">
        <f>AY179</f>
        <v>3354</v>
      </c>
      <c r="BA179" s="268">
        <f>AZ179</f>
        <v>3354</v>
      </c>
      <c r="BB179" s="268">
        <f>BA179</f>
        <v>3354</v>
      </c>
      <c r="BC179" s="268">
        <f>BB179</f>
        <v>3354</v>
      </c>
      <c r="BD179" s="268">
        <f>BC179</f>
        <v>3354</v>
      </c>
      <c r="BE179" s="268">
        <f>BD179</f>
        <v>3354</v>
      </c>
      <c r="BF179" s="268">
        <f>BE179</f>
        <v>3354</v>
      </c>
      <c r="BG179" s="268">
        <f>BF179</f>
        <v>3354</v>
      </c>
      <c r="BH179" s="268">
        <f>BG179</f>
        <v>3354</v>
      </c>
      <c r="BI179" s="268">
        <f>BH179</f>
        <v>3354</v>
      </c>
      <c r="BJ179" s="268">
        <f>BI179</f>
        <v>3354</v>
      </c>
      <c r="BK179" s="268">
        <f>BJ179</f>
        <v>3354</v>
      </c>
      <c r="BL179" s="268">
        <f>BK179</f>
        <v>3354</v>
      </c>
      <c r="BM179" s="268">
        <f>BL179</f>
        <v>3354</v>
      </c>
      <c r="BN179" s="268">
        <f>BM179</f>
        <v>3354</v>
      </c>
      <c r="BO179" s="268">
        <f>BN179</f>
        <v>3354</v>
      </c>
      <c r="BP179" s="268">
        <f>BO179</f>
        <v>3354</v>
      </c>
      <c r="BQ179" s="268">
        <f>BP179</f>
        <v>3354</v>
      </c>
      <c r="BR179" s="268">
        <f>BQ179</f>
        <v>3354</v>
      </c>
      <c r="BS179" s="268">
        <f>BR179</f>
        <v>3354</v>
      </c>
      <c r="BT179" s="268">
        <f>BS179</f>
        <v>3354</v>
      </c>
      <c r="BU179" s="268">
        <f>BT179</f>
        <v>3354</v>
      </c>
      <c r="BV179" s="268">
        <f>BU179</f>
        <v>3354</v>
      </c>
      <c r="BW179" s="268">
        <f>BV179</f>
        <v>3354</v>
      </c>
      <c r="BX179" s="268">
        <f>BW179</f>
        <v>3354</v>
      </c>
      <c r="BY179" s="268">
        <f>BX179</f>
        <v>3354</v>
      </c>
      <c r="BZ179" s="268">
        <f>BY179</f>
        <v>3354</v>
      </c>
      <c r="CA179" s="268">
        <f>BZ179</f>
        <v>3354</v>
      </c>
      <c r="CB179" s="268">
        <f>CA179</f>
        <v>3354</v>
      </c>
      <c r="CC179" s="268">
        <f>CB179</f>
        <v>3354</v>
      </c>
      <c r="CD179" s="268">
        <f>CC179</f>
        <v>3354</v>
      </c>
      <c r="CE179" s="268">
        <f>CD179</f>
        <v>3354</v>
      </c>
      <c r="CF179" s="268">
        <f>CE179</f>
        <v>3354</v>
      </c>
      <c r="CG179" s="268">
        <f>CF179</f>
        <v>3354</v>
      </c>
      <c r="CH179" s="268">
        <f>CG179</f>
        <v>3354</v>
      </c>
      <c r="CI179" s="268">
        <f>CH179</f>
        <v>3354</v>
      </c>
      <c r="CJ179" s="268">
        <f>CI179</f>
        <v>3354</v>
      </c>
      <c r="CK179" s="268">
        <f>CJ179</f>
        <v>3354</v>
      </c>
      <c r="CL179" s="268">
        <f>CK179</f>
        <v>3354</v>
      </c>
      <c r="CM179" s="268">
        <f>CL179</f>
        <v>3354</v>
      </c>
      <c r="CN179" s="268">
        <f>CM179</f>
        <v>3354</v>
      </c>
      <c r="CO179" s="268">
        <f>CN179</f>
        <v>3354</v>
      </c>
      <c r="CP179" s="268">
        <f>CO179</f>
        <v>3354</v>
      </c>
      <c r="CQ179" s="268">
        <f>CP179</f>
        <v>3354</v>
      </c>
      <c r="CR179" s="268">
        <f>CQ179</f>
        <v>3354</v>
      </c>
      <c r="CS179" s="268">
        <f>CR179</f>
        <v>3354</v>
      </c>
      <c r="CT179" s="268">
        <f>CS179</f>
        <v>3354</v>
      </c>
      <c r="CU179" s="268">
        <f>CT179</f>
        <v>3354</v>
      </c>
      <c r="CV179" s="268">
        <f>CU179</f>
        <v>3354</v>
      </c>
      <c r="CW179" s="268">
        <f>CV179</f>
        <v>3354</v>
      </c>
      <c r="CX179" s="268">
        <f>CW179</f>
        <v>3354</v>
      </c>
      <c r="CY179" s="268">
        <f>CX179</f>
        <v>3354</v>
      </c>
    </row>
    <row r="180" ht="12.75" customHeight="1" s="255">
      <c r="C180" s="270" t="inlineStr">
        <is>
          <t>Intangibles</t>
        </is>
      </c>
      <c r="D180" s="301">
        <f>INDEX('Inputs (2)'!$D$25:$AL$25,MATCH(D$7,'Inputs (2)'!$D$2:$AL$2,0))</f>
        <v>533</v>
      </c>
      <c r="E180" s="301">
        <f>INDEX('Inputs (2)'!$D$25:$AL$25,MATCH(E$7,'Inputs (2)'!$D$2:$AL$2,0))</f>
        <v>524</v>
      </c>
      <c r="F180" s="301">
        <f>INDEX('Inputs (2)'!$D$25:$AL$25,MATCH(F$7,'Inputs (2)'!$D$2:$AL$2,0))</f>
        <v>524</v>
      </c>
      <c r="G180" s="301">
        <f>INDEX('Inputs (2)'!$D$25:$AL$25,MATCH(G$7,'Inputs (2)'!$D$2:$AL$2,0))</f>
        <v>529</v>
      </c>
      <c r="H180" s="268">
        <f>G180</f>
        <v>529</v>
      </c>
      <c r="I180" s="301">
        <f>INDEX('Inputs (2)'!$D$25:$AL$25,MATCH(I$7,'Inputs (2)'!$D$2:$AL$2,0))</f>
        <v>496</v>
      </c>
      <c r="J180" s="301">
        <f>INDEX('Inputs (2)'!$D$25:$AL$25,MATCH(J$7,'Inputs (2)'!$D$2:$AL$2,0))</f>
        <v>502</v>
      </c>
      <c r="K180" s="301">
        <f>INDEX('Inputs (2)'!$D$25:$AL$25,MATCH(K$7,'Inputs (2)'!$D$2:$AL$2,0))</f>
        <v>482</v>
      </c>
      <c r="L180" s="301">
        <f>INDEX('Inputs (2)'!$D$25:$AL$25,MATCH(L$7,'Inputs (2)'!$D$2:$AL$2,0))</f>
        <v>431</v>
      </c>
      <c r="M180" s="268">
        <f>L180</f>
        <v>431</v>
      </c>
      <c r="N180" s="301">
        <f>INDEX('Inputs (2)'!$D$25:$AL$25,MATCH(N$7,'Inputs (2)'!$D$2:$AL$2,0))</f>
        <v>416</v>
      </c>
      <c r="O180" s="301">
        <f>INDEX('Inputs (2)'!$D$25:$AL$25,MATCH(O$7,'Inputs (2)'!$D$2:$AL$2,0))</f>
        <v>383</v>
      </c>
      <c r="P180" s="301">
        <f>INDEX('Inputs (2)'!$D$25:$AL$25,MATCH(P$7,'Inputs (2)'!$D$2:$AL$2,0))</f>
        <v>350</v>
      </c>
      <c r="Q180" s="301">
        <f>INDEX('Inputs (2)'!$D$25:$AL$25,MATCH(Q$7,'Inputs (2)'!$D$2:$AL$2,0))</f>
        <v>360</v>
      </c>
      <c r="R180" s="268">
        <f>Q180</f>
        <v>360</v>
      </c>
      <c r="S180" s="301">
        <f>INDEX('Inputs (2)'!$D$25:$AL$25,MATCH(S$7,'Inputs (2)'!$D$2:$AL$2,0))</f>
        <v>356</v>
      </c>
      <c r="T180" s="301">
        <f>INDEX('Inputs (2)'!$D$25:$AL$25,MATCH(T$7,'Inputs (2)'!$D$2:$AL$2,0))</f>
        <v>346</v>
      </c>
      <c r="U180" s="301">
        <f>INDEX('Inputs (2)'!$D$25:$AL$25,MATCH(U$7,'Inputs (2)'!$D$2:$AL$2,0))</f>
        <v>417</v>
      </c>
      <c r="V180" s="301">
        <f>INDEX('Inputs (2)'!$D$25:$AL$25,MATCH(V$7,'Inputs (2)'!$D$2:$AL$2,0))</f>
        <v>398</v>
      </c>
      <c r="W180" s="268">
        <f>V180</f>
        <v>398</v>
      </c>
      <c r="X180" s="301">
        <f>INDEX('Inputs (2)'!$D$25:$AL$25,MATCH(X$7,'Inputs (2)'!$D$2:$AL$2,0))</f>
        <v>380</v>
      </c>
      <c r="Y180" s="301">
        <f>INDEX('Inputs (2)'!$D$25:$AL$25,MATCH(Y$7,'Inputs (2)'!$D$2:$AL$2,0))</f>
        <v>355</v>
      </c>
      <c r="Z180" s="301">
        <f>INDEX('Inputs (2)'!$D$25:$AL$25,MATCH(Z$7,'Inputs (2)'!$D$2:$AL$2,0))</f>
        <v>358</v>
      </c>
      <c r="AA180" s="301">
        <f>INDEX('Inputs (2)'!$D$25:$AL$25,MATCH(AA$7,'Inputs (2)'!$D$2:$AL$2,0))</f>
        <v>321</v>
      </c>
      <c r="AB180" s="268">
        <f>AA180</f>
        <v>321</v>
      </c>
      <c r="AC180" s="301">
        <f>INDEX('Inputs (2)'!$D$25:$AL$25,MATCH(AC$7,'Inputs (2)'!$D$2:$AL$2,0))</f>
        <v>319</v>
      </c>
      <c r="AD180" s="301">
        <f>INDEX('Inputs (2)'!$D$25:$AL$25,MATCH(AD$7,'Inputs (2)'!$D$2:$AL$2,0))</f>
        <v>316</v>
      </c>
      <c r="AE180" s="301">
        <f>INDEX('Inputs (2)'!$D$25:$AL$25,MATCH(AE$7,'Inputs (2)'!$D$2:$AL$2,0))</f>
        <v>328</v>
      </c>
      <c r="AF180" s="301">
        <f>INDEX('Inputs (2)'!$D$25:$AL$25,MATCH(AF$7,'Inputs (2)'!$D$2:$AL$2,0))</f>
        <v>309</v>
      </c>
      <c r="AG180" s="268">
        <f>AF180</f>
        <v>309</v>
      </c>
      <c r="AH180" s="268">
        <f>INDEX('Inputs (2)'!$D$25:$AL$25,MATCH(AH$7,'Inputs (2)'!$D$2:$AL$2,0))</f>
        <v>304</v>
      </c>
      <c r="AI180" s="268">
        <f>INDEX('Inputs (2)'!$D$25:$AL$25,MATCH(AI$7,'Inputs (2)'!$D$2:$AL$2,0))</f>
        <v>288</v>
      </c>
      <c r="AJ180" s="268" t="n"/>
      <c r="AK180" s="268" t="n"/>
      <c r="AL180" s="268">
        <f>AK180</f>
        <v>0</v>
      </c>
      <c r="AN180" s="268" t="n"/>
      <c r="AO180" s="268" t="n"/>
      <c r="AP180" s="268" t="n"/>
      <c r="AQ180" s="268">
        <f>AP180</f>
        <v>0</v>
      </c>
      <c r="AS180" s="268" t="n"/>
      <c r="AT180" s="268" t="n"/>
      <c r="AU180" s="268" t="n"/>
      <c r="AV180" s="268">
        <f>AU180</f>
        <v>0</v>
      </c>
      <c r="AX180" s="268" t="n"/>
      <c r="AY180" s="268" t="n"/>
      <c r="AZ180" s="268" t="n"/>
      <c r="BA180" s="268">
        <f>AZ180</f>
        <v>0</v>
      </c>
      <c r="BC180" s="268" t="n"/>
      <c r="BD180" s="268" t="n"/>
      <c r="BE180" s="268" t="n"/>
      <c r="BF180" s="268">
        <f>BE180</f>
        <v>0</v>
      </c>
      <c r="BH180" s="268" t="n"/>
      <c r="BI180" s="268" t="n"/>
      <c r="BJ180" s="268" t="n"/>
      <c r="BK180" s="268">
        <f>BJ180</f>
        <v>0</v>
      </c>
      <c r="BM180" s="268" t="n"/>
      <c r="BN180" s="268" t="n"/>
      <c r="BO180" s="268" t="n"/>
      <c r="BP180" s="268">
        <f>BO180</f>
        <v>0</v>
      </c>
      <c r="BR180" s="268" t="n"/>
      <c r="BS180" s="268" t="n"/>
      <c r="BT180" s="268" t="n"/>
      <c r="BU180" s="268">
        <f>BT180</f>
        <v>0</v>
      </c>
      <c r="BW180" s="268" t="n"/>
      <c r="BX180" s="268" t="n"/>
      <c r="BY180" s="268" t="n"/>
      <c r="BZ180" s="268">
        <f>BY180</f>
        <v>0</v>
      </c>
      <c r="CB180" s="268" t="n"/>
      <c r="CC180" s="268" t="n"/>
      <c r="CD180" s="268" t="n"/>
      <c r="CE180" s="268">
        <f>CD180</f>
        <v>0</v>
      </c>
      <c r="CG180" s="268" t="n"/>
      <c r="CH180" s="268" t="n"/>
      <c r="CI180" s="268" t="n"/>
      <c r="CJ180" s="268">
        <f>CI180</f>
        <v>0</v>
      </c>
      <c r="CL180" s="268" t="n"/>
      <c r="CM180" s="268" t="n"/>
      <c r="CN180" s="268" t="n"/>
      <c r="CO180" s="268">
        <f>CN180</f>
        <v>0</v>
      </c>
      <c r="CQ180" s="268" t="n"/>
      <c r="CR180" s="268" t="n"/>
      <c r="CS180" s="268" t="n"/>
      <c r="CT180" s="268">
        <f>CS180</f>
        <v>0</v>
      </c>
      <c r="CV180" s="268" t="n"/>
      <c r="CW180" s="268" t="n"/>
      <c r="CX180" s="268" t="n"/>
      <c r="CY180" s="268">
        <f>CX180</f>
        <v>0</v>
      </c>
    </row>
    <row r="181" hidden="1" outlineLevel="1" ht="12.75" customHeight="1" s="255">
      <c r="C181" s="312" t="n"/>
      <c r="D181" s="268" t="n"/>
      <c r="E181" s="268" t="n"/>
      <c r="F181" s="268" t="n"/>
      <c r="G181" s="268" t="n"/>
      <c r="H181" s="268" t="n"/>
      <c r="I181" s="268" t="n"/>
      <c r="J181" s="268" t="n"/>
      <c r="K181" s="268" t="n"/>
      <c r="L181" s="268" t="n"/>
      <c r="M181" s="268" t="n"/>
      <c r="N181" s="268" t="n"/>
      <c r="O181" s="268" t="n"/>
      <c r="P181" s="268" t="n"/>
      <c r="Q181" s="268" t="n"/>
      <c r="R181" s="268" t="n"/>
      <c r="S181" s="268" t="n"/>
      <c r="T181" s="268" t="n"/>
      <c r="U181" s="268" t="n"/>
      <c r="V181" s="268" t="n"/>
      <c r="W181" s="268" t="n"/>
      <c r="X181" s="268" t="n"/>
      <c r="Y181" s="268" t="n"/>
      <c r="Z181" s="268" t="n"/>
      <c r="AA181" s="268" t="n"/>
      <c r="AB181" s="268" t="n"/>
      <c r="AC181" s="268" t="n"/>
      <c r="AD181" s="268" t="n"/>
      <c r="AE181" s="268" t="n"/>
      <c r="AF181" s="268" t="n"/>
      <c r="AG181" s="268" t="n"/>
      <c r="AH181" s="268" t="n"/>
      <c r="AI181" s="268" t="n"/>
      <c r="AJ181" s="268" t="n"/>
      <c r="AK181" s="268" t="n"/>
      <c r="AL181" s="268" t="n"/>
      <c r="AM181" s="268" t="n"/>
      <c r="AN181" s="268" t="n"/>
      <c r="AO181" s="268" t="n"/>
      <c r="AP181" s="268" t="n"/>
      <c r="AQ181" s="268" t="n"/>
      <c r="AR181" s="268" t="n"/>
      <c r="AS181" s="268" t="n"/>
      <c r="AT181" s="268" t="n"/>
      <c r="AU181" s="268" t="n"/>
      <c r="AV181" s="268" t="n"/>
      <c r="AW181" s="268" t="n"/>
      <c r="AX181" s="268" t="n"/>
      <c r="AY181" s="268" t="n"/>
      <c r="AZ181" s="268" t="n"/>
      <c r="BA181" s="268" t="n"/>
      <c r="BB181" s="268" t="n"/>
      <c r="BC181" s="268" t="n"/>
      <c r="BD181" s="268" t="n"/>
      <c r="BE181" s="268" t="n"/>
      <c r="BF181" s="268" t="n"/>
      <c r="BG181" s="268" t="n"/>
      <c r="BH181" s="268" t="n"/>
      <c r="BI181" s="268" t="n"/>
      <c r="BJ181" s="268" t="n"/>
      <c r="BK181" s="268" t="n"/>
      <c r="BL181" s="268" t="n"/>
      <c r="BM181" s="268" t="n"/>
      <c r="BN181" s="268" t="n"/>
      <c r="BO181" s="268" t="n"/>
      <c r="BP181" s="268" t="n"/>
      <c r="BQ181" s="268" t="n"/>
      <c r="BR181" s="268" t="n"/>
      <c r="BS181" s="268" t="n"/>
      <c r="BT181" s="268" t="n"/>
      <c r="BU181" s="268" t="n"/>
      <c r="BV181" s="268" t="n"/>
      <c r="BW181" s="268" t="n"/>
      <c r="BX181" s="268" t="n"/>
      <c r="BY181" s="268" t="n"/>
      <c r="BZ181" s="268" t="n"/>
      <c r="CA181" s="268" t="n"/>
      <c r="CB181" s="268" t="n"/>
      <c r="CC181" s="268" t="n"/>
      <c r="CD181" s="268" t="n"/>
      <c r="CE181" s="268" t="n"/>
      <c r="CF181" s="268" t="n"/>
      <c r="CG181" s="268" t="n"/>
      <c r="CH181" s="268" t="n"/>
      <c r="CI181" s="268" t="n"/>
      <c r="CJ181" s="268" t="n"/>
      <c r="CK181" s="268" t="n"/>
      <c r="CL181" s="268" t="n"/>
      <c r="CM181" s="268" t="n"/>
      <c r="CN181" s="268" t="n"/>
      <c r="CO181" s="268" t="n"/>
      <c r="CP181" s="268" t="n"/>
      <c r="CQ181" s="268" t="n"/>
      <c r="CR181" s="268" t="n"/>
      <c r="CS181" s="268" t="n"/>
      <c r="CT181" s="268" t="n"/>
      <c r="CU181" s="268" t="n"/>
      <c r="CV181" s="268" t="n"/>
      <c r="CW181" s="268" t="n"/>
      <c r="CX181" s="268" t="n"/>
      <c r="CY181" s="268" t="n"/>
    </row>
    <row r="182" hidden="1" outlineLevel="1" ht="12.75" customHeight="1" s="255">
      <c r="C182" s="312" t="inlineStr">
        <is>
          <t>Purchase of intangible assets</t>
        </is>
      </c>
      <c r="D182" s="268" t="n"/>
      <c r="E182" s="268">
        <f>E180-D180-E84</f>
        <v>-9</v>
      </c>
      <c r="F182" s="268">
        <f>F180-E180-F84</f>
        <v>0</v>
      </c>
      <c r="G182" s="268">
        <f>G180-F180-G84</f>
        <v>5</v>
      </c>
      <c r="H182" s="268" t="n"/>
      <c r="I182" s="268">
        <f>I180-H180-I84</f>
        <v>-33</v>
      </c>
      <c r="J182" s="268">
        <f>J180-I180-J84</f>
        <v>6</v>
      </c>
      <c r="K182" s="268">
        <f>K180-J180-K84</f>
        <v>-20</v>
      </c>
      <c r="L182" s="268">
        <f>L180-K180-L84</f>
        <v>-51</v>
      </c>
      <c r="M182" s="268" t="n"/>
      <c r="N182" s="268">
        <f>N180-M180-N84</f>
        <v>-15</v>
      </c>
      <c r="O182" s="268">
        <f>O180-N180-O84</f>
        <v>-33</v>
      </c>
      <c r="P182" s="268">
        <f>P180-O180-P84</f>
        <v>-33</v>
      </c>
      <c r="Q182" s="268">
        <f>Q180-P180-Q84</f>
        <v>10</v>
      </c>
      <c r="R182" s="268" t="n"/>
      <c r="S182" s="268">
        <f>S180-R180-S84</f>
        <v>-4</v>
      </c>
      <c r="T182" s="268">
        <f>T180-S180-T84</f>
        <v>-10</v>
      </c>
      <c r="U182" s="268">
        <f>U180-T180-U84</f>
        <v>71</v>
      </c>
      <c r="V182" s="268">
        <f>V180-U180-V84</f>
        <v>-19</v>
      </c>
      <c r="W182" s="268" t="n"/>
      <c r="X182" s="268">
        <f>X180-W180-X84</f>
        <v>-18</v>
      </c>
      <c r="Y182" s="268">
        <f>Y180-X180-Y84</f>
        <v>-25</v>
      </c>
      <c r="Z182" s="268">
        <f>Z180-Y180-Z84</f>
        <v>3</v>
      </c>
      <c r="AA182" s="268">
        <f>AA180-Z180-AA84</f>
        <v>-37</v>
      </c>
      <c r="AB182" s="268" t="n"/>
      <c r="AC182" s="268">
        <f>AC180-AB180-AC84</f>
        <v>-2</v>
      </c>
      <c r="AD182" s="268">
        <f>AD180-AC180-AD84</f>
        <v>-3</v>
      </c>
      <c r="AE182" s="268">
        <f>AE180-AD180-AE84</f>
        <v>12</v>
      </c>
      <c r="AF182" s="268" t="n"/>
      <c r="AG182" s="268" t="n"/>
      <c r="AH182" s="267">
        <f>AH180-AG180-AH84</f>
        <v>-5</v>
      </c>
      <c r="AI182" s="267">
        <f>AI180-AH180-AI84</f>
        <v>-16</v>
      </c>
      <c r="AJ182" s="267" t="n"/>
      <c r="AK182" s="267" t="n"/>
      <c r="AL182" s="268" t="n"/>
      <c r="AM182" s="267" t="n"/>
      <c r="AN182" s="267" t="n"/>
      <c r="AO182" s="267" t="n"/>
      <c r="AP182" s="267" t="n"/>
      <c r="AQ182" s="268" t="n"/>
      <c r="AR182" s="267" t="n"/>
      <c r="AS182" s="267" t="n"/>
      <c r="AT182" s="267" t="n"/>
      <c r="AU182" s="267" t="n"/>
      <c r="AV182" s="268" t="n"/>
      <c r="AW182" s="267" t="n"/>
      <c r="AX182" s="267" t="n"/>
      <c r="AY182" s="267" t="n"/>
      <c r="AZ182" s="267" t="n"/>
      <c r="BA182" s="268" t="n"/>
      <c r="BB182" s="267" t="n"/>
      <c r="BC182" s="267" t="n"/>
      <c r="BD182" s="267" t="n"/>
      <c r="BE182" s="267" t="n"/>
      <c r="BF182" s="268" t="n"/>
      <c r="BG182" s="267" t="n"/>
      <c r="BH182" s="267" t="n"/>
      <c r="BI182" s="267" t="n"/>
      <c r="BJ182" s="267" t="n"/>
      <c r="BK182" s="268" t="n"/>
      <c r="BL182" s="267" t="n"/>
      <c r="BM182" s="267" t="n"/>
      <c r="BN182" s="267" t="n"/>
      <c r="BO182" s="267" t="n"/>
      <c r="BP182" s="268" t="n"/>
      <c r="BQ182" s="267" t="n"/>
      <c r="BR182" s="267" t="n"/>
      <c r="BS182" s="267" t="n"/>
      <c r="BT182" s="267" t="n"/>
      <c r="BU182" s="268" t="n"/>
      <c r="BV182" s="267" t="n"/>
      <c r="BW182" s="267" t="n"/>
      <c r="BX182" s="267" t="n"/>
      <c r="BY182" s="267" t="n"/>
      <c r="BZ182" s="268" t="n"/>
      <c r="CA182" s="267" t="n"/>
      <c r="CB182" s="267" t="n"/>
      <c r="CC182" s="267" t="n"/>
      <c r="CD182" s="267" t="n"/>
      <c r="CE182" s="268" t="n"/>
      <c r="CF182" s="267" t="n"/>
      <c r="CG182" s="267" t="n"/>
      <c r="CH182" s="267" t="n"/>
      <c r="CI182" s="267" t="n"/>
      <c r="CJ182" s="268" t="n"/>
      <c r="CK182" s="267" t="n"/>
      <c r="CL182" s="267" t="n"/>
      <c r="CM182" s="267" t="n"/>
      <c r="CN182" s="267" t="n"/>
      <c r="CO182" s="268" t="n"/>
      <c r="CP182" s="267" t="n"/>
      <c r="CQ182" s="267" t="n"/>
      <c r="CR182" s="267" t="n"/>
      <c r="CS182" s="267" t="n"/>
      <c r="CT182" s="268" t="n"/>
      <c r="CU182" s="267" t="n"/>
      <c r="CV182" s="267" t="n"/>
      <c r="CW182" s="267" t="n"/>
      <c r="CX182" s="267" t="n"/>
      <c r="CY182" s="268" t="n"/>
    </row>
    <row r="183" hidden="1" outlineLevel="1" ht="12.75" customHeight="1" s="255">
      <c r="C183" s="312" t="inlineStr">
        <is>
          <t>Amortization (enter as -)</t>
        </is>
      </c>
      <c r="D183" s="268" t="n"/>
      <c r="E183" s="268">
        <f>E83</f>
        <v>0</v>
      </c>
      <c r="F183" s="268">
        <f>F83</f>
        <v>0</v>
      </c>
      <c r="G183" s="268">
        <f>G83</f>
        <v>0</v>
      </c>
      <c r="H183" s="268" t="n"/>
      <c r="I183" s="268">
        <f>I83</f>
        <v>0</v>
      </c>
      <c r="J183" s="268">
        <f>J83</f>
        <v>0</v>
      </c>
      <c r="K183" s="268">
        <f>K83</f>
        <v>0</v>
      </c>
      <c r="L183" s="268">
        <f>L83</f>
        <v>0</v>
      </c>
      <c r="M183" s="268" t="n"/>
      <c r="N183" s="268">
        <f>N83</f>
        <v>0</v>
      </c>
      <c r="O183" s="268">
        <f>O83</f>
        <v>0</v>
      </c>
      <c r="P183" s="268">
        <f>P83</f>
        <v>0</v>
      </c>
      <c r="Q183" s="268">
        <f>Q83</f>
        <v>0</v>
      </c>
      <c r="R183" s="268" t="n"/>
      <c r="S183" s="268">
        <f>S83</f>
        <v>0</v>
      </c>
      <c r="T183" s="268">
        <f>T83</f>
        <v>0</v>
      </c>
      <c r="U183" s="268">
        <f>U83</f>
        <v>0</v>
      </c>
      <c r="V183" s="268">
        <f>V83</f>
        <v>0</v>
      </c>
      <c r="W183" s="268" t="n"/>
      <c r="X183" s="268">
        <f>X83</f>
        <v>0</v>
      </c>
      <c r="Y183" s="268">
        <f>Y83</f>
        <v>0</v>
      </c>
      <c r="Z183" s="268">
        <f>Z83</f>
        <v>0</v>
      </c>
      <c r="AA183" s="268">
        <f>AA83</f>
        <v>0</v>
      </c>
      <c r="AB183" s="268" t="n"/>
      <c r="AC183" s="268">
        <f>AC83</f>
        <v>0</v>
      </c>
      <c r="AD183" s="268">
        <f>AD83</f>
        <v>0</v>
      </c>
      <c r="AE183" s="268">
        <f>AE83</f>
        <v>0</v>
      </c>
      <c r="AF183" s="268" t="n"/>
      <c r="AG183" s="268" t="n"/>
      <c r="AH183" s="268">
        <f>AH83</f>
        <v>0</v>
      </c>
      <c r="AI183" s="267">
        <f>AI83</f>
        <v>0</v>
      </c>
      <c r="AJ183" s="267" t="n"/>
      <c r="AK183" s="267" t="n"/>
      <c r="AL183" s="268" t="n"/>
      <c r="AM183" s="267" t="n"/>
      <c r="AN183" s="267" t="n"/>
      <c r="AO183" s="267" t="n"/>
      <c r="AP183" s="267" t="n"/>
      <c r="AQ183" s="268" t="n"/>
      <c r="AR183" s="267" t="n"/>
      <c r="AS183" s="267" t="n"/>
      <c r="AT183" s="267" t="n"/>
      <c r="AU183" s="267" t="n"/>
      <c r="AV183" s="268" t="n"/>
      <c r="AW183" s="267" t="n"/>
      <c r="AX183" s="267" t="n"/>
      <c r="AY183" s="267" t="n"/>
      <c r="AZ183" s="267" t="n"/>
      <c r="BA183" s="268" t="n"/>
      <c r="BB183" s="267" t="n"/>
      <c r="BC183" s="267" t="n"/>
      <c r="BD183" s="267" t="n"/>
      <c r="BE183" s="267" t="n"/>
      <c r="BF183" s="268" t="n"/>
      <c r="BG183" s="267" t="n"/>
      <c r="BH183" s="267" t="n"/>
      <c r="BI183" s="267" t="n"/>
      <c r="BJ183" s="267" t="n"/>
      <c r="BK183" s="268" t="n"/>
      <c r="BL183" s="267" t="n"/>
      <c r="BM183" s="267" t="n"/>
      <c r="BN183" s="267" t="n"/>
      <c r="BO183" s="267" t="n"/>
      <c r="BP183" s="268" t="n"/>
      <c r="BQ183" s="267" t="n"/>
      <c r="BR183" s="267" t="n"/>
      <c r="BS183" s="267" t="n"/>
      <c r="BT183" s="267" t="n"/>
      <c r="BU183" s="268" t="n"/>
      <c r="BV183" s="267" t="n"/>
      <c r="BW183" s="267" t="n"/>
      <c r="BX183" s="267" t="n"/>
      <c r="BY183" s="267" t="n"/>
      <c r="BZ183" s="268" t="n"/>
      <c r="CA183" s="267" t="n"/>
      <c r="CB183" s="267" t="n"/>
      <c r="CC183" s="267" t="n"/>
      <c r="CD183" s="267" t="n"/>
      <c r="CE183" s="268" t="n"/>
      <c r="CF183" s="267" t="n"/>
      <c r="CG183" s="267" t="n"/>
      <c r="CH183" s="267" t="n"/>
      <c r="CI183" s="267" t="n"/>
      <c r="CJ183" s="268" t="n"/>
      <c r="CK183" s="267" t="n"/>
      <c r="CL183" s="267" t="n"/>
      <c r="CM183" s="267" t="n"/>
      <c r="CN183" s="267" t="n"/>
      <c r="CO183" s="268" t="n"/>
      <c r="CP183" s="267" t="n"/>
      <c r="CQ183" s="267" t="n"/>
      <c r="CR183" s="267" t="n"/>
      <c r="CS183" s="267" t="n"/>
      <c r="CT183" s="268" t="n"/>
      <c r="CU183" s="267" t="n"/>
      <c r="CV183" s="267" t="n"/>
      <c r="CW183" s="267" t="n"/>
      <c r="CX183" s="267" t="n"/>
      <c r="CY183" s="268" t="n"/>
    </row>
    <row r="184" hidden="1" outlineLevel="1" ht="12.75" customHeight="1" s="255">
      <c r="C184" s="312" t="inlineStr">
        <is>
          <t>Intangibles</t>
        </is>
      </c>
      <c r="D184" s="268" t="n"/>
      <c r="E184" s="268">
        <f>E180</f>
        <v>524</v>
      </c>
      <c r="F184" s="268">
        <f>F180</f>
        <v>524</v>
      </c>
      <c r="G184" s="268">
        <f>G180</f>
        <v>529</v>
      </c>
      <c r="H184" s="268" t="n"/>
      <c r="I184" s="268">
        <f>I180</f>
        <v>496</v>
      </c>
      <c r="J184" s="268">
        <f>J180</f>
        <v>502</v>
      </c>
      <c r="K184" s="268">
        <f>K180</f>
        <v>482</v>
      </c>
      <c r="L184" s="268">
        <f>L180</f>
        <v>431</v>
      </c>
      <c r="M184" s="268" t="n"/>
      <c r="N184" s="268">
        <f>N180</f>
        <v>416</v>
      </c>
      <c r="O184" s="268">
        <f>O180</f>
        <v>383</v>
      </c>
      <c r="P184" s="268">
        <f>P180</f>
        <v>350</v>
      </c>
      <c r="Q184" s="268">
        <f>Q180</f>
        <v>360</v>
      </c>
      <c r="R184" s="268" t="n"/>
      <c r="S184" s="268">
        <f>S180</f>
        <v>356</v>
      </c>
      <c r="T184" s="268">
        <f>T180</f>
        <v>346</v>
      </c>
      <c r="U184" s="268">
        <f>U180</f>
        <v>417</v>
      </c>
      <c r="V184" s="268">
        <f>V180</f>
        <v>398</v>
      </c>
      <c r="W184" s="268" t="n"/>
      <c r="X184" s="268">
        <f>X180</f>
        <v>380</v>
      </c>
      <c r="Y184" s="268">
        <f>Y180</f>
        <v>355</v>
      </c>
      <c r="Z184" s="268">
        <f>Z180</f>
        <v>358</v>
      </c>
      <c r="AA184" s="268">
        <f>AA180</f>
        <v>321</v>
      </c>
      <c r="AB184" s="268" t="n"/>
      <c r="AC184" s="268">
        <f>AC180</f>
        <v>319</v>
      </c>
      <c r="AD184" s="268">
        <f>AD180</f>
        <v>316</v>
      </c>
      <c r="AE184" s="268">
        <f>AE180</f>
        <v>328</v>
      </c>
      <c r="AF184" s="268">
        <f>AF180</f>
        <v>309</v>
      </c>
      <c r="AG184" s="268" t="n"/>
      <c r="AH184" s="268">
        <f>AH180</f>
        <v>304</v>
      </c>
      <c r="AI184" s="268">
        <f>AI180</f>
        <v>288</v>
      </c>
      <c r="AJ184" s="268">
        <f>AI184+SUM(AJ182:AJ183)</f>
        <v>288</v>
      </c>
      <c r="AK184" s="268">
        <f>AJ184+SUM(AK182:AK183)</f>
        <v>288</v>
      </c>
      <c r="AL184" s="268" t="n"/>
      <c r="AM184" s="268">
        <f>AK184+SUM(AM182:AM183)</f>
        <v>288</v>
      </c>
      <c r="AN184" s="268">
        <f>AM184+SUM(AN182:AN183)</f>
        <v>288</v>
      </c>
      <c r="AO184" s="268">
        <f>AN184+SUM(AO182:AO183)</f>
        <v>288</v>
      </c>
      <c r="AP184" s="268">
        <f>AO184+SUM(AP182:AP183)</f>
        <v>288</v>
      </c>
      <c r="AQ184" s="268" t="n"/>
      <c r="AR184" s="268">
        <f>AP184+SUM(AR182:AR183)</f>
        <v>288</v>
      </c>
      <c r="AS184" s="268">
        <f>AR184+SUM(AS182:AS183)</f>
        <v>288</v>
      </c>
      <c r="AT184" s="268">
        <f>AS184+SUM(AT182:AT183)</f>
        <v>288</v>
      </c>
      <c r="AU184" s="268">
        <f>AT184+SUM(AU182:AU183)</f>
        <v>288</v>
      </c>
      <c r="AV184" s="268" t="n"/>
      <c r="AW184" s="268">
        <f>AU184+SUM(AW182:AW183)</f>
        <v>288</v>
      </c>
      <c r="AX184" s="268">
        <f>AW184+SUM(AX182:AX183)</f>
        <v>288</v>
      </c>
      <c r="AY184" s="268">
        <f>AX184+SUM(AY182:AY183)</f>
        <v>288</v>
      </c>
      <c r="AZ184" s="268">
        <f>AY184+SUM(AZ182:AZ183)</f>
        <v>288</v>
      </c>
      <c r="BA184" s="268" t="n"/>
      <c r="BB184" s="268">
        <f>AZ184+SUM(BB182:BB183)</f>
        <v>288</v>
      </c>
      <c r="BC184" s="268">
        <f>BB184+SUM(BC182:BC183)</f>
        <v>288</v>
      </c>
      <c r="BD184" s="268">
        <f>BC184+SUM(BD182:BD183)</f>
        <v>288</v>
      </c>
      <c r="BE184" s="268">
        <f>BD184+SUM(BE182:BE183)</f>
        <v>288</v>
      </c>
      <c r="BF184" s="268" t="n"/>
      <c r="BG184" s="268">
        <f>BE184+SUM(BG182:BG183)</f>
        <v>288</v>
      </c>
      <c r="BH184" s="268">
        <f>BG184+SUM(BH182:BH183)</f>
        <v>288</v>
      </c>
      <c r="BI184" s="268">
        <f>BH184+SUM(BI182:BI183)</f>
        <v>288</v>
      </c>
      <c r="BJ184" s="268">
        <f>BI184+SUM(BJ182:BJ183)</f>
        <v>288</v>
      </c>
      <c r="BK184" s="268" t="n"/>
      <c r="BL184" s="268">
        <f>BJ184+SUM(BL182:BL183)</f>
        <v>288</v>
      </c>
      <c r="BM184" s="268">
        <f>BL184+SUM(BM182:BM183)</f>
        <v>288</v>
      </c>
      <c r="BN184" s="268">
        <f>BM184+SUM(BN182:BN183)</f>
        <v>288</v>
      </c>
      <c r="BO184" s="268">
        <f>BN184+SUM(BO182:BO183)</f>
        <v>288</v>
      </c>
      <c r="BP184" s="268" t="n"/>
      <c r="BQ184" s="268">
        <f>BO184+SUM(BQ182:BQ183)</f>
        <v>288</v>
      </c>
      <c r="BR184" s="268">
        <f>BQ184+SUM(BR182:BR183)</f>
        <v>288</v>
      </c>
      <c r="BS184" s="268">
        <f>BR184+SUM(BS182:BS183)</f>
        <v>288</v>
      </c>
      <c r="BT184" s="268">
        <f>BS184+SUM(BT182:BT183)</f>
        <v>288</v>
      </c>
      <c r="BU184" s="268" t="n"/>
      <c r="BV184" s="268">
        <f>BT184+SUM(BV182:BV183)</f>
        <v>288</v>
      </c>
      <c r="BW184" s="268">
        <f>BV184+SUM(BW182:BW183)</f>
        <v>288</v>
      </c>
      <c r="BX184" s="268">
        <f>BW184+SUM(BX182:BX183)</f>
        <v>288</v>
      </c>
      <c r="BY184" s="268">
        <f>BX184+SUM(BY182:BY183)</f>
        <v>288</v>
      </c>
      <c r="BZ184" s="268" t="n"/>
      <c r="CA184" s="268">
        <f>BY184+SUM(CA182:CA183)</f>
        <v>288</v>
      </c>
      <c r="CB184" s="268">
        <f>CA184+SUM(CB182:CB183)</f>
        <v>288</v>
      </c>
      <c r="CC184" s="268">
        <f>CB184+SUM(CC182:CC183)</f>
        <v>288</v>
      </c>
      <c r="CD184" s="268">
        <f>CC184+SUM(CD182:CD183)</f>
        <v>288</v>
      </c>
      <c r="CE184" s="268" t="n"/>
      <c r="CF184" s="268">
        <f>CD184+SUM(CF182:CF183)</f>
        <v>288</v>
      </c>
      <c r="CG184" s="268">
        <f>CF184+SUM(CG182:CG183)</f>
        <v>288</v>
      </c>
      <c r="CH184" s="268">
        <f>CG184+SUM(CH182:CH183)</f>
        <v>288</v>
      </c>
      <c r="CI184" s="268">
        <f>CH184+SUM(CI182:CI183)</f>
        <v>288</v>
      </c>
      <c r="CJ184" s="268" t="n"/>
      <c r="CK184" s="268">
        <f>CI184+SUM(CK182:CK183)</f>
        <v>288</v>
      </c>
      <c r="CL184" s="268">
        <f>CK184+SUM(CL182:CL183)</f>
        <v>288</v>
      </c>
      <c r="CM184" s="268">
        <f>CL184+SUM(CM182:CM183)</f>
        <v>288</v>
      </c>
      <c r="CN184" s="268">
        <f>CM184+SUM(CN182:CN183)</f>
        <v>288</v>
      </c>
      <c r="CO184" s="268" t="n"/>
      <c r="CP184" s="268">
        <f>CN184+SUM(CP182:CP183)</f>
        <v>288</v>
      </c>
      <c r="CQ184" s="268">
        <f>CP184+SUM(CQ182:CQ183)</f>
        <v>288</v>
      </c>
      <c r="CR184" s="268">
        <f>CQ184+SUM(CR182:CR183)</f>
        <v>288</v>
      </c>
      <c r="CS184" s="268">
        <f>CR184+SUM(CS182:CS183)</f>
        <v>288</v>
      </c>
      <c r="CT184" s="268" t="n"/>
      <c r="CU184" s="268">
        <f>CS184+SUM(CU182:CU183)</f>
        <v>288</v>
      </c>
      <c r="CV184" s="268">
        <f>CU184+SUM(CV182:CV183)</f>
        <v>288</v>
      </c>
      <c r="CW184" s="268">
        <f>CV184+SUM(CW182:CW183)</f>
        <v>288</v>
      </c>
      <c r="CX184" s="268">
        <f>CW184+SUM(CX182:CX183)</f>
        <v>288</v>
      </c>
      <c r="CY184" s="268" t="n"/>
      <c r="CZ184" s="260">
        <f>CX184+SUM(CZ182:CZ183)</f>
        <v>288</v>
      </c>
      <c r="DA184" s="260">
        <f>CZ184+SUM(DA182:DA183)</f>
        <v>288</v>
      </c>
      <c r="DB184" s="260">
        <f>DA184+SUM(DB182:DB183)</f>
        <v>288</v>
      </c>
      <c r="DC184" s="260">
        <f>DB184+SUM(DC182:DC183)</f>
        <v>288</v>
      </c>
    </row>
    <row r="185" hidden="1" outlineLevel="1" ht="12.75" customHeight="1" s="255">
      <c r="C185" s="312" t="n"/>
      <c r="D185" s="268" t="n"/>
      <c r="E185" s="268" t="n"/>
      <c r="F185" s="268" t="n"/>
      <c r="G185" s="268" t="n"/>
      <c r="H185" s="268" t="n"/>
      <c r="I185" s="268" t="n"/>
      <c r="J185" s="268" t="n"/>
      <c r="K185" s="268" t="n"/>
      <c r="L185" s="268" t="n"/>
      <c r="M185" s="268" t="n"/>
      <c r="N185" s="268" t="n"/>
      <c r="O185" s="268" t="n"/>
      <c r="P185" s="268" t="n"/>
      <c r="Q185" s="268" t="n"/>
      <c r="R185" s="268" t="n"/>
      <c r="S185" s="268" t="n"/>
      <c r="T185" s="268" t="n"/>
      <c r="U185" s="268" t="n"/>
      <c r="V185" s="268" t="n"/>
      <c r="W185" s="268" t="n"/>
      <c r="X185" s="268" t="n"/>
      <c r="Y185" s="268" t="n"/>
      <c r="Z185" s="268" t="n"/>
      <c r="AA185" s="268" t="n"/>
      <c r="AB185" s="268" t="n"/>
      <c r="AC185" s="268" t="n"/>
      <c r="AD185" s="268" t="n"/>
      <c r="AE185" s="268" t="n"/>
      <c r="AF185" s="268" t="n"/>
      <c r="AG185" s="268" t="n"/>
      <c r="AH185" s="268" t="n"/>
      <c r="AI185" s="268" t="n"/>
      <c r="AJ185" s="268" t="n"/>
      <c r="AK185" s="268" t="n"/>
      <c r="AL185" s="268" t="n"/>
      <c r="AM185" s="268" t="n"/>
      <c r="AN185" s="268" t="n"/>
      <c r="AO185" s="268" t="n"/>
      <c r="AP185" s="268" t="n"/>
      <c r="AQ185" s="268" t="n"/>
      <c r="AR185" s="268" t="n"/>
      <c r="AS185" s="268" t="n"/>
      <c r="AT185" s="268" t="n"/>
      <c r="AU185" s="268" t="n"/>
      <c r="AV185" s="268" t="n"/>
      <c r="AW185" s="268" t="n"/>
      <c r="AX185" s="268" t="n"/>
      <c r="AY185" s="268" t="n"/>
      <c r="AZ185" s="268" t="n"/>
      <c r="BA185" s="268" t="n"/>
      <c r="BB185" s="268" t="n"/>
      <c r="BC185" s="268" t="n"/>
      <c r="BD185" s="268" t="n"/>
      <c r="BE185" s="268" t="n"/>
      <c r="BF185" s="268" t="n"/>
      <c r="BG185" s="268" t="n"/>
      <c r="BH185" s="268" t="n"/>
      <c r="BI185" s="268" t="n"/>
      <c r="BJ185" s="268" t="n"/>
      <c r="BK185" s="268" t="n"/>
      <c r="BL185" s="268" t="n"/>
      <c r="BM185" s="268" t="n"/>
      <c r="BN185" s="268" t="n"/>
      <c r="BO185" s="268" t="n"/>
      <c r="BP185" s="268" t="n"/>
      <c r="BQ185" s="268" t="n"/>
      <c r="BR185" s="268" t="n"/>
      <c r="BS185" s="268" t="n"/>
      <c r="BT185" s="268" t="n"/>
      <c r="BU185" s="268" t="n"/>
      <c r="BV185" s="268" t="n"/>
      <c r="BW185" s="268" t="n"/>
      <c r="BX185" s="268" t="n"/>
      <c r="BY185" s="268" t="n"/>
      <c r="BZ185" s="268" t="n"/>
      <c r="CA185" s="268" t="n"/>
      <c r="CB185" s="268" t="n"/>
      <c r="CC185" s="268" t="n"/>
      <c r="CD185" s="268" t="n"/>
      <c r="CE185" s="268" t="n"/>
      <c r="CF185" s="268" t="n"/>
      <c r="CG185" s="268" t="n"/>
      <c r="CH185" s="268" t="n"/>
      <c r="CI185" s="268" t="n"/>
      <c r="CJ185" s="268" t="n"/>
      <c r="CK185" s="268" t="n"/>
      <c r="CL185" s="268" t="n"/>
      <c r="CM185" s="268" t="n"/>
      <c r="CN185" s="268" t="n"/>
      <c r="CO185" s="268" t="n"/>
      <c r="CP185" s="268" t="n"/>
      <c r="CQ185" s="268" t="n"/>
      <c r="CR185" s="268" t="n"/>
      <c r="CS185" s="268" t="n"/>
      <c r="CT185" s="268" t="n"/>
      <c r="CU185" s="268" t="n"/>
      <c r="CV185" s="268" t="n"/>
      <c r="CW185" s="268" t="n"/>
      <c r="CX185" s="268" t="n"/>
      <c r="CY185" s="268" t="n"/>
    </row>
    <row r="186" hidden="1" outlineLevel="1" ht="12.75" customHeight="1" s="255">
      <c r="C186" s="312" t="inlineStr">
        <is>
          <t>Definir % do D&amp;A No PPE and Intagibles</t>
        </is>
      </c>
      <c r="D186" s="268" t="n"/>
      <c r="E186" s="268" t="n"/>
      <c r="F186" s="268" t="n"/>
      <c r="G186" s="268" t="n"/>
      <c r="H186" s="268" t="n"/>
      <c r="I186" s="268" t="n"/>
      <c r="J186" s="268" t="n"/>
      <c r="K186" s="268" t="n"/>
      <c r="L186" s="268" t="n"/>
      <c r="M186" s="268" t="n"/>
      <c r="N186" s="268" t="n"/>
      <c r="O186" s="268" t="n"/>
      <c r="P186" s="268" t="n"/>
      <c r="Q186" s="268" t="n"/>
      <c r="R186" s="268" t="n"/>
      <c r="S186" s="268" t="n"/>
      <c r="T186" s="268" t="n"/>
      <c r="U186" s="268" t="n"/>
      <c r="V186" s="268" t="n"/>
      <c r="W186" s="268" t="n"/>
      <c r="X186" s="268" t="n"/>
      <c r="Y186" s="268" t="n"/>
      <c r="Z186" s="268" t="n"/>
      <c r="AA186" s="268" t="n"/>
      <c r="AB186" s="268" t="n"/>
      <c r="AC186" s="268" t="n"/>
      <c r="AD186" s="268" t="n"/>
      <c r="AE186" s="268" t="n"/>
      <c r="AF186" s="268" t="n"/>
      <c r="AG186" s="268" t="n"/>
      <c r="AH186" s="268" t="n"/>
      <c r="AI186" s="268" t="n"/>
      <c r="AJ186" s="268" t="n"/>
      <c r="AK186" s="268" t="n"/>
      <c r="AL186" s="268" t="n"/>
      <c r="AM186" s="268" t="n"/>
      <c r="AN186" s="268" t="n"/>
      <c r="AO186" s="268" t="n"/>
      <c r="AP186" s="268" t="n"/>
      <c r="AQ186" s="268" t="n"/>
      <c r="AR186" s="268" t="n"/>
      <c r="AS186" s="268" t="n"/>
      <c r="AT186" s="268" t="n"/>
      <c r="AU186" s="268" t="n"/>
      <c r="AV186" s="268" t="n"/>
      <c r="AW186" s="268" t="n"/>
      <c r="AX186" s="268" t="n"/>
      <c r="AY186" s="268" t="n"/>
      <c r="AZ186" s="268" t="n"/>
      <c r="BA186" s="268" t="n"/>
      <c r="BB186" s="268" t="n"/>
      <c r="BC186" s="268" t="n"/>
      <c r="BD186" s="268" t="n"/>
      <c r="BE186" s="268" t="n"/>
      <c r="BF186" s="268" t="n"/>
      <c r="BG186" s="268" t="n"/>
      <c r="BH186" s="268" t="n"/>
      <c r="BI186" s="268" t="n"/>
      <c r="BJ186" s="268" t="n"/>
      <c r="BK186" s="268" t="n"/>
      <c r="BL186" s="268" t="n"/>
      <c r="BM186" s="268" t="n"/>
      <c r="BN186" s="268" t="n"/>
      <c r="BO186" s="268" t="n"/>
      <c r="BP186" s="268" t="n"/>
      <c r="BQ186" s="268" t="n"/>
      <c r="BR186" s="268" t="n"/>
      <c r="BS186" s="268" t="n"/>
      <c r="BT186" s="268" t="n"/>
      <c r="BU186" s="268" t="n"/>
      <c r="BV186" s="268" t="n"/>
      <c r="BW186" s="268" t="n"/>
      <c r="BX186" s="268" t="n"/>
      <c r="BY186" s="268" t="n"/>
      <c r="BZ186" s="268" t="n"/>
      <c r="CA186" s="268" t="n"/>
      <c r="CB186" s="268" t="n"/>
      <c r="CC186" s="268" t="n"/>
      <c r="CD186" s="268" t="n"/>
      <c r="CE186" s="268" t="n"/>
      <c r="CF186" s="268" t="n"/>
      <c r="CG186" s="268" t="n"/>
      <c r="CH186" s="268" t="n"/>
      <c r="CI186" s="268" t="n"/>
      <c r="CJ186" s="268" t="n"/>
      <c r="CK186" s="268" t="n"/>
      <c r="CL186" s="268" t="n"/>
      <c r="CM186" s="268" t="n"/>
      <c r="CN186" s="268" t="n"/>
      <c r="CO186" s="268" t="n"/>
      <c r="CP186" s="268" t="n"/>
      <c r="CQ186" s="268" t="n"/>
      <c r="CR186" s="268" t="n"/>
      <c r="CS186" s="268" t="n"/>
      <c r="CT186" s="268" t="n"/>
      <c r="CU186" s="268" t="n"/>
      <c r="CV186" s="268" t="n"/>
      <c r="CW186" s="268" t="n"/>
      <c r="CX186" s="268" t="n"/>
      <c r="CY186" s="268" t="n"/>
    </row>
    <row r="187" hidden="1" outlineLevel="1" ht="12.75" customHeight="1" s="255">
      <c r="C187" s="312" t="n"/>
      <c r="D187" s="268" t="n"/>
      <c r="E187" s="268" t="n"/>
      <c r="F187" s="268" t="n"/>
      <c r="G187" s="268" t="n"/>
      <c r="H187" s="268" t="n"/>
      <c r="I187" s="268" t="n"/>
      <c r="J187" s="268" t="n"/>
      <c r="K187" s="268" t="n"/>
      <c r="L187" s="268" t="n"/>
      <c r="M187" s="268" t="n"/>
      <c r="N187" s="268" t="n"/>
      <c r="O187" s="268" t="n"/>
      <c r="P187" s="268" t="n"/>
      <c r="Q187" s="268" t="n"/>
      <c r="R187" s="268" t="n"/>
      <c r="S187" s="268" t="n"/>
      <c r="T187" s="268" t="n"/>
      <c r="U187" s="268" t="n"/>
      <c r="V187" s="268" t="n"/>
      <c r="W187" s="268" t="n"/>
      <c r="X187" s="268" t="n"/>
      <c r="Y187" s="268" t="n"/>
      <c r="Z187" s="268" t="n"/>
      <c r="AA187" s="268" t="n"/>
      <c r="AB187" s="268" t="n"/>
      <c r="AC187" s="268" t="n"/>
      <c r="AD187" s="268" t="n"/>
      <c r="AE187" s="268" t="n"/>
      <c r="AF187" s="268" t="n"/>
      <c r="AG187" s="268" t="n"/>
      <c r="AH187" s="268" t="n"/>
      <c r="AI187" s="268" t="n"/>
      <c r="AJ187" s="268" t="n"/>
      <c r="AK187" s="268" t="n"/>
      <c r="AL187" s="268" t="n"/>
      <c r="AM187" s="268" t="n"/>
      <c r="AN187" s="268" t="n"/>
      <c r="AO187" s="268" t="n"/>
      <c r="AP187" s="268" t="n"/>
      <c r="AQ187" s="268" t="n"/>
      <c r="AR187" s="268" t="n"/>
      <c r="AS187" s="268" t="n"/>
      <c r="AT187" s="268" t="n"/>
      <c r="AU187" s="268" t="n"/>
      <c r="AV187" s="268" t="n"/>
      <c r="AW187" s="268" t="n"/>
      <c r="AX187" s="268" t="n"/>
      <c r="AY187" s="268" t="n"/>
      <c r="AZ187" s="268" t="n"/>
      <c r="BA187" s="268" t="n"/>
      <c r="BB187" s="268" t="n"/>
      <c r="BC187" s="268" t="n"/>
      <c r="BD187" s="268" t="n"/>
      <c r="BE187" s="268" t="n"/>
      <c r="BF187" s="268" t="n"/>
      <c r="BG187" s="268" t="n"/>
      <c r="BH187" s="268" t="n"/>
      <c r="BI187" s="268" t="n"/>
      <c r="BJ187" s="268" t="n"/>
      <c r="BK187" s="268" t="n"/>
      <c r="BL187" s="268" t="n"/>
      <c r="BM187" s="268" t="n"/>
      <c r="BN187" s="268" t="n"/>
      <c r="BO187" s="268" t="n"/>
      <c r="BP187" s="268" t="n"/>
      <c r="BQ187" s="268" t="n"/>
      <c r="BR187" s="268" t="n"/>
      <c r="BS187" s="268" t="n"/>
      <c r="BT187" s="268" t="n"/>
      <c r="BU187" s="268" t="n"/>
      <c r="BV187" s="268" t="n"/>
      <c r="BW187" s="268" t="n"/>
      <c r="BX187" s="268" t="n"/>
      <c r="BY187" s="268" t="n"/>
      <c r="BZ187" s="268" t="n"/>
      <c r="CA187" s="268" t="n"/>
      <c r="CB187" s="268" t="n"/>
      <c r="CC187" s="268" t="n"/>
      <c r="CD187" s="268" t="n"/>
      <c r="CE187" s="268" t="n"/>
      <c r="CF187" s="268" t="n"/>
      <c r="CG187" s="268" t="n"/>
      <c r="CH187" s="268" t="n"/>
      <c r="CI187" s="268" t="n"/>
      <c r="CJ187" s="268" t="n"/>
      <c r="CK187" s="268" t="n"/>
      <c r="CL187" s="268" t="n"/>
      <c r="CM187" s="268" t="n"/>
      <c r="CN187" s="268" t="n"/>
      <c r="CO187" s="268" t="n"/>
      <c r="CP187" s="268" t="n"/>
      <c r="CQ187" s="268" t="n"/>
      <c r="CR187" s="268" t="n"/>
      <c r="CS187" s="268" t="n"/>
      <c r="CT187" s="268" t="n"/>
      <c r="CU187" s="268" t="n"/>
      <c r="CV187" s="268" t="n"/>
      <c r="CW187" s="268" t="n"/>
      <c r="CX187" s="268" t="n"/>
      <c r="CY187" s="268" t="n"/>
    </row>
    <row r="188" hidden="1" outlineLevel="1" ht="12.75" customHeight="1" s="255">
      <c r="C188" s="312" t="n"/>
      <c r="D188" s="268" t="n"/>
      <c r="E188" s="268" t="n"/>
      <c r="F188" s="268" t="n"/>
      <c r="G188" s="268" t="n"/>
      <c r="H188" s="268" t="n"/>
      <c r="I188" s="268" t="n"/>
      <c r="J188" s="268" t="n"/>
      <c r="K188" s="268" t="n"/>
      <c r="L188" s="268" t="n"/>
      <c r="M188" s="268" t="n"/>
      <c r="N188" s="268" t="n"/>
      <c r="O188" s="268" t="n"/>
      <c r="P188" s="268" t="n"/>
      <c r="Q188" s="268" t="n"/>
      <c r="R188" s="268" t="n"/>
      <c r="S188" s="268" t="n"/>
      <c r="T188" s="268" t="n"/>
      <c r="U188" s="268" t="n"/>
      <c r="V188" s="268" t="n"/>
      <c r="W188" s="268" t="n"/>
      <c r="X188" s="268" t="n"/>
      <c r="Y188" s="268" t="n"/>
      <c r="Z188" s="268" t="n"/>
      <c r="AA188" s="268" t="n"/>
      <c r="AB188" s="268" t="n"/>
      <c r="AC188" s="268" t="n"/>
      <c r="AD188" s="268" t="n"/>
      <c r="AE188" s="268" t="n"/>
      <c r="AF188" s="268" t="n"/>
      <c r="AG188" s="268" t="n"/>
      <c r="AH188" s="268" t="n"/>
      <c r="AI188" s="268" t="n"/>
      <c r="AJ188" s="268" t="n"/>
      <c r="AK188" s="268" t="n"/>
      <c r="AL188" s="268" t="n"/>
      <c r="AM188" s="268" t="n"/>
      <c r="AN188" s="268" t="n"/>
      <c r="AO188" s="268" t="n"/>
      <c r="AP188" s="268" t="n"/>
      <c r="AQ188" s="268" t="n"/>
      <c r="AR188" s="268" t="n"/>
      <c r="AS188" s="268" t="n"/>
      <c r="AT188" s="268" t="n"/>
      <c r="AU188" s="268" t="n"/>
      <c r="AV188" s="268" t="n"/>
      <c r="AW188" s="268" t="n"/>
      <c r="AX188" s="268" t="n"/>
      <c r="AY188" s="268" t="n"/>
      <c r="AZ188" s="268" t="n"/>
      <c r="BA188" s="268" t="n"/>
      <c r="BB188" s="268" t="n"/>
      <c r="BC188" s="268" t="n"/>
      <c r="BD188" s="268" t="n"/>
      <c r="BE188" s="268" t="n"/>
      <c r="BF188" s="268" t="n"/>
      <c r="BG188" s="268" t="n"/>
      <c r="BH188" s="268" t="n"/>
      <c r="BI188" s="268" t="n"/>
      <c r="BJ188" s="268" t="n"/>
      <c r="BK188" s="268" t="n"/>
      <c r="BL188" s="268" t="n"/>
      <c r="BM188" s="268" t="n"/>
      <c r="BN188" s="268" t="n"/>
      <c r="BO188" s="268" t="n"/>
      <c r="BP188" s="268" t="n"/>
      <c r="BQ188" s="268" t="n"/>
      <c r="BR188" s="268" t="n"/>
      <c r="BS188" s="268" t="n"/>
      <c r="BT188" s="268" t="n"/>
      <c r="BU188" s="268" t="n"/>
      <c r="BV188" s="268" t="n"/>
      <c r="BW188" s="268" t="n"/>
      <c r="BX188" s="268" t="n"/>
      <c r="BY188" s="268" t="n"/>
      <c r="BZ188" s="268" t="n"/>
      <c r="CA188" s="268" t="n"/>
      <c r="CB188" s="268" t="n"/>
      <c r="CC188" s="268" t="n"/>
      <c r="CD188" s="268" t="n"/>
      <c r="CE188" s="268" t="n"/>
      <c r="CF188" s="268" t="n"/>
      <c r="CG188" s="268" t="n"/>
      <c r="CH188" s="268" t="n"/>
      <c r="CI188" s="268" t="n"/>
      <c r="CJ188" s="268" t="n"/>
      <c r="CK188" s="268" t="n"/>
      <c r="CL188" s="268" t="n"/>
      <c r="CM188" s="268" t="n"/>
      <c r="CN188" s="268" t="n"/>
      <c r="CO188" s="268" t="n"/>
      <c r="CP188" s="268" t="n"/>
      <c r="CQ188" s="268" t="n"/>
      <c r="CR188" s="268" t="n"/>
      <c r="CS188" s="268" t="n"/>
      <c r="CT188" s="268" t="n"/>
      <c r="CU188" s="268" t="n"/>
      <c r="CV188" s="268" t="n"/>
      <c r="CW188" s="268" t="n"/>
      <c r="CX188" s="268" t="n"/>
      <c r="CY188" s="268" t="n"/>
    </row>
    <row r="189" ht="12.75" customHeight="1" s="255">
      <c r="C189" s="270" t="inlineStr">
        <is>
          <t>Other non-current assets</t>
        </is>
      </c>
      <c r="D189" s="301">
        <f>INDEX('Inputs (2)'!$D$26:$AL$26,MATCH(D$7,'Inputs (2)'!$D$2:$AL$2,0))</f>
        <v>1408</v>
      </c>
      <c r="E189" s="301">
        <f>INDEX('Inputs (2)'!$D$26:$AL$26,MATCH(E$7,'Inputs (2)'!$D$2:$AL$2,0))</f>
        <v>1232</v>
      </c>
      <c r="F189" s="301">
        <f>INDEX('Inputs (2)'!$D$26:$AL$26,MATCH(F$7,'Inputs (2)'!$D$2:$AL$2,0))</f>
        <v>1275</v>
      </c>
      <c r="G189" s="301">
        <f>INDEX('Inputs (2)'!$D$26:$AL$26,MATCH(G$7,'Inputs (2)'!$D$2:$AL$2,0))</f>
        <v>1377</v>
      </c>
      <c r="H189" s="268">
        <f>G189</f>
        <v>1377</v>
      </c>
      <c r="I189" s="301">
        <f>INDEX('Inputs (2)'!$D$26:$AL$26,MATCH(I$7,'Inputs (2)'!$D$2:$AL$2,0))</f>
        <v>1380</v>
      </c>
      <c r="J189" s="301">
        <f>INDEX('Inputs (2)'!$D$26:$AL$26,MATCH(J$7,'Inputs (2)'!$D$2:$AL$2,0))</f>
        <v>1399</v>
      </c>
      <c r="K189" s="301">
        <f>INDEX('Inputs (2)'!$D$26:$AL$26,MATCH(K$7,'Inputs (2)'!$D$2:$AL$2,0))</f>
        <v>1411</v>
      </c>
      <c r="L189" s="301">
        <f>INDEX('Inputs (2)'!$D$26:$AL$26,MATCH(L$7,'Inputs (2)'!$D$2:$AL$2,0))</f>
        <v>1483</v>
      </c>
      <c r="M189" s="268">
        <f>L189</f>
        <v>1483</v>
      </c>
      <c r="N189" s="301">
        <f>INDEX('Inputs (2)'!$D$26:$AL$26,MATCH(N$7,'Inputs (2)'!$D$2:$AL$2,0))</f>
        <v>1677</v>
      </c>
      <c r="O189" s="301">
        <f>INDEX('Inputs (2)'!$D$26:$AL$26,MATCH(O$7,'Inputs (2)'!$D$2:$AL$2,0))</f>
        <v>1713</v>
      </c>
      <c r="P189" s="301">
        <f>INDEX('Inputs (2)'!$D$26:$AL$26,MATCH(P$7,'Inputs (2)'!$D$2:$AL$2,0))</f>
        <v>1665</v>
      </c>
      <c r="Q189" s="301">
        <f>INDEX('Inputs (2)'!$D$26:$AL$26,MATCH(Q$7,'Inputs (2)'!$D$2:$AL$2,0))</f>
        <v>1639</v>
      </c>
      <c r="R189" s="268">
        <f>Q189</f>
        <v>1639</v>
      </c>
      <c r="S189" s="301">
        <f>INDEX('Inputs (2)'!$D$26:$AL$26,MATCH(S$7,'Inputs (2)'!$D$2:$AL$2,0))</f>
        <v>1828</v>
      </c>
      <c r="T189" s="301">
        <f>INDEX('Inputs (2)'!$D$26:$AL$26,MATCH(T$7,'Inputs (2)'!$D$2:$AL$2,0))</f>
        <v>1882</v>
      </c>
      <c r="U189" s="301">
        <f>INDEX('Inputs (2)'!$D$26:$AL$26,MATCH(U$7,'Inputs (2)'!$D$2:$AL$2,0))</f>
        <v>1841</v>
      </c>
      <c r="V189" s="301">
        <f>INDEX('Inputs (2)'!$D$26:$AL$26,MATCH(V$7,'Inputs (2)'!$D$2:$AL$2,0))</f>
        <v>1895</v>
      </c>
      <c r="W189" s="268">
        <f>V189</f>
        <v>1895</v>
      </c>
      <c r="X189" s="301">
        <f>INDEX('Inputs (2)'!$D$26:$AL$26,MATCH(X$7,'Inputs (2)'!$D$2:$AL$2,0))</f>
        <v>1936</v>
      </c>
      <c r="Y189" s="301">
        <f>INDEX('Inputs (2)'!$D$26:$AL$26,MATCH(Y$7,'Inputs (2)'!$D$2:$AL$2,0))</f>
        <v>1779</v>
      </c>
      <c r="Z189" s="301">
        <f>INDEX('Inputs (2)'!$D$26:$AL$26,MATCH(Z$7,'Inputs (2)'!$D$2:$AL$2,0))</f>
        <v>1731</v>
      </c>
      <c r="AA189" s="301">
        <f>INDEX('Inputs (2)'!$D$26:$AL$26,MATCH(AA$7,'Inputs (2)'!$D$2:$AL$2,0))</f>
        <v>1336</v>
      </c>
      <c r="AB189" s="268">
        <f>AA189</f>
        <v>1336</v>
      </c>
      <c r="AC189" s="301">
        <f>INDEX('Inputs (2)'!$D$26:$AL$26,MATCH(AC$7,'Inputs (2)'!$D$2:$AL$2,0))</f>
        <v>1350</v>
      </c>
      <c r="AD189" s="301">
        <f>INDEX('Inputs (2)'!$D$26:$AL$26,MATCH(AD$7,'Inputs (2)'!$D$2:$AL$2,0))</f>
        <v>1457</v>
      </c>
      <c r="AE189" s="301">
        <f>INDEX('Inputs (2)'!$D$26:$AL$26,MATCH(AE$7,'Inputs (2)'!$D$2:$AL$2,0))</f>
        <v>2396</v>
      </c>
      <c r="AF189" s="301">
        <f>INDEX('Inputs (2)'!$D$26:$AL$26,MATCH(AF$7,'Inputs (2)'!$D$2:$AL$2,0))</f>
        <v>2433</v>
      </c>
      <c r="AG189" s="268">
        <f>AF189</f>
        <v>2433</v>
      </c>
      <c r="AH189" s="268">
        <f>INDEX('Inputs (2)'!$D$26:$AL$26,MATCH(AH$7,'Inputs (2)'!$D$2:$AL$2,0))</f>
        <v>2343</v>
      </c>
      <c r="AI189" s="268">
        <f>INDEX('Inputs (2)'!$D$26:$AL$26,MATCH(AI$7,'Inputs (2)'!$D$2:$AL$2,0))</f>
        <v>2371</v>
      </c>
      <c r="AJ189" s="268">
        <f>AI189</f>
        <v>2371</v>
      </c>
      <c r="AK189" s="268">
        <f>AJ189</f>
        <v>2371</v>
      </c>
      <c r="AL189" s="268">
        <f>AK189</f>
        <v>2371</v>
      </c>
      <c r="AM189" s="268">
        <f>AL189</f>
        <v>2371</v>
      </c>
      <c r="AN189" s="268">
        <f>AM189</f>
        <v>2371</v>
      </c>
      <c r="AO189" s="268">
        <f>AN189</f>
        <v>2371</v>
      </c>
      <c r="AP189" s="268">
        <f>AO189</f>
        <v>2371</v>
      </c>
      <c r="AQ189" s="268">
        <f>AP189</f>
        <v>2371</v>
      </c>
      <c r="AR189" s="268">
        <f>AQ189</f>
        <v>2371</v>
      </c>
      <c r="AS189" s="268">
        <f>AR189</f>
        <v>2371</v>
      </c>
      <c r="AT189" s="268">
        <f>AS189</f>
        <v>2371</v>
      </c>
      <c r="AU189" s="268">
        <f>AT189</f>
        <v>2371</v>
      </c>
      <c r="AV189" s="268">
        <f>AU189</f>
        <v>2371</v>
      </c>
      <c r="AW189" s="268">
        <f>AV189</f>
        <v>2371</v>
      </c>
      <c r="AX189" s="268">
        <f>AW189</f>
        <v>2371</v>
      </c>
      <c r="AY189" s="268">
        <f>AX189</f>
        <v>2371</v>
      </c>
      <c r="AZ189" s="268">
        <f>AY189</f>
        <v>2371</v>
      </c>
      <c r="BA189" s="268">
        <f>AZ189</f>
        <v>2371</v>
      </c>
      <c r="BB189" s="268">
        <f>BA189</f>
        <v>2371</v>
      </c>
      <c r="BC189" s="268">
        <f>BB189</f>
        <v>2371</v>
      </c>
      <c r="BD189" s="268">
        <f>BC189</f>
        <v>2371</v>
      </c>
      <c r="BE189" s="268">
        <f>BD189</f>
        <v>2371</v>
      </c>
      <c r="BF189" s="268">
        <f>BE189</f>
        <v>2371</v>
      </c>
      <c r="BG189" s="268">
        <f>BF189</f>
        <v>2371</v>
      </c>
      <c r="BH189" s="268">
        <f>BG189</f>
        <v>2371</v>
      </c>
      <c r="BI189" s="268">
        <f>BH189</f>
        <v>2371</v>
      </c>
      <c r="BJ189" s="268">
        <f>BI189</f>
        <v>2371</v>
      </c>
      <c r="BK189" s="268">
        <f>BJ189</f>
        <v>2371</v>
      </c>
      <c r="BL189" s="268">
        <f>BK189</f>
        <v>2371</v>
      </c>
      <c r="BM189" s="268">
        <f>BL189</f>
        <v>2371</v>
      </c>
      <c r="BN189" s="268">
        <f>BM189</f>
        <v>2371</v>
      </c>
      <c r="BO189" s="268">
        <f>BN189</f>
        <v>2371</v>
      </c>
      <c r="BP189" s="268">
        <f>BO189</f>
        <v>2371</v>
      </c>
      <c r="BQ189" s="268">
        <f>BP189</f>
        <v>2371</v>
      </c>
      <c r="BR189" s="268">
        <f>BQ189</f>
        <v>2371</v>
      </c>
      <c r="BS189" s="268">
        <f>BR189</f>
        <v>2371</v>
      </c>
      <c r="BT189" s="268">
        <f>BS189</f>
        <v>2371</v>
      </c>
      <c r="BU189" s="268">
        <f>BT189</f>
        <v>2371</v>
      </c>
      <c r="BV189" s="268">
        <f>BU189</f>
        <v>2371</v>
      </c>
      <c r="BW189" s="268">
        <f>BV189</f>
        <v>2371</v>
      </c>
      <c r="BX189" s="268">
        <f>BW189</f>
        <v>2371</v>
      </c>
      <c r="BY189" s="268">
        <f>BX189</f>
        <v>2371</v>
      </c>
      <c r="BZ189" s="268">
        <f>BY189</f>
        <v>2371</v>
      </c>
      <c r="CA189" s="268">
        <f>BZ189</f>
        <v>2371</v>
      </c>
      <c r="CB189" s="268">
        <f>CA189</f>
        <v>2371</v>
      </c>
      <c r="CC189" s="268">
        <f>CB189</f>
        <v>2371</v>
      </c>
      <c r="CD189" s="268">
        <f>CC189</f>
        <v>2371</v>
      </c>
      <c r="CE189" s="268">
        <f>CD189</f>
        <v>2371</v>
      </c>
      <c r="CF189" s="268">
        <f>CE189</f>
        <v>2371</v>
      </c>
      <c r="CG189" s="268">
        <f>CF189</f>
        <v>2371</v>
      </c>
      <c r="CH189" s="268">
        <f>CG189</f>
        <v>2371</v>
      </c>
      <c r="CI189" s="268">
        <f>CH189</f>
        <v>2371</v>
      </c>
      <c r="CJ189" s="268">
        <f>CI189</f>
        <v>2371</v>
      </c>
      <c r="CK189" s="268">
        <f>CJ189</f>
        <v>2371</v>
      </c>
      <c r="CL189" s="268">
        <f>CK189</f>
        <v>2371</v>
      </c>
      <c r="CM189" s="268">
        <f>CL189</f>
        <v>2371</v>
      </c>
      <c r="CN189" s="268">
        <f>CM189</f>
        <v>2371</v>
      </c>
      <c r="CO189" s="268">
        <f>CN189</f>
        <v>2371</v>
      </c>
      <c r="CP189" s="268">
        <f>CO189</f>
        <v>2371</v>
      </c>
      <c r="CQ189" s="268">
        <f>CP189</f>
        <v>2371</v>
      </c>
      <c r="CR189" s="268">
        <f>CQ189</f>
        <v>2371</v>
      </c>
      <c r="CS189" s="268">
        <f>CR189</f>
        <v>2371</v>
      </c>
      <c r="CT189" s="268">
        <f>CS189</f>
        <v>2371</v>
      </c>
      <c r="CU189" s="268">
        <f>CT189</f>
        <v>2371</v>
      </c>
      <c r="CV189" s="268">
        <f>CU189</f>
        <v>2371</v>
      </c>
      <c r="CW189" s="268">
        <f>CV189</f>
        <v>2371</v>
      </c>
      <c r="CX189" s="268">
        <f>CW189</f>
        <v>2371</v>
      </c>
      <c r="CY189" s="268">
        <f>CX189</f>
        <v>2371</v>
      </c>
    </row>
    <row r="190" hidden="1" outlineLevel="1" ht="12.75" customHeight="1" s="255">
      <c r="C190" s="314" t="inlineStr">
        <is>
          <t>%(Var.)</t>
        </is>
      </c>
      <c r="D190" s="268" t="n"/>
      <c r="E190" s="296">
        <f>(E189-D189)/D189</f>
        <v>-0.125</v>
      </c>
      <c r="F190" s="296">
        <f>(F189-E189)/E189</f>
        <v>0.0349025974025974</v>
      </c>
      <c r="G190" s="296">
        <f>(G189-F189)/F189</f>
        <v>0.08</v>
      </c>
      <c r="H190" s="268" t="n"/>
      <c r="I190" s="296">
        <f>(I189-H189)/H189</f>
        <v>0.00217864923747277</v>
      </c>
      <c r="J190" s="296">
        <f>(J189-I189)/I189</f>
        <v>0.013768115942029</v>
      </c>
      <c r="K190" s="296">
        <f>(K189-J189)/J189</f>
        <v>0.00857755539671194</v>
      </c>
      <c r="L190" s="296">
        <f>(L189-K189)/K189</f>
        <v>0.0510276399716513</v>
      </c>
      <c r="M190" s="268" t="n"/>
      <c r="N190" s="296">
        <f>(N189-M189)/M189</f>
        <v>0.130815913688469</v>
      </c>
      <c r="O190" s="296">
        <f>(O189-N189)/N189</f>
        <v>0.0214669051878354</v>
      </c>
      <c r="P190" s="296">
        <f>(P189-O189)/O189</f>
        <v>-0.0280210157618214</v>
      </c>
      <c r="Q190" s="296">
        <f>(Q189-P189)/P189</f>
        <v>-0.0156156156156156</v>
      </c>
      <c r="R190" s="268" t="n"/>
      <c r="S190" s="296">
        <f>(S189-R189)/R189</f>
        <v>0.115314215985357</v>
      </c>
      <c r="T190" s="296">
        <f>(T189-S189)/S189</f>
        <v>0.0295404814004376</v>
      </c>
      <c r="U190" s="296">
        <f>(U189-T189)/T189</f>
        <v>-0.0217853347502657</v>
      </c>
      <c r="V190" s="296">
        <f>(V189-U189)/U189</f>
        <v>0.0293318848451928</v>
      </c>
      <c r="W190" s="268" t="n"/>
      <c r="X190" s="296">
        <f>(X189-W189)/W189</f>
        <v>0.0216358839050132</v>
      </c>
      <c r="Y190" s="296">
        <f>(Y189-X189)/X189</f>
        <v>-0.081095041322314</v>
      </c>
      <c r="Z190" s="296">
        <f>(Z189-Y189)/Y189</f>
        <v>-0.0269814502529511</v>
      </c>
      <c r="AA190" s="296">
        <f>(AA189-Z189)/Z189</f>
        <v>-0.228191796649336</v>
      </c>
      <c r="AB190" s="268" t="n"/>
      <c r="AC190" s="296">
        <f>(AC189-AB189)/AB189</f>
        <v>0.0104790419161677</v>
      </c>
      <c r="AD190" s="296">
        <f>(AD189-AC189)/AC189</f>
        <v>0.0792592592592593</v>
      </c>
      <c r="AE190" s="296">
        <f>(AE189-AD189)/AD189</f>
        <v>0.644474948524365</v>
      </c>
      <c r="AF190" s="311">
        <f>(AF189-AE189)/AE189</f>
        <v>0.0154424040066778</v>
      </c>
      <c r="AG190" s="268" t="n"/>
      <c r="AH190" s="311">
        <f>(AH189-AG189)/AG189</f>
        <v>-0.0369913686806412</v>
      </c>
      <c r="AI190" s="311">
        <f>(AI189-AH189)/AH189</f>
        <v>0.0119504908237303</v>
      </c>
      <c r="AJ190" s="311" t="n"/>
      <c r="AK190" s="311" t="n"/>
      <c r="AL190" s="268" t="n"/>
      <c r="AM190" s="311" t="n"/>
      <c r="AN190" s="311" t="n"/>
      <c r="AO190" s="311" t="n"/>
      <c r="AP190" s="311" t="n"/>
      <c r="AQ190" s="268" t="n"/>
      <c r="AR190" s="311" t="n"/>
      <c r="AS190" s="311" t="n"/>
      <c r="AT190" s="311" t="n"/>
      <c r="AU190" s="311" t="n"/>
      <c r="AV190" s="268" t="n"/>
      <c r="AW190" s="311" t="n"/>
      <c r="AX190" s="311" t="n"/>
      <c r="AY190" s="311" t="n"/>
      <c r="AZ190" s="311" t="n"/>
      <c r="BA190" s="268" t="n"/>
      <c r="BB190" s="311" t="n"/>
      <c r="BC190" s="311" t="n"/>
      <c r="BD190" s="311" t="n"/>
      <c r="BE190" s="311" t="n"/>
      <c r="BF190" s="268" t="n"/>
      <c r="BG190" s="311" t="n"/>
      <c r="BH190" s="311" t="n"/>
      <c r="BI190" s="311" t="n"/>
      <c r="BJ190" s="311" t="n"/>
      <c r="BK190" s="268" t="n"/>
      <c r="BL190" s="311" t="n"/>
      <c r="BM190" s="311" t="n"/>
      <c r="BN190" s="311" t="n"/>
      <c r="BO190" s="311" t="n"/>
      <c r="BP190" s="268" t="n"/>
      <c r="BQ190" s="311" t="n"/>
      <c r="BR190" s="311" t="n"/>
      <c r="BS190" s="311" t="n"/>
      <c r="BT190" s="311" t="n"/>
      <c r="BU190" s="268" t="n"/>
      <c r="BV190" s="311" t="n"/>
      <c r="BW190" s="311" t="n"/>
      <c r="BX190" s="311" t="n"/>
      <c r="BY190" s="311" t="n"/>
      <c r="BZ190" s="268" t="n"/>
      <c r="CA190" s="311" t="n"/>
      <c r="CB190" s="311" t="n"/>
      <c r="CC190" s="311" t="n"/>
      <c r="CD190" s="311" t="n"/>
      <c r="CE190" s="268" t="n"/>
      <c r="CF190" s="311" t="n"/>
      <c r="CG190" s="311" t="n"/>
      <c r="CH190" s="311" t="n"/>
      <c r="CI190" s="311" t="n"/>
      <c r="CJ190" s="268" t="n"/>
      <c r="CK190" s="311" t="n"/>
      <c r="CL190" s="311" t="n"/>
      <c r="CM190" s="311" t="n"/>
      <c r="CN190" s="311" t="n"/>
      <c r="CO190" s="268" t="n"/>
      <c r="CP190" s="311" t="n"/>
      <c r="CQ190" s="311" t="n"/>
      <c r="CR190" s="311" t="n"/>
      <c r="CS190" s="311" t="n"/>
      <c r="CT190" s="268" t="n"/>
      <c r="CU190" s="311" t="n"/>
      <c r="CV190" s="311" t="n"/>
      <c r="CW190" s="311" t="n"/>
      <c r="CX190" s="311" t="n"/>
      <c r="CY190" s="268" t="n"/>
    </row>
    <row r="191" hidden="1" outlineLevel="1" ht="12.75" customHeight="1" s="255">
      <c r="C191" s="312" t="n"/>
      <c r="D191" s="268" t="n"/>
      <c r="E191" s="296" t="n"/>
      <c r="F191" s="296" t="n"/>
      <c r="G191" s="296" t="n"/>
      <c r="H191" s="268" t="n"/>
      <c r="I191" s="296" t="n"/>
      <c r="J191" s="296" t="n"/>
      <c r="K191" s="296" t="n"/>
      <c r="L191" s="296" t="n"/>
      <c r="M191" s="268" t="n"/>
      <c r="N191" s="296" t="n"/>
      <c r="O191" s="296" t="n"/>
      <c r="P191" s="296" t="n"/>
      <c r="Q191" s="296" t="n"/>
      <c r="R191" s="268" t="n"/>
      <c r="S191" s="296" t="n"/>
      <c r="T191" s="296" t="n"/>
      <c r="U191" s="296" t="n"/>
      <c r="V191" s="296" t="n"/>
      <c r="W191" s="268" t="n"/>
      <c r="X191" s="296" t="n"/>
      <c r="Y191" s="296" t="n"/>
      <c r="Z191" s="296" t="n"/>
      <c r="AA191" s="296" t="n"/>
      <c r="AB191" s="268" t="n"/>
      <c r="AC191" s="296" t="n"/>
      <c r="AD191" s="296" t="n"/>
      <c r="AE191" s="296" t="n"/>
      <c r="AF191" s="311" t="n"/>
      <c r="AG191" s="268" t="n"/>
      <c r="AH191" s="311" t="n"/>
      <c r="AI191" s="311" t="n"/>
      <c r="AJ191" s="311" t="n"/>
      <c r="AK191" s="311" t="n"/>
      <c r="AL191" s="268" t="n"/>
      <c r="AM191" s="311" t="n"/>
      <c r="AN191" s="311" t="n"/>
      <c r="AO191" s="311" t="n"/>
      <c r="AP191" s="311" t="n"/>
      <c r="AQ191" s="268" t="n"/>
      <c r="AR191" s="311" t="n"/>
      <c r="AS191" s="311" t="n"/>
      <c r="AT191" s="311" t="n"/>
      <c r="AU191" s="311" t="n"/>
      <c r="AV191" s="268" t="n"/>
      <c r="AW191" s="311" t="n"/>
      <c r="AX191" s="311" t="n"/>
      <c r="AY191" s="311" t="n"/>
      <c r="AZ191" s="311" t="n"/>
      <c r="BA191" s="268" t="n"/>
      <c r="BB191" s="311" t="n"/>
      <c r="BC191" s="311" t="n"/>
      <c r="BD191" s="311" t="n"/>
      <c r="BE191" s="311" t="n"/>
      <c r="BF191" s="268" t="n"/>
      <c r="BG191" s="311" t="n"/>
      <c r="BH191" s="311" t="n"/>
      <c r="BI191" s="311" t="n"/>
      <c r="BJ191" s="311" t="n"/>
      <c r="BK191" s="268" t="n"/>
      <c r="BL191" s="311" t="n"/>
      <c r="BM191" s="311" t="n"/>
      <c r="BN191" s="311" t="n"/>
      <c r="BO191" s="311" t="n"/>
      <c r="BP191" s="268" t="n"/>
      <c r="BQ191" s="311" t="n"/>
      <c r="BR191" s="311" t="n"/>
      <c r="BS191" s="311" t="n"/>
      <c r="BT191" s="311" t="n"/>
      <c r="BU191" s="268" t="n"/>
      <c r="BV191" s="311" t="n"/>
      <c r="BW191" s="311" t="n"/>
      <c r="BX191" s="311" t="n"/>
      <c r="BY191" s="311" t="n"/>
      <c r="BZ191" s="268" t="n"/>
      <c r="CA191" s="311" t="n"/>
      <c r="CB191" s="311" t="n"/>
      <c r="CC191" s="311" t="n"/>
      <c r="CD191" s="311" t="n"/>
      <c r="CE191" s="268" t="n"/>
      <c r="CF191" s="311" t="n"/>
      <c r="CG191" s="311" t="n"/>
      <c r="CH191" s="311" t="n"/>
      <c r="CI191" s="311" t="n"/>
      <c r="CJ191" s="268" t="n"/>
      <c r="CK191" s="311" t="n"/>
      <c r="CL191" s="311" t="n"/>
      <c r="CM191" s="311" t="n"/>
      <c r="CN191" s="311" t="n"/>
      <c r="CO191" s="268" t="n"/>
      <c r="CP191" s="311" t="n"/>
      <c r="CQ191" s="311" t="n"/>
      <c r="CR191" s="311" t="n"/>
      <c r="CS191" s="311" t="n"/>
      <c r="CT191" s="268" t="n"/>
      <c r="CU191" s="311" t="n"/>
      <c r="CV191" s="311" t="n"/>
      <c r="CW191" s="311" t="n"/>
      <c r="CX191" s="311" t="n"/>
      <c r="CY191" s="268" t="n"/>
    </row>
    <row r="192" hidden="1" outlineLevel="1" ht="12.75" customHeight="1" s="255">
      <c r="C192" s="315" t="inlineStr">
        <is>
          <t>Outros Créditos - LP</t>
        </is>
      </c>
      <c r="D192" s="267" t="n"/>
      <c r="E192" s="267" t="n"/>
      <c r="F192" s="267" t="n"/>
      <c r="G192" s="267" t="n"/>
      <c r="H192" s="268" t="n"/>
      <c r="I192" s="267" t="n"/>
      <c r="J192" s="267" t="n"/>
      <c r="K192" s="267" t="n"/>
      <c r="L192" s="267" t="n"/>
      <c r="M192" s="268" t="n"/>
      <c r="N192" s="267" t="n"/>
      <c r="O192" s="267" t="n"/>
      <c r="P192" s="267" t="n"/>
      <c r="Q192" s="267" t="n"/>
      <c r="R192" s="268" t="n"/>
      <c r="S192" s="267" t="n"/>
      <c r="T192" s="267" t="n"/>
      <c r="U192" s="267" t="n"/>
      <c r="V192" s="267" t="n"/>
      <c r="W192" s="268" t="n"/>
      <c r="X192" s="267" t="n"/>
      <c r="Y192" s="267" t="n"/>
      <c r="Z192" s="267" t="n"/>
      <c r="AA192" s="267" t="n"/>
      <c r="AB192" s="268" t="n"/>
      <c r="AC192" s="267" t="n"/>
      <c r="AD192" s="267" t="n"/>
      <c r="AE192" s="267" t="n"/>
      <c r="AF192" s="267" t="n"/>
      <c r="AG192" s="268" t="n"/>
      <c r="AH192" s="268" t="n"/>
      <c r="AI192" s="268" t="n"/>
      <c r="AJ192" s="268" t="n"/>
      <c r="AK192" s="268" t="n"/>
      <c r="AL192" s="268" t="n"/>
      <c r="AM192" s="268" t="n"/>
      <c r="AN192" s="268" t="n"/>
      <c r="AO192" s="268" t="n"/>
      <c r="AP192" s="268" t="n"/>
      <c r="AQ192" s="268" t="n"/>
      <c r="AR192" s="268" t="n"/>
      <c r="AS192" s="268" t="n"/>
      <c r="AT192" s="268" t="n"/>
      <c r="AU192" s="268" t="n"/>
      <c r="AV192" s="268" t="n"/>
      <c r="AW192" s="268" t="n"/>
      <c r="AX192" s="268" t="n"/>
      <c r="AY192" s="268" t="n"/>
      <c r="AZ192" s="268" t="n"/>
      <c r="BA192" s="268" t="n"/>
      <c r="BB192" s="268" t="n"/>
      <c r="BC192" s="268" t="n"/>
      <c r="BD192" s="268" t="n"/>
      <c r="BE192" s="268" t="n"/>
      <c r="BF192" s="268" t="n"/>
      <c r="BG192" s="268" t="n"/>
      <c r="BH192" s="268" t="n"/>
      <c r="BI192" s="268" t="n"/>
      <c r="BJ192" s="268" t="n"/>
      <c r="BK192" s="268" t="n"/>
      <c r="BL192" s="268" t="n"/>
      <c r="BM192" s="268" t="n"/>
      <c r="BN192" s="268" t="n"/>
      <c r="BO192" s="268" t="n"/>
      <c r="BP192" s="268" t="n"/>
      <c r="BQ192" s="268" t="n"/>
      <c r="BR192" s="268" t="n"/>
      <c r="BS192" s="268" t="n"/>
      <c r="BT192" s="268" t="n"/>
      <c r="BU192" s="268" t="n"/>
      <c r="BV192" s="268" t="n"/>
      <c r="BW192" s="268" t="n"/>
      <c r="BX192" s="268" t="n"/>
      <c r="BY192" s="268" t="n"/>
      <c r="BZ192" s="268" t="n"/>
      <c r="CA192" s="268" t="n"/>
      <c r="CB192" s="268" t="n"/>
      <c r="CC192" s="268" t="n"/>
      <c r="CD192" s="268" t="n"/>
      <c r="CE192" s="268" t="n"/>
      <c r="CF192" s="268" t="n"/>
      <c r="CG192" s="268" t="n"/>
      <c r="CH192" s="268" t="n"/>
      <c r="CI192" s="268" t="n"/>
      <c r="CJ192" s="268" t="n"/>
      <c r="CK192" s="268" t="n"/>
      <c r="CL192" s="268" t="n"/>
      <c r="CM192" s="268" t="n"/>
      <c r="CN192" s="268" t="n"/>
      <c r="CO192" s="268" t="n"/>
      <c r="CP192" s="268" t="n"/>
      <c r="CQ192" s="268" t="n"/>
      <c r="CR192" s="268" t="n"/>
      <c r="CS192" s="268" t="n"/>
      <c r="CT192" s="268" t="n"/>
      <c r="CU192" s="268" t="n"/>
      <c r="CV192" s="268" t="n"/>
      <c r="CW192" s="268" t="n"/>
      <c r="CX192" s="268" t="n"/>
      <c r="CY192" s="268" t="n"/>
    </row>
    <row r="193" hidden="1" outlineLevel="1" ht="12.75" customHeight="1" s="255">
      <c r="C193" s="315" t="inlineStr">
        <is>
          <t xml:space="preserve">Impostos e Contribuições a Recuperar </t>
        </is>
      </c>
      <c r="D193" s="267" t="n"/>
      <c r="E193" s="267" t="n"/>
      <c r="F193" s="267" t="n"/>
      <c r="G193" s="267" t="n"/>
      <c r="H193" s="268" t="n"/>
      <c r="I193" s="267" t="n"/>
      <c r="J193" s="267" t="n"/>
      <c r="K193" s="267" t="n"/>
      <c r="L193" s="267" t="n"/>
      <c r="M193" s="268" t="n"/>
      <c r="N193" s="267" t="n"/>
      <c r="O193" s="267" t="n"/>
      <c r="P193" s="267" t="n"/>
      <c r="Q193" s="267" t="n"/>
      <c r="R193" s="268" t="n"/>
      <c r="S193" s="267" t="n"/>
      <c r="T193" s="267" t="n"/>
      <c r="U193" s="267" t="n"/>
      <c r="V193" s="267" t="n"/>
      <c r="W193" s="268" t="n"/>
      <c r="X193" s="267" t="n"/>
      <c r="Y193" s="267" t="n"/>
      <c r="Z193" s="267" t="n"/>
      <c r="AA193" s="267" t="n"/>
      <c r="AB193" s="268" t="n"/>
      <c r="AC193" s="267" t="n"/>
      <c r="AD193" s="267" t="n"/>
      <c r="AE193" s="267" t="n"/>
      <c r="AF193" s="267" t="n"/>
      <c r="AG193" s="268" t="n"/>
      <c r="AH193" s="268" t="n"/>
      <c r="AI193" s="268" t="n"/>
      <c r="AJ193" s="268" t="n"/>
      <c r="AK193" s="268" t="n"/>
      <c r="AL193" s="268" t="n"/>
      <c r="AM193" s="268" t="n"/>
      <c r="AN193" s="268" t="n"/>
      <c r="AO193" s="268" t="n"/>
      <c r="AP193" s="268" t="n"/>
      <c r="AQ193" s="268" t="n"/>
      <c r="AR193" s="268" t="n"/>
      <c r="AS193" s="268" t="n"/>
      <c r="AT193" s="268" t="n"/>
      <c r="AU193" s="268" t="n"/>
      <c r="AV193" s="268" t="n"/>
      <c r="AW193" s="268" t="n"/>
      <c r="AX193" s="268" t="n"/>
      <c r="AY193" s="268" t="n"/>
      <c r="AZ193" s="268" t="n"/>
      <c r="BA193" s="268" t="n"/>
      <c r="BB193" s="268" t="n"/>
      <c r="BC193" s="268" t="n"/>
      <c r="BD193" s="268" t="n"/>
      <c r="BE193" s="268" t="n"/>
      <c r="BF193" s="268" t="n"/>
      <c r="BG193" s="268" t="n"/>
      <c r="BH193" s="268" t="n"/>
      <c r="BI193" s="268" t="n"/>
      <c r="BJ193" s="268" t="n"/>
      <c r="BK193" s="268" t="n"/>
      <c r="BL193" s="268" t="n"/>
      <c r="BM193" s="268" t="n"/>
      <c r="BN193" s="268" t="n"/>
      <c r="BO193" s="268" t="n"/>
      <c r="BP193" s="268" t="n"/>
      <c r="BQ193" s="268" t="n"/>
      <c r="BR193" s="268" t="n"/>
      <c r="BS193" s="268" t="n"/>
      <c r="BT193" s="268" t="n"/>
      <c r="BU193" s="268" t="n"/>
      <c r="BV193" s="268" t="n"/>
      <c r="BW193" s="268" t="n"/>
      <c r="BX193" s="268" t="n"/>
      <c r="BY193" s="268" t="n"/>
      <c r="BZ193" s="268" t="n"/>
      <c r="CA193" s="268" t="n"/>
      <c r="CB193" s="268" t="n"/>
      <c r="CC193" s="268" t="n"/>
      <c r="CD193" s="268" t="n"/>
      <c r="CE193" s="268" t="n"/>
      <c r="CF193" s="268" t="n"/>
      <c r="CG193" s="268" t="n"/>
      <c r="CH193" s="268" t="n"/>
      <c r="CI193" s="268" t="n"/>
      <c r="CJ193" s="268" t="n"/>
      <c r="CK193" s="268" t="n"/>
      <c r="CL193" s="268" t="n"/>
      <c r="CM193" s="268" t="n"/>
      <c r="CN193" s="268" t="n"/>
      <c r="CO193" s="268" t="n"/>
      <c r="CP193" s="268" t="n"/>
      <c r="CQ193" s="268" t="n"/>
      <c r="CR193" s="268" t="n"/>
      <c r="CS193" s="268" t="n"/>
      <c r="CT193" s="268" t="n"/>
      <c r="CU193" s="268" t="n"/>
      <c r="CV193" s="268" t="n"/>
      <c r="CW193" s="268" t="n"/>
      <c r="CX193" s="268" t="n"/>
      <c r="CY193" s="268" t="n"/>
    </row>
    <row r="194" hidden="1" outlineLevel="1" ht="12.75" customHeight="1" s="255">
      <c r="C194" s="315" t="inlineStr">
        <is>
          <t xml:space="preserve">Imposto de Renda e Contribuição Social Diferidos </t>
        </is>
      </c>
      <c r="D194" s="267" t="n"/>
      <c r="E194" s="267" t="n"/>
      <c r="F194" s="267" t="n"/>
      <c r="G194" s="267" t="n"/>
      <c r="H194" s="268" t="n"/>
      <c r="I194" s="267" t="n"/>
      <c r="J194" s="267" t="n"/>
      <c r="K194" s="267" t="n"/>
      <c r="L194" s="267" t="n"/>
      <c r="M194" s="268" t="n"/>
      <c r="N194" s="267" t="n"/>
      <c r="O194" s="267" t="n"/>
      <c r="P194" s="267" t="n"/>
      <c r="Q194" s="267" t="n"/>
      <c r="R194" s="268" t="n"/>
      <c r="S194" s="267" t="n"/>
      <c r="T194" s="267" t="n"/>
      <c r="U194" s="267" t="n"/>
      <c r="V194" s="267" t="n"/>
      <c r="W194" s="268" t="n"/>
      <c r="X194" s="267" t="n"/>
      <c r="Y194" s="267" t="n"/>
      <c r="Z194" s="267" t="n"/>
      <c r="AA194" s="267" t="n"/>
      <c r="AB194" s="268" t="n"/>
      <c r="AC194" s="267" t="n"/>
      <c r="AD194" s="267" t="n"/>
      <c r="AE194" s="267" t="n"/>
      <c r="AF194" s="267" t="n"/>
      <c r="AG194" s="268" t="n"/>
      <c r="AH194" s="268" t="n"/>
      <c r="AI194" s="268" t="n"/>
      <c r="AJ194" s="268" t="n"/>
      <c r="AK194" s="268" t="n"/>
      <c r="AL194" s="268" t="n"/>
      <c r="AM194" s="268" t="n"/>
      <c r="AN194" s="268" t="n"/>
      <c r="AO194" s="268" t="n"/>
      <c r="AP194" s="268" t="n"/>
      <c r="AQ194" s="268" t="n"/>
      <c r="AR194" s="268" t="n"/>
      <c r="AS194" s="268" t="n"/>
      <c r="AT194" s="268" t="n"/>
      <c r="AU194" s="268" t="n"/>
      <c r="AV194" s="268" t="n"/>
      <c r="AW194" s="268" t="n"/>
      <c r="AX194" s="268" t="n"/>
      <c r="AY194" s="268" t="n"/>
      <c r="AZ194" s="268" t="n"/>
      <c r="BA194" s="268" t="n"/>
      <c r="BB194" s="268" t="n"/>
      <c r="BC194" s="268" t="n"/>
      <c r="BD194" s="268" t="n"/>
      <c r="BE194" s="268" t="n"/>
      <c r="BF194" s="268" t="n"/>
      <c r="BG194" s="268" t="n"/>
      <c r="BH194" s="268" t="n"/>
      <c r="BI194" s="268" t="n"/>
      <c r="BJ194" s="268" t="n"/>
      <c r="BK194" s="268" t="n"/>
      <c r="BL194" s="268" t="n"/>
      <c r="BM194" s="268" t="n"/>
      <c r="BN194" s="268" t="n"/>
      <c r="BO194" s="268" t="n"/>
      <c r="BP194" s="268" t="n"/>
      <c r="BQ194" s="268" t="n"/>
      <c r="BR194" s="268" t="n"/>
      <c r="BS194" s="268" t="n"/>
      <c r="BT194" s="268" t="n"/>
      <c r="BU194" s="268" t="n"/>
      <c r="BV194" s="268" t="n"/>
      <c r="BW194" s="268" t="n"/>
      <c r="BX194" s="268" t="n"/>
      <c r="BY194" s="268" t="n"/>
      <c r="BZ194" s="268" t="n"/>
      <c r="CA194" s="268" t="n"/>
      <c r="CB194" s="268" t="n"/>
      <c r="CC194" s="268" t="n"/>
      <c r="CD194" s="268" t="n"/>
      <c r="CE194" s="268" t="n"/>
      <c r="CF194" s="268" t="n"/>
      <c r="CG194" s="268" t="n"/>
      <c r="CH194" s="268" t="n"/>
      <c r="CI194" s="268" t="n"/>
      <c r="CJ194" s="268" t="n"/>
      <c r="CK194" s="268" t="n"/>
      <c r="CL194" s="268" t="n"/>
      <c r="CM194" s="268" t="n"/>
      <c r="CN194" s="268" t="n"/>
      <c r="CO194" s="268" t="n"/>
      <c r="CP194" s="268" t="n"/>
      <c r="CQ194" s="268" t="n"/>
      <c r="CR194" s="268" t="n"/>
      <c r="CS194" s="268" t="n"/>
      <c r="CT194" s="268" t="n"/>
      <c r="CU194" s="268" t="n"/>
      <c r="CV194" s="268" t="n"/>
      <c r="CW194" s="268" t="n"/>
      <c r="CX194" s="268" t="n"/>
      <c r="CY194" s="268" t="n"/>
    </row>
    <row r="195" hidden="1" outlineLevel="1" ht="12.75" customHeight="1" s="255">
      <c r="C195" s="315" t="n"/>
      <c r="D195" s="268" t="n"/>
      <c r="E195" s="268" t="n"/>
      <c r="F195" s="268" t="n"/>
      <c r="G195" s="268" t="n"/>
      <c r="H195" s="268" t="n"/>
      <c r="I195" s="268" t="n"/>
      <c r="J195" s="268" t="n"/>
      <c r="K195" s="268" t="n"/>
      <c r="L195" s="268" t="n"/>
      <c r="M195" s="268" t="n"/>
      <c r="N195" s="268" t="n"/>
      <c r="O195" s="268" t="n"/>
      <c r="P195" s="268" t="n"/>
      <c r="Q195" s="268" t="n"/>
      <c r="R195" s="268" t="n"/>
      <c r="S195" s="268" t="n"/>
      <c r="T195" s="268" t="n"/>
      <c r="U195" s="268" t="n"/>
      <c r="V195" s="268" t="n"/>
      <c r="W195" s="268" t="n"/>
      <c r="X195" s="268" t="n"/>
      <c r="Y195" s="268" t="n"/>
      <c r="Z195" s="268" t="n"/>
      <c r="AA195" s="268" t="n"/>
      <c r="AB195" s="268" t="n"/>
      <c r="AC195" s="268" t="n"/>
      <c r="AD195" s="268" t="n"/>
      <c r="AE195" s="268" t="n"/>
      <c r="AF195" s="268" t="n"/>
      <c r="AG195" s="268" t="n"/>
      <c r="AH195" s="268" t="n"/>
      <c r="AI195" s="268" t="n"/>
      <c r="AJ195" s="268" t="n"/>
      <c r="AK195" s="268" t="n"/>
      <c r="AL195" s="268" t="n"/>
      <c r="AM195" s="268" t="n"/>
      <c r="AN195" s="268" t="n"/>
      <c r="AO195" s="268" t="n"/>
      <c r="AP195" s="268" t="n"/>
      <c r="AQ195" s="268" t="n"/>
      <c r="AR195" s="268" t="n"/>
      <c r="AS195" s="268" t="n"/>
      <c r="AT195" s="268" t="n"/>
      <c r="AU195" s="268" t="n"/>
      <c r="AV195" s="268" t="n"/>
      <c r="AW195" s="268" t="n"/>
      <c r="AX195" s="268" t="n"/>
      <c r="AY195" s="268" t="n"/>
      <c r="AZ195" s="268" t="n"/>
      <c r="BA195" s="268" t="n"/>
      <c r="BB195" s="268" t="n"/>
      <c r="BC195" s="268" t="n"/>
      <c r="BD195" s="268" t="n"/>
      <c r="BE195" s="268" t="n"/>
      <c r="BF195" s="268" t="n"/>
      <c r="BG195" s="268" t="n"/>
      <c r="BH195" s="268" t="n"/>
      <c r="BI195" s="268" t="n"/>
      <c r="BJ195" s="268" t="n"/>
      <c r="BK195" s="268" t="n"/>
      <c r="BL195" s="268" t="n"/>
      <c r="BM195" s="268" t="n"/>
      <c r="BN195" s="268" t="n"/>
      <c r="BO195" s="268" t="n"/>
      <c r="BP195" s="268" t="n"/>
      <c r="BQ195" s="268" t="n"/>
      <c r="BR195" s="268" t="n"/>
      <c r="BS195" s="268" t="n"/>
      <c r="BT195" s="268" t="n"/>
      <c r="BU195" s="268" t="n"/>
      <c r="BV195" s="268" t="n"/>
      <c r="BW195" s="268" t="n"/>
      <c r="BX195" s="268" t="n"/>
      <c r="BY195" s="268" t="n"/>
      <c r="BZ195" s="268" t="n"/>
      <c r="CA195" s="268" t="n"/>
      <c r="CB195" s="268" t="n"/>
      <c r="CC195" s="268" t="n"/>
      <c r="CD195" s="268" t="n"/>
      <c r="CE195" s="268" t="n"/>
      <c r="CF195" s="268" t="n"/>
      <c r="CG195" s="268" t="n"/>
      <c r="CH195" s="268" t="n"/>
      <c r="CI195" s="268" t="n"/>
      <c r="CJ195" s="268" t="n"/>
      <c r="CK195" s="268" t="n"/>
      <c r="CL195" s="268" t="n"/>
      <c r="CM195" s="268" t="n"/>
      <c r="CN195" s="268" t="n"/>
      <c r="CO195" s="268" t="n"/>
      <c r="CP195" s="268" t="n"/>
      <c r="CQ195" s="268" t="n"/>
      <c r="CR195" s="268" t="n"/>
      <c r="CS195" s="268" t="n"/>
      <c r="CT195" s="268" t="n"/>
      <c r="CU195" s="268" t="n"/>
      <c r="CV195" s="268" t="n"/>
      <c r="CW195" s="268" t="n"/>
      <c r="CX195" s="268" t="n"/>
      <c r="CY195" s="268" t="n"/>
    </row>
    <row r="196" hidden="1" outlineLevel="1" ht="12.75" customHeight="1" s="255">
      <c r="C196" s="312" t="n"/>
      <c r="D196" s="268" t="n"/>
      <c r="E196" s="268" t="n"/>
      <c r="F196" s="268" t="n"/>
      <c r="G196" s="268" t="n"/>
      <c r="H196" s="268" t="n"/>
      <c r="I196" s="268" t="n"/>
      <c r="J196" s="268" t="n"/>
      <c r="K196" s="268" t="n"/>
      <c r="L196" s="268" t="n"/>
      <c r="M196" s="268" t="n"/>
      <c r="N196" s="268" t="n"/>
      <c r="O196" s="268" t="n"/>
      <c r="P196" s="268" t="n"/>
      <c r="Q196" s="268" t="n"/>
      <c r="R196" s="268" t="n"/>
      <c r="S196" s="268" t="n"/>
      <c r="T196" s="268" t="n"/>
      <c r="U196" s="268" t="n"/>
      <c r="V196" s="268" t="n"/>
      <c r="W196" s="268" t="n"/>
      <c r="X196" s="268" t="n"/>
      <c r="Y196" s="268" t="n"/>
      <c r="Z196" s="268" t="n"/>
      <c r="AA196" s="268" t="n"/>
      <c r="AB196" s="268" t="n"/>
      <c r="AC196" s="268" t="n"/>
      <c r="AD196" s="268" t="n"/>
      <c r="AE196" s="268" t="n"/>
      <c r="AF196" s="268" t="n"/>
      <c r="AG196" s="268" t="n"/>
      <c r="AH196" s="268" t="n"/>
      <c r="AI196" s="268" t="n"/>
      <c r="AJ196" s="268" t="n"/>
      <c r="AK196" s="268" t="n"/>
      <c r="AL196" s="268" t="n"/>
      <c r="AM196" s="268" t="n"/>
      <c r="AN196" s="268" t="n"/>
      <c r="AO196" s="268" t="n"/>
      <c r="AP196" s="268" t="n"/>
      <c r="AQ196" s="268" t="n"/>
      <c r="AR196" s="268" t="n"/>
      <c r="AS196" s="268" t="n"/>
      <c r="AT196" s="268" t="n"/>
      <c r="AU196" s="268" t="n"/>
      <c r="AV196" s="268" t="n"/>
      <c r="AW196" s="268" t="n"/>
      <c r="AX196" s="268" t="n"/>
      <c r="AY196" s="268" t="n"/>
      <c r="AZ196" s="268" t="n"/>
      <c r="BA196" s="268" t="n"/>
      <c r="BB196" s="268" t="n"/>
      <c r="BC196" s="268" t="n"/>
      <c r="BD196" s="268" t="n"/>
      <c r="BE196" s="268" t="n"/>
      <c r="BF196" s="268" t="n"/>
      <c r="BG196" s="268" t="n"/>
      <c r="BH196" s="268" t="n"/>
      <c r="BI196" s="268" t="n"/>
      <c r="BJ196" s="268" t="n"/>
      <c r="BK196" s="268" t="n"/>
      <c r="BL196" s="268" t="n"/>
      <c r="BM196" s="268" t="n"/>
      <c r="BN196" s="268" t="n"/>
      <c r="BO196" s="268" t="n"/>
      <c r="BP196" s="268" t="n"/>
      <c r="BQ196" s="268" t="n"/>
      <c r="BR196" s="268" t="n"/>
      <c r="BS196" s="268" t="n"/>
      <c r="BT196" s="268" t="n"/>
      <c r="BU196" s="268" t="n"/>
      <c r="BV196" s="268" t="n"/>
      <c r="BW196" s="268" t="n"/>
      <c r="BX196" s="268" t="n"/>
      <c r="BY196" s="268" t="n"/>
      <c r="BZ196" s="268" t="n"/>
      <c r="CA196" s="268" t="n"/>
      <c r="CB196" s="268" t="n"/>
      <c r="CC196" s="268" t="n"/>
      <c r="CD196" s="268" t="n"/>
      <c r="CE196" s="268" t="n"/>
      <c r="CF196" s="268" t="n"/>
      <c r="CG196" s="268" t="n"/>
      <c r="CH196" s="268" t="n"/>
      <c r="CI196" s="268" t="n"/>
      <c r="CJ196" s="268" t="n"/>
      <c r="CK196" s="268" t="n"/>
      <c r="CL196" s="268" t="n"/>
      <c r="CM196" s="268" t="n"/>
      <c r="CN196" s="268" t="n"/>
      <c r="CO196" s="268" t="n"/>
      <c r="CP196" s="268" t="n"/>
      <c r="CQ196" s="268" t="n"/>
      <c r="CR196" s="268" t="n"/>
      <c r="CS196" s="268" t="n"/>
      <c r="CT196" s="268" t="n"/>
      <c r="CU196" s="268" t="n"/>
      <c r="CV196" s="268" t="n"/>
      <c r="CW196" s="268" t="n"/>
      <c r="CX196" s="268" t="n"/>
      <c r="CY196" s="268" t="n"/>
    </row>
    <row r="197" ht="12.75" customFormat="1" customHeight="1" s="287">
      <c r="A197" s="288" t="n"/>
      <c r="B197" s="259" t="n"/>
      <c r="C197" s="275" t="inlineStr">
        <is>
          <t>Total Assets</t>
        </is>
      </c>
      <c r="D197" s="276">
        <f>(D144+D145+D149+D153+D154+D155+D161+D166+D176+D179+D180+D189)</f>
        <v>18596</v>
      </c>
      <c r="E197" s="276">
        <f>(E144+E145+E149+E153+E154+E155+E161+E166+E176+E179+E180+E189)</f>
        <v>18559</v>
      </c>
      <c r="F197" s="276">
        <f>(F144+F145+F149+F153+F154+F155+F161+F166+F176+F179+F180+F189)</f>
        <v>20761</v>
      </c>
      <c r="G197" s="276">
        <f>(G144+G145+G149+G153+G154+G155+G161+G166+G176+G179+G180+G189)</f>
        <v>23655</v>
      </c>
      <c r="H197" s="276">
        <f>SUM(H144,H145,H149,H153,H154,H155,H161,H176,H179,H180,H189,H166)</f>
        <v>23655</v>
      </c>
      <c r="I197" s="276">
        <f>(I144+I145+I149+I153+I154+I155+I161+I166+I176+I179+I180+I189)</f>
        <v>24533</v>
      </c>
      <c r="J197" s="276">
        <f>(J144+J145+J149+J153+J154+J155+J161+J166+J176+J179+J180+J189)</f>
        <v>25085</v>
      </c>
      <c r="K197" s="276">
        <f>(K144+K145+K149+K153+K154+K155+K161+K166+K176+K179+K180+K189)</f>
        <v>24109</v>
      </c>
      <c r="L197" s="276">
        <f>(L144+L145+L149+L153+L154+L155+L161+L166+L176+L179+L180+L189)</f>
        <v>23819</v>
      </c>
      <c r="M197" s="276">
        <f>SUM(M144,M145,M149,M153,M154,M155,M161,M176,M179,M180,M189,M166)</f>
        <v>23819</v>
      </c>
      <c r="N197" s="276">
        <f>(N144+N145+N149+N153+N154+N155+N161+N166+N176+N179+N180+N189)</f>
        <v>28724</v>
      </c>
      <c r="O197" s="276">
        <f>(O144+O145+O149+O153+O154+O155+O161+O166+O176+O179+O180+O189)</f>
        <v>27419</v>
      </c>
      <c r="P197" s="276">
        <f>(P144+P145+P149+P153+P154+P155+P161+P166+P176+P179+P180+P189)</f>
        <v>24792</v>
      </c>
      <c r="Q197" s="276">
        <f>(Q144+Q145+Q149+Q153+Q154+Q155+Q161+Q166+Q176+Q179+Q180+Q189)</f>
        <v>24580</v>
      </c>
      <c r="R197" s="276">
        <f>SUM(R144,R145,R149,R153,R154,R155,R161,R176,R179,R180,R189,R166)</f>
        <v>24580</v>
      </c>
      <c r="S197" s="276">
        <f>(S144+S145+S149+S153+S154+S155+S161+S166+S176+S179+S180+S189)</f>
        <v>27110</v>
      </c>
      <c r="T197" s="276">
        <f>(T144+T145+T149+T153+T154+T155+T161+T166+T176+T179+T180+T189)</f>
        <v>25712</v>
      </c>
      <c r="U197" s="276">
        <f>(U144+U145+U149+U153+U154+U155+U161+U166+U176+U179+U180+U189)</f>
        <v>25133</v>
      </c>
      <c r="V197" s="276">
        <f>(V144+V145+V149+V153+V154+V155+V161+V166+V176+V179+V180+V189)</f>
        <v>25372</v>
      </c>
      <c r="W197" s="276">
        <f>SUM(W144,W145,W149,W153,W154,W155,W161,W176,W179,W180,W189,W166)</f>
        <v>25372</v>
      </c>
      <c r="X197" s="276">
        <f>(X144+X145+X149+X153+X154+X155+X161+X166+X176+X179+X180+X189)</f>
        <v>25821</v>
      </c>
      <c r="Y197" s="276">
        <f>(Y144+Y145+Y149+Y153+Y154+Y155+Y161+Y166+Y176+Y179+Y180+Y189)</f>
        <v>24428</v>
      </c>
      <c r="Z197" s="276">
        <f>(Z144+Z145+Z149+Z153+Z154+Z155+Z161+Z166+Z176+Z179+Z180+Z189)</f>
        <v>25267</v>
      </c>
      <c r="AA197" s="276">
        <f>(AA144+AA145+AA149+AA153+AA154+AA155+AA161+AA166+AA176+AA179+AA180+AA189)</f>
        <v>24899</v>
      </c>
      <c r="AB197" s="276">
        <f>SUM(AB144,AB145,AB149,AB153,AB154,AB155,AB161,AB176,AB179,AB180,AB189,AB166)</f>
        <v>24899</v>
      </c>
      <c r="AC197" s="276">
        <f>(AC144+AC145+AC149+AC153+AC154+AC155+AC161+AC166+AC176+AC179+AC180+AC189)</f>
        <v>26660</v>
      </c>
      <c r="AD197" s="276">
        <f>(AD144+AD145+AD149+AD153+AD154+AD155+AD161+AD166+AD176+AD179+AD180+AD189)</f>
        <v>31154</v>
      </c>
      <c r="AE197" s="276">
        <f>(AE144+AE145+AE149+AE153+AE154+AE155+AE161+AE166+AE176+AE179+AE180+AE189)</f>
        <v>46298</v>
      </c>
      <c r="AF197" s="276">
        <f>(AF144+AF145+AF149+AF153+AF154+AF155+AF161+AF166+AF176+AF179+AF180+AF189)</f>
        <v>44528</v>
      </c>
      <c r="AG197" s="276">
        <f>SUM(AG144,AG145,AG149,AG153,AG154,AG155,AG161,AG176,AG179,AG180,AG189,AG166)</f>
        <v>44528</v>
      </c>
      <c r="AH197" s="276">
        <f>(AH144+AH145+AH149+AH153+AH154+AH155+AH161+AH166+AH176+AH179+AH180+AH189)</f>
        <v>47576</v>
      </c>
      <c r="AI197" s="276">
        <f>(AI144+AI145+AI149+AI153+AI154+AI155+AI161+AI166+AI176+AI179+AI180+AI189)</f>
        <v>46782</v>
      </c>
      <c r="AJ197" s="276">
        <f>(AJ144+AJ145+AJ149+AJ153+AJ154+AJ155+AJ161+AJ166+AJ176+AJ179+AJ180+AJ189)</f>
        <v>41416</v>
      </c>
      <c r="AK197" s="276">
        <f>(AK144+AK145+AK149+AK153+AK154+AK155+AK161+AK166+AK176+AK179+AK180+AK189)</f>
        <v>41481</v>
      </c>
      <c r="AL197" s="276">
        <f>SUM(AL144,AL145,AL149,AL153,AL154,AL155,AL161,AL176,AL179,AL180,AL189,AL166)</f>
        <v>41481</v>
      </c>
      <c r="AM197" s="276" t="e">
        <f>(AM144+AM145+AM149+AM153+AM154+AM155+AM161+AM166+AM176+AM179+AM180+AM189)</f>
        <v>#DIV/0!</v>
      </c>
      <c r="AN197" s="276" t="e">
        <f>(AN144+AN145+AN149+AN153+AN154+AN155+AN161+AN166+AN176+AN179+AN180+AN189)</f>
        <v>#DIV/0!</v>
      </c>
      <c r="AO197" s="276" t="e">
        <f>(AO144+AO145+AO149+AO153+AO154+AO155+AO161+AO166+AO176+AO179+AO180+AO189)</f>
        <v>#DIV/0!</v>
      </c>
      <c r="AP197" s="276" t="e">
        <f>(AP144+AP145+AP149+AP153+AP154+AP155+AP161+AP166+AP176+AP179+AP180+AP189)</f>
        <v>#DIV/0!</v>
      </c>
      <c r="AQ197" s="276" t="e">
        <f>SUM(AQ144,AQ145,AQ149,AQ153,AQ154,AQ155,AQ161,AQ176,AQ179,AQ180,AQ189,AQ166)</f>
        <v>#DIV/0!</v>
      </c>
      <c r="AR197" s="276" t="e">
        <f>(AR144+AR145+AR149+AR153+AR154+AR155+AR161+AR166+AR176+AR179+AR180+AR189)</f>
        <v>#DIV/0!</v>
      </c>
      <c r="AS197" s="276" t="e">
        <f>(AS144+AS145+AS149+AS153+AS154+AS155+AS161+AS166+AS176+AS179+AS180+AS189)</f>
        <v>#DIV/0!</v>
      </c>
      <c r="AT197" s="276" t="e">
        <f>(AT144+AT145+AT149+AT153+AT154+AT155+AT161+AT166+AT176+AT179+AT180+AT189)</f>
        <v>#DIV/0!</v>
      </c>
      <c r="AU197" s="276" t="e">
        <f>(AU144+AU145+AU149+AU153+AU154+AU155+AU161+AU166+AU176+AU179+AU180+AU189)</f>
        <v>#DIV/0!</v>
      </c>
      <c r="AV197" s="276" t="e">
        <f>SUM(AV144,AV145,AV149,AV153,AV154,AV155,AV161,AV176,AV179,AV180,AV189,AV166)</f>
        <v>#DIV/0!</v>
      </c>
      <c r="AW197" s="276" t="e">
        <f>(AW144+AW145+AW149+AW153+AW154+AW155+AW161+AW166+AW176+AW179+AW180+AW189)</f>
        <v>#DIV/0!</v>
      </c>
      <c r="AX197" s="276" t="e">
        <f>(AX144+AX145+AX149+AX153+AX154+AX155+AX161+AX166+AX176+AX179+AX180+AX189)</f>
        <v>#DIV/0!</v>
      </c>
      <c r="AY197" s="276" t="e">
        <f>(AY144+AY145+AY149+AY153+AY154+AY155+AY161+AY166+AY176+AY179+AY180+AY189)</f>
        <v>#DIV/0!</v>
      </c>
      <c r="AZ197" s="276" t="e">
        <f>(AZ144+AZ145+AZ149+AZ153+AZ154+AZ155+AZ161+AZ166+AZ176+AZ179+AZ180+AZ189)</f>
        <v>#DIV/0!</v>
      </c>
      <c r="BA197" s="276" t="e">
        <f>SUM(BA144,BA145,BA149,BA153,BA154,BA155,BA161,BA176,BA179,BA180,BA189,BA166)</f>
        <v>#DIV/0!</v>
      </c>
      <c r="BB197" s="276" t="e">
        <f>(BB144+BB145+BB149+BB153+BB154+BB155+BB161+BB166+BB176+BB179+BB180+BB189)</f>
        <v>#DIV/0!</v>
      </c>
      <c r="BC197" s="276" t="e">
        <f>(BC144+BC145+BC149+BC153+BC154+BC155+BC161+BC166+BC176+BC179+BC180+BC189)</f>
        <v>#DIV/0!</v>
      </c>
      <c r="BD197" s="276" t="e">
        <f>(BD144+BD145+BD149+BD153+BD154+BD155+BD161+BD166+BD176+BD179+BD180+BD189)</f>
        <v>#DIV/0!</v>
      </c>
      <c r="BE197" s="276" t="e">
        <f>(BE144+BE145+BE149+BE153+BE154+BE155+BE161+BE166+BE176+BE179+BE180+BE189)</f>
        <v>#DIV/0!</v>
      </c>
      <c r="BF197" s="276" t="e">
        <f>SUM(BF144,BF145,BF149,BF153,BF154,BF155,BF161,BF176,BF179,BF180,BF189,BF166)</f>
        <v>#DIV/0!</v>
      </c>
      <c r="BG197" s="276" t="e">
        <f>(BG144+BG145+BG149+BG153+BG154+BG155+BG161+BG166+BG176+BG179+BG180+BG189)</f>
        <v>#DIV/0!</v>
      </c>
      <c r="BH197" s="276" t="e">
        <f>(BH144+BH145+BH149+BH153+BH154+BH155+BH161+BH166+BH176+BH179+BH180+BH189)</f>
        <v>#DIV/0!</v>
      </c>
      <c r="BI197" s="276" t="e">
        <f>(BI144+BI145+BI149+BI153+BI154+BI155+BI161+BI166+BI176+BI179+BI180+BI189)</f>
        <v>#DIV/0!</v>
      </c>
      <c r="BJ197" s="276" t="e">
        <f>(BJ144+BJ145+BJ149+BJ153+BJ154+BJ155+BJ161+BJ166+BJ176+BJ179+BJ180+BJ189)</f>
        <v>#DIV/0!</v>
      </c>
      <c r="BK197" s="276" t="e">
        <f>SUM(BK144,BK145,BK149,BK153,BK154,BK155,BK161,BK176,BK179,BK180,BK189,BK166)</f>
        <v>#DIV/0!</v>
      </c>
      <c r="BL197" s="276" t="e">
        <f>(BL144+BL145+BL149+BL153+BL154+BL155+BL161+BL166+BL176+BL179+BL180+BL189)</f>
        <v>#DIV/0!</v>
      </c>
      <c r="BM197" s="276" t="e">
        <f>(BM144+BM145+BM149+BM153+BM154+BM155+BM161+BM166+BM176+BM179+BM180+BM189)</f>
        <v>#DIV/0!</v>
      </c>
      <c r="BN197" s="276" t="e">
        <f>(BN144+BN145+BN149+BN153+BN154+BN155+BN161+BN166+BN176+BN179+BN180+BN189)</f>
        <v>#DIV/0!</v>
      </c>
      <c r="BO197" s="276" t="e">
        <f>(BO144+BO145+BO149+BO153+BO154+BO155+BO161+BO166+BO176+BO179+BO180+BO189)</f>
        <v>#DIV/0!</v>
      </c>
      <c r="BP197" s="276" t="e">
        <f>SUM(BP144,BP145,BP149,BP153,BP154,BP155,BP161,BP176,BP179,BP180,BP189,BP166)</f>
        <v>#DIV/0!</v>
      </c>
      <c r="BQ197" s="276" t="e">
        <f>(BQ144+BQ145+BQ149+BQ153+BQ154+BQ155+BQ161+BQ166+BQ176+BQ179+BQ180+BQ189)</f>
        <v>#DIV/0!</v>
      </c>
      <c r="BR197" s="276" t="e">
        <f>(BR144+BR145+BR149+BR153+BR154+BR155+BR161+BR166+BR176+BR179+BR180+BR189)</f>
        <v>#DIV/0!</v>
      </c>
      <c r="BS197" s="276" t="e">
        <f>(BS144+BS145+BS149+BS153+BS154+BS155+BS161+BS166+BS176+BS179+BS180+BS189)</f>
        <v>#DIV/0!</v>
      </c>
      <c r="BT197" s="276" t="e">
        <f>(BT144+BT145+BT149+BT153+BT154+BT155+BT161+BT166+BT176+BT179+BT180+BT189)</f>
        <v>#DIV/0!</v>
      </c>
      <c r="BU197" s="276" t="e">
        <f>SUM(BU144,BU145,BU149,BU153,BU154,BU155,BU161,BU176,BU179,BU180,BU189,BU166)</f>
        <v>#DIV/0!</v>
      </c>
      <c r="BV197" s="276" t="e">
        <f>(BV144+BV145+BV149+BV153+BV154+BV155+BV161+BV166+BV176+BV179+BV180+BV189)</f>
        <v>#DIV/0!</v>
      </c>
      <c r="BW197" s="276" t="e">
        <f>(BW144+BW145+BW149+BW153+BW154+BW155+BW161+BW166+BW176+BW179+BW180+BW189)</f>
        <v>#DIV/0!</v>
      </c>
      <c r="BX197" s="276" t="e">
        <f>(BX144+BX145+BX149+BX153+BX154+BX155+BX161+BX166+BX176+BX179+BX180+BX189)</f>
        <v>#DIV/0!</v>
      </c>
      <c r="BY197" s="276" t="e">
        <f>(BY144+BY145+BY149+BY153+BY154+BY155+BY161+BY166+BY176+BY179+BY180+BY189)</f>
        <v>#DIV/0!</v>
      </c>
      <c r="BZ197" s="276" t="e">
        <f>SUM(BZ144,BZ145,BZ149,BZ153,BZ154,BZ155,BZ161,BZ176,BZ179,BZ180,BZ189,BZ166)</f>
        <v>#DIV/0!</v>
      </c>
      <c r="CA197" s="276" t="e">
        <f>(CA144+CA145+CA149+CA153+CA154+CA155+CA161+CA166+CA176+CA179+CA180+CA189)</f>
        <v>#DIV/0!</v>
      </c>
      <c r="CB197" s="276" t="e">
        <f>(CB144+CB145+CB149+CB153+CB154+CB155+CB161+CB166+CB176+CB179+CB180+CB189)</f>
        <v>#DIV/0!</v>
      </c>
      <c r="CC197" s="276" t="e">
        <f>(CC144+CC145+CC149+CC153+CC154+CC155+CC161+CC166+CC176+CC179+CC180+CC189)</f>
        <v>#DIV/0!</v>
      </c>
      <c r="CD197" s="276" t="e">
        <f>(CD144+CD145+CD149+CD153+CD154+CD155+CD161+CD166+CD176+CD179+CD180+CD189)</f>
        <v>#DIV/0!</v>
      </c>
      <c r="CE197" s="276" t="e">
        <f>SUM(CE144,CE145,CE149,CE153,CE154,CE155,CE161,CE176,CE179,CE180,CE189,CE166)</f>
        <v>#DIV/0!</v>
      </c>
      <c r="CF197" s="276" t="e">
        <f>(CF144+CF145+CF149+CF153+CF154+CF155+CF161+CF166+CF176+CF179+CF180+CF189)</f>
        <v>#DIV/0!</v>
      </c>
      <c r="CG197" s="276" t="e">
        <f>(CG144+CG145+CG149+CG153+CG154+CG155+CG161+CG166+CG176+CG179+CG180+CG189)</f>
        <v>#DIV/0!</v>
      </c>
      <c r="CH197" s="276" t="e">
        <f>(CH144+CH145+CH149+CH153+CH154+CH155+CH161+CH166+CH176+CH179+CH180+CH189)</f>
        <v>#DIV/0!</v>
      </c>
      <c r="CI197" s="276" t="e">
        <f>(CI144+CI145+CI149+CI153+CI154+CI155+CI161+CI166+CI176+CI179+CI180+CI189)</f>
        <v>#DIV/0!</v>
      </c>
      <c r="CJ197" s="276" t="e">
        <f>SUM(CJ144,CJ145,CJ149,CJ153,CJ154,CJ155,CJ161,CJ176,CJ179,CJ180,CJ189,CJ166)</f>
        <v>#DIV/0!</v>
      </c>
      <c r="CK197" s="276" t="e">
        <f>(CK144+CK145+CK149+CK153+CK154+CK155+CK161+CK166+CK176+CK179+CK180+CK189)</f>
        <v>#DIV/0!</v>
      </c>
      <c r="CL197" s="276" t="e">
        <f>(CL144+CL145+CL149+CL153+CL154+CL155+CL161+CL166+CL176+CL179+CL180+CL189)</f>
        <v>#DIV/0!</v>
      </c>
      <c r="CM197" s="276" t="e">
        <f>(CM144+CM145+CM149+CM153+CM154+CM155+CM161+CM166+CM176+CM179+CM180+CM189)</f>
        <v>#DIV/0!</v>
      </c>
      <c r="CN197" s="276" t="e">
        <f>(CN144+CN145+CN149+CN153+CN154+CN155+CN161+CN166+CN176+CN179+CN180+CN189)</f>
        <v>#DIV/0!</v>
      </c>
      <c r="CO197" s="276" t="e">
        <f>SUM(CO144,CO145,CO149,CO153,CO154,CO155,CO161,CO176,CO179,CO180,CO189,CO166)</f>
        <v>#DIV/0!</v>
      </c>
      <c r="CP197" s="276" t="e">
        <f>(CP144+CP145+CP149+CP153+CP154+CP155+CP161+CP166+CP176+CP179+CP180+CP189)</f>
        <v>#DIV/0!</v>
      </c>
      <c r="CQ197" s="276" t="e">
        <f>(CQ144+CQ145+CQ149+CQ153+CQ154+CQ155+CQ161+CQ166+CQ176+CQ179+CQ180+CQ189)</f>
        <v>#DIV/0!</v>
      </c>
      <c r="CR197" s="276" t="e">
        <f>(CR144+CR145+CR149+CR153+CR154+CR155+CR161+CR166+CR176+CR179+CR180+CR189)</f>
        <v>#DIV/0!</v>
      </c>
      <c r="CS197" s="276" t="e">
        <f>(CS144+CS145+CS149+CS153+CS154+CS155+CS161+CS166+CS176+CS179+CS180+CS189)</f>
        <v>#DIV/0!</v>
      </c>
      <c r="CT197" s="276" t="e">
        <f>SUM(CT144,CT145,CT149,CT153,CT154,CT155,CT161,CT176,CT179,CT180,CT189,CT166)</f>
        <v>#DIV/0!</v>
      </c>
      <c r="CU197" s="276" t="e">
        <f>(CU144+CU145+CU149+CU153+CU154+CU155+CU161+CU166+CU176+CU179+CU180+CU189)</f>
        <v>#DIV/0!</v>
      </c>
      <c r="CV197" s="276" t="e">
        <f>(CV144+CV145+CV149+CV153+CV154+CV155+CV161+CV166+CV176+CV179+CV180+CV189)</f>
        <v>#DIV/0!</v>
      </c>
      <c r="CW197" s="276" t="e">
        <f>(CW144+CW145+CW149+CW153+CW154+CW155+CW161+CW166+CW176+CW179+CW180+CW189)</f>
        <v>#DIV/0!</v>
      </c>
      <c r="CX197" s="276" t="e">
        <f>(CX144+CX145+CX149+CX153+CX154+CX155+CX161+CX166+CX176+CX179+CX180+CX189)</f>
        <v>#DIV/0!</v>
      </c>
      <c r="CY197" s="276" t="e">
        <f>SUM(CY144,CY145,CY149,CY153,CY154,CY155,CY161,CY176,CY179,CY180,CY189,CY166)</f>
        <v>#DIV/0!</v>
      </c>
    </row>
    <row r="198" ht="12.75" customHeight="1" s="255">
      <c r="C198" s="270" t="inlineStr">
        <is>
          <t>Accounts payable</t>
        </is>
      </c>
      <c r="D198" s="301">
        <f>INDEX('Inputs (2)'!$D$28:$AL$28,MATCH(D$7,'Inputs (2)'!$D$2:$AL$2,0))</f>
        <v>3368</v>
      </c>
      <c r="E198" s="301">
        <f>INDEX('Inputs (2)'!$D$28:$AL$28,MATCH(E$7,'Inputs (2)'!$D$2:$AL$2,0))</f>
        <v>2602</v>
      </c>
      <c r="F198" s="301">
        <f>INDEX('Inputs (2)'!$D$28:$AL$28,MATCH(F$7,'Inputs (2)'!$D$2:$AL$2,0))</f>
        <v>2708</v>
      </c>
      <c r="G198" s="301">
        <f>INDEX('Inputs (2)'!$D$28:$AL$28,MATCH(G$7,'Inputs (2)'!$D$2:$AL$2,0))</f>
        <v>2636</v>
      </c>
      <c r="H198" s="268">
        <f>G198</f>
        <v>2636</v>
      </c>
      <c r="I198" s="301">
        <f>INDEX('Inputs (2)'!$D$28:$AL$28,MATCH(I$7,'Inputs (2)'!$D$2:$AL$2,0))</f>
        <v>3842</v>
      </c>
      <c r="J198" s="301">
        <f>INDEX('Inputs (2)'!$D$28:$AL$28,MATCH(J$7,'Inputs (2)'!$D$2:$AL$2,0))</f>
        <v>3634</v>
      </c>
      <c r="K198" s="301">
        <f>INDEX('Inputs (2)'!$D$28:$AL$28,MATCH(K$7,'Inputs (2)'!$D$2:$AL$2,0))</f>
        <v>3944</v>
      </c>
      <c r="L198" s="301">
        <f>INDEX('Inputs (2)'!$D$28:$AL$28,MATCH(L$7,'Inputs (2)'!$D$2:$AL$2,0))</f>
        <v>4250</v>
      </c>
      <c r="M198" s="268">
        <f>L198</f>
        <v>4250</v>
      </c>
      <c r="N198" s="301">
        <f>INDEX('Inputs (2)'!$D$28:$AL$28,MATCH(N$7,'Inputs (2)'!$D$2:$AL$2,0))</f>
        <v>5836</v>
      </c>
      <c r="O198" s="301">
        <f>INDEX('Inputs (2)'!$D$28:$AL$28,MATCH(O$7,'Inputs (2)'!$D$2:$AL$2,0))</f>
        <v>5347</v>
      </c>
      <c r="P198" s="301">
        <f>INDEX('Inputs (2)'!$D$28:$AL$28,MATCH(P$7,'Inputs (2)'!$D$2:$AL$2,0))</f>
        <v>4455</v>
      </c>
      <c r="Q198" s="301">
        <f>INDEX('Inputs (2)'!$D$28:$AL$28,MATCH(Q$7,'Inputs (2)'!$D$2:$AL$2,0))</f>
        <v>4386</v>
      </c>
      <c r="R198" s="268">
        <f>Q198</f>
        <v>4386</v>
      </c>
      <c r="S198" s="301">
        <f>INDEX('Inputs (2)'!$D$28:$AL$28,MATCH(S$7,'Inputs (2)'!$D$2:$AL$2,0))</f>
        <v>5476</v>
      </c>
      <c r="T198" s="301">
        <f>INDEX('Inputs (2)'!$D$28:$AL$28,MATCH(T$7,'Inputs (2)'!$D$2:$AL$2,0))</f>
        <v>4248</v>
      </c>
      <c r="U198" s="301">
        <f>INDEX('Inputs (2)'!$D$28:$AL$28,MATCH(U$7,'Inputs (2)'!$D$2:$AL$2,0))</f>
        <v>3975</v>
      </c>
      <c r="V198" s="301">
        <f>INDEX('Inputs (2)'!$D$28:$AL$28,MATCH(V$7,'Inputs (2)'!$D$2:$AL$2,0))</f>
        <v>3664</v>
      </c>
      <c r="W198" s="268">
        <f>V198</f>
        <v>3664</v>
      </c>
      <c r="X198" s="301">
        <f>INDEX('Inputs (2)'!$D$28:$AL$28,MATCH(X$7,'Inputs (2)'!$D$2:$AL$2,0))</f>
        <v>4503</v>
      </c>
      <c r="Y198" s="301">
        <f>INDEX('Inputs (2)'!$D$28:$AL$28,MATCH(Y$7,'Inputs (2)'!$D$2:$AL$2,0))</f>
        <v>3429</v>
      </c>
      <c r="Z198" s="301">
        <f>INDEX('Inputs (2)'!$D$28:$AL$28,MATCH(Z$7,'Inputs (2)'!$D$2:$AL$2,0))</f>
        <v>3211</v>
      </c>
      <c r="AA198" s="301">
        <f>INDEX('Inputs (2)'!$D$28:$AL$28,MATCH(AA$7,'Inputs (2)'!$D$2:$AL$2,0))</f>
        <v>2777</v>
      </c>
      <c r="AB198" s="268">
        <f>AA198</f>
        <v>2777</v>
      </c>
      <c r="AC198" s="301">
        <f>INDEX('Inputs (2)'!$D$28:$AL$28,MATCH(AC$7,'Inputs (2)'!$D$2:$AL$2,0))</f>
        <v>3831</v>
      </c>
      <c r="AD198" s="301">
        <f>INDEX('Inputs (2)'!$D$28:$AL$28,MATCH(AD$7,'Inputs (2)'!$D$2:$AL$2,0))</f>
        <v>2894</v>
      </c>
      <c r="AE198" s="301">
        <f>INDEX('Inputs (2)'!$D$28:$AL$28,MATCH(AE$7,'Inputs (2)'!$D$2:$AL$2,0))</f>
        <v>4780</v>
      </c>
      <c r="AF198" s="301">
        <f>INDEX('Inputs (2)'!$D$28:$AL$28,MATCH(AF$7,'Inputs (2)'!$D$2:$AL$2,0))</f>
        <v>4881</v>
      </c>
      <c r="AG198" s="268">
        <f>AF198</f>
        <v>4881</v>
      </c>
      <c r="AH198" s="268">
        <f>INDEX('Inputs (2)'!$D$28:$AL$28,MATCH(AH$7,'Inputs (2)'!$D$2:$AL$2,0))</f>
        <v>6176</v>
      </c>
      <c r="AI198" s="268">
        <f>INDEX('Inputs (2)'!$D$28:$AL$28,MATCH(AI$7,'Inputs (2)'!$D$2:$AL$2,0))</f>
        <v>5370</v>
      </c>
      <c r="AJ198" s="268">
        <f>(AJ199/(AJ$5-AI$5))*-AJ54</f>
        <v>0</v>
      </c>
      <c r="AK198" s="268">
        <f>(AK199/(AK$5-AJ$5))*-AK54</f>
        <v>0</v>
      </c>
      <c r="AL198" s="268">
        <f>AK198</f>
        <v>0</v>
      </c>
      <c r="AM198" s="268">
        <f>(AM199/(AM$5-AL$5))*-AM54</f>
        <v>0</v>
      </c>
      <c r="AN198" s="268">
        <f>(AN199/(AN$5-AM$5))*-AN54</f>
        <v>0</v>
      </c>
      <c r="AO198" s="268">
        <f>(AO199/(AO$5-AN$5))*-AO54</f>
        <v>0</v>
      </c>
      <c r="AP198" s="268">
        <f>(AP199/(AP$5-AO$5))*-AP54</f>
        <v>0</v>
      </c>
      <c r="AQ198" s="268">
        <f>AP198</f>
        <v>0</v>
      </c>
      <c r="AR198" s="268">
        <f>(AR199/(AR$5-AQ$5))*-AR54</f>
        <v>0</v>
      </c>
      <c r="AS198" s="268">
        <f>(AS199/(AS$5-AR$5))*-AS54</f>
        <v>0</v>
      </c>
      <c r="AT198" s="268">
        <f>(AT199/(AT$5-AS$5))*-AT54</f>
        <v>0</v>
      </c>
      <c r="AU198" s="268">
        <f>(AU199/(AU$5-AT$5))*-AU54</f>
        <v>0</v>
      </c>
      <c r="AV198" s="268">
        <f>AU198</f>
        <v>0</v>
      </c>
      <c r="AW198" s="268">
        <f>(AW199/(AW$5-AV$5))*-AW54</f>
        <v>0</v>
      </c>
      <c r="AX198" s="268">
        <f>(AX199/(AX$5-AW$5))*-AX54</f>
        <v>0</v>
      </c>
      <c r="AY198" s="268">
        <f>(AY199/(AY$5-AX$5))*-AY54</f>
        <v>0</v>
      </c>
      <c r="AZ198" s="268">
        <f>(AZ199/(AZ$5-AY$5))*-AZ54</f>
        <v>0</v>
      </c>
      <c r="BA198" s="268">
        <f>AZ198</f>
        <v>0</v>
      </c>
      <c r="BB198" s="268">
        <f>(BB199/(BB$5-BA$5))*-BB54</f>
        <v>0</v>
      </c>
      <c r="BC198" s="268">
        <f>(BC199/(BC$5-BB$5))*-BC54</f>
        <v>0</v>
      </c>
      <c r="BD198" s="268">
        <f>(BD199/(BD$5-BC$5))*-BD54</f>
        <v>0</v>
      </c>
      <c r="BE198" s="268">
        <f>(BE199/(BE$5-BD$5))*-BE54</f>
        <v>0</v>
      </c>
      <c r="BF198" s="268">
        <f>BE198</f>
        <v>0</v>
      </c>
      <c r="BG198" s="268">
        <f>(BG199/(BG$5-BF$5))*-BG54</f>
        <v>0</v>
      </c>
      <c r="BH198" s="268">
        <f>(BH199/(BH$5-BG$5))*-BH54</f>
        <v>0</v>
      </c>
      <c r="BI198" s="268">
        <f>(BI199/(BI$5-BH$5))*-BI54</f>
        <v>0</v>
      </c>
      <c r="BJ198" s="268">
        <f>(BJ199/(BJ$5-BI$5))*-BJ54</f>
        <v>0</v>
      </c>
      <c r="BK198" s="268">
        <f>BJ198</f>
        <v>0</v>
      </c>
      <c r="BL198" s="268">
        <f>(BL199/(BL$5-BK$5))*-BL54</f>
        <v>0</v>
      </c>
      <c r="BM198" s="268">
        <f>(BM199/(BM$5-BL$5))*-BM54</f>
        <v>0</v>
      </c>
      <c r="BN198" s="268">
        <f>(BN199/(BN$5-BM$5))*-BN54</f>
        <v>0</v>
      </c>
      <c r="BO198" s="268">
        <f>(BO199/(BO$5-BN$5))*-BO54</f>
        <v>0</v>
      </c>
      <c r="BP198" s="268">
        <f>BO198</f>
        <v>0</v>
      </c>
      <c r="BQ198" s="268">
        <f>(BQ199/(BQ$5-BP$5))*-BQ54</f>
        <v>0</v>
      </c>
      <c r="BR198" s="268">
        <f>(BR199/(BR$5-BQ$5))*-BR54</f>
        <v>0</v>
      </c>
      <c r="BS198" s="268">
        <f>(BS199/(BS$5-BR$5))*-BS54</f>
        <v>0</v>
      </c>
      <c r="BT198" s="268">
        <f>(BT199/(BT$5-BS$5))*-BT54</f>
        <v>0</v>
      </c>
      <c r="BU198" s="268">
        <f>BT198</f>
        <v>0</v>
      </c>
      <c r="BV198" s="268">
        <f>(BV199/(BV$5-BU$5))*-BV54</f>
        <v>0</v>
      </c>
      <c r="BW198" s="268">
        <f>(BW199/(BW$5-BV$5))*-BW54</f>
        <v>0</v>
      </c>
      <c r="BX198" s="268">
        <f>(BX199/(BX$5-BW$5))*-BX54</f>
        <v>0</v>
      </c>
      <c r="BY198" s="268">
        <f>(BY199/(BY$5-BX$5))*-BY54</f>
        <v>0</v>
      </c>
      <c r="BZ198" s="268">
        <f>BY198</f>
        <v>0</v>
      </c>
      <c r="CA198" s="268">
        <f>(CA199/(CA$5-BZ$5))*-CA54</f>
        <v>0</v>
      </c>
      <c r="CB198" s="268">
        <f>(CB199/(CB$5-CA$5))*-CB54</f>
        <v>0</v>
      </c>
      <c r="CC198" s="268">
        <f>(CC199/(CC$5-CB$5))*-CC54</f>
        <v>0</v>
      </c>
      <c r="CD198" s="268">
        <f>(CD199/(CD$5-CC$5))*-CD54</f>
        <v>0</v>
      </c>
      <c r="CE198" s="268">
        <f>CD198</f>
        <v>0</v>
      </c>
      <c r="CF198" s="268">
        <f>(CF199/(CF$5-CE$5))*-CF54</f>
        <v>0</v>
      </c>
      <c r="CG198" s="268">
        <f>(CG199/(CG$5-CF$5))*-CG54</f>
        <v>0</v>
      </c>
      <c r="CH198" s="268">
        <f>(CH199/(CH$5-CG$5))*-CH54</f>
        <v>0</v>
      </c>
      <c r="CI198" s="268">
        <f>(CI199/(CI$5-CH$5))*-CI54</f>
        <v>0</v>
      </c>
      <c r="CJ198" s="268">
        <f>CI198</f>
        <v>0</v>
      </c>
      <c r="CK198" s="268">
        <f>(CK199/(CK$5-CJ$5))*-CK54</f>
        <v>0</v>
      </c>
      <c r="CL198" s="268">
        <f>(CL199/(CL$5-CK$5))*-CL54</f>
        <v>0</v>
      </c>
      <c r="CM198" s="268">
        <f>(CM199/(CM$5-CL$5))*-CM54</f>
        <v>0</v>
      </c>
      <c r="CN198" s="268">
        <f>(CN199/(CN$5-CM$5))*-CN54</f>
        <v>0</v>
      </c>
      <c r="CO198" s="268">
        <f>CN198</f>
        <v>0</v>
      </c>
      <c r="CP198" s="268">
        <f>(CP199/(CP$5-CO$5))*-CP54</f>
        <v>0</v>
      </c>
      <c r="CQ198" s="268">
        <f>(CQ199/(CQ$5-CP$5))*-CQ54</f>
        <v>0</v>
      </c>
      <c r="CR198" s="268">
        <f>(CR199/(CR$5-CQ$5))*-CR54</f>
        <v>0</v>
      </c>
      <c r="CS198" s="268">
        <f>(CS199/(CS$5-CR$5))*-CS54</f>
        <v>0</v>
      </c>
      <c r="CT198" s="268">
        <f>CS198</f>
        <v>0</v>
      </c>
      <c r="CU198" s="268">
        <f>(CU199/(CU$5-CT$5))*-CU54</f>
        <v>0</v>
      </c>
      <c r="CV198" s="268">
        <f>(CV199/(CV$5-CU$5))*-CV54</f>
        <v>0</v>
      </c>
      <c r="CW198" s="268">
        <f>(CW199/(CW$5-CV$5))*-CW54</f>
        <v>0</v>
      </c>
      <c r="CX198" s="268">
        <f>(CX199/(CX$5-CW$5))*-CX54</f>
        <v>0</v>
      </c>
      <c r="CY198" s="268">
        <f>CX198</f>
        <v>0</v>
      </c>
    </row>
    <row r="199" hidden="1" outlineLevel="1" ht="12.75" customHeight="1" s="255">
      <c r="C199" s="312" t="inlineStr">
        <is>
          <t>DPO</t>
        </is>
      </c>
      <c r="D199" s="268" t="n"/>
      <c r="E199" s="268">
        <f>-(E198/E$54)*(E$5-D$5)</f>
        <v>28.6904156064461</v>
      </c>
      <c r="F199" s="268">
        <f>-(F198/F$54)*(F$5-E$5)</f>
        <v>26.3608083800656</v>
      </c>
      <c r="G199" s="268">
        <f>-(G198/G$54)*(G$5-F$5)</f>
        <v>20.9170260479558</v>
      </c>
      <c r="H199" s="268" t="n"/>
      <c r="I199" s="268">
        <f>-(I198/I$54)*(I$5-H$5)</f>
        <v>29.5336522036215</v>
      </c>
      <c r="J199" s="268">
        <f>-(J198/J$54)*(J$5-I$5)</f>
        <v>22.6192886456908</v>
      </c>
      <c r="K199" s="268">
        <f>-(K198/K$54)*(K$5-J$5)</f>
        <v>27.5930038022814</v>
      </c>
      <c r="L199" s="268">
        <f>-(L198/L$54)*(L$5-K$5)</f>
        <v>24.6113174293448</v>
      </c>
      <c r="M199" s="268" t="n"/>
      <c r="N199" s="268">
        <f>-(N198/N$54)*(N$5-M$5)</f>
        <v>36.039522437217</v>
      </c>
      <c r="O199" s="268">
        <f>-(O198/O$54)*(O$5-N$5)</f>
        <v>28.5231842429216</v>
      </c>
      <c r="P199" s="268">
        <f>-(P198/P$54)*(P$5-O$5)</f>
        <v>25.9898541534559</v>
      </c>
      <c r="Q199" s="268">
        <f>-(Q198/Q$54)*(Q$5-P$5)</f>
        <v>25.6377152296842</v>
      </c>
      <c r="R199" s="268" t="n"/>
      <c r="S199" s="268">
        <f>-(S198/S$54)*(S$5-R$5)</f>
        <v>35.0900676397294</v>
      </c>
      <c r="T199" s="268">
        <f>-(T198/T$54)*(T$5-S$5)</f>
        <v>28.470172337605</v>
      </c>
      <c r="U199" s="268">
        <f>-(U198/U$54)*(U$5-T$5)</f>
        <v>27.9736862235141</v>
      </c>
      <c r="V199" s="268">
        <f>-(V198/V$54)*(V$5-U$5)</f>
        <v>24.8810156480661</v>
      </c>
      <c r="W199" s="268" t="n"/>
      <c r="X199" s="268">
        <f>-(X198/X$54)*(X$5-W$5)</f>
        <v>32.9691045136375</v>
      </c>
      <c r="Y199" s="268">
        <f>-(Y198/Y$54)*(Y$5-X$5)</f>
        <v>25.0372302013961</v>
      </c>
      <c r="Z199" s="268">
        <f>-(Z198/Z$54)*(Z$5-Y$5)</f>
        <v>24.582840975285</v>
      </c>
      <c r="AA199" s="268">
        <f>-(AA198/AA$54)*(AA$5-Z$5)</f>
        <v>20.7070838061274</v>
      </c>
      <c r="AB199" s="268" t="n"/>
      <c r="AC199" s="268">
        <f>-(AC198/AC$54)*(AC$5-AB$5)</f>
        <v>31.5568369028007</v>
      </c>
      <c r="AD199" s="268">
        <f>-(AD198/AD$54)*(AD$5-AC$5)</f>
        <v>22.1027276542174</v>
      </c>
      <c r="AE199" s="268">
        <f>-(AE198/AE$54)*(AE$5-AD$5)</f>
        <v>21.0905951752914</v>
      </c>
      <c r="AF199" s="267">
        <f>-(AF198/AF$54)*(AF$5-AE$5)</f>
        <v>19.9357158712542</v>
      </c>
      <c r="AG199" s="268" t="n"/>
      <c r="AH199" s="267">
        <f>-(AH198/AH$54)*(AH$5-AG$5)</f>
        <v>26.6500455482572</v>
      </c>
      <c r="AI199" s="267">
        <f>-(AI198/AI$54)*(AI$5-AH$5)</f>
        <v>22.10776330076</v>
      </c>
      <c r="AJ199" s="267" t="n"/>
      <c r="AK199" s="267" t="n"/>
      <c r="AL199" s="268" t="n"/>
      <c r="AM199" s="267" t="n"/>
      <c r="AN199" s="267" t="n"/>
      <c r="AO199" s="267" t="n"/>
      <c r="AP199" s="267" t="n"/>
      <c r="AQ199" s="268" t="n"/>
      <c r="AR199" s="267" t="n"/>
      <c r="AS199" s="267" t="n"/>
      <c r="AT199" s="267" t="n"/>
      <c r="AU199" s="267" t="n"/>
      <c r="AV199" s="268" t="n"/>
      <c r="AW199" s="267" t="n"/>
      <c r="AX199" s="267" t="n"/>
      <c r="AY199" s="267" t="n"/>
      <c r="AZ199" s="267" t="n"/>
      <c r="BA199" s="268" t="n"/>
      <c r="BB199" s="267" t="n"/>
      <c r="BC199" s="267" t="n"/>
      <c r="BD199" s="267" t="n"/>
      <c r="BE199" s="267" t="n"/>
      <c r="BF199" s="268" t="n"/>
      <c r="BG199" s="267" t="n"/>
      <c r="BH199" s="267" t="n"/>
      <c r="BI199" s="267" t="n"/>
      <c r="BJ199" s="267" t="n"/>
      <c r="BK199" s="268" t="n"/>
      <c r="BL199" s="267" t="n"/>
      <c r="BM199" s="267" t="n"/>
      <c r="BN199" s="267" t="n"/>
      <c r="BO199" s="267" t="n"/>
      <c r="BP199" s="268" t="n"/>
      <c r="BQ199" s="267" t="n"/>
      <c r="BR199" s="267" t="n"/>
      <c r="BS199" s="267" t="n"/>
      <c r="BT199" s="267" t="n"/>
      <c r="BU199" s="268" t="n"/>
      <c r="BV199" s="267" t="n"/>
      <c r="BW199" s="267" t="n"/>
      <c r="BX199" s="267" t="n"/>
      <c r="BY199" s="267" t="n"/>
      <c r="BZ199" s="268" t="n"/>
      <c r="CA199" s="267" t="n"/>
      <c r="CB199" s="267" t="n"/>
      <c r="CC199" s="267" t="n"/>
      <c r="CD199" s="267" t="n"/>
      <c r="CE199" s="268" t="n"/>
      <c r="CF199" s="267" t="n"/>
      <c r="CG199" s="267" t="n"/>
      <c r="CH199" s="267" t="n"/>
      <c r="CI199" s="267" t="n"/>
      <c r="CJ199" s="268" t="n"/>
      <c r="CK199" s="267" t="n"/>
      <c r="CL199" s="267" t="n"/>
      <c r="CM199" s="267" t="n"/>
      <c r="CN199" s="267" t="n"/>
      <c r="CO199" s="268" t="n"/>
      <c r="CP199" s="267" t="n"/>
      <c r="CQ199" s="267" t="n"/>
      <c r="CR199" s="267" t="n"/>
      <c r="CS199" s="267" t="n"/>
      <c r="CT199" s="268" t="n"/>
      <c r="CU199" s="267" t="n"/>
      <c r="CV199" s="267" t="n"/>
      <c r="CW199" s="267" t="n"/>
      <c r="CX199" s="267" t="n"/>
      <c r="CY199" s="268" t="n"/>
    </row>
    <row r="200" hidden="1" outlineLevel="1" ht="12.75" customHeight="1" s="255">
      <c r="C200" s="312" t="n"/>
      <c r="D200" s="268" t="n"/>
      <c r="E200" s="268" t="n"/>
      <c r="F200" s="268" t="n"/>
      <c r="G200" s="268" t="n"/>
      <c r="H200" s="268" t="n"/>
      <c r="I200" s="268" t="n"/>
      <c r="J200" s="268" t="n"/>
      <c r="K200" s="268" t="n"/>
      <c r="L200" s="268" t="n"/>
      <c r="M200" s="268" t="n"/>
      <c r="N200" s="268" t="n"/>
      <c r="O200" s="268" t="n"/>
      <c r="P200" s="268" t="n"/>
      <c r="Q200" s="268" t="n"/>
      <c r="R200" s="268" t="n"/>
      <c r="S200" s="268" t="n"/>
      <c r="T200" s="268" t="n"/>
      <c r="U200" s="268" t="n"/>
      <c r="V200" s="268" t="n"/>
      <c r="W200" s="268" t="n"/>
      <c r="X200" s="268" t="n"/>
      <c r="Y200" s="268" t="n"/>
      <c r="Z200" s="268" t="n"/>
      <c r="AA200" s="268" t="n"/>
      <c r="AB200" s="268" t="n"/>
      <c r="AC200" s="268" t="n"/>
      <c r="AD200" s="268" t="n"/>
      <c r="AE200" s="268" t="n"/>
      <c r="AF200" s="268" t="n"/>
      <c r="AG200" s="268" t="n"/>
      <c r="AH200" s="268" t="n"/>
      <c r="AI200" s="268" t="n"/>
      <c r="AJ200" s="268" t="n"/>
      <c r="AK200" s="268" t="n"/>
      <c r="AL200" s="268" t="n"/>
      <c r="AM200" s="268" t="n"/>
      <c r="AN200" s="268" t="n"/>
      <c r="AO200" s="268" t="n"/>
      <c r="AP200" s="268" t="n"/>
      <c r="AQ200" s="268" t="n"/>
      <c r="AR200" s="268" t="n"/>
      <c r="AS200" s="268" t="n"/>
      <c r="AT200" s="268" t="n"/>
      <c r="AU200" s="268" t="n"/>
      <c r="AV200" s="268" t="n"/>
      <c r="AW200" s="268" t="n"/>
      <c r="AX200" s="268" t="n"/>
      <c r="AY200" s="268" t="n"/>
      <c r="AZ200" s="268" t="n"/>
      <c r="BA200" s="268" t="n"/>
      <c r="BB200" s="268" t="n"/>
      <c r="BC200" s="268" t="n"/>
      <c r="BD200" s="268" t="n"/>
      <c r="BE200" s="268" t="n"/>
      <c r="BF200" s="268" t="n"/>
      <c r="BG200" s="268" t="n"/>
      <c r="BH200" s="268" t="n"/>
      <c r="BI200" s="268" t="n"/>
      <c r="BJ200" s="268" t="n"/>
      <c r="BK200" s="268" t="n"/>
      <c r="BL200" s="268" t="n"/>
      <c r="BM200" s="268" t="n"/>
      <c r="BN200" s="268" t="n"/>
      <c r="BO200" s="268" t="n"/>
      <c r="BP200" s="268" t="n"/>
      <c r="BQ200" s="268" t="n"/>
      <c r="BR200" s="268" t="n"/>
      <c r="BS200" s="268" t="n"/>
      <c r="BT200" s="268" t="n"/>
      <c r="BU200" s="268" t="n"/>
      <c r="BV200" s="268" t="n"/>
      <c r="BW200" s="268" t="n"/>
      <c r="BX200" s="268" t="n"/>
      <c r="BY200" s="268" t="n"/>
      <c r="BZ200" s="268" t="n"/>
      <c r="CA200" s="268" t="n"/>
      <c r="CB200" s="268" t="n"/>
      <c r="CC200" s="268" t="n"/>
      <c r="CD200" s="268" t="n"/>
      <c r="CE200" s="268" t="n"/>
      <c r="CF200" s="268" t="n"/>
      <c r="CG200" s="268" t="n"/>
      <c r="CH200" s="268" t="n"/>
      <c r="CI200" s="268" t="n"/>
      <c r="CJ200" s="268" t="n"/>
      <c r="CK200" s="268" t="n"/>
      <c r="CL200" s="268" t="n"/>
      <c r="CM200" s="268" t="n"/>
      <c r="CN200" s="268" t="n"/>
      <c r="CO200" s="268" t="n"/>
      <c r="CP200" s="268" t="n"/>
      <c r="CQ200" s="268" t="n"/>
      <c r="CR200" s="268" t="n"/>
      <c r="CS200" s="268" t="n"/>
      <c r="CT200" s="268" t="n"/>
      <c r="CU200" s="268" t="n"/>
      <c r="CV200" s="268" t="n"/>
      <c r="CW200" s="268" t="n"/>
      <c r="CX200" s="268" t="n"/>
      <c r="CY200" s="268" t="n"/>
    </row>
    <row r="201" hidden="1" outlineLevel="1" ht="12.75" customHeight="1" s="255">
      <c r="C201" s="312" t="n"/>
      <c r="D201" s="268" t="n"/>
      <c r="E201" s="268" t="n"/>
      <c r="F201" s="268" t="n"/>
      <c r="G201" s="268" t="n"/>
      <c r="H201" s="268" t="n"/>
      <c r="I201" s="268" t="n"/>
      <c r="J201" s="268" t="n"/>
      <c r="K201" s="268" t="n"/>
      <c r="L201" s="268" t="n"/>
      <c r="M201" s="268" t="n"/>
      <c r="N201" s="268" t="n"/>
      <c r="O201" s="268" t="n"/>
      <c r="P201" s="268" t="n"/>
      <c r="Q201" s="268" t="n"/>
      <c r="R201" s="268" t="n"/>
      <c r="S201" s="268" t="n"/>
      <c r="T201" s="268" t="n"/>
      <c r="U201" s="268" t="n"/>
      <c r="V201" s="268" t="n"/>
      <c r="W201" s="268" t="n"/>
      <c r="X201" s="268" t="n"/>
      <c r="Y201" s="268" t="n"/>
      <c r="Z201" s="268" t="n"/>
      <c r="AA201" s="268" t="n"/>
      <c r="AB201" s="268" t="n"/>
      <c r="AC201" s="268" t="n"/>
      <c r="AD201" s="268" t="n"/>
      <c r="AE201" s="268" t="n"/>
      <c r="AF201" s="268" t="n"/>
      <c r="AG201" s="268" t="n"/>
      <c r="AH201" s="268" t="n"/>
      <c r="AI201" s="268" t="n"/>
      <c r="AJ201" s="268" t="n"/>
      <c r="AK201" s="268" t="n"/>
      <c r="AL201" s="268" t="n"/>
      <c r="AM201" s="268" t="n"/>
      <c r="AN201" s="268" t="n"/>
      <c r="AO201" s="268" t="n"/>
      <c r="AP201" s="268" t="n"/>
      <c r="AQ201" s="268" t="n"/>
      <c r="AR201" s="268" t="n"/>
      <c r="AS201" s="268" t="n"/>
      <c r="AT201" s="268" t="n"/>
      <c r="AU201" s="268" t="n"/>
      <c r="AV201" s="268" t="n"/>
      <c r="AW201" s="268" t="n"/>
      <c r="AX201" s="268" t="n"/>
      <c r="AY201" s="268" t="n"/>
      <c r="AZ201" s="268" t="n"/>
      <c r="BA201" s="268" t="n"/>
      <c r="BB201" s="268" t="n"/>
      <c r="BC201" s="268" t="n"/>
      <c r="BD201" s="268" t="n"/>
      <c r="BE201" s="268" t="n"/>
      <c r="BF201" s="268" t="n"/>
      <c r="BG201" s="268" t="n"/>
      <c r="BH201" s="268" t="n"/>
      <c r="BI201" s="268" t="n"/>
      <c r="BJ201" s="268" t="n"/>
      <c r="BK201" s="268" t="n"/>
      <c r="BL201" s="268" t="n"/>
      <c r="BM201" s="268" t="n"/>
      <c r="BN201" s="268" t="n"/>
      <c r="BO201" s="268" t="n"/>
      <c r="BP201" s="268" t="n"/>
      <c r="BQ201" s="268" t="n"/>
      <c r="BR201" s="268" t="n"/>
      <c r="BS201" s="268" t="n"/>
      <c r="BT201" s="268" t="n"/>
      <c r="BU201" s="268" t="n"/>
      <c r="BV201" s="268" t="n"/>
      <c r="BW201" s="268" t="n"/>
      <c r="BX201" s="268" t="n"/>
      <c r="BY201" s="268" t="n"/>
      <c r="BZ201" s="268" t="n"/>
      <c r="CA201" s="268" t="n"/>
      <c r="CB201" s="268" t="n"/>
      <c r="CC201" s="268" t="n"/>
      <c r="CD201" s="268" t="n"/>
      <c r="CE201" s="268" t="n"/>
      <c r="CF201" s="268" t="n"/>
      <c r="CG201" s="268" t="n"/>
      <c r="CH201" s="268" t="n"/>
      <c r="CI201" s="268" t="n"/>
      <c r="CJ201" s="268" t="n"/>
      <c r="CK201" s="268" t="n"/>
      <c r="CL201" s="268" t="n"/>
      <c r="CM201" s="268" t="n"/>
      <c r="CN201" s="268" t="n"/>
      <c r="CO201" s="268" t="n"/>
      <c r="CP201" s="268" t="n"/>
      <c r="CQ201" s="268" t="n"/>
      <c r="CR201" s="268" t="n"/>
      <c r="CS201" s="268" t="n"/>
      <c r="CT201" s="268" t="n"/>
      <c r="CU201" s="268" t="n"/>
      <c r="CV201" s="268" t="n"/>
      <c r="CW201" s="268" t="n"/>
      <c r="CX201" s="268" t="n"/>
      <c r="CY201" s="268" t="n"/>
    </row>
    <row r="202" ht="12.75" customHeight="1" s="255">
      <c r="C202" s="270" t="inlineStr">
        <is>
          <t>Accrued expenses</t>
        </is>
      </c>
      <c r="D202" s="301">
        <f>INDEX('Inputs (2)'!$D$29:$AL$29,MATCH(D$7,'Inputs (2)'!$D$2:$AL$2,0))</f>
        <v>0</v>
      </c>
      <c r="E202" s="301">
        <f>INDEX('Inputs (2)'!$D$29:$AL$29,MATCH(E$7,'Inputs (2)'!$D$2:$AL$2,0))</f>
        <v>0</v>
      </c>
      <c r="F202" s="301">
        <f>INDEX('Inputs (2)'!$D$29:$AL$29,MATCH(F$7,'Inputs (2)'!$D$2:$AL$2,0))</f>
        <v>0</v>
      </c>
      <c r="G202" s="301">
        <f>INDEX('Inputs (2)'!$D$29:$AL$29,MATCH(G$7,'Inputs (2)'!$D$2:$AL$2,0))</f>
        <v>0</v>
      </c>
      <c r="H202" s="268">
        <f>G202</f>
        <v>0</v>
      </c>
      <c r="I202" s="301">
        <f>INDEX('Inputs (2)'!$D$29:$AL$29,MATCH(I$7,'Inputs (2)'!$D$2:$AL$2,0))</f>
        <v>0</v>
      </c>
      <c r="J202" s="301">
        <f>INDEX('Inputs (2)'!$D$29:$AL$29,MATCH(J$7,'Inputs (2)'!$D$2:$AL$2,0))</f>
        <v>0</v>
      </c>
      <c r="K202" s="301">
        <f>INDEX('Inputs (2)'!$D$29:$AL$29,MATCH(K$7,'Inputs (2)'!$D$2:$AL$2,0))</f>
        <v>0</v>
      </c>
      <c r="L202" s="301">
        <f>INDEX('Inputs (2)'!$D$29:$AL$29,MATCH(L$7,'Inputs (2)'!$D$2:$AL$2,0))</f>
        <v>0</v>
      </c>
      <c r="M202" s="268">
        <f>L202</f>
        <v>0</v>
      </c>
      <c r="N202" s="301">
        <f>INDEX('Inputs (2)'!$D$29:$AL$29,MATCH(N$7,'Inputs (2)'!$D$2:$AL$2,0))</f>
        <v>0</v>
      </c>
      <c r="O202" s="301">
        <f>INDEX('Inputs (2)'!$D$29:$AL$29,MATCH(O$7,'Inputs (2)'!$D$2:$AL$2,0))</f>
        <v>0</v>
      </c>
      <c r="P202" s="301">
        <f>INDEX('Inputs (2)'!$D$29:$AL$29,MATCH(P$7,'Inputs (2)'!$D$2:$AL$2,0))</f>
        <v>0</v>
      </c>
      <c r="Q202" s="301">
        <f>INDEX('Inputs (2)'!$D$29:$AL$29,MATCH(Q$7,'Inputs (2)'!$D$2:$AL$2,0))</f>
        <v>0</v>
      </c>
      <c r="R202" s="268">
        <f>Q202</f>
        <v>0</v>
      </c>
      <c r="S202" s="301">
        <f>INDEX('Inputs (2)'!$D$29:$AL$29,MATCH(S$7,'Inputs (2)'!$D$2:$AL$2,0))</f>
        <v>0</v>
      </c>
      <c r="T202" s="301">
        <f>INDEX('Inputs (2)'!$D$29:$AL$29,MATCH(T$7,'Inputs (2)'!$D$2:$AL$2,0))</f>
        <v>0</v>
      </c>
      <c r="U202" s="301">
        <f>INDEX('Inputs (2)'!$D$29:$AL$29,MATCH(U$7,'Inputs (2)'!$D$2:$AL$2,0))</f>
        <v>0</v>
      </c>
      <c r="V202" s="301">
        <f>INDEX('Inputs (2)'!$D$29:$AL$29,MATCH(V$7,'Inputs (2)'!$D$2:$AL$2,0))</f>
        <v>0</v>
      </c>
      <c r="W202" s="268">
        <f>V202</f>
        <v>0</v>
      </c>
      <c r="X202" s="301">
        <f>INDEX('Inputs (2)'!$D$29:$AL$29,MATCH(X$7,'Inputs (2)'!$D$2:$AL$2,0))</f>
        <v>0</v>
      </c>
      <c r="Y202" s="301">
        <f>INDEX('Inputs (2)'!$D$29:$AL$29,MATCH(Y$7,'Inputs (2)'!$D$2:$AL$2,0))</f>
        <v>0</v>
      </c>
      <c r="Z202" s="301">
        <f>INDEX('Inputs (2)'!$D$29:$AL$29,MATCH(Z$7,'Inputs (2)'!$D$2:$AL$2,0))</f>
        <v>0</v>
      </c>
      <c r="AA202" s="301">
        <f>INDEX('Inputs (2)'!$D$29:$AL$29,MATCH(AA$7,'Inputs (2)'!$D$2:$AL$2,0))</f>
        <v>0</v>
      </c>
      <c r="AB202" s="268">
        <f>AA202</f>
        <v>0</v>
      </c>
      <c r="AC202" s="301">
        <f>INDEX('Inputs (2)'!$D$29:$AL$29,MATCH(AC$7,'Inputs (2)'!$D$2:$AL$2,0))</f>
        <v>0</v>
      </c>
      <c r="AD202" s="301">
        <f>INDEX('Inputs (2)'!$D$29:$AL$29,MATCH(AD$7,'Inputs (2)'!$D$2:$AL$2,0))</f>
        <v>0</v>
      </c>
      <c r="AE202" s="301">
        <f>INDEX('Inputs (2)'!$D$29:$AL$29,MATCH(AE$7,'Inputs (2)'!$D$2:$AL$2,0))</f>
        <v>0</v>
      </c>
      <c r="AF202" s="301">
        <f>INDEX('Inputs (2)'!$D$29:$AL$29,MATCH(AF$7,'Inputs (2)'!$D$2:$AL$2,0))</f>
        <v>0</v>
      </c>
      <c r="AG202" s="268">
        <f>AF202</f>
        <v>0</v>
      </c>
      <c r="AH202" s="268">
        <f>INDEX('Inputs (2)'!$D$29:$AL$29,MATCH(AH$7,'Inputs (2)'!$D$2:$AL$2,0))</f>
        <v>0</v>
      </c>
      <c r="AI202" s="268">
        <f>INDEX('Inputs (2)'!$D$29:$AL$29,MATCH(AI$7,'Inputs (2)'!$D$2:$AL$2,0))</f>
        <v>0</v>
      </c>
      <c r="AJ202" s="268">
        <f>AH202*AJ58/AH58</f>
        <v>0</v>
      </c>
      <c r="AK202" s="268">
        <f>AI202*AK58/AI58</f>
        <v>0</v>
      </c>
      <c r="AL202" s="268">
        <f>AK202</f>
        <v>0</v>
      </c>
      <c r="AM202" s="268" t="e">
        <f>AK202*AM58/AK58</f>
        <v>#DIV/0!</v>
      </c>
      <c r="AN202" s="268">
        <f>AL202*AN58/AL58</f>
        <v>0</v>
      </c>
      <c r="AO202" s="268" t="e">
        <f>AM202*AO58/AM58</f>
        <v>#DIV/0!</v>
      </c>
      <c r="AP202" s="268" t="e">
        <f>AN202*AP58/AN58</f>
        <v>#DIV/0!</v>
      </c>
      <c r="AQ202" s="268" t="e">
        <f>AP202</f>
        <v>#DIV/0!</v>
      </c>
      <c r="AR202" s="268" t="e">
        <f>AP202*AR58/AP58</f>
        <v>#DIV/0!</v>
      </c>
      <c r="AS202" s="268" t="e">
        <f>AQ202*AS58/AQ58</f>
        <v>#DIV/0!</v>
      </c>
      <c r="AT202" s="268" t="e">
        <f>AR202*AT58/AR58</f>
        <v>#DIV/0!</v>
      </c>
      <c r="AU202" s="268" t="e">
        <f>AS202*AU58/AS58</f>
        <v>#DIV/0!</v>
      </c>
      <c r="AV202" s="268" t="e">
        <f>AU202</f>
        <v>#DIV/0!</v>
      </c>
      <c r="AW202" s="268" t="e">
        <f>AU202*AW58/AU58</f>
        <v>#DIV/0!</v>
      </c>
      <c r="AX202" s="268" t="e">
        <f>AV202*AX58/AV58</f>
        <v>#DIV/0!</v>
      </c>
      <c r="AY202" s="268" t="e">
        <f>AW202*AY58/AW58</f>
        <v>#DIV/0!</v>
      </c>
      <c r="AZ202" s="268" t="e">
        <f>AX202*AZ58/AX58</f>
        <v>#DIV/0!</v>
      </c>
      <c r="BA202" s="268" t="e">
        <f>AZ202</f>
        <v>#DIV/0!</v>
      </c>
      <c r="BB202" s="268" t="e">
        <f>AZ202*BB58/AZ58</f>
        <v>#DIV/0!</v>
      </c>
      <c r="BC202" s="268" t="e">
        <f>BA202*BC58/BA58</f>
        <v>#DIV/0!</v>
      </c>
      <c r="BD202" s="268" t="e">
        <f>BB202*BD58/BB58</f>
        <v>#DIV/0!</v>
      </c>
      <c r="BE202" s="268" t="e">
        <f>BC202*BE58/BC58</f>
        <v>#DIV/0!</v>
      </c>
      <c r="BF202" s="268" t="e">
        <f>BE202</f>
        <v>#DIV/0!</v>
      </c>
      <c r="BG202" s="268" t="e">
        <f>BE202*BG58/BE58</f>
        <v>#DIV/0!</v>
      </c>
      <c r="BH202" s="268" t="e">
        <f>BF202*BH58/BF58</f>
        <v>#DIV/0!</v>
      </c>
      <c r="BI202" s="268" t="e">
        <f>BG202*BI58/BG58</f>
        <v>#DIV/0!</v>
      </c>
      <c r="BJ202" s="268" t="e">
        <f>BH202*BJ58/BH58</f>
        <v>#DIV/0!</v>
      </c>
      <c r="BK202" s="268" t="e">
        <f>BJ202</f>
        <v>#DIV/0!</v>
      </c>
      <c r="BL202" s="268" t="e">
        <f>BJ202*BL58/BJ58</f>
        <v>#DIV/0!</v>
      </c>
      <c r="BM202" s="268" t="e">
        <f>BK202*BM58/BK58</f>
        <v>#DIV/0!</v>
      </c>
      <c r="BN202" s="268" t="e">
        <f>BL202*BN58/BL58</f>
        <v>#DIV/0!</v>
      </c>
      <c r="BO202" s="268" t="e">
        <f>BM202*BO58/BM58</f>
        <v>#DIV/0!</v>
      </c>
      <c r="BP202" s="268" t="e">
        <f>BO202</f>
        <v>#DIV/0!</v>
      </c>
      <c r="BQ202" s="268" t="e">
        <f>BO202*BQ58/BO58</f>
        <v>#DIV/0!</v>
      </c>
      <c r="BR202" s="268" t="e">
        <f>BP202*BR58/BP58</f>
        <v>#DIV/0!</v>
      </c>
      <c r="BS202" s="268" t="e">
        <f>BQ202*BS58/BQ58</f>
        <v>#DIV/0!</v>
      </c>
      <c r="BT202" s="268" t="e">
        <f>BR202*BT58/BR58</f>
        <v>#DIV/0!</v>
      </c>
      <c r="BU202" s="268" t="e">
        <f>BT202</f>
        <v>#DIV/0!</v>
      </c>
      <c r="BV202" s="268" t="e">
        <f>BT202*BV58/BT58</f>
        <v>#DIV/0!</v>
      </c>
      <c r="BW202" s="268" t="e">
        <f>BU202*BW58/BU58</f>
        <v>#DIV/0!</v>
      </c>
      <c r="BX202" s="268" t="e">
        <f>BV202*BX58/BV58</f>
        <v>#DIV/0!</v>
      </c>
      <c r="BY202" s="268" t="e">
        <f>BW202*BY58/BW58</f>
        <v>#DIV/0!</v>
      </c>
      <c r="BZ202" s="268" t="e">
        <f>BY202</f>
        <v>#DIV/0!</v>
      </c>
      <c r="CA202" s="268" t="e">
        <f>BY202*CA58/BY58</f>
        <v>#DIV/0!</v>
      </c>
      <c r="CB202" s="268" t="e">
        <f>BZ202*CB58/BZ58</f>
        <v>#DIV/0!</v>
      </c>
      <c r="CC202" s="268" t="e">
        <f>CA202*CC58/CA58</f>
        <v>#DIV/0!</v>
      </c>
      <c r="CD202" s="268" t="e">
        <f>CB202*CD58/CB58</f>
        <v>#DIV/0!</v>
      </c>
      <c r="CE202" s="268" t="e">
        <f>CD202</f>
        <v>#DIV/0!</v>
      </c>
      <c r="CF202" s="268" t="e">
        <f>CD202*CF58/CD58</f>
        <v>#DIV/0!</v>
      </c>
      <c r="CG202" s="268" t="e">
        <f>CE202*CG58/CE58</f>
        <v>#DIV/0!</v>
      </c>
      <c r="CH202" s="268" t="e">
        <f>CF202*CH58/CF58</f>
        <v>#DIV/0!</v>
      </c>
      <c r="CI202" s="268" t="e">
        <f>CG202*CI58/CG58</f>
        <v>#DIV/0!</v>
      </c>
      <c r="CJ202" s="268" t="e">
        <f>CI202</f>
        <v>#DIV/0!</v>
      </c>
      <c r="CK202" s="268" t="e">
        <f>CI202*CK58/CI58</f>
        <v>#DIV/0!</v>
      </c>
      <c r="CL202" s="268" t="e">
        <f>CJ202*CL58/CJ58</f>
        <v>#DIV/0!</v>
      </c>
      <c r="CM202" s="268" t="e">
        <f>CK202*CM58/CK58</f>
        <v>#DIV/0!</v>
      </c>
      <c r="CN202" s="268" t="e">
        <f>CL202*CN58/CL58</f>
        <v>#DIV/0!</v>
      </c>
      <c r="CO202" s="268" t="e">
        <f>CN202</f>
        <v>#DIV/0!</v>
      </c>
      <c r="CP202" s="268" t="e">
        <f>CN202*CP58/CN58</f>
        <v>#DIV/0!</v>
      </c>
      <c r="CQ202" s="268" t="e">
        <f>CO202*CQ58/CO58</f>
        <v>#DIV/0!</v>
      </c>
      <c r="CR202" s="268" t="e">
        <f>CP202*CR58/CP58</f>
        <v>#DIV/0!</v>
      </c>
      <c r="CS202" s="268" t="e">
        <f>CQ202*CS58/CQ58</f>
        <v>#DIV/0!</v>
      </c>
      <c r="CT202" s="268" t="e">
        <f>CS202</f>
        <v>#DIV/0!</v>
      </c>
      <c r="CU202" s="268" t="e">
        <f>CS202*CU58/CS58</f>
        <v>#DIV/0!</v>
      </c>
      <c r="CV202" s="268" t="e">
        <f>CT202*CV58/CT58</f>
        <v>#DIV/0!</v>
      </c>
      <c r="CW202" s="268" t="e">
        <f>CU202*CW58/CU58</f>
        <v>#DIV/0!</v>
      </c>
      <c r="CX202" s="268" t="e">
        <f>CV202*CX58/CV58</f>
        <v>#DIV/0!</v>
      </c>
      <c r="CY202" s="268" t="e">
        <f>CX202</f>
        <v>#DIV/0!</v>
      </c>
    </row>
    <row r="203" hidden="1" outlineLevel="1" ht="12.75" customHeight="1" s="255">
      <c r="C203" s="314" t="inlineStr">
        <is>
          <t>%(Var.)</t>
        </is>
      </c>
      <c r="D203" s="268" t="n"/>
      <c r="E203" s="296" t="str">
        <f>IFERROR((E202-D202)/D202,"")</f>
        <v/>
      </c>
      <c r="F203" s="296" t="str">
        <f>IFERROR((F202-E202)/E202,"")</f>
        <v/>
      </c>
      <c r="G203" s="296" t="str">
        <f>IFERROR((G202-F202)/F202,"")</f>
        <v/>
      </c>
      <c r="H203" s="268" t="n"/>
      <c r="I203" s="296" t="str">
        <f>IFERROR((I202-H202)/H202,"")</f>
        <v/>
      </c>
      <c r="J203" s="296" t="str">
        <f>IFERROR((J202-I202)/I202,"")</f>
        <v/>
      </c>
      <c r="K203" s="296" t="str">
        <f>IFERROR((K202-J202)/J202,"")</f>
        <v/>
      </c>
      <c r="L203" s="296" t="str">
        <f>IFERROR((L202-K202)/K202,"")</f>
        <v/>
      </c>
      <c r="M203" s="268" t="n"/>
      <c r="N203" s="296" t="str">
        <f>IFERROR((N202-M202)/M202,"")</f>
        <v/>
      </c>
      <c r="O203" s="296" t="str">
        <f>IFERROR((O202-N202)/N202,"")</f>
        <v/>
      </c>
      <c r="P203" s="296" t="str">
        <f>IFERROR((P202-O202)/O202,"")</f>
        <v/>
      </c>
      <c r="Q203" s="296" t="str">
        <f>IFERROR((Q202-P202)/P202,"")</f>
        <v/>
      </c>
      <c r="R203" s="268" t="n"/>
      <c r="S203" s="296" t="str">
        <f>IFERROR((S202-R202)/R202,"")</f>
        <v/>
      </c>
      <c r="T203" s="296" t="str">
        <f>IFERROR((T202-S202)/S202,"")</f>
        <v/>
      </c>
      <c r="U203" s="296" t="str">
        <f>IFERROR((U202-T202)/T202,"")</f>
        <v/>
      </c>
      <c r="V203" s="296" t="str">
        <f>IFERROR((V202-U202)/U202,"")</f>
        <v/>
      </c>
      <c r="W203" s="268" t="n"/>
      <c r="X203" s="296" t="str">
        <f>IFERROR((X202-W202)/W202,"")</f>
        <v/>
      </c>
      <c r="Y203" s="296" t="str">
        <f>IFERROR((Y202-X202)/X202,"")</f>
        <v/>
      </c>
      <c r="Z203" s="296" t="str">
        <f>IFERROR((Z202-Y202)/Y202,"")</f>
        <v/>
      </c>
      <c r="AA203" s="296" t="str">
        <f>IFERROR((AA202-Z202)/Z202,"")</f>
        <v/>
      </c>
      <c r="AB203" s="268" t="n"/>
      <c r="AC203" s="296" t="str">
        <f>IFERROR((AC202-AB202)/AB202,"")</f>
        <v/>
      </c>
      <c r="AD203" s="296" t="str">
        <f>IFERROR((AD202-AC202)/AC202,"")</f>
        <v/>
      </c>
      <c r="AE203" s="296" t="str">
        <f>IFERROR((AE202-AD202)/AD202,"")</f>
        <v/>
      </c>
      <c r="AF203" s="311" t="str">
        <f>IFERROR((AF202-AE202)/AE202,"")</f>
        <v/>
      </c>
      <c r="AG203" s="268" t="n"/>
      <c r="AH203" s="311" t="str">
        <f>IFERROR((AH202-AG202)/AG202,"")</f>
        <v/>
      </c>
      <c r="AI203" s="311" t="str">
        <f>IFERROR((AI202-AH202)/AH202,"")</f>
        <v/>
      </c>
      <c r="AJ203" s="311" t="n"/>
      <c r="AK203" s="311" t="n"/>
      <c r="AL203" s="268" t="n"/>
      <c r="AM203" s="311" t="n"/>
      <c r="AN203" s="311" t="n"/>
      <c r="AO203" s="311" t="n"/>
      <c r="AP203" s="311" t="n"/>
      <c r="AQ203" s="268" t="n"/>
      <c r="AR203" s="311" t="n"/>
      <c r="AS203" s="311" t="n"/>
      <c r="AT203" s="311" t="n"/>
      <c r="AU203" s="311" t="n"/>
      <c r="AV203" s="268" t="n"/>
      <c r="AW203" s="311" t="n"/>
      <c r="AX203" s="311" t="n"/>
      <c r="AY203" s="311" t="n"/>
      <c r="AZ203" s="311" t="n"/>
      <c r="BA203" s="268" t="n"/>
      <c r="BB203" s="311" t="n"/>
      <c r="BC203" s="311" t="n"/>
      <c r="BD203" s="311" t="n"/>
      <c r="BE203" s="311" t="n"/>
      <c r="BF203" s="268" t="n"/>
      <c r="BG203" s="311" t="n"/>
      <c r="BH203" s="311" t="n"/>
      <c r="BI203" s="311" t="n"/>
      <c r="BJ203" s="311" t="n"/>
      <c r="BK203" s="268" t="n"/>
      <c r="BL203" s="311" t="n"/>
      <c r="BM203" s="311" t="n"/>
      <c r="BN203" s="311" t="n"/>
      <c r="BO203" s="311" t="n"/>
      <c r="BP203" s="268" t="n"/>
      <c r="BQ203" s="311" t="n"/>
      <c r="BR203" s="311" t="n"/>
      <c r="BS203" s="311" t="n"/>
      <c r="BT203" s="311" t="n"/>
      <c r="BU203" s="268" t="n"/>
      <c r="BV203" s="311" t="n"/>
      <c r="BW203" s="311" t="n"/>
      <c r="BX203" s="311" t="n"/>
      <c r="BY203" s="311" t="n"/>
      <c r="BZ203" s="268" t="n"/>
      <c r="CA203" s="311" t="n"/>
      <c r="CB203" s="311" t="n"/>
      <c r="CC203" s="311" t="n"/>
      <c r="CD203" s="311" t="n"/>
      <c r="CE203" s="268" t="n"/>
      <c r="CF203" s="311" t="n"/>
      <c r="CG203" s="311" t="n"/>
      <c r="CH203" s="311" t="n"/>
      <c r="CI203" s="311" t="n"/>
      <c r="CJ203" s="268" t="n"/>
      <c r="CK203" s="311" t="n"/>
      <c r="CL203" s="311" t="n"/>
      <c r="CM203" s="311" t="n"/>
      <c r="CN203" s="311" t="n"/>
      <c r="CO203" s="268" t="n"/>
      <c r="CP203" s="311" t="n"/>
      <c r="CQ203" s="311" t="n"/>
      <c r="CR203" s="311" t="n"/>
      <c r="CS203" s="311" t="n"/>
      <c r="CT203" s="268" t="n"/>
      <c r="CU203" s="311" t="n"/>
      <c r="CV203" s="311" t="n"/>
      <c r="CW203" s="311" t="n"/>
      <c r="CX203" s="311" t="n"/>
      <c r="CY203" s="268" t="n"/>
    </row>
    <row r="204" ht="12.75" customHeight="1" s="255">
      <c r="C204" s="270" t="inlineStr">
        <is>
          <t>Taxes payable</t>
        </is>
      </c>
      <c r="D204" s="301">
        <f>INDEX('Inputs (2)'!$D$30:$AL$30,MATCH(D$7,'Inputs (2)'!$D$2:$AL$2,0))</f>
        <v>0</v>
      </c>
      <c r="E204" s="301">
        <f>INDEX('Inputs (2)'!$D$30:$AL$30,MATCH(E$7,'Inputs (2)'!$D$2:$AL$2,0))</f>
        <v>0</v>
      </c>
      <c r="F204" s="301">
        <f>INDEX('Inputs (2)'!$D$30:$AL$30,MATCH(F$7,'Inputs (2)'!$D$2:$AL$2,0))</f>
        <v>0</v>
      </c>
      <c r="G204" s="301">
        <f>INDEX('Inputs (2)'!$D$30:$AL$30,MATCH(G$7,'Inputs (2)'!$D$2:$AL$2,0))</f>
        <v>0</v>
      </c>
      <c r="H204" s="268">
        <f>G204</f>
        <v>0</v>
      </c>
      <c r="I204" s="301">
        <f>INDEX('Inputs (2)'!$D$30:$AL$30,MATCH(I$7,'Inputs (2)'!$D$2:$AL$2,0))</f>
        <v>0</v>
      </c>
      <c r="J204" s="301">
        <f>INDEX('Inputs (2)'!$D$30:$AL$30,MATCH(J$7,'Inputs (2)'!$D$2:$AL$2,0))</f>
        <v>0</v>
      </c>
      <c r="K204" s="301">
        <f>INDEX('Inputs (2)'!$D$30:$AL$30,MATCH(K$7,'Inputs (2)'!$D$2:$AL$2,0))</f>
        <v>0</v>
      </c>
      <c r="L204" s="301">
        <f>INDEX('Inputs (2)'!$D$30:$AL$30,MATCH(L$7,'Inputs (2)'!$D$2:$AL$2,0))</f>
        <v>0</v>
      </c>
      <c r="M204" s="268">
        <f>L204</f>
        <v>0</v>
      </c>
      <c r="N204" s="301">
        <f>INDEX('Inputs (2)'!$D$30:$AL$30,MATCH(N$7,'Inputs (2)'!$D$2:$AL$2,0))</f>
        <v>0</v>
      </c>
      <c r="O204" s="301">
        <f>INDEX('Inputs (2)'!$D$30:$AL$30,MATCH(O$7,'Inputs (2)'!$D$2:$AL$2,0))</f>
        <v>0</v>
      </c>
      <c r="P204" s="301">
        <f>INDEX('Inputs (2)'!$D$30:$AL$30,MATCH(P$7,'Inputs (2)'!$D$2:$AL$2,0))</f>
        <v>0</v>
      </c>
      <c r="Q204" s="301">
        <f>INDEX('Inputs (2)'!$D$30:$AL$30,MATCH(Q$7,'Inputs (2)'!$D$2:$AL$2,0))</f>
        <v>0</v>
      </c>
      <c r="R204" s="268">
        <f>Q204</f>
        <v>0</v>
      </c>
      <c r="S204" s="301">
        <f>INDEX('Inputs (2)'!$D$30:$AL$30,MATCH(S$7,'Inputs (2)'!$D$2:$AL$2,0))</f>
        <v>0</v>
      </c>
      <c r="T204" s="301">
        <f>INDEX('Inputs (2)'!$D$30:$AL$30,MATCH(T$7,'Inputs (2)'!$D$2:$AL$2,0))</f>
        <v>0</v>
      </c>
      <c r="U204" s="301">
        <f>INDEX('Inputs (2)'!$D$30:$AL$30,MATCH(U$7,'Inputs (2)'!$D$2:$AL$2,0))</f>
        <v>0</v>
      </c>
      <c r="V204" s="301">
        <f>INDEX('Inputs (2)'!$D$30:$AL$30,MATCH(V$7,'Inputs (2)'!$D$2:$AL$2,0))</f>
        <v>0</v>
      </c>
      <c r="W204" s="268">
        <f>V204</f>
        <v>0</v>
      </c>
      <c r="X204" s="301">
        <f>INDEX('Inputs (2)'!$D$30:$AL$30,MATCH(X$7,'Inputs (2)'!$D$2:$AL$2,0))</f>
        <v>0</v>
      </c>
      <c r="Y204" s="301">
        <f>INDEX('Inputs (2)'!$D$30:$AL$30,MATCH(Y$7,'Inputs (2)'!$D$2:$AL$2,0))</f>
        <v>0</v>
      </c>
      <c r="Z204" s="301">
        <f>INDEX('Inputs (2)'!$D$30:$AL$30,MATCH(Z$7,'Inputs (2)'!$D$2:$AL$2,0))</f>
        <v>0</v>
      </c>
      <c r="AA204" s="301">
        <f>INDEX('Inputs (2)'!$D$30:$AL$30,MATCH(AA$7,'Inputs (2)'!$D$2:$AL$2,0))</f>
        <v>0</v>
      </c>
      <c r="AB204" s="268">
        <f>AA204</f>
        <v>0</v>
      </c>
      <c r="AC204" s="301">
        <f>INDEX('Inputs (2)'!$D$30:$AL$30,MATCH(AC$7,'Inputs (2)'!$D$2:$AL$2,0))</f>
        <v>0</v>
      </c>
      <c r="AD204" s="301">
        <f>INDEX('Inputs (2)'!$D$30:$AL$30,MATCH(AD$7,'Inputs (2)'!$D$2:$AL$2,0))</f>
        <v>0</v>
      </c>
      <c r="AE204" s="301">
        <f>INDEX('Inputs (2)'!$D$30:$AL$30,MATCH(AE$7,'Inputs (2)'!$D$2:$AL$2,0))</f>
        <v>0</v>
      </c>
      <c r="AF204" s="301">
        <f>INDEX('Inputs (2)'!$D$30:$AL$30,MATCH(AF$7,'Inputs (2)'!$D$2:$AL$2,0))</f>
        <v>0</v>
      </c>
      <c r="AG204" s="268">
        <f>AF204</f>
        <v>0</v>
      </c>
      <c r="AH204" s="268">
        <f>INDEX('Inputs (2)'!$D$30:$AL$30,MATCH(AH$7,'Inputs (2)'!$D$2:$AL$2,0))</f>
        <v>0</v>
      </c>
      <c r="AI204" s="268">
        <f>INDEX('Inputs (2)'!$D$30:$AL$30,MATCH(AI$7,'Inputs (2)'!$D$2:$AL$2,0))</f>
        <v>0</v>
      </c>
      <c r="AJ204" s="268">
        <f>AH204*AJ131/AH131</f>
        <v>0</v>
      </c>
      <c r="AK204" s="268">
        <f>AI204*AK131/AI131</f>
        <v>0</v>
      </c>
      <c r="AL204" s="268">
        <f>AK204</f>
        <v>0</v>
      </c>
      <c r="AM204" s="268" t="e">
        <f>AK204*AM131/AK131</f>
        <v>#DIV/0!</v>
      </c>
      <c r="AN204" s="268">
        <f>AL204*AN131/AL131</f>
        <v>0</v>
      </c>
      <c r="AO204" s="268" t="e">
        <f>AM204*AO131/AM131</f>
        <v>#DIV/0!</v>
      </c>
      <c r="AP204" s="268" t="e">
        <f>AN204*AP131/AN131</f>
        <v>#DIV/0!</v>
      </c>
      <c r="AQ204" s="268" t="e">
        <f>AP204</f>
        <v>#DIV/0!</v>
      </c>
      <c r="AR204" s="268" t="e">
        <f>AP204*AR131/AP131</f>
        <v>#DIV/0!</v>
      </c>
      <c r="AS204" s="268" t="e">
        <f>AQ204*AS131/AQ131</f>
        <v>#DIV/0!</v>
      </c>
      <c r="AT204" s="268" t="e">
        <f>AR204*AT131/AR131</f>
        <v>#DIV/0!</v>
      </c>
      <c r="AU204" s="268" t="e">
        <f>AS204*AU131/AS131</f>
        <v>#DIV/0!</v>
      </c>
      <c r="AV204" s="268" t="e">
        <f>AU204</f>
        <v>#DIV/0!</v>
      </c>
      <c r="AW204" s="268" t="e">
        <f>AU204*AW131/AU131</f>
        <v>#DIV/0!</v>
      </c>
      <c r="AX204" s="268" t="e">
        <f>AV204*AX131/AV131</f>
        <v>#DIV/0!</v>
      </c>
      <c r="AY204" s="268" t="e">
        <f>AW204*AY131/AW131</f>
        <v>#DIV/0!</v>
      </c>
      <c r="AZ204" s="268" t="e">
        <f>AX204*AZ131/AX131</f>
        <v>#DIV/0!</v>
      </c>
      <c r="BA204" s="268" t="e">
        <f>AZ204</f>
        <v>#DIV/0!</v>
      </c>
      <c r="BB204" s="268" t="e">
        <f>AZ204*BB131/AZ131</f>
        <v>#DIV/0!</v>
      </c>
      <c r="BC204" s="268" t="e">
        <f>BA204*BC131/BA131</f>
        <v>#DIV/0!</v>
      </c>
      <c r="BD204" s="268" t="e">
        <f>BB204*BD131/BB131</f>
        <v>#DIV/0!</v>
      </c>
      <c r="BE204" s="268" t="e">
        <f>BC204*BE131/BC131</f>
        <v>#DIV/0!</v>
      </c>
      <c r="BF204" s="268" t="e">
        <f>BE204</f>
        <v>#DIV/0!</v>
      </c>
      <c r="BG204" s="268" t="e">
        <f>BE204*BG131/BE131</f>
        <v>#DIV/0!</v>
      </c>
      <c r="BH204" s="268" t="e">
        <f>BF204*BH131/BF131</f>
        <v>#DIV/0!</v>
      </c>
      <c r="BI204" s="268" t="e">
        <f>BG204*BI131/BG131</f>
        <v>#DIV/0!</v>
      </c>
      <c r="BJ204" s="268" t="e">
        <f>BH204*BJ131/BH131</f>
        <v>#DIV/0!</v>
      </c>
      <c r="BK204" s="268" t="e">
        <f>BJ204</f>
        <v>#DIV/0!</v>
      </c>
      <c r="BL204" s="268" t="e">
        <f>BJ204*BL131/BJ131</f>
        <v>#DIV/0!</v>
      </c>
      <c r="BM204" s="268" t="e">
        <f>BK204*BM131/BK131</f>
        <v>#DIV/0!</v>
      </c>
      <c r="BN204" s="268" t="e">
        <f>BL204*BN131/BL131</f>
        <v>#DIV/0!</v>
      </c>
      <c r="BO204" s="268" t="e">
        <f>BM204*BO131/BM131</f>
        <v>#DIV/0!</v>
      </c>
      <c r="BP204" s="268" t="e">
        <f>BO204</f>
        <v>#DIV/0!</v>
      </c>
      <c r="BQ204" s="268" t="e">
        <f>BO204*BQ131/BO131</f>
        <v>#DIV/0!</v>
      </c>
      <c r="BR204" s="268" t="e">
        <f>BP204*BR131/BP131</f>
        <v>#DIV/0!</v>
      </c>
      <c r="BS204" s="268" t="e">
        <f>BQ204*BS131/BQ131</f>
        <v>#DIV/0!</v>
      </c>
      <c r="BT204" s="268" t="e">
        <f>BR204*BT131/BR131</f>
        <v>#DIV/0!</v>
      </c>
      <c r="BU204" s="268" t="e">
        <f>BT204</f>
        <v>#DIV/0!</v>
      </c>
      <c r="BV204" s="268" t="e">
        <f>BT204*BV131/BT131</f>
        <v>#DIV/0!</v>
      </c>
      <c r="BW204" s="268" t="e">
        <f>BU204*BW131/BU131</f>
        <v>#DIV/0!</v>
      </c>
      <c r="BX204" s="268" t="e">
        <f>BV204*BX131/BV131</f>
        <v>#DIV/0!</v>
      </c>
      <c r="BY204" s="268" t="e">
        <f>BW204*BY131/BW131</f>
        <v>#DIV/0!</v>
      </c>
      <c r="BZ204" s="268" t="e">
        <f>BY204</f>
        <v>#DIV/0!</v>
      </c>
      <c r="CA204" s="268" t="e">
        <f>BY204*CA131/BY131</f>
        <v>#DIV/0!</v>
      </c>
      <c r="CB204" s="268" t="e">
        <f>BZ204*CB131/BZ131</f>
        <v>#DIV/0!</v>
      </c>
      <c r="CC204" s="268" t="e">
        <f>CA204*CC131/CA131</f>
        <v>#DIV/0!</v>
      </c>
      <c r="CD204" s="268" t="e">
        <f>CB204*CD131/CB131</f>
        <v>#DIV/0!</v>
      </c>
      <c r="CE204" s="268" t="e">
        <f>CD204</f>
        <v>#DIV/0!</v>
      </c>
      <c r="CF204" s="268" t="e">
        <f>CD204*CF131/CD131</f>
        <v>#DIV/0!</v>
      </c>
      <c r="CG204" s="268" t="e">
        <f>CE204*CG131/CE131</f>
        <v>#DIV/0!</v>
      </c>
      <c r="CH204" s="268" t="e">
        <f>CF204*CH131/CF131</f>
        <v>#DIV/0!</v>
      </c>
      <c r="CI204" s="268" t="e">
        <f>CG204*CI131/CG131</f>
        <v>#DIV/0!</v>
      </c>
      <c r="CJ204" s="268" t="e">
        <f>CI204</f>
        <v>#DIV/0!</v>
      </c>
      <c r="CK204" s="268" t="e">
        <f>CI204*CK131/CI131</f>
        <v>#DIV/0!</v>
      </c>
      <c r="CL204" s="268" t="e">
        <f>CJ204*CL131/CJ131</f>
        <v>#DIV/0!</v>
      </c>
      <c r="CM204" s="268" t="e">
        <f>CK204*CM131/CK131</f>
        <v>#DIV/0!</v>
      </c>
      <c r="CN204" s="268" t="e">
        <f>CL204*CN131/CL131</f>
        <v>#DIV/0!</v>
      </c>
      <c r="CO204" s="268" t="e">
        <f>CN204</f>
        <v>#DIV/0!</v>
      </c>
      <c r="CP204" s="268" t="e">
        <f>CN204*CP131/CN131</f>
        <v>#DIV/0!</v>
      </c>
      <c r="CQ204" s="268" t="e">
        <f>CO204*CQ131/CO131</f>
        <v>#DIV/0!</v>
      </c>
      <c r="CR204" s="268" t="e">
        <f>CP204*CR131/CP131</f>
        <v>#DIV/0!</v>
      </c>
      <c r="CS204" s="268" t="e">
        <f>CQ204*CS131/CQ131</f>
        <v>#DIV/0!</v>
      </c>
      <c r="CT204" s="268" t="e">
        <f>CS204</f>
        <v>#DIV/0!</v>
      </c>
      <c r="CU204" s="268" t="e">
        <f>CS204*CU131/CS131</f>
        <v>#DIV/0!</v>
      </c>
      <c r="CV204" s="268" t="e">
        <f>CT204*CV131/CT131</f>
        <v>#DIV/0!</v>
      </c>
      <c r="CW204" s="268" t="e">
        <f>CU204*CW131/CU131</f>
        <v>#DIV/0!</v>
      </c>
      <c r="CX204" s="268" t="e">
        <f>CV204*CX131/CV131</f>
        <v>#DIV/0!</v>
      </c>
      <c r="CY204" s="268" t="e">
        <f>CX204</f>
        <v>#DIV/0!</v>
      </c>
    </row>
    <row r="205" ht="12.75" customHeight="1" s="255">
      <c r="C205" s="270" t="inlineStr">
        <is>
          <t>Other current liabilities (non-debt)</t>
        </is>
      </c>
      <c r="D205" s="301">
        <f>INDEX('Inputs (2)'!$D$31:$AL$31,MATCH(D$7,'Inputs (2)'!$D$2:$AL$2,0))</f>
        <v>3192</v>
      </c>
      <c r="E205" s="301">
        <f>INDEX('Inputs (2)'!$D$31:$AL$31,MATCH(E$7,'Inputs (2)'!$D$2:$AL$2,0))</f>
        <v>2617</v>
      </c>
      <c r="F205" s="301">
        <f>INDEX('Inputs (2)'!$D$31:$AL$31,MATCH(F$7,'Inputs (2)'!$D$2:$AL$2,0))</f>
        <v>3872</v>
      </c>
      <c r="G205" s="301">
        <f>INDEX('Inputs (2)'!$D$31:$AL$31,MATCH(G$7,'Inputs (2)'!$D$2:$AL$2,0))</f>
        <v>5278</v>
      </c>
      <c r="H205" s="268">
        <f>G205</f>
        <v>5278</v>
      </c>
      <c r="I205" s="301">
        <f>INDEX('Inputs (2)'!$D$31:$AL$31,MATCH(I$7,'Inputs (2)'!$D$2:$AL$2,0))</f>
        <v>4542</v>
      </c>
      <c r="J205" s="301">
        <f>INDEX('Inputs (2)'!$D$31:$AL$31,MATCH(J$7,'Inputs (2)'!$D$2:$AL$2,0))</f>
        <v>4563</v>
      </c>
      <c r="K205" s="301">
        <f>INDEX('Inputs (2)'!$D$31:$AL$31,MATCH(K$7,'Inputs (2)'!$D$2:$AL$2,0))</f>
        <v>3822</v>
      </c>
      <c r="L205" s="301">
        <f>INDEX('Inputs (2)'!$D$31:$AL$31,MATCH(L$7,'Inputs (2)'!$D$2:$AL$2,0))</f>
        <v>3547</v>
      </c>
      <c r="M205" s="268">
        <f>L205</f>
        <v>3547</v>
      </c>
      <c r="N205" s="301">
        <f>INDEX('Inputs (2)'!$D$31:$AL$31,MATCH(N$7,'Inputs (2)'!$D$2:$AL$2,0))</f>
        <v>5207</v>
      </c>
      <c r="O205" s="301">
        <f>INDEX('Inputs (2)'!$D$31:$AL$31,MATCH(O$7,'Inputs (2)'!$D$2:$AL$2,0))</f>
        <v>3901</v>
      </c>
      <c r="P205" s="301">
        <f>INDEX('Inputs (2)'!$D$31:$AL$31,MATCH(P$7,'Inputs (2)'!$D$2:$AL$2,0))</f>
        <v>3576</v>
      </c>
      <c r="Q205" s="301">
        <f>INDEX('Inputs (2)'!$D$31:$AL$31,MATCH(Q$7,'Inputs (2)'!$D$2:$AL$2,0))</f>
        <v>3397</v>
      </c>
      <c r="R205" s="268">
        <f>Q205</f>
        <v>3397</v>
      </c>
      <c r="S205" s="301">
        <f>INDEX('Inputs (2)'!$D$31:$AL$31,MATCH(S$7,'Inputs (2)'!$D$2:$AL$2,0))</f>
        <v>3116</v>
      </c>
      <c r="T205" s="301">
        <f>INDEX('Inputs (2)'!$D$31:$AL$31,MATCH(T$7,'Inputs (2)'!$D$2:$AL$2,0))</f>
        <v>3002</v>
      </c>
      <c r="U205" s="301">
        <f>INDEX('Inputs (2)'!$D$31:$AL$31,MATCH(U$7,'Inputs (2)'!$D$2:$AL$2,0))</f>
        <v>2738</v>
      </c>
      <c r="V205" s="301">
        <f>INDEX('Inputs (2)'!$D$31:$AL$31,MATCH(V$7,'Inputs (2)'!$D$2:$AL$2,0))</f>
        <v>2914</v>
      </c>
      <c r="W205" s="268">
        <f>V205</f>
        <v>2914</v>
      </c>
      <c r="X205" s="301">
        <f>INDEX('Inputs (2)'!$D$31:$AL$31,MATCH(X$7,'Inputs (2)'!$D$2:$AL$2,0))</f>
        <v>2596</v>
      </c>
      <c r="Y205" s="301">
        <f>INDEX('Inputs (2)'!$D$31:$AL$31,MATCH(Y$7,'Inputs (2)'!$D$2:$AL$2,0))</f>
        <v>2924</v>
      </c>
      <c r="Z205" s="301">
        <f>INDEX('Inputs (2)'!$D$31:$AL$31,MATCH(Z$7,'Inputs (2)'!$D$2:$AL$2,0))</f>
        <v>2774</v>
      </c>
      <c r="AA205" s="301">
        <f>INDEX('Inputs (2)'!$D$31:$AL$31,MATCH(AA$7,'Inputs (2)'!$D$2:$AL$2,0))</f>
        <v>2828</v>
      </c>
      <c r="AB205" s="268">
        <f>AA205</f>
        <v>2828</v>
      </c>
      <c r="AC205" s="301">
        <f>INDEX('Inputs (2)'!$D$31:$AL$31,MATCH(AC$7,'Inputs (2)'!$D$2:$AL$2,0))</f>
        <v>2416</v>
      </c>
      <c r="AD205" s="301">
        <f>INDEX('Inputs (2)'!$D$31:$AL$31,MATCH(AD$7,'Inputs (2)'!$D$2:$AL$2,0))</f>
        <v>2983</v>
      </c>
      <c r="AE205" s="301">
        <f>INDEX('Inputs (2)'!$D$31:$AL$31,MATCH(AE$7,'Inputs (2)'!$D$2:$AL$2,0))</f>
        <v>5046</v>
      </c>
      <c r="AF205" s="301">
        <f>INDEX('Inputs (2)'!$D$31:$AL$31,MATCH(AF$7,'Inputs (2)'!$D$2:$AL$2,0))</f>
        <v>4527</v>
      </c>
      <c r="AG205" s="268">
        <f>AF205</f>
        <v>4527</v>
      </c>
      <c r="AH205" s="268">
        <f>INDEX('Inputs (2)'!$D$31:$AL$31,MATCH(AH$7,'Inputs (2)'!$D$2:$AL$2,0))</f>
        <v>5657</v>
      </c>
      <c r="AI205" s="268">
        <f>INDEX('Inputs (2)'!$D$31:$AL$31,MATCH(AI$7,'Inputs (2)'!$D$2:$AL$2,0))</f>
        <v>5074</v>
      </c>
      <c r="AJ205" s="268">
        <f>AI205</f>
        <v>5074</v>
      </c>
      <c r="AK205" s="268">
        <f>AJ205</f>
        <v>5074</v>
      </c>
      <c r="AL205" s="268">
        <f>AK205</f>
        <v>5074</v>
      </c>
      <c r="AM205" s="268">
        <f>AL205</f>
        <v>5074</v>
      </c>
      <c r="AN205" s="268">
        <f>AM205</f>
        <v>5074</v>
      </c>
      <c r="AO205" s="268">
        <f>AN205</f>
        <v>5074</v>
      </c>
      <c r="AP205" s="268">
        <f>AO205</f>
        <v>5074</v>
      </c>
      <c r="AQ205" s="268">
        <f>AP205</f>
        <v>5074</v>
      </c>
      <c r="AR205" s="268">
        <f>AQ205</f>
        <v>5074</v>
      </c>
      <c r="AS205" s="268">
        <f>AR205</f>
        <v>5074</v>
      </c>
      <c r="AT205" s="268">
        <f>AS205</f>
        <v>5074</v>
      </c>
      <c r="AU205" s="268">
        <f>AT205</f>
        <v>5074</v>
      </c>
      <c r="AV205" s="268">
        <f>AU205</f>
        <v>5074</v>
      </c>
      <c r="AW205" s="268">
        <f>AV205</f>
        <v>5074</v>
      </c>
      <c r="AX205" s="268">
        <f>AW205</f>
        <v>5074</v>
      </c>
      <c r="AY205" s="268">
        <f>AX205</f>
        <v>5074</v>
      </c>
      <c r="AZ205" s="268">
        <f>AY205</f>
        <v>5074</v>
      </c>
      <c r="BA205" s="268">
        <f>AZ205</f>
        <v>5074</v>
      </c>
      <c r="BB205" s="268">
        <f>BA205</f>
        <v>5074</v>
      </c>
      <c r="BC205" s="268">
        <f>BB205</f>
        <v>5074</v>
      </c>
      <c r="BD205" s="268">
        <f>BC205</f>
        <v>5074</v>
      </c>
      <c r="BE205" s="268">
        <f>BD205</f>
        <v>5074</v>
      </c>
      <c r="BF205" s="268">
        <f>BE205</f>
        <v>5074</v>
      </c>
      <c r="BG205" s="268">
        <f>BF205</f>
        <v>5074</v>
      </c>
      <c r="BH205" s="268">
        <f>BG205</f>
        <v>5074</v>
      </c>
      <c r="BI205" s="268">
        <f>BH205</f>
        <v>5074</v>
      </c>
      <c r="BJ205" s="268">
        <f>BI205</f>
        <v>5074</v>
      </c>
      <c r="BK205" s="268">
        <f>BJ205</f>
        <v>5074</v>
      </c>
      <c r="BL205" s="268">
        <f>BK205</f>
        <v>5074</v>
      </c>
      <c r="BM205" s="268">
        <f>BL205</f>
        <v>5074</v>
      </c>
      <c r="BN205" s="268">
        <f>BM205</f>
        <v>5074</v>
      </c>
      <c r="BO205" s="268">
        <f>BN205</f>
        <v>5074</v>
      </c>
      <c r="BP205" s="268">
        <f>BO205</f>
        <v>5074</v>
      </c>
      <c r="BQ205" s="268">
        <f>BP205</f>
        <v>5074</v>
      </c>
      <c r="BR205" s="268">
        <f>BQ205</f>
        <v>5074</v>
      </c>
      <c r="BS205" s="268">
        <f>BR205</f>
        <v>5074</v>
      </c>
      <c r="BT205" s="268">
        <f>BS205</f>
        <v>5074</v>
      </c>
      <c r="BU205" s="268">
        <f>BT205</f>
        <v>5074</v>
      </c>
      <c r="BV205" s="268">
        <f>BU205</f>
        <v>5074</v>
      </c>
      <c r="BW205" s="268">
        <f>BV205</f>
        <v>5074</v>
      </c>
      <c r="BX205" s="268">
        <f>BW205</f>
        <v>5074</v>
      </c>
      <c r="BY205" s="268">
        <f>BX205</f>
        <v>5074</v>
      </c>
      <c r="BZ205" s="268">
        <f>BY205</f>
        <v>5074</v>
      </c>
      <c r="CA205" s="268">
        <f>BZ205</f>
        <v>5074</v>
      </c>
      <c r="CB205" s="268">
        <f>CA205</f>
        <v>5074</v>
      </c>
      <c r="CC205" s="268">
        <f>CB205</f>
        <v>5074</v>
      </c>
      <c r="CD205" s="268">
        <f>CC205</f>
        <v>5074</v>
      </c>
      <c r="CE205" s="268">
        <f>CD205</f>
        <v>5074</v>
      </c>
      <c r="CF205" s="268">
        <f>CE205</f>
        <v>5074</v>
      </c>
      <c r="CG205" s="268">
        <f>CF205</f>
        <v>5074</v>
      </c>
      <c r="CH205" s="268">
        <f>CG205</f>
        <v>5074</v>
      </c>
      <c r="CI205" s="268">
        <f>CH205</f>
        <v>5074</v>
      </c>
      <c r="CJ205" s="268">
        <f>CI205</f>
        <v>5074</v>
      </c>
      <c r="CK205" s="268">
        <f>CJ205</f>
        <v>5074</v>
      </c>
      <c r="CL205" s="268">
        <f>CK205</f>
        <v>5074</v>
      </c>
      <c r="CM205" s="268">
        <f>CL205</f>
        <v>5074</v>
      </c>
      <c r="CN205" s="268">
        <f>CM205</f>
        <v>5074</v>
      </c>
      <c r="CO205" s="268">
        <f>CN205</f>
        <v>5074</v>
      </c>
      <c r="CP205" s="268">
        <f>CO205</f>
        <v>5074</v>
      </c>
      <c r="CQ205" s="268">
        <f>CP205</f>
        <v>5074</v>
      </c>
      <c r="CR205" s="268">
        <f>CQ205</f>
        <v>5074</v>
      </c>
      <c r="CS205" s="268">
        <f>CR205</f>
        <v>5074</v>
      </c>
      <c r="CT205" s="268">
        <f>CS205</f>
        <v>5074</v>
      </c>
      <c r="CU205" s="268">
        <f>CT205</f>
        <v>5074</v>
      </c>
      <c r="CV205" s="268">
        <f>CU205</f>
        <v>5074</v>
      </c>
      <c r="CW205" s="268">
        <f>CV205</f>
        <v>5074</v>
      </c>
      <c r="CX205" s="268">
        <f>CW205</f>
        <v>5074</v>
      </c>
      <c r="CY205" s="268">
        <f>CX205</f>
        <v>5074</v>
      </c>
    </row>
    <row r="206" hidden="1" outlineLevel="1" ht="12.75" customHeight="1" s="255">
      <c r="C206" s="314" t="inlineStr">
        <is>
          <t>%(Var.)</t>
        </is>
      </c>
      <c r="D206" s="268" t="n"/>
      <c r="E206" s="296">
        <f>(E205-D205)/D205</f>
        <v>-0.180137844611529</v>
      </c>
      <c r="F206" s="296">
        <f>(F205-E205)/E205</f>
        <v>0.479556744363775</v>
      </c>
      <c r="G206" s="296">
        <f>(G205-F205)/F205</f>
        <v>0.363119834710744</v>
      </c>
      <c r="H206" s="268" t="n"/>
      <c r="I206" s="296">
        <f>(I205-H205)/H205</f>
        <v>-0.139446760136415</v>
      </c>
      <c r="J206" s="296">
        <f>(J205-I205)/I205</f>
        <v>0.00462351387054161</v>
      </c>
      <c r="K206" s="296">
        <f>(K205-J205)/J205</f>
        <v>-0.162393162393162</v>
      </c>
      <c r="L206" s="296">
        <f>(L205-K205)/K205</f>
        <v>-0.0719518576661434</v>
      </c>
      <c r="M206" s="268" t="n"/>
      <c r="N206" s="296">
        <f>(N205-M205)/M205</f>
        <v>0.468001127713561</v>
      </c>
      <c r="O206" s="296">
        <f>(O205-N205)/N205</f>
        <v>-0.250816208949491</v>
      </c>
      <c r="P206" s="296">
        <f>(P205-O205)/O205</f>
        <v>-0.083311971289413</v>
      </c>
      <c r="Q206" s="296">
        <f>(Q205-P205)/P205</f>
        <v>-0.0500559284116331</v>
      </c>
      <c r="R206" s="268" t="n"/>
      <c r="S206" s="296">
        <f>(S205-R205)/R205</f>
        <v>-0.0827200471003827</v>
      </c>
      <c r="T206" s="296">
        <f>(T205-S205)/S205</f>
        <v>-0.0365853658536585</v>
      </c>
      <c r="U206" s="296">
        <f>(U205-T205)/T205</f>
        <v>-0.0879413724183877</v>
      </c>
      <c r="V206" s="296">
        <f>(V205-U205)/U205</f>
        <v>0.0642804967129291</v>
      </c>
      <c r="W206" s="268" t="n"/>
      <c r="X206" s="296">
        <f>(X205-W205)/W205</f>
        <v>-0.109128345916266</v>
      </c>
      <c r="Y206" s="296">
        <f>(Y205-X205)/X205</f>
        <v>0.126348228043143</v>
      </c>
      <c r="Z206" s="296">
        <f>(Z205-Y205)/Y205</f>
        <v>-0.0512995896032832</v>
      </c>
      <c r="AA206" s="296">
        <f>(AA205-Z205)/Z205</f>
        <v>0.0194664744051911</v>
      </c>
      <c r="AB206" s="268" t="n"/>
      <c r="AC206" s="296">
        <f>(AC205-AB205)/AB205</f>
        <v>-0.145685997171146</v>
      </c>
      <c r="AD206" s="296">
        <f>(AD205-AC205)/AC205</f>
        <v>0.234685430463576</v>
      </c>
      <c r="AE206" s="296">
        <f>(AE205-AD205)/AD205</f>
        <v>0.69158565202816</v>
      </c>
      <c r="AF206" s="311">
        <f>(AF205-AE205)/AE205</f>
        <v>-0.102853745541023</v>
      </c>
      <c r="AG206" s="268" t="n"/>
      <c r="AH206" s="311">
        <f>(AH205-AG205)/AG205</f>
        <v>0.249613430527943</v>
      </c>
      <c r="AI206" s="311">
        <f>(AI205-AH205)/AH205</f>
        <v>-0.103058158034294</v>
      </c>
      <c r="AJ206" s="311" t="n"/>
      <c r="AK206" s="311" t="n"/>
      <c r="AL206" s="268" t="n"/>
      <c r="AM206" s="311" t="n"/>
      <c r="AN206" s="311" t="n"/>
      <c r="AO206" s="311" t="n"/>
      <c r="AP206" s="311" t="n"/>
      <c r="AQ206" s="268" t="n"/>
      <c r="AR206" s="311" t="n"/>
      <c r="AS206" s="311" t="n"/>
      <c r="AT206" s="311" t="n"/>
      <c r="AU206" s="311" t="n"/>
      <c r="AV206" s="268" t="n"/>
      <c r="AW206" s="311" t="n"/>
      <c r="AX206" s="311" t="n"/>
      <c r="AY206" s="311" t="n"/>
      <c r="AZ206" s="311" t="n"/>
      <c r="BA206" s="268" t="n"/>
      <c r="BB206" s="311" t="n"/>
      <c r="BC206" s="311" t="n"/>
      <c r="BD206" s="311" t="n"/>
      <c r="BE206" s="311" t="n"/>
      <c r="BF206" s="268" t="n"/>
      <c r="BG206" s="311" t="n"/>
      <c r="BH206" s="311" t="n"/>
      <c r="BI206" s="311" t="n"/>
      <c r="BJ206" s="311" t="n"/>
      <c r="BK206" s="268" t="n"/>
      <c r="BL206" s="311" t="n"/>
      <c r="BM206" s="311" t="n"/>
      <c r="BN206" s="311" t="n"/>
      <c r="BO206" s="311" t="n"/>
      <c r="BP206" s="268" t="n"/>
      <c r="BQ206" s="311" t="n"/>
      <c r="BR206" s="311" t="n"/>
      <c r="BS206" s="311" t="n"/>
      <c r="BT206" s="311" t="n"/>
      <c r="BU206" s="268" t="n"/>
      <c r="BV206" s="311" t="n"/>
      <c r="BW206" s="311" t="n"/>
      <c r="BX206" s="311" t="n"/>
      <c r="BY206" s="311" t="n"/>
      <c r="BZ206" s="268" t="n"/>
      <c r="CA206" s="311" t="n"/>
      <c r="CB206" s="311" t="n"/>
      <c r="CC206" s="311" t="n"/>
      <c r="CD206" s="311" t="n"/>
      <c r="CE206" s="268" t="n"/>
      <c r="CF206" s="311" t="n"/>
      <c r="CG206" s="311" t="n"/>
      <c r="CH206" s="311" t="n"/>
      <c r="CI206" s="311" t="n"/>
      <c r="CJ206" s="268" t="n"/>
      <c r="CK206" s="311" t="n"/>
      <c r="CL206" s="311" t="n"/>
      <c r="CM206" s="311" t="n"/>
      <c r="CN206" s="311" t="n"/>
      <c r="CO206" s="268" t="n"/>
      <c r="CP206" s="311" t="n"/>
      <c r="CQ206" s="311" t="n"/>
      <c r="CR206" s="311" t="n"/>
      <c r="CS206" s="311" t="n"/>
      <c r="CT206" s="268" t="n"/>
      <c r="CU206" s="311" t="n"/>
      <c r="CV206" s="311" t="n"/>
      <c r="CW206" s="311" t="n"/>
      <c r="CX206" s="311" t="n"/>
      <c r="CY206" s="268" t="n"/>
    </row>
    <row r="207" hidden="1" outlineLevel="1" ht="12.75" customHeight="1" s="255">
      <c r="C207" s="312" t="n"/>
      <c r="D207" s="268" t="n"/>
      <c r="E207" s="268" t="n"/>
      <c r="F207" s="268" t="n"/>
      <c r="G207" s="268" t="n"/>
      <c r="H207" s="268" t="n"/>
      <c r="I207" s="268" t="n"/>
      <c r="J207" s="268" t="n"/>
      <c r="K207" s="268" t="n"/>
      <c r="L207" s="268" t="n"/>
      <c r="M207" s="268" t="n"/>
      <c r="N207" s="268" t="n"/>
      <c r="O207" s="268" t="n"/>
      <c r="P207" s="268" t="n"/>
      <c r="Q207" s="268" t="n"/>
      <c r="R207" s="268" t="n"/>
      <c r="S207" s="268" t="n"/>
      <c r="T207" s="268" t="n"/>
      <c r="U207" s="268" t="n"/>
      <c r="V207" s="268" t="n"/>
      <c r="W207" s="268" t="n"/>
      <c r="X207" s="268" t="n"/>
      <c r="Y207" s="268" t="n"/>
      <c r="Z207" s="268" t="n"/>
      <c r="AA207" s="268" t="n"/>
      <c r="AB207" s="268" t="n"/>
      <c r="AC207" s="268" t="n"/>
      <c r="AD207" s="268" t="n"/>
      <c r="AE207" s="268" t="n"/>
      <c r="AF207" s="268" t="n"/>
      <c r="AG207" s="268" t="n"/>
      <c r="AH207" s="268" t="n"/>
      <c r="AI207" s="268" t="n"/>
      <c r="AJ207" s="268" t="n"/>
      <c r="AK207" s="268" t="n"/>
      <c r="AL207" s="268" t="n"/>
      <c r="AM207" s="268" t="n"/>
      <c r="AN207" s="268" t="n"/>
      <c r="AO207" s="268" t="n"/>
      <c r="AP207" s="268" t="n"/>
      <c r="AQ207" s="268" t="n"/>
      <c r="AR207" s="268" t="n"/>
      <c r="AS207" s="268" t="n"/>
      <c r="AT207" s="268" t="n"/>
      <c r="AU207" s="268" t="n"/>
      <c r="AV207" s="268" t="n"/>
      <c r="AW207" s="268" t="n"/>
      <c r="AX207" s="268" t="n"/>
      <c r="AY207" s="268" t="n"/>
      <c r="AZ207" s="268" t="n"/>
      <c r="BA207" s="268" t="n"/>
      <c r="BB207" s="268" t="n"/>
      <c r="BC207" s="268" t="n"/>
      <c r="BD207" s="268" t="n"/>
      <c r="BE207" s="268" t="n"/>
      <c r="BF207" s="268" t="n"/>
      <c r="BG207" s="268" t="n"/>
      <c r="BH207" s="268" t="n"/>
      <c r="BI207" s="268" t="n"/>
      <c r="BJ207" s="268" t="n"/>
      <c r="BK207" s="268" t="n"/>
      <c r="BL207" s="268" t="n"/>
      <c r="BM207" s="268" t="n"/>
      <c r="BN207" s="268" t="n"/>
      <c r="BO207" s="268" t="n"/>
      <c r="BP207" s="268" t="n"/>
      <c r="BQ207" s="268" t="n"/>
      <c r="BR207" s="268" t="n"/>
      <c r="BS207" s="268" t="n"/>
      <c r="BT207" s="268" t="n"/>
      <c r="BU207" s="268" t="n"/>
      <c r="BV207" s="268" t="n"/>
      <c r="BW207" s="268" t="n"/>
      <c r="BX207" s="268" t="n"/>
      <c r="BY207" s="268" t="n"/>
      <c r="BZ207" s="268" t="n"/>
      <c r="CA207" s="268" t="n"/>
      <c r="CB207" s="268" t="n"/>
      <c r="CC207" s="268" t="n"/>
      <c r="CD207" s="268" t="n"/>
      <c r="CE207" s="268" t="n"/>
      <c r="CF207" s="268" t="n"/>
      <c r="CG207" s="268" t="n"/>
      <c r="CH207" s="268" t="n"/>
      <c r="CI207" s="268" t="n"/>
      <c r="CJ207" s="268" t="n"/>
      <c r="CK207" s="268" t="n"/>
      <c r="CL207" s="268" t="n"/>
      <c r="CM207" s="268" t="n"/>
      <c r="CN207" s="268" t="n"/>
      <c r="CO207" s="268" t="n"/>
      <c r="CP207" s="268" t="n"/>
      <c r="CQ207" s="268" t="n"/>
      <c r="CR207" s="268" t="n"/>
      <c r="CS207" s="268" t="n"/>
      <c r="CT207" s="268" t="n"/>
      <c r="CU207" s="268" t="n"/>
      <c r="CV207" s="268" t="n"/>
      <c r="CW207" s="268" t="n"/>
      <c r="CX207" s="268" t="n"/>
      <c r="CY207" s="268" t="n"/>
    </row>
    <row r="208" hidden="1" outlineLevel="1" ht="12.75" customHeight="1" s="255">
      <c r="C208" s="312" t="inlineStr">
        <is>
          <t xml:space="preserve">Dividendos a Pagar </t>
        </is>
      </c>
      <c r="D208" s="267" t="n"/>
      <c r="E208" s="267" t="n"/>
      <c r="F208" s="267" t="n"/>
      <c r="G208" s="267" t="n"/>
      <c r="H208" s="268" t="n"/>
      <c r="I208" s="267" t="n"/>
      <c r="J208" s="267" t="n"/>
      <c r="K208" s="267" t="n"/>
      <c r="L208" s="267" t="n"/>
      <c r="M208" s="268" t="n"/>
      <c r="N208" s="267" t="n"/>
      <c r="O208" s="267" t="n"/>
      <c r="P208" s="267" t="n"/>
      <c r="Q208" s="267" t="n"/>
      <c r="R208" s="268" t="n"/>
      <c r="S208" s="267" t="n"/>
      <c r="T208" s="267" t="n"/>
      <c r="U208" s="267" t="n"/>
      <c r="V208" s="267" t="n"/>
      <c r="W208" s="268" t="n"/>
      <c r="X208" s="267" t="n"/>
      <c r="Y208" s="267" t="n"/>
      <c r="Z208" s="267" t="n"/>
      <c r="AA208" s="267" t="n"/>
      <c r="AB208" s="268" t="n"/>
      <c r="AC208" s="267" t="n"/>
      <c r="AD208" s="267" t="n"/>
      <c r="AE208" s="267" t="n"/>
      <c r="AF208" s="267" t="n"/>
      <c r="AG208" s="268" t="n"/>
      <c r="AH208" s="267" t="n"/>
      <c r="AI208" s="267" t="n"/>
      <c r="AJ208" s="267" t="n"/>
      <c r="AK208" s="267" t="n"/>
      <c r="AL208" s="268" t="n"/>
      <c r="AM208" s="267" t="n"/>
      <c r="AN208" s="267" t="n"/>
      <c r="AO208" s="267" t="n"/>
      <c r="AP208" s="267" t="n"/>
      <c r="AQ208" s="268" t="n"/>
      <c r="AR208" s="267" t="n"/>
      <c r="AS208" s="267" t="n"/>
      <c r="AT208" s="267" t="n"/>
      <c r="AU208" s="267" t="n"/>
      <c r="AV208" s="268" t="n"/>
      <c r="AW208" s="267" t="n"/>
      <c r="AX208" s="267" t="n"/>
      <c r="AY208" s="267" t="n"/>
      <c r="AZ208" s="267" t="n"/>
      <c r="BA208" s="268" t="n"/>
      <c r="BB208" s="267" t="n"/>
      <c r="BC208" s="267" t="n"/>
      <c r="BD208" s="267" t="n"/>
      <c r="BE208" s="267" t="n"/>
      <c r="BF208" s="268" t="n"/>
      <c r="BG208" s="267" t="n"/>
      <c r="BH208" s="267" t="n"/>
      <c r="BI208" s="267" t="n"/>
      <c r="BJ208" s="267" t="n"/>
      <c r="BK208" s="268" t="n"/>
      <c r="BL208" s="267" t="n"/>
      <c r="BM208" s="267" t="n"/>
      <c r="BN208" s="267" t="n"/>
      <c r="BO208" s="267" t="n"/>
      <c r="BP208" s="268" t="n"/>
      <c r="BQ208" s="267" t="n"/>
      <c r="BR208" s="267" t="n"/>
      <c r="BS208" s="267" t="n"/>
      <c r="BT208" s="267" t="n"/>
      <c r="BU208" s="268" t="n"/>
      <c r="BV208" s="267" t="n"/>
      <c r="BW208" s="267" t="n"/>
      <c r="BX208" s="267" t="n"/>
      <c r="BY208" s="267" t="n"/>
      <c r="BZ208" s="268" t="n"/>
      <c r="CA208" s="267" t="n"/>
      <c r="CB208" s="267" t="n"/>
      <c r="CC208" s="267" t="n"/>
      <c r="CD208" s="267" t="n"/>
      <c r="CE208" s="268" t="n"/>
      <c r="CF208" s="267" t="n"/>
      <c r="CG208" s="267" t="n"/>
      <c r="CH208" s="267" t="n"/>
      <c r="CI208" s="267" t="n"/>
      <c r="CJ208" s="268" t="n"/>
      <c r="CK208" s="267" t="n"/>
      <c r="CL208" s="267" t="n"/>
      <c r="CM208" s="267" t="n"/>
      <c r="CN208" s="267" t="n"/>
      <c r="CO208" s="268" t="n"/>
      <c r="CP208" s="267" t="n"/>
      <c r="CQ208" s="267" t="n"/>
      <c r="CR208" s="267" t="n"/>
      <c r="CS208" s="267" t="n"/>
      <c r="CT208" s="268" t="n"/>
      <c r="CU208" s="267" t="n"/>
      <c r="CV208" s="267" t="n"/>
      <c r="CW208" s="267" t="n"/>
      <c r="CX208" s="267" t="n"/>
      <c r="CY208" s="268" t="n"/>
    </row>
    <row r="209" hidden="1" outlineLevel="1" ht="12.75" customHeight="1" s="255">
      <c r="C209" s="312" t="inlineStr">
        <is>
          <t>Contas a pagar pela aquisição de controladas</t>
        </is>
      </c>
      <c r="D209" s="267" t="n"/>
      <c r="E209" s="267" t="n"/>
      <c r="F209" s="267" t="n"/>
      <c r="G209" s="267" t="n"/>
      <c r="H209" s="268" t="n"/>
      <c r="I209" s="267" t="n"/>
      <c r="J209" s="267" t="n"/>
      <c r="K209" s="267" t="n"/>
      <c r="L209" s="267" t="n"/>
      <c r="M209" s="268" t="n"/>
      <c r="N209" s="267" t="n"/>
      <c r="O209" s="267" t="n"/>
      <c r="P209" s="267" t="n"/>
      <c r="Q209" s="267" t="n"/>
      <c r="R209" s="268" t="n"/>
      <c r="S209" s="267" t="n"/>
      <c r="T209" s="267" t="n"/>
      <c r="U209" s="267" t="n"/>
      <c r="V209" s="267" t="n"/>
      <c r="W209" s="268" t="n"/>
      <c r="X209" s="267" t="n"/>
      <c r="Y209" s="267" t="n"/>
      <c r="Z209" s="267" t="n"/>
      <c r="AA209" s="267" t="n"/>
      <c r="AB209" s="268" t="n"/>
      <c r="AC209" s="267" t="n"/>
      <c r="AD209" s="267" t="n"/>
      <c r="AE209" s="267" t="n"/>
      <c r="AF209" s="267" t="n"/>
      <c r="AG209" s="268" t="n"/>
      <c r="AH209" s="267" t="n"/>
      <c r="AI209" s="267" t="n"/>
      <c r="AJ209" s="267" t="n"/>
      <c r="AK209" s="267" t="n"/>
      <c r="AL209" s="268" t="n"/>
      <c r="AM209" s="267" t="n"/>
      <c r="AN209" s="267" t="n"/>
      <c r="AO209" s="267" t="n"/>
      <c r="AP209" s="267" t="n"/>
      <c r="AQ209" s="268" t="n"/>
      <c r="AR209" s="267" t="n"/>
      <c r="AS209" s="267" t="n"/>
      <c r="AT209" s="267" t="n"/>
      <c r="AU209" s="267" t="n"/>
      <c r="AV209" s="268" t="n"/>
      <c r="AW209" s="267" t="n"/>
      <c r="AX209" s="267" t="n"/>
      <c r="AY209" s="267" t="n"/>
      <c r="AZ209" s="267" t="n"/>
      <c r="BA209" s="268" t="n"/>
      <c r="BB209" s="267" t="n"/>
      <c r="BC209" s="267" t="n"/>
      <c r="BD209" s="267" t="n"/>
      <c r="BE209" s="267" t="n"/>
      <c r="BF209" s="268" t="n"/>
      <c r="BG209" s="267" t="n"/>
      <c r="BH209" s="267" t="n"/>
      <c r="BI209" s="267" t="n"/>
      <c r="BJ209" s="267" t="n"/>
      <c r="BK209" s="268" t="n"/>
      <c r="BL209" s="267" t="n"/>
      <c r="BM209" s="267" t="n"/>
      <c r="BN209" s="267" t="n"/>
      <c r="BO209" s="267" t="n"/>
      <c r="BP209" s="268" t="n"/>
      <c r="BQ209" s="267" t="n"/>
      <c r="BR209" s="267" t="n"/>
      <c r="BS209" s="267" t="n"/>
      <c r="BT209" s="267" t="n"/>
      <c r="BU209" s="268" t="n"/>
      <c r="BV209" s="267" t="n"/>
      <c r="BW209" s="267" t="n"/>
      <c r="BX209" s="267" t="n"/>
      <c r="BY209" s="267" t="n"/>
      <c r="BZ209" s="268" t="n"/>
      <c r="CA209" s="267" t="n"/>
      <c r="CB209" s="267" t="n"/>
      <c r="CC209" s="267" t="n"/>
      <c r="CD209" s="267" t="n"/>
      <c r="CE209" s="268" t="n"/>
      <c r="CF209" s="267" t="n"/>
      <c r="CG209" s="267" t="n"/>
      <c r="CH209" s="267" t="n"/>
      <c r="CI209" s="267" t="n"/>
      <c r="CJ209" s="268" t="n"/>
      <c r="CK209" s="267" t="n"/>
      <c r="CL209" s="267" t="n"/>
      <c r="CM209" s="267" t="n"/>
      <c r="CN209" s="267" t="n"/>
      <c r="CO209" s="268" t="n"/>
      <c r="CP209" s="267" t="n"/>
      <c r="CQ209" s="267" t="n"/>
      <c r="CR209" s="267" t="n"/>
      <c r="CS209" s="267" t="n"/>
      <c r="CT209" s="268" t="n"/>
      <c r="CU209" s="267" t="n"/>
      <c r="CV209" s="267" t="n"/>
      <c r="CW209" s="267" t="n"/>
      <c r="CX209" s="267" t="n"/>
      <c r="CY209" s="268" t="n"/>
    </row>
    <row r="210" hidden="1" outlineLevel="1" ht="12.75" customHeight="1" s="255">
      <c r="C210" s="312" t="inlineStr">
        <is>
          <t>Outros</t>
        </is>
      </c>
      <c r="D210" s="267" t="n"/>
      <c r="E210" s="267" t="n"/>
      <c r="F210" s="267" t="n"/>
      <c r="G210" s="267" t="n"/>
      <c r="H210" s="268" t="n"/>
      <c r="I210" s="267" t="n"/>
      <c r="J210" s="267" t="n"/>
      <c r="K210" s="267" t="n"/>
      <c r="L210" s="267" t="n"/>
      <c r="M210" s="268" t="n"/>
      <c r="N210" s="267" t="n"/>
      <c r="O210" s="267" t="n"/>
      <c r="P210" s="267" t="n"/>
      <c r="Q210" s="267" t="n"/>
      <c r="R210" s="268" t="n"/>
      <c r="S210" s="267" t="n"/>
      <c r="T210" s="267" t="n"/>
      <c r="U210" s="267" t="n"/>
      <c r="V210" s="267" t="n"/>
      <c r="W210" s="268" t="n"/>
      <c r="X210" s="267" t="n"/>
      <c r="Y210" s="267" t="n"/>
      <c r="Z210" s="267" t="n"/>
      <c r="AA210" s="267" t="n"/>
      <c r="AB210" s="268" t="n"/>
      <c r="AC210" s="267" t="n"/>
      <c r="AD210" s="267" t="n"/>
      <c r="AE210" s="267" t="n"/>
      <c r="AF210" s="267" t="n"/>
      <c r="AG210" s="268" t="n"/>
      <c r="AH210" s="267" t="n"/>
      <c r="AI210" s="267" t="n"/>
      <c r="AJ210" s="267" t="n"/>
      <c r="AK210" s="267" t="n"/>
      <c r="AL210" s="268" t="n"/>
      <c r="AM210" s="267" t="n"/>
      <c r="AN210" s="267" t="n"/>
      <c r="AO210" s="267" t="n"/>
      <c r="AP210" s="267" t="n"/>
      <c r="AQ210" s="268" t="n"/>
      <c r="AR210" s="267" t="n"/>
      <c r="AS210" s="267" t="n"/>
      <c r="AT210" s="267" t="n"/>
      <c r="AU210" s="267" t="n"/>
      <c r="AV210" s="268" t="n"/>
      <c r="AW210" s="267" t="n"/>
      <c r="AX210" s="267" t="n"/>
      <c r="AY210" s="267" t="n"/>
      <c r="AZ210" s="267" t="n"/>
      <c r="BA210" s="268" t="n"/>
      <c r="BB210" s="267" t="n"/>
      <c r="BC210" s="267" t="n"/>
      <c r="BD210" s="267" t="n"/>
      <c r="BE210" s="267" t="n"/>
      <c r="BF210" s="268" t="n"/>
      <c r="BG210" s="267" t="n"/>
      <c r="BH210" s="267" t="n"/>
      <c r="BI210" s="267" t="n"/>
      <c r="BJ210" s="267" t="n"/>
      <c r="BK210" s="268" t="n"/>
      <c r="BL210" s="267" t="n"/>
      <c r="BM210" s="267" t="n"/>
      <c r="BN210" s="267" t="n"/>
      <c r="BO210" s="267" t="n"/>
      <c r="BP210" s="268" t="n"/>
      <c r="BQ210" s="267" t="n"/>
      <c r="BR210" s="267" t="n"/>
      <c r="BS210" s="267" t="n"/>
      <c r="BT210" s="267" t="n"/>
      <c r="BU210" s="268" t="n"/>
      <c r="BV210" s="267" t="n"/>
      <c r="BW210" s="267" t="n"/>
      <c r="BX210" s="267" t="n"/>
      <c r="BY210" s="267" t="n"/>
      <c r="BZ210" s="268" t="n"/>
      <c r="CA210" s="267" t="n"/>
      <c r="CB210" s="267" t="n"/>
      <c r="CC210" s="267" t="n"/>
      <c r="CD210" s="267" t="n"/>
      <c r="CE210" s="268" t="n"/>
      <c r="CF210" s="267" t="n"/>
      <c r="CG210" s="267" t="n"/>
      <c r="CH210" s="267" t="n"/>
      <c r="CI210" s="267" t="n"/>
      <c r="CJ210" s="268" t="n"/>
      <c r="CK210" s="267" t="n"/>
      <c r="CL210" s="267" t="n"/>
      <c r="CM210" s="267" t="n"/>
      <c r="CN210" s="267" t="n"/>
      <c r="CO210" s="268" t="n"/>
      <c r="CP210" s="267" t="n"/>
      <c r="CQ210" s="267" t="n"/>
      <c r="CR210" s="267" t="n"/>
      <c r="CS210" s="267" t="n"/>
      <c r="CT210" s="268" t="n"/>
      <c r="CU210" s="267" t="n"/>
      <c r="CV210" s="267" t="n"/>
      <c r="CW210" s="267" t="n"/>
      <c r="CX210" s="267" t="n"/>
      <c r="CY210" s="268" t="n"/>
    </row>
    <row r="211" hidden="1" outlineLevel="1" ht="12.75" customHeight="1" s="255">
      <c r="C211" s="312" t="n"/>
      <c r="D211" s="268" t="n"/>
      <c r="E211" s="268" t="n"/>
      <c r="F211" s="268" t="n"/>
      <c r="G211" s="268" t="n"/>
      <c r="H211" s="268" t="n"/>
      <c r="I211" s="268" t="n"/>
      <c r="J211" s="268" t="n"/>
      <c r="K211" s="268" t="n"/>
      <c r="L211" s="268" t="n"/>
      <c r="M211" s="268" t="n"/>
      <c r="N211" s="268" t="n"/>
      <c r="O211" s="268" t="n"/>
      <c r="P211" s="268" t="n"/>
      <c r="Q211" s="268" t="n"/>
      <c r="R211" s="268" t="n"/>
      <c r="S211" s="268" t="n"/>
      <c r="T211" s="268" t="n"/>
      <c r="U211" s="268" t="n"/>
      <c r="V211" s="268" t="n"/>
      <c r="W211" s="268" t="n"/>
      <c r="X211" s="268" t="n"/>
      <c r="Y211" s="268" t="n"/>
      <c r="Z211" s="268" t="n"/>
      <c r="AA211" s="268" t="n"/>
      <c r="AB211" s="268" t="n"/>
      <c r="AC211" s="268" t="n"/>
      <c r="AD211" s="268" t="n"/>
      <c r="AE211" s="268" t="n"/>
      <c r="AF211" s="268" t="n"/>
      <c r="AG211" s="268" t="n"/>
      <c r="AH211" s="268" t="n"/>
      <c r="AI211" s="268" t="n"/>
      <c r="AJ211" s="268" t="n"/>
      <c r="AK211" s="268" t="n"/>
      <c r="AL211" s="268" t="n"/>
      <c r="AM211" s="268" t="n"/>
      <c r="AN211" s="268" t="n"/>
      <c r="AO211" s="268" t="n"/>
      <c r="AP211" s="268" t="n"/>
      <c r="AQ211" s="268" t="n"/>
      <c r="AR211" s="268" t="n"/>
      <c r="AS211" s="268" t="n"/>
      <c r="AT211" s="268" t="n"/>
      <c r="AU211" s="268" t="n"/>
      <c r="AV211" s="268" t="n"/>
      <c r="AW211" s="268" t="n"/>
      <c r="AX211" s="268" t="n"/>
      <c r="AY211" s="268" t="n"/>
      <c r="AZ211" s="268" t="n"/>
      <c r="BA211" s="268" t="n"/>
      <c r="BB211" s="268" t="n"/>
      <c r="BC211" s="268" t="n"/>
      <c r="BD211" s="268" t="n"/>
      <c r="BE211" s="268" t="n"/>
      <c r="BF211" s="268" t="n"/>
      <c r="BG211" s="268" t="n"/>
      <c r="BH211" s="268" t="n"/>
      <c r="BI211" s="268" t="n"/>
      <c r="BJ211" s="268" t="n"/>
      <c r="BK211" s="268" t="n"/>
      <c r="BL211" s="268" t="n"/>
      <c r="BM211" s="268" t="n"/>
      <c r="BN211" s="268" t="n"/>
      <c r="BO211" s="268" t="n"/>
      <c r="BP211" s="268" t="n"/>
      <c r="BQ211" s="268" t="n"/>
      <c r="BR211" s="268" t="n"/>
      <c r="BS211" s="268" t="n"/>
      <c r="BT211" s="268" t="n"/>
      <c r="BU211" s="268" t="n"/>
      <c r="BV211" s="268" t="n"/>
      <c r="BW211" s="268" t="n"/>
      <c r="BX211" s="268" t="n"/>
      <c r="BY211" s="268" t="n"/>
      <c r="BZ211" s="268" t="n"/>
      <c r="CA211" s="268" t="n"/>
      <c r="CB211" s="268" t="n"/>
      <c r="CC211" s="268" t="n"/>
      <c r="CD211" s="268" t="n"/>
      <c r="CE211" s="268" t="n"/>
      <c r="CF211" s="268" t="n"/>
      <c r="CG211" s="268" t="n"/>
      <c r="CH211" s="268" t="n"/>
      <c r="CI211" s="268" t="n"/>
      <c r="CJ211" s="268" t="n"/>
      <c r="CK211" s="268" t="n"/>
      <c r="CL211" s="268" t="n"/>
      <c r="CM211" s="268" t="n"/>
      <c r="CN211" s="268" t="n"/>
      <c r="CO211" s="268" t="n"/>
      <c r="CP211" s="268" t="n"/>
      <c r="CQ211" s="268" t="n"/>
      <c r="CR211" s="268" t="n"/>
      <c r="CS211" s="268" t="n"/>
      <c r="CT211" s="268" t="n"/>
      <c r="CU211" s="268" t="n"/>
      <c r="CV211" s="268" t="n"/>
      <c r="CW211" s="268" t="n"/>
      <c r="CX211" s="268" t="n"/>
      <c r="CY211" s="268" t="n"/>
    </row>
    <row r="212" ht="12.75" customHeight="1" s="255">
      <c r="C212" s="270" t="inlineStr">
        <is>
          <t>Current portion of long-term debt</t>
        </is>
      </c>
      <c r="D212" s="301">
        <f>INDEX('Inputs (2)'!$D$32:$AL$32,MATCH(D$7,'Inputs (2)'!$D$2:$AL$2,0))</f>
        <v>1245</v>
      </c>
      <c r="E212" s="301">
        <f>INDEX('Inputs (2)'!$D$32:$AL$32,MATCH(E$7,'Inputs (2)'!$D$2:$AL$2,0))</f>
        <v>2057</v>
      </c>
      <c r="F212" s="301">
        <f>INDEX('Inputs (2)'!$D$32:$AL$32,MATCH(F$7,'Inputs (2)'!$D$2:$AL$2,0))</f>
        <v>2119</v>
      </c>
      <c r="G212" s="301">
        <f>INDEX('Inputs (2)'!$D$32:$AL$32,MATCH(G$7,'Inputs (2)'!$D$2:$AL$2,0))</f>
        <v>2836</v>
      </c>
      <c r="H212" s="268">
        <f>G212</f>
        <v>2836</v>
      </c>
      <c r="I212" s="301">
        <f>INDEX('Inputs (2)'!$D$32:$AL$32,MATCH(I$7,'Inputs (2)'!$D$2:$AL$2,0))</f>
        <v>2715</v>
      </c>
      <c r="J212" s="301">
        <f>INDEX('Inputs (2)'!$D$32:$AL$32,MATCH(J$7,'Inputs (2)'!$D$2:$AL$2,0))</f>
        <v>1859</v>
      </c>
      <c r="K212" s="301">
        <f>INDEX('Inputs (2)'!$D$32:$AL$32,MATCH(K$7,'Inputs (2)'!$D$2:$AL$2,0))</f>
        <v>1661</v>
      </c>
      <c r="L212" s="301">
        <f>INDEX('Inputs (2)'!$D$32:$AL$32,MATCH(L$7,'Inputs (2)'!$D$2:$AL$2,0))</f>
        <v>1177</v>
      </c>
      <c r="M212" s="268">
        <f>L212</f>
        <v>1177</v>
      </c>
      <c r="N212" s="301">
        <f>INDEX('Inputs (2)'!$D$32:$AL$32,MATCH(N$7,'Inputs (2)'!$D$2:$AL$2,0))</f>
        <v>2440</v>
      </c>
      <c r="O212" s="301">
        <f>INDEX('Inputs (2)'!$D$32:$AL$32,MATCH(O$7,'Inputs (2)'!$D$2:$AL$2,0))</f>
        <v>3457</v>
      </c>
      <c r="P212" s="301">
        <f>INDEX('Inputs (2)'!$D$32:$AL$32,MATCH(P$7,'Inputs (2)'!$D$2:$AL$2,0))</f>
        <v>2100</v>
      </c>
      <c r="Q212" s="301">
        <f>INDEX('Inputs (2)'!$D$32:$AL$32,MATCH(Q$7,'Inputs (2)'!$D$2:$AL$2,0))</f>
        <v>1392</v>
      </c>
      <c r="R212" s="268">
        <f>Q212</f>
        <v>1392</v>
      </c>
      <c r="S212" s="301">
        <f>INDEX('Inputs (2)'!$D$32:$AL$32,MATCH(S$7,'Inputs (2)'!$D$2:$AL$2,0))</f>
        <v>1408</v>
      </c>
      <c r="T212" s="301">
        <f>INDEX('Inputs (2)'!$D$32:$AL$32,MATCH(T$7,'Inputs (2)'!$D$2:$AL$2,0))</f>
        <v>671</v>
      </c>
      <c r="U212" s="301">
        <f>INDEX('Inputs (2)'!$D$32:$AL$32,MATCH(U$7,'Inputs (2)'!$D$2:$AL$2,0))</f>
        <v>1215</v>
      </c>
      <c r="V212" s="301">
        <f>INDEX('Inputs (2)'!$D$32:$AL$32,MATCH(V$7,'Inputs (2)'!$D$2:$AL$2,0))</f>
        <v>802</v>
      </c>
      <c r="W212" s="268">
        <f>V212</f>
        <v>802</v>
      </c>
      <c r="X212" s="301">
        <f>INDEX('Inputs (2)'!$D$32:$AL$32,MATCH(X$7,'Inputs (2)'!$D$2:$AL$2,0))</f>
        <v>1016</v>
      </c>
      <c r="Y212" s="301">
        <f>INDEX('Inputs (2)'!$D$32:$AL$32,MATCH(Y$7,'Inputs (2)'!$D$2:$AL$2,0))</f>
        <v>954</v>
      </c>
      <c r="Z212" s="301">
        <f>INDEX('Inputs (2)'!$D$32:$AL$32,MATCH(Z$7,'Inputs (2)'!$D$2:$AL$2,0))</f>
        <v>1418</v>
      </c>
      <c r="AA212" s="301">
        <f>INDEX('Inputs (2)'!$D$32:$AL$32,MATCH(AA$7,'Inputs (2)'!$D$2:$AL$2,0))</f>
        <v>1544</v>
      </c>
      <c r="AB212" s="268">
        <f>AA212</f>
        <v>1544</v>
      </c>
      <c r="AC212" s="301">
        <f>INDEX('Inputs (2)'!$D$32:$AL$32,MATCH(AC$7,'Inputs (2)'!$D$2:$AL$2,0))</f>
        <v>2003</v>
      </c>
      <c r="AD212" s="301">
        <f>INDEX('Inputs (2)'!$D$32:$AL$32,MATCH(AD$7,'Inputs (2)'!$D$2:$AL$2,0))</f>
        <v>4225</v>
      </c>
      <c r="AE212" s="301">
        <f>INDEX('Inputs (2)'!$D$32:$AL$32,MATCH(AE$7,'Inputs (2)'!$D$2:$AL$2,0))</f>
        <v>5780</v>
      </c>
      <c r="AF212" s="301">
        <f>INDEX('Inputs (2)'!$D$32:$AL$32,MATCH(AF$7,'Inputs (2)'!$D$2:$AL$2,0))</f>
        <v>5220</v>
      </c>
      <c r="AG212" s="268">
        <f>AF212</f>
        <v>5220</v>
      </c>
      <c r="AH212" s="268">
        <f>INDEX('Inputs (2)'!$D$32:$AL$32,MATCH(AH$7,'Inputs (2)'!$D$2:$AL$2,0))</f>
        <v>4606</v>
      </c>
      <c r="AI212" s="268">
        <f>INDEX('Inputs (2)'!$D$32:$AL$32,MATCH(AI$7,'Inputs (2)'!$D$2:$AL$2,0))</f>
        <v>5788</v>
      </c>
      <c r="AJ212" s="268">
        <f>AI212</f>
        <v>5788</v>
      </c>
      <c r="AK212" s="268">
        <f>AJ212</f>
        <v>5788</v>
      </c>
      <c r="AL212" s="268">
        <f>AK212</f>
        <v>5788</v>
      </c>
      <c r="AM212" s="268">
        <f>AL212</f>
        <v>5788</v>
      </c>
      <c r="AN212" s="268">
        <f>AM212</f>
        <v>5788</v>
      </c>
      <c r="AO212" s="268">
        <f>AN212</f>
        <v>5788</v>
      </c>
      <c r="AP212" s="268">
        <f>AO212</f>
        <v>5788</v>
      </c>
      <c r="AQ212" s="268">
        <f>AP212</f>
        <v>5788</v>
      </c>
      <c r="AR212" s="268">
        <f>AQ212</f>
        <v>5788</v>
      </c>
      <c r="AS212" s="268">
        <f>AR212</f>
        <v>5788</v>
      </c>
      <c r="AT212" s="268">
        <f>AS212</f>
        <v>5788</v>
      </c>
      <c r="AU212" s="268">
        <f>AT212</f>
        <v>5788</v>
      </c>
      <c r="AV212" s="268">
        <f>AU212</f>
        <v>5788</v>
      </c>
      <c r="AW212" s="268">
        <f>AV212</f>
        <v>5788</v>
      </c>
      <c r="AX212" s="268">
        <f>AW212</f>
        <v>5788</v>
      </c>
      <c r="AY212" s="268">
        <f>AX212</f>
        <v>5788</v>
      </c>
      <c r="AZ212" s="268">
        <f>AY212</f>
        <v>5788</v>
      </c>
      <c r="BA212" s="268">
        <f>AZ212</f>
        <v>5788</v>
      </c>
      <c r="BB212" s="268">
        <f>BA212</f>
        <v>5788</v>
      </c>
      <c r="BC212" s="268">
        <f>BB212</f>
        <v>5788</v>
      </c>
      <c r="BD212" s="268">
        <f>BC212</f>
        <v>5788</v>
      </c>
      <c r="BE212" s="268">
        <f>BD212</f>
        <v>5788</v>
      </c>
      <c r="BF212" s="268">
        <f>BE212</f>
        <v>5788</v>
      </c>
      <c r="BG212" s="268">
        <f>BF212</f>
        <v>5788</v>
      </c>
      <c r="BH212" s="268">
        <f>BG212</f>
        <v>5788</v>
      </c>
      <c r="BI212" s="268">
        <f>BH212</f>
        <v>5788</v>
      </c>
      <c r="BJ212" s="268">
        <f>BI212</f>
        <v>5788</v>
      </c>
      <c r="BK212" s="268">
        <f>BJ212</f>
        <v>5788</v>
      </c>
      <c r="BL212" s="268">
        <f>BK212</f>
        <v>5788</v>
      </c>
      <c r="BM212" s="268">
        <f>BL212</f>
        <v>5788</v>
      </c>
      <c r="BN212" s="268">
        <f>BM212</f>
        <v>5788</v>
      </c>
      <c r="BO212" s="268">
        <f>BN212</f>
        <v>5788</v>
      </c>
      <c r="BP212" s="268">
        <f>BO212</f>
        <v>5788</v>
      </c>
      <c r="BQ212" s="268">
        <f>BP212</f>
        <v>5788</v>
      </c>
      <c r="BR212" s="268">
        <f>BQ212</f>
        <v>5788</v>
      </c>
      <c r="BS212" s="268">
        <f>BR212</f>
        <v>5788</v>
      </c>
      <c r="BT212" s="268">
        <f>BS212</f>
        <v>5788</v>
      </c>
      <c r="BU212" s="268">
        <f>BT212</f>
        <v>5788</v>
      </c>
      <c r="BV212" s="268">
        <f>BU212</f>
        <v>5788</v>
      </c>
      <c r="BW212" s="268">
        <f>BV212</f>
        <v>5788</v>
      </c>
      <c r="BX212" s="268">
        <f>BW212</f>
        <v>5788</v>
      </c>
      <c r="BY212" s="268">
        <f>BX212</f>
        <v>5788</v>
      </c>
      <c r="BZ212" s="268">
        <f>BY212</f>
        <v>5788</v>
      </c>
      <c r="CA212" s="268">
        <f>BZ212</f>
        <v>5788</v>
      </c>
      <c r="CB212" s="268">
        <f>CA212</f>
        <v>5788</v>
      </c>
      <c r="CC212" s="268">
        <f>CB212</f>
        <v>5788</v>
      </c>
      <c r="CD212" s="268">
        <f>CC212</f>
        <v>5788</v>
      </c>
      <c r="CE212" s="268">
        <f>CD212</f>
        <v>5788</v>
      </c>
      <c r="CF212" s="268">
        <f>CE212</f>
        <v>5788</v>
      </c>
      <c r="CG212" s="268">
        <f>CF212</f>
        <v>5788</v>
      </c>
      <c r="CH212" s="268">
        <f>CG212</f>
        <v>5788</v>
      </c>
      <c r="CI212" s="268">
        <f>CH212</f>
        <v>5788</v>
      </c>
      <c r="CJ212" s="268">
        <f>CI212</f>
        <v>5788</v>
      </c>
      <c r="CK212" s="268">
        <f>CJ212</f>
        <v>5788</v>
      </c>
      <c r="CL212" s="268">
        <f>CK212</f>
        <v>5788</v>
      </c>
      <c r="CM212" s="268">
        <f>CL212</f>
        <v>5788</v>
      </c>
      <c r="CN212" s="268">
        <f>CM212</f>
        <v>5788</v>
      </c>
      <c r="CO212" s="268">
        <f>CN212</f>
        <v>5788</v>
      </c>
      <c r="CP212" s="268">
        <f>CO212</f>
        <v>5788</v>
      </c>
      <c r="CQ212" s="268">
        <f>CP212</f>
        <v>5788</v>
      </c>
      <c r="CR212" s="268">
        <f>CQ212</f>
        <v>5788</v>
      </c>
      <c r="CS212" s="268">
        <f>CR212</f>
        <v>5788</v>
      </c>
      <c r="CT212" s="268">
        <f>CS212</f>
        <v>5788</v>
      </c>
      <c r="CU212" s="268">
        <f>CT212</f>
        <v>5788</v>
      </c>
      <c r="CV212" s="268">
        <f>CU212</f>
        <v>5788</v>
      </c>
      <c r="CW212" s="268">
        <f>CV212</f>
        <v>5788</v>
      </c>
      <c r="CX212" s="268">
        <f>CW212</f>
        <v>5788</v>
      </c>
      <c r="CY212" s="268">
        <f>CX212</f>
        <v>5788</v>
      </c>
    </row>
    <row r="213" ht="12.75" customHeight="1" s="255">
      <c r="C213" s="270" t="inlineStr">
        <is>
          <t>Short term debt (Revolving credit facility)</t>
        </is>
      </c>
      <c r="D213" s="301">
        <f>INDEX('Inputs (2)'!$D$33:$AL$33,MATCH(D$7,'Inputs (2)'!$D$2:$AL$2,0))</f>
        <v>0</v>
      </c>
      <c r="E213" s="301">
        <f>INDEX('Inputs (2)'!$D$33:$AL$33,MATCH(E$7,'Inputs (2)'!$D$2:$AL$2,0))</f>
        <v>0</v>
      </c>
      <c r="F213" s="301">
        <f>INDEX('Inputs (2)'!$D$33:$AL$33,MATCH(F$7,'Inputs (2)'!$D$2:$AL$2,0))</f>
        <v>0</v>
      </c>
      <c r="G213" s="301">
        <f>INDEX('Inputs (2)'!$D$33:$AL$33,MATCH(G$7,'Inputs (2)'!$D$2:$AL$2,0))</f>
        <v>0</v>
      </c>
      <c r="H213" s="268">
        <f>G213</f>
        <v>0</v>
      </c>
      <c r="I213" s="301">
        <f>INDEX('Inputs (2)'!$D$33:$AL$33,MATCH(I$7,'Inputs (2)'!$D$2:$AL$2,0))</f>
        <v>0</v>
      </c>
      <c r="J213" s="301">
        <f>INDEX('Inputs (2)'!$D$33:$AL$33,MATCH(J$7,'Inputs (2)'!$D$2:$AL$2,0))</f>
        <v>0</v>
      </c>
      <c r="K213" s="301">
        <f>INDEX('Inputs (2)'!$D$33:$AL$33,MATCH(K$7,'Inputs (2)'!$D$2:$AL$2,0))</f>
        <v>0</v>
      </c>
      <c r="L213" s="301">
        <f>INDEX('Inputs (2)'!$D$33:$AL$33,MATCH(L$7,'Inputs (2)'!$D$2:$AL$2,0))</f>
        <v>0</v>
      </c>
      <c r="M213" s="268">
        <f>L213</f>
        <v>0</v>
      </c>
      <c r="N213" s="301">
        <f>INDEX('Inputs (2)'!$D$33:$AL$33,MATCH(N$7,'Inputs (2)'!$D$2:$AL$2,0))</f>
        <v>0</v>
      </c>
      <c r="O213" s="301">
        <f>INDEX('Inputs (2)'!$D$33:$AL$33,MATCH(O$7,'Inputs (2)'!$D$2:$AL$2,0))</f>
        <v>0</v>
      </c>
      <c r="P213" s="301">
        <f>INDEX('Inputs (2)'!$D$33:$AL$33,MATCH(P$7,'Inputs (2)'!$D$2:$AL$2,0))</f>
        <v>0</v>
      </c>
      <c r="Q213" s="301">
        <f>INDEX('Inputs (2)'!$D$33:$AL$33,MATCH(Q$7,'Inputs (2)'!$D$2:$AL$2,0))</f>
        <v>0</v>
      </c>
      <c r="R213" s="268">
        <f>Q213</f>
        <v>0</v>
      </c>
      <c r="S213" s="301">
        <f>INDEX('Inputs (2)'!$D$33:$AL$33,MATCH(S$7,'Inputs (2)'!$D$2:$AL$2,0))</f>
        <v>0</v>
      </c>
      <c r="T213" s="301">
        <f>INDEX('Inputs (2)'!$D$33:$AL$33,MATCH(T$7,'Inputs (2)'!$D$2:$AL$2,0))</f>
        <v>0</v>
      </c>
      <c r="U213" s="301">
        <f>INDEX('Inputs (2)'!$D$33:$AL$33,MATCH(U$7,'Inputs (2)'!$D$2:$AL$2,0))</f>
        <v>0</v>
      </c>
      <c r="V213" s="301">
        <f>INDEX('Inputs (2)'!$D$33:$AL$33,MATCH(V$7,'Inputs (2)'!$D$2:$AL$2,0))</f>
        <v>0</v>
      </c>
      <c r="W213" s="268">
        <f>V213</f>
        <v>0</v>
      </c>
      <c r="X213" s="301">
        <f>INDEX('Inputs (2)'!$D$33:$AL$33,MATCH(X$7,'Inputs (2)'!$D$2:$AL$2,0))</f>
        <v>0</v>
      </c>
      <c r="Y213" s="301">
        <f>INDEX('Inputs (2)'!$D$33:$AL$33,MATCH(Y$7,'Inputs (2)'!$D$2:$AL$2,0))</f>
        <v>0</v>
      </c>
      <c r="Z213" s="301">
        <f>INDEX('Inputs (2)'!$D$33:$AL$33,MATCH(Z$7,'Inputs (2)'!$D$2:$AL$2,0))</f>
        <v>0</v>
      </c>
      <c r="AA213" s="301">
        <f>INDEX('Inputs (2)'!$D$33:$AL$33,MATCH(AA$7,'Inputs (2)'!$D$2:$AL$2,0))</f>
        <v>0</v>
      </c>
      <c r="AB213" s="268">
        <f>AA213</f>
        <v>0</v>
      </c>
      <c r="AC213" s="301">
        <f>INDEX('Inputs (2)'!$D$33:$AL$33,MATCH(AC$7,'Inputs (2)'!$D$2:$AL$2,0))</f>
        <v>0</v>
      </c>
      <c r="AD213" s="301">
        <f>INDEX('Inputs (2)'!$D$33:$AL$33,MATCH(AD$7,'Inputs (2)'!$D$2:$AL$2,0))</f>
        <v>0</v>
      </c>
      <c r="AE213" s="301">
        <f>INDEX('Inputs (2)'!$D$33:$AL$33,MATCH(AE$7,'Inputs (2)'!$D$2:$AL$2,0))</f>
        <v>0</v>
      </c>
      <c r="AF213" s="301">
        <f>INDEX('Inputs (2)'!$D$33:$AL$33,MATCH(AF$7,'Inputs (2)'!$D$2:$AL$2,0))</f>
        <v>0</v>
      </c>
      <c r="AG213" s="268">
        <f>AF213</f>
        <v>0</v>
      </c>
      <c r="AH213" s="268">
        <f>INDEX('Inputs (2)'!$D$33:$AL$33,MATCH(AH$7,'Inputs (2)'!$D$2:$AL$2,0))</f>
        <v>0</v>
      </c>
      <c r="AI213" s="268">
        <f>INDEX('Inputs (2)'!$D$33:$AL$33,MATCH(AI$7,'Inputs (2)'!$D$2:$AL$2,0))</f>
        <v>0</v>
      </c>
      <c r="AJ213" s="268">
        <f>AI213</f>
        <v>0</v>
      </c>
      <c r="AK213" s="268">
        <f>AJ213</f>
        <v>0</v>
      </c>
      <c r="AL213" s="268">
        <f>AK213</f>
        <v>0</v>
      </c>
      <c r="AM213" s="268">
        <f>AL213</f>
        <v>0</v>
      </c>
      <c r="AN213" s="268">
        <f>AM213</f>
        <v>0</v>
      </c>
      <c r="AO213" s="268">
        <f>AN213</f>
        <v>0</v>
      </c>
      <c r="AP213" s="268">
        <f>AO213</f>
        <v>0</v>
      </c>
      <c r="AQ213" s="268">
        <f>AP213</f>
        <v>0</v>
      </c>
      <c r="AR213" s="268">
        <f>AQ213</f>
        <v>0</v>
      </c>
      <c r="AS213" s="268">
        <f>AR213</f>
        <v>0</v>
      </c>
      <c r="AT213" s="268">
        <f>AS213</f>
        <v>0</v>
      </c>
      <c r="AU213" s="268">
        <f>AT213</f>
        <v>0</v>
      </c>
      <c r="AV213" s="268">
        <f>AU213</f>
        <v>0</v>
      </c>
      <c r="AW213" s="268">
        <f>AV213</f>
        <v>0</v>
      </c>
      <c r="AX213" s="268">
        <f>AW213</f>
        <v>0</v>
      </c>
      <c r="AY213" s="268">
        <f>AX213</f>
        <v>0</v>
      </c>
      <c r="AZ213" s="268">
        <f>AY213</f>
        <v>0</v>
      </c>
      <c r="BA213" s="268">
        <f>AZ213</f>
        <v>0</v>
      </c>
      <c r="BB213" s="268">
        <f>BA213</f>
        <v>0</v>
      </c>
      <c r="BC213" s="268">
        <f>BB213</f>
        <v>0</v>
      </c>
      <c r="BD213" s="268">
        <f>BC213</f>
        <v>0</v>
      </c>
      <c r="BE213" s="268">
        <f>BD213</f>
        <v>0</v>
      </c>
      <c r="BF213" s="268">
        <f>BE213</f>
        <v>0</v>
      </c>
      <c r="BG213" s="268">
        <f>BF213</f>
        <v>0</v>
      </c>
      <c r="BH213" s="268">
        <f>BG213</f>
        <v>0</v>
      </c>
      <c r="BI213" s="268">
        <f>BH213</f>
        <v>0</v>
      </c>
      <c r="BJ213" s="268">
        <f>BI213</f>
        <v>0</v>
      </c>
      <c r="BK213" s="268">
        <f>BJ213</f>
        <v>0</v>
      </c>
      <c r="BL213" s="268">
        <f>BK213</f>
        <v>0</v>
      </c>
      <c r="BM213" s="268">
        <f>BL213</f>
        <v>0</v>
      </c>
      <c r="BN213" s="268">
        <f>BM213</f>
        <v>0</v>
      </c>
      <c r="BO213" s="268">
        <f>BN213</f>
        <v>0</v>
      </c>
      <c r="BP213" s="268">
        <f>BO213</f>
        <v>0</v>
      </c>
      <c r="BQ213" s="268">
        <f>BP213</f>
        <v>0</v>
      </c>
      <c r="BR213" s="268">
        <f>BQ213</f>
        <v>0</v>
      </c>
      <c r="BS213" s="268">
        <f>BR213</f>
        <v>0</v>
      </c>
      <c r="BT213" s="268">
        <f>BS213</f>
        <v>0</v>
      </c>
      <c r="BU213" s="268">
        <f>BT213</f>
        <v>0</v>
      </c>
      <c r="BV213" s="268">
        <f>BU213</f>
        <v>0</v>
      </c>
      <c r="BW213" s="268">
        <f>BV213</f>
        <v>0</v>
      </c>
      <c r="BX213" s="268">
        <f>BW213</f>
        <v>0</v>
      </c>
      <c r="BY213" s="268">
        <f>BX213</f>
        <v>0</v>
      </c>
      <c r="BZ213" s="268">
        <f>BY213</f>
        <v>0</v>
      </c>
      <c r="CA213" s="268">
        <f>BZ213</f>
        <v>0</v>
      </c>
      <c r="CB213" s="268">
        <f>CA213</f>
        <v>0</v>
      </c>
      <c r="CC213" s="268">
        <f>CB213</f>
        <v>0</v>
      </c>
      <c r="CD213" s="268">
        <f>CC213</f>
        <v>0</v>
      </c>
      <c r="CE213" s="268">
        <f>CD213</f>
        <v>0</v>
      </c>
      <c r="CF213" s="268">
        <f>CE213</f>
        <v>0</v>
      </c>
      <c r="CG213" s="268">
        <f>CF213</f>
        <v>0</v>
      </c>
      <c r="CH213" s="268">
        <f>CG213</f>
        <v>0</v>
      </c>
      <c r="CI213" s="268">
        <f>CH213</f>
        <v>0</v>
      </c>
      <c r="CJ213" s="268">
        <f>CI213</f>
        <v>0</v>
      </c>
      <c r="CK213" s="268">
        <f>CJ213</f>
        <v>0</v>
      </c>
      <c r="CL213" s="268">
        <f>CK213</f>
        <v>0</v>
      </c>
      <c r="CM213" s="268">
        <f>CL213</f>
        <v>0</v>
      </c>
      <c r="CN213" s="268">
        <f>CM213</f>
        <v>0</v>
      </c>
      <c r="CO213" s="268">
        <f>CN213</f>
        <v>0</v>
      </c>
      <c r="CP213" s="268">
        <f>CO213</f>
        <v>0</v>
      </c>
      <c r="CQ213" s="268">
        <f>CP213</f>
        <v>0</v>
      </c>
      <c r="CR213" s="268">
        <f>CQ213</f>
        <v>0</v>
      </c>
      <c r="CS213" s="268">
        <f>CR213</f>
        <v>0</v>
      </c>
      <c r="CT213" s="268">
        <f>CS213</f>
        <v>0</v>
      </c>
      <c r="CU213" s="268">
        <f>CT213</f>
        <v>0</v>
      </c>
      <c r="CV213" s="268">
        <f>CU213</f>
        <v>0</v>
      </c>
      <c r="CW213" s="268">
        <f>CV213</f>
        <v>0</v>
      </c>
      <c r="CX213" s="268">
        <f>CW213</f>
        <v>0</v>
      </c>
      <c r="CY213" s="268">
        <f>CX213</f>
        <v>0</v>
      </c>
    </row>
    <row r="214" ht="12.75" customHeight="1" s="255">
      <c r="C214" s="270" t="inlineStr">
        <is>
          <t>Short term operating leases</t>
        </is>
      </c>
      <c r="D214" s="301">
        <f>INDEX('Inputs (2)'!$D$34:$AL$34,MATCH(D$7,'Inputs (2)'!$D$2:$AL$2,0))</f>
        <v>217</v>
      </c>
      <c r="E214" s="301">
        <f>INDEX('Inputs (2)'!$D$34:$AL$34,MATCH(E$7,'Inputs (2)'!$D$2:$AL$2,0))</f>
        <v>220</v>
      </c>
      <c r="F214" s="301">
        <f>INDEX('Inputs (2)'!$D$34:$AL$34,MATCH(F$7,'Inputs (2)'!$D$2:$AL$2,0))</f>
        <v>233</v>
      </c>
      <c r="G214" s="301">
        <f>INDEX('Inputs (2)'!$D$34:$AL$34,MATCH(G$7,'Inputs (2)'!$D$2:$AL$2,0))</f>
        <v>235</v>
      </c>
      <c r="H214" s="268">
        <f>G214</f>
        <v>235</v>
      </c>
      <c r="I214" s="301">
        <f>INDEX('Inputs (2)'!$D$34:$AL$34,MATCH(I$7,'Inputs (2)'!$D$2:$AL$2,0))</f>
        <v>241</v>
      </c>
      <c r="J214" s="301">
        <f>INDEX('Inputs (2)'!$D$34:$AL$34,MATCH(J$7,'Inputs (2)'!$D$2:$AL$2,0))</f>
        <v>265</v>
      </c>
      <c r="K214" s="301">
        <f>INDEX('Inputs (2)'!$D$34:$AL$34,MATCH(K$7,'Inputs (2)'!$D$2:$AL$2,0))</f>
        <v>332</v>
      </c>
      <c r="L214" s="301">
        <f>INDEX('Inputs (2)'!$D$34:$AL$34,MATCH(L$7,'Inputs (2)'!$D$2:$AL$2,0))</f>
        <v>350</v>
      </c>
      <c r="M214" s="268">
        <f>L214</f>
        <v>350</v>
      </c>
      <c r="N214" s="301">
        <f>INDEX('Inputs (2)'!$D$34:$AL$34,MATCH(N$7,'Inputs (2)'!$D$2:$AL$2,0))</f>
        <v>377</v>
      </c>
      <c r="O214" s="301">
        <f>INDEX('Inputs (2)'!$D$34:$AL$34,MATCH(O$7,'Inputs (2)'!$D$2:$AL$2,0))</f>
        <v>396</v>
      </c>
      <c r="P214" s="301">
        <f>INDEX('Inputs (2)'!$D$34:$AL$34,MATCH(P$7,'Inputs (2)'!$D$2:$AL$2,0))</f>
        <v>436</v>
      </c>
      <c r="Q214" s="301">
        <f>INDEX('Inputs (2)'!$D$34:$AL$34,MATCH(Q$7,'Inputs (2)'!$D$2:$AL$2,0))</f>
        <v>425</v>
      </c>
      <c r="R214" s="268">
        <f>Q214</f>
        <v>425</v>
      </c>
      <c r="S214" s="301">
        <f>INDEX('Inputs (2)'!$D$34:$AL$34,MATCH(S$7,'Inputs (2)'!$D$2:$AL$2,0))</f>
        <v>408</v>
      </c>
      <c r="T214" s="301">
        <f>INDEX('Inputs (2)'!$D$34:$AL$34,MATCH(T$7,'Inputs (2)'!$D$2:$AL$2,0))</f>
        <v>370</v>
      </c>
      <c r="U214" s="301">
        <f>INDEX('Inputs (2)'!$D$34:$AL$34,MATCH(U$7,'Inputs (2)'!$D$2:$AL$2,0))</f>
        <v>317</v>
      </c>
      <c r="V214" s="301">
        <f>INDEX('Inputs (2)'!$D$34:$AL$34,MATCH(V$7,'Inputs (2)'!$D$2:$AL$2,0))</f>
        <v>308</v>
      </c>
      <c r="W214" s="268">
        <f>V214</f>
        <v>308</v>
      </c>
      <c r="X214" s="301">
        <f>INDEX('Inputs (2)'!$D$34:$AL$34,MATCH(X$7,'Inputs (2)'!$D$2:$AL$2,0))</f>
        <v>315</v>
      </c>
      <c r="Y214" s="301">
        <f>INDEX('Inputs (2)'!$D$34:$AL$34,MATCH(Y$7,'Inputs (2)'!$D$2:$AL$2,0))</f>
        <v>300</v>
      </c>
      <c r="Z214" s="301">
        <f>INDEX('Inputs (2)'!$D$34:$AL$34,MATCH(Z$7,'Inputs (2)'!$D$2:$AL$2,0))</f>
        <v>288</v>
      </c>
      <c r="AA214" s="301">
        <f>INDEX('Inputs (2)'!$D$34:$AL$34,MATCH(AA$7,'Inputs (2)'!$D$2:$AL$2,0))</f>
        <v>286</v>
      </c>
      <c r="AB214" s="268">
        <f>AA214</f>
        <v>286</v>
      </c>
      <c r="AC214" s="301">
        <f>INDEX('Inputs (2)'!$D$34:$AL$34,MATCH(AC$7,'Inputs (2)'!$D$2:$AL$2,0))</f>
        <v>285</v>
      </c>
      <c r="AD214" s="301">
        <f>INDEX('Inputs (2)'!$D$34:$AL$34,MATCH(AD$7,'Inputs (2)'!$D$2:$AL$2,0))</f>
        <v>282</v>
      </c>
      <c r="AE214" s="301">
        <f>INDEX('Inputs (2)'!$D$34:$AL$34,MATCH(AE$7,'Inputs (2)'!$D$2:$AL$2,0))</f>
        <v>491</v>
      </c>
      <c r="AF214" s="301">
        <f>INDEX('Inputs (2)'!$D$34:$AL$34,MATCH(AF$7,'Inputs (2)'!$D$2:$AL$2,0))</f>
        <v>499</v>
      </c>
      <c r="AG214" s="268">
        <f>AF214</f>
        <v>499</v>
      </c>
      <c r="AH214" s="268">
        <f>INDEX('Inputs (2)'!$D$34:$AL$34,MATCH(AH$7,'Inputs (2)'!$D$2:$AL$2,0))</f>
        <v>501</v>
      </c>
      <c r="AI214" s="268">
        <f>INDEX('Inputs (2)'!$D$34:$AL$34,MATCH(AI$7,'Inputs (2)'!$D$2:$AL$2,0))</f>
        <v>502</v>
      </c>
      <c r="AJ214" s="268">
        <f>AI214</f>
        <v>502</v>
      </c>
      <c r="AK214" s="268">
        <f>AJ214</f>
        <v>502</v>
      </c>
      <c r="AL214" s="268">
        <f>AK214</f>
        <v>502</v>
      </c>
      <c r="AM214" s="268">
        <f>AL214</f>
        <v>502</v>
      </c>
      <c r="AN214" s="268">
        <f>AM214</f>
        <v>502</v>
      </c>
      <c r="AO214" s="268">
        <f>AN214</f>
        <v>502</v>
      </c>
      <c r="AP214" s="268">
        <f>AO214</f>
        <v>502</v>
      </c>
      <c r="AQ214" s="268">
        <f>AP214</f>
        <v>502</v>
      </c>
      <c r="AR214" s="268">
        <f>AQ214</f>
        <v>502</v>
      </c>
      <c r="AS214" s="268">
        <f>AR214</f>
        <v>502</v>
      </c>
      <c r="AT214" s="268">
        <f>AS214</f>
        <v>502</v>
      </c>
      <c r="AU214" s="268">
        <f>AT214</f>
        <v>502</v>
      </c>
      <c r="AV214" s="268">
        <f>AU214</f>
        <v>502</v>
      </c>
      <c r="AW214" s="268">
        <f>AV214</f>
        <v>502</v>
      </c>
      <c r="AX214" s="268">
        <f>AW214</f>
        <v>502</v>
      </c>
      <c r="AY214" s="268">
        <f>AX214</f>
        <v>502</v>
      </c>
      <c r="AZ214" s="268">
        <f>AY214</f>
        <v>502</v>
      </c>
      <c r="BA214" s="268">
        <f>AZ214</f>
        <v>502</v>
      </c>
      <c r="BB214" s="268">
        <f>BA214</f>
        <v>502</v>
      </c>
      <c r="BC214" s="268">
        <f>BB214</f>
        <v>502</v>
      </c>
      <c r="BD214" s="268">
        <f>BC214</f>
        <v>502</v>
      </c>
      <c r="BE214" s="268">
        <f>BD214</f>
        <v>502</v>
      </c>
      <c r="BF214" s="268">
        <f>BE214</f>
        <v>502</v>
      </c>
      <c r="BG214" s="268">
        <f>BF214</f>
        <v>502</v>
      </c>
      <c r="BH214" s="268">
        <f>BG214</f>
        <v>502</v>
      </c>
      <c r="BI214" s="268">
        <f>BH214</f>
        <v>502</v>
      </c>
      <c r="BJ214" s="268">
        <f>BI214</f>
        <v>502</v>
      </c>
      <c r="BK214" s="268">
        <f>BJ214</f>
        <v>502</v>
      </c>
      <c r="BL214" s="268">
        <f>BK214</f>
        <v>502</v>
      </c>
      <c r="BM214" s="268">
        <f>BL214</f>
        <v>502</v>
      </c>
      <c r="BN214" s="268">
        <f>BM214</f>
        <v>502</v>
      </c>
      <c r="BO214" s="268">
        <f>BN214</f>
        <v>502</v>
      </c>
      <c r="BP214" s="268">
        <f>BO214</f>
        <v>502</v>
      </c>
      <c r="BQ214" s="268">
        <f>BP214</f>
        <v>502</v>
      </c>
      <c r="BR214" s="268">
        <f>BQ214</f>
        <v>502</v>
      </c>
      <c r="BS214" s="268">
        <f>BR214</f>
        <v>502</v>
      </c>
      <c r="BT214" s="268">
        <f>BS214</f>
        <v>502</v>
      </c>
      <c r="BU214" s="268">
        <f>BT214</f>
        <v>502</v>
      </c>
      <c r="BV214" s="268">
        <f>BU214</f>
        <v>502</v>
      </c>
      <c r="BW214" s="268">
        <f>BV214</f>
        <v>502</v>
      </c>
      <c r="BX214" s="268">
        <f>BW214</f>
        <v>502</v>
      </c>
      <c r="BY214" s="268">
        <f>BX214</f>
        <v>502</v>
      </c>
      <c r="BZ214" s="268">
        <f>BY214</f>
        <v>502</v>
      </c>
      <c r="CA214" s="268">
        <f>BZ214</f>
        <v>502</v>
      </c>
      <c r="CB214" s="268">
        <f>CA214</f>
        <v>502</v>
      </c>
      <c r="CC214" s="268">
        <f>CB214</f>
        <v>502</v>
      </c>
      <c r="CD214" s="268">
        <f>CC214</f>
        <v>502</v>
      </c>
      <c r="CE214" s="268">
        <f>CD214</f>
        <v>502</v>
      </c>
      <c r="CF214" s="268">
        <f>CE214</f>
        <v>502</v>
      </c>
      <c r="CG214" s="268">
        <f>CF214</f>
        <v>502</v>
      </c>
      <c r="CH214" s="268">
        <f>CG214</f>
        <v>502</v>
      </c>
      <c r="CI214" s="268">
        <f>CH214</f>
        <v>502</v>
      </c>
      <c r="CJ214" s="268">
        <f>CI214</f>
        <v>502</v>
      </c>
      <c r="CK214" s="268">
        <f>CJ214</f>
        <v>502</v>
      </c>
      <c r="CL214" s="268">
        <f>CK214</f>
        <v>502</v>
      </c>
      <c r="CM214" s="268">
        <f>CL214</f>
        <v>502</v>
      </c>
      <c r="CN214" s="268">
        <f>CM214</f>
        <v>502</v>
      </c>
      <c r="CO214" s="268">
        <f>CN214</f>
        <v>502</v>
      </c>
      <c r="CP214" s="268">
        <f>CO214</f>
        <v>502</v>
      </c>
      <c r="CQ214" s="268">
        <f>CP214</f>
        <v>502</v>
      </c>
      <c r="CR214" s="268">
        <f>CQ214</f>
        <v>502</v>
      </c>
      <c r="CS214" s="268">
        <f>CR214</f>
        <v>502</v>
      </c>
      <c r="CT214" s="268">
        <f>CS214</f>
        <v>502</v>
      </c>
      <c r="CU214" s="268">
        <f>CT214</f>
        <v>502</v>
      </c>
      <c r="CV214" s="268">
        <f>CU214</f>
        <v>502</v>
      </c>
      <c r="CW214" s="268">
        <f>CV214</f>
        <v>502</v>
      </c>
      <c r="CX214" s="268">
        <f>CW214</f>
        <v>502</v>
      </c>
      <c r="CY214" s="268">
        <f>CX214</f>
        <v>502</v>
      </c>
    </row>
    <row r="215" hidden="1" outlineLevel="1" ht="12.75" customHeight="1" s="255">
      <c r="C215" s="314" t="inlineStr">
        <is>
          <t>%(Var.)</t>
        </is>
      </c>
      <c r="D215" s="268" t="n"/>
      <c r="E215" s="296">
        <f>IFERROR((E214-D214)/D214,0)</f>
        <v>0.0138248847926267</v>
      </c>
      <c r="F215" s="296">
        <f>IFERROR((F214-E214)/E214,0)</f>
        <v>0.0590909090909091</v>
      </c>
      <c r="G215" s="296">
        <f>IFERROR((G214-F214)/F214,0)</f>
        <v>0.00858369098712446</v>
      </c>
      <c r="H215" s="268" t="n"/>
      <c r="I215" s="296">
        <f>IFERROR((I214-H214)/H214,0)</f>
        <v>0.025531914893617</v>
      </c>
      <c r="J215" s="296">
        <f>IFERROR((J214-I214)/I214,0)</f>
        <v>0.0995850622406639</v>
      </c>
      <c r="K215" s="296">
        <f>IFERROR((K214-J214)/J214,0)</f>
        <v>0.252830188679245</v>
      </c>
      <c r="L215" s="296">
        <f>IFERROR((L214-K214)/K214,0)</f>
        <v>0.0542168674698795</v>
      </c>
      <c r="M215" s="268" t="n"/>
      <c r="N215" s="296">
        <f>IFERROR((N214-M214)/M214,0)</f>
        <v>0.0771428571428571</v>
      </c>
      <c r="O215" s="296">
        <f>IFERROR((O214-N214)/N214,0)</f>
        <v>0.0503978779840849</v>
      </c>
      <c r="P215" s="296">
        <f>IFERROR((P214-O214)/O214,0)</f>
        <v>0.101010101010101</v>
      </c>
      <c r="Q215" s="296">
        <f>IFERROR((Q214-P214)/P214,0)</f>
        <v>-0.0252293577981651</v>
      </c>
      <c r="R215" s="268" t="n"/>
      <c r="S215" s="296">
        <f>IFERROR((S214-R214)/R214,0)</f>
        <v>-0.04</v>
      </c>
      <c r="T215" s="296">
        <f>IFERROR((T214-S214)/S214,0)</f>
        <v>-0.0931372549019608</v>
      </c>
      <c r="U215" s="296">
        <f>IFERROR((U214-T214)/T214,0)</f>
        <v>-0.143243243243243</v>
      </c>
      <c r="V215" s="296">
        <f>IFERROR((V214-U214)/U214,0)</f>
        <v>-0.028391167192429</v>
      </c>
      <c r="W215" s="268" t="n"/>
      <c r="X215" s="296">
        <f>IFERROR((X214-W214)/W214,0)</f>
        <v>0.0227272727272727</v>
      </c>
      <c r="Y215" s="296">
        <f>IFERROR((Y214-X214)/X214,0)</f>
        <v>-0.0476190476190476</v>
      </c>
      <c r="Z215" s="296">
        <f>IFERROR((Z214-Y214)/Y214,0)</f>
        <v>-0.04</v>
      </c>
      <c r="AA215" s="296">
        <f>IFERROR((AA214-Z214)/Z214,0)</f>
        <v>-0.00694444444444444</v>
      </c>
      <c r="AB215" s="268" t="n"/>
      <c r="AC215" s="296">
        <f>IFERROR((AC214-AB214)/AB214,0)</f>
        <v>-0.0034965034965035</v>
      </c>
      <c r="AD215" s="296">
        <f>IFERROR((AD214-AC214)/AC214,0)</f>
        <v>-0.0105263157894737</v>
      </c>
      <c r="AE215" s="296">
        <f>IFERROR((AE214-AD214)/AD214,0)</f>
        <v>0.74113475177305</v>
      </c>
      <c r="AF215" s="267">
        <f>IFERROR((AF214-AE214)/AE214,0)</f>
        <v>0.0162932790224033</v>
      </c>
      <c r="AG215" s="268" t="n"/>
      <c r="AH215" s="267">
        <f>IFERROR((AH214-AG214)/AG214,0)</f>
        <v>0.00400801603206413</v>
      </c>
      <c r="AI215" s="267">
        <f>IFERROR((AI214-AH214)/AH214,0)</f>
        <v>0.00199600798403194</v>
      </c>
      <c r="AJ215" s="267" t="n"/>
      <c r="AK215" s="267" t="n"/>
      <c r="AL215" s="268" t="n"/>
      <c r="AM215" s="267" t="n"/>
      <c r="AN215" s="267" t="n"/>
      <c r="AO215" s="267" t="n"/>
      <c r="AP215" s="267" t="n"/>
      <c r="AQ215" s="268" t="n"/>
      <c r="AR215" s="267" t="n"/>
      <c r="AS215" s="267" t="n"/>
      <c r="AT215" s="267" t="n"/>
      <c r="AU215" s="267" t="n"/>
      <c r="AV215" s="268" t="n"/>
      <c r="AW215" s="267" t="n"/>
      <c r="AX215" s="267" t="n"/>
      <c r="AY215" s="267" t="n"/>
      <c r="AZ215" s="267" t="n"/>
      <c r="BA215" s="268" t="n"/>
      <c r="BB215" s="267" t="n"/>
      <c r="BC215" s="267" t="n"/>
      <c r="BD215" s="267" t="n"/>
      <c r="BE215" s="267" t="n"/>
      <c r="BF215" s="268" t="n"/>
      <c r="BG215" s="267" t="n"/>
      <c r="BH215" s="267" t="n"/>
      <c r="BI215" s="267" t="n"/>
      <c r="BJ215" s="267" t="n"/>
      <c r="BK215" s="268" t="n"/>
      <c r="BL215" s="267" t="n"/>
      <c r="BM215" s="267" t="n"/>
      <c r="BN215" s="267" t="n"/>
      <c r="BO215" s="267" t="n"/>
      <c r="BP215" s="268" t="n"/>
      <c r="BQ215" s="267" t="n"/>
      <c r="BR215" s="267" t="n"/>
      <c r="BS215" s="267" t="n"/>
      <c r="BT215" s="267" t="n"/>
      <c r="BU215" s="268" t="n"/>
      <c r="BV215" s="267" t="n"/>
      <c r="BW215" s="267" t="n"/>
      <c r="BX215" s="267" t="n"/>
      <c r="BY215" s="267" t="n"/>
      <c r="BZ215" s="268" t="n"/>
      <c r="CA215" s="267" t="n"/>
      <c r="CB215" s="267" t="n"/>
      <c r="CC215" s="267" t="n"/>
      <c r="CD215" s="267" t="n"/>
      <c r="CE215" s="268" t="n"/>
      <c r="CF215" s="267" t="n"/>
      <c r="CG215" s="267" t="n"/>
      <c r="CH215" s="267" t="n"/>
      <c r="CI215" s="267" t="n"/>
      <c r="CJ215" s="268" t="n"/>
      <c r="CK215" s="267" t="n"/>
      <c r="CL215" s="267" t="n"/>
      <c r="CM215" s="267" t="n"/>
      <c r="CN215" s="267" t="n"/>
      <c r="CO215" s="268" t="n"/>
      <c r="CP215" s="267" t="n"/>
      <c r="CQ215" s="267" t="n"/>
      <c r="CR215" s="267" t="n"/>
      <c r="CS215" s="267" t="n"/>
      <c r="CT215" s="268" t="n"/>
      <c r="CU215" s="267" t="n"/>
      <c r="CV215" s="267" t="n"/>
      <c r="CW215" s="267" t="n"/>
      <c r="CX215" s="267" t="n"/>
      <c r="CY215" s="268" t="n"/>
    </row>
    <row r="216" hidden="1" outlineLevel="1" ht="12.75" customHeight="1" s="255">
      <c r="C216" s="312" t="n"/>
      <c r="D216" s="268" t="n"/>
      <c r="E216" s="268" t="n"/>
      <c r="F216" s="268" t="n"/>
      <c r="G216" s="268" t="n"/>
      <c r="H216" s="268" t="n"/>
      <c r="I216" s="268" t="n"/>
      <c r="J216" s="268" t="n"/>
      <c r="K216" s="268" t="n"/>
      <c r="L216" s="268" t="n"/>
      <c r="M216" s="268" t="n"/>
      <c r="N216" s="268" t="n"/>
      <c r="O216" s="268" t="n"/>
      <c r="P216" s="268" t="n"/>
      <c r="Q216" s="268" t="n"/>
      <c r="R216" s="268" t="n"/>
      <c r="S216" s="268" t="n"/>
      <c r="T216" s="268" t="n"/>
      <c r="U216" s="268" t="n"/>
      <c r="V216" s="268" t="n"/>
      <c r="W216" s="268" t="n"/>
      <c r="X216" s="268" t="n"/>
      <c r="Y216" s="268" t="n"/>
      <c r="Z216" s="268" t="n"/>
      <c r="AA216" s="268" t="n"/>
      <c r="AB216" s="268" t="n"/>
      <c r="AC216" s="268" t="n"/>
      <c r="AD216" s="268" t="n"/>
      <c r="AE216" s="268" t="n"/>
      <c r="AF216" s="268" t="n"/>
      <c r="AG216" s="268" t="n"/>
      <c r="AH216" s="268" t="n"/>
      <c r="AI216" s="268" t="n"/>
      <c r="AJ216" s="268" t="n"/>
      <c r="AK216" s="268" t="n"/>
      <c r="AL216" s="268" t="n"/>
      <c r="AM216" s="268" t="n"/>
      <c r="AN216" s="268" t="n"/>
      <c r="AO216" s="268" t="n"/>
      <c r="AP216" s="268" t="n"/>
      <c r="AQ216" s="268" t="n"/>
      <c r="AR216" s="268" t="n"/>
      <c r="AS216" s="268" t="n"/>
      <c r="AT216" s="268" t="n"/>
      <c r="AU216" s="268" t="n"/>
      <c r="AV216" s="268" t="n"/>
      <c r="AW216" s="268" t="n"/>
      <c r="AX216" s="268" t="n"/>
      <c r="AY216" s="268" t="n"/>
      <c r="AZ216" s="268" t="n"/>
      <c r="BA216" s="268" t="n"/>
      <c r="BB216" s="268" t="n"/>
      <c r="BC216" s="268" t="n"/>
      <c r="BD216" s="268" t="n"/>
      <c r="BE216" s="268" t="n"/>
      <c r="BF216" s="268" t="n"/>
      <c r="BG216" s="268" t="n"/>
      <c r="BH216" s="268" t="n"/>
      <c r="BI216" s="268" t="n"/>
      <c r="BJ216" s="268" t="n"/>
      <c r="BK216" s="268" t="n"/>
      <c r="BL216" s="268" t="n"/>
      <c r="BM216" s="268" t="n"/>
      <c r="BN216" s="268" t="n"/>
      <c r="BO216" s="268" t="n"/>
      <c r="BP216" s="268" t="n"/>
      <c r="BQ216" s="268" t="n"/>
      <c r="BR216" s="268" t="n"/>
      <c r="BS216" s="268" t="n"/>
      <c r="BT216" s="268" t="n"/>
      <c r="BU216" s="268" t="n"/>
      <c r="BV216" s="268" t="n"/>
      <c r="BW216" s="268" t="n"/>
      <c r="BX216" s="268" t="n"/>
      <c r="BY216" s="268" t="n"/>
      <c r="BZ216" s="268" t="n"/>
      <c r="CA216" s="268" t="n"/>
      <c r="CB216" s="268" t="n"/>
      <c r="CC216" s="268" t="n"/>
      <c r="CD216" s="268" t="n"/>
      <c r="CE216" s="268" t="n"/>
      <c r="CF216" s="268" t="n"/>
      <c r="CG216" s="268" t="n"/>
      <c r="CH216" s="268" t="n"/>
      <c r="CI216" s="268" t="n"/>
      <c r="CJ216" s="268" t="n"/>
      <c r="CK216" s="268" t="n"/>
      <c r="CL216" s="268" t="n"/>
      <c r="CM216" s="268" t="n"/>
      <c r="CN216" s="268" t="n"/>
      <c r="CO216" s="268" t="n"/>
      <c r="CP216" s="268" t="n"/>
      <c r="CQ216" s="268" t="n"/>
      <c r="CR216" s="268" t="n"/>
      <c r="CS216" s="268" t="n"/>
      <c r="CT216" s="268" t="n"/>
      <c r="CU216" s="268" t="n"/>
      <c r="CV216" s="268" t="n"/>
      <c r="CW216" s="268" t="n"/>
      <c r="CX216" s="268" t="n"/>
      <c r="CY216" s="268" t="n"/>
    </row>
    <row r="217" ht="12.75" customHeight="1" s="255">
      <c r="C217" s="270" t="inlineStr">
        <is>
          <t>Long term debt</t>
        </is>
      </c>
      <c r="D217" s="301">
        <f>INDEX('Inputs (2)'!$D$35:$AL$35,MATCH(D$7,'Inputs (2)'!$D$2:$AL$2,0))</f>
        <v>3753</v>
      </c>
      <c r="E217" s="301">
        <f>INDEX('Inputs (2)'!$D$35:$AL$35,MATCH(E$7,'Inputs (2)'!$D$2:$AL$2,0))</f>
        <v>3980</v>
      </c>
      <c r="F217" s="301">
        <f>INDEX('Inputs (2)'!$D$35:$AL$35,MATCH(F$7,'Inputs (2)'!$D$2:$AL$2,0))</f>
        <v>4419</v>
      </c>
      <c r="G217" s="301">
        <f>INDEX('Inputs (2)'!$D$35:$AL$35,MATCH(G$7,'Inputs (2)'!$D$2:$AL$2,0))</f>
        <v>4452</v>
      </c>
      <c r="H217" s="268">
        <f>G217</f>
        <v>4452</v>
      </c>
      <c r="I217" s="301">
        <f>INDEX('Inputs (2)'!$D$35:$AL$35,MATCH(I$7,'Inputs (2)'!$D$2:$AL$2,0))</f>
        <v>4341</v>
      </c>
      <c r="J217" s="301">
        <f>INDEX('Inputs (2)'!$D$35:$AL$35,MATCH(J$7,'Inputs (2)'!$D$2:$AL$2,0))</f>
        <v>5334</v>
      </c>
      <c r="K217" s="301">
        <f>INDEX('Inputs (2)'!$D$35:$AL$35,MATCH(K$7,'Inputs (2)'!$D$2:$AL$2,0))</f>
        <v>4814</v>
      </c>
      <c r="L217" s="301">
        <f>INDEX('Inputs (2)'!$D$35:$AL$35,MATCH(L$7,'Inputs (2)'!$D$2:$AL$2,0))</f>
        <v>4787</v>
      </c>
      <c r="M217" s="268">
        <f>L217</f>
        <v>4787</v>
      </c>
      <c r="N217" s="301">
        <f>INDEX('Inputs (2)'!$D$35:$AL$35,MATCH(N$7,'Inputs (2)'!$D$2:$AL$2,0))</f>
        <v>4040</v>
      </c>
      <c r="O217" s="301">
        <f>INDEX('Inputs (2)'!$D$35:$AL$35,MATCH(O$7,'Inputs (2)'!$D$2:$AL$2,0))</f>
        <v>3062</v>
      </c>
      <c r="P217" s="301">
        <f>INDEX('Inputs (2)'!$D$35:$AL$35,MATCH(P$7,'Inputs (2)'!$D$2:$AL$2,0))</f>
        <v>2997</v>
      </c>
      <c r="Q217" s="301">
        <f>INDEX('Inputs (2)'!$D$35:$AL$35,MATCH(Q$7,'Inputs (2)'!$D$2:$AL$2,0))</f>
        <v>3259</v>
      </c>
      <c r="R217" s="268">
        <f>Q217</f>
        <v>3259</v>
      </c>
      <c r="S217" s="301">
        <f>INDEX('Inputs (2)'!$D$35:$AL$35,MATCH(S$7,'Inputs (2)'!$D$2:$AL$2,0))</f>
        <v>4312</v>
      </c>
      <c r="T217" s="301">
        <f>INDEX('Inputs (2)'!$D$35:$AL$35,MATCH(T$7,'Inputs (2)'!$D$2:$AL$2,0))</f>
        <v>4278</v>
      </c>
      <c r="U217" s="301">
        <f>INDEX('Inputs (2)'!$D$35:$AL$35,MATCH(U$7,'Inputs (2)'!$D$2:$AL$2,0))</f>
        <v>3967</v>
      </c>
      <c r="V217" s="301">
        <f>INDEX('Inputs (2)'!$D$35:$AL$35,MATCH(V$7,'Inputs (2)'!$D$2:$AL$2,0))</f>
        <v>4080</v>
      </c>
      <c r="W217" s="268">
        <f>V217</f>
        <v>4080</v>
      </c>
      <c r="X217" s="301">
        <f>INDEX('Inputs (2)'!$D$35:$AL$35,MATCH(X$7,'Inputs (2)'!$D$2:$AL$2,0))</f>
        <v>4079</v>
      </c>
      <c r="Y217" s="301">
        <f>INDEX('Inputs (2)'!$D$35:$AL$35,MATCH(Y$7,'Inputs (2)'!$D$2:$AL$2,0))</f>
        <v>4086</v>
      </c>
      <c r="Z217" s="301">
        <f>INDEX('Inputs (2)'!$D$35:$AL$35,MATCH(Z$7,'Inputs (2)'!$D$2:$AL$2,0))</f>
        <v>4777</v>
      </c>
      <c r="AA217" s="301">
        <f>INDEX('Inputs (2)'!$D$35:$AL$35,MATCH(AA$7,'Inputs (2)'!$D$2:$AL$2,0))</f>
        <v>4694</v>
      </c>
      <c r="AB217" s="268">
        <f>AA217</f>
        <v>4694</v>
      </c>
      <c r="AC217" s="301">
        <f>INDEX('Inputs (2)'!$D$35:$AL$35,MATCH(AC$7,'Inputs (2)'!$D$2:$AL$2,0))</f>
        <v>4714</v>
      </c>
      <c r="AD217" s="301">
        <f>INDEX('Inputs (2)'!$D$35:$AL$35,MATCH(AD$7,'Inputs (2)'!$D$2:$AL$2,0))</f>
        <v>7044</v>
      </c>
      <c r="AE217" s="301">
        <f>INDEX('Inputs (2)'!$D$35:$AL$35,MATCH(AE$7,'Inputs (2)'!$D$2:$AL$2,0))</f>
        <v>9809</v>
      </c>
      <c r="AF217" s="301">
        <f>INDEX('Inputs (2)'!$D$35:$AL$35,MATCH(AF$7,'Inputs (2)'!$D$2:$AL$2,0))</f>
        <v>8831</v>
      </c>
      <c r="AG217" s="268">
        <f>AF217</f>
        <v>8831</v>
      </c>
      <c r="AH217" s="268">
        <f>INDEX('Inputs (2)'!$D$35:$AL$35,MATCH(AH$7,'Inputs (2)'!$D$2:$AL$2,0))</f>
        <v>9947</v>
      </c>
      <c r="AI217" s="268">
        <f>INDEX('Inputs (2)'!$D$35:$AL$35,MATCH(AI$7,'Inputs (2)'!$D$2:$AL$2,0))</f>
        <v>9426</v>
      </c>
      <c r="AJ217" s="268">
        <f>AJ223</f>
        <v>9426</v>
      </c>
      <c r="AK217" s="268">
        <f>AK223</f>
        <v>9426</v>
      </c>
      <c r="AL217" s="268">
        <f>AK217</f>
        <v>9426</v>
      </c>
      <c r="AM217" s="268">
        <f>AM223</f>
        <v>9426</v>
      </c>
      <c r="AN217" s="268">
        <f>AN223</f>
        <v>9426</v>
      </c>
      <c r="AO217" s="268">
        <f>AO223</f>
        <v>9426</v>
      </c>
      <c r="AP217" s="268">
        <f>AP223</f>
        <v>9426</v>
      </c>
      <c r="AQ217" s="268">
        <f>AP217</f>
        <v>9426</v>
      </c>
      <c r="AR217" s="268">
        <f>AR223</f>
        <v>9426</v>
      </c>
      <c r="AS217" s="268">
        <f>AS223</f>
        <v>9426</v>
      </c>
      <c r="AT217" s="268">
        <f>AT223</f>
        <v>9426</v>
      </c>
      <c r="AU217" s="268">
        <f>AU223</f>
        <v>9426</v>
      </c>
      <c r="AV217" s="268">
        <f>AU217</f>
        <v>9426</v>
      </c>
      <c r="AW217" s="268">
        <f>AW223</f>
        <v>9426</v>
      </c>
      <c r="AX217" s="268">
        <f>AX223</f>
        <v>9426</v>
      </c>
      <c r="AY217" s="268">
        <f>AY223</f>
        <v>9426</v>
      </c>
      <c r="AZ217" s="268">
        <f>AZ223</f>
        <v>9426</v>
      </c>
      <c r="BA217" s="268">
        <f>AZ217</f>
        <v>9426</v>
      </c>
      <c r="BB217" s="268">
        <f>BB223</f>
        <v>9426</v>
      </c>
      <c r="BC217" s="268">
        <f>BC223</f>
        <v>9426</v>
      </c>
      <c r="BD217" s="268">
        <f>BD223</f>
        <v>9426</v>
      </c>
      <c r="BE217" s="268">
        <f>BE223</f>
        <v>9426</v>
      </c>
      <c r="BF217" s="268">
        <f>BE217</f>
        <v>9426</v>
      </c>
      <c r="BG217" s="268">
        <f>BG223</f>
        <v>9426</v>
      </c>
      <c r="BH217" s="268">
        <f>BH223</f>
        <v>9426</v>
      </c>
      <c r="BI217" s="268">
        <f>BI223</f>
        <v>9426</v>
      </c>
      <c r="BJ217" s="268">
        <f>BJ223</f>
        <v>9426</v>
      </c>
      <c r="BK217" s="268">
        <f>BJ217</f>
        <v>9426</v>
      </c>
      <c r="BL217" s="268">
        <f>BL223</f>
        <v>9426</v>
      </c>
      <c r="BM217" s="268">
        <f>BM223</f>
        <v>9426</v>
      </c>
      <c r="BN217" s="268">
        <f>BN223</f>
        <v>9426</v>
      </c>
      <c r="BO217" s="268">
        <f>BO223</f>
        <v>9426</v>
      </c>
      <c r="BP217" s="268">
        <f>BO217</f>
        <v>9426</v>
      </c>
      <c r="BQ217" s="268">
        <f>BQ223</f>
        <v>9426</v>
      </c>
      <c r="BR217" s="268">
        <f>BR223</f>
        <v>9426</v>
      </c>
      <c r="BS217" s="268">
        <f>BS223</f>
        <v>9426</v>
      </c>
      <c r="BT217" s="268">
        <f>BT223</f>
        <v>9426</v>
      </c>
      <c r="BU217" s="268">
        <f>BT217</f>
        <v>9426</v>
      </c>
      <c r="BV217" s="268">
        <f>BV223</f>
        <v>9426</v>
      </c>
      <c r="BW217" s="268">
        <f>BW223</f>
        <v>9426</v>
      </c>
      <c r="BX217" s="268">
        <f>BX223</f>
        <v>9426</v>
      </c>
      <c r="BY217" s="268">
        <f>BY223</f>
        <v>9426</v>
      </c>
      <c r="BZ217" s="268">
        <f>BY217</f>
        <v>9426</v>
      </c>
      <c r="CA217" s="268">
        <f>CA223</f>
        <v>9426</v>
      </c>
      <c r="CB217" s="268">
        <f>CB223</f>
        <v>9426</v>
      </c>
      <c r="CC217" s="268">
        <f>CC223</f>
        <v>9426</v>
      </c>
      <c r="CD217" s="268">
        <f>CD223</f>
        <v>9426</v>
      </c>
      <c r="CE217" s="268">
        <f>CD217</f>
        <v>9426</v>
      </c>
      <c r="CF217" s="268">
        <f>CF223</f>
        <v>9426</v>
      </c>
      <c r="CG217" s="268">
        <f>CG223</f>
        <v>9426</v>
      </c>
      <c r="CH217" s="268">
        <f>CH223</f>
        <v>9426</v>
      </c>
      <c r="CI217" s="268">
        <f>CI223</f>
        <v>9426</v>
      </c>
      <c r="CJ217" s="268">
        <f>CI217</f>
        <v>9426</v>
      </c>
      <c r="CK217" s="268">
        <f>CK223</f>
        <v>9426</v>
      </c>
      <c r="CL217" s="268">
        <f>CL223</f>
        <v>9426</v>
      </c>
      <c r="CM217" s="268">
        <f>CM223</f>
        <v>9426</v>
      </c>
      <c r="CN217" s="268">
        <f>CN223</f>
        <v>9426</v>
      </c>
      <c r="CO217" s="268">
        <f>CN217</f>
        <v>9426</v>
      </c>
      <c r="CP217" s="268">
        <f>CP223</f>
        <v>9426</v>
      </c>
      <c r="CQ217" s="268">
        <f>CQ223</f>
        <v>9426</v>
      </c>
      <c r="CR217" s="268">
        <f>CR223</f>
        <v>9426</v>
      </c>
      <c r="CS217" s="268">
        <f>CS223</f>
        <v>9426</v>
      </c>
      <c r="CT217" s="268">
        <f>CS217</f>
        <v>9426</v>
      </c>
      <c r="CU217" s="268">
        <f>CU223</f>
        <v>9426</v>
      </c>
      <c r="CV217" s="268">
        <f>CV223</f>
        <v>9426</v>
      </c>
      <c r="CW217" s="268">
        <f>CW223</f>
        <v>9426</v>
      </c>
      <c r="CX217" s="268">
        <f>CX223</f>
        <v>9426</v>
      </c>
      <c r="CY217" s="268">
        <f>CX217</f>
        <v>9426</v>
      </c>
    </row>
    <row r="218" hidden="1" outlineLevel="1" ht="12.75" customHeight="1" s="255">
      <c r="C218" s="312" t="n"/>
      <c r="D218" s="268" t="n"/>
      <c r="E218" s="268" t="n"/>
      <c r="F218" s="268" t="n"/>
      <c r="G218" s="268" t="n"/>
      <c r="H218" s="268" t="n"/>
      <c r="I218" s="268" t="n"/>
      <c r="J218" s="268" t="n"/>
      <c r="K218" s="268" t="n"/>
      <c r="L218" s="268" t="n"/>
      <c r="M218" s="268" t="n"/>
      <c r="N218" s="268" t="n"/>
      <c r="O218" s="268" t="n"/>
      <c r="P218" s="268" t="n"/>
      <c r="Q218" s="268" t="n"/>
      <c r="R218" s="268" t="n"/>
      <c r="S218" s="268" t="n"/>
      <c r="T218" s="268" t="n"/>
      <c r="U218" s="268" t="n"/>
      <c r="V218" s="268" t="n"/>
      <c r="W218" s="268" t="n"/>
      <c r="X218" s="268" t="n"/>
      <c r="Y218" s="268" t="n"/>
      <c r="Z218" s="268" t="n"/>
      <c r="AA218" s="268" t="n"/>
      <c r="AB218" s="268" t="n"/>
      <c r="AC218" s="268" t="n"/>
      <c r="AD218" s="268" t="n"/>
      <c r="AE218" s="268" t="n"/>
      <c r="AF218" s="268" t="n"/>
      <c r="AG218" s="268" t="n"/>
      <c r="AH218" s="268" t="n"/>
      <c r="AI218" s="268" t="n"/>
      <c r="AJ218" s="268" t="n"/>
      <c r="AK218" s="268" t="n"/>
      <c r="AL218" s="268" t="n"/>
      <c r="AM218" s="268" t="n"/>
      <c r="AN218" s="268" t="n"/>
      <c r="AO218" s="268" t="n"/>
      <c r="AP218" s="268" t="n"/>
      <c r="AQ218" s="268" t="n"/>
      <c r="AR218" s="268" t="n"/>
      <c r="AS218" s="268" t="n"/>
      <c r="AT218" s="268" t="n"/>
      <c r="AU218" s="268" t="n"/>
      <c r="AV218" s="268" t="n"/>
      <c r="AW218" s="268" t="n"/>
      <c r="AX218" s="268" t="n"/>
      <c r="AY218" s="268" t="n"/>
      <c r="AZ218" s="268" t="n"/>
      <c r="BA218" s="268" t="n"/>
      <c r="BB218" s="268" t="n"/>
      <c r="BC218" s="268" t="n"/>
      <c r="BD218" s="268" t="n"/>
      <c r="BE218" s="268" t="n"/>
      <c r="BF218" s="268" t="n"/>
      <c r="BG218" s="268" t="n"/>
      <c r="BH218" s="268" t="n"/>
      <c r="BI218" s="268" t="n"/>
      <c r="BJ218" s="268" t="n"/>
      <c r="BK218" s="268" t="n"/>
      <c r="BL218" s="268" t="n"/>
      <c r="BM218" s="268" t="n"/>
      <c r="BN218" s="268" t="n"/>
      <c r="BO218" s="268" t="n"/>
      <c r="BP218" s="268" t="n"/>
      <c r="BQ218" s="268" t="n"/>
      <c r="BR218" s="268" t="n"/>
      <c r="BS218" s="268" t="n"/>
      <c r="BT218" s="268" t="n"/>
      <c r="BU218" s="268" t="n"/>
      <c r="BV218" s="268" t="n"/>
      <c r="BW218" s="268" t="n"/>
      <c r="BX218" s="268" t="n"/>
      <c r="BY218" s="268" t="n"/>
      <c r="BZ218" s="268" t="n"/>
      <c r="CA218" s="268" t="n"/>
      <c r="CB218" s="268" t="n"/>
      <c r="CC218" s="268" t="n"/>
      <c r="CD218" s="268" t="n"/>
      <c r="CE218" s="268" t="n"/>
      <c r="CF218" s="268" t="n"/>
      <c r="CG218" s="268" t="n"/>
      <c r="CH218" s="268" t="n"/>
      <c r="CI218" s="268" t="n"/>
      <c r="CJ218" s="268" t="n"/>
      <c r="CK218" s="268" t="n"/>
      <c r="CL218" s="268" t="n"/>
      <c r="CM218" s="268" t="n"/>
      <c r="CN218" s="268" t="n"/>
      <c r="CO218" s="268" t="n"/>
      <c r="CP218" s="268" t="n"/>
      <c r="CQ218" s="268" t="n"/>
      <c r="CR218" s="268" t="n"/>
      <c r="CS218" s="268" t="n"/>
      <c r="CT218" s="268" t="n"/>
      <c r="CU218" s="268" t="n"/>
      <c r="CV218" s="268" t="n"/>
      <c r="CW218" s="268" t="n"/>
      <c r="CX218" s="268" t="n"/>
      <c r="CY218" s="268" t="n"/>
    </row>
    <row r="219" hidden="1" outlineLevel="1" ht="12.75" customHeight="1" s="255">
      <c r="C219" s="312" t="inlineStr">
        <is>
          <t>Current portion of LTD</t>
        </is>
      </c>
      <c r="D219" s="268" t="n"/>
      <c r="E219" s="268" t="n"/>
      <c r="F219" s="268" t="n"/>
      <c r="G219" s="268" t="n"/>
      <c r="H219" s="268" t="n"/>
      <c r="I219" s="268" t="n"/>
      <c r="J219" s="268" t="n"/>
      <c r="K219" s="268" t="n"/>
      <c r="L219" s="268" t="n"/>
      <c r="M219" s="268" t="n"/>
      <c r="N219" s="268" t="n"/>
      <c r="O219" s="268" t="n"/>
      <c r="P219" s="268" t="n"/>
      <c r="Q219" s="268" t="n"/>
      <c r="R219" s="268" t="n"/>
      <c r="S219" s="268" t="n"/>
      <c r="T219" s="268" t="n"/>
      <c r="U219" s="268" t="n"/>
      <c r="V219" s="268" t="n"/>
      <c r="W219" s="268" t="n"/>
      <c r="X219" s="268" t="n"/>
      <c r="Y219" s="268" t="n"/>
      <c r="Z219" s="268" t="n"/>
      <c r="AA219" s="268" t="n"/>
      <c r="AB219" s="268" t="n"/>
      <c r="AC219" s="268" t="n"/>
      <c r="AD219" s="268" t="n"/>
      <c r="AE219" s="268" t="n"/>
      <c r="AF219" s="268" t="n"/>
      <c r="AG219" s="268" t="n"/>
      <c r="AH219" s="268">
        <f>AF212</f>
        <v>5220</v>
      </c>
      <c r="AI219" s="317" t="n"/>
      <c r="AJ219" s="317" t="n"/>
      <c r="AK219" s="317" t="n"/>
      <c r="AL219" s="268" t="n"/>
      <c r="AM219" s="268">
        <f>AK212</f>
        <v>5788</v>
      </c>
      <c r="AN219" s="317" t="n"/>
      <c r="AO219" s="317" t="n"/>
      <c r="AP219" s="317" t="n"/>
      <c r="AQ219" s="268" t="n"/>
      <c r="AR219" s="268">
        <f>AP212</f>
        <v>5788</v>
      </c>
      <c r="AS219" s="317" t="n"/>
      <c r="AT219" s="317" t="n"/>
      <c r="AU219" s="317" t="n"/>
      <c r="AV219" s="268" t="n"/>
      <c r="AW219" s="268">
        <f>AU212</f>
        <v>5788</v>
      </c>
      <c r="AX219" s="317" t="n"/>
      <c r="AY219" s="317" t="n"/>
      <c r="AZ219" s="317" t="n"/>
      <c r="BA219" s="268" t="n"/>
      <c r="BB219" s="268">
        <f>AZ212</f>
        <v>5788</v>
      </c>
      <c r="BC219" s="317" t="n"/>
      <c r="BD219" s="317" t="n"/>
      <c r="BE219" s="317" t="n"/>
      <c r="BF219" s="268" t="n"/>
      <c r="BG219" s="268">
        <f>BE212</f>
        <v>5788</v>
      </c>
      <c r="BH219" s="317" t="n"/>
      <c r="BI219" s="317" t="n"/>
      <c r="BJ219" s="317" t="n"/>
      <c r="BK219" s="268" t="n"/>
      <c r="BL219" s="268">
        <f>BJ212</f>
        <v>5788</v>
      </c>
      <c r="BM219" s="317" t="n"/>
      <c r="BN219" s="317" t="n"/>
      <c r="BO219" s="317" t="n"/>
      <c r="BP219" s="268" t="n"/>
      <c r="BQ219" s="268">
        <f>BO212</f>
        <v>5788</v>
      </c>
      <c r="BR219" s="317" t="n"/>
      <c r="BS219" s="317" t="n"/>
      <c r="BT219" s="317" t="n"/>
      <c r="BU219" s="268" t="n"/>
      <c r="BV219" s="268">
        <f>BT212</f>
        <v>5788</v>
      </c>
      <c r="BW219" s="317" t="n"/>
      <c r="BX219" s="317" t="n"/>
      <c r="BY219" s="317" t="n"/>
      <c r="BZ219" s="268" t="n"/>
      <c r="CA219" s="268">
        <f>BY212</f>
        <v>5788</v>
      </c>
      <c r="CB219" s="317" t="n"/>
      <c r="CC219" s="317" t="n"/>
      <c r="CD219" s="317" t="n"/>
      <c r="CE219" s="268" t="n"/>
      <c r="CF219" s="268">
        <f>CD212</f>
        <v>5788</v>
      </c>
      <c r="CG219" s="317" t="n"/>
      <c r="CH219" s="317" t="n"/>
      <c r="CI219" s="317" t="n"/>
      <c r="CJ219" s="268" t="n"/>
      <c r="CK219" s="268">
        <f>CI212</f>
        <v>5788</v>
      </c>
      <c r="CL219" s="317" t="n"/>
      <c r="CM219" s="317" t="n"/>
      <c r="CN219" s="317" t="n"/>
      <c r="CO219" s="268" t="n"/>
      <c r="CP219" s="268">
        <f>CN212</f>
        <v>5788</v>
      </c>
      <c r="CQ219" s="317" t="n"/>
      <c r="CR219" s="317" t="n"/>
      <c r="CS219" s="317" t="n"/>
      <c r="CT219" s="268" t="n"/>
      <c r="CU219" s="268">
        <f>CS212</f>
        <v>5788</v>
      </c>
      <c r="CV219" s="317" t="n"/>
      <c r="CW219" s="317" t="n"/>
      <c r="CX219" s="317" t="n"/>
      <c r="CY219" s="268" t="n"/>
    </row>
    <row r="220" hidden="1" outlineLevel="1" ht="12.75" customHeight="1" s="255">
      <c r="C220" s="312" t="n"/>
      <c r="D220" s="268" t="n"/>
      <c r="E220" s="268" t="n"/>
      <c r="F220" s="268" t="n"/>
      <c r="G220" s="268" t="n"/>
      <c r="H220" s="268" t="n"/>
      <c r="I220" s="268" t="n"/>
      <c r="J220" s="268" t="n"/>
      <c r="K220" s="268" t="n"/>
      <c r="L220" s="268" t="n"/>
      <c r="M220" s="268" t="n"/>
      <c r="N220" s="268" t="n"/>
      <c r="O220" s="268" t="n"/>
      <c r="P220" s="268" t="n"/>
      <c r="Q220" s="268" t="n"/>
      <c r="R220" s="268" t="n"/>
      <c r="S220" s="268" t="n"/>
      <c r="T220" s="268" t="n"/>
      <c r="U220" s="268" t="n"/>
      <c r="V220" s="268" t="n"/>
      <c r="W220" s="268" t="n"/>
      <c r="X220" s="268" t="n"/>
      <c r="Y220" s="268" t="n"/>
      <c r="Z220" s="268" t="n"/>
      <c r="AA220" s="268" t="n"/>
      <c r="AB220" s="268" t="n"/>
      <c r="AC220" s="268" t="n"/>
      <c r="AD220" s="268" t="n"/>
      <c r="AE220" s="268" t="n"/>
      <c r="AF220" s="268" t="n"/>
      <c r="AG220" s="268" t="n"/>
      <c r="AH220" s="268" t="n"/>
      <c r="AI220" s="268" t="n"/>
      <c r="AJ220" s="268" t="n"/>
      <c r="AK220" s="268" t="n"/>
      <c r="AL220" s="268" t="n"/>
      <c r="AM220" s="268" t="n"/>
      <c r="AN220" s="268" t="n"/>
      <c r="AO220" s="268" t="n"/>
      <c r="AP220" s="268" t="n"/>
      <c r="AQ220" s="268" t="n"/>
      <c r="AR220" s="268" t="n"/>
      <c r="AS220" s="268" t="n"/>
      <c r="AT220" s="268" t="n"/>
      <c r="AU220" s="268" t="n"/>
      <c r="AV220" s="268" t="n"/>
      <c r="AW220" s="268" t="n"/>
      <c r="AX220" s="268" t="n"/>
      <c r="AY220" s="268" t="n"/>
      <c r="AZ220" s="268" t="n"/>
      <c r="BA220" s="268" t="n"/>
      <c r="BB220" s="268" t="n"/>
      <c r="BC220" s="268" t="n"/>
      <c r="BD220" s="268" t="n"/>
      <c r="BE220" s="268" t="n"/>
      <c r="BF220" s="268" t="n"/>
      <c r="BG220" s="268" t="n"/>
      <c r="BH220" s="268" t="n"/>
      <c r="BI220" s="268" t="n"/>
      <c r="BJ220" s="268" t="n"/>
      <c r="BK220" s="268" t="n"/>
      <c r="BL220" s="268" t="n"/>
      <c r="BM220" s="268" t="n"/>
      <c r="BN220" s="268" t="n"/>
      <c r="BO220" s="268" t="n"/>
      <c r="BP220" s="268" t="n"/>
      <c r="BQ220" s="268" t="n"/>
      <c r="BR220" s="268" t="n"/>
      <c r="BS220" s="268" t="n"/>
      <c r="BT220" s="268" t="n"/>
      <c r="BU220" s="268" t="n"/>
      <c r="BV220" s="268" t="n"/>
      <c r="BW220" s="268" t="n"/>
      <c r="BX220" s="268" t="n"/>
      <c r="BY220" s="268" t="n"/>
      <c r="BZ220" s="268" t="n"/>
      <c r="CA220" s="268" t="n"/>
      <c r="CB220" s="268" t="n"/>
      <c r="CC220" s="268" t="n"/>
      <c r="CD220" s="268" t="n"/>
      <c r="CE220" s="268" t="n"/>
      <c r="CF220" s="268" t="n"/>
      <c r="CG220" s="268" t="n"/>
      <c r="CH220" s="268" t="n"/>
      <c r="CI220" s="268" t="n"/>
      <c r="CJ220" s="268" t="n"/>
      <c r="CK220" s="268" t="n"/>
      <c r="CL220" s="268" t="n"/>
      <c r="CM220" s="268" t="n"/>
      <c r="CN220" s="268" t="n"/>
      <c r="CO220" s="268" t="n"/>
      <c r="CP220" s="268" t="n"/>
      <c r="CQ220" s="268" t="n"/>
      <c r="CR220" s="268" t="n"/>
      <c r="CS220" s="268" t="n"/>
      <c r="CT220" s="268" t="n"/>
      <c r="CU220" s="268" t="n"/>
      <c r="CV220" s="268" t="n"/>
      <c r="CW220" s="268" t="n"/>
      <c r="CX220" s="268" t="n"/>
      <c r="CY220" s="268" t="n"/>
    </row>
    <row r="221" hidden="1" outlineLevel="1" ht="12.75" customHeight="1" s="255">
      <c r="C221" s="312" t="inlineStr">
        <is>
          <t>Reclassification of LTD to CP of LTD</t>
        </is>
      </c>
      <c r="D221" s="268" t="n"/>
      <c r="E221" s="268" t="n"/>
      <c r="F221" s="268" t="n"/>
      <c r="G221" s="268" t="n"/>
      <c r="H221" s="268" t="n"/>
      <c r="I221" s="268" t="n"/>
      <c r="J221" s="268" t="n"/>
      <c r="K221" s="268" t="n"/>
      <c r="L221" s="268" t="n"/>
      <c r="M221" s="268" t="n"/>
      <c r="N221" s="268" t="n"/>
      <c r="O221" s="268" t="n"/>
      <c r="P221" s="268" t="n"/>
      <c r="Q221" s="268" t="n"/>
      <c r="R221" s="268" t="n"/>
      <c r="S221" s="268" t="n"/>
      <c r="T221" s="268" t="n"/>
      <c r="U221" s="268" t="n"/>
      <c r="V221" s="268" t="n"/>
      <c r="W221" s="268" t="n"/>
      <c r="X221" s="268" t="n"/>
      <c r="Y221" s="268" t="n"/>
      <c r="Z221" s="268" t="n"/>
      <c r="AA221" s="268" t="n"/>
      <c r="AB221" s="268" t="n"/>
      <c r="AC221" s="268" t="n"/>
      <c r="AD221" s="268" t="n"/>
      <c r="AE221" s="268" t="n"/>
      <c r="AF221" s="268" t="n"/>
      <c r="AG221" s="268" t="n"/>
      <c r="AH221" s="268" t="n"/>
      <c r="AI221" s="268">
        <f>-AI219</f>
        <v>0</v>
      </c>
      <c r="AJ221" s="268">
        <f>-AJ219</f>
        <v>0</v>
      </c>
      <c r="AK221" s="268">
        <f>-AK219</f>
        <v>0</v>
      </c>
      <c r="AL221" s="268" t="n"/>
      <c r="AM221" s="268" t="n"/>
      <c r="AN221" s="268">
        <f>-AN219</f>
        <v>0</v>
      </c>
      <c r="AO221" s="268">
        <f>-AO219</f>
        <v>0</v>
      </c>
      <c r="AP221" s="268">
        <f>-AP219</f>
        <v>0</v>
      </c>
      <c r="AQ221" s="268" t="n"/>
      <c r="AR221" s="268" t="n"/>
      <c r="AS221" s="268">
        <f>-AS219</f>
        <v>0</v>
      </c>
      <c r="AT221" s="268">
        <f>-AT219</f>
        <v>0</v>
      </c>
      <c r="AU221" s="268">
        <f>-AU219</f>
        <v>0</v>
      </c>
      <c r="AV221" s="268" t="n"/>
      <c r="AW221" s="268" t="n"/>
      <c r="AX221" s="268">
        <f>-AX219</f>
        <v>0</v>
      </c>
      <c r="AY221" s="268">
        <f>-AY219</f>
        <v>0</v>
      </c>
      <c r="AZ221" s="268">
        <f>-AZ219</f>
        <v>0</v>
      </c>
      <c r="BA221" s="268" t="n"/>
      <c r="BB221" s="268" t="n"/>
      <c r="BC221" s="268">
        <f>-BC219</f>
        <v>0</v>
      </c>
      <c r="BD221" s="268">
        <f>-BD219</f>
        <v>0</v>
      </c>
      <c r="BE221" s="268">
        <f>-BE219</f>
        <v>0</v>
      </c>
      <c r="BF221" s="268" t="n"/>
      <c r="BG221" s="268" t="n"/>
      <c r="BH221" s="268">
        <f>-BH219</f>
        <v>0</v>
      </c>
      <c r="BI221" s="268">
        <f>-BI219</f>
        <v>0</v>
      </c>
      <c r="BJ221" s="268">
        <f>-BJ219</f>
        <v>0</v>
      </c>
      <c r="BK221" s="268" t="n"/>
      <c r="BL221" s="268" t="n"/>
      <c r="BM221" s="268">
        <f>-BM219</f>
        <v>0</v>
      </c>
      <c r="BN221" s="268">
        <f>-BN219</f>
        <v>0</v>
      </c>
      <c r="BO221" s="268">
        <f>-BO219</f>
        <v>0</v>
      </c>
      <c r="BP221" s="268" t="n"/>
      <c r="BQ221" s="268" t="n"/>
      <c r="BR221" s="268">
        <f>-BR219</f>
        <v>0</v>
      </c>
      <c r="BS221" s="268">
        <f>-BS219</f>
        <v>0</v>
      </c>
      <c r="BT221" s="268">
        <f>-BT219</f>
        <v>0</v>
      </c>
      <c r="BU221" s="268" t="n"/>
      <c r="BV221" s="268" t="n"/>
      <c r="BW221" s="268">
        <f>-BW219</f>
        <v>0</v>
      </c>
      <c r="BX221" s="268">
        <f>-BX219</f>
        <v>0</v>
      </c>
      <c r="BY221" s="268">
        <f>-BY219</f>
        <v>0</v>
      </c>
      <c r="BZ221" s="268" t="n"/>
      <c r="CA221" s="268" t="n"/>
      <c r="CB221" s="268">
        <f>-CB219</f>
        <v>0</v>
      </c>
      <c r="CC221" s="268">
        <f>-CC219</f>
        <v>0</v>
      </c>
      <c r="CD221" s="268">
        <f>-CD219</f>
        <v>0</v>
      </c>
      <c r="CE221" s="268" t="n"/>
      <c r="CF221" s="268" t="n"/>
      <c r="CG221" s="268">
        <f>-CG219</f>
        <v>0</v>
      </c>
      <c r="CH221" s="268">
        <f>-CH219</f>
        <v>0</v>
      </c>
      <c r="CI221" s="268">
        <f>-CI219</f>
        <v>0</v>
      </c>
      <c r="CJ221" s="268" t="n"/>
      <c r="CK221" s="268" t="n"/>
      <c r="CL221" s="268">
        <f>-CL219</f>
        <v>0</v>
      </c>
      <c r="CM221" s="268">
        <f>-CM219</f>
        <v>0</v>
      </c>
      <c r="CN221" s="268">
        <f>-CN219</f>
        <v>0</v>
      </c>
      <c r="CO221" s="268" t="n"/>
      <c r="CP221" s="268" t="n"/>
      <c r="CQ221" s="268">
        <f>-CQ219</f>
        <v>0</v>
      </c>
      <c r="CR221" s="268">
        <f>-CR219</f>
        <v>0</v>
      </c>
      <c r="CS221" s="268">
        <f>-CS219</f>
        <v>0</v>
      </c>
      <c r="CT221" s="268" t="n"/>
      <c r="CU221" s="268" t="n"/>
      <c r="CV221" s="268">
        <f>-CV219</f>
        <v>0</v>
      </c>
      <c r="CW221" s="268">
        <f>-CW219</f>
        <v>0</v>
      </c>
      <c r="CX221" s="268">
        <f>-CX219</f>
        <v>0</v>
      </c>
      <c r="CY221" s="268" t="n"/>
    </row>
    <row r="222" hidden="1" outlineLevel="1" ht="12.75" customHeight="1" s="255">
      <c r="C222" s="312" t="inlineStr">
        <is>
          <t>Discretionary (paydown)/borrowing of long term debt</t>
        </is>
      </c>
      <c r="D222" s="268" t="n"/>
      <c r="E222" s="268" t="n"/>
      <c r="F222" s="268" t="n"/>
      <c r="G222" s="268" t="n"/>
      <c r="H222" s="268" t="n"/>
      <c r="I222" s="268" t="n"/>
      <c r="J222" s="268" t="n"/>
      <c r="K222" s="268" t="n"/>
      <c r="L222" s="268" t="n"/>
      <c r="M222" s="268" t="n"/>
      <c r="N222" s="268" t="n"/>
      <c r="O222" s="268" t="n"/>
      <c r="P222" s="268" t="n"/>
      <c r="Q222" s="268" t="n"/>
      <c r="R222" s="268" t="n"/>
      <c r="S222" s="268" t="n"/>
      <c r="T222" s="268" t="n"/>
      <c r="U222" s="268" t="n"/>
      <c r="V222" s="268" t="n"/>
      <c r="W222" s="268" t="n"/>
      <c r="X222" s="268" t="n"/>
      <c r="Y222" s="268" t="n"/>
      <c r="Z222" s="268" t="n"/>
      <c r="AA222" s="268" t="n"/>
      <c r="AB222" s="268" t="n"/>
      <c r="AC222" s="268" t="n"/>
      <c r="AD222" s="268" t="n"/>
      <c r="AE222" s="268" t="n"/>
      <c r="AF222" s="268" t="n"/>
      <c r="AG222" s="268" t="n"/>
      <c r="AH222" s="317" t="n"/>
      <c r="AI222" s="317" t="n"/>
      <c r="AJ222" s="317" t="n"/>
      <c r="AK222" s="317" t="n"/>
      <c r="AL222" s="268" t="n"/>
      <c r="AM222" s="317" t="n"/>
      <c r="AN222" s="317" t="n"/>
      <c r="AO222" s="317" t="n"/>
      <c r="AP222" s="317" t="n"/>
      <c r="AQ222" s="268" t="n"/>
      <c r="AR222" s="317" t="n"/>
      <c r="AS222" s="317" t="n"/>
      <c r="AT222" s="317" t="n"/>
      <c r="AU222" s="317" t="n"/>
      <c r="AV222" s="268" t="n"/>
      <c r="AW222" s="317" t="n"/>
      <c r="AX222" s="317" t="n"/>
      <c r="AY222" s="317" t="n"/>
      <c r="AZ222" s="317" t="n"/>
      <c r="BA222" s="268" t="n"/>
      <c r="BB222" s="317" t="n"/>
      <c r="BC222" s="317" t="n"/>
      <c r="BD222" s="317" t="n"/>
      <c r="BE222" s="317" t="n"/>
      <c r="BF222" s="268" t="n"/>
      <c r="BG222" s="317" t="n"/>
      <c r="BH222" s="317" t="n"/>
      <c r="BI222" s="317" t="n"/>
      <c r="BJ222" s="317" t="n"/>
      <c r="BK222" s="268" t="n"/>
      <c r="BL222" s="317" t="n"/>
      <c r="BM222" s="317" t="n"/>
      <c r="BN222" s="317" t="n"/>
      <c r="BO222" s="317" t="n"/>
      <c r="BP222" s="268" t="n"/>
      <c r="BQ222" s="317" t="n"/>
      <c r="BR222" s="317" t="n"/>
      <c r="BS222" s="317" t="n"/>
      <c r="BT222" s="317" t="n"/>
      <c r="BU222" s="268" t="n"/>
      <c r="BV222" s="317" t="n"/>
      <c r="BW222" s="317" t="n"/>
      <c r="BX222" s="317" t="n"/>
      <c r="BY222" s="317" t="n"/>
      <c r="BZ222" s="268" t="n"/>
      <c r="CA222" s="317" t="n"/>
      <c r="CB222" s="317" t="n"/>
      <c r="CC222" s="317" t="n"/>
      <c r="CD222" s="317" t="n"/>
      <c r="CE222" s="268" t="n"/>
      <c r="CF222" s="317" t="n"/>
      <c r="CG222" s="317" t="n"/>
      <c r="CH222" s="317" t="n"/>
      <c r="CI222" s="317" t="n"/>
      <c r="CJ222" s="268" t="n"/>
      <c r="CK222" s="317" t="n"/>
      <c r="CL222" s="317" t="n"/>
      <c r="CM222" s="317" t="n"/>
      <c r="CN222" s="317" t="n"/>
      <c r="CO222" s="268" t="n"/>
      <c r="CP222" s="317" t="n"/>
      <c r="CQ222" s="317" t="n"/>
      <c r="CR222" s="317" t="n"/>
      <c r="CS222" s="317" t="n"/>
      <c r="CT222" s="268" t="n"/>
      <c r="CU222" s="317" t="n"/>
      <c r="CV222" s="317" t="n"/>
      <c r="CW222" s="317" t="n"/>
      <c r="CX222" s="317" t="n"/>
      <c r="CY222" s="268" t="n"/>
    </row>
    <row r="223" hidden="1" outlineLevel="1" ht="12.75" customHeight="1" s="255">
      <c r="C223" s="312" t="inlineStr">
        <is>
          <t>Long term debt</t>
        </is>
      </c>
      <c r="D223" s="268" t="n"/>
      <c r="E223" s="268" t="n"/>
      <c r="F223" s="268" t="n"/>
      <c r="G223" s="268" t="n"/>
      <c r="H223" s="268" t="n"/>
      <c r="I223" s="268" t="n"/>
      <c r="J223" s="268" t="n"/>
      <c r="K223" s="268" t="n"/>
      <c r="L223" s="268" t="n"/>
      <c r="M223" s="268" t="n"/>
      <c r="N223" s="268" t="n"/>
      <c r="O223" s="268" t="n"/>
      <c r="P223" s="268" t="n"/>
      <c r="Q223" s="268" t="n"/>
      <c r="R223" s="268" t="n"/>
      <c r="S223" s="268" t="n"/>
      <c r="T223" s="268" t="n"/>
      <c r="U223" s="268" t="n"/>
      <c r="V223" s="268" t="n"/>
      <c r="W223" s="268" t="n"/>
      <c r="X223" s="268" t="n"/>
      <c r="Y223" s="268" t="n"/>
      <c r="Z223" s="268" t="n"/>
      <c r="AA223" s="268" t="n"/>
      <c r="AB223" s="268" t="n"/>
      <c r="AC223" s="268" t="n"/>
      <c r="AD223" s="268" t="n"/>
      <c r="AE223" s="268" t="n"/>
      <c r="AF223" s="268" t="n"/>
      <c r="AG223" s="268" t="n"/>
      <c r="AH223" s="268">
        <f>AF217+SUM(AH221:AH222)</f>
        <v>8831</v>
      </c>
      <c r="AI223" s="268">
        <f>AH223+SUM(AI221:AI222)</f>
        <v>8831</v>
      </c>
      <c r="AJ223" s="268">
        <f>AI217+SUM(AJ221:AJ222)</f>
        <v>9426</v>
      </c>
      <c r="AK223" s="268">
        <f>AJ223+SUM(AK221:AK222)</f>
        <v>9426</v>
      </c>
      <c r="AL223" s="268" t="n"/>
      <c r="AM223" s="268">
        <f>AK223+SUM(AM221:AM222)</f>
        <v>9426</v>
      </c>
      <c r="AN223" s="268">
        <f>AM223+SUM(AN221:AN222)</f>
        <v>9426</v>
      </c>
      <c r="AO223" s="268">
        <f>AN223+SUM(AO221:AO222)</f>
        <v>9426</v>
      </c>
      <c r="AP223" s="268">
        <f>AO223+SUM(AP221:AP222)</f>
        <v>9426</v>
      </c>
      <c r="AQ223" s="268" t="n"/>
      <c r="AR223" s="268">
        <f>AP223+SUM(AR221:AR222)</f>
        <v>9426</v>
      </c>
      <c r="AS223" s="268">
        <f>AR223+SUM(AS221:AS222)</f>
        <v>9426</v>
      </c>
      <c r="AT223" s="268">
        <f>AS223+SUM(AT221:AT222)</f>
        <v>9426</v>
      </c>
      <c r="AU223" s="268">
        <f>AT223+SUM(AU221:AU222)</f>
        <v>9426</v>
      </c>
      <c r="AV223" s="268" t="n"/>
      <c r="AW223" s="268">
        <f>AU223+SUM(AW221:AW222)</f>
        <v>9426</v>
      </c>
      <c r="AX223" s="268">
        <f>AW223+SUM(AX221:AX222)</f>
        <v>9426</v>
      </c>
      <c r="AY223" s="268">
        <f>AX223+SUM(AY221:AY222)</f>
        <v>9426</v>
      </c>
      <c r="AZ223" s="268">
        <f>AY223+SUM(AZ221:AZ222)</f>
        <v>9426</v>
      </c>
      <c r="BA223" s="268" t="n"/>
      <c r="BB223" s="268">
        <f>AZ223+SUM(BB221:BB222)</f>
        <v>9426</v>
      </c>
      <c r="BC223" s="268">
        <f>BB223+SUM(BC221:BC222)</f>
        <v>9426</v>
      </c>
      <c r="BD223" s="268">
        <f>BC223+SUM(BD221:BD222)</f>
        <v>9426</v>
      </c>
      <c r="BE223" s="268">
        <f>BD223+SUM(BE221:BE222)</f>
        <v>9426</v>
      </c>
      <c r="BF223" s="268" t="n"/>
      <c r="BG223" s="268">
        <f>BE223+SUM(BG221:BG222)</f>
        <v>9426</v>
      </c>
      <c r="BH223" s="268">
        <f>BG223+SUM(BH221:BH222)</f>
        <v>9426</v>
      </c>
      <c r="BI223" s="268">
        <f>BH223+SUM(BI221:BI222)</f>
        <v>9426</v>
      </c>
      <c r="BJ223" s="268">
        <f>BI223+SUM(BJ221:BJ222)</f>
        <v>9426</v>
      </c>
      <c r="BK223" s="268" t="n"/>
      <c r="BL223" s="268">
        <f>BJ223+SUM(BL221:BL222)</f>
        <v>9426</v>
      </c>
      <c r="BM223" s="268">
        <f>BL223+SUM(BM221:BM222)</f>
        <v>9426</v>
      </c>
      <c r="BN223" s="268">
        <f>BM223+SUM(BN221:BN222)</f>
        <v>9426</v>
      </c>
      <c r="BO223" s="268">
        <f>BN223+SUM(BO221:BO222)</f>
        <v>9426</v>
      </c>
      <c r="BP223" s="268" t="n"/>
      <c r="BQ223" s="268">
        <f>BO223+SUM(BQ221:BQ222)</f>
        <v>9426</v>
      </c>
      <c r="BR223" s="268">
        <f>BQ223+SUM(BR221:BR222)</f>
        <v>9426</v>
      </c>
      <c r="BS223" s="268">
        <f>BR223+SUM(BS221:BS222)</f>
        <v>9426</v>
      </c>
      <c r="BT223" s="268">
        <f>BS223+SUM(BT221:BT222)</f>
        <v>9426</v>
      </c>
      <c r="BU223" s="268" t="n"/>
      <c r="BV223" s="268">
        <f>BT223+SUM(BV221:BV222)</f>
        <v>9426</v>
      </c>
      <c r="BW223" s="268">
        <f>BV223+SUM(BW221:BW222)</f>
        <v>9426</v>
      </c>
      <c r="BX223" s="268">
        <f>BW223+SUM(BX221:BX222)</f>
        <v>9426</v>
      </c>
      <c r="BY223" s="268">
        <f>BX223+SUM(BY221:BY222)</f>
        <v>9426</v>
      </c>
      <c r="BZ223" s="268" t="n"/>
      <c r="CA223" s="268">
        <f>BY223+SUM(CA221:CA222)</f>
        <v>9426</v>
      </c>
      <c r="CB223" s="268">
        <f>CA223+SUM(CB221:CB222)</f>
        <v>9426</v>
      </c>
      <c r="CC223" s="268">
        <f>CB223+SUM(CC221:CC222)</f>
        <v>9426</v>
      </c>
      <c r="CD223" s="268">
        <f>CC223+SUM(CD221:CD222)</f>
        <v>9426</v>
      </c>
      <c r="CE223" s="268" t="n"/>
      <c r="CF223" s="268">
        <f>CD223+SUM(CF221:CF222)</f>
        <v>9426</v>
      </c>
      <c r="CG223" s="268">
        <f>CF223+SUM(CG221:CG222)</f>
        <v>9426</v>
      </c>
      <c r="CH223" s="268">
        <f>CG223+SUM(CH221:CH222)</f>
        <v>9426</v>
      </c>
      <c r="CI223" s="268">
        <f>CH223+SUM(CI221:CI222)</f>
        <v>9426</v>
      </c>
      <c r="CJ223" s="268" t="n"/>
      <c r="CK223" s="268">
        <f>CI223+SUM(CK221:CK222)</f>
        <v>9426</v>
      </c>
      <c r="CL223" s="268">
        <f>CK223+SUM(CL221:CL222)</f>
        <v>9426</v>
      </c>
      <c r="CM223" s="268">
        <f>CL223+SUM(CM221:CM222)</f>
        <v>9426</v>
      </c>
      <c r="CN223" s="268">
        <f>CM223+SUM(CN221:CN222)</f>
        <v>9426</v>
      </c>
      <c r="CO223" s="268" t="n"/>
      <c r="CP223" s="268">
        <f>CN223+SUM(CP221:CP222)</f>
        <v>9426</v>
      </c>
      <c r="CQ223" s="268">
        <f>CP223+SUM(CQ221:CQ222)</f>
        <v>9426</v>
      </c>
      <c r="CR223" s="268">
        <f>CQ223+SUM(CR221:CR222)</f>
        <v>9426</v>
      </c>
      <c r="CS223" s="268">
        <f>CR223+SUM(CS221:CS222)</f>
        <v>9426</v>
      </c>
      <c r="CT223" s="268" t="n"/>
      <c r="CU223" s="268">
        <f>CS223+SUM(CU221:CU222)</f>
        <v>9426</v>
      </c>
      <c r="CV223" s="268">
        <f>CU223+SUM(CV221:CV222)</f>
        <v>9426</v>
      </c>
      <c r="CW223" s="268">
        <f>CV223+SUM(CW221:CW222)</f>
        <v>9426</v>
      </c>
      <c r="CX223" s="268">
        <f>CW223+SUM(CX221:CX222)</f>
        <v>9426</v>
      </c>
      <c r="CY223" s="268" t="n"/>
      <c r="CZ223" s="260">
        <f>CX223+SUM(CZ221:CZ222)</f>
        <v>9426</v>
      </c>
      <c r="DA223" s="260">
        <f>CZ223+SUM(DA221:DA222)</f>
        <v>9426</v>
      </c>
      <c r="DB223" s="260">
        <f>DA223+SUM(DB221:DB222)</f>
        <v>9426</v>
      </c>
      <c r="DC223" s="260">
        <f>DB223+SUM(DC221:DC222)</f>
        <v>9426</v>
      </c>
    </row>
    <row r="224" hidden="1" outlineLevel="1" ht="12.75" customHeight="1" s="255">
      <c r="C224" s="312" t="n"/>
      <c r="D224" s="268" t="n"/>
      <c r="E224" s="268" t="n"/>
      <c r="F224" s="268" t="n"/>
      <c r="G224" s="268" t="n"/>
      <c r="H224" s="268" t="n"/>
      <c r="I224" s="268" t="n"/>
      <c r="J224" s="268" t="n"/>
      <c r="K224" s="268" t="n"/>
      <c r="L224" s="268" t="n"/>
      <c r="M224" s="268" t="n"/>
      <c r="N224" s="268" t="n"/>
      <c r="O224" s="268" t="n"/>
      <c r="P224" s="268" t="n"/>
      <c r="Q224" s="268" t="n"/>
      <c r="R224" s="268" t="n"/>
      <c r="S224" s="268" t="n"/>
      <c r="T224" s="268" t="n"/>
      <c r="U224" s="268" t="n"/>
      <c r="V224" s="268" t="n"/>
      <c r="W224" s="268" t="n"/>
      <c r="X224" s="268" t="n"/>
      <c r="Y224" s="268" t="n"/>
      <c r="Z224" s="268" t="n"/>
      <c r="AA224" s="268" t="n"/>
      <c r="AB224" s="268" t="n"/>
      <c r="AC224" s="268" t="n"/>
      <c r="AD224" s="268" t="n"/>
      <c r="AE224" s="268" t="n"/>
      <c r="AF224" s="268" t="n"/>
      <c r="AG224" s="268" t="n"/>
      <c r="AH224" s="268" t="n"/>
      <c r="AI224" s="268" t="n"/>
      <c r="AJ224" s="268" t="n"/>
      <c r="AK224" s="268" t="n"/>
      <c r="AL224" s="268" t="n"/>
      <c r="AM224" s="268" t="n"/>
      <c r="AN224" s="268" t="n"/>
      <c r="AO224" s="268" t="n"/>
      <c r="AP224" s="268" t="n"/>
      <c r="AQ224" s="268" t="n"/>
      <c r="AR224" s="268" t="n"/>
      <c r="AS224" s="268" t="n"/>
      <c r="AT224" s="268" t="n"/>
      <c r="AU224" s="268" t="n"/>
      <c r="AV224" s="268" t="n"/>
      <c r="AW224" s="268" t="n"/>
      <c r="AX224" s="268" t="n"/>
      <c r="AY224" s="268" t="n"/>
      <c r="AZ224" s="268" t="n"/>
      <c r="BA224" s="268" t="n"/>
      <c r="BB224" s="268" t="n"/>
      <c r="BC224" s="268" t="n"/>
      <c r="BD224" s="268" t="n"/>
      <c r="BE224" s="268" t="n"/>
      <c r="BF224" s="268" t="n"/>
      <c r="BG224" s="268" t="n"/>
      <c r="BH224" s="268" t="n"/>
      <c r="BI224" s="268" t="n"/>
      <c r="BJ224" s="268" t="n"/>
      <c r="BK224" s="268" t="n"/>
      <c r="BL224" s="268" t="n"/>
      <c r="BM224" s="268" t="n"/>
      <c r="BN224" s="268" t="n"/>
      <c r="BO224" s="268" t="n"/>
      <c r="BP224" s="268" t="n"/>
      <c r="BQ224" s="268" t="n"/>
      <c r="BR224" s="268" t="n"/>
      <c r="BS224" s="268" t="n"/>
      <c r="BT224" s="268" t="n"/>
      <c r="BU224" s="268" t="n"/>
      <c r="BV224" s="268" t="n"/>
      <c r="BW224" s="268" t="n"/>
      <c r="BX224" s="268" t="n"/>
      <c r="BY224" s="268" t="n"/>
      <c r="BZ224" s="268" t="n"/>
      <c r="CA224" s="268" t="n"/>
      <c r="CB224" s="268" t="n"/>
      <c r="CC224" s="268" t="n"/>
      <c r="CD224" s="268" t="n"/>
      <c r="CE224" s="268" t="n"/>
      <c r="CF224" s="268" t="n"/>
      <c r="CG224" s="268" t="n"/>
      <c r="CH224" s="268" t="n"/>
      <c r="CI224" s="268" t="n"/>
      <c r="CJ224" s="268" t="n"/>
      <c r="CK224" s="268" t="n"/>
      <c r="CL224" s="268" t="n"/>
      <c r="CM224" s="268" t="n"/>
      <c r="CN224" s="268" t="n"/>
      <c r="CO224" s="268" t="n"/>
      <c r="CP224" s="268" t="n"/>
      <c r="CQ224" s="268" t="n"/>
      <c r="CR224" s="268" t="n"/>
      <c r="CS224" s="268" t="n"/>
      <c r="CT224" s="268" t="n"/>
      <c r="CU224" s="268" t="n"/>
      <c r="CV224" s="268" t="n"/>
      <c r="CW224" s="268" t="n"/>
      <c r="CX224" s="268" t="n"/>
      <c r="CY224" s="268" t="n"/>
    </row>
    <row r="225" hidden="1" outlineLevel="1" ht="12.75" customHeight="1" s="255">
      <c r="C225" s="312" t="inlineStr">
        <is>
          <t>Discretionary (paydown)/borrowing of convertible debt</t>
        </is>
      </c>
      <c r="D225" s="268" t="n"/>
      <c r="E225" s="268" t="n"/>
      <c r="F225" s="268" t="n"/>
      <c r="G225" s="268" t="n"/>
      <c r="H225" s="268" t="n"/>
      <c r="I225" s="268" t="n"/>
      <c r="J225" s="268" t="n"/>
      <c r="K225" s="268" t="n"/>
      <c r="L225" s="268" t="n"/>
      <c r="M225" s="268" t="n"/>
      <c r="N225" s="268" t="n"/>
      <c r="O225" s="268" t="n"/>
      <c r="P225" s="268" t="n"/>
      <c r="Q225" s="268" t="n"/>
      <c r="R225" s="268" t="n"/>
      <c r="S225" s="268" t="n"/>
      <c r="T225" s="268" t="n"/>
      <c r="U225" s="268" t="n"/>
      <c r="V225" s="268" t="n"/>
      <c r="W225" s="268" t="n"/>
      <c r="X225" s="268" t="n"/>
      <c r="Y225" s="268" t="n"/>
      <c r="Z225" s="268" t="n"/>
      <c r="AA225" s="268" t="n"/>
      <c r="AB225" s="268" t="n"/>
      <c r="AC225" s="268" t="n"/>
      <c r="AD225" s="268" t="n"/>
      <c r="AE225" s="268" t="n"/>
      <c r="AF225" s="268" t="n"/>
      <c r="AG225" s="268" t="n"/>
      <c r="AH225" s="317" t="n"/>
      <c r="AI225" s="317" t="n"/>
      <c r="AJ225" s="317" t="n"/>
      <c r="AK225" s="317" t="n"/>
      <c r="AL225" s="268" t="n"/>
      <c r="AM225" s="317" t="n"/>
      <c r="AN225" s="317" t="n"/>
      <c r="AO225" s="317" t="n"/>
      <c r="AP225" s="317" t="n"/>
      <c r="AQ225" s="268" t="n"/>
      <c r="AR225" s="317" t="n"/>
      <c r="AS225" s="317" t="n"/>
      <c r="AT225" s="317" t="n"/>
      <c r="AU225" s="317" t="n"/>
      <c r="AV225" s="268" t="n"/>
      <c r="AW225" s="317" t="n"/>
      <c r="AX225" s="317" t="n"/>
      <c r="AY225" s="317" t="n"/>
      <c r="AZ225" s="317" t="n"/>
      <c r="BA225" s="268" t="n"/>
      <c r="BB225" s="317" t="n"/>
      <c r="BC225" s="317" t="n"/>
      <c r="BD225" s="317" t="n"/>
      <c r="BE225" s="317" t="n"/>
      <c r="BF225" s="268" t="n"/>
      <c r="BG225" s="317" t="n"/>
      <c r="BH225" s="317" t="n"/>
      <c r="BI225" s="317" t="n"/>
      <c r="BJ225" s="317" t="n"/>
      <c r="BK225" s="268" t="n"/>
      <c r="BL225" s="317" t="n"/>
      <c r="BM225" s="317" t="n"/>
      <c r="BN225" s="317" t="n"/>
      <c r="BO225" s="317" t="n"/>
      <c r="BP225" s="268" t="n"/>
      <c r="BQ225" s="317" t="n"/>
      <c r="BR225" s="317" t="n"/>
      <c r="BS225" s="317" t="n"/>
      <c r="BT225" s="317" t="n"/>
      <c r="BU225" s="268" t="n"/>
      <c r="BV225" s="317" t="n"/>
      <c r="BW225" s="317" t="n"/>
      <c r="BX225" s="317" t="n"/>
      <c r="BY225" s="317" t="n"/>
      <c r="BZ225" s="268" t="n"/>
      <c r="CA225" s="317" t="n"/>
      <c r="CB225" s="317" t="n"/>
      <c r="CC225" s="317" t="n"/>
      <c r="CD225" s="317" t="n"/>
      <c r="CE225" s="268" t="n"/>
      <c r="CF225" s="317" t="n"/>
      <c r="CG225" s="317" t="n"/>
      <c r="CH225" s="317" t="n"/>
      <c r="CI225" s="317" t="n"/>
      <c r="CJ225" s="268" t="n"/>
      <c r="CK225" s="317" t="n"/>
      <c r="CL225" s="317" t="n"/>
      <c r="CM225" s="317" t="n"/>
      <c r="CN225" s="317" t="n"/>
      <c r="CO225" s="268" t="n"/>
      <c r="CP225" s="317" t="n"/>
      <c r="CQ225" s="317" t="n"/>
      <c r="CR225" s="317" t="n"/>
      <c r="CS225" s="317" t="n"/>
      <c r="CT225" s="268" t="n"/>
      <c r="CU225" s="317" t="n"/>
      <c r="CV225" s="317" t="n"/>
      <c r="CW225" s="317" t="n"/>
      <c r="CX225" s="317" t="n"/>
      <c r="CY225" s="268" t="n"/>
    </row>
    <row r="226" hidden="1" outlineLevel="1" ht="12.75" customHeight="1" s="255">
      <c r="C226" s="312" t="inlineStr">
        <is>
          <t>Convertible debt</t>
        </is>
      </c>
      <c r="D226" s="268" t="n"/>
      <c r="E226" s="268" t="n"/>
      <c r="F226" s="268" t="n"/>
      <c r="G226" s="268" t="n"/>
      <c r="H226" s="268" t="n"/>
      <c r="I226" s="268" t="n"/>
      <c r="J226" s="268" t="n"/>
      <c r="K226" s="268" t="n"/>
      <c r="L226" s="268" t="n"/>
      <c r="M226" s="268" t="n"/>
      <c r="N226" s="268" t="n"/>
      <c r="O226" s="268" t="n"/>
      <c r="P226" s="268" t="n"/>
      <c r="Q226" s="268" t="n"/>
      <c r="R226" s="268" t="n"/>
      <c r="S226" s="268" t="n"/>
      <c r="T226" s="268" t="n"/>
      <c r="U226" s="268" t="n"/>
      <c r="V226" s="268" t="n"/>
      <c r="W226" s="268" t="n"/>
      <c r="X226" s="268" t="n"/>
      <c r="Y226" s="268" t="n"/>
      <c r="Z226" s="268" t="n"/>
      <c r="AA226" s="268" t="n"/>
      <c r="AB226" s="268" t="n"/>
      <c r="AC226" s="268" t="n"/>
      <c r="AD226" s="268" t="n"/>
      <c r="AE226" s="268" t="n"/>
      <c r="AF226" s="268" t="n"/>
      <c r="AG226" s="268" t="n"/>
      <c r="AH226" s="268">
        <f>AH238</f>
        <v>0</v>
      </c>
      <c r="AI226" s="268">
        <f>AH226+SUM(AI225)</f>
        <v>0</v>
      </c>
      <c r="AJ226" s="268">
        <f>AI226+SUM(AJ225)</f>
        <v>0</v>
      </c>
      <c r="AK226" s="268">
        <f>AJ226+SUM(AK225)</f>
        <v>0</v>
      </c>
      <c r="AL226" s="268" t="n"/>
      <c r="AM226" s="268">
        <f>AM238</f>
        <v>0</v>
      </c>
      <c r="AN226" s="268">
        <f>AM226+SUM(AN225)</f>
        <v>0</v>
      </c>
      <c r="AO226" s="268">
        <f>AN226+SUM(AO225)</f>
        <v>0</v>
      </c>
      <c r="AP226" s="268">
        <f>AO226+SUM(AP225)</f>
        <v>0</v>
      </c>
      <c r="AQ226" s="268" t="n"/>
      <c r="AR226" s="268">
        <f>AR238</f>
        <v>0</v>
      </c>
      <c r="AS226" s="268">
        <f>AR226+SUM(AS225)</f>
        <v>0</v>
      </c>
      <c r="AT226" s="268">
        <f>AS226+SUM(AT225)</f>
        <v>0</v>
      </c>
      <c r="AU226" s="268">
        <f>AT226+SUM(AU225)</f>
        <v>0</v>
      </c>
      <c r="AV226" s="268" t="n"/>
      <c r="AW226" s="268">
        <f>AW238</f>
        <v>0</v>
      </c>
      <c r="AX226" s="268">
        <f>AW226+SUM(AX225)</f>
        <v>0</v>
      </c>
      <c r="AY226" s="268">
        <f>AX226+SUM(AY225)</f>
        <v>0</v>
      </c>
      <c r="AZ226" s="268">
        <f>AY226+SUM(AZ225)</f>
        <v>0</v>
      </c>
      <c r="BA226" s="268" t="n"/>
      <c r="BB226" s="268">
        <f>BB238</f>
        <v>0</v>
      </c>
      <c r="BC226" s="268">
        <f>BB226+SUM(BC225)</f>
        <v>0</v>
      </c>
      <c r="BD226" s="268">
        <f>BC226+SUM(BD225)</f>
        <v>0</v>
      </c>
      <c r="BE226" s="268">
        <f>BD226+SUM(BE225)</f>
        <v>0</v>
      </c>
      <c r="BF226" s="268" t="n"/>
      <c r="BG226" s="268">
        <f>BG238</f>
        <v>0</v>
      </c>
      <c r="BH226" s="268">
        <f>BG226+SUM(BH225)</f>
        <v>0</v>
      </c>
      <c r="BI226" s="268">
        <f>BH226+SUM(BI225)</f>
        <v>0</v>
      </c>
      <c r="BJ226" s="268">
        <f>BI226+SUM(BJ225)</f>
        <v>0</v>
      </c>
      <c r="BK226" s="268" t="n"/>
      <c r="BL226" s="268">
        <f>BL238</f>
        <v>0</v>
      </c>
      <c r="BM226" s="268">
        <f>BL226+SUM(BM225)</f>
        <v>0</v>
      </c>
      <c r="BN226" s="268">
        <f>BM226+SUM(BN225)</f>
        <v>0</v>
      </c>
      <c r="BO226" s="268">
        <f>BN226+SUM(BO225)</f>
        <v>0</v>
      </c>
      <c r="BP226" s="268" t="n"/>
      <c r="BQ226" s="268">
        <f>BQ238</f>
        <v>0</v>
      </c>
      <c r="BR226" s="268">
        <f>BQ226+SUM(BR225)</f>
        <v>0</v>
      </c>
      <c r="BS226" s="268">
        <f>BR226+SUM(BS225)</f>
        <v>0</v>
      </c>
      <c r="BT226" s="268">
        <f>BS226+SUM(BT225)</f>
        <v>0</v>
      </c>
      <c r="BU226" s="268" t="n"/>
      <c r="BV226" s="268">
        <f>BV238</f>
        <v>0</v>
      </c>
      <c r="BW226" s="268">
        <f>BV226+SUM(BW225)</f>
        <v>0</v>
      </c>
      <c r="BX226" s="268">
        <f>BW226+SUM(BX225)</f>
        <v>0</v>
      </c>
      <c r="BY226" s="268">
        <f>BX226+SUM(BY225)</f>
        <v>0</v>
      </c>
      <c r="BZ226" s="268" t="n"/>
      <c r="CA226" s="268">
        <f>CA238</f>
        <v>0</v>
      </c>
      <c r="CB226" s="268">
        <f>CA226+SUM(CB225)</f>
        <v>0</v>
      </c>
      <c r="CC226" s="268">
        <f>CB226+SUM(CC225)</f>
        <v>0</v>
      </c>
      <c r="CD226" s="268">
        <f>CC226+SUM(CD225)</f>
        <v>0</v>
      </c>
      <c r="CE226" s="268" t="n"/>
      <c r="CF226" s="268">
        <f>CF238</f>
        <v>0</v>
      </c>
      <c r="CG226" s="268">
        <f>CF226+SUM(CG225)</f>
        <v>0</v>
      </c>
      <c r="CH226" s="268">
        <f>CG226+SUM(CH225)</f>
        <v>0</v>
      </c>
      <c r="CI226" s="268">
        <f>CH226+SUM(CI225)</f>
        <v>0</v>
      </c>
      <c r="CJ226" s="268" t="n"/>
      <c r="CK226" s="268">
        <f>CK238</f>
        <v>0</v>
      </c>
      <c r="CL226" s="268">
        <f>CK226+SUM(CL225)</f>
        <v>0</v>
      </c>
      <c r="CM226" s="268">
        <f>CL226+SUM(CM225)</f>
        <v>0</v>
      </c>
      <c r="CN226" s="268">
        <f>CM226+SUM(CN225)</f>
        <v>0</v>
      </c>
      <c r="CO226" s="268" t="n"/>
      <c r="CP226" s="268">
        <f>CP238</f>
        <v>0</v>
      </c>
      <c r="CQ226" s="268">
        <f>CP226+SUM(CQ225)</f>
        <v>0</v>
      </c>
      <c r="CR226" s="268">
        <f>CQ226+SUM(CR225)</f>
        <v>0</v>
      </c>
      <c r="CS226" s="268">
        <f>CR226+SUM(CS225)</f>
        <v>0</v>
      </c>
      <c r="CT226" s="268" t="n"/>
      <c r="CU226" s="268">
        <f>CU238</f>
        <v>0</v>
      </c>
      <c r="CV226" s="268">
        <f>CU226+SUM(CV225)</f>
        <v>0</v>
      </c>
      <c r="CW226" s="268">
        <f>CV226+SUM(CW225)</f>
        <v>0</v>
      </c>
      <c r="CX226" s="268">
        <f>CW226+SUM(CX225)</f>
        <v>0</v>
      </c>
      <c r="CY226" s="268" t="n"/>
    </row>
    <row r="227" hidden="1" outlineLevel="1" ht="12.75" customHeight="1" s="255">
      <c r="C227" s="312" t="n"/>
      <c r="D227" s="268" t="n"/>
      <c r="E227" s="268" t="n"/>
      <c r="F227" s="268" t="n"/>
      <c r="G227" s="268" t="n"/>
      <c r="H227" s="268" t="n"/>
      <c r="I227" s="268" t="n"/>
      <c r="J227" s="268" t="n"/>
      <c r="K227" s="268" t="n"/>
      <c r="L227" s="268" t="n"/>
      <c r="M227" s="268" t="n"/>
      <c r="N227" s="268" t="n"/>
      <c r="O227" s="268" t="n"/>
      <c r="P227" s="268" t="n"/>
      <c r="Q227" s="268" t="n"/>
      <c r="R227" s="268" t="n"/>
      <c r="S227" s="268" t="n"/>
      <c r="T227" s="268" t="n"/>
      <c r="U227" s="268" t="n"/>
      <c r="V227" s="268" t="n"/>
      <c r="W227" s="268" t="n"/>
      <c r="X227" s="268" t="n"/>
      <c r="Y227" s="268" t="n"/>
      <c r="Z227" s="268" t="n"/>
      <c r="AA227" s="268" t="n"/>
      <c r="AB227" s="268" t="n"/>
      <c r="AC227" s="268" t="n"/>
      <c r="AD227" s="268" t="n"/>
      <c r="AE227" s="268" t="n"/>
      <c r="AF227" s="268" t="n"/>
      <c r="AG227" s="268" t="n"/>
      <c r="AI227" s="268" t="n"/>
      <c r="AJ227" s="268" t="n"/>
      <c r="AK227" s="268" t="n"/>
      <c r="AL227" s="268" t="n"/>
      <c r="AN227" s="268" t="n"/>
      <c r="AO227" s="268" t="n"/>
      <c r="AP227" s="268" t="n"/>
      <c r="AQ227" s="268" t="n"/>
      <c r="AS227" s="268" t="n"/>
      <c r="AT227" s="268" t="n"/>
      <c r="AU227" s="268" t="n"/>
      <c r="AV227" s="268" t="n"/>
      <c r="AX227" s="268" t="n"/>
      <c r="AY227" s="268" t="n"/>
      <c r="AZ227" s="268" t="n"/>
      <c r="BA227" s="268" t="n"/>
      <c r="BC227" s="268" t="n"/>
      <c r="BD227" s="268" t="n"/>
      <c r="BE227" s="268" t="n"/>
      <c r="BF227" s="268" t="n"/>
      <c r="BH227" s="268" t="n"/>
      <c r="BI227" s="268" t="n"/>
      <c r="BJ227" s="268" t="n"/>
      <c r="BK227" s="268" t="n"/>
      <c r="BM227" s="268" t="n"/>
      <c r="BN227" s="268" t="n"/>
      <c r="BO227" s="268" t="n"/>
      <c r="BP227" s="268" t="n"/>
      <c r="BR227" s="268" t="n"/>
      <c r="BS227" s="268" t="n"/>
      <c r="BT227" s="268" t="n"/>
      <c r="BU227" s="268" t="n"/>
      <c r="BW227" s="268" t="n"/>
      <c r="BX227" s="268" t="n"/>
      <c r="BY227" s="268" t="n"/>
      <c r="BZ227" s="268" t="n"/>
      <c r="CB227" s="268" t="n"/>
      <c r="CC227" s="268" t="n"/>
      <c r="CD227" s="268" t="n"/>
      <c r="CE227" s="268" t="n"/>
      <c r="CG227" s="268" t="n"/>
      <c r="CH227" s="268" t="n"/>
      <c r="CI227" s="268" t="n"/>
      <c r="CJ227" s="268" t="n"/>
      <c r="CL227" s="268" t="n"/>
      <c r="CM227" s="268" t="n"/>
      <c r="CN227" s="268" t="n"/>
      <c r="CO227" s="268" t="n"/>
      <c r="CQ227" s="268" t="n"/>
      <c r="CR227" s="268" t="n"/>
      <c r="CS227" s="268" t="n"/>
      <c r="CT227" s="268" t="n"/>
      <c r="CV227" s="268" t="n"/>
      <c r="CW227" s="268" t="n"/>
      <c r="CX227" s="268" t="n"/>
      <c r="CY227" s="268" t="n"/>
    </row>
    <row r="228" hidden="1" outlineLevel="1" ht="12.75" customHeight="1" s="255">
      <c r="C228" s="312" t="inlineStr">
        <is>
          <t>Calculation of short term debt</t>
        </is>
      </c>
      <c r="D228" s="268" t="n"/>
      <c r="E228" s="268" t="n"/>
      <c r="F228" s="268" t="n"/>
      <c r="G228" s="268" t="n"/>
      <c r="H228" s="268" t="n"/>
      <c r="I228" s="268" t="n"/>
      <c r="J228" s="268" t="n"/>
      <c r="K228" s="268" t="n"/>
      <c r="L228" s="268" t="n"/>
      <c r="M228" s="268" t="n"/>
      <c r="N228" s="268" t="n"/>
      <c r="O228" s="268" t="n"/>
      <c r="P228" s="268" t="n"/>
      <c r="Q228" s="268" t="n"/>
      <c r="R228" s="268" t="n"/>
      <c r="S228" s="268" t="n"/>
      <c r="T228" s="268" t="n"/>
      <c r="U228" s="268" t="n"/>
      <c r="V228" s="268" t="n"/>
      <c r="W228" s="268" t="n"/>
      <c r="X228" s="268" t="n"/>
      <c r="Y228" s="268" t="n"/>
      <c r="Z228" s="268" t="n"/>
      <c r="AA228" s="268" t="n"/>
      <c r="AB228" s="268" t="n"/>
      <c r="AC228" s="268" t="n"/>
      <c r="AD228" s="268" t="n"/>
      <c r="AE228" s="268" t="n"/>
      <c r="AF228" s="268" t="n"/>
      <c r="AG228" s="268" t="n"/>
      <c r="AH228" s="268" t="n"/>
      <c r="AI228" s="268" t="n"/>
      <c r="AJ228" s="268" t="n"/>
      <c r="AK228" s="268" t="n"/>
      <c r="AL228" s="268" t="n"/>
      <c r="AM228" s="268" t="n"/>
      <c r="AN228" s="268" t="n"/>
      <c r="AO228" s="268" t="n"/>
      <c r="AP228" s="268" t="n"/>
      <c r="AQ228" s="268" t="n"/>
      <c r="AR228" s="268" t="n"/>
      <c r="AS228" s="268" t="n"/>
      <c r="AT228" s="268" t="n"/>
      <c r="AU228" s="268" t="n"/>
      <c r="AV228" s="268" t="n"/>
      <c r="AW228" s="268" t="n"/>
      <c r="AX228" s="268" t="n"/>
      <c r="AY228" s="268" t="n"/>
      <c r="AZ228" s="268" t="n"/>
      <c r="BA228" s="268" t="n"/>
      <c r="BB228" s="268" t="n"/>
      <c r="BC228" s="268" t="n"/>
      <c r="BD228" s="268" t="n"/>
      <c r="BE228" s="268" t="n"/>
      <c r="BF228" s="268" t="n"/>
      <c r="BG228" s="268" t="n"/>
      <c r="BH228" s="268" t="n"/>
      <c r="BI228" s="268" t="n"/>
      <c r="BJ228" s="268" t="n"/>
      <c r="BK228" s="268" t="n"/>
      <c r="BL228" s="268" t="n"/>
      <c r="BM228" s="268" t="n"/>
      <c r="BN228" s="268" t="n"/>
      <c r="BO228" s="268" t="n"/>
      <c r="BP228" s="268" t="n"/>
      <c r="BQ228" s="268" t="n"/>
      <c r="BR228" s="268" t="n"/>
      <c r="BS228" s="268" t="n"/>
      <c r="BT228" s="268" t="n"/>
      <c r="BU228" s="268" t="n"/>
      <c r="BV228" s="268" t="n"/>
      <c r="BW228" s="268" t="n"/>
      <c r="BX228" s="268" t="n"/>
      <c r="BY228" s="268" t="n"/>
      <c r="BZ228" s="268" t="n"/>
      <c r="CA228" s="268" t="n"/>
      <c r="CB228" s="268" t="n"/>
      <c r="CC228" s="268" t="n"/>
      <c r="CD228" s="268" t="n"/>
      <c r="CE228" s="268" t="n"/>
      <c r="CF228" s="268" t="n"/>
      <c r="CG228" s="268" t="n"/>
      <c r="CH228" s="268" t="n"/>
      <c r="CI228" s="268" t="n"/>
      <c r="CJ228" s="268" t="n"/>
      <c r="CK228" s="268" t="n"/>
      <c r="CL228" s="268" t="n"/>
      <c r="CM228" s="268" t="n"/>
      <c r="CN228" s="268" t="n"/>
      <c r="CO228" s="268" t="n"/>
      <c r="CP228" s="268" t="n"/>
      <c r="CQ228" s="268" t="n"/>
      <c r="CR228" s="268" t="n"/>
      <c r="CS228" s="268" t="n"/>
      <c r="CT228" s="268" t="n"/>
      <c r="CU228" s="268" t="n"/>
      <c r="CV228" s="268" t="n"/>
      <c r="CW228" s="268" t="n"/>
      <c r="CX228" s="268" t="n"/>
      <c r="CY228" s="268" t="n"/>
    </row>
    <row r="229" hidden="1" outlineLevel="1" ht="12.75" customHeight="1" s="255">
      <c r="C229" s="312" t="inlineStr">
        <is>
          <t>Cash @ beginning of the period (end of last period)</t>
        </is>
      </c>
      <c r="D229" s="268" t="n"/>
      <c r="E229" s="268" t="n"/>
      <c r="F229" s="268" t="n"/>
      <c r="G229" s="268" t="n"/>
      <c r="H229" s="268" t="n"/>
      <c r="I229" s="268" t="n"/>
      <c r="J229" s="268" t="n"/>
      <c r="K229" s="268" t="n"/>
      <c r="L229" s="268" t="n"/>
      <c r="M229" s="268" t="n"/>
      <c r="N229" s="268" t="n"/>
      <c r="O229" s="268" t="n"/>
      <c r="P229" s="268" t="n"/>
      <c r="Q229" s="268" t="n"/>
      <c r="R229" s="268" t="n"/>
      <c r="S229" s="268" t="n"/>
      <c r="T229" s="268" t="n"/>
      <c r="U229" s="268" t="n"/>
      <c r="V229" s="268" t="n"/>
      <c r="W229" s="268" t="n"/>
      <c r="X229" s="268" t="n"/>
      <c r="Y229" s="268" t="n"/>
      <c r="Z229" s="268" t="n"/>
      <c r="AA229" s="268" t="n"/>
      <c r="AB229" s="268" t="n"/>
      <c r="AC229" s="268" t="n"/>
      <c r="AD229" s="268" t="n"/>
      <c r="AE229" s="268" t="n"/>
      <c r="AF229" s="268" t="n"/>
      <c r="AG229" s="268" t="n"/>
      <c r="AH229" s="318">
        <f>AG144</f>
        <v>1135</v>
      </c>
      <c r="AI229" s="268" t="n"/>
      <c r="AJ229" s="268" t="n"/>
      <c r="AK229" s="268" t="n"/>
      <c r="AL229" s="268" t="n"/>
      <c r="AM229" s="318">
        <f>AL144</f>
        <v>14975</v>
      </c>
      <c r="AN229" s="268" t="n"/>
      <c r="AO229" s="268" t="n"/>
      <c r="AP229" s="268" t="n"/>
      <c r="AQ229" s="268" t="n"/>
      <c r="AR229" s="318" t="e">
        <f>AQ144</f>
        <v>#DIV/0!</v>
      </c>
      <c r="AS229" s="268" t="n"/>
      <c r="AT229" s="268" t="n"/>
      <c r="AU229" s="268" t="n"/>
      <c r="AV229" s="268" t="n"/>
      <c r="AW229" s="318" t="e">
        <f>AV144</f>
        <v>#DIV/0!</v>
      </c>
      <c r="AX229" s="268" t="n"/>
      <c r="AY229" s="268" t="n"/>
      <c r="AZ229" s="268" t="n"/>
      <c r="BA229" s="268" t="n"/>
      <c r="BB229" s="318" t="e">
        <f>BA144</f>
        <v>#DIV/0!</v>
      </c>
      <c r="BC229" s="268" t="n"/>
      <c r="BD229" s="268" t="n"/>
      <c r="BE229" s="268" t="n"/>
      <c r="BF229" s="268" t="n"/>
      <c r="BG229" s="318" t="e">
        <f>BF144</f>
        <v>#DIV/0!</v>
      </c>
      <c r="BH229" s="268" t="n"/>
      <c r="BI229" s="268" t="n"/>
      <c r="BJ229" s="268" t="n"/>
      <c r="BK229" s="268" t="n"/>
      <c r="BL229" s="318" t="e">
        <f>BK144</f>
        <v>#DIV/0!</v>
      </c>
      <c r="BM229" s="268" t="n"/>
      <c r="BN229" s="268" t="n"/>
      <c r="BO229" s="268" t="n"/>
      <c r="BP229" s="268" t="n"/>
      <c r="BQ229" s="318" t="e">
        <f>BP144</f>
        <v>#DIV/0!</v>
      </c>
      <c r="BR229" s="268" t="n"/>
      <c r="BS229" s="268" t="n"/>
      <c r="BT229" s="268" t="n"/>
      <c r="BU229" s="268" t="n"/>
      <c r="BV229" s="318" t="e">
        <f>BU144</f>
        <v>#DIV/0!</v>
      </c>
      <c r="BW229" s="268" t="n"/>
      <c r="BX229" s="268" t="n"/>
      <c r="BY229" s="268" t="n"/>
      <c r="BZ229" s="268" t="n"/>
      <c r="CA229" s="318" t="e">
        <f>BZ144</f>
        <v>#DIV/0!</v>
      </c>
      <c r="CB229" s="268" t="n"/>
      <c r="CC229" s="268" t="n"/>
      <c r="CD229" s="268" t="n"/>
      <c r="CE229" s="268" t="n"/>
      <c r="CF229" s="318" t="e">
        <f>CE144</f>
        <v>#DIV/0!</v>
      </c>
      <c r="CG229" s="268" t="n"/>
      <c r="CH229" s="268" t="n"/>
      <c r="CI229" s="268" t="n"/>
      <c r="CJ229" s="268" t="n"/>
      <c r="CK229" s="318" t="e">
        <f>CJ144</f>
        <v>#DIV/0!</v>
      </c>
      <c r="CL229" s="268" t="n"/>
      <c r="CM229" s="268" t="n"/>
      <c r="CN229" s="268" t="n"/>
      <c r="CO229" s="268" t="n"/>
      <c r="CP229" s="318" t="e">
        <f>CO144</f>
        <v>#DIV/0!</v>
      </c>
      <c r="CQ229" s="268" t="n"/>
      <c r="CR229" s="268" t="n"/>
      <c r="CS229" s="268" t="n"/>
      <c r="CT229" s="268" t="n"/>
      <c r="CU229" s="318" t="e">
        <f>CT144</f>
        <v>#DIV/0!</v>
      </c>
      <c r="CV229" s="268" t="n"/>
      <c r="CW229" s="268" t="n"/>
      <c r="CX229" s="268" t="n"/>
      <c r="CY229" s="268" t="n"/>
    </row>
    <row r="230" hidden="1" outlineLevel="1" ht="12.75" customHeight="1" s="255">
      <c r="C230" s="312" t="inlineStr">
        <is>
          <t>Plus: Free cash flows prior to debt during period</t>
        </is>
      </c>
      <c r="D230" s="268" t="n"/>
      <c r="E230" s="268" t="n"/>
      <c r="F230" s="268" t="n"/>
      <c r="G230" s="268" t="n"/>
      <c r="H230" s="268" t="n"/>
      <c r="I230" s="268" t="n"/>
      <c r="J230" s="268" t="n"/>
      <c r="K230" s="268" t="n"/>
      <c r="L230" s="268" t="n"/>
      <c r="M230" s="268" t="n"/>
      <c r="N230" s="268" t="n"/>
      <c r="O230" s="268" t="n"/>
      <c r="P230" s="268" t="n"/>
      <c r="Q230" s="268" t="n"/>
      <c r="R230" s="268" t="n"/>
      <c r="S230" s="268" t="n"/>
      <c r="T230" s="268" t="n"/>
      <c r="U230" s="268" t="n"/>
      <c r="V230" s="268" t="n"/>
      <c r="W230" s="268" t="n"/>
      <c r="X230" s="268" t="n"/>
      <c r="Y230" s="268" t="n"/>
      <c r="Z230" s="268" t="n"/>
      <c r="AA230" s="268" t="n"/>
      <c r="AB230" s="268" t="n"/>
      <c r="AC230" s="268" t="n"/>
      <c r="AD230" s="268" t="n"/>
      <c r="AE230" s="268" t="n"/>
      <c r="AF230" s="268" t="n"/>
      <c r="AG230" s="268" t="inlineStr">
        <is>
          <t>% of sales</t>
        </is>
      </c>
      <c r="AH230" s="319">
        <f>SUM(AH293,AH300)+SUM(AH302:AH308)</f>
        <v>-838</v>
      </c>
      <c r="AI230" s="319">
        <f>SUM(AI293,AI300)+SUM(AI302:AI308)</f>
        <v>-869</v>
      </c>
      <c r="AJ230" s="319">
        <f>SUM(AJ293,AJ300)+SUM(AJ302:AJ308)</f>
        <v>14317</v>
      </c>
      <c r="AK230" s="319">
        <f>SUM(AK293,AK300)+SUM(AK302:AK308)</f>
        <v>65</v>
      </c>
      <c r="AL230" s="268" t="n"/>
      <c r="AM230" s="319" t="e">
        <f>SUM(AM293,AM300)+SUM(AM302:AM308)</f>
        <v>#DIV/0!</v>
      </c>
      <c r="AN230" s="319" t="e">
        <f>SUM(AN293,AN300)+SUM(AN302:AN308)</f>
        <v>#DIV/0!</v>
      </c>
      <c r="AO230" s="319" t="e">
        <f>SUM(AO293,AO300)+SUM(AO302:AO308)</f>
        <v>#DIV/0!</v>
      </c>
      <c r="AP230" s="319" t="e">
        <f>SUM(AP293,AP300)+SUM(AP302:AP308)</f>
        <v>#DIV/0!</v>
      </c>
      <c r="AQ230" s="268" t="n"/>
      <c r="AR230" s="319" t="e">
        <f>SUM(AR293,AR300)+SUM(AR302:AR308)</f>
        <v>#DIV/0!</v>
      </c>
      <c r="AS230" s="319" t="e">
        <f>SUM(AS293,AS300)+SUM(AS302:AS308)</f>
        <v>#DIV/0!</v>
      </c>
      <c r="AT230" s="319" t="e">
        <f>SUM(AT293,AT300)+SUM(AT302:AT308)</f>
        <v>#DIV/0!</v>
      </c>
      <c r="AU230" s="319" t="e">
        <f>SUM(AU293,AU300)+SUM(AU302:AU308)</f>
        <v>#DIV/0!</v>
      </c>
      <c r="AV230" s="268" t="n"/>
      <c r="AW230" s="319" t="e">
        <f>SUM(AW293,AW300)+SUM(AW302:AW308)</f>
        <v>#DIV/0!</v>
      </c>
      <c r="AX230" s="319" t="e">
        <f>SUM(AX293,AX300)+SUM(AX302:AX308)</f>
        <v>#DIV/0!</v>
      </c>
      <c r="AY230" s="319" t="e">
        <f>SUM(AY293,AY300)+SUM(AY302:AY308)</f>
        <v>#DIV/0!</v>
      </c>
      <c r="AZ230" s="319" t="e">
        <f>SUM(AZ293,AZ300)+SUM(AZ302:AZ308)</f>
        <v>#DIV/0!</v>
      </c>
      <c r="BA230" s="268" t="n"/>
      <c r="BB230" s="319" t="e">
        <f>SUM(BB293,BB300)+SUM(BB302:BB308)</f>
        <v>#DIV/0!</v>
      </c>
      <c r="BC230" s="319" t="e">
        <f>SUM(BC293,BC300)+SUM(BC302:BC308)</f>
        <v>#DIV/0!</v>
      </c>
      <c r="BD230" s="319" t="e">
        <f>SUM(BD293,BD300)+SUM(BD302:BD308)</f>
        <v>#DIV/0!</v>
      </c>
      <c r="BE230" s="319" t="e">
        <f>SUM(BE293,BE300)+SUM(BE302:BE308)</f>
        <v>#DIV/0!</v>
      </c>
      <c r="BF230" s="268" t="n"/>
      <c r="BG230" s="319" t="e">
        <f>SUM(BG293,BG300)+SUM(BG302:BG308)</f>
        <v>#DIV/0!</v>
      </c>
      <c r="BH230" s="319" t="e">
        <f>SUM(BH293,BH300)+SUM(BH302:BH308)</f>
        <v>#DIV/0!</v>
      </c>
      <c r="BI230" s="319" t="e">
        <f>SUM(BI293,BI300)+SUM(BI302:BI308)</f>
        <v>#DIV/0!</v>
      </c>
      <c r="BJ230" s="319" t="e">
        <f>SUM(BJ293,BJ300)+SUM(BJ302:BJ308)</f>
        <v>#DIV/0!</v>
      </c>
      <c r="BK230" s="268" t="n"/>
      <c r="BL230" s="319" t="e">
        <f>SUM(BL293,BL300)+SUM(BL302:BL308)</f>
        <v>#DIV/0!</v>
      </c>
      <c r="BM230" s="319" t="e">
        <f>SUM(BM293,BM300)+SUM(BM302:BM308)</f>
        <v>#DIV/0!</v>
      </c>
      <c r="BN230" s="319" t="e">
        <f>SUM(BN293,BN300)+SUM(BN302:BN308)</f>
        <v>#DIV/0!</v>
      </c>
      <c r="BO230" s="319" t="e">
        <f>SUM(BO293,BO300)+SUM(BO302:BO308)</f>
        <v>#DIV/0!</v>
      </c>
      <c r="BP230" s="268" t="n"/>
      <c r="BQ230" s="319" t="e">
        <f>SUM(BQ293,BQ300)+SUM(BQ302:BQ308)</f>
        <v>#DIV/0!</v>
      </c>
      <c r="BR230" s="319" t="e">
        <f>SUM(BR293,BR300)+SUM(BR302:BR308)</f>
        <v>#DIV/0!</v>
      </c>
      <c r="BS230" s="319" t="e">
        <f>SUM(BS293,BS300)+SUM(BS302:BS308)</f>
        <v>#DIV/0!</v>
      </c>
      <c r="BT230" s="319" t="e">
        <f>SUM(BT293,BT300)+SUM(BT302:BT308)</f>
        <v>#DIV/0!</v>
      </c>
      <c r="BU230" s="268" t="n"/>
      <c r="BV230" s="319" t="e">
        <f>SUM(BV293,BV300)+SUM(BV302:BV308)</f>
        <v>#DIV/0!</v>
      </c>
      <c r="BW230" s="319" t="e">
        <f>SUM(BW293,BW300)+SUM(BW302:BW308)</f>
        <v>#DIV/0!</v>
      </c>
      <c r="BX230" s="319" t="e">
        <f>SUM(BX293,BX300)+SUM(BX302:BX308)</f>
        <v>#DIV/0!</v>
      </c>
      <c r="BY230" s="319" t="e">
        <f>SUM(BY293,BY300)+SUM(BY302:BY308)</f>
        <v>#DIV/0!</v>
      </c>
      <c r="BZ230" s="268" t="n"/>
      <c r="CA230" s="319" t="e">
        <f>SUM(CA293,CA300)+SUM(CA302:CA308)</f>
        <v>#DIV/0!</v>
      </c>
      <c r="CB230" s="319" t="e">
        <f>SUM(CB293,CB300)+SUM(CB302:CB308)</f>
        <v>#DIV/0!</v>
      </c>
      <c r="CC230" s="319" t="e">
        <f>SUM(CC293,CC300)+SUM(CC302:CC308)</f>
        <v>#DIV/0!</v>
      </c>
      <c r="CD230" s="319" t="e">
        <f>SUM(CD293,CD300)+SUM(CD302:CD308)</f>
        <v>#DIV/0!</v>
      </c>
      <c r="CE230" s="268" t="n"/>
      <c r="CF230" s="319" t="e">
        <f>SUM(CF293,CF300)+SUM(CF302:CF308)</f>
        <v>#DIV/0!</v>
      </c>
      <c r="CG230" s="319" t="e">
        <f>SUM(CG293,CG300)+SUM(CG302:CG308)</f>
        <v>#DIV/0!</v>
      </c>
      <c r="CH230" s="319" t="e">
        <f>SUM(CH293,CH300)+SUM(CH302:CH308)</f>
        <v>#DIV/0!</v>
      </c>
      <c r="CI230" s="319" t="e">
        <f>SUM(CI293,CI300)+SUM(CI302:CI308)</f>
        <v>#DIV/0!</v>
      </c>
      <c r="CJ230" s="268" t="n"/>
      <c r="CK230" s="319" t="e">
        <f>SUM(CK293,CK300)+SUM(CK302:CK308)</f>
        <v>#DIV/0!</v>
      </c>
      <c r="CL230" s="319" t="e">
        <f>SUM(CL293,CL300)+SUM(CL302:CL308)</f>
        <v>#DIV/0!</v>
      </c>
      <c r="CM230" s="319" t="e">
        <f>SUM(CM293,CM300)+SUM(CM302:CM308)</f>
        <v>#DIV/0!</v>
      </c>
      <c r="CN230" s="319" t="e">
        <f>SUM(CN293,CN300)+SUM(CN302:CN308)</f>
        <v>#DIV/0!</v>
      </c>
      <c r="CO230" s="268" t="n"/>
      <c r="CP230" s="319" t="e">
        <f>SUM(CP293,CP300)+SUM(CP302:CP308)</f>
        <v>#DIV/0!</v>
      </c>
      <c r="CQ230" s="319" t="e">
        <f>SUM(CQ293,CQ300)+SUM(CQ302:CQ308)</f>
        <v>#DIV/0!</v>
      </c>
      <c r="CR230" s="319" t="e">
        <f>SUM(CR293,CR300)+SUM(CR302:CR308)</f>
        <v>#DIV/0!</v>
      </c>
      <c r="CS230" s="319" t="e">
        <f>SUM(CS293,CS300)+SUM(CS302:CS308)</f>
        <v>#DIV/0!</v>
      </c>
      <c r="CT230" s="268" t="n"/>
      <c r="CU230" s="319" t="e">
        <f>SUM(CU293,CU300)+SUM(CU302:CU308)</f>
        <v>#DIV/0!</v>
      </c>
      <c r="CV230" s="319" t="e">
        <f>SUM(CV293,CV300)+SUM(CV302:CV308)</f>
        <v>#DIV/0!</v>
      </c>
      <c r="CW230" s="319" t="e">
        <f>SUM(CW293,CW300)+SUM(CW302:CW308)</f>
        <v>#DIV/0!</v>
      </c>
      <c r="CX230" s="319" t="e">
        <f>SUM(CX293,CX300)+SUM(CX302:CX308)</f>
        <v>#DIV/0!</v>
      </c>
      <c r="CY230" s="268" t="n"/>
    </row>
    <row r="231" hidden="1" outlineLevel="1" ht="12.75" customHeight="1" s="255">
      <c r="C231" s="312" t="inlineStr">
        <is>
          <t>Less: Minimum cash balance</t>
        </is>
      </c>
      <c r="D231" s="268" t="n"/>
      <c r="E231" s="268" t="n"/>
      <c r="F231" s="268" t="n"/>
      <c r="G231" s="268" t="n"/>
      <c r="H231" s="268" t="n"/>
      <c r="I231" s="268" t="n"/>
      <c r="J231" s="268" t="n"/>
      <c r="K231" s="268" t="n"/>
      <c r="L231" s="268" t="n"/>
      <c r="M231" s="268" t="n"/>
      <c r="N231" s="268" t="n"/>
      <c r="O231" s="268" t="n"/>
      <c r="P231" s="268" t="n"/>
      <c r="Q231" s="268" t="n"/>
      <c r="R231" s="268" t="n"/>
      <c r="S231" s="268" t="n"/>
      <c r="T231" s="268" t="n"/>
      <c r="U231" s="268" t="n"/>
      <c r="V231" s="268" t="n"/>
      <c r="W231" s="268" t="n"/>
      <c r="X231" s="268" t="n"/>
      <c r="Y231" s="268" t="n"/>
      <c r="Z231" s="268" t="n"/>
      <c r="AA231" s="268" t="n"/>
      <c r="AB231" s="268" t="n"/>
      <c r="AC231" s="268" t="n"/>
      <c r="AD231" s="268" t="n"/>
      <c r="AE231" s="268" t="n"/>
      <c r="AF231" s="268" t="n"/>
      <c r="AG231" s="320" t="n"/>
      <c r="AH231" s="268">
        <f>($AG$231*AH15)</f>
        <v>0</v>
      </c>
      <c r="AI231" s="268">
        <f>($AG$231*AI15)</f>
        <v>0</v>
      </c>
      <c r="AJ231" s="268">
        <f>($AG$231*AJ15)</f>
        <v>0</v>
      </c>
      <c r="AK231" s="268">
        <f>($AG$231*AK15)</f>
        <v>0</v>
      </c>
      <c r="AL231" s="268" t="n"/>
      <c r="AM231" s="268">
        <f>($AG$231*AM15)</f>
        <v>0</v>
      </c>
      <c r="AN231" s="268">
        <f>($AG$231*AN15)</f>
        <v>0</v>
      </c>
      <c r="AO231" s="268">
        <f>($AG$231*AO15)</f>
        <v>0</v>
      </c>
      <c r="AP231" s="268">
        <f>($AG$231*AP15)</f>
        <v>0</v>
      </c>
      <c r="AQ231" s="268" t="n"/>
      <c r="AR231" s="268">
        <f>($AG$231*AR15)</f>
        <v>0</v>
      </c>
      <c r="AS231" s="268">
        <f>($AG$231*AS15)</f>
        <v>0</v>
      </c>
      <c r="AT231" s="268">
        <f>($AG$231*AT15)</f>
        <v>0</v>
      </c>
      <c r="AU231" s="268">
        <f>($AG$231*AU15)</f>
        <v>0</v>
      </c>
      <c r="AV231" s="268" t="n"/>
      <c r="AW231" s="268">
        <f>($AG$231*AW15)</f>
        <v>0</v>
      </c>
      <c r="AX231" s="268">
        <f>($AG$231*AX15)</f>
        <v>0</v>
      </c>
      <c r="AY231" s="268">
        <f>($AG$231*AY15)</f>
        <v>0</v>
      </c>
      <c r="AZ231" s="268">
        <f>($AG$231*AZ15)</f>
        <v>0</v>
      </c>
      <c r="BA231" s="268" t="n"/>
      <c r="BB231" s="268">
        <f>($AG$231*BB15)</f>
        <v>0</v>
      </c>
      <c r="BC231" s="268">
        <f>($AG$231*BC15)</f>
        <v>0</v>
      </c>
      <c r="BD231" s="268">
        <f>($AG$231*BD15)</f>
        <v>0</v>
      </c>
      <c r="BE231" s="268">
        <f>($AG$231*BE15)</f>
        <v>0</v>
      </c>
      <c r="BF231" s="268" t="n"/>
      <c r="BG231" s="268">
        <f>($AG$231*BG15)</f>
        <v>0</v>
      </c>
      <c r="BH231" s="268">
        <f>($AG$231*BH15)</f>
        <v>0</v>
      </c>
      <c r="BI231" s="268">
        <f>($AG$231*BI15)</f>
        <v>0</v>
      </c>
      <c r="BJ231" s="268">
        <f>($AG$231*BJ15)</f>
        <v>0</v>
      </c>
      <c r="BK231" s="268" t="n"/>
      <c r="BL231" s="268">
        <f>($AG$231*BL15)</f>
        <v>0</v>
      </c>
      <c r="BM231" s="268">
        <f>($AG$231*BM15)</f>
        <v>0</v>
      </c>
      <c r="BN231" s="268">
        <f>($AG$231*BN15)</f>
        <v>0</v>
      </c>
      <c r="BO231" s="268">
        <f>($AG$231*BO15)</f>
        <v>0</v>
      </c>
      <c r="BP231" s="268" t="n"/>
      <c r="BQ231" s="268">
        <f>($AG$231*BQ15)</f>
        <v>0</v>
      </c>
      <c r="BR231" s="268">
        <f>($AG$231*BR15)</f>
        <v>0</v>
      </c>
      <c r="BS231" s="268">
        <f>($AG$231*BS15)</f>
        <v>0</v>
      </c>
      <c r="BT231" s="268">
        <f>($AG$231*BT15)</f>
        <v>0</v>
      </c>
      <c r="BU231" s="268" t="n"/>
      <c r="BV231" s="268">
        <f>($AG$231*BV15)</f>
        <v>0</v>
      </c>
      <c r="BW231" s="268">
        <f>($AG$231*BW15)</f>
        <v>0</v>
      </c>
      <c r="BX231" s="268">
        <f>($AG$231*BX15)</f>
        <v>0</v>
      </c>
      <c r="BY231" s="268">
        <f>($AG$231*BY15)</f>
        <v>0</v>
      </c>
      <c r="BZ231" s="268" t="n"/>
      <c r="CA231" s="268">
        <f>($AG$231*CA15)</f>
        <v>0</v>
      </c>
      <c r="CB231" s="268">
        <f>($AG$231*CB15)</f>
        <v>0</v>
      </c>
      <c r="CC231" s="268">
        <f>($AG$231*CC15)</f>
        <v>0</v>
      </c>
      <c r="CD231" s="268">
        <f>($AG$231*CD15)</f>
        <v>0</v>
      </c>
      <c r="CE231" s="268" t="n"/>
      <c r="CF231" s="268">
        <f>($AG$231*CF15)</f>
        <v>0</v>
      </c>
      <c r="CG231" s="268">
        <f>($AG$231*CG15)</f>
        <v>0</v>
      </c>
      <c r="CH231" s="268">
        <f>($AG$231*CH15)</f>
        <v>0</v>
      </c>
      <c r="CI231" s="268">
        <f>($AG$231*CI15)</f>
        <v>0</v>
      </c>
      <c r="CJ231" s="268" t="n"/>
      <c r="CK231" s="268">
        <f>($AG$231*CK15)</f>
        <v>0</v>
      </c>
      <c r="CL231" s="268">
        <f>($AG$231*CL15)</f>
        <v>0</v>
      </c>
      <c r="CM231" s="268">
        <f>($AG$231*CM15)</f>
        <v>0</v>
      </c>
      <c r="CN231" s="268">
        <f>($AG$231*CN15)</f>
        <v>0</v>
      </c>
      <c r="CO231" s="268" t="n"/>
      <c r="CP231" s="268">
        <f>($AG$231*CP15)</f>
        <v>0</v>
      </c>
      <c r="CQ231" s="268">
        <f>($AG$231*CQ15)</f>
        <v>0</v>
      </c>
      <c r="CR231" s="268">
        <f>($AG$231*CR15)</f>
        <v>0</v>
      </c>
      <c r="CS231" s="268">
        <f>($AG$231*CS15)</f>
        <v>0</v>
      </c>
      <c r="CT231" s="268" t="n"/>
      <c r="CU231" s="268">
        <f>($AG$231*CU15)</f>
        <v>0</v>
      </c>
      <c r="CV231" s="268">
        <f>($AG$231*CV15)</f>
        <v>0</v>
      </c>
      <c r="CW231" s="268">
        <f>($AG$231*CW15)</f>
        <v>0</v>
      </c>
      <c r="CX231" s="268">
        <f>($AG$231*CX15)</f>
        <v>0</v>
      </c>
      <c r="CY231" s="268" t="n"/>
    </row>
    <row r="232" hidden="1" outlineLevel="1" ht="12.75" customHeight="1" s="255">
      <c r="C232" s="312" t="inlineStr">
        <is>
          <t>Total cash available / (debt required) for short term debt paydown</t>
        </is>
      </c>
      <c r="D232" s="268" t="n"/>
      <c r="E232" s="268" t="n"/>
      <c r="F232" s="268" t="n"/>
      <c r="G232" s="268" t="n"/>
      <c r="H232" s="268" t="n"/>
      <c r="I232" s="268" t="n"/>
      <c r="J232" s="268" t="n"/>
      <c r="K232" s="268" t="n"/>
      <c r="L232" s="268" t="n"/>
      <c r="M232" s="268" t="n"/>
      <c r="N232" s="268" t="n"/>
      <c r="O232" s="268" t="n"/>
      <c r="P232" s="268" t="n"/>
      <c r="Q232" s="268" t="n"/>
      <c r="R232" s="268" t="n"/>
      <c r="S232" s="268" t="n"/>
      <c r="T232" s="268" t="n"/>
      <c r="U232" s="268" t="n"/>
      <c r="V232" s="268" t="n"/>
      <c r="W232" s="268" t="n"/>
      <c r="X232" s="268" t="n"/>
      <c r="Y232" s="268" t="n"/>
      <c r="Z232" s="268" t="n"/>
      <c r="AA232" s="268" t="n"/>
      <c r="AB232" s="268" t="n"/>
      <c r="AC232" s="268" t="n"/>
      <c r="AD232" s="268" t="n"/>
      <c r="AE232" s="268" t="n"/>
      <c r="AF232" s="268" t="n"/>
      <c r="AG232" s="268" t="n"/>
      <c r="AH232" s="259">
        <f>AH229+AH230-AH231-AF219+AH221+AH225</f>
        <v>297</v>
      </c>
      <c r="AI232" s="259">
        <f>AI229+AI230-AI231-AG219+AI221+AI225</f>
        <v>-869</v>
      </c>
      <c r="AJ232" s="259">
        <f>AJ229+AJ230-AJ231-AH219+AJ221+AJ225</f>
        <v>9097</v>
      </c>
      <c r="AK232" s="259">
        <f>AK229+AK230-AK231-AI219+AK221+AK225</f>
        <v>65</v>
      </c>
      <c r="AL232" s="268" t="n"/>
      <c r="AM232" s="259" t="e">
        <f>AM229+AM230-AM231-AK219+AM221+AM225</f>
        <v>#DIV/0!</v>
      </c>
      <c r="AN232" s="259" t="e">
        <f>AN229+AN230-AN231-AL219+AN221+AN225</f>
        <v>#DIV/0!</v>
      </c>
      <c r="AO232" s="259" t="e">
        <f>AO229+AO230-AO231-AM219+AO221+AO225</f>
        <v>#DIV/0!</v>
      </c>
      <c r="AP232" s="259" t="e">
        <f>AP229+AP230-AP231-AN219+AP221+AP225</f>
        <v>#DIV/0!</v>
      </c>
      <c r="AQ232" s="268" t="n"/>
      <c r="AR232" s="259" t="e">
        <f>AR229+AR230-AR231-AP219+AR221+AR225</f>
        <v>#DIV/0!</v>
      </c>
      <c r="AS232" s="259" t="e">
        <f>AS229+AS230-AS231-AQ219+AS221+AS225</f>
        <v>#DIV/0!</v>
      </c>
      <c r="AT232" s="259" t="e">
        <f>AT229+AT230-AT231-AR219+AT221+AT225</f>
        <v>#DIV/0!</v>
      </c>
      <c r="AU232" s="259" t="e">
        <f>AU229+AU230-AU231-AS219+AU221+AU225</f>
        <v>#DIV/0!</v>
      </c>
      <c r="AV232" s="268" t="n"/>
      <c r="AW232" s="259" t="e">
        <f>AW229+AW230-AW231-AU219+AW221+AW225</f>
        <v>#DIV/0!</v>
      </c>
      <c r="AX232" s="259" t="e">
        <f>AX229+AX230-AX231-AV219+AX221+AX225</f>
        <v>#DIV/0!</v>
      </c>
      <c r="AY232" s="259" t="e">
        <f>AY229+AY230-AY231-AW219+AY221+AY225</f>
        <v>#DIV/0!</v>
      </c>
      <c r="AZ232" s="259" t="e">
        <f>AZ229+AZ230-AZ231-AX219+AZ221+AZ225</f>
        <v>#DIV/0!</v>
      </c>
      <c r="BA232" s="268" t="n"/>
      <c r="BB232" s="259" t="e">
        <f>BB229+BB230-BB231-AZ219+BB221+BB225</f>
        <v>#DIV/0!</v>
      </c>
      <c r="BC232" s="259" t="e">
        <f>BC229+BC230-BC231-BA219+BC221+BC225</f>
        <v>#DIV/0!</v>
      </c>
      <c r="BD232" s="259" t="e">
        <f>BD229+BD230-BD231-BB219+BD221+BD225</f>
        <v>#DIV/0!</v>
      </c>
      <c r="BE232" s="259" t="e">
        <f>BE229+BE230-BE231-BC219+BE221+BE225</f>
        <v>#DIV/0!</v>
      </c>
      <c r="BF232" s="268" t="n"/>
      <c r="BG232" s="259" t="e">
        <f>BG229+BG230-BG231-BE219+BG221+BG225</f>
        <v>#DIV/0!</v>
      </c>
      <c r="BH232" s="259" t="e">
        <f>BH229+BH230-BH231-BF219+BH221+BH225</f>
        <v>#DIV/0!</v>
      </c>
      <c r="BI232" s="259" t="e">
        <f>BI229+BI230-BI231-BG219+BI221+BI225</f>
        <v>#DIV/0!</v>
      </c>
      <c r="BJ232" s="259" t="e">
        <f>BJ229+BJ230-BJ231-BH219+BJ221+BJ225</f>
        <v>#DIV/0!</v>
      </c>
      <c r="BK232" s="268" t="n"/>
      <c r="BL232" s="259" t="e">
        <f>BL229+BL230-BL231-BJ219+BL221+BL225</f>
        <v>#DIV/0!</v>
      </c>
      <c r="BM232" s="259" t="e">
        <f>BM229+BM230-BM231-BK219+BM221+BM225</f>
        <v>#DIV/0!</v>
      </c>
      <c r="BN232" s="259" t="e">
        <f>BN229+BN230-BN231-BL219+BN221+BN225</f>
        <v>#DIV/0!</v>
      </c>
      <c r="BO232" s="259" t="e">
        <f>BO229+BO230-BO231-BM219+BO221+BO225</f>
        <v>#DIV/0!</v>
      </c>
      <c r="BP232" s="268" t="n"/>
      <c r="BQ232" s="259" t="e">
        <f>BQ229+BQ230-BQ231-BO219+BQ221+BQ225</f>
        <v>#DIV/0!</v>
      </c>
      <c r="BR232" s="259" t="e">
        <f>BR229+BR230-BR231-BP219+BR221+BR225</f>
        <v>#DIV/0!</v>
      </c>
      <c r="BS232" s="259" t="e">
        <f>BS229+BS230-BS231-BQ219+BS221+BS225</f>
        <v>#DIV/0!</v>
      </c>
      <c r="BT232" s="259" t="e">
        <f>BT229+BT230-BT231-BR219+BT221+BT225</f>
        <v>#DIV/0!</v>
      </c>
      <c r="BU232" s="268" t="n"/>
      <c r="BV232" s="259" t="e">
        <f>BV229+BV230-BV231-BT219+BV221+BV225</f>
        <v>#DIV/0!</v>
      </c>
      <c r="BW232" s="259" t="e">
        <f>BW229+BW230-BW231-BU219+BW221+BW225</f>
        <v>#DIV/0!</v>
      </c>
      <c r="BX232" s="259" t="e">
        <f>BX229+BX230-BX231-BV219+BX221+BX225</f>
        <v>#DIV/0!</v>
      </c>
      <c r="BY232" s="259" t="e">
        <f>BY229+BY230-BY231-BW219+BY221+BY225</f>
        <v>#DIV/0!</v>
      </c>
      <c r="BZ232" s="268" t="n"/>
      <c r="CA232" s="259" t="e">
        <f>CA229+CA230-CA231-BY219+CA221+CA225</f>
        <v>#DIV/0!</v>
      </c>
      <c r="CB232" s="259" t="e">
        <f>CB229+CB230-CB231-BZ219+CB221+CB225</f>
        <v>#DIV/0!</v>
      </c>
      <c r="CC232" s="259" t="e">
        <f>CC229+CC230-CC231-CA219+CC221+CC225</f>
        <v>#DIV/0!</v>
      </c>
      <c r="CD232" s="259" t="e">
        <f>CD229+CD230-CD231-CB219+CD221+CD225</f>
        <v>#DIV/0!</v>
      </c>
      <c r="CE232" s="268" t="n"/>
      <c r="CF232" s="259" t="e">
        <f>CF229+CF230-CF231-CD219+CF221+CF225</f>
        <v>#DIV/0!</v>
      </c>
      <c r="CG232" s="259" t="e">
        <f>CG229+CG230-CG231-CE219+CG221+CG225</f>
        <v>#DIV/0!</v>
      </c>
      <c r="CH232" s="259" t="e">
        <f>CH229+CH230-CH231-CF219+CH221+CH225</f>
        <v>#DIV/0!</v>
      </c>
      <c r="CI232" s="259" t="e">
        <f>CI229+CI230-CI231-CG219+CI221+CI225</f>
        <v>#DIV/0!</v>
      </c>
      <c r="CJ232" s="268" t="n"/>
      <c r="CK232" s="259" t="e">
        <f>CK229+CK230-CK231-CI219+CK221+CK225</f>
        <v>#DIV/0!</v>
      </c>
      <c r="CL232" s="259" t="e">
        <f>CL229+CL230-CL231-CJ219+CL221+CL225</f>
        <v>#DIV/0!</v>
      </c>
      <c r="CM232" s="259" t="e">
        <f>CM229+CM230-CM231-CK219+CM221+CM225</f>
        <v>#DIV/0!</v>
      </c>
      <c r="CN232" s="259" t="e">
        <f>CN229+CN230-CN231-CL219+CN221+CN225</f>
        <v>#DIV/0!</v>
      </c>
      <c r="CO232" s="268" t="n"/>
      <c r="CP232" s="259" t="e">
        <f>CP229+CP230-CP231-CN219+CP221+CP225</f>
        <v>#DIV/0!</v>
      </c>
      <c r="CQ232" s="259" t="e">
        <f>CQ229+CQ230-CQ231-CO219+CQ221+CQ225</f>
        <v>#DIV/0!</v>
      </c>
      <c r="CR232" s="259" t="e">
        <f>CR229+CR230-CR231-CP219+CR221+CR225</f>
        <v>#DIV/0!</v>
      </c>
      <c r="CS232" s="259" t="e">
        <f>CS229+CS230-CS231-CQ219+CS221+CS225</f>
        <v>#DIV/0!</v>
      </c>
      <c r="CT232" s="268" t="n"/>
      <c r="CU232" s="259" t="e">
        <f>CU229+CU230-CU231-CS219+CU221+CU225</f>
        <v>#DIV/0!</v>
      </c>
      <c r="CV232" s="259" t="e">
        <f>CV229+CV230-CV231-CT219+CV221+CV225</f>
        <v>#DIV/0!</v>
      </c>
      <c r="CW232" s="259" t="e">
        <f>CW229+CW230-CW231-CU219+CW221+CW225</f>
        <v>#DIV/0!</v>
      </c>
      <c r="CX232" s="259" t="e">
        <f>CX229+CX230-CX231-CV219+CX221+CX225</f>
        <v>#DIV/0!</v>
      </c>
      <c r="CY232" s="268" t="n"/>
    </row>
    <row r="233" hidden="1" outlineLevel="1" ht="12.75" customHeight="1" s="255">
      <c r="C233" s="312" t="inlineStr">
        <is>
          <t>Short term debt</t>
        </is>
      </c>
      <c r="D233" s="268" t="n"/>
      <c r="E233" s="268" t="n"/>
      <c r="F233" s="268" t="n"/>
      <c r="G233" s="268" t="n"/>
      <c r="H233" s="268" t="n"/>
      <c r="I233" s="268" t="n"/>
      <c r="J233" s="268" t="n"/>
      <c r="K233" s="268" t="n"/>
      <c r="L233" s="268" t="n"/>
      <c r="M233" s="268" t="n"/>
      <c r="N233" s="268" t="n"/>
      <c r="O233" s="268" t="n"/>
      <c r="P233" s="268" t="n"/>
      <c r="Q233" s="268" t="n"/>
      <c r="R233" s="268" t="n"/>
      <c r="S233" s="268" t="n"/>
      <c r="T233" s="268" t="n"/>
      <c r="U233" s="268" t="n"/>
      <c r="V233" s="268" t="n"/>
      <c r="W233" s="268" t="n"/>
      <c r="X233" s="268" t="n"/>
      <c r="Y233" s="268" t="n"/>
      <c r="Z233" s="268" t="n"/>
      <c r="AA233" s="268" t="n"/>
      <c r="AB233" s="268" t="n"/>
      <c r="AC233" s="268" t="n"/>
      <c r="AD233" s="268" t="n"/>
      <c r="AE233" s="268" t="n"/>
      <c r="AF233" s="268" t="n"/>
      <c r="AG233" s="268" t="n"/>
      <c r="AH233" s="268">
        <f>AH213</f>
        <v>0</v>
      </c>
      <c r="AI233" s="268">
        <f>MAX(0,AH233-AI232)</f>
        <v>869</v>
      </c>
      <c r="AJ233" s="268">
        <f>MAX(0,AI233-AJ232)</f>
        <v>0</v>
      </c>
      <c r="AK233" s="268">
        <f>MAX(0,AJ233-AK232)</f>
        <v>0</v>
      </c>
      <c r="AL233" s="268" t="n"/>
      <c r="AM233" s="268">
        <f>AM213</f>
        <v>0</v>
      </c>
      <c r="AN233" s="268" t="e">
        <f>MAX(0,AM233-AN232)</f>
        <v>#DIV/0!</v>
      </c>
      <c r="AO233" s="268" t="e">
        <f>MAX(0,AN233-AO232)</f>
        <v>#DIV/0!</v>
      </c>
      <c r="AP233" s="268" t="e">
        <f>MAX(0,AO233-AP232)</f>
        <v>#DIV/0!</v>
      </c>
      <c r="AQ233" s="268" t="n"/>
      <c r="AR233" s="268">
        <f>AR213</f>
        <v>0</v>
      </c>
      <c r="AS233" s="268" t="e">
        <f>MAX(0,AR233-AS232)</f>
        <v>#DIV/0!</v>
      </c>
      <c r="AT233" s="268" t="e">
        <f>MAX(0,AS233-AT232)</f>
        <v>#DIV/0!</v>
      </c>
      <c r="AU233" s="268" t="e">
        <f>MAX(0,AT233-AU232)</f>
        <v>#DIV/0!</v>
      </c>
      <c r="AV233" s="268" t="n"/>
      <c r="AW233" s="268">
        <f>AW213</f>
        <v>0</v>
      </c>
      <c r="AX233" s="268" t="e">
        <f>MAX(0,AW233-AX232)</f>
        <v>#DIV/0!</v>
      </c>
      <c r="AY233" s="268" t="e">
        <f>MAX(0,AX233-AY232)</f>
        <v>#DIV/0!</v>
      </c>
      <c r="AZ233" s="268" t="e">
        <f>MAX(0,AY233-AZ232)</f>
        <v>#DIV/0!</v>
      </c>
      <c r="BA233" s="268" t="n"/>
      <c r="BB233" s="268">
        <f>BB213</f>
        <v>0</v>
      </c>
      <c r="BC233" s="268" t="e">
        <f>MAX(0,BB233-BC232)</f>
        <v>#DIV/0!</v>
      </c>
      <c r="BD233" s="268" t="e">
        <f>MAX(0,BC233-BD232)</f>
        <v>#DIV/0!</v>
      </c>
      <c r="BE233" s="268" t="e">
        <f>MAX(0,BD233-BE232)</f>
        <v>#DIV/0!</v>
      </c>
      <c r="BF233" s="268" t="n"/>
      <c r="BG233" s="268">
        <f>BG213</f>
        <v>0</v>
      </c>
      <c r="BH233" s="268" t="e">
        <f>MAX(0,BG233-BH232)</f>
        <v>#DIV/0!</v>
      </c>
      <c r="BI233" s="268" t="e">
        <f>MAX(0,BH233-BI232)</f>
        <v>#DIV/0!</v>
      </c>
      <c r="BJ233" s="268" t="e">
        <f>MAX(0,BI233-BJ232)</f>
        <v>#DIV/0!</v>
      </c>
      <c r="BK233" s="268" t="n"/>
      <c r="BL233" s="268">
        <f>BL213</f>
        <v>0</v>
      </c>
      <c r="BM233" s="268" t="e">
        <f>MAX(0,BL233-BM232)</f>
        <v>#DIV/0!</v>
      </c>
      <c r="BN233" s="268" t="e">
        <f>MAX(0,BM233-BN232)</f>
        <v>#DIV/0!</v>
      </c>
      <c r="BO233" s="268" t="e">
        <f>MAX(0,BN233-BO232)</f>
        <v>#DIV/0!</v>
      </c>
      <c r="BP233" s="268" t="n"/>
      <c r="BQ233" s="268">
        <f>BQ213</f>
        <v>0</v>
      </c>
      <c r="BR233" s="268" t="e">
        <f>MAX(0,BQ233-BR232)</f>
        <v>#DIV/0!</v>
      </c>
      <c r="BS233" s="268" t="e">
        <f>MAX(0,BR233-BS232)</f>
        <v>#DIV/0!</v>
      </c>
      <c r="BT233" s="268" t="e">
        <f>MAX(0,BS233-BT232)</f>
        <v>#DIV/0!</v>
      </c>
      <c r="BU233" s="268" t="n"/>
      <c r="BV233" s="268">
        <f>BV213</f>
        <v>0</v>
      </c>
      <c r="BW233" s="268" t="e">
        <f>MAX(0,BV233-BW232)</f>
        <v>#DIV/0!</v>
      </c>
      <c r="BX233" s="268" t="e">
        <f>MAX(0,BW233-BX232)</f>
        <v>#DIV/0!</v>
      </c>
      <c r="BY233" s="268" t="e">
        <f>MAX(0,BX233-BY232)</f>
        <v>#DIV/0!</v>
      </c>
      <c r="BZ233" s="268" t="n"/>
      <c r="CA233" s="268">
        <f>CA213</f>
        <v>0</v>
      </c>
      <c r="CB233" s="268" t="e">
        <f>MAX(0,CA233-CB232)</f>
        <v>#DIV/0!</v>
      </c>
      <c r="CC233" s="268" t="e">
        <f>MAX(0,CB233-CC232)</f>
        <v>#DIV/0!</v>
      </c>
      <c r="CD233" s="268" t="e">
        <f>MAX(0,CC233-CD232)</f>
        <v>#DIV/0!</v>
      </c>
      <c r="CE233" s="268" t="n"/>
      <c r="CF233" s="268">
        <f>CF213</f>
        <v>0</v>
      </c>
      <c r="CG233" s="268" t="e">
        <f>MAX(0,CF233-CG232)</f>
        <v>#DIV/0!</v>
      </c>
      <c r="CH233" s="268" t="e">
        <f>MAX(0,CG233-CH232)</f>
        <v>#DIV/0!</v>
      </c>
      <c r="CI233" s="268" t="e">
        <f>MAX(0,CH233-CI232)</f>
        <v>#DIV/0!</v>
      </c>
      <c r="CJ233" s="268" t="n"/>
      <c r="CK233" s="268">
        <f>CK213</f>
        <v>0</v>
      </c>
      <c r="CL233" s="268" t="e">
        <f>MAX(0,CK233-CL232)</f>
        <v>#DIV/0!</v>
      </c>
      <c r="CM233" s="268" t="e">
        <f>MAX(0,CL233-CM232)</f>
        <v>#DIV/0!</v>
      </c>
      <c r="CN233" s="268" t="e">
        <f>MAX(0,CM233-CN232)</f>
        <v>#DIV/0!</v>
      </c>
      <c r="CO233" s="268" t="n"/>
      <c r="CP233" s="268">
        <f>CP213</f>
        <v>0</v>
      </c>
      <c r="CQ233" s="268" t="e">
        <f>MAX(0,CP233-CQ232)</f>
        <v>#DIV/0!</v>
      </c>
      <c r="CR233" s="268" t="e">
        <f>MAX(0,CQ233-CR232)</f>
        <v>#DIV/0!</v>
      </c>
      <c r="CS233" s="268" t="e">
        <f>MAX(0,CR233-CS232)</f>
        <v>#DIV/0!</v>
      </c>
      <c r="CT233" s="268" t="n"/>
      <c r="CU233" s="268">
        <f>CU213</f>
        <v>0</v>
      </c>
      <c r="CV233" s="268" t="e">
        <f>MAX(0,CU233-CV232)</f>
        <v>#DIV/0!</v>
      </c>
      <c r="CW233" s="268" t="e">
        <f>MAX(0,CV233-CW232)</f>
        <v>#DIV/0!</v>
      </c>
      <c r="CX233" s="268" t="e">
        <f>MAX(0,CW233-CX232)</f>
        <v>#DIV/0!</v>
      </c>
      <c r="CY233" s="268" t="n"/>
    </row>
    <row r="234" hidden="1" outlineLevel="1" ht="12.75" customHeight="1" s="255">
      <c r="C234" s="312" t="n"/>
      <c r="D234" s="268" t="n"/>
      <c r="E234" s="268" t="n"/>
      <c r="F234" s="268" t="n"/>
      <c r="G234" s="268" t="n"/>
      <c r="H234" s="268" t="n"/>
      <c r="I234" s="268" t="n"/>
      <c r="J234" s="268" t="n"/>
      <c r="K234" s="268" t="n"/>
      <c r="L234" s="268" t="n"/>
      <c r="M234" s="268" t="n"/>
      <c r="N234" s="268" t="n"/>
      <c r="O234" s="268" t="n"/>
      <c r="P234" s="268" t="n"/>
      <c r="Q234" s="268" t="n"/>
      <c r="R234" s="268" t="n"/>
      <c r="S234" s="268" t="n"/>
      <c r="T234" s="268" t="n"/>
      <c r="U234" s="268" t="n"/>
      <c r="V234" s="268" t="n"/>
      <c r="W234" s="268" t="n"/>
      <c r="X234" s="268" t="n"/>
      <c r="Y234" s="268" t="n"/>
      <c r="Z234" s="268" t="n"/>
      <c r="AA234" s="268" t="n"/>
      <c r="AB234" s="268" t="n"/>
      <c r="AC234" s="268" t="n"/>
      <c r="AD234" s="268" t="n"/>
      <c r="AE234" s="268" t="n"/>
      <c r="AF234" s="268" t="n"/>
      <c r="AG234" s="268" t="n"/>
      <c r="AH234" s="268" t="n"/>
      <c r="AI234" s="268" t="n"/>
      <c r="AJ234" s="268" t="n"/>
      <c r="AK234" s="268" t="n"/>
      <c r="AL234" s="268" t="n"/>
      <c r="AM234" s="268" t="n"/>
      <c r="AN234" s="268" t="n"/>
      <c r="AO234" s="268" t="n"/>
      <c r="AP234" s="268" t="n"/>
      <c r="AQ234" s="268" t="n"/>
      <c r="AR234" s="268" t="n"/>
      <c r="AS234" s="268" t="n"/>
      <c r="AT234" s="268" t="n"/>
      <c r="AU234" s="268" t="n"/>
      <c r="AV234" s="268" t="n"/>
      <c r="AW234" s="268" t="n"/>
      <c r="AX234" s="268" t="n"/>
      <c r="AY234" s="268" t="n"/>
      <c r="AZ234" s="268" t="n"/>
      <c r="BA234" s="268" t="n"/>
      <c r="BB234" s="268" t="n"/>
      <c r="BC234" s="268" t="n"/>
      <c r="BD234" s="268" t="n"/>
      <c r="BE234" s="268" t="n"/>
      <c r="BF234" s="268" t="n"/>
      <c r="BG234" s="268" t="n"/>
      <c r="BH234" s="268" t="n"/>
      <c r="BI234" s="268" t="n"/>
      <c r="BJ234" s="268" t="n"/>
      <c r="BK234" s="268" t="n"/>
      <c r="BL234" s="268" t="n"/>
      <c r="BM234" s="268" t="n"/>
      <c r="BN234" s="268" t="n"/>
      <c r="BO234" s="268" t="n"/>
      <c r="BP234" s="268" t="n"/>
      <c r="BQ234" s="268" t="n"/>
      <c r="BR234" s="268" t="n"/>
      <c r="BS234" s="268" t="n"/>
      <c r="BT234" s="268" t="n"/>
      <c r="BU234" s="268" t="n"/>
      <c r="BV234" s="268" t="n"/>
      <c r="BW234" s="268" t="n"/>
      <c r="BX234" s="268" t="n"/>
      <c r="BY234" s="268" t="n"/>
      <c r="BZ234" s="268" t="n"/>
      <c r="CA234" s="268" t="n"/>
      <c r="CB234" s="268" t="n"/>
      <c r="CC234" s="268" t="n"/>
      <c r="CD234" s="268" t="n"/>
      <c r="CE234" s="268" t="n"/>
      <c r="CF234" s="268" t="n"/>
      <c r="CG234" s="268" t="n"/>
      <c r="CH234" s="268" t="n"/>
      <c r="CI234" s="268" t="n"/>
      <c r="CJ234" s="268" t="n"/>
      <c r="CK234" s="268" t="n"/>
      <c r="CL234" s="268" t="n"/>
      <c r="CM234" s="268" t="n"/>
      <c r="CN234" s="268" t="n"/>
      <c r="CO234" s="268" t="n"/>
      <c r="CP234" s="268" t="n"/>
      <c r="CQ234" s="268" t="n"/>
      <c r="CR234" s="268" t="n"/>
      <c r="CS234" s="268" t="n"/>
      <c r="CT234" s="268" t="n"/>
      <c r="CU234" s="268" t="n"/>
      <c r="CV234" s="268" t="n"/>
      <c r="CW234" s="268" t="n"/>
      <c r="CX234" s="268" t="n"/>
      <c r="CY234" s="268" t="n"/>
    </row>
    <row r="235" ht="12.75" customHeight="1" s="255">
      <c r="C235" s="270" t="inlineStr">
        <is>
          <t>Long term operating leases</t>
        </is>
      </c>
      <c r="D235" s="301">
        <f>INDEX('Inputs (2)'!$D$36:$AL$36,MATCH(D$7,'Inputs (2)'!$D$2:$AL$2,0))</f>
        <v>494</v>
      </c>
      <c r="E235" s="301">
        <f>INDEX('Inputs (2)'!$D$36:$AL$36,MATCH(E$7,'Inputs (2)'!$D$2:$AL$2,0))</f>
        <v>503</v>
      </c>
      <c r="F235" s="301">
        <f>INDEX('Inputs (2)'!$D$36:$AL$36,MATCH(F$7,'Inputs (2)'!$D$2:$AL$2,0))</f>
        <v>584</v>
      </c>
      <c r="G235" s="301">
        <f>INDEX('Inputs (2)'!$D$36:$AL$36,MATCH(G$7,'Inputs (2)'!$D$2:$AL$2,0))</f>
        <v>581</v>
      </c>
      <c r="H235" s="268">
        <f>G235</f>
        <v>581</v>
      </c>
      <c r="I235" s="301">
        <f>INDEX('Inputs (2)'!$D$36:$AL$36,MATCH(I$7,'Inputs (2)'!$D$2:$AL$2,0))</f>
        <v>556</v>
      </c>
      <c r="J235" s="301">
        <f>INDEX('Inputs (2)'!$D$36:$AL$36,MATCH(J$7,'Inputs (2)'!$D$2:$AL$2,0))</f>
        <v>539</v>
      </c>
      <c r="K235" s="301">
        <f>INDEX('Inputs (2)'!$D$36:$AL$36,MATCH(K$7,'Inputs (2)'!$D$2:$AL$2,0))</f>
        <v>522</v>
      </c>
      <c r="L235" s="301">
        <f>INDEX('Inputs (2)'!$D$36:$AL$36,MATCH(L$7,'Inputs (2)'!$D$2:$AL$2,0))</f>
        <v>506</v>
      </c>
      <c r="M235" s="268">
        <f>L235</f>
        <v>506</v>
      </c>
      <c r="N235" s="301">
        <f>INDEX('Inputs (2)'!$D$36:$AL$36,MATCH(N$7,'Inputs (2)'!$D$2:$AL$2,0))</f>
        <v>559</v>
      </c>
      <c r="O235" s="301">
        <f>INDEX('Inputs (2)'!$D$36:$AL$36,MATCH(O$7,'Inputs (2)'!$D$2:$AL$2,0))</f>
        <v>585</v>
      </c>
      <c r="P235" s="301">
        <f>INDEX('Inputs (2)'!$D$36:$AL$36,MATCH(P$7,'Inputs (2)'!$D$2:$AL$2,0))</f>
        <v>602</v>
      </c>
      <c r="Q235" s="301">
        <f>INDEX('Inputs (2)'!$D$36:$AL$36,MATCH(Q$7,'Inputs (2)'!$D$2:$AL$2,0))</f>
        <v>547</v>
      </c>
      <c r="R235" s="268">
        <f>Q235</f>
        <v>547</v>
      </c>
      <c r="S235" s="301">
        <f>INDEX('Inputs (2)'!$D$36:$AL$36,MATCH(S$7,'Inputs (2)'!$D$2:$AL$2,0))</f>
        <v>490</v>
      </c>
      <c r="T235" s="301">
        <f>INDEX('Inputs (2)'!$D$36:$AL$36,MATCH(T$7,'Inputs (2)'!$D$2:$AL$2,0))</f>
        <v>529</v>
      </c>
      <c r="U235" s="301">
        <f>INDEX('Inputs (2)'!$D$36:$AL$36,MATCH(U$7,'Inputs (2)'!$D$2:$AL$2,0))</f>
        <v>495</v>
      </c>
      <c r="V235" s="301">
        <f>INDEX('Inputs (2)'!$D$36:$AL$36,MATCH(V$7,'Inputs (2)'!$D$2:$AL$2,0))</f>
        <v>566</v>
      </c>
      <c r="W235" s="268">
        <f>V235</f>
        <v>566</v>
      </c>
      <c r="X235" s="301">
        <f>INDEX('Inputs (2)'!$D$36:$AL$36,MATCH(X$7,'Inputs (2)'!$D$2:$AL$2,0))</f>
        <v>557</v>
      </c>
      <c r="Y235" s="301">
        <f>INDEX('Inputs (2)'!$D$36:$AL$36,MATCH(Y$7,'Inputs (2)'!$D$2:$AL$2,0))</f>
        <v>577</v>
      </c>
      <c r="Z235" s="301">
        <f>INDEX('Inputs (2)'!$D$36:$AL$36,MATCH(Z$7,'Inputs (2)'!$D$2:$AL$2,0))</f>
        <v>595</v>
      </c>
      <c r="AA235" s="301">
        <f>INDEX('Inputs (2)'!$D$36:$AL$36,MATCH(AA$7,'Inputs (2)'!$D$2:$AL$2,0))</f>
        <v>595</v>
      </c>
      <c r="AB235" s="268">
        <f>AA235</f>
        <v>595</v>
      </c>
      <c r="AC235" s="301">
        <f>INDEX('Inputs (2)'!$D$36:$AL$36,MATCH(AC$7,'Inputs (2)'!$D$2:$AL$2,0))</f>
        <v>659</v>
      </c>
      <c r="AD235" s="301">
        <f>INDEX('Inputs (2)'!$D$36:$AL$36,MATCH(AD$7,'Inputs (2)'!$D$2:$AL$2,0))</f>
        <v>662</v>
      </c>
      <c r="AE235" s="301">
        <f>INDEX('Inputs (2)'!$D$36:$AL$36,MATCH(AE$7,'Inputs (2)'!$D$2:$AL$2,0))</f>
        <v>1152</v>
      </c>
      <c r="AF235" s="301">
        <f>INDEX('Inputs (2)'!$D$36:$AL$36,MATCH(AF$7,'Inputs (2)'!$D$2:$AL$2,0))</f>
        <v>1097</v>
      </c>
      <c r="AG235" s="268">
        <f>AF235</f>
        <v>1097</v>
      </c>
      <c r="AH235" s="268">
        <f>INDEX('Inputs (2)'!$D$36:$AL$36,MATCH(AH$7,'Inputs (2)'!$D$2:$AL$2,0))</f>
        <v>1135</v>
      </c>
      <c r="AI235" s="268">
        <f>INDEX('Inputs (2)'!$D$36:$AL$36,MATCH(AI$7,'Inputs (2)'!$D$2:$AL$2,0))</f>
        <v>1096</v>
      </c>
      <c r="AJ235" s="268">
        <f>AI235</f>
        <v>1096</v>
      </c>
      <c r="AK235" s="268">
        <f>AJ235</f>
        <v>1096</v>
      </c>
      <c r="AL235" s="268">
        <f>AK235</f>
        <v>1096</v>
      </c>
      <c r="AM235" s="268">
        <f>AL235</f>
        <v>1096</v>
      </c>
      <c r="AN235" s="268">
        <f>AM235</f>
        <v>1096</v>
      </c>
      <c r="AO235" s="268">
        <f>AN235</f>
        <v>1096</v>
      </c>
      <c r="AP235" s="268">
        <f>AO235</f>
        <v>1096</v>
      </c>
      <c r="AQ235" s="268">
        <f>AP235</f>
        <v>1096</v>
      </c>
      <c r="AR235" s="268">
        <f>AQ235</f>
        <v>1096</v>
      </c>
      <c r="AS235" s="268">
        <f>AR235</f>
        <v>1096</v>
      </c>
      <c r="AT235" s="268">
        <f>AS235</f>
        <v>1096</v>
      </c>
      <c r="AU235" s="268">
        <f>AT235</f>
        <v>1096</v>
      </c>
      <c r="AV235" s="268">
        <f>AU235</f>
        <v>1096</v>
      </c>
      <c r="AW235" s="268">
        <f>AV235</f>
        <v>1096</v>
      </c>
      <c r="AX235" s="268">
        <f>AW235</f>
        <v>1096</v>
      </c>
      <c r="AY235" s="268">
        <f>AX235</f>
        <v>1096</v>
      </c>
      <c r="AZ235" s="268">
        <f>AY235</f>
        <v>1096</v>
      </c>
      <c r="BA235" s="268">
        <f>AZ235</f>
        <v>1096</v>
      </c>
      <c r="BB235" s="268">
        <f>BA235</f>
        <v>1096</v>
      </c>
      <c r="BC235" s="268">
        <f>BB235</f>
        <v>1096</v>
      </c>
      <c r="BD235" s="268">
        <f>BC235</f>
        <v>1096</v>
      </c>
      <c r="BE235" s="268">
        <f>BD235</f>
        <v>1096</v>
      </c>
      <c r="BF235" s="268">
        <f>BE235</f>
        <v>1096</v>
      </c>
      <c r="BG235" s="268">
        <f>BF235</f>
        <v>1096</v>
      </c>
      <c r="BH235" s="268">
        <f>BG235</f>
        <v>1096</v>
      </c>
      <c r="BI235" s="268">
        <f>BH235</f>
        <v>1096</v>
      </c>
      <c r="BJ235" s="268">
        <f>BI235</f>
        <v>1096</v>
      </c>
      <c r="BK235" s="268">
        <f>BJ235</f>
        <v>1096</v>
      </c>
      <c r="BL235" s="268">
        <f>BK235</f>
        <v>1096</v>
      </c>
      <c r="BM235" s="268">
        <f>BL235</f>
        <v>1096</v>
      </c>
      <c r="BN235" s="268">
        <f>BM235</f>
        <v>1096</v>
      </c>
      <c r="BO235" s="268">
        <f>BN235</f>
        <v>1096</v>
      </c>
      <c r="BP235" s="268">
        <f>BO235</f>
        <v>1096</v>
      </c>
      <c r="BQ235" s="268">
        <f>BP235</f>
        <v>1096</v>
      </c>
      <c r="BR235" s="268">
        <f>BQ235</f>
        <v>1096</v>
      </c>
      <c r="BS235" s="268">
        <f>BR235</f>
        <v>1096</v>
      </c>
      <c r="BT235" s="268">
        <f>BS235</f>
        <v>1096</v>
      </c>
      <c r="BU235" s="268">
        <f>BT235</f>
        <v>1096</v>
      </c>
      <c r="BV235" s="268">
        <f>BU235</f>
        <v>1096</v>
      </c>
      <c r="BW235" s="268">
        <f>BV235</f>
        <v>1096</v>
      </c>
      <c r="BX235" s="268">
        <f>BW235</f>
        <v>1096</v>
      </c>
      <c r="BY235" s="268">
        <f>BX235</f>
        <v>1096</v>
      </c>
      <c r="BZ235" s="268">
        <f>BY235</f>
        <v>1096</v>
      </c>
      <c r="CA235" s="268">
        <f>BZ235</f>
        <v>1096</v>
      </c>
      <c r="CB235" s="268">
        <f>CA235</f>
        <v>1096</v>
      </c>
      <c r="CC235" s="268">
        <f>CB235</f>
        <v>1096</v>
      </c>
      <c r="CD235" s="268">
        <f>CC235</f>
        <v>1096</v>
      </c>
      <c r="CE235" s="268">
        <f>CD235</f>
        <v>1096</v>
      </c>
      <c r="CF235" s="268">
        <f>CE235</f>
        <v>1096</v>
      </c>
      <c r="CG235" s="268">
        <f>CF235</f>
        <v>1096</v>
      </c>
      <c r="CH235" s="268">
        <f>CG235</f>
        <v>1096</v>
      </c>
      <c r="CI235" s="268">
        <f>CH235</f>
        <v>1096</v>
      </c>
      <c r="CJ235" s="268">
        <f>CI235</f>
        <v>1096</v>
      </c>
      <c r="CK235" s="268">
        <f>CJ235</f>
        <v>1096</v>
      </c>
      <c r="CL235" s="268">
        <f>CK235</f>
        <v>1096</v>
      </c>
      <c r="CM235" s="268">
        <f>CL235</f>
        <v>1096</v>
      </c>
      <c r="CN235" s="268">
        <f>CM235</f>
        <v>1096</v>
      </c>
      <c r="CO235" s="268">
        <f>CN235</f>
        <v>1096</v>
      </c>
      <c r="CP235" s="268">
        <f>CO235</f>
        <v>1096</v>
      </c>
      <c r="CQ235" s="268">
        <f>CP235</f>
        <v>1096</v>
      </c>
      <c r="CR235" s="268">
        <f>CQ235</f>
        <v>1096</v>
      </c>
      <c r="CS235" s="268">
        <f>CR235</f>
        <v>1096</v>
      </c>
      <c r="CT235" s="268">
        <f>CS235</f>
        <v>1096</v>
      </c>
      <c r="CU235" s="268">
        <f>CT235</f>
        <v>1096</v>
      </c>
      <c r="CV235" s="268">
        <f>CU235</f>
        <v>1096</v>
      </c>
      <c r="CW235" s="268">
        <f>CV235</f>
        <v>1096</v>
      </c>
      <c r="CX235" s="268">
        <f>CW235</f>
        <v>1096</v>
      </c>
      <c r="CY235" s="268">
        <f>CX235</f>
        <v>1096</v>
      </c>
    </row>
    <row r="236" hidden="1" outlineLevel="1" ht="12.75" customHeight="1" s="255">
      <c r="C236" s="314" t="inlineStr">
        <is>
          <t>%(Var.)</t>
        </is>
      </c>
      <c r="D236" s="268" t="n"/>
      <c r="E236" s="296">
        <f>IFERROR((E235-D235)/D235,0)</f>
        <v>0.0182186234817814</v>
      </c>
      <c r="F236" s="296">
        <f>IFERROR((F235-E235)/E235,0)</f>
        <v>0.1610337972167</v>
      </c>
      <c r="G236" s="296">
        <f>IFERROR((G235-F235)/F235,0)</f>
        <v>-0.00513698630136986</v>
      </c>
      <c r="H236" s="268" t="n"/>
      <c r="I236" s="296">
        <f>IFERROR((I235-H235)/H235,0)</f>
        <v>-0.0430292598967298</v>
      </c>
      <c r="J236" s="296">
        <f>IFERROR((J235-I235)/I235,0)</f>
        <v>-0.0305755395683453</v>
      </c>
      <c r="K236" s="296">
        <f>IFERROR((K235-J235)/J235,0)</f>
        <v>-0.0315398886827458</v>
      </c>
      <c r="L236" s="296">
        <f>IFERROR((L235-K235)/K235,0)</f>
        <v>-0.0306513409961686</v>
      </c>
      <c r="M236" s="268" t="n"/>
      <c r="N236" s="296">
        <f>IFERROR((N235-M235)/M235,0)</f>
        <v>0.104743083003953</v>
      </c>
      <c r="O236" s="296">
        <f>IFERROR((O235-N235)/N235,0)</f>
        <v>0.0465116279069767</v>
      </c>
      <c r="P236" s="296">
        <f>IFERROR((P235-O235)/O235,0)</f>
        <v>0.0290598290598291</v>
      </c>
      <c r="Q236" s="296">
        <f>IFERROR((Q235-P235)/P235,0)</f>
        <v>-0.0913621262458472</v>
      </c>
      <c r="R236" s="268" t="n"/>
      <c r="S236" s="296">
        <f>IFERROR((S235-R235)/R235,0)</f>
        <v>-0.104204753199269</v>
      </c>
      <c r="T236" s="296">
        <f>IFERROR((T235-S235)/S235,0)</f>
        <v>0.0795918367346939</v>
      </c>
      <c r="U236" s="296">
        <f>IFERROR((U235-T235)/T235,0)</f>
        <v>-0.0642722117202269</v>
      </c>
      <c r="V236" s="296">
        <f>IFERROR((V235-U235)/U235,0)</f>
        <v>0.143434343434343</v>
      </c>
      <c r="W236" s="268" t="n"/>
      <c r="X236" s="296">
        <f>IFERROR((X235-W235)/W235,0)</f>
        <v>-0.0159010600706714</v>
      </c>
      <c r="Y236" s="296">
        <f>IFERROR((Y235-X235)/X235,0)</f>
        <v>0.0359066427289049</v>
      </c>
      <c r="Z236" s="296">
        <f>IFERROR((Z235-Y235)/Y235,0)</f>
        <v>0.0311958405545927</v>
      </c>
      <c r="AA236" s="296">
        <f>IFERROR((AA235-Z235)/Z235,0)</f>
        <v>0</v>
      </c>
      <c r="AB236" s="268" t="n"/>
      <c r="AC236" s="296">
        <f>IFERROR((AC235-AB235)/AB235,0)</f>
        <v>0.107563025210084</v>
      </c>
      <c r="AD236" s="296">
        <f>IFERROR((AD235-AC235)/AC235,0)</f>
        <v>0.00455235204855842</v>
      </c>
      <c r="AE236" s="296">
        <f>IFERROR((AE235-AD235)/AD235,0)</f>
        <v>0.740181268882175</v>
      </c>
      <c r="AF236" s="297">
        <f>IFERROR((AF235-AE235)/AE235,0)</f>
        <v>-0.0477430555555556</v>
      </c>
      <c r="AG236" s="268" t="n"/>
      <c r="AH236" s="267">
        <f>IFERROR((AH235-AG235)/AG235,0)</f>
        <v>0.0346399270738377</v>
      </c>
      <c r="AI236" s="267">
        <f>IFERROR((AI235-AH235)/AH235,0)</f>
        <v>-0.0343612334801762</v>
      </c>
      <c r="AJ236" s="267" t="n"/>
      <c r="AK236" s="267" t="n"/>
      <c r="AL236" s="268" t="n"/>
      <c r="AM236" s="267" t="n"/>
      <c r="AN236" s="267" t="n"/>
      <c r="AO236" s="267" t="n"/>
      <c r="AP236" s="267" t="n"/>
      <c r="AQ236" s="268" t="n"/>
      <c r="AR236" s="267" t="n"/>
      <c r="AS236" s="267" t="n"/>
      <c r="AT236" s="267" t="n"/>
      <c r="AU236" s="267" t="n"/>
      <c r="AV236" s="268" t="n"/>
      <c r="AW236" s="267" t="n"/>
      <c r="AX236" s="267" t="n"/>
      <c r="AY236" s="267" t="n"/>
      <c r="AZ236" s="267" t="n"/>
      <c r="BA236" s="268" t="n"/>
      <c r="BB236" s="267" t="n"/>
      <c r="BC236" s="267" t="n"/>
      <c r="BD236" s="267" t="n"/>
      <c r="BE236" s="267" t="n"/>
      <c r="BF236" s="268" t="n"/>
      <c r="BG236" s="267" t="n"/>
      <c r="BH236" s="267" t="n"/>
      <c r="BI236" s="267" t="n"/>
      <c r="BJ236" s="267" t="n"/>
      <c r="BK236" s="268" t="n"/>
      <c r="BL236" s="267" t="n"/>
      <c r="BM236" s="267" t="n"/>
      <c r="BN236" s="267" t="n"/>
      <c r="BO236" s="267" t="n"/>
      <c r="BP236" s="268" t="n"/>
      <c r="BQ236" s="267" t="n"/>
      <c r="BR236" s="267" t="n"/>
      <c r="BS236" s="267" t="n"/>
      <c r="BT236" s="267" t="n"/>
      <c r="BU236" s="268" t="n"/>
      <c r="BV236" s="267" t="n"/>
      <c r="BW236" s="267" t="n"/>
      <c r="BX236" s="267" t="n"/>
      <c r="BY236" s="267" t="n"/>
      <c r="BZ236" s="268" t="n"/>
      <c r="CA236" s="267" t="n"/>
      <c r="CB236" s="267" t="n"/>
      <c r="CC236" s="267" t="n"/>
      <c r="CD236" s="267" t="n"/>
      <c r="CE236" s="268" t="n"/>
      <c r="CF236" s="267" t="n"/>
      <c r="CG236" s="267" t="n"/>
      <c r="CH236" s="267" t="n"/>
      <c r="CI236" s="267" t="n"/>
      <c r="CJ236" s="268" t="n"/>
      <c r="CK236" s="267" t="n"/>
      <c r="CL236" s="267" t="n"/>
      <c r="CM236" s="267" t="n"/>
      <c r="CN236" s="267" t="n"/>
      <c r="CO236" s="268" t="n"/>
      <c r="CP236" s="267" t="n"/>
      <c r="CQ236" s="267" t="n"/>
      <c r="CR236" s="267" t="n"/>
      <c r="CS236" s="267" t="n"/>
      <c r="CT236" s="268" t="n"/>
      <c r="CU236" s="267" t="n"/>
      <c r="CV236" s="267" t="n"/>
      <c r="CW236" s="267" t="n"/>
      <c r="CX236" s="267" t="n"/>
      <c r="CY236" s="268" t="n"/>
    </row>
    <row r="237" hidden="1" outlineLevel="1" ht="12.75" customHeight="1" s="255">
      <c r="C237" s="312" t="n"/>
      <c r="D237" s="268" t="n"/>
      <c r="E237" s="268" t="n"/>
      <c r="F237" s="268" t="n"/>
      <c r="G237" s="268" t="n"/>
      <c r="H237" s="268" t="n"/>
      <c r="I237" s="268" t="n"/>
      <c r="J237" s="268" t="n"/>
      <c r="K237" s="268" t="n"/>
      <c r="L237" s="268" t="n"/>
      <c r="M237" s="268" t="n"/>
      <c r="N237" s="268" t="n"/>
      <c r="O237" s="268" t="n"/>
      <c r="P237" s="268" t="n"/>
      <c r="Q237" s="268" t="n"/>
      <c r="R237" s="268" t="n"/>
      <c r="S237" s="268" t="n"/>
      <c r="T237" s="268" t="n"/>
      <c r="U237" s="268" t="n"/>
      <c r="V237" s="268" t="n"/>
      <c r="W237" s="268" t="n"/>
      <c r="X237" s="268" t="n"/>
      <c r="Y237" s="268" t="n"/>
      <c r="Z237" s="268" t="n"/>
      <c r="AA237" s="268" t="n"/>
      <c r="AB237" s="268" t="n"/>
      <c r="AC237" s="268" t="n"/>
      <c r="AD237" s="268" t="n"/>
      <c r="AE237" s="268" t="n"/>
      <c r="AF237" s="268" t="n"/>
      <c r="AG237" s="268" t="n"/>
      <c r="AH237" s="268" t="n"/>
      <c r="AI237" s="268" t="n"/>
      <c r="AJ237" s="268" t="n"/>
      <c r="AK237" s="268" t="n"/>
      <c r="AL237" s="268" t="n"/>
      <c r="AM237" s="268" t="n"/>
      <c r="AN237" s="268" t="n"/>
      <c r="AO237" s="268" t="n"/>
      <c r="AP237" s="268" t="n"/>
      <c r="AQ237" s="268" t="n"/>
      <c r="AR237" s="268" t="n"/>
      <c r="AS237" s="268" t="n"/>
      <c r="AT237" s="268" t="n"/>
      <c r="AU237" s="268" t="n"/>
      <c r="AV237" s="268" t="n"/>
      <c r="AW237" s="268" t="n"/>
      <c r="AX237" s="268" t="n"/>
      <c r="AY237" s="268" t="n"/>
      <c r="AZ237" s="268" t="n"/>
      <c r="BA237" s="268" t="n"/>
      <c r="BB237" s="268" t="n"/>
      <c r="BC237" s="268" t="n"/>
      <c r="BD237" s="268" t="n"/>
      <c r="BE237" s="268" t="n"/>
      <c r="BF237" s="268" t="n"/>
      <c r="BG237" s="268" t="n"/>
      <c r="BH237" s="268" t="n"/>
      <c r="BI237" s="268" t="n"/>
      <c r="BJ237" s="268" t="n"/>
      <c r="BK237" s="268" t="n"/>
      <c r="BL237" s="268" t="n"/>
      <c r="BM237" s="268" t="n"/>
      <c r="BN237" s="268" t="n"/>
      <c r="BO237" s="268" t="n"/>
      <c r="BP237" s="268" t="n"/>
      <c r="BQ237" s="268" t="n"/>
      <c r="BR237" s="268" t="n"/>
      <c r="BS237" s="268" t="n"/>
      <c r="BT237" s="268" t="n"/>
      <c r="BU237" s="268" t="n"/>
      <c r="BV237" s="268" t="n"/>
      <c r="BW237" s="268" t="n"/>
      <c r="BX237" s="268" t="n"/>
      <c r="BY237" s="268" t="n"/>
      <c r="BZ237" s="268" t="n"/>
      <c r="CA237" s="268" t="n"/>
      <c r="CB237" s="268" t="n"/>
      <c r="CC237" s="268" t="n"/>
      <c r="CD237" s="268" t="n"/>
      <c r="CE237" s="268" t="n"/>
      <c r="CF237" s="268" t="n"/>
      <c r="CG237" s="268" t="n"/>
      <c r="CH237" s="268" t="n"/>
      <c r="CI237" s="268" t="n"/>
      <c r="CJ237" s="268" t="n"/>
      <c r="CK237" s="268" t="n"/>
      <c r="CL237" s="268" t="n"/>
      <c r="CM237" s="268" t="n"/>
      <c r="CN237" s="268" t="n"/>
      <c r="CO237" s="268" t="n"/>
      <c r="CP237" s="268" t="n"/>
      <c r="CQ237" s="268" t="n"/>
      <c r="CR237" s="268" t="n"/>
      <c r="CS237" s="268" t="n"/>
      <c r="CT237" s="268" t="n"/>
      <c r="CU237" s="268" t="n"/>
      <c r="CV237" s="268" t="n"/>
      <c r="CW237" s="268" t="n"/>
      <c r="CX237" s="268" t="n"/>
      <c r="CY237" s="268" t="n"/>
    </row>
    <row r="238" ht="12.75" customHeight="1" s="255">
      <c r="C238" s="270" t="inlineStr">
        <is>
          <t>Convertible debt</t>
        </is>
      </c>
      <c r="D238" s="301">
        <f>INDEX('Inputs (2)'!$D$37:$AL$37,MATCH(D$7,'Inputs (2)'!$D$2:$AL$2,0))</f>
        <v>0</v>
      </c>
      <c r="E238" s="301">
        <f>INDEX('Inputs (2)'!$D$37:$AL$37,MATCH(E$7,'Inputs (2)'!$D$2:$AL$2,0))</f>
        <v>0</v>
      </c>
      <c r="F238" s="301">
        <f>INDEX('Inputs (2)'!$D$37:$AL$37,MATCH(F$7,'Inputs (2)'!$D$2:$AL$2,0))</f>
        <v>0</v>
      </c>
      <c r="G238" s="301">
        <f>INDEX('Inputs (2)'!$D$37:$AL$37,MATCH(G$7,'Inputs (2)'!$D$2:$AL$2,0))</f>
        <v>0</v>
      </c>
      <c r="H238" s="268">
        <f>G238</f>
        <v>0</v>
      </c>
      <c r="I238" s="301">
        <f>INDEX('Inputs (2)'!$D$37:$AL$37,MATCH(I$7,'Inputs (2)'!$D$2:$AL$2,0))</f>
        <v>0</v>
      </c>
      <c r="J238" s="301">
        <f>INDEX('Inputs (2)'!$D$37:$AL$37,MATCH(J$7,'Inputs (2)'!$D$2:$AL$2,0))</f>
        <v>0</v>
      </c>
      <c r="K238" s="301">
        <f>INDEX('Inputs (2)'!$D$37:$AL$37,MATCH(K$7,'Inputs (2)'!$D$2:$AL$2,0))</f>
        <v>0</v>
      </c>
      <c r="L238" s="301">
        <f>INDEX('Inputs (2)'!$D$37:$AL$37,MATCH(L$7,'Inputs (2)'!$D$2:$AL$2,0))</f>
        <v>0</v>
      </c>
      <c r="M238" s="268">
        <f>L238</f>
        <v>0</v>
      </c>
      <c r="N238" s="301">
        <f>INDEX('Inputs (2)'!$D$37:$AL$37,MATCH(N$7,'Inputs (2)'!$D$2:$AL$2,0))</f>
        <v>0</v>
      </c>
      <c r="O238" s="301">
        <f>INDEX('Inputs (2)'!$D$37:$AL$37,MATCH(O$7,'Inputs (2)'!$D$2:$AL$2,0))</f>
        <v>0</v>
      </c>
      <c r="P238" s="301">
        <f>INDEX('Inputs (2)'!$D$37:$AL$37,MATCH(P$7,'Inputs (2)'!$D$2:$AL$2,0))</f>
        <v>0</v>
      </c>
      <c r="Q238" s="301">
        <f>INDEX('Inputs (2)'!$D$37:$AL$37,MATCH(Q$7,'Inputs (2)'!$D$2:$AL$2,0))</f>
        <v>0</v>
      </c>
      <c r="R238" s="268">
        <f>Q238</f>
        <v>0</v>
      </c>
      <c r="S238" s="301">
        <f>INDEX('Inputs (2)'!$D$37:$AL$37,MATCH(S$7,'Inputs (2)'!$D$2:$AL$2,0))</f>
        <v>0</v>
      </c>
      <c r="T238" s="301">
        <f>INDEX('Inputs (2)'!$D$37:$AL$37,MATCH(T$7,'Inputs (2)'!$D$2:$AL$2,0))</f>
        <v>0</v>
      </c>
      <c r="U238" s="301">
        <f>INDEX('Inputs (2)'!$D$37:$AL$37,MATCH(U$7,'Inputs (2)'!$D$2:$AL$2,0))</f>
        <v>0</v>
      </c>
      <c r="V238" s="301">
        <f>INDEX('Inputs (2)'!$D$37:$AL$37,MATCH(V$7,'Inputs (2)'!$D$2:$AL$2,0))</f>
        <v>0</v>
      </c>
      <c r="W238" s="268">
        <f>V238</f>
        <v>0</v>
      </c>
      <c r="X238" s="301">
        <f>INDEX('Inputs (2)'!$D$37:$AL$37,MATCH(X$7,'Inputs (2)'!$D$2:$AL$2,0))</f>
        <v>0</v>
      </c>
      <c r="Y238" s="301">
        <f>INDEX('Inputs (2)'!$D$37:$AL$37,MATCH(Y$7,'Inputs (2)'!$D$2:$AL$2,0))</f>
        <v>0</v>
      </c>
      <c r="Z238" s="301">
        <f>INDEX('Inputs (2)'!$D$37:$AL$37,MATCH(Z$7,'Inputs (2)'!$D$2:$AL$2,0))</f>
        <v>0</v>
      </c>
      <c r="AA238" s="301">
        <f>INDEX('Inputs (2)'!$D$37:$AL$37,MATCH(AA$7,'Inputs (2)'!$D$2:$AL$2,0))</f>
        <v>0</v>
      </c>
      <c r="AB238" s="268">
        <f>AA238</f>
        <v>0</v>
      </c>
      <c r="AC238" s="301">
        <f>INDEX('Inputs (2)'!$D$37:$AL$37,MATCH(AC$7,'Inputs (2)'!$D$2:$AL$2,0))</f>
        <v>0</v>
      </c>
      <c r="AD238" s="301">
        <f>INDEX('Inputs (2)'!$D$37:$AL$37,MATCH(AD$7,'Inputs (2)'!$D$2:$AL$2,0))</f>
        <v>0</v>
      </c>
      <c r="AE238" s="301">
        <f>INDEX('Inputs (2)'!$D$37:$AL$37,MATCH(AE$7,'Inputs (2)'!$D$2:$AL$2,0))</f>
        <v>0</v>
      </c>
      <c r="AF238" s="301">
        <f>INDEX('Inputs (2)'!$D$37:$AL$37,MATCH(AF$7,'Inputs (2)'!$D$2:$AL$2,0))</f>
        <v>0</v>
      </c>
      <c r="AG238" s="268">
        <f>AF238</f>
        <v>0</v>
      </c>
      <c r="AH238" s="268">
        <f>INDEX('Inputs (2)'!$D$37:$AL$37,MATCH(AH$7,'Inputs (2)'!$D$2:$AL$2,0))</f>
        <v>0</v>
      </c>
      <c r="AI238" s="268">
        <f>INDEX('Inputs (2)'!$D$37:$AL$37,MATCH(AI$7,'Inputs (2)'!$D$2:$AL$2,0))</f>
        <v>0</v>
      </c>
      <c r="AJ238" s="268">
        <f>AI238</f>
        <v>0</v>
      </c>
      <c r="AK238" s="268">
        <f>AJ238</f>
        <v>0</v>
      </c>
      <c r="AL238" s="268">
        <f>AK238</f>
        <v>0</v>
      </c>
      <c r="AM238" s="268">
        <f>AL238</f>
        <v>0</v>
      </c>
      <c r="AN238" s="268">
        <f>AM238</f>
        <v>0</v>
      </c>
      <c r="AO238" s="268">
        <f>AN238</f>
        <v>0</v>
      </c>
      <c r="AP238" s="268">
        <f>AO238</f>
        <v>0</v>
      </c>
      <c r="AQ238" s="268">
        <f>AP238</f>
        <v>0</v>
      </c>
      <c r="AR238" s="268">
        <f>AQ238</f>
        <v>0</v>
      </c>
      <c r="AS238" s="268">
        <f>AR238</f>
        <v>0</v>
      </c>
      <c r="AT238" s="268">
        <f>AS238</f>
        <v>0</v>
      </c>
      <c r="AU238" s="268">
        <f>AT238</f>
        <v>0</v>
      </c>
      <c r="AV238" s="268">
        <f>AU238</f>
        <v>0</v>
      </c>
      <c r="AW238" s="268">
        <f>AV238</f>
        <v>0</v>
      </c>
      <c r="AX238" s="268">
        <f>AW238</f>
        <v>0</v>
      </c>
      <c r="AY238" s="268">
        <f>AX238</f>
        <v>0</v>
      </c>
      <c r="AZ238" s="268">
        <f>AY238</f>
        <v>0</v>
      </c>
      <c r="BA238" s="268">
        <f>AZ238</f>
        <v>0</v>
      </c>
      <c r="BB238" s="268">
        <f>BA238</f>
        <v>0</v>
      </c>
      <c r="BC238" s="268">
        <f>BB238</f>
        <v>0</v>
      </c>
      <c r="BD238" s="268">
        <f>BC238</f>
        <v>0</v>
      </c>
      <c r="BE238" s="268">
        <f>BD238</f>
        <v>0</v>
      </c>
      <c r="BF238" s="268">
        <f>BE238</f>
        <v>0</v>
      </c>
      <c r="BG238" s="268">
        <f>BF238</f>
        <v>0</v>
      </c>
      <c r="BH238" s="268">
        <f>BG238</f>
        <v>0</v>
      </c>
      <c r="BI238" s="268">
        <f>BH238</f>
        <v>0</v>
      </c>
      <c r="BJ238" s="268">
        <f>BI238</f>
        <v>0</v>
      </c>
      <c r="BK238" s="268">
        <f>BJ238</f>
        <v>0</v>
      </c>
      <c r="BL238" s="268">
        <f>BK238</f>
        <v>0</v>
      </c>
      <c r="BM238" s="268">
        <f>BL238</f>
        <v>0</v>
      </c>
      <c r="BN238" s="268">
        <f>BM238</f>
        <v>0</v>
      </c>
      <c r="BO238" s="268">
        <f>BN238</f>
        <v>0</v>
      </c>
      <c r="BP238" s="268">
        <f>BO238</f>
        <v>0</v>
      </c>
      <c r="BQ238" s="268">
        <f>BP238</f>
        <v>0</v>
      </c>
      <c r="BR238" s="268">
        <f>BQ238</f>
        <v>0</v>
      </c>
      <c r="BS238" s="268">
        <f>BR238</f>
        <v>0</v>
      </c>
      <c r="BT238" s="268">
        <f>BS238</f>
        <v>0</v>
      </c>
      <c r="BU238" s="268">
        <f>BT238</f>
        <v>0</v>
      </c>
      <c r="BV238" s="268">
        <f>BU238</f>
        <v>0</v>
      </c>
      <c r="BW238" s="268">
        <f>BV238</f>
        <v>0</v>
      </c>
      <c r="BX238" s="268">
        <f>BW238</f>
        <v>0</v>
      </c>
      <c r="BY238" s="268">
        <f>BX238</f>
        <v>0</v>
      </c>
      <c r="BZ238" s="268">
        <f>BY238</f>
        <v>0</v>
      </c>
      <c r="CA238" s="268">
        <f>BZ238</f>
        <v>0</v>
      </c>
      <c r="CB238" s="268">
        <f>CA238</f>
        <v>0</v>
      </c>
      <c r="CC238" s="268">
        <f>CB238</f>
        <v>0</v>
      </c>
      <c r="CD238" s="268">
        <f>CC238</f>
        <v>0</v>
      </c>
      <c r="CE238" s="268">
        <f>CD238</f>
        <v>0</v>
      </c>
      <c r="CF238" s="268">
        <f>CE238</f>
        <v>0</v>
      </c>
      <c r="CG238" s="268">
        <f>CF238</f>
        <v>0</v>
      </c>
      <c r="CH238" s="268">
        <f>CG238</f>
        <v>0</v>
      </c>
      <c r="CI238" s="268">
        <f>CH238</f>
        <v>0</v>
      </c>
      <c r="CJ238" s="268">
        <f>CI238</f>
        <v>0</v>
      </c>
      <c r="CK238" s="268">
        <f>CJ238</f>
        <v>0</v>
      </c>
      <c r="CL238" s="268">
        <f>CK238</f>
        <v>0</v>
      </c>
      <c r="CM238" s="268">
        <f>CL238</f>
        <v>0</v>
      </c>
      <c r="CN238" s="268">
        <f>CM238</f>
        <v>0</v>
      </c>
      <c r="CO238" s="268">
        <f>CN238</f>
        <v>0</v>
      </c>
      <c r="CP238" s="268">
        <f>CO238</f>
        <v>0</v>
      </c>
      <c r="CQ238" s="268">
        <f>CP238</f>
        <v>0</v>
      </c>
      <c r="CR238" s="268">
        <f>CQ238</f>
        <v>0</v>
      </c>
      <c r="CS238" s="268">
        <f>CR238</f>
        <v>0</v>
      </c>
      <c r="CT238" s="268">
        <f>CS238</f>
        <v>0</v>
      </c>
      <c r="CU238" s="268">
        <f>CT238</f>
        <v>0</v>
      </c>
      <c r="CV238" s="268">
        <f>CU238</f>
        <v>0</v>
      </c>
      <c r="CW238" s="268">
        <f>CV238</f>
        <v>0</v>
      </c>
      <c r="CX238" s="268">
        <f>CW238</f>
        <v>0</v>
      </c>
      <c r="CY238" s="268">
        <f>CX238</f>
        <v>0</v>
      </c>
    </row>
    <row r="239" ht="12.75" customHeight="1" s="255">
      <c r="C239" s="270" t="inlineStr">
        <is>
          <t>Deferred income taxes</t>
        </is>
      </c>
      <c r="D239" s="301">
        <f>INDEX('Inputs (2)'!$D$38:$AL$38,MATCH(D$7,'Inputs (2)'!$D$2:$AL$2,0))</f>
        <v>294</v>
      </c>
      <c r="E239" s="301">
        <f>INDEX('Inputs (2)'!$D$38:$AL$38,MATCH(E$7,'Inputs (2)'!$D$2:$AL$2,0))</f>
        <v>309</v>
      </c>
      <c r="F239" s="301">
        <f>INDEX('Inputs (2)'!$D$38:$AL$38,MATCH(F$7,'Inputs (2)'!$D$2:$AL$2,0))</f>
        <v>335</v>
      </c>
      <c r="G239" s="301">
        <f>INDEX('Inputs (2)'!$D$38:$AL$38,MATCH(G$7,'Inputs (2)'!$D$2:$AL$2,0))</f>
        <v>360</v>
      </c>
      <c r="H239" s="268">
        <f>G239</f>
        <v>360</v>
      </c>
      <c r="I239" s="301">
        <f>INDEX('Inputs (2)'!$D$38:$AL$38,MATCH(I$7,'Inputs (2)'!$D$2:$AL$2,0))</f>
        <v>384</v>
      </c>
      <c r="J239" s="301">
        <f>INDEX('Inputs (2)'!$D$38:$AL$38,MATCH(J$7,'Inputs (2)'!$D$2:$AL$2,0))</f>
        <v>413</v>
      </c>
      <c r="K239" s="301">
        <f>INDEX('Inputs (2)'!$D$38:$AL$38,MATCH(K$7,'Inputs (2)'!$D$2:$AL$2,0))</f>
        <v>323</v>
      </c>
      <c r="L239" s="301">
        <f>INDEX('Inputs (2)'!$D$38:$AL$38,MATCH(L$7,'Inputs (2)'!$D$2:$AL$2,0))</f>
        <v>338</v>
      </c>
      <c r="M239" s="268">
        <f>L239</f>
        <v>338</v>
      </c>
      <c r="N239" s="301">
        <f>INDEX('Inputs (2)'!$D$38:$AL$38,MATCH(N$7,'Inputs (2)'!$D$2:$AL$2,0))</f>
        <v>354</v>
      </c>
      <c r="O239" s="301">
        <f>INDEX('Inputs (2)'!$D$38:$AL$38,MATCH(O$7,'Inputs (2)'!$D$2:$AL$2,0))</f>
        <v>315</v>
      </c>
      <c r="P239" s="301">
        <f>INDEX('Inputs (2)'!$D$38:$AL$38,MATCH(P$7,'Inputs (2)'!$D$2:$AL$2,0))</f>
        <v>335</v>
      </c>
      <c r="Q239" s="301">
        <f>INDEX('Inputs (2)'!$D$38:$AL$38,MATCH(Q$7,'Inputs (2)'!$D$2:$AL$2,0))</f>
        <v>365</v>
      </c>
      <c r="R239" s="268">
        <f>Q239</f>
        <v>365</v>
      </c>
      <c r="S239" s="301">
        <f>INDEX('Inputs (2)'!$D$38:$AL$38,MATCH(S$7,'Inputs (2)'!$D$2:$AL$2,0))</f>
        <v>375</v>
      </c>
      <c r="T239" s="301">
        <f>INDEX('Inputs (2)'!$D$38:$AL$38,MATCH(T$7,'Inputs (2)'!$D$2:$AL$2,0))</f>
        <v>381</v>
      </c>
      <c r="U239" s="301">
        <f>INDEX('Inputs (2)'!$D$38:$AL$38,MATCH(U$7,'Inputs (2)'!$D$2:$AL$2,0))</f>
        <v>380</v>
      </c>
      <c r="V239" s="301">
        <f>INDEX('Inputs (2)'!$D$38:$AL$38,MATCH(V$7,'Inputs (2)'!$D$2:$AL$2,0))</f>
        <v>400</v>
      </c>
      <c r="W239" s="268">
        <f>V239</f>
        <v>400</v>
      </c>
      <c r="X239" s="301">
        <f>INDEX('Inputs (2)'!$D$38:$AL$38,MATCH(X$7,'Inputs (2)'!$D$2:$AL$2,0))</f>
        <v>385</v>
      </c>
      <c r="Y239" s="301">
        <f>INDEX('Inputs (2)'!$D$38:$AL$38,MATCH(Y$7,'Inputs (2)'!$D$2:$AL$2,0))</f>
        <v>369</v>
      </c>
      <c r="Z239" s="301">
        <f>INDEX('Inputs (2)'!$D$38:$AL$38,MATCH(Z$7,'Inputs (2)'!$D$2:$AL$2,0))</f>
        <v>376</v>
      </c>
      <c r="AA239" s="301">
        <f>INDEX('Inputs (2)'!$D$38:$AL$38,MATCH(AA$7,'Inputs (2)'!$D$2:$AL$2,0))</f>
        <v>379</v>
      </c>
      <c r="AB239" s="268">
        <f>AA239</f>
        <v>379</v>
      </c>
      <c r="AC239" s="301">
        <f>INDEX('Inputs (2)'!$D$38:$AL$38,MATCH(AC$7,'Inputs (2)'!$D$2:$AL$2,0))</f>
        <v>373</v>
      </c>
      <c r="AD239" s="301">
        <f>INDEX('Inputs (2)'!$D$38:$AL$38,MATCH(AD$7,'Inputs (2)'!$D$2:$AL$2,0))</f>
        <v>347</v>
      </c>
      <c r="AE239" s="301">
        <f>INDEX('Inputs (2)'!$D$38:$AL$38,MATCH(AE$7,'Inputs (2)'!$D$2:$AL$2,0))</f>
        <v>925</v>
      </c>
      <c r="AF239" s="301">
        <f>INDEX('Inputs (2)'!$D$38:$AL$38,MATCH(AF$7,'Inputs (2)'!$D$2:$AL$2,0))</f>
        <v>988</v>
      </c>
      <c r="AG239" s="268">
        <f>AF239</f>
        <v>988</v>
      </c>
      <c r="AH239" s="268">
        <f>INDEX('Inputs (2)'!$D$38:$AL$38,MATCH(AH$7,'Inputs (2)'!$D$2:$AL$2,0))</f>
        <v>929</v>
      </c>
      <c r="AI239" s="268">
        <f>INDEX('Inputs (2)'!$D$38:$AL$38,MATCH(AI$7,'Inputs (2)'!$D$2:$AL$2,0))</f>
        <v>931</v>
      </c>
      <c r="AJ239" s="268">
        <f>AI239</f>
        <v>931</v>
      </c>
      <c r="AK239" s="268">
        <f>AJ239</f>
        <v>931</v>
      </c>
      <c r="AL239" s="268">
        <f>AK239</f>
        <v>931</v>
      </c>
      <c r="AM239" s="268">
        <f>AL239</f>
        <v>931</v>
      </c>
      <c r="AN239" s="268">
        <f>AM239</f>
        <v>931</v>
      </c>
      <c r="AO239" s="268">
        <f>AN239</f>
        <v>931</v>
      </c>
      <c r="AP239" s="268">
        <f>AO239</f>
        <v>931</v>
      </c>
      <c r="AQ239" s="268">
        <f>AP239</f>
        <v>931</v>
      </c>
      <c r="AR239" s="268">
        <f>AQ239</f>
        <v>931</v>
      </c>
      <c r="AS239" s="268">
        <f>AR239</f>
        <v>931</v>
      </c>
      <c r="AT239" s="268">
        <f>AS239</f>
        <v>931</v>
      </c>
      <c r="AU239" s="268">
        <f>AT239</f>
        <v>931</v>
      </c>
      <c r="AV239" s="268">
        <f>AU239</f>
        <v>931</v>
      </c>
      <c r="AW239" s="268">
        <f>AV239</f>
        <v>931</v>
      </c>
      <c r="AX239" s="268">
        <f>AW239</f>
        <v>931</v>
      </c>
      <c r="AY239" s="268">
        <f>AX239</f>
        <v>931</v>
      </c>
      <c r="AZ239" s="268">
        <f>AY239</f>
        <v>931</v>
      </c>
      <c r="BA239" s="268">
        <f>AZ239</f>
        <v>931</v>
      </c>
      <c r="BB239" s="268">
        <f>BA239</f>
        <v>931</v>
      </c>
      <c r="BC239" s="268">
        <f>BB239</f>
        <v>931</v>
      </c>
      <c r="BD239" s="268">
        <f>BC239</f>
        <v>931</v>
      </c>
      <c r="BE239" s="268">
        <f>BD239</f>
        <v>931</v>
      </c>
      <c r="BF239" s="268">
        <f>BE239</f>
        <v>931</v>
      </c>
      <c r="BG239" s="268">
        <f>BF239</f>
        <v>931</v>
      </c>
      <c r="BH239" s="268">
        <f>BG239</f>
        <v>931</v>
      </c>
      <c r="BI239" s="268">
        <f>BH239</f>
        <v>931</v>
      </c>
      <c r="BJ239" s="268">
        <f>BI239</f>
        <v>931</v>
      </c>
      <c r="BK239" s="268">
        <f>BJ239</f>
        <v>931</v>
      </c>
      <c r="BL239" s="268">
        <f>BK239</f>
        <v>931</v>
      </c>
      <c r="BM239" s="268">
        <f>BL239</f>
        <v>931</v>
      </c>
      <c r="BN239" s="268">
        <f>BM239</f>
        <v>931</v>
      </c>
      <c r="BO239" s="268">
        <f>BN239</f>
        <v>931</v>
      </c>
      <c r="BP239" s="268">
        <f>BO239</f>
        <v>931</v>
      </c>
      <c r="BQ239" s="268">
        <f>BP239</f>
        <v>931</v>
      </c>
      <c r="BR239" s="268">
        <f>BQ239</f>
        <v>931</v>
      </c>
      <c r="BS239" s="268">
        <f>BR239</f>
        <v>931</v>
      </c>
      <c r="BT239" s="268">
        <f>BS239</f>
        <v>931</v>
      </c>
      <c r="BU239" s="268">
        <f>BT239</f>
        <v>931</v>
      </c>
      <c r="BV239" s="268">
        <f>BU239</f>
        <v>931</v>
      </c>
      <c r="BW239" s="268">
        <f>BV239</f>
        <v>931</v>
      </c>
      <c r="BX239" s="268">
        <f>BW239</f>
        <v>931</v>
      </c>
      <c r="BY239" s="268">
        <f>BX239</f>
        <v>931</v>
      </c>
      <c r="BZ239" s="268">
        <f>BY239</f>
        <v>931</v>
      </c>
      <c r="CA239" s="268">
        <f>BZ239</f>
        <v>931</v>
      </c>
      <c r="CB239" s="268">
        <f>CA239</f>
        <v>931</v>
      </c>
      <c r="CC239" s="268">
        <f>CB239</f>
        <v>931</v>
      </c>
      <c r="CD239" s="268">
        <f>CC239</f>
        <v>931</v>
      </c>
      <c r="CE239" s="268">
        <f>CD239</f>
        <v>931</v>
      </c>
      <c r="CF239" s="268">
        <f>CE239</f>
        <v>931</v>
      </c>
      <c r="CG239" s="268">
        <f>CF239</f>
        <v>931</v>
      </c>
      <c r="CH239" s="268">
        <f>CG239</f>
        <v>931</v>
      </c>
      <c r="CI239" s="268">
        <f>CH239</f>
        <v>931</v>
      </c>
      <c r="CJ239" s="268">
        <f>CI239</f>
        <v>931</v>
      </c>
      <c r="CK239" s="268">
        <f>CJ239</f>
        <v>931</v>
      </c>
      <c r="CL239" s="268">
        <f>CK239</f>
        <v>931</v>
      </c>
      <c r="CM239" s="268">
        <f>CL239</f>
        <v>931</v>
      </c>
      <c r="CN239" s="268">
        <f>CM239</f>
        <v>931</v>
      </c>
      <c r="CO239" s="268">
        <f>CN239</f>
        <v>931</v>
      </c>
      <c r="CP239" s="268">
        <f>CO239</f>
        <v>931</v>
      </c>
      <c r="CQ239" s="268">
        <f>CP239</f>
        <v>931</v>
      </c>
      <c r="CR239" s="268">
        <f>CQ239</f>
        <v>931</v>
      </c>
      <c r="CS239" s="268">
        <f>CR239</f>
        <v>931</v>
      </c>
      <c r="CT239" s="268">
        <f>CS239</f>
        <v>931</v>
      </c>
      <c r="CU239" s="268">
        <f>CT239</f>
        <v>931</v>
      </c>
      <c r="CV239" s="268">
        <f>CU239</f>
        <v>931</v>
      </c>
      <c r="CW239" s="268">
        <f>CV239</f>
        <v>931</v>
      </c>
      <c r="CX239" s="268">
        <f>CW239</f>
        <v>931</v>
      </c>
      <c r="CY239" s="268">
        <f>CX239</f>
        <v>931</v>
      </c>
    </row>
    <row r="240" ht="12.75" customHeight="1" s="255">
      <c r="C240" s="270" t="inlineStr">
        <is>
          <t>Other non-current liabilities</t>
        </is>
      </c>
      <c r="D240" s="301">
        <f>INDEX('Inputs (2)'!$D$39:$AL$39,MATCH(D$7,'Inputs (2)'!$D$2:$AL$2,0))</f>
        <v>667</v>
      </c>
      <c r="E240" s="301">
        <f>INDEX('Inputs (2)'!$D$39:$AL$39,MATCH(E$7,'Inputs (2)'!$D$2:$AL$2,0))</f>
        <v>665</v>
      </c>
      <c r="F240" s="301">
        <f>INDEX('Inputs (2)'!$D$39:$AL$39,MATCH(F$7,'Inputs (2)'!$D$2:$AL$2,0))</f>
        <v>637</v>
      </c>
      <c r="G240" s="301">
        <f>INDEX('Inputs (2)'!$D$39:$AL$39,MATCH(G$7,'Inputs (2)'!$D$2:$AL$2,0))</f>
        <v>657</v>
      </c>
      <c r="H240" s="268">
        <f>G240</f>
        <v>657</v>
      </c>
      <c r="I240" s="301">
        <f>INDEX('Inputs (2)'!$D$39:$AL$39,MATCH(I$7,'Inputs (2)'!$D$2:$AL$2,0))</f>
        <v>658</v>
      </c>
      <c r="J240" s="301">
        <f>INDEX('Inputs (2)'!$D$39:$AL$39,MATCH(J$7,'Inputs (2)'!$D$2:$AL$2,0))</f>
        <v>664</v>
      </c>
      <c r="K240" s="301">
        <f>INDEX('Inputs (2)'!$D$39:$AL$39,MATCH(K$7,'Inputs (2)'!$D$2:$AL$2,0))</f>
        <v>657</v>
      </c>
      <c r="L240" s="301">
        <f>INDEX('Inputs (2)'!$D$39:$AL$39,MATCH(L$7,'Inputs (2)'!$D$2:$AL$2,0))</f>
        <v>658</v>
      </c>
      <c r="M240" s="268">
        <f>L240</f>
        <v>658</v>
      </c>
      <c r="N240" s="301">
        <f>INDEX('Inputs (2)'!$D$39:$AL$39,MATCH(N$7,'Inputs (2)'!$D$2:$AL$2,0))</f>
        <v>800</v>
      </c>
      <c r="O240" s="301">
        <f>INDEX('Inputs (2)'!$D$39:$AL$39,MATCH(O$7,'Inputs (2)'!$D$2:$AL$2,0))</f>
        <v>816</v>
      </c>
      <c r="P240" s="301">
        <f>INDEX('Inputs (2)'!$D$39:$AL$39,MATCH(P$7,'Inputs (2)'!$D$2:$AL$2,0))</f>
        <v>918</v>
      </c>
      <c r="Q240" s="301">
        <f>INDEX('Inputs (2)'!$D$39:$AL$39,MATCH(Q$7,'Inputs (2)'!$D$2:$AL$2,0))</f>
        <v>849</v>
      </c>
      <c r="R240" s="268">
        <f>Q240</f>
        <v>849</v>
      </c>
      <c r="S240" s="301">
        <f>INDEX('Inputs (2)'!$D$39:$AL$39,MATCH(S$7,'Inputs (2)'!$D$2:$AL$2,0))</f>
        <v>802</v>
      </c>
      <c r="T240" s="301">
        <f>INDEX('Inputs (2)'!$D$39:$AL$39,MATCH(T$7,'Inputs (2)'!$D$2:$AL$2,0))</f>
        <v>871</v>
      </c>
      <c r="U240" s="301">
        <f>INDEX('Inputs (2)'!$D$39:$AL$39,MATCH(U$7,'Inputs (2)'!$D$2:$AL$2,0))</f>
        <v>900</v>
      </c>
      <c r="V240" s="301">
        <f>INDEX('Inputs (2)'!$D$39:$AL$39,MATCH(V$7,'Inputs (2)'!$D$2:$AL$2,0))</f>
        <v>824</v>
      </c>
      <c r="W240" s="268">
        <f>V240</f>
        <v>824</v>
      </c>
      <c r="X240" s="301">
        <f>INDEX('Inputs (2)'!$D$39:$AL$39,MATCH(X$7,'Inputs (2)'!$D$2:$AL$2,0))</f>
        <v>842</v>
      </c>
      <c r="Y240" s="301">
        <f>INDEX('Inputs (2)'!$D$39:$AL$39,MATCH(Y$7,'Inputs (2)'!$D$2:$AL$2,0))</f>
        <v>805</v>
      </c>
      <c r="Z240" s="301">
        <f>INDEX('Inputs (2)'!$D$39:$AL$39,MATCH(Z$7,'Inputs (2)'!$D$2:$AL$2,0))</f>
        <v>671</v>
      </c>
      <c r="AA240" s="301">
        <f>INDEX('Inputs (2)'!$D$39:$AL$39,MATCH(AA$7,'Inputs (2)'!$D$2:$AL$2,0))</f>
        <v>848</v>
      </c>
      <c r="AB240" s="268">
        <f>AA240</f>
        <v>848</v>
      </c>
      <c r="AC240" s="301">
        <f>INDEX('Inputs (2)'!$D$39:$AL$39,MATCH(AC$7,'Inputs (2)'!$D$2:$AL$2,0))</f>
        <v>787</v>
      </c>
      <c r="AD240" s="301">
        <f>INDEX('Inputs (2)'!$D$39:$AL$39,MATCH(AD$7,'Inputs (2)'!$D$2:$AL$2,0))</f>
        <v>762</v>
      </c>
      <c r="AE240" s="301">
        <f>INDEX('Inputs (2)'!$D$39:$AL$39,MATCH(AE$7,'Inputs (2)'!$D$2:$AL$2,0))</f>
        <v>1026</v>
      </c>
      <c r="AF240" s="301">
        <f>INDEX('Inputs (2)'!$D$39:$AL$39,MATCH(AF$7,'Inputs (2)'!$D$2:$AL$2,0))</f>
        <v>1065</v>
      </c>
      <c r="AG240" s="268">
        <f>AF240</f>
        <v>1065</v>
      </c>
      <c r="AH240" s="268">
        <f>INDEX('Inputs (2)'!$D$39:$AL$39,MATCH(AH$7,'Inputs (2)'!$D$2:$AL$2,0))</f>
        <v>1150</v>
      </c>
      <c r="AI240" s="268">
        <f>INDEX('Inputs (2)'!$D$39:$AL$39,MATCH(AI$7,'Inputs (2)'!$D$2:$AL$2,0))</f>
        <v>1187</v>
      </c>
      <c r="AJ240" s="268">
        <f>AI240</f>
        <v>1187</v>
      </c>
      <c r="AK240" s="268">
        <f>AJ240</f>
        <v>1187</v>
      </c>
      <c r="AL240" s="268">
        <f>AK240</f>
        <v>1187</v>
      </c>
      <c r="AM240" s="268">
        <f>AL240</f>
        <v>1187</v>
      </c>
      <c r="AN240" s="268">
        <f>AM240</f>
        <v>1187</v>
      </c>
      <c r="AO240" s="268">
        <f>AN240</f>
        <v>1187</v>
      </c>
      <c r="AP240" s="268">
        <f>AO240</f>
        <v>1187</v>
      </c>
      <c r="AQ240" s="268">
        <f>AP240</f>
        <v>1187</v>
      </c>
      <c r="AR240" s="268">
        <f>AQ240</f>
        <v>1187</v>
      </c>
      <c r="AS240" s="268">
        <f>AR240</f>
        <v>1187</v>
      </c>
      <c r="AT240" s="268">
        <f>AS240</f>
        <v>1187</v>
      </c>
      <c r="AU240" s="268">
        <f>AT240</f>
        <v>1187</v>
      </c>
      <c r="AV240" s="268">
        <f>AU240</f>
        <v>1187</v>
      </c>
      <c r="AW240" s="268">
        <f>AV240</f>
        <v>1187</v>
      </c>
      <c r="AX240" s="268">
        <f>AW240</f>
        <v>1187</v>
      </c>
      <c r="AY240" s="268">
        <f>AX240</f>
        <v>1187</v>
      </c>
      <c r="AZ240" s="268">
        <f>AY240</f>
        <v>1187</v>
      </c>
      <c r="BA240" s="268">
        <f>AZ240</f>
        <v>1187</v>
      </c>
      <c r="BB240" s="268">
        <f>BA240</f>
        <v>1187</v>
      </c>
      <c r="BC240" s="268">
        <f>BB240</f>
        <v>1187</v>
      </c>
      <c r="BD240" s="268">
        <f>BC240</f>
        <v>1187</v>
      </c>
      <c r="BE240" s="268">
        <f>BD240</f>
        <v>1187</v>
      </c>
      <c r="BF240" s="268">
        <f>BE240</f>
        <v>1187</v>
      </c>
      <c r="BG240" s="268">
        <f>BF240</f>
        <v>1187</v>
      </c>
      <c r="BH240" s="268">
        <f>BG240</f>
        <v>1187</v>
      </c>
      <c r="BI240" s="268">
        <f>BH240</f>
        <v>1187</v>
      </c>
      <c r="BJ240" s="268">
        <f>BI240</f>
        <v>1187</v>
      </c>
      <c r="BK240" s="268">
        <f>BJ240</f>
        <v>1187</v>
      </c>
      <c r="BL240" s="268">
        <f>BK240</f>
        <v>1187</v>
      </c>
      <c r="BM240" s="268">
        <f>BL240</f>
        <v>1187</v>
      </c>
      <c r="BN240" s="268">
        <f>BM240</f>
        <v>1187</v>
      </c>
      <c r="BO240" s="268">
        <f>BN240</f>
        <v>1187</v>
      </c>
      <c r="BP240" s="268">
        <f>BO240</f>
        <v>1187</v>
      </c>
      <c r="BQ240" s="268">
        <f>BP240</f>
        <v>1187</v>
      </c>
      <c r="BR240" s="268">
        <f>BQ240</f>
        <v>1187</v>
      </c>
      <c r="BS240" s="268">
        <f>BR240</f>
        <v>1187</v>
      </c>
      <c r="BT240" s="268">
        <f>BS240</f>
        <v>1187</v>
      </c>
      <c r="BU240" s="268">
        <f>BT240</f>
        <v>1187</v>
      </c>
      <c r="BV240" s="268">
        <f>BU240</f>
        <v>1187</v>
      </c>
      <c r="BW240" s="268">
        <f>BV240</f>
        <v>1187</v>
      </c>
      <c r="BX240" s="268">
        <f>BW240</f>
        <v>1187</v>
      </c>
      <c r="BY240" s="268">
        <f>BX240</f>
        <v>1187</v>
      </c>
      <c r="BZ240" s="268">
        <f>BY240</f>
        <v>1187</v>
      </c>
      <c r="CA240" s="268">
        <f>BZ240</f>
        <v>1187</v>
      </c>
      <c r="CB240" s="268">
        <f>CA240</f>
        <v>1187</v>
      </c>
      <c r="CC240" s="268">
        <f>CB240</f>
        <v>1187</v>
      </c>
      <c r="CD240" s="268">
        <f>CC240</f>
        <v>1187</v>
      </c>
      <c r="CE240" s="268">
        <f>CD240</f>
        <v>1187</v>
      </c>
      <c r="CF240" s="268">
        <f>CE240</f>
        <v>1187</v>
      </c>
      <c r="CG240" s="268">
        <f>CF240</f>
        <v>1187</v>
      </c>
      <c r="CH240" s="268">
        <f>CG240</f>
        <v>1187</v>
      </c>
      <c r="CI240" s="268">
        <f>CH240</f>
        <v>1187</v>
      </c>
      <c r="CJ240" s="268">
        <f>CI240</f>
        <v>1187</v>
      </c>
      <c r="CK240" s="268">
        <f>CJ240</f>
        <v>1187</v>
      </c>
      <c r="CL240" s="268">
        <f>CK240</f>
        <v>1187</v>
      </c>
      <c r="CM240" s="268">
        <f>CL240</f>
        <v>1187</v>
      </c>
      <c r="CN240" s="268">
        <f>CM240</f>
        <v>1187</v>
      </c>
      <c r="CO240" s="268">
        <f>CN240</f>
        <v>1187</v>
      </c>
      <c r="CP240" s="268">
        <f>CO240</f>
        <v>1187</v>
      </c>
      <c r="CQ240" s="268">
        <f>CP240</f>
        <v>1187</v>
      </c>
      <c r="CR240" s="268">
        <f>CQ240</f>
        <v>1187</v>
      </c>
      <c r="CS240" s="268">
        <f>CR240</f>
        <v>1187</v>
      </c>
      <c r="CT240" s="268">
        <f>CS240</f>
        <v>1187</v>
      </c>
      <c r="CU240" s="268">
        <f>CT240</f>
        <v>1187</v>
      </c>
      <c r="CV240" s="268">
        <f>CU240</f>
        <v>1187</v>
      </c>
      <c r="CW240" s="268">
        <f>CV240</f>
        <v>1187</v>
      </c>
      <c r="CX240" s="268">
        <f>CW240</f>
        <v>1187</v>
      </c>
      <c r="CY240" s="268">
        <f>CX240</f>
        <v>1187</v>
      </c>
    </row>
    <row r="241" hidden="1" outlineLevel="1" ht="12" customHeight="1" s="255">
      <c r="C241" s="314" t="inlineStr">
        <is>
          <t>%(Var.)</t>
        </is>
      </c>
      <c r="D241" s="268" t="n"/>
      <c r="E241" s="296">
        <f>(E240-D240)/D240</f>
        <v>-0.00299850074962519</v>
      </c>
      <c r="F241" s="296">
        <f>(F240-E240)/E240</f>
        <v>-0.0421052631578947</v>
      </c>
      <c r="G241" s="296">
        <f>(G240-F240)/F240</f>
        <v>0.0313971742543171</v>
      </c>
      <c r="H241" s="268" t="n"/>
      <c r="I241" s="296">
        <f>(I240-H240)/H240</f>
        <v>0.0015220700152207</v>
      </c>
      <c r="J241" s="296">
        <f>(J240-I240)/I240</f>
        <v>0.00911854103343465</v>
      </c>
      <c r="K241" s="296">
        <f>(K240-J240)/J240</f>
        <v>-0.0105421686746988</v>
      </c>
      <c r="L241" s="296">
        <f>(L240-K240)/K240</f>
        <v>0.0015220700152207</v>
      </c>
      <c r="M241" s="268" t="n"/>
      <c r="N241" s="296">
        <f>(N240-M240)/M240</f>
        <v>0.21580547112462</v>
      </c>
      <c r="O241" s="296">
        <f>(O240-N240)/N240</f>
        <v>0.02</v>
      </c>
      <c r="P241" s="296">
        <f>(P240-O240)/O240</f>
        <v>0.125</v>
      </c>
      <c r="Q241" s="296">
        <f>(Q240-P240)/P240</f>
        <v>-0.0751633986928105</v>
      </c>
      <c r="R241" s="268" t="n"/>
      <c r="S241" s="296">
        <f>(S240-R240)/R240</f>
        <v>-0.055359246171967</v>
      </c>
      <c r="T241" s="296">
        <f>(T240-S240)/S240</f>
        <v>0.0860349127182045</v>
      </c>
      <c r="U241" s="296">
        <f>(U240-T240)/T240</f>
        <v>0.0332950631458094</v>
      </c>
      <c r="V241" s="296">
        <f>(V240-U240)/U240</f>
        <v>-0.0844444444444445</v>
      </c>
      <c r="W241" s="268" t="n"/>
      <c r="X241" s="296">
        <f>(X240-W240)/W240</f>
        <v>0.0218446601941748</v>
      </c>
      <c r="Y241" s="296">
        <f>(Y240-X240)/X240</f>
        <v>-0.0439429928741093</v>
      </c>
      <c r="Z241" s="296">
        <f>(Z240-Y240)/Y240</f>
        <v>-0.166459627329193</v>
      </c>
      <c r="AA241" s="296">
        <f>(AA240-Z240)/Z240</f>
        <v>0.263785394932936</v>
      </c>
      <c r="AB241" s="268" t="n"/>
      <c r="AC241" s="296">
        <f>(AC240-AB240)/AB240</f>
        <v>-0.0719339622641509</v>
      </c>
      <c r="AD241" s="296">
        <f>(AD240-AC240)/AC240</f>
        <v>-0.0317662007623888</v>
      </c>
      <c r="AE241" s="296">
        <f>(AE240-AD240)/AD240</f>
        <v>0.346456692913386</v>
      </c>
      <c r="AF241" s="297">
        <f>(AF240-AE240)/AE240</f>
        <v>0.0380116959064327</v>
      </c>
      <c r="AG241" s="268" t="n"/>
      <c r="AH241" s="297">
        <f>(AH240-AG240)/AG240</f>
        <v>0.07981220657277</v>
      </c>
      <c r="AI241" s="297">
        <f>(AI240-AH240)/AH240</f>
        <v>0.0321739130434783</v>
      </c>
      <c r="AJ241" s="297" t="n"/>
      <c r="AK241" s="297" t="n"/>
      <c r="AL241" s="268" t="n"/>
      <c r="AM241" s="297" t="n"/>
      <c r="AN241" s="297" t="n"/>
      <c r="AO241" s="297" t="n"/>
      <c r="AP241" s="297" t="n"/>
      <c r="AQ241" s="268" t="n"/>
      <c r="AR241" s="297" t="n"/>
      <c r="AS241" s="297" t="n"/>
      <c r="AT241" s="297" t="n"/>
      <c r="AU241" s="297" t="n"/>
      <c r="AV241" s="268" t="n"/>
      <c r="AW241" s="297" t="n"/>
      <c r="AX241" s="297" t="n"/>
      <c r="AY241" s="297" t="n"/>
      <c r="AZ241" s="297" t="n"/>
      <c r="BA241" s="268" t="n"/>
      <c r="BB241" s="297" t="n"/>
      <c r="BC241" s="297" t="n"/>
      <c r="BD241" s="297" t="n"/>
      <c r="BE241" s="297" t="n"/>
      <c r="BF241" s="268" t="n"/>
      <c r="BG241" s="297" t="n"/>
      <c r="BH241" s="297" t="n"/>
      <c r="BI241" s="297" t="n"/>
      <c r="BJ241" s="297" t="n"/>
      <c r="BK241" s="268" t="n"/>
      <c r="BL241" s="297" t="n"/>
      <c r="BM241" s="297" t="n"/>
      <c r="BN241" s="297" t="n"/>
      <c r="BO241" s="297" t="n"/>
      <c r="BP241" s="268" t="n"/>
      <c r="BQ241" s="297" t="n"/>
      <c r="BR241" s="297" t="n"/>
      <c r="BS241" s="297" t="n"/>
      <c r="BT241" s="297" t="n"/>
      <c r="BU241" s="268" t="n"/>
      <c r="BV241" s="297" t="n"/>
      <c r="BW241" s="297" t="n"/>
      <c r="BX241" s="297" t="n"/>
      <c r="BY241" s="297" t="n"/>
      <c r="BZ241" s="268" t="n"/>
      <c r="CA241" s="297" t="n"/>
      <c r="CB241" s="297" t="n"/>
      <c r="CC241" s="297" t="n"/>
      <c r="CD241" s="297" t="n"/>
      <c r="CE241" s="268" t="n"/>
      <c r="CF241" s="297" t="n"/>
      <c r="CG241" s="297" t="n"/>
      <c r="CH241" s="297" t="n"/>
      <c r="CI241" s="297" t="n"/>
      <c r="CJ241" s="268" t="n"/>
      <c r="CK241" s="297" t="n"/>
      <c r="CL241" s="297" t="n"/>
      <c r="CM241" s="297" t="n"/>
      <c r="CN241" s="297" t="n"/>
      <c r="CO241" s="268" t="n"/>
      <c r="CP241" s="297" t="n"/>
      <c r="CQ241" s="297" t="n"/>
      <c r="CR241" s="297" t="n"/>
      <c r="CS241" s="297" t="n"/>
      <c r="CT241" s="268" t="n"/>
      <c r="CU241" s="297" t="n"/>
      <c r="CV241" s="297" t="n"/>
      <c r="CW241" s="297" t="n"/>
      <c r="CX241" s="297" t="n"/>
      <c r="CY241" s="268" t="n"/>
    </row>
    <row r="242" hidden="1" outlineLevel="1" ht="12" customHeight="1" s="255">
      <c r="C242" s="314" t="n"/>
      <c r="D242" s="268" t="n"/>
      <c r="E242" s="268" t="n"/>
      <c r="F242" s="268" t="n"/>
      <c r="G242" s="268" t="n"/>
      <c r="H242" s="268" t="n"/>
      <c r="I242" s="268" t="n"/>
      <c r="J242" s="268" t="n"/>
      <c r="K242" s="268" t="n"/>
      <c r="L242" s="268" t="n"/>
      <c r="M242" s="268" t="n"/>
      <c r="N242" s="268" t="n"/>
      <c r="O242" s="268" t="n"/>
      <c r="P242" s="268" t="n"/>
      <c r="Q242" s="268" t="n"/>
      <c r="R242" s="268" t="n"/>
      <c r="S242" s="268" t="n"/>
      <c r="T242" s="268" t="n"/>
      <c r="U242" s="268" t="n"/>
      <c r="V242" s="268" t="n"/>
      <c r="W242" s="268" t="n"/>
      <c r="X242" s="268" t="n"/>
      <c r="Y242" s="268" t="n"/>
      <c r="Z242" s="268" t="n"/>
      <c r="AA242" s="268" t="n"/>
      <c r="AB242" s="268" t="n"/>
      <c r="AC242" s="268" t="n"/>
      <c r="AD242" s="268" t="n"/>
      <c r="AE242" s="268" t="n"/>
      <c r="AF242" s="268" t="n"/>
      <c r="AG242" s="268" t="n"/>
      <c r="AH242" s="268" t="n"/>
      <c r="AI242" s="268" t="n"/>
      <c r="AJ242" s="268" t="n"/>
      <c r="AK242" s="268" t="n"/>
      <c r="AL242" s="268" t="n"/>
      <c r="AM242" s="268" t="n"/>
      <c r="AN242" s="268" t="n"/>
      <c r="AO242" s="268" t="n"/>
      <c r="AP242" s="268" t="n"/>
      <c r="AQ242" s="268" t="n"/>
      <c r="AR242" s="268" t="n"/>
      <c r="AS242" s="268" t="n"/>
      <c r="AT242" s="268" t="n"/>
      <c r="AU242" s="268" t="n"/>
      <c r="AV242" s="268" t="n"/>
      <c r="AW242" s="268" t="n"/>
      <c r="AX242" s="268" t="n"/>
      <c r="AY242" s="268" t="n"/>
      <c r="AZ242" s="268" t="n"/>
      <c r="BA242" s="268" t="n"/>
      <c r="BB242" s="268" t="n"/>
      <c r="BC242" s="268" t="n"/>
      <c r="BD242" s="268" t="n"/>
      <c r="BE242" s="268" t="n"/>
      <c r="BF242" s="268" t="n"/>
      <c r="BG242" s="268" t="n"/>
      <c r="BH242" s="268" t="n"/>
      <c r="BI242" s="268" t="n"/>
      <c r="BJ242" s="268" t="n"/>
      <c r="BK242" s="268" t="n"/>
      <c r="BL242" s="268" t="n"/>
      <c r="BM242" s="268" t="n"/>
      <c r="BN242" s="268" t="n"/>
      <c r="BO242" s="268" t="n"/>
      <c r="BP242" s="268" t="n"/>
      <c r="BQ242" s="268" t="n"/>
      <c r="BR242" s="268" t="n"/>
      <c r="BS242" s="268" t="n"/>
      <c r="BT242" s="268" t="n"/>
      <c r="BU242" s="268" t="n"/>
      <c r="BV242" s="268" t="n"/>
      <c r="BW242" s="268" t="n"/>
      <c r="BX242" s="268" t="n"/>
      <c r="BY242" s="268" t="n"/>
      <c r="BZ242" s="268" t="n"/>
      <c r="CA242" s="268" t="n"/>
      <c r="CB242" s="268" t="n"/>
      <c r="CC242" s="268" t="n"/>
      <c r="CD242" s="268" t="n"/>
      <c r="CE242" s="268" t="n"/>
      <c r="CF242" s="268" t="n"/>
      <c r="CG242" s="268" t="n"/>
      <c r="CH242" s="268" t="n"/>
      <c r="CI242" s="268" t="n"/>
      <c r="CJ242" s="268" t="n"/>
      <c r="CK242" s="268" t="n"/>
      <c r="CL242" s="268" t="n"/>
      <c r="CM242" s="268" t="n"/>
      <c r="CN242" s="268" t="n"/>
      <c r="CO242" s="268" t="n"/>
      <c r="CP242" s="268" t="n"/>
      <c r="CQ242" s="268" t="n"/>
      <c r="CR242" s="268" t="n"/>
      <c r="CS242" s="268" t="n"/>
      <c r="CT242" s="268" t="n"/>
      <c r="CU242" s="268" t="n"/>
      <c r="CV242" s="268" t="n"/>
      <c r="CW242" s="268" t="n"/>
      <c r="CX242" s="268" t="n"/>
      <c r="CY242" s="268" t="n"/>
    </row>
    <row r="243" hidden="1" outlineLevel="1" ht="12.75" customHeight="1" s="255">
      <c r="C243" s="312" t="inlineStr">
        <is>
          <t>Contas a pagar pela aquisição de controladas</t>
        </is>
      </c>
      <c r="D243" s="267" t="n"/>
      <c r="E243" s="267" t="n"/>
      <c r="F243" s="267" t="n"/>
      <c r="G243" s="267" t="n"/>
      <c r="H243" s="268" t="n"/>
      <c r="I243" s="267" t="n"/>
      <c r="J243" s="267" t="n"/>
      <c r="K243" s="267" t="n"/>
      <c r="L243" s="267" t="n"/>
      <c r="M243" s="268" t="n"/>
      <c r="N243" s="267" t="n"/>
      <c r="O243" s="267" t="n"/>
      <c r="P243" s="267" t="n"/>
      <c r="Q243" s="267" t="n"/>
      <c r="R243" s="268" t="n"/>
      <c r="S243" s="267" t="n"/>
      <c r="T243" s="267" t="n"/>
      <c r="U243" s="267" t="n"/>
      <c r="V243" s="267" t="n"/>
      <c r="W243" s="268" t="n"/>
      <c r="X243" s="267" t="n"/>
      <c r="Y243" s="267" t="n"/>
      <c r="Z243" s="267" t="n"/>
      <c r="AA243" s="267" t="n"/>
      <c r="AB243" s="268" t="n"/>
      <c r="AC243" s="267" t="n"/>
      <c r="AD243" s="267" t="n"/>
      <c r="AE243" s="267" t="n"/>
      <c r="AF243" s="267" t="n"/>
      <c r="AG243" s="268" t="n"/>
      <c r="AH243" s="268" t="n"/>
      <c r="AI243" s="268" t="n"/>
      <c r="AJ243" s="268" t="n"/>
      <c r="AK243" s="268" t="n"/>
      <c r="AL243" s="268" t="n"/>
      <c r="AM243" s="268" t="n"/>
      <c r="AN243" s="268" t="n"/>
      <c r="AO243" s="268" t="n"/>
      <c r="AP243" s="268" t="n"/>
      <c r="AQ243" s="268" t="n"/>
      <c r="AR243" s="268" t="n"/>
      <c r="AS243" s="268" t="n"/>
      <c r="AT243" s="268" t="n"/>
      <c r="AU243" s="268" t="n"/>
      <c r="AV243" s="268" t="n"/>
      <c r="AW243" s="268" t="n"/>
      <c r="AX243" s="268" t="n"/>
      <c r="AY243" s="268" t="n"/>
      <c r="AZ243" s="268" t="n"/>
      <c r="BA243" s="268" t="n"/>
      <c r="BB243" s="268" t="n"/>
      <c r="BC243" s="268" t="n"/>
      <c r="BD243" s="268" t="n"/>
      <c r="BE243" s="268" t="n"/>
      <c r="BF243" s="268" t="n"/>
      <c r="BG243" s="268" t="n"/>
      <c r="BH243" s="268" t="n"/>
      <c r="BI243" s="268" t="n"/>
      <c r="BJ243" s="268" t="n"/>
      <c r="BK243" s="268" t="n"/>
      <c r="BL243" s="268" t="n"/>
      <c r="BM243" s="268" t="n"/>
      <c r="BN243" s="268" t="n"/>
      <c r="BO243" s="268" t="n"/>
      <c r="BP243" s="268" t="n"/>
      <c r="BQ243" s="268" t="n"/>
      <c r="BR243" s="268" t="n"/>
      <c r="BS243" s="268" t="n"/>
      <c r="BT243" s="268" t="n"/>
      <c r="BU243" s="268" t="n"/>
      <c r="BV243" s="268" t="n"/>
      <c r="BW243" s="268" t="n"/>
      <c r="BX243" s="268" t="n"/>
      <c r="BY243" s="268" t="n"/>
      <c r="BZ243" s="268" t="n"/>
      <c r="CA243" s="268" t="n"/>
      <c r="CB243" s="268" t="n"/>
      <c r="CC243" s="268" t="n"/>
      <c r="CD243" s="268" t="n"/>
      <c r="CE243" s="268" t="n"/>
      <c r="CF243" s="268" t="n"/>
      <c r="CG243" s="268" t="n"/>
      <c r="CH243" s="268" t="n"/>
      <c r="CI243" s="268" t="n"/>
      <c r="CJ243" s="268" t="n"/>
      <c r="CK243" s="268" t="n"/>
      <c r="CL243" s="268" t="n"/>
      <c r="CM243" s="268" t="n"/>
      <c r="CN243" s="268" t="n"/>
      <c r="CO243" s="268" t="n"/>
      <c r="CP243" s="268" t="n"/>
      <c r="CQ243" s="268" t="n"/>
      <c r="CR243" s="268" t="n"/>
      <c r="CS243" s="268" t="n"/>
      <c r="CT243" s="268" t="n"/>
      <c r="CU243" s="268" t="n"/>
      <c r="CV243" s="268" t="n"/>
      <c r="CW243" s="268" t="n"/>
      <c r="CX243" s="268" t="n"/>
      <c r="CY243" s="268" t="n"/>
    </row>
    <row r="244" hidden="1" outlineLevel="1" ht="12.75" customHeight="1" s="255">
      <c r="C244" s="312" t="inlineStr">
        <is>
          <t xml:space="preserve">Outras Obrigações </t>
        </is>
      </c>
      <c r="D244" s="267" t="n"/>
      <c r="E244" s="267" t="n"/>
      <c r="F244" s="267" t="n"/>
      <c r="G244" s="267" t="n"/>
      <c r="H244" s="268" t="n"/>
      <c r="I244" s="267" t="n"/>
      <c r="J244" s="267" t="n"/>
      <c r="K244" s="267" t="n"/>
      <c r="L244" s="267" t="n"/>
      <c r="M244" s="268" t="n"/>
      <c r="N244" s="267" t="n"/>
      <c r="O244" s="267" t="n"/>
      <c r="P244" s="267" t="n"/>
      <c r="Q244" s="267" t="n"/>
      <c r="R244" s="268" t="n"/>
      <c r="S244" s="267" t="n"/>
      <c r="T244" s="267" t="n"/>
      <c r="U244" s="267" t="n"/>
      <c r="V244" s="267" t="n"/>
      <c r="W244" s="268" t="n"/>
      <c r="X244" s="267" t="n"/>
      <c r="Y244" s="267" t="n"/>
      <c r="Z244" s="267" t="n"/>
      <c r="AA244" s="267" t="n"/>
      <c r="AB244" s="268" t="n"/>
      <c r="AC244" s="267" t="n"/>
      <c r="AD244" s="267" t="n"/>
      <c r="AE244" s="267" t="n"/>
      <c r="AF244" s="267" t="n"/>
      <c r="AG244" s="268" t="n"/>
      <c r="AH244" s="268" t="n"/>
      <c r="AI244" s="268" t="n"/>
      <c r="AJ244" s="268" t="n"/>
      <c r="AK244" s="268" t="n"/>
      <c r="AL244" s="268" t="n"/>
      <c r="AM244" s="268" t="n"/>
      <c r="AN244" s="268" t="n"/>
      <c r="AO244" s="268" t="n"/>
      <c r="AP244" s="268" t="n"/>
      <c r="AQ244" s="268" t="n"/>
      <c r="AR244" s="268" t="n"/>
      <c r="AS244" s="268" t="n"/>
      <c r="AT244" s="268" t="n"/>
      <c r="AU244" s="268" t="n"/>
      <c r="AV244" s="268" t="n"/>
      <c r="AW244" s="268" t="n"/>
      <c r="AX244" s="268" t="n"/>
      <c r="AY244" s="268" t="n"/>
      <c r="AZ244" s="268" t="n"/>
      <c r="BA244" s="268" t="n"/>
      <c r="BB244" s="268" t="n"/>
      <c r="BC244" s="268" t="n"/>
      <c r="BD244" s="268" t="n"/>
      <c r="BE244" s="268" t="n"/>
      <c r="BF244" s="268" t="n"/>
      <c r="BG244" s="268" t="n"/>
      <c r="BH244" s="268" t="n"/>
      <c r="BI244" s="268" t="n"/>
      <c r="BJ244" s="268" t="n"/>
      <c r="BK244" s="268" t="n"/>
      <c r="BL244" s="268" t="n"/>
      <c r="BM244" s="268" t="n"/>
      <c r="BN244" s="268" t="n"/>
      <c r="BO244" s="268" t="n"/>
      <c r="BP244" s="268" t="n"/>
      <c r="BQ244" s="268" t="n"/>
      <c r="BR244" s="268" t="n"/>
      <c r="BS244" s="268" t="n"/>
      <c r="BT244" s="268" t="n"/>
      <c r="BU244" s="268" t="n"/>
      <c r="BV244" s="268" t="n"/>
      <c r="BW244" s="268" t="n"/>
      <c r="BX244" s="268" t="n"/>
      <c r="BY244" s="268" t="n"/>
      <c r="BZ244" s="268" t="n"/>
      <c r="CA244" s="268" t="n"/>
      <c r="CB244" s="268" t="n"/>
      <c r="CC244" s="268" t="n"/>
      <c r="CD244" s="268" t="n"/>
      <c r="CE244" s="268" t="n"/>
      <c r="CF244" s="268" t="n"/>
      <c r="CG244" s="268" t="n"/>
      <c r="CH244" s="268" t="n"/>
      <c r="CI244" s="268" t="n"/>
      <c r="CJ244" s="268" t="n"/>
      <c r="CK244" s="268" t="n"/>
      <c r="CL244" s="268" t="n"/>
      <c r="CM244" s="268" t="n"/>
      <c r="CN244" s="268" t="n"/>
      <c r="CO244" s="268" t="n"/>
      <c r="CP244" s="268" t="n"/>
      <c r="CQ244" s="268" t="n"/>
      <c r="CR244" s="268" t="n"/>
      <c r="CS244" s="268" t="n"/>
      <c r="CT244" s="268" t="n"/>
      <c r="CU244" s="268" t="n"/>
      <c r="CV244" s="268" t="n"/>
      <c r="CW244" s="268" t="n"/>
      <c r="CX244" s="268" t="n"/>
      <c r="CY244" s="268" t="n"/>
    </row>
    <row r="245" hidden="1" outlineLevel="1" ht="12.75" customHeight="1" s="255">
      <c r="C245" s="312" t="inlineStr">
        <is>
          <t xml:space="preserve">Provisão de Risco Cíveis, Trabalhistas e Tributários </t>
        </is>
      </c>
      <c r="D245" s="267" t="n"/>
      <c r="E245" s="267" t="n"/>
      <c r="F245" s="267" t="n"/>
      <c r="G245" s="267" t="n"/>
      <c r="H245" s="268" t="n"/>
      <c r="I245" s="267" t="n"/>
      <c r="J245" s="267" t="n"/>
      <c r="K245" s="267" t="n"/>
      <c r="L245" s="267" t="n"/>
      <c r="M245" s="268" t="n"/>
      <c r="N245" s="267" t="n"/>
      <c r="O245" s="267" t="n"/>
      <c r="P245" s="267" t="n"/>
      <c r="Q245" s="267" t="n"/>
      <c r="R245" s="268" t="n"/>
      <c r="S245" s="267" t="n"/>
      <c r="T245" s="267" t="n"/>
      <c r="U245" s="267" t="n"/>
      <c r="V245" s="267" t="n"/>
      <c r="W245" s="268" t="n"/>
      <c r="X245" s="267" t="n"/>
      <c r="Y245" s="267" t="n"/>
      <c r="Z245" s="267" t="n"/>
      <c r="AA245" s="267" t="n"/>
      <c r="AB245" s="268" t="n"/>
      <c r="AC245" s="267" t="n"/>
      <c r="AD245" s="267" t="n"/>
      <c r="AE245" s="267" t="n"/>
      <c r="AF245" s="267" t="n"/>
      <c r="AG245" s="268" t="n"/>
      <c r="AH245" s="268" t="n"/>
      <c r="AI245" s="268" t="n"/>
      <c r="AJ245" s="268" t="n"/>
      <c r="AK245" s="268" t="n"/>
      <c r="AL245" s="268" t="n"/>
      <c r="AM245" s="268" t="n"/>
      <c r="AN245" s="268" t="n"/>
      <c r="AO245" s="268" t="n"/>
      <c r="AP245" s="268" t="n"/>
      <c r="AQ245" s="268" t="n"/>
      <c r="AR245" s="268" t="n"/>
      <c r="AS245" s="268" t="n"/>
      <c r="AT245" s="268" t="n"/>
      <c r="AU245" s="268" t="n"/>
      <c r="AV245" s="268" t="n"/>
      <c r="AW245" s="268" t="n"/>
      <c r="AX245" s="268" t="n"/>
      <c r="AY245" s="268" t="n"/>
      <c r="AZ245" s="268" t="n"/>
      <c r="BA245" s="268" t="n"/>
      <c r="BB245" s="268" t="n"/>
      <c r="BC245" s="268" t="n"/>
      <c r="BD245" s="268" t="n"/>
      <c r="BE245" s="268" t="n"/>
      <c r="BF245" s="268" t="n"/>
      <c r="BG245" s="268" t="n"/>
      <c r="BH245" s="268" t="n"/>
      <c r="BI245" s="268" t="n"/>
      <c r="BJ245" s="268" t="n"/>
      <c r="BK245" s="268" t="n"/>
      <c r="BL245" s="268" t="n"/>
      <c r="BM245" s="268" t="n"/>
      <c r="BN245" s="268" t="n"/>
      <c r="BO245" s="268" t="n"/>
      <c r="BP245" s="268" t="n"/>
      <c r="BQ245" s="268" t="n"/>
      <c r="BR245" s="268" t="n"/>
      <c r="BS245" s="268" t="n"/>
      <c r="BT245" s="268" t="n"/>
      <c r="BU245" s="268" t="n"/>
      <c r="BV245" s="268" t="n"/>
      <c r="BW245" s="268" t="n"/>
      <c r="BX245" s="268" t="n"/>
      <c r="BY245" s="268" t="n"/>
      <c r="BZ245" s="268" t="n"/>
      <c r="CA245" s="268" t="n"/>
      <c r="CB245" s="268" t="n"/>
      <c r="CC245" s="268" t="n"/>
      <c r="CD245" s="268" t="n"/>
      <c r="CE245" s="268" t="n"/>
      <c r="CF245" s="268" t="n"/>
      <c r="CG245" s="268" t="n"/>
      <c r="CH245" s="268" t="n"/>
      <c r="CI245" s="268" t="n"/>
      <c r="CJ245" s="268" t="n"/>
      <c r="CK245" s="268" t="n"/>
      <c r="CL245" s="268" t="n"/>
      <c r="CM245" s="268" t="n"/>
      <c r="CN245" s="268" t="n"/>
      <c r="CO245" s="268" t="n"/>
      <c r="CP245" s="268" t="n"/>
      <c r="CQ245" s="268" t="n"/>
      <c r="CR245" s="268" t="n"/>
      <c r="CS245" s="268" t="n"/>
      <c r="CT245" s="268" t="n"/>
      <c r="CU245" s="268" t="n"/>
      <c r="CV245" s="268" t="n"/>
      <c r="CW245" s="268" t="n"/>
      <c r="CX245" s="268" t="n"/>
      <c r="CY245" s="268" t="n"/>
    </row>
    <row r="246" hidden="1" outlineLevel="1" ht="12.75" customHeight="1" s="255">
      <c r="C246" s="312" t="n"/>
      <c r="D246" s="268" t="n"/>
      <c r="E246" s="268" t="n"/>
      <c r="F246" s="268" t="n"/>
      <c r="G246" s="268" t="n"/>
      <c r="H246" s="268" t="n"/>
      <c r="I246" s="268" t="n"/>
      <c r="J246" s="268" t="n"/>
      <c r="K246" s="268" t="n"/>
      <c r="L246" s="268" t="n"/>
      <c r="M246" s="268" t="n"/>
      <c r="N246" s="268" t="n"/>
      <c r="O246" s="268" t="n"/>
      <c r="P246" s="268" t="n"/>
      <c r="Q246" s="268" t="n"/>
      <c r="R246" s="268" t="n"/>
      <c r="S246" s="268" t="n"/>
      <c r="T246" s="268" t="n"/>
      <c r="U246" s="268" t="n"/>
      <c r="V246" s="268" t="n"/>
      <c r="W246" s="268" t="n"/>
      <c r="X246" s="268" t="n"/>
      <c r="Y246" s="268" t="n"/>
      <c r="Z246" s="268" t="n"/>
      <c r="AA246" s="268" t="n"/>
      <c r="AB246" s="268" t="n"/>
      <c r="AC246" s="268" t="n"/>
      <c r="AD246" s="268" t="n"/>
      <c r="AE246" s="268" t="n"/>
      <c r="AF246" s="268" t="n"/>
      <c r="AG246" s="268" t="n"/>
      <c r="AH246" s="268" t="n"/>
      <c r="AI246" s="268" t="n"/>
      <c r="AJ246" s="268" t="n"/>
      <c r="AK246" s="268" t="n"/>
      <c r="AL246" s="268" t="n"/>
      <c r="AM246" s="268" t="n"/>
      <c r="AN246" s="268" t="n"/>
      <c r="AO246" s="268" t="n"/>
      <c r="AP246" s="268" t="n"/>
      <c r="AQ246" s="268" t="n"/>
      <c r="AR246" s="268" t="n"/>
      <c r="AS246" s="268" t="n"/>
      <c r="AT246" s="268" t="n"/>
      <c r="AU246" s="268" t="n"/>
      <c r="AV246" s="268" t="n"/>
      <c r="AW246" s="268" t="n"/>
      <c r="AX246" s="268" t="n"/>
      <c r="AY246" s="268" t="n"/>
      <c r="AZ246" s="268" t="n"/>
      <c r="BA246" s="268" t="n"/>
      <c r="BB246" s="268" t="n"/>
      <c r="BC246" s="268" t="n"/>
      <c r="BD246" s="268" t="n"/>
      <c r="BE246" s="268" t="n"/>
      <c r="BF246" s="268" t="n"/>
      <c r="BG246" s="268" t="n"/>
      <c r="BH246" s="268" t="n"/>
      <c r="BI246" s="268" t="n"/>
      <c r="BJ246" s="268" t="n"/>
      <c r="BK246" s="268" t="n"/>
      <c r="BL246" s="268" t="n"/>
      <c r="BM246" s="268" t="n"/>
      <c r="BN246" s="268" t="n"/>
      <c r="BO246" s="268" t="n"/>
      <c r="BP246" s="268" t="n"/>
      <c r="BQ246" s="268" t="n"/>
      <c r="BR246" s="268" t="n"/>
      <c r="BS246" s="268" t="n"/>
      <c r="BT246" s="268" t="n"/>
      <c r="BU246" s="268" t="n"/>
      <c r="BV246" s="268" t="n"/>
      <c r="BW246" s="268" t="n"/>
      <c r="BX246" s="268" t="n"/>
      <c r="BY246" s="268" t="n"/>
      <c r="BZ246" s="268" t="n"/>
      <c r="CA246" s="268" t="n"/>
      <c r="CB246" s="268" t="n"/>
      <c r="CC246" s="268" t="n"/>
      <c r="CD246" s="268" t="n"/>
      <c r="CE246" s="268" t="n"/>
      <c r="CF246" s="268" t="n"/>
      <c r="CG246" s="268" t="n"/>
      <c r="CH246" s="268" t="n"/>
      <c r="CI246" s="268" t="n"/>
      <c r="CJ246" s="268" t="n"/>
      <c r="CK246" s="268" t="n"/>
      <c r="CL246" s="268" t="n"/>
      <c r="CM246" s="268" t="n"/>
      <c r="CN246" s="268" t="n"/>
      <c r="CO246" s="268" t="n"/>
      <c r="CP246" s="268" t="n"/>
      <c r="CQ246" s="268" t="n"/>
      <c r="CR246" s="268" t="n"/>
      <c r="CS246" s="268" t="n"/>
      <c r="CT246" s="268" t="n"/>
      <c r="CU246" s="268" t="n"/>
      <c r="CV246" s="268" t="n"/>
      <c r="CW246" s="268" t="n"/>
      <c r="CX246" s="268" t="n"/>
      <c r="CY246" s="268" t="n"/>
    </row>
    <row r="247" ht="12.75" customFormat="1" customHeight="1" s="287">
      <c r="A247" s="288" t="n"/>
      <c r="B247" s="288" t="n"/>
      <c r="C247" s="321" t="inlineStr">
        <is>
          <t>Total Liabilities</t>
        </is>
      </c>
      <c r="D247" s="276">
        <f>SUM(D198+D202+D204+D205+D212+D213+D214+D217+D235+D238+D239+D240)</f>
        <v>13230</v>
      </c>
      <c r="E247" s="276">
        <f>SUM(E198+E202+E204+E205+E212+E213+E214+E217+E235+E238+E239+E240)</f>
        <v>12953</v>
      </c>
      <c r="F247" s="276">
        <f>SUM(F198+F202+F204+F205+F212+F213+F214+F217+F235+F238+F239+F240)</f>
        <v>14907</v>
      </c>
      <c r="G247" s="276">
        <f>SUM(G198+G202+G204+G205+G212+G213+G214+G217+G235+G238+G239+G240)</f>
        <v>17035</v>
      </c>
      <c r="H247" s="276">
        <f>SUM(H198,H202,H204,H205,H212,H213,H217,H214,H235,H238,H239,H240)</f>
        <v>17035</v>
      </c>
      <c r="I247" s="276">
        <f>SUM(I198+I202+I204+I205+I212+I213+I214+I217+I235+I238+I239+I240)</f>
        <v>17279</v>
      </c>
      <c r="J247" s="276">
        <f>SUM(J198+J202+J204+J205+J212+J213+J214+J217+J235+J238+J239+J240)</f>
        <v>17271</v>
      </c>
      <c r="K247" s="276">
        <f>SUM(K198+K202+K204+K205+K212+K213+K214+K217+K235+K238+K239+K240)</f>
        <v>16075</v>
      </c>
      <c r="L247" s="276">
        <f>SUM(L198+L202+L204+L205+L212+L213+L214+L217+L235+L238+L239+L240)</f>
        <v>15613</v>
      </c>
      <c r="M247" s="276">
        <f>SUM(M198,M202,M204,M205,M212,M213,M217,M214,M235,M238,M239,M240)</f>
        <v>15613</v>
      </c>
      <c r="N247" s="276">
        <f>SUM(N198+N202+N204+N205+N212+N213+N214+N217+N235+N238+N239+N240)</f>
        <v>19613</v>
      </c>
      <c r="O247" s="276">
        <f>SUM(O198+O202+O204+O205+O212+O213+O214+O217+O235+O238+O239+O240)</f>
        <v>17879</v>
      </c>
      <c r="P247" s="276">
        <f>SUM(P198+P202+P204+P205+P212+P213+P214+P217+P235+P238+P239+P240)</f>
        <v>15419</v>
      </c>
      <c r="Q247" s="276">
        <f>SUM(Q198+Q202+Q204+Q205+Q212+Q213+Q214+Q217+Q235+Q238+Q239+Q240)</f>
        <v>14620</v>
      </c>
      <c r="R247" s="276">
        <f>SUM(R198,R202,R204,R205,R212,R213,R217,R214,R235,R238,R239,R240)</f>
        <v>14620</v>
      </c>
      <c r="S247" s="276">
        <f>SUM(S198+S202+S204+S205+S212+S213+S214+S217+S235+S238+S239+S240)</f>
        <v>16387</v>
      </c>
      <c r="T247" s="276">
        <f>SUM(T198+T202+T204+T205+T212+T213+T214+T217+T235+T238+T239+T240)</f>
        <v>14350</v>
      </c>
      <c r="U247" s="276">
        <f>SUM(U198+U202+U204+U205+U212+U213+U214+U217+U235+U238+U239+U240)</f>
        <v>13987</v>
      </c>
      <c r="V247" s="276">
        <f>SUM(V198+V202+V204+V205+V212+V213+V214+V217+V235+V238+V239+V240)</f>
        <v>13558</v>
      </c>
      <c r="W247" s="276">
        <f>SUM(W198,W202,W204,W205,W212,W213,W217,W214,W235,W238,W239,W240)</f>
        <v>13558</v>
      </c>
      <c r="X247" s="276">
        <f>SUM(X198+X202+X204+X205+X212+X213+X214+X217+X235+X238+X239+X240)</f>
        <v>14293</v>
      </c>
      <c r="Y247" s="276">
        <f>SUM(Y198+Y202+Y204+Y205+Y212+Y213+Y214+Y217+Y235+Y238+Y239+Y240)</f>
        <v>13444</v>
      </c>
      <c r="Z247" s="276">
        <f>SUM(Z198+Z202+Z204+Z205+Z212+Z213+Z214+Z217+Z235+Z238+Z239+Z240)</f>
        <v>14110</v>
      </c>
      <c r="AA247" s="276">
        <f>SUM(AA198+AA202+AA204+AA205+AA212+AA213+AA214+AA217+AA235+AA238+AA239+AA240)</f>
        <v>13951</v>
      </c>
      <c r="AB247" s="276">
        <f>SUM(AB198,AB202,AB204,AB205,AB212,AB213,AB217,AB214,AB235,AB238,AB239,AB240)</f>
        <v>13951</v>
      </c>
      <c r="AC247" s="276">
        <f>SUM(AC198+AC202+AC204+AC205+AC212+AC213+AC214+AC217+AC235+AC238+AC239+AC240)</f>
        <v>15068</v>
      </c>
      <c r="AD247" s="276">
        <f>SUM(AD198+AD202+AD204+AD205+AD212+AD213+AD214+AD217+AD235+AD238+AD239+AD240)</f>
        <v>19199</v>
      </c>
      <c r="AE247" s="276">
        <f>SUM(AE198+AE202+AE204+AE205+AE212+AE213+AE214+AE217+AE235+AE238+AE239+AE240)</f>
        <v>29009</v>
      </c>
      <c r="AF247" s="276">
        <f>SUM(AF198+AF202+AF204+AF205+AF212+AF213+AF214+AF217+AF235+AF238+AF239+AF240)</f>
        <v>27108</v>
      </c>
      <c r="AG247" s="276">
        <f>SUM(AG198,AG202,AG204,AG205,AG212,AG213,AG217,AG214,AG235,AG238,AG239,AG240)</f>
        <v>27108</v>
      </c>
      <c r="AH247" s="276">
        <f>SUM(AH198+AH202+AH204+AH205+AH212+AH213+AH214+AH217+AH235+AH238+AH239+AH240)</f>
        <v>30101</v>
      </c>
      <c r="AI247" s="276">
        <f>SUM(AI198+AI202+AI204+AI205+AI212+AI213+AI214+AI217+AI235+AI238+AI239+AI240)</f>
        <v>29374</v>
      </c>
      <c r="AJ247" s="276">
        <f>SUM(AJ198+AJ202+AJ204+AJ205+AJ212+AJ213+AJ214+AJ217+AJ235+AJ238+AJ239+AJ240)</f>
        <v>24004</v>
      </c>
      <c r="AK247" s="276">
        <f>SUM(AK198+AK202+AK204+AK205+AK212+AK213+AK214+AK217+AK235+AK238+AK239+AK240)</f>
        <v>24004</v>
      </c>
      <c r="AL247" s="276">
        <f>SUM(AL198,AL202,AL204,AL205,AL212,AL213,AL217,AL214,AL235,AL238,AL239,AL240)</f>
        <v>24004</v>
      </c>
      <c r="AM247" s="276" t="e">
        <f>SUM(AM198+AM202+AM204+AM205+AM212+AM213+AM214+AM217+AM235+AM238+AM239+AM240)</f>
        <v>#DIV/0!</v>
      </c>
      <c r="AN247" s="276">
        <f>SUM(AN198+AN202+AN204+AN205+AN212+AN213+AN214+AN217+AN235+AN238+AN239+AN240)</f>
        <v>24004</v>
      </c>
      <c r="AO247" s="276" t="e">
        <f>SUM(AO198+AO202+AO204+AO205+AO212+AO213+AO214+AO217+AO235+AO238+AO239+AO240)</f>
        <v>#DIV/0!</v>
      </c>
      <c r="AP247" s="276" t="e">
        <f>SUM(AP198+AP202+AP204+AP205+AP212+AP213+AP214+AP217+AP235+AP238+AP239+AP240)</f>
        <v>#DIV/0!</v>
      </c>
      <c r="AQ247" s="276" t="e">
        <f>SUM(AQ198,AQ202,AQ204,AQ205,AQ212,AQ213,AQ217,AQ214,AQ235,AQ238,AQ239,AQ240)</f>
        <v>#DIV/0!</v>
      </c>
      <c r="AR247" s="276" t="e">
        <f>SUM(AR198+AR202+AR204+AR205+AR212+AR213+AR214+AR217+AR235+AR238+AR239+AR240)</f>
        <v>#DIV/0!</v>
      </c>
      <c r="AS247" s="276" t="e">
        <f>SUM(AS198+AS202+AS204+AS205+AS212+AS213+AS214+AS217+AS235+AS238+AS239+AS240)</f>
        <v>#DIV/0!</v>
      </c>
      <c r="AT247" s="276" t="e">
        <f>SUM(AT198+AT202+AT204+AT205+AT212+AT213+AT214+AT217+AT235+AT238+AT239+AT240)</f>
        <v>#DIV/0!</v>
      </c>
      <c r="AU247" s="276" t="e">
        <f>SUM(AU198+AU202+AU204+AU205+AU212+AU213+AU214+AU217+AU235+AU238+AU239+AU240)</f>
        <v>#DIV/0!</v>
      </c>
      <c r="AV247" s="276" t="e">
        <f>SUM(AV198,AV202,AV204,AV205,AV212,AV213,AV217,AV214,AV235,AV238,AV239,AV240)</f>
        <v>#DIV/0!</v>
      </c>
      <c r="AW247" s="276" t="e">
        <f>SUM(AW198+AW202+AW204+AW205+AW212+AW213+AW214+AW217+AW235+AW238+AW239+AW240)</f>
        <v>#DIV/0!</v>
      </c>
      <c r="AX247" s="276" t="e">
        <f>SUM(AX198+AX202+AX204+AX205+AX212+AX213+AX214+AX217+AX235+AX238+AX239+AX240)</f>
        <v>#DIV/0!</v>
      </c>
      <c r="AY247" s="276" t="e">
        <f>SUM(AY198+AY202+AY204+AY205+AY212+AY213+AY214+AY217+AY235+AY238+AY239+AY240)</f>
        <v>#DIV/0!</v>
      </c>
      <c r="AZ247" s="276" t="e">
        <f>SUM(AZ198+AZ202+AZ204+AZ205+AZ212+AZ213+AZ214+AZ217+AZ235+AZ238+AZ239+AZ240)</f>
        <v>#DIV/0!</v>
      </c>
      <c r="BA247" s="276" t="e">
        <f>SUM(BA198,BA202,BA204,BA205,BA212,BA213,BA217,BA214,BA235,BA238,BA239,BA240)</f>
        <v>#DIV/0!</v>
      </c>
      <c r="BB247" s="276" t="e">
        <f>SUM(BB198+BB202+BB204+BB205+BB212+BB213+BB214+BB217+BB235+BB238+BB239+BB240)</f>
        <v>#DIV/0!</v>
      </c>
      <c r="BC247" s="276" t="e">
        <f>SUM(BC198+BC202+BC204+BC205+BC212+BC213+BC214+BC217+BC235+BC238+BC239+BC240)</f>
        <v>#DIV/0!</v>
      </c>
      <c r="BD247" s="276" t="e">
        <f>SUM(BD198+BD202+BD204+BD205+BD212+BD213+BD214+BD217+BD235+BD238+BD239+BD240)</f>
        <v>#DIV/0!</v>
      </c>
      <c r="BE247" s="276" t="e">
        <f>SUM(BE198+BE202+BE204+BE205+BE212+BE213+BE214+BE217+BE235+BE238+BE239+BE240)</f>
        <v>#DIV/0!</v>
      </c>
      <c r="BF247" s="276" t="e">
        <f>SUM(BF198,BF202,BF204,BF205,BF212,BF213,BF217,BF214,BF235,BF238,BF239,BF240)</f>
        <v>#DIV/0!</v>
      </c>
      <c r="BG247" s="276" t="e">
        <f>SUM(BG198+BG202+BG204+BG205+BG212+BG213+BG214+BG217+BG235+BG238+BG239+BG240)</f>
        <v>#DIV/0!</v>
      </c>
      <c r="BH247" s="276" t="e">
        <f>SUM(BH198+BH202+BH204+BH205+BH212+BH213+BH214+BH217+BH235+BH238+BH239+BH240)</f>
        <v>#DIV/0!</v>
      </c>
      <c r="BI247" s="276" t="e">
        <f>SUM(BI198+BI202+BI204+BI205+BI212+BI213+BI214+BI217+BI235+BI238+BI239+BI240)</f>
        <v>#DIV/0!</v>
      </c>
      <c r="BJ247" s="276" t="e">
        <f>SUM(BJ198+BJ202+BJ204+BJ205+BJ212+BJ213+BJ214+BJ217+BJ235+BJ238+BJ239+BJ240)</f>
        <v>#DIV/0!</v>
      </c>
      <c r="BK247" s="276" t="e">
        <f>SUM(BK198,BK202,BK204,BK205,BK212,BK213,BK217,BK214,BK235,BK238,BK239,BK240)</f>
        <v>#DIV/0!</v>
      </c>
      <c r="BL247" s="276" t="e">
        <f>SUM(BL198+BL202+BL204+BL205+BL212+BL213+BL214+BL217+BL235+BL238+BL239+BL240)</f>
        <v>#DIV/0!</v>
      </c>
      <c r="BM247" s="276" t="e">
        <f>SUM(BM198+BM202+BM204+BM205+BM212+BM213+BM214+BM217+BM235+BM238+BM239+BM240)</f>
        <v>#DIV/0!</v>
      </c>
      <c r="BN247" s="276" t="e">
        <f>SUM(BN198+BN202+BN204+BN205+BN212+BN213+BN214+BN217+BN235+BN238+BN239+BN240)</f>
        <v>#DIV/0!</v>
      </c>
      <c r="BO247" s="276" t="e">
        <f>SUM(BO198+BO202+BO204+BO205+BO212+BO213+BO214+BO217+BO235+BO238+BO239+BO240)</f>
        <v>#DIV/0!</v>
      </c>
      <c r="BP247" s="276" t="e">
        <f>SUM(BP198,BP202,BP204,BP205,BP212,BP213,BP217,BP214,BP235,BP238,BP239,BP240)</f>
        <v>#DIV/0!</v>
      </c>
      <c r="BQ247" s="276" t="e">
        <f>SUM(BQ198+BQ202+BQ204+BQ205+BQ212+BQ213+BQ214+BQ217+BQ235+BQ238+BQ239+BQ240)</f>
        <v>#DIV/0!</v>
      </c>
      <c r="BR247" s="276" t="e">
        <f>SUM(BR198+BR202+BR204+BR205+BR212+BR213+BR214+BR217+BR235+BR238+BR239+BR240)</f>
        <v>#DIV/0!</v>
      </c>
      <c r="BS247" s="276" t="e">
        <f>SUM(BS198+BS202+BS204+BS205+BS212+BS213+BS214+BS217+BS235+BS238+BS239+BS240)</f>
        <v>#DIV/0!</v>
      </c>
      <c r="BT247" s="276" t="e">
        <f>SUM(BT198+BT202+BT204+BT205+BT212+BT213+BT214+BT217+BT235+BT238+BT239+BT240)</f>
        <v>#DIV/0!</v>
      </c>
      <c r="BU247" s="276" t="e">
        <f>SUM(BU198,BU202,BU204,BU205,BU212,BU213,BU217,BU214,BU235,BU238,BU239,BU240)</f>
        <v>#DIV/0!</v>
      </c>
      <c r="BV247" s="276" t="e">
        <f>SUM(BV198+BV202+BV204+BV205+BV212+BV213+BV214+BV217+BV235+BV238+BV239+BV240)</f>
        <v>#DIV/0!</v>
      </c>
      <c r="BW247" s="276" t="e">
        <f>SUM(BW198+BW202+BW204+BW205+BW212+BW213+BW214+BW217+BW235+BW238+BW239+BW240)</f>
        <v>#DIV/0!</v>
      </c>
      <c r="BX247" s="276" t="e">
        <f>SUM(BX198+BX202+BX204+BX205+BX212+BX213+BX214+BX217+BX235+BX238+BX239+BX240)</f>
        <v>#DIV/0!</v>
      </c>
      <c r="BY247" s="276" t="e">
        <f>SUM(BY198+BY202+BY204+BY205+BY212+BY213+BY214+BY217+BY235+BY238+BY239+BY240)</f>
        <v>#DIV/0!</v>
      </c>
      <c r="BZ247" s="276" t="e">
        <f>SUM(BZ198,BZ202,BZ204,BZ205,BZ212,BZ213,BZ217,BZ214,BZ235,BZ238,BZ239,BZ240)</f>
        <v>#DIV/0!</v>
      </c>
      <c r="CA247" s="276" t="e">
        <f>SUM(CA198+CA202+CA204+CA205+CA212+CA213+CA214+CA217+CA235+CA238+CA239+CA240)</f>
        <v>#DIV/0!</v>
      </c>
      <c r="CB247" s="276" t="e">
        <f>SUM(CB198+CB202+CB204+CB205+CB212+CB213+CB214+CB217+CB235+CB238+CB239+CB240)</f>
        <v>#DIV/0!</v>
      </c>
      <c r="CC247" s="276" t="e">
        <f>SUM(CC198+CC202+CC204+CC205+CC212+CC213+CC214+CC217+CC235+CC238+CC239+CC240)</f>
        <v>#DIV/0!</v>
      </c>
      <c r="CD247" s="276" t="e">
        <f>SUM(CD198+CD202+CD204+CD205+CD212+CD213+CD214+CD217+CD235+CD238+CD239+CD240)</f>
        <v>#DIV/0!</v>
      </c>
      <c r="CE247" s="276" t="e">
        <f>SUM(CE198,CE202,CE204,CE205,CE212,CE213,CE217,CE214,CE235,CE238,CE239,CE240)</f>
        <v>#DIV/0!</v>
      </c>
      <c r="CF247" s="276" t="e">
        <f>SUM(CF198+CF202+CF204+CF205+CF212+CF213+CF214+CF217+CF235+CF238+CF239+CF240)</f>
        <v>#DIV/0!</v>
      </c>
      <c r="CG247" s="276" t="e">
        <f>SUM(CG198+CG202+CG204+CG205+CG212+CG213+CG214+CG217+CG235+CG238+CG239+CG240)</f>
        <v>#DIV/0!</v>
      </c>
      <c r="CH247" s="276" t="e">
        <f>SUM(CH198+CH202+CH204+CH205+CH212+CH213+CH214+CH217+CH235+CH238+CH239+CH240)</f>
        <v>#DIV/0!</v>
      </c>
      <c r="CI247" s="276" t="e">
        <f>SUM(CI198+CI202+CI204+CI205+CI212+CI213+CI214+CI217+CI235+CI238+CI239+CI240)</f>
        <v>#DIV/0!</v>
      </c>
      <c r="CJ247" s="276" t="e">
        <f>SUM(CJ198,CJ202,CJ204,CJ205,CJ212,CJ213,CJ217,CJ214,CJ235,CJ238,CJ239,CJ240)</f>
        <v>#DIV/0!</v>
      </c>
      <c r="CK247" s="276" t="e">
        <f>SUM(CK198+CK202+CK204+CK205+CK212+CK213+CK214+CK217+CK235+CK238+CK239+CK240)</f>
        <v>#DIV/0!</v>
      </c>
      <c r="CL247" s="276" t="e">
        <f>SUM(CL198+CL202+CL204+CL205+CL212+CL213+CL214+CL217+CL235+CL238+CL239+CL240)</f>
        <v>#DIV/0!</v>
      </c>
      <c r="CM247" s="276" t="e">
        <f>SUM(CM198+CM202+CM204+CM205+CM212+CM213+CM214+CM217+CM235+CM238+CM239+CM240)</f>
        <v>#DIV/0!</v>
      </c>
      <c r="CN247" s="276" t="e">
        <f>SUM(CN198+CN202+CN204+CN205+CN212+CN213+CN214+CN217+CN235+CN238+CN239+CN240)</f>
        <v>#DIV/0!</v>
      </c>
      <c r="CO247" s="276" t="e">
        <f>SUM(CO198,CO202,CO204,CO205,CO212,CO213,CO217,CO214,CO235,CO238,CO239,CO240)</f>
        <v>#DIV/0!</v>
      </c>
      <c r="CP247" s="276" t="e">
        <f>SUM(CP198+CP202+CP204+CP205+CP212+CP213+CP214+CP217+CP235+CP238+CP239+CP240)</f>
        <v>#DIV/0!</v>
      </c>
      <c r="CQ247" s="276" t="e">
        <f>SUM(CQ198+CQ202+CQ204+CQ205+CQ212+CQ213+CQ214+CQ217+CQ235+CQ238+CQ239+CQ240)</f>
        <v>#DIV/0!</v>
      </c>
      <c r="CR247" s="276" t="e">
        <f>SUM(CR198+CR202+CR204+CR205+CR212+CR213+CR214+CR217+CR235+CR238+CR239+CR240)</f>
        <v>#DIV/0!</v>
      </c>
      <c r="CS247" s="276" t="e">
        <f>SUM(CS198+CS202+CS204+CS205+CS212+CS213+CS214+CS217+CS235+CS238+CS239+CS240)</f>
        <v>#DIV/0!</v>
      </c>
      <c r="CT247" s="276" t="e">
        <f>SUM(CT198,CT202,CT204,CT205,CT212,CT213,CT217,CT214,CT235,CT238,CT239,CT240)</f>
        <v>#DIV/0!</v>
      </c>
      <c r="CU247" s="276" t="e">
        <f>SUM(CU198+CU202+CU204+CU205+CU212+CU213+CU214+CU217+CU235+CU238+CU239+CU240)</f>
        <v>#DIV/0!</v>
      </c>
      <c r="CV247" s="276" t="e">
        <f>SUM(CV198+CV202+CV204+CV205+CV212+CV213+CV214+CV217+CV235+CV238+CV239+CV240)</f>
        <v>#DIV/0!</v>
      </c>
      <c r="CW247" s="276" t="e">
        <f>SUM(CW198+CW202+CW204+CW205+CW212+CW213+CW214+CW217+CW235+CW238+CW239+CW240)</f>
        <v>#DIV/0!</v>
      </c>
      <c r="CX247" s="276" t="e">
        <f>SUM(CX198+CX202+CX204+CX205+CX212+CX213+CX214+CX217+CX235+CX238+CX239+CX240)</f>
        <v>#DIV/0!</v>
      </c>
      <c r="CY247" s="276" t="e">
        <f>SUM(CY198,CY202,CY204,CY205,CY212,CY213,CY217,CY214,CY235,CY238,CY239,CY240)</f>
        <v>#DIV/0!</v>
      </c>
    </row>
    <row r="248" ht="12.75" customHeight="1" s="255">
      <c r="C248" s="270" t="inlineStr">
        <is>
          <t>Minority interest</t>
        </is>
      </c>
      <c r="D248" s="301">
        <f>INDEX('Inputs (2)'!$D$41:$AL$41,MATCH(D$7,'Inputs (2)'!$D$2:$AL$2,0))</f>
        <v>504</v>
      </c>
      <c r="E248" s="301">
        <f>INDEX('Inputs (2)'!$D$41:$AL$41,MATCH(E$7,'Inputs (2)'!$D$2:$AL$2,0))</f>
        <v>513</v>
      </c>
      <c r="F248" s="301">
        <f>INDEX('Inputs (2)'!$D$41:$AL$41,MATCH(F$7,'Inputs (2)'!$D$2:$AL$2,0))</f>
        <v>527</v>
      </c>
      <c r="G248" s="301">
        <f>INDEX('Inputs (2)'!$D$41:$AL$41,MATCH(G$7,'Inputs (2)'!$D$2:$AL$2,0))</f>
        <v>551</v>
      </c>
      <c r="H248" s="268">
        <f>G248</f>
        <v>551</v>
      </c>
      <c r="I248" s="301">
        <f>INDEX('Inputs (2)'!$D$41:$AL$41,MATCH(I$7,'Inputs (2)'!$D$2:$AL$2,0))</f>
        <v>617</v>
      </c>
      <c r="J248" s="301">
        <f>INDEX('Inputs (2)'!$D$41:$AL$41,MATCH(J$7,'Inputs (2)'!$D$2:$AL$2,0))</f>
        <v>630</v>
      </c>
      <c r="K248" s="301">
        <f>INDEX('Inputs (2)'!$D$41:$AL$41,MATCH(K$7,'Inputs (2)'!$D$2:$AL$2,0))</f>
        <v>539</v>
      </c>
      <c r="L248" s="301">
        <f>INDEX('Inputs (2)'!$D$41:$AL$41,MATCH(L$7,'Inputs (2)'!$D$2:$AL$2,0))</f>
        <v>537</v>
      </c>
      <c r="M248" s="268">
        <f>L248</f>
        <v>537</v>
      </c>
      <c r="N248" s="301">
        <f>INDEX('Inputs (2)'!$D$41:$AL$41,MATCH(N$7,'Inputs (2)'!$D$2:$AL$2,0))</f>
        <v>530</v>
      </c>
      <c r="O248" s="301">
        <f>INDEX('Inputs (2)'!$D$41:$AL$41,MATCH(O$7,'Inputs (2)'!$D$2:$AL$2,0))</f>
        <v>808</v>
      </c>
      <c r="P248" s="301">
        <f>INDEX('Inputs (2)'!$D$41:$AL$41,MATCH(P$7,'Inputs (2)'!$D$2:$AL$2,0))</f>
        <v>668</v>
      </c>
      <c r="Q248" s="301">
        <f>INDEX('Inputs (2)'!$D$41:$AL$41,MATCH(Q$7,'Inputs (2)'!$D$2:$AL$2,0))</f>
        <v>736</v>
      </c>
      <c r="R248" s="268">
        <f>Q248</f>
        <v>736</v>
      </c>
      <c r="S248" s="301">
        <f>INDEX('Inputs (2)'!$D$41:$AL$41,MATCH(S$7,'Inputs (2)'!$D$2:$AL$2,0))</f>
        <v>768</v>
      </c>
      <c r="T248" s="301">
        <f>INDEX('Inputs (2)'!$D$41:$AL$41,MATCH(T$7,'Inputs (2)'!$D$2:$AL$2,0))</f>
        <v>787</v>
      </c>
      <c r="U248" s="301">
        <f>INDEX('Inputs (2)'!$D$41:$AL$41,MATCH(U$7,'Inputs (2)'!$D$2:$AL$2,0))</f>
        <v>895</v>
      </c>
      <c r="V248" s="301">
        <f>INDEX('Inputs (2)'!$D$41:$AL$41,MATCH(V$7,'Inputs (2)'!$D$2:$AL$2,0))</f>
        <v>964</v>
      </c>
      <c r="W248" s="268">
        <f>V248</f>
        <v>964</v>
      </c>
      <c r="X248" s="301">
        <f>INDEX('Inputs (2)'!$D$41:$AL$41,MATCH(X$7,'Inputs (2)'!$D$2:$AL$2,0))</f>
        <v>978</v>
      </c>
      <c r="Y248" s="301">
        <f>INDEX('Inputs (2)'!$D$41:$AL$41,MATCH(Y$7,'Inputs (2)'!$D$2:$AL$2,0))</f>
        <v>983</v>
      </c>
      <c r="Z248" s="301">
        <f>INDEX('Inputs (2)'!$D$41:$AL$41,MATCH(Z$7,'Inputs (2)'!$D$2:$AL$2,0))</f>
        <v>1023</v>
      </c>
      <c r="AA248" s="301">
        <f>INDEX('Inputs (2)'!$D$41:$AL$41,MATCH(AA$7,'Inputs (2)'!$D$2:$AL$2,0))</f>
        <v>1036</v>
      </c>
      <c r="AB248" s="268">
        <f>AA248</f>
        <v>1036</v>
      </c>
      <c r="AC248" s="301">
        <f>INDEX('Inputs (2)'!$D$41:$AL$41,MATCH(AC$7,'Inputs (2)'!$D$2:$AL$2,0))</f>
        <v>1015</v>
      </c>
      <c r="AD248" s="301">
        <f>INDEX('Inputs (2)'!$D$41:$AL$41,MATCH(AD$7,'Inputs (2)'!$D$2:$AL$2,0))</f>
        <v>1073</v>
      </c>
      <c r="AE248" s="301">
        <f>INDEX('Inputs (2)'!$D$41:$AL$41,MATCH(AE$7,'Inputs (2)'!$D$2:$AL$2,0))</f>
        <v>1523</v>
      </c>
      <c r="AF248" s="301">
        <f>INDEX('Inputs (2)'!$D$41:$AL$41,MATCH(AF$7,'Inputs (2)'!$D$2:$AL$2,0))</f>
        <v>1518</v>
      </c>
      <c r="AG248" s="268">
        <f>AF248</f>
        <v>1518</v>
      </c>
      <c r="AH248" s="268">
        <f>INDEX('Inputs (2)'!$D$41:$AL$41,MATCH(AH$7,'Inputs (2)'!$D$2:$AL$2,0))</f>
        <v>1432</v>
      </c>
      <c r="AI248" s="268">
        <f>INDEX('Inputs (2)'!$D$41:$AL$41,MATCH(AI$7,'Inputs (2)'!$D$2:$AL$2,0))</f>
        <v>1457</v>
      </c>
      <c r="AJ248" s="268">
        <f>AI248-AJ136+AJ251</f>
        <v>1472</v>
      </c>
      <c r="AK248" s="268">
        <f>AJ248-AK136+AK251</f>
        <v>1465</v>
      </c>
      <c r="AL248" s="268">
        <f>AK248</f>
        <v>1465</v>
      </c>
      <c r="AM248" s="268">
        <f>AL248-AM136+AM251</f>
        <v>1472</v>
      </c>
      <c r="AN248" s="268">
        <f>AM248-AN136+AN251</f>
        <v>1501</v>
      </c>
      <c r="AO248" s="268">
        <f>AN248-AO136+AO251</f>
        <v>1516</v>
      </c>
      <c r="AP248" s="268">
        <f>AO248-AP136+AP251</f>
        <v>1509</v>
      </c>
      <c r="AQ248" s="268">
        <f>AP248</f>
        <v>1509</v>
      </c>
      <c r="AR248" s="268">
        <f>AQ248-AR136+AR251</f>
        <v>1516</v>
      </c>
      <c r="AS248" s="268">
        <f>AR248-AS136+AS251</f>
        <v>1545</v>
      </c>
      <c r="AT248" s="268">
        <f>AS248-AT136+AT251</f>
        <v>1560</v>
      </c>
      <c r="AU248" s="268">
        <f>AT248-AU136+AU251</f>
        <v>1553</v>
      </c>
      <c r="AV248" s="268">
        <f>AU248</f>
        <v>1553</v>
      </c>
      <c r="AW248" s="268">
        <f>AV248-AW136+AW251</f>
        <v>1560</v>
      </c>
      <c r="AX248" s="268">
        <f>AW248-AX136+AX251</f>
        <v>1589</v>
      </c>
      <c r="AY248" s="268">
        <f>AX248-AY136+AY251</f>
        <v>1604</v>
      </c>
      <c r="AZ248" s="268">
        <f>AY248-AZ136+AZ251</f>
        <v>1597</v>
      </c>
      <c r="BA248" s="268">
        <f>AZ248</f>
        <v>1597</v>
      </c>
      <c r="BB248" s="268">
        <f>BA248-BB136+BB251</f>
        <v>1604</v>
      </c>
      <c r="BC248" s="268">
        <f>BB248-BC136+BC251</f>
        <v>1633</v>
      </c>
      <c r="BD248" s="268">
        <f>BC248-BD136+BD251</f>
        <v>1648</v>
      </c>
      <c r="BE248" s="268">
        <f>BD248-BE136+BE251</f>
        <v>1641</v>
      </c>
      <c r="BF248" s="268">
        <f>BE248</f>
        <v>1641</v>
      </c>
      <c r="BG248" s="268">
        <f>BF248-BG136+BG251</f>
        <v>1648</v>
      </c>
      <c r="BH248" s="268">
        <f>BG248-BH136+BH251</f>
        <v>1677</v>
      </c>
      <c r="BI248" s="268">
        <f>BH248-BI136+BI251</f>
        <v>1692</v>
      </c>
      <c r="BJ248" s="268">
        <f>BI248-BJ136+BJ251</f>
        <v>1685</v>
      </c>
      <c r="BK248" s="268">
        <f>BJ248</f>
        <v>1685</v>
      </c>
      <c r="BL248" s="268">
        <f>BK248-BL136+BL251</f>
        <v>1692</v>
      </c>
      <c r="BM248" s="268">
        <f>BL248-BM136+BM251</f>
        <v>1721</v>
      </c>
      <c r="BN248" s="268">
        <f>BM248-BN136+BN251</f>
        <v>1736</v>
      </c>
      <c r="BO248" s="268">
        <f>BN248-BO136+BO251</f>
        <v>1729</v>
      </c>
      <c r="BP248" s="268">
        <f>BO248</f>
        <v>1729</v>
      </c>
      <c r="BQ248" s="268">
        <f>BP248-BQ136+BQ251</f>
        <v>1736</v>
      </c>
      <c r="BR248" s="268">
        <f>BQ248-BR136+BR251</f>
        <v>1765</v>
      </c>
      <c r="BS248" s="268">
        <f>BR248-BS136+BS251</f>
        <v>1780</v>
      </c>
      <c r="BT248" s="268">
        <f>BS248-BT136+BT251</f>
        <v>1773</v>
      </c>
      <c r="BU248" s="268">
        <f>BT248</f>
        <v>1773</v>
      </c>
      <c r="BV248" s="268">
        <f>BU248-BV136+BV251</f>
        <v>1780</v>
      </c>
      <c r="BW248" s="268">
        <f>BV248-BW136+BW251</f>
        <v>1809</v>
      </c>
      <c r="BX248" s="268">
        <f>BW248-BX136+BX251</f>
        <v>1824</v>
      </c>
      <c r="BY248" s="268">
        <f>BX248-BY136+BY251</f>
        <v>1817</v>
      </c>
      <c r="BZ248" s="268">
        <f>BY248</f>
        <v>1817</v>
      </c>
      <c r="CA248" s="268">
        <f>BZ248-CA136+CA251</f>
        <v>1824</v>
      </c>
      <c r="CB248" s="268">
        <f>CA248-CB136+CB251</f>
        <v>1853</v>
      </c>
      <c r="CC248" s="268">
        <f>CB248-CC136+CC251</f>
        <v>1868</v>
      </c>
      <c r="CD248" s="268">
        <f>CC248-CD136+CD251</f>
        <v>1861</v>
      </c>
      <c r="CE248" s="268">
        <f>CD248</f>
        <v>1861</v>
      </c>
      <c r="CF248" s="268">
        <f>CE248-CF136+CF251</f>
        <v>1868</v>
      </c>
      <c r="CG248" s="268">
        <f>CF248-CG136+CG251</f>
        <v>1897</v>
      </c>
      <c r="CH248" s="268">
        <f>CG248-CH136+CH251</f>
        <v>1912</v>
      </c>
      <c r="CI248" s="268">
        <f>CH248-CI136+CI251</f>
        <v>1905</v>
      </c>
      <c r="CJ248" s="268">
        <f>CI248</f>
        <v>1905</v>
      </c>
      <c r="CK248" s="268">
        <f>CJ248-CK136+CK251</f>
        <v>1912</v>
      </c>
      <c r="CL248" s="268">
        <f>CK248-CL136+CL251</f>
        <v>1941</v>
      </c>
      <c r="CM248" s="268">
        <f>CL248-CM136+CM251</f>
        <v>1956</v>
      </c>
      <c r="CN248" s="268">
        <f>CM248-CN136+CN251</f>
        <v>1949</v>
      </c>
      <c r="CO248" s="268">
        <f>CN248</f>
        <v>1949</v>
      </c>
      <c r="CP248" s="268">
        <f>CO248-CP136+CP251</f>
        <v>1956</v>
      </c>
      <c r="CQ248" s="268">
        <f>CP248-CQ136+CQ251</f>
        <v>1985</v>
      </c>
      <c r="CR248" s="268">
        <f>CQ248-CR136+CR251</f>
        <v>2000</v>
      </c>
      <c r="CS248" s="268">
        <f>CR248-CS136+CS251</f>
        <v>1993</v>
      </c>
      <c r="CT248" s="268">
        <f>CS248</f>
        <v>1993</v>
      </c>
      <c r="CU248" s="268">
        <f>CT248-CU136+CU251</f>
        <v>2000</v>
      </c>
      <c r="CV248" s="268">
        <f>CU248-CV136+CV251</f>
        <v>2029</v>
      </c>
      <c r="CW248" s="268">
        <f>CV248-CW136+CW251</f>
        <v>2044</v>
      </c>
      <c r="CX248" s="268">
        <f>CW248-CX136+CX251</f>
        <v>2037</v>
      </c>
      <c r="CY248" s="268">
        <f>CX248</f>
        <v>2037</v>
      </c>
    </row>
    <row r="249" hidden="1" outlineLevel="1" ht="12.75" customFormat="1" customHeight="1" s="322">
      <c r="A249" s="293" t="n"/>
      <c r="B249" s="293" t="n"/>
      <c r="C249" s="314" t="n"/>
      <c r="D249" s="298" t="n"/>
      <c r="E249" s="298" t="n"/>
      <c r="F249" s="298" t="n"/>
      <c r="G249" s="298" t="n"/>
      <c r="H249" s="298" t="n"/>
      <c r="I249" s="298" t="n"/>
      <c r="J249" s="298" t="n"/>
      <c r="K249" s="298" t="n"/>
      <c r="L249" s="298" t="n"/>
      <c r="M249" s="298" t="n"/>
      <c r="N249" s="298" t="n"/>
      <c r="O249" s="298" t="n"/>
      <c r="P249" s="298" t="n"/>
      <c r="Q249" s="298" t="n"/>
      <c r="R249" s="298" t="n"/>
      <c r="S249" s="298" t="n"/>
      <c r="T249" s="298" t="n"/>
      <c r="U249" s="298" t="n"/>
      <c r="V249" s="298" t="n"/>
      <c r="W249" s="298" t="n"/>
      <c r="X249" s="298" t="n"/>
      <c r="Y249" s="298" t="n"/>
      <c r="Z249" s="298" t="n"/>
      <c r="AA249" s="298" t="n"/>
      <c r="AB249" s="298" t="n"/>
      <c r="AC249" s="298" t="n"/>
      <c r="AD249" s="298" t="n"/>
      <c r="AE249" s="298" t="n"/>
      <c r="AF249" s="298" t="n"/>
      <c r="AG249" s="298" t="n"/>
      <c r="AH249" s="298" t="n"/>
      <c r="AI249" s="298" t="n"/>
      <c r="AJ249" s="298" t="n"/>
      <c r="AK249" s="298" t="n"/>
      <c r="AL249" s="298" t="n"/>
      <c r="AM249" s="298" t="n"/>
      <c r="AN249" s="298" t="n"/>
      <c r="AO249" s="298" t="n"/>
      <c r="AP249" s="298" t="n"/>
      <c r="AQ249" s="298" t="n"/>
      <c r="AR249" s="298" t="n"/>
      <c r="AS249" s="298" t="n"/>
      <c r="AT249" s="298" t="n"/>
      <c r="AU249" s="298" t="n"/>
      <c r="AV249" s="298" t="n"/>
      <c r="AW249" s="298" t="n"/>
      <c r="AX249" s="298" t="n"/>
      <c r="AY249" s="298" t="n"/>
      <c r="AZ249" s="298" t="n"/>
      <c r="BA249" s="298" t="n"/>
      <c r="BB249" s="298" t="n"/>
      <c r="BC249" s="298" t="n"/>
      <c r="BD249" s="298" t="n"/>
      <c r="BE249" s="298" t="n"/>
      <c r="BF249" s="298" t="n"/>
      <c r="BG249" s="298" t="n"/>
      <c r="BH249" s="298" t="n"/>
      <c r="BI249" s="298" t="n"/>
      <c r="BJ249" s="298" t="n"/>
      <c r="BK249" s="298" t="n"/>
      <c r="BL249" s="298" t="n"/>
      <c r="BM249" s="298" t="n"/>
      <c r="BN249" s="298" t="n"/>
      <c r="BO249" s="298" t="n"/>
      <c r="BP249" s="298" t="n"/>
      <c r="BQ249" s="298" t="n"/>
      <c r="BR249" s="298" t="n"/>
      <c r="BS249" s="298" t="n"/>
      <c r="BT249" s="298" t="n"/>
      <c r="BU249" s="298" t="n"/>
      <c r="BV249" s="298" t="n"/>
      <c r="BW249" s="298" t="n"/>
      <c r="BX249" s="298" t="n"/>
      <c r="BY249" s="298" t="n"/>
      <c r="BZ249" s="298" t="n"/>
      <c r="CA249" s="298" t="n"/>
      <c r="CB249" s="298" t="n"/>
      <c r="CC249" s="298" t="n"/>
      <c r="CD249" s="298" t="n"/>
      <c r="CE249" s="298" t="n"/>
      <c r="CF249" s="298" t="n"/>
      <c r="CG249" s="298" t="n"/>
      <c r="CH249" s="298" t="n"/>
      <c r="CI249" s="298" t="n"/>
      <c r="CJ249" s="298" t="n"/>
      <c r="CK249" s="298" t="n"/>
      <c r="CL249" s="298" t="n"/>
      <c r="CM249" s="298" t="n"/>
      <c r="CN249" s="298" t="n"/>
      <c r="CO249" s="298" t="n"/>
      <c r="CP249" s="298" t="n"/>
      <c r="CQ249" s="298" t="n"/>
      <c r="CR249" s="298" t="n"/>
      <c r="CS249" s="298" t="n"/>
      <c r="CT249" s="298" t="n"/>
      <c r="CU249" s="298" t="n"/>
      <c r="CV249" s="298" t="n"/>
      <c r="CW249" s="298" t="n"/>
      <c r="CX249" s="298" t="n"/>
      <c r="CY249" s="298" t="n"/>
    </row>
    <row r="250" hidden="1" outlineLevel="1" ht="12.75" customFormat="1" customHeight="1" s="322">
      <c r="A250" s="293" t="n"/>
      <c r="B250" s="293" t="n"/>
      <c r="C250" s="312" t="inlineStr">
        <is>
          <t>Minority Interest Expense - % YoY</t>
        </is>
      </c>
      <c r="D250" s="298" t="n"/>
      <c r="E250" s="313">
        <f>IF(D135=0,0,E135/D135-1)</f>
        <v>0</v>
      </c>
      <c r="F250" s="298" t="n"/>
      <c r="G250" s="298" t="n"/>
      <c r="H250" s="313" t="n"/>
      <c r="I250" s="298" t="n"/>
      <c r="J250" s="313">
        <f>IF(I135=0,0,J135/I135-1)</f>
        <v>0</v>
      </c>
      <c r="K250" s="298" t="n"/>
      <c r="L250" s="298" t="n"/>
      <c r="M250" s="313" t="n"/>
      <c r="N250" s="313">
        <f>IF(I135=0,0,N135/I135-1)</f>
        <v>0</v>
      </c>
      <c r="O250" s="313">
        <f>IF(J135=0,0,O135/J135-1)</f>
        <v>0</v>
      </c>
      <c r="P250" s="313">
        <f>IF(K135=0,0,P135/K135-1)</f>
        <v>0</v>
      </c>
      <c r="Q250" s="313">
        <f>IF(L135=0,0,Q135/L135-1)</f>
        <v>0</v>
      </c>
      <c r="R250" s="313" t="n"/>
      <c r="S250" s="313">
        <f>IF(N135=0,0,S135/N135-1)</f>
        <v>0</v>
      </c>
      <c r="T250" s="313">
        <f>IF(O135=0,0,T135/O135-1)</f>
        <v>0</v>
      </c>
      <c r="U250" s="313">
        <f>IF(P135=0,0,U135/P135-1)</f>
        <v>0</v>
      </c>
      <c r="V250" s="313">
        <f>IF(Q135=0,0,V135/Q135-1)</f>
        <v>0</v>
      </c>
      <c r="W250" s="313">
        <f>IF(R136=0,0,W136/R136-1)</f>
        <v>0.382352941176471</v>
      </c>
      <c r="X250" s="313">
        <f>IF(S135=0,0,X135/S135-1)</f>
        <v>0</v>
      </c>
      <c r="Y250" s="313">
        <f>IF(T135=0,0,Y135/T135-1)</f>
        <v>0</v>
      </c>
      <c r="Z250" s="313">
        <f>IF(U135=0,0,Z135/U135-1)</f>
        <v>0</v>
      </c>
      <c r="AA250" s="313">
        <f>IF(V135=0,0,AA135/V135-1)</f>
        <v>0</v>
      </c>
      <c r="AB250" s="313">
        <f>IF(W136=0,0,AB136/W136-1)</f>
        <v>-0.457446808510638</v>
      </c>
      <c r="AC250" s="313">
        <f>IF(X135=0,0,AC135/X135-1)</f>
        <v>0</v>
      </c>
      <c r="AD250" s="313">
        <f>IF(Y135=0,0,AD135/Y135-1)</f>
        <v>0</v>
      </c>
      <c r="AE250" s="313">
        <f>IF(Z135=0,0,AE135/Z135-1)</f>
        <v>0</v>
      </c>
      <c r="AF250" s="313">
        <f>IF(AA135=0,0,AF135/AA135-1)</f>
        <v>0</v>
      </c>
      <c r="AG250" s="313">
        <f>IF(AB136=0,0,AG136/AB136-1)</f>
        <v>-0.470588235294118</v>
      </c>
      <c r="AH250" s="317">
        <f>IF(AC135=0,0,AH135/AC135-1)</f>
        <v>0</v>
      </c>
      <c r="AI250" s="317">
        <f>IF(AD135=0,0,AI135/AD135-1)</f>
        <v>0</v>
      </c>
      <c r="AJ250" s="317" t="n"/>
      <c r="AK250" s="317" t="n"/>
      <c r="AL250" s="313">
        <f>IF(AG136=0,0,AL136/AG136-1)</f>
        <v>0.62962962962963</v>
      </c>
      <c r="AM250" s="317" t="n"/>
      <c r="AN250" s="317" t="n"/>
      <c r="AO250" s="317" t="n"/>
      <c r="AP250" s="317" t="n"/>
      <c r="AQ250" s="313">
        <f>IF(AL136=0,0,AQ136/AL136-1)</f>
        <v>0</v>
      </c>
      <c r="AR250" s="317" t="n"/>
      <c r="AS250" s="317" t="n"/>
      <c r="AT250" s="317" t="n"/>
      <c r="AU250" s="317" t="n"/>
      <c r="AV250" s="313">
        <f>IF(AQ136=0,0,AV136/AQ136-1)</f>
        <v>0</v>
      </c>
      <c r="AW250" s="317" t="n"/>
      <c r="AX250" s="317" t="n"/>
      <c r="AY250" s="317" t="n"/>
      <c r="AZ250" s="317" t="n"/>
      <c r="BA250" s="313">
        <f>IF(AV136=0,0,BA136/AV136-1)</f>
        <v>0</v>
      </c>
      <c r="BB250" s="317" t="n"/>
      <c r="BC250" s="317" t="n"/>
      <c r="BD250" s="317" t="n"/>
      <c r="BE250" s="317" t="n"/>
      <c r="BF250" s="313">
        <f>IF(BA136=0,0,BF136/BA136-1)</f>
        <v>0</v>
      </c>
      <c r="BG250" s="317" t="n"/>
      <c r="BH250" s="317" t="n"/>
      <c r="BI250" s="317" t="n"/>
      <c r="BJ250" s="317" t="n"/>
      <c r="BK250" s="313">
        <f>IF(BF136=0,0,BK136/BF136-1)</f>
        <v>0</v>
      </c>
      <c r="BL250" s="317" t="n"/>
      <c r="BM250" s="317" t="n"/>
      <c r="BN250" s="317" t="n"/>
      <c r="BO250" s="317" t="n"/>
      <c r="BP250" s="313">
        <f>IF(BK136=0,0,BP136/BK136-1)</f>
        <v>0</v>
      </c>
      <c r="BQ250" s="317" t="n"/>
      <c r="BR250" s="317" t="n"/>
      <c r="BS250" s="317" t="n"/>
      <c r="BT250" s="317" t="n"/>
      <c r="BU250" s="313">
        <f>IF(BP136=0,0,BU136/BP136-1)</f>
        <v>0</v>
      </c>
      <c r="BV250" s="317" t="n"/>
      <c r="BW250" s="317" t="n"/>
      <c r="BX250" s="317" t="n"/>
      <c r="BY250" s="317" t="n"/>
      <c r="BZ250" s="313">
        <f>IF(BU136=0,0,BZ136/BU136-1)</f>
        <v>0</v>
      </c>
      <c r="CA250" s="317" t="n"/>
      <c r="CB250" s="317" t="n"/>
      <c r="CC250" s="317" t="n"/>
      <c r="CD250" s="317" t="n"/>
      <c r="CE250" s="313">
        <f>IF(BZ136=0,0,CE136/BZ136-1)</f>
        <v>0</v>
      </c>
      <c r="CF250" s="317" t="n"/>
      <c r="CG250" s="317" t="n"/>
      <c r="CH250" s="317" t="n"/>
      <c r="CI250" s="317" t="n"/>
      <c r="CJ250" s="313">
        <f>IF(CE136=0,0,CJ136/CE136-1)</f>
        <v>0</v>
      </c>
      <c r="CK250" s="317" t="n"/>
      <c r="CL250" s="317" t="n"/>
      <c r="CM250" s="317" t="n"/>
      <c r="CN250" s="317" t="n"/>
      <c r="CO250" s="313">
        <f>IF(CJ136=0,0,CO136/CJ136-1)</f>
        <v>0</v>
      </c>
      <c r="CP250" s="317" t="n"/>
      <c r="CQ250" s="317" t="n"/>
      <c r="CR250" s="317" t="n"/>
      <c r="CS250" s="317" t="n"/>
      <c r="CT250" s="313">
        <f>IF(CO136=0,0,CT136/CO136-1)</f>
        <v>0</v>
      </c>
      <c r="CU250" s="317" t="n"/>
      <c r="CV250" s="317" t="n"/>
      <c r="CW250" s="317" t="n"/>
      <c r="CX250" s="317" t="n"/>
      <c r="CY250" s="313">
        <f>IF(CT136=0,0,CY136/CT136-1)</f>
        <v>0</v>
      </c>
    </row>
    <row r="251" hidden="1" outlineLevel="1" ht="12.75" customFormat="1" customHeight="1" s="322">
      <c r="A251" s="293" t="n"/>
      <c r="B251" s="293" t="n"/>
      <c r="C251" s="312" t="inlineStr">
        <is>
          <t>Dividends (enter as -)</t>
        </is>
      </c>
      <c r="D251" s="298" t="n"/>
      <c r="E251" s="298" t="n"/>
      <c r="F251" s="298" t="n"/>
      <c r="G251" s="298" t="n"/>
      <c r="H251" s="298" t="n"/>
      <c r="I251" s="298" t="n"/>
      <c r="J251" s="298" t="n"/>
      <c r="K251" s="298" t="n"/>
      <c r="L251" s="298" t="n"/>
      <c r="M251" s="298" t="n"/>
      <c r="N251" s="298" t="n"/>
      <c r="O251" s="298" t="n"/>
      <c r="P251" s="298" t="n"/>
      <c r="Q251" s="298" t="n"/>
      <c r="R251" s="298" t="n"/>
      <c r="S251" s="298" t="n"/>
      <c r="T251" s="298" t="n"/>
      <c r="U251" s="298" t="n"/>
      <c r="V251" s="298" t="n"/>
      <c r="W251" s="298" t="n"/>
      <c r="X251" s="298" t="n"/>
      <c r="Y251" s="298" t="n"/>
      <c r="Z251" s="298" t="n"/>
      <c r="AA251" s="298" t="n"/>
      <c r="AB251" s="298" t="n"/>
      <c r="AC251" s="298" t="n"/>
      <c r="AD251" s="298" t="n"/>
      <c r="AE251" s="298" t="n"/>
      <c r="AF251" s="298" t="n"/>
      <c r="AG251" s="298" t="n"/>
      <c r="AH251" s="317" t="n"/>
      <c r="AI251" s="317" t="n"/>
      <c r="AJ251" s="317" t="n"/>
      <c r="AK251" s="317" t="n"/>
      <c r="AL251" s="298" t="n"/>
      <c r="AM251" s="317" t="n"/>
      <c r="AN251" s="317" t="n"/>
      <c r="AO251" s="317" t="n"/>
      <c r="AP251" s="317" t="n"/>
      <c r="AQ251" s="298" t="n"/>
      <c r="AR251" s="317" t="n"/>
      <c r="AS251" s="317" t="n"/>
      <c r="AT251" s="317" t="n"/>
      <c r="AU251" s="317" t="n"/>
      <c r="AV251" s="298" t="n"/>
      <c r="AW251" s="317" t="n"/>
      <c r="AX251" s="317" t="n"/>
      <c r="AY251" s="317" t="n"/>
      <c r="AZ251" s="317" t="n"/>
      <c r="BA251" s="298" t="n"/>
      <c r="BB251" s="317" t="n"/>
      <c r="BC251" s="317" t="n"/>
      <c r="BD251" s="317" t="n"/>
      <c r="BE251" s="317" t="n"/>
      <c r="BF251" s="298" t="n"/>
      <c r="BG251" s="317" t="n"/>
      <c r="BH251" s="317" t="n"/>
      <c r="BI251" s="317" t="n"/>
      <c r="BJ251" s="317" t="n"/>
      <c r="BK251" s="298" t="n"/>
      <c r="BL251" s="317" t="n"/>
      <c r="BM251" s="317" t="n"/>
      <c r="BN251" s="317" t="n"/>
      <c r="BO251" s="317" t="n"/>
      <c r="BP251" s="298" t="n"/>
      <c r="BQ251" s="317" t="n"/>
      <c r="BR251" s="317" t="n"/>
      <c r="BS251" s="317" t="n"/>
      <c r="BT251" s="317" t="n"/>
      <c r="BU251" s="298" t="n"/>
      <c r="BV251" s="317" t="n"/>
      <c r="BW251" s="317" t="n"/>
      <c r="BX251" s="317" t="n"/>
      <c r="BY251" s="317" t="n"/>
      <c r="BZ251" s="298" t="n"/>
      <c r="CA251" s="317" t="n"/>
      <c r="CB251" s="317" t="n"/>
      <c r="CC251" s="317" t="n"/>
      <c r="CD251" s="317" t="n"/>
      <c r="CE251" s="298" t="n"/>
      <c r="CF251" s="317" t="n"/>
      <c r="CG251" s="317" t="n"/>
      <c r="CH251" s="317" t="n"/>
      <c r="CI251" s="317" t="n"/>
      <c r="CJ251" s="298" t="n"/>
      <c r="CK251" s="317" t="n"/>
      <c r="CL251" s="317" t="n"/>
      <c r="CM251" s="317" t="n"/>
      <c r="CN251" s="317" t="n"/>
      <c r="CO251" s="298" t="n"/>
      <c r="CP251" s="317" t="n"/>
      <c r="CQ251" s="317" t="n"/>
      <c r="CR251" s="317" t="n"/>
      <c r="CS251" s="317" t="n"/>
      <c r="CT251" s="298" t="n"/>
      <c r="CU251" s="317" t="n"/>
      <c r="CV251" s="317" t="n"/>
      <c r="CW251" s="317" t="n"/>
      <c r="CX251" s="317" t="n"/>
      <c r="CY251" s="298" t="n"/>
    </row>
    <row r="252" hidden="1" outlineLevel="1" ht="12.75" customFormat="1" customHeight="1" s="322">
      <c r="A252" s="293" t="n"/>
      <c r="B252" s="293" t="n"/>
      <c r="C252" s="314" t="n"/>
      <c r="D252" s="298" t="n"/>
      <c r="E252" s="298" t="n"/>
      <c r="F252" s="298" t="n"/>
      <c r="G252" s="298" t="n"/>
      <c r="H252" s="298" t="n"/>
      <c r="I252" s="298" t="n"/>
      <c r="J252" s="298" t="n"/>
      <c r="K252" s="298" t="n"/>
      <c r="L252" s="298" t="n"/>
      <c r="M252" s="298" t="n"/>
      <c r="N252" s="298" t="n"/>
      <c r="O252" s="298" t="n"/>
      <c r="P252" s="298" t="n"/>
      <c r="Q252" s="298" t="n"/>
      <c r="R252" s="298" t="n"/>
      <c r="S252" s="298" t="n"/>
      <c r="T252" s="298" t="n"/>
      <c r="U252" s="298" t="n"/>
      <c r="V252" s="298" t="n"/>
      <c r="W252" s="298" t="n"/>
      <c r="X252" s="298" t="n"/>
      <c r="Y252" s="298" t="n"/>
      <c r="Z252" s="298" t="n"/>
      <c r="AA252" s="298" t="n"/>
      <c r="AB252" s="298" t="n"/>
      <c r="AC252" s="298" t="n"/>
      <c r="AD252" s="298" t="n"/>
      <c r="AE252" s="298" t="n"/>
      <c r="AF252" s="298" t="n"/>
      <c r="AG252" s="298" t="n"/>
      <c r="AH252" s="298" t="n"/>
      <c r="AI252" s="298" t="n"/>
      <c r="AJ252" s="298" t="n"/>
      <c r="AK252" s="298" t="n"/>
      <c r="AL252" s="298" t="n"/>
      <c r="AM252" s="298" t="n"/>
      <c r="AN252" s="298" t="n"/>
      <c r="AO252" s="298" t="n"/>
      <c r="AP252" s="298" t="n"/>
      <c r="AQ252" s="298" t="n"/>
      <c r="AR252" s="298" t="n"/>
      <c r="AS252" s="298" t="n"/>
      <c r="AT252" s="298" t="n"/>
      <c r="AU252" s="298" t="n"/>
      <c r="AV252" s="298" t="n"/>
      <c r="AW252" s="298" t="n"/>
      <c r="AX252" s="298" t="n"/>
      <c r="AY252" s="298" t="n"/>
      <c r="AZ252" s="298" t="n"/>
      <c r="BA252" s="298" t="n"/>
      <c r="BB252" s="298" t="n"/>
      <c r="BC252" s="298" t="n"/>
      <c r="BD252" s="298" t="n"/>
      <c r="BE252" s="298" t="n"/>
      <c r="BF252" s="298" t="n"/>
      <c r="BG252" s="298" t="n"/>
      <c r="BH252" s="298" t="n"/>
      <c r="BI252" s="298" t="n"/>
      <c r="BJ252" s="298" t="n"/>
      <c r="BK252" s="298" t="n"/>
      <c r="BL252" s="298" t="n"/>
      <c r="BM252" s="298" t="n"/>
      <c r="BN252" s="298" t="n"/>
      <c r="BO252" s="298" t="n"/>
      <c r="BP252" s="298" t="n"/>
      <c r="BQ252" s="298" t="n"/>
      <c r="BR252" s="298" t="n"/>
      <c r="BS252" s="298" t="n"/>
      <c r="BT252" s="298" t="n"/>
      <c r="BU252" s="298" t="n"/>
      <c r="BV252" s="298" t="n"/>
      <c r="BW252" s="298" t="n"/>
      <c r="BX252" s="298" t="n"/>
      <c r="BY252" s="298" t="n"/>
      <c r="BZ252" s="298" t="n"/>
      <c r="CA252" s="298" t="n"/>
      <c r="CB252" s="298" t="n"/>
      <c r="CC252" s="298" t="n"/>
      <c r="CD252" s="298" t="n"/>
      <c r="CE252" s="298" t="n"/>
      <c r="CF252" s="298" t="n"/>
      <c r="CG252" s="298" t="n"/>
      <c r="CH252" s="298" t="n"/>
      <c r="CI252" s="298" t="n"/>
      <c r="CJ252" s="298" t="n"/>
      <c r="CK252" s="298" t="n"/>
      <c r="CL252" s="298" t="n"/>
      <c r="CM252" s="298" t="n"/>
      <c r="CN252" s="298" t="n"/>
      <c r="CO252" s="298" t="n"/>
      <c r="CP252" s="298" t="n"/>
      <c r="CQ252" s="298" t="n"/>
      <c r="CR252" s="298" t="n"/>
      <c r="CS252" s="298" t="n"/>
      <c r="CT252" s="298" t="n"/>
      <c r="CU252" s="298" t="n"/>
      <c r="CV252" s="298" t="n"/>
      <c r="CW252" s="298" t="n"/>
      <c r="CX252" s="298" t="n"/>
      <c r="CY252" s="298" t="n"/>
    </row>
    <row r="253" ht="12.75" customHeight="1" s="255">
      <c r="C253" s="270" t="inlineStr">
        <is>
          <t>Convertible Preferred Stock</t>
        </is>
      </c>
      <c r="D253" s="301" t="n"/>
      <c r="E253" s="301" t="n"/>
      <c r="F253" s="301" t="n"/>
      <c r="G253" s="301" t="n"/>
      <c r="H253" s="268">
        <f>G253</f>
        <v>0</v>
      </c>
      <c r="I253" s="301" t="n"/>
      <c r="J253" s="301" t="n"/>
      <c r="K253" s="301" t="n"/>
      <c r="L253" s="301" t="n"/>
      <c r="M253" s="268">
        <f>L253</f>
        <v>0</v>
      </c>
      <c r="N253" s="301" t="n"/>
      <c r="O253" s="301" t="n"/>
      <c r="P253" s="301" t="n"/>
      <c r="Q253" s="301" t="n"/>
      <c r="R253" s="268">
        <f>Q253</f>
        <v>0</v>
      </c>
      <c r="S253" s="301" t="n"/>
      <c r="T253" s="301" t="n"/>
      <c r="U253" s="301" t="n"/>
      <c r="V253" s="301" t="n"/>
      <c r="W253" s="268">
        <f>V253</f>
        <v>0</v>
      </c>
      <c r="X253" s="301" t="n"/>
      <c r="Y253" s="301" t="n"/>
      <c r="Z253" s="301" t="n"/>
      <c r="AA253" s="301" t="n"/>
      <c r="AB253" s="268">
        <f>AA253</f>
        <v>0</v>
      </c>
      <c r="AC253" s="301" t="n"/>
      <c r="AD253" s="301" t="n"/>
      <c r="AE253" s="301" t="n"/>
      <c r="AF253" s="301" t="n"/>
      <c r="AG253" s="268">
        <f>AF253</f>
        <v>0</v>
      </c>
      <c r="AH253" s="268">
        <f>AG253</f>
        <v>0</v>
      </c>
      <c r="AI253" s="268">
        <f>AH253</f>
        <v>0</v>
      </c>
      <c r="AJ253" s="268">
        <f>AI253</f>
        <v>0</v>
      </c>
      <c r="AK253" s="268">
        <f>AJ253</f>
        <v>0</v>
      </c>
      <c r="AL253" s="268">
        <f>AK253</f>
        <v>0</v>
      </c>
      <c r="AM253" s="268">
        <f>AL253</f>
        <v>0</v>
      </c>
      <c r="AN253" s="268">
        <f>AM253</f>
        <v>0</v>
      </c>
      <c r="AO253" s="268">
        <f>AN253</f>
        <v>0</v>
      </c>
      <c r="AP253" s="268">
        <f>AO253</f>
        <v>0</v>
      </c>
      <c r="AQ253" s="268">
        <f>AP253</f>
        <v>0</v>
      </c>
      <c r="AR253" s="268">
        <f>AQ253</f>
        <v>0</v>
      </c>
      <c r="AS253" s="268">
        <f>AR253</f>
        <v>0</v>
      </c>
      <c r="AT253" s="268">
        <f>AS253</f>
        <v>0</v>
      </c>
      <c r="AU253" s="268">
        <f>AT253</f>
        <v>0</v>
      </c>
      <c r="AV253" s="268">
        <f>AU253</f>
        <v>0</v>
      </c>
      <c r="AW253" s="268">
        <f>AV253</f>
        <v>0</v>
      </c>
      <c r="AX253" s="268">
        <f>AW253</f>
        <v>0</v>
      </c>
      <c r="AY253" s="268">
        <f>AX253</f>
        <v>0</v>
      </c>
      <c r="AZ253" s="268">
        <f>AY253</f>
        <v>0</v>
      </c>
      <c r="BA253" s="268">
        <f>AZ253</f>
        <v>0</v>
      </c>
      <c r="BB253" s="268">
        <f>BA253</f>
        <v>0</v>
      </c>
      <c r="BC253" s="268">
        <f>BB253</f>
        <v>0</v>
      </c>
      <c r="BD253" s="268">
        <f>BC253</f>
        <v>0</v>
      </c>
      <c r="BE253" s="268">
        <f>BD253</f>
        <v>0</v>
      </c>
      <c r="BF253" s="268">
        <f>BE253</f>
        <v>0</v>
      </c>
      <c r="BG253" s="268">
        <f>BF253</f>
        <v>0</v>
      </c>
      <c r="BH253" s="268">
        <f>BG253</f>
        <v>0</v>
      </c>
      <c r="BI253" s="268">
        <f>BH253</f>
        <v>0</v>
      </c>
      <c r="BJ253" s="268">
        <f>BI253</f>
        <v>0</v>
      </c>
      <c r="BK253" s="268">
        <f>BJ253</f>
        <v>0</v>
      </c>
      <c r="BL253" s="268">
        <f>BK253</f>
        <v>0</v>
      </c>
      <c r="BM253" s="268">
        <f>BL253</f>
        <v>0</v>
      </c>
      <c r="BN253" s="268">
        <f>BM253</f>
        <v>0</v>
      </c>
      <c r="BO253" s="268">
        <f>BN253</f>
        <v>0</v>
      </c>
      <c r="BP253" s="268">
        <f>BO253</f>
        <v>0</v>
      </c>
      <c r="BQ253" s="268">
        <f>BP253</f>
        <v>0</v>
      </c>
      <c r="BR253" s="268">
        <f>BQ253</f>
        <v>0</v>
      </c>
      <c r="BS253" s="268">
        <f>BR253</f>
        <v>0</v>
      </c>
      <c r="BT253" s="268">
        <f>BS253</f>
        <v>0</v>
      </c>
      <c r="BU253" s="268">
        <f>BT253</f>
        <v>0</v>
      </c>
      <c r="BV253" s="268">
        <f>BU253</f>
        <v>0</v>
      </c>
      <c r="BW253" s="268">
        <f>BV253</f>
        <v>0</v>
      </c>
      <c r="BX253" s="268">
        <f>BW253</f>
        <v>0</v>
      </c>
      <c r="BY253" s="268">
        <f>BX253</f>
        <v>0</v>
      </c>
      <c r="BZ253" s="268">
        <f>BY253</f>
        <v>0</v>
      </c>
      <c r="CA253" s="268">
        <f>BZ253</f>
        <v>0</v>
      </c>
      <c r="CB253" s="268">
        <f>CA253</f>
        <v>0</v>
      </c>
      <c r="CC253" s="268">
        <f>CB253</f>
        <v>0</v>
      </c>
      <c r="CD253" s="268">
        <f>CC253</f>
        <v>0</v>
      </c>
      <c r="CE253" s="268">
        <f>CD253</f>
        <v>0</v>
      </c>
      <c r="CF253" s="268">
        <f>CE253</f>
        <v>0</v>
      </c>
      <c r="CG253" s="268">
        <f>CF253</f>
        <v>0</v>
      </c>
      <c r="CH253" s="268">
        <f>CG253</f>
        <v>0</v>
      </c>
      <c r="CI253" s="268">
        <f>CH253</f>
        <v>0</v>
      </c>
      <c r="CJ253" s="268">
        <f>CI253</f>
        <v>0</v>
      </c>
      <c r="CK253" s="268">
        <f>CJ253</f>
        <v>0</v>
      </c>
      <c r="CL253" s="268">
        <f>CK253</f>
        <v>0</v>
      </c>
      <c r="CM253" s="268">
        <f>CL253</f>
        <v>0</v>
      </c>
      <c r="CN253" s="268">
        <f>CM253</f>
        <v>0</v>
      </c>
      <c r="CO253" s="268">
        <f>CN253</f>
        <v>0</v>
      </c>
      <c r="CP253" s="268">
        <f>CO253</f>
        <v>0</v>
      </c>
      <c r="CQ253" s="268">
        <f>CP253</f>
        <v>0</v>
      </c>
      <c r="CR253" s="268">
        <f>CQ253</f>
        <v>0</v>
      </c>
      <c r="CS253" s="268">
        <f>CR253</f>
        <v>0</v>
      </c>
      <c r="CT253" s="268">
        <f>CS253</f>
        <v>0</v>
      </c>
      <c r="CU253" s="268">
        <f>CT253</f>
        <v>0</v>
      </c>
      <c r="CV253" s="268">
        <f>CU253</f>
        <v>0</v>
      </c>
      <c r="CW253" s="268">
        <f>CV253</f>
        <v>0</v>
      </c>
      <c r="CX253" s="268">
        <f>CW253</f>
        <v>0</v>
      </c>
      <c r="CY253" s="268">
        <f>CX253</f>
        <v>0</v>
      </c>
    </row>
    <row r="254" ht="12.75" customHeight="1" s="255">
      <c r="C254" s="269" t="inlineStr">
        <is>
          <t>Common Stock and APIC</t>
        </is>
      </c>
      <c r="D254" s="301">
        <f>INDEX('Inputs (2)'!$D$43:$AL$43,MATCH(D$7,'Inputs (2)'!$D$2:$AL$2,0))</f>
        <v>5345</v>
      </c>
      <c r="E254" s="301">
        <f>INDEX('Inputs (2)'!$D$43:$AL$43,MATCH(E$7,'Inputs (2)'!$D$2:$AL$2,0))</f>
        <v>5357</v>
      </c>
      <c r="F254" s="301">
        <f>INDEX('Inputs (2)'!$D$43:$AL$43,MATCH(F$7,'Inputs (2)'!$D$2:$AL$2,0))</f>
        <v>5377</v>
      </c>
      <c r="G254" s="301">
        <f>INDEX('Inputs (2)'!$D$43:$AL$43,MATCH(G$7,'Inputs (2)'!$D$2:$AL$2,0))</f>
        <v>5409</v>
      </c>
      <c r="H254" s="268">
        <f>G254</f>
        <v>5409</v>
      </c>
      <c r="I254" s="301">
        <f>INDEX('Inputs (2)'!$D$43:$AL$43,MATCH(I$7,'Inputs (2)'!$D$2:$AL$2,0))</f>
        <v>5469</v>
      </c>
      <c r="J254" s="301">
        <f>INDEX('Inputs (2)'!$D$43:$AL$43,MATCH(J$7,'Inputs (2)'!$D$2:$AL$2,0))</f>
        <v>5513</v>
      </c>
      <c r="K254" s="301">
        <f>INDEX('Inputs (2)'!$D$43:$AL$43,MATCH(K$7,'Inputs (2)'!$D$2:$AL$2,0))</f>
        <v>5531</v>
      </c>
      <c r="L254" s="301">
        <f>INDEX('Inputs (2)'!$D$43:$AL$43,MATCH(L$7,'Inputs (2)'!$D$2:$AL$2,0))</f>
        <v>5591</v>
      </c>
      <c r="M254" s="268">
        <f>L254</f>
        <v>5591</v>
      </c>
      <c r="N254" s="301">
        <f>INDEX('Inputs (2)'!$D$43:$AL$43,MATCH(N$7,'Inputs (2)'!$D$2:$AL$2,0))</f>
        <v>6333</v>
      </c>
      <c r="O254" s="301">
        <f>INDEX('Inputs (2)'!$D$43:$AL$43,MATCH(O$7,'Inputs (2)'!$D$2:$AL$2,0))</f>
        <v>6596</v>
      </c>
      <c r="P254" s="301">
        <f>INDEX('Inputs (2)'!$D$43:$AL$43,MATCH(P$7,'Inputs (2)'!$D$2:$AL$2,0))</f>
        <v>6656</v>
      </c>
      <c r="Q254" s="301">
        <f>INDEX('Inputs (2)'!$D$43:$AL$43,MATCH(Q$7,'Inputs (2)'!$D$2:$AL$2,0))</f>
        <v>6693</v>
      </c>
      <c r="R254" s="268">
        <f>Q254</f>
        <v>6693</v>
      </c>
      <c r="S254" s="301">
        <f>INDEX('Inputs (2)'!$D$43:$AL$43,MATCH(S$7,'Inputs (2)'!$D$2:$AL$2,0))</f>
        <v>6689</v>
      </c>
      <c r="T254" s="301">
        <f>INDEX('Inputs (2)'!$D$43:$AL$43,MATCH(T$7,'Inputs (2)'!$D$2:$AL$2,0))</f>
        <v>6707</v>
      </c>
      <c r="U254" s="301">
        <f>INDEX('Inputs (2)'!$D$43:$AL$43,MATCH(U$7,'Inputs (2)'!$D$2:$AL$2,0))</f>
        <v>6728</v>
      </c>
      <c r="V254" s="301">
        <f>INDEX('Inputs (2)'!$D$43:$AL$43,MATCH(V$7,'Inputs (2)'!$D$2:$AL$2,0))</f>
        <v>5900</v>
      </c>
      <c r="W254" s="268">
        <f>V254</f>
        <v>5900</v>
      </c>
      <c r="X254" s="301">
        <f>INDEX('Inputs (2)'!$D$43:$AL$43,MATCH(X$7,'Inputs (2)'!$D$2:$AL$2,0))</f>
        <v>5854</v>
      </c>
      <c r="Y254" s="301">
        <f>INDEX('Inputs (2)'!$D$43:$AL$43,MATCH(Y$7,'Inputs (2)'!$D$2:$AL$2,0))</f>
        <v>5869</v>
      </c>
      <c r="Z254" s="301">
        <f>INDEX('Inputs (2)'!$D$43:$AL$43,MATCH(Z$7,'Inputs (2)'!$D$2:$AL$2,0))</f>
        <v>5881</v>
      </c>
      <c r="AA254" s="301">
        <f>INDEX('Inputs (2)'!$D$43:$AL$43,MATCH(AA$7,'Inputs (2)'!$D$2:$AL$2,0))</f>
        <v>5325</v>
      </c>
      <c r="AB254" s="268">
        <f>AA254</f>
        <v>5325</v>
      </c>
      <c r="AC254" s="301">
        <f>INDEX('Inputs (2)'!$D$43:$AL$43,MATCH(AC$7,'Inputs (2)'!$D$2:$AL$2,0))</f>
        <v>5490</v>
      </c>
      <c r="AD254" s="301">
        <f>INDEX('Inputs (2)'!$D$43:$AL$43,MATCH(AD$7,'Inputs (2)'!$D$2:$AL$2,0))</f>
        <v>5502</v>
      </c>
      <c r="AE254" s="301">
        <f>INDEX('Inputs (2)'!$D$43:$AL$43,MATCH(AE$7,'Inputs (2)'!$D$2:$AL$2,0))</f>
        <v>10871</v>
      </c>
      <c r="AF254" s="301">
        <f>INDEX('Inputs (2)'!$D$43:$AL$43,MATCH(AF$7,'Inputs (2)'!$D$2:$AL$2,0))</f>
        <v>9841</v>
      </c>
      <c r="AG254" s="268">
        <f>AF254</f>
        <v>9841</v>
      </c>
      <c r="AH254" s="268">
        <f>INDEX('Inputs (2)'!$D$43:$AL$43,MATCH(AH$7,'Inputs (2)'!$D$2:$AL$2,0))</f>
        <v>9811</v>
      </c>
      <c r="AI254" s="268">
        <f>INDEX('Inputs (2)'!$D$43:$AL$43,MATCH(AI$7,'Inputs (2)'!$D$2:$AL$2,0))</f>
        <v>9838</v>
      </c>
      <c r="AJ254" s="268">
        <f>AI254+AJ258</f>
        <v>9838</v>
      </c>
      <c r="AK254" s="268">
        <f>AJ254+AK258</f>
        <v>9838</v>
      </c>
      <c r="AL254" s="268">
        <f>AK254</f>
        <v>9838</v>
      </c>
      <c r="AM254" s="268">
        <f>AL254+AM258</f>
        <v>9838</v>
      </c>
      <c r="AN254" s="268">
        <f>AM254+AN258</f>
        <v>9838</v>
      </c>
      <c r="AO254" s="268">
        <f>AN254+AO258</f>
        <v>9838</v>
      </c>
      <c r="AP254" s="268">
        <f>AO254+AP258</f>
        <v>9838</v>
      </c>
      <c r="AQ254" s="268">
        <f>AP254</f>
        <v>9838</v>
      </c>
      <c r="AR254" s="268">
        <f>AQ254+AR258</f>
        <v>9838</v>
      </c>
      <c r="AS254" s="268">
        <f>AR254+AS258</f>
        <v>9838</v>
      </c>
      <c r="AT254" s="268">
        <f>AS254+AT258</f>
        <v>9838</v>
      </c>
      <c r="AU254" s="268">
        <f>AT254+AU258</f>
        <v>9838</v>
      </c>
      <c r="AV254" s="268">
        <f>AU254</f>
        <v>9838</v>
      </c>
      <c r="AW254" s="268">
        <f>AV254+AW258</f>
        <v>9838</v>
      </c>
      <c r="AX254" s="268">
        <f>AW254+AX258</f>
        <v>9838</v>
      </c>
      <c r="AY254" s="268">
        <f>AX254+AY258</f>
        <v>9838</v>
      </c>
      <c r="AZ254" s="268">
        <f>AY254+AZ258</f>
        <v>9838</v>
      </c>
      <c r="BA254" s="268">
        <f>AZ254</f>
        <v>9838</v>
      </c>
      <c r="BB254" s="268">
        <f>BA254+BB258</f>
        <v>9838</v>
      </c>
      <c r="BC254" s="268">
        <f>BB254+BC258</f>
        <v>9838</v>
      </c>
      <c r="BD254" s="268">
        <f>BC254+BD258</f>
        <v>9838</v>
      </c>
      <c r="BE254" s="268">
        <f>BD254+BE258</f>
        <v>9838</v>
      </c>
      <c r="BF254" s="268">
        <f>BE254</f>
        <v>9838</v>
      </c>
      <c r="BG254" s="268">
        <f>BF254+BG258</f>
        <v>9838</v>
      </c>
      <c r="BH254" s="268">
        <f>BG254+BH258</f>
        <v>9838</v>
      </c>
      <c r="BI254" s="268">
        <f>BH254+BI258</f>
        <v>9838</v>
      </c>
      <c r="BJ254" s="268">
        <f>BI254+BJ258</f>
        <v>9838</v>
      </c>
      <c r="BK254" s="268">
        <f>BJ254</f>
        <v>9838</v>
      </c>
      <c r="BL254" s="268">
        <f>BK254+BL258</f>
        <v>9838</v>
      </c>
      <c r="BM254" s="268">
        <f>BL254+BM258</f>
        <v>9838</v>
      </c>
      <c r="BN254" s="268">
        <f>BM254+BN258</f>
        <v>9838</v>
      </c>
      <c r="BO254" s="268">
        <f>BN254+BO258</f>
        <v>9838</v>
      </c>
      <c r="BP254" s="268">
        <f>BO254</f>
        <v>9838</v>
      </c>
      <c r="BQ254" s="268">
        <f>BP254+BQ258</f>
        <v>9838</v>
      </c>
      <c r="BR254" s="268">
        <f>BQ254+BR258</f>
        <v>9838</v>
      </c>
      <c r="BS254" s="268">
        <f>BR254+BS258</f>
        <v>9838</v>
      </c>
      <c r="BT254" s="268">
        <f>BS254+BT258</f>
        <v>9838</v>
      </c>
      <c r="BU254" s="268">
        <f>BT254</f>
        <v>9838</v>
      </c>
      <c r="BV254" s="268">
        <f>BU254+BV258</f>
        <v>9838</v>
      </c>
      <c r="BW254" s="268">
        <f>BV254+BW258</f>
        <v>9838</v>
      </c>
      <c r="BX254" s="268">
        <f>BW254+BX258</f>
        <v>9838</v>
      </c>
      <c r="BY254" s="268">
        <f>BX254+BY258</f>
        <v>9838</v>
      </c>
      <c r="BZ254" s="268">
        <f>BY254</f>
        <v>9838</v>
      </c>
      <c r="CA254" s="268">
        <f>BZ254+CA258</f>
        <v>9838</v>
      </c>
      <c r="CB254" s="268">
        <f>CA254+CB258</f>
        <v>9838</v>
      </c>
      <c r="CC254" s="268">
        <f>CB254+CC258</f>
        <v>9838</v>
      </c>
      <c r="CD254" s="268">
        <f>CC254+CD258</f>
        <v>9838</v>
      </c>
      <c r="CE254" s="268">
        <f>CD254</f>
        <v>9838</v>
      </c>
      <c r="CF254" s="268">
        <f>CE254+CF258</f>
        <v>9838</v>
      </c>
      <c r="CG254" s="268">
        <f>CF254+CG258</f>
        <v>9838</v>
      </c>
      <c r="CH254" s="268">
        <f>CG254+CH258</f>
        <v>9838</v>
      </c>
      <c r="CI254" s="268">
        <f>CH254+CI258</f>
        <v>9838</v>
      </c>
      <c r="CJ254" s="268">
        <f>CI254</f>
        <v>9838</v>
      </c>
      <c r="CK254" s="268">
        <f>CJ254+CK258</f>
        <v>9838</v>
      </c>
      <c r="CL254" s="268">
        <f>CK254+CL258</f>
        <v>9838</v>
      </c>
      <c r="CM254" s="268">
        <f>CL254+CM258</f>
        <v>9838</v>
      </c>
      <c r="CN254" s="268">
        <f>CM254+CN258</f>
        <v>9838</v>
      </c>
      <c r="CO254" s="268">
        <f>CN254</f>
        <v>9838</v>
      </c>
      <c r="CP254" s="268">
        <f>CO254+CP258</f>
        <v>9838</v>
      </c>
      <c r="CQ254" s="268">
        <f>CP254+CQ258</f>
        <v>9838</v>
      </c>
      <c r="CR254" s="268">
        <f>CQ254+CR258</f>
        <v>9838</v>
      </c>
      <c r="CS254" s="268">
        <f>CR254+CS258</f>
        <v>9838</v>
      </c>
      <c r="CT254" s="268">
        <f>CS254</f>
        <v>9838</v>
      </c>
      <c r="CU254" s="268">
        <f>CT254+CU258</f>
        <v>9838</v>
      </c>
      <c r="CV254" s="268">
        <f>CU254+CV258</f>
        <v>9838</v>
      </c>
      <c r="CW254" s="268">
        <f>CV254+CW258</f>
        <v>9838</v>
      </c>
      <c r="CX254" s="268">
        <f>CW254+CX258</f>
        <v>9838</v>
      </c>
      <c r="CY254" s="268">
        <f>CX254</f>
        <v>9838</v>
      </c>
    </row>
    <row r="255" hidden="1" outlineLevel="1" ht="12.75" customFormat="1" customHeight="1" s="322">
      <c r="A255" s="293" t="n"/>
      <c r="B255" s="293" t="n"/>
      <c r="C255" s="323" t="n"/>
      <c r="D255" s="298" t="n"/>
      <c r="E255" s="298" t="n"/>
      <c r="F255" s="298" t="n"/>
      <c r="G255" s="298" t="n"/>
      <c r="H255" s="298" t="n"/>
      <c r="I255" s="298" t="n"/>
      <c r="J255" s="298" t="n"/>
      <c r="K255" s="298" t="n"/>
      <c r="L255" s="298" t="n"/>
      <c r="M255" s="298" t="n"/>
      <c r="N255" s="298" t="n"/>
      <c r="O255" s="298" t="n"/>
      <c r="P255" s="298" t="n"/>
      <c r="Q255" s="298" t="n"/>
      <c r="R255" s="298" t="n"/>
      <c r="S255" s="298" t="n"/>
      <c r="T255" s="298" t="n"/>
      <c r="U255" s="298" t="n"/>
      <c r="V255" s="298" t="n"/>
      <c r="W255" s="298" t="n"/>
      <c r="X255" s="298" t="n"/>
      <c r="Y255" s="298" t="n"/>
      <c r="Z255" s="298" t="n"/>
      <c r="AA255" s="298" t="n"/>
      <c r="AB255" s="298" t="n"/>
      <c r="AC255" s="298" t="n"/>
      <c r="AD255" s="298" t="n"/>
      <c r="AE255" s="298" t="n"/>
      <c r="AF255" s="298" t="n"/>
      <c r="AG255" s="298" t="n"/>
      <c r="AH255" s="298" t="n"/>
      <c r="AI255" s="298" t="n"/>
      <c r="AJ255" s="298" t="n"/>
      <c r="AK255" s="298" t="n"/>
      <c r="AL255" s="298" t="n"/>
      <c r="AM255" s="298" t="n"/>
      <c r="AN255" s="298" t="n"/>
      <c r="AO255" s="298" t="n"/>
      <c r="AP255" s="298" t="n"/>
      <c r="AQ255" s="298" t="n"/>
      <c r="AR255" s="298" t="n"/>
      <c r="AS255" s="298" t="n"/>
      <c r="AT255" s="298" t="n"/>
      <c r="AU255" s="298" t="n"/>
      <c r="AV255" s="298" t="n"/>
      <c r="AW255" s="298" t="n"/>
      <c r="AX255" s="298" t="n"/>
      <c r="AY255" s="298" t="n"/>
      <c r="AZ255" s="298" t="n"/>
      <c r="BA255" s="298" t="n"/>
      <c r="BB255" s="298" t="n"/>
      <c r="BC255" s="298" t="n"/>
      <c r="BD255" s="298" t="n"/>
      <c r="BE255" s="298" t="n"/>
      <c r="BF255" s="298" t="n"/>
      <c r="BG255" s="298" t="n"/>
      <c r="BH255" s="298" t="n"/>
      <c r="BI255" s="298" t="n"/>
      <c r="BJ255" s="298" t="n"/>
      <c r="BK255" s="298" t="n"/>
      <c r="BL255" s="298" t="n"/>
      <c r="BM255" s="298" t="n"/>
      <c r="BN255" s="298" t="n"/>
      <c r="BO255" s="298" t="n"/>
      <c r="BP255" s="298" t="n"/>
      <c r="BQ255" s="298" t="n"/>
      <c r="BR255" s="298" t="n"/>
      <c r="BS255" s="298" t="n"/>
      <c r="BT255" s="298" t="n"/>
      <c r="BU255" s="298" t="n"/>
      <c r="BV255" s="298" t="n"/>
      <c r="BW255" s="298" t="n"/>
      <c r="BX255" s="298" t="n"/>
      <c r="BY255" s="298" t="n"/>
      <c r="BZ255" s="298" t="n"/>
      <c r="CA255" s="298" t="n"/>
      <c r="CB255" s="298" t="n"/>
      <c r="CC255" s="298" t="n"/>
      <c r="CD255" s="298" t="n"/>
      <c r="CE255" s="298" t="n"/>
      <c r="CF255" s="298" t="n"/>
      <c r="CG255" s="298" t="n"/>
      <c r="CH255" s="298" t="n"/>
      <c r="CI255" s="298" t="n"/>
      <c r="CJ255" s="298" t="n"/>
      <c r="CK255" s="298" t="n"/>
      <c r="CL255" s="298" t="n"/>
      <c r="CM255" s="298" t="n"/>
      <c r="CN255" s="298" t="n"/>
      <c r="CO255" s="298" t="n"/>
      <c r="CP255" s="298" t="n"/>
      <c r="CQ255" s="298" t="n"/>
      <c r="CR255" s="298" t="n"/>
      <c r="CS255" s="298" t="n"/>
      <c r="CT255" s="298" t="n"/>
      <c r="CU255" s="298" t="n"/>
      <c r="CV255" s="298" t="n"/>
      <c r="CW255" s="298" t="n"/>
      <c r="CX255" s="298" t="n"/>
      <c r="CY255" s="298" t="n"/>
    </row>
    <row r="256" hidden="1" outlineLevel="1" ht="12.75" customFormat="1" customHeight="1" s="322">
      <c r="A256" s="293" t="n"/>
      <c r="B256" s="293" t="n"/>
      <c r="C256" s="323" t="inlineStr">
        <is>
          <t>Diluted Shares outstanding</t>
        </is>
      </c>
      <c r="D256" s="298" t="n"/>
      <c r="E256" s="298" t="n"/>
      <c r="F256" s="298" t="n"/>
      <c r="G256" s="298" t="n"/>
      <c r="H256" s="298" t="n"/>
      <c r="I256" s="298" t="n"/>
      <c r="J256" s="298" t="n"/>
      <c r="K256" s="298" t="n"/>
      <c r="L256" s="298" t="n"/>
      <c r="M256" s="298" t="n"/>
      <c r="N256" s="298" t="n"/>
      <c r="O256" s="298" t="n"/>
      <c r="P256" s="298" t="n"/>
      <c r="Q256" s="298" t="n"/>
      <c r="R256" s="298" t="n"/>
      <c r="S256" s="298" t="n"/>
      <c r="T256" s="298" t="n"/>
      <c r="U256" s="298" t="n"/>
      <c r="V256" s="298" t="n"/>
      <c r="W256" s="298" t="n"/>
      <c r="X256" s="298" t="n"/>
      <c r="Y256" s="298" t="n"/>
      <c r="Z256" s="298" t="n"/>
      <c r="AA256" s="298" t="n"/>
      <c r="AB256" s="298" t="n"/>
      <c r="AC256" s="298" t="n"/>
      <c r="AD256" s="298" t="n"/>
      <c r="AE256" s="298" t="n"/>
      <c r="AF256" s="298" t="n"/>
      <c r="AG256" s="298" t="n"/>
      <c r="AH256" s="298" t="n"/>
      <c r="AI256" s="298" t="n"/>
      <c r="AJ256" s="298" t="n"/>
      <c r="AK256" s="298" t="n"/>
      <c r="AL256" s="298" t="n"/>
      <c r="AM256" s="298" t="n"/>
      <c r="AN256" s="298" t="n"/>
      <c r="AO256" s="298" t="n"/>
      <c r="AP256" s="298" t="n"/>
      <c r="AQ256" s="298" t="n"/>
      <c r="AR256" s="298" t="n"/>
      <c r="AS256" s="298" t="n"/>
      <c r="AT256" s="298" t="n"/>
      <c r="AU256" s="298" t="n"/>
      <c r="AV256" s="298" t="n"/>
      <c r="AW256" s="298" t="n"/>
      <c r="AX256" s="298" t="n"/>
      <c r="AY256" s="298" t="n"/>
      <c r="AZ256" s="298" t="n"/>
      <c r="BA256" s="298" t="n"/>
      <c r="BB256" s="298" t="n"/>
      <c r="BC256" s="298" t="n"/>
      <c r="BD256" s="298" t="n"/>
      <c r="BE256" s="298" t="n"/>
      <c r="BF256" s="298" t="n"/>
      <c r="BG256" s="298" t="n"/>
      <c r="BH256" s="298" t="n"/>
      <c r="BI256" s="298" t="n"/>
      <c r="BJ256" s="298" t="n"/>
      <c r="BK256" s="298" t="n"/>
      <c r="BL256" s="298" t="n"/>
      <c r="BM256" s="298" t="n"/>
      <c r="BN256" s="298" t="n"/>
      <c r="BO256" s="298" t="n"/>
      <c r="BP256" s="298" t="n"/>
      <c r="BQ256" s="298" t="n"/>
      <c r="BR256" s="298" t="n"/>
      <c r="BS256" s="298" t="n"/>
      <c r="BT256" s="298" t="n"/>
      <c r="BU256" s="298" t="n"/>
      <c r="BV256" s="298" t="n"/>
      <c r="BW256" s="298" t="n"/>
      <c r="BX256" s="298" t="n"/>
      <c r="BY256" s="298" t="n"/>
      <c r="BZ256" s="298" t="n"/>
      <c r="CA256" s="298" t="n"/>
      <c r="CB256" s="298" t="n"/>
      <c r="CC256" s="298" t="n"/>
      <c r="CD256" s="298" t="n"/>
      <c r="CE256" s="298" t="n"/>
      <c r="CF256" s="298" t="n"/>
      <c r="CG256" s="298" t="n"/>
      <c r="CH256" s="298" t="n"/>
      <c r="CI256" s="298" t="n"/>
      <c r="CJ256" s="298" t="n"/>
      <c r="CK256" s="298" t="n"/>
      <c r="CL256" s="298" t="n"/>
      <c r="CM256" s="298" t="n"/>
      <c r="CN256" s="298" t="n"/>
      <c r="CO256" s="298" t="n"/>
      <c r="CP256" s="298" t="n"/>
      <c r="CQ256" s="298" t="n"/>
      <c r="CR256" s="298" t="n"/>
      <c r="CS256" s="298" t="n"/>
      <c r="CT256" s="298" t="n"/>
      <c r="CU256" s="298" t="n"/>
      <c r="CV256" s="298" t="n"/>
      <c r="CW256" s="298" t="n"/>
      <c r="CX256" s="298" t="n"/>
      <c r="CY256" s="298" t="n"/>
    </row>
    <row r="257" hidden="1" outlineLevel="1" ht="12.75" customFormat="1" customHeight="1" s="322">
      <c r="A257" s="293" t="n"/>
      <c r="B257" s="293" t="n"/>
      <c r="C257" s="323" t="inlineStr">
        <is>
          <t>Treasury share $ repurchases</t>
        </is>
      </c>
      <c r="D257" s="298" t="n"/>
      <c r="E257" s="298" t="n"/>
      <c r="F257" s="298" t="n"/>
      <c r="G257" s="298" t="n"/>
      <c r="H257" s="298" t="n"/>
      <c r="I257" s="298" t="n"/>
      <c r="J257" s="298" t="n"/>
      <c r="K257" s="298" t="n"/>
      <c r="L257" s="298" t="n"/>
      <c r="M257" s="298" t="n"/>
      <c r="N257" s="298" t="n"/>
      <c r="O257" s="298" t="n"/>
      <c r="P257" s="298" t="n"/>
      <c r="Q257" s="298" t="n"/>
      <c r="R257" s="298" t="n"/>
      <c r="S257" s="298" t="n"/>
      <c r="T257" s="298" t="n"/>
      <c r="U257" s="298" t="n"/>
      <c r="V257" s="298" t="n"/>
      <c r="W257" s="298" t="n"/>
      <c r="X257" s="298" t="n"/>
      <c r="Y257" s="298" t="n"/>
      <c r="Z257" s="298" t="n"/>
      <c r="AA257" s="298" t="n"/>
      <c r="AB257" s="298" t="n"/>
      <c r="AC257" s="298" t="n"/>
      <c r="AD257" s="298" t="n"/>
      <c r="AE257" s="298" t="n"/>
      <c r="AF257" s="298" t="n"/>
      <c r="AG257" s="298" t="n"/>
      <c r="AH257" s="267" t="n"/>
      <c r="AI257" s="267" t="n"/>
      <c r="AJ257" s="267" t="n"/>
      <c r="AK257" s="267" t="n"/>
      <c r="AL257" s="298" t="n"/>
      <c r="AM257" s="267" t="n"/>
      <c r="AN257" s="267" t="n"/>
      <c r="AO257" s="267" t="n"/>
      <c r="AP257" s="267" t="n"/>
      <c r="AQ257" s="298" t="n"/>
      <c r="AR257" s="267" t="n"/>
      <c r="AS257" s="267" t="n"/>
      <c r="AT257" s="267" t="n"/>
      <c r="AU257" s="267" t="n"/>
      <c r="AV257" s="298" t="n"/>
      <c r="AW257" s="267" t="n"/>
      <c r="AX257" s="267" t="n"/>
      <c r="AY257" s="267" t="n"/>
      <c r="AZ257" s="267" t="n"/>
      <c r="BA257" s="298" t="n"/>
      <c r="BB257" s="267" t="n"/>
      <c r="BC257" s="267" t="n"/>
      <c r="BD257" s="267" t="n"/>
      <c r="BE257" s="267" t="n"/>
      <c r="BF257" s="298" t="n"/>
      <c r="BG257" s="267" t="n"/>
      <c r="BH257" s="267" t="n"/>
      <c r="BI257" s="267" t="n"/>
      <c r="BJ257" s="267" t="n"/>
      <c r="BK257" s="298" t="n"/>
      <c r="BL257" s="267" t="n"/>
      <c r="BM257" s="267" t="n"/>
      <c r="BN257" s="267" t="n"/>
      <c r="BO257" s="267" t="n"/>
      <c r="BP257" s="298" t="n"/>
      <c r="BQ257" s="267" t="n"/>
      <c r="BR257" s="267" t="n"/>
      <c r="BS257" s="267" t="n"/>
      <c r="BT257" s="267" t="n"/>
      <c r="BU257" s="298" t="n"/>
      <c r="BV257" s="267" t="n"/>
      <c r="BW257" s="267" t="n"/>
      <c r="BX257" s="267" t="n"/>
      <c r="BY257" s="267" t="n"/>
      <c r="BZ257" s="298" t="n"/>
      <c r="CA257" s="267" t="n"/>
      <c r="CB257" s="267" t="n"/>
      <c r="CC257" s="267" t="n"/>
      <c r="CD257" s="267" t="n"/>
      <c r="CE257" s="298" t="n"/>
      <c r="CF257" s="267" t="n"/>
      <c r="CG257" s="267" t="n"/>
      <c r="CH257" s="267" t="n"/>
      <c r="CI257" s="267" t="n"/>
      <c r="CJ257" s="298" t="n"/>
      <c r="CK257" s="267" t="n"/>
      <c r="CL257" s="267" t="n"/>
      <c r="CM257" s="267" t="n"/>
      <c r="CN257" s="267" t="n"/>
      <c r="CO257" s="298" t="n"/>
      <c r="CP257" s="267" t="n"/>
      <c r="CQ257" s="267" t="n"/>
      <c r="CR257" s="267" t="n"/>
      <c r="CS257" s="267" t="n"/>
      <c r="CT257" s="298" t="n"/>
      <c r="CU257" s="267" t="n"/>
      <c r="CV257" s="267" t="n"/>
      <c r="CW257" s="267" t="n"/>
      <c r="CX257" s="267" t="n"/>
      <c r="CY257" s="298" t="n"/>
    </row>
    <row r="258" hidden="1" outlineLevel="1" ht="12.75" customFormat="1" customHeight="1" s="322">
      <c r="A258" s="293" t="n"/>
      <c r="B258" s="293" t="n"/>
      <c r="C258" s="323" t="inlineStr">
        <is>
          <t>Value of shares issued</t>
        </is>
      </c>
      <c r="D258" s="298" t="n"/>
      <c r="E258" s="298" t="n"/>
      <c r="F258" s="298" t="n"/>
      <c r="G258" s="298" t="n"/>
      <c r="H258" s="298" t="n"/>
      <c r="I258" s="298" t="n"/>
      <c r="J258" s="298" t="n"/>
      <c r="K258" s="298" t="n"/>
      <c r="L258" s="298" t="n"/>
      <c r="M258" s="298" t="n"/>
      <c r="N258" s="298" t="n"/>
      <c r="O258" s="298" t="n"/>
      <c r="P258" s="298" t="n"/>
      <c r="Q258" s="298" t="n"/>
      <c r="R258" s="298" t="n"/>
      <c r="S258" s="298" t="n"/>
      <c r="T258" s="298" t="n"/>
      <c r="U258" s="298" t="n"/>
      <c r="V258" s="298" t="n"/>
      <c r="W258" s="298" t="n"/>
      <c r="X258" s="298" t="n"/>
      <c r="Y258" s="298" t="n"/>
      <c r="Z258" s="298" t="n"/>
      <c r="AA258" s="298" t="n"/>
      <c r="AB258" s="298" t="n"/>
      <c r="AC258" s="298" t="n"/>
      <c r="AD258" s="298" t="n"/>
      <c r="AE258" s="298" t="n"/>
      <c r="AF258" s="298" t="n"/>
      <c r="AG258" s="298" t="n"/>
      <c r="AH258" s="267" t="n"/>
      <c r="AI258" s="267" t="n"/>
      <c r="AJ258" s="267" t="n"/>
      <c r="AK258" s="267" t="n"/>
      <c r="AL258" s="298" t="n"/>
      <c r="AM258" s="267" t="n"/>
      <c r="AN258" s="267" t="n"/>
      <c r="AO258" s="267" t="n"/>
      <c r="AP258" s="267" t="n"/>
      <c r="AQ258" s="298" t="n"/>
      <c r="AR258" s="267" t="n"/>
      <c r="AS258" s="267" t="n"/>
      <c r="AT258" s="267" t="n"/>
      <c r="AU258" s="267" t="n"/>
      <c r="AV258" s="298" t="n"/>
      <c r="AW258" s="267" t="n"/>
      <c r="AX258" s="267" t="n"/>
      <c r="AY258" s="267" t="n"/>
      <c r="AZ258" s="267" t="n"/>
      <c r="BA258" s="298" t="n"/>
      <c r="BB258" s="267" t="n"/>
      <c r="BC258" s="267" t="n"/>
      <c r="BD258" s="267" t="n"/>
      <c r="BE258" s="267" t="n"/>
      <c r="BF258" s="298" t="n"/>
      <c r="BG258" s="267" t="n"/>
      <c r="BH258" s="267" t="n"/>
      <c r="BI258" s="267" t="n"/>
      <c r="BJ258" s="267" t="n"/>
      <c r="BK258" s="298" t="n"/>
      <c r="BL258" s="267" t="n"/>
      <c r="BM258" s="267" t="n"/>
      <c r="BN258" s="267" t="n"/>
      <c r="BO258" s="267" t="n"/>
      <c r="BP258" s="298" t="n"/>
      <c r="BQ258" s="267" t="n"/>
      <c r="BR258" s="267" t="n"/>
      <c r="BS258" s="267" t="n"/>
      <c r="BT258" s="267" t="n"/>
      <c r="BU258" s="298" t="n"/>
      <c r="BV258" s="267" t="n"/>
      <c r="BW258" s="267" t="n"/>
      <c r="BX258" s="267" t="n"/>
      <c r="BY258" s="267" t="n"/>
      <c r="BZ258" s="298" t="n"/>
      <c r="CA258" s="267" t="n"/>
      <c r="CB258" s="267" t="n"/>
      <c r="CC258" s="267" t="n"/>
      <c r="CD258" s="267" t="n"/>
      <c r="CE258" s="298" t="n"/>
      <c r="CF258" s="267" t="n"/>
      <c r="CG258" s="267" t="n"/>
      <c r="CH258" s="267" t="n"/>
      <c r="CI258" s="267" t="n"/>
      <c r="CJ258" s="298" t="n"/>
      <c r="CK258" s="267" t="n"/>
      <c r="CL258" s="267" t="n"/>
      <c r="CM258" s="267" t="n"/>
      <c r="CN258" s="267" t="n"/>
      <c r="CO258" s="298" t="n"/>
      <c r="CP258" s="267" t="n"/>
      <c r="CQ258" s="267" t="n"/>
      <c r="CR258" s="267" t="n"/>
      <c r="CS258" s="267" t="n"/>
      <c r="CT258" s="298" t="n"/>
      <c r="CU258" s="267" t="n"/>
      <c r="CV258" s="267" t="n"/>
      <c r="CW258" s="267" t="n"/>
      <c r="CX258" s="267" t="n"/>
      <c r="CY258" s="298" t="n"/>
    </row>
    <row r="259" hidden="1" outlineLevel="1" ht="12.75" customFormat="1" customHeight="1" s="322">
      <c r="A259" s="293" t="n"/>
      <c r="B259" s="293" t="n"/>
      <c r="C259" s="323" t="inlineStr">
        <is>
          <t>Expected average share price</t>
        </is>
      </c>
      <c r="D259" s="298" t="n"/>
      <c r="E259" s="298" t="n"/>
      <c r="F259" s="298" t="n"/>
      <c r="G259" s="298" t="n"/>
      <c r="H259" s="298" t="n"/>
      <c r="I259" s="298" t="n"/>
      <c r="J259" s="298" t="n"/>
      <c r="K259" s="298" t="n"/>
      <c r="L259" s="298" t="n"/>
      <c r="M259" s="298" t="n"/>
      <c r="N259" s="298" t="n"/>
      <c r="O259" s="298" t="n"/>
      <c r="P259" s="298" t="n"/>
      <c r="Q259" s="298" t="n"/>
      <c r="R259" s="298" t="n"/>
      <c r="S259" s="298" t="n"/>
      <c r="T259" s="298" t="n"/>
      <c r="U259" s="298" t="n"/>
      <c r="V259" s="298" t="n"/>
      <c r="W259" s="298" t="n"/>
      <c r="X259" s="298" t="n"/>
      <c r="Y259" s="298" t="n"/>
      <c r="Z259" s="298" t="n"/>
      <c r="AA259" s="298" t="n"/>
      <c r="AB259" s="298" t="n"/>
      <c r="AC259" s="298" t="n"/>
      <c r="AD259" s="298" t="n"/>
      <c r="AE259" s="298" t="n"/>
      <c r="AF259" s="298" t="n"/>
      <c r="AG259" s="324" t="n"/>
      <c r="AH259" s="325">
        <f>AG259*(1+AH260)</f>
        <v>0</v>
      </c>
      <c r="AI259" s="325">
        <f>AH259*(1+AI260)</f>
        <v>0</v>
      </c>
      <c r="AJ259" s="325">
        <f>AI259*(1+AJ260)</f>
        <v>0</v>
      </c>
      <c r="AK259" s="325">
        <f>AJ259*(1+AK260)</f>
        <v>0</v>
      </c>
      <c r="AL259" s="298" t="n"/>
      <c r="AM259" s="325">
        <f>AK259*(1+AM260)</f>
        <v>0</v>
      </c>
      <c r="AN259" s="325">
        <f>AM259*(1+AN260)</f>
        <v>0</v>
      </c>
      <c r="AO259" s="325">
        <f>AN259*(1+AO260)</f>
        <v>0</v>
      </c>
      <c r="AP259" s="325">
        <f>AO259*(1+AP260)</f>
        <v>0</v>
      </c>
      <c r="AQ259" s="298" t="n"/>
      <c r="AR259" s="325">
        <f>AP259*(1+AR260)</f>
        <v>0</v>
      </c>
      <c r="AS259" s="325">
        <f>AR259*(1+AS260)</f>
        <v>0</v>
      </c>
      <c r="AT259" s="325">
        <f>AS259*(1+AT260)</f>
        <v>0</v>
      </c>
      <c r="AU259" s="325">
        <f>AT259*(1+AU260)</f>
        <v>0</v>
      </c>
      <c r="AV259" s="298" t="n"/>
      <c r="AW259" s="325">
        <f>AU259*(1+AW260)</f>
        <v>0</v>
      </c>
      <c r="AX259" s="325">
        <f>AW259*(1+AX260)</f>
        <v>0</v>
      </c>
      <c r="AY259" s="325">
        <f>AX259*(1+AY260)</f>
        <v>0</v>
      </c>
      <c r="AZ259" s="325">
        <f>AY259*(1+AZ260)</f>
        <v>0</v>
      </c>
      <c r="BA259" s="298" t="n"/>
      <c r="BB259" s="325">
        <f>AZ259*(1+BB260)</f>
        <v>0</v>
      </c>
      <c r="BC259" s="325">
        <f>BB259*(1+BC260)</f>
        <v>0</v>
      </c>
      <c r="BD259" s="325">
        <f>BC259*(1+BD260)</f>
        <v>0</v>
      </c>
      <c r="BE259" s="325">
        <f>BD259*(1+BE260)</f>
        <v>0</v>
      </c>
      <c r="BF259" s="298" t="n"/>
      <c r="BG259" s="325">
        <f>BE259*(1+BG260)</f>
        <v>0</v>
      </c>
      <c r="BH259" s="325">
        <f>BG259*(1+BH260)</f>
        <v>0</v>
      </c>
      <c r="BI259" s="325">
        <f>BH259*(1+BI260)</f>
        <v>0</v>
      </c>
      <c r="BJ259" s="325">
        <f>BI259*(1+BJ260)</f>
        <v>0</v>
      </c>
      <c r="BK259" s="298" t="n"/>
      <c r="BL259" s="325">
        <f>BJ259*(1+BL260)</f>
        <v>0</v>
      </c>
      <c r="BM259" s="325">
        <f>BL259*(1+BM260)</f>
        <v>0</v>
      </c>
      <c r="BN259" s="325">
        <f>BM259*(1+BN260)</f>
        <v>0</v>
      </c>
      <c r="BO259" s="325">
        <f>BN259*(1+BO260)</f>
        <v>0</v>
      </c>
      <c r="BP259" s="298" t="n"/>
      <c r="BQ259" s="325">
        <f>BO259*(1+BQ260)</f>
        <v>0</v>
      </c>
      <c r="BR259" s="325">
        <f>BQ259*(1+BR260)</f>
        <v>0</v>
      </c>
      <c r="BS259" s="325">
        <f>BR259*(1+BS260)</f>
        <v>0</v>
      </c>
      <c r="BT259" s="325">
        <f>BS259*(1+BT260)</f>
        <v>0</v>
      </c>
      <c r="BU259" s="298" t="n"/>
      <c r="BV259" s="325">
        <f>BT259*(1+BV260)</f>
        <v>0</v>
      </c>
      <c r="BW259" s="325">
        <f>BV259*(1+BW260)</f>
        <v>0</v>
      </c>
      <c r="BX259" s="325">
        <f>BW259*(1+BX260)</f>
        <v>0</v>
      </c>
      <c r="BY259" s="325">
        <f>BX259*(1+BY260)</f>
        <v>0</v>
      </c>
      <c r="BZ259" s="298" t="n"/>
      <c r="CA259" s="325">
        <f>BY259*(1+CA260)</f>
        <v>0</v>
      </c>
      <c r="CB259" s="325">
        <f>CA259*(1+CB260)</f>
        <v>0</v>
      </c>
      <c r="CC259" s="325">
        <f>CB259*(1+CC260)</f>
        <v>0</v>
      </c>
      <c r="CD259" s="325">
        <f>CC259*(1+CD260)</f>
        <v>0</v>
      </c>
      <c r="CE259" s="298" t="n"/>
      <c r="CF259" s="325">
        <f>CD259*(1+CF260)</f>
        <v>0</v>
      </c>
      <c r="CG259" s="325">
        <f>CF259*(1+CG260)</f>
        <v>0</v>
      </c>
      <c r="CH259" s="325">
        <f>CG259*(1+CH260)</f>
        <v>0</v>
      </c>
      <c r="CI259" s="325">
        <f>CH259*(1+CI260)</f>
        <v>0</v>
      </c>
      <c r="CJ259" s="298" t="n"/>
      <c r="CK259" s="325">
        <f>CI259*(1+CK260)</f>
        <v>0</v>
      </c>
      <c r="CL259" s="325">
        <f>CK259*(1+CL260)</f>
        <v>0</v>
      </c>
      <c r="CM259" s="325">
        <f>CL259*(1+CM260)</f>
        <v>0</v>
      </c>
      <c r="CN259" s="325">
        <f>CM259*(1+CN260)</f>
        <v>0</v>
      </c>
      <c r="CO259" s="298" t="n"/>
      <c r="CP259" s="325">
        <f>CN259*(1+CP260)</f>
        <v>0</v>
      </c>
      <c r="CQ259" s="325">
        <f>CP259*(1+CQ260)</f>
        <v>0</v>
      </c>
      <c r="CR259" s="325">
        <f>CQ259*(1+CR260)</f>
        <v>0</v>
      </c>
      <c r="CS259" s="325">
        <f>CR259*(1+CS260)</f>
        <v>0</v>
      </c>
      <c r="CT259" s="298" t="n"/>
      <c r="CU259" s="325">
        <f>CS259*(1+CU260)</f>
        <v>0</v>
      </c>
      <c r="CV259" s="325">
        <f>CU259*(1+CV260)</f>
        <v>0</v>
      </c>
      <c r="CW259" s="325">
        <f>CV259*(1+CW260)</f>
        <v>0</v>
      </c>
      <c r="CX259" s="325">
        <f>CW259*(1+CX260)</f>
        <v>0</v>
      </c>
      <c r="CY259" s="298" t="n"/>
      <c r="CZ259" s="322">
        <f>CX259*(1+CZ260)</f>
        <v>0</v>
      </c>
      <c r="DA259" s="322">
        <f>CZ259*(1+DA260)</f>
        <v>0</v>
      </c>
      <c r="DB259" s="322">
        <f>DA259*(1+DB260)</f>
        <v>0</v>
      </c>
      <c r="DC259" s="322">
        <f>DB259*(1+DC260)</f>
        <v>0</v>
      </c>
    </row>
    <row r="260" hidden="1" outlineLevel="1" ht="12.75" customFormat="1" customHeight="1" s="322">
      <c r="A260" s="293" t="n"/>
      <c r="B260" s="293" t="n"/>
      <c r="C260" s="323" t="inlineStr">
        <is>
          <t>Consensus EPS growth</t>
        </is>
      </c>
      <c r="D260" s="298" t="n"/>
      <c r="E260" s="298" t="n"/>
      <c r="F260" s="298" t="n"/>
      <c r="G260" s="298" t="n"/>
      <c r="H260" s="298" t="n"/>
      <c r="I260" s="298" t="n"/>
      <c r="J260" s="298" t="n"/>
      <c r="K260" s="298" t="n"/>
      <c r="L260" s="298" t="n"/>
      <c r="M260" s="298" t="n"/>
      <c r="N260" s="298" t="n"/>
      <c r="O260" s="298" t="n"/>
      <c r="P260" s="298" t="n"/>
      <c r="Q260" s="298" t="n"/>
      <c r="R260" s="298" t="n"/>
      <c r="S260" s="298" t="n"/>
      <c r="T260" s="298" t="n"/>
      <c r="U260" s="298" t="n"/>
      <c r="V260" s="298" t="n"/>
      <c r="W260" s="298" t="n"/>
      <c r="X260" s="298" t="n"/>
      <c r="Y260" s="298" t="n"/>
      <c r="Z260" s="298" t="n"/>
      <c r="AA260" s="298" t="n"/>
      <c r="AB260" s="298" t="n"/>
      <c r="AC260" s="298" t="n"/>
      <c r="AD260" s="298" t="n"/>
      <c r="AE260" s="298" t="n"/>
      <c r="AF260" s="298" t="n"/>
      <c r="AG260" s="298" t="n"/>
      <c r="AH260" s="313">
        <f>$AL$265</f>
        <v>0</v>
      </c>
      <c r="AI260" s="313">
        <f>$AL$265</f>
        <v>0</v>
      </c>
      <c r="AJ260" s="313">
        <f>$AL$265</f>
        <v>0</v>
      </c>
      <c r="AK260" s="313">
        <f>$AL$265</f>
        <v>0</v>
      </c>
      <c r="AL260" s="298" t="n"/>
      <c r="AM260" s="313">
        <f>$AL$265</f>
        <v>0</v>
      </c>
      <c r="AN260" s="313">
        <f>$AL$265</f>
        <v>0</v>
      </c>
      <c r="AO260" s="313">
        <f>$AL$265</f>
        <v>0</v>
      </c>
      <c r="AP260" s="313">
        <f>$AL$265</f>
        <v>0</v>
      </c>
      <c r="AQ260" s="298" t="n"/>
      <c r="AR260" s="313">
        <f>$AL$265</f>
        <v>0</v>
      </c>
      <c r="AS260" s="313">
        <f>$AL$265</f>
        <v>0</v>
      </c>
      <c r="AT260" s="313">
        <f>$AL$265</f>
        <v>0</v>
      </c>
      <c r="AU260" s="313">
        <f>$AL$265</f>
        <v>0</v>
      </c>
      <c r="AV260" s="298" t="n"/>
      <c r="AW260" s="313">
        <f>$AL$265</f>
        <v>0</v>
      </c>
      <c r="AX260" s="313">
        <f>$AL$265</f>
        <v>0</v>
      </c>
      <c r="AY260" s="313">
        <f>$AL$265</f>
        <v>0</v>
      </c>
      <c r="AZ260" s="313">
        <f>$AL$265</f>
        <v>0</v>
      </c>
      <c r="BA260" s="298" t="n"/>
      <c r="BB260" s="313">
        <f>$AL$265</f>
        <v>0</v>
      </c>
      <c r="BC260" s="313">
        <f>$AL$265</f>
        <v>0</v>
      </c>
      <c r="BD260" s="313">
        <f>$AL$265</f>
        <v>0</v>
      </c>
      <c r="BE260" s="313">
        <f>$AL$265</f>
        <v>0</v>
      </c>
      <c r="BF260" s="298" t="n"/>
      <c r="BG260" s="313">
        <f>$AL$265</f>
        <v>0</v>
      </c>
      <c r="BH260" s="313">
        <f>$AL$265</f>
        <v>0</v>
      </c>
      <c r="BI260" s="313">
        <f>$AL$265</f>
        <v>0</v>
      </c>
      <c r="BJ260" s="313">
        <f>$AL$265</f>
        <v>0</v>
      </c>
      <c r="BK260" s="298" t="n"/>
      <c r="BL260" s="313">
        <f>$AL$265</f>
        <v>0</v>
      </c>
      <c r="BM260" s="313">
        <f>$AL$265</f>
        <v>0</v>
      </c>
      <c r="BN260" s="313">
        <f>$AL$265</f>
        <v>0</v>
      </c>
      <c r="BO260" s="313">
        <f>$AL$265</f>
        <v>0</v>
      </c>
      <c r="BP260" s="298" t="n"/>
      <c r="BQ260" s="313">
        <f>$AL$265</f>
        <v>0</v>
      </c>
      <c r="BR260" s="313">
        <f>$AL$265</f>
        <v>0</v>
      </c>
      <c r="BS260" s="313">
        <f>$AL$265</f>
        <v>0</v>
      </c>
      <c r="BT260" s="313">
        <f>$AL$265</f>
        <v>0</v>
      </c>
      <c r="BU260" s="298" t="n"/>
      <c r="BV260" s="313">
        <f>$AL$265</f>
        <v>0</v>
      </c>
      <c r="BW260" s="313">
        <f>$AL$265</f>
        <v>0</v>
      </c>
      <c r="BX260" s="313">
        <f>$AL$265</f>
        <v>0</v>
      </c>
      <c r="BY260" s="313">
        <f>$AL$265</f>
        <v>0</v>
      </c>
      <c r="BZ260" s="298" t="n"/>
      <c r="CA260" s="313">
        <f>$AL$265</f>
        <v>0</v>
      </c>
      <c r="CB260" s="313">
        <f>$AL$265</f>
        <v>0</v>
      </c>
      <c r="CC260" s="313">
        <f>$AL$265</f>
        <v>0</v>
      </c>
      <c r="CD260" s="313">
        <f>$AL$265</f>
        <v>0</v>
      </c>
      <c r="CE260" s="298" t="n"/>
      <c r="CF260" s="313">
        <f>$AL$265</f>
        <v>0</v>
      </c>
      <c r="CG260" s="313">
        <f>$AL$265</f>
        <v>0</v>
      </c>
      <c r="CH260" s="313">
        <f>$AL$265</f>
        <v>0</v>
      </c>
      <c r="CI260" s="313">
        <f>$AL$265</f>
        <v>0</v>
      </c>
      <c r="CJ260" s="298" t="n"/>
      <c r="CK260" s="313">
        <f>$AL$265</f>
        <v>0</v>
      </c>
      <c r="CL260" s="313">
        <f>$AL$265</f>
        <v>0</v>
      </c>
      <c r="CM260" s="313">
        <f>$AL$265</f>
        <v>0</v>
      </c>
      <c r="CN260" s="313">
        <f>$AL$265</f>
        <v>0</v>
      </c>
      <c r="CO260" s="298" t="n"/>
      <c r="CP260" s="313">
        <f>$AL$265</f>
        <v>0</v>
      </c>
      <c r="CQ260" s="313">
        <f>$AL$265</f>
        <v>0</v>
      </c>
      <c r="CR260" s="313">
        <f>$AL$265</f>
        <v>0</v>
      </c>
      <c r="CS260" s="313">
        <f>$AL$265</f>
        <v>0</v>
      </c>
      <c r="CT260" s="298" t="n"/>
      <c r="CU260" s="313">
        <f>$AL$265</f>
        <v>0</v>
      </c>
      <c r="CV260" s="313">
        <f>$AL$265</f>
        <v>0</v>
      </c>
      <c r="CW260" s="313">
        <f>$AL$265</f>
        <v>0</v>
      </c>
      <c r="CX260" s="313">
        <f>$AL$265</f>
        <v>0</v>
      </c>
      <c r="CY260" s="298" t="n"/>
    </row>
    <row r="261" hidden="1" outlineLevel="1" ht="12.75" customFormat="1" customHeight="1" s="322">
      <c r="A261" s="293" t="n"/>
      <c r="B261" s="293" t="n"/>
      <c r="C261" s="323" t="n"/>
      <c r="D261" s="298" t="n"/>
      <c r="E261" s="298" t="n"/>
      <c r="F261" s="298" t="n"/>
      <c r="G261" s="298" t="n"/>
      <c r="H261" s="298" t="n"/>
      <c r="I261" s="298" t="n"/>
      <c r="J261" s="298" t="n"/>
      <c r="K261" s="298" t="n"/>
      <c r="L261" s="298" t="n"/>
      <c r="M261" s="298" t="n"/>
      <c r="N261" s="298" t="n"/>
      <c r="O261" s="298" t="n"/>
      <c r="P261" s="298" t="n"/>
      <c r="Q261" s="298" t="n"/>
      <c r="R261" s="298" t="n"/>
      <c r="S261" s="298" t="n"/>
      <c r="T261" s="298" t="n"/>
      <c r="U261" s="298" t="n"/>
      <c r="V261" s="298" t="n"/>
      <c r="W261" s="298" t="n"/>
      <c r="X261" s="298" t="n"/>
      <c r="Y261" s="298" t="n"/>
      <c r="Z261" s="298" t="n"/>
      <c r="AA261" s="298" t="n"/>
      <c r="AB261" s="298" t="n"/>
      <c r="AC261" s="298" t="n"/>
      <c r="AD261" s="298" t="n"/>
      <c r="AE261" s="298" t="n"/>
      <c r="AF261" s="298" t="n"/>
      <c r="AG261" s="298" t="n"/>
      <c r="AH261" s="268" t="n"/>
      <c r="AI261" s="268" t="n"/>
      <c r="AJ261" s="268" t="n"/>
      <c r="AK261" s="268" t="n"/>
      <c r="AL261" s="298" t="n"/>
      <c r="AM261" s="268" t="n"/>
      <c r="AN261" s="268" t="n"/>
      <c r="AO261" s="268" t="n"/>
      <c r="AP261" s="268" t="n"/>
      <c r="AQ261" s="298" t="n"/>
      <c r="AR261" s="268" t="n"/>
      <c r="AS261" s="268" t="n"/>
      <c r="AT261" s="268" t="n"/>
      <c r="AU261" s="268" t="n"/>
      <c r="AV261" s="298" t="n"/>
      <c r="AW261" s="268" t="n"/>
      <c r="AX261" s="268" t="n"/>
      <c r="AY261" s="268" t="n"/>
      <c r="AZ261" s="268" t="n"/>
      <c r="BA261" s="298" t="n"/>
      <c r="BB261" s="268" t="n"/>
      <c r="BC261" s="268" t="n"/>
      <c r="BD261" s="268" t="n"/>
      <c r="BE261" s="268" t="n"/>
      <c r="BF261" s="298" t="n"/>
      <c r="BG261" s="268" t="n"/>
      <c r="BH261" s="268" t="n"/>
      <c r="BI261" s="268" t="n"/>
      <c r="BJ261" s="268" t="n"/>
      <c r="BK261" s="298" t="n"/>
      <c r="BL261" s="268" t="n"/>
      <c r="BM261" s="268" t="n"/>
      <c r="BN261" s="268" t="n"/>
      <c r="BO261" s="268" t="n"/>
      <c r="BP261" s="298" t="n"/>
      <c r="BQ261" s="268" t="n"/>
      <c r="BR261" s="268" t="n"/>
      <c r="BS261" s="268" t="n"/>
      <c r="BT261" s="268" t="n"/>
      <c r="BU261" s="298" t="n"/>
      <c r="BV261" s="268" t="n"/>
      <c r="BW261" s="268" t="n"/>
      <c r="BX261" s="268" t="n"/>
      <c r="BY261" s="268" t="n"/>
      <c r="BZ261" s="298" t="n"/>
      <c r="CA261" s="268" t="n"/>
      <c r="CB261" s="268" t="n"/>
      <c r="CC261" s="268" t="n"/>
      <c r="CD261" s="268" t="n"/>
      <c r="CE261" s="298" t="n"/>
      <c r="CF261" s="268" t="n"/>
      <c r="CG261" s="268" t="n"/>
      <c r="CH261" s="268" t="n"/>
      <c r="CI261" s="268" t="n"/>
      <c r="CJ261" s="298" t="n"/>
      <c r="CK261" s="268" t="n"/>
      <c r="CL261" s="268" t="n"/>
      <c r="CM261" s="268" t="n"/>
      <c r="CN261" s="268" t="n"/>
      <c r="CO261" s="298" t="n"/>
      <c r="CP261" s="268" t="n"/>
      <c r="CQ261" s="268" t="n"/>
      <c r="CR261" s="268" t="n"/>
      <c r="CS261" s="268" t="n"/>
      <c r="CT261" s="298" t="n"/>
      <c r="CU261" s="268" t="n"/>
      <c r="CV261" s="268" t="n"/>
      <c r="CW261" s="268" t="n"/>
      <c r="CX261" s="268" t="n"/>
      <c r="CY261" s="298" t="n"/>
    </row>
    <row r="262" hidden="1" outlineLevel="1" ht="12.75" customFormat="1" customHeight="1" s="322">
      <c r="A262" s="293" t="n"/>
      <c r="B262" s="293" t="n"/>
      <c r="C262" s="323" t="inlineStr">
        <is>
          <t>Shares repurchased</t>
        </is>
      </c>
      <c r="D262" s="298" t="n"/>
      <c r="E262" s="298" t="n"/>
      <c r="F262" s="298" t="n"/>
      <c r="G262" s="298" t="n"/>
      <c r="H262" s="298" t="n"/>
      <c r="I262" s="298" t="n"/>
      <c r="J262" s="298" t="n"/>
      <c r="K262" s="298" t="n"/>
      <c r="L262" s="298" t="n"/>
      <c r="M262" s="298" t="n"/>
      <c r="N262" s="298" t="n"/>
      <c r="O262" s="298" t="n"/>
      <c r="P262" s="298" t="n"/>
      <c r="Q262" s="298" t="n"/>
      <c r="R262" s="298" t="n"/>
      <c r="S262" s="298" t="n"/>
      <c r="T262" s="298" t="n"/>
      <c r="U262" s="298" t="n"/>
      <c r="V262" s="298" t="n"/>
      <c r="W262" s="298" t="n"/>
      <c r="X262" s="298" t="n"/>
      <c r="Y262" s="298" t="n"/>
      <c r="Z262" s="298" t="n"/>
      <c r="AA262" s="298" t="n"/>
      <c r="AB262" s="298" t="n"/>
      <c r="AC262" s="298" t="n"/>
      <c r="AD262" s="298" t="n"/>
      <c r="AE262" s="298" t="n"/>
      <c r="AF262" s="298" t="n"/>
      <c r="AG262" s="298" t="n"/>
      <c r="AH262" s="326" t="n"/>
      <c r="AI262" s="326" t="n"/>
      <c r="AJ262" s="326" t="e">
        <f>-AJ257/AJ259</f>
        <v>#DIV/0!</v>
      </c>
      <c r="AK262" s="326" t="e">
        <f>-AK257/AK259</f>
        <v>#DIV/0!</v>
      </c>
      <c r="AL262" s="298" t="n"/>
      <c r="AM262" s="326" t="e">
        <f>-AM257/AM259</f>
        <v>#DIV/0!</v>
      </c>
      <c r="AN262" s="326" t="e">
        <f>-AN257/AN259</f>
        <v>#DIV/0!</v>
      </c>
      <c r="AO262" s="326" t="e">
        <f>-AO257/AO259</f>
        <v>#DIV/0!</v>
      </c>
      <c r="AP262" s="326" t="e">
        <f>-AP257/AP259</f>
        <v>#DIV/0!</v>
      </c>
      <c r="AQ262" s="298" t="n"/>
      <c r="AR262" s="326" t="e">
        <f>-AR257/AR259</f>
        <v>#DIV/0!</v>
      </c>
      <c r="AS262" s="326" t="e">
        <f>-AS257/AS259</f>
        <v>#DIV/0!</v>
      </c>
      <c r="AT262" s="326" t="e">
        <f>-AT257/AT259</f>
        <v>#DIV/0!</v>
      </c>
      <c r="AU262" s="326" t="e">
        <f>-AU257/AU259</f>
        <v>#DIV/0!</v>
      </c>
      <c r="AV262" s="298" t="n"/>
      <c r="AW262" s="326" t="e">
        <f>-AW257/AW259</f>
        <v>#DIV/0!</v>
      </c>
      <c r="AX262" s="326" t="e">
        <f>-AX257/AX259</f>
        <v>#DIV/0!</v>
      </c>
      <c r="AY262" s="326" t="e">
        <f>-AY257/AY259</f>
        <v>#DIV/0!</v>
      </c>
      <c r="AZ262" s="326" t="e">
        <f>-AZ257/AZ259</f>
        <v>#DIV/0!</v>
      </c>
      <c r="BA262" s="298" t="n"/>
      <c r="BB262" s="326" t="e">
        <f>-BB257/BB259</f>
        <v>#DIV/0!</v>
      </c>
      <c r="BC262" s="326" t="e">
        <f>-BC257/BC259</f>
        <v>#DIV/0!</v>
      </c>
      <c r="BD262" s="326" t="e">
        <f>-BD257/BD259</f>
        <v>#DIV/0!</v>
      </c>
      <c r="BE262" s="326" t="e">
        <f>-BE257/BE259</f>
        <v>#DIV/0!</v>
      </c>
      <c r="BF262" s="298" t="n"/>
      <c r="BG262" s="326" t="e">
        <f>-BG257/BG259</f>
        <v>#DIV/0!</v>
      </c>
      <c r="BH262" s="326" t="e">
        <f>-BH257/BH259</f>
        <v>#DIV/0!</v>
      </c>
      <c r="BI262" s="326" t="e">
        <f>-BI257/BI259</f>
        <v>#DIV/0!</v>
      </c>
      <c r="BJ262" s="326" t="e">
        <f>-BJ257/BJ259</f>
        <v>#DIV/0!</v>
      </c>
      <c r="BK262" s="298" t="n"/>
      <c r="BL262" s="326" t="e">
        <f>-BL257/BL259</f>
        <v>#DIV/0!</v>
      </c>
      <c r="BM262" s="326" t="e">
        <f>-BM257/BM259</f>
        <v>#DIV/0!</v>
      </c>
      <c r="BN262" s="326" t="e">
        <f>-BN257/BN259</f>
        <v>#DIV/0!</v>
      </c>
      <c r="BO262" s="326" t="e">
        <f>-BO257/BO259</f>
        <v>#DIV/0!</v>
      </c>
      <c r="BP262" s="298" t="n"/>
      <c r="BQ262" s="326" t="e">
        <f>-BQ257/BQ259</f>
        <v>#DIV/0!</v>
      </c>
      <c r="BR262" s="326" t="e">
        <f>-BR257/BR259</f>
        <v>#DIV/0!</v>
      </c>
      <c r="BS262" s="326" t="e">
        <f>-BS257/BS259</f>
        <v>#DIV/0!</v>
      </c>
      <c r="BT262" s="326" t="e">
        <f>-BT257/BT259</f>
        <v>#DIV/0!</v>
      </c>
      <c r="BU262" s="298" t="n"/>
      <c r="BV262" s="326" t="e">
        <f>-BV257/BV259</f>
        <v>#DIV/0!</v>
      </c>
      <c r="BW262" s="326" t="e">
        <f>-BW257/BW259</f>
        <v>#DIV/0!</v>
      </c>
      <c r="BX262" s="326" t="e">
        <f>-BX257/BX259</f>
        <v>#DIV/0!</v>
      </c>
      <c r="BY262" s="326" t="e">
        <f>-BY257/BY259</f>
        <v>#DIV/0!</v>
      </c>
      <c r="BZ262" s="298" t="n"/>
      <c r="CA262" s="326" t="e">
        <f>-CA257/CA259</f>
        <v>#DIV/0!</v>
      </c>
      <c r="CB262" s="326" t="e">
        <f>-CB257/CB259</f>
        <v>#DIV/0!</v>
      </c>
      <c r="CC262" s="326" t="e">
        <f>-CC257/CC259</f>
        <v>#DIV/0!</v>
      </c>
      <c r="CD262" s="326" t="e">
        <f>-CD257/CD259</f>
        <v>#DIV/0!</v>
      </c>
      <c r="CE262" s="298" t="n"/>
      <c r="CF262" s="326" t="e">
        <f>-CF257/CF259</f>
        <v>#DIV/0!</v>
      </c>
      <c r="CG262" s="326" t="e">
        <f>-CG257/CG259</f>
        <v>#DIV/0!</v>
      </c>
      <c r="CH262" s="326" t="e">
        <f>-CH257/CH259</f>
        <v>#DIV/0!</v>
      </c>
      <c r="CI262" s="326" t="e">
        <f>-CI257/CI259</f>
        <v>#DIV/0!</v>
      </c>
      <c r="CJ262" s="298" t="n"/>
      <c r="CK262" s="326" t="e">
        <f>-CK257/CK259</f>
        <v>#DIV/0!</v>
      </c>
      <c r="CL262" s="326" t="e">
        <f>-CL257/CL259</f>
        <v>#DIV/0!</v>
      </c>
      <c r="CM262" s="326" t="e">
        <f>-CM257/CM259</f>
        <v>#DIV/0!</v>
      </c>
      <c r="CN262" s="326" t="e">
        <f>-CN257/CN259</f>
        <v>#DIV/0!</v>
      </c>
      <c r="CO262" s="298" t="n"/>
      <c r="CP262" s="326" t="e">
        <f>-CP257/CP259</f>
        <v>#DIV/0!</v>
      </c>
      <c r="CQ262" s="326" t="e">
        <f>-CQ257/CQ259</f>
        <v>#DIV/0!</v>
      </c>
      <c r="CR262" s="326" t="e">
        <f>-CR257/CR259</f>
        <v>#DIV/0!</v>
      </c>
      <c r="CS262" s="326" t="e">
        <f>-CS257/CS259</f>
        <v>#DIV/0!</v>
      </c>
      <c r="CT262" s="298" t="n"/>
      <c r="CU262" s="326" t="e">
        <f>-CU257/CU259</f>
        <v>#DIV/0!</v>
      </c>
      <c r="CV262" s="326" t="e">
        <f>-CV257/CV259</f>
        <v>#DIV/0!</v>
      </c>
      <c r="CW262" s="326" t="e">
        <f>-CW257/CW259</f>
        <v>#DIV/0!</v>
      </c>
      <c r="CX262" s="326" t="e">
        <f>-CX257/CX259</f>
        <v>#DIV/0!</v>
      </c>
      <c r="CY262" s="298" t="n"/>
    </row>
    <row r="263" hidden="1" outlineLevel="1" ht="12.75" customFormat="1" customHeight="1" s="322">
      <c r="A263" s="293" t="n"/>
      <c r="B263" s="293" t="n"/>
      <c r="C263" s="323" t="inlineStr">
        <is>
          <t>Shares issued</t>
        </is>
      </c>
      <c r="D263" s="298" t="n"/>
      <c r="E263" s="298" t="n"/>
      <c r="F263" s="298" t="n"/>
      <c r="G263" s="298" t="n"/>
      <c r="H263" s="298" t="n"/>
      <c r="I263" s="298" t="n"/>
      <c r="J263" s="298" t="n"/>
      <c r="K263" s="298" t="n"/>
      <c r="L263" s="298" t="n"/>
      <c r="M263" s="298" t="n"/>
      <c r="N263" s="298" t="n"/>
      <c r="O263" s="298" t="n"/>
      <c r="P263" s="298" t="n"/>
      <c r="Q263" s="298" t="n"/>
      <c r="R263" s="298" t="n"/>
      <c r="S263" s="298" t="n"/>
      <c r="T263" s="298" t="n"/>
      <c r="U263" s="298" t="n"/>
      <c r="V263" s="298" t="n"/>
      <c r="W263" s="298" t="n"/>
      <c r="X263" s="298" t="n"/>
      <c r="Y263" s="298" t="n"/>
      <c r="Z263" s="298" t="n"/>
      <c r="AA263" s="298" t="n"/>
      <c r="AB263" s="298" t="n"/>
      <c r="AC263" s="298" t="n"/>
      <c r="AD263" s="298" t="n"/>
      <c r="AE263" s="298" t="n"/>
      <c r="AF263" s="265" t="n"/>
      <c r="AG263" s="298" t="n"/>
      <c r="AH263" s="326" t="n"/>
      <c r="AI263" s="326" t="n"/>
      <c r="AJ263" s="326" t="e">
        <f>AJ258/AJ259</f>
        <v>#DIV/0!</v>
      </c>
      <c r="AK263" s="326" t="e">
        <f>AK258/AK259</f>
        <v>#DIV/0!</v>
      </c>
      <c r="AL263" s="298" t="n"/>
      <c r="AM263" s="326" t="e">
        <f>AM258/AM259</f>
        <v>#DIV/0!</v>
      </c>
      <c r="AN263" s="326" t="e">
        <f>AN258/AN259</f>
        <v>#DIV/0!</v>
      </c>
      <c r="AO263" s="326" t="e">
        <f>AO258/AO259</f>
        <v>#DIV/0!</v>
      </c>
      <c r="AP263" s="326" t="e">
        <f>AP258/AP259</f>
        <v>#DIV/0!</v>
      </c>
      <c r="AQ263" s="298" t="n"/>
      <c r="AR263" s="326" t="e">
        <f>AR258/AR259</f>
        <v>#DIV/0!</v>
      </c>
      <c r="AS263" s="326" t="e">
        <f>AS258/AS259</f>
        <v>#DIV/0!</v>
      </c>
      <c r="AT263" s="326" t="e">
        <f>AT258/AT259</f>
        <v>#DIV/0!</v>
      </c>
      <c r="AU263" s="326" t="e">
        <f>AU258/AU259</f>
        <v>#DIV/0!</v>
      </c>
      <c r="AV263" s="298" t="n"/>
      <c r="AW263" s="326" t="e">
        <f>AW258/AW259</f>
        <v>#DIV/0!</v>
      </c>
      <c r="AX263" s="326" t="e">
        <f>AX258/AX259</f>
        <v>#DIV/0!</v>
      </c>
      <c r="AY263" s="326" t="e">
        <f>AY258/AY259</f>
        <v>#DIV/0!</v>
      </c>
      <c r="AZ263" s="326" t="e">
        <f>AZ258/AZ259</f>
        <v>#DIV/0!</v>
      </c>
      <c r="BA263" s="298" t="n"/>
      <c r="BB263" s="326" t="e">
        <f>BB258/BB259</f>
        <v>#DIV/0!</v>
      </c>
      <c r="BC263" s="326" t="e">
        <f>BC258/BC259</f>
        <v>#DIV/0!</v>
      </c>
      <c r="BD263" s="326" t="e">
        <f>BD258/BD259</f>
        <v>#DIV/0!</v>
      </c>
      <c r="BE263" s="326" t="e">
        <f>BE258/BE259</f>
        <v>#DIV/0!</v>
      </c>
      <c r="BF263" s="298" t="n"/>
      <c r="BG263" s="326" t="e">
        <f>BG258/BG259</f>
        <v>#DIV/0!</v>
      </c>
      <c r="BH263" s="326" t="e">
        <f>BH258/BH259</f>
        <v>#DIV/0!</v>
      </c>
      <c r="BI263" s="326" t="e">
        <f>BI258/BI259</f>
        <v>#DIV/0!</v>
      </c>
      <c r="BJ263" s="326" t="e">
        <f>BJ258/BJ259</f>
        <v>#DIV/0!</v>
      </c>
      <c r="BK263" s="298" t="n"/>
      <c r="BL263" s="326" t="e">
        <f>BL258/BL259</f>
        <v>#DIV/0!</v>
      </c>
      <c r="BM263" s="326" t="e">
        <f>BM258/BM259</f>
        <v>#DIV/0!</v>
      </c>
      <c r="BN263" s="326" t="e">
        <f>BN258/BN259</f>
        <v>#DIV/0!</v>
      </c>
      <c r="BO263" s="326" t="e">
        <f>BO258/BO259</f>
        <v>#DIV/0!</v>
      </c>
      <c r="BP263" s="298" t="n"/>
      <c r="BQ263" s="326" t="e">
        <f>BQ258/BQ259</f>
        <v>#DIV/0!</v>
      </c>
      <c r="BR263" s="326" t="e">
        <f>BR258/BR259</f>
        <v>#DIV/0!</v>
      </c>
      <c r="BS263" s="326" t="e">
        <f>BS258/BS259</f>
        <v>#DIV/0!</v>
      </c>
      <c r="BT263" s="326" t="e">
        <f>BT258/BT259</f>
        <v>#DIV/0!</v>
      </c>
      <c r="BU263" s="298" t="n"/>
      <c r="BV263" s="326" t="e">
        <f>BV258/BV259</f>
        <v>#DIV/0!</v>
      </c>
      <c r="BW263" s="326" t="e">
        <f>BW258/BW259</f>
        <v>#DIV/0!</v>
      </c>
      <c r="BX263" s="326" t="e">
        <f>BX258/BX259</f>
        <v>#DIV/0!</v>
      </c>
      <c r="BY263" s="326" t="e">
        <f>BY258/BY259</f>
        <v>#DIV/0!</v>
      </c>
      <c r="BZ263" s="298" t="n"/>
      <c r="CA263" s="326" t="e">
        <f>CA258/CA259</f>
        <v>#DIV/0!</v>
      </c>
      <c r="CB263" s="326" t="e">
        <f>CB258/CB259</f>
        <v>#DIV/0!</v>
      </c>
      <c r="CC263" s="326" t="e">
        <f>CC258/CC259</f>
        <v>#DIV/0!</v>
      </c>
      <c r="CD263" s="326" t="e">
        <f>CD258/CD259</f>
        <v>#DIV/0!</v>
      </c>
      <c r="CE263" s="298" t="n"/>
      <c r="CF263" s="326" t="e">
        <f>CF258/CF259</f>
        <v>#DIV/0!</v>
      </c>
      <c r="CG263" s="326" t="e">
        <f>CG258/CG259</f>
        <v>#DIV/0!</v>
      </c>
      <c r="CH263" s="326" t="e">
        <f>CH258/CH259</f>
        <v>#DIV/0!</v>
      </c>
      <c r="CI263" s="326" t="e">
        <f>CI258/CI259</f>
        <v>#DIV/0!</v>
      </c>
      <c r="CJ263" s="298" t="n"/>
      <c r="CK263" s="326" t="e">
        <f>CK258/CK259</f>
        <v>#DIV/0!</v>
      </c>
      <c r="CL263" s="326" t="e">
        <f>CL258/CL259</f>
        <v>#DIV/0!</v>
      </c>
      <c r="CM263" s="326" t="e">
        <f>CM258/CM259</f>
        <v>#DIV/0!</v>
      </c>
      <c r="CN263" s="326" t="e">
        <f>CN258/CN259</f>
        <v>#DIV/0!</v>
      </c>
      <c r="CO263" s="298" t="n"/>
      <c r="CP263" s="326" t="e">
        <f>CP258/CP259</f>
        <v>#DIV/0!</v>
      </c>
      <c r="CQ263" s="326" t="e">
        <f>CQ258/CQ259</f>
        <v>#DIV/0!</v>
      </c>
      <c r="CR263" s="326" t="e">
        <f>CR258/CR259</f>
        <v>#DIV/0!</v>
      </c>
      <c r="CS263" s="326" t="e">
        <f>CS258/CS259</f>
        <v>#DIV/0!</v>
      </c>
      <c r="CT263" s="298" t="n"/>
      <c r="CU263" s="326" t="e">
        <f>CU258/CU259</f>
        <v>#DIV/0!</v>
      </c>
      <c r="CV263" s="326" t="e">
        <f>CV258/CV259</f>
        <v>#DIV/0!</v>
      </c>
      <c r="CW263" s="326" t="e">
        <f>CW258/CW259</f>
        <v>#DIV/0!</v>
      </c>
      <c r="CX263" s="326" t="e">
        <f>CX258/CX259</f>
        <v>#DIV/0!</v>
      </c>
      <c r="CY263" s="298" t="n"/>
    </row>
    <row r="264" hidden="1" outlineLevel="1" ht="12.75" customFormat="1" customHeight="1" s="322">
      <c r="A264" s="293" t="n"/>
      <c r="B264" s="293" t="n"/>
      <c r="C264" s="323" t="inlineStr">
        <is>
          <t>End of period basic shares outstanding</t>
        </is>
      </c>
      <c r="D264" s="298" t="n"/>
      <c r="E264" s="298" t="n"/>
      <c r="F264" s="298" t="n"/>
      <c r="G264" s="298" t="n"/>
      <c r="H264" s="298" t="n"/>
      <c r="I264" s="298" t="n"/>
      <c r="J264" s="298" t="n"/>
      <c r="K264" s="298" t="n"/>
      <c r="L264" s="298" t="n"/>
      <c r="M264" s="298" t="n"/>
      <c r="N264" s="298" t="n"/>
      <c r="O264" s="298" t="n"/>
      <c r="P264" s="298" t="n"/>
      <c r="Q264" s="298" t="n"/>
      <c r="R264" s="298" t="n"/>
      <c r="S264" s="298" t="n"/>
      <c r="T264" s="298" t="n"/>
      <c r="U264" s="298" t="n"/>
      <c r="V264" s="298" t="n"/>
      <c r="W264" s="298" t="n"/>
      <c r="X264" s="298" t="n"/>
      <c r="Y264" s="298" t="n"/>
      <c r="Z264" s="298" t="n"/>
      <c r="AA264" s="298" t="n"/>
      <c r="AB264" s="298" t="n"/>
      <c r="AC264" s="298" t="n"/>
      <c r="AD264" s="298" t="n"/>
      <c r="AE264" s="298" t="n"/>
      <c r="AF264" s="298" t="n"/>
      <c r="AG264" s="324" t="n"/>
      <c r="AH264" s="259">
        <f>AG264+AH263-AH262</f>
        <v>0</v>
      </c>
      <c r="AI264" s="259">
        <f>AH264+AI263-AI262</f>
        <v>0</v>
      </c>
      <c r="AJ264" s="326" t="e">
        <f>AI264+AJ263-AJ262</f>
        <v>#DIV/0!</v>
      </c>
      <c r="AK264" s="326" t="e">
        <f>AJ264+AK263-AK262</f>
        <v>#DIV/0!</v>
      </c>
      <c r="AL264" s="298" t="n"/>
      <c r="AM264" s="259" t="e">
        <f>AK264+AM263-AM262</f>
        <v>#DIV/0!</v>
      </c>
      <c r="AN264" s="259" t="e">
        <f>AM264+AN263-AN262</f>
        <v>#DIV/0!</v>
      </c>
      <c r="AO264" s="326" t="e">
        <f>AN264+AO263-AO262</f>
        <v>#DIV/0!</v>
      </c>
      <c r="AP264" s="326" t="e">
        <f>AO264+AP263-AP262</f>
        <v>#DIV/0!</v>
      </c>
      <c r="AQ264" s="298" t="n"/>
      <c r="AR264" s="259" t="e">
        <f>AP264+AR263-AR262</f>
        <v>#DIV/0!</v>
      </c>
      <c r="AS264" s="259" t="e">
        <f>AR264+AS263-AS262</f>
        <v>#DIV/0!</v>
      </c>
      <c r="AT264" s="326" t="e">
        <f>AS264+AT263-AT262</f>
        <v>#DIV/0!</v>
      </c>
      <c r="AU264" s="326" t="e">
        <f>AT264+AU263-AU262</f>
        <v>#DIV/0!</v>
      </c>
      <c r="AV264" s="298" t="n"/>
      <c r="AW264" s="259" t="e">
        <f>AU264+AW263-AW262</f>
        <v>#DIV/0!</v>
      </c>
      <c r="AX264" s="259" t="e">
        <f>AW264+AX263-AX262</f>
        <v>#DIV/0!</v>
      </c>
      <c r="AY264" s="326" t="e">
        <f>AX264+AY263-AY262</f>
        <v>#DIV/0!</v>
      </c>
      <c r="AZ264" s="326" t="e">
        <f>AY264+AZ263-AZ262</f>
        <v>#DIV/0!</v>
      </c>
      <c r="BA264" s="298" t="n"/>
      <c r="BB264" s="259" t="e">
        <f>AZ264+BB263-BB262</f>
        <v>#DIV/0!</v>
      </c>
      <c r="BC264" s="259" t="e">
        <f>BB264+BC263-BC262</f>
        <v>#DIV/0!</v>
      </c>
      <c r="BD264" s="326" t="e">
        <f>BC264+BD263-BD262</f>
        <v>#DIV/0!</v>
      </c>
      <c r="BE264" s="326" t="e">
        <f>BD264+BE263-BE262</f>
        <v>#DIV/0!</v>
      </c>
      <c r="BF264" s="298" t="n"/>
      <c r="BG264" s="259" t="e">
        <f>BE264+BG263-BG262</f>
        <v>#DIV/0!</v>
      </c>
      <c r="BH264" s="259" t="e">
        <f>BG264+BH263-BH262</f>
        <v>#DIV/0!</v>
      </c>
      <c r="BI264" s="326" t="e">
        <f>BH264+BI263-BI262</f>
        <v>#DIV/0!</v>
      </c>
      <c r="BJ264" s="326" t="e">
        <f>BI264+BJ263-BJ262</f>
        <v>#DIV/0!</v>
      </c>
      <c r="BK264" s="298" t="n"/>
      <c r="BL264" s="259" t="e">
        <f>BJ264+BL263-BL262</f>
        <v>#DIV/0!</v>
      </c>
      <c r="BM264" s="259" t="e">
        <f>BL264+BM263-BM262</f>
        <v>#DIV/0!</v>
      </c>
      <c r="BN264" s="326" t="e">
        <f>BM264+BN263-BN262</f>
        <v>#DIV/0!</v>
      </c>
      <c r="BO264" s="326" t="e">
        <f>BN264+BO263-BO262</f>
        <v>#DIV/0!</v>
      </c>
      <c r="BP264" s="298" t="n"/>
      <c r="BQ264" s="259" t="e">
        <f>BO264+BQ263-BQ262</f>
        <v>#DIV/0!</v>
      </c>
      <c r="BR264" s="259" t="e">
        <f>BQ264+BR263-BR262</f>
        <v>#DIV/0!</v>
      </c>
      <c r="BS264" s="326" t="e">
        <f>BR264+BS263-BS262</f>
        <v>#DIV/0!</v>
      </c>
      <c r="BT264" s="326" t="e">
        <f>BS264+BT263-BT262</f>
        <v>#DIV/0!</v>
      </c>
      <c r="BU264" s="298" t="n"/>
      <c r="BV264" s="259" t="e">
        <f>BT264+BV263-BV262</f>
        <v>#DIV/0!</v>
      </c>
      <c r="BW264" s="259" t="e">
        <f>BV264+BW263-BW262</f>
        <v>#DIV/0!</v>
      </c>
      <c r="BX264" s="326" t="e">
        <f>BW264+BX263-BX262</f>
        <v>#DIV/0!</v>
      </c>
      <c r="BY264" s="326" t="e">
        <f>BX264+BY263-BY262</f>
        <v>#DIV/0!</v>
      </c>
      <c r="BZ264" s="298" t="n"/>
      <c r="CA264" s="259" t="e">
        <f>BY264+CA263-CA262</f>
        <v>#DIV/0!</v>
      </c>
      <c r="CB264" s="259" t="e">
        <f>CA264+CB263-CB262</f>
        <v>#DIV/0!</v>
      </c>
      <c r="CC264" s="326" t="e">
        <f>CB264+CC263-CC262</f>
        <v>#DIV/0!</v>
      </c>
      <c r="CD264" s="326" t="e">
        <f>CC264+CD263-CD262</f>
        <v>#DIV/0!</v>
      </c>
      <c r="CE264" s="298" t="n"/>
      <c r="CF264" s="259" t="e">
        <f>CD264+CF263-CF262</f>
        <v>#DIV/0!</v>
      </c>
      <c r="CG264" s="259" t="e">
        <f>CF264+CG263-CG262</f>
        <v>#DIV/0!</v>
      </c>
      <c r="CH264" s="326" t="e">
        <f>CG264+CH263-CH262</f>
        <v>#DIV/0!</v>
      </c>
      <c r="CI264" s="326" t="e">
        <f>CH264+CI263-CI262</f>
        <v>#DIV/0!</v>
      </c>
      <c r="CJ264" s="298" t="n"/>
      <c r="CK264" s="259" t="e">
        <f>CI264+CK263-CK262</f>
        <v>#DIV/0!</v>
      </c>
      <c r="CL264" s="259" t="e">
        <f>CK264+CL263-CL262</f>
        <v>#DIV/0!</v>
      </c>
      <c r="CM264" s="326" t="e">
        <f>CL264+CM263-CM262</f>
        <v>#DIV/0!</v>
      </c>
      <c r="CN264" s="326" t="e">
        <f>CM264+CN263-CN262</f>
        <v>#DIV/0!</v>
      </c>
      <c r="CO264" s="298" t="n"/>
      <c r="CP264" s="259" t="e">
        <f>CN264+CP263-CP262</f>
        <v>#DIV/0!</v>
      </c>
      <c r="CQ264" s="259" t="e">
        <f>CP264+CQ263-CQ262</f>
        <v>#DIV/0!</v>
      </c>
      <c r="CR264" s="326" t="e">
        <f>CQ264+CR263-CR262</f>
        <v>#DIV/0!</v>
      </c>
      <c r="CS264" s="326" t="e">
        <f>CR264+CS263-CS262</f>
        <v>#DIV/0!</v>
      </c>
      <c r="CT264" s="298" t="n"/>
      <c r="CU264" s="259" t="e">
        <f>CS264+CU263-CU262</f>
        <v>#DIV/0!</v>
      </c>
      <c r="CV264" s="259" t="e">
        <f>CU264+CV263-CV262</f>
        <v>#DIV/0!</v>
      </c>
      <c r="CW264" s="326" t="e">
        <f>CV264+CW263-CW262</f>
        <v>#DIV/0!</v>
      </c>
      <c r="CX264" s="326" t="e">
        <f>CW264+CX263-CX262</f>
        <v>#DIV/0!</v>
      </c>
      <c r="CY264" s="298" t="n"/>
      <c r="CZ264" s="322" t="e">
        <f>CX264+CZ263-CZ262</f>
        <v>#DIV/0!</v>
      </c>
      <c r="DA264" s="322" t="e">
        <f>CZ264+DA263-DA262</f>
        <v>#DIV/0!</v>
      </c>
      <c r="DB264" s="322" t="e">
        <f>DA264+DB263-DB262</f>
        <v>#DIV/0!</v>
      </c>
      <c r="DC264" s="322" t="e">
        <f>DB264+DC263-DC262</f>
        <v>#DIV/0!</v>
      </c>
    </row>
    <row r="265" hidden="1" outlineLevel="1" ht="12.75" customFormat="1" customHeight="1" s="322">
      <c r="A265" s="293" t="n"/>
      <c r="B265" s="293" t="n"/>
      <c r="C265" s="323" t="inlineStr">
        <is>
          <t>Weighted average basic shares outstanding</t>
        </is>
      </c>
      <c r="D265" s="298" t="n"/>
      <c r="E265" s="298" t="n"/>
      <c r="F265" s="298" t="n"/>
      <c r="G265" s="298" t="n"/>
      <c r="H265" s="298" t="n"/>
      <c r="I265" s="298" t="n"/>
      <c r="J265" s="298" t="n"/>
      <c r="K265" s="298" t="n"/>
      <c r="L265" s="298" t="n"/>
      <c r="M265" s="298" t="n"/>
      <c r="N265" s="298" t="n"/>
      <c r="O265" s="298" t="n"/>
      <c r="P265" s="298" t="n"/>
      <c r="Q265" s="298" t="n"/>
      <c r="R265" s="298" t="n"/>
      <c r="S265" s="298" t="n"/>
      <c r="T265" s="298" t="n"/>
      <c r="U265" s="298" t="n"/>
      <c r="V265" s="298" t="n"/>
      <c r="W265" s="298" t="n"/>
      <c r="X265" s="298" t="n"/>
      <c r="Y265" s="298" t="n"/>
      <c r="Z265" s="298" t="n"/>
      <c r="AA265" s="298" t="n"/>
      <c r="AB265" s="298" t="n"/>
      <c r="AC265" s="298" t="n"/>
      <c r="AD265" s="298" t="n"/>
      <c r="AE265" s="298" t="n"/>
      <c r="AF265" s="298" t="n"/>
      <c r="AG265" s="298" t="n"/>
      <c r="AH265" s="326">
        <f>AVERAGE(AG264,AH264)</f>
        <v>0</v>
      </c>
      <c r="AI265" s="326">
        <f>AVERAGE(AH264,AI264)</f>
        <v>0</v>
      </c>
      <c r="AJ265" s="326" t="e">
        <f>AVERAGE(AI264,AJ264)</f>
        <v>#DIV/0!</v>
      </c>
      <c r="AK265" s="326" t="e">
        <f>AVERAGE(AJ264,AK264)</f>
        <v>#DIV/0!</v>
      </c>
      <c r="AL265" s="298" t="n"/>
      <c r="AM265" s="326" t="e">
        <f>AVERAGE(AK264,AM264)</f>
        <v>#DIV/0!</v>
      </c>
      <c r="AN265" s="326" t="e">
        <f>AVERAGE(AM264,AN264)</f>
        <v>#DIV/0!</v>
      </c>
      <c r="AO265" s="326" t="e">
        <f>AVERAGE(AN264,AO264)</f>
        <v>#DIV/0!</v>
      </c>
      <c r="AP265" s="326" t="e">
        <f>AVERAGE(AO264,AP264)</f>
        <v>#DIV/0!</v>
      </c>
      <c r="AQ265" s="298" t="n"/>
      <c r="AR265" s="326" t="e">
        <f>AVERAGE(AP264,AR264)</f>
        <v>#DIV/0!</v>
      </c>
      <c r="AS265" s="326" t="e">
        <f>AVERAGE(AR264,AS264)</f>
        <v>#DIV/0!</v>
      </c>
      <c r="AT265" s="326" t="e">
        <f>AVERAGE(AS264,AT264)</f>
        <v>#DIV/0!</v>
      </c>
      <c r="AU265" s="326" t="e">
        <f>AVERAGE(AT264,AU264)</f>
        <v>#DIV/0!</v>
      </c>
      <c r="AV265" s="298" t="n"/>
      <c r="AW265" s="326" t="e">
        <f>AVERAGE(AU264,AW264)</f>
        <v>#DIV/0!</v>
      </c>
      <c r="AX265" s="326" t="e">
        <f>AVERAGE(AW264,AX264)</f>
        <v>#DIV/0!</v>
      </c>
      <c r="AY265" s="326" t="e">
        <f>AVERAGE(AX264,AY264)</f>
        <v>#DIV/0!</v>
      </c>
      <c r="AZ265" s="326" t="e">
        <f>AVERAGE(AY264,AZ264)</f>
        <v>#DIV/0!</v>
      </c>
      <c r="BA265" s="298" t="n"/>
      <c r="BB265" s="326" t="e">
        <f>AVERAGE(AZ264,BB264)</f>
        <v>#DIV/0!</v>
      </c>
      <c r="BC265" s="326" t="e">
        <f>AVERAGE(BB264,BC264)</f>
        <v>#DIV/0!</v>
      </c>
      <c r="BD265" s="326" t="e">
        <f>AVERAGE(BC264,BD264)</f>
        <v>#DIV/0!</v>
      </c>
      <c r="BE265" s="326" t="e">
        <f>AVERAGE(BD264,BE264)</f>
        <v>#DIV/0!</v>
      </c>
      <c r="BF265" s="298" t="n"/>
      <c r="BG265" s="326" t="e">
        <f>AVERAGE(BE264,BG264)</f>
        <v>#DIV/0!</v>
      </c>
      <c r="BH265" s="326" t="e">
        <f>AVERAGE(BG264,BH264)</f>
        <v>#DIV/0!</v>
      </c>
      <c r="BI265" s="326" t="e">
        <f>AVERAGE(BH264,BI264)</f>
        <v>#DIV/0!</v>
      </c>
      <c r="BJ265" s="326" t="e">
        <f>AVERAGE(BI264,BJ264)</f>
        <v>#DIV/0!</v>
      </c>
      <c r="BK265" s="298" t="n"/>
      <c r="BL265" s="326" t="e">
        <f>AVERAGE(BJ264,BL264)</f>
        <v>#DIV/0!</v>
      </c>
      <c r="BM265" s="326" t="e">
        <f>AVERAGE(BL264,BM264)</f>
        <v>#DIV/0!</v>
      </c>
      <c r="BN265" s="326" t="e">
        <f>AVERAGE(BM264,BN264)</f>
        <v>#DIV/0!</v>
      </c>
      <c r="BO265" s="326" t="e">
        <f>AVERAGE(BN264,BO264)</f>
        <v>#DIV/0!</v>
      </c>
      <c r="BP265" s="298" t="n"/>
      <c r="BQ265" s="326" t="e">
        <f>AVERAGE(BO264,BQ264)</f>
        <v>#DIV/0!</v>
      </c>
      <c r="BR265" s="326" t="e">
        <f>AVERAGE(BQ264,BR264)</f>
        <v>#DIV/0!</v>
      </c>
      <c r="BS265" s="326" t="e">
        <f>AVERAGE(BR264,BS264)</f>
        <v>#DIV/0!</v>
      </c>
      <c r="BT265" s="326" t="e">
        <f>AVERAGE(BS264,BT264)</f>
        <v>#DIV/0!</v>
      </c>
      <c r="BU265" s="298" t="n"/>
      <c r="BV265" s="326" t="e">
        <f>AVERAGE(BT264,BV264)</f>
        <v>#DIV/0!</v>
      </c>
      <c r="BW265" s="326" t="e">
        <f>AVERAGE(BV264,BW264)</f>
        <v>#DIV/0!</v>
      </c>
      <c r="BX265" s="326" t="e">
        <f>AVERAGE(BW264,BX264)</f>
        <v>#DIV/0!</v>
      </c>
      <c r="BY265" s="326" t="e">
        <f>AVERAGE(BX264,BY264)</f>
        <v>#DIV/0!</v>
      </c>
      <c r="BZ265" s="298" t="n"/>
      <c r="CA265" s="326" t="e">
        <f>AVERAGE(BY264,CA264)</f>
        <v>#DIV/0!</v>
      </c>
      <c r="CB265" s="326" t="e">
        <f>AVERAGE(CA264,CB264)</f>
        <v>#DIV/0!</v>
      </c>
      <c r="CC265" s="326" t="e">
        <f>AVERAGE(CB264,CC264)</f>
        <v>#DIV/0!</v>
      </c>
      <c r="CD265" s="326" t="e">
        <f>AVERAGE(CC264,CD264)</f>
        <v>#DIV/0!</v>
      </c>
      <c r="CE265" s="298" t="n"/>
      <c r="CF265" s="326" t="e">
        <f>AVERAGE(CD264,CF264)</f>
        <v>#DIV/0!</v>
      </c>
      <c r="CG265" s="326" t="e">
        <f>AVERAGE(CF264,CG264)</f>
        <v>#DIV/0!</v>
      </c>
      <c r="CH265" s="326" t="e">
        <f>AVERAGE(CG264,CH264)</f>
        <v>#DIV/0!</v>
      </c>
      <c r="CI265" s="326" t="e">
        <f>AVERAGE(CH264,CI264)</f>
        <v>#DIV/0!</v>
      </c>
      <c r="CJ265" s="298" t="n"/>
      <c r="CK265" s="326" t="e">
        <f>AVERAGE(CI264,CK264)</f>
        <v>#DIV/0!</v>
      </c>
      <c r="CL265" s="326" t="e">
        <f>AVERAGE(CK264,CL264)</f>
        <v>#DIV/0!</v>
      </c>
      <c r="CM265" s="326" t="e">
        <f>AVERAGE(CL264,CM264)</f>
        <v>#DIV/0!</v>
      </c>
      <c r="CN265" s="326" t="e">
        <f>AVERAGE(CM264,CN264)</f>
        <v>#DIV/0!</v>
      </c>
      <c r="CO265" s="298" t="n"/>
      <c r="CP265" s="326" t="e">
        <f>AVERAGE(CN264,CP264)</f>
        <v>#DIV/0!</v>
      </c>
      <c r="CQ265" s="326" t="e">
        <f>AVERAGE(CP264,CQ264)</f>
        <v>#DIV/0!</v>
      </c>
      <c r="CR265" s="326" t="e">
        <f>AVERAGE(CQ264,CR264)</f>
        <v>#DIV/0!</v>
      </c>
      <c r="CS265" s="326" t="e">
        <f>AVERAGE(CR264,CS264)</f>
        <v>#DIV/0!</v>
      </c>
      <c r="CT265" s="298" t="n"/>
      <c r="CU265" s="326" t="e">
        <f>AVERAGE(CS264,CU264)</f>
        <v>#DIV/0!</v>
      </c>
      <c r="CV265" s="326" t="e">
        <f>AVERAGE(CU264,CV264)</f>
        <v>#DIV/0!</v>
      </c>
      <c r="CW265" s="326" t="e">
        <f>AVERAGE(CV264,CW264)</f>
        <v>#DIV/0!</v>
      </c>
      <c r="CX265" s="326" t="e">
        <f>AVERAGE(CW264,CX264)</f>
        <v>#DIV/0!</v>
      </c>
      <c r="CY265" s="298" t="n"/>
      <c r="CZ265" s="322" t="e">
        <f>AVERAGE(CX264,CZ264)</f>
        <v>#DIV/0!</v>
      </c>
      <c r="DA265" s="322" t="e">
        <f>AVERAGE(CZ264,DA264)</f>
        <v>#DIV/0!</v>
      </c>
      <c r="DB265" s="322" t="e">
        <f>AVERAGE(DA264,DB264)</f>
        <v>#DIV/0!</v>
      </c>
      <c r="DC265" s="322" t="e">
        <f>AVERAGE(DB264,DC264)</f>
        <v>#DIV/0!</v>
      </c>
    </row>
    <row r="266" hidden="1" outlineLevel="1" ht="12.75" customFormat="1" customHeight="1" s="322">
      <c r="A266" s="293" t="n"/>
      <c r="B266" s="293" t="n"/>
      <c r="C266" s="323" t="n"/>
      <c r="D266" s="298" t="n"/>
      <c r="E266" s="298" t="n"/>
      <c r="F266" s="298" t="n"/>
      <c r="G266" s="298" t="n"/>
      <c r="H266" s="268" t="n"/>
      <c r="I266" s="298" t="n"/>
      <c r="J266" s="298" t="n"/>
      <c r="K266" s="298" t="n"/>
      <c r="L266" s="298" t="n"/>
      <c r="M266" s="268" t="n"/>
      <c r="N266" s="298" t="n"/>
      <c r="O266" s="298" t="n"/>
      <c r="P266" s="298" t="n"/>
      <c r="Q266" s="298" t="n"/>
      <c r="R266" s="268" t="n"/>
      <c r="S266" s="298" t="n"/>
      <c r="T266" s="298" t="n"/>
      <c r="U266" s="298" t="n"/>
      <c r="V266" s="298" t="n"/>
      <c r="W266" s="268" t="n"/>
      <c r="X266" s="298" t="n"/>
      <c r="Y266" s="298" t="n"/>
      <c r="Z266" s="298" t="n"/>
      <c r="AA266" s="298" t="n"/>
      <c r="AB266" s="268" t="n"/>
      <c r="AC266" s="298" t="n"/>
      <c r="AD266" s="298" t="n"/>
      <c r="AE266" s="298" t="n"/>
      <c r="AF266" s="298" t="n"/>
      <c r="AG266" s="268" t="n"/>
      <c r="AH266" s="298" t="n"/>
      <c r="AI266" s="298" t="n"/>
      <c r="AJ266" s="298" t="n"/>
      <c r="AK266" s="298" t="n"/>
      <c r="AL266" s="268" t="n"/>
      <c r="AM266" s="298" t="n"/>
      <c r="AN266" s="298" t="n"/>
      <c r="AO266" s="298" t="n"/>
      <c r="AP266" s="298" t="n"/>
      <c r="AQ266" s="268" t="n"/>
      <c r="AR266" s="298" t="n"/>
      <c r="AS266" s="298" t="n"/>
      <c r="AT266" s="298" t="n"/>
      <c r="AU266" s="298" t="n"/>
      <c r="AV266" s="268" t="n"/>
      <c r="AW266" s="298" t="n"/>
      <c r="AX266" s="298" t="n"/>
      <c r="AY266" s="298" t="n"/>
      <c r="AZ266" s="298" t="n"/>
      <c r="BA266" s="268" t="n"/>
      <c r="BB266" s="298" t="n"/>
      <c r="BC266" s="298" t="n"/>
      <c r="BD266" s="298" t="n"/>
      <c r="BE266" s="298" t="n"/>
      <c r="BF266" s="268" t="n"/>
      <c r="BG266" s="298" t="n"/>
      <c r="BH266" s="298" t="n"/>
      <c r="BI266" s="298" t="n"/>
      <c r="BJ266" s="298" t="n"/>
      <c r="BK266" s="268" t="n"/>
      <c r="BL266" s="298" t="n"/>
      <c r="BM266" s="298" t="n"/>
      <c r="BN266" s="298" t="n"/>
      <c r="BO266" s="298" t="n"/>
      <c r="BP266" s="268" t="n"/>
      <c r="BQ266" s="298" t="n"/>
      <c r="BR266" s="298" t="n"/>
      <c r="BS266" s="298" t="n"/>
      <c r="BT266" s="298" t="n"/>
      <c r="BU266" s="268" t="n"/>
      <c r="BV266" s="298" t="n"/>
      <c r="BW266" s="298" t="n"/>
      <c r="BX266" s="298" t="n"/>
      <c r="BY266" s="298" t="n"/>
      <c r="BZ266" s="268" t="n"/>
      <c r="CA266" s="298" t="n"/>
      <c r="CB266" s="298" t="n"/>
      <c r="CC266" s="298" t="n"/>
      <c r="CD266" s="298" t="n"/>
      <c r="CE266" s="268" t="n"/>
      <c r="CF266" s="298" t="n"/>
      <c r="CG266" s="298" t="n"/>
      <c r="CH266" s="298" t="n"/>
      <c r="CI266" s="298" t="n"/>
      <c r="CJ266" s="268" t="n"/>
      <c r="CK266" s="298" t="n"/>
      <c r="CL266" s="298" t="n"/>
      <c r="CM266" s="298" t="n"/>
      <c r="CN266" s="298" t="n"/>
      <c r="CO266" s="268" t="n"/>
      <c r="CP266" s="298" t="n"/>
      <c r="CQ266" s="298" t="n"/>
      <c r="CR266" s="298" t="n"/>
      <c r="CS266" s="298" t="n"/>
      <c r="CT266" s="268" t="n"/>
      <c r="CU266" s="298" t="n"/>
      <c r="CV266" s="298" t="n"/>
      <c r="CW266" s="298" t="n"/>
      <c r="CX266" s="298" t="n"/>
      <c r="CY266" s="268" t="n"/>
    </row>
    <row r="267" ht="12.75" customHeight="1" s="255">
      <c r="C267" s="270" t="inlineStr">
        <is>
          <t>Treasury stock (contra account)</t>
        </is>
      </c>
      <c r="D267" s="301">
        <f>INDEX('Inputs (2)'!$D$44:$AL$44,MATCH(D$7,'Inputs (2)'!$D$2:$AL$2,0))</f>
        <v>-920</v>
      </c>
      <c r="E267" s="301">
        <f>INDEX('Inputs (2)'!$D$44:$AL$44,MATCH(E$7,'Inputs (2)'!$D$2:$AL$2,0))</f>
        <v>-1020</v>
      </c>
      <c r="F267" s="301">
        <f>INDEX('Inputs (2)'!$D$44:$AL$44,MATCH(F$7,'Inputs (2)'!$D$2:$AL$2,0))</f>
        <v>-1020</v>
      </c>
      <c r="G267" s="301">
        <f>INDEX('Inputs (2)'!$D$44:$AL$44,MATCH(G$7,'Inputs (2)'!$D$2:$AL$2,0))</f>
        <v>-1020</v>
      </c>
      <c r="H267" s="268">
        <f>G267</f>
        <v>-1020</v>
      </c>
      <c r="I267" s="301">
        <f>INDEX('Inputs (2)'!$D$44:$AL$44,MATCH(I$7,'Inputs (2)'!$D$2:$AL$2,0))</f>
        <v>-1020</v>
      </c>
      <c r="J267" s="301">
        <f>INDEX('Inputs (2)'!$D$44:$AL$44,MATCH(J$7,'Inputs (2)'!$D$2:$AL$2,0))</f>
        <v>-1020</v>
      </c>
      <c r="K267" s="301">
        <f>INDEX('Inputs (2)'!$D$44:$AL$44,MATCH(K$7,'Inputs (2)'!$D$2:$AL$2,0))</f>
        <v>-1120</v>
      </c>
      <c r="L267" s="301">
        <f>INDEX('Inputs (2)'!$D$44:$AL$44,MATCH(L$7,'Inputs (2)'!$D$2:$AL$2,0))</f>
        <v>-1120</v>
      </c>
      <c r="M267" s="268">
        <f>L267</f>
        <v>-1120</v>
      </c>
      <c r="N267" s="301">
        <f>INDEX('Inputs (2)'!$D$44:$AL$44,MATCH(N$7,'Inputs (2)'!$D$2:$AL$2,0))</f>
        <v>-1120</v>
      </c>
      <c r="O267" s="301">
        <f>INDEX('Inputs (2)'!$D$44:$AL$44,MATCH(O$7,'Inputs (2)'!$D$2:$AL$2,0))</f>
        <v>-1120</v>
      </c>
      <c r="P267" s="301">
        <f>INDEX('Inputs (2)'!$D$44:$AL$44,MATCH(P$7,'Inputs (2)'!$D$2:$AL$2,0))</f>
        <v>-1320</v>
      </c>
      <c r="Q267" s="301">
        <f>INDEX('Inputs (2)'!$D$44:$AL$44,MATCH(Q$7,'Inputs (2)'!$D$2:$AL$2,0))</f>
        <v>-1320</v>
      </c>
      <c r="R267" s="268">
        <f>Q267</f>
        <v>-1320</v>
      </c>
      <c r="S267" s="301">
        <f>INDEX('Inputs (2)'!$D$44:$AL$44,MATCH(S$7,'Inputs (2)'!$D$2:$AL$2,0))</f>
        <v>-1320</v>
      </c>
      <c r="T267" s="301">
        <f>INDEX('Inputs (2)'!$D$44:$AL$44,MATCH(T$7,'Inputs (2)'!$D$2:$AL$2,0))</f>
        <v>-1320</v>
      </c>
      <c r="U267" s="301">
        <f>INDEX('Inputs (2)'!$D$44:$AL$44,MATCH(U$7,'Inputs (2)'!$D$2:$AL$2,0))</f>
        <v>-1808</v>
      </c>
      <c r="V267" s="301">
        <f>INDEX('Inputs (2)'!$D$44:$AL$44,MATCH(V$7,'Inputs (2)'!$D$2:$AL$2,0))</f>
        <v>-1073</v>
      </c>
      <c r="W267" s="268">
        <f>V267</f>
        <v>-1073</v>
      </c>
      <c r="X267" s="301">
        <f>INDEX('Inputs (2)'!$D$44:$AL$44,MATCH(X$7,'Inputs (2)'!$D$2:$AL$2,0))</f>
        <v>-1431</v>
      </c>
      <c r="Y267" s="301">
        <f>INDEX('Inputs (2)'!$D$44:$AL$44,MATCH(Y$7,'Inputs (2)'!$D$2:$AL$2,0))</f>
        <v>-1427</v>
      </c>
      <c r="Z267" s="301">
        <f>INDEX('Inputs (2)'!$D$44:$AL$44,MATCH(Z$7,'Inputs (2)'!$D$2:$AL$2,0))</f>
        <v>-1624</v>
      </c>
      <c r="AA267" s="301">
        <f>INDEX('Inputs (2)'!$D$44:$AL$44,MATCH(AA$7,'Inputs (2)'!$D$2:$AL$2,0))</f>
        <v>-1549</v>
      </c>
      <c r="AB267" s="268">
        <f>AA267</f>
        <v>-1549</v>
      </c>
      <c r="AC267" s="301">
        <f>INDEX('Inputs (2)'!$D$44:$AL$44,MATCH(AC$7,'Inputs (2)'!$D$2:$AL$2,0))</f>
        <v>-1511</v>
      </c>
      <c r="AD267" s="301">
        <f>INDEX('Inputs (2)'!$D$44:$AL$44,MATCH(AD$7,'Inputs (2)'!$D$2:$AL$2,0))</f>
        <v>-1508</v>
      </c>
      <c r="AE267" s="301">
        <f>INDEX('Inputs (2)'!$D$44:$AL$44,MATCH(AE$7,'Inputs (2)'!$D$2:$AL$2,0))</f>
        <v>-2051</v>
      </c>
      <c r="AF267" s="301">
        <f>INDEX('Inputs (2)'!$D$44:$AL$44,MATCH(AF$7,'Inputs (2)'!$D$2:$AL$2,0))</f>
        <v>-1007</v>
      </c>
      <c r="AG267" s="268">
        <f>AF267</f>
        <v>-1007</v>
      </c>
      <c r="AH267" s="268">
        <f>INDEX('Inputs (2)'!$D$44:$AL$44,MATCH(AH$7,'Inputs (2)'!$D$2:$AL$2,0))</f>
        <v>-967</v>
      </c>
      <c r="AI267" s="268">
        <f>INDEX('Inputs (2)'!$D$44:$AL$44,MATCH(AI$7,'Inputs (2)'!$D$2:$AL$2,0))</f>
        <v>-1212</v>
      </c>
      <c r="AJ267" s="268">
        <f>AI267+AJ257</f>
        <v>-1212</v>
      </c>
      <c r="AK267" s="268">
        <f>AJ267+AK257</f>
        <v>-1212</v>
      </c>
      <c r="AL267" s="268">
        <f>AK267</f>
        <v>-1212</v>
      </c>
      <c r="AM267" s="268">
        <f>AL267+AM257</f>
        <v>-1212</v>
      </c>
      <c r="AN267" s="268">
        <f>AM267+AN257</f>
        <v>-1212</v>
      </c>
      <c r="AO267" s="268">
        <f>AN267+AO257</f>
        <v>-1212</v>
      </c>
      <c r="AP267" s="268">
        <f>AO267+AP257</f>
        <v>-1212</v>
      </c>
      <c r="AQ267" s="268">
        <f>AP267</f>
        <v>-1212</v>
      </c>
      <c r="AR267" s="268">
        <f>AQ267+AR257</f>
        <v>-1212</v>
      </c>
      <c r="AS267" s="268">
        <f>AR267+AS257</f>
        <v>-1212</v>
      </c>
      <c r="AT267" s="268">
        <f>AS267+AT257</f>
        <v>-1212</v>
      </c>
      <c r="AU267" s="268">
        <f>AT267+AU257</f>
        <v>-1212</v>
      </c>
      <c r="AV267" s="268">
        <f>AU267</f>
        <v>-1212</v>
      </c>
      <c r="AW267" s="268">
        <f>AV267+AW257</f>
        <v>-1212</v>
      </c>
      <c r="AX267" s="268">
        <f>AW267+AX257</f>
        <v>-1212</v>
      </c>
      <c r="AY267" s="268">
        <f>AX267+AY257</f>
        <v>-1212</v>
      </c>
      <c r="AZ267" s="268">
        <f>AY267+AZ257</f>
        <v>-1212</v>
      </c>
      <c r="BA267" s="268">
        <f>AZ267</f>
        <v>-1212</v>
      </c>
      <c r="BB267" s="268">
        <f>BA267+BB257</f>
        <v>-1212</v>
      </c>
      <c r="BC267" s="268">
        <f>BB267+BC257</f>
        <v>-1212</v>
      </c>
      <c r="BD267" s="268">
        <f>BC267+BD257</f>
        <v>-1212</v>
      </c>
      <c r="BE267" s="268">
        <f>BD267+BE257</f>
        <v>-1212</v>
      </c>
      <c r="BF267" s="268">
        <f>BE267</f>
        <v>-1212</v>
      </c>
      <c r="BG267" s="268">
        <f>BF267+BG257</f>
        <v>-1212</v>
      </c>
      <c r="BH267" s="268">
        <f>BG267+BH257</f>
        <v>-1212</v>
      </c>
      <c r="BI267" s="268">
        <f>BH267+BI257</f>
        <v>-1212</v>
      </c>
      <c r="BJ267" s="268">
        <f>BI267+BJ257</f>
        <v>-1212</v>
      </c>
      <c r="BK267" s="268">
        <f>BJ267</f>
        <v>-1212</v>
      </c>
      <c r="BL267" s="268">
        <f>BK267+BL257</f>
        <v>-1212</v>
      </c>
      <c r="BM267" s="268">
        <f>BL267+BM257</f>
        <v>-1212</v>
      </c>
      <c r="BN267" s="268">
        <f>BM267+BN257</f>
        <v>-1212</v>
      </c>
      <c r="BO267" s="268">
        <f>BN267+BO257</f>
        <v>-1212</v>
      </c>
      <c r="BP267" s="268">
        <f>BO267</f>
        <v>-1212</v>
      </c>
      <c r="BQ267" s="268">
        <f>BP267+BQ257</f>
        <v>-1212</v>
      </c>
      <c r="BR267" s="268">
        <f>BQ267+BR257</f>
        <v>-1212</v>
      </c>
      <c r="BS267" s="268">
        <f>BR267+BS257</f>
        <v>-1212</v>
      </c>
      <c r="BT267" s="268">
        <f>BS267+BT257</f>
        <v>-1212</v>
      </c>
      <c r="BU267" s="268">
        <f>BT267</f>
        <v>-1212</v>
      </c>
      <c r="BV267" s="268">
        <f>BU267+BV257</f>
        <v>-1212</v>
      </c>
      <c r="BW267" s="268">
        <f>BV267+BW257</f>
        <v>-1212</v>
      </c>
      <c r="BX267" s="268">
        <f>BW267+BX257</f>
        <v>-1212</v>
      </c>
      <c r="BY267" s="268">
        <f>BX267+BY257</f>
        <v>-1212</v>
      </c>
      <c r="BZ267" s="268">
        <f>BY267</f>
        <v>-1212</v>
      </c>
      <c r="CA267" s="268">
        <f>BZ267+CA257</f>
        <v>-1212</v>
      </c>
      <c r="CB267" s="268">
        <f>CA267+CB257</f>
        <v>-1212</v>
      </c>
      <c r="CC267" s="268">
        <f>CB267+CC257</f>
        <v>-1212</v>
      </c>
      <c r="CD267" s="268">
        <f>CC267+CD257</f>
        <v>-1212</v>
      </c>
      <c r="CE267" s="268">
        <f>CD267</f>
        <v>-1212</v>
      </c>
      <c r="CF267" s="268">
        <f>CE267+CF257</f>
        <v>-1212</v>
      </c>
      <c r="CG267" s="268">
        <f>CF267+CG257</f>
        <v>-1212</v>
      </c>
      <c r="CH267" s="268">
        <f>CG267+CH257</f>
        <v>-1212</v>
      </c>
      <c r="CI267" s="268">
        <f>CH267+CI257</f>
        <v>-1212</v>
      </c>
      <c r="CJ267" s="268">
        <f>CI267</f>
        <v>-1212</v>
      </c>
      <c r="CK267" s="268">
        <f>CJ267+CK257</f>
        <v>-1212</v>
      </c>
      <c r="CL267" s="268">
        <f>CK267+CL257</f>
        <v>-1212</v>
      </c>
      <c r="CM267" s="268">
        <f>CL267+CM257</f>
        <v>-1212</v>
      </c>
      <c r="CN267" s="268">
        <f>CM267+CN257</f>
        <v>-1212</v>
      </c>
      <c r="CO267" s="268">
        <f>CN267</f>
        <v>-1212</v>
      </c>
      <c r="CP267" s="268">
        <f>CO267+CP257</f>
        <v>-1212</v>
      </c>
      <c r="CQ267" s="268">
        <f>CP267+CQ257</f>
        <v>-1212</v>
      </c>
      <c r="CR267" s="268">
        <f>CQ267+CR257</f>
        <v>-1212</v>
      </c>
      <c r="CS267" s="268">
        <f>CR267+CS257</f>
        <v>-1212</v>
      </c>
      <c r="CT267" s="268">
        <f>CS267</f>
        <v>-1212</v>
      </c>
      <c r="CU267" s="268">
        <f>CT267+CU257</f>
        <v>-1212</v>
      </c>
      <c r="CV267" s="268">
        <f>CU267+CV257</f>
        <v>-1212</v>
      </c>
      <c r="CW267" s="268">
        <f>CV267+CW257</f>
        <v>-1212</v>
      </c>
      <c r="CX267" s="268">
        <f>CW267+CX257</f>
        <v>-1212</v>
      </c>
      <c r="CY267" s="268">
        <f>CX267</f>
        <v>-1212</v>
      </c>
    </row>
    <row r="268" ht="12.75" customHeight="1" s="255">
      <c r="C268" s="270" t="inlineStr">
        <is>
          <t>Comprehensive (accumulated) loss</t>
        </is>
      </c>
      <c r="D268" s="301">
        <f>INDEX('Inputs (2)'!$D$45:$AL$45,MATCH(D$7,'Inputs (2)'!$D$2:$AL$2,0))</f>
        <v>-6411</v>
      </c>
      <c r="E268" s="301">
        <f>INDEX('Inputs (2)'!$D$45:$AL$45,MATCH(E$7,'Inputs (2)'!$D$2:$AL$2,0))</f>
        <v>-6515</v>
      </c>
      <c r="F268" s="301">
        <f>INDEX('Inputs (2)'!$D$45:$AL$45,MATCH(F$7,'Inputs (2)'!$D$2:$AL$2,0))</f>
        <v>-6504</v>
      </c>
      <c r="G268" s="301">
        <f>INDEX('Inputs (2)'!$D$45:$AL$45,MATCH(G$7,'Inputs (2)'!$D$2:$AL$2,0))</f>
        <v>-6246</v>
      </c>
      <c r="H268" s="268">
        <f>G268</f>
        <v>-6246</v>
      </c>
      <c r="I268" s="301">
        <f>INDEX('Inputs (2)'!$D$45:$AL$45,MATCH(I$7,'Inputs (2)'!$D$2:$AL$2,0))</f>
        <v>-6484</v>
      </c>
      <c r="J268" s="301">
        <f>INDEX('Inputs (2)'!$D$45:$AL$45,MATCH(J$7,'Inputs (2)'!$D$2:$AL$2,0))</f>
        <v>-6258</v>
      </c>
      <c r="K268" s="301">
        <f>INDEX('Inputs (2)'!$D$45:$AL$45,MATCH(K$7,'Inputs (2)'!$D$2:$AL$2,0))</f>
        <v>-6436</v>
      </c>
      <c r="L268" s="301">
        <f>INDEX('Inputs (2)'!$D$45:$AL$45,MATCH(L$7,'Inputs (2)'!$D$2:$AL$2,0))</f>
        <v>-6471</v>
      </c>
      <c r="M268" s="268">
        <f>L268</f>
        <v>-6471</v>
      </c>
      <c r="N268" s="301">
        <f>INDEX('Inputs (2)'!$D$45:$AL$45,MATCH(N$7,'Inputs (2)'!$D$2:$AL$2,0))</f>
        <v>-6213</v>
      </c>
      <c r="O268" s="301">
        <f>INDEX('Inputs (2)'!$D$45:$AL$45,MATCH(O$7,'Inputs (2)'!$D$2:$AL$2,0))</f>
        <v>-6436</v>
      </c>
      <c r="P268" s="301">
        <f>INDEX('Inputs (2)'!$D$45:$AL$45,MATCH(P$7,'Inputs (2)'!$D$2:$AL$2,0))</f>
        <v>-6611</v>
      </c>
      <c r="Q268" s="301">
        <f>INDEX('Inputs (2)'!$D$45:$AL$45,MATCH(Q$7,'Inputs (2)'!$D$2:$AL$2,0))</f>
        <v>-6371</v>
      </c>
      <c r="R268" s="268">
        <f>Q268</f>
        <v>-6371</v>
      </c>
      <c r="S268" s="301">
        <f>INDEX('Inputs (2)'!$D$45:$AL$45,MATCH(S$7,'Inputs (2)'!$D$2:$AL$2,0))</f>
        <v>-6171</v>
      </c>
      <c r="T268" s="301">
        <f>INDEX('Inputs (2)'!$D$45:$AL$45,MATCH(T$7,'Inputs (2)'!$D$2:$AL$2,0))</f>
        <v>-6091</v>
      </c>
      <c r="U268" s="301">
        <f>INDEX('Inputs (2)'!$D$45:$AL$45,MATCH(U$7,'Inputs (2)'!$D$2:$AL$2,0))</f>
        <v>-6224</v>
      </c>
      <c r="V268" s="301">
        <f>INDEX('Inputs (2)'!$D$45:$AL$45,MATCH(V$7,'Inputs (2)'!$D$2:$AL$2,0))</f>
        <v>-6054</v>
      </c>
      <c r="W268" s="268">
        <f>V268</f>
        <v>-6054</v>
      </c>
      <c r="X268" s="301">
        <f>INDEX('Inputs (2)'!$D$45:$AL$45,MATCH(X$7,'Inputs (2)'!$D$2:$AL$2,0))</f>
        <v>-6194</v>
      </c>
      <c r="Y268" s="301">
        <f>INDEX('Inputs (2)'!$D$45:$AL$45,MATCH(Y$7,'Inputs (2)'!$D$2:$AL$2,0))</f>
        <v>-6446</v>
      </c>
      <c r="Z268" s="301">
        <f>INDEX('Inputs (2)'!$D$45:$AL$45,MATCH(Z$7,'Inputs (2)'!$D$2:$AL$2,0))</f>
        <v>-6354</v>
      </c>
      <c r="AA268" s="301">
        <f>INDEX('Inputs (2)'!$D$45:$AL$45,MATCH(AA$7,'Inputs (2)'!$D$2:$AL$2,0))</f>
        <v>-6702</v>
      </c>
      <c r="AB268" s="268">
        <f>AA268</f>
        <v>-6702</v>
      </c>
      <c r="AC268" s="301">
        <f>INDEX('Inputs (2)'!$D$45:$AL$45,MATCH(AC$7,'Inputs (2)'!$D$2:$AL$2,0))</f>
        <v>-6436</v>
      </c>
      <c r="AD268" s="301">
        <f>INDEX('Inputs (2)'!$D$45:$AL$45,MATCH(AD$7,'Inputs (2)'!$D$2:$AL$2,0))</f>
        <v>-6123</v>
      </c>
      <c r="AE268" s="301">
        <f>INDEX('Inputs (2)'!$D$45:$AL$45,MATCH(AE$7,'Inputs (2)'!$D$2:$AL$2,0))</f>
        <v>-6107</v>
      </c>
      <c r="AF268" s="301">
        <f>INDEX('Inputs (2)'!$D$45:$AL$45,MATCH(AF$7,'Inputs (2)'!$D$2:$AL$2,0))</f>
        <v>-6084</v>
      </c>
      <c r="AG268" s="268">
        <f>AF268</f>
        <v>-6084</v>
      </c>
      <c r="AH268" s="268">
        <f>INDEX('Inputs (2)'!$D$45:$AL$45,MATCH(AH$7,'Inputs (2)'!$D$2:$AL$2,0))</f>
        <v>-6017</v>
      </c>
      <c r="AI268" s="268">
        <f>INDEX('Inputs (2)'!$D$45:$AL$45,MATCH(AI$7,'Inputs (2)'!$D$2:$AL$2,0))</f>
        <v>-6014</v>
      </c>
      <c r="AJ268" s="268">
        <f>AI268</f>
        <v>-6014</v>
      </c>
      <c r="AK268" s="268">
        <f>AJ268</f>
        <v>-6014</v>
      </c>
      <c r="AL268" s="268">
        <f>AK268</f>
        <v>-6014</v>
      </c>
      <c r="AM268" s="268">
        <f>AL268</f>
        <v>-6014</v>
      </c>
      <c r="AN268" s="268">
        <f>AM268</f>
        <v>-6014</v>
      </c>
      <c r="AO268" s="268">
        <f>AN268</f>
        <v>-6014</v>
      </c>
      <c r="AP268" s="268">
        <f>AO268</f>
        <v>-6014</v>
      </c>
      <c r="AQ268" s="268">
        <f>AP268</f>
        <v>-6014</v>
      </c>
      <c r="AR268" s="268">
        <f>AQ268</f>
        <v>-6014</v>
      </c>
      <c r="AS268" s="268">
        <f>AR268</f>
        <v>-6014</v>
      </c>
      <c r="AT268" s="268">
        <f>AS268</f>
        <v>-6014</v>
      </c>
      <c r="AU268" s="268">
        <f>AT268</f>
        <v>-6014</v>
      </c>
      <c r="AV268" s="268">
        <f>AU268</f>
        <v>-6014</v>
      </c>
      <c r="AW268" s="268">
        <f>AV268</f>
        <v>-6014</v>
      </c>
      <c r="AX268" s="268">
        <f>AW268</f>
        <v>-6014</v>
      </c>
      <c r="AY268" s="268">
        <f>AX268</f>
        <v>-6014</v>
      </c>
      <c r="AZ268" s="268">
        <f>AY268</f>
        <v>-6014</v>
      </c>
      <c r="BA268" s="268">
        <f>AZ268</f>
        <v>-6014</v>
      </c>
      <c r="BB268" s="268">
        <f>BA268</f>
        <v>-6014</v>
      </c>
      <c r="BC268" s="268">
        <f>BB268</f>
        <v>-6014</v>
      </c>
      <c r="BD268" s="268">
        <f>BC268</f>
        <v>-6014</v>
      </c>
      <c r="BE268" s="268">
        <f>BD268</f>
        <v>-6014</v>
      </c>
      <c r="BF268" s="268">
        <f>BE268</f>
        <v>-6014</v>
      </c>
      <c r="BG268" s="268">
        <f>BF268</f>
        <v>-6014</v>
      </c>
      <c r="BH268" s="268">
        <f>BG268</f>
        <v>-6014</v>
      </c>
      <c r="BI268" s="268">
        <f>BH268</f>
        <v>-6014</v>
      </c>
      <c r="BJ268" s="268">
        <f>BI268</f>
        <v>-6014</v>
      </c>
      <c r="BK268" s="268">
        <f>BJ268</f>
        <v>-6014</v>
      </c>
      <c r="BL268" s="268">
        <f>BK268</f>
        <v>-6014</v>
      </c>
      <c r="BM268" s="268">
        <f>BL268</f>
        <v>-6014</v>
      </c>
      <c r="BN268" s="268">
        <f>BM268</f>
        <v>-6014</v>
      </c>
      <c r="BO268" s="268">
        <f>BN268</f>
        <v>-6014</v>
      </c>
      <c r="BP268" s="268">
        <f>BO268</f>
        <v>-6014</v>
      </c>
      <c r="BQ268" s="268">
        <f>BP268</f>
        <v>-6014</v>
      </c>
      <c r="BR268" s="268">
        <f>BQ268</f>
        <v>-6014</v>
      </c>
      <c r="BS268" s="268">
        <f>BR268</f>
        <v>-6014</v>
      </c>
      <c r="BT268" s="268">
        <f>BS268</f>
        <v>-6014</v>
      </c>
      <c r="BU268" s="268">
        <f>BT268</f>
        <v>-6014</v>
      </c>
      <c r="BV268" s="268">
        <f>BU268</f>
        <v>-6014</v>
      </c>
      <c r="BW268" s="268">
        <f>BV268</f>
        <v>-6014</v>
      </c>
      <c r="BX268" s="268">
        <f>BW268</f>
        <v>-6014</v>
      </c>
      <c r="BY268" s="268">
        <f>BX268</f>
        <v>-6014</v>
      </c>
      <c r="BZ268" s="268">
        <f>BY268</f>
        <v>-6014</v>
      </c>
      <c r="CA268" s="268">
        <f>BZ268</f>
        <v>-6014</v>
      </c>
      <c r="CB268" s="268">
        <f>CA268</f>
        <v>-6014</v>
      </c>
      <c r="CC268" s="268">
        <f>CB268</f>
        <v>-6014</v>
      </c>
      <c r="CD268" s="268">
        <f>CC268</f>
        <v>-6014</v>
      </c>
      <c r="CE268" s="268">
        <f>CD268</f>
        <v>-6014</v>
      </c>
      <c r="CF268" s="268">
        <f>CE268</f>
        <v>-6014</v>
      </c>
      <c r="CG268" s="268">
        <f>CF268</f>
        <v>-6014</v>
      </c>
      <c r="CH268" s="268">
        <f>CG268</f>
        <v>-6014</v>
      </c>
      <c r="CI268" s="268">
        <f>CH268</f>
        <v>-6014</v>
      </c>
      <c r="CJ268" s="268">
        <f>CI268</f>
        <v>-6014</v>
      </c>
      <c r="CK268" s="268">
        <f>CJ268</f>
        <v>-6014</v>
      </c>
      <c r="CL268" s="268">
        <f>CK268</f>
        <v>-6014</v>
      </c>
      <c r="CM268" s="268">
        <f>CL268</f>
        <v>-6014</v>
      </c>
      <c r="CN268" s="268">
        <f>CM268</f>
        <v>-6014</v>
      </c>
      <c r="CO268" s="268">
        <f>CN268</f>
        <v>-6014</v>
      </c>
      <c r="CP268" s="268">
        <f>CO268</f>
        <v>-6014</v>
      </c>
      <c r="CQ268" s="268">
        <f>CP268</f>
        <v>-6014</v>
      </c>
      <c r="CR268" s="268">
        <f>CQ268</f>
        <v>-6014</v>
      </c>
      <c r="CS268" s="268">
        <f>CR268</f>
        <v>-6014</v>
      </c>
      <c r="CT268" s="268">
        <f>CS268</f>
        <v>-6014</v>
      </c>
      <c r="CU268" s="268">
        <f>CT268</f>
        <v>-6014</v>
      </c>
      <c r="CV268" s="268">
        <f>CU268</f>
        <v>-6014</v>
      </c>
      <c r="CW268" s="268">
        <f>CV268</f>
        <v>-6014</v>
      </c>
      <c r="CX268" s="268">
        <f>CW268</f>
        <v>-6014</v>
      </c>
      <c r="CY268" s="268">
        <f>CX268</f>
        <v>-6014</v>
      </c>
    </row>
    <row r="269" ht="12.75" customHeight="1" s="255">
      <c r="C269" s="270" t="inlineStr">
        <is>
          <t>Other equity account</t>
        </is>
      </c>
      <c r="D269" s="301">
        <f>INDEX('Inputs (2)'!$D$46:$AL$46,MATCH(D$7,'Inputs (2)'!$D$2:$AL$2,0))</f>
        <v>690</v>
      </c>
      <c r="E269" s="301">
        <f>INDEX('Inputs (2)'!$D$46:$AL$46,MATCH(E$7,'Inputs (2)'!$D$2:$AL$2,0))</f>
        <v>690</v>
      </c>
      <c r="F269" s="301">
        <f>INDEX('Inputs (2)'!$D$46:$AL$46,MATCH(F$7,'Inputs (2)'!$D$2:$AL$2,0))</f>
        <v>690</v>
      </c>
      <c r="G269" s="301">
        <f>INDEX('Inputs (2)'!$D$46:$AL$46,MATCH(G$7,'Inputs (2)'!$D$2:$AL$2,0))</f>
        <v>690</v>
      </c>
      <c r="H269" s="268">
        <f>G269</f>
        <v>690</v>
      </c>
      <c r="I269" s="301">
        <f>INDEX('Inputs (2)'!$D$46:$AL$46,MATCH(I$7,'Inputs (2)'!$D$2:$AL$2,0))</f>
        <v>690</v>
      </c>
      <c r="J269" s="301">
        <f>INDEX('Inputs (2)'!$D$46:$AL$46,MATCH(J$7,'Inputs (2)'!$D$2:$AL$2,0))</f>
        <v>690</v>
      </c>
      <c r="K269" s="301">
        <f>INDEX('Inputs (2)'!$D$46:$AL$46,MATCH(K$7,'Inputs (2)'!$D$2:$AL$2,0))</f>
        <v>690</v>
      </c>
      <c r="L269" s="301">
        <f>INDEX('Inputs (2)'!$D$46:$AL$46,MATCH(L$7,'Inputs (2)'!$D$2:$AL$2,0))</f>
        <v>690</v>
      </c>
      <c r="M269" s="268">
        <f>L269</f>
        <v>690</v>
      </c>
      <c r="N269" s="301">
        <f>INDEX('Inputs (2)'!$D$46:$AL$46,MATCH(N$7,'Inputs (2)'!$D$2:$AL$2,0))</f>
        <v>0</v>
      </c>
      <c r="O269" s="301">
        <f>INDEX('Inputs (2)'!$D$46:$AL$46,MATCH(O$7,'Inputs (2)'!$D$2:$AL$2,0))</f>
        <v>0</v>
      </c>
      <c r="P269" s="301">
        <f>INDEX('Inputs (2)'!$D$46:$AL$46,MATCH(P$7,'Inputs (2)'!$D$2:$AL$2,0))</f>
        <v>0</v>
      </c>
      <c r="Q269" s="301">
        <f>INDEX('Inputs (2)'!$D$46:$AL$46,MATCH(Q$7,'Inputs (2)'!$D$2:$AL$2,0))</f>
        <v>0</v>
      </c>
      <c r="R269" s="268">
        <f>Q269</f>
        <v>0</v>
      </c>
      <c r="S269" s="301">
        <f>INDEX('Inputs (2)'!$D$46:$AL$46,MATCH(S$7,'Inputs (2)'!$D$2:$AL$2,0))</f>
        <v>0</v>
      </c>
      <c r="T269" s="301">
        <f>INDEX('Inputs (2)'!$D$46:$AL$46,MATCH(T$7,'Inputs (2)'!$D$2:$AL$2,0))</f>
        <v>0</v>
      </c>
      <c r="U269" s="301">
        <f>INDEX('Inputs (2)'!$D$46:$AL$46,MATCH(U$7,'Inputs (2)'!$D$2:$AL$2,0))</f>
        <v>0</v>
      </c>
      <c r="V269" s="301">
        <f>INDEX('Inputs (2)'!$D$46:$AL$46,MATCH(V$7,'Inputs (2)'!$D$2:$AL$2,0))</f>
        <v>0</v>
      </c>
      <c r="W269" s="268">
        <f>V269</f>
        <v>0</v>
      </c>
      <c r="X269" s="301">
        <f>INDEX('Inputs (2)'!$D$46:$AL$46,MATCH(X$7,'Inputs (2)'!$D$2:$AL$2,0))</f>
        <v>0</v>
      </c>
      <c r="Y269" s="301">
        <f>INDEX('Inputs (2)'!$D$46:$AL$46,MATCH(Y$7,'Inputs (2)'!$D$2:$AL$2,0))</f>
        <v>0</v>
      </c>
      <c r="Z269" s="301">
        <f>INDEX('Inputs (2)'!$D$46:$AL$46,MATCH(Z$7,'Inputs (2)'!$D$2:$AL$2,0))</f>
        <v>0</v>
      </c>
      <c r="AA269" s="301">
        <f>INDEX('Inputs (2)'!$D$46:$AL$46,MATCH(AA$7,'Inputs (2)'!$D$2:$AL$2,0))</f>
        <v>0</v>
      </c>
      <c r="AB269" s="268">
        <f>AA269</f>
        <v>0</v>
      </c>
      <c r="AC269" s="301">
        <f>INDEX('Inputs (2)'!$D$46:$AL$46,MATCH(AC$7,'Inputs (2)'!$D$2:$AL$2,0))</f>
        <v>0</v>
      </c>
      <c r="AD269" s="301">
        <f>INDEX('Inputs (2)'!$D$46:$AL$46,MATCH(AD$7,'Inputs (2)'!$D$2:$AL$2,0))</f>
        <v>0</v>
      </c>
      <c r="AE269" s="301">
        <f>INDEX('Inputs (2)'!$D$46:$AL$46,MATCH(AE$7,'Inputs (2)'!$D$2:$AL$2,0))</f>
        <v>0</v>
      </c>
      <c r="AF269" s="301">
        <f>INDEX('Inputs (2)'!$D$46:$AL$46,MATCH(AF$7,'Inputs (2)'!$D$2:$AL$2,0))</f>
        <v>0</v>
      </c>
      <c r="AG269" s="268">
        <f>AF269</f>
        <v>0</v>
      </c>
      <c r="AH269" s="268">
        <f>INDEX('Inputs (2)'!$D$46:$AL$46,MATCH(AH$7,'Inputs (2)'!$D$2:$AL$2,0))</f>
        <v>0</v>
      </c>
      <c r="AI269" s="268">
        <f>INDEX('Inputs (2)'!$D$46:$AL$46,MATCH(AI$7,'Inputs (2)'!$D$2:$AL$2,0))</f>
        <v>0</v>
      </c>
      <c r="AJ269" s="268">
        <f>AI269</f>
        <v>0</v>
      </c>
      <c r="AK269" s="268">
        <f>AJ269</f>
        <v>0</v>
      </c>
      <c r="AL269" s="268">
        <f>AK269</f>
        <v>0</v>
      </c>
      <c r="AM269" s="268">
        <f>AL269</f>
        <v>0</v>
      </c>
      <c r="AN269" s="268">
        <f>AM269</f>
        <v>0</v>
      </c>
      <c r="AO269" s="268">
        <f>AN269</f>
        <v>0</v>
      </c>
      <c r="AP269" s="268">
        <f>AO269</f>
        <v>0</v>
      </c>
      <c r="AQ269" s="268">
        <f>AP269</f>
        <v>0</v>
      </c>
      <c r="AR269" s="268">
        <f>AQ269</f>
        <v>0</v>
      </c>
      <c r="AS269" s="268">
        <f>AR269</f>
        <v>0</v>
      </c>
      <c r="AT269" s="268">
        <f>AS269</f>
        <v>0</v>
      </c>
      <c r="AU269" s="268">
        <f>AT269</f>
        <v>0</v>
      </c>
      <c r="AV269" s="268">
        <f>AU269</f>
        <v>0</v>
      </c>
      <c r="AW269" s="268">
        <f>AV269</f>
        <v>0</v>
      </c>
      <c r="AX269" s="268">
        <f>AW269</f>
        <v>0</v>
      </c>
      <c r="AY269" s="268">
        <f>AX269</f>
        <v>0</v>
      </c>
      <c r="AZ269" s="268">
        <f>AY269</f>
        <v>0</v>
      </c>
      <c r="BA269" s="268">
        <f>AZ269</f>
        <v>0</v>
      </c>
      <c r="BB269" s="268">
        <f>BA269</f>
        <v>0</v>
      </c>
      <c r="BC269" s="268">
        <f>BB269</f>
        <v>0</v>
      </c>
      <c r="BD269" s="268">
        <f>BC269</f>
        <v>0</v>
      </c>
      <c r="BE269" s="268">
        <f>BD269</f>
        <v>0</v>
      </c>
      <c r="BF269" s="268">
        <f>BE269</f>
        <v>0</v>
      </c>
      <c r="BG269" s="268">
        <f>BF269</f>
        <v>0</v>
      </c>
      <c r="BH269" s="268">
        <f>BG269</f>
        <v>0</v>
      </c>
      <c r="BI269" s="268">
        <f>BH269</f>
        <v>0</v>
      </c>
      <c r="BJ269" s="268">
        <f>BI269</f>
        <v>0</v>
      </c>
      <c r="BK269" s="268">
        <f>BJ269</f>
        <v>0</v>
      </c>
      <c r="BL269" s="268">
        <f>BK269</f>
        <v>0</v>
      </c>
      <c r="BM269" s="268">
        <f>BL269</f>
        <v>0</v>
      </c>
      <c r="BN269" s="268">
        <f>BM269</f>
        <v>0</v>
      </c>
      <c r="BO269" s="268">
        <f>BN269</f>
        <v>0</v>
      </c>
      <c r="BP269" s="268">
        <f>BO269</f>
        <v>0</v>
      </c>
      <c r="BQ269" s="268">
        <f>BP269</f>
        <v>0</v>
      </c>
      <c r="BR269" s="268">
        <f>BQ269</f>
        <v>0</v>
      </c>
      <c r="BS269" s="268">
        <f>BR269</f>
        <v>0</v>
      </c>
      <c r="BT269" s="268">
        <f>BS269</f>
        <v>0</v>
      </c>
      <c r="BU269" s="268">
        <f>BT269</f>
        <v>0</v>
      </c>
      <c r="BV269" s="268">
        <f>BU269</f>
        <v>0</v>
      </c>
      <c r="BW269" s="268">
        <f>BV269</f>
        <v>0</v>
      </c>
      <c r="BX269" s="268">
        <f>BW269</f>
        <v>0</v>
      </c>
      <c r="BY269" s="268">
        <f>BX269</f>
        <v>0</v>
      </c>
      <c r="BZ269" s="268">
        <f>BY269</f>
        <v>0</v>
      </c>
      <c r="CA269" s="268">
        <f>BZ269</f>
        <v>0</v>
      </c>
      <c r="CB269" s="268">
        <f>CA269</f>
        <v>0</v>
      </c>
      <c r="CC269" s="268">
        <f>CB269</f>
        <v>0</v>
      </c>
      <c r="CD269" s="268">
        <f>CC269</f>
        <v>0</v>
      </c>
      <c r="CE269" s="268">
        <f>CD269</f>
        <v>0</v>
      </c>
      <c r="CF269" s="268">
        <f>CE269</f>
        <v>0</v>
      </c>
      <c r="CG269" s="268">
        <f>CF269</f>
        <v>0</v>
      </c>
      <c r="CH269" s="268">
        <f>CG269</f>
        <v>0</v>
      </c>
      <c r="CI269" s="268">
        <f>CH269</f>
        <v>0</v>
      </c>
      <c r="CJ269" s="268">
        <f>CI269</f>
        <v>0</v>
      </c>
      <c r="CK269" s="268">
        <f>CJ269</f>
        <v>0</v>
      </c>
      <c r="CL269" s="268">
        <f>CK269</f>
        <v>0</v>
      </c>
      <c r="CM269" s="268">
        <f>CL269</f>
        <v>0</v>
      </c>
      <c r="CN269" s="268">
        <f>CM269</f>
        <v>0</v>
      </c>
      <c r="CO269" s="268">
        <f>CN269</f>
        <v>0</v>
      </c>
      <c r="CP269" s="268">
        <f>CO269</f>
        <v>0</v>
      </c>
      <c r="CQ269" s="268">
        <f>CP269</f>
        <v>0</v>
      </c>
      <c r="CR269" s="268">
        <f>CQ269</f>
        <v>0</v>
      </c>
      <c r="CS269" s="268">
        <f>CR269</f>
        <v>0</v>
      </c>
      <c r="CT269" s="268">
        <f>CS269</f>
        <v>0</v>
      </c>
      <c r="CU269" s="268">
        <f>CT269</f>
        <v>0</v>
      </c>
      <c r="CV269" s="268">
        <f>CU269</f>
        <v>0</v>
      </c>
      <c r="CW269" s="268">
        <f>CV269</f>
        <v>0</v>
      </c>
      <c r="CX269" s="268">
        <f>CW269</f>
        <v>0</v>
      </c>
      <c r="CY269" s="268">
        <f>CX269</f>
        <v>0</v>
      </c>
    </row>
    <row r="270" ht="12.75" customHeight="1" s="255">
      <c r="C270" s="271" t="inlineStr">
        <is>
          <t>Retained earnings</t>
        </is>
      </c>
      <c r="D270" s="301">
        <f>INDEX('Inputs (2)'!$D$47:$AL$47,MATCH(D$7,'Inputs (2)'!$D$2:$AL$2,0))</f>
        <v>6158</v>
      </c>
      <c r="E270" s="301">
        <f>INDEX('Inputs (2)'!$D$47:$AL$47,MATCH(E$7,'Inputs (2)'!$D$2:$AL$2,0))</f>
        <v>6581</v>
      </c>
      <c r="F270" s="301">
        <f>INDEX('Inputs (2)'!$D$47:$AL$47,MATCH(F$7,'Inputs (2)'!$D$2:$AL$2,0))</f>
        <v>6784</v>
      </c>
      <c r="G270" s="301">
        <f>INDEX('Inputs (2)'!$D$47:$AL$47,MATCH(G$7,'Inputs (2)'!$D$2:$AL$2,0))</f>
        <v>7236</v>
      </c>
      <c r="H270" s="268">
        <f>G270</f>
        <v>7236</v>
      </c>
      <c r="I270" s="301">
        <f>INDEX('Inputs (2)'!$D$47:$AL$47,MATCH(I$7,'Inputs (2)'!$D$2:$AL$2,0))</f>
        <v>7982</v>
      </c>
      <c r="J270" s="301">
        <f>INDEX('Inputs (2)'!$D$47:$AL$47,MATCH(J$7,'Inputs (2)'!$D$2:$AL$2,0))</f>
        <v>8259</v>
      </c>
      <c r="K270" s="301">
        <f>INDEX('Inputs (2)'!$D$47:$AL$47,MATCH(K$7,'Inputs (2)'!$D$2:$AL$2,0))</f>
        <v>8830</v>
      </c>
      <c r="L270" s="301">
        <f>INDEX('Inputs (2)'!$D$47:$AL$47,MATCH(L$7,'Inputs (2)'!$D$2:$AL$2,0))</f>
        <v>8979</v>
      </c>
      <c r="M270" s="268">
        <f>L270</f>
        <v>8979</v>
      </c>
      <c r="N270" s="301">
        <f>INDEX('Inputs (2)'!$D$47:$AL$47,MATCH(N$7,'Inputs (2)'!$D$2:$AL$2,0))</f>
        <v>9581</v>
      </c>
      <c r="O270" s="301">
        <f>INDEX('Inputs (2)'!$D$47:$AL$47,MATCH(O$7,'Inputs (2)'!$D$2:$AL$2,0))</f>
        <v>9692</v>
      </c>
      <c r="P270" s="301">
        <f>INDEX('Inputs (2)'!$D$47:$AL$47,MATCH(P$7,'Inputs (2)'!$D$2:$AL$2,0))</f>
        <v>9980</v>
      </c>
      <c r="Q270" s="301">
        <f>INDEX('Inputs (2)'!$D$47:$AL$47,MATCH(Q$7,'Inputs (2)'!$D$2:$AL$2,0))</f>
        <v>10222</v>
      </c>
      <c r="R270" s="268">
        <f>Q270</f>
        <v>10222</v>
      </c>
      <c r="S270" s="301">
        <f>INDEX('Inputs (2)'!$D$47:$AL$47,MATCH(S$7,'Inputs (2)'!$D$2:$AL$2,0))</f>
        <v>10757</v>
      </c>
      <c r="T270" s="301">
        <f>INDEX('Inputs (2)'!$D$47:$AL$47,MATCH(T$7,'Inputs (2)'!$D$2:$AL$2,0))</f>
        <v>11279</v>
      </c>
      <c r="U270" s="301">
        <f>INDEX('Inputs (2)'!$D$47:$AL$47,MATCH(U$7,'Inputs (2)'!$D$2:$AL$2,0))</f>
        <v>11555</v>
      </c>
      <c r="V270" s="301">
        <f>INDEX('Inputs (2)'!$D$47:$AL$47,MATCH(V$7,'Inputs (2)'!$D$2:$AL$2,0))</f>
        <v>12077</v>
      </c>
      <c r="W270" s="268">
        <f>V270</f>
        <v>12077</v>
      </c>
      <c r="X270" s="301">
        <f>INDEX('Inputs (2)'!$D$47:$AL$47,MATCH(X$7,'Inputs (2)'!$D$2:$AL$2,0))</f>
        <v>12321</v>
      </c>
      <c r="Y270" s="301">
        <f>INDEX('Inputs (2)'!$D$47:$AL$47,MATCH(Y$7,'Inputs (2)'!$D$2:$AL$2,0))</f>
        <v>12005</v>
      </c>
      <c r="Z270" s="301">
        <f>INDEX('Inputs (2)'!$D$47:$AL$47,MATCH(Z$7,'Inputs (2)'!$D$2:$AL$2,0))</f>
        <v>12231</v>
      </c>
      <c r="AA270" s="301">
        <f>INDEX('Inputs (2)'!$D$47:$AL$47,MATCH(AA$7,'Inputs (2)'!$D$2:$AL$2,0))</f>
        <v>12838</v>
      </c>
      <c r="AB270" s="268">
        <f>AA270</f>
        <v>12838</v>
      </c>
      <c r="AC270" s="301">
        <f>INDEX('Inputs (2)'!$D$47:$AL$47,MATCH(AC$7,'Inputs (2)'!$D$2:$AL$2,0))</f>
        <v>13034</v>
      </c>
      <c r="AD270" s="301">
        <f>INDEX('Inputs (2)'!$D$47:$AL$47,MATCH(AD$7,'Inputs (2)'!$D$2:$AL$2,0))</f>
        <v>13011</v>
      </c>
      <c r="AE270" s="301">
        <f>INDEX('Inputs (2)'!$D$47:$AL$47,MATCH(AE$7,'Inputs (2)'!$D$2:$AL$2,0))</f>
        <v>13053</v>
      </c>
      <c r="AF270" s="301">
        <f>INDEX('Inputs (2)'!$D$47:$AL$47,MATCH(AF$7,'Inputs (2)'!$D$2:$AL$2,0))</f>
        <v>13152</v>
      </c>
      <c r="AG270" s="268">
        <f>AF270</f>
        <v>13152</v>
      </c>
      <c r="AH270" s="268">
        <f>INDEX('Inputs (2)'!$D$47:$AL$47,MATCH(AH$7,'Inputs (2)'!$D$2:$AL$2,0))</f>
        <v>13216</v>
      </c>
      <c r="AI270" s="268">
        <f>INDEX('Inputs (2)'!$D$47:$AL$47,MATCH(AI$7,'Inputs (2)'!$D$2:$AL$2,0))</f>
        <v>13339</v>
      </c>
      <c r="AJ270" s="268">
        <f>AI270+AJ137+AJ138</f>
        <v>13328</v>
      </c>
      <c r="AK270" s="268">
        <f>AJ270+AK137+AK138</f>
        <v>13400</v>
      </c>
      <c r="AL270" s="268">
        <f>AK270</f>
        <v>13400</v>
      </c>
      <c r="AM270" s="268">
        <f>AL270+AM137+AM138</f>
        <v>13458</v>
      </c>
      <c r="AN270" s="268">
        <f>AM270+AN137+AN138</f>
        <v>13573</v>
      </c>
      <c r="AO270" s="268">
        <f>AN270+AO137+AO138</f>
        <v>13620</v>
      </c>
      <c r="AP270" s="268">
        <f>AO270+AP137+AP138</f>
        <v>13771</v>
      </c>
      <c r="AQ270" s="268">
        <f>AP270</f>
        <v>13771</v>
      </c>
      <c r="AR270" s="268">
        <f>AQ270+AR137+AR138</f>
        <v>13908</v>
      </c>
      <c r="AS270" s="268">
        <f>AR270+AS137+AS138</f>
        <v>14297</v>
      </c>
      <c r="AT270" s="268">
        <f>AS270+AT137+AT138</f>
        <v>14423</v>
      </c>
      <c r="AU270" s="268">
        <f>AT270+AU137+AU138</f>
        <v>14848</v>
      </c>
      <c r="AV270" s="268">
        <f>AU270</f>
        <v>14848</v>
      </c>
      <c r="AW270" s="268">
        <f>AV270+AW137+AW138</f>
        <v>15259</v>
      </c>
      <c r="AX270" s="268">
        <f>AW270+AX137+AX138</f>
        <v>16354</v>
      </c>
      <c r="AY270" s="268">
        <f>AX270+AY137+AY138</f>
        <v>16754</v>
      </c>
      <c r="AZ270" s="268">
        <f>AY270+AZ137+AZ138</f>
        <v>17885</v>
      </c>
      <c r="BA270" s="268">
        <f>AZ270</f>
        <v>17885</v>
      </c>
      <c r="BB270" s="268">
        <f>BA270+BB137+BB138</f>
        <v>19002</v>
      </c>
      <c r="BC270" s="268">
        <f>BB270+BC137+BC138</f>
        <v>22057</v>
      </c>
      <c r="BD270" s="268">
        <f>BC270+BD137+BD138</f>
        <v>23163</v>
      </c>
      <c r="BE270" s="268">
        <f>BD270+BE137+BE138</f>
        <v>26254</v>
      </c>
      <c r="BF270" s="268">
        <f>BE270</f>
        <v>26254</v>
      </c>
      <c r="BG270" s="268">
        <f>BF270+BG137+BG138</f>
        <v>29331</v>
      </c>
      <c r="BH270" s="268">
        <f>BG270+BH137+BH138</f>
        <v>37718</v>
      </c>
      <c r="BI270" s="268">
        <f>BH270+BI137+BI138</f>
        <v>40784</v>
      </c>
      <c r="BJ270" s="268">
        <f>BI270+BJ137+BJ138</f>
        <v>49207</v>
      </c>
      <c r="BK270" s="268">
        <f>BJ270</f>
        <v>49207</v>
      </c>
      <c r="BL270" s="268">
        <f>BK270+BL137+BL138</f>
        <v>57616</v>
      </c>
      <c r="BM270" s="268">
        <f>BL270+BM137+BM138</f>
        <v>80587</v>
      </c>
      <c r="BN270" s="268">
        <f>BM270+BN137+BN138</f>
        <v>88985</v>
      </c>
      <c r="BO270" s="268">
        <f>BN270+BO137+BO138</f>
        <v>111992</v>
      </c>
      <c r="BP270" s="268">
        <f>BO270</f>
        <v>111992</v>
      </c>
      <c r="BQ270" s="268">
        <f>BP270+BQ137+BQ138</f>
        <v>134985</v>
      </c>
      <c r="BR270" s="268">
        <f>BQ270+BR137+BR138</f>
        <v>197788</v>
      </c>
      <c r="BS270" s="268">
        <f>BR270+BS137+BS138</f>
        <v>220770</v>
      </c>
      <c r="BT270" s="268">
        <f>BS270+BT137+BT138</f>
        <v>283609</v>
      </c>
      <c r="BU270" s="268">
        <f>BT270</f>
        <v>283609</v>
      </c>
      <c r="BV270" s="268">
        <f>BU270+BV137+BV138</f>
        <v>346434</v>
      </c>
      <c r="BW270" s="268">
        <f>BV270+BW137+BW138</f>
        <v>518069</v>
      </c>
      <c r="BX270" s="268">
        <f>BW270+BX137+BX138</f>
        <v>580883</v>
      </c>
      <c r="BY270" s="268">
        <f>BX270+BY137+BY138</f>
        <v>752554</v>
      </c>
      <c r="BZ270" s="268">
        <f>BY270</f>
        <v>752554</v>
      </c>
      <c r="CA270" s="268">
        <f>BZ270+CA137+CA138</f>
        <v>924211</v>
      </c>
      <c r="CB270" s="268">
        <f>CA270+CB137+CB138</f>
        <v>1393174</v>
      </c>
      <c r="CC270" s="268">
        <f>CB270+CC137+CC138</f>
        <v>1564820</v>
      </c>
      <c r="CD270" s="268">
        <f>CC270+CD137+CD138</f>
        <v>2033819</v>
      </c>
      <c r="CE270" s="268">
        <f>CD270</f>
        <v>2033819</v>
      </c>
      <c r="CF270" s="268">
        <f>CE270+CF137+CF138</f>
        <v>2502804</v>
      </c>
      <c r="CG270" s="268">
        <f>CF270+CG137+CG138</f>
        <v>3784087</v>
      </c>
      <c r="CH270" s="268">
        <f>CG270+CH137+CH138</f>
        <v>4253061</v>
      </c>
      <c r="CI270" s="268">
        <f>CH270+CI137+CI138</f>
        <v>5534380</v>
      </c>
      <c r="CJ270" s="268">
        <f>CI270</f>
        <v>5534380</v>
      </c>
      <c r="CK270" s="268">
        <f>CJ270+CK137+CK138</f>
        <v>6815685</v>
      </c>
      <c r="CL270" s="268">
        <f>CK270+CL137+CL138</f>
        <v>10316264</v>
      </c>
      <c r="CM270" s="268">
        <f>CL270+CM137+CM138</f>
        <v>11597558</v>
      </c>
      <c r="CN270" s="268">
        <f>CM270+CN137+CN138</f>
        <v>15098173</v>
      </c>
      <c r="CO270" s="268">
        <f>CN270</f>
        <v>15098173</v>
      </c>
      <c r="CP270" s="268">
        <f>CO270+CP137+CP138</f>
        <v>18598774</v>
      </c>
      <c r="CQ270" s="268">
        <f>CP270+CQ137+CQ138</f>
        <v>28162585</v>
      </c>
      <c r="CR270" s="268">
        <f>CQ270+CR137+CR138</f>
        <v>31663175</v>
      </c>
      <c r="CS270" s="268">
        <f>CR270+CS137+CS138</f>
        <v>41227022</v>
      </c>
      <c r="CT270" s="268">
        <f>CS270</f>
        <v>41227022</v>
      </c>
      <c r="CU270" s="268">
        <f>CT270+CU137+CU138</f>
        <v>50790855</v>
      </c>
      <c r="CV270" s="268">
        <f>CU270+CV137+CV138</f>
        <v>76919722</v>
      </c>
      <c r="CW270" s="268">
        <f>CV270+CW137+CW138</f>
        <v>86483544</v>
      </c>
      <c r="CX270" s="268">
        <f>CW270+CX137+CX138</f>
        <v>112612447</v>
      </c>
      <c r="CY270" s="268">
        <f>CX270</f>
        <v>112612447</v>
      </c>
    </row>
    <row r="271" ht="12.75" customFormat="1" customHeight="1" s="287">
      <c r="A271" s="288" t="inlineStr">
        <is>
          <t xml:space="preserve"> </t>
        </is>
      </c>
      <c r="B271" s="288" t="n"/>
      <c r="C271" s="321" t="inlineStr">
        <is>
          <t>Total Shareholders' Equity</t>
        </is>
      </c>
      <c r="D271" s="276">
        <f>SUM(D248+D253+D254+D267+D268+D269+D270)</f>
        <v>5366</v>
      </c>
      <c r="E271" s="276">
        <f>SUM(E248+E253+E254+E267+E268+E269+E270)</f>
        <v>5606</v>
      </c>
      <c r="F271" s="276">
        <f>SUM(F248+F253+F254+F267+F268+F269+F270)</f>
        <v>5854</v>
      </c>
      <c r="G271" s="276">
        <f>SUM(G248+G253+G254+G267+G268+G269+G270)</f>
        <v>6620</v>
      </c>
      <c r="H271" s="276">
        <f>SUM(H248,H253,H254,H267,H268,H269,H270)</f>
        <v>6620</v>
      </c>
      <c r="I271" s="276">
        <f>SUM(I248+I253+I254+I267+I268+I269+I270)</f>
        <v>7254</v>
      </c>
      <c r="J271" s="276">
        <f>SUM(J248+J253+J254+J267+J268+J269+J270)</f>
        <v>7814</v>
      </c>
      <c r="K271" s="276">
        <f>SUM(K248+K253+K254+K267+K268+K269+K270)</f>
        <v>8034</v>
      </c>
      <c r="L271" s="276">
        <f>SUM(L248+L253+L254+L267+L268+L269+L270)</f>
        <v>8206</v>
      </c>
      <c r="M271" s="276">
        <f>SUM(M248,M253,M254,M267,M268,M269,M270)</f>
        <v>8206</v>
      </c>
      <c r="N271" s="276">
        <f>SUM(N248+N253+N254+N267+N268+N269+N270)</f>
        <v>9111</v>
      </c>
      <c r="O271" s="276">
        <f>SUM(O248+O253+O254+O267+O268+O269+O270)</f>
        <v>9540</v>
      </c>
      <c r="P271" s="276">
        <f>SUM(P248+P253+P254+P267+P268+P269+P270)</f>
        <v>9373</v>
      </c>
      <c r="Q271" s="276">
        <f>SUM(Q248+Q253+Q254+Q267+Q268+Q269+Q270)</f>
        <v>9960</v>
      </c>
      <c r="R271" s="276">
        <f>SUM(R248,R253,R254,R267,R268,R269,R270)</f>
        <v>9960</v>
      </c>
      <c r="S271" s="276">
        <f>SUM(S248+S253+S254+S267+S268+S269+S270)</f>
        <v>10723</v>
      </c>
      <c r="T271" s="276">
        <f>SUM(T248+T253+T254+T267+T268+T269+T270)</f>
        <v>11362</v>
      </c>
      <c r="U271" s="276">
        <f>SUM(U248+U253+U254+U267+U268+U269+U270)</f>
        <v>11146</v>
      </c>
      <c r="V271" s="276">
        <f>SUM(V248+V253+V254+V267+V268+V269+V270)</f>
        <v>11814</v>
      </c>
      <c r="W271" s="276">
        <f>SUM(W248,W253,W254,W267,W268,W269,W270)</f>
        <v>11814</v>
      </c>
      <c r="X271" s="276">
        <f>SUM(X248+X253+X254+X267+X268+X269+X270)</f>
        <v>11528</v>
      </c>
      <c r="Y271" s="276">
        <f>SUM(Y248+Y253+Y254+Y267+Y268+Y269+Y270)</f>
        <v>10984</v>
      </c>
      <c r="Z271" s="276">
        <f>SUM(Z248+Z253+Z254+Z267+Z268+Z269+Z270)</f>
        <v>11157</v>
      </c>
      <c r="AA271" s="276">
        <f>SUM(AA248+AA253+AA254+AA267+AA268+AA269+AA270)</f>
        <v>10948</v>
      </c>
      <c r="AB271" s="276">
        <f>SUM(AB248,AB253,AB254,AB267,AB268,AB269,AB270)</f>
        <v>10948</v>
      </c>
      <c r="AC271" s="276">
        <f>SUM(AC248+AC253+AC254+AC267+AC268+AC269+AC270)</f>
        <v>11592</v>
      </c>
      <c r="AD271" s="276">
        <f>SUM(AD248+AD253+AD254+AD267+AD268+AD269+AD270)</f>
        <v>11955</v>
      </c>
      <c r="AE271" s="276">
        <f>SUM(AE248+AE253+AE254+AE267+AE268+AE269+AE270)</f>
        <v>17289</v>
      </c>
      <c r="AF271" s="276">
        <f>SUM(AF248+AF253+AF254+AF267+AF268+AF269+AF270)</f>
        <v>17420</v>
      </c>
      <c r="AG271" s="276">
        <f>SUM(AG248,AG253,AG254,AG267,AG268,AG269,AG270)</f>
        <v>17420</v>
      </c>
      <c r="AH271" s="276">
        <f>SUM(AH248+AH253+AH254+AH267+AH268+AH269+AH270)</f>
        <v>17475</v>
      </c>
      <c r="AI271" s="276">
        <f>SUM(AI248+AI253+AI254+AI267+AI268+AI269+AI270)</f>
        <v>17408</v>
      </c>
      <c r="AJ271" s="276">
        <f>SUM(AJ248+AJ253+AJ254+AJ267+AJ268+AJ269+AJ270)</f>
        <v>17412</v>
      </c>
      <c r="AK271" s="276">
        <f>SUM(AK248+AK253+AK254+AK267+AK268+AK269+AK270)</f>
        <v>17477</v>
      </c>
      <c r="AL271" s="276">
        <f>SUM(AL248,AL253,AL254,AL267,AL268,AL269,AL270)</f>
        <v>17477</v>
      </c>
      <c r="AM271" s="276">
        <f>SUM(AM248+AM253+AM254+AM267+AM268+AM269+AM270)</f>
        <v>17542</v>
      </c>
      <c r="AN271" s="276">
        <f>SUM(AN248+AN253+AN254+AN267+AN268+AN269+AN270)</f>
        <v>17686</v>
      </c>
      <c r="AO271" s="276">
        <f>SUM(AO248+AO253+AO254+AO267+AO268+AO269+AO270)</f>
        <v>17748</v>
      </c>
      <c r="AP271" s="276">
        <f>SUM(AP248+AP253+AP254+AP267+AP268+AP269+AP270)</f>
        <v>17892</v>
      </c>
      <c r="AQ271" s="276">
        <f>SUM(AQ248,AQ253,AQ254,AQ267,AQ268,AQ269,AQ270)</f>
        <v>17892</v>
      </c>
      <c r="AR271" s="276">
        <f>SUM(AR248+AR253+AR254+AR267+AR268+AR269+AR270)</f>
        <v>18036</v>
      </c>
      <c r="AS271" s="276">
        <f>SUM(AS248+AS253+AS254+AS267+AS268+AS269+AS270)</f>
        <v>18454</v>
      </c>
      <c r="AT271" s="276">
        <f>SUM(AT248+AT253+AT254+AT267+AT268+AT269+AT270)</f>
        <v>18595</v>
      </c>
      <c r="AU271" s="276">
        <f>SUM(AU248+AU253+AU254+AU267+AU268+AU269+AU270)</f>
        <v>19013</v>
      </c>
      <c r="AV271" s="276">
        <f>SUM(AV248,AV253,AV254,AV267,AV268,AV269,AV270)</f>
        <v>19013</v>
      </c>
      <c r="AW271" s="276">
        <f>SUM(AW248+AW253+AW254+AW267+AW268+AW269+AW270)</f>
        <v>19431</v>
      </c>
      <c r="AX271" s="276">
        <f>SUM(AX248+AX253+AX254+AX267+AX268+AX269+AX270)</f>
        <v>20555</v>
      </c>
      <c r="AY271" s="276">
        <f>SUM(AY248+AY253+AY254+AY267+AY268+AY269+AY270)</f>
        <v>20970</v>
      </c>
      <c r="AZ271" s="276">
        <f>SUM(AZ248+AZ253+AZ254+AZ267+AZ268+AZ269+AZ270)</f>
        <v>22094</v>
      </c>
      <c r="BA271" s="276">
        <f>SUM(BA248,BA253,BA254,BA267,BA268,BA269,BA270)</f>
        <v>22094</v>
      </c>
      <c r="BB271" s="276">
        <f>SUM(BB248+BB253+BB254+BB267+BB268+BB269+BB270)</f>
        <v>23218</v>
      </c>
      <c r="BC271" s="276">
        <f>SUM(BC248+BC253+BC254+BC267+BC268+BC269+BC270)</f>
        <v>26302</v>
      </c>
      <c r="BD271" s="276">
        <f>SUM(BD248+BD253+BD254+BD267+BD268+BD269+BD270)</f>
        <v>27423</v>
      </c>
      <c r="BE271" s="276">
        <f>SUM(BE248+BE253+BE254+BE267+BE268+BE269+BE270)</f>
        <v>30507</v>
      </c>
      <c r="BF271" s="276">
        <f>SUM(BF248,BF253,BF254,BF267,BF268,BF269,BF270)</f>
        <v>30507</v>
      </c>
      <c r="BG271" s="276">
        <f>SUM(BG248+BG253+BG254+BG267+BG268+BG269+BG270)</f>
        <v>33591</v>
      </c>
      <c r="BH271" s="276">
        <f>SUM(BH248+BH253+BH254+BH267+BH268+BH269+BH270)</f>
        <v>42007</v>
      </c>
      <c r="BI271" s="276">
        <f>SUM(BI248+BI253+BI254+BI267+BI268+BI269+BI270)</f>
        <v>45088</v>
      </c>
      <c r="BJ271" s="276">
        <f>SUM(BJ248+BJ253+BJ254+BJ267+BJ268+BJ269+BJ270)</f>
        <v>53504</v>
      </c>
      <c r="BK271" s="276">
        <f>SUM(BK248,BK253,BK254,BK267,BK268,BK269,BK270)</f>
        <v>53504</v>
      </c>
      <c r="BL271" s="276">
        <f>SUM(BL248+BL253+BL254+BL267+BL268+BL269+BL270)</f>
        <v>61920</v>
      </c>
      <c r="BM271" s="276">
        <f>SUM(BM248+BM253+BM254+BM267+BM268+BM269+BM270)</f>
        <v>84920</v>
      </c>
      <c r="BN271" s="276">
        <f>SUM(BN248+BN253+BN254+BN267+BN268+BN269+BN270)</f>
        <v>93333</v>
      </c>
      <c r="BO271" s="276">
        <f>SUM(BO248+BO253+BO254+BO267+BO268+BO269+BO270)</f>
        <v>116333</v>
      </c>
      <c r="BP271" s="276">
        <f>SUM(BP248,BP253,BP254,BP267,BP268,BP269,BP270)</f>
        <v>116333</v>
      </c>
      <c r="BQ271" s="276">
        <f>SUM(BQ248+BQ253+BQ254+BQ267+BQ268+BQ269+BQ270)</f>
        <v>139333</v>
      </c>
      <c r="BR271" s="276">
        <f>SUM(BR248+BR253+BR254+BR267+BR268+BR269+BR270)</f>
        <v>202165</v>
      </c>
      <c r="BS271" s="276">
        <f>SUM(BS248+BS253+BS254+BS267+BS268+BS269+BS270)</f>
        <v>225162</v>
      </c>
      <c r="BT271" s="276">
        <f>SUM(BT248+BT253+BT254+BT267+BT268+BT269+BT270)</f>
        <v>287994</v>
      </c>
      <c r="BU271" s="276">
        <f>SUM(BU248,BU253,BU254,BU267,BU268,BU269,BU270)</f>
        <v>287994</v>
      </c>
      <c r="BV271" s="276">
        <f>SUM(BV248+BV253+BV254+BV267+BV268+BV269+BV270)</f>
        <v>350826</v>
      </c>
      <c r="BW271" s="276">
        <f>SUM(BW248+BW253+BW254+BW267+BW268+BW269+BW270)</f>
        <v>522490</v>
      </c>
      <c r="BX271" s="276">
        <f>SUM(BX248+BX253+BX254+BX267+BX268+BX269+BX270)</f>
        <v>585319</v>
      </c>
      <c r="BY271" s="276">
        <f>SUM(BY248+BY253+BY254+BY267+BY268+BY269+BY270)</f>
        <v>756983</v>
      </c>
      <c r="BZ271" s="276">
        <f>SUM(BZ248,BZ253,BZ254,BZ267,BZ268,BZ269,BZ270)</f>
        <v>756983</v>
      </c>
      <c r="CA271" s="276">
        <f>SUM(CA248+CA253+CA254+CA267+CA268+CA269+CA270)</f>
        <v>928647</v>
      </c>
      <c r="CB271" s="276">
        <f>SUM(CB248+CB253+CB254+CB267+CB268+CB269+CB270)</f>
        <v>1397639</v>
      </c>
      <c r="CC271" s="276">
        <f>SUM(CC248+CC253+CC254+CC267+CC268+CC269+CC270)</f>
        <v>1569300</v>
      </c>
      <c r="CD271" s="276">
        <f>SUM(CD248+CD253+CD254+CD267+CD268+CD269+CD270)</f>
        <v>2038292</v>
      </c>
      <c r="CE271" s="276">
        <f>SUM(CE248,CE253,CE254,CE267,CE268,CE269,CE270)</f>
        <v>2038292</v>
      </c>
      <c r="CF271" s="276">
        <f>SUM(CF248+CF253+CF254+CF267+CF268+CF269+CF270)</f>
        <v>2507284</v>
      </c>
      <c r="CG271" s="276">
        <f>SUM(CG248+CG253+CG254+CG267+CG268+CG269+CG270)</f>
        <v>3788596</v>
      </c>
      <c r="CH271" s="276">
        <f>SUM(CH248+CH253+CH254+CH267+CH268+CH269+CH270)</f>
        <v>4257585</v>
      </c>
      <c r="CI271" s="276">
        <f>SUM(CI248+CI253+CI254+CI267+CI268+CI269+CI270)</f>
        <v>5538897</v>
      </c>
      <c r="CJ271" s="276">
        <f>SUM(CJ248,CJ253,CJ254,CJ267,CJ268,CJ269,CJ270)</f>
        <v>5538897</v>
      </c>
      <c r="CK271" s="276">
        <f>SUM(CK248+CK253+CK254+CK267+CK268+CK269+CK270)</f>
        <v>6820209</v>
      </c>
      <c r="CL271" s="276">
        <f>SUM(CL248+CL253+CL254+CL267+CL268+CL269+CL270)</f>
        <v>10320817</v>
      </c>
      <c r="CM271" s="276">
        <f>SUM(CM248+CM253+CM254+CM267+CM268+CM269+CM270)</f>
        <v>11602126</v>
      </c>
      <c r="CN271" s="276">
        <f>SUM(CN248+CN253+CN254+CN267+CN268+CN269+CN270)</f>
        <v>15102734</v>
      </c>
      <c r="CO271" s="276">
        <f>SUM(CO248,CO253,CO254,CO267,CO268,CO269,CO270)</f>
        <v>15102734</v>
      </c>
      <c r="CP271" s="276">
        <f>SUM(CP248+CP253+CP254+CP267+CP268+CP269+CP270)</f>
        <v>18603342</v>
      </c>
      <c r="CQ271" s="276">
        <f>SUM(CQ248+CQ253+CQ254+CQ267+CQ268+CQ269+CQ270)</f>
        <v>28167182</v>
      </c>
      <c r="CR271" s="276">
        <f>SUM(CR248+CR253+CR254+CR267+CR268+CR269+CR270)</f>
        <v>31667787</v>
      </c>
      <c r="CS271" s="276">
        <f>SUM(CS248+CS253+CS254+CS267+CS268+CS269+CS270)</f>
        <v>41231627</v>
      </c>
      <c r="CT271" s="276">
        <f>SUM(CT248,CT253,CT254,CT267,CT268,CT269,CT270)</f>
        <v>41231627</v>
      </c>
      <c r="CU271" s="276">
        <f>SUM(CU248+CU253+CU254+CU267+CU268+CU269+CU270)</f>
        <v>50795467</v>
      </c>
      <c r="CV271" s="276">
        <f>SUM(CV248+CV253+CV254+CV267+CV268+CV269+CV270)</f>
        <v>76924363</v>
      </c>
      <c r="CW271" s="276">
        <f>SUM(CW248+CW253+CW254+CW267+CW268+CW269+CW270)</f>
        <v>86488200</v>
      </c>
      <c r="CX271" s="276">
        <f>SUM(CX248+CX253+CX254+CX267+CX268+CX269+CX270)</f>
        <v>112617096</v>
      </c>
      <c r="CY271" s="276">
        <f>SUM(CY248,CY253,CY254,CY267,CY268,CY269,CY270)</f>
        <v>112617096</v>
      </c>
    </row>
    <row r="272" ht="12.75" customHeight="1" s="255">
      <c r="C272" s="266" t="n"/>
      <c r="D272" s="268" t="n"/>
      <c r="E272" s="268" t="n"/>
      <c r="F272" s="268" t="n"/>
      <c r="G272" s="268" t="n"/>
      <c r="H272" s="268" t="n"/>
      <c r="I272" s="268" t="n"/>
      <c r="J272" s="268" t="n"/>
      <c r="K272" s="268" t="n"/>
      <c r="L272" s="268" t="n"/>
      <c r="M272" s="268" t="n"/>
      <c r="N272" s="268" t="n"/>
      <c r="O272" s="268" t="n"/>
      <c r="P272" s="268" t="n"/>
      <c r="Q272" s="268" t="n"/>
      <c r="R272" s="268" t="n"/>
      <c r="S272" s="268" t="n"/>
      <c r="T272" s="268" t="n"/>
      <c r="U272" s="268" t="n"/>
      <c r="V272" s="268" t="n"/>
      <c r="W272" s="268" t="n"/>
      <c r="X272" s="268" t="n"/>
      <c r="Y272" s="268" t="n"/>
      <c r="Z272" s="268" t="n"/>
      <c r="AA272" s="268" t="n"/>
      <c r="AB272" s="268" t="n"/>
      <c r="AC272" s="268" t="n"/>
      <c r="AD272" s="268" t="n"/>
      <c r="AE272" s="268" t="n"/>
      <c r="AF272" s="268" t="n"/>
      <c r="AG272" s="268" t="n"/>
      <c r="AH272" s="268" t="n"/>
      <c r="AI272" s="268" t="n"/>
      <c r="AJ272" s="268" t="n"/>
      <c r="AK272" s="268" t="n"/>
      <c r="AL272" s="268" t="n"/>
      <c r="AM272" s="268" t="n"/>
      <c r="AN272" s="268" t="n"/>
      <c r="AO272" s="268" t="n"/>
      <c r="AP272" s="268" t="n"/>
      <c r="AQ272" s="268" t="n"/>
      <c r="AR272" s="268" t="n"/>
      <c r="AS272" s="268" t="n"/>
      <c r="AT272" s="268" t="n"/>
      <c r="AU272" s="268" t="n"/>
      <c r="AV272" s="268" t="n"/>
      <c r="AW272" s="268" t="n"/>
      <c r="AX272" s="268" t="n"/>
      <c r="AY272" s="268" t="n"/>
      <c r="AZ272" s="268" t="n"/>
      <c r="BA272" s="268" t="n"/>
      <c r="BB272" s="268" t="n"/>
      <c r="BC272" s="268" t="n"/>
      <c r="BD272" s="268" t="n"/>
      <c r="BE272" s="268" t="n"/>
      <c r="BF272" s="268" t="n"/>
      <c r="BG272" s="268" t="n"/>
      <c r="BH272" s="268" t="n"/>
      <c r="BI272" s="268" t="n"/>
      <c r="BJ272" s="268" t="n"/>
      <c r="BK272" s="268" t="n"/>
      <c r="BL272" s="268" t="n"/>
      <c r="BM272" s="268" t="n"/>
      <c r="BN272" s="268" t="n"/>
      <c r="BO272" s="268" t="n"/>
      <c r="BP272" s="268" t="n"/>
      <c r="BQ272" s="268" t="n"/>
      <c r="BR272" s="268" t="n"/>
      <c r="BS272" s="268" t="n"/>
      <c r="BT272" s="268" t="n"/>
      <c r="BU272" s="268" t="n"/>
      <c r="BV272" s="268" t="n"/>
      <c r="BW272" s="268" t="n"/>
      <c r="BX272" s="268" t="n"/>
      <c r="BY272" s="268" t="n"/>
      <c r="BZ272" s="268" t="n"/>
      <c r="CA272" s="268" t="n"/>
      <c r="CB272" s="268" t="n"/>
      <c r="CC272" s="268" t="n"/>
      <c r="CD272" s="268" t="n"/>
      <c r="CE272" s="268" t="n"/>
      <c r="CF272" s="268" t="n"/>
      <c r="CG272" s="268" t="n"/>
      <c r="CH272" s="268" t="n"/>
      <c r="CI272" s="268" t="n"/>
      <c r="CJ272" s="268" t="n"/>
      <c r="CK272" s="268" t="n"/>
      <c r="CL272" s="268" t="n"/>
      <c r="CM272" s="268" t="n"/>
      <c r="CN272" s="268" t="n"/>
      <c r="CO272" s="268" t="n"/>
      <c r="CP272" s="268" t="n"/>
      <c r="CQ272" s="268" t="n"/>
      <c r="CR272" s="268" t="n"/>
      <c r="CS272" s="268" t="n"/>
      <c r="CT272" s="268" t="n"/>
      <c r="CU272" s="268" t="n"/>
      <c r="CV272" s="268" t="n"/>
      <c r="CW272" s="268" t="n"/>
      <c r="CX272" s="268" t="n"/>
      <c r="CY272" s="268" t="n"/>
    </row>
    <row r="273" ht="12.75" customFormat="1" customHeight="1" s="287">
      <c r="A273" s="288" t="n"/>
      <c r="B273" s="259" t="n"/>
      <c r="C273" s="275" t="inlineStr">
        <is>
          <t>Total Liabilities + Shareholders' Equity</t>
        </is>
      </c>
      <c r="D273" s="276">
        <f>D271+D247</f>
        <v>18596</v>
      </c>
      <c r="E273" s="276">
        <f>E271+E247</f>
        <v>18559</v>
      </c>
      <c r="F273" s="276">
        <f>F271+F247</f>
        <v>20761</v>
      </c>
      <c r="G273" s="276">
        <f>G271+G247</f>
        <v>23655</v>
      </c>
      <c r="H273" s="276">
        <f>H271+H247</f>
        <v>23655</v>
      </c>
      <c r="I273" s="276">
        <f>I271+I247</f>
        <v>24533</v>
      </c>
      <c r="J273" s="276">
        <f>J271+J247</f>
        <v>25085</v>
      </c>
      <c r="K273" s="276">
        <f>K271+K247</f>
        <v>24109</v>
      </c>
      <c r="L273" s="276">
        <f>L271+L247</f>
        <v>23819</v>
      </c>
      <c r="M273" s="276">
        <f>M271+M247</f>
        <v>23819</v>
      </c>
      <c r="N273" s="276">
        <f>N271+N247</f>
        <v>28724</v>
      </c>
      <c r="O273" s="276">
        <f>O271+O247</f>
        <v>27419</v>
      </c>
      <c r="P273" s="276">
        <f>P271+P247</f>
        <v>24792</v>
      </c>
      <c r="Q273" s="276">
        <f>Q271+Q247</f>
        <v>24580</v>
      </c>
      <c r="R273" s="276">
        <f>R271+R247</f>
        <v>24580</v>
      </c>
      <c r="S273" s="276">
        <f>S271+S247</f>
        <v>27110</v>
      </c>
      <c r="T273" s="276">
        <f>T271+T247</f>
        <v>25712</v>
      </c>
      <c r="U273" s="276">
        <f>U271+U247</f>
        <v>25133</v>
      </c>
      <c r="V273" s="276">
        <f>V271+V247</f>
        <v>25372</v>
      </c>
      <c r="W273" s="276">
        <f>W271+W247</f>
        <v>25372</v>
      </c>
      <c r="X273" s="276">
        <f>X271+X247</f>
        <v>25821</v>
      </c>
      <c r="Y273" s="276">
        <f>Y271+Y247</f>
        <v>24428</v>
      </c>
      <c r="Z273" s="276">
        <f>Z271+Z247</f>
        <v>25267</v>
      </c>
      <c r="AA273" s="276">
        <f>AA271+AA247</f>
        <v>24899</v>
      </c>
      <c r="AB273" s="276">
        <f>AB271+AB247</f>
        <v>24899</v>
      </c>
      <c r="AC273" s="276">
        <f>AC271+AC247</f>
        <v>26660</v>
      </c>
      <c r="AD273" s="276">
        <f>AD271+AD247</f>
        <v>31154</v>
      </c>
      <c r="AE273" s="276">
        <f>AE271+AE247</f>
        <v>46298</v>
      </c>
      <c r="AF273" s="276">
        <f>AF271+AF247</f>
        <v>44528</v>
      </c>
      <c r="AG273" s="276">
        <f>AG271+AG247</f>
        <v>44528</v>
      </c>
      <c r="AH273" s="276">
        <f>AH271+AH247</f>
        <v>47576</v>
      </c>
      <c r="AI273" s="276">
        <f>AI271+AI247</f>
        <v>46782</v>
      </c>
      <c r="AJ273" s="276">
        <f>AJ271+AJ247</f>
        <v>41416</v>
      </c>
      <c r="AK273" s="276">
        <f>AK271+AK247</f>
        <v>41481</v>
      </c>
      <c r="AL273" s="276">
        <f>AL271+AL247</f>
        <v>41481</v>
      </c>
      <c r="AM273" s="276" t="e">
        <f>AM271+AM247</f>
        <v>#DIV/0!</v>
      </c>
      <c r="AN273" s="276">
        <f>AN271+AN247</f>
        <v>41690</v>
      </c>
      <c r="AO273" s="276" t="e">
        <f>AO271+AO247</f>
        <v>#DIV/0!</v>
      </c>
      <c r="AP273" s="276" t="e">
        <f>AP271+AP247</f>
        <v>#DIV/0!</v>
      </c>
      <c r="AQ273" s="276" t="e">
        <f>AQ271+AQ247</f>
        <v>#DIV/0!</v>
      </c>
      <c r="AR273" s="276" t="e">
        <f>AR271+AR247</f>
        <v>#DIV/0!</v>
      </c>
      <c r="AS273" s="276" t="e">
        <f>AS271+AS247</f>
        <v>#DIV/0!</v>
      </c>
      <c r="AT273" s="276" t="e">
        <f>AT271+AT247</f>
        <v>#DIV/0!</v>
      </c>
      <c r="AU273" s="276" t="e">
        <f>AU271+AU247</f>
        <v>#DIV/0!</v>
      </c>
      <c r="AV273" s="276" t="e">
        <f>AV271+AV247</f>
        <v>#DIV/0!</v>
      </c>
      <c r="AW273" s="276" t="e">
        <f>AW271+AW247</f>
        <v>#DIV/0!</v>
      </c>
      <c r="AX273" s="276" t="e">
        <f>AX271+AX247</f>
        <v>#DIV/0!</v>
      </c>
      <c r="AY273" s="276" t="e">
        <f>AY271+AY247</f>
        <v>#DIV/0!</v>
      </c>
      <c r="AZ273" s="276" t="e">
        <f>AZ271+AZ247</f>
        <v>#DIV/0!</v>
      </c>
      <c r="BA273" s="276" t="e">
        <f>BA271+BA247</f>
        <v>#DIV/0!</v>
      </c>
      <c r="BB273" s="276" t="e">
        <f>BB271+BB247</f>
        <v>#DIV/0!</v>
      </c>
      <c r="BC273" s="276" t="e">
        <f>BC271+BC247</f>
        <v>#DIV/0!</v>
      </c>
      <c r="BD273" s="276" t="e">
        <f>BD271+BD247</f>
        <v>#DIV/0!</v>
      </c>
      <c r="BE273" s="276" t="e">
        <f>BE271+BE247</f>
        <v>#DIV/0!</v>
      </c>
      <c r="BF273" s="276" t="e">
        <f>BF271+BF247</f>
        <v>#DIV/0!</v>
      </c>
      <c r="BG273" s="276" t="e">
        <f>BG271+BG247</f>
        <v>#DIV/0!</v>
      </c>
      <c r="BH273" s="276" t="e">
        <f>BH271+BH247</f>
        <v>#DIV/0!</v>
      </c>
      <c r="BI273" s="276" t="e">
        <f>BI271+BI247</f>
        <v>#DIV/0!</v>
      </c>
      <c r="BJ273" s="276" t="e">
        <f>BJ271+BJ247</f>
        <v>#DIV/0!</v>
      </c>
      <c r="BK273" s="276" t="e">
        <f>BK271+BK247</f>
        <v>#DIV/0!</v>
      </c>
      <c r="BL273" s="276" t="e">
        <f>BL271+BL247</f>
        <v>#DIV/0!</v>
      </c>
      <c r="BM273" s="276" t="e">
        <f>BM271+BM247</f>
        <v>#DIV/0!</v>
      </c>
      <c r="BN273" s="276" t="e">
        <f>BN271+BN247</f>
        <v>#DIV/0!</v>
      </c>
      <c r="BO273" s="276" t="e">
        <f>BO271+BO247</f>
        <v>#DIV/0!</v>
      </c>
      <c r="BP273" s="276" t="e">
        <f>BP271+BP247</f>
        <v>#DIV/0!</v>
      </c>
      <c r="BQ273" s="276" t="e">
        <f>BQ271+BQ247</f>
        <v>#DIV/0!</v>
      </c>
      <c r="BR273" s="276" t="e">
        <f>BR271+BR247</f>
        <v>#DIV/0!</v>
      </c>
      <c r="BS273" s="276" t="e">
        <f>BS271+BS247</f>
        <v>#DIV/0!</v>
      </c>
      <c r="BT273" s="276" t="e">
        <f>BT271+BT247</f>
        <v>#DIV/0!</v>
      </c>
      <c r="BU273" s="276" t="e">
        <f>BU271+BU247</f>
        <v>#DIV/0!</v>
      </c>
      <c r="BV273" s="276" t="e">
        <f>BV271+BV247</f>
        <v>#DIV/0!</v>
      </c>
      <c r="BW273" s="276" t="e">
        <f>BW271+BW247</f>
        <v>#DIV/0!</v>
      </c>
      <c r="BX273" s="276" t="e">
        <f>BX271+BX247</f>
        <v>#DIV/0!</v>
      </c>
      <c r="BY273" s="276" t="e">
        <f>BY271+BY247</f>
        <v>#DIV/0!</v>
      </c>
      <c r="BZ273" s="276" t="e">
        <f>BZ271+BZ247</f>
        <v>#DIV/0!</v>
      </c>
      <c r="CA273" s="276" t="e">
        <f>CA271+CA247</f>
        <v>#DIV/0!</v>
      </c>
      <c r="CB273" s="276" t="e">
        <f>CB271+CB247</f>
        <v>#DIV/0!</v>
      </c>
      <c r="CC273" s="276" t="e">
        <f>CC271+CC247</f>
        <v>#DIV/0!</v>
      </c>
      <c r="CD273" s="276" t="e">
        <f>CD271+CD247</f>
        <v>#DIV/0!</v>
      </c>
      <c r="CE273" s="276" t="e">
        <f>CE271+CE247</f>
        <v>#DIV/0!</v>
      </c>
      <c r="CF273" s="276" t="e">
        <f>CF271+CF247</f>
        <v>#DIV/0!</v>
      </c>
      <c r="CG273" s="276" t="e">
        <f>CG271+CG247</f>
        <v>#DIV/0!</v>
      </c>
      <c r="CH273" s="276" t="e">
        <f>CH271+CH247</f>
        <v>#DIV/0!</v>
      </c>
      <c r="CI273" s="276" t="e">
        <f>CI271+CI247</f>
        <v>#DIV/0!</v>
      </c>
      <c r="CJ273" s="276" t="e">
        <f>CJ271+CJ247</f>
        <v>#DIV/0!</v>
      </c>
      <c r="CK273" s="276" t="e">
        <f>CK271+CK247</f>
        <v>#DIV/0!</v>
      </c>
      <c r="CL273" s="276" t="e">
        <f>CL271+CL247</f>
        <v>#DIV/0!</v>
      </c>
      <c r="CM273" s="276" t="e">
        <f>CM271+CM247</f>
        <v>#DIV/0!</v>
      </c>
      <c r="CN273" s="276" t="e">
        <f>CN271+CN247</f>
        <v>#DIV/0!</v>
      </c>
      <c r="CO273" s="276" t="e">
        <f>CO271+CO247</f>
        <v>#DIV/0!</v>
      </c>
      <c r="CP273" s="276" t="e">
        <f>CP271+CP247</f>
        <v>#DIV/0!</v>
      </c>
      <c r="CQ273" s="276" t="e">
        <f>CQ271+CQ247</f>
        <v>#DIV/0!</v>
      </c>
      <c r="CR273" s="276" t="e">
        <f>CR271+CR247</f>
        <v>#DIV/0!</v>
      </c>
      <c r="CS273" s="276" t="e">
        <f>CS271+CS247</f>
        <v>#DIV/0!</v>
      </c>
      <c r="CT273" s="276" t="e">
        <f>CT271+CT247</f>
        <v>#DIV/0!</v>
      </c>
      <c r="CU273" s="276" t="e">
        <f>CU271+CU247</f>
        <v>#DIV/0!</v>
      </c>
      <c r="CV273" s="276" t="e">
        <f>CV271+CV247</f>
        <v>#DIV/0!</v>
      </c>
      <c r="CW273" s="276" t="e">
        <f>CW271+CW247</f>
        <v>#DIV/0!</v>
      </c>
      <c r="CX273" s="276" t="e">
        <f>CX271+CX247</f>
        <v>#DIV/0!</v>
      </c>
      <c r="CY273" s="276" t="e">
        <f>CY271+CY247</f>
        <v>#DIV/0!</v>
      </c>
    </row>
    <row r="274" ht="12.75" customHeight="1" s="255">
      <c r="C274" s="274" t="n"/>
      <c r="D274" s="259" t="n"/>
      <c r="E274" s="259" t="n"/>
      <c r="F274" s="259" t="n"/>
      <c r="G274" s="259" t="n"/>
      <c r="H274" s="259" t="n"/>
      <c r="I274" s="259" t="n"/>
      <c r="J274" s="259" t="n"/>
      <c r="K274" s="259" t="n"/>
      <c r="L274" s="259" t="n"/>
      <c r="M274" s="259" t="n"/>
      <c r="N274" s="259" t="n"/>
      <c r="O274" s="259" t="n"/>
      <c r="P274" s="259" t="n"/>
      <c r="Q274" s="259" t="n"/>
      <c r="R274" s="259" t="n"/>
      <c r="S274" s="259" t="n"/>
      <c r="T274" s="259" t="n"/>
      <c r="U274" s="259" t="n"/>
      <c r="V274" s="259" t="n"/>
      <c r="W274" s="259" t="n"/>
      <c r="X274" s="259" t="n"/>
      <c r="Y274" s="259" t="n"/>
      <c r="Z274" s="259" t="n"/>
      <c r="AA274" s="259" t="n"/>
      <c r="AB274" s="259" t="n"/>
      <c r="AC274" s="259" t="n"/>
      <c r="AD274" s="259" t="n"/>
      <c r="AE274" s="259" t="n"/>
      <c r="AF274" s="259" t="n"/>
      <c r="AG274" s="259" t="n"/>
      <c r="AH274" s="259" t="n"/>
      <c r="AI274" s="259" t="n"/>
      <c r="AJ274" s="259" t="n"/>
      <c r="AK274" s="259" t="n"/>
      <c r="AL274" s="259" t="n"/>
      <c r="AM274" s="259" t="n"/>
      <c r="AN274" s="259" t="n"/>
      <c r="AO274" s="259" t="n"/>
      <c r="AP274" s="259" t="n"/>
      <c r="AQ274" s="259" t="n"/>
      <c r="AR274" s="259" t="n"/>
      <c r="AS274" s="259" t="n"/>
      <c r="AT274" s="259" t="n"/>
      <c r="AU274" s="259" t="n"/>
      <c r="AV274" s="259" t="n"/>
      <c r="AW274" s="259" t="n"/>
      <c r="AX274" s="259" t="n"/>
      <c r="AY274" s="259" t="n"/>
      <c r="AZ274" s="259" t="n"/>
      <c r="BA274" s="259" t="n"/>
      <c r="BB274" s="259" t="n"/>
      <c r="BC274" s="259" t="n"/>
      <c r="BD274" s="259" t="n"/>
      <c r="BE274" s="259" t="n"/>
      <c r="BF274" s="259" t="n"/>
      <c r="BG274" s="259" t="n"/>
      <c r="BH274" s="259" t="n"/>
      <c r="BI274" s="259" t="n"/>
      <c r="BJ274" s="259" t="n"/>
      <c r="BK274" s="259" t="n"/>
      <c r="BL274" s="259" t="n"/>
      <c r="BM274" s="259" t="n"/>
      <c r="BN274" s="259" t="n"/>
      <c r="BO274" s="259" t="n"/>
      <c r="BP274" s="259" t="n"/>
      <c r="BQ274" s="259" t="n"/>
      <c r="BR274" s="259" t="n"/>
      <c r="BS274" s="259" t="n"/>
      <c r="BT274" s="259" t="n"/>
      <c r="BU274" s="259" t="n"/>
      <c r="BV274" s="259" t="n"/>
      <c r="BW274" s="259" t="n"/>
      <c r="BX274" s="259" t="n"/>
      <c r="BY274" s="259" t="n"/>
      <c r="BZ274" s="259" t="n"/>
      <c r="CA274" s="259" t="n"/>
      <c r="CB274" s="259" t="n"/>
      <c r="CC274" s="259" t="n"/>
      <c r="CD274" s="259" t="n"/>
      <c r="CE274" s="259" t="n"/>
      <c r="CF274" s="259" t="n"/>
      <c r="CG274" s="259" t="n"/>
      <c r="CH274" s="259" t="n"/>
      <c r="CI274" s="259" t="n"/>
      <c r="CJ274" s="259" t="n"/>
      <c r="CK274" s="259" t="n"/>
      <c r="CL274" s="259" t="n"/>
      <c r="CM274" s="259" t="n"/>
      <c r="CN274" s="259" t="n"/>
      <c r="CO274" s="259" t="n"/>
      <c r="CP274" s="259" t="n"/>
      <c r="CQ274" s="259" t="n"/>
      <c r="CR274" s="259" t="n"/>
      <c r="CS274" s="259" t="n"/>
      <c r="CT274" s="259" t="n"/>
      <c r="CU274" s="259" t="n"/>
      <c r="CV274" s="259" t="n"/>
      <c r="CW274" s="259" t="n"/>
      <c r="CX274" s="259" t="n"/>
      <c r="CY274" s="259" t="n"/>
    </row>
    <row r="275" ht="12.75" customFormat="1" customHeight="1" s="287">
      <c r="A275" s="288" t="n"/>
      <c r="B275" s="288" t="n"/>
      <c r="C275" s="289" t="inlineStr">
        <is>
          <t>Cash Flow Statement</t>
        </is>
      </c>
      <c r="D275" s="327" t="str">
        <f>D142</f>
        <v>1Q20</v>
      </c>
      <c r="E275" s="327" t="str">
        <f>E142</f>
        <v>2Q20</v>
      </c>
      <c r="F275" s="327" t="str">
        <f>F142</f>
        <v>3Q20</v>
      </c>
      <c r="G275" s="327" t="str">
        <f>G142</f>
        <v>4Q20</v>
      </c>
      <c r="H275" s="327">
        <f>H142</f>
        <v>2020</v>
      </c>
      <c r="I275" s="327" t="str">
        <f>I142</f>
        <v>1Q21</v>
      </c>
      <c r="J275" s="327" t="str">
        <f>J142</f>
        <v>2Q21</v>
      </c>
      <c r="K275" s="327" t="str">
        <f>K142</f>
        <v>3Q21</v>
      </c>
      <c r="L275" s="327" t="str">
        <f>L142</f>
        <v>4Q21</v>
      </c>
      <c r="M275" s="327">
        <f>M142</f>
        <v>2021</v>
      </c>
      <c r="N275" s="327" t="str">
        <f>N142</f>
        <v>1Q22</v>
      </c>
      <c r="O275" s="327" t="str">
        <f>O142</f>
        <v>2Q22</v>
      </c>
      <c r="P275" s="327" t="str">
        <f>P142</f>
        <v>3Q22</v>
      </c>
      <c r="Q275" s="327" t="str">
        <f>Q142</f>
        <v>4Q22</v>
      </c>
      <c r="R275" s="327">
        <f>R142</f>
        <v>2022</v>
      </c>
      <c r="S275" s="327" t="str">
        <f>S142</f>
        <v>1Q23</v>
      </c>
      <c r="T275" s="327" t="str">
        <f>T142</f>
        <v>2Q23</v>
      </c>
      <c r="U275" s="327" t="str">
        <f>U142</f>
        <v>3Q23</v>
      </c>
      <c r="V275" s="327" t="str">
        <f>V142</f>
        <v>4Q23</v>
      </c>
      <c r="W275" s="327">
        <f>W142</f>
        <v>2023</v>
      </c>
      <c r="X275" s="327" t="str">
        <f>X142</f>
        <v>1Q24</v>
      </c>
      <c r="Y275" s="327" t="str">
        <f>Y142</f>
        <v>2Q24</v>
      </c>
      <c r="Z275" s="327" t="str">
        <f>Z142</f>
        <v>3Q24</v>
      </c>
      <c r="AA275" s="327" t="str">
        <f>AA142</f>
        <v>4Q24</v>
      </c>
      <c r="AB275" s="327">
        <f>AB142</f>
        <v>2024</v>
      </c>
      <c r="AC275" s="327" t="str">
        <f>AC142</f>
        <v>1Q25</v>
      </c>
      <c r="AD275" s="327" t="str">
        <f>AD142</f>
        <v>2Q25</v>
      </c>
      <c r="AE275" s="327" t="str">
        <f>AE142</f>
        <v>3Q25</v>
      </c>
      <c r="AF275" s="327" t="str">
        <f>AF142</f>
        <v>4Q25</v>
      </c>
      <c r="AG275" s="327">
        <f>AG142</f>
        <v>2025</v>
      </c>
      <c r="AH275" s="327" t="str">
        <f>AH142</f>
        <v>1Q26</v>
      </c>
      <c r="AI275" s="327" t="str">
        <f>AI142</f>
        <v>2Q26</v>
      </c>
      <c r="AJ275" s="327" t="str">
        <f>AJ142</f>
        <v>3Q26</v>
      </c>
      <c r="AK275" s="327" t="str">
        <f>AK142</f>
        <v>4Q26</v>
      </c>
      <c r="AL275" s="327">
        <f>AL142</f>
        <v>2026</v>
      </c>
      <c r="AM275" s="327" t="str">
        <f>AM142</f>
        <v>1Q27</v>
      </c>
      <c r="AN275" s="327" t="str">
        <f>AN142</f>
        <v>2Q27</v>
      </c>
      <c r="AO275" s="327" t="str">
        <f>AO142</f>
        <v>3Q27</v>
      </c>
      <c r="AP275" s="327" t="str">
        <f>AP142</f>
        <v>4Q27</v>
      </c>
      <c r="AQ275" s="327">
        <f>AQ142</f>
        <v>2027</v>
      </c>
      <c r="AR275" s="327" t="str">
        <f>AR142</f>
        <v>1Q28</v>
      </c>
      <c r="AS275" s="327" t="str">
        <f>AS142</f>
        <v>2Q28</v>
      </c>
      <c r="AT275" s="327" t="str">
        <f>AT142</f>
        <v>3Q28</v>
      </c>
      <c r="AU275" s="327" t="str">
        <f>AU142</f>
        <v>4Q28</v>
      </c>
      <c r="AV275" s="327">
        <f>AV142</f>
        <v>2028</v>
      </c>
      <c r="AW275" s="327" t="str">
        <f>AW142</f>
        <v>1Q29</v>
      </c>
      <c r="AX275" s="327" t="str">
        <f>AX142</f>
        <v>2Q29</v>
      </c>
      <c r="AY275" s="327" t="str">
        <f>AY142</f>
        <v>3Q29</v>
      </c>
      <c r="AZ275" s="327" t="str">
        <f>AZ142</f>
        <v>4Q29</v>
      </c>
      <c r="BA275" s="327">
        <f>BA142</f>
        <v>2029</v>
      </c>
      <c r="BB275" s="327" t="str">
        <f>BB142</f>
        <v>1Q30</v>
      </c>
      <c r="BC275" s="327" t="str">
        <f>BC142</f>
        <v>2Q30</v>
      </c>
      <c r="BD275" s="327" t="str">
        <f>BD142</f>
        <v>3Q30</v>
      </c>
      <c r="BE275" s="327" t="str">
        <f>BE142</f>
        <v>4Q30</v>
      </c>
      <c r="BF275" s="327">
        <f>BF142</f>
        <v>2030</v>
      </c>
      <c r="BG275" s="327" t="str">
        <f>BG142</f>
        <v>1Q31</v>
      </c>
      <c r="BH275" s="327" t="str">
        <f>BH142</f>
        <v>2Q31</v>
      </c>
      <c r="BI275" s="327" t="str">
        <f>BI142</f>
        <v>3Q31</v>
      </c>
      <c r="BJ275" s="327" t="str">
        <f>BJ142</f>
        <v>4Q31</v>
      </c>
      <c r="BK275" s="327">
        <f>BK142</f>
        <v>2031</v>
      </c>
      <c r="BL275" s="327" t="str">
        <f>BL142</f>
        <v>1Q32</v>
      </c>
      <c r="BM275" s="327" t="str">
        <f>BM142</f>
        <v>2Q32</v>
      </c>
      <c r="BN275" s="327" t="str">
        <f>BN142</f>
        <v>3Q32</v>
      </c>
      <c r="BO275" s="327" t="str">
        <f>BO142</f>
        <v>4Q32</v>
      </c>
      <c r="BP275" s="327">
        <f>BP142</f>
        <v>2032</v>
      </c>
      <c r="BQ275" s="327" t="str">
        <f>BQ142</f>
        <v>1Q33</v>
      </c>
      <c r="BR275" s="327" t="str">
        <f>BR142</f>
        <v>2Q33</v>
      </c>
      <c r="BS275" s="327" t="str">
        <f>BS142</f>
        <v>3Q33</v>
      </c>
      <c r="BT275" s="327" t="str">
        <f>BT142</f>
        <v>4Q33</v>
      </c>
      <c r="BU275" s="327">
        <f>BU142</f>
        <v>2033</v>
      </c>
      <c r="BV275" s="327" t="str">
        <f>BV142</f>
        <v>1Q34</v>
      </c>
      <c r="BW275" s="327" t="str">
        <f>BW142</f>
        <v>2Q34</v>
      </c>
      <c r="BX275" s="327" t="str">
        <f>BX142</f>
        <v>3Q34</v>
      </c>
      <c r="BY275" s="327" t="str">
        <f>BY142</f>
        <v>4Q34</v>
      </c>
      <c r="BZ275" s="327">
        <f>BZ142</f>
        <v>2034</v>
      </c>
      <c r="CA275" s="327" t="str">
        <f>CA142</f>
        <v>1Q35</v>
      </c>
      <c r="CB275" s="327" t="str">
        <f>CB142</f>
        <v>2Q35</v>
      </c>
      <c r="CC275" s="327" t="str">
        <f>CC142</f>
        <v>3Q35</v>
      </c>
      <c r="CD275" s="327" t="str">
        <f>CD142</f>
        <v>4Q35</v>
      </c>
      <c r="CE275" s="327">
        <f>CE142</f>
        <v>2035</v>
      </c>
      <c r="CF275" s="327" t="str">
        <f>CF142</f>
        <v>1Q36</v>
      </c>
      <c r="CG275" s="327" t="str">
        <f>CG142</f>
        <v>2Q36</v>
      </c>
      <c r="CH275" s="327" t="str">
        <f>CH142</f>
        <v>3Q36</v>
      </c>
      <c r="CI275" s="327" t="str">
        <f>CI142</f>
        <v>4Q36</v>
      </c>
      <c r="CJ275" s="327">
        <f>CJ142</f>
        <v>2036</v>
      </c>
      <c r="CK275" s="327" t="str">
        <f>CK142</f>
        <v>1Q37</v>
      </c>
      <c r="CL275" s="327" t="str">
        <f>CL142</f>
        <v>2Q37</v>
      </c>
      <c r="CM275" s="327" t="str">
        <f>CM142</f>
        <v>3Q37</v>
      </c>
      <c r="CN275" s="327" t="str">
        <f>CN142</f>
        <v>4Q37</v>
      </c>
      <c r="CO275" s="327">
        <f>CO142</f>
        <v>2037</v>
      </c>
      <c r="CP275" s="327" t="str">
        <f>CP142</f>
        <v>1Q38</v>
      </c>
      <c r="CQ275" s="327" t="str">
        <f>CQ142</f>
        <v>2Q38</v>
      </c>
      <c r="CR275" s="327" t="str">
        <f>CR142</f>
        <v>3Q38</v>
      </c>
      <c r="CS275" s="327" t="str">
        <f>CS142</f>
        <v>4Q38</v>
      </c>
      <c r="CT275" s="327">
        <f>CT142</f>
        <v>2038</v>
      </c>
      <c r="CU275" s="327" t="str">
        <f>CU142</f>
        <v>1Q39</v>
      </c>
      <c r="CV275" s="327" t="str">
        <f>CV142</f>
        <v>2Q39</v>
      </c>
      <c r="CW275" s="327" t="str">
        <f>CW142</f>
        <v>3Q39</v>
      </c>
      <c r="CX275" s="327" t="str">
        <f>CX142</f>
        <v>4Q39</v>
      </c>
      <c r="CY275" s="327">
        <f>CY142</f>
        <v>2039</v>
      </c>
    </row>
    <row r="276" ht="12.75" customHeight="1" s="255">
      <c r="C276" s="274" t="n"/>
      <c r="D276" s="259" t="n"/>
      <c r="E276" s="259" t="n"/>
      <c r="F276" s="259" t="n"/>
      <c r="G276" s="259" t="n"/>
      <c r="H276" s="259" t="n"/>
      <c r="I276" s="259" t="n"/>
      <c r="J276" s="259" t="n"/>
      <c r="K276" s="259" t="n"/>
      <c r="L276" s="259" t="n"/>
      <c r="M276" s="259" t="n"/>
      <c r="N276" s="259" t="n"/>
      <c r="O276" s="259" t="n"/>
      <c r="P276" s="259" t="n"/>
      <c r="Q276" s="259" t="n"/>
      <c r="R276" s="259" t="n"/>
      <c r="S276" s="259" t="n"/>
      <c r="T276" s="259" t="n"/>
      <c r="U276" s="259" t="n"/>
      <c r="V276" s="259" t="n"/>
      <c r="W276" s="259" t="n"/>
      <c r="X276" s="259" t="n"/>
      <c r="Y276" s="259" t="n"/>
      <c r="Z276" s="259" t="n"/>
      <c r="AA276" s="259" t="n"/>
      <c r="AB276" s="259" t="n"/>
      <c r="AC276" s="259" t="n"/>
      <c r="AD276" s="259" t="n"/>
      <c r="AE276" s="259" t="n"/>
      <c r="AF276" s="259" t="n"/>
      <c r="AG276" s="259" t="n"/>
      <c r="AH276" s="259" t="n"/>
      <c r="AI276" s="259" t="n"/>
      <c r="AJ276" s="259" t="n"/>
      <c r="AK276" s="259" t="n"/>
      <c r="AL276" s="259" t="n"/>
      <c r="AM276" s="259" t="n"/>
      <c r="AN276" s="259" t="n"/>
      <c r="AO276" s="259" t="n"/>
      <c r="AP276" s="259" t="n"/>
      <c r="AQ276" s="259" t="n"/>
      <c r="AR276" s="259" t="n"/>
      <c r="AS276" s="259" t="n"/>
      <c r="AT276" s="259" t="n"/>
      <c r="AU276" s="259" t="n"/>
      <c r="AV276" s="259" t="n"/>
      <c r="AW276" s="259" t="n"/>
      <c r="AX276" s="259" t="n"/>
      <c r="AY276" s="259" t="n"/>
      <c r="AZ276" s="259" t="n"/>
      <c r="BA276" s="259" t="n"/>
      <c r="BB276" s="259" t="n"/>
      <c r="BC276" s="259" t="n"/>
      <c r="BD276" s="259" t="n"/>
      <c r="BE276" s="259" t="n"/>
      <c r="BF276" s="259" t="n"/>
      <c r="BG276" s="259" t="n"/>
      <c r="BH276" s="259" t="n"/>
      <c r="BI276" s="259" t="n"/>
      <c r="BJ276" s="259" t="n"/>
      <c r="BK276" s="259" t="n"/>
      <c r="BL276" s="259" t="n"/>
      <c r="BM276" s="259" t="n"/>
      <c r="BN276" s="259" t="n"/>
      <c r="BO276" s="259" t="n"/>
      <c r="BP276" s="259" t="n"/>
      <c r="BQ276" s="259" t="n"/>
      <c r="BR276" s="259" t="n"/>
      <c r="BS276" s="259" t="n"/>
      <c r="BT276" s="259" t="n"/>
      <c r="BU276" s="259" t="n"/>
      <c r="BV276" s="259" t="n"/>
      <c r="BW276" s="259" t="n"/>
      <c r="BX276" s="259" t="n"/>
      <c r="BY276" s="259" t="n"/>
      <c r="BZ276" s="259" t="n"/>
      <c r="CA276" s="259" t="n"/>
      <c r="CB276" s="259" t="n"/>
      <c r="CC276" s="259" t="n"/>
      <c r="CD276" s="259" t="n"/>
      <c r="CE276" s="259" t="n"/>
      <c r="CF276" s="259" t="n"/>
      <c r="CG276" s="259" t="n"/>
      <c r="CH276" s="259" t="n"/>
      <c r="CI276" s="259" t="n"/>
      <c r="CJ276" s="259" t="n"/>
      <c r="CK276" s="259" t="n"/>
      <c r="CL276" s="259" t="n"/>
      <c r="CM276" s="259" t="n"/>
      <c r="CN276" s="259" t="n"/>
      <c r="CO276" s="259" t="n"/>
      <c r="CP276" s="259" t="n"/>
      <c r="CQ276" s="259" t="n"/>
      <c r="CR276" s="259" t="n"/>
      <c r="CS276" s="259" t="n"/>
      <c r="CT276" s="259" t="n"/>
      <c r="CU276" s="259" t="n"/>
      <c r="CV276" s="259" t="n"/>
      <c r="CW276" s="259" t="n"/>
      <c r="CX276" s="259" t="n"/>
      <c r="CY276" s="259" t="n"/>
    </row>
    <row r="277" ht="12.75" customHeight="1" s="255">
      <c r="C277" s="266" t="inlineStr">
        <is>
          <t>Net Income</t>
        </is>
      </c>
      <c r="D277" s="268" t="n"/>
      <c r="E277" s="268">
        <f>E137</f>
        <v>516</v>
      </c>
      <c r="F277" s="268">
        <f>F137</f>
        <v>262</v>
      </c>
      <c r="G277" s="268">
        <f>G137</f>
        <v>551</v>
      </c>
      <c r="H277" s="268">
        <f>SUM(D277:G277)</f>
        <v>1329</v>
      </c>
      <c r="I277" s="268">
        <f>I137</f>
        <v>831</v>
      </c>
      <c r="J277" s="268">
        <f>J137</f>
        <v>362</v>
      </c>
      <c r="K277" s="268">
        <f>K137</f>
        <v>653</v>
      </c>
      <c r="L277" s="268">
        <f>L137</f>
        <v>231</v>
      </c>
      <c r="M277" s="268">
        <f>SUM(I277:L277)</f>
        <v>2077</v>
      </c>
      <c r="N277" s="268">
        <f>N137</f>
        <v>688</v>
      </c>
      <c r="O277" s="268">
        <f>O137</f>
        <v>206</v>
      </c>
      <c r="P277" s="268">
        <f>P137</f>
        <v>380</v>
      </c>
      <c r="Q277" s="268">
        <f>Q137</f>
        <v>336</v>
      </c>
      <c r="R277" s="268">
        <f>SUM(N277:Q277)</f>
        <v>1610</v>
      </c>
      <c r="S277" s="268">
        <f>S137</f>
        <v>632</v>
      </c>
      <c r="T277" s="268">
        <f>T137</f>
        <v>622</v>
      </c>
      <c r="U277" s="268">
        <f>U137</f>
        <v>373</v>
      </c>
      <c r="V277" s="268">
        <f>V137</f>
        <v>616</v>
      </c>
      <c r="W277" s="268">
        <f>SUM(S277:V277)</f>
        <v>2243</v>
      </c>
      <c r="X277" s="268">
        <f>X137</f>
        <v>244</v>
      </c>
      <c r="Y277" s="268">
        <f>Y137</f>
        <v>70</v>
      </c>
      <c r="Z277" s="268">
        <f>Z137</f>
        <v>221</v>
      </c>
      <c r="AA277" s="268">
        <f>AA137</f>
        <v>602</v>
      </c>
      <c r="AB277" s="268">
        <f>SUM(X277:AA277)</f>
        <v>1137</v>
      </c>
      <c r="AC277" s="268">
        <f>AC137</f>
        <v>201</v>
      </c>
      <c r="AD277" s="268">
        <f>AD137</f>
        <v>354</v>
      </c>
      <c r="AE277" s="268">
        <f>AE137</f>
        <v>166</v>
      </c>
      <c r="AF277" s="268">
        <f>AF137</f>
        <v>95</v>
      </c>
      <c r="AG277" s="268">
        <f>SUM(AC277:AF277)</f>
        <v>816</v>
      </c>
      <c r="AH277" s="268">
        <f>AH137</f>
        <v>68</v>
      </c>
      <c r="AI277" s="268">
        <f>AI137</f>
        <v>678</v>
      </c>
      <c r="AJ277" s="268">
        <f>AJ137</f>
        <v>-11</v>
      </c>
      <c r="AK277" s="268">
        <f>AK137</f>
        <v>72</v>
      </c>
      <c r="AL277" s="268">
        <f>SUM(AH277:AK277)</f>
        <v>807</v>
      </c>
      <c r="AM277" s="268">
        <f>AM137</f>
        <v>58</v>
      </c>
      <c r="AN277" s="268">
        <f>AN137</f>
        <v>115</v>
      </c>
      <c r="AO277" s="268">
        <f>AO137</f>
        <v>47</v>
      </c>
      <c r="AP277" s="268">
        <f>AP137</f>
        <v>151</v>
      </c>
      <c r="AQ277" s="268">
        <f>SUM(AM277:AP277)</f>
        <v>371</v>
      </c>
      <c r="AR277" s="268">
        <f>AR137</f>
        <v>137</v>
      </c>
      <c r="AS277" s="268">
        <f>AS137</f>
        <v>389</v>
      </c>
      <c r="AT277" s="268">
        <f>AT137</f>
        <v>126</v>
      </c>
      <c r="AU277" s="268">
        <f>AU137</f>
        <v>425</v>
      </c>
      <c r="AV277" s="268">
        <f>SUM(AR277:AU277)</f>
        <v>1077</v>
      </c>
      <c r="AW277" s="268">
        <f>AW137</f>
        <v>411</v>
      </c>
      <c r="AX277" s="268">
        <f>AX137</f>
        <v>1095</v>
      </c>
      <c r="AY277" s="268">
        <f>AY137</f>
        <v>400</v>
      </c>
      <c r="AZ277" s="268">
        <f>AZ137</f>
        <v>1131</v>
      </c>
      <c r="BA277" s="268">
        <f>SUM(AW277:AZ277)</f>
        <v>3037</v>
      </c>
      <c r="BB277" s="268">
        <f>BB137</f>
        <v>1117</v>
      </c>
      <c r="BC277" s="268">
        <f>BC137</f>
        <v>3055</v>
      </c>
      <c r="BD277" s="268">
        <f>BD137</f>
        <v>1106</v>
      </c>
      <c r="BE277" s="268">
        <f>BE137</f>
        <v>3091</v>
      </c>
      <c r="BF277" s="268">
        <f>SUM(BB277:BE277)</f>
        <v>8369</v>
      </c>
      <c r="BG277" s="268">
        <f>BG137</f>
        <v>3077</v>
      </c>
      <c r="BH277" s="268">
        <f>BH137</f>
        <v>8387</v>
      </c>
      <c r="BI277" s="268">
        <f>BI137</f>
        <v>3066</v>
      </c>
      <c r="BJ277" s="268">
        <f>BJ137</f>
        <v>8423</v>
      </c>
      <c r="BK277" s="268">
        <f>SUM(BG277:BJ277)</f>
        <v>22953</v>
      </c>
      <c r="BL277" s="268">
        <f>BL137</f>
        <v>8409</v>
      </c>
      <c r="BM277" s="268">
        <f>BM137</f>
        <v>22971</v>
      </c>
      <c r="BN277" s="268">
        <f>BN137</f>
        <v>8398</v>
      </c>
      <c r="BO277" s="268">
        <f>BO137</f>
        <v>23007</v>
      </c>
      <c r="BP277" s="268">
        <f>SUM(BL277:BO277)</f>
        <v>62785</v>
      </c>
      <c r="BQ277" s="268">
        <f>BQ137</f>
        <v>22993</v>
      </c>
      <c r="BR277" s="268">
        <f>BR137</f>
        <v>62803</v>
      </c>
      <c r="BS277" s="268">
        <f>BS137</f>
        <v>22982</v>
      </c>
      <c r="BT277" s="268">
        <f>BT137</f>
        <v>62839</v>
      </c>
      <c r="BU277" s="268">
        <f>SUM(BQ277:BT277)</f>
        <v>171617</v>
      </c>
      <c r="BV277" s="268">
        <f>BV137</f>
        <v>62825</v>
      </c>
      <c r="BW277" s="268">
        <f>BW137</f>
        <v>171635</v>
      </c>
      <c r="BX277" s="268">
        <f>BX137</f>
        <v>62814</v>
      </c>
      <c r="BY277" s="268">
        <f>BY137</f>
        <v>171671</v>
      </c>
      <c r="BZ277" s="268">
        <f>SUM(BV277:BY277)</f>
        <v>468945</v>
      </c>
      <c r="CA277" s="268">
        <f>CA137</f>
        <v>171657</v>
      </c>
      <c r="CB277" s="268">
        <f>CB137</f>
        <v>468963</v>
      </c>
      <c r="CC277" s="268">
        <f>CC137</f>
        <v>171646</v>
      </c>
      <c r="CD277" s="268">
        <f>CD137</f>
        <v>468999</v>
      </c>
      <c r="CE277" s="268">
        <f>SUM(CA277:CD277)</f>
        <v>1281265</v>
      </c>
      <c r="CF277" s="268">
        <f>CF137</f>
        <v>468985</v>
      </c>
      <c r="CG277" s="268">
        <f>CG137</f>
        <v>1281283</v>
      </c>
      <c r="CH277" s="268">
        <f>CH137</f>
        <v>468974</v>
      </c>
      <c r="CI277" s="268">
        <f>CI137</f>
        <v>1281319</v>
      </c>
      <c r="CJ277" s="268">
        <f>SUM(CF277:CI277)</f>
        <v>3500561</v>
      </c>
      <c r="CK277" s="268">
        <f>CK137</f>
        <v>1281305</v>
      </c>
      <c r="CL277" s="268">
        <f>CL137</f>
        <v>3500579</v>
      </c>
      <c r="CM277" s="268">
        <f>CM137</f>
        <v>1281294</v>
      </c>
      <c r="CN277" s="268">
        <f>CN137</f>
        <v>3500615</v>
      </c>
      <c r="CO277" s="268">
        <f>SUM(CK277:CN277)</f>
        <v>9563793</v>
      </c>
      <c r="CP277" s="268">
        <f>CP137</f>
        <v>3500601</v>
      </c>
      <c r="CQ277" s="268">
        <f>CQ137</f>
        <v>9563811</v>
      </c>
      <c r="CR277" s="268">
        <f>CR137</f>
        <v>3500590</v>
      </c>
      <c r="CS277" s="268">
        <f>CS137</f>
        <v>9563847</v>
      </c>
      <c r="CT277" s="268">
        <f>SUM(CP277:CS277)</f>
        <v>26128849</v>
      </c>
      <c r="CU277" s="268">
        <f>CU137</f>
        <v>9563833</v>
      </c>
      <c r="CV277" s="268">
        <f>CV137</f>
        <v>26128867</v>
      </c>
      <c r="CW277" s="268">
        <f>CW137</f>
        <v>9563822</v>
      </c>
      <c r="CX277" s="268">
        <f>CX137</f>
        <v>26128903</v>
      </c>
      <c r="CY277" s="268">
        <f>SUM(CU277:CX277)</f>
        <v>71385425</v>
      </c>
    </row>
    <row r="278" ht="12.75" customHeight="1" s="255">
      <c r="C278" s="266" t="inlineStr">
        <is>
          <t>Depreciation &amp; amortization</t>
        </is>
      </c>
      <c r="D278" s="268" t="n"/>
      <c r="E278" s="268">
        <f>-E70</f>
        <v>104</v>
      </c>
      <c r="F278" s="268">
        <f>-F70</f>
        <v>106</v>
      </c>
      <c r="G278" s="268">
        <f>-G70</f>
        <v>112</v>
      </c>
      <c r="H278" s="268">
        <f>SUM(D278:G278)</f>
        <v>322</v>
      </c>
      <c r="I278" s="268">
        <f>-I70</f>
        <v>106</v>
      </c>
      <c r="J278" s="268">
        <f>-J70</f>
        <v>106</v>
      </c>
      <c r="K278" s="268">
        <f>-K70</f>
        <v>105</v>
      </c>
      <c r="L278" s="268">
        <f>-L70</f>
        <v>107</v>
      </c>
      <c r="M278" s="268">
        <f>SUM(I278:L278)</f>
        <v>424</v>
      </c>
      <c r="N278" s="268">
        <f>-N70</f>
        <v>102</v>
      </c>
      <c r="O278" s="268">
        <f>-O70</f>
        <v>102</v>
      </c>
      <c r="P278" s="268">
        <f>-P70</f>
        <v>101</v>
      </c>
      <c r="Q278" s="268">
        <f>-Q70</f>
        <v>103</v>
      </c>
      <c r="R278" s="268">
        <f>SUM(N278:Q278)</f>
        <v>408</v>
      </c>
      <c r="S278" s="268">
        <f>-S70</f>
        <v>102</v>
      </c>
      <c r="T278" s="268">
        <f>-T70</f>
        <v>106</v>
      </c>
      <c r="U278" s="268">
        <f>-U70</f>
        <v>109</v>
      </c>
      <c r="V278" s="268">
        <f>-V70</f>
        <v>134</v>
      </c>
      <c r="W278" s="268">
        <f>SUM(S278:V278)</f>
        <v>451</v>
      </c>
      <c r="X278" s="268">
        <f>-X70</f>
        <v>112</v>
      </c>
      <c r="Y278" s="268">
        <f>-Y70</f>
        <v>114</v>
      </c>
      <c r="Z278" s="268">
        <f>-Z70</f>
        <v>119</v>
      </c>
      <c r="AA278" s="268">
        <f>-AA70</f>
        <v>123</v>
      </c>
      <c r="AB278" s="268">
        <f>SUM(X278:AA278)</f>
        <v>468</v>
      </c>
      <c r="AC278" s="268">
        <f>-AC70</f>
        <v>120</v>
      </c>
      <c r="AD278" s="268">
        <f>-AD70</f>
        <v>116</v>
      </c>
      <c r="AE278" s="268">
        <f>-AE70</f>
        <v>241</v>
      </c>
      <c r="AF278" s="268">
        <f>-AF70</f>
        <v>226</v>
      </c>
      <c r="AG278" s="268">
        <f>SUM(AC278:AF278)</f>
        <v>703</v>
      </c>
      <c r="AH278" s="268">
        <f>-AH70</f>
        <v>238</v>
      </c>
      <c r="AI278" s="268">
        <f>-AI70</f>
        <v>256</v>
      </c>
      <c r="AJ278" s="268">
        <f>-AJ70</f>
        <v>0</v>
      </c>
      <c r="AK278" s="268">
        <f>-AK70</f>
        <v>0</v>
      </c>
      <c r="AL278" s="268">
        <f>SUM(AH278:AK278)</f>
        <v>494</v>
      </c>
      <c r="AM278" s="268">
        <f>-AM70</f>
        <v>0</v>
      </c>
      <c r="AN278" s="268">
        <f>-AN70</f>
        <v>0</v>
      </c>
      <c r="AO278" s="268">
        <f>-AO70</f>
        <v>0</v>
      </c>
      <c r="AP278" s="268">
        <f>-AP70</f>
        <v>0</v>
      </c>
      <c r="AQ278" s="268">
        <f>SUM(AM278:AP278)</f>
        <v>0</v>
      </c>
      <c r="AR278" s="268">
        <f>-AR70</f>
        <v>0</v>
      </c>
      <c r="AS278" s="268">
        <f>-AS70</f>
        <v>0</v>
      </c>
      <c r="AT278" s="268">
        <f>-AT70</f>
        <v>0</v>
      </c>
      <c r="AU278" s="268">
        <f>-AU70</f>
        <v>0</v>
      </c>
      <c r="AV278" s="268">
        <f>SUM(AR278:AU278)</f>
        <v>0</v>
      </c>
      <c r="AW278" s="268">
        <f>-AW70</f>
        <v>0</v>
      </c>
      <c r="AX278" s="268">
        <f>-AX70</f>
        <v>0</v>
      </c>
      <c r="AY278" s="268">
        <f>-AY70</f>
        <v>0</v>
      </c>
      <c r="AZ278" s="268">
        <f>-AZ70</f>
        <v>0</v>
      </c>
      <c r="BA278" s="268">
        <f>SUM(AW278:AZ278)</f>
        <v>0</v>
      </c>
      <c r="BB278" s="268">
        <f>-BB70</f>
        <v>0</v>
      </c>
      <c r="BC278" s="268">
        <f>-BC70</f>
        <v>0</v>
      </c>
      <c r="BD278" s="268">
        <f>-BD70</f>
        <v>0</v>
      </c>
      <c r="BE278" s="268">
        <f>-BE70</f>
        <v>0</v>
      </c>
      <c r="BF278" s="268">
        <f>SUM(BB278:BE278)</f>
        <v>0</v>
      </c>
      <c r="BG278" s="268">
        <f>-BG70</f>
        <v>0</v>
      </c>
      <c r="BH278" s="268">
        <f>-BH70</f>
        <v>0</v>
      </c>
      <c r="BI278" s="268">
        <f>-BI70</f>
        <v>0</v>
      </c>
      <c r="BJ278" s="268">
        <f>-BJ70</f>
        <v>0</v>
      </c>
      <c r="BK278" s="268">
        <f>SUM(BG278:BJ278)</f>
        <v>0</v>
      </c>
      <c r="BL278" s="268">
        <f>-BL70</f>
        <v>0</v>
      </c>
      <c r="BM278" s="268">
        <f>-BM70</f>
        <v>0</v>
      </c>
      <c r="BN278" s="268">
        <f>-BN70</f>
        <v>0</v>
      </c>
      <c r="BO278" s="268">
        <f>-BO70</f>
        <v>0</v>
      </c>
      <c r="BP278" s="268">
        <f>SUM(BL278:BO278)</f>
        <v>0</v>
      </c>
      <c r="BQ278" s="268">
        <f>-BQ70</f>
        <v>0</v>
      </c>
      <c r="BR278" s="268">
        <f>-BR70</f>
        <v>0</v>
      </c>
      <c r="BS278" s="268">
        <f>-BS70</f>
        <v>0</v>
      </c>
      <c r="BT278" s="268">
        <f>-BT70</f>
        <v>0</v>
      </c>
      <c r="BU278" s="268">
        <f>SUM(BQ278:BT278)</f>
        <v>0</v>
      </c>
      <c r="BV278" s="268">
        <f>-BV70</f>
        <v>0</v>
      </c>
      <c r="BW278" s="268">
        <f>-BW70</f>
        <v>0</v>
      </c>
      <c r="BX278" s="268">
        <f>-BX70</f>
        <v>0</v>
      </c>
      <c r="BY278" s="268">
        <f>-BY70</f>
        <v>0</v>
      </c>
      <c r="BZ278" s="268">
        <f>SUM(BV278:BY278)</f>
        <v>0</v>
      </c>
      <c r="CA278" s="268">
        <f>-CA70</f>
        <v>0</v>
      </c>
      <c r="CB278" s="268">
        <f>-CB70</f>
        <v>0</v>
      </c>
      <c r="CC278" s="268">
        <f>-CC70</f>
        <v>0</v>
      </c>
      <c r="CD278" s="268">
        <f>-CD70</f>
        <v>0</v>
      </c>
      <c r="CE278" s="268">
        <f>SUM(CA278:CD278)</f>
        <v>0</v>
      </c>
      <c r="CF278" s="268">
        <f>-CF70</f>
        <v>0</v>
      </c>
      <c r="CG278" s="268">
        <f>-CG70</f>
        <v>0</v>
      </c>
      <c r="CH278" s="268">
        <f>-CH70</f>
        <v>0</v>
      </c>
      <c r="CI278" s="268">
        <f>-CI70</f>
        <v>0</v>
      </c>
      <c r="CJ278" s="268">
        <f>SUM(CF278:CI278)</f>
        <v>0</v>
      </c>
      <c r="CK278" s="268">
        <f>-CK70</f>
        <v>0</v>
      </c>
      <c r="CL278" s="268">
        <f>-CL70</f>
        <v>0</v>
      </c>
      <c r="CM278" s="268">
        <f>-CM70</f>
        <v>0</v>
      </c>
      <c r="CN278" s="268">
        <f>-CN70</f>
        <v>0</v>
      </c>
      <c r="CO278" s="268">
        <f>SUM(CK278:CN278)</f>
        <v>0</v>
      </c>
      <c r="CP278" s="268">
        <f>-CP70</f>
        <v>0</v>
      </c>
      <c r="CQ278" s="268">
        <f>-CQ70</f>
        <v>0</v>
      </c>
      <c r="CR278" s="268">
        <f>-CR70</f>
        <v>0</v>
      </c>
      <c r="CS278" s="268">
        <f>-CS70</f>
        <v>0</v>
      </c>
      <c r="CT278" s="268">
        <f>SUM(CP278:CS278)</f>
        <v>0</v>
      </c>
      <c r="CU278" s="268">
        <f>-CU70</f>
        <v>0</v>
      </c>
      <c r="CV278" s="268">
        <f>-CV70</f>
        <v>0</v>
      </c>
      <c r="CW278" s="268">
        <f>-CW70</f>
        <v>0</v>
      </c>
      <c r="CX278" s="268">
        <f>-CX70</f>
        <v>0</v>
      </c>
      <c r="CY278" s="268">
        <f>SUM(CU278:CX278)</f>
        <v>0</v>
      </c>
    </row>
    <row r="279" ht="12.75" customHeight="1" s="255">
      <c r="C279" s="266" t="inlineStr">
        <is>
          <t xml:space="preserve">Changes in working capital </t>
        </is>
      </c>
      <c r="D279" s="268" t="n"/>
      <c r="E279" s="268">
        <f>SUM(E280:E289)</f>
        <v>-1489</v>
      </c>
      <c r="F279" s="268">
        <f>SUM(F280:F289)</f>
        <v>-648</v>
      </c>
      <c r="G279" s="268">
        <f>SUM(G280:G289)</f>
        <v>-1288</v>
      </c>
      <c r="H279" s="268">
        <f>SUM(D279:G279)</f>
        <v>-3425</v>
      </c>
      <c r="I279" s="268">
        <f>SUM(I280:I289)</f>
        <v>-716</v>
      </c>
      <c r="J279" s="268">
        <f>SUM(J280:J289)</f>
        <v>-344</v>
      </c>
      <c r="K279" s="268">
        <f>SUM(K280:K289)</f>
        <v>990</v>
      </c>
      <c r="L279" s="268">
        <f>SUM(L280:L289)</f>
        <v>-9</v>
      </c>
      <c r="M279" s="268">
        <f>SUM(I279:L279)</f>
        <v>-79</v>
      </c>
      <c r="N279" s="268">
        <f>SUM(N280:N289)</f>
        <v>-1823</v>
      </c>
      <c r="O279" s="268">
        <f>SUM(O280:O289)</f>
        <v>-177</v>
      </c>
      <c r="P279" s="268">
        <f>SUM(P280:P289)</f>
        <v>1462</v>
      </c>
      <c r="Q279" s="268">
        <f>SUM(Q280:Q289)</f>
        <v>293</v>
      </c>
      <c r="R279" s="268">
        <f>SUM(N279:Q279)</f>
        <v>-245</v>
      </c>
      <c r="S279" s="268">
        <f>SUM(S280:S289)</f>
        <v>473</v>
      </c>
      <c r="T279" s="268">
        <f>SUM(T280:T289)</f>
        <v>-1191</v>
      </c>
      <c r="U279" s="268">
        <f>SUM(U280:U289)</f>
        <v>946</v>
      </c>
      <c r="V279" s="268">
        <f>SUM(V280:V289)</f>
        <v>447</v>
      </c>
      <c r="W279" s="268">
        <f>SUM(S279:V279)</f>
        <v>675</v>
      </c>
      <c r="X279" s="268">
        <f>SUM(X280:X289)</f>
        <v>483</v>
      </c>
      <c r="Y279" s="268">
        <f>SUM(Y280:Y289)</f>
        <v>-1207</v>
      </c>
      <c r="Z279" s="268">
        <f>SUM(Z280:Z289)</f>
        <v>820</v>
      </c>
      <c r="AA279" s="268">
        <f>SUM(AA280:AA289)</f>
        <v>139</v>
      </c>
      <c r="AB279" s="268">
        <f>SUM(X279:AA279)</f>
        <v>235</v>
      </c>
      <c r="AC279" s="268">
        <f>SUM(AC280:AC289)</f>
        <v>-848</v>
      </c>
      <c r="AD279" s="268">
        <f>SUM(AD280:AD289)</f>
        <v>-921</v>
      </c>
      <c r="AE279" s="268">
        <f>SUM(AE280:AE289)</f>
        <v>-6365</v>
      </c>
      <c r="AF279" s="268">
        <f>SUM(AF280:AF289)</f>
        <v>1692</v>
      </c>
      <c r="AG279" s="268">
        <f>SUM(AC279:AF279)</f>
        <v>-6442</v>
      </c>
      <c r="AH279" s="268">
        <f>SUM(AH280:AH289)</f>
        <v>-677</v>
      </c>
      <c r="AI279" s="268">
        <f>SUM(AI280:AI289)</f>
        <v>-722</v>
      </c>
      <c r="AJ279" s="268">
        <f>SUM(AJ280:AJ289)</f>
        <v>14022</v>
      </c>
      <c r="AK279" s="268">
        <f>SUM(AK280:AK289)</f>
        <v>0</v>
      </c>
      <c r="AL279" s="268">
        <f>SUM(AH279:AK279)</f>
        <v>12623</v>
      </c>
      <c r="AM279" s="268" t="e">
        <f>SUM(AM280:AM289)</f>
        <v>#DIV/0!</v>
      </c>
      <c r="AN279" s="268" t="e">
        <f>SUM(AN280:AN289)</f>
        <v>#DIV/0!</v>
      </c>
      <c r="AO279" s="268" t="e">
        <f>SUM(AO280:AO289)</f>
        <v>#DIV/0!</v>
      </c>
      <c r="AP279" s="268" t="e">
        <f>SUM(AP280:AP289)</f>
        <v>#DIV/0!</v>
      </c>
      <c r="AQ279" s="268" t="e">
        <f>SUM(AM279:AP279)</f>
        <v>#DIV/0!</v>
      </c>
      <c r="AR279" s="268" t="e">
        <f>SUM(AR280:AR289)</f>
        <v>#DIV/0!</v>
      </c>
      <c r="AS279" s="268" t="e">
        <f>SUM(AS280:AS289)</f>
        <v>#DIV/0!</v>
      </c>
      <c r="AT279" s="268" t="e">
        <f>SUM(AT280:AT289)</f>
        <v>#DIV/0!</v>
      </c>
      <c r="AU279" s="268" t="e">
        <f>SUM(AU280:AU289)</f>
        <v>#DIV/0!</v>
      </c>
      <c r="AV279" s="268" t="e">
        <f>SUM(AR279:AU279)</f>
        <v>#DIV/0!</v>
      </c>
      <c r="AW279" s="268" t="e">
        <f>SUM(AW280:AW289)</f>
        <v>#DIV/0!</v>
      </c>
      <c r="AX279" s="268" t="e">
        <f>SUM(AX280:AX289)</f>
        <v>#DIV/0!</v>
      </c>
      <c r="AY279" s="268" t="e">
        <f>SUM(AY280:AY289)</f>
        <v>#DIV/0!</v>
      </c>
      <c r="AZ279" s="268" t="e">
        <f>SUM(AZ280:AZ289)</f>
        <v>#DIV/0!</v>
      </c>
      <c r="BA279" s="268" t="e">
        <f>SUM(AW279:AZ279)</f>
        <v>#DIV/0!</v>
      </c>
      <c r="BB279" s="268" t="e">
        <f>SUM(BB280:BB289)</f>
        <v>#DIV/0!</v>
      </c>
      <c r="BC279" s="268" t="e">
        <f>SUM(BC280:BC289)</f>
        <v>#DIV/0!</v>
      </c>
      <c r="BD279" s="268" t="e">
        <f>SUM(BD280:BD289)</f>
        <v>#DIV/0!</v>
      </c>
      <c r="BE279" s="268" t="e">
        <f>SUM(BE280:BE289)</f>
        <v>#DIV/0!</v>
      </c>
      <c r="BF279" s="268" t="e">
        <f>SUM(BB279:BE279)</f>
        <v>#DIV/0!</v>
      </c>
      <c r="BG279" s="268" t="e">
        <f>SUM(BG280:BG289)</f>
        <v>#DIV/0!</v>
      </c>
      <c r="BH279" s="268" t="e">
        <f>SUM(BH280:BH289)</f>
        <v>#DIV/0!</v>
      </c>
      <c r="BI279" s="268" t="e">
        <f>SUM(BI280:BI289)</f>
        <v>#DIV/0!</v>
      </c>
      <c r="BJ279" s="268" t="e">
        <f>SUM(BJ280:BJ289)</f>
        <v>#DIV/0!</v>
      </c>
      <c r="BK279" s="268" t="e">
        <f>SUM(BG279:BJ279)</f>
        <v>#DIV/0!</v>
      </c>
      <c r="BL279" s="268" t="e">
        <f>SUM(BL280:BL289)</f>
        <v>#DIV/0!</v>
      </c>
      <c r="BM279" s="268" t="e">
        <f>SUM(BM280:BM289)</f>
        <v>#DIV/0!</v>
      </c>
      <c r="BN279" s="268" t="e">
        <f>SUM(BN280:BN289)</f>
        <v>#DIV/0!</v>
      </c>
      <c r="BO279" s="268" t="e">
        <f>SUM(BO280:BO289)</f>
        <v>#DIV/0!</v>
      </c>
      <c r="BP279" s="268" t="e">
        <f>SUM(BL279:BO279)</f>
        <v>#DIV/0!</v>
      </c>
      <c r="BQ279" s="268" t="e">
        <f>SUM(BQ280:BQ289)</f>
        <v>#DIV/0!</v>
      </c>
      <c r="BR279" s="268" t="e">
        <f>SUM(BR280:BR289)</f>
        <v>#DIV/0!</v>
      </c>
      <c r="BS279" s="268" t="e">
        <f>SUM(BS280:BS289)</f>
        <v>#DIV/0!</v>
      </c>
      <c r="BT279" s="268" t="e">
        <f>SUM(BT280:BT289)</f>
        <v>#DIV/0!</v>
      </c>
      <c r="BU279" s="268" t="e">
        <f>SUM(BQ279:BT279)</f>
        <v>#DIV/0!</v>
      </c>
      <c r="BV279" s="268" t="e">
        <f>SUM(BV280:BV289)</f>
        <v>#DIV/0!</v>
      </c>
      <c r="BW279" s="268" t="e">
        <f>SUM(BW280:BW289)</f>
        <v>#DIV/0!</v>
      </c>
      <c r="BX279" s="268" t="e">
        <f>SUM(BX280:BX289)</f>
        <v>#DIV/0!</v>
      </c>
      <c r="BY279" s="268" t="e">
        <f>SUM(BY280:BY289)</f>
        <v>#DIV/0!</v>
      </c>
      <c r="BZ279" s="268" t="e">
        <f>SUM(BV279:BY279)</f>
        <v>#DIV/0!</v>
      </c>
      <c r="CA279" s="268" t="e">
        <f>SUM(CA280:CA289)</f>
        <v>#DIV/0!</v>
      </c>
      <c r="CB279" s="268" t="e">
        <f>SUM(CB280:CB289)</f>
        <v>#DIV/0!</v>
      </c>
      <c r="CC279" s="268" t="e">
        <f>SUM(CC280:CC289)</f>
        <v>#DIV/0!</v>
      </c>
      <c r="CD279" s="268" t="e">
        <f>SUM(CD280:CD289)</f>
        <v>#DIV/0!</v>
      </c>
      <c r="CE279" s="268" t="e">
        <f>SUM(CA279:CD279)</f>
        <v>#DIV/0!</v>
      </c>
      <c r="CF279" s="268" t="e">
        <f>SUM(CF280:CF289)</f>
        <v>#DIV/0!</v>
      </c>
      <c r="CG279" s="268" t="e">
        <f>SUM(CG280:CG289)</f>
        <v>#DIV/0!</v>
      </c>
      <c r="CH279" s="268" t="e">
        <f>SUM(CH280:CH289)</f>
        <v>#DIV/0!</v>
      </c>
      <c r="CI279" s="268" t="e">
        <f>SUM(CI280:CI289)</f>
        <v>#DIV/0!</v>
      </c>
      <c r="CJ279" s="268" t="e">
        <f>SUM(CF279:CI279)</f>
        <v>#DIV/0!</v>
      </c>
      <c r="CK279" s="268" t="e">
        <f>SUM(CK280:CK289)</f>
        <v>#DIV/0!</v>
      </c>
      <c r="CL279" s="268" t="e">
        <f>SUM(CL280:CL289)</f>
        <v>#DIV/0!</v>
      </c>
      <c r="CM279" s="268" t="e">
        <f>SUM(CM280:CM289)</f>
        <v>#DIV/0!</v>
      </c>
      <c r="CN279" s="268" t="e">
        <f>SUM(CN280:CN289)</f>
        <v>#DIV/0!</v>
      </c>
      <c r="CO279" s="268" t="e">
        <f>SUM(CK279:CN279)</f>
        <v>#DIV/0!</v>
      </c>
      <c r="CP279" s="268" t="e">
        <f>SUM(CP280:CP289)</f>
        <v>#DIV/0!</v>
      </c>
      <c r="CQ279" s="268" t="e">
        <f>SUM(CQ280:CQ289)</f>
        <v>#DIV/0!</v>
      </c>
      <c r="CR279" s="268" t="e">
        <f>SUM(CR280:CR289)</f>
        <v>#DIV/0!</v>
      </c>
      <c r="CS279" s="268" t="e">
        <f>SUM(CS280:CS289)</f>
        <v>#DIV/0!</v>
      </c>
      <c r="CT279" s="268" t="e">
        <f>SUM(CP279:CS279)</f>
        <v>#DIV/0!</v>
      </c>
      <c r="CU279" s="268" t="e">
        <f>SUM(CU280:CU289)</f>
        <v>#DIV/0!</v>
      </c>
      <c r="CV279" s="268" t="e">
        <f>SUM(CV280:CV289)</f>
        <v>#DIV/0!</v>
      </c>
      <c r="CW279" s="268" t="e">
        <f>SUM(CW280:CW289)</f>
        <v>#DIV/0!</v>
      </c>
      <c r="CX279" s="268" t="e">
        <f>SUM(CX280:CX289)</f>
        <v>#DIV/0!</v>
      </c>
      <c r="CY279" s="268" t="e">
        <f>SUM(CU279:CX279)</f>
        <v>#DIV/0!</v>
      </c>
    </row>
    <row r="280" hidden="1" outlineLevel="1" ht="12.75" customHeight="1" s="255">
      <c r="C280" s="266" t="inlineStr">
        <is>
          <t>Accounts receivable</t>
        </is>
      </c>
      <c r="D280" s="268" t="n"/>
      <c r="E280" s="268">
        <f>(E145-D145)*-1</f>
        <v>90</v>
      </c>
      <c r="F280" s="268">
        <f>(F145-E145)*-1</f>
        <v>-97</v>
      </c>
      <c r="G280" s="268">
        <f>(G145-F145)*-1</f>
        <v>-94</v>
      </c>
      <c r="H280" s="268">
        <f>SUM(D280:G280)</f>
        <v>-101</v>
      </c>
      <c r="I280" s="268">
        <f>(I145-H145)*-1</f>
        <v>-536</v>
      </c>
      <c r="J280" s="268">
        <f>(J145-I145)*-1</f>
        <v>-273</v>
      </c>
      <c r="K280" s="268">
        <f>(K145-J145)*-1</f>
        <v>95</v>
      </c>
      <c r="L280" s="268">
        <f>(L145-K145)*-1</f>
        <v>319</v>
      </c>
      <c r="M280" s="268">
        <f>SUM(I280:L280)</f>
        <v>-395</v>
      </c>
      <c r="N280" s="268">
        <f>(N145-M145)*-1</f>
        <v>-452</v>
      </c>
      <c r="O280" s="268">
        <f>(O145-N145)*-1</f>
        <v>137</v>
      </c>
      <c r="P280" s="268">
        <f>(P145-O145)*-1</f>
        <v>91</v>
      </c>
      <c r="Q280" s="268">
        <f>(Q145-P145)*-1</f>
        <v>-493</v>
      </c>
      <c r="R280" s="268">
        <f>SUM(N280:Q280)</f>
        <v>-717</v>
      </c>
      <c r="S280" s="268">
        <f>(S145-R145)*-1</f>
        <v>40</v>
      </c>
      <c r="T280" s="268">
        <f>(T145-S145)*-1</f>
        <v>190</v>
      </c>
      <c r="U280" s="268">
        <f>(U145-T145)*-1</f>
        <v>90</v>
      </c>
      <c r="V280" s="268">
        <f>(V145-U145)*-1</f>
        <v>-83</v>
      </c>
      <c r="W280" s="268">
        <f>SUM(S280:V280)</f>
        <v>237</v>
      </c>
      <c r="X280" s="268">
        <f>(X145-W145)*-1</f>
        <v>307</v>
      </c>
      <c r="Y280" s="268">
        <f>(Y145-X145)*-1</f>
        <v>8</v>
      </c>
      <c r="Z280" s="268">
        <f>(Z145-Y145)*-1</f>
        <v>177</v>
      </c>
      <c r="AA280" s="268">
        <f>(AA145-Z145)*-1</f>
        <v>-48</v>
      </c>
      <c r="AB280" s="268">
        <f>SUM(X280:AA280)</f>
        <v>444</v>
      </c>
      <c r="AC280" s="268">
        <f>(AC145-AB145)*-1</f>
        <v>-186</v>
      </c>
      <c r="AD280" s="268">
        <f>(AD145-AC145)*-1</f>
        <v>76</v>
      </c>
      <c r="AE280" s="268">
        <f>(AE145-AD145)*-1</f>
        <v>-1236</v>
      </c>
      <c r="AF280" s="268">
        <f>(AF145-AE145)*-1</f>
        <v>-376</v>
      </c>
      <c r="AG280" s="268">
        <f>SUM(AC280:AF280)</f>
        <v>-1722</v>
      </c>
      <c r="AH280" s="268">
        <f>(AH145-AG145)*-1</f>
        <v>-105</v>
      </c>
      <c r="AI280" s="268">
        <f>(AI145-AH145)*-1</f>
        <v>44</v>
      </c>
      <c r="AJ280" s="268">
        <f>(AJ145-AI145)*-1</f>
        <v>3931</v>
      </c>
      <c r="AK280" s="268">
        <f>(AK145-AJ145)*-1</f>
        <v>0</v>
      </c>
      <c r="AL280" s="268">
        <f>SUM(AH280:AK280)</f>
        <v>3870</v>
      </c>
      <c r="AM280" s="268">
        <f>(AM145-AL145)*-1</f>
        <v>0</v>
      </c>
      <c r="AN280" s="268">
        <f>(AN145-AM145)*-1</f>
        <v>0</v>
      </c>
      <c r="AO280" s="268">
        <f>(AO145-AN145)*-1</f>
        <v>0</v>
      </c>
      <c r="AP280" s="268">
        <f>(AP145-AO145)*-1</f>
        <v>0</v>
      </c>
      <c r="AQ280" s="268">
        <f>SUM(AM280:AP280)</f>
        <v>0</v>
      </c>
      <c r="AR280" s="268">
        <f>(AR145-AQ145)*-1</f>
        <v>0</v>
      </c>
      <c r="AS280" s="268">
        <f>(AS145-AR145)*-1</f>
        <v>0</v>
      </c>
      <c r="AT280" s="268">
        <f>(AT145-AS145)*-1</f>
        <v>0</v>
      </c>
      <c r="AU280" s="268">
        <f>(AU145-AT145)*-1</f>
        <v>0</v>
      </c>
      <c r="AV280" s="268">
        <f>SUM(AR280:AU280)</f>
        <v>0</v>
      </c>
      <c r="AW280" s="268">
        <f>(AW145-AV145)*-1</f>
        <v>0</v>
      </c>
      <c r="AX280" s="268">
        <f>(AX145-AW145)*-1</f>
        <v>0</v>
      </c>
      <c r="AY280" s="268">
        <f>(AY145-AX145)*-1</f>
        <v>0</v>
      </c>
      <c r="AZ280" s="268">
        <f>(AZ145-AY145)*-1</f>
        <v>0</v>
      </c>
      <c r="BA280" s="268">
        <f>SUM(AW280:AZ280)</f>
        <v>0</v>
      </c>
      <c r="BB280" s="268">
        <f>(BB145-BA145)*-1</f>
        <v>0</v>
      </c>
      <c r="BC280" s="268">
        <f>(BC145-BB145)*-1</f>
        <v>0</v>
      </c>
      <c r="BD280" s="268">
        <f>(BD145-BC145)*-1</f>
        <v>0</v>
      </c>
      <c r="BE280" s="268">
        <f>(BE145-BD145)*-1</f>
        <v>0</v>
      </c>
      <c r="BF280" s="268">
        <f>SUM(BB280:BE280)</f>
        <v>0</v>
      </c>
      <c r="BG280" s="268">
        <f>(BG145-BF145)*-1</f>
        <v>0</v>
      </c>
      <c r="BH280" s="268">
        <f>(BH145-BG145)*-1</f>
        <v>0</v>
      </c>
      <c r="BI280" s="268">
        <f>(BI145-BH145)*-1</f>
        <v>0</v>
      </c>
      <c r="BJ280" s="268">
        <f>(BJ145-BI145)*-1</f>
        <v>0</v>
      </c>
      <c r="BK280" s="268">
        <f>SUM(BG280:BJ280)</f>
        <v>0</v>
      </c>
      <c r="BL280" s="268">
        <f>(BL145-BK145)*-1</f>
        <v>0</v>
      </c>
      <c r="BM280" s="268">
        <f>(BM145-BL145)*-1</f>
        <v>0</v>
      </c>
      <c r="BN280" s="268">
        <f>(BN145-BM145)*-1</f>
        <v>0</v>
      </c>
      <c r="BO280" s="268">
        <f>(BO145-BN145)*-1</f>
        <v>0</v>
      </c>
      <c r="BP280" s="268">
        <f>SUM(BL280:BO280)</f>
        <v>0</v>
      </c>
      <c r="BQ280" s="268">
        <f>(BQ145-BP145)*-1</f>
        <v>0</v>
      </c>
      <c r="BR280" s="268">
        <f>(BR145-BQ145)*-1</f>
        <v>0</v>
      </c>
      <c r="BS280" s="268">
        <f>(BS145-BR145)*-1</f>
        <v>0</v>
      </c>
      <c r="BT280" s="268">
        <f>(BT145-BS145)*-1</f>
        <v>0</v>
      </c>
      <c r="BU280" s="268">
        <f>SUM(BQ280:BT280)</f>
        <v>0</v>
      </c>
      <c r="BV280" s="268">
        <f>(BV145-BU145)*-1</f>
        <v>0</v>
      </c>
      <c r="BW280" s="268">
        <f>(BW145-BV145)*-1</f>
        <v>0</v>
      </c>
      <c r="BX280" s="268">
        <f>(BX145-BW145)*-1</f>
        <v>0</v>
      </c>
      <c r="BY280" s="268">
        <f>(BY145-BX145)*-1</f>
        <v>0</v>
      </c>
      <c r="BZ280" s="268">
        <f>SUM(BV280:BY280)</f>
        <v>0</v>
      </c>
      <c r="CA280" s="268">
        <f>(CA145-BZ145)*-1</f>
        <v>0</v>
      </c>
      <c r="CB280" s="268">
        <f>(CB145-CA145)*-1</f>
        <v>0</v>
      </c>
      <c r="CC280" s="268">
        <f>(CC145-CB145)*-1</f>
        <v>0</v>
      </c>
      <c r="CD280" s="268">
        <f>(CD145-CC145)*-1</f>
        <v>0</v>
      </c>
      <c r="CE280" s="268">
        <f>SUM(CA280:CD280)</f>
        <v>0</v>
      </c>
      <c r="CF280" s="268">
        <f>(CF145-CE145)*-1</f>
        <v>0</v>
      </c>
      <c r="CG280" s="268">
        <f>(CG145-CF145)*-1</f>
        <v>0</v>
      </c>
      <c r="CH280" s="268">
        <f>(CH145-CG145)*-1</f>
        <v>0</v>
      </c>
      <c r="CI280" s="268">
        <f>(CI145-CH145)*-1</f>
        <v>0</v>
      </c>
      <c r="CJ280" s="268">
        <f>SUM(CF280:CI280)</f>
        <v>0</v>
      </c>
      <c r="CK280" s="268">
        <f>(CK145-CJ145)*-1</f>
        <v>0</v>
      </c>
      <c r="CL280" s="268">
        <f>(CL145-CK145)*-1</f>
        <v>0</v>
      </c>
      <c r="CM280" s="268">
        <f>(CM145-CL145)*-1</f>
        <v>0</v>
      </c>
      <c r="CN280" s="268">
        <f>(CN145-CM145)*-1</f>
        <v>0</v>
      </c>
      <c r="CO280" s="268">
        <f>SUM(CK280:CN280)</f>
        <v>0</v>
      </c>
      <c r="CP280" s="268">
        <f>(CP145-CO145)*-1</f>
        <v>0</v>
      </c>
      <c r="CQ280" s="268">
        <f>(CQ145-CP145)*-1</f>
        <v>0</v>
      </c>
      <c r="CR280" s="268">
        <f>(CR145-CQ145)*-1</f>
        <v>0</v>
      </c>
      <c r="CS280" s="268">
        <f>(CS145-CR145)*-1</f>
        <v>0</v>
      </c>
      <c r="CT280" s="268">
        <f>SUM(CP280:CS280)</f>
        <v>0</v>
      </c>
      <c r="CU280" s="268">
        <f>(CU145-CT145)*-1</f>
        <v>0</v>
      </c>
      <c r="CV280" s="268">
        <f>(CV145-CU145)*-1</f>
        <v>0</v>
      </c>
      <c r="CW280" s="268">
        <f>(CW145-CV145)*-1</f>
        <v>0</v>
      </c>
      <c r="CX280" s="268">
        <f>(CX145-CW145)*-1</f>
        <v>0</v>
      </c>
      <c r="CY280" s="268">
        <f>SUM(CU280:CX280)</f>
        <v>0</v>
      </c>
    </row>
    <row r="281" hidden="1" outlineLevel="1" ht="12.75" customHeight="1" s="255">
      <c r="C281" s="266" t="inlineStr">
        <is>
          <t>Inventories</t>
        </is>
      </c>
      <c r="D281" s="268" t="n"/>
      <c r="E281" s="268">
        <f>(E149-D149)*-1</f>
        <v>-556</v>
      </c>
      <c r="F281" s="268">
        <f>(F149-E149)*-1</f>
        <v>-456</v>
      </c>
      <c r="G281" s="268">
        <f>(G149-F149)*-1</f>
        <v>-709</v>
      </c>
      <c r="H281" s="268">
        <f>SUM(D281:G281)</f>
        <v>-1721</v>
      </c>
      <c r="I281" s="268">
        <f>(I149-H149)*-1</f>
        <v>-1444</v>
      </c>
      <c r="J281" s="268">
        <f>(J149-I149)*-1</f>
        <v>156</v>
      </c>
      <c r="K281" s="268">
        <f>(K149-J149)*-1</f>
        <v>446</v>
      </c>
      <c r="L281" s="268">
        <f>(L149-K149)*-1</f>
        <v>-417</v>
      </c>
      <c r="M281" s="268">
        <f>SUM(I281:L281)</f>
        <v>-1259</v>
      </c>
      <c r="N281" s="268">
        <f>(N149-M149)*-1</f>
        <v>-2557</v>
      </c>
      <c r="O281" s="268">
        <f>(O149-N149)*-1</f>
        <v>507</v>
      </c>
      <c r="P281" s="268">
        <f>(P149-O149)*-1</f>
        <v>2369</v>
      </c>
      <c r="Q281" s="268">
        <f>(Q149-P149)*-1</f>
        <v>-296</v>
      </c>
      <c r="R281" s="268">
        <f>SUM(N281:Q281)</f>
        <v>23</v>
      </c>
      <c r="S281" s="268">
        <f>(S149-R149)*-1</f>
        <v>-544</v>
      </c>
      <c r="T281" s="268">
        <f>(T149-S149)*-1</f>
        <v>146</v>
      </c>
      <c r="U281" s="268">
        <f>(U149-T149)*-1</f>
        <v>1258</v>
      </c>
      <c r="V281" s="268">
        <f>(V149-U149)*-1</f>
        <v>443</v>
      </c>
      <c r="W281" s="268">
        <f>SUM(S281:V281)</f>
        <v>1303</v>
      </c>
      <c r="X281" s="268">
        <f>(X149-W149)*-1</f>
        <v>-400</v>
      </c>
      <c r="Y281" s="268">
        <f>(Y149-X149)*-1</f>
        <v>-552</v>
      </c>
      <c r="Z281" s="268">
        <f>(Z149-Y149)*-1</f>
        <v>592</v>
      </c>
      <c r="AA281" s="268">
        <f>(AA149-Z149)*-1</f>
        <v>974</v>
      </c>
      <c r="AB281" s="268">
        <f>SUM(X281:AA281)</f>
        <v>614</v>
      </c>
      <c r="AC281" s="268">
        <f>(AC149-AB149)*-1</f>
        <v>-1326</v>
      </c>
      <c r="AD281" s="268">
        <f>(AD149-AC149)*-1</f>
        <v>-197</v>
      </c>
      <c r="AE281" s="268">
        <f>(AE149-AD149)*-1</f>
        <v>-5298</v>
      </c>
      <c r="AF281" s="268">
        <f>(AF149-AE149)*-1</f>
        <v>114</v>
      </c>
      <c r="AG281" s="268">
        <f>SUM(AC281:AF281)</f>
        <v>-6707</v>
      </c>
      <c r="AH281" s="268">
        <f>(AH149-AG149)*-1</f>
        <v>-2230</v>
      </c>
      <c r="AI281" s="268">
        <f>(AI149-AH149)*-1</f>
        <v>-33</v>
      </c>
      <c r="AJ281" s="268">
        <f>(AJ149-AI149)*-1</f>
        <v>15461</v>
      </c>
      <c r="AK281" s="268">
        <f>(AK149-AJ149)*-1</f>
        <v>0</v>
      </c>
      <c r="AL281" s="268">
        <f>SUM(AH281:AK281)</f>
        <v>13198</v>
      </c>
      <c r="AM281" s="268">
        <f>(AM149-AL149)*-1</f>
        <v>0</v>
      </c>
      <c r="AN281" s="268">
        <f>(AN149-AM149)*-1</f>
        <v>0</v>
      </c>
      <c r="AO281" s="268">
        <f>(AO149-AN149)*-1</f>
        <v>0</v>
      </c>
      <c r="AP281" s="268">
        <f>(AP149-AO149)*-1</f>
        <v>0</v>
      </c>
      <c r="AQ281" s="268">
        <f>SUM(AM281:AP281)</f>
        <v>0</v>
      </c>
      <c r="AR281" s="268">
        <f>(AR149-AQ149)*-1</f>
        <v>0</v>
      </c>
      <c r="AS281" s="268">
        <f>(AS149-AR149)*-1</f>
        <v>0</v>
      </c>
      <c r="AT281" s="268">
        <f>(AT149-AS149)*-1</f>
        <v>0</v>
      </c>
      <c r="AU281" s="268">
        <f>(AU149-AT149)*-1</f>
        <v>0</v>
      </c>
      <c r="AV281" s="268">
        <f>SUM(AR281:AU281)</f>
        <v>0</v>
      </c>
      <c r="AW281" s="268">
        <f>(AW149-AV149)*-1</f>
        <v>0</v>
      </c>
      <c r="AX281" s="268">
        <f>(AX149-AW149)*-1</f>
        <v>0</v>
      </c>
      <c r="AY281" s="268">
        <f>(AY149-AX149)*-1</f>
        <v>0</v>
      </c>
      <c r="AZ281" s="268">
        <f>(AZ149-AY149)*-1</f>
        <v>0</v>
      </c>
      <c r="BA281" s="268">
        <f>SUM(AW281:AZ281)</f>
        <v>0</v>
      </c>
      <c r="BB281" s="268">
        <f>(BB149-BA149)*-1</f>
        <v>0</v>
      </c>
      <c r="BC281" s="268">
        <f>(BC149-BB149)*-1</f>
        <v>0</v>
      </c>
      <c r="BD281" s="268">
        <f>(BD149-BC149)*-1</f>
        <v>0</v>
      </c>
      <c r="BE281" s="268">
        <f>(BE149-BD149)*-1</f>
        <v>0</v>
      </c>
      <c r="BF281" s="268">
        <f>SUM(BB281:BE281)</f>
        <v>0</v>
      </c>
      <c r="BG281" s="268">
        <f>(BG149-BF149)*-1</f>
        <v>0</v>
      </c>
      <c r="BH281" s="268">
        <f>(BH149-BG149)*-1</f>
        <v>0</v>
      </c>
      <c r="BI281" s="268">
        <f>(BI149-BH149)*-1</f>
        <v>0</v>
      </c>
      <c r="BJ281" s="268">
        <f>(BJ149-BI149)*-1</f>
        <v>0</v>
      </c>
      <c r="BK281" s="268">
        <f>SUM(BG281:BJ281)</f>
        <v>0</v>
      </c>
      <c r="BL281" s="268">
        <f>(BL149-BK149)*-1</f>
        <v>0</v>
      </c>
      <c r="BM281" s="268">
        <f>(BM149-BL149)*-1</f>
        <v>0</v>
      </c>
      <c r="BN281" s="268">
        <f>(BN149-BM149)*-1</f>
        <v>0</v>
      </c>
      <c r="BO281" s="268">
        <f>(BO149-BN149)*-1</f>
        <v>0</v>
      </c>
      <c r="BP281" s="268">
        <f>SUM(BL281:BO281)</f>
        <v>0</v>
      </c>
      <c r="BQ281" s="268">
        <f>(BQ149-BP149)*-1</f>
        <v>0</v>
      </c>
      <c r="BR281" s="268">
        <f>(BR149-BQ149)*-1</f>
        <v>0</v>
      </c>
      <c r="BS281" s="268">
        <f>(BS149-BR149)*-1</f>
        <v>0</v>
      </c>
      <c r="BT281" s="268">
        <f>(BT149-BS149)*-1</f>
        <v>0</v>
      </c>
      <c r="BU281" s="268">
        <f>SUM(BQ281:BT281)</f>
        <v>0</v>
      </c>
      <c r="BV281" s="268">
        <f>(BV149-BU149)*-1</f>
        <v>0</v>
      </c>
      <c r="BW281" s="268">
        <f>(BW149-BV149)*-1</f>
        <v>0</v>
      </c>
      <c r="BX281" s="268">
        <f>(BX149-BW149)*-1</f>
        <v>0</v>
      </c>
      <c r="BY281" s="268">
        <f>(BY149-BX149)*-1</f>
        <v>0</v>
      </c>
      <c r="BZ281" s="268">
        <f>SUM(BV281:BY281)</f>
        <v>0</v>
      </c>
      <c r="CA281" s="268">
        <f>(CA149-BZ149)*-1</f>
        <v>0</v>
      </c>
      <c r="CB281" s="268">
        <f>(CB149-CA149)*-1</f>
        <v>0</v>
      </c>
      <c r="CC281" s="268">
        <f>(CC149-CB149)*-1</f>
        <v>0</v>
      </c>
      <c r="CD281" s="268">
        <f>(CD149-CC149)*-1</f>
        <v>0</v>
      </c>
      <c r="CE281" s="268">
        <f>SUM(CA281:CD281)</f>
        <v>0</v>
      </c>
      <c r="CF281" s="268">
        <f>(CF149-CE149)*-1</f>
        <v>0</v>
      </c>
      <c r="CG281" s="268">
        <f>(CG149-CF149)*-1</f>
        <v>0</v>
      </c>
      <c r="CH281" s="268">
        <f>(CH149-CG149)*-1</f>
        <v>0</v>
      </c>
      <c r="CI281" s="268">
        <f>(CI149-CH149)*-1</f>
        <v>0</v>
      </c>
      <c r="CJ281" s="268">
        <f>SUM(CF281:CI281)</f>
        <v>0</v>
      </c>
      <c r="CK281" s="268">
        <f>(CK149-CJ149)*-1</f>
        <v>0</v>
      </c>
      <c r="CL281" s="268">
        <f>(CL149-CK149)*-1</f>
        <v>0</v>
      </c>
      <c r="CM281" s="268">
        <f>(CM149-CL149)*-1</f>
        <v>0</v>
      </c>
      <c r="CN281" s="268">
        <f>(CN149-CM149)*-1</f>
        <v>0</v>
      </c>
      <c r="CO281" s="268">
        <f>SUM(CK281:CN281)</f>
        <v>0</v>
      </c>
      <c r="CP281" s="268">
        <f>(CP149-CO149)*-1</f>
        <v>0</v>
      </c>
      <c r="CQ281" s="268">
        <f>(CQ149-CP149)*-1</f>
        <v>0</v>
      </c>
      <c r="CR281" s="268">
        <f>(CR149-CQ149)*-1</f>
        <v>0</v>
      </c>
      <c r="CS281" s="268">
        <f>(CS149-CR149)*-1</f>
        <v>0</v>
      </c>
      <c r="CT281" s="268">
        <f>SUM(CP281:CS281)</f>
        <v>0</v>
      </c>
      <c r="CU281" s="268">
        <f>(CU149-CT149)*-1</f>
        <v>0</v>
      </c>
      <c r="CV281" s="268">
        <f>(CV149-CU149)*-1</f>
        <v>0</v>
      </c>
      <c r="CW281" s="268">
        <f>(CW149-CV149)*-1</f>
        <v>0</v>
      </c>
      <c r="CX281" s="268">
        <f>(CX149-CW149)*-1</f>
        <v>0</v>
      </c>
      <c r="CY281" s="268">
        <f>SUM(CU281:CX281)</f>
        <v>0</v>
      </c>
    </row>
    <row r="282" hidden="1" outlineLevel="1" ht="12.75" customHeight="1" s="255">
      <c r="C282" s="266" t="inlineStr">
        <is>
          <t>Deferred income taxes</t>
        </is>
      </c>
      <c r="D282" s="268" t="n"/>
      <c r="E282" s="268">
        <f>(E153-D153)*-1</f>
        <v>121</v>
      </c>
      <c r="F282" s="268">
        <f>(F153-E153)*-1</f>
        <v>-16</v>
      </c>
      <c r="G282" s="268">
        <f>(G153-F153)*-1</f>
        <v>-28</v>
      </c>
      <c r="H282" s="268">
        <f>SUM(D282:G282)</f>
        <v>77</v>
      </c>
      <c r="I282" s="268">
        <f>(I153-H153)*-1</f>
        <v>20</v>
      </c>
      <c r="J282" s="268">
        <f>(J153-I153)*-1</f>
        <v>-154</v>
      </c>
      <c r="K282" s="268">
        <f>(K153-J153)*-1</f>
        <v>-79</v>
      </c>
      <c r="L282" s="268">
        <f>(L153-K153)*-1</f>
        <v>2</v>
      </c>
      <c r="M282" s="268">
        <f>SUM(I282:L282)</f>
        <v>-211</v>
      </c>
      <c r="N282" s="268">
        <f>(N153-M153)*-1</f>
        <v>-139</v>
      </c>
      <c r="O282" s="268">
        <f>(O153-N153)*-1</f>
        <v>67</v>
      </c>
      <c r="P282" s="268">
        <f>(P153-O153)*-1</f>
        <v>-16</v>
      </c>
      <c r="Q282" s="268">
        <f>(Q153-P153)*-1</f>
        <v>-74</v>
      </c>
      <c r="R282" s="268">
        <f>SUM(N282:Q282)</f>
        <v>-162</v>
      </c>
      <c r="S282" s="268">
        <f>(S153-R153)*-1</f>
        <v>-12</v>
      </c>
      <c r="T282" s="268">
        <f>(T153-S153)*-1</f>
        <v>27</v>
      </c>
      <c r="U282" s="268">
        <f>(U153-T153)*-1</f>
        <v>65</v>
      </c>
      <c r="V282" s="268">
        <f>(V153-U153)*-1</f>
        <v>-141</v>
      </c>
      <c r="W282" s="268">
        <f>SUM(S282:V282)</f>
        <v>-61</v>
      </c>
      <c r="X282" s="268">
        <f>(X153-W153)*-1</f>
        <v>30</v>
      </c>
      <c r="Y282" s="268">
        <f>(Y153-X153)*-1</f>
        <v>45</v>
      </c>
      <c r="Z282" s="268">
        <f>(Z153-Y153)*-1</f>
        <v>-27</v>
      </c>
      <c r="AA282" s="268">
        <f>(AA153-Z153)*-1</f>
        <v>80</v>
      </c>
      <c r="AB282" s="268">
        <f>SUM(X282:AA282)</f>
        <v>128</v>
      </c>
      <c r="AC282" s="268">
        <f>(AC153-AB153)*-1</f>
        <v>-3</v>
      </c>
      <c r="AD282" s="268">
        <f>(AD153-AC153)*-1</f>
        <v>2</v>
      </c>
      <c r="AE282" s="268">
        <f>(AE153-AD153)*-1</f>
        <v>-143</v>
      </c>
      <c r="AF282" s="268">
        <f>(AF153-AE153)*-1</f>
        <v>-101</v>
      </c>
      <c r="AG282" s="268">
        <f>SUM(AC282:AF282)</f>
        <v>-245</v>
      </c>
      <c r="AH282" s="268">
        <f>(AH153-AG153)*-1</f>
        <v>-44</v>
      </c>
      <c r="AI282" s="268">
        <f>(AI153-AH153)*-1</f>
        <v>32</v>
      </c>
      <c r="AJ282" s="268">
        <f>(AJ153-AI153)*-1</f>
        <v>0</v>
      </c>
      <c r="AK282" s="268">
        <f>(AK153-AJ153)*-1</f>
        <v>0</v>
      </c>
      <c r="AL282" s="268">
        <f>SUM(AH282:AK282)</f>
        <v>-12</v>
      </c>
      <c r="AM282" s="268">
        <f>(AM153-AL153)*-1</f>
        <v>0</v>
      </c>
      <c r="AN282" s="268">
        <f>(AN153-AM153)*-1</f>
        <v>0</v>
      </c>
      <c r="AO282" s="268">
        <f>(AO153-AN153)*-1</f>
        <v>0</v>
      </c>
      <c r="AP282" s="268">
        <f>(AP153-AO153)*-1</f>
        <v>0</v>
      </c>
      <c r="AQ282" s="268">
        <f>SUM(AM282:AP282)</f>
        <v>0</v>
      </c>
      <c r="AR282" s="268">
        <f>(AR153-AQ153)*-1</f>
        <v>0</v>
      </c>
      <c r="AS282" s="268">
        <f>(AS153-AR153)*-1</f>
        <v>0</v>
      </c>
      <c r="AT282" s="268">
        <f>(AT153-AS153)*-1</f>
        <v>0</v>
      </c>
      <c r="AU282" s="268">
        <f>(AU153-AT153)*-1</f>
        <v>0</v>
      </c>
      <c r="AV282" s="268">
        <f>SUM(AR282:AU282)</f>
        <v>0</v>
      </c>
      <c r="AW282" s="268">
        <f>(AW153-AV153)*-1</f>
        <v>0</v>
      </c>
      <c r="AX282" s="268">
        <f>(AX153-AW153)*-1</f>
        <v>0</v>
      </c>
      <c r="AY282" s="268">
        <f>(AY153-AX153)*-1</f>
        <v>0</v>
      </c>
      <c r="AZ282" s="268">
        <f>(AZ153-AY153)*-1</f>
        <v>0</v>
      </c>
      <c r="BA282" s="268">
        <f>SUM(AW282:AZ282)</f>
        <v>0</v>
      </c>
      <c r="BB282" s="268">
        <f>(BB153-BA153)*-1</f>
        <v>0</v>
      </c>
      <c r="BC282" s="268">
        <f>(BC153-BB153)*-1</f>
        <v>0</v>
      </c>
      <c r="BD282" s="268">
        <f>(BD153-BC153)*-1</f>
        <v>0</v>
      </c>
      <c r="BE282" s="268">
        <f>(BE153-BD153)*-1</f>
        <v>0</v>
      </c>
      <c r="BF282" s="268">
        <f>SUM(BB282:BE282)</f>
        <v>0</v>
      </c>
      <c r="BG282" s="268">
        <f>(BG153-BF153)*-1</f>
        <v>0</v>
      </c>
      <c r="BH282" s="268">
        <f>(BH153-BG153)*-1</f>
        <v>0</v>
      </c>
      <c r="BI282" s="268">
        <f>(BI153-BH153)*-1</f>
        <v>0</v>
      </c>
      <c r="BJ282" s="268">
        <f>(BJ153-BI153)*-1</f>
        <v>0</v>
      </c>
      <c r="BK282" s="268">
        <f>SUM(BG282:BJ282)</f>
        <v>0</v>
      </c>
      <c r="BL282" s="268">
        <f>(BL153-BK153)*-1</f>
        <v>0</v>
      </c>
      <c r="BM282" s="268">
        <f>(BM153-BL153)*-1</f>
        <v>0</v>
      </c>
      <c r="BN282" s="268">
        <f>(BN153-BM153)*-1</f>
        <v>0</v>
      </c>
      <c r="BO282" s="268">
        <f>(BO153-BN153)*-1</f>
        <v>0</v>
      </c>
      <c r="BP282" s="268">
        <f>SUM(BL282:BO282)</f>
        <v>0</v>
      </c>
      <c r="BQ282" s="268">
        <f>(BQ153-BP153)*-1</f>
        <v>0</v>
      </c>
      <c r="BR282" s="268">
        <f>(BR153-BQ153)*-1</f>
        <v>0</v>
      </c>
      <c r="BS282" s="268">
        <f>(BS153-BR153)*-1</f>
        <v>0</v>
      </c>
      <c r="BT282" s="268">
        <f>(BT153-BS153)*-1</f>
        <v>0</v>
      </c>
      <c r="BU282" s="268">
        <f>SUM(BQ282:BT282)</f>
        <v>0</v>
      </c>
      <c r="BV282" s="268">
        <f>(BV153-BU153)*-1</f>
        <v>0</v>
      </c>
      <c r="BW282" s="268">
        <f>(BW153-BV153)*-1</f>
        <v>0</v>
      </c>
      <c r="BX282" s="268">
        <f>(BX153-BW153)*-1</f>
        <v>0</v>
      </c>
      <c r="BY282" s="268">
        <f>(BY153-BX153)*-1</f>
        <v>0</v>
      </c>
      <c r="BZ282" s="268">
        <f>SUM(BV282:BY282)</f>
        <v>0</v>
      </c>
      <c r="CA282" s="268">
        <f>(CA153-BZ153)*-1</f>
        <v>0</v>
      </c>
      <c r="CB282" s="268">
        <f>(CB153-CA153)*-1</f>
        <v>0</v>
      </c>
      <c r="CC282" s="268">
        <f>(CC153-CB153)*-1</f>
        <v>0</v>
      </c>
      <c r="CD282" s="268">
        <f>(CD153-CC153)*-1</f>
        <v>0</v>
      </c>
      <c r="CE282" s="268">
        <f>SUM(CA282:CD282)</f>
        <v>0</v>
      </c>
      <c r="CF282" s="268">
        <f>(CF153-CE153)*-1</f>
        <v>0</v>
      </c>
      <c r="CG282" s="268">
        <f>(CG153-CF153)*-1</f>
        <v>0</v>
      </c>
      <c r="CH282" s="268">
        <f>(CH153-CG153)*-1</f>
        <v>0</v>
      </c>
      <c r="CI282" s="268">
        <f>(CI153-CH153)*-1</f>
        <v>0</v>
      </c>
      <c r="CJ282" s="268">
        <f>SUM(CF282:CI282)</f>
        <v>0</v>
      </c>
      <c r="CK282" s="268">
        <f>(CK153-CJ153)*-1</f>
        <v>0</v>
      </c>
      <c r="CL282" s="268">
        <f>(CL153-CK153)*-1</f>
        <v>0</v>
      </c>
      <c r="CM282" s="268">
        <f>(CM153-CL153)*-1</f>
        <v>0</v>
      </c>
      <c r="CN282" s="268">
        <f>(CN153-CM153)*-1</f>
        <v>0</v>
      </c>
      <c r="CO282" s="268">
        <f>SUM(CK282:CN282)</f>
        <v>0</v>
      </c>
      <c r="CP282" s="268">
        <f>(CP153-CO153)*-1</f>
        <v>0</v>
      </c>
      <c r="CQ282" s="268">
        <f>(CQ153-CP153)*-1</f>
        <v>0</v>
      </c>
      <c r="CR282" s="268">
        <f>(CR153-CQ153)*-1</f>
        <v>0</v>
      </c>
      <c r="CS282" s="268">
        <f>(CS153-CR153)*-1</f>
        <v>0</v>
      </c>
      <c r="CT282" s="268">
        <f>SUM(CP282:CS282)</f>
        <v>0</v>
      </c>
      <c r="CU282" s="268">
        <f>(CU153-CT153)*-1</f>
        <v>0</v>
      </c>
      <c r="CV282" s="268">
        <f>(CV153-CU153)*-1</f>
        <v>0</v>
      </c>
      <c r="CW282" s="268">
        <f>(CW153-CV153)*-1</f>
        <v>0</v>
      </c>
      <c r="CX282" s="268">
        <f>(CX153-CW153)*-1</f>
        <v>0</v>
      </c>
      <c r="CY282" s="268">
        <f>SUM(CU282:CX282)</f>
        <v>0</v>
      </c>
    </row>
    <row r="283" hidden="1" outlineLevel="1" ht="12.75" customHeight="1" s="255">
      <c r="C283" s="266" t="inlineStr">
        <is>
          <t>Prepaid expenses</t>
        </is>
      </c>
      <c r="D283" s="268" t="n"/>
      <c r="E283" s="268">
        <f>(E154-D154)*-1</f>
        <v>0</v>
      </c>
      <c r="F283" s="268">
        <f>(F154-E154)*-1</f>
        <v>0</v>
      </c>
      <c r="G283" s="268">
        <f>(G154-F154)*-1</f>
        <v>0</v>
      </c>
      <c r="H283" s="268">
        <f>SUM(D283:G283)</f>
        <v>0</v>
      </c>
      <c r="I283" s="268">
        <f>(I154-H154)*-1</f>
        <v>0</v>
      </c>
      <c r="J283" s="268">
        <f>(J154-I154)*-1</f>
        <v>0</v>
      </c>
      <c r="K283" s="268">
        <f>(K154-J154)*-1</f>
        <v>0</v>
      </c>
      <c r="L283" s="268">
        <f>(L154-K154)*-1</f>
        <v>0</v>
      </c>
      <c r="M283" s="268">
        <f>SUM(I283:L283)</f>
        <v>0</v>
      </c>
      <c r="N283" s="268">
        <f>(N154-M154)*-1</f>
        <v>0</v>
      </c>
      <c r="O283" s="268">
        <f>(O154-N154)*-1</f>
        <v>0</v>
      </c>
      <c r="P283" s="268">
        <f>(P154-O154)*-1</f>
        <v>0</v>
      </c>
      <c r="Q283" s="268">
        <f>(Q154-P154)*-1</f>
        <v>0</v>
      </c>
      <c r="R283" s="268">
        <f>SUM(N283:Q283)</f>
        <v>0</v>
      </c>
      <c r="S283" s="268">
        <f>(S154-R154)*-1</f>
        <v>0</v>
      </c>
      <c r="T283" s="268">
        <f>(T154-S154)*-1</f>
        <v>0</v>
      </c>
      <c r="U283" s="268">
        <f>(U154-T154)*-1</f>
        <v>0</v>
      </c>
      <c r="V283" s="268">
        <f>(V154-U154)*-1</f>
        <v>0</v>
      </c>
      <c r="W283" s="268">
        <f>SUM(S283:V283)</f>
        <v>0</v>
      </c>
      <c r="X283" s="268">
        <f>(X154-W154)*-1</f>
        <v>0</v>
      </c>
      <c r="Y283" s="268">
        <f>(Y154-X154)*-1</f>
        <v>0</v>
      </c>
      <c r="Z283" s="268">
        <f>(Z154-Y154)*-1</f>
        <v>0</v>
      </c>
      <c r="AA283" s="268">
        <f>(AA154-Z154)*-1</f>
        <v>0</v>
      </c>
      <c r="AB283" s="268">
        <f>SUM(X283:AA283)</f>
        <v>0</v>
      </c>
      <c r="AC283" s="268">
        <f>(AC154-AB154)*-1</f>
        <v>0</v>
      </c>
      <c r="AD283" s="268">
        <f>(AD154-AC154)*-1</f>
        <v>0</v>
      </c>
      <c r="AE283" s="268">
        <f>(AE154-AD154)*-1</f>
        <v>0</v>
      </c>
      <c r="AF283" s="268">
        <f>(AF154-AE154)*-1</f>
        <v>0</v>
      </c>
      <c r="AG283" s="268">
        <f>SUM(AC283:AF283)</f>
        <v>0</v>
      </c>
      <c r="AH283" s="268">
        <f>(AH154-AG154)*-1</f>
        <v>0</v>
      </c>
      <c r="AI283" s="268">
        <f>(AI154-AH154)*-1</f>
        <v>0</v>
      </c>
      <c r="AJ283" s="268">
        <f>(AJ154-AI154)*-1</f>
        <v>0</v>
      </c>
      <c r="AK283" s="268">
        <f>(AK154-AJ154)*-1</f>
        <v>0</v>
      </c>
      <c r="AL283" s="268">
        <f>SUM(AH283:AK283)</f>
        <v>0</v>
      </c>
      <c r="AM283" s="268">
        <f>(AM154-AL154)*-1</f>
        <v>0</v>
      </c>
      <c r="AN283" s="268">
        <f>(AN154-AM154)*-1</f>
        <v>0</v>
      </c>
      <c r="AO283" s="268">
        <f>(AO154-AN154)*-1</f>
        <v>0</v>
      </c>
      <c r="AP283" s="268">
        <f>(AP154-AO154)*-1</f>
        <v>0</v>
      </c>
      <c r="AQ283" s="268">
        <f>SUM(AM283:AP283)</f>
        <v>0</v>
      </c>
      <c r="AR283" s="268">
        <f>(AR154-AQ154)*-1</f>
        <v>0</v>
      </c>
      <c r="AS283" s="268">
        <f>(AS154-AR154)*-1</f>
        <v>0</v>
      </c>
      <c r="AT283" s="268">
        <f>(AT154-AS154)*-1</f>
        <v>0</v>
      </c>
      <c r="AU283" s="268">
        <f>(AU154-AT154)*-1</f>
        <v>0</v>
      </c>
      <c r="AV283" s="268">
        <f>SUM(AR283:AU283)</f>
        <v>0</v>
      </c>
      <c r="AW283" s="268">
        <f>(AW154-AV154)*-1</f>
        <v>0</v>
      </c>
      <c r="AX283" s="268">
        <f>(AX154-AW154)*-1</f>
        <v>0</v>
      </c>
      <c r="AY283" s="268">
        <f>(AY154-AX154)*-1</f>
        <v>0</v>
      </c>
      <c r="AZ283" s="268">
        <f>(AZ154-AY154)*-1</f>
        <v>0</v>
      </c>
      <c r="BA283" s="268">
        <f>SUM(AW283:AZ283)</f>
        <v>0</v>
      </c>
      <c r="BB283" s="268">
        <f>(BB154-BA154)*-1</f>
        <v>0</v>
      </c>
      <c r="BC283" s="268">
        <f>(BC154-BB154)*-1</f>
        <v>0</v>
      </c>
      <c r="BD283" s="268">
        <f>(BD154-BC154)*-1</f>
        <v>0</v>
      </c>
      <c r="BE283" s="268">
        <f>(BE154-BD154)*-1</f>
        <v>0</v>
      </c>
      <c r="BF283" s="268">
        <f>SUM(BB283:BE283)</f>
        <v>0</v>
      </c>
      <c r="BG283" s="268">
        <f>(BG154-BF154)*-1</f>
        <v>0</v>
      </c>
      <c r="BH283" s="268">
        <f>(BH154-BG154)*-1</f>
        <v>0</v>
      </c>
      <c r="BI283" s="268">
        <f>(BI154-BH154)*-1</f>
        <v>0</v>
      </c>
      <c r="BJ283" s="268">
        <f>(BJ154-BI154)*-1</f>
        <v>0</v>
      </c>
      <c r="BK283" s="268">
        <f>SUM(BG283:BJ283)</f>
        <v>0</v>
      </c>
      <c r="BL283" s="268">
        <f>(BL154-BK154)*-1</f>
        <v>0</v>
      </c>
      <c r="BM283" s="268">
        <f>(BM154-BL154)*-1</f>
        <v>0</v>
      </c>
      <c r="BN283" s="268">
        <f>(BN154-BM154)*-1</f>
        <v>0</v>
      </c>
      <c r="BO283" s="268">
        <f>(BO154-BN154)*-1</f>
        <v>0</v>
      </c>
      <c r="BP283" s="268">
        <f>SUM(BL283:BO283)</f>
        <v>0</v>
      </c>
      <c r="BQ283" s="268">
        <f>(BQ154-BP154)*-1</f>
        <v>0</v>
      </c>
      <c r="BR283" s="268">
        <f>(BR154-BQ154)*-1</f>
        <v>0</v>
      </c>
      <c r="BS283" s="268">
        <f>(BS154-BR154)*-1</f>
        <v>0</v>
      </c>
      <c r="BT283" s="268">
        <f>(BT154-BS154)*-1</f>
        <v>0</v>
      </c>
      <c r="BU283" s="268">
        <f>SUM(BQ283:BT283)</f>
        <v>0</v>
      </c>
      <c r="BV283" s="268">
        <f>(BV154-BU154)*-1</f>
        <v>0</v>
      </c>
      <c r="BW283" s="268">
        <f>(BW154-BV154)*-1</f>
        <v>0</v>
      </c>
      <c r="BX283" s="268">
        <f>(BX154-BW154)*-1</f>
        <v>0</v>
      </c>
      <c r="BY283" s="268">
        <f>(BY154-BX154)*-1</f>
        <v>0</v>
      </c>
      <c r="BZ283" s="268">
        <f>SUM(BV283:BY283)</f>
        <v>0</v>
      </c>
      <c r="CA283" s="268">
        <f>(CA154-BZ154)*-1</f>
        <v>0</v>
      </c>
      <c r="CB283" s="268">
        <f>(CB154-CA154)*-1</f>
        <v>0</v>
      </c>
      <c r="CC283" s="268">
        <f>(CC154-CB154)*-1</f>
        <v>0</v>
      </c>
      <c r="CD283" s="268">
        <f>(CD154-CC154)*-1</f>
        <v>0</v>
      </c>
      <c r="CE283" s="268">
        <f>SUM(CA283:CD283)</f>
        <v>0</v>
      </c>
      <c r="CF283" s="268">
        <f>(CF154-CE154)*-1</f>
        <v>0</v>
      </c>
      <c r="CG283" s="268">
        <f>(CG154-CF154)*-1</f>
        <v>0</v>
      </c>
      <c r="CH283" s="268">
        <f>(CH154-CG154)*-1</f>
        <v>0</v>
      </c>
      <c r="CI283" s="268">
        <f>(CI154-CH154)*-1</f>
        <v>0</v>
      </c>
      <c r="CJ283" s="268">
        <f>SUM(CF283:CI283)</f>
        <v>0</v>
      </c>
      <c r="CK283" s="268">
        <f>(CK154-CJ154)*-1</f>
        <v>0</v>
      </c>
      <c r="CL283" s="268">
        <f>(CL154-CK154)*-1</f>
        <v>0</v>
      </c>
      <c r="CM283" s="268">
        <f>(CM154-CL154)*-1</f>
        <v>0</v>
      </c>
      <c r="CN283" s="268">
        <f>(CN154-CM154)*-1</f>
        <v>0</v>
      </c>
      <c r="CO283" s="268">
        <f>SUM(CK283:CN283)</f>
        <v>0</v>
      </c>
      <c r="CP283" s="268">
        <f>(CP154-CO154)*-1</f>
        <v>0</v>
      </c>
      <c r="CQ283" s="268">
        <f>(CQ154-CP154)*-1</f>
        <v>0</v>
      </c>
      <c r="CR283" s="268">
        <f>(CR154-CQ154)*-1</f>
        <v>0</v>
      </c>
      <c r="CS283" s="268">
        <f>(CS154-CR154)*-1</f>
        <v>0</v>
      </c>
      <c r="CT283" s="268">
        <f>SUM(CP283:CS283)</f>
        <v>0</v>
      </c>
      <c r="CU283" s="268">
        <f>(CU154-CT154)*-1</f>
        <v>0</v>
      </c>
      <c r="CV283" s="268">
        <f>(CV154-CU154)*-1</f>
        <v>0</v>
      </c>
      <c r="CW283" s="268">
        <f>(CW154-CV154)*-1</f>
        <v>0</v>
      </c>
      <c r="CX283" s="268">
        <f>(CX154-CW154)*-1</f>
        <v>0</v>
      </c>
      <c r="CY283" s="268">
        <f>SUM(CU283:CX283)</f>
        <v>0</v>
      </c>
    </row>
    <row r="284" hidden="1" outlineLevel="1" ht="12.75" customHeight="1" s="255">
      <c r="C284" s="266" t="inlineStr">
        <is>
          <t>Other current assets</t>
        </is>
      </c>
      <c r="D284" s="268" t="n"/>
      <c r="E284" s="268">
        <f>(E155-D155)*-1</f>
        <v>182</v>
      </c>
      <c r="F284" s="268">
        <f>(F155-E155)*-1</f>
        <v>-1466</v>
      </c>
      <c r="G284" s="268">
        <f>(G155-F155)*-1</f>
        <v>-1816</v>
      </c>
      <c r="H284" s="268">
        <f>SUM(D284:G284)</f>
        <v>-3100</v>
      </c>
      <c r="I284" s="268">
        <f>(I155-H155)*-1</f>
        <v>750</v>
      </c>
      <c r="J284" s="268">
        <f>(J155-I155)*-1</f>
        <v>85</v>
      </c>
      <c r="K284" s="268">
        <f>(K155-J155)*-1</f>
        <v>1049</v>
      </c>
      <c r="L284" s="268">
        <f>(L155-K155)*-1</f>
        <v>41</v>
      </c>
      <c r="M284" s="268">
        <f>SUM(I284:L284)</f>
        <v>1925</v>
      </c>
      <c r="N284" s="268">
        <f>(N155-M155)*-1</f>
        <v>-1937</v>
      </c>
      <c r="O284" s="268">
        <f>(O155-N155)*-1</f>
        <v>946</v>
      </c>
      <c r="P284" s="268">
        <f>(P155-O155)*-1</f>
        <v>215</v>
      </c>
      <c r="Q284" s="268">
        <f>(Q155-P155)*-1</f>
        <v>1374</v>
      </c>
      <c r="R284" s="268">
        <f>SUM(N284:Q284)</f>
        <v>598</v>
      </c>
      <c r="S284" s="268">
        <f>(S155-R155)*-1</f>
        <v>170</v>
      </c>
      <c r="T284" s="268">
        <f>(T155-S155)*-1</f>
        <v>-218</v>
      </c>
      <c r="U284" s="268">
        <f>(U155-T155)*-1</f>
        <v>71</v>
      </c>
      <c r="V284" s="268">
        <f>(V155-U155)*-1</f>
        <v>343</v>
      </c>
      <c r="W284" s="268">
        <f>SUM(S284:V284)</f>
        <v>366</v>
      </c>
      <c r="X284" s="268">
        <f>(X155-W155)*-1</f>
        <v>40</v>
      </c>
      <c r="Y284" s="268">
        <f>(Y155-X155)*-1</f>
        <v>54</v>
      </c>
      <c r="Z284" s="268">
        <f>(Z155-Y155)*-1</f>
        <v>439</v>
      </c>
      <c r="AA284" s="268">
        <f>(AA155-Z155)*-1</f>
        <v>-490</v>
      </c>
      <c r="AB284" s="268">
        <f>SUM(X284:AA284)</f>
        <v>43</v>
      </c>
      <c r="AC284" s="268">
        <f>(AC155-AB155)*-1</f>
        <v>31</v>
      </c>
      <c r="AD284" s="268">
        <f>(AD155-AC155)*-1</f>
        <v>-406</v>
      </c>
      <c r="AE284" s="268">
        <f>(AE155-AD155)*-1</f>
        <v>-4215</v>
      </c>
      <c r="AF284" s="268">
        <f>(AF155-AE155)*-1</f>
        <v>2410</v>
      </c>
      <c r="AG284" s="268">
        <f>SUM(AC284:AF284)</f>
        <v>-2180</v>
      </c>
      <c r="AH284" s="268">
        <f>(AH155-AG155)*-1</f>
        <v>-664</v>
      </c>
      <c r="AI284" s="268">
        <f>(AI155-AH155)*-1</f>
        <v>622</v>
      </c>
      <c r="AJ284" s="268">
        <f>(AJ155-AI155)*-1</f>
        <v>0</v>
      </c>
      <c r="AK284" s="268">
        <f>(AK155-AJ155)*-1</f>
        <v>0</v>
      </c>
      <c r="AL284" s="268">
        <f>SUM(AH284:AK284)</f>
        <v>-42</v>
      </c>
      <c r="AM284" s="268">
        <f>(AM155-AL155)*-1</f>
        <v>0</v>
      </c>
      <c r="AN284" s="268">
        <f>(AN155-AM155)*-1</f>
        <v>0</v>
      </c>
      <c r="AO284" s="268">
        <f>(AO155-AN155)*-1</f>
        <v>0</v>
      </c>
      <c r="AP284" s="268">
        <f>(AP155-AO155)*-1</f>
        <v>0</v>
      </c>
      <c r="AQ284" s="268">
        <f>SUM(AM284:AP284)</f>
        <v>0</v>
      </c>
      <c r="AR284" s="268">
        <f>(AR155-AQ155)*-1</f>
        <v>0</v>
      </c>
      <c r="AS284" s="268">
        <f>(AS155-AR155)*-1</f>
        <v>0</v>
      </c>
      <c r="AT284" s="268">
        <f>(AT155-AS155)*-1</f>
        <v>0</v>
      </c>
      <c r="AU284" s="268">
        <f>(AU155-AT155)*-1</f>
        <v>0</v>
      </c>
      <c r="AV284" s="268">
        <f>SUM(AR284:AU284)</f>
        <v>0</v>
      </c>
      <c r="AW284" s="268">
        <f>(AW155-AV155)*-1</f>
        <v>0</v>
      </c>
      <c r="AX284" s="268">
        <f>(AX155-AW155)*-1</f>
        <v>0</v>
      </c>
      <c r="AY284" s="268">
        <f>(AY155-AX155)*-1</f>
        <v>0</v>
      </c>
      <c r="AZ284" s="268">
        <f>(AZ155-AY155)*-1</f>
        <v>0</v>
      </c>
      <c r="BA284" s="268">
        <f>SUM(AW284:AZ284)</f>
        <v>0</v>
      </c>
      <c r="BB284" s="268">
        <f>(BB155-BA155)*-1</f>
        <v>0</v>
      </c>
      <c r="BC284" s="268">
        <f>(BC155-BB155)*-1</f>
        <v>0</v>
      </c>
      <c r="BD284" s="268">
        <f>(BD155-BC155)*-1</f>
        <v>0</v>
      </c>
      <c r="BE284" s="268">
        <f>(BE155-BD155)*-1</f>
        <v>0</v>
      </c>
      <c r="BF284" s="268">
        <f>SUM(BB284:BE284)</f>
        <v>0</v>
      </c>
      <c r="BG284" s="268">
        <f>(BG155-BF155)*-1</f>
        <v>0</v>
      </c>
      <c r="BH284" s="268">
        <f>(BH155-BG155)*-1</f>
        <v>0</v>
      </c>
      <c r="BI284" s="268">
        <f>(BI155-BH155)*-1</f>
        <v>0</v>
      </c>
      <c r="BJ284" s="268">
        <f>(BJ155-BI155)*-1</f>
        <v>0</v>
      </c>
      <c r="BK284" s="268">
        <f>SUM(BG284:BJ284)</f>
        <v>0</v>
      </c>
      <c r="BL284" s="268">
        <f>(BL155-BK155)*-1</f>
        <v>0</v>
      </c>
      <c r="BM284" s="268">
        <f>(BM155-BL155)*-1</f>
        <v>0</v>
      </c>
      <c r="BN284" s="268">
        <f>(BN155-BM155)*-1</f>
        <v>0</v>
      </c>
      <c r="BO284" s="268">
        <f>(BO155-BN155)*-1</f>
        <v>0</v>
      </c>
      <c r="BP284" s="268">
        <f>SUM(BL284:BO284)</f>
        <v>0</v>
      </c>
      <c r="BQ284" s="268">
        <f>(BQ155-BP155)*-1</f>
        <v>0</v>
      </c>
      <c r="BR284" s="268">
        <f>(BR155-BQ155)*-1</f>
        <v>0</v>
      </c>
      <c r="BS284" s="268">
        <f>(BS155-BR155)*-1</f>
        <v>0</v>
      </c>
      <c r="BT284" s="268">
        <f>(BT155-BS155)*-1</f>
        <v>0</v>
      </c>
      <c r="BU284" s="268">
        <f>SUM(BQ284:BT284)</f>
        <v>0</v>
      </c>
      <c r="BV284" s="268">
        <f>(BV155-BU155)*-1</f>
        <v>0</v>
      </c>
      <c r="BW284" s="268">
        <f>(BW155-BV155)*-1</f>
        <v>0</v>
      </c>
      <c r="BX284" s="268">
        <f>(BX155-BW155)*-1</f>
        <v>0</v>
      </c>
      <c r="BY284" s="268">
        <f>(BY155-BX155)*-1</f>
        <v>0</v>
      </c>
      <c r="BZ284" s="268">
        <f>SUM(BV284:BY284)</f>
        <v>0</v>
      </c>
      <c r="CA284" s="268">
        <f>(CA155-BZ155)*-1</f>
        <v>0</v>
      </c>
      <c r="CB284" s="268">
        <f>(CB155-CA155)*-1</f>
        <v>0</v>
      </c>
      <c r="CC284" s="268">
        <f>(CC155-CB155)*-1</f>
        <v>0</v>
      </c>
      <c r="CD284" s="268">
        <f>(CD155-CC155)*-1</f>
        <v>0</v>
      </c>
      <c r="CE284" s="268">
        <f>SUM(CA284:CD284)</f>
        <v>0</v>
      </c>
      <c r="CF284" s="268">
        <f>(CF155-CE155)*-1</f>
        <v>0</v>
      </c>
      <c r="CG284" s="268">
        <f>(CG155-CF155)*-1</f>
        <v>0</v>
      </c>
      <c r="CH284" s="268">
        <f>(CH155-CG155)*-1</f>
        <v>0</v>
      </c>
      <c r="CI284" s="268">
        <f>(CI155-CH155)*-1</f>
        <v>0</v>
      </c>
      <c r="CJ284" s="268">
        <f>SUM(CF284:CI284)</f>
        <v>0</v>
      </c>
      <c r="CK284" s="268">
        <f>(CK155-CJ155)*-1</f>
        <v>0</v>
      </c>
      <c r="CL284" s="268">
        <f>(CL155-CK155)*-1</f>
        <v>0</v>
      </c>
      <c r="CM284" s="268">
        <f>(CM155-CL155)*-1</f>
        <v>0</v>
      </c>
      <c r="CN284" s="268">
        <f>(CN155-CM155)*-1</f>
        <v>0</v>
      </c>
      <c r="CO284" s="268">
        <f>SUM(CK284:CN284)</f>
        <v>0</v>
      </c>
      <c r="CP284" s="268">
        <f>(CP155-CO155)*-1</f>
        <v>0</v>
      </c>
      <c r="CQ284" s="268">
        <f>(CQ155-CP155)*-1</f>
        <v>0</v>
      </c>
      <c r="CR284" s="268">
        <f>(CR155-CQ155)*-1</f>
        <v>0</v>
      </c>
      <c r="CS284" s="268">
        <f>(CS155-CR155)*-1</f>
        <v>0</v>
      </c>
      <c r="CT284" s="268">
        <f>SUM(CP284:CS284)</f>
        <v>0</v>
      </c>
      <c r="CU284" s="268">
        <f>(CU155-CT155)*-1</f>
        <v>0</v>
      </c>
      <c r="CV284" s="268">
        <f>(CV155-CU155)*-1</f>
        <v>0</v>
      </c>
      <c r="CW284" s="268">
        <f>(CW155-CV155)*-1</f>
        <v>0</v>
      </c>
      <c r="CX284" s="268">
        <f>(CX155-CW155)*-1</f>
        <v>0</v>
      </c>
      <c r="CY284" s="268">
        <f>SUM(CU284:CX284)</f>
        <v>0</v>
      </c>
    </row>
    <row r="285" hidden="1" outlineLevel="1" ht="12.75" customHeight="1" s="255">
      <c r="C285" s="266" t="inlineStr">
        <is>
          <t>Accounts payable</t>
        </is>
      </c>
      <c r="D285" s="268" t="n"/>
      <c r="E285" s="268">
        <f>E198-D198</f>
        <v>-766</v>
      </c>
      <c r="F285" s="268">
        <f>F198-E198</f>
        <v>106</v>
      </c>
      <c r="G285" s="268">
        <f>G198-F198</f>
        <v>-72</v>
      </c>
      <c r="H285" s="268">
        <f>SUM(D285:G285)</f>
        <v>-732</v>
      </c>
      <c r="I285" s="268">
        <f>I198-H198</f>
        <v>1206</v>
      </c>
      <c r="J285" s="268">
        <f>J198-I198</f>
        <v>-208</v>
      </c>
      <c r="K285" s="268">
        <f>K198-J198</f>
        <v>310</v>
      </c>
      <c r="L285" s="268">
        <f>L198-K198</f>
        <v>306</v>
      </c>
      <c r="M285" s="268">
        <f>SUM(I285:L285)</f>
        <v>1614</v>
      </c>
      <c r="N285" s="268">
        <f>N198-M198</f>
        <v>1586</v>
      </c>
      <c r="O285" s="268">
        <f>O198-N198</f>
        <v>-489</v>
      </c>
      <c r="P285" s="268">
        <f>P198-O198</f>
        <v>-892</v>
      </c>
      <c r="Q285" s="268">
        <f>Q198-P198</f>
        <v>-69</v>
      </c>
      <c r="R285" s="268">
        <f>SUM(N285:Q285)</f>
        <v>136</v>
      </c>
      <c r="S285" s="268">
        <f>S198-R198</f>
        <v>1090</v>
      </c>
      <c r="T285" s="268">
        <f>T198-S198</f>
        <v>-1228</v>
      </c>
      <c r="U285" s="268">
        <f>U198-T198</f>
        <v>-273</v>
      </c>
      <c r="V285" s="268">
        <f>V198-U198</f>
        <v>-311</v>
      </c>
      <c r="W285" s="268">
        <f>SUM(S285:V285)</f>
        <v>-722</v>
      </c>
      <c r="X285" s="268">
        <f>X198-W198</f>
        <v>839</v>
      </c>
      <c r="Y285" s="268">
        <f>Y198-X198</f>
        <v>-1074</v>
      </c>
      <c r="Z285" s="268">
        <f>Z198-Y198</f>
        <v>-218</v>
      </c>
      <c r="AA285" s="268">
        <f>AA198-Z198</f>
        <v>-434</v>
      </c>
      <c r="AB285" s="268">
        <f>SUM(X285:AA285)</f>
        <v>-887</v>
      </c>
      <c r="AC285" s="268">
        <f>AC198-AB198</f>
        <v>1054</v>
      </c>
      <c r="AD285" s="268">
        <f>AD198-AC198</f>
        <v>-937</v>
      </c>
      <c r="AE285" s="268">
        <f>AE198-AD198</f>
        <v>1886</v>
      </c>
      <c r="AF285" s="268">
        <f>AF198-AE198</f>
        <v>101</v>
      </c>
      <c r="AG285" s="268">
        <f>SUM(AC285:AF285)</f>
        <v>2104</v>
      </c>
      <c r="AH285" s="268">
        <f>AH198-AG198</f>
        <v>1295</v>
      </c>
      <c r="AI285" s="268">
        <f>AI198-AH198</f>
        <v>-806</v>
      </c>
      <c r="AJ285" s="268">
        <f>AJ198-AI198</f>
        <v>-5370</v>
      </c>
      <c r="AK285" s="268">
        <f>AK198-AJ198</f>
        <v>0</v>
      </c>
      <c r="AL285" s="268">
        <f>SUM(AH285:AK285)</f>
        <v>-4881</v>
      </c>
      <c r="AM285" s="268">
        <f>AM198-AL198</f>
        <v>0</v>
      </c>
      <c r="AN285" s="268">
        <f>AN198-AM198</f>
        <v>0</v>
      </c>
      <c r="AO285" s="268">
        <f>AO198-AN198</f>
        <v>0</v>
      </c>
      <c r="AP285" s="268">
        <f>AP198-AO198</f>
        <v>0</v>
      </c>
      <c r="AQ285" s="268">
        <f>SUM(AM285:AP285)</f>
        <v>0</v>
      </c>
      <c r="AR285" s="268">
        <f>AR198-AQ198</f>
        <v>0</v>
      </c>
      <c r="AS285" s="268">
        <f>AS198-AR198</f>
        <v>0</v>
      </c>
      <c r="AT285" s="268">
        <f>AT198-AS198</f>
        <v>0</v>
      </c>
      <c r="AU285" s="268">
        <f>AU198-AT198</f>
        <v>0</v>
      </c>
      <c r="AV285" s="268">
        <f>SUM(AR285:AU285)</f>
        <v>0</v>
      </c>
      <c r="AW285" s="268">
        <f>AW198-AV198</f>
        <v>0</v>
      </c>
      <c r="AX285" s="268">
        <f>AX198-AW198</f>
        <v>0</v>
      </c>
      <c r="AY285" s="268">
        <f>AY198-AX198</f>
        <v>0</v>
      </c>
      <c r="AZ285" s="268">
        <f>AZ198-AY198</f>
        <v>0</v>
      </c>
      <c r="BA285" s="268">
        <f>SUM(AW285:AZ285)</f>
        <v>0</v>
      </c>
      <c r="BB285" s="268">
        <f>BB198-BA198</f>
        <v>0</v>
      </c>
      <c r="BC285" s="268">
        <f>BC198-BB198</f>
        <v>0</v>
      </c>
      <c r="BD285" s="268">
        <f>BD198-BC198</f>
        <v>0</v>
      </c>
      <c r="BE285" s="268">
        <f>BE198-BD198</f>
        <v>0</v>
      </c>
      <c r="BF285" s="268">
        <f>SUM(BB285:BE285)</f>
        <v>0</v>
      </c>
      <c r="BG285" s="268">
        <f>BG198-BF198</f>
        <v>0</v>
      </c>
      <c r="BH285" s="268">
        <f>BH198-BG198</f>
        <v>0</v>
      </c>
      <c r="BI285" s="268">
        <f>BI198-BH198</f>
        <v>0</v>
      </c>
      <c r="BJ285" s="268">
        <f>BJ198-BI198</f>
        <v>0</v>
      </c>
      <c r="BK285" s="268">
        <f>SUM(BG285:BJ285)</f>
        <v>0</v>
      </c>
      <c r="BL285" s="268">
        <f>BL198-BK198</f>
        <v>0</v>
      </c>
      <c r="BM285" s="268">
        <f>BM198-BL198</f>
        <v>0</v>
      </c>
      <c r="BN285" s="268">
        <f>BN198-BM198</f>
        <v>0</v>
      </c>
      <c r="BO285" s="268">
        <f>BO198-BN198</f>
        <v>0</v>
      </c>
      <c r="BP285" s="268">
        <f>SUM(BL285:BO285)</f>
        <v>0</v>
      </c>
      <c r="BQ285" s="268">
        <f>BQ198-BP198</f>
        <v>0</v>
      </c>
      <c r="BR285" s="268">
        <f>BR198-BQ198</f>
        <v>0</v>
      </c>
      <c r="BS285" s="268">
        <f>BS198-BR198</f>
        <v>0</v>
      </c>
      <c r="BT285" s="268">
        <f>BT198-BS198</f>
        <v>0</v>
      </c>
      <c r="BU285" s="268">
        <f>SUM(BQ285:BT285)</f>
        <v>0</v>
      </c>
      <c r="BV285" s="268">
        <f>BV198-BU198</f>
        <v>0</v>
      </c>
      <c r="BW285" s="268">
        <f>BW198-BV198</f>
        <v>0</v>
      </c>
      <c r="BX285" s="268">
        <f>BX198-BW198</f>
        <v>0</v>
      </c>
      <c r="BY285" s="268">
        <f>BY198-BX198</f>
        <v>0</v>
      </c>
      <c r="BZ285" s="268">
        <f>SUM(BV285:BY285)</f>
        <v>0</v>
      </c>
      <c r="CA285" s="268">
        <f>CA198-BZ198</f>
        <v>0</v>
      </c>
      <c r="CB285" s="268">
        <f>CB198-CA198</f>
        <v>0</v>
      </c>
      <c r="CC285" s="268">
        <f>CC198-CB198</f>
        <v>0</v>
      </c>
      <c r="CD285" s="268">
        <f>CD198-CC198</f>
        <v>0</v>
      </c>
      <c r="CE285" s="268">
        <f>SUM(CA285:CD285)</f>
        <v>0</v>
      </c>
      <c r="CF285" s="268">
        <f>CF198-CE198</f>
        <v>0</v>
      </c>
      <c r="CG285" s="268">
        <f>CG198-CF198</f>
        <v>0</v>
      </c>
      <c r="CH285" s="268">
        <f>CH198-CG198</f>
        <v>0</v>
      </c>
      <c r="CI285" s="268">
        <f>CI198-CH198</f>
        <v>0</v>
      </c>
      <c r="CJ285" s="268">
        <f>SUM(CF285:CI285)</f>
        <v>0</v>
      </c>
      <c r="CK285" s="268">
        <f>CK198-CJ198</f>
        <v>0</v>
      </c>
      <c r="CL285" s="268">
        <f>CL198-CK198</f>
        <v>0</v>
      </c>
      <c r="CM285" s="268">
        <f>CM198-CL198</f>
        <v>0</v>
      </c>
      <c r="CN285" s="268">
        <f>CN198-CM198</f>
        <v>0</v>
      </c>
      <c r="CO285" s="268">
        <f>SUM(CK285:CN285)</f>
        <v>0</v>
      </c>
      <c r="CP285" s="268">
        <f>CP198-CO198</f>
        <v>0</v>
      </c>
      <c r="CQ285" s="268">
        <f>CQ198-CP198</f>
        <v>0</v>
      </c>
      <c r="CR285" s="268">
        <f>CR198-CQ198</f>
        <v>0</v>
      </c>
      <c r="CS285" s="268">
        <f>CS198-CR198</f>
        <v>0</v>
      </c>
      <c r="CT285" s="268">
        <f>SUM(CP285:CS285)</f>
        <v>0</v>
      </c>
      <c r="CU285" s="268">
        <f>CU198-CT198</f>
        <v>0</v>
      </c>
      <c r="CV285" s="268">
        <f>CV198-CU198</f>
        <v>0</v>
      </c>
      <c r="CW285" s="268">
        <f>CW198-CV198</f>
        <v>0</v>
      </c>
      <c r="CX285" s="268">
        <f>CX198-CW198</f>
        <v>0</v>
      </c>
      <c r="CY285" s="268">
        <f>SUM(CU285:CX285)</f>
        <v>0</v>
      </c>
    </row>
    <row r="286" hidden="1" outlineLevel="1" ht="12.75" customHeight="1" s="255">
      <c r="C286" s="266" t="inlineStr">
        <is>
          <t>Accrued expenses</t>
        </is>
      </c>
      <c r="D286" s="268" t="n"/>
      <c r="E286" s="268">
        <f>E202-D202</f>
        <v>0</v>
      </c>
      <c r="F286" s="268">
        <f>F202-E202</f>
        <v>0</v>
      </c>
      <c r="G286" s="268">
        <f>G202-F202</f>
        <v>0</v>
      </c>
      <c r="H286" s="268">
        <f>SUM(D286:G286)</f>
        <v>0</v>
      </c>
      <c r="I286" s="268">
        <f>I202-H202</f>
        <v>0</v>
      </c>
      <c r="J286" s="268">
        <f>J202-I202</f>
        <v>0</v>
      </c>
      <c r="K286" s="268">
        <f>K202-J202</f>
        <v>0</v>
      </c>
      <c r="L286" s="268">
        <f>L202-K202</f>
        <v>0</v>
      </c>
      <c r="M286" s="268">
        <f>SUM(I286:L286)</f>
        <v>0</v>
      </c>
      <c r="N286" s="268">
        <f>N202-M202</f>
        <v>0</v>
      </c>
      <c r="O286" s="268">
        <f>O202-N202</f>
        <v>0</v>
      </c>
      <c r="P286" s="268">
        <f>P202-O202</f>
        <v>0</v>
      </c>
      <c r="Q286" s="268">
        <f>Q202-P202</f>
        <v>0</v>
      </c>
      <c r="R286" s="268">
        <f>SUM(N286:Q286)</f>
        <v>0</v>
      </c>
      <c r="S286" s="268">
        <f>S202-R202</f>
        <v>0</v>
      </c>
      <c r="T286" s="268">
        <f>T202-S202</f>
        <v>0</v>
      </c>
      <c r="U286" s="268">
        <f>U202-T202</f>
        <v>0</v>
      </c>
      <c r="V286" s="268">
        <f>V202-U202</f>
        <v>0</v>
      </c>
      <c r="W286" s="268">
        <f>SUM(S286:V286)</f>
        <v>0</v>
      </c>
      <c r="X286" s="268">
        <f>X202-W202</f>
        <v>0</v>
      </c>
      <c r="Y286" s="268">
        <f>Y202-X202</f>
        <v>0</v>
      </c>
      <c r="Z286" s="268">
        <f>Z202-Y202</f>
        <v>0</v>
      </c>
      <c r="AA286" s="268">
        <f>AA202-Z202</f>
        <v>0</v>
      </c>
      <c r="AB286" s="268">
        <f>SUM(X286:AA286)</f>
        <v>0</v>
      </c>
      <c r="AC286" s="268">
        <f>AC202-AB202</f>
        <v>0</v>
      </c>
      <c r="AD286" s="268">
        <f>AD202-AC202</f>
        <v>0</v>
      </c>
      <c r="AE286" s="268">
        <f>AE202-AD202</f>
        <v>0</v>
      </c>
      <c r="AF286" s="268">
        <f>AF202-AE202</f>
        <v>0</v>
      </c>
      <c r="AG286" s="268">
        <f>SUM(AC286:AF286)</f>
        <v>0</v>
      </c>
      <c r="AH286" s="268">
        <f>AH202-AG202</f>
        <v>0</v>
      </c>
      <c r="AI286" s="268">
        <f>AI202-AH202</f>
        <v>0</v>
      </c>
      <c r="AJ286" s="268">
        <f>AJ202-AI202</f>
        <v>0</v>
      </c>
      <c r="AK286" s="268">
        <f>AK202-AJ202</f>
        <v>0</v>
      </c>
      <c r="AL286" s="268">
        <f>SUM(AH286:AK286)</f>
        <v>0</v>
      </c>
      <c r="AM286" s="268" t="e">
        <f>AM202-AL202</f>
        <v>#DIV/0!</v>
      </c>
      <c r="AN286" s="268" t="e">
        <f>AN202-AM202</f>
        <v>#DIV/0!</v>
      </c>
      <c r="AO286" s="268" t="e">
        <f>AO202-AN202</f>
        <v>#DIV/0!</v>
      </c>
      <c r="AP286" s="268" t="e">
        <f>AP202-AO202</f>
        <v>#DIV/0!</v>
      </c>
      <c r="AQ286" s="268" t="e">
        <f>SUM(AM286:AP286)</f>
        <v>#DIV/0!</v>
      </c>
      <c r="AR286" s="268" t="e">
        <f>AR202-AQ202</f>
        <v>#DIV/0!</v>
      </c>
      <c r="AS286" s="268" t="e">
        <f>AS202-AR202</f>
        <v>#DIV/0!</v>
      </c>
      <c r="AT286" s="268" t="e">
        <f>AT202-AS202</f>
        <v>#DIV/0!</v>
      </c>
      <c r="AU286" s="268" t="e">
        <f>AU202-AT202</f>
        <v>#DIV/0!</v>
      </c>
      <c r="AV286" s="268" t="e">
        <f>SUM(AR286:AU286)</f>
        <v>#DIV/0!</v>
      </c>
      <c r="AW286" s="268" t="e">
        <f>AW202-AV202</f>
        <v>#DIV/0!</v>
      </c>
      <c r="AX286" s="268" t="e">
        <f>AX202-AW202</f>
        <v>#DIV/0!</v>
      </c>
      <c r="AY286" s="268" t="e">
        <f>AY202-AX202</f>
        <v>#DIV/0!</v>
      </c>
      <c r="AZ286" s="268" t="e">
        <f>AZ202-AY202</f>
        <v>#DIV/0!</v>
      </c>
      <c r="BA286" s="268" t="e">
        <f>SUM(AW286:AZ286)</f>
        <v>#DIV/0!</v>
      </c>
      <c r="BB286" s="268" t="e">
        <f>BB202-BA202</f>
        <v>#DIV/0!</v>
      </c>
      <c r="BC286" s="268" t="e">
        <f>BC202-BB202</f>
        <v>#DIV/0!</v>
      </c>
      <c r="BD286" s="268" t="e">
        <f>BD202-BC202</f>
        <v>#DIV/0!</v>
      </c>
      <c r="BE286" s="268" t="e">
        <f>BE202-BD202</f>
        <v>#DIV/0!</v>
      </c>
      <c r="BF286" s="268" t="e">
        <f>SUM(BB286:BE286)</f>
        <v>#DIV/0!</v>
      </c>
      <c r="BG286" s="268" t="e">
        <f>BG202-BF202</f>
        <v>#DIV/0!</v>
      </c>
      <c r="BH286" s="268" t="e">
        <f>BH202-BG202</f>
        <v>#DIV/0!</v>
      </c>
      <c r="BI286" s="268" t="e">
        <f>BI202-BH202</f>
        <v>#DIV/0!</v>
      </c>
      <c r="BJ286" s="268" t="e">
        <f>BJ202-BI202</f>
        <v>#DIV/0!</v>
      </c>
      <c r="BK286" s="268" t="e">
        <f>SUM(BG286:BJ286)</f>
        <v>#DIV/0!</v>
      </c>
      <c r="BL286" s="268" t="e">
        <f>BL202-BK202</f>
        <v>#DIV/0!</v>
      </c>
      <c r="BM286" s="268" t="e">
        <f>BM202-BL202</f>
        <v>#DIV/0!</v>
      </c>
      <c r="BN286" s="268" t="e">
        <f>BN202-BM202</f>
        <v>#DIV/0!</v>
      </c>
      <c r="BO286" s="268" t="e">
        <f>BO202-BN202</f>
        <v>#DIV/0!</v>
      </c>
      <c r="BP286" s="268" t="e">
        <f>SUM(BL286:BO286)</f>
        <v>#DIV/0!</v>
      </c>
      <c r="BQ286" s="268" t="e">
        <f>BQ202-BP202</f>
        <v>#DIV/0!</v>
      </c>
      <c r="BR286" s="268" t="e">
        <f>BR202-BQ202</f>
        <v>#DIV/0!</v>
      </c>
      <c r="BS286" s="268" t="e">
        <f>BS202-BR202</f>
        <v>#DIV/0!</v>
      </c>
      <c r="BT286" s="268" t="e">
        <f>BT202-BS202</f>
        <v>#DIV/0!</v>
      </c>
      <c r="BU286" s="268" t="e">
        <f>SUM(BQ286:BT286)</f>
        <v>#DIV/0!</v>
      </c>
      <c r="BV286" s="268" t="e">
        <f>BV202-BU202</f>
        <v>#DIV/0!</v>
      </c>
      <c r="BW286" s="268" t="e">
        <f>BW202-BV202</f>
        <v>#DIV/0!</v>
      </c>
      <c r="BX286" s="268" t="e">
        <f>BX202-BW202</f>
        <v>#DIV/0!</v>
      </c>
      <c r="BY286" s="268" t="e">
        <f>BY202-BX202</f>
        <v>#DIV/0!</v>
      </c>
      <c r="BZ286" s="268" t="e">
        <f>SUM(BV286:BY286)</f>
        <v>#DIV/0!</v>
      </c>
      <c r="CA286" s="268" t="e">
        <f>CA202-BZ202</f>
        <v>#DIV/0!</v>
      </c>
      <c r="CB286" s="268" t="e">
        <f>CB202-CA202</f>
        <v>#DIV/0!</v>
      </c>
      <c r="CC286" s="268" t="e">
        <f>CC202-CB202</f>
        <v>#DIV/0!</v>
      </c>
      <c r="CD286" s="268" t="e">
        <f>CD202-CC202</f>
        <v>#DIV/0!</v>
      </c>
      <c r="CE286" s="268" t="e">
        <f>SUM(CA286:CD286)</f>
        <v>#DIV/0!</v>
      </c>
      <c r="CF286" s="268" t="e">
        <f>CF202-CE202</f>
        <v>#DIV/0!</v>
      </c>
      <c r="CG286" s="268" t="e">
        <f>CG202-CF202</f>
        <v>#DIV/0!</v>
      </c>
      <c r="CH286" s="268" t="e">
        <f>CH202-CG202</f>
        <v>#DIV/0!</v>
      </c>
      <c r="CI286" s="268" t="e">
        <f>CI202-CH202</f>
        <v>#DIV/0!</v>
      </c>
      <c r="CJ286" s="268" t="e">
        <f>SUM(CF286:CI286)</f>
        <v>#DIV/0!</v>
      </c>
      <c r="CK286" s="268" t="e">
        <f>CK202-CJ202</f>
        <v>#DIV/0!</v>
      </c>
      <c r="CL286" s="268" t="e">
        <f>CL202-CK202</f>
        <v>#DIV/0!</v>
      </c>
      <c r="CM286" s="268" t="e">
        <f>CM202-CL202</f>
        <v>#DIV/0!</v>
      </c>
      <c r="CN286" s="268" t="e">
        <f>CN202-CM202</f>
        <v>#DIV/0!</v>
      </c>
      <c r="CO286" s="268" t="e">
        <f>SUM(CK286:CN286)</f>
        <v>#DIV/0!</v>
      </c>
      <c r="CP286" s="268" t="e">
        <f>CP202-CO202</f>
        <v>#DIV/0!</v>
      </c>
      <c r="CQ286" s="268" t="e">
        <f>CQ202-CP202</f>
        <v>#DIV/0!</v>
      </c>
      <c r="CR286" s="268" t="e">
        <f>CR202-CQ202</f>
        <v>#DIV/0!</v>
      </c>
      <c r="CS286" s="268" t="e">
        <f>CS202-CR202</f>
        <v>#DIV/0!</v>
      </c>
      <c r="CT286" s="268" t="e">
        <f>SUM(CP286:CS286)</f>
        <v>#DIV/0!</v>
      </c>
      <c r="CU286" s="268" t="e">
        <f>CU202-CT202</f>
        <v>#DIV/0!</v>
      </c>
      <c r="CV286" s="268" t="e">
        <f>CV202-CU202</f>
        <v>#DIV/0!</v>
      </c>
      <c r="CW286" s="268" t="e">
        <f>CW202-CV202</f>
        <v>#DIV/0!</v>
      </c>
      <c r="CX286" s="268" t="e">
        <f>CX202-CW202</f>
        <v>#DIV/0!</v>
      </c>
      <c r="CY286" s="268" t="e">
        <f>SUM(CU286:CX286)</f>
        <v>#DIV/0!</v>
      </c>
    </row>
    <row r="287" hidden="1" outlineLevel="1" ht="12.75" customHeight="1" s="255">
      <c r="C287" s="266" t="inlineStr">
        <is>
          <t>Taxes payable</t>
        </is>
      </c>
      <c r="D287" s="268" t="n"/>
      <c r="E287" s="268">
        <f>E204-D204</f>
        <v>0</v>
      </c>
      <c r="F287" s="268">
        <f>F204-E204</f>
        <v>0</v>
      </c>
      <c r="G287" s="268">
        <f>G204-F204</f>
        <v>0</v>
      </c>
      <c r="H287" s="268">
        <f>SUM(D287:G287)</f>
        <v>0</v>
      </c>
      <c r="I287" s="268">
        <f>I204-H204</f>
        <v>0</v>
      </c>
      <c r="J287" s="268">
        <f>J204-I204</f>
        <v>0</v>
      </c>
      <c r="K287" s="268">
        <f>K204-J204</f>
        <v>0</v>
      </c>
      <c r="L287" s="268">
        <f>L204-K204</f>
        <v>0</v>
      </c>
      <c r="M287" s="268">
        <f>SUM(I287:L287)</f>
        <v>0</v>
      </c>
      <c r="N287" s="268">
        <f>N204-M204</f>
        <v>0</v>
      </c>
      <c r="O287" s="268">
        <f>O204-N204</f>
        <v>0</v>
      </c>
      <c r="P287" s="268">
        <f>P204-O204</f>
        <v>0</v>
      </c>
      <c r="Q287" s="268">
        <f>Q204-P204</f>
        <v>0</v>
      </c>
      <c r="R287" s="268">
        <f>SUM(N287:Q287)</f>
        <v>0</v>
      </c>
      <c r="S287" s="268">
        <f>S204-R204</f>
        <v>0</v>
      </c>
      <c r="T287" s="268">
        <f>T204-S204</f>
        <v>0</v>
      </c>
      <c r="U287" s="268">
        <f>U204-T204</f>
        <v>0</v>
      </c>
      <c r="V287" s="268">
        <f>V204-U204</f>
        <v>0</v>
      </c>
      <c r="W287" s="268">
        <f>SUM(S287:V287)</f>
        <v>0</v>
      </c>
      <c r="X287" s="268">
        <f>X204-W204</f>
        <v>0</v>
      </c>
      <c r="Y287" s="268">
        <f>Y204-X204</f>
        <v>0</v>
      </c>
      <c r="Z287" s="268">
        <f>Z204-Y204</f>
        <v>0</v>
      </c>
      <c r="AA287" s="268">
        <f>AA204-Z204</f>
        <v>0</v>
      </c>
      <c r="AB287" s="268">
        <f>SUM(X287:AA287)</f>
        <v>0</v>
      </c>
      <c r="AC287" s="268">
        <f>AC204-AB204</f>
        <v>0</v>
      </c>
      <c r="AD287" s="268">
        <f>AD204-AC204</f>
        <v>0</v>
      </c>
      <c r="AE287" s="268">
        <f>AE204-AD204</f>
        <v>0</v>
      </c>
      <c r="AF287" s="268">
        <f>AF204-AE204</f>
        <v>0</v>
      </c>
      <c r="AG287" s="268">
        <f>SUM(AC287:AF287)</f>
        <v>0</v>
      </c>
      <c r="AH287" s="268">
        <f>AH204-AG204</f>
        <v>0</v>
      </c>
      <c r="AI287" s="268">
        <f>AI204-AH204</f>
        <v>0</v>
      </c>
      <c r="AJ287" s="268">
        <f>AJ204-AI204</f>
        <v>0</v>
      </c>
      <c r="AK287" s="268">
        <f>AK204-AJ204</f>
        <v>0</v>
      </c>
      <c r="AL287" s="268">
        <f>SUM(AH287:AK287)</f>
        <v>0</v>
      </c>
      <c r="AM287" s="268" t="e">
        <f>AM204-AL204</f>
        <v>#DIV/0!</v>
      </c>
      <c r="AN287" s="268" t="e">
        <f>AN204-AM204</f>
        <v>#DIV/0!</v>
      </c>
      <c r="AO287" s="268" t="e">
        <f>AO204-AN204</f>
        <v>#DIV/0!</v>
      </c>
      <c r="AP287" s="268" t="e">
        <f>AP204-AO204</f>
        <v>#DIV/0!</v>
      </c>
      <c r="AQ287" s="268" t="e">
        <f>SUM(AM287:AP287)</f>
        <v>#DIV/0!</v>
      </c>
      <c r="AR287" s="268" t="e">
        <f>AR204-AQ204</f>
        <v>#DIV/0!</v>
      </c>
      <c r="AS287" s="268" t="e">
        <f>AS204-AR204</f>
        <v>#DIV/0!</v>
      </c>
      <c r="AT287" s="268" t="e">
        <f>AT204-AS204</f>
        <v>#DIV/0!</v>
      </c>
      <c r="AU287" s="268" t="e">
        <f>AU204-AT204</f>
        <v>#DIV/0!</v>
      </c>
      <c r="AV287" s="268" t="e">
        <f>SUM(AR287:AU287)</f>
        <v>#DIV/0!</v>
      </c>
      <c r="AW287" s="268" t="e">
        <f>AW204-AV204</f>
        <v>#DIV/0!</v>
      </c>
      <c r="AX287" s="268" t="e">
        <f>AX204-AW204</f>
        <v>#DIV/0!</v>
      </c>
      <c r="AY287" s="268" t="e">
        <f>AY204-AX204</f>
        <v>#DIV/0!</v>
      </c>
      <c r="AZ287" s="268" t="e">
        <f>AZ204-AY204</f>
        <v>#DIV/0!</v>
      </c>
      <c r="BA287" s="268" t="e">
        <f>SUM(AW287:AZ287)</f>
        <v>#DIV/0!</v>
      </c>
      <c r="BB287" s="268" t="e">
        <f>BB204-BA204</f>
        <v>#DIV/0!</v>
      </c>
      <c r="BC287" s="268" t="e">
        <f>BC204-BB204</f>
        <v>#DIV/0!</v>
      </c>
      <c r="BD287" s="268" t="e">
        <f>BD204-BC204</f>
        <v>#DIV/0!</v>
      </c>
      <c r="BE287" s="268" t="e">
        <f>BE204-BD204</f>
        <v>#DIV/0!</v>
      </c>
      <c r="BF287" s="268" t="e">
        <f>SUM(BB287:BE287)</f>
        <v>#DIV/0!</v>
      </c>
      <c r="BG287" s="268" t="e">
        <f>BG204-BF204</f>
        <v>#DIV/0!</v>
      </c>
      <c r="BH287" s="268" t="e">
        <f>BH204-BG204</f>
        <v>#DIV/0!</v>
      </c>
      <c r="BI287" s="268" t="e">
        <f>BI204-BH204</f>
        <v>#DIV/0!</v>
      </c>
      <c r="BJ287" s="268" t="e">
        <f>BJ204-BI204</f>
        <v>#DIV/0!</v>
      </c>
      <c r="BK287" s="268" t="e">
        <f>SUM(BG287:BJ287)</f>
        <v>#DIV/0!</v>
      </c>
      <c r="BL287" s="268" t="e">
        <f>BL204-BK204</f>
        <v>#DIV/0!</v>
      </c>
      <c r="BM287" s="268" t="e">
        <f>BM204-BL204</f>
        <v>#DIV/0!</v>
      </c>
      <c r="BN287" s="268" t="e">
        <f>BN204-BM204</f>
        <v>#DIV/0!</v>
      </c>
      <c r="BO287" s="268" t="e">
        <f>BO204-BN204</f>
        <v>#DIV/0!</v>
      </c>
      <c r="BP287" s="268" t="e">
        <f>SUM(BL287:BO287)</f>
        <v>#DIV/0!</v>
      </c>
      <c r="BQ287" s="268" t="e">
        <f>BQ204-BP204</f>
        <v>#DIV/0!</v>
      </c>
      <c r="BR287" s="268" t="e">
        <f>BR204-BQ204</f>
        <v>#DIV/0!</v>
      </c>
      <c r="BS287" s="268" t="e">
        <f>BS204-BR204</f>
        <v>#DIV/0!</v>
      </c>
      <c r="BT287" s="268" t="e">
        <f>BT204-BS204</f>
        <v>#DIV/0!</v>
      </c>
      <c r="BU287" s="268" t="e">
        <f>SUM(BQ287:BT287)</f>
        <v>#DIV/0!</v>
      </c>
      <c r="BV287" s="268" t="e">
        <f>BV204-BU204</f>
        <v>#DIV/0!</v>
      </c>
      <c r="BW287" s="268" t="e">
        <f>BW204-BV204</f>
        <v>#DIV/0!</v>
      </c>
      <c r="BX287" s="268" t="e">
        <f>BX204-BW204</f>
        <v>#DIV/0!</v>
      </c>
      <c r="BY287" s="268" t="e">
        <f>BY204-BX204</f>
        <v>#DIV/0!</v>
      </c>
      <c r="BZ287" s="268" t="e">
        <f>SUM(BV287:BY287)</f>
        <v>#DIV/0!</v>
      </c>
      <c r="CA287" s="268" t="e">
        <f>CA204-BZ204</f>
        <v>#DIV/0!</v>
      </c>
      <c r="CB287" s="268" t="e">
        <f>CB204-CA204</f>
        <v>#DIV/0!</v>
      </c>
      <c r="CC287" s="268" t="e">
        <f>CC204-CB204</f>
        <v>#DIV/0!</v>
      </c>
      <c r="CD287" s="268" t="e">
        <f>CD204-CC204</f>
        <v>#DIV/0!</v>
      </c>
      <c r="CE287" s="268" t="e">
        <f>SUM(CA287:CD287)</f>
        <v>#DIV/0!</v>
      </c>
      <c r="CF287" s="268" t="e">
        <f>CF204-CE204</f>
        <v>#DIV/0!</v>
      </c>
      <c r="CG287" s="268" t="e">
        <f>CG204-CF204</f>
        <v>#DIV/0!</v>
      </c>
      <c r="CH287" s="268" t="e">
        <f>CH204-CG204</f>
        <v>#DIV/0!</v>
      </c>
      <c r="CI287" s="268" t="e">
        <f>CI204-CH204</f>
        <v>#DIV/0!</v>
      </c>
      <c r="CJ287" s="268" t="e">
        <f>SUM(CF287:CI287)</f>
        <v>#DIV/0!</v>
      </c>
      <c r="CK287" s="268" t="e">
        <f>CK204-CJ204</f>
        <v>#DIV/0!</v>
      </c>
      <c r="CL287" s="268" t="e">
        <f>CL204-CK204</f>
        <v>#DIV/0!</v>
      </c>
      <c r="CM287" s="268" t="e">
        <f>CM204-CL204</f>
        <v>#DIV/0!</v>
      </c>
      <c r="CN287" s="268" t="e">
        <f>CN204-CM204</f>
        <v>#DIV/0!</v>
      </c>
      <c r="CO287" s="268" t="e">
        <f>SUM(CK287:CN287)</f>
        <v>#DIV/0!</v>
      </c>
      <c r="CP287" s="268" t="e">
        <f>CP204-CO204</f>
        <v>#DIV/0!</v>
      </c>
      <c r="CQ287" s="268" t="e">
        <f>CQ204-CP204</f>
        <v>#DIV/0!</v>
      </c>
      <c r="CR287" s="268" t="e">
        <f>CR204-CQ204</f>
        <v>#DIV/0!</v>
      </c>
      <c r="CS287" s="268" t="e">
        <f>CS204-CR204</f>
        <v>#DIV/0!</v>
      </c>
      <c r="CT287" s="268" t="e">
        <f>SUM(CP287:CS287)</f>
        <v>#DIV/0!</v>
      </c>
      <c r="CU287" s="268" t="e">
        <f>CU204-CT204</f>
        <v>#DIV/0!</v>
      </c>
      <c r="CV287" s="268" t="e">
        <f>CV204-CU204</f>
        <v>#DIV/0!</v>
      </c>
      <c r="CW287" s="268" t="e">
        <f>CW204-CV204</f>
        <v>#DIV/0!</v>
      </c>
      <c r="CX287" s="268" t="e">
        <f>CX204-CW204</f>
        <v>#DIV/0!</v>
      </c>
      <c r="CY287" s="268" t="e">
        <f>SUM(CU287:CX287)</f>
        <v>#DIV/0!</v>
      </c>
    </row>
    <row r="288" hidden="1" outlineLevel="1" ht="12.75" customHeight="1" s="255">
      <c r="C288" s="266" t="inlineStr">
        <is>
          <t>Other current liabilities (non-debt)</t>
        </is>
      </c>
      <c r="D288" s="268" t="n"/>
      <c r="E288" s="268">
        <f>E205-D205</f>
        <v>-575</v>
      </c>
      <c r="F288" s="268">
        <f>F205-E205</f>
        <v>1255</v>
      </c>
      <c r="G288" s="268">
        <f>G205-F205</f>
        <v>1406</v>
      </c>
      <c r="H288" s="268">
        <f>SUM(D288:G288)</f>
        <v>2086</v>
      </c>
      <c r="I288" s="268">
        <f>I205-H205</f>
        <v>-736</v>
      </c>
      <c r="J288" s="268">
        <f>J205-I205</f>
        <v>21</v>
      </c>
      <c r="K288" s="268">
        <f>K205-J205</f>
        <v>-741</v>
      </c>
      <c r="L288" s="268">
        <f>L205-K205</f>
        <v>-275</v>
      </c>
      <c r="M288" s="268">
        <f>SUM(I288:L288)</f>
        <v>-1731</v>
      </c>
      <c r="N288" s="268">
        <f>N205-M205</f>
        <v>1660</v>
      </c>
      <c r="O288" s="268">
        <f>O205-N205</f>
        <v>-1306</v>
      </c>
      <c r="P288" s="268">
        <f>P205-O205</f>
        <v>-325</v>
      </c>
      <c r="Q288" s="268">
        <f>Q205-P205</f>
        <v>-179</v>
      </c>
      <c r="R288" s="268">
        <f>SUM(N288:Q288)</f>
        <v>-150</v>
      </c>
      <c r="S288" s="268">
        <f>S205-R205</f>
        <v>-281</v>
      </c>
      <c r="T288" s="268">
        <f>T205-S205</f>
        <v>-114</v>
      </c>
      <c r="U288" s="268">
        <f>U205-T205</f>
        <v>-264</v>
      </c>
      <c r="V288" s="268">
        <f>V205-U205</f>
        <v>176</v>
      </c>
      <c r="W288" s="268">
        <f>SUM(S288:V288)</f>
        <v>-483</v>
      </c>
      <c r="X288" s="268">
        <f>X205-W205</f>
        <v>-318</v>
      </c>
      <c r="Y288" s="268">
        <f>Y205-X205</f>
        <v>328</v>
      </c>
      <c r="Z288" s="268">
        <f>Z205-Y205</f>
        <v>-150</v>
      </c>
      <c r="AA288" s="268">
        <f>AA205-Z205</f>
        <v>54</v>
      </c>
      <c r="AB288" s="268">
        <f>SUM(X288:AA288)</f>
        <v>-86</v>
      </c>
      <c r="AC288" s="268">
        <f>AC205-AB205</f>
        <v>-412</v>
      </c>
      <c r="AD288" s="268">
        <f>AD205-AC205</f>
        <v>567</v>
      </c>
      <c r="AE288" s="268">
        <f>AE205-AD205</f>
        <v>2063</v>
      </c>
      <c r="AF288" s="268">
        <f>AF205-AE205</f>
        <v>-519</v>
      </c>
      <c r="AG288" s="268">
        <f>SUM(AC288:AF288)</f>
        <v>1699</v>
      </c>
      <c r="AH288" s="268">
        <f>AH205-AG205</f>
        <v>1130</v>
      </c>
      <c r="AI288" s="268">
        <f>AI205-AH205</f>
        <v>-583</v>
      </c>
      <c r="AJ288" s="268">
        <f>AJ205-AI205</f>
        <v>0</v>
      </c>
      <c r="AK288" s="268">
        <f>AK205-AJ205</f>
        <v>0</v>
      </c>
      <c r="AL288" s="268">
        <f>SUM(AH288:AK288)</f>
        <v>547</v>
      </c>
      <c r="AM288" s="268">
        <f>AM205-AL205</f>
        <v>0</v>
      </c>
      <c r="AN288" s="268">
        <f>AN205-AM205</f>
        <v>0</v>
      </c>
      <c r="AO288" s="268">
        <f>AO205-AN205</f>
        <v>0</v>
      </c>
      <c r="AP288" s="268">
        <f>AP205-AO205</f>
        <v>0</v>
      </c>
      <c r="AQ288" s="268">
        <f>SUM(AM288:AP288)</f>
        <v>0</v>
      </c>
      <c r="AR288" s="268">
        <f>AR205-AQ205</f>
        <v>0</v>
      </c>
      <c r="AS288" s="268">
        <f>AS205-AR205</f>
        <v>0</v>
      </c>
      <c r="AT288" s="268">
        <f>AT205-AS205</f>
        <v>0</v>
      </c>
      <c r="AU288" s="268">
        <f>AU205-AT205</f>
        <v>0</v>
      </c>
      <c r="AV288" s="268">
        <f>SUM(AR288:AU288)</f>
        <v>0</v>
      </c>
      <c r="AW288" s="268">
        <f>AW205-AV205</f>
        <v>0</v>
      </c>
      <c r="AX288" s="268">
        <f>AX205-AW205</f>
        <v>0</v>
      </c>
      <c r="AY288" s="268">
        <f>AY205-AX205</f>
        <v>0</v>
      </c>
      <c r="AZ288" s="268">
        <f>AZ205-AY205</f>
        <v>0</v>
      </c>
      <c r="BA288" s="268">
        <f>SUM(AW288:AZ288)</f>
        <v>0</v>
      </c>
      <c r="BB288" s="268">
        <f>BB205-BA205</f>
        <v>0</v>
      </c>
      <c r="BC288" s="268">
        <f>BC205-BB205</f>
        <v>0</v>
      </c>
      <c r="BD288" s="268">
        <f>BD205-BC205</f>
        <v>0</v>
      </c>
      <c r="BE288" s="268">
        <f>BE205-BD205</f>
        <v>0</v>
      </c>
      <c r="BF288" s="268">
        <f>SUM(BB288:BE288)</f>
        <v>0</v>
      </c>
      <c r="BG288" s="268">
        <f>BG205-BF205</f>
        <v>0</v>
      </c>
      <c r="BH288" s="268">
        <f>BH205-BG205</f>
        <v>0</v>
      </c>
      <c r="BI288" s="268">
        <f>BI205-BH205</f>
        <v>0</v>
      </c>
      <c r="BJ288" s="268">
        <f>BJ205-BI205</f>
        <v>0</v>
      </c>
      <c r="BK288" s="268">
        <f>SUM(BG288:BJ288)</f>
        <v>0</v>
      </c>
      <c r="BL288" s="268">
        <f>BL205-BK205</f>
        <v>0</v>
      </c>
      <c r="BM288" s="268">
        <f>BM205-BL205</f>
        <v>0</v>
      </c>
      <c r="BN288" s="268">
        <f>BN205-BM205</f>
        <v>0</v>
      </c>
      <c r="BO288" s="268">
        <f>BO205-BN205</f>
        <v>0</v>
      </c>
      <c r="BP288" s="268">
        <f>SUM(BL288:BO288)</f>
        <v>0</v>
      </c>
      <c r="BQ288" s="268">
        <f>BQ205-BP205</f>
        <v>0</v>
      </c>
      <c r="BR288" s="268">
        <f>BR205-BQ205</f>
        <v>0</v>
      </c>
      <c r="BS288" s="268">
        <f>BS205-BR205</f>
        <v>0</v>
      </c>
      <c r="BT288" s="268">
        <f>BT205-BS205</f>
        <v>0</v>
      </c>
      <c r="BU288" s="268">
        <f>SUM(BQ288:BT288)</f>
        <v>0</v>
      </c>
      <c r="BV288" s="268">
        <f>BV205-BU205</f>
        <v>0</v>
      </c>
      <c r="BW288" s="268">
        <f>BW205-BV205</f>
        <v>0</v>
      </c>
      <c r="BX288" s="268">
        <f>BX205-BW205</f>
        <v>0</v>
      </c>
      <c r="BY288" s="268">
        <f>BY205-BX205</f>
        <v>0</v>
      </c>
      <c r="BZ288" s="268">
        <f>SUM(BV288:BY288)</f>
        <v>0</v>
      </c>
      <c r="CA288" s="268">
        <f>CA205-BZ205</f>
        <v>0</v>
      </c>
      <c r="CB288" s="268">
        <f>CB205-CA205</f>
        <v>0</v>
      </c>
      <c r="CC288" s="268">
        <f>CC205-CB205</f>
        <v>0</v>
      </c>
      <c r="CD288" s="268">
        <f>CD205-CC205</f>
        <v>0</v>
      </c>
      <c r="CE288" s="268">
        <f>SUM(CA288:CD288)</f>
        <v>0</v>
      </c>
      <c r="CF288" s="268">
        <f>CF205-CE205</f>
        <v>0</v>
      </c>
      <c r="CG288" s="268">
        <f>CG205-CF205</f>
        <v>0</v>
      </c>
      <c r="CH288" s="268">
        <f>CH205-CG205</f>
        <v>0</v>
      </c>
      <c r="CI288" s="268">
        <f>CI205-CH205</f>
        <v>0</v>
      </c>
      <c r="CJ288" s="268">
        <f>SUM(CF288:CI288)</f>
        <v>0</v>
      </c>
      <c r="CK288" s="268">
        <f>CK205-CJ205</f>
        <v>0</v>
      </c>
      <c r="CL288" s="268">
        <f>CL205-CK205</f>
        <v>0</v>
      </c>
      <c r="CM288" s="268">
        <f>CM205-CL205</f>
        <v>0</v>
      </c>
      <c r="CN288" s="268">
        <f>CN205-CM205</f>
        <v>0</v>
      </c>
      <c r="CO288" s="268">
        <f>SUM(CK288:CN288)</f>
        <v>0</v>
      </c>
      <c r="CP288" s="268">
        <f>CP205-CO205</f>
        <v>0</v>
      </c>
      <c r="CQ288" s="268">
        <f>CQ205-CP205</f>
        <v>0</v>
      </c>
      <c r="CR288" s="268">
        <f>CR205-CQ205</f>
        <v>0</v>
      </c>
      <c r="CS288" s="268">
        <f>CS205-CR205</f>
        <v>0</v>
      </c>
      <c r="CT288" s="268">
        <f>SUM(CP288:CS288)</f>
        <v>0</v>
      </c>
      <c r="CU288" s="268">
        <f>CU205-CT205</f>
        <v>0</v>
      </c>
      <c r="CV288" s="268">
        <f>CV205-CU205</f>
        <v>0</v>
      </c>
      <c r="CW288" s="268">
        <f>CW205-CV205</f>
        <v>0</v>
      </c>
      <c r="CX288" s="268">
        <f>CX205-CW205</f>
        <v>0</v>
      </c>
      <c r="CY288" s="268">
        <f>SUM(CU288:CX288)</f>
        <v>0</v>
      </c>
    </row>
    <row r="289" hidden="1" outlineLevel="1" ht="12.75" customHeight="1" s="255">
      <c r="C289" s="266" t="inlineStr">
        <is>
          <t>Deferred income taxes</t>
        </is>
      </c>
      <c r="D289" s="268" t="n"/>
      <c r="E289" s="268">
        <f>E239-D239</f>
        <v>15</v>
      </c>
      <c r="F289" s="268">
        <f>F239-E239</f>
        <v>26</v>
      </c>
      <c r="G289" s="268">
        <f>G239-F239</f>
        <v>25</v>
      </c>
      <c r="H289" s="268">
        <f>SUM(D289:G289)</f>
        <v>66</v>
      </c>
      <c r="I289" s="268">
        <f>I239-H239</f>
        <v>24</v>
      </c>
      <c r="J289" s="268">
        <f>J239-I239</f>
        <v>29</v>
      </c>
      <c r="K289" s="268">
        <f>K239-J239</f>
        <v>-90</v>
      </c>
      <c r="L289" s="268">
        <f>L239-K239</f>
        <v>15</v>
      </c>
      <c r="M289" s="268">
        <f>SUM(I289:L289)</f>
        <v>-22</v>
      </c>
      <c r="N289" s="268">
        <f>N239-M239</f>
        <v>16</v>
      </c>
      <c r="O289" s="268">
        <f>O239-N239</f>
        <v>-39</v>
      </c>
      <c r="P289" s="268">
        <f>P239-O239</f>
        <v>20</v>
      </c>
      <c r="Q289" s="268">
        <f>Q239-P239</f>
        <v>30</v>
      </c>
      <c r="R289" s="268">
        <f>SUM(N289:Q289)</f>
        <v>27</v>
      </c>
      <c r="S289" s="268">
        <f>S239-R239</f>
        <v>10</v>
      </c>
      <c r="T289" s="268">
        <f>T239-S239</f>
        <v>6</v>
      </c>
      <c r="U289" s="268">
        <f>U239-T239</f>
        <v>-1</v>
      </c>
      <c r="V289" s="268">
        <f>V239-U239</f>
        <v>20</v>
      </c>
      <c r="W289" s="268">
        <f>SUM(S289:V289)</f>
        <v>35</v>
      </c>
      <c r="X289" s="268">
        <f>X239-W239</f>
        <v>-15</v>
      </c>
      <c r="Y289" s="268">
        <f>Y239-X239</f>
        <v>-16</v>
      </c>
      <c r="Z289" s="268">
        <f>Z239-Y239</f>
        <v>7</v>
      </c>
      <c r="AA289" s="268">
        <f>AA239-Z239</f>
        <v>3</v>
      </c>
      <c r="AB289" s="268">
        <f>SUM(X289:AA289)</f>
        <v>-21</v>
      </c>
      <c r="AC289" s="268">
        <f>AC239-AB239</f>
        <v>-6</v>
      </c>
      <c r="AD289" s="268">
        <f>AD239-AC239</f>
        <v>-26</v>
      </c>
      <c r="AE289" s="268">
        <f>AE239-AD239</f>
        <v>578</v>
      </c>
      <c r="AF289" s="268">
        <f>AF239-AE239</f>
        <v>63</v>
      </c>
      <c r="AG289" s="268">
        <f>SUM(AC289:AF289)</f>
        <v>609</v>
      </c>
      <c r="AH289" s="268">
        <f>AH239-AG239</f>
        <v>-59</v>
      </c>
      <c r="AI289" s="268">
        <f>AI239-AH239</f>
        <v>2</v>
      </c>
      <c r="AJ289" s="268">
        <f>AJ239-AI239</f>
        <v>0</v>
      </c>
      <c r="AK289" s="268">
        <f>AK239-AJ239</f>
        <v>0</v>
      </c>
      <c r="AL289" s="268">
        <f>SUM(AH289:AK289)</f>
        <v>-57</v>
      </c>
      <c r="AM289" s="268">
        <f>AM239-AL239</f>
        <v>0</v>
      </c>
      <c r="AN289" s="268">
        <f>AN239-AM239</f>
        <v>0</v>
      </c>
      <c r="AO289" s="268">
        <f>AO239-AN239</f>
        <v>0</v>
      </c>
      <c r="AP289" s="268">
        <f>AP239-AO239</f>
        <v>0</v>
      </c>
      <c r="AQ289" s="268">
        <f>SUM(AM289:AP289)</f>
        <v>0</v>
      </c>
      <c r="AR289" s="268">
        <f>AR239-AQ239</f>
        <v>0</v>
      </c>
      <c r="AS289" s="268">
        <f>AS239-AR239</f>
        <v>0</v>
      </c>
      <c r="AT289" s="268">
        <f>AT239-AS239</f>
        <v>0</v>
      </c>
      <c r="AU289" s="268">
        <f>AU239-AT239</f>
        <v>0</v>
      </c>
      <c r="AV289" s="268">
        <f>SUM(AR289:AU289)</f>
        <v>0</v>
      </c>
      <c r="AW289" s="268">
        <f>AW239-AV239</f>
        <v>0</v>
      </c>
      <c r="AX289" s="268">
        <f>AX239-AW239</f>
        <v>0</v>
      </c>
      <c r="AY289" s="268">
        <f>AY239-AX239</f>
        <v>0</v>
      </c>
      <c r="AZ289" s="268">
        <f>AZ239-AY239</f>
        <v>0</v>
      </c>
      <c r="BA289" s="268">
        <f>SUM(AW289:AZ289)</f>
        <v>0</v>
      </c>
      <c r="BB289" s="268">
        <f>BB239-BA239</f>
        <v>0</v>
      </c>
      <c r="BC289" s="268">
        <f>BC239-BB239</f>
        <v>0</v>
      </c>
      <c r="BD289" s="268">
        <f>BD239-BC239</f>
        <v>0</v>
      </c>
      <c r="BE289" s="268">
        <f>BE239-BD239</f>
        <v>0</v>
      </c>
      <c r="BF289" s="268">
        <f>SUM(BB289:BE289)</f>
        <v>0</v>
      </c>
      <c r="BG289" s="268">
        <f>BG239-BF239</f>
        <v>0</v>
      </c>
      <c r="BH289" s="268">
        <f>BH239-BG239</f>
        <v>0</v>
      </c>
      <c r="BI289" s="268">
        <f>BI239-BH239</f>
        <v>0</v>
      </c>
      <c r="BJ289" s="268">
        <f>BJ239-BI239</f>
        <v>0</v>
      </c>
      <c r="BK289" s="268">
        <f>SUM(BG289:BJ289)</f>
        <v>0</v>
      </c>
      <c r="BL289" s="268">
        <f>BL239-BK239</f>
        <v>0</v>
      </c>
      <c r="BM289" s="268">
        <f>BM239-BL239</f>
        <v>0</v>
      </c>
      <c r="BN289" s="268">
        <f>BN239-BM239</f>
        <v>0</v>
      </c>
      <c r="BO289" s="268">
        <f>BO239-BN239</f>
        <v>0</v>
      </c>
      <c r="BP289" s="268">
        <f>SUM(BL289:BO289)</f>
        <v>0</v>
      </c>
      <c r="BQ289" s="268">
        <f>BQ239-BP239</f>
        <v>0</v>
      </c>
      <c r="BR289" s="268">
        <f>BR239-BQ239</f>
        <v>0</v>
      </c>
      <c r="BS289" s="268">
        <f>BS239-BR239</f>
        <v>0</v>
      </c>
      <c r="BT289" s="268">
        <f>BT239-BS239</f>
        <v>0</v>
      </c>
      <c r="BU289" s="268">
        <f>SUM(BQ289:BT289)</f>
        <v>0</v>
      </c>
      <c r="BV289" s="268">
        <f>BV239-BU239</f>
        <v>0</v>
      </c>
      <c r="BW289" s="268">
        <f>BW239-BV239</f>
        <v>0</v>
      </c>
      <c r="BX289" s="268">
        <f>BX239-BW239</f>
        <v>0</v>
      </c>
      <c r="BY289" s="268">
        <f>BY239-BX239</f>
        <v>0</v>
      </c>
      <c r="BZ289" s="268">
        <f>SUM(BV289:BY289)</f>
        <v>0</v>
      </c>
      <c r="CA289" s="268">
        <f>CA239-BZ239</f>
        <v>0</v>
      </c>
      <c r="CB289" s="268">
        <f>CB239-CA239</f>
        <v>0</v>
      </c>
      <c r="CC289" s="268">
        <f>CC239-CB239</f>
        <v>0</v>
      </c>
      <c r="CD289" s="268">
        <f>CD239-CC239</f>
        <v>0</v>
      </c>
      <c r="CE289" s="268">
        <f>SUM(CA289:CD289)</f>
        <v>0</v>
      </c>
      <c r="CF289" s="268">
        <f>CF239-CE239</f>
        <v>0</v>
      </c>
      <c r="CG289" s="268">
        <f>CG239-CF239</f>
        <v>0</v>
      </c>
      <c r="CH289" s="268">
        <f>CH239-CG239</f>
        <v>0</v>
      </c>
      <c r="CI289" s="268">
        <f>CI239-CH239</f>
        <v>0</v>
      </c>
      <c r="CJ289" s="268">
        <f>SUM(CF289:CI289)</f>
        <v>0</v>
      </c>
      <c r="CK289" s="268">
        <f>CK239-CJ239</f>
        <v>0</v>
      </c>
      <c r="CL289" s="268">
        <f>CL239-CK239</f>
        <v>0</v>
      </c>
      <c r="CM289" s="268">
        <f>CM239-CL239</f>
        <v>0</v>
      </c>
      <c r="CN289" s="268">
        <f>CN239-CM239</f>
        <v>0</v>
      </c>
      <c r="CO289" s="268">
        <f>SUM(CK289:CN289)</f>
        <v>0</v>
      </c>
      <c r="CP289" s="268">
        <f>CP239-CO239</f>
        <v>0</v>
      </c>
      <c r="CQ289" s="268">
        <f>CQ239-CP239</f>
        <v>0</v>
      </c>
      <c r="CR289" s="268">
        <f>CR239-CQ239</f>
        <v>0</v>
      </c>
      <c r="CS289" s="268">
        <f>CS239-CR239</f>
        <v>0</v>
      </c>
      <c r="CT289" s="268">
        <f>SUM(CP289:CS289)</f>
        <v>0</v>
      </c>
      <c r="CU289" s="268">
        <f>CU239-CT239</f>
        <v>0</v>
      </c>
      <c r="CV289" s="268">
        <f>CV239-CU239</f>
        <v>0</v>
      </c>
      <c r="CW289" s="268">
        <f>CW239-CV239</f>
        <v>0</v>
      </c>
      <c r="CX289" s="268">
        <f>CX239-CW239</f>
        <v>0</v>
      </c>
      <c r="CY289" s="268">
        <f>SUM(CU289:CX289)</f>
        <v>0</v>
      </c>
    </row>
    <row r="290" ht="12.75" customHeight="1" s="255">
      <c r="C290" s="266" t="inlineStr">
        <is>
          <t>Equity income in affiliates</t>
        </is>
      </c>
      <c r="D290" s="268" t="n"/>
      <c r="E290" s="268">
        <f>(E161-D161)*-1</f>
        <v>0</v>
      </c>
      <c r="F290" s="268">
        <f>(F161-E161)*-1</f>
        <v>0</v>
      </c>
      <c r="G290" s="268">
        <f>(G161-F161)*-1</f>
        <v>0</v>
      </c>
      <c r="H290" s="268">
        <f>SUM(D290:G290)</f>
        <v>0</v>
      </c>
      <c r="I290" s="268">
        <f>(I161-H161)*-1</f>
        <v>0</v>
      </c>
      <c r="J290" s="268">
        <f>(J161-I161)*-1</f>
        <v>0</v>
      </c>
      <c r="K290" s="268">
        <f>(K161-J161)*-1</f>
        <v>0</v>
      </c>
      <c r="L290" s="268">
        <f>(L161-K161)*-1</f>
        <v>0</v>
      </c>
      <c r="M290" s="268">
        <f>SUM(I290:L290)</f>
        <v>0</v>
      </c>
      <c r="N290" s="268">
        <f>(N161-M161)*-1</f>
        <v>0</v>
      </c>
      <c r="O290" s="268">
        <f>(O161-N161)*-1</f>
        <v>0</v>
      </c>
      <c r="P290" s="268">
        <f>(P161-O161)*-1</f>
        <v>0</v>
      </c>
      <c r="Q290" s="268">
        <f>(Q161-P161)*-1</f>
        <v>0</v>
      </c>
      <c r="R290" s="268">
        <f>SUM(N290:Q290)</f>
        <v>0</v>
      </c>
      <c r="S290" s="268">
        <f>(S161-R161)*-1</f>
        <v>0</v>
      </c>
      <c r="T290" s="268">
        <f>(T161-S161)*-1</f>
        <v>0</v>
      </c>
      <c r="U290" s="268">
        <f>(U161-T161)*-1</f>
        <v>0</v>
      </c>
      <c r="V290" s="268">
        <f>(V161-U161)*-1</f>
        <v>0</v>
      </c>
      <c r="W290" s="268">
        <f>SUM(S290:V290)</f>
        <v>0</v>
      </c>
      <c r="X290" s="268">
        <f>(X161-W161)*-1</f>
        <v>0</v>
      </c>
      <c r="Y290" s="268">
        <f>(Y161-X161)*-1</f>
        <v>0</v>
      </c>
      <c r="Z290" s="268">
        <f>(Z161-Y161)*-1</f>
        <v>0</v>
      </c>
      <c r="AA290" s="268">
        <f>(AA161-Z161)*-1</f>
        <v>0</v>
      </c>
      <c r="AB290" s="268">
        <f>SUM(X290:AA290)</f>
        <v>0</v>
      </c>
      <c r="AC290" s="268">
        <f>(AC161-AB161)*-1</f>
        <v>0</v>
      </c>
      <c r="AD290" s="268">
        <f>(AD161-AC161)*-1</f>
        <v>0</v>
      </c>
      <c r="AE290" s="268">
        <f>(AE161-AD161)*-1</f>
        <v>0</v>
      </c>
      <c r="AF290" s="268">
        <f>(AF161-AE161)*-1</f>
        <v>0</v>
      </c>
      <c r="AG290" s="268">
        <f>SUM(AC290:AF290)</f>
        <v>0</v>
      </c>
      <c r="AH290" s="268">
        <f>(AH161-AG161)*-1</f>
        <v>0</v>
      </c>
      <c r="AI290" s="268">
        <f>(AI161-AH161)*-1</f>
        <v>0</v>
      </c>
      <c r="AJ290" s="268">
        <f>(AJ161-AI161)*-1</f>
        <v>3</v>
      </c>
      <c r="AK290" s="268">
        <f>(AK161-AJ161)*-1</f>
        <v>0</v>
      </c>
      <c r="AL290" s="268">
        <f>SUM(AH290:AK290)</f>
        <v>3</v>
      </c>
      <c r="AM290" s="268">
        <f>(AM161-AL161)*-1</f>
        <v>0</v>
      </c>
      <c r="AN290" s="268">
        <f>(AN161-AM161)*-1</f>
        <v>0</v>
      </c>
      <c r="AO290" s="268">
        <f>(AO161-AN161)*-1</f>
        <v>3</v>
      </c>
      <c r="AP290" s="268">
        <f>(AP161-AO161)*-1</f>
        <v>0</v>
      </c>
      <c r="AQ290" s="268">
        <f>SUM(AM290:AP290)</f>
        <v>3</v>
      </c>
      <c r="AR290" s="268">
        <f>(AR161-AQ161)*-1</f>
        <v>0</v>
      </c>
      <c r="AS290" s="268">
        <f>(AS161-AR161)*-1</f>
        <v>0</v>
      </c>
      <c r="AT290" s="268">
        <f>(AT161-AS161)*-1</f>
        <v>3</v>
      </c>
      <c r="AU290" s="268">
        <f>(AU161-AT161)*-1</f>
        <v>0</v>
      </c>
      <c r="AV290" s="268">
        <f>SUM(AR290:AU290)</f>
        <v>3</v>
      </c>
      <c r="AW290" s="268">
        <f>(AW161-AV161)*-1</f>
        <v>0</v>
      </c>
      <c r="AX290" s="268">
        <f>(AX161-AW161)*-1</f>
        <v>0</v>
      </c>
      <c r="AY290" s="268">
        <f>(AY161-AX161)*-1</f>
        <v>3</v>
      </c>
      <c r="AZ290" s="268">
        <f>(AZ161-AY161)*-1</f>
        <v>0</v>
      </c>
      <c r="BA290" s="268">
        <f>SUM(AW290:AZ290)</f>
        <v>3</v>
      </c>
      <c r="BB290" s="268">
        <f>(BB161-BA161)*-1</f>
        <v>0</v>
      </c>
      <c r="BC290" s="268">
        <f>(BC161-BB161)*-1</f>
        <v>0</v>
      </c>
      <c r="BD290" s="268">
        <f>(BD161-BC161)*-1</f>
        <v>3</v>
      </c>
      <c r="BE290" s="268">
        <f>(BE161-BD161)*-1</f>
        <v>0</v>
      </c>
      <c r="BF290" s="268">
        <f>SUM(BB290:BE290)</f>
        <v>3</v>
      </c>
      <c r="BG290" s="268">
        <f>(BG161-BF161)*-1</f>
        <v>0</v>
      </c>
      <c r="BH290" s="268">
        <f>(BH161-BG161)*-1</f>
        <v>0</v>
      </c>
      <c r="BI290" s="268">
        <f>(BI161-BH161)*-1</f>
        <v>3</v>
      </c>
      <c r="BJ290" s="268">
        <f>(BJ161-BI161)*-1</f>
        <v>0</v>
      </c>
      <c r="BK290" s="268">
        <f>SUM(BG290:BJ290)</f>
        <v>3</v>
      </c>
      <c r="BL290" s="268">
        <f>(BL161-BK161)*-1</f>
        <v>0</v>
      </c>
      <c r="BM290" s="268">
        <f>(BM161-BL161)*-1</f>
        <v>0</v>
      </c>
      <c r="BN290" s="268">
        <f>(BN161-BM161)*-1</f>
        <v>3</v>
      </c>
      <c r="BO290" s="268">
        <f>(BO161-BN161)*-1</f>
        <v>0</v>
      </c>
      <c r="BP290" s="268">
        <f>SUM(BL290:BO290)</f>
        <v>3</v>
      </c>
      <c r="BQ290" s="268">
        <f>(BQ161-BP161)*-1</f>
        <v>0</v>
      </c>
      <c r="BR290" s="268">
        <f>(BR161-BQ161)*-1</f>
        <v>0</v>
      </c>
      <c r="BS290" s="268">
        <f>(BS161-BR161)*-1</f>
        <v>3</v>
      </c>
      <c r="BT290" s="268">
        <f>(BT161-BS161)*-1</f>
        <v>0</v>
      </c>
      <c r="BU290" s="268">
        <f>SUM(BQ290:BT290)</f>
        <v>3</v>
      </c>
      <c r="BV290" s="268">
        <f>(BV161-BU161)*-1</f>
        <v>0</v>
      </c>
      <c r="BW290" s="268">
        <f>(BW161-BV161)*-1</f>
        <v>0</v>
      </c>
      <c r="BX290" s="268">
        <f>(BX161-BW161)*-1</f>
        <v>3</v>
      </c>
      <c r="BY290" s="268">
        <f>(BY161-BX161)*-1</f>
        <v>0</v>
      </c>
      <c r="BZ290" s="268">
        <f>SUM(BV290:BY290)</f>
        <v>3</v>
      </c>
      <c r="CA290" s="268">
        <f>(CA161-BZ161)*-1</f>
        <v>0</v>
      </c>
      <c r="CB290" s="268">
        <f>(CB161-CA161)*-1</f>
        <v>0</v>
      </c>
      <c r="CC290" s="268">
        <f>(CC161-CB161)*-1</f>
        <v>3</v>
      </c>
      <c r="CD290" s="268">
        <f>(CD161-CC161)*-1</f>
        <v>0</v>
      </c>
      <c r="CE290" s="268">
        <f>SUM(CA290:CD290)</f>
        <v>3</v>
      </c>
      <c r="CF290" s="268">
        <f>(CF161-CE161)*-1</f>
        <v>0</v>
      </c>
      <c r="CG290" s="268">
        <f>(CG161-CF161)*-1</f>
        <v>0</v>
      </c>
      <c r="CH290" s="268">
        <f>(CH161-CG161)*-1</f>
        <v>3</v>
      </c>
      <c r="CI290" s="268">
        <f>(CI161-CH161)*-1</f>
        <v>0</v>
      </c>
      <c r="CJ290" s="268">
        <f>SUM(CF290:CI290)</f>
        <v>3</v>
      </c>
      <c r="CK290" s="268">
        <f>(CK161-CJ161)*-1</f>
        <v>0</v>
      </c>
      <c r="CL290" s="268">
        <f>(CL161-CK161)*-1</f>
        <v>0</v>
      </c>
      <c r="CM290" s="268">
        <f>(CM161-CL161)*-1</f>
        <v>3</v>
      </c>
      <c r="CN290" s="268">
        <f>(CN161-CM161)*-1</f>
        <v>0</v>
      </c>
      <c r="CO290" s="268">
        <f>SUM(CK290:CN290)</f>
        <v>3</v>
      </c>
      <c r="CP290" s="268">
        <f>(CP161-CO161)*-1</f>
        <v>0</v>
      </c>
      <c r="CQ290" s="268">
        <f>(CQ161-CP161)*-1</f>
        <v>0</v>
      </c>
      <c r="CR290" s="268">
        <f>(CR161-CQ161)*-1</f>
        <v>3</v>
      </c>
      <c r="CS290" s="268">
        <f>(CS161-CR161)*-1</f>
        <v>0</v>
      </c>
      <c r="CT290" s="268">
        <f>SUM(CP290:CS290)</f>
        <v>3</v>
      </c>
      <c r="CU290" s="268">
        <f>(CU161-CT161)*-1</f>
        <v>0</v>
      </c>
      <c r="CV290" s="268">
        <f>(CV161-CU161)*-1</f>
        <v>0</v>
      </c>
      <c r="CW290" s="268">
        <f>(CW161-CV161)*-1</f>
        <v>3</v>
      </c>
      <c r="CX290" s="268">
        <f>(CX161-CW161)*-1</f>
        <v>0</v>
      </c>
      <c r="CY290" s="268">
        <f>SUM(CU290:CX290)</f>
        <v>3</v>
      </c>
    </row>
    <row r="291" ht="12.75" customHeight="1" s="255">
      <c r="C291" s="266" t="inlineStr">
        <is>
          <t>Dividends received from affiliates</t>
        </is>
      </c>
      <c r="D291" s="268" t="n"/>
      <c r="E291" s="268">
        <f>-E164</f>
        <v>0</v>
      </c>
      <c r="F291" s="268">
        <f>-F164</f>
        <v>0</v>
      </c>
      <c r="G291" s="268">
        <f>-G164</f>
        <v>0</v>
      </c>
      <c r="H291" s="268">
        <f>SUM(D291:G291)</f>
        <v>0</v>
      </c>
      <c r="I291" s="268">
        <f>-I164</f>
        <v>0</v>
      </c>
      <c r="J291" s="268">
        <f>-J164</f>
        <v>0</v>
      </c>
      <c r="K291" s="268">
        <f>-K164</f>
        <v>0</v>
      </c>
      <c r="L291" s="268">
        <f>-L164</f>
        <v>0</v>
      </c>
      <c r="M291" s="268">
        <f>SUM(I291:L291)</f>
        <v>0</v>
      </c>
      <c r="N291" s="268">
        <f>-N164</f>
        <v>0</v>
      </c>
      <c r="O291" s="268">
        <f>-O164</f>
        <v>0</v>
      </c>
      <c r="P291" s="268">
        <f>-P164</f>
        <v>0</v>
      </c>
      <c r="Q291" s="268">
        <f>-Q164</f>
        <v>0</v>
      </c>
      <c r="R291" s="268">
        <f>SUM(N291:Q291)</f>
        <v>0</v>
      </c>
      <c r="S291" s="268">
        <f>-S164</f>
        <v>0</v>
      </c>
      <c r="T291" s="268">
        <f>-T164</f>
        <v>0</v>
      </c>
      <c r="U291" s="268">
        <f>-U164</f>
        <v>0</v>
      </c>
      <c r="V291" s="268">
        <f>-V164</f>
        <v>0</v>
      </c>
      <c r="W291" s="268">
        <f>SUM(S291:V291)</f>
        <v>0</v>
      </c>
      <c r="X291" s="268">
        <f>-X164</f>
        <v>0</v>
      </c>
      <c r="Y291" s="268">
        <f>-Y164</f>
        <v>0</v>
      </c>
      <c r="Z291" s="268">
        <f>-Z164</f>
        <v>0</v>
      </c>
      <c r="AA291" s="268">
        <f>-AA164</f>
        <v>0</v>
      </c>
      <c r="AB291" s="268">
        <f>SUM(X291:AA291)</f>
        <v>0</v>
      </c>
      <c r="AC291" s="268">
        <f>-AC164</f>
        <v>0</v>
      </c>
      <c r="AD291" s="268">
        <f>-AD164</f>
        <v>0</v>
      </c>
      <c r="AE291" s="268">
        <f>-AE164</f>
        <v>0</v>
      </c>
      <c r="AF291" s="268">
        <f>-AF164</f>
        <v>0</v>
      </c>
      <c r="AG291" s="268">
        <f>SUM(AC291:AF291)</f>
        <v>0</v>
      </c>
      <c r="AH291" s="268">
        <f>-AH164</f>
        <v>0</v>
      </c>
      <c r="AI291" s="268">
        <f>-AI164</f>
        <v>0</v>
      </c>
      <c r="AJ291" s="268">
        <f>-AJ164</f>
        <v>0</v>
      </c>
      <c r="AK291" s="268">
        <f>-AK164</f>
        <v>0</v>
      </c>
      <c r="AL291" s="268">
        <f>SUM(AH291:AK291)</f>
        <v>0</v>
      </c>
      <c r="AM291" s="268">
        <f>-AM164</f>
        <v>0</v>
      </c>
      <c r="AN291" s="268">
        <f>-AN164</f>
        <v>0</v>
      </c>
      <c r="AO291" s="268">
        <f>-AO164</f>
        <v>0</v>
      </c>
      <c r="AP291" s="268">
        <f>-AP164</f>
        <v>0</v>
      </c>
      <c r="AQ291" s="268">
        <f>SUM(AM291:AP291)</f>
        <v>0</v>
      </c>
      <c r="AR291" s="268">
        <f>-AR164</f>
        <v>0</v>
      </c>
      <c r="AS291" s="268">
        <f>-AS164</f>
        <v>0</v>
      </c>
      <c r="AT291" s="268">
        <f>-AT164</f>
        <v>0</v>
      </c>
      <c r="AU291" s="268">
        <f>-AU164</f>
        <v>0</v>
      </c>
      <c r="AV291" s="268">
        <f>SUM(AR291:AU291)</f>
        <v>0</v>
      </c>
      <c r="AW291" s="268">
        <f>-AW164</f>
        <v>0</v>
      </c>
      <c r="AX291" s="268">
        <f>-AX164</f>
        <v>0</v>
      </c>
      <c r="AY291" s="268">
        <f>-AY164</f>
        <v>0</v>
      </c>
      <c r="AZ291" s="268">
        <f>-AZ164</f>
        <v>0</v>
      </c>
      <c r="BA291" s="268">
        <f>SUM(AW291:AZ291)</f>
        <v>0</v>
      </c>
      <c r="BB291" s="268">
        <f>-BB164</f>
        <v>0</v>
      </c>
      <c r="BC291" s="268">
        <f>-BC164</f>
        <v>0</v>
      </c>
      <c r="BD291" s="268">
        <f>-BD164</f>
        <v>0</v>
      </c>
      <c r="BE291" s="268">
        <f>-BE164</f>
        <v>0</v>
      </c>
      <c r="BF291" s="268">
        <f>SUM(BB291:BE291)</f>
        <v>0</v>
      </c>
      <c r="BG291" s="268">
        <f>-BG164</f>
        <v>0</v>
      </c>
      <c r="BH291" s="268">
        <f>-BH164</f>
        <v>0</v>
      </c>
      <c r="BI291" s="268">
        <f>-BI164</f>
        <v>0</v>
      </c>
      <c r="BJ291" s="268">
        <f>-BJ164</f>
        <v>0</v>
      </c>
      <c r="BK291" s="268">
        <f>SUM(BG291:BJ291)</f>
        <v>0</v>
      </c>
      <c r="BL291" s="268">
        <f>-BL164</f>
        <v>0</v>
      </c>
      <c r="BM291" s="268">
        <f>-BM164</f>
        <v>0</v>
      </c>
      <c r="BN291" s="268">
        <f>-BN164</f>
        <v>0</v>
      </c>
      <c r="BO291" s="268">
        <f>-BO164</f>
        <v>0</v>
      </c>
      <c r="BP291" s="268">
        <f>SUM(BL291:BO291)</f>
        <v>0</v>
      </c>
      <c r="BQ291" s="268">
        <f>-BQ164</f>
        <v>0</v>
      </c>
      <c r="BR291" s="268">
        <f>-BR164</f>
        <v>0</v>
      </c>
      <c r="BS291" s="268">
        <f>-BS164</f>
        <v>0</v>
      </c>
      <c r="BT291" s="268">
        <f>-BT164</f>
        <v>0</v>
      </c>
      <c r="BU291" s="268">
        <f>SUM(BQ291:BT291)</f>
        <v>0</v>
      </c>
      <c r="BV291" s="268">
        <f>-BV164</f>
        <v>0</v>
      </c>
      <c r="BW291" s="268">
        <f>-BW164</f>
        <v>0</v>
      </c>
      <c r="BX291" s="268">
        <f>-BX164</f>
        <v>0</v>
      </c>
      <c r="BY291" s="268">
        <f>-BY164</f>
        <v>0</v>
      </c>
      <c r="BZ291" s="268">
        <f>SUM(BV291:BY291)</f>
        <v>0</v>
      </c>
      <c r="CA291" s="268">
        <f>-CA164</f>
        <v>0</v>
      </c>
      <c r="CB291" s="268">
        <f>-CB164</f>
        <v>0</v>
      </c>
      <c r="CC291" s="268">
        <f>-CC164</f>
        <v>0</v>
      </c>
      <c r="CD291" s="268">
        <f>-CD164</f>
        <v>0</v>
      </c>
      <c r="CE291" s="268">
        <f>SUM(CA291:CD291)</f>
        <v>0</v>
      </c>
      <c r="CF291" s="268">
        <f>-CF164</f>
        <v>0</v>
      </c>
      <c r="CG291" s="268">
        <f>-CG164</f>
        <v>0</v>
      </c>
      <c r="CH291" s="268">
        <f>-CH164</f>
        <v>0</v>
      </c>
      <c r="CI291" s="268">
        <f>-CI164</f>
        <v>0</v>
      </c>
      <c r="CJ291" s="268">
        <f>SUM(CF291:CI291)</f>
        <v>0</v>
      </c>
      <c r="CK291" s="268">
        <f>-CK164</f>
        <v>0</v>
      </c>
      <c r="CL291" s="268">
        <f>-CL164</f>
        <v>0</v>
      </c>
      <c r="CM291" s="268">
        <f>-CM164</f>
        <v>0</v>
      </c>
      <c r="CN291" s="268">
        <f>-CN164</f>
        <v>0</v>
      </c>
      <c r="CO291" s="268">
        <f>SUM(CK291:CN291)</f>
        <v>0</v>
      </c>
      <c r="CP291" s="268">
        <f>-CP164</f>
        <v>0</v>
      </c>
      <c r="CQ291" s="268">
        <f>-CQ164</f>
        <v>0</v>
      </c>
      <c r="CR291" s="268">
        <f>-CR164</f>
        <v>0</v>
      </c>
      <c r="CS291" s="268">
        <f>-CS164</f>
        <v>0</v>
      </c>
      <c r="CT291" s="268">
        <f>SUM(CP291:CS291)</f>
        <v>0</v>
      </c>
      <c r="CU291" s="268">
        <f>-CU164</f>
        <v>0</v>
      </c>
      <c r="CV291" s="268">
        <f>-CV164</f>
        <v>0</v>
      </c>
      <c r="CW291" s="268">
        <f>-CW164</f>
        <v>0</v>
      </c>
      <c r="CX291" s="268">
        <f>-CX164</f>
        <v>0</v>
      </c>
      <c r="CY291" s="268">
        <f>SUM(CU291:CX291)</f>
        <v>0</v>
      </c>
    </row>
    <row r="292" ht="12.75" customHeight="1" s="255">
      <c r="C292" s="328" t="inlineStr">
        <is>
          <t>Minority interest expense</t>
        </is>
      </c>
      <c r="D292" s="268" t="n"/>
      <c r="E292" s="268">
        <f>-E136</f>
        <v>6</v>
      </c>
      <c r="F292" s="268">
        <f>-F136</f>
        <v>5</v>
      </c>
      <c r="G292" s="268">
        <f>-G136</f>
        <v>18</v>
      </c>
      <c r="H292" s="268">
        <f>SUM(D292:G292)</f>
        <v>29</v>
      </c>
      <c r="I292" s="268">
        <f>-I136</f>
        <v>86</v>
      </c>
      <c r="J292" s="268">
        <f>-J136</f>
        <v>7</v>
      </c>
      <c r="K292" s="268">
        <f>-K136</f>
        <v>-4</v>
      </c>
      <c r="L292" s="268">
        <f>-L136</f>
        <v>1</v>
      </c>
      <c r="M292" s="268">
        <f>SUM(I292:L292)</f>
        <v>90</v>
      </c>
      <c r="N292" s="268">
        <f>-N136</f>
        <v>8</v>
      </c>
      <c r="O292" s="268">
        <f>-O136</f>
        <v>19</v>
      </c>
      <c r="P292" s="268">
        <f>-P136</f>
        <v>3</v>
      </c>
      <c r="Q292" s="268">
        <f>-Q136</f>
        <v>38</v>
      </c>
      <c r="R292" s="268">
        <f>SUM(N292:Q292)</f>
        <v>68</v>
      </c>
      <c r="S292" s="268">
        <f>-S136</f>
        <v>27</v>
      </c>
      <c r="T292" s="268">
        <f>-T136</f>
        <v>7</v>
      </c>
      <c r="U292" s="268">
        <f>-U136</f>
        <v>16</v>
      </c>
      <c r="V292" s="268">
        <f>-V136</f>
        <v>44</v>
      </c>
      <c r="W292" s="268">
        <f>SUM(S292:V292)</f>
        <v>94</v>
      </c>
      <c r="X292" s="268">
        <f>-X136</f>
        <v>8</v>
      </c>
      <c r="Y292" s="268">
        <f>-Y136</f>
        <v>3</v>
      </c>
      <c r="Z292" s="268">
        <f>-Z136</f>
        <v>12</v>
      </c>
      <c r="AA292" s="268">
        <f>-AA136</f>
        <v>28</v>
      </c>
      <c r="AB292" s="268">
        <f>SUM(X292:AA292)</f>
        <v>51</v>
      </c>
      <c r="AC292" s="268">
        <f>-AC136</f>
        <v>3</v>
      </c>
      <c r="AD292" s="268">
        <f>-AD136</f>
        <v>16</v>
      </c>
      <c r="AE292" s="268">
        <f>-AE136</f>
        <v>15</v>
      </c>
      <c r="AF292" s="268">
        <f>-AF136</f>
        <v>-7</v>
      </c>
      <c r="AG292" s="268">
        <f>SUM(AC292:AF292)</f>
        <v>27</v>
      </c>
      <c r="AH292" s="268">
        <f>-AH136</f>
        <v>7</v>
      </c>
      <c r="AI292" s="268">
        <f>-AI136</f>
        <v>29</v>
      </c>
      <c r="AJ292" s="268">
        <f>-AJ136</f>
        <v>15</v>
      </c>
      <c r="AK292" s="268">
        <f>-AK136</f>
        <v>-7</v>
      </c>
      <c r="AL292" s="268">
        <f>SUM(AH292:AK292)</f>
        <v>44</v>
      </c>
      <c r="AM292" s="268">
        <f>-AM136</f>
        <v>7</v>
      </c>
      <c r="AN292" s="268">
        <f>-AN136</f>
        <v>29</v>
      </c>
      <c r="AO292" s="268">
        <f>-AO136</f>
        <v>15</v>
      </c>
      <c r="AP292" s="268">
        <f>-AP136</f>
        <v>-7</v>
      </c>
      <c r="AQ292" s="268">
        <f>SUM(AM292:AP292)</f>
        <v>44</v>
      </c>
      <c r="AR292" s="268">
        <f>-AR136</f>
        <v>7</v>
      </c>
      <c r="AS292" s="268">
        <f>-AS136</f>
        <v>29</v>
      </c>
      <c r="AT292" s="268">
        <f>-AT136</f>
        <v>15</v>
      </c>
      <c r="AU292" s="268">
        <f>-AU136</f>
        <v>-7</v>
      </c>
      <c r="AV292" s="268">
        <f>SUM(AR292:AU292)</f>
        <v>44</v>
      </c>
      <c r="AW292" s="268">
        <f>-AW136</f>
        <v>7</v>
      </c>
      <c r="AX292" s="268">
        <f>-AX136</f>
        <v>29</v>
      </c>
      <c r="AY292" s="268">
        <f>-AY136</f>
        <v>15</v>
      </c>
      <c r="AZ292" s="268">
        <f>-AZ136</f>
        <v>-7</v>
      </c>
      <c r="BA292" s="268">
        <f>SUM(AW292:AZ292)</f>
        <v>44</v>
      </c>
      <c r="BB292" s="268">
        <f>-BB136</f>
        <v>7</v>
      </c>
      <c r="BC292" s="268">
        <f>-BC136</f>
        <v>29</v>
      </c>
      <c r="BD292" s="268">
        <f>-BD136</f>
        <v>15</v>
      </c>
      <c r="BE292" s="268">
        <f>-BE136</f>
        <v>-7</v>
      </c>
      <c r="BF292" s="268">
        <f>SUM(BB292:BE292)</f>
        <v>44</v>
      </c>
      <c r="BG292" s="268">
        <f>-BG136</f>
        <v>7</v>
      </c>
      <c r="BH292" s="268">
        <f>-BH136</f>
        <v>29</v>
      </c>
      <c r="BI292" s="268">
        <f>-BI136</f>
        <v>15</v>
      </c>
      <c r="BJ292" s="268">
        <f>-BJ136</f>
        <v>-7</v>
      </c>
      <c r="BK292" s="268">
        <f>SUM(BG292:BJ292)</f>
        <v>44</v>
      </c>
      <c r="BL292" s="268">
        <f>-BL136</f>
        <v>7</v>
      </c>
      <c r="BM292" s="268">
        <f>-BM136</f>
        <v>29</v>
      </c>
      <c r="BN292" s="268">
        <f>-BN136</f>
        <v>15</v>
      </c>
      <c r="BO292" s="268">
        <f>-BO136</f>
        <v>-7</v>
      </c>
      <c r="BP292" s="268">
        <f>SUM(BL292:BO292)</f>
        <v>44</v>
      </c>
      <c r="BQ292" s="268">
        <f>-BQ136</f>
        <v>7</v>
      </c>
      <c r="BR292" s="268">
        <f>-BR136</f>
        <v>29</v>
      </c>
      <c r="BS292" s="268">
        <f>-BS136</f>
        <v>15</v>
      </c>
      <c r="BT292" s="268">
        <f>-BT136</f>
        <v>-7</v>
      </c>
      <c r="BU292" s="268">
        <f>SUM(BQ292:BT292)</f>
        <v>44</v>
      </c>
      <c r="BV292" s="268">
        <f>-BV136</f>
        <v>7</v>
      </c>
      <c r="BW292" s="268">
        <f>-BW136</f>
        <v>29</v>
      </c>
      <c r="BX292" s="268">
        <f>-BX136</f>
        <v>15</v>
      </c>
      <c r="BY292" s="268">
        <f>-BY136</f>
        <v>-7</v>
      </c>
      <c r="BZ292" s="268">
        <f>SUM(BV292:BY292)</f>
        <v>44</v>
      </c>
      <c r="CA292" s="268">
        <f>-CA136</f>
        <v>7</v>
      </c>
      <c r="CB292" s="268">
        <f>-CB136</f>
        <v>29</v>
      </c>
      <c r="CC292" s="268">
        <f>-CC136</f>
        <v>15</v>
      </c>
      <c r="CD292" s="268">
        <f>-CD136</f>
        <v>-7</v>
      </c>
      <c r="CE292" s="268">
        <f>SUM(CA292:CD292)</f>
        <v>44</v>
      </c>
      <c r="CF292" s="268">
        <f>-CF136</f>
        <v>7</v>
      </c>
      <c r="CG292" s="268">
        <f>-CG136</f>
        <v>29</v>
      </c>
      <c r="CH292" s="268">
        <f>-CH136</f>
        <v>15</v>
      </c>
      <c r="CI292" s="268">
        <f>-CI136</f>
        <v>-7</v>
      </c>
      <c r="CJ292" s="268">
        <f>SUM(CF292:CI292)</f>
        <v>44</v>
      </c>
      <c r="CK292" s="268">
        <f>-CK136</f>
        <v>7</v>
      </c>
      <c r="CL292" s="268">
        <f>-CL136</f>
        <v>29</v>
      </c>
      <c r="CM292" s="268">
        <f>-CM136</f>
        <v>15</v>
      </c>
      <c r="CN292" s="268">
        <f>-CN136</f>
        <v>-7</v>
      </c>
      <c r="CO292" s="268">
        <f>SUM(CK292:CN292)</f>
        <v>44</v>
      </c>
      <c r="CP292" s="268">
        <f>-CP136</f>
        <v>7</v>
      </c>
      <c r="CQ292" s="268">
        <f>-CQ136</f>
        <v>29</v>
      </c>
      <c r="CR292" s="268">
        <f>-CR136</f>
        <v>15</v>
      </c>
      <c r="CS292" s="268">
        <f>-CS136</f>
        <v>-7</v>
      </c>
      <c r="CT292" s="268">
        <f>SUM(CP292:CS292)</f>
        <v>44</v>
      </c>
      <c r="CU292" s="268">
        <f>-CU136</f>
        <v>7</v>
      </c>
      <c r="CV292" s="268">
        <f>-CV136</f>
        <v>29</v>
      </c>
      <c r="CW292" s="268">
        <f>-CW136</f>
        <v>15</v>
      </c>
      <c r="CX292" s="268">
        <f>-CX136</f>
        <v>-7</v>
      </c>
      <c r="CY292" s="268">
        <f>SUM(CU292:CX292)</f>
        <v>44</v>
      </c>
    </row>
    <row r="293" ht="12.75" customHeight="1" s="255">
      <c r="C293" s="270" t="inlineStr">
        <is>
          <t>Cash from operations</t>
        </is>
      </c>
      <c r="D293" s="268" t="n"/>
      <c r="E293" s="268">
        <f>SUM(E277,E278,E279,E290,E291,E292)</f>
        <v>-863</v>
      </c>
      <c r="F293" s="268">
        <f>SUM(F277,F278,F279,F290,F291,F292)</f>
        <v>-275</v>
      </c>
      <c r="G293" s="268">
        <f>SUM(G277,G278,G279,G290,G291,G292)</f>
        <v>-607</v>
      </c>
      <c r="H293" s="268">
        <f>SUM(H277,H278,H279,H290,H291,H292)</f>
        <v>-1745</v>
      </c>
      <c r="I293" s="268">
        <f>SUM(I277,I278,I279,I290,I291,I292)</f>
        <v>307</v>
      </c>
      <c r="J293" s="268">
        <f>SUM(J277,J278,J279,J290,J291,J292)</f>
        <v>131</v>
      </c>
      <c r="K293" s="268">
        <f>SUM(K277,K278,K279,K290,K291,K292)</f>
        <v>1744</v>
      </c>
      <c r="L293" s="268">
        <f>SUM(L277,L278,L279,L290,L291,L292)</f>
        <v>330</v>
      </c>
      <c r="M293" s="268">
        <f>SUM(M277,M278,M279,M290,M291,M292)</f>
        <v>2512</v>
      </c>
      <c r="N293" s="268">
        <f>SUM(N277,N278,N279,N290,N291,N292)</f>
        <v>-1025</v>
      </c>
      <c r="O293" s="268">
        <f>SUM(O277,O278,O279,O290,O291,O292)</f>
        <v>150</v>
      </c>
      <c r="P293" s="268">
        <f>SUM(P277,P278,P279,P290,P291,P292)</f>
        <v>1946</v>
      </c>
      <c r="Q293" s="268">
        <f>SUM(Q277,Q278,Q279,Q290,Q291,Q292)</f>
        <v>770</v>
      </c>
      <c r="R293" s="268">
        <f>SUM(R277,R278,R279,R290,R291,R292)</f>
        <v>1841</v>
      </c>
      <c r="S293" s="268">
        <f>SUM(S277,S278,S279,S290,S291,S292)</f>
        <v>1234</v>
      </c>
      <c r="T293" s="268">
        <f>SUM(T277,T278,T279,T290,T291,T292)</f>
        <v>-456</v>
      </c>
      <c r="U293" s="268">
        <f>SUM(U277,U278,U279,U290,U291,U292)</f>
        <v>1444</v>
      </c>
      <c r="V293" s="268">
        <f>SUM(V277,V278,V279,V290,V291,V292)</f>
        <v>1241</v>
      </c>
      <c r="W293" s="268">
        <f>SUM(W277,W278,W279,W290,W291,W292)</f>
        <v>3463</v>
      </c>
      <c r="X293" s="268">
        <f>SUM(X277,X278,X279,X290,X291,X292)</f>
        <v>847</v>
      </c>
      <c r="Y293" s="268">
        <f>SUM(Y277,Y278,Y279,Y290,Y291,Y292)</f>
        <v>-1020</v>
      </c>
      <c r="Z293" s="268">
        <f>SUM(Z277,Z278,Z279,Z290,Z291,Z292)</f>
        <v>1172</v>
      </c>
      <c r="AA293" s="268">
        <f>SUM(AA277,AA278,AA279,AA290,AA291,AA292)</f>
        <v>892</v>
      </c>
      <c r="AB293" s="268">
        <f>SUM(AB277,AB278,AB279,AB290,AB291,AB292)</f>
        <v>1891</v>
      </c>
      <c r="AC293" s="268">
        <f>SUM(AC277,AC278,AC279,AC290,AC291,AC292)</f>
        <v>-524</v>
      </c>
      <c r="AD293" s="268">
        <f>SUM(AD277,AD278,AD279,AD290,AD291,AD292)</f>
        <v>-435</v>
      </c>
      <c r="AE293" s="268">
        <f>SUM(AE277,AE278,AE279,AE290,AE291,AE292)</f>
        <v>-5943</v>
      </c>
      <c r="AF293" s="268">
        <f>SUM(AF277,AF278,AF279,AF290,AF291,AF292)</f>
        <v>2006</v>
      </c>
      <c r="AG293" s="268">
        <f>SUM(AG277,AG278,AG279,AG290,AG291,AG292)</f>
        <v>-4896</v>
      </c>
      <c r="AH293" s="268">
        <f>SUM(AH277,AH278,AH279,AH290,AH291,AH292)</f>
        <v>-364</v>
      </c>
      <c r="AI293" s="268">
        <f>SUM(AI277,AI278,AI279,AI290,AI291,AI292)</f>
        <v>241</v>
      </c>
      <c r="AJ293" s="268">
        <f>SUM(AJ277,AJ278,AJ279,AJ290,AJ291,AJ292)</f>
        <v>14029</v>
      </c>
      <c r="AK293" s="268">
        <f>SUM(AK277,AK278,AK279,AK290,AK291,AK292)</f>
        <v>65</v>
      </c>
      <c r="AL293" s="268">
        <f>SUM(AL277,AL278,AL279,AL290,AL291,AL292)</f>
        <v>13971</v>
      </c>
      <c r="AM293" s="268" t="e">
        <f>SUM(AM277,AM278,AM279,AM290,AM291,AM292)</f>
        <v>#DIV/0!</v>
      </c>
      <c r="AN293" s="268" t="e">
        <f>SUM(AN277,AN278,AN279,AN290,AN291,AN292)</f>
        <v>#DIV/0!</v>
      </c>
      <c r="AO293" s="268" t="e">
        <f>SUM(AO277,AO278,AO279,AO290,AO291,AO292)</f>
        <v>#DIV/0!</v>
      </c>
      <c r="AP293" s="268" t="e">
        <f>SUM(AP277,AP278,AP279,AP290,AP291,AP292)</f>
        <v>#DIV/0!</v>
      </c>
      <c r="AQ293" s="268" t="e">
        <f>SUM(AQ277,AQ278,AQ279,AQ290,AQ291,AQ292)</f>
        <v>#DIV/0!</v>
      </c>
      <c r="AR293" s="268" t="e">
        <f>SUM(AR277,AR278,AR279,AR290,AR291,AR292)</f>
        <v>#DIV/0!</v>
      </c>
      <c r="AS293" s="268" t="e">
        <f>SUM(AS277,AS278,AS279,AS290,AS291,AS292)</f>
        <v>#DIV/0!</v>
      </c>
      <c r="AT293" s="268" t="e">
        <f>SUM(AT277,AT278,AT279,AT290,AT291,AT292)</f>
        <v>#DIV/0!</v>
      </c>
      <c r="AU293" s="268" t="e">
        <f>SUM(AU277,AU278,AU279,AU290,AU291,AU292)</f>
        <v>#DIV/0!</v>
      </c>
      <c r="AV293" s="268" t="e">
        <f>SUM(AV277,AV278,AV279,AV290,AV291,AV292)</f>
        <v>#DIV/0!</v>
      </c>
      <c r="AW293" s="268" t="e">
        <f>SUM(AW277,AW278,AW279,AW290,AW291,AW292)</f>
        <v>#DIV/0!</v>
      </c>
      <c r="AX293" s="268" t="e">
        <f>SUM(AX277,AX278,AX279,AX290,AX291,AX292)</f>
        <v>#DIV/0!</v>
      </c>
      <c r="AY293" s="268" t="e">
        <f>SUM(AY277,AY278,AY279,AY290,AY291,AY292)</f>
        <v>#DIV/0!</v>
      </c>
      <c r="AZ293" s="268" t="e">
        <f>SUM(AZ277,AZ278,AZ279,AZ290,AZ291,AZ292)</f>
        <v>#DIV/0!</v>
      </c>
      <c r="BA293" s="268" t="e">
        <f>SUM(BA277,BA278,BA279,BA290,BA291,BA292)</f>
        <v>#DIV/0!</v>
      </c>
      <c r="BB293" s="268" t="e">
        <f>SUM(BB277,BB278,BB279,BB290,BB291,BB292)</f>
        <v>#DIV/0!</v>
      </c>
      <c r="BC293" s="268" t="e">
        <f>SUM(BC277,BC278,BC279,BC290,BC291,BC292)</f>
        <v>#DIV/0!</v>
      </c>
      <c r="BD293" s="268" t="e">
        <f>SUM(BD277,BD278,BD279,BD290,BD291,BD292)</f>
        <v>#DIV/0!</v>
      </c>
      <c r="BE293" s="268" t="e">
        <f>SUM(BE277,BE278,BE279,BE290,BE291,BE292)</f>
        <v>#DIV/0!</v>
      </c>
      <c r="BF293" s="268" t="e">
        <f>SUM(BF277,BF278,BF279,BF290,BF291,BF292)</f>
        <v>#DIV/0!</v>
      </c>
      <c r="BG293" s="268" t="e">
        <f>SUM(BG277,BG278,BG279,BG290,BG291,BG292)</f>
        <v>#DIV/0!</v>
      </c>
      <c r="BH293" s="268" t="e">
        <f>SUM(BH277,BH278,BH279,BH290,BH291,BH292)</f>
        <v>#DIV/0!</v>
      </c>
      <c r="BI293" s="268" t="e">
        <f>SUM(BI277,BI278,BI279,BI290,BI291,BI292)</f>
        <v>#DIV/0!</v>
      </c>
      <c r="BJ293" s="268" t="e">
        <f>SUM(BJ277,BJ278,BJ279,BJ290,BJ291,BJ292)</f>
        <v>#DIV/0!</v>
      </c>
      <c r="BK293" s="268" t="e">
        <f>SUM(BK277,BK278,BK279,BK290,BK291,BK292)</f>
        <v>#DIV/0!</v>
      </c>
      <c r="BL293" s="268" t="e">
        <f>SUM(BL277,BL278,BL279,BL290,BL291,BL292)</f>
        <v>#DIV/0!</v>
      </c>
      <c r="BM293" s="268" t="e">
        <f>SUM(BM277,BM278,BM279,BM290,BM291,BM292)</f>
        <v>#DIV/0!</v>
      </c>
      <c r="BN293" s="268" t="e">
        <f>SUM(BN277,BN278,BN279,BN290,BN291,BN292)</f>
        <v>#DIV/0!</v>
      </c>
      <c r="BO293" s="268" t="e">
        <f>SUM(BO277,BO278,BO279,BO290,BO291,BO292)</f>
        <v>#DIV/0!</v>
      </c>
      <c r="BP293" s="268" t="e">
        <f>SUM(BP277,BP278,BP279,BP290,BP291,BP292)</f>
        <v>#DIV/0!</v>
      </c>
      <c r="BQ293" s="268" t="e">
        <f>SUM(BQ277,BQ278,BQ279,BQ290,BQ291,BQ292)</f>
        <v>#DIV/0!</v>
      </c>
      <c r="BR293" s="268" t="e">
        <f>SUM(BR277,BR278,BR279,BR290,BR291,BR292)</f>
        <v>#DIV/0!</v>
      </c>
      <c r="BS293" s="268" t="e">
        <f>SUM(BS277,BS278,BS279,BS290,BS291,BS292)</f>
        <v>#DIV/0!</v>
      </c>
      <c r="BT293" s="268" t="e">
        <f>SUM(BT277,BT278,BT279,BT290,BT291,BT292)</f>
        <v>#DIV/0!</v>
      </c>
      <c r="BU293" s="268" t="e">
        <f>SUM(BU277,BU278,BU279,BU290,BU291,BU292)</f>
        <v>#DIV/0!</v>
      </c>
      <c r="BV293" s="268" t="e">
        <f>SUM(BV277,BV278,BV279,BV290,BV291,BV292)</f>
        <v>#DIV/0!</v>
      </c>
      <c r="BW293" s="268" t="e">
        <f>SUM(BW277,BW278,BW279,BW290,BW291,BW292)</f>
        <v>#DIV/0!</v>
      </c>
      <c r="BX293" s="268" t="e">
        <f>SUM(BX277,BX278,BX279,BX290,BX291,BX292)</f>
        <v>#DIV/0!</v>
      </c>
      <c r="BY293" s="268" t="e">
        <f>SUM(BY277,BY278,BY279,BY290,BY291,BY292)</f>
        <v>#DIV/0!</v>
      </c>
      <c r="BZ293" s="268" t="e">
        <f>SUM(BZ277,BZ278,BZ279,BZ290,BZ291,BZ292)</f>
        <v>#DIV/0!</v>
      </c>
      <c r="CA293" s="268" t="e">
        <f>SUM(CA277,CA278,CA279,CA290,CA291,CA292)</f>
        <v>#DIV/0!</v>
      </c>
      <c r="CB293" s="268" t="e">
        <f>SUM(CB277,CB278,CB279,CB290,CB291,CB292)</f>
        <v>#DIV/0!</v>
      </c>
      <c r="CC293" s="268" t="e">
        <f>SUM(CC277,CC278,CC279,CC290,CC291,CC292)</f>
        <v>#DIV/0!</v>
      </c>
      <c r="CD293" s="268" t="e">
        <f>SUM(CD277,CD278,CD279,CD290,CD291,CD292)</f>
        <v>#DIV/0!</v>
      </c>
      <c r="CE293" s="268" t="e">
        <f>SUM(CE277,CE278,CE279,CE290,CE291,CE292)</f>
        <v>#DIV/0!</v>
      </c>
      <c r="CF293" s="268" t="e">
        <f>SUM(CF277,CF278,CF279,CF290,CF291,CF292)</f>
        <v>#DIV/0!</v>
      </c>
      <c r="CG293" s="268" t="e">
        <f>SUM(CG277,CG278,CG279,CG290,CG291,CG292)</f>
        <v>#DIV/0!</v>
      </c>
      <c r="CH293" s="268" t="e">
        <f>SUM(CH277,CH278,CH279,CH290,CH291,CH292)</f>
        <v>#DIV/0!</v>
      </c>
      <c r="CI293" s="268" t="e">
        <f>SUM(CI277,CI278,CI279,CI290,CI291,CI292)</f>
        <v>#DIV/0!</v>
      </c>
      <c r="CJ293" s="268" t="e">
        <f>SUM(CJ277,CJ278,CJ279,CJ290,CJ291,CJ292)</f>
        <v>#DIV/0!</v>
      </c>
      <c r="CK293" s="268" t="e">
        <f>SUM(CK277,CK278,CK279,CK290,CK291,CK292)</f>
        <v>#DIV/0!</v>
      </c>
      <c r="CL293" s="268" t="e">
        <f>SUM(CL277,CL278,CL279,CL290,CL291,CL292)</f>
        <v>#DIV/0!</v>
      </c>
      <c r="CM293" s="268" t="e">
        <f>SUM(CM277,CM278,CM279,CM290,CM291,CM292)</f>
        <v>#DIV/0!</v>
      </c>
      <c r="CN293" s="268" t="e">
        <f>SUM(CN277,CN278,CN279,CN290,CN291,CN292)</f>
        <v>#DIV/0!</v>
      </c>
      <c r="CO293" s="268" t="e">
        <f>SUM(CO277,CO278,CO279,CO290,CO291,CO292)</f>
        <v>#DIV/0!</v>
      </c>
      <c r="CP293" s="268" t="e">
        <f>SUM(CP277,CP278,CP279,CP290,CP291,CP292)</f>
        <v>#DIV/0!</v>
      </c>
      <c r="CQ293" s="268" t="e">
        <f>SUM(CQ277,CQ278,CQ279,CQ290,CQ291,CQ292)</f>
        <v>#DIV/0!</v>
      </c>
      <c r="CR293" s="268" t="e">
        <f>SUM(CR277,CR278,CR279,CR290,CR291,CR292)</f>
        <v>#DIV/0!</v>
      </c>
      <c r="CS293" s="268" t="e">
        <f>SUM(CS277,CS278,CS279,CS290,CS291,CS292)</f>
        <v>#DIV/0!</v>
      </c>
      <c r="CT293" s="268" t="e">
        <f>SUM(CT277,CT278,CT279,CT290,CT291,CT292)</f>
        <v>#DIV/0!</v>
      </c>
      <c r="CU293" s="268" t="e">
        <f>SUM(CU277,CU278,CU279,CU290,CU291,CU292)</f>
        <v>#DIV/0!</v>
      </c>
      <c r="CV293" s="268" t="e">
        <f>SUM(CV277,CV278,CV279,CV290,CV291,CV292)</f>
        <v>#DIV/0!</v>
      </c>
      <c r="CW293" s="268" t="e">
        <f>SUM(CW277,CW278,CW279,CW290,CW291,CW292)</f>
        <v>#DIV/0!</v>
      </c>
      <c r="CX293" s="268" t="e">
        <f>SUM(CX277,CX278,CX279,CX290,CX291,CX292)</f>
        <v>#DIV/0!</v>
      </c>
      <c r="CY293" s="268" t="e">
        <f>SUM(CY277,CY278,CY279,CY290,CY291,CY292)</f>
        <v>#DIV/0!</v>
      </c>
    </row>
    <row r="294" ht="12.75" customHeight="1" s="255">
      <c r="C294" s="270" t="n"/>
      <c r="D294" s="268" t="n"/>
      <c r="E294" s="268" t="n"/>
      <c r="F294" s="268" t="n"/>
      <c r="G294" s="268" t="n"/>
      <c r="H294" s="268" t="n"/>
      <c r="I294" s="268" t="n"/>
      <c r="J294" s="268" t="n"/>
      <c r="K294" s="268" t="n"/>
      <c r="L294" s="268" t="n"/>
      <c r="M294" s="268" t="n"/>
      <c r="N294" s="268" t="n"/>
      <c r="O294" s="268" t="n"/>
      <c r="P294" s="268" t="n"/>
      <c r="Q294" s="268" t="n"/>
      <c r="R294" s="268" t="n"/>
      <c r="S294" s="268" t="n"/>
      <c r="T294" s="268" t="n"/>
      <c r="U294" s="268" t="n"/>
      <c r="V294" s="268" t="n"/>
      <c r="W294" s="268" t="n"/>
      <c r="X294" s="268" t="n"/>
      <c r="Y294" s="268" t="n"/>
      <c r="Z294" s="268" t="n"/>
      <c r="AA294" s="268" t="n"/>
      <c r="AB294" s="268" t="n"/>
      <c r="AC294" s="268" t="n"/>
      <c r="AD294" s="268" t="n"/>
      <c r="AE294" s="268" t="n"/>
      <c r="AF294" s="268" t="n"/>
      <c r="AG294" s="268" t="n"/>
      <c r="AH294" s="268" t="n"/>
      <c r="AI294" s="268" t="n"/>
      <c r="AJ294" s="268" t="n"/>
      <c r="AK294" s="268" t="n"/>
      <c r="AL294" s="268" t="n"/>
      <c r="AM294" s="268" t="n"/>
      <c r="AN294" s="268" t="n"/>
      <c r="AO294" s="268" t="n"/>
      <c r="AP294" s="268" t="n"/>
      <c r="AQ294" s="268" t="n"/>
      <c r="AR294" s="268" t="n"/>
      <c r="AS294" s="268" t="n"/>
      <c r="AT294" s="268" t="n"/>
      <c r="AU294" s="268" t="n"/>
      <c r="AV294" s="268" t="n"/>
      <c r="AW294" s="268" t="n"/>
      <c r="AX294" s="268" t="n"/>
      <c r="AY294" s="268" t="n"/>
      <c r="AZ294" s="268" t="n"/>
      <c r="BA294" s="268" t="n"/>
      <c r="BB294" s="268" t="n"/>
      <c r="BC294" s="268" t="n"/>
      <c r="BD294" s="268" t="n"/>
      <c r="BE294" s="268" t="n"/>
      <c r="BF294" s="268" t="n"/>
      <c r="BG294" s="268" t="n"/>
      <c r="BH294" s="268" t="n"/>
      <c r="BI294" s="268" t="n"/>
      <c r="BJ294" s="268" t="n"/>
      <c r="BK294" s="268" t="n"/>
      <c r="BL294" s="268" t="n"/>
      <c r="BM294" s="268" t="n"/>
      <c r="BN294" s="268" t="n"/>
      <c r="BO294" s="268" t="n"/>
      <c r="BP294" s="268" t="n"/>
      <c r="BQ294" s="268" t="n"/>
      <c r="BR294" s="268" t="n"/>
      <c r="BS294" s="268" t="n"/>
      <c r="BT294" s="268" t="n"/>
      <c r="BU294" s="268" t="n"/>
      <c r="BV294" s="268" t="n"/>
      <c r="BW294" s="268" t="n"/>
      <c r="BX294" s="268" t="n"/>
      <c r="BY294" s="268" t="n"/>
      <c r="BZ294" s="268" t="n"/>
      <c r="CA294" s="268" t="n"/>
      <c r="CB294" s="268" t="n"/>
      <c r="CC294" s="268" t="n"/>
      <c r="CD294" s="268" t="n"/>
      <c r="CE294" s="268" t="n"/>
      <c r="CF294" s="268" t="n"/>
      <c r="CG294" s="268" t="n"/>
      <c r="CH294" s="268" t="n"/>
      <c r="CI294" s="268" t="n"/>
      <c r="CJ294" s="268" t="n"/>
      <c r="CK294" s="268" t="n"/>
      <c r="CL294" s="268" t="n"/>
      <c r="CM294" s="268" t="n"/>
      <c r="CN294" s="268" t="n"/>
      <c r="CO294" s="268" t="n"/>
      <c r="CP294" s="268" t="n"/>
      <c r="CQ294" s="268" t="n"/>
      <c r="CR294" s="268" t="n"/>
      <c r="CS294" s="268" t="n"/>
      <c r="CT294" s="268" t="n"/>
      <c r="CU294" s="268" t="n"/>
      <c r="CV294" s="268" t="n"/>
      <c r="CW294" s="268" t="n"/>
      <c r="CX294" s="268" t="n"/>
      <c r="CY294" s="268" t="n"/>
    </row>
    <row r="295" ht="12.75" customHeight="1" s="255">
      <c r="C295" s="266" t="inlineStr">
        <is>
          <t>Purchase of fixed assets (capital expenditures)</t>
        </is>
      </c>
      <c r="D295" s="268" t="n"/>
      <c r="E295" s="268">
        <f>-E168</f>
        <v>12</v>
      </c>
      <c r="F295" s="268">
        <f>-F168</f>
        <v>-112</v>
      </c>
      <c r="G295" s="268">
        <f>-G168</f>
        <v>-167</v>
      </c>
      <c r="H295" s="268">
        <f>SUM(D295:G295)</f>
        <v>-267</v>
      </c>
      <c r="I295" s="268">
        <f>-I168</f>
        <v>24</v>
      </c>
      <c r="J295" s="268">
        <f>-J168</f>
        <v>-180</v>
      </c>
      <c r="K295" s="268">
        <f>-K168</f>
        <v>-44</v>
      </c>
      <c r="L295" s="268">
        <f>-L168</f>
        <v>52</v>
      </c>
      <c r="M295" s="268">
        <f>SUM(I295:L295)</f>
        <v>-148</v>
      </c>
      <c r="N295" s="268">
        <f>-N168</f>
        <v>-164</v>
      </c>
      <c r="O295" s="268">
        <f>-O168</f>
        <v>-4</v>
      </c>
      <c r="P295" s="268">
        <f>-P168</f>
        <v>-46</v>
      </c>
      <c r="Q295" s="268">
        <f>-Q168</f>
        <v>-312</v>
      </c>
      <c r="R295" s="268">
        <f>SUM(N295:Q295)</f>
        <v>-526</v>
      </c>
      <c r="S295" s="268">
        <f>-S168</f>
        <v>-216</v>
      </c>
      <c r="T295" s="268">
        <f>-T168</f>
        <v>-527</v>
      </c>
      <c r="U295" s="268">
        <f>-U168</f>
        <v>-240</v>
      </c>
      <c r="V295" s="268">
        <f>-V168</f>
        <v>-392</v>
      </c>
      <c r="W295" s="268">
        <f>SUM(S295:V295)</f>
        <v>-1375</v>
      </c>
      <c r="X295" s="268">
        <f>-X168</f>
        <v>-191</v>
      </c>
      <c r="Y295" s="268">
        <f>-Y168</f>
        <v>-245</v>
      </c>
      <c r="Z295" s="268">
        <f>-Z168</f>
        <v>-483</v>
      </c>
      <c r="AA295" s="268">
        <f>-AA168</f>
        <v>-262</v>
      </c>
      <c r="AB295" s="268">
        <f>SUM(X295:AA295)</f>
        <v>-1181</v>
      </c>
      <c r="AC295" s="268">
        <f>-AC168</f>
        <v>-377</v>
      </c>
      <c r="AD295" s="268">
        <f>-AD168</f>
        <v>-433</v>
      </c>
      <c r="AE295" s="268">
        <f>-AE168</f>
        <v>-5963</v>
      </c>
      <c r="AF295" s="268">
        <f>-AF168</f>
        <v>-354</v>
      </c>
      <c r="AG295" s="268">
        <f>SUM(AC295:AF295)</f>
        <v>-7127</v>
      </c>
      <c r="AH295" s="268">
        <f>-AH168</f>
        <v>-437</v>
      </c>
      <c r="AI295" s="268">
        <f>-AI168</f>
        <v>-324</v>
      </c>
      <c r="AJ295" s="268">
        <f>-AJ168</f>
        <v>0</v>
      </c>
      <c r="AK295" s="268">
        <f>-AK168</f>
        <v>0</v>
      </c>
      <c r="AL295" s="268">
        <f>SUM(AH295:AK295)</f>
        <v>-761</v>
      </c>
      <c r="AM295" s="268">
        <f>-AM168</f>
        <v>0</v>
      </c>
      <c r="AN295" s="268">
        <f>-AN168</f>
        <v>0</v>
      </c>
      <c r="AO295" s="268">
        <f>-AO168</f>
        <v>0</v>
      </c>
      <c r="AP295" s="268">
        <f>-AP168</f>
        <v>0</v>
      </c>
      <c r="AQ295" s="268">
        <f>SUM(AM295:AP295)</f>
        <v>0</v>
      </c>
      <c r="AR295" s="268">
        <f>-AR168</f>
        <v>0</v>
      </c>
      <c r="AS295" s="268">
        <f>-AS168</f>
        <v>0</v>
      </c>
      <c r="AT295" s="268">
        <f>-AT168</f>
        <v>0</v>
      </c>
      <c r="AU295" s="268">
        <f>-AU168</f>
        <v>0</v>
      </c>
      <c r="AV295" s="268">
        <f>SUM(AR295:AU295)</f>
        <v>0</v>
      </c>
      <c r="AW295" s="268">
        <f>-AW168</f>
        <v>0</v>
      </c>
      <c r="AX295" s="268">
        <f>-AX168</f>
        <v>0</v>
      </c>
      <c r="AY295" s="268">
        <f>-AY168</f>
        <v>0</v>
      </c>
      <c r="AZ295" s="268">
        <f>-AZ168</f>
        <v>0</v>
      </c>
      <c r="BA295" s="268">
        <f>SUM(AW295:AZ295)</f>
        <v>0</v>
      </c>
      <c r="BB295" s="268">
        <f>-BB168</f>
        <v>0</v>
      </c>
      <c r="BC295" s="268">
        <f>-BC168</f>
        <v>0</v>
      </c>
      <c r="BD295" s="268">
        <f>-BD168</f>
        <v>0</v>
      </c>
      <c r="BE295" s="268">
        <f>-BE168</f>
        <v>0</v>
      </c>
      <c r="BF295" s="268">
        <f>SUM(BB295:BE295)</f>
        <v>0</v>
      </c>
      <c r="BG295" s="268">
        <f>-BG168</f>
        <v>0</v>
      </c>
      <c r="BH295" s="268">
        <f>-BH168</f>
        <v>0</v>
      </c>
      <c r="BI295" s="268">
        <f>-BI168</f>
        <v>0</v>
      </c>
      <c r="BJ295" s="268">
        <f>-BJ168</f>
        <v>0</v>
      </c>
      <c r="BK295" s="268">
        <f>SUM(BG295:BJ295)</f>
        <v>0</v>
      </c>
      <c r="BL295" s="268">
        <f>-BL168</f>
        <v>0</v>
      </c>
      <c r="BM295" s="268">
        <f>-BM168</f>
        <v>0</v>
      </c>
      <c r="BN295" s="268">
        <f>-BN168</f>
        <v>0</v>
      </c>
      <c r="BO295" s="268">
        <f>-BO168</f>
        <v>0</v>
      </c>
      <c r="BP295" s="268">
        <f>SUM(BL295:BO295)</f>
        <v>0</v>
      </c>
      <c r="BQ295" s="268">
        <f>-BQ168</f>
        <v>0</v>
      </c>
      <c r="BR295" s="268">
        <f>-BR168</f>
        <v>0</v>
      </c>
      <c r="BS295" s="268">
        <f>-BS168</f>
        <v>0</v>
      </c>
      <c r="BT295" s="268">
        <f>-BT168</f>
        <v>0</v>
      </c>
      <c r="BU295" s="268">
        <f>SUM(BQ295:BT295)</f>
        <v>0</v>
      </c>
      <c r="BV295" s="268">
        <f>-BV168</f>
        <v>0</v>
      </c>
      <c r="BW295" s="268">
        <f>-BW168</f>
        <v>0</v>
      </c>
      <c r="BX295" s="268">
        <f>-BX168</f>
        <v>0</v>
      </c>
      <c r="BY295" s="268">
        <f>-BY168</f>
        <v>0</v>
      </c>
      <c r="BZ295" s="268">
        <f>SUM(BV295:BY295)</f>
        <v>0</v>
      </c>
      <c r="CA295" s="268">
        <f>-CA168</f>
        <v>0</v>
      </c>
      <c r="CB295" s="268">
        <f>-CB168</f>
        <v>0</v>
      </c>
      <c r="CC295" s="268">
        <f>-CC168</f>
        <v>0</v>
      </c>
      <c r="CD295" s="268">
        <f>-CD168</f>
        <v>0</v>
      </c>
      <c r="CE295" s="268">
        <f>SUM(CA295:CD295)</f>
        <v>0</v>
      </c>
      <c r="CF295" s="268">
        <f>-CF168</f>
        <v>0</v>
      </c>
      <c r="CG295" s="268">
        <f>-CG168</f>
        <v>0</v>
      </c>
      <c r="CH295" s="268">
        <f>-CH168</f>
        <v>0</v>
      </c>
      <c r="CI295" s="268">
        <f>-CI168</f>
        <v>0</v>
      </c>
      <c r="CJ295" s="268">
        <f>SUM(CF295:CI295)</f>
        <v>0</v>
      </c>
      <c r="CK295" s="268">
        <f>-CK168</f>
        <v>0</v>
      </c>
      <c r="CL295" s="268">
        <f>-CL168</f>
        <v>0</v>
      </c>
      <c r="CM295" s="268">
        <f>-CM168</f>
        <v>0</v>
      </c>
      <c r="CN295" s="268">
        <f>-CN168</f>
        <v>0</v>
      </c>
      <c r="CO295" s="268">
        <f>SUM(CK295:CN295)</f>
        <v>0</v>
      </c>
      <c r="CP295" s="268">
        <f>-CP168</f>
        <v>0</v>
      </c>
      <c r="CQ295" s="268">
        <f>-CQ168</f>
        <v>0</v>
      </c>
      <c r="CR295" s="268">
        <f>-CR168</f>
        <v>0</v>
      </c>
      <c r="CS295" s="268">
        <f>-CS168</f>
        <v>0</v>
      </c>
      <c r="CT295" s="268">
        <f>SUM(CP295:CS295)</f>
        <v>0</v>
      </c>
      <c r="CU295" s="268">
        <f>-CU168</f>
        <v>0</v>
      </c>
      <c r="CV295" s="268">
        <f>-CV168</f>
        <v>0</v>
      </c>
      <c r="CW295" s="268">
        <f>-CW168</f>
        <v>0</v>
      </c>
      <c r="CX295" s="268">
        <f>-CX168</f>
        <v>0</v>
      </c>
      <c r="CY295" s="268">
        <f>SUM(CU295:CX295)</f>
        <v>0</v>
      </c>
    </row>
    <row r="296" ht="12.75" customHeight="1" s="255">
      <c r="C296" s="266" t="inlineStr">
        <is>
          <t>Proceeds from sale of fixed assets</t>
        </is>
      </c>
      <c r="D296" s="268" t="n"/>
      <c r="E296" s="268">
        <f>-E169</f>
        <v>0</v>
      </c>
      <c r="F296" s="268">
        <f>-F169</f>
        <v>0</v>
      </c>
      <c r="G296" s="268">
        <f>-G169</f>
        <v>0</v>
      </c>
      <c r="H296" s="268">
        <f>SUM(D296:G296)</f>
        <v>0</v>
      </c>
      <c r="I296" s="268">
        <f>-I169</f>
        <v>0</v>
      </c>
      <c r="J296" s="268">
        <f>-J169</f>
        <v>0</v>
      </c>
      <c r="K296" s="268">
        <f>-K169</f>
        <v>0</v>
      </c>
      <c r="L296" s="268">
        <f>-L169</f>
        <v>0</v>
      </c>
      <c r="M296" s="268">
        <f>SUM(I296:L296)</f>
        <v>0</v>
      </c>
      <c r="N296" s="268">
        <f>-N169</f>
        <v>0</v>
      </c>
      <c r="O296" s="268">
        <f>-O169</f>
        <v>0</v>
      </c>
      <c r="P296" s="268">
        <f>-P169</f>
        <v>0</v>
      </c>
      <c r="Q296" s="268">
        <f>-Q169</f>
        <v>0</v>
      </c>
      <c r="R296" s="268">
        <f>SUM(N296:Q296)</f>
        <v>0</v>
      </c>
      <c r="S296" s="268">
        <f>-S169</f>
        <v>0</v>
      </c>
      <c r="T296" s="268">
        <f>-T169</f>
        <v>0</v>
      </c>
      <c r="U296" s="268">
        <f>-U169</f>
        <v>0</v>
      </c>
      <c r="V296" s="268">
        <f>-V169</f>
        <v>0</v>
      </c>
      <c r="W296" s="268">
        <f>SUM(S296:V296)</f>
        <v>0</v>
      </c>
      <c r="X296" s="268">
        <f>-X169</f>
        <v>0</v>
      </c>
      <c r="Y296" s="268">
        <f>-Y169</f>
        <v>0</v>
      </c>
      <c r="Z296" s="268">
        <f>-Z169</f>
        <v>0</v>
      </c>
      <c r="AA296" s="268">
        <f>-AA169</f>
        <v>0</v>
      </c>
      <c r="AB296" s="268">
        <f>SUM(X296:AA296)</f>
        <v>0</v>
      </c>
      <c r="AC296" s="268">
        <f>-AC169</f>
        <v>0</v>
      </c>
      <c r="AD296" s="268">
        <f>-AD169</f>
        <v>0</v>
      </c>
      <c r="AE296" s="268">
        <f>-AE169</f>
        <v>0</v>
      </c>
      <c r="AF296" s="268">
        <f>-AF169</f>
        <v>0</v>
      </c>
      <c r="AG296" s="268">
        <f>SUM(AC296:AF296)</f>
        <v>0</v>
      </c>
      <c r="AH296" s="268">
        <f>-AH169</f>
        <v>0</v>
      </c>
      <c r="AI296" s="268">
        <f>-AI169</f>
        <v>0</v>
      </c>
      <c r="AJ296" s="268">
        <f>-AJ169</f>
        <v>0</v>
      </c>
      <c r="AK296" s="268">
        <f>-AK169</f>
        <v>0</v>
      </c>
      <c r="AL296" s="268">
        <f>SUM(AH296:AK296)</f>
        <v>0</v>
      </c>
      <c r="AM296" s="268">
        <f>-AM169</f>
        <v>0</v>
      </c>
      <c r="AN296" s="268">
        <f>-AN169</f>
        <v>0</v>
      </c>
      <c r="AO296" s="268">
        <f>-AO169</f>
        <v>0</v>
      </c>
      <c r="AP296" s="268">
        <f>-AP169</f>
        <v>0</v>
      </c>
      <c r="AQ296" s="268">
        <f>SUM(AM296:AP296)</f>
        <v>0</v>
      </c>
      <c r="AR296" s="268">
        <f>-AR169</f>
        <v>0</v>
      </c>
      <c r="AS296" s="268">
        <f>-AS169</f>
        <v>0</v>
      </c>
      <c r="AT296" s="268">
        <f>-AT169</f>
        <v>0</v>
      </c>
      <c r="AU296" s="268">
        <f>-AU169</f>
        <v>0</v>
      </c>
      <c r="AV296" s="268">
        <f>SUM(AR296:AU296)</f>
        <v>0</v>
      </c>
      <c r="AW296" s="268">
        <f>-AW169</f>
        <v>0</v>
      </c>
      <c r="AX296" s="268">
        <f>-AX169</f>
        <v>0</v>
      </c>
      <c r="AY296" s="268">
        <f>-AY169</f>
        <v>0</v>
      </c>
      <c r="AZ296" s="268">
        <f>-AZ169</f>
        <v>0</v>
      </c>
      <c r="BA296" s="268">
        <f>SUM(AW296:AZ296)</f>
        <v>0</v>
      </c>
      <c r="BB296" s="268">
        <f>-BB169</f>
        <v>0</v>
      </c>
      <c r="BC296" s="268">
        <f>-BC169</f>
        <v>0</v>
      </c>
      <c r="BD296" s="268">
        <f>-BD169</f>
        <v>0</v>
      </c>
      <c r="BE296" s="268">
        <f>-BE169</f>
        <v>0</v>
      </c>
      <c r="BF296" s="268">
        <f>SUM(BB296:BE296)</f>
        <v>0</v>
      </c>
      <c r="BG296" s="268">
        <f>-BG169</f>
        <v>0</v>
      </c>
      <c r="BH296" s="268">
        <f>-BH169</f>
        <v>0</v>
      </c>
      <c r="BI296" s="268">
        <f>-BI169</f>
        <v>0</v>
      </c>
      <c r="BJ296" s="268">
        <f>-BJ169</f>
        <v>0</v>
      </c>
      <c r="BK296" s="268">
        <f>SUM(BG296:BJ296)</f>
        <v>0</v>
      </c>
      <c r="BL296" s="268">
        <f>-BL169</f>
        <v>0</v>
      </c>
      <c r="BM296" s="268">
        <f>-BM169</f>
        <v>0</v>
      </c>
      <c r="BN296" s="268">
        <f>-BN169</f>
        <v>0</v>
      </c>
      <c r="BO296" s="268">
        <f>-BO169</f>
        <v>0</v>
      </c>
      <c r="BP296" s="268">
        <f>SUM(BL296:BO296)</f>
        <v>0</v>
      </c>
      <c r="BQ296" s="268">
        <f>-BQ169</f>
        <v>0</v>
      </c>
      <c r="BR296" s="268">
        <f>-BR169</f>
        <v>0</v>
      </c>
      <c r="BS296" s="268">
        <f>-BS169</f>
        <v>0</v>
      </c>
      <c r="BT296" s="268">
        <f>-BT169</f>
        <v>0</v>
      </c>
      <c r="BU296" s="268">
        <f>SUM(BQ296:BT296)</f>
        <v>0</v>
      </c>
      <c r="BV296" s="268">
        <f>-BV169</f>
        <v>0</v>
      </c>
      <c r="BW296" s="268">
        <f>-BW169</f>
        <v>0</v>
      </c>
      <c r="BX296" s="268">
        <f>-BX169</f>
        <v>0</v>
      </c>
      <c r="BY296" s="268">
        <f>-BY169</f>
        <v>0</v>
      </c>
      <c r="BZ296" s="268">
        <f>SUM(BV296:BY296)</f>
        <v>0</v>
      </c>
      <c r="CA296" s="268">
        <f>-CA169</f>
        <v>0</v>
      </c>
      <c r="CB296" s="268">
        <f>-CB169</f>
        <v>0</v>
      </c>
      <c r="CC296" s="268">
        <f>-CC169</f>
        <v>0</v>
      </c>
      <c r="CD296" s="268">
        <f>-CD169</f>
        <v>0</v>
      </c>
      <c r="CE296" s="268">
        <f>SUM(CA296:CD296)</f>
        <v>0</v>
      </c>
      <c r="CF296" s="268">
        <f>-CF169</f>
        <v>0</v>
      </c>
      <c r="CG296" s="268">
        <f>-CG169</f>
        <v>0</v>
      </c>
      <c r="CH296" s="268">
        <f>-CH169</f>
        <v>0</v>
      </c>
      <c r="CI296" s="268">
        <f>-CI169</f>
        <v>0</v>
      </c>
      <c r="CJ296" s="268">
        <f>SUM(CF296:CI296)</f>
        <v>0</v>
      </c>
      <c r="CK296" s="268">
        <f>-CK169</f>
        <v>0</v>
      </c>
      <c r="CL296" s="268">
        <f>-CL169</f>
        <v>0</v>
      </c>
      <c r="CM296" s="268">
        <f>-CM169</f>
        <v>0</v>
      </c>
      <c r="CN296" s="268">
        <f>-CN169</f>
        <v>0</v>
      </c>
      <c r="CO296" s="268">
        <f>SUM(CK296:CN296)</f>
        <v>0</v>
      </c>
      <c r="CP296" s="268">
        <f>-CP169</f>
        <v>0</v>
      </c>
      <c r="CQ296" s="268">
        <f>-CQ169</f>
        <v>0</v>
      </c>
      <c r="CR296" s="268">
        <f>-CR169</f>
        <v>0</v>
      </c>
      <c r="CS296" s="268">
        <f>-CS169</f>
        <v>0</v>
      </c>
      <c r="CT296" s="268">
        <f>SUM(CP296:CS296)</f>
        <v>0</v>
      </c>
      <c r="CU296" s="268">
        <f>-CU169</f>
        <v>0</v>
      </c>
      <c r="CV296" s="268">
        <f>-CV169</f>
        <v>0</v>
      </c>
      <c r="CW296" s="268">
        <f>-CW169</f>
        <v>0</v>
      </c>
      <c r="CX296" s="268">
        <f>-CX169</f>
        <v>0</v>
      </c>
      <c r="CY296" s="268">
        <f>SUM(CU296:CX296)</f>
        <v>0</v>
      </c>
    </row>
    <row r="297" ht="12.75" customHeight="1" s="255">
      <c r="C297" s="266" t="inlineStr">
        <is>
          <t>Var.Right-of-use-assets</t>
        </is>
      </c>
      <c r="D297" s="268" t="n"/>
      <c r="E297" s="268">
        <f>(E176-D176)*-1</f>
        <v>-20</v>
      </c>
      <c r="F297" s="268">
        <f>(F176-E176)*-1</f>
        <v>-95</v>
      </c>
      <c r="G297" s="268">
        <f>(G176-F176)*-1</f>
        <v>3</v>
      </c>
      <c r="H297" s="268">
        <f>SUM(D297:G297)</f>
        <v>-112</v>
      </c>
      <c r="I297" s="268">
        <f>(I176-H176)*-1</f>
        <v>16</v>
      </c>
      <c r="J297" s="268">
        <f>(J176-I176)*-1</f>
        <v>-6</v>
      </c>
      <c r="K297" s="268">
        <f>(K176-J176)*-1</f>
        <v>-52</v>
      </c>
      <c r="L297" s="268">
        <f>(L176-K176)*-1</f>
        <v>-2</v>
      </c>
      <c r="M297" s="268">
        <f>SUM(I297:L297)</f>
        <v>-44</v>
      </c>
      <c r="N297" s="268">
        <f>(N176-M176)*-1</f>
        <v>-82</v>
      </c>
      <c r="O297" s="268">
        <f>(O176-N176)*-1</f>
        <v>-44</v>
      </c>
      <c r="P297" s="268">
        <f>(P176-O176)*-1</f>
        <v>-53</v>
      </c>
      <c r="Q297" s="268">
        <f>(Q176-P176)*-1</f>
        <v>67</v>
      </c>
      <c r="R297" s="268">
        <f>SUM(N297:Q297)</f>
        <v>-112</v>
      </c>
      <c r="S297" s="268">
        <f>(S176-R176)*-1</f>
        <v>71</v>
      </c>
      <c r="T297" s="268">
        <f>(T176-S176)*-1</f>
        <v>2</v>
      </c>
      <c r="U297" s="268">
        <f>(U176-T176)*-1</f>
        <v>87</v>
      </c>
      <c r="V297" s="268">
        <f>(V176-U176)*-1</f>
        <v>-62</v>
      </c>
      <c r="W297" s="268">
        <f>SUM(S297:V297)</f>
        <v>98</v>
      </c>
      <c r="X297" s="268">
        <f>(X176-W176)*-1</f>
        <v>4</v>
      </c>
      <c r="Y297" s="268">
        <f>(Y176-X176)*-1</f>
        <v>-5</v>
      </c>
      <c r="Z297" s="268">
        <f>(Z176-Y176)*-1</f>
        <v>-10</v>
      </c>
      <c r="AA297" s="268">
        <f>(AA176-Z176)*-1</f>
        <v>5</v>
      </c>
      <c r="AB297" s="268">
        <f>SUM(X297:AA297)</f>
        <v>-6</v>
      </c>
      <c r="AC297" s="268">
        <f>(AC176-AB176)*-1</f>
        <v>-64</v>
      </c>
      <c r="AD297" s="268">
        <f>(AD176-AC176)*-1</f>
        <v>-6</v>
      </c>
      <c r="AE297" s="268">
        <f>(AE176-AD176)*-1</f>
        <v>-745</v>
      </c>
      <c r="AF297" s="268">
        <f>(AF176-AE176)*-1</f>
        <v>61</v>
      </c>
      <c r="AG297" s="268">
        <f>SUM(AC297:AF297)</f>
        <v>-754</v>
      </c>
      <c r="AH297" s="268">
        <f>(AH176-AG176)*-1</f>
        <v>-47</v>
      </c>
      <c r="AI297" s="268">
        <f>(AI176-AH176)*-1</f>
        <v>26</v>
      </c>
      <c r="AJ297" s="268">
        <f>(AJ176-AI176)*-1</f>
        <v>0</v>
      </c>
      <c r="AK297" s="268">
        <f>(AK176-AJ176)*-1</f>
        <v>0</v>
      </c>
      <c r="AL297" s="268">
        <f>SUM(AH297:AK297)</f>
        <v>-21</v>
      </c>
      <c r="AM297" s="268">
        <f>(AM176-AL176)*-1</f>
        <v>0</v>
      </c>
      <c r="AN297" s="268">
        <f>(AN176-AM176)*-1</f>
        <v>0</v>
      </c>
      <c r="AO297" s="268">
        <f>(AO176-AN176)*-1</f>
        <v>0</v>
      </c>
      <c r="AP297" s="268">
        <f>(AP176-AO176)*-1</f>
        <v>0</v>
      </c>
      <c r="AQ297" s="268">
        <f>SUM(AM297:AP297)</f>
        <v>0</v>
      </c>
      <c r="AR297" s="268">
        <f>(AR176-AQ176)*-1</f>
        <v>0</v>
      </c>
      <c r="AS297" s="268">
        <f>(AS176-AR176)*-1</f>
        <v>0</v>
      </c>
      <c r="AT297" s="268">
        <f>(AT176-AS176)*-1</f>
        <v>0</v>
      </c>
      <c r="AU297" s="268">
        <f>(AU176-AT176)*-1</f>
        <v>0</v>
      </c>
      <c r="AV297" s="268">
        <f>SUM(AR297:AU297)</f>
        <v>0</v>
      </c>
      <c r="AW297" s="268">
        <f>(AW176-AV176)*-1</f>
        <v>0</v>
      </c>
      <c r="AX297" s="268">
        <f>(AX176-AW176)*-1</f>
        <v>0</v>
      </c>
      <c r="AY297" s="268">
        <f>(AY176-AX176)*-1</f>
        <v>0</v>
      </c>
      <c r="AZ297" s="268">
        <f>(AZ176-AY176)*-1</f>
        <v>0</v>
      </c>
      <c r="BA297" s="268">
        <f>SUM(AW297:AZ297)</f>
        <v>0</v>
      </c>
      <c r="BB297" s="268">
        <f>(BB176-BA176)*-1</f>
        <v>0</v>
      </c>
      <c r="BC297" s="268">
        <f>(BC176-BB176)*-1</f>
        <v>0</v>
      </c>
      <c r="BD297" s="268">
        <f>(BD176-BC176)*-1</f>
        <v>0</v>
      </c>
      <c r="BE297" s="268">
        <f>(BE176-BD176)*-1</f>
        <v>0</v>
      </c>
      <c r="BF297" s="268">
        <f>SUM(BB297:BE297)</f>
        <v>0</v>
      </c>
      <c r="BG297" s="268">
        <f>(BG176-BF176)*-1</f>
        <v>0</v>
      </c>
      <c r="BH297" s="268">
        <f>(BH176-BG176)*-1</f>
        <v>0</v>
      </c>
      <c r="BI297" s="268">
        <f>(BI176-BH176)*-1</f>
        <v>0</v>
      </c>
      <c r="BJ297" s="268">
        <f>(BJ176-BI176)*-1</f>
        <v>0</v>
      </c>
      <c r="BK297" s="268">
        <f>SUM(BG297:BJ297)</f>
        <v>0</v>
      </c>
      <c r="BL297" s="268">
        <f>(BL176-BK176)*-1</f>
        <v>0</v>
      </c>
      <c r="BM297" s="268">
        <f>(BM176-BL176)*-1</f>
        <v>0</v>
      </c>
      <c r="BN297" s="268">
        <f>(BN176-BM176)*-1</f>
        <v>0</v>
      </c>
      <c r="BO297" s="268">
        <f>(BO176-BN176)*-1</f>
        <v>0</v>
      </c>
      <c r="BP297" s="268">
        <f>SUM(BL297:BO297)</f>
        <v>0</v>
      </c>
      <c r="BQ297" s="268">
        <f>(BQ176-BP176)*-1</f>
        <v>0</v>
      </c>
      <c r="BR297" s="268">
        <f>(BR176-BQ176)*-1</f>
        <v>0</v>
      </c>
      <c r="BS297" s="268">
        <f>(BS176-BR176)*-1</f>
        <v>0</v>
      </c>
      <c r="BT297" s="268">
        <f>(BT176-BS176)*-1</f>
        <v>0</v>
      </c>
      <c r="BU297" s="268">
        <f>SUM(BQ297:BT297)</f>
        <v>0</v>
      </c>
      <c r="BV297" s="268">
        <f>(BV176-BU176)*-1</f>
        <v>0</v>
      </c>
      <c r="BW297" s="268">
        <f>(BW176-BV176)*-1</f>
        <v>0</v>
      </c>
      <c r="BX297" s="268">
        <f>(BX176-BW176)*-1</f>
        <v>0</v>
      </c>
      <c r="BY297" s="268">
        <f>(BY176-BX176)*-1</f>
        <v>0</v>
      </c>
      <c r="BZ297" s="268">
        <f>SUM(BV297:BY297)</f>
        <v>0</v>
      </c>
      <c r="CA297" s="268">
        <f>(CA176-BZ176)*-1</f>
        <v>0</v>
      </c>
      <c r="CB297" s="268">
        <f>(CB176-CA176)*-1</f>
        <v>0</v>
      </c>
      <c r="CC297" s="268">
        <f>(CC176-CB176)*-1</f>
        <v>0</v>
      </c>
      <c r="CD297" s="268">
        <f>(CD176-CC176)*-1</f>
        <v>0</v>
      </c>
      <c r="CE297" s="268">
        <f>SUM(CA297:CD297)</f>
        <v>0</v>
      </c>
      <c r="CF297" s="268">
        <f>(CF176-CE176)*-1</f>
        <v>0</v>
      </c>
      <c r="CG297" s="268">
        <f>(CG176-CF176)*-1</f>
        <v>0</v>
      </c>
      <c r="CH297" s="268">
        <f>(CH176-CG176)*-1</f>
        <v>0</v>
      </c>
      <c r="CI297" s="268">
        <f>(CI176-CH176)*-1</f>
        <v>0</v>
      </c>
      <c r="CJ297" s="268">
        <f>SUM(CF297:CI297)</f>
        <v>0</v>
      </c>
      <c r="CK297" s="268">
        <f>(CK176-CJ176)*-1</f>
        <v>0</v>
      </c>
      <c r="CL297" s="268">
        <f>(CL176-CK176)*-1</f>
        <v>0</v>
      </c>
      <c r="CM297" s="268">
        <f>(CM176-CL176)*-1</f>
        <v>0</v>
      </c>
      <c r="CN297" s="268">
        <f>(CN176-CM176)*-1</f>
        <v>0</v>
      </c>
      <c r="CO297" s="268">
        <f>SUM(CK297:CN297)</f>
        <v>0</v>
      </c>
      <c r="CP297" s="268">
        <f>(CP176-CO176)*-1</f>
        <v>0</v>
      </c>
      <c r="CQ297" s="268">
        <f>(CQ176-CP176)*-1</f>
        <v>0</v>
      </c>
      <c r="CR297" s="268">
        <f>(CR176-CQ176)*-1</f>
        <v>0</v>
      </c>
      <c r="CS297" s="268">
        <f>(CS176-CR176)*-1</f>
        <v>0</v>
      </c>
      <c r="CT297" s="268">
        <f>SUM(CP297:CS297)</f>
        <v>0</v>
      </c>
      <c r="CU297" s="268">
        <f>(CU176-CT176)*-1</f>
        <v>0</v>
      </c>
      <c r="CV297" s="268">
        <f>(CV176-CU176)*-1</f>
        <v>0</v>
      </c>
      <c r="CW297" s="268">
        <f>(CW176-CV176)*-1</f>
        <v>0</v>
      </c>
      <c r="CX297" s="268">
        <f>(CX176-CW176)*-1</f>
        <v>0</v>
      </c>
      <c r="CY297" s="268">
        <f>SUM(CU297:CX297)</f>
        <v>0</v>
      </c>
      <c r="CZ297" s="268" t="n"/>
      <c r="DA297" s="268" t="n"/>
      <c r="DB297" s="268" t="n"/>
      <c r="DC297" s="268" t="n"/>
    </row>
    <row r="298" ht="12.75" customHeight="1" s="255">
      <c r="C298" s="266" t="inlineStr">
        <is>
          <t>Purchases of intangible assets</t>
        </is>
      </c>
      <c r="D298" s="268" t="n"/>
      <c r="E298" s="268">
        <f>((E180-D180)*-1)+((E179-D179)*-1)</f>
        <v>12</v>
      </c>
      <c r="F298" s="268">
        <f>((F180-E180)*-1)+((F179-E179)*-1)</f>
        <v>-9</v>
      </c>
      <c r="G298" s="268">
        <f>((G180-F180)*-1)+((G179-F179)*-1)</f>
        <v>-32</v>
      </c>
      <c r="H298" s="268">
        <f>SUM(D298:G298)</f>
        <v>-29</v>
      </c>
      <c r="I298" s="268">
        <f>((I180-H180)*-1)+((I179-H179)*-1)</f>
        <v>63</v>
      </c>
      <c r="J298" s="268">
        <f>((J180-I180)*-1)+((J179-I179)*-1)</f>
        <v>-29</v>
      </c>
      <c r="K298" s="268">
        <f>((K180-J180)*-1)+((K179-J179)*-1)</f>
        <v>37</v>
      </c>
      <c r="L298" s="268">
        <f>((L180-K180)*-1)+((L179-K179)*-1)</f>
        <v>129</v>
      </c>
      <c r="M298" s="268">
        <f>SUM(I298:L298)</f>
        <v>200</v>
      </c>
      <c r="N298" s="268">
        <f>((N180-M180)*-1)+((N179-M179)*-1)</f>
        <v>2</v>
      </c>
      <c r="O298" s="268">
        <f>((O180-N180)*-1)+((O179-N179)*-1)</f>
        <v>62</v>
      </c>
      <c r="P298" s="268">
        <f>((P180-O180)*-1)+((P179-O179)*-1)</f>
        <v>56</v>
      </c>
      <c r="Q298" s="268">
        <f>((Q180-P180)*-1)+((Q179-P179)*-1)</f>
        <v>-35</v>
      </c>
      <c r="R298" s="268">
        <f>SUM(N298:Q298)</f>
        <v>85</v>
      </c>
      <c r="S298" s="268">
        <f>((S180-R180)*-1)+((S179-R179)*-1)</f>
        <v>-4</v>
      </c>
      <c r="T298" s="268">
        <f>((T180-S180)*-1)+((T179-S179)*-1)</f>
        <v>4</v>
      </c>
      <c r="U298" s="268">
        <f>((U180-T180)*-1)+((U179-T179)*-1)</f>
        <v>-59</v>
      </c>
      <c r="V298" s="268">
        <f>((V180-U180)*-1)+((V179-U179)*-1)</f>
        <v>2</v>
      </c>
      <c r="W298" s="268">
        <f>SUM(S298:V298)</f>
        <v>-57</v>
      </c>
      <c r="X298" s="268">
        <f>((X180-W180)*-1)+((X179-W179)*-1)</f>
        <v>27</v>
      </c>
      <c r="Y298" s="268">
        <f>((Y180-X180)*-1)+((Y179-X179)*-1)</f>
        <v>39</v>
      </c>
      <c r="Z298" s="268">
        <f>((Z180-Y180)*-1)+((Z179-Y179)*-1)</f>
        <v>-19</v>
      </c>
      <c r="AA298" s="268">
        <f>((AA180-Z180)*-1)+((AA179-Z179)*-1)</f>
        <v>66</v>
      </c>
      <c r="AB298" s="268">
        <f>SUM(X298:AA298)</f>
        <v>113</v>
      </c>
      <c r="AC298" s="268">
        <f>((AC180-AB180)*-1)+((AC179-AB179)*-1)</f>
        <v>-8</v>
      </c>
      <c r="AD298" s="268">
        <f>((AD180-AC180)*-1)+((AD179-AC179)*-1)</f>
        <v>6</v>
      </c>
      <c r="AE298" s="268">
        <f>((AE180-AD180)*-1)+((AE179-AD179)*-1)</f>
        <v>-2321</v>
      </c>
      <c r="AF298" s="268">
        <f>((AF180-AE180)*-1)+((AF179-AE179)*-1)</f>
        <v>-353</v>
      </c>
      <c r="AG298" s="268">
        <f>SUM(AC298:AF298)</f>
        <v>-2676</v>
      </c>
      <c r="AH298" s="268">
        <f>((AH180-AG180)*-1)+((AH179-AG179)*-1)</f>
        <v>-145</v>
      </c>
      <c r="AI298" s="268">
        <f>((AI180-AH180)*-1)+((AI179-AH179)*-1)</f>
        <v>-47</v>
      </c>
      <c r="AJ298" s="268">
        <f>((AJ180-AI180)*-1)+((AJ179-AI179)*-1)</f>
        <v>288</v>
      </c>
      <c r="AK298" s="268">
        <f>((AK180-AJ180)*-1)+((AK179-AJ179)*-1)</f>
        <v>0</v>
      </c>
      <c r="AL298" s="268">
        <f>SUM(AH298:AK298)</f>
        <v>96</v>
      </c>
      <c r="AM298" s="268">
        <f>((AM180-AL180)*-1)+((AM179-AL179)*-1)</f>
        <v>0</v>
      </c>
      <c r="AN298" s="268">
        <f>((AN180-AM180)*-1)+((AN179-AM179)*-1)</f>
        <v>0</v>
      </c>
      <c r="AO298" s="268">
        <f>((AO180-AN180)*-1)+((AO179-AN179)*-1)</f>
        <v>0</v>
      </c>
      <c r="AP298" s="268">
        <f>((AP180-AO180)*-1)+((AP179-AO179)*-1)</f>
        <v>0</v>
      </c>
      <c r="AQ298" s="268">
        <f>SUM(AM298:AP298)</f>
        <v>0</v>
      </c>
      <c r="AR298" s="268">
        <f>((AR180-AQ180)*-1)+((AR179-AQ179)*-1)</f>
        <v>0</v>
      </c>
      <c r="AS298" s="268">
        <f>((AS180-AR180)*-1)+((AS179-AR179)*-1)</f>
        <v>0</v>
      </c>
      <c r="AT298" s="268">
        <f>((AT180-AS180)*-1)+((AT179-AS179)*-1)</f>
        <v>0</v>
      </c>
      <c r="AU298" s="268">
        <f>((AU180-AT180)*-1)+((AU179-AT179)*-1)</f>
        <v>0</v>
      </c>
      <c r="AV298" s="268">
        <f>SUM(AR298:AU298)</f>
        <v>0</v>
      </c>
      <c r="AW298" s="268">
        <f>((AW180-AV180)*-1)+((AW179-AV179)*-1)</f>
        <v>0</v>
      </c>
      <c r="AX298" s="268">
        <f>((AX180-AW180)*-1)+((AX179-AW179)*-1)</f>
        <v>0</v>
      </c>
      <c r="AY298" s="268">
        <f>((AY180-AX180)*-1)+((AY179-AX179)*-1)</f>
        <v>0</v>
      </c>
      <c r="AZ298" s="268">
        <f>((AZ180-AY180)*-1)+((AZ179-AY179)*-1)</f>
        <v>0</v>
      </c>
      <c r="BA298" s="268">
        <f>SUM(AW298:AZ298)</f>
        <v>0</v>
      </c>
      <c r="BB298" s="268">
        <f>((BB180-BA180)*-1)+((BB179-BA179)*-1)</f>
        <v>0</v>
      </c>
      <c r="BC298" s="268">
        <f>((BC180-BB180)*-1)+((BC179-BB179)*-1)</f>
        <v>0</v>
      </c>
      <c r="BD298" s="268">
        <f>((BD180-BC180)*-1)+((BD179-BC179)*-1)</f>
        <v>0</v>
      </c>
      <c r="BE298" s="268">
        <f>((BE180-BD180)*-1)+((BE179-BD179)*-1)</f>
        <v>0</v>
      </c>
      <c r="BF298" s="268">
        <f>SUM(BB298:BE298)</f>
        <v>0</v>
      </c>
      <c r="BG298" s="268">
        <f>((BG180-BF180)*-1)+((BG179-BF179)*-1)</f>
        <v>0</v>
      </c>
      <c r="BH298" s="268">
        <f>((BH180-BG180)*-1)+((BH179-BG179)*-1)</f>
        <v>0</v>
      </c>
      <c r="BI298" s="268">
        <f>((BI180-BH180)*-1)+((BI179-BH179)*-1)</f>
        <v>0</v>
      </c>
      <c r="BJ298" s="268">
        <f>((BJ180-BI180)*-1)+((BJ179-BI179)*-1)</f>
        <v>0</v>
      </c>
      <c r="BK298" s="268">
        <f>SUM(BG298:BJ298)</f>
        <v>0</v>
      </c>
      <c r="BL298" s="268">
        <f>((BL180-BK180)*-1)+((BL179-BK179)*-1)</f>
        <v>0</v>
      </c>
      <c r="BM298" s="268">
        <f>((BM180-BL180)*-1)+((BM179-BL179)*-1)</f>
        <v>0</v>
      </c>
      <c r="BN298" s="268">
        <f>((BN180-BM180)*-1)+((BN179-BM179)*-1)</f>
        <v>0</v>
      </c>
      <c r="BO298" s="268">
        <f>((BO180-BN180)*-1)+((BO179-BN179)*-1)</f>
        <v>0</v>
      </c>
      <c r="BP298" s="268">
        <f>SUM(BL298:BO298)</f>
        <v>0</v>
      </c>
      <c r="BQ298" s="268">
        <f>((BQ180-BP180)*-1)+((BQ179-BP179)*-1)</f>
        <v>0</v>
      </c>
      <c r="BR298" s="268">
        <f>((BR180-BQ180)*-1)+((BR179-BQ179)*-1)</f>
        <v>0</v>
      </c>
      <c r="BS298" s="268">
        <f>((BS180-BR180)*-1)+((BS179-BR179)*-1)</f>
        <v>0</v>
      </c>
      <c r="BT298" s="268">
        <f>((BT180-BS180)*-1)+((BT179-BS179)*-1)</f>
        <v>0</v>
      </c>
      <c r="BU298" s="268">
        <f>SUM(BQ298:BT298)</f>
        <v>0</v>
      </c>
      <c r="BV298" s="268">
        <f>((BV180-BU180)*-1)+((BV179-BU179)*-1)</f>
        <v>0</v>
      </c>
      <c r="BW298" s="268">
        <f>((BW180-BV180)*-1)+((BW179-BV179)*-1)</f>
        <v>0</v>
      </c>
      <c r="BX298" s="268">
        <f>((BX180-BW180)*-1)+((BX179-BW179)*-1)</f>
        <v>0</v>
      </c>
      <c r="BY298" s="268">
        <f>((BY180-BX180)*-1)+((BY179-BX179)*-1)</f>
        <v>0</v>
      </c>
      <c r="BZ298" s="268">
        <f>SUM(BV298:BY298)</f>
        <v>0</v>
      </c>
      <c r="CA298" s="268">
        <f>((CA180-BZ180)*-1)+((CA179-BZ179)*-1)</f>
        <v>0</v>
      </c>
      <c r="CB298" s="268">
        <f>((CB180-CA180)*-1)+((CB179-CA179)*-1)</f>
        <v>0</v>
      </c>
      <c r="CC298" s="268">
        <f>((CC180-CB180)*-1)+((CC179-CB179)*-1)</f>
        <v>0</v>
      </c>
      <c r="CD298" s="268">
        <f>((CD180-CC180)*-1)+((CD179-CC179)*-1)</f>
        <v>0</v>
      </c>
      <c r="CE298" s="268">
        <f>SUM(CA298:CD298)</f>
        <v>0</v>
      </c>
      <c r="CF298" s="268">
        <f>((CF180-CE180)*-1)+((CF179-CE179)*-1)</f>
        <v>0</v>
      </c>
      <c r="CG298" s="268">
        <f>((CG180-CF180)*-1)+((CG179-CF179)*-1)</f>
        <v>0</v>
      </c>
      <c r="CH298" s="268">
        <f>((CH180-CG180)*-1)+((CH179-CG179)*-1)</f>
        <v>0</v>
      </c>
      <c r="CI298" s="268">
        <f>((CI180-CH180)*-1)+((CI179-CH179)*-1)</f>
        <v>0</v>
      </c>
      <c r="CJ298" s="268">
        <f>SUM(CF298:CI298)</f>
        <v>0</v>
      </c>
      <c r="CK298" s="268">
        <f>((CK180-CJ180)*-1)+((CK179-CJ179)*-1)</f>
        <v>0</v>
      </c>
      <c r="CL298" s="268">
        <f>((CL180-CK180)*-1)+((CL179-CK179)*-1)</f>
        <v>0</v>
      </c>
      <c r="CM298" s="268">
        <f>((CM180-CL180)*-1)+((CM179-CL179)*-1)</f>
        <v>0</v>
      </c>
      <c r="CN298" s="268">
        <f>((CN180-CM180)*-1)+((CN179-CM179)*-1)</f>
        <v>0</v>
      </c>
      <c r="CO298" s="268">
        <f>SUM(CK298:CN298)</f>
        <v>0</v>
      </c>
      <c r="CP298" s="268">
        <f>((CP180-CO180)*-1)+((CP179-CO179)*-1)</f>
        <v>0</v>
      </c>
      <c r="CQ298" s="268">
        <f>((CQ180-CP180)*-1)+((CQ179-CP179)*-1)</f>
        <v>0</v>
      </c>
      <c r="CR298" s="268">
        <f>((CR180-CQ180)*-1)+((CR179-CQ179)*-1)</f>
        <v>0</v>
      </c>
      <c r="CS298" s="268">
        <f>((CS180-CR180)*-1)+((CS179-CR179)*-1)</f>
        <v>0</v>
      </c>
      <c r="CT298" s="268">
        <f>SUM(CP298:CS298)</f>
        <v>0</v>
      </c>
      <c r="CU298" s="268">
        <f>((CU180-CT180)*-1)+((CU179-CT179)*-1)</f>
        <v>0</v>
      </c>
      <c r="CV298" s="268">
        <f>((CV180-CU180)*-1)+((CV179-CU179)*-1)</f>
        <v>0</v>
      </c>
      <c r="CW298" s="268">
        <f>((CW180-CV180)*-1)+((CW179-CV179)*-1)</f>
        <v>0</v>
      </c>
      <c r="CX298" s="268">
        <f>((CX180-CW180)*-1)+((CX179-CW179)*-1)</f>
        <v>0</v>
      </c>
      <c r="CY298" s="268">
        <f>SUM(CU298:CX298)</f>
        <v>0</v>
      </c>
      <c r="CZ298" s="268" t="n"/>
      <c r="DA298" s="268" t="n"/>
      <c r="DB298" s="268" t="n"/>
      <c r="DC298" s="268" t="n"/>
    </row>
    <row r="299" ht="12.75" customHeight="1" s="255">
      <c r="C299" s="328" t="inlineStr">
        <is>
          <t>Purchases/Proceeds from other long-term assets</t>
        </is>
      </c>
      <c r="D299" s="268" t="n"/>
      <c r="E299" s="268">
        <f>((E189-D189)*-1)+(E240-D240)</f>
        <v>174</v>
      </c>
      <c r="F299" s="268">
        <f>((F189-E189)*-1)+(F240-E240)</f>
        <v>-71</v>
      </c>
      <c r="G299" s="268">
        <f>((G189-F189)*-1)+(G240-F240)</f>
        <v>-82</v>
      </c>
      <c r="H299" s="268">
        <f>SUM(D299:G299)</f>
        <v>21</v>
      </c>
      <c r="I299" s="268">
        <f>((I189-H189)*-1)+(I240-H240)</f>
        <v>-2</v>
      </c>
      <c r="J299" s="268">
        <f>((J189-I189)*-1)+(J240-I240)</f>
        <v>-13</v>
      </c>
      <c r="K299" s="268">
        <f>((K189-J189)*-1)+(K240-J240)</f>
        <v>-19</v>
      </c>
      <c r="L299" s="268">
        <f>((L189-K189)*-1)+(L240-K240)</f>
        <v>-71</v>
      </c>
      <c r="M299" s="268">
        <f>SUM(I299:L299)</f>
        <v>-105</v>
      </c>
      <c r="N299" s="268">
        <f>((N189-M189)*-1)+(N240-M240)</f>
        <v>-52</v>
      </c>
      <c r="O299" s="268">
        <f>((O189-N189)*-1)+(O240-N240)</f>
        <v>-20</v>
      </c>
      <c r="P299" s="268">
        <f>((P189-O189)*-1)+(P240-O240)</f>
        <v>150</v>
      </c>
      <c r="Q299" s="268">
        <f>((Q189-P189)*-1)+(Q240-P240)</f>
        <v>-43</v>
      </c>
      <c r="R299" s="268">
        <f>SUM(N299:Q299)</f>
        <v>35</v>
      </c>
      <c r="S299" s="268">
        <f>((S189-R189)*-1)+(S240-R240)</f>
        <v>-236</v>
      </c>
      <c r="T299" s="268">
        <f>((T189-S189)*-1)+(T240-S240)</f>
        <v>15</v>
      </c>
      <c r="U299" s="268">
        <f>((U189-T189)*-1)+(U240-T240)</f>
        <v>70</v>
      </c>
      <c r="V299" s="268">
        <f>((V189-U189)*-1)+(V240-U240)</f>
        <v>-130</v>
      </c>
      <c r="W299" s="268">
        <f>SUM(S299:V299)</f>
        <v>-281</v>
      </c>
      <c r="X299" s="268">
        <f>((X189-W189)*-1)+(X240-W240)</f>
        <v>-23</v>
      </c>
      <c r="Y299" s="268">
        <f>((Y189-X189)*-1)+(Y240-X240)</f>
        <v>120</v>
      </c>
      <c r="Z299" s="268">
        <f>((Z189-Y189)*-1)+(Z240-Y240)</f>
        <v>-86</v>
      </c>
      <c r="AA299" s="268">
        <f>((AA189-Z189)*-1)+(AA240-Z240)</f>
        <v>572</v>
      </c>
      <c r="AB299" s="268">
        <f>SUM(X299:AA299)</f>
        <v>583</v>
      </c>
      <c r="AC299" s="268">
        <f>((AC189-AB189)*-1)+(AC240-AB240)</f>
        <v>-75</v>
      </c>
      <c r="AD299" s="268">
        <f>((AD189-AC189)*-1)+(AD240-AC240)</f>
        <v>-132</v>
      </c>
      <c r="AE299" s="268">
        <f>((AE189-AD189)*-1)+(AE240-AD240)</f>
        <v>-675</v>
      </c>
      <c r="AF299" s="268">
        <f>((AF189-AE189)*-1)+(AF240-AE240)</f>
        <v>2</v>
      </c>
      <c r="AG299" s="268">
        <f>SUM(AC299:AF299)</f>
        <v>-880</v>
      </c>
      <c r="AH299" s="268">
        <f>((AH189-AG189)*-1)+(AH240-AG240)</f>
        <v>175</v>
      </c>
      <c r="AI299" s="268">
        <f>((AI189-AH189)*-1)+(AI240-AH240)</f>
        <v>9</v>
      </c>
      <c r="AJ299" s="268">
        <f>((AJ189-AI189)*-1)+(AJ240-AI240)</f>
        <v>0</v>
      </c>
      <c r="AK299" s="268">
        <f>((AK189-AJ189)*-1)+(AK240-AJ240)</f>
        <v>0</v>
      </c>
      <c r="AL299" s="268">
        <f>SUM(AH299:AK299)</f>
        <v>184</v>
      </c>
      <c r="AM299" s="268">
        <f>((AM189-AL189)*-1)+(AM240-AL240)</f>
        <v>0</v>
      </c>
      <c r="AN299" s="268">
        <f>((AN189-AM189)*-1)+(AN240-AM240)</f>
        <v>0</v>
      </c>
      <c r="AO299" s="268">
        <f>((AO189-AN189)*-1)+(AO240-AN240)</f>
        <v>0</v>
      </c>
      <c r="AP299" s="268">
        <f>((AP189-AO189)*-1)+(AP240-AO240)</f>
        <v>0</v>
      </c>
      <c r="AQ299" s="268">
        <f>SUM(AM299:AP299)</f>
        <v>0</v>
      </c>
      <c r="AR299" s="268">
        <f>((AR189-AQ189)*-1)+(AR240-AQ240)</f>
        <v>0</v>
      </c>
      <c r="AS299" s="268">
        <f>((AS189-AR189)*-1)+(AS240-AR240)</f>
        <v>0</v>
      </c>
      <c r="AT299" s="268">
        <f>((AT189-AS189)*-1)+(AT240-AS240)</f>
        <v>0</v>
      </c>
      <c r="AU299" s="268">
        <f>((AU189-AT189)*-1)+(AU240-AT240)</f>
        <v>0</v>
      </c>
      <c r="AV299" s="268">
        <f>SUM(AR299:AU299)</f>
        <v>0</v>
      </c>
      <c r="AW299" s="268">
        <f>((AW189-AV189)*-1)+(AW240-AV240)</f>
        <v>0</v>
      </c>
      <c r="AX299" s="268">
        <f>((AX189-AW189)*-1)+(AX240-AW240)</f>
        <v>0</v>
      </c>
      <c r="AY299" s="268">
        <f>((AY189-AX189)*-1)+(AY240-AX240)</f>
        <v>0</v>
      </c>
      <c r="AZ299" s="268">
        <f>((AZ189-AY189)*-1)+(AZ240-AY240)</f>
        <v>0</v>
      </c>
      <c r="BA299" s="268">
        <f>SUM(AW299:AZ299)</f>
        <v>0</v>
      </c>
      <c r="BB299" s="268">
        <f>((BB189-BA189)*-1)+(BB240-BA240)</f>
        <v>0</v>
      </c>
      <c r="BC299" s="268">
        <f>((BC189-BB189)*-1)+(BC240-BB240)</f>
        <v>0</v>
      </c>
      <c r="BD299" s="268">
        <f>((BD189-BC189)*-1)+(BD240-BC240)</f>
        <v>0</v>
      </c>
      <c r="BE299" s="268">
        <f>((BE189-BD189)*-1)+(BE240-BD240)</f>
        <v>0</v>
      </c>
      <c r="BF299" s="268">
        <f>SUM(BB299:BE299)</f>
        <v>0</v>
      </c>
      <c r="BG299" s="268">
        <f>((BG189-BF189)*-1)+(BG240-BF240)</f>
        <v>0</v>
      </c>
      <c r="BH299" s="268">
        <f>((BH189-BG189)*-1)+(BH240-BG240)</f>
        <v>0</v>
      </c>
      <c r="BI299" s="268">
        <f>((BI189-BH189)*-1)+(BI240-BH240)</f>
        <v>0</v>
      </c>
      <c r="BJ299" s="268">
        <f>((BJ189-BI189)*-1)+(BJ240-BI240)</f>
        <v>0</v>
      </c>
      <c r="BK299" s="268">
        <f>SUM(BG299:BJ299)</f>
        <v>0</v>
      </c>
      <c r="BL299" s="268">
        <f>((BL189-BK189)*-1)+(BL240-BK240)</f>
        <v>0</v>
      </c>
      <c r="BM299" s="268">
        <f>((BM189-BL189)*-1)+(BM240-BL240)</f>
        <v>0</v>
      </c>
      <c r="BN299" s="268">
        <f>((BN189-BM189)*-1)+(BN240-BM240)</f>
        <v>0</v>
      </c>
      <c r="BO299" s="268">
        <f>((BO189-BN189)*-1)+(BO240-BN240)</f>
        <v>0</v>
      </c>
      <c r="BP299" s="268">
        <f>SUM(BL299:BO299)</f>
        <v>0</v>
      </c>
      <c r="BQ299" s="268">
        <f>((BQ189-BP189)*-1)+(BQ240-BP240)</f>
        <v>0</v>
      </c>
      <c r="BR299" s="268">
        <f>((BR189-BQ189)*-1)+(BR240-BQ240)</f>
        <v>0</v>
      </c>
      <c r="BS299" s="268">
        <f>((BS189-BR189)*-1)+(BS240-BR240)</f>
        <v>0</v>
      </c>
      <c r="BT299" s="268">
        <f>((BT189-BS189)*-1)+(BT240-BS240)</f>
        <v>0</v>
      </c>
      <c r="BU299" s="268">
        <f>SUM(BQ299:BT299)</f>
        <v>0</v>
      </c>
      <c r="BV299" s="268">
        <f>((BV189-BU189)*-1)+(BV240-BU240)</f>
        <v>0</v>
      </c>
      <c r="BW299" s="268">
        <f>((BW189-BV189)*-1)+(BW240-BV240)</f>
        <v>0</v>
      </c>
      <c r="BX299" s="268">
        <f>((BX189-BW189)*-1)+(BX240-BW240)</f>
        <v>0</v>
      </c>
      <c r="BY299" s="268">
        <f>((BY189-BX189)*-1)+(BY240-BX240)</f>
        <v>0</v>
      </c>
      <c r="BZ299" s="268">
        <f>SUM(BV299:BY299)</f>
        <v>0</v>
      </c>
      <c r="CA299" s="268">
        <f>((CA189-BZ189)*-1)+(CA240-BZ240)</f>
        <v>0</v>
      </c>
      <c r="CB299" s="268">
        <f>((CB189-CA189)*-1)+(CB240-CA240)</f>
        <v>0</v>
      </c>
      <c r="CC299" s="268">
        <f>((CC189-CB189)*-1)+(CC240-CB240)</f>
        <v>0</v>
      </c>
      <c r="CD299" s="268">
        <f>((CD189-CC189)*-1)+(CD240-CC240)</f>
        <v>0</v>
      </c>
      <c r="CE299" s="268">
        <f>SUM(CA299:CD299)</f>
        <v>0</v>
      </c>
      <c r="CF299" s="268">
        <f>((CF189-CE189)*-1)+(CF240-CE240)</f>
        <v>0</v>
      </c>
      <c r="CG299" s="268">
        <f>((CG189-CF189)*-1)+(CG240-CF240)</f>
        <v>0</v>
      </c>
      <c r="CH299" s="268">
        <f>((CH189-CG189)*-1)+(CH240-CG240)</f>
        <v>0</v>
      </c>
      <c r="CI299" s="268">
        <f>((CI189-CH189)*-1)+(CI240-CH240)</f>
        <v>0</v>
      </c>
      <c r="CJ299" s="268">
        <f>SUM(CF299:CI299)</f>
        <v>0</v>
      </c>
      <c r="CK299" s="268">
        <f>((CK189-CJ189)*-1)+(CK240-CJ240)</f>
        <v>0</v>
      </c>
      <c r="CL299" s="268">
        <f>((CL189-CK189)*-1)+(CL240-CK240)</f>
        <v>0</v>
      </c>
      <c r="CM299" s="268">
        <f>((CM189-CL189)*-1)+(CM240-CL240)</f>
        <v>0</v>
      </c>
      <c r="CN299" s="268">
        <f>((CN189-CM189)*-1)+(CN240-CM240)</f>
        <v>0</v>
      </c>
      <c r="CO299" s="268">
        <f>SUM(CK299:CN299)</f>
        <v>0</v>
      </c>
      <c r="CP299" s="268">
        <f>((CP189-CO189)*-1)+(CP240-CO240)</f>
        <v>0</v>
      </c>
      <c r="CQ299" s="268">
        <f>((CQ189-CP189)*-1)+(CQ240-CP240)</f>
        <v>0</v>
      </c>
      <c r="CR299" s="268">
        <f>((CR189-CQ189)*-1)+(CR240-CQ240)</f>
        <v>0</v>
      </c>
      <c r="CS299" s="268">
        <f>((CS189-CR189)*-1)+(CS240-CR240)</f>
        <v>0</v>
      </c>
      <c r="CT299" s="268">
        <f>SUM(CP299:CS299)</f>
        <v>0</v>
      </c>
      <c r="CU299" s="268">
        <f>((CU189-CT189)*-1)+(CU240-CT240)</f>
        <v>0</v>
      </c>
      <c r="CV299" s="268">
        <f>((CV189-CU189)*-1)+(CV240-CU240)</f>
        <v>0</v>
      </c>
      <c r="CW299" s="268">
        <f>((CW189-CV189)*-1)+(CW240-CV240)</f>
        <v>0</v>
      </c>
      <c r="CX299" s="268">
        <f>((CX189-CW189)*-1)+(CX240-CW240)</f>
        <v>0</v>
      </c>
      <c r="CY299" s="268">
        <f>SUM(CU299:CX299)</f>
        <v>0</v>
      </c>
    </row>
    <row r="300" ht="12.75" customHeight="1" s="255">
      <c r="C300" s="270" t="inlineStr">
        <is>
          <t>Cash from investing</t>
        </is>
      </c>
      <c r="D300" s="268" t="n"/>
      <c r="E300" s="268">
        <f>SUM(E295,E296,E298,E299,E297)</f>
        <v>178</v>
      </c>
      <c r="F300" s="268">
        <f>SUM(F295,F296,F298,F299,F297)</f>
        <v>-287</v>
      </c>
      <c r="G300" s="268">
        <f>SUM(G295,G296,G298,G299,G297)</f>
        <v>-278</v>
      </c>
      <c r="H300" s="268">
        <f>SUM(H295,H296,H298,H299)</f>
        <v>-275</v>
      </c>
      <c r="I300" s="268">
        <f>SUM(I295,I296,I298,I299,I297)</f>
        <v>101</v>
      </c>
      <c r="J300" s="268">
        <f>SUM(J295,J296,J298,J299,J297)</f>
        <v>-228</v>
      </c>
      <c r="K300" s="268">
        <f>SUM(K295,K296,K298,K299,K297)</f>
        <v>-78</v>
      </c>
      <c r="L300" s="268">
        <f>SUM(L295,L296,L298,L299,L297)</f>
        <v>108</v>
      </c>
      <c r="M300" s="268">
        <f>SUM(M295,M296,M298,M299)</f>
        <v>-53</v>
      </c>
      <c r="N300" s="268">
        <f>SUM(N295,N296,N298,N299,N297)</f>
        <v>-296</v>
      </c>
      <c r="O300" s="268">
        <f>SUM(O295,O296,O298,O299,O297)</f>
        <v>-6</v>
      </c>
      <c r="P300" s="268">
        <f>SUM(P295,P296,P298,P299,P297)</f>
        <v>107</v>
      </c>
      <c r="Q300" s="268">
        <f>SUM(Q295,Q296,Q298,Q299,Q297)</f>
        <v>-323</v>
      </c>
      <c r="R300" s="268">
        <f>SUM(R295,R296,R298,R299)</f>
        <v>-406</v>
      </c>
      <c r="S300" s="268">
        <f>SUM(S295,S296,S298,S299,S297)</f>
        <v>-385</v>
      </c>
      <c r="T300" s="268">
        <f>SUM(T295,T296,T298,T299,T297)</f>
        <v>-506</v>
      </c>
      <c r="U300" s="268">
        <f>SUM(U295,U296,U298,U299,U297)</f>
        <v>-142</v>
      </c>
      <c r="V300" s="268">
        <f>SUM(V295,V296,V298,V299,V297)</f>
        <v>-582</v>
      </c>
      <c r="W300" s="268">
        <f>SUM(W295,W296,W298,W299)</f>
        <v>-1713</v>
      </c>
      <c r="X300" s="268">
        <f>SUM(X295,X296,X298,X299,X297)</f>
        <v>-183</v>
      </c>
      <c r="Y300" s="268">
        <f>SUM(Y295,Y296,Y298,Y299,Y297)</f>
        <v>-91</v>
      </c>
      <c r="Z300" s="268">
        <f>SUM(Z295,Z296,Z298,Z299,Z297)</f>
        <v>-598</v>
      </c>
      <c r="AA300" s="268">
        <f>SUM(AA295,AA296,AA298,AA299,AA297)</f>
        <v>381</v>
      </c>
      <c r="AB300" s="268">
        <f>SUM(AB295,AB296,AB298,AB299)</f>
        <v>-485</v>
      </c>
      <c r="AC300" s="268">
        <f>SUM(AC295,AC296,AC298,AC299,AC297)</f>
        <v>-524</v>
      </c>
      <c r="AD300" s="268">
        <f>SUM(AD295,AD296,AD298,AD299,AD297)</f>
        <v>-565</v>
      </c>
      <c r="AE300" s="268">
        <f>SUM(AE295,AE296,AE298,AE299,AE297)</f>
        <v>-9704</v>
      </c>
      <c r="AF300" s="268">
        <f>SUM(AF295,AF296,AF298,AF299,AF297)</f>
        <v>-644</v>
      </c>
      <c r="AG300" s="268">
        <f>SUM(AG295,AG296,AG298,AG299)</f>
        <v>-10683</v>
      </c>
      <c r="AH300" s="268">
        <f>SUM(AH295,AH296,AH298,AH299,AH297)</f>
        <v>-454</v>
      </c>
      <c r="AI300" s="268">
        <f>SUM(AI295,AI296,AI298,AI299,AI297)</f>
        <v>-336</v>
      </c>
      <c r="AJ300" s="268">
        <f>SUM(AJ295,AJ296,AJ298,AJ299,AJ297)</f>
        <v>288</v>
      </c>
      <c r="AK300" s="268">
        <f>SUM(AK295,AK296,AK298,AK299,AK297)</f>
        <v>0</v>
      </c>
      <c r="AL300" s="268">
        <f>SUM(AL295,AL296,AL298,AL299)</f>
        <v>-481</v>
      </c>
      <c r="AM300" s="268">
        <f>SUM(AM295,AM296,AM298,AM299,AM297)</f>
        <v>0</v>
      </c>
      <c r="AN300" s="268">
        <f>SUM(AN295,AN296,AN298,AN299,AN297)</f>
        <v>0</v>
      </c>
      <c r="AO300" s="268">
        <f>SUM(AO295,AO296,AO298,AO299,AO297)</f>
        <v>0</v>
      </c>
      <c r="AP300" s="268">
        <f>SUM(AP295,AP296,AP298,AP299,AP297)</f>
        <v>0</v>
      </c>
      <c r="AQ300" s="268">
        <f>SUM(AQ295,AQ296,AQ298,AQ299)</f>
        <v>0</v>
      </c>
      <c r="AR300" s="268">
        <f>SUM(AR295,AR296,AR298,AR299,AR297)</f>
        <v>0</v>
      </c>
      <c r="AS300" s="268">
        <f>SUM(AS295,AS296,AS298,AS299,AS297)</f>
        <v>0</v>
      </c>
      <c r="AT300" s="268">
        <f>SUM(AT295,AT296,AT298,AT299,AT297)</f>
        <v>0</v>
      </c>
      <c r="AU300" s="268">
        <f>SUM(AU295,AU296,AU298,AU299,AU297)</f>
        <v>0</v>
      </c>
      <c r="AV300" s="268">
        <f>SUM(AV295,AV296,AV298,AV299)</f>
        <v>0</v>
      </c>
      <c r="AW300" s="268">
        <f>SUM(AW295,AW296,AW298,AW299,AW297)</f>
        <v>0</v>
      </c>
      <c r="AX300" s="268">
        <f>SUM(AX295,AX296,AX298,AX299,AX297)</f>
        <v>0</v>
      </c>
      <c r="AY300" s="268">
        <f>SUM(AY295,AY296,AY298,AY299,AY297)</f>
        <v>0</v>
      </c>
      <c r="AZ300" s="268">
        <f>SUM(AZ295,AZ296,AZ298,AZ299,AZ297)</f>
        <v>0</v>
      </c>
      <c r="BA300" s="268">
        <f>SUM(BA295,BA296,BA298,BA299)</f>
        <v>0</v>
      </c>
      <c r="BB300" s="268">
        <f>SUM(BB295,BB296,BB298,BB299,BB297)</f>
        <v>0</v>
      </c>
      <c r="BC300" s="268">
        <f>SUM(BC295,BC296,BC298,BC299,BC297)</f>
        <v>0</v>
      </c>
      <c r="BD300" s="268">
        <f>SUM(BD295,BD296,BD298,BD299,BD297)</f>
        <v>0</v>
      </c>
      <c r="BE300" s="268">
        <f>SUM(BE295,BE296,BE298,BE299,BE297)</f>
        <v>0</v>
      </c>
      <c r="BF300" s="268">
        <f>SUM(BF295,BF296,BF298,BF299)</f>
        <v>0</v>
      </c>
      <c r="BG300" s="268">
        <f>SUM(BG295,BG296,BG298,BG299,BG297)</f>
        <v>0</v>
      </c>
      <c r="BH300" s="268">
        <f>SUM(BH295,BH296,BH298,BH299,BH297)</f>
        <v>0</v>
      </c>
      <c r="BI300" s="268">
        <f>SUM(BI295,BI296,BI298,BI299,BI297)</f>
        <v>0</v>
      </c>
      <c r="BJ300" s="268">
        <f>SUM(BJ295,BJ296,BJ298,BJ299,BJ297)</f>
        <v>0</v>
      </c>
      <c r="BK300" s="268">
        <f>SUM(BK295,BK296,BK298,BK299)</f>
        <v>0</v>
      </c>
      <c r="BL300" s="268">
        <f>SUM(BL295,BL296,BL298,BL299,BL297)</f>
        <v>0</v>
      </c>
      <c r="BM300" s="268">
        <f>SUM(BM295,BM296,BM298,BM299,BM297)</f>
        <v>0</v>
      </c>
      <c r="BN300" s="268">
        <f>SUM(BN295,BN296,BN298,BN299,BN297)</f>
        <v>0</v>
      </c>
      <c r="BO300" s="268">
        <f>SUM(BO295,BO296,BO298,BO299,BO297)</f>
        <v>0</v>
      </c>
      <c r="BP300" s="268">
        <f>SUM(BP295,BP296,BP298,BP299)</f>
        <v>0</v>
      </c>
      <c r="BQ300" s="268">
        <f>SUM(BQ295,BQ296,BQ298,BQ299,BQ297)</f>
        <v>0</v>
      </c>
      <c r="BR300" s="268">
        <f>SUM(BR295,BR296,BR298,BR299,BR297)</f>
        <v>0</v>
      </c>
      <c r="BS300" s="268">
        <f>SUM(BS295,BS296,BS298,BS299,BS297)</f>
        <v>0</v>
      </c>
      <c r="BT300" s="268">
        <f>SUM(BT295,BT296,BT298,BT299,BT297)</f>
        <v>0</v>
      </c>
      <c r="BU300" s="268">
        <f>SUM(BU295,BU296,BU298,BU299)</f>
        <v>0</v>
      </c>
      <c r="BV300" s="268">
        <f>SUM(BV295,BV296,BV298,BV299,BV297)</f>
        <v>0</v>
      </c>
      <c r="BW300" s="268">
        <f>SUM(BW295,BW296,BW298,BW299,BW297)</f>
        <v>0</v>
      </c>
      <c r="BX300" s="268">
        <f>SUM(BX295,BX296,BX298,BX299,BX297)</f>
        <v>0</v>
      </c>
      <c r="BY300" s="268">
        <f>SUM(BY295,BY296,BY298,BY299,BY297)</f>
        <v>0</v>
      </c>
      <c r="BZ300" s="268">
        <f>SUM(BZ295,BZ296,BZ298,BZ299)</f>
        <v>0</v>
      </c>
      <c r="CA300" s="268">
        <f>SUM(CA295,CA296,CA298,CA299,CA297)</f>
        <v>0</v>
      </c>
      <c r="CB300" s="268">
        <f>SUM(CB295,CB296,CB298,CB299,CB297)</f>
        <v>0</v>
      </c>
      <c r="CC300" s="268">
        <f>SUM(CC295,CC296,CC298,CC299,CC297)</f>
        <v>0</v>
      </c>
      <c r="CD300" s="268">
        <f>SUM(CD295,CD296,CD298,CD299,CD297)</f>
        <v>0</v>
      </c>
      <c r="CE300" s="268">
        <f>SUM(CE295,CE296,CE298,CE299)</f>
        <v>0</v>
      </c>
      <c r="CF300" s="268">
        <f>SUM(CF295,CF296,CF298,CF299,CF297)</f>
        <v>0</v>
      </c>
      <c r="CG300" s="268">
        <f>SUM(CG295,CG296,CG298,CG299,CG297)</f>
        <v>0</v>
      </c>
      <c r="CH300" s="268">
        <f>SUM(CH295,CH296,CH298,CH299,CH297)</f>
        <v>0</v>
      </c>
      <c r="CI300" s="268">
        <f>SUM(CI295,CI296,CI298,CI299,CI297)</f>
        <v>0</v>
      </c>
      <c r="CJ300" s="268">
        <f>SUM(CJ295,CJ296,CJ298,CJ299)</f>
        <v>0</v>
      </c>
      <c r="CK300" s="268">
        <f>SUM(CK295,CK296,CK298,CK299,CK297)</f>
        <v>0</v>
      </c>
      <c r="CL300" s="268">
        <f>SUM(CL295,CL296,CL298,CL299,CL297)</f>
        <v>0</v>
      </c>
      <c r="CM300" s="268">
        <f>SUM(CM295,CM296,CM298,CM299,CM297)</f>
        <v>0</v>
      </c>
      <c r="CN300" s="268">
        <f>SUM(CN295,CN296,CN298,CN299,CN297)</f>
        <v>0</v>
      </c>
      <c r="CO300" s="268">
        <f>SUM(CO295,CO296,CO298,CO299)</f>
        <v>0</v>
      </c>
      <c r="CP300" s="268">
        <f>SUM(CP295,CP296,CP298,CP299,CP297)</f>
        <v>0</v>
      </c>
      <c r="CQ300" s="268">
        <f>SUM(CQ295,CQ296,CQ298,CQ299,CQ297)</f>
        <v>0</v>
      </c>
      <c r="CR300" s="268">
        <f>SUM(CR295,CR296,CR298,CR299,CR297)</f>
        <v>0</v>
      </c>
      <c r="CS300" s="268">
        <f>SUM(CS295,CS296,CS298,CS299,CS297)</f>
        <v>0</v>
      </c>
      <c r="CT300" s="268">
        <f>SUM(CT295,CT296,CT298,CT299)</f>
        <v>0</v>
      </c>
      <c r="CU300" s="268">
        <f>SUM(CU295,CU296,CU298,CU299,CU297)</f>
        <v>0</v>
      </c>
      <c r="CV300" s="268">
        <f>SUM(CV295,CV296,CV298,CV299,CV297)</f>
        <v>0</v>
      </c>
      <c r="CW300" s="268">
        <f>SUM(CW295,CW296,CW298,CW299,CW297)</f>
        <v>0</v>
      </c>
      <c r="CX300" s="268">
        <f>SUM(CX295,CX296,CX298,CX299,CX297)</f>
        <v>0</v>
      </c>
      <c r="CY300" s="268">
        <f>SUM(CY295,CY296,CY298,CY299)</f>
        <v>0</v>
      </c>
    </row>
    <row r="301" ht="12.75" customHeight="1" s="255">
      <c r="C301" s="270" t="n"/>
      <c r="D301" s="268" t="n"/>
      <c r="E301" s="268" t="n"/>
      <c r="F301" s="268" t="n"/>
      <c r="G301" s="268" t="n"/>
      <c r="H301" s="268" t="n"/>
      <c r="I301" s="268" t="n"/>
      <c r="J301" s="268" t="n"/>
      <c r="K301" s="268" t="n"/>
      <c r="L301" s="268" t="n"/>
      <c r="M301" s="268" t="n"/>
      <c r="N301" s="268" t="n"/>
      <c r="O301" s="268" t="n"/>
      <c r="P301" s="268" t="n"/>
      <c r="Q301" s="268" t="n"/>
      <c r="R301" s="268" t="n"/>
      <c r="S301" s="268" t="n"/>
      <c r="T301" s="268" t="n"/>
      <c r="U301" s="268" t="n"/>
      <c r="V301" s="268" t="n"/>
      <c r="W301" s="268" t="n"/>
      <c r="X301" s="268" t="n"/>
      <c r="Y301" s="268" t="n"/>
      <c r="Z301" s="268" t="n"/>
      <c r="AA301" s="268" t="n"/>
      <c r="AB301" s="268" t="n"/>
      <c r="AC301" s="268" t="n"/>
      <c r="AD301" s="268" t="n"/>
      <c r="AE301" s="268" t="n"/>
      <c r="AF301" s="268" t="n"/>
      <c r="AG301" s="268" t="n"/>
      <c r="AH301" s="268" t="n"/>
      <c r="AI301" s="268" t="n"/>
      <c r="AJ301" s="268" t="n"/>
      <c r="AK301" s="268" t="n"/>
      <c r="AL301" s="268" t="n"/>
      <c r="AM301" s="268" t="n"/>
      <c r="AN301" s="268" t="n"/>
      <c r="AO301" s="268" t="n"/>
      <c r="AP301" s="268" t="n"/>
      <c r="AQ301" s="268" t="n"/>
      <c r="AR301" s="268" t="n"/>
      <c r="AS301" s="268" t="n"/>
      <c r="AT301" s="268" t="n"/>
      <c r="AU301" s="268" t="n"/>
      <c r="AV301" s="268" t="n"/>
      <c r="AW301" s="268" t="n"/>
      <c r="AX301" s="268" t="n"/>
      <c r="AY301" s="268" t="n"/>
      <c r="AZ301" s="268" t="n"/>
      <c r="BA301" s="268" t="n"/>
      <c r="BB301" s="268" t="n"/>
      <c r="BC301" s="268" t="n"/>
      <c r="BD301" s="268" t="n"/>
      <c r="BE301" s="268" t="n"/>
      <c r="BF301" s="268" t="n"/>
      <c r="BG301" s="268" t="n"/>
      <c r="BH301" s="268" t="n"/>
      <c r="BI301" s="268" t="n"/>
      <c r="BJ301" s="268" t="n"/>
      <c r="BK301" s="268" t="n"/>
      <c r="BL301" s="268" t="n"/>
      <c r="BM301" s="268" t="n"/>
      <c r="BN301" s="268" t="n"/>
      <c r="BO301" s="268" t="n"/>
      <c r="BP301" s="268" t="n"/>
      <c r="BQ301" s="268" t="n"/>
      <c r="BR301" s="268" t="n"/>
      <c r="BS301" s="268" t="n"/>
      <c r="BT301" s="268" t="n"/>
      <c r="BU301" s="268" t="n"/>
      <c r="BV301" s="268" t="n"/>
      <c r="BW301" s="268" t="n"/>
      <c r="BX301" s="268" t="n"/>
      <c r="BY301" s="268" t="n"/>
      <c r="BZ301" s="268" t="n"/>
      <c r="CA301" s="268" t="n"/>
      <c r="CB301" s="268" t="n"/>
      <c r="CC301" s="268" t="n"/>
      <c r="CD301" s="268" t="n"/>
      <c r="CE301" s="268" t="n"/>
      <c r="CF301" s="268" t="n"/>
      <c r="CG301" s="268" t="n"/>
      <c r="CH301" s="268" t="n"/>
      <c r="CI301" s="268" t="n"/>
      <c r="CJ301" s="268" t="n"/>
      <c r="CK301" s="268" t="n"/>
      <c r="CL301" s="268" t="n"/>
      <c r="CM301" s="268" t="n"/>
      <c r="CN301" s="268" t="n"/>
      <c r="CO301" s="268" t="n"/>
      <c r="CP301" s="268" t="n"/>
      <c r="CQ301" s="268" t="n"/>
      <c r="CR301" s="268" t="n"/>
      <c r="CS301" s="268" t="n"/>
      <c r="CT301" s="268" t="n"/>
      <c r="CU301" s="268" t="n"/>
      <c r="CV301" s="268" t="n"/>
      <c r="CW301" s="268" t="n"/>
      <c r="CX301" s="268" t="n"/>
      <c r="CY301" s="268" t="n"/>
    </row>
    <row r="302" ht="12.75" customHeight="1" s="255">
      <c r="C302" s="270" t="inlineStr">
        <is>
          <t>Convertible preferred stock</t>
        </is>
      </c>
      <c r="D302" s="268" t="n"/>
      <c r="E302" s="268">
        <f>E253-D253</f>
        <v>0</v>
      </c>
      <c r="F302" s="268">
        <f>F253-E253</f>
        <v>0</v>
      </c>
      <c r="G302" s="268">
        <f>G253-F253</f>
        <v>0</v>
      </c>
      <c r="H302" s="268">
        <f>SUM(D302:G302)</f>
        <v>0</v>
      </c>
      <c r="I302" s="268">
        <f>I253-H253</f>
        <v>0</v>
      </c>
      <c r="J302" s="268">
        <f>J253-I253</f>
        <v>0</v>
      </c>
      <c r="K302" s="268">
        <f>K253-J253</f>
        <v>0</v>
      </c>
      <c r="L302" s="268">
        <f>L253-K253</f>
        <v>0</v>
      </c>
      <c r="M302" s="268">
        <f>SUM(I302:L302)</f>
        <v>0</v>
      </c>
      <c r="N302" s="268">
        <f>N253-M253</f>
        <v>0</v>
      </c>
      <c r="O302" s="268">
        <f>O253-N253</f>
        <v>0</v>
      </c>
      <c r="P302" s="268">
        <f>P253-O253</f>
        <v>0</v>
      </c>
      <c r="Q302" s="268">
        <f>Q253-P253</f>
        <v>0</v>
      </c>
      <c r="R302" s="268">
        <f>SUM(N302:Q302)</f>
        <v>0</v>
      </c>
      <c r="S302" s="268">
        <f>S253-R253</f>
        <v>0</v>
      </c>
      <c r="T302" s="268">
        <f>T253-S253</f>
        <v>0</v>
      </c>
      <c r="U302" s="268">
        <f>U253-T253</f>
        <v>0</v>
      </c>
      <c r="V302" s="268">
        <f>V253-U253</f>
        <v>0</v>
      </c>
      <c r="W302" s="268">
        <f>SUM(S302:V302)</f>
        <v>0</v>
      </c>
      <c r="X302" s="268">
        <f>X253-W253</f>
        <v>0</v>
      </c>
      <c r="Y302" s="268">
        <f>Y253-X253</f>
        <v>0</v>
      </c>
      <c r="Z302" s="268">
        <f>Z253-Y253</f>
        <v>0</v>
      </c>
      <c r="AA302" s="268">
        <f>AA253-Z253</f>
        <v>0</v>
      </c>
      <c r="AB302" s="268">
        <f>SUM(X302:AA302)</f>
        <v>0</v>
      </c>
      <c r="AC302" s="268">
        <f>AC253-AB253</f>
        <v>0</v>
      </c>
      <c r="AD302" s="268">
        <f>AD253-AC253</f>
        <v>0</v>
      </c>
      <c r="AE302" s="268">
        <f>AE253-AD253</f>
        <v>0</v>
      </c>
      <c r="AF302" s="268">
        <f>AF253-AE253</f>
        <v>0</v>
      </c>
      <c r="AG302" s="268">
        <f>SUM(AC302:AF302)</f>
        <v>0</v>
      </c>
      <c r="AH302" s="268">
        <f>AH253-AG253</f>
        <v>0</v>
      </c>
      <c r="AI302" s="268">
        <f>AI253-AH253</f>
        <v>0</v>
      </c>
      <c r="AJ302" s="268">
        <f>AJ253-AI253</f>
        <v>0</v>
      </c>
      <c r="AK302" s="268">
        <f>AK253-AJ253</f>
        <v>0</v>
      </c>
      <c r="AL302" s="268">
        <f>SUM(AH302:AK302)</f>
        <v>0</v>
      </c>
      <c r="AM302" s="268">
        <f>AM253-AL253</f>
        <v>0</v>
      </c>
      <c r="AN302" s="268">
        <f>AN253-AM253</f>
        <v>0</v>
      </c>
      <c r="AO302" s="268">
        <f>AO253-AN253</f>
        <v>0</v>
      </c>
      <c r="AP302" s="268">
        <f>AP253-AO253</f>
        <v>0</v>
      </c>
      <c r="AQ302" s="268">
        <f>SUM(AM302:AP302)</f>
        <v>0</v>
      </c>
      <c r="AR302" s="268">
        <f>AR253-AQ253</f>
        <v>0</v>
      </c>
      <c r="AS302" s="268">
        <f>AS253-AR253</f>
        <v>0</v>
      </c>
      <c r="AT302" s="268">
        <f>AT253-AS253</f>
        <v>0</v>
      </c>
      <c r="AU302" s="268">
        <f>AU253-AT253</f>
        <v>0</v>
      </c>
      <c r="AV302" s="268">
        <f>SUM(AR302:AU302)</f>
        <v>0</v>
      </c>
      <c r="AW302" s="268">
        <f>AW253-AV253</f>
        <v>0</v>
      </c>
      <c r="AX302" s="268">
        <f>AX253-AW253</f>
        <v>0</v>
      </c>
      <c r="AY302" s="268">
        <f>AY253-AX253</f>
        <v>0</v>
      </c>
      <c r="AZ302" s="268">
        <f>AZ253-AY253</f>
        <v>0</v>
      </c>
      <c r="BA302" s="268">
        <f>SUM(AW302:AZ302)</f>
        <v>0</v>
      </c>
      <c r="BB302" s="268">
        <f>BB253-BA253</f>
        <v>0</v>
      </c>
      <c r="BC302" s="268">
        <f>BC253-BB253</f>
        <v>0</v>
      </c>
      <c r="BD302" s="268">
        <f>BD253-BC253</f>
        <v>0</v>
      </c>
      <c r="BE302" s="268">
        <f>BE253-BD253</f>
        <v>0</v>
      </c>
      <c r="BF302" s="268">
        <f>SUM(BB302:BE302)</f>
        <v>0</v>
      </c>
      <c r="BG302" s="268">
        <f>BG253-BF253</f>
        <v>0</v>
      </c>
      <c r="BH302" s="268">
        <f>BH253-BG253</f>
        <v>0</v>
      </c>
      <c r="BI302" s="268">
        <f>BI253-BH253</f>
        <v>0</v>
      </c>
      <c r="BJ302" s="268">
        <f>BJ253-BI253</f>
        <v>0</v>
      </c>
      <c r="BK302" s="268">
        <f>SUM(BG302:BJ302)</f>
        <v>0</v>
      </c>
      <c r="BL302" s="268">
        <f>BL253-BK253</f>
        <v>0</v>
      </c>
      <c r="BM302" s="268">
        <f>BM253-BL253</f>
        <v>0</v>
      </c>
      <c r="BN302" s="268">
        <f>BN253-BM253</f>
        <v>0</v>
      </c>
      <c r="BO302" s="268">
        <f>BO253-BN253</f>
        <v>0</v>
      </c>
      <c r="BP302" s="268">
        <f>SUM(BL302:BO302)</f>
        <v>0</v>
      </c>
      <c r="BQ302" s="268">
        <f>BQ253-BP253</f>
        <v>0</v>
      </c>
      <c r="BR302" s="268">
        <f>BR253-BQ253</f>
        <v>0</v>
      </c>
      <c r="BS302" s="268">
        <f>BS253-BR253</f>
        <v>0</v>
      </c>
      <c r="BT302" s="268">
        <f>BT253-BS253</f>
        <v>0</v>
      </c>
      <c r="BU302" s="268">
        <f>SUM(BQ302:BT302)</f>
        <v>0</v>
      </c>
      <c r="BV302" s="268">
        <f>BV253-BU253</f>
        <v>0</v>
      </c>
      <c r="BW302" s="268">
        <f>BW253-BV253</f>
        <v>0</v>
      </c>
      <c r="BX302" s="268">
        <f>BX253-BW253</f>
        <v>0</v>
      </c>
      <c r="BY302" s="268">
        <f>BY253-BX253</f>
        <v>0</v>
      </c>
      <c r="BZ302" s="268">
        <f>SUM(BV302:BY302)</f>
        <v>0</v>
      </c>
      <c r="CA302" s="268">
        <f>CA253-BZ253</f>
        <v>0</v>
      </c>
      <c r="CB302" s="268">
        <f>CB253-CA253</f>
        <v>0</v>
      </c>
      <c r="CC302" s="268">
        <f>CC253-CB253</f>
        <v>0</v>
      </c>
      <c r="CD302" s="268">
        <f>CD253-CC253</f>
        <v>0</v>
      </c>
      <c r="CE302" s="268">
        <f>SUM(CA302:CD302)</f>
        <v>0</v>
      </c>
      <c r="CF302" s="268">
        <f>CF253-CE253</f>
        <v>0</v>
      </c>
      <c r="CG302" s="268">
        <f>CG253-CF253</f>
        <v>0</v>
      </c>
      <c r="CH302" s="268">
        <f>CH253-CG253</f>
        <v>0</v>
      </c>
      <c r="CI302" s="268">
        <f>CI253-CH253</f>
        <v>0</v>
      </c>
      <c r="CJ302" s="268">
        <f>SUM(CF302:CI302)</f>
        <v>0</v>
      </c>
      <c r="CK302" s="268">
        <f>CK253-CJ253</f>
        <v>0</v>
      </c>
      <c r="CL302" s="268">
        <f>CL253-CK253</f>
        <v>0</v>
      </c>
      <c r="CM302" s="268">
        <f>CM253-CL253</f>
        <v>0</v>
      </c>
      <c r="CN302" s="268">
        <f>CN253-CM253</f>
        <v>0</v>
      </c>
      <c r="CO302" s="268">
        <f>SUM(CK302:CN302)</f>
        <v>0</v>
      </c>
      <c r="CP302" s="268">
        <f>CP253-CO253</f>
        <v>0</v>
      </c>
      <c r="CQ302" s="268">
        <f>CQ253-CP253</f>
        <v>0</v>
      </c>
      <c r="CR302" s="268">
        <f>CR253-CQ253</f>
        <v>0</v>
      </c>
      <c r="CS302" s="268">
        <f>CS253-CR253</f>
        <v>0</v>
      </c>
      <c r="CT302" s="268">
        <f>SUM(CP302:CS302)</f>
        <v>0</v>
      </c>
      <c r="CU302" s="268">
        <f>CU253-CT253</f>
        <v>0</v>
      </c>
      <c r="CV302" s="268">
        <f>CV253-CU253</f>
        <v>0</v>
      </c>
      <c r="CW302" s="268">
        <f>CW253-CV253</f>
        <v>0</v>
      </c>
      <c r="CX302" s="268">
        <f>CX253-CW253</f>
        <v>0</v>
      </c>
      <c r="CY302" s="268">
        <f>SUM(CU302:CX302)</f>
        <v>0</v>
      </c>
    </row>
    <row r="303" ht="12.75" customHeight="1" s="255">
      <c r="C303" s="270" t="inlineStr">
        <is>
          <t>Common stock and APIC</t>
        </is>
      </c>
      <c r="D303" s="268" t="n"/>
      <c r="E303" s="268">
        <f>E254-D254</f>
        <v>12</v>
      </c>
      <c r="F303" s="268">
        <f>F254-E254</f>
        <v>20</v>
      </c>
      <c r="G303" s="268">
        <f>G254-F254</f>
        <v>32</v>
      </c>
      <c r="H303" s="268">
        <f>SUM(D303:G303)</f>
        <v>64</v>
      </c>
      <c r="I303" s="268">
        <f>I254-H254</f>
        <v>60</v>
      </c>
      <c r="J303" s="268">
        <f>J254-I254</f>
        <v>44</v>
      </c>
      <c r="K303" s="268">
        <f>K254-J254</f>
        <v>18</v>
      </c>
      <c r="L303" s="268">
        <f>L254-K254</f>
        <v>60</v>
      </c>
      <c r="M303" s="268">
        <f>SUM(I303:L303)</f>
        <v>182</v>
      </c>
      <c r="N303" s="268">
        <f>N254-M254</f>
        <v>742</v>
      </c>
      <c r="O303" s="268">
        <f>O254-N254</f>
        <v>263</v>
      </c>
      <c r="P303" s="268">
        <f>P254-O254</f>
        <v>60</v>
      </c>
      <c r="Q303" s="268">
        <f>Q254-P254</f>
        <v>37</v>
      </c>
      <c r="R303" s="268">
        <f>SUM(N303:Q303)</f>
        <v>1102</v>
      </c>
      <c r="S303" s="268">
        <f>S254-R254</f>
        <v>-4</v>
      </c>
      <c r="T303" s="268">
        <f>T254-S254</f>
        <v>18</v>
      </c>
      <c r="U303" s="268">
        <f>U254-T254</f>
        <v>21</v>
      </c>
      <c r="V303" s="268">
        <f>V254-U254</f>
        <v>-828</v>
      </c>
      <c r="W303" s="268">
        <f>SUM(S303:V303)</f>
        <v>-793</v>
      </c>
      <c r="X303" s="268">
        <f>X254-W254</f>
        <v>-46</v>
      </c>
      <c r="Y303" s="268">
        <f>Y254-X254</f>
        <v>15</v>
      </c>
      <c r="Z303" s="268">
        <f>Z254-Y254</f>
        <v>12</v>
      </c>
      <c r="AA303" s="268">
        <f>AA254-Z254</f>
        <v>-556</v>
      </c>
      <c r="AB303" s="268">
        <f>SUM(X303:AA303)</f>
        <v>-575</v>
      </c>
      <c r="AC303" s="268">
        <f>AC254-AB254</f>
        <v>165</v>
      </c>
      <c r="AD303" s="268">
        <f>AD254-AC254</f>
        <v>12</v>
      </c>
      <c r="AE303" s="268">
        <f>AE254-AD254</f>
        <v>5369</v>
      </c>
      <c r="AF303" s="268">
        <f>AF254-AE254</f>
        <v>-1030</v>
      </c>
      <c r="AG303" s="268">
        <f>SUM(AC303:AF303)</f>
        <v>4516</v>
      </c>
      <c r="AH303" s="268">
        <f>AH254-AG254</f>
        <v>-30</v>
      </c>
      <c r="AI303" s="268">
        <f>AI254-AH254</f>
        <v>27</v>
      </c>
      <c r="AJ303" s="268">
        <f>AJ254-AI254</f>
        <v>0</v>
      </c>
      <c r="AK303" s="268">
        <f>AK254-AJ254</f>
        <v>0</v>
      </c>
      <c r="AL303" s="268">
        <f>SUM(AH303:AK303)</f>
        <v>-3</v>
      </c>
      <c r="AM303" s="268">
        <f>AM254-AL254</f>
        <v>0</v>
      </c>
      <c r="AN303" s="268">
        <f>AN254-AM254</f>
        <v>0</v>
      </c>
      <c r="AO303" s="268">
        <f>AO254-AN254</f>
        <v>0</v>
      </c>
      <c r="AP303" s="268">
        <f>AP254-AO254</f>
        <v>0</v>
      </c>
      <c r="AQ303" s="268">
        <f>SUM(AM303:AP303)</f>
        <v>0</v>
      </c>
      <c r="AR303" s="268">
        <f>AR254-AQ254</f>
        <v>0</v>
      </c>
      <c r="AS303" s="268">
        <f>AS254-AR254</f>
        <v>0</v>
      </c>
      <c r="AT303" s="268">
        <f>AT254-AS254</f>
        <v>0</v>
      </c>
      <c r="AU303" s="268">
        <f>AU254-AT254</f>
        <v>0</v>
      </c>
      <c r="AV303" s="268">
        <f>SUM(AR303:AU303)</f>
        <v>0</v>
      </c>
      <c r="AW303" s="268">
        <f>AW254-AV254</f>
        <v>0</v>
      </c>
      <c r="AX303" s="268">
        <f>AX254-AW254</f>
        <v>0</v>
      </c>
      <c r="AY303" s="268">
        <f>AY254-AX254</f>
        <v>0</v>
      </c>
      <c r="AZ303" s="268">
        <f>AZ254-AY254</f>
        <v>0</v>
      </c>
      <c r="BA303" s="268">
        <f>SUM(AW303:AZ303)</f>
        <v>0</v>
      </c>
      <c r="BB303" s="268">
        <f>BB254-BA254</f>
        <v>0</v>
      </c>
      <c r="BC303" s="268">
        <f>BC254-BB254</f>
        <v>0</v>
      </c>
      <c r="BD303" s="268">
        <f>BD254-BC254</f>
        <v>0</v>
      </c>
      <c r="BE303" s="268">
        <f>BE254-BD254</f>
        <v>0</v>
      </c>
      <c r="BF303" s="268">
        <f>SUM(BB303:BE303)</f>
        <v>0</v>
      </c>
      <c r="BG303" s="268">
        <f>BG254-BF254</f>
        <v>0</v>
      </c>
      <c r="BH303" s="268">
        <f>BH254-BG254</f>
        <v>0</v>
      </c>
      <c r="BI303" s="268">
        <f>BI254-BH254</f>
        <v>0</v>
      </c>
      <c r="BJ303" s="268">
        <f>BJ254-BI254</f>
        <v>0</v>
      </c>
      <c r="BK303" s="268">
        <f>SUM(BG303:BJ303)</f>
        <v>0</v>
      </c>
      <c r="BL303" s="268">
        <f>BL254-BK254</f>
        <v>0</v>
      </c>
      <c r="BM303" s="268">
        <f>BM254-BL254</f>
        <v>0</v>
      </c>
      <c r="BN303" s="268">
        <f>BN254-BM254</f>
        <v>0</v>
      </c>
      <c r="BO303" s="268">
        <f>BO254-BN254</f>
        <v>0</v>
      </c>
      <c r="BP303" s="268">
        <f>SUM(BL303:BO303)</f>
        <v>0</v>
      </c>
      <c r="BQ303" s="268">
        <f>BQ254-BP254</f>
        <v>0</v>
      </c>
      <c r="BR303" s="268">
        <f>BR254-BQ254</f>
        <v>0</v>
      </c>
      <c r="BS303" s="268">
        <f>BS254-BR254</f>
        <v>0</v>
      </c>
      <c r="BT303" s="268">
        <f>BT254-BS254</f>
        <v>0</v>
      </c>
      <c r="BU303" s="268">
        <f>SUM(BQ303:BT303)</f>
        <v>0</v>
      </c>
      <c r="BV303" s="268">
        <f>BV254-BU254</f>
        <v>0</v>
      </c>
      <c r="BW303" s="268">
        <f>BW254-BV254</f>
        <v>0</v>
      </c>
      <c r="BX303" s="268">
        <f>BX254-BW254</f>
        <v>0</v>
      </c>
      <c r="BY303" s="268">
        <f>BY254-BX254</f>
        <v>0</v>
      </c>
      <c r="BZ303" s="268">
        <f>SUM(BV303:BY303)</f>
        <v>0</v>
      </c>
      <c r="CA303" s="268">
        <f>CA254-BZ254</f>
        <v>0</v>
      </c>
      <c r="CB303" s="268">
        <f>CB254-CA254</f>
        <v>0</v>
      </c>
      <c r="CC303" s="268">
        <f>CC254-CB254</f>
        <v>0</v>
      </c>
      <c r="CD303" s="268">
        <f>CD254-CC254</f>
        <v>0</v>
      </c>
      <c r="CE303" s="268">
        <f>SUM(CA303:CD303)</f>
        <v>0</v>
      </c>
      <c r="CF303" s="268">
        <f>CF254-CE254</f>
        <v>0</v>
      </c>
      <c r="CG303" s="268">
        <f>CG254-CF254</f>
        <v>0</v>
      </c>
      <c r="CH303" s="268">
        <f>CH254-CG254</f>
        <v>0</v>
      </c>
      <c r="CI303" s="268">
        <f>CI254-CH254</f>
        <v>0</v>
      </c>
      <c r="CJ303" s="268">
        <f>SUM(CF303:CI303)</f>
        <v>0</v>
      </c>
      <c r="CK303" s="268">
        <f>CK254-CJ254</f>
        <v>0</v>
      </c>
      <c r="CL303" s="268">
        <f>CL254-CK254</f>
        <v>0</v>
      </c>
      <c r="CM303" s="268">
        <f>CM254-CL254</f>
        <v>0</v>
      </c>
      <c r="CN303" s="268">
        <f>CN254-CM254</f>
        <v>0</v>
      </c>
      <c r="CO303" s="268">
        <f>SUM(CK303:CN303)</f>
        <v>0</v>
      </c>
      <c r="CP303" s="268">
        <f>CP254-CO254</f>
        <v>0</v>
      </c>
      <c r="CQ303" s="268">
        <f>CQ254-CP254</f>
        <v>0</v>
      </c>
      <c r="CR303" s="268">
        <f>CR254-CQ254</f>
        <v>0</v>
      </c>
      <c r="CS303" s="268">
        <f>CS254-CR254</f>
        <v>0</v>
      </c>
      <c r="CT303" s="268">
        <f>SUM(CP303:CS303)</f>
        <v>0</v>
      </c>
      <c r="CU303" s="268">
        <f>CU254-CT254</f>
        <v>0</v>
      </c>
      <c r="CV303" s="268">
        <f>CV254-CU254</f>
        <v>0</v>
      </c>
      <c r="CW303" s="268">
        <f>CW254-CV254</f>
        <v>0</v>
      </c>
      <c r="CX303" s="268">
        <f>CX254-CW254</f>
        <v>0</v>
      </c>
      <c r="CY303" s="268">
        <f>SUM(CU303:CX303)</f>
        <v>0</v>
      </c>
    </row>
    <row r="304" ht="12.75" customHeight="1" s="255">
      <c r="C304" s="270" t="inlineStr">
        <is>
          <t>Treasury stock repurchases</t>
        </is>
      </c>
      <c r="D304" s="268" t="n"/>
      <c r="E304" s="268">
        <f>E267-D267</f>
        <v>-100</v>
      </c>
      <c r="F304" s="268">
        <f>F267-E267</f>
        <v>0</v>
      </c>
      <c r="G304" s="268">
        <f>G267-F267</f>
        <v>0</v>
      </c>
      <c r="H304" s="268">
        <f>SUM(D304:G304)</f>
        <v>-100</v>
      </c>
      <c r="I304" s="268">
        <f>I267-H267</f>
        <v>0</v>
      </c>
      <c r="J304" s="268">
        <f>J267-I267</f>
        <v>0</v>
      </c>
      <c r="K304" s="268">
        <f>K267-J267</f>
        <v>-100</v>
      </c>
      <c r="L304" s="268">
        <f>L267-K267</f>
        <v>0</v>
      </c>
      <c r="M304" s="268">
        <f>SUM(I304:L304)</f>
        <v>-100</v>
      </c>
      <c r="N304" s="268">
        <f>N267-M267</f>
        <v>0</v>
      </c>
      <c r="O304" s="268">
        <f>O267-N267</f>
        <v>0</v>
      </c>
      <c r="P304" s="268">
        <f>P267-O267</f>
        <v>-200</v>
      </c>
      <c r="Q304" s="268">
        <f>Q267-P267</f>
        <v>0</v>
      </c>
      <c r="R304" s="268">
        <f>SUM(N304:Q304)</f>
        <v>-200</v>
      </c>
      <c r="S304" s="268">
        <f>S267-R267</f>
        <v>0</v>
      </c>
      <c r="T304" s="268">
        <f>T267-S267</f>
        <v>0</v>
      </c>
      <c r="U304" s="268">
        <f>U267-T267</f>
        <v>-488</v>
      </c>
      <c r="V304" s="268">
        <f>V267-U267</f>
        <v>735</v>
      </c>
      <c r="W304" s="268">
        <f>SUM(S304:V304)</f>
        <v>247</v>
      </c>
      <c r="X304" s="268">
        <f>X267-W267</f>
        <v>-358</v>
      </c>
      <c r="Y304" s="268">
        <f>Y267-X267</f>
        <v>4</v>
      </c>
      <c r="Z304" s="268">
        <f>Z267-Y267</f>
        <v>-197</v>
      </c>
      <c r="AA304" s="268">
        <f>AA267-Z267</f>
        <v>75</v>
      </c>
      <c r="AB304" s="268">
        <f>SUM(X304:AA304)</f>
        <v>-476</v>
      </c>
      <c r="AC304" s="268">
        <f>AC267-AB267</f>
        <v>38</v>
      </c>
      <c r="AD304" s="268">
        <f>AD267-AC267</f>
        <v>3</v>
      </c>
      <c r="AE304" s="268">
        <f>AE267-AD267</f>
        <v>-543</v>
      </c>
      <c r="AF304" s="268">
        <f>AF267-AE267</f>
        <v>1044</v>
      </c>
      <c r="AG304" s="268">
        <f>SUM(AC304:AF304)</f>
        <v>542</v>
      </c>
      <c r="AH304" s="268">
        <f>AH267-AG267</f>
        <v>40</v>
      </c>
      <c r="AI304" s="268">
        <f>AI267-AH267</f>
        <v>-245</v>
      </c>
      <c r="AJ304" s="268">
        <f>AJ267-AI267</f>
        <v>0</v>
      </c>
      <c r="AK304" s="268">
        <f>AK267-AJ267</f>
        <v>0</v>
      </c>
      <c r="AL304" s="268">
        <f>SUM(AH304:AK304)</f>
        <v>-205</v>
      </c>
      <c r="AM304" s="268">
        <f>AM267-AL267</f>
        <v>0</v>
      </c>
      <c r="AN304" s="268">
        <f>AN267-AM267</f>
        <v>0</v>
      </c>
      <c r="AO304" s="268">
        <f>AO267-AN267</f>
        <v>0</v>
      </c>
      <c r="AP304" s="268">
        <f>AP267-AO267</f>
        <v>0</v>
      </c>
      <c r="AQ304" s="268">
        <f>SUM(AM304:AP304)</f>
        <v>0</v>
      </c>
      <c r="AR304" s="268">
        <f>AR267-AQ267</f>
        <v>0</v>
      </c>
      <c r="AS304" s="268">
        <f>AS267-AR267</f>
        <v>0</v>
      </c>
      <c r="AT304" s="268">
        <f>AT267-AS267</f>
        <v>0</v>
      </c>
      <c r="AU304" s="268">
        <f>AU267-AT267</f>
        <v>0</v>
      </c>
      <c r="AV304" s="268">
        <f>SUM(AR304:AU304)</f>
        <v>0</v>
      </c>
      <c r="AW304" s="268">
        <f>AW267-AV267</f>
        <v>0</v>
      </c>
      <c r="AX304" s="268">
        <f>AX267-AW267</f>
        <v>0</v>
      </c>
      <c r="AY304" s="268">
        <f>AY267-AX267</f>
        <v>0</v>
      </c>
      <c r="AZ304" s="268">
        <f>AZ267-AY267</f>
        <v>0</v>
      </c>
      <c r="BA304" s="268">
        <f>SUM(AW304:AZ304)</f>
        <v>0</v>
      </c>
      <c r="BB304" s="268">
        <f>BB267-BA267</f>
        <v>0</v>
      </c>
      <c r="BC304" s="268">
        <f>BC267-BB267</f>
        <v>0</v>
      </c>
      <c r="BD304" s="268">
        <f>BD267-BC267</f>
        <v>0</v>
      </c>
      <c r="BE304" s="268">
        <f>BE267-BD267</f>
        <v>0</v>
      </c>
      <c r="BF304" s="268">
        <f>SUM(BB304:BE304)</f>
        <v>0</v>
      </c>
      <c r="BG304" s="268">
        <f>BG267-BF267</f>
        <v>0</v>
      </c>
      <c r="BH304" s="268">
        <f>BH267-BG267</f>
        <v>0</v>
      </c>
      <c r="BI304" s="268">
        <f>BI267-BH267</f>
        <v>0</v>
      </c>
      <c r="BJ304" s="268">
        <f>BJ267-BI267</f>
        <v>0</v>
      </c>
      <c r="BK304" s="268">
        <f>SUM(BG304:BJ304)</f>
        <v>0</v>
      </c>
      <c r="BL304" s="268">
        <f>BL267-BK267</f>
        <v>0</v>
      </c>
      <c r="BM304" s="268">
        <f>BM267-BL267</f>
        <v>0</v>
      </c>
      <c r="BN304" s="268">
        <f>BN267-BM267</f>
        <v>0</v>
      </c>
      <c r="BO304" s="268">
        <f>BO267-BN267</f>
        <v>0</v>
      </c>
      <c r="BP304" s="268">
        <f>SUM(BL304:BO304)</f>
        <v>0</v>
      </c>
      <c r="BQ304" s="268">
        <f>BQ267-BP267</f>
        <v>0</v>
      </c>
      <c r="BR304" s="268">
        <f>BR267-BQ267</f>
        <v>0</v>
      </c>
      <c r="BS304" s="268">
        <f>BS267-BR267</f>
        <v>0</v>
      </c>
      <c r="BT304" s="268">
        <f>BT267-BS267</f>
        <v>0</v>
      </c>
      <c r="BU304" s="268">
        <f>SUM(BQ304:BT304)</f>
        <v>0</v>
      </c>
      <c r="BV304" s="268">
        <f>BV267-BU267</f>
        <v>0</v>
      </c>
      <c r="BW304" s="268">
        <f>BW267-BV267</f>
        <v>0</v>
      </c>
      <c r="BX304" s="268">
        <f>BX267-BW267</f>
        <v>0</v>
      </c>
      <c r="BY304" s="268">
        <f>BY267-BX267</f>
        <v>0</v>
      </c>
      <c r="BZ304" s="268">
        <f>SUM(BV304:BY304)</f>
        <v>0</v>
      </c>
      <c r="CA304" s="268">
        <f>CA267-BZ267</f>
        <v>0</v>
      </c>
      <c r="CB304" s="268">
        <f>CB267-CA267</f>
        <v>0</v>
      </c>
      <c r="CC304" s="268">
        <f>CC267-CB267</f>
        <v>0</v>
      </c>
      <c r="CD304" s="268">
        <f>CD267-CC267</f>
        <v>0</v>
      </c>
      <c r="CE304" s="268">
        <f>SUM(CA304:CD304)</f>
        <v>0</v>
      </c>
      <c r="CF304" s="268">
        <f>CF267-CE267</f>
        <v>0</v>
      </c>
      <c r="CG304" s="268">
        <f>CG267-CF267</f>
        <v>0</v>
      </c>
      <c r="CH304" s="268">
        <f>CH267-CG267</f>
        <v>0</v>
      </c>
      <c r="CI304" s="268">
        <f>CI267-CH267</f>
        <v>0</v>
      </c>
      <c r="CJ304" s="268">
        <f>SUM(CF304:CI304)</f>
        <v>0</v>
      </c>
      <c r="CK304" s="268">
        <f>CK267-CJ267</f>
        <v>0</v>
      </c>
      <c r="CL304" s="268">
        <f>CL267-CK267</f>
        <v>0</v>
      </c>
      <c r="CM304" s="268">
        <f>CM267-CL267</f>
        <v>0</v>
      </c>
      <c r="CN304" s="268">
        <f>CN267-CM267</f>
        <v>0</v>
      </c>
      <c r="CO304" s="268">
        <f>SUM(CK304:CN304)</f>
        <v>0</v>
      </c>
      <c r="CP304" s="268">
        <f>CP267-CO267</f>
        <v>0</v>
      </c>
      <c r="CQ304" s="268">
        <f>CQ267-CP267</f>
        <v>0</v>
      </c>
      <c r="CR304" s="268">
        <f>CR267-CQ267</f>
        <v>0</v>
      </c>
      <c r="CS304" s="268">
        <f>CS267-CR267</f>
        <v>0</v>
      </c>
      <c r="CT304" s="268">
        <f>SUM(CP304:CS304)</f>
        <v>0</v>
      </c>
      <c r="CU304" s="268">
        <f>CU267-CT267</f>
        <v>0</v>
      </c>
      <c r="CV304" s="268">
        <f>CV267-CU267</f>
        <v>0</v>
      </c>
      <c r="CW304" s="268">
        <f>CW267-CV267</f>
        <v>0</v>
      </c>
      <c r="CX304" s="268">
        <f>CX267-CW267</f>
        <v>0</v>
      </c>
      <c r="CY304" s="268">
        <f>SUM(CU304:CX304)</f>
        <v>0</v>
      </c>
    </row>
    <row r="305" ht="12.75" customHeight="1" s="255">
      <c r="C305" s="270" t="inlineStr">
        <is>
          <t>Comprehensive accumulated loss</t>
        </is>
      </c>
      <c r="D305" s="268" t="n"/>
      <c r="E305" s="268">
        <f>E268-D268</f>
        <v>-104</v>
      </c>
      <c r="F305" s="268">
        <f>F268-E268</f>
        <v>11</v>
      </c>
      <c r="G305" s="268">
        <f>G268-F268</f>
        <v>258</v>
      </c>
      <c r="H305" s="268">
        <f>SUM(D305:G305)</f>
        <v>165</v>
      </c>
      <c r="I305" s="268">
        <f>I268-H268</f>
        <v>-238</v>
      </c>
      <c r="J305" s="268">
        <f>J268-I268</f>
        <v>226</v>
      </c>
      <c r="K305" s="268">
        <f>K268-J268</f>
        <v>-178</v>
      </c>
      <c r="L305" s="268">
        <f>L268-K268</f>
        <v>-35</v>
      </c>
      <c r="M305" s="268">
        <f>SUM(I305:L305)</f>
        <v>-225</v>
      </c>
      <c r="N305" s="268">
        <f>N268-M268</f>
        <v>258</v>
      </c>
      <c r="O305" s="268">
        <f>O268-N268</f>
        <v>-223</v>
      </c>
      <c r="P305" s="268">
        <f>P268-O268</f>
        <v>-175</v>
      </c>
      <c r="Q305" s="268">
        <f>Q268-P268</f>
        <v>240</v>
      </c>
      <c r="R305" s="268">
        <f>SUM(N305:Q305)</f>
        <v>100</v>
      </c>
      <c r="S305" s="268">
        <f>S268-R268</f>
        <v>200</v>
      </c>
      <c r="T305" s="268">
        <f>T268-S268</f>
        <v>80</v>
      </c>
      <c r="U305" s="268">
        <f>U268-T268</f>
        <v>-133</v>
      </c>
      <c r="V305" s="268">
        <f>V268-U268</f>
        <v>170</v>
      </c>
      <c r="W305" s="268">
        <f>SUM(S305:V305)</f>
        <v>317</v>
      </c>
      <c r="X305" s="268">
        <f>X268-W268</f>
        <v>-140</v>
      </c>
      <c r="Y305" s="268">
        <f>Y268-X268</f>
        <v>-252</v>
      </c>
      <c r="Z305" s="268">
        <f>Z268-Y268</f>
        <v>92</v>
      </c>
      <c r="AA305" s="268">
        <f>AA268-Z268</f>
        <v>-348</v>
      </c>
      <c r="AB305" s="268">
        <f>SUM(X305:AA305)</f>
        <v>-648</v>
      </c>
      <c r="AC305" s="268">
        <f>AC268-AB268</f>
        <v>266</v>
      </c>
      <c r="AD305" s="268">
        <f>AD268-AC268</f>
        <v>313</v>
      </c>
      <c r="AE305" s="268">
        <f>AE268-AD268</f>
        <v>16</v>
      </c>
      <c r="AF305" s="268">
        <f>AF268-AE268</f>
        <v>23</v>
      </c>
      <c r="AG305" s="268">
        <f>SUM(AC305:AF305)</f>
        <v>618</v>
      </c>
      <c r="AH305" s="268">
        <f>AH268-AG268</f>
        <v>67</v>
      </c>
      <c r="AI305" s="268">
        <f>AI268-AH268</f>
        <v>3</v>
      </c>
      <c r="AJ305" s="268">
        <f>AJ268-AI268</f>
        <v>0</v>
      </c>
      <c r="AK305" s="268">
        <f>AK268-AJ268</f>
        <v>0</v>
      </c>
      <c r="AL305" s="268">
        <f>SUM(AH305:AK305)</f>
        <v>70</v>
      </c>
      <c r="AM305" s="268">
        <f>AM268-AL268</f>
        <v>0</v>
      </c>
      <c r="AN305" s="268">
        <f>AN268-AM268</f>
        <v>0</v>
      </c>
      <c r="AO305" s="268">
        <f>AO268-AN268</f>
        <v>0</v>
      </c>
      <c r="AP305" s="268">
        <f>AP268-AO268</f>
        <v>0</v>
      </c>
      <c r="AQ305" s="268">
        <f>SUM(AM305:AP305)</f>
        <v>0</v>
      </c>
      <c r="AR305" s="268">
        <f>AR268-AQ268</f>
        <v>0</v>
      </c>
      <c r="AS305" s="268">
        <f>AS268-AR268</f>
        <v>0</v>
      </c>
      <c r="AT305" s="268">
        <f>AT268-AS268</f>
        <v>0</v>
      </c>
      <c r="AU305" s="268">
        <f>AU268-AT268</f>
        <v>0</v>
      </c>
      <c r="AV305" s="268">
        <f>SUM(AR305:AU305)</f>
        <v>0</v>
      </c>
      <c r="AW305" s="268">
        <f>AW268-AV268</f>
        <v>0</v>
      </c>
      <c r="AX305" s="268">
        <f>AX268-AW268</f>
        <v>0</v>
      </c>
      <c r="AY305" s="268">
        <f>AY268-AX268</f>
        <v>0</v>
      </c>
      <c r="AZ305" s="268">
        <f>AZ268-AY268</f>
        <v>0</v>
      </c>
      <c r="BA305" s="268">
        <f>SUM(AW305:AZ305)</f>
        <v>0</v>
      </c>
      <c r="BB305" s="268">
        <f>BB268-BA268</f>
        <v>0</v>
      </c>
      <c r="BC305" s="268">
        <f>BC268-BB268</f>
        <v>0</v>
      </c>
      <c r="BD305" s="268">
        <f>BD268-BC268</f>
        <v>0</v>
      </c>
      <c r="BE305" s="268">
        <f>BE268-BD268</f>
        <v>0</v>
      </c>
      <c r="BF305" s="268">
        <f>SUM(BB305:BE305)</f>
        <v>0</v>
      </c>
      <c r="BG305" s="268">
        <f>BG268-BF268</f>
        <v>0</v>
      </c>
      <c r="BH305" s="268">
        <f>BH268-BG268</f>
        <v>0</v>
      </c>
      <c r="BI305" s="268">
        <f>BI268-BH268</f>
        <v>0</v>
      </c>
      <c r="BJ305" s="268">
        <f>BJ268-BI268</f>
        <v>0</v>
      </c>
      <c r="BK305" s="268">
        <f>SUM(BG305:BJ305)</f>
        <v>0</v>
      </c>
      <c r="BL305" s="268">
        <f>BL268-BK268</f>
        <v>0</v>
      </c>
      <c r="BM305" s="268">
        <f>BM268-BL268</f>
        <v>0</v>
      </c>
      <c r="BN305" s="268">
        <f>BN268-BM268</f>
        <v>0</v>
      </c>
      <c r="BO305" s="268">
        <f>BO268-BN268</f>
        <v>0</v>
      </c>
      <c r="BP305" s="268">
        <f>SUM(BL305:BO305)</f>
        <v>0</v>
      </c>
      <c r="BQ305" s="268">
        <f>BQ268-BP268</f>
        <v>0</v>
      </c>
      <c r="BR305" s="268">
        <f>BR268-BQ268</f>
        <v>0</v>
      </c>
      <c r="BS305" s="268">
        <f>BS268-BR268</f>
        <v>0</v>
      </c>
      <c r="BT305" s="268">
        <f>BT268-BS268</f>
        <v>0</v>
      </c>
      <c r="BU305" s="268">
        <f>SUM(BQ305:BT305)</f>
        <v>0</v>
      </c>
      <c r="BV305" s="268">
        <f>BV268-BU268</f>
        <v>0</v>
      </c>
      <c r="BW305" s="268">
        <f>BW268-BV268</f>
        <v>0</v>
      </c>
      <c r="BX305" s="268">
        <f>BX268-BW268</f>
        <v>0</v>
      </c>
      <c r="BY305" s="268">
        <f>BY268-BX268</f>
        <v>0</v>
      </c>
      <c r="BZ305" s="268">
        <f>SUM(BV305:BY305)</f>
        <v>0</v>
      </c>
      <c r="CA305" s="268">
        <f>CA268-BZ268</f>
        <v>0</v>
      </c>
      <c r="CB305" s="268">
        <f>CB268-CA268</f>
        <v>0</v>
      </c>
      <c r="CC305" s="268">
        <f>CC268-CB268</f>
        <v>0</v>
      </c>
      <c r="CD305" s="268">
        <f>CD268-CC268</f>
        <v>0</v>
      </c>
      <c r="CE305" s="268">
        <f>SUM(CA305:CD305)</f>
        <v>0</v>
      </c>
      <c r="CF305" s="268">
        <f>CF268-CE268</f>
        <v>0</v>
      </c>
      <c r="CG305" s="268">
        <f>CG268-CF268</f>
        <v>0</v>
      </c>
      <c r="CH305" s="268">
        <f>CH268-CG268</f>
        <v>0</v>
      </c>
      <c r="CI305" s="268">
        <f>CI268-CH268</f>
        <v>0</v>
      </c>
      <c r="CJ305" s="268">
        <f>SUM(CF305:CI305)</f>
        <v>0</v>
      </c>
      <c r="CK305" s="268">
        <f>CK268-CJ268</f>
        <v>0</v>
      </c>
      <c r="CL305" s="268">
        <f>CL268-CK268</f>
        <v>0</v>
      </c>
      <c r="CM305" s="268">
        <f>CM268-CL268</f>
        <v>0</v>
      </c>
      <c r="CN305" s="268">
        <f>CN268-CM268</f>
        <v>0</v>
      </c>
      <c r="CO305" s="268">
        <f>SUM(CK305:CN305)</f>
        <v>0</v>
      </c>
      <c r="CP305" s="268">
        <f>CP268-CO268</f>
        <v>0</v>
      </c>
      <c r="CQ305" s="268">
        <f>CQ268-CP268</f>
        <v>0</v>
      </c>
      <c r="CR305" s="268">
        <f>CR268-CQ268</f>
        <v>0</v>
      </c>
      <c r="CS305" s="268">
        <f>CS268-CR268</f>
        <v>0</v>
      </c>
      <c r="CT305" s="268">
        <f>SUM(CP305:CS305)</f>
        <v>0</v>
      </c>
      <c r="CU305" s="268">
        <f>CU268-CT268</f>
        <v>0</v>
      </c>
      <c r="CV305" s="268">
        <f>CV268-CU268</f>
        <v>0</v>
      </c>
      <c r="CW305" s="268">
        <f>CW268-CV268</f>
        <v>0</v>
      </c>
      <c r="CX305" s="268">
        <f>CX268-CW268</f>
        <v>0</v>
      </c>
      <c r="CY305" s="268">
        <f>SUM(CU305:CX305)</f>
        <v>0</v>
      </c>
    </row>
    <row r="306" ht="12.75" customHeight="1" s="255">
      <c r="C306" s="270" t="inlineStr">
        <is>
          <t>Other equity account</t>
        </is>
      </c>
      <c r="D306" s="268" t="n"/>
      <c r="E306" s="268">
        <f>E269-D269</f>
        <v>0</v>
      </c>
      <c r="F306" s="268">
        <f>F269-E269</f>
        <v>0</v>
      </c>
      <c r="G306" s="268">
        <f>G269-F269</f>
        <v>0</v>
      </c>
      <c r="H306" s="268">
        <f>SUM(D306:G306)</f>
        <v>0</v>
      </c>
      <c r="I306" s="268">
        <f>I269-H269</f>
        <v>0</v>
      </c>
      <c r="J306" s="268">
        <f>J269-I269</f>
        <v>0</v>
      </c>
      <c r="K306" s="268">
        <f>K269-J269</f>
        <v>0</v>
      </c>
      <c r="L306" s="268">
        <f>L269-K269</f>
        <v>0</v>
      </c>
      <c r="M306" s="268">
        <f>SUM(I306:L306)</f>
        <v>0</v>
      </c>
      <c r="N306" s="268">
        <f>N269-M269</f>
        <v>-690</v>
      </c>
      <c r="O306" s="268">
        <f>O269-N269</f>
        <v>0</v>
      </c>
      <c r="P306" s="268">
        <f>P269-O269</f>
        <v>0</v>
      </c>
      <c r="Q306" s="268">
        <f>Q269-P269</f>
        <v>0</v>
      </c>
      <c r="R306" s="268">
        <f>SUM(N306:Q306)</f>
        <v>-690</v>
      </c>
      <c r="S306" s="268">
        <f>S269-R269</f>
        <v>0</v>
      </c>
      <c r="T306" s="268">
        <f>T269-S269</f>
        <v>0</v>
      </c>
      <c r="U306" s="268">
        <f>U269-T269</f>
        <v>0</v>
      </c>
      <c r="V306" s="268">
        <f>V269-U269</f>
        <v>0</v>
      </c>
      <c r="W306" s="268">
        <f>SUM(S306:V306)</f>
        <v>0</v>
      </c>
      <c r="X306" s="268">
        <f>X269-W269</f>
        <v>0</v>
      </c>
      <c r="Y306" s="268">
        <f>Y269-X269</f>
        <v>0</v>
      </c>
      <c r="Z306" s="268">
        <f>Z269-Y269</f>
        <v>0</v>
      </c>
      <c r="AA306" s="268">
        <f>AA269-Z269</f>
        <v>0</v>
      </c>
      <c r="AB306" s="268">
        <f>SUM(X306:AA306)</f>
        <v>0</v>
      </c>
      <c r="AC306" s="268">
        <f>AC269-AB269</f>
        <v>0</v>
      </c>
      <c r="AD306" s="268">
        <f>AD269-AC269</f>
        <v>0</v>
      </c>
      <c r="AE306" s="268">
        <f>AE269-AD269</f>
        <v>0</v>
      </c>
      <c r="AF306" s="268">
        <f>AF269-AE269</f>
        <v>0</v>
      </c>
      <c r="AG306" s="268">
        <f>SUM(AC306:AF306)</f>
        <v>0</v>
      </c>
      <c r="AH306" s="268">
        <f>AH269-AG269</f>
        <v>0</v>
      </c>
      <c r="AI306" s="268">
        <f>AI269-AH269</f>
        <v>0</v>
      </c>
      <c r="AJ306" s="268">
        <f>AJ269-AI269</f>
        <v>0</v>
      </c>
      <c r="AK306" s="268">
        <f>AK269-AJ269</f>
        <v>0</v>
      </c>
      <c r="AL306" s="268">
        <f>SUM(AH306:AK306)</f>
        <v>0</v>
      </c>
      <c r="AM306" s="268">
        <f>AM269-AL269</f>
        <v>0</v>
      </c>
      <c r="AN306" s="268">
        <f>AN269-AM269</f>
        <v>0</v>
      </c>
      <c r="AO306" s="268">
        <f>AO269-AN269</f>
        <v>0</v>
      </c>
      <c r="AP306" s="268">
        <f>AP269-AO269</f>
        <v>0</v>
      </c>
      <c r="AQ306" s="268">
        <f>SUM(AM306:AP306)</f>
        <v>0</v>
      </c>
      <c r="AR306" s="268">
        <f>AR269-AQ269</f>
        <v>0</v>
      </c>
      <c r="AS306" s="268">
        <f>AS269-AR269</f>
        <v>0</v>
      </c>
      <c r="AT306" s="268">
        <f>AT269-AS269</f>
        <v>0</v>
      </c>
      <c r="AU306" s="268">
        <f>AU269-AT269</f>
        <v>0</v>
      </c>
      <c r="AV306" s="268">
        <f>SUM(AR306:AU306)</f>
        <v>0</v>
      </c>
      <c r="AW306" s="268">
        <f>AW269-AV269</f>
        <v>0</v>
      </c>
      <c r="AX306" s="268">
        <f>AX269-AW269</f>
        <v>0</v>
      </c>
      <c r="AY306" s="268">
        <f>AY269-AX269</f>
        <v>0</v>
      </c>
      <c r="AZ306" s="268">
        <f>AZ269-AY269</f>
        <v>0</v>
      </c>
      <c r="BA306" s="268">
        <f>SUM(AW306:AZ306)</f>
        <v>0</v>
      </c>
      <c r="BB306" s="268">
        <f>BB269-BA269</f>
        <v>0</v>
      </c>
      <c r="BC306" s="268">
        <f>BC269-BB269</f>
        <v>0</v>
      </c>
      <c r="BD306" s="268">
        <f>BD269-BC269</f>
        <v>0</v>
      </c>
      <c r="BE306" s="268">
        <f>BE269-BD269</f>
        <v>0</v>
      </c>
      <c r="BF306" s="268">
        <f>SUM(BB306:BE306)</f>
        <v>0</v>
      </c>
      <c r="BG306" s="268">
        <f>BG269-BF269</f>
        <v>0</v>
      </c>
      <c r="BH306" s="268">
        <f>BH269-BG269</f>
        <v>0</v>
      </c>
      <c r="BI306" s="268">
        <f>BI269-BH269</f>
        <v>0</v>
      </c>
      <c r="BJ306" s="268">
        <f>BJ269-BI269</f>
        <v>0</v>
      </c>
      <c r="BK306" s="268">
        <f>SUM(BG306:BJ306)</f>
        <v>0</v>
      </c>
      <c r="BL306" s="268">
        <f>BL269-BK269</f>
        <v>0</v>
      </c>
      <c r="BM306" s="268">
        <f>BM269-BL269</f>
        <v>0</v>
      </c>
      <c r="BN306" s="268">
        <f>BN269-BM269</f>
        <v>0</v>
      </c>
      <c r="BO306" s="268">
        <f>BO269-BN269</f>
        <v>0</v>
      </c>
      <c r="BP306" s="268">
        <f>SUM(BL306:BO306)</f>
        <v>0</v>
      </c>
      <c r="BQ306" s="268">
        <f>BQ269-BP269</f>
        <v>0</v>
      </c>
      <c r="BR306" s="268">
        <f>BR269-BQ269</f>
        <v>0</v>
      </c>
      <c r="BS306" s="268">
        <f>BS269-BR269</f>
        <v>0</v>
      </c>
      <c r="BT306" s="268">
        <f>BT269-BS269</f>
        <v>0</v>
      </c>
      <c r="BU306" s="268">
        <f>SUM(BQ306:BT306)</f>
        <v>0</v>
      </c>
      <c r="BV306" s="268">
        <f>BV269-BU269</f>
        <v>0</v>
      </c>
      <c r="BW306" s="268">
        <f>BW269-BV269</f>
        <v>0</v>
      </c>
      <c r="BX306" s="268">
        <f>BX269-BW269</f>
        <v>0</v>
      </c>
      <c r="BY306" s="268">
        <f>BY269-BX269</f>
        <v>0</v>
      </c>
      <c r="BZ306" s="268">
        <f>SUM(BV306:BY306)</f>
        <v>0</v>
      </c>
      <c r="CA306" s="268">
        <f>CA269-BZ269</f>
        <v>0</v>
      </c>
      <c r="CB306" s="268">
        <f>CB269-CA269</f>
        <v>0</v>
      </c>
      <c r="CC306" s="268">
        <f>CC269-CB269</f>
        <v>0</v>
      </c>
      <c r="CD306" s="268">
        <f>CD269-CC269</f>
        <v>0</v>
      </c>
      <c r="CE306" s="268">
        <f>SUM(CA306:CD306)</f>
        <v>0</v>
      </c>
      <c r="CF306" s="268">
        <f>CF269-CE269</f>
        <v>0</v>
      </c>
      <c r="CG306" s="268">
        <f>CG269-CF269</f>
        <v>0</v>
      </c>
      <c r="CH306" s="268">
        <f>CH269-CG269</f>
        <v>0</v>
      </c>
      <c r="CI306" s="268">
        <f>CI269-CH269</f>
        <v>0</v>
      </c>
      <c r="CJ306" s="268">
        <f>SUM(CF306:CI306)</f>
        <v>0</v>
      </c>
      <c r="CK306" s="268">
        <f>CK269-CJ269</f>
        <v>0</v>
      </c>
      <c r="CL306" s="268">
        <f>CL269-CK269</f>
        <v>0</v>
      </c>
      <c r="CM306" s="268">
        <f>CM269-CL269</f>
        <v>0</v>
      </c>
      <c r="CN306" s="268">
        <f>CN269-CM269</f>
        <v>0</v>
      </c>
      <c r="CO306" s="268">
        <f>SUM(CK306:CN306)</f>
        <v>0</v>
      </c>
      <c r="CP306" s="268">
        <f>CP269-CO269</f>
        <v>0</v>
      </c>
      <c r="CQ306" s="268">
        <f>CQ269-CP269</f>
        <v>0</v>
      </c>
      <c r="CR306" s="268">
        <f>CR269-CQ269</f>
        <v>0</v>
      </c>
      <c r="CS306" s="268">
        <f>CS269-CR269</f>
        <v>0</v>
      </c>
      <c r="CT306" s="268">
        <f>SUM(CP306:CS306)</f>
        <v>0</v>
      </c>
      <c r="CU306" s="268">
        <f>CU269-CT269</f>
        <v>0</v>
      </c>
      <c r="CV306" s="268">
        <f>CV269-CU269</f>
        <v>0</v>
      </c>
      <c r="CW306" s="268">
        <f>CW269-CV269</f>
        <v>0</v>
      </c>
      <c r="CX306" s="268">
        <f>CX269-CW269</f>
        <v>0</v>
      </c>
      <c r="CY306" s="268">
        <f>SUM(CU306:CX306)</f>
        <v>0</v>
      </c>
    </row>
    <row r="307" ht="12.75" customHeight="1" s="255">
      <c r="C307" s="266" t="inlineStr">
        <is>
          <t>Common and preferred dividends</t>
        </is>
      </c>
      <c r="D307" s="268" t="n"/>
      <c r="E307" s="268">
        <f>(E270-D270)-E277</f>
        <v>-93</v>
      </c>
      <c r="F307" s="268">
        <f>(F270-E270)-F277</f>
        <v>-59</v>
      </c>
      <c r="G307" s="268">
        <f>(G270-F270)-G277</f>
        <v>-99</v>
      </c>
      <c r="H307" s="268">
        <f>SUM(D307:G307)</f>
        <v>-251</v>
      </c>
      <c r="I307" s="268">
        <f>(I270-H270)-I277</f>
        <v>-85</v>
      </c>
      <c r="J307" s="268">
        <f>(J270-I270)-J277</f>
        <v>-85</v>
      </c>
      <c r="K307" s="268">
        <f>(K270-J270)-K277</f>
        <v>-82</v>
      </c>
      <c r="L307" s="268">
        <f>(L270-K270)-L277</f>
        <v>-82</v>
      </c>
      <c r="M307" s="268">
        <f>SUM(I307:L307)</f>
        <v>-334</v>
      </c>
      <c r="N307" s="268">
        <f>(N270-M270)-N277</f>
        <v>-86</v>
      </c>
      <c r="O307" s="268">
        <f>(O270-N270)-O277</f>
        <v>-95</v>
      </c>
      <c r="P307" s="268">
        <f>(P270-O270)-P277</f>
        <v>-92</v>
      </c>
      <c r="Q307" s="268">
        <f>(Q270-P270)-Q277</f>
        <v>-94</v>
      </c>
      <c r="R307" s="268">
        <f>SUM(N307:Q307)</f>
        <v>-367</v>
      </c>
      <c r="S307" s="268">
        <f>(S270-R270)-S277</f>
        <v>-97</v>
      </c>
      <c r="T307" s="268">
        <f>(T270-S270)-T277</f>
        <v>-100</v>
      </c>
      <c r="U307" s="268">
        <f>(U270-T270)-U277</f>
        <v>-97</v>
      </c>
      <c r="V307" s="268">
        <f>(V270-U270)-V277</f>
        <v>-94</v>
      </c>
      <c r="W307" s="268">
        <f>SUM(S307:V307)</f>
        <v>-388</v>
      </c>
      <c r="X307" s="268">
        <f>(X270-W270)-X277</f>
        <v>0</v>
      </c>
      <c r="Y307" s="268">
        <f>(Y270-X270)-Y277</f>
        <v>-386</v>
      </c>
      <c r="Z307" s="268">
        <f>(Z270-Y270)-Z277</f>
        <v>5</v>
      </c>
      <c r="AA307" s="268">
        <f>(AA270-Z270)-AA277</f>
        <v>5</v>
      </c>
      <c r="AB307" s="268">
        <f>SUM(X307:AA307)</f>
        <v>-376</v>
      </c>
      <c r="AC307" s="268">
        <f>(AC270-AB270)-AC277</f>
        <v>-5</v>
      </c>
      <c r="AD307" s="268">
        <f>(AD270-AC270)-AD277</f>
        <v>-377</v>
      </c>
      <c r="AE307" s="268">
        <f>(AE270-AD270)-AE277</f>
        <v>-124</v>
      </c>
      <c r="AF307" s="268">
        <f>(AF270-AE270)-AF277</f>
        <v>4</v>
      </c>
      <c r="AG307" s="268">
        <f>SUM(AC307:AF307)</f>
        <v>-502</v>
      </c>
      <c r="AH307" s="268">
        <f>(AH270-AG270)-AH277</f>
        <v>-4</v>
      </c>
      <c r="AI307" s="268">
        <f>(AI270-AH270)-AI277</f>
        <v>-555</v>
      </c>
      <c r="AJ307" s="268">
        <f>(AJ270-AI270)-AJ277</f>
        <v>0</v>
      </c>
      <c r="AK307" s="268">
        <f>(AK270-AJ270)-AK277</f>
        <v>0</v>
      </c>
      <c r="AL307" s="268">
        <f>SUM(AH307:AK307)</f>
        <v>-559</v>
      </c>
      <c r="AM307" s="268">
        <f>(AM270-AL270)-AM277</f>
        <v>0</v>
      </c>
      <c r="AN307" s="268">
        <f>(AN270-AM270)-AN277</f>
        <v>0</v>
      </c>
      <c r="AO307" s="268">
        <f>(AO270-AN270)-AO277</f>
        <v>0</v>
      </c>
      <c r="AP307" s="268">
        <f>(AP270-AO270)-AP277</f>
        <v>0</v>
      </c>
      <c r="AQ307" s="268">
        <f>SUM(AM307:AP307)</f>
        <v>0</v>
      </c>
      <c r="AR307" s="268">
        <f>(AR270-AQ270)-AR277</f>
        <v>0</v>
      </c>
      <c r="AS307" s="268">
        <f>(AS270-AR270)-AS277</f>
        <v>0</v>
      </c>
      <c r="AT307" s="268">
        <f>(AT270-AS270)-AT277</f>
        <v>0</v>
      </c>
      <c r="AU307" s="268">
        <f>(AU270-AT270)-AU277</f>
        <v>0</v>
      </c>
      <c r="AV307" s="268">
        <f>SUM(AR307:AU307)</f>
        <v>0</v>
      </c>
      <c r="AW307" s="268">
        <f>(AW270-AV270)-AW277</f>
        <v>0</v>
      </c>
      <c r="AX307" s="268">
        <f>(AX270-AW270)-AX277</f>
        <v>0</v>
      </c>
      <c r="AY307" s="268">
        <f>(AY270-AX270)-AY277</f>
        <v>0</v>
      </c>
      <c r="AZ307" s="268">
        <f>(AZ270-AY270)-AZ277</f>
        <v>0</v>
      </c>
      <c r="BA307" s="268">
        <f>SUM(AW307:AZ307)</f>
        <v>0</v>
      </c>
      <c r="BB307" s="268">
        <f>(BB270-BA270)-BB277</f>
        <v>0</v>
      </c>
      <c r="BC307" s="268">
        <f>(BC270-BB270)-BC277</f>
        <v>0</v>
      </c>
      <c r="BD307" s="268">
        <f>(BD270-BC270)-BD277</f>
        <v>0</v>
      </c>
      <c r="BE307" s="268">
        <f>(BE270-BD270)-BE277</f>
        <v>0</v>
      </c>
      <c r="BF307" s="268">
        <f>SUM(BB307:BE307)</f>
        <v>0</v>
      </c>
      <c r="BG307" s="268">
        <f>(BG270-BF270)-BG277</f>
        <v>0</v>
      </c>
      <c r="BH307" s="268">
        <f>(BH270-BG270)-BH277</f>
        <v>0</v>
      </c>
      <c r="BI307" s="268">
        <f>(BI270-BH270)-BI277</f>
        <v>0</v>
      </c>
      <c r="BJ307" s="268">
        <f>(BJ270-BI270)-BJ277</f>
        <v>0</v>
      </c>
      <c r="BK307" s="268">
        <f>SUM(BG307:BJ307)</f>
        <v>0</v>
      </c>
      <c r="BL307" s="268">
        <f>(BL270-BK270)-BL277</f>
        <v>0</v>
      </c>
      <c r="BM307" s="268">
        <f>(BM270-BL270)-BM277</f>
        <v>0</v>
      </c>
      <c r="BN307" s="268">
        <f>(BN270-BM270)-BN277</f>
        <v>0</v>
      </c>
      <c r="BO307" s="268">
        <f>(BO270-BN270)-BO277</f>
        <v>0</v>
      </c>
      <c r="BP307" s="268">
        <f>SUM(BL307:BO307)</f>
        <v>0</v>
      </c>
      <c r="BQ307" s="268">
        <f>(BQ270-BP270)-BQ277</f>
        <v>0</v>
      </c>
      <c r="BR307" s="268">
        <f>(BR270-BQ270)-BR277</f>
        <v>0</v>
      </c>
      <c r="BS307" s="268">
        <f>(BS270-BR270)-BS277</f>
        <v>0</v>
      </c>
      <c r="BT307" s="268">
        <f>(BT270-BS270)-BT277</f>
        <v>0</v>
      </c>
      <c r="BU307" s="268">
        <f>SUM(BQ307:BT307)</f>
        <v>0</v>
      </c>
      <c r="BV307" s="268">
        <f>(BV270-BU270)-BV277</f>
        <v>0</v>
      </c>
      <c r="BW307" s="268">
        <f>(BW270-BV270)-BW277</f>
        <v>0</v>
      </c>
      <c r="BX307" s="268">
        <f>(BX270-BW270)-BX277</f>
        <v>0</v>
      </c>
      <c r="BY307" s="268">
        <f>(BY270-BX270)-BY277</f>
        <v>0</v>
      </c>
      <c r="BZ307" s="268">
        <f>SUM(BV307:BY307)</f>
        <v>0</v>
      </c>
      <c r="CA307" s="268">
        <f>(CA270-BZ270)-CA277</f>
        <v>0</v>
      </c>
      <c r="CB307" s="268">
        <f>(CB270-CA270)-CB277</f>
        <v>0</v>
      </c>
      <c r="CC307" s="268">
        <f>(CC270-CB270)-CC277</f>
        <v>0</v>
      </c>
      <c r="CD307" s="268">
        <f>(CD270-CC270)-CD277</f>
        <v>0</v>
      </c>
      <c r="CE307" s="268">
        <f>SUM(CA307:CD307)</f>
        <v>0</v>
      </c>
      <c r="CF307" s="268">
        <f>(CF270-CE270)-CF277</f>
        <v>0</v>
      </c>
      <c r="CG307" s="268">
        <f>(CG270-CF270)-CG277</f>
        <v>0</v>
      </c>
      <c r="CH307" s="268">
        <f>(CH270-CG270)-CH277</f>
        <v>0</v>
      </c>
      <c r="CI307" s="268">
        <f>(CI270-CH270)-CI277</f>
        <v>0</v>
      </c>
      <c r="CJ307" s="268">
        <f>SUM(CF307:CI307)</f>
        <v>0</v>
      </c>
      <c r="CK307" s="268">
        <f>(CK270-CJ270)-CK277</f>
        <v>0</v>
      </c>
      <c r="CL307" s="268">
        <f>(CL270-CK270)-CL277</f>
        <v>0</v>
      </c>
      <c r="CM307" s="268">
        <f>(CM270-CL270)-CM277</f>
        <v>0</v>
      </c>
      <c r="CN307" s="268">
        <f>(CN270-CM270)-CN277</f>
        <v>0</v>
      </c>
      <c r="CO307" s="268">
        <f>SUM(CK307:CN307)</f>
        <v>0</v>
      </c>
      <c r="CP307" s="268">
        <f>(CP270-CO270)-CP277</f>
        <v>0</v>
      </c>
      <c r="CQ307" s="268">
        <f>(CQ270-CP270)-CQ277</f>
        <v>0</v>
      </c>
      <c r="CR307" s="268">
        <f>(CR270-CQ270)-CR277</f>
        <v>0</v>
      </c>
      <c r="CS307" s="268">
        <f>(CS270-CR270)-CS277</f>
        <v>0</v>
      </c>
      <c r="CT307" s="268">
        <f>SUM(CP307:CS307)</f>
        <v>0</v>
      </c>
      <c r="CU307" s="268">
        <f>(CU270-CT270)-CU277</f>
        <v>0</v>
      </c>
      <c r="CV307" s="268">
        <f>(CV270-CU270)-CV277</f>
        <v>0</v>
      </c>
      <c r="CW307" s="268">
        <f>(CW270-CV270)-CW277</f>
        <v>0</v>
      </c>
      <c r="CX307" s="268">
        <f>(CX270-CW270)-CX277</f>
        <v>0</v>
      </c>
      <c r="CY307" s="268">
        <f>SUM(CU307:CX307)</f>
        <v>0</v>
      </c>
    </row>
    <row r="308" ht="12.75" customHeight="1" s="255">
      <c r="C308" s="270" t="inlineStr">
        <is>
          <t>Dividends to minority interests</t>
        </is>
      </c>
      <c r="D308" s="268" t="n"/>
      <c r="E308" s="268">
        <f>(E248-D248)+E136</f>
        <v>3</v>
      </c>
      <c r="F308" s="268">
        <f>(F248-E248)+F136</f>
        <v>9</v>
      </c>
      <c r="G308" s="268">
        <f>(G248-F248)+G136</f>
        <v>6</v>
      </c>
      <c r="H308" s="268">
        <f>SUM(D308:G308)</f>
        <v>18</v>
      </c>
      <c r="I308" s="268">
        <f>(I248-H248)+I136</f>
        <v>-20</v>
      </c>
      <c r="J308" s="268">
        <f>(J248-I248)+J136</f>
        <v>6</v>
      </c>
      <c r="K308" s="268">
        <f>(K248-J248)+K136</f>
        <v>-87</v>
      </c>
      <c r="L308" s="268">
        <f>(L248-K248)+L136</f>
        <v>-3</v>
      </c>
      <c r="M308" s="268">
        <f>SUM(I308:L308)</f>
        <v>-104</v>
      </c>
      <c r="N308" s="268">
        <f>(N248-M248)+N136</f>
        <v>-15</v>
      </c>
      <c r="O308" s="268">
        <f>(O248-N248)+O136</f>
        <v>259</v>
      </c>
      <c r="P308" s="268">
        <f>(P248-O248)+P136</f>
        <v>-143</v>
      </c>
      <c r="Q308" s="268">
        <f>(Q248-P248)+Q136</f>
        <v>30</v>
      </c>
      <c r="R308" s="268">
        <f>SUM(N308:Q308)</f>
        <v>131</v>
      </c>
      <c r="S308" s="268">
        <f>(S248-R248)+S136</f>
        <v>5</v>
      </c>
      <c r="T308" s="268">
        <f>(T248-S248)+T136</f>
        <v>12</v>
      </c>
      <c r="U308" s="268">
        <f>(U248-T248)+U136</f>
        <v>92</v>
      </c>
      <c r="V308" s="268">
        <f>(V248-U248)+V136</f>
        <v>25</v>
      </c>
      <c r="W308" s="268">
        <f>SUM(S308:V308)</f>
        <v>134</v>
      </c>
      <c r="X308" s="268">
        <f>(X248-W248)+X136</f>
        <v>6</v>
      </c>
      <c r="Y308" s="268">
        <f>(Y248-X248)+Y136</f>
        <v>2</v>
      </c>
      <c r="Z308" s="268">
        <f>(Z248-Y248)+Z136</f>
        <v>28</v>
      </c>
      <c r="AA308" s="268">
        <f>(AA248-Z248)+AA136</f>
        <v>-15</v>
      </c>
      <c r="AB308" s="268">
        <f>SUM(X308:AA308)</f>
        <v>21</v>
      </c>
      <c r="AC308" s="268">
        <f>(AC248-AB248)+AC136</f>
        <v>-24</v>
      </c>
      <c r="AD308" s="268">
        <f>(AD248-AC248)+AD136</f>
        <v>42</v>
      </c>
      <c r="AE308" s="268">
        <f>(AE248-AD248)+AE136</f>
        <v>435</v>
      </c>
      <c r="AF308" s="268">
        <f>(AF248-AE248)+AF136</f>
        <v>2</v>
      </c>
      <c r="AG308" s="268">
        <f>SUM(AC308:AF308)</f>
        <v>455</v>
      </c>
      <c r="AH308" s="268">
        <f>(AH248-AG248)+AH136</f>
        <v>-93</v>
      </c>
      <c r="AI308" s="268">
        <f>(AI248-AH248)+AI136</f>
        <v>-4</v>
      </c>
      <c r="AJ308" s="268">
        <f>(AJ248-AI248)+AJ136</f>
        <v>0</v>
      </c>
      <c r="AK308" s="268">
        <f>(AK248-AJ248)+AK136</f>
        <v>0</v>
      </c>
      <c r="AL308" s="268">
        <f>SUM(AH308:AK308)</f>
        <v>-97</v>
      </c>
      <c r="AM308" s="268">
        <f>(AM248-AL248)+AM136</f>
        <v>0</v>
      </c>
      <c r="AN308" s="268">
        <f>(AN248-AM248)+AN136</f>
        <v>0</v>
      </c>
      <c r="AO308" s="268">
        <f>(AO248-AN248)+AO136</f>
        <v>0</v>
      </c>
      <c r="AP308" s="268">
        <f>(AP248-AO248)+AP136</f>
        <v>0</v>
      </c>
      <c r="AQ308" s="268">
        <f>SUM(AM308:AP308)</f>
        <v>0</v>
      </c>
      <c r="AR308" s="268">
        <f>(AR248-AQ248)+AR136</f>
        <v>0</v>
      </c>
      <c r="AS308" s="268">
        <f>(AS248-AR248)+AS136</f>
        <v>0</v>
      </c>
      <c r="AT308" s="268">
        <f>(AT248-AS248)+AT136</f>
        <v>0</v>
      </c>
      <c r="AU308" s="268">
        <f>(AU248-AT248)+AU136</f>
        <v>0</v>
      </c>
      <c r="AV308" s="268">
        <f>SUM(AR308:AU308)</f>
        <v>0</v>
      </c>
      <c r="AW308" s="268">
        <f>(AW248-AV248)+AW136</f>
        <v>0</v>
      </c>
      <c r="AX308" s="268">
        <f>(AX248-AW248)+AX136</f>
        <v>0</v>
      </c>
      <c r="AY308" s="268">
        <f>(AY248-AX248)+AY136</f>
        <v>0</v>
      </c>
      <c r="AZ308" s="268">
        <f>(AZ248-AY248)+AZ136</f>
        <v>0</v>
      </c>
      <c r="BA308" s="268">
        <f>SUM(AW308:AZ308)</f>
        <v>0</v>
      </c>
      <c r="BB308" s="268">
        <f>(BB248-BA248)+BB136</f>
        <v>0</v>
      </c>
      <c r="BC308" s="268">
        <f>(BC248-BB248)+BC136</f>
        <v>0</v>
      </c>
      <c r="BD308" s="268">
        <f>(BD248-BC248)+BD136</f>
        <v>0</v>
      </c>
      <c r="BE308" s="268">
        <f>(BE248-BD248)+BE136</f>
        <v>0</v>
      </c>
      <c r="BF308" s="268">
        <f>SUM(BB308:BE308)</f>
        <v>0</v>
      </c>
      <c r="BG308" s="268">
        <f>(BG248-BF248)+BG136</f>
        <v>0</v>
      </c>
      <c r="BH308" s="268">
        <f>(BH248-BG248)+BH136</f>
        <v>0</v>
      </c>
      <c r="BI308" s="268">
        <f>(BI248-BH248)+BI136</f>
        <v>0</v>
      </c>
      <c r="BJ308" s="268">
        <f>(BJ248-BI248)+BJ136</f>
        <v>0</v>
      </c>
      <c r="BK308" s="268">
        <f>SUM(BG308:BJ308)</f>
        <v>0</v>
      </c>
      <c r="BL308" s="268">
        <f>(BL248-BK248)+BL136</f>
        <v>0</v>
      </c>
      <c r="BM308" s="268">
        <f>(BM248-BL248)+BM136</f>
        <v>0</v>
      </c>
      <c r="BN308" s="268">
        <f>(BN248-BM248)+BN136</f>
        <v>0</v>
      </c>
      <c r="BO308" s="268">
        <f>(BO248-BN248)+BO136</f>
        <v>0</v>
      </c>
      <c r="BP308" s="268">
        <f>SUM(BL308:BO308)</f>
        <v>0</v>
      </c>
      <c r="BQ308" s="268">
        <f>(BQ248-BP248)+BQ136</f>
        <v>0</v>
      </c>
      <c r="BR308" s="268">
        <f>(BR248-BQ248)+BR136</f>
        <v>0</v>
      </c>
      <c r="BS308" s="268">
        <f>(BS248-BR248)+BS136</f>
        <v>0</v>
      </c>
      <c r="BT308" s="268">
        <f>(BT248-BS248)+BT136</f>
        <v>0</v>
      </c>
      <c r="BU308" s="268">
        <f>SUM(BQ308:BT308)</f>
        <v>0</v>
      </c>
      <c r="BV308" s="268">
        <f>(BV248-BU248)+BV136</f>
        <v>0</v>
      </c>
      <c r="BW308" s="268">
        <f>(BW248-BV248)+BW136</f>
        <v>0</v>
      </c>
      <c r="BX308" s="268">
        <f>(BX248-BW248)+BX136</f>
        <v>0</v>
      </c>
      <c r="BY308" s="268">
        <f>(BY248-BX248)+BY136</f>
        <v>0</v>
      </c>
      <c r="BZ308" s="268">
        <f>SUM(BV308:BY308)</f>
        <v>0</v>
      </c>
      <c r="CA308" s="268">
        <f>(CA248-BZ248)+CA136</f>
        <v>0</v>
      </c>
      <c r="CB308" s="268">
        <f>(CB248-CA248)+CB136</f>
        <v>0</v>
      </c>
      <c r="CC308" s="268">
        <f>(CC248-CB248)+CC136</f>
        <v>0</v>
      </c>
      <c r="CD308" s="268">
        <f>(CD248-CC248)+CD136</f>
        <v>0</v>
      </c>
      <c r="CE308" s="268">
        <f>SUM(CA308:CD308)</f>
        <v>0</v>
      </c>
      <c r="CF308" s="268">
        <f>(CF248-CE248)+CF136</f>
        <v>0</v>
      </c>
      <c r="CG308" s="268">
        <f>(CG248-CF248)+CG136</f>
        <v>0</v>
      </c>
      <c r="CH308" s="268">
        <f>(CH248-CG248)+CH136</f>
        <v>0</v>
      </c>
      <c r="CI308" s="268">
        <f>(CI248-CH248)+CI136</f>
        <v>0</v>
      </c>
      <c r="CJ308" s="268">
        <f>SUM(CF308:CI308)</f>
        <v>0</v>
      </c>
      <c r="CK308" s="268">
        <f>(CK248-CJ248)+CK136</f>
        <v>0</v>
      </c>
      <c r="CL308" s="268">
        <f>(CL248-CK248)+CL136</f>
        <v>0</v>
      </c>
      <c r="CM308" s="268">
        <f>(CM248-CL248)+CM136</f>
        <v>0</v>
      </c>
      <c r="CN308" s="268">
        <f>(CN248-CM248)+CN136</f>
        <v>0</v>
      </c>
      <c r="CO308" s="268">
        <f>SUM(CK308:CN308)</f>
        <v>0</v>
      </c>
      <c r="CP308" s="268">
        <f>(CP248-CO248)+CP136</f>
        <v>0</v>
      </c>
      <c r="CQ308" s="268">
        <f>(CQ248-CP248)+CQ136</f>
        <v>0</v>
      </c>
      <c r="CR308" s="268">
        <f>(CR248-CQ248)+CR136</f>
        <v>0</v>
      </c>
      <c r="CS308" s="268">
        <f>(CS248-CR248)+CS136</f>
        <v>0</v>
      </c>
      <c r="CT308" s="268">
        <f>SUM(CP308:CS308)</f>
        <v>0</v>
      </c>
      <c r="CU308" s="268">
        <f>(CU248-CT248)+CU136</f>
        <v>0</v>
      </c>
      <c r="CV308" s="268">
        <f>(CV248-CU248)+CV136</f>
        <v>0</v>
      </c>
      <c r="CW308" s="268">
        <f>(CW248-CV248)+CW136</f>
        <v>0</v>
      </c>
      <c r="CX308" s="268">
        <f>(CX248-CW248)+CX136</f>
        <v>0</v>
      </c>
      <c r="CY308" s="268">
        <f>SUM(CU308:CX308)</f>
        <v>0</v>
      </c>
    </row>
    <row r="309" ht="12.75" customHeight="1" s="255">
      <c r="C309" s="271" t="inlineStr">
        <is>
          <t>Increases / (decreases) in debt</t>
        </is>
      </c>
      <c r="D309" s="268" t="n"/>
      <c r="E309" s="268">
        <f>SUM(E212:E214,E217,E238,E235)-SUM(D212:D214,D217,D238,D235)</f>
        <v>1051</v>
      </c>
      <c r="F309" s="268">
        <f>SUM(F212:F214,F217,F238,F235)-SUM(E212:E214,E217,E238,E235)</f>
        <v>595</v>
      </c>
      <c r="G309" s="268">
        <f>SUM(G212:G214,G217,G238,G235)-SUM(F212:F214,F217,F238,F235)</f>
        <v>749</v>
      </c>
      <c r="H309" s="268">
        <f>SUM(D309:G309)</f>
        <v>2395</v>
      </c>
      <c r="I309" s="268">
        <f>SUM(I212:I214,I217,I238,I235)-SUM(H212:H214,H217,H238,H235)</f>
        <v>-251</v>
      </c>
      <c r="J309" s="268">
        <f>SUM(J212:J214,J217,J238,J235)-SUM(I212:I214,I217,I238,I235)</f>
        <v>144</v>
      </c>
      <c r="K309" s="268">
        <f>SUM(K212:K214,K217,K238,K235)-SUM(J212:J214,J217,J238,J235)</f>
        <v>-668</v>
      </c>
      <c r="L309" s="268">
        <f>SUM(L212:L214,L217,L238,L235)-SUM(K212:K214,K217,K238,K235)</f>
        <v>-509</v>
      </c>
      <c r="M309" s="268">
        <f>SUM(I309:L309)</f>
        <v>-1284</v>
      </c>
      <c r="N309" s="268">
        <f>SUM(N212:N214,N217,N238,N235)-SUM(M212:M214,M217,M238,M235)</f>
        <v>596</v>
      </c>
      <c r="O309" s="268">
        <f>SUM(O212:O214,O217,O238,O235)-SUM(N212:N214,N217,N238,N235)</f>
        <v>84</v>
      </c>
      <c r="P309" s="268">
        <f>SUM(P212:P214,P217,P238,P235)-SUM(O212:O214,O217,O238,O235)</f>
        <v>-1365</v>
      </c>
      <c r="Q309" s="268">
        <f>SUM(Q212:Q214,Q217,Q238,Q235)-SUM(P212:P214,P217,P238,P235)</f>
        <v>-512</v>
      </c>
      <c r="R309" s="268">
        <f>SUM(N309:Q309)</f>
        <v>-1197</v>
      </c>
      <c r="S309" s="268">
        <f>SUM(S212:S214,S217,S238,S235)-SUM(R212:R214,R217,R238,R235)</f>
        <v>995</v>
      </c>
      <c r="T309" s="268">
        <f>SUM(T212:T214,T217,T238,T235)-SUM(S212:S214,S217,S238,S235)</f>
        <v>-770</v>
      </c>
      <c r="U309" s="268">
        <f>SUM(U212:U214,U217,U238,U235)-SUM(T212:T214,T217,T238,T235)</f>
        <v>146</v>
      </c>
      <c r="V309" s="268">
        <f>SUM(V212:V214,V217,V238,V235)-SUM(U212:U214,U217,U238,U235)</f>
        <v>-238</v>
      </c>
      <c r="W309" s="268">
        <f>SUM(S309:V309)</f>
        <v>133</v>
      </c>
      <c r="X309" s="268">
        <f>SUM(X212:X214,X217,X238,X235)-SUM(W212:W214,W217,W238,W235)</f>
        <v>211</v>
      </c>
      <c r="Y309" s="268">
        <f>SUM(Y212:Y214,Y217,Y238,Y235)-SUM(X212:X214,X217,X238,X235)</f>
        <v>-50</v>
      </c>
      <c r="Z309" s="268">
        <f>SUM(Z212:Z214,Z217,Z238,Z235)-SUM(Y212:Y214,Y217,Y238,Y235)</f>
        <v>1161</v>
      </c>
      <c r="AA309" s="268">
        <f>SUM(AA212:AA214,AA217,AA238,AA235)-SUM(Z212:Z214,Z217,Z238,Z235)</f>
        <v>41</v>
      </c>
      <c r="AB309" s="268">
        <f>SUM(X309:AA309)</f>
        <v>1363</v>
      </c>
      <c r="AC309" s="268">
        <f>SUM(AC212:AC214,AC217,AC238,AC235)-SUM(AB212:AB214,AB217,AB238,AB235)</f>
        <v>542</v>
      </c>
      <c r="AD309" s="268">
        <f>SUM(AD212:AD214,AD217,AD238,AD235)-SUM(AC212:AC214,AC217,AC238,AC235)</f>
        <v>4552</v>
      </c>
      <c r="AE309" s="268">
        <f>SUM(AE212:AE214,AE217,AE238,AE235)-SUM(AD212:AD214,AD217,AD238,AD235)</f>
        <v>5019</v>
      </c>
      <c r="AF309" s="268">
        <f>SUM(AF212:AF214,AF217,AF238,AF235)-SUM(AE212:AE214,AE217,AE238,AE235)</f>
        <v>-1585</v>
      </c>
      <c r="AG309" s="268">
        <f>SUM(AC309:AF309)</f>
        <v>8528</v>
      </c>
      <c r="AH309" s="268">
        <f>SUM(AH212:AH214,AH217,AH238,AH235)-SUM(AG212:AG214,AG217,AG238,AG235)</f>
        <v>542</v>
      </c>
      <c r="AI309" s="268">
        <f>SUM(AI212:AI214,AI217,AI238,AI235)-SUM(AH212:AH214,AH217,AH238,AH235)</f>
        <v>623</v>
      </c>
      <c r="AJ309" s="268">
        <f>SUM(AJ212:AJ214,AJ217,AJ238,AJ235)-SUM(AI212:AI214,AI217,AI238,AI235)</f>
        <v>0</v>
      </c>
      <c r="AK309" s="268">
        <f>SUM(AK212:AK214,AK217,AK238,AK235)-SUM(AJ212:AJ214,AJ217,AJ238,AJ235)</f>
        <v>0</v>
      </c>
      <c r="AL309" s="268">
        <f>SUM(AH309:AK309)</f>
        <v>1165</v>
      </c>
      <c r="AM309" s="268">
        <f>SUM(AM212:AM214,AM217,AM238,AM235)-SUM(AL212:AL214,AL217,AL238,AL235)</f>
        <v>0</v>
      </c>
      <c r="AN309" s="268">
        <f>SUM(AN212:AN214,AN217,AN238,AN235)-SUM(AM212:AM214,AM217,AM238,AM235)</f>
        <v>0</v>
      </c>
      <c r="AO309" s="268">
        <f>SUM(AO212:AO214,AO217,AO238,AO235)-SUM(AN212:AN214,AN217,AN238,AN235)</f>
        <v>0</v>
      </c>
      <c r="AP309" s="268">
        <f>SUM(AP212:AP214,AP217,AP238,AP235)-SUM(AO212:AO214,AO217,AO238,AO235)</f>
        <v>0</v>
      </c>
      <c r="AQ309" s="268">
        <f>SUM(AM309:AP309)</f>
        <v>0</v>
      </c>
      <c r="AR309" s="268">
        <f>SUM(AR212:AR214,AR217,AR238,AR235)-SUM(AQ212:AQ214,AQ217,AQ238,AQ235)</f>
        <v>0</v>
      </c>
      <c r="AS309" s="268">
        <f>SUM(AS212:AS214,AS217,AS238,AS235)-SUM(AR212:AR214,AR217,AR238,AR235)</f>
        <v>0</v>
      </c>
      <c r="AT309" s="268">
        <f>SUM(AT212:AT214,AT217,AT238,AT235)-SUM(AS212:AS214,AS217,AS238,AS235)</f>
        <v>0</v>
      </c>
      <c r="AU309" s="268">
        <f>SUM(AU212:AU214,AU217,AU238,AU235)-SUM(AT212:AT214,AT217,AT238,AT235)</f>
        <v>0</v>
      </c>
      <c r="AV309" s="268">
        <f>SUM(AR309:AU309)</f>
        <v>0</v>
      </c>
      <c r="AW309" s="268">
        <f>SUM(AW212:AW214,AW217,AW238,AW235)-SUM(AV212:AV214,AV217,AV238,AV235)</f>
        <v>0</v>
      </c>
      <c r="AX309" s="268">
        <f>SUM(AX212:AX214,AX217,AX238,AX235)-SUM(AW212:AW214,AW217,AW238,AW235)</f>
        <v>0</v>
      </c>
      <c r="AY309" s="268">
        <f>SUM(AY212:AY214,AY217,AY238,AY235)-SUM(AX212:AX214,AX217,AX238,AX235)</f>
        <v>0</v>
      </c>
      <c r="AZ309" s="268">
        <f>SUM(AZ212:AZ214,AZ217,AZ238,AZ235)-SUM(AY212:AY214,AY217,AY238,AY235)</f>
        <v>0</v>
      </c>
      <c r="BA309" s="268">
        <f>SUM(AW309:AZ309)</f>
        <v>0</v>
      </c>
      <c r="BB309" s="268">
        <f>SUM(BB212:BB214,BB217,BB238,BB235)-SUM(BA212:BA214,BA217,BA238,BA235)</f>
        <v>0</v>
      </c>
      <c r="BC309" s="268">
        <f>SUM(BC212:BC214,BC217,BC238,BC235)-SUM(BB212:BB214,BB217,BB238,BB235)</f>
        <v>0</v>
      </c>
      <c r="BD309" s="268">
        <f>SUM(BD212:BD214,BD217,BD238,BD235)-SUM(BC212:BC214,BC217,BC238,BC235)</f>
        <v>0</v>
      </c>
      <c r="BE309" s="268">
        <f>SUM(BE212:BE214,BE217,BE238,BE235)-SUM(BD212:BD214,BD217,BD238,BD235)</f>
        <v>0</v>
      </c>
      <c r="BF309" s="268">
        <f>SUM(BB309:BE309)</f>
        <v>0</v>
      </c>
      <c r="BG309" s="268">
        <f>SUM(BG212:BG214,BG217,BG238,BG235)-SUM(BF212:BF214,BF217,BF238,BF235)</f>
        <v>0</v>
      </c>
      <c r="BH309" s="268">
        <f>SUM(BH212:BH214,BH217,BH238,BH235)-SUM(BG212:BG214,BG217,BG238,BG235)</f>
        <v>0</v>
      </c>
      <c r="BI309" s="268">
        <f>SUM(BI212:BI214,BI217,BI238,BI235)-SUM(BH212:BH214,BH217,BH238,BH235)</f>
        <v>0</v>
      </c>
      <c r="BJ309" s="268">
        <f>SUM(BJ212:BJ214,BJ217,BJ238,BJ235)-SUM(BI212:BI214,BI217,BI238,BI235)</f>
        <v>0</v>
      </c>
      <c r="BK309" s="268">
        <f>SUM(BG309:BJ309)</f>
        <v>0</v>
      </c>
      <c r="BL309" s="268">
        <f>SUM(BL212:BL214,BL217,BL238,BL235)-SUM(BK212:BK214,BK217,BK238,BK235)</f>
        <v>0</v>
      </c>
      <c r="BM309" s="268">
        <f>SUM(BM212:BM214,BM217,BM238,BM235)-SUM(BL212:BL214,BL217,BL238,BL235)</f>
        <v>0</v>
      </c>
      <c r="BN309" s="268">
        <f>SUM(BN212:BN214,BN217,BN238,BN235)-SUM(BM212:BM214,BM217,BM238,BM235)</f>
        <v>0</v>
      </c>
      <c r="BO309" s="268">
        <f>SUM(BO212:BO214,BO217,BO238,BO235)-SUM(BN212:BN214,BN217,BN238,BN235)</f>
        <v>0</v>
      </c>
      <c r="BP309" s="268">
        <f>SUM(BL309:BO309)</f>
        <v>0</v>
      </c>
      <c r="BQ309" s="268">
        <f>SUM(BQ212:BQ214,BQ217,BQ238,BQ235)-SUM(BP212:BP214,BP217,BP238,BP235)</f>
        <v>0</v>
      </c>
      <c r="BR309" s="268">
        <f>SUM(BR212:BR214,BR217,BR238,BR235)-SUM(BQ212:BQ214,BQ217,BQ238,BQ235)</f>
        <v>0</v>
      </c>
      <c r="BS309" s="268">
        <f>SUM(BS212:BS214,BS217,BS238,BS235)-SUM(BR212:BR214,BR217,BR238,BR235)</f>
        <v>0</v>
      </c>
      <c r="BT309" s="268">
        <f>SUM(BT212:BT214,BT217,BT238,BT235)-SUM(BS212:BS214,BS217,BS238,BS235)</f>
        <v>0</v>
      </c>
      <c r="BU309" s="268">
        <f>SUM(BQ309:BT309)</f>
        <v>0</v>
      </c>
      <c r="BV309" s="268">
        <f>SUM(BV212:BV214,BV217,BV238,BV235)-SUM(BU212:BU214,BU217,BU238,BU235)</f>
        <v>0</v>
      </c>
      <c r="BW309" s="268">
        <f>SUM(BW212:BW214,BW217,BW238,BW235)-SUM(BV212:BV214,BV217,BV238,BV235)</f>
        <v>0</v>
      </c>
      <c r="BX309" s="268">
        <f>SUM(BX212:BX214,BX217,BX238,BX235)-SUM(BW212:BW214,BW217,BW238,BW235)</f>
        <v>0</v>
      </c>
      <c r="BY309" s="268">
        <f>SUM(BY212:BY214,BY217,BY238,BY235)-SUM(BX212:BX214,BX217,BX238,BX235)</f>
        <v>0</v>
      </c>
      <c r="BZ309" s="268">
        <f>SUM(BV309:BY309)</f>
        <v>0</v>
      </c>
      <c r="CA309" s="268">
        <f>SUM(CA212:CA214,CA217,CA238,CA235)-SUM(BZ212:BZ214,BZ217,BZ238,BZ235)</f>
        <v>0</v>
      </c>
      <c r="CB309" s="268">
        <f>SUM(CB212:CB214,CB217,CB238,CB235)-SUM(CA212:CA214,CA217,CA238,CA235)</f>
        <v>0</v>
      </c>
      <c r="CC309" s="268">
        <f>SUM(CC212:CC214,CC217,CC238,CC235)-SUM(CB212:CB214,CB217,CB238,CB235)</f>
        <v>0</v>
      </c>
      <c r="CD309" s="268">
        <f>SUM(CD212:CD214,CD217,CD238,CD235)-SUM(CC212:CC214,CC217,CC238,CC235)</f>
        <v>0</v>
      </c>
      <c r="CE309" s="268">
        <f>SUM(CA309:CD309)</f>
        <v>0</v>
      </c>
      <c r="CF309" s="268">
        <f>SUM(CF212:CF214,CF217,CF238,CF235)-SUM(CE212:CE214,CE217,CE238,CE235)</f>
        <v>0</v>
      </c>
      <c r="CG309" s="268">
        <f>SUM(CG212:CG214,CG217,CG238,CG235)-SUM(CF212:CF214,CF217,CF238,CF235)</f>
        <v>0</v>
      </c>
      <c r="CH309" s="268">
        <f>SUM(CH212:CH214,CH217,CH238,CH235)-SUM(CG212:CG214,CG217,CG238,CG235)</f>
        <v>0</v>
      </c>
      <c r="CI309" s="268">
        <f>SUM(CI212:CI214,CI217,CI238,CI235)-SUM(CH212:CH214,CH217,CH238,CH235)</f>
        <v>0</v>
      </c>
      <c r="CJ309" s="268">
        <f>SUM(CF309:CI309)</f>
        <v>0</v>
      </c>
      <c r="CK309" s="268">
        <f>SUM(CK212:CK214,CK217,CK238,CK235)-SUM(CJ212:CJ214,CJ217,CJ238,CJ235)</f>
        <v>0</v>
      </c>
      <c r="CL309" s="268">
        <f>SUM(CL212:CL214,CL217,CL238,CL235)-SUM(CK212:CK214,CK217,CK238,CK235)</f>
        <v>0</v>
      </c>
      <c r="CM309" s="268">
        <f>SUM(CM212:CM214,CM217,CM238,CM235)-SUM(CL212:CL214,CL217,CL238,CL235)</f>
        <v>0</v>
      </c>
      <c r="CN309" s="268">
        <f>SUM(CN212:CN214,CN217,CN238,CN235)-SUM(CM212:CM214,CM217,CM238,CM235)</f>
        <v>0</v>
      </c>
      <c r="CO309" s="268">
        <f>SUM(CK309:CN309)</f>
        <v>0</v>
      </c>
      <c r="CP309" s="268">
        <f>SUM(CP212:CP214,CP217,CP238,CP235)-SUM(CO212:CO214,CO217,CO238,CO235)</f>
        <v>0</v>
      </c>
      <c r="CQ309" s="268">
        <f>SUM(CQ212:CQ214,CQ217,CQ238,CQ235)-SUM(CP212:CP214,CP217,CP238,CP235)</f>
        <v>0</v>
      </c>
      <c r="CR309" s="268">
        <f>SUM(CR212:CR214,CR217,CR238,CR235)-SUM(CQ212:CQ214,CQ217,CQ238,CQ235)</f>
        <v>0</v>
      </c>
      <c r="CS309" s="268">
        <f>SUM(CS212:CS214,CS217,CS238,CS235)-SUM(CR212:CR214,CR217,CR238,CR235)</f>
        <v>0</v>
      </c>
      <c r="CT309" s="268">
        <f>SUM(CP309:CS309)</f>
        <v>0</v>
      </c>
      <c r="CU309" s="268">
        <f>SUM(CU212:CU214,CU217,CU238,CU235)-SUM(CT212:CT214,CT217,CT238,CT235)</f>
        <v>0</v>
      </c>
      <c r="CV309" s="268">
        <f>SUM(CV212:CV214,CV217,CV238,CV235)-SUM(CU212:CU214,CU217,CU238,CU235)</f>
        <v>0</v>
      </c>
      <c r="CW309" s="268">
        <f>SUM(CW212:CW214,CW217,CW238,CW235)-SUM(CV212:CV214,CV217,CV238,CV235)</f>
        <v>0</v>
      </c>
      <c r="CX309" s="268">
        <f>SUM(CX212:CX214,CX217,CX238,CX235)-SUM(CW212:CW214,CW217,CW238,CW235)</f>
        <v>0</v>
      </c>
      <c r="CY309" s="268">
        <f>SUM(CU309:CX309)</f>
        <v>0</v>
      </c>
      <c r="CZ309" s="268" t="n"/>
      <c r="DA309" s="268" t="n"/>
      <c r="DB309" s="268" t="n"/>
      <c r="DC309" s="268" t="n"/>
    </row>
    <row r="310" ht="12.75" customHeight="1" s="255">
      <c r="C310" s="270" t="inlineStr">
        <is>
          <t>Cash from financing</t>
        </is>
      </c>
      <c r="D310" s="268" t="n"/>
      <c r="E310" s="268">
        <f>SUM(E302,E303,E304,E305,E306,E307,E308,E309)</f>
        <v>769</v>
      </c>
      <c r="F310" s="268">
        <f>SUM(F302,F303,F304,F305,F306,F307,F308,F309)</f>
        <v>576</v>
      </c>
      <c r="G310" s="268">
        <f>SUM(G302,G303,G304,G305,G306,G307,G308,G309)</f>
        <v>946</v>
      </c>
      <c r="H310" s="268">
        <f>SUM(H302,H303,H304,H305,H306,H307,H308,H309)</f>
        <v>2291</v>
      </c>
      <c r="I310" s="268">
        <f>SUM(I302,I303,I304,I305,I306,I307,I308,I309)</f>
        <v>-534</v>
      </c>
      <c r="J310" s="268">
        <f>SUM(J302,J303,J304,J305,J306,J307,J308,J309)</f>
        <v>335</v>
      </c>
      <c r="K310" s="268">
        <f>SUM(K302,K303,K304,K305,K306,K307,K308,K309)</f>
        <v>-1097</v>
      </c>
      <c r="L310" s="268">
        <f>SUM(L302,L303,L304,L305,L306,L307,L308,L309)</f>
        <v>-569</v>
      </c>
      <c r="M310" s="268">
        <f>SUM(M302,M303,M304,M305,M306,M307,M308,M309)</f>
        <v>-1865</v>
      </c>
      <c r="N310" s="268">
        <f>SUM(N302,N303,N304,N305,N306,N307,N308,N309)</f>
        <v>805</v>
      </c>
      <c r="O310" s="268">
        <f>SUM(O302,O303,O304,O305,O306,O307,O308,O309)</f>
        <v>288</v>
      </c>
      <c r="P310" s="268">
        <f>SUM(P302,P303,P304,P305,P306,P307,P308,P309)</f>
        <v>-1915</v>
      </c>
      <c r="Q310" s="268">
        <f>SUM(Q302,Q303,Q304,Q305,Q306,Q307,Q308,Q309)</f>
        <v>-299</v>
      </c>
      <c r="R310" s="268">
        <f>SUM(R302,R303,R304,R305,R306,R307,R308,R309)</f>
        <v>-1121</v>
      </c>
      <c r="S310" s="268">
        <f>SUM(S302,S303,S304,S305,S306,S307,S308,S309)</f>
        <v>1099</v>
      </c>
      <c r="T310" s="268">
        <f>SUM(T302,T303,T304,T305,T306,T307,T308,T309)</f>
        <v>-760</v>
      </c>
      <c r="U310" s="268">
        <f>SUM(U302,U303,U304,U305,U306,U307,U308,U309)</f>
        <v>-459</v>
      </c>
      <c r="V310" s="268">
        <f>SUM(V302,V303,V304,V305,V306,V307,V308,V309)</f>
        <v>-230</v>
      </c>
      <c r="W310" s="268">
        <f>SUM(W302,W303,W304,W305,W306,W307,W308,W309)</f>
        <v>-350</v>
      </c>
      <c r="X310" s="268">
        <f>SUM(X302,X303,X304,X305,X306,X307,X308,X309)</f>
        <v>-327</v>
      </c>
      <c r="Y310" s="268">
        <f>SUM(Y302,Y303,Y304,Y305,Y306,Y307,Y308,Y309)</f>
        <v>-667</v>
      </c>
      <c r="Z310" s="268">
        <f>SUM(Z302,Z303,Z304,Z305,Z306,Z307,Z308,Z309)</f>
        <v>1101</v>
      </c>
      <c r="AA310" s="268">
        <f>SUM(AA302,AA303,AA304,AA305,AA306,AA307,AA308,AA309)</f>
        <v>-798</v>
      </c>
      <c r="AB310" s="268">
        <f>SUM(AB302,AB303,AB304,AB305,AB306,AB307,AB308,AB309)</f>
        <v>-691</v>
      </c>
      <c r="AC310" s="268">
        <f>SUM(AC302,AC303,AC304,AC305,AC306,AC307,AC308,AC309)</f>
        <v>982</v>
      </c>
      <c r="AD310" s="268">
        <f>SUM(AD302,AD303,AD304,AD305,AD306,AD307,AD308,AD309)</f>
        <v>4545</v>
      </c>
      <c r="AE310" s="268">
        <f>SUM(AE302,AE303,AE304,AE305,AE306,AE307,AE308,AE309)</f>
        <v>10172</v>
      </c>
      <c r="AF310" s="268">
        <f>SUM(AF302,AF303,AF304,AF305,AF306,AF307,AF308,AF309)</f>
        <v>-1542</v>
      </c>
      <c r="AG310" s="268">
        <f>SUM(AG302,AG303,AG304,AG305,AG306,AG307,AG308,AG309)</f>
        <v>14157</v>
      </c>
      <c r="AH310" s="268">
        <f>SUM(AH302,AH303,AH304,AH305,AH306,AH307,AH308,AH309)</f>
        <v>522</v>
      </c>
      <c r="AI310" s="268">
        <f>SUM(AI302,AI303,AI304,AI305,AI306,AI307,AI308,AI309)</f>
        <v>-151</v>
      </c>
      <c r="AJ310" s="268">
        <f>SUM(AJ302,AJ303,AJ304,AJ305,AJ306,AJ307,AJ308,AJ309)</f>
        <v>0</v>
      </c>
      <c r="AK310" s="268">
        <f>SUM(AK302,AK303,AK304,AK305,AK306,AK307,AK308,AK309)</f>
        <v>0</v>
      </c>
      <c r="AL310" s="268">
        <f>SUM(AL302,AL303,AL304,AL305,AL306,AL307,AL308,AL309)</f>
        <v>371</v>
      </c>
      <c r="AM310" s="268">
        <f>SUM(AM302,AM303,AM304,AM305,AM306,AM307,AM308,AM309)</f>
        <v>0</v>
      </c>
      <c r="AN310" s="268">
        <f>SUM(AN302,AN303,AN304,AN305,AN306,AN307,AN308,AN309)</f>
        <v>0</v>
      </c>
      <c r="AO310" s="268">
        <f>SUM(AO302,AO303,AO304,AO305,AO306,AO307,AO308,AO309)</f>
        <v>0</v>
      </c>
      <c r="AP310" s="268">
        <f>SUM(AP302,AP303,AP304,AP305,AP306,AP307,AP308,AP309)</f>
        <v>0</v>
      </c>
      <c r="AQ310" s="268">
        <f>SUM(AQ302,AQ303,AQ304,AQ305,AQ306,AQ307,AQ308,AQ309)</f>
        <v>0</v>
      </c>
      <c r="AR310" s="268">
        <f>SUM(AR302,AR303,AR304,AR305,AR306,AR307,AR308,AR309)</f>
        <v>0</v>
      </c>
      <c r="AS310" s="268">
        <f>SUM(AS302,AS303,AS304,AS305,AS306,AS307,AS308,AS309)</f>
        <v>0</v>
      </c>
      <c r="AT310" s="268">
        <f>SUM(AT302,AT303,AT304,AT305,AT306,AT307,AT308,AT309)</f>
        <v>0</v>
      </c>
      <c r="AU310" s="268">
        <f>SUM(AU302,AU303,AU304,AU305,AU306,AU307,AU308,AU309)</f>
        <v>0</v>
      </c>
      <c r="AV310" s="268">
        <f>SUM(AV302,AV303,AV304,AV305,AV306,AV307,AV308,AV309)</f>
        <v>0</v>
      </c>
      <c r="AW310" s="268">
        <f>SUM(AW302,AW303,AW304,AW305,AW306,AW307,AW308,AW309)</f>
        <v>0</v>
      </c>
      <c r="AX310" s="268">
        <f>SUM(AX302,AX303,AX304,AX305,AX306,AX307,AX308,AX309)</f>
        <v>0</v>
      </c>
      <c r="AY310" s="268">
        <f>SUM(AY302,AY303,AY304,AY305,AY306,AY307,AY308,AY309)</f>
        <v>0</v>
      </c>
      <c r="AZ310" s="268">
        <f>SUM(AZ302,AZ303,AZ304,AZ305,AZ306,AZ307,AZ308,AZ309)</f>
        <v>0</v>
      </c>
      <c r="BA310" s="268">
        <f>SUM(BA302,BA303,BA304,BA305,BA306,BA307,BA308,BA309)</f>
        <v>0</v>
      </c>
      <c r="BB310" s="268">
        <f>SUM(BB302,BB303,BB304,BB305,BB306,BB307,BB308,BB309)</f>
        <v>0</v>
      </c>
      <c r="BC310" s="268">
        <f>SUM(BC302,BC303,BC304,BC305,BC306,BC307,BC308,BC309)</f>
        <v>0</v>
      </c>
      <c r="BD310" s="268">
        <f>SUM(BD302,BD303,BD304,BD305,BD306,BD307,BD308,BD309)</f>
        <v>0</v>
      </c>
      <c r="BE310" s="268">
        <f>SUM(BE302,BE303,BE304,BE305,BE306,BE307,BE308,BE309)</f>
        <v>0</v>
      </c>
      <c r="BF310" s="268">
        <f>SUM(BF302,BF303,BF304,BF305,BF306,BF307,BF308,BF309)</f>
        <v>0</v>
      </c>
      <c r="BG310" s="268">
        <f>SUM(BG302,BG303,BG304,BG305,BG306,BG307,BG308,BG309)</f>
        <v>0</v>
      </c>
      <c r="BH310" s="268">
        <f>SUM(BH302,BH303,BH304,BH305,BH306,BH307,BH308,BH309)</f>
        <v>0</v>
      </c>
      <c r="BI310" s="268">
        <f>SUM(BI302,BI303,BI304,BI305,BI306,BI307,BI308,BI309)</f>
        <v>0</v>
      </c>
      <c r="BJ310" s="268">
        <f>SUM(BJ302,BJ303,BJ304,BJ305,BJ306,BJ307,BJ308,BJ309)</f>
        <v>0</v>
      </c>
      <c r="BK310" s="268">
        <f>SUM(BK302,BK303,BK304,BK305,BK306,BK307,BK308,BK309)</f>
        <v>0</v>
      </c>
      <c r="BL310" s="268">
        <f>SUM(BL302,BL303,BL304,BL305,BL306,BL307,BL308,BL309)</f>
        <v>0</v>
      </c>
      <c r="BM310" s="268">
        <f>SUM(BM302,BM303,BM304,BM305,BM306,BM307,BM308,BM309)</f>
        <v>0</v>
      </c>
      <c r="BN310" s="268">
        <f>SUM(BN302,BN303,BN304,BN305,BN306,BN307,BN308,BN309)</f>
        <v>0</v>
      </c>
      <c r="BO310" s="268">
        <f>SUM(BO302,BO303,BO304,BO305,BO306,BO307,BO308,BO309)</f>
        <v>0</v>
      </c>
      <c r="BP310" s="268">
        <f>SUM(BP302,BP303,BP304,BP305,BP306,BP307,BP308,BP309)</f>
        <v>0</v>
      </c>
      <c r="BQ310" s="268">
        <f>SUM(BQ302,BQ303,BQ304,BQ305,BQ306,BQ307,BQ308,BQ309)</f>
        <v>0</v>
      </c>
      <c r="BR310" s="268">
        <f>SUM(BR302,BR303,BR304,BR305,BR306,BR307,BR308,BR309)</f>
        <v>0</v>
      </c>
      <c r="BS310" s="268">
        <f>SUM(BS302,BS303,BS304,BS305,BS306,BS307,BS308,BS309)</f>
        <v>0</v>
      </c>
      <c r="BT310" s="268">
        <f>SUM(BT302,BT303,BT304,BT305,BT306,BT307,BT308,BT309)</f>
        <v>0</v>
      </c>
      <c r="BU310" s="268">
        <f>SUM(BU302,BU303,BU304,BU305,BU306,BU307,BU308,BU309)</f>
        <v>0</v>
      </c>
      <c r="BV310" s="268">
        <f>SUM(BV302,BV303,BV304,BV305,BV306,BV307,BV308,BV309)</f>
        <v>0</v>
      </c>
      <c r="BW310" s="268">
        <f>SUM(BW302,BW303,BW304,BW305,BW306,BW307,BW308,BW309)</f>
        <v>0</v>
      </c>
      <c r="BX310" s="268">
        <f>SUM(BX302,BX303,BX304,BX305,BX306,BX307,BX308,BX309)</f>
        <v>0</v>
      </c>
      <c r="BY310" s="268">
        <f>SUM(BY302,BY303,BY304,BY305,BY306,BY307,BY308,BY309)</f>
        <v>0</v>
      </c>
      <c r="BZ310" s="268">
        <f>SUM(BZ302,BZ303,BZ304,BZ305,BZ306,BZ307,BZ308,BZ309)</f>
        <v>0</v>
      </c>
      <c r="CA310" s="268">
        <f>SUM(CA302,CA303,CA304,CA305,CA306,CA307,CA308,CA309)</f>
        <v>0</v>
      </c>
      <c r="CB310" s="268">
        <f>SUM(CB302,CB303,CB304,CB305,CB306,CB307,CB308,CB309)</f>
        <v>0</v>
      </c>
      <c r="CC310" s="268">
        <f>SUM(CC302,CC303,CC304,CC305,CC306,CC307,CC308,CC309)</f>
        <v>0</v>
      </c>
      <c r="CD310" s="268">
        <f>SUM(CD302,CD303,CD304,CD305,CD306,CD307,CD308,CD309)</f>
        <v>0</v>
      </c>
      <c r="CE310" s="268">
        <f>SUM(CE302,CE303,CE304,CE305,CE306,CE307,CE308,CE309)</f>
        <v>0</v>
      </c>
      <c r="CF310" s="268">
        <f>SUM(CF302,CF303,CF304,CF305,CF306,CF307,CF308,CF309)</f>
        <v>0</v>
      </c>
      <c r="CG310" s="268">
        <f>SUM(CG302,CG303,CG304,CG305,CG306,CG307,CG308,CG309)</f>
        <v>0</v>
      </c>
      <c r="CH310" s="268">
        <f>SUM(CH302,CH303,CH304,CH305,CH306,CH307,CH308,CH309)</f>
        <v>0</v>
      </c>
      <c r="CI310" s="268">
        <f>SUM(CI302,CI303,CI304,CI305,CI306,CI307,CI308,CI309)</f>
        <v>0</v>
      </c>
      <c r="CJ310" s="268">
        <f>SUM(CJ302,CJ303,CJ304,CJ305,CJ306,CJ307,CJ308,CJ309)</f>
        <v>0</v>
      </c>
      <c r="CK310" s="268">
        <f>SUM(CK302,CK303,CK304,CK305,CK306,CK307,CK308,CK309)</f>
        <v>0</v>
      </c>
      <c r="CL310" s="268">
        <f>SUM(CL302,CL303,CL304,CL305,CL306,CL307,CL308,CL309)</f>
        <v>0</v>
      </c>
      <c r="CM310" s="268">
        <f>SUM(CM302,CM303,CM304,CM305,CM306,CM307,CM308,CM309)</f>
        <v>0</v>
      </c>
      <c r="CN310" s="268">
        <f>SUM(CN302,CN303,CN304,CN305,CN306,CN307,CN308,CN309)</f>
        <v>0</v>
      </c>
      <c r="CO310" s="268">
        <f>SUM(CO302,CO303,CO304,CO305,CO306,CO307,CO308,CO309)</f>
        <v>0</v>
      </c>
      <c r="CP310" s="268">
        <f>SUM(CP302,CP303,CP304,CP305,CP306,CP307,CP308,CP309)</f>
        <v>0</v>
      </c>
      <c r="CQ310" s="268">
        <f>SUM(CQ302,CQ303,CQ304,CQ305,CQ306,CQ307,CQ308,CQ309)</f>
        <v>0</v>
      </c>
      <c r="CR310" s="268">
        <f>SUM(CR302,CR303,CR304,CR305,CR306,CR307,CR308,CR309)</f>
        <v>0</v>
      </c>
      <c r="CS310" s="268">
        <f>SUM(CS302,CS303,CS304,CS305,CS306,CS307,CS308,CS309)</f>
        <v>0</v>
      </c>
      <c r="CT310" s="268">
        <f>SUM(CT302,CT303,CT304,CT305,CT306,CT307,CT308,CT309)</f>
        <v>0</v>
      </c>
      <c r="CU310" s="268">
        <f>SUM(CU302,CU303,CU304,CU305,CU306,CU307,CU308,CU309)</f>
        <v>0</v>
      </c>
      <c r="CV310" s="268">
        <f>SUM(CV302,CV303,CV304,CV305,CV306,CV307,CV308,CV309)</f>
        <v>0</v>
      </c>
      <c r="CW310" s="268">
        <f>SUM(CW302,CW303,CW304,CW305,CW306,CW307,CW308,CW309)</f>
        <v>0</v>
      </c>
      <c r="CX310" s="268">
        <f>SUM(CX302,CX303,CX304,CX305,CX306,CX307,CX308,CX309)</f>
        <v>0</v>
      </c>
      <c r="CY310" s="268">
        <f>SUM(CY302,CY303,CY304,CY305,CY306,CY307,CY308,CY309)</f>
        <v>0</v>
      </c>
    </row>
    <row r="311" ht="12.75" customHeight="1" s="255">
      <c r="C311" s="270" t="n"/>
      <c r="D311" s="268" t="n"/>
      <c r="E311" s="268" t="n"/>
      <c r="F311" s="268" t="n"/>
      <c r="G311" s="268" t="n"/>
      <c r="H311" s="268" t="n"/>
      <c r="I311" s="268" t="n"/>
      <c r="J311" s="268" t="n"/>
      <c r="K311" s="268" t="n"/>
      <c r="L311" s="268" t="n"/>
      <c r="M311" s="268" t="n"/>
      <c r="N311" s="268" t="n"/>
      <c r="O311" s="268" t="n"/>
      <c r="P311" s="268" t="n"/>
      <c r="Q311" s="268" t="n"/>
      <c r="R311" s="268" t="n"/>
      <c r="S311" s="268" t="n"/>
      <c r="T311" s="268" t="n"/>
      <c r="U311" s="268" t="n"/>
      <c r="V311" s="268" t="n"/>
      <c r="W311" s="268" t="n"/>
      <c r="X311" s="268" t="n"/>
      <c r="Y311" s="268" t="n"/>
      <c r="Z311" s="268" t="n"/>
      <c r="AA311" s="268" t="n"/>
      <c r="AB311" s="268" t="n"/>
      <c r="AC311" s="268" t="n"/>
      <c r="AD311" s="268" t="n"/>
      <c r="AE311" s="268" t="n"/>
      <c r="AF311" s="268" t="n"/>
      <c r="AG311" s="268" t="n"/>
      <c r="AH311" s="268" t="n"/>
      <c r="AI311" s="268" t="n"/>
      <c r="AJ311" s="268" t="n"/>
      <c r="AK311" s="268" t="n"/>
      <c r="AL311" s="268" t="n"/>
      <c r="AM311" s="268" t="n"/>
      <c r="AN311" s="268" t="n"/>
      <c r="AO311" s="268" t="n"/>
      <c r="AP311" s="268" t="n"/>
      <c r="AQ311" s="268" t="n"/>
      <c r="AR311" s="268" t="n"/>
      <c r="AS311" s="268" t="n"/>
      <c r="AT311" s="268" t="n"/>
      <c r="AU311" s="268" t="n"/>
      <c r="AV311" s="268" t="n"/>
      <c r="AW311" s="268" t="n"/>
      <c r="AX311" s="268" t="n"/>
      <c r="AY311" s="268" t="n"/>
      <c r="AZ311" s="268" t="n"/>
      <c r="BA311" s="268" t="n"/>
      <c r="BB311" s="268" t="n"/>
      <c r="BC311" s="268" t="n"/>
      <c r="BD311" s="268" t="n"/>
      <c r="BE311" s="268" t="n"/>
      <c r="BF311" s="268" t="n"/>
      <c r="BG311" s="268" t="n"/>
      <c r="BH311" s="268" t="n"/>
      <c r="BI311" s="268" t="n"/>
      <c r="BJ311" s="268" t="n"/>
      <c r="BK311" s="268" t="n"/>
      <c r="BL311" s="268" t="n"/>
      <c r="BM311" s="268" t="n"/>
      <c r="BN311" s="268" t="n"/>
      <c r="BO311" s="268" t="n"/>
      <c r="BP311" s="268" t="n"/>
      <c r="BQ311" s="268" t="n"/>
      <c r="BR311" s="268" t="n"/>
      <c r="BS311" s="268" t="n"/>
      <c r="BT311" s="268" t="n"/>
      <c r="BU311" s="268" t="n"/>
      <c r="BV311" s="268" t="n"/>
      <c r="BW311" s="268" t="n"/>
      <c r="BX311" s="268" t="n"/>
      <c r="BY311" s="268" t="n"/>
      <c r="BZ311" s="268" t="n"/>
      <c r="CA311" s="268" t="n"/>
      <c r="CB311" s="268" t="n"/>
      <c r="CC311" s="268" t="n"/>
      <c r="CD311" s="268" t="n"/>
      <c r="CE311" s="268" t="n"/>
      <c r="CF311" s="268" t="n"/>
      <c r="CG311" s="268" t="n"/>
      <c r="CH311" s="268" t="n"/>
      <c r="CI311" s="268" t="n"/>
      <c r="CJ311" s="268" t="n"/>
      <c r="CK311" s="268" t="n"/>
      <c r="CL311" s="268" t="n"/>
      <c r="CM311" s="268" t="n"/>
      <c r="CN311" s="268" t="n"/>
      <c r="CO311" s="268" t="n"/>
      <c r="CP311" s="268" t="n"/>
      <c r="CQ311" s="268" t="n"/>
      <c r="CR311" s="268" t="n"/>
      <c r="CS311" s="268" t="n"/>
      <c r="CT311" s="268" t="n"/>
      <c r="CU311" s="268" t="n"/>
      <c r="CV311" s="268" t="n"/>
      <c r="CW311" s="268" t="n"/>
      <c r="CX311" s="268" t="n"/>
      <c r="CY311" s="268" t="n"/>
    </row>
    <row r="312" ht="12.75" customHeight="1" s="255">
      <c r="C312" s="270" t="inlineStr">
        <is>
          <t>Others</t>
        </is>
      </c>
      <c r="D312" s="268" t="n"/>
      <c r="E312" s="268" t="n"/>
      <c r="F312" s="268" t="n"/>
      <c r="G312" s="268" t="n"/>
      <c r="H312" s="268">
        <f>SUM(D312:G312)</f>
        <v>0</v>
      </c>
      <c r="I312" s="268" t="n"/>
      <c r="J312" s="268" t="n"/>
      <c r="K312" s="268" t="n"/>
      <c r="L312" s="268" t="n"/>
      <c r="M312" s="268">
        <f>SUM(I312:L312)</f>
        <v>0</v>
      </c>
      <c r="N312" s="268" t="n"/>
      <c r="O312" s="268" t="n"/>
      <c r="P312" s="268" t="n"/>
      <c r="Q312" s="268" t="n"/>
      <c r="R312" s="268">
        <f>SUM(N312:Q312)</f>
        <v>0</v>
      </c>
      <c r="S312" s="268" t="n"/>
      <c r="T312" s="268" t="n"/>
      <c r="U312" s="268" t="n"/>
      <c r="V312" s="268" t="n"/>
      <c r="W312" s="268">
        <f>SUM(S312:V312)</f>
        <v>0</v>
      </c>
      <c r="X312" s="268" t="n"/>
      <c r="Y312" s="268" t="n"/>
      <c r="Z312" s="268" t="n"/>
      <c r="AA312" s="268" t="n"/>
      <c r="AB312" s="268">
        <f>SUM(X312:AA312)</f>
        <v>0</v>
      </c>
      <c r="AC312" s="268" t="n"/>
      <c r="AD312" s="268" t="n"/>
      <c r="AE312" s="268" t="n"/>
      <c r="AF312" s="268" t="n"/>
      <c r="AG312" s="268">
        <f>SUM(AC312:AF312)</f>
        <v>0</v>
      </c>
      <c r="AH312" s="268" t="n"/>
      <c r="AI312" s="268" t="n"/>
      <c r="AJ312" s="268" t="n"/>
      <c r="AK312" s="268" t="n"/>
      <c r="AL312" s="268">
        <f>SUM(AH312:AK312)</f>
        <v>0</v>
      </c>
      <c r="AM312" s="268" t="n"/>
      <c r="AN312" s="268" t="n"/>
      <c r="AO312" s="268" t="n"/>
      <c r="AP312" s="268" t="n"/>
      <c r="AQ312" s="268">
        <f>SUM(AM312:AP312)</f>
        <v>0</v>
      </c>
      <c r="AR312" s="268" t="n"/>
      <c r="AS312" s="268" t="n"/>
      <c r="AT312" s="268" t="n"/>
      <c r="AU312" s="268" t="n"/>
      <c r="AV312" s="268">
        <f>SUM(AR312:AU312)</f>
        <v>0</v>
      </c>
      <c r="AW312" s="268" t="n"/>
      <c r="AX312" s="268" t="n"/>
      <c r="AY312" s="268" t="n"/>
      <c r="AZ312" s="268" t="n"/>
      <c r="BA312" s="268">
        <f>SUM(AW312:AZ312)</f>
        <v>0</v>
      </c>
      <c r="BB312" s="268" t="n"/>
      <c r="BC312" s="268" t="n"/>
      <c r="BD312" s="268" t="n"/>
      <c r="BE312" s="268" t="n"/>
      <c r="BF312" s="268">
        <f>SUM(BB312:BE312)</f>
        <v>0</v>
      </c>
      <c r="BG312" s="268" t="n"/>
      <c r="BH312" s="268" t="n"/>
      <c r="BI312" s="268" t="n"/>
      <c r="BJ312" s="268" t="n"/>
      <c r="BK312" s="268">
        <f>SUM(BG312:BJ312)</f>
        <v>0</v>
      </c>
      <c r="BL312" s="268" t="n"/>
      <c r="BM312" s="268" t="n"/>
      <c r="BN312" s="268" t="n"/>
      <c r="BO312" s="268" t="n"/>
      <c r="BP312" s="268">
        <f>SUM(BL312:BO312)</f>
        <v>0</v>
      </c>
      <c r="BQ312" s="268" t="n"/>
      <c r="BR312" s="268" t="n"/>
      <c r="BS312" s="268" t="n"/>
      <c r="BT312" s="268" t="n"/>
      <c r="BU312" s="268">
        <f>SUM(BQ312:BT312)</f>
        <v>0</v>
      </c>
      <c r="BV312" s="268" t="n"/>
      <c r="BW312" s="268" t="n"/>
      <c r="BX312" s="268" t="n"/>
      <c r="BY312" s="268" t="n"/>
      <c r="BZ312" s="268">
        <f>SUM(BV312:BY312)</f>
        <v>0</v>
      </c>
      <c r="CA312" s="268" t="n"/>
      <c r="CB312" s="268" t="n"/>
      <c r="CC312" s="268" t="n"/>
      <c r="CD312" s="268" t="n"/>
      <c r="CE312" s="268">
        <f>SUM(CA312:CD312)</f>
        <v>0</v>
      </c>
      <c r="CF312" s="268" t="n"/>
      <c r="CG312" s="268" t="n"/>
      <c r="CH312" s="268" t="n"/>
      <c r="CI312" s="268" t="n"/>
      <c r="CJ312" s="268">
        <f>SUM(CF312:CI312)</f>
        <v>0</v>
      </c>
      <c r="CK312" s="268" t="n"/>
      <c r="CL312" s="268" t="n"/>
      <c r="CM312" s="268" t="n"/>
      <c r="CN312" s="268" t="n"/>
      <c r="CO312" s="268">
        <f>SUM(CK312:CN312)</f>
        <v>0</v>
      </c>
      <c r="CP312" s="268" t="n"/>
      <c r="CQ312" s="268" t="n"/>
      <c r="CR312" s="268" t="n"/>
      <c r="CS312" s="268" t="n"/>
      <c r="CT312" s="268">
        <f>SUM(CP312:CS312)</f>
        <v>0</v>
      </c>
      <c r="CU312" s="268" t="n"/>
      <c r="CV312" s="268" t="n"/>
      <c r="CW312" s="268" t="n"/>
      <c r="CX312" s="268" t="n"/>
      <c r="CY312" s="268">
        <f>SUM(CU312:CX312)</f>
        <v>0</v>
      </c>
    </row>
    <row r="313" ht="12.75" customHeight="1" s="255">
      <c r="C313" s="270" t="n"/>
      <c r="D313" s="268" t="n"/>
      <c r="E313" s="268" t="n"/>
      <c r="F313" s="268" t="n"/>
      <c r="G313" s="268" t="n"/>
      <c r="H313" s="268" t="n"/>
      <c r="I313" s="268" t="n"/>
      <c r="J313" s="268" t="n"/>
      <c r="K313" s="268" t="n"/>
      <c r="L313" s="268" t="n"/>
      <c r="M313" s="268" t="n"/>
      <c r="N313" s="268" t="n"/>
      <c r="O313" s="268" t="n"/>
      <c r="P313" s="268" t="n"/>
      <c r="Q313" s="268" t="n"/>
      <c r="R313" s="268" t="n"/>
      <c r="S313" s="268" t="n"/>
      <c r="T313" s="268" t="n"/>
      <c r="U313" s="268" t="n"/>
      <c r="V313" s="268" t="n"/>
      <c r="W313" s="268" t="n"/>
      <c r="X313" s="268" t="n"/>
      <c r="Y313" s="268" t="n"/>
      <c r="Z313" s="268" t="n"/>
      <c r="AA313" s="268" t="n"/>
      <c r="AB313" s="268" t="n"/>
      <c r="AC313" s="268" t="n"/>
      <c r="AD313" s="268" t="n"/>
      <c r="AE313" s="268" t="n"/>
      <c r="AF313" s="268" t="n"/>
      <c r="AG313" s="268" t="n"/>
      <c r="AH313" s="268" t="n"/>
      <c r="AI313" s="268" t="n"/>
      <c r="AJ313" s="268" t="n"/>
      <c r="AK313" s="268" t="n"/>
      <c r="AL313" s="268" t="n"/>
      <c r="AM313" s="268" t="n"/>
      <c r="AN313" s="268" t="n"/>
      <c r="AO313" s="268" t="n"/>
      <c r="AP313" s="268" t="n"/>
      <c r="AQ313" s="268" t="n"/>
      <c r="AR313" s="268" t="n"/>
      <c r="AS313" s="268" t="n"/>
      <c r="AT313" s="268" t="n"/>
      <c r="AU313" s="268" t="n"/>
      <c r="AV313" s="268" t="n"/>
      <c r="AW313" s="268" t="n"/>
      <c r="AX313" s="268" t="n"/>
      <c r="AY313" s="268" t="n"/>
      <c r="AZ313" s="268" t="n"/>
      <c r="BA313" s="268" t="n"/>
      <c r="BB313" s="268" t="n"/>
      <c r="BC313" s="268" t="n"/>
      <c r="BD313" s="268" t="n"/>
      <c r="BE313" s="268" t="n"/>
      <c r="BF313" s="268" t="n"/>
      <c r="BG313" s="268" t="n"/>
      <c r="BH313" s="268" t="n"/>
      <c r="BI313" s="268" t="n"/>
      <c r="BJ313" s="268" t="n"/>
      <c r="BK313" s="268" t="n"/>
      <c r="BL313" s="268" t="n"/>
      <c r="BM313" s="268" t="n"/>
      <c r="BN313" s="268" t="n"/>
      <c r="BO313" s="268" t="n"/>
      <c r="BP313" s="268" t="n"/>
      <c r="BQ313" s="268" t="n"/>
      <c r="BR313" s="268" t="n"/>
      <c r="BS313" s="268" t="n"/>
      <c r="BT313" s="268" t="n"/>
      <c r="BU313" s="268" t="n"/>
      <c r="BV313" s="268" t="n"/>
      <c r="BW313" s="268" t="n"/>
      <c r="BX313" s="268" t="n"/>
      <c r="BY313" s="268" t="n"/>
      <c r="BZ313" s="268" t="n"/>
      <c r="CA313" s="268" t="n"/>
      <c r="CB313" s="268" t="n"/>
      <c r="CC313" s="268" t="n"/>
      <c r="CD313" s="268" t="n"/>
      <c r="CE313" s="268" t="n"/>
      <c r="CF313" s="268" t="n"/>
      <c r="CG313" s="268" t="n"/>
      <c r="CH313" s="268" t="n"/>
      <c r="CI313" s="268" t="n"/>
      <c r="CJ313" s="268" t="n"/>
      <c r="CK313" s="268" t="n"/>
      <c r="CL313" s="268" t="n"/>
      <c r="CM313" s="268" t="n"/>
      <c r="CN313" s="268" t="n"/>
      <c r="CO313" s="268" t="n"/>
      <c r="CP313" s="268" t="n"/>
      <c r="CQ313" s="268" t="n"/>
      <c r="CR313" s="268" t="n"/>
      <c r="CS313" s="268" t="n"/>
      <c r="CT313" s="268" t="n"/>
      <c r="CU313" s="268" t="n"/>
      <c r="CV313" s="268" t="n"/>
      <c r="CW313" s="268" t="n"/>
      <c r="CX313" s="268" t="n"/>
      <c r="CY313" s="268" t="n"/>
    </row>
    <row r="314" ht="12.75" customHeight="1" s="255">
      <c r="C314" s="270" t="inlineStr">
        <is>
          <t>Total increase/decrease of cash</t>
        </is>
      </c>
      <c r="D314" s="268" t="n"/>
      <c r="E314" s="268">
        <f>SUM(E293,E300,E310,E312)</f>
        <v>84</v>
      </c>
      <c r="F314" s="268">
        <f>SUM(F293,F300,F310,F312)</f>
        <v>14</v>
      </c>
      <c r="G314" s="268">
        <f>SUM(G293,G300,G310,G312)</f>
        <v>61</v>
      </c>
      <c r="H314" s="268">
        <f>SUM(D314:G314)</f>
        <v>159</v>
      </c>
      <c r="I314" s="268">
        <f>SUM(I293,I300,I310,I312)</f>
        <v>-126</v>
      </c>
      <c r="J314" s="268">
        <f>SUM(J293,J300,J310,J312)</f>
        <v>238</v>
      </c>
      <c r="K314" s="268">
        <f>SUM(K293,K300,K310,K312)</f>
        <v>569</v>
      </c>
      <c r="L314" s="268">
        <f>SUM(L293,L300,L310,L312)</f>
        <v>-131</v>
      </c>
      <c r="M314" s="268">
        <f>SUM(I314:L314)</f>
        <v>550</v>
      </c>
      <c r="N314" s="268">
        <f>SUM(N293,N300,N310,N312)</f>
        <v>-516</v>
      </c>
      <c r="O314" s="268">
        <f>SUM(O293,O300,O310,O312)</f>
        <v>432</v>
      </c>
      <c r="P314" s="268">
        <f>SUM(P293,P300,P310,P312)</f>
        <v>138</v>
      </c>
      <c r="Q314" s="268">
        <f>SUM(Q293,Q300,Q310,Q312)</f>
        <v>148</v>
      </c>
      <c r="R314" s="268">
        <f>SUM(N314:Q314)</f>
        <v>202</v>
      </c>
      <c r="S314" s="268">
        <f>SUM(S293,S300,S310,S312)</f>
        <v>1948</v>
      </c>
      <c r="T314" s="268">
        <f>SUM(T293,T300,T310,T312)</f>
        <v>-1722</v>
      </c>
      <c r="U314" s="268">
        <f>SUM(U293,U300,U310,U312)</f>
        <v>843</v>
      </c>
      <c r="V314" s="268">
        <f>SUM(V293,V300,V310,V312)</f>
        <v>429</v>
      </c>
      <c r="W314" s="268">
        <f>SUM(S314:V314)</f>
        <v>1498</v>
      </c>
      <c r="X314" s="268">
        <f>SUM(X293,X300,X310,X312)</f>
        <v>337</v>
      </c>
      <c r="Y314" s="268">
        <f>SUM(Y293,Y300,Y310,Y312)</f>
        <v>-1778</v>
      </c>
      <c r="Z314" s="268">
        <f>SUM(Z293,Z300,Z310,Z312)</f>
        <v>1675</v>
      </c>
      <c r="AA314" s="268">
        <f>SUM(AA293,AA300,AA310,AA312)</f>
        <v>475</v>
      </c>
      <c r="AB314" s="268">
        <f>SUM(X314:AA314)</f>
        <v>709</v>
      </c>
      <c r="AC314" s="268">
        <f>SUM(AC293,AC300,AC310,AC312)</f>
        <v>-66</v>
      </c>
      <c r="AD314" s="268">
        <f>SUM(AD293,AD300,AD310,AD312)</f>
        <v>3545</v>
      </c>
      <c r="AE314" s="268">
        <f>SUM(AE293,AE300,AE310,AE312)</f>
        <v>-5475</v>
      </c>
      <c r="AF314" s="268">
        <f>SUM(AF293,AF300,AF310,AF312)</f>
        <v>-180</v>
      </c>
      <c r="AG314" s="268">
        <f>SUM(AC314:AF314)</f>
        <v>-2176</v>
      </c>
      <c r="AH314" s="268">
        <f>SUM(AH293,AH300,AH310,AH312)</f>
        <v>-296</v>
      </c>
      <c r="AI314" s="268">
        <f>SUM(AI293,AI300,AI310,AI312)</f>
        <v>-246</v>
      </c>
      <c r="AJ314" s="268">
        <f>SUM(AJ293,AJ300,AJ310,AJ312)</f>
        <v>14317</v>
      </c>
      <c r="AK314" s="268">
        <f>SUM(AK293,AK300,AK310,AK312)</f>
        <v>65</v>
      </c>
      <c r="AL314" s="268">
        <f>SUM(AH314:AK314)</f>
        <v>13840</v>
      </c>
      <c r="AM314" s="268" t="e">
        <f>SUM(AM293,AM300,AM310,AM312)</f>
        <v>#DIV/0!</v>
      </c>
      <c r="AN314" s="268" t="e">
        <f>SUM(AN293,AN300,AN310,AN312)</f>
        <v>#DIV/0!</v>
      </c>
      <c r="AO314" s="268" t="e">
        <f>SUM(AO293,AO300,AO310,AO312)</f>
        <v>#DIV/0!</v>
      </c>
      <c r="AP314" s="268" t="e">
        <f>SUM(AP293,AP300,AP310,AP312)</f>
        <v>#DIV/0!</v>
      </c>
      <c r="AQ314" s="268" t="e">
        <f>SUM(AM314:AP314)</f>
        <v>#DIV/0!</v>
      </c>
      <c r="AR314" s="268" t="e">
        <f>SUM(AR293,AR300,AR310,AR312)</f>
        <v>#DIV/0!</v>
      </c>
      <c r="AS314" s="268" t="e">
        <f>SUM(AS293,AS300,AS310,AS312)</f>
        <v>#DIV/0!</v>
      </c>
      <c r="AT314" s="268" t="e">
        <f>SUM(AT293,AT300,AT310,AT312)</f>
        <v>#DIV/0!</v>
      </c>
      <c r="AU314" s="268" t="e">
        <f>SUM(AU293,AU300,AU310,AU312)</f>
        <v>#DIV/0!</v>
      </c>
      <c r="AV314" s="268" t="e">
        <f>SUM(AR314:AU314)</f>
        <v>#DIV/0!</v>
      </c>
      <c r="AW314" s="268" t="e">
        <f>SUM(AW293,AW300,AW310,AW312)</f>
        <v>#DIV/0!</v>
      </c>
      <c r="AX314" s="268" t="e">
        <f>SUM(AX293,AX300,AX310,AX312)</f>
        <v>#DIV/0!</v>
      </c>
      <c r="AY314" s="268" t="e">
        <f>SUM(AY293,AY300,AY310,AY312)</f>
        <v>#DIV/0!</v>
      </c>
      <c r="AZ314" s="268" t="e">
        <f>SUM(AZ293,AZ300,AZ310,AZ312)</f>
        <v>#DIV/0!</v>
      </c>
      <c r="BA314" s="268" t="e">
        <f>SUM(AW314:AZ314)</f>
        <v>#DIV/0!</v>
      </c>
      <c r="BB314" s="268" t="e">
        <f>SUM(BB293,BB300,BB310,BB312)</f>
        <v>#DIV/0!</v>
      </c>
      <c r="BC314" s="268" t="e">
        <f>SUM(BC293,BC300,BC310,BC312)</f>
        <v>#DIV/0!</v>
      </c>
      <c r="BD314" s="268" t="e">
        <f>SUM(BD293,BD300,BD310,BD312)</f>
        <v>#DIV/0!</v>
      </c>
      <c r="BE314" s="268" t="e">
        <f>SUM(BE293,BE300,BE310,BE312)</f>
        <v>#DIV/0!</v>
      </c>
      <c r="BF314" s="268" t="e">
        <f>SUM(BB314:BE314)</f>
        <v>#DIV/0!</v>
      </c>
      <c r="BG314" s="268" t="e">
        <f>SUM(BG293,BG300,BG310,BG312)</f>
        <v>#DIV/0!</v>
      </c>
      <c r="BH314" s="268" t="e">
        <f>SUM(BH293,BH300,BH310,BH312)</f>
        <v>#DIV/0!</v>
      </c>
      <c r="BI314" s="268" t="e">
        <f>SUM(BI293,BI300,BI310,BI312)</f>
        <v>#DIV/0!</v>
      </c>
      <c r="BJ314" s="268" t="e">
        <f>SUM(BJ293,BJ300,BJ310,BJ312)</f>
        <v>#DIV/0!</v>
      </c>
      <c r="BK314" s="268" t="e">
        <f>SUM(BG314:BJ314)</f>
        <v>#DIV/0!</v>
      </c>
      <c r="BL314" s="268" t="e">
        <f>SUM(BL293,BL300,BL310,BL312)</f>
        <v>#DIV/0!</v>
      </c>
      <c r="BM314" s="268" t="e">
        <f>SUM(BM293,BM300,BM310,BM312)</f>
        <v>#DIV/0!</v>
      </c>
      <c r="BN314" s="268" t="e">
        <f>SUM(BN293,BN300,BN310,BN312)</f>
        <v>#DIV/0!</v>
      </c>
      <c r="BO314" s="268" t="e">
        <f>SUM(BO293,BO300,BO310,BO312)</f>
        <v>#DIV/0!</v>
      </c>
      <c r="BP314" s="268" t="e">
        <f>SUM(BL314:BO314)</f>
        <v>#DIV/0!</v>
      </c>
      <c r="BQ314" s="268" t="e">
        <f>SUM(BQ293,BQ300,BQ310,BQ312)</f>
        <v>#DIV/0!</v>
      </c>
      <c r="BR314" s="268" t="e">
        <f>SUM(BR293,BR300,BR310,BR312)</f>
        <v>#DIV/0!</v>
      </c>
      <c r="BS314" s="268" t="e">
        <f>SUM(BS293,BS300,BS310,BS312)</f>
        <v>#DIV/0!</v>
      </c>
      <c r="BT314" s="268" t="e">
        <f>SUM(BT293,BT300,BT310,BT312)</f>
        <v>#DIV/0!</v>
      </c>
      <c r="BU314" s="268" t="e">
        <f>SUM(BQ314:BT314)</f>
        <v>#DIV/0!</v>
      </c>
      <c r="BV314" s="268" t="e">
        <f>SUM(BV293,BV300,BV310,BV312)</f>
        <v>#DIV/0!</v>
      </c>
      <c r="BW314" s="268" t="e">
        <f>SUM(BW293,BW300,BW310,BW312)</f>
        <v>#DIV/0!</v>
      </c>
      <c r="BX314" s="268" t="e">
        <f>SUM(BX293,BX300,BX310,BX312)</f>
        <v>#DIV/0!</v>
      </c>
      <c r="BY314" s="268" t="e">
        <f>SUM(BY293,BY300,BY310,BY312)</f>
        <v>#DIV/0!</v>
      </c>
      <c r="BZ314" s="268" t="e">
        <f>SUM(BV314:BY314)</f>
        <v>#DIV/0!</v>
      </c>
      <c r="CA314" s="268" t="e">
        <f>SUM(CA293,CA300,CA310,CA312)</f>
        <v>#DIV/0!</v>
      </c>
      <c r="CB314" s="268" t="e">
        <f>SUM(CB293,CB300,CB310,CB312)</f>
        <v>#DIV/0!</v>
      </c>
      <c r="CC314" s="268" t="e">
        <f>SUM(CC293,CC300,CC310,CC312)</f>
        <v>#DIV/0!</v>
      </c>
      <c r="CD314" s="268" t="e">
        <f>SUM(CD293,CD300,CD310,CD312)</f>
        <v>#DIV/0!</v>
      </c>
      <c r="CE314" s="268" t="e">
        <f>SUM(CA314:CD314)</f>
        <v>#DIV/0!</v>
      </c>
      <c r="CF314" s="268" t="e">
        <f>SUM(CF293,CF300,CF310,CF312)</f>
        <v>#DIV/0!</v>
      </c>
      <c r="CG314" s="268" t="e">
        <f>SUM(CG293,CG300,CG310,CG312)</f>
        <v>#DIV/0!</v>
      </c>
      <c r="CH314" s="268" t="e">
        <f>SUM(CH293,CH300,CH310,CH312)</f>
        <v>#DIV/0!</v>
      </c>
      <c r="CI314" s="268" t="e">
        <f>SUM(CI293,CI300,CI310,CI312)</f>
        <v>#DIV/0!</v>
      </c>
      <c r="CJ314" s="268" t="e">
        <f>SUM(CF314:CI314)</f>
        <v>#DIV/0!</v>
      </c>
      <c r="CK314" s="268" t="e">
        <f>SUM(CK293,CK300,CK310,CK312)</f>
        <v>#DIV/0!</v>
      </c>
      <c r="CL314" s="268" t="e">
        <f>SUM(CL293,CL300,CL310,CL312)</f>
        <v>#DIV/0!</v>
      </c>
      <c r="CM314" s="268" t="e">
        <f>SUM(CM293,CM300,CM310,CM312)</f>
        <v>#DIV/0!</v>
      </c>
      <c r="CN314" s="268" t="e">
        <f>SUM(CN293,CN300,CN310,CN312)</f>
        <v>#DIV/0!</v>
      </c>
      <c r="CO314" s="268" t="e">
        <f>SUM(CK314:CN314)</f>
        <v>#DIV/0!</v>
      </c>
      <c r="CP314" s="268" t="e">
        <f>SUM(CP293,CP300,CP310,CP312)</f>
        <v>#DIV/0!</v>
      </c>
      <c r="CQ314" s="268" t="e">
        <f>SUM(CQ293,CQ300,CQ310,CQ312)</f>
        <v>#DIV/0!</v>
      </c>
      <c r="CR314" s="268" t="e">
        <f>SUM(CR293,CR300,CR310,CR312)</f>
        <v>#DIV/0!</v>
      </c>
      <c r="CS314" s="268" t="e">
        <f>SUM(CS293,CS300,CS310,CS312)</f>
        <v>#DIV/0!</v>
      </c>
      <c r="CT314" s="268" t="e">
        <f>SUM(CP314:CS314)</f>
        <v>#DIV/0!</v>
      </c>
      <c r="CU314" s="268" t="e">
        <f>SUM(CU293,CU300,CU310,CU312)</f>
        <v>#DIV/0!</v>
      </c>
      <c r="CV314" s="268" t="e">
        <f>SUM(CV293,CV300,CV310,CV312)</f>
        <v>#DIV/0!</v>
      </c>
      <c r="CW314" s="268" t="e">
        <f>SUM(CW293,CW300,CW310,CW312)</f>
        <v>#DIV/0!</v>
      </c>
      <c r="CX314" s="268" t="e">
        <f>SUM(CX293,CX300,CX310,CX312)</f>
        <v>#DIV/0!</v>
      </c>
      <c r="CY314" s="268" t="e">
        <f>SUM(CU314:CX314)</f>
        <v>#DIV/0!</v>
      </c>
    </row>
    <row r="315" ht="12.75" customHeight="1" s="255">
      <c r="C315" s="260" t="inlineStr">
        <is>
          <t>Check</t>
        </is>
      </c>
      <c r="E315" s="329">
        <f>(E314)-(E144-D144)</f>
        <v>0</v>
      </c>
      <c r="F315" s="329">
        <f>(F314)-(F144-E144)</f>
        <v>0</v>
      </c>
      <c r="G315" s="329">
        <f>(G314)-(G144-F144)</f>
        <v>0</v>
      </c>
      <c r="I315" s="329">
        <f>(I314)-(I144-H144)</f>
        <v>0</v>
      </c>
      <c r="J315" s="329">
        <f>(J314)-(J144-I144)</f>
        <v>0</v>
      </c>
      <c r="K315" s="329">
        <f>(K314)-(K144-J144)</f>
        <v>0</v>
      </c>
      <c r="L315" s="329">
        <f>(L314)-(L144-K144)</f>
        <v>0</v>
      </c>
      <c r="N315" s="329">
        <f>(N314)-(N144-M144)</f>
        <v>0</v>
      </c>
      <c r="O315" s="329">
        <f>(O314)-(O144-N144)</f>
        <v>0</v>
      </c>
      <c r="P315" s="329">
        <f>(P314)-(P144-O144)</f>
        <v>0</v>
      </c>
      <c r="Q315" s="329">
        <f>(Q314)-(Q144-P144)</f>
        <v>0</v>
      </c>
      <c r="S315" s="329">
        <f>(S314)-(S144-R144)</f>
        <v>0</v>
      </c>
      <c r="T315" s="329">
        <f>(T314)-(T144-S144)</f>
        <v>0</v>
      </c>
      <c r="U315" s="329">
        <f>(U314)-(U144-T144)</f>
        <v>0</v>
      </c>
      <c r="V315" s="329">
        <f>(V314)-(V144-U144)</f>
        <v>0</v>
      </c>
      <c r="X315" s="329">
        <f>(X314)-(X144-W144)</f>
        <v>0</v>
      </c>
      <c r="Y315" s="329">
        <f>(Y314)-(Y144-X144)</f>
        <v>0</v>
      </c>
      <c r="Z315" s="329">
        <f>(Z314)-(Z144-Y144)</f>
        <v>0</v>
      </c>
      <c r="AA315" s="329">
        <f>(AA314)-(AA144-Z144)</f>
        <v>0</v>
      </c>
      <c r="AC315" s="329">
        <f>(AC314)-(AC144-AB144)</f>
        <v>0</v>
      </c>
      <c r="AD315" s="329">
        <f>(AD314)-(AD144-AC144)</f>
        <v>0</v>
      </c>
      <c r="AE315" s="329">
        <f>(AE314)-(AE144-AD144)</f>
        <v>0</v>
      </c>
      <c r="AF315" s="329">
        <f>(AF314)-(AF144-AE144)</f>
        <v>0</v>
      </c>
      <c r="AH315" s="329">
        <f>(AH314)-(AH144-AG144)</f>
        <v>0</v>
      </c>
      <c r="AI315" s="329">
        <f>(AI314)-(AI144-AH144)</f>
        <v>0</v>
      </c>
      <c r="AJ315" s="329">
        <f>(AJ314)-(AJ144-AI144)</f>
        <v>0</v>
      </c>
      <c r="AK315" s="329">
        <f>(AK314)-(AK144-AJ144)</f>
        <v>0</v>
      </c>
      <c r="AM315" s="329" t="e">
        <f>(AM314)-(AM144-AL144)</f>
        <v>#DIV/0!</v>
      </c>
      <c r="AN315" s="329" t="e">
        <f>(AN314)-(AN144-AM144)</f>
        <v>#DIV/0!</v>
      </c>
      <c r="AO315" s="329" t="e">
        <f>(AO314)-(AO144-AN144)</f>
        <v>#DIV/0!</v>
      </c>
      <c r="AP315" s="329" t="e">
        <f>(AP314)-(AP144-AO144)</f>
        <v>#DIV/0!</v>
      </c>
      <c r="AR315" s="329" t="e">
        <f>(AR314)-(AR144-AQ144)</f>
        <v>#DIV/0!</v>
      </c>
      <c r="AS315" s="329" t="e">
        <f>(AS314)-(AS144-AR144)</f>
        <v>#DIV/0!</v>
      </c>
      <c r="AT315" s="329" t="e">
        <f>(AT314)-(AT144-AS144)</f>
        <v>#DIV/0!</v>
      </c>
      <c r="AU315" s="329" t="e">
        <f>(AU314)-(AU144-AT144)</f>
        <v>#DIV/0!</v>
      </c>
      <c r="AW315" s="329" t="e">
        <f>(AW314)-(AW144-AV144)</f>
        <v>#DIV/0!</v>
      </c>
      <c r="AX315" s="329" t="e">
        <f>(AX314)-(AX144-AW144)</f>
        <v>#DIV/0!</v>
      </c>
      <c r="AY315" s="329" t="e">
        <f>(AY314)-(AY144-AX144)</f>
        <v>#DIV/0!</v>
      </c>
      <c r="AZ315" s="329" t="e">
        <f>(AZ314)-(AZ144-AY144)</f>
        <v>#DIV/0!</v>
      </c>
      <c r="BB315" s="329" t="e">
        <f>(BB314)-(BB144-BA144)</f>
        <v>#DIV/0!</v>
      </c>
      <c r="BC315" s="329" t="e">
        <f>(BC314)-(BC144-BB144)</f>
        <v>#DIV/0!</v>
      </c>
      <c r="BD315" s="329" t="e">
        <f>(BD314)-(BD144-BC144)</f>
        <v>#DIV/0!</v>
      </c>
      <c r="BE315" s="329" t="e">
        <f>(BE314)-(BE144-BD144)</f>
        <v>#DIV/0!</v>
      </c>
      <c r="BG315" s="329" t="e">
        <f>(BG314)-(BG144-BF144)</f>
        <v>#DIV/0!</v>
      </c>
      <c r="BH315" s="329" t="e">
        <f>(BH314)-(BH144-BG144)</f>
        <v>#DIV/0!</v>
      </c>
      <c r="BI315" s="329" t="e">
        <f>(BI314)-(BI144-BH144)</f>
        <v>#DIV/0!</v>
      </c>
      <c r="BJ315" s="329" t="e">
        <f>(BJ314)-(BJ144-BI144)</f>
        <v>#DIV/0!</v>
      </c>
      <c r="BL315" s="329" t="e">
        <f>(BL314)-(BL144-BK144)</f>
        <v>#DIV/0!</v>
      </c>
      <c r="BM315" s="329" t="e">
        <f>(BM314)-(BM144-BL144)</f>
        <v>#DIV/0!</v>
      </c>
      <c r="BN315" s="329" t="e">
        <f>(BN314)-(BN144-BM144)</f>
        <v>#DIV/0!</v>
      </c>
      <c r="BO315" s="329" t="e">
        <f>(BO314)-(BO144-BN144)</f>
        <v>#DIV/0!</v>
      </c>
      <c r="BQ315" s="329" t="e">
        <f>(BQ314)-(BQ144-BP144)</f>
        <v>#DIV/0!</v>
      </c>
      <c r="BR315" s="329" t="e">
        <f>(BR314)-(BR144-BQ144)</f>
        <v>#DIV/0!</v>
      </c>
      <c r="BS315" s="329" t="e">
        <f>(BS314)-(BS144-BR144)</f>
        <v>#DIV/0!</v>
      </c>
      <c r="BT315" s="329" t="e">
        <f>(BT314)-(BT144-BS144)</f>
        <v>#DIV/0!</v>
      </c>
      <c r="BV315" s="329" t="e">
        <f>(BV314)-(BV144-BU144)</f>
        <v>#DIV/0!</v>
      </c>
      <c r="BW315" s="329" t="e">
        <f>(BW314)-(BW144-BV144)</f>
        <v>#DIV/0!</v>
      </c>
      <c r="BX315" s="329" t="e">
        <f>(BX314)-(BX144-BW144)</f>
        <v>#DIV/0!</v>
      </c>
      <c r="BY315" s="329" t="e">
        <f>(BY314)-(BY144-BX144)</f>
        <v>#DIV/0!</v>
      </c>
      <c r="CA315" s="329" t="e">
        <f>(CA314)-(CA144-BZ144)</f>
        <v>#DIV/0!</v>
      </c>
      <c r="CB315" s="329" t="e">
        <f>(CB314)-(CB144-CA144)</f>
        <v>#DIV/0!</v>
      </c>
      <c r="CC315" s="329" t="e">
        <f>(CC314)-(CC144-CB144)</f>
        <v>#DIV/0!</v>
      </c>
      <c r="CD315" s="329" t="e">
        <f>(CD314)-(CD144-CC144)</f>
        <v>#DIV/0!</v>
      </c>
      <c r="CF315" s="329" t="e">
        <f>(CF314)-(CF144-CE144)</f>
        <v>#DIV/0!</v>
      </c>
      <c r="CG315" s="329" t="e">
        <f>(CG314)-(CG144-CF144)</f>
        <v>#DIV/0!</v>
      </c>
      <c r="CH315" s="329" t="e">
        <f>(CH314)-(CH144-CG144)</f>
        <v>#DIV/0!</v>
      </c>
      <c r="CI315" s="329" t="e">
        <f>(CI314)-(CI144-CH144)</f>
        <v>#DIV/0!</v>
      </c>
      <c r="CK315" s="329" t="e">
        <f>(CK314)-(CK144-CJ144)</f>
        <v>#DIV/0!</v>
      </c>
      <c r="CL315" s="329" t="e">
        <f>(CL314)-(CL144-CK144)</f>
        <v>#DIV/0!</v>
      </c>
      <c r="CM315" s="329" t="e">
        <f>(CM314)-(CM144-CL144)</f>
        <v>#DIV/0!</v>
      </c>
      <c r="CN315" s="329" t="e">
        <f>(CN314)-(CN144-CM144)</f>
        <v>#DIV/0!</v>
      </c>
      <c r="CP315" s="329" t="e">
        <f>(CP314)-(CP144-CO144)</f>
        <v>#DIV/0!</v>
      </c>
      <c r="CQ315" s="329" t="e">
        <f>(CQ314)-(CQ144-CP144)</f>
        <v>#DIV/0!</v>
      </c>
      <c r="CR315" s="329" t="e">
        <f>(CR314)-(CR144-CQ144)</f>
        <v>#DIV/0!</v>
      </c>
      <c r="CS315" s="329" t="e">
        <f>(CS314)-(CS144-CR144)</f>
        <v>#DIV/0!</v>
      </c>
      <c r="CU315" s="329" t="e">
        <f>(CU314)-(CU144-CT144)</f>
        <v>#DIV/0!</v>
      </c>
      <c r="CV315" s="329" t="e">
        <f>(CV314)-(CV144-CU144)</f>
        <v>#DIV/0!</v>
      </c>
      <c r="CW315" s="329" t="e">
        <f>(CW314)-(CW144-CV144)</f>
        <v>#DIV/0!</v>
      </c>
      <c r="CX315" s="329" t="e">
        <f>(CX314)-(CX144-CW144)</f>
        <v>#DIV/0!</v>
      </c>
    </row>
    <row r="317" ht="12.75" customHeight="1" s="255">
      <c r="C317" s="330" t="inlineStr">
        <is>
          <t>Ratio Analysis</t>
        </is>
      </c>
      <c r="D317" s="330" t="n"/>
      <c r="E317" s="330" t="n"/>
      <c r="F317" s="330" t="n"/>
      <c r="G317" s="330" t="n"/>
      <c r="H317" s="330" t="n"/>
      <c r="I317" s="330" t="n"/>
      <c r="J317" s="330" t="n"/>
      <c r="K317" s="330" t="n"/>
      <c r="L317" s="330" t="n"/>
      <c r="M317" s="330" t="n"/>
      <c r="N317" s="330" t="n"/>
      <c r="O317" s="330" t="n"/>
      <c r="P317" s="330" t="n"/>
      <c r="Q317" s="330" t="n"/>
      <c r="R317" s="330" t="n"/>
      <c r="S317" s="330" t="n"/>
      <c r="T317" s="330" t="n"/>
      <c r="U317" s="330" t="n"/>
      <c r="V317" s="330" t="n"/>
      <c r="W317" s="330" t="n"/>
      <c r="X317" s="330" t="n"/>
      <c r="Y317" s="330" t="n"/>
      <c r="Z317" s="330" t="n"/>
      <c r="AA317" s="330" t="n"/>
      <c r="AB317" s="330" t="n"/>
      <c r="AC317" s="330" t="n"/>
      <c r="AD317" s="330" t="n"/>
      <c r="AE317" s="330" t="n"/>
      <c r="AF317" s="330" t="n"/>
      <c r="AG317" s="330" t="n"/>
      <c r="AH317" s="330" t="n"/>
      <c r="AI317" s="330" t="n"/>
      <c r="AJ317" s="330" t="n"/>
      <c r="AK317" s="330" t="n"/>
      <c r="AL317" s="330" t="n"/>
      <c r="AM317" s="330" t="n"/>
      <c r="AN317" s="330" t="n"/>
      <c r="AO317" s="330" t="n"/>
      <c r="AP317" s="330" t="n"/>
      <c r="AQ317" s="330" t="n"/>
      <c r="AR317" s="330" t="n"/>
      <c r="AS317" s="330" t="n"/>
      <c r="AT317" s="330" t="n"/>
      <c r="AU317" s="330" t="n"/>
      <c r="AV317" s="330" t="n"/>
      <c r="AW317" s="330" t="n"/>
      <c r="AX317" s="330" t="n"/>
      <c r="AY317" s="330" t="n"/>
      <c r="AZ317" s="330" t="n"/>
      <c r="BA317" s="330" t="n"/>
      <c r="BB317" s="330" t="n"/>
      <c r="BC317" s="330" t="n"/>
      <c r="BD317" s="330" t="n"/>
      <c r="BE317" s="330" t="n"/>
      <c r="BF317" s="330" t="n"/>
      <c r="BG317" s="330" t="n"/>
      <c r="BH317" s="330" t="n"/>
      <c r="BI317" s="330" t="n"/>
      <c r="BJ317" s="330" t="n"/>
      <c r="BK317" s="330" t="n"/>
      <c r="BL317" s="330" t="n"/>
      <c r="BM317" s="330" t="n"/>
      <c r="BN317" s="330" t="n"/>
      <c r="BO317" s="330" t="n"/>
      <c r="BP317" s="330" t="n"/>
      <c r="BQ317" s="330" t="n"/>
      <c r="BR317" s="330" t="n"/>
      <c r="BS317" s="330" t="n"/>
      <c r="BT317" s="330" t="n"/>
      <c r="BU317" s="330" t="n"/>
      <c r="BV317" s="330" t="n"/>
      <c r="BW317" s="330" t="n"/>
      <c r="BX317" s="330" t="n"/>
      <c r="BY317" s="330" t="n"/>
      <c r="BZ317" s="330" t="n"/>
      <c r="CA317" s="330" t="n"/>
      <c r="CB317" s="330" t="n"/>
      <c r="CC317" s="330" t="n"/>
      <c r="CD317" s="330" t="n"/>
      <c r="CE317" s="330" t="n"/>
      <c r="CF317" s="330" t="n"/>
      <c r="CG317" s="330" t="n"/>
      <c r="CH317" s="330" t="n"/>
      <c r="CI317" s="330" t="n"/>
      <c r="CJ317" s="330" t="n"/>
      <c r="CK317" s="330" t="n"/>
      <c r="CL317" s="330" t="n"/>
      <c r="CM317" s="330" t="n"/>
      <c r="CN317" s="330" t="n"/>
      <c r="CO317" s="330" t="n"/>
      <c r="CP317" s="330" t="n"/>
      <c r="CQ317" s="330" t="n"/>
      <c r="CR317" s="330" t="n"/>
      <c r="CS317" s="330" t="n"/>
      <c r="CT317" s="330" t="n"/>
      <c r="CU317" s="330" t="n"/>
      <c r="CV317" s="330" t="n"/>
      <c r="CW317" s="330" t="n"/>
      <c r="CX317" s="330" t="n"/>
      <c r="CY317" s="330" t="n"/>
    </row>
    <row r="319" ht="12.75" customFormat="1" customHeight="1" s="331">
      <c r="C319" s="331" t="inlineStr">
        <is>
          <t>YEAR</t>
        </is>
      </c>
      <c r="D319" s="331" t="str">
        <f>D275</f>
        <v>1Q20</v>
      </c>
      <c r="E319" s="332" t="str">
        <f>E275</f>
        <v>2Q20</v>
      </c>
      <c r="F319" s="332" t="str">
        <f>F275</f>
        <v>3Q20</v>
      </c>
      <c r="G319" s="332" t="str">
        <f>G275</f>
        <v>4Q20</v>
      </c>
      <c r="H319" s="332">
        <f>H275</f>
        <v>2020</v>
      </c>
      <c r="I319" s="332" t="str">
        <f>I275</f>
        <v>1Q21</v>
      </c>
      <c r="J319" s="332" t="str">
        <f>J275</f>
        <v>2Q21</v>
      </c>
      <c r="K319" s="332" t="str">
        <f>K275</f>
        <v>3Q21</v>
      </c>
      <c r="L319" s="332" t="str">
        <f>L275</f>
        <v>4Q21</v>
      </c>
      <c r="M319" s="332">
        <f>M275</f>
        <v>2021</v>
      </c>
      <c r="N319" s="332" t="str">
        <f>N275</f>
        <v>1Q22</v>
      </c>
      <c r="O319" s="332" t="str">
        <f>O275</f>
        <v>2Q22</v>
      </c>
      <c r="P319" s="332" t="str">
        <f>P275</f>
        <v>3Q22</v>
      </c>
      <c r="Q319" s="332" t="str">
        <f>Q275</f>
        <v>4Q22</v>
      </c>
      <c r="R319" s="332">
        <f>R275</f>
        <v>2022</v>
      </c>
      <c r="S319" s="332" t="str">
        <f>S275</f>
        <v>1Q23</v>
      </c>
      <c r="T319" s="332" t="str">
        <f>T275</f>
        <v>2Q23</v>
      </c>
      <c r="U319" s="332" t="str">
        <f>U275</f>
        <v>3Q23</v>
      </c>
      <c r="V319" s="332" t="str">
        <f>V275</f>
        <v>4Q23</v>
      </c>
      <c r="W319" s="332">
        <f>W275</f>
        <v>2023</v>
      </c>
      <c r="X319" s="332" t="str">
        <f>X275</f>
        <v>1Q24</v>
      </c>
      <c r="Y319" s="332" t="str">
        <f>Y275</f>
        <v>2Q24</v>
      </c>
      <c r="Z319" s="332" t="str">
        <f>Z275</f>
        <v>3Q24</v>
      </c>
      <c r="AA319" s="332" t="str">
        <f>AA275</f>
        <v>4Q24</v>
      </c>
      <c r="AB319" s="332">
        <f>AB275</f>
        <v>2024</v>
      </c>
      <c r="AC319" s="332" t="str">
        <f>AC275</f>
        <v>1Q25</v>
      </c>
      <c r="AD319" s="332" t="str">
        <f>AD275</f>
        <v>2Q25</v>
      </c>
      <c r="AE319" s="332" t="str">
        <f>AE275</f>
        <v>3Q25</v>
      </c>
      <c r="AF319" s="332" t="str">
        <f>AF275</f>
        <v>4Q25</v>
      </c>
      <c r="AG319" s="332">
        <f>AG275</f>
        <v>2025</v>
      </c>
      <c r="AH319" s="332" t="str">
        <f>AH275</f>
        <v>1Q26</v>
      </c>
      <c r="AI319" s="332" t="str">
        <f>AI275</f>
        <v>2Q26</v>
      </c>
      <c r="AJ319" s="332" t="str">
        <f>AJ275</f>
        <v>3Q26</v>
      </c>
      <c r="AK319" s="332" t="str">
        <f>AK275</f>
        <v>4Q26</v>
      </c>
      <c r="AL319" s="332">
        <f>AL275</f>
        <v>2026</v>
      </c>
      <c r="AM319" s="332" t="str">
        <f>AM275</f>
        <v>1Q27</v>
      </c>
      <c r="AN319" s="332" t="str">
        <f>AN275</f>
        <v>2Q27</v>
      </c>
      <c r="AO319" s="332" t="str">
        <f>AO275</f>
        <v>3Q27</v>
      </c>
      <c r="AP319" s="332" t="str">
        <f>AP275</f>
        <v>4Q27</v>
      </c>
      <c r="AQ319" s="332">
        <f>AQ275</f>
        <v>2027</v>
      </c>
      <c r="AR319" s="332" t="str">
        <f>AR275</f>
        <v>1Q28</v>
      </c>
      <c r="AS319" s="332" t="str">
        <f>AS275</f>
        <v>2Q28</v>
      </c>
      <c r="AT319" s="332" t="str">
        <f>AT275</f>
        <v>3Q28</v>
      </c>
      <c r="AU319" s="332" t="str">
        <f>AU275</f>
        <v>4Q28</v>
      </c>
      <c r="AV319" s="332">
        <f>AV275</f>
        <v>2028</v>
      </c>
      <c r="AW319" s="332" t="str">
        <f>AW275</f>
        <v>1Q29</v>
      </c>
      <c r="AX319" s="332" t="str">
        <f>AX275</f>
        <v>2Q29</v>
      </c>
      <c r="AY319" s="332" t="str">
        <f>AY275</f>
        <v>3Q29</v>
      </c>
      <c r="AZ319" s="332" t="str">
        <f>AZ275</f>
        <v>4Q29</v>
      </c>
      <c r="BA319" s="332">
        <f>BA275</f>
        <v>2029</v>
      </c>
      <c r="BB319" s="332" t="str">
        <f>BB275</f>
        <v>1Q30</v>
      </c>
      <c r="BC319" s="332" t="str">
        <f>BC275</f>
        <v>2Q30</v>
      </c>
      <c r="BD319" s="332" t="str">
        <f>BD275</f>
        <v>3Q30</v>
      </c>
      <c r="BE319" s="332" t="str">
        <f>BE275</f>
        <v>4Q30</v>
      </c>
      <c r="BF319" s="332">
        <f>BF275</f>
        <v>2030</v>
      </c>
      <c r="BG319" s="332" t="str">
        <f>BG275</f>
        <v>1Q31</v>
      </c>
      <c r="BH319" s="332" t="str">
        <f>BH275</f>
        <v>2Q31</v>
      </c>
      <c r="BI319" s="332" t="str">
        <f>BI275</f>
        <v>3Q31</v>
      </c>
      <c r="BJ319" s="332" t="str">
        <f>BJ275</f>
        <v>4Q31</v>
      </c>
      <c r="BK319" s="332">
        <f>BK275</f>
        <v>2031</v>
      </c>
      <c r="BL319" s="332" t="str">
        <f>BL275</f>
        <v>1Q32</v>
      </c>
      <c r="BM319" s="332" t="str">
        <f>BM275</f>
        <v>2Q32</v>
      </c>
      <c r="BN319" s="332" t="str">
        <f>BN275</f>
        <v>3Q32</v>
      </c>
      <c r="BO319" s="332" t="str">
        <f>BO275</f>
        <v>4Q32</v>
      </c>
      <c r="BP319" s="332">
        <f>BP275</f>
        <v>2032</v>
      </c>
      <c r="BQ319" s="332" t="str">
        <f>BQ275</f>
        <v>1Q33</v>
      </c>
      <c r="BR319" s="332" t="str">
        <f>BR275</f>
        <v>2Q33</v>
      </c>
      <c r="BS319" s="332" t="str">
        <f>BS275</f>
        <v>3Q33</v>
      </c>
      <c r="BT319" s="332" t="str">
        <f>BT275</f>
        <v>4Q33</v>
      </c>
      <c r="BU319" s="332">
        <f>BU275</f>
        <v>2033</v>
      </c>
      <c r="BV319" s="332" t="str">
        <f>BV275</f>
        <v>1Q34</v>
      </c>
      <c r="BW319" s="332" t="str">
        <f>BW275</f>
        <v>2Q34</v>
      </c>
      <c r="BX319" s="332" t="str">
        <f>BX275</f>
        <v>3Q34</v>
      </c>
      <c r="BY319" s="332" t="str">
        <f>BY275</f>
        <v>4Q34</v>
      </c>
      <c r="BZ319" s="332">
        <f>BZ275</f>
        <v>2034</v>
      </c>
      <c r="CA319" s="332" t="str">
        <f>CA275</f>
        <v>1Q35</v>
      </c>
      <c r="CB319" s="332" t="str">
        <f>CB275</f>
        <v>2Q35</v>
      </c>
      <c r="CC319" s="332" t="str">
        <f>CC275</f>
        <v>3Q35</v>
      </c>
      <c r="CD319" s="332" t="str">
        <f>CD275</f>
        <v>4Q35</v>
      </c>
      <c r="CE319" s="332">
        <f>CE275</f>
        <v>2035</v>
      </c>
      <c r="CF319" s="332" t="str">
        <f>CF275</f>
        <v>1Q36</v>
      </c>
      <c r="CG319" s="332" t="str">
        <f>CG275</f>
        <v>2Q36</v>
      </c>
      <c r="CH319" s="332" t="str">
        <f>CH275</f>
        <v>3Q36</v>
      </c>
      <c r="CI319" s="332" t="str">
        <f>CI275</f>
        <v>4Q36</v>
      </c>
      <c r="CJ319" s="332">
        <f>CJ275</f>
        <v>2036</v>
      </c>
      <c r="CK319" s="332" t="str">
        <f>CK275</f>
        <v>1Q37</v>
      </c>
      <c r="CL319" s="332" t="str">
        <f>CL275</f>
        <v>2Q37</v>
      </c>
      <c r="CM319" s="332" t="str">
        <f>CM275</f>
        <v>3Q37</v>
      </c>
      <c r="CN319" s="332" t="str">
        <f>CN275</f>
        <v>4Q37</v>
      </c>
      <c r="CO319" s="332">
        <f>CO275</f>
        <v>2037</v>
      </c>
      <c r="CP319" s="332" t="str">
        <f>CP275</f>
        <v>1Q38</v>
      </c>
      <c r="CQ319" s="332" t="str">
        <f>CQ275</f>
        <v>2Q38</v>
      </c>
      <c r="CR319" s="332" t="str">
        <f>CR275</f>
        <v>3Q38</v>
      </c>
      <c r="CS319" s="332" t="str">
        <f>CS275</f>
        <v>4Q38</v>
      </c>
      <c r="CT319" s="332">
        <f>CT275</f>
        <v>2038</v>
      </c>
      <c r="CU319" s="332" t="str">
        <f>CU275</f>
        <v>1Q39</v>
      </c>
      <c r="CV319" s="332" t="str">
        <f>CV275</f>
        <v>2Q39</v>
      </c>
      <c r="CW319" s="332" t="str">
        <f>CW275</f>
        <v>3Q39</v>
      </c>
      <c r="CX319" s="332" t="str">
        <f>CX275</f>
        <v>4Q39</v>
      </c>
      <c r="CY319" s="332">
        <f>CY275</f>
        <v>2039</v>
      </c>
    </row>
    <row r="320" ht="12.75" customFormat="1" customHeight="1" s="333">
      <c r="A320" s="334" t="n"/>
      <c r="B320" s="334" t="n"/>
      <c r="C320" s="331" t="inlineStr">
        <is>
          <t>GROWTH &amp; MARGINS</t>
        </is>
      </c>
    </row>
    <row r="321" ht="12.75" customFormat="1" customHeight="1" s="333">
      <c r="A321" s="334" t="n"/>
      <c r="B321" s="334" t="n"/>
      <c r="C321" s="333" t="inlineStr">
        <is>
          <t>NET REVENUE GROWTH</t>
        </is>
      </c>
      <c r="E321" s="335">
        <f>E15/D15-1</f>
        <v>0.0315055052872562</v>
      </c>
      <c r="F321" s="335">
        <f>F15/E15-1</f>
        <v>0.0736630733460157</v>
      </c>
      <c r="G321" s="335">
        <f>G15/F15-1</f>
        <v>0.241263903927552</v>
      </c>
      <c r="H321" s="335" t="n"/>
      <c r="I321" s="336">
        <f>I15/H15-1</f>
        <v>-0.68696261230799</v>
      </c>
      <c r="J321" s="336">
        <f>J15/I15-1</f>
        <v>0.187485533523648</v>
      </c>
      <c r="K321" s="336">
        <f>K15/J15-1</f>
        <v>-0.082775648106036</v>
      </c>
      <c r="L321" s="336">
        <f>L15/K15-1</f>
        <v>0.181766664305447</v>
      </c>
      <c r="M321" s="335" t="n"/>
      <c r="N321" s="336">
        <f>N15/M15-1</f>
        <v>-0.731539085745199</v>
      </c>
      <c r="O321" s="336">
        <f>O15/N15-1</f>
        <v>0.129282115869018</v>
      </c>
      <c r="P321" s="336">
        <f>P15/O15-1</f>
        <v>-0.0654659008531757</v>
      </c>
      <c r="Q321" s="336">
        <f>Q15/P15-1</f>
        <v>-0.0059072737036816</v>
      </c>
      <c r="R321" s="335" t="n"/>
      <c r="S321" s="336">
        <f>S15/R15-1</f>
        <v>-0.772013326987149</v>
      </c>
      <c r="T321" s="336">
        <f>T15/S15-1</f>
        <v>-0.0182019832985386</v>
      </c>
      <c r="U321" s="336">
        <f>U15/T15-1</f>
        <v>-0.0546215695395043</v>
      </c>
      <c r="V321" s="336">
        <f>V15/U15-1</f>
        <v>0.0498348211147817</v>
      </c>
      <c r="W321" s="335" t="n"/>
      <c r="X321" s="336">
        <f>X15/W15-1</f>
        <v>-0.774655693651327</v>
      </c>
      <c r="Y321" s="336">
        <f>Y15/X15-1</f>
        <v>-0.0131176865171052</v>
      </c>
      <c r="Z321" s="336">
        <f>Z15/Y15-1</f>
        <v>-0.0251491579185862</v>
      </c>
      <c r="AA321" s="336">
        <f>AA15/Z15-1</f>
        <v>0.0491168267740936</v>
      </c>
      <c r="AB321" s="335" t="n"/>
      <c r="AC321" s="336">
        <f>AC15/AB15-1</f>
        <v>-0.780767492656474</v>
      </c>
      <c r="AD321" s="336">
        <f>AD15/AC15-1</f>
        <v>0.0967104698101864</v>
      </c>
      <c r="AE321" s="336">
        <f>AE15/AD15-1</f>
        <v>0.735061477014645</v>
      </c>
      <c r="AF321" s="336">
        <f>AF15/AE15-1</f>
        <v>0.072534416610246</v>
      </c>
      <c r="AG321" s="335" t="n"/>
      <c r="AH321" s="336">
        <f>AH15/AG15-1</f>
        <v>-0.689160943565243</v>
      </c>
      <c r="AI321" s="336">
        <f>AI15/AH15-1</f>
        <v>0.0997209642742785</v>
      </c>
      <c r="AJ321" s="336">
        <f>AJ15/AI15-1</f>
        <v>-0.0784493157522566</v>
      </c>
      <c r="AK321" s="336">
        <f>AK15/AJ15-1</f>
        <v>0.072534416610246</v>
      </c>
      <c r="AL321" s="335" t="n"/>
      <c r="AM321" s="336">
        <f>AM15/AL15-1</f>
        <v>-0.761912022566136</v>
      </c>
      <c r="AN321" s="336">
        <f>AN15/AM15-1</f>
        <v>0.0997209642742785</v>
      </c>
      <c r="AO321" s="336">
        <f>AO15/AN15-1</f>
        <v>-0.0784493157522566</v>
      </c>
      <c r="AP321" s="336">
        <f>AP15/AO15-1</f>
        <v>0.072534416610246</v>
      </c>
      <c r="AQ321" s="335" t="n"/>
      <c r="AR321" s="336">
        <f>AR15/AQ15-1</f>
        <v>-0.761912022566136</v>
      </c>
      <c r="AS321" s="336">
        <f>AS15/AR15-1</f>
        <v>0.0997209642742785</v>
      </c>
      <c r="AT321" s="336">
        <f>AT15/AS15-1</f>
        <v>-0.0784493157522566</v>
      </c>
      <c r="AU321" s="336">
        <f>AU15/AT15-1</f>
        <v>0.072534416610246</v>
      </c>
      <c r="AV321" s="335" t="n"/>
      <c r="AW321" s="336">
        <f>AW15/AV15-1</f>
        <v>-0.761912022566136</v>
      </c>
      <c r="AX321" s="336">
        <f>AX15/AW15-1</f>
        <v>0.0997209642742785</v>
      </c>
      <c r="AY321" s="336">
        <f>AY15/AX15-1</f>
        <v>-0.0784493157522566</v>
      </c>
      <c r="AZ321" s="336">
        <f>AZ15/AY15-1</f>
        <v>0.072534416610246</v>
      </c>
      <c r="BA321" s="335" t="n"/>
      <c r="BB321" s="336">
        <f>BB15/BA15-1</f>
        <v>-0.761912022566136</v>
      </c>
      <c r="BC321" s="336">
        <f>BC15/BB15-1</f>
        <v>0.0997209642742785</v>
      </c>
      <c r="BD321" s="336">
        <f>BD15/BC15-1</f>
        <v>-0.0784493157522566</v>
      </c>
      <c r="BE321" s="336">
        <f>BE15/BD15-1</f>
        <v>0.072534416610246</v>
      </c>
      <c r="BF321" s="335" t="n"/>
      <c r="BG321" s="336">
        <f>BG15/BF15-1</f>
        <v>-0.761912022566136</v>
      </c>
      <c r="BH321" s="336">
        <f>BH15/BG15-1</f>
        <v>0.0997209642742785</v>
      </c>
      <c r="BI321" s="336">
        <f>BI15/BH15-1</f>
        <v>-0.0784493157522566</v>
      </c>
      <c r="BJ321" s="336">
        <f>BJ15/BI15-1</f>
        <v>0.072534416610246</v>
      </c>
      <c r="BK321" s="335" t="n"/>
      <c r="BL321" s="336">
        <f>BL15/BK15-1</f>
        <v>-0.761912022566136</v>
      </c>
      <c r="BM321" s="336">
        <f>BM15/BL15-1</f>
        <v>0.0997209642742785</v>
      </c>
      <c r="BN321" s="336">
        <f>BN15/BM15-1</f>
        <v>-0.0784493157522566</v>
      </c>
      <c r="BO321" s="336">
        <f>BO15/BN15-1</f>
        <v>0.072534416610246</v>
      </c>
      <c r="BP321" s="335" t="n"/>
      <c r="BQ321" s="336">
        <f>BQ15/BP15-1</f>
        <v>-0.761912022566136</v>
      </c>
      <c r="BR321" s="336">
        <f>BR15/BQ15-1</f>
        <v>0.0997209642742785</v>
      </c>
      <c r="BS321" s="336">
        <f>BS15/BR15-1</f>
        <v>-0.0784493157522566</v>
      </c>
      <c r="BT321" s="336">
        <f>BT15/BS15-1</f>
        <v>0.072534416610246</v>
      </c>
      <c r="BU321" s="335" t="n"/>
      <c r="BV321" s="336">
        <f>BV15/BU15-1</f>
        <v>-0.761912022566136</v>
      </c>
      <c r="BW321" s="336">
        <f>BW15/BV15-1</f>
        <v>0.0997209642742785</v>
      </c>
      <c r="BX321" s="336">
        <f>BX15/BW15-1</f>
        <v>-0.0784493157522566</v>
      </c>
      <c r="BY321" s="336">
        <f>BY15/BX15-1</f>
        <v>0.072534416610246</v>
      </c>
      <c r="BZ321" s="335" t="n"/>
      <c r="CA321" s="336">
        <f>CA15/BZ15-1</f>
        <v>-0.761912022566136</v>
      </c>
      <c r="CB321" s="336">
        <f>CB15/CA15-1</f>
        <v>0.0997209642742785</v>
      </c>
      <c r="CC321" s="336">
        <f>CC15/CB15-1</f>
        <v>-0.0784493157522566</v>
      </c>
      <c r="CD321" s="336">
        <f>CD15/CC15-1</f>
        <v>0.072534416610246</v>
      </c>
      <c r="CE321" s="335" t="n"/>
      <c r="CF321" s="336">
        <f>CF15/CE15-1</f>
        <v>-0.761912022566136</v>
      </c>
      <c r="CG321" s="336">
        <f>CG15/CF15-1</f>
        <v>0.0997209642742785</v>
      </c>
      <c r="CH321" s="336">
        <f>CH15/CG15-1</f>
        <v>-0.0784493157522566</v>
      </c>
      <c r="CI321" s="336">
        <f>CI15/CH15-1</f>
        <v>0.072534416610246</v>
      </c>
      <c r="CJ321" s="335" t="n"/>
      <c r="CK321" s="336">
        <f>CK15/CJ15-1</f>
        <v>-0.761912022566136</v>
      </c>
      <c r="CL321" s="336">
        <f>CL15/CK15-1</f>
        <v>0.0997209642742785</v>
      </c>
      <c r="CM321" s="336">
        <f>CM15/CL15-1</f>
        <v>-0.0784493157522566</v>
      </c>
      <c r="CN321" s="336">
        <f>CN15/CM15-1</f>
        <v>0.072534416610246</v>
      </c>
      <c r="CO321" s="335" t="n"/>
      <c r="CP321" s="336">
        <f>CP15/CO15-1</f>
        <v>-0.761912022566136</v>
      </c>
      <c r="CQ321" s="336">
        <f>CQ15/CP15-1</f>
        <v>0.0997209642742785</v>
      </c>
      <c r="CR321" s="336">
        <f>CR15/CQ15-1</f>
        <v>-0.0784493157522566</v>
      </c>
      <c r="CS321" s="336">
        <f>CS15/CR15-1</f>
        <v>0.072534416610246</v>
      </c>
      <c r="CT321" s="335" t="n"/>
      <c r="CU321" s="336">
        <f>CU15/CT15-1</f>
        <v>-0.761912022566136</v>
      </c>
      <c r="CV321" s="336">
        <f>CV15/CU15-1</f>
        <v>0.0997209642742785</v>
      </c>
      <c r="CW321" s="336">
        <f>CW15/CV15-1</f>
        <v>-0.0784493157522566</v>
      </c>
      <c r="CX321" s="336">
        <f>CX15/CW15-1</f>
        <v>0.072534416610246</v>
      </c>
      <c r="CY321" s="335" t="n"/>
    </row>
    <row r="322" ht="12.75" customFormat="1" customHeight="1" s="333">
      <c r="A322" s="334" t="n"/>
      <c r="B322" s="334" t="n"/>
      <c r="C322" s="333" t="inlineStr">
        <is>
          <t>GROSS MARGIN</t>
        </is>
      </c>
      <c r="D322" s="336">
        <f>SUM(D15,D54)/D15</f>
        <v>0.0312874741087976</v>
      </c>
      <c r="E322" s="336">
        <f>SUM(E15,E54)/E15</f>
        <v>0.127774254914394</v>
      </c>
      <c r="F322" s="336">
        <f>SUM(F15,F54)/F15</f>
        <v>0.0696918988089379</v>
      </c>
      <c r="G322" s="336">
        <f>SUM(G15,G54)/G15</f>
        <v>0.0805709754163363</v>
      </c>
      <c r="I322" s="337">
        <f>SUM(I15,I54)/I15</f>
        <v>0.096674639302523</v>
      </c>
      <c r="J322" s="337">
        <f>SUM(J15,J54)/J15</f>
        <v>0.0500942109024755</v>
      </c>
      <c r="K322" s="337">
        <f>SUM(K15,K54)/K15</f>
        <v>0.0684989728695899</v>
      </c>
      <c r="L322" s="337">
        <f>SUM(L15,L54)/L15</f>
        <v>0.0477132410237967</v>
      </c>
      <c r="N322" s="337">
        <f>SUM(N15,N54)/N15</f>
        <v>0.0822418136020151</v>
      </c>
      <c r="O322" s="337">
        <f>SUM(O15,O54)/O15</f>
        <v>0.0487369653711036</v>
      </c>
      <c r="P322" s="337">
        <f>SUM(P15,P54)/P15</f>
        <v>0.0590130676054657</v>
      </c>
      <c r="Q322" s="337">
        <f>SUM(Q15,Q54)/Q15</f>
        <v>0.0552821128451381</v>
      </c>
      <c r="S322" s="337">
        <f>SUM(S15,S54)/S15</f>
        <v>0.0837030271398747</v>
      </c>
      <c r="T322" s="337">
        <f>SUM(T15,T54)/T15</f>
        <v>0.0977473586284803</v>
      </c>
      <c r="U322" s="337">
        <f>SUM(U15,U54)/U15</f>
        <v>0.0811133759752583</v>
      </c>
      <c r="V322" s="337">
        <f>SUM(V15,V54)/V15</f>
        <v>0.0929298339582217</v>
      </c>
      <c r="X322" s="337">
        <f>SUM(X15,X54)/X15</f>
        <v>0.073637922039204</v>
      </c>
      <c r="Y322" s="337">
        <f>SUM(Y15,Y54)/Y15</f>
        <v>0.0587568914734537</v>
      </c>
      <c r="Z322" s="337">
        <f>SUM(Z15,Z54)/Z15</f>
        <v>0.0690269600247908</v>
      </c>
      <c r="AA322" s="337">
        <f>SUM(AA15,AA54)/AA15</f>
        <v>0.0889085807118594</v>
      </c>
      <c r="AC322" s="337">
        <f>SUM(AC15,AC54)/AC15</f>
        <v>0.0615820664777119</v>
      </c>
      <c r="AD322" s="337">
        <f>SUM(AD15,AD54)/AD15</f>
        <v>0.0668807267601222</v>
      </c>
      <c r="AE322" s="337">
        <f>SUM(AE15,AE54)/AE15</f>
        <v>0.0588580455879034</v>
      </c>
      <c r="AF322" s="337">
        <f>SUM(AF15,AF54)/AF15</f>
        <v>0.0520579075835367</v>
      </c>
      <c r="AH322" s="337">
        <f>SUM(AH15,AH54)/AH15</f>
        <v>0.0459265358400805</v>
      </c>
      <c r="AI322" s="337">
        <f>SUM(AI15,AI54)/AI15</f>
        <v>0.0805706917349528</v>
      </c>
      <c r="AJ322" s="337">
        <f>SUM(AJ15,AJ54)/AJ15</f>
        <v>0</v>
      </c>
      <c r="AK322" s="337">
        <f>SUM(AK15,AK54)/AK15</f>
        <v>0</v>
      </c>
      <c r="AM322" s="337">
        <f>SUM(AM15,AM54)/AM15</f>
        <v>0</v>
      </c>
      <c r="AN322" s="337">
        <f>SUM(AN15,AN54)/AN15</f>
        <v>0</v>
      </c>
      <c r="AO322" s="337">
        <f>SUM(AO15,AO54)/AO15</f>
        <v>0</v>
      </c>
      <c r="AP322" s="337">
        <f>SUM(AP15,AP54)/AP15</f>
        <v>0</v>
      </c>
      <c r="AR322" s="337">
        <f>SUM(AR15,AR54)/AR15</f>
        <v>0</v>
      </c>
      <c r="AS322" s="337">
        <f>SUM(AS15,AS54)/AS15</f>
        <v>0</v>
      </c>
      <c r="AT322" s="337">
        <f>SUM(AT15,AT54)/AT15</f>
        <v>0</v>
      </c>
      <c r="AU322" s="337">
        <f>SUM(AU15,AU54)/AU15</f>
        <v>0</v>
      </c>
      <c r="AW322" s="337">
        <f>SUM(AW15,AW54)/AW15</f>
        <v>0</v>
      </c>
      <c r="AX322" s="337">
        <f>SUM(AX15,AX54)/AX15</f>
        <v>0</v>
      </c>
      <c r="AY322" s="337">
        <f>SUM(AY15,AY54)/AY15</f>
        <v>0</v>
      </c>
      <c r="AZ322" s="337">
        <f>SUM(AZ15,AZ54)/AZ15</f>
        <v>0</v>
      </c>
      <c r="BB322" s="337">
        <f>SUM(BB15,BB54)/BB15</f>
        <v>0</v>
      </c>
      <c r="BC322" s="337">
        <f>SUM(BC15,BC54)/BC15</f>
        <v>0</v>
      </c>
      <c r="BD322" s="337">
        <f>SUM(BD15,BD54)/BD15</f>
        <v>0</v>
      </c>
      <c r="BE322" s="337">
        <f>SUM(BE15,BE54)/BE15</f>
        <v>0</v>
      </c>
      <c r="BG322" s="337">
        <f>SUM(BG15,BG54)/BG15</f>
        <v>0</v>
      </c>
      <c r="BH322" s="337">
        <f>SUM(BH15,BH54)/BH15</f>
        <v>0</v>
      </c>
      <c r="BI322" s="337">
        <f>SUM(BI15,BI54)/BI15</f>
        <v>0</v>
      </c>
      <c r="BJ322" s="337">
        <f>SUM(BJ15,BJ54)/BJ15</f>
        <v>0</v>
      </c>
      <c r="BL322" s="337">
        <f>SUM(BL15,BL54)/BL15</f>
        <v>0</v>
      </c>
      <c r="BM322" s="337">
        <f>SUM(BM15,BM54)/BM15</f>
        <v>0</v>
      </c>
      <c r="BN322" s="337">
        <f>SUM(BN15,BN54)/BN15</f>
        <v>0</v>
      </c>
      <c r="BO322" s="337">
        <f>SUM(BO15,BO54)/BO15</f>
        <v>0</v>
      </c>
      <c r="BQ322" s="337">
        <f>SUM(BQ15,BQ54)/BQ15</f>
        <v>0</v>
      </c>
      <c r="BR322" s="337">
        <f>SUM(BR15,BR54)/BR15</f>
        <v>0</v>
      </c>
      <c r="BS322" s="337">
        <f>SUM(BS15,BS54)/BS15</f>
        <v>0</v>
      </c>
      <c r="BT322" s="337">
        <f>SUM(BT15,BT54)/BT15</f>
        <v>0</v>
      </c>
      <c r="BV322" s="337">
        <f>SUM(BV15,BV54)/BV15</f>
        <v>0</v>
      </c>
      <c r="BW322" s="337">
        <f>SUM(BW15,BW54)/BW15</f>
        <v>0</v>
      </c>
      <c r="BX322" s="337">
        <f>SUM(BX15,BX54)/BX15</f>
        <v>0</v>
      </c>
      <c r="BY322" s="337">
        <f>SUM(BY15,BY54)/BY15</f>
        <v>0</v>
      </c>
      <c r="CA322" s="337">
        <f>SUM(CA15,CA54)/CA15</f>
        <v>0</v>
      </c>
      <c r="CB322" s="337">
        <f>SUM(CB15,CB54)/CB15</f>
        <v>0</v>
      </c>
      <c r="CC322" s="337">
        <f>SUM(CC15,CC54)/CC15</f>
        <v>0</v>
      </c>
      <c r="CD322" s="337">
        <f>SUM(CD15,CD54)/CD15</f>
        <v>0</v>
      </c>
      <c r="CF322" s="337">
        <f>SUM(CF15,CF54)/CF15</f>
        <v>0</v>
      </c>
      <c r="CG322" s="337">
        <f>SUM(CG15,CG54)/CG15</f>
        <v>0</v>
      </c>
      <c r="CH322" s="337">
        <f>SUM(CH15,CH54)/CH15</f>
        <v>0</v>
      </c>
      <c r="CI322" s="337">
        <f>SUM(CI15,CI54)/CI15</f>
        <v>0</v>
      </c>
      <c r="CK322" s="337">
        <f>SUM(CK15,CK54)/CK15</f>
        <v>0</v>
      </c>
      <c r="CL322" s="337">
        <f>SUM(CL15,CL54)/CL15</f>
        <v>0</v>
      </c>
      <c r="CM322" s="337">
        <f>SUM(CM15,CM54)/CM15</f>
        <v>0</v>
      </c>
      <c r="CN322" s="337">
        <f>SUM(CN15,CN54)/CN15</f>
        <v>0</v>
      </c>
      <c r="CP322" s="337">
        <f>SUM(CP15,CP54)/CP15</f>
        <v>0</v>
      </c>
      <c r="CQ322" s="337">
        <f>SUM(CQ15,CQ54)/CQ15</f>
        <v>0</v>
      </c>
      <c r="CR322" s="337">
        <f>SUM(CR15,CR54)/CR15</f>
        <v>0</v>
      </c>
      <c r="CS322" s="337">
        <f>SUM(CS15,CS54)/CS15</f>
        <v>0</v>
      </c>
      <c r="CU322" s="337">
        <f>SUM(CU15,CU54)/CU15</f>
        <v>0</v>
      </c>
      <c r="CV322" s="337">
        <f>SUM(CV15,CV54)/CV15</f>
        <v>0</v>
      </c>
      <c r="CW322" s="337">
        <f>SUM(CW15,CW54)/CW15</f>
        <v>0</v>
      </c>
      <c r="CX322" s="337">
        <f>SUM(CX15,CX54)/CX15</f>
        <v>0</v>
      </c>
    </row>
    <row r="323" ht="12.75" customFormat="1" customHeight="1" s="333">
      <c r="A323" s="334" t="n"/>
      <c r="B323" s="334" t="n"/>
      <c r="C323" s="333" t="inlineStr">
        <is>
          <t>EBIT MARGIN</t>
        </is>
      </c>
      <c r="D323" s="335">
        <f>(D73/D15)</f>
        <v>-0.0131908862967404</v>
      </c>
      <c r="E323" s="335">
        <f>(E73/E15)</f>
        <v>0.0802155992390615</v>
      </c>
      <c r="F323" s="335">
        <f>(F73/F15)</f>
        <v>0.0246087213308397</v>
      </c>
      <c r="G323" s="335">
        <f>(G73/G15)</f>
        <v>0.0427438540840603</v>
      </c>
      <c r="I323" s="338">
        <f>(I73/I15)</f>
        <v>0.0675873775171669</v>
      </c>
      <c r="J323" s="338">
        <f>(J73/J15)</f>
        <v>0.0239100773179131</v>
      </c>
      <c r="K323" s="338">
        <f>(K73/K15)</f>
        <v>0.0378975703053057</v>
      </c>
      <c r="L323" s="338">
        <f>(L73/L15)</f>
        <v>0.0210393814062219</v>
      </c>
      <c r="N323" s="338">
        <f>(N73/N15)</f>
        <v>0.0564231738035265</v>
      </c>
      <c r="O323" s="338">
        <f>(O73/O15)</f>
        <v>0.0244242458038254</v>
      </c>
      <c r="P323" s="338">
        <f>(P73/P15)</f>
        <v>0.0328778566740259</v>
      </c>
      <c r="Q323" s="338">
        <f>(Q73/Q15)</f>
        <v>0.0256902761104442</v>
      </c>
      <c r="S323" s="338">
        <f>(S73/S15)</f>
        <v>0.0540187891440501</v>
      </c>
      <c r="T323" s="338">
        <f>(T73/T15)</f>
        <v>0.062794870091036</v>
      </c>
      <c r="U323" s="338">
        <f>(U73/U15)</f>
        <v>0.0420327546214943</v>
      </c>
      <c r="V323" s="338">
        <f>(V73/V15)</f>
        <v>0.0508168184252812</v>
      </c>
      <c r="X323" s="338">
        <f>(X73/X15)</f>
        <v>0.0325706193634941</v>
      </c>
      <c r="Y323" s="338">
        <f>(Y73/Y15)</f>
        <v>0.0162374443017899</v>
      </c>
      <c r="Z323" s="338">
        <f>(Z73/Z15)</f>
        <v>0.0259528974279517</v>
      </c>
      <c r="AA323" s="338">
        <f>(AA73/AA15)</f>
        <v>0.0465219317678334</v>
      </c>
      <c r="AC323" s="338">
        <f>(AC73/AC15)</f>
        <v>0.0186378081250537</v>
      </c>
      <c r="AD323" s="338">
        <f>(AD73/AD15)</f>
        <v>0.0250606938679615</v>
      </c>
      <c r="AE323" s="338">
        <f>(AE73/AE15)</f>
        <v>0.0173775671406003</v>
      </c>
      <c r="AF323" s="338">
        <f>(AF73/AF15)</f>
        <v>0.0157394158740847</v>
      </c>
      <c r="AH323" s="338">
        <f>(AH73/AH15)</f>
        <v>0.0107497369745208</v>
      </c>
      <c r="AI323" s="338">
        <f>(AI73/AI15)</f>
        <v>0.0447152780666362</v>
      </c>
      <c r="AJ323" s="338">
        <f>(AJ73/AJ15)</f>
        <v>0</v>
      </c>
      <c r="AK323" s="338">
        <f>(AK73/AK15)</f>
        <v>0</v>
      </c>
      <c r="AM323" s="338">
        <f>(AM73/AM15)</f>
        <v>0</v>
      </c>
      <c r="AN323" s="338">
        <f>(AN73/AN15)</f>
        <v>0</v>
      </c>
      <c r="AO323" s="338">
        <f>(AO73/AO15)</f>
        <v>0</v>
      </c>
      <c r="AP323" s="338">
        <f>(AP73/AP15)</f>
        <v>0</v>
      </c>
      <c r="AR323" s="338">
        <f>(AR73/AR15)</f>
        <v>0</v>
      </c>
      <c r="AS323" s="338">
        <f>(AS73/AS15)</f>
        <v>0</v>
      </c>
      <c r="AT323" s="338">
        <f>(AT73/AT15)</f>
        <v>0</v>
      </c>
      <c r="AU323" s="338">
        <f>(AU73/AU15)</f>
        <v>0</v>
      </c>
      <c r="AW323" s="338">
        <f>(AW73/AW15)</f>
        <v>0</v>
      </c>
      <c r="AX323" s="338">
        <f>(AX73/AX15)</f>
        <v>0</v>
      </c>
      <c r="AY323" s="338">
        <f>(AY73/AY15)</f>
        <v>0</v>
      </c>
      <c r="AZ323" s="338">
        <f>(AZ73/AZ15)</f>
        <v>0</v>
      </c>
      <c r="BB323" s="338">
        <f>(BB73/BB15)</f>
        <v>0</v>
      </c>
      <c r="BC323" s="338">
        <f>(BC73/BC15)</f>
        <v>0</v>
      </c>
      <c r="BD323" s="338">
        <f>(BD73/BD15)</f>
        <v>0</v>
      </c>
      <c r="BE323" s="338">
        <f>(BE73/BE15)</f>
        <v>0</v>
      </c>
      <c r="BG323" s="338">
        <f>(BG73/BG15)</f>
        <v>0</v>
      </c>
      <c r="BH323" s="338">
        <f>(BH73/BH15)</f>
        <v>0</v>
      </c>
      <c r="BI323" s="338">
        <f>(BI73/BI15)</f>
        <v>0</v>
      </c>
      <c r="BJ323" s="338">
        <f>(BJ73/BJ15)</f>
        <v>0</v>
      </c>
      <c r="BL323" s="338">
        <f>(BL73/BL15)</f>
        <v>0</v>
      </c>
      <c r="BM323" s="338">
        <f>(BM73/BM15)</f>
        <v>0</v>
      </c>
      <c r="BN323" s="338">
        <f>(BN73/BN15)</f>
        <v>0</v>
      </c>
      <c r="BO323" s="338">
        <f>(BO73/BO15)</f>
        <v>0</v>
      </c>
      <c r="BQ323" s="338">
        <f>(BQ73/BQ15)</f>
        <v>0</v>
      </c>
      <c r="BR323" s="338">
        <f>(BR73/BR15)</f>
        <v>0</v>
      </c>
      <c r="BS323" s="338">
        <f>(BS73/BS15)</f>
        <v>0</v>
      </c>
      <c r="BT323" s="338">
        <f>(BT73/BT15)</f>
        <v>0</v>
      </c>
      <c r="BV323" s="338">
        <f>(BV73/BV15)</f>
        <v>0</v>
      </c>
      <c r="BW323" s="338">
        <f>(BW73/BW15)</f>
        <v>0</v>
      </c>
      <c r="BX323" s="338">
        <f>(BX73/BX15)</f>
        <v>0</v>
      </c>
      <c r="BY323" s="338">
        <f>(BY73/BY15)</f>
        <v>0</v>
      </c>
      <c r="CA323" s="338">
        <f>(CA73/CA15)</f>
        <v>0</v>
      </c>
      <c r="CB323" s="338">
        <f>(CB73/CB15)</f>
        <v>0</v>
      </c>
      <c r="CC323" s="338">
        <f>(CC73/CC15)</f>
        <v>0</v>
      </c>
      <c r="CD323" s="338">
        <f>(CD73/CD15)</f>
        <v>0</v>
      </c>
      <c r="CF323" s="338">
        <f>(CF73/CF15)</f>
        <v>0</v>
      </c>
      <c r="CG323" s="338">
        <f>(CG73/CG15)</f>
        <v>0</v>
      </c>
      <c r="CH323" s="338">
        <f>(CH73/CH15)</f>
        <v>0</v>
      </c>
      <c r="CI323" s="338">
        <f>(CI73/CI15)</f>
        <v>0</v>
      </c>
      <c r="CK323" s="338">
        <f>(CK73/CK15)</f>
        <v>0</v>
      </c>
      <c r="CL323" s="338">
        <f>(CL73/CL15)</f>
        <v>0</v>
      </c>
      <c r="CM323" s="338">
        <f>(CM73/CM15)</f>
        <v>0</v>
      </c>
      <c r="CN323" s="338">
        <f>(CN73/CN15)</f>
        <v>0</v>
      </c>
      <c r="CP323" s="338">
        <f>(CP73/CP15)</f>
        <v>0</v>
      </c>
      <c r="CQ323" s="338">
        <f>(CQ73/CQ15)</f>
        <v>0</v>
      </c>
      <c r="CR323" s="338">
        <f>(CR73/CR15)</f>
        <v>0</v>
      </c>
      <c r="CS323" s="338">
        <f>(CS73/CS15)</f>
        <v>0</v>
      </c>
      <c r="CU323" s="338">
        <f>(CU73/CU15)</f>
        <v>0</v>
      </c>
      <c r="CV323" s="338">
        <f>(CV73/CV15)</f>
        <v>0</v>
      </c>
      <c r="CW323" s="338">
        <f>(CW73/CW15)</f>
        <v>0</v>
      </c>
      <c r="CX323" s="338">
        <f>(CX73/CX15)</f>
        <v>0</v>
      </c>
    </row>
    <row r="324" ht="12.75" customFormat="1" customHeight="1" s="333">
      <c r="A324" s="334" t="n"/>
      <c r="B324" s="334" t="n"/>
      <c r="C324" s="333" t="inlineStr">
        <is>
          <t>EBITDA MARTGIN</t>
        </is>
      </c>
      <c r="D324" s="335">
        <f>D69/D15</f>
        <v>-0.000872124713834078</v>
      </c>
      <c r="E324" s="335">
        <f>E69/E15</f>
        <v>0.0912069329951385</v>
      </c>
      <c r="F324" s="335">
        <f>F69/F15</f>
        <v>0.0350428191751157</v>
      </c>
      <c r="G324" s="335">
        <f>G69/G15</f>
        <v>0.0516256938937351</v>
      </c>
      <c r="I324" s="338">
        <f>I69/I15</f>
        <v>0.0757657588149063</v>
      </c>
      <c r="J324" s="338">
        <f>J69/J15</f>
        <v>0.0307972191540511</v>
      </c>
      <c r="K324" s="338">
        <f>K69/K15</f>
        <v>0.045335411206347</v>
      </c>
      <c r="L324" s="338">
        <f>L69/L15</f>
        <v>0.0274530959659534</v>
      </c>
      <c r="N324" s="338">
        <f>N69/N15</f>
        <v>0.0628463476070529</v>
      </c>
      <c r="O324" s="338">
        <f>O69/O15</f>
        <v>0.0301120838677299</v>
      </c>
      <c r="P324" s="338">
        <f>P69/P15</f>
        <v>0.0389044692404081</v>
      </c>
      <c r="Q324" s="338">
        <f>Q69/Q15</f>
        <v>0.0318727490996399</v>
      </c>
      <c r="S324" s="338">
        <f>S69/S15</f>
        <v>0.0606732776617954</v>
      </c>
      <c r="T324" s="338">
        <f>T69/T15</f>
        <v>0.0698385274769088</v>
      </c>
      <c r="U324" s="338">
        <f>U69/U15</f>
        <v>0.0496942433401279</v>
      </c>
      <c r="V324" s="338">
        <f>V69/V15</f>
        <v>0.0597884306373862</v>
      </c>
      <c r="X324" s="338">
        <f>X69/X15</f>
        <v>0.0409182380561974</v>
      </c>
      <c r="Y324" s="338">
        <f>Y69/Y15</f>
        <v>0.0248470659315762</v>
      </c>
      <c r="Z324" s="338">
        <f>Z69/Z15</f>
        <v>0.0351719863650449</v>
      </c>
      <c r="AA324" s="338">
        <f>AA69/AA15</f>
        <v>0.0556047851129818</v>
      </c>
      <c r="AC324" s="338">
        <f>AC69/AC15</f>
        <v>0.0289444301296917</v>
      </c>
      <c r="AD324" s="338">
        <f>AD69/AD15</f>
        <v>0.0341451953950975</v>
      </c>
      <c r="AE324" s="338">
        <f>AE69/AE15</f>
        <v>0.0282554728052358</v>
      </c>
      <c r="AF324" s="338">
        <f>AF69/AF15</f>
        <v>0.0252503997979968</v>
      </c>
      <c r="AH324" s="338">
        <f>AH69/AH15</f>
        <v>0.0216367046338228</v>
      </c>
      <c r="AI324" s="338">
        <f>AI69/AI15</f>
        <v>0.0553637535876212</v>
      </c>
      <c r="AJ324" s="338">
        <f>AJ69/AJ15</f>
        <v>0</v>
      </c>
      <c r="AK324" s="338">
        <f>AK69/AK15</f>
        <v>0</v>
      </c>
      <c r="AM324" s="338">
        <f>AM69/AM15</f>
        <v>0</v>
      </c>
      <c r="AN324" s="338">
        <f>AN69/AN15</f>
        <v>0</v>
      </c>
      <c r="AO324" s="338">
        <f>AO69/AO15</f>
        <v>0</v>
      </c>
      <c r="AP324" s="338">
        <f>AP69/AP15</f>
        <v>0</v>
      </c>
      <c r="AR324" s="338">
        <f>AR69/AR15</f>
        <v>0</v>
      </c>
      <c r="AS324" s="338">
        <f>AS69/AS15</f>
        <v>0</v>
      </c>
      <c r="AT324" s="338">
        <f>AT69/AT15</f>
        <v>0</v>
      </c>
      <c r="AU324" s="338">
        <f>AU69/AU15</f>
        <v>0</v>
      </c>
      <c r="AW324" s="338">
        <f>AW69/AW15</f>
        <v>0</v>
      </c>
      <c r="AX324" s="338">
        <f>AX69/AX15</f>
        <v>0</v>
      </c>
      <c r="AY324" s="338">
        <f>AY69/AY15</f>
        <v>0</v>
      </c>
      <c r="AZ324" s="338">
        <f>AZ69/AZ15</f>
        <v>0</v>
      </c>
      <c r="BB324" s="338">
        <f>BB69/BB15</f>
        <v>0</v>
      </c>
      <c r="BC324" s="338">
        <f>BC69/BC15</f>
        <v>0</v>
      </c>
      <c r="BD324" s="338">
        <f>BD69/BD15</f>
        <v>0</v>
      </c>
      <c r="BE324" s="338">
        <f>BE69/BE15</f>
        <v>0</v>
      </c>
      <c r="BG324" s="338">
        <f>BG69/BG15</f>
        <v>0</v>
      </c>
      <c r="BH324" s="338">
        <f>BH69/BH15</f>
        <v>0</v>
      </c>
      <c r="BI324" s="338">
        <f>BI69/BI15</f>
        <v>0</v>
      </c>
      <c r="BJ324" s="338">
        <f>BJ69/BJ15</f>
        <v>0</v>
      </c>
      <c r="BL324" s="338">
        <f>BL69/BL15</f>
        <v>0</v>
      </c>
      <c r="BM324" s="338">
        <f>BM69/BM15</f>
        <v>0</v>
      </c>
      <c r="BN324" s="338">
        <f>BN69/BN15</f>
        <v>0</v>
      </c>
      <c r="BO324" s="338">
        <f>BO69/BO15</f>
        <v>0</v>
      </c>
      <c r="BQ324" s="338">
        <f>BQ69/BQ15</f>
        <v>0</v>
      </c>
      <c r="BR324" s="338">
        <f>BR69/BR15</f>
        <v>0</v>
      </c>
      <c r="BS324" s="338">
        <f>BS69/BS15</f>
        <v>0</v>
      </c>
      <c r="BT324" s="338">
        <f>BT69/BT15</f>
        <v>0</v>
      </c>
      <c r="BV324" s="338">
        <f>BV69/BV15</f>
        <v>0</v>
      </c>
      <c r="BW324" s="338">
        <f>BW69/BW15</f>
        <v>0</v>
      </c>
      <c r="BX324" s="338">
        <f>BX69/BX15</f>
        <v>0</v>
      </c>
      <c r="BY324" s="338">
        <f>BY69/BY15</f>
        <v>0</v>
      </c>
      <c r="CA324" s="338">
        <f>CA69/CA15</f>
        <v>0</v>
      </c>
      <c r="CB324" s="338">
        <f>CB69/CB15</f>
        <v>0</v>
      </c>
      <c r="CC324" s="338">
        <f>CC69/CC15</f>
        <v>0</v>
      </c>
      <c r="CD324" s="338">
        <f>CD69/CD15</f>
        <v>0</v>
      </c>
      <c r="CF324" s="338">
        <f>CF69/CF15</f>
        <v>0</v>
      </c>
      <c r="CG324" s="338">
        <f>CG69/CG15</f>
        <v>0</v>
      </c>
      <c r="CH324" s="338">
        <f>CH69/CH15</f>
        <v>0</v>
      </c>
      <c r="CI324" s="338">
        <f>CI69/CI15</f>
        <v>0</v>
      </c>
      <c r="CK324" s="338">
        <f>CK69/CK15</f>
        <v>0</v>
      </c>
      <c r="CL324" s="338">
        <f>CL69/CL15</f>
        <v>0</v>
      </c>
      <c r="CM324" s="338">
        <f>CM69/CM15</f>
        <v>0</v>
      </c>
      <c r="CN324" s="338">
        <f>CN69/CN15</f>
        <v>0</v>
      </c>
      <c r="CP324" s="338">
        <f>CP69/CP15</f>
        <v>0</v>
      </c>
      <c r="CQ324" s="338">
        <f>CQ69/CQ15</f>
        <v>0</v>
      </c>
      <c r="CR324" s="338">
        <f>CR69/CR15</f>
        <v>0</v>
      </c>
      <c r="CS324" s="338">
        <f>CS69/CS15</f>
        <v>0</v>
      </c>
      <c r="CU324" s="338">
        <f>CU69/CU15</f>
        <v>0</v>
      </c>
      <c r="CV324" s="338">
        <f>CV69/CV15</f>
        <v>0</v>
      </c>
      <c r="CW324" s="338">
        <f>CW69/CW15</f>
        <v>0</v>
      </c>
      <c r="CX324" s="338">
        <f>CX69/CX15</f>
        <v>0</v>
      </c>
    </row>
    <row r="325" ht="12.75" customFormat="1" customHeight="1" s="333">
      <c r="A325" s="334" t="n"/>
      <c r="B325" s="334" t="n"/>
      <c r="C325" s="333" t="inlineStr">
        <is>
          <t>ETR</t>
        </is>
      </c>
      <c r="D325" s="335">
        <f>-D131/D130</f>
        <v>0.221774193548387</v>
      </c>
      <c r="E325" s="335">
        <f>-E131/E130</f>
        <v>0.243478260869565</v>
      </c>
      <c r="F325" s="335">
        <f>-F131/F130</f>
        <v>0.124590163934426</v>
      </c>
      <c r="G325" s="335">
        <f>-G131/G130</f>
        <v>0.145645645645646</v>
      </c>
      <c r="I325" s="338">
        <f>-I131/I130</f>
        <v>0.173128944995491</v>
      </c>
      <c r="J325" s="338">
        <f>-J131/J130</f>
        <v>0.119331742243437</v>
      </c>
      <c r="K325" s="338">
        <f>-K131/K130</f>
        <v>0.124156545209177</v>
      </c>
      <c r="L325" s="338">
        <f>-L131/L130</f>
        <v>0.216216216216216</v>
      </c>
      <c r="N325" s="338">
        <f>-N131/N130</f>
        <v>0.134328358208955</v>
      </c>
      <c r="O325" s="338">
        <f>-O131/O130</f>
        <v>0.137931034482759</v>
      </c>
      <c r="P325" s="338">
        <f>-P131/P130</f>
        <v>0.227822580645161</v>
      </c>
      <c r="Q325" s="338">
        <f>-Q131/Q130</f>
        <v>0.259405940594059</v>
      </c>
      <c r="S325" s="338">
        <f>-S131/S130</f>
        <v>0.217339667458432</v>
      </c>
      <c r="T325" s="338">
        <f>-T131/T130</f>
        <v>0.239419588875453</v>
      </c>
      <c r="U325" s="338">
        <f>-U131/U130</f>
        <v>0.226640159045726</v>
      </c>
      <c r="V325" s="338">
        <f>-V131/V130</f>
        <v>0.249146757679181</v>
      </c>
      <c r="X325" s="338">
        <f>-X131/X130</f>
        <v>0.317073170731707</v>
      </c>
      <c r="Y325" s="338">
        <f>-Y131/Y130</f>
        <v>0.29126213592233</v>
      </c>
      <c r="Z325" s="338">
        <f>-Z131/Z130</f>
        <v>0.27639751552795</v>
      </c>
      <c r="AA325" s="338">
        <f>-AA131/AA130</f>
        <v>0.136986301369863</v>
      </c>
      <c r="AC325" s="338">
        <f>-AC131/AC130</f>
        <v>0.28169014084507</v>
      </c>
      <c r="AD325" s="338">
        <f>-AD131/AD130</f>
        <v>0.251012145748988</v>
      </c>
      <c r="AE325" s="338">
        <f>-AE131/AE130</f>
        <v>0.318518518518519</v>
      </c>
      <c r="AF325" s="338">
        <f>-AF131/AF130</f>
        <v>-0.0232558139534884</v>
      </c>
      <c r="AH325" s="338">
        <f>-AH131/AH130</f>
        <v>-0.229508196721311</v>
      </c>
      <c r="AI325" s="338">
        <f>-AI131/AI130</f>
        <v>0.250265111346766</v>
      </c>
      <c r="AJ325" s="338">
        <f>-AJ131/AJ130</f>
        <v>0</v>
      </c>
      <c r="AK325" s="338">
        <f>-AK131/AK130</f>
        <v>0</v>
      </c>
      <c r="AM325" s="338">
        <f>-AM131/AM130</f>
        <v>0</v>
      </c>
      <c r="AN325" s="338">
        <f>-AN131/AN130</f>
        <v>0</v>
      </c>
      <c r="AO325" s="338">
        <f>-AO131/AO130</f>
        <v>0</v>
      </c>
      <c r="AP325" s="338">
        <f>-AP131/AP130</f>
        <v>0</v>
      </c>
      <c r="AR325" s="338">
        <f>-AR131/AR130</f>
        <v>0</v>
      </c>
      <c r="AS325" s="338">
        <f>-AS131/AS130</f>
        <v>0</v>
      </c>
      <c r="AT325" s="338">
        <f>-AT131/AT130</f>
        <v>0</v>
      </c>
      <c r="AU325" s="338">
        <f>-AU131/AU130</f>
        <v>0</v>
      </c>
      <c r="AW325" s="338">
        <f>-AW131/AW130</f>
        <v>0</v>
      </c>
      <c r="AX325" s="338">
        <f>-AX131/AX130</f>
        <v>0</v>
      </c>
      <c r="AY325" s="338">
        <f>-AY131/AY130</f>
        <v>0</v>
      </c>
      <c r="AZ325" s="338">
        <f>-AZ131/AZ130</f>
        <v>0</v>
      </c>
      <c r="BB325" s="338">
        <f>-BB131/BB130</f>
        <v>0</v>
      </c>
      <c r="BC325" s="338">
        <f>-BC131/BC130</f>
        <v>0</v>
      </c>
      <c r="BD325" s="338">
        <f>-BD131/BD130</f>
        <v>0</v>
      </c>
      <c r="BE325" s="338">
        <f>-BE131/BE130</f>
        <v>0</v>
      </c>
      <c r="BG325" s="338">
        <f>-BG131/BG130</f>
        <v>0</v>
      </c>
      <c r="BH325" s="338">
        <f>-BH131/BH130</f>
        <v>0</v>
      </c>
      <c r="BI325" s="338">
        <f>-BI131/BI130</f>
        <v>0</v>
      </c>
      <c r="BJ325" s="338">
        <f>-BJ131/BJ130</f>
        <v>0</v>
      </c>
      <c r="BL325" s="338">
        <f>-BL131/BL130</f>
        <v>0</v>
      </c>
      <c r="BM325" s="338">
        <f>-BM131/BM130</f>
        <v>0</v>
      </c>
      <c r="BN325" s="338">
        <f>-BN131/BN130</f>
        <v>0</v>
      </c>
      <c r="BO325" s="338">
        <f>-BO131/BO130</f>
        <v>0</v>
      </c>
      <c r="BQ325" s="338">
        <f>-BQ131/BQ130</f>
        <v>0</v>
      </c>
      <c r="BR325" s="338">
        <f>-BR131/BR130</f>
        <v>0</v>
      </c>
      <c r="BS325" s="338">
        <f>-BS131/BS130</f>
        <v>0</v>
      </c>
      <c r="BT325" s="338">
        <f>-BT131/BT130</f>
        <v>0</v>
      </c>
      <c r="BV325" s="338">
        <f>-BV131/BV130</f>
        <v>0</v>
      </c>
      <c r="BW325" s="338">
        <f>-BW131/BW130</f>
        <v>0</v>
      </c>
      <c r="BX325" s="338">
        <f>-BX131/BX130</f>
        <v>0</v>
      </c>
      <c r="BY325" s="338">
        <f>-BY131/BY130</f>
        <v>0</v>
      </c>
      <c r="CA325" s="338">
        <f>-CA131/CA130</f>
        <v>0</v>
      </c>
      <c r="CB325" s="338">
        <f>-CB131/CB130</f>
        <v>0</v>
      </c>
      <c r="CC325" s="338">
        <f>-CC131/CC130</f>
        <v>0</v>
      </c>
      <c r="CD325" s="338">
        <f>-CD131/CD130</f>
        <v>0</v>
      </c>
      <c r="CF325" s="338">
        <f>-CF131/CF130</f>
        <v>0</v>
      </c>
      <c r="CG325" s="338">
        <f>-CG131/CG130</f>
        <v>0</v>
      </c>
      <c r="CH325" s="338">
        <f>-CH131/CH130</f>
        <v>0</v>
      </c>
      <c r="CI325" s="338">
        <f>-CI131/CI130</f>
        <v>0</v>
      </c>
      <c r="CK325" s="338">
        <f>-CK131/CK130</f>
        <v>0</v>
      </c>
      <c r="CL325" s="338">
        <f>-CL131/CL130</f>
        <v>0</v>
      </c>
      <c r="CM325" s="338">
        <f>-CM131/CM130</f>
        <v>0</v>
      </c>
      <c r="CN325" s="338">
        <f>-CN131/CN130</f>
        <v>0</v>
      </c>
      <c r="CP325" s="338">
        <f>-CP131/CP130</f>
        <v>0</v>
      </c>
      <c r="CQ325" s="338">
        <f>-CQ131/CQ130</f>
        <v>0</v>
      </c>
      <c r="CR325" s="338">
        <f>-CR131/CR130</f>
        <v>0</v>
      </c>
      <c r="CS325" s="338">
        <f>-CS131/CS130</f>
        <v>0</v>
      </c>
      <c r="CU325" s="338">
        <f>-CU131/CU130</f>
        <v>0</v>
      </c>
      <c r="CV325" s="338">
        <f>-CV131/CV130</f>
        <v>0</v>
      </c>
      <c r="CW325" s="338">
        <f>-CW131/CW130</f>
        <v>0</v>
      </c>
      <c r="CX325" s="338">
        <f>-CX131/CX130</f>
        <v>0</v>
      </c>
    </row>
    <row r="326" ht="12.75" customFormat="1" customHeight="1" s="333">
      <c r="A326" s="334" t="n"/>
      <c r="B326" s="334" t="n"/>
    </row>
    <row r="327" ht="12.75" customFormat="1" customHeight="1" s="333">
      <c r="A327" s="334" t="n"/>
      <c r="B327" s="334" t="n"/>
      <c r="C327" s="331" t="inlineStr">
        <is>
          <t>CAPITAL STRUCTURE</t>
        </is>
      </c>
    </row>
    <row r="328" ht="12.75" customFormat="1" customHeight="1" s="333">
      <c r="A328" s="334" t="n"/>
      <c r="B328" s="334" t="n"/>
      <c r="C328" s="333" t="inlineStr">
        <is>
          <t>MARKET DEBT / EQUITY</t>
        </is>
      </c>
    </row>
    <row r="329" ht="12.75" customFormat="1" customHeight="1" s="333">
      <c r="A329" s="334" t="n"/>
      <c r="B329" s="334" t="n"/>
      <c r="C329" s="333" t="inlineStr">
        <is>
          <t>NET DEBT / (NET DEBT + MARKET CAP)</t>
        </is>
      </c>
    </row>
    <row r="330" ht="12.75" customFormat="1" customHeight="1" s="333">
      <c r="A330" s="334" t="n"/>
      <c r="B330" s="334" t="n"/>
    </row>
    <row r="331" ht="12.75" customFormat="1" customHeight="1" s="333">
      <c r="A331" s="334" t="n"/>
      <c r="B331" s="334" t="n"/>
      <c r="C331" s="331" t="inlineStr">
        <is>
          <t>FINANCIAL RISK RATIOS</t>
        </is>
      </c>
    </row>
    <row r="332" ht="12.75" customFormat="1" customHeight="1" s="333">
      <c r="A332" s="334" t="n"/>
      <c r="B332" s="334" t="n"/>
      <c r="C332" s="333" t="inlineStr">
        <is>
          <t>EBITDA / TOTAL INTEREST</t>
        </is>
      </c>
      <c r="D332" s="339">
        <f>D69/-D74</f>
        <v>-0.103896103896104</v>
      </c>
      <c r="E332" s="339">
        <f>E69/-E74</f>
        <v>13.9193548387097</v>
      </c>
      <c r="F332" s="339">
        <f>F69/-F74</f>
        <v>6.35714285714286</v>
      </c>
      <c r="G332" s="339">
        <f>G69/-G74</f>
        <v>9.3</v>
      </c>
      <c r="I332" s="339">
        <f>I69/-I74</f>
        <v>13.4520547945205</v>
      </c>
      <c r="J332" s="339">
        <f>J69/-J74</f>
        <v>8.77777777777778</v>
      </c>
      <c r="K332" s="339">
        <f>K69/-K74</f>
        <v>11.2280701754386</v>
      </c>
      <c r="L332" s="339">
        <f>L69/-L74</f>
        <v>7.76271186440678</v>
      </c>
      <c r="N332" s="339">
        <f>N69/-N74</f>
        <v>8.99099099099099</v>
      </c>
      <c r="O332" s="339">
        <f>O69/-O74</f>
        <v>5.86956521739131</v>
      </c>
      <c r="P332" s="339">
        <f>P69/-P74</f>
        <v>6.33009708737864</v>
      </c>
      <c r="Q332" s="339">
        <f>Q69/-Q74</f>
        <v>5.47422680412371</v>
      </c>
      <c r="S332" s="339">
        <f>S69/-S74</f>
        <v>8.30357142857143</v>
      </c>
      <c r="T332" s="339">
        <f>T69/-T74</f>
        <v>8.14728682170543</v>
      </c>
      <c r="U332" s="339">
        <f>U69/-U74</f>
        <v>5.31578947368421</v>
      </c>
      <c r="V332" s="339">
        <f>V69/-V74</f>
        <v>6.2887323943662</v>
      </c>
      <c r="X332" s="339">
        <f>X69/-X74</f>
        <v>5.08333333333333</v>
      </c>
      <c r="Y332" s="339">
        <f>Y69/-Y74</f>
        <v>2.67479674796748</v>
      </c>
      <c r="Z332" s="339">
        <f>Z69/-Z74</f>
        <v>3.5748031496063</v>
      </c>
      <c r="AA332" s="339">
        <f>AA69/-AA74</f>
        <v>6.66371681415929</v>
      </c>
      <c r="AC332" s="339">
        <f>AC69/-AC74</f>
        <v>3.24038461538462</v>
      </c>
      <c r="AD332" s="339">
        <f>AD69/-AD74</f>
        <v>4.11320754716981</v>
      </c>
      <c r="AE332" s="339">
        <f>AE69/-AE74</f>
        <v>3.0990099009901</v>
      </c>
      <c r="AF332" s="339">
        <f>AF69/-AF74</f>
        <v>2.77777777777778</v>
      </c>
      <c r="AH332" s="339">
        <f>AH69/-AH74</f>
        <v>2.61325966850829</v>
      </c>
      <c r="AI332" s="339">
        <f>AI69/-AI74</f>
        <v>6.75634517766498</v>
      </c>
      <c r="AJ332" s="339" t="e">
        <f>AJ69/-AJ74</f>
        <v>#DIV/0!</v>
      </c>
      <c r="AK332" s="339" t="e">
        <f>AK69/-AK74</f>
        <v>#DIV/0!</v>
      </c>
      <c r="AM332" s="339" t="e">
        <f>AM69/-AM74</f>
        <v>#DIV/0!</v>
      </c>
      <c r="AN332" s="339" t="e">
        <f>AN69/-AN74</f>
        <v>#DIV/0!</v>
      </c>
      <c r="AO332" s="339" t="e">
        <f>AO69/-AO74</f>
        <v>#DIV/0!</v>
      </c>
      <c r="AP332" s="339" t="e">
        <f>AP69/-AP74</f>
        <v>#DIV/0!</v>
      </c>
      <c r="AR332" s="339" t="e">
        <f>AR69/-AR74</f>
        <v>#DIV/0!</v>
      </c>
      <c r="AS332" s="339" t="e">
        <f>AS69/-AS74</f>
        <v>#DIV/0!</v>
      </c>
      <c r="AT332" s="339" t="e">
        <f>AT69/-AT74</f>
        <v>#DIV/0!</v>
      </c>
      <c r="AU332" s="339" t="e">
        <f>AU69/-AU74</f>
        <v>#DIV/0!</v>
      </c>
      <c r="AW332" s="339" t="e">
        <f>AW69/-AW74</f>
        <v>#DIV/0!</v>
      </c>
      <c r="AX332" s="339" t="e">
        <f>AX69/-AX74</f>
        <v>#DIV/0!</v>
      </c>
      <c r="AY332" s="339" t="e">
        <f>AY69/-AY74</f>
        <v>#DIV/0!</v>
      </c>
      <c r="AZ332" s="339" t="e">
        <f>AZ69/-AZ74</f>
        <v>#DIV/0!</v>
      </c>
      <c r="BB332" s="339" t="e">
        <f>BB69/-BB74</f>
        <v>#DIV/0!</v>
      </c>
      <c r="BC332" s="339" t="e">
        <f>BC69/-BC74</f>
        <v>#DIV/0!</v>
      </c>
      <c r="BD332" s="339" t="e">
        <f>BD69/-BD74</f>
        <v>#DIV/0!</v>
      </c>
      <c r="BE332" s="339" t="e">
        <f>BE69/-BE74</f>
        <v>#DIV/0!</v>
      </c>
      <c r="BG332" s="339" t="e">
        <f>BG69/-BG74</f>
        <v>#DIV/0!</v>
      </c>
      <c r="BH332" s="339" t="e">
        <f>BH69/-BH74</f>
        <v>#DIV/0!</v>
      </c>
      <c r="BI332" s="339" t="e">
        <f>BI69/-BI74</f>
        <v>#DIV/0!</v>
      </c>
      <c r="BJ332" s="339" t="e">
        <f>BJ69/-BJ74</f>
        <v>#DIV/0!</v>
      </c>
      <c r="BL332" s="339" t="e">
        <f>BL69/-BL74</f>
        <v>#DIV/0!</v>
      </c>
      <c r="BM332" s="339" t="e">
        <f>BM69/-BM74</f>
        <v>#DIV/0!</v>
      </c>
      <c r="BN332" s="339" t="e">
        <f>BN69/-BN74</f>
        <v>#DIV/0!</v>
      </c>
      <c r="BO332" s="339" t="e">
        <f>BO69/-BO74</f>
        <v>#DIV/0!</v>
      </c>
      <c r="BQ332" s="339" t="e">
        <f>BQ69/-BQ74</f>
        <v>#DIV/0!</v>
      </c>
      <c r="BR332" s="339" t="e">
        <f>BR69/-BR74</f>
        <v>#DIV/0!</v>
      </c>
      <c r="BS332" s="339" t="e">
        <f>BS69/-BS74</f>
        <v>#DIV/0!</v>
      </c>
      <c r="BT332" s="339" t="e">
        <f>BT69/-BT74</f>
        <v>#DIV/0!</v>
      </c>
      <c r="BV332" s="339" t="e">
        <f>BV69/-BV74</f>
        <v>#DIV/0!</v>
      </c>
      <c r="BW332" s="339" t="e">
        <f>BW69/-BW74</f>
        <v>#DIV/0!</v>
      </c>
      <c r="BX332" s="339" t="e">
        <f>BX69/-BX74</f>
        <v>#DIV/0!</v>
      </c>
      <c r="BY332" s="339" t="e">
        <f>BY69/-BY74</f>
        <v>#DIV/0!</v>
      </c>
      <c r="CA332" s="339" t="e">
        <f>CA69/-CA74</f>
        <v>#DIV/0!</v>
      </c>
      <c r="CB332" s="339" t="e">
        <f>CB69/-CB74</f>
        <v>#DIV/0!</v>
      </c>
      <c r="CC332" s="339" t="e">
        <f>CC69/-CC74</f>
        <v>#DIV/0!</v>
      </c>
      <c r="CD332" s="339" t="e">
        <f>CD69/-CD74</f>
        <v>#DIV/0!</v>
      </c>
      <c r="CF332" s="339" t="e">
        <f>CF69/-CF74</f>
        <v>#DIV/0!</v>
      </c>
      <c r="CG332" s="339" t="e">
        <f>CG69/-CG74</f>
        <v>#DIV/0!</v>
      </c>
      <c r="CH332" s="339" t="e">
        <f>CH69/-CH74</f>
        <v>#DIV/0!</v>
      </c>
      <c r="CI332" s="339" t="e">
        <f>CI69/-CI74</f>
        <v>#DIV/0!</v>
      </c>
      <c r="CK332" s="339" t="e">
        <f>CK69/-CK74</f>
        <v>#DIV/0!</v>
      </c>
      <c r="CL332" s="339" t="e">
        <f>CL69/-CL74</f>
        <v>#DIV/0!</v>
      </c>
      <c r="CM332" s="339" t="e">
        <f>CM69/-CM74</f>
        <v>#DIV/0!</v>
      </c>
      <c r="CN332" s="339" t="e">
        <f>CN69/-CN74</f>
        <v>#DIV/0!</v>
      </c>
      <c r="CP332" s="339" t="e">
        <f>CP69/-CP74</f>
        <v>#DIV/0!</v>
      </c>
      <c r="CQ332" s="339" t="e">
        <f>CQ69/-CQ74</f>
        <v>#DIV/0!</v>
      </c>
      <c r="CR332" s="339" t="e">
        <f>CR69/-CR74</f>
        <v>#DIV/0!</v>
      </c>
      <c r="CS332" s="339" t="e">
        <f>CS69/-CS74</f>
        <v>#DIV/0!</v>
      </c>
      <c r="CU332" s="339" t="e">
        <f>CU69/-CU74</f>
        <v>#DIV/0!</v>
      </c>
      <c r="CV332" s="339" t="e">
        <f>CV69/-CV74</f>
        <v>#DIV/0!</v>
      </c>
      <c r="CW332" s="339" t="e">
        <f>CW69/-CW74</f>
        <v>#DIV/0!</v>
      </c>
      <c r="CX332" s="339" t="e">
        <f>CX69/-CX74</f>
        <v>#DIV/0!</v>
      </c>
    </row>
    <row r="333" ht="12.75" customFormat="1" customHeight="1" s="333">
      <c r="A333" s="334" t="n"/>
      <c r="B333" s="334" t="n"/>
      <c r="C333" s="333" t="inlineStr">
        <is>
          <t>(EBITDA - CAPEX) / TOTAL INTEREST</t>
        </is>
      </c>
      <c r="D333" s="339">
        <f>(D69-D168)/-D74</f>
        <v>-0.103896103896104</v>
      </c>
      <c r="E333" s="339">
        <f>(E69-E168)/-E74</f>
        <v>14.1129032258065</v>
      </c>
      <c r="F333" s="339">
        <f>(F69-F168)/-F74</f>
        <v>4.35714285714286</v>
      </c>
      <c r="G333" s="339">
        <f>(G69-G168)/-G74</f>
        <v>6.91428571428572</v>
      </c>
      <c r="I333" s="339">
        <f>(I69-I168)/-I74</f>
        <v>13.7808219178082</v>
      </c>
      <c r="J333" s="339">
        <f>(J69-J168)/-J74</f>
        <v>5.44444444444445</v>
      </c>
      <c r="K333" s="339">
        <f>(K69-K168)/-K74</f>
        <v>10.4561403508772</v>
      </c>
      <c r="L333" s="339">
        <f>(L69-L168)/-L74</f>
        <v>8.64406779661017</v>
      </c>
      <c r="N333" s="339">
        <f>(N69-N168)/-N74</f>
        <v>7.51351351351351</v>
      </c>
      <c r="O333" s="339">
        <f>(O69-O168)/-O74</f>
        <v>5.82608695652174</v>
      </c>
      <c r="P333" s="339">
        <f>(P69-P168)/-P74</f>
        <v>5.88349514563107</v>
      </c>
      <c r="Q333" s="339">
        <f>(Q69-Q168)/-Q74</f>
        <v>2.25773195876289</v>
      </c>
      <c r="S333" s="339">
        <f>(S69-S168)/-S74</f>
        <v>6.375</v>
      </c>
      <c r="T333" s="339">
        <f>(T69-T168)/-T74</f>
        <v>4.06201550387597</v>
      </c>
      <c r="U333" s="339">
        <f>(U69-U168)/-U74</f>
        <v>3.51127819548872</v>
      </c>
      <c r="V333" s="339">
        <f>(V69-V168)/-V74</f>
        <v>3.52816901408451</v>
      </c>
      <c r="X333" s="339">
        <f>(X69-X168)/-X74</f>
        <v>3.31481481481482</v>
      </c>
      <c r="Y333" s="339">
        <f>(Y69-Y168)/-Y74</f>
        <v>0.682926829268293</v>
      </c>
      <c r="Z333" s="339">
        <f>(Z69-Z168)/-Z74</f>
        <v>-0.228346456692913</v>
      </c>
      <c r="AA333" s="339">
        <f>(AA69-AA168)/-AA74</f>
        <v>4.34513274336283</v>
      </c>
      <c r="AC333" s="339">
        <f>(AC69-AC168)/-AC74</f>
        <v>-0.384615384615385</v>
      </c>
      <c r="AD333" s="339">
        <f>(AD69-AD168)/-AD74</f>
        <v>0.0283018867924528</v>
      </c>
      <c r="AE333" s="339">
        <f>(AE69-AE168)/-AE74</f>
        <v>-26.4207920792079</v>
      </c>
      <c r="AF333" s="339">
        <f>(AF69-AF168)/-AF74</f>
        <v>1.13888888888889</v>
      </c>
      <c r="AH333" s="339">
        <f>(AH69-AH168)/-AH74</f>
        <v>0.198895027624309</v>
      </c>
      <c r="AI333" s="339">
        <f>(AI69-AI168)/-AI74</f>
        <v>5.11167512690355</v>
      </c>
      <c r="AJ333" s="339" t="e">
        <f>(AJ69-AJ168)/-AJ74</f>
        <v>#DIV/0!</v>
      </c>
      <c r="AK333" s="339" t="e">
        <f>(AK69-AK168)/-AK74</f>
        <v>#DIV/0!</v>
      </c>
      <c r="AM333" s="339" t="e">
        <f>(AM69-AM168)/-AM74</f>
        <v>#DIV/0!</v>
      </c>
      <c r="AN333" s="339" t="e">
        <f>(AN69-AN168)/-AN74</f>
        <v>#DIV/0!</v>
      </c>
      <c r="AO333" s="339" t="e">
        <f>(AO69-AO168)/-AO74</f>
        <v>#DIV/0!</v>
      </c>
      <c r="AP333" s="339" t="e">
        <f>(AP69-AP168)/-AP74</f>
        <v>#DIV/0!</v>
      </c>
      <c r="AR333" s="339" t="e">
        <f>(AR69-AR168)/-AR74</f>
        <v>#DIV/0!</v>
      </c>
      <c r="AS333" s="339" t="e">
        <f>(AS69-AS168)/-AS74</f>
        <v>#DIV/0!</v>
      </c>
      <c r="AT333" s="339" t="e">
        <f>(AT69-AT168)/-AT74</f>
        <v>#DIV/0!</v>
      </c>
      <c r="AU333" s="339" t="e">
        <f>(AU69-AU168)/-AU74</f>
        <v>#DIV/0!</v>
      </c>
      <c r="AW333" s="339" t="e">
        <f>(AW69-AW168)/-AW74</f>
        <v>#DIV/0!</v>
      </c>
      <c r="AX333" s="339" t="e">
        <f>(AX69-AX168)/-AX74</f>
        <v>#DIV/0!</v>
      </c>
      <c r="AY333" s="339" t="e">
        <f>(AY69-AY168)/-AY74</f>
        <v>#DIV/0!</v>
      </c>
      <c r="AZ333" s="339" t="e">
        <f>(AZ69-AZ168)/-AZ74</f>
        <v>#DIV/0!</v>
      </c>
      <c r="BB333" s="339" t="e">
        <f>(BB69-BB168)/-BB74</f>
        <v>#DIV/0!</v>
      </c>
      <c r="BC333" s="339" t="e">
        <f>(BC69-BC168)/-BC74</f>
        <v>#DIV/0!</v>
      </c>
      <c r="BD333" s="339" t="e">
        <f>(BD69-BD168)/-BD74</f>
        <v>#DIV/0!</v>
      </c>
      <c r="BE333" s="339" t="e">
        <f>(BE69-BE168)/-BE74</f>
        <v>#DIV/0!</v>
      </c>
      <c r="BG333" s="339" t="e">
        <f>(BG69-BG168)/-BG74</f>
        <v>#DIV/0!</v>
      </c>
      <c r="BH333" s="339" t="e">
        <f>(BH69-BH168)/-BH74</f>
        <v>#DIV/0!</v>
      </c>
      <c r="BI333" s="339" t="e">
        <f>(BI69-BI168)/-BI74</f>
        <v>#DIV/0!</v>
      </c>
      <c r="BJ333" s="339" t="e">
        <f>(BJ69-BJ168)/-BJ74</f>
        <v>#DIV/0!</v>
      </c>
      <c r="BL333" s="339" t="e">
        <f>(BL69-BL168)/-BL74</f>
        <v>#DIV/0!</v>
      </c>
      <c r="BM333" s="339" t="e">
        <f>(BM69-BM168)/-BM74</f>
        <v>#DIV/0!</v>
      </c>
      <c r="BN333" s="339" t="e">
        <f>(BN69-BN168)/-BN74</f>
        <v>#DIV/0!</v>
      </c>
      <c r="BO333" s="339" t="e">
        <f>(BO69-BO168)/-BO74</f>
        <v>#DIV/0!</v>
      </c>
      <c r="BQ333" s="339" t="e">
        <f>(BQ69-BQ168)/-BQ74</f>
        <v>#DIV/0!</v>
      </c>
      <c r="BR333" s="339" t="e">
        <f>(BR69-BR168)/-BR74</f>
        <v>#DIV/0!</v>
      </c>
      <c r="BS333" s="339" t="e">
        <f>(BS69-BS168)/-BS74</f>
        <v>#DIV/0!</v>
      </c>
      <c r="BT333" s="339" t="e">
        <f>(BT69-BT168)/-BT74</f>
        <v>#DIV/0!</v>
      </c>
      <c r="BV333" s="339" t="e">
        <f>(BV69-BV168)/-BV74</f>
        <v>#DIV/0!</v>
      </c>
      <c r="BW333" s="339" t="e">
        <f>(BW69-BW168)/-BW74</f>
        <v>#DIV/0!</v>
      </c>
      <c r="BX333" s="339" t="e">
        <f>(BX69-BX168)/-BX74</f>
        <v>#DIV/0!</v>
      </c>
      <c r="BY333" s="339" t="e">
        <f>(BY69-BY168)/-BY74</f>
        <v>#DIV/0!</v>
      </c>
      <c r="CA333" s="339" t="e">
        <f>(CA69-CA168)/-CA74</f>
        <v>#DIV/0!</v>
      </c>
      <c r="CB333" s="339" t="e">
        <f>(CB69-CB168)/-CB74</f>
        <v>#DIV/0!</v>
      </c>
      <c r="CC333" s="339" t="e">
        <f>(CC69-CC168)/-CC74</f>
        <v>#DIV/0!</v>
      </c>
      <c r="CD333" s="339" t="e">
        <f>(CD69-CD168)/-CD74</f>
        <v>#DIV/0!</v>
      </c>
      <c r="CF333" s="339" t="e">
        <f>(CF69-CF168)/-CF74</f>
        <v>#DIV/0!</v>
      </c>
      <c r="CG333" s="339" t="e">
        <f>(CG69-CG168)/-CG74</f>
        <v>#DIV/0!</v>
      </c>
      <c r="CH333" s="339" t="e">
        <f>(CH69-CH168)/-CH74</f>
        <v>#DIV/0!</v>
      </c>
      <c r="CI333" s="339" t="e">
        <f>(CI69-CI168)/-CI74</f>
        <v>#DIV/0!</v>
      </c>
      <c r="CK333" s="339" t="e">
        <f>(CK69-CK168)/-CK74</f>
        <v>#DIV/0!</v>
      </c>
      <c r="CL333" s="339" t="e">
        <f>(CL69-CL168)/-CL74</f>
        <v>#DIV/0!</v>
      </c>
      <c r="CM333" s="339" t="e">
        <f>(CM69-CM168)/-CM74</f>
        <v>#DIV/0!</v>
      </c>
      <c r="CN333" s="339" t="e">
        <f>(CN69-CN168)/-CN74</f>
        <v>#DIV/0!</v>
      </c>
      <c r="CP333" s="339" t="e">
        <f>(CP69-CP168)/-CP74</f>
        <v>#DIV/0!</v>
      </c>
      <c r="CQ333" s="339" t="e">
        <f>(CQ69-CQ168)/-CQ74</f>
        <v>#DIV/0!</v>
      </c>
      <c r="CR333" s="339" t="e">
        <f>(CR69-CR168)/-CR74</f>
        <v>#DIV/0!</v>
      </c>
      <c r="CS333" s="339" t="e">
        <f>(CS69-CS168)/-CS74</f>
        <v>#DIV/0!</v>
      </c>
      <c r="CU333" s="339" t="e">
        <f>(CU69-CU168)/-CU74</f>
        <v>#DIV/0!</v>
      </c>
      <c r="CV333" s="339" t="e">
        <f>(CV69-CV168)/-CV74</f>
        <v>#DIV/0!</v>
      </c>
      <c r="CW333" s="339" t="e">
        <f>(CW69-CW168)/-CW74</f>
        <v>#DIV/0!</v>
      </c>
      <c r="CX333" s="339" t="e">
        <f>(CX69-CX168)/-CX74</f>
        <v>#DIV/0!</v>
      </c>
    </row>
    <row r="334" ht="12.75" customFormat="1" customHeight="1" s="333">
      <c r="A334" s="334" t="n"/>
      <c r="B334" s="334" t="n"/>
      <c r="C334" s="333" t="inlineStr">
        <is>
          <t>TOTAL DEBT / EBITDA LTM</t>
        </is>
      </c>
      <c r="D334" s="339" t="str">
        <f>""</f>
        <v/>
      </c>
      <c r="E334" s="339" t="str">
        <f>""</f>
        <v/>
      </c>
      <c r="F334" s="339" t="str">
        <f>""</f>
        <v/>
      </c>
      <c r="G334" s="339">
        <f>IFERROR(SUM(G212,G213,G214,G217,G235,G238)/(G69+F69+E69+D69),"")</f>
        <v>4.35230934479055</v>
      </c>
      <c r="I334" s="339">
        <f>IFERROR(SUM(I212,I213,I214,I217,I235,I238)/(I69+G69+F69+E69),"")</f>
        <v>2.75350631136045</v>
      </c>
      <c r="J334" s="339">
        <f>IFERROR(SUM(J212,J213,J214,J217,J235,J238)/(J69+I69+G69+F69),"")</f>
        <v>3.24685343077548</v>
      </c>
      <c r="K334" s="339">
        <f>IFERROR(SUM(K212,K213,K214,K217,K235,K238)/(K69+J69+I69+G69),"")</f>
        <v>2.66800145613396</v>
      </c>
      <c r="L334" s="339">
        <f>IFERROR(SUM(L212,L213,L214,L217,L235,L238)/(L69+K69+J69+I69),"")</f>
        <v>2.67032106499608</v>
      </c>
      <c r="N334" s="339">
        <f>IFERROR(SUM(N212,N213,N214,N217,N235,N238)/(N69+L69+K69+J69),"")</f>
        <v>2.88560311284047</v>
      </c>
      <c r="O334" s="339">
        <f>IFERROR(SUM(O212,O213,O214,O217,O235,O238)/(O69+N69+L69+K69),"")</f>
        <v>2.84522003034901</v>
      </c>
      <c r="P334" s="339">
        <f>IFERROR(SUM(P212,P213,P214,P217,P235,P238)/(P69+O69+N69+L69),"")</f>
        <v>2.31684290030212</v>
      </c>
      <c r="Q334" s="339">
        <f>IFERROR(SUM(Q212,Q213,Q214,Q217,Q235,Q238)/(Q69+P69+O69+N69),"")</f>
        <v>2.06651966188901</v>
      </c>
      <c r="S334" s="339">
        <f>IFERROR(SUM(S212,S213,S214,S217,S235,S238)/(S69+Q69+P69+O69),"")</f>
        <v>2.49453448925744</v>
      </c>
      <c r="T334" s="339">
        <f>IFERROR(SUM(T212,T213,T214,T217,T235,T238)/(T69+S69+Q69+P69),"")</f>
        <v>1.84829329962073</v>
      </c>
      <c r="U334" s="339">
        <f>IFERROR(SUM(U212,U213,U214,U217,U235,U238)/(U69+T69+S69+Q69),"")</f>
        <v>1.86206896551724</v>
      </c>
      <c r="V334" s="339">
        <f>IFERROR(SUM(V212,V213,V214,V217,V235,V238)/(V69+U69+T69+S69),"")</f>
        <v>1.60737224239039</v>
      </c>
      <c r="X334" s="339">
        <f>IFERROR(SUM(X212,X213,X214,X217,X235,X238)/(X69+V69+U69+T69),"")</f>
        <v>1.8646875</v>
      </c>
      <c r="Y334" s="339">
        <f>IFERROR(SUM(Y212,Y213,Y214,Y217,Y235,Y238)/(Y69+X69+V69+U69),"")</f>
        <v>2.38781275221953</v>
      </c>
      <c r="Z334" s="339">
        <f>IFERROR(SUM(Z212,Z213,Z214,Z217,Z235,Z238)/(Z69+Y69+X69+V69),"")</f>
        <v>3.18112359550562</v>
      </c>
      <c r="AA334" s="339">
        <f>IFERROR(SUM(AA212,AA213,AA214,AA217,AA235,AA238)/(AA69+Z69+Y69+X69),"")</f>
        <v>3.41438848920863</v>
      </c>
      <c r="AC334" s="339">
        <f>IFERROR(SUM(AC212,AC213,AC214,AC217,AC235,AC238)/(AC69+AA69+Z69+Y69),"")</f>
        <v>4.09022957821676</v>
      </c>
      <c r="AD334" s="339">
        <f>IFERROR(SUM(AD212,AD213,AD214,AD217,AD235,AD238)/(AD69+AC69+AA69+Z69),"")</f>
        <v>6.16818181818182</v>
      </c>
      <c r="AE334" s="339">
        <f>IFERROR(SUM(AE212,AE213,AE214,AE217,AE235,AE238)/(AE69+AD69+AC69+AA69),"")</f>
        <v>8.00743494423792</v>
      </c>
      <c r="AF334" s="339">
        <f>IFERROR(SUM(AF212,AF213,AF214,AF217,AF235,AF238)/(AF69+AE69+AD69+AC69),"")</f>
        <v>7.82741370685343</v>
      </c>
      <c r="AH334" s="339">
        <f>IFERROR(SUM(AH212,AH213,AH214,AH217,AH235,AH238)/(AH69+AF69+AE69+AD69),"")</f>
        <v>7.58266978922717</v>
      </c>
      <c r="AI334" s="339">
        <f>IFERROR(SUM(AI212,AI213,AI214,AI217,AI235,AI238)/(AI69+AH69+AF69+AE69),"")</f>
        <v>5.54851485148515</v>
      </c>
      <c r="AJ334" s="339">
        <f>IFERROR(SUM(AJ212,AJ213,AJ214,AJ217,AJ235,AJ238)/(AJ69+AI69+AH69+AF69),"")</f>
        <v>6.99334442595674</v>
      </c>
      <c r="AK334" s="339">
        <f>IFERROR(SUM(AK212,AK213,AK214,AK217,AK235,AK238)/(AK69+AJ69+AI69+AH69),"")</f>
        <v>9.31929046563193</v>
      </c>
      <c r="AM334" s="339">
        <f>IFERROR(SUM(AM212,AM213,AM214,AM217,AM235,AM238)/(AM69+AK69+AJ69+AI69),"")</f>
        <v>12.6311044327573</v>
      </c>
      <c r="AN334" s="339" t="str">
        <f>IFERROR(SUM(AN212,AN213,AN214,AN217,AN235,AN238)/(AN69+AM69+AK69+AJ69),"")</f>
        <v/>
      </c>
      <c r="AO334" s="339" t="str">
        <f>IFERROR(SUM(AO212,AO213,AO214,AO217,AO235,AO238)/(AO69+AN69+AM69+AK69),"")</f>
        <v/>
      </c>
      <c r="AP334" s="339" t="str">
        <f>IFERROR(SUM(AP212,AP213,AP214,AP217,AP235,AP238)/(AP69+AO69+AN69+AM69),"")</f>
        <v/>
      </c>
      <c r="AR334" s="339" t="str">
        <f>IFERROR(SUM(AR212,AR213,AR214,AR217,AR235,AR238)/(AR69+AP69+AO69+AN69),"")</f>
        <v/>
      </c>
      <c r="AS334" s="339" t="str">
        <f>IFERROR(SUM(AS212,AS213,AS214,AS217,AS235,AS238)/(AS69+AR69+AP69+AO69),"")</f>
        <v/>
      </c>
      <c r="AT334" s="339" t="str">
        <f>IFERROR(SUM(AT212,AT213,AT214,AT217,AT235,AT238)/(AT69+AS69+AR69+AP69),"")</f>
        <v/>
      </c>
      <c r="AU334" s="339" t="str">
        <f>IFERROR(SUM(AU212,AU213,AU214,AU217,AU235,AU238)/(AU69+AT69+AS69+AR69),"")</f>
        <v/>
      </c>
      <c r="AW334" s="339" t="str">
        <f>IFERROR(SUM(AW212,AW213,AW214,AW217,AW235,AW238)/(AW69+AU69+AT69+AS69),"")</f>
        <v/>
      </c>
      <c r="AX334" s="339" t="str">
        <f>IFERROR(SUM(AX212,AX213,AX214,AX217,AX235,AX238)/(AX69+AW69+AU69+AT69),"")</f>
        <v/>
      </c>
      <c r="AY334" s="339" t="str">
        <f>IFERROR(SUM(AY212,AY213,AY214,AY217,AY235,AY238)/(AY69+AX69+AW69+AU69),"")</f>
        <v/>
      </c>
      <c r="AZ334" s="339" t="str">
        <f>IFERROR(SUM(AZ212,AZ213,AZ214,AZ217,AZ235,AZ238)/(AZ69+AY69+AX69+AW69),"")</f>
        <v/>
      </c>
      <c r="BB334" s="339" t="str">
        <f>IFERROR(SUM(BB212,BB213,BB214,BB217,BB235,BB238)/(BB69+AZ69+AY69+AX69),"")</f>
        <v/>
      </c>
      <c r="BC334" s="339" t="str">
        <f>IFERROR(SUM(BC212,BC213,BC214,BC217,BC235,BC238)/(BC69+BB69+AZ69+AY69),"")</f>
        <v/>
      </c>
      <c r="BD334" s="339" t="str">
        <f>IFERROR(SUM(BD212,BD213,BD214,BD217,BD235,BD238)/(BD69+BC69+BB69+AZ69),"")</f>
        <v/>
      </c>
      <c r="BE334" s="339" t="str">
        <f>IFERROR(SUM(BE212,BE213,BE214,BE217,BE235,BE238)/(BE69+BD69+BC69+BB69),"")</f>
        <v/>
      </c>
      <c r="BG334" s="339" t="str">
        <f>IFERROR(SUM(BG212,BG213,BG214,BG217,BG235,BG238)/(BG69+BE69+BD69+BC69),"")</f>
        <v/>
      </c>
      <c r="BH334" s="339" t="str">
        <f>IFERROR(SUM(BH212,BH213,BH214,BH217,BH235,BH238)/(BH69+BG69+BE69+BD69),"")</f>
        <v/>
      </c>
      <c r="BI334" s="339" t="str">
        <f>IFERROR(SUM(BI212,BI213,BI214,BI217,BI235,BI238)/(BI69+BH69+BG69+BE69),"")</f>
        <v/>
      </c>
      <c r="BJ334" s="339" t="str">
        <f>IFERROR(SUM(BJ212,BJ213,BJ214,BJ217,BJ235,BJ238)/(BJ69+BI69+BH69+BG69),"")</f>
        <v/>
      </c>
      <c r="BL334" s="339" t="str">
        <f>IFERROR(SUM(BL212,BL213,BL214,BL217,BL235,BL238)/(BL69+BJ69+BI69+BH69),"")</f>
        <v/>
      </c>
      <c r="BM334" s="339" t="str">
        <f>IFERROR(SUM(BM212,BM213,BM214,BM217,BM235,BM238)/(BM69+BL69+BJ69+BI69),"")</f>
        <v/>
      </c>
      <c r="BN334" s="339" t="str">
        <f>IFERROR(SUM(BN212,BN213,BN214,BN217,BN235,BN238)/(BN69+BM69+BL69+BJ69),"")</f>
        <v/>
      </c>
      <c r="BO334" s="339" t="str">
        <f>IFERROR(SUM(BO212,BO213,BO214,BO217,BO235,BO238)/(BO69+BN69+BM69+BL69),"")</f>
        <v/>
      </c>
      <c r="BQ334" s="339" t="str">
        <f>IFERROR(SUM(BQ212,BQ213,BQ214,BQ217,BQ235,BQ238)/(BQ69+BO69+BN69+BM69),"")</f>
        <v/>
      </c>
      <c r="BR334" s="339" t="str">
        <f>IFERROR(SUM(BR212,BR213,BR214,BR217,BR235,BR238)/(BR69+BQ69+BO69+BN69),"")</f>
        <v/>
      </c>
      <c r="BS334" s="339" t="str">
        <f>IFERROR(SUM(BS212,BS213,BS214,BS217,BS235,BS238)/(BS69+BR69+BQ69+BO69),"")</f>
        <v/>
      </c>
      <c r="BT334" s="339" t="str">
        <f>IFERROR(SUM(BT212,BT213,BT214,BT217,BT235,BT238)/(BT69+BS69+BR69+BQ69),"")</f>
        <v/>
      </c>
      <c r="BV334" s="339" t="str">
        <f>IFERROR(SUM(BV212,BV213,BV214,BV217,BV235,BV238)/(BV69+BT69+BS69+BR69),"")</f>
        <v/>
      </c>
      <c r="BW334" s="339" t="str">
        <f>IFERROR(SUM(BW212,BW213,BW214,BW217,BW235,BW238)/(BW69+BV69+BT69+BS69),"")</f>
        <v/>
      </c>
      <c r="BX334" s="339" t="str">
        <f>IFERROR(SUM(BX212,BX213,BX214,BX217,BX235,BX238)/(BX69+BW69+BV69+BT69),"")</f>
        <v/>
      </c>
      <c r="BY334" s="339" t="str">
        <f>IFERROR(SUM(BY212,BY213,BY214,BY217,BY235,BY238)/(BY69+BX69+BW69+BV69),"")</f>
        <v/>
      </c>
      <c r="CA334" s="339" t="str">
        <f>IFERROR(SUM(CA212,CA213,CA214,CA217,CA235,CA238)/(CA69+BY69+BX69+BW69),"")</f>
        <v/>
      </c>
      <c r="CB334" s="339" t="str">
        <f>IFERROR(SUM(CB212,CB213,CB214,CB217,CB235,CB238)/(CB69+CA69+BY69+BX69),"")</f>
        <v/>
      </c>
      <c r="CC334" s="339" t="str">
        <f>IFERROR(SUM(CC212,CC213,CC214,CC217,CC235,CC238)/(CC69+CB69+CA69+BY69),"")</f>
        <v/>
      </c>
      <c r="CD334" s="339" t="str">
        <f>IFERROR(SUM(CD212,CD213,CD214,CD217,CD235,CD238)/(CD69+CC69+CB69+CA69),"")</f>
        <v/>
      </c>
      <c r="CF334" s="339" t="str">
        <f>IFERROR(SUM(CF212,CF213,CF214,CF217,CF235,CF238)/(CF69+CD69+CC69+CB69),"")</f>
        <v/>
      </c>
      <c r="CG334" s="339" t="str">
        <f>IFERROR(SUM(CG212,CG213,CG214,CG217,CG235,CG238)/(CG69+CF69+CD69+CC69),"")</f>
        <v/>
      </c>
      <c r="CH334" s="339" t="str">
        <f>IFERROR(SUM(CH212,CH213,CH214,CH217,CH235,CH238)/(CH69+CG69+CF69+CD69),"")</f>
        <v/>
      </c>
      <c r="CI334" s="339" t="str">
        <f>IFERROR(SUM(CI212,CI213,CI214,CI217,CI235,CI238)/(CI69+CH69+CG69+CF69),"")</f>
        <v/>
      </c>
      <c r="CK334" s="339" t="str">
        <f>IFERROR(SUM(CK212,CK213,CK214,CK217,CK235,CK238)/(CK69+CI69+CH69+CG69),"")</f>
        <v/>
      </c>
      <c r="CL334" s="339" t="str">
        <f>IFERROR(SUM(CL212,CL213,CL214,CL217,CL235,CL238)/(CL69+CK69+CI69+CH69),"")</f>
        <v/>
      </c>
      <c r="CM334" s="339" t="str">
        <f>IFERROR(SUM(CM212,CM213,CM214,CM217,CM235,CM238)/(CM69+CL69+CK69+CI69),"")</f>
        <v/>
      </c>
      <c r="CN334" s="339" t="str">
        <f>IFERROR(SUM(CN212,CN213,CN214,CN217,CN235,CN238)/(CN69+CM69+CL69+CK69),"")</f>
        <v/>
      </c>
      <c r="CP334" s="339" t="str">
        <f>IFERROR(SUM(CP212,CP213,CP214,CP217,CP235,CP238)/(CP69+CN69+CM69+CL69),"")</f>
        <v/>
      </c>
      <c r="CQ334" s="339" t="str">
        <f>IFERROR(SUM(CQ212,CQ213,CQ214,CQ217,CQ235,CQ238)/(CQ69+CP69+CN69+CM69),"")</f>
        <v/>
      </c>
      <c r="CR334" s="339" t="str">
        <f>IFERROR(SUM(CR212,CR213,CR214,CR217,CR235,CR238)/(CR69+CQ69+CP69+CN69),"")</f>
        <v/>
      </c>
      <c r="CS334" s="339" t="str">
        <f>IFERROR(SUM(CS212,CS213,CS214,CS217,CS235,CS238)/(CS69+CR69+CQ69+CP69),"")</f>
        <v/>
      </c>
      <c r="CU334" s="339" t="str">
        <f>IFERROR(SUM(CU212,CU213,CU214,CU217,CU235,CU238)/(CU69+CS69+CR69+CQ69),"")</f>
        <v/>
      </c>
      <c r="CV334" s="339" t="str">
        <f>IFERROR(SUM(CV212,CV213,CV214,CV217,CV235,CV238)/(CV69+CU69+CS69+CR69),"")</f>
        <v/>
      </c>
      <c r="CW334" s="339" t="str">
        <f>IFERROR(SUM(CW212,CW213,CW214,CW217,CW235,CW238)/(CW69+CV69+CU69+CS69),"")</f>
        <v/>
      </c>
      <c r="CX334" s="339" t="str">
        <f>IFERROR(SUM(CX212,CX213,CX214,CX217,CX235,CX238)/(CX69+CW69+CV69+CU69),"")</f>
        <v/>
      </c>
    </row>
    <row r="335" ht="12.75" customFormat="1" customHeight="1" s="333">
      <c r="A335" s="334" t="n"/>
      <c r="B335" s="334" t="n"/>
      <c r="C335" s="333" t="inlineStr">
        <is>
          <t>TOTAL DEBT / TOTAL CAPITALIZATION</t>
        </is>
      </c>
      <c r="D335" s="337">
        <f>SUM(D212+D213+D214+D217+D235+D238)/(SUM(D212+D213+D214+D217+D235+D238)+D271)</f>
        <v>0.51548532731377</v>
      </c>
      <c r="E335" s="337">
        <f>SUM(E212+E213+E214+E217+E235+E238)/(SUM(E212+E213+E214+E217+E235+E238)+E271)</f>
        <v>0.546660197315219</v>
      </c>
      <c r="F335" s="337">
        <f>SUM(F212+F213+F214+F217+F235+F238)/(SUM(F212+F213+F214+F217+F235+F238)+F271)</f>
        <v>0.556817321523204</v>
      </c>
      <c r="G335" s="337">
        <f>SUM(G212+G213+G214+G217+G235+G238)/(SUM(G212+G213+G214+G217+G235+G238)+G271)</f>
        <v>0.550393914697093</v>
      </c>
      <c r="I335" s="337">
        <f>SUM(I212+I213+I214+I217+I235+I238)/(SUM(I212+I213+I214+I217+I235+I238)+I271)</f>
        <v>0.519825246574436</v>
      </c>
      <c r="J335" s="337">
        <f>SUM(J212+J213+J214+J217+J235+J238)/(SUM(J212+J213+J214+J217+J235+J238)+J271)</f>
        <v>0.505787110239707</v>
      </c>
      <c r="K335" s="337">
        <f>SUM(K212+K213+K214+K217+K235+K238)/(SUM(K212+K213+K214+K217+K235+K238)+K271)</f>
        <v>0.477055262644015</v>
      </c>
      <c r="L335" s="337">
        <f>SUM(L212+L213+L214+L217+L235+L238)/(SUM(L212+L213+L214+L217+L235+L238)+L271)</f>
        <v>0.453879941434846</v>
      </c>
      <c r="N335" s="337">
        <f>SUM(N212+N213+N214+N217+N235+N238)/(SUM(N212+N213+N214+N217+N235+N238)+N271)</f>
        <v>0.448720275912144</v>
      </c>
      <c r="O335" s="337">
        <f>SUM(O212+O213+O214+O217+O235+O238)/(SUM(O212+O213+O214+O217+O235+O238)+O271)</f>
        <v>0.440140845070423</v>
      </c>
      <c r="P335" s="337">
        <f>SUM(P212+P213+P214+P217+P235+P238)/(SUM(P212+P213+P214+P217+P235+P238)+P271)</f>
        <v>0.395602269796234</v>
      </c>
      <c r="Q335" s="337">
        <f>SUM(Q212+Q213+Q214+Q217+Q235+Q238)/(SUM(Q212+Q213+Q214+Q217+Q235+Q238)+Q271)</f>
        <v>0.360841943143169</v>
      </c>
      <c r="S335" s="337">
        <f>SUM(S212+S213+S214+S217+S235+S238)/(SUM(S212+S213+S214+S217+S235+S238)+S271)</f>
        <v>0.381638890490744</v>
      </c>
      <c r="T335" s="337">
        <f>SUM(T212+T213+T214+T217+T235+T238)/(SUM(T212+T213+T214+T217+T235+T238)+T271)</f>
        <v>0.339802440441604</v>
      </c>
      <c r="U335" s="337">
        <f>SUM(U212+U213+U214+U217+U235+U238)/(SUM(U212+U213+U214+U217+U235+U238)+U271)</f>
        <v>0.349708284714119</v>
      </c>
      <c r="V335" s="337">
        <f>SUM(V212+V213+V214+V217+V235+V238)/(SUM(V212+V213+V214+V217+V235+V238)+V271)</f>
        <v>0.327603870233352</v>
      </c>
      <c r="X335" s="337">
        <f>SUM(X212+X213+X214+X217+X235+X238)/(SUM(X212+X213+X214+X217+X235+X238)+X271)</f>
        <v>0.341068876821949</v>
      </c>
      <c r="Y335" s="337">
        <f>SUM(Y212+Y213+Y214+Y217+Y235+Y238)/(SUM(Y212+Y213+Y214+Y217+Y235+Y238)+Y271)</f>
        <v>0.350097627359328</v>
      </c>
      <c r="Z335" s="337">
        <f>SUM(Z212+Z213+Z214+Z217+Z235+Z238)/(SUM(Z212+Z213+Z214+Z217+Z235+Z238)+Z271)</f>
        <v>0.388154647655607</v>
      </c>
      <c r="AA335" s="337">
        <f>SUM(AA212+AA213+AA214+AA217+AA235+AA238)/(SUM(AA212+AA213+AA214+AA217+AA235+AA238)+AA271)</f>
        <v>0.394033320418442</v>
      </c>
      <c r="AC335" s="337">
        <f>SUM(AC212+AC213+AC214+AC217+AC235+AC238)/(SUM(AC212+AC213+AC214+AC217+AC235+AC238)+AC271)</f>
        <v>0.397912013712149</v>
      </c>
      <c r="AD335" s="337">
        <f>SUM(AD212+AD213+AD214+AD217+AD235+AD238)/(SUM(AD212+AD213+AD214+AD217+AD235+AD238)+AD271)</f>
        <v>0.505337636544191</v>
      </c>
      <c r="AE335" s="337">
        <f>SUM(AE212+AE213+AE214+AE217+AE235+AE238)/(SUM(AE212+AE213+AE214+AE217+AE235+AE238)+AE271)</f>
        <v>0.499174415573129</v>
      </c>
      <c r="AF335" s="337">
        <f>SUM(AF212+AF213+AF214+AF217+AF235+AF238)/(SUM(AF212+AF213+AF214+AF217+AF235+AF238)+AF271)</f>
        <v>0.473190794447637</v>
      </c>
      <c r="AH335" s="337">
        <f>SUM(AH212+AH213+AH214+AH217+AH235+AH238)/(SUM(AH212+AH213+AH214+AH217+AH235+AH238)+AH271)</f>
        <v>0.480899477186312</v>
      </c>
      <c r="AI335" s="337">
        <f>SUM(AI212+AI213+AI214+AI217+AI235+AI238)/(SUM(AI212+AI213+AI214+AI217+AI235+AI238)+AI271)</f>
        <v>0.491291642314436</v>
      </c>
      <c r="AJ335" s="337">
        <f>SUM(AJ212+AJ213+AJ214+AJ217+AJ235+AJ238)/(SUM(AJ212+AJ213+AJ214+AJ217+AJ235+AJ238)+AJ271)</f>
        <v>0.491234221598878</v>
      </c>
      <c r="AK335" s="337">
        <f>SUM(AK212+AK213+AK214+AK217+AK235+AK238)/(SUM(AK212+AK213+AK214+AK217+AK235+AK238)+AK271)</f>
        <v>0.490303012627957</v>
      </c>
      <c r="AM335" s="337">
        <f>SUM(AM212+AM213+AM214+AM217+AM235+AM238)/(SUM(AM212+AM213+AM214+AM217+AM235+AM238)+AM271)</f>
        <v>0.489375327472783</v>
      </c>
      <c r="AN335" s="337">
        <f>SUM(AN212+AN213+AN214+AN217+AN235+AN238)/(SUM(AN212+AN213+AN214+AN217+AN235+AN238)+AN271)</f>
        <v>0.487332598991246</v>
      </c>
      <c r="AO335" s="337">
        <f>SUM(AO212+AO213+AO214+AO217+AO235+AO238)/(SUM(AO212+AO213+AO214+AO217+AO235+AO238)+AO271)</f>
        <v>0.486458333333333</v>
      </c>
      <c r="AP335" s="337">
        <f>SUM(AP212+AP213+AP214+AP217+AP235+AP238)/(SUM(AP212+AP213+AP214+AP217+AP235+AP238)+AP271)</f>
        <v>0.484439834024896</v>
      </c>
      <c r="AR335" s="337">
        <f>SUM(AR212+AR213+AR214+AR217+AR235+AR238)/(SUM(AR212+AR213+AR214+AR217+AR235+AR238)+AR271)</f>
        <v>0.482438016528926</v>
      </c>
      <c r="AS335" s="337">
        <f>SUM(AS212+AS213+AS214+AS217+AS235+AS238)/(SUM(AS212+AS213+AS214+AS217+AS235+AS238)+AS271)</f>
        <v>0.476719786763455</v>
      </c>
      <c r="AT335" s="337">
        <f>SUM(AT212+AT213+AT214+AT217+AT235+AT238)/(SUM(AT212+AT213+AT214+AT217+AT235+AT238)+AT271)</f>
        <v>0.474821363007315</v>
      </c>
      <c r="AU335" s="337">
        <f>SUM(AU212+AU213+AU214+AU217+AU235+AU238)/(SUM(AU212+AU213+AU214+AU217+AU235+AU238)+AU271)</f>
        <v>0.469281228192603</v>
      </c>
      <c r="AW335" s="337">
        <f>SUM(AW212+AW213+AW214+AW217+AW235+AW238)/(SUM(AW212+AW213+AW214+AW217+AW235+AW238)+AW271)</f>
        <v>0.463868885026074</v>
      </c>
      <c r="AX335" s="337">
        <f>SUM(AX212+AX213+AX214+AX217+AX235+AX238)/(SUM(AX212+AX213+AX214+AX217+AX235+AX238)+AX271)</f>
        <v>0.449915701019616</v>
      </c>
      <c r="AY335" s="337">
        <f>SUM(AY212+AY213+AY214+AY217+AY235+AY238)/(SUM(AY212+AY213+AY214+AY217+AY235+AY238)+AY271)</f>
        <v>0.444973797046213</v>
      </c>
      <c r="AZ335" s="337">
        <f>SUM(AZ212+AZ213+AZ214+AZ217+AZ235+AZ238)/(SUM(AZ212+AZ213+AZ214+AZ217+AZ235+AZ238)+AZ271)</f>
        <v>0.432118439315273</v>
      </c>
      <c r="BB335" s="337">
        <f>SUM(BB212+BB213+BB214+BB217+BB235+BB238)/(SUM(BB212+BB213+BB214+BB217+BB235+BB238)+BB271)</f>
        <v>0.419985011241569</v>
      </c>
      <c r="BC335" s="337">
        <f>SUM(BC212+BC213+BC214+BC217+BC235+BC238)/(SUM(BC212+BC213+BC214+BC217+BC235+BC238)+BC271)</f>
        <v>0.389942941967806</v>
      </c>
      <c r="BD335" s="337">
        <f>SUM(BD212+BD213+BD214+BD217+BD235+BD238)/(SUM(BD212+BD213+BD214+BD217+BD235+BD238)+BD271)</f>
        <v>0.380061037639878</v>
      </c>
      <c r="BE335" s="337">
        <f>SUM(BE212+BE213+BE214+BE217+BE235+BE238)/(SUM(BE212+BE213+BE214+BE217+BE235+BE238)+BE271)</f>
        <v>0.35529068661637</v>
      </c>
      <c r="BG335" s="337">
        <f>SUM(BG212+BG213+BG214+BG217+BG235+BG238)/(SUM(BG212+BG213+BG214+BG217+BG235+BG238)+BG271)</f>
        <v>0.333551574311053</v>
      </c>
      <c r="BH335" s="337">
        <f>SUM(BH212+BH213+BH214+BH217+BH235+BH238)/(SUM(BH212+BH213+BH214+BH217+BH235+BH238)+BH271)</f>
        <v>0.285826008602662</v>
      </c>
      <c r="BI335" s="337">
        <f>SUM(BI212+BI213+BI214+BI217+BI235+BI238)/(SUM(BI212+BI213+BI214+BI217+BI235+BI238)+BI271)</f>
        <v>0.271599353796446</v>
      </c>
      <c r="BJ335" s="337">
        <f>SUM(BJ212+BJ213+BJ214+BJ217+BJ235+BJ238)/(SUM(BJ212+BJ213+BJ214+BJ217+BJ235+BJ238)+BJ271)</f>
        <v>0.239092098526651</v>
      </c>
      <c r="BL335" s="337">
        <f>SUM(BL212+BL213+BL214+BL217+BL235+BL238)/(SUM(BL212+BL213+BL214+BL217+BL235+BL238)+BL271)</f>
        <v>0.213534522176498</v>
      </c>
      <c r="BM335" s="337">
        <f>SUM(BM212+BM213+BM214+BM217+BM235+BM238)/(SUM(BM212+BM213+BM214+BM217+BM235+BM238)+BM271)</f>
        <v>0.165257736012268</v>
      </c>
      <c r="BN335" s="337">
        <f>SUM(BN212+BN213+BN214+BN217+BN235+BN238)/(SUM(BN212+BN213+BN214+BN217+BN235+BN238)+BN271)</f>
        <v>0.152635162740025</v>
      </c>
      <c r="BO335" s="337">
        <f>SUM(BO212+BO213+BO214+BO217+BO235+BO238)/(SUM(BO212+BO213+BO214+BO217+BO235+BO238)+BO271)</f>
        <v>0.126268354050096</v>
      </c>
      <c r="BQ335" s="337">
        <f>SUM(BQ212+BQ213+BQ214+BQ217+BQ235+BQ238)/(SUM(BQ212+BQ213+BQ214+BQ217+BQ235+BQ238)+BQ271)</f>
        <v>0.107669153671267</v>
      </c>
      <c r="BR335" s="337">
        <f>SUM(BR212+BR213+BR214+BR217+BR235+BR238)/(SUM(BR212+BR213+BR214+BR217+BR235+BR238)+BR271)</f>
        <v>0.0767751864351051</v>
      </c>
      <c r="BS335" s="337">
        <f>SUM(BS212+BS213+BS214+BS217+BS235+BS238)/(SUM(BS212+BS213+BS214+BS217+BS235+BS238)+BS271)</f>
        <v>0.0694785390165886</v>
      </c>
      <c r="BT335" s="337">
        <f>SUM(BT212+BT213+BT214+BT217+BT235+BT238)/(SUM(BT212+BT213+BT214+BT217+BT235+BT238)+BT271)</f>
        <v>0.0551563945591622</v>
      </c>
      <c r="BV335" s="337">
        <f>SUM(BV212+BV213+BV214+BV217+BV235+BV238)/(SUM(BV212+BV213+BV214+BV217+BV235+BV238)+BV271)</f>
        <v>0.0457297667814535</v>
      </c>
      <c r="BW335" s="337">
        <f>SUM(BW212+BW213+BW214+BW217+BW235+BW238)/(SUM(BW212+BW213+BW214+BW217+BW235+BW238)+BW271)</f>
        <v>0.0311736281341438</v>
      </c>
      <c r="BX335" s="337">
        <f>SUM(BX212+BX213+BX214+BX217+BX235+BX238)/(SUM(BX212+BX213+BX214+BX217+BX235+BX238)+BX271)</f>
        <v>0.0279208345027909</v>
      </c>
      <c r="BY335" s="337">
        <f>SUM(BY212+BY213+BY214+BY217+BY235+BY238)/(SUM(BY212+BY213+BY214+BY217+BY235+BY238)+BY271)</f>
        <v>0.0217266847162362</v>
      </c>
      <c r="CA335" s="337">
        <f>SUM(CA212+CA213+CA214+CA217+CA235+CA238)/(SUM(CA212+CA213+CA214+CA217+CA235+CA238)+CA271)</f>
        <v>0.0177818392971033</v>
      </c>
      <c r="CB335" s="337">
        <f>SUM(CB212+CB213+CB214+CB217+CB235+CB238)/(SUM(CB212+CB213+CB214+CB217+CB235+CB238)+CB271)</f>
        <v>0.0118858836396595</v>
      </c>
      <c r="CC335" s="337">
        <f>SUM(CC212+CC213+CC214+CC217+CC235+CC238)/(SUM(CC212+CC213+CC214+CC217+CC235+CC238)+CC271)</f>
        <v>0.010599503692047</v>
      </c>
      <c r="CD335" s="337">
        <f>SUM(CD212+CD213+CD214+CD217+CD235+CD238)/(SUM(CD212+CD213+CD214+CD217+CD235+CD238)+CD271)</f>
        <v>0.00818060789137679</v>
      </c>
      <c r="CF335" s="337">
        <f>SUM(CF212+CF213+CF214+CF217+CF235+CF238)/(SUM(CF212+CF213+CF214+CF217+CF235+CF238)+CF271)</f>
        <v>0.00666060244935216</v>
      </c>
      <c r="CG335" s="337">
        <f>SUM(CG212+CG213+CG214+CG217+CG235+CG238)/(SUM(CG212+CG213+CG214+CG217+CG235+CG238)+CG271)</f>
        <v>0.00441792312414333</v>
      </c>
      <c r="CH335" s="337">
        <f>SUM(CH212+CH213+CH214+CH217+CH235+CH238)/(SUM(CH212+CH213+CH214+CH217+CH235+CH238)+CH271)</f>
        <v>0.00393318636523468</v>
      </c>
      <c r="CI335" s="337">
        <f>SUM(CI212+CI213+CI214+CI217+CI235+CI238)/(SUM(CI212+CI213+CI214+CI217+CI235+CI238)+CI271)</f>
        <v>0.00302607641976929</v>
      </c>
      <c r="CK335" s="337">
        <f>SUM(CK212+CK213+CK214+CK217+CK235+CK238)/(SUM(CK212+CK213+CK214+CK217+CK235+CK238)+CK271)</f>
        <v>0.00245896568110585</v>
      </c>
      <c r="CL335" s="337">
        <f>SUM(CL212+CL213+CL214+CL217+CL235+CL238)/(SUM(CL212+CL213+CL214+CL217+CL235+CL238)+CL271)</f>
        <v>0.00162629167674715</v>
      </c>
      <c r="CM335" s="337">
        <f>SUM(CM212+CM213+CM214+CM217+CM235+CM238)/(SUM(CM212+CM213+CM214+CM217+CM235+CM238)+CM271)</f>
        <v>0.0014469480773544</v>
      </c>
      <c r="CN335" s="337">
        <f>SUM(CN212+CN213+CN214+CN217+CN235+CN238)/(SUM(CN212+CN213+CN214+CN217+CN235+CN238)+CN271)</f>
        <v>0.0011119381494656</v>
      </c>
      <c r="CP335" s="337">
        <f>SUM(CP212+CP213+CP214+CP217+CP235+CP238)/(SUM(CP212+CP213+CP214+CP217+CP235+CP238)+CP271)</f>
        <v>0.000902892639878274</v>
      </c>
      <c r="CQ335" s="337">
        <f>SUM(CQ212+CQ213+CQ214+CQ217+CQ235+CQ238)/(SUM(CQ212+CQ213+CQ214+CQ217+CQ235+CQ238)+CQ271)</f>
        <v>0.000596508784383079</v>
      </c>
      <c r="CR335" s="337">
        <f>SUM(CR212+CR213+CR214+CR217+CR235+CR238)/(SUM(CR212+CR213+CR214+CR217+CR235+CR238)+CR271)</f>
        <v>0.000530604790043264</v>
      </c>
      <c r="CS335" s="337">
        <f>SUM(CS212+CS213+CS214+CS217+CS235+CS238)/(SUM(CS212+CS213+CS214+CS217+CS235+CS238)+CS271)</f>
        <v>0.000407579060143343</v>
      </c>
      <c r="CU335" s="337">
        <f>SUM(CU212+CU213+CU214+CU217+CU235+CU238)/(SUM(CU212+CU213+CU214+CU217+CU235+CU238)+CU271)</f>
        <v>0.000330864907673202</v>
      </c>
      <c r="CV335" s="337">
        <f>SUM(CV212+CV213+CV214+CV217+CV235+CV238)/(SUM(CV212+CV213+CV214+CV217+CV235+CV238)+CV271)</f>
        <v>0.000218504591332274</v>
      </c>
      <c r="CW335" s="337">
        <f>SUM(CW212+CW213+CW214+CW217+CW235+CW238)/(SUM(CW212+CW213+CW214+CW217+CW235+CW238)+CW271)</f>
        <v>0.000194347120603833</v>
      </c>
      <c r="CX335" s="337">
        <f>SUM(CX212+CX213+CX214+CX217+CX235+CX238)/(SUM(CX212+CX213+CX214+CX217+CX235+CX238)+CX271)</f>
        <v>0.000149262334038876</v>
      </c>
    </row>
    <row r="336" ht="12.75" customFormat="1" customHeight="1" s="333">
      <c r="A336" s="334" t="n"/>
      <c r="B336" s="334" t="n"/>
      <c r="C336" s="333" t="inlineStr">
        <is>
          <t>NET DEBT / EBITDA LTM (com arrendamentos)</t>
        </is>
      </c>
      <c r="D336" s="339" t="str">
        <f>""</f>
        <v/>
      </c>
      <c r="E336" s="339" t="str">
        <f>""</f>
        <v/>
      </c>
      <c r="F336" s="339" t="str">
        <f>""</f>
        <v/>
      </c>
      <c r="G336" s="339">
        <f>IFERROR((SUM(G212,G213,G214,G217,G235,G238)-G144)/(G69+F69+E69+D69),"")</f>
        <v>4.16326530612245</v>
      </c>
      <c r="I336" s="339">
        <f>IFERROR((SUM(I212,I213,I214,I217,I235,I238)-I144)/(I69+G69+F69+E69),"")</f>
        <v>2.67426367461431</v>
      </c>
      <c r="J336" s="339">
        <f>IFERROR((SUM(J212,J213,J214,J217,J235,J238)-J144)/(J69+I69+G69+F69),"")</f>
        <v>3.0584652862363</v>
      </c>
      <c r="K336" s="339">
        <f>IFERROR((SUM(K212,K213,K214,K217,K235,K238)-K144)/(K69+J69+I69+G69),"")</f>
        <v>2.29195485984711</v>
      </c>
      <c r="L336" s="339">
        <f>IFERROR((SUM(L212,L213,L214,L217,L235,L238)-L144)/(L69+K69+J69+I69),"")</f>
        <v>2.31714956930305</v>
      </c>
      <c r="N336" s="339">
        <f>IFERROR((SUM(N212,N213,N214,N217,N235,N238)-N144)/(N69+L69+K69+J69),"")</f>
        <v>2.73540856031128</v>
      </c>
      <c r="O336" s="339">
        <f>IFERROR((SUM(O212,O213,O214,O217,O235,O238)-O144)/(O69+N69+L69+K69),"")</f>
        <v>2.53490136570561</v>
      </c>
      <c r="P336" s="339">
        <f>IFERROR((SUM(P212,P213,P214,P217,P235,P238)-P144)/(P69+O69+N69+L69),"")</f>
        <v>1.95581570996979</v>
      </c>
      <c r="Q336" s="339">
        <f>IFERROR((SUM(Q212,Q213,Q214,Q217,Q235,Q238)-Q144)/(Q69+P69+O69+N69),"")</f>
        <v>1.66078647556046</v>
      </c>
      <c r="S336" s="339">
        <f>IFERROR((SUM(S212,S213,S214,S217,S235,S238)-S144)/(S69+Q69+P69+O69),"")</f>
        <v>1.34413871089333</v>
      </c>
      <c r="T336" s="339">
        <f>IFERROR((SUM(T212,T213,T214,T217,T235,T238)-T144)/(T69+S69+Q69+P69),"")</f>
        <v>1.42793931731985</v>
      </c>
      <c r="U336" s="339">
        <f>IFERROR((SUM(U212,U213,U214,U217,U235,U238)-U144)/(U69+T69+S69+Q69),"")</f>
        <v>1.1870146008077</v>
      </c>
      <c r="V336" s="339">
        <f>IFERROR((SUM(V212,V213,V214,V217,V235,V238)-V144)/(V69+U69+T69+S69),"")</f>
        <v>0.880759564367495</v>
      </c>
      <c r="X336" s="339">
        <f>IFERROR((SUM(X212,X213,X214,X217,X235,X238)-X144)/(X69+V69+U69+T69),"")</f>
        <v>0.94625</v>
      </c>
      <c r="Y336" s="339">
        <f>IFERROR((SUM(Y212,Y213,Y214,Y217,Y235,Y238)-Y144)/(Y69+X69+V69+U69),"")</f>
        <v>1.91928974979822</v>
      </c>
      <c r="Z336" s="339">
        <f>IFERROR((SUM(Z212,Z213,Z214,Z217,Z235,Z238)-Z144)/(Z69+Y69+X69+V69),"")</f>
        <v>1.90651685393258</v>
      </c>
      <c r="AA336" s="339">
        <f>IFERROR((SUM(AA212,AA213,AA214,AA217,AA235,AA238)-AA144)/(AA69+Z69+Y69+X69),"")</f>
        <v>1.82637889688249</v>
      </c>
      <c r="AC336" s="339">
        <f>IFERROR((SUM(AC212,AC213,AC214,AC217,AC235,AC238)-AC144)/(AC69+AA69+Z69+Y69),"")</f>
        <v>2.35771489588895</v>
      </c>
      <c r="AD336" s="339">
        <f>IFERROR((SUM(AD212,AD213,AD214,AD217,AD235,AD238)-AD144)/(AD69+AC69+AA69+Z69),"")</f>
        <v>2.73888888888889</v>
      </c>
      <c r="AE336" s="339">
        <f>IFERROR((SUM(AE212,AE213,AE214,AE217,AE235,AE238)-AE144)/(AE69+AD69+AC69+AA69),"")</f>
        <v>7.39637546468402</v>
      </c>
      <c r="AF336" s="339">
        <f>IFERROR((SUM(AF212,AF213,AF214,AF217,AF235,AF238)-AF144)/(AF69+AE69+AD69+AC69),"")</f>
        <v>7.25962981490745</v>
      </c>
      <c r="AH336" s="339">
        <f>IFERROR((SUM(AH212,AH213,AH214,AH217,AH235,AH238)-AH144)/(AH69+AF69+AE69+AD69),"")</f>
        <v>7.18969555035129</v>
      </c>
      <c r="AI336" s="339">
        <f>IFERROR((SUM(AI212,AI213,AI214,AI217,AI235,AI238)-AI144)/(AI69+AH69+AF69+AE69),"")</f>
        <v>5.35280528052805</v>
      </c>
      <c r="AJ336" s="339">
        <f>IFERROR((SUM(AJ212,AJ213,AJ214,AJ217,AJ235,AJ238)-AJ144)/(AJ69+AI69+AH69+AF69),"")</f>
        <v>0.791181364392679</v>
      </c>
      <c r="AK336" s="339">
        <f>IFERROR((SUM(AK212,AK213,AK214,AK217,AK235,AK238)-AK144)/(AK69+AJ69+AI69+AH69),"")</f>
        <v>1.01829268292683</v>
      </c>
      <c r="AM336" s="339" t="str">
        <f>IFERROR((SUM(AM212,AM213,AM214,AM217,AM235,AM238)-AM144)/(AM69+AK69+AJ69+AI69),"")</f>
        <v/>
      </c>
      <c r="AN336" s="339" t="str">
        <f>IFERROR((SUM(AN212,AN213,AN214,AN217,AN235,AN238)-AN144)/(AN69+AM69+AK69+AJ69),"")</f>
        <v/>
      </c>
      <c r="AO336" s="339" t="str">
        <f>IFERROR((SUM(AO212,AO213,AO214,AO217,AO235,AO238)-AO144)/(AO69+AN69+AM69+AK69),"")</f>
        <v/>
      </c>
      <c r="AP336" s="339" t="str">
        <f>IFERROR((SUM(AP212,AP213,AP214,AP217,AP235,AP238)-AP144)/(AP69+AO69+AN69+AM69),"")</f>
        <v/>
      </c>
      <c r="AR336" s="339" t="str">
        <f>IFERROR((SUM(AR212,AR213,AR214,AR217,AR235,AR238)-AR144)/(AR69+AP69+AO69+AN69),"")</f>
        <v/>
      </c>
      <c r="AS336" s="339" t="str">
        <f>IFERROR((SUM(AS212,AS213,AS214,AS217,AS235,AS238)-AS144)/(AS69+AR69+AP69+AO69),"")</f>
        <v/>
      </c>
      <c r="AT336" s="339" t="str">
        <f>IFERROR((SUM(AT212,AT213,AT214,AT217,AT235,AT238)-AT144)/(AT69+AS69+AR69+AP69),"")</f>
        <v/>
      </c>
      <c r="AU336" s="339" t="str">
        <f>IFERROR((SUM(AU212,AU213,AU214,AU217,AU235,AU238)-AU144)/(AU69+AT69+AS69+AR69),"")</f>
        <v/>
      </c>
      <c r="AW336" s="339" t="str">
        <f>IFERROR((SUM(AW212,AW213,AW214,AW217,AW235,AW238)-AW144)/(AW69+AU69+AT69+AS69),"")</f>
        <v/>
      </c>
      <c r="AX336" s="339" t="str">
        <f>IFERROR((SUM(AX212,AX213,AX214,AX217,AX235,AX238)-AX144)/(AX69+AW69+AU69+AT69),"")</f>
        <v/>
      </c>
      <c r="AY336" s="339" t="str">
        <f>IFERROR((SUM(AY212,AY213,AY214,AY217,AY235,AY238)-AY144)/(AY69+AX69+AW69+AU69),"")</f>
        <v/>
      </c>
      <c r="AZ336" s="339" t="str">
        <f>IFERROR((SUM(AZ212,AZ213,AZ214,AZ217,AZ235,AZ238)-AZ144)/(AZ69+AY69+AX69+AW69),"")</f>
        <v/>
      </c>
      <c r="BB336" s="339" t="str">
        <f>IFERROR((SUM(BB212,BB213,BB214,BB217,BB235,BB238)-BB144)/(BB69+AZ69+AY69+AX69),"")</f>
        <v/>
      </c>
      <c r="BC336" s="339" t="str">
        <f>IFERROR((SUM(BC212,BC213,BC214,BC217,BC235,BC238)-BC144)/(BC69+BB69+AZ69+AY69),"")</f>
        <v/>
      </c>
      <c r="BD336" s="339" t="str">
        <f>IFERROR((SUM(BD212,BD213,BD214,BD217,BD235,BD238)-BD144)/(BD69+BC69+BB69+AZ69),"")</f>
        <v/>
      </c>
      <c r="BE336" s="339" t="str">
        <f>IFERROR((SUM(BE212,BE213,BE214,BE217,BE235,BE238)-BE144)/(BE69+BD69+BC69+BB69),"")</f>
        <v/>
      </c>
      <c r="BG336" s="339" t="str">
        <f>IFERROR((SUM(BG212,BG213,BG214,BG217,BG235,BG238)-BG144)/(BG69+BE69+BD69+BC69),"")</f>
        <v/>
      </c>
      <c r="BH336" s="339" t="str">
        <f>IFERROR((SUM(BH212,BH213,BH214,BH217,BH235,BH238)-BH144)/(BH69+BG69+BE69+BD69),"")</f>
        <v/>
      </c>
      <c r="BI336" s="339" t="str">
        <f>IFERROR((SUM(BI212,BI213,BI214,BI217,BI235,BI238)-BI144)/(BI69+BH69+BG69+BE69),"")</f>
        <v/>
      </c>
      <c r="BJ336" s="339" t="str">
        <f>IFERROR((SUM(BJ212,BJ213,BJ214,BJ217,BJ235,BJ238)-BJ144)/(BJ69+BI69+BH69+BG69),"")</f>
        <v/>
      </c>
      <c r="BL336" s="339" t="str">
        <f>IFERROR((SUM(BL212,BL213,BL214,BL217,BL235,BL238)-BL144)/(BL69+BJ69+BI69+BH69),"")</f>
        <v/>
      </c>
      <c r="BM336" s="339" t="str">
        <f>IFERROR((SUM(BM212,BM213,BM214,BM217,BM235,BM238)-BM144)/(BM69+BL69+BJ69+BI69),"")</f>
        <v/>
      </c>
      <c r="BN336" s="339" t="str">
        <f>IFERROR((SUM(BN212,BN213,BN214,BN217,BN235,BN238)-BN144)/(BN69+BM69+BL69+BJ69),"")</f>
        <v/>
      </c>
      <c r="BO336" s="339" t="str">
        <f>IFERROR((SUM(BO212,BO213,BO214,BO217,BO235,BO238)-BO144)/(BO69+BN69+BM69+BL69),"")</f>
        <v/>
      </c>
      <c r="BQ336" s="339" t="str">
        <f>IFERROR((SUM(BQ212,BQ213,BQ214,BQ217,BQ235,BQ238)-BQ144)/(BQ69+BO69+BN69+BM69),"")</f>
        <v/>
      </c>
      <c r="BR336" s="339" t="str">
        <f>IFERROR((SUM(BR212,BR213,BR214,BR217,BR235,BR238)-BR144)/(BR69+BQ69+BO69+BN69),"")</f>
        <v/>
      </c>
      <c r="BS336" s="339" t="str">
        <f>IFERROR((SUM(BS212,BS213,BS214,BS217,BS235,BS238)-BS144)/(BS69+BR69+BQ69+BO69),"")</f>
        <v/>
      </c>
      <c r="BT336" s="339" t="str">
        <f>IFERROR((SUM(BT212,BT213,BT214,BT217,BT235,BT238)-BT144)/(BT69+BS69+BR69+BQ69),"")</f>
        <v/>
      </c>
      <c r="BV336" s="339" t="str">
        <f>IFERROR((SUM(BV212,BV213,BV214,BV217,BV235,BV238)-BV144)/(BV69+BT69+BS69+BR69),"")</f>
        <v/>
      </c>
      <c r="BW336" s="339" t="str">
        <f>IFERROR((SUM(BW212,BW213,BW214,BW217,BW235,BW238)-BW144)/(BW69+BV69+BT69+BS69),"")</f>
        <v/>
      </c>
      <c r="BX336" s="339" t="str">
        <f>IFERROR((SUM(BX212,BX213,BX214,BX217,BX235,BX238)-BX144)/(BX69+BW69+BV69+BT69),"")</f>
        <v/>
      </c>
      <c r="BY336" s="339" t="str">
        <f>IFERROR((SUM(BY212,BY213,BY214,BY217,BY235,BY238)-BY144)/(BY69+BX69+BW69+BV69),"")</f>
        <v/>
      </c>
      <c r="CA336" s="339" t="str">
        <f>IFERROR((SUM(CA212,CA213,CA214,CA217,CA235,CA238)-CA144)/(CA69+BY69+BX69+BW69),"")</f>
        <v/>
      </c>
      <c r="CB336" s="339" t="str">
        <f>IFERROR((SUM(CB212,CB213,CB214,CB217,CB235,CB238)-CB144)/(CB69+CA69+BY69+BX69),"")</f>
        <v/>
      </c>
      <c r="CC336" s="339" t="str">
        <f>IFERROR((SUM(CC212,CC213,CC214,CC217,CC235,CC238)-CC144)/(CC69+CB69+CA69+BY69),"")</f>
        <v/>
      </c>
      <c r="CD336" s="339" t="str">
        <f>IFERROR((SUM(CD212,CD213,CD214,CD217,CD235,CD238)-CD144)/(CD69+CC69+CB69+CA69),"")</f>
        <v/>
      </c>
      <c r="CF336" s="339" t="str">
        <f>IFERROR((SUM(CF212,CF213,CF214,CF217,CF235,CF238)-CF144)/(CF69+CD69+CC69+CB69),"")</f>
        <v/>
      </c>
      <c r="CG336" s="339" t="str">
        <f>IFERROR((SUM(CG212,CG213,CG214,CG217,CG235,CG238)-CG144)/(CG69+CF69+CD69+CC69),"")</f>
        <v/>
      </c>
      <c r="CH336" s="339" t="str">
        <f>IFERROR((SUM(CH212,CH213,CH214,CH217,CH235,CH238)-CH144)/(CH69+CG69+CF69+CD69),"")</f>
        <v/>
      </c>
      <c r="CI336" s="339" t="str">
        <f>IFERROR((SUM(CI212,CI213,CI214,CI217,CI235,CI238)-CI144)/(CI69+CH69+CG69+CF69),"")</f>
        <v/>
      </c>
      <c r="CK336" s="339" t="str">
        <f>IFERROR((SUM(CK212,CK213,CK214,CK217,CK235,CK238)-CK144)/(CK69+CI69+CH69+CG69),"")</f>
        <v/>
      </c>
      <c r="CL336" s="339" t="str">
        <f>IFERROR((SUM(CL212,CL213,CL214,CL217,CL235,CL238)-CL144)/(CL69+CK69+CI69+CH69),"")</f>
        <v/>
      </c>
      <c r="CM336" s="339" t="str">
        <f>IFERROR((SUM(CM212,CM213,CM214,CM217,CM235,CM238)-CM144)/(CM69+CL69+CK69+CI69),"")</f>
        <v/>
      </c>
      <c r="CN336" s="339" t="str">
        <f>IFERROR((SUM(CN212,CN213,CN214,CN217,CN235,CN238)-CN144)/(CN69+CM69+CL69+CK69),"")</f>
        <v/>
      </c>
      <c r="CP336" s="339" t="str">
        <f>IFERROR((SUM(CP212,CP213,CP214,CP217,CP235,CP238)-CP144)/(CP69+CN69+CM69+CL69),"")</f>
        <v/>
      </c>
      <c r="CQ336" s="339" t="str">
        <f>IFERROR((SUM(CQ212,CQ213,CQ214,CQ217,CQ235,CQ238)-CQ144)/(CQ69+CP69+CN69+CM69),"")</f>
        <v/>
      </c>
      <c r="CR336" s="339" t="str">
        <f>IFERROR((SUM(CR212,CR213,CR214,CR217,CR235,CR238)-CR144)/(CR69+CQ69+CP69+CN69),"")</f>
        <v/>
      </c>
      <c r="CS336" s="339" t="str">
        <f>IFERROR((SUM(CS212,CS213,CS214,CS217,CS235,CS238)-CS144)/(CS69+CR69+CQ69+CP69),"")</f>
        <v/>
      </c>
      <c r="CU336" s="339" t="str">
        <f>IFERROR((SUM(CU212,CU213,CU214,CU217,CU235,CU238)-CU144)/(CU69+CS69+CR69+CQ69),"")</f>
        <v/>
      </c>
      <c r="CV336" s="339" t="str">
        <f>IFERROR((SUM(CV212,CV213,CV214,CV217,CV235,CV238)-CV144)/(CV69+CU69+CS69+CR69),"")</f>
        <v/>
      </c>
      <c r="CW336" s="339" t="str">
        <f>IFERROR((SUM(CW212,CW213,CW214,CW217,CW235,CW238)-CW144)/(CW69+CV69+CU69+CS69),"")</f>
        <v/>
      </c>
      <c r="CX336" s="339" t="str">
        <f>IFERROR((SUM(CX212,CX213,CX214,CX217,CX235,CX238)-CX144)/(CX69+CW69+CV69+CU69),"")</f>
        <v/>
      </c>
    </row>
    <row r="337" ht="12.75" customFormat="1" customHeight="1" s="333">
      <c r="A337" s="334" t="n"/>
      <c r="B337" s="334" t="n"/>
      <c r="C337" s="340" t="inlineStr">
        <is>
          <t>NET DEBT (EX IFRS 16) / EBITDA LTM</t>
        </is>
      </c>
      <c r="D337" s="339" t="str">
        <f>""</f>
        <v/>
      </c>
      <c r="E337" s="339" t="str">
        <f>""</f>
        <v/>
      </c>
      <c r="F337" s="339" t="str">
        <f>""</f>
        <v/>
      </c>
      <c r="G337" s="339">
        <f>IFERROR((SUM(G212,G213,G217,G238)-G144)/(G69+F69+E69+D69),"")</f>
        <v>3.7250268528464</v>
      </c>
      <c r="I337" s="339">
        <f>IFERROR((SUM(I212,I213,I217,I238)-I144)/(I69+G69+F69+E69),"")</f>
        <v>2.39481065918654</v>
      </c>
      <c r="J337" s="339">
        <f>IFERROR((SUM(J212,J213,J217,J238)-J144)/(J69+I69+G69+F69),"")</f>
        <v>2.7320341047503</v>
      </c>
      <c r="K337" s="339">
        <f>IFERROR((SUM(K212,K213,K217,K238)-K144)/(K69+J69+I69+G69),"")</f>
        <v>1.98107025846378</v>
      </c>
      <c r="L337" s="339">
        <f>IFERROR((SUM(L212,L213,L217,L238)-L144)/(L69+K69+J69+I69),"")</f>
        <v>1.98198903680501</v>
      </c>
      <c r="N337" s="339">
        <f>IFERROR((SUM(N212,N213,N217,N238)-N144)/(N69+L69+K69+J69),"")</f>
        <v>2.37120622568093</v>
      </c>
      <c r="O337" s="339">
        <f>IFERROR((SUM(O212,O213,O217,O238)-O144)/(O69+N69+L69+K69),"")</f>
        <v>2.16274658573596</v>
      </c>
      <c r="P337" s="339">
        <f>IFERROR((SUM(P212,P213,P217,P238)-P144)/(P69+O69+N69+L69),"")</f>
        <v>1.56382175226586</v>
      </c>
      <c r="Q337" s="339">
        <f>IFERROR((SUM(Q212,Q213,Q217,Q238)-Q144)/(Q69+P69+O69+N69),"")</f>
        <v>1.30356486585814</v>
      </c>
      <c r="S337" s="339">
        <f>IFERROR((SUM(S212,S213,S217,S238)-S144)/(S69+Q69+P69+O69),"")</f>
        <v>1.00565397663023</v>
      </c>
      <c r="T337" s="339">
        <f>IFERROR((SUM(T212,T213,T217,T238)-T144)/(T69+S69+Q69+P69),"")</f>
        <v>1.14380530973451</v>
      </c>
      <c r="U337" s="339">
        <f>IFERROR((SUM(U212,U213,U217,U238)-U144)/(U69+T69+S69+Q69),"")</f>
        <v>0.934762348555452</v>
      </c>
      <c r="V337" s="339">
        <f>IFERROR((SUM(V212,V213,V217,V238)-V144)/(V69+U69+T69+S69),"")</f>
        <v>0.636693660988551</v>
      </c>
      <c r="X337" s="339">
        <f>IFERROR((SUM(X212,X213,X217,X238)-X144)/(X69+V69+U69+T69),"")</f>
        <v>0.67375</v>
      </c>
      <c r="Y337" s="339">
        <f>IFERROR((SUM(Y212,Y213,Y217,Y238)-Y144)/(Y69+X69+V69+U69),"")</f>
        <v>1.56537530266344</v>
      </c>
      <c r="Z337" s="339">
        <f>IFERROR((SUM(Z212,Z213,Z217,Z238)-Z144)/(Z69+Y69+X69+V69),"")</f>
        <v>1.50966292134831</v>
      </c>
      <c r="AA337" s="339">
        <f>IFERROR((SUM(AA212,AA213,AA217,AA238)-AA144)/(AA69+Z69+Y69+X69),"")</f>
        <v>1.40383693045564</v>
      </c>
      <c r="AC337" s="339">
        <f>IFERROR((SUM(AC212,AC213,AC217,AC238)-AC144)/(AC69+AA69+Z69+Y69),"")</f>
        <v>1.85371062466631</v>
      </c>
      <c r="AD337" s="339">
        <f>IFERROR((SUM(AD212,AD213,AD217,AD238)-AD144)/(AD69+AC69+AA69+Z69),"")</f>
        <v>2.26212121212121</v>
      </c>
      <c r="AE337" s="339">
        <f>IFERROR((SUM(AE212,AE213,AE217,AE238)-AE144)/(AE69+AD69+AC69+AA69),"")</f>
        <v>6.63289962825279</v>
      </c>
      <c r="AF337" s="339">
        <f>IFERROR((SUM(AF212,AF213,AF217,AF238)-AF144)/(AF69+AE69+AD69+AC69),"")</f>
        <v>6.46123061530765</v>
      </c>
      <c r="AH337" s="339">
        <f>IFERROR((SUM(AH212,AH213,AH217,AH238)-AH144)/(AH69+AF69+AE69+AD69),"")</f>
        <v>6.42341920374707</v>
      </c>
      <c r="AI337" s="339">
        <f>IFERROR((SUM(AI212,AI213,AI217,AI238)-AI144)/(AI69+AH69+AF69+AE69),"")</f>
        <v>4.82541254125413</v>
      </c>
      <c r="AJ337" s="339">
        <f>IFERROR((SUM(AJ212,AJ213,AJ217,AJ238)-AJ144)/(AJ69+AI69+AH69+AF69),"")</f>
        <v>0.126455906821963</v>
      </c>
      <c r="AK337" s="339">
        <f>IFERROR((SUM(AK212,AK213,AK217,AK238)-AK144)/(AK69+AJ69+AI69+AH69),"")</f>
        <v>0.132483370288248</v>
      </c>
      <c r="AM337" s="339" t="str">
        <f>IFERROR((SUM(AM212,AM213,AM217,AM238)-AM144)/(AM69+AK69+AJ69+AI69),"")</f>
        <v/>
      </c>
      <c r="AN337" s="339" t="str">
        <f>IFERROR((SUM(AN212,AN213,AN217,AN238)-AN144)/(AN69+AM69+AK69+AJ69),"")</f>
        <v/>
      </c>
      <c r="AO337" s="339" t="str">
        <f>IFERROR((SUM(AO212,AO213,AO217,AO238)-AO144)/(AO69+AN69+AM69+AK69),"")</f>
        <v/>
      </c>
      <c r="AP337" s="339" t="str">
        <f>IFERROR((SUM(AP212,AP213,AP217,AP238)-AP144)/(AP69+AO69+AN69+AM69),"")</f>
        <v/>
      </c>
      <c r="AR337" s="339" t="str">
        <f>IFERROR((SUM(AR212,AR213,AR217,AR238)-AR144)/(AR69+AP69+AO69+AN69),"")</f>
        <v/>
      </c>
      <c r="AS337" s="339" t="str">
        <f>IFERROR((SUM(AS212,AS213,AS217,AS238)-AS144)/(AS69+AR69+AP69+AO69),"")</f>
        <v/>
      </c>
      <c r="AT337" s="339" t="str">
        <f>IFERROR((SUM(AT212,AT213,AT217,AT238)-AT144)/(AT69+AS69+AR69+AP69),"")</f>
        <v/>
      </c>
      <c r="AU337" s="339" t="str">
        <f>IFERROR((SUM(AU212,AU213,AU217,AU238)-AU144)/(AU69+AT69+AS69+AR69),"")</f>
        <v/>
      </c>
      <c r="AW337" s="339" t="str">
        <f>IFERROR((SUM(AW212,AW213,AW217,AW238)-AW144)/(AW69+AU69+AT69+AS69),"")</f>
        <v/>
      </c>
      <c r="AX337" s="339" t="str">
        <f>IFERROR((SUM(AX212,AX213,AX217,AX238)-AX144)/(AX69+AW69+AU69+AT69),"")</f>
        <v/>
      </c>
      <c r="AY337" s="339" t="str">
        <f>IFERROR((SUM(AY212,AY213,AY217,AY238)-AY144)/(AY69+AX69+AW69+AU69),"")</f>
        <v/>
      </c>
      <c r="AZ337" s="339" t="str">
        <f>IFERROR((SUM(AZ212,AZ213,AZ217,AZ238)-AZ144)/(AZ69+AY69+AX69+AW69),"")</f>
        <v/>
      </c>
      <c r="BB337" s="339" t="str">
        <f>IFERROR((SUM(BB212,BB213,BB217,BB238)-BB144)/(BB69+AZ69+AY69+AX69),"")</f>
        <v/>
      </c>
      <c r="BC337" s="339" t="str">
        <f>IFERROR((SUM(BC212,BC213,BC217,BC238)-BC144)/(BC69+BB69+AZ69+AY69),"")</f>
        <v/>
      </c>
      <c r="BD337" s="339" t="str">
        <f>IFERROR((SUM(BD212,BD213,BD217,BD238)-BD144)/(BD69+BC69+BB69+AZ69),"")</f>
        <v/>
      </c>
      <c r="BE337" s="339" t="str">
        <f>IFERROR((SUM(BE212,BE213,BE217,BE238)-BE144)/(BE69+BD69+BC69+BB69),"")</f>
        <v/>
      </c>
      <c r="BG337" s="339" t="str">
        <f>IFERROR((SUM(BG212,BG213,BG217,BG238)-BG144)/(BG69+BE69+BD69+BC69),"")</f>
        <v/>
      </c>
      <c r="BH337" s="339" t="str">
        <f>IFERROR((SUM(BH212,BH213,BH217,BH238)-BH144)/(BH69+BG69+BE69+BD69),"")</f>
        <v/>
      </c>
      <c r="BI337" s="339" t="str">
        <f>IFERROR((SUM(BI212,BI213,BI217,BI238)-BI144)/(BI69+BH69+BG69+BE69),"")</f>
        <v/>
      </c>
      <c r="BJ337" s="339" t="str">
        <f>IFERROR((SUM(BJ212,BJ213,BJ217,BJ238)-BJ144)/(BJ69+BI69+BH69+BG69),"")</f>
        <v/>
      </c>
      <c r="BL337" s="339" t="str">
        <f>IFERROR((SUM(BL212,BL213,BL217,BL238)-BL144)/(BL69+BJ69+BI69+BH69),"")</f>
        <v/>
      </c>
      <c r="BM337" s="339" t="str">
        <f>IFERROR((SUM(BM212,BM213,BM217,BM238)-BM144)/(BM69+BL69+BJ69+BI69),"")</f>
        <v/>
      </c>
      <c r="BN337" s="339" t="str">
        <f>IFERROR((SUM(BN212,BN213,BN217,BN238)-BN144)/(BN69+BM69+BL69+BJ69),"")</f>
        <v/>
      </c>
      <c r="BO337" s="339" t="str">
        <f>IFERROR((SUM(BO212,BO213,BO217,BO238)-BO144)/(BO69+BN69+BM69+BL69),"")</f>
        <v/>
      </c>
      <c r="BQ337" s="339" t="str">
        <f>IFERROR((SUM(BQ212,BQ213,BQ217,BQ238)-BQ144)/(BQ69+BO69+BN69+BM69),"")</f>
        <v/>
      </c>
      <c r="BR337" s="339" t="str">
        <f>IFERROR((SUM(BR212,BR213,BR217,BR238)-BR144)/(BR69+BQ69+BO69+BN69),"")</f>
        <v/>
      </c>
      <c r="BS337" s="339" t="str">
        <f>IFERROR((SUM(BS212,BS213,BS217,BS238)-BS144)/(BS69+BR69+BQ69+BO69),"")</f>
        <v/>
      </c>
      <c r="BT337" s="339" t="str">
        <f>IFERROR((SUM(BT212,BT213,BT217,BT238)-BT144)/(BT69+BS69+BR69+BQ69),"")</f>
        <v/>
      </c>
      <c r="BV337" s="339" t="str">
        <f>IFERROR((SUM(BV212,BV213,BV217,BV238)-BV144)/(BV69+BT69+BS69+BR69),"")</f>
        <v/>
      </c>
      <c r="BW337" s="339" t="str">
        <f>IFERROR((SUM(BW212,BW213,BW217,BW238)-BW144)/(BW69+BV69+BT69+BS69),"")</f>
        <v/>
      </c>
      <c r="BX337" s="339" t="str">
        <f>IFERROR((SUM(BX212,BX213,BX217,BX238)-BX144)/(BX69+BW69+BV69+BT69),"")</f>
        <v/>
      </c>
      <c r="BY337" s="339" t="str">
        <f>IFERROR((SUM(BY212,BY213,BY217,BY238)-BY144)/(BY69+BX69+BW69+BV69),"")</f>
        <v/>
      </c>
      <c r="CA337" s="339" t="str">
        <f>IFERROR((SUM(CA212,CA213,CA217,CA238)-CA144)/(CA69+BY69+BX69+BW69),"")</f>
        <v/>
      </c>
      <c r="CB337" s="339" t="str">
        <f>IFERROR((SUM(CB212,CB213,CB217,CB238)-CB144)/(CB69+CA69+BY69+BX69),"")</f>
        <v/>
      </c>
      <c r="CC337" s="339" t="str">
        <f>IFERROR((SUM(CC212,CC213,CC217,CC238)-CC144)/(CC69+CB69+CA69+BY69),"")</f>
        <v/>
      </c>
      <c r="CD337" s="339" t="str">
        <f>IFERROR((SUM(CD212,CD213,CD217,CD238)-CD144)/(CD69+CC69+CB69+CA69),"")</f>
        <v/>
      </c>
      <c r="CF337" s="339" t="str">
        <f>IFERROR((SUM(CF212,CF213,CF217,CF238)-CF144)/(CF69+CD69+CC69+CB69),"")</f>
        <v/>
      </c>
      <c r="CG337" s="339" t="str">
        <f>IFERROR((SUM(CG212,CG213,CG217,CG238)-CG144)/(CG69+CF69+CD69+CC69),"")</f>
        <v/>
      </c>
      <c r="CH337" s="339" t="str">
        <f>IFERROR((SUM(CH212,CH213,CH217,CH238)-CH144)/(CH69+CG69+CF69+CD69),"")</f>
        <v/>
      </c>
      <c r="CI337" s="339" t="str">
        <f>IFERROR((SUM(CI212,CI213,CI217,CI238)-CI144)/(CI69+CH69+CG69+CF69),"")</f>
        <v/>
      </c>
      <c r="CK337" s="339" t="str">
        <f>IFERROR((SUM(CK212,CK213,CK217,CK238)-CK144)/(CK69+CI69+CH69+CG69),"")</f>
        <v/>
      </c>
      <c r="CL337" s="339" t="str">
        <f>IFERROR((SUM(CL212,CL213,CL217,CL238)-CL144)/(CL69+CK69+CI69+CH69),"")</f>
        <v/>
      </c>
      <c r="CM337" s="339" t="str">
        <f>IFERROR((SUM(CM212,CM213,CM217,CM238)-CM144)/(CM69+CL69+CK69+CI69),"")</f>
        <v/>
      </c>
      <c r="CN337" s="339" t="str">
        <f>IFERROR((SUM(CN212,CN213,CN217,CN238)-CN144)/(CN69+CM69+CL69+CK69),"")</f>
        <v/>
      </c>
      <c r="CP337" s="339" t="str">
        <f>IFERROR((SUM(CP212,CP213,CP217,CP238)-CP144)/(CP69+CN69+CM69+CL69),"")</f>
        <v/>
      </c>
      <c r="CQ337" s="339" t="str">
        <f>IFERROR((SUM(CQ212,CQ213,CQ217,CQ238)-CQ144)/(CQ69+CP69+CN69+CM69),"")</f>
        <v/>
      </c>
      <c r="CR337" s="339" t="str">
        <f>IFERROR((SUM(CR212,CR213,CR217,CR238)-CR144)/(CR69+CQ69+CP69+CN69),"")</f>
        <v/>
      </c>
      <c r="CS337" s="339" t="str">
        <f>IFERROR((SUM(CS212,CS213,CS217,CS238)-CS144)/(CS69+CR69+CQ69+CP69),"")</f>
        <v/>
      </c>
      <c r="CU337" s="339" t="str">
        <f>IFERROR((SUM(CU212,CU213,CU217,CU238)-CU144)/(CU69+CS69+CR69+CQ69),"")</f>
        <v/>
      </c>
      <c r="CV337" s="339" t="str">
        <f>IFERROR((SUM(CV212,CV213,CV217,CV238)-CV144)/(CV69+CU69+CS69+CR69),"")</f>
        <v/>
      </c>
      <c r="CW337" s="339" t="str">
        <f>IFERROR((SUM(CW212,CW213,CW217,CW238)-CW144)/(CW69+CV69+CU69+CS69),"")</f>
        <v/>
      </c>
      <c r="CX337" s="339" t="str">
        <f>IFERROR((SUM(CX212,CX213,CX217,CX238)-CX144)/(CX69+CW69+CV69+CU69),"")</f>
        <v/>
      </c>
    </row>
    <row r="338" ht="12.75" customFormat="1" customHeight="1" s="333">
      <c r="A338" s="334" t="n"/>
      <c r="B338" s="334" t="n"/>
      <c r="C338" s="333" t="inlineStr">
        <is>
          <t>INTEREST COVERAGE</t>
        </is>
      </c>
      <c r="D338" s="339">
        <f>D73/-D74</f>
        <v>-1.57142857142857</v>
      </c>
      <c r="E338" s="339">
        <f>E73/-E74</f>
        <v>12.241935483871</v>
      </c>
      <c r="F338" s="339">
        <f>F73/-F74</f>
        <v>4.46428571428571</v>
      </c>
      <c r="G338" s="339">
        <f>G73/-G74</f>
        <v>7.7</v>
      </c>
      <c r="I338" s="339">
        <f>I73/-I74</f>
        <v>12</v>
      </c>
      <c r="J338" s="339">
        <f>J73/-J74</f>
        <v>6.81481481481482</v>
      </c>
      <c r="K338" s="339">
        <f>K73/-K74</f>
        <v>9.3859649122807</v>
      </c>
      <c r="L338" s="339">
        <f>L73/-L74</f>
        <v>5.94915254237288</v>
      </c>
      <c r="N338" s="339">
        <f>N73/-N74</f>
        <v>8.07207207207207</v>
      </c>
      <c r="O338" s="339">
        <f>O73/-O74</f>
        <v>4.76086956521739</v>
      </c>
      <c r="P338" s="339">
        <f>P73/-P74</f>
        <v>5.3495145631068</v>
      </c>
      <c r="Q338" s="339">
        <f>Q73/-Q74</f>
        <v>4.41237113402062</v>
      </c>
      <c r="S338" s="339">
        <f>S73/-S74</f>
        <v>7.39285714285714</v>
      </c>
      <c r="T338" s="339">
        <f>T73/-T74</f>
        <v>7.32558139534884</v>
      </c>
      <c r="U338" s="339">
        <f>U73/-U74</f>
        <v>4.49624060150376</v>
      </c>
      <c r="V338" s="339">
        <f>V73/-V74</f>
        <v>5.34507042253521</v>
      </c>
      <c r="X338" s="339">
        <f>X73/-X74</f>
        <v>4.0462962962963</v>
      </c>
      <c r="Y338" s="339">
        <f>Y73/-Y74</f>
        <v>1.7479674796748</v>
      </c>
      <c r="Z338" s="339">
        <f>Z73/-Z74</f>
        <v>2.63779527559055</v>
      </c>
      <c r="AA338" s="339">
        <f>AA73/-AA74</f>
        <v>5.57522123893805</v>
      </c>
      <c r="AC338" s="339">
        <f>AC73/-AC74</f>
        <v>2.08653846153846</v>
      </c>
      <c r="AD338" s="339">
        <f>AD73/-AD74</f>
        <v>3.0188679245283</v>
      </c>
      <c r="AE338" s="339">
        <f>AE73/-AE74</f>
        <v>1.90594059405941</v>
      </c>
      <c r="AF338" s="339">
        <f>AF73/-AF74</f>
        <v>1.73148148148148</v>
      </c>
      <c r="AH338" s="339">
        <f>AH73/-AH74</f>
        <v>1.29834254143646</v>
      </c>
      <c r="AI338" s="339">
        <f>AI73/-AI74</f>
        <v>5.45685279187817</v>
      </c>
      <c r="AJ338" s="339" t="e">
        <f>AJ73/-AJ74</f>
        <v>#DIV/0!</v>
      </c>
      <c r="AK338" s="339" t="e">
        <f>AK73/-AK74</f>
        <v>#DIV/0!</v>
      </c>
      <c r="AM338" s="339" t="e">
        <f>AM73/-AM74</f>
        <v>#DIV/0!</v>
      </c>
      <c r="AN338" s="339" t="e">
        <f>AN73/-AN74</f>
        <v>#DIV/0!</v>
      </c>
      <c r="AO338" s="339" t="e">
        <f>AO73/-AO74</f>
        <v>#DIV/0!</v>
      </c>
      <c r="AP338" s="339" t="e">
        <f>AP73/-AP74</f>
        <v>#DIV/0!</v>
      </c>
      <c r="AR338" s="339" t="e">
        <f>AR73/-AR74</f>
        <v>#DIV/0!</v>
      </c>
      <c r="AS338" s="339" t="e">
        <f>AS73/-AS74</f>
        <v>#DIV/0!</v>
      </c>
      <c r="AT338" s="339" t="e">
        <f>AT73/-AT74</f>
        <v>#DIV/0!</v>
      </c>
      <c r="AU338" s="339" t="e">
        <f>AU73/-AU74</f>
        <v>#DIV/0!</v>
      </c>
      <c r="AW338" s="339" t="e">
        <f>AW73/-AW74</f>
        <v>#DIV/0!</v>
      </c>
      <c r="AX338" s="339" t="e">
        <f>AX73/-AX74</f>
        <v>#DIV/0!</v>
      </c>
      <c r="AY338" s="339" t="e">
        <f>AY73/-AY74</f>
        <v>#DIV/0!</v>
      </c>
      <c r="AZ338" s="339" t="e">
        <f>AZ73/-AZ74</f>
        <v>#DIV/0!</v>
      </c>
      <c r="BB338" s="339" t="e">
        <f>BB73/-BB74</f>
        <v>#DIV/0!</v>
      </c>
      <c r="BC338" s="339" t="e">
        <f>BC73/-BC74</f>
        <v>#DIV/0!</v>
      </c>
      <c r="BD338" s="339" t="e">
        <f>BD73/-BD74</f>
        <v>#DIV/0!</v>
      </c>
      <c r="BE338" s="339" t="e">
        <f>BE73/-BE74</f>
        <v>#DIV/0!</v>
      </c>
      <c r="BG338" s="339" t="e">
        <f>BG73/-BG74</f>
        <v>#DIV/0!</v>
      </c>
      <c r="BH338" s="339" t="e">
        <f>BH73/-BH74</f>
        <v>#DIV/0!</v>
      </c>
      <c r="BI338" s="339" t="e">
        <f>BI73/-BI74</f>
        <v>#DIV/0!</v>
      </c>
      <c r="BJ338" s="339" t="e">
        <f>BJ73/-BJ74</f>
        <v>#DIV/0!</v>
      </c>
      <c r="BL338" s="339" t="e">
        <f>BL73/-BL74</f>
        <v>#DIV/0!</v>
      </c>
      <c r="BM338" s="339" t="e">
        <f>BM73/-BM74</f>
        <v>#DIV/0!</v>
      </c>
      <c r="BN338" s="339" t="e">
        <f>BN73/-BN74</f>
        <v>#DIV/0!</v>
      </c>
      <c r="BO338" s="339" t="e">
        <f>BO73/-BO74</f>
        <v>#DIV/0!</v>
      </c>
      <c r="BQ338" s="339" t="e">
        <f>BQ73/-BQ74</f>
        <v>#DIV/0!</v>
      </c>
      <c r="BR338" s="339" t="e">
        <f>BR73/-BR74</f>
        <v>#DIV/0!</v>
      </c>
      <c r="BS338" s="339" t="e">
        <f>BS73/-BS74</f>
        <v>#DIV/0!</v>
      </c>
      <c r="BT338" s="339" t="e">
        <f>BT73/-BT74</f>
        <v>#DIV/0!</v>
      </c>
      <c r="BV338" s="339" t="e">
        <f>BV73/-BV74</f>
        <v>#DIV/0!</v>
      </c>
      <c r="BW338" s="339" t="e">
        <f>BW73/-BW74</f>
        <v>#DIV/0!</v>
      </c>
      <c r="BX338" s="339" t="e">
        <f>BX73/-BX74</f>
        <v>#DIV/0!</v>
      </c>
      <c r="BY338" s="339" t="e">
        <f>BY73/-BY74</f>
        <v>#DIV/0!</v>
      </c>
      <c r="CA338" s="339" t="e">
        <f>CA73/-CA74</f>
        <v>#DIV/0!</v>
      </c>
      <c r="CB338" s="339" t="e">
        <f>CB73/-CB74</f>
        <v>#DIV/0!</v>
      </c>
      <c r="CC338" s="339" t="e">
        <f>CC73/-CC74</f>
        <v>#DIV/0!</v>
      </c>
      <c r="CD338" s="339" t="e">
        <f>CD73/-CD74</f>
        <v>#DIV/0!</v>
      </c>
      <c r="CF338" s="339" t="e">
        <f>CF73/-CF74</f>
        <v>#DIV/0!</v>
      </c>
      <c r="CG338" s="339" t="e">
        <f>CG73/-CG74</f>
        <v>#DIV/0!</v>
      </c>
      <c r="CH338" s="339" t="e">
        <f>CH73/-CH74</f>
        <v>#DIV/0!</v>
      </c>
      <c r="CI338" s="339" t="e">
        <f>CI73/-CI74</f>
        <v>#DIV/0!</v>
      </c>
      <c r="CK338" s="339" t="e">
        <f>CK73/-CK74</f>
        <v>#DIV/0!</v>
      </c>
      <c r="CL338" s="339" t="e">
        <f>CL73/-CL74</f>
        <v>#DIV/0!</v>
      </c>
      <c r="CM338" s="339" t="e">
        <f>CM73/-CM74</f>
        <v>#DIV/0!</v>
      </c>
      <c r="CN338" s="339" t="e">
        <f>CN73/-CN74</f>
        <v>#DIV/0!</v>
      </c>
      <c r="CP338" s="339" t="e">
        <f>CP73/-CP74</f>
        <v>#DIV/0!</v>
      </c>
      <c r="CQ338" s="339" t="e">
        <f>CQ73/-CQ74</f>
        <v>#DIV/0!</v>
      </c>
      <c r="CR338" s="339" t="e">
        <f>CR73/-CR74</f>
        <v>#DIV/0!</v>
      </c>
      <c r="CS338" s="339" t="e">
        <f>CS73/-CS74</f>
        <v>#DIV/0!</v>
      </c>
      <c r="CU338" s="339" t="e">
        <f>CU73/-CU74</f>
        <v>#DIV/0!</v>
      </c>
      <c r="CV338" s="339" t="e">
        <f>CV73/-CV74</f>
        <v>#DIV/0!</v>
      </c>
      <c r="CW338" s="339" t="e">
        <f>CW73/-CW74</f>
        <v>#DIV/0!</v>
      </c>
      <c r="CX338" s="339" t="e">
        <f>CX73/-CX74</f>
        <v>#DIV/0!</v>
      </c>
    </row>
    <row r="339" ht="12.75" customFormat="1" customHeight="1" s="333">
      <c r="A339" s="334" t="n"/>
      <c r="B339" s="334" t="n"/>
    </row>
    <row r="340" ht="12.75" customFormat="1" customHeight="1" s="333">
      <c r="A340" s="334" t="n"/>
      <c r="B340" s="334" t="n"/>
      <c r="C340" s="331" t="inlineStr">
        <is>
          <t>INTERNAL LIQUIDITY</t>
        </is>
      </c>
    </row>
    <row r="341" ht="12.75" customFormat="1" customHeight="1" s="333">
      <c r="A341" s="334" t="n"/>
      <c r="B341" s="334" t="n"/>
      <c r="C341" s="333" t="inlineStr">
        <is>
          <t>CURRENT RATIO</t>
        </is>
      </c>
      <c r="D341" s="339">
        <f>SUM(D144,D145,D149,D153,D154,D155)/SUM(D198,D202,D204,D205)</f>
        <v>1.75548780487805</v>
      </c>
      <c r="E341" s="339">
        <f>SUM(E144,E145,E149,E153,E154,E155)/SUM(E198,E202,E204,E205)</f>
        <v>2.25388005365012</v>
      </c>
      <c r="F341" s="339">
        <f>SUM(F144,F145,F149,F153,F154,F155)/SUM(F198,F202,F204,F205)</f>
        <v>2.09908814589666</v>
      </c>
      <c r="G341" s="339">
        <f>SUM(G144,G145,G149,G153,G154,G155)/SUM(G198,G202,G204,G205)</f>
        <v>2.08743997978266</v>
      </c>
      <c r="I341" s="339">
        <f>SUM(I144,I145,I149,I153,I154,I155)/SUM(I198,I202,I204,I205)</f>
        <v>2.09971374045802</v>
      </c>
      <c r="J341" s="339">
        <f>SUM(J144,J145,J149,J153,J154,J155)/SUM(J198,J202,J204,J205)</f>
        <v>2.19934122239844</v>
      </c>
      <c r="K341" s="339">
        <f>SUM(K144,K145,K149,K153,K154,K155)/SUM(K198,K202,K204,K205)</f>
        <v>2.20010301313417</v>
      </c>
      <c r="L341" s="339">
        <f>SUM(L144,L145,L149,L153,L154,L155)/SUM(L198,L202,L204,L205)</f>
        <v>2.1816083108888</v>
      </c>
      <c r="N341" s="339">
        <f>SUM(N144,N145,N149,N153,N154,N155)/SUM(N198,N202,N204,N205)</f>
        <v>1.95408856289052</v>
      </c>
      <c r="O341" s="339">
        <f>SUM(O144,O145,O149,O153,O154,O155)/SUM(O198,O202,O204,O205)</f>
        <v>2.20090830449827</v>
      </c>
      <c r="P341" s="339">
        <f>SUM(P144,P145,P149,P153,P154,P155)/SUM(P198,P202,P204,P205)</f>
        <v>2.22052048312788</v>
      </c>
      <c r="Q341" s="339">
        <f>SUM(Q144,Q145,Q149,Q153,Q154,Q155)/SUM(Q198,Q202,Q204,Q205)</f>
        <v>2.2446357445715</v>
      </c>
      <c r="S341" s="339">
        <f>SUM(S144,S145,S149,S153,S154,S155)/SUM(S198,S202,S204,S205)</f>
        <v>2.30027932960894</v>
      </c>
      <c r="T341" s="339">
        <f>SUM(T144,T145,T149,T153,T154,T155)/SUM(T198,T202,T204,T205)</f>
        <v>2.46855172413793</v>
      </c>
      <c r="U341" s="339">
        <f>SUM(U144,U145,U149,U153,U154,U155)/SUM(U198,U202,U204,U205)</f>
        <v>2.57053478325637</v>
      </c>
      <c r="V341" s="339">
        <f>SUM(V144,V145,V149,V153,V154,V155)/SUM(V198,V202,V204,V205)</f>
        <v>2.60307084220128</v>
      </c>
      <c r="X341" s="339">
        <f>SUM(X144,X145,X149,X153,X154,X155)/SUM(X198,X202,X204,X205)</f>
        <v>2.46274123115932</v>
      </c>
      <c r="Y341" s="339">
        <f>SUM(Y144,Y145,Y149,Y153,Y154,Y155)/SUM(Y198,Y202,Y204,Y205)</f>
        <v>2.54210609161026</v>
      </c>
      <c r="Z341" s="339">
        <f>SUM(Z144,Z145,Z149,Z153,Z154,Z155)/SUM(Z198,Z202,Z204,Z205)</f>
        <v>2.78095238095238</v>
      </c>
      <c r="AA341" s="339">
        <f>SUM(AA144,AA145,AA149,AA153,AA154,AA155)/SUM(AA198,AA202,AA204,AA205)</f>
        <v>2.9621766280107</v>
      </c>
      <c r="AC341" s="339">
        <f>SUM(AC144,AC145,AC149,AC153,AC154,AC155)/SUM(AC198,AC202,AC204,AC205)</f>
        <v>2.88474467744517</v>
      </c>
      <c r="AD341" s="339">
        <f>SUM(AD144,AD145,AD149,AD153,AD154,AD155)/SUM(AD198,AD202,AD204,AD205)</f>
        <v>3.7588905904373</v>
      </c>
      <c r="AE341" s="339">
        <f>SUM(AE144,AE145,AE149,AE153,AE154,AE155)/SUM(AE198,AE202,AE204,AE205)</f>
        <v>2.79951150010177</v>
      </c>
      <c r="AF341" s="339">
        <f>SUM(AF144,AF145,AF149,AF153,AF154,AF155)/SUM(AF198,AF202,AF204,AF205)</f>
        <v>2.68718112244898</v>
      </c>
      <c r="AH341" s="339">
        <f>SUM(AH144,AH145,AH149,AH153,AH154,AH155)/SUM(AH198,AH202,AH204,AH205)</f>
        <v>2.3686301022564</v>
      </c>
      <c r="AI341" s="339">
        <f>SUM(AI144,AI145,AI149,AI153,AI154,AI155)/SUM(AI198,AI202,AI204,AI205)</f>
        <v>2.59641899655305</v>
      </c>
      <c r="AJ341" s="339">
        <f>SUM(AJ144,AJ145,AJ149,AJ153,AJ154,AJ155)/SUM(AJ198,AJ202,AJ204,AJ205)</f>
        <v>4.34410721324399</v>
      </c>
      <c r="AK341" s="339">
        <f>SUM(AK144,AK145,AK149,AK153,AK154,AK155)/SUM(AK198,AK202,AK204,AK205)</f>
        <v>4.35691761923532</v>
      </c>
      <c r="AM341" s="339" t="e">
        <f>SUM(AM144,AM145,AM149,AM153,AM154,AM155)/SUM(AM198,AM202,AM204,AM205)</f>
        <v>#DIV/0!</v>
      </c>
      <c r="AN341" s="339" t="e">
        <f>SUM(AN144,AN145,AN149,AN153,AN154,AN155)/SUM(AN198,AN202,AN204,AN205)</f>
        <v>#DIV/0!</v>
      </c>
      <c r="AO341" s="339" t="e">
        <f>SUM(AO144,AO145,AO149,AO153,AO154,AO155)/SUM(AO198,AO202,AO204,AO205)</f>
        <v>#DIV/0!</v>
      </c>
      <c r="AP341" s="339" t="e">
        <f>SUM(AP144,AP145,AP149,AP153,AP154,AP155)/SUM(AP198,AP202,AP204,AP205)</f>
        <v>#DIV/0!</v>
      </c>
      <c r="AR341" s="339" t="e">
        <f>SUM(AR144,AR145,AR149,AR153,AR154,AR155)/SUM(AR198,AR202,AR204,AR205)</f>
        <v>#DIV/0!</v>
      </c>
      <c r="AS341" s="339" t="e">
        <f>SUM(AS144,AS145,AS149,AS153,AS154,AS155)/SUM(AS198,AS202,AS204,AS205)</f>
        <v>#DIV/0!</v>
      </c>
      <c r="AT341" s="339" t="e">
        <f>SUM(AT144,AT145,AT149,AT153,AT154,AT155)/SUM(AT198,AT202,AT204,AT205)</f>
        <v>#DIV/0!</v>
      </c>
      <c r="AU341" s="339" t="e">
        <f>SUM(AU144,AU145,AU149,AU153,AU154,AU155)/SUM(AU198,AU202,AU204,AU205)</f>
        <v>#DIV/0!</v>
      </c>
      <c r="AW341" s="339" t="e">
        <f>SUM(AW144,AW145,AW149,AW153,AW154,AW155)/SUM(AW198,AW202,AW204,AW205)</f>
        <v>#DIV/0!</v>
      </c>
      <c r="AX341" s="339" t="e">
        <f>SUM(AX144,AX145,AX149,AX153,AX154,AX155)/SUM(AX198,AX202,AX204,AX205)</f>
        <v>#DIV/0!</v>
      </c>
      <c r="AY341" s="339" t="e">
        <f>SUM(AY144,AY145,AY149,AY153,AY154,AY155)/SUM(AY198,AY202,AY204,AY205)</f>
        <v>#DIV/0!</v>
      </c>
      <c r="AZ341" s="339" t="e">
        <f>SUM(AZ144,AZ145,AZ149,AZ153,AZ154,AZ155)/SUM(AZ198,AZ202,AZ204,AZ205)</f>
        <v>#DIV/0!</v>
      </c>
      <c r="BB341" s="339" t="e">
        <f>SUM(BB144,BB145,BB149,BB153,BB154,BB155)/SUM(BB198,BB202,BB204,BB205)</f>
        <v>#DIV/0!</v>
      </c>
      <c r="BC341" s="339" t="e">
        <f>SUM(BC144,BC145,BC149,BC153,BC154,BC155)/SUM(BC198,BC202,BC204,BC205)</f>
        <v>#DIV/0!</v>
      </c>
      <c r="BD341" s="339" t="e">
        <f>SUM(BD144,BD145,BD149,BD153,BD154,BD155)/SUM(BD198,BD202,BD204,BD205)</f>
        <v>#DIV/0!</v>
      </c>
      <c r="BE341" s="339" t="e">
        <f>SUM(BE144,BE145,BE149,BE153,BE154,BE155)/SUM(BE198,BE202,BE204,BE205)</f>
        <v>#DIV/0!</v>
      </c>
      <c r="BG341" s="339" t="e">
        <f>SUM(BG144,BG145,BG149,BG153,BG154,BG155)/SUM(BG198,BG202,BG204,BG205)</f>
        <v>#DIV/0!</v>
      </c>
      <c r="BH341" s="339" t="e">
        <f>SUM(BH144,BH145,BH149,BH153,BH154,BH155)/SUM(BH198,BH202,BH204,BH205)</f>
        <v>#DIV/0!</v>
      </c>
      <c r="BI341" s="339" t="e">
        <f>SUM(BI144,BI145,BI149,BI153,BI154,BI155)/SUM(BI198,BI202,BI204,BI205)</f>
        <v>#DIV/0!</v>
      </c>
      <c r="BJ341" s="339" t="e">
        <f>SUM(BJ144,BJ145,BJ149,BJ153,BJ154,BJ155)/SUM(BJ198,BJ202,BJ204,BJ205)</f>
        <v>#DIV/0!</v>
      </c>
      <c r="BL341" s="339" t="e">
        <f>SUM(BL144,BL145,BL149,BL153,BL154,BL155)/SUM(BL198,BL202,BL204,BL205)</f>
        <v>#DIV/0!</v>
      </c>
      <c r="BM341" s="339" t="e">
        <f>SUM(BM144,BM145,BM149,BM153,BM154,BM155)/SUM(BM198,BM202,BM204,BM205)</f>
        <v>#DIV/0!</v>
      </c>
      <c r="BN341" s="339" t="e">
        <f>SUM(BN144,BN145,BN149,BN153,BN154,BN155)/SUM(BN198,BN202,BN204,BN205)</f>
        <v>#DIV/0!</v>
      </c>
      <c r="BO341" s="339" t="e">
        <f>SUM(BO144,BO145,BO149,BO153,BO154,BO155)/SUM(BO198,BO202,BO204,BO205)</f>
        <v>#DIV/0!</v>
      </c>
      <c r="BQ341" s="339" t="e">
        <f>SUM(BQ144,BQ145,BQ149,BQ153,BQ154,BQ155)/SUM(BQ198,BQ202,BQ204,BQ205)</f>
        <v>#DIV/0!</v>
      </c>
      <c r="BR341" s="339" t="e">
        <f>SUM(BR144,BR145,BR149,BR153,BR154,BR155)/SUM(BR198,BR202,BR204,BR205)</f>
        <v>#DIV/0!</v>
      </c>
      <c r="BS341" s="339" t="e">
        <f>SUM(BS144,BS145,BS149,BS153,BS154,BS155)/SUM(BS198,BS202,BS204,BS205)</f>
        <v>#DIV/0!</v>
      </c>
      <c r="BT341" s="339" t="e">
        <f>SUM(BT144,BT145,BT149,BT153,BT154,BT155)/SUM(BT198,BT202,BT204,BT205)</f>
        <v>#DIV/0!</v>
      </c>
      <c r="BV341" s="339" t="e">
        <f>SUM(BV144,BV145,BV149,BV153,BV154,BV155)/SUM(BV198,BV202,BV204,BV205)</f>
        <v>#DIV/0!</v>
      </c>
      <c r="BW341" s="339" t="e">
        <f>SUM(BW144,BW145,BW149,BW153,BW154,BW155)/SUM(BW198,BW202,BW204,BW205)</f>
        <v>#DIV/0!</v>
      </c>
      <c r="BX341" s="339" t="e">
        <f>SUM(BX144,BX145,BX149,BX153,BX154,BX155)/SUM(BX198,BX202,BX204,BX205)</f>
        <v>#DIV/0!</v>
      </c>
      <c r="BY341" s="339" t="e">
        <f>SUM(BY144,BY145,BY149,BY153,BY154,BY155)/SUM(BY198,BY202,BY204,BY205)</f>
        <v>#DIV/0!</v>
      </c>
      <c r="CA341" s="339" t="e">
        <f>SUM(CA144,CA145,CA149,CA153,CA154,CA155)/SUM(CA198,CA202,CA204,CA205)</f>
        <v>#DIV/0!</v>
      </c>
      <c r="CB341" s="339" t="e">
        <f>SUM(CB144,CB145,CB149,CB153,CB154,CB155)/SUM(CB198,CB202,CB204,CB205)</f>
        <v>#DIV/0!</v>
      </c>
      <c r="CC341" s="339" t="e">
        <f>SUM(CC144,CC145,CC149,CC153,CC154,CC155)/SUM(CC198,CC202,CC204,CC205)</f>
        <v>#DIV/0!</v>
      </c>
      <c r="CD341" s="339" t="e">
        <f>SUM(CD144,CD145,CD149,CD153,CD154,CD155)/SUM(CD198,CD202,CD204,CD205)</f>
        <v>#DIV/0!</v>
      </c>
      <c r="CF341" s="339" t="e">
        <f>SUM(CF144,CF145,CF149,CF153,CF154,CF155)/SUM(CF198,CF202,CF204,CF205)</f>
        <v>#DIV/0!</v>
      </c>
      <c r="CG341" s="339" t="e">
        <f>SUM(CG144,CG145,CG149,CG153,CG154,CG155)/SUM(CG198,CG202,CG204,CG205)</f>
        <v>#DIV/0!</v>
      </c>
      <c r="CH341" s="339" t="e">
        <f>SUM(CH144,CH145,CH149,CH153,CH154,CH155)/SUM(CH198,CH202,CH204,CH205)</f>
        <v>#DIV/0!</v>
      </c>
      <c r="CI341" s="339" t="e">
        <f>SUM(CI144,CI145,CI149,CI153,CI154,CI155)/SUM(CI198,CI202,CI204,CI205)</f>
        <v>#DIV/0!</v>
      </c>
      <c r="CK341" s="339" t="e">
        <f>SUM(CK144,CK145,CK149,CK153,CK154,CK155)/SUM(CK198,CK202,CK204,CK205)</f>
        <v>#DIV/0!</v>
      </c>
      <c r="CL341" s="339" t="e">
        <f>SUM(CL144,CL145,CL149,CL153,CL154,CL155)/SUM(CL198,CL202,CL204,CL205)</f>
        <v>#DIV/0!</v>
      </c>
      <c r="CM341" s="339" t="e">
        <f>SUM(CM144,CM145,CM149,CM153,CM154,CM155)/SUM(CM198,CM202,CM204,CM205)</f>
        <v>#DIV/0!</v>
      </c>
      <c r="CN341" s="339" t="e">
        <f>SUM(CN144,CN145,CN149,CN153,CN154,CN155)/SUM(CN198,CN202,CN204,CN205)</f>
        <v>#DIV/0!</v>
      </c>
      <c r="CP341" s="339" t="e">
        <f>SUM(CP144,CP145,CP149,CP153,CP154,CP155)/SUM(CP198,CP202,CP204,CP205)</f>
        <v>#DIV/0!</v>
      </c>
      <c r="CQ341" s="339" t="e">
        <f>SUM(CQ144,CQ145,CQ149,CQ153,CQ154,CQ155)/SUM(CQ198,CQ202,CQ204,CQ205)</f>
        <v>#DIV/0!</v>
      </c>
      <c r="CR341" s="339" t="e">
        <f>SUM(CR144,CR145,CR149,CR153,CR154,CR155)/SUM(CR198,CR202,CR204,CR205)</f>
        <v>#DIV/0!</v>
      </c>
      <c r="CS341" s="339" t="e">
        <f>SUM(CS144,CS145,CS149,CS153,CS154,CS155)/SUM(CS198,CS202,CS204,CS205)</f>
        <v>#DIV/0!</v>
      </c>
      <c r="CU341" s="339" t="e">
        <f>SUM(CU144,CU145,CU149,CU153,CU154,CU155)/SUM(CU198,CU202,CU204,CU205)</f>
        <v>#DIV/0!</v>
      </c>
      <c r="CV341" s="339" t="e">
        <f>SUM(CV144,CV145,CV149,CV153,CV154,CV155)/SUM(CV198,CV202,CV204,CV205)</f>
        <v>#DIV/0!</v>
      </c>
      <c r="CW341" s="339" t="e">
        <f>SUM(CW144,CW145,CW149,CW153,CW154,CW155)/SUM(CW198,CW202,CW204,CW205)</f>
        <v>#DIV/0!</v>
      </c>
      <c r="CX341" s="339" t="e">
        <f>SUM(CX144,CX145,CX149,CX153,CX154,CX155)/SUM(CX198,CX202,CX204,CX205)</f>
        <v>#DIV/0!</v>
      </c>
    </row>
    <row r="342" ht="12.75" customFormat="1" customHeight="1" s="333">
      <c r="A342" s="334" t="n"/>
      <c r="B342" s="334" t="n"/>
      <c r="C342" s="333" t="inlineStr">
        <is>
          <t>CASH RATIO</t>
        </is>
      </c>
      <c r="D342" s="339">
        <f>SUM(D144)/SUM(D198,D202,D204,D205)</f>
        <v>0.0294207317073171</v>
      </c>
      <c r="E342" s="339">
        <f>SUM(E144)/SUM(E198,E202,E204,E205)</f>
        <v>0.0530753017819506</v>
      </c>
      <c r="F342" s="339">
        <f>SUM(F144)/SUM(F198,F202,F204,F205)</f>
        <v>0.0442249240121581</v>
      </c>
      <c r="G342" s="339">
        <f>SUM(G144)/SUM(G198,G202,G204,G205)</f>
        <v>0.0444781400050543</v>
      </c>
      <c r="I342" s="339">
        <f>SUM(I144)/SUM(I198,I202,I204,I205)</f>
        <v>0.026956106870229</v>
      </c>
      <c r="J342" s="339">
        <f>SUM(J144)/SUM(J198,J202,J204,J205)</f>
        <v>0.0566060753934366</v>
      </c>
      <c r="K342" s="339">
        <f>SUM(K144)/SUM(K198,K202,K204,K205)</f>
        <v>0.133015709502962</v>
      </c>
      <c r="L342" s="339">
        <f>SUM(L144)/SUM(L198,L202,L204,L205)</f>
        <v>0.115685520071822</v>
      </c>
      <c r="N342" s="339">
        <f>SUM(N144)/SUM(N198,N202,N204,N205)</f>
        <v>0.0349542696730961</v>
      </c>
      <c r="O342" s="339">
        <f>SUM(O144)/SUM(O198,O202,O204,O205)</f>
        <v>0.0884515570934256</v>
      </c>
      <c r="P342" s="339">
        <f>SUM(P144)/SUM(P198,P202,P204,P205)</f>
        <v>0.119038724940854</v>
      </c>
      <c r="Q342" s="339">
        <f>SUM(Q144)/SUM(Q198,Q202,Q204,Q205)</f>
        <v>0.141847616600283</v>
      </c>
      <c r="S342" s="339">
        <f>SUM(S144)/SUM(S198,S202,S204,S205)</f>
        <v>0.355214152700186</v>
      </c>
      <c r="T342" s="339">
        <f>SUM(T144)/SUM(T198,T202,T204,T205)</f>
        <v>0.183448275862069</v>
      </c>
      <c r="U342" s="339">
        <f>SUM(U144)/SUM(U198,U202,U204,U205)</f>
        <v>0.323700283032921</v>
      </c>
      <c r="V342" s="339">
        <f>SUM(V144)/SUM(V198,V202,V204,V205)</f>
        <v>0.395560960778352</v>
      </c>
      <c r="X342" s="339">
        <f>SUM(X144)/SUM(X198,X202,X204,X205)</f>
        <v>0.414001972108748</v>
      </c>
      <c r="Y342" s="339">
        <f>SUM(Y144)/SUM(Y198,Y202,Y204,Y205)</f>
        <v>0.182748307886038</v>
      </c>
      <c r="Z342" s="339">
        <f>SUM(Z144)/SUM(Z198,Z202,Z204,Z205)</f>
        <v>0.473851294903926</v>
      </c>
      <c r="AA342" s="339">
        <f>SUM(AA144)/SUM(AA198,AA202,AA204,AA205)</f>
        <v>0.590722569134701</v>
      </c>
      <c r="AC342" s="339">
        <f>SUM(AC144)/SUM(AC198,AC202,AC204,AC205)</f>
        <v>0.519449335681127</v>
      </c>
      <c r="AD342" s="339">
        <f>SUM(AD144)/SUM(AD198,AD202,AD204,AD205)</f>
        <v>1.15535136974647</v>
      </c>
      <c r="AE342" s="339">
        <f>SUM(AE144)/SUM(AE198,AE202,AE204,AE205)</f>
        <v>0.133828617952371</v>
      </c>
      <c r="AF342" s="339">
        <f>SUM(AF144)/SUM(AF198,AF202,AF204,AF205)</f>
        <v>0.120642006802721</v>
      </c>
      <c r="AH342" s="339">
        <f>SUM(AH144)/SUM(AH198,AH202,AH204,AH205)</f>
        <v>0.0709034057297389</v>
      </c>
      <c r="AI342" s="339">
        <f>SUM(AI144)/SUM(AI198,AI202,AI204,AI205)</f>
        <v>0.0567790118728457</v>
      </c>
      <c r="AJ342" s="339">
        <f>SUM(AJ144)/SUM(AJ198,AJ202,AJ204,AJ205)</f>
        <v>2.93851005124162</v>
      </c>
      <c r="AK342" s="339">
        <f>SUM(AK144)/SUM(AK198,AK202,AK204,AK205)</f>
        <v>2.95132045723295</v>
      </c>
      <c r="AM342" s="339" t="e">
        <f>SUM(AM144)/SUM(AM198,AM202,AM204,AM205)</f>
        <v>#DIV/0!</v>
      </c>
      <c r="AN342" s="339" t="e">
        <f>SUM(AN144)/SUM(AN198,AN202,AN204,AN205)</f>
        <v>#DIV/0!</v>
      </c>
      <c r="AO342" s="339" t="e">
        <f>SUM(AO144)/SUM(AO198,AO202,AO204,AO205)</f>
        <v>#DIV/0!</v>
      </c>
      <c r="AP342" s="339" t="e">
        <f>SUM(AP144)/SUM(AP198,AP202,AP204,AP205)</f>
        <v>#DIV/0!</v>
      </c>
      <c r="AR342" s="339" t="e">
        <f>SUM(AR144)/SUM(AR198,AR202,AR204,AR205)</f>
        <v>#DIV/0!</v>
      </c>
      <c r="AS342" s="339" t="e">
        <f>SUM(AS144)/SUM(AS198,AS202,AS204,AS205)</f>
        <v>#DIV/0!</v>
      </c>
      <c r="AT342" s="339" t="e">
        <f>SUM(AT144)/SUM(AT198,AT202,AT204,AT205)</f>
        <v>#DIV/0!</v>
      </c>
      <c r="AU342" s="339" t="e">
        <f>SUM(AU144)/SUM(AU198,AU202,AU204,AU205)</f>
        <v>#DIV/0!</v>
      </c>
      <c r="AW342" s="339" t="e">
        <f>SUM(AW144)/SUM(AW198,AW202,AW204,AW205)</f>
        <v>#DIV/0!</v>
      </c>
      <c r="AX342" s="339" t="e">
        <f>SUM(AX144)/SUM(AX198,AX202,AX204,AX205)</f>
        <v>#DIV/0!</v>
      </c>
      <c r="AY342" s="339" t="e">
        <f>SUM(AY144)/SUM(AY198,AY202,AY204,AY205)</f>
        <v>#DIV/0!</v>
      </c>
      <c r="AZ342" s="339" t="e">
        <f>SUM(AZ144)/SUM(AZ198,AZ202,AZ204,AZ205)</f>
        <v>#DIV/0!</v>
      </c>
      <c r="BB342" s="339" t="e">
        <f>SUM(BB144)/SUM(BB198,BB202,BB204,BB205)</f>
        <v>#DIV/0!</v>
      </c>
      <c r="BC342" s="339" t="e">
        <f>SUM(BC144)/SUM(BC198,BC202,BC204,BC205)</f>
        <v>#DIV/0!</v>
      </c>
      <c r="BD342" s="339" t="e">
        <f>SUM(BD144)/SUM(BD198,BD202,BD204,BD205)</f>
        <v>#DIV/0!</v>
      </c>
      <c r="BE342" s="339" t="e">
        <f>SUM(BE144)/SUM(BE198,BE202,BE204,BE205)</f>
        <v>#DIV/0!</v>
      </c>
      <c r="BG342" s="339" t="e">
        <f>SUM(BG144)/SUM(BG198,BG202,BG204,BG205)</f>
        <v>#DIV/0!</v>
      </c>
      <c r="BH342" s="339" t="e">
        <f>SUM(BH144)/SUM(BH198,BH202,BH204,BH205)</f>
        <v>#DIV/0!</v>
      </c>
      <c r="BI342" s="339" t="e">
        <f>SUM(BI144)/SUM(BI198,BI202,BI204,BI205)</f>
        <v>#DIV/0!</v>
      </c>
      <c r="BJ342" s="339" t="e">
        <f>SUM(BJ144)/SUM(BJ198,BJ202,BJ204,BJ205)</f>
        <v>#DIV/0!</v>
      </c>
      <c r="BL342" s="339" t="e">
        <f>SUM(BL144)/SUM(BL198,BL202,BL204,BL205)</f>
        <v>#DIV/0!</v>
      </c>
      <c r="BM342" s="339" t="e">
        <f>SUM(BM144)/SUM(BM198,BM202,BM204,BM205)</f>
        <v>#DIV/0!</v>
      </c>
      <c r="BN342" s="339" t="e">
        <f>SUM(BN144)/SUM(BN198,BN202,BN204,BN205)</f>
        <v>#DIV/0!</v>
      </c>
      <c r="BO342" s="339" t="e">
        <f>SUM(BO144)/SUM(BO198,BO202,BO204,BO205)</f>
        <v>#DIV/0!</v>
      </c>
      <c r="BQ342" s="339" t="e">
        <f>SUM(BQ144)/SUM(BQ198,BQ202,BQ204,BQ205)</f>
        <v>#DIV/0!</v>
      </c>
      <c r="BR342" s="339" t="e">
        <f>SUM(BR144)/SUM(BR198,BR202,BR204,BR205)</f>
        <v>#DIV/0!</v>
      </c>
      <c r="BS342" s="339" t="e">
        <f>SUM(BS144)/SUM(BS198,BS202,BS204,BS205)</f>
        <v>#DIV/0!</v>
      </c>
      <c r="BT342" s="339" t="e">
        <f>SUM(BT144)/SUM(BT198,BT202,BT204,BT205)</f>
        <v>#DIV/0!</v>
      </c>
      <c r="BV342" s="339" t="e">
        <f>SUM(BV144)/SUM(BV198,BV202,BV204,BV205)</f>
        <v>#DIV/0!</v>
      </c>
      <c r="BW342" s="339" t="e">
        <f>SUM(BW144)/SUM(BW198,BW202,BW204,BW205)</f>
        <v>#DIV/0!</v>
      </c>
      <c r="BX342" s="339" t="e">
        <f>SUM(BX144)/SUM(BX198,BX202,BX204,BX205)</f>
        <v>#DIV/0!</v>
      </c>
      <c r="BY342" s="339" t="e">
        <f>SUM(BY144)/SUM(BY198,BY202,BY204,BY205)</f>
        <v>#DIV/0!</v>
      </c>
      <c r="CA342" s="339" t="e">
        <f>SUM(CA144)/SUM(CA198,CA202,CA204,CA205)</f>
        <v>#DIV/0!</v>
      </c>
      <c r="CB342" s="339" t="e">
        <f>SUM(CB144)/SUM(CB198,CB202,CB204,CB205)</f>
        <v>#DIV/0!</v>
      </c>
      <c r="CC342" s="339" t="e">
        <f>SUM(CC144)/SUM(CC198,CC202,CC204,CC205)</f>
        <v>#DIV/0!</v>
      </c>
      <c r="CD342" s="339" t="e">
        <f>SUM(CD144)/SUM(CD198,CD202,CD204,CD205)</f>
        <v>#DIV/0!</v>
      </c>
      <c r="CF342" s="339" t="e">
        <f>SUM(CF144)/SUM(CF198,CF202,CF204,CF205)</f>
        <v>#DIV/0!</v>
      </c>
      <c r="CG342" s="339" t="e">
        <f>SUM(CG144)/SUM(CG198,CG202,CG204,CG205)</f>
        <v>#DIV/0!</v>
      </c>
      <c r="CH342" s="339" t="e">
        <f>SUM(CH144)/SUM(CH198,CH202,CH204,CH205)</f>
        <v>#DIV/0!</v>
      </c>
      <c r="CI342" s="339" t="e">
        <f>SUM(CI144)/SUM(CI198,CI202,CI204,CI205)</f>
        <v>#DIV/0!</v>
      </c>
      <c r="CK342" s="339" t="e">
        <f>SUM(CK144)/SUM(CK198,CK202,CK204,CK205)</f>
        <v>#DIV/0!</v>
      </c>
      <c r="CL342" s="339" t="e">
        <f>SUM(CL144)/SUM(CL198,CL202,CL204,CL205)</f>
        <v>#DIV/0!</v>
      </c>
      <c r="CM342" s="339" t="e">
        <f>SUM(CM144)/SUM(CM198,CM202,CM204,CM205)</f>
        <v>#DIV/0!</v>
      </c>
      <c r="CN342" s="339" t="e">
        <f>SUM(CN144)/SUM(CN198,CN202,CN204,CN205)</f>
        <v>#DIV/0!</v>
      </c>
      <c r="CP342" s="339" t="e">
        <f>SUM(CP144)/SUM(CP198,CP202,CP204,CP205)</f>
        <v>#DIV/0!</v>
      </c>
      <c r="CQ342" s="339" t="e">
        <f>SUM(CQ144)/SUM(CQ198,CQ202,CQ204,CQ205)</f>
        <v>#DIV/0!</v>
      </c>
      <c r="CR342" s="339" t="e">
        <f>SUM(CR144)/SUM(CR198,CR202,CR204,CR205)</f>
        <v>#DIV/0!</v>
      </c>
      <c r="CS342" s="339" t="e">
        <f>SUM(CS144)/SUM(CS198,CS202,CS204,CS205)</f>
        <v>#DIV/0!</v>
      </c>
      <c r="CU342" s="339" t="e">
        <f>SUM(CU144)/SUM(CU198,CU202,CU204,CU205)</f>
        <v>#DIV/0!</v>
      </c>
      <c r="CV342" s="339" t="e">
        <f>SUM(CV144)/SUM(CV198,CV202,CV204,CV205)</f>
        <v>#DIV/0!</v>
      </c>
      <c r="CW342" s="339" t="e">
        <f>SUM(CW144)/SUM(CW198,CW202,CW204,CW205)</f>
        <v>#DIV/0!</v>
      </c>
      <c r="CX342" s="339" t="e">
        <f>SUM(CX144)/SUM(CX198,CX202,CX204,CX205)</f>
        <v>#DIV/0!</v>
      </c>
    </row>
    <row r="343" ht="12.75" customFormat="1" customHeight="1" s="333">
      <c r="A343" s="334" t="n"/>
      <c r="B343" s="334" t="n"/>
    </row>
    <row r="344" ht="12.75" customFormat="1" customHeight="1" s="333">
      <c r="A344" s="334" t="n"/>
      <c r="B344" s="334" t="n"/>
      <c r="C344" s="331" t="inlineStr">
        <is>
          <t>OPERATING EFFICIENCY</t>
        </is>
      </c>
    </row>
    <row r="345" ht="12.75" customFormat="1" customHeight="1" s="341">
      <c r="A345" s="338" t="n"/>
      <c r="B345" s="338" t="n"/>
      <c r="C345" s="341" t="inlineStr">
        <is>
          <t>RETURN ON CAPITAL (ROIC)</t>
        </is>
      </c>
      <c r="D345" s="341">
        <f>D347/D350</f>
        <v>-0.0084256731013462</v>
      </c>
      <c r="E345" s="341">
        <f>E347/E350</f>
        <v>0.0463139216002581</v>
      </c>
      <c r="F345" s="341">
        <f>F347/F350</f>
        <v>0.0165134278288986</v>
      </c>
      <c r="G345" s="341">
        <f>G347/G350</f>
        <v>0.0312582810885825</v>
      </c>
      <c r="H345" s="341">
        <f>H347/H350</f>
        <v>0.0798630747150456</v>
      </c>
      <c r="I345" s="338">
        <f>I347/I350</f>
        <v>0.0474509691571536</v>
      </c>
      <c r="J345" s="338">
        <f>J347/J350</f>
        <v>0.0205638273384781</v>
      </c>
      <c r="K345" s="338">
        <f>K347/K350</f>
        <v>0.03197817841487</v>
      </c>
      <c r="L345" s="338">
        <f>L347/L350</f>
        <v>0.0190228258960108</v>
      </c>
      <c r="M345" s="338">
        <f>M347/M350</f>
        <v>0.124429337299363</v>
      </c>
      <c r="N345" s="338">
        <f>N347/N350</f>
        <v>0.0470228427429388</v>
      </c>
      <c r="O345" s="338">
        <f>O347/O350</f>
        <v>0.0228328116887314</v>
      </c>
      <c r="P345" s="338">
        <f>P347/P350</f>
        <v>0.0285799528490976</v>
      </c>
      <c r="Q345" s="338">
        <f>Q347/Q350</f>
        <v>0.0213536955959137</v>
      </c>
      <c r="R345" s="338">
        <f>R347/R350</f>
        <v>0.126557045157342</v>
      </c>
      <c r="S345" s="338">
        <f>S347/S350</f>
        <v>0.0441927683677317</v>
      </c>
      <c r="T345" s="338">
        <f>T347/T350</f>
        <v>0.044200755704612</v>
      </c>
      <c r="U345" s="338">
        <f>U347/U350</f>
        <v>0.0301341750759533</v>
      </c>
      <c r="V345" s="338">
        <f>V347/V350</f>
        <v>0.037083394776256</v>
      </c>
      <c r="W345" s="338">
        <f>W347/W350</f>
        <v>0.156006786247535</v>
      </c>
      <c r="X345" s="338">
        <f>X347/X350</f>
        <v>0.0199745013312525</v>
      </c>
      <c r="Y345" s="338">
        <f>Y347/Y350</f>
        <v>0.00945922408446825</v>
      </c>
      <c r="Z345" s="338">
        <f>Z347/Z350</f>
        <v>0.015366518687679</v>
      </c>
      <c r="AA345" s="338">
        <f>AA347/AA350</f>
        <v>0.0359232659489254</v>
      </c>
      <c r="AB345" s="338">
        <f>AB347/AB350</f>
        <v>0.0832835191934011</v>
      </c>
      <c r="AC345" s="338">
        <f>AC347/AC350</f>
        <v>0.00951548986243939</v>
      </c>
      <c r="AD345" s="338">
        <f>AD347/AD350</f>
        <v>0.0135219245901452</v>
      </c>
      <c r="AE345" s="338">
        <f>AE347/AE350</f>
        <v>0.00768715743372214</v>
      </c>
      <c r="AF345" s="338">
        <f>AF347/AF350</f>
        <v>0.0116250812399333</v>
      </c>
      <c r="AG345" s="338">
        <f>AG347/AG350</f>
        <v>0.029369901058844</v>
      </c>
      <c r="AH345" s="338">
        <f>AH347/AH350</f>
        <v>0.00856000551725746</v>
      </c>
      <c r="AI345" s="338">
        <f>AI347/AI350</f>
        <v>0.0233220963395517</v>
      </c>
      <c r="AJ345" s="338">
        <f>AJ347/AJ350</f>
        <v>0</v>
      </c>
      <c r="AK345" s="338">
        <f>AK347/AK350</f>
        <v>0</v>
      </c>
      <c r="AL345" s="338">
        <f>AL347/AL350</f>
        <v>0.0513493278146522</v>
      </c>
      <c r="AM345" s="338" t="e">
        <f>AM347/AM350</f>
        <v>#DIV/0!</v>
      </c>
      <c r="AN345" s="338">
        <f>AN347/AN350</f>
        <v>0</v>
      </c>
      <c r="AO345" s="338" t="e">
        <f>AO347/AO350</f>
        <v>#DIV/0!</v>
      </c>
      <c r="AP345" s="338" t="e">
        <f>AP347/AP350</f>
        <v>#DIV/0!</v>
      </c>
      <c r="AQ345" s="338" t="e">
        <f>AQ347/AQ350</f>
        <v>#DIV/0!</v>
      </c>
      <c r="AR345" s="338" t="e">
        <f>AR347/AR350</f>
        <v>#DIV/0!</v>
      </c>
      <c r="AS345" s="338" t="e">
        <f>AS347/AS350</f>
        <v>#DIV/0!</v>
      </c>
      <c r="AT345" s="338" t="e">
        <f>AT347/AT350</f>
        <v>#DIV/0!</v>
      </c>
      <c r="AU345" s="338" t="e">
        <f>AU347/AU350</f>
        <v>#DIV/0!</v>
      </c>
      <c r="AV345" s="338" t="e">
        <f>AV347/AV350</f>
        <v>#DIV/0!</v>
      </c>
      <c r="AW345" s="338" t="e">
        <f>AW347/AW350</f>
        <v>#DIV/0!</v>
      </c>
      <c r="AX345" s="338" t="e">
        <f>AX347/AX350</f>
        <v>#DIV/0!</v>
      </c>
      <c r="AY345" s="338" t="e">
        <f>AY347/AY350</f>
        <v>#DIV/0!</v>
      </c>
      <c r="AZ345" s="338" t="e">
        <f>AZ347/AZ350</f>
        <v>#DIV/0!</v>
      </c>
      <c r="BA345" s="338" t="e">
        <f>BA347/BA350</f>
        <v>#DIV/0!</v>
      </c>
      <c r="BB345" s="338" t="e">
        <f>BB347/BB350</f>
        <v>#DIV/0!</v>
      </c>
      <c r="BC345" s="338" t="e">
        <f>BC347/BC350</f>
        <v>#DIV/0!</v>
      </c>
      <c r="BD345" s="338" t="e">
        <f>BD347/BD350</f>
        <v>#DIV/0!</v>
      </c>
      <c r="BE345" s="338" t="e">
        <f>BE347/BE350</f>
        <v>#DIV/0!</v>
      </c>
      <c r="BF345" s="338" t="e">
        <f>BF347/BF350</f>
        <v>#DIV/0!</v>
      </c>
      <c r="BG345" s="338" t="e">
        <f>BG347/BG350</f>
        <v>#DIV/0!</v>
      </c>
      <c r="BH345" s="338" t="e">
        <f>BH347/BH350</f>
        <v>#DIV/0!</v>
      </c>
      <c r="BI345" s="338" t="e">
        <f>BI347/BI350</f>
        <v>#DIV/0!</v>
      </c>
      <c r="BJ345" s="338" t="e">
        <f>BJ347/BJ350</f>
        <v>#DIV/0!</v>
      </c>
      <c r="BK345" s="338" t="e">
        <f>BK347/BK350</f>
        <v>#DIV/0!</v>
      </c>
      <c r="BL345" s="338" t="e">
        <f>BL347/BL350</f>
        <v>#DIV/0!</v>
      </c>
      <c r="BM345" s="338" t="e">
        <f>BM347/BM350</f>
        <v>#DIV/0!</v>
      </c>
      <c r="BN345" s="338" t="e">
        <f>BN347/BN350</f>
        <v>#DIV/0!</v>
      </c>
      <c r="BO345" s="338" t="e">
        <f>BO347/BO350</f>
        <v>#DIV/0!</v>
      </c>
      <c r="BP345" s="338" t="e">
        <f>BP347/BP350</f>
        <v>#DIV/0!</v>
      </c>
      <c r="BQ345" s="338" t="e">
        <f>BQ347/BQ350</f>
        <v>#DIV/0!</v>
      </c>
      <c r="BR345" s="338" t="e">
        <f>BR347/BR350</f>
        <v>#DIV/0!</v>
      </c>
      <c r="BS345" s="338" t="e">
        <f>BS347/BS350</f>
        <v>#DIV/0!</v>
      </c>
      <c r="BT345" s="338" t="e">
        <f>BT347/BT350</f>
        <v>#DIV/0!</v>
      </c>
      <c r="BU345" s="338" t="e">
        <f>BU347/BU350</f>
        <v>#DIV/0!</v>
      </c>
      <c r="BV345" s="338" t="e">
        <f>BV347/BV350</f>
        <v>#DIV/0!</v>
      </c>
      <c r="BW345" s="338" t="e">
        <f>BW347/BW350</f>
        <v>#DIV/0!</v>
      </c>
      <c r="BX345" s="338" t="e">
        <f>BX347/BX350</f>
        <v>#DIV/0!</v>
      </c>
      <c r="BY345" s="338" t="e">
        <f>BY347/BY350</f>
        <v>#DIV/0!</v>
      </c>
      <c r="BZ345" s="338" t="e">
        <f>BZ347/BZ350</f>
        <v>#DIV/0!</v>
      </c>
      <c r="CA345" s="338" t="e">
        <f>CA347/CA350</f>
        <v>#DIV/0!</v>
      </c>
      <c r="CB345" s="338" t="e">
        <f>CB347/CB350</f>
        <v>#DIV/0!</v>
      </c>
      <c r="CC345" s="338" t="e">
        <f>CC347/CC350</f>
        <v>#DIV/0!</v>
      </c>
      <c r="CD345" s="338" t="e">
        <f>CD347/CD350</f>
        <v>#DIV/0!</v>
      </c>
      <c r="CE345" s="338" t="e">
        <f>CE347/CE350</f>
        <v>#DIV/0!</v>
      </c>
      <c r="CF345" s="338" t="e">
        <f>CF347/CF350</f>
        <v>#DIV/0!</v>
      </c>
      <c r="CG345" s="338" t="e">
        <f>CG347/CG350</f>
        <v>#DIV/0!</v>
      </c>
      <c r="CH345" s="338" t="e">
        <f>CH347/CH350</f>
        <v>#DIV/0!</v>
      </c>
      <c r="CI345" s="338" t="e">
        <f>CI347/CI350</f>
        <v>#DIV/0!</v>
      </c>
      <c r="CJ345" s="338" t="e">
        <f>CJ347/CJ350</f>
        <v>#DIV/0!</v>
      </c>
      <c r="CK345" s="338" t="e">
        <f>CK347/CK350</f>
        <v>#DIV/0!</v>
      </c>
      <c r="CL345" s="338" t="e">
        <f>CL347/CL350</f>
        <v>#DIV/0!</v>
      </c>
      <c r="CM345" s="338" t="e">
        <f>CM347/CM350</f>
        <v>#DIV/0!</v>
      </c>
      <c r="CN345" s="338" t="e">
        <f>CN347/CN350</f>
        <v>#DIV/0!</v>
      </c>
      <c r="CO345" s="338" t="e">
        <f>CO347/CO350</f>
        <v>#DIV/0!</v>
      </c>
      <c r="CP345" s="338" t="e">
        <f>CP347/CP350</f>
        <v>#DIV/0!</v>
      </c>
      <c r="CQ345" s="338" t="e">
        <f>CQ347/CQ350</f>
        <v>#DIV/0!</v>
      </c>
      <c r="CR345" s="338" t="e">
        <f>CR347/CR350</f>
        <v>#DIV/0!</v>
      </c>
      <c r="CS345" s="338" t="e">
        <f>CS347/CS350</f>
        <v>#DIV/0!</v>
      </c>
      <c r="CT345" s="338" t="e">
        <f>CT347/CT350</f>
        <v>#DIV/0!</v>
      </c>
      <c r="CU345" s="338" t="e">
        <f>CU347/CU350</f>
        <v>#DIV/0!</v>
      </c>
      <c r="CV345" s="338" t="e">
        <f>CV347/CV350</f>
        <v>#DIV/0!</v>
      </c>
      <c r="CW345" s="338" t="e">
        <f>CW347/CW350</f>
        <v>#DIV/0!</v>
      </c>
      <c r="CX345" s="338" t="e">
        <f>CX347/CX350</f>
        <v>#DIV/0!</v>
      </c>
      <c r="CY345" s="338" t="e">
        <f>CY347/CY350</f>
        <v>#DIV/0!</v>
      </c>
    </row>
    <row r="346" ht="12.75" customFormat="1" customHeight="1" s="341">
      <c r="A346" s="338" t="n"/>
      <c r="B346" s="338" t="n"/>
      <c r="C346" s="341" t="inlineStr">
        <is>
          <t>RETURN ON CAPITAL (ROIC) - EX GOODWILL</t>
        </is>
      </c>
      <c r="D346" s="341">
        <f>D347/D351</f>
        <v>-0.00886428716752755</v>
      </c>
      <c r="E346" s="341">
        <f>E347/E351</f>
        <v>0.0484638757596219</v>
      </c>
      <c r="F346" s="341">
        <f>F347/F351</f>
        <v>0.0172406222637776</v>
      </c>
      <c r="G346" s="341">
        <f>G347/G351</f>
        <v>0.0325531596915734</v>
      </c>
      <c r="H346" s="341">
        <f>H347/H351</f>
        <v>0.0831714135940939</v>
      </c>
      <c r="I346" s="338">
        <f>I347/I351</f>
        <v>0.0492446151460976</v>
      </c>
      <c r="J346" s="338">
        <f>J347/J351</f>
        <v>0.0213481271888818</v>
      </c>
      <c r="K346" s="338">
        <f>K347/K351</f>
        <v>0.0332535837281307</v>
      </c>
      <c r="L346" s="338">
        <f>L347/L351</f>
        <v>0.0196815072333745</v>
      </c>
      <c r="M346" s="338">
        <f>M347/M351</f>
        <v>0.128737807699484</v>
      </c>
      <c r="N346" s="338">
        <f>N347/N351</f>
        <v>0.0484836723993484</v>
      </c>
      <c r="O346" s="338">
        <f>O347/O351</f>
        <v>0.0234978036527819</v>
      </c>
      <c r="P346" s="338">
        <f>P347/P351</f>
        <v>0.0294605842725742</v>
      </c>
      <c r="Q346" s="338">
        <f>Q347/Q351</f>
        <v>0.022051917171681</v>
      </c>
      <c r="R346" s="338">
        <f>R347/R351</f>
        <v>0.130695198157478</v>
      </c>
      <c r="S346" s="338">
        <f>S347/S351</f>
        <v>0.0456818522024826</v>
      </c>
      <c r="T346" s="338">
        <f>T347/T351</f>
        <v>0.0455567274204663</v>
      </c>
      <c r="U346" s="338">
        <f>U347/U351</f>
        <v>0.0310903653708004</v>
      </c>
      <c r="V346" s="338">
        <f>V347/V351</f>
        <v>0.0383021446953089</v>
      </c>
      <c r="W346" s="338">
        <f>W347/W351</f>
        <v>0.161133966735138</v>
      </c>
      <c r="X346" s="338">
        <f>X347/X351</f>
        <v>0.0206375094661672</v>
      </c>
      <c r="Y346" s="338">
        <f>Y347/Y351</f>
        <v>0.0097410113646167</v>
      </c>
      <c r="Z346" s="338">
        <f>Z347/Z351</f>
        <v>0.015850835826727</v>
      </c>
      <c r="AA346" s="338">
        <f>AA347/AA351</f>
        <v>0.0370316462428134</v>
      </c>
      <c r="AB346" s="338">
        <f>AB347/AB351</f>
        <v>0.0858531578117509</v>
      </c>
      <c r="AC346" s="338">
        <f>AC347/AC351</f>
        <v>0.00979226281169869</v>
      </c>
      <c r="AD346" s="338">
        <f>AD347/AD351</f>
        <v>0.0138821959664248</v>
      </c>
      <c r="AE346" s="338">
        <f>AE347/AE351</f>
        <v>0.0083658685788652</v>
      </c>
      <c r="AF346" s="338">
        <f>AF347/AF351</f>
        <v>0.0128512600966656</v>
      </c>
      <c r="AG346" s="338">
        <f>AG347/AG351</f>
        <v>0.032467750524099</v>
      </c>
      <c r="AH346" s="338">
        <f>AH347/AH351</f>
        <v>0.00948476598593403</v>
      </c>
      <c r="AI346" s="338">
        <f>AI347/AI351</f>
        <v>0.0258289003109289</v>
      </c>
      <c r="AJ346" s="338">
        <f>AJ347/AJ351</f>
        <v>0</v>
      </c>
      <c r="AK346" s="338">
        <f>AK347/AK351</f>
        <v>0</v>
      </c>
      <c r="AL346" s="338">
        <f>AL347/AL351</f>
        <v>0.0615438137558351</v>
      </c>
      <c r="AM346" s="338" t="e">
        <f>AM347/AM351</f>
        <v>#DIV/0!</v>
      </c>
      <c r="AN346" s="338">
        <f>AN347/AN351</f>
        <v>0</v>
      </c>
      <c r="AO346" s="338" t="e">
        <f>AO347/AO351</f>
        <v>#DIV/0!</v>
      </c>
      <c r="AP346" s="338" t="e">
        <f>AP347/AP351</f>
        <v>#DIV/0!</v>
      </c>
      <c r="AQ346" s="338" t="e">
        <f>AQ347/AQ351</f>
        <v>#DIV/0!</v>
      </c>
      <c r="AR346" s="338" t="e">
        <f>AR347/AR351</f>
        <v>#DIV/0!</v>
      </c>
      <c r="AS346" s="338" t="e">
        <f>AS347/AS351</f>
        <v>#DIV/0!</v>
      </c>
      <c r="AT346" s="338" t="e">
        <f>AT347/AT351</f>
        <v>#DIV/0!</v>
      </c>
      <c r="AU346" s="338" t="e">
        <f>AU347/AU351</f>
        <v>#DIV/0!</v>
      </c>
      <c r="AV346" s="338" t="e">
        <f>AV347/AV351</f>
        <v>#DIV/0!</v>
      </c>
      <c r="AW346" s="338" t="e">
        <f>AW347/AW351</f>
        <v>#DIV/0!</v>
      </c>
      <c r="AX346" s="338" t="e">
        <f>AX347/AX351</f>
        <v>#DIV/0!</v>
      </c>
      <c r="AY346" s="338" t="e">
        <f>AY347/AY351</f>
        <v>#DIV/0!</v>
      </c>
      <c r="AZ346" s="338" t="e">
        <f>AZ347/AZ351</f>
        <v>#DIV/0!</v>
      </c>
      <c r="BA346" s="338" t="e">
        <f>BA347/BA351</f>
        <v>#DIV/0!</v>
      </c>
      <c r="BB346" s="338" t="e">
        <f>BB347/BB351</f>
        <v>#DIV/0!</v>
      </c>
      <c r="BC346" s="338" t="e">
        <f>BC347/BC351</f>
        <v>#DIV/0!</v>
      </c>
      <c r="BD346" s="338" t="e">
        <f>BD347/BD351</f>
        <v>#DIV/0!</v>
      </c>
      <c r="BE346" s="338" t="e">
        <f>BE347/BE351</f>
        <v>#DIV/0!</v>
      </c>
      <c r="BF346" s="338" t="e">
        <f>BF347/BF351</f>
        <v>#DIV/0!</v>
      </c>
      <c r="BG346" s="338" t="e">
        <f>BG347/BG351</f>
        <v>#DIV/0!</v>
      </c>
      <c r="BH346" s="338" t="e">
        <f>BH347/BH351</f>
        <v>#DIV/0!</v>
      </c>
      <c r="BI346" s="338" t="e">
        <f>BI347/BI351</f>
        <v>#DIV/0!</v>
      </c>
      <c r="BJ346" s="338" t="e">
        <f>BJ347/BJ351</f>
        <v>#DIV/0!</v>
      </c>
      <c r="BK346" s="338" t="e">
        <f>BK347/BK351</f>
        <v>#DIV/0!</v>
      </c>
      <c r="BL346" s="338" t="e">
        <f>BL347/BL351</f>
        <v>#DIV/0!</v>
      </c>
      <c r="BM346" s="338" t="e">
        <f>BM347/BM351</f>
        <v>#DIV/0!</v>
      </c>
      <c r="BN346" s="338" t="e">
        <f>BN347/BN351</f>
        <v>#DIV/0!</v>
      </c>
      <c r="BO346" s="338" t="e">
        <f>BO347/BO351</f>
        <v>#DIV/0!</v>
      </c>
      <c r="BP346" s="338" t="e">
        <f>BP347/BP351</f>
        <v>#DIV/0!</v>
      </c>
      <c r="BQ346" s="338" t="e">
        <f>BQ347/BQ351</f>
        <v>#DIV/0!</v>
      </c>
      <c r="BR346" s="338" t="e">
        <f>BR347/BR351</f>
        <v>#DIV/0!</v>
      </c>
      <c r="BS346" s="338" t="e">
        <f>BS347/BS351</f>
        <v>#DIV/0!</v>
      </c>
      <c r="BT346" s="338" t="e">
        <f>BT347/BT351</f>
        <v>#DIV/0!</v>
      </c>
      <c r="BU346" s="338" t="e">
        <f>BU347/BU351</f>
        <v>#DIV/0!</v>
      </c>
      <c r="BV346" s="338" t="e">
        <f>BV347/BV351</f>
        <v>#DIV/0!</v>
      </c>
      <c r="BW346" s="338" t="e">
        <f>BW347/BW351</f>
        <v>#DIV/0!</v>
      </c>
      <c r="BX346" s="338" t="e">
        <f>BX347/BX351</f>
        <v>#DIV/0!</v>
      </c>
      <c r="BY346" s="338" t="e">
        <f>BY347/BY351</f>
        <v>#DIV/0!</v>
      </c>
      <c r="BZ346" s="338" t="e">
        <f>BZ347/BZ351</f>
        <v>#DIV/0!</v>
      </c>
      <c r="CA346" s="338" t="e">
        <f>CA347/CA351</f>
        <v>#DIV/0!</v>
      </c>
      <c r="CB346" s="338" t="e">
        <f>CB347/CB351</f>
        <v>#DIV/0!</v>
      </c>
      <c r="CC346" s="338" t="e">
        <f>CC347/CC351</f>
        <v>#DIV/0!</v>
      </c>
      <c r="CD346" s="338" t="e">
        <f>CD347/CD351</f>
        <v>#DIV/0!</v>
      </c>
      <c r="CE346" s="338" t="e">
        <f>CE347/CE351</f>
        <v>#DIV/0!</v>
      </c>
      <c r="CF346" s="338" t="e">
        <f>CF347/CF351</f>
        <v>#DIV/0!</v>
      </c>
      <c r="CG346" s="338" t="e">
        <f>CG347/CG351</f>
        <v>#DIV/0!</v>
      </c>
      <c r="CH346" s="338" t="e">
        <f>CH347/CH351</f>
        <v>#DIV/0!</v>
      </c>
      <c r="CI346" s="338" t="e">
        <f>CI347/CI351</f>
        <v>#DIV/0!</v>
      </c>
      <c r="CJ346" s="338" t="e">
        <f>CJ347/CJ351</f>
        <v>#DIV/0!</v>
      </c>
      <c r="CK346" s="338" t="e">
        <f>CK347/CK351</f>
        <v>#DIV/0!</v>
      </c>
      <c r="CL346" s="338" t="e">
        <f>CL347/CL351</f>
        <v>#DIV/0!</v>
      </c>
      <c r="CM346" s="338" t="e">
        <f>CM347/CM351</f>
        <v>#DIV/0!</v>
      </c>
      <c r="CN346" s="338" t="e">
        <f>CN347/CN351</f>
        <v>#DIV/0!</v>
      </c>
      <c r="CO346" s="338" t="e">
        <f>CO347/CO351</f>
        <v>#DIV/0!</v>
      </c>
      <c r="CP346" s="338" t="e">
        <f>CP347/CP351</f>
        <v>#DIV/0!</v>
      </c>
      <c r="CQ346" s="338" t="e">
        <f>CQ347/CQ351</f>
        <v>#DIV/0!</v>
      </c>
      <c r="CR346" s="338" t="e">
        <f>CR347/CR351</f>
        <v>#DIV/0!</v>
      </c>
      <c r="CS346" s="338" t="e">
        <f>CS347/CS351</f>
        <v>#DIV/0!</v>
      </c>
      <c r="CT346" s="338" t="e">
        <f>CT347/CT351</f>
        <v>#DIV/0!</v>
      </c>
      <c r="CU346" s="338" t="e">
        <f>CU347/CU351</f>
        <v>#DIV/0!</v>
      </c>
      <c r="CV346" s="338" t="e">
        <f>CV347/CV351</f>
        <v>#DIV/0!</v>
      </c>
      <c r="CW346" s="338" t="e">
        <f>CW347/CW351</f>
        <v>#DIV/0!</v>
      </c>
      <c r="CX346" s="338" t="e">
        <f>CX347/CX351</f>
        <v>#DIV/0!</v>
      </c>
      <c r="CY346" s="338" t="e">
        <f>CY347/CY351</f>
        <v>#DIV/0!</v>
      </c>
    </row>
    <row r="347" ht="12.75" customFormat="1" customHeight="1" s="333">
      <c r="A347" s="334" t="n"/>
      <c r="B347" s="334" t="n"/>
      <c r="C347" s="333" t="inlineStr">
        <is>
          <t>NOPLAT</t>
        </is>
      </c>
      <c r="D347" s="333">
        <f>D348*(1-D349)</f>
        <v>-94.1653225806452</v>
      </c>
      <c r="E347" s="333">
        <f>E348*(1-E349)</f>
        <v>574.2</v>
      </c>
      <c r="F347" s="333">
        <f>F348*(1-F349)</f>
        <v>218.852459016393</v>
      </c>
      <c r="G347" s="333">
        <f>G348*(1-G349)</f>
        <v>460.496996996997</v>
      </c>
      <c r="H347" s="333">
        <f>H348*(1-H349)</f>
        <v>1176.54281670205</v>
      </c>
      <c r="I347" s="342">
        <f>I348*(1-I349)</f>
        <v>724.33904418395</v>
      </c>
      <c r="J347" s="334">
        <f>J348*(1-J349)</f>
        <v>324.085918854415</v>
      </c>
      <c r="K347" s="334">
        <f>K348*(1-K349)</f>
        <v>468.57624831309</v>
      </c>
      <c r="L347" s="334">
        <f>L348*(1-L349)</f>
        <v>275.108108108108</v>
      </c>
      <c r="M347" s="334">
        <f>M348*(1-M349)</f>
        <v>1799.49707602339</v>
      </c>
      <c r="N347" s="342">
        <f>N348*(1-N349)</f>
        <v>775.641791044776</v>
      </c>
      <c r="O347" s="334">
        <f>O348*(1-O349)</f>
        <v>377.586206896552</v>
      </c>
      <c r="P347" s="334">
        <f>P348*(1-P349)</f>
        <v>425.469758064516</v>
      </c>
      <c r="Q347" s="334">
        <f>Q348*(1-Q349)</f>
        <v>316.974257425743</v>
      </c>
      <c r="R347" s="334">
        <f>R348*(1-R349)</f>
        <v>1878.61277831559</v>
      </c>
      <c r="S347" s="342">
        <f>S348*(1-S349)</f>
        <v>648.042755344418</v>
      </c>
      <c r="T347" s="334">
        <f>T348*(1-T349)</f>
        <v>718.748488512696</v>
      </c>
      <c r="U347" s="334">
        <f>U348*(1-U349)</f>
        <v>462.469184890656</v>
      </c>
      <c r="V347" s="334">
        <f>V348*(1-V349)</f>
        <v>569.897610921502</v>
      </c>
      <c r="W347" s="334">
        <f>W348*(1-W349)</f>
        <v>2397.51229105211</v>
      </c>
      <c r="X347" s="342">
        <f>X348*(1-X349)</f>
        <v>298.439024390244</v>
      </c>
      <c r="Y347" s="334">
        <f>Y348*(1-Y349)</f>
        <v>152.378640776699</v>
      </c>
      <c r="Z347" s="334">
        <f>Z348*(1-Z349)</f>
        <v>242.406832298137</v>
      </c>
      <c r="AA347" s="334">
        <f>AA348*(1-AA349)</f>
        <v>543.698630136986</v>
      </c>
      <c r="AB347" s="334">
        <f>AB348*(1-AB349)</f>
        <v>1260.49606299213</v>
      </c>
      <c r="AC347" s="342">
        <f>AC348*(1-AC349)</f>
        <v>155.87323943662</v>
      </c>
      <c r="AD347" s="334">
        <f>AD348*(1-AD349)</f>
        <v>239.676113360324</v>
      </c>
      <c r="AE347" s="334">
        <f>AE348*(1-AE349)</f>
        <v>262.37037037037</v>
      </c>
      <c r="AF347" s="334">
        <f>AF348*(1-AF349)</f>
        <v>382.697674418605</v>
      </c>
      <c r="AG347" s="334">
        <f>AG348*(1-AG349)</f>
        <v>966.857142857143</v>
      </c>
      <c r="AH347" s="342">
        <f>AH348*(1-AH349)</f>
        <v>288.934426229508</v>
      </c>
      <c r="AI347" s="334">
        <f>AI348*(1-AI349)</f>
        <v>805.965005302227</v>
      </c>
      <c r="AJ347" s="334">
        <f>AJ348*(1-AJ349)</f>
        <v>0</v>
      </c>
      <c r="AK347" s="334">
        <f>AK348*(1-AK349)</f>
        <v>0</v>
      </c>
      <c r="AL347" s="334">
        <f>AL348*(1-AL349)</f>
        <v>1039.72118959108</v>
      </c>
      <c r="AM347" s="342">
        <f>AM348*(1-AM349)</f>
        <v>0</v>
      </c>
      <c r="AN347" s="334">
        <f>AN348*(1-AN349)</f>
        <v>0</v>
      </c>
      <c r="AO347" s="334">
        <f>AO348*(1-AO349)</f>
        <v>0</v>
      </c>
      <c r="AP347" s="334">
        <f>AP348*(1-AP349)</f>
        <v>0</v>
      </c>
      <c r="AQ347" s="334">
        <f>AQ348*(1-AQ349)</f>
        <v>0</v>
      </c>
      <c r="AR347" s="342">
        <f>AR348*(1-AR349)</f>
        <v>0</v>
      </c>
      <c r="AS347" s="334">
        <f>AS348*(1-AS349)</f>
        <v>0</v>
      </c>
      <c r="AT347" s="334">
        <f>AT348*(1-AT349)</f>
        <v>0</v>
      </c>
      <c r="AU347" s="334">
        <f>AU348*(1-AU349)</f>
        <v>0</v>
      </c>
      <c r="AV347" s="334">
        <f>AV348*(1-AV349)</f>
        <v>0</v>
      </c>
      <c r="AW347" s="342">
        <f>AW348*(1-AW349)</f>
        <v>0</v>
      </c>
      <c r="AX347" s="334">
        <f>AX348*(1-AX349)</f>
        <v>0</v>
      </c>
      <c r="AY347" s="334">
        <f>AY348*(1-AY349)</f>
        <v>0</v>
      </c>
      <c r="AZ347" s="334">
        <f>AZ348*(1-AZ349)</f>
        <v>0</v>
      </c>
      <c r="BA347" s="334">
        <f>BA348*(1-BA349)</f>
        <v>0</v>
      </c>
      <c r="BB347" s="342">
        <f>BB348*(1-BB349)</f>
        <v>0</v>
      </c>
      <c r="BC347" s="334">
        <f>BC348*(1-BC349)</f>
        <v>0</v>
      </c>
      <c r="BD347" s="334">
        <f>BD348*(1-BD349)</f>
        <v>0</v>
      </c>
      <c r="BE347" s="334">
        <f>BE348*(1-BE349)</f>
        <v>0</v>
      </c>
      <c r="BF347" s="334">
        <f>BF348*(1-BF349)</f>
        <v>0</v>
      </c>
      <c r="BG347" s="342">
        <f>BG348*(1-BG349)</f>
        <v>0</v>
      </c>
      <c r="BH347" s="334">
        <f>BH348*(1-BH349)</f>
        <v>0</v>
      </c>
      <c r="BI347" s="334">
        <f>BI348*(1-BI349)</f>
        <v>0</v>
      </c>
      <c r="BJ347" s="334">
        <f>BJ348*(1-BJ349)</f>
        <v>0</v>
      </c>
      <c r="BK347" s="334">
        <f>BK348*(1-BK349)</f>
        <v>0</v>
      </c>
      <c r="BL347" s="342">
        <f>BL348*(1-BL349)</f>
        <v>0</v>
      </c>
      <c r="BM347" s="334">
        <f>BM348*(1-BM349)</f>
        <v>0</v>
      </c>
      <c r="BN347" s="334">
        <f>BN348*(1-BN349)</f>
        <v>0</v>
      </c>
      <c r="BO347" s="334">
        <f>BO348*(1-BO349)</f>
        <v>0</v>
      </c>
      <c r="BP347" s="334">
        <f>BP348*(1-BP349)</f>
        <v>0</v>
      </c>
      <c r="BQ347" s="342">
        <f>BQ348*(1-BQ349)</f>
        <v>0</v>
      </c>
      <c r="BR347" s="334">
        <f>BR348*(1-BR349)</f>
        <v>0</v>
      </c>
      <c r="BS347" s="334">
        <f>BS348*(1-BS349)</f>
        <v>0</v>
      </c>
      <c r="BT347" s="334">
        <f>BT348*(1-BT349)</f>
        <v>0</v>
      </c>
      <c r="BU347" s="334">
        <f>BU348*(1-BU349)</f>
        <v>0</v>
      </c>
      <c r="BV347" s="342">
        <f>BV348*(1-BV349)</f>
        <v>0</v>
      </c>
      <c r="BW347" s="334">
        <f>BW348*(1-BW349)</f>
        <v>0</v>
      </c>
      <c r="BX347" s="334">
        <f>BX348*(1-BX349)</f>
        <v>0</v>
      </c>
      <c r="BY347" s="334">
        <f>BY348*(1-BY349)</f>
        <v>0</v>
      </c>
      <c r="BZ347" s="334">
        <f>BZ348*(1-BZ349)</f>
        <v>0</v>
      </c>
      <c r="CA347" s="342">
        <f>CA348*(1-CA349)</f>
        <v>0</v>
      </c>
      <c r="CB347" s="334">
        <f>CB348*(1-CB349)</f>
        <v>0</v>
      </c>
      <c r="CC347" s="334">
        <f>CC348*(1-CC349)</f>
        <v>0</v>
      </c>
      <c r="CD347" s="334">
        <f>CD348*(1-CD349)</f>
        <v>0</v>
      </c>
      <c r="CE347" s="334">
        <f>CE348*(1-CE349)</f>
        <v>0</v>
      </c>
      <c r="CF347" s="342">
        <f>CF348*(1-CF349)</f>
        <v>0</v>
      </c>
      <c r="CG347" s="334">
        <f>CG348*(1-CG349)</f>
        <v>0</v>
      </c>
      <c r="CH347" s="334">
        <f>CH348*(1-CH349)</f>
        <v>0</v>
      </c>
      <c r="CI347" s="334">
        <f>CI348*(1-CI349)</f>
        <v>0</v>
      </c>
      <c r="CJ347" s="334">
        <f>CJ348*(1-CJ349)</f>
        <v>0</v>
      </c>
      <c r="CK347" s="342">
        <f>CK348*(1-CK349)</f>
        <v>0</v>
      </c>
      <c r="CL347" s="334">
        <f>CL348*(1-CL349)</f>
        <v>0</v>
      </c>
      <c r="CM347" s="334">
        <f>CM348*(1-CM349)</f>
        <v>0</v>
      </c>
      <c r="CN347" s="334">
        <f>CN348*(1-CN349)</f>
        <v>0</v>
      </c>
      <c r="CO347" s="334">
        <f>CO348*(1-CO349)</f>
        <v>0</v>
      </c>
      <c r="CP347" s="342">
        <f>CP348*(1-CP349)</f>
        <v>0</v>
      </c>
      <c r="CQ347" s="334">
        <f>CQ348*(1-CQ349)</f>
        <v>0</v>
      </c>
      <c r="CR347" s="334">
        <f>CR348*(1-CR349)</f>
        <v>0</v>
      </c>
      <c r="CS347" s="334">
        <f>CS348*(1-CS349)</f>
        <v>0</v>
      </c>
      <c r="CT347" s="334">
        <f>CT348*(1-CT349)</f>
        <v>0</v>
      </c>
      <c r="CU347" s="342">
        <f>CU348*(1-CU349)</f>
        <v>0</v>
      </c>
      <c r="CV347" s="334">
        <f>CV348*(1-CV349)</f>
        <v>0</v>
      </c>
      <c r="CW347" s="334">
        <f>CW348*(1-CW349)</f>
        <v>0</v>
      </c>
      <c r="CX347" s="334">
        <f>CX348*(1-CX349)</f>
        <v>0</v>
      </c>
      <c r="CY347" s="334">
        <f>CY348*(1-CY349)</f>
        <v>0</v>
      </c>
    </row>
    <row r="348" ht="12.75" customFormat="1" customHeight="1" s="333">
      <c r="A348" s="334" t="n"/>
      <c r="B348" s="334" t="n"/>
      <c r="C348" s="333" t="inlineStr">
        <is>
          <t>EBIT</t>
        </is>
      </c>
      <c r="D348" s="343">
        <f>D73</f>
        <v>-121</v>
      </c>
      <c r="E348" s="343">
        <f>E73</f>
        <v>759</v>
      </c>
      <c r="F348" s="343">
        <f>F73</f>
        <v>250</v>
      </c>
      <c r="G348" s="343">
        <f>G73</f>
        <v>539</v>
      </c>
      <c r="H348" s="343">
        <f>H73</f>
        <v>1427</v>
      </c>
      <c r="I348" s="318">
        <f>I73</f>
        <v>876</v>
      </c>
      <c r="J348" s="318">
        <f>J73</f>
        <v>368</v>
      </c>
      <c r="K348" s="318">
        <f>K73</f>
        <v>535</v>
      </c>
      <c r="L348" s="318">
        <f>L73</f>
        <v>351</v>
      </c>
      <c r="M348" s="318">
        <f>M73</f>
        <v>2130</v>
      </c>
      <c r="N348" s="318">
        <f>N73</f>
        <v>896</v>
      </c>
      <c r="O348" s="318">
        <f>O73</f>
        <v>438</v>
      </c>
      <c r="P348" s="318">
        <f>P73</f>
        <v>551</v>
      </c>
      <c r="Q348" s="318">
        <f>Q73</f>
        <v>428</v>
      </c>
      <c r="R348" s="318">
        <f>R73</f>
        <v>2313</v>
      </c>
      <c r="S348" s="318">
        <f>S73</f>
        <v>828</v>
      </c>
      <c r="T348" s="318">
        <f>T73</f>
        <v>945</v>
      </c>
      <c r="U348" s="318">
        <f>U73</f>
        <v>598</v>
      </c>
      <c r="V348" s="318">
        <f>V73</f>
        <v>759</v>
      </c>
      <c r="W348" s="318">
        <f>W73</f>
        <v>3130</v>
      </c>
      <c r="X348" s="318">
        <f>X73</f>
        <v>437</v>
      </c>
      <c r="Y348" s="318">
        <f>Y73</f>
        <v>215</v>
      </c>
      <c r="Z348" s="318">
        <f>Z73</f>
        <v>335</v>
      </c>
      <c r="AA348" s="318">
        <f>AA73</f>
        <v>630</v>
      </c>
      <c r="AB348" s="318">
        <f>AB73</f>
        <v>1617</v>
      </c>
      <c r="AC348" s="318">
        <f>AC73</f>
        <v>217</v>
      </c>
      <c r="AD348" s="318">
        <f>AD73</f>
        <v>320</v>
      </c>
      <c r="AE348" s="318">
        <f>AE73</f>
        <v>385</v>
      </c>
      <c r="AF348" s="318">
        <f>AF73</f>
        <v>374</v>
      </c>
      <c r="AG348" s="318">
        <f>AG73</f>
        <v>1296</v>
      </c>
      <c r="AH348" s="318">
        <f>AH73</f>
        <v>235</v>
      </c>
      <c r="AI348" s="318">
        <f>AI73</f>
        <v>1075</v>
      </c>
      <c r="AJ348" s="318">
        <f>AJ73</f>
        <v>0</v>
      </c>
      <c r="AK348" s="318">
        <f>AK73</f>
        <v>0</v>
      </c>
      <c r="AL348" s="318">
        <f>AL73</f>
        <v>1310</v>
      </c>
      <c r="AM348" s="318">
        <f>AM73</f>
        <v>0</v>
      </c>
      <c r="AN348" s="318">
        <f>AN73</f>
        <v>0</v>
      </c>
      <c r="AO348" s="318">
        <f>AO73</f>
        <v>0</v>
      </c>
      <c r="AP348" s="318">
        <f>AP73</f>
        <v>0</v>
      </c>
      <c r="AQ348" s="318">
        <f>AQ73</f>
        <v>0</v>
      </c>
      <c r="AR348" s="318">
        <f>AR73</f>
        <v>0</v>
      </c>
      <c r="AS348" s="318">
        <f>AS73</f>
        <v>0</v>
      </c>
      <c r="AT348" s="318">
        <f>AT73</f>
        <v>0</v>
      </c>
      <c r="AU348" s="318">
        <f>AU73</f>
        <v>0</v>
      </c>
      <c r="AV348" s="318">
        <f>AV73</f>
        <v>0</v>
      </c>
      <c r="AW348" s="318">
        <f>AW73</f>
        <v>0</v>
      </c>
      <c r="AX348" s="318">
        <f>AX73</f>
        <v>0</v>
      </c>
      <c r="AY348" s="318">
        <f>AY73</f>
        <v>0</v>
      </c>
      <c r="AZ348" s="318">
        <f>AZ73</f>
        <v>0</v>
      </c>
      <c r="BA348" s="318">
        <f>BA73</f>
        <v>0</v>
      </c>
      <c r="BB348" s="318">
        <f>BB73</f>
        <v>0</v>
      </c>
      <c r="BC348" s="318">
        <f>BC73</f>
        <v>0</v>
      </c>
      <c r="BD348" s="318">
        <f>BD73</f>
        <v>0</v>
      </c>
      <c r="BE348" s="318">
        <f>BE73</f>
        <v>0</v>
      </c>
      <c r="BF348" s="318">
        <f>BF73</f>
        <v>0</v>
      </c>
      <c r="BG348" s="318">
        <f>BG73</f>
        <v>0</v>
      </c>
      <c r="BH348" s="318">
        <f>BH73</f>
        <v>0</v>
      </c>
      <c r="BI348" s="318">
        <f>BI73</f>
        <v>0</v>
      </c>
      <c r="BJ348" s="318">
        <f>BJ73</f>
        <v>0</v>
      </c>
      <c r="BK348" s="318">
        <f>BK73</f>
        <v>0</v>
      </c>
      <c r="BL348" s="318">
        <f>BL73</f>
        <v>0</v>
      </c>
      <c r="BM348" s="318">
        <f>BM73</f>
        <v>0</v>
      </c>
      <c r="BN348" s="318">
        <f>BN73</f>
        <v>0</v>
      </c>
      <c r="BO348" s="318">
        <f>BO73</f>
        <v>0</v>
      </c>
      <c r="BP348" s="318">
        <f>BP73</f>
        <v>0</v>
      </c>
      <c r="BQ348" s="318">
        <f>BQ73</f>
        <v>0</v>
      </c>
      <c r="BR348" s="318">
        <f>BR73</f>
        <v>0</v>
      </c>
      <c r="BS348" s="318">
        <f>BS73</f>
        <v>0</v>
      </c>
      <c r="BT348" s="318">
        <f>BT73</f>
        <v>0</v>
      </c>
      <c r="BU348" s="318">
        <f>BU73</f>
        <v>0</v>
      </c>
      <c r="BV348" s="318">
        <f>BV73</f>
        <v>0</v>
      </c>
      <c r="BW348" s="318">
        <f>BW73</f>
        <v>0</v>
      </c>
      <c r="BX348" s="318">
        <f>BX73</f>
        <v>0</v>
      </c>
      <c r="BY348" s="318">
        <f>BY73</f>
        <v>0</v>
      </c>
      <c r="BZ348" s="318">
        <f>BZ73</f>
        <v>0</v>
      </c>
      <c r="CA348" s="318">
        <f>CA73</f>
        <v>0</v>
      </c>
      <c r="CB348" s="318">
        <f>CB73</f>
        <v>0</v>
      </c>
      <c r="CC348" s="318">
        <f>CC73</f>
        <v>0</v>
      </c>
      <c r="CD348" s="318">
        <f>CD73</f>
        <v>0</v>
      </c>
      <c r="CE348" s="318">
        <f>CE73</f>
        <v>0</v>
      </c>
      <c r="CF348" s="318">
        <f>CF73</f>
        <v>0</v>
      </c>
      <c r="CG348" s="318">
        <f>CG73</f>
        <v>0</v>
      </c>
      <c r="CH348" s="318">
        <f>CH73</f>
        <v>0</v>
      </c>
      <c r="CI348" s="318">
        <f>CI73</f>
        <v>0</v>
      </c>
      <c r="CJ348" s="318">
        <f>CJ73</f>
        <v>0</v>
      </c>
      <c r="CK348" s="318">
        <f>CK73</f>
        <v>0</v>
      </c>
      <c r="CL348" s="318">
        <f>CL73</f>
        <v>0</v>
      </c>
      <c r="CM348" s="318">
        <f>CM73</f>
        <v>0</v>
      </c>
      <c r="CN348" s="318">
        <f>CN73</f>
        <v>0</v>
      </c>
      <c r="CO348" s="318">
        <f>CO73</f>
        <v>0</v>
      </c>
      <c r="CP348" s="318">
        <f>CP73</f>
        <v>0</v>
      </c>
      <c r="CQ348" s="318">
        <f>CQ73</f>
        <v>0</v>
      </c>
      <c r="CR348" s="318">
        <f>CR73</f>
        <v>0</v>
      </c>
      <c r="CS348" s="318">
        <f>CS73</f>
        <v>0</v>
      </c>
      <c r="CT348" s="318">
        <f>CT73</f>
        <v>0</v>
      </c>
      <c r="CU348" s="318">
        <f>CU73</f>
        <v>0</v>
      </c>
      <c r="CV348" s="318">
        <f>CV73</f>
        <v>0</v>
      </c>
      <c r="CW348" s="318">
        <f>CW73</f>
        <v>0</v>
      </c>
      <c r="CX348" s="318">
        <f>CX73</f>
        <v>0</v>
      </c>
      <c r="CY348" s="318">
        <f>CY73</f>
        <v>0</v>
      </c>
    </row>
    <row r="349" ht="12.75" customFormat="1" customHeight="1" s="333">
      <c r="A349" s="334" t="n"/>
      <c r="B349" s="334" t="n"/>
      <c r="C349" s="333" t="inlineStr">
        <is>
          <t>ETR</t>
        </is>
      </c>
      <c r="D349" s="344">
        <f>D132</f>
        <v>0.221774193548387</v>
      </c>
      <c r="E349" s="344">
        <f>E132</f>
        <v>0.243478260869565</v>
      </c>
      <c r="F349" s="344">
        <f>F132</f>
        <v>0.124590163934426</v>
      </c>
      <c r="G349" s="344">
        <f>G132</f>
        <v>0.145645645645646</v>
      </c>
      <c r="H349" s="344">
        <f>H132</f>
        <v>0.175513092710545</v>
      </c>
      <c r="I349" s="345">
        <f>I132</f>
        <v>0.173128944995491</v>
      </c>
      <c r="J349" s="345">
        <f>J132</f>
        <v>0.119331742243437</v>
      </c>
      <c r="K349" s="345">
        <f>K132</f>
        <v>0.124156545209177</v>
      </c>
      <c r="L349" s="345">
        <f>L132</f>
        <v>0.216216216216216</v>
      </c>
      <c r="M349" s="345">
        <f>M132</f>
        <v>0.155165692007797</v>
      </c>
      <c r="N349" s="345">
        <f>N132</f>
        <v>0.134328358208955</v>
      </c>
      <c r="O349" s="345">
        <f>O132</f>
        <v>0.137931034482759</v>
      </c>
      <c r="P349" s="345">
        <f>P132</f>
        <v>0.227822580645161</v>
      </c>
      <c r="Q349" s="345">
        <f>Q132</f>
        <v>0.259405940594059</v>
      </c>
      <c r="R349" s="345">
        <f>R132</f>
        <v>0.187802516940949</v>
      </c>
      <c r="S349" s="345">
        <f>S132</f>
        <v>0.217339667458432</v>
      </c>
      <c r="T349" s="345">
        <f>T132</f>
        <v>0.239419588875453</v>
      </c>
      <c r="U349" s="345">
        <f>U132</f>
        <v>0.226640159045726</v>
      </c>
      <c r="V349" s="345">
        <f>V132</f>
        <v>0.249146757679181</v>
      </c>
      <c r="W349" s="345">
        <f>W132</f>
        <v>0.234021632251721</v>
      </c>
      <c r="X349" s="345">
        <f>X132</f>
        <v>0.317073170731707</v>
      </c>
      <c r="Y349" s="345">
        <f>Y132</f>
        <v>0.29126213592233</v>
      </c>
      <c r="Z349" s="345">
        <f>Z132</f>
        <v>0.27639751552795</v>
      </c>
      <c r="AA349" s="345">
        <f>AA132</f>
        <v>0.136986301369863</v>
      </c>
      <c r="AB349" s="345">
        <f>AB132</f>
        <v>0.220472440944882</v>
      </c>
      <c r="AC349" s="345">
        <f>AC132</f>
        <v>0.28169014084507</v>
      </c>
      <c r="AD349" s="345">
        <f>AD132</f>
        <v>0.251012145748988</v>
      </c>
      <c r="AE349" s="345">
        <f>AE132</f>
        <v>0.318518518518519</v>
      </c>
      <c r="AF349" s="345">
        <f>AF132</f>
        <v>-0.0232558139534884</v>
      </c>
      <c r="AG349" s="345">
        <f>AG132</f>
        <v>0.253968253968254</v>
      </c>
      <c r="AH349" s="345">
        <f>AH132</f>
        <v>-0.229508196721311</v>
      </c>
      <c r="AI349" s="345">
        <f>AI132</f>
        <v>0.250265111346766</v>
      </c>
      <c r="AJ349" s="345">
        <f>AJ132</f>
        <v>0</v>
      </c>
      <c r="AK349" s="345">
        <f>AK132</f>
        <v>0</v>
      </c>
      <c r="AL349" s="345">
        <f>AL132</f>
        <v>0.20631970260223</v>
      </c>
      <c r="AM349" s="345">
        <f>AM132</f>
        <v>0</v>
      </c>
      <c r="AN349" s="345">
        <f>AN132</f>
        <v>0</v>
      </c>
      <c r="AO349" s="345">
        <f>AO132</f>
        <v>0</v>
      </c>
      <c r="AP349" s="345">
        <f>AP132</f>
        <v>0</v>
      </c>
      <c r="AQ349" s="345">
        <f>AQ132</f>
        <v>0</v>
      </c>
      <c r="AR349" s="345">
        <f>AR132</f>
        <v>0</v>
      </c>
      <c r="AS349" s="345">
        <f>AS132</f>
        <v>0</v>
      </c>
      <c r="AT349" s="345">
        <f>AT132</f>
        <v>0</v>
      </c>
      <c r="AU349" s="345">
        <f>AU132</f>
        <v>0</v>
      </c>
      <c r="AV349" s="345">
        <f>AV132</f>
        <v>0</v>
      </c>
      <c r="AW349" s="345">
        <f>AW132</f>
        <v>0</v>
      </c>
      <c r="AX349" s="345">
        <f>AX132</f>
        <v>0</v>
      </c>
      <c r="AY349" s="345">
        <f>AY132</f>
        <v>0</v>
      </c>
      <c r="AZ349" s="345">
        <f>AZ132</f>
        <v>0</v>
      </c>
      <c r="BA349" s="345">
        <f>BA132</f>
        <v>0</v>
      </c>
      <c r="BB349" s="345">
        <f>BB132</f>
        <v>0</v>
      </c>
      <c r="BC349" s="345">
        <f>BC132</f>
        <v>0</v>
      </c>
      <c r="BD349" s="345">
        <f>BD132</f>
        <v>0</v>
      </c>
      <c r="BE349" s="345">
        <f>BE132</f>
        <v>0</v>
      </c>
      <c r="BF349" s="345">
        <f>BF132</f>
        <v>0</v>
      </c>
      <c r="BG349" s="345">
        <f>BG132</f>
        <v>0</v>
      </c>
      <c r="BH349" s="345">
        <f>BH132</f>
        <v>0</v>
      </c>
      <c r="BI349" s="345">
        <f>BI132</f>
        <v>0</v>
      </c>
      <c r="BJ349" s="345">
        <f>BJ132</f>
        <v>0</v>
      </c>
      <c r="BK349" s="345">
        <f>BK132</f>
        <v>0</v>
      </c>
      <c r="BL349" s="345">
        <f>BL132</f>
        <v>0</v>
      </c>
      <c r="BM349" s="345">
        <f>BM132</f>
        <v>0</v>
      </c>
      <c r="BN349" s="345">
        <f>BN132</f>
        <v>0</v>
      </c>
      <c r="BO349" s="345">
        <f>BO132</f>
        <v>0</v>
      </c>
      <c r="BP349" s="345">
        <f>BP132</f>
        <v>0</v>
      </c>
      <c r="BQ349" s="345">
        <f>BQ132</f>
        <v>0</v>
      </c>
      <c r="BR349" s="345">
        <f>BR132</f>
        <v>0</v>
      </c>
      <c r="BS349" s="345">
        <f>BS132</f>
        <v>0</v>
      </c>
      <c r="BT349" s="345">
        <f>BT132</f>
        <v>0</v>
      </c>
      <c r="BU349" s="345">
        <f>BU132</f>
        <v>0</v>
      </c>
      <c r="BV349" s="345">
        <f>BV132</f>
        <v>0</v>
      </c>
      <c r="BW349" s="345">
        <f>BW132</f>
        <v>0</v>
      </c>
      <c r="BX349" s="345">
        <f>BX132</f>
        <v>0</v>
      </c>
      <c r="BY349" s="345">
        <f>BY132</f>
        <v>0</v>
      </c>
      <c r="BZ349" s="345">
        <f>BZ132</f>
        <v>0</v>
      </c>
      <c r="CA349" s="345">
        <f>CA132</f>
        <v>0</v>
      </c>
      <c r="CB349" s="345">
        <f>CB132</f>
        <v>0</v>
      </c>
      <c r="CC349" s="345">
        <f>CC132</f>
        <v>0</v>
      </c>
      <c r="CD349" s="345">
        <f>CD132</f>
        <v>0</v>
      </c>
      <c r="CE349" s="345">
        <f>CE132</f>
        <v>0</v>
      </c>
      <c r="CF349" s="345">
        <f>CF132</f>
        <v>0</v>
      </c>
      <c r="CG349" s="345">
        <f>CG132</f>
        <v>0</v>
      </c>
      <c r="CH349" s="345">
        <f>CH132</f>
        <v>0</v>
      </c>
      <c r="CI349" s="345">
        <f>CI132</f>
        <v>0</v>
      </c>
      <c r="CJ349" s="345">
        <f>CJ132</f>
        <v>0</v>
      </c>
      <c r="CK349" s="345">
        <f>CK132</f>
        <v>0</v>
      </c>
      <c r="CL349" s="345">
        <f>CL132</f>
        <v>0</v>
      </c>
      <c r="CM349" s="345">
        <f>CM132</f>
        <v>0</v>
      </c>
      <c r="CN349" s="345">
        <f>CN132</f>
        <v>0</v>
      </c>
      <c r="CO349" s="345">
        <f>CO132</f>
        <v>0</v>
      </c>
      <c r="CP349" s="345">
        <f>CP132</f>
        <v>0</v>
      </c>
      <c r="CQ349" s="345">
        <f>CQ132</f>
        <v>0</v>
      </c>
      <c r="CR349" s="345">
        <f>CR132</f>
        <v>0</v>
      </c>
      <c r="CS349" s="345">
        <f>CS132</f>
        <v>0</v>
      </c>
      <c r="CT349" s="345">
        <f>CT132</f>
        <v>0</v>
      </c>
      <c r="CU349" s="345">
        <f>CU132</f>
        <v>0</v>
      </c>
      <c r="CV349" s="345">
        <f>CV132</f>
        <v>0</v>
      </c>
      <c r="CW349" s="345">
        <f>CW132</f>
        <v>0</v>
      </c>
      <c r="CX349" s="345">
        <f>CX132</f>
        <v>0</v>
      </c>
      <c r="CY349" s="345">
        <f>CY132</f>
        <v>0</v>
      </c>
    </row>
    <row r="350" ht="12.75" customFormat="1" customHeight="1" s="333">
      <c r="A350" s="334" t="n"/>
      <c r="B350" s="334" t="n"/>
      <c r="C350" s="333" t="inlineStr">
        <is>
          <t>INVESTED CAPITAL</t>
        </is>
      </c>
      <c r="D350" s="343">
        <f>D353-D354+D355</f>
        <v>11176</v>
      </c>
      <c r="E350" s="343">
        <f>E353-E354+E355</f>
        <v>12398</v>
      </c>
      <c r="F350" s="343">
        <f>F353-F354+F355</f>
        <v>13253</v>
      </c>
      <c r="G350" s="343">
        <f>G353-G354+G355</f>
        <v>14732</v>
      </c>
      <c r="H350" s="343">
        <f>H353-H354+H355</f>
        <v>14732</v>
      </c>
      <c r="I350" s="318">
        <f>I353-I354+I355</f>
        <v>15265</v>
      </c>
      <c r="J350" s="318">
        <f>J353-J354+J355</f>
        <v>15760</v>
      </c>
      <c r="K350" s="318">
        <f>K353-K354+K355</f>
        <v>14653</v>
      </c>
      <c r="L350" s="318">
        <f>L353-L354+L355</f>
        <v>14462</v>
      </c>
      <c r="M350" s="318">
        <f>M353-M354+M355</f>
        <v>14462</v>
      </c>
      <c r="N350" s="318">
        <f>N353-N354+N355</f>
        <v>16495</v>
      </c>
      <c r="O350" s="318">
        <f>O353-O354+O355</f>
        <v>16537</v>
      </c>
      <c r="P350" s="318">
        <f>P353-P354+P355</f>
        <v>14887</v>
      </c>
      <c r="Q350" s="318">
        <f>Q353-Q354+Q355</f>
        <v>14844</v>
      </c>
      <c r="R350" s="318">
        <f>R353-R354+R355</f>
        <v>14844</v>
      </c>
      <c r="S350" s="318">
        <f>S353-S354+S355</f>
        <v>14664</v>
      </c>
      <c r="T350" s="318">
        <f>T353-T354+T355</f>
        <v>16261</v>
      </c>
      <c r="U350" s="318">
        <f>U353-U354+U355</f>
        <v>15347</v>
      </c>
      <c r="V350" s="318">
        <f>V353-V354+V355</f>
        <v>15368</v>
      </c>
      <c r="W350" s="318">
        <f>W353-W354+W355</f>
        <v>15368</v>
      </c>
      <c r="X350" s="318">
        <f>X353-X354+X355</f>
        <v>14941</v>
      </c>
      <c r="Y350" s="318">
        <f>Y353-Y354+Y355</f>
        <v>16109</v>
      </c>
      <c r="Z350" s="318">
        <f>Z353-Z354+Z355</f>
        <v>15775</v>
      </c>
      <c r="AA350" s="318">
        <f>AA353-AA354+AA355</f>
        <v>15135</v>
      </c>
      <c r="AB350" s="318">
        <f>AB353-AB354+AB355</f>
        <v>15135</v>
      </c>
      <c r="AC350" s="318">
        <f>AC353-AC354+AC355</f>
        <v>16381</v>
      </c>
      <c r="AD350" s="318">
        <f>AD353-AD354+AD355</f>
        <v>17725</v>
      </c>
      <c r="AE350" s="318">
        <f>AE353-AE354+AE355</f>
        <v>34131</v>
      </c>
      <c r="AF350" s="318">
        <f>AF353-AF354+AF355</f>
        <v>32920</v>
      </c>
      <c r="AG350" s="318">
        <f>AG353-AG354+AG355</f>
        <v>32920</v>
      </c>
      <c r="AH350" s="318">
        <f>AH353-AH354+AH355</f>
        <v>33754</v>
      </c>
      <c r="AI350" s="318">
        <f>AI353-AI354+AI355</f>
        <v>34558</v>
      </c>
      <c r="AJ350" s="318">
        <f>AJ353-AJ354+AJ355</f>
        <v>20248</v>
      </c>
      <c r="AK350" s="318">
        <f>AK353-AK354+AK355</f>
        <v>20248</v>
      </c>
      <c r="AL350" s="318">
        <f>AL353-AL354+AL355</f>
        <v>20248</v>
      </c>
      <c r="AM350" s="318" t="e">
        <f>AM353-AM354+AM355</f>
        <v>#DIV/0!</v>
      </c>
      <c r="AN350" s="318">
        <f>AN353-AN354+AN355</f>
        <v>20248</v>
      </c>
      <c r="AO350" s="318" t="e">
        <f>AO353-AO354+AO355</f>
        <v>#DIV/0!</v>
      </c>
      <c r="AP350" s="318" t="e">
        <f>AP353-AP354+AP355</f>
        <v>#DIV/0!</v>
      </c>
      <c r="AQ350" s="318" t="e">
        <f>AQ353-AQ354+AQ355</f>
        <v>#DIV/0!</v>
      </c>
      <c r="AR350" s="318" t="e">
        <f>AR353-AR354+AR355</f>
        <v>#DIV/0!</v>
      </c>
      <c r="AS350" s="318" t="e">
        <f>AS353-AS354+AS355</f>
        <v>#DIV/0!</v>
      </c>
      <c r="AT350" s="318" t="e">
        <f>AT353-AT354+AT355</f>
        <v>#DIV/0!</v>
      </c>
      <c r="AU350" s="318" t="e">
        <f>AU353-AU354+AU355</f>
        <v>#DIV/0!</v>
      </c>
      <c r="AV350" s="318" t="e">
        <f>AV353-AV354+AV355</f>
        <v>#DIV/0!</v>
      </c>
      <c r="AW350" s="318" t="e">
        <f>AW353-AW354+AW355</f>
        <v>#DIV/0!</v>
      </c>
      <c r="AX350" s="318" t="e">
        <f>AX353-AX354+AX355</f>
        <v>#DIV/0!</v>
      </c>
      <c r="AY350" s="318" t="e">
        <f>AY353-AY354+AY355</f>
        <v>#DIV/0!</v>
      </c>
      <c r="AZ350" s="318" t="e">
        <f>AZ353-AZ354+AZ355</f>
        <v>#DIV/0!</v>
      </c>
      <c r="BA350" s="318" t="e">
        <f>BA353-BA354+BA355</f>
        <v>#DIV/0!</v>
      </c>
      <c r="BB350" s="318" t="e">
        <f>BB353-BB354+BB355</f>
        <v>#DIV/0!</v>
      </c>
      <c r="BC350" s="318" t="e">
        <f>BC353-BC354+BC355</f>
        <v>#DIV/0!</v>
      </c>
      <c r="BD350" s="318" t="e">
        <f>BD353-BD354+BD355</f>
        <v>#DIV/0!</v>
      </c>
      <c r="BE350" s="318" t="e">
        <f>BE353-BE354+BE355</f>
        <v>#DIV/0!</v>
      </c>
      <c r="BF350" s="318" t="e">
        <f>BF353-BF354+BF355</f>
        <v>#DIV/0!</v>
      </c>
      <c r="BG350" s="318" t="e">
        <f>BG353-BG354+BG355</f>
        <v>#DIV/0!</v>
      </c>
      <c r="BH350" s="318" t="e">
        <f>BH353-BH354+BH355</f>
        <v>#DIV/0!</v>
      </c>
      <c r="BI350" s="318" t="e">
        <f>BI353-BI354+BI355</f>
        <v>#DIV/0!</v>
      </c>
      <c r="BJ350" s="318" t="e">
        <f>BJ353-BJ354+BJ355</f>
        <v>#DIV/0!</v>
      </c>
      <c r="BK350" s="318" t="e">
        <f>BK353-BK354+BK355</f>
        <v>#DIV/0!</v>
      </c>
      <c r="BL350" s="318" t="e">
        <f>BL353-BL354+BL355</f>
        <v>#DIV/0!</v>
      </c>
      <c r="BM350" s="318" t="e">
        <f>BM353-BM354+BM355</f>
        <v>#DIV/0!</v>
      </c>
      <c r="BN350" s="318" t="e">
        <f>BN353-BN354+BN355</f>
        <v>#DIV/0!</v>
      </c>
      <c r="BO350" s="318" t="e">
        <f>BO353-BO354+BO355</f>
        <v>#DIV/0!</v>
      </c>
      <c r="BP350" s="318" t="e">
        <f>BP353-BP354+BP355</f>
        <v>#DIV/0!</v>
      </c>
      <c r="BQ350" s="318" t="e">
        <f>BQ353-BQ354+BQ355</f>
        <v>#DIV/0!</v>
      </c>
      <c r="BR350" s="318" t="e">
        <f>BR353-BR354+BR355</f>
        <v>#DIV/0!</v>
      </c>
      <c r="BS350" s="318" t="e">
        <f>BS353-BS354+BS355</f>
        <v>#DIV/0!</v>
      </c>
      <c r="BT350" s="318" t="e">
        <f>BT353-BT354+BT355</f>
        <v>#DIV/0!</v>
      </c>
      <c r="BU350" s="318" t="e">
        <f>BU353-BU354+BU355</f>
        <v>#DIV/0!</v>
      </c>
      <c r="BV350" s="318" t="e">
        <f>BV353-BV354+BV355</f>
        <v>#DIV/0!</v>
      </c>
      <c r="BW350" s="318" t="e">
        <f>BW353-BW354+BW355</f>
        <v>#DIV/0!</v>
      </c>
      <c r="BX350" s="318" t="e">
        <f>BX353-BX354+BX355</f>
        <v>#DIV/0!</v>
      </c>
      <c r="BY350" s="318" t="e">
        <f>BY353-BY354+BY355</f>
        <v>#DIV/0!</v>
      </c>
      <c r="BZ350" s="318" t="e">
        <f>BZ353-BZ354+BZ355</f>
        <v>#DIV/0!</v>
      </c>
      <c r="CA350" s="318" t="e">
        <f>CA353-CA354+CA355</f>
        <v>#DIV/0!</v>
      </c>
      <c r="CB350" s="318" t="e">
        <f>CB353-CB354+CB355</f>
        <v>#DIV/0!</v>
      </c>
      <c r="CC350" s="318" t="e">
        <f>CC353-CC354+CC355</f>
        <v>#DIV/0!</v>
      </c>
      <c r="CD350" s="318" t="e">
        <f>CD353-CD354+CD355</f>
        <v>#DIV/0!</v>
      </c>
      <c r="CE350" s="318" t="e">
        <f>CE353-CE354+CE355</f>
        <v>#DIV/0!</v>
      </c>
      <c r="CF350" s="318" t="e">
        <f>CF353-CF354+CF355</f>
        <v>#DIV/0!</v>
      </c>
      <c r="CG350" s="318" t="e">
        <f>CG353-CG354+CG355</f>
        <v>#DIV/0!</v>
      </c>
      <c r="CH350" s="318" t="e">
        <f>CH353-CH354+CH355</f>
        <v>#DIV/0!</v>
      </c>
      <c r="CI350" s="318" t="e">
        <f>CI353-CI354+CI355</f>
        <v>#DIV/0!</v>
      </c>
      <c r="CJ350" s="318" t="e">
        <f>CJ353-CJ354+CJ355</f>
        <v>#DIV/0!</v>
      </c>
      <c r="CK350" s="318" t="e">
        <f>CK353-CK354+CK355</f>
        <v>#DIV/0!</v>
      </c>
      <c r="CL350" s="318" t="e">
        <f>CL353-CL354+CL355</f>
        <v>#DIV/0!</v>
      </c>
      <c r="CM350" s="318" t="e">
        <f>CM353-CM354+CM355</f>
        <v>#DIV/0!</v>
      </c>
      <c r="CN350" s="318" t="e">
        <f>CN353-CN354+CN355</f>
        <v>#DIV/0!</v>
      </c>
      <c r="CO350" s="318" t="e">
        <f>CO353-CO354+CO355</f>
        <v>#DIV/0!</v>
      </c>
      <c r="CP350" s="318" t="e">
        <f>CP353-CP354+CP355</f>
        <v>#DIV/0!</v>
      </c>
      <c r="CQ350" s="318" t="e">
        <f>CQ353-CQ354+CQ355</f>
        <v>#DIV/0!</v>
      </c>
      <c r="CR350" s="318" t="e">
        <f>CR353-CR354+CR355</f>
        <v>#DIV/0!</v>
      </c>
      <c r="CS350" s="318" t="e">
        <f>CS353-CS354+CS355</f>
        <v>#DIV/0!</v>
      </c>
      <c r="CT350" s="318" t="e">
        <f>CT353-CT354+CT355</f>
        <v>#DIV/0!</v>
      </c>
      <c r="CU350" s="318" t="e">
        <f>CU353-CU354+CU355</f>
        <v>#DIV/0!</v>
      </c>
      <c r="CV350" s="318" t="e">
        <f>CV353-CV354+CV355</f>
        <v>#DIV/0!</v>
      </c>
      <c r="CW350" s="318" t="e">
        <f>CW353-CW354+CW355</f>
        <v>#DIV/0!</v>
      </c>
      <c r="CX350" s="318" t="e">
        <f>CX353-CX354+CX355</f>
        <v>#DIV/0!</v>
      </c>
      <c r="CY350" s="318" t="e">
        <f>CY353-CY354+CY355</f>
        <v>#DIV/0!</v>
      </c>
    </row>
    <row r="351" ht="12.75" customFormat="1" customHeight="1" s="333">
      <c r="A351" s="334" t="n"/>
      <c r="B351" s="334" t="n"/>
      <c r="C351" s="333" t="inlineStr">
        <is>
          <t>INVESTED CAPITAL - EX GOODWILL</t>
        </is>
      </c>
      <c r="D351" s="346">
        <f>D350-D179</f>
        <v>10623</v>
      </c>
      <c r="E351" s="346">
        <f>E350-E179</f>
        <v>11848</v>
      </c>
      <c r="F351" s="346">
        <f>F350-F179</f>
        <v>12694</v>
      </c>
      <c r="G351" s="346">
        <f>G350-G179</f>
        <v>14146</v>
      </c>
      <c r="H351" s="346">
        <f>H350-H179</f>
        <v>14146</v>
      </c>
      <c r="I351" s="347">
        <f>I350-I179</f>
        <v>14709</v>
      </c>
      <c r="J351" s="347">
        <f>J350-J179</f>
        <v>15181</v>
      </c>
      <c r="K351" s="347">
        <f>K350-K179</f>
        <v>14091</v>
      </c>
      <c r="L351" s="347">
        <f>L350-L179</f>
        <v>13978</v>
      </c>
      <c r="M351" s="347">
        <f>M350-M179</f>
        <v>13978</v>
      </c>
      <c r="N351" s="347">
        <f>N350-N179</f>
        <v>15998</v>
      </c>
      <c r="O351" s="347">
        <f>O350-O179</f>
        <v>16069</v>
      </c>
      <c r="P351" s="347">
        <f>P350-P179</f>
        <v>14442</v>
      </c>
      <c r="Q351" s="347">
        <f>Q350-Q179</f>
        <v>14374</v>
      </c>
      <c r="R351" s="347">
        <f>R350-R179</f>
        <v>14374</v>
      </c>
      <c r="S351" s="347">
        <f>S350-S179</f>
        <v>14186</v>
      </c>
      <c r="T351" s="347">
        <f>T350-T179</f>
        <v>15777</v>
      </c>
      <c r="U351" s="347">
        <f>U350-U179</f>
        <v>14875</v>
      </c>
      <c r="V351" s="347">
        <f>V350-V179</f>
        <v>14879</v>
      </c>
      <c r="W351" s="347">
        <f>W350-W179</f>
        <v>14879</v>
      </c>
      <c r="X351" s="347">
        <f>X350-X179</f>
        <v>14461</v>
      </c>
      <c r="Y351" s="347">
        <f>Y350-Y179</f>
        <v>15643</v>
      </c>
      <c r="Z351" s="347">
        <f>Z350-Z179</f>
        <v>15293</v>
      </c>
      <c r="AA351" s="347">
        <f>AA350-AA179</f>
        <v>14682</v>
      </c>
      <c r="AB351" s="347">
        <f>AB350-AB179</f>
        <v>14682</v>
      </c>
      <c r="AC351" s="347">
        <f>AC350-AC179</f>
        <v>15918</v>
      </c>
      <c r="AD351" s="347">
        <f>AD350-AD179</f>
        <v>17265</v>
      </c>
      <c r="AE351" s="347">
        <f>AE350-AE179</f>
        <v>31362</v>
      </c>
      <c r="AF351" s="347">
        <f>AF350-AF179</f>
        <v>29779</v>
      </c>
      <c r="AG351" s="347">
        <f>AG350-AG179</f>
        <v>29779</v>
      </c>
      <c r="AH351" s="347">
        <f>AH350-AH179</f>
        <v>30463</v>
      </c>
      <c r="AI351" s="347">
        <f>AI350-AI179</f>
        <v>31204</v>
      </c>
      <c r="AJ351" s="347">
        <f>AJ350-AJ179</f>
        <v>16894</v>
      </c>
      <c r="AK351" s="347">
        <f>AK350-AK179</f>
        <v>16894</v>
      </c>
      <c r="AL351" s="347">
        <f>AL350-AL179</f>
        <v>16894</v>
      </c>
      <c r="AM351" s="347" t="e">
        <f>AM350-AM179</f>
        <v>#DIV/0!</v>
      </c>
      <c r="AN351" s="347">
        <f>AN350-AN179</f>
        <v>16894</v>
      </c>
      <c r="AO351" s="347" t="e">
        <f>AO350-AO179</f>
        <v>#DIV/0!</v>
      </c>
      <c r="AP351" s="347" t="e">
        <f>AP350-AP179</f>
        <v>#DIV/0!</v>
      </c>
      <c r="AQ351" s="347" t="e">
        <f>AQ350-AQ179</f>
        <v>#DIV/0!</v>
      </c>
      <c r="AR351" s="347" t="e">
        <f>AR350-AR179</f>
        <v>#DIV/0!</v>
      </c>
      <c r="AS351" s="347" t="e">
        <f>AS350-AS179</f>
        <v>#DIV/0!</v>
      </c>
      <c r="AT351" s="347" t="e">
        <f>AT350-AT179</f>
        <v>#DIV/0!</v>
      </c>
      <c r="AU351" s="347" t="e">
        <f>AU350-AU179</f>
        <v>#DIV/0!</v>
      </c>
      <c r="AV351" s="347" t="e">
        <f>AV350-AV179</f>
        <v>#DIV/0!</v>
      </c>
      <c r="AW351" s="347" t="e">
        <f>AW350-AW179</f>
        <v>#DIV/0!</v>
      </c>
      <c r="AX351" s="347" t="e">
        <f>AX350-AX179</f>
        <v>#DIV/0!</v>
      </c>
      <c r="AY351" s="347" t="e">
        <f>AY350-AY179</f>
        <v>#DIV/0!</v>
      </c>
      <c r="AZ351" s="347" t="e">
        <f>AZ350-AZ179</f>
        <v>#DIV/0!</v>
      </c>
      <c r="BA351" s="347" t="e">
        <f>BA350-BA179</f>
        <v>#DIV/0!</v>
      </c>
      <c r="BB351" s="347" t="e">
        <f>BB350-BB179</f>
        <v>#DIV/0!</v>
      </c>
      <c r="BC351" s="347" t="e">
        <f>BC350-BC179</f>
        <v>#DIV/0!</v>
      </c>
      <c r="BD351" s="347" t="e">
        <f>BD350-BD179</f>
        <v>#DIV/0!</v>
      </c>
      <c r="BE351" s="347" t="e">
        <f>BE350-BE179</f>
        <v>#DIV/0!</v>
      </c>
      <c r="BF351" s="347" t="e">
        <f>BF350-BF179</f>
        <v>#DIV/0!</v>
      </c>
      <c r="BG351" s="347" t="e">
        <f>BG350-BG179</f>
        <v>#DIV/0!</v>
      </c>
      <c r="BH351" s="347" t="e">
        <f>BH350-BH179</f>
        <v>#DIV/0!</v>
      </c>
      <c r="BI351" s="347" t="e">
        <f>BI350-BI179</f>
        <v>#DIV/0!</v>
      </c>
      <c r="BJ351" s="347" t="e">
        <f>BJ350-BJ179</f>
        <v>#DIV/0!</v>
      </c>
      <c r="BK351" s="347" t="e">
        <f>BK350-BK179</f>
        <v>#DIV/0!</v>
      </c>
      <c r="BL351" s="347" t="e">
        <f>BL350-BL179</f>
        <v>#DIV/0!</v>
      </c>
      <c r="BM351" s="347" t="e">
        <f>BM350-BM179</f>
        <v>#DIV/0!</v>
      </c>
      <c r="BN351" s="347" t="e">
        <f>BN350-BN179</f>
        <v>#DIV/0!</v>
      </c>
      <c r="BO351" s="347" t="e">
        <f>BO350-BO179</f>
        <v>#DIV/0!</v>
      </c>
      <c r="BP351" s="347" t="e">
        <f>BP350-BP179</f>
        <v>#DIV/0!</v>
      </c>
      <c r="BQ351" s="347" t="e">
        <f>BQ350-BQ179</f>
        <v>#DIV/0!</v>
      </c>
      <c r="BR351" s="347" t="e">
        <f>BR350-BR179</f>
        <v>#DIV/0!</v>
      </c>
      <c r="BS351" s="347" t="e">
        <f>BS350-BS179</f>
        <v>#DIV/0!</v>
      </c>
      <c r="BT351" s="347" t="e">
        <f>BT350-BT179</f>
        <v>#DIV/0!</v>
      </c>
      <c r="BU351" s="347" t="e">
        <f>BU350-BU179</f>
        <v>#DIV/0!</v>
      </c>
      <c r="BV351" s="347" t="e">
        <f>BV350-BV179</f>
        <v>#DIV/0!</v>
      </c>
      <c r="BW351" s="347" t="e">
        <f>BW350-BW179</f>
        <v>#DIV/0!</v>
      </c>
      <c r="BX351" s="347" t="e">
        <f>BX350-BX179</f>
        <v>#DIV/0!</v>
      </c>
      <c r="BY351" s="347" t="e">
        <f>BY350-BY179</f>
        <v>#DIV/0!</v>
      </c>
      <c r="BZ351" s="347" t="e">
        <f>BZ350-BZ179</f>
        <v>#DIV/0!</v>
      </c>
      <c r="CA351" s="347" t="e">
        <f>CA350-CA179</f>
        <v>#DIV/0!</v>
      </c>
      <c r="CB351" s="347" t="e">
        <f>CB350-CB179</f>
        <v>#DIV/0!</v>
      </c>
      <c r="CC351" s="347" t="e">
        <f>CC350-CC179</f>
        <v>#DIV/0!</v>
      </c>
      <c r="CD351" s="347" t="e">
        <f>CD350-CD179</f>
        <v>#DIV/0!</v>
      </c>
      <c r="CE351" s="347" t="e">
        <f>CE350-CE179</f>
        <v>#DIV/0!</v>
      </c>
      <c r="CF351" s="347" t="e">
        <f>CF350-CF179</f>
        <v>#DIV/0!</v>
      </c>
      <c r="CG351" s="347" t="e">
        <f>CG350-CG179</f>
        <v>#DIV/0!</v>
      </c>
      <c r="CH351" s="347" t="e">
        <f>CH350-CH179</f>
        <v>#DIV/0!</v>
      </c>
      <c r="CI351" s="347" t="e">
        <f>CI350-CI179</f>
        <v>#DIV/0!</v>
      </c>
      <c r="CJ351" s="347" t="e">
        <f>CJ350-CJ179</f>
        <v>#DIV/0!</v>
      </c>
      <c r="CK351" s="347" t="e">
        <f>CK350-CK179</f>
        <v>#DIV/0!</v>
      </c>
      <c r="CL351" s="347" t="e">
        <f>CL350-CL179</f>
        <v>#DIV/0!</v>
      </c>
      <c r="CM351" s="347" t="e">
        <f>CM350-CM179</f>
        <v>#DIV/0!</v>
      </c>
      <c r="CN351" s="347" t="e">
        <f>CN350-CN179</f>
        <v>#DIV/0!</v>
      </c>
      <c r="CO351" s="347" t="e">
        <f>CO350-CO179</f>
        <v>#DIV/0!</v>
      </c>
      <c r="CP351" s="347" t="e">
        <f>CP350-CP179</f>
        <v>#DIV/0!</v>
      </c>
      <c r="CQ351" s="347" t="e">
        <f>CQ350-CQ179</f>
        <v>#DIV/0!</v>
      </c>
      <c r="CR351" s="347" t="e">
        <f>CR350-CR179</f>
        <v>#DIV/0!</v>
      </c>
      <c r="CS351" s="347" t="e">
        <f>CS350-CS179</f>
        <v>#DIV/0!</v>
      </c>
      <c r="CT351" s="347" t="e">
        <f>CT350-CT179</f>
        <v>#DIV/0!</v>
      </c>
      <c r="CU351" s="347" t="e">
        <f>CU350-CU179</f>
        <v>#DIV/0!</v>
      </c>
      <c r="CV351" s="347" t="e">
        <f>CV350-CV179</f>
        <v>#DIV/0!</v>
      </c>
      <c r="CW351" s="347" t="e">
        <f>CW350-CW179</f>
        <v>#DIV/0!</v>
      </c>
      <c r="CX351" s="347" t="e">
        <f>CX350-CX179</f>
        <v>#DIV/0!</v>
      </c>
      <c r="CY351" s="347" t="e">
        <f>CY350-CY179</f>
        <v>#DIV/0!</v>
      </c>
    </row>
    <row r="352" ht="12.75" customFormat="1" customHeight="1" s="333">
      <c r="A352" s="334" t="n"/>
      <c r="B352" s="334" t="n"/>
      <c r="C352" s="333" t="inlineStr">
        <is>
          <t>OPERATING WORKING CAPITAL</t>
        </is>
      </c>
      <c r="D352" s="348">
        <f>D353-D354</f>
        <v>4763</v>
      </c>
      <c r="E352" s="348">
        <f>E353-E354</f>
        <v>6267</v>
      </c>
      <c r="F352" s="348">
        <f>F353-F354</f>
        <v>6941</v>
      </c>
      <c r="G352" s="348">
        <f>G353-G354</f>
        <v>8254</v>
      </c>
      <c r="H352" s="348">
        <f>H353-H354</f>
        <v>8254</v>
      </c>
      <c r="I352" s="318">
        <f>I353-I354</f>
        <v>8994</v>
      </c>
      <c r="J352" s="318">
        <f>J353-J354</f>
        <v>9367</v>
      </c>
      <c r="K352" s="318">
        <f>K353-K354</f>
        <v>8287</v>
      </c>
      <c r="L352" s="318">
        <f>L353-L354</f>
        <v>8311</v>
      </c>
      <c r="M352" s="318">
        <f>M353-M354</f>
        <v>8311</v>
      </c>
      <c r="N352" s="318">
        <f>N353-N354</f>
        <v>10150</v>
      </c>
      <c r="O352" s="318">
        <f>O353-O354</f>
        <v>10288</v>
      </c>
      <c r="P352" s="318">
        <f>P353-P354</f>
        <v>8846</v>
      </c>
      <c r="Q352" s="318">
        <f>Q353-Q354</f>
        <v>8583</v>
      </c>
      <c r="R352" s="318">
        <f>R353-R354</f>
        <v>8583</v>
      </c>
      <c r="S352" s="318">
        <f>S353-S354</f>
        <v>8120</v>
      </c>
      <c r="T352" s="318">
        <f>T353-T354</f>
        <v>9317</v>
      </c>
      <c r="U352" s="318">
        <f>U353-U354</f>
        <v>8370</v>
      </c>
      <c r="V352" s="318">
        <f>V353-V354</f>
        <v>7943</v>
      </c>
      <c r="W352" s="318">
        <f>W353-W354</f>
        <v>7943</v>
      </c>
      <c r="X352" s="318">
        <f>X353-X354</f>
        <v>7445</v>
      </c>
      <c r="Y352" s="318">
        <f>Y353-Y354</f>
        <v>8636</v>
      </c>
      <c r="Z352" s="318">
        <f>Z353-Z354</f>
        <v>7823</v>
      </c>
      <c r="AA352" s="318">
        <f>AA353-AA354</f>
        <v>7687</v>
      </c>
      <c r="AB352" s="318">
        <f>AB353-AB354</f>
        <v>7687</v>
      </c>
      <c r="AC352" s="318">
        <f>AC353-AC354</f>
        <v>8529</v>
      </c>
      <c r="AD352" s="318">
        <f>AD353-AD354</f>
        <v>9424</v>
      </c>
      <c r="AE352" s="318">
        <f>AE353-AE354</f>
        <v>16367</v>
      </c>
      <c r="AF352" s="318">
        <f>AF353-AF354</f>
        <v>14738</v>
      </c>
      <c r="AG352" s="318">
        <f>AG353-AG354</f>
        <v>14738</v>
      </c>
      <c r="AH352" s="318">
        <f>AH353-AH354</f>
        <v>15356</v>
      </c>
      <c r="AI352" s="318">
        <f>AI353-AI354</f>
        <v>16080</v>
      </c>
      <c r="AJ352" s="318">
        <f>AJ353-AJ354</f>
        <v>2058</v>
      </c>
      <c r="AK352" s="318">
        <f>AK353-AK354</f>
        <v>2058</v>
      </c>
      <c r="AL352" s="318">
        <f>AL353-AL354</f>
        <v>2058</v>
      </c>
      <c r="AM352" s="318" t="e">
        <f>AM353-AM354</f>
        <v>#DIV/0!</v>
      </c>
      <c r="AN352" s="318">
        <f>AN353-AN354</f>
        <v>2058</v>
      </c>
      <c r="AO352" s="318" t="e">
        <f>AO353-AO354</f>
        <v>#DIV/0!</v>
      </c>
      <c r="AP352" s="318" t="e">
        <f>AP353-AP354</f>
        <v>#DIV/0!</v>
      </c>
      <c r="AQ352" s="318" t="e">
        <f>AQ353-AQ354</f>
        <v>#DIV/0!</v>
      </c>
      <c r="AR352" s="318" t="e">
        <f>AR353-AR354</f>
        <v>#DIV/0!</v>
      </c>
      <c r="AS352" s="318" t="e">
        <f>AS353-AS354</f>
        <v>#DIV/0!</v>
      </c>
      <c r="AT352" s="318" t="e">
        <f>AT353-AT354</f>
        <v>#DIV/0!</v>
      </c>
      <c r="AU352" s="318" t="e">
        <f>AU353-AU354</f>
        <v>#DIV/0!</v>
      </c>
      <c r="AV352" s="318" t="e">
        <f>AV353-AV354</f>
        <v>#DIV/0!</v>
      </c>
      <c r="AW352" s="318" t="e">
        <f>AW353-AW354</f>
        <v>#DIV/0!</v>
      </c>
      <c r="AX352" s="318" t="e">
        <f>AX353-AX354</f>
        <v>#DIV/0!</v>
      </c>
      <c r="AY352" s="318" t="e">
        <f>AY353-AY354</f>
        <v>#DIV/0!</v>
      </c>
      <c r="AZ352" s="318" t="e">
        <f>AZ353-AZ354</f>
        <v>#DIV/0!</v>
      </c>
      <c r="BA352" s="318" t="e">
        <f>BA353-BA354</f>
        <v>#DIV/0!</v>
      </c>
      <c r="BB352" s="318" t="e">
        <f>BB353-BB354</f>
        <v>#DIV/0!</v>
      </c>
      <c r="BC352" s="318" t="e">
        <f>BC353-BC354</f>
        <v>#DIV/0!</v>
      </c>
      <c r="BD352" s="318" t="e">
        <f>BD353-BD354</f>
        <v>#DIV/0!</v>
      </c>
      <c r="BE352" s="318" t="e">
        <f>BE353-BE354</f>
        <v>#DIV/0!</v>
      </c>
      <c r="BF352" s="318" t="e">
        <f>BF353-BF354</f>
        <v>#DIV/0!</v>
      </c>
      <c r="BG352" s="318" t="e">
        <f>BG353-BG354</f>
        <v>#DIV/0!</v>
      </c>
      <c r="BH352" s="318" t="e">
        <f>BH353-BH354</f>
        <v>#DIV/0!</v>
      </c>
      <c r="BI352" s="318" t="e">
        <f>BI353-BI354</f>
        <v>#DIV/0!</v>
      </c>
      <c r="BJ352" s="318" t="e">
        <f>BJ353-BJ354</f>
        <v>#DIV/0!</v>
      </c>
      <c r="BK352" s="318" t="e">
        <f>BK353-BK354</f>
        <v>#DIV/0!</v>
      </c>
      <c r="BL352" s="318" t="e">
        <f>BL353-BL354</f>
        <v>#DIV/0!</v>
      </c>
      <c r="BM352" s="318" t="e">
        <f>BM353-BM354</f>
        <v>#DIV/0!</v>
      </c>
      <c r="BN352" s="318" t="e">
        <f>BN353-BN354</f>
        <v>#DIV/0!</v>
      </c>
      <c r="BO352" s="318" t="e">
        <f>BO353-BO354</f>
        <v>#DIV/0!</v>
      </c>
      <c r="BP352" s="318" t="e">
        <f>BP353-BP354</f>
        <v>#DIV/0!</v>
      </c>
      <c r="BQ352" s="318" t="e">
        <f>BQ353-BQ354</f>
        <v>#DIV/0!</v>
      </c>
      <c r="BR352" s="318" t="e">
        <f>BR353-BR354</f>
        <v>#DIV/0!</v>
      </c>
      <c r="BS352" s="318" t="e">
        <f>BS353-BS354</f>
        <v>#DIV/0!</v>
      </c>
      <c r="BT352" s="318" t="e">
        <f>BT353-BT354</f>
        <v>#DIV/0!</v>
      </c>
      <c r="BU352" s="318" t="e">
        <f>BU353-BU354</f>
        <v>#DIV/0!</v>
      </c>
      <c r="BV352" s="318" t="e">
        <f>BV353-BV354</f>
        <v>#DIV/0!</v>
      </c>
      <c r="BW352" s="318" t="e">
        <f>BW353-BW354</f>
        <v>#DIV/0!</v>
      </c>
      <c r="BX352" s="318" t="e">
        <f>BX353-BX354</f>
        <v>#DIV/0!</v>
      </c>
      <c r="BY352" s="318" t="e">
        <f>BY353-BY354</f>
        <v>#DIV/0!</v>
      </c>
      <c r="BZ352" s="318" t="e">
        <f>BZ353-BZ354</f>
        <v>#DIV/0!</v>
      </c>
      <c r="CA352" s="318" t="e">
        <f>CA353-CA354</f>
        <v>#DIV/0!</v>
      </c>
      <c r="CB352" s="318" t="e">
        <f>CB353-CB354</f>
        <v>#DIV/0!</v>
      </c>
      <c r="CC352" s="318" t="e">
        <f>CC353-CC354</f>
        <v>#DIV/0!</v>
      </c>
      <c r="CD352" s="318" t="e">
        <f>CD353-CD354</f>
        <v>#DIV/0!</v>
      </c>
      <c r="CE352" s="318" t="e">
        <f>CE353-CE354</f>
        <v>#DIV/0!</v>
      </c>
      <c r="CF352" s="318" t="e">
        <f>CF353-CF354</f>
        <v>#DIV/0!</v>
      </c>
      <c r="CG352" s="318" t="e">
        <f>CG353-CG354</f>
        <v>#DIV/0!</v>
      </c>
      <c r="CH352" s="318" t="e">
        <f>CH353-CH354</f>
        <v>#DIV/0!</v>
      </c>
      <c r="CI352" s="318" t="e">
        <f>CI353-CI354</f>
        <v>#DIV/0!</v>
      </c>
      <c r="CJ352" s="318" t="e">
        <f>CJ353-CJ354</f>
        <v>#DIV/0!</v>
      </c>
      <c r="CK352" s="318" t="e">
        <f>CK353-CK354</f>
        <v>#DIV/0!</v>
      </c>
      <c r="CL352" s="318" t="e">
        <f>CL353-CL354</f>
        <v>#DIV/0!</v>
      </c>
      <c r="CM352" s="318" t="e">
        <f>CM353-CM354</f>
        <v>#DIV/0!</v>
      </c>
      <c r="CN352" s="318" t="e">
        <f>CN353-CN354</f>
        <v>#DIV/0!</v>
      </c>
      <c r="CO352" s="318" t="e">
        <f>CO353-CO354</f>
        <v>#DIV/0!</v>
      </c>
      <c r="CP352" s="318" t="e">
        <f>CP353-CP354</f>
        <v>#DIV/0!</v>
      </c>
      <c r="CQ352" s="318" t="e">
        <f>CQ353-CQ354</f>
        <v>#DIV/0!</v>
      </c>
      <c r="CR352" s="318" t="e">
        <f>CR353-CR354</f>
        <v>#DIV/0!</v>
      </c>
      <c r="CS352" s="318" t="e">
        <f>CS353-CS354</f>
        <v>#DIV/0!</v>
      </c>
      <c r="CT352" s="318" t="e">
        <f>CT353-CT354</f>
        <v>#DIV/0!</v>
      </c>
      <c r="CU352" s="318" t="e">
        <f>CU353-CU354</f>
        <v>#DIV/0!</v>
      </c>
      <c r="CV352" s="318" t="e">
        <f>CV353-CV354</f>
        <v>#DIV/0!</v>
      </c>
      <c r="CW352" s="318" t="e">
        <f>CW353-CW354</f>
        <v>#DIV/0!</v>
      </c>
      <c r="CX352" s="318" t="e">
        <f>CX353-CX354</f>
        <v>#DIV/0!</v>
      </c>
      <c r="CY352" s="318" t="e">
        <f>CY353-CY354</f>
        <v>#DIV/0!</v>
      </c>
    </row>
    <row r="353" ht="12.75" customFormat="1" customHeight="1" s="333">
      <c r="A353" s="334" t="n"/>
      <c r="B353" s="334" t="n"/>
      <c r="C353" s="333" t="inlineStr">
        <is>
          <t>CURRENT ASSETS</t>
        </is>
      </c>
      <c r="D353" s="346">
        <f>D145+D149+D153+D154+D155</f>
        <v>11323</v>
      </c>
      <c r="E353" s="346">
        <f>E145+E149+E153+E154+E155</f>
        <v>11486</v>
      </c>
      <c r="F353" s="346">
        <f>F145+F149+F153+F154+F155</f>
        <v>13521</v>
      </c>
      <c r="G353" s="346">
        <f>G145+G149+G153+G154+G155</f>
        <v>16168</v>
      </c>
      <c r="H353" s="346">
        <f>H145+H149+H153+H154+H155</f>
        <v>16168</v>
      </c>
      <c r="I353" s="347">
        <f>I145+I149+I153+I154+I155</f>
        <v>17378</v>
      </c>
      <c r="J353" s="347">
        <f>J145+J149+J153+J154+J155</f>
        <v>17564</v>
      </c>
      <c r="K353" s="347">
        <f>K145+K149+K153+K154+K155</f>
        <v>16053</v>
      </c>
      <c r="L353" s="347">
        <f>L145+L149+L153+L154+L155</f>
        <v>16108</v>
      </c>
      <c r="M353" s="347">
        <f>M145+M149+M153+M154+M155</f>
        <v>16108</v>
      </c>
      <c r="N353" s="347">
        <f>N145+N149+N153+N154+N155</f>
        <v>21193</v>
      </c>
      <c r="O353" s="347">
        <f>O145+O149+O153+O154+O155</f>
        <v>19536</v>
      </c>
      <c r="P353" s="347">
        <f>P145+P149+P153+P154+P155</f>
        <v>16877</v>
      </c>
      <c r="Q353" s="347">
        <f>Q145+Q149+Q153+Q154+Q155</f>
        <v>16366</v>
      </c>
      <c r="R353" s="347">
        <f>R145+R149+R153+R154+R155</f>
        <v>16366</v>
      </c>
      <c r="S353" s="347">
        <f>S145+S149+S153+S154+S155</f>
        <v>16712</v>
      </c>
      <c r="T353" s="347">
        <f>T145+T149+T153+T154+T155</f>
        <v>16567</v>
      </c>
      <c r="U353" s="347">
        <f>U145+U149+U153+U154+U155</f>
        <v>15083</v>
      </c>
      <c r="V353" s="347">
        <f>V145+V149+V153+V154+V155</f>
        <v>14521</v>
      </c>
      <c r="W353" s="347">
        <f>W145+W149+W153+W154+W155</f>
        <v>14521</v>
      </c>
      <c r="X353" s="347">
        <f>X145+X149+X153+X154+X155</f>
        <v>14544</v>
      </c>
      <c r="Y353" s="347">
        <f>Y145+Y149+Y153+Y154+Y155</f>
        <v>14989</v>
      </c>
      <c r="Z353" s="347">
        <f>Z145+Z149+Z153+Z154+Z155</f>
        <v>13808</v>
      </c>
      <c r="AA353" s="347">
        <f>AA145+AA149+AA153+AA154+AA155</f>
        <v>13292</v>
      </c>
      <c r="AB353" s="347">
        <f>AB145+AB149+AB153+AB154+AB155</f>
        <v>13292</v>
      </c>
      <c r="AC353" s="347">
        <f>AC145+AC149+AC153+AC154+AC155</f>
        <v>14776</v>
      </c>
      <c r="AD353" s="347">
        <f>AD145+AD149+AD153+AD154+AD155</f>
        <v>15301</v>
      </c>
      <c r="AE353" s="347">
        <f>AE145+AE149+AE153+AE154+AE155</f>
        <v>26193</v>
      </c>
      <c r="AF353" s="347">
        <f>AF145+AF149+AF153+AF154+AF155</f>
        <v>24146</v>
      </c>
      <c r="AG353" s="347">
        <f>AG145+AG149+AG153+AG154+AG155</f>
        <v>24146</v>
      </c>
      <c r="AH353" s="347">
        <f>AH145+AH149+AH153+AH154+AH155</f>
        <v>27189</v>
      </c>
      <c r="AI353" s="347">
        <f>AI145+AI149+AI153+AI154+AI155</f>
        <v>26524</v>
      </c>
      <c r="AJ353" s="347">
        <f>AJ145+AJ149+AJ153+AJ154+AJ155</f>
        <v>7132</v>
      </c>
      <c r="AK353" s="347">
        <f>AK145+AK149+AK153+AK154+AK155</f>
        <v>7132</v>
      </c>
      <c r="AL353" s="347">
        <f>AL145+AL149+AL153+AL154+AL155</f>
        <v>7132</v>
      </c>
      <c r="AM353" s="347">
        <f>AM145+AM149+AM153+AM154+AM155</f>
        <v>7132</v>
      </c>
      <c r="AN353" s="347">
        <f>AN145+AN149+AN153+AN154+AN155</f>
        <v>7132</v>
      </c>
      <c r="AO353" s="347">
        <f>AO145+AO149+AO153+AO154+AO155</f>
        <v>7132</v>
      </c>
      <c r="AP353" s="347">
        <f>AP145+AP149+AP153+AP154+AP155</f>
        <v>7132</v>
      </c>
      <c r="AQ353" s="347">
        <f>AQ145+AQ149+AQ153+AQ154+AQ155</f>
        <v>7132</v>
      </c>
      <c r="AR353" s="347">
        <f>AR145+AR149+AR153+AR154+AR155</f>
        <v>7132</v>
      </c>
      <c r="AS353" s="347">
        <f>AS145+AS149+AS153+AS154+AS155</f>
        <v>7132</v>
      </c>
      <c r="AT353" s="347">
        <f>AT145+AT149+AT153+AT154+AT155</f>
        <v>7132</v>
      </c>
      <c r="AU353" s="347">
        <f>AU145+AU149+AU153+AU154+AU155</f>
        <v>7132</v>
      </c>
      <c r="AV353" s="347">
        <f>AV145+AV149+AV153+AV154+AV155</f>
        <v>7132</v>
      </c>
      <c r="AW353" s="347">
        <f>AW145+AW149+AW153+AW154+AW155</f>
        <v>7132</v>
      </c>
      <c r="AX353" s="347">
        <f>AX145+AX149+AX153+AX154+AX155</f>
        <v>7132</v>
      </c>
      <c r="AY353" s="347">
        <f>AY145+AY149+AY153+AY154+AY155</f>
        <v>7132</v>
      </c>
      <c r="AZ353" s="347">
        <f>AZ145+AZ149+AZ153+AZ154+AZ155</f>
        <v>7132</v>
      </c>
      <c r="BA353" s="347">
        <f>BA145+BA149+BA153+BA154+BA155</f>
        <v>7132</v>
      </c>
      <c r="BB353" s="347">
        <f>BB145+BB149+BB153+BB154+BB155</f>
        <v>7132</v>
      </c>
      <c r="BC353" s="347">
        <f>BC145+BC149+BC153+BC154+BC155</f>
        <v>7132</v>
      </c>
      <c r="BD353" s="347">
        <f>BD145+BD149+BD153+BD154+BD155</f>
        <v>7132</v>
      </c>
      <c r="BE353" s="347">
        <f>BE145+BE149+BE153+BE154+BE155</f>
        <v>7132</v>
      </c>
      <c r="BF353" s="347">
        <f>BF145+BF149+BF153+BF154+BF155</f>
        <v>7132</v>
      </c>
      <c r="BG353" s="347">
        <f>BG145+BG149+BG153+BG154+BG155</f>
        <v>7132</v>
      </c>
      <c r="BH353" s="347">
        <f>BH145+BH149+BH153+BH154+BH155</f>
        <v>7132</v>
      </c>
      <c r="BI353" s="347">
        <f>BI145+BI149+BI153+BI154+BI155</f>
        <v>7132</v>
      </c>
      <c r="BJ353" s="347">
        <f>BJ145+BJ149+BJ153+BJ154+BJ155</f>
        <v>7132</v>
      </c>
      <c r="BK353" s="347">
        <f>BK145+BK149+BK153+BK154+BK155</f>
        <v>7132</v>
      </c>
      <c r="BL353" s="347">
        <f>BL145+BL149+BL153+BL154+BL155</f>
        <v>7132</v>
      </c>
      <c r="BM353" s="347">
        <f>BM145+BM149+BM153+BM154+BM155</f>
        <v>7132</v>
      </c>
      <c r="BN353" s="347">
        <f>BN145+BN149+BN153+BN154+BN155</f>
        <v>7132</v>
      </c>
      <c r="BO353" s="347">
        <f>BO145+BO149+BO153+BO154+BO155</f>
        <v>7132</v>
      </c>
      <c r="BP353" s="347">
        <f>BP145+BP149+BP153+BP154+BP155</f>
        <v>7132</v>
      </c>
      <c r="BQ353" s="347">
        <f>BQ145+BQ149+BQ153+BQ154+BQ155</f>
        <v>7132</v>
      </c>
      <c r="BR353" s="347">
        <f>BR145+BR149+BR153+BR154+BR155</f>
        <v>7132</v>
      </c>
      <c r="BS353" s="347">
        <f>BS145+BS149+BS153+BS154+BS155</f>
        <v>7132</v>
      </c>
      <c r="BT353" s="347">
        <f>BT145+BT149+BT153+BT154+BT155</f>
        <v>7132</v>
      </c>
      <c r="BU353" s="347">
        <f>BU145+BU149+BU153+BU154+BU155</f>
        <v>7132</v>
      </c>
      <c r="BV353" s="347">
        <f>BV145+BV149+BV153+BV154+BV155</f>
        <v>7132</v>
      </c>
      <c r="BW353" s="347">
        <f>BW145+BW149+BW153+BW154+BW155</f>
        <v>7132</v>
      </c>
      <c r="BX353" s="347">
        <f>BX145+BX149+BX153+BX154+BX155</f>
        <v>7132</v>
      </c>
      <c r="BY353" s="347">
        <f>BY145+BY149+BY153+BY154+BY155</f>
        <v>7132</v>
      </c>
      <c r="BZ353" s="347">
        <f>BZ145+BZ149+BZ153+BZ154+BZ155</f>
        <v>7132</v>
      </c>
      <c r="CA353" s="347">
        <f>CA145+CA149+CA153+CA154+CA155</f>
        <v>7132</v>
      </c>
      <c r="CB353" s="347">
        <f>CB145+CB149+CB153+CB154+CB155</f>
        <v>7132</v>
      </c>
      <c r="CC353" s="347">
        <f>CC145+CC149+CC153+CC154+CC155</f>
        <v>7132</v>
      </c>
      <c r="CD353" s="347">
        <f>CD145+CD149+CD153+CD154+CD155</f>
        <v>7132</v>
      </c>
      <c r="CE353" s="347">
        <f>CE145+CE149+CE153+CE154+CE155</f>
        <v>7132</v>
      </c>
      <c r="CF353" s="347">
        <f>CF145+CF149+CF153+CF154+CF155</f>
        <v>7132</v>
      </c>
      <c r="CG353" s="347">
        <f>CG145+CG149+CG153+CG154+CG155</f>
        <v>7132</v>
      </c>
      <c r="CH353" s="347">
        <f>CH145+CH149+CH153+CH154+CH155</f>
        <v>7132</v>
      </c>
      <c r="CI353" s="347">
        <f>CI145+CI149+CI153+CI154+CI155</f>
        <v>7132</v>
      </c>
      <c r="CJ353" s="347">
        <f>CJ145+CJ149+CJ153+CJ154+CJ155</f>
        <v>7132</v>
      </c>
      <c r="CK353" s="347">
        <f>CK145+CK149+CK153+CK154+CK155</f>
        <v>7132</v>
      </c>
      <c r="CL353" s="347">
        <f>CL145+CL149+CL153+CL154+CL155</f>
        <v>7132</v>
      </c>
      <c r="CM353" s="347">
        <f>CM145+CM149+CM153+CM154+CM155</f>
        <v>7132</v>
      </c>
      <c r="CN353" s="347">
        <f>CN145+CN149+CN153+CN154+CN155</f>
        <v>7132</v>
      </c>
      <c r="CO353" s="347">
        <f>CO145+CO149+CO153+CO154+CO155</f>
        <v>7132</v>
      </c>
      <c r="CP353" s="347">
        <f>CP145+CP149+CP153+CP154+CP155</f>
        <v>7132</v>
      </c>
      <c r="CQ353" s="347">
        <f>CQ145+CQ149+CQ153+CQ154+CQ155</f>
        <v>7132</v>
      </c>
      <c r="CR353" s="347">
        <f>CR145+CR149+CR153+CR154+CR155</f>
        <v>7132</v>
      </c>
      <c r="CS353" s="347">
        <f>CS145+CS149+CS153+CS154+CS155</f>
        <v>7132</v>
      </c>
      <c r="CT353" s="347">
        <f>CT145+CT149+CT153+CT154+CT155</f>
        <v>7132</v>
      </c>
      <c r="CU353" s="347">
        <f>CU145+CU149+CU153+CU154+CU155</f>
        <v>7132</v>
      </c>
      <c r="CV353" s="347">
        <f>CV145+CV149+CV153+CV154+CV155</f>
        <v>7132</v>
      </c>
      <c r="CW353" s="347">
        <f>CW145+CW149+CW153+CW154+CW155</f>
        <v>7132</v>
      </c>
      <c r="CX353" s="347">
        <f>CX145+CX149+CX153+CX154+CX155</f>
        <v>7132</v>
      </c>
      <c r="CY353" s="347">
        <f>CY145+CY149+CY153+CY154+CY155</f>
        <v>7132</v>
      </c>
    </row>
    <row r="354" ht="12.75" customFormat="1" customHeight="1" s="333">
      <c r="A354" s="334" t="n"/>
      <c r="B354" s="334" t="n"/>
      <c r="C354" s="333" t="inlineStr">
        <is>
          <t>CURRENT LIABILITIES</t>
        </is>
      </c>
      <c r="D354" s="346">
        <f>D198+D202+D204+D205</f>
        <v>6560</v>
      </c>
      <c r="E354" s="346">
        <f>E198+E202+E204+E205</f>
        <v>5219</v>
      </c>
      <c r="F354" s="346">
        <f>F198+F202+F204+F205</f>
        <v>6580</v>
      </c>
      <c r="G354" s="346">
        <f>G198+G202+G204+G205</f>
        <v>7914</v>
      </c>
      <c r="H354" s="346">
        <f>H198+H202+H204+H205</f>
        <v>7914</v>
      </c>
      <c r="I354" s="347">
        <f>I198+I202+I204+I205</f>
        <v>8384</v>
      </c>
      <c r="J354" s="347">
        <f>J198+J202+J204+J205</f>
        <v>8197</v>
      </c>
      <c r="K354" s="347">
        <f>K198+K202+K204+K205</f>
        <v>7766</v>
      </c>
      <c r="L354" s="347">
        <f>L198+L202+L204+L205</f>
        <v>7797</v>
      </c>
      <c r="M354" s="347">
        <f>M198+M202+M204+M205</f>
        <v>7797</v>
      </c>
      <c r="N354" s="347">
        <f>N198+N202+N204+N205</f>
        <v>11043</v>
      </c>
      <c r="O354" s="347">
        <f>O198+O202+O204+O205</f>
        <v>9248</v>
      </c>
      <c r="P354" s="347">
        <f>P198+P202+P204+P205</f>
        <v>8031</v>
      </c>
      <c r="Q354" s="347">
        <f>Q198+Q202+Q204+Q205</f>
        <v>7783</v>
      </c>
      <c r="R354" s="347">
        <f>R198+R202+R204+R205</f>
        <v>7783</v>
      </c>
      <c r="S354" s="347">
        <f>S198+S202+S204+S205</f>
        <v>8592</v>
      </c>
      <c r="T354" s="347">
        <f>T198+T202+T204+T205</f>
        <v>7250</v>
      </c>
      <c r="U354" s="347">
        <f>U198+U202+U204+U205</f>
        <v>6713</v>
      </c>
      <c r="V354" s="347">
        <f>V198+V202+V204+V205</f>
        <v>6578</v>
      </c>
      <c r="W354" s="347">
        <f>W198+W202+W204+W205</f>
        <v>6578</v>
      </c>
      <c r="X354" s="347">
        <f>X198+X202+X204+X205</f>
        <v>7099</v>
      </c>
      <c r="Y354" s="347">
        <f>Y198+Y202+Y204+Y205</f>
        <v>6353</v>
      </c>
      <c r="Z354" s="347">
        <f>Z198+Z202+Z204+Z205</f>
        <v>5985</v>
      </c>
      <c r="AA354" s="347">
        <f>AA198+AA202+AA204+AA205</f>
        <v>5605</v>
      </c>
      <c r="AB354" s="347">
        <f>AB198+AB202+AB204+AB205</f>
        <v>5605</v>
      </c>
      <c r="AC354" s="347">
        <f>AC198+AC202+AC204+AC205</f>
        <v>6247</v>
      </c>
      <c r="AD354" s="347">
        <f>AD198+AD202+AD204+AD205</f>
        <v>5877</v>
      </c>
      <c r="AE354" s="347">
        <f>AE198+AE202+AE204+AE205</f>
        <v>9826</v>
      </c>
      <c r="AF354" s="347">
        <f>AF198+AF202+AF204+AF205</f>
        <v>9408</v>
      </c>
      <c r="AG354" s="347">
        <f>AG198+AG202+AG204+AG205</f>
        <v>9408</v>
      </c>
      <c r="AH354" s="347">
        <f>AH198+AH202+AH204+AH205</f>
        <v>11833</v>
      </c>
      <c r="AI354" s="347">
        <f>AI198+AI202+AI204+AI205</f>
        <v>10444</v>
      </c>
      <c r="AJ354" s="347">
        <f>AJ198+AJ202+AJ204+AJ205</f>
        <v>5074</v>
      </c>
      <c r="AK354" s="347">
        <f>AK198+AK202+AK204+AK205</f>
        <v>5074</v>
      </c>
      <c r="AL354" s="347">
        <f>AL198+AL202+AL204+AL205</f>
        <v>5074</v>
      </c>
      <c r="AM354" s="347" t="e">
        <f>AM198+AM202+AM204+AM205</f>
        <v>#DIV/0!</v>
      </c>
      <c r="AN354" s="347">
        <f>AN198+AN202+AN204+AN205</f>
        <v>5074</v>
      </c>
      <c r="AO354" s="347" t="e">
        <f>AO198+AO202+AO204+AO205</f>
        <v>#DIV/0!</v>
      </c>
      <c r="AP354" s="347" t="e">
        <f>AP198+AP202+AP204+AP205</f>
        <v>#DIV/0!</v>
      </c>
      <c r="AQ354" s="347" t="e">
        <f>AQ198+AQ202+AQ204+AQ205</f>
        <v>#DIV/0!</v>
      </c>
      <c r="AR354" s="347" t="e">
        <f>AR198+AR202+AR204+AR205</f>
        <v>#DIV/0!</v>
      </c>
      <c r="AS354" s="347" t="e">
        <f>AS198+AS202+AS204+AS205</f>
        <v>#DIV/0!</v>
      </c>
      <c r="AT354" s="347" t="e">
        <f>AT198+AT202+AT204+AT205</f>
        <v>#DIV/0!</v>
      </c>
      <c r="AU354" s="347" t="e">
        <f>AU198+AU202+AU204+AU205</f>
        <v>#DIV/0!</v>
      </c>
      <c r="AV354" s="347" t="e">
        <f>AV198+AV202+AV204+AV205</f>
        <v>#DIV/0!</v>
      </c>
      <c r="AW354" s="347" t="e">
        <f>AW198+AW202+AW204+AW205</f>
        <v>#DIV/0!</v>
      </c>
      <c r="AX354" s="347" t="e">
        <f>AX198+AX202+AX204+AX205</f>
        <v>#DIV/0!</v>
      </c>
      <c r="AY354" s="347" t="e">
        <f>AY198+AY202+AY204+AY205</f>
        <v>#DIV/0!</v>
      </c>
      <c r="AZ354" s="347" t="e">
        <f>AZ198+AZ202+AZ204+AZ205</f>
        <v>#DIV/0!</v>
      </c>
      <c r="BA354" s="347" t="e">
        <f>BA198+BA202+BA204+BA205</f>
        <v>#DIV/0!</v>
      </c>
      <c r="BB354" s="347" t="e">
        <f>BB198+BB202+BB204+BB205</f>
        <v>#DIV/0!</v>
      </c>
      <c r="BC354" s="347" t="e">
        <f>BC198+BC202+BC204+BC205</f>
        <v>#DIV/0!</v>
      </c>
      <c r="BD354" s="347" t="e">
        <f>BD198+BD202+BD204+BD205</f>
        <v>#DIV/0!</v>
      </c>
      <c r="BE354" s="347" t="e">
        <f>BE198+BE202+BE204+BE205</f>
        <v>#DIV/0!</v>
      </c>
      <c r="BF354" s="347" t="e">
        <f>BF198+BF202+BF204+BF205</f>
        <v>#DIV/0!</v>
      </c>
      <c r="BG354" s="347" t="e">
        <f>BG198+BG202+BG204+BG205</f>
        <v>#DIV/0!</v>
      </c>
      <c r="BH354" s="347" t="e">
        <f>BH198+BH202+BH204+BH205</f>
        <v>#DIV/0!</v>
      </c>
      <c r="BI354" s="347" t="e">
        <f>BI198+BI202+BI204+BI205</f>
        <v>#DIV/0!</v>
      </c>
      <c r="BJ354" s="347" t="e">
        <f>BJ198+BJ202+BJ204+BJ205</f>
        <v>#DIV/0!</v>
      </c>
      <c r="BK354" s="347" t="e">
        <f>BK198+BK202+BK204+BK205</f>
        <v>#DIV/0!</v>
      </c>
      <c r="BL354" s="347" t="e">
        <f>BL198+BL202+BL204+BL205</f>
        <v>#DIV/0!</v>
      </c>
      <c r="BM354" s="347" t="e">
        <f>BM198+BM202+BM204+BM205</f>
        <v>#DIV/0!</v>
      </c>
      <c r="BN354" s="347" t="e">
        <f>BN198+BN202+BN204+BN205</f>
        <v>#DIV/0!</v>
      </c>
      <c r="BO354" s="347" t="e">
        <f>BO198+BO202+BO204+BO205</f>
        <v>#DIV/0!</v>
      </c>
      <c r="BP354" s="347" t="e">
        <f>BP198+BP202+BP204+BP205</f>
        <v>#DIV/0!</v>
      </c>
      <c r="BQ354" s="347" t="e">
        <f>BQ198+BQ202+BQ204+BQ205</f>
        <v>#DIV/0!</v>
      </c>
      <c r="BR354" s="347" t="e">
        <f>BR198+BR202+BR204+BR205</f>
        <v>#DIV/0!</v>
      </c>
      <c r="BS354" s="347" t="e">
        <f>BS198+BS202+BS204+BS205</f>
        <v>#DIV/0!</v>
      </c>
      <c r="BT354" s="347" t="e">
        <f>BT198+BT202+BT204+BT205</f>
        <v>#DIV/0!</v>
      </c>
      <c r="BU354" s="347" t="e">
        <f>BU198+BU202+BU204+BU205</f>
        <v>#DIV/0!</v>
      </c>
      <c r="BV354" s="347" t="e">
        <f>BV198+BV202+BV204+BV205</f>
        <v>#DIV/0!</v>
      </c>
      <c r="BW354" s="347" t="e">
        <f>BW198+BW202+BW204+BW205</f>
        <v>#DIV/0!</v>
      </c>
      <c r="BX354" s="347" t="e">
        <f>BX198+BX202+BX204+BX205</f>
        <v>#DIV/0!</v>
      </c>
      <c r="BY354" s="347" t="e">
        <f>BY198+BY202+BY204+BY205</f>
        <v>#DIV/0!</v>
      </c>
      <c r="BZ354" s="347" t="e">
        <f>BZ198+BZ202+BZ204+BZ205</f>
        <v>#DIV/0!</v>
      </c>
      <c r="CA354" s="347" t="e">
        <f>CA198+CA202+CA204+CA205</f>
        <v>#DIV/0!</v>
      </c>
      <c r="CB354" s="347" t="e">
        <f>CB198+CB202+CB204+CB205</f>
        <v>#DIV/0!</v>
      </c>
      <c r="CC354" s="347" t="e">
        <f>CC198+CC202+CC204+CC205</f>
        <v>#DIV/0!</v>
      </c>
      <c r="CD354" s="347" t="e">
        <f>CD198+CD202+CD204+CD205</f>
        <v>#DIV/0!</v>
      </c>
      <c r="CE354" s="347" t="e">
        <f>CE198+CE202+CE204+CE205</f>
        <v>#DIV/0!</v>
      </c>
      <c r="CF354" s="347" t="e">
        <f>CF198+CF202+CF204+CF205</f>
        <v>#DIV/0!</v>
      </c>
      <c r="CG354" s="347" t="e">
        <f>CG198+CG202+CG204+CG205</f>
        <v>#DIV/0!</v>
      </c>
      <c r="CH354" s="347" t="e">
        <f>CH198+CH202+CH204+CH205</f>
        <v>#DIV/0!</v>
      </c>
      <c r="CI354" s="347" t="e">
        <f>CI198+CI202+CI204+CI205</f>
        <v>#DIV/0!</v>
      </c>
      <c r="CJ354" s="347" t="e">
        <f>CJ198+CJ202+CJ204+CJ205</f>
        <v>#DIV/0!</v>
      </c>
      <c r="CK354" s="347" t="e">
        <f>CK198+CK202+CK204+CK205</f>
        <v>#DIV/0!</v>
      </c>
      <c r="CL354" s="347" t="e">
        <f>CL198+CL202+CL204+CL205</f>
        <v>#DIV/0!</v>
      </c>
      <c r="CM354" s="347" t="e">
        <f>CM198+CM202+CM204+CM205</f>
        <v>#DIV/0!</v>
      </c>
      <c r="CN354" s="347" t="e">
        <f>CN198+CN202+CN204+CN205</f>
        <v>#DIV/0!</v>
      </c>
      <c r="CO354" s="347" t="e">
        <f>CO198+CO202+CO204+CO205</f>
        <v>#DIV/0!</v>
      </c>
      <c r="CP354" s="347" t="e">
        <f>CP198+CP202+CP204+CP205</f>
        <v>#DIV/0!</v>
      </c>
      <c r="CQ354" s="347" t="e">
        <f>CQ198+CQ202+CQ204+CQ205</f>
        <v>#DIV/0!</v>
      </c>
      <c r="CR354" s="347" t="e">
        <f>CR198+CR202+CR204+CR205</f>
        <v>#DIV/0!</v>
      </c>
      <c r="CS354" s="347" t="e">
        <f>CS198+CS202+CS204+CS205</f>
        <v>#DIV/0!</v>
      </c>
      <c r="CT354" s="347" t="e">
        <f>CT198+CT202+CT204+CT205</f>
        <v>#DIV/0!</v>
      </c>
      <c r="CU354" s="347" t="e">
        <f>CU198+CU202+CU204+CU205</f>
        <v>#DIV/0!</v>
      </c>
      <c r="CV354" s="347" t="e">
        <f>CV198+CV202+CV204+CV205</f>
        <v>#DIV/0!</v>
      </c>
      <c r="CW354" s="347" t="e">
        <f>CW198+CW202+CW204+CW205</f>
        <v>#DIV/0!</v>
      </c>
      <c r="CX354" s="347" t="e">
        <f>CX198+CX202+CX204+CX205</f>
        <v>#DIV/0!</v>
      </c>
      <c r="CY354" s="347" t="e">
        <f>CY198+CY202+CY204+CY205</f>
        <v>#DIV/0!</v>
      </c>
    </row>
    <row r="355" ht="12.75" customFormat="1" customHeight="1" s="333">
      <c r="A355" s="334" t="n"/>
      <c r="B355" s="334" t="n"/>
      <c r="C355" s="333" t="inlineStr">
        <is>
          <t>FIXED ASSETS</t>
        </is>
      </c>
      <c r="D355" s="346">
        <f>D166+D176+D179+D180+D189-D240</f>
        <v>6413</v>
      </c>
      <c r="E355" s="346">
        <f>E166+E176+E179+E180+E189-E240</f>
        <v>6131</v>
      </c>
      <c r="F355" s="346">
        <f>F166+F176+F179+F180+F189-F240</f>
        <v>6312</v>
      </c>
      <c r="G355" s="346">
        <f>G166+G176+G179+G180+G189-G240</f>
        <v>6478</v>
      </c>
      <c r="H355" s="346">
        <f>H166+H176+H179+H180+H189-H240</f>
        <v>6478</v>
      </c>
      <c r="I355" s="347">
        <f>I166+I176+I179+I180+I189-I240</f>
        <v>6271</v>
      </c>
      <c r="J355" s="347">
        <f>J166+J176+J179+J180+J189-J240</f>
        <v>6393</v>
      </c>
      <c r="K355" s="347">
        <f>K166+K176+K179+K180+K189-K240</f>
        <v>6366</v>
      </c>
      <c r="L355" s="347">
        <f>L166+L176+L179+L180+L189-L240</f>
        <v>6151</v>
      </c>
      <c r="M355" s="347">
        <f>M166+M176+M179+M180+M189-M240</f>
        <v>6151</v>
      </c>
      <c r="N355" s="347">
        <f>N166+N176+N179+N180+N189-N240</f>
        <v>6345</v>
      </c>
      <c r="O355" s="347">
        <f>O166+O176+O179+O180+O189-O240</f>
        <v>6249</v>
      </c>
      <c r="P355" s="347">
        <f>P166+P176+P179+P180+P189-P240</f>
        <v>6041</v>
      </c>
      <c r="Q355" s="347">
        <f>Q166+Q176+Q179+Q180+Q189-Q240</f>
        <v>6261</v>
      </c>
      <c r="R355" s="347">
        <f>R166+R176+R179+R180+R189-R240</f>
        <v>6261</v>
      </c>
      <c r="S355" s="347">
        <f>S166+S176+S179+S180+S189-S240</f>
        <v>6544</v>
      </c>
      <c r="T355" s="347">
        <f>T166+T176+T179+T180+T189-T240</f>
        <v>6944</v>
      </c>
      <c r="U355" s="347">
        <f>U166+U176+U179+U180+U189-U240</f>
        <v>6977</v>
      </c>
      <c r="V355" s="347">
        <f>V166+V176+V179+V180+V189-V240</f>
        <v>7425</v>
      </c>
      <c r="W355" s="347">
        <f>W166+W176+W179+W180+W189-W240</f>
        <v>7425</v>
      </c>
      <c r="X355" s="347">
        <f>X166+X176+X179+X180+X189-X240</f>
        <v>7496</v>
      </c>
      <c r="Y355" s="347">
        <f>Y166+Y176+Y179+Y180+Y189-Y240</f>
        <v>7473</v>
      </c>
      <c r="Z355" s="347">
        <f>Z166+Z176+Z179+Z180+Z189-Z240</f>
        <v>7952</v>
      </c>
      <c r="AA355" s="347">
        <f>AA166+AA176+AA179+AA180+AA189-AA240</f>
        <v>7448</v>
      </c>
      <c r="AB355" s="347">
        <f>AB166+AB176+AB179+AB180+AB189-AB240</f>
        <v>7448</v>
      </c>
      <c r="AC355" s="347">
        <f>AC166+AC176+AC179+AC180+AC189-AC240</f>
        <v>7852</v>
      </c>
      <c r="AD355" s="347">
        <f>AD166+AD176+AD179+AD180+AD189-AD240</f>
        <v>8301</v>
      </c>
      <c r="AE355" s="347">
        <f>AE166+AE176+AE179+AE180+AE189-AE240</f>
        <v>17764</v>
      </c>
      <c r="AF355" s="347">
        <f>AF166+AF176+AF179+AF180+AF189-AF240</f>
        <v>18182</v>
      </c>
      <c r="AG355" s="347">
        <f>AG166+AG176+AG179+AG180+AG189-AG240</f>
        <v>18182</v>
      </c>
      <c r="AH355" s="347">
        <f>AH166+AH176+AH179+AH180+AH189-AH240</f>
        <v>18398</v>
      </c>
      <c r="AI355" s="347">
        <f>AI166+AI176+AI179+AI180+AI189-AI240</f>
        <v>18478</v>
      </c>
      <c r="AJ355" s="347">
        <f>AJ166+AJ176+AJ179+AJ180+AJ189-AJ240</f>
        <v>18190</v>
      </c>
      <c r="AK355" s="347">
        <f>AK166+AK176+AK179+AK180+AK189-AK240</f>
        <v>18190</v>
      </c>
      <c r="AL355" s="347">
        <f>AL166+AL176+AL179+AL180+AL189-AL240</f>
        <v>18190</v>
      </c>
      <c r="AM355" s="347">
        <f>AM166+AM176+AM179+AM180+AM189-AM240</f>
        <v>18190</v>
      </c>
      <c r="AN355" s="347">
        <f>AN166+AN176+AN179+AN180+AN189-AN240</f>
        <v>18190</v>
      </c>
      <c r="AO355" s="347">
        <f>AO166+AO176+AO179+AO180+AO189-AO240</f>
        <v>18190</v>
      </c>
      <c r="AP355" s="347">
        <f>AP166+AP176+AP179+AP180+AP189-AP240</f>
        <v>18190</v>
      </c>
      <c r="AQ355" s="347">
        <f>AQ166+AQ176+AQ179+AQ180+AQ189-AQ240</f>
        <v>18190</v>
      </c>
      <c r="AR355" s="347">
        <f>AR166+AR176+AR179+AR180+AR189-AR240</f>
        <v>18190</v>
      </c>
      <c r="AS355" s="347">
        <f>AS166+AS176+AS179+AS180+AS189-AS240</f>
        <v>18190</v>
      </c>
      <c r="AT355" s="347">
        <f>AT166+AT176+AT179+AT180+AT189-AT240</f>
        <v>18190</v>
      </c>
      <c r="AU355" s="347">
        <f>AU166+AU176+AU179+AU180+AU189-AU240</f>
        <v>18190</v>
      </c>
      <c r="AV355" s="347">
        <f>AV166+AV176+AV179+AV180+AV189-AV240</f>
        <v>18190</v>
      </c>
      <c r="AW355" s="347">
        <f>AW166+AW176+AW179+AW180+AW189-AW240</f>
        <v>18190</v>
      </c>
      <c r="AX355" s="347">
        <f>AX166+AX176+AX179+AX180+AX189-AX240</f>
        <v>18190</v>
      </c>
      <c r="AY355" s="347">
        <f>AY166+AY176+AY179+AY180+AY189-AY240</f>
        <v>18190</v>
      </c>
      <c r="AZ355" s="347">
        <f>AZ166+AZ176+AZ179+AZ180+AZ189-AZ240</f>
        <v>18190</v>
      </c>
      <c r="BA355" s="347">
        <f>BA166+BA176+BA179+BA180+BA189-BA240</f>
        <v>18190</v>
      </c>
      <c r="BB355" s="347">
        <f>BB166+BB176+BB179+BB180+BB189-BB240</f>
        <v>18190</v>
      </c>
      <c r="BC355" s="347">
        <f>BC166+BC176+BC179+BC180+BC189-BC240</f>
        <v>18190</v>
      </c>
      <c r="BD355" s="347">
        <f>BD166+BD176+BD179+BD180+BD189-BD240</f>
        <v>18190</v>
      </c>
      <c r="BE355" s="347">
        <f>BE166+BE176+BE179+BE180+BE189-BE240</f>
        <v>18190</v>
      </c>
      <c r="BF355" s="347">
        <f>BF166+BF176+BF179+BF180+BF189-BF240</f>
        <v>18190</v>
      </c>
      <c r="BG355" s="347">
        <f>BG166+BG176+BG179+BG180+BG189-BG240</f>
        <v>18190</v>
      </c>
      <c r="BH355" s="347">
        <f>BH166+BH176+BH179+BH180+BH189-BH240</f>
        <v>18190</v>
      </c>
      <c r="BI355" s="347">
        <f>BI166+BI176+BI179+BI180+BI189-BI240</f>
        <v>18190</v>
      </c>
      <c r="BJ355" s="347">
        <f>BJ166+BJ176+BJ179+BJ180+BJ189-BJ240</f>
        <v>18190</v>
      </c>
      <c r="BK355" s="347">
        <f>BK166+BK176+BK179+BK180+BK189-BK240</f>
        <v>18190</v>
      </c>
      <c r="BL355" s="347">
        <f>BL166+BL176+BL179+BL180+BL189-BL240</f>
        <v>18190</v>
      </c>
      <c r="BM355" s="347">
        <f>BM166+BM176+BM179+BM180+BM189-BM240</f>
        <v>18190</v>
      </c>
      <c r="BN355" s="347">
        <f>BN166+BN176+BN179+BN180+BN189-BN240</f>
        <v>18190</v>
      </c>
      <c r="BO355" s="347">
        <f>BO166+BO176+BO179+BO180+BO189-BO240</f>
        <v>18190</v>
      </c>
      <c r="BP355" s="347">
        <f>BP166+BP176+BP179+BP180+BP189-BP240</f>
        <v>18190</v>
      </c>
      <c r="BQ355" s="347">
        <f>BQ166+BQ176+BQ179+BQ180+BQ189-BQ240</f>
        <v>18190</v>
      </c>
      <c r="BR355" s="347">
        <f>BR166+BR176+BR179+BR180+BR189-BR240</f>
        <v>18190</v>
      </c>
      <c r="BS355" s="347">
        <f>BS166+BS176+BS179+BS180+BS189-BS240</f>
        <v>18190</v>
      </c>
      <c r="BT355" s="347">
        <f>BT166+BT176+BT179+BT180+BT189-BT240</f>
        <v>18190</v>
      </c>
      <c r="BU355" s="347">
        <f>BU166+BU176+BU179+BU180+BU189-BU240</f>
        <v>18190</v>
      </c>
      <c r="BV355" s="347">
        <f>BV166+BV176+BV179+BV180+BV189-BV240</f>
        <v>18190</v>
      </c>
      <c r="BW355" s="347">
        <f>BW166+BW176+BW179+BW180+BW189-BW240</f>
        <v>18190</v>
      </c>
      <c r="BX355" s="347">
        <f>BX166+BX176+BX179+BX180+BX189-BX240</f>
        <v>18190</v>
      </c>
      <c r="BY355" s="347">
        <f>BY166+BY176+BY179+BY180+BY189-BY240</f>
        <v>18190</v>
      </c>
      <c r="BZ355" s="347">
        <f>BZ166+BZ176+BZ179+BZ180+BZ189-BZ240</f>
        <v>18190</v>
      </c>
      <c r="CA355" s="347">
        <f>CA166+CA176+CA179+CA180+CA189-CA240</f>
        <v>18190</v>
      </c>
      <c r="CB355" s="347">
        <f>CB166+CB176+CB179+CB180+CB189-CB240</f>
        <v>18190</v>
      </c>
      <c r="CC355" s="347">
        <f>CC166+CC176+CC179+CC180+CC189-CC240</f>
        <v>18190</v>
      </c>
      <c r="CD355" s="347">
        <f>CD166+CD176+CD179+CD180+CD189-CD240</f>
        <v>18190</v>
      </c>
      <c r="CE355" s="347">
        <f>CE166+CE176+CE179+CE180+CE189-CE240</f>
        <v>18190</v>
      </c>
      <c r="CF355" s="347">
        <f>CF166+CF176+CF179+CF180+CF189-CF240</f>
        <v>18190</v>
      </c>
      <c r="CG355" s="347">
        <f>CG166+CG176+CG179+CG180+CG189-CG240</f>
        <v>18190</v>
      </c>
      <c r="CH355" s="347">
        <f>CH166+CH176+CH179+CH180+CH189-CH240</f>
        <v>18190</v>
      </c>
      <c r="CI355" s="347">
        <f>CI166+CI176+CI179+CI180+CI189-CI240</f>
        <v>18190</v>
      </c>
      <c r="CJ355" s="347">
        <f>CJ166+CJ176+CJ179+CJ180+CJ189-CJ240</f>
        <v>18190</v>
      </c>
      <c r="CK355" s="347">
        <f>CK166+CK176+CK179+CK180+CK189-CK240</f>
        <v>18190</v>
      </c>
      <c r="CL355" s="347">
        <f>CL166+CL176+CL179+CL180+CL189-CL240</f>
        <v>18190</v>
      </c>
      <c r="CM355" s="347">
        <f>CM166+CM176+CM179+CM180+CM189-CM240</f>
        <v>18190</v>
      </c>
      <c r="CN355" s="347">
        <f>CN166+CN176+CN179+CN180+CN189-CN240</f>
        <v>18190</v>
      </c>
      <c r="CO355" s="347">
        <f>CO166+CO176+CO179+CO180+CO189-CO240</f>
        <v>18190</v>
      </c>
      <c r="CP355" s="347">
        <f>CP166+CP176+CP179+CP180+CP189-CP240</f>
        <v>18190</v>
      </c>
      <c r="CQ355" s="347">
        <f>CQ166+CQ176+CQ179+CQ180+CQ189-CQ240</f>
        <v>18190</v>
      </c>
      <c r="CR355" s="347">
        <f>CR166+CR176+CR179+CR180+CR189-CR240</f>
        <v>18190</v>
      </c>
      <c r="CS355" s="347">
        <f>CS166+CS176+CS179+CS180+CS189-CS240</f>
        <v>18190</v>
      </c>
      <c r="CT355" s="347">
        <f>CT166+CT176+CT179+CT180+CT189-CT240</f>
        <v>18190</v>
      </c>
      <c r="CU355" s="347">
        <f>CU166+CU176+CU179+CU180+CU189-CU240</f>
        <v>18190</v>
      </c>
      <c r="CV355" s="347">
        <f>CV166+CV176+CV179+CV180+CV189-CV240</f>
        <v>18190</v>
      </c>
      <c r="CW355" s="347">
        <f>CW166+CW176+CW179+CW180+CW189-CW240</f>
        <v>18190</v>
      </c>
      <c r="CX355" s="347">
        <f>CX166+CX176+CX179+CX180+CX189-CX240</f>
        <v>18190</v>
      </c>
      <c r="CY355" s="347">
        <f>CY166+CY176+CY179+CY180+CY189-CY240</f>
        <v>18190</v>
      </c>
    </row>
    <row r="356" ht="12.75" customFormat="1" customHeight="1" s="333">
      <c r="A356" s="334" t="n"/>
      <c r="B356" s="334" t="n"/>
    </row>
    <row r="357" ht="12.75" customFormat="1" customHeight="1" s="333">
      <c r="A357" s="334" t="n"/>
      <c r="B357" s="334" t="n"/>
    </row>
    <row r="358" ht="12.75" customFormat="1" customHeight="1" s="333">
      <c r="A358" s="334" t="n"/>
      <c r="B358" s="334" t="n"/>
    </row>
    <row r="359" ht="12.75" customFormat="1" customHeight="1" s="333">
      <c r="A359" s="334" t="n"/>
      <c r="B359" s="334" t="n"/>
    </row>
    <row r="360" ht="12.75" customFormat="1" customHeight="1" s="333">
      <c r="A360" s="334" t="n"/>
      <c r="B360" s="334" t="n"/>
    </row>
    <row r="361" ht="12.75" customFormat="1" customHeight="1" s="333">
      <c r="A361" s="334" t="n"/>
      <c r="B361" s="334" t="n"/>
    </row>
    <row r="362" ht="12.75" customFormat="1" customHeight="1" s="333">
      <c r="A362" s="334" t="n"/>
      <c r="B362" s="334" t="n"/>
    </row>
    <row r="363" ht="12.75" customFormat="1" customHeight="1" s="333">
      <c r="A363" s="334" t="n"/>
      <c r="B363" s="334" t="n"/>
      <c r="C363" s="331" t="inlineStr">
        <is>
          <t>DUPONT ANALYSIS</t>
        </is>
      </c>
    </row>
    <row r="364" ht="12.75" customFormat="1" customHeight="1" s="333">
      <c r="A364" s="334" t="n"/>
      <c r="B364" s="334" t="n"/>
      <c r="C364" s="333" t="inlineStr">
        <is>
          <t>NET PROFIT MARGIN</t>
        </is>
      </c>
      <c r="D364" s="341">
        <f>D137/D15</f>
        <v>-0.0200588684181838</v>
      </c>
      <c r="E364" s="341">
        <f>E137/E15</f>
        <v>0.0545339251743817</v>
      </c>
      <c r="F364" s="341">
        <f>F137/F15</f>
        <v>0.02578993995472</v>
      </c>
      <c r="G364" s="341">
        <f>G137/G15</f>
        <v>0.043695479777954</v>
      </c>
      <c r="I364" s="338">
        <f>I137/I15</f>
        <v>0.0641154231926549</v>
      </c>
      <c r="J364" s="338">
        <f>J137/J15</f>
        <v>0.0235202391007732</v>
      </c>
      <c r="K364" s="338">
        <f>K137/K15</f>
        <v>0.0462562867464759</v>
      </c>
      <c r="L364" s="338">
        <f>L137/L15</f>
        <v>0.0138464304981119</v>
      </c>
      <c r="N364" s="338">
        <f>N137/N15</f>
        <v>0.0433249370277078</v>
      </c>
      <c r="O364" s="338">
        <f>O137/O15</f>
        <v>0.0114872023643562</v>
      </c>
      <c r="P364" s="338">
        <f>P137/P15</f>
        <v>0.0226743839131213</v>
      </c>
      <c r="Q364" s="338">
        <f>Q137/Q15</f>
        <v>0.0201680672268908</v>
      </c>
      <c r="S364" s="338">
        <f>S137/S15</f>
        <v>0.041231732776618</v>
      </c>
      <c r="T364" s="338">
        <f>T137/T15</f>
        <v>0.0413316499435178</v>
      </c>
      <c r="U364" s="338">
        <f>U137/U15</f>
        <v>0.0262177549729388</v>
      </c>
      <c r="V364" s="338">
        <f>V137/V15</f>
        <v>0.0412426352437065</v>
      </c>
      <c r="X364" s="338">
        <f>X137/X15</f>
        <v>0.0181858835805322</v>
      </c>
      <c r="Y364" s="338">
        <f>Y137/Y15</f>
        <v>0.00528660977267578</v>
      </c>
      <c r="Z364" s="338">
        <f>Z137/Z15</f>
        <v>0.0171211651688875</v>
      </c>
      <c r="AA364" s="338">
        <f>AA137/AA15</f>
        <v>0.0444542903559297</v>
      </c>
      <c r="AC364" s="338">
        <f>AC137/AC15</f>
        <v>0.0172635918577686</v>
      </c>
      <c r="AD364" s="338">
        <f>AD137/AD15</f>
        <v>0.0277233925914324</v>
      </c>
      <c r="AE364" s="338">
        <f>AE137/AE15</f>
        <v>0.00749266531257053</v>
      </c>
      <c r="AF364" s="338">
        <f>AF137/AF15</f>
        <v>0.00399797996801616</v>
      </c>
      <c r="AH364" s="338">
        <f>AH137/AH15</f>
        <v>0.00311056218837199</v>
      </c>
      <c r="AI364" s="338">
        <f>AI137/AI15</f>
        <v>0.0282018218876087</v>
      </c>
      <c r="AJ364" s="338">
        <f>AJ137/AJ15</f>
        <v>-0.000496501918302866</v>
      </c>
      <c r="AK364" s="338">
        <f>AK137/AK15</f>
        <v>0.00303004797575962</v>
      </c>
      <c r="AM364" s="338">
        <f>AM137/AM15</f>
        <v>0.00265312657243493</v>
      </c>
      <c r="AN364" s="338">
        <f>AN137/AN15</f>
        <v>0.00478349486294247</v>
      </c>
      <c r="AO364" s="338">
        <f>AO137/AO15</f>
        <v>0.00212141728729406</v>
      </c>
      <c r="AP364" s="338">
        <f>AP137/AP15</f>
        <v>0.00635468394916253</v>
      </c>
      <c r="AR364" s="338">
        <f>AR137/AR15</f>
        <v>0.00626686793833768</v>
      </c>
      <c r="AS364" s="338">
        <f>AS137/AS15</f>
        <v>0.0161806913189967</v>
      </c>
      <c r="AT364" s="338">
        <f>AT137/AT15</f>
        <v>0.00568720379146919</v>
      </c>
      <c r="AU364" s="338">
        <f>AU137/AU15</f>
        <v>0.0178856998569144</v>
      </c>
      <c r="AW364" s="338">
        <f>AW137/AW15</f>
        <v>0.018800603815013</v>
      </c>
      <c r="AX364" s="338">
        <f>AX137/AX15</f>
        <v>0.0455471902167131</v>
      </c>
      <c r="AY364" s="338">
        <f>AY137/AY15</f>
        <v>0.0180546152110133</v>
      </c>
      <c r="AZ364" s="338">
        <f>AZ137/AZ15</f>
        <v>0.047597003619224</v>
      </c>
      <c r="BB364" s="338">
        <f>BB137/BB15</f>
        <v>0.0510955583001693</v>
      </c>
      <c r="BC364" s="338">
        <f>BC137/BC15</f>
        <v>0.127074580924254</v>
      </c>
      <c r="BD364" s="338">
        <f>BD137/BD15</f>
        <v>0.0499210110584518</v>
      </c>
      <c r="BE364" s="338">
        <f>BE137/BE15</f>
        <v>0.130081642959347</v>
      </c>
      <c r="BG364" s="338">
        <f>BG137/BG15</f>
        <v>0.140752939023832</v>
      </c>
      <c r="BH364" s="338">
        <f>BH137/BH15</f>
        <v>0.34886236013477</v>
      </c>
      <c r="BI364" s="338">
        <f>BI137/BI15</f>
        <v>0.138388625592417</v>
      </c>
      <c r="BJ364" s="338">
        <f>BJ137/BJ15</f>
        <v>0.354473529164212</v>
      </c>
      <c r="BL364" s="338">
        <f>BL137/BL15</f>
        <v>0.384657609441471</v>
      </c>
      <c r="BM364" s="338">
        <f>BM137/BM15</f>
        <v>0.955492699970883</v>
      </c>
      <c r="BN364" s="338">
        <f>BN137/BN15</f>
        <v>0.379056646355225</v>
      </c>
      <c r="BO364" s="338">
        <f>BO137/BO15</f>
        <v>0.968226580254187</v>
      </c>
      <c r="BQ364" s="338">
        <f>BQ137/BQ15</f>
        <v>1.05178171172407</v>
      </c>
      <c r="BR364" s="338">
        <f>BR137/BR15</f>
        <v>2.61232893806414</v>
      </c>
      <c r="BS364" s="338">
        <f>BS137/BS15</f>
        <v>1.03732791694877</v>
      </c>
      <c r="BT364" s="338">
        <f>BT137/BT15</f>
        <v>2.64451645484387</v>
      </c>
      <c r="BV364" s="338">
        <f>BV137/BV15</f>
        <v>2.87383925712456</v>
      </c>
      <c r="BW364" s="338">
        <f>BW137/BW15</f>
        <v>7.13926209392288</v>
      </c>
      <c r="BX364" s="338">
        <f>BX137/BX15</f>
        <v>2.83520649966148</v>
      </c>
      <c r="BY364" s="338">
        <f>BY137/BY15</f>
        <v>7.22460230620318</v>
      </c>
      <c r="CA364" s="338">
        <f>CA137/CA15</f>
        <v>7.85220255249074</v>
      </c>
      <c r="CB364" s="338">
        <f>CB137/CB15</f>
        <v>19.5068008818269</v>
      </c>
      <c r="CC364" s="338">
        <f>CC137/CC15</f>
        <v>7.74750620627398</v>
      </c>
      <c r="CD364" s="338">
        <f>CD137/CD15</f>
        <v>19.7373537581012</v>
      </c>
      <c r="CF364" s="338">
        <f>CF137/CF15</f>
        <v>21.4530442340241</v>
      </c>
      <c r="CG364" s="338">
        <f>CG137/CG15</f>
        <v>53.2957447693524</v>
      </c>
      <c r="CH364" s="338">
        <f>CH137/CH15</f>
        <v>21.1678627849244</v>
      </c>
      <c r="CI364" s="338">
        <f>CI137/CI15</f>
        <v>53.9230283646158</v>
      </c>
      <c r="CK364" s="338">
        <f>CK137/CK15</f>
        <v>58.6114541878231</v>
      </c>
      <c r="CL364" s="338">
        <f>CL137/CL15</f>
        <v>145.608710120211</v>
      </c>
      <c r="CM364" s="338">
        <f>CM137/CM15</f>
        <v>57.8331753554502</v>
      </c>
      <c r="CN364" s="338">
        <f>CN137/CN15</f>
        <v>147.319880481441</v>
      </c>
      <c r="CP364" s="338">
        <f>CP137/CP15</f>
        <v>160.129957458488</v>
      </c>
      <c r="CQ364" s="338">
        <f>CQ137/CQ15</f>
        <v>397.81252859698</v>
      </c>
      <c r="CR364" s="338">
        <f>CR137/CR15</f>
        <v>158.004513653803</v>
      </c>
      <c r="CS364" s="338">
        <f>CS137/CS15</f>
        <v>402.484933928121</v>
      </c>
      <c r="CU364" s="338">
        <f>CU137/CU15</f>
        <v>437.483783907415</v>
      </c>
      <c r="CV364" s="338">
        <f>CV137/CV15</f>
        <v>1086.84609625224</v>
      </c>
      <c r="CW364" s="338">
        <f>CW137/CW15</f>
        <v>431.67781539156</v>
      </c>
      <c r="CX364" s="338">
        <f>CX137/CX15</f>
        <v>1099.60874505513</v>
      </c>
    </row>
    <row r="365" ht="12.75" customFormat="1" customHeight="1" s="333">
      <c r="A365" s="334" t="n"/>
      <c r="B365" s="334" t="n"/>
      <c r="C365" s="333" t="inlineStr">
        <is>
          <t>ASSET TURNOVER</t>
        </is>
      </c>
      <c r="D365" s="341">
        <f>D137/D197</f>
        <v>-0.0098946009894601</v>
      </c>
      <c r="E365" s="341">
        <f>E137/E197</f>
        <v>0.0278032221563662</v>
      </c>
      <c r="F365" s="341">
        <f>F137/F197</f>
        <v>0.012619816001156</v>
      </c>
      <c r="G365" s="341">
        <f>G137/G197</f>
        <v>0.0232931726907631</v>
      </c>
      <c r="I365" s="338">
        <f>I137/I197</f>
        <v>0.0338727428361798</v>
      </c>
      <c r="J365" s="338">
        <f>J137/J197</f>
        <v>0.0144309348216065</v>
      </c>
      <c r="K365" s="338">
        <f>K137/K197</f>
        <v>0.0270853208345431</v>
      </c>
      <c r="L365" s="338">
        <f>L137/L197</f>
        <v>0.00969814014022419</v>
      </c>
      <c r="N365" s="338">
        <f>N137/N197</f>
        <v>0.0239520958083832</v>
      </c>
      <c r="O365" s="338">
        <f>O137/O197</f>
        <v>0.00751303840402641</v>
      </c>
      <c r="P365" s="338">
        <f>P137/P197</f>
        <v>0.0153275250080671</v>
      </c>
      <c r="Q365" s="338">
        <f>Q137/Q197</f>
        <v>0.0136696501220504</v>
      </c>
      <c r="S365" s="338">
        <f>S137/S197</f>
        <v>0.0233124308373294</v>
      </c>
      <c r="T365" s="338">
        <f>T137/T197</f>
        <v>0.0241910392034848</v>
      </c>
      <c r="U365" s="338">
        <f>U137/U197</f>
        <v>0.01484104563721</v>
      </c>
      <c r="V365" s="338">
        <f>V137/V197</f>
        <v>0.0242787324609806</v>
      </c>
      <c r="X365" s="338">
        <f>X137/X197</f>
        <v>0.00944967274698889</v>
      </c>
      <c r="Y365" s="338">
        <f>Y137/Y197</f>
        <v>0.00286556410676273</v>
      </c>
      <c r="Z365" s="338">
        <f>Z137/Z197</f>
        <v>0.00874658645664305</v>
      </c>
      <c r="AA365" s="338">
        <f>AA137/AA197</f>
        <v>0.0241776778183863</v>
      </c>
      <c r="AC365" s="338">
        <f>AC137/AC197</f>
        <v>0.00753938484621155</v>
      </c>
      <c r="AD365" s="338">
        <f>AD137/AD197</f>
        <v>0.0113629068498427</v>
      </c>
      <c r="AE365" s="338">
        <f>AE137/AE197</f>
        <v>0.00358546805477558</v>
      </c>
      <c r="AF365" s="338">
        <f>AF137/AF197</f>
        <v>0.00213348904060367</v>
      </c>
      <c r="AH365" s="338">
        <f>AH137/AH197</f>
        <v>0.00142929208004036</v>
      </c>
      <c r="AI365" s="338">
        <f>AI137/AI197</f>
        <v>0.0144927536231884</v>
      </c>
      <c r="AJ365" s="338">
        <f>AJ137/AJ197</f>
        <v>-0.000265597836584895</v>
      </c>
      <c r="AK365" s="338">
        <f>AK137/AK197</f>
        <v>0.00173573443263181</v>
      </c>
      <c r="AM365" s="338" t="e">
        <f>AM137/AM197</f>
        <v>#DIV/0!</v>
      </c>
      <c r="AN365" s="338" t="e">
        <f>AN137/AN197</f>
        <v>#DIV/0!</v>
      </c>
      <c r="AO365" s="338" t="e">
        <f>AO137/AO197</f>
        <v>#DIV/0!</v>
      </c>
      <c r="AP365" s="338" t="e">
        <f>AP137/AP197</f>
        <v>#DIV/0!</v>
      </c>
      <c r="AR365" s="338" t="e">
        <f>AR137/AR197</f>
        <v>#DIV/0!</v>
      </c>
      <c r="AS365" s="338" t="e">
        <f>AS137/AS197</f>
        <v>#DIV/0!</v>
      </c>
      <c r="AT365" s="338" t="e">
        <f>AT137/AT197</f>
        <v>#DIV/0!</v>
      </c>
      <c r="AU365" s="338" t="e">
        <f>AU137/AU197</f>
        <v>#DIV/0!</v>
      </c>
      <c r="AW365" s="338" t="e">
        <f>AW137/AW197</f>
        <v>#DIV/0!</v>
      </c>
      <c r="AX365" s="338" t="e">
        <f>AX137/AX197</f>
        <v>#DIV/0!</v>
      </c>
      <c r="AY365" s="338" t="e">
        <f>AY137/AY197</f>
        <v>#DIV/0!</v>
      </c>
      <c r="AZ365" s="338" t="e">
        <f>AZ137/AZ197</f>
        <v>#DIV/0!</v>
      </c>
      <c r="BB365" s="338" t="e">
        <f>BB137/BB197</f>
        <v>#DIV/0!</v>
      </c>
      <c r="BC365" s="338" t="e">
        <f>BC137/BC197</f>
        <v>#DIV/0!</v>
      </c>
      <c r="BD365" s="338" t="e">
        <f>BD137/BD197</f>
        <v>#DIV/0!</v>
      </c>
      <c r="BE365" s="338" t="e">
        <f>BE137/BE197</f>
        <v>#DIV/0!</v>
      </c>
      <c r="BG365" s="338" t="e">
        <f>BG137/BG197</f>
        <v>#DIV/0!</v>
      </c>
      <c r="BH365" s="338" t="e">
        <f>BH137/BH197</f>
        <v>#DIV/0!</v>
      </c>
      <c r="BI365" s="338" t="e">
        <f>BI137/BI197</f>
        <v>#DIV/0!</v>
      </c>
      <c r="BJ365" s="338" t="e">
        <f>BJ137/BJ197</f>
        <v>#DIV/0!</v>
      </c>
      <c r="BL365" s="338" t="e">
        <f>BL137/BL197</f>
        <v>#DIV/0!</v>
      </c>
      <c r="BM365" s="338" t="e">
        <f>BM137/BM197</f>
        <v>#DIV/0!</v>
      </c>
      <c r="BN365" s="338" t="e">
        <f>BN137/BN197</f>
        <v>#DIV/0!</v>
      </c>
      <c r="BO365" s="338" t="e">
        <f>BO137/BO197</f>
        <v>#DIV/0!</v>
      </c>
      <c r="BQ365" s="338" t="e">
        <f>BQ137/BQ197</f>
        <v>#DIV/0!</v>
      </c>
      <c r="BR365" s="338" t="e">
        <f>BR137/BR197</f>
        <v>#DIV/0!</v>
      </c>
      <c r="BS365" s="338" t="e">
        <f>BS137/BS197</f>
        <v>#DIV/0!</v>
      </c>
      <c r="BT365" s="338" t="e">
        <f>BT137/BT197</f>
        <v>#DIV/0!</v>
      </c>
      <c r="BV365" s="338" t="e">
        <f>BV137/BV197</f>
        <v>#DIV/0!</v>
      </c>
      <c r="BW365" s="338" t="e">
        <f>BW137/BW197</f>
        <v>#DIV/0!</v>
      </c>
      <c r="BX365" s="338" t="e">
        <f>BX137/BX197</f>
        <v>#DIV/0!</v>
      </c>
      <c r="BY365" s="338" t="e">
        <f>BY137/BY197</f>
        <v>#DIV/0!</v>
      </c>
      <c r="CA365" s="338" t="e">
        <f>CA137/CA197</f>
        <v>#DIV/0!</v>
      </c>
      <c r="CB365" s="338" t="e">
        <f>CB137/CB197</f>
        <v>#DIV/0!</v>
      </c>
      <c r="CC365" s="338" t="e">
        <f>CC137/CC197</f>
        <v>#DIV/0!</v>
      </c>
      <c r="CD365" s="338" t="e">
        <f>CD137/CD197</f>
        <v>#DIV/0!</v>
      </c>
      <c r="CF365" s="338" t="e">
        <f>CF137/CF197</f>
        <v>#DIV/0!</v>
      </c>
      <c r="CG365" s="338" t="e">
        <f>CG137/CG197</f>
        <v>#DIV/0!</v>
      </c>
      <c r="CH365" s="338" t="e">
        <f>CH137/CH197</f>
        <v>#DIV/0!</v>
      </c>
      <c r="CI365" s="338" t="e">
        <f>CI137/CI197</f>
        <v>#DIV/0!</v>
      </c>
      <c r="CK365" s="338" t="e">
        <f>CK137/CK197</f>
        <v>#DIV/0!</v>
      </c>
      <c r="CL365" s="338" t="e">
        <f>CL137/CL197</f>
        <v>#DIV/0!</v>
      </c>
      <c r="CM365" s="338" t="e">
        <f>CM137/CM197</f>
        <v>#DIV/0!</v>
      </c>
      <c r="CN365" s="338" t="e">
        <f>CN137/CN197</f>
        <v>#DIV/0!</v>
      </c>
      <c r="CP365" s="338" t="e">
        <f>CP137/CP197</f>
        <v>#DIV/0!</v>
      </c>
      <c r="CQ365" s="338" t="e">
        <f>CQ137/CQ197</f>
        <v>#DIV/0!</v>
      </c>
      <c r="CR365" s="338" t="e">
        <f>CR137/CR197</f>
        <v>#DIV/0!</v>
      </c>
      <c r="CS365" s="338" t="e">
        <f>CS137/CS197</f>
        <v>#DIV/0!</v>
      </c>
      <c r="CU365" s="338" t="e">
        <f>CU137/CU197</f>
        <v>#DIV/0!</v>
      </c>
      <c r="CV365" s="338" t="e">
        <f>CV137/CV197</f>
        <v>#DIV/0!</v>
      </c>
      <c r="CW365" s="338" t="e">
        <f>CW137/CW197</f>
        <v>#DIV/0!</v>
      </c>
      <c r="CX365" s="338" t="e">
        <f>CX137/CX197</f>
        <v>#DIV/0!</v>
      </c>
    </row>
    <row r="366" ht="12.75" customFormat="1" customHeight="1" s="333">
      <c r="A366" s="334" t="n"/>
      <c r="B366" s="334" t="n"/>
      <c r="C366" s="333" t="inlineStr">
        <is>
          <t>EQUITY MULTIPLIER</t>
        </is>
      </c>
      <c r="D366" s="341">
        <f>D197/D271</f>
        <v>3.46552366753634</v>
      </c>
      <c r="E366" s="341">
        <f>E197/E271</f>
        <v>3.3105601141634</v>
      </c>
      <c r="F366" s="341">
        <f>F197/F271</f>
        <v>3.54646395626922</v>
      </c>
      <c r="G366" s="341">
        <f>G197/G271</f>
        <v>3.57326283987915</v>
      </c>
      <c r="I366" s="338">
        <f>I197/I271</f>
        <v>3.38199614006066</v>
      </c>
      <c r="J366" s="338">
        <f>J197/J271</f>
        <v>3.21026362938316</v>
      </c>
      <c r="K366" s="338">
        <f>K197/K271</f>
        <v>3.0008712969878</v>
      </c>
      <c r="L366" s="338">
        <f>L197/L271</f>
        <v>2.90263222032659</v>
      </c>
      <c r="N366" s="338">
        <f>N197/N271</f>
        <v>3.15267259356821</v>
      </c>
      <c r="O366" s="338">
        <f>O197/O271</f>
        <v>2.87410901467505</v>
      </c>
      <c r="P366" s="338">
        <f>P197/P271</f>
        <v>2.64504427611224</v>
      </c>
      <c r="Q366" s="338">
        <f>Q197/Q271</f>
        <v>2.46787148594378</v>
      </c>
      <c r="S366" s="338">
        <f>S197/S271</f>
        <v>2.52821038888371</v>
      </c>
      <c r="T366" s="338">
        <f>T197/T271</f>
        <v>2.26298186938919</v>
      </c>
      <c r="U366" s="338">
        <f>U197/U271</f>
        <v>2.25488964650996</v>
      </c>
      <c r="V366" s="338">
        <f>V197/V271</f>
        <v>2.14762146605722</v>
      </c>
      <c r="X366" s="338">
        <f>X197/X271</f>
        <v>2.23985079805691</v>
      </c>
      <c r="Y366" s="338">
        <f>Y197/Y271</f>
        <v>2.22396212672979</v>
      </c>
      <c r="Z366" s="338">
        <f>Z197/Z271</f>
        <v>2.26467688446715</v>
      </c>
      <c r="AA366" s="338">
        <f>AA197/AA271</f>
        <v>2.27429667519182</v>
      </c>
      <c r="AC366" s="338">
        <f>AC197/AC271</f>
        <v>2.29986197377502</v>
      </c>
      <c r="AD366" s="338">
        <f>AD197/AD271</f>
        <v>2.60593893768298</v>
      </c>
      <c r="AE366" s="338">
        <f>AE197/AE271</f>
        <v>2.67788767424374</v>
      </c>
      <c r="AF366" s="338">
        <f>AF197/AF271</f>
        <v>2.55614236509759</v>
      </c>
      <c r="AH366" s="338">
        <f>AH197/AH271</f>
        <v>2.72251788268956</v>
      </c>
      <c r="AI366" s="338">
        <f>AI197/AI271</f>
        <v>2.68738511029412</v>
      </c>
      <c r="AJ366" s="338">
        <f>AJ197/AJ271</f>
        <v>2.37858947852056</v>
      </c>
      <c r="AK366" s="338">
        <f>AK197/AK271</f>
        <v>2.37346226469074</v>
      </c>
      <c r="AM366" s="338" t="e">
        <f>AM197/AM271</f>
        <v>#DIV/0!</v>
      </c>
      <c r="AN366" s="338" t="e">
        <f>AN197/AN271</f>
        <v>#DIV/0!</v>
      </c>
      <c r="AO366" s="338" t="e">
        <f>AO197/AO271</f>
        <v>#DIV/0!</v>
      </c>
      <c r="AP366" s="338" t="e">
        <f>AP197/AP271</f>
        <v>#DIV/0!</v>
      </c>
      <c r="AR366" s="338" t="e">
        <f>AR197/AR271</f>
        <v>#DIV/0!</v>
      </c>
      <c r="AS366" s="338" t="e">
        <f>AS197/AS271</f>
        <v>#DIV/0!</v>
      </c>
      <c r="AT366" s="338" t="e">
        <f>AT197/AT271</f>
        <v>#DIV/0!</v>
      </c>
      <c r="AU366" s="338" t="e">
        <f>AU197/AU271</f>
        <v>#DIV/0!</v>
      </c>
      <c r="AW366" s="338" t="e">
        <f>AW197/AW271</f>
        <v>#DIV/0!</v>
      </c>
      <c r="AX366" s="338" t="e">
        <f>AX197/AX271</f>
        <v>#DIV/0!</v>
      </c>
      <c r="AY366" s="338" t="e">
        <f>AY197/AY271</f>
        <v>#DIV/0!</v>
      </c>
      <c r="AZ366" s="338" t="e">
        <f>AZ197/AZ271</f>
        <v>#DIV/0!</v>
      </c>
      <c r="BB366" s="338" t="e">
        <f>BB197/BB271</f>
        <v>#DIV/0!</v>
      </c>
      <c r="BC366" s="338" t="e">
        <f>BC197/BC271</f>
        <v>#DIV/0!</v>
      </c>
      <c r="BD366" s="338" t="e">
        <f>BD197/BD271</f>
        <v>#DIV/0!</v>
      </c>
      <c r="BE366" s="338" t="e">
        <f>BE197/BE271</f>
        <v>#DIV/0!</v>
      </c>
      <c r="BG366" s="338" t="e">
        <f>BG197/BG271</f>
        <v>#DIV/0!</v>
      </c>
      <c r="BH366" s="338" t="e">
        <f>BH197/BH271</f>
        <v>#DIV/0!</v>
      </c>
      <c r="BI366" s="338" t="e">
        <f>BI197/BI271</f>
        <v>#DIV/0!</v>
      </c>
      <c r="BJ366" s="338" t="e">
        <f>BJ197/BJ271</f>
        <v>#DIV/0!</v>
      </c>
      <c r="BL366" s="338" t="e">
        <f>BL197/BL271</f>
        <v>#DIV/0!</v>
      </c>
      <c r="BM366" s="338" t="e">
        <f>BM197/BM271</f>
        <v>#DIV/0!</v>
      </c>
      <c r="BN366" s="338" t="e">
        <f>BN197/BN271</f>
        <v>#DIV/0!</v>
      </c>
      <c r="BO366" s="338" t="e">
        <f>BO197/BO271</f>
        <v>#DIV/0!</v>
      </c>
      <c r="BQ366" s="338" t="e">
        <f>BQ197/BQ271</f>
        <v>#DIV/0!</v>
      </c>
      <c r="BR366" s="338" t="e">
        <f>BR197/BR271</f>
        <v>#DIV/0!</v>
      </c>
      <c r="BS366" s="338" t="e">
        <f>BS197/BS271</f>
        <v>#DIV/0!</v>
      </c>
      <c r="BT366" s="338" t="e">
        <f>BT197/BT271</f>
        <v>#DIV/0!</v>
      </c>
      <c r="BV366" s="338" t="e">
        <f>BV197/BV271</f>
        <v>#DIV/0!</v>
      </c>
      <c r="BW366" s="338" t="e">
        <f>BW197/BW271</f>
        <v>#DIV/0!</v>
      </c>
      <c r="BX366" s="338" t="e">
        <f>BX197/BX271</f>
        <v>#DIV/0!</v>
      </c>
      <c r="BY366" s="338" t="e">
        <f>BY197/BY271</f>
        <v>#DIV/0!</v>
      </c>
      <c r="CA366" s="338" t="e">
        <f>CA197/CA271</f>
        <v>#DIV/0!</v>
      </c>
      <c r="CB366" s="338" t="e">
        <f>CB197/CB271</f>
        <v>#DIV/0!</v>
      </c>
      <c r="CC366" s="338" t="e">
        <f>CC197/CC271</f>
        <v>#DIV/0!</v>
      </c>
      <c r="CD366" s="338" t="e">
        <f>CD197/CD271</f>
        <v>#DIV/0!</v>
      </c>
      <c r="CF366" s="338" t="e">
        <f>CF197/CF271</f>
        <v>#DIV/0!</v>
      </c>
      <c r="CG366" s="338" t="e">
        <f>CG197/CG271</f>
        <v>#DIV/0!</v>
      </c>
      <c r="CH366" s="338" t="e">
        <f>CH197/CH271</f>
        <v>#DIV/0!</v>
      </c>
      <c r="CI366" s="338" t="e">
        <f>CI197/CI271</f>
        <v>#DIV/0!</v>
      </c>
      <c r="CK366" s="338" t="e">
        <f>CK197/CK271</f>
        <v>#DIV/0!</v>
      </c>
      <c r="CL366" s="338" t="e">
        <f>CL197/CL271</f>
        <v>#DIV/0!</v>
      </c>
      <c r="CM366" s="338" t="e">
        <f>CM197/CM271</f>
        <v>#DIV/0!</v>
      </c>
      <c r="CN366" s="338" t="e">
        <f>CN197/CN271</f>
        <v>#DIV/0!</v>
      </c>
      <c r="CP366" s="338" t="e">
        <f>CP197/CP271</f>
        <v>#DIV/0!</v>
      </c>
      <c r="CQ366" s="338" t="e">
        <f>CQ197/CQ271</f>
        <v>#DIV/0!</v>
      </c>
      <c r="CR366" s="338" t="e">
        <f>CR197/CR271</f>
        <v>#DIV/0!</v>
      </c>
      <c r="CS366" s="338" t="e">
        <f>CS197/CS271</f>
        <v>#DIV/0!</v>
      </c>
      <c r="CU366" s="338" t="e">
        <f>CU197/CU271</f>
        <v>#DIV/0!</v>
      </c>
      <c r="CV366" s="338" t="e">
        <f>CV197/CV271</f>
        <v>#DIV/0!</v>
      </c>
      <c r="CW366" s="338" t="e">
        <f>CW197/CW271</f>
        <v>#DIV/0!</v>
      </c>
      <c r="CX366" s="338" t="e">
        <f>CX197/CX271</f>
        <v>#DIV/0!</v>
      </c>
    </row>
    <row r="367" ht="12.75" customFormat="1" customHeight="1" s="333">
      <c r="A367" s="334" t="n"/>
      <c r="B367" s="334" t="n"/>
      <c r="C367" s="333" t="inlineStr">
        <is>
          <t>ROE - DUPONT</t>
        </is>
      </c>
      <c r="D367" s="341">
        <f>PRODUCT(D364:D366)</f>
        <v>0.000687818074719683</v>
      </c>
      <c r="E367" s="341">
        <f>PRODUCT(E364:E366)</f>
        <v>0.00501953360506261</v>
      </c>
      <c r="F367" s="341">
        <f>PRODUCT(F364:F366)</f>
        <v>0.00115424739804179</v>
      </c>
      <c r="G367" s="341">
        <f>PRODUCT(G364:G366)</f>
        <v>0.00363688963106536</v>
      </c>
      <c r="I367" s="338">
        <f>PRODUCT(I364:I366)</f>
        <v>0.00734490166433639</v>
      </c>
      <c r="J367" s="338">
        <f>PRODUCT(J364:J366)</f>
        <v>0.00108962459105194</v>
      </c>
      <c r="K367" s="338">
        <f>PRODUCT(K364:K366)</f>
        <v>0.00375969072012058</v>
      </c>
      <c r="L367" s="338">
        <f>PRODUCT(L364:L366)</f>
        <v>0.000389778874611728</v>
      </c>
      <c r="N367" s="338">
        <f>PRODUCT(N364:N366)</f>
        <v>0.00327160099605564</v>
      </c>
      <c r="O367" s="338">
        <f>PRODUCT(O364:O366)</f>
        <v>0.000248046508077294</v>
      </c>
      <c r="P367" s="338">
        <f>PRODUCT(P364:P366)</f>
        <v>0.000919264471032337</v>
      </c>
      <c r="Q367" s="338">
        <f>PRODUCT(Q364:Q366)</f>
        <v>0.000680368532955351</v>
      </c>
      <c r="S367" s="338">
        <f>PRODUCT(S364:S366)</f>
        <v>0.00243014595867039</v>
      </c>
      <c r="T367" s="338">
        <f>PRODUCT(T364:T366)</f>
        <v>0.00226265501363036</v>
      </c>
      <c r="U367" s="338">
        <f>PRODUCT(U364:U366)</f>
        <v>0.000877375076700715</v>
      </c>
      <c r="V367" s="338">
        <f>PRODUCT(V364:V366)</f>
        <v>0.00215045397918768</v>
      </c>
      <c r="X367" s="338">
        <f>PRODUCT(X364:X366)</f>
        <v>0.000384919812079272</v>
      </c>
      <c r="Y367" s="338">
        <f>PRODUCT(Y364:Y366)</f>
        <v>3.36910673786694e-05</v>
      </c>
      <c r="Z367" s="338">
        <f>PRODUCT(Z364:Z366)</f>
        <v>0.000339139329777193</v>
      </c>
      <c r="AA367" s="338">
        <f>PRODUCT(AA364:AA366)</f>
        <v>0.00244441750039</v>
      </c>
      <c r="AC367" s="338">
        <f>PRODUCT(AC364:AC366)</f>
        <v>0.000299342819479942</v>
      </c>
      <c r="AD367" s="338">
        <f>PRODUCT(AD364:AD366)</f>
        <v>0.000820918525919453</v>
      </c>
      <c r="AE367" s="338">
        <f>PRODUCT(AE364:AE366)</f>
        <v>7.19406814672166e-05</v>
      </c>
      <c r="AF367" s="338">
        <f>PRODUCT(AF364:AF366)</f>
        <v>2.18029906407311e-05</v>
      </c>
      <c r="AH367" s="338">
        <f>PRODUCT(AH364:AH366)</f>
        <v>1.21040474282858e-05</v>
      </c>
      <c r="AI367" s="338">
        <f>PRODUCT(AI364:AI366)</f>
        <v>0.0010983935684627</v>
      </c>
      <c r="AJ367" s="338">
        <f>PRODUCT(AJ364:AJ366)</f>
        <v>3.13664202925082e-07</v>
      </c>
      <c r="AK367" s="338">
        <f>PRODUCT(AK364:AK366)</f>
        <v>1.24828891831946e-05</v>
      </c>
      <c r="AM367" s="338" t="e">
        <f>PRODUCT(AM364:AM366)</f>
        <v>#DIV/0!</v>
      </c>
      <c r="AN367" s="338" t="e">
        <f>PRODUCT(AN364:AN366)</f>
        <v>#DIV/0!</v>
      </c>
      <c r="AO367" s="338" t="e">
        <f>PRODUCT(AO364:AO366)</f>
        <v>#DIV/0!</v>
      </c>
      <c r="AP367" s="338" t="e">
        <f>PRODUCT(AP364:AP366)</f>
        <v>#DIV/0!</v>
      </c>
      <c r="AR367" s="338" t="e">
        <f>PRODUCT(AR364:AR366)</f>
        <v>#DIV/0!</v>
      </c>
      <c r="AS367" s="338" t="e">
        <f>PRODUCT(AS364:AS366)</f>
        <v>#DIV/0!</v>
      </c>
      <c r="AT367" s="338" t="e">
        <f>PRODUCT(AT364:AT366)</f>
        <v>#DIV/0!</v>
      </c>
      <c r="AU367" s="338" t="e">
        <f>PRODUCT(AU364:AU366)</f>
        <v>#DIV/0!</v>
      </c>
      <c r="AW367" s="338" t="e">
        <f>PRODUCT(AW364:AW366)</f>
        <v>#DIV/0!</v>
      </c>
      <c r="AX367" s="338" t="e">
        <f>PRODUCT(AX364:AX366)</f>
        <v>#DIV/0!</v>
      </c>
      <c r="AY367" s="338" t="e">
        <f>PRODUCT(AY364:AY366)</f>
        <v>#DIV/0!</v>
      </c>
      <c r="AZ367" s="338" t="e">
        <f>PRODUCT(AZ364:AZ366)</f>
        <v>#DIV/0!</v>
      </c>
      <c r="BB367" s="338" t="e">
        <f>PRODUCT(BB364:BB366)</f>
        <v>#DIV/0!</v>
      </c>
      <c r="BC367" s="338" t="e">
        <f>PRODUCT(BC364:BC366)</f>
        <v>#DIV/0!</v>
      </c>
      <c r="BD367" s="338" t="e">
        <f>PRODUCT(BD364:BD366)</f>
        <v>#DIV/0!</v>
      </c>
      <c r="BE367" s="338" t="e">
        <f>PRODUCT(BE364:BE366)</f>
        <v>#DIV/0!</v>
      </c>
      <c r="BG367" s="338" t="e">
        <f>PRODUCT(BG364:BG366)</f>
        <v>#DIV/0!</v>
      </c>
      <c r="BH367" s="338" t="e">
        <f>PRODUCT(BH364:BH366)</f>
        <v>#DIV/0!</v>
      </c>
      <c r="BI367" s="338" t="e">
        <f>PRODUCT(BI364:BI366)</f>
        <v>#DIV/0!</v>
      </c>
      <c r="BJ367" s="338" t="e">
        <f>PRODUCT(BJ364:BJ366)</f>
        <v>#DIV/0!</v>
      </c>
      <c r="BL367" s="338" t="e">
        <f>PRODUCT(BL364:BL366)</f>
        <v>#DIV/0!</v>
      </c>
      <c r="BM367" s="338" t="e">
        <f>PRODUCT(BM364:BM366)</f>
        <v>#DIV/0!</v>
      </c>
      <c r="BN367" s="338" t="e">
        <f>PRODUCT(BN364:BN366)</f>
        <v>#DIV/0!</v>
      </c>
      <c r="BO367" s="338" t="e">
        <f>PRODUCT(BO364:BO366)</f>
        <v>#DIV/0!</v>
      </c>
      <c r="BQ367" s="338" t="e">
        <f>PRODUCT(BQ364:BQ366)</f>
        <v>#DIV/0!</v>
      </c>
      <c r="BR367" s="338" t="e">
        <f>PRODUCT(BR364:BR366)</f>
        <v>#DIV/0!</v>
      </c>
      <c r="BS367" s="338" t="e">
        <f>PRODUCT(BS364:BS366)</f>
        <v>#DIV/0!</v>
      </c>
      <c r="BT367" s="338" t="e">
        <f>PRODUCT(BT364:BT366)</f>
        <v>#DIV/0!</v>
      </c>
      <c r="BV367" s="338" t="e">
        <f>PRODUCT(BV364:BV366)</f>
        <v>#DIV/0!</v>
      </c>
      <c r="BW367" s="338" t="e">
        <f>PRODUCT(BW364:BW366)</f>
        <v>#DIV/0!</v>
      </c>
      <c r="BX367" s="338" t="e">
        <f>PRODUCT(BX364:BX366)</f>
        <v>#DIV/0!</v>
      </c>
      <c r="BY367" s="338" t="e">
        <f>PRODUCT(BY364:BY366)</f>
        <v>#DIV/0!</v>
      </c>
      <c r="CA367" s="338" t="e">
        <f>PRODUCT(CA364:CA366)</f>
        <v>#DIV/0!</v>
      </c>
      <c r="CB367" s="338" t="e">
        <f>PRODUCT(CB364:CB366)</f>
        <v>#DIV/0!</v>
      </c>
      <c r="CC367" s="338" t="e">
        <f>PRODUCT(CC364:CC366)</f>
        <v>#DIV/0!</v>
      </c>
      <c r="CD367" s="338" t="e">
        <f>PRODUCT(CD364:CD366)</f>
        <v>#DIV/0!</v>
      </c>
      <c r="CF367" s="338" t="e">
        <f>PRODUCT(CF364:CF366)</f>
        <v>#DIV/0!</v>
      </c>
      <c r="CG367" s="338" t="e">
        <f>PRODUCT(CG364:CG366)</f>
        <v>#DIV/0!</v>
      </c>
      <c r="CH367" s="338" t="e">
        <f>PRODUCT(CH364:CH366)</f>
        <v>#DIV/0!</v>
      </c>
      <c r="CI367" s="338" t="e">
        <f>PRODUCT(CI364:CI366)</f>
        <v>#DIV/0!</v>
      </c>
      <c r="CK367" s="338" t="e">
        <f>PRODUCT(CK364:CK366)</f>
        <v>#DIV/0!</v>
      </c>
      <c r="CL367" s="338" t="e">
        <f>PRODUCT(CL364:CL366)</f>
        <v>#DIV/0!</v>
      </c>
      <c r="CM367" s="338" t="e">
        <f>PRODUCT(CM364:CM366)</f>
        <v>#DIV/0!</v>
      </c>
      <c r="CN367" s="338" t="e">
        <f>PRODUCT(CN364:CN366)</f>
        <v>#DIV/0!</v>
      </c>
      <c r="CP367" s="338" t="e">
        <f>PRODUCT(CP364:CP366)</f>
        <v>#DIV/0!</v>
      </c>
      <c r="CQ367" s="338" t="e">
        <f>PRODUCT(CQ364:CQ366)</f>
        <v>#DIV/0!</v>
      </c>
      <c r="CR367" s="338" t="e">
        <f>PRODUCT(CR364:CR366)</f>
        <v>#DIV/0!</v>
      </c>
      <c r="CS367" s="338" t="e">
        <f>PRODUCT(CS364:CS366)</f>
        <v>#DIV/0!</v>
      </c>
      <c r="CU367" s="338" t="e">
        <f>PRODUCT(CU364:CU366)</f>
        <v>#DIV/0!</v>
      </c>
      <c r="CV367" s="338" t="e">
        <f>PRODUCT(CV364:CV366)</f>
        <v>#DIV/0!</v>
      </c>
      <c r="CW367" s="338" t="e">
        <f>PRODUCT(CW364:CW366)</f>
        <v>#DIV/0!</v>
      </c>
      <c r="CX367" s="338" t="e">
        <f>PRODUCT(CX364:CX366)</f>
        <v>#DIV/0!</v>
      </c>
    </row>
    <row r="368" ht="12.75" customFormat="1" customHeight="1" s="333">
      <c r="A368" s="334" t="n"/>
      <c r="B368" s="334" t="n"/>
      <c r="C368" s="333" t="inlineStr">
        <is>
          <t>ROE</t>
        </is>
      </c>
      <c r="D368" s="341">
        <f>D137/D271</f>
        <v>-0.0342899739098025</v>
      </c>
      <c r="E368" s="341">
        <f>E137/E271</f>
        <v>0.0920442383160899</v>
      </c>
      <c r="F368" s="341">
        <f>F137/F271</f>
        <v>0.0447557225828493</v>
      </c>
      <c r="G368" s="341">
        <f>G137/G271</f>
        <v>0.0832326283987915</v>
      </c>
      <c r="I368" s="338">
        <f>I137/I271</f>
        <v>0.114557485525227</v>
      </c>
      <c r="J368" s="338">
        <f>J137/J271</f>
        <v>0.0463271051958024</v>
      </c>
      <c r="K368" s="338">
        <f>K137/K271</f>
        <v>0.0812795618620861</v>
      </c>
      <c r="L368" s="338">
        <f>L137/L271</f>
        <v>0.0281501340482574</v>
      </c>
      <c r="N368" s="338">
        <f>N137/N271</f>
        <v>0.0755131160136099</v>
      </c>
      <c r="O368" s="338">
        <f>O137/O271</f>
        <v>0.0215932914046122</v>
      </c>
      <c r="P368" s="338">
        <f>P137/P271</f>
        <v>0.0405419822895551</v>
      </c>
      <c r="Q368" s="338">
        <f>Q137/Q271</f>
        <v>0.0337349397590361</v>
      </c>
      <c r="S368" s="338">
        <f>S137/S271</f>
        <v>0.0589387298330691</v>
      </c>
      <c r="T368" s="338">
        <f>T137/T271</f>
        <v>0.0547438831191692</v>
      </c>
      <c r="U368" s="338">
        <f>U137/U271</f>
        <v>0.0334649201507267</v>
      </c>
      <c r="V368" s="338">
        <f>V137/V271</f>
        <v>0.0521415270018622</v>
      </c>
      <c r="X368" s="338">
        <f>X137/X271</f>
        <v>0.0211658570437196</v>
      </c>
      <c r="Y368" s="338">
        <f>Y137/Y271</f>
        <v>0.00637290604515659</v>
      </c>
      <c r="Z368" s="338">
        <f>Z137/Z271</f>
        <v>0.019808192166353</v>
      </c>
      <c r="AA368" s="338">
        <f>AA137/AA271</f>
        <v>0.0549872122762148</v>
      </c>
      <c r="AC368" s="338">
        <f>AC137/AC271</f>
        <v>0.0173395445134576</v>
      </c>
      <c r="AD368" s="338">
        <f>AD137/AD271</f>
        <v>0.0296110414052698</v>
      </c>
      <c r="AE368" s="338">
        <f>AE137/AE271</f>
        <v>0.00960148071027821</v>
      </c>
      <c r="AF368" s="338">
        <f>AF137/AF271</f>
        <v>0.00545350172215844</v>
      </c>
      <c r="AH368" s="338">
        <f>AH137/AH271</f>
        <v>0.00389127324749642</v>
      </c>
      <c r="AI368" s="338">
        <f>AI137/AI271</f>
        <v>0.0389476102941177</v>
      </c>
      <c r="AJ368" s="338">
        <f>AJ137/AJ271</f>
        <v>-0.000631748219618654</v>
      </c>
      <c r="AK368" s="338">
        <f>AK137/AK271</f>
        <v>0.00411970017737598</v>
      </c>
      <c r="AM368" s="338">
        <f>AM137/AM271</f>
        <v>0.00330635047315015</v>
      </c>
      <c r="AN368" s="338">
        <f>AN137/AN271</f>
        <v>0.00650231821779939</v>
      </c>
      <c r="AO368" s="338">
        <f>AO137/AO271</f>
        <v>0.00264818571106604</v>
      </c>
      <c r="AP368" s="338">
        <f>AP137/AP271</f>
        <v>0.00843952604515985</v>
      </c>
      <c r="AR368" s="338">
        <f>AR137/AR271</f>
        <v>0.00759591927256598</v>
      </c>
      <c r="AS368" s="338">
        <f>AS137/AS271</f>
        <v>0.0210794407716484</v>
      </c>
      <c r="AT368" s="338">
        <f>AT137/AT271</f>
        <v>0.00677601505781124</v>
      </c>
      <c r="AU368" s="338">
        <f>AU137/AU271</f>
        <v>0.0223531268079735</v>
      </c>
      <c r="AW368" s="338">
        <f>AW137/AW271</f>
        <v>0.0211517677937317</v>
      </c>
      <c r="AX368" s="338">
        <f>AX137/AX271</f>
        <v>0.0532717100462175</v>
      </c>
      <c r="AY368" s="338">
        <f>AY137/AY271</f>
        <v>0.0190748688602766</v>
      </c>
      <c r="AZ368" s="338">
        <f>AZ137/AZ271</f>
        <v>0.051190368425817</v>
      </c>
      <c r="BB368" s="338">
        <f>BB137/BB271</f>
        <v>0.0481092256008269</v>
      </c>
      <c r="BC368" s="338">
        <f>BC137/BC271</f>
        <v>0.116150863052239</v>
      </c>
      <c r="BD368" s="338">
        <f>BD137/BD271</f>
        <v>0.0403311089231667</v>
      </c>
      <c r="BE368" s="338">
        <f>BE137/BE271</f>
        <v>0.101321008293179</v>
      </c>
      <c r="BG368" s="338">
        <f>BG137/BG271</f>
        <v>0.0916019171801971</v>
      </c>
      <c r="BH368" s="338">
        <f>BH137/BH271</f>
        <v>0.199657199990478</v>
      </c>
      <c r="BI368" s="338">
        <f>BI137/BI271</f>
        <v>0.068000354861604</v>
      </c>
      <c r="BJ368" s="338">
        <f>BJ137/BJ271</f>
        <v>0.157427482057416</v>
      </c>
      <c r="BL368" s="338">
        <f>BL137/BL271</f>
        <v>0.135804263565891</v>
      </c>
      <c r="BM368" s="338">
        <f>BM137/BM271</f>
        <v>0.270501648610457</v>
      </c>
      <c r="BN368" s="338">
        <f>BN137/BN271</f>
        <v>0.0899788927817599</v>
      </c>
      <c r="BO368" s="338">
        <f>BO137/BO271</f>
        <v>0.197768474981304</v>
      </c>
      <c r="BQ368" s="338">
        <f>BQ137/BQ271</f>
        <v>0.165021925889775</v>
      </c>
      <c r="BR368" s="338">
        <f>BR137/BR271</f>
        <v>0.310652190042787</v>
      </c>
      <c r="BS368" s="338">
        <f>BS137/BS271</f>
        <v>0.102068732734653</v>
      </c>
      <c r="BT368" s="338">
        <f>BT137/BT271</f>
        <v>0.21819551796218</v>
      </c>
      <c r="BV368" s="338">
        <f>BV137/BV271</f>
        <v>0.179077377389361</v>
      </c>
      <c r="BW368" s="338">
        <f>BW137/BW271</f>
        <v>0.328494325250244</v>
      </c>
      <c r="BX368" s="338">
        <f>BX137/BX271</f>
        <v>0.107315839738672</v>
      </c>
      <c r="BY368" s="338">
        <f>BY137/BY271</f>
        <v>0.226783164219012</v>
      </c>
      <c r="CA368" s="338">
        <f>CA137/CA271</f>
        <v>0.18484634096702</v>
      </c>
      <c r="CB368" s="338">
        <f>CB137/CB271</f>
        <v>0.335539434718121</v>
      </c>
      <c r="CC368" s="338">
        <f>CC137/CC271</f>
        <v>0.109377429427133</v>
      </c>
      <c r="CD368" s="338">
        <f>CD137/CD271</f>
        <v>0.230094118016457</v>
      </c>
      <c r="CF368" s="338">
        <f>CF137/CF271</f>
        <v>0.187049013992831</v>
      </c>
      <c r="CG368" s="338">
        <f>CG137/CG271</f>
        <v>0.338194676867103</v>
      </c>
      <c r="CH368" s="338">
        <f>CH137/CH271</f>
        <v>0.110150237752153</v>
      </c>
      <c r="CI368" s="338">
        <f>CI137/CI271</f>
        <v>0.231331075483079</v>
      </c>
      <c r="CK368" s="338">
        <f>CK137/CK271</f>
        <v>0.187868876159074</v>
      </c>
      <c r="CL368" s="338">
        <f>CL137/CL271</f>
        <v>0.339176539996785</v>
      </c>
      <c r="CM368" s="338">
        <f>CM137/CM271</f>
        <v>0.11043613903176</v>
      </c>
      <c r="CN368" s="338">
        <f>CN137/CN271</f>
        <v>0.231786840713741</v>
      </c>
      <c r="CP368" s="338">
        <f>CP137/CP271</f>
        <v>0.188170544840814</v>
      </c>
      <c r="CQ368" s="338">
        <f>CQ137/CQ271</f>
        <v>0.339537373671246</v>
      </c>
      <c r="CR368" s="338">
        <f>CR137/CR271</f>
        <v>0.110541036542907</v>
      </c>
      <c r="CS368" s="338">
        <f>CS137/CS271</f>
        <v>0.231954150147895</v>
      </c>
      <c r="CU368" s="338">
        <f>CU137/CU271</f>
        <v>0.188281229897936</v>
      </c>
      <c r="CV368" s="338">
        <f>CV137/CV271</f>
        <v>0.33966959206409</v>
      </c>
      <c r="CW368" s="338">
        <f>CW137/CW271</f>
        <v>0.110579501018636</v>
      </c>
      <c r="CX368" s="338">
        <f>CX137/CX271</f>
        <v>0.232015421530671</v>
      </c>
    </row>
    <row r="370" ht="12.75" customHeight="1" s="255">
      <c r="C370" s="330" t="inlineStr">
        <is>
          <t>Scenario Analysis</t>
        </is>
      </c>
      <c r="D370" s="330" t="n"/>
      <c r="E370" s="330" t="n"/>
      <c r="F370" s="330" t="n"/>
      <c r="G370" s="330" t="n"/>
      <c r="H370" s="330" t="n"/>
      <c r="I370" s="330" t="n"/>
      <c r="J370" s="330" t="n"/>
      <c r="K370" s="330" t="n"/>
      <c r="L370" s="330" t="n"/>
      <c r="M370" s="330" t="n"/>
      <c r="N370" s="330" t="n"/>
      <c r="O370" s="330" t="n"/>
      <c r="P370" s="330" t="n"/>
      <c r="Q370" s="330" t="n"/>
      <c r="R370" s="330" t="n"/>
      <c r="S370" s="330" t="n"/>
      <c r="T370" s="330" t="n"/>
      <c r="U370" s="330" t="n"/>
      <c r="V370" s="330" t="n"/>
      <c r="W370" s="330" t="n"/>
      <c r="X370" s="330" t="n"/>
      <c r="Y370" s="330" t="n"/>
      <c r="Z370" s="330" t="n"/>
      <c r="AA370" s="330" t="n"/>
      <c r="AB370" s="330" t="n"/>
      <c r="AC370" s="330" t="n"/>
      <c r="AD370" s="330" t="n"/>
      <c r="AE370" s="330" t="n"/>
      <c r="AF370" s="330" t="n"/>
      <c r="AG370" s="330" t="n"/>
      <c r="AH370" s="330" t="n"/>
      <c r="AI370" s="330" t="n"/>
      <c r="AJ370" s="330" t="n"/>
      <c r="AK370" s="330" t="n"/>
      <c r="AL370" s="330" t="n"/>
      <c r="AM370" s="330" t="n"/>
      <c r="AN370" s="330" t="n"/>
      <c r="AO370" s="330" t="n"/>
      <c r="AP370" s="330" t="n"/>
      <c r="AQ370" s="330" t="n"/>
      <c r="AR370" s="330" t="n"/>
      <c r="AS370" s="330" t="n"/>
      <c r="AT370" s="330" t="n"/>
      <c r="AU370" s="330" t="n"/>
      <c r="AV370" s="330" t="n"/>
      <c r="AW370" s="330" t="n"/>
      <c r="AX370" s="330" t="n"/>
      <c r="AY370" s="330" t="n"/>
      <c r="AZ370" s="330" t="n"/>
      <c r="BA370" s="330" t="n"/>
      <c r="BB370" s="330" t="n"/>
      <c r="BC370" s="330" t="n"/>
      <c r="BD370" s="330" t="n"/>
      <c r="BE370" s="330" t="n"/>
      <c r="BF370" s="330" t="n"/>
      <c r="BG370" s="330" t="n"/>
      <c r="BH370" s="330" t="n"/>
      <c r="BI370" s="330" t="n"/>
      <c r="BJ370" s="330" t="n"/>
      <c r="BK370" s="330" t="n"/>
      <c r="BL370" s="330" t="n"/>
      <c r="BM370" s="330" t="n"/>
      <c r="BN370" s="330" t="n"/>
      <c r="BO370" s="330" t="n"/>
      <c r="BP370" s="330" t="n"/>
      <c r="BQ370" s="330" t="n"/>
      <c r="BR370" s="330" t="n"/>
      <c r="BS370" s="330" t="n"/>
      <c r="BT370" s="330" t="n"/>
      <c r="BU370" s="330" t="n"/>
      <c r="BV370" s="330" t="n"/>
      <c r="BW370" s="330" t="n"/>
      <c r="BX370" s="330" t="n"/>
      <c r="BY370" s="330" t="n"/>
      <c r="BZ370" s="330" t="n"/>
      <c r="CA370" s="330" t="n"/>
      <c r="CB370" s="330" t="n"/>
      <c r="CC370" s="330" t="n"/>
      <c r="CD370" s="330" t="n"/>
      <c r="CE370" s="330" t="n"/>
      <c r="CF370" s="330" t="n"/>
      <c r="CG370" s="330" t="n"/>
      <c r="CH370" s="330" t="n"/>
      <c r="CI370" s="330" t="n"/>
      <c r="CJ370" s="330" t="n"/>
      <c r="CK370" s="330" t="n"/>
      <c r="CL370" s="330" t="n"/>
      <c r="CM370" s="330" t="n"/>
      <c r="CN370" s="330" t="n"/>
      <c r="CO370" s="330" t="n"/>
      <c r="CP370" s="330" t="n"/>
      <c r="CQ370" s="330" t="n"/>
      <c r="CR370" s="330" t="n"/>
      <c r="CS370" s="330" t="n"/>
      <c r="CT370" s="330" t="n"/>
      <c r="CU370" s="330" t="n"/>
      <c r="CV370" s="330" t="n"/>
      <c r="CW370" s="330" t="n"/>
      <c r="CX370" s="330" t="n"/>
      <c r="CY370" s="330" t="n"/>
    </row>
    <row r="373" ht="12.75" customHeight="1" s="255">
      <c r="C373" s="260" t="inlineStr">
        <is>
          <t>Bull case</t>
        </is>
      </c>
    </row>
    <row r="374" ht="12.75" customHeight="1" s="255">
      <c r="C374" s="260" t="inlineStr">
        <is>
          <t>Base case</t>
        </is>
      </c>
    </row>
    <row r="375" ht="12.75" customHeight="1" s="255">
      <c r="C375" s="260" t="inlineStr">
        <is>
          <t>Bear case</t>
        </is>
      </c>
    </row>
    <row r="378" ht="12.75" customHeight="1" s="255">
      <c r="C378" s="260" t="inlineStr">
        <is>
          <t>Bull case</t>
        </is>
      </c>
    </row>
    <row r="379" ht="12.75" customHeight="1" s="255">
      <c r="C379" s="260" t="inlineStr">
        <is>
          <t>Base case</t>
        </is>
      </c>
    </row>
    <row r="380" ht="12.75" customHeight="1" s="255">
      <c r="C380" s="260" t="inlineStr">
        <is>
          <t>Bear case</t>
        </is>
      </c>
    </row>
    <row r="383" ht="12.75" customHeight="1" s="255">
      <c r="C383" s="260" t="inlineStr">
        <is>
          <t>% Gross Margin</t>
        </is>
      </c>
    </row>
    <row r="384" ht="12.75" customHeight="1" s="255">
      <c r="C384" s="260" t="inlineStr">
        <is>
          <t>Bull case</t>
        </is>
      </c>
    </row>
    <row r="385" ht="12.75" customHeight="1" s="255">
      <c r="C385" s="260" t="inlineStr">
        <is>
          <t>Base case</t>
        </is>
      </c>
    </row>
    <row r="386" ht="12.75" customHeight="1" s="255">
      <c r="C386" s="260" t="inlineStr">
        <is>
          <t>Bear case</t>
        </is>
      </c>
    </row>
    <row r="389" ht="12.75" customHeight="1" s="255">
      <c r="C389" s="260" t="inlineStr">
        <is>
          <t>Capital expenditures</t>
        </is>
      </c>
    </row>
    <row r="390" ht="12.75" customHeight="1" s="255">
      <c r="C390" s="260" t="inlineStr">
        <is>
          <t>Bull case</t>
        </is>
      </c>
    </row>
    <row r="391" ht="12.75" customHeight="1" s="255">
      <c r="C391" s="260" t="inlineStr">
        <is>
          <t>Base case</t>
        </is>
      </c>
    </row>
    <row r="392" ht="12.75" customHeight="1" s="255">
      <c r="C392" s="260" t="inlineStr">
        <is>
          <t>Bear case</t>
        </is>
      </c>
    </row>
  </sheetData>
  <conditionalFormatting sqref="CU315:CX315">
    <cfRule type="cellIs" rank="0" priority="2" equalAverage="0" operator="notEqual" aboveAverage="0" dxfId="0" text="" percent="0" bottom="0">
      <formula>0</formula>
    </cfRule>
  </conditionalFormatting>
  <conditionalFormatting sqref="CP315:CS315">
    <cfRule type="cellIs" rank="0" priority="3" equalAverage="0" operator="notEqual" aboveAverage="0" dxfId="0" text="" percent="0" bottom="0">
      <formula>0</formula>
    </cfRule>
  </conditionalFormatting>
  <conditionalFormatting sqref="CK315:CN315">
    <cfRule type="cellIs" rank="0" priority="4" equalAverage="0" operator="notEqual" aboveAverage="0" dxfId="0" text="" percent="0" bottom="0">
      <formula>0</formula>
    </cfRule>
  </conditionalFormatting>
  <conditionalFormatting sqref="CF315:CI315">
    <cfRule type="cellIs" rank="0" priority="5" equalAverage="0" operator="notEqual" aboveAverage="0" dxfId="0" text="" percent="0" bottom="0">
      <formula>0</formula>
    </cfRule>
  </conditionalFormatting>
  <conditionalFormatting sqref="CA315:CD315">
    <cfRule type="cellIs" rank="0" priority="6" equalAverage="0" operator="notEqual" aboveAverage="0" dxfId="0" text="" percent="0" bottom="0">
      <formula>0</formula>
    </cfRule>
  </conditionalFormatting>
  <conditionalFormatting sqref="BV315:BY315">
    <cfRule type="cellIs" rank="0" priority="7" equalAverage="0" operator="notEqual" aboveAverage="0" dxfId="0" text="" percent="0" bottom="0">
      <formula>0</formula>
    </cfRule>
  </conditionalFormatting>
  <conditionalFormatting sqref="BQ315:BT315">
    <cfRule type="cellIs" rank="0" priority="8" equalAverage="0" operator="notEqual" aboveAverage="0" dxfId="0" text="" percent="0" bottom="0">
      <formula>0</formula>
    </cfRule>
  </conditionalFormatting>
  <conditionalFormatting sqref="BL315:BO315">
    <cfRule type="cellIs" rank="0" priority="9" equalAverage="0" operator="notEqual" aboveAverage="0" dxfId="0" text="" percent="0" bottom="0">
      <formula>0</formula>
    </cfRule>
  </conditionalFormatting>
  <conditionalFormatting sqref="BG315:BJ315">
    <cfRule type="cellIs" rank="0" priority="10" equalAverage="0" operator="notEqual" aboveAverage="0" dxfId="0" text="" percent="0" bottom="0">
      <formula>0</formula>
    </cfRule>
  </conditionalFormatting>
  <conditionalFormatting sqref="BB315:BE315">
    <cfRule type="cellIs" rank="0" priority="11" equalAverage="0" operator="notEqual" aboveAverage="0" dxfId="0" text="" percent="0" bottom="0">
      <formula>0</formula>
    </cfRule>
  </conditionalFormatting>
  <conditionalFormatting sqref="AW315:AZ315">
    <cfRule type="cellIs" rank="0" priority="12" equalAverage="0" operator="notEqual" aboveAverage="0" dxfId="0" text="" percent="0" bottom="0">
      <formula>0</formula>
    </cfRule>
  </conditionalFormatting>
  <conditionalFormatting sqref="AR315:AU315">
    <cfRule type="cellIs" rank="0" priority="13" equalAverage="0" operator="notEqual" aboveAverage="0" dxfId="0" text="" percent="0" bottom="0">
      <formula>0</formula>
    </cfRule>
  </conditionalFormatting>
  <conditionalFormatting sqref="AM315:AP315">
    <cfRule type="cellIs" rank="0" priority="14" equalAverage="0" operator="notEqual" aboveAverage="0" dxfId="0" text="" percent="0" bottom="0">
      <formula>0</formula>
    </cfRule>
  </conditionalFormatting>
  <conditionalFormatting sqref="AH315:AK315">
    <cfRule type="cellIs" rank="0" priority="15" equalAverage="0" operator="notEqual" aboveAverage="0" dxfId="0" text="" percent="0" bottom="0">
      <formula>0</formula>
    </cfRule>
  </conditionalFormatting>
  <conditionalFormatting sqref="E315:G315">
    <cfRule type="cellIs" rank="0" priority="16" equalAverage="0" operator="notEqual" aboveAverage="0" dxfId="0" text="" percent="0" bottom="0">
      <formula>0</formula>
    </cfRule>
  </conditionalFormatting>
  <conditionalFormatting sqref="E5:H5">
    <cfRule type="cellIs" rank="0" priority="17" equalAverage="0" operator="greaterThan" aboveAverage="0" dxfId="1" text="" percent="0" bottom="0">
      <formula>$B$5</formula>
    </cfRule>
  </conditionalFormatting>
  <conditionalFormatting sqref="D1:CY3">
    <cfRule type="cellIs" rank="0" priority="18" equalAverage="0" operator="greaterThan" aboveAverage="0" dxfId="2" text="" percent="0" bottom="0">
      <formula>1</formula>
    </cfRule>
  </conditionalFormatting>
  <conditionalFormatting sqref="AC315:AF315">
    <cfRule type="cellIs" rank="0" priority="19" equalAverage="0" operator="notEqual" aboveAverage="0" dxfId="0" text="" percent="0" bottom="0">
      <formula>0</formula>
    </cfRule>
  </conditionalFormatting>
  <conditionalFormatting sqref="X315:AA315">
    <cfRule type="cellIs" rank="0" priority="20" equalAverage="0" operator="notEqual" aboveAverage="0" dxfId="0" text="" percent="0" bottom="0">
      <formula>0</formula>
    </cfRule>
  </conditionalFormatting>
  <conditionalFormatting sqref="S315:V315">
    <cfRule type="cellIs" rank="0" priority="21" equalAverage="0" operator="notEqual" aboveAverage="0" dxfId="0" text="" percent="0" bottom="0">
      <formula>0</formula>
    </cfRule>
  </conditionalFormatting>
  <conditionalFormatting sqref="N315:Q315">
    <cfRule type="cellIs" rank="0" priority="22" equalAverage="0" operator="notEqual" aboveAverage="0" dxfId="0" text="" percent="0" bottom="0">
      <formula>0</formula>
    </cfRule>
  </conditionalFormatting>
  <conditionalFormatting sqref="I315:L315">
    <cfRule type="cellIs" rank="0" priority="23" equalAverage="0" operator="notEqual" aboveAverage="0" dxfId="0" text="" percent="0" bottom="0">
      <formula>0</formula>
    </cfRule>
  </conditionalFormatting>
  <conditionalFormatting sqref="J5:CY5">
    <cfRule type="cellIs" rank="0" priority="24" equalAverage="0" operator="greaterThan" aboveAverage="0" dxfId="1" text="" percent="0" bottom="0">
      <formula>$B$5</formula>
    </cfRule>
  </conditionalFormatting>
  <conditionalFormatting sqref="B1:B4 B13:B1048576">
    <cfRule type="expression" rank="0" priority="25" equalAverage="0" aboveAverage="0" dxfId="3" text="" percent="0" bottom="0">
      <formula>B1&lt;&gt;""</formula>
    </cfRule>
  </conditionalFormatting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3:AB102"/>
  <sheetViews>
    <sheetView showFormulas="0" showGridLines="1" showRowColHeaders="1" showZeros="1" rightToLeft="0" tabSelected="0" showOutlineSymbols="1" defaultGridColor="1" view="normal" topLeftCell="A9" colorId="64" zoomScale="100" zoomScaleNormal="100" zoomScalePageLayoutView="100" workbookViewId="0">
      <selection pane="topLeft" activeCell="D9" activeCellId="0" sqref="D9"/>
    </sheetView>
  </sheetViews>
  <sheetFormatPr baseColWidth="8" defaultColWidth="9.140625" defaultRowHeight="12.75" zeroHeight="0" outlineLevelRow="1"/>
  <cols>
    <col width="2" customWidth="1" style="349" min="1" max="1"/>
    <col outlineLevel="1" width="4.28" customWidth="1" style="349" min="2" max="2"/>
    <col width="54.57" customWidth="1" style="349" min="3" max="3"/>
    <col outlineLevel="1" width="12.85" customWidth="1" style="349" min="4" max="4"/>
    <col outlineLevel="1" width="11.28" customWidth="1" style="349" min="5" max="6"/>
    <col width="11.85" customWidth="1" style="349" min="7" max="7"/>
    <col width="14.14" customWidth="1" style="349" min="8" max="8"/>
    <col width="13.71" customWidth="1" style="349" min="9" max="9"/>
    <col width="11.28" customWidth="1" style="349" min="10" max="12"/>
    <col width="11.71" customWidth="1" style="349" min="13" max="13"/>
    <col width="11.57" customWidth="1" style="349" min="14" max="14"/>
    <col width="11.71" customWidth="1" style="349" min="15" max="15"/>
    <col width="10.85" customWidth="1" style="349" min="16" max="20"/>
    <col width="11.71" customWidth="1" style="349" min="21" max="22"/>
    <col width="9.279999999999999" customWidth="1" style="349" min="23" max="23"/>
    <col width="11.42" customWidth="1" style="349" min="24" max="25"/>
    <col width="10" customWidth="1" style="349" min="26" max="26"/>
    <col width="9.140000000000001" customWidth="1" style="349" min="27" max="27"/>
    <col width="19" customWidth="1" style="349" min="28" max="28"/>
    <col width="9.140000000000001" customWidth="1" style="349" min="29" max="31"/>
    <col width="8" customWidth="1" style="349" min="32" max="32"/>
    <col width="9.140000000000001" customWidth="1" style="349" min="33" max="261"/>
    <col width="2" customWidth="1" style="349" min="262" max="263"/>
    <col width="31.28" customWidth="1" style="349" min="264" max="264"/>
    <col width="13" customWidth="1" style="349" min="265" max="265"/>
    <col width="11.28" customWidth="1" style="349" min="266" max="268"/>
    <col width="13.71" customWidth="1" style="349" min="269" max="269"/>
    <col width="11.28" customWidth="1" style="349" min="270" max="273"/>
    <col width="9.140000000000001" customWidth="1" style="349" min="274" max="275"/>
    <col width="10.85" customWidth="1" style="349" min="276" max="276"/>
    <col width="9.140000000000001" customWidth="1" style="349" min="277" max="517"/>
    <col width="2" customWidth="1" style="349" min="518" max="519"/>
    <col width="31.28" customWidth="1" style="349" min="520" max="520"/>
    <col width="13" customWidth="1" style="349" min="521" max="521"/>
    <col width="11.28" customWidth="1" style="349" min="522" max="524"/>
    <col width="13.71" customWidth="1" style="349" min="525" max="525"/>
    <col width="11.28" customWidth="1" style="349" min="526" max="529"/>
    <col width="9.140000000000001" customWidth="1" style="349" min="530" max="531"/>
    <col width="10.85" customWidth="1" style="349" min="532" max="532"/>
    <col width="9.140000000000001" customWidth="1" style="349" min="533" max="773"/>
    <col width="2" customWidth="1" style="349" min="774" max="775"/>
    <col width="31.28" customWidth="1" style="349" min="776" max="776"/>
    <col width="13" customWidth="1" style="349" min="777" max="777"/>
    <col width="11.28" customWidth="1" style="349" min="778" max="780"/>
    <col width="13.71" customWidth="1" style="349" min="781" max="781"/>
    <col width="11.28" customWidth="1" style="349" min="782" max="785"/>
    <col width="9.140000000000001" customWidth="1" style="349" min="786" max="787"/>
    <col width="10.85" customWidth="1" style="349" min="788" max="788"/>
    <col width="9.140000000000001" customWidth="1" style="349" min="789" max="1029"/>
    <col width="2" customWidth="1" style="349" min="1030" max="1031"/>
    <col width="31.28" customWidth="1" style="349" min="1032" max="1032"/>
    <col width="13" customWidth="1" style="349" min="1033" max="1033"/>
    <col width="11.28" customWidth="1" style="349" min="1034" max="1036"/>
    <col width="13.71" customWidth="1" style="349" min="1037" max="1037"/>
    <col width="11.28" customWidth="1" style="349" min="1038" max="1041"/>
    <col width="9.140000000000001" customWidth="1" style="349" min="1042" max="1043"/>
    <col width="10.85" customWidth="1" style="349" min="1044" max="1044"/>
    <col width="9.140000000000001" customWidth="1" style="349" min="1045" max="1285"/>
    <col width="2" customWidth="1" style="349" min="1286" max="1287"/>
    <col width="31.28" customWidth="1" style="349" min="1288" max="1288"/>
    <col width="13" customWidth="1" style="349" min="1289" max="1289"/>
    <col width="11.28" customWidth="1" style="349" min="1290" max="1292"/>
    <col width="13.71" customWidth="1" style="349" min="1293" max="1293"/>
    <col width="11.28" customWidth="1" style="349" min="1294" max="1297"/>
    <col width="9.140000000000001" customWidth="1" style="349" min="1298" max="1299"/>
    <col width="10.85" customWidth="1" style="349" min="1300" max="1300"/>
    <col width="9.140000000000001" customWidth="1" style="349" min="1301" max="1541"/>
    <col width="2" customWidth="1" style="349" min="1542" max="1543"/>
    <col width="31.28" customWidth="1" style="349" min="1544" max="1544"/>
    <col width="13" customWidth="1" style="349" min="1545" max="1545"/>
    <col width="11.28" customWidth="1" style="349" min="1546" max="1548"/>
    <col width="13.71" customWidth="1" style="349" min="1549" max="1549"/>
    <col width="11.28" customWidth="1" style="349" min="1550" max="1553"/>
    <col width="9.140000000000001" customWidth="1" style="349" min="1554" max="1555"/>
    <col width="10.85" customWidth="1" style="349" min="1556" max="1556"/>
    <col width="9.140000000000001" customWidth="1" style="349" min="1557" max="1797"/>
    <col width="2" customWidth="1" style="349" min="1798" max="1799"/>
    <col width="31.28" customWidth="1" style="349" min="1800" max="1800"/>
    <col width="13" customWidth="1" style="349" min="1801" max="1801"/>
    <col width="11.28" customWidth="1" style="349" min="1802" max="1804"/>
    <col width="13.71" customWidth="1" style="349" min="1805" max="1805"/>
    <col width="11.28" customWidth="1" style="349" min="1806" max="1809"/>
    <col width="9.140000000000001" customWidth="1" style="349" min="1810" max="1811"/>
    <col width="10.85" customWidth="1" style="349" min="1812" max="1812"/>
    <col width="9.140000000000001" customWidth="1" style="349" min="1813" max="2053"/>
    <col width="2" customWidth="1" style="349" min="2054" max="2055"/>
    <col width="31.28" customWidth="1" style="349" min="2056" max="2056"/>
    <col width="13" customWidth="1" style="349" min="2057" max="2057"/>
    <col width="11.28" customWidth="1" style="349" min="2058" max="2060"/>
    <col width="13.71" customWidth="1" style="349" min="2061" max="2061"/>
    <col width="11.28" customWidth="1" style="349" min="2062" max="2065"/>
    <col width="9.140000000000001" customWidth="1" style="349" min="2066" max="2067"/>
    <col width="10.85" customWidth="1" style="349" min="2068" max="2068"/>
    <col width="9.140000000000001" customWidth="1" style="349" min="2069" max="2309"/>
    <col width="2" customWidth="1" style="349" min="2310" max="2311"/>
    <col width="31.28" customWidth="1" style="349" min="2312" max="2312"/>
    <col width="13" customWidth="1" style="349" min="2313" max="2313"/>
    <col width="11.28" customWidth="1" style="349" min="2314" max="2316"/>
    <col width="13.71" customWidth="1" style="349" min="2317" max="2317"/>
    <col width="11.28" customWidth="1" style="349" min="2318" max="2321"/>
    <col width="9.140000000000001" customWidth="1" style="349" min="2322" max="2323"/>
    <col width="10.85" customWidth="1" style="349" min="2324" max="2324"/>
    <col width="9.140000000000001" customWidth="1" style="349" min="2325" max="2565"/>
    <col width="2" customWidth="1" style="349" min="2566" max="2567"/>
    <col width="31.28" customWidth="1" style="349" min="2568" max="2568"/>
    <col width="13" customWidth="1" style="349" min="2569" max="2569"/>
    <col width="11.28" customWidth="1" style="349" min="2570" max="2572"/>
    <col width="13.71" customWidth="1" style="349" min="2573" max="2573"/>
    <col width="11.28" customWidth="1" style="349" min="2574" max="2577"/>
    <col width="9.140000000000001" customWidth="1" style="349" min="2578" max="2579"/>
    <col width="10.85" customWidth="1" style="349" min="2580" max="2580"/>
    <col width="9.140000000000001" customWidth="1" style="349" min="2581" max="2821"/>
    <col width="2" customWidth="1" style="349" min="2822" max="2823"/>
    <col width="31.28" customWidth="1" style="349" min="2824" max="2824"/>
    <col width="13" customWidth="1" style="349" min="2825" max="2825"/>
    <col width="11.28" customWidth="1" style="349" min="2826" max="2828"/>
    <col width="13.71" customWidth="1" style="349" min="2829" max="2829"/>
    <col width="11.28" customWidth="1" style="349" min="2830" max="2833"/>
    <col width="9.140000000000001" customWidth="1" style="349" min="2834" max="2835"/>
    <col width="10.85" customWidth="1" style="349" min="2836" max="2836"/>
    <col width="9.140000000000001" customWidth="1" style="349" min="2837" max="3077"/>
    <col width="2" customWidth="1" style="349" min="3078" max="3079"/>
    <col width="31.28" customWidth="1" style="349" min="3080" max="3080"/>
    <col width="13" customWidth="1" style="349" min="3081" max="3081"/>
    <col width="11.28" customWidth="1" style="349" min="3082" max="3084"/>
    <col width="13.71" customWidth="1" style="349" min="3085" max="3085"/>
    <col width="11.28" customWidth="1" style="349" min="3086" max="3089"/>
    <col width="9.140000000000001" customWidth="1" style="349" min="3090" max="3091"/>
    <col width="10.85" customWidth="1" style="349" min="3092" max="3092"/>
    <col width="9.140000000000001" customWidth="1" style="349" min="3093" max="3333"/>
    <col width="2" customWidth="1" style="349" min="3334" max="3335"/>
    <col width="31.28" customWidth="1" style="349" min="3336" max="3336"/>
    <col width="13" customWidth="1" style="349" min="3337" max="3337"/>
    <col width="11.28" customWidth="1" style="349" min="3338" max="3340"/>
    <col width="13.71" customWidth="1" style="349" min="3341" max="3341"/>
    <col width="11.28" customWidth="1" style="349" min="3342" max="3345"/>
    <col width="9.140000000000001" customWidth="1" style="349" min="3346" max="3347"/>
    <col width="10.85" customWidth="1" style="349" min="3348" max="3348"/>
    <col width="9.140000000000001" customWidth="1" style="349" min="3349" max="3589"/>
    <col width="2" customWidth="1" style="349" min="3590" max="3591"/>
    <col width="31.28" customWidth="1" style="349" min="3592" max="3592"/>
    <col width="13" customWidth="1" style="349" min="3593" max="3593"/>
    <col width="11.28" customWidth="1" style="349" min="3594" max="3596"/>
    <col width="13.71" customWidth="1" style="349" min="3597" max="3597"/>
    <col width="11.28" customWidth="1" style="349" min="3598" max="3601"/>
    <col width="9.140000000000001" customWidth="1" style="349" min="3602" max="3603"/>
    <col width="10.85" customWidth="1" style="349" min="3604" max="3604"/>
    <col width="9.140000000000001" customWidth="1" style="349" min="3605" max="3845"/>
    <col width="2" customWidth="1" style="349" min="3846" max="3847"/>
    <col width="31.28" customWidth="1" style="349" min="3848" max="3848"/>
    <col width="13" customWidth="1" style="349" min="3849" max="3849"/>
    <col width="11.28" customWidth="1" style="349" min="3850" max="3852"/>
    <col width="13.71" customWidth="1" style="349" min="3853" max="3853"/>
    <col width="11.28" customWidth="1" style="349" min="3854" max="3857"/>
    <col width="9.140000000000001" customWidth="1" style="349" min="3858" max="3859"/>
    <col width="10.85" customWidth="1" style="349" min="3860" max="3860"/>
    <col width="9.140000000000001" customWidth="1" style="349" min="3861" max="4101"/>
    <col width="2" customWidth="1" style="349" min="4102" max="4103"/>
    <col width="31.28" customWidth="1" style="349" min="4104" max="4104"/>
    <col width="13" customWidth="1" style="349" min="4105" max="4105"/>
    <col width="11.28" customWidth="1" style="349" min="4106" max="4108"/>
    <col width="13.71" customWidth="1" style="349" min="4109" max="4109"/>
    <col width="11.28" customWidth="1" style="349" min="4110" max="4113"/>
    <col width="9.140000000000001" customWidth="1" style="349" min="4114" max="4115"/>
    <col width="10.85" customWidth="1" style="349" min="4116" max="4116"/>
    <col width="9.140000000000001" customWidth="1" style="349" min="4117" max="4357"/>
    <col width="2" customWidth="1" style="349" min="4358" max="4359"/>
    <col width="31.28" customWidth="1" style="349" min="4360" max="4360"/>
    <col width="13" customWidth="1" style="349" min="4361" max="4361"/>
    <col width="11.28" customWidth="1" style="349" min="4362" max="4364"/>
    <col width="13.71" customWidth="1" style="349" min="4365" max="4365"/>
    <col width="11.28" customWidth="1" style="349" min="4366" max="4369"/>
    <col width="9.140000000000001" customWidth="1" style="349" min="4370" max="4371"/>
    <col width="10.85" customWidth="1" style="349" min="4372" max="4372"/>
    <col width="9.140000000000001" customWidth="1" style="349" min="4373" max="4613"/>
    <col width="2" customWidth="1" style="349" min="4614" max="4615"/>
    <col width="31.28" customWidth="1" style="349" min="4616" max="4616"/>
    <col width="13" customWidth="1" style="349" min="4617" max="4617"/>
    <col width="11.28" customWidth="1" style="349" min="4618" max="4620"/>
    <col width="13.71" customWidth="1" style="349" min="4621" max="4621"/>
    <col width="11.28" customWidth="1" style="349" min="4622" max="4625"/>
    <col width="9.140000000000001" customWidth="1" style="349" min="4626" max="4627"/>
    <col width="10.85" customWidth="1" style="349" min="4628" max="4628"/>
    <col width="9.140000000000001" customWidth="1" style="349" min="4629" max="4869"/>
    <col width="2" customWidth="1" style="349" min="4870" max="4871"/>
    <col width="31.28" customWidth="1" style="349" min="4872" max="4872"/>
    <col width="13" customWidth="1" style="349" min="4873" max="4873"/>
    <col width="11.28" customWidth="1" style="349" min="4874" max="4876"/>
    <col width="13.71" customWidth="1" style="349" min="4877" max="4877"/>
    <col width="11.28" customWidth="1" style="349" min="4878" max="4881"/>
    <col width="9.140000000000001" customWidth="1" style="349" min="4882" max="4883"/>
    <col width="10.85" customWidth="1" style="349" min="4884" max="4884"/>
    <col width="9.140000000000001" customWidth="1" style="349" min="4885" max="5125"/>
    <col width="2" customWidth="1" style="349" min="5126" max="5127"/>
    <col width="31.28" customWidth="1" style="349" min="5128" max="5128"/>
    <col width="13" customWidth="1" style="349" min="5129" max="5129"/>
    <col width="11.28" customWidth="1" style="349" min="5130" max="5132"/>
    <col width="13.71" customWidth="1" style="349" min="5133" max="5133"/>
    <col width="11.28" customWidth="1" style="349" min="5134" max="5137"/>
    <col width="9.140000000000001" customWidth="1" style="349" min="5138" max="5139"/>
    <col width="10.85" customWidth="1" style="349" min="5140" max="5140"/>
    <col width="9.140000000000001" customWidth="1" style="349" min="5141" max="5381"/>
    <col width="2" customWidth="1" style="349" min="5382" max="5383"/>
    <col width="31.28" customWidth="1" style="349" min="5384" max="5384"/>
    <col width="13" customWidth="1" style="349" min="5385" max="5385"/>
    <col width="11.28" customWidth="1" style="349" min="5386" max="5388"/>
    <col width="13.71" customWidth="1" style="349" min="5389" max="5389"/>
    <col width="11.28" customWidth="1" style="349" min="5390" max="5393"/>
    <col width="9.140000000000001" customWidth="1" style="349" min="5394" max="5395"/>
    <col width="10.85" customWidth="1" style="349" min="5396" max="5396"/>
    <col width="9.140000000000001" customWidth="1" style="349" min="5397" max="5637"/>
    <col width="2" customWidth="1" style="349" min="5638" max="5639"/>
    <col width="31.28" customWidth="1" style="349" min="5640" max="5640"/>
    <col width="13" customWidth="1" style="349" min="5641" max="5641"/>
    <col width="11.28" customWidth="1" style="349" min="5642" max="5644"/>
    <col width="13.71" customWidth="1" style="349" min="5645" max="5645"/>
    <col width="11.28" customWidth="1" style="349" min="5646" max="5649"/>
    <col width="9.140000000000001" customWidth="1" style="349" min="5650" max="5651"/>
    <col width="10.85" customWidth="1" style="349" min="5652" max="5652"/>
    <col width="9.140000000000001" customWidth="1" style="349" min="5653" max="5893"/>
    <col width="2" customWidth="1" style="349" min="5894" max="5895"/>
    <col width="31.28" customWidth="1" style="349" min="5896" max="5896"/>
    <col width="13" customWidth="1" style="349" min="5897" max="5897"/>
    <col width="11.28" customWidth="1" style="349" min="5898" max="5900"/>
    <col width="13.71" customWidth="1" style="349" min="5901" max="5901"/>
    <col width="11.28" customWidth="1" style="349" min="5902" max="5905"/>
    <col width="9.140000000000001" customWidth="1" style="349" min="5906" max="5907"/>
    <col width="10.85" customWidth="1" style="349" min="5908" max="5908"/>
    <col width="9.140000000000001" customWidth="1" style="349" min="5909" max="6149"/>
    <col width="2" customWidth="1" style="349" min="6150" max="6151"/>
    <col width="31.28" customWidth="1" style="349" min="6152" max="6152"/>
    <col width="13" customWidth="1" style="349" min="6153" max="6153"/>
    <col width="11.28" customWidth="1" style="349" min="6154" max="6156"/>
    <col width="13.71" customWidth="1" style="349" min="6157" max="6157"/>
    <col width="11.28" customWidth="1" style="349" min="6158" max="6161"/>
    <col width="9.140000000000001" customWidth="1" style="349" min="6162" max="6163"/>
    <col width="10.85" customWidth="1" style="349" min="6164" max="6164"/>
    <col width="9.140000000000001" customWidth="1" style="349" min="6165" max="6405"/>
    <col width="2" customWidth="1" style="349" min="6406" max="6407"/>
    <col width="31.28" customWidth="1" style="349" min="6408" max="6408"/>
    <col width="13" customWidth="1" style="349" min="6409" max="6409"/>
    <col width="11.28" customWidth="1" style="349" min="6410" max="6412"/>
    <col width="13.71" customWidth="1" style="349" min="6413" max="6413"/>
    <col width="11.28" customWidth="1" style="349" min="6414" max="6417"/>
    <col width="9.140000000000001" customWidth="1" style="349" min="6418" max="6419"/>
    <col width="10.85" customWidth="1" style="349" min="6420" max="6420"/>
    <col width="9.140000000000001" customWidth="1" style="349" min="6421" max="6661"/>
    <col width="2" customWidth="1" style="349" min="6662" max="6663"/>
    <col width="31.28" customWidth="1" style="349" min="6664" max="6664"/>
    <col width="13" customWidth="1" style="349" min="6665" max="6665"/>
    <col width="11.28" customWidth="1" style="349" min="6666" max="6668"/>
    <col width="13.71" customWidth="1" style="349" min="6669" max="6669"/>
    <col width="11.28" customWidth="1" style="349" min="6670" max="6673"/>
    <col width="9.140000000000001" customWidth="1" style="349" min="6674" max="6675"/>
    <col width="10.85" customWidth="1" style="349" min="6676" max="6676"/>
    <col width="9.140000000000001" customWidth="1" style="349" min="6677" max="6917"/>
    <col width="2" customWidth="1" style="349" min="6918" max="6919"/>
    <col width="31.28" customWidth="1" style="349" min="6920" max="6920"/>
    <col width="13" customWidth="1" style="349" min="6921" max="6921"/>
    <col width="11.28" customWidth="1" style="349" min="6922" max="6924"/>
    <col width="13.71" customWidth="1" style="349" min="6925" max="6925"/>
    <col width="11.28" customWidth="1" style="349" min="6926" max="6929"/>
    <col width="9.140000000000001" customWidth="1" style="349" min="6930" max="6931"/>
    <col width="10.85" customWidth="1" style="349" min="6932" max="6932"/>
    <col width="9.140000000000001" customWidth="1" style="349" min="6933" max="7173"/>
    <col width="2" customWidth="1" style="349" min="7174" max="7175"/>
    <col width="31.28" customWidth="1" style="349" min="7176" max="7176"/>
    <col width="13" customWidth="1" style="349" min="7177" max="7177"/>
    <col width="11.28" customWidth="1" style="349" min="7178" max="7180"/>
    <col width="13.71" customWidth="1" style="349" min="7181" max="7181"/>
    <col width="11.28" customWidth="1" style="349" min="7182" max="7185"/>
    <col width="9.140000000000001" customWidth="1" style="349" min="7186" max="7187"/>
    <col width="10.85" customWidth="1" style="349" min="7188" max="7188"/>
    <col width="9.140000000000001" customWidth="1" style="349" min="7189" max="7429"/>
    <col width="2" customWidth="1" style="349" min="7430" max="7431"/>
    <col width="31.28" customWidth="1" style="349" min="7432" max="7432"/>
    <col width="13" customWidth="1" style="349" min="7433" max="7433"/>
    <col width="11.28" customWidth="1" style="349" min="7434" max="7436"/>
    <col width="13.71" customWidth="1" style="349" min="7437" max="7437"/>
    <col width="11.28" customWidth="1" style="349" min="7438" max="7441"/>
    <col width="9.140000000000001" customWidth="1" style="349" min="7442" max="7443"/>
    <col width="10.85" customWidth="1" style="349" min="7444" max="7444"/>
    <col width="9.140000000000001" customWidth="1" style="349" min="7445" max="7685"/>
    <col width="2" customWidth="1" style="349" min="7686" max="7687"/>
    <col width="31.28" customWidth="1" style="349" min="7688" max="7688"/>
    <col width="13" customWidth="1" style="349" min="7689" max="7689"/>
    <col width="11.28" customWidth="1" style="349" min="7690" max="7692"/>
    <col width="13.71" customWidth="1" style="349" min="7693" max="7693"/>
    <col width="11.28" customWidth="1" style="349" min="7694" max="7697"/>
    <col width="9.140000000000001" customWidth="1" style="349" min="7698" max="7699"/>
    <col width="10.85" customWidth="1" style="349" min="7700" max="7700"/>
    <col width="9.140000000000001" customWidth="1" style="349" min="7701" max="7941"/>
    <col width="2" customWidth="1" style="349" min="7942" max="7943"/>
    <col width="31.28" customWidth="1" style="349" min="7944" max="7944"/>
    <col width="13" customWidth="1" style="349" min="7945" max="7945"/>
    <col width="11.28" customWidth="1" style="349" min="7946" max="7948"/>
    <col width="13.71" customWidth="1" style="349" min="7949" max="7949"/>
    <col width="11.28" customWidth="1" style="349" min="7950" max="7953"/>
    <col width="9.140000000000001" customWidth="1" style="349" min="7954" max="7955"/>
    <col width="10.85" customWidth="1" style="349" min="7956" max="7956"/>
    <col width="9.140000000000001" customWidth="1" style="349" min="7957" max="8197"/>
    <col width="2" customWidth="1" style="349" min="8198" max="8199"/>
    <col width="31.28" customWidth="1" style="349" min="8200" max="8200"/>
    <col width="13" customWidth="1" style="349" min="8201" max="8201"/>
    <col width="11.28" customWidth="1" style="349" min="8202" max="8204"/>
    <col width="13.71" customWidth="1" style="349" min="8205" max="8205"/>
    <col width="11.28" customWidth="1" style="349" min="8206" max="8209"/>
    <col width="9.140000000000001" customWidth="1" style="349" min="8210" max="8211"/>
    <col width="10.85" customWidth="1" style="349" min="8212" max="8212"/>
    <col width="9.140000000000001" customWidth="1" style="349" min="8213" max="8453"/>
    <col width="2" customWidth="1" style="349" min="8454" max="8455"/>
    <col width="31.28" customWidth="1" style="349" min="8456" max="8456"/>
    <col width="13" customWidth="1" style="349" min="8457" max="8457"/>
    <col width="11.28" customWidth="1" style="349" min="8458" max="8460"/>
    <col width="13.71" customWidth="1" style="349" min="8461" max="8461"/>
    <col width="11.28" customWidth="1" style="349" min="8462" max="8465"/>
    <col width="9.140000000000001" customWidth="1" style="349" min="8466" max="8467"/>
    <col width="10.85" customWidth="1" style="349" min="8468" max="8468"/>
    <col width="9.140000000000001" customWidth="1" style="349" min="8469" max="8709"/>
    <col width="2" customWidth="1" style="349" min="8710" max="8711"/>
    <col width="31.28" customWidth="1" style="349" min="8712" max="8712"/>
    <col width="13" customWidth="1" style="349" min="8713" max="8713"/>
    <col width="11.28" customWidth="1" style="349" min="8714" max="8716"/>
    <col width="13.71" customWidth="1" style="349" min="8717" max="8717"/>
    <col width="11.28" customWidth="1" style="349" min="8718" max="8721"/>
    <col width="9.140000000000001" customWidth="1" style="349" min="8722" max="8723"/>
    <col width="10.85" customWidth="1" style="349" min="8724" max="8724"/>
    <col width="9.140000000000001" customWidth="1" style="349" min="8725" max="8965"/>
    <col width="2" customWidth="1" style="349" min="8966" max="8967"/>
    <col width="31.28" customWidth="1" style="349" min="8968" max="8968"/>
    <col width="13" customWidth="1" style="349" min="8969" max="8969"/>
    <col width="11.28" customWidth="1" style="349" min="8970" max="8972"/>
    <col width="13.71" customWidth="1" style="349" min="8973" max="8973"/>
    <col width="11.28" customWidth="1" style="349" min="8974" max="8977"/>
    <col width="9.140000000000001" customWidth="1" style="349" min="8978" max="8979"/>
    <col width="10.85" customWidth="1" style="349" min="8980" max="8980"/>
    <col width="9.140000000000001" customWidth="1" style="349" min="8981" max="9221"/>
    <col width="2" customWidth="1" style="349" min="9222" max="9223"/>
    <col width="31.28" customWidth="1" style="349" min="9224" max="9224"/>
    <col width="13" customWidth="1" style="349" min="9225" max="9225"/>
    <col width="11.28" customWidth="1" style="349" min="9226" max="9228"/>
    <col width="13.71" customWidth="1" style="349" min="9229" max="9229"/>
    <col width="11.28" customWidth="1" style="349" min="9230" max="9233"/>
    <col width="9.140000000000001" customWidth="1" style="349" min="9234" max="9235"/>
    <col width="10.85" customWidth="1" style="349" min="9236" max="9236"/>
    <col width="9.140000000000001" customWidth="1" style="349" min="9237" max="9477"/>
    <col width="2" customWidth="1" style="349" min="9478" max="9479"/>
    <col width="31.28" customWidth="1" style="349" min="9480" max="9480"/>
    <col width="13" customWidth="1" style="349" min="9481" max="9481"/>
    <col width="11.28" customWidth="1" style="349" min="9482" max="9484"/>
    <col width="13.71" customWidth="1" style="349" min="9485" max="9485"/>
    <col width="11.28" customWidth="1" style="349" min="9486" max="9489"/>
    <col width="9.140000000000001" customWidth="1" style="349" min="9490" max="9491"/>
    <col width="10.85" customWidth="1" style="349" min="9492" max="9492"/>
    <col width="9.140000000000001" customWidth="1" style="349" min="9493" max="9733"/>
    <col width="2" customWidth="1" style="349" min="9734" max="9735"/>
    <col width="31.28" customWidth="1" style="349" min="9736" max="9736"/>
    <col width="13" customWidth="1" style="349" min="9737" max="9737"/>
    <col width="11.28" customWidth="1" style="349" min="9738" max="9740"/>
    <col width="13.71" customWidth="1" style="349" min="9741" max="9741"/>
    <col width="11.28" customWidth="1" style="349" min="9742" max="9745"/>
    <col width="9.140000000000001" customWidth="1" style="349" min="9746" max="9747"/>
    <col width="10.85" customWidth="1" style="349" min="9748" max="9748"/>
    <col width="9.140000000000001" customWidth="1" style="349" min="9749" max="9989"/>
    <col width="2" customWidth="1" style="349" min="9990" max="9991"/>
    <col width="31.28" customWidth="1" style="349" min="9992" max="9992"/>
    <col width="13" customWidth="1" style="349" min="9993" max="9993"/>
    <col width="11.28" customWidth="1" style="349" min="9994" max="9996"/>
    <col width="13.71" customWidth="1" style="349" min="9997" max="9997"/>
    <col width="11.28" customWidth="1" style="349" min="9998" max="10001"/>
    <col width="9.140000000000001" customWidth="1" style="349" min="10002" max="10003"/>
    <col width="10.85" customWidth="1" style="349" min="10004" max="10004"/>
    <col width="9.140000000000001" customWidth="1" style="349" min="10005" max="10245"/>
    <col width="2" customWidth="1" style="349" min="10246" max="10247"/>
    <col width="31.28" customWidth="1" style="349" min="10248" max="10248"/>
    <col width="13" customWidth="1" style="349" min="10249" max="10249"/>
    <col width="11.28" customWidth="1" style="349" min="10250" max="10252"/>
    <col width="13.71" customWidth="1" style="349" min="10253" max="10253"/>
    <col width="11.28" customWidth="1" style="349" min="10254" max="10257"/>
    <col width="9.140000000000001" customWidth="1" style="349" min="10258" max="10259"/>
    <col width="10.85" customWidth="1" style="349" min="10260" max="10260"/>
    <col width="9.140000000000001" customWidth="1" style="349" min="10261" max="10501"/>
    <col width="2" customWidth="1" style="349" min="10502" max="10503"/>
    <col width="31.28" customWidth="1" style="349" min="10504" max="10504"/>
    <col width="13" customWidth="1" style="349" min="10505" max="10505"/>
    <col width="11.28" customWidth="1" style="349" min="10506" max="10508"/>
    <col width="13.71" customWidth="1" style="349" min="10509" max="10509"/>
    <col width="11.28" customWidth="1" style="349" min="10510" max="10513"/>
    <col width="9.140000000000001" customWidth="1" style="349" min="10514" max="10515"/>
    <col width="10.85" customWidth="1" style="349" min="10516" max="10516"/>
    <col width="9.140000000000001" customWidth="1" style="349" min="10517" max="10757"/>
    <col width="2" customWidth="1" style="349" min="10758" max="10759"/>
    <col width="31.28" customWidth="1" style="349" min="10760" max="10760"/>
    <col width="13" customWidth="1" style="349" min="10761" max="10761"/>
    <col width="11.28" customWidth="1" style="349" min="10762" max="10764"/>
    <col width="13.71" customWidth="1" style="349" min="10765" max="10765"/>
    <col width="11.28" customWidth="1" style="349" min="10766" max="10769"/>
    <col width="9.140000000000001" customWidth="1" style="349" min="10770" max="10771"/>
    <col width="10.85" customWidth="1" style="349" min="10772" max="10772"/>
    <col width="9.140000000000001" customWidth="1" style="349" min="10773" max="11013"/>
    <col width="2" customWidth="1" style="349" min="11014" max="11015"/>
    <col width="31.28" customWidth="1" style="349" min="11016" max="11016"/>
    <col width="13" customWidth="1" style="349" min="11017" max="11017"/>
    <col width="11.28" customWidth="1" style="349" min="11018" max="11020"/>
    <col width="13.71" customWidth="1" style="349" min="11021" max="11021"/>
    <col width="11.28" customWidth="1" style="349" min="11022" max="11025"/>
    <col width="9.140000000000001" customWidth="1" style="349" min="11026" max="11027"/>
    <col width="10.85" customWidth="1" style="349" min="11028" max="11028"/>
    <col width="9.140000000000001" customWidth="1" style="349" min="11029" max="11269"/>
    <col width="2" customWidth="1" style="349" min="11270" max="11271"/>
    <col width="31.28" customWidth="1" style="349" min="11272" max="11272"/>
    <col width="13" customWidth="1" style="349" min="11273" max="11273"/>
    <col width="11.28" customWidth="1" style="349" min="11274" max="11276"/>
    <col width="13.71" customWidth="1" style="349" min="11277" max="11277"/>
    <col width="11.28" customWidth="1" style="349" min="11278" max="11281"/>
    <col width="9.140000000000001" customWidth="1" style="349" min="11282" max="11283"/>
    <col width="10.85" customWidth="1" style="349" min="11284" max="11284"/>
    <col width="9.140000000000001" customWidth="1" style="349" min="11285" max="11525"/>
    <col width="2" customWidth="1" style="349" min="11526" max="11527"/>
    <col width="31.28" customWidth="1" style="349" min="11528" max="11528"/>
    <col width="13" customWidth="1" style="349" min="11529" max="11529"/>
    <col width="11.28" customWidth="1" style="349" min="11530" max="11532"/>
    <col width="13.71" customWidth="1" style="349" min="11533" max="11533"/>
    <col width="11.28" customWidth="1" style="349" min="11534" max="11537"/>
    <col width="9.140000000000001" customWidth="1" style="349" min="11538" max="11539"/>
    <col width="10.85" customWidth="1" style="349" min="11540" max="11540"/>
    <col width="9.140000000000001" customWidth="1" style="349" min="11541" max="11781"/>
    <col width="2" customWidth="1" style="349" min="11782" max="11783"/>
    <col width="31.28" customWidth="1" style="349" min="11784" max="11784"/>
    <col width="13" customWidth="1" style="349" min="11785" max="11785"/>
    <col width="11.28" customWidth="1" style="349" min="11786" max="11788"/>
    <col width="13.71" customWidth="1" style="349" min="11789" max="11789"/>
    <col width="11.28" customWidth="1" style="349" min="11790" max="11793"/>
    <col width="9.140000000000001" customWidth="1" style="349" min="11794" max="11795"/>
    <col width="10.85" customWidth="1" style="349" min="11796" max="11796"/>
    <col width="9.140000000000001" customWidth="1" style="349" min="11797" max="12037"/>
    <col width="2" customWidth="1" style="349" min="12038" max="12039"/>
    <col width="31.28" customWidth="1" style="349" min="12040" max="12040"/>
    <col width="13" customWidth="1" style="349" min="12041" max="12041"/>
    <col width="11.28" customWidth="1" style="349" min="12042" max="12044"/>
    <col width="13.71" customWidth="1" style="349" min="12045" max="12045"/>
    <col width="11.28" customWidth="1" style="349" min="12046" max="12049"/>
    <col width="9.140000000000001" customWidth="1" style="349" min="12050" max="12051"/>
    <col width="10.85" customWidth="1" style="349" min="12052" max="12052"/>
    <col width="9.140000000000001" customWidth="1" style="349" min="12053" max="12293"/>
    <col width="2" customWidth="1" style="349" min="12294" max="12295"/>
    <col width="31.28" customWidth="1" style="349" min="12296" max="12296"/>
    <col width="13" customWidth="1" style="349" min="12297" max="12297"/>
    <col width="11.28" customWidth="1" style="349" min="12298" max="12300"/>
    <col width="13.71" customWidth="1" style="349" min="12301" max="12301"/>
    <col width="11.28" customWidth="1" style="349" min="12302" max="12305"/>
    <col width="9.140000000000001" customWidth="1" style="349" min="12306" max="12307"/>
    <col width="10.85" customWidth="1" style="349" min="12308" max="12308"/>
    <col width="9.140000000000001" customWidth="1" style="349" min="12309" max="12549"/>
    <col width="2" customWidth="1" style="349" min="12550" max="12551"/>
    <col width="31.28" customWidth="1" style="349" min="12552" max="12552"/>
    <col width="13" customWidth="1" style="349" min="12553" max="12553"/>
    <col width="11.28" customWidth="1" style="349" min="12554" max="12556"/>
    <col width="13.71" customWidth="1" style="349" min="12557" max="12557"/>
    <col width="11.28" customWidth="1" style="349" min="12558" max="12561"/>
    <col width="9.140000000000001" customWidth="1" style="349" min="12562" max="12563"/>
    <col width="10.85" customWidth="1" style="349" min="12564" max="12564"/>
    <col width="9.140000000000001" customWidth="1" style="349" min="12565" max="12805"/>
    <col width="2" customWidth="1" style="349" min="12806" max="12807"/>
    <col width="31.28" customWidth="1" style="349" min="12808" max="12808"/>
    <col width="13" customWidth="1" style="349" min="12809" max="12809"/>
    <col width="11.28" customWidth="1" style="349" min="12810" max="12812"/>
    <col width="13.71" customWidth="1" style="349" min="12813" max="12813"/>
    <col width="11.28" customWidth="1" style="349" min="12814" max="12817"/>
    <col width="9.140000000000001" customWidth="1" style="349" min="12818" max="12819"/>
    <col width="10.85" customWidth="1" style="349" min="12820" max="12820"/>
    <col width="9.140000000000001" customWidth="1" style="349" min="12821" max="13061"/>
    <col width="2" customWidth="1" style="349" min="13062" max="13063"/>
    <col width="31.28" customWidth="1" style="349" min="13064" max="13064"/>
    <col width="13" customWidth="1" style="349" min="13065" max="13065"/>
    <col width="11.28" customWidth="1" style="349" min="13066" max="13068"/>
    <col width="13.71" customWidth="1" style="349" min="13069" max="13069"/>
    <col width="11.28" customWidth="1" style="349" min="13070" max="13073"/>
    <col width="9.140000000000001" customWidth="1" style="349" min="13074" max="13075"/>
    <col width="10.85" customWidth="1" style="349" min="13076" max="13076"/>
    <col width="9.140000000000001" customWidth="1" style="349" min="13077" max="13317"/>
    <col width="2" customWidth="1" style="349" min="13318" max="13319"/>
    <col width="31.28" customWidth="1" style="349" min="13320" max="13320"/>
    <col width="13" customWidth="1" style="349" min="13321" max="13321"/>
    <col width="11.28" customWidth="1" style="349" min="13322" max="13324"/>
    <col width="13.71" customWidth="1" style="349" min="13325" max="13325"/>
    <col width="11.28" customWidth="1" style="349" min="13326" max="13329"/>
    <col width="9.140000000000001" customWidth="1" style="349" min="13330" max="13331"/>
    <col width="10.85" customWidth="1" style="349" min="13332" max="13332"/>
    <col width="9.140000000000001" customWidth="1" style="349" min="13333" max="13573"/>
    <col width="2" customWidth="1" style="349" min="13574" max="13575"/>
    <col width="31.28" customWidth="1" style="349" min="13576" max="13576"/>
    <col width="13" customWidth="1" style="349" min="13577" max="13577"/>
    <col width="11.28" customWidth="1" style="349" min="13578" max="13580"/>
    <col width="13.71" customWidth="1" style="349" min="13581" max="13581"/>
    <col width="11.28" customWidth="1" style="349" min="13582" max="13585"/>
    <col width="9.140000000000001" customWidth="1" style="349" min="13586" max="13587"/>
    <col width="10.85" customWidth="1" style="349" min="13588" max="13588"/>
    <col width="9.140000000000001" customWidth="1" style="349" min="13589" max="13829"/>
    <col width="2" customWidth="1" style="349" min="13830" max="13831"/>
    <col width="31.28" customWidth="1" style="349" min="13832" max="13832"/>
    <col width="13" customWidth="1" style="349" min="13833" max="13833"/>
    <col width="11.28" customWidth="1" style="349" min="13834" max="13836"/>
    <col width="13.71" customWidth="1" style="349" min="13837" max="13837"/>
    <col width="11.28" customWidth="1" style="349" min="13838" max="13841"/>
    <col width="9.140000000000001" customWidth="1" style="349" min="13842" max="13843"/>
    <col width="10.85" customWidth="1" style="349" min="13844" max="13844"/>
    <col width="9.140000000000001" customWidth="1" style="349" min="13845" max="14085"/>
    <col width="2" customWidth="1" style="349" min="14086" max="14087"/>
    <col width="31.28" customWidth="1" style="349" min="14088" max="14088"/>
    <col width="13" customWidth="1" style="349" min="14089" max="14089"/>
    <col width="11.28" customWidth="1" style="349" min="14090" max="14092"/>
    <col width="13.71" customWidth="1" style="349" min="14093" max="14093"/>
    <col width="11.28" customWidth="1" style="349" min="14094" max="14097"/>
    <col width="9.140000000000001" customWidth="1" style="349" min="14098" max="14099"/>
    <col width="10.85" customWidth="1" style="349" min="14100" max="14100"/>
    <col width="9.140000000000001" customWidth="1" style="349" min="14101" max="14341"/>
    <col width="2" customWidth="1" style="349" min="14342" max="14343"/>
    <col width="31.28" customWidth="1" style="349" min="14344" max="14344"/>
    <col width="13" customWidth="1" style="349" min="14345" max="14345"/>
    <col width="11.28" customWidth="1" style="349" min="14346" max="14348"/>
    <col width="13.71" customWidth="1" style="349" min="14349" max="14349"/>
    <col width="11.28" customWidth="1" style="349" min="14350" max="14353"/>
    <col width="9.140000000000001" customWidth="1" style="349" min="14354" max="14355"/>
    <col width="10.85" customWidth="1" style="349" min="14356" max="14356"/>
    <col width="9.140000000000001" customWidth="1" style="349" min="14357" max="14597"/>
    <col width="2" customWidth="1" style="349" min="14598" max="14599"/>
    <col width="31.28" customWidth="1" style="349" min="14600" max="14600"/>
    <col width="13" customWidth="1" style="349" min="14601" max="14601"/>
    <col width="11.28" customWidth="1" style="349" min="14602" max="14604"/>
    <col width="13.71" customWidth="1" style="349" min="14605" max="14605"/>
    <col width="11.28" customWidth="1" style="349" min="14606" max="14609"/>
    <col width="9.140000000000001" customWidth="1" style="349" min="14610" max="14611"/>
    <col width="10.85" customWidth="1" style="349" min="14612" max="14612"/>
    <col width="9.140000000000001" customWidth="1" style="349" min="14613" max="14853"/>
    <col width="2" customWidth="1" style="349" min="14854" max="14855"/>
    <col width="31.28" customWidth="1" style="349" min="14856" max="14856"/>
    <col width="13" customWidth="1" style="349" min="14857" max="14857"/>
    <col width="11.28" customWidth="1" style="349" min="14858" max="14860"/>
    <col width="13.71" customWidth="1" style="349" min="14861" max="14861"/>
    <col width="11.28" customWidth="1" style="349" min="14862" max="14865"/>
    <col width="9.140000000000001" customWidth="1" style="349" min="14866" max="14867"/>
    <col width="10.85" customWidth="1" style="349" min="14868" max="14868"/>
    <col width="9.140000000000001" customWidth="1" style="349" min="14869" max="15109"/>
    <col width="2" customWidth="1" style="349" min="15110" max="15111"/>
    <col width="31.28" customWidth="1" style="349" min="15112" max="15112"/>
    <col width="13" customWidth="1" style="349" min="15113" max="15113"/>
    <col width="11.28" customWidth="1" style="349" min="15114" max="15116"/>
    <col width="13.71" customWidth="1" style="349" min="15117" max="15117"/>
    <col width="11.28" customWidth="1" style="349" min="15118" max="15121"/>
    <col width="9.140000000000001" customWidth="1" style="349" min="15122" max="15123"/>
    <col width="10.85" customWidth="1" style="349" min="15124" max="15124"/>
    <col width="9.140000000000001" customWidth="1" style="349" min="15125" max="15365"/>
    <col width="2" customWidth="1" style="349" min="15366" max="15367"/>
    <col width="31.28" customWidth="1" style="349" min="15368" max="15368"/>
    <col width="13" customWidth="1" style="349" min="15369" max="15369"/>
    <col width="11.28" customWidth="1" style="349" min="15370" max="15372"/>
    <col width="13.71" customWidth="1" style="349" min="15373" max="15373"/>
    <col width="11.28" customWidth="1" style="349" min="15374" max="15377"/>
    <col width="9.140000000000001" customWidth="1" style="349" min="15378" max="15379"/>
    <col width="10.85" customWidth="1" style="349" min="15380" max="15380"/>
    <col width="9.140000000000001" customWidth="1" style="349" min="15381" max="15621"/>
    <col width="2" customWidth="1" style="349" min="15622" max="15623"/>
    <col width="31.28" customWidth="1" style="349" min="15624" max="15624"/>
    <col width="13" customWidth="1" style="349" min="15625" max="15625"/>
    <col width="11.28" customWidth="1" style="349" min="15626" max="15628"/>
    <col width="13.71" customWidth="1" style="349" min="15629" max="15629"/>
    <col width="11.28" customWidth="1" style="349" min="15630" max="15633"/>
    <col width="9.140000000000001" customWidth="1" style="349" min="15634" max="15635"/>
    <col width="10.85" customWidth="1" style="349" min="15636" max="15636"/>
    <col width="9.140000000000001" customWidth="1" style="349" min="15637" max="15877"/>
    <col width="2" customWidth="1" style="349" min="15878" max="15879"/>
    <col width="31.28" customWidth="1" style="349" min="15880" max="15880"/>
    <col width="13" customWidth="1" style="349" min="15881" max="15881"/>
    <col width="11.28" customWidth="1" style="349" min="15882" max="15884"/>
    <col width="13.71" customWidth="1" style="349" min="15885" max="15885"/>
    <col width="11.28" customWidth="1" style="349" min="15886" max="15889"/>
    <col width="9.140000000000001" customWidth="1" style="349" min="15890" max="15891"/>
    <col width="10.85" customWidth="1" style="349" min="15892" max="15892"/>
    <col width="9.140000000000001" customWidth="1" style="349" min="15893" max="16133"/>
    <col width="2" customWidth="1" style="349" min="16134" max="16135"/>
    <col width="31.28" customWidth="1" style="349" min="16136" max="16136"/>
    <col width="13" customWidth="1" style="349" min="16137" max="16137"/>
    <col width="11.28" customWidth="1" style="349" min="16138" max="16140"/>
    <col width="13.71" customWidth="1" style="349" min="16141" max="16141"/>
    <col width="11.28" customWidth="1" style="349" min="16142" max="16145"/>
    <col width="9.140000000000001" customWidth="1" style="349" min="16146" max="16147"/>
    <col width="10.85" customWidth="1" style="349" min="16148" max="16148"/>
    <col width="9.140000000000001" customWidth="1" style="349" min="16149" max="16384"/>
  </cols>
  <sheetData>
    <row r="1" outlineLevel="1" ht="6.75" customFormat="1" customHeight="1" s="350"/>
    <row r="2" outlineLevel="1" ht="6.75" customFormat="1" customHeight="1" s="350"/>
    <row r="3" outlineLevel="1" ht="12.75" customHeight="1" s="255">
      <c r="C3" s="349" t="str">
        <f>"Discounted Cash Flow Model for "&amp;ticker</f>
        <v>Discounted Cash Flow Model for </v>
      </c>
    </row>
    <row r="4" outlineLevel="1" ht="13.5" customHeight="1" s="255">
      <c r="C4" s="351" t="inlineStr">
        <is>
          <t>All figures in millions, except per share data</t>
        </is>
      </c>
      <c r="D4" s="351" t="n"/>
      <c r="E4" s="351" t="n"/>
      <c r="F4" s="351" t="n"/>
      <c r="G4" s="351" t="n"/>
      <c r="H4" s="351" t="n"/>
      <c r="I4" s="351" t="n"/>
      <c r="J4" s="351" t="n"/>
      <c r="K4" s="351" t="n"/>
      <c r="L4" s="351" t="n"/>
      <c r="M4" s="351" t="n"/>
      <c r="N4" s="351" t="n"/>
      <c r="O4" s="351" t="n"/>
      <c r="P4" s="351" t="n"/>
      <c r="Q4" s="351" t="n"/>
      <c r="R4" s="351" t="n"/>
      <c r="S4" s="351" t="n"/>
      <c r="T4" s="351" t="n"/>
      <c r="U4" s="351" t="n"/>
      <c r="V4" s="351" t="n"/>
    </row>
    <row r="5" outlineLevel="1" ht="12.75" customHeight="1" s="255"/>
    <row r="6" outlineLevel="1" ht="12.75" customHeight="1" s="255"/>
    <row r="7" outlineLevel="1" ht="12.75" customHeight="1" s="255">
      <c r="C7" s="349" t="inlineStr">
        <is>
          <t>Ticker</t>
        </is>
      </c>
      <c r="D7" s="352" t="n"/>
      <c r="F7" s="349" t="inlineStr">
        <is>
          <t>Last close</t>
        </is>
      </c>
      <c r="G7" s="353" t="n"/>
    </row>
    <row r="8" outlineLevel="1" ht="13.8" customHeight="1" s="255">
      <c r="C8" s="349" t="inlineStr">
        <is>
          <t>Operating scenario:</t>
        </is>
      </c>
      <c r="D8" s="354" t="str">
        <f>IF(scenario=2,"Base Case",IF(scenario=1,"Bull Case","Bear Case"))</f>
        <v>Base Case</v>
      </c>
      <c r="E8" s="355" t="n">
        <v>2</v>
      </c>
      <c r="F8" s="349" t="inlineStr">
        <is>
          <t>1 = Bull, 2 = Base, 3 = Bear</t>
        </is>
      </c>
    </row>
    <row r="9" outlineLevel="1" ht="12.75" customHeight="1" s="255">
      <c r="C9" s="349" t="inlineStr">
        <is>
          <t>Last fiscal year end date:</t>
        </is>
      </c>
      <c r="D9" s="356" t="n">
        <v>46022</v>
      </c>
    </row>
    <row r="10" outlineLevel="1" ht="12.75" customHeight="1" s="255">
      <c r="C10" s="349" t="inlineStr">
        <is>
          <t>Valuation / deal date:</t>
        </is>
      </c>
      <c r="D10" s="356" t="n">
        <v>46292</v>
      </c>
    </row>
    <row r="11" outlineLevel="1" ht="12.75" customHeight="1" s="255">
      <c r="C11" s="349" t="inlineStr">
        <is>
          <t>Stub year fraction:</t>
        </is>
      </c>
      <c r="D11" s="357">
        <f>1-(D10-D9)/365</f>
        <v>0.26027397260274</v>
      </c>
      <c r="E11" s="358" t="n"/>
      <c r="I11" s="359" t="n"/>
      <c r="O11" s="360" t="n"/>
      <c r="Z11" s="361" t="n"/>
    </row>
    <row r="12" outlineLevel="1" ht="12.75" customHeight="1" s="255">
      <c r="C12" s="349" t="inlineStr">
        <is>
          <t>Weighted average cost of capital:</t>
        </is>
      </c>
      <c r="D12" s="357" t="e">
        <f>J93</f>
        <v>#DIV/0!</v>
      </c>
      <c r="I12" s="359" t="n"/>
    </row>
    <row r="13" outlineLevel="1" ht="12.75" customHeight="1" s="255">
      <c r="D13" s="357" t="n"/>
      <c r="E13" s="357" t="n"/>
    </row>
    <row r="14" ht="12.75" customHeight="1" s="255">
      <c r="C14" s="362" t="inlineStr">
        <is>
          <t>Historicals</t>
        </is>
      </c>
      <c r="D14" s="362" t="n"/>
      <c r="E14" s="362" t="n"/>
      <c r="F14" s="362" t="n"/>
      <c r="G14" s="363" t="inlineStr">
        <is>
          <t>Projected Annual Forecast</t>
        </is>
      </c>
    </row>
    <row r="15" ht="13.8" customHeight="1" s="255">
      <c r="C15" s="364" t="n"/>
      <c r="D15" s="364" t="n"/>
      <c r="E15" s="364" t="n"/>
      <c r="F15" s="364" t="n"/>
      <c r="G15" s="365" t="inlineStr">
        <is>
          <t>Granular</t>
        </is>
      </c>
      <c r="H15" s="366" t="n"/>
      <c r="I15" s="366" t="n"/>
      <c r="J15" s="366" t="n"/>
      <c r="K15" s="366" t="n"/>
      <c r="L15" s="366" t="n"/>
      <c r="M15" s="367" t="inlineStr">
        <is>
          <t>Synthetic</t>
        </is>
      </c>
      <c r="N15" s="366" t="n"/>
      <c r="O15" s="366" t="n"/>
      <c r="P15" s="366" t="n"/>
      <c r="Q15" s="366" t="n"/>
      <c r="R15" s="366" t="n"/>
      <c r="S15" s="368" t="inlineStr">
        <is>
          <t>Fora do horizonte do Model (projecao vai ate 2037)</t>
        </is>
      </c>
      <c r="T15" s="366" t="n"/>
      <c r="U15" s="366" t="n"/>
      <c r="V15" s="366" t="n"/>
      <c r="X15" s="369" t="inlineStr">
        <is>
          <t>CAGR</t>
        </is>
      </c>
      <c r="Y15" s="370" t="n"/>
      <c r="Z15" s="370" t="n"/>
    </row>
    <row r="16" ht="13.8" customHeight="1" s="255">
      <c r="D16" s="371">
        <f>YEAR(D17)</f>
        <v>2023</v>
      </c>
      <c r="E16" s="371">
        <f>YEAR(E17)</f>
        <v>2024</v>
      </c>
      <c r="F16" s="371">
        <f>YEAR(F17)</f>
        <v>2025</v>
      </c>
      <c r="G16" s="371">
        <f>YEAR(G17)</f>
        <v>2026</v>
      </c>
      <c r="H16" s="371">
        <f>YEAR(H17)</f>
        <v>2027</v>
      </c>
      <c r="I16" s="371">
        <f>YEAR(I17)</f>
        <v>2028</v>
      </c>
      <c r="J16" s="371">
        <f>YEAR(J17)</f>
        <v>2029</v>
      </c>
      <c r="K16" s="371">
        <f>YEAR(K17)</f>
        <v>2030</v>
      </c>
      <c r="L16" s="371">
        <f>YEAR(L17)</f>
        <v>2031</v>
      </c>
      <c r="M16" s="371">
        <f>YEAR(M17)</f>
        <v>2032</v>
      </c>
      <c r="N16" s="371">
        <f>YEAR(N17)</f>
        <v>2033</v>
      </c>
      <c r="O16" s="371">
        <f>YEAR(O17)</f>
        <v>2034</v>
      </c>
      <c r="P16" s="371">
        <f>YEAR(P17)</f>
        <v>2035</v>
      </c>
      <c r="Q16" s="371">
        <f>YEAR(Q17)</f>
        <v>2036</v>
      </c>
      <c r="R16" s="371">
        <f>YEAR(R17)</f>
        <v>2037</v>
      </c>
      <c r="S16" s="372">
        <f>YEAR(S17)</f>
        <v>2038</v>
      </c>
      <c r="T16" s="372">
        <f>YEAR(T17)</f>
        <v>2039</v>
      </c>
      <c r="U16" s="372">
        <f>YEAR(U17)</f>
        <v>2040</v>
      </c>
      <c r="V16" s="372">
        <f>YEAR(V17)</f>
        <v>2041</v>
      </c>
      <c r="W16" s="371" t="n"/>
      <c r="X16" s="370" t="str">
        <f>F16&amp;"-"&amp;L16</f>
        <v>2025-2031</v>
      </c>
      <c r="Y16" s="370" t="str">
        <f>L16&amp;"-"&amp;R16</f>
        <v>2031-2037</v>
      </c>
      <c r="Z16" s="370" t="n"/>
    </row>
    <row r="17" outlineLevel="1" ht="12.75" customHeight="1" s="255">
      <c r="C17" s="373" t="n"/>
      <c r="D17" s="374">
        <f>DATE(YEAR(E17)-1,MONTH(E17),DAY(E17))</f>
        <v>45291.0</v>
      </c>
      <c r="E17" s="374">
        <f>DATE(YEAR(F17)-1,MONTH(F17),DAY(F17))</f>
        <v>45657.0</v>
      </c>
      <c r="F17" s="374">
        <f>DATE(YEAR(G17)-1,MONTH(G17),DAY(G17))</f>
        <v>46022.0</v>
      </c>
      <c r="G17" s="374">
        <f>DATE(YEAR(D9)+1,MONTH(D9),DAY(D9))</f>
        <v>46387.0</v>
      </c>
      <c r="H17" s="374">
        <f>DATE(YEAR(G17)+1,MONTH(G17),DAY(G17))</f>
        <v>46752.0</v>
      </c>
      <c r="I17" s="374">
        <f>DATE(YEAR(H17)+1,MONTH(H17),DAY(H17))</f>
        <v>47118.0</v>
      </c>
      <c r="J17" s="374">
        <f>DATE(YEAR(I17)+1,MONTH(I17),DAY(I17))</f>
        <v>47483.0</v>
      </c>
      <c r="K17" s="374">
        <f>DATE(YEAR(J17)+1,MONTH(J17),DAY(J17))</f>
        <v>47848.0</v>
      </c>
      <c r="L17" s="374">
        <f>DATE(YEAR(K17)+1,MONTH(K17),DAY(K17))</f>
        <v>48213.0</v>
      </c>
      <c r="M17" s="374">
        <f>DATE(YEAR(L17)+1,MONTH(L17),DAY(L17))</f>
        <v>48579.0</v>
      </c>
      <c r="N17" s="374">
        <f>DATE(YEAR(M17)+1,MONTH(M17),DAY(M17))</f>
        <v>48944.0</v>
      </c>
      <c r="O17" s="374">
        <f>DATE(YEAR(N17)+1,MONTH(N17),DAY(N17))</f>
        <v>49309.0</v>
      </c>
      <c r="P17" s="374">
        <f>DATE(YEAR(O17)+1,MONTH(O17),DAY(O17))</f>
        <v>49674.0</v>
      </c>
      <c r="Q17" s="374">
        <f>DATE(YEAR(P17)+1,MONTH(P17),DAY(P17))</f>
        <v>50040.0</v>
      </c>
      <c r="R17" s="374">
        <f>DATE(YEAR(Q17)+1,MONTH(Q17),DAY(Q17))</f>
        <v>50405.0</v>
      </c>
      <c r="S17" s="374">
        <f>DATE(YEAR(R17)+1,MONTH(R17),DAY(R17))</f>
        <v>50770.0</v>
      </c>
      <c r="T17" s="374">
        <f>DATE(YEAR(S17)+1,MONTH(S17),DAY(S17))</f>
        <v>51135.0</v>
      </c>
      <c r="U17" s="374">
        <f>DATE(YEAR(T17)+1,MONTH(T17),DAY(T17))</f>
        <v>51501.0</v>
      </c>
      <c r="V17" s="374">
        <f>DATE(YEAR(U17)+1,MONTH(U17),DAY(U17))</f>
        <v>51866.0</v>
      </c>
      <c r="W17" s="375" t="n"/>
      <c r="X17" s="370" t="n"/>
      <c r="Y17" s="370" t="n"/>
      <c r="Z17" s="370" t="n"/>
    </row>
    <row r="18" ht="12.75" customHeight="1" s="255">
      <c r="C18" s="376" t="inlineStr">
        <is>
          <t>Net Revenues</t>
        </is>
      </c>
      <c r="D18" s="377">
        <f>Model!W15</f>
        <v>59540</v>
      </c>
      <c r="E18" s="377">
        <f>Model!AB15</f>
        <v>53108</v>
      </c>
      <c r="F18" s="377">
        <f>Model!AG15</f>
        <v>70329</v>
      </c>
      <c r="G18" s="377">
        <f>Model!AL15</f>
        <v>91819</v>
      </c>
      <c r="H18" s="377">
        <f>Model!AQ15</f>
        <v>91819</v>
      </c>
      <c r="I18" s="377">
        <f>Model!AV15</f>
        <v>91819</v>
      </c>
      <c r="J18" s="377">
        <f>Model!BA15</f>
        <v>91819</v>
      </c>
      <c r="K18" s="377">
        <f>Model!BF15</f>
        <v>91819</v>
      </c>
      <c r="L18" s="377">
        <f>Model!BK15</f>
        <v>91819</v>
      </c>
      <c r="M18" s="377">
        <f>Model!BP15</f>
        <v>91819</v>
      </c>
      <c r="N18" s="377">
        <f>Model!BU15</f>
        <v>91819</v>
      </c>
      <c r="O18" s="377">
        <f>Model!BZ15</f>
        <v>91819</v>
      </c>
      <c r="P18" s="377">
        <f>Model!CE15</f>
        <v>91819</v>
      </c>
      <c r="Q18" s="377">
        <f>Model!CJ15</f>
        <v>91819</v>
      </c>
      <c r="R18" s="377">
        <f>Model!CO15</f>
        <v>91819</v>
      </c>
      <c r="S18" s="377" t="n"/>
      <c r="T18" s="377" t="n"/>
      <c r="U18" s="377" t="n"/>
      <c r="V18" s="378" t="n"/>
      <c r="X18" s="379">
        <f>((L18/F18)^(1/6))-1</f>
        <v>0.0454413799415347</v>
      </c>
      <c r="Y18" s="379">
        <f>((R18/L18)^(1/6))-1</f>
        <v>0</v>
      </c>
      <c r="Z18" s="370" t="n"/>
    </row>
    <row r="19" ht="12.75" customHeight="1" s="255">
      <c r="C19" s="380" t="n"/>
      <c r="D19" s="373" t="n"/>
      <c r="E19" s="381">
        <f>E18/D18-1</f>
        <v>-0.10802821632516</v>
      </c>
      <c r="F19" s="381">
        <f>F18/E18-1</f>
        <v>0.32426376440461</v>
      </c>
      <c r="G19" s="381">
        <f>G18/F18-1</f>
        <v>0.305563849905445</v>
      </c>
      <c r="H19" s="381">
        <f>H18/G18-1</f>
        <v>0</v>
      </c>
      <c r="I19" s="381">
        <f>I18/H18-1</f>
        <v>0</v>
      </c>
      <c r="J19" s="381">
        <f>J18/I18-1</f>
        <v>0</v>
      </c>
      <c r="K19" s="381">
        <f>K18/J18-1</f>
        <v>0</v>
      </c>
      <c r="L19" s="381">
        <f>L18/K18-1</f>
        <v>0</v>
      </c>
      <c r="M19" s="381">
        <f>M18/L18-1</f>
        <v>0</v>
      </c>
      <c r="N19" s="381">
        <f>N18/M18-1</f>
        <v>0</v>
      </c>
      <c r="O19" s="381">
        <f>O18/N18-1</f>
        <v>0</v>
      </c>
      <c r="P19" s="381">
        <f>P18/O18-1</f>
        <v>0</v>
      </c>
      <c r="Q19" s="381">
        <f>Q18/P18-1</f>
        <v>0</v>
      </c>
      <c r="R19" s="381">
        <f>R18/Q18-1</f>
        <v>0</v>
      </c>
      <c r="S19" s="381" t="n"/>
      <c r="T19" s="381" t="n"/>
      <c r="U19" s="381" t="n"/>
      <c r="V19" s="382" t="n"/>
      <c r="X19" s="370" t="n"/>
      <c r="Y19" s="370" t="n"/>
      <c r="Z19" s="370" t="n"/>
    </row>
    <row r="20" outlineLevel="1" ht="12.75" customHeight="1" s="255">
      <c r="C20" s="383" t="inlineStr">
        <is>
          <t>EBITDA</t>
        </is>
      </c>
      <c r="D20" s="377">
        <f>Model!W69</f>
        <v>3581</v>
      </c>
      <c r="E20" s="377">
        <f>Model!AB69</f>
        <v>2085</v>
      </c>
      <c r="F20" s="377">
        <f>Model!AG69</f>
        <v>1999</v>
      </c>
      <c r="G20" s="377">
        <f>Model!AL69</f>
        <v>1804</v>
      </c>
      <c r="H20" s="377">
        <f>Model!AQ69</f>
        <v>0</v>
      </c>
      <c r="I20" s="377">
        <f>Model!BA69</f>
        <v>0</v>
      </c>
      <c r="J20" s="377">
        <f>Model!BA69</f>
        <v>0</v>
      </c>
      <c r="K20" s="377">
        <f>Model!BF69</f>
        <v>0</v>
      </c>
      <c r="L20" s="377">
        <f>Model!BK69</f>
        <v>0</v>
      </c>
      <c r="M20" s="384" t="n"/>
      <c r="N20" s="384" t="n"/>
      <c r="O20" s="384" t="n"/>
      <c r="P20" s="384" t="n"/>
      <c r="Q20" s="384" t="n"/>
      <c r="R20" s="384" t="n"/>
      <c r="S20" s="384" t="n"/>
      <c r="T20" s="384" t="n"/>
      <c r="U20" s="384" t="n"/>
      <c r="V20" s="385" t="n"/>
      <c r="X20" s="370" t="n"/>
      <c r="Y20" s="370" t="n"/>
      <c r="Z20" s="370" t="n"/>
    </row>
    <row r="21" outlineLevel="1" ht="12.75" customHeight="1" s="255">
      <c r="C21" s="380" t="n"/>
      <c r="D21" s="386">
        <f>D20/D18</f>
        <v>0.0601444407121263</v>
      </c>
      <c r="E21" s="386">
        <f>E20/E18</f>
        <v>0.0392596219025382</v>
      </c>
      <c r="F21" s="386">
        <f>F20/F18</f>
        <v>0.0284235521619815</v>
      </c>
      <c r="G21" s="386">
        <f>G20/G18</f>
        <v>0.0196473496770821</v>
      </c>
      <c r="H21" s="386">
        <f>H20/H18</f>
        <v>0</v>
      </c>
      <c r="I21" s="386">
        <f>I20/I18</f>
        <v>0</v>
      </c>
      <c r="J21" s="386">
        <f>J20/J18</f>
        <v>0</v>
      </c>
      <c r="K21" s="386">
        <f>K20/K18</f>
        <v>0</v>
      </c>
      <c r="L21" s="386">
        <f>L20/L18</f>
        <v>0</v>
      </c>
      <c r="M21" s="373" t="n"/>
      <c r="N21" s="373" t="n"/>
      <c r="O21" s="373" t="n"/>
      <c r="P21" s="373" t="n"/>
      <c r="Q21" s="373" t="n"/>
      <c r="R21" s="373" t="n"/>
      <c r="S21" s="373" t="n"/>
      <c r="T21" s="373" t="n"/>
      <c r="U21" s="373" t="n"/>
      <c r="V21" s="387" t="n"/>
      <c r="X21" s="379" t="n"/>
      <c r="Y21" s="379" t="n"/>
      <c r="Z21" s="370" t="n"/>
    </row>
    <row r="22" outlineLevel="1" ht="12.75" customHeight="1" s="255">
      <c r="C22" s="376" t="inlineStr">
        <is>
          <t>EBIT</t>
        </is>
      </c>
      <c r="D22" s="377">
        <f>Model!W73</f>
        <v>3130</v>
      </c>
      <c r="E22" s="377">
        <f>Model!AB73</f>
        <v>1617</v>
      </c>
      <c r="F22" s="377">
        <f>Model!AG73</f>
        <v>1296</v>
      </c>
      <c r="G22" s="377">
        <f>Model!AL73</f>
        <v>1310</v>
      </c>
      <c r="H22" s="377">
        <f>Model!AQ73</f>
        <v>0</v>
      </c>
      <c r="I22" s="377">
        <f>Model!AV73</f>
        <v>0</v>
      </c>
      <c r="J22" s="377">
        <f>Model!BA73</f>
        <v>0</v>
      </c>
      <c r="K22" s="377">
        <f>Model!BF73</f>
        <v>0</v>
      </c>
      <c r="L22" s="377">
        <f>Model!BK73</f>
        <v>0</v>
      </c>
      <c r="M22" s="377">
        <f>Model!BP73</f>
        <v>0</v>
      </c>
      <c r="N22" s="377">
        <f>Model!BU73</f>
        <v>0</v>
      </c>
      <c r="O22" s="377">
        <f>Model!BZ73</f>
        <v>0</v>
      </c>
      <c r="P22" s="377">
        <f>Model!CE73</f>
        <v>0</v>
      </c>
      <c r="Q22" s="377">
        <f>Model!CJ73</f>
        <v>0</v>
      </c>
      <c r="R22" s="377">
        <f>Model!CO73</f>
        <v>0</v>
      </c>
      <c r="S22" s="377" t="n"/>
      <c r="T22" s="377" t="n"/>
      <c r="U22" s="377" t="n"/>
      <c r="V22" s="378" t="n"/>
      <c r="X22" s="379">
        <f>((L22/F22)^(1/6))-1</f>
        <v>-1</v>
      </c>
      <c r="Y22" s="379" t="e">
        <f>((R22/L22)^(1/6))-1</f>
        <v>#DIV/0!</v>
      </c>
      <c r="Z22" s="370" t="n"/>
    </row>
    <row r="23" outlineLevel="1" ht="12.75" customHeight="1" s="255">
      <c r="C23" s="380" t="n"/>
      <c r="D23" s="386">
        <f>D22/D18</f>
        <v>0.0525697010413168</v>
      </c>
      <c r="E23" s="386">
        <f>E22/E18</f>
        <v>0.0304473902236951</v>
      </c>
      <c r="F23" s="386">
        <f>F22/F18</f>
        <v>0.0184276756387834</v>
      </c>
      <c r="G23" s="386">
        <f>G22/G18</f>
        <v>0.0142671995992115</v>
      </c>
      <c r="H23" s="386">
        <f>H22/H18</f>
        <v>0</v>
      </c>
      <c r="I23" s="386">
        <f>I22/I18</f>
        <v>0</v>
      </c>
      <c r="J23" s="386">
        <f>J22/J18</f>
        <v>0</v>
      </c>
      <c r="K23" s="386">
        <f>K22/K18</f>
        <v>0</v>
      </c>
      <c r="L23" s="386">
        <f>L22/L18</f>
        <v>0</v>
      </c>
      <c r="M23" s="386">
        <f>M22/M18</f>
        <v>0</v>
      </c>
      <c r="N23" s="386">
        <f>N22/N18</f>
        <v>0</v>
      </c>
      <c r="O23" s="386">
        <f>O22/O18</f>
        <v>0</v>
      </c>
      <c r="P23" s="386">
        <f>P22/P18</f>
        <v>0</v>
      </c>
      <c r="Q23" s="386">
        <f>Q22/Q18</f>
        <v>0</v>
      </c>
      <c r="R23" s="386">
        <f>R22/R18</f>
        <v>0</v>
      </c>
      <c r="S23" s="386" t="n"/>
      <c r="T23" s="386" t="n"/>
      <c r="U23" s="386" t="n"/>
      <c r="V23" s="388" t="n"/>
      <c r="X23" s="370" t="n"/>
      <c r="Y23" s="370" t="n"/>
      <c r="Z23" s="370" t="n"/>
    </row>
    <row r="24" ht="12.75" customHeight="1" s="255">
      <c r="C24" s="376" t="inlineStr">
        <is>
          <t>Tax rate</t>
        </is>
      </c>
      <c r="D24" s="389">
        <f>Model!W132</f>
        <v>0.234021632251721</v>
      </c>
      <c r="E24" s="389">
        <f>Model!AB132</f>
        <v>0.220472440944882</v>
      </c>
      <c r="F24" s="389">
        <f>Model!AG132</f>
        <v>0.253968253968254</v>
      </c>
      <c r="G24" s="389">
        <f>Model!AL132</f>
        <v>0.20631970260223</v>
      </c>
      <c r="H24" s="389">
        <f>Model!AQ132</f>
        <v>0</v>
      </c>
      <c r="I24" s="389">
        <f>Model!AV132</f>
        <v>0</v>
      </c>
      <c r="J24" s="389">
        <f>Model!BA132</f>
        <v>0</v>
      </c>
      <c r="K24" s="389">
        <f>Model!BF132</f>
        <v>0</v>
      </c>
      <c r="L24" s="389">
        <f>Model!BK132</f>
        <v>0</v>
      </c>
      <c r="M24" s="389">
        <f>Model!BP132</f>
        <v>0</v>
      </c>
      <c r="N24" s="389">
        <f>Model!BU132</f>
        <v>0</v>
      </c>
      <c r="O24" s="389">
        <f>Model!BZ132</f>
        <v>0</v>
      </c>
      <c r="P24" s="389">
        <f>Model!CE132</f>
        <v>0</v>
      </c>
      <c r="Q24" s="389">
        <f>Model!CJ132</f>
        <v>0</v>
      </c>
      <c r="R24" s="389">
        <f>Model!CO132</f>
        <v>0</v>
      </c>
      <c r="S24" s="389" t="n"/>
      <c r="T24" s="389" t="n"/>
      <c r="U24" s="389" t="n"/>
      <c r="V24" s="390" t="n"/>
      <c r="X24" s="370" t="n"/>
      <c r="Y24" s="370" t="n"/>
      <c r="Z24" s="370" t="n"/>
    </row>
    <row r="25" ht="12.75" customHeight="1" s="255">
      <c r="C25" s="380" t="inlineStr">
        <is>
          <t>NOPLAT</t>
        </is>
      </c>
      <c r="D25" s="391">
        <f>D22*(1-D24)</f>
        <v>2397.51229105211</v>
      </c>
      <c r="E25" s="391">
        <f>E22*(1-E24)</f>
        <v>1260.49606299213</v>
      </c>
      <c r="F25" s="391">
        <f>F22*(1-F24)</f>
        <v>966.857142857143</v>
      </c>
      <c r="G25" s="391">
        <f>G22*(1-G24)</f>
        <v>1039.72118959108</v>
      </c>
      <c r="H25" s="391">
        <f>H22*(1-H24)</f>
        <v>0</v>
      </c>
      <c r="I25" s="391">
        <f>I22*(1-I24)</f>
        <v>0</v>
      </c>
      <c r="J25" s="391">
        <f>J22*(1-J24)</f>
        <v>0</v>
      </c>
      <c r="K25" s="391">
        <f>K22*(1-K24)</f>
        <v>0</v>
      </c>
      <c r="L25" s="391">
        <f>L22*(1-L24)</f>
        <v>0</v>
      </c>
      <c r="M25" s="391">
        <f>M22*(1-M24)</f>
        <v>0</v>
      </c>
      <c r="N25" s="391">
        <f>N22*(1-N24)</f>
        <v>0</v>
      </c>
      <c r="O25" s="391">
        <f>O22*(1-O24)</f>
        <v>0</v>
      </c>
      <c r="P25" s="391">
        <f>P22*(1-P24)</f>
        <v>0</v>
      </c>
      <c r="Q25" s="391">
        <f>Q22*(1-Q24)</f>
        <v>0</v>
      </c>
      <c r="R25" s="391">
        <f>R22*(1-R24)</f>
        <v>0</v>
      </c>
      <c r="S25" s="391" t="n"/>
      <c r="T25" s="391" t="n"/>
      <c r="U25" s="391" t="n"/>
      <c r="V25" s="392" t="n"/>
      <c r="X25" s="379" t="n"/>
      <c r="Y25" s="379" t="n"/>
      <c r="Z25" s="370" t="n"/>
    </row>
    <row r="26" ht="12.75" customHeight="1" s="255">
      <c r="C26" s="393" t="inlineStr">
        <is>
          <t>Depreciation &amp; Amortization</t>
        </is>
      </c>
      <c r="D26" s="394">
        <f>Model!W70</f>
        <v>-451</v>
      </c>
      <c r="E26" s="394">
        <f>Model!AB70</f>
        <v>-468</v>
      </c>
      <c r="F26" s="394">
        <f>Model!AG70</f>
        <v>-703</v>
      </c>
      <c r="G26" s="394">
        <f>Model!AL70</f>
        <v>-494</v>
      </c>
      <c r="H26" s="394">
        <f>Model!AQ70</f>
        <v>0</v>
      </c>
      <c r="I26" s="394">
        <f>Model!AV70</f>
        <v>0</v>
      </c>
      <c r="J26" s="394">
        <f>Model!BA70</f>
        <v>0</v>
      </c>
      <c r="K26" s="394">
        <f>Model!BF70</f>
        <v>0</v>
      </c>
      <c r="L26" s="395">
        <f>Model!BK70</f>
        <v>0</v>
      </c>
      <c r="X26" s="370" t="n"/>
      <c r="Y26" s="370" t="n"/>
      <c r="Z26" s="370" t="n"/>
    </row>
    <row r="27" ht="12.75" customHeight="1" s="255">
      <c r="C27" s="396" t="inlineStr">
        <is>
          <t>Cash from working capital</t>
        </is>
      </c>
      <c r="D27" s="397">
        <f>SUM(D28:D39)</f>
        <v>394</v>
      </c>
      <c r="E27" s="397">
        <f>SUM(E28:E39)</f>
        <v>818</v>
      </c>
      <c r="F27" s="397">
        <f>SUM(F28:F39)</f>
        <v>-7322</v>
      </c>
      <c r="G27" s="397">
        <f>SUM(G28:G39)</f>
        <v>12807</v>
      </c>
      <c r="H27" s="397" t="e">
        <f>SUM(H28:H39)</f>
        <v>#DIV/0!</v>
      </c>
      <c r="I27" s="397" t="e">
        <f>SUM(I28:I39)</f>
        <v>#DIV/0!</v>
      </c>
      <c r="J27" s="397" t="e">
        <f>SUM(J28:J39)</f>
        <v>#DIV/0!</v>
      </c>
      <c r="K27" s="397" t="e">
        <f>SUM(K28:K39)</f>
        <v>#DIV/0!</v>
      </c>
      <c r="L27" s="398" t="e">
        <f>SUM(L28:L39)</f>
        <v>#DIV/0!</v>
      </c>
      <c r="X27" s="370" t="n"/>
      <c r="Y27" s="370" t="n"/>
      <c r="Z27" s="370" t="n"/>
    </row>
    <row r="28" outlineLevel="1" ht="12.75" customHeight="1" s="255">
      <c r="C28" s="399" t="inlineStr">
        <is>
          <t>Accounts receivable</t>
        </is>
      </c>
      <c r="D28" s="400">
        <f>Model!W280</f>
        <v>237</v>
      </c>
      <c r="E28" s="400">
        <f>Model!AB280</f>
        <v>444</v>
      </c>
      <c r="F28" s="400">
        <f>Model!AG280</f>
        <v>-1722</v>
      </c>
      <c r="G28" s="400">
        <f>Model!AL280</f>
        <v>3870</v>
      </c>
      <c r="H28" s="400">
        <f>Model!AQ280</f>
        <v>0</v>
      </c>
      <c r="I28" s="400">
        <f>Model!AV280</f>
        <v>0</v>
      </c>
      <c r="J28" s="400">
        <f>Model!BA280</f>
        <v>0</v>
      </c>
      <c r="K28" s="400">
        <f>Model!BF280</f>
        <v>0</v>
      </c>
      <c r="L28" s="401">
        <f>Model!BK280</f>
        <v>0</v>
      </c>
      <c r="X28" s="370" t="n"/>
      <c r="Y28" s="370" t="n"/>
      <c r="Z28" s="370" t="n"/>
    </row>
    <row r="29" outlineLevel="1" ht="12.75" customHeight="1" s="255">
      <c r="C29" s="399" t="inlineStr">
        <is>
          <t>Inventories</t>
        </is>
      </c>
      <c r="D29" s="400">
        <f>Model!W281</f>
        <v>1303</v>
      </c>
      <c r="E29" s="400">
        <f>Model!AB281</f>
        <v>614</v>
      </c>
      <c r="F29" s="400">
        <f>Model!AG281</f>
        <v>-6707</v>
      </c>
      <c r="G29" s="400">
        <f>Model!AL281</f>
        <v>13198</v>
      </c>
      <c r="H29" s="400">
        <f>Model!AQ281</f>
        <v>0</v>
      </c>
      <c r="I29" s="400">
        <f>Model!AV281</f>
        <v>0</v>
      </c>
      <c r="J29" s="400">
        <f>Model!BA281</f>
        <v>0</v>
      </c>
      <c r="K29" s="400">
        <f>Model!BF281</f>
        <v>0</v>
      </c>
      <c r="L29" s="401">
        <f>Model!BK281</f>
        <v>0</v>
      </c>
      <c r="X29" s="370" t="n"/>
      <c r="Y29" s="370" t="n"/>
      <c r="Z29" s="370" t="n"/>
    </row>
    <row r="30" outlineLevel="1" ht="12.75" customHeight="1" s="255">
      <c r="C30" s="399" t="inlineStr">
        <is>
          <t>Deferred income taxes (assets)</t>
        </is>
      </c>
      <c r="D30" s="400">
        <f>Model!W282</f>
        <v>-61</v>
      </c>
      <c r="E30" s="400">
        <f>Model!AB282</f>
        <v>128</v>
      </c>
      <c r="F30" s="400">
        <f>Model!AG282</f>
        <v>-245</v>
      </c>
      <c r="G30" s="400">
        <f>Model!AL282</f>
        <v>-12</v>
      </c>
      <c r="H30" s="400">
        <f>Model!AQ282</f>
        <v>0</v>
      </c>
      <c r="I30" s="400">
        <f>Model!AV282</f>
        <v>0</v>
      </c>
      <c r="J30" s="400">
        <f>Model!BA282</f>
        <v>0</v>
      </c>
      <c r="K30" s="400">
        <f>Model!BF282</f>
        <v>0</v>
      </c>
      <c r="L30" s="401">
        <f>Model!BK282</f>
        <v>0</v>
      </c>
      <c r="X30" s="370" t="n"/>
      <c r="Y30" s="370" t="n"/>
      <c r="Z30" s="370" t="n"/>
    </row>
    <row r="31" outlineLevel="1" ht="12.75" customHeight="1" s="255">
      <c r="C31" s="399" t="inlineStr">
        <is>
          <t>Prepaid expenses</t>
        </is>
      </c>
      <c r="D31" s="400">
        <f>Model!W283</f>
        <v>0</v>
      </c>
      <c r="E31" s="400">
        <f>Model!AB283</f>
        <v>0</v>
      </c>
      <c r="F31" s="400">
        <f>Model!AG283</f>
        <v>0</v>
      </c>
      <c r="G31" s="400">
        <f>Model!AL283</f>
        <v>0</v>
      </c>
      <c r="H31" s="400">
        <f>Model!AQ283</f>
        <v>0</v>
      </c>
      <c r="I31" s="400">
        <f>Model!AV283</f>
        <v>0</v>
      </c>
      <c r="J31" s="400">
        <f>Model!BA283</f>
        <v>0</v>
      </c>
      <c r="K31" s="400">
        <f>Model!BF283</f>
        <v>0</v>
      </c>
      <c r="L31" s="401">
        <f>Model!BK283</f>
        <v>0</v>
      </c>
      <c r="X31" s="370" t="n"/>
      <c r="Y31" s="370" t="n"/>
      <c r="Z31" s="370" t="n"/>
    </row>
    <row r="32" outlineLevel="1" ht="12.75" customHeight="1" s="255">
      <c r="C32" s="399" t="inlineStr">
        <is>
          <t>Other current assets</t>
        </is>
      </c>
      <c r="D32" s="400">
        <f>Model!W284</f>
        <v>366</v>
      </c>
      <c r="E32" s="400">
        <f>Model!AB284</f>
        <v>43</v>
      </c>
      <c r="F32" s="400">
        <f>Model!AG284</f>
        <v>-2180</v>
      </c>
      <c r="G32" s="400">
        <f>Model!AL284</f>
        <v>-42</v>
      </c>
      <c r="H32" s="400">
        <f>Model!AQ284</f>
        <v>0</v>
      </c>
      <c r="I32" s="400">
        <f>Model!AV284</f>
        <v>0</v>
      </c>
      <c r="J32" s="400">
        <f>Model!BA284</f>
        <v>0</v>
      </c>
      <c r="K32" s="400">
        <f>Model!BF284</f>
        <v>0</v>
      </c>
      <c r="L32" s="401">
        <f>Model!BK284</f>
        <v>0</v>
      </c>
      <c r="X32" s="370" t="n"/>
      <c r="Y32" s="370" t="n"/>
      <c r="Z32" s="370" t="n"/>
    </row>
    <row r="33" outlineLevel="1" ht="12.75" customHeight="1" s="255">
      <c r="C33" s="399" t="inlineStr">
        <is>
          <t>Accounts payable</t>
        </is>
      </c>
      <c r="D33" s="400">
        <f>Model!W285</f>
        <v>-722</v>
      </c>
      <c r="E33" s="400">
        <f>Model!AB285</f>
        <v>-887</v>
      </c>
      <c r="F33" s="400">
        <f>Model!AG285</f>
        <v>2104</v>
      </c>
      <c r="G33" s="400">
        <f>Model!AL285</f>
        <v>-4881</v>
      </c>
      <c r="H33" s="400">
        <f>Model!AQ285</f>
        <v>0</v>
      </c>
      <c r="I33" s="400">
        <f>Model!AV285</f>
        <v>0</v>
      </c>
      <c r="J33" s="400">
        <f>Model!BA285</f>
        <v>0</v>
      </c>
      <c r="K33" s="400">
        <f>Model!BF285</f>
        <v>0</v>
      </c>
      <c r="L33" s="401">
        <f>Model!BK285</f>
        <v>0</v>
      </c>
      <c r="X33" s="370" t="n"/>
      <c r="Y33" s="370" t="n"/>
      <c r="Z33" s="370" t="n"/>
    </row>
    <row r="34" outlineLevel="1" ht="12.75" customHeight="1" s="255">
      <c r="C34" s="399" t="inlineStr">
        <is>
          <t>Accrued expenses</t>
        </is>
      </c>
      <c r="D34" s="400">
        <f>Model!W286</f>
        <v>0</v>
      </c>
      <c r="E34" s="400">
        <f>Model!AB286</f>
        <v>0</v>
      </c>
      <c r="F34" s="400">
        <f>Model!AG286</f>
        <v>0</v>
      </c>
      <c r="G34" s="400">
        <f>Model!AL286</f>
        <v>0</v>
      </c>
      <c r="H34" s="400" t="e">
        <f>Model!AQ286</f>
        <v>#DIV/0!</v>
      </c>
      <c r="I34" s="400" t="e">
        <f>Model!AV286</f>
        <v>#DIV/0!</v>
      </c>
      <c r="J34" s="400" t="e">
        <f>Model!BA286</f>
        <v>#DIV/0!</v>
      </c>
      <c r="K34" s="400" t="e">
        <f>Model!BF286</f>
        <v>#DIV/0!</v>
      </c>
      <c r="L34" s="401" t="e">
        <f>Model!BK286</f>
        <v>#DIV/0!</v>
      </c>
      <c r="X34" s="370" t="n"/>
      <c r="Y34" s="370" t="n"/>
      <c r="Z34" s="370" t="n"/>
    </row>
    <row r="35" outlineLevel="1" ht="12.75" customHeight="1" s="255">
      <c r="C35" s="399" t="inlineStr">
        <is>
          <t>Taxes payable</t>
        </is>
      </c>
      <c r="D35" s="400">
        <f>Model!W287</f>
        <v>0</v>
      </c>
      <c r="E35" s="400">
        <f>Model!AB287</f>
        <v>0</v>
      </c>
      <c r="F35" s="400">
        <f>Model!AG287</f>
        <v>0</v>
      </c>
      <c r="G35" s="400">
        <f>Model!AL287</f>
        <v>0</v>
      </c>
      <c r="H35" s="400" t="e">
        <f>Model!AQ287</f>
        <v>#DIV/0!</v>
      </c>
      <c r="I35" s="400" t="e">
        <f>Model!AV287</f>
        <v>#DIV/0!</v>
      </c>
      <c r="J35" s="400" t="e">
        <f>Model!BA287</f>
        <v>#DIV/0!</v>
      </c>
      <c r="K35" s="400" t="e">
        <f>Model!BF287</f>
        <v>#DIV/0!</v>
      </c>
      <c r="L35" s="401" t="e">
        <f>Model!BK287</f>
        <v>#DIV/0!</v>
      </c>
      <c r="X35" s="370" t="n"/>
      <c r="Y35" s="370" t="n"/>
      <c r="Z35" s="370" t="n"/>
    </row>
    <row r="36" outlineLevel="1" ht="12.75" customHeight="1" s="255">
      <c r="C36" s="399" t="inlineStr">
        <is>
          <t>Other current liabilities</t>
        </is>
      </c>
      <c r="D36" s="400">
        <f>Model!W288</f>
        <v>-483</v>
      </c>
      <c r="E36" s="400">
        <f>Model!AB288</f>
        <v>-86</v>
      </c>
      <c r="F36" s="400">
        <f>Model!AG288</f>
        <v>1699</v>
      </c>
      <c r="G36" s="400">
        <f>Model!AL288</f>
        <v>547</v>
      </c>
      <c r="H36" s="400">
        <f>Model!AQ288</f>
        <v>0</v>
      </c>
      <c r="I36" s="400">
        <f>Model!AV288</f>
        <v>0</v>
      </c>
      <c r="J36" s="400">
        <f>Model!BA288</f>
        <v>0</v>
      </c>
      <c r="K36" s="400">
        <f>Model!BF288</f>
        <v>0</v>
      </c>
      <c r="L36" s="401">
        <f>Model!BK288</f>
        <v>0</v>
      </c>
      <c r="X36" s="370" t="n"/>
      <c r="Y36" s="370" t="n"/>
      <c r="Z36" s="370" t="n"/>
    </row>
    <row r="37" outlineLevel="1" ht="12.75" customHeight="1" s="255">
      <c r="C37" s="399" t="inlineStr">
        <is>
          <t>Deferred tax (liabilities)</t>
        </is>
      </c>
      <c r="D37" s="400">
        <f>Model!W289</f>
        <v>35</v>
      </c>
      <c r="E37" s="400">
        <f>Model!AB289</f>
        <v>-21</v>
      </c>
      <c r="F37" s="400">
        <f>Model!AG289</f>
        <v>609</v>
      </c>
      <c r="G37" s="400">
        <f>Model!AL289</f>
        <v>-57</v>
      </c>
      <c r="H37" s="400">
        <f>Model!AQ289</f>
        <v>0</v>
      </c>
      <c r="I37" s="400">
        <f>Model!AV289</f>
        <v>0</v>
      </c>
      <c r="J37" s="400">
        <f>Model!BA289</f>
        <v>0</v>
      </c>
      <c r="K37" s="400">
        <f>Model!BF289</f>
        <v>0</v>
      </c>
      <c r="L37" s="401">
        <f>Model!BK289</f>
        <v>0</v>
      </c>
      <c r="X37" s="370" t="n"/>
      <c r="Y37" s="370" t="n"/>
      <c r="Z37" s="370" t="n"/>
    </row>
    <row r="38" outlineLevel="1" ht="15" customHeight="1" s="255">
      <c r="C38" s="399" t="inlineStr">
        <is>
          <t>Other non-current assets</t>
        </is>
      </c>
      <c r="D38" s="400">
        <f>(Model!W189-Model!R189)*-1</f>
        <v>-256</v>
      </c>
      <c r="E38" s="400">
        <f>(Model!AB189-Model!W189)*-1</f>
        <v>559</v>
      </c>
      <c r="F38" s="400">
        <f>(Model!AG189-Model!AB189)*-1</f>
        <v>-1097</v>
      </c>
      <c r="G38" s="400">
        <f>(Model!AL189-Model!AG189)*-1</f>
        <v>62</v>
      </c>
      <c r="H38" s="400">
        <f>(Model!AQ189-Model!AL189)*-1</f>
        <v>0</v>
      </c>
      <c r="I38" s="400">
        <f>(Model!AV189-Model!AQ189)*-1</f>
        <v>0</v>
      </c>
      <c r="J38" s="400">
        <f>(Model!BA189-Model!AV189)*-1</f>
        <v>0</v>
      </c>
      <c r="K38" s="400">
        <f>(Model!BF189-Model!BA189)*-1</f>
        <v>0</v>
      </c>
      <c r="L38" s="401">
        <f>(Model!BK189-Model!BF189)*-1</f>
        <v>0</v>
      </c>
      <c r="M38" s="349">
        <f>(Model!BP189-Model!BK189)*-1</f>
        <v>0</v>
      </c>
      <c r="N38" s="349">
        <f>(Model!BU189-Model!BP189)*-1</f>
        <v>0</v>
      </c>
      <c r="O38" s="349">
        <f>(Model!BZ189-Model!BU189)*-1</f>
        <v>0</v>
      </c>
      <c r="P38" s="349">
        <f>(Model!CE189-Model!BZ189)*-1</f>
        <v>0</v>
      </c>
      <c r="Q38" s="349">
        <f>(Model!CJ189-Model!CE189)*-1</f>
        <v>0</v>
      </c>
      <c r="R38" s="349">
        <f>(Model!CO189-Model!CJ189)*-1</f>
        <v>0</v>
      </c>
      <c r="X38" s="370" t="n"/>
      <c r="Y38" s="370" t="n"/>
      <c r="Z38" s="370" t="n"/>
    </row>
    <row r="39" outlineLevel="1" ht="15" customHeight="1" s="255">
      <c r="C39" s="399" t="inlineStr">
        <is>
          <t>Other non-current liabilities</t>
        </is>
      </c>
      <c r="D39" s="400">
        <f>Model!W240-Model!R240</f>
        <v>-25</v>
      </c>
      <c r="E39" s="400">
        <f>Model!AB240-Model!W240</f>
        <v>24</v>
      </c>
      <c r="F39" s="400">
        <f>Model!AG240-Model!AB240</f>
        <v>217</v>
      </c>
      <c r="G39" s="400">
        <f>Model!AL240-Model!AG240</f>
        <v>122</v>
      </c>
      <c r="H39" s="400">
        <f>Model!AQ240-Model!AL240</f>
        <v>0</v>
      </c>
      <c r="I39" s="400">
        <f>Model!AV240-Model!AQ240</f>
        <v>0</v>
      </c>
      <c r="J39" s="400">
        <f>Model!BA240-Model!AV240</f>
        <v>0</v>
      </c>
      <c r="K39" s="400">
        <f>Model!BF240-Model!BA240</f>
        <v>0</v>
      </c>
      <c r="L39" s="401">
        <f>Model!BK240-Model!BF240</f>
        <v>0</v>
      </c>
      <c r="M39" s="349">
        <f>Model!BP240-Model!BK240</f>
        <v>0</v>
      </c>
      <c r="N39" s="349">
        <f>Model!BU240-Model!BP240</f>
        <v>0</v>
      </c>
      <c r="O39" s="349">
        <f>Model!BZ240-Model!BU240</f>
        <v>0</v>
      </c>
      <c r="P39" s="349">
        <f>Model!CE240-Model!BZ240</f>
        <v>0</v>
      </c>
      <c r="Q39" s="349">
        <f>Model!CJ240-Model!CE240</f>
        <v>0</v>
      </c>
      <c r="R39" s="349">
        <f>Model!CO240-Model!CJ240</f>
        <v>0</v>
      </c>
      <c r="X39" s="370" t="n"/>
      <c r="Y39" s="370" t="n"/>
      <c r="Z39" s="370" t="n"/>
    </row>
    <row r="40" ht="12.75" customHeight="1" s="255">
      <c r="C40" s="399" t="inlineStr">
        <is>
          <t>Capital expenditures</t>
        </is>
      </c>
      <c r="D40" s="400" t="n"/>
      <c r="E40" s="400" t="n"/>
      <c r="F40" s="400" t="n"/>
      <c r="G40" s="400" t="n"/>
      <c r="H40" s="400" t="n"/>
      <c r="I40" s="400" t="n"/>
      <c r="J40" s="400" t="n"/>
      <c r="K40" s="400" t="n"/>
      <c r="L40" s="401" t="n"/>
      <c r="X40" s="370" t="n"/>
      <c r="Y40" s="370" t="n"/>
      <c r="Z40" s="370" t="n"/>
    </row>
    <row r="41" ht="12.75" customHeight="1" s="255">
      <c r="C41" s="399" t="inlineStr">
        <is>
          <t>Capital expenditures [IFRS16 - implied lease payments]</t>
        </is>
      </c>
      <c r="F41" s="400" t="n"/>
      <c r="G41" s="400" t="n"/>
      <c r="H41" s="400" t="n"/>
      <c r="I41" s="400" t="n"/>
      <c r="J41" s="400" t="n"/>
      <c r="K41" s="400" t="n"/>
      <c r="L41" s="401" t="n"/>
      <c r="X41" s="370" t="n"/>
      <c r="Y41" s="370" t="n"/>
      <c r="Z41" s="370" t="n"/>
    </row>
    <row r="42" ht="12.75" customHeight="1" s="255">
      <c r="C42" s="402" t="inlineStr">
        <is>
          <t>Purchase of intangible assets</t>
        </is>
      </c>
      <c r="D42" s="403" t="n">
        <v>0</v>
      </c>
      <c r="E42" s="403" t="n">
        <v>0</v>
      </c>
      <c r="F42" s="403" t="n">
        <v>0</v>
      </c>
      <c r="G42" s="403" t="n">
        <v>0</v>
      </c>
      <c r="H42" s="403" t="n">
        <v>0</v>
      </c>
      <c r="I42" s="403" t="n">
        <v>0</v>
      </c>
      <c r="J42" s="403" t="n">
        <v>0</v>
      </c>
      <c r="K42" s="403" t="n">
        <v>0</v>
      </c>
      <c r="L42" s="404" t="n">
        <v>0</v>
      </c>
      <c r="M42" s="405" t="n"/>
      <c r="X42" s="370" t="n"/>
      <c r="Y42" s="370" t="n"/>
      <c r="Z42" s="370" t="n"/>
      <c r="AB42" s="360" t="n"/>
    </row>
    <row r="43" ht="12.75" customHeight="1" s="255">
      <c r="X43" s="370" t="n"/>
      <c r="Y43" s="370" t="n"/>
      <c r="Z43" s="370" t="n"/>
    </row>
    <row r="44" ht="12.75" customHeight="1" s="255">
      <c r="C44" s="376" t="inlineStr">
        <is>
          <t>Net Investments</t>
        </is>
      </c>
      <c r="D44" s="397">
        <f>SUM(D27+D40+D41+D42+D26)</f>
        <v>-57</v>
      </c>
      <c r="E44" s="397">
        <f>SUM(E27+E40+E41+E42+E26)</f>
        <v>350</v>
      </c>
      <c r="F44" s="397">
        <f>SUM(F27+F40+F41+F42+F26)</f>
        <v>-8025</v>
      </c>
      <c r="G44" s="397">
        <f>SUM(G27+G40+G41+G42+G26)</f>
        <v>12313</v>
      </c>
      <c r="H44" s="397" t="e">
        <f>SUM(H27+H40+H41+H42+H26)</f>
        <v>#DIV/0!</v>
      </c>
      <c r="I44" s="397" t="e">
        <f>SUM(I27+I40+I41+I42+I26)</f>
        <v>#DIV/0!</v>
      </c>
      <c r="J44" s="397" t="e">
        <f>SUM(J27+J40+J41+J42+J26)</f>
        <v>#DIV/0!</v>
      </c>
      <c r="K44" s="397" t="e">
        <f>SUM(K27+K40+K41+K42+K26)</f>
        <v>#DIV/0!</v>
      </c>
      <c r="L44" s="397" t="e">
        <f>SUM(L27+L40+L41+L42+L26)</f>
        <v>#DIV/0!</v>
      </c>
      <c r="M44" s="406" t="e">
        <f>+L46-M46</f>
        <v>#DIV/0!</v>
      </c>
      <c r="N44" s="397" t="e">
        <f>+M46-N46</f>
        <v>#DIV/0!</v>
      </c>
      <c r="O44" s="397" t="e">
        <f>+N46-O46</f>
        <v>#DIV/0!</v>
      </c>
      <c r="P44" s="397" t="e">
        <f>+O46-P46</f>
        <v>#DIV/0!</v>
      </c>
      <c r="Q44" s="397" t="e">
        <f>+P46-Q46</f>
        <v>#DIV/0!</v>
      </c>
      <c r="R44" s="397" t="e">
        <f>+Q46-R46</f>
        <v>#DIV/0!</v>
      </c>
      <c r="S44" s="397" t="n"/>
      <c r="T44" s="397" t="n"/>
      <c r="U44" s="397" t="n"/>
      <c r="V44" s="398" t="n"/>
      <c r="X44" s="370" t="n"/>
      <c r="Y44" s="405" t="n"/>
      <c r="Z44" s="370" t="n"/>
    </row>
    <row r="45" ht="12.75" customHeight="1" s="255">
      <c r="C45" s="407" t="n"/>
      <c r="D45" s="405" t="n"/>
      <c r="E45" s="405" t="n"/>
      <c r="F45" s="405" t="n"/>
      <c r="G45" s="405" t="n"/>
      <c r="H45" s="405" t="n"/>
      <c r="I45" s="405" t="n"/>
      <c r="J45" s="405" t="n"/>
      <c r="K45" s="405" t="n"/>
      <c r="L45" s="405" t="n"/>
      <c r="V45" s="408" t="n"/>
      <c r="X45" s="370" t="n"/>
      <c r="Y45" s="370" t="n"/>
      <c r="Z45" s="370" t="n"/>
    </row>
    <row r="46" ht="12.75" customHeight="1" s="255">
      <c r="C46" s="407" t="inlineStr">
        <is>
          <t>Invested Capital</t>
        </is>
      </c>
      <c r="D46" s="400">
        <f>Model!W350</f>
        <v>15368</v>
      </c>
      <c r="E46" s="400">
        <f>Model!AB350</f>
        <v>15135</v>
      </c>
      <c r="F46" s="400">
        <f>Model!AG350</f>
        <v>32920</v>
      </c>
      <c r="G46" s="400">
        <f>Model!AL350</f>
        <v>20248</v>
      </c>
      <c r="H46" s="400" t="e">
        <f>Model!AQ350</f>
        <v>#DIV/0!</v>
      </c>
      <c r="I46" s="400" t="e">
        <f>Model!AV350</f>
        <v>#DIV/0!</v>
      </c>
      <c r="J46" s="400" t="e">
        <f>Model!BA350</f>
        <v>#DIV/0!</v>
      </c>
      <c r="K46" s="400" t="e">
        <f>Model!BF350</f>
        <v>#DIV/0!</v>
      </c>
      <c r="L46" s="400" t="e">
        <f>Model!BK350</f>
        <v>#DIV/0!</v>
      </c>
      <c r="M46" s="409" t="e">
        <f>Model!BP350</f>
        <v>#DIV/0!</v>
      </c>
      <c r="N46" s="409" t="e">
        <f>Model!BU350</f>
        <v>#DIV/0!</v>
      </c>
      <c r="O46" s="409" t="e">
        <f>Model!BZ350</f>
        <v>#DIV/0!</v>
      </c>
      <c r="P46" s="409" t="e">
        <f>Model!CE350</f>
        <v>#DIV/0!</v>
      </c>
      <c r="Q46" s="409" t="e">
        <f>Model!CJ350</f>
        <v>#DIV/0!</v>
      </c>
      <c r="R46" s="409" t="e">
        <f>Model!CO350</f>
        <v>#DIV/0!</v>
      </c>
      <c r="S46" s="409" t="n"/>
      <c r="T46" s="409" t="n"/>
      <c r="U46" s="409" t="n"/>
      <c r="V46" s="410" t="n"/>
      <c r="X46" s="405" t="n"/>
      <c r="Y46" s="405" t="n"/>
      <c r="Z46" s="370" t="n"/>
    </row>
    <row r="47" ht="15" customHeight="1" s="255">
      <c r="C47" s="407" t="inlineStr">
        <is>
          <t>Invested Capital (ex Goodwill)</t>
        </is>
      </c>
      <c r="D47" s="400">
        <f>Model!W351</f>
        <v>14879</v>
      </c>
      <c r="E47" s="400">
        <f>Model!AB351</f>
        <v>14682</v>
      </c>
      <c r="F47" s="400">
        <f>Model!AG351</f>
        <v>29779</v>
      </c>
      <c r="G47" s="400">
        <f>Model!AL351</f>
        <v>16894</v>
      </c>
      <c r="H47" s="400" t="e">
        <f>Model!AQ351</f>
        <v>#DIV/0!</v>
      </c>
      <c r="I47" s="400" t="e">
        <f>Model!AV351</f>
        <v>#DIV/0!</v>
      </c>
      <c r="J47" s="400" t="e">
        <f>Model!BA351</f>
        <v>#DIV/0!</v>
      </c>
      <c r="K47" s="400" t="e">
        <f>Model!BF351</f>
        <v>#DIV/0!</v>
      </c>
      <c r="L47" s="400" t="e">
        <f>Model!BK351</f>
        <v>#DIV/0!</v>
      </c>
      <c r="M47" s="349" t="e">
        <f>Model!BP351</f>
        <v>#DIV/0!</v>
      </c>
      <c r="N47" s="349" t="e">
        <f>Model!BU351</f>
        <v>#DIV/0!</v>
      </c>
      <c r="O47" s="349" t="e">
        <f>Model!BZ351</f>
        <v>#DIV/0!</v>
      </c>
      <c r="P47" s="349" t="e">
        <f>Model!CE351</f>
        <v>#DIV/0!</v>
      </c>
      <c r="Q47" s="349" t="e">
        <f>Model!CJ351</f>
        <v>#DIV/0!</v>
      </c>
      <c r="R47" s="349" t="e">
        <f>Model!CO351</f>
        <v>#DIV/0!</v>
      </c>
      <c r="V47" s="408" t="n"/>
      <c r="X47" s="370" t="n"/>
      <c r="Y47" s="370" t="n"/>
      <c r="Z47" s="370" t="n"/>
    </row>
    <row r="48" ht="12.75" customHeight="1" s="255">
      <c r="C48" s="380" t="inlineStr">
        <is>
          <t>Invested Capital / Net Revenues</t>
        </is>
      </c>
      <c r="D48" s="386">
        <f>D46/D18</f>
        <v>0.258112193483373</v>
      </c>
      <c r="E48" s="386">
        <f>E46/E18</f>
        <v>0.284985312947202</v>
      </c>
      <c r="F48" s="386">
        <f>F46/F18</f>
        <v>0.468085711441937</v>
      </c>
      <c r="G48" s="386">
        <f>G46/G18</f>
        <v>0.220520807240332</v>
      </c>
      <c r="H48" s="386" t="e">
        <f>H46/H18</f>
        <v>#DIV/0!</v>
      </c>
      <c r="I48" s="386" t="e">
        <f>I46/I18</f>
        <v>#DIV/0!</v>
      </c>
      <c r="J48" s="386" t="e">
        <f>J46/J18</f>
        <v>#DIV/0!</v>
      </c>
      <c r="K48" s="386" t="e">
        <f>K46/K18</f>
        <v>#DIV/0!</v>
      </c>
      <c r="L48" s="386" t="e">
        <f>L46/L18</f>
        <v>#DIV/0!</v>
      </c>
      <c r="M48" s="411" t="n"/>
      <c r="N48" s="411" t="n"/>
      <c r="O48" s="411" t="n"/>
      <c r="P48" s="411" t="n"/>
      <c r="Q48" s="411" t="n"/>
      <c r="R48" s="411" t="n"/>
      <c r="S48" s="411" t="n"/>
      <c r="T48" s="411" t="n"/>
      <c r="U48" s="411" t="n"/>
      <c r="V48" s="412" t="n"/>
      <c r="X48" s="369" t="inlineStr">
        <is>
          <t>ROIC</t>
        </is>
      </c>
      <c r="Y48" s="370" t="n"/>
      <c r="Z48" s="370" t="n"/>
    </row>
    <row r="49" ht="12.75" customHeight="1" s="255">
      <c r="X49" s="413">
        <f>F16</f>
        <v>2025</v>
      </c>
      <c r="Y49" s="413">
        <f>L16</f>
        <v>2031</v>
      </c>
      <c r="Z49" s="413">
        <f>R16</f>
        <v>2037</v>
      </c>
    </row>
    <row r="50" ht="12.75" customHeight="1" s="255">
      <c r="C50" s="414" t="inlineStr">
        <is>
          <t>ROIC</t>
        </is>
      </c>
      <c r="D50" s="415" t="n"/>
      <c r="E50" s="415" t="n"/>
      <c r="F50" s="415" t="n"/>
      <c r="G50" s="415">
        <f>G25/AVERAGE(F46,G46)</f>
        <v>0.0391107880526286</v>
      </c>
      <c r="H50" s="415" t="e">
        <f>H25/AVERAGE(G46,H46)</f>
        <v>#DIV/0!</v>
      </c>
      <c r="I50" s="415" t="e">
        <f>I25/AVERAGE(H46,I46)</f>
        <v>#DIV/0!</v>
      </c>
      <c r="J50" s="415" t="e">
        <f>J25/AVERAGE(I46,J46)</f>
        <v>#DIV/0!</v>
      </c>
      <c r="K50" s="415" t="e">
        <f>K25/AVERAGE(J46,K46)</f>
        <v>#DIV/0!</v>
      </c>
      <c r="L50" s="415" t="e">
        <f>L25/AVERAGE(K46,L46)</f>
        <v>#DIV/0!</v>
      </c>
      <c r="M50" s="416" t="e">
        <f>M25/AVERAGE(L46,M46)</f>
        <v>#DIV/0!</v>
      </c>
      <c r="N50" s="416" t="e">
        <f>N25/AVERAGE(M46,N46)</f>
        <v>#DIV/0!</v>
      </c>
      <c r="O50" s="416" t="e">
        <f>O25/AVERAGE(N46,O46)</f>
        <v>#DIV/0!</v>
      </c>
      <c r="P50" s="416" t="e">
        <f>P25/AVERAGE(O46,P46)</f>
        <v>#DIV/0!</v>
      </c>
      <c r="Q50" s="416" t="e">
        <f>Q25/AVERAGE(P46,Q46)</f>
        <v>#DIV/0!</v>
      </c>
      <c r="R50" s="416" t="e">
        <f>R25/AVERAGE(Q46,R46)</f>
        <v>#DIV/0!</v>
      </c>
      <c r="S50" s="416" t="n"/>
      <c r="T50" s="416" t="n"/>
      <c r="U50" s="416" t="n"/>
      <c r="V50" s="417" t="n"/>
      <c r="X50" s="379">
        <f>F50</f>
        <v>0</v>
      </c>
      <c r="Y50" s="379" t="e">
        <f>L50</f>
        <v>#DIV/0!</v>
      </c>
      <c r="Z50" s="418" t="e">
        <f>R50</f>
        <v>#DIV/0!</v>
      </c>
    </row>
    <row r="51" ht="12.75" customHeight="1" s="255">
      <c r="C51" s="360" t="inlineStr">
        <is>
          <t>Capital Turnover</t>
        </is>
      </c>
      <c r="D51" s="419">
        <f>D18/D46</f>
        <v>3.87428422696512</v>
      </c>
      <c r="E51" s="419">
        <f>E18/E46</f>
        <v>3.50895275850677</v>
      </c>
      <c r="F51" s="419">
        <f>F18/F46</f>
        <v>2.13636087484812</v>
      </c>
      <c r="G51" s="419">
        <f>G18/G46</f>
        <v>4.53471947846701</v>
      </c>
      <c r="H51" s="419" t="e">
        <f>H18/H46</f>
        <v>#DIV/0!</v>
      </c>
      <c r="I51" s="419" t="e">
        <f>I18/I46</f>
        <v>#DIV/0!</v>
      </c>
      <c r="J51" s="419" t="e">
        <f>J18/J46</f>
        <v>#DIV/0!</v>
      </c>
      <c r="K51" s="419" t="e">
        <f>K18/K46</f>
        <v>#DIV/0!</v>
      </c>
      <c r="L51" s="419" t="e">
        <f>L18/L46</f>
        <v>#DIV/0!</v>
      </c>
      <c r="M51" s="419" t="e">
        <f>M18/M46</f>
        <v>#DIV/0!</v>
      </c>
      <c r="N51" s="419" t="e">
        <f>N18/N46</f>
        <v>#DIV/0!</v>
      </c>
      <c r="O51" s="419" t="e">
        <f>O18/O46</f>
        <v>#DIV/0!</v>
      </c>
      <c r="P51" s="419" t="e">
        <f>P18/P46</f>
        <v>#DIV/0!</v>
      </c>
      <c r="Q51" s="419" t="e">
        <f>Q18/Q46</f>
        <v>#DIV/0!</v>
      </c>
      <c r="R51" s="419" t="e">
        <f>R18/R46</f>
        <v>#DIV/0!</v>
      </c>
      <c r="S51" s="419" t="n"/>
      <c r="T51" s="419" t="n"/>
      <c r="U51" s="419" t="n"/>
      <c r="V51" s="419" t="n"/>
    </row>
    <row r="53" ht="12.75" customFormat="1" customHeight="1" s="360">
      <c r="A53" s="349" t="n"/>
      <c r="B53" s="349" t="n"/>
      <c r="C53" s="360" t="inlineStr">
        <is>
          <t>Unlevered free cash flows = FCFF</t>
        </is>
      </c>
      <c r="D53" s="420">
        <f>D25+D44</f>
        <v>2340.51229105211</v>
      </c>
      <c r="E53" s="420">
        <f>E25+E44</f>
        <v>1610.49606299213</v>
      </c>
      <c r="F53" s="420">
        <f>F25+F44</f>
        <v>-7058.14285714286</v>
      </c>
      <c r="G53" s="421">
        <f>(G25+G44)*stub_year_fraction</f>
        <v>3475.36578907165</v>
      </c>
      <c r="H53" s="420" t="e">
        <f>H25+H44</f>
        <v>#DIV/0!</v>
      </c>
      <c r="I53" s="420" t="e">
        <f>I25+I44</f>
        <v>#DIV/0!</v>
      </c>
      <c r="J53" s="420" t="e">
        <f>J25+J44</f>
        <v>#DIV/0!</v>
      </c>
      <c r="K53" s="420" t="e">
        <f>K25+K44</f>
        <v>#DIV/0!</v>
      </c>
      <c r="L53" s="420" t="e">
        <f>L25+L44</f>
        <v>#DIV/0!</v>
      </c>
      <c r="M53" s="420" t="e">
        <f>M25+M44</f>
        <v>#DIV/0!</v>
      </c>
      <c r="N53" s="420" t="e">
        <f>N25+N44</f>
        <v>#DIV/0!</v>
      </c>
      <c r="O53" s="420" t="e">
        <f>O25+O44</f>
        <v>#DIV/0!</v>
      </c>
      <c r="P53" s="420" t="e">
        <f>P25+P44</f>
        <v>#DIV/0!</v>
      </c>
      <c r="Q53" s="420" t="e">
        <f>Q25+Q44</f>
        <v>#DIV/0!</v>
      </c>
      <c r="R53" s="420" t="e">
        <f>R25+R44</f>
        <v>#DIV/0!</v>
      </c>
      <c r="S53" s="420" t="n"/>
      <c r="T53" s="420" t="n"/>
      <c r="U53" s="420" t="n"/>
      <c r="V53" s="420" t="n"/>
    </row>
    <row r="54" ht="12.75" customHeight="1" s="255">
      <c r="C54" s="422" t="inlineStr">
        <is>
          <t>Discount factor</t>
        </is>
      </c>
      <c r="G54" s="423" t="e">
        <f>1/(1+wacc)^stub_year_fraction</f>
        <v>#DIV/0!</v>
      </c>
      <c r="H54" s="423" t="e">
        <f>1/(1+wacc)^(1+stub_year_fraction)</f>
        <v>#DIV/0!</v>
      </c>
      <c r="I54" s="423" t="e">
        <f>1/(1+wacc)^(2+stub_year_fraction)</f>
        <v>#DIV/0!</v>
      </c>
      <c r="J54" s="423" t="e">
        <f>1/(1+wacc)^(3+stub_year_fraction)</f>
        <v>#DIV/0!</v>
      </c>
      <c r="K54" s="423" t="e">
        <f>1/(1+wacc)^(4+stub_year_fraction)</f>
        <v>#DIV/0!</v>
      </c>
      <c r="L54" s="423" t="e">
        <f>1/(1+wacc)^(5+stub_year_fraction)</f>
        <v>#DIV/0!</v>
      </c>
      <c r="M54" s="423" t="e">
        <f>1/(1+wacc)^(6+stub_year_fraction)</f>
        <v>#DIV/0!</v>
      </c>
      <c r="N54" s="423" t="e">
        <f>1/(1+wacc)^(7+stub_year_fraction)</f>
        <v>#DIV/0!</v>
      </c>
      <c r="O54" s="423" t="e">
        <f>1/(1+wacc)^(8+stub_year_fraction)</f>
        <v>#DIV/0!</v>
      </c>
      <c r="P54" s="423" t="e">
        <f>1/(1+wacc)^(9+stub_year_fraction)</f>
        <v>#DIV/0!</v>
      </c>
      <c r="Q54" s="423" t="e">
        <f>1/(1+wacc)^(10+stub_year_fraction)</f>
        <v>#DIV/0!</v>
      </c>
      <c r="R54" s="423" t="e">
        <f>1/(1+wacc)^(11+stub_year_fraction)</f>
        <v>#DIV/0!</v>
      </c>
      <c r="S54" s="423" t="n"/>
      <c r="T54" s="423" t="n"/>
      <c r="U54" s="423" t="n"/>
      <c r="V54" s="423" t="n"/>
    </row>
    <row r="55" ht="12.75" customHeight="1" s="255">
      <c r="C55" s="422" t="inlineStr">
        <is>
          <t>Midyear adjustment factor</t>
        </is>
      </c>
      <c r="G55" s="424" t="e">
        <f>(1+wacc)^(stub_year_fraction/2)</f>
        <v>#DIV/0!</v>
      </c>
      <c r="H55" s="423" t="e">
        <f>(1+wacc)^0.5</f>
        <v>#DIV/0!</v>
      </c>
      <c r="I55" s="423" t="e">
        <f>(1+wacc)^0.5</f>
        <v>#DIV/0!</v>
      </c>
      <c r="J55" s="423" t="e">
        <f>(1+wacc)^0.5</f>
        <v>#DIV/0!</v>
      </c>
      <c r="K55" s="423" t="e">
        <f>(1+wacc)^0.5</f>
        <v>#DIV/0!</v>
      </c>
      <c r="L55" s="423" t="e">
        <f>(1+wacc)^0.5</f>
        <v>#DIV/0!</v>
      </c>
      <c r="M55" s="423" t="e">
        <f>(1+wacc)^0.5</f>
        <v>#DIV/0!</v>
      </c>
      <c r="N55" s="423" t="e">
        <f>(1+wacc)^0.5</f>
        <v>#DIV/0!</v>
      </c>
      <c r="O55" s="423" t="e">
        <f>(1+wacc)^0.5</f>
        <v>#DIV/0!</v>
      </c>
      <c r="P55" s="423" t="e">
        <f>(1+wacc)^0.5</f>
        <v>#DIV/0!</v>
      </c>
      <c r="Q55" s="423" t="e">
        <f>(1+wacc)^0.5</f>
        <v>#DIV/0!</v>
      </c>
      <c r="R55" s="423" t="e">
        <f>(1+wacc)^0.5</f>
        <v>#DIV/0!</v>
      </c>
      <c r="S55" s="423" t="n"/>
      <c r="T55" s="423" t="n"/>
      <c r="U55" s="423" t="n"/>
      <c r="V55" s="423" t="n"/>
    </row>
    <row r="56" ht="12.75" customHeight="1" s="255">
      <c r="C56" s="422" t="inlineStr">
        <is>
          <t>Present value of free cash flows</t>
        </is>
      </c>
      <c r="G56" s="405" t="e">
        <f>G54*G53*G55</f>
        <v>#DIV/0!</v>
      </c>
      <c r="H56" s="405" t="e">
        <f>H54*H53*H55</f>
        <v>#DIV/0!</v>
      </c>
      <c r="I56" s="405" t="e">
        <f>I54*I53*I55</f>
        <v>#DIV/0!</v>
      </c>
      <c r="J56" s="405" t="e">
        <f>J54*J53*J55</f>
        <v>#DIV/0!</v>
      </c>
      <c r="K56" s="405" t="e">
        <f>K54*K53*K55</f>
        <v>#DIV/0!</v>
      </c>
      <c r="L56" s="405" t="e">
        <f>L54*L53*L55</f>
        <v>#DIV/0!</v>
      </c>
      <c r="M56" s="405" t="e">
        <f>M54*M53*M55</f>
        <v>#DIV/0!</v>
      </c>
      <c r="N56" s="405" t="e">
        <f>N54*N53*N55</f>
        <v>#DIV/0!</v>
      </c>
      <c r="O56" s="405" t="e">
        <f>O54*O53*O55</f>
        <v>#DIV/0!</v>
      </c>
      <c r="P56" s="405" t="e">
        <f>P54*P53*P55</f>
        <v>#DIV/0!</v>
      </c>
      <c r="Q56" s="405" t="e">
        <f>Q54*Q53*Q55</f>
        <v>#DIV/0!</v>
      </c>
      <c r="R56" s="405" t="e">
        <f>R54*R53*R55</f>
        <v>#DIV/0!</v>
      </c>
      <c r="S56" s="405" t="n"/>
      <c r="T56" s="405" t="n"/>
      <c r="U56" s="405" t="n"/>
      <c r="V56" s="405" t="n"/>
    </row>
    <row r="57" ht="12.75" customHeight="1" s="255">
      <c r="C57" s="360" t="inlineStr">
        <is>
          <t>Sum of present values of FCFs</t>
        </is>
      </c>
      <c r="G57" s="420" t="e">
        <f>SUM(G56:R56)</f>
        <v>#DIV/0!</v>
      </c>
      <c r="H57" s="405" t="n"/>
      <c r="N57" s="425" t="n"/>
    </row>
    <row r="59" ht="12.75" customHeight="1" s="255">
      <c r="C59" s="360" t="n"/>
      <c r="D59" s="352" t="n">
        <v>50405</v>
      </c>
      <c r="E59" s="426" t="n"/>
      <c r="F59" s="427" t="n"/>
      <c r="G59" s="427" t="n"/>
      <c r="H59" s="352" t="n">
        <v>46022</v>
      </c>
      <c r="I59" s="427" t="n"/>
      <c r="J59" s="427" t="n"/>
      <c r="K59" s="427" t="n"/>
      <c r="L59" s="427" t="n"/>
    </row>
    <row r="60" ht="13.5" customHeight="1" s="255">
      <c r="C60" s="428" t="inlineStr">
        <is>
          <t>Terminal value</t>
        </is>
      </c>
      <c r="D60" s="429" t="n"/>
      <c r="E60" s="430" t="inlineStr">
        <is>
          <t>Equity value calculations</t>
        </is>
      </c>
      <c r="F60" s="431" t="n"/>
      <c r="G60" s="431" t="n"/>
      <c r="H60" s="431" t="n"/>
      <c r="I60" s="432" t="inlineStr">
        <is>
          <t xml:space="preserve"> Shares Outstanding Worksheet</t>
        </is>
      </c>
      <c r="J60" s="433" t="n"/>
      <c r="K60" s="434" t="n"/>
      <c r="L60" s="435" t="n"/>
    </row>
    <row r="61" ht="12.75" customHeight="1" s="255">
      <c r="C61" s="407" t="n"/>
      <c r="D61" s="408" t="n"/>
      <c r="I61" s="407" t="n"/>
      <c r="L61" s="408" t="n"/>
    </row>
    <row r="62" ht="12.75" customHeight="1" s="255">
      <c r="C62" s="436" t="inlineStr">
        <is>
          <t>Key value driver method</t>
        </is>
      </c>
      <c r="D62" s="437" t="n"/>
      <c r="E62" s="438" t="inlineStr">
        <is>
          <t>Enterprise value</t>
        </is>
      </c>
      <c r="H62" s="420" t="e">
        <f>D80</f>
        <v>#DIV/0!</v>
      </c>
      <c r="I62" s="439" t="inlineStr">
        <is>
          <t>Basic Shares Outanding :</t>
        </is>
      </c>
      <c r="J62" s="354" t="n"/>
      <c r="L62" s="440" t="n"/>
    </row>
    <row r="63" ht="13.5" customHeight="1" s="255">
      <c r="C63" s="436" t="inlineStr">
        <is>
          <t>g</t>
        </is>
      </c>
      <c r="D63" s="441" t="n"/>
      <c r="E63" s="442" t="inlineStr">
        <is>
          <t>Calculation of net debt:</t>
        </is>
      </c>
      <c r="H63" s="405" t="n"/>
      <c r="I63" s="439" t="inlineStr">
        <is>
          <t>Current Share Price:</t>
        </is>
      </c>
      <c r="L63" s="443" t="n"/>
    </row>
    <row r="64" ht="13.5" customHeight="1" s="255">
      <c r="C64" s="436" t="inlineStr">
        <is>
          <t>RONIC</t>
        </is>
      </c>
      <c r="D64" s="444" t="e">
        <f>R50</f>
        <v>#DIV/0!</v>
      </c>
      <c r="E64" s="422" t="inlineStr">
        <is>
          <t>Current portion of long-term debt</t>
        </is>
      </c>
      <c r="H64" s="401" t="n"/>
      <c r="I64" s="445" t="inlineStr">
        <is>
          <t>Options / Warrants Data</t>
        </is>
      </c>
      <c r="J64" s="373" t="n"/>
      <c r="K64" s="373" t="n"/>
      <c r="L64" s="446" t="n"/>
    </row>
    <row r="65" ht="12.75" customHeight="1" s="255">
      <c r="C65" s="436" t="inlineStr">
        <is>
          <t>NOPLAT (t+1)</t>
        </is>
      </c>
      <c r="D65" s="447">
        <f>SUMIFS(INDEX($C$17:$AQ$42,,MATCH(D$59,$C$17:$AQ$17,0)),$C$17:$C$42,"NOPLAT")*(1+D63)</f>
        <v>0</v>
      </c>
      <c r="E65" s="422" t="inlineStr">
        <is>
          <t>Short term debt</t>
        </is>
      </c>
      <c r="H65" s="401" t="n"/>
      <c r="I65" s="445" t="n"/>
      <c r="J65" s="448" t="inlineStr">
        <is>
          <t># of options</t>
        </is>
      </c>
      <c r="K65" s="448" t="inlineStr">
        <is>
          <t xml:space="preserve">$ strike </t>
        </is>
      </c>
      <c r="L65" s="446" t="inlineStr">
        <is>
          <t># In-the-$</t>
        </is>
      </c>
    </row>
    <row r="66" ht="12.75" customHeight="1" s="255">
      <c r="C66" s="436" t="inlineStr">
        <is>
          <t>Terminal value</t>
        </is>
      </c>
      <c r="D66" s="447" t="e">
        <f>(noplat_t1*(1-(g/ronic)))/(wacc-g)</f>
        <v>#DIV/0!</v>
      </c>
      <c r="E66" s="422" t="inlineStr">
        <is>
          <t>Long term debt</t>
        </is>
      </c>
      <c r="H66" s="401" t="n"/>
      <c r="I66" s="422" t="inlineStr">
        <is>
          <t>Batch 1</t>
        </is>
      </c>
      <c r="J66" s="449" t="n"/>
      <c r="K66" s="450" t="n"/>
      <c r="L66" s="451">
        <f>IF($K66&lt;$L$62,J66,0)</f>
        <v>0</v>
      </c>
    </row>
    <row r="67" ht="12.75" customHeight="1" s="255">
      <c r="C67" s="436" t="inlineStr">
        <is>
          <t>Midyear adjusted terminal value</t>
        </is>
      </c>
      <c r="D67" s="447" t="e">
        <f>D66*R55</f>
        <v>#DIV/0!</v>
      </c>
      <c r="E67" s="422" t="inlineStr">
        <is>
          <t>Convertible debt</t>
        </is>
      </c>
      <c r="H67" s="401" t="n"/>
      <c r="I67" s="422" t="inlineStr">
        <is>
          <t>Batch 2</t>
        </is>
      </c>
      <c r="J67" s="452" t="n"/>
      <c r="K67" s="453" t="n"/>
      <c r="L67" s="451">
        <f>IF($K67&lt;$L$61,J67,0)</f>
        <v>0</v>
      </c>
    </row>
    <row r="68" ht="12.75" customHeight="1" s="255">
      <c r="C68" s="436" t="inlineStr">
        <is>
          <t>Present value of terminal value</t>
        </is>
      </c>
      <c r="D68" s="447" t="e">
        <f>D67*R54</f>
        <v>#DIV/0!</v>
      </c>
      <c r="E68" s="422" t="inlineStr">
        <is>
          <t>Minority interest</t>
        </is>
      </c>
      <c r="H68" s="401" t="n"/>
      <c r="I68" s="422" t="inlineStr">
        <is>
          <t>Batch 3</t>
        </is>
      </c>
      <c r="J68" s="452" t="n"/>
      <c r="K68" s="453" t="n"/>
      <c r="L68" s="451">
        <f>IF($K68&lt;$L$61,J68,0)</f>
        <v>0</v>
      </c>
    </row>
    <row r="69" ht="12.75" customHeight="1" s="255">
      <c r="C69" s="439" t="inlineStr">
        <is>
          <t>Enterprise value</t>
        </is>
      </c>
      <c r="D69" s="454" t="e">
        <f>D68+G57</f>
        <v>#DIV/0!</v>
      </c>
      <c r="E69" s="422" t="inlineStr">
        <is>
          <t>Convertible preferred stock</t>
        </is>
      </c>
      <c r="H69" s="401" t="n"/>
      <c r="I69" s="422" t="inlineStr">
        <is>
          <t>Batch 4</t>
        </is>
      </c>
      <c r="J69" s="452" t="n"/>
      <c r="K69" s="453" t="n"/>
      <c r="L69" s="451">
        <f>IF($K69&lt;$L$61,J69,0)</f>
        <v>0</v>
      </c>
    </row>
    <row r="70" ht="12.75" customHeight="1" s="255">
      <c r="C70" s="407" t="n"/>
      <c r="D70" s="408" t="n"/>
      <c r="E70" s="422" t="inlineStr">
        <is>
          <t>Short term operating leases</t>
        </is>
      </c>
      <c r="H70" s="401" t="n"/>
      <c r="I70" s="422" t="inlineStr">
        <is>
          <t>Batch 5</t>
        </is>
      </c>
      <c r="J70" s="452" t="n"/>
      <c r="K70" s="453" t="n"/>
      <c r="L70" s="451">
        <f>IF($K70&lt;$L$61,J70,0)</f>
        <v>0</v>
      </c>
    </row>
    <row r="71" ht="12.75" customHeight="1" s="255">
      <c r="C71" s="436" t="inlineStr">
        <is>
          <t>Exit multiple method</t>
        </is>
      </c>
      <c r="D71" s="437" t="n"/>
      <c r="E71" s="422" t="inlineStr">
        <is>
          <t>Long term operating leases</t>
        </is>
      </c>
      <c r="H71" s="401" t="n"/>
      <c r="I71" s="445" t="inlineStr">
        <is>
          <t>Batch 6</t>
        </is>
      </c>
      <c r="J71" s="455" t="n"/>
      <c r="K71" s="456" t="n"/>
      <c r="L71" s="457">
        <f>IF($K71&lt;$L$61,J71,0)</f>
        <v>0</v>
      </c>
    </row>
    <row r="72" ht="12.75" customHeight="1" s="255">
      <c r="C72" s="439" t="inlineStr">
        <is>
          <t>Exit EV / EBITDA multiple</t>
        </is>
      </c>
      <c r="D72" s="458" t="n"/>
      <c r="E72" s="442" t="inlineStr">
        <is>
          <t>Less: Excess cash</t>
        </is>
      </c>
      <c r="H72" s="401" t="n"/>
      <c r="J72" s="427" t="n"/>
      <c r="K72" s="459" t="inlineStr">
        <is>
          <t>Total in-the-$ options:</t>
        </is>
      </c>
      <c r="L72" s="451">
        <f>SUM(L66:L71)</f>
        <v>0</v>
      </c>
    </row>
    <row r="73" ht="12.75" customHeight="1" s="255">
      <c r="C73" s="439" t="inlineStr">
        <is>
          <t>LTM EBITDA at end of projection</t>
        </is>
      </c>
      <c r="D73" s="454">
        <f>L20</f>
        <v>0</v>
      </c>
      <c r="E73" s="442" t="inlineStr">
        <is>
          <t>Less: Equity investments</t>
        </is>
      </c>
      <c r="H73" s="401" t="n"/>
      <c r="J73" s="427" t="n"/>
      <c r="K73" s="459" t="inlineStr">
        <is>
          <t>Total $ proceeds:</t>
        </is>
      </c>
      <c r="L73" s="460">
        <f>SUMPRODUCT(K66:K71,L66:L71)</f>
        <v>0</v>
      </c>
    </row>
    <row r="74" ht="12.75" customHeight="1" s="255">
      <c r="C74" s="439" t="inlineStr">
        <is>
          <t>Terminal value</t>
        </is>
      </c>
      <c r="D74" s="454">
        <f>D73*D72</f>
        <v>0</v>
      </c>
      <c r="E74" s="422" t="inlineStr">
        <is>
          <t>Net debt</t>
        </is>
      </c>
      <c r="H74" s="454">
        <f>SUM(H64:H73)</f>
        <v>0</v>
      </c>
      <c r="J74" s="427" t="n"/>
      <c r="K74" s="459" t="inlineStr">
        <is>
          <t>Total shares repurchased:</t>
        </is>
      </c>
      <c r="L74" s="451" t="e">
        <f>L73/L63</f>
        <v>#DIV/0!</v>
      </c>
    </row>
    <row r="75" ht="12.75" customHeight="1" s="255">
      <c r="C75" s="439" t="inlineStr">
        <is>
          <t>Present value of terminal value</t>
        </is>
      </c>
      <c r="D75" s="454" t="e">
        <f>D74*L54</f>
        <v>#DIV/0!</v>
      </c>
      <c r="E75" s="438" t="inlineStr">
        <is>
          <t>Equity value</t>
        </is>
      </c>
      <c r="H75" s="447" t="e">
        <f>D80-H74</f>
        <v>#DIV/0!</v>
      </c>
      <c r="J75" s="427" t="n"/>
      <c r="K75" s="461" t="inlineStr">
        <is>
          <t>Basic shares outstanding</t>
        </is>
      </c>
      <c r="L75" s="437">
        <f>L62</f>
        <v>0</v>
      </c>
    </row>
    <row r="76" ht="13.5" customHeight="1" s="255">
      <c r="C76" s="439" t="inlineStr">
        <is>
          <t>Enterprise value</t>
        </is>
      </c>
      <c r="D76" s="454" t="e">
        <f>G57+D75</f>
        <v>#DIV/0!</v>
      </c>
      <c r="E76" s="422" t="inlineStr">
        <is>
          <t>Shares outstanding</t>
        </is>
      </c>
      <c r="H76" s="454" t="e">
        <f>L79</f>
        <v>#DIV/0!</v>
      </c>
      <c r="J76" s="462" t="n"/>
      <c r="K76" s="461" t="inlineStr">
        <is>
          <t>New shares from options:</t>
        </is>
      </c>
      <c r="L76" s="437" t="e">
        <f>L72-L74</f>
        <v>#DIV/0!</v>
      </c>
    </row>
    <row r="77" ht="13.5" customHeight="1" s="255">
      <c r="C77" s="407" t="n"/>
      <c r="D77" s="463" t="n"/>
      <c r="E77" s="438" t="inlineStr">
        <is>
          <t>Equity value / share</t>
        </is>
      </c>
      <c r="H77" s="464" t="e">
        <f>H75/H76</f>
        <v>#DIV/0!</v>
      </c>
      <c r="K77" s="461" t="inlineStr">
        <is>
          <t>New shares from convert. pref. stock:</t>
        </is>
      </c>
      <c r="L77" s="465" t="n"/>
    </row>
    <row r="78" ht="12.75" customHeight="1" s="255">
      <c r="C78" s="436" t="inlineStr">
        <is>
          <t>Select a terminal value method</t>
        </is>
      </c>
      <c r="D78" s="466" t="n"/>
      <c r="F78" s="425" t="n"/>
      <c r="H78" s="467" t="n"/>
      <c r="K78" s="461" t="inlineStr">
        <is>
          <t>New shares from convertible debt:</t>
        </is>
      </c>
      <c r="L78" s="468" t="n"/>
    </row>
    <row r="79" ht="12.75" customHeight="1" s="255">
      <c r="C79" s="439" t="inlineStr">
        <is>
          <t>Perpetual growth = 1 / Exit multiple = 2</t>
        </is>
      </c>
      <c r="D79" s="469" t="n"/>
      <c r="H79" s="467" t="n"/>
      <c r="K79" s="470" t="inlineStr">
        <is>
          <t>Total Shares Outstanding:</t>
        </is>
      </c>
      <c r="L79" s="471" t="e">
        <f>L62+SUM(L76:L78)</f>
        <v>#DIV/0!</v>
      </c>
    </row>
    <row r="80" ht="12.75" customHeight="1" s="255">
      <c r="C80" s="439" t="inlineStr">
        <is>
          <t>Enterprise value</t>
        </is>
      </c>
      <c r="D80" s="437" t="e">
        <f>IF(D79=1,D69,D76)</f>
        <v>#DIV/0!</v>
      </c>
      <c r="H80" s="408" t="n"/>
      <c r="K80" s="470" t="n"/>
      <c r="L80" s="471" t="n"/>
    </row>
    <row r="81" ht="12.75" customHeight="1" s="255">
      <c r="C81" s="472" t="inlineStr">
        <is>
          <t>Terminal value as percent of total value</t>
        </is>
      </c>
      <c r="D81" s="473" t="e">
        <f>IF(D79=1,D68/D69,D75/D76)</f>
        <v>#DIV/0!</v>
      </c>
      <c r="E81" s="373" t="n"/>
      <c r="F81" s="373" t="n"/>
      <c r="G81" s="373" t="n"/>
      <c r="H81" s="387" t="n"/>
      <c r="I81" s="373" t="n"/>
      <c r="J81" s="373" t="n"/>
      <c r="K81" s="373" t="n"/>
      <c r="L81" s="387" t="n"/>
    </row>
    <row r="83" ht="13.5" customHeight="1" s="255">
      <c r="C83" s="474" t="inlineStr">
        <is>
          <t>Analysis of WACC</t>
        </is>
      </c>
      <c r="D83" s="475" t="n"/>
      <c r="E83" s="476" t="n"/>
      <c r="F83" s="476" t="n"/>
      <c r="G83" s="474" t="n"/>
      <c r="H83" s="475" t="n"/>
      <c r="I83" s="476" t="n"/>
      <c r="J83" s="476" t="n"/>
      <c r="K83" s="476" t="n"/>
      <c r="L83" s="476" t="n"/>
    </row>
    <row r="85" ht="12.75" customHeight="1" s="255">
      <c r="C85" s="477" t="inlineStr">
        <is>
          <t>Cost of debt</t>
        </is>
      </c>
      <c r="D85" s="373" t="n"/>
      <c r="F85" s="477" t="inlineStr">
        <is>
          <t>Capital structure</t>
        </is>
      </c>
      <c r="G85" s="477" t="n"/>
      <c r="H85" s="477" t="n"/>
      <c r="I85" s="477" t="n"/>
      <c r="J85" s="477" t="n"/>
    </row>
    <row r="86" ht="12.75" customHeight="1" s="255">
      <c r="C86" s="422" t="inlineStr">
        <is>
          <t>Cost of debt</t>
        </is>
      </c>
      <c r="D86" s="478" t="n"/>
      <c r="G86" s="479" t="inlineStr">
        <is>
          <t>Current capital structure</t>
        </is>
      </c>
      <c r="H86" s="366" t="n"/>
      <c r="I86" s="480" t="inlineStr">
        <is>
          <t>Target capital structure</t>
        </is>
      </c>
      <c r="J86" s="481" t="n"/>
    </row>
    <row r="87" ht="12.75" customHeight="1" s="255">
      <c r="C87" s="422" t="inlineStr">
        <is>
          <t>Marginal tax rate</t>
        </is>
      </c>
      <c r="D87" s="478" t="n"/>
      <c r="F87" s="373" t="n"/>
      <c r="G87" s="448" t="inlineStr">
        <is>
          <t>Market value</t>
        </is>
      </c>
      <c r="H87" s="448" t="inlineStr">
        <is>
          <t>% Weight</t>
        </is>
      </c>
      <c r="I87" s="448" t="inlineStr">
        <is>
          <t>override</t>
        </is>
      </c>
      <c r="J87" s="482" t="inlineStr">
        <is>
          <t>% Weight</t>
        </is>
      </c>
      <c r="K87" s="483" t="n"/>
      <c r="L87" s="484" t="n"/>
    </row>
    <row r="88" ht="12.75" customHeight="1" s="255">
      <c r="C88" s="349" t="inlineStr">
        <is>
          <t>Cost of debt after tax shield</t>
        </is>
      </c>
      <c r="D88" s="485">
        <f>costdebtfirm*(1-D87)</f>
        <v>0</v>
      </c>
      <c r="F88" s="349" t="inlineStr">
        <is>
          <t>Net debt</t>
        </is>
      </c>
      <c r="G88" s="486">
        <f>H74</f>
        <v>0</v>
      </c>
      <c r="H88" s="354" t="e">
        <f>debt/totalcap</f>
        <v>#DIV/0!</v>
      </c>
      <c r="I88" s="478" t="n"/>
      <c r="J88" s="354" t="e">
        <f>IF(I88,I88,H88)</f>
        <v>#DIV/0!</v>
      </c>
      <c r="L88" s="487" t="n"/>
    </row>
    <row r="89" ht="12.75" customHeight="1" s="255">
      <c r="F89" s="349" t="inlineStr">
        <is>
          <t>Equity</t>
        </is>
      </c>
      <c r="G89" s="488" t="e">
        <f>L63*L79</f>
        <v>#DIV/0!</v>
      </c>
      <c r="H89" s="354" t="e">
        <f>1-H88</f>
        <v>#DIV/0!</v>
      </c>
      <c r="J89" s="354" t="e">
        <f>1-debt_weight</f>
        <v>#DIV/0!</v>
      </c>
    </row>
    <row r="90" ht="12.75" customHeight="1" s="255">
      <c r="C90" s="477" t="inlineStr">
        <is>
          <t>Cost of equity</t>
        </is>
      </c>
      <c r="D90" s="373" t="n"/>
      <c r="F90" s="349" t="inlineStr">
        <is>
          <t>Total</t>
        </is>
      </c>
      <c r="G90" s="483" t="e">
        <f>SUM(G88:G89)</f>
        <v>#DIV/0!</v>
      </c>
    </row>
    <row r="91" ht="12.75" customHeight="1" s="255">
      <c r="C91" s="422" t="inlineStr">
        <is>
          <t>Risk-Free Rate (rf)</t>
        </is>
      </c>
      <c r="D91" s="478" t="n"/>
      <c r="E91" s="489" t="n"/>
    </row>
    <row r="92" ht="12.75" customHeight="1" s="255">
      <c r="C92" s="422" t="inlineStr">
        <is>
          <t>Market Risk Premium (rm-rf)</t>
        </is>
      </c>
      <c r="D92" s="478" t="n"/>
      <c r="F92" s="477" t="inlineStr">
        <is>
          <t>Weighted average cost of capital</t>
        </is>
      </c>
      <c r="G92" s="373" t="n"/>
      <c r="H92" s="373" t="n"/>
      <c r="I92" s="373" t="n"/>
      <c r="J92" s="373" t="n"/>
    </row>
    <row r="93" ht="12.75" customHeight="1" s="255">
      <c r="C93" s="422" t="inlineStr">
        <is>
          <t>Raw (observed) beta</t>
        </is>
      </c>
      <c r="D93" s="490" t="n"/>
      <c r="F93" s="349" t="inlineStr">
        <is>
          <t>Weighted average cost of capital:</t>
        </is>
      </c>
      <c r="J93" s="354" t="e">
        <f>debt_weight*D88+J89*costequity</f>
        <v>#DIV/0!</v>
      </c>
    </row>
    <row r="94" ht="12.75" customHeight="1" s="255">
      <c r="C94" s="422" t="inlineStr">
        <is>
          <t>Cost of equity using relevered industry beta</t>
        </is>
      </c>
      <c r="D94" s="485" t="e">
        <f>risk_free_rate+relevered_beta*risk_premium</f>
        <v>#DIV/0!</v>
      </c>
      <c r="E94" s="360" t="n"/>
    </row>
    <row r="95" ht="12.75" customHeight="1" s="255">
      <c r="C95" s="422" t="n"/>
      <c r="D95" s="485" t="n"/>
      <c r="E95" s="360" t="n"/>
      <c r="G95" s="483" t="n"/>
    </row>
    <row r="96" ht="12.75" customHeight="1" s="255">
      <c r="C96" s="477" t="inlineStr">
        <is>
          <t>Industry beta calculation</t>
        </is>
      </c>
      <c r="D96" s="373" t="n"/>
      <c r="E96" s="373" t="n"/>
      <c r="F96" s="373" t="n"/>
      <c r="G96" s="373" t="n"/>
      <c r="H96" s="373" t="n"/>
      <c r="I96" s="373" t="n"/>
      <c r="J96" s="373" t="n"/>
      <c r="K96" s="373" t="n"/>
      <c r="L96" s="373" t="n"/>
      <c r="M96" s="373" t="n"/>
    </row>
    <row r="97" ht="25.5" customHeight="1" s="255">
      <c r="C97" s="491" t="inlineStr">
        <is>
          <t xml:space="preserve">Comps </t>
        </is>
      </c>
      <c r="D97" s="492" t="inlineStr">
        <is>
          <t>Raw beta</t>
        </is>
      </c>
      <c r="E97" s="492" t="inlineStr">
        <is>
          <t>Share price</t>
        </is>
      </c>
      <c r="F97" s="492" t="inlineStr">
        <is>
          <t>Shares</t>
        </is>
      </c>
      <c r="G97" s="492" t="inlineStr">
        <is>
          <t>Market cap.</t>
        </is>
      </c>
      <c r="H97" s="492" t="inlineStr">
        <is>
          <t>Debt</t>
        </is>
      </c>
      <c r="I97" s="492" t="inlineStr">
        <is>
          <t>D / E</t>
        </is>
      </c>
      <c r="J97" s="492" t="inlineStr">
        <is>
          <t>Tax rate</t>
        </is>
      </c>
      <c r="K97" s="492" t="inlineStr">
        <is>
          <t>Unl. Beta</t>
        </is>
      </c>
      <c r="L97" s="492" t="inlineStr">
        <is>
          <t>Weigh. Beta</t>
        </is>
      </c>
      <c r="M97" s="492" t="inlineStr">
        <is>
          <t>Relev. Beta</t>
        </is>
      </c>
    </row>
    <row r="98" ht="12.75" customHeight="1" s="255">
      <c r="C98" s="493">
        <f>ticker</f>
        <v>0.0</v>
      </c>
      <c r="D98" s="494">
        <f>beta_observed</f>
        <v>0</v>
      </c>
      <c r="E98" s="495">
        <f>L63</f>
        <v>0</v>
      </c>
      <c r="F98" s="405" t="e">
        <f>L79</f>
        <v>#DIV/0!</v>
      </c>
      <c r="G98" s="405" t="e">
        <f>E98*F98</f>
        <v>#DIV/0!</v>
      </c>
      <c r="H98" s="405">
        <f>debt</f>
        <v>0</v>
      </c>
      <c r="I98" s="496" t="e">
        <f>debt/market_equity</f>
        <v>#DIV/0!</v>
      </c>
      <c r="J98" s="496">
        <f>F24</f>
        <v>0.253968253968254</v>
      </c>
      <c r="K98" s="494" t="e">
        <f>D98/(1+(I98)*(1-J98))</f>
        <v>#DIV/0!</v>
      </c>
      <c r="L98" s="497" t="e">
        <f>K98*G98/$G$102</f>
        <v>#DIV/0!</v>
      </c>
    </row>
    <row r="99" ht="12.75" customHeight="1" s="255">
      <c r="C99" s="498" t="inlineStr">
        <is>
          <t>TICKER 2</t>
        </is>
      </c>
      <c r="D99" s="490" t="n"/>
      <c r="E99" s="499" t="n"/>
      <c r="F99" s="500" t="n"/>
      <c r="G99" s="405">
        <f>E99*F99</f>
        <v>0</v>
      </c>
      <c r="H99" s="500" t="n"/>
      <c r="I99" s="496" t="e">
        <f>H99/(F99*E99)</f>
        <v>#DIV/0!</v>
      </c>
      <c r="J99" s="501" t="n"/>
      <c r="K99" s="494" t="e">
        <f>D99/(1+(I99)*(1-J99))</f>
        <v>#DIV/0!</v>
      </c>
      <c r="L99" s="497" t="e">
        <f>K99*G99/$G$102</f>
        <v>#DIV/0!</v>
      </c>
    </row>
    <row r="100" ht="12.75" customHeight="1" s="255">
      <c r="C100" s="498" t="inlineStr">
        <is>
          <t>TICKER 3</t>
        </is>
      </c>
      <c r="D100" s="490" t="n"/>
      <c r="E100" s="499" t="n"/>
      <c r="F100" s="500" t="n"/>
      <c r="G100" s="405">
        <f>E100*F100</f>
        <v>0</v>
      </c>
      <c r="H100" s="500" t="n"/>
      <c r="I100" s="496" t="e">
        <f>H100/(F100*E100)</f>
        <v>#DIV/0!</v>
      </c>
      <c r="J100" s="501" t="n"/>
      <c r="K100" s="494" t="e">
        <f>D100/(1+(I100)*(1-J100))</f>
        <v>#DIV/0!</v>
      </c>
      <c r="L100" s="497" t="e">
        <f>K100*G100/$G$102</f>
        <v>#DIV/0!</v>
      </c>
    </row>
    <row r="101" ht="12.75" customHeight="1" s="255">
      <c r="C101" s="502" t="inlineStr">
        <is>
          <t>TICKER 4</t>
        </is>
      </c>
      <c r="D101" s="503" t="n"/>
      <c r="E101" s="504" t="n"/>
      <c r="F101" s="505" t="n"/>
      <c r="G101" s="391">
        <f>E101*F101</f>
        <v>0</v>
      </c>
      <c r="H101" s="505" t="n"/>
      <c r="I101" s="506" t="e">
        <f>H101/(F101*E101)</f>
        <v>#DIV/0!</v>
      </c>
      <c r="J101" s="507" t="n"/>
      <c r="K101" s="508" t="e">
        <f>D101/(1+(I101)*(1-J101))</f>
        <v>#DIV/0!</v>
      </c>
      <c r="L101" s="497" t="e">
        <f>K101*G101/$G$102</f>
        <v>#DIV/0!</v>
      </c>
      <c r="M101" s="509" t="n"/>
    </row>
    <row r="102" ht="12.75" customHeight="1" s="255">
      <c r="D102" s="494" t="n"/>
      <c r="E102" s="470" t="n"/>
      <c r="F102" s="426" t="n"/>
      <c r="G102" s="405" t="e">
        <f>SUM(G98:G101)</f>
        <v>#DIV/0!</v>
      </c>
      <c r="I102" s="494" t="n"/>
      <c r="J102" s="509" t="inlineStr">
        <is>
          <t>Average:</t>
        </is>
      </c>
      <c r="K102" s="510" t="e">
        <f>AVERAGE(K98:K101)</f>
        <v>#DIV/0!</v>
      </c>
      <c r="L102" s="510" t="e">
        <f>SUM(L98:L101)</f>
        <v>#DIV/0!</v>
      </c>
      <c r="M102" s="510" t="e">
        <f>L102*(1+(debt/market_equity)*(1-D87))</f>
        <v>#DIV/0!</v>
      </c>
    </row>
  </sheetData>
  <mergeCells count="6">
    <mergeCell ref="G15:L15"/>
    <mergeCell ref="M15:R15"/>
    <mergeCell ref="G14:V14"/>
    <mergeCell ref="G86:H86"/>
    <mergeCell ref="I86:J86"/>
    <mergeCell ref="S15:V15"/>
  </mergeCells>
  <printOptions horizontalCentered="0" verticalCentered="0" headings="0" gridLines="0" gridLinesSet="1"/>
  <pageMargins left="0.511805555555556" right="0.511805555555556" top="0.7875" bottom="0.78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:language xmlns:dc="http://purl.org/dc/elements/1.1/">en-US</dc:language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2026-10-14T12:16:10Z</dcterms:modified>
  <cp:lastModifiedBy>Lucas Nascimento</cp:lastModifiedBy>
  <cp:revision>0</cp:revision>
</cp:coreProperties>
</file>